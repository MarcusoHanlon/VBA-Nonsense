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0" windowWidth="15360" windowHeight="7320" firstSheet="6" activeTab="9"/>
  </bookViews>
  <sheets>
    <sheet name="RSAI plc" sheetId="14" state="hidden" r:id="rId1"/>
    <sheet name="RSA Re" sheetId="15" state="hidden" r:id="rId2"/>
    <sheet name="MIC" sheetId="16" state="hidden" r:id="rId3"/>
    <sheet name="Codan" sheetId="17" state="hidden" r:id="rId4"/>
    <sheet name="Priv" sheetId="18" state="hidden" r:id="rId5"/>
    <sheet name="Holmia" sheetId="13" state="hidden" r:id="rId6"/>
    <sheet name="Overview" sheetId="27" r:id="rId7"/>
    <sheet name="Completion Matrix" sheetId="31" r:id="rId8"/>
    <sheet name="Dashboard 1" sheetId="25" r:id="rId9"/>
    <sheet name="Dashboard 2" sheetId="33" r:id="rId10"/>
    <sheet name="Dashboard 3" sheetId="19" r:id="rId11"/>
    <sheet name="Sheet1" sheetId="5" state="hidden" r:id="rId12"/>
    <sheet name="Policies" sheetId="28" r:id="rId13"/>
    <sheet name="Policies (2)" sheetId="30" r:id="rId14"/>
    <sheet name="Sheet2" sheetId="32" r:id="rId15"/>
  </sheets>
  <externalReferences>
    <externalReference r:id="rId16"/>
  </externalReferences>
  <definedNames>
    <definedName name="_xlnm._FilterDatabase" localSheetId="3" hidden="1">Codan!$A$2:$P$426</definedName>
    <definedName name="_xlnm._FilterDatabase" localSheetId="7" hidden="1">'Completion Matrix'!$A$7:$O$59</definedName>
    <definedName name="_xlnm._FilterDatabase" localSheetId="8" hidden="1">'Dashboard 1'!$B$3:$E$3</definedName>
    <definedName name="_xlnm._FilterDatabase" localSheetId="10" hidden="1">'Dashboard 3'!$B$72:$C$95</definedName>
    <definedName name="_xlnm._FilterDatabase" localSheetId="5" hidden="1">Holmia!$A$2:$P$373</definedName>
    <definedName name="_xlnm._FilterDatabase" localSheetId="2" hidden="1">MIC!$A$2:$P$426</definedName>
    <definedName name="_xlnm._FilterDatabase" localSheetId="6" hidden="1">Overview!$B$7:$C$7</definedName>
    <definedName name="_xlnm._FilterDatabase" localSheetId="13" hidden="1">'Policies (2)'!$A$3:$K$46</definedName>
    <definedName name="_xlnm._FilterDatabase" localSheetId="4" hidden="1">Priv!$A$2:$P$426</definedName>
    <definedName name="_xlnm._FilterDatabase" localSheetId="1" hidden="1">'RSA Re'!$A$2:$P$426</definedName>
    <definedName name="_xlnm._FilterDatabase" localSheetId="0" hidden="1">'RSAI plc'!$A$2:$P$426</definedName>
    <definedName name="_xlnm.Print_Area" localSheetId="3">Codan!$A$1:$N$426</definedName>
    <definedName name="_xlnm.Print_Area" localSheetId="7">'Completion Matrix'!$A$6:$N$56</definedName>
    <definedName name="_xlnm.Print_Area" localSheetId="5">Holmia!$A$1:$N$373</definedName>
    <definedName name="_xlnm.Print_Area" localSheetId="2">MIC!$A$1:$N$426</definedName>
    <definedName name="_xlnm.Print_Area" localSheetId="4">Priv!$A$1:$N$426</definedName>
    <definedName name="_xlnm.Print_Area" localSheetId="1">'RSA Re'!$A$1:$N$426</definedName>
    <definedName name="_xlnm.Print_Area" localSheetId="0">'RSAI plc'!$A$1:$N$426</definedName>
    <definedName name="_xlnm.Print_Titles" localSheetId="3">Codan!$1:$2</definedName>
    <definedName name="_xlnm.Print_Titles" localSheetId="7">'Completion Matrix'!$6:$7</definedName>
    <definedName name="_xlnm.Print_Titles" localSheetId="5">Holmia!$1:$2</definedName>
    <definedName name="_xlnm.Print_Titles" localSheetId="2">MIC!$1:$2</definedName>
    <definedName name="_xlnm.Print_Titles" localSheetId="4">Priv!$1:$2</definedName>
    <definedName name="_xlnm.Print_Titles" localSheetId="1">'RSA Re'!$1:$2</definedName>
    <definedName name="_xlnm.Print_Titles" localSheetId="0">'RSAI plc'!$1:$2</definedName>
  </definedNames>
  <calcPr calcId="125725" calcMode="manual"/>
</workbook>
</file>

<file path=xl/calcChain.xml><?xml version="1.0" encoding="utf-8"?>
<calcChain xmlns="http://schemas.openxmlformats.org/spreadsheetml/2006/main">
  <c r="L12" i="27"/>
  <c r="O79"/>
  <c r="N79"/>
  <c r="M79"/>
  <c r="L79"/>
  <c r="AI78"/>
  <c r="O78"/>
  <c r="N78"/>
  <c r="M78"/>
  <c r="L78"/>
  <c r="AI77"/>
  <c r="O76"/>
  <c r="N76"/>
  <c r="M76"/>
  <c r="L76"/>
  <c r="O75"/>
  <c r="N75"/>
  <c r="M75"/>
  <c r="L75"/>
  <c r="AI74"/>
  <c r="O74"/>
  <c r="N74"/>
  <c r="M74"/>
  <c r="L74"/>
  <c r="AI73"/>
  <c r="O73"/>
  <c r="N73"/>
  <c r="M73"/>
  <c r="L73"/>
  <c r="AI72"/>
  <c r="O72"/>
  <c r="N72"/>
  <c r="M72"/>
  <c r="L72"/>
  <c r="AI71"/>
  <c r="O70"/>
  <c r="N70"/>
  <c r="M70"/>
  <c r="L70"/>
  <c r="O69"/>
  <c r="N69"/>
  <c r="M69"/>
  <c r="L69"/>
  <c r="AI67"/>
  <c r="O67"/>
  <c r="N67"/>
  <c r="M67"/>
  <c r="L67"/>
  <c r="AI66"/>
  <c r="O66"/>
  <c r="N66"/>
  <c r="M66"/>
  <c r="L66"/>
  <c r="AI65"/>
  <c r="O65"/>
  <c r="N65"/>
  <c r="M65"/>
  <c r="L65"/>
  <c r="AI64"/>
  <c r="O64"/>
  <c r="N64"/>
  <c r="M64"/>
  <c r="L64"/>
  <c r="AI63"/>
  <c r="O63"/>
  <c r="N63"/>
  <c r="M63"/>
  <c r="L63"/>
  <c r="AI62"/>
  <c r="O62"/>
  <c r="N62"/>
  <c r="M62"/>
  <c r="L62"/>
  <c r="AI61"/>
  <c r="O61"/>
  <c r="N61"/>
  <c r="M61"/>
  <c r="L61"/>
  <c r="AI60"/>
  <c r="O60"/>
  <c r="N60"/>
  <c r="M60"/>
  <c r="L60"/>
  <c r="AI59"/>
  <c r="O59"/>
  <c r="N59"/>
  <c r="M59"/>
  <c r="L59"/>
  <c r="AI58"/>
  <c r="O58"/>
  <c r="N58"/>
  <c r="M58"/>
  <c r="L58"/>
  <c r="O56"/>
  <c r="N56"/>
  <c r="M56"/>
  <c r="L56"/>
  <c r="AI55"/>
  <c r="O55"/>
  <c r="N55"/>
  <c r="M55"/>
  <c r="L55"/>
  <c r="AI54"/>
  <c r="O54"/>
  <c r="N54"/>
  <c r="M54"/>
  <c r="L54"/>
  <c r="O53"/>
  <c r="N53"/>
  <c r="M53"/>
  <c r="L53"/>
  <c r="O52"/>
  <c r="N52"/>
  <c r="M52"/>
  <c r="L52"/>
  <c r="AI51"/>
  <c r="O51"/>
  <c r="N51"/>
  <c r="M51"/>
  <c r="L51"/>
  <c r="AI50"/>
  <c r="O50"/>
  <c r="N50"/>
  <c r="M50"/>
  <c r="L50"/>
  <c r="AI49"/>
  <c r="O49"/>
  <c r="N49"/>
  <c r="M49"/>
  <c r="L49"/>
  <c r="AI48"/>
  <c r="AI47"/>
  <c r="O47"/>
  <c r="N47"/>
  <c r="M47"/>
  <c r="L47"/>
  <c r="AI46"/>
  <c r="O46"/>
  <c r="N46"/>
  <c r="M46"/>
  <c r="L46"/>
  <c r="AI45"/>
  <c r="O45"/>
  <c r="N45"/>
  <c r="M45"/>
  <c r="L45"/>
  <c r="AI44"/>
  <c r="O44"/>
  <c r="N44"/>
  <c r="M44"/>
  <c r="L44"/>
  <c r="O43"/>
  <c r="N43"/>
  <c r="M43"/>
  <c r="L43"/>
  <c r="O42"/>
  <c r="N42"/>
  <c r="AI32"/>
  <c r="AI31"/>
  <c r="AI30"/>
  <c r="AI27"/>
  <c r="AI26"/>
  <c r="AI23"/>
  <c r="AI22"/>
  <c r="AI21"/>
  <c r="AI20"/>
  <c r="AI19"/>
  <c r="AI18"/>
  <c r="AI17"/>
  <c r="AI16"/>
  <c r="AI15"/>
  <c r="AI14"/>
  <c r="AI13"/>
  <c r="AI12"/>
  <c r="AI10"/>
  <c r="AI9"/>
  <c r="AI8"/>
  <c r="AI7"/>
  <c r="M42"/>
  <c r="L42"/>
  <c r="AI41"/>
  <c r="O41"/>
  <c r="N41"/>
  <c r="M41"/>
  <c r="L41"/>
  <c r="AI40"/>
  <c r="O40"/>
  <c r="N40"/>
  <c r="M40"/>
  <c r="L40"/>
  <c r="AI39"/>
  <c r="O39"/>
  <c r="N39"/>
  <c r="M39"/>
  <c r="L39"/>
  <c r="AI38"/>
  <c r="O38"/>
  <c r="N38"/>
  <c r="M38"/>
  <c r="L38"/>
  <c r="AI37"/>
  <c r="O37"/>
  <c r="N37"/>
  <c r="M37"/>
  <c r="L37"/>
  <c r="O36"/>
  <c r="N36"/>
  <c r="M36"/>
  <c r="L36"/>
  <c r="AI35"/>
  <c r="O35"/>
  <c r="N35"/>
  <c r="M35"/>
  <c r="L35"/>
  <c r="AI34"/>
  <c r="O34"/>
  <c r="N34"/>
  <c r="M34"/>
  <c r="L34"/>
  <c r="O33"/>
  <c r="N33"/>
  <c r="M33"/>
  <c r="L33"/>
  <c r="M31"/>
  <c r="N31"/>
  <c r="O31"/>
  <c r="L31"/>
  <c r="O22"/>
  <c r="O23"/>
  <c r="O24"/>
  <c r="O25"/>
  <c r="O26"/>
  <c r="O27"/>
  <c r="O28"/>
  <c r="O29"/>
  <c r="N22"/>
  <c r="N23"/>
  <c r="N24"/>
  <c r="N25"/>
  <c r="N26"/>
  <c r="N27"/>
  <c r="N28"/>
  <c r="N29"/>
  <c r="M22"/>
  <c r="M23"/>
  <c r="M24"/>
  <c r="M25"/>
  <c r="M26"/>
  <c r="M27"/>
  <c r="M28"/>
  <c r="M29"/>
  <c r="M21"/>
  <c r="N21"/>
  <c r="O21"/>
  <c r="L22"/>
  <c r="L23"/>
  <c r="L24"/>
  <c r="L25"/>
  <c r="L26"/>
  <c r="L27"/>
  <c r="L28"/>
  <c r="L29"/>
  <c r="L21"/>
  <c r="F79"/>
  <c r="G79"/>
  <c r="H79"/>
  <c r="E79"/>
  <c r="F78"/>
  <c r="G78"/>
  <c r="H78"/>
  <c r="E78"/>
  <c r="H73"/>
  <c r="H74"/>
  <c r="H75"/>
  <c r="H76"/>
  <c r="G73"/>
  <c r="G74"/>
  <c r="G75"/>
  <c r="G76"/>
  <c r="F73"/>
  <c r="F74"/>
  <c r="F75"/>
  <c r="F76"/>
  <c r="E73"/>
  <c r="E74"/>
  <c r="E75"/>
  <c r="E76"/>
  <c r="F72"/>
  <c r="G72"/>
  <c r="H72"/>
  <c r="E72"/>
  <c r="F70"/>
  <c r="G70"/>
  <c r="H70"/>
  <c r="F69"/>
  <c r="G69"/>
  <c r="H69"/>
  <c r="E70"/>
  <c r="E69"/>
  <c r="H59"/>
  <c r="H60"/>
  <c r="H61"/>
  <c r="H62"/>
  <c r="H63"/>
  <c r="H64"/>
  <c r="H65"/>
  <c r="H66"/>
  <c r="H67"/>
  <c r="G59"/>
  <c r="G60"/>
  <c r="G61"/>
  <c r="G62"/>
  <c r="G63"/>
  <c r="G64"/>
  <c r="G65"/>
  <c r="G66"/>
  <c r="G67"/>
  <c r="F59"/>
  <c r="F60"/>
  <c r="F61"/>
  <c r="F62"/>
  <c r="F63"/>
  <c r="F64"/>
  <c r="F65"/>
  <c r="F66"/>
  <c r="F67"/>
  <c r="E59"/>
  <c r="E60"/>
  <c r="E61"/>
  <c r="E62"/>
  <c r="E63"/>
  <c r="E64"/>
  <c r="E65"/>
  <c r="E66"/>
  <c r="E67"/>
  <c r="F58"/>
  <c r="G58"/>
  <c r="H58"/>
  <c r="E58"/>
  <c r="H50"/>
  <c r="H51"/>
  <c r="H52"/>
  <c r="H53"/>
  <c r="H54"/>
  <c r="H55"/>
  <c r="H56"/>
  <c r="G50"/>
  <c r="G51"/>
  <c r="G52"/>
  <c r="G53"/>
  <c r="G54"/>
  <c r="G55"/>
  <c r="G56"/>
  <c r="F50"/>
  <c r="F51"/>
  <c r="F52"/>
  <c r="F53"/>
  <c r="F54"/>
  <c r="F55"/>
  <c r="F56"/>
  <c r="E50"/>
  <c r="E51"/>
  <c r="E52"/>
  <c r="E53"/>
  <c r="E54"/>
  <c r="E55"/>
  <c r="E56"/>
  <c r="F49"/>
  <c r="G49"/>
  <c r="H49"/>
  <c r="E49"/>
  <c r="H34"/>
  <c r="H35"/>
  <c r="H36"/>
  <c r="H37"/>
  <c r="H38"/>
  <c r="H39"/>
  <c r="H40"/>
  <c r="H41"/>
  <c r="H42"/>
  <c r="H43"/>
  <c r="H44"/>
  <c r="H45"/>
  <c r="H46"/>
  <c r="H47"/>
  <c r="G34"/>
  <c r="G35"/>
  <c r="G36"/>
  <c r="G37"/>
  <c r="G38"/>
  <c r="G39"/>
  <c r="G40"/>
  <c r="G41"/>
  <c r="G42"/>
  <c r="G43"/>
  <c r="G44"/>
  <c r="G45"/>
  <c r="G46"/>
  <c r="G47"/>
  <c r="F34"/>
  <c r="F35"/>
  <c r="F36"/>
  <c r="F37"/>
  <c r="F38"/>
  <c r="F39"/>
  <c r="F40"/>
  <c r="F41"/>
  <c r="F42"/>
  <c r="F43"/>
  <c r="F44"/>
  <c r="F45"/>
  <c r="F46"/>
  <c r="F47"/>
  <c r="E34"/>
  <c r="E35"/>
  <c r="E36"/>
  <c r="E37"/>
  <c r="E38"/>
  <c r="E39"/>
  <c r="E40"/>
  <c r="E41"/>
  <c r="E42"/>
  <c r="E43"/>
  <c r="E44"/>
  <c r="E45"/>
  <c r="E46"/>
  <c r="E47"/>
  <c r="F33"/>
  <c r="G33"/>
  <c r="H33"/>
  <c r="E33"/>
  <c r="F31"/>
  <c r="G31"/>
  <c r="H31"/>
  <c r="E31"/>
  <c r="H22"/>
  <c r="H23"/>
  <c r="H24"/>
  <c r="H25"/>
  <c r="H26"/>
  <c r="H27"/>
  <c r="H28"/>
  <c r="H29"/>
  <c r="H21"/>
  <c r="G22"/>
  <c r="G23"/>
  <c r="G24"/>
  <c r="G25"/>
  <c r="G26"/>
  <c r="G27"/>
  <c r="G28"/>
  <c r="G29"/>
  <c r="G21"/>
  <c r="F22"/>
  <c r="F23"/>
  <c r="F24"/>
  <c r="F25"/>
  <c r="F26"/>
  <c r="F27"/>
  <c r="F28"/>
  <c r="F29"/>
  <c r="F21"/>
  <c r="E23"/>
  <c r="E24"/>
  <c r="E25"/>
  <c r="E26"/>
  <c r="E27"/>
  <c r="E28"/>
  <c r="E29"/>
  <c r="E22"/>
  <c r="E21"/>
  <c r="P78" l="1"/>
  <c r="C9"/>
  <c r="C10"/>
  <c r="C11"/>
  <c r="C12"/>
  <c r="C13"/>
  <c r="C14"/>
  <c r="C15"/>
  <c r="C8"/>
  <c r="O84"/>
  <c r="L84"/>
  <c r="O30"/>
  <c r="N30"/>
  <c r="M30"/>
  <c r="L30"/>
  <c r="H30"/>
  <c r="F30"/>
  <c r="G30"/>
  <c r="F84"/>
  <c r="G84"/>
  <c r="H84"/>
  <c r="E84"/>
  <c r="C16" l="1"/>
  <c r="P30"/>
  <c r="I31"/>
  <c r="P31"/>
  <c r="L32"/>
  <c r="P45"/>
  <c r="P37"/>
  <c r="I34"/>
  <c r="M32"/>
  <c r="P40"/>
  <c r="I43"/>
  <c r="P44"/>
  <c r="P41"/>
  <c r="P36"/>
  <c r="F32"/>
  <c r="I36"/>
  <c r="P47"/>
  <c r="P46"/>
  <c r="P43"/>
  <c r="P42"/>
  <c r="P39"/>
  <c r="P38"/>
  <c r="P35"/>
  <c r="P34"/>
  <c r="E32"/>
  <c r="I42"/>
  <c r="E30"/>
  <c r="I30" s="1"/>
  <c r="P76"/>
  <c r="P73"/>
  <c r="P74"/>
  <c r="P75"/>
  <c r="P69"/>
  <c r="P70"/>
  <c r="P33"/>
  <c r="P54"/>
  <c r="P50"/>
  <c r="P55"/>
  <c r="P51"/>
  <c r="P56"/>
  <c r="P52"/>
  <c r="P49"/>
  <c r="P53"/>
  <c r="O68"/>
  <c r="N68"/>
  <c r="F68"/>
  <c r="I70"/>
  <c r="I69"/>
  <c r="G68"/>
  <c r="E68"/>
  <c r="I54"/>
  <c r="I50"/>
  <c r="H68"/>
  <c r="I55"/>
  <c r="I51"/>
  <c r="I56"/>
  <c r="I52"/>
  <c r="I53"/>
  <c r="M68"/>
  <c r="L68"/>
  <c r="N48"/>
  <c r="L48"/>
  <c r="O48"/>
  <c r="M48"/>
  <c r="N32"/>
  <c r="H48"/>
  <c r="G48"/>
  <c r="F48"/>
  <c r="E20"/>
  <c r="O32" l="1"/>
  <c r="P32" s="1"/>
  <c r="I58"/>
  <c r="I59"/>
  <c r="I60"/>
  <c r="I61"/>
  <c r="I62"/>
  <c r="I63"/>
  <c r="I64"/>
  <c r="I65"/>
  <c r="I66"/>
  <c r="I67"/>
  <c r="P72"/>
  <c r="P58"/>
  <c r="P59"/>
  <c r="P60"/>
  <c r="P61"/>
  <c r="P62"/>
  <c r="P63"/>
  <c r="P64"/>
  <c r="P65"/>
  <c r="P66"/>
  <c r="P67"/>
  <c r="I46"/>
  <c r="I68"/>
  <c r="I72"/>
  <c r="I73"/>
  <c r="I74"/>
  <c r="I75"/>
  <c r="I21"/>
  <c r="I22"/>
  <c r="I23"/>
  <c r="I24"/>
  <c r="I25"/>
  <c r="I26"/>
  <c r="I27"/>
  <c r="I28"/>
  <c r="I29"/>
  <c r="I33"/>
  <c r="I35"/>
  <c r="I37"/>
  <c r="I38"/>
  <c r="I39"/>
  <c r="I40"/>
  <c r="I41"/>
  <c r="I44"/>
  <c r="I45"/>
  <c r="I47"/>
  <c r="I76"/>
  <c r="E48"/>
  <c r="I49"/>
  <c r="P68"/>
  <c r="G32"/>
  <c r="H32"/>
  <c r="P48"/>
  <c r="P79"/>
  <c r="P21"/>
  <c r="P22"/>
  <c r="P23"/>
  <c r="P24"/>
  <c r="P25"/>
  <c r="P26"/>
  <c r="P27"/>
  <c r="P28"/>
  <c r="P29"/>
  <c r="I78"/>
  <c r="I79"/>
  <c r="I48" l="1"/>
  <c r="E71"/>
  <c r="F71"/>
  <c r="G71"/>
  <c r="H71"/>
  <c r="L71"/>
  <c r="M71"/>
  <c r="N71"/>
  <c r="O71"/>
  <c r="E77"/>
  <c r="F77"/>
  <c r="G77"/>
  <c r="H77"/>
  <c r="L77"/>
  <c r="M77"/>
  <c r="N77"/>
  <c r="O77"/>
  <c r="F20"/>
  <c r="G20"/>
  <c r="H20"/>
  <c r="L20"/>
  <c r="M20"/>
  <c r="N20"/>
  <c r="O20"/>
  <c r="E57"/>
  <c r="F57"/>
  <c r="G57"/>
  <c r="H57"/>
  <c r="L57"/>
  <c r="M57"/>
  <c r="N57"/>
  <c r="O57"/>
  <c r="C95" i="19"/>
  <c r="C94"/>
  <c r="C93"/>
  <c r="C92"/>
  <c r="C91"/>
  <c r="C90"/>
  <c r="C89"/>
  <c r="C88"/>
  <c r="C87"/>
  <c r="C86"/>
  <c r="C85"/>
  <c r="C84"/>
  <c r="C83"/>
  <c r="C82"/>
  <c r="C81"/>
  <c r="C80"/>
  <c r="C79"/>
  <c r="C78"/>
  <c r="C77"/>
  <c r="C76"/>
  <c r="C75"/>
  <c r="C74"/>
  <c r="C73"/>
  <c r="CF68"/>
  <c r="BS68"/>
  <c r="BF68"/>
  <c r="CF67"/>
  <c r="BS67"/>
  <c r="BF67"/>
  <c r="CF64"/>
  <c r="BS64"/>
  <c r="BG64"/>
  <c r="BF64"/>
  <c r="CF63"/>
  <c r="BS63"/>
  <c r="BG63"/>
  <c r="BF63"/>
  <c r="CF62"/>
  <c r="BS62"/>
  <c r="BG62"/>
  <c r="BF62"/>
  <c r="CF61"/>
  <c r="BS61"/>
  <c r="BG61"/>
  <c r="BF61"/>
  <c r="CF60"/>
  <c r="BS60"/>
  <c r="BG60"/>
  <c r="BF60"/>
  <c r="CF59"/>
  <c r="BS59"/>
  <c r="BG59"/>
  <c r="BF59"/>
  <c r="CF58"/>
  <c r="BS58"/>
  <c r="BG58"/>
  <c r="BF58"/>
  <c r="CF57"/>
  <c r="BS57"/>
  <c r="BG57"/>
  <c r="BF57"/>
  <c r="CF56"/>
  <c r="BS56"/>
  <c r="BG56"/>
  <c r="BF56"/>
  <c r="CF55"/>
  <c r="BS55"/>
  <c r="BG55"/>
  <c r="BF55"/>
  <c r="CF54"/>
  <c r="BS54"/>
  <c r="BG54"/>
  <c r="BF54"/>
  <c r="CF53"/>
  <c r="BS53"/>
  <c r="BG53"/>
  <c r="BF53"/>
  <c r="CF52"/>
  <c r="BS52"/>
  <c r="BG52"/>
  <c r="BF52"/>
  <c r="CF51"/>
  <c r="BS51"/>
  <c r="BG51"/>
  <c r="BF51"/>
  <c r="CF50"/>
  <c r="BS50"/>
  <c r="BG50"/>
  <c r="BF50"/>
  <c r="CF49"/>
  <c r="BS49"/>
  <c r="BG49"/>
  <c r="BF49"/>
  <c r="CF46"/>
  <c r="BS46"/>
  <c r="BF46"/>
  <c r="CF45"/>
  <c r="BS45"/>
  <c r="BF45"/>
  <c r="CF42"/>
  <c r="BS42"/>
  <c r="BG42"/>
  <c r="BF42"/>
  <c r="CF41"/>
  <c r="BS41"/>
  <c r="BG41"/>
  <c r="BF41"/>
  <c r="CF40"/>
  <c r="BS40"/>
  <c r="BG40"/>
  <c r="BF40"/>
  <c r="CF39"/>
  <c r="BS39"/>
  <c r="BG39"/>
  <c r="BF39"/>
  <c r="CF38"/>
  <c r="BS38"/>
  <c r="BG38"/>
  <c r="BF38"/>
  <c r="CF37"/>
  <c r="BS37"/>
  <c r="BG37"/>
  <c r="BF37"/>
  <c r="CF36"/>
  <c r="BS36"/>
  <c r="BG36"/>
  <c r="BF36"/>
  <c r="CF35"/>
  <c r="BS35"/>
  <c r="BG35"/>
  <c r="BF35"/>
  <c r="CF34"/>
  <c r="BS34"/>
  <c r="BG34"/>
  <c r="BF34"/>
  <c r="CF33"/>
  <c r="BS33"/>
  <c r="BG33"/>
  <c r="BF33"/>
  <c r="CF32"/>
  <c r="BS32"/>
  <c r="BG32"/>
  <c r="BF32"/>
  <c r="CF31"/>
  <c r="BS31"/>
  <c r="BG31"/>
  <c r="CF30"/>
  <c r="BS30"/>
  <c r="BG30"/>
  <c r="CF29"/>
  <c r="BS29"/>
  <c r="BG29"/>
  <c r="CF28"/>
  <c r="BS28"/>
  <c r="BG28"/>
  <c r="CF27"/>
  <c r="BS27"/>
  <c r="BG27"/>
  <c r="CF24"/>
  <c r="BS24"/>
  <c r="BF24"/>
  <c r="CF23"/>
  <c r="BS23"/>
  <c r="BF23"/>
  <c r="CF20"/>
  <c r="BS20"/>
  <c r="BG20"/>
  <c r="BF20"/>
  <c r="CF19"/>
  <c r="BS19"/>
  <c r="BG19"/>
  <c r="BF19"/>
  <c r="CF18"/>
  <c r="BS18"/>
  <c r="BG18"/>
  <c r="BF18"/>
  <c r="CF17"/>
  <c r="BS17"/>
  <c r="BG17"/>
  <c r="BF17"/>
  <c r="CF16"/>
  <c r="BS16"/>
  <c r="BG16"/>
  <c r="BF16"/>
  <c r="CF15"/>
  <c r="BS15"/>
  <c r="BG15"/>
  <c r="BF15"/>
  <c r="CF14"/>
  <c r="BS14"/>
  <c r="BG14"/>
  <c r="BF14"/>
  <c r="AA14"/>
  <c r="Z14"/>
  <c r="Y14"/>
  <c r="X14"/>
  <c r="W14"/>
  <c r="V14"/>
  <c r="U14"/>
  <c r="T14"/>
  <c r="S14"/>
  <c r="R14"/>
  <c r="Q14"/>
  <c r="P14"/>
  <c r="CF13"/>
  <c r="BS13"/>
  <c r="BG13"/>
  <c r="BF13"/>
  <c r="AA13"/>
  <c r="Z13"/>
  <c r="Y13"/>
  <c r="X13"/>
  <c r="W13"/>
  <c r="V13"/>
  <c r="U13"/>
  <c r="T13"/>
  <c r="S13"/>
  <c r="R13"/>
  <c r="Q13"/>
  <c r="P13"/>
  <c r="H13"/>
  <c r="CF12"/>
  <c r="BS12"/>
  <c r="BG12"/>
  <c r="AA12"/>
  <c r="Z12"/>
  <c r="Y12"/>
  <c r="X12"/>
  <c r="W12"/>
  <c r="V12"/>
  <c r="U12"/>
  <c r="T12"/>
  <c r="S12"/>
  <c r="R12"/>
  <c r="Q12"/>
  <c r="P12"/>
  <c r="H12"/>
  <c r="CF11"/>
  <c r="BS11"/>
  <c r="BG11"/>
  <c r="AA11"/>
  <c r="Z11"/>
  <c r="Y11"/>
  <c r="X11"/>
  <c r="W11"/>
  <c r="V11"/>
  <c r="U11"/>
  <c r="T11"/>
  <c r="S11"/>
  <c r="R11"/>
  <c r="Q11"/>
  <c r="P11"/>
  <c r="H11"/>
  <c r="CF10"/>
  <c r="BS10"/>
  <c r="BG10"/>
  <c r="AA10"/>
  <c r="Z10"/>
  <c r="Y10"/>
  <c r="X10"/>
  <c r="W10"/>
  <c r="V10"/>
  <c r="U10"/>
  <c r="T10"/>
  <c r="S10"/>
  <c r="R10"/>
  <c r="Q10"/>
  <c r="P10"/>
  <c r="H10"/>
  <c r="CF9"/>
  <c r="BS9"/>
  <c r="BG9"/>
  <c r="AA9"/>
  <c r="Z9"/>
  <c r="Y9"/>
  <c r="X9"/>
  <c r="W9"/>
  <c r="V9"/>
  <c r="U9"/>
  <c r="T9"/>
  <c r="S9"/>
  <c r="R9"/>
  <c r="Q9"/>
  <c r="P9"/>
  <c r="H9"/>
  <c r="CF8"/>
  <c r="BS8"/>
  <c r="BG8"/>
  <c r="AA8"/>
  <c r="Z8"/>
  <c r="Y8"/>
  <c r="X8"/>
  <c r="W8"/>
  <c r="V8"/>
  <c r="U8"/>
  <c r="T8"/>
  <c r="S8"/>
  <c r="R8"/>
  <c r="Q8"/>
  <c r="P8"/>
  <c r="L8"/>
  <c r="H8"/>
  <c r="CF7"/>
  <c r="BS7"/>
  <c r="BG7"/>
  <c r="AA7"/>
  <c r="Z7"/>
  <c r="Y7"/>
  <c r="X7"/>
  <c r="W7"/>
  <c r="V7"/>
  <c r="U7"/>
  <c r="T7"/>
  <c r="S7"/>
  <c r="R7"/>
  <c r="Q7"/>
  <c r="P7"/>
  <c r="L7"/>
  <c r="H7"/>
  <c r="CF6"/>
  <c r="BS6"/>
  <c r="BG6"/>
  <c r="AA6"/>
  <c r="Z6"/>
  <c r="Y6"/>
  <c r="X6"/>
  <c r="W6"/>
  <c r="V6"/>
  <c r="U6"/>
  <c r="T6"/>
  <c r="S6"/>
  <c r="R6"/>
  <c r="Q6"/>
  <c r="P6"/>
  <c r="L6"/>
  <c r="H6"/>
  <c r="C6"/>
  <c r="CF5"/>
  <c r="BS5"/>
  <c r="BG5"/>
  <c r="AA5"/>
  <c r="Z5"/>
  <c r="Y5"/>
  <c r="X5"/>
  <c r="W5"/>
  <c r="V5"/>
  <c r="U5"/>
  <c r="T5"/>
  <c r="S5"/>
  <c r="R5"/>
  <c r="Q5"/>
  <c r="P5"/>
  <c r="L5"/>
  <c r="H5"/>
  <c r="O80" i="27" l="1"/>
  <c r="O85" s="1"/>
  <c r="L80"/>
  <c r="L85" s="1"/>
  <c r="M80"/>
  <c r="M85" s="1"/>
  <c r="N80"/>
  <c r="N85" s="1"/>
  <c r="E80"/>
  <c r="E85" s="1"/>
  <c r="H80"/>
  <c r="H85" s="1"/>
  <c r="F80"/>
  <c r="F85" s="1"/>
  <c r="G80"/>
  <c r="G85" s="1"/>
  <c r="I77"/>
  <c r="I71"/>
  <c r="P57"/>
  <c r="P20"/>
  <c r="P77"/>
  <c r="P71"/>
  <c r="I20"/>
  <c r="AI75"/>
  <c r="AI24"/>
  <c r="AI52"/>
  <c r="F14" i="19"/>
  <c r="F13"/>
  <c r="F12"/>
  <c r="F11"/>
  <c r="F10"/>
  <c r="F9"/>
  <c r="F8"/>
  <c r="F7"/>
  <c r="F6"/>
  <c r="F5"/>
  <c r="BF12"/>
  <c r="BF11"/>
  <c r="BF10"/>
  <c r="BF9"/>
  <c r="BF8"/>
  <c r="BF27"/>
  <c r="BF31"/>
  <c r="BF30"/>
  <c r="BF29"/>
  <c r="BF28"/>
  <c r="BF7"/>
  <c r="BF6"/>
  <c r="BF5"/>
  <c r="L82" i="27" l="1"/>
  <c r="J20"/>
  <c r="Q20"/>
  <c r="E82"/>
  <c r="E81" l="1"/>
  <c r="N81"/>
  <c r="M81"/>
  <c r="O81"/>
  <c r="L81"/>
  <c r="H81"/>
  <c r="G81"/>
  <c r="F81"/>
  <c r="CF65" i="19"/>
  <c r="BS65"/>
  <c r="BE42"/>
  <c r="CF43"/>
  <c r="BS43"/>
  <c r="BE14"/>
  <c r="G14"/>
  <c r="AB10" l="1"/>
  <c r="BE10"/>
  <c r="AB12"/>
  <c r="BE16"/>
  <c r="BE17"/>
  <c r="BE18"/>
  <c r="BE19"/>
  <c r="BE20"/>
  <c r="BE55"/>
  <c r="BE56"/>
  <c r="BE57"/>
  <c r="BE58"/>
  <c r="BE59"/>
  <c r="BE60"/>
  <c r="BE61"/>
  <c r="BE62"/>
  <c r="BE63"/>
  <c r="BE64"/>
  <c r="AB9"/>
  <c r="AB11"/>
  <c r="BE11"/>
  <c r="AB13"/>
  <c r="BE13"/>
  <c r="BE12"/>
  <c r="AB14"/>
  <c r="BE49"/>
  <c r="BE50"/>
  <c r="BE51"/>
  <c r="BE52"/>
  <c r="BE53"/>
  <c r="BE54"/>
  <c r="BF65"/>
  <c r="BE8"/>
  <c r="BE9"/>
  <c r="BE27"/>
  <c r="BE28"/>
  <c r="BE29"/>
  <c r="BE30"/>
  <c r="BE31"/>
  <c r="BE32"/>
  <c r="BE33"/>
  <c r="BE34"/>
  <c r="BE35"/>
  <c r="BE36"/>
  <c r="BE37"/>
  <c r="BE38"/>
  <c r="BE39"/>
  <c r="BE40"/>
  <c r="BE41"/>
  <c r="BF43"/>
  <c r="BE15"/>
  <c r="AB7" l="1"/>
  <c r="BE7"/>
  <c r="AB8"/>
  <c r="BE6"/>
  <c r="L9"/>
  <c r="CF21"/>
  <c r="BS21"/>
  <c r="I5"/>
  <c r="G5"/>
  <c r="G15" s="1"/>
  <c r="AB5" l="1"/>
  <c r="C5"/>
  <c r="C7" s="1"/>
  <c r="F15"/>
  <c r="BE5"/>
  <c r="BF21"/>
  <c r="BQ75" s="1"/>
  <c r="AB6"/>
</calcChain>
</file>

<file path=xl/connections.xml><?xml version="1.0" encoding="utf-8"?>
<connections xmlns="http://schemas.openxmlformats.org/spreadsheetml/2006/main">
  <connection id="1" sourceFile="K:\217 Solvency II\Project Management\Project Plans\2015 Planning\Solvency II - Control Framework\Completion Matrix\RSA II Completeness Matrix - Capital(FOR).xlsx" keepAlive="1" name="Capital" type="5" refreshedVersion="0" new="1" background="1" saveData="1">
    <dbPr connection="Provider=Microsoft.ACE.OLEDB.12.0;Password=&quot;&quot;;User ID=Admin;Data Source=K:\217 Solvency II\Project Management\Project Plans\2015 Planning\Solvency II - Control Framework\Completion Matrix\RSA II Completeness Matrix - Capital(FOR).xlsx;Mode=Share Deny Write;Extended Properties=&quot;HDR=NO;&quot;;Jet OLEDB:System database=&quot;&quot;;Jet OLEDB:Registry Path=&quot;&quot;;Jet OLEDB:Database Password=&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Sheet 1$'" commandType="3"/>
  </connection>
</connections>
</file>

<file path=xl/sharedStrings.xml><?xml version="1.0" encoding="utf-8"?>
<sst xmlns="http://schemas.openxmlformats.org/spreadsheetml/2006/main" count="10714" uniqueCount="960">
  <si>
    <t>SOLVENCY II REQUIREMENTS - L1, L2, L3</t>
  </si>
  <si>
    <t>PRE-IMPLEMENTATION "CURRENT" COMPLIANCE</t>
  </si>
  <si>
    <t>POST-IMPLEMENTATION "BAU" COMPLIANCE</t>
  </si>
  <si>
    <t>Level 1 SII Directive Article #</t>
  </si>
  <si>
    <t>Level 1 Directive Article Title</t>
  </si>
  <si>
    <t>L2 Delegated Act Article #</t>
  </si>
  <si>
    <t>L3 Set 1 Guidelines</t>
  </si>
  <si>
    <t>Existing evidence of compliance</t>
  </si>
  <si>
    <t>Assurance / review performed</t>
  </si>
  <si>
    <t>Evidence</t>
  </si>
  <si>
    <t>Review process / controls</t>
  </si>
  <si>
    <t>Assurance</t>
  </si>
  <si>
    <t>Subject matter</t>
  </si>
  <si>
    <t>N/A - reference only</t>
  </si>
  <si>
    <t>Scope</t>
  </si>
  <si>
    <t>Statutory systems</t>
  </si>
  <si>
    <t>Exclusion from scope due to size</t>
  </si>
  <si>
    <t>Operations</t>
  </si>
  <si>
    <t>Assistance</t>
  </si>
  <si>
    <t>Mutual undertakings</t>
  </si>
  <si>
    <t>Institutions</t>
  </si>
  <si>
    <t>Operations and activities</t>
  </si>
  <si>
    <t>Organisations, undertakings and institutions</t>
  </si>
  <si>
    <t>Reinsurance</t>
  </si>
  <si>
    <t>Reinsurance undertakings closing their activity</t>
  </si>
  <si>
    <t>Definitions</t>
  </si>
  <si>
    <t>Principle of authorisation</t>
  </si>
  <si>
    <t>N/A - Authorisations</t>
  </si>
  <si>
    <t>Scope of authorisation</t>
  </si>
  <si>
    <t>Ancillary risks</t>
  </si>
  <si>
    <t>Legal form of the insurance or reinsurance undertaking</t>
  </si>
  <si>
    <t>Conditions for authorisation</t>
  </si>
  <si>
    <t>Close links</t>
  </si>
  <si>
    <t>Head office of insurance undertakings and reinsurance undertakings</t>
  </si>
  <si>
    <t>Policy conditions and scales of premiums</t>
  </si>
  <si>
    <t>N/A - Supervisory authority</t>
  </si>
  <si>
    <t>Economic requirements of the market</t>
  </si>
  <si>
    <t>Scheme of operations</t>
  </si>
  <si>
    <t>Shareholders and members with qualifying holdings</t>
  </si>
  <si>
    <t>Refusal of authorisation</t>
  </si>
  <si>
    <t>Prior consultation of the authorities of other Member States</t>
  </si>
  <si>
    <t>Main objective of supervision</t>
  </si>
  <si>
    <t>Guidelines on supervisory review process</t>
  </si>
  <si>
    <t>Financial stability and pro-cyclicality</t>
  </si>
  <si>
    <t>General principles of supervision</t>
  </si>
  <si>
    <t>Supervisory authorities and scope of supervision</t>
  </si>
  <si>
    <t>Transparency and accountability</t>
  </si>
  <si>
    <t>Prohibition of refusal of reinsurance contracts or retrocession contracts</t>
  </si>
  <si>
    <t>Supervision of branches established in another Member State</t>
  </si>
  <si>
    <t>General supervisory powers</t>
  </si>
  <si>
    <t>Information to be provided for supervisory purposes</t>
  </si>
  <si>
    <t>RSR</t>
  </si>
  <si>
    <t>Internal Model Validation Report - group / regional</t>
  </si>
  <si>
    <t>Supervisory review process</t>
  </si>
  <si>
    <t>Capital add-on</t>
  </si>
  <si>
    <t>Supervision of outsourced functions and activities</t>
  </si>
  <si>
    <t>Transfer of portfolio</t>
  </si>
  <si>
    <t>Responsibility of the administrative, management or supervisory body</t>
  </si>
  <si>
    <t>General governance requirements</t>
  </si>
  <si>
    <t>Fit and proper requirements for persons who effectively run the undertaking or have other key functions</t>
  </si>
  <si>
    <t>Proof of good repute</t>
  </si>
  <si>
    <t>Risk management</t>
  </si>
  <si>
    <t>Guidelines on Systems of Governance GL 17 - 26</t>
  </si>
  <si>
    <t>BRC &amp; GAMC - Investment Limits</t>
  </si>
  <si>
    <t>Group Investments Strategy document &amp; TOR</t>
  </si>
  <si>
    <t>Own risk and solvency assessment</t>
  </si>
  <si>
    <t>Internal control</t>
  </si>
  <si>
    <t>Guidelines on Systems of Governance GL 38 - 39</t>
  </si>
  <si>
    <t>PISA Process</t>
  </si>
  <si>
    <t>Internal audit</t>
  </si>
  <si>
    <t>Guidelines on Systems of Governance GL 40 - 45</t>
  </si>
  <si>
    <t>Actuarial function</t>
  </si>
  <si>
    <t>Data limitations log</t>
  </si>
  <si>
    <t>Outsourcing</t>
  </si>
  <si>
    <t>Guidelines on Systems of Governance GL 14, 60 - 64</t>
  </si>
  <si>
    <t>SMART source - O/S arrangements</t>
  </si>
  <si>
    <t>Implementing measures</t>
  </si>
  <si>
    <t>Report on solvency and financial condition: contents</t>
  </si>
  <si>
    <t>SFCR</t>
  </si>
  <si>
    <t>Group credit risk management policy</t>
  </si>
  <si>
    <t>Information for and reports by CEIOPS</t>
  </si>
  <si>
    <t>Report on solvency and financial condition: applicable principles</t>
  </si>
  <si>
    <t>Report on solvency and financial condition: updates and additional voluntary information</t>
  </si>
  <si>
    <t>Report on solvency and financial condition: policy and approval</t>
  </si>
  <si>
    <t>Solvency and financial condition report: implementing measures</t>
  </si>
  <si>
    <t>Acquisitions</t>
  </si>
  <si>
    <t>N/A - M&amp;A</t>
  </si>
  <si>
    <t>Assessment period</t>
  </si>
  <si>
    <t>Assessment</t>
  </si>
  <si>
    <t>Acquisitions by regulated financial undertakings</t>
  </si>
  <si>
    <t>Information to the supervisory authority by the insurance or reinsurance undertaking</t>
  </si>
  <si>
    <t>Qualifying holdings, powers of the supervisory authority</t>
  </si>
  <si>
    <t>Voting rights</t>
  </si>
  <si>
    <t>Professional secrecy</t>
  </si>
  <si>
    <t>Exchange of information between supervisory authorities of Member States</t>
  </si>
  <si>
    <t>Cooperation agreements with third countries</t>
  </si>
  <si>
    <t>Use of confidential information</t>
  </si>
  <si>
    <t>Exchange of information with other authorities</t>
  </si>
  <si>
    <t>Disclosure of information to government administrations responsible for financial legislation</t>
  </si>
  <si>
    <t>Transmission of information to central banks and monetary authorities</t>
  </si>
  <si>
    <t>Supervisory convergence</t>
  </si>
  <si>
    <t>Duties of auditors</t>
  </si>
  <si>
    <t>Pursuit of life and non-life insurance activity</t>
  </si>
  <si>
    <t>Separation of life and non-life insurance management</t>
  </si>
  <si>
    <t>Valuation of assets and liabilities</t>
  </si>
  <si>
    <t>Basis of preparation document</t>
  </si>
  <si>
    <t>General provisions</t>
  </si>
  <si>
    <t>Calculation of technical provisions</t>
  </si>
  <si>
    <t>Other elements to be taken into account in the calculation of technical provisions</t>
  </si>
  <si>
    <t>Valuation of financial guarantees and contractual options included in insurance and reinsurance contracts</t>
  </si>
  <si>
    <t>NA - reference only</t>
  </si>
  <si>
    <t>Segmentation</t>
  </si>
  <si>
    <t>Recoverables from reinsurance contracts and special purpose vehicles</t>
  </si>
  <si>
    <t>Data quality and application of approximations, including case-by-case approaches, for technical provisions</t>
  </si>
  <si>
    <t>Data Directory</t>
  </si>
  <si>
    <t>Comparison against experience</t>
  </si>
  <si>
    <t>Appropriateness of the level of technical provisions</t>
  </si>
  <si>
    <t>Increase of technical provisions</t>
  </si>
  <si>
    <t>Own funds</t>
  </si>
  <si>
    <t>Capital management policy</t>
  </si>
  <si>
    <t>Basic own funds</t>
  </si>
  <si>
    <t>Ancillary own funds</t>
  </si>
  <si>
    <t>Guidelines on ancillary own funds</t>
  </si>
  <si>
    <t>N/A - product type</t>
  </si>
  <si>
    <t>Supervisory approval of ancillary own funds</t>
  </si>
  <si>
    <t>Surplus funds</t>
  </si>
  <si>
    <t>Characteristics and features used to classify own funds into tiers</t>
  </si>
  <si>
    <t>Capital report</t>
  </si>
  <si>
    <t>Main criteria for the classification into tiers</t>
  </si>
  <si>
    <t>Classification of own funds into tiers</t>
  </si>
  <si>
    <t>Classification of specific insurance own-fund items</t>
  </si>
  <si>
    <t>Eligibility and limits applicable to Tiers 1, 2 and  3</t>
  </si>
  <si>
    <t>Guidelines on ring-fenced funds</t>
  </si>
  <si>
    <t>Calculation of the Solvency Capital Requirement</t>
  </si>
  <si>
    <t>Scope of the Internal Model</t>
  </si>
  <si>
    <t>Structural Design of the Calculation Kernel</t>
  </si>
  <si>
    <t>Capital Model: Methods used to Calculate the PDF of Basic Own Funds</t>
  </si>
  <si>
    <t>Frequency of calculation</t>
  </si>
  <si>
    <t>Structure of the standard formula</t>
  </si>
  <si>
    <t>Guidelines on the loss-absorbing capacity of technical provisions and deferred taxes</t>
  </si>
  <si>
    <t>Design of the Basic Solvency Capital Requirement</t>
  </si>
  <si>
    <t>Guidelines on basis risk</t>
  </si>
  <si>
    <t>Guidelines on look-through approach</t>
  </si>
  <si>
    <t>Guidelines on the treatment of market and counterparty risk exposures in the standard formula</t>
  </si>
  <si>
    <t>Calculation of the Basic Solvency Capital Requirement</t>
  </si>
  <si>
    <t>Guidelines on application of outwards reinsurance arrangements to the non-life underwriting risk sub-module</t>
  </si>
  <si>
    <t>Guidelines on application of the life underwriting risk module</t>
  </si>
  <si>
    <t>Guidelines on health catastrophe risk sub-module</t>
  </si>
  <si>
    <t>Calculation of the equity risk sub-module: symmetric adjustment mechanism</t>
  </si>
  <si>
    <t>Capital requirement for operational risk</t>
  </si>
  <si>
    <t>Adjustment for the loss-absorbing capacity of technical provisions and deferred taxes</t>
  </si>
  <si>
    <t>Simplifications in the standard formula</t>
  </si>
  <si>
    <t>Significant deviations from the assumptions underlying the standard formula calculation</t>
  </si>
  <si>
    <t>N/A - standard formula</t>
  </si>
  <si>
    <t>General provisions for the approval of full and partial internal models</t>
  </si>
  <si>
    <t>Guidelines on the use of internal models GL 1 - 4</t>
  </si>
  <si>
    <t>RSA Group SII Application Document</t>
  </si>
  <si>
    <t>RSA Group SII Common Application Package</t>
  </si>
  <si>
    <t>Specific provisions for the approval of partial internal models</t>
  </si>
  <si>
    <t>Policy for changing the full and partial internal models</t>
  </si>
  <si>
    <t>Guidelines on the use of internal models GL 6 - 10</t>
  </si>
  <si>
    <t xml:space="preserve">Model Development Log </t>
  </si>
  <si>
    <t>The Internal Model Change policy</t>
  </si>
  <si>
    <t>Responsibilities of the administrative, management or supervisory bodies</t>
  </si>
  <si>
    <t>Guidelines on the use of internal models GL 12, 13</t>
  </si>
  <si>
    <t>IMGC, BRC &amp; Board ToR</t>
  </si>
  <si>
    <t>Reversion to the standard formula</t>
  </si>
  <si>
    <t>Non-compliance of the internal model</t>
  </si>
  <si>
    <t>Use test</t>
  </si>
  <si>
    <t>Guidelines on the use of internal models GL 11 - 15</t>
  </si>
  <si>
    <t>Uses of the Internal Model</t>
  </si>
  <si>
    <t>Use Test and Board Engagement</t>
  </si>
  <si>
    <t>IMGC Terms of Reference;</t>
  </si>
  <si>
    <t>IMAP Capital Report - Group / regional</t>
  </si>
  <si>
    <t>ORSA Report Group / regional</t>
  </si>
  <si>
    <t>Group Board Training - Q1 2015</t>
  </si>
  <si>
    <t>Statistical quality standards</t>
  </si>
  <si>
    <t>Guidelines on the use of internal models GL 16 - 27</t>
  </si>
  <si>
    <t>Data Assumptions - group / regional</t>
  </si>
  <si>
    <t>Data Policy (Internal Model and Technical Provisions);</t>
  </si>
  <si>
    <t>Data Quality Assessments Reports - group / regional</t>
  </si>
  <si>
    <t xml:space="preserve">Data Standards &amp; Guidelines (Internal Model and Technical Provisions); </t>
  </si>
  <si>
    <t>Data update - group / regional</t>
  </si>
  <si>
    <t>Design of the Calculation Kernel</t>
  </si>
  <si>
    <t>Group Data Flow Diagram</t>
  </si>
  <si>
    <t>Group Process for Construction of Accounts for Internal Model;</t>
  </si>
  <si>
    <t>Group Process for Running CAT Events Project-Set;</t>
  </si>
  <si>
    <t>Group Process for Running Credit Risk Project-Set</t>
  </si>
  <si>
    <t>Group Process for running ESG and Investments and Economics Project-Set;</t>
  </si>
  <si>
    <t>Group Process for Running Global Reinsurance Project-Set;</t>
  </si>
  <si>
    <t>All Internal Model Parameterisation and project set documents</t>
  </si>
  <si>
    <t>Group-wide Approach for Parameterisation of explicit Dependencies and Shocks;</t>
  </si>
  <si>
    <t>Group-wide Approach for Parameterisation of Prior Year Volatility;</t>
  </si>
  <si>
    <t>Group-wide Approach for Parameterisation of Underwriting;</t>
  </si>
  <si>
    <t>Groupwide Consolidated Balance Sheets</t>
  </si>
  <si>
    <t>Internal Model Document Structure &amp; Inventory</t>
  </si>
  <si>
    <t>Internal Model Expert Judgement Principles</t>
  </si>
  <si>
    <t>Calibration standards</t>
  </si>
  <si>
    <t>Guidelines on the use of internal models GL 28 - 30</t>
  </si>
  <si>
    <t>Profit and loss attribution</t>
  </si>
  <si>
    <t>Guidelines on the use of internal models GL 31</t>
  </si>
  <si>
    <t>P&amp;L Attribution results - Group / regional</t>
  </si>
  <si>
    <t>Validation standards</t>
  </si>
  <si>
    <t>Guidelines on the use of internal models GL 32 - 42</t>
  </si>
  <si>
    <t>Validation process Standard Operating Procedure</t>
  </si>
  <si>
    <t>Documentation standards</t>
  </si>
  <si>
    <t>Guidelines on the use of internal models GL 43 - 49</t>
  </si>
  <si>
    <t>Does a standards and expectations document exist?</t>
  </si>
  <si>
    <t>Internal Model Documentation Management Process</t>
  </si>
  <si>
    <t>Internal Model Governance Framework Group / regional</t>
  </si>
  <si>
    <t>Internal model change policy and procedures</t>
  </si>
  <si>
    <t>Internal Model Systems</t>
  </si>
  <si>
    <t>ESG Model Design</t>
  </si>
  <si>
    <t>Internal Model Systems Architecture</t>
  </si>
  <si>
    <t>External models and data</t>
  </si>
  <si>
    <t>Guidelines on the use of internal models GL 50 - 57</t>
  </si>
  <si>
    <t>Calculation of the Minimum Capital Requirement</t>
  </si>
  <si>
    <t>Transitional arrangements regarding compliance with the Minimum Capital Requirement</t>
  </si>
  <si>
    <t>Prudent person principle</t>
  </si>
  <si>
    <t>Guidelines on Systems of Governance GL 27 - 35</t>
  </si>
  <si>
    <t>Group liquidity risk management policy</t>
  </si>
  <si>
    <t>Group market risk management policy</t>
  </si>
  <si>
    <t>Financial control framework (UK investment portfolio)</t>
  </si>
  <si>
    <t>External fund managers arrangement (AXA)</t>
  </si>
  <si>
    <t>Freedom of investment</t>
  </si>
  <si>
    <t>Localisation of assets and prohibition of pledging of assets</t>
  </si>
  <si>
    <t>Identification and notification of deteriorating financial conditions by the insurance and reinsurance undertaking</t>
  </si>
  <si>
    <t>Non-Compliance with technical provisions</t>
  </si>
  <si>
    <t>Non-Compliance with the Solvency Capital Requirement</t>
  </si>
  <si>
    <t>Non-Compliance with the Minimum Capital Requirement</t>
  </si>
  <si>
    <t>Prohibition of free disposal of assets located within the territory of a Member State</t>
  </si>
  <si>
    <t>Supervisory powers in deteriorating financial conditions</t>
  </si>
  <si>
    <t>Recovery plan and finance scheme</t>
  </si>
  <si>
    <t>Withdrawal of authorisation</t>
  </si>
  <si>
    <t>Conditions for branch establishment</t>
  </si>
  <si>
    <t>N/A - org structure</t>
  </si>
  <si>
    <t>Communication of information</t>
  </si>
  <si>
    <t>Prior notification to the home Member State</t>
  </si>
  <si>
    <t>Notification by the home Member State</t>
  </si>
  <si>
    <t>Changes in the nature of the risks or commitments</t>
  </si>
  <si>
    <t>Compulsory insurance on third party motor vehicle liability</t>
  </si>
  <si>
    <t>Non-discrimination of persons pursuing claims</t>
  </si>
  <si>
    <t>Representative</t>
  </si>
  <si>
    <t>Language</t>
  </si>
  <si>
    <t>Prior notification and prior approval</t>
  </si>
  <si>
    <t>Insurance undertakings not complying with the legal provisions</t>
  </si>
  <si>
    <t>Advertising</t>
  </si>
  <si>
    <t>Taxes on premiums</t>
  </si>
  <si>
    <t>Reinsurance undertakings not complying with the legal provisions</t>
  </si>
  <si>
    <t>Statistical information on cross-border activities</t>
  </si>
  <si>
    <t>Winding-up of insurance undertakings</t>
  </si>
  <si>
    <t>Winding-up of reinsurance undertakings</t>
  </si>
  <si>
    <t>Principle of authorisation and conditions</t>
  </si>
  <si>
    <t>Scheme of operations of the branch</t>
  </si>
  <si>
    <t>Technical provisions</t>
  </si>
  <si>
    <t>Solvency Capital Requirement and Minimum Capital Requirement</t>
  </si>
  <si>
    <t>Advantages to undertakings authorised in more than one Member State</t>
  </si>
  <si>
    <t>Accounting, prudential and statistical information and undertakings in difficulty</t>
  </si>
  <si>
    <t>Separation of non-life and life business</t>
  </si>
  <si>
    <t>Withdrawal of authorisation for undertakings authorised in more than one Member State</t>
  </si>
  <si>
    <t>Agreements with third countries</t>
  </si>
  <si>
    <t>Equivalence</t>
  </si>
  <si>
    <t>Prohibition of pledging of assets</t>
  </si>
  <si>
    <t>Principle and conditions for conducting reinsurance activity</t>
  </si>
  <si>
    <t>Information from Member States to the Commission</t>
  </si>
  <si>
    <t>Third-country treatment of Community insurance and reinsurance undertakings</t>
  </si>
  <si>
    <t>Applicable Law</t>
  </si>
  <si>
    <t>Related obligations</t>
  </si>
  <si>
    <t>General good</t>
  </si>
  <si>
    <t>Non-life insurance</t>
  </si>
  <si>
    <t>Life insurance</t>
  </si>
  <si>
    <t>General Information for policy holders</t>
  </si>
  <si>
    <t>Additional information in the case of non-life insurance offered under the right of establishment or the freedom to provide services</t>
  </si>
  <si>
    <t>Information for policy holders</t>
  </si>
  <si>
    <t>Cancellation period</t>
  </si>
  <si>
    <t>Policy Conditions</t>
  </si>
  <si>
    <t>Abolition of monopolies</t>
  </si>
  <si>
    <t>Participation in national guarantee schemes</t>
  </si>
  <si>
    <t>Community co-insurance operations</t>
  </si>
  <si>
    <t>Participation in Community co-insurance</t>
  </si>
  <si>
    <t>Statistical data</t>
  </si>
  <si>
    <t>Treatment of co-insurance contracts in winding-up proceedings</t>
  </si>
  <si>
    <t>Exchange of information between supervisory authorities</t>
  </si>
  <si>
    <t>Cooperation on implementation</t>
  </si>
  <si>
    <t>Activities similar to tourist assistance</t>
  </si>
  <si>
    <t>Scope of this Section</t>
  </si>
  <si>
    <t>Separate contracts</t>
  </si>
  <si>
    <t>Management of claims</t>
  </si>
  <si>
    <t>Free choice of lawyer</t>
  </si>
  <si>
    <t>Exception to the free choice of lawyer</t>
  </si>
  <si>
    <t>Arbitration</t>
  </si>
  <si>
    <t>Conflict of interest</t>
  </si>
  <si>
    <t>Abolition of specialisation of legal expenses insurance</t>
  </si>
  <si>
    <t>Health insurance as an alternative to social security</t>
  </si>
  <si>
    <t>Compulsory insurance against accidents at work</t>
  </si>
  <si>
    <t>Prohibition on compulsory ceding of part of underwriting</t>
  </si>
  <si>
    <t>Premiums for new business</t>
  </si>
  <si>
    <t>Finite reinsurance</t>
  </si>
  <si>
    <t>Special purpose vehicles</t>
  </si>
  <si>
    <t>Guidelines on group solvency</t>
  </si>
  <si>
    <t>Cases of application of group supervision</t>
  </si>
  <si>
    <t>Scope of group supervision</t>
  </si>
  <si>
    <t>Ultimate parent undertaking at Community level</t>
  </si>
  <si>
    <t>Ultimate parent undertaking at national level</t>
  </si>
  <si>
    <t>Parent undertaking covering several Member States</t>
  </si>
  <si>
    <t>Supervision of group solvency</t>
  </si>
  <si>
    <t>Choice of method</t>
  </si>
  <si>
    <t>Inclusion of proportional share</t>
  </si>
  <si>
    <t>Elimination of double use of eligible own funds</t>
  </si>
  <si>
    <t>Elimination of the intra-group creation of capital</t>
  </si>
  <si>
    <t>Valuation</t>
  </si>
  <si>
    <t>Related insurance and reinsurance undertakings</t>
  </si>
  <si>
    <t>Intermediate insurance holding companies</t>
  </si>
  <si>
    <t>Related third-country insurance and reinsurance undertakings</t>
  </si>
  <si>
    <t>Related credit institutions, investment firms and financial institutions</t>
  </si>
  <si>
    <t>Non-availability of the necessary information</t>
  </si>
  <si>
    <t>Method 1 (Default method): Accounting consolidation-based method</t>
  </si>
  <si>
    <t>Internal Model</t>
  </si>
  <si>
    <t>Group capital add-on</t>
  </si>
  <si>
    <t>Method 2 (Alternative method): Deduction and aggregation method</t>
  </si>
  <si>
    <t>Group solvency of an insurance holding company</t>
  </si>
  <si>
    <t>Subsidiaries of an insurance or reinsurance undertaking: conditions</t>
  </si>
  <si>
    <t>Subsidiaries of an insurance or reinsurance undertaking: decision on the application</t>
  </si>
  <si>
    <t>Subsidiaries of an insurance or reinsurance undertaking: determination of the Solvency Capital Requirement</t>
  </si>
  <si>
    <t>Subsidiaries of an insurance or reinsurance undertaking: non-compliance with the Solvency and Minimum Capital Requirements</t>
  </si>
  <si>
    <t>Subsidiaries of an insurance or reinsurance undertaking: end of derogations for a subsidiary</t>
  </si>
  <si>
    <t>Subsidiaries of an insurance or reinsurance undertaking: implementing measures</t>
  </si>
  <si>
    <t>Review</t>
  </si>
  <si>
    <t>N/A - supervisory authority</t>
  </si>
  <si>
    <t>Subsidiaries of an insurance holding company</t>
  </si>
  <si>
    <t>Supervision of risk concentration</t>
  </si>
  <si>
    <t>Supervision of intra-group transactions</t>
  </si>
  <si>
    <t>Supervision of the system of governance</t>
  </si>
  <si>
    <t>Guidelines on Systems of Governance GL 65 - 70</t>
  </si>
  <si>
    <t>Group Supervisor</t>
  </si>
  <si>
    <t>Rights and duties of the group supervisor and the other supervisors College of supervisors</t>
  </si>
  <si>
    <t>Cooperation and exchange of information between supervisory authorities</t>
  </si>
  <si>
    <t>Consultation between supervisory authorities</t>
  </si>
  <si>
    <t>Requests from the group supervisor to other supervisory authorities</t>
  </si>
  <si>
    <t>Cooperation with authorities responsible for credit institutions and investment firms</t>
  </si>
  <si>
    <t>Professional secrecy and confidentiality</t>
  </si>
  <si>
    <t>Access to information</t>
  </si>
  <si>
    <t>Verification of information</t>
  </si>
  <si>
    <t>Group solvency and financial condition report</t>
  </si>
  <si>
    <t>Administrative, management or supervisory body of insurance holding companies</t>
  </si>
  <si>
    <t>Enforcement measures</t>
  </si>
  <si>
    <t>Reporting of CEIOPS</t>
  </si>
  <si>
    <t>Parent undertakings outside the Community: verification of equivalence</t>
  </si>
  <si>
    <t>Parent undertakings outside the Community: equivalence</t>
  </si>
  <si>
    <t>Parent undertakings outside the Community: absence of equivalence</t>
  </si>
  <si>
    <t>Parent undertakings outside the Community: levels</t>
  </si>
  <si>
    <t>Cooperation with third-country supervisory authorities</t>
  </si>
  <si>
    <t>Intra-group transactions</t>
  </si>
  <si>
    <t>Cooperation with third countries</t>
  </si>
  <si>
    <t>Scope of this Title</t>
  </si>
  <si>
    <t>N/A - reorganisation and winding up only</t>
  </si>
  <si>
    <t>Adoption of reorganisation measures applicable law</t>
  </si>
  <si>
    <t>Information to the supervisory authorities</t>
  </si>
  <si>
    <t>Publication of decisions on reorganisation measures</t>
  </si>
  <si>
    <t>Information to known creditors right to lodge claims</t>
  </si>
  <si>
    <t>Opening of winding-up proceedings information to the supervisory authorities</t>
  </si>
  <si>
    <t>Applicable law</t>
  </si>
  <si>
    <t>Treatment of insurance claims</t>
  </si>
  <si>
    <t>Special register</t>
  </si>
  <si>
    <t>Subrogation to a guarantee scheme</t>
  </si>
  <si>
    <t>Representation of preferential claims by assets</t>
  </si>
  <si>
    <t>Withdrawal of the authorisation</t>
  </si>
  <si>
    <t>Publication of decisions on winding-up proceedings</t>
  </si>
  <si>
    <t>Information to known creditors</t>
  </si>
  <si>
    <t>Right to lodge claims</t>
  </si>
  <si>
    <t>Languages and form</t>
  </si>
  <si>
    <t>Regular information to the creditors</t>
  </si>
  <si>
    <t>Effects on certain contracts and rights</t>
  </si>
  <si>
    <t>Rights in rem of third parties</t>
  </si>
  <si>
    <t>Reservation of title</t>
  </si>
  <si>
    <t>Set-off</t>
  </si>
  <si>
    <t>Regulated markets</t>
  </si>
  <si>
    <t>Detrimental acts</t>
  </si>
  <si>
    <t>Protection of third-party purchasers</t>
  </si>
  <si>
    <t>Lawsuits pending</t>
  </si>
  <si>
    <t>Administrators and liquidators</t>
  </si>
  <si>
    <t>Registration in a public register</t>
  </si>
  <si>
    <t>Treatment of branches of third-country insurance undertakings</t>
  </si>
  <si>
    <t>Right to apply to the courts</t>
  </si>
  <si>
    <t>Cooperation between the Member States and the Commission</t>
  </si>
  <si>
    <t>Euro</t>
  </si>
  <si>
    <t>Revision of amounts expressed in euro</t>
  </si>
  <si>
    <t>Committee procedure</t>
  </si>
  <si>
    <t>Notifications submitted prior to entry into force of the laws, regulations and administrative provisions necessary to comply with Articles 57 to 63</t>
  </si>
  <si>
    <t>Amendments to Directive 2003/41/EC</t>
  </si>
  <si>
    <t>Duration-based equity risk sub-module</t>
  </si>
  <si>
    <t>Derogations and abolition of restrictive measures</t>
  </si>
  <si>
    <t>Rights acquired by existing branches and insurance undertakings</t>
  </si>
  <si>
    <t>Transitional period for Articles 57(3) and 60(6) of Directive 2005/68/EC</t>
  </si>
  <si>
    <t>Right acquired by existing reinsurance undertakings</t>
  </si>
  <si>
    <t>Transposition</t>
  </si>
  <si>
    <t>Repeal</t>
  </si>
  <si>
    <t>Entry into force</t>
  </si>
  <si>
    <t>Addressees</t>
  </si>
  <si>
    <t>DELEGATED ACTS NOT ALIGNED TO L1 SII DIRECTIVE TEXT</t>
  </si>
  <si>
    <t>315 - 317</t>
  </si>
  <si>
    <t>304, 305, 307 - 311, 372</t>
  </si>
  <si>
    <t>257, 276, 278 - 286</t>
  </si>
  <si>
    <t>259 - 261, 269</t>
  </si>
  <si>
    <t>262, 306</t>
  </si>
  <si>
    <t>266, 270</t>
  </si>
  <si>
    <t>290 - 297, 301, 359, 365</t>
  </si>
  <si>
    <t>298, 302, 363, 369</t>
  </si>
  <si>
    <t>2, 7 - 16, 263, 267</t>
  </si>
  <si>
    <t>19 - 21</t>
  </si>
  <si>
    <t>80 - 81</t>
  </si>
  <si>
    <t>3 - 6, 83 - 89, 208 - 215, 285</t>
  </si>
  <si>
    <t>113 -203, 256</t>
  </si>
  <si>
    <t>25, 26, 206, 207</t>
  </si>
  <si>
    <t>90 - 112, 149</t>
  </si>
  <si>
    <t>216 - 220</t>
  </si>
  <si>
    <t>228 - 237</t>
  </si>
  <si>
    <t>241, 242</t>
  </si>
  <si>
    <t>243 - 246</t>
  </si>
  <si>
    <t>248 - 253</t>
  </si>
  <si>
    <t>254, 255</t>
  </si>
  <si>
    <t>288, 289</t>
  </si>
  <si>
    <t>360, 366, 374</t>
  </si>
  <si>
    <t>318 - 327</t>
  </si>
  <si>
    <t>328, 335 - 340, 343, 346, 356</t>
  </si>
  <si>
    <t>329 - 334, 344, 345, 347, 350</t>
  </si>
  <si>
    <t>378 - 380</t>
  </si>
  <si>
    <t>173, 300, 312, 313, 362, 368, 363</t>
  </si>
  <si>
    <t>Compliance</t>
  </si>
  <si>
    <t>Risk</t>
  </si>
  <si>
    <t>Audit</t>
  </si>
  <si>
    <t>Actuarial</t>
  </si>
  <si>
    <t>Reporting</t>
  </si>
  <si>
    <t>EMERIC REVIEW COLUMN</t>
  </si>
  <si>
    <t>RSA ownership - by business function</t>
  </si>
  <si>
    <t>NA</t>
  </si>
  <si>
    <t>Other - HR, legal, IT</t>
  </si>
  <si>
    <t>Investments</t>
  </si>
  <si>
    <t>Capital</t>
  </si>
  <si>
    <t>PA design assurance - Digest section 17 IA</t>
  </si>
  <si>
    <t>KPMG balance sheet review</t>
  </si>
  <si>
    <t>Deloitte policy review</t>
  </si>
  <si>
    <t>NA - reorganisation and winding up</t>
  </si>
  <si>
    <t>CGAC control reporting</t>
  </si>
  <si>
    <t>62 - 67, 79</t>
  </si>
  <si>
    <t>69 - 78, 80</t>
  </si>
  <si>
    <t>80 - 82</t>
  </si>
  <si>
    <t>draft RSR information</t>
  </si>
  <si>
    <t>CGAC review</t>
  </si>
  <si>
    <t>Draft AQRT</t>
  </si>
  <si>
    <t>Status of operational capabilities</t>
  </si>
  <si>
    <t>Meet requirements at 01/01/2016?</t>
  </si>
  <si>
    <t>Deloitte policy review (covering System of Governance annex pertaining to System of Governance requirements)</t>
  </si>
  <si>
    <t>Fit and proper policy
Regulatory Compliance Policy</t>
  </si>
  <si>
    <t>Fit and Proper Policy
Regulatory Compliance Policy</t>
  </si>
  <si>
    <t>System of Governance Document, including annex detailing the component parts of the System of Governance (Group and Entity)
Governance Maps (UK only)
Board minutes approving the System of Governance Document
Board Risk Committee pack
Board and Board Risk Committee minutes</t>
  </si>
  <si>
    <t>SoG Approval Process
CGAC control reporting</t>
  </si>
  <si>
    <t>Deloitte policy review (covering System of Governance annex pertaining to System of Governance requirements)
PwC review of governance control framework (Project OPAL)</t>
  </si>
  <si>
    <t>System of Governance Document, including annex detailing the component parts of the System of Governance (Group and Entity)
Internal Control Policy
Regulatory Compliance Policy</t>
  </si>
  <si>
    <t>Improvements Needed</t>
  </si>
  <si>
    <t xml:space="preserve">Fit and Proper policy to be implemented by end 2015
</t>
  </si>
  <si>
    <t>Internal Control Policy being approved by Sept BRC
Minor amendment being made to Compliance Policy - see art 41</t>
  </si>
  <si>
    <t>Significant Improvements Needed</t>
  </si>
  <si>
    <t>264, 265, 272</t>
  </si>
  <si>
    <t>Group internal audit review
Deloitte policy review</t>
  </si>
  <si>
    <t>Board review</t>
  </si>
  <si>
    <t>Risk assurance on capital report and operating plan</t>
  </si>
  <si>
    <t>Independent internal review</t>
  </si>
  <si>
    <t>Ready</t>
  </si>
  <si>
    <t>Application document</t>
  </si>
  <si>
    <t>risk assurance</t>
  </si>
  <si>
    <t>Board approved
IMGC review</t>
  </si>
  <si>
    <t>IMGC review</t>
  </si>
  <si>
    <t>Internal model validation</t>
  </si>
  <si>
    <t>Model change log</t>
  </si>
  <si>
    <t>IMGC review
Board approval</t>
  </si>
  <si>
    <t>BRC, Board ToRs
Committees minutes</t>
  </si>
  <si>
    <t>Committees annual self assessment</t>
  </si>
  <si>
    <t>internal model validation</t>
  </si>
  <si>
    <t>internal model validation
IMGC review</t>
  </si>
  <si>
    <t>Internal model validation report</t>
  </si>
  <si>
    <t>Finance</t>
  </si>
  <si>
    <t>GIA review</t>
  </si>
  <si>
    <t>Internal model Validation report</t>
  </si>
  <si>
    <t>IMGC review
BRC review</t>
  </si>
  <si>
    <t>IMAP process</t>
  </si>
  <si>
    <t>IM validation</t>
  </si>
  <si>
    <t>IMGC review
Internal model technical working group</t>
  </si>
  <si>
    <t>Risk policies are updated to close gaps identified during Deloitte's policy review, presented to the September BRC
Risk management procedure document presented to the BRC in September for approval</t>
  </si>
  <si>
    <t>Guidelines on Systems of Governance GL 17 - 26, 67-70</t>
  </si>
  <si>
    <t>PISA risk assessment to GAC
Control reports
BRC reports
Integrated assurance report
Group business strategy and risk appetite document refresh
BRC &amp; GAMC - Investment Limits
Stress &amp; scenario testing reports
Model change log
Model validation report</t>
  </si>
  <si>
    <t xml:space="preserve">CGAC control reporting
GAC review of PISA risk assessment
BRC review of risk profiles
Regional controls committees
Regional risk committees
IMGC review
</t>
  </si>
  <si>
    <t>ad hoc GIA reviews
IM Validation</t>
  </si>
  <si>
    <t>N/A</t>
  </si>
  <si>
    <t>Team responsible for making application for major change to be identified
Policy finalisation pending feedback from the PRA during the approval process</t>
  </si>
  <si>
    <t>ORSA policy to be finalised and approved by the BRC
Planning process to be amended to reflect ORSA requirements</t>
  </si>
  <si>
    <t>GAC review</t>
  </si>
  <si>
    <t>Group Audit Plan
Audit reports</t>
  </si>
  <si>
    <t xml:space="preserve">GL 46 - 51, 53 (System of Governance)
GL 8 - 14 (Technical Provisions)
GL 83 - 85, 86, 88
</t>
  </si>
  <si>
    <t xml:space="preserve">2014 draft approved by the Design Authority; reviewed by Deloitte
KPMG balance sheet review
KPMG balance sheet review
KPMG balance sheet review
</t>
  </si>
  <si>
    <t xml:space="preserve">Annually approval of Actuarial Function Terms of Reference by CGAC and BRC
BAU governance processes and Control Environment
</t>
  </si>
  <si>
    <t>BAU audit by external auditors</t>
  </si>
  <si>
    <t>17, 18, 22, 23, 27 - 30, 32 - 37, 38 - 40, 43 - 54, 56, 57, 58, 59, 60, 61, 181</t>
  </si>
  <si>
    <t>GL 68, 38, 39, 40, 31, 63, 64, 65, 66, 67, 44 - 51, 53 - 60, 69 - 77, 82
PRA SS5/14</t>
  </si>
  <si>
    <t>KPMG balance sheet review
KPMG balance sheet review
KPMG balance sheet review</t>
  </si>
  <si>
    <t>Basis of Preparation Document
Process for Group consolidation
Insert RSA Re docs</t>
  </si>
  <si>
    <t>BAU Control Environment</t>
  </si>
  <si>
    <t>24, 25, 31</t>
  </si>
  <si>
    <t>GL 41, 43, 26, 28 - 34, 15, 16, 27, 35 - 37, 24, 25</t>
  </si>
  <si>
    <t>GL 17 - 23</t>
  </si>
  <si>
    <t>Status (where there is a gap - including People, Process, IT)</t>
  </si>
  <si>
    <t>41, 42</t>
  </si>
  <si>
    <t>GL 78 - 81</t>
  </si>
  <si>
    <t>Data quality policy
Data limitations log
Group data quality assessment tool
Group Data Quality Assessment Report</t>
  </si>
  <si>
    <t>GL 87</t>
  </si>
  <si>
    <t>Actual vs. Expected process
Actuarial Function Report</t>
  </si>
  <si>
    <t>AvE process to be defined and implemented</t>
  </si>
  <si>
    <t>Actuarial Function Report</t>
  </si>
  <si>
    <t>N/A regulator request</t>
  </si>
  <si>
    <t>274 (4h &amp; 4i)</t>
  </si>
  <si>
    <t>Contracts containing appropriate SII wording</t>
  </si>
  <si>
    <t>N/A - Regulatory statement only</t>
  </si>
  <si>
    <t>258, 268, 275</t>
  </si>
  <si>
    <t>Guidelines on Systems of Governance GL 1- 10</t>
  </si>
  <si>
    <t>Guidelines on Systems of Governance GL 11 - 16</t>
  </si>
  <si>
    <t>N/A - relates to regulator to regulator protocols</t>
  </si>
  <si>
    <t>274 (excl. 4h &amp; 4i)</t>
  </si>
  <si>
    <t xml:space="preserve">Third party contracts policy (TPCP)
</t>
  </si>
  <si>
    <t>BAU gap analysis and remediation of external outsourcing arrangements (procurement)</t>
  </si>
  <si>
    <t>Internal and external outsourcing agreements</t>
  </si>
  <si>
    <t>Outsourcing agreement templates</t>
  </si>
  <si>
    <t>Confirmed as Solvency II compliant by Pinsent Mason</t>
  </si>
  <si>
    <t>N/A - no entities conducting life and non-life</t>
  </si>
  <si>
    <t>N/A at Group. Scandi to confirm</t>
  </si>
  <si>
    <t>Compliance Policy
Capital Management Policy</t>
  </si>
  <si>
    <t>N/A - no risk function not centralised</t>
  </si>
  <si>
    <t>Group ORSA Report</t>
  </si>
  <si>
    <t xml:space="preserve">Group Risk Management Procedures </t>
  </si>
  <si>
    <t>NA - Standard Formula</t>
  </si>
  <si>
    <t>BRC review</t>
  </si>
  <si>
    <t>draft RSR</t>
  </si>
  <si>
    <t>Draft RSR responsibility matrix</t>
  </si>
  <si>
    <t>draft SFCR</t>
  </si>
  <si>
    <t>Draft QQRT</t>
  </si>
  <si>
    <t>Quarterly QRT: drafted and dry run, process and people gaps</t>
  </si>
  <si>
    <t>Annual QRT: drafted and dry run, process and people gaps, IT infrastructure not yet ready, data requirements to be defined</t>
  </si>
  <si>
    <t>External audit for parts of it</t>
  </si>
  <si>
    <t>SFCR reporting process</t>
  </si>
  <si>
    <t>RSR reporting procedure</t>
  </si>
  <si>
    <t>draft RSR to be  populated and gaps to be confirmed</t>
  </si>
  <si>
    <t>Condition and process for SFCR updates outside the annual process are to be defined</t>
  </si>
  <si>
    <t>Process not defined yet, needs to be defined</t>
  </si>
  <si>
    <t xml:space="preserve">
KPMG balance sheet review
</t>
  </si>
  <si>
    <t>draft SFCR structure defined, and draft SFCR being prepared
Process to produce in BaU, inc timing and systems, not finalised</t>
  </si>
  <si>
    <t>GAC review
Disclosure review</t>
  </si>
  <si>
    <t>QRTs</t>
  </si>
  <si>
    <t>QRTs
Capital report
SFCR</t>
  </si>
  <si>
    <t>Capital management policy
Basis of preparation document
QRTs
Capital report
SFCR</t>
  </si>
  <si>
    <t>process for feeding into AQRT and SFCR to be defined</t>
  </si>
  <si>
    <t>Guidelines on Systems of Governance GL 36 - 37
Guidelines on ancillary own funds
Guidelines on classification of own funds</t>
  </si>
  <si>
    <t>Guidelines on ancillary own funds
Guidelines on classification of own funds</t>
  </si>
  <si>
    <t>Process for quarterly and monthly calculation are not finalised</t>
  </si>
  <si>
    <t>IMGC</t>
  </si>
  <si>
    <t>policies are updated to close gaps identified during Deloitte's policy review, presented to the September BRC</t>
  </si>
  <si>
    <t xml:space="preserve">System of Governance Document, including annex detailing the component parts of the System of Governance (Group and Entity)
SoG Approval Process
Governance Maps (UK only)
Board minutes approving the System of Governance Document
Board Risk Committee pack
Board and Board Risk Committee minutes
</t>
  </si>
  <si>
    <t xml:space="preserve">System of Governance Document, including annex detailing the component parts of the System of Governance (Group and Entity)
Internal Control Policy
Regulatory Compliance Policy
</t>
  </si>
  <si>
    <t xml:space="preserve">GIA Charter
Group Audit Committee Terms of Reference (Section 10.4 ‘Internal Audit’
Organisation chart
All GIA staff are required to confirm their independence on an annual basis
The GIA effectiveness review performed by EY concluded that GIA was independent &amp; objective
GIA Annual Plan Process 
GIA Audit Manual
GIA Annual Plan
GIA quarterly report to the GAC
</t>
  </si>
  <si>
    <t xml:space="preserve">Group Actuarial Function Terms of Reference
Group Actuarial Function Report
Quarterly Technical Provisions results - Group, RSAI plc, RSA RE
Annual Technical Provisions results - Group, RSAI plc, RSA RE
Group Assurance Document
Standards &amp; expectations document
Basis of Preparation Document
Data Policy
Data limitations log
Group data quality assessment tool
Group Data Quality Assessment Report
Process for the assessment of IT systems used in the calculation of technical provisions
Group Reserving Policy
</t>
  </si>
  <si>
    <t xml:space="preserve">Minor amendments being made for 2015
Draft Group 2015 report. Resource required to deliver in BAU
Annual process including Actuarial Function Report
Resource to manage in BAU
Resource to manage in BAU; migration of tool from Lotus Notes
Draft 2015 report. Resource required to deliver in BAU
Gap identified by PA Consulting
Policy text and controls being updated and presented to Sept BRC
</t>
  </si>
  <si>
    <t>Group Actuarial Function Terms of Reference
Actuarial Function Reports - Group, RSAI plc, RSA RE
Group Reserving Policy
Reserving Committee minutes
Audit Committee minutes
Board minutes (Group and UK Cluster Board)
Minutes of AF meetings 
Outcomes from Group assurance reviews
Quarterly Technical Provisions results - Group, RSAI plc, RSA RE 
Annual Technical Provisions results - Group, RSAI plc, RSA RE
Data Policy
Data limitations log
Group Data Quality Assessment Report</t>
  </si>
  <si>
    <r>
      <rPr>
        <sz val="10"/>
        <rFont val="Arial"/>
        <family val="2"/>
      </rPr>
      <t>Basis of Preparation Document
Process for Group consolidation
Insert RSA Re docs</t>
    </r>
    <r>
      <rPr>
        <strike/>
        <sz val="10"/>
        <rFont val="Arial"/>
        <family val="2"/>
      </rPr>
      <t xml:space="preserve">
</t>
    </r>
  </si>
  <si>
    <r>
      <t xml:space="preserve">Basis of Preparation Document
Process for Group consolidation
Insert RSA Re docs
</t>
    </r>
    <r>
      <rPr>
        <strike/>
        <sz val="10"/>
        <rFont val="Arial"/>
        <family val="2"/>
      </rPr>
      <t xml:space="preserve">
</t>
    </r>
  </si>
  <si>
    <r>
      <t>Basis of Preparation Document
Process for Group consolidation
Insert RSA Re docs</t>
    </r>
    <r>
      <rPr>
        <strike/>
        <sz val="10"/>
        <rFont val="Arial"/>
        <family val="2"/>
      </rPr>
      <t xml:space="preserve">
</t>
    </r>
  </si>
  <si>
    <t xml:space="preserve">Basis of Preparation Document
Process for Group consolidation
Insert RSA Re docs
</t>
  </si>
  <si>
    <t>Model Development Log 
Internal Model Change Policy
Model change log</t>
  </si>
  <si>
    <t>Validation process Standard Operating Procedure
Internal Model Validation policy
Annual Validation report to Boards / BRC
Model Change Log and supporting papers of significant changes
IMGC minutes 
Internal Model validation approach</t>
  </si>
  <si>
    <t xml:space="preserve">Group System of Governance document
Internal Control Policy
ORSA Policy
</t>
  </si>
  <si>
    <t xml:space="preserve">Basis of Preparation Document
</t>
  </si>
  <si>
    <t xml:space="preserve">Review by risk, and clear allocation of responsibilities
</t>
  </si>
  <si>
    <t>L1 requirements not relevant to RSA's SII response and rationale</t>
  </si>
  <si>
    <t>System of Governance document is being presented to BRC in Sept as a final draft for Board approval in Oct. Not all components have been reviewed by Deloitte
Enhanced SoG approval process meeting SII requirements rolled out in 2016
Policies, where there are gaps, are being updated and presented to the Sept BRC
Governance mapping activity ongoing at Group throughout Q3</t>
  </si>
  <si>
    <t>To review in BOP:
Future management actions
Other things to review:
OCR reporting IBNER, IBNYR</t>
  </si>
  <si>
    <t>Documentation of compliance with the requirements to be defined
BaU operating  model to be defined</t>
  </si>
  <si>
    <t>IMAP capital model report - group / regional</t>
  </si>
  <si>
    <t>Internal model documentation inventory (Yvonne Di Renzo)</t>
  </si>
  <si>
    <t>Group risk appetite and strategy document</t>
  </si>
  <si>
    <t>Holmia only</t>
  </si>
  <si>
    <t>Evidence to be determined</t>
  </si>
  <si>
    <t>N/A - regulator only</t>
  </si>
  <si>
    <t>Strategy</t>
  </si>
  <si>
    <t>Assess requirement and determine if formal response required, e.g. a procedure</t>
  </si>
  <si>
    <t xml:space="preserve">ORSA policy
ORSA report
Board papers with ORSA flags
Board minutes where ORSA is approved
Capital report
Quarterly reserves assurance report
</t>
  </si>
  <si>
    <t>ORSA report
ORSA flags
Capital report
Operating plan document
Quarterly reserves review</t>
  </si>
  <si>
    <t>Significant Gap</t>
  </si>
  <si>
    <t>Minor Gap</t>
  </si>
  <si>
    <t>No Gap</t>
  </si>
  <si>
    <t>See article 48</t>
  </si>
  <si>
    <t xml:space="preserve">QRT for SCR
ORSA policy
Capital management policy
</t>
  </si>
  <si>
    <t>222, 223, 226</t>
  </si>
  <si>
    <t>See article 48 - Actuarial Function</t>
  </si>
  <si>
    <t>No gap at Group as it does not issue policy documents. Gap to be determined regionally following guidance from Group Compliance</t>
  </si>
  <si>
    <t>QRTs
Capital report
SFCR</t>
  </si>
  <si>
    <t xml:space="preserve">P&amp;L attribution Methodology and process to be refined as a full economic plan is available
</t>
  </si>
  <si>
    <t xml:space="preserve">P&amp;L Attribution results - Group / regional
P&amp;L attribution process
</t>
  </si>
  <si>
    <t>CGAC approach on ownership of the Third Party Contracts policy to be implemented</t>
  </si>
  <si>
    <t xml:space="preserve">
Confirm link between Capital &amp; Compliance in Capital Mgt Policy</t>
  </si>
  <si>
    <t>See L1 Art 244, 245
Review requirements and ensure evidence is appropriate</t>
  </si>
  <si>
    <t xml:space="preserve">
GAMC TOR, Investment Mandate and Limits
Group business strategy and risk appetite documentBoard risk induction, Solvency II training
Scandinavian Registration of Assets Policy
</t>
  </si>
  <si>
    <t xml:space="preserve">Reserving / insurance risk policy, Underwriting Policy, Market Risk Policy, Liquidity Risk Policy, Operational Risk Policy, Reinsurance Risk Policy, Reinsurance Credit Risk Policy
System of Governance documents at Group and within Entities
Risk management procedure document
GCC risk committee papers and minutes
GAMC papers and minutes
BRC papers and minutes
PISA scores
Capital Model Methods used to calculate the PDF of Basic Own Funds
Structural Design of the Calculation Kernel
Model Documentation &amp; Model Change Log
IMGC ToR
Group CRO and Risk Directors TORs
Observations Log, status updates
Stress and scenario testing reports
</t>
  </si>
  <si>
    <t xml:space="preserve">Deloitte policy review
2013 PwC review / 2012 E&amp;Y Review
PA design assurance - digest section 14
GIA PISA review
Iterative process with the PRA
</t>
  </si>
  <si>
    <t>Capital Model Methods used to calculate the PDF of Basic Own Funds
Structural Design of the Calculation Kernel</t>
  </si>
  <si>
    <t xml:space="preserve">Capital management policy
Basis of preparation document
QRTs
Capital report
</t>
  </si>
  <si>
    <t xml:space="preserve">Capital management policy
Basis of preparation document
QRTs
Capital report
</t>
  </si>
  <si>
    <t>External annual audit</t>
  </si>
  <si>
    <t>Standard Formula co only</t>
  </si>
  <si>
    <t>N/A - Group only</t>
  </si>
  <si>
    <t>N/A - Internal Model co</t>
  </si>
  <si>
    <t>Guidelines on ancillary own funds, Guidelines on group solvency</t>
  </si>
  <si>
    <t xml:space="preserve">Guidelines on the use of internal models GL 58 - 64, Guidelines on ancillary own funds, Guidelines on group solvency
</t>
  </si>
  <si>
    <t>N/A - Holmia only</t>
  </si>
  <si>
    <t>N/a - Holmia only</t>
  </si>
  <si>
    <t>Response in CAP to be added</t>
  </si>
  <si>
    <t>Top Line</t>
  </si>
  <si>
    <t>Gaps</t>
  </si>
  <si>
    <t>Ownership</t>
  </si>
  <si>
    <t>Total</t>
  </si>
  <si>
    <t>Status</t>
  </si>
  <si>
    <t>Red</t>
  </si>
  <si>
    <t>Amber</t>
  </si>
  <si>
    <t>Green</t>
  </si>
  <si>
    <t>RAG</t>
  </si>
  <si>
    <t>L1 requirements not relevant</t>
  </si>
  <si>
    <t>Status of capabilities</t>
  </si>
  <si>
    <t>Status (where there is a gap)</t>
  </si>
  <si>
    <t>Total Gaps</t>
  </si>
  <si>
    <t>Blue</t>
  </si>
  <si>
    <t>Priority</t>
  </si>
  <si>
    <t>Priotiy</t>
  </si>
  <si>
    <t>Blanks</t>
  </si>
  <si>
    <t>Applicable</t>
  </si>
  <si>
    <t>Non applicable</t>
  </si>
  <si>
    <t>Title</t>
  </si>
  <si>
    <t>#</t>
  </si>
  <si>
    <t>Operational Capabilities</t>
  </si>
  <si>
    <t>Article #</t>
  </si>
  <si>
    <t>Blank</t>
  </si>
  <si>
    <t>No.</t>
  </si>
  <si>
    <t>Business Function</t>
  </si>
  <si>
    <t>Reviewed</t>
  </si>
  <si>
    <t>Understood</t>
  </si>
  <si>
    <t>Relevant L1 Articles</t>
  </si>
  <si>
    <t>Complete</t>
  </si>
  <si>
    <t>Yes</t>
  </si>
  <si>
    <t>Relevant L2 Articles</t>
  </si>
  <si>
    <t>Relevant L3 Guidelines</t>
  </si>
  <si>
    <t>Available</t>
  </si>
  <si>
    <t>Localised</t>
  </si>
  <si>
    <t>Provide commentary if Group inputs are amended</t>
  </si>
  <si>
    <t>No</t>
  </si>
  <si>
    <t>GL 46 - 51, 53 (System of Governance)
GL 8 - 14 (Technical Provisions)
GL 83 - 85, 86, 88</t>
  </si>
  <si>
    <t>Quarterly Technical Provisions results
Annual Technical Provisions results
Standards &amp; expectations document
Basis of Preparation Document
Data Quality Assessment Report
Process for the assessment of IT systems used in the calculation of technical provisions
Ireland Reserving Policy</t>
  </si>
  <si>
    <t>PwC 2014Q3 technical provisions review
KPMG balance sheet review</t>
  </si>
  <si>
    <t>Annual process relating to production of Actuarial Function Report
Resources to complete documenation and AF Report</t>
  </si>
  <si>
    <t>Ireland Actuarial Function Terms of Reference
Ireland Actuarial Function Reports
Ireland Reserving Policy
Ireland Reserving Committee minutes
Ireland Audit Committee minutes
Ireland Board minutes
Quarterly Technical Provisions results
Annual Technical Provisions results
Ireland Data Quality Assessment Report</t>
  </si>
  <si>
    <t>Annual approval of Actuarial Function Terms of Reference by CGAC and BRC
BAU governance processes and Control Environment</t>
  </si>
  <si>
    <t>Added PwC review where appropriate</t>
  </si>
  <si>
    <t>To consider for possible refinement:
1. Expense provisions
2. Bound but not incepted policies
3. Salvage and subrogation cash in-flows
4. SRV currency split
5. Timing of reinsurance cashflows
6. More accurate allowance for possible PPO claims</t>
  </si>
  <si>
    <t xml:space="preserve">To consider for possible refinement:
1. Expense provisions
</t>
  </si>
  <si>
    <t>To consider for possible refinement:
1. Timing of reinsurance cashflows</t>
  </si>
  <si>
    <t xml:space="preserve">Existing evidence Capital Report not available for Ireland; Post-implementation BAU compliance added. </t>
  </si>
  <si>
    <t>Existing evidence Capital Report not available for Ireland ; PwC review of SF calcs ; Post -implementation BAU compliance added</t>
  </si>
  <si>
    <t>CMC Review</t>
  </si>
  <si>
    <t>Compliance details updated in relation to Std Formula</t>
  </si>
  <si>
    <t>Existing evidence Capital Report not available for Ireland ; Compliance details updated in relation to Std Formula ; Minor Gap in relation to PPOs.</t>
  </si>
  <si>
    <t>Existing evidence Capital Report not available for Ireland ; Compliance details updated in relation to Std Formula</t>
  </si>
  <si>
    <t>CMC Review; External Audit in relation of SF</t>
  </si>
  <si>
    <t>Minor Gap, status commentary unchanged.  CMC Review, External Audit in relation to SF</t>
  </si>
  <si>
    <t>Capital report
SFCR (from 2017)
RCR (from 2017)
Process Document</t>
  </si>
  <si>
    <t>Internal model validation
BAU audit of SF by external auditors</t>
  </si>
  <si>
    <t xml:space="preserve">SF calculations spreadsheets
Capital Model: Scope of the Internal Model
Capital Model: Structural Design of the Calculation Kernel
Capital Model: Methods used to Calculate the PDF of Basic Own Funds
</t>
  </si>
  <si>
    <t>PwC review of SF calcs</t>
  </si>
  <si>
    <t xml:space="preserve">   </t>
  </si>
  <si>
    <t>QRT for SCR
ORSA policy
Capital management policy</t>
  </si>
  <si>
    <t>(SF) Process for quarterly and monthly calculation are not finalised</t>
  </si>
  <si>
    <t>QRTs
Process Document</t>
  </si>
  <si>
    <t xml:space="preserve">SF calculation spreadsheets
</t>
  </si>
  <si>
    <t>Assumed this adjustment will be calculated by GCC and provided to regions</t>
  </si>
  <si>
    <t>Capital report
SFCR</t>
  </si>
  <si>
    <t>Basis of preparation document
Capital management policy</t>
  </si>
  <si>
    <t xml:space="preserve">KPMG balance sheet review </t>
  </si>
  <si>
    <t xml:space="preserve"> </t>
  </si>
  <si>
    <t>BAU audit of SF by external auditors</t>
  </si>
  <si>
    <t>Deloitte policy review   Confirmed as Solvency II compliant by Pinsent Mason</t>
  </si>
  <si>
    <t xml:space="preserve">PISA Process   </t>
  </si>
  <si>
    <t>Existing Evidence</t>
  </si>
  <si>
    <t>Solvency II Requirements</t>
  </si>
  <si>
    <t>BRC;
CMC;
Investment Limits;
Liquidity risk policy;
Credit risk policy;
Risk appetite and strategy document;
Market risk policy;
Financial control framework (Ireland investment portfolio),;
Investments Strategy document; &amp;
TOR External fund managers arrangement (AXA).</t>
  </si>
  <si>
    <t>Deloitte policy review.</t>
  </si>
  <si>
    <t>Where necessary policies will be updated to close gaps identified during Deloitte's policy review and presented to the BRC for approval and implementation.</t>
  </si>
  <si>
    <t>BRC;
CMC;
Investment Limits;
Liquidity risk policy;
Credit risk policy;
Risk appetite and strategy document;
Market risk policy;
Financial control framework (Ireland investment portfolio);
Investments Strategy document; &amp;
TOR External fund managers arrangement (AXA).</t>
  </si>
  <si>
    <t>Liquidity risk policy;
Credit risk policy;
Risk appetite and strategy document;
Market risk policy;
Financial control framework (Ireland investment portfolio);
Investments Strategy document; &amp;
TOR External fund managers arrangement (AXA)</t>
  </si>
  <si>
    <t>Draft RSR information;
Draft Quarterly QRT's Dry Runs;
Draft Annual QRT's Dry Runs; &amp;
Interim Reporting submitted to CBI &amp; EIOPA.</t>
  </si>
  <si>
    <t>Draft RSR; &amp;
Draft RSR responsibility matrix.</t>
  </si>
  <si>
    <t>Draft RSR to be  populated and gaps to be confirmed;
Quarterly QRT's - drafted and dry run, process and people gaps;
Annual QRT's - drafted and dry run, process and people gaps;
IT infrastructure not yet ready; &amp;
Data requirements to be defined.</t>
  </si>
  <si>
    <t>RSR reporting procedure; &amp;
ORSA reporting procedure.</t>
  </si>
  <si>
    <t>Draft SFCR; &amp;
Draft SFCR responsibility matrix.</t>
  </si>
  <si>
    <t>Draft SFCR structure defined and draft SFCR being prepared; &amp;
Process to produce in BaU, inc timing and systems, not finalised.</t>
  </si>
  <si>
    <t>SFCR reporting procedure.</t>
  </si>
  <si>
    <t>Process not defined yet, needs to be defined; &amp;
Policy to be drafted once process defined.</t>
  </si>
  <si>
    <t>SFCR reporting Policy</t>
  </si>
  <si>
    <t>Expanded the level of reviewers to include CMC, Audit Commitee &amp; the Board.</t>
  </si>
  <si>
    <t>Process for feeding into Annual &amp; Quarterly QRT's and SFCR to be defined.</t>
  </si>
  <si>
    <t>CMC;
Audit Committee;
Board; &amp;
BRC.</t>
  </si>
  <si>
    <t>BAU audit by external auditors.</t>
  </si>
  <si>
    <t>Referenced Interim Reporting to CBI in Current Evidence; and
Referenced ORSA reporting process in Future Evidence.</t>
  </si>
  <si>
    <t>Referenced Interim Reporting to CBI in Current Evidence; &amp;
Amended the Gap to be "Significant" from "Minor" to conform to the RSR.</t>
  </si>
  <si>
    <t>BAU Evidence reflected as SFCR Policy that is specifically requested not SFCR Process as per original.</t>
  </si>
  <si>
    <t>Article 267 of Level 2 (sub paragraph 2) requires a Valuation Policy, consequently there is a Gap however this can be rectified by converting the "Basis of Preparation" document to a Policy Document.</t>
  </si>
  <si>
    <t>CMC;
Board;
BRC;
Audit Committee; &amp;
Controls Committee.</t>
  </si>
  <si>
    <t>PISA;
Control Committee Reports;
BRC Reports;
Risk Department reviews;
GIA Reviews; &amp;
BAU audit by External Auditors.</t>
  </si>
  <si>
    <t>Board;
Audit Committee;
BRC; &amp;
Controls Committee</t>
  </si>
  <si>
    <t>BRC Reports;
Risk &amp; Compliance Department Reviews;
GIA Reviews; &amp;
External audit for parts of it.</t>
  </si>
  <si>
    <t>Draft SFCR information;
Draft Quarterly QRT's Dry Runs;
Draft Annual QRT's Dry Runs; &amp;
Interim Reporting submitted to CBI &amp; EIOPA.</t>
  </si>
  <si>
    <t>Change "Basis of Preparation" document to a Policy Document.</t>
  </si>
  <si>
    <t>Valuation Policy</t>
  </si>
  <si>
    <t>Board;
CMC;
Audit Committee;
BRC;
Controls Committee; &amp;
BAU Control Environment.</t>
  </si>
  <si>
    <t>BRC Reports;
Risk &amp; Compliance Department Reviews;
GIA Reviews; &amp;
BAU audit by external auditors.</t>
  </si>
  <si>
    <t>All Group approved artifacts (policies etc) are localised, approved and implemented</t>
  </si>
  <si>
    <t>Capital (Finance)</t>
  </si>
  <si>
    <t xml:space="preserve">Policy </t>
  </si>
  <si>
    <t>Current</t>
  </si>
  <si>
    <t xml:space="preserve">Version </t>
  </si>
  <si>
    <t>Executive</t>
  </si>
  <si>
    <t xml:space="preserve">Owner </t>
  </si>
  <si>
    <t>Overall</t>
  </si>
  <si>
    <t xml:space="preserve">RSA Ireland Managing Owner </t>
  </si>
  <si>
    <t>RSA NI</t>
  </si>
  <si>
    <t xml:space="preserve">Managing Owner </t>
  </si>
  <si>
    <t>123.ie</t>
  </si>
  <si>
    <t xml:space="preserve">Insurance Risk </t>
  </si>
  <si>
    <t xml:space="preserve">Enda Brazel </t>
  </si>
  <si>
    <t>M Blackburn /</t>
  </si>
  <si>
    <t xml:space="preserve">B Costello </t>
  </si>
  <si>
    <t xml:space="preserve">Neal Brown </t>
  </si>
  <si>
    <t xml:space="preserve">N/A </t>
  </si>
  <si>
    <t xml:space="preserve">Claims </t>
  </si>
  <si>
    <t xml:space="preserve">Geoff Jones </t>
  </si>
  <si>
    <t xml:space="preserve">Garrett Walsh </t>
  </si>
  <si>
    <t xml:space="preserve">Celine Gillen </t>
  </si>
  <si>
    <t xml:space="preserve">Reinsurance </t>
  </si>
  <si>
    <t xml:space="preserve">Kerry McConnell </t>
  </si>
  <si>
    <t xml:space="preserve">Eileen O’Brien* </t>
  </si>
  <si>
    <t xml:space="preserve">Reserving </t>
  </si>
  <si>
    <t xml:space="preserve">Ferghal O’Regan </t>
  </si>
  <si>
    <t xml:space="preserve">Underwriting </t>
  </si>
  <si>
    <t xml:space="preserve">Credit Risk </t>
  </si>
  <si>
    <t>Kerry McConnell</t>
  </si>
  <si>
    <t xml:space="preserve">Carl Strickland </t>
  </si>
  <si>
    <t xml:space="preserve">Des Doherty </t>
  </si>
  <si>
    <t xml:space="preserve">Garrett Owens </t>
  </si>
  <si>
    <t xml:space="preserve">Insurance Operations Credit Risk </t>
  </si>
  <si>
    <t xml:space="preserve">Reinsurance Credit Risk </t>
  </si>
  <si>
    <t xml:space="preserve">Eileen O’Brien </t>
  </si>
  <si>
    <t xml:space="preserve">Market Risk </t>
  </si>
  <si>
    <t xml:space="preserve">Evan Loftus </t>
  </si>
  <si>
    <t xml:space="preserve">Liquidity Risk </t>
  </si>
  <si>
    <t xml:space="preserve">Controllership </t>
  </si>
  <si>
    <t xml:space="preserve">Operational Risk </t>
  </si>
  <si>
    <t xml:space="preserve">Keith Kiernan </t>
  </si>
  <si>
    <t xml:space="preserve">Vincent McIvor </t>
  </si>
  <si>
    <t xml:space="preserve">Leah Ward </t>
  </si>
  <si>
    <t xml:space="preserve">Acceptable Usage Policy </t>
  </si>
  <si>
    <t xml:space="preserve">Dualta Currie </t>
  </si>
  <si>
    <t xml:space="preserve">Ken Ryan </t>
  </si>
  <si>
    <t xml:space="preserve">AML &amp; Sanctions </t>
  </si>
  <si>
    <t xml:space="preserve">Natacha Craven </t>
  </si>
  <si>
    <t>John Beadle</t>
  </si>
  <si>
    <t xml:space="preserve">Anti Corruption Compliance </t>
  </si>
  <si>
    <t xml:space="preserve">?? </t>
  </si>
  <si>
    <t xml:space="preserve">Declan Hickey </t>
  </si>
  <si>
    <t xml:space="preserve">Broker Remuneration </t>
  </si>
  <si>
    <t xml:space="preserve">Darren O’Neill </t>
  </si>
  <si>
    <t xml:space="preserve">Colin Moynagh </t>
  </si>
  <si>
    <t xml:space="preserve">Business Continuity Management </t>
  </si>
  <si>
    <t xml:space="preserve">Community &amp; Charitable </t>
  </si>
  <si>
    <t xml:space="preserve">Elaine Loftus </t>
  </si>
  <si>
    <t xml:space="preserve">Competition Law </t>
  </si>
  <si>
    <t>Keith Kiernan</t>
  </si>
  <si>
    <t xml:space="preserve">James Murray </t>
  </si>
  <si>
    <t xml:space="preserve">Richard Glavin </t>
  </si>
  <si>
    <t xml:space="preserve">Conflicts of Interest, Hospitality &amp; Gifts </t>
  </si>
  <si>
    <t xml:space="preserve">Wendy Cree </t>
  </si>
  <si>
    <t xml:space="preserve">Data Management </t>
  </si>
  <si>
    <t xml:space="preserve">Data Protection </t>
  </si>
  <si>
    <t xml:space="preserve">Delegated Authority Framework </t>
  </si>
  <si>
    <t xml:space="preserve">Disclosure </t>
  </si>
  <si>
    <t xml:space="preserve">Jack McIlduff </t>
  </si>
  <si>
    <t xml:space="preserve">End User Computing Applications </t>
  </si>
  <si>
    <t xml:space="preserve">Environmental </t>
  </si>
  <si>
    <t>Natacha Craven</t>
  </si>
  <si>
    <t xml:space="preserve">Bronagh O’Sullivan </t>
  </si>
  <si>
    <t xml:space="preserve">Fraud </t>
  </si>
  <si>
    <t xml:space="preserve">John Beadle </t>
  </si>
  <si>
    <t xml:space="preserve">Human Rights </t>
  </si>
  <si>
    <t xml:space="preserve">Information Security </t>
  </si>
  <si>
    <t xml:space="preserve">Information Technology </t>
  </si>
  <si>
    <t xml:space="preserve">Alan Mullin </t>
  </si>
  <si>
    <t xml:space="preserve">Insider Information </t>
  </si>
  <si>
    <t xml:space="preserve">Insurance Purchasing </t>
  </si>
  <si>
    <t xml:space="preserve">Intellectual Property </t>
  </si>
  <si>
    <t xml:space="preserve">Padraig O’Neill </t>
  </si>
  <si>
    <t xml:space="preserve">Legal Risk </t>
  </si>
  <si>
    <t xml:space="preserve">Mergers, Acquisitions &amp; Disposals </t>
  </si>
  <si>
    <t xml:space="preserve">Siobhan Teevan </t>
  </si>
  <si>
    <t xml:space="preserve">People Risk </t>
  </si>
  <si>
    <t xml:space="preserve">Joan Spellman </t>
  </si>
  <si>
    <t xml:space="preserve">Physical &amp; Environmental Security </t>
  </si>
  <si>
    <t xml:space="preserve">Regulatory Compliance </t>
  </si>
  <si>
    <t xml:space="preserve">Aoife Martin </t>
  </si>
  <si>
    <t xml:space="preserve">Donncha Connolly </t>
  </si>
  <si>
    <t xml:space="preserve">Elaine Carr </t>
  </si>
  <si>
    <t xml:space="preserve">Deirdre Haverty </t>
  </si>
  <si>
    <t xml:space="preserve">Reputation Management </t>
  </si>
  <si>
    <t xml:space="preserve">Social Media </t>
  </si>
  <si>
    <t xml:space="preserve">Alan Holmes </t>
  </si>
  <si>
    <t xml:space="preserve">Third Party Contracts </t>
  </si>
  <si>
    <t>Joanna Clancy</t>
  </si>
  <si>
    <t>Des Doherty</t>
  </si>
  <si>
    <t xml:space="preserve">Whistleblowing </t>
  </si>
  <si>
    <r>
      <t>1</t>
    </r>
    <r>
      <rPr>
        <sz val="10"/>
        <rFont val="Arial"/>
        <family val="2"/>
      </rPr>
      <t xml:space="preserve">Daniel Parker </t>
    </r>
  </si>
  <si>
    <r>
      <t>1</t>
    </r>
    <r>
      <rPr>
        <sz val="10"/>
        <rFont val="Arial"/>
        <family val="2"/>
      </rPr>
      <t xml:space="preserve">Padraig O’Neill </t>
    </r>
  </si>
  <si>
    <t>Data quality assessment tool
Data Quality Assessment Report</t>
  </si>
  <si>
    <t>Resourcing to complete in BAU needs to be identified</t>
  </si>
  <si>
    <t>Guidelines on basis risk
Guidelines on look-through approach
Guidelines on the treatment of market and counterparty risk exposures in the standard formula</t>
  </si>
  <si>
    <t>SF data requirements and calculation process needs to be documented once final calculation method is decided (i.e. use Igloo SF or spreadsheets)</t>
  </si>
  <si>
    <t>Guidelines on application of outwards reinsurance arrangements to the non-life underwriting risk sub-module
Guidelines on application of the life underwriting risk module Guidelines on basis risk
Guidelines on health catastrophe risk sub-module Guidelines on look-through approach
Guidelines on the treatment of market and counterparty risk exposures in the standard formula</t>
  </si>
  <si>
    <t>SF data requirements and calculation process needs to be documented once final calculation method is decided (i.e. use Igloo SF or spreadsheets);
More accurate allowance for PPO required.</t>
  </si>
  <si>
    <t>Capital Report</t>
  </si>
  <si>
    <t>Assess requirement and determine if formal response required, e.g. a procedure to follow if SCR is breached</t>
  </si>
  <si>
    <t>Capital management policy
Capital Risk Appetite Framework</t>
  </si>
  <si>
    <t>M Blackburn / B Costello</t>
  </si>
  <si>
    <t xml:space="preserve">M Blackburn / B Costello </t>
  </si>
  <si>
    <t>Owner</t>
  </si>
  <si>
    <t>Solvency II</t>
  </si>
  <si>
    <t>BAU</t>
  </si>
  <si>
    <t>Group</t>
  </si>
  <si>
    <t>Local Executive</t>
  </si>
  <si>
    <t>Local Managing</t>
  </si>
  <si>
    <t>Locally</t>
  </si>
  <si>
    <t xml:space="preserve">Reviewed / </t>
  </si>
  <si>
    <t>BRC Approval</t>
  </si>
  <si>
    <t>Scheduled</t>
  </si>
  <si>
    <t>Compliant Version</t>
  </si>
  <si>
    <t>?</t>
  </si>
  <si>
    <t>Managing Owner</t>
  </si>
  <si>
    <t>Group Chief Actuary:</t>
  </si>
  <si>
    <t>Group Investment Director:</t>
  </si>
  <si>
    <t>Group Treasurer:</t>
  </si>
  <si>
    <t>Group Chief Procurement Officer:</t>
  </si>
  <si>
    <t>Internal Control Procedures</t>
  </si>
  <si>
    <t>Risk Management Procedures</t>
  </si>
  <si>
    <t>Group Regulatory Compliance Director:</t>
  </si>
  <si>
    <t>ORSA Policy</t>
  </si>
  <si>
    <t>Data Policy</t>
  </si>
  <si>
    <t>RPAs</t>
  </si>
  <si>
    <t>x</t>
  </si>
  <si>
    <t>Actuarial Function Terms of Reference</t>
  </si>
  <si>
    <t>Capital Management Policy</t>
  </si>
  <si>
    <t>Fit and Proper Policy</t>
  </si>
  <si>
    <t>Internal Audit Charter</t>
  </si>
  <si>
    <t>Remuneration Policy</t>
  </si>
  <si>
    <t>Technical Delegated Authority Framework (External Arrangements)</t>
  </si>
  <si>
    <t>Technical Delegated Authority Framework Internal Arrangements)</t>
  </si>
  <si>
    <t>Additional from Delloite Assessment</t>
  </si>
  <si>
    <t>External audit of SF</t>
  </si>
  <si>
    <t>SF calculations spreadsheets
QRT for SCR</t>
  </si>
  <si>
    <t>Capital report
Process Document</t>
  </si>
  <si>
    <t>Assess requirement and determine if formal response required, e.g. a procedure to follow if MCR is breached</t>
  </si>
  <si>
    <t xml:space="preserve">Imp. Needed </t>
  </si>
  <si>
    <t>Sign. Imp. Needed</t>
  </si>
  <si>
    <t xml:space="preserve"> Existing Evidence Meets Requirements</t>
  </si>
  <si>
    <t>Other</t>
  </si>
  <si>
    <t>Authorisation</t>
  </si>
  <si>
    <t>Group Only</t>
  </si>
  <si>
    <t>Product Type</t>
  </si>
  <si>
    <t>Regulatory Only</t>
  </si>
  <si>
    <t>IM Company</t>
  </si>
  <si>
    <t>Org. Structure</t>
  </si>
  <si>
    <t>Reason</t>
  </si>
  <si>
    <t>Reference</t>
  </si>
  <si>
    <t>Reorg./wind up</t>
  </si>
  <si>
    <t>Proposal Forms</t>
  </si>
  <si>
    <t xml:space="preserve">GIA Charter
Group Audit Committee Terms of Reference (Section 10.4 ‘Internal Audit’
RSAII Audit Committee Terms of Reference (Section 10.7)
Organisation chart
All GIA staff are required to confirm their independence on an annual basis
The GIA effectiveness review performed by EY concluded that GIA was independent &amp; objective
GIA Annual Plan Process 
GIA Audit Manual
GIA Annual Plan
GIA quarterly report to the GAC
GIA quarterly report to the RSAII Audit Committee, including Control Environment Opinion
</t>
  </si>
  <si>
    <t>Deloitte policy review (Concerns raised)</t>
  </si>
  <si>
    <t xml:space="preserve">The Third Party Contracts Policy contains detail around contract terms and the requirements contained in Article 274 (h) &amp; (i) are contained therein. 
However the TDAF document is inconsistent with the TPC Policy. The Deloitte review identified Solvency II compliance gaps in the TDAF document which have not being closed. It is unclear as to action being taken at GCC to address this issue.    
At present there are some outsourcing arrangements where contracts are not in place and these are planned to be remediated by 01/01/16. 
There is an outstanding query as to whether Delegated Authority arrangements are to be considered outsourcing. </t>
  </si>
  <si>
    <t>Third Party Contracts Policy
Delegated Authority Framework</t>
  </si>
  <si>
    <t xml:space="preserve">System of Governance Document
SoG Approval Process
Board minutes approving the System of Governance Document
Board Risk Committee pack
Board and Board Risk Committee minutes
Remuneration Committee Terms of Reference and Committee Minutes
Fit and Proper Policy
Data Management Policy
Information Security Policy
Business Continuity Procedures
Conflicts of Interest Policy
</t>
  </si>
  <si>
    <t xml:space="preserve">Not all evidence is available as yet. 
RSAII SoG is currently not Solvency II compliant. System of Governance document is being presented to BRC in Sept as a final draft for Board approval in Oct. Not all components have been reviewed by Deloitte.   Final SII compliant Group version of SoG will need to be localised. 
Enhanced SoG approval process meeting SII requirements rolled out in 2016
Detail contained in Conflicts of Interest Policy does not appear to be sufficient to meet SII requirements. GCC have advised that Policies, where there are gaps, are being updated and presented to the Sept BRC. Final SII compliant group version will need to be localised and approved by RSAII Board.
It is understood that a Remuneration Policy, a Risk Management Policy and an Internal Controls Policy are all being developed at GCC for sharing with local entities but .these have not been received to date. Final SII compliant group version will need to be localised and approved by RSAII Board.
</t>
  </si>
  <si>
    <t>System of Governance Document
Board minutes approving the System of Governance Document
Board Risk Committee pack
Board and Board Risk Committee minutes
Remuneration Policy
Remuneration Committee Terms of Reference and Committee Minutes
Fit and Proper Policy
Data Management Policy
Information Security Policy
Business Continuity Procedures
Conflicts of Interest Policy
Risk Management Policy
Internal Controls Policy</t>
  </si>
  <si>
    <t xml:space="preserve">SoG Approval Process
</t>
  </si>
  <si>
    <t xml:space="preserve">Minor amendments being made to Regulatory Compliance Policy. Final version is being presented to BRC in Sept.  Final SII compliant Group version of this policy will need to be localised and approved by the Board.. </t>
  </si>
  <si>
    <t>PISA Process
SoG tbc</t>
  </si>
  <si>
    <t xml:space="preserve">System of Governance Document
Regulatory Compliance Policy
</t>
  </si>
  <si>
    <t xml:space="preserve">Not all evidence is available as yet. 
It is understood that an Internal Controls Policy is being developed at GCC for sharing with local entities but .this have not been received to date. Final SII compliant group version will need to be localised and approved by RSAII Board.
Minor amendments being made to Regulatory Compliance Policy. Final version is being presented to BRC in Sept.  Final SII compliant Group version of this policy will need to be localised and approved by the Board.. 
</t>
  </si>
  <si>
    <t>System of Governance Document
Internal Control Policy
Regulatory Compliance Policy</t>
  </si>
  <si>
    <t xml:space="preserve">Third party contracts policy (TPCP)
 </t>
  </si>
  <si>
    <t xml:space="preserve">The Third Party Contracts Policy contains detail around contract terms and the requirements contained in Article 274  are contained therein. 
However the TDAF document is inconsistent with the TPC Policy. The Deloitte review identified Solvency II compliance gaps in the TDAF document which have not being closed.It is unclear as to action being taken at GCC to address this issue. 
At present there are some outsourcing arrangements where contracts are not in place and these are planned to be remediated by 01/01/16. 
There is an outstanding query as to whether Delegated Authority arrangements are to be considered outsourcing. </t>
  </si>
  <si>
    <t xml:space="preserve">Third Party Contracts Policy
Delegated Authority Framework
SMART source - O/S arrangements Internal and external outsourcing agreements Internal and external outsourcing agreements </t>
  </si>
  <si>
    <t xml:space="preserve">Regulatory Compliance Policy
</t>
  </si>
  <si>
    <t>Not all evidence is available as yet. 
Minor amendments being made to Regulatory Compliance Policy. Final version is being presented to BRC in Sept.  Final SII compliant Group version of this policy will need to be localised and approved by the Board.. 
It is understood that a Capital Management Policy is being developed at GCC for sharing with local entities but .this have not been received to date. Final SII compliant group version will need to be localised and approved by RSAII Board.</t>
  </si>
  <si>
    <t>Capital Management Policy
Regulatory Compliance Policy</t>
  </si>
  <si>
    <t>RSAII Terms of Business
Policy Wordings</t>
  </si>
  <si>
    <t>The information required is provided in both the RSAII Terms of Business and generally is also contained within Policy Wordings. For much business (ie broker) the policyholder will only see these documents after the contract is concluded not before. However contracts are subject to cooling off period as required by Distance Marketing Directive.</t>
  </si>
  <si>
    <t xml:space="preserve">RSAII operate on a freedom of services basis in various EC countries. This is usually business which is RoI based but with some foreign exposures. 
In these cases the policyholder/broker will be dealing with RSAII directly and the information required by this Article will be provided.  </t>
  </si>
  <si>
    <t xml:space="preserve">Reserving, Insurance risk policy, Underwriting Policy, Market Risk Policy, Liquidity Risk Policy, Operational Risk Policy, Reinsurance Risk Policy, Reinsurance Credit Risk Policy
Data Policy, Standards &amp; Guidelines, DQA Report, Reputational risk policy
System of Governance (non Solvency II compliant) 
Risk Management procedure document
Risk Manual
ET Risk Committee, BRC papers and minutes
PISA scores
Risk Appetite Statements
Risk Profiles (including Emerging RIsks)
Risk Events (process, reporting)
Operational Risk Process &amp; Procedure Guide
Operational Risk ICA Scenarios
New Lines of Business Development Framework
Stress and scenario testing reports
</t>
  </si>
  <si>
    <t xml:space="preserve">Deloitte policy review (Concerns raised)
PA Design Assurance - Digest 14
2nd Line PISA challenge
2nd Line Policy Testing
2nd Line Reporting review currently being conducted by Internal Audit
 </t>
  </si>
  <si>
    <t xml:space="preserve">Awaiting refreshed / new Risk policies from Group Risk (September 2015), reviewed for SII compliance by Deloitte, signed off by the Design Authority to confirm that all gaps are closed and the policies, as circulated to Regions, are Solvency II compliant.  Review of draft policies submitted to DA (3/08/2015) indicates further work is required at Group and some of the Solvency II requirements have not been included. 
Awaiting relevant artifacts (including new procedure guides) that have been reviewed by Group Risk, signed off by the Design Authority (September 2015) as Solvency II Compliant.  These include the Internal Audit Charter, Actuarial Function ToR, Risk Management procedure, Internal Controls Procedure. 
Current Gaps 
- no documented risk strategy
- no procedure on decision making,
- Data Policy not reviewed by Deloitte to determine if Solvency II compliant
- Liquidity / Market risk policies do not reference requirements, in the manner the text describes in respect of derivatives, off balance sheet items (irrespective of whether the business engages in this activity)
- elements of the ICS may not be adequate and could benefit from improvements (no control testing by 2nd Line, limited testing of the corporate governance framework, no testing of the DAF, no testing of risk appetite metrics)
Weaknesses (improvements required)
- embed stress and scenario testing in BAU
- risk appetite alignment / consistency in policies,
- timeline for review of policies should align with risk appetite refresh
- 2nd Line involvement in strategic affairs such that we can evidence detailed reporting on risk exposures and advising on risk matters.
- appropriate governance to be put in place for procedure guides (treat as for policy or not ?)
</t>
  </si>
  <si>
    <t>Group and local business strategy and risk appetite refresh document
Risk Management Policies (as described in current evidence with new policies as referred to in Status column
Investment Limits Framework to the Board
Risk Management Strategy (documented)
Documented procedure on decision making
PISA 1st Line risk assessment, 2nd Line challegne
Risk and Control reports to ET Risk Meeting (Integrated assurance report covering 1st line control validation and 2nd line control testing, 3rd line audit)
Stress &amp; Scenario Testing - process and reporting
BRC reports (including PISA)</t>
  </si>
  <si>
    <t xml:space="preserve">Risk &amp; Control reporting to ET Risk Meeting
2nd Line review / challenge of PISA risk assessment
ET review of functional risk profiles
Board and BRC review of key risk information including the Risk Profile &amp; Emerging Risk Profile
Regional (UK&amp;WE) Risk &amp; Control committees
 </t>
  </si>
  <si>
    <t xml:space="preserve">3rd Line GIA reviews
2nd Line Assurance Testing
1st Line Control validation
Group testing on local functions / activity (IS, Compliance, FCF, Reserving)
</t>
  </si>
  <si>
    <t>Draft ORSA policy
Reserving Policy
2014 FLAOR report, process, CBI engagement
Board minutes where ORSA is approved
Capital report
BRC Committee papers / minutes
UK&amp;WE Risk Committee papers / minutew (RSAII submission)
SF Calculation spreadsheets
QRTs for SCR, SF
Basis of preparation document
TP Results (Qtrly, Annual)
Standards &amp; Expectations document
DQA Tool, Report</t>
  </si>
  <si>
    <t>Awaiting release of approved ORSA policy which is being finalised and approved by the Group BRC (September 2015)
Internal Model to used to support calculation of the SCR
- approach to 2015 ORSA not yet agreed (this would help evidence a number of ORSA requirements)</t>
  </si>
  <si>
    <t xml:space="preserve">ORSA report
Approved ORSA Policy
Approved Capital Management Policy
Reserving Policy
Actuarial Function ToR, Reports
DQA Tool, Report
TP Results (Qtrly, Annual)
ORSA flags
QRTs 
Capital report
Operating Plan
</t>
  </si>
  <si>
    <t>Risk &amp; Compliance assurance on capital report and operating plan</t>
  </si>
  <si>
    <t xml:space="preserve">Audit Committee Terms of Reference and Audit Committee Reporting are localised </t>
  </si>
  <si>
    <t>Dónal Hyde</t>
  </si>
  <si>
    <t>Glenn Kirk</t>
  </si>
  <si>
    <t>Donncha Connolly</t>
  </si>
  <si>
    <t>Helen Spicer</t>
  </si>
  <si>
    <t xml:space="preserve">Dónal Hyde
&amp; Noreen Collins
</t>
  </si>
  <si>
    <t>Irene O'Connor</t>
  </si>
  <si>
    <t>Assessment Lead</t>
  </si>
  <si>
    <t>Minor gaps and improvements needed primarily driven by the fact that an Actuarial Function Report has yet to be prepared.</t>
  </si>
  <si>
    <t xml:space="preserve">Draft Actuarial Function Report to be completed on receipt of Group template 
</t>
  </si>
  <si>
    <t xml:space="preserve">Minor gaps and improvements needed primarily driven by refinements to the current TP process are required (current process has been verified as being materially compliant by PwC).
</t>
  </si>
  <si>
    <t>Improvements to TP calculations to be made after transition to FDS (Q1 2016)</t>
  </si>
  <si>
    <t xml:space="preserve">Draft Actuarial Function Report to be completed on receipt of Group template (Q4 2015)
</t>
  </si>
  <si>
    <t>Minor gaps and improvements primarily driven  by the Igloo SF calculation process is not yet documented; potential PPO’s not modelled as Life risk in SCR calculations (they are included in Reserving risk).</t>
  </si>
  <si>
    <t>Igloo SF process to be documented once implemented.</t>
  </si>
  <si>
    <t>No set procedure to follow on breach of SCR.</t>
  </si>
  <si>
    <t>Modelling of PPO’s in SCR calculations to be reviewed once further analysis completed by Reserving.</t>
  </si>
  <si>
    <t>Breach of SCR procedure to be included in final Ireland Capital Policy.</t>
  </si>
  <si>
    <t xml:space="preserve">The gaps identified in the Compliance Completeness Matrix relate to the following Policies. These are either new Policies or existing Policies which require amendment to ensure they are SII compliant:
Remuneration 
Fit &amp; Proper
Internal Control
Regulatory &amp; Compliance
Capital Management
Conflicts of Interest
</t>
  </si>
  <si>
    <t xml:space="preserve">Group to circulate approved policies to local Policy owners </t>
  </si>
  <si>
    <t xml:space="preserve">The other 2 documents referenced as being non Solvency II compliant were:
System of Governance
Technical Delegated Authority Framework
</t>
  </si>
  <si>
    <t>Group BRC to approve policies</t>
  </si>
  <si>
    <t xml:space="preserve">The only other Gap related to the completion of SII contracts for all outsourced functions.  </t>
  </si>
  <si>
    <t>RSAII Policy owners to localise Group approved versions, with track changes versions to be submitted to Aoife Martin for her review and approval prior to submission to BRC / Board. Local Policy owners to carry out gap analysis in respect of new/amended Policy and submit RA’s or RPA’s as required.</t>
  </si>
  <si>
    <t>In relation to the System of Governance the Company Secretarial function have now received the RSA Group SoG. Company Secretarial will localise the RSAII SoG based on the Group template. They will require input from other stakeholders throughout the business to complete this exercise. The localised RSAII SoG will the be presented to the BRC and onto the Board itself at meetings on 03/11.</t>
  </si>
  <si>
    <t>RSAII BRC to review and recommend these policies to the RSAII Board for approval and RSAII Board to approve SII compliant localised versions of the Policy.</t>
  </si>
  <si>
    <t xml:space="preserve">We are advised by GCC that the Remuneration Policy will be approved by Group Remuneration Committee before circulation to local Policy Owners. It will then require to be  localised with track changes versions to be submitted to Aoife Martin for her review and approval prior to submission to Remuneration Committee / Board. Local Policy owner to carry out gap analysis in respect of new/amended Policy and submit RA’s or RPA’s as required. </t>
  </si>
  <si>
    <t xml:space="preserve">For contracts all those that have been designated as outsourcing are being reviewed and SII compliant contracts will be in place by 31/12/15. This exercise sits with the Procurement function. </t>
  </si>
  <si>
    <t xml:space="preserve">•Dependency on Group for receipt of SII compliant refreshed / new policies with relevant artefacts (incl. procedure guides, Internal Audit Charter, Actuarial Function ToR, Risk Management and Internal Controls Procedures. 
•No documented risk strategy•No procedure on decision making
•Data Policy not reviewed by Deloitte to determine if Solvency II compliant
•Liquidity / Market risk policies do not explicitly reference SII requirements (derivatives, off balance sheet items)
•ICS may not be adequate / could benefit from improvements (no control testing by L2, limited testing of the corporate governance framework, no testing of DAF, no testing of Risk Appetite metrics)
•Embed stress and scenario testing in BAU
•Risk appetite alignment / consistency in policies
•Timeline for review of policies should align with risk appetite refresh
•2nd Line involvement in strategic affairs to evidence detailed reporting on risk exposures/ advising on risk matters
•Appropriate governance to be put in place for procedure guides (treat as for policy or not ?) </t>
  </si>
  <si>
    <t xml:space="preserve">•Receipt from Group of SII compliant policies (New / updated policies) to localise for Board approved [3/11/2015]
•Risk Management Policy to be drafted [TBC]
•Risk Strategy to be developed [TBC]
•Procedure on decision making to be developed [TBC]
•Timely receipt from Group of SII compliant Data Policy [to be approved at Group in December]
•Implement improvements to ICS (2L) to provide appropriate assurances on the RMS [TBC]
•Embed SAST in BAU with management actions documented and governance on ongoing basis [TBC – part of FLAOR]
•Following completion of revised Risk Appetite 2015 review policies (including timeline and governance on procedures) to ensure risk appetite is referred to consistently [TBC]
•2nd Line involvement in Strategic Affairs [TBC] </t>
  </si>
  <si>
    <t xml:space="preserve">•Dependency on Group for receipt of ORSA policy
•Approach to 2015 ORSA not agreed (to evidence a number of ORSA requirements)  </t>
  </si>
  <si>
    <t xml:space="preserve">Summary of gaps identified 
(both Existing Evidence &amp; Operational Capabilities)
</t>
  </si>
  <si>
    <t xml:space="preserve">Summary of plans to close each gap
</t>
  </si>
  <si>
    <t>To be completed by</t>
  </si>
  <si>
    <t xml:space="preserve">Status </t>
  </si>
  <si>
    <t>Comments</t>
  </si>
</sst>
</file>

<file path=xl/styles.xml><?xml version="1.0" encoding="utf-8"?>
<styleSheet xmlns="http://schemas.openxmlformats.org/spreadsheetml/2006/main">
  <fonts count="22">
    <font>
      <sz val="11"/>
      <color theme="1"/>
      <name val="Calibri"/>
      <family val="2"/>
      <scheme val="minor"/>
    </font>
    <font>
      <sz val="10"/>
      <color theme="1"/>
      <name val="Arial"/>
      <family val="2"/>
    </font>
    <font>
      <b/>
      <sz val="11"/>
      <color theme="0"/>
      <name val="Calibri"/>
      <family val="2"/>
      <scheme val="minor"/>
    </font>
    <font>
      <sz val="11"/>
      <color theme="0"/>
      <name val="Calibri"/>
      <family val="2"/>
      <scheme val="minor"/>
    </font>
    <font>
      <b/>
      <sz val="10"/>
      <color theme="0"/>
      <name val="Arial"/>
      <family val="2"/>
    </font>
    <font>
      <sz val="10"/>
      <color theme="0"/>
      <name val="Arial"/>
      <family val="2"/>
    </font>
    <font>
      <sz val="10"/>
      <color theme="1"/>
      <name val="Arial"/>
      <family val="2"/>
    </font>
    <font>
      <sz val="10"/>
      <color rgb="FFFF0000"/>
      <name val="Arial"/>
      <family val="2"/>
    </font>
    <font>
      <sz val="11"/>
      <color rgb="FFFF0000"/>
      <name val="Calibri"/>
      <family val="2"/>
      <scheme val="minor"/>
    </font>
    <font>
      <sz val="10"/>
      <name val="Arial"/>
      <family val="2"/>
    </font>
    <font>
      <strike/>
      <sz val="10"/>
      <name val="Arial"/>
      <family val="2"/>
    </font>
    <font>
      <sz val="11"/>
      <name val="Calibri"/>
      <family val="2"/>
      <scheme val="minor"/>
    </font>
    <font>
      <b/>
      <sz val="11"/>
      <color theme="1"/>
      <name val="Calibri"/>
      <family val="2"/>
      <scheme val="minor"/>
    </font>
    <font>
      <b/>
      <sz val="9"/>
      <color theme="1"/>
      <name val="Calibri"/>
      <family val="2"/>
      <scheme val="minor"/>
    </font>
    <font>
      <sz val="9"/>
      <color theme="1"/>
      <name val="Calibri"/>
      <family val="2"/>
      <scheme val="minor"/>
    </font>
    <font>
      <sz val="10"/>
      <name val="Calibri"/>
      <family val="2"/>
      <scheme val="minor"/>
    </font>
    <font>
      <b/>
      <sz val="11"/>
      <color rgb="FF000000"/>
      <name val="Calibri"/>
      <family val="2"/>
      <scheme val="minor"/>
    </font>
    <font>
      <b/>
      <sz val="10"/>
      <color theme="1"/>
      <name val="Arial"/>
      <family val="2"/>
    </font>
    <font>
      <sz val="11"/>
      <color theme="1"/>
      <name val="Calibri"/>
      <family val="2"/>
      <scheme val="minor"/>
    </font>
    <font>
      <b/>
      <sz val="11"/>
      <color rgb="FFFFFFFF"/>
      <name val="Arial"/>
      <family val="2"/>
    </font>
    <font>
      <b/>
      <sz val="10"/>
      <name val="Arial"/>
      <family val="2"/>
    </font>
    <font>
      <vertAlign val="superscript"/>
      <sz val="10"/>
      <name val="Arial"/>
      <family val="2"/>
    </font>
  </fonts>
  <fills count="25">
    <fill>
      <patternFill patternType="none"/>
    </fill>
    <fill>
      <patternFill patternType="gray125"/>
    </fill>
    <fill>
      <patternFill patternType="solid">
        <fgColor rgb="FF7030A0"/>
        <bgColor indexed="64"/>
      </patternFill>
    </fill>
    <fill>
      <patternFill patternType="solid">
        <fgColor theme="3"/>
        <bgColor indexed="64"/>
      </patternFill>
    </fill>
    <fill>
      <patternFill patternType="solid">
        <fgColor theme="1"/>
        <bgColor indexed="64"/>
      </patternFill>
    </fill>
    <fill>
      <patternFill patternType="solid">
        <fgColor theme="0" tint="-4.9989318521683403E-2"/>
        <bgColor indexed="64"/>
      </patternFill>
    </fill>
    <fill>
      <patternFill patternType="lightUp">
        <bgColor theme="0" tint="-4.9989318521683403E-2"/>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2" tint="-0.499984740745262"/>
        <bgColor indexed="64"/>
      </patternFill>
    </fill>
    <fill>
      <patternFill patternType="solid">
        <fgColor rgb="FFFFFF00"/>
        <bgColor indexed="64"/>
      </patternFill>
    </fill>
    <fill>
      <patternFill patternType="solid">
        <fgColor rgb="FF5A2D7F"/>
        <bgColor indexed="64"/>
      </patternFill>
    </fill>
    <fill>
      <patternFill patternType="solid">
        <fgColor rgb="FF00B0F0"/>
        <bgColor indexed="64"/>
      </patternFill>
    </fill>
    <fill>
      <patternFill patternType="solid">
        <fgColor rgb="FFEFF1EC"/>
        <bgColor indexed="64"/>
      </patternFill>
    </fill>
    <fill>
      <patternFill patternType="solid">
        <fgColor rgb="FF00B050"/>
        <bgColor indexed="64"/>
      </patternFill>
    </fill>
    <fill>
      <patternFill patternType="solid">
        <fgColor rgb="FFEBEEE9"/>
        <bgColor indexed="64"/>
      </patternFill>
    </fill>
    <fill>
      <patternFill patternType="solid">
        <fgColor rgb="FFFFCC00"/>
        <bgColor indexed="64"/>
      </patternFill>
    </fill>
    <fill>
      <patternFill patternType="solid">
        <fgColor rgb="FFE8E6DC"/>
        <bgColor indexed="64"/>
      </patternFill>
    </fill>
    <fill>
      <patternFill patternType="solid">
        <fgColor rgb="FFFFC000"/>
        <bgColor indexed="64"/>
      </patternFill>
    </fill>
    <fill>
      <patternFill patternType="solid">
        <fgColor rgb="FFF2F2F2"/>
        <bgColor indexed="64"/>
      </patternFill>
    </fill>
    <fill>
      <patternFill patternType="solid">
        <fgColor theme="9" tint="-0.249977111117893"/>
        <bgColor indexed="64"/>
      </patternFill>
    </fill>
  </fills>
  <borders count="48">
    <border>
      <left/>
      <right/>
      <top/>
      <bottom/>
      <diagonal/>
    </border>
    <border>
      <left style="thin">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medium">
        <color theme="0" tint="-0.249977111117893"/>
      </left>
      <right/>
      <top style="medium">
        <color theme="0" tint="-0.249977111117893"/>
      </top>
      <bottom style="medium">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style="thin">
        <color theme="0" tint="-0.249977111117893"/>
      </left>
      <right/>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6795556505021"/>
      </left>
      <right/>
      <top style="thin">
        <color theme="0" tint="-0.14996795556505021"/>
      </top>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249977111117893"/>
      </left>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1B1A12"/>
      </left>
      <right style="medium">
        <color rgb="FFFFFFFF"/>
      </right>
      <top style="medium">
        <color rgb="FF1B1A12"/>
      </top>
      <bottom/>
      <diagonal/>
    </border>
    <border>
      <left style="medium">
        <color rgb="FF1B1A12"/>
      </left>
      <right style="medium">
        <color rgb="FFFFFFFF"/>
      </right>
      <top/>
      <bottom style="medium">
        <color rgb="FF1B1A12"/>
      </bottom>
      <diagonal/>
    </border>
    <border>
      <left style="medium">
        <color rgb="FFFFFFFF"/>
      </left>
      <right style="medium">
        <color rgb="FFFFFFFF"/>
      </right>
      <top style="medium">
        <color rgb="FF1B1A12"/>
      </top>
      <bottom/>
      <diagonal/>
    </border>
    <border>
      <left style="medium">
        <color rgb="FFFFFFFF"/>
      </left>
      <right style="medium">
        <color rgb="FFFFFFFF"/>
      </right>
      <top/>
      <bottom style="medium">
        <color rgb="FF1B1A12"/>
      </bottom>
      <diagonal/>
    </border>
    <border>
      <left style="medium">
        <color rgb="FFFFFFFF"/>
      </left>
      <right style="medium">
        <color rgb="FF1B1A12"/>
      </right>
      <top style="medium">
        <color rgb="FF1B1A12"/>
      </top>
      <bottom/>
      <diagonal/>
    </border>
    <border>
      <left style="medium">
        <color rgb="FFFFFFFF"/>
      </left>
      <right style="medium">
        <color rgb="FF1B1A12"/>
      </right>
      <top/>
      <bottom style="medium">
        <color rgb="FF1B1A12"/>
      </bottom>
      <diagonal/>
    </border>
    <border>
      <left style="medium">
        <color rgb="FF1B1A12"/>
      </left>
      <right style="medium">
        <color rgb="FF1B1A12"/>
      </right>
      <top style="medium">
        <color rgb="FF1B1A12"/>
      </top>
      <bottom style="medium">
        <color rgb="FF1B1A12"/>
      </bottom>
      <diagonal/>
    </border>
    <border>
      <left style="medium">
        <color rgb="FF1B1A12"/>
      </left>
      <right style="medium">
        <color rgb="FF1B1A12"/>
      </right>
      <top style="medium">
        <color rgb="FF1B1A12"/>
      </top>
      <bottom/>
      <diagonal/>
    </border>
    <border>
      <left style="medium">
        <color rgb="FF1B1A12"/>
      </left>
      <right style="medium">
        <color rgb="FF1B1A12"/>
      </right>
      <top/>
      <bottom style="medium">
        <color rgb="FF1B1A12"/>
      </bottom>
      <diagonal/>
    </border>
    <border>
      <left style="medium">
        <color indexed="64"/>
      </left>
      <right style="medium">
        <color indexed="64"/>
      </right>
      <top style="medium">
        <color indexed="64"/>
      </top>
      <bottom style="medium">
        <color indexed="64"/>
      </bottom>
      <diagonal/>
    </border>
    <border>
      <left style="medium">
        <color rgb="FF1B1A12"/>
      </left>
      <right style="medium">
        <color rgb="FF1B1A12"/>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1B1A12"/>
      </left>
      <right/>
      <top/>
      <bottom/>
      <diagonal/>
    </border>
    <border>
      <left/>
      <right style="medium">
        <color rgb="FF1B1A12"/>
      </right>
      <top/>
      <bottom/>
      <diagonal/>
    </border>
  </borders>
  <cellStyleXfs count="2">
    <xf numFmtId="0" fontId="0" fillId="0" borderId="0"/>
    <xf numFmtId="9" fontId="18" fillId="0" borderId="0" applyFont="0" applyFill="0" applyBorder="0" applyAlignment="0" applyProtection="0"/>
  </cellStyleXfs>
  <cellXfs count="254">
    <xf numFmtId="0" fontId="0" fillId="0" borderId="0" xfId="0"/>
    <xf numFmtId="0" fontId="4" fillId="2" borderId="1" xfId="0" applyFont="1" applyFill="1" applyBorder="1" applyAlignment="1">
      <alignment vertical="top"/>
    </xf>
    <xf numFmtId="0" fontId="5" fillId="2" borderId="2" xfId="0" applyFont="1" applyFill="1" applyBorder="1" applyAlignment="1">
      <alignment vertical="top"/>
    </xf>
    <xf numFmtId="0" fontId="5" fillId="2" borderId="2" xfId="0" applyFont="1" applyFill="1" applyBorder="1" applyAlignment="1">
      <alignment horizontal="center" vertical="top"/>
    </xf>
    <xf numFmtId="0" fontId="5" fillId="2" borderId="3" xfId="0" applyFont="1" applyFill="1" applyBorder="1" applyAlignment="1">
      <alignment vertical="top"/>
    </xf>
    <xf numFmtId="0" fontId="4" fillId="3" borderId="4" xfId="0" applyFont="1" applyFill="1" applyBorder="1" applyAlignment="1">
      <alignment horizontal="left" vertical="top"/>
    </xf>
    <xf numFmtId="0" fontId="3" fillId="3" borderId="2" xfId="0" applyFont="1" applyFill="1" applyBorder="1"/>
    <xf numFmtId="0" fontId="2" fillId="4" borderId="2" xfId="0" applyFont="1" applyFill="1" applyBorder="1" applyAlignment="1">
      <alignment vertical="top"/>
    </xf>
    <xf numFmtId="0" fontId="6" fillId="0" borderId="0" xfId="0" applyFont="1"/>
    <xf numFmtId="0" fontId="4" fillId="2" borderId="5" xfId="0" applyFont="1" applyFill="1" applyBorder="1" applyAlignment="1">
      <alignment horizontal="left" vertical="top" wrapText="1"/>
    </xf>
    <xf numFmtId="0" fontId="4" fillId="2" borderId="5" xfId="0" applyFont="1" applyFill="1" applyBorder="1" applyAlignment="1">
      <alignment horizontal="center" vertical="top" wrapText="1"/>
    </xf>
    <xf numFmtId="0" fontId="4" fillId="2" borderId="5" xfId="0" applyFont="1" applyFill="1" applyBorder="1" applyAlignment="1">
      <alignment vertical="top" wrapText="1"/>
    </xf>
    <xf numFmtId="0" fontId="4" fillId="3" borderId="5" xfId="0" applyFont="1" applyFill="1" applyBorder="1" applyAlignment="1">
      <alignment horizontal="left" vertical="top" wrapText="1"/>
    </xf>
    <xf numFmtId="0" fontId="4" fillId="4" borderId="5" xfId="0" applyFont="1" applyFill="1" applyBorder="1" applyAlignment="1">
      <alignment horizontal="left" vertical="top" wrapText="1"/>
    </xf>
    <xf numFmtId="0" fontId="6" fillId="8"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3" fillId="0" borderId="0" xfId="0" applyFont="1"/>
    <xf numFmtId="0" fontId="6" fillId="8" borderId="0" xfId="0" applyFont="1" applyFill="1" applyBorder="1" applyAlignment="1">
      <alignment vertical="top" wrapText="1"/>
    </xf>
    <xf numFmtId="0" fontId="6" fillId="8" borderId="12" xfId="0" applyFont="1" applyFill="1" applyBorder="1" applyAlignment="1">
      <alignment vertical="top" wrapText="1"/>
    </xf>
    <xf numFmtId="0" fontId="6" fillId="8" borderId="13" xfId="0" applyFont="1" applyFill="1" applyBorder="1" applyAlignment="1">
      <alignment horizontal="center" vertical="top" wrapText="1"/>
    </xf>
    <xf numFmtId="0" fontId="6" fillId="8" borderId="13" xfId="0" applyFont="1" applyFill="1" applyBorder="1" applyAlignment="1">
      <alignment vertical="top" wrapText="1"/>
    </xf>
    <xf numFmtId="0" fontId="6" fillId="8" borderId="13" xfId="0" applyFont="1" applyFill="1" applyBorder="1" applyAlignment="1">
      <alignment horizontal="left" vertical="top" wrapText="1"/>
    </xf>
    <xf numFmtId="0" fontId="6" fillId="8" borderId="21" xfId="0" applyFont="1" applyFill="1" applyBorder="1" applyAlignment="1">
      <alignment vertical="top" wrapText="1"/>
    </xf>
    <xf numFmtId="0" fontId="4" fillId="4" borderId="6" xfId="0" applyFont="1" applyFill="1" applyBorder="1" applyAlignment="1">
      <alignment horizontal="left" vertical="top" wrapText="1"/>
    </xf>
    <xf numFmtId="0" fontId="0" fillId="9" borderId="19" xfId="0" applyFill="1" applyBorder="1" applyAlignment="1">
      <alignment horizontal="center"/>
    </xf>
    <xf numFmtId="0" fontId="0" fillId="2" borderId="18" xfId="0" applyFill="1" applyBorder="1" applyAlignment="1">
      <alignment horizontal="center"/>
    </xf>
    <xf numFmtId="0" fontId="4" fillId="2" borderId="20" xfId="0" applyFont="1" applyFill="1" applyBorder="1" applyAlignment="1">
      <alignment horizontal="center" vertical="top" wrapText="1"/>
    </xf>
    <xf numFmtId="0" fontId="0" fillId="9" borderId="20" xfId="0" applyFill="1" applyBorder="1" applyAlignment="1">
      <alignment horizontal="center"/>
    </xf>
    <xf numFmtId="0" fontId="0" fillId="0" borderId="0" xfId="0" applyAlignment="1">
      <alignment horizontal="center"/>
    </xf>
    <xf numFmtId="0" fontId="9" fillId="7" borderId="9" xfId="0" applyFont="1" applyFill="1" applyBorder="1" applyAlignment="1">
      <alignment horizontal="left" vertical="top" wrapText="1"/>
    </xf>
    <xf numFmtId="0" fontId="7" fillId="5" borderId="10" xfId="0" applyFont="1" applyFill="1" applyBorder="1" applyAlignment="1">
      <alignment vertical="top" wrapText="1"/>
    </xf>
    <xf numFmtId="0" fontId="7" fillId="5" borderId="16" xfId="0" applyFont="1" applyFill="1" applyBorder="1" applyAlignment="1">
      <alignment vertical="top" wrapText="1"/>
    </xf>
    <xf numFmtId="0" fontId="7" fillId="0" borderId="0" xfId="0" applyFont="1"/>
    <xf numFmtId="0" fontId="8" fillId="0" borderId="0" xfId="0" applyFont="1"/>
    <xf numFmtId="0" fontId="9" fillId="5" borderId="10" xfId="0" applyFont="1" applyFill="1" applyBorder="1" applyAlignment="1">
      <alignment horizontal="center" vertical="top" wrapText="1"/>
    </xf>
    <xf numFmtId="0" fontId="9" fillId="5" borderId="10" xfId="0" applyFont="1" applyFill="1" applyBorder="1" applyAlignment="1">
      <alignment vertical="top" wrapText="1"/>
    </xf>
    <xf numFmtId="0" fontId="7" fillId="7" borderId="8" xfId="0" applyFont="1" applyFill="1" applyBorder="1" applyAlignment="1">
      <alignment vertical="top" wrapText="1"/>
    </xf>
    <xf numFmtId="0" fontId="9" fillId="5" borderId="9" xfId="0" applyFont="1" applyFill="1" applyBorder="1" applyAlignment="1">
      <alignment horizontal="center" vertical="top" wrapText="1"/>
    </xf>
    <xf numFmtId="0" fontId="9" fillId="6" borderId="9" xfId="0" applyFont="1" applyFill="1" applyBorder="1" applyAlignment="1">
      <alignment horizontal="left" vertical="top" wrapText="1"/>
    </xf>
    <xf numFmtId="0" fontId="11" fillId="9" borderId="18" xfId="0" applyFont="1" applyFill="1" applyBorder="1" applyAlignment="1">
      <alignment horizontal="center"/>
    </xf>
    <xf numFmtId="0" fontId="9" fillId="0" borderId="0" xfId="0" applyFont="1"/>
    <xf numFmtId="0" fontId="11" fillId="0" borderId="0" xfId="0" applyFont="1"/>
    <xf numFmtId="0" fontId="9" fillId="7" borderId="8" xfId="0" applyFont="1" applyFill="1" applyBorder="1" applyAlignment="1">
      <alignment horizontal="center" vertical="top" wrapText="1"/>
    </xf>
    <xf numFmtId="0" fontId="9" fillId="7" borderId="8" xfId="0" applyFont="1" applyFill="1" applyBorder="1" applyAlignment="1">
      <alignment vertical="top" wrapText="1"/>
    </xf>
    <xf numFmtId="0" fontId="9" fillId="6" borderId="8" xfId="0" applyFont="1" applyFill="1" applyBorder="1" applyAlignment="1">
      <alignment horizontal="left" vertical="top" wrapText="1"/>
    </xf>
    <xf numFmtId="0" fontId="11" fillId="9" borderId="19" xfId="0" applyFont="1" applyFill="1" applyBorder="1" applyAlignment="1">
      <alignment horizontal="center"/>
    </xf>
    <xf numFmtId="0" fontId="9" fillId="6" borderId="10" xfId="0" applyFont="1" applyFill="1" applyBorder="1" applyAlignment="1">
      <alignment horizontal="left" vertical="top" wrapText="1"/>
    </xf>
    <xf numFmtId="0" fontId="9" fillId="5" borderId="16" xfId="0" applyFont="1" applyFill="1" applyBorder="1" applyAlignment="1">
      <alignment vertical="top" wrapText="1"/>
    </xf>
    <xf numFmtId="0" fontId="9" fillId="7" borderId="9" xfId="0" applyFont="1" applyFill="1" applyBorder="1" applyAlignment="1">
      <alignment horizontal="center" vertical="top" wrapText="1"/>
    </xf>
    <xf numFmtId="0" fontId="9" fillId="7" borderId="9" xfId="0" applyFont="1" applyFill="1" applyBorder="1" applyAlignment="1">
      <alignment vertical="top" wrapText="1"/>
    </xf>
    <xf numFmtId="0" fontId="9" fillId="7" borderId="14" xfId="0" applyFont="1" applyFill="1" applyBorder="1" applyAlignment="1">
      <alignment vertical="top" wrapText="1"/>
    </xf>
    <xf numFmtId="0" fontId="9" fillId="7" borderId="11" xfId="0" applyFont="1" applyFill="1" applyBorder="1" applyAlignment="1">
      <alignment horizontal="center" vertical="top" wrapText="1"/>
    </xf>
    <xf numFmtId="0" fontId="9" fillId="7" borderId="11" xfId="0" applyFont="1" applyFill="1" applyBorder="1" applyAlignment="1">
      <alignment vertical="top" wrapText="1"/>
    </xf>
    <xf numFmtId="0" fontId="9" fillId="7" borderId="11" xfId="0" applyFont="1" applyFill="1" applyBorder="1" applyAlignment="1">
      <alignment horizontal="left" vertical="top" wrapText="1"/>
    </xf>
    <xf numFmtId="0" fontId="9" fillId="7" borderId="17" xfId="0" applyFont="1" applyFill="1" applyBorder="1" applyAlignment="1">
      <alignment vertical="top" wrapText="1"/>
    </xf>
    <xf numFmtId="0" fontId="9" fillId="7" borderId="10" xfId="0" applyFont="1" applyFill="1" applyBorder="1" applyAlignment="1">
      <alignment horizontal="center" vertical="top" wrapText="1"/>
    </xf>
    <xf numFmtId="0" fontId="9" fillId="7" borderId="10" xfId="0" applyFont="1" applyFill="1" applyBorder="1" applyAlignment="1">
      <alignment vertical="top" wrapText="1"/>
    </xf>
    <xf numFmtId="0" fontId="9" fillId="7" borderId="10" xfId="0" applyFont="1" applyFill="1" applyBorder="1" applyAlignment="1">
      <alignment horizontal="left" vertical="top" wrapText="1"/>
    </xf>
    <xf numFmtId="0" fontId="9" fillId="7" borderId="16" xfId="0" applyFont="1" applyFill="1" applyBorder="1" applyAlignment="1">
      <alignment vertical="top" wrapText="1"/>
    </xf>
    <xf numFmtId="0" fontId="9" fillId="5" borderId="10" xfId="0" applyFont="1" applyFill="1" applyBorder="1" applyAlignment="1">
      <alignment vertical="top"/>
    </xf>
    <xf numFmtId="0" fontId="9" fillId="5" borderId="10" xfId="0" applyFont="1" applyFill="1" applyBorder="1" applyAlignment="1">
      <alignment horizontal="left" vertical="top"/>
    </xf>
    <xf numFmtId="0" fontId="9" fillId="5" borderId="16" xfId="0" applyFont="1" applyFill="1" applyBorder="1" applyAlignment="1">
      <alignment vertical="top"/>
    </xf>
    <xf numFmtId="0" fontId="9" fillId="5" borderId="10" xfId="0" applyFont="1" applyFill="1" applyBorder="1" applyAlignment="1">
      <alignment horizontal="center" vertical="top"/>
    </xf>
    <xf numFmtId="0" fontId="9" fillId="7" borderId="9" xfId="0" applyFont="1" applyFill="1" applyBorder="1" applyAlignment="1">
      <alignment horizontal="center" vertical="top"/>
    </xf>
    <xf numFmtId="0" fontId="9" fillId="7" borderId="9" xfId="0" applyFont="1" applyFill="1" applyBorder="1" applyAlignment="1">
      <alignment vertical="top"/>
    </xf>
    <xf numFmtId="0" fontId="9" fillId="7" borderId="8" xfId="0" applyFont="1" applyFill="1" applyBorder="1" applyAlignment="1">
      <alignment horizontal="left" vertical="top" wrapText="1"/>
    </xf>
    <xf numFmtId="0" fontId="9" fillId="7" borderId="15" xfId="0" applyFont="1" applyFill="1" applyBorder="1" applyAlignment="1">
      <alignment vertical="top" wrapText="1"/>
    </xf>
    <xf numFmtId="0" fontId="9" fillId="7" borderId="14" xfId="0" applyFont="1" applyFill="1" applyBorder="1" applyAlignment="1">
      <alignment horizontal="left" vertical="top" wrapText="1"/>
    </xf>
    <xf numFmtId="0" fontId="9" fillId="7" borderId="16" xfId="0" applyFont="1" applyFill="1" applyBorder="1" applyAlignment="1">
      <alignment horizontal="left" vertical="top" wrapText="1"/>
    </xf>
    <xf numFmtId="0" fontId="9" fillId="7" borderId="17" xfId="0" applyFont="1" applyFill="1" applyBorder="1" applyAlignment="1">
      <alignment horizontal="left" vertical="top" wrapText="1"/>
    </xf>
    <xf numFmtId="0" fontId="9" fillId="6" borderId="11" xfId="0" applyFont="1" applyFill="1" applyBorder="1" applyAlignment="1">
      <alignment horizontal="left" vertical="top" wrapText="1"/>
    </xf>
    <xf numFmtId="0" fontId="9" fillId="8" borderId="6" xfId="0" applyFont="1" applyFill="1" applyBorder="1" applyAlignment="1">
      <alignment horizontal="left" vertical="top"/>
    </xf>
    <xf numFmtId="0" fontId="9" fillId="8" borderId="0" xfId="0" applyFont="1" applyFill="1" applyBorder="1" applyAlignment="1">
      <alignment vertical="top" wrapText="1"/>
    </xf>
    <xf numFmtId="0" fontId="9" fillId="8" borderId="13" xfId="0" applyFont="1" applyFill="1" applyBorder="1" applyAlignment="1">
      <alignment horizontal="center" vertical="top" wrapText="1"/>
    </xf>
    <xf numFmtId="0" fontId="9" fillId="8" borderId="13" xfId="0" applyFont="1" applyFill="1" applyBorder="1" applyAlignment="1">
      <alignment vertical="top" wrapText="1"/>
    </xf>
    <xf numFmtId="0" fontId="9" fillId="8" borderId="13" xfId="0" applyFont="1" applyFill="1" applyBorder="1" applyAlignment="1">
      <alignment horizontal="left" vertical="top" wrapText="1"/>
    </xf>
    <xf numFmtId="0" fontId="9" fillId="8" borderId="21" xfId="0" applyFont="1" applyFill="1" applyBorder="1" applyAlignment="1">
      <alignment vertical="top" wrapText="1"/>
    </xf>
    <xf numFmtId="0" fontId="9" fillId="8" borderId="6" xfId="0" applyFont="1" applyFill="1" applyBorder="1" applyAlignment="1">
      <alignment horizontal="center" vertical="top" wrapText="1"/>
    </xf>
    <xf numFmtId="0" fontId="8" fillId="9" borderId="19" xfId="0" applyFont="1" applyFill="1" applyBorder="1" applyAlignment="1">
      <alignment horizontal="center"/>
    </xf>
    <xf numFmtId="0" fontId="7" fillId="7" borderId="15" xfId="0" applyFont="1" applyFill="1" applyBorder="1" applyAlignment="1">
      <alignment vertical="top" wrapText="1"/>
    </xf>
    <xf numFmtId="0" fontId="9" fillId="5" borderId="10" xfId="0" applyFont="1" applyFill="1" applyBorder="1" applyAlignment="1">
      <alignment horizontal="left" vertical="top" wrapText="1"/>
    </xf>
    <xf numFmtId="0" fontId="9" fillId="5" borderId="9" xfId="0" applyFont="1" applyFill="1" applyBorder="1" applyAlignment="1">
      <alignment vertical="top" wrapText="1"/>
    </xf>
    <xf numFmtId="0" fontId="10" fillId="5" borderId="10" xfId="0" applyFont="1" applyFill="1" applyBorder="1" applyAlignment="1">
      <alignment horizontal="left" vertical="top" wrapText="1"/>
    </xf>
    <xf numFmtId="0" fontId="12" fillId="0" borderId="22" xfId="0" applyFont="1" applyBorder="1"/>
    <xf numFmtId="0" fontId="14" fillId="0" borderId="22" xfId="0" applyFont="1" applyBorder="1"/>
    <xf numFmtId="0" fontId="14" fillId="0" borderId="22" xfId="0" applyFont="1" applyBorder="1" applyAlignment="1">
      <alignment horizontal="center"/>
    </xf>
    <xf numFmtId="0" fontId="14" fillId="0" borderId="0" xfId="0" applyFont="1"/>
    <xf numFmtId="0" fontId="13" fillId="10" borderId="22" xfId="0" applyFont="1" applyFill="1" applyBorder="1" applyAlignment="1">
      <alignment horizontal="center" vertical="center" wrapText="1"/>
    </xf>
    <xf numFmtId="0" fontId="13" fillId="10" borderId="26" xfId="0" applyFont="1" applyFill="1" applyBorder="1" applyAlignment="1">
      <alignment horizontal="center" vertical="center" wrapText="1"/>
    </xf>
    <xf numFmtId="0" fontId="13" fillId="0" borderId="22" xfId="0" applyFont="1" applyBorder="1"/>
    <xf numFmtId="0" fontId="14" fillId="11" borderId="22" xfId="0" applyFont="1" applyFill="1" applyBorder="1" applyAlignment="1">
      <alignment wrapText="1"/>
    </xf>
    <xf numFmtId="0" fontId="14" fillId="0" borderId="22" xfId="0" applyFont="1" applyBorder="1" applyAlignment="1">
      <alignment wrapText="1"/>
    </xf>
    <xf numFmtId="0" fontId="14" fillId="0" borderId="22" xfId="0" applyFont="1" applyBorder="1" applyAlignment="1">
      <alignment horizontal="center" vertical="center"/>
    </xf>
    <xf numFmtId="0" fontId="0" fillId="0" borderId="22" xfId="0" applyBorder="1" applyAlignment="1">
      <alignment horizontal="center" vertical="center" wrapText="1"/>
    </xf>
    <xf numFmtId="0" fontId="0" fillId="0" borderId="22" xfId="0" applyBorder="1"/>
    <xf numFmtId="0" fontId="0" fillId="0" borderId="22" xfId="0" applyBorder="1" applyAlignment="1">
      <alignment horizontal="center"/>
    </xf>
    <xf numFmtId="0" fontId="0" fillId="0" borderId="0" xfId="0" applyBorder="1" applyAlignment="1">
      <alignment horizontal="center"/>
    </xf>
    <xf numFmtId="0" fontId="13" fillId="10" borderId="22" xfId="0" applyFont="1" applyFill="1" applyBorder="1" applyAlignment="1">
      <alignment horizontal="center" vertical="center"/>
    </xf>
    <xf numFmtId="0" fontId="13" fillId="10" borderId="22" xfId="0" applyFont="1" applyFill="1" applyBorder="1" applyAlignment="1">
      <alignment vertical="center"/>
    </xf>
    <xf numFmtId="0" fontId="0" fillId="0" borderId="0" xfId="0" applyAlignment="1">
      <alignment wrapText="1"/>
    </xf>
    <xf numFmtId="0" fontId="9" fillId="5" borderId="22" xfId="0" applyFont="1" applyFill="1" applyBorder="1" applyAlignment="1">
      <alignment vertical="top" wrapText="1"/>
    </xf>
    <xf numFmtId="0" fontId="9" fillId="7" borderId="22" xfId="0" applyFont="1" applyFill="1" applyBorder="1" applyAlignment="1">
      <alignment vertical="top" wrapText="1"/>
    </xf>
    <xf numFmtId="0" fontId="9" fillId="7" borderId="22" xfId="0" applyFont="1" applyFill="1" applyBorder="1" applyAlignment="1">
      <alignment horizontal="left" vertical="top" wrapText="1"/>
    </xf>
    <xf numFmtId="0" fontId="12" fillId="0" borderId="0" xfId="0" applyFont="1" applyAlignment="1">
      <alignment horizontal="center" vertical="center" wrapText="1"/>
    </xf>
    <xf numFmtId="0" fontId="12" fillId="0" borderId="0" xfId="0" applyFont="1"/>
    <xf numFmtId="0" fontId="9" fillId="5" borderId="22" xfId="0" applyFont="1" applyFill="1" applyBorder="1" applyAlignment="1">
      <alignment horizontal="center" vertical="center" wrapText="1"/>
    </xf>
    <xf numFmtId="0" fontId="9" fillId="7" borderId="22" xfId="0" applyFont="1" applyFill="1" applyBorder="1" applyAlignment="1">
      <alignment horizontal="center" vertical="center" wrapText="1"/>
    </xf>
    <xf numFmtId="0" fontId="0" fillId="14" borderId="0" xfId="0" applyFill="1"/>
    <xf numFmtId="0" fontId="4" fillId="3" borderId="5" xfId="0" applyFont="1" applyFill="1" applyBorder="1" applyAlignment="1">
      <alignment horizontal="center" vertical="top" wrapText="1"/>
    </xf>
    <xf numFmtId="0" fontId="0" fillId="0" borderId="0" xfId="0" applyBorder="1"/>
    <xf numFmtId="0" fontId="0" fillId="0" borderId="22" xfId="0" applyFont="1" applyBorder="1" applyAlignment="1">
      <alignment horizontal="center"/>
    </xf>
    <xf numFmtId="0" fontId="4" fillId="3" borderId="29" xfId="0" applyFont="1" applyFill="1" applyBorder="1" applyAlignment="1">
      <alignment horizontal="center" vertical="top" wrapText="1"/>
    </xf>
    <xf numFmtId="0" fontId="0" fillId="0" borderId="0" xfId="0" applyAlignment="1">
      <alignment horizontal="left" vertical="top"/>
    </xf>
    <xf numFmtId="0" fontId="4" fillId="2" borderId="1" xfId="0" applyFont="1" applyFill="1" applyBorder="1" applyAlignment="1">
      <alignment horizontal="left" vertical="top"/>
    </xf>
    <xf numFmtId="0" fontId="5" fillId="2" borderId="2" xfId="0" applyFont="1" applyFill="1" applyBorder="1" applyAlignment="1">
      <alignment horizontal="left" vertical="top"/>
    </xf>
    <xf numFmtId="0" fontId="0" fillId="0" borderId="22" xfId="0" applyBorder="1" applyAlignment="1">
      <alignment horizontal="left" vertical="top"/>
    </xf>
    <xf numFmtId="0" fontId="0" fillId="0" borderId="22" xfId="0" applyBorder="1" applyAlignment="1">
      <alignment horizontal="left" vertical="top" wrapText="1"/>
    </xf>
    <xf numFmtId="0" fontId="0" fillId="0" borderId="0" xfId="0" applyAlignment="1">
      <alignment horizontal="left" vertical="top" wrapText="1"/>
    </xf>
    <xf numFmtId="0" fontId="5" fillId="2" borderId="2" xfId="0" applyFont="1" applyFill="1" applyBorder="1" applyAlignment="1">
      <alignment horizontal="left" vertical="top" wrapText="1"/>
    </xf>
    <xf numFmtId="0" fontId="5" fillId="2" borderId="3" xfId="0" applyFont="1" applyFill="1" applyBorder="1" applyAlignment="1">
      <alignment horizontal="left" vertical="top" wrapText="1"/>
    </xf>
    <xf numFmtId="0" fontId="3" fillId="3" borderId="2" xfId="0" applyFont="1" applyFill="1" applyBorder="1" applyAlignment="1">
      <alignment horizontal="left" vertical="top" wrapText="1"/>
    </xf>
    <xf numFmtId="0" fontId="4" fillId="3" borderId="4" xfId="0" applyFont="1" applyFill="1" applyBorder="1" applyAlignment="1">
      <alignment horizontal="left" vertical="top" wrapText="1"/>
    </xf>
    <xf numFmtId="0" fontId="2" fillId="4" borderId="2" xfId="0" applyFont="1" applyFill="1" applyBorder="1" applyAlignment="1">
      <alignment horizontal="left" vertical="top" wrapText="1"/>
    </xf>
    <xf numFmtId="0" fontId="12" fillId="0" borderId="22" xfId="0" applyFont="1" applyBorder="1" applyAlignment="1">
      <alignment horizontal="left" vertical="top" wrapText="1"/>
    </xf>
    <xf numFmtId="0" fontId="12" fillId="13" borderId="22" xfId="0" applyFont="1" applyFill="1" applyBorder="1" applyAlignment="1">
      <alignment horizontal="center" vertical="center"/>
    </xf>
    <xf numFmtId="0" fontId="12" fillId="13" borderId="22" xfId="0" applyFont="1" applyFill="1" applyBorder="1" applyAlignment="1">
      <alignment horizontal="center" vertical="center"/>
    </xf>
    <xf numFmtId="0" fontId="12" fillId="0" borderId="22" xfId="0" applyFont="1" applyBorder="1" applyAlignment="1">
      <alignment horizontal="left" vertical="top" indent="1"/>
    </xf>
    <xf numFmtId="0" fontId="15" fillId="0" borderId="22" xfId="0" applyFont="1" applyBorder="1" applyAlignment="1">
      <alignment horizontal="center" vertical="top"/>
    </xf>
    <xf numFmtId="0" fontId="15" fillId="0" borderId="22" xfId="0" applyFont="1" applyBorder="1" applyAlignment="1">
      <alignment horizontal="left" vertical="top"/>
    </xf>
    <xf numFmtId="0" fontId="4" fillId="3" borderId="22" xfId="0" applyFont="1" applyFill="1" applyBorder="1" applyAlignment="1">
      <alignment horizontal="center" vertical="top" wrapText="1"/>
    </xf>
    <xf numFmtId="0" fontId="6" fillId="0" borderId="0" xfId="0" applyFont="1" applyBorder="1"/>
    <xf numFmtId="0" fontId="6" fillId="0" borderId="22" xfId="0" applyFont="1" applyBorder="1" applyAlignment="1">
      <alignment horizontal="center"/>
    </xf>
    <xf numFmtId="0" fontId="6" fillId="0" borderId="22" xfId="0" applyFont="1" applyBorder="1"/>
    <xf numFmtId="0" fontId="17" fillId="0" borderId="22" xfId="0" applyFont="1" applyBorder="1"/>
    <xf numFmtId="0" fontId="0" fillId="0" borderId="0" xfId="0" applyAlignment="1">
      <alignment horizontal="left"/>
    </xf>
    <xf numFmtId="0" fontId="9" fillId="5" borderId="22" xfId="0" applyFont="1" applyFill="1" applyBorder="1" applyAlignment="1">
      <alignment horizontal="left" vertical="center" wrapText="1"/>
    </xf>
    <xf numFmtId="0" fontId="9" fillId="5" borderId="22" xfId="0" applyFont="1" applyFill="1" applyBorder="1" applyAlignment="1">
      <alignment horizontal="left" vertical="top" wrapText="1"/>
    </xf>
    <xf numFmtId="0" fontId="9" fillId="7" borderId="22" xfId="0" applyFont="1" applyFill="1" applyBorder="1" applyAlignment="1">
      <alignment horizontal="left" vertical="center" wrapText="1"/>
    </xf>
    <xf numFmtId="0" fontId="12" fillId="0" borderId="22" xfId="0" applyFont="1" applyBorder="1" applyAlignment="1">
      <alignment horizontal="center"/>
    </xf>
    <xf numFmtId="0" fontId="4" fillId="3" borderId="24" xfId="0" applyFont="1" applyFill="1" applyBorder="1" applyAlignment="1">
      <alignment horizontal="center" vertical="top" wrapText="1"/>
    </xf>
    <xf numFmtId="0" fontId="12" fillId="0" borderId="0" xfId="0" applyFont="1" applyBorder="1"/>
    <xf numFmtId="0" fontId="12" fillId="0" borderId="0" xfId="0" applyFont="1" applyBorder="1" applyAlignment="1">
      <alignment horizontal="center" vertical="center" wrapText="1"/>
    </xf>
    <xf numFmtId="0" fontId="9" fillId="5" borderId="27" xfId="0" applyFont="1" applyFill="1" applyBorder="1" applyAlignment="1">
      <alignment horizontal="center" vertical="center" wrapText="1"/>
    </xf>
    <xf numFmtId="0" fontId="9" fillId="5" borderId="27" xfId="0" applyFont="1" applyFill="1" applyBorder="1" applyAlignment="1">
      <alignment vertical="top" wrapText="1"/>
    </xf>
    <xf numFmtId="0" fontId="9" fillId="5" borderId="28" xfId="0" applyFont="1" applyFill="1" applyBorder="1" applyAlignment="1">
      <alignment horizontal="center" vertical="center" wrapText="1"/>
    </xf>
    <xf numFmtId="0" fontId="9" fillId="5" borderId="28" xfId="0" applyFont="1" applyFill="1" applyBorder="1" applyAlignment="1">
      <alignment vertical="top" wrapText="1"/>
    </xf>
    <xf numFmtId="0" fontId="17" fillId="0" borderId="22" xfId="0" applyFont="1" applyBorder="1" applyAlignment="1">
      <alignment horizontal="center"/>
    </xf>
    <xf numFmtId="0" fontId="12" fillId="0" borderId="0" xfId="0" applyFont="1" applyBorder="1" applyAlignment="1">
      <alignment horizontal="center"/>
    </xf>
    <xf numFmtId="0" fontId="12" fillId="0" borderId="22" xfId="0" applyFont="1" applyBorder="1" applyAlignment="1">
      <alignment horizontal="center"/>
    </xf>
    <xf numFmtId="0" fontId="12" fillId="0" borderId="0" xfId="0" applyFont="1" applyBorder="1" applyAlignment="1">
      <alignment horizontal="center" vertical="center"/>
    </xf>
    <xf numFmtId="0" fontId="12" fillId="0" borderId="0" xfId="0" applyFont="1" applyBorder="1" applyAlignment="1">
      <alignment vertical="center"/>
    </xf>
    <xf numFmtId="0" fontId="6" fillId="0" borderId="0" xfId="0" applyFont="1" applyAlignment="1">
      <alignment horizontal="center"/>
    </xf>
    <xf numFmtId="0" fontId="19" fillId="15" borderId="35" xfId="0" applyFont="1" applyFill="1" applyBorder="1" applyAlignment="1">
      <alignment horizontal="center" vertical="center" wrapText="1" readingOrder="1"/>
    </xf>
    <xf numFmtId="0" fontId="19" fillId="15" borderId="36" xfId="0" applyFont="1" applyFill="1" applyBorder="1" applyAlignment="1">
      <alignment horizontal="center" vertical="center" wrapText="1" readingOrder="1"/>
    </xf>
    <xf numFmtId="0" fontId="19" fillId="15" borderId="37" xfId="0" applyFont="1" applyFill="1" applyBorder="1" applyAlignment="1">
      <alignment horizontal="center" vertical="center" wrapText="1" readingOrder="1"/>
    </xf>
    <xf numFmtId="0" fontId="19" fillId="15" borderId="38" xfId="0" applyFont="1" applyFill="1" applyBorder="1" applyAlignment="1">
      <alignment horizontal="center" vertical="center" wrapText="1" readingOrder="1"/>
    </xf>
    <xf numFmtId="0" fontId="9" fillId="0" borderId="40" xfId="0" applyFont="1" applyBorder="1" applyAlignment="1">
      <alignment horizontal="center" vertical="center" wrapText="1" readingOrder="1"/>
    </xf>
    <xf numFmtId="0" fontId="9" fillId="0" borderId="41" xfId="0" applyFont="1" applyBorder="1" applyAlignment="1">
      <alignment horizontal="center" vertical="center" wrapText="1" readingOrder="1"/>
    </xf>
    <xf numFmtId="0" fontId="9" fillId="18" borderId="39" xfId="0" applyFont="1" applyFill="1" applyBorder="1" applyAlignment="1">
      <alignment horizontal="left" vertical="center" wrapText="1" indent="1" readingOrder="1"/>
    </xf>
    <xf numFmtId="0" fontId="9" fillId="0" borderId="39" xfId="0" applyFont="1" applyBorder="1" applyAlignment="1">
      <alignment horizontal="center" vertical="center" wrapText="1" readingOrder="1"/>
    </xf>
    <xf numFmtId="0" fontId="9" fillId="17" borderId="39" xfId="0" applyFont="1" applyFill="1" applyBorder="1" applyAlignment="1">
      <alignment horizontal="center" vertical="center" wrapText="1" readingOrder="1"/>
    </xf>
    <xf numFmtId="0" fontId="9" fillId="16" borderId="39" xfId="0" applyFont="1" applyFill="1" applyBorder="1" applyAlignment="1">
      <alignment horizontal="left" vertical="center" wrapText="1" indent="1" readingOrder="1"/>
    </xf>
    <xf numFmtId="0" fontId="9" fillId="19" borderId="39" xfId="0" applyFont="1" applyFill="1" applyBorder="1" applyAlignment="1">
      <alignment horizontal="center" vertical="center" wrapText="1" readingOrder="1"/>
    </xf>
    <xf numFmtId="0" fontId="9" fillId="20" borderId="39" xfId="0" applyFont="1" applyFill="1" applyBorder="1" applyAlignment="1">
      <alignment horizontal="left" vertical="center" wrapText="1" indent="1" readingOrder="1"/>
    </xf>
    <xf numFmtId="0" fontId="9" fillId="21" borderId="39" xfId="0" applyFont="1" applyFill="1" applyBorder="1" applyAlignment="1">
      <alignment horizontal="center" vertical="center" wrapText="1" readingOrder="1"/>
    </xf>
    <xf numFmtId="0" fontId="20" fillId="16" borderId="39" xfId="0" applyFont="1" applyFill="1" applyBorder="1" applyAlignment="1">
      <alignment horizontal="left" vertical="center" wrapText="1" indent="1" readingOrder="1"/>
    </xf>
    <xf numFmtId="0" fontId="20" fillId="0" borderId="39" xfId="0" applyFont="1" applyBorder="1" applyAlignment="1">
      <alignment horizontal="center" vertical="center" wrapText="1" readingOrder="1"/>
    </xf>
    <xf numFmtId="0" fontId="9" fillId="0" borderId="39" xfId="0" applyFont="1" applyBorder="1" applyAlignment="1">
      <alignment horizontal="left" vertical="center" wrapText="1" indent="1" readingOrder="1"/>
    </xf>
    <xf numFmtId="0" fontId="9" fillId="14" borderId="39" xfId="0" applyFont="1" applyFill="1" applyBorder="1" applyAlignment="1">
      <alignment horizontal="center" vertical="center" wrapText="1" readingOrder="1"/>
    </xf>
    <xf numFmtId="0" fontId="20" fillId="14" borderId="39" xfId="0" applyFont="1" applyFill="1" applyBorder="1" applyAlignment="1">
      <alignment horizontal="center" vertical="center" wrapText="1" readingOrder="1"/>
    </xf>
    <xf numFmtId="0" fontId="20" fillId="22" borderId="39" xfId="0" applyFont="1" applyFill="1" applyBorder="1" applyAlignment="1">
      <alignment horizontal="left" vertical="center" wrapText="1" indent="1" readingOrder="1"/>
    </xf>
    <xf numFmtId="0" fontId="20" fillId="0" borderId="39" xfId="0" applyFont="1" applyBorder="1" applyAlignment="1">
      <alignment horizontal="left" vertical="center" wrapText="1" indent="1" readingOrder="1"/>
    </xf>
    <xf numFmtId="0" fontId="21" fillId="0" borderId="39" xfId="0" applyFont="1" applyBorder="1" applyAlignment="1">
      <alignment horizontal="center" vertical="center" wrapText="1" readingOrder="1"/>
    </xf>
    <xf numFmtId="0" fontId="9" fillId="0" borderId="40" xfId="0" applyFont="1" applyBorder="1" applyAlignment="1">
      <alignment horizontal="center" vertical="center" wrapText="1" readingOrder="1"/>
    </xf>
    <xf numFmtId="0" fontId="9" fillId="0" borderId="40" xfId="0" applyFont="1" applyBorder="1" applyAlignment="1">
      <alignment horizontal="left" vertical="center" wrapText="1" readingOrder="1"/>
    </xf>
    <xf numFmtId="0" fontId="9" fillId="0" borderId="39" xfId="0" applyFont="1" applyBorder="1" applyAlignment="1">
      <alignment horizontal="left" vertical="center" wrapText="1" readingOrder="1"/>
    </xf>
    <xf numFmtId="0" fontId="20" fillId="0" borderId="40" xfId="0" applyFont="1" applyBorder="1" applyAlignment="1">
      <alignment horizontal="left" vertical="center" wrapText="1" readingOrder="1"/>
    </xf>
    <xf numFmtId="0" fontId="9" fillId="0" borderId="43" xfId="0" applyFont="1" applyBorder="1" applyAlignment="1">
      <alignment horizontal="center" vertical="center" wrapText="1" readingOrder="1"/>
    </xf>
    <xf numFmtId="0" fontId="19" fillId="15" borderId="44" xfId="0" applyFont="1" applyFill="1" applyBorder="1" applyAlignment="1">
      <alignment horizontal="center" vertical="center" wrapText="1" readingOrder="1"/>
    </xf>
    <xf numFmtId="0" fontId="19" fillId="15" borderId="45" xfId="0" applyFont="1" applyFill="1" applyBorder="1" applyAlignment="1">
      <alignment horizontal="center" vertical="center" wrapText="1" readingOrder="1"/>
    </xf>
    <xf numFmtId="0" fontId="9" fillId="0" borderId="43" xfId="0" applyFont="1" applyBorder="1" applyAlignment="1">
      <alignment horizontal="left" vertical="center" wrapText="1" readingOrder="1"/>
    </xf>
    <xf numFmtId="0" fontId="19" fillId="15" borderId="45" xfId="0" applyFont="1" applyFill="1" applyBorder="1" applyAlignment="1">
      <alignment vertical="center" wrapText="1" readingOrder="1"/>
    </xf>
    <xf numFmtId="0" fontId="9" fillId="0" borderId="0" xfId="0" applyFont="1" applyFill="1" applyBorder="1" applyAlignment="1">
      <alignment horizontal="left" vertical="center" wrapText="1" readingOrder="1"/>
    </xf>
    <xf numFmtId="0" fontId="9" fillId="0" borderId="46" xfId="0" applyFont="1" applyBorder="1" applyAlignment="1">
      <alignment horizontal="center" vertical="center" wrapText="1" readingOrder="1"/>
    </xf>
    <xf numFmtId="0" fontId="9" fillId="0" borderId="47" xfId="0" applyFont="1" applyBorder="1" applyAlignment="1">
      <alignment horizontal="center" vertical="center" wrapText="1" readingOrder="1"/>
    </xf>
    <xf numFmtId="49" fontId="9" fillId="0" borderId="42" xfId="0" applyNumberFormat="1" applyFont="1" applyBorder="1" applyAlignment="1">
      <alignment horizontal="center" vertical="center" wrapText="1" readingOrder="1"/>
    </xf>
    <xf numFmtId="0" fontId="1" fillId="23" borderId="26" xfId="0" applyFont="1" applyFill="1" applyBorder="1" applyAlignment="1">
      <alignment horizontal="left" vertical="top"/>
    </xf>
    <xf numFmtId="0" fontId="7" fillId="23" borderId="26" xfId="0" applyFont="1" applyFill="1" applyBorder="1" applyAlignment="1">
      <alignment horizontal="left" vertical="top"/>
    </xf>
    <xf numFmtId="0" fontId="7" fillId="23" borderId="26" xfId="0" applyFont="1" applyFill="1" applyBorder="1"/>
    <xf numFmtId="0" fontId="7" fillId="23" borderId="26" xfId="0" applyFont="1" applyFill="1" applyBorder="1" applyAlignment="1">
      <alignment horizontal="left" vertical="top" wrapText="1"/>
    </xf>
    <xf numFmtId="0" fontId="12" fillId="0" borderId="22" xfId="0" applyFont="1" applyBorder="1" applyAlignment="1">
      <alignment horizontal="center"/>
    </xf>
    <xf numFmtId="0" fontId="12" fillId="13" borderId="22" xfId="0" applyFont="1" applyFill="1" applyBorder="1" applyAlignment="1">
      <alignment horizontal="center" vertical="center"/>
    </xf>
    <xf numFmtId="0" fontId="1" fillId="0" borderId="0" xfId="0" applyFont="1" applyAlignment="1">
      <alignment horizontal="center"/>
    </xf>
    <xf numFmtId="0" fontId="0" fillId="0" borderId="22" xfId="0" applyFont="1" applyBorder="1" applyAlignment="1">
      <alignment horizontal="left" wrapText="1"/>
    </xf>
    <xf numFmtId="0" fontId="0" fillId="0" borderId="22" xfId="0" applyBorder="1" applyAlignment="1">
      <alignment horizontal="left" wrapText="1"/>
    </xf>
    <xf numFmtId="0" fontId="11" fillId="0" borderId="0" xfId="0" applyFont="1" applyAlignment="1">
      <alignment horizontal="center"/>
    </xf>
    <xf numFmtId="0" fontId="11" fillId="0" borderId="0" xfId="0" applyFont="1" applyBorder="1"/>
    <xf numFmtId="0" fontId="11" fillId="0" borderId="22" xfId="0" applyFont="1" applyBorder="1" applyAlignment="1">
      <alignment horizontal="center"/>
    </xf>
    <xf numFmtId="0" fontId="12" fillId="0" borderId="22" xfId="0" applyFont="1" applyBorder="1" applyAlignment="1">
      <alignment vertical="top"/>
    </xf>
    <xf numFmtId="0" fontId="0" fillId="0" borderId="22" xfId="0" applyBorder="1" applyAlignment="1">
      <alignment horizontal="center" vertical="top"/>
    </xf>
    <xf numFmtId="0" fontId="12" fillId="0" borderId="22" xfId="0" applyFont="1" applyBorder="1" applyAlignment="1">
      <alignment horizontal="center" vertical="top"/>
    </xf>
    <xf numFmtId="9" fontId="12" fillId="0" borderId="22" xfId="1" applyFont="1" applyBorder="1" applyAlignment="1">
      <alignment horizontal="center" vertical="top"/>
    </xf>
    <xf numFmtId="0" fontId="0" fillId="0" borderId="30" xfId="0" applyBorder="1" applyAlignment="1">
      <alignment horizontal="center" vertical="top"/>
    </xf>
    <xf numFmtId="0" fontId="0" fillId="0" borderId="23" xfId="0" applyBorder="1" applyAlignment="1">
      <alignment horizontal="center" vertical="top"/>
    </xf>
    <xf numFmtId="0" fontId="4" fillId="3" borderId="22" xfId="0" applyFont="1" applyFill="1" applyBorder="1" applyAlignment="1">
      <alignment horizontal="center" vertical="top" wrapText="1"/>
    </xf>
    <xf numFmtId="0" fontId="4" fillId="24" borderId="5" xfId="0" applyFont="1" applyFill="1" applyBorder="1" applyAlignment="1">
      <alignment horizontal="left" vertical="top" wrapText="1"/>
    </xf>
    <xf numFmtId="14" fontId="0" fillId="0" borderId="22" xfId="0" applyNumberFormat="1" applyBorder="1" applyAlignment="1">
      <alignment horizontal="left" vertical="top" wrapText="1"/>
    </xf>
    <xf numFmtId="14" fontId="0" fillId="0" borderId="0" xfId="0" applyNumberFormat="1" applyAlignment="1">
      <alignment horizontal="left" vertical="top" wrapText="1"/>
    </xf>
    <xf numFmtId="0" fontId="9" fillId="5" borderId="10" xfId="0" applyFont="1" applyFill="1" applyBorder="1" applyAlignment="1">
      <alignment horizontal="left" vertical="top" wrapText="1"/>
    </xf>
    <xf numFmtId="0" fontId="9" fillId="5" borderId="11" xfId="0" applyFont="1" applyFill="1" applyBorder="1" applyAlignment="1">
      <alignment horizontal="left" vertical="top" wrapText="1"/>
    </xf>
    <xf numFmtId="0" fontId="9" fillId="5" borderId="9" xfId="0" applyFont="1" applyFill="1" applyBorder="1" applyAlignment="1">
      <alignment vertical="top" wrapText="1"/>
    </xf>
    <xf numFmtId="0" fontId="9" fillId="5" borderId="11" xfId="0" applyFont="1" applyFill="1" applyBorder="1" applyAlignment="1">
      <alignment vertical="top" wrapText="1"/>
    </xf>
    <xf numFmtId="0" fontId="9" fillId="5" borderId="9" xfId="0" applyFont="1" applyFill="1" applyBorder="1" applyAlignment="1">
      <alignment horizontal="left" vertical="top" wrapText="1"/>
    </xf>
    <xf numFmtId="0" fontId="10" fillId="5" borderId="10" xfId="0" applyFont="1" applyFill="1" applyBorder="1" applyAlignment="1">
      <alignment horizontal="left" vertical="top" wrapText="1"/>
    </xf>
    <xf numFmtId="0" fontId="10" fillId="5" borderId="11" xfId="0" applyFont="1" applyFill="1" applyBorder="1" applyAlignment="1">
      <alignment horizontal="left" vertical="top" wrapText="1"/>
    </xf>
    <xf numFmtId="0" fontId="11" fillId="0" borderId="22" xfId="0" applyFont="1" applyBorder="1" applyAlignment="1">
      <alignment horizontal="left"/>
    </xf>
    <xf numFmtId="0" fontId="4" fillId="3" borderId="22" xfId="0" applyFont="1" applyFill="1" applyBorder="1" applyAlignment="1">
      <alignment horizontal="center" vertical="top" wrapText="1"/>
    </xf>
    <xf numFmtId="0" fontId="12" fillId="12" borderId="23" xfId="0" applyFont="1" applyFill="1" applyBorder="1" applyAlignment="1">
      <alignment horizontal="left" vertical="center"/>
    </xf>
    <xf numFmtId="0" fontId="12" fillId="12" borderId="25" xfId="0" applyFont="1" applyFill="1" applyBorder="1" applyAlignment="1">
      <alignment horizontal="left" vertical="center"/>
    </xf>
    <xf numFmtId="0" fontId="12" fillId="12" borderId="24" xfId="0" applyFont="1" applyFill="1" applyBorder="1" applyAlignment="1">
      <alignment horizontal="left" vertical="center"/>
    </xf>
    <xf numFmtId="0" fontId="11" fillId="0" borderId="0" xfId="0" applyFont="1" applyBorder="1" applyAlignment="1">
      <alignment horizontal="left"/>
    </xf>
    <xf numFmtId="0" fontId="4" fillId="3" borderId="23" xfId="0" applyFont="1" applyFill="1" applyBorder="1" applyAlignment="1">
      <alignment horizontal="center" vertical="top" wrapText="1"/>
    </xf>
    <xf numFmtId="0" fontId="4" fillId="3" borderId="25" xfId="0" applyFont="1" applyFill="1" applyBorder="1" applyAlignment="1">
      <alignment horizontal="center" vertical="top" wrapText="1"/>
    </xf>
    <xf numFmtId="0" fontId="4" fillId="3" borderId="24" xfId="0" applyFont="1" applyFill="1" applyBorder="1" applyAlignment="1">
      <alignment horizontal="center" vertical="top" wrapText="1"/>
    </xf>
    <xf numFmtId="0" fontId="12" fillId="12" borderId="27" xfId="0" applyFont="1" applyFill="1" applyBorder="1" applyAlignment="1">
      <alignment horizontal="center" vertical="center"/>
    </xf>
    <xf numFmtId="0" fontId="12" fillId="12" borderId="26" xfId="0" applyFont="1" applyFill="1" applyBorder="1" applyAlignment="1">
      <alignment horizontal="center" vertical="center"/>
    </xf>
    <xf numFmtId="0" fontId="12" fillId="12" borderId="28" xfId="0" applyFont="1" applyFill="1" applyBorder="1" applyAlignment="1">
      <alignment horizontal="center" vertical="center"/>
    </xf>
    <xf numFmtId="0" fontId="12" fillId="13" borderId="22" xfId="0" applyFont="1" applyFill="1" applyBorder="1" applyAlignment="1">
      <alignment horizontal="center" vertical="center"/>
    </xf>
    <xf numFmtId="0" fontId="12" fillId="0" borderId="22" xfId="0" applyFont="1" applyBorder="1" applyAlignment="1">
      <alignment horizontal="center" vertical="center"/>
    </xf>
    <xf numFmtId="0" fontId="12" fillId="13" borderId="27" xfId="0" applyFont="1" applyFill="1" applyBorder="1" applyAlignment="1">
      <alignment horizontal="center" vertical="center"/>
    </xf>
    <xf numFmtId="0" fontId="12" fillId="13" borderId="28" xfId="0" applyFont="1" applyFill="1" applyBorder="1" applyAlignment="1">
      <alignment horizontal="center" vertical="center"/>
    </xf>
    <xf numFmtId="0" fontId="17" fillId="0" borderId="22" xfId="0" applyFont="1" applyBorder="1" applyAlignment="1">
      <alignment horizontal="left"/>
    </xf>
    <xf numFmtId="0" fontId="0" fillId="0" borderId="22" xfId="0" applyBorder="1" applyAlignment="1">
      <alignment horizontal="left"/>
    </xf>
    <xf numFmtId="0" fontId="12" fillId="0" borderId="30" xfId="0" applyFont="1" applyBorder="1" applyAlignment="1">
      <alignment horizontal="center"/>
    </xf>
    <xf numFmtId="0" fontId="12" fillId="0" borderId="31" xfId="0" applyFont="1" applyBorder="1" applyAlignment="1">
      <alignment horizontal="center"/>
    </xf>
    <xf numFmtId="0" fontId="12" fillId="0" borderId="32" xfId="0" applyFont="1" applyBorder="1" applyAlignment="1">
      <alignment horizontal="center"/>
    </xf>
    <xf numFmtId="0" fontId="12" fillId="0" borderId="0" xfId="0" applyFont="1" applyBorder="1" applyAlignment="1">
      <alignment horizontal="center" vertical="center"/>
    </xf>
    <xf numFmtId="0" fontId="12" fillId="0" borderId="27" xfId="0" applyFont="1" applyBorder="1" applyAlignment="1">
      <alignment horizontal="center" vertical="center"/>
    </xf>
    <xf numFmtId="0" fontId="12" fillId="0" borderId="26" xfId="0" applyFont="1" applyBorder="1" applyAlignment="1">
      <alignment horizontal="center" vertical="center"/>
    </xf>
    <xf numFmtId="0" fontId="12" fillId="0" borderId="28" xfId="0" applyFont="1" applyBorder="1" applyAlignment="1">
      <alignment horizontal="center" vertical="center"/>
    </xf>
    <xf numFmtId="0" fontId="13" fillId="10" borderId="23" xfId="0" applyFont="1" applyFill="1" applyBorder="1" applyAlignment="1">
      <alignment horizontal="center" vertical="center"/>
    </xf>
    <xf numFmtId="0" fontId="13" fillId="10" borderId="24" xfId="0" applyFont="1" applyFill="1" applyBorder="1" applyAlignment="1">
      <alignment horizontal="center" vertical="center"/>
    </xf>
    <xf numFmtId="0" fontId="13" fillId="10" borderId="23" xfId="0" applyFont="1" applyFill="1"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14" fillId="0" borderId="22" xfId="0" applyFont="1" applyBorder="1" applyAlignment="1">
      <alignment horizontal="center" vertical="center"/>
    </xf>
    <xf numFmtId="0" fontId="9" fillId="17" borderId="40" xfId="0" applyFont="1" applyFill="1" applyBorder="1" applyAlignment="1">
      <alignment horizontal="center" vertical="center" wrapText="1" readingOrder="1"/>
    </xf>
    <xf numFmtId="0" fontId="9" fillId="17" borderId="41" xfId="0" applyFont="1" applyFill="1" applyBorder="1" applyAlignment="1">
      <alignment horizontal="center" vertical="center" wrapText="1" readingOrder="1"/>
    </xf>
    <xf numFmtId="0" fontId="19" fillId="15" borderId="33" xfId="0" applyFont="1" applyFill="1" applyBorder="1" applyAlignment="1">
      <alignment horizontal="center" vertical="center" wrapText="1" readingOrder="1"/>
    </xf>
    <xf numFmtId="0" fontId="19" fillId="15" borderId="34" xfId="0" applyFont="1" applyFill="1" applyBorder="1" applyAlignment="1">
      <alignment horizontal="center" vertical="center" wrapText="1" readingOrder="1"/>
    </xf>
    <xf numFmtId="0" fontId="9" fillId="16" borderId="40" xfId="0" applyFont="1" applyFill="1" applyBorder="1" applyAlignment="1">
      <alignment horizontal="left" vertical="center" wrapText="1" indent="1" readingOrder="1"/>
    </xf>
    <xf numFmtId="0" fontId="9" fillId="16" borderId="41" xfId="0" applyFont="1" applyFill="1" applyBorder="1" applyAlignment="1">
      <alignment horizontal="left" vertical="center" wrapText="1" indent="1" readingOrder="1"/>
    </xf>
    <xf numFmtId="0" fontId="9" fillId="0" borderId="40" xfId="0" applyFont="1" applyBorder="1" applyAlignment="1">
      <alignment horizontal="center" vertical="center" wrapText="1" readingOrder="1"/>
    </xf>
    <xf numFmtId="0" fontId="9" fillId="0" borderId="41" xfId="0" applyFont="1" applyBorder="1" applyAlignment="1">
      <alignment horizontal="center" vertical="center" wrapText="1" readingOrder="1"/>
    </xf>
  </cellXfs>
  <cellStyles count="2">
    <cellStyle name="Normal" xfId="0" builtinId="0"/>
    <cellStyle name="Percent" xfId="1" builtinId="5"/>
  </cellStyles>
  <dxfs count="27">
    <dxf>
      <fill>
        <patternFill>
          <bgColor theme="4"/>
        </patternFill>
      </fill>
    </dxf>
    <dxf>
      <fill>
        <patternFill>
          <bgColor theme="4"/>
        </patternFill>
      </fill>
    </dxf>
    <dxf>
      <fill>
        <patternFill>
          <bgColor theme="9" tint="-0.24994659260841701"/>
        </patternFill>
      </fill>
    </dxf>
    <dxf>
      <fill>
        <patternFill>
          <bgColor rgb="FFFF0000"/>
        </patternFill>
      </fill>
    </dxf>
    <dxf>
      <fill>
        <patternFill>
          <bgColor theme="9" tint="-0.24994659260841701"/>
        </patternFill>
      </fill>
    </dxf>
    <dxf>
      <fill>
        <patternFill>
          <bgColor rgb="FFFF0000"/>
        </patternFill>
      </fill>
    </dxf>
    <dxf>
      <fill>
        <patternFill>
          <bgColor theme="9" tint="-0.24994659260841701"/>
        </patternFill>
      </fill>
    </dxf>
    <dxf>
      <fill>
        <patternFill>
          <bgColor rgb="FFFF0000"/>
        </patternFill>
      </fill>
    </dxf>
    <dxf>
      <fill>
        <patternFill>
          <bgColor theme="6"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s>
  <tableStyles count="0" defaultTableStyle="TableStyleMedium2" defaultPivotStyle="PivotStyleLight16"/>
  <colors>
    <mruColors>
      <color rgb="FFFF3300"/>
      <color rgb="FFFF66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IE"/>
  <c:style val="26"/>
  <c:chart>
    <c:autoTitleDeleted val="1"/>
    <c:plotArea>
      <c:layout/>
      <c:barChart>
        <c:barDir val="col"/>
        <c:grouping val="clustered"/>
        <c:ser>
          <c:idx val="0"/>
          <c:order val="0"/>
          <c:dLbls>
            <c:dLbl>
              <c:idx val="2"/>
              <c:layout>
                <c:manualLayout>
                  <c:x val="-5.3228494793332104E-3"/>
                  <c:y val="-5.0245566692004645E-3"/>
                </c:manualLayout>
              </c:layout>
              <c:showVal val="1"/>
            </c:dLbl>
            <c:dLbl>
              <c:idx val="4"/>
              <c:layout>
                <c:manualLayout>
                  <c:x val="-7.5537059226292533E-3"/>
                  <c:y val="-1.4783333571506812E-2"/>
                </c:manualLayout>
              </c:layout>
              <c:showVal val="1"/>
            </c:dLbl>
            <c:showVal val="1"/>
          </c:dLbls>
          <c:cat>
            <c:strRef>
              <c:f>Overview!$B$8:$B$15</c:f>
              <c:strCache>
                <c:ptCount val="8"/>
                <c:pt idx="0">
                  <c:v>Actuarial</c:v>
                </c:pt>
                <c:pt idx="1">
                  <c:v>Audit</c:v>
                </c:pt>
                <c:pt idx="2">
                  <c:v>Capital</c:v>
                </c:pt>
                <c:pt idx="3">
                  <c:v>Capital (Finance)</c:v>
                </c:pt>
                <c:pt idx="4">
                  <c:v>Compliance</c:v>
                </c:pt>
                <c:pt idx="5">
                  <c:v>Investments</c:v>
                </c:pt>
                <c:pt idx="6">
                  <c:v>Reporting</c:v>
                </c:pt>
                <c:pt idx="7">
                  <c:v>Risk</c:v>
                </c:pt>
              </c:strCache>
            </c:strRef>
          </c:cat>
          <c:val>
            <c:numRef>
              <c:f>Overview!$C$8:$C$15</c:f>
              <c:numCache>
                <c:formatCode>General</c:formatCode>
                <c:ptCount val="8"/>
                <c:pt idx="0">
                  <c:v>9</c:v>
                </c:pt>
                <c:pt idx="1">
                  <c:v>1</c:v>
                </c:pt>
                <c:pt idx="2">
                  <c:v>15</c:v>
                </c:pt>
                <c:pt idx="3">
                  <c:v>8</c:v>
                </c:pt>
                <c:pt idx="4">
                  <c:v>10</c:v>
                </c:pt>
                <c:pt idx="5">
                  <c:v>2</c:v>
                </c:pt>
                <c:pt idx="6">
                  <c:v>5</c:v>
                </c:pt>
                <c:pt idx="7">
                  <c:v>2</c:v>
                </c:pt>
              </c:numCache>
            </c:numRef>
          </c:val>
        </c:ser>
        <c:gapWidth val="100"/>
        <c:axId val="225633408"/>
        <c:axId val="219098496"/>
      </c:barChart>
      <c:valAx>
        <c:axId val="219098496"/>
        <c:scaling>
          <c:orientation val="minMax"/>
        </c:scaling>
        <c:axPos val="l"/>
        <c:majorGridlines/>
        <c:numFmt formatCode="General" sourceLinked="1"/>
        <c:tickLblPos val="nextTo"/>
        <c:crossAx val="225633408"/>
        <c:crosses val="autoZero"/>
        <c:crossBetween val="between"/>
      </c:valAx>
      <c:catAx>
        <c:axId val="225633408"/>
        <c:scaling>
          <c:orientation val="minMax"/>
        </c:scaling>
        <c:axPos val="b"/>
        <c:numFmt formatCode="General" sourceLinked="1"/>
        <c:tickLblPos val="nextTo"/>
        <c:crossAx val="219098496"/>
        <c:crosses val="autoZero"/>
        <c:auto val="1"/>
        <c:lblAlgn val="ctr"/>
        <c:lblOffset val="100"/>
      </c:catAx>
    </c:plotArea>
    <c:plotVisOnly val="1"/>
  </c:chart>
  <c:printSettings>
    <c:headerFooter/>
    <c:pageMargins b="0.75000000000000711" l="0.70000000000000062" r="0.70000000000000062" t="0.750000000000007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Operational Capabilities</a:t>
            </a:r>
          </a:p>
        </c:rich>
      </c:tx>
      <c:layout/>
    </c:title>
    <c:plotArea>
      <c:layout/>
      <c:pieChart>
        <c:varyColors val="1"/>
        <c:ser>
          <c:idx val="2"/>
          <c:order val="2"/>
          <c:dLbls>
            <c:dLbl>
              <c:idx val="3"/>
              <c:layout>
                <c:manualLayout>
                  <c:x val="-3.6813300670251042E-2"/>
                  <c:y val="-1.6163701321336803E-2"/>
                </c:manualLayout>
              </c:layout>
              <c:showVal val="1"/>
              <c:showPercent val="1"/>
            </c:dLbl>
            <c:showVal val="1"/>
            <c:showPercent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3"/>
          <c:order val="3"/>
          <c:dLbls>
            <c:showVal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1"/>
          <c:order val="1"/>
          <c:dLbls>
            <c:showVal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0"/>
          <c:order val="0"/>
          <c:dLbls>
            <c:dLbl>
              <c:idx val="3"/>
              <c:delete val="1"/>
            </c:dLbl>
            <c:showVal val="1"/>
            <c:showPercent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dLbls>
          <c:showVal val="1"/>
        </c:dLbls>
        <c:firstSliceAng val="0"/>
      </c:pieChart>
    </c:plotArea>
    <c:legend>
      <c:legendPos val="b"/>
      <c:layout/>
    </c:legend>
    <c:plotVisOnly val="1"/>
  </c:chart>
  <c:printSettings>
    <c:headerFooter/>
    <c:pageMargins b="0.75000000000000455" l="0.70000000000000062" r="0.70000000000000062" t="0.750000000000004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 Existing Evidence Meets Requirements</a:t>
            </a:r>
          </a:p>
        </c:rich>
      </c:tx>
      <c:layout/>
    </c:title>
    <c:plotArea>
      <c:layout/>
      <c:pieChart>
        <c:varyColors val="1"/>
        <c:ser>
          <c:idx val="0"/>
          <c:order val="0"/>
          <c:dLbls>
            <c:dLbl>
              <c:idx val="3"/>
              <c:layout>
                <c:manualLayout>
                  <c:x val="-4.1245699230206101E-2"/>
                  <c:y val="-9.2518338898656734E-3"/>
                </c:manualLayout>
              </c:layout>
              <c:dLblPos val="bestFit"/>
              <c:showVal val="1"/>
              <c:showPercent val="1"/>
            </c:dLbl>
            <c:dLblPos val="bestFit"/>
            <c:showVal val="1"/>
            <c:showPercent val="1"/>
            <c:showLeaderLines val="1"/>
          </c:dLbls>
          <c:cat>
            <c:strRef>
              <c:f>Overview!$E$84:$H$84</c:f>
              <c:strCache>
                <c:ptCount val="4"/>
                <c:pt idx="0">
                  <c:v>No Gap</c:v>
                </c:pt>
                <c:pt idx="1">
                  <c:v>Minor Gap</c:v>
                </c:pt>
                <c:pt idx="2">
                  <c:v>Significant Gap</c:v>
                </c:pt>
                <c:pt idx="3">
                  <c:v>Priority</c:v>
                </c:pt>
              </c:strCache>
            </c:strRef>
          </c:cat>
          <c:val>
            <c:numRef>
              <c:f>Overview!$E$85:$H$85</c:f>
              <c:numCache>
                <c:formatCode>General</c:formatCode>
                <c:ptCount val="4"/>
                <c:pt idx="0">
                  <c:v>30</c:v>
                </c:pt>
                <c:pt idx="1">
                  <c:v>13</c:v>
                </c:pt>
                <c:pt idx="2">
                  <c:v>8</c:v>
                </c:pt>
                <c:pt idx="3">
                  <c:v>1</c:v>
                </c:pt>
              </c:numCache>
            </c:numRef>
          </c:val>
        </c:ser>
        <c:dLbls>
          <c:showVal val="1"/>
        </c:dLbls>
        <c:firstSliceAng val="0"/>
      </c:pieChart>
    </c:plotArea>
    <c:legend>
      <c:legendPos val="b"/>
      <c:layout/>
    </c:legend>
    <c:plotVisOnly val="1"/>
  </c:chart>
  <c:printSettings>
    <c:headerFooter/>
    <c:pageMargins b="0.75000000000000477" l="0.70000000000000062" r="0.70000000000000062" t="0.750000000000004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IE"/>
  <c:style val="26"/>
  <c:chart>
    <c:autoTitleDeleted val="1"/>
    <c:plotArea>
      <c:layout/>
      <c:barChart>
        <c:barDir val="col"/>
        <c:grouping val="clustered"/>
        <c:ser>
          <c:idx val="0"/>
          <c:order val="0"/>
          <c:dLbls>
            <c:dLbl>
              <c:idx val="2"/>
              <c:layout>
                <c:manualLayout>
                  <c:x val="-5.3228494793332104E-3"/>
                  <c:y val="-5.0245566692004645E-3"/>
                </c:manualLayout>
              </c:layout>
              <c:showVal val="1"/>
            </c:dLbl>
            <c:dLbl>
              <c:idx val="4"/>
              <c:layout>
                <c:manualLayout>
                  <c:x val="-7.5537059226292533E-3"/>
                  <c:y val="-1.4783333571506812E-2"/>
                </c:manualLayout>
              </c:layout>
              <c:showVal val="1"/>
            </c:dLbl>
            <c:showVal val="1"/>
          </c:dLbls>
          <c:cat>
            <c:strRef>
              <c:f>Overview!$I$3:$I$11</c:f>
              <c:strCache>
                <c:ptCount val="9"/>
                <c:pt idx="0">
                  <c:v>Reference</c:v>
                </c:pt>
                <c:pt idx="1">
                  <c:v>Regulatory Only</c:v>
                </c:pt>
                <c:pt idx="2">
                  <c:v>Org. Structure</c:v>
                </c:pt>
                <c:pt idx="3">
                  <c:v>Reorg./wind up</c:v>
                </c:pt>
                <c:pt idx="4">
                  <c:v>Product Type</c:v>
                </c:pt>
                <c:pt idx="5">
                  <c:v>Group Only</c:v>
                </c:pt>
                <c:pt idx="6">
                  <c:v>Authorisation</c:v>
                </c:pt>
                <c:pt idx="7">
                  <c:v>IM Company</c:v>
                </c:pt>
                <c:pt idx="8">
                  <c:v>Other</c:v>
                </c:pt>
              </c:strCache>
            </c:strRef>
          </c:cat>
          <c:val>
            <c:numRef>
              <c:f>Overview!$L$3:$L$11</c:f>
              <c:numCache>
                <c:formatCode>General</c:formatCode>
                <c:ptCount val="9"/>
                <c:pt idx="0">
                  <c:v>62</c:v>
                </c:pt>
                <c:pt idx="1">
                  <c:v>43</c:v>
                </c:pt>
                <c:pt idx="2">
                  <c:v>40</c:v>
                </c:pt>
                <c:pt idx="3">
                  <c:v>32</c:v>
                </c:pt>
                <c:pt idx="4">
                  <c:v>27</c:v>
                </c:pt>
                <c:pt idx="5">
                  <c:v>19</c:v>
                </c:pt>
                <c:pt idx="6">
                  <c:v>10</c:v>
                </c:pt>
                <c:pt idx="7">
                  <c:v>10</c:v>
                </c:pt>
                <c:pt idx="8">
                  <c:v>17</c:v>
                </c:pt>
              </c:numCache>
            </c:numRef>
          </c:val>
        </c:ser>
        <c:gapWidth val="100"/>
        <c:axId val="398295808"/>
        <c:axId val="359172352"/>
      </c:barChart>
      <c:valAx>
        <c:axId val="359172352"/>
        <c:scaling>
          <c:orientation val="minMax"/>
        </c:scaling>
        <c:axPos val="l"/>
        <c:majorGridlines/>
        <c:numFmt formatCode="General" sourceLinked="1"/>
        <c:tickLblPos val="nextTo"/>
        <c:crossAx val="398295808"/>
        <c:crosses val="autoZero"/>
        <c:crossBetween val="between"/>
      </c:valAx>
      <c:catAx>
        <c:axId val="398295808"/>
        <c:scaling>
          <c:orientation val="minMax"/>
        </c:scaling>
        <c:axPos val="b"/>
        <c:numFmt formatCode="General" sourceLinked="1"/>
        <c:tickLblPos val="nextTo"/>
        <c:crossAx val="359172352"/>
        <c:crosses val="autoZero"/>
        <c:auto val="1"/>
        <c:lblAlgn val="ctr"/>
        <c:lblOffset val="100"/>
      </c:catAx>
    </c:plotArea>
    <c:plotVisOnly val="1"/>
  </c:chart>
  <c:printSettings>
    <c:headerFooter/>
    <c:pageMargins b="0.75000000000000733" l="0.70000000000000062" r="0.70000000000000062" t="0.750000000000007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IE"/>
  <c:style val="26"/>
  <c:chart>
    <c:title>
      <c:tx>
        <c:rich>
          <a:bodyPr/>
          <a:lstStyle/>
          <a:p>
            <a:pPr>
              <a:defRPr/>
            </a:pPr>
            <a:r>
              <a:rPr lang="en-US"/>
              <a:t>Assigned</a:t>
            </a:r>
            <a:r>
              <a:rPr lang="en-US" baseline="0"/>
              <a:t> vs Un-Assigned</a:t>
            </a:r>
            <a:endParaRPr lang="en-US"/>
          </a:p>
        </c:rich>
      </c:tx>
    </c:title>
    <c:plotArea>
      <c:layout/>
      <c:pieChart>
        <c:varyColors val="1"/>
        <c:ser>
          <c:idx val="0"/>
          <c:order val="0"/>
          <c:tx>
            <c:strRef>
              <c:f>'Dashboard 3'!$B$4</c:f>
              <c:strCache>
                <c:ptCount val="1"/>
                <c:pt idx="0">
                  <c:v>Gaps</c:v>
                </c:pt>
              </c:strCache>
            </c:strRef>
          </c:tx>
          <c:dLbls>
            <c:showVal val="1"/>
            <c:showPercent val="1"/>
            <c:showLeaderLines val="1"/>
          </c:dLbls>
          <c:cat>
            <c:strRef>
              <c:f>'Dashboard 3'!$B$5:$B$6</c:f>
              <c:strCache>
                <c:ptCount val="2"/>
                <c:pt idx="0">
                  <c:v>Applicable</c:v>
                </c:pt>
                <c:pt idx="1">
                  <c:v>Non applicable</c:v>
                </c:pt>
              </c:strCache>
            </c:strRef>
          </c:cat>
          <c:val>
            <c:numRef>
              <c:f>'Dashboard 3'!$C$5:$C$6</c:f>
              <c:numCache>
                <c:formatCode>General</c:formatCode>
                <c:ptCount val="2"/>
                <c:pt idx="0">
                  <c:v>0</c:v>
                </c:pt>
                <c:pt idx="1">
                  <c:v>0</c:v>
                </c:pt>
              </c:numCache>
            </c:numRef>
          </c:val>
        </c:ser>
        <c:dLbls>
          <c:showPercent val="1"/>
        </c:dLbls>
        <c:firstSliceAng val="0"/>
      </c:pieChart>
    </c:plotArea>
    <c:legend>
      <c:legendPos val="t"/>
    </c:legend>
    <c:plotVisOnly val="1"/>
  </c:chart>
  <c:printSettings>
    <c:headerFooter/>
    <c:pageMargins b="0.75000000000000577" l="0.70000000000000062" r="0.70000000000000062" t="0.750000000000005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IE"/>
  <c:style val="26"/>
  <c:chart>
    <c:title>
      <c:tx>
        <c:rich>
          <a:bodyPr/>
          <a:lstStyle/>
          <a:p>
            <a:pPr>
              <a:defRPr/>
            </a:pPr>
            <a:r>
              <a:rPr lang="en-US"/>
              <a:t>RAG Status</a:t>
            </a:r>
          </a:p>
        </c:rich>
      </c:tx>
    </c:title>
    <c:plotArea>
      <c:layout/>
      <c:pieChart>
        <c:varyColors val="1"/>
        <c:ser>
          <c:idx val="0"/>
          <c:order val="0"/>
          <c:tx>
            <c:strRef>
              <c:f>'Dashboard 3'!$K$4</c:f>
              <c:strCache>
                <c:ptCount val="1"/>
                <c:pt idx="0">
                  <c:v>Status</c:v>
                </c:pt>
              </c:strCache>
            </c:strRef>
          </c:tx>
          <c:dPt>
            <c:idx val="0"/>
            <c:spPr>
              <a:solidFill>
                <a:schemeClr val="accent2">
                  <a:lumMod val="75000"/>
                </a:schemeClr>
              </a:solidFill>
            </c:spPr>
          </c:dPt>
          <c:dPt>
            <c:idx val="1"/>
            <c:spPr>
              <a:solidFill>
                <a:schemeClr val="accent6">
                  <a:lumMod val="75000"/>
                </a:schemeClr>
              </a:solidFill>
            </c:spPr>
          </c:dPt>
          <c:dLbls>
            <c:showVal val="1"/>
            <c:showPercent val="1"/>
            <c:showLeaderLines val="1"/>
          </c:dLbls>
          <c:cat>
            <c:strRef>
              <c:f>'Dashboard 3'!$K$5:$K$8</c:f>
              <c:strCache>
                <c:ptCount val="4"/>
                <c:pt idx="0">
                  <c:v>Blue</c:v>
                </c:pt>
                <c:pt idx="1">
                  <c:v>Red</c:v>
                </c:pt>
                <c:pt idx="2">
                  <c:v>Amber</c:v>
                </c:pt>
                <c:pt idx="3">
                  <c:v>Green</c:v>
                </c:pt>
              </c:strCache>
            </c:strRef>
          </c:cat>
          <c:val>
            <c:numRef>
              <c:f>'Dashboard 3'!$L$5:$L$8</c:f>
              <c:numCache>
                <c:formatCode>General</c:formatCode>
                <c:ptCount val="4"/>
                <c:pt idx="0">
                  <c:v>0</c:v>
                </c:pt>
                <c:pt idx="1">
                  <c:v>0</c:v>
                </c:pt>
                <c:pt idx="2">
                  <c:v>0</c:v>
                </c:pt>
                <c:pt idx="3">
                  <c:v>0</c:v>
                </c:pt>
              </c:numCache>
            </c:numRef>
          </c:val>
        </c:ser>
        <c:dLbls>
          <c:showPercent val="1"/>
        </c:dLbls>
        <c:firstSliceAng val="0"/>
      </c:pieChart>
    </c:plotArea>
    <c:legend>
      <c:legendPos val="t"/>
    </c:legend>
    <c:plotVisOnly val="1"/>
  </c:chart>
  <c:printSettings>
    <c:headerFooter/>
    <c:pageMargins b="0.750000000000006" l="0.70000000000000062" r="0.70000000000000062" t="0.75000000000000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Gaps</a:t>
            </a:r>
          </a:p>
        </c:rich>
      </c:tx>
      <c:overlay val="1"/>
    </c:title>
    <c:plotArea>
      <c:layout>
        <c:manualLayout>
          <c:layoutTarget val="inner"/>
          <c:xMode val="edge"/>
          <c:yMode val="edge"/>
          <c:x val="4.1172015934556404E-2"/>
          <c:y val="0.19954870224555263"/>
          <c:w val="0.93989122933238034"/>
          <c:h val="0.61549895872379601"/>
        </c:manualLayout>
      </c:layout>
      <c:barChart>
        <c:barDir val="col"/>
        <c:grouping val="stacked"/>
        <c:ser>
          <c:idx val="0"/>
          <c:order val="0"/>
          <c:tx>
            <c:strRef>
              <c:f>'Dashboard 3'!$O$5</c:f>
              <c:strCache>
                <c:ptCount val="1"/>
                <c:pt idx="0">
                  <c:v>Reporting</c:v>
                </c:pt>
              </c:strCache>
            </c:strRef>
          </c:tx>
          <c:cat>
            <c:multiLvlStrRef>
              <c:f>'Dashboard 3'!$P$4:$X$4</c:f>
            </c:multiLvlStrRef>
          </c:cat>
          <c:val>
            <c:numRef>
              <c:f>'Dashboard 3'!$P$5:$X$5</c:f>
            </c:numRef>
          </c:val>
        </c:ser>
        <c:ser>
          <c:idx val="1"/>
          <c:order val="1"/>
          <c:tx>
            <c:strRef>
              <c:f>'Dashboard 3'!$O$6</c:f>
              <c:strCache>
                <c:ptCount val="1"/>
                <c:pt idx="0">
                  <c:v>Risk</c:v>
                </c:pt>
              </c:strCache>
            </c:strRef>
          </c:tx>
          <c:cat>
            <c:multiLvlStrRef>
              <c:f>'Dashboard 3'!$P$4:$X$4</c:f>
            </c:multiLvlStrRef>
          </c:cat>
          <c:val>
            <c:numRef>
              <c:f>'Dashboard 3'!$P$6:$X$6</c:f>
            </c:numRef>
          </c:val>
        </c:ser>
        <c:ser>
          <c:idx val="2"/>
          <c:order val="2"/>
          <c:tx>
            <c:strRef>
              <c:f>'Dashboard 3'!$O$7</c:f>
              <c:strCache>
                <c:ptCount val="1"/>
                <c:pt idx="0">
                  <c:v>Audit</c:v>
                </c:pt>
              </c:strCache>
            </c:strRef>
          </c:tx>
          <c:cat>
            <c:multiLvlStrRef>
              <c:f>'Dashboard 3'!$P$4:$X$4</c:f>
            </c:multiLvlStrRef>
          </c:cat>
          <c:val>
            <c:numRef>
              <c:f>'Dashboard 3'!$P$7:$X$7</c:f>
            </c:numRef>
          </c:val>
        </c:ser>
        <c:ser>
          <c:idx val="3"/>
          <c:order val="3"/>
          <c:tx>
            <c:strRef>
              <c:f>'Dashboard 3'!$O$8</c:f>
              <c:strCache>
                <c:ptCount val="1"/>
                <c:pt idx="0">
                  <c:v>Actuarial</c:v>
                </c:pt>
              </c:strCache>
            </c:strRef>
          </c:tx>
          <c:cat>
            <c:multiLvlStrRef>
              <c:f>'Dashboard 3'!$P$4:$X$4</c:f>
            </c:multiLvlStrRef>
          </c:cat>
          <c:val>
            <c:numRef>
              <c:f>'Dashboard 3'!$P$8:$X$8</c:f>
            </c:numRef>
          </c:val>
        </c:ser>
        <c:ser>
          <c:idx val="4"/>
          <c:order val="4"/>
          <c:tx>
            <c:strRef>
              <c:f>'Dashboard 3'!$O$9</c:f>
              <c:strCache>
                <c:ptCount val="1"/>
                <c:pt idx="0">
                  <c:v>Finance</c:v>
                </c:pt>
              </c:strCache>
            </c:strRef>
          </c:tx>
          <c:cat>
            <c:multiLvlStrRef>
              <c:f>'Dashboard 3'!$P$4:$X$4</c:f>
            </c:multiLvlStrRef>
          </c:cat>
          <c:val>
            <c:numRef>
              <c:f>'Dashboard 3'!$P$9:$X$9</c:f>
            </c:numRef>
          </c:val>
        </c:ser>
        <c:ser>
          <c:idx val="5"/>
          <c:order val="5"/>
          <c:tx>
            <c:strRef>
              <c:f>'Dashboard 3'!$O$10</c:f>
              <c:strCache>
                <c:ptCount val="1"/>
                <c:pt idx="0">
                  <c:v>Strategy</c:v>
                </c:pt>
              </c:strCache>
            </c:strRef>
          </c:tx>
          <c:cat>
            <c:multiLvlStrRef>
              <c:f>'Dashboard 3'!$P$4:$X$4</c:f>
            </c:multiLvlStrRef>
          </c:cat>
          <c:val>
            <c:numRef>
              <c:f>'Dashboard 3'!$P$10:$X$10</c:f>
            </c:numRef>
          </c:val>
        </c:ser>
        <c:ser>
          <c:idx val="6"/>
          <c:order val="6"/>
          <c:tx>
            <c:strRef>
              <c:f>'Dashboard 3'!$O$11</c:f>
              <c:strCache>
                <c:ptCount val="1"/>
                <c:pt idx="0">
                  <c:v>Compliance</c:v>
                </c:pt>
              </c:strCache>
            </c:strRef>
          </c:tx>
          <c:cat>
            <c:multiLvlStrRef>
              <c:f>'Dashboard 3'!$P$4:$X$4</c:f>
            </c:multiLvlStrRef>
          </c:cat>
          <c:val>
            <c:numRef>
              <c:f>'Dashboard 3'!$P$11:$X$11</c:f>
            </c:numRef>
          </c:val>
        </c:ser>
        <c:ser>
          <c:idx val="7"/>
          <c:order val="7"/>
          <c:tx>
            <c:strRef>
              <c:f>'Dashboard 3'!$O$12</c:f>
              <c:strCache>
                <c:ptCount val="1"/>
                <c:pt idx="0">
                  <c:v>Capital</c:v>
                </c:pt>
              </c:strCache>
            </c:strRef>
          </c:tx>
          <c:cat>
            <c:multiLvlStrRef>
              <c:f>'Dashboard 3'!$P$4:$X$4</c:f>
            </c:multiLvlStrRef>
          </c:cat>
          <c:val>
            <c:numRef>
              <c:f>'Dashboard 3'!$P$12:$X$12</c:f>
            </c:numRef>
          </c:val>
        </c:ser>
        <c:ser>
          <c:idx val="8"/>
          <c:order val="8"/>
          <c:tx>
            <c:strRef>
              <c:f>'Dashboard 3'!$O$13</c:f>
              <c:strCache>
                <c:ptCount val="1"/>
                <c:pt idx="0">
                  <c:v>Investments</c:v>
                </c:pt>
              </c:strCache>
            </c:strRef>
          </c:tx>
          <c:cat>
            <c:multiLvlStrRef>
              <c:f>'Dashboard 3'!$P$4:$X$4</c:f>
            </c:multiLvlStrRef>
          </c:cat>
          <c:val>
            <c:numRef>
              <c:f>'Dashboard 3'!$P$13:$X$13</c:f>
            </c:numRef>
          </c:val>
        </c:ser>
        <c:overlap val="100"/>
        <c:axId val="146183296"/>
        <c:axId val="146184832"/>
      </c:barChart>
      <c:catAx>
        <c:axId val="146183296"/>
        <c:scaling>
          <c:orientation val="minMax"/>
        </c:scaling>
        <c:axPos val="b"/>
        <c:tickLblPos val="nextTo"/>
        <c:crossAx val="146184832"/>
        <c:crosses val="autoZero"/>
        <c:auto val="1"/>
        <c:lblAlgn val="ctr"/>
        <c:lblOffset val="100"/>
      </c:catAx>
      <c:valAx>
        <c:axId val="146184832"/>
        <c:scaling>
          <c:orientation val="minMax"/>
        </c:scaling>
        <c:axPos val="l"/>
        <c:majorGridlines/>
        <c:numFmt formatCode="General" sourceLinked="1"/>
        <c:tickLblPos val="nextTo"/>
        <c:crossAx val="146183296"/>
        <c:crosses val="autoZero"/>
        <c:crossBetween val="between"/>
      </c:valAx>
    </c:plotArea>
    <c:legend>
      <c:legendPos val="r"/>
      <c:layout>
        <c:manualLayout>
          <c:xMode val="edge"/>
          <c:yMode val="edge"/>
          <c:x val="9.0693739424703879E-2"/>
          <c:y val="1.7909252697705543E-2"/>
          <c:w val="0.85954589178890761"/>
          <c:h val="0.24465882764864727"/>
        </c:manualLayout>
      </c:layout>
    </c:legend>
    <c:plotVisOnly val="1"/>
  </c:chart>
  <c:printSettings>
    <c:headerFooter/>
    <c:pageMargins b="0.75000000000000577" l="0.70000000000000062" r="0.70000000000000062" t="0.7500000000000057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US"/>
              <a:t>RAG Status</a:t>
            </a:r>
          </a:p>
        </c:rich>
      </c:tx>
      <c:overlay val="1"/>
    </c:title>
    <c:plotArea>
      <c:layout>
        <c:manualLayout>
          <c:layoutTarget val="inner"/>
          <c:xMode val="edge"/>
          <c:yMode val="edge"/>
          <c:x val="4.1172015934556404E-2"/>
          <c:y val="0.19954870224555263"/>
          <c:w val="0.93989122933238056"/>
          <c:h val="0.61549895872379623"/>
        </c:manualLayout>
      </c:layout>
      <c:barChart>
        <c:barDir val="col"/>
        <c:grouping val="stacked"/>
        <c:ser>
          <c:idx val="0"/>
          <c:order val="0"/>
          <c:tx>
            <c:strRef>
              <c:f>'Dashboard 3'!$Y$4</c:f>
              <c:strCache>
                <c:ptCount val="1"/>
                <c:pt idx="0">
                  <c:v>Red</c:v>
                </c:pt>
              </c:strCache>
            </c:strRef>
          </c:tx>
          <c:spPr>
            <a:solidFill>
              <a:schemeClr val="accent2">
                <a:lumMod val="75000"/>
              </a:schemeClr>
            </a:solidFill>
          </c:spPr>
          <c:cat>
            <c:multiLvlStrRef>
              <c:f>'Dashboard 3'!$O$5:$O$13</c:f>
            </c:multiLvlStrRef>
          </c:cat>
          <c:val>
            <c:numRef>
              <c:f>'Dashboard 3'!$Y$5:$Y$13</c:f>
            </c:numRef>
          </c:val>
        </c:ser>
        <c:ser>
          <c:idx val="1"/>
          <c:order val="1"/>
          <c:tx>
            <c:strRef>
              <c:f>'Dashboard 3'!$Z$4</c:f>
              <c:strCache>
                <c:ptCount val="1"/>
                <c:pt idx="0">
                  <c:v>Amber</c:v>
                </c:pt>
              </c:strCache>
            </c:strRef>
          </c:tx>
          <c:spPr>
            <a:solidFill>
              <a:schemeClr val="accent6">
                <a:lumMod val="75000"/>
              </a:schemeClr>
            </a:solidFill>
          </c:spPr>
          <c:cat>
            <c:multiLvlStrRef>
              <c:f>'Dashboard 3'!$O$5:$O$13</c:f>
            </c:multiLvlStrRef>
          </c:cat>
          <c:val>
            <c:numRef>
              <c:f>'Dashboard 3'!$Z$5:$Z$13</c:f>
            </c:numRef>
          </c:val>
        </c:ser>
        <c:ser>
          <c:idx val="2"/>
          <c:order val="2"/>
          <c:tx>
            <c:strRef>
              <c:f>'Dashboard 3'!$AA$4</c:f>
              <c:strCache>
                <c:ptCount val="1"/>
                <c:pt idx="0">
                  <c:v>Green</c:v>
                </c:pt>
              </c:strCache>
            </c:strRef>
          </c:tx>
          <c:cat>
            <c:multiLvlStrRef>
              <c:f>'Dashboard 3'!$O$5:$O$13</c:f>
            </c:multiLvlStrRef>
          </c:cat>
          <c:val>
            <c:numRef>
              <c:f>'Dashboard 3'!$AA$5:$AA$13</c:f>
            </c:numRef>
          </c:val>
        </c:ser>
        <c:overlap val="100"/>
        <c:axId val="146219008"/>
        <c:axId val="146220544"/>
      </c:barChart>
      <c:catAx>
        <c:axId val="146219008"/>
        <c:scaling>
          <c:orientation val="minMax"/>
        </c:scaling>
        <c:axPos val="b"/>
        <c:tickLblPos val="nextTo"/>
        <c:crossAx val="146220544"/>
        <c:crosses val="autoZero"/>
        <c:auto val="1"/>
        <c:lblAlgn val="ctr"/>
        <c:lblOffset val="100"/>
      </c:catAx>
      <c:valAx>
        <c:axId val="146220544"/>
        <c:scaling>
          <c:orientation val="minMax"/>
        </c:scaling>
        <c:axPos val="l"/>
        <c:majorGridlines/>
        <c:numFmt formatCode="General" sourceLinked="1"/>
        <c:tickLblPos val="nextTo"/>
        <c:crossAx val="146219008"/>
        <c:crosses val="autoZero"/>
        <c:crossBetween val="between"/>
      </c:valAx>
    </c:plotArea>
    <c:legend>
      <c:legendPos val="r"/>
      <c:layout>
        <c:manualLayout>
          <c:xMode val="edge"/>
          <c:yMode val="edge"/>
          <c:x val="0.21522842639594064"/>
          <c:y val="4.5189722781018377E-2"/>
          <c:w val="0.54480472174480732"/>
          <c:h val="0.18499139161544736"/>
        </c:manualLayout>
      </c:layout>
    </c:legend>
    <c:plotVisOnly val="1"/>
  </c:chart>
  <c:printSettings>
    <c:headerFooter/>
    <c:pageMargins b="0.750000000000006" l="0.70000000000000062" r="0.70000000000000062" t="0.75000000000000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Gaps</a:t>
            </a:r>
          </a:p>
        </c:rich>
      </c:tx>
      <c:overlay val="1"/>
    </c:title>
    <c:plotArea>
      <c:layout>
        <c:manualLayout>
          <c:layoutTarget val="inner"/>
          <c:xMode val="edge"/>
          <c:yMode val="edge"/>
          <c:x val="4.1172015934556404E-2"/>
          <c:y val="0.24004843218249258"/>
          <c:w val="0.93989122933238056"/>
          <c:h val="0.574999227676115"/>
        </c:manualLayout>
      </c:layout>
      <c:barChart>
        <c:barDir val="col"/>
        <c:grouping val="stacked"/>
        <c:ser>
          <c:idx val="0"/>
          <c:order val="0"/>
          <c:tx>
            <c:strRef>
              <c:f>'Dashboard 3'!$P$4</c:f>
              <c:strCache>
                <c:ptCount val="1"/>
                <c:pt idx="0">
                  <c:v>L1 requirements not relevant</c:v>
                </c:pt>
              </c:strCache>
            </c:strRef>
          </c:tx>
          <c:cat>
            <c:multiLvlStrRef>
              <c:f>'Dashboard 3'!$O$5:$O$13</c:f>
            </c:multiLvlStrRef>
          </c:cat>
          <c:val>
            <c:numRef>
              <c:f>'Dashboard 3'!$P$5:$P$13</c:f>
            </c:numRef>
          </c:val>
        </c:ser>
        <c:ser>
          <c:idx val="1"/>
          <c:order val="1"/>
          <c:tx>
            <c:strRef>
              <c:f>'Dashboard 3'!$Q$4</c:f>
              <c:strCache>
                <c:ptCount val="1"/>
                <c:pt idx="0">
                  <c:v>Existing evidence of compliance</c:v>
                </c:pt>
              </c:strCache>
            </c:strRef>
          </c:tx>
          <c:cat>
            <c:multiLvlStrRef>
              <c:f>'Dashboard 3'!$O$5:$O$13</c:f>
            </c:multiLvlStrRef>
          </c:cat>
          <c:val>
            <c:numRef>
              <c:f>'Dashboard 3'!$Q$5:$Q$13</c:f>
            </c:numRef>
          </c:val>
        </c:ser>
        <c:ser>
          <c:idx val="2"/>
          <c:order val="2"/>
          <c:tx>
            <c:strRef>
              <c:f>'Dashboard 3'!$R$4</c:f>
              <c:strCache>
                <c:ptCount val="1"/>
                <c:pt idx="0">
                  <c:v>Assurance / review performed</c:v>
                </c:pt>
              </c:strCache>
            </c:strRef>
          </c:tx>
          <c:cat>
            <c:multiLvlStrRef>
              <c:f>'Dashboard 3'!$O$5:$O$13</c:f>
            </c:multiLvlStrRef>
          </c:cat>
          <c:val>
            <c:numRef>
              <c:f>'Dashboard 3'!$R$5:$R$13</c:f>
            </c:numRef>
          </c:val>
        </c:ser>
        <c:ser>
          <c:idx val="3"/>
          <c:order val="3"/>
          <c:tx>
            <c:strRef>
              <c:f>'Dashboard 3'!$S$4</c:f>
              <c:strCache>
                <c:ptCount val="1"/>
                <c:pt idx="0">
                  <c:v>Meet requirements at 01/01/2016?</c:v>
                </c:pt>
              </c:strCache>
            </c:strRef>
          </c:tx>
          <c:cat>
            <c:multiLvlStrRef>
              <c:f>'Dashboard 3'!$O$5:$O$13</c:f>
            </c:multiLvlStrRef>
          </c:cat>
          <c:val>
            <c:numRef>
              <c:f>'Dashboard 3'!$S$5:$S$13</c:f>
            </c:numRef>
          </c:val>
        </c:ser>
        <c:ser>
          <c:idx val="4"/>
          <c:order val="4"/>
          <c:tx>
            <c:strRef>
              <c:f>'Dashboard 3'!$T$4</c:f>
              <c:strCache>
                <c:ptCount val="1"/>
                <c:pt idx="0">
                  <c:v>Status of capabilities</c:v>
                </c:pt>
              </c:strCache>
            </c:strRef>
          </c:tx>
          <c:cat>
            <c:multiLvlStrRef>
              <c:f>'Dashboard 3'!$O$5:$O$13</c:f>
            </c:multiLvlStrRef>
          </c:cat>
          <c:val>
            <c:numRef>
              <c:f>'Dashboard 3'!$T$5:$T$13</c:f>
            </c:numRef>
          </c:val>
        </c:ser>
        <c:ser>
          <c:idx val="5"/>
          <c:order val="5"/>
          <c:tx>
            <c:strRef>
              <c:f>'Dashboard 3'!$U$4</c:f>
              <c:strCache>
                <c:ptCount val="1"/>
                <c:pt idx="0">
                  <c:v>Status (where there is a gap)</c:v>
                </c:pt>
              </c:strCache>
            </c:strRef>
          </c:tx>
          <c:cat>
            <c:multiLvlStrRef>
              <c:f>'Dashboard 3'!$O$5:$O$13</c:f>
            </c:multiLvlStrRef>
          </c:cat>
          <c:val>
            <c:numRef>
              <c:f>'Dashboard 3'!$U$5:$U$13</c:f>
            </c:numRef>
          </c:val>
        </c:ser>
        <c:ser>
          <c:idx val="6"/>
          <c:order val="6"/>
          <c:tx>
            <c:strRef>
              <c:f>'Dashboard 3'!$V$4</c:f>
              <c:strCache>
                <c:ptCount val="1"/>
                <c:pt idx="0">
                  <c:v>Evidence</c:v>
                </c:pt>
              </c:strCache>
            </c:strRef>
          </c:tx>
          <c:cat>
            <c:multiLvlStrRef>
              <c:f>'Dashboard 3'!$O$5:$O$13</c:f>
            </c:multiLvlStrRef>
          </c:cat>
          <c:val>
            <c:numRef>
              <c:f>'Dashboard 3'!$V$5:$V$13</c:f>
            </c:numRef>
          </c:val>
        </c:ser>
        <c:ser>
          <c:idx val="7"/>
          <c:order val="7"/>
          <c:tx>
            <c:strRef>
              <c:f>'Dashboard 3'!$W$4</c:f>
              <c:strCache>
                <c:ptCount val="1"/>
                <c:pt idx="0">
                  <c:v>Review process / controls</c:v>
                </c:pt>
              </c:strCache>
            </c:strRef>
          </c:tx>
          <c:cat>
            <c:multiLvlStrRef>
              <c:f>'Dashboard 3'!$O$5:$O$13</c:f>
            </c:multiLvlStrRef>
          </c:cat>
          <c:val>
            <c:numRef>
              <c:f>'Dashboard 3'!$W$5:$W$13</c:f>
            </c:numRef>
          </c:val>
        </c:ser>
        <c:ser>
          <c:idx val="8"/>
          <c:order val="8"/>
          <c:tx>
            <c:strRef>
              <c:f>'Dashboard 3'!$X$4</c:f>
              <c:strCache>
                <c:ptCount val="1"/>
                <c:pt idx="0">
                  <c:v>Assurance</c:v>
                </c:pt>
              </c:strCache>
            </c:strRef>
          </c:tx>
          <c:cat>
            <c:multiLvlStrRef>
              <c:f>'Dashboard 3'!$O$5:$O$13</c:f>
            </c:multiLvlStrRef>
          </c:cat>
          <c:val>
            <c:numRef>
              <c:f>'Dashboard 3'!$X$5:$X$13</c:f>
            </c:numRef>
          </c:val>
        </c:ser>
        <c:overlap val="100"/>
        <c:axId val="146255232"/>
        <c:axId val="146269312"/>
      </c:barChart>
      <c:catAx>
        <c:axId val="146255232"/>
        <c:scaling>
          <c:orientation val="minMax"/>
        </c:scaling>
        <c:axPos val="b"/>
        <c:tickLblPos val="nextTo"/>
        <c:crossAx val="146269312"/>
        <c:crosses val="autoZero"/>
        <c:auto val="1"/>
        <c:lblAlgn val="ctr"/>
        <c:lblOffset val="100"/>
      </c:catAx>
      <c:valAx>
        <c:axId val="146269312"/>
        <c:scaling>
          <c:orientation val="minMax"/>
        </c:scaling>
        <c:axPos val="l"/>
        <c:majorGridlines/>
        <c:numFmt formatCode="General" sourceLinked="1"/>
        <c:tickLblPos val="nextTo"/>
        <c:crossAx val="146255232"/>
        <c:crosses val="autoZero"/>
        <c:crossBetween val="between"/>
      </c:valAx>
    </c:plotArea>
    <c:legend>
      <c:legendPos val="r"/>
      <c:layout>
        <c:manualLayout>
          <c:xMode val="edge"/>
          <c:yMode val="edge"/>
          <c:x val="3.6795200219429842E-2"/>
          <c:y val="6.1782124937093987E-2"/>
          <c:w val="0.96021043837529563"/>
          <c:h val="0.16946380790560706"/>
        </c:manualLayout>
      </c:layout>
    </c:legend>
    <c:plotVisOnly val="1"/>
  </c:chart>
  <c:printSettings>
    <c:headerFooter/>
    <c:pageMargins b="0.750000000000006" l="0.70000000000000062" r="0.70000000000000062" t="0.75000000000000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IE"/>
  <c:chart>
    <c:title/>
    <c:plotArea>
      <c:layout>
        <c:manualLayout>
          <c:layoutTarget val="inner"/>
          <c:xMode val="edge"/>
          <c:yMode val="edge"/>
          <c:x val="8.9541827762820769E-2"/>
          <c:y val="0.24887386380662471"/>
          <c:w val="0.51325649510131133"/>
          <c:h val="0.65200433826603565"/>
        </c:manualLayout>
      </c:layout>
      <c:doughnutChart>
        <c:varyColors val="1"/>
        <c:ser>
          <c:idx val="0"/>
          <c:order val="0"/>
          <c:tx>
            <c:strRef>
              <c:f>'Dashboard 3'!$BB$5</c:f>
              <c:strCache>
                <c:ptCount val="1"/>
                <c:pt idx="0">
                  <c:v>Reporting</c:v>
                </c:pt>
              </c:strCache>
            </c:strRef>
          </c:tx>
          <c:dLbls>
            <c:dLbl>
              <c:idx val="6"/>
              <c:layout>
                <c:manualLayout>
                  <c:x val="0"/>
                  <c:y val="4.0872387680497363E-2"/>
                </c:manualLayout>
              </c:layout>
              <c:showVal val="1"/>
              <c:showCatName val="1"/>
            </c:dLbl>
            <c:dLbl>
              <c:idx val="9"/>
              <c:showCatName val="1"/>
            </c:dLbl>
            <c:showVal val="1"/>
            <c:showCatName val="1"/>
            <c:showLeaderLines val="1"/>
          </c:dLbls>
          <c:cat>
            <c:multiLvlStrRef>
              <c:f>'Dashboard 3'!$BE$5:$BE$20</c:f>
            </c:multiLvlStrRef>
          </c:cat>
          <c:val>
            <c:numRef>
              <c:f>'Dashboard 3'!$BG$5:$BG$20</c:f>
            </c:numRef>
          </c:val>
        </c:ser>
        <c:firstSliceAng val="0"/>
        <c:holeSize val="50"/>
      </c:doughnutChart>
    </c:plotArea>
    <c:plotVisOnly val="1"/>
    <c:dispBlanksAs val="zero"/>
  </c:chart>
  <c:printSettings>
    <c:headerFooter/>
    <c:pageMargins b="0.75000000000000522" l="0.70000000000000062" r="0.70000000000000062" t="0.75000000000000522"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554005</xdr:colOff>
      <xdr:row>1</xdr:row>
      <xdr:rowOff>54428</xdr:rowOff>
    </xdr:from>
    <xdr:to>
      <xdr:col>7</xdr:col>
      <xdr:colOff>485969</xdr:colOff>
      <xdr:row>15</xdr:row>
      <xdr:rowOff>126352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544284</xdr:colOff>
      <xdr:row>82</xdr:row>
      <xdr:rowOff>136077</xdr:rowOff>
    </xdr:from>
    <xdr:to>
      <xdr:col>15</xdr:col>
      <xdr:colOff>14677</xdr:colOff>
      <xdr:row>104</xdr:row>
      <xdr:rowOff>143791</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54428</xdr:colOff>
      <xdr:row>83</xdr:row>
      <xdr:rowOff>13614</xdr:rowOff>
    </xdr:from>
    <xdr:to>
      <xdr:col>8</xdr:col>
      <xdr:colOff>82713</xdr:colOff>
      <xdr:row>105</xdr:row>
      <xdr:rowOff>21328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371475</xdr:colOff>
      <xdr:row>1</xdr:row>
      <xdr:rowOff>63953</xdr:rowOff>
    </xdr:from>
    <xdr:to>
      <xdr:col>19</xdr:col>
      <xdr:colOff>151039</xdr:colOff>
      <xdr:row>15</xdr:row>
      <xdr:rowOff>135877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16</xdr:row>
      <xdr:rowOff>161925</xdr:rowOff>
    </xdr:from>
    <xdr:to>
      <xdr:col>4</xdr:col>
      <xdr:colOff>1295400</xdr:colOff>
      <xdr:row>31</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323850</xdr:colOff>
      <xdr:row>16</xdr:row>
      <xdr:rowOff>161925</xdr:rowOff>
    </xdr:from>
    <xdr:to>
      <xdr:col>10</xdr:col>
      <xdr:colOff>571500</xdr:colOff>
      <xdr:row>31</xdr:row>
      <xdr:rowOff>47625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600075</xdr:colOff>
      <xdr:row>14</xdr:row>
      <xdr:rowOff>171449</xdr:rowOff>
    </xdr:from>
    <xdr:to>
      <xdr:col>28</xdr:col>
      <xdr:colOff>190500</xdr:colOff>
      <xdr:row>34</xdr:row>
      <xdr:rowOff>85725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19050</xdr:colOff>
      <xdr:row>35</xdr:row>
      <xdr:rowOff>95250</xdr:rowOff>
    </xdr:from>
    <xdr:to>
      <xdr:col>28</xdr:col>
      <xdr:colOff>219075</xdr:colOff>
      <xdr:row>55</xdr:row>
      <xdr:rowOff>9526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148441</xdr:colOff>
      <xdr:row>13</xdr:row>
      <xdr:rowOff>139782</xdr:rowOff>
    </xdr:from>
    <xdr:to>
      <xdr:col>50</xdr:col>
      <xdr:colOff>13606</xdr:colOff>
      <xdr:row>39</xdr:row>
      <xdr:rowOff>13607</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59</xdr:col>
      <xdr:colOff>66261</xdr:colOff>
      <xdr:row>4</xdr:row>
      <xdr:rowOff>69272</xdr:rowOff>
    </xdr:from>
    <xdr:to>
      <xdr:col>64</xdr:col>
      <xdr:colOff>281609</xdr:colOff>
      <xdr:row>19</xdr:row>
      <xdr:rowOff>8281</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49</xdr:row>
      <xdr:rowOff>0</xdr:rowOff>
    </xdr:from>
    <xdr:to>
      <xdr:col>6</xdr:col>
      <xdr:colOff>419100</xdr:colOff>
      <xdr:row>52</xdr:row>
      <xdr:rowOff>114300</xdr:rowOff>
    </xdr:to>
    <xdr:pic>
      <xdr:nvPicPr>
        <xdr:cNvPr id="512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9600" y="10744200"/>
          <a:ext cx="7334250" cy="685800"/>
        </a:xfrm>
        <a:prstGeom prst="rect">
          <a:avLst/>
        </a:prstGeom>
        <a:noFill/>
        <a:ln w="1">
          <a:noFill/>
          <a:miter lim="800000"/>
          <a:headEnd/>
          <a:tailEnd type="none" w="med" len="med"/>
        </a:ln>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SA%20II%20Completeness%20Matrix%20v0.2%20(DA%20approved%20-%20RSAII%20NA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SAI Ire"/>
      <sheetName val="Completion Matrix"/>
      <sheetName val="Sheet2"/>
    </sheetNames>
    <sheetDataSet>
      <sheetData sheetId="0"/>
      <sheetData sheetId="1">
        <row r="6">
          <cell r="E6">
            <v>0</v>
          </cell>
          <cell r="F6" t="str">
            <v>PRE-IMPLEMENTATION "CURRENT" COMPLIANCE</v>
          </cell>
          <cell r="G6">
            <v>0</v>
          </cell>
          <cell r="H6">
            <v>0</v>
          </cell>
          <cell r="I6">
            <v>0</v>
          </cell>
          <cell r="J6">
            <v>0</v>
          </cell>
          <cell r="K6">
            <v>0</v>
          </cell>
          <cell r="L6" t="str">
            <v>POST-IMPLEMENTATION "BAU" COMPLIANCE</v>
          </cell>
          <cell r="M6">
            <v>0</v>
          </cell>
          <cell r="N6">
            <v>0</v>
          </cell>
        </row>
        <row r="7">
          <cell r="E7" t="str">
            <v>RSA ownership - by business function</v>
          </cell>
          <cell r="F7" t="str">
            <v>L1 requirements not relevant to RSA's SII response and rationale</v>
          </cell>
          <cell r="G7" t="str">
            <v>Existing evidence of compliance</v>
          </cell>
          <cell r="H7" t="str">
            <v>Assurance / review performed</v>
          </cell>
          <cell r="I7" t="str">
            <v>Meet requirements at 01/01/2016?</v>
          </cell>
          <cell r="J7" t="str">
            <v>Status of operational capabilities</v>
          </cell>
          <cell r="K7" t="str">
            <v>Status (where there is a gap - including People, Process, IT)</v>
          </cell>
          <cell r="L7" t="str">
            <v>Evidence</v>
          </cell>
          <cell r="M7" t="str">
            <v>Review process / controls</v>
          </cell>
          <cell r="N7" t="str">
            <v>Assurance</v>
          </cell>
        </row>
        <row r="8">
          <cell r="E8" t="str">
            <v>Reporting</v>
          </cell>
          <cell r="F8">
            <v>0</v>
          </cell>
          <cell r="G8" t="str">
            <v>Draft RSR information;
Draft Quarterly QRT's Dry Runs;
Draft Annual QRT's Dry Runs; &amp;
Interim Reporting submitted to CBI &amp; EIOPA.</v>
          </cell>
          <cell r="H8" t="str">
            <v>Draft RSR; &amp;
Draft RSR responsibility matrix.</v>
          </cell>
          <cell r="I8" t="str">
            <v>Significant Gap</v>
          </cell>
          <cell r="J8" t="str">
            <v>Significant Improvements Needed</v>
          </cell>
          <cell r="K8" t="str">
            <v>Draft RSR to be  populated and gaps to be confirmed;
Quarterly QRT's - drafted and dry run, process and people gaps;
Annual QRT's - drafted and dry run, process and people gaps;
IT infrastructure not yet ready; &amp;
Data requirements to be defined.</v>
          </cell>
          <cell r="L8" t="str">
            <v>RSR reporting procedure; &amp;
ORSA reporting procedure.</v>
          </cell>
          <cell r="M8" t="str">
            <v>Board;
Audit Committee;
BRC; &amp;
Controls Committee</v>
          </cell>
          <cell r="N8" t="str">
            <v>BRC Reports;
Risk &amp; Compliance Department Reviews;
GIA Reviews; &amp;
External audit for parts of it.</v>
          </cell>
        </row>
        <row r="9">
          <cell r="E9" t="str">
            <v>Compliance</v>
          </cell>
          <cell r="F9">
            <v>0</v>
          </cell>
          <cell r="G9" t="str">
            <v xml:space="preserve">Third party contracts policy (TPCP)
</v>
          </cell>
          <cell r="H9" t="str">
            <v>Deloitte policy review</v>
          </cell>
          <cell r="I9" t="str">
            <v>Minor Gap</v>
          </cell>
          <cell r="J9" t="str">
            <v>Improvements Needed</v>
          </cell>
          <cell r="K9" t="str">
            <v>CGAC approach on ownership of the Third Party Contracts policy to be implemented</v>
          </cell>
          <cell r="L9" t="str">
            <v>Contracts containing appropriate SII wording</v>
          </cell>
          <cell r="M9" t="str">
            <v>CGAC review</v>
          </cell>
          <cell r="N9">
            <v>0</v>
          </cell>
        </row>
        <row r="10">
          <cell r="E10" t="str">
            <v>Compliance</v>
          </cell>
          <cell r="F10">
            <v>0</v>
          </cell>
          <cell r="G10" t="str">
            <v xml:space="preserve">System of Governance Document, including annex detailing the component parts of the System of Governance (Group and Entity)
SoG Approval Process
Governance Maps (UK only)
Board minutes approving the System of Governance Document
Board Risk Committee pack
Board and Board Risk Committee minutes
</v>
          </cell>
          <cell r="H10" t="str">
            <v>Deloitte policy review (covering System of Governance annex pertaining to System of Governance requirements)</v>
          </cell>
          <cell r="I10" t="str">
            <v>Minor Gap</v>
          </cell>
          <cell r="J10" t="str">
            <v>Improvements Needed</v>
          </cell>
          <cell r="K10" t="str">
            <v>System of Governance document is being presented to BRC in Sept as a final draft for Board approval in Oct. Not all components have been reviewed by Deloitte
Enhanced SoG approval process meeting SII requirements rolled out in 2016
Policies, where there are gaps, are being updated and presented to the Sept BRC
Governance mapping activity ongoing at Group throughout Q3</v>
          </cell>
          <cell r="L10" t="str">
            <v>System of Governance Document, including annex detailing the component parts of the System of Governance (Group and Entity)
Governance Maps (UK only)
Board minutes approving the System of Governance Document
Board Risk Committee pack
Board and Board Risk Committee minutes</v>
          </cell>
          <cell r="M10" t="str">
            <v>SoG Approval Process
CGAC control reporting</v>
          </cell>
          <cell r="N10">
            <v>0</v>
          </cell>
        </row>
        <row r="11">
          <cell r="E11" t="str">
            <v>Compliance</v>
          </cell>
          <cell r="F11">
            <v>0</v>
          </cell>
          <cell r="G11" t="str">
            <v>Fit and proper policy
Regulatory Compliance Policy</v>
          </cell>
          <cell r="H11" t="str">
            <v>Deloitte policy review</v>
          </cell>
          <cell r="I11" t="str">
            <v>No Gap</v>
          </cell>
          <cell r="J11" t="str">
            <v>Improvements Needed</v>
          </cell>
          <cell r="K11" t="str">
            <v xml:space="preserve">Fit and Proper policy to be implemented by end 2015
</v>
          </cell>
          <cell r="L11" t="str">
            <v>Fit and Proper Policy
Regulatory Compliance Policy</v>
          </cell>
          <cell r="M11" t="str">
            <v>CGAC control reporting</v>
          </cell>
          <cell r="N11" t="str">
            <v>PISA Process</v>
          </cell>
        </row>
        <row r="12">
          <cell r="E12" t="str">
            <v>Risk</v>
          </cell>
          <cell r="F12">
            <v>0</v>
          </cell>
          <cell r="G12" t="str">
            <v xml:space="preserve">Reserving / insurance risk policy, Underwriting Policy, Market Risk Policy, Liquidity Risk Policy, Operational Risk Policy, Reinsurance Risk Policy, Reinsurance Credit Risk Policy
Data Policy, Standards &amp; Guidelines, DQA Report
System of Governance (non Solvency II compliant) documents at Group and within Entities
Risk management procedure document
Risk Manual
GAMC papers and minutes
ET Risk Committee, BRC papers and minutes
PISA scores
Risk Appetite Statements
Risk Profiles (including Emerging RIsks)
Risk Events (process, reporting)
Capital Model Methods used to calculate the PDF of Basic Own Funds
Structural Design of the Calculation Kernel
Model Documentation &amp; Model Change Log
IMGC ToR
Group CRO and Risk Directors TORs
Observations Log, status updates
Stress and scenario testing reports
 GAMC TOR, Investment Mandate and Limits
</v>
          </cell>
          <cell r="H12" t="str">
            <v xml:space="preserve">Deloitte policy review ?? (Concern raised)
2013 PwC review / 2012 E&amp;Y Review
PA Design Assurance - Digest 14
GIA 2nd Line PISA review
2nd Line Reporting review currently being conducted by Internal Audit
 </v>
          </cell>
          <cell r="I12" t="str">
            <v>Minor Gap</v>
          </cell>
          <cell r="J12" t="str">
            <v>Improvements Needed</v>
          </cell>
          <cell r="K12" t="str">
            <v>Awaiting refreshed / new Risk policies from Group Risk (September 2015), that has been reviewed by Deloitte, signed off by the Design Authority which ensures all gaps are closed and the policies when circulated to Regions is Solvency II compliant
Awaiting relevant artifacts (including new procedures guides) that have been reviewed by Group Risk, signed off by the Design Authority (September 2015) as Solvency II Compliant.  These include the Internal Audit Charter, Actuarial Function ToR, Risk management procedure, Internal Controls Procedure.
Gaps - no documented risk strategy, no procedure on decision making, Data Policy not referenced as a Solvency II policy and not included in the Deloitte review, Liquidity / Market risk policy does not reference, in the manner the requirements describe, derivatives, off balance sheet items (irrespective of whether the business engages in this activity)
Weaknesses - embedd stress and scenario testing in BAU, risk appetite alignment / consistency in policiees, timeline for review of policies should align with risk appetite refresh</v>
          </cell>
          <cell r="L12" t="str">
            <v xml:space="preserve">PISA risk assessment to BRC
Risk and Control reports to ET Risk Meeting
BRC reports
Integrated assurance report
Group and local business strategy and risk appetite refresh document
Investment Limits Framework (and limits) to the Board
Stress &amp; scenario testing reports
Model change log
Model validation report </v>
          </cell>
          <cell r="M12" t="str">
            <v xml:space="preserve">Risk &amp; Control reporting to ET Risk Meeting
2nd Line review / challenge of PISA risk assessment
ET review of functional risk profiles
Board and BRC review of Risk Profile &amp; Emerging Risk Profile
Regional (UK&amp;WE) Risk &amp; Control committees
 </v>
          </cell>
          <cell r="N12" t="str">
            <v xml:space="preserve">3rd Line GIA reviews
2md Line Assurance Testing
Group testing on local functions / activity (IS, Compliance, FCF, Reserving)
IM Validation </v>
          </cell>
        </row>
        <row r="13">
          <cell r="E13" t="str">
            <v>Risk</v>
          </cell>
          <cell r="F13">
            <v>0</v>
          </cell>
          <cell r="G13" t="str">
            <v xml:space="preserve">ORSA policy
ORSA / FLAOR report
Board papers with ORSA flags
Board minutes where ORSA is approved
Capital report
Quarterly reserves assurance report ????
ET Risk Committee papers / minutes
BRC Committee papers / minutes
UK&amp;WE Risk Committee papers / minutew (RSAII submission)
</v>
          </cell>
          <cell r="H13" t="str">
            <v>Group internal audit review
Deloitte policy review ?? (Concerns raised)</v>
          </cell>
          <cell r="I13" t="str">
            <v>Minor Gap</v>
          </cell>
          <cell r="J13" t="str">
            <v>Improvements Needed</v>
          </cell>
          <cell r="K13" t="str">
            <v>Awaiting release of approved ORSA policy which is being finalised and approved by the Group BRC
Planning process to be amended to reflect ORSA requirements
Awaiting initiation of the 2015 FLAOR process
Internal Model to used to support calculation of the SCR</v>
          </cell>
          <cell r="L13" t="str">
            <v>ORSA report
ORSA flags
Capital report
Operating plan document
Quarterly reserves review</v>
          </cell>
          <cell r="M13" t="str">
            <v>Board review</v>
          </cell>
          <cell r="N13" t="str">
            <v>Risk assurance on capital report and operating plan</v>
          </cell>
        </row>
        <row r="14">
          <cell r="E14" t="str">
            <v>Compliance</v>
          </cell>
          <cell r="F14">
            <v>0</v>
          </cell>
          <cell r="G14" t="str">
            <v xml:space="preserve">System of Governance Document, including annex detailing the component parts of the System of Governance (Group and Entity)
Internal Control Policy
Regulatory Compliance Policy
</v>
          </cell>
          <cell r="H14" t="str">
            <v>Deloitte policy review (covering System of Governance annex pertaining to System of Governance requirements)
PwC review of governance control framework (Project OPAL)</v>
          </cell>
          <cell r="I14" t="str">
            <v>Minor Gap</v>
          </cell>
          <cell r="J14" t="str">
            <v>Improvements Needed</v>
          </cell>
          <cell r="K14" t="str">
            <v>Internal Control Policy being approved by Sept BRC
Minor amendment being made to Compliance Policy - see art 41</v>
          </cell>
          <cell r="L14" t="str">
            <v>System of Governance Document, including annex detailing the component parts of the System of Governance (Group and Entity)
Internal Control Policy
Regulatory Compliance Policy</v>
          </cell>
          <cell r="M14" t="str">
            <v>SoG Approval Process
CGAC control reporting</v>
          </cell>
          <cell r="N14" t="str">
            <v>PISA Process</v>
          </cell>
        </row>
        <row r="15">
          <cell r="E15" t="str">
            <v>Audit</v>
          </cell>
          <cell r="F15">
            <v>0</v>
          </cell>
          <cell r="G15" t="str">
            <v xml:space="preserve">GIA Charter
Group Audit Committee Terms of Reference (Section 10.4 ‘Internal Audit’
Ireland Audit Committee Terms of Reference (Section 10.7)
Organisation chart
All GIA staff are required to confirm their independence on an annual basis
The GIA effectiveness review performed by EY concluded that GIA was independent &amp; objective
GIA Annual Plan Process 
GIA Audit Manual
GIA Annual Plan
GIA quarterly report to the GAC
GIA quarterly report to the Irish Audit Committee 
</v>
          </cell>
          <cell r="H15" t="str">
            <v>PA design assurance - Digest section 17 IA</v>
          </cell>
          <cell r="I15" t="str">
            <v>No Gap</v>
          </cell>
          <cell r="J15" t="str">
            <v>Ready</v>
          </cell>
          <cell r="K15">
            <v>0</v>
          </cell>
          <cell r="L15" t="str">
            <v>Group Audit Plan
Audit reports</v>
          </cell>
          <cell r="M15" t="str">
            <v>GAC review</v>
          </cell>
          <cell r="N15">
            <v>0</v>
          </cell>
        </row>
        <row r="16">
          <cell r="E16" t="str">
            <v>Actuarial</v>
          </cell>
          <cell r="F16">
            <v>0</v>
          </cell>
          <cell r="G16" t="str">
            <v>Quarterly Technical Provisions results
Annual Technical Provisions results
Standards &amp; expectations document
Basis of Preparation Document
Data Quality Assessment Report
Process for the assessment of IT systems used in the calculation of technical provisions
Ireland Reserving Policy</v>
          </cell>
          <cell r="H16" t="str">
            <v>PwC 2014Q3 technical provisions review
KPMG balance sheet review</v>
          </cell>
          <cell r="I16" t="str">
            <v>Minor Gap</v>
          </cell>
          <cell r="J16" t="str">
            <v>Improvements Needed</v>
          </cell>
          <cell r="K16" t="str">
            <v>Annual process relating to production of Actuarial Function Report
Resources to complete documenation and AF Report</v>
          </cell>
          <cell r="L16" t="str">
            <v>Ireland Actuarial Function Terms of Reference
Ireland Actuarial Function Reports
Ireland Reserving Policy
Ireland Reserving Committee minutes
Ireland Audit Committee minutes
Ireland Board minutes
Quarterly Technical Provisions results
Annual Technical Provisions results
Ireland Data Quality Assessment Report</v>
          </cell>
          <cell r="M16" t="str">
            <v>Annual approval of Actuarial Function Terms of Reference by CGAC and BRC
BAU governance processes and Control Environment</v>
          </cell>
          <cell r="N16" t="str">
            <v>BAU audit by external auditors</v>
          </cell>
        </row>
        <row r="17">
          <cell r="E17" t="str">
            <v>Compliance</v>
          </cell>
          <cell r="F17">
            <v>0</v>
          </cell>
          <cell r="G17" t="str">
            <v>Third party contracts policy (TPCP)
 BAU gap analysis and remediation of external outsourcing arrangements (procurement) BAU gap analysis and remediation of external outsourcing arrangements (procurement) Outsourcing agreement templates</v>
          </cell>
          <cell r="H17" t="str">
            <v>Deloitte policy review   Confirmed as Solvency II compliant by Pinsent Mason</v>
          </cell>
          <cell r="I17" t="str">
            <v>Minor Gap</v>
          </cell>
          <cell r="J17" t="str">
            <v>Improvements Needed</v>
          </cell>
          <cell r="K17" t="str">
            <v xml:space="preserve">CGAC approach on ownership of the Third Party Contracts policy to be implemented   </v>
          </cell>
          <cell r="L17" t="str">
            <v xml:space="preserve">SMART source - O/S arrangements Internal and external outsourcing agreements Internal and external outsourcing agreements </v>
          </cell>
          <cell r="M17" t="str">
            <v xml:space="preserve">CGAC control reporting   </v>
          </cell>
          <cell r="N17" t="str">
            <v xml:space="preserve">PISA Process   </v>
          </cell>
        </row>
        <row r="18">
          <cell r="E18" t="str">
            <v>Reporting</v>
          </cell>
          <cell r="F18">
            <v>0</v>
          </cell>
          <cell r="G18" t="str">
            <v>Draft SFCR information;
Draft Quarterly QRT's Dry Runs;
Draft Annual QRT's Dry Runs; &amp;
Interim Reporting submitted to CBI &amp; EIOPA.</v>
          </cell>
          <cell r="H18" t="str">
            <v>Draft SFCR; &amp;
Draft SFCR responsibility matrix.</v>
          </cell>
          <cell r="I18" t="str">
            <v>Significant Gap</v>
          </cell>
          <cell r="J18" t="str">
            <v>Significant Improvements Needed</v>
          </cell>
          <cell r="K18" t="str">
            <v>Draft SFCR structure defined and draft SFCR being prepared; &amp;
Process to produce in BaU, inc timing and systems, not finalised.</v>
          </cell>
          <cell r="L18" t="str">
            <v>SFCR reporting procedure.</v>
          </cell>
          <cell r="M18" t="str">
            <v>Board;
Audit Committee;
BRC; &amp;
Controls Committee</v>
          </cell>
          <cell r="N18" t="str">
            <v>BRC Reports;
Risk &amp; Compliance Department Reviews;
GIA Reviews; &amp;
External audit for parts of it.</v>
          </cell>
        </row>
        <row r="19">
          <cell r="E19" t="str">
            <v>Reporting</v>
          </cell>
          <cell r="F19">
            <v>0</v>
          </cell>
          <cell r="G19" t="str">
            <v>N/A</v>
          </cell>
          <cell r="H19">
            <v>0</v>
          </cell>
          <cell r="I19" t="str">
            <v>Significant Gap</v>
          </cell>
          <cell r="J19" t="str">
            <v>Significant Improvements Needed</v>
          </cell>
          <cell r="K19" t="str">
            <v>Condition and process for SFCR updates outside the annual process are to be defined</v>
          </cell>
          <cell r="L19" t="str">
            <v>SFCR reporting procedure.</v>
          </cell>
          <cell r="M19" t="str">
            <v>Board;
Audit Committee;
BRC; &amp;
Controls Committee</v>
          </cell>
          <cell r="N19" t="str">
            <v>BRC Reports;
Risk &amp; Compliance Department Reviews;
GIA Reviews; &amp;
External audit for parts of it.</v>
          </cell>
        </row>
        <row r="20">
          <cell r="E20" t="str">
            <v>Reporting</v>
          </cell>
          <cell r="F20">
            <v>0</v>
          </cell>
          <cell r="G20" t="str">
            <v>N/A</v>
          </cell>
          <cell r="H20">
            <v>0</v>
          </cell>
          <cell r="I20" t="str">
            <v>Significant Gap</v>
          </cell>
          <cell r="J20" t="str">
            <v>Significant Improvements Needed</v>
          </cell>
          <cell r="K20" t="str">
            <v>Process not defined yet, needs to be defined; &amp;
Policy to be drafted once process defined.</v>
          </cell>
          <cell r="L20" t="str">
            <v>SFCR reporting Policy</v>
          </cell>
          <cell r="M20" t="str">
            <v>Board;
Audit Committee;
BRC; &amp;
Controls Committee</v>
          </cell>
          <cell r="N20" t="str">
            <v>BRC Reports;
Risk &amp; Compliance Department Reviews;
GIA Reviews; &amp;
External audit for parts of it.</v>
          </cell>
        </row>
        <row r="21">
          <cell r="E21" t="str">
            <v>Reporting</v>
          </cell>
          <cell r="F21">
            <v>0</v>
          </cell>
          <cell r="G21" t="str">
            <v>Basis of preparation document</v>
          </cell>
          <cell r="H21" t="str">
            <v>KPMG balance sheet review</v>
          </cell>
          <cell r="I21" t="str">
            <v>Minor Gap</v>
          </cell>
          <cell r="J21" t="str">
            <v>Improvements Needed</v>
          </cell>
          <cell r="K21" t="str">
            <v>Change "Basis of Preparation" document to a Policy Document.</v>
          </cell>
          <cell r="L21" t="str">
            <v>Valuation Policy</v>
          </cell>
          <cell r="M21" t="str">
            <v>Board;
CMC;
Audit Committee;
BRC;
Controls Committee; &amp;
BAU Control Environment.</v>
          </cell>
          <cell r="N21" t="str">
            <v>BRC Reports;
Risk &amp; Compliance Department Reviews;
GIA Reviews; &amp;
BAU audit by external auditors.</v>
          </cell>
        </row>
        <row r="22">
          <cell r="E22" t="str">
            <v>Actuarial</v>
          </cell>
          <cell r="F22">
            <v>0</v>
          </cell>
          <cell r="G22" t="str">
            <v xml:space="preserve">Basis of Preparation Document
</v>
          </cell>
          <cell r="H22" t="str">
            <v>PwC 2014Q3 technical provisions review
KPMG balance sheet review</v>
          </cell>
          <cell r="I22" t="str">
            <v>No Gap</v>
          </cell>
          <cell r="J22" t="str">
            <v>Ready</v>
          </cell>
          <cell r="K22">
            <v>0</v>
          </cell>
          <cell r="L22" t="str">
            <v xml:space="preserve">Basis of Preparation Document
</v>
          </cell>
          <cell r="M22" t="str">
            <v>BAU Control Environment</v>
          </cell>
          <cell r="N22" t="str">
            <v>BAU audit by external auditors</v>
          </cell>
        </row>
        <row r="23">
          <cell r="E23" t="str">
            <v>Actuarial</v>
          </cell>
          <cell r="F23">
            <v>0</v>
          </cell>
          <cell r="G23" t="str">
            <v xml:space="preserve">Basis of Preparation Document
</v>
          </cell>
          <cell r="H23" t="str">
            <v>PwC 2014Q3 technical provisions review
KPMG balance sheet review</v>
          </cell>
          <cell r="I23" t="str">
            <v>Minor Gap</v>
          </cell>
          <cell r="J23" t="str">
            <v>Ready</v>
          </cell>
          <cell r="K23" t="str">
            <v>To consider for possible refinement:
1. Expense provisions
2. Bound but not incepted policies
3. Salvage and subrogation cash in-flows
4. SRV currency split
5. Timing of reinsurance cashflows
6. More accurate allowance for possible PPO claims</v>
          </cell>
          <cell r="L23" t="str">
            <v xml:space="preserve">Basis of Preparation Document
</v>
          </cell>
          <cell r="M23" t="str">
            <v>BAU Control Environment</v>
          </cell>
          <cell r="N23" t="str">
            <v>BAU audit by external auditors</v>
          </cell>
        </row>
        <row r="24">
          <cell r="E24" t="str">
            <v>Actuarial</v>
          </cell>
          <cell r="F24">
            <v>0</v>
          </cell>
          <cell r="G24" t="str">
            <v xml:space="preserve">Basis of Preparation Document
</v>
          </cell>
          <cell r="H24" t="str">
            <v>PwC 2014Q3 technical provisions review
KPMG balance sheet review</v>
          </cell>
          <cell r="I24" t="str">
            <v>Minor Gap</v>
          </cell>
          <cell r="J24" t="str">
            <v>Ready</v>
          </cell>
          <cell r="K24" t="str">
            <v xml:space="preserve">To consider for possible refinement:
1. Expense provisions
</v>
          </cell>
          <cell r="L24" t="str">
            <v xml:space="preserve">Basis of Preparation Document
</v>
          </cell>
          <cell r="M24" t="str">
            <v>BAU Control Environment</v>
          </cell>
          <cell r="N24" t="str">
            <v>BAU audit by external auditors</v>
          </cell>
        </row>
        <row r="25">
          <cell r="E25" t="str">
            <v>Actuarial</v>
          </cell>
          <cell r="F25">
            <v>0</v>
          </cell>
          <cell r="G25" t="str">
            <v xml:space="preserve">Basis of Preparation Document
</v>
          </cell>
          <cell r="H25" t="str">
            <v>PwC 2014Q3 technical provisions review
KPMG balance sheet review</v>
          </cell>
          <cell r="I25" t="str">
            <v>No Gap</v>
          </cell>
          <cell r="J25" t="str">
            <v>Ready</v>
          </cell>
          <cell r="K25">
            <v>0</v>
          </cell>
          <cell r="L25" t="str">
            <v xml:space="preserve">Basis of Preparation Document
</v>
          </cell>
          <cell r="M25" t="str">
            <v>BAU Control Environment</v>
          </cell>
          <cell r="N25" t="str">
            <v>BAU audit by external auditors</v>
          </cell>
        </row>
        <row r="26">
          <cell r="E26" t="str">
            <v>Actuarial</v>
          </cell>
          <cell r="F26">
            <v>0</v>
          </cell>
          <cell r="G26" t="str">
            <v xml:space="preserve">Basis of Preparation Document
</v>
          </cell>
          <cell r="H26" t="str">
            <v>PwC 2014Q3 technical provisions review
KPMG balance sheet review</v>
          </cell>
          <cell r="I26" t="str">
            <v>Minor Gap</v>
          </cell>
          <cell r="J26" t="str">
            <v>Ready</v>
          </cell>
          <cell r="K26" t="str">
            <v>To consider for possible refinement:
1. Timing of reinsurance cashflows</v>
          </cell>
          <cell r="L26" t="str">
            <v xml:space="preserve">Basis of Preparation Document
</v>
          </cell>
          <cell r="M26" t="str">
            <v>BAU Control Environment</v>
          </cell>
          <cell r="N26" t="str">
            <v>BAU audit by external auditors</v>
          </cell>
        </row>
        <row r="27">
          <cell r="E27" t="str">
            <v>Actuarial</v>
          </cell>
          <cell r="F27">
            <v>0</v>
          </cell>
          <cell r="G27" t="str">
            <v>Data quality assessment tool
Data Quality Assessment Report</v>
          </cell>
          <cell r="H27">
            <v>0</v>
          </cell>
          <cell r="I27" t="str">
            <v>No Gap</v>
          </cell>
          <cell r="J27" t="str">
            <v>Improvements Needed</v>
          </cell>
          <cell r="K27" t="str">
            <v>Resourcing to complete in BAU needs to be identified</v>
          </cell>
          <cell r="L27" t="str">
            <v>Data quality assessment tool
Data Quality Assessment Report</v>
          </cell>
          <cell r="M27">
            <v>0</v>
          </cell>
          <cell r="N27">
            <v>0</v>
          </cell>
        </row>
        <row r="28">
          <cell r="E28" t="str">
            <v>Actuarial</v>
          </cell>
          <cell r="F28">
            <v>0</v>
          </cell>
          <cell r="G28" t="str">
            <v>Actual vs. Expected process
Actuarial Function Report</v>
          </cell>
          <cell r="H28">
            <v>0</v>
          </cell>
          <cell r="I28" t="str">
            <v>Minor Gap</v>
          </cell>
          <cell r="J28" t="str">
            <v>Improvements Needed</v>
          </cell>
          <cell r="K28" t="str">
            <v>AvE process to be defined and implemented</v>
          </cell>
          <cell r="L28" t="str">
            <v>Actuarial Function Report</v>
          </cell>
          <cell r="M28" t="str">
            <v>BAU Control Environment</v>
          </cell>
          <cell r="N28">
            <v>0</v>
          </cell>
        </row>
        <row r="29">
          <cell r="E29" t="str">
            <v>Actuarial</v>
          </cell>
          <cell r="F29">
            <v>0</v>
          </cell>
          <cell r="G29" t="str">
            <v>Actuarial Function Report</v>
          </cell>
          <cell r="H29">
            <v>0</v>
          </cell>
          <cell r="I29" t="str">
            <v>No Gap</v>
          </cell>
          <cell r="J29" t="str">
            <v>Ready</v>
          </cell>
          <cell r="K29">
            <v>0</v>
          </cell>
          <cell r="L29" t="str">
            <v>Actuarial Function Report</v>
          </cell>
          <cell r="M29" t="str">
            <v>BAU Control Environment</v>
          </cell>
          <cell r="N29" t="str">
            <v>BAU audit by external auditors</v>
          </cell>
        </row>
        <row r="30">
          <cell r="E30" t="str">
            <v>Capital (Finance)</v>
          </cell>
          <cell r="F30">
            <v>0</v>
          </cell>
          <cell r="G30" t="str">
            <v xml:space="preserve">Capital management policy
Basis of preparation document
QRTs
Capital report
</v>
          </cell>
          <cell r="H30" t="str">
            <v xml:space="preserve">
KPMG balance sheet review
</v>
          </cell>
          <cell r="I30" t="str">
            <v>No Gap</v>
          </cell>
          <cell r="J30" t="str">
            <v>Improvements Needed</v>
          </cell>
          <cell r="K30" t="str">
            <v>Process for feeding into Annual &amp; Quarterly QRT's and SFCR to be defined.</v>
          </cell>
          <cell r="L30" t="str">
            <v>QRTs
Capital report
SFCR</v>
          </cell>
          <cell r="M30" t="str">
            <v>CMC;
Audit Committee;
Board; &amp;
BRC.</v>
          </cell>
          <cell r="N30" t="str">
            <v>BAU audit by external auditors.</v>
          </cell>
        </row>
        <row r="31">
          <cell r="E31" t="str">
            <v>Capital (Finance)</v>
          </cell>
          <cell r="F31">
            <v>0</v>
          </cell>
          <cell r="G31" t="str">
            <v xml:space="preserve">Capital management policy
Basis of preparation document
QRTs
Capital report
</v>
          </cell>
          <cell r="H31" t="str">
            <v xml:space="preserve">
KPMG balance sheet review
</v>
          </cell>
          <cell r="I31" t="str">
            <v>No Gap</v>
          </cell>
          <cell r="J31" t="str">
            <v>Improvements Needed</v>
          </cell>
          <cell r="K31" t="str">
            <v>Process for feeding into Annual &amp; Quarterly QRT's and SFCR to be defined.</v>
          </cell>
          <cell r="L31" t="str">
            <v>QRTs
Capital report
SFCR</v>
          </cell>
          <cell r="M31" t="str">
            <v>CMC;
Audit Committee;
Board; &amp;
BRC.</v>
          </cell>
          <cell r="N31" t="str">
            <v>BAU audit by external auditors</v>
          </cell>
        </row>
        <row r="32">
          <cell r="E32" t="str">
            <v>Capital (Finance)</v>
          </cell>
          <cell r="F32">
            <v>0</v>
          </cell>
          <cell r="G32" t="str">
            <v xml:space="preserve">Capital management policy
Basis of preparation document
QRTs
Capital report
</v>
          </cell>
          <cell r="H32" t="str">
            <v xml:space="preserve">
KPMG balance sheet review
</v>
          </cell>
          <cell r="I32" t="str">
            <v>No Gap</v>
          </cell>
          <cell r="J32" t="str">
            <v>Improvements Needed</v>
          </cell>
          <cell r="K32" t="str">
            <v>Process for feeding into Annual &amp; Quarterly QRT's and SFCR to be defined.</v>
          </cell>
          <cell r="L32" t="str">
            <v>QRTs
Capital report
SFCR</v>
          </cell>
          <cell r="M32" t="str">
            <v>CMC;
Audit Committee;
Board; &amp;
BRC.</v>
          </cell>
          <cell r="N32" t="str">
            <v>BAU audit by external auditors</v>
          </cell>
        </row>
        <row r="33">
          <cell r="E33" t="str">
            <v>Capital (Finance)</v>
          </cell>
          <cell r="F33">
            <v>0</v>
          </cell>
          <cell r="G33" t="str">
            <v xml:space="preserve">Capital management policy
Basis of preparation document
QRTs
Capital report
</v>
          </cell>
          <cell r="H33" t="str">
            <v xml:space="preserve">
KPMG balance sheet review
</v>
          </cell>
          <cell r="I33" t="str">
            <v>No Gap</v>
          </cell>
          <cell r="J33" t="str">
            <v>Improvements Needed</v>
          </cell>
          <cell r="K33" t="str">
            <v>Process for feeding into Annual &amp; Quarterly QRT's and SFCR to be defined.</v>
          </cell>
          <cell r="L33" t="str">
            <v>QRTs
Capital report
SFCR</v>
          </cell>
          <cell r="M33" t="str">
            <v>CMC;
Audit Committee;
Board; &amp;
BRC.</v>
          </cell>
          <cell r="N33" t="str">
            <v>BAU audit by external auditors</v>
          </cell>
        </row>
        <row r="34">
          <cell r="E34" t="str">
            <v>Capital (Finance)</v>
          </cell>
          <cell r="F34">
            <v>0</v>
          </cell>
          <cell r="G34" t="str">
            <v xml:space="preserve">Capital management policy
Basis of preparation document
QRTs
Capital report
</v>
          </cell>
          <cell r="H34" t="str">
            <v xml:space="preserve">
KPMG balance sheet review
</v>
          </cell>
          <cell r="I34" t="str">
            <v>No Gap</v>
          </cell>
          <cell r="J34" t="str">
            <v>Improvements Needed</v>
          </cell>
          <cell r="K34" t="str">
            <v>Process for feeding into Annual &amp; Quarterly QRT's and SFCR to be defined.</v>
          </cell>
          <cell r="L34" t="str">
            <v>QRTs
Capital report
SFCR</v>
          </cell>
          <cell r="M34" t="str">
            <v>CMC;
Audit Committee;
Board; &amp;
BRC.</v>
          </cell>
          <cell r="N34" t="str">
            <v>BAU audit by external auditors</v>
          </cell>
        </row>
        <row r="35">
          <cell r="E35" t="str">
            <v>Capital (Finance)</v>
          </cell>
          <cell r="F35">
            <v>0</v>
          </cell>
          <cell r="G35" t="str">
            <v xml:space="preserve">Capital management policy
Basis of preparation document
QRTs
Capital report
</v>
          </cell>
          <cell r="H35" t="str">
            <v xml:space="preserve">
KPMG balance sheet review
</v>
          </cell>
          <cell r="I35" t="str">
            <v>No Gap</v>
          </cell>
          <cell r="J35" t="str">
            <v>Improvements Needed</v>
          </cell>
          <cell r="K35" t="str">
            <v>Process for feeding into Annual &amp; Quarterly QRT's and SFCR to be defined.</v>
          </cell>
          <cell r="L35" t="str">
            <v>QRTs
Capital report
SFCR</v>
          </cell>
          <cell r="M35" t="str">
            <v>CMC;
Audit Committee;
Board; &amp;
BRC.</v>
          </cell>
          <cell r="N35" t="str">
            <v>BAU audit by external auditors</v>
          </cell>
        </row>
        <row r="36">
          <cell r="E36" t="str">
            <v>Capital (Finance)</v>
          </cell>
          <cell r="F36">
            <v>0</v>
          </cell>
          <cell r="G36" t="str">
            <v xml:space="preserve">Capital management policy
Basis of preparation document
QRTs
Capital report
</v>
          </cell>
          <cell r="H36" t="str">
            <v xml:space="preserve">
KPMG balance sheet review
</v>
          </cell>
          <cell r="I36" t="str">
            <v>No Gap</v>
          </cell>
          <cell r="J36" t="str">
            <v>Improvements Needed</v>
          </cell>
          <cell r="K36" t="str">
            <v>Process for feeding into Annual &amp; Quarterly QRT's and SFCR to be defined.</v>
          </cell>
          <cell r="L36" t="str">
            <v>QRTs
Capital report
SFCR</v>
          </cell>
          <cell r="M36" t="str">
            <v>CMC;
Audit Committee;
Board; &amp;
BRC.</v>
          </cell>
          <cell r="N36" t="str">
            <v>BAU audit by external auditors</v>
          </cell>
        </row>
        <row r="37">
          <cell r="E37" t="str">
            <v>Capital (Finance)</v>
          </cell>
          <cell r="F37">
            <v>0</v>
          </cell>
          <cell r="G37" t="str">
            <v>Capital management policy
Basis of preparation document
QRTs
Capital report
SFCR</v>
          </cell>
          <cell r="H37" t="str">
            <v xml:space="preserve">
KPMG balance sheet review
</v>
          </cell>
          <cell r="I37" t="str">
            <v>No Gap</v>
          </cell>
          <cell r="J37" t="str">
            <v>Improvements Needed</v>
          </cell>
          <cell r="K37" t="str">
            <v>Process for feeding into Annual &amp; Quarterly QRT's and SFCR to be defined.</v>
          </cell>
          <cell r="L37" t="str">
            <v>QRTs
Capital report
SFCR</v>
          </cell>
          <cell r="M37" t="str">
            <v>CMC;
Audit Committee;
Board; &amp;
BRC.</v>
          </cell>
          <cell r="N37" t="str">
            <v>BAU audit by external auditors</v>
          </cell>
        </row>
        <row r="38">
          <cell r="E38" t="str">
            <v>Capital</v>
          </cell>
          <cell r="F38">
            <v>0</v>
          </cell>
          <cell r="G38">
            <v>0</v>
          </cell>
          <cell r="H38">
            <v>0</v>
          </cell>
          <cell r="I38" t="str">
            <v>No Gap</v>
          </cell>
          <cell r="J38" t="str">
            <v>Ready</v>
          </cell>
          <cell r="K38">
            <v>0</v>
          </cell>
          <cell r="L38" t="str">
            <v>Capital report
SFCR (from 2017)
RCR (from 2017)
Process Document</v>
          </cell>
          <cell r="M38" t="str">
            <v>CMC Review</v>
          </cell>
          <cell r="N38" t="str">
            <v>Internal model validation
BAU audit of SF by external auditors</v>
          </cell>
        </row>
        <row r="39">
          <cell r="E39" t="str">
            <v>Capital</v>
          </cell>
          <cell r="F39">
            <v>0</v>
          </cell>
          <cell r="G39" t="str">
            <v xml:space="preserve">SF calculations spreadsheets
Capital Model: Scope of the Internal Model
Capital Model: Structural Design of the Calculation Kernel
Capital Model: Methods used to Calculate the PDF of Basic Own Funds
</v>
          </cell>
          <cell r="H39" t="str">
            <v>PwC review of SF calcs</v>
          </cell>
          <cell r="I39" t="str">
            <v>No Gap</v>
          </cell>
          <cell r="J39" t="str">
            <v>Ready</v>
          </cell>
          <cell r="K39" t="str">
            <v xml:space="preserve">   </v>
          </cell>
          <cell r="L39" t="str">
            <v>Capital report
SFCR (from 2017)
RCR (from 2017)
Process Document</v>
          </cell>
          <cell r="M39" t="str">
            <v>CMC Review</v>
          </cell>
          <cell r="N39" t="str">
            <v>Internal model validation
BAU audit of SF by external auditors</v>
          </cell>
        </row>
        <row r="40">
          <cell r="E40" t="str">
            <v>Capital</v>
          </cell>
          <cell r="F40">
            <v>0</v>
          </cell>
          <cell r="G40" t="str">
            <v>QRT for SCR
ORSA policy
Capital management policy</v>
          </cell>
          <cell r="H40">
            <v>0</v>
          </cell>
          <cell r="I40" t="str">
            <v>No Gap</v>
          </cell>
          <cell r="J40" t="str">
            <v>Improvements Needed</v>
          </cell>
          <cell r="K40" t="str">
            <v>(SF) Process for quarterly and monthly calculation are not finalised</v>
          </cell>
          <cell r="L40" t="str">
            <v>QRTs
Process Document</v>
          </cell>
          <cell r="M40" t="str">
            <v>CMC Review</v>
          </cell>
          <cell r="N40">
            <v>0</v>
          </cell>
        </row>
        <row r="41">
          <cell r="E41" t="str">
            <v>Capital</v>
          </cell>
          <cell r="F41">
            <v>0</v>
          </cell>
          <cell r="G41" t="str">
            <v>SF calculations spreadsheets
QRT for SCR</v>
          </cell>
          <cell r="H41" t="str">
            <v>PwC review of SF calcs</v>
          </cell>
          <cell r="I41" t="str">
            <v>No Gap</v>
          </cell>
          <cell r="J41" t="str">
            <v>Ready</v>
          </cell>
          <cell r="K41">
            <v>0</v>
          </cell>
          <cell r="L41" t="str">
            <v>Capital report
Process Document</v>
          </cell>
          <cell r="M41" t="str">
            <v>CMC Review</v>
          </cell>
          <cell r="N41" t="str">
            <v>BAU audit of SF by external auditors</v>
          </cell>
        </row>
        <row r="42">
          <cell r="E42" t="str">
            <v>Capital</v>
          </cell>
          <cell r="F42">
            <v>0</v>
          </cell>
          <cell r="G42" t="str">
            <v>Capital management policy</v>
          </cell>
          <cell r="H42" t="str">
            <v>PwC review of SF calcs</v>
          </cell>
          <cell r="I42" t="str">
            <v>No Gap</v>
          </cell>
          <cell r="J42" t="str">
            <v>Improvements Needed</v>
          </cell>
          <cell r="K42" t="str">
            <v>SF data requirements and calculation process needs to be documented once final calculation method is decided (i.e. use Igloo SF or spreadsheets)</v>
          </cell>
          <cell r="L42">
            <v>0</v>
          </cell>
          <cell r="M42">
            <v>0</v>
          </cell>
          <cell r="N42">
            <v>0</v>
          </cell>
        </row>
        <row r="43">
          <cell r="E43" t="str">
            <v>Capital</v>
          </cell>
          <cell r="F43">
            <v>0</v>
          </cell>
          <cell r="G43" t="str">
            <v xml:space="preserve">SF calculation spreadsheets
</v>
          </cell>
          <cell r="H43" t="str">
            <v>PwC review of SF calcs</v>
          </cell>
          <cell r="I43" t="str">
            <v>Minor Gap</v>
          </cell>
          <cell r="J43" t="str">
            <v>Improvements Needed</v>
          </cell>
          <cell r="K43" t="str">
            <v>SF data requirements and calculation process needs to be documented once final calculation method is decided (i.e. use Igloo SF or spreadsheets);
More accurate allowance for PPO required.</v>
          </cell>
          <cell r="L43" t="str">
            <v>Capital Report</v>
          </cell>
          <cell r="M43">
            <v>0</v>
          </cell>
          <cell r="N43">
            <v>0</v>
          </cell>
        </row>
        <row r="44">
          <cell r="E44" t="str">
            <v>Capital</v>
          </cell>
          <cell r="F44">
            <v>0</v>
          </cell>
          <cell r="G44">
            <v>0</v>
          </cell>
          <cell r="H44">
            <v>0</v>
          </cell>
          <cell r="I44" t="str">
            <v>No Gap</v>
          </cell>
          <cell r="J44" t="str">
            <v>Ready</v>
          </cell>
          <cell r="K44" t="str">
            <v>Assumed this adjustment will be calculated by GCC and provided to regions</v>
          </cell>
          <cell r="L44">
            <v>0</v>
          </cell>
          <cell r="M44">
            <v>0</v>
          </cell>
          <cell r="N44">
            <v>0</v>
          </cell>
        </row>
        <row r="45">
          <cell r="E45" t="str">
            <v>Capital</v>
          </cell>
          <cell r="F45">
            <v>0</v>
          </cell>
          <cell r="G45" t="str">
            <v xml:space="preserve">SF calculation spreadsheets
</v>
          </cell>
          <cell r="H45" t="str">
            <v>PwC review of SF calcs</v>
          </cell>
          <cell r="I45" t="str">
            <v>No Gap</v>
          </cell>
          <cell r="J45" t="str">
            <v>Ready</v>
          </cell>
          <cell r="K45">
            <v>0</v>
          </cell>
          <cell r="L45" t="str">
            <v>Capital report
SFCR</v>
          </cell>
          <cell r="M45" t="str">
            <v>CMC Review</v>
          </cell>
          <cell r="N45" t="str">
            <v>Internal model validation
BAU audit of SF by external auditors</v>
          </cell>
        </row>
        <row r="46">
          <cell r="E46" t="str">
            <v>Capital</v>
          </cell>
          <cell r="F46">
            <v>0</v>
          </cell>
          <cell r="G46">
            <v>0</v>
          </cell>
          <cell r="H46">
            <v>0</v>
          </cell>
          <cell r="I46" t="str">
            <v>No Gap</v>
          </cell>
          <cell r="J46" t="str">
            <v>Ready</v>
          </cell>
          <cell r="K46">
            <v>0</v>
          </cell>
          <cell r="L46">
            <v>0</v>
          </cell>
          <cell r="M46">
            <v>0</v>
          </cell>
          <cell r="N46">
            <v>0</v>
          </cell>
        </row>
        <row r="47">
          <cell r="E47" t="str">
            <v>Capital</v>
          </cell>
          <cell r="F47">
            <v>0</v>
          </cell>
          <cell r="G47" t="str">
            <v xml:space="preserve">SF calculation spreadsheets
</v>
          </cell>
          <cell r="H47" t="str">
            <v>PwC review of SF calcs</v>
          </cell>
          <cell r="I47" t="str">
            <v>No Gap</v>
          </cell>
          <cell r="J47" t="str">
            <v>Ready</v>
          </cell>
          <cell r="K47">
            <v>0</v>
          </cell>
          <cell r="L47" t="str">
            <v>Capital report
Process Document</v>
          </cell>
          <cell r="M47" t="str">
            <v>CMC Review</v>
          </cell>
          <cell r="N47" t="str">
            <v>BAU audit of SF by external auditors</v>
          </cell>
        </row>
        <row r="48">
          <cell r="E48" t="str">
            <v>Capital</v>
          </cell>
          <cell r="F48">
            <v>0</v>
          </cell>
          <cell r="G48">
            <v>0</v>
          </cell>
          <cell r="H48">
            <v>0</v>
          </cell>
          <cell r="I48" t="str">
            <v>No Gap</v>
          </cell>
          <cell r="J48" t="str">
            <v>Ready</v>
          </cell>
          <cell r="K48">
            <v>0</v>
          </cell>
          <cell r="L48">
            <v>0</v>
          </cell>
          <cell r="M48">
            <v>0</v>
          </cell>
          <cell r="N48">
            <v>0</v>
          </cell>
        </row>
        <row r="49">
          <cell r="E49" t="str">
            <v>Capital</v>
          </cell>
          <cell r="F49">
            <v>0</v>
          </cell>
          <cell r="G49" t="str">
            <v>Basis of preparation document
Capital management policy</v>
          </cell>
          <cell r="H49" t="str">
            <v xml:space="preserve">KPMG balance sheet review </v>
          </cell>
          <cell r="I49" t="str">
            <v>No Gap</v>
          </cell>
          <cell r="J49" t="str">
            <v>Ready</v>
          </cell>
          <cell r="K49" t="str">
            <v xml:space="preserve"> </v>
          </cell>
          <cell r="L49" t="str">
            <v>Basis of preparation document
Capital management policy</v>
          </cell>
          <cell r="M49" t="str">
            <v>CMC Review</v>
          </cell>
          <cell r="N49" t="str">
            <v>BAU audit of SF by external auditors</v>
          </cell>
        </row>
        <row r="50">
          <cell r="E50" t="str">
            <v>Capital</v>
          </cell>
          <cell r="F50">
            <v>0</v>
          </cell>
          <cell r="G50" t="str">
            <v>Basis of preparation document
Capital management policy</v>
          </cell>
          <cell r="H50" t="str">
            <v xml:space="preserve">KPMG balance sheet review </v>
          </cell>
          <cell r="I50" t="str">
            <v>No Gap</v>
          </cell>
          <cell r="J50" t="str">
            <v>Ready</v>
          </cell>
          <cell r="K50" t="str">
            <v xml:space="preserve"> </v>
          </cell>
          <cell r="L50" t="str">
            <v>Basis of preparation document
Capital management policy</v>
          </cell>
          <cell r="M50" t="str">
            <v>CMC Review</v>
          </cell>
          <cell r="N50" t="str">
            <v>BAU audit of SF by external auditors</v>
          </cell>
        </row>
        <row r="51">
          <cell r="E51" t="str">
            <v>Investments</v>
          </cell>
          <cell r="F51">
            <v>0</v>
          </cell>
          <cell r="G51" t="str">
            <v>BRC;
CMC;
Investment Limits;
Liquidity risk policy;
Credit risk policy;
Risk appetite and strategy document;
Market risk policy;
Financial control framework (Ireland investment portfolio),;
Investments Strategy document; &amp;
TOR External fund managers arrangement (AXA).</v>
          </cell>
          <cell r="H51" t="str">
            <v>Deloitte policy review.</v>
          </cell>
          <cell r="I51" t="str">
            <v>No Gap</v>
          </cell>
          <cell r="J51" t="str">
            <v>Improvements Needed</v>
          </cell>
          <cell r="K51" t="str">
            <v>Where necessary policies will be updated to close gaps identified during Deloitte's policy review and presented to the BRC for approval and implementation.</v>
          </cell>
          <cell r="L51" t="str">
            <v>BRC;
CMC;
Investment Limits;
Liquidity risk policy;
Credit risk policy;
Risk appetite and strategy document;
Market risk policy;
Financial control framework (Ireland investment portfolio);
Investments Strategy document; &amp;
TOR External fund managers arrangement (AXA).</v>
          </cell>
          <cell r="M51" t="str">
            <v>CMC;
Board;
BRC;
Audit Committee; &amp;
Controls Committee.</v>
          </cell>
          <cell r="N51" t="str">
            <v>PISA;
Control Committee Reports;
BRC Reports;
Risk Department reviews;
GIA Reviews; &amp;
BAU audit by External Auditors.</v>
          </cell>
        </row>
        <row r="52">
          <cell r="E52" t="str">
            <v>Investments</v>
          </cell>
          <cell r="F52">
            <v>0</v>
          </cell>
          <cell r="G52" t="str">
            <v>Liquidity risk policy;
Credit risk policy;
Risk appetite and strategy document;
Market risk policy;
Financial control framework (Ireland investment portfolio);
Investments Strategy document; &amp;
TOR External fund managers arrangement (AXA)</v>
          </cell>
          <cell r="H52" t="str">
            <v>Deloitte policy review.</v>
          </cell>
          <cell r="I52" t="str">
            <v>No Gap</v>
          </cell>
          <cell r="J52" t="str">
            <v>Improvements Needed</v>
          </cell>
          <cell r="K52" t="str">
            <v>Where necessary policies will be updated to close gaps identified during Deloitte's policy review and presented to the BRC for approval and implementation.</v>
          </cell>
          <cell r="L52" t="str">
            <v>BRC;
CMC;
Investment Limits;
Liquidity risk policy;
Credit risk policy;
Risk appetite and strategy document;
Market risk policy;
Financial control framework (Ireland investment portfolio);
Investments Strategy document; &amp;
TOR External fund managers arrangement (AXA).</v>
          </cell>
          <cell r="M52" t="str">
            <v>CMC;
Board;
BRC;
Audit Committee; &amp;
Controls Committee.</v>
          </cell>
          <cell r="N52" t="str">
            <v>PISA;
Control Committee Reports;
BRC Reports;
Risk Department reviews;
GIA Reviews; &amp;
BAU audit by External Auditors.</v>
          </cell>
        </row>
        <row r="53">
          <cell r="E53" t="str">
            <v>Compliance</v>
          </cell>
          <cell r="F53">
            <v>0</v>
          </cell>
          <cell r="G53" t="str">
            <v>Compliance Policy
Capital Management Policy</v>
          </cell>
          <cell r="H53">
            <v>0</v>
          </cell>
          <cell r="I53" t="str">
            <v>Minor Gap</v>
          </cell>
          <cell r="J53" t="str">
            <v>Improvements Needed</v>
          </cell>
          <cell r="K53" t="str">
            <v xml:space="preserve">
Confirm link between Capital &amp; Compliance in Capital Mgt Policy</v>
          </cell>
          <cell r="L53">
            <v>0</v>
          </cell>
          <cell r="M53">
            <v>0</v>
          </cell>
          <cell r="N53">
            <v>0</v>
          </cell>
        </row>
        <row r="54">
          <cell r="E54" t="str">
            <v>Capital</v>
          </cell>
          <cell r="F54">
            <v>0</v>
          </cell>
          <cell r="G54">
            <v>0</v>
          </cell>
          <cell r="H54">
            <v>0</v>
          </cell>
          <cell r="I54" t="str">
            <v>Minor Gap</v>
          </cell>
          <cell r="J54" t="str">
            <v>Improvements Needed</v>
          </cell>
          <cell r="K54" t="str">
            <v>Assess requirement and determine if formal response required, e.g. a procedure to follow if SCR is breached</v>
          </cell>
          <cell r="L54" t="str">
            <v>Capital management policy
Capital Risk Appetite Framework</v>
          </cell>
          <cell r="M54" t="str">
            <v>CMC Review</v>
          </cell>
          <cell r="N54" t="str">
            <v>BAU audit of SF by external auditors</v>
          </cell>
        </row>
        <row r="55">
          <cell r="E55" t="str">
            <v>Capital</v>
          </cell>
          <cell r="F55">
            <v>0</v>
          </cell>
          <cell r="G55">
            <v>0</v>
          </cell>
          <cell r="H55">
            <v>0</v>
          </cell>
          <cell r="I55" t="str">
            <v>Minor Gap</v>
          </cell>
          <cell r="J55" t="str">
            <v>Improvements Needed</v>
          </cell>
          <cell r="K55" t="str">
            <v>Assess requirement and determine if formal response required, e.g. a procedure to follow if MCR is breached</v>
          </cell>
          <cell r="L55" t="str">
            <v>Capital management policy
Capital Risk Appetite Framework</v>
          </cell>
          <cell r="M55" t="str">
            <v>CMC Review</v>
          </cell>
          <cell r="N55" t="str">
            <v>BAU audit of SF by external auditors</v>
          </cell>
        </row>
        <row r="56">
          <cell r="E56" t="str">
            <v>Compliance</v>
          </cell>
          <cell r="F56">
            <v>0</v>
          </cell>
          <cell r="G56">
            <v>0</v>
          </cell>
          <cell r="H56">
            <v>0</v>
          </cell>
          <cell r="I56" t="str">
            <v>No Gap</v>
          </cell>
          <cell r="J56" t="str">
            <v>Ready</v>
          </cell>
          <cell r="K56" t="str">
            <v>No gap at Group as it does not issue policy documents. Gap to be determined regionally following guidance from Group Compliance</v>
          </cell>
          <cell r="L56">
            <v>0</v>
          </cell>
          <cell r="M56">
            <v>0</v>
          </cell>
          <cell r="N56">
            <v>0</v>
          </cell>
        </row>
        <row r="57">
          <cell r="E57" t="str">
            <v>Compliance</v>
          </cell>
          <cell r="F57">
            <v>0</v>
          </cell>
          <cell r="G57">
            <v>0</v>
          </cell>
          <cell r="H57">
            <v>0</v>
          </cell>
          <cell r="I57" t="str">
            <v>No Gap</v>
          </cell>
          <cell r="J57" t="str">
            <v>Ready</v>
          </cell>
          <cell r="K57" t="str">
            <v>No gap at Group as it does not issue policy documents. Gap to be determined regionally following guidance from Group Compliance</v>
          </cell>
          <cell r="L57">
            <v>0</v>
          </cell>
          <cell r="M57">
            <v>0</v>
          </cell>
          <cell r="N57">
            <v>0</v>
          </cell>
        </row>
        <row r="58">
          <cell r="E58" t="str">
            <v>Compliance</v>
          </cell>
          <cell r="F58">
            <v>0</v>
          </cell>
          <cell r="G58">
            <v>0</v>
          </cell>
          <cell r="H58">
            <v>0</v>
          </cell>
          <cell r="I58" t="str">
            <v>Minor Gap</v>
          </cell>
          <cell r="J58" t="str">
            <v>Improvements Needed</v>
          </cell>
          <cell r="K58" t="str">
            <v>Evidence to be determined</v>
          </cell>
          <cell r="L58">
            <v>0</v>
          </cell>
          <cell r="M58">
            <v>0</v>
          </cell>
          <cell r="N58">
            <v>0</v>
          </cell>
        </row>
        <row r="59">
          <cell r="E59" t="str">
            <v>Compliance</v>
          </cell>
          <cell r="F59">
            <v>0</v>
          </cell>
          <cell r="G59" t="str">
            <v>Fit and proper policy
Regulatory Compliance Policy</v>
          </cell>
          <cell r="H59" t="str">
            <v>Deloitte policy review</v>
          </cell>
          <cell r="I59" t="str">
            <v>No Gap</v>
          </cell>
          <cell r="J59" t="str">
            <v>Improvements Needed</v>
          </cell>
          <cell r="K59" t="str">
            <v xml:space="preserve">Fit and Proper policy to be implemented by end 2015
</v>
          </cell>
          <cell r="L59" t="str">
            <v>Fit and Proper Policy
Regulatory Compliance Policy</v>
          </cell>
          <cell r="M59" t="str">
            <v>CGAC control reporting</v>
          </cell>
          <cell r="N59" t="str">
            <v>PISA Process</v>
          </cell>
        </row>
        <row r="60">
          <cell r="E60">
            <v>0</v>
          </cell>
          <cell r="F60">
            <v>0</v>
          </cell>
          <cell r="G60">
            <v>0</v>
          </cell>
          <cell r="H60">
            <v>0</v>
          </cell>
          <cell r="I60">
            <v>0</v>
          </cell>
          <cell r="J60">
            <v>0</v>
          </cell>
          <cell r="K60">
            <v>0</v>
          </cell>
          <cell r="L60">
            <v>0</v>
          </cell>
          <cell r="M60">
            <v>0</v>
          </cell>
          <cell r="N60">
            <v>0</v>
          </cell>
        </row>
        <row r="61">
          <cell r="E61">
            <v>0</v>
          </cell>
          <cell r="F61">
            <v>0</v>
          </cell>
          <cell r="G61">
            <v>0</v>
          </cell>
          <cell r="H61">
            <v>0</v>
          </cell>
          <cell r="I61">
            <v>0</v>
          </cell>
          <cell r="J61">
            <v>0</v>
          </cell>
          <cell r="K61">
            <v>0</v>
          </cell>
          <cell r="L61">
            <v>0</v>
          </cell>
          <cell r="M61">
            <v>0</v>
          </cell>
          <cell r="N61">
            <v>0</v>
          </cell>
        </row>
        <row r="62">
          <cell r="E62">
            <v>0</v>
          </cell>
          <cell r="F62">
            <v>0</v>
          </cell>
          <cell r="G62">
            <v>0</v>
          </cell>
          <cell r="H62">
            <v>0</v>
          </cell>
          <cell r="I62">
            <v>0</v>
          </cell>
          <cell r="J62">
            <v>0</v>
          </cell>
          <cell r="K62">
            <v>0</v>
          </cell>
          <cell r="L62">
            <v>0</v>
          </cell>
          <cell r="M62">
            <v>0</v>
          </cell>
          <cell r="N62">
            <v>0</v>
          </cell>
        </row>
        <row r="63">
          <cell r="E63">
            <v>0</v>
          </cell>
          <cell r="F63">
            <v>0</v>
          </cell>
          <cell r="G63">
            <v>0</v>
          </cell>
          <cell r="H63">
            <v>0</v>
          </cell>
          <cell r="I63">
            <v>0</v>
          </cell>
          <cell r="J63">
            <v>0</v>
          </cell>
          <cell r="K63">
            <v>0</v>
          </cell>
          <cell r="L63">
            <v>0</v>
          </cell>
          <cell r="M63">
            <v>0</v>
          </cell>
          <cell r="N63">
            <v>0</v>
          </cell>
        </row>
        <row r="64">
          <cell r="E64">
            <v>0</v>
          </cell>
          <cell r="F64">
            <v>0</v>
          </cell>
          <cell r="G64">
            <v>0</v>
          </cell>
          <cell r="H64">
            <v>0</v>
          </cell>
          <cell r="I64">
            <v>0</v>
          </cell>
          <cell r="J64">
            <v>0</v>
          </cell>
          <cell r="K64">
            <v>0</v>
          </cell>
          <cell r="L64">
            <v>0</v>
          </cell>
          <cell r="M64">
            <v>0</v>
          </cell>
          <cell r="N64">
            <v>0</v>
          </cell>
        </row>
        <row r="161">
          <cell r="E161">
            <v>0</v>
          </cell>
          <cell r="F161">
            <v>0</v>
          </cell>
          <cell r="G161">
            <v>0</v>
          </cell>
          <cell r="H161">
            <v>0</v>
          </cell>
          <cell r="I161">
            <v>0</v>
          </cell>
          <cell r="J161">
            <v>0</v>
          </cell>
          <cell r="K161">
            <v>0</v>
          </cell>
          <cell r="L161">
            <v>0</v>
          </cell>
          <cell r="M161">
            <v>0</v>
          </cell>
          <cell r="N161">
            <v>0</v>
          </cell>
        </row>
        <row r="162">
          <cell r="E162">
            <v>0</v>
          </cell>
          <cell r="F162">
            <v>0</v>
          </cell>
          <cell r="G162">
            <v>0</v>
          </cell>
          <cell r="H162">
            <v>0</v>
          </cell>
          <cell r="I162">
            <v>0</v>
          </cell>
          <cell r="J162">
            <v>0</v>
          </cell>
          <cell r="K162">
            <v>0</v>
          </cell>
          <cell r="L162">
            <v>0</v>
          </cell>
          <cell r="M162">
            <v>0</v>
          </cell>
          <cell r="N162">
            <v>0</v>
          </cell>
        </row>
        <row r="163">
          <cell r="E163">
            <v>0</v>
          </cell>
          <cell r="F163">
            <v>0</v>
          </cell>
          <cell r="G163">
            <v>0</v>
          </cell>
          <cell r="H163">
            <v>0</v>
          </cell>
          <cell r="I163">
            <v>0</v>
          </cell>
          <cell r="J163">
            <v>0</v>
          </cell>
          <cell r="K163">
            <v>0</v>
          </cell>
          <cell r="L163">
            <v>0</v>
          </cell>
          <cell r="M163">
            <v>0</v>
          </cell>
          <cell r="N163">
            <v>0</v>
          </cell>
        </row>
        <row r="164">
          <cell r="E164">
            <v>0</v>
          </cell>
          <cell r="F164">
            <v>0</v>
          </cell>
          <cell r="G164">
            <v>0</v>
          </cell>
          <cell r="H164">
            <v>0</v>
          </cell>
          <cell r="I164">
            <v>0</v>
          </cell>
          <cell r="J164">
            <v>0</v>
          </cell>
          <cell r="K164">
            <v>0</v>
          </cell>
          <cell r="L164">
            <v>0</v>
          </cell>
          <cell r="M164">
            <v>0</v>
          </cell>
          <cell r="N164">
            <v>0</v>
          </cell>
        </row>
        <row r="165">
          <cell r="E165">
            <v>0</v>
          </cell>
          <cell r="F165">
            <v>0</v>
          </cell>
          <cell r="G165">
            <v>0</v>
          </cell>
          <cell r="H165">
            <v>0</v>
          </cell>
          <cell r="I165">
            <v>0</v>
          </cell>
          <cell r="J165">
            <v>0</v>
          </cell>
          <cell r="K165">
            <v>0</v>
          </cell>
          <cell r="L165">
            <v>0</v>
          </cell>
          <cell r="M165">
            <v>0</v>
          </cell>
          <cell r="N165">
            <v>0</v>
          </cell>
        </row>
        <row r="166">
          <cell r="E166">
            <v>0</v>
          </cell>
          <cell r="F166">
            <v>0</v>
          </cell>
          <cell r="G166">
            <v>0</v>
          </cell>
          <cell r="H166">
            <v>0</v>
          </cell>
          <cell r="I166">
            <v>0</v>
          </cell>
          <cell r="J166">
            <v>0</v>
          </cell>
          <cell r="K166">
            <v>0</v>
          </cell>
          <cell r="L166">
            <v>0</v>
          </cell>
          <cell r="M166">
            <v>0</v>
          </cell>
          <cell r="N166">
            <v>0</v>
          </cell>
        </row>
        <row r="167">
          <cell r="E167">
            <v>0</v>
          </cell>
          <cell r="F167">
            <v>0</v>
          </cell>
          <cell r="G167">
            <v>0</v>
          </cell>
          <cell r="H167">
            <v>0</v>
          </cell>
          <cell r="I167">
            <v>0</v>
          </cell>
          <cell r="J167">
            <v>0</v>
          </cell>
          <cell r="K167">
            <v>0</v>
          </cell>
          <cell r="L167">
            <v>0</v>
          </cell>
          <cell r="M167">
            <v>0</v>
          </cell>
          <cell r="N167">
            <v>0</v>
          </cell>
        </row>
        <row r="168">
          <cell r="E168">
            <v>0</v>
          </cell>
          <cell r="F168">
            <v>0</v>
          </cell>
          <cell r="G168">
            <v>0</v>
          </cell>
          <cell r="H168">
            <v>0</v>
          </cell>
          <cell r="I168">
            <v>0</v>
          </cell>
          <cell r="J168">
            <v>0</v>
          </cell>
          <cell r="K168">
            <v>0</v>
          </cell>
          <cell r="L168">
            <v>0</v>
          </cell>
          <cell r="M168">
            <v>0</v>
          </cell>
          <cell r="N168">
            <v>0</v>
          </cell>
        </row>
        <row r="169">
          <cell r="E169">
            <v>0</v>
          </cell>
          <cell r="F169">
            <v>0</v>
          </cell>
          <cell r="G169">
            <v>0</v>
          </cell>
          <cell r="H169">
            <v>0</v>
          </cell>
          <cell r="I169">
            <v>0</v>
          </cell>
          <cell r="J169">
            <v>0</v>
          </cell>
          <cell r="K169">
            <v>0</v>
          </cell>
          <cell r="L169">
            <v>0</v>
          </cell>
          <cell r="M169">
            <v>0</v>
          </cell>
          <cell r="N169">
            <v>0</v>
          </cell>
        </row>
        <row r="170">
          <cell r="E170">
            <v>0</v>
          </cell>
          <cell r="F170">
            <v>0</v>
          </cell>
          <cell r="G170">
            <v>0</v>
          </cell>
          <cell r="H170">
            <v>0</v>
          </cell>
          <cell r="I170">
            <v>0</v>
          </cell>
          <cell r="J170">
            <v>0</v>
          </cell>
          <cell r="K170">
            <v>0</v>
          </cell>
          <cell r="L170">
            <v>0</v>
          </cell>
          <cell r="M170">
            <v>0</v>
          </cell>
          <cell r="N170">
            <v>0</v>
          </cell>
        </row>
        <row r="171">
          <cell r="E171">
            <v>0</v>
          </cell>
          <cell r="F171">
            <v>0</v>
          </cell>
          <cell r="G171">
            <v>0</v>
          </cell>
          <cell r="H171">
            <v>0</v>
          </cell>
          <cell r="I171">
            <v>0</v>
          </cell>
          <cell r="J171">
            <v>0</v>
          </cell>
          <cell r="K171">
            <v>0</v>
          </cell>
          <cell r="L171">
            <v>0</v>
          </cell>
          <cell r="M171">
            <v>0</v>
          </cell>
          <cell r="N171">
            <v>0</v>
          </cell>
        </row>
        <row r="172">
          <cell r="E172">
            <v>0</v>
          </cell>
          <cell r="F172">
            <v>0</v>
          </cell>
          <cell r="G172">
            <v>0</v>
          </cell>
          <cell r="H172">
            <v>0</v>
          </cell>
          <cell r="I172">
            <v>0</v>
          </cell>
          <cell r="J172">
            <v>0</v>
          </cell>
          <cell r="K172">
            <v>0</v>
          </cell>
          <cell r="L172">
            <v>0</v>
          </cell>
          <cell r="M172">
            <v>0</v>
          </cell>
          <cell r="N172">
            <v>0</v>
          </cell>
        </row>
        <row r="173">
          <cell r="E173">
            <v>0</v>
          </cell>
          <cell r="F173">
            <v>0</v>
          </cell>
          <cell r="G173">
            <v>0</v>
          </cell>
          <cell r="H173">
            <v>0</v>
          </cell>
          <cell r="I173">
            <v>0</v>
          </cell>
          <cell r="J173">
            <v>0</v>
          </cell>
          <cell r="K173">
            <v>0</v>
          </cell>
          <cell r="L173">
            <v>0</v>
          </cell>
          <cell r="M173">
            <v>0</v>
          </cell>
          <cell r="N173">
            <v>0</v>
          </cell>
        </row>
        <row r="174">
          <cell r="E174">
            <v>0</v>
          </cell>
          <cell r="F174">
            <v>0</v>
          </cell>
          <cell r="G174">
            <v>0</v>
          </cell>
          <cell r="H174">
            <v>0</v>
          </cell>
          <cell r="I174">
            <v>0</v>
          </cell>
          <cell r="J174">
            <v>0</v>
          </cell>
          <cell r="K174">
            <v>0</v>
          </cell>
          <cell r="L174">
            <v>0</v>
          </cell>
          <cell r="M174">
            <v>0</v>
          </cell>
          <cell r="N174">
            <v>0</v>
          </cell>
        </row>
        <row r="175">
          <cell r="E175">
            <v>0</v>
          </cell>
          <cell r="F175">
            <v>0</v>
          </cell>
          <cell r="G175">
            <v>0</v>
          </cell>
          <cell r="H175">
            <v>0</v>
          </cell>
          <cell r="I175">
            <v>0</v>
          </cell>
          <cell r="J175">
            <v>0</v>
          </cell>
          <cell r="K175">
            <v>0</v>
          </cell>
          <cell r="L175">
            <v>0</v>
          </cell>
          <cell r="M175">
            <v>0</v>
          </cell>
          <cell r="N175">
            <v>0</v>
          </cell>
        </row>
        <row r="176">
          <cell r="E176">
            <v>0</v>
          </cell>
          <cell r="F176">
            <v>0</v>
          </cell>
          <cell r="G176">
            <v>0</v>
          </cell>
          <cell r="H176">
            <v>0</v>
          </cell>
          <cell r="I176">
            <v>0</v>
          </cell>
          <cell r="J176">
            <v>0</v>
          </cell>
          <cell r="K176">
            <v>0</v>
          </cell>
          <cell r="L176">
            <v>0</v>
          </cell>
          <cell r="M176">
            <v>0</v>
          </cell>
          <cell r="N176">
            <v>0</v>
          </cell>
        </row>
        <row r="177">
          <cell r="E177">
            <v>0</v>
          </cell>
          <cell r="F177">
            <v>0</v>
          </cell>
          <cell r="G177">
            <v>0</v>
          </cell>
          <cell r="H177">
            <v>0</v>
          </cell>
          <cell r="I177">
            <v>0</v>
          </cell>
          <cell r="J177">
            <v>0</v>
          </cell>
          <cell r="K177">
            <v>0</v>
          </cell>
          <cell r="L177">
            <v>0</v>
          </cell>
          <cell r="M177">
            <v>0</v>
          </cell>
          <cell r="N177">
            <v>0</v>
          </cell>
        </row>
        <row r="178">
          <cell r="E178">
            <v>0</v>
          </cell>
          <cell r="F178">
            <v>0</v>
          </cell>
          <cell r="G178">
            <v>0</v>
          </cell>
          <cell r="H178">
            <v>0</v>
          </cell>
          <cell r="I178">
            <v>0</v>
          </cell>
          <cell r="J178">
            <v>0</v>
          </cell>
          <cell r="K178">
            <v>0</v>
          </cell>
          <cell r="L178">
            <v>0</v>
          </cell>
          <cell r="M178">
            <v>0</v>
          </cell>
          <cell r="N178">
            <v>0</v>
          </cell>
        </row>
        <row r="179">
          <cell r="E179">
            <v>0</v>
          </cell>
          <cell r="F179">
            <v>0</v>
          </cell>
          <cell r="G179">
            <v>0</v>
          </cell>
          <cell r="H179">
            <v>0</v>
          </cell>
          <cell r="I179">
            <v>0</v>
          </cell>
          <cell r="J179">
            <v>0</v>
          </cell>
          <cell r="K179">
            <v>0</v>
          </cell>
          <cell r="L179">
            <v>0</v>
          </cell>
          <cell r="M179">
            <v>0</v>
          </cell>
          <cell r="N179">
            <v>0</v>
          </cell>
        </row>
        <row r="180">
          <cell r="E180">
            <v>0</v>
          </cell>
          <cell r="F180">
            <v>0</v>
          </cell>
          <cell r="G180">
            <v>0</v>
          </cell>
          <cell r="H180">
            <v>0</v>
          </cell>
          <cell r="I180">
            <v>0</v>
          </cell>
          <cell r="J180">
            <v>0</v>
          </cell>
          <cell r="K180">
            <v>0</v>
          </cell>
          <cell r="L180">
            <v>0</v>
          </cell>
          <cell r="M180">
            <v>0</v>
          </cell>
          <cell r="N180">
            <v>0</v>
          </cell>
        </row>
        <row r="181">
          <cell r="E181">
            <v>0</v>
          </cell>
          <cell r="F181">
            <v>0</v>
          </cell>
          <cell r="G181">
            <v>0</v>
          </cell>
          <cell r="H181">
            <v>0</v>
          </cell>
          <cell r="I181">
            <v>0</v>
          </cell>
          <cell r="J181">
            <v>0</v>
          </cell>
          <cell r="K181">
            <v>0</v>
          </cell>
          <cell r="L181">
            <v>0</v>
          </cell>
          <cell r="M181">
            <v>0</v>
          </cell>
          <cell r="N181">
            <v>0</v>
          </cell>
        </row>
        <row r="182">
          <cell r="E182">
            <v>0</v>
          </cell>
          <cell r="F182">
            <v>0</v>
          </cell>
          <cell r="G182">
            <v>0</v>
          </cell>
          <cell r="H182">
            <v>0</v>
          </cell>
          <cell r="I182">
            <v>0</v>
          </cell>
          <cell r="J182">
            <v>0</v>
          </cell>
          <cell r="K182">
            <v>0</v>
          </cell>
          <cell r="L182">
            <v>0</v>
          </cell>
          <cell r="M182">
            <v>0</v>
          </cell>
          <cell r="N182">
            <v>0</v>
          </cell>
        </row>
        <row r="183">
          <cell r="E183">
            <v>0</v>
          </cell>
          <cell r="F183">
            <v>0</v>
          </cell>
          <cell r="G183">
            <v>0</v>
          </cell>
          <cell r="H183">
            <v>0</v>
          </cell>
          <cell r="I183">
            <v>0</v>
          </cell>
          <cell r="J183">
            <v>0</v>
          </cell>
          <cell r="K183">
            <v>0</v>
          </cell>
          <cell r="L183">
            <v>0</v>
          </cell>
          <cell r="M183">
            <v>0</v>
          </cell>
          <cell r="N183">
            <v>0</v>
          </cell>
        </row>
        <row r="184">
          <cell r="E184">
            <v>0</v>
          </cell>
          <cell r="F184">
            <v>0</v>
          </cell>
          <cell r="G184">
            <v>0</v>
          </cell>
          <cell r="H184">
            <v>0</v>
          </cell>
          <cell r="I184">
            <v>0</v>
          </cell>
          <cell r="J184">
            <v>0</v>
          </cell>
          <cell r="K184">
            <v>0</v>
          </cell>
          <cell r="L184">
            <v>0</v>
          </cell>
          <cell r="M184">
            <v>0</v>
          </cell>
          <cell r="N184">
            <v>0</v>
          </cell>
        </row>
        <row r="185">
          <cell r="E185">
            <v>0</v>
          </cell>
          <cell r="F185">
            <v>0</v>
          </cell>
          <cell r="G185">
            <v>0</v>
          </cell>
          <cell r="H185">
            <v>0</v>
          </cell>
          <cell r="I185">
            <v>0</v>
          </cell>
          <cell r="J185">
            <v>0</v>
          </cell>
          <cell r="K185">
            <v>0</v>
          </cell>
          <cell r="L185">
            <v>0</v>
          </cell>
          <cell r="M185">
            <v>0</v>
          </cell>
          <cell r="N185">
            <v>0</v>
          </cell>
        </row>
        <row r="186">
          <cell r="E186">
            <v>0</v>
          </cell>
          <cell r="F186">
            <v>0</v>
          </cell>
          <cell r="G186">
            <v>0</v>
          </cell>
          <cell r="H186">
            <v>0</v>
          </cell>
          <cell r="I186">
            <v>0</v>
          </cell>
          <cell r="J186">
            <v>0</v>
          </cell>
          <cell r="K186">
            <v>0</v>
          </cell>
          <cell r="L186">
            <v>0</v>
          </cell>
          <cell r="M186">
            <v>0</v>
          </cell>
          <cell r="N186">
            <v>0</v>
          </cell>
        </row>
        <row r="187">
          <cell r="E187">
            <v>0</v>
          </cell>
          <cell r="F187">
            <v>0</v>
          </cell>
          <cell r="G187">
            <v>0</v>
          </cell>
          <cell r="H187">
            <v>0</v>
          </cell>
          <cell r="I187">
            <v>0</v>
          </cell>
          <cell r="J187">
            <v>0</v>
          </cell>
          <cell r="K187">
            <v>0</v>
          </cell>
          <cell r="L187">
            <v>0</v>
          </cell>
          <cell r="M187">
            <v>0</v>
          </cell>
          <cell r="N187">
            <v>0</v>
          </cell>
        </row>
        <row r="188">
          <cell r="E188">
            <v>0</v>
          </cell>
          <cell r="F188">
            <v>0</v>
          </cell>
          <cell r="G188">
            <v>0</v>
          </cell>
          <cell r="H188">
            <v>0</v>
          </cell>
          <cell r="I188">
            <v>0</v>
          </cell>
          <cell r="J188">
            <v>0</v>
          </cell>
          <cell r="K188">
            <v>0</v>
          </cell>
          <cell r="L188">
            <v>0</v>
          </cell>
          <cell r="M188">
            <v>0</v>
          </cell>
          <cell r="N188">
            <v>0</v>
          </cell>
        </row>
        <row r="189">
          <cell r="E189">
            <v>0</v>
          </cell>
          <cell r="F189">
            <v>0</v>
          </cell>
          <cell r="G189">
            <v>0</v>
          </cell>
          <cell r="H189">
            <v>0</v>
          </cell>
          <cell r="I189">
            <v>0</v>
          </cell>
          <cell r="J189">
            <v>0</v>
          </cell>
          <cell r="K189">
            <v>0</v>
          </cell>
          <cell r="L189">
            <v>0</v>
          </cell>
          <cell r="M189">
            <v>0</v>
          </cell>
          <cell r="N189">
            <v>0</v>
          </cell>
        </row>
        <row r="190">
          <cell r="E190">
            <v>0</v>
          </cell>
          <cell r="F190">
            <v>0</v>
          </cell>
          <cell r="G190">
            <v>0</v>
          </cell>
          <cell r="H190">
            <v>0</v>
          </cell>
          <cell r="I190">
            <v>0</v>
          </cell>
          <cell r="J190">
            <v>0</v>
          </cell>
          <cell r="K190">
            <v>0</v>
          </cell>
          <cell r="L190">
            <v>0</v>
          </cell>
          <cell r="M190">
            <v>0</v>
          </cell>
          <cell r="N190">
            <v>0</v>
          </cell>
        </row>
        <row r="191">
          <cell r="E191">
            <v>0</v>
          </cell>
          <cell r="F191">
            <v>0</v>
          </cell>
          <cell r="G191">
            <v>0</v>
          </cell>
          <cell r="H191">
            <v>0</v>
          </cell>
          <cell r="I191">
            <v>0</v>
          </cell>
          <cell r="J191">
            <v>0</v>
          </cell>
          <cell r="K191">
            <v>0</v>
          </cell>
          <cell r="L191">
            <v>0</v>
          </cell>
          <cell r="M191">
            <v>0</v>
          </cell>
          <cell r="N191">
            <v>0</v>
          </cell>
        </row>
        <row r="192">
          <cell r="E192">
            <v>0</v>
          </cell>
          <cell r="F192">
            <v>0</v>
          </cell>
          <cell r="G192">
            <v>0</v>
          </cell>
          <cell r="H192">
            <v>0</v>
          </cell>
          <cell r="I192">
            <v>0</v>
          </cell>
          <cell r="J192">
            <v>0</v>
          </cell>
          <cell r="K192">
            <v>0</v>
          </cell>
          <cell r="L192">
            <v>0</v>
          </cell>
          <cell r="M192">
            <v>0</v>
          </cell>
          <cell r="N192">
            <v>0</v>
          </cell>
        </row>
        <row r="193">
          <cell r="E193">
            <v>0</v>
          </cell>
          <cell r="F193">
            <v>0</v>
          </cell>
          <cell r="G193">
            <v>0</v>
          </cell>
          <cell r="H193">
            <v>0</v>
          </cell>
          <cell r="I193">
            <v>0</v>
          </cell>
          <cell r="J193">
            <v>0</v>
          </cell>
          <cell r="K193">
            <v>0</v>
          </cell>
          <cell r="L193">
            <v>0</v>
          </cell>
          <cell r="M193">
            <v>0</v>
          </cell>
          <cell r="N193">
            <v>0</v>
          </cell>
        </row>
        <row r="194">
          <cell r="E194">
            <v>0</v>
          </cell>
          <cell r="F194">
            <v>0</v>
          </cell>
          <cell r="G194">
            <v>0</v>
          </cell>
          <cell r="H194">
            <v>0</v>
          </cell>
          <cell r="I194">
            <v>0</v>
          </cell>
          <cell r="J194">
            <v>0</v>
          </cell>
          <cell r="K194">
            <v>0</v>
          </cell>
          <cell r="L194">
            <v>0</v>
          </cell>
          <cell r="M194">
            <v>0</v>
          </cell>
          <cell r="N194">
            <v>0</v>
          </cell>
        </row>
        <row r="195">
          <cell r="E195">
            <v>0</v>
          </cell>
          <cell r="F195">
            <v>0</v>
          </cell>
          <cell r="G195">
            <v>0</v>
          </cell>
          <cell r="H195">
            <v>0</v>
          </cell>
          <cell r="I195">
            <v>0</v>
          </cell>
          <cell r="J195">
            <v>0</v>
          </cell>
          <cell r="K195">
            <v>0</v>
          </cell>
          <cell r="L195">
            <v>0</v>
          </cell>
          <cell r="M195">
            <v>0</v>
          </cell>
          <cell r="N195">
            <v>0</v>
          </cell>
        </row>
        <row r="196">
          <cell r="E196">
            <v>0</v>
          </cell>
          <cell r="F196">
            <v>0</v>
          </cell>
          <cell r="G196">
            <v>0</v>
          </cell>
          <cell r="H196">
            <v>0</v>
          </cell>
          <cell r="I196">
            <v>0</v>
          </cell>
          <cell r="J196">
            <v>0</v>
          </cell>
          <cell r="K196">
            <v>0</v>
          </cell>
          <cell r="L196">
            <v>0</v>
          </cell>
          <cell r="M196">
            <v>0</v>
          </cell>
          <cell r="N196">
            <v>0</v>
          </cell>
        </row>
        <row r="197">
          <cell r="E197">
            <v>0</v>
          </cell>
          <cell r="F197">
            <v>0</v>
          </cell>
          <cell r="G197">
            <v>0</v>
          </cell>
          <cell r="H197">
            <v>0</v>
          </cell>
          <cell r="I197">
            <v>0</v>
          </cell>
          <cell r="J197">
            <v>0</v>
          </cell>
          <cell r="K197">
            <v>0</v>
          </cell>
          <cell r="L197">
            <v>0</v>
          </cell>
          <cell r="M197">
            <v>0</v>
          </cell>
          <cell r="N197">
            <v>0</v>
          </cell>
        </row>
        <row r="198">
          <cell r="E198">
            <v>0</v>
          </cell>
          <cell r="F198">
            <v>0</v>
          </cell>
          <cell r="G198">
            <v>0</v>
          </cell>
          <cell r="H198">
            <v>0</v>
          </cell>
          <cell r="I198">
            <v>0</v>
          </cell>
          <cell r="J198">
            <v>0</v>
          </cell>
          <cell r="K198">
            <v>0</v>
          </cell>
          <cell r="L198">
            <v>0</v>
          </cell>
          <cell r="M198">
            <v>0</v>
          </cell>
          <cell r="N198">
            <v>0</v>
          </cell>
        </row>
        <row r="199">
          <cell r="E199">
            <v>0</v>
          </cell>
          <cell r="F199">
            <v>0</v>
          </cell>
          <cell r="G199">
            <v>0</v>
          </cell>
          <cell r="H199">
            <v>0</v>
          </cell>
          <cell r="I199">
            <v>0</v>
          </cell>
          <cell r="J199">
            <v>0</v>
          </cell>
          <cell r="K199">
            <v>0</v>
          </cell>
          <cell r="L199">
            <v>0</v>
          </cell>
          <cell r="M199">
            <v>0</v>
          </cell>
          <cell r="N199">
            <v>0</v>
          </cell>
        </row>
        <row r="200">
          <cell r="E200">
            <v>0</v>
          </cell>
          <cell r="F200">
            <v>0</v>
          </cell>
          <cell r="G200">
            <v>0</v>
          </cell>
          <cell r="H200">
            <v>0</v>
          </cell>
          <cell r="I200">
            <v>0</v>
          </cell>
          <cell r="J200">
            <v>0</v>
          </cell>
          <cell r="K200">
            <v>0</v>
          </cell>
          <cell r="L200">
            <v>0</v>
          </cell>
          <cell r="M200">
            <v>0</v>
          </cell>
          <cell r="N200">
            <v>0</v>
          </cell>
        </row>
        <row r="201">
          <cell r="E201">
            <v>0</v>
          </cell>
          <cell r="F201">
            <v>0</v>
          </cell>
          <cell r="G201">
            <v>0</v>
          </cell>
          <cell r="H201">
            <v>0</v>
          </cell>
          <cell r="I201">
            <v>0</v>
          </cell>
          <cell r="J201">
            <v>0</v>
          </cell>
          <cell r="K201">
            <v>0</v>
          </cell>
          <cell r="L201">
            <v>0</v>
          </cell>
          <cell r="M201">
            <v>0</v>
          </cell>
          <cell r="N201">
            <v>0</v>
          </cell>
        </row>
        <row r="202">
          <cell r="E202">
            <v>0</v>
          </cell>
          <cell r="F202">
            <v>0</v>
          </cell>
          <cell r="G202">
            <v>0</v>
          </cell>
          <cell r="H202">
            <v>0</v>
          </cell>
          <cell r="I202">
            <v>0</v>
          </cell>
          <cell r="J202">
            <v>0</v>
          </cell>
          <cell r="K202">
            <v>0</v>
          </cell>
          <cell r="L202">
            <v>0</v>
          </cell>
          <cell r="M202">
            <v>0</v>
          </cell>
          <cell r="N202">
            <v>0</v>
          </cell>
        </row>
        <row r="203">
          <cell r="E203">
            <v>0</v>
          </cell>
          <cell r="F203">
            <v>0</v>
          </cell>
          <cell r="G203">
            <v>0</v>
          </cell>
          <cell r="H203">
            <v>0</v>
          </cell>
          <cell r="I203">
            <v>0</v>
          </cell>
          <cell r="J203">
            <v>0</v>
          </cell>
          <cell r="K203">
            <v>0</v>
          </cell>
          <cell r="L203">
            <v>0</v>
          </cell>
          <cell r="M203">
            <v>0</v>
          </cell>
          <cell r="N203">
            <v>0</v>
          </cell>
        </row>
        <row r="204">
          <cell r="E204">
            <v>0</v>
          </cell>
          <cell r="F204">
            <v>0</v>
          </cell>
          <cell r="G204">
            <v>0</v>
          </cell>
          <cell r="H204">
            <v>0</v>
          </cell>
          <cell r="I204">
            <v>0</v>
          </cell>
          <cell r="J204">
            <v>0</v>
          </cell>
          <cell r="K204">
            <v>0</v>
          </cell>
          <cell r="L204">
            <v>0</v>
          </cell>
          <cell r="M204">
            <v>0</v>
          </cell>
          <cell r="N204">
            <v>0</v>
          </cell>
        </row>
        <row r="205">
          <cell r="E205">
            <v>0</v>
          </cell>
          <cell r="F205">
            <v>0</v>
          </cell>
          <cell r="G205">
            <v>0</v>
          </cell>
          <cell r="H205">
            <v>0</v>
          </cell>
          <cell r="I205">
            <v>0</v>
          </cell>
          <cell r="J205">
            <v>0</v>
          </cell>
          <cell r="K205">
            <v>0</v>
          </cell>
          <cell r="L205">
            <v>0</v>
          </cell>
          <cell r="M205">
            <v>0</v>
          </cell>
          <cell r="N205">
            <v>0</v>
          </cell>
        </row>
        <row r="206">
          <cell r="E206">
            <v>0</v>
          </cell>
          <cell r="F206">
            <v>0</v>
          </cell>
          <cell r="G206">
            <v>0</v>
          </cell>
          <cell r="H206">
            <v>0</v>
          </cell>
          <cell r="I206">
            <v>0</v>
          </cell>
          <cell r="J206">
            <v>0</v>
          </cell>
          <cell r="K206">
            <v>0</v>
          </cell>
          <cell r="L206">
            <v>0</v>
          </cell>
          <cell r="M206">
            <v>0</v>
          </cell>
          <cell r="N206">
            <v>0</v>
          </cell>
        </row>
        <row r="207">
          <cell r="E207">
            <v>0</v>
          </cell>
          <cell r="F207">
            <v>0</v>
          </cell>
          <cell r="G207">
            <v>0</v>
          </cell>
          <cell r="H207">
            <v>0</v>
          </cell>
          <cell r="I207">
            <v>0</v>
          </cell>
          <cell r="J207">
            <v>0</v>
          </cell>
          <cell r="K207">
            <v>0</v>
          </cell>
          <cell r="L207">
            <v>0</v>
          </cell>
          <cell r="M207">
            <v>0</v>
          </cell>
          <cell r="N207">
            <v>0</v>
          </cell>
        </row>
        <row r="208">
          <cell r="E208">
            <v>0</v>
          </cell>
          <cell r="F208">
            <v>0</v>
          </cell>
          <cell r="G208">
            <v>0</v>
          </cell>
          <cell r="H208">
            <v>0</v>
          </cell>
          <cell r="I208">
            <v>0</v>
          </cell>
          <cell r="J208">
            <v>0</v>
          </cell>
          <cell r="K208">
            <v>0</v>
          </cell>
          <cell r="L208">
            <v>0</v>
          </cell>
          <cell r="M208">
            <v>0</v>
          </cell>
          <cell r="N208">
            <v>0</v>
          </cell>
        </row>
        <row r="209">
          <cell r="E209">
            <v>0</v>
          </cell>
          <cell r="F209">
            <v>0</v>
          </cell>
          <cell r="G209">
            <v>0</v>
          </cell>
          <cell r="H209">
            <v>0</v>
          </cell>
          <cell r="I209">
            <v>0</v>
          </cell>
          <cell r="J209">
            <v>0</v>
          </cell>
          <cell r="K209">
            <v>0</v>
          </cell>
          <cell r="L209">
            <v>0</v>
          </cell>
          <cell r="M209">
            <v>0</v>
          </cell>
          <cell r="N209">
            <v>0</v>
          </cell>
        </row>
        <row r="210">
          <cell r="E210">
            <v>0</v>
          </cell>
          <cell r="F210">
            <v>0</v>
          </cell>
          <cell r="G210">
            <v>0</v>
          </cell>
          <cell r="H210">
            <v>0</v>
          </cell>
          <cell r="I210">
            <v>0</v>
          </cell>
          <cell r="J210">
            <v>0</v>
          </cell>
          <cell r="K210">
            <v>0</v>
          </cell>
          <cell r="L210">
            <v>0</v>
          </cell>
          <cell r="M210">
            <v>0</v>
          </cell>
          <cell r="N210">
            <v>0</v>
          </cell>
        </row>
        <row r="211">
          <cell r="E211">
            <v>0</v>
          </cell>
          <cell r="F211">
            <v>0</v>
          </cell>
          <cell r="G211">
            <v>0</v>
          </cell>
          <cell r="H211">
            <v>0</v>
          </cell>
          <cell r="I211">
            <v>0</v>
          </cell>
          <cell r="J211">
            <v>0</v>
          </cell>
          <cell r="K211">
            <v>0</v>
          </cell>
          <cell r="L211">
            <v>0</v>
          </cell>
          <cell r="M211">
            <v>0</v>
          </cell>
          <cell r="N211">
            <v>0</v>
          </cell>
        </row>
        <row r="212">
          <cell r="E212">
            <v>0</v>
          </cell>
          <cell r="F212">
            <v>0</v>
          </cell>
          <cell r="G212">
            <v>0</v>
          </cell>
          <cell r="H212">
            <v>0</v>
          </cell>
          <cell r="I212">
            <v>0</v>
          </cell>
          <cell r="J212">
            <v>0</v>
          </cell>
          <cell r="K212">
            <v>0</v>
          </cell>
          <cell r="L212">
            <v>0</v>
          </cell>
          <cell r="M212">
            <v>0</v>
          </cell>
          <cell r="N212">
            <v>0</v>
          </cell>
        </row>
        <row r="213">
          <cell r="E213">
            <v>0</v>
          </cell>
          <cell r="F213">
            <v>0</v>
          </cell>
          <cell r="G213">
            <v>0</v>
          </cell>
          <cell r="H213">
            <v>0</v>
          </cell>
          <cell r="I213">
            <v>0</v>
          </cell>
          <cell r="J213">
            <v>0</v>
          </cell>
          <cell r="K213">
            <v>0</v>
          </cell>
          <cell r="L213">
            <v>0</v>
          </cell>
          <cell r="M213">
            <v>0</v>
          </cell>
          <cell r="N213">
            <v>0</v>
          </cell>
        </row>
        <row r="214">
          <cell r="E214">
            <v>0</v>
          </cell>
          <cell r="F214">
            <v>0</v>
          </cell>
          <cell r="G214">
            <v>0</v>
          </cell>
          <cell r="H214">
            <v>0</v>
          </cell>
          <cell r="I214">
            <v>0</v>
          </cell>
          <cell r="J214">
            <v>0</v>
          </cell>
          <cell r="K214">
            <v>0</v>
          </cell>
          <cell r="L214">
            <v>0</v>
          </cell>
          <cell r="M214">
            <v>0</v>
          </cell>
          <cell r="N214">
            <v>0</v>
          </cell>
        </row>
        <row r="215">
          <cell r="E215">
            <v>0</v>
          </cell>
          <cell r="F215">
            <v>0</v>
          </cell>
          <cell r="G215">
            <v>0</v>
          </cell>
          <cell r="H215">
            <v>0</v>
          </cell>
          <cell r="I215">
            <v>0</v>
          </cell>
          <cell r="J215">
            <v>0</v>
          </cell>
          <cell r="K215">
            <v>0</v>
          </cell>
          <cell r="L215">
            <v>0</v>
          </cell>
          <cell r="M215">
            <v>0</v>
          </cell>
          <cell r="N215">
            <v>0</v>
          </cell>
        </row>
        <row r="216">
          <cell r="E216">
            <v>0</v>
          </cell>
          <cell r="F216">
            <v>0</v>
          </cell>
          <cell r="G216">
            <v>0</v>
          </cell>
          <cell r="H216">
            <v>0</v>
          </cell>
          <cell r="I216">
            <v>0</v>
          </cell>
          <cell r="J216">
            <v>0</v>
          </cell>
          <cell r="K216">
            <v>0</v>
          </cell>
          <cell r="L216">
            <v>0</v>
          </cell>
          <cell r="M216">
            <v>0</v>
          </cell>
          <cell r="N216">
            <v>0</v>
          </cell>
        </row>
        <row r="217">
          <cell r="E217">
            <v>0</v>
          </cell>
          <cell r="F217">
            <v>0</v>
          </cell>
          <cell r="G217">
            <v>0</v>
          </cell>
          <cell r="H217">
            <v>0</v>
          </cell>
          <cell r="I217">
            <v>0</v>
          </cell>
          <cell r="J217">
            <v>0</v>
          </cell>
          <cell r="K217">
            <v>0</v>
          </cell>
          <cell r="L217">
            <v>0</v>
          </cell>
          <cell r="M217">
            <v>0</v>
          </cell>
          <cell r="N217">
            <v>0</v>
          </cell>
        </row>
        <row r="218">
          <cell r="E218">
            <v>0</v>
          </cell>
          <cell r="F218">
            <v>0</v>
          </cell>
          <cell r="G218">
            <v>0</v>
          </cell>
          <cell r="H218">
            <v>0</v>
          </cell>
          <cell r="I218">
            <v>0</v>
          </cell>
          <cell r="J218">
            <v>0</v>
          </cell>
          <cell r="K218">
            <v>0</v>
          </cell>
          <cell r="L218">
            <v>0</v>
          </cell>
          <cell r="M218">
            <v>0</v>
          </cell>
          <cell r="N218">
            <v>0</v>
          </cell>
        </row>
        <row r="219">
          <cell r="E219">
            <v>0</v>
          </cell>
          <cell r="F219">
            <v>0</v>
          </cell>
          <cell r="G219">
            <v>0</v>
          </cell>
          <cell r="H219">
            <v>0</v>
          </cell>
          <cell r="I219">
            <v>0</v>
          </cell>
          <cell r="J219">
            <v>0</v>
          </cell>
          <cell r="K219">
            <v>0</v>
          </cell>
          <cell r="L219">
            <v>0</v>
          </cell>
          <cell r="M219">
            <v>0</v>
          </cell>
          <cell r="N219">
            <v>0</v>
          </cell>
        </row>
        <row r="220">
          <cell r="E220">
            <v>0</v>
          </cell>
          <cell r="F220">
            <v>0</v>
          </cell>
          <cell r="G220">
            <v>0</v>
          </cell>
          <cell r="H220">
            <v>0</v>
          </cell>
          <cell r="I220">
            <v>0</v>
          </cell>
          <cell r="J220">
            <v>0</v>
          </cell>
          <cell r="K220">
            <v>0</v>
          </cell>
          <cell r="L220">
            <v>0</v>
          </cell>
          <cell r="M220">
            <v>0</v>
          </cell>
          <cell r="N220">
            <v>0</v>
          </cell>
        </row>
        <row r="221">
          <cell r="E221">
            <v>0</v>
          </cell>
          <cell r="F221">
            <v>0</v>
          </cell>
          <cell r="G221">
            <v>0</v>
          </cell>
          <cell r="H221">
            <v>0</v>
          </cell>
          <cell r="I221">
            <v>0</v>
          </cell>
          <cell r="J221">
            <v>0</v>
          </cell>
          <cell r="K221">
            <v>0</v>
          </cell>
          <cell r="L221">
            <v>0</v>
          </cell>
          <cell r="M221">
            <v>0</v>
          </cell>
          <cell r="N221">
            <v>0</v>
          </cell>
        </row>
        <row r="222">
          <cell r="E222">
            <v>0</v>
          </cell>
          <cell r="F222">
            <v>0</v>
          </cell>
          <cell r="G222">
            <v>0</v>
          </cell>
          <cell r="H222">
            <v>0</v>
          </cell>
          <cell r="I222">
            <v>0</v>
          </cell>
          <cell r="J222">
            <v>0</v>
          </cell>
          <cell r="K222">
            <v>0</v>
          </cell>
          <cell r="L222">
            <v>0</v>
          </cell>
          <cell r="M222">
            <v>0</v>
          </cell>
          <cell r="N222">
            <v>0</v>
          </cell>
        </row>
        <row r="223">
          <cell r="E223">
            <v>0</v>
          </cell>
          <cell r="F223">
            <v>0</v>
          </cell>
          <cell r="G223">
            <v>0</v>
          </cell>
          <cell r="H223">
            <v>0</v>
          </cell>
          <cell r="I223">
            <v>0</v>
          </cell>
          <cell r="J223">
            <v>0</v>
          </cell>
          <cell r="K223">
            <v>0</v>
          </cell>
          <cell r="L223">
            <v>0</v>
          </cell>
          <cell r="M223">
            <v>0</v>
          </cell>
          <cell r="N223">
            <v>0</v>
          </cell>
        </row>
        <row r="224">
          <cell r="E224">
            <v>0</v>
          </cell>
          <cell r="F224">
            <v>0</v>
          </cell>
          <cell r="G224">
            <v>0</v>
          </cell>
          <cell r="H224">
            <v>0</v>
          </cell>
          <cell r="I224">
            <v>0</v>
          </cell>
          <cell r="J224">
            <v>0</v>
          </cell>
          <cell r="K224">
            <v>0</v>
          </cell>
          <cell r="L224">
            <v>0</v>
          </cell>
          <cell r="M224">
            <v>0</v>
          </cell>
          <cell r="N224">
            <v>0</v>
          </cell>
        </row>
        <row r="225">
          <cell r="E225">
            <v>0</v>
          </cell>
          <cell r="F225">
            <v>0</v>
          </cell>
          <cell r="G225">
            <v>0</v>
          </cell>
          <cell r="H225">
            <v>0</v>
          </cell>
          <cell r="I225">
            <v>0</v>
          </cell>
          <cell r="J225">
            <v>0</v>
          </cell>
          <cell r="K225">
            <v>0</v>
          </cell>
          <cell r="L225">
            <v>0</v>
          </cell>
          <cell r="M225">
            <v>0</v>
          </cell>
          <cell r="N225">
            <v>0</v>
          </cell>
        </row>
        <row r="226">
          <cell r="E226">
            <v>0</v>
          </cell>
          <cell r="F226">
            <v>0</v>
          </cell>
          <cell r="G226">
            <v>0</v>
          </cell>
          <cell r="H226">
            <v>0</v>
          </cell>
          <cell r="I226">
            <v>0</v>
          </cell>
          <cell r="J226">
            <v>0</v>
          </cell>
          <cell r="K226">
            <v>0</v>
          </cell>
          <cell r="L226">
            <v>0</v>
          </cell>
          <cell r="M226">
            <v>0</v>
          </cell>
          <cell r="N226">
            <v>0</v>
          </cell>
        </row>
        <row r="227">
          <cell r="E227">
            <v>0</v>
          </cell>
          <cell r="F227">
            <v>0</v>
          </cell>
          <cell r="G227">
            <v>0</v>
          </cell>
          <cell r="H227">
            <v>0</v>
          </cell>
          <cell r="I227">
            <v>0</v>
          </cell>
          <cell r="J227">
            <v>0</v>
          </cell>
          <cell r="K227">
            <v>0</v>
          </cell>
          <cell r="L227">
            <v>0</v>
          </cell>
          <cell r="M227">
            <v>0</v>
          </cell>
          <cell r="N227">
            <v>0</v>
          </cell>
        </row>
        <row r="228">
          <cell r="E228">
            <v>0</v>
          </cell>
          <cell r="F228">
            <v>0</v>
          </cell>
          <cell r="G228">
            <v>0</v>
          </cell>
          <cell r="H228">
            <v>0</v>
          </cell>
          <cell r="I228">
            <v>0</v>
          </cell>
          <cell r="J228">
            <v>0</v>
          </cell>
          <cell r="K228">
            <v>0</v>
          </cell>
          <cell r="L228">
            <v>0</v>
          </cell>
          <cell r="M228">
            <v>0</v>
          </cell>
          <cell r="N228">
            <v>0</v>
          </cell>
        </row>
        <row r="229">
          <cell r="E229">
            <v>0</v>
          </cell>
          <cell r="F229">
            <v>0</v>
          </cell>
          <cell r="G229">
            <v>0</v>
          </cell>
          <cell r="H229">
            <v>0</v>
          </cell>
          <cell r="I229">
            <v>0</v>
          </cell>
          <cell r="J229">
            <v>0</v>
          </cell>
          <cell r="K229">
            <v>0</v>
          </cell>
          <cell r="L229">
            <v>0</v>
          </cell>
          <cell r="M229">
            <v>0</v>
          </cell>
          <cell r="N229">
            <v>0</v>
          </cell>
        </row>
        <row r="230">
          <cell r="E230">
            <v>0</v>
          </cell>
          <cell r="F230">
            <v>0</v>
          </cell>
          <cell r="G230">
            <v>0</v>
          </cell>
          <cell r="H230">
            <v>0</v>
          </cell>
          <cell r="I230">
            <v>0</v>
          </cell>
          <cell r="J230">
            <v>0</v>
          </cell>
          <cell r="K230">
            <v>0</v>
          </cell>
          <cell r="L230">
            <v>0</v>
          </cell>
          <cell r="M230">
            <v>0</v>
          </cell>
          <cell r="N230">
            <v>0</v>
          </cell>
        </row>
        <row r="231">
          <cell r="E231">
            <v>0</v>
          </cell>
          <cell r="F231">
            <v>0</v>
          </cell>
          <cell r="G231">
            <v>0</v>
          </cell>
          <cell r="H231">
            <v>0</v>
          </cell>
          <cell r="I231">
            <v>0</v>
          </cell>
          <cell r="J231">
            <v>0</v>
          </cell>
          <cell r="K231">
            <v>0</v>
          </cell>
          <cell r="L231">
            <v>0</v>
          </cell>
          <cell r="M231">
            <v>0</v>
          </cell>
          <cell r="N231">
            <v>0</v>
          </cell>
        </row>
        <row r="232">
          <cell r="E232">
            <v>0</v>
          </cell>
          <cell r="F232">
            <v>0</v>
          </cell>
          <cell r="G232">
            <v>0</v>
          </cell>
          <cell r="H232">
            <v>0</v>
          </cell>
          <cell r="I232">
            <v>0</v>
          </cell>
          <cell r="J232">
            <v>0</v>
          </cell>
          <cell r="K232">
            <v>0</v>
          </cell>
          <cell r="L232">
            <v>0</v>
          </cell>
          <cell r="M232">
            <v>0</v>
          </cell>
          <cell r="N232">
            <v>0</v>
          </cell>
        </row>
        <row r="233">
          <cell r="E233">
            <v>0</v>
          </cell>
          <cell r="F233">
            <v>0</v>
          </cell>
          <cell r="G233">
            <v>0</v>
          </cell>
          <cell r="H233">
            <v>0</v>
          </cell>
          <cell r="I233">
            <v>0</v>
          </cell>
          <cell r="J233">
            <v>0</v>
          </cell>
          <cell r="K233">
            <v>0</v>
          </cell>
          <cell r="L233">
            <v>0</v>
          </cell>
          <cell r="M233">
            <v>0</v>
          </cell>
          <cell r="N233">
            <v>0</v>
          </cell>
        </row>
        <row r="234">
          <cell r="E234">
            <v>0</v>
          </cell>
          <cell r="F234">
            <v>0</v>
          </cell>
          <cell r="G234">
            <v>0</v>
          </cell>
          <cell r="H234">
            <v>0</v>
          </cell>
          <cell r="I234">
            <v>0</v>
          </cell>
          <cell r="J234">
            <v>0</v>
          </cell>
          <cell r="K234">
            <v>0</v>
          </cell>
          <cell r="L234">
            <v>0</v>
          </cell>
          <cell r="M234">
            <v>0</v>
          </cell>
          <cell r="N234">
            <v>0</v>
          </cell>
        </row>
        <row r="235">
          <cell r="E235">
            <v>0</v>
          </cell>
          <cell r="F235">
            <v>0</v>
          </cell>
          <cell r="G235">
            <v>0</v>
          </cell>
          <cell r="H235">
            <v>0</v>
          </cell>
          <cell r="I235">
            <v>0</v>
          </cell>
          <cell r="J235">
            <v>0</v>
          </cell>
          <cell r="K235">
            <v>0</v>
          </cell>
          <cell r="L235">
            <v>0</v>
          </cell>
          <cell r="M235">
            <v>0</v>
          </cell>
          <cell r="N235">
            <v>0</v>
          </cell>
        </row>
        <row r="236">
          <cell r="E236">
            <v>0</v>
          </cell>
          <cell r="F236">
            <v>0</v>
          </cell>
          <cell r="G236">
            <v>0</v>
          </cell>
          <cell r="H236">
            <v>0</v>
          </cell>
          <cell r="I236">
            <v>0</v>
          </cell>
          <cell r="J236">
            <v>0</v>
          </cell>
          <cell r="K236">
            <v>0</v>
          </cell>
          <cell r="L236">
            <v>0</v>
          </cell>
          <cell r="M236">
            <v>0</v>
          </cell>
          <cell r="N236">
            <v>0</v>
          </cell>
        </row>
        <row r="237">
          <cell r="E237">
            <v>0</v>
          </cell>
          <cell r="F237">
            <v>0</v>
          </cell>
          <cell r="G237">
            <v>0</v>
          </cell>
          <cell r="H237">
            <v>0</v>
          </cell>
          <cell r="I237">
            <v>0</v>
          </cell>
          <cell r="J237">
            <v>0</v>
          </cell>
          <cell r="K237">
            <v>0</v>
          </cell>
          <cell r="L237">
            <v>0</v>
          </cell>
          <cell r="M237">
            <v>0</v>
          </cell>
          <cell r="N237">
            <v>0</v>
          </cell>
        </row>
        <row r="238">
          <cell r="E238">
            <v>0</v>
          </cell>
          <cell r="F238">
            <v>0</v>
          </cell>
          <cell r="G238">
            <v>0</v>
          </cell>
          <cell r="H238">
            <v>0</v>
          </cell>
          <cell r="I238">
            <v>0</v>
          </cell>
          <cell r="J238">
            <v>0</v>
          </cell>
          <cell r="K238">
            <v>0</v>
          </cell>
          <cell r="L238">
            <v>0</v>
          </cell>
          <cell r="M238">
            <v>0</v>
          </cell>
          <cell r="N238">
            <v>0</v>
          </cell>
        </row>
        <row r="239">
          <cell r="E239">
            <v>0</v>
          </cell>
          <cell r="F239">
            <v>0</v>
          </cell>
          <cell r="G239">
            <v>0</v>
          </cell>
          <cell r="H239">
            <v>0</v>
          </cell>
          <cell r="I239">
            <v>0</v>
          </cell>
          <cell r="J239">
            <v>0</v>
          </cell>
          <cell r="K239">
            <v>0</v>
          </cell>
          <cell r="L239">
            <v>0</v>
          </cell>
          <cell r="M239">
            <v>0</v>
          </cell>
          <cell r="N239">
            <v>0</v>
          </cell>
        </row>
        <row r="240">
          <cell r="E240">
            <v>0</v>
          </cell>
          <cell r="F240">
            <v>0</v>
          </cell>
          <cell r="G240">
            <v>0</v>
          </cell>
          <cell r="H240">
            <v>0</v>
          </cell>
          <cell r="I240">
            <v>0</v>
          </cell>
          <cell r="J240">
            <v>0</v>
          </cell>
          <cell r="K240">
            <v>0</v>
          </cell>
          <cell r="L240">
            <v>0</v>
          </cell>
          <cell r="M240">
            <v>0</v>
          </cell>
          <cell r="N240">
            <v>0</v>
          </cell>
        </row>
        <row r="241">
          <cell r="E241">
            <v>0</v>
          </cell>
          <cell r="F241">
            <v>0</v>
          </cell>
          <cell r="G241">
            <v>0</v>
          </cell>
          <cell r="H241">
            <v>0</v>
          </cell>
          <cell r="I241">
            <v>0</v>
          </cell>
          <cell r="J241">
            <v>0</v>
          </cell>
          <cell r="K241">
            <v>0</v>
          </cell>
          <cell r="L241">
            <v>0</v>
          </cell>
          <cell r="M241">
            <v>0</v>
          </cell>
          <cell r="N241">
            <v>0</v>
          </cell>
        </row>
        <row r="242">
          <cell r="E242">
            <v>0</v>
          </cell>
          <cell r="F242">
            <v>0</v>
          </cell>
          <cell r="G242">
            <v>0</v>
          </cell>
          <cell r="H242">
            <v>0</v>
          </cell>
          <cell r="I242">
            <v>0</v>
          </cell>
          <cell r="J242">
            <v>0</v>
          </cell>
          <cell r="K242">
            <v>0</v>
          </cell>
          <cell r="L242">
            <v>0</v>
          </cell>
          <cell r="M242">
            <v>0</v>
          </cell>
          <cell r="N242">
            <v>0</v>
          </cell>
        </row>
        <row r="243">
          <cell r="E243">
            <v>0</v>
          </cell>
          <cell r="F243">
            <v>0</v>
          </cell>
          <cell r="G243">
            <v>0</v>
          </cell>
          <cell r="H243">
            <v>0</v>
          </cell>
          <cell r="I243">
            <v>0</v>
          </cell>
          <cell r="J243">
            <v>0</v>
          </cell>
          <cell r="K243">
            <v>0</v>
          </cell>
          <cell r="L243">
            <v>0</v>
          </cell>
          <cell r="M243">
            <v>0</v>
          </cell>
          <cell r="N243">
            <v>0</v>
          </cell>
        </row>
        <row r="244">
          <cell r="E244">
            <v>0</v>
          </cell>
          <cell r="F244">
            <v>0</v>
          </cell>
          <cell r="G244">
            <v>0</v>
          </cell>
          <cell r="H244">
            <v>0</v>
          </cell>
          <cell r="I244">
            <v>0</v>
          </cell>
          <cell r="J244">
            <v>0</v>
          </cell>
          <cell r="K244">
            <v>0</v>
          </cell>
          <cell r="L244">
            <v>0</v>
          </cell>
          <cell r="M244">
            <v>0</v>
          </cell>
          <cell r="N244">
            <v>0</v>
          </cell>
        </row>
        <row r="245">
          <cell r="E245">
            <v>0</v>
          </cell>
          <cell r="F245">
            <v>0</v>
          </cell>
          <cell r="G245">
            <v>0</v>
          </cell>
          <cell r="H245">
            <v>0</v>
          </cell>
          <cell r="I245">
            <v>0</v>
          </cell>
          <cell r="J245">
            <v>0</v>
          </cell>
          <cell r="K245">
            <v>0</v>
          </cell>
          <cell r="L245">
            <v>0</v>
          </cell>
          <cell r="M245">
            <v>0</v>
          </cell>
          <cell r="N245">
            <v>0</v>
          </cell>
        </row>
        <row r="246">
          <cell r="E246">
            <v>0</v>
          </cell>
          <cell r="F246">
            <v>0</v>
          </cell>
          <cell r="G246">
            <v>0</v>
          </cell>
          <cell r="H246">
            <v>0</v>
          </cell>
          <cell r="I246">
            <v>0</v>
          </cell>
          <cell r="J246">
            <v>0</v>
          </cell>
          <cell r="K246">
            <v>0</v>
          </cell>
          <cell r="L246">
            <v>0</v>
          </cell>
          <cell r="M246">
            <v>0</v>
          </cell>
          <cell r="N246">
            <v>0</v>
          </cell>
        </row>
        <row r="247">
          <cell r="E247">
            <v>0</v>
          </cell>
          <cell r="F247">
            <v>0</v>
          </cell>
          <cell r="G247">
            <v>0</v>
          </cell>
          <cell r="H247">
            <v>0</v>
          </cell>
          <cell r="I247">
            <v>0</v>
          </cell>
          <cell r="J247">
            <v>0</v>
          </cell>
          <cell r="K247">
            <v>0</v>
          </cell>
          <cell r="L247">
            <v>0</v>
          </cell>
          <cell r="M247">
            <v>0</v>
          </cell>
          <cell r="N247">
            <v>0</v>
          </cell>
        </row>
        <row r="248">
          <cell r="E248">
            <v>0</v>
          </cell>
          <cell r="F248">
            <v>0</v>
          </cell>
          <cell r="G248">
            <v>0</v>
          </cell>
          <cell r="H248">
            <v>0</v>
          </cell>
          <cell r="I248">
            <v>0</v>
          </cell>
          <cell r="J248">
            <v>0</v>
          </cell>
          <cell r="K248">
            <v>0</v>
          </cell>
          <cell r="L248">
            <v>0</v>
          </cell>
          <cell r="M248">
            <v>0</v>
          </cell>
          <cell r="N248">
            <v>0</v>
          </cell>
        </row>
        <row r="249">
          <cell r="E249">
            <v>0</v>
          </cell>
          <cell r="F249">
            <v>0</v>
          </cell>
          <cell r="G249">
            <v>0</v>
          </cell>
          <cell r="H249">
            <v>0</v>
          </cell>
          <cell r="I249">
            <v>0</v>
          </cell>
          <cell r="J249">
            <v>0</v>
          </cell>
          <cell r="K249">
            <v>0</v>
          </cell>
          <cell r="L249">
            <v>0</v>
          </cell>
          <cell r="M249">
            <v>0</v>
          </cell>
          <cell r="N249">
            <v>0</v>
          </cell>
        </row>
        <row r="250">
          <cell r="E250">
            <v>0</v>
          </cell>
          <cell r="F250">
            <v>0</v>
          </cell>
          <cell r="G250">
            <v>0</v>
          </cell>
          <cell r="H250">
            <v>0</v>
          </cell>
          <cell r="I250">
            <v>0</v>
          </cell>
          <cell r="J250">
            <v>0</v>
          </cell>
          <cell r="K250">
            <v>0</v>
          </cell>
          <cell r="L250">
            <v>0</v>
          </cell>
          <cell r="M250">
            <v>0</v>
          </cell>
          <cell r="N250">
            <v>0</v>
          </cell>
        </row>
        <row r="251">
          <cell r="E251">
            <v>0</v>
          </cell>
          <cell r="F251">
            <v>0</v>
          </cell>
          <cell r="G251">
            <v>0</v>
          </cell>
          <cell r="H251">
            <v>0</v>
          </cell>
          <cell r="I251">
            <v>0</v>
          </cell>
          <cell r="J251">
            <v>0</v>
          </cell>
          <cell r="K251">
            <v>0</v>
          </cell>
          <cell r="L251">
            <v>0</v>
          </cell>
          <cell r="M251">
            <v>0</v>
          </cell>
          <cell r="N251">
            <v>0</v>
          </cell>
        </row>
        <row r="252">
          <cell r="E252">
            <v>0</v>
          </cell>
          <cell r="F252">
            <v>0</v>
          </cell>
          <cell r="G252">
            <v>0</v>
          </cell>
          <cell r="H252">
            <v>0</v>
          </cell>
          <cell r="I252">
            <v>0</v>
          </cell>
          <cell r="J252">
            <v>0</v>
          </cell>
          <cell r="K252">
            <v>0</v>
          </cell>
          <cell r="L252">
            <v>0</v>
          </cell>
          <cell r="M252">
            <v>0</v>
          </cell>
          <cell r="N252">
            <v>0</v>
          </cell>
        </row>
        <row r="253">
          <cell r="E253">
            <v>0</v>
          </cell>
          <cell r="F253">
            <v>0</v>
          </cell>
          <cell r="G253">
            <v>0</v>
          </cell>
          <cell r="H253">
            <v>0</v>
          </cell>
          <cell r="I253">
            <v>0</v>
          </cell>
          <cell r="J253">
            <v>0</v>
          </cell>
          <cell r="K253">
            <v>0</v>
          </cell>
          <cell r="L253">
            <v>0</v>
          </cell>
          <cell r="M253">
            <v>0</v>
          </cell>
          <cell r="N253">
            <v>0</v>
          </cell>
        </row>
        <row r="254">
          <cell r="E254">
            <v>0</v>
          </cell>
          <cell r="F254">
            <v>0</v>
          </cell>
          <cell r="G254">
            <v>0</v>
          </cell>
          <cell r="H254">
            <v>0</v>
          </cell>
          <cell r="I254">
            <v>0</v>
          </cell>
          <cell r="J254">
            <v>0</v>
          </cell>
          <cell r="K254">
            <v>0</v>
          </cell>
          <cell r="L254">
            <v>0</v>
          </cell>
          <cell r="M254">
            <v>0</v>
          </cell>
          <cell r="N254">
            <v>0</v>
          </cell>
        </row>
        <row r="255">
          <cell r="E255">
            <v>0</v>
          </cell>
          <cell r="F255">
            <v>0</v>
          </cell>
          <cell r="G255">
            <v>0</v>
          </cell>
          <cell r="H255">
            <v>0</v>
          </cell>
          <cell r="I255">
            <v>0</v>
          </cell>
          <cell r="J255">
            <v>0</v>
          </cell>
          <cell r="K255">
            <v>0</v>
          </cell>
          <cell r="L255">
            <v>0</v>
          </cell>
          <cell r="M255">
            <v>0</v>
          </cell>
          <cell r="N255">
            <v>0</v>
          </cell>
        </row>
        <row r="256">
          <cell r="E256">
            <v>0</v>
          </cell>
          <cell r="F256">
            <v>0</v>
          </cell>
          <cell r="G256">
            <v>0</v>
          </cell>
          <cell r="H256">
            <v>0</v>
          </cell>
          <cell r="I256">
            <v>0</v>
          </cell>
          <cell r="J256">
            <v>0</v>
          </cell>
          <cell r="K256">
            <v>0</v>
          </cell>
          <cell r="L256">
            <v>0</v>
          </cell>
          <cell r="M256">
            <v>0</v>
          </cell>
          <cell r="N256">
            <v>0</v>
          </cell>
        </row>
        <row r="257">
          <cell r="E257">
            <v>0</v>
          </cell>
          <cell r="F257">
            <v>0</v>
          </cell>
          <cell r="G257">
            <v>0</v>
          </cell>
          <cell r="H257">
            <v>0</v>
          </cell>
          <cell r="I257">
            <v>0</v>
          </cell>
          <cell r="J257">
            <v>0</v>
          </cell>
          <cell r="K257">
            <v>0</v>
          </cell>
          <cell r="L257">
            <v>0</v>
          </cell>
          <cell r="M257">
            <v>0</v>
          </cell>
          <cell r="N257">
            <v>0</v>
          </cell>
        </row>
        <row r="258">
          <cell r="E258">
            <v>0</v>
          </cell>
          <cell r="F258">
            <v>0</v>
          </cell>
          <cell r="G258">
            <v>0</v>
          </cell>
          <cell r="H258">
            <v>0</v>
          </cell>
          <cell r="I258">
            <v>0</v>
          </cell>
          <cell r="J258">
            <v>0</v>
          </cell>
          <cell r="K258">
            <v>0</v>
          </cell>
          <cell r="L258">
            <v>0</v>
          </cell>
          <cell r="M258">
            <v>0</v>
          </cell>
          <cell r="N258">
            <v>0</v>
          </cell>
        </row>
        <row r="259">
          <cell r="E259">
            <v>0</v>
          </cell>
          <cell r="F259">
            <v>0</v>
          </cell>
          <cell r="G259">
            <v>0</v>
          </cell>
          <cell r="H259">
            <v>0</v>
          </cell>
          <cell r="I259">
            <v>0</v>
          </cell>
          <cell r="J259">
            <v>0</v>
          </cell>
          <cell r="K259">
            <v>0</v>
          </cell>
          <cell r="L259">
            <v>0</v>
          </cell>
          <cell r="M259">
            <v>0</v>
          </cell>
          <cell r="N259">
            <v>0</v>
          </cell>
        </row>
        <row r="260">
          <cell r="E260">
            <v>0</v>
          </cell>
          <cell r="F260">
            <v>0</v>
          </cell>
          <cell r="G260">
            <v>0</v>
          </cell>
          <cell r="H260">
            <v>0</v>
          </cell>
          <cell r="I260">
            <v>0</v>
          </cell>
          <cell r="J260">
            <v>0</v>
          </cell>
          <cell r="K260">
            <v>0</v>
          </cell>
          <cell r="L260">
            <v>0</v>
          </cell>
          <cell r="M260">
            <v>0</v>
          </cell>
          <cell r="N260">
            <v>0</v>
          </cell>
        </row>
        <row r="261">
          <cell r="E261">
            <v>0</v>
          </cell>
          <cell r="F261">
            <v>0</v>
          </cell>
          <cell r="G261">
            <v>0</v>
          </cell>
          <cell r="H261">
            <v>0</v>
          </cell>
          <cell r="I261">
            <v>0</v>
          </cell>
          <cell r="J261">
            <v>0</v>
          </cell>
          <cell r="K261">
            <v>0</v>
          </cell>
          <cell r="L261">
            <v>0</v>
          </cell>
          <cell r="M261">
            <v>0</v>
          </cell>
          <cell r="N261">
            <v>0</v>
          </cell>
        </row>
        <row r="262">
          <cell r="E262">
            <v>0</v>
          </cell>
          <cell r="F262">
            <v>0</v>
          </cell>
          <cell r="G262">
            <v>0</v>
          </cell>
          <cell r="H262">
            <v>0</v>
          </cell>
          <cell r="I262">
            <v>0</v>
          </cell>
          <cell r="J262">
            <v>0</v>
          </cell>
          <cell r="K262">
            <v>0</v>
          </cell>
          <cell r="L262">
            <v>0</v>
          </cell>
          <cell r="M262">
            <v>0</v>
          </cell>
          <cell r="N262">
            <v>0</v>
          </cell>
        </row>
        <row r="263">
          <cell r="E263">
            <v>0</v>
          </cell>
          <cell r="F263">
            <v>0</v>
          </cell>
          <cell r="G263">
            <v>0</v>
          </cell>
          <cell r="H263">
            <v>0</v>
          </cell>
          <cell r="I263">
            <v>0</v>
          </cell>
          <cell r="J263">
            <v>0</v>
          </cell>
          <cell r="K263">
            <v>0</v>
          </cell>
          <cell r="L263">
            <v>0</v>
          </cell>
          <cell r="M263">
            <v>0</v>
          </cell>
          <cell r="N263">
            <v>0</v>
          </cell>
        </row>
        <row r="264">
          <cell r="E264">
            <v>0</v>
          </cell>
          <cell r="F264">
            <v>0</v>
          </cell>
          <cell r="G264">
            <v>0</v>
          </cell>
          <cell r="H264">
            <v>0</v>
          </cell>
          <cell r="I264">
            <v>0</v>
          </cell>
          <cell r="J264">
            <v>0</v>
          </cell>
          <cell r="K264">
            <v>0</v>
          </cell>
          <cell r="L264">
            <v>0</v>
          </cell>
          <cell r="M264">
            <v>0</v>
          </cell>
          <cell r="N264">
            <v>0</v>
          </cell>
        </row>
        <row r="265">
          <cell r="E265">
            <v>0</v>
          </cell>
          <cell r="F265">
            <v>0</v>
          </cell>
          <cell r="G265">
            <v>0</v>
          </cell>
          <cell r="H265">
            <v>0</v>
          </cell>
          <cell r="I265">
            <v>0</v>
          </cell>
          <cell r="J265">
            <v>0</v>
          </cell>
          <cell r="K265">
            <v>0</v>
          </cell>
          <cell r="L265">
            <v>0</v>
          </cell>
          <cell r="M265">
            <v>0</v>
          </cell>
          <cell r="N265">
            <v>0</v>
          </cell>
        </row>
        <row r="266">
          <cell r="E266">
            <v>0</v>
          </cell>
          <cell r="F266">
            <v>0</v>
          </cell>
          <cell r="G266">
            <v>0</v>
          </cell>
          <cell r="H266">
            <v>0</v>
          </cell>
          <cell r="I266">
            <v>0</v>
          </cell>
          <cell r="J266">
            <v>0</v>
          </cell>
          <cell r="K266">
            <v>0</v>
          </cell>
          <cell r="L266">
            <v>0</v>
          </cell>
          <cell r="M266">
            <v>0</v>
          </cell>
          <cell r="N266">
            <v>0</v>
          </cell>
        </row>
        <row r="267">
          <cell r="E267">
            <v>0</v>
          </cell>
          <cell r="F267">
            <v>0</v>
          </cell>
          <cell r="G267">
            <v>0</v>
          </cell>
          <cell r="H267">
            <v>0</v>
          </cell>
          <cell r="I267">
            <v>0</v>
          </cell>
          <cell r="J267">
            <v>0</v>
          </cell>
          <cell r="K267">
            <v>0</v>
          </cell>
          <cell r="L267">
            <v>0</v>
          </cell>
          <cell r="M267">
            <v>0</v>
          </cell>
          <cell r="N267">
            <v>0</v>
          </cell>
        </row>
        <row r="268">
          <cell r="E268">
            <v>0</v>
          </cell>
          <cell r="F268">
            <v>0</v>
          </cell>
          <cell r="G268">
            <v>0</v>
          </cell>
          <cell r="H268">
            <v>0</v>
          </cell>
          <cell r="I268">
            <v>0</v>
          </cell>
          <cell r="J268">
            <v>0</v>
          </cell>
          <cell r="K268">
            <v>0</v>
          </cell>
          <cell r="L268">
            <v>0</v>
          </cell>
          <cell r="M268">
            <v>0</v>
          </cell>
          <cell r="N268">
            <v>0</v>
          </cell>
        </row>
        <row r="269">
          <cell r="E269">
            <v>0</v>
          </cell>
          <cell r="F269">
            <v>0</v>
          </cell>
          <cell r="G269">
            <v>0</v>
          </cell>
          <cell r="H269">
            <v>0</v>
          </cell>
          <cell r="I269">
            <v>0</v>
          </cell>
          <cell r="J269">
            <v>0</v>
          </cell>
          <cell r="K269">
            <v>0</v>
          </cell>
          <cell r="L269">
            <v>0</v>
          </cell>
          <cell r="M269">
            <v>0</v>
          </cell>
          <cell r="N269">
            <v>0</v>
          </cell>
        </row>
        <row r="270">
          <cell r="E270">
            <v>0</v>
          </cell>
          <cell r="F270">
            <v>0</v>
          </cell>
          <cell r="G270">
            <v>0</v>
          </cell>
          <cell r="H270">
            <v>0</v>
          </cell>
          <cell r="I270">
            <v>0</v>
          </cell>
          <cell r="J270">
            <v>0</v>
          </cell>
          <cell r="K270">
            <v>0</v>
          </cell>
          <cell r="L270">
            <v>0</v>
          </cell>
          <cell r="M270">
            <v>0</v>
          </cell>
          <cell r="N270">
            <v>0</v>
          </cell>
        </row>
        <row r="271">
          <cell r="E271">
            <v>0</v>
          </cell>
          <cell r="F271">
            <v>0</v>
          </cell>
          <cell r="G271">
            <v>0</v>
          </cell>
          <cell r="H271">
            <v>0</v>
          </cell>
          <cell r="I271">
            <v>0</v>
          </cell>
          <cell r="J271">
            <v>0</v>
          </cell>
          <cell r="K271">
            <v>0</v>
          </cell>
          <cell r="L271">
            <v>0</v>
          </cell>
          <cell r="M271">
            <v>0</v>
          </cell>
          <cell r="N271">
            <v>0</v>
          </cell>
        </row>
        <row r="272">
          <cell r="E272">
            <v>0</v>
          </cell>
          <cell r="F272">
            <v>0</v>
          </cell>
          <cell r="G272">
            <v>0</v>
          </cell>
          <cell r="H272">
            <v>0</v>
          </cell>
          <cell r="I272">
            <v>0</v>
          </cell>
          <cell r="J272">
            <v>0</v>
          </cell>
          <cell r="K272">
            <v>0</v>
          </cell>
          <cell r="L272">
            <v>0</v>
          </cell>
          <cell r="M272">
            <v>0</v>
          </cell>
          <cell r="N272">
            <v>0</v>
          </cell>
        </row>
        <row r="273">
          <cell r="E273">
            <v>0</v>
          </cell>
          <cell r="F273">
            <v>0</v>
          </cell>
          <cell r="G273">
            <v>0</v>
          </cell>
          <cell r="H273">
            <v>0</v>
          </cell>
          <cell r="I273">
            <v>0</v>
          </cell>
          <cell r="J273">
            <v>0</v>
          </cell>
          <cell r="K273">
            <v>0</v>
          </cell>
          <cell r="L273">
            <v>0</v>
          </cell>
          <cell r="M273">
            <v>0</v>
          </cell>
          <cell r="N273">
            <v>0</v>
          </cell>
        </row>
        <row r="274">
          <cell r="E274">
            <v>0</v>
          </cell>
          <cell r="F274">
            <v>0</v>
          </cell>
          <cell r="G274">
            <v>0</v>
          </cell>
          <cell r="H274">
            <v>0</v>
          </cell>
          <cell r="I274">
            <v>0</v>
          </cell>
          <cell r="J274">
            <v>0</v>
          </cell>
          <cell r="K274">
            <v>0</v>
          </cell>
          <cell r="L274">
            <v>0</v>
          </cell>
          <cell r="M274">
            <v>0</v>
          </cell>
          <cell r="N274">
            <v>0</v>
          </cell>
        </row>
        <row r="275">
          <cell r="E275">
            <v>0</v>
          </cell>
          <cell r="F275">
            <v>0</v>
          </cell>
          <cell r="G275">
            <v>0</v>
          </cell>
          <cell r="H275">
            <v>0</v>
          </cell>
          <cell r="I275">
            <v>0</v>
          </cell>
          <cell r="J275">
            <v>0</v>
          </cell>
          <cell r="K275">
            <v>0</v>
          </cell>
          <cell r="L275">
            <v>0</v>
          </cell>
          <cell r="M275">
            <v>0</v>
          </cell>
          <cell r="N275">
            <v>0</v>
          </cell>
        </row>
        <row r="276">
          <cell r="E276">
            <v>0</v>
          </cell>
          <cell r="F276">
            <v>0</v>
          </cell>
          <cell r="G276">
            <v>0</v>
          </cell>
          <cell r="H276">
            <v>0</v>
          </cell>
          <cell r="I276">
            <v>0</v>
          </cell>
          <cell r="J276">
            <v>0</v>
          </cell>
          <cell r="K276">
            <v>0</v>
          </cell>
          <cell r="L276">
            <v>0</v>
          </cell>
          <cell r="M276">
            <v>0</v>
          </cell>
          <cell r="N276">
            <v>0</v>
          </cell>
        </row>
        <row r="277">
          <cell r="E277">
            <v>0</v>
          </cell>
          <cell r="F277">
            <v>0</v>
          </cell>
          <cell r="G277">
            <v>0</v>
          </cell>
          <cell r="H277">
            <v>0</v>
          </cell>
          <cell r="I277">
            <v>0</v>
          </cell>
          <cell r="J277">
            <v>0</v>
          </cell>
          <cell r="K277">
            <v>0</v>
          </cell>
          <cell r="L277">
            <v>0</v>
          </cell>
          <cell r="M277">
            <v>0</v>
          </cell>
          <cell r="N277">
            <v>0</v>
          </cell>
        </row>
        <row r="278">
          <cell r="E278">
            <v>0</v>
          </cell>
          <cell r="F278">
            <v>0</v>
          </cell>
          <cell r="G278">
            <v>0</v>
          </cell>
          <cell r="H278">
            <v>0</v>
          </cell>
          <cell r="I278">
            <v>0</v>
          </cell>
          <cell r="J278">
            <v>0</v>
          </cell>
          <cell r="K278">
            <v>0</v>
          </cell>
          <cell r="L278">
            <v>0</v>
          </cell>
          <cell r="M278">
            <v>0</v>
          </cell>
          <cell r="N278">
            <v>0</v>
          </cell>
        </row>
        <row r="279">
          <cell r="E279">
            <v>0</v>
          </cell>
          <cell r="F279">
            <v>0</v>
          </cell>
          <cell r="G279">
            <v>0</v>
          </cell>
          <cell r="H279">
            <v>0</v>
          </cell>
          <cell r="I279">
            <v>0</v>
          </cell>
          <cell r="J279">
            <v>0</v>
          </cell>
          <cell r="K279">
            <v>0</v>
          </cell>
          <cell r="L279">
            <v>0</v>
          </cell>
          <cell r="M279">
            <v>0</v>
          </cell>
          <cell r="N279">
            <v>0</v>
          </cell>
        </row>
        <row r="280">
          <cell r="E280">
            <v>0</v>
          </cell>
          <cell r="F280">
            <v>0</v>
          </cell>
          <cell r="G280">
            <v>0</v>
          </cell>
          <cell r="H280">
            <v>0</v>
          </cell>
          <cell r="I280">
            <v>0</v>
          </cell>
          <cell r="J280">
            <v>0</v>
          </cell>
          <cell r="K280">
            <v>0</v>
          </cell>
          <cell r="L280">
            <v>0</v>
          </cell>
          <cell r="M280">
            <v>0</v>
          </cell>
          <cell r="N280">
            <v>0</v>
          </cell>
        </row>
        <row r="281">
          <cell r="E281">
            <v>0</v>
          </cell>
          <cell r="F281">
            <v>0</v>
          </cell>
          <cell r="G281">
            <v>0</v>
          </cell>
          <cell r="H281">
            <v>0</v>
          </cell>
          <cell r="I281">
            <v>0</v>
          </cell>
          <cell r="J281">
            <v>0</v>
          </cell>
          <cell r="K281">
            <v>0</v>
          </cell>
          <cell r="L281">
            <v>0</v>
          </cell>
          <cell r="M281">
            <v>0</v>
          </cell>
          <cell r="N281">
            <v>0</v>
          </cell>
        </row>
        <row r="282">
          <cell r="E282">
            <v>0</v>
          </cell>
          <cell r="F282">
            <v>0</v>
          </cell>
          <cell r="G282">
            <v>0</v>
          </cell>
          <cell r="H282">
            <v>0</v>
          </cell>
          <cell r="I282">
            <v>0</v>
          </cell>
          <cell r="J282">
            <v>0</v>
          </cell>
          <cell r="K282">
            <v>0</v>
          </cell>
          <cell r="L282">
            <v>0</v>
          </cell>
          <cell r="M282">
            <v>0</v>
          </cell>
          <cell r="N282">
            <v>0</v>
          </cell>
        </row>
        <row r="283">
          <cell r="E283">
            <v>0</v>
          </cell>
          <cell r="F283">
            <v>0</v>
          </cell>
          <cell r="G283">
            <v>0</v>
          </cell>
          <cell r="H283">
            <v>0</v>
          </cell>
          <cell r="I283">
            <v>0</v>
          </cell>
          <cell r="J283">
            <v>0</v>
          </cell>
          <cell r="K283">
            <v>0</v>
          </cell>
          <cell r="L283">
            <v>0</v>
          </cell>
          <cell r="M283">
            <v>0</v>
          </cell>
          <cell r="N283">
            <v>0</v>
          </cell>
        </row>
        <row r="284">
          <cell r="E284">
            <v>0</v>
          </cell>
          <cell r="F284">
            <v>0</v>
          </cell>
          <cell r="G284">
            <v>0</v>
          </cell>
          <cell r="H284">
            <v>0</v>
          </cell>
          <cell r="I284">
            <v>0</v>
          </cell>
          <cell r="J284">
            <v>0</v>
          </cell>
          <cell r="K284">
            <v>0</v>
          </cell>
          <cell r="L284">
            <v>0</v>
          </cell>
          <cell r="M284">
            <v>0</v>
          </cell>
          <cell r="N284">
            <v>0</v>
          </cell>
        </row>
        <row r="285">
          <cell r="E285">
            <v>0</v>
          </cell>
          <cell r="F285">
            <v>0</v>
          </cell>
          <cell r="G285">
            <v>0</v>
          </cell>
          <cell r="H285">
            <v>0</v>
          </cell>
          <cell r="I285">
            <v>0</v>
          </cell>
          <cell r="J285">
            <v>0</v>
          </cell>
          <cell r="K285">
            <v>0</v>
          </cell>
          <cell r="L285">
            <v>0</v>
          </cell>
          <cell r="M285">
            <v>0</v>
          </cell>
          <cell r="N285">
            <v>0</v>
          </cell>
        </row>
        <row r="286">
          <cell r="E286">
            <v>0</v>
          </cell>
          <cell r="F286">
            <v>0</v>
          </cell>
          <cell r="G286">
            <v>0</v>
          </cell>
          <cell r="H286">
            <v>0</v>
          </cell>
          <cell r="I286">
            <v>0</v>
          </cell>
          <cell r="J286">
            <v>0</v>
          </cell>
          <cell r="K286">
            <v>0</v>
          </cell>
          <cell r="L286">
            <v>0</v>
          </cell>
          <cell r="M286">
            <v>0</v>
          </cell>
          <cell r="N286">
            <v>0</v>
          </cell>
        </row>
        <row r="287">
          <cell r="E287">
            <v>0</v>
          </cell>
          <cell r="F287">
            <v>0</v>
          </cell>
          <cell r="G287">
            <v>0</v>
          </cell>
          <cell r="H287">
            <v>0</v>
          </cell>
          <cell r="I287">
            <v>0</v>
          </cell>
          <cell r="J287">
            <v>0</v>
          </cell>
          <cell r="K287">
            <v>0</v>
          </cell>
          <cell r="L287">
            <v>0</v>
          </cell>
          <cell r="M287">
            <v>0</v>
          </cell>
          <cell r="N287">
            <v>0</v>
          </cell>
        </row>
        <row r="288">
          <cell r="E288">
            <v>0</v>
          </cell>
          <cell r="F288">
            <v>0</v>
          </cell>
          <cell r="G288">
            <v>0</v>
          </cell>
          <cell r="H288">
            <v>0</v>
          </cell>
          <cell r="I288">
            <v>0</v>
          </cell>
          <cell r="J288">
            <v>0</v>
          </cell>
          <cell r="K288">
            <v>0</v>
          </cell>
          <cell r="L288">
            <v>0</v>
          </cell>
          <cell r="M288">
            <v>0</v>
          </cell>
          <cell r="N288">
            <v>0</v>
          </cell>
        </row>
        <row r="289">
          <cell r="E289">
            <v>0</v>
          </cell>
          <cell r="F289">
            <v>0</v>
          </cell>
          <cell r="G289">
            <v>0</v>
          </cell>
          <cell r="H289">
            <v>0</v>
          </cell>
          <cell r="I289">
            <v>0</v>
          </cell>
          <cell r="J289">
            <v>0</v>
          </cell>
          <cell r="K289">
            <v>0</v>
          </cell>
          <cell r="L289">
            <v>0</v>
          </cell>
          <cell r="M289">
            <v>0</v>
          </cell>
          <cell r="N289">
            <v>0</v>
          </cell>
        </row>
        <row r="290">
          <cell r="E290">
            <v>0</v>
          </cell>
          <cell r="F290">
            <v>0</v>
          </cell>
          <cell r="G290">
            <v>0</v>
          </cell>
          <cell r="H290">
            <v>0</v>
          </cell>
          <cell r="I290">
            <v>0</v>
          </cell>
          <cell r="J290">
            <v>0</v>
          </cell>
          <cell r="K290">
            <v>0</v>
          </cell>
          <cell r="L290">
            <v>0</v>
          </cell>
          <cell r="M290">
            <v>0</v>
          </cell>
          <cell r="N290">
            <v>0</v>
          </cell>
        </row>
        <row r="291">
          <cell r="E291">
            <v>0</v>
          </cell>
          <cell r="F291">
            <v>0</v>
          </cell>
          <cell r="G291">
            <v>0</v>
          </cell>
          <cell r="H291">
            <v>0</v>
          </cell>
          <cell r="I291">
            <v>0</v>
          </cell>
          <cell r="J291">
            <v>0</v>
          </cell>
          <cell r="K291">
            <v>0</v>
          </cell>
          <cell r="L291">
            <v>0</v>
          </cell>
          <cell r="M291">
            <v>0</v>
          </cell>
          <cell r="N291">
            <v>0</v>
          </cell>
        </row>
        <row r="292">
          <cell r="E292">
            <v>0</v>
          </cell>
          <cell r="F292">
            <v>0</v>
          </cell>
          <cell r="G292">
            <v>0</v>
          </cell>
          <cell r="H292">
            <v>0</v>
          </cell>
          <cell r="I292">
            <v>0</v>
          </cell>
          <cell r="J292">
            <v>0</v>
          </cell>
          <cell r="K292">
            <v>0</v>
          </cell>
          <cell r="L292">
            <v>0</v>
          </cell>
          <cell r="M292">
            <v>0</v>
          </cell>
          <cell r="N292">
            <v>0</v>
          </cell>
        </row>
        <row r="293">
          <cell r="E293">
            <v>0</v>
          </cell>
          <cell r="F293">
            <v>0</v>
          </cell>
          <cell r="G293">
            <v>0</v>
          </cell>
          <cell r="H293">
            <v>0</v>
          </cell>
          <cell r="I293">
            <v>0</v>
          </cell>
          <cell r="J293">
            <v>0</v>
          </cell>
          <cell r="K293">
            <v>0</v>
          </cell>
          <cell r="L293">
            <v>0</v>
          </cell>
          <cell r="M293">
            <v>0</v>
          </cell>
          <cell r="N293">
            <v>0</v>
          </cell>
        </row>
        <row r="294">
          <cell r="E294">
            <v>0</v>
          </cell>
          <cell r="F294">
            <v>0</v>
          </cell>
          <cell r="G294">
            <v>0</v>
          </cell>
          <cell r="H294">
            <v>0</v>
          </cell>
          <cell r="I294">
            <v>0</v>
          </cell>
          <cell r="J294">
            <v>0</v>
          </cell>
          <cell r="K294">
            <v>0</v>
          </cell>
          <cell r="L294">
            <v>0</v>
          </cell>
          <cell r="M294">
            <v>0</v>
          </cell>
          <cell r="N294">
            <v>0</v>
          </cell>
        </row>
        <row r="295">
          <cell r="E295">
            <v>0</v>
          </cell>
          <cell r="F295">
            <v>0</v>
          </cell>
          <cell r="G295">
            <v>0</v>
          </cell>
          <cell r="H295">
            <v>0</v>
          </cell>
          <cell r="I295">
            <v>0</v>
          </cell>
          <cell r="J295">
            <v>0</v>
          </cell>
          <cell r="K295">
            <v>0</v>
          </cell>
          <cell r="L295">
            <v>0</v>
          </cell>
          <cell r="M295">
            <v>0</v>
          </cell>
          <cell r="N295">
            <v>0</v>
          </cell>
        </row>
        <row r="296">
          <cell r="E296">
            <v>0</v>
          </cell>
          <cell r="F296">
            <v>0</v>
          </cell>
          <cell r="G296">
            <v>0</v>
          </cell>
          <cell r="H296">
            <v>0</v>
          </cell>
          <cell r="I296">
            <v>0</v>
          </cell>
          <cell r="J296">
            <v>0</v>
          </cell>
          <cell r="K296">
            <v>0</v>
          </cell>
          <cell r="L296">
            <v>0</v>
          </cell>
          <cell r="M296">
            <v>0</v>
          </cell>
          <cell r="N296">
            <v>0</v>
          </cell>
        </row>
        <row r="297">
          <cell r="E297">
            <v>0</v>
          </cell>
          <cell r="F297">
            <v>0</v>
          </cell>
          <cell r="G297">
            <v>0</v>
          </cell>
          <cell r="H297">
            <v>0</v>
          </cell>
          <cell r="I297">
            <v>0</v>
          </cell>
          <cell r="J297">
            <v>0</v>
          </cell>
          <cell r="K297">
            <v>0</v>
          </cell>
          <cell r="L297">
            <v>0</v>
          </cell>
          <cell r="M297">
            <v>0</v>
          </cell>
          <cell r="N297">
            <v>0</v>
          </cell>
        </row>
        <row r="298">
          <cell r="E298">
            <v>0</v>
          </cell>
          <cell r="F298">
            <v>0</v>
          </cell>
          <cell r="G298">
            <v>0</v>
          </cell>
          <cell r="H298">
            <v>0</v>
          </cell>
          <cell r="I298">
            <v>0</v>
          </cell>
          <cell r="J298">
            <v>0</v>
          </cell>
          <cell r="K298">
            <v>0</v>
          </cell>
          <cell r="L298">
            <v>0</v>
          </cell>
          <cell r="M298">
            <v>0</v>
          </cell>
          <cell r="N298">
            <v>0</v>
          </cell>
        </row>
        <row r="299">
          <cell r="E299">
            <v>0</v>
          </cell>
          <cell r="F299">
            <v>0</v>
          </cell>
          <cell r="G299">
            <v>0</v>
          </cell>
          <cell r="H299">
            <v>0</v>
          </cell>
          <cell r="I299">
            <v>0</v>
          </cell>
          <cell r="J299">
            <v>0</v>
          </cell>
          <cell r="K299">
            <v>0</v>
          </cell>
          <cell r="L299">
            <v>0</v>
          </cell>
          <cell r="M299">
            <v>0</v>
          </cell>
          <cell r="N299">
            <v>0</v>
          </cell>
        </row>
        <row r="300">
          <cell r="E300">
            <v>0</v>
          </cell>
          <cell r="F300">
            <v>0</v>
          </cell>
          <cell r="G300">
            <v>0</v>
          </cell>
          <cell r="H300">
            <v>0</v>
          </cell>
          <cell r="I300">
            <v>0</v>
          </cell>
          <cell r="J300">
            <v>0</v>
          </cell>
          <cell r="K300">
            <v>0</v>
          </cell>
          <cell r="L300">
            <v>0</v>
          </cell>
          <cell r="M300">
            <v>0</v>
          </cell>
          <cell r="N300">
            <v>0</v>
          </cell>
        </row>
        <row r="301">
          <cell r="E301">
            <v>0</v>
          </cell>
          <cell r="F301">
            <v>0</v>
          </cell>
          <cell r="G301">
            <v>0</v>
          </cell>
          <cell r="H301">
            <v>0</v>
          </cell>
          <cell r="I301">
            <v>0</v>
          </cell>
          <cell r="J301">
            <v>0</v>
          </cell>
          <cell r="K301">
            <v>0</v>
          </cell>
          <cell r="L301">
            <v>0</v>
          </cell>
          <cell r="M301">
            <v>0</v>
          </cell>
          <cell r="N301">
            <v>0</v>
          </cell>
        </row>
        <row r="302">
          <cell r="E302">
            <v>0</v>
          </cell>
          <cell r="F302">
            <v>0</v>
          </cell>
          <cell r="G302">
            <v>0</v>
          </cell>
          <cell r="H302">
            <v>0</v>
          </cell>
          <cell r="I302">
            <v>0</v>
          </cell>
          <cell r="J302">
            <v>0</v>
          </cell>
          <cell r="K302">
            <v>0</v>
          </cell>
          <cell r="L302">
            <v>0</v>
          </cell>
          <cell r="M302">
            <v>0</v>
          </cell>
          <cell r="N302">
            <v>0</v>
          </cell>
        </row>
        <row r="303">
          <cell r="E303">
            <v>0</v>
          </cell>
          <cell r="F303">
            <v>0</v>
          </cell>
          <cell r="G303">
            <v>0</v>
          </cell>
          <cell r="H303">
            <v>0</v>
          </cell>
          <cell r="I303">
            <v>0</v>
          </cell>
          <cell r="J303">
            <v>0</v>
          </cell>
          <cell r="K303">
            <v>0</v>
          </cell>
          <cell r="L303">
            <v>0</v>
          </cell>
          <cell r="M303">
            <v>0</v>
          </cell>
          <cell r="N303">
            <v>0</v>
          </cell>
        </row>
        <row r="304">
          <cell r="E304">
            <v>0</v>
          </cell>
          <cell r="F304">
            <v>0</v>
          </cell>
          <cell r="G304">
            <v>0</v>
          </cell>
          <cell r="H304">
            <v>0</v>
          </cell>
          <cell r="I304">
            <v>0</v>
          </cell>
          <cell r="J304">
            <v>0</v>
          </cell>
          <cell r="K304">
            <v>0</v>
          </cell>
          <cell r="L304">
            <v>0</v>
          </cell>
          <cell r="M304">
            <v>0</v>
          </cell>
          <cell r="N304">
            <v>0</v>
          </cell>
        </row>
        <row r="305">
          <cell r="E305">
            <v>0</v>
          </cell>
          <cell r="F305">
            <v>0</v>
          </cell>
          <cell r="G305">
            <v>0</v>
          </cell>
          <cell r="H305">
            <v>0</v>
          </cell>
          <cell r="I305">
            <v>0</v>
          </cell>
          <cell r="J305">
            <v>0</v>
          </cell>
          <cell r="K305">
            <v>0</v>
          </cell>
          <cell r="L305">
            <v>0</v>
          </cell>
          <cell r="M305">
            <v>0</v>
          </cell>
          <cell r="N305">
            <v>0</v>
          </cell>
        </row>
        <row r="306">
          <cell r="E306">
            <v>0</v>
          </cell>
          <cell r="F306">
            <v>0</v>
          </cell>
          <cell r="G306">
            <v>0</v>
          </cell>
          <cell r="H306">
            <v>0</v>
          </cell>
          <cell r="I306">
            <v>0</v>
          </cell>
          <cell r="J306">
            <v>0</v>
          </cell>
          <cell r="K306">
            <v>0</v>
          </cell>
          <cell r="L306">
            <v>0</v>
          </cell>
          <cell r="M306">
            <v>0</v>
          </cell>
          <cell r="N306">
            <v>0</v>
          </cell>
        </row>
        <row r="307">
          <cell r="E307">
            <v>0</v>
          </cell>
          <cell r="I307">
            <v>0</v>
          </cell>
          <cell r="J307">
            <v>0</v>
          </cell>
        </row>
        <row r="308">
          <cell r="E308">
            <v>0</v>
          </cell>
          <cell r="I308">
            <v>0</v>
          </cell>
          <cell r="J308">
            <v>0</v>
          </cell>
        </row>
        <row r="309">
          <cell r="E309">
            <v>0</v>
          </cell>
          <cell r="I309">
            <v>0</v>
          </cell>
          <cell r="J309">
            <v>0</v>
          </cell>
        </row>
        <row r="310">
          <cell r="E310">
            <v>0</v>
          </cell>
          <cell r="I310">
            <v>0</v>
          </cell>
          <cell r="J310">
            <v>0</v>
          </cell>
        </row>
        <row r="311">
          <cell r="E311">
            <v>0</v>
          </cell>
          <cell r="I311">
            <v>0</v>
          </cell>
          <cell r="J311">
            <v>0</v>
          </cell>
        </row>
        <row r="312">
          <cell r="E312">
            <v>0</v>
          </cell>
          <cell r="I312">
            <v>0</v>
          </cell>
          <cell r="J312">
            <v>0</v>
          </cell>
        </row>
        <row r="313">
          <cell r="E313">
            <v>0</v>
          </cell>
          <cell r="I313">
            <v>0</v>
          </cell>
          <cell r="J313">
            <v>0</v>
          </cell>
        </row>
        <row r="314">
          <cell r="E314">
            <v>0</v>
          </cell>
          <cell r="I314">
            <v>0</v>
          </cell>
          <cell r="J314">
            <v>0</v>
          </cell>
        </row>
        <row r="315">
          <cell r="E315">
            <v>0</v>
          </cell>
          <cell r="I315">
            <v>0</v>
          </cell>
          <cell r="J315">
            <v>0</v>
          </cell>
        </row>
        <row r="316">
          <cell r="E316">
            <v>0</v>
          </cell>
          <cell r="I316">
            <v>0</v>
          </cell>
          <cell r="J316">
            <v>0</v>
          </cell>
        </row>
        <row r="317">
          <cell r="E317">
            <v>0</v>
          </cell>
          <cell r="I317">
            <v>0</v>
          </cell>
          <cell r="J317">
            <v>0</v>
          </cell>
        </row>
        <row r="318">
          <cell r="E318">
            <v>0</v>
          </cell>
          <cell r="I318">
            <v>0</v>
          </cell>
          <cell r="J318">
            <v>0</v>
          </cell>
        </row>
        <row r="319">
          <cell r="E319">
            <v>0</v>
          </cell>
          <cell r="I319">
            <v>0</v>
          </cell>
          <cell r="J319">
            <v>0</v>
          </cell>
        </row>
        <row r="320">
          <cell r="E320">
            <v>0</v>
          </cell>
          <cell r="I320">
            <v>0</v>
          </cell>
          <cell r="J320">
            <v>0</v>
          </cell>
        </row>
        <row r="321">
          <cell r="E321">
            <v>0</v>
          </cell>
          <cell r="I321">
            <v>0</v>
          </cell>
          <cell r="J321">
            <v>0</v>
          </cell>
        </row>
        <row r="322">
          <cell r="E322">
            <v>0</v>
          </cell>
          <cell r="I322">
            <v>0</v>
          </cell>
          <cell r="J322">
            <v>0</v>
          </cell>
        </row>
        <row r="323">
          <cell r="E323">
            <v>0</v>
          </cell>
          <cell r="I323">
            <v>0</v>
          </cell>
          <cell r="J323">
            <v>0</v>
          </cell>
        </row>
        <row r="324">
          <cell r="E324">
            <v>0</v>
          </cell>
          <cell r="I324">
            <v>0</v>
          </cell>
          <cell r="J324">
            <v>0</v>
          </cell>
        </row>
        <row r="325">
          <cell r="E325">
            <v>0</v>
          </cell>
          <cell r="I325">
            <v>0</v>
          </cell>
          <cell r="J325">
            <v>0</v>
          </cell>
        </row>
        <row r="326">
          <cell r="E326">
            <v>0</v>
          </cell>
          <cell r="I326">
            <v>0</v>
          </cell>
          <cell r="J326">
            <v>0</v>
          </cell>
        </row>
        <row r="327">
          <cell r="E327">
            <v>0</v>
          </cell>
          <cell r="I327">
            <v>0</v>
          </cell>
          <cell r="J327">
            <v>0</v>
          </cell>
        </row>
        <row r="328">
          <cell r="E328">
            <v>0</v>
          </cell>
          <cell r="I328">
            <v>0</v>
          </cell>
          <cell r="J328">
            <v>0</v>
          </cell>
        </row>
        <row r="329">
          <cell r="E329">
            <v>0</v>
          </cell>
          <cell r="I329">
            <v>0</v>
          </cell>
          <cell r="J329">
            <v>0</v>
          </cell>
        </row>
        <row r="330">
          <cell r="E330">
            <v>0</v>
          </cell>
          <cell r="I330">
            <v>0</v>
          </cell>
          <cell r="J330">
            <v>0</v>
          </cell>
        </row>
        <row r="331">
          <cell r="E331">
            <v>0</v>
          </cell>
          <cell r="I331">
            <v>0</v>
          </cell>
          <cell r="J331">
            <v>0</v>
          </cell>
        </row>
        <row r="332">
          <cell r="E332">
            <v>0</v>
          </cell>
          <cell r="I332">
            <v>0</v>
          </cell>
          <cell r="J332">
            <v>0</v>
          </cell>
        </row>
        <row r="333">
          <cell r="E333">
            <v>0</v>
          </cell>
          <cell r="I333">
            <v>0</v>
          </cell>
          <cell r="J333">
            <v>0</v>
          </cell>
        </row>
        <row r="334">
          <cell r="E334">
            <v>0</v>
          </cell>
          <cell r="I334">
            <v>0</v>
          </cell>
          <cell r="J334">
            <v>0</v>
          </cell>
        </row>
        <row r="335">
          <cell r="E335">
            <v>0</v>
          </cell>
          <cell r="I335">
            <v>0</v>
          </cell>
          <cell r="J335">
            <v>0</v>
          </cell>
        </row>
        <row r="336">
          <cell r="E336">
            <v>0</v>
          </cell>
          <cell r="I336">
            <v>0</v>
          </cell>
          <cell r="J336">
            <v>0</v>
          </cell>
        </row>
        <row r="337">
          <cell r="E337">
            <v>0</v>
          </cell>
          <cell r="I337">
            <v>0</v>
          </cell>
          <cell r="J337">
            <v>0</v>
          </cell>
        </row>
        <row r="338">
          <cell r="E338">
            <v>0</v>
          </cell>
          <cell r="I338">
            <v>0</v>
          </cell>
          <cell r="J338">
            <v>0</v>
          </cell>
        </row>
        <row r="339">
          <cell r="E339">
            <v>0</v>
          </cell>
          <cell r="I339">
            <v>0</v>
          </cell>
          <cell r="J339">
            <v>0</v>
          </cell>
        </row>
        <row r="340">
          <cell r="E340">
            <v>0</v>
          </cell>
          <cell r="I340">
            <v>0</v>
          </cell>
          <cell r="J340">
            <v>0</v>
          </cell>
        </row>
        <row r="341">
          <cell r="E341">
            <v>0</v>
          </cell>
          <cell r="I341">
            <v>0</v>
          </cell>
          <cell r="J341">
            <v>0</v>
          </cell>
        </row>
        <row r="342">
          <cell r="E342">
            <v>0</v>
          </cell>
          <cell r="I342">
            <v>0</v>
          </cell>
          <cell r="J342">
            <v>0</v>
          </cell>
        </row>
        <row r="343">
          <cell r="E343">
            <v>0</v>
          </cell>
          <cell r="I343">
            <v>0</v>
          </cell>
          <cell r="J343">
            <v>0</v>
          </cell>
        </row>
        <row r="344">
          <cell r="E344">
            <v>0</v>
          </cell>
          <cell r="I344">
            <v>0</v>
          </cell>
          <cell r="J344">
            <v>0</v>
          </cell>
        </row>
        <row r="345">
          <cell r="E345">
            <v>0</v>
          </cell>
          <cell r="I345">
            <v>0</v>
          </cell>
          <cell r="J345">
            <v>0</v>
          </cell>
        </row>
        <row r="346">
          <cell r="E346">
            <v>0</v>
          </cell>
          <cell r="I346">
            <v>0</v>
          </cell>
          <cell r="J346">
            <v>0</v>
          </cell>
        </row>
        <row r="347">
          <cell r="E347">
            <v>0</v>
          </cell>
          <cell r="I347">
            <v>0</v>
          </cell>
          <cell r="J347">
            <v>0</v>
          </cell>
        </row>
        <row r="348">
          <cell r="E348">
            <v>0</v>
          </cell>
          <cell r="I348">
            <v>0</v>
          </cell>
          <cell r="J348">
            <v>0</v>
          </cell>
        </row>
        <row r="349">
          <cell r="E349">
            <v>0</v>
          </cell>
          <cell r="I349">
            <v>0</v>
          </cell>
          <cell r="J349">
            <v>0</v>
          </cell>
        </row>
        <row r="350">
          <cell r="E350">
            <v>0</v>
          </cell>
          <cell r="I350">
            <v>0</v>
          </cell>
          <cell r="J350">
            <v>0</v>
          </cell>
        </row>
        <row r="351">
          <cell r="E351">
            <v>0</v>
          </cell>
          <cell r="I351">
            <v>0</v>
          </cell>
          <cell r="J351">
            <v>0</v>
          </cell>
        </row>
        <row r="352">
          <cell r="E352">
            <v>0</v>
          </cell>
          <cell r="I352">
            <v>0</v>
          </cell>
          <cell r="J352">
            <v>0</v>
          </cell>
        </row>
        <row r="353">
          <cell r="E353">
            <v>0</v>
          </cell>
          <cell r="I353">
            <v>0</v>
          </cell>
          <cell r="J353">
            <v>0</v>
          </cell>
        </row>
        <row r="354">
          <cell r="E354">
            <v>0</v>
          </cell>
          <cell r="I354">
            <v>0</v>
          </cell>
          <cell r="J354">
            <v>0</v>
          </cell>
        </row>
        <row r="355">
          <cell r="E355">
            <v>0</v>
          </cell>
          <cell r="I355">
            <v>0</v>
          </cell>
          <cell r="J355">
            <v>0</v>
          </cell>
        </row>
        <row r="356">
          <cell r="E356">
            <v>0</v>
          </cell>
          <cell r="I356">
            <v>0</v>
          </cell>
          <cell r="J356">
            <v>0</v>
          </cell>
        </row>
        <row r="357">
          <cell r="E357">
            <v>0</v>
          </cell>
          <cell r="I357">
            <v>0</v>
          </cell>
          <cell r="J357">
            <v>0</v>
          </cell>
        </row>
        <row r="358">
          <cell r="E358">
            <v>0</v>
          </cell>
          <cell r="I358">
            <v>0</v>
          </cell>
          <cell r="J358">
            <v>0</v>
          </cell>
        </row>
        <row r="359">
          <cell r="E359">
            <v>0</v>
          </cell>
          <cell r="I359">
            <v>0</v>
          </cell>
          <cell r="J359">
            <v>0</v>
          </cell>
        </row>
        <row r="360">
          <cell r="E360">
            <v>0</v>
          </cell>
          <cell r="I360">
            <v>0</v>
          </cell>
          <cell r="J360">
            <v>0</v>
          </cell>
        </row>
        <row r="361">
          <cell r="E361">
            <v>0</v>
          </cell>
          <cell r="I361">
            <v>0</v>
          </cell>
          <cell r="J361">
            <v>0</v>
          </cell>
        </row>
        <row r="362">
          <cell r="E362">
            <v>0</v>
          </cell>
          <cell r="I362">
            <v>0</v>
          </cell>
          <cell r="J362">
            <v>0</v>
          </cell>
        </row>
        <row r="363">
          <cell r="E363">
            <v>0</v>
          </cell>
          <cell r="I363">
            <v>0</v>
          </cell>
          <cell r="J363">
            <v>0</v>
          </cell>
        </row>
        <row r="364">
          <cell r="E364">
            <v>0</v>
          </cell>
          <cell r="I364">
            <v>0</v>
          </cell>
          <cell r="J364">
            <v>0</v>
          </cell>
        </row>
        <row r="365">
          <cell r="E365">
            <v>0</v>
          </cell>
          <cell r="I365">
            <v>0</v>
          </cell>
          <cell r="J365">
            <v>0</v>
          </cell>
        </row>
        <row r="366">
          <cell r="E366">
            <v>0</v>
          </cell>
          <cell r="I366">
            <v>0</v>
          </cell>
          <cell r="J366">
            <v>0</v>
          </cell>
        </row>
        <row r="367">
          <cell r="E367">
            <v>0</v>
          </cell>
          <cell r="I367">
            <v>0</v>
          </cell>
          <cell r="J367">
            <v>0</v>
          </cell>
        </row>
        <row r="368">
          <cell r="E368">
            <v>0</v>
          </cell>
          <cell r="I368">
            <v>0</v>
          </cell>
          <cell r="J368">
            <v>0</v>
          </cell>
        </row>
        <row r="369">
          <cell r="E369">
            <v>0</v>
          </cell>
          <cell r="I369">
            <v>0</v>
          </cell>
          <cell r="J369">
            <v>0</v>
          </cell>
        </row>
        <row r="370">
          <cell r="E370">
            <v>0</v>
          </cell>
          <cell r="I370">
            <v>0</v>
          </cell>
          <cell r="J370">
            <v>0</v>
          </cell>
        </row>
        <row r="371">
          <cell r="E371">
            <v>0</v>
          </cell>
          <cell r="I371">
            <v>0</v>
          </cell>
          <cell r="J371">
            <v>0</v>
          </cell>
        </row>
        <row r="372">
          <cell r="E372">
            <v>0</v>
          </cell>
          <cell r="I372">
            <v>0</v>
          </cell>
          <cell r="J372">
            <v>0</v>
          </cell>
        </row>
        <row r="373">
          <cell r="E373">
            <v>0</v>
          </cell>
          <cell r="I373">
            <v>0</v>
          </cell>
          <cell r="J373">
            <v>0</v>
          </cell>
        </row>
        <row r="374">
          <cell r="E374">
            <v>0</v>
          </cell>
          <cell r="I374">
            <v>0</v>
          </cell>
          <cell r="J374">
            <v>0</v>
          </cell>
        </row>
        <row r="375">
          <cell r="E375">
            <v>0</v>
          </cell>
          <cell r="I375">
            <v>0</v>
          </cell>
          <cell r="J375">
            <v>0</v>
          </cell>
        </row>
        <row r="376">
          <cell r="E376">
            <v>0</v>
          </cell>
          <cell r="I376">
            <v>0</v>
          </cell>
          <cell r="J376">
            <v>0</v>
          </cell>
        </row>
        <row r="377">
          <cell r="E377">
            <v>0</v>
          </cell>
          <cell r="I377">
            <v>0</v>
          </cell>
          <cell r="J377">
            <v>0</v>
          </cell>
        </row>
        <row r="378">
          <cell r="E378">
            <v>0</v>
          </cell>
          <cell r="I378">
            <v>0</v>
          </cell>
          <cell r="J378">
            <v>0</v>
          </cell>
        </row>
        <row r="379">
          <cell r="E379">
            <v>0</v>
          </cell>
          <cell r="I379">
            <v>0</v>
          </cell>
          <cell r="J379">
            <v>0</v>
          </cell>
        </row>
        <row r="380">
          <cell r="E380">
            <v>0</v>
          </cell>
          <cell r="I380">
            <v>0</v>
          </cell>
          <cell r="J380">
            <v>0</v>
          </cell>
        </row>
        <row r="381">
          <cell r="E381">
            <v>0</v>
          </cell>
          <cell r="I381">
            <v>0</v>
          </cell>
          <cell r="J381">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2.xml><?xml version="1.0" encoding="utf-8"?>
<worksheet xmlns="http://schemas.openxmlformats.org/spreadsheetml/2006/main" xmlns:r="http://schemas.openxmlformats.org/officeDocument/2006/relationships">
  <sheetPr codeName="Sheet2">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I3:I409">
      <formula1>"No Gap,Minor Gap,Significant Gap,Priority"</formula1>
    </dataValidation>
    <dataValidation type="list" allowBlank="1" showInputMessage="1" showErrorMessage="1" sqref="J45:J46 J92:J179 J84:J90 J181:J279 J48:J81 J3:J43 J282:J319 J325:J339 J341:J426">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3.xml><?xml version="1.0" encoding="utf-8"?>
<worksheet xmlns="http://schemas.openxmlformats.org/spreadsheetml/2006/main" xmlns:r="http://schemas.openxmlformats.org/officeDocument/2006/relationships">
  <sheetPr codeName="Sheet3">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4.xml><?xml version="1.0" encoding="utf-8"?>
<worksheet xmlns="http://schemas.openxmlformats.org/spreadsheetml/2006/main" xmlns:r="http://schemas.openxmlformats.org/officeDocument/2006/relationships">
  <sheetPr codeName="Sheet4">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I3:I409">
      <formula1>"No Gap,Minor Gap,Significant Gap,Priority"</formula1>
    </dataValidation>
    <dataValidation type="list" allowBlank="1" showInputMessage="1" showErrorMessage="1" sqref="J45:J46 J92:J179 J84:J90 J181:J279 J48:J81 J3:J43 J282:J319 J325:J339 J341:J426">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5.xml><?xml version="1.0" encoding="utf-8"?>
<worksheet xmlns="http://schemas.openxmlformats.org/spreadsheetml/2006/main" xmlns:r="http://schemas.openxmlformats.org/officeDocument/2006/relationships">
  <sheetPr codeName="Sheet5">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6.xml><?xml version="1.0" encoding="utf-8"?>
<worksheet xmlns="http://schemas.openxmlformats.org/spreadsheetml/2006/main" xmlns:r="http://schemas.openxmlformats.org/officeDocument/2006/relationships">
  <sheetPr codeName="Sheet6">
    <pageSetUpPr fitToPage="1"/>
  </sheetPr>
  <dimension ref="A1:P374"/>
  <sheetViews>
    <sheetView zoomScale="80" zoomScaleNormal="80" workbookViewId="0">
      <pane xSplit="5" ySplit="2" topLeftCell="F3" activePane="bottomRight" state="frozen"/>
      <selection pane="topRight" activeCell="F1" sqref="F1"/>
      <selection pane="bottomLeft" activeCell="A3" sqref="A3"/>
      <selection pane="bottomRight" activeCell="F290" sqref="F290"/>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8" t="s">
        <v>573</v>
      </c>
      <c r="H90" s="210" t="s">
        <v>504</v>
      </c>
      <c r="I90" s="35" t="s">
        <v>595</v>
      </c>
      <c r="J90" s="212" t="s">
        <v>468</v>
      </c>
      <c r="K90" s="35"/>
      <c r="L90" s="213" t="s">
        <v>570</v>
      </c>
      <c r="M90" s="35" t="s">
        <v>506</v>
      </c>
      <c r="N90" s="47" t="s">
        <v>501</v>
      </c>
      <c r="O90" s="40"/>
    </row>
    <row r="91" spans="1:16" s="41" customFormat="1" ht="33" customHeight="1">
      <c r="A91" s="34"/>
      <c r="B91" s="35"/>
      <c r="C91" s="34"/>
      <c r="D91" s="35"/>
      <c r="E91" s="35" t="s">
        <v>431</v>
      </c>
      <c r="F91" s="35"/>
      <c r="G91" s="209"/>
      <c r="H91" s="211"/>
      <c r="I91" s="35"/>
      <c r="J91" s="209"/>
      <c r="K91" s="35"/>
      <c r="L91" s="214"/>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614</v>
      </c>
      <c r="G118" s="35"/>
      <c r="H118" s="35"/>
      <c r="I118" s="35"/>
      <c r="J118" s="35"/>
      <c r="K118" s="35"/>
      <c r="L118" s="35"/>
      <c r="M118" s="35"/>
      <c r="N118" s="35"/>
      <c r="O118" s="45"/>
      <c r="P118" s="40"/>
    </row>
    <row r="119" spans="1:16" s="41" customFormat="1" ht="30" customHeight="1">
      <c r="A119" s="48">
        <v>104</v>
      </c>
      <c r="B119" s="49" t="s">
        <v>140</v>
      </c>
      <c r="C119" s="48">
        <v>90</v>
      </c>
      <c r="D119" s="49" t="s">
        <v>141</v>
      </c>
      <c r="E119" s="49" t="s">
        <v>438</v>
      </c>
      <c r="F119" s="49" t="s">
        <v>614</v>
      </c>
      <c r="G119" s="49"/>
      <c r="H119" s="49"/>
      <c r="I119" s="49"/>
      <c r="J119" s="49"/>
      <c r="K119" s="49"/>
      <c r="L119" s="49"/>
      <c r="M119" s="49"/>
      <c r="N119" s="49"/>
      <c r="O119" s="45"/>
      <c r="P119" s="40"/>
    </row>
    <row r="120" spans="1:16" s="41" customFormat="1" ht="30" customHeight="1">
      <c r="A120" s="55"/>
      <c r="B120" s="56"/>
      <c r="C120" s="55"/>
      <c r="D120" s="56" t="s">
        <v>142</v>
      </c>
      <c r="E120" s="56"/>
      <c r="F120" s="56"/>
      <c r="G120" s="56"/>
      <c r="H120" s="56"/>
      <c r="I120" s="56"/>
      <c r="J120" s="56"/>
      <c r="K120" s="56"/>
      <c r="L120" s="56"/>
      <c r="M120" s="56"/>
      <c r="N120" s="56"/>
      <c r="O120" s="45"/>
      <c r="P120" s="40"/>
    </row>
    <row r="121" spans="1:16" s="41" customFormat="1" ht="67.5" customHeight="1">
      <c r="A121" s="51"/>
      <c r="B121" s="52"/>
      <c r="C121" s="51"/>
      <c r="D121" s="52" t="s">
        <v>143</v>
      </c>
      <c r="E121" s="52"/>
      <c r="F121" s="52"/>
      <c r="G121" s="52"/>
      <c r="H121" s="52"/>
      <c r="I121" s="52"/>
      <c r="J121" s="52"/>
      <c r="K121" s="52"/>
      <c r="L121" s="52"/>
      <c r="M121" s="52"/>
      <c r="N121" s="52"/>
      <c r="O121" s="45"/>
      <c r="P121" s="40"/>
    </row>
    <row r="122" spans="1:16" s="41" customFormat="1" ht="51">
      <c r="A122" s="34">
        <v>105</v>
      </c>
      <c r="B122" s="35" t="s">
        <v>144</v>
      </c>
      <c r="C122" s="34" t="s">
        <v>412</v>
      </c>
      <c r="D122" s="35" t="s">
        <v>145</v>
      </c>
      <c r="E122" s="35" t="s">
        <v>438</v>
      </c>
      <c r="F122" s="35" t="s">
        <v>614</v>
      </c>
      <c r="G122" s="35"/>
      <c r="H122" s="35"/>
      <c r="I122" s="35"/>
      <c r="J122" s="35"/>
      <c r="K122" s="35"/>
      <c r="L122" s="35"/>
      <c r="M122" s="35"/>
      <c r="N122" s="35"/>
      <c r="O122" s="45">
        <v>1</v>
      </c>
      <c r="P122" s="40"/>
    </row>
    <row r="123" spans="1:16" s="41" customFormat="1" ht="30" customHeight="1">
      <c r="A123" s="34"/>
      <c r="B123" s="35"/>
      <c r="C123" s="34"/>
      <c r="D123" s="35" t="s">
        <v>146</v>
      </c>
      <c r="E123" s="35"/>
      <c r="F123" s="35"/>
      <c r="G123" s="35"/>
      <c r="H123" s="35"/>
      <c r="I123" s="35"/>
      <c r="J123" s="35"/>
      <c r="K123" s="35"/>
      <c r="L123" s="35"/>
      <c r="M123" s="35"/>
      <c r="N123" s="35"/>
      <c r="O123" s="45"/>
      <c r="P123" s="40"/>
    </row>
    <row r="124" spans="1:16" s="41" customFormat="1" ht="30" customHeight="1">
      <c r="A124" s="34"/>
      <c r="B124" s="35"/>
      <c r="C124" s="34"/>
      <c r="D124" s="35" t="s">
        <v>141</v>
      </c>
      <c r="E124" s="35"/>
      <c r="F124" s="35"/>
      <c r="G124" s="35"/>
      <c r="H124" s="35"/>
      <c r="I124" s="35"/>
      <c r="J124" s="35"/>
      <c r="K124" s="35"/>
      <c r="L124" s="35"/>
      <c r="M124" s="35"/>
      <c r="N124" s="35"/>
      <c r="O124" s="45"/>
      <c r="P124" s="40"/>
    </row>
    <row r="125" spans="1:16" s="41" customFormat="1" ht="30" customHeight="1">
      <c r="A125" s="34"/>
      <c r="B125" s="35"/>
      <c r="C125" s="34"/>
      <c r="D125" s="35" t="s">
        <v>147</v>
      </c>
      <c r="E125" s="35"/>
      <c r="F125" s="35"/>
      <c r="G125" s="35"/>
      <c r="H125" s="35"/>
      <c r="I125" s="35"/>
      <c r="J125" s="35"/>
      <c r="K125" s="35"/>
      <c r="L125" s="35"/>
      <c r="M125" s="35"/>
      <c r="N125" s="35"/>
      <c r="O125" s="45"/>
      <c r="P125" s="40"/>
    </row>
    <row r="126" spans="1:16" s="41" customFormat="1" ht="30" customHeight="1">
      <c r="A126" s="34"/>
      <c r="B126" s="35"/>
      <c r="C126" s="34"/>
      <c r="D126" s="35" t="s">
        <v>142</v>
      </c>
      <c r="E126" s="35"/>
      <c r="F126" s="35"/>
      <c r="G126" s="35"/>
      <c r="H126" s="35"/>
      <c r="I126" s="35"/>
      <c r="J126" s="35"/>
      <c r="K126" s="35"/>
      <c r="L126" s="35"/>
      <c r="M126" s="35"/>
      <c r="N126" s="35"/>
      <c r="O126" s="45"/>
      <c r="P126" s="40"/>
    </row>
    <row r="127" spans="1:16" s="41" customFormat="1" ht="30" customHeight="1">
      <c r="A127" s="34"/>
      <c r="B127" s="35"/>
      <c r="C127" s="34"/>
      <c r="D127" s="35" t="s">
        <v>143</v>
      </c>
      <c r="E127" s="35"/>
      <c r="F127" s="35"/>
      <c r="G127" s="35"/>
      <c r="H127" s="35"/>
      <c r="I127" s="35"/>
      <c r="J127" s="35"/>
      <c r="K127" s="35"/>
      <c r="L127" s="35"/>
      <c r="M127" s="35"/>
      <c r="N127" s="35"/>
      <c r="O127" s="45"/>
      <c r="P127" s="40"/>
    </row>
    <row r="128" spans="1:16" s="41" customFormat="1" ht="52.5" customHeight="1">
      <c r="A128" s="42">
        <v>106</v>
      </c>
      <c r="B128" s="43" t="s">
        <v>148</v>
      </c>
      <c r="C128" s="42">
        <v>172</v>
      </c>
      <c r="D128" s="43"/>
      <c r="E128" s="43" t="s">
        <v>438</v>
      </c>
      <c r="F128" s="43" t="s">
        <v>614</v>
      </c>
      <c r="G128" s="43"/>
      <c r="H128" s="43"/>
      <c r="I128" s="43"/>
      <c r="J128" s="43"/>
      <c r="K128" s="43"/>
      <c r="L128" s="43"/>
      <c r="M128" s="43"/>
      <c r="N128" s="43"/>
      <c r="O128" s="45"/>
      <c r="P128" s="40"/>
    </row>
    <row r="129" spans="1:16" s="41" customFormat="1" ht="30" customHeight="1">
      <c r="A129" s="34">
        <v>107</v>
      </c>
      <c r="B129" s="35" t="s">
        <v>149</v>
      </c>
      <c r="C129" s="34">
        <v>204</v>
      </c>
      <c r="D129" s="35"/>
      <c r="E129" s="35" t="s">
        <v>438</v>
      </c>
      <c r="F129" s="35" t="s">
        <v>614</v>
      </c>
      <c r="G129" s="35"/>
      <c r="H129" s="35"/>
      <c r="I129" s="35"/>
      <c r="J129" s="35"/>
      <c r="K129" s="35"/>
      <c r="L129" s="35"/>
      <c r="M129" s="35"/>
      <c r="N129" s="35"/>
      <c r="O129" s="45">
        <v>1</v>
      </c>
      <c r="P129" s="40"/>
    </row>
    <row r="130" spans="1:16" s="41" customFormat="1" ht="63.75" customHeight="1">
      <c r="A130" s="48">
        <v>108</v>
      </c>
      <c r="B130" s="49" t="s">
        <v>150</v>
      </c>
      <c r="C130" s="48" t="s">
        <v>413</v>
      </c>
      <c r="D130" s="49" t="s">
        <v>139</v>
      </c>
      <c r="E130" s="49" t="s">
        <v>438</v>
      </c>
      <c r="F130" s="49" t="s">
        <v>614</v>
      </c>
      <c r="G130" s="49"/>
      <c r="H130" s="49"/>
      <c r="I130" s="49"/>
      <c r="J130" s="49"/>
      <c r="K130" s="49"/>
      <c r="L130" s="49"/>
      <c r="M130" s="49"/>
      <c r="N130" s="49"/>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t="s">
        <v>616</v>
      </c>
      <c r="G136" s="46"/>
      <c r="H136" s="46"/>
      <c r="I136" s="46"/>
      <c r="J136" s="46"/>
      <c r="K136" s="46"/>
      <c r="L136" s="46"/>
      <c r="M136" s="46"/>
      <c r="N136" s="46"/>
      <c r="O136" s="45"/>
      <c r="P136" s="40"/>
    </row>
    <row r="137" spans="1:16" s="41" customFormat="1" ht="44.25" customHeight="1">
      <c r="A137" s="34">
        <v>113</v>
      </c>
      <c r="B137" s="35" t="s">
        <v>158</v>
      </c>
      <c r="C137" s="34"/>
      <c r="D137" s="35"/>
      <c r="E137" s="35" t="s">
        <v>435</v>
      </c>
      <c r="F137" s="35" t="s">
        <v>13</v>
      </c>
      <c r="G137" s="46"/>
      <c r="H137" s="44"/>
      <c r="I137" s="44"/>
      <c r="J137" s="46"/>
      <c r="K137" s="44"/>
      <c r="L137" s="44"/>
      <c r="M137" s="44"/>
      <c r="N137" s="44"/>
      <c r="O137" s="45"/>
      <c r="P137" s="40"/>
    </row>
    <row r="138" spans="1:16" s="41" customFormat="1" ht="30" customHeight="1">
      <c r="A138" s="42">
        <v>114</v>
      </c>
      <c r="B138" s="43" t="s">
        <v>76</v>
      </c>
      <c r="C138" s="42"/>
      <c r="D138" s="43"/>
      <c r="E138" s="43" t="s">
        <v>435</v>
      </c>
      <c r="F138" s="43" t="s">
        <v>13</v>
      </c>
      <c r="G138" s="44"/>
      <c r="H138" s="44"/>
      <c r="I138" s="44"/>
      <c r="J138" s="44"/>
      <c r="K138" s="44"/>
      <c r="L138" s="44"/>
      <c r="M138" s="44"/>
      <c r="N138" s="44"/>
      <c r="O138" s="45"/>
      <c r="P138" s="40"/>
    </row>
    <row r="139" spans="1:16" s="41" customFormat="1" ht="25.5">
      <c r="A139" s="34">
        <v>115</v>
      </c>
      <c r="B139" s="35" t="s">
        <v>159</v>
      </c>
      <c r="C139" s="34"/>
      <c r="D139" s="35" t="s">
        <v>160</v>
      </c>
      <c r="E139" s="35" t="s">
        <v>429</v>
      </c>
      <c r="F139" s="35" t="s">
        <v>616</v>
      </c>
      <c r="G139" s="44"/>
      <c r="H139" s="44"/>
      <c r="I139" s="44"/>
      <c r="J139" s="44"/>
      <c r="K139" s="44"/>
      <c r="L139" s="44"/>
      <c r="M139" s="44"/>
      <c r="N139" s="44"/>
      <c r="O139" s="45"/>
      <c r="P139" s="40"/>
    </row>
    <row r="140" spans="1:16" s="41" customFormat="1" ht="30" customHeight="1">
      <c r="A140" s="48">
        <v>116</v>
      </c>
      <c r="B140" s="49" t="s">
        <v>163</v>
      </c>
      <c r="C140" s="48"/>
      <c r="D140" s="49" t="s">
        <v>164</v>
      </c>
      <c r="E140" s="49" t="s">
        <v>429</v>
      </c>
      <c r="F140" s="49" t="s">
        <v>616</v>
      </c>
      <c r="G140" s="44"/>
      <c r="H140" s="44"/>
      <c r="I140" s="44"/>
      <c r="J140" s="44"/>
      <c r="K140" s="44"/>
      <c r="L140" s="44"/>
      <c r="M140" s="44"/>
      <c r="N140" s="44"/>
      <c r="O140" s="45"/>
      <c r="P140" s="40"/>
    </row>
    <row r="141" spans="1:16" s="41" customFormat="1" ht="30" customHeight="1">
      <c r="A141" s="34">
        <v>117</v>
      </c>
      <c r="B141" s="35" t="s">
        <v>166</v>
      </c>
      <c r="C141" s="34"/>
      <c r="D141" s="35"/>
      <c r="E141" s="35" t="s">
        <v>435</v>
      </c>
      <c r="F141" s="35" t="s">
        <v>13</v>
      </c>
      <c r="G141" s="46"/>
      <c r="H141" s="44"/>
      <c r="I141" s="44"/>
      <c r="J141" s="46"/>
      <c r="K141" s="44"/>
      <c r="L141" s="44"/>
      <c r="M141" s="44"/>
      <c r="N141" s="44"/>
      <c r="O141" s="45"/>
      <c r="P141" s="40"/>
    </row>
    <row r="142" spans="1:16" s="41" customFormat="1" ht="30" customHeight="1">
      <c r="A142" s="42">
        <v>118</v>
      </c>
      <c r="B142" s="43" t="s">
        <v>167</v>
      </c>
      <c r="C142" s="42"/>
      <c r="D142" s="43"/>
      <c r="E142" s="43" t="s">
        <v>429</v>
      </c>
      <c r="F142" s="43" t="s">
        <v>13</v>
      </c>
      <c r="G142" s="44"/>
      <c r="H142" s="44"/>
      <c r="I142" s="44"/>
      <c r="J142" s="44"/>
      <c r="K142" s="44"/>
      <c r="L142" s="44"/>
      <c r="M142" s="44"/>
      <c r="N142" s="44"/>
      <c r="O142" s="45"/>
      <c r="P142" s="40"/>
    </row>
    <row r="143" spans="1:16" s="41" customFormat="1" ht="60" customHeight="1">
      <c r="A143" s="34">
        <v>119</v>
      </c>
      <c r="B143" s="35" t="s">
        <v>152</v>
      </c>
      <c r="C143" s="34"/>
      <c r="D143" s="35"/>
      <c r="E143" s="35" t="s">
        <v>429</v>
      </c>
      <c r="F143" s="35" t="s">
        <v>13</v>
      </c>
      <c r="G143" s="46"/>
      <c r="H143" s="44"/>
      <c r="I143" s="44"/>
      <c r="J143" s="46"/>
      <c r="K143" s="44"/>
      <c r="L143" s="44"/>
      <c r="M143" s="44"/>
      <c r="N143" s="44"/>
      <c r="O143" s="45"/>
      <c r="P143" s="40"/>
    </row>
    <row r="144" spans="1:16" s="41" customFormat="1" ht="30" customHeight="1">
      <c r="A144" s="48">
        <v>120</v>
      </c>
      <c r="B144" s="49" t="s">
        <v>168</v>
      </c>
      <c r="C144" s="48" t="s">
        <v>598</v>
      </c>
      <c r="D144" s="49" t="s">
        <v>169</v>
      </c>
      <c r="E144" s="49" t="s">
        <v>438</v>
      </c>
      <c r="F144" s="49" t="s">
        <v>616</v>
      </c>
      <c r="G144" s="44"/>
      <c r="H144" s="44"/>
      <c r="I144" s="44"/>
      <c r="J144" s="44"/>
      <c r="K144" s="44"/>
      <c r="L144" s="44"/>
      <c r="M144" s="44"/>
      <c r="N144" s="44"/>
      <c r="O144" s="45">
        <v>1</v>
      </c>
      <c r="P144" s="40"/>
    </row>
    <row r="145" spans="1:16" s="41" customFormat="1" ht="30" customHeight="1">
      <c r="A145" s="34">
        <v>121</v>
      </c>
      <c r="B145" s="35" t="s">
        <v>176</v>
      </c>
      <c r="C145" s="34" t="s">
        <v>416</v>
      </c>
      <c r="D145" s="35" t="s">
        <v>177</v>
      </c>
      <c r="E145" s="35" t="s">
        <v>431</v>
      </c>
      <c r="F145" s="35" t="s">
        <v>616</v>
      </c>
      <c r="G145" s="44"/>
      <c r="H145" s="44"/>
      <c r="I145" s="44"/>
      <c r="J145" s="44"/>
      <c r="K145" s="44"/>
      <c r="L145" s="44"/>
      <c r="M145" s="44"/>
      <c r="N145" s="44"/>
      <c r="O145" s="45">
        <v>1</v>
      </c>
      <c r="P145" s="40"/>
    </row>
    <row r="146" spans="1:16" s="41" customFormat="1" ht="68.25" customHeight="1">
      <c r="A146" s="42">
        <v>122</v>
      </c>
      <c r="B146" s="43" t="s">
        <v>197</v>
      </c>
      <c r="C146" s="42">
        <v>238</v>
      </c>
      <c r="D146" s="43" t="s">
        <v>198</v>
      </c>
      <c r="E146" s="43" t="s">
        <v>431</v>
      </c>
      <c r="F146" s="43" t="s">
        <v>616</v>
      </c>
      <c r="G146" s="44"/>
      <c r="H146" s="44"/>
      <c r="I146" s="44"/>
      <c r="J146" s="44"/>
      <c r="K146" s="44"/>
      <c r="L146" s="44"/>
      <c r="M146" s="44"/>
      <c r="N146" s="44"/>
      <c r="O146" s="45"/>
      <c r="P146" s="40"/>
    </row>
    <row r="147" spans="1:16" s="41" customFormat="1" ht="25.5">
      <c r="A147" s="34">
        <v>123</v>
      </c>
      <c r="B147" s="35" t="s">
        <v>199</v>
      </c>
      <c r="C147" s="34">
        <v>240</v>
      </c>
      <c r="D147" s="35" t="s">
        <v>200</v>
      </c>
      <c r="E147" s="35" t="s">
        <v>481</v>
      </c>
      <c r="F147" s="35" t="s">
        <v>616</v>
      </c>
      <c r="G147" s="44"/>
      <c r="H147" s="44"/>
      <c r="I147" s="44"/>
      <c r="J147" s="44"/>
      <c r="K147" s="44"/>
      <c r="L147" s="44"/>
      <c r="M147" s="44"/>
      <c r="N147" s="44"/>
      <c r="O147" s="45">
        <v>1</v>
      </c>
      <c r="P147" s="40"/>
    </row>
    <row r="148" spans="1:16" s="41" customFormat="1" ht="30" customHeight="1">
      <c r="A148" s="48">
        <v>124</v>
      </c>
      <c r="B148" s="49" t="s">
        <v>202</v>
      </c>
      <c r="C148" s="48" t="s">
        <v>417</v>
      </c>
      <c r="D148" s="49" t="s">
        <v>203</v>
      </c>
      <c r="E148" s="49" t="s">
        <v>429</v>
      </c>
      <c r="F148" s="49" t="s">
        <v>616</v>
      </c>
      <c r="G148" s="44"/>
      <c r="H148" s="44"/>
      <c r="I148" s="44"/>
      <c r="J148" s="44"/>
      <c r="K148" s="44"/>
      <c r="L148" s="44"/>
      <c r="M148" s="44"/>
      <c r="N148" s="44"/>
      <c r="O148" s="45"/>
      <c r="P148" s="40"/>
    </row>
    <row r="149" spans="1:16" s="41" customFormat="1" ht="30" customHeight="1">
      <c r="A149" s="34">
        <v>125</v>
      </c>
      <c r="B149" s="35" t="s">
        <v>205</v>
      </c>
      <c r="C149" s="34" t="s">
        <v>418</v>
      </c>
      <c r="D149" s="35" t="s">
        <v>206</v>
      </c>
      <c r="E149" s="35" t="s">
        <v>438</v>
      </c>
      <c r="F149" s="35" t="s">
        <v>616</v>
      </c>
      <c r="G149" s="44"/>
      <c r="H149" s="44"/>
      <c r="I149" s="44"/>
      <c r="J149" s="44"/>
      <c r="K149" s="44"/>
      <c r="L149" s="44"/>
      <c r="M149" s="44"/>
      <c r="N149" s="44"/>
      <c r="O149" s="45">
        <v>1</v>
      </c>
      <c r="P149" s="40"/>
    </row>
    <row r="150" spans="1:16" s="41" customFormat="1" ht="30" customHeight="1">
      <c r="A150" s="42">
        <v>126</v>
      </c>
      <c r="B150" s="43" t="s">
        <v>214</v>
      </c>
      <c r="C150" s="42">
        <v>247</v>
      </c>
      <c r="D150" s="43" t="s">
        <v>215</v>
      </c>
      <c r="E150" s="43" t="s">
        <v>431</v>
      </c>
      <c r="F150" s="43" t="s">
        <v>616</v>
      </c>
      <c r="G150" s="44"/>
      <c r="H150" s="44"/>
      <c r="I150" s="44"/>
      <c r="J150" s="44"/>
      <c r="K150" s="44"/>
      <c r="L150" s="44"/>
      <c r="M150" s="44"/>
      <c r="N150" s="44"/>
      <c r="O150" s="45">
        <v>1</v>
      </c>
      <c r="P150" s="40"/>
    </row>
    <row r="151" spans="1:16" s="41" customFormat="1" ht="30" customHeight="1">
      <c r="A151" s="34">
        <v>127</v>
      </c>
      <c r="B151" s="35" t="s">
        <v>76</v>
      </c>
      <c r="C151" s="34"/>
      <c r="D151" s="35"/>
      <c r="E151" s="35" t="s">
        <v>435</v>
      </c>
      <c r="F151" s="35" t="s">
        <v>13</v>
      </c>
      <c r="G151" s="46"/>
      <c r="H151" s="44"/>
      <c r="I151" s="44"/>
      <c r="J151" s="46"/>
      <c r="K151" s="44"/>
      <c r="L151" s="44"/>
      <c r="M151" s="44"/>
      <c r="N151" s="44"/>
      <c r="O151" s="45"/>
      <c r="P151" s="40"/>
    </row>
    <row r="152" spans="1:16" s="41" customFormat="1" ht="30" customHeight="1">
      <c r="A152" s="48">
        <v>128</v>
      </c>
      <c r="B152" s="49" t="s">
        <v>106</v>
      </c>
      <c r="C152" s="48"/>
      <c r="D152" s="49"/>
      <c r="E152" s="49" t="s">
        <v>438</v>
      </c>
      <c r="F152" s="49"/>
      <c r="G152" s="29" t="s">
        <v>105</v>
      </c>
      <c r="H152" s="49" t="s">
        <v>440</v>
      </c>
      <c r="I152" s="49" t="s">
        <v>595</v>
      </c>
      <c r="J152" s="29" t="s">
        <v>468</v>
      </c>
      <c r="K152" s="49"/>
      <c r="L152" s="29" t="s">
        <v>105</v>
      </c>
      <c r="M152" s="49" t="s">
        <v>613</v>
      </c>
      <c r="N152" s="50"/>
      <c r="O152" s="45"/>
      <c r="P152" s="40"/>
    </row>
    <row r="153" spans="1:16" s="41" customFormat="1" ht="30" customHeight="1">
      <c r="A153" s="51"/>
      <c r="B153" s="52"/>
      <c r="C153" s="51"/>
      <c r="D153" s="52"/>
      <c r="E153" s="52"/>
      <c r="F153" s="52"/>
      <c r="G153" s="53" t="s">
        <v>119</v>
      </c>
      <c r="H153" s="52"/>
      <c r="I153" s="52"/>
      <c r="J153" s="53"/>
      <c r="K153" s="52"/>
      <c r="L153" s="53" t="s">
        <v>119</v>
      </c>
      <c r="M153" s="52"/>
      <c r="N153" s="54"/>
      <c r="O153" s="45"/>
      <c r="P153" s="40"/>
    </row>
    <row r="154" spans="1:16" s="41" customFormat="1" ht="30" customHeight="1">
      <c r="A154" s="34">
        <v>129</v>
      </c>
      <c r="B154" s="35" t="s">
        <v>216</v>
      </c>
      <c r="C154" s="34" t="s">
        <v>419</v>
      </c>
      <c r="D154" s="35"/>
      <c r="E154" s="35" t="s">
        <v>438</v>
      </c>
      <c r="F154" s="35"/>
      <c r="G154" s="35" t="s">
        <v>105</v>
      </c>
      <c r="H154" s="35" t="s">
        <v>440</v>
      </c>
      <c r="I154" s="35" t="s">
        <v>595</v>
      </c>
      <c r="J154" s="35" t="s">
        <v>468</v>
      </c>
      <c r="K154" s="35"/>
      <c r="L154" s="35" t="s">
        <v>105</v>
      </c>
      <c r="M154" s="35" t="s">
        <v>613</v>
      </c>
      <c r="N154" s="47"/>
      <c r="O154" s="45"/>
      <c r="P154" s="40"/>
    </row>
    <row r="155" spans="1:16" s="41" customFormat="1" ht="30" customHeight="1">
      <c r="A155" s="34"/>
      <c r="B155" s="35"/>
      <c r="C155" s="34"/>
      <c r="D155" s="35"/>
      <c r="E155" s="35"/>
      <c r="F155" s="35"/>
      <c r="G155" s="35" t="s">
        <v>119</v>
      </c>
      <c r="H155" s="35"/>
      <c r="I155" s="35"/>
      <c r="J155" s="35"/>
      <c r="K155" s="35"/>
      <c r="L155" s="35" t="s">
        <v>119</v>
      </c>
      <c r="M155" s="35"/>
      <c r="N155" s="47"/>
      <c r="O155" s="45"/>
      <c r="P155" s="40"/>
    </row>
    <row r="156" spans="1:16" s="41" customFormat="1" ht="30" customHeight="1">
      <c r="A156" s="42">
        <v>130</v>
      </c>
      <c r="B156" s="43" t="s">
        <v>76</v>
      </c>
      <c r="C156" s="42"/>
      <c r="D156" s="43"/>
      <c r="E156" s="43" t="s">
        <v>435</v>
      </c>
      <c r="F156" s="43" t="s">
        <v>13</v>
      </c>
      <c r="G156" s="44"/>
      <c r="H156" s="44"/>
      <c r="I156" s="44"/>
      <c r="J156" s="44"/>
      <c r="K156" s="44"/>
      <c r="L156" s="44"/>
      <c r="M156" s="44"/>
      <c r="N156" s="44"/>
      <c r="O156" s="45"/>
      <c r="P156" s="40"/>
    </row>
    <row r="157" spans="1:16" s="41" customFormat="1" ht="30" customHeight="1">
      <c r="A157" s="34">
        <v>131</v>
      </c>
      <c r="B157" s="35" t="s">
        <v>217</v>
      </c>
      <c r="C157" s="34">
        <v>253</v>
      </c>
      <c r="D157" s="35"/>
      <c r="E157" s="35" t="s">
        <v>435</v>
      </c>
      <c r="F157" s="35" t="s">
        <v>13</v>
      </c>
      <c r="G157" s="46"/>
      <c r="H157" s="44"/>
      <c r="I157" s="44"/>
      <c r="J157" s="46"/>
      <c r="K157" s="44"/>
      <c r="L157" s="44"/>
      <c r="M157" s="44"/>
      <c r="N157" s="44"/>
      <c r="O157" s="45"/>
      <c r="P157" s="40"/>
    </row>
    <row r="158" spans="1:16" s="41" customFormat="1" ht="30" customHeight="1">
      <c r="A158" s="48">
        <v>132</v>
      </c>
      <c r="B158" s="49" t="s">
        <v>218</v>
      </c>
      <c r="C158" s="48"/>
      <c r="D158" s="49" t="s">
        <v>219</v>
      </c>
      <c r="E158" s="49" t="s">
        <v>437</v>
      </c>
      <c r="F158" s="49"/>
      <c r="G158" s="29" t="s">
        <v>63</v>
      </c>
      <c r="H158" s="49" t="s">
        <v>441</v>
      </c>
      <c r="I158" s="49" t="s">
        <v>595</v>
      </c>
      <c r="J158" s="29" t="s">
        <v>459</v>
      </c>
      <c r="K158" s="49" t="s">
        <v>563</v>
      </c>
      <c r="L158" s="29" t="s">
        <v>63</v>
      </c>
      <c r="M158" s="49" t="s">
        <v>443</v>
      </c>
      <c r="N158" s="50"/>
      <c r="O158" s="45"/>
      <c r="P158" s="40"/>
    </row>
    <row r="159" spans="1:16" s="41" customFormat="1" ht="30" customHeight="1">
      <c r="A159" s="55"/>
      <c r="B159" s="56"/>
      <c r="C159" s="55"/>
      <c r="D159" s="56"/>
      <c r="E159" s="56"/>
      <c r="F159" s="56"/>
      <c r="G159" s="57" t="s">
        <v>220</v>
      </c>
      <c r="H159" s="56"/>
      <c r="I159" s="56"/>
      <c r="J159" s="57"/>
      <c r="K159" s="56"/>
      <c r="L159" s="57" t="s">
        <v>220</v>
      </c>
      <c r="M159" s="56"/>
      <c r="N159" s="58"/>
      <c r="O159" s="45"/>
      <c r="P159" s="40"/>
    </row>
    <row r="160" spans="1:16" s="41" customFormat="1" ht="30" customHeight="1">
      <c r="A160" s="55"/>
      <c r="B160" s="56"/>
      <c r="C160" s="55"/>
      <c r="D160" s="56"/>
      <c r="E160" s="56"/>
      <c r="F160" s="56"/>
      <c r="G160" s="57" t="s">
        <v>79</v>
      </c>
      <c r="H160" s="56"/>
      <c r="I160" s="56"/>
      <c r="J160" s="57"/>
      <c r="K160" s="56"/>
      <c r="L160" s="57" t="s">
        <v>79</v>
      </c>
      <c r="M160" s="56"/>
      <c r="N160" s="58"/>
      <c r="O160" s="45"/>
      <c r="P160" s="40"/>
    </row>
    <row r="161" spans="1:16" s="41" customFormat="1" ht="30" customHeight="1">
      <c r="A161" s="55"/>
      <c r="B161" s="56"/>
      <c r="C161" s="55"/>
      <c r="D161" s="56"/>
      <c r="E161" s="56"/>
      <c r="F161" s="56"/>
      <c r="G161" s="57" t="s">
        <v>585</v>
      </c>
      <c r="H161" s="56"/>
      <c r="I161" s="56"/>
      <c r="J161" s="57"/>
      <c r="K161" s="56"/>
      <c r="L161" s="57" t="s">
        <v>585</v>
      </c>
      <c r="M161" s="56"/>
      <c r="N161" s="58"/>
      <c r="O161" s="45"/>
      <c r="P161" s="40"/>
    </row>
    <row r="162" spans="1:16" s="41" customFormat="1" ht="30" customHeight="1">
      <c r="A162" s="55"/>
      <c r="B162" s="56"/>
      <c r="C162" s="55"/>
      <c r="D162" s="56"/>
      <c r="E162" s="56"/>
      <c r="F162" s="56"/>
      <c r="G162" s="57" t="s">
        <v>221</v>
      </c>
      <c r="H162" s="56"/>
      <c r="I162" s="56"/>
      <c r="J162" s="57"/>
      <c r="K162" s="56"/>
      <c r="L162" s="57" t="s">
        <v>221</v>
      </c>
      <c r="M162" s="56"/>
      <c r="N162" s="58"/>
      <c r="O162" s="45"/>
      <c r="P162" s="40"/>
    </row>
    <row r="163" spans="1:16" s="41" customFormat="1" ht="30" customHeight="1">
      <c r="A163" s="55"/>
      <c r="B163" s="56"/>
      <c r="C163" s="55"/>
      <c r="D163" s="56"/>
      <c r="E163" s="56"/>
      <c r="F163" s="56"/>
      <c r="G163" s="57" t="s">
        <v>222</v>
      </c>
      <c r="H163" s="56"/>
      <c r="I163" s="56"/>
      <c r="J163" s="57"/>
      <c r="K163" s="56"/>
      <c r="L163" s="57" t="s">
        <v>222</v>
      </c>
      <c r="M163" s="56"/>
      <c r="N163" s="58"/>
      <c r="O163" s="45"/>
      <c r="P163" s="40"/>
    </row>
    <row r="164" spans="1:16" s="41" customFormat="1" ht="30" customHeight="1">
      <c r="A164" s="55"/>
      <c r="B164" s="56"/>
      <c r="C164" s="55"/>
      <c r="D164" s="56"/>
      <c r="E164" s="56"/>
      <c r="F164" s="56"/>
      <c r="G164" s="57" t="s">
        <v>64</v>
      </c>
      <c r="H164" s="56"/>
      <c r="I164" s="56"/>
      <c r="J164" s="57"/>
      <c r="K164" s="56"/>
      <c r="L164" s="57" t="s">
        <v>64</v>
      </c>
      <c r="M164" s="56"/>
      <c r="N164" s="58"/>
      <c r="O164" s="45"/>
      <c r="P164" s="40"/>
    </row>
    <row r="165" spans="1:16" s="41" customFormat="1" ht="30" customHeight="1">
      <c r="A165" s="51"/>
      <c r="B165" s="52"/>
      <c r="C165" s="51"/>
      <c r="D165" s="52"/>
      <c r="E165" s="52"/>
      <c r="F165" s="52"/>
      <c r="G165" s="53" t="s">
        <v>223</v>
      </c>
      <c r="H165" s="52"/>
      <c r="I165" s="52"/>
      <c r="J165" s="53"/>
      <c r="K165" s="52"/>
      <c r="L165" s="53" t="s">
        <v>223</v>
      </c>
      <c r="M165" s="52"/>
      <c r="N165" s="54"/>
      <c r="O165" s="45"/>
      <c r="P165" s="40"/>
    </row>
    <row r="166" spans="1:16" s="41" customFormat="1" ht="30" customHeight="1">
      <c r="A166" s="34">
        <v>133</v>
      </c>
      <c r="B166" s="35" t="s">
        <v>224</v>
      </c>
      <c r="C166" s="34"/>
      <c r="D166" s="35"/>
      <c r="E166" s="35" t="s">
        <v>437</v>
      </c>
      <c r="F166" s="35" t="s">
        <v>35</v>
      </c>
      <c r="G166" s="46"/>
      <c r="H166" s="44"/>
      <c r="I166" s="44"/>
      <c r="J166" s="46"/>
      <c r="K166" s="44"/>
      <c r="L166" s="44"/>
      <c r="M166" s="44"/>
      <c r="N166" s="44"/>
      <c r="O166" s="45"/>
      <c r="P166" s="40"/>
    </row>
    <row r="167" spans="1:16" s="41" customFormat="1" ht="30" customHeight="1">
      <c r="A167" s="48">
        <v>134</v>
      </c>
      <c r="B167" s="29" t="s">
        <v>225</v>
      </c>
      <c r="C167" s="29"/>
      <c r="D167" s="29"/>
      <c r="E167" s="29" t="s">
        <v>437</v>
      </c>
      <c r="F167" s="29"/>
      <c r="G167" s="29" t="s">
        <v>220</v>
      </c>
      <c r="H167" s="49" t="s">
        <v>441</v>
      </c>
      <c r="I167" s="49" t="s">
        <v>595</v>
      </c>
      <c r="J167" s="29" t="s">
        <v>459</v>
      </c>
      <c r="K167" s="49" t="s">
        <v>563</v>
      </c>
      <c r="L167" s="29" t="s">
        <v>220</v>
      </c>
      <c r="M167" s="29" t="s">
        <v>443</v>
      </c>
      <c r="N167" s="67"/>
      <c r="O167" s="45"/>
      <c r="P167" s="40"/>
    </row>
    <row r="168" spans="1:16" s="41" customFormat="1" ht="30" customHeight="1">
      <c r="A168" s="55"/>
      <c r="B168" s="57"/>
      <c r="C168" s="57"/>
      <c r="D168" s="57"/>
      <c r="E168" s="57"/>
      <c r="F168" s="57"/>
      <c r="G168" s="57" t="s">
        <v>79</v>
      </c>
      <c r="H168" s="57"/>
      <c r="I168" s="57"/>
      <c r="J168" s="57"/>
      <c r="K168" s="57"/>
      <c r="L168" s="57" t="s">
        <v>79</v>
      </c>
      <c r="M168" s="57"/>
      <c r="N168" s="68"/>
      <c r="O168" s="45"/>
      <c r="P168" s="40"/>
    </row>
    <row r="169" spans="1:16" s="41" customFormat="1" ht="30" customHeight="1">
      <c r="A169" s="55"/>
      <c r="B169" s="57"/>
      <c r="C169" s="57"/>
      <c r="D169" s="57"/>
      <c r="E169" s="57"/>
      <c r="F169" s="57"/>
      <c r="G169" s="57" t="s">
        <v>585</v>
      </c>
      <c r="H169" s="57"/>
      <c r="I169" s="57"/>
      <c r="J169" s="57"/>
      <c r="K169" s="57"/>
      <c r="L169" s="57" t="s">
        <v>585</v>
      </c>
      <c r="M169" s="57"/>
      <c r="N169" s="68"/>
      <c r="O169" s="45"/>
      <c r="P169" s="40"/>
    </row>
    <row r="170" spans="1:16" s="41" customFormat="1" ht="30" customHeight="1">
      <c r="A170" s="55"/>
      <c r="B170" s="57"/>
      <c r="C170" s="57"/>
      <c r="D170" s="57"/>
      <c r="E170" s="57"/>
      <c r="F170" s="57"/>
      <c r="G170" s="57" t="s">
        <v>221</v>
      </c>
      <c r="H170" s="57"/>
      <c r="I170" s="57"/>
      <c r="J170" s="57"/>
      <c r="K170" s="57"/>
      <c r="L170" s="57" t="s">
        <v>221</v>
      </c>
      <c r="M170" s="57"/>
      <c r="N170" s="68"/>
      <c r="O170" s="45"/>
      <c r="P170" s="40"/>
    </row>
    <row r="171" spans="1:16" s="41" customFormat="1" ht="30" customHeight="1">
      <c r="A171" s="55"/>
      <c r="B171" s="57"/>
      <c r="C171" s="57"/>
      <c r="D171" s="57"/>
      <c r="E171" s="57"/>
      <c r="F171" s="57"/>
      <c r="G171" s="57" t="s">
        <v>222</v>
      </c>
      <c r="H171" s="57"/>
      <c r="I171" s="57"/>
      <c r="J171" s="57"/>
      <c r="K171" s="57"/>
      <c r="L171" s="57" t="s">
        <v>222</v>
      </c>
      <c r="M171" s="57"/>
      <c r="N171" s="68"/>
      <c r="O171" s="45"/>
      <c r="P171" s="40"/>
    </row>
    <row r="172" spans="1:16" s="41" customFormat="1" ht="30" customHeight="1">
      <c r="A172" s="55"/>
      <c r="B172" s="57"/>
      <c r="C172" s="57"/>
      <c r="D172" s="57"/>
      <c r="E172" s="57"/>
      <c r="F172" s="57"/>
      <c r="G172" s="57" t="s">
        <v>64</v>
      </c>
      <c r="H172" s="57"/>
      <c r="I172" s="57"/>
      <c r="J172" s="57"/>
      <c r="K172" s="57"/>
      <c r="L172" s="57" t="s">
        <v>64</v>
      </c>
      <c r="M172" s="57"/>
      <c r="N172" s="68"/>
      <c r="O172" s="45"/>
      <c r="P172" s="40"/>
    </row>
    <row r="173" spans="1:16" s="41" customFormat="1" ht="30" customHeight="1">
      <c r="A173" s="51"/>
      <c r="B173" s="53"/>
      <c r="C173" s="53"/>
      <c r="D173" s="53"/>
      <c r="E173" s="53"/>
      <c r="F173" s="53"/>
      <c r="G173" s="53" t="s">
        <v>223</v>
      </c>
      <c r="H173" s="53"/>
      <c r="I173" s="53"/>
      <c r="J173" s="53"/>
      <c r="K173" s="53"/>
      <c r="L173" s="53" t="s">
        <v>223</v>
      </c>
      <c r="M173" s="53"/>
      <c r="N173" s="69"/>
      <c r="O173" s="45"/>
      <c r="P173" s="40"/>
    </row>
    <row r="174" spans="1:16" s="41" customFormat="1" ht="30" customHeight="1">
      <c r="A174" s="34">
        <v>135</v>
      </c>
      <c r="B174" s="35" t="s">
        <v>76</v>
      </c>
      <c r="C174" s="34" t="s">
        <v>420</v>
      </c>
      <c r="D174" s="35"/>
      <c r="E174" s="35" t="s">
        <v>435</v>
      </c>
      <c r="F174" s="35" t="s">
        <v>13</v>
      </c>
      <c r="G174" s="46"/>
      <c r="H174" s="44"/>
      <c r="I174" s="44"/>
      <c r="J174" s="46"/>
      <c r="K174" s="44"/>
      <c r="L174" s="44"/>
      <c r="M174" s="44"/>
      <c r="N174" s="44"/>
      <c r="O174" s="45"/>
      <c r="P174" s="40"/>
    </row>
    <row r="175" spans="1:16" s="41" customFormat="1" ht="75.75" customHeight="1">
      <c r="A175" s="42">
        <v>136</v>
      </c>
      <c r="B175" s="43" t="s">
        <v>226</v>
      </c>
      <c r="C175" s="42"/>
      <c r="D175" s="43"/>
      <c r="E175" s="43" t="s">
        <v>428</v>
      </c>
      <c r="F175" s="43"/>
      <c r="G175" s="43" t="s">
        <v>534</v>
      </c>
      <c r="H175" s="43"/>
      <c r="I175" s="43"/>
      <c r="J175" s="43"/>
      <c r="K175" s="43" t="s">
        <v>605</v>
      </c>
      <c r="L175" s="43"/>
      <c r="M175" s="43"/>
      <c r="N175" s="43"/>
      <c r="O175" s="45"/>
      <c r="P175" s="40"/>
    </row>
    <row r="176" spans="1:16" s="41" customFormat="1" ht="30" customHeight="1">
      <c r="A176" s="34">
        <v>137</v>
      </c>
      <c r="B176" s="35" t="s">
        <v>227</v>
      </c>
      <c r="C176" s="34"/>
      <c r="D176" s="35"/>
      <c r="E176" s="35" t="s">
        <v>431</v>
      </c>
      <c r="F176" s="35" t="s">
        <v>442</v>
      </c>
      <c r="G176" s="46"/>
      <c r="H176" s="44"/>
      <c r="I176" s="44"/>
      <c r="J176" s="46"/>
      <c r="K176" s="44"/>
      <c r="L176" s="44"/>
      <c r="M176" s="44"/>
      <c r="N176" s="44"/>
      <c r="O176" s="45"/>
      <c r="P176" s="40"/>
    </row>
    <row r="177" spans="1:16" s="41" customFormat="1" ht="30" customHeight="1">
      <c r="A177" s="48">
        <v>138</v>
      </c>
      <c r="B177" s="49" t="s">
        <v>228</v>
      </c>
      <c r="C177" s="48" t="s">
        <v>421</v>
      </c>
      <c r="D177" s="49"/>
      <c r="E177" s="43" t="s">
        <v>438</v>
      </c>
      <c r="F177" s="43"/>
      <c r="G177" s="29"/>
      <c r="H177" s="49"/>
      <c r="I177" s="49"/>
      <c r="J177" s="29"/>
      <c r="K177" s="49" t="s">
        <v>590</v>
      </c>
      <c r="L177" s="49"/>
      <c r="M177" s="49"/>
      <c r="N177" s="50"/>
      <c r="O177" s="45">
        <v>1</v>
      </c>
      <c r="P177" s="40"/>
    </row>
    <row r="178" spans="1:16" s="41" customFormat="1" ht="30" customHeight="1">
      <c r="A178" s="34">
        <v>139</v>
      </c>
      <c r="B178" s="35" t="s">
        <v>229</v>
      </c>
      <c r="C178" s="34"/>
      <c r="D178" s="35"/>
      <c r="E178" s="35" t="s">
        <v>438</v>
      </c>
      <c r="F178" s="35"/>
      <c r="G178" s="80"/>
      <c r="H178" s="35"/>
      <c r="I178" s="80"/>
      <c r="J178" s="80"/>
      <c r="K178" s="80" t="s">
        <v>590</v>
      </c>
      <c r="L178" s="35"/>
      <c r="M178" s="35"/>
      <c r="N178" s="47"/>
      <c r="O178" s="45">
        <v>1</v>
      </c>
      <c r="P178" s="40"/>
    </row>
    <row r="179" spans="1:16" s="41" customFormat="1" ht="30" customHeight="1">
      <c r="A179" s="42">
        <v>140</v>
      </c>
      <c r="B179" s="43" t="s">
        <v>230</v>
      </c>
      <c r="C179" s="42"/>
      <c r="D179" s="43"/>
      <c r="E179" s="43" t="s">
        <v>435</v>
      </c>
      <c r="F179" s="43" t="s">
        <v>35</v>
      </c>
      <c r="G179" s="44"/>
      <c r="H179" s="44"/>
      <c r="I179" s="44"/>
      <c r="J179" s="44"/>
      <c r="K179" s="44"/>
      <c r="L179" s="44"/>
      <c r="M179" s="44"/>
      <c r="N179" s="44"/>
      <c r="O179" s="45"/>
      <c r="P179" s="40"/>
    </row>
    <row r="180" spans="1:16" s="41" customFormat="1" ht="30" customHeight="1">
      <c r="A180" s="34">
        <v>141</v>
      </c>
      <c r="B180" s="35" t="s">
        <v>231</v>
      </c>
      <c r="C180" s="34"/>
      <c r="D180" s="35"/>
      <c r="E180" s="35" t="s">
        <v>435</v>
      </c>
      <c r="F180" s="35" t="s">
        <v>35</v>
      </c>
      <c r="G180" s="46"/>
      <c r="H180" s="44"/>
      <c r="I180" s="44"/>
      <c r="J180" s="46"/>
      <c r="K180" s="44"/>
      <c r="L180" s="44"/>
      <c r="M180" s="44"/>
      <c r="N180" s="44"/>
      <c r="O180" s="45"/>
      <c r="P180" s="40"/>
    </row>
    <row r="181" spans="1:16" s="41" customFormat="1" ht="30" customHeight="1">
      <c r="A181" s="42">
        <v>142</v>
      </c>
      <c r="B181" s="43" t="s">
        <v>232</v>
      </c>
      <c r="C181" s="42"/>
      <c r="D181" s="43"/>
      <c r="E181" s="43" t="s">
        <v>435</v>
      </c>
      <c r="F181" s="43" t="s">
        <v>442</v>
      </c>
      <c r="G181" s="44"/>
      <c r="H181" s="44"/>
      <c r="I181" s="44"/>
      <c r="J181" s="44"/>
      <c r="K181" s="44"/>
      <c r="L181" s="44"/>
      <c r="M181" s="44"/>
      <c r="N181" s="44"/>
      <c r="O181" s="45"/>
      <c r="P181" s="40"/>
    </row>
    <row r="182" spans="1:16" s="41" customFormat="1" ht="30" customHeight="1">
      <c r="A182" s="34">
        <v>143</v>
      </c>
      <c r="B182" s="35" t="s">
        <v>76</v>
      </c>
      <c r="C182" s="34"/>
      <c r="D182" s="35"/>
      <c r="E182" s="35" t="s">
        <v>435</v>
      </c>
      <c r="F182" s="35" t="s">
        <v>13</v>
      </c>
      <c r="G182" s="46"/>
      <c r="H182" s="44"/>
      <c r="I182" s="44"/>
      <c r="J182" s="46"/>
      <c r="K182" s="44"/>
      <c r="L182" s="44"/>
      <c r="M182" s="44"/>
      <c r="N182" s="44"/>
      <c r="O182" s="45"/>
      <c r="P182" s="40"/>
    </row>
    <row r="183" spans="1:16" s="41" customFormat="1" ht="30" customHeight="1">
      <c r="A183" s="42">
        <v>144</v>
      </c>
      <c r="B183" s="43" t="s">
        <v>233</v>
      </c>
      <c r="C183" s="42"/>
      <c r="D183" s="43"/>
      <c r="E183" s="43" t="s">
        <v>435</v>
      </c>
      <c r="F183" s="43" t="s">
        <v>35</v>
      </c>
      <c r="G183" s="44"/>
      <c r="H183" s="44"/>
      <c r="I183" s="44"/>
      <c r="J183" s="44"/>
      <c r="K183" s="44"/>
      <c r="L183" s="44"/>
      <c r="M183" s="44"/>
      <c r="N183" s="44"/>
      <c r="O183" s="45"/>
      <c r="P183" s="40"/>
    </row>
    <row r="184" spans="1:16" s="41" customFormat="1" ht="30" customHeight="1">
      <c r="A184" s="34">
        <v>145</v>
      </c>
      <c r="B184" s="35" t="s">
        <v>234</v>
      </c>
      <c r="C184" s="34"/>
      <c r="D184" s="35"/>
      <c r="E184" s="35" t="s">
        <v>435</v>
      </c>
      <c r="F184" s="35" t="s">
        <v>235</v>
      </c>
      <c r="G184" s="46"/>
      <c r="H184" s="44"/>
      <c r="I184" s="44"/>
      <c r="J184" s="46"/>
      <c r="K184" s="44"/>
      <c r="L184" s="44"/>
      <c r="M184" s="44"/>
      <c r="N184" s="44"/>
      <c r="O184" s="45"/>
      <c r="P184" s="40"/>
    </row>
    <row r="185" spans="1:16" s="41" customFormat="1" ht="30" customHeight="1">
      <c r="A185" s="42">
        <v>146</v>
      </c>
      <c r="B185" s="43" t="s">
        <v>236</v>
      </c>
      <c r="C185" s="42"/>
      <c r="D185" s="43"/>
      <c r="E185" s="43" t="s">
        <v>435</v>
      </c>
      <c r="F185" s="43" t="s">
        <v>235</v>
      </c>
      <c r="G185" s="44"/>
      <c r="H185" s="44"/>
      <c r="I185" s="44"/>
      <c r="J185" s="44"/>
      <c r="K185" s="44"/>
      <c r="L185" s="44"/>
      <c r="M185" s="44"/>
      <c r="N185" s="44"/>
      <c r="O185" s="45"/>
      <c r="P185" s="40"/>
    </row>
    <row r="186" spans="1:16" s="41" customFormat="1" ht="30" customHeight="1">
      <c r="A186" s="34">
        <v>147</v>
      </c>
      <c r="B186" s="35" t="s">
        <v>237</v>
      </c>
      <c r="C186" s="34"/>
      <c r="D186" s="35"/>
      <c r="E186" s="35" t="s">
        <v>435</v>
      </c>
      <c r="F186" s="35" t="s">
        <v>235</v>
      </c>
      <c r="G186" s="46"/>
      <c r="H186" s="44"/>
      <c r="I186" s="44"/>
      <c r="J186" s="46"/>
      <c r="K186" s="44"/>
      <c r="L186" s="44"/>
      <c r="M186" s="44"/>
      <c r="N186" s="44"/>
      <c r="O186" s="45"/>
      <c r="P186" s="40"/>
    </row>
    <row r="187" spans="1:16" s="41" customFormat="1" ht="30" customHeight="1">
      <c r="A187" s="42">
        <v>148</v>
      </c>
      <c r="B187" s="43" t="s">
        <v>238</v>
      </c>
      <c r="C187" s="42"/>
      <c r="D187" s="43"/>
      <c r="E187" s="43" t="s">
        <v>435</v>
      </c>
      <c r="F187" s="43" t="s">
        <v>235</v>
      </c>
      <c r="G187" s="44"/>
      <c r="H187" s="44"/>
      <c r="I187" s="44"/>
      <c r="J187" s="44"/>
      <c r="K187" s="44"/>
      <c r="L187" s="44"/>
      <c r="M187" s="44"/>
      <c r="N187" s="44"/>
      <c r="O187" s="45"/>
      <c r="P187" s="40"/>
    </row>
    <row r="188" spans="1:16" s="41" customFormat="1" ht="30" customHeight="1">
      <c r="A188" s="34">
        <v>149</v>
      </c>
      <c r="B188" s="35" t="s">
        <v>239</v>
      </c>
      <c r="C188" s="34"/>
      <c r="D188" s="35"/>
      <c r="E188" s="35" t="s">
        <v>435</v>
      </c>
      <c r="F188" s="35" t="s">
        <v>235</v>
      </c>
      <c r="G188" s="46"/>
      <c r="H188" s="44"/>
      <c r="I188" s="44"/>
      <c r="J188" s="46"/>
      <c r="K188" s="44"/>
      <c r="L188" s="44"/>
      <c r="M188" s="44"/>
      <c r="N188" s="44"/>
      <c r="O188" s="45"/>
      <c r="P188" s="40"/>
    </row>
    <row r="189" spans="1:16" s="41" customFormat="1" ht="30" customHeight="1">
      <c r="A189" s="42">
        <v>150</v>
      </c>
      <c r="B189" s="43" t="s">
        <v>240</v>
      </c>
      <c r="C189" s="42"/>
      <c r="D189" s="43"/>
      <c r="E189" s="43" t="s">
        <v>435</v>
      </c>
      <c r="F189" s="43" t="s">
        <v>235</v>
      </c>
      <c r="G189" s="44"/>
      <c r="H189" s="44"/>
      <c r="I189" s="44"/>
      <c r="J189" s="44"/>
      <c r="K189" s="44"/>
      <c r="L189" s="44"/>
      <c r="M189" s="44"/>
      <c r="N189" s="44"/>
      <c r="O189" s="45"/>
      <c r="P189" s="40"/>
    </row>
    <row r="190" spans="1:16" s="41" customFormat="1" ht="30" customHeight="1">
      <c r="A190" s="34">
        <v>151</v>
      </c>
      <c r="B190" s="35" t="s">
        <v>241</v>
      </c>
      <c r="C190" s="34"/>
      <c r="D190" s="35"/>
      <c r="E190" s="35" t="s">
        <v>435</v>
      </c>
      <c r="F190" s="35" t="s">
        <v>235</v>
      </c>
      <c r="G190" s="46"/>
      <c r="H190" s="44"/>
      <c r="I190" s="44"/>
      <c r="J190" s="46"/>
      <c r="K190" s="44"/>
      <c r="L190" s="44"/>
      <c r="M190" s="44"/>
      <c r="N190" s="44"/>
      <c r="O190" s="45"/>
      <c r="P190" s="40"/>
    </row>
    <row r="191" spans="1:16" s="41" customFormat="1" ht="30" customHeight="1">
      <c r="A191" s="42">
        <v>152</v>
      </c>
      <c r="B191" s="43" t="s">
        <v>242</v>
      </c>
      <c r="C191" s="42"/>
      <c r="D191" s="43"/>
      <c r="E191" s="43" t="s">
        <v>435</v>
      </c>
      <c r="F191" s="43" t="s">
        <v>235</v>
      </c>
      <c r="G191" s="44"/>
      <c r="H191" s="44"/>
      <c r="I191" s="44"/>
      <c r="J191" s="44"/>
      <c r="K191" s="44"/>
      <c r="L191" s="44"/>
      <c r="M191" s="44"/>
      <c r="N191" s="44"/>
      <c r="O191" s="45"/>
      <c r="P191" s="40"/>
    </row>
    <row r="192" spans="1:16" s="41" customFormat="1" ht="30" customHeight="1">
      <c r="A192" s="34">
        <v>153</v>
      </c>
      <c r="B192" s="35" t="s">
        <v>243</v>
      </c>
      <c r="C192" s="34" t="s">
        <v>422</v>
      </c>
      <c r="D192" s="35"/>
      <c r="E192" s="35" t="s">
        <v>435</v>
      </c>
      <c r="F192" s="35" t="s">
        <v>235</v>
      </c>
      <c r="G192" s="46"/>
      <c r="H192" s="44"/>
      <c r="I192" s="44"/>
      <c r="J192" s="46"/>
      <c r="K192" s="44"/>
      <c r="L192" s="44"/>
      <c r="M192" s="44"/>
      <c r="N192" s="44"/>
      <c r="O192" s="45"/>
      <c r="P192" s="40"/>
    </row>
    <row r="193" spans="1:16" s="41" customFormat="1" ht="30" customHeight="1">
      <c r="A193" s="42">
        <v>154</v>
      </c>
      <c r="B193" s="43" t="s">
        <v>244</v>
      </c>
      <c r="C193" s="42"/>
      <c r="D193" s="43"/>
      <c r="E193" s="43" t="s">
        <v>435</v>
      </c>
      <c r="F193" s="43" t="s">
        <v>235</v>
      </c>
      <c r="G193" s="44"/>
      <c r="H193" s="44"/>
      <c r="I193" s="44"/>
      <c r="J193" s="44"/>
      <c r="K193" s="44"/>
      <c r="L193" s="44"/>
      <c r="M193" s="44"/>
      <c r="N193" s="44"/>
      <c r="O193" s="45"/>
      <c r="P193" s="40"/>
    </row>
    <row r="194" spans="1:16" s="41" customFormat="1" ht="30" customHeight="1">
      <c r="A194" s="34">
        <v>155</v>
      </c>
      <c r="B194" s="35" t="s">
        <v>245</v>
      </c>
      <c r="C194" s="34"/>
      <c r="D194" s="35"/>
      <c r="E194" s="35" t="s">
        <v>435</v>
      </c>
      <c r="F194" s="35" t="s">
        <v>235</v>
      </c>
      <c r="G194" s="46"/>
      <c r="H194" s="44"/>
      <c r="I194" s="44"/>
      <c r="J194" s="46"/>
      <c r="K194" s="44"/>
      <c r="L194" s="44"/>
      <c r="M194" s="44"/>
      <c r="N194" s="44"/>
      <c r="O194" s="45"/>
      <c r="P194" s="40"/>
    </row>
    <row r="195" spans="1:16" s="41" customFormat="1" ht="30" customHeight="1">
      <c r="A195" s="42">
        <v>156</v>
      </c>
      <c r="B195" s="43" t="s">
        <v>246</v>
      </c>
      <c r="C195" s="42"/>
      <c r="D195" s="43"/>
      <c r="E195" s="43" t="s">
        <v>435</v>
      </c>
      <c r="F195" s="43" t="s">
        <v>235</v>
      </c>
      <c r="G195" s="44"/>
      <c r="H195" s="44"/>
      <c r="I195" s="44"/>
      <c r="J195" s="44"/>
      <c r="K195" s="44"/>
      <c r="L195" s="44"/>
      <c r="M195" s="44"/>
      <c r="N195" s="44"/>
      <c r="O195" s="45"/>
      <c r="P195" s="40"/>
    </row>
    <row r="196" spans="1:16" s="41" customFormat="1" ht="30" customHeight="1">
      <c r="A196" s="34">
        <v>157</v>
      </c>
      <c r="B196" s="35" t="s">
        <v>247</v>
      </c>
      <c r="C196" s="34"/>
      <c r="D196" s="35"/>
      <c r="E196" s="35" t="s">
        <v>435</v>
      </c>
      <c r="F196" s="35" t="s">
        <v>235</v>
      </c>
      <c r="G196" s="46"/>
      <c r="H196" s="44"/>
      <c r="I196" s="44"/>
      <c r="J196" s="46"/>
      <c r="K196" s="44"/>
      <c r="L196" s="44"/>
      <c r="M196" s="44"/>
      <c r="N196" s="44"/>
      <c r="O196" s="45"/>
      <c r="P196" s="40"/>
    </row>
    <row r="197" spans="1:16" s="41" customFormat="1" ht="30" customHeight="1">
      <c r="A197" s="42">
        <v>158</v>
      </c>
      <c r="B197" s="43" t="s">
        <v>248</v>
      </c>
      <c r="C197" s="42"/>
      <c r="D197" s="43"/>
      <c r="E197" s="43" t="s">
        <v>435</v>
      </c>
      <c r="F197" s="43" t="s">
        <v>235</v>
      </c>
      <c r="G197" s="44"/>
      <c r="H197" s="44"/>
      <c r="I197" s="44"/>
      <c r="J197" s="44"/>
      <c r="K197" s="44"/>
      <c r="L197" s="44"/>
      <c r="M197" s="44"/>
      <c r="N197" s="44"/>
      <c r="O197" s="45"/>
      <c r="P197" s="40"/>
    </row>
    <row r="198" spans="1:16" s="41" customFormat="1" ht="30" customHeight="1">
      <c r="A198" s="34">
        <v>159</v>
      </c>
      <c r="B198" s="35" t="s">
        <v>249</v>
      </c>
      <c r="C198" s="34"/>
      <c r="D198" s="35"/>
      <c r="E198" s="35" t="s">
        <v>435</v>
      </c>
      <c r="F198" s="35" t="s">
        <v>235</v>
      </c>
      <c r="G198" s="46"/>
      <c r="H198" s="44"/>
      <c r="I198" s="44"/>
      <c r="J198" s="46"/>
      <c r="K198" s="44"/>
      <c r="L198" s="44"/>
      <c r="M198" s="44"/>
      <c r="N198" s="44"/>
      <c r="O198" s="45"/>
      <c r="P198" s="40"/>
    </row>
    <row r="199" spans="1:16" s="41" customFormat="1" ht="30" customHeight="1">
      <c r="A199" s="42">
        <v>160</v>
      </c>
      <c r="B199" s="43" t="s">
        <v>250</v>
      </c>
      <c r="C199" s="42"/>
      <c r="D199" s="43"/>
      <c r="E199" s="43" t="s">
        <v>435</v>
      </c>
      <c r="F199" s="43" t="s">
        <v>235</v>
      </c>
      <c r="G199" s="44"/>
      <c r="H199" s="44"/>
      <c r="I199" s="44"/>
      <c r="J199" s="44"/>
      <c r="K199" s="44"/>
      <c r="L199" s="44"/>
      <c r="M199" s="44"/>
      <c r="N199" s="44"/>
      <c r="O199" s="45"/>
      <c r="P199" s="40"/>
    </row>
    <row r="200" spans="1:16" s="41" customFormat="1" ht="30" customHeight="1">
      <c r="A200" s="34">
        <v>161</v>
      </c>
      <c r="B200" s="35" t="s">
        <v>251</v>
      </c>
      <c r="C200" s="34"/>
      <c r="D200" s="35"/>
      <c r="E200" s="35" t="s">
        <v>435</v>
      </c>
      <c r="F200" s="35" t="s">
        <v>235</v>
      </c>
      <c r="G200" s="46"/>
      <c r="H200" s="44"/>
      <c r="I200" s="44"/>
      <c r="J200" s="46"/>
      <c r="K200" s="44"/>
      <c r="L200" s="44"/>
      <c r="M200" s="44"/>
      <c r="N200" s="44"/>
      <c r="O200" s="45"/>
      <c r="P200" s="40"/>
    </row>
    <row r="201" spans="1:16" s="41" customFormat="1" ht="30" customHeight="1">
      <c r="A201" s="42">
        <v>162</v>
      </c>
      <c r="B201" s="43" t="s">
        <v>252</v>
      </c>
      <c r="C201" s="42"/>
      <c r="D201" s="43"/>
      <c r="E201" s="43" t="s">
        <v>435</v>
      </c>
      <c r="F201" s="43" t="s">
        <v>235</v>
      </c>
      <c r="G201" s="44"/>
      <c r="H201" s="44"/>
      <c r="I201" s="44"/>
      <c r="J201" s="44"/>
      <c r="K201" s="44"/>
      <c r="L201" s="44"/>
      <c r="M201" s="44"/>
      <c r="N201" s="44"/>
      <c r="O201" s="45"/>
      <c r="P201" s="40"/>
    </row>
    <row r="202" spans="1:16" s="41" customFormat="1" ht="30" customHeight="1">
      <c r="A202" s="34">
        <v>163</v>
      </c>
      <c r="B202" s="35" t="s">
        <v>253</v>
      </c>
      <c r="C202" s="34"/>
      <c r="D202" s="35"/>
      <c r="E202" s="35" t="s">
        <v>435</v>
      </c>
      <c r="F202" s="35" t="s">
        <v>235</v>
      </c>
      <c r="G202" s="46"/>
      <c r="H202" s="44"/>
      <c r="I202" s="44"/>
      <c r="J202" s="46"/>
      <c r="K202" s="44"/>
      <c r="L202" s="44"/>
      <c r="M202" s="44"/>
      <c r="N202" s="44"/>
      <c r="O202" s="45"/>
      <c r="P202" s="40"/>
    </row>
    <row r="203" spans="1:16" s="41" customFormat="1" ht="30" customHeight="1">
      <c r="A203" s="42">
        <v>164</v>
      </c>
      <c r="B203" s="43" t="s">
        <v>56</v>
      </c>
      <c r="C203" s="42"/>
      <c r="D203" s="43"/>
      <c r="E203" s="43" t="s">
        <v>435</v>
      </c>
      <c r="F203" s="43" t="s">
        <v>235</v>
      </c>
      <c r="G203" s="44"/>
      <c r="H203" s="44"/>
      <c r="I203" s="44"/>
      <c r="J203" s="44"/>
      <c r="K203" s="44"/>
      <c r="L203" s="44"/>
      <c r="M203" s="44"/>
      <c r="N203" s="44"/>
      <c r="O203" s="45"/>
      <c r="P203" s="40"/>
    </row>
    <row r="204" spans="1:16" s="41" customFormat="1" ht="30" customHeight="1">
      <c r="A204" s="34">
        <v>165</v>
      </c>
      <c r="B204" s="35" t="s">
        <v>254</v>
      </c>
      <c r="C204" s="34"/>
      <c r="D204" s="35"/>
      <c r="E204" s="35" t="s">
        <v>435</v>
      </c>
      <c r="F204" s="35" t="s">
        <v>235</v>
      </c>
      <c r="G204" s="46"/>
      <c r="H204" s="44"/>
      <c r="I204" s="44"/>
      <c r="J204" s="46"/>
      <c r="K204" s="44"/>
      <c r="L204" s="44"/>
      <c r="M204" s="44"/>
      <c r="N204" s="44"/>
      <c r="O204" s="45"/>
      <c r="P204" s="40"/>
    </row>
    <row r="205" spans="1:16" s="41" customFormat="1" ht="30" customHeight="1">
      <c r="A205" s="42">
        <v>166</v>
      </c>
      <c r="B205" s="43" t="s">
        <v>255</v>
      </c>
      <c r="C205" s="42"/>
      <c r="D205" s="43"/>
      <c r="E205" s="43" t="s">
        <v>435</v>
      </c>
      <c r="F205" s="43" t="s">
        <v>235</v>
      </c>
      <c r="G205" s="44"/>
      <c r="H205" s="44"/>
      <c r="I205" s="44"/>
      <c r="J205" s="44"/>
      <c r="K205" s="44"/>
      <c r="L205" s="44"/>
      <c r="M205" s="44"/>
      <c r="N205" s="44"/>
      <c r="O205" s="45"/>
      <c r="P205" s="40"/>
    </row>
    <row r="206" spans="1:16" s="41" customFormat="1" ht="30" customHeight="1">
      <c r="A206" s="34">
        <v>167</v>
      </c>
      <c r="B206" s="35" t="s">
        <v>256</v>
      </c>
      <c r="C206" s="34"/>
      <c r="D206" s="35"/>
      <c r="E206" s="35" t="s">
        <v>435</v>
      </c>
      <c r="F206" s="35" t="s">
        <v>235</v>
      </c>
      <c r="G206" s="46"/>
      <c r="H206" s="44"/>
      <c r="I206" s="44"/>
      <c r="J206" s="46"/>
      <c r="K206" s="44"/>
      <c r="L206" s="44"/>
      <c r="M206" s="44"/>
      <c r="N206" s="44"/>
      <c r="O206" s="45"/>
      <c r="P206" s="40"/>
    </row>
    <row r="207" spans="1:16" s="41" customFormat="1" ht="30" customHeight="1">
      <c r="A207" s="42">
        <v>168</v>
      </c>
      <c r="B207" s="43" t="s">
        <v>257</v>
      </c>
      <c r="C207" s="42"/>
      <c r="D207" s="43"/>
      <c r="E207" s="43" t="s">
        <v>435</v>
      </c>
      <c r="F207" s="43" t="s">
        <v>235</v>
      </c>
      <c r="G207" s="44"/>
      <c r="H207" s="44"/>
      <c r="I207" s="44"/>
      <c r="J207" s="44"/>
      <c r="K207" s="44"/>
      <c r="L207" s="44"/>
      <c r="M207" s="44"/>
      <c r="N207" s="44"/>
      <c r="O207" s="45"/>
      <c r="P207" s="40"/>
    </row>
    <row r="208" spans="1:16" s="41" customFormat="1" ht="30" customHeight="1">
      <c r="A208" s="34">
        <v>169</v>
      </c>
      <c r="B208" s="35" t="s">
        <v>258</v>
      </c>
      <c r="C208" s="34"/>
      <c r="D208" s="35"/>
      <c r="E208" s="35" t="s">
        <v>435</v>
      </c>
      <c r="F208" s="35" t="s">
        <v>235</v>
      </c>
      <c r="G208" s="46"/>
      <c r="H208" s="44"/>
      <c r="I208" s="44"/>
      <c r="J208" s="46"/>
      <c r="K208" s="44"/>
      <c r="L208" s="44"/>
      <c r="M208" s="44"/>
      <c r="N208" s="44"/>
      <c r="O208" s="45"/>
      <c r="P208" s="40"/>
    </row>
    <row r="209" spans="1:16" s="41" customFormat="1" ht="30" customHeight="1">
      <c r="A209" s="42">
        <v>170</v>
      </c>
      <c r="B209" s="43" t="s">
        <v>259</v>
      </c>
      <c r="C209" s="42"/>
      <c r="D209" s="43"/>
      <c r="E209" s="43" t="s">
        <v>435</v>
      </c>
      <c r="F209" s="43" t="s">
        <v>235</v>
      </c>
      <c r="G209" s="44"/>
      <c r="H209" s="44"/>
      <c r="I209" s="44"/>
      <c r="J209" s="44"/>
      <c r="K209" s="44"/>
      <c r="L209" s="44"/>
      <c r="M209" s="44"/>
      <c r="N209" s="44"/>
      <c r="O209" s="45"/>
      <c r="P209" s="40"/>
    </row>
    <row r="210" spans="1:16" s="41" customFormat="1" ht="30" customHeight="1">
      <c r="A210" s="34">
        <v>171</v>
      </c>
      <c r="B210" s="35" t="s">
        <v>260</v>
      </c>
      <c r="C210" s="34"/>
      <c r="D210" s="35"/>
      <c r="E210" s="35" t="s">
        <v>435</v>
      </c>
      <c r="F210" s="35" t="s">
        <v>235</v>
      </c>
      <c r="G210" s="46"/>
      <c r="H210" s="44"/>
      <c r="I210" s="44"/>
      <c r="J210" s="46"/>
      <c r="K210" s="44"/>
      <c r="L210" s="44"/>
      <c r="M210" s="44"/>
      <c r="N210" s="44"/>
      <c r="O210" s="45"/>
      <c r="P210" s="40"/>
    </row>
    <row r="211" spans="1:16" s="41" customFormat="1" ht="30" customHeight="1">
      <c r="A211" s="42">
        <v>172</v>
      </c>
      <c r="B211" s="43" t="s">
        <v>261</v>
      </c>
      <c r="C211" s="42"/>
      <c r="D211" s="43"/>
      <c r="E211" s="43" t="s">
        <v>435</v>
      </c>
      <c r="F211" s="43" t="s">
        <v>235</v>
      </c>
      <c r="G211" s="44"/>
      <c r="H211" s="44"/>
      <c r="I211" s="44"/>
      <c r="J211" s="44"/>
      <c r="K211" s="44"/>
      <c r="L211" s="44"/>
      <c r="M211" s="44"/>
      <c r="N211" s="44"/>
      <c r="O211" s="45"/>
      <c r="P211" s="40"/>
    </row>
    <row r="212" spans="1:16" s="41" customFormat="1" ht="30" customHeight="1">
      <c r="A212" s="34">
        <v>173</v>
      </c>
      <c r="B212" s="35" t="s">
        <v>262</v>
      </c>
      <c r="C212" s="34"/>
      <c r="D212" s="35"/>
      <c r="E212" s="35" t="s">
        <v>435</v>
      </c>
      <c r="F212" s="35" t="s">
        <v>235</v>
      </c>
      <c r="G212" s="46"/>
      <c r="H212" s="44"/>
      <c r="I212" s="44"/>
      <c r="J212" s="46"/>
      <c r="K212" s="44"/>
      <c r="L212" s="44"/>
      <c r="M212" s="44"/>
      <c r="N212" s="44"/>
      <c r="O212" s="45"/>
      <c r="P212" s="40"/>
    </row>
    <row r="213" spans="1:16" s="41" customFormat="1" ht="30" customHeight="1">
      <c r="A213" s="42">
        <v>174</v>
      </c>
      <c r="B213" s="43" t="s">
        <v>263</v>
      </c>
      <c r="C213" s="42"/>
      <c r="D213" s="43"/>
      <c r="E213" s="43" t="s">
        <v>435</v>
      </c>
      <c r="F213" s="43" t="s">
        <v>235</v>
      </c>
      <c r="G213" s="44"/>
      <c r="H213" s="44"/>
      <c r="I213" s="44"/>
      <c r="J213" s="44"/>
      <c r="K213" s="44"/>
      <c r="L213" s="44"/>
      <c r="M213" s="44"/>
      <c r="N213" s="44"/>
      <c r="O213" s="45"/>
      <c r="P213" s="40"/>
    </row>
    <row r="214" spans="1:16" s="41" customFormat="1" ht="30" customHeight="1">
      <c r="A214" s="34">
        <v>175</v>
      </c>
      <c r="B214" s="35" t="s">
        <v>260</v>
      </c>
      <c r="C214" s="34"/>
      <c r="D214" s="35"/>
      <c r="E214" s="35" t="s">
        <v>435</v>
      </c>
      <c r="F214" s="35" t="s">
        <v>235</v>
      </c>
      <c r="G214" s="46"/>
      <c r="H214" s="44"/>
      <c r="I214" s="44"/>
      <c r="J214" s="46"/>
      <c r="K214" s="44"/>
      <c r="L214" s="44"/>
      <c r="M214" s="44"/>
      <c r="N214" s="44"/>
      <c r="O214" s="45"/>
      <c r="P214" s="40"/>
    </row>
    <row r="215" spans="1:16" s="41" customFormat="1" ht="30" customHeight="1">
      <c r="A215" s="42">
        <v>176</v>
      </c>
      <c r="B215" s="43" t="s">
        <v>264</v>
      </c>
      <c r="C215" s="42"/>
      <c r="D215" s="43"/>
      <c r="E215" s="43" t="s">
        <v>435</v>
      </c>
      <c r="F215" s="43" t="s">
        <v>235</v>
      </c>
      <c r="G215" s="44"/>
      <c r="H215" s="44"/>
      <c r="I215" s="44"/>
      <c r="J215" s="44"/>
      <c r="K215" s="44"/>
      <c r="L215" s="44"/>
      <c r="M215" s="44"/>
      <c r="N215" s="44"/>
      <c r="O215" s="45"/>
      <c r="P215" s="40"/>
    </row>
    <row r="216" spans="1:16" s="41" customFormat="1" ht="30" customHeight="1">
      <c r="A216" s="34">
        <v>177</v>
      </c>
      <c r="B216" s="35" t="s">
        <v>265</v>
      </c>
      <c r="C216" s="34"/>
      <c r="D216" s="35"/>
      <c r="E216" s="35" t="s">
        <v>435</v>
      </c>
      <c r="F216" s="35" t="s">
        <v>235</v>
      </c>
      <c r="G216" s="46"/>
      <c r="H216" s="44"/>
      <c r="I216" s="44"/>
      <c r="J216" s="46"/>
      <c r="K216" s="44"/>
      <c r="L216" s="44"/>
      <c r="M216" s="44"/>
      <c r="N216" s="44"/>
      <c r="O216" s="45"/>
      <c r="P216" s="40"/>
    </row>
    <row r="217" spans="1:16" s="41" customFormat="1" ht="30" customHeight="1">
      <c r="A217" s="42">
        <v>178</v>
      </c>
      <c r="B217" s="43" t="s">
        <v>266</v>
      </c>
      <c r="C217" s="42"/>
      <c r="D217" s="43"/>
      <c r="E217" s="43" t="s">
        <v>435</v>
      </c>
      <c r="F217" s="43" t="s">
        <v>123</v>
      </c>
      <c r="G217" s="44"/>
      <c r="H217" s="44"/>
      <c r="I217" s="44"/>
      <c r="J217" s="44"/>
      <c r="K217" s="44"/>
      <c r="L217" s="44"/>
      <c r="M217" s="44"/>
      <c r="N217" s="44"/>
      <c r="O217" s="45"/>
      <c r="P217" s="40"/>
    </row>
    <row r="218" spans="1:16" s="41" customFormat="1" ht="30" customHeight="1">
      <c r="A218" s="34">
        <v>179</v>
      </c>
      <c r="B218" s="35" t="s">
        <v>267</v>
      </c>
      <c r="C218" s="34"/>
      <c r="D218" s="35"/>
      <c r="E218" s="35" t="s">
        <v>435</v>
      </c>
      <c r="F218" s="35" t="s">
        <v>123</v>
      </c>
      <c r="G218" s="46"/>
      <c r="H218" s="44"/>
      <c r="I218" s="44"/>
      <c r="J218" s="46"/>
      <c r="K218" s="44"/>
      <c r="L218" s="44"/>
      <c r="M218" s="44"/>
      <c r="N218" s="44"/>
      <c r="O218" s="45"/>
      <c r="P218" s="40"/>
    </row>
    <row r="219" spans="1:16" s="41" customFormat="1" ht="30" customHeight="1">
      <c r="A219" s="42">
        <v>180</v>
      </c>
      <c r="B219" s="43" t="s">
        <v>268</v>
      </c>
      <c r="C219" s="42"/>
      <c r="D219" s="43"/>
      <c r="E219" s="43" t="s">
        <v>435</v>
      </c>
      <c r="F219" s="43" t="s">
        <v>123</v>
      </c>
      <c r="G219" s="44"/>
      <c r="H219" s="44"/>
      <c r="I219" s="44"/>
      <c r="J219" s="44"/>
      <c r="K219" s="44"/>
      <c r="L219" s="44"/>
      <c r="M219" s="44"/>
      <c r="N219" s="44"/>
      <c r="O219" s="45"/>
      <c r="P219" s="40"/>
    </row>
    <row r="220" spans="1:16" s="41" customFormat="1" ht="30" customHeight="1">
      <c r="A220" s="34">
        <v>181</v>
      </c>
      <c r="B220" s="35" t="s">
        <v>269</v>
      </c>
      <c r="C220" s="34"/>
      <c r="D220" s="35"/>
      <c r="E220" s="35" t="s">
        <v>435</v>
      </c>
      <c r="F220" s="35" t="s">
        <v>123</v>
      </c>
      <c r="G220" s="46"/>
      <c r="H220" s="44"/>
      <c r="I220" s="44"/>
      <c r="J220" s="46"/>
      <c r="K220" s="44"/>
      <c r="L220" s="44"/>
      <c r="M220" s="44"/>
      <c r="N220" s="44"/>
      <c r="O220" s="45"/>
      <c r="P220" s="40"/>
    </row>
    <row r="221" spans="1:16" s="41" customFormat="1" ht="30" customHeight="1">
      <c r="A221" s="42">
        <v>182</v>
      </c>
      <c r="B221" s="43" t="s">
        <v>270</v>
      </c>
      <c r="C221" s="42"/>
      <c r="D221" s="43"/>
      <c r="E221" s="43" t="s">
        <v>435</v>
      </c>
      <c r="F221" s="43" t="s">
        <v>123</v>
      </c>
      <c r="G221" s="44"/>
      <c r="H221" s="44"/>
      <c r="I221" s="44"/>
      <c r="J221" s="44"/>
      <c r="K221" s="44"/>
      <c r="L221" s="44"/>
      <c r="M221" s="44"/>
      <c r="N221" s="44"/>
      <c r="O221" s="45"/>
      <c r="P221" s="40"/>
    </row>
    <row r="222" spans="1:16" s="33" customFormat="1" ht="38.25">
      <c r="A222" s="34">
        <v>183</v>
      </c>
      <c r="B222" s="35" t="s">
        <v>271</v>
      </c>
      <c r="C222" s="34"/>
      <c r="D222" s="35"/>
      <c r="E222" s="35" t="s">
        <v>428</v>
      </c>
      <c r="F222" s="35"/>
      <c r="G222" s="35"/>
      <c r="H222" s="35"/>
      <c r="I222" s="35" t="s">
        <v>595</v>
      </c>
      <c r="J222" s="35" t="s">
        <v>468</v>
      </c>
      <c r="K222" s="35" t="s">
        <v>600</v>
      </c>
      <c r="L222" s="30"/>
      <c r="M222" s="30"/>
      <c r="N222" s="31"/>
      <c r="O222" s="78"/>
      <c r="P222" s="32"/>
    </row>
    <row r="223" spans="1:16" s="33" customFormat="1" ht="51">
      <c r="A223" s="42">
        <v>184</v>
      </c>
      <c r="B223" s="43" t="s">
        <v>272</v>
      </c>
      <c r="C223" s="42"/>
      <c r="D223" s="43"/>
      <c r="E223" s="43" t="s">
        <v>428</v>
      </c>
      <c r="F223" s="43"/>
      <c r="G223" s="43"/>
      <c r="H223" s="43"/>
      <c r="I223" s="43" t="s">
        <v>595</v>
      </c>
      <c r="J223" s="43" t="s">
        <v>468</v>
      </c>
      <c r="K223" s="43" t="s">
        <v>600</v>
      </c>
      <c r="L223" s="36"/>
      <c r="M223" s="36"/>
      <c r="N223" s="79"/>
      <c r="O223" s="78"/>
      <c r="P223" s="32"/>
    </row>
    <row r="224" spans="1:16" s="33" customFormat="1" ht="49.5" customHeight="1">
      <c r="A224" s="34">
        <v>185</v>
      </c>
      <c r="B224" s="35" t="s">
        <v>273</v>
      </c>
      <c r="C224" s="34"/>
      <c r="D224" s="35"/>
      <c r="E224" s="35" t="s">
        <v>428</v>
      </c>
      <c r="F224" s="35" t="s">
        <v>586</v>
      </c>
      <c r="G224" s="35"/>
      <c r="H224" s="35"/>
      <c r="I224" s="35" t="s">
        <v>595</v>
      </c>
      <c r="J224" s="35" t="s">
        <v>468</v>
      </c>
      <c r="K224" s="35" t="s">
        <v>600</v>
      </c>
      <c r="L224" s="30"/>
      <c r="M224" s="30"/>
      <c r="N224" s="31"/>
      <c r="O224" s="78"/>
      <c r="P224" s="32"/>
    </row>
    <row r="225" spans="1:16" s="33" customFormat="1" ht="45.75" customHeight="1">
      <c r="A225" s="42">
        <v>186</v>
      </c>
      <c r="B225" s="43" t="s">
        <v>274</v>
      </c>
      <c r="C225" s="42"/>
      <c r="D225" s="43"/>
      <c r="E225" s="43" t="s">
        <v>428</v>
      </c>
      <c r="F225" s="43" t="s">
        <v>586</v>
      </c>
      <c r="G225" s="43"/>
      <c r="H225" s="43"/>
      <c r="I225" s="43" t="s">
        <v>595</v>
      </c>
      <c r="J225" s="43" t="s">
        <v>468</v>
      </c>
      <c r="K225" s="43" t="s">
        <v>600</v>
      </c>
      <c r="L225" s="36"/>
      <c r="M225" s="36"/>
      <c r="N225" s="79"/>
      <c r="O225" s="78"/>
      <c r="P225" s="32"/>
    </row>
    <row r="226" spans="1:16" s="33" customFormat="1" ht="30" customHeight="1">
      <c r="A226" s="34">
        <v>187</v>
      </c>
      <c r="B226" s="35" t="s">
        <v>275</v>
      </c>
      <c r="C226" s="34"/>
      <c r="D226" s="35"/>
      <c r="E226" s="35" t="s">
        <v>428</v>
      </c>
      <c r="F226" s="35" t="s">
        <v>588</v>
      </c>
      <c r="G226" s="44"/>
      <c r="H226" s="44"/>
      <c r="I226" s="44"/>
      <c r="J226" s="44"/>
      <c r="K226" s="44"/>
      <c r="L226" s="44"/>
      <c r="M226" s="44"/>
      <c r="N226" s="44"/>
      <c r="O226" s="78"/>
      <c r="P226" s="32"/>
    </row>
    <row r="227" spans="1:16" s="33" customFormat="1" ht="30" customHeight="1">
      <c r="A227" s="42">
        <v>188</v>
      </c>
      <c r="B227" s="43" t="s">
        <v>276</v>
      </c>
      <c r="C227" s="42"/>
      <c r="D227" s="43"/>
      <c r="E227" s="43" t="s">
        <v>428</v>
      </c>
      <c r="F227" s="43" t="s">
        <v>588</v>
      </c>
      <c r="G227" s="44"/>
      <c r="H227" s="44"/>
      <c r="I227" s="44"/>
      <c r="J227" s="44"/>
      <c r="K227" s="44"/>
      <c r="L227" s="44"/>
      <c r="M227" s="44"/>
      <c r="N227" s="44"/>
      <c r="O227" s="78"/>
      <c r="P227" s="32"/>
    </row>
    <row r="228" spans="1:16" s="33" customFormat="1" ht="30" customHeight="1">
      <c r="A228" s="34">
        <v>189</v>
      </c>
      <c r="B228" s="35" t="s">
        <v>277</v>
      </c>
      <c r="C228" s="34"/>
      <c r="D228" s="35"/>
      <c r="E228" s="35" t="s">
        <v>428</v>
      </c>
      <c r="F228" s="35"/>
      <c r="G228" s="35"/>
      <c r="H228" s="35"/>
      <c r="I228" s="35"/>
      <c r="J228" s="35"/>
      <c r="K228" s="35" t="s">
        <v>587</v>
      </c>
      <c r="L228" s="30"/>
      <c r="M228" s="30"/>
      <c r="N228" s="31"/>
      <c r="O228" s="78"/>
      <c r="P228" s="32"/>
    </row>
    <row r="229" spans="1:16" s="41" customFormat="1" ht="30" customHeight="1">
      <c r="A229" s="42">
        <v>190</v>
      </c>
      <c r="B229" s="43" t="s">
        <v>278</v>
      </c>
      <c r="C229" s="42"/>
      <c r="D229" s="43"/>
      <c r="E229" s="43" t="s">
        <v>435</v>
      </c>
      <c r="F229" s="43" t="s">
        <v>123</v>
      </c>
      <c r="G229" s="44"/>
      <c r="H229" s="44"/>
      <c r="I229" s="44"/>
      <c r="J229" s="44"/>
      <c r="K229" s="44"/>
      <c r="L229" s="44"/>
      <c r="M229" s="44"/>
      <c r="N229" s="44"/>
      <c r="O229" s="45"/>
      <c r="P229" s="40"/>
    </row>
    <row r="230" spans="1:16" s="41" customFormat="1" ht="30" customHeight="1">
      <c r="A230" s="34">
        <v>191</v>
      </c>
      <c r="B230" s="35" t="s">
        <v>279</v>
      </c>
      <c r="C230" s="34"/>
      <c r="D230" s="35"/>
      <c r="E230" s="35" t="s">
        <v>435</v>
      </c>
      <c r="F230" s="35" t="s">
        <v>123</v>
      </c>
      <c r="G230" s="46"/>
      <c r="H230" s="44"/>
      <c r="I230" s="44"/>
      <c r="J230" s="46"/>
      <c r="K230" s="44"/>
      <c r="L230" s="44"/>
      <c r="M230" s="44"/>
      <c r="N230" s="44"/>
      <c r="O230" s="45"/>
      <c r="P230" s="40"/>
    </row>
    <row r="231" spans="1:16" s="41" customFormat="1" ht="30" customHeight="1">
      <c r="A231" s="48">
        <v>192</v>
      </c>
      <c r="B231" s="49" t="s">
        <v>254</v>
      </c>
      <c r="C231" s="48">
        <v>68</v>
      </c>
      <c r="D231" s="49"/>
      <c r="E231" s="49" t="s">
        <v>435</v>
      </c>
      <c r="F231" s="49" t="s">
        <v>123</v>
      </c>
      <c r="G231" s="38"/>
      <c r="H231" s="44"/>
      <c r="I231" s="44"/>
      <c r="J231" s="38"/>
      <c r="K231" s="44"/>
      <c r="L231" s="44"/>
      <c r="M231" s="44"/>
      <c r="N231" s="44"/>
      <c r="O231" s="45"/>
      <c r="P231" s="40"/>
    </row>
    <row r="232" spans="1:16" s="41" customFormat="1" ht="30" customHeight="1">
      <c r="A232" s="51"/>
      <c r="B232" s="52"/>
      <c r="C232" s="51"/>
      <c r="D232" s="52"/>
      <c r="E232" s="52" t="s">
        <v>435</v>
      </c>
      <c r="F232" s="52"/>
      <c r="G232" s="70"/>
      <c r="H232" s="44"/>
      <c r="I232" s="44"/>
      <c r="J232" s="70"/>
      <c r="K232" s="44"/>
      <c r="L232" s="44"/>
      <c r="M232" s="44"/>
      <c r="N232" s="44"/>
      <c r="O232" s="45"/>
      <c r="P232" s="40"/>
    </row>
    <row r="233" spans="1:16" s="41" customFormat="1" ht="30" customHeight="1">
      <c r="A233" s="34">
        <v>193</v>
      </c>
      <c r="B233" s="35" t="s">
        <v>280</v>
      </c>
      <c r="C233" s="34"/>
      <c r="D233" s="35"/>
      <c r="E233" s="35" t="s">
        <v>435</v>
      </c>
      <c r="F233" s="35" t="s">
        <v>123</v>
      </c>
      <c r="G233" s="46"/>
      <c r="H233" s="44"/>
      <c r="I233" s="44"/>
      <c r="J233" s="46"/>
      <c r="K233" s="44"/>
      <c r="L233" s="44"/>
      <c r="M233" s="44"/>
      <c r="N233" s="44"/>
      <c r="O233" s="45"/>
      <c r="P233" s="40"/>
    </row>
    <row r="234" spans="1:16" s="41" customFormat="1" ht="30" customHeight="1">
      <c r="A234" s="42">
        <v>194</v>
      </c>
      <c r="B234" s="43" t="s">
        <v>281</v>
      </c>
      <c r="C234" s="42"/>
      <c r="D234" s="43"/>
      <c r="E234" s="43" t="s">
        <v>435</v>
      </c>
      <c r="F234" s="43" t="s">
        <v>123</v>
      </c>
      <c r="G234" s="44"/>
      <c r="H234" s="44"/>
      <c r="I234" s="44"/>
      <c r="J234" s="44"/>
      <c r="K234" s="44"/>
      <c r="L234" s="44"/>
      <c r="M234" s="44"/>
      <c r="N234" s="44"/>
      <c r="O234" s="45"/>
      <c r="P234" s="40"/>
    </row>
    <row r="235" spans="1:16" s="41" customFormat="1" ht="30" customHeight="1">
      <c r="A235" s="34">
        <v>195</v>
      </c>
      <c r="B235" s="35" t="s">
        <v>282</v>
      </c>
      <c r="C235" s="34"/>
      <c r="D235" s="35"/>
      <c r="E235" s="35" t="s">
        <v>435</v>
      </c>
      <c r="F235" s="35" t="s">
        <v>35</v>
      </c>
      <c r="G235" s="46"/>
      <c r="H235" s="44"/>
      <c r="I235" s="44"/>
      <c r="J235" s="46"/>
      <c r="K235" s="44"/>
      <c r="L235" s="44"/>
      <c r="M235" s="44"/>
      <c r="N235" s="44"/>
      <c r="O235" s="45"/>
      <c r="P235" s="40"/>
    </row>
    <row r="236" spans="1:16" s="41" customFormat="1" ht="30" customHeight="1">
      <c r="A236" s="42">
        <v>196</v>
      </c>
      <c r="B236" s="43" t="s">
        <v>283</v>
      </c>
      <c r="C236" s="42"/>
      <c r="D236" s="43"/>
      <c r="E236" s="43" t="s">
        <v>435</v>
      </c>
      <c r="F236" s="43" t="s">
        <v>35</v>
      </c>
      <c r="G236" s="44"/>
      <c r="H236" s="44"/>
      <c r="I236" s="44"/>
      <c r="J236" s="44"/>
      <c r="K236" s="44"/>
      <c r="L236" s="44"/>
      <c r="M236" s="44"/>
      <c r="N236" s="44"/>
      <c r="O236" s="45"/>
      <c r="P236" s="40"/>
    </row>
    <row r="237" spans="1:16" s="41" customFormat="1" ht="30" customHeight="1">
      <c r="A237" s="34">
        <v>197</v>
      </c>
      <c r="B237" s="35" t="s">
        <v>284</v>
      </c>
      <c r="C237" s="34"/>
      <c r="D237" s="35"/>
      <c r="E237" s="35" t="s">
        <v>435</v>
      </c>
      <c r="F237" s="35" t="s">
        <v>123</v>
      </c>
      <c r="G237" s="46"/>
      <c r="H237" s="44"/>
      <c r="I237" s="44"/>
      <c r="J237" s="46"/>
      <c r="K237" s="44"/>
      <c r="L237" s="44"/>
      <c r="M237" s="44"/>
      <c r="N237" s="44"/>
      <c r="O237" s="45"/>
      <c r="P237" s="40"/>
    </row>
    <row r="238" spans="1:16" s="41" customFormat="1" ht="30" customHeight="1">
      <c r="A238" s="42">
        <v>198</v>
      </c>
      <c r="B238" s="43" t="s">
        <v>285</v>
      </c>
      <c r="C238" s="42"/>
      <c r="D238" s="43"/>
      <c r="E238" s="43" t="s">
        <v>435</v>
      </c>
      <c r="F238" s="43" t="s">
        <v>123</v>
      </c>
      <c r="G238" s="44"/>
      <c r="H238" s="44"/>
      <c r="I238" s="44"/>
      <c r="J238" s="44"/>
      <c r="K238" s="44"/>
      <c r="L238" s="44"/>
      <c r="M238" s="44"/>
      <c r="N238" s="44"/>
      <c r="O238" s="45"/>
      <c r="P238" s="40"/>
    </row>
    <row r="239" spans="1:16" s="41" customFormat="1" ht="30" customHeight="1">
      <c r="A239" s="34">
        <v>199</v>
      </c>
      <c r="B239" s="35" t="s">
        <v>286</v>
      </c>
      <c r="C239" s="34"/>
      <c r="D239" s="35"/>
      <c r="E239" s="35" t="s">
        <v>435</v>
      </c>
      <c r="F239" s="35" t="s">
        <v>123</v>
      </c>
      <c r="G239" s="46"/>
      <c r="H239" s="44"/>
      <c r="I239" s="44"/>
      <c r="J239" s="46"/>
      <c r="K239" s="44"/>
      <c r="L239" s="44"/>
      <c r="M239" s="44"/>
      <c r="N239" s="44"/>
      <c r="O239" s="45"/>
      <c r="P239" s="40"/>
    </row>
    <row r="240" spans="1:16" s="41" customFormat="1" ht="30" customHeight="1">
      <c r="A240" s="42">
        <v>200</v>
      </c>
      <c r="B240" s="43" t="s">
        <v>287</v>
      </c>
      <c r="C240" s="42"/>
      <c r="D240" s="43"/>
      <c r="E240" s="43" t="s">
        <v>435</v>
      </c>
      <c r="F240" s="43" t="s">
        <v>123</v>
      </c>
      <c r="G240" s="44"/>
      <c r="H240" s="44"/>
      <c r="I240" s="44"/>
      <c r="J240" s="44"/>
      <c r="K240" s="44"/>
      <c r="L240" s="44"/>
      <c r="M240" s="44"/>
      <c r="N240" s="44"/>
      <c r="O240" s="45"/>
      <c r="P240" s="40"/>
    </row>
    <row r="241" spans="1:16" s="41" customFormat="1" ht="30" customHeight="1">
      <c r="A241" s="34">
        <v>201</v>
      </c>
      <c r="B241" s="35" t="s">
        <v>288</v>
      </c>
      <c r="C241" s="34"/>
      <c r="D241" s="35"/>
      <c r="E241" s="35" t="s">
        <v>435</v>
      </c>
      <c r="F241" s="35" t="s">
        <v>123</v>
      </c>
      <c r="G241" s="46"/>
      <c r="H241" s="44"/>
      <c r="I241" s="44"/>
      <c r="J241" s="46"/>
      <c r="K241" s="44"/>
      <c r="L241" s="44"/>
      <c r="M241" s="44"/>
      <c r="N241" s="44"/>
      <c r="O241" s="45"/>
      <c r="P241" s="40"/>
    </row>
    <row r="242" spans="1:16" s="41" customFormat="1" ht="30" customHeight="1">
      <c r="A242" s="42">
        <v>202</v>
      </c>
      <c r="B242" s="43" t="s">
        <v>289</v>
      </c>
      <c r="C242" s="42"/>
      <c r="D242" s="43"/>
      <c r="E242" s="43" t="s">
        <v>435</v>
      </c>
      <c r="F242" s="43" t="s">
        <v>123</v>
      </c>
      <c r="G242" s="44"/>
      <c r="H242" s="44"/>
      <c r="I242" s="44"/>
      <c r="J242" s="44"/>
      <c r="K242" s="44"/>
      <c r="L242" s="44"/>
      <c r="M242" s="44"/>
      <c r="N242" s="44"/>
      <c r="O242" s="45"/>
      <c r="P242" s="40"/>
    </row>
    <row r="243" spans="1:16" s="41" customFormat="1" ht="30" customHeight="1">
      <c r="A243" s="34">
        <v>203</v>
      </c>
      <c r="B243" s="35" t="s">
        <v>290</v>
      </c>
      <c r="C243" s="34"/>
      <c r="D243" s="35"/>
      <c r="E243" s="35" t="s">
        <v>435</v>
      </c>
      <c r="F243" s="35" t="s">
        <v>123</v>
      </c>
      <c r="G243" s="46"/>
      <c r="H243" s="44"/>
      <c r="I243" s="44"/>
      <c r="J243" s="46"/>
      <c r="K243" s="44"/>
      <c r="L243" s="44"/>
      <c r="M243" s="44"/>
      <c r="N243" s="44"/>
      <c r="O243" s="45"/>
      <c r="P243" s="40"/>
    </row>
    <row r="244" spans="1:16" s="41" customFormat="1" ht="30" customHeight="1">
      <c r="A244" s="42">
        <v>204</v>
      </c>
      <c r="B244" s="43" t="s">
        <v>291</v>
      </c>
      <c r="C244" s="42"/>
      <c r="D244" s="43"/>
      <c r="E244" s="43" t="s">
        <v>435</v>
      </c>
      <c r="F244" s="43" t="s">
        <v>123</v>
      </c>
      <c r="G244" s="44"/>
      <c r="H244" s="44"/>
      <c r="I244" s="44"/>
      <c r="J244" s="44"/>
      <c r="K244" s="44"/>
      <c r="L244" s="44"/>
      <c r="M244" s="44"/>
      <c r="N244" s="44"/>
      <c r="O244" s="45"/>
      <c r="P244" s="40"/>
    </row>
    <row r="245" spans="1:16" s="41" customFormat="1" ht="30" customHeight="1">
      <c r="A245" s="34">
        <v>205</v>
      </c>
      <c r="B245" s="35" t="s">
        <v>292</v>
      </c>
      <c r="C245" s="34"/>
      <c r="D245" s="35"/>
      <c r="E245" s="35" t="s">
        <v>435</v>
      </c>
      <c r="F245" s="35" t="s">
        <v>123</v>
      </c>
      <c r="G245" s="46"/>
      <c r="H245" s="44"/>
      <c r="I245" s="44"/>
      <c r="J245" s="46"/>
      <c r="K245" s="44"/>
      <c r="L245" s="44"/>
      <c r="M245" s="44"/>
      <c r="N245" s="44"/>
      <c r="O245" s="45"/>
      <c r="P245" s="40"/>
    </row>
    <row r="246" spans="1:16" s="41" customFormat="1" ht="30" customHeight="1">
      <c r="A246" s="42">
        <v>206</v>
      </c>
      <c r="B246" s="43" t="s">
        <v>293</v>
      </c>
      <c r="C246" s="42"/>
      <c r="D246" s="43"/>
      <c r="E246" s="43" t="s">
        <v>435</v>
      </c>
      <c r="F246" s="43" t="s">
        <v>123</v>
      </c>
      <c r="G246" s="44"/>
      <c r="H246" s="44"/>
      <c r="I246" s="44"/>
      <c r="J246" s="44"/>
      <c r="K246" s="44"/>
      <c r="L246" s="44"/>
      <c r="M246" s="44"/>
      <c r="N246" s="44"/>
      <c r="O246" s="45"/>
      <c r="P246" s="40"/>
    </row>
    <row r="247" spans="1:16" s="41" customFormat="1" ht="30" customHeight="1">
      <c r="A247" s="34">
        <v>207</v>
      </c>
      <c r="B247" s="35" t="s">
        <v>294</v>
      </c>
      <c r="C247" s="34"/>
      <c r="D247" s="35"/>
      <c r="E247" s="35" t="s">
        <v>435</v>
      </c>
      <c r="F247" s="35" t="s">
        <v>123</v>
      </c>
      <c r="G247" s="46"/>
      <c r="H247" s="44"/>
      <c r="I247" s="44"/>
      <c r="J247" s="46"/>
      <c r="K247" s="44"/>
      <c r="L247" s="44"/>
      <c r="M247" s="44"/>
      <c r="N247" s="44"/>
      <c r="O247" s="45"/>
      <c r="P247" s="40"/>
    </row>
    <row r="248" spans="1:16" s="41" customFormat="1" ht="30" customHeight="1">
      <c r="A248" s="42">
        <v>208</v>
      </c>
      <c r="B248" s="43" t="s">
        <v>295</v>
      </c>
      <c r="C248" s="42"/>
      <c r="D248" s="43"/>
      <c r="E248" s="43" t="s">
        <v>435</v>
      </c>
      <c r="F248" s="43" t="s">
        <v>123</v>
      </c>
      <c r="G248" s="44"/>
      <c r="H248" s="44"/>
      <c r="I248" s="44"/>
      <c r="J248" s="44"/>
      <c r="K248" s="44"/>
      <c r="L248" s="44"/>
      <c r="M248" s="44"/>
      <c r="N248" s="44"/>
      <c r="O248" s="45"/>
      <c r="P248" s="40"/>
    </row>
    <row r="249" spans="1:16" s="41" customFormat="1" ht="30" customHeight="1">
      <c r="A249" s="34">
        <v>209</v>
      </c>
      <c r="B249" s="35" t="s">
        <v>296</v>
      </c>
      <c r="C249" s="34"/>
      <c r="D249" s="35"/>
      <c r="E249" s="35" t="s">
        <v>435</v>
      </c>
      <c r="F249" s="35" t="s">
        <v>123</v>
      </c>
      <c r="G249" s="46"/>
      <c r="H249" s="44"/>
      <c r="I249" s="44"/>
      <c r="J249" s="46"/>
      <c r="K249" s="44"/>
      <c r="L249" s="44"/>
      <c r="M249" s="44"/>
      <c r="N249" s="44"/>
      <c r="O249" s="45"/>
      <c r="P249" s="40"/>
    </row>
    <row r="250" spans="1:16" s="41" customFormat="1" ht="30" customHeight="1">
      <c r="A250" s="42">
        <v>210</v>
      </c>
      <c r="B250" s="43" t="s">
        <v>297</v>
      </c>
      <c r="C250" s="42"/>
      <c r="D250" s="43"/>
      <c r="E250" s="43" t="s">
        <v>435</v>
      </c>
      <c r="F250" s="43" t="s">
        <v>123</v>
      </c>
      <c r="G250" s="44"/>
      <c r="H250" s="44"/>
      <c r="I250" s="44"/>
      <c r="J250" s="44"/>
      <c r="K250" s="44"/>
      <c r="L250" s="44"/>
      <c r="M250" s="44"/>
      <c r="N250" s="44"/>
      <c r="O250" s="45"/>
      <c r="P250" s="40"/>
    </row>
    <row r="251" spans="1:16" s="41" customFormat="1" ht="30" customHeight="1">
      <c r="A251" s="34">
        <v>211</v>
      </c>
      <c r="B251" s="35" t="s">
        <v>298</v>
      </c>
      <c r="C251" s="34" t="s">
        <v>423</v>
      </c>
      <c r="D251" s="35"/>
      <c r="E251" s="35" t="s">
        <v>435</v>
      </c>
      <c r="F251" s="35" t="s">
        <v>123</v>
      </c>
      <c r="G251" s="46"/>
      <c r="H251" s="44"/>
      <c r="I251" s="44"/>
      <c r="J251" s="46"/>
      <c r="K251" s="44"/>
      <c r="L251" s="44"/>
      <c r="M251" s="44"/>
      <c r="N251" s="44"/>
      <c r="O251" s="45"/>
      <c r="P251" s="40"/>
    </row>
    <row r="252" spans="1:16" s="41" customFormat="1" ht="30" customHeight="1">
      <c r="A252" s="42">
        <v>212</v>
      </c>
      <c r="B252" s="43" t="s">
        <v>25</v>
      </c>
      <c r="C252" s="42"/>
      <c r="D252" s="43" t="s">
        <v>299</v>
      </c>
      <c r="E252" s="43" t="s">
        <v>435</v>
      </c>
      <c r="F252" s="43" t="s">
        <v>13</v>
      </c>
      <c r="G252" s="44"/>
      <c r="H252" s="44"/>
      <c r="I252" s="44"/>
      <c r="J252" s="44"/>
      <c r="K252" s="44"/>
      <c r="L252" s="44"/>
      <c r="M252" s="44"/>
      <c r="N252" s="44"/>
      <c r="O252" s="45"/>
      <c r="P252" s="40"/>
    </row>
    <row r="253" spans="1:16" s="41" customFormat="1" ht="30" customHeight="1">
      <c r="A253" s="34">
        <v>213</v>
      </c>
      <c r="B253" s="35" t="s">
        <v>300</v>
      </c>
      <c r="C253" s="34"/>
      <c r="D253" s="35" t="s">
        <v>299</v>
      </c>
      <c r="E253" s="35" t="s">
        <v>435</v>
      </c>
      <c r="F253" s="35" t="s">
        <v>13</v>
      </c>
      <c r="G253" s="46"/>
      <c r="H253" s="44"/>
      <c r="I253" s="44"/>
      <c r="J253" s="46"/>
      <c r="K253" s="44"/>
      <c r="L253" s="44"/>
      <c r="M253" s="44"/>
      <c r="N253" s="44"/>
      <c r="O253" s="45"/>
      <c r="P253" s="40"/>
    </row>
    <row r="254" spans="1:16" s="41" customFormat="1" ht="30" customHeight="1">
      <c r="A254" s="34"/>
      <c r="B254" s="35"/>
      <c r="C254" s="34"/>
      <c r="D254" s="35" t="s">
        <v>42</v>
      </c>
      <c r="E254" s="35" t="s">
        <v>435</v>
      </c>
      <c r="F254" s="35"/>
      <c r="G254" s="46"/>
      <c r="H254" s="44"/>
      <c r="I254" s="44"/>
      <c r="J254" s="46"/>
      <c r="K254" s="44"/>
      <c r="L254" s="44"/>
      <c r="M254" s="44"/>
      <c r="N254" s="44"/>
      <c r="O254" s="45"/>
      <c r="P254" s="40"/>
    </row>
    <row r="255" spans="1:16" s="41" customFormat="1" ht="30" customHeight="1">
      <c r="A255" s="42">
        <v>214</v>
      </c>
      <c r="B255" s="43" t="s">
        <v>301</v>
      </c>
      <c r="C255" s="42"/>
      <c r="D255" s="43" t="s">
        <v>299</v>
      </c>
      <c r="E255" s="43" t="s">
        <v>435</v>
      </c>
      <c r="F255" s="43" t="s">
        <v>13</v>
      </c>
      <c r="G255" s="44"/>
      <c r="H255" s="44"/>
      <c r="I255" s="44"/>
      <c r="J255" s="44"/>
      <c r="K255" s="44"/>
      <c r="L255" s="44"/>
      <c r="M255" s="44"/>
      <c r="N255" s="44"/>
      <c r="O255" s="45"/>
      <c r="P255" s="40"/>
    </row>
    <row r="256" spans="1:16" s="41" customFormat="1" ht="30" customHeight="1">
      <c r="A256" s="34">
        <v>215</v>
      </c>
      <c r="B256" s="35" t="s">
        <v>302</v>
      </c>
      <c r="C256" s="34"/>
      <c r="D256" s="35" t="s">
        <v>299</v>
      </c>
      <c r="E256" s="35" t="s">
        <v>435</v>
      </c>
      <c r="F256" s="35" t="s">
        <v>13</v>
      </c>
      <c r="G256" s="46"/>
      <c r="H256" s="44"/>
      <c r="I256" s="44"/>
      <c r="J256" s="46"/>
      <c r="K256" s="44"/>
      <c r="L256" s="44"/>
      <c r="M256" s="44"/>
      <c r="N256" s="44"/>
      <c r="O256" s="45"/>
      <c r="P256" s="40"/>
    </row>
    <row r="257" spans="1:16" s="41" customFormat="1" ht="25.5">
      <c r="A257" s="42">
        <v>216</v>
      </c>
      <c r="B257" s="43" t="s">
        <v>303</v>
      </c>
      <c r="C257" s="42"/>
      <c r="D257" s="43" t="s">
        <v>299</v>
      </c>
      <c r="E257" s="43" t="s">
        <v>438</v>
      </c>
      <c r="F257" s="43" t="s">
        <v>615</v>
      </c>
      <c r="G257" s="46"/>
      <c r="H257" s="44"/>
      <c r="I257" s="44"/>
      <c r="J257" s="44"/>
      <c r="K257" s="44"/>
      <c r="L257" s="44"/>
      <c r="M257" s="44"/>
      <c r="N257" s="44"/>
      <c r="O257" s="45"/>
      <c r="P257" s="40"/>
    </row>
    <row r="258" spans="1:16" s="41" customFormat="1" ht="30" customHeight="1">
      <c r="A258" s="34">
        <v>217</v>
      </c>
      <c r="B258" s="35" t="s">
        <v>304</v>
      </c>
      <c r="C258" s="34"/>
      <c r="D258" s="35" t="s">
        <v>299</v>
      </c>
      <c r="E258" s="35" t="s">
        <v>438</v>
      </c>
      <c r="F258" s="35" t="s">
        <v>615</v>
      </c>
      <c r="G258" s="46"/>
      <c r="H258" s="44"/>
      <c r="I258" s="44"/>
      <c r="J258" s="44"/>
      <c r="K258" s="44"/>
      <c r="L258" s="44"/>
      <c r="M258" s="44"/>
      <c r="N258" s="44"/>
      <c r="O258" s="45"/>
      <c r="P258" s="40"/>
    </row>
    <row r="259" spans="1:16" s="41" customFormat="1" ht="25.5">
      <c r="A259" s="48">
        <v>218</v>
      </c>
      <c r="B259" s="49" t="s">
        <v>305</v>
      </c>
      <c r="C259" s="48"/>
      <c r="D259" s="49" t="s">
        <v>299</v>
      </c>
      <c r="E259" s="49" t="s">
        <v>438</v>
      </c>
      <c r="F259" s="49" t="s">
        <v>615</v>
      </c>
      <c r="G259" s="46"/>
      <c r="H259" s="44"/>
      <c r="I259" s="44"/>
      <c r="J259" s="44"/>
      <c r="K259" s="44"/>
      <c r="L259" s="44"/>
      <c r="M259" s="44"/>
      <c r="N259" s="44"/>
      <c r="O259" s="45"/>
      <c r="P259" s="40"/>
    </row>
    <row r="260" spans="1:16" s="41" customFormat="1" ht="25.5">
      <c r="A260" s="34">
        <v>219</v>
      </c>
      <c r="B260" s="35" t="s">
        <v>137</v>
      </c>
      <c r="C260" s="34"/>
      <c r="D260" s="35" t="s">
        <v>299</v>
      </c>
      <c r="E260" s="35" t="s">
        <v>438</v>
      </c>
      <c r="F260" s="35" t="s">
        <v>615</v>
      </c>
      <c r="G260" s="46"/>
      <c r="H260" s="44"/>
      <c r="I260" s="44"/>
      <c r="J260" s="44"/>
      <c r="K260" s="44"/>
      <c r="L260" s="44"/>
      <c r="M260" s="44"/>
      <c r="N260" s="44"/>
      <c r="O260" s="45"/>
      <c r="P260" s="40"/>
    </row>
    <row r="261" spans="1:16" s="41" customFormat="1" ht="25.5">
      <c r="A261" s="48">
        <v>220</v>
      </c>
      <c r="B261" s="49" t="s">
        <v>306</v>
      </c>
      <c r="C261" s="48">
        <v>341</v>
      </c>
      <c r="D261" s="49" t="s">
        <v>299</v>
      </c>
      <c r="E261" s="49" t="s">
        <v>438</v>
      </c>
      <c r="F261" s="49" t="s">
        <v>615</v>
      </c>
      <c r="G261" s="46"/>
      <c r="H261" s="44"/>
      <c r="I261" s="44"/>
      <c r="J261" s="44"/>
      <c r="K261" s="44"/>
      <c r="L261" s="44"/>
      <c r="M261" s="44"/>
      <c r="N261" s="44"/>
      <c r="O261" s="45"/>
      <c r="P261" s="40"/>
    </row>
    <row r="262" spans="1:16" s="41" customFormat="1" ht="30" customHeight="1">
      <c r="A262" s="34">
        <v>221</v>
      </c>
      <c r="B262" s="35" t="s">
        <v>307</v>
      </c>
      <c r="C262" s="34"/>
      <c r="D262" s="35" t="s">
        <v>299</v>
      </c>
      <c r="E262" s="35" t="s">
        <v>438</v>
      </c>
      <c r="F262" s="35" t="s">
        <v>615</v>
      </c>
      <c r="G262" s="46"/>
      <c r="H262" s="44"/>
      <c r="I262" s="44"/>
      <c r="J262" s="44"/>
      <c r="K262" s="44"/>
      <c r="L262" s="44"/>
      <c r="M262" s="44"/>
      <c r="N262" s="44"/>
      <c r="O262" s="45"/>
      <c r="P262" s="40"/>
    </row>
    <row r="263" spans="1:16" s="41" customFormat="1" ht="25.5">
      <c r="A263" s="48">
        <v>222</v>
      </c>
      <c r="B263" s="49" t="s">
        <v>308</v>
      </c>
      <c r="C263" s="48"/>
      <c r="D263" s="49" t="s">
        <v>299</v>
      </c>
      <c r="E263" s="49" t="s">
        <v>438</v>
      </c>
      <c r="F263" s="49" t="s">
        <v>615</v>
      </c>
      <c r="G263" s="46"/>
      <c r="H263" s="44"/>
      <c r="I263" s="44"/>
      <c r="J263" s="44"/>
      <c r="K263" s="44"/>
      <c r="L263" s="44"/>
      <c r="M263" s="44"/>
      <c r="N263" s="44"/>
      <c r="O263" s="45"/>
      <c r="P263" s="40"/>
    </row>
    <row r="264" spans="1:16" s="41" customFormat="1" ht="25.5">
      <c r="A264" s="34">
        <v>223</v>
      </c>
      <c r="B264" s="35" t="s">
        <v>309</v>
      </c>
      <c r="C264" s="34">
        <v>342</v>
      </c>
      <c r="D264" s="35" t="s">
        <v>299</v>
      </c>
      <c r="E264" s="35" t="s">
        <v>438</v>
      </c>
      <c r="F264" s="35" t="s">
        <v>615</v>
      </c>
      <c r="G264" s="46"/>
      <c r="H264" s="44"/>
      <c r="I264" s="44"/>
      <c r="J264" s="44"/>
      <c r="K264" s="44"/>
      <c r="L264" s="44"/>
      <c r="M264" s="44"/>
      <c r="N264" s="44"/>
      <c r="O264" s="45"/>
      <c r="P264" s="40"/>
    </row>
    <row r="265" spans="1:16" s="41" customFormat="1" ht="25.5">
      <c r="A265" s="42">
        <v>224</v>
      </c>
      <c r="B265" s="43" t="s">
        <v>310</v>
      </c>
      <c r="C265" s="42"/>
      <c r="D265" s="43" t="s">
        <v>299</v>
      </c>
      <c r="E265" s="43" t="s">
        <v>438</v>
      </c>
      <c r="F265" s="43" t="s">
        <v>615</v>
      </c>
      <c r="G265" s="46"/>
      <c r="H265" s="44"/>
      <c r="I265" s="44"/>
      <c r="J265" s="44"/>
      <c r="K265" s="44"/>
      <c r="L265" s="44"/>
      <c r="M265" s="44"/>
      <c r="N265" s="44"/>
      <c r="O265" s="45"/>
      <c r="P265" s="40"/>
    </row>
    <row r="266" spans="1:16" s="41" customFormat="1" ht="30" customHeight="1">
      <c r="A266" s="34">
        <v>225</v>
      </c>
      <c r="B266" s="35" t="s">
        <v>311</v>
      </c>
      <c r="C266" s="34"/>
      <c r="D266" s="35" t="s">
        <v>299</v>
      </c>
      <c r="E266" s="35" t="s">
        <v>438</v>
      </c>
      <c r="F266" s="35" t="s">
        <v>615</v>
      </c>
      <c r="G266" s="46"/>
      <c r="H266" s="44"/>
      <c r="I266" s="44"/>
      <c r="J266" s="44"/>
      <c r="K266" s="44"/>
      <c r="L266" s="44"/>
      <c r="M266" s="44"/>
      <c r="N266" s="44"/>
      <c r="O266" s="45"/>
      <c r="P266" s="40"/>
    </row>
    <row r="267" spans="1:16" s="41" customFormat="1" ht="30" customHeight="1">
      <c r="A267" s="48">
        <v>226</v>
      </c>
      <c r="B267" s="49" t="s">
        <v>312</v>
      </c>
      <c r="C267" s="48"/>
      <c r="D267" s="29" t="s">
        <v>122</v>
      </c>
      <c r="E267" s="29" t="s">
        <v>438</v>
      </c>
      <c r="F267" s="29" t="s">
        <v>615</v>
      </c>
      <c r="G267" s="46"/>
      <c r="H267" s="44"/>
      <c r="I267" s="44"/>
      <c r="J267" s="44"/>
      <c r="K267" s="44"/>
      <c r="L267" s="44"/>
      <c r="M267" s="44"/>
      <c r="N267" s="44"/>
      <c r="O267" s="45"/>
      <c r="P267" s="40"/>
    </row>
    <row r="268" spans="1:16" s="41" customFormat="1" ht="30" customHeight="1">
      <c r="A268" s="51"/>
      <c r="B268" s="52"/>
      <c r="C268" s="51"/>
      <c r="D268" s="53" t="s">
        <v>299</v>
      </c>
      <c r="E268" s="53"/>
      <c r="F268" s="53"/>
      <c r="G268" s="46"/>
      <c r="H268" s="44"/>
      <c r="I268" s="44"/>
      <c r="J268" s="44"/>
      <c r="K268" s="44"/>
      <c r="L268" s="44"/>
      <c r="M268" s="44"/>
      <c r="N268" s="44"/>
      <c r="O268" s="45"/>
      <c r="P268" s="40"/>
    </row>
    <row r="269" spans="1:16" s="41" customFormat="1" ht="30" customHeight="1">
      <c r="A269" s="34">
        <v>227</v>
      </c>
      <c r="B269" s="35" t="s">
        <v>313</v>
      </c>
      <c r="C269" s="34"/>
      <c r="D269" s="80" t="s">
        <v>122</v>
      </c>
      <c r="E269" s="80" t="s">
        <v>438</v>
      </c>
      <c r="F269" s="80" t="s">
        <v>615</v>
      </c>
      <c r="G269" s="46"/>
      <c r="H269" s="44"/>
      <c r="I269" s="44"/>
      <c r="J269" s="44"/>
      <c r="K269" s="44"/>
      <c r="L269" s="44"/>
      <c r="M269" s="44"/>
      <c r="N269" s="44"/>
      <c r="O269" s="45"/>
      <c r="P269" s="40"/>
    </row>
    <row r="270" spans="1:16" s="41" customFormat="1" ht="30" customHeight="1">
      <c r="A270" s="48">
        <v>228</v>
      </c>
      <c r="B270" s="49" t="s">
        <v>314</v>
      </c>
      <c r="C270" s="48"/>
      <c r="D270" s="29" t="s">
        <v>122</v>
      </c>
      <c r="E270" s="29"/>
      <c r="F270" s="29" t="s">
        <v>493</v>
      </c>
      <c r="G270" s="46"/>
      <c r="H270" s="46"/>
      <c r="I270" s="46"/>
      <c r="J270" s="46"/>
      <c r="K270" s="46"/>
      <c r="L270" s="46"/>
      <c r="M270" s="46"/>
      <c r="N270" s="46"/>
      <c r="O270" s="45"/>
      <c r="P270" s="40"/>
    </row>
    <row r="271" spans="1:16" s="41" customFormat="1" ht="38.25">
      <c r="A271" s="34">
        <v>229</v>
      </c>
      <c r="B271" s="35" t="s">
        <v>315</v>
      </c>
      <c r="C271" s="34"/>
      <c r="D271" s="80" t="s">
        <v>617</v>
      </c>
      <c r="E271" s="80" t="s">
        <v>438</v>
      </c>
      <c r="F271" s="80" t="s">
        <v>615</v>
      </c>
      <c r="G271" s="46"/>
      <c r="H271" s="46"/>
      <c r="I271" s="46"/>
      <c r="J271" s="46"/>
      <c r="K271" s="46"/>
      <c r="L271" s="46"/>
      <c r="M271" s="46"/>
      <c r="N271" s="46"/>
      <c r="O271" s="45"/>
      <c r="P271" s="40"/>
    </row>
    <row r="272" spans="1:16" s="41" customFormat="1" ht="38.25">
      <c r="A272" s="48">
        <v>230</v>
      </c>
      <c r="B272" s="49" t="s">
        <v>316</v>
      </c>
      <c r="C272" s="48" t="s">
        <v>424</v>
      </c>
      <c r="D272" s="49" t="s">
        <v>617</v>
      </c>
      <c r="E272" s="49" t="s">
        <v>438</v>
      </c>
      <c r="F272" s="49" t="s">
        <v>615</v>
      </c>
      <c r="G272" s="46"/>
      <c r="H272" s="46"/>
      <c r="I272" s="46"/>
      <c r="J272" s="46"/>
      <c r="K272" s="46"/>
      <c r="L272" s="46"/>
      <c r="M272" s="46"/>
      <c r="N272" s="46"/>
      <c r="O272" s="45"/>
      <c r="P272" s="40"/>
    </row>
    <row r="273" spans="1:16" s="41" customFormat="1" ht="30" customHeight="1">
      <c r="A273" s="55"/>
      <c r="B273" s="56"/>
      <c r="C273" s="55"/>
      <c r="D273" s="56"/>
      <c r="E273" s="56"/>
      <c r="F273" s="56"/>
      <c r="G273" s="46"/>
      <c r="H273" s="46"/>
      <c r="I273" s="46"/>
      <c r="J273" s="46"/>
      <c r="K273" s="46"/>
      <c r="L273" s="46"/>
      <c r="M273" s="46"/>
      <c r="N273" s="46"/>
      <c r="O273" s="45"/>
      <c r="P273" s="40"/>
    </row>
    <row r="274" spans="1:16" s="41" customFormat="1" ht="74.25" customHeight="1">
      <c r="A274" s="34">
        <v>231</v>
      </c>
      <c r="B274" s="35" t="s">
        <v>317</v>
      </c>
      <c r="C274" s="34" t="s">
        <v>425</v>
      </c>
      <c r="D274" s="35" t="s">
        <v>618</v>
      </c>
      <c r="E274" s="35" t="s">
        <v>438</v>
      </c>
      <c r="F274" s="35" t="s">
        <v>615</v>
      </c>
      <c r="G274" s="46"/>
      <c r="H274" s="46"/>
      <c r="I274" s="46"/>
      <c r="J274" s="46"/>
      <c r="K274" s="46"/>
      <c r="L274" s="46"/>
      <c r="M274" s="46"/>
      <c r="N274" s="46"/>
      <c r="O274" s="45"/>
      <c r="P274" s="40"/>
    </row>
    <row r="275" spans="1:16" s="41" customFormat="1" ht="30" customHeight="1">
      <c r="A275" s="42">
        <v>232</v>
      </c>
      <c r="B275" s="43" t="s">
        <v>318</v>
      </c>
      <c r="C275" s="42"/>
      <c r="D275" s="43" t="s">
        <v>122</v>
      </c>
      <c r="E275" s="43" t="s">
        <v>435</v>
      </c>
      <c r="F275" s="43" t="s">
        <v>35</v>
      </c>
      <c r="G275" s="44"/>
      <c r="H275" s="44"/>
      <c r="I275" s="44"/>
      <c r="J275" s="44"/>
      <c r="K275" s="44"/>
      <c r="L275" s="44"/>
      <c r="M275" s="44"/>
      <c r="N275" s="44"/>
      <c r="O275" s="45"/>
      <c r="P275" s="40"/>
    </row>
    <row r="276" spans="1:16" s="41" customFormat="1" ht="30" customHeight="1">
      <c r="A276" s="34">
        <v>233</v>
      </c>
      <c r="B276" s="35" t="s">
        <v>319</v>
      </c>
      <c r="C276" s="34">
        <v>328</v>
      </c>
      <c r="D276" s="35" t="s">
        <v>122</v>
      </c>
      <c r="E276" s="35" t="s">
        <v>435</v>
      </c>
      <c r="F276" s="35" t="s">
        <v>13</v>
      </c>
      <c r="G276" s="46"/>
      <c r="H276" s="44"/>
      <c r="I276" s="44"/>
      <c r="J276" s="46"/>
      <c r="K276" s="44"/>
      <c r="L276" s="44"/>
      <c r="M276" s="44"/>
      <c r="N276" s="44"/>
      <c r="O276" s="45"/>
      <c r="P276" s="40"/>
    </row>
    <row r="277" spans="1:16" s="41" customFormat="1" ht="30" customHeight="1">
      <c r="A277" s="42">
        <v>234</v>
      </c>
      <c r="B277" s="43" t="s">
        <v>76</v>
      </c>
      <c r="C277" s="42"/>
      <c r="D277" s="43" t="s">
        <v>122</v>
      </c>
      <c r="E277" s="43" t="s">
        <v>435</v>
      </c>
      <c r="F277" s="43" t="s">
        <v>13</v>
      </c>
      <c r="G277" s="44"/>
      <c r="H277" s="44"/>
      <c r="I277" s="44"/>
      <c r="J277" s="44"/>
      <c r="K277" s="44"/>
      <c r="L277" s="44"/>
      <c r="M277" s="44"/>
      <c r="N277" s="44"/>
      <c r="O277" s="45"/>
      <c r="P277" s="40"/>
    </row>
    <row r="278" spans="1:16" s="41" customFormat="1" ht="30" customHeight="1">
      <c r="A278" s="34">
        <v>235</v>
      </c>
      <c r="B278" s="35" t="s">
        <v>320</v>
      </c>
      <c r="C278" s="34"/>
      <c r="D278" s="35" t="s">
        <v>122</v>
      </c>
      <c r="E278" s="35" t="s">
        <v>435</v>
      </c>
      <c r="F278" s="35" t="s">
        <v>13</v>
      </c>
      <c r="G278" s="46"/>
      <c r="H278" s="44"/>
      <c r="I278" s="44"/>
      <c r="J278" s="46"/>
      <c r="K278" s="44"/>
      <c r="L278" s="44"/>
      <c r="M278" s="44"/>
      <c r="N278" s="44"/>
      <c r="O278" s="45"/>
      <c r="P278" s="40"/>
    </row>
    <row r="279" spans="1:16" s="41" customFormat="1" ht="32.25" customHeight="1">
      <c r="A279" s="42">
        <v>236</v>
      </c>
      <c r="B279" s="43" t="s">
        <v>321</v>
      </c>
      <c r="C279" s="42"/>
      <c r="D279" s="43"/>
      <c r="E279" s="43" t="s">
        <v>435</v>
      </c>
      <c r="F279" s="43" t="s">
        <v>235</v>
      </c>
      <c r="G279" s="44"/>
      <c r="H279" s="44"/>
      <c r="I279" s="44"/>
      <c r="J279" s="44"/>
      <c r="K279" s="44"/>
      <c r="L279" s="44"/>
      <c r="M279" s="44"/>
      <c r="N279" s="44"/>
      <c r="O279" s="45"/>
      <c r="P279" s="40"/>
    </row>
    <row r="280" spans="1:16" s="41" customFormat="1" ht="45.75" customHeight="1">
      <c r="A280" s="34">
        <v>237</v>
      </c>
      <c r="B280" s="35" t="s">
        <v>322</v>
      </c>
      <c r="C280" s="34"/>
      <c r="D280" s="35"/>
      <c r="E280" s="35" t="s">
        <v>435</v>
      </c>
      <c r="F280" s="35" t="s">
        <v>153</v>
      </c>
      <c r="G280" s="46"/>
      <c r="H280" s="44"/>
      <c r="I280" s="44"/>
      <c r="J280" s="46"/>
      <c r="K280" s="44"/>
      <c r="L280" s="44"/>
      <c r="M280" s="44"/>
      <c r="N280" s="44"/>
      <c r="O280" s="45"/>
      <c r="P280" s="40"/>
    </row>
    <row r="281" spans="1:16" s="41" customFormat="1" ht="60.75" customHeight="1">
      <c r="A281" s="42">
        <v>238</v>
      </c>
      <c r="B281" s="43" t="s">
        <v>323</v>
      </c>
      <c r="C281" s="42"/>
      <c r="D281" s="43"/>
      <c r="E281" s="43" t="s">
        <v>435</v>
      </c>
      <c r="F281" s="43" t="s">
        <v>153</v>
      </c>
      <c r="G281" s="44"/>
      <c r="H281" s="44"/>
      <c r="I281" s="44"/>
      <c r="J281" s="44"/>
      <c r="K281" s="44"/>
      <c r="L281" s="44"/>
      <c r="M281" s="44"/>
      <c r="N281" s="44"/>
      <c r="O281" s="45"/>
      <c r="P281" s="40"/>
    </row>
    <row r="282" spans="1:16" s="41" customFormat="1" ht="57.75" customHeight="1">
      <c r="A282" s="34">
        <v>239</v>
      </c>
      <c r="B282" s="35" t="s">
        <v>324</v>
      </c>
      <c r="C282" s="34"/>
      <c r="D282" s="35"/>
      <c r="E282" s="35" t="s">
        <v>435</v>
      </c>
      <c r="F282" s="35" t="s">
        <v>153</v>
      </c>
      <c r="G282" s="46"/>
      <c r="H282" s="44"/>
      <c r="I282" s="44"/>
      <c r="J282" s="46"/>
      <c r="K282" s="44"/>
      <c r="L282" s="44"/>
      <c r="M282" s="44"/>
      <c r="N282" s="44"/>
      <c r="O282" s="45"/>
      <c r="P282" s="40"/>
    </row>
    <row r="283" spans="1:16" s="41" customFormat="1" ht="44.25" customHeight="1">
      <c r="A283" s="42">
        <v>240</v>
      </c>
      <c r="B283" s="43" t="s">
        <v>325</v>
      </c>
      <c r="C283" s="42"/>
      <c r="D283" s="43"/>
      <c r="E283" s="43" t="s">
        <v>435</v>
      </c>
      <c r="F283" s="43" t="s">
        <v>13</v>
      </c>
      <c r="G283" s="44"/>
      <c r="H283" s="44"/>
      <c r="I283" s="44"/>
      <c r="J283" s="44"/>
      <c r="K283" s="44"/>
      <c r="L283" s="44"/>
      <c r="M283" s="44"/>
      <c r="N283" s="44"/>
      <c r="O283" s="45"/>
      <c r="P283" s="40"/>
    </row>
    <row r="284" spans="1:16" s="41" customFormat="1" ht="48" customHeight="1">
      <c r="A284" s="34">
        <v>241</v>
      </c>
      <c r="B284" s="35" t="s">
        <v>326</v>
      </c>
      <c r="C284" s="34"/>
      <c r="D284" s="35"/>
      <c r="E284" s="35" t="s">
        <v>435</v>
      </c>
      <c r="F284" s="35" t="s">
        <v>13</v>
      </c>
      <c r="G284" s="46"/>
      <c r="H284" s="44"/>
      <c r="I284" s="44"/>
      <c r="J284" s="46"/>
      <c r="K284" s="44"/>
      <c r="L284" s="44"/>
      <c r="M284" s="44"/>
      <c r="N284" s="44"/>
      <c r="O284" s="45"/>
      <c r="P284" s="40"/>
    </row>
    <row r="285" spans="1:16" s="41" customFormat="1" ht="30" customHeight="1">
      <c r="A285" s="42">
        <v>242</v>
      </c>
      <c r="B285" s="43" t="s">
        <v>327</v>
      </c>
      <c r="C285" s="42"/>
      <c r="D285" s="43"/>
      <c r="E285" s="43" t="s">
        <v>435</v>
      </c>
      <c r="F285" s="43" t="s">
        <v>328</v>
      </c>
      <c r="G285" s="44"/>
      <c r="H285" s="44"/>
      <c r="I285" s="44"/>
      <c r="J285" s="44"/>
      <c r="K285" s="44"/>
      <c r="L285" s="44"/>
      <c r="M285" s="44"/>
      <c r="N285" s="44"/>
      <c r="O285" s="45"/>
      <c r="P285" s="40"/>
    </row>
    <row r="286" spans="1:16" s="41" customFormat="1" ht="30" customHeight="1">
      <c r="A286" s="34">
        <v>243</v>
      </c>
      <c r="B286" s="35" t="s">
        <v>329</v>
      </c>
      <c r="C286" s="34"/>
      <c r="D286" s="35"/>
      <c r="E286" s="35"/>
      <c r="F286" s="35" t="s">
        <v>535</v>
      </c>
      <c r="G286" s="46"/>
      <c r="H286" s="46"/>
      <c r="I286" s="46"/>
      <c r="J286" s="46"/>
      <c r="K286" s="46"/>
      <c r="L286" s="46"/>
      <c r="M286" s="46"/>
      <c r="N286" s="46"/>
      <c r="O286" s="45"/>
      <c r="P286" s="40"/>
    </row>
    <row r="287" spans="1:16" s="41" customFormat="1" ht="30" customHeight="1">
      <c r="A287" s="42">
        <v>244</v>
      </c>
      <c r="B287" s="43" t="s">
        <v>330</v>
      </c>
      <c r="C287" s="42">
        <v>376</v>
      </c>
      <c r="D287" s="43"/>
      <c r="E287" s="43" t="s">
        <v>429</v>
      </c>
      <c r="F287" s="43" t="s">
        <v>615</v>
      </c>
      <c r="G287" s="46"/>
      <c r="H287" s="46"/>
      <c r="I287" s="46"/>
      <c r="J287" s="46"/>
      <c r="K287" s="46"/>
      <c r="L287" s="46"/>
      <c r="M287" s="46"/>
      <c r="N287" s="46"/>
      <c r="O287" s="45"/>
      <c r="P287" s="40"/>
    </row>
    <row r="288" spans="1:16" s="41" customFormat="1" ht="30" customHeight="1">
      <c r="A288" s="34">
        <v>245</v>
      </c>
      <c r="B288" s="35" t="s">
        <v>331</v>
      </c>
      <c r="C288" s="62">
        <v>377</v>
      </c>
      <c r="D288" s="59"/>
      <c r="E288" s="59" t="s">
        <v>428</v>
      </c>
      <c r="F288" s="59" t="s">
        <v>615</v>
      </c>
      <c r="G288" s="46"/>
      <c r="H288" s="46"/>
      <c r="I288" s="46"/>
      <c r="J288" s="46"/>
      <c r="K288" s="46"/>
      <c r="L288" s="46"/>
      <c r="M288" s="46"/>
      <c r="N288" s="46"/>
      <c r="O288" s="45"/>
      <c r="P288" s="40"/>
    </row>
    <row r="289" spans="1:16" s="41" customFormat="1" ht="76.5">
      <c r="A289" s="48">
        <v>246</v>
      </c>
      <c r="B289" s="49" t="s">
        <v>332</v>
      </c>
      <c r="C289" s="48"/>
      <c r="D289" s="49" t="s">
        <v>333</v>
      </c>
      <c r="E289" s="49" t="s">
        <v>428</v>
      </c>
      <c r="F289" s="49" t="s">
        <v>615</v>
      </c>
      <c r="G289" s="29" t="s">
        <v>576</v>
      </c>
      <c r="H289" s="49"/>
      <c r="I289" s="49" t="s">
        <v>594</v>
      </c>
      <c r="J289" s="29" t="s">
        <v>459</v>
      </c>
      <c r="K289" s="49" t="s">
        <v>606</v>
      </c>
      <c r="L289" s="49" t="s">
        <v>536</v>
      </c>
      <c r="M289" s="49"/>
      <c r="N289" s="50"/>
      <c r="O289" s="45"/>
      <c r="P289" s="40"/>
    </row>
    <row r="290" spans="1:16" s="41" customFormat="1" ht="30" customHeight="1">
      <c r="A290" s="51"/>
      <c r="B290" s="52"/>
      <c r="C290" s="51"/>
      <c r="D290" s="52"/>
      <c r="E290" s="52"/>
      <c r="F290" s="52"/>
      <c r="G290" s="53" t="s">
        <v>537</v>
      </c>
      <c r="H290" s="52"/>
      <c r="I290" s="52"/>
      <c r="J290" s="53"/>
      <c r="K290" s="52"/>
      <c r="L290" s="52"/>
      <c r="M290" s="52"/>
      <c r="N290" s="54"/>
      <c r="O290" s="45"/>
      <c r="P290" s="40"/>
    </row>
    <row r="291" spans="1:16" s="41" customFormat="1" ht="30" customHeight="1">
      <c r="A291" s="34">
        <v>247</v>
      </c>
      <c r="B291" s="35" t="s">
        <v>334</v>
      </c>
      <c r="C291" s="34"/>
      <c r="D291" s="35"/>
      <c r="E291" s="35" t="s">
        <v>435</v>
      </c>
      <c r="F291" s="35" t="s">
        <v>13</v>
      </c>
      <c r="G291" s="46"/>
      <c r="H291" s="44"/>
      <c r="I291" s="44"/>
      <c r="J291" s="46"/>
      <c r="K291" s="44"/>
      <c r="L291" s="44"/>
      <c r="M291" s="44"/>
      <c r="N291" s="44"/>
      <c r="O291" s="45"/>
      <c r="P291" s="40"/>
    </row>
    <row r="292" spans="1:16" s="41" customFormat="1" ht="30" customHeight="1">
      <c r="A292" s="42">
        <v>248</v>
      </c>
      <c r="B292" s="43" t="s">
        <v>335</v>
      </c>
      <c r="C292" s="42"/>
      <c r="D292" s="43" t="s">
        <v>42</v>
      </c>
      <c r="E292" s="43" t="s">
        <v>435</v>
      </c>
      <c r="F292" s="43" t="s">
        <v>13</v>
      </c>
      <c r="G292" s="44"/>
      <c r="H292" s="44"/>
      <c r="I292" s="44"/>
      <c r="J292" s="44"/>
      <c r="K292" s="44"/>
      <c r="L292" s="44"/>
      <c r="M292" s="44"/>
      <c r="N292" s="44"/>
      <c r="O292" s="45"/>
      <c r="P292" s="40"/>
    </row>
    <row r="293" spans="1:16" s="41" customFormat="1" ht="30" customHeight="1">
      <c r="A293" s="34">
        <v>249</v>
      </c>
      <c r="B293" s="35" t="s">
        <v>336</v>
      </c>
      <c r="C293" s="34"/>
      <c r="D293" s="35" t="s">
        <v>42</v>
      </c>
      <c r="E293" s="35" t="s">
        <v>435</v>
      </c>
      <c r="F293" s="35" t="s">
        <v>35</v>
      </c>
      <c r="G293" s="46"/>
      <c r="H293" s="44"/>
      <c r="I293" s="44"/>
      <c r="J293" s="46"/>
      <c r="K293" s="44"/>
      <c r="L293" s="44"/>
      <c r="M293" s="44"/>
      <c r="N293" s="44"/>
      <c r="O293" s="45"/>
      <c r="P293" s="40"/>
    </row>
    <row r="294" spans="1:16" s="41" customFormat="1" ht="30" customHeight="1">
      <c r="A294" s="42">
        <v>250</v>
      </c>
      <c r="B294" s="43" t="s">
        <v>337</v>
      </c>
      <c r="C294" s="42"/>
      <c r="D294" s="43" t="s">
        <v>42</v>
      </c>
      <c r="E294" s="43" t="s">
        <v>435</v>
      </c>
      <c r="F294" s="43" t="s">
        <v>35</v>
      </c>
      <c r="G294" s="44"/>
      <c r="H294" s="44"/>
      <c r="I294" s="44"/>
      <c r="J294" s="44"/>
      <c r="K294" s="44"/>
      <c r="L294" s="44"/>
      <c r="M294" s="44"/>
      <c r="N294" s="44"/>
      <c r="O294" s="45"/>
      <c r="P294" s="40"/>
    </row>
    <row r="295" spans="1:16" s="41" customFormat="1" ht="30" customHeight="1">
      <c r="A295" s="34">
        <v>251</v>
      </c>
      <c r="B295" s="35" t="s">
        <v>338</v>
      </c>
      <c r="C295" s="34"/>
      <c r="D295" s="35"/>
      <c r="E295" s="35" t="s">
        <v>435</v>
      </c>
      <c r="F295" s="35" t="s">
        <v>35</v>
      </c>
      <c r="G295" s="46"/>
      <c r="H295" s="44"/>
      <c r="I295" s="44"/>
      <c r="J295" s="46"/>
      <c r="K295" s="44"/>
      <c r="L295" s="44"/>
      <c r="M295" s="44"/>
      <c r="N295" s="44"/>
      <c r="O295" s="45"/>
      <c r="P295" s="40"/>
    </row>
    <row r="296" spans="1:16" s="41" customFormat="1" ht="30" customHeight="1">
      <c r="A296" s="42">
        <v>252</v>
      </c>
      <c r="B296" s="43" t="s">
        <v>339</v>
      </c>
      <c r="C296" s="42"/>
      <c r="D296" s="43"/>
      <c r="E296" s="43" t="s">
        <v>435</v>
      </c>
      <c r="F296" s="43" t="s">
        <v>35</v>
      </c>
      <c r="G296" s="44"/>
      <c r="H296" s="44"/>
      <c r="I296" s="44"/>
      <c r="J296" s="44"/>
      <c r="K296" s="44"/>
      <c r="L296" s="44"/>
      <c r="M296" s="44"/>
      <c r="N296" s="44"/>
      <c r="O296" s="45"/>
      <c r="P296" s="40"/>
    </row>
    <row r="297" spans="1:16" s="41" customFormat="1" ht="30" customHeight="1">
      <c r="A297" s="34">
        <v>253</v>
      </c>
      <c r="B297" s="35" t="s">
        <v>340</v>
      </c>
      <c r="C297" s="34"/>
      <c r="D297" s="35"/>
      <c r="E297" s="35" t="s">
        <v>435</v>
      </c>
      <c r="F297" s="35" t="s">
        <v>35</v>
      </c>
      <c r="G297" s="46"/>
      <c r="H297" s="44"/>
      <c r="I297" s="44"/>
      <c r="J297" s="46"/>
      <c r="K297" s="44"/>
      <c r="L297" s="44"/>
      <c r="M297" s="44"/>
      <c r="N297" s="44"/>
      <c r="O297" s="45"/>
      <c r="P297" s="40"/>
    </row>
    <row r="298" spans="1:16" s="41" customFormat="1" ht="30" customHeight="1">
      <c r="A298" s="42">
        <v>254</v>
      </c>
      <c r="B298" s="43" t="s">
        <v>341</v>
      </c>
      <c r="C298" s="42"/>
      <c r="D298" s="43"/>
      <c r="E298" s="43" t="s">
        <v>435</v>
      </c>
      <c r="F298" s="43" t="s">
        <v>13</v>
      </c>
      <c r="G298" s="44"/>
      <c r="H298" s="44"/>
      <c r="I298" s="44"/>
      <c r="J298" s="44"/>
      <c r="K298" s="44"/>
      <c r="L298" s="44"/>
      <c r="M298" s="44"/>
      <c r="N298" s="44"/>
      <c r="O298" s="45"/>
      <c r="P298" s="40"/>
    </row>
    <row r="299" spans="1:16" s="41" customFormat="1" ht="30" customHeight="1">
      <c r="A299" s="34">
        <v>255</v>
      </c>
      <c r="B299" s="35" t="s">
        <v>342</v>
      </c>
      <c r="C299" s="34"/>
      <c r="D299" s="35" t="s">
        <v>42</v>
      </c>
      <c r="E299" s="35" t="s">
        <v>435</v>
      </c>
      <c r="F299" s="35" t="s">
        <v>35</v>
      </c>
      <c r="G299" s="46"/>
      <c r="H299" s="44"/>
      <c r="I299" s="44"/>
      <c r="J299" s="46"/>
      <c r="K299" s="44"/>
      <c r="L299" s="44"/>
      <c r="M299" s="44"/>
      <c r="N299" s="44"/>
      <c r="O299" s="45"/>
      <c r="P299" s="40"/>
    </row>
    <row r="300" spans="1:16" s="41" customFormat="1" ht="30" customHeight="1">
      <c r="A300" s="48">
        <v>256</v>
      </c>
      <c r="B300" s="49" t="s">
        <v>343</v>
      </c>
      <c r="C300" s="48">
        <v>370</v>
      </c>
      <c r="D300" s="49"/>
      <c r="E300" s="49" t="s">
        <v>432</v>
      </c>
      <c r="F300" s="49" t="s">
        <v>615</v>
      </c>
      <c r="G300" s="46"/>
      <c r="H300" s="46"/>
      <c r="I300" s="46"/>
      <c r="J300" s="46"/>
      <c r="K300" s="46"/>
      <c r="L300" s="46"/>
      <c r="M300" s="46"/>
      <c r="N300" s="46"/>
      <c r="O300" s="45"/>
      <c r="P300" s="40"/>
    </row>
    <row r="301" spans="1:16" s="41" customFormat="1" ht="30" customHeight="1">
      <c r="A301" s="34">
        <v>257</v>
      </c>
      <c r="B301" s="35" t="s">
        <v>344</v>
      </c>
      <c r="C301" s="34"/>
      <c r="D301" s="35"/>
      <c r="E301" s="35" t="s">
        <v>428</v>
      </c>
      <c r="F301" s="35"/>
      <c r="G301" s="80" t="s">
        <v>453</v>
      </c>
      <c r="H301" s="35" t="s">
        <v>441</v>
      </c>
      <c r="I301" s="35" t="s">
        <v>595</v>
      </c>
      <c r="J301" s="80" t="s">
        <v>459</v>
      </c>
      <c r="K301" s="35" t="s">
        <v>460</v>
      </c>
      <c r="L301" s="35" t="s">
        <v>454</v>
      </c>
      <c r="M301" s="35" t="s">
        <v>443</v>
      </c>
      <c r="N301" s="47" t="s">
        <v>68</v>
      </c>
      <c r="O301" s="45"/>
      <c r="P301" s="40"/>
    </row>
    <row r="302" spans="1:16" s="41" customFormat="1" ht="30" customHeight="1">
      <c r="A302" s="42">
        <v>258</v>
      </c>
      <c r="B302" s="43" t="s">
        <v>345</v>
      </c>
      <c r="C302" s="42"/>
      <c r="D302" s="43"/>
      <c r="E302" s="43" t="s">
        <v>435</v>
      </c>
      <c r="F302" s="43" t="s">
        <v>35</v>
      </c>
      <c r="G302" s="44"/>
      <c r="H302" s="44"/>
      <c r="I302" s="44"/>
      <c r="J302" s="44"/>
      <c r="K302" s="44"/>
      <c r="L302" s="44"/>
      <c r="M302" s="44"/>
      <c r="N302" s="44"/>
      <c r="O302" s="45"/>
      <c r="P302" s="40"/>
    </row>
    <row r="303" spans="1:16" s="41" customFormat="1" ht="30" customHeight="1">
      <c r="A303" s="34">
        <v>259</v>
      </c>
      <c r="B303" s="35" t="s">
        <v>346</v>
      </c>
      <c r="C303" s="34"/>
      <c r="D303" s="35"/>
      <c r="E303" s="35" t="s">
        <v>435</v>
      </c>
      <c r="F303" s="35" t="s">
        <v>35</v>
      </c>
      <c r="G303" s="46"/>
      <c r="H303" s="44"/>
      <c r="I303" s="44"/>
      <c r="J303" s="46"/>
      <c r="K303" s="44"/>
      <c r="L303" s="44"/>
      <c r="M303" s="44"/>
      <c r="N303" s="44"/>
      <c r="O303" s="45"/>
      <c r="P303" s="40"/>
    </row>
    <row r="304" spans="1:16" s="41" customFormat="1" ht="43.5" customHeight="1">
      <c r="A304" s="48">
        <v>260</v>
      </c>
      <c r="B304" s="49" t="s">
        <v>347</v>
      </c>
      <c r="C304" s="48" t="s">
        <v>426</v>
      </c>
      <c r="D304" s="49"/>
      <c r="E304" s="49" t="s">
        <v>435</v>
      </c>
      <c r="F304" s="49" t="s">
        <v>235</v>
      </c>
      <c r="G304" s="38"/>
      <c r="H304" s="44"/>
      <c r="I304" s="44"/>
      <c r="J304" s="38"/>
      <c r="K304" s="44"/>
      <c r="L304" s="44"/>
      <c r="M304" s="44"/>
      <c r="N304" s="44"/>
      <c r="O304" s="45"/>
      <c r="P304" s="40"/>
    </row>
    <row r="305" spans="1:16" s="41" customFormat="1" ht="30" customHeight="1">
      <c r="A305" s="34">
        <v>261</v>
      </c>
      <c r="B305" s="35" t="s">
        <v>348</v>
      </c>
      <c r="C305" s="34"/>
      <c r="D305" s="35" t="s">
        <v>299</v>
      </c>
      <c r="E305" s="35" t="s">
        <v>435</v>
      </c>
      <c r="F305" s="35" t="s">
        <v>235</v>
      </c>
      <c r="G305" s="46"/>
      <c r="H305" s="44"/>
      <c r="I305" s="44"/>
      <c r="J305" s="46"/>
      <c r="K305" s="44"/>
      <c r="L305" s="44"/>
      <c r="M305" s="44"/>
      <c r="N305" s="44"/>
      <c r="O305" s="45"/>
      <c r="P305" s="40"/>
    </row>
    <row r="306" spans="1:16" s="41" customFormat="1" ht="42" customHeight="1">
      <c r="A306" s="42">
        <v>262</v>
      </c>
      <c r="B306" s="43" t="s">
        <v>349</v>
      </c>
      <c r="C306" s="42"/>
      <c r="D306" s="43" t="s">
        <v>299</v>
      </c>
      <c r="E306" s="43" t="s">
        <v>435</v>
      </c>
      <c r="F306" s="43" t="s">
        <v>235</v>
      </c>
      <c r="G306" s="44"/>
      <c r="H306" s="44"/>
      <c r="I306" s="44"/>
      <c r="J306" s="44"/>
      <c r="K306" s="44"/>
      <c r="L306" s="44"/>
      <c r="M306" s="44"/>
      <c r="N306" s="44"/>
      <c r="O306" s="45"/>
      <c r="P306" s="40"/>
    </row>
    <row r="307" spans="1:16" s="41" customFormat="1" ht="30" customHeight="1">
      <c r="A307" s="34">
        <v>263</v>
      </c>
      <c r="B307" s="35" t="s">
        <v>350</v>
      </c>
      <c r="C307" s="34"/>
      <c r="D307" s="35" t="s">
        <v>299</v>
      </c>
      <c r="E307" s="35" t="s">
        <v>435</v>
      </c>
      <c r="F307" s="35" t="s">
        <v>235</v>
      </c>
      <c r="G307" s="46"/>
      <c r="H307" s="44"/>
      <c r="I307" s="44"/>
      <c r="J307" s="46"/>
      <c r="K307" s="44"/>
      <c r="L307" s="44"/>
      <c r="M307" s="44"/>
      <c r="N307" s="44"/>
      <c r="O307" s="45"/>
      <c r="P307" s="40"/>
    </row>
    <row r="308" spans="1:16" s="41" customFormat="1" ht="30" customHeight="1">
      <c r="A308" s="42">
        <v>264</v>
      </c>
      <c r="B308" s="43" t="s">
        <v>351</v>
      </c>
      <c r="C308" s="42"/>
      <c r="D308" s="43"/>
      <c r="E308" s="43" t="s">
        <v>435</v>
      </c>
      <c r="F308" s="43" t="s">
        <v>35</v>
      </c>
      <c r="G308" s="44"/>
      <c r="H308" s="44"/>
      <c r="I308" s="44"/>
      <c r="J308" s="44"/>
      <c r="K308" s="44"/>
      <c r="L308" s="44"/>
      <c r="M308" s="44"/>
      <c r="N308" s="44"/>
      <c r="O308" s="45"/>
      <c r="P308" s="40"/>
    </row>
    <row r="309" spans="1:16" s="41" customFormat="1" ht="30" customHeight="1">
      <c r="A309" s="34">
        <v>265</v>
      </c>
      <c r="B309" s="35" t="s">
        <v>352</v>
      </c>
      <c r="C309" s="34"/>
      <c r="D309" s="35"/>
      <c r="E309" s="35" t="s">
        <v>435</v>
      </c>
      <c r="F309" s="35" t="s">
        <v>235</v>
      </c>
      <c r="G309" s="46"/>
      <c r="H309" s="44"/>
      <c r="I309" s="44"/>
      <c r="J309" s="46"/>
      <c r="K309" s="44"/>
      <c r="L309" s="44"/>
      <c r="M309" s="44"/>
      <c r="N309" s="44"/>
      <c r="O309" s="45"/>
      <c r="P309" s="40"/>
    </row>
    <row r="310" spans="1:16" s="41" customFormat="1" ht="30" customHeight="1">
      <c r="A310" s="42">
        <v>266</v>
      </c>
      <c r="B310" s="43" t="s">
        <v>353</v>
      </c>
      <c r="C310" s="42"/>
      <c r="D310" s="43"/>
      <c r="E310" s="43" t="s">
        <v>435</v>
      </c>
      <c r="F310" s="43" t="s">
        <v>235</v>
      </c>
      <c r="G310" s="44"/>
      <c r="H310" s="44"/>
      <c r="I310" s="44"/>
      <c r="J310" s="44"/>
      <c r="K310" s="44"/>
      <c r="L310" s="44"/>
      <c r="M310" s="44"/>
      <c r="N310" s="44"/>
      <c r="O310" s="45"/>
      <c r="P310" s="40"/>
    </row>
    <row r="311" spans="1:16" s="41" customFormat="1" ht="30" customHeight="1">
      <c r="A311" s="34">
        <v>267</v>
      </c>
      <c r="B311" s="35" t="s">
        <v>354</v>
      </c>
      <c r="C311" s="34"/>
      <c r="D311" s="35"/>
      <c r="E311" s="35" t="s">
        <v>435</v>
      </c>
      <c r="F311" s="35" t="s">
        <v>355</v>
      </c>
      <c r="G311" s="46"/>
      <c r="H311" s="44"/>
      <c r="I311" s="44"/>
      <c r="J311" s="46"/>
      <c r="K311" s="44"/>
      <c r="L311" s="44"/>
      <c r="M311" s="44"/>
      <c r="N311" s="44"/>
      <c r="O311" s="45"/>
      <c r="P311" s="40"/>
    </row>
    <row r="312" spans="1:16" s="41" customFormat="1" ht="30" customHeight="1">
      <c r="A312" s="42">
        <v>268</v>
      </c>
      <c r="B312" s="43" t="s">
        <v>25</v>
      </c>
      <c r="C312" s="42"/>
      <c r="D312" s="43"/>
      <c r="E312" s="43" t="s">
        <v>435</v>
      </c>
      <c r="F312" s="43" t="s">
        <v>355</v>
      </c>
      <c r="G312" s="44"/>
      <c r="H312" s="44"/>
      <c r="I312" s="44"/>
      <c r="J312" s="44"/>
      <c r="K312" s="44"/>
      <c r="L312" s="44"/>
      <c r="M312" s="44"/>
      <c r="N312" s="44"/>
      <c r="O312" s="45"/>
      <c r="P312" s="40"/>
    </row>
    <row r="313" spans="1:16" s="41" customFormat="1" ht="30" customHeight="1">
      <c r="A313" s="34">
        <v>269</v>
      </c>
      <c r="B313" s="35" t="s">
        <v>356</v>
      </c>
      <c r="C313" s="34"/>
      <c r="D313" s="35"/>
      <c r="E313" s="35" t="s">
        <v>435</v>
      </c>
      <c r="F313" s="35" t="s">
        <v>355</v>
      </c>
      <c r="G313" s="46"/>
      <c r="H313" s="44"/>
      <c r="I313" s="44"/>
      <c r="J313" s="46"/>
      <c r="K313" s="44"/>
      <c r="L313" s="44"/>
      <c r="M313" s="44"/>
      <c r="N313" s="44"/>
      <c r="O313" s="45"/>
      <c r="P313" s="40"/>
    </row>
    <row r="314" spans="1:16" s="41" customFormat="1" ht="30" customHeight="1">
      <c r="A314" s="42">
        <v>270</v>
      </c>
      <c r="B314" s="43" t="s">
        <v>357</v>
      </c>
      <c r="C314" s="42"/>
      <c r="D314" s="43"/>
      <c r="E314" s="43" t="s">
        <v>435</v>
      </c>
      <c r="F314" s="43" t="s">
        <v>355</v>
      </c>
      <c r="G314" s="44"/>
      <c r="H314" s="44"/>
      <c r="I314" s="44"/>
      <c r="J314" s="44"/>
      <c r="K314" s="44"/>
      <c r="L314" s="44"/>
      <c r="M314" s="44"/>
      <c r="N314" s="44"/>
      <c r="O314" s="45"/>
      <c r="P314" s="40"/>
    </row>
    <row r="315" spans="1:16" s="41" customFormat="1" ht="30" customHeight="1">
      <c r="A315" s="34">
        <v>271</v>
      </c>
      <c r="B315" s="35" t="s">
        <v>358</v>
      </c>
      <c r="C315" s="34"/>
      <c r="D315" s="35"/>
      <c r="E315" s="35" t="s">
        <v>435</v>
      </c>
      <c r="F315" s="35" t="s">
        <v>355</v>
      </c>
      <c r="G315" s="46"/>
      <c r="H315" s="44"/>
      <c r="I315" s="44"/>
      <c r="J315" s="46"/>
      <c r="K315" s="44"/>
      <c r="L315" s="44"/>
      <c r="M315" s="44"/>
      <c r="N315" s="44"/>
      <c r="O315" s="45"/>
      <c r="P315" s="40"/>
    </row>
    <row r="316" spans="1:16" s="41" customFormat="1" ht="30" customHeight="1">
      <c r="A316" s="42">
        <v>272</v>
      </c>
      <c r="B316" s="43" t="s">
        <v>359</v>
      </c>
      <c r="C316" s="42"/>
      <c r="D316" s="43"/>
      <c r="E316" s="43" t="s">
        <v>435</v>
      </c>
      <c r="F316" s="43" t="s">
        <v>355</v>
      </c>
      <c r="G316" s="44"/>
      <c r="H316" s="44"/>
      <c r="I316" s="44"/>
      <c r="J316" s="44"/>
      <c r="K316" s="44"/>
      <c r="L316" s="44"/>
      <c r="M316" s="44"/>
      <c r="N316" s="44"/>
      <c r="O316" s="45"/>
      <c r="P316" s="40"/>
    </row>
    <row r="317" spans="1:16" s="41" customFormat="1" ht="41.25" customHeight="1">
      <c r="A317" s="34">
        <v>273</v>
      </c>
      <c r="B317" s="35" t="s">
        <v>360</v>
      </c>
      <c r="C317" s="34"/>
      <c r="D317" s="35"/>
      <c r="E317" s="35" t="s">
        <v>435</v>
      </c>
      <c r="F317" s="35" t="s">
        <v>355</v>
      </c>
      <c r="G317" s="46"/>
      <c r="H317" s="44"/>
      <c r="I317" s="44"/>
      <c r="J317" s="46"/>
      <c r="K317" s="44"/>
      <c r="L317" s="44"/>
      <c r="M317" s="44"/>
      <c r="N317" s="44"/>
      <c r="O317" s="45"/>
      <c r="P317" s="40"/>
    </row>
    <row r="318" spans="1:16" s="41" customFormat="1" ht="30" customHeight="1">
      <c r="A318" s="42">
        <v>274</v>
      </c>
      <c r="B318" s="43" t="s">
        <v>361</v>
      </c>
      <c r="C318" s="42"/>
      <c r="D318" s="43"/>
      <c r="E318" s="43" t="s">
        <v>435</v>
      </c>
      <c r="F318" s="43" t="s">
        <v>355</v>
      </c>
      <c r="G318" s="44"/>
      <c r="H318" s="44"/>
      <c r="I318" s="44"/>
      <c r="J318" s="44"/>
      <c r="K318" s="44"/>
      <c r="L318" s="44"/>
      <c r="M318" s="44"/>
      <c r="N318" s="44"/>
      <c r="O318" s="45"/>
      <c r="P318" s="40"/>
    </row>
    <row r="319" spans="1:16" s="41" customFormat="1" ht="30" customHeight="1">
      <c r="A319" s="34">
        <v>275</v>
      </c>
      <c r="B319" s="35" t="s">
        <v>362</v>
      </c>
      <c r="C319" s="34"/>
      <c r="D319" s="35"/>
      <c r="E319" s="35" t="s">
        <v>435</v>
      </c>
      <c r="F319" s="35" t="s">
        <v>355</v>
      </c>
      <c r="G319" s="46"/>
      <c r="H319" s="44"/>
      <c r="I319" s="44"/>
      <c r="J319" s="46"/>
      <c r="K319" s="44"/>
      <c r="L319" s="44"/>
      <c r="M319" s="44"/>
      <c r="N319" s="44"/>
      <c r="O319" s="45"/>
      <c r="P319" s="40"/>
    </row>
    <row r="320" spans="1:16" s="41" customFormat="1" ht="30" customHeight="1">
      <c r="A320" s="42">
        <v>276</v>
      </c>
      <c r="B320" s="43" t="s">
        <v>363</v>
      </c>
      <c r="C320" s="42"/>
      <c r="D320" s="43"/>
      <c r="E320" s="43" t="s">
        <v>435</v>
      </c>
      <c r="F320" s="43" t="s">
        <v>355</v>
      </c>
      <c r="G320" s="44"/>
      <c r="H320" s="44"/>
      <c r="I320" s="44"/>
      <c r="J320" s="44"/>
      <c r="K320" s="44"/>
      <c r="L320" s="44"/>
      <c r="M320" s="44"/>
      <c r="N320" s="44"/>
      <c r="O320" s="45"/>
      <c r="P320" s="40"/>
    </row>
    <row r="321" spans="1:16" s="41" customFormat="1" ht="30" customHeight="1">
      <c r="A321" s="34">
        <v>277</v>
      </c>
      <c r="B321" s="35" t="s">
        <v>364</v>
      </c>
      <c r="C321" s="34"/>
      <c r="D321" s="35"/>
      <c r="E321" s="35" t="s">
        <v>435</v>
      </c>
      <c r="F321" s="35" t="s">
        <v>355</v>
      </c>
      <c r="G321" s="46"/>
      <c r="H321" s="44"/>
      <c r="I321" s="44"/>
      <c r="J321" s="46"/>
      <c r="K321" s="44"/>
      <c r="L321" s="44"/>
      <c r="M321" s="44"/>
      <c r="N321" s="44"/>
      <c r="O321" s="45"/>
      <c r="P321" s="40"/>
    </row>
    <row r="322" spans="1:16" s="41" customFormat="1" ht="30" customHeight="1">
      <c r="A322" s="42">
        <v>278</v>
      </c>
      <c r="B322" s="43" t="s">
        <v>365</v>
      </c>
      <c r="C322" s="42"/>
      <c r="D322" s="43"/>
      <c r="E322" s="43" t="s">
        <v>435</v>
      </c>
      <c r="F322" s="43" t="s">
        <v>355</v>
      </c>
      <c r="G322" s="44"/>
      <c r="H322" s="44"/>
      <c r="I322" s="44"/>
      <c r="J322" s="44"/>
      <c r="K322" s="44"/>
      <c r="L322" s="44"/>
      <c r="M322" s="44"/>
      <c r="N322" s="44"/>
      <c r="O322" s="45"/>
      <c r="P322" s="40"/>
    </row>
    <row r="323" spans="1:16" s="41" customFormat="1" ht="30" customHeight="1">
      <c r="A323" s="34">
        <v>279</v>
      </c>
      <c r="B323" s="35" t="s">
        <v>366</v>
      </c>
      <c r="C323" s="34"/>
      <c r="D323" s="35"/>
      <c r="E323" s="35" t="s">
        <v>435</v>
      </c>
      <c r="F323" s="35" t="s">
        <v>355</v>
      </c>
      <c r="G323" s="46"/>
      <c r="H323" s="44"/>
      <c r="I323" s="44"/>
      <c r="J323" s="46"/>
      <c r="K323" s="44"/>
      <c r="L323" s="44"/>
      <c r="M323" s="44"/>
      <c r="N323" s="44"/>
      <c r="O323" s="45"/>
      <c r="P323" s="40"/>
    </row>
    <row r="324" spans="1:16" s="41" customFormat="1" ht="30" customHeight="1">
      <c r="A324" s="42">
        <v>280</v>
      </c>
      <c r="B324" s="43" t="s">
        <v>367</v>
      </c>
      <c r="C324" s="42"/>
      <c r="D324" s="43"/>
      <c r="E324" s="43" t="s">
        <v>435</v>
      </c>
      <c r="F324" s="43" t="s">
        <v>355</v>
      </c>
      <c r="G324" s="44"/>
      <c r="H324" s="44"/>
      <c r="I324" s="44"/>
      <c r="J324" s="44"/>
      <c r="K324" s="44"/>
      <c r="L324" s="44"/>
      <c r="M324" s="44"/>
      <c r="N324" s="44"/>
      <c r="O324" s="45"/>
      <c r="P324" s="40"/>
    </row>
    <row r="325" spans="1:16" s="41" customFormat="1" ht="30" customHeight="1">
      <c r="A325" s="34">
        <v>281</v>
      </c>
      <c r="B325" s="35" t="s">
        <v>368</v>
      </c>
      <c r="C325" s="34"/>
      <c r="D325" s="35"/>
      <c r="E325" s="35" t="s">
        <v>435</v>
      </c>
      <c r="F325" s="35" t="s">
        <v>355</v>
      </c>
      <c r="G325" s="46"/>
      <c r="H325" s="44"/>
      <c r="I325" s="44"/>
      <c r="J325" s="46"/>
      <c r="K325" s="44"/>
      <c r="L325" s="44"/>
      <c r="M325" s="44"/>
      <c r="N325" s="44"/>
      <c r="O325" s="45"/>
      <c r="P325" s="40"/>
    </row>
    <row r="326" spans="1:16" s="41" customFormat="1" ht="30" customHeight="1">
      <c r="A326" s="42">
        <v>282</v>
      </c>
      <c r="B326" s="43" t="s">
        <v>369</v>
      </c>
      <c r="C326" s="42"/>
      <c r="D326" s="43"/>
      <c r="E326" s="43" t="s">
        <v>435</v>
      </c>
      <c r="F326" s="43" t="s">
        <v>355</v>
      </c>
      <c r="G326" s="44"/>
      <c r="H326" s="44"/>
      <c r="I326" s="44"/>
      <c r="J326" s="44"/>
      <c r="K326" s="44"/>
      <c r="L326" s="44"/>
      <c r="M326" s="44"/>
      <c r="N326" s="44"/>
      <c r="O326" s="45"/>
      <c r="P326" s="40"/>
    </row>
    <row r="327" spans="1:16" s="41" customFormat="1" ht="30" customHeight="1">
      <c r="A327" s="34">
        <v>283</v>
      </c>
      <c r="B327" s="35" t="s">
        <v>370</v>
      </c>
      <c r="C327" s="34"/>
      <c r="D327" s="35"/>
      <c r="E327" s="35" t="s">
        <v>435</v>
      </c>
      <c r="F327" s="35" t="s">
        <v>355</v>
      </c>
      <c r="G327" s="46"/>
      <c r="H327" s="44"/>
      <c r="I327" s="44"/>
      <c r="J327" s="46"/>
      <c r="K327" s="44"/>
      <c r="L327" s="44"/>
      <c r="M327" s="44"/>
      <c r="N327" s="44"/>
      <c r="O327" s="45"/>
      <c r="P327" s="40"/>
    </row>
    <row r="328" spans="1:16" s="41" customFormat="1" ht="30" customHeight="1">
      <c r="A328" s="42">
        <v>284</v>
      </c>
      <c r="B328" s="43" t="s">
        <v>371</v>
      </c>
      <c r="C328" s="42"/>
      <c r="D328" s="43"/>
      <c r="E328" s="43" t="s">
        <v>435</v>
      </c>
      <c r="F328" s="43" t="s">
        <v>355</v>
      </c>
      <c r="G328" s="44"/>
      <c r="H328" s="44"/>
      <c r="I328" s="44"/>
      <c r="J328" s="44"/>
      <c r="K328" s="44"/>
      <c r="L328" s="44"/>
      <c r="M328" s="44"/>
      <c r="N328" s="44"/>
      <c r="O328" s="45"/>
      <c r="P328" s="40"/>
    </row>
    <row r="329" spans="1:16" s="41" customFormat="1" ht="30" customHeight="1">
      <c r="A329" s="34">
        <v>285</v>
      </c>
      <c r="B329" s="35" t="s">
        <v>372</v>
      </c>
      <c r="C329" s="34"/>
      <c r="D329" s="35"/>
      <c r="E329" s="35" t="s">
        <v>435</v>
      </c>
      <c r="F329" s="35" t="s">
        <v>355</v>
      </c>
      <c r="G329" s="46"/>
      <c r="H329" s="44"/>
      <c r="I329" s="44"/>
      <c r="J329" s="46"/>
      <c r="K329" s="44"/>
      <c r="L329" s="44"/>
      <c r="M329" s="44"/>
      <c r="N329" s="44"/>
      <c r="O329" s="45"/>
      <c r="P329" s="40"/>
    </row>
    <row r="330" spans="1:16" s="41" customFormat="1" ht="30" customHeight="1">
      <c r="A330" s="42">
        <v>286</v>
      </c>
      <c r="B330" s="43" t="s">
        <v>373</v>
      </c>
      <c r="C330" s="42"/>
      <c r="D330" s="43"/>
      <c r="E330" s="43" t="s">
        <v>435</v>
      </c>
      <c r="F330" s="43" t="s">
        <v>355</v>
      </c>
      <c r="G330" s="44"/>
      <c r="H330" s="44"/>
      <c r="I330" s="44"/>
      <c r="J330" s="44"/>
      <c r="K330" s="44"/>
      <c r="L330" s="44"/>
      <c r="M330" s="44"/>
      <c r="N330" s="44"/>
      <c r="O330" s="45"/>
      <c r="P330" s="40"/>
    </row>
    <row r="331" spans="1:16" s="41" customFormat="1" ht="30" customHeight="1">
      <c r="A331" s="34">
        <v>287</v>
      </c>
      <c r="B331" s="35" t="s">
        <v>374</v>
      </c>
      <c r="C331" s="34"/>
      <c r="D331" s="35"/>
      <c r="E331" s="35" t="s">
        <v>435</v>
      </c>
      <c r="F331" s="35" t="s">
        <v>355</v>
      </c>
      <c r="G331" s="46"/>
      <c r="H331" s="44"/>
      <c r="I331" s="44"/>
      <c r="J331" s="46"/>
      <c r="K331" s="44"/>
      <c r="L331" s="44"/>
      <c r="M331" s="44"/>
      <c r="N331" s="44"/>
      <c r="O331" s="45"/>
      <c r="P331" s="40"/>
    </row>
    <row r="332" spans="1:16" s="41" customFormat="1" ht="30" customHeight="1">
      <c r="A332" s="42">
        <v>288</v>
      </c>
      <c r="B332" s="43" t="s">
        <v>375</v>
      </c>
      <c r="C332" s="42"/>
      <c r="D332" s="43"/>
      <c r="E332" s="43" t="s">
        <v>435</v>
      </c>
      <c r="F332" s="43" t="s">
        <v>355</v>
      </c>
      <c r="G332" s="44"/>
      <c r="H332" s="44"/>
      <c r="I332" s="44"/>
      <c r="J332" s="44"/>
      <c r="K332" s="44"/>
      <c r="L332" s="44"/>
      <c r="M332" s="44"/>
      <c r="N332" s="44"/>
      <c r="O332" s="45"/>
      <c r="P332" s="40"/>
    </row>
    <row r="333" spans="1:16" s="41" customFormat="1" ht="30" customHeight="1">
      <c r="A333" s="34">
        <v>289</v>
      </c>
      <c r="B333" s="35" t="s">
        <v>376</v>
      </c>
      <c r="C333" s="34"/>
      <c r="D333" s="35"/>
      <c r="E333" s="35" t="s">
        <v>435</v>
      </c>
      <c r="F333" s="35" t="s">
        <v>355</v>
      </c>
      <c r="G333" s="46"/>
      <c r="H333" s="44"/>
      <c r="I333" s="44"/>
      <c r="J333" s="46"/>
      <c r="K333" s="44"/>
      <c r="L333" s="44"/>
      <c r="M333" s="44"/>
      <c r="N333" s="44"/>
      <c r="O333" s="45"/>
      <c r="P333" s="40"/>
    </row>
    <row r="334" spans="1:16" s="41" customFormat="1" ht="30" customHeight="1">
      <c r="A334" s="42">
        <v>290</v>
      </c>
      <c r="B334" s="43" t="s">
        <v>377</v>
      </c>
      <c r="C334" s="42"/>
      <c r="D334" s="43"/>
      <c r="E334" s="43" t="s">
        <v>435</v>
      </c>
      <c r="F334" s="43" t="s">
        <v>355</v>
      </c>
      <c r="G334" s="44"/>
      <c r="H334" s="44"/>
      <c r="I334" s="44"/>
      <c r="J334" s="44"/>
      <c r="K334" s="44"/>
      <c r="L334" s="44"/>
      <c r="M334" s="44"/>
      <c r="N334" s="44"/>
      <c r="O334" s="45"/>
      <c r="P334" s="40"/>
    </row>
    <row r="335" spans="1:16" s="41" customFormat="1" ht="30" customHeight="1">
      <c r="A335" s="34">
        <v>291</v>
      </c>
      <c r="B335" s="35" t="s">
        <v>378</v>
      </c>
      <c r="C335" s="34"/>
      <c r="D335" s="35"/>
      <c r="E335" s="35" t="s">
        <v>435</v>
      </c>
      <c r="F335" s="35" t="s">
        <v>355</v>
      </c>
      <c r="G335" s="46"/>
      <c r="H335" s="44"/>
      <c r="I335" s="44"/>
      <c r="J335" s="46"/>
      <c r="K335" s="44"/>
      <c r="L335" s="44"/>
      <c r="M335" s="44"/>
      <c r="N335" s="44"/>
      <c r="O335" s="45"/>
      <c r="P335" s="40"/>
    </row>
    <row r="336" spans="1:16" s="41" customFormat="1" ht="30" customHeight="1">
      <c r="A336" s="42">
        <v>292</v>
      </c>
      <c r="B336" s="43" t="s">
        <v>379</v>
      </c>
      <c r="C336" s="42"/>
      <c r="D336" s="43"/>
      <c r="E336" s="43" t="s">
        <v>435</v>
      </c>
      <c r="F336" s="43" t="s">
        <v>355</v>
      </c>
      <c r="G336" s="44"/>
      <c r="H336" s="44"/>
      <c r="I336" s="44"/>
      <c r="J336" s="44"/>
      <c r="K336" s="44"/>
      <c r="L336" s="44"/>
      <c r="M336" s="44"/>
      <c r="N336" s="44"/>
      <c r="O336" s="45"/>
      <c r="P336" s="40"/>
    </row>
    <row r="337" spans="1:16" s="41" customFormat="1" ht="30" customHeight="1">
      <c r="A337" s="34">
        <v>293</v>
      </c>
      <c r="B337" s="35" t="s">
        <v>380</v>
      </c>
      <c r="C337" s="34"/>
      <c r="D337" s="35"/>
      <c r="E337" s="35" t="s">
        <v>435</v>
      </c>
      <c r="F337" s="35" t="s">
        <v>355</v>
      </c>
      <c r="G337" s="46"/>
      <c r="H337" s="44"/>
      <c r="I337" s="44"/>
      <c r="J337" s="46"/>
      <c r="K337" s="44"/>
      <c r="L337" s="44"/>
      <c r="M337" s="44"/>
      <c r="N337" s="44"/>
      <c r="O337" s="45"/>
      <c r="P337" s="40"/>
    </row>
    <row r="338" spans="1:16" s="41" customFormat="1" ht="30" customHeight="1">
      <c r="A338" s="42">
        <v>294</v>
      </c>
      <c r="B338" s="43" t="s">
        <v>381</v>
      </c>
      <c r="C338" s="42"/>
      <c r="D338" s="43"/>
      <c r="E338" s="43" t="s">
        <v>435</v>
      </c>
      <c r="F338" s="43" t="s">
        <v>355</v>
      </c>
      <c r="G338" s="44"/>
      <c r="H338" s="44"/>
      <c r="I338" s="44"/>
      <c r="J338" s="44"/>
      <c r="K338" s="44"/>
      <c r="L338" s="44"/>
      <c r="M338" s="44"/>
      <c r="N338" s="44"/>
      <c r="O338" s="45"/>
      <c r="P338" s="40"/>
    </row>
    <row r="339" spans="1:16" s="41" customFormat="1" ht="30" customHeight="1">
      <c r="A339" s="34">
        <v>295</v>
      </c>
      <c r="B339" s="35" t="s">
        <v>93</v>
      </c>
      <c r="C339" s="34"/>
      <c r="D339" s="35"/>
      <c r="E339" s="35" t="s">
        <v>435</v>
      </c>
      <c r="F339" s="35" t="s">
        <v>355</v>
      </c>
      <c r="G339" s="46"/>
      <c r="H339" s="44"/>
      <c r="I339" s="44"/>
      <c r="J339" s="46"/>
      <c r="K339" s="44"/>
      <c r="L339" s="44"/>
      <c r="M339" s="44"/>
      <c r="N339" s="44"/>
      <c r="O339" s="45"/>
      <c r="P339" s="40"/>
    </row>
    <row r="340" spans="1:16" s="41" customFormat="1" ht="30" customHeight="1">
      <c r="A340" s="42">
        <v>296</v>
      </c>
      <c r="B340" s="43" t="s">
        <v>382</v>
      </c>
      <c r="C340" s="42"/>
      <c r="D340" s="43"/>
      <c r="E340" s="43" t="s">
        <v>435</v>
      </c>
      <c r="F340" s="43" t="s">
        <v>355</v>
      </c>
      <c r="G340" s="44"/>
      <c r="H340" s="44"/>
      <c r="I340" s="44"/>
      <c r="J340" s="44"/>
      <c r="K340" s="44"/>
      <c r="L340" s="44"/>
      <c r="M340" s="44"/>
      <c r="N340" s="44"/>
      <c r="O340" s="45"/>
      <c r="P340" s="40"/>
    </row>
    <row r="341" spans="1:16" s="41" customFormat="1" ht="30" customHeight="1">
      <c r="A341" s="34">
        <v>297</v>
      </c>
      <c r="B341" s="35" t="s">
        <v>383</v>
      </c>
      <c r="C341" s="34"/>
      <c r="D341" s="35"/>
      <c r="E341" s="35" t="s">
        <v>435</v>
      </c>
      <c r="F341" s="35" t="s">
        <v>13</v>
      </c>
      <c r="G341" s="46"/>
      <c r="H341" s="44"/>
      <c r="I341" s="44"/>
      <c r="J341" s="46"/>
      <c r="K341" s="44"/>
      <c r="L341" s="44"/>
      <c r="M341" s="44"/>
      <c r="N341" s="44"/>
      <c r="O341" s="45"/>
      <c r="P341" s="40"/>
    </row>
    <row r="342" spans="1:16" s="41" customFormat="1" ht="30" customHeight="1">
      <c r="A342" s="42">
        <v>298</v>
      </c>
      <c r="B342" s="43" t="s">
        <v>384</v>
      </c>
      <c r="C342" s="42"/>
      <c r="D342" s="43"/>
      <c r="E342" s="43" t="s">
        <v>435</v>
      </c>
      <c r="F342" s="43" t="s">
        <v>35</v>
      </c>
      <c r="G342" s="44"/>
      <c r="H342" s="44"/>
      <c r="I342" s="44"/>
      <c r="J342" s="44"/>
      <c r="K342" s="44"/>
      <c r="L342" s="44"/>
      <c r="M342" s="44"/>
      <c r="N342" s="44"/>
      <c r="O342" s="45"/>
      <c r="P342" s="40"/>
    </row>
    <row r="343" spans="1:16" s="41" customFormat="1" ht="30" customHeight="1">
      <c r="A343" s="34">
        <v>299</v>
      </c>
      <c r="B343" s="35" t="s">
        <v>385</v>
      </c>
      <c r="C343" s="34"/>
      <c r="D343" s="35"/>
      <c r="E343" s="35" t="s">
        <v>435</v>
      </c>
      <c r="F343" s="35" t="s">
        <v>13</v>
      </c>
      <c r="G343" s="46"/>
      <c r="H343" s="44"/>
      <c r="I343" s="44"/>
      <c r="J343" s="46"/>
      <c r="K343" s="44"/>
      <c r="L343" s="44"/>
      <c r="M343" s="44"/>
      <c r="N343" s="44"/>
      <c r="O343" s="45"/>
      <c r="P343" s="40"/>
    </row>
    <row r="344" spans="1:16" s="41" customFormat="1" ht="30" customHeight="1">
      <c r="A344" s="42">
        <v>300</v>
      </c>
      <c r="B344" s="43" t="s">
        <v>386</v>
      </c>
      <c r="C344" s="42"/>
      <c r="D344" s="43"/>
      <c r="E344" s="43" t="s">
        <v>435</v>
      </c>
      <c r="F344" s="43" t="s">
        <v>13</v>
      </c>
      <c r="G344" s="44"/>
      <c r="H344" s="44"/>
      <c r="I344" s="44"/>
      <c r="J344" s="44"/>
      <c r="K344" s="44"/>
      <c r="L344" s="44"/>
      <c r="M344" s="44"/>
      <c r="N344" s="44"/>
      <c r="O344" s="45"/>
      <c r="P344" s="40"/>
    </row>
    <row r="345" spans="1:16" s="41" customFormat="1" ht="30" customHeight="1">
      <c r="A345" s="34">
        <v>301</v>
      </c>
      <c r="B345" s="35" t="s">
        <v>387</v>
      </c>
      <c r="C345" s="34"/>
      <c r="D345" s="35"/>
      <c r="E345" s="35" t="s">
        <v>435</v>
      </c>
      <c r="F345" s="35" t="s">
        <v>13</v>
      </c>
      <c r="G345" s="46"/>
      <c r="H345" s="44"/>
      <c r="I345" s="44"/>
      <c r="J345" s="46"/>
      <c r="K345" s="44"/>
      <c r="L345" s="44"/>
      <c r="M345" s="44"/>
      <c r="N345" s="44"/>
      <c r="O345" s="45"/>
      <c r="P345" s="40"/>
    </row>
    <row r="346" spans="1:16" s="41" customFormat="1" ht="30" customHeight="1">
      <c r="A346" s="42">
        <v>302</v>
      </c>
      <c r="B346" s="43" t="s">
        <v>388</v>
      </c>
      <c r="C346" s="42"/>
      <c r="D346" s="43"/>
      <c r="E346" s="43" t="s">
        <v>435</v>
      </c>
      <c r="F346" s="43" t="s">
        <v>13</v>
      </c>
      <c r="G346" s="44"/>
      <c r="H346" s="44"/>
      <c r="I346" s="44"/>
      <c r="J346" s="44"/>
      <c r="K346" s="44"/>
      <c r="L346" s="44"/>
      <c r="M346" s="44"/>
      <c r="N346" s="44"/>
      <c r="O346" s="45"/>
      <c r="P346" s="40"/>
    </row>
    <row r="347" spans="1:16" s="41" customFormat="1" ht="30" customHeight="1">
      <c r="A347" s="34">
        <v>303</v>
      </c>
      <c r="B347" s="35" t="s">
        <v>389</v>
      </c>
      <c r="C347" s="34"/>
      <c r="D347" s="35"/>
      <c r="E347" s="35" t="s">
        <v>435</v>
      </c>
      <c r="F347" s="35" t="s">
        <v>13</v>
      </c>
      <c r="G347" s="46"/>
      <c r="H347" s="44"/>
      <c r="I347" s="44"/>
      <c r="J347" s="46"/>
      <c r="K347" s="44"/>
      <c r="L347" s="44"/>
      <c r="M347" s="44"/>
      <c r="N347" s="44"/>
      <c r="O347" s="45"/>
      <c r="P347" s="40"/>
    </row>
    <row r="348" spans="1:16" s="41" customFormat="1" ht="30" customHeight="1">
      <c r="A348" s="42">
        <v>304</v>
      </c>
      <c r="B348" s="43" t="s">
        <v>390</v>
      </c>
      <c r="C348" s="42"/>
      <c r="D348" s="43"/>
      <c r="E348" s="43" t="s">
        <v>435</v>
      </c>
      <c r="F348" s="43" t="s">
        <v>13</v>
      </c>
      <c r="G348" s="44"/>
      <c r="H348" s="44"/>
      <c r="I348" s="44"/>
      <c r="J348" s="44"/>
      <c r="K348" s="44"/>
      <c r="L348" s="44"/>
      <c r="M348" s="44"/>
      <c r="N348" s="44"/>
      <c r="O348" s="45"/>
      <c r="P348" s="40"/>
    </row>
    <row r="349" spans="1:16" s="41" customFormat="1" ht="30" customHeight="1">
      <c r="A349" s="34">
        <v>305</v>
      </c>
      <c r="B349" s="35" t="s">
        <v>391</v>
      </c>
      <c r="C349" s="34"/>
      <c r="D349" s="35"/>
      <c r="E349" s="35" t="s">
        <v>435</v>
      </c>
      <c r="F349" s="35" t="s">
        <v>13</v>
      </c>
      <c r="G349" s="46"/>
      <c r="H349" s="44"/>
      <c r="I349" s="44"/>
      <c r="J349" s="46"/>
      <c r="K349" s="44"/>
      <c r="L349" s="44"/>
      <c r="M349" s="44"/>
      <c r="N349" s="44"/>
      <c r="O349" s="45"/>
      <c r="P349" s="40"/>
    </row>
    <row r="350" spans="1:16" s="41" customFormat="1" ht="30" customHeight="1">
      <c r="A350" s="42">
        <v>306</v>
      </c>
      <c r="B350" s="43" t="s">
        <v>392</v>
      </c>
      <c r="C350" s="42"/>
      <c r="D350" s="43"/>
      <c r="E350" s="43" t="s">
        <v>435</v>
      </c>
      <c r="F350" s="43" t="s">
        <v>13</v>
      </c>
      <c r="G350" s="44"/>
      <c r="H350" s="44"/>
      <c r="I350" s="44"/>
      <c r="J350" s="44"/>
      <c r="K350" s="44"/>
      <c r="L350" s="44"/>
      <c r="M350" s="44"/>
      <c r="N350" s="44"/>
      <c r="O350" s="45"/>
      <c r="P350" s="40"/>
    </row>
    <row r="351" spans="1:16" s="41" customFormat="1" ht="30" customHeight="1">
      <c r="A351" s="34">
        <v>307</v>
      </c>
      <c r="B351" s="35" t="s">
        <v>393</v>
      </c>
      <c r="C351" s="34">
        <v>371</v>
      </c>
      <c r="D351" s="35"/>
      <c r="E351" s="35" t="s">
        <v>435</v>
      </c>
      <c r="F351" s="35" t="s">
        <v>13</v>
      </c>
      <c r="G351" s="46"/>
      <c r="H351" s="44"/>
      <c r="I351" s="44"/>
      <c r="J351" s="46"/>
      <c r="K351" s="44"/>
      <c r="L351" s="44"/>
      <c r="M351" s="44"/>
      <c r="N351" s="44"/>
      <c r="O351" s="45"/>
      <c r="P351" s="40"/>
    </row>
    <row r="352" spans="1:16" s="41" customFormat="1" ht="30" customHeight="1">
      <c r="A352" s="48">
        <v>308</v>
      </c>
      <c r="B352" s="49" t="s">
        <v>394</v>
      </c>
      <c r="C352" s="48" t="s">
        <v>427</v>
      </c>
      <c r="D352" s="49"/>
      <c r="E352" s="49" t="s">
        <v>435</v>
      </c>
      <c r="F352" s="49" t="s">
        <v>13</v>
      </c>
      <c r="G352" s="38"/>
      <c r="H352" s="44"/>
      <c r="I352" s="44"/>
      <c r="J352" s="38"/>
      <c r="K352" s="44"/>
      <c r="L352" s="44"/>
      <c r="M352" s="44"/>
      <c r="N352" s="44"/>
      <c r="O352" s="45"/>
      <c r="P352" s="40"/>
    </row>
    <row r="353" spans="1:16" s="41" customFormat="1" ht="30" customHeight="1">
      <c r="A353" s="34">
        <v>309</v>
      </c>
      <c r="B353" s="35" t="s">
        <v>395</v>
      </c>
      <c r="C353" s="34">
        <v>221</v>
      </c>
      <c r="D353" s="35"/>
      <c r="E353" s="35" t="s">
        <v>435</v>
      </c>
      <c r="F353" s="35" t="s">
        <v>13</v>
      </c>
      <c r="G353" s="46"/>
      <c r="H353" s="44"/>
      <c r="I353" s="44"/>
      <c r="J353" s="46"/>
      <c r="K353" s="44"/>
      <c r="L353" s="44"/>
      <c r="M353" s="44"/>
      <c r="N353" s="44"/>
      <c r="O353" s="45"/>
      <c r="P353" s="40"/>
    </row>
    <row r="354" spans="1:16" s="41" customFormat="1" ht="30" customHeight="1">
      <c r="A354" s="42">
        <v>310</v>
      </c>
      <c r="B354" s="43" t="s">
        <v>396</v>
      </c>
      <c r="C354" s="42"/>
      <c r="D354" s="43"/>
      <c r="E354" s="43" t="s">
        <v>435</v>
      </c>
      <c r="F354" s="43" t="s">
        <v>13</v>
      </c>
      <c r="G354" s="44"/>
      <c r="H354" s="44"/>
      <c r="I354" s="44"/>
      <c r="J354" s="44"/>
      <c r="K354" s="44"/>
      <c r="L354" s="44"/>
      <c r="M354" s="44"/>
      <c r="N354" s="44"/>
      <c r="O354" s="45"/>
      <c r="P354" s="40"/>
    </row>
    <row r="355" spans="1:16" s="41" customFormat="1" ht="30" customHeight="1">
      <c r="A355" s="34">
        <v>311</v>
      </c>
      <c r="B355" s="35" t="s">
        <v>397</v>
      </c>
      <c r="C355" s="34"/>
      <c r="D355" s="35"/>
      <c r="E355" s="35" t="s">
        <v>435</v>
      </c>
      <c r="F355" s="35" t="s">
        <v>13</v>
      </c>
      <c r="G355" s="46"/>
      <c r="H355" s="44"/>
      <c r="I355" s="44"/>
      <c r="J355" s="46"/>
      <c r="K355" s="44"/>
      <c r="L355" s="44"/>
      <c r="M355" s="44"/>
      <c r="N355" s="44"/>
      <c r="O355" s="45"/>
      <c r="P355" s="40"/>
    </row>
    <row r="356" spans="1:16" s="41" customFormat="1" ht="30" customHeight="1">
      <c r="A356" s="42">
        <v>312</v>
      </c>
      <c r="B356" s="43" t="s">
        <v>398</v>
      </c>
      <c r="C356" s="48"/>
      <c r="D356" s="49"/>
      <c r="E356" s="49" t="s">
        <v>435</v>
      </c>
      <c r="F356" s="49" t="s">
        <v>13</v>
      </c>
      <c r="G356" s="38"/>
      <c r="H356" s="44"/>
      <c r="I356" s="44"/>
      <c r="J356" s="38"/>
      <c r="K356" s="44"/>
      <c r="L356" s="44"/>
      <c r="M356" s="44"/>
      <c r="N356" s="44"/>
      <c r="O356" s="45"/>
      <c r="P356" s="40"/>
    </row>
    <row r="357" spans="1:16" s="41" customFormat="1" ht="30" customHeight="1">
      <c r="A357" s="71" t="s">
        <v>399</v>
      </c>
      <c r="B357" s="72"/>
      <c r="C357" s="73">
        <v>1</v>
      </c>
      <c r="D357" s="74"/>
      <c r="E357" s="74"/>
      <c r="F357" s="74"/>
      <c r="G357" s="75"/>
      <c r="H357" s="74"/>
      <c r="I357" s="74"/>
      <c r="J357" s="74"/>
      <c r="K357" s="74"/>
      <c r="L357" s="74"/>
      <c r="M357" s="74"/>
      <c r="N357" s="76"/>
      <c r="O357" s="45"/>
      <c r="P357" s="40"/>
    </row>
    <row r="358" spans="1:16" s="41" customFormat="1" ht="30" customHeight="1">
      <c r="A358" s="77"/>
      <c r="B358" s="72"/>
      <c r="C358" s="73">
        <v>35</v>
      </c>
      <c r="D358" s="74"/>
      <c r="E358" s="74"/>
      <c r="F358" s="74"/>
      <c r="G358" s="75"/>
      <c r="H358" s="74"/>
      <c r="I358" s="74"/>
      <c r="J358" s="74"/>
      <c r="K358" s="74"/>
      <c r="L358" s="74"/>
      <c r="M358" s="74"/>
      <c r="N358" s="76"/>
      <c r="O358" s="45"/>
      <c r="P358" s="40"/>
    </row>
    <row r="359" spans="1:16" s="41" customFormat="1" ht="30" customHeight="1">
      <c r="A359" s="77"/>
      <c r="B359" s="72"/>
      <c r="C359" s="73">
        <v>303</v>
      </c>
      <c r="D359" s="74"/>
      <c r="E359" s="74"/>
      <c r="F359" s="74"/>
      <c r="G359" s="75"/>
      <c r="H359" s="74"/>
      <c r="I359" s="74"/>
      <c r="J359" s="74"/>
      <c r="K359" s="74"/>
      <c r="L359" s="74"/>
      <c r="M359" s="74"/>
      <c r="N359" s="76"/>
      <c r="O359" s="45"/>
      <c r="P359" s="40"/>
    </row>
    <row r="360" spans="1:16" s="41" customFormat="1" ht="30" customHeight="1">
      <c r="A360" s="77"/>
      <c r="B360" s="72"/>
      <c r="C360" s="73">
        <v>314</v>
      </c>
      <c r="D360" s="74"/>
      <c r="E360" s="74"/>
      <c r="F360" s="74"/>
      <c r="G360" s="75"/>
      <c r="H360" s="74"/>
      <c r="I360" s="74"/>
      <c r="J360" s="74"/>
      <c r="K360" s="74"/>
      <c r="L360" s="74"/>
      <c r="M360" s="74"/>
      <c r="N360" s="76"/>
      <c r="O360" s="45"/>
      <c r="P360" s="40"/>
    </row>
    <row r="361" spans="1:16" s="41" customFormat="1" ht="30" customHeight="1">
      <c r="A361" s="77"/>
      <c r="B361" s="72"/>
      <c r="C361" s="73">
        <v>348</v>
      </c>
      <c r="D361" s="74"/>
      <c r="E361" s="74"/>
      <c r="F361" s="74"/>
      <c r="G361" s="75"/>
      <c r="H361" s="74"/>
      <c r="I361" s="74"/>
      <c r="J361" s="74"/>
      <c r="K361" s="74"/>
      <c r="L361" s="74"/>
      <c r="M361" s="74"/>
      <c r="N361" s="76"/>
      <c r="O361" s="45"/>
      <c r="P361" s="40"/>
    </row>
    <row r="362" spans="1:16" s="41" customFormat="1" ht="30" customHeight="1">
      <c r="A362" s="77"/>
      <c r="B362" s="72"/>
      <c r="C362" s="73">
        <v>349</v>
      </c>
      <c r="D362" s="74"/>
      <c r="E362" s="74"/>
      <c r="F362" s="74"/>
      <c r="G362" s="75"/>
      <c r="H362" s="74"/>
      <c r="I362" s="74"/>
      <c r="J362" s="74"/>
      <c r="K362" s="74"/>
      <c r="L362" s="74"/>
      <c r="M362" s="74"/>
      <c r="N362" s="76"/>
      <c r="O362" s="45"/>
      <c r="P362" s="40"/>
    </row>
    <row r="363" spans="1:16" s="41" customFormat="1" ht="30" customHeight="1">
      <c r="A363" s="77"/>
      <c r="B363" s="72"/>
      <c r="C363" s="73">
        <v>351</v>
      </c>
      <c r="D363" s="74"/>
      <c r="E363" s="74"/>
      <c r="F363" s="74"/>
      <c r="G363" s="75"/>
      <c r="H363" s="74"/>
      <c r="I363" s="74"/>
      <c r="J363" s="74"/>
      <c r="K363" s="74"/>
      <c r="L363" s="74"/>
      <c r="M363" s="74"/>
      <c r="N363" s="76"/>
      <c r="O363" s="45"/>
      <c r="P363" s="40"/>
    </row>
    <row r="364" spans="1:16" s="41" customFormat="1" ht="30" customHeight="1">
      <c r="A364" s="77"/>
      <c r="B364" s="72"/>
      <c r="C364" s="73">
        <v>352</v>
      </c>
      <c r="D364" s="74"/>
      <c r="E364" s="74"/>
      <c r="F364" s="74"/>
      <c r="G364" s="75"/>
      <c r="H364" s="74"/>
      <c r="I364" s="74"/>
      <c r="J364" s="74"/>
      <c r="K364" s="74"/>
      <c r="L364" s="74"/>
      <c r="M364" s="74"/>
      <c r="N364" s="76"/>
      <c r="O364" s="45"/>
      <c r="P364" s="40"/>
    </row>
    <row r="365" spans="1:16" ht="30" customHeight="1">
      <c r="A365" s="14"/>
      <c r="B365" s="17"/>
      <c r="C365" s="19">
        <v>353</v>
      </c>
      <c r="D365" s="20"/>
      <c r="E365" s="20"/>
      <c r="F365" s="20"/>
      <c r="G365" s="21"/>
      <c r="H365" s="20"/>
      <c r="I365" s="20"/>
      <c r="J365" s="20"/>
      <c r="K365" s="20"/>
      <c r="L365" s="20"/>
      <c r="M365" s="20"/>
      <c r="N365" s="22"/>
      <c r="O365" s="24"/>
      <c r="P365" s="8"/>
    </row>
    <row r="366" spans="1:16" ht="30" customHeight="1">
      <c r="A366" s="14"/>
      <c r="B366" s="17"/>
      <c r="C366" s="19">
        <v>354</v>
      </c>
      <c r="D366" s="20"/>
      <c r="E366" s="20"/>
      <c r="F366" s="20"/>
      <c r="G366" s="21"/>
      <c r="H366" s="20"/>
      <c r="I366" s="20"/>
      <c r="J366" s="20"/>
      <c r="K366" s="20"/>
      <c r="L366" s="20"/>
      <c r="M366" s="20"/>
      <c r="N366" s="22"/>
      <c r="O366" s="24"/>
      <c r="P366" s="8"/>
    </row>
    <row r="367" spans="1:16" ht="30" customHeight="1">
      <c r="A367" s="14"/>
      <c r="B367" s="17"/>
      <c r="C367" s="19">
        <v>355</v>
      </c>
      <c r="D367" s="20"/>
      <c r="E367" s="20"/>
      <c r="F367" s="20"/>
      <c r="G367" s="21"/>
      <c r="H367" s="20"/>
      <c r="I367" s="20"/>
      <c r="J367" s="20"/>
      <c r="K367" s="20"/>
      <c r="L367" s="20"/>
      <c r="M367" s="20"/>
      <c r="N367" s="22"/>
      <c r="O367" s="24"/>
      <c r="P367" s="8"/>
    </row>
    <row r="368" spans="1:16" ht="30" customHeight="1">
      <c r="A368" s="14"/>
      <c r="B368" s="17"/>
      <c r="C368" s="19">
        <v>356</v>
      </c>
      <c r="D368" s="20"/>
      <c r="E368" s="20"/>
      <c r="F368" s="20"/>
      <c r="G368" s="21"/>
      <c r="H368" s="20"/>
      <c r="I368" s="20"/>
      <c r="J368" s="20"/>
      <c r="K368" s="20"/>
      <c r="L368" s="20"/>
      <c r="M368" s="20"/>
      <c r="N368" s="22"/>
      <c r="O368" s="24"/>
      <c r="P368" s="8"/>
    </row>
    <row r="369" spans="1:16" ht="30" customHeight="1">
      <c r="A369" s="14"/>
      <c r="B369" s="17"/>
      <c r="C369" s="19">
        <v>357</v>
      </c>
      <c r="D369" s="20"/>
      <c r="E369" s="20"/>
      <c r="F369" s="20"/>
      <c r="G369" s="21"/>
      <c r="H369" s="20"/>
      <c r="I369" s="20"/>
      <c r="J369" s="20"/>
      <c r="K369" s="20"/>
      <c r="L369" s="20"/>
      <c r="M369" s="20"/>
      <c r="N369" s="22"/>
      <c r="O369" s="24"/>
      <c r="P369" s="8"/>
    </row>
    <row r="370" spans="1:16" ht="30" customHeight="1">
      <c r="A370" s="14"/>
      <c r="B370" s="17"/>
      <c r="C370" s="19">
        <v>358</v>
      </c>
      <c r="D370" s="20"/>
      <c r="E370" s="20"/>
      <c r="F370" s="20"/>
      <c r="G370" s="21"/>
      <c r="H370" s="20"/>
      <c r="I370" s="20"/>
      <c r="J370" s="20"/>
      <c r="K370" s="20"/>
      <c r="L370" s="20"/>
      <c r="M370" s="20"/>
      <c r="N370" s="22"/>
      <c r="O370" s="24"/>
      <c r="P370" s="8"/>
    </row>
    <row r="371" spans="1:16" ht="30" customHeight="1">
      <c r="A371" s="14"/>
      <c r="B371" s="17"/>
      <c r="C371" s="19">
        <v>364</v>
      </c>
      <c r="D371" s="20"/>
      <c r="E371" s="20"/>
      <c r="F371" s="20"/>
      <c r="G371" s="21"/>
      <c r="H371" s="20"/>
      <c r="I371" s="20"/>
      <c r="J371" s="20"/>
      <c r="K371" s="20"/>
      <c r="L371" s="20"/>
      <c r="M371" s="20"/>
      <c r="N371" s="22"/>
      <c r="O371" s="24"/>
      <c r="P371" s="8"/>
    </row>
    <row r="372" spans="1:16" ht="30" customHeight="1">
      <c r="A372" s="14"/>
      <c r="B372" s="17"/>
      <c r="C372" s="19">
        <v>375</v>
      </c>
      <c r="D372" s="20"/>
      <c r="E372" s="20"/>
      <c r="F372" s="20"/>
      <c r="G372" s="21"/>
      <c r="H372" s="20"/>
      <c r="I372" s="20"/>
      <c r="J372" s="20"/>
      <c r="K372" s="20"/>
      <c r="L372" s="20"/>
      <c r="M372" s="20"/>
      <c r="N372" s="22"/>
      <c r="O372" s="24"/>
      <c r="P372" s="8"/>
    </row>
    <row r="373" spans="1:16" ht="30" customHeight="1">
      <c r="A373" s="15"/>
      <c r="B373" s="18"/>
      <c r="C373" s="19">
        <v>381</v>
      </c>
      <c r="D373" s="20"/>
      <c r="E373" s="20"/>
      <c r="F373" s="20"/>
      <c r="G373" s="21"/>
      <c r="H373" s="20"/>
      <c r="I373" s="20"/>
      <c r="J373" s="20"/>
      <c r="K373" s="20"/>
      <c r="L373" s="20"/>
      <c r="M373" s="20"/>
      <c r="N373" s="22"/>
      <c r="O373" s="27"/>
      <c r="P373" s="8"/>
    </row>
    <row r="374" spans="1:16" ht="30" customHeight="1">
      <c r="A374" s="16"/>
      <c r="B374" s="16"/>
    </row>
  </sheetData>
  <mergeCells count="4">
    <mergeCell ref="G90:G91"/>
    <mergeCell ref="H90:H91"/>
    <mergeCell ref="J90:J91"/>
    <mergeCell ref="L90:L91"/>
  </mergeCells>
  <dataValidations count="2">
    <dataValidation type="list" allowBlank="1" showInputMessage="1" showErrorMessage="1" sqref="I3:I356">
      <formula1>"No Gap,Minor Gap,Significant Gap,Priority"</formula1>
    </dataValidation>
    <dataValidation type="list" allowBlank="1" showInputMessage="1" showErrorMessage="1" sqref="J45:J46 J84:J90 J48:J81 J3:J43 J228:J265 J147:J225 J92:J145 J271:J285 J287:J373">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7.xml><?xml version="1.0" encoding="utf-8"?>
<worksheet xmlns="http://schemas.openxmlformats.org/spreadsheetml/2006/main" xmlns:r="http://schemas.openxmlformats.org/officeDocument/2006/relationships">
  <sheetPr codeName="Sheet12"/>
  <dimension ref="B2:AI87"/>
  <sheetViews>
    <sheetView zoomScale="80" zoomScaleNormal="80" workbookViewId="0">
      <selection activeCell="B2" sqref="B2"/>
    </sheetView>
  </sheetViews>
  <sheetFormatPr defaultRowHeight="12.75" outlineLevelRow="1"/>
  <cols>
    <col min="1" max="1" width="3.42578125" style="8" customWidth="1"/>
    <col min="2" max="2" width="20" style="8" bestFit="1" customWidth="1"/>
    <col min="3" max="3" width="8.28515625" style="8" bestFit="1" customWidth="1"/>
    <col min="4" max="4" width="34.28515625" style="8" customWidth="1"/>
    <col min="5" max="8" width="20.7109375" style="8" customWidth="1"/>
    <col min="9" max="9" width="8.42578125" style="8" customWidth="1"/>
    <col min="10" max="11" width="8.42578125" style="130" customWidth="1"/>
    <col min="12" max="15" width="20.7109375" style="8" customWidth="1"/>
    <col min="16" max="21" width="9.140625" style="8"/>
    <col min="22" max="22" width="32.140625" style="8" customWidth="1"/>
    <col min="23" max="16384" width="9.140625" style="8"/>
  </cols>
  <sheetData>
    <row r="2" spans="2:35" ht="12.75" customHeight="1">
      <c r="I2" s="216" t="s">
        <v>888</v>
      </c>
      <c r="J2" s="216"/>
      <c r="K2" s="216"/>
      <c r="L2" s="129" t="s">
        <v>642</v>
      </c>
    </row>
    <row r="3" spans="2:35" ht="15">
      <c r="I3" s="215" t="s">
        <v>889</v>
      </c>
      <c r="J3" s="215"/>
      <c r="K3" s="215"/>
      <c r="L3" s="197">
        <v>62</v>
      </c>
    </row>
    <row r="4" spans="2:35" ht="15">
      <c r="I4" s="215" t="s">
        <v>885</v>
      </c>
      <c r="J4" s="215"/>
      <c r="K4" s="215"/>
      <c r="L4" s="197">
        <v>43</v>
      </c>
    </row>
    <row r="5" spans="2:35" ht="15">
      <c r="I5" s="215" t="s">
        <v>887</v>
      </c>
      <c r="J5" s="215"/>
      <c r="K5" s="215"/>
      <c r="L5" s="197">
        <v>40</v>
      </c>
    </row>
    <row r="6" spans="2:35" ht="15">
      <c r="I6" s="215" t="s">
        <v>890</v>
      </c>
      <c r="J6" s="215"/>
      <c r="K6" s="215"/>
      <c r="L6" s="197">
        <v>32</v>
      </c>
    </row>
    <row r="7" spans="2:35" ht="15">
      <c r="B7" s="129" t="s">
        <v>624</v>
      </c>
      <c r="C7" s="129" t="s">
        <v>642</v>
      </c>
      <c r="I7" s="215" t="s">
        <v>884</v>
      </c>
      <c r="J7" s="215"/>
      <c r="K7" s="215"/>
      <c r="L7" s="197">
        <v>27</v>
      </c>
      <c r="X7" s="96"/>
      <c r="Y7" s="96"/>
      <c r="Z7" s="96"/>
      <c r="AA7" s="96"/>
      <c r="AB7" s="96"/>
      <c r="AC7" s="96"/>
      <c r="AD7"/>
      <c r="AE7" s="224" t="s">
        <v>430</v>
      </c>
      <c r="AF7" s="227" t="s">
        <v>595</v>
      </c>
      <c r="AG7" s="94" t="s">
        <v>468</v>
      </c>
      <c r="AH7" s="94"/>
      <c r="AI7" s="95">
        <f>COUNTIFS('Completion Matrix'!$E:$E,Overview!$AE$7,'Completion Matrix'!$I:$I,$AF$7,'Completion Matrix'!$J:$J,AG7)</f>
        <v>1</v>
      </c>
    </row>
    <row r="8" spans="2:35" ht="15">
      <c r="B8" s="132" t="s">
        <v>431</v>
      </c>
      <c r="C8" s="131">
        <f>COUNTIF('Completion Matrix'!$E:$E,Overview!B8)</f>
        <v>9</v>
      </c>
      <c r="I8" s="215" t="s">
        <v>883</v>
      </c>
      <c r="J8" s="215"/>
      <c r="K8" s="215"/>
      <c r="L8" s="197">
        <v>19</v>
      </c>
      <c r="X8" s="96"/>
      <c r="Y8" s="96"/>
      <c r="Z8" s="96"/>
      <c r="AA8" s="96"/>
      <c r="AB8" s="96"/>
      <c r="AC8" s="96"/>
      <c r="AD8"/>
      <c r="AE8" s="225"/>
      <c r="AF8" s="227"/>
      <c r="AG8" s="94" t="s">
        <v>459</v>
      </c>
      <c r="AH8" s="94"/>
      <c r="AI8" s="95">
        <f>COUNTIFS('Completion Matrix'!$E:$E,Overview!$AE$7,'Completion Matrix'!$I:$I,$AF$7,'Completion Matrix'!$J:$J,AG8)</f>
        <v>0</v>
      </c>
    </row>
    <row r="9" spans="2:35" ht="15">
      <c r="B9" s="132" t="s">
        <v>430</v>
      </c>
      <c r="C9" s="131">
        <f>COUNTIF('Completion Matrix'!$E:$E,Overview!B9)</f>
        <v>1</v>
      </c>
      <c r="I9" s="215" t="s">
        <v>882</v>
      </c>
      <c r="J9" s="215"/>
      <c r="K9" s="215"/>
      <c r="L9" s="197">
        <v>10</v>
      </c>
      <c r="X9" s="96"/>
      <c r="Y9" s="96"/>
      <c r="Z9" s="96"/>
      <c r="AA9" s="96"/>
      <c r="AB9" s="96"/>
      <c r="AC9" s="96"/>
      <c r="AD9"/>
      <c r="AE9" s="225"/>
      <c r="AF9" s="227"/>
      <c r="AG9" s="94" t="s">
        <v>462</v>
      </c>
      <c r="AH9" s="94"/>
      <c r="AI9" s="95">
        <f>COUNTIFS('Completion Matrix'!$E:$E,Overview!$AE$7,'Completion Matrix'!$I:$I,$AF$7,'Completion Matrix'!$J:$J,AG9)</f>
        <v>0</v>
      </c>
    </row>
    <row r="10" spans="2:35" ht="15">
      <c r="B10" s="132" t="s">
        <v>438</v>
      </c>
      <c r="C10" s="131">
        <f>COUNTIF('Completion Matrix'!$E:$E,Overview!B10)</f>
        <v>15</v>
      </c>
      <c r="I10" s="215" t="s">
        <v>886</v>
      </c>
      <c r="J10" s="215"/>
      <c r="K10" s="215"/>
      <c r="L10" s="197">
        <v>10</v>
      </c>
      <c r="X10" s="96"/>
      <c r="Y10" s="96"/>
      <c r="Z10" s="96"/>
      <c r="AA10" s="96"/>
      <c r="AB10" s="96"/>
      <c r="AC10" s="96"/>
      <c r="AD10"/>
      <c r="AE10" s="225"/>
      <c r="AF10" s="227"/>
      <c r="AG10" s="94" t="s">
        <v>636</v>
      </c>
      <c r="AH10" s="94"/>
      <c r="AI10" s="95">
        <f>COUNTIFS('Completion Matrix'!$E:$E,Overview!$AE$7,'Completion Matrix'!$I:$I,$AF$7,'Completion Matrix'!$J:$J,AG10)</f>
        <v>0</v>
      </c>
    </row>
    <row r="11" spans="2:35" ht="15">
      <c r="B11" s="132" t="s">
        <v>728</v>
      </c>
      <c r="C11" s="131">
        <f>COUNTIF('Completion Matrix'!$E:$E,Overview!B11)</f>
        <v>8</v>
      </c>
      <c r="I11" s="215" t="s">
        <v>881</v>
      </c>
      <c r="J11" s="215"/>
      <c r="K11" s="215"/>
      <c r="L11" s="197">
        <v>17</v>
      </c>
      <c r="X11" s="96"/>
      <c r="Y11" s="96"/>
      <c r="Z11" s="96"/>
      <c r="AA11" s="96"/>
      <c r="AB11" s="96"/>
      <c r="AC11" s="96"/>
      <c r="AD11"/>
      <c r="AE11" s="225"/>
      <c r="AF11" s="124"/>
      <c r="AG11" s="94"/>
      <c r="AH11" s="94"/>
      <c r="AI11" s="95"/>
    </row>
    <row r="12" spans="2:35" ht="15">
      <c r="B12" s="132" t="s">
        <v>428</v>
      </c>
      <c r="C12" s="131">
        <f>COUNTIF('Completion Matrix'!$E:$E,Overview!B12)</f>
        <v>10</v>
      </c>
      <c r="I12" s="231" t="s">
        <v>625</v>
      </c>
      <c r="J12" s="232"/>
      <c r="K12" s="232"/>
      <c r="L12" s="146">
        <f>SUM(L1:L11)</f>
        <v>260</v>
      </c>
      <c r="X12" s="96"/>
      <c r="Y12" s="96"/>
      <c r="Z12" s="96"/>
      <c r="AA12" s="96"/>
      <c r="AB12" s="96"/>
      <c r="AC12" s="96"/>
      <c r="AD12"/>
      <c r="AE12" s="225"/>
      <c r="AF12" s="227" t="s">
        <v>594</v>
      </c>
      <c r="AG12" s="94" t="s">
        <v>468</v>
      </c>
      <c r="AH12" s="94"/>
      <c r="AI12" s="95">
        <f>COUNTIFS('Completion Matrix'!$E:$E,Overview!$AE$7,'Completion Matrix'!$I:$I,$AF$12,'Completion Matrix'!$J:$J,AG12)</f>
        <v>0</v>
      </c>
    </row>
    <row r="13" spans="2:35" ht="15">
      <c r="B13" s="132" t="s">
        <v>437</v>
      </c>
      <c r="C13" s="131">
        <f>COUNTIF('Completion Matrix'!$E:$E,Overview!B13)</f>
        <v>2</v>
      </c>
      <c r="I13" s="220"/>
      <c r="J13" s="220"/>
      <c r="K13" s="220"/>
      <c r="L13" s="196"/>
      <c r="X13" s="96"/>
      <c r="Y13" s="96"/>
      <c r="Z13" s="96"/>
      <c r="AA13" s="96"/>
      <c r="AB13" s="96"/>
      <c r="AC13" s="96"/>
      <c r="AD13"/>
      <c r="AE13" s="225"/>
      <c r="AF13" s="227"/>
      <c r="AG13" s="94" t="s">
        <v>459</v>
      </c>
      <c r="AH13" s="94"/>
      <c r="AI13" s="95">
        <f>COUNTIFS('Completion Matrix'!$E:$E,Overview!$AE$7,'Completion Matrix'!$I:$I,$AF$12,'Completion Matrix'!$J:$J,AG13)</f>
        <v>0</v>
      </c>
    </row>
    <row r="14" spans="2:35" ht="15">
      <c r="B14" s="132" t="s">
        <v>432</v>
      </c>
      <c r="C14" s="131">
        <f>COUNTIF('Completion Matrix'!$E:$E,Overview!B14)</f>
        <v>5</v>
      </c>
      <c r="V14" s="195"/>
      <c r="W14" s="41"/>
      <c r="X14" s="96"/>
      <c r="Y14" s="96"/>
      <c r="Z14" s="96"/>
      <c r="AA14" s="96"/>
      <c r="AB14" s="96"/>
      <c r="AC14" s="96"/>
      <c r="AD14"/>
      <c r="AE14" s="225"/>
      <c r="AF14" s="227"/>
      <c r="AG14" s="94" t="s">
        <v>462</v>
      </c>
      <c r="AH14" s="94"/>
      <c r="AI14" s="95">
        <f>COUNTIFS('Completion Matrix'!$E:$E,Overview!$AE$7,'Completion Matrix'!$I:$I,$AF$12,'Completion Matrix'!$J:$J,AG14)</f>
        <v>0</v>
      </c>
    </row>
    <row r="15" spans="2:35" ht="15">
      <c r="B15" s="132" t="s">
        <v>429</v>
      </c>
      <c r="C15" s="131">
        <f>COUNTIF('Completion Matrix'!$E:$E,Overview!B15)</f>
        <v>2</v>
      </c>
      <c r="W15" s="96"/>
      <c r="X15" s="96"/>
      <c r="Y15" s="96"/>
      <c r="Z15" s="96"/>
      <c r="AA15" s="96"/>
      <c r="AB15" s="96"/>
      <c r="AC15" s="96"/>
      <c r="AD15"/>
      <c r="AE15" s="225"/>
      <c r="AF15" s="227"/>
      <c r="AG15" s="94" t="s">
        <v>637</v>
      </c>
      <c r="AH15" s="94"/>
      <c r="AI15" s="95">
        <f>COUNTIFS('Completion Matrix'!$E:$E,Overview!$AE$7,'Completion Matrix'!$I:$I,$AF$12,'Completion Matrix'!$J:$J,AG15)</f>
        <v>0</v>
      </c>
    </row>
    <row r="16" spans="2:35" ht="15">
      <c r="B16" s="133" t="s">
        <v>625</v>
      </c>
      <c r="C16" s="146">
        <f>SUM(C8:C15)</f>
        <v>52</v>
      </c>
      <c r="W16" s="96"/>
      <c r="X16" s="96"/>
      <c r="Y16" s="96"/>
      <c r="Z16" s="96"/>
      <c r="AA16" s="96"/>
      <c r="AB16" s="96"/>
      <c r="AC16" s="96"/>
      <c r="AD16"/>
      <c r="AE16" s="225"/>
      <c r="AF16" s="227" t="s">
        <v>593</v>
      </c>
      <c r="AG16" s="94" t="s">
        <v>468</v>
      </c>
      <c r="AH16" s="94"/>
      <c r="AI16" s="95">
        <f>COUNTIFS('Completion Matrix'!$E:$E,Overview!$AE$7,'Completion Matrix'!$I:$I,$AF$16,'Completion Matrix'!$J:$J,AG16)</f>
        <v>0</v>
      </c>
    </row>
    <row r="17" spans="2:35" ht="15">
      <c r="W17" s="96"/>
      <c r="X17" s="96"/>
      <c r="Y17" s="96"/>
      <c r="Z17" s="96"/>
      <c r="AA17" s="96"/>
      <c r="AB17" s="96"/>
      <c r="AC17" s="96"/>
      <c r="AD17"/>
      <c r="AE17" s="225"/>
      <c r="AF17" s="227"/>
      <c r="AG17" s="94" t="s">
        <v>459</v>
      </c>
      <c r="AH17" s="94"/>
      <c r="AI17" s="95">
        <f>COUNTIFS('Completion Matrix'!$E:$E,Overview!$AE$7,'Completion Matrix'!$I:$I,$AF$16,'Completion Matrix'!$J:$J,AG17)</f>
        <v>0</v>
      </c>
    </row>
    <row r="18" spans="2:35" ht="15">
      <c r="B18"/>
      <c r="C18"/>
      <c r="D18" s="99"/>
      <c r="E18" s="221" t="s">
        <v>880</v>
      </c>
      <c r="F18" s="222"/>
      <c r="G18" s="222"/>
      <c r="H18" s="223"/>
      <c r="I18" s="104"/>
      <c r="J18" s="140"/>
      <c r="K18" s="140"/>
      <c r="L18" s="221" t="s">
        <v>643</v>
      </c>
      <c r="M18" s="222"/>
      <c r="N18" s="222"/>
      <c r="O18" s="223"/>
      <c r="W18" s="96"/>
      <c r="X18" s="96"/>
      <c r="Y18" s="96"/>
      <c r="Z18" s="96"/>
      <c r="AA18" s="96"/>
      <c r="AB18" s="96"/>
      <c r="AC18" s="96"/>
      <c r="AD18"/>
      <c r="AE18" s="225"/>
      <c r="AF18" s="227"/>
      <c r="AG18" s="94" t="s">
        <v>462</v>
      </c>
      <c r="AH18" s="94"/>
      <c r="AI18" s="95">
        <f>COUNTIFS('Completion Matrix'!$E:$E,Overview!$AE$7,'Completion Matrix'!$I:$I,$AF$16,'Completion Matrix'!$J:$J,AG18)</f>
        <v>0</v>
      </c>
    </row>
    <row r="19" spans="2:35" ht="38.25">
      <c r="B19" s="129" t="s">
        <v>624</v>
      </c>
      <c r="C19" s="129" t="s">
        <v>644</v>
      </c>
      <c r="D19" s="129" t="s">
        <v>641</v>
      </c>
      <c r="E19" s="129" t="s">
        <v>595</v>
      </c>
      <c r="F19" s="129" t="s">
        <v>594</v>
      </c>
      <c r="G19" s="129" t="s">
        <v>593</v>
      </c>
      <c r="H19" s="129" t="s">
        <v>636</v>
      </c>
      <c r="I19" s="103"/>
      <c r="J19" s="141"/>
      <c r="K19" s="141"/>
      <c r="L19" s="139" t="s">
        <v>468</v>
      </c>
      <c r="M19" s="129" t="s">
        <v>459</v>
      </c>
      <c r="N19" s="129" t="s">
        <v>462</v>
      </c>
      <c r="O19" s="129" t="s">
        <v>636</v>
      </c>
      <c r="W19" s="96"/>
      <c r="X19" s="96"/>
      <c r="Y19" s="96"/>
      <c r="Z19" s="96"/>
      <c r="AA19" s="96"/>
      <c r="AB19" s="96"/>
      <c r="AC19" s="96"/>
      <c r="AD19"/>
      <c r="AE19" s="225"/>
      <c r="AF19" s="227"/>
      <c r="AG19" s="94" t="s">
        <v>636</v>
      </c>
      <c r="AH19" s="94"/>
      <c r="AI19" s="95">
        <f>COUNTIFS('Completion Matrix'!$E:$E,Overview!$AE$7,'Completion Matrix'!$I:$I,$AF$16,'Completion Matrix'!$J:$J,AG19)</f>
        <v>0</v>
      </c>
    </row>
    <row r="20" spans="2:35" ht="15">
      <c r="B20" s="217" t="s">
        <v>431</v>
      </c>
      <c r="C20" s="218"/>
      <c r="D20" s="219"/>
      <c r="E20" s="199">
        <f>SUM(E21:E29)</f>
        <v>4</v>
      </c>
      <c r="F20" s="199">
        <f>SUM(F21:F29)</f>
        <v>5</v>
      </c>
      <c r="G20" s="199">
        <f>SUM(G21:G29)</f>
        <v>0</v>
      </c>
      <c r="H20" s="199">
        <f>SUM(H21:H29)</f>
        <v>0</v>
      </c>
      <c r="I20" s="138">
        <f>SUM(E20:H20)</f>
        <v>9</v>
      </c>
      <c r="J20" s="237">
        <f>I20+I30+I32+I48+I57+I68+I71+I77</f>
        <v>52</v>
      </c>
      <c r="K20" s="96"/>
      <c r="L20" s="199">
        <f>SUM(L21:L29)</f>
        <v>6</v>
      </c>
      <c r="M20" s="199">
        <f>SUM(M21:M29)</f>
        <v>3</v>
      </c>
      <c r="N20" s="199">
        <f>SUM(N21:N29)</f>
        <v>0</v>
      </c>
      <c r="O20" s="199">
        <f>SUM(O21:O29)</f>
        <v>0</v>
      </c>
      <c r="P20" s="138">
        <f t="shared" ref="P20:P29" si="0">SUM(L20:O20)</f>
        <v>9</v>
      </c>
      <c r="Q20" s="228">
        <f>P20+P30+P32+P48+P57+P68+P71+P77</f>
        <v>52</v>
      </c>
      <c r="W20" s="96"/>
      <c r="X20" s="96"/>
      <c r="Y20" s="96"/>
      <c r="Z20" s="96"/>
      <c r="AA20" s="96"/>
      <c r="AB20" s="96"/>
      <c r="AC20" s="96"/>
      <c r="AD20"/>
      <c r="AE20" s="225"/>
      <c r="AF20" s="227" t="s">
        <v>636</v>
      </c>
      <c r="AG20" s="94" t="s">
        <v>468</v>
      </c>
      <c r="AH20" s="94"/>
      <c r="AI20" s="95">
        <f>COUNTIFS('Completion Matrix'!$E:$E,Overview!$AE$7,'Completion Matrix'!$I:$I,$AF$20,'Completion Matrix'!$J:$J,AG20)</f>
        <v>0</v>
      </c>
    </row>
    <row r="21" spans="2:35" ht="15" hidden="1" customHeight="1" outlineLevel="1">
      <c r="B21" s="134"/>
      <c r="C21" s="137">
        <v>48</v>
      </c>
      <c r="D21" s="102" t="s">
        <v>71</v>
      </c>
      <c r="E21" s="199" t="str">
        <f>IF(INDEX('Completion Matrix'!$I:$I,MATCH(Overview!$C21,'Completion Matrix'!$A:$A,0))=E$19,1,"")</f>
        <v/>
      </c>
      <c r="F21" s="199">
        <f>IF(INDEX('Completion Matrix'!$I:$I,MATCH(Overview!$C21,'Completion Matrix'!$A:$A,0))=F$19,1,"")</f>
        <v>1</v>
      </c>
      <c r="G21" s="199" t="str">
        <f>IF(INDEX('Completion Matrix'!$I:$I,MATCH(Overview!$C21,'Completion Matrix'!$A:$A,0))=G$19,1,"")</f>
        <v/>
      </c>
      <c r="H21" s="199" t="str">
        <f>IF(INDEX('Completion Matrix'!$I:$I,MATCH(Overview!$C21,'Completion Matrix'!$A:$A,0))=H$19,1,"")</f>
        <v/>
      </c>
      <c r="I21" s="138">
        <f t="shared" ref="I21:I77" si="1">SUM(E21:H21)</f>
        <v>1</v>
      </c>
      <c r="J21" s="238"/>
      <c r="K21" s="96"/>
      <c r="L21" s="199" t="str">
        <f>IF(INDEX('Completion Matrix'!$J:$J,MATCH(Overview!$C21,'Completion Matrix'!$A:$A,0))=L$19,1,"")</f>
        <v/>
      </c>
      <c r="M21" s="199">
        <f>IF(INDEX('Completion Matrix'!$J:$J,MATCH(Overview!$C21,'Completion Matrix'!$A:$A,0))=M$19,1,"")</f>
        <v>1</v>
      </c>
      <c r="N21" s="199" t="str">
        <f>IF(INDEX('Completion Matrix'!$J:$J,MATCH(Overview!$C21,'Completion Matrix'!$A:$A,0))=N$19,1,"")</f>
        <v/>
      </c>
      <c r="O21" s="199" t="str">
        <f>IF(INDEX('Completion Matrix'!$J:$J,MATCH(Overview!$C21,'Completion Matrix'!$A:$A,0))=O$19,1,"")</f>
        <v/>
      </c>
      <c r="P21" s="138">
        <f t="shared" si="0"/>
        <v>1</v>
      </c>
      <c r="Q21" s="228"/>
      <c r="W21" s="96"/>
      <c r="X21" s="96"/>
      <c r="Y21" s="96"/>
      <c r="Z21" s="96"/>
      <c r="AA21" s="96"/>
      <c r="AB21" s="96"/>
      <c r="AC21" s="96"/>
      <c r="AD21"/>
      <c r="AE21" s="225"/>
      <c r="AF21" s="227"/>
      <c r="AG21" s="94" t="s">
        <v>459</v>
      </c>
      <c r="AH21" s="94"/>
      <c r="AI21" s="95">
        <f>COUNTIFS('Completion Matrix'!$E:$E,Overview!$AE$7,'Completion Matrix'!$I:$I,$AF$20,'Completion Matrix'!$J:$J,AG21)</f>
        <v>0</v>
      </c>
    </row>
    <row r="22" spans="2:35" ht="15" hidden="1" customHeight="1" outlineLevel="1">
      <c r="B22" s="134"/>
      <c r="C22" s="137">
        <v>76</v>
      </c>
      <c r="D22" s="102" t="s">
        <v>106</v>
      </c>
      <c r="E22" s="199">
        <f>IF(INDEX('Completion Matrix'!$I:$I,MATCH(Overview!$C22,'Completion Matrix'!$A:$A,0))=E$19,1,"")</f>
        <v>1</v>
      </c>
      <c r="F22" s="199" t="str">
        <f>IF(INDEX('Completion Matrix'!$I:$I,MATCH(Overview!$C22,'Completion Matrix'!$A:$A,0))=F$19,1,"")</f>
        <v/>
      </c>
      <c r="G22" s="199" t="str">
        <f>IF(INDEX('Completion Matrix'!$I:$I,MATCH(Overview!$C22,'Completion Matrix'!$A:$A,0))=G$19,1,"")</f>
        <v/>
      </c>
      <c r="H22" s="199" t="str">
        <f>IF(INDEX('Completion Matrix'!$I:$I,MATCH(Overview!$C22,'Completion Matrix'!$A:$A,0))=H$19,1,"")</f>
        <v/>
      </c>
      <c r="I22" s="138">
        <f t="shared" si="1"/>
        <v>1</v>
      </c>
      <c r="J22" s="238"/>
      <c r="K22" s="96"/>
      <c r="L22" s="199">
        <f>IF(INDEX('Completion Matrix'!$J:$J,MATCH(Overview!$C22,'Completion Matrix'!$A:$A,0))=L$19,1,"")</f>
        <v>1</v>
      </c>
      <c r="M22" s="199" t="str">
        <f>IF(INDEX('Completion Matrix'!$J:$J,MATCH(Overview!$C22,'Completion Matrix'!$A:$A,0))=M$19,1,"")</f>
        <v/>
      </c>
      <c r="N22" s="199" t="str">
        <f>IF(INDEX('Completion Matrix'!$J:$J,MATCH(Overview!$C22,'Completion Matrix'!$A:$A,0))=N$19,1,"")</f>
        <v/>
      </c>
      <c r="O22" s="199" t="str">
        <f>IF(INDEX('Completion Matrix'!$J:$J,MATCH(Overview!$C22,'Completion Matrix'!$A:$A,0))=O$19,1,"")</f>
        <v/>
      </c>
      <c r="P22" s="138">
        <f t="shared" si="0"/>
        <v>1</v>
      </c>
      <c r="Q22" s="228"/>
      <c r="W22" s="96"/>
      <c r="X22" s="96"/>
      <c r="Y22" s="96"/>
      <c r="Z22" s="96"/>
      <c r="AA22" s="96"/>
      <c r="AB22" s="96"/>
      <c r="AC22" s="96"/>
      <c r="AD22"/>
      <c r="AE22" s="225"/>
      <c r="AF22" s="227"/>
      <c r="AG22" s="94" t="s">
        <v>462</v>
      </c>
      <c r="AH22" s="94"/>
      <c r="AI22" s="95">
        <f>COUNTIFS('Completion Matrix'!$E:$E,Overview!$AE$7,'Completion Matrix'!$I:$I,$AF$20,'Completion Matrix'!$J:$J,AG22)</f>
        <v>0</v>
      </c>
    </row>
    <row r="23" spans="2:35" ht="25.5" hidden="1" customHeight="1" outlineLevel="1">
      <c r="B23" s="134"/>
      <c r="C23" s="135">
        <v>77</v>
      </c>
      <c r="D23" s="136" t="s">
        <v>107</v>
      </c>
      <c r="E23" s="199" t="str">
        <f>IF(INDEX('Completion Matrix'!$I:$I,MATCH(Overview!$C23,'Completion Matrix'!$A:$A,0))=E$19,1,"")</f>
        <v/>
      </c>
      <c r="F23" s="199">
        <f>IF(INDEX('Completion Matrix'!$I:$I,MATCH(Overview!$C23,'Completion Matrix'!$A:$A,0))=F$19,1,"")</f>
        <v>1</v>
      </c>
      <c r="G23" s="199" t="str">
        <f>IF(INDEX('Completion Matrix'!$I:$I,MATCH(Overview!$C23,'Completion Matrix'!$A:$A,0))=G$19,1,"")</f>
        <v/>
      </c>
      <c r="H23" s="199" t="str">
        <f>IF(INDEX('Completion Matrix'!$I:$I,MATCH(Overview!$C23,'Completion Matrix'!$A:$A,0))=H$19,1,"")</f>
        <v/>
      </c>
      <c r="I23" s="138">
        <f t="shared" si="1"/>
        <v>1</v>
      </c>
      <c r="J23" s="238"/>
      <c r="K23" s="96"/>
      <c r="L23" s="199">
        <f>IF(INDEX('Completion Matrix'!$J:$J,MATCH(Overview!$C23,'Completion Matrix'!$A:$A,0))=L$19,1,"")</f>
        <v>1</v>
      </c>
      <c r="M23" s="199" t="str">
        <f>IF(INDEX('Completion Matrix'!$J:$J,MATCH(Overview!$C23,'Completion Matrix'!$A:$A,0))=M$19,1,"")</f>
        <v/>
      </c>
      <c r="N23" s="199" t="str">
        <f>IF(INDEX('Completion Matrix'!$J:$J,MATCH(Overview!$C23,'Completion Matrix'!$A:$A,0))=N$19,1,"")</f>
        <v/>
      </c>
      <c r="O23" s="199" t="str">
        <f>IF(INDEX('Completion Matrix'!$J:$J,MATCH(Overview!$C23,'Completion Matrix'!$A:$A,0))=O$19,1,"")</f>
        <v/>
      </c>
      <c r="P23" s="138">
        <f t="shared" si="0"/>
        <v>1</v>
      </c>
      <c r="Q23" s="228"/>
      <c r="W23" s="96"/>
      <c r="X23" s="96"/>
      <c r="Y23" s="96"/>
      <c r="Z23" s="96"/>
      <c r="AA23" s="96"/>
      <c r="AB23" s="96"/>
      <c r="AC23" s="96"/>
      <c r="AD23"/>
      <c r="AE23" s="226"/>
      <c r="AF23" s="227"/>
      <c r="AG23" s="94" t="s">
        <v>636</v>
      </c>
      <c r="AH23" s="94"/>
      <c r="AI23" s="95">
        <f>COUNTIFS('Completion Matrix'!$E:$E,Overview!$AE$7,'Completion Matrix'!$I:$I,$AF$20,'Completion Matrix'!$J:$J,AG23)</f>
        <v>0</v>
      </c>
    </row>
    <row r="24" spans="2:35" ht="51" hidden="1" customHeight="1" outlineLevel="1">
      <c r="B24" s="134"/>
      <c r="C24" s="137">
        <v>78</v>
      </c>
      <c r="D24" s="102" t="s">
        <v>108</v>
      </c>
      <c r="E24" s="199" t="str">
        <f>IF(INDEX('Completion Matrix'!$I:$I,MATCH(Overview!$C24,'Completion Matrix'!$A:$A,0))=E$19,1,"")</f>
        <v/>
      </c>
      <c r="F24" s="199">
        <f>IF(INDEX('Completion Matrix'!$I:$I,MATCH(Overview!$C24,'Completion Matrix'!$A:$A,0))=F$19,1,"")</f>
        <v>1</v>
      </c>
      <c r="G24" s="199" t="str">
        <f>IF(INDEX('Completion Matrix'!$I:$I,MATCH(Overview!$C24,'Completion Matrix'!$A:$A,0))=G$19,1,"")</f>
        <v/>
      </c>
      <c r="H24" s="199" t="str">
        <f>IF(INDEX('Completion Matrix'!$I:$I,MATCH(Overview!$C24,'Completion Matrix'!$A:$A,0))=H$19,1,"")</f>
        <v/>
      </c>
      <c r="I24" s="138">
        <f t="shared" si="1"/>
        <v>1</v>
      </c>
      <c r="J24" s="238"/>
      <c r="K24" s="96"/>
      <c r="L24" s="199">
        <f>IF(INDEX('Completion Matrix'!$J:$J,MATCH(Overview!$C24,'Completion Matrix'!$A:$A,0))=L$19,1,"")</f>
        <v>1</v>
      </c>
      <c r="M24" s="199" t="str">
        <f>IF(INDEX('Completion Matrix'!$J:$J,MATCH(Overview!$C24,'Completion Matrix'!$A:$A,0))=M$19,1,"")</f>
        <v/>
      </c>
      <c r="N24" s="199" t="str">
        <f>IF(INDEX('Completion Matrix'!$J:$J,MATCH(Overview!$C24,'Completion Matrix'!$A:$A,0))=N$19,1,"")</f>
        <v/>
      </c>
      <c r="O24" s="199" t="str">
        <f>IF(INDEX('Completion Matrix'!$J:$J,MATCH(Overview!$C24,'Completion Matrix'!$A:$A,0))=O$19,1,"")</f>
        <v/>
      </c>
      <c r="P24" s="138">
        <f t="shared" si="0"/>
        <v>1</v>
      </c>
      <c r="Q24" s="228"/>
      <c r="W24" s="96"/>
      <c r="X24" s="96"/>
      <c r="Y24" s="96"/>
      <c r="Z24" s="96"/>
      <c r="AA24" s="96"/>
      <c r="AB24" s="96"/>
      <c r="AC24" s="96"/>
      <c r="AD24"/>
      <c r="AE24"/>
      <c r="AF24"/>
      <c r="AG24"/>
      <c r="AH24"/>
      <c r="AI24" s="95">
        <f>SUM(AI7:AI23)</f>
        <v>1</v>
      </c>
    </row>
    <row r="25" spans="2:35" ht="15" hidden="1" customHeight="1" outlineLevel="1">
      <c r="B25" s="134"/>
      <c r="C25" s="137">
        <v>80</v>
      </c>
      <c r="D25" s="102" t="s">
        <v>111</v>
      </c>
      <c r="E25" s="199">
        <f>IF(INDEX('Completion Matrix'!$I:$I,MATCH(Overview!$C25,'Completion Matrix'!$A:$A,0))=E$19,1,"")</f>
        <v>1</v>
      </c>
      <c r="F25" s="199" t="str">
        <f>IF(INDEX('Completion Matrix'!$I:$I,MATCH(Overview!$C25,'Completion Matrix'!$A:$A,0))=F$19,1,"")</f>
        <v/>
      </c>
      <c r="G25" s="199" t="str">
        <f>IF(INDEX('Completion Matrix'!$I:$I,MATCH(Overview!$C25,'Completion Matrix'!$A:$A,0))=G$19,1,"")</f>
        <v/>
      </c>
      <c r="H25" s="199" t="str">
        <f>IF(INDEX('Completion Matrix'!$I:$I,MATCH(Overview!$C25,'Completion Matrix'!$A:$A,0))=H$19,1,"")</f>
        <v/>
      </c>
      <c r="I25" s="138">
        <f t="shared" si="1"/>
        <v>1</v>
      </c>
      <c r="J25" s="238"/>
      <c r="K25" s="96"/>
      <c r="L25" s="199">
        <f>IF(INDEX('Completion Matrix'!$J:$J,MATCH(Overview!$C25,'Completion Matrix'!$A:$A,0))=L$19,1,"")</f>
        <v>1</v>
      </c>
      <c r="M25" s="199" t="str">
        <f>IF(INDEX('Completion Matrix'!$J:$J,MATCH(Overview!$C25,'Completion Matrix'!$A:$A,0))=M$19,1,"")</f>
        <v/>
      </c>
      <c r="N25" s="199" t="str">
        <f>IF(INDEX('Completion Matrix'!$J:$J,MATCH(Overview!$C25,'Completion Matrix'!$A:$A,0))=N$19,1,"")</f>
        <v/>
      </c>
      <c r="O25" s="199" t="str">
        <f>IF(INDEX('Completion Matrix'!$J:$J,MATCH(Overview!$C25,'Completion Matrix'!$A:$A,0))=O$19,1,"")</f>
        <v/>
      </c>
      <c r="P25" s="138">
        <f t="shared" si="0"/>
        <v>1</v>
      </c>
      <c r="Q25" s="228"/>
      <c r="W25"/>
      <c r="X25"/>
      <c r="Y25"/>
      <c r="Z25"/>
      <c r="AA25"/>
      <c r="AB25"/>
      <c r="AC25"/>
      <c r="AD25"/>
      <c r="AE25"/>
      <c r="AF25"/>
      <c r="AG25"/>
      <c r="AH25"/>
      <c r="AI25"/>
    </row>
    <row r="26" spans="2:35" ht="63.75" hidden="1" customHeight="1" outlineLevel="1" collapsed="1">
      <c r="B26" s="134"/>
      <c r="C26" s="135">
        <v>81</v>
      </c>
      <c r="D26" s="136" t="s">
        <v>112</v>
      </c>
      <c r="E26" s="199" t="str">
        <f>IF(INDEX('Completion Matrix'!$I:$I,MATCH(Overview!$C26,'Completion Matrix'!$A:$A,0))=E$19,1,"")</f>
        <v/>
      </c>
      <c r="F26" s="199">
        <f>IF(INDEX('Completion Matrix'!$I:$I,MATCH(Overview!$C26,'Completion Matrix'!$A:$A,0))=F$19,1,"")</f>
        <v>1</v>
      </c>
      <c r="G26" s="199" t="str">
        <f>IF(INDEX('Completion Matrix'!$I:$I,MATCH(Overview!$C26,'Completion Matrix'!$A:$A,0))=G$19,1,"")</f>
        <v/>
      </c>
      <c r="H26" s="199" t="str">
        <f>IF(INDEX('Completion Matrix'!$I:$I,MATCH(Overview!$C26,'Completion Matrix'!$A:$A,0))=H$19,1,"")</f>
        <v/>
      </c>
      <c r="I26" s="138">
        <f t="shared" si="1"/>
        <v>1</v>
      </c>
      <c r="J26" s="238"/>
      <c r="K26" s="96"/>
      <c r="L26" s="199">
        <f>IF(INDEX('Completion Matrix'!$J:$J,MATCH(Overview!$C26,'Completion Matrix'!$A:$A,0))=L$19,1,"")</f>
        <v>1</v>
      </c>
      <c r="M26" s="199" t="str">
        <f>IF(INDEX('Completion Matrix'!$J:$J,MATCH(Overview!$C26,'Completion Matrix'!$A:$A,0))=M$19,1,"")</f>
        <v/>
      </c>
      <c r="N26" s="199" t="str">
        <f>IF(INDEX('Completion Matrix'!$J:$J,MATCH(Overview!$C26,'Completion Matrix'!$A:$A,0))=N$19,1,"")</f>
        <v/>
      </c>
      <c r="O26" s="199" t="str">
        <f>IF(INDEX('Completion Matrix'!$J:$J,MATCH(Overview!$C26,'Completion Matrix'!$A:$A,0))=O$19,1,"")</f>
        <v/>
      </c>
      <c r="P26" s="138">
        <f t="shared" si="0"/>
        <v>1</v>
      </c>
      <c r="Q26" s="228"/>
      <c r="W26" s="96"/>
      <c r="X26" s="96"/>
      <c r="Y26" s="96"/>
      <c r="Z26" s="96"/>
      <c r="AA26" s="96"/>
      <c r="AB26" s="96"/>
      <c r="AC26" s="96"/>
      <c r="AD26"/>
      <c r="AE26"/>
      <c r="AF26" s="229" t="s">
        <v>638</v>
      </c>
      <c r="AG26" s="94" t="s">
        <v>451</v>
      </c>
      <c r="AH26" s="94"/>
      <c r="AI26" s="95">
        <f>COUNTIFS('Completion Matrix'!$E:$E,Overview!AE7,'Completion Matrix'!$I:$I,"")</f>
        <v>0</v>
      </c>
    </row>
    <row r="27" spans="2:35" ht="76.5" hidden="1" customHeight="1" outlineLevel="1">
      <c r="B27" s="134"/>
      <c r="C27" s="137">
        <v>82</v>
      </c>
      <c r="D27" s="102" t="s">
        <v>113</v>
      </c>
      <c r="E27" s="199">
        <f>IF(INDEX('Completion Matrix'!$I:$I,MATCH(Overview!$C27,'Completion Matrix'!$A:$A,0))=E$19,1,"")</f>
        <v>1</v>
      </c>
      <c r="F27" s="199" t="str">
        <f>IF(INDEX('Completion Matrix'!$I:$I,MATCH(Overview!$C27,'Completion Matrix'!$A:$A,0))=F$19,1,"")</f>
        <v/>
      </c>
      <c r="G27" s="199" t="str">
        <f>IF(INDEX('Completion Matrix'!$I:$I,MATCH(Overview!$C27,'Completion Matrix'!$A:$A,0))=G$19,1,"")</f>
        <v/>
      </c>
      <c r="H27" s="199" t="str">
        <f>IF(INDEX('Completion Matrix'!$I:$I,MATCH(Overview!$C27,'Completion Matrix'!$A:$A,0))=H$19,1,"")</f>
        <v/>
      </c>
      <c r="I27" s="138">
        <f t="shared" si="1"/>
        <v>1</v>
      </c>
      <c r="J27" s="238"/>
      <c r="K27" s="96"/>
      <c r="L27" s="199" t="str">
        <f>IF(INDEX('Completion Matrix'!$J:$J,MATCH(Overview!$C27,'Completion Matrix'!$A:$A,0))=L$19,1,"")</f>
        <v/>
      </c>
      <c r="M27" s="199">
        <f>IF(INDEX('Completion Matrix'!$J:$J,MATCH(Overview!$C27,'Completion Matrix'!$A:$A,0))=M$19,1,"")</f>
        <v>1</v>
      </c>
      <c r="N27" s="199" t="str">
        <f>IF(INDEX('Completion Matrix'!$J:$J,MATCH(Overview!$C27,'Completion Matrix'!$A:$A,0))=N$19,1,"")</f>
        <v/>
      </c>
      <c r="O27" s="199" t="str">
        <f>IF(INDEX('Completion Matrix'!$J:$J,MATCH(Overview!$C27,'Completion Matrix'!$A:$A,0))=O$19,1,"")</f>
        <v/>
      </c>
      <c r="P27" s="138">
        <f t="shared" si="0"/>
        <v>1</v>
      </c>
      <c r="Q27" s="228"/>
      <c r="W27" s="96"/>
      <c r="X27" s="96"/>
      <c r="Y27" s="96"/>
      <c r="Z27" s="96"/>
      <c r="AA27" s="96"/>
      <c r="AB27" s="96"/>
      <c r="AC27" s="96"/>
      <c r="AD27"/>
      <c r="AE27"/>
      <c r="AF27" s="230"/>
      <c r="AG27" s="94" t="s">
        <v>450</v>
      </c>
      <c r="AH27" s="94"/>
      <c r="AI27" s="95">
        <f>COUNTIFS('Completion Matrix'!$E:$E,Overview!AE7,'Completion Matrix'!$I:$I,"")</f>
        <v>0</v>
      </c>
    </row>
    <row r="28" spans="2:35" ht="25.5" hidden="1" customHeight="1" outlineLevel="1">
      <c r="B28" s="134"/>
      <c r="C28" s="135">
        <v>83</v>
      </c>
      <c r="D28" s="136" t="s">
        <v>115</v>
      </c>
      <c r="E28" s="199" t="str">
        <f>IF(INDEX('Completion Matrix'!$I:$I,MATCH(Overview!$C28,'Completion Matrix'!$A:$A,0))=E$19,1,"")</f>
        <v/>
      </c>
      <c r="F28" s="199">
        <f>IF(INDEX('Completion Matrix'!$I:$I,MATCH(Overview!$C28,'Completion Matrix'!$A:$A,0))=F$19,1,"")</f>
        <v>1</v>
      </c>
      <c r="G28" s="199" t="str">
        <f>IF(INDEX('Completion Matrix'!$I:$I,MATCH(Overview!$C28,'Completion Matrix'!$A:$A,0))=G$19,1,"")</f>
        <v/>
      </c>
      <c r="H28" s="199" t="str">
        <f>IF(INDEX('Completion Matrix'!$I:$I,MATCH(Overview!$C28,'Completion Matrix'!$A:$A,0))=H$19,1,"")</f>
        <v/>
      </c>
      <c r="I28" s="138">
        <f t="shared" si="1"/>
        <v>1</v>
      </c>
      <c r="J28" s="238"/>
      <c r="K28" s="96"/>
      <c r="L28" s="199" t="str">
        <f>IF(INDEX('Completion Matrix'!$J:$J,MATCH(Overview!$C28,'Completion Matrix'!$A:$A,0))=L$19,1,"")</f>
        <v/>
      </c>
      <c r="M28" s="199">
        <f>IF(INDEX('Completion Matrix'!$J:$J,MATCH(Overview!$C28,'Completion Matrix'!$A:$A,0))=M$19,1,"")</f>
        <v>1</v>
      </c>
      <c r="N28" s="199" t="str">
        <f>IF(INDEX('Completion Matrix'!$J:$J,MATCH(Overview!$C28,'Completion Matrix'!$A:$A,0))=N$19,1,"")</f>
        <v/>
      </c>
      <c r="O28" s="199" t="str">
        <f>IF(INDEX('Completion Matrix'!$J:$J,MATCH(Overview!$C28,'Completion Matrix'!$A:$A,0))=O$19,1,"")</f>
        <v/>
      </c>
      <c r="P28" s="138">
        <f t="shared" si="0"/>
        <v>1</v>
      </c>
      <c r="Q28" s="228"/>
      <c r="W28"/>
      <c r="X28"/>
      <c r="Y28"/>
      <c r="Z28"/>
      <c r="AA28"/>
      <c r="AB28"/>
      <c r="AC28"/>
      <c r="AD28"/>
      <c r="AE28"/>
      <c r="AF28"/>
      <c r="AG28"/>
      <c r="AH28"/>
      <c r="AI28"/>
    </row>
    <row r="29" spans="2:35" ht="38.25" hidden="1" customHeight="1" outlineLevel="1" collapsed="1">
      <c r="B29" s="134"/>
      <c r="C29" s="137">
        <v>84</v>
      </c>
      <c r="D29" s="102" t="s">
        <v>116</v>
      </c>
      <c r="E29" s="199">
        <f>IF(INDEX('Completion Matrix'!$I:$I,MATCH(Overview!$C29,'Completion Matrix'!$A:$A,0))=E$19,1,"")</f>
        <v>1</v>
      </c>
      <c r="F29" s="199" t="str">
        <f>IF(INDEX('Completion Matrix'!$I:$I,MATCH(Overview!$C29,'Completion Matrix'!$A:$A,0))=F$19,1,"")</f>
        <v/>
      </c>
      <c r="G29" s="199" t="str">
        <f>IF(INDEX('Completion Matrix'!$I:$I,MATCH(Overview!$C29,'Completion Matrix'!$A:$A,0))=G$19,1,"")</f>
        <v/>
      </c>
      <c r="H29" s="199" t="str">
        <f>IF(INDEX('Completion Matrix'!$I:$I,MATCH(Overview!$C29,'Completion Matrix'!$A:$A,0))=H$19,1,"")</f>
        <v/>
      </c>
      <c r="I29" s="138">
        <f t="shared" si="1"/>
        <v>1</v>
      </c>
      <c r="J29" s="238"/>
      <c r="K29" s="96"/>
      <c r="L29" s="199">
        <f>IF(INDEX('Completion Matrix'!$J:$J,MATCH(Overview!$C29,'Completion Matrix'!$A:$A,0))=L$19,1,"")</f>
        <v>1</v>
      </c>
      <c r="M29" s="199" t="str">
        <f>IF(INDEX('Completion Matrix'!$J:$J,MATCH(Overview!$C29,'Completion Matrix'!$A:$A,0))=M$19,1,"")</f>
        <v/>
      </c>
      <c r="N29" s="199" t="str">
        <f>IF(INDEX('Completion Matrix'!$J:$J,MATCH(Overview!$C29,'Completion Matrix'!$A:$A,0))=N$19,1,"")</f>
        <v/>
      </c>
      <c r="O29" s="199" t="str">
        <f>IF(INDEX('Completion Matrix'!$J:$J,MATCH(Overview!$C29,'Completion Matrix'!$A:$A,0))=O$19,1,"")</f>
        <v/>
      </c>
      <c r="P29" s="138">
        <f t="shared" si="0"/>
        <v>1</v>
      </c>
      <c r="Q29" s="228"/>
      <c r="W29"/>
      <c r="X29"/>
      <c r="Y29"/>
      <c r="Z29"/>
      <c r="AA29"/>
      <c r="AB29"/>
      <c r="AC29"/>
      <c r="AD29"/>
      <c r="AE29"/>
      <c r="AF29"/>
      <c r="AG29"/>
      <c r="AH29"/>
      <c r="AI29"/>
    </row>
    <row r="30" spans="2:35" ht="15" collapsed="1">
      <c r="B30" s="217" t="s">
        <v>430</v>
      </c>
      <c r="C30" s="218"/>
      <c r="D30" s="219"/>
      <c r="E30" s="199">
        <f>SUM(E31)</f>
        <v>1</v>
      </c>
      <c r="F30" s="199">
        <f t="shared" ref="F30:H30" si="2">SUM(F31)</f>
        <v>0</v>
      </c>
      <c r="G30" s="199">
        <f t="shared" si="2"/>
        <v>0</v>
      </c>
      <c r="H30" s="199">
        <f t="shared" si="2"/>
        <v>0</v>
      </c>
      <c r="I30" s="190">
        <f t="shared" ref="I30:I31" si="3">SUM(E30:H30)</f>
        <v>1</v>
      </c>
      <c r="J30" s="238"/>
      <c r="K30" s="96"/>
      <c r="L30" s="199">
        <f>SUM(L31)</f>
        <v>1</v>
      </c>
      <c r="M30" s="199">
        <f t="shared" ref="M30:O30" si="4">SUM(M31)</f>
        <v>0</v>
      </c>
      <c r="N30" s="199">
        <f t="shared" si="4"/>
        <v>0</v>
      </c>
      <c r="O30" s="199">
        <f t="shared" si="4"/>
        <v>0</v>
      </c>
      <c r="P30" s="190">
        <f t="shared" ref="P30:P31" si="5">SUM(L30:O30)</f>
        <v>1</v>
      </c>
      <c r="Q30" s="228"/>
      <c r="W30" s="96"/>
      <c r="X30" s="96"/>
      <c r="Y30" s="96"/>
      <c r="Z30" s="96"/>
      <c r="AA30" s="96"/>
      <c r="AB30" s="96"/>
      <c r="AC30" s="96"/>
      <c r="AD30"/>
      <c r="AE30"/>
      <c r="AF30"/>
      <c r="AG30" s="94" t="s">
        <v>462</v>
      </c>
      <c r="AH30" s="94"/>
      <c r="AI30" s="95">
        <f>COUNTIFS('Completion Matrix'!$E:$E,Overview!$AE$58,'Completion Matrix'!$I:$I,$AF$66,'Completion Matrix'!$J:$J,AG30)</f>
        <v>0</v>
      </c>
    </row>
    <row r="31" spans="2:35" ht="15" hidden="1" customHeight="1" outlineLevel="1">
      <c r="B31" s="134"/>
      <c r="C31" s="135">
        <v>47</v>
      </c>
      <c r="D31" s="136" t="s">
        <v>69</v>
      </c>
      <c r="E31" s="199">
        <f>IF(INDEX('Completion Matrix'!$I:$I,MATCH(Overview!$C31,'Completion Matrix'!$A:$A,0))=E$19,1,"")</f>
        <v>1</v>
      </c>
      <c r="F31" s="199" t="str">
        <f>IF(INDEX('Completion Matrix'!$I:$I,MATCH(Overview!$C31,'Completion Matrix'!$A:$A,0))=F$19,1,"")</f>
        <v/>
      </c>
      <c r="G31" s="199" t="str">
        <f>IF(INDEX('Completion Matrix'!$I:$I,MATCH(Overview!$C31,'Completion Matrix'!$A:$A,0))=G$19,1,"")</f>
        <v/>
      </c>
      <c r="H31" s="199" t="str">
        <f>IF(INDEX('Completion Matrix'!$I:$I,MATCH(Overview!$C31,'Completion Matrix'!$A:$A,0))=H$19,1,"")</f>
        <v/>
      </c>
      <c r="I31" s="190">
        <f t="shared" si="3"/>
        <v>1</v>
      </c>
      <c r="J31" s="238"/>
      <c r="K31" s="96"/>
      <c r="L31" s="199">
        <f>IF(INDEX('Completion Matrix'!$J:$J,MATCH(Overview!$C31,'Completion Matrix'!$A:$A,0))=L$19,1,"")</f>
        <v>1</v>
      </c>
      <c r="M31" s="199" t="str">
        <f>IF(INDEX('Completion Matrix'!$J:$J,MATCH(Overview!$C31,'Completion Matrix'!$A:$A,0))=M$19,1,"")</f>
        <v/>
      </c>
      <c r="N31" s="199" t="str">
        <f>IF(INDEX('Completion Matrix'!$J:$J,MATCH(Overview!$C31,'Completion Matrix'!$A:$A,0))=N$19,1,"")</f>
        <v/>
      </c>
      <c r="O31" s="199" t="str">
        <f>IF(INDEX('Completion Matrix'!$J:$J,MATCH(Overview!$C31,'Completion Matrix'!$A:$A,0))=O$19,1,"")</f>
        <v/>
      </c>
      <c r="P31" s="190">
        <f t="shared" si="5"/>
        <v>1</v>
      </c>
      <c r="Q31" s="228"/>
      <c r="W31" s="96"/>
      <c r="X31" s="96"/>
      <c r="Y31" s="96"/>
      <c r="Z31" s="96"/>
      <c r="AA31" s="96"/>
      <c r="AB31" s="96"/>
      <c r="AC31" s="96"/>
      <c r="AD31"/>
      <c r="AE31"/>
      <c r="AF31"/>
      <c r="AG31" s="94" t="s">
        <v>636</v>
      </c>
      <c r="AH31" s="94"/>
      <c r="AI31" s="95">
        <f>COUNTIFS('Completion Matrix'!$E:$E,Overview!$AE$58,'Completion Matrix'!$I:$I,$AF$66,'Completion Matrix'!$J:$J,AG31)</f>
        <v>0</v>
      </c>
    </row>
    <row r="32" spans="2:35" ht="15" collapsed="1">
      <c r="B32" s="217" t="s">
        <v>438</v>
      </c>
      <c r="C32" s="218"/>
      <c r="D32" s="219"/>
      <c r="E32" s="199">
        <f>SUM(E33:E47)</f>
        <v>12</v>
      </c>
      <c r="F32" s="199">
        <f>SUM(F33:F47)</f>
        <v>3</v>
      </c>
      <c r="G32" s="199">
        <f t="shared" ref="G32:H32" si="6">SUM(G33:G47)</f>
        <v>0</v>
      </c>
      <c r="H32" s="199">
        <f t="shared" si="6"/>
        <v>0</v>
      </c>
      <c r="I32" s="138">
        <v>15</v>
      </c>
      <c r="J32" s="238"/>
      <c r="K32" s="96"/>
      <c r="L32" s="199">
        <f>SUM(L33:L47)</f>
        <v>10</v>
      </c>
      <c r="M32" s="199">
        <f>SUM(M33:M47)</f>
        <v>5</v>
      </c>
      <c r="N32" s="199">
        <f t="shared" ref="N32:O32" si="7">SUM(N33:N47)</f>
        <v>0</v>
      </c>
      <c r="O32" s="199">
        <f t="shared" si="7"/>
        <v>0</v>
      </c>
      <c r="P32" s="138">
        <f>SUM(L32:O32)</f>
        <v>15</v>
      </c>
      <c r="Q32" s="228"/>
      <c r="W32" s="96"/>
      <c r="X32" s="96"/>
      <c r="Y32" s="96"/>
      <c r="Z32" s="96"/>
      <c r="AA32" s="96"/>
      <c r="AB32" s="96"/>
      <c r="AC32" s="96"/>
      <c r="AD32"/>
      <c r="AE32" s="224" t="s">
        <v>589</v>
      </c>
      <c r="AF32" s="227" t="s">
        <v>595</v>
      </c>
      <c r="AG32" s="94" t="s">
        <v>468</v>
      </c>
      <c r="AH32" s="94"/>
      <c r="AI32" s="95">
        <f>COUNTIFS('Completion Matrix'!$E:$E,Overview!$AE$32,'Completion Matrix'!$I:$I,$AF$32,'Completion Matrix'!$J:$J,AG32)</f>
        <v>0</v>
      </c>
    </row>
    <row r="33" spans="2:35" ht="15" hidden="1" customHeight="1" outlineLevel="1">
      <c r="B33"/>
      <c r="C33" s="106">
        <v>100</v>
      </c>
      <c r="D33" s="101" t="s">
        <v>106</v>
      </c>
      <c r="E33" s="199">
        <f>IF(INDEX('Completion Matrix'!$I:$I,MATCH(Overview!$C33,'Completion Matrix'!$A:$A,0))=E$19,1,"")</f>
        <v>1</v>
      </c>
      <c r="F33" s="199" t="str">
        <f>IF(INDEX('Completion Matrix'!$I:$I,MATCH(Overview!$C33,'Completion Matrix'!$A:$A,0))=F$19,1,"")</f>
        <v/>
      </c>
      <c r="G33" s="199" t="str">
        <f>IF(INDEX('Completion Matrix'!$I:$I,MATCH(Overview!$C33,'Completion Matrix'!$A:$A,0))=G$19,1,"")</f>
        <v/>
      </c>
      <c r="H33" s="199" t="str">
        <f>IF(INDEX('Completion Matrix'!$I:$I,MATCH(Overview!$C33,'Completion Matrix'!$A:$A,0))=H$19,1,"")</f>
        <v/>
      </c>
      <c r="I33" s="138">
        <f t="shared" si="1"/>
        <v>1</v>
      </c>
      <c r="J33" s="238"/>
      <c r="K33" s="96"/>
      <c r="L33" s="199">
        <f>IF(INDEX('Completion Matrix'!$J:$J,MATCH(Overview!$C33,'Completion Matrix'!$A:$A,0))=L$19,1,"")</f>
        <v>1</v>
      </c>
      <c r="M33" s="199" t="str">
        <f>IF(INDEX('Completion Matrix'!$J:$J,MATCH(Overview!$C33,'Completion Matrix'!$A:$A,0))=M$19,1,"")</f>
        <v/>
      </c>
      <c r="N33" s="199" t="str">
        <f>IF(INDEX('Completion Matrix'!$J:$J,MATCH(Overview!$C33,'Completion Matrix'!$A:$A,0))=N$19,1,"")</f>
        <v/>
      </c>
      <c r="O33" s="199" t="str">
        <f>IF(INDEX('Completion Matrix'!$J:$J,MATCH(Overview!$C33,'Completion Matrix'!$A:$A,0))=O$19,1,"")</f>
        <v/>
      </c>
      <c r="P33" s="138">
        <f>SUM(L33:O33)</f>
        <v>1</v>
      </c>
      <c r="Q33" s="228"/>
      <c r="W33" s="96"/>
      <c r="X33" s="96"/>
      <c r="Y33" s="96"/>
      <c r="Z33" s="96"/>
      <c r="AA33" s="96"/>
      <c r="AB33" s="96"/>
      <c r="AC33" s="96"/>
      <c r="AD33"/>
      <c r="AE33" s="225"/>
      <c r="AF33" s="227"/>
      <c r="AG33" s="94"/>
      <c r="AH33" s="94"/>
      <c r="AI33" s="95"/>
    </row>
    <row r="34" spans="2:35" ht="38.25" hidden="1" customHeight="1" outlineLevel="1" collapsed="1">
      <c r="B34"/>
      <c r="C34" s="105">
        <v>101</v>
      </c>
      <c r="D34" s="100" t="s">
        <v>133</v>
      </c>
      <c r="E34" s="199">
        <f>IF(INDEX('Completion Matrix'!$I:$I,MATCH(Overview!$C34,'Completion Matrix'!$A:$A,0))=E$19,1,"")</f>
        <v>1</v>
      </c>
      <c r="F34" s="199" t="str">
        <f>IF(INDEX('Completion Matrix'!$I:$I,MATCH(Overview!$C34,'Completion Matrix'!$A:$A,0))=F$19,1,"")</f>
        <v/>
      </c>
      <c r="G34" s="199" t="str">
        <f>IF(INDEX('Completion Matrix'!$I:$I,MATCH(Overview!$C34,'Completion Matrix'!$A:$A,0))=G$19,1,"")</f>
        <v/>
      </c>
      <c r="H34" s="199" t="str">
        <f>IF(INDEX('Completion Matrix'!$I:$I,MATCH(Overview!$C34,'Completion Matrix'!$A:$A,0))=H$19,1,"")</f>
        <v/>
      </c>
      <c r="I34" s="138">
        <f t="shared" si="1"/>
        <v>1</v>
      </c>
      <c r="J34" s="238"/>
      <c r="K34" s="96"/>
      <c r="L34" s="199">
        <f>IF(INDEX('Completion Matrix'!$J:$J,MATCH(Overview!$C34,'Completion Matrix'!$A:$A,0))=L$19,1,"")</f>
        <v>1</v>
      </c>
      <c r="M34" s="199" t="str">
        <f>IF(INDEX('Completion Matrix'!$J:$J,MATCH(Overview!$C34,'Completion Matrix'!$A:$A,0))=M$19,1,"")</f>
        <v/>
      </c>
      <c r="N34" s="199" t="str">
        <f>IF(INDEX('Completion Matrix'!$J:$J,MATCH(Overview!$C34,'Completion Matrix'!$A:$A,0))=N$19,1,"")</f>
        <v/>
      </c>
      <c r="O34" s="199" t="str">
        <f>IF(INDEX('Completion Matrix'!$J:$J,MATCH(Overview!$C34,'Completion Matrix'!$A:$A,0))=O$19,1,"")</f>
        <v/>
      </c>
      <c r="P34" s="190">
        <f t="shared" ref="P34:P47" si="8">SUM(L34:O34)</f>
        <v>1</v>
      </c>
      <c r="Q34" s="228"/>
      <c r="W34" s="96"/>
      <c r="X34" s="96"/>
      <c r="Y34" s="96"/>
      <c r="Z34" s="96"/>
      <c r="AA34" s="96"/>
      <c r="AB34" s="96"/>
      <c r="AC34" s="96"/>
      <c r="AD34"/>
      <c r="AE34" s="225"/>
      <c r="AF34" s="227"/>
      <c r="AG34" s="94" t="s">
        <v>459</v>
      </c>
      <c r="AH34" s="94"/>
      <c r="AI34" s="95">
        <f>COUNTIFS('Completion Matrix'!$E:$E,Overview!$AE$32,'Completion Matrix'!$I:$I,$AF$32,'Completion Matrix'!$J:$J,AG34)</f>
        <v>0</v>
      </c>
    </row>
    <row r="35" spans="2:35" ht="25.5" hidden="1" customHeight="1" outlineLevel="1">
      <c r="B35"/>
      <c r="C35" s="106">
        <v>102</v>
      </c>
      <c r="D35" s="101" t="s">
        <v>137</v>
      </c>
      <c r="E35" s="199">
        <f>IF(INDEX('Completion Matrix'!$I:$I,MATCH(Overview!$C35,'Completion Matrix'!$A:$A,0))=E$19,1,"")</f>
        <v>1</v>
      </c>
      <c r="F35" s="199" t="str">
        <f>IF(INDEX('Completion Matrix'!$I:$I,MATCH(Overview!$C35,'Completion Matrix'!$A:$A,0))=F$19,1,"")</f>
        <v/>
      </c>
      <c r="G35" s="199" t="str">
        <f>IF(INDEX('Completion Matrix'!$I:$I,MATCH(Overview!$C35,'Completion Matrix'!$A:$A,0))=G$19,1,"")</f>
        <v/>
      </c>
      <c r="H35" s="199" t="str">
        <f>IF(INDEX('Completion Matrix'!$I:$I,MATCH(Overview!$C35,'Completion Matrix'!$A:$A,0))=H$19,1,"")</f>
        <v/>
      </c>
      <c r="I35" s="138">
        <f t="shared" si="1"/>
        <v>1</v>
      </c>
      <c r="J35" s="238"/>
      <c r="K35" s="96"/>
      <c r="L35" s="199" t="str">
        <f>IF(INDEX('Completion Matrix'!$J:$J,MATCH(Overview!$C35,'Completion Matrix'!$A:$A,0))=L$19,1,"")</f>
        <v/>
      </c>
      <c r="M35" s="199">
        <f>IF(INDEX('Completion Matrix'!$J:$J,MATCH(Overview!$C35,'Completion Matrix'!$A:$A,0))=M$19,1,"")</f>
        <v>1</v>
      </c>
      <c r="N35" s="199" t="str">
        <f>IF(INDEX('Completion Matrix'!$J:$J,MATCH(Overview!$C35,'Completion Matrix'!$A:$A,0))=N$19,1,"")</f>
        <v/>
      </c>
      <c r="O35" s="199" t="str">
        <f>IF(INDEX('Completion Matrix'!$J:$J,MATCH(Overview!$C35,'Completion Matrix'!$A:$A,0))=O$19,1,"")</f>
        <v/>
      </c>
      <c r="P35" s="190">
        <f t="shared" si="8"/>
        <v>1</v>
      </c>
      <c r="Q35" s="228"/>
      <c r="W35" s="96"/>
      <c r="X35" s="96"/>
      <c r="Y35" s="96"/>
      <c r="Z35" s="96"/>
      <c r="AA35" s="96"/>
      <c r="AB35" s="96"/>
      <c r="AC35" s="96"/>
      <c r="AD35"/>
      <c r="AE35" s="225"/>
      <c r="AF35" s="227"/>
      <c r="AG35" s="94" t="s">
        <v>462</v>
      </c>
      <c r="AH35" s="94"/>
      <c r="AI35" s="95">
        <f>COUNTIFS('Completion Matrix'!$E:$E,Overview!$AE$32,'Completion Matrix'!$I:$I,$AF$32,'Completion Matrix'!$J:$J,AG35)</f>
        <v>0</v>
      </c>
    </row>
    <row r="36" spans="2:35" ht="25.5" hidden="1" customHeight="1" outlineLevel="1">
      <c r="B36"/>
      <c r="C36" s="106">
        <v>103</v>
      </c>
      <c r="D36" s="101" t="s">
        <v>138</v>
      </c>
      <c r="E36" s="199">
        <f>IF(INDEX('Completion Matrix'!$I:$I,MATCH(Overview!$C36,'Completion Matrix'!$A:$A,0))=E$19,1,"")</f>
        <v>1</v>
      </c>
      <c r="F36" s="199" t="str">
        <f>IF(INDEX('Completion Matrix'!$I:$I,MATCH(Overview!$C36,'Completion Matrix'!$A:$A,0))=F$19,1,"")</f>
        <v/>
      </c>
      <c r="G36" s="199" t="str">
        <f>IF(INDEX('Completion Matrix'!$I:$I,MATCH(Overview!$C36,'Completion Matrix'!$A:$A,0))=G$19,1,"")</f>
        <v/>
      </c>
      <c r="H36" s="199" t="str">
        <f>IF(INDEX('Completion Matrix'!$I:$I,MATCH(Overview!$C36,'Completion Matrix'!$A:$A,0))=H$19,1,"")</f>
        <v/>
      </c>
      <c r="I36" s="190">
        <f>SUM(E36:H36)</f>
        <v>1</v>
      </c>
      <c r="J36" s="238"/>
      <c r="K36" s="96"/>
      <c r="L36" s="199">
        <f>IF(INDEX('Completion Matrix'!$J:$J,MATCH(Overview!$C36,'Completion Matrix'!$A:$A,0))=L$19,1,"")</f>
        <v>1</v>
      </c>
      <c r="M36" s="199" t="str">
        <f>IF(INDEX('Completion Matrix'!$J:$J,MATCH(Overview!$C36,'Completion Matrix'!$A:$A,0))=M$19,1,"")</f>
        <v/>
      </c>
      <c r="N36" s="199" t="str">
        <f>IF(INDEX('Completion Matrix'!$J:$J,MATCH(Overview!$C36,'Completion Matrix'!$A:$A,0))=N$19,1,"")</f>
        <v/>
      </c>
      <c r="O36" s="199" t="str">
        <f>IF(INDEX('Completion Matrix'!$J:$J,MATCH(Overview!$C36,'Completion Matrix'!$A:$A,0))=O$19,1,"")</f>
        <v/>
      </c>
      <c r="P36" s="190">
        <f t="shared" si="8"/>
        <v>1</v>
      </c>
      <c r="Q36" s="228"/>
      <c r="W36" s="96"/>
      <c r="X36" s="96"/>
      <c r="Y36" s="96"/>
      <c r="Z36" s="96"/>
      <c r="AA36" s="96"/>
      <c r="AB36" s="96"/>
      <c r="AC36" s="96"/>
      <c r="AD36"/>
      <c r="AE36" s="225"/>
      <c r="AF36" s="227"/>
      <c r="AG36" s="94"/>
      <c r="AH36" s="94"/>
      <c r="AI36" s="95"/>
    </row>
    <row r="37" spans="2:35" ht="38.25" hidden="1" customHeight="1" outlineLevel="1">
      <c r="B37"/>
      <c r="C37" s="106">
        <v>104</v>
      </c>
      <c r="D37" s="101" t="s">
        <v>140</v>
      </c>
      <c r="E37" s="199">
        <f>IF(INDEX('Completion Matrix'!$I:$I,MATCH(Overview!$C37,'Completion Matrix'!$A:$A,0))=E$19,1,"")</f>
        <v>1</v>
      </c>
      <c r="F37" s="199" t="str">
        <f>IF(INDEX('Completion Matrix'!$I:$I,MATCH(Overview!$C37,'Completion Matrix'!$A:$A,0))=F$19,1,"")</f>
        <v/>
      </c>
      <c r="G37" s="199" t="str">
        <f>IF(INDEX('Completion Matrix'!$I:$I,MATCH(Overview!$C37,'Completion Matrix'!$A:$A,0))=G$19,1,"")</f>
        <v/>
      </c>
      <c r="H37" s="199" t="str">
        <f>IF(INDEX('Completion Matrix'!$I:$I,MATCH(Overview!$C37,'Completion Matrix'!$A:$A,0))=H$19,1,"")</f>
        <v/>
      </c>
      <c r="I37" s="138">
        <f t="shared" si="1"/>
        <v>1</v>
      </c>
      <c r="J37" s="238"/>
      <c r="K37" s="96"/>
      <c r="L37" s="199" t="str">
        <f>IF(INDEX('Completion Matrix'!$J:$J,MATCH(Overview!$C37,'Completion Matrix'!$A:$A,0))=L$19,1,"")</f>
        <v/>
      </c>
      <c r="M37" s="199">
        <f>IF(INDEX('Completion Matrix'!$J:$J,MATCH(Overview!$C37,'Completion Matrix'!$A:$A,0))=M$19,1,"")</f>
        <v>1</v>
      </c>
      <c r="N37" s="199" t="str">
        <f>IF(INDEX('Completion Matrix'!$J:$J,MATCH(Overview!$C37,'Completion Matrix'!$A:$A,0))=N$19,1,"")</f>
        <v/>
      </c>
      <c r="O37" s="199" t="str">
        <f>IF(INDEX('Completion Matrix'!$J:$J,MATCH(Overview!$C37,'Completion Matrix'!$A:$A,0))=O$19,1,"")</f>
        <v/>
      </c>
      <c r="P37" s="190">
        <f t="shared" si="8"/>
        <v>1</v>
      </c>
      <c r="Q37" s="228"/>
      <c r="W37" s="96"/>
      <c r="X37" s="96"/>
      <c r="Y37" s="96"/>
      <c r="Z37" s="96"/>
      <c r="AA37" s="96"/>
      <c r="AB37" s="96"/>
      <c r="AC37" s="96"/>
      <c r="AD37"/>
      <c r="AE37" s="225"/>
      <c r="AF37" s="227"/>
      <c r="AG37" s="94" t="s">
        <v>636</v>
      </c>
      <c r="AH37" s="94"/>
      <c r="AI37" s="95">
        <f>COUNTIFS('Completion Matrix'!$E:$E,Overview!$AE$32,'Completion Matrix'!$I:$I,$AF$32,'Completion Matrix'!$J:$J,AG37)</f>
        <v>0</v>
      </c>
    </row>
    <row r="38" spans="2:35" ht="38.25" hidden="1" customHeight="1" outlineLevel="1">
      <c r="B38"/>
      <c r="C38" s="105">
        <v>105</v>
      </c>
      <c r="D38" s="100" t="s">
        <v>144</v>
      </c>
      <c r="E38" s="199" t="str">
        <f>IF(INDEX('Completion Matrix'!$I:$I,MATCH(Overview!$C38,'Completion Matrix'!$A:$A,0))=E$19,1,"")</f>
        <v/>
      </c>
      <c r="F38" s="199">
        <f>IF(INDEX('Completion Matrix'!$I:$I,MATCH(Overview!$C38,'Completion Matrix'!$A:$A,0))=F$19,1,"")</f>
        <v>1</v>
      </c>
      <c r="G38" s="199" t="str">
        <f>IF(INDEX('Completion Matrix'!$I:$I,MATCH(Overview!$C38,'Completion Matrix'!$A:$A,0))=G$19,1,"")</f>
        <v/>
      </c>
      <c r="H38" s="199" t="str">
        <f>IF(INDEX('Completion Matrix'!$I:$I,MATCH(Overview!$C38,'Completion Matrix'!$A:$A,0))=H$19,1,"")</f>
        <v/>
      </c>
      <c r="I38" s="138">
        <f t="shared" si="1"/>
        <v>1</v>
      </c>
      <c r="J38" s="238"/>
      <c r="K38" s="96"/>
      <c r="L38" s="199" t="str">
        <f>IF(INDEX('Completion Matrix'!$J:$J,MATCH(Overview!$C38,'Completion Matrix'!$A:$A,0))=L$19,1,"")</f>
        <v/>
      </c>
      <c r="M38" s="199">
        <f>IF(INDEX('Completion Matrix'!$J:$J,MATCH(Overview!$C38,'Completion Matrix'!$A:$A,0))=M$19,1,"")</f>
        <v>1</v>
      </c>
      <c r="N38" s="199" t="str">
        <f>IF(INDEX('Completion Matrix'!$J:$J,MATCH(Overview!$C38,'Completion Matrix'!$A:$A,0))=N$19,1,"")</f>
        <v/>
      </c>
      <c r="O38" s="199" t="str">
        <f>IF(INDEX('Completion Matrix'!$J:$J,MATCH(Overview!$C38,'Completion Matrix'!$A:$A,0))=O$19,1,"")</f>
        <v/>
      </c>
      <c r="P38" s="190">
        <f t="shared" si="8"/>
        <v>1</v>
      </c>
      <c r="Q38" s="228"/>
      <c r="W38" s="96"/>
      <c r="X38" s="96"/>
      <c r="Y38" s="96"/>
      <c r="Z38" s="96"/>
      <c r="AA38" s="96"/>
      <c r="AB38" s="96"/>
      <c r="AC38" s="96"/>
      <c r="AD38"/>
      <c r="AE38" s="225"/>
      <c r="AF38" s="227" t="s">
        <v>594</v>
      </c>
      <c r="AG38" s="94" t="s">
        <v>468</v>
      </c>
      <c r="AH38" s="94"/>
      <c r="AI38" s="95">
        <f>COUNTIFS('Completion Matrix'!$E:$E,Overview!$AE$32,'Completion Matrix'!$I:$I,$AF$38,'Completion Matrix'!$J:$J,AG38)</f>
        <v>0</v>
      </c>
    </row>
    <row r="39" spans="2:35" ht="63.75" hidden="1" customHeight="1" outlineLevel="1">
      <c r="B39"/>
      <c r="C39" s="106">
        <v>106</v>
      </c>
      <c r="D39" s="101" t="s">
        <v>148</v>
      </c>
      <c r="E39" s="199">
        <f>IF(INDEX('Completion Matrix'!$I:$I,MATCH(Overview!$C39,'Completion Matrix'!$A:$A,0))=E$19,1,"")</f>
        <v>1</v>
      </c>
      <c r="F39" s="199" t="str">
        <f>IF(INDEX('Completion Matrix'!$I:$I,MATCH(Overview!$C39,'Completion Matrix'!$A:$A,0))=F$19,1,"")</f>
        <v/>
      </c>
      <c r="G39" s="199" t="str">
        <f>IF(INDEX('Completion Matrix'!$I:$I,MATCH(Overview!$C39,'Completion Matrix'!$A:$A,0))=G$19,1,"")</f>
        <v/>
      </c>
      <c r="H39" s="199" t="str">
        <f>IF(INDEX('Completion Matrix'!$I:$I,MATCH(Overview!$C39,'Completion Matrix'!$A:$A,0))=H$19,1,"")</f>
        <v/>
      </c>
      <c r="I39" s="138">
        <f t="shared" si="1"/>
        <v>1</v>
      </c>
      <c r="J39" s="238"/>
      <c r="K39" s="96"/>
      <c r="L39" s="199">
        <f>IF(INDEX('Completion Matrix'!$J:$J,MATCH(Overview!$C39,'Completion Matrix'!$A:$A,0))=L$19,1,"")</f>
        <v>1</v>
      </c>
      <c r="M39" s="199" t="str">
        <f>IF(INDEX('Completion Matrix'!$J:$J,MATCH(Overview!$C39,'Completion Matrix'!$A:$A,0))=M$19,1,"")</f>
        <v/>
      </c>
      <c r="N39" s="199" t="str">
        <f>IF(INDEX('Completion Matrix'!$J:$J,MATCH(Overview!$C39,'Completion Matrix'!$A:$A,0))=N$19,1,"")</f>
        <v/>
      </c>
      <c r="O39" s="199" t="str">
        <f>IF(INDEX('Completion Matrix'!$J:$J,MATCH(Overview!$C39,'Completion Matrix'!$A:$A,0))=O$19,1,"")</f>
        <v/>
      </c>
      <c r="P39" s="190">
        <f t="shared" si="8"/>
        <v>1</v>
      </c>
      <c r="Q39" s="228"/>
      <c r="W39" s="96"/>
      <c r="X39" s="96"/>
      <c r="Y39" s="96"/>
      <c r="Z39" s="96"/>
      <c r="AA39" s="96"/>
      <c r="AB39" s="96"/>
      <c r="AC39" s="96"/>
      <c r="AD39"/>
      <c r="AE39" s="225"/>
      <c r="AF39" s="227"/>
      <c r="AG39" s="94" t="s">
        <v>459</v>
      </c>
      <c r="AH39" s="94"/>
      <c r="AI39" s="95">
        <f>COUNTIFS('Completion Matrix'!$E:$E,Overview!$AE$32,'Completion Matrix'!$I:$I,$AF$38,'Completion Matrix'!$J:$J,AG39)</f>
        <v>0</v>
      </c>
    </row>
    <row r="40" spans="2:35" ht="25.5" hidden="1" customHeight="1" outlineLevel="1">
      <c r="B40"/>
      <c r="C40" s="105">
        <v>107</v>
      </c>
      <c r="D40" s="100" t="s">
        <v>149</v>
      </c>
      <c r="E40" s="199">
        <f>IF(INDEX('Completion Matrix'!$I:$I,MATCH(Overview!$C40,'Completion Matrix'!$A:$A,0))=E$19,1,"")</f>
        <v>1</v>
      </c>
      <c r="F40" s="199" t="str">
        <f>IF(INDEX('Completion Matrix'!$I:$I,MATCH(Overview!$C40,'Completion Matrix'!$A:$A,0))=F$19,1,"")</f>
        <v/>
      </c>
      <c r="G40" s="199" t="str">
        <f>IF(INDEX('Completion Matrix'!$I:$I,MATCH(Overview!$C40,'Completion Matrix'!$A:$A,0))=G$19,1,"")</f>
        <v/>
      </c>
      <c r="H40" s="199" t="str">
        <f>IF(INDEX('Completion Matrix'!$I:$I,MATCH(Overview!$C40,'Completion Matrix'!$A:$A,0))=H$19,1,"")</f>
        <v/>
      </c>
      <c r="I40" s="138">
        <f t="shared" si="1"/>
        <v>1</v>
      </c>
      <c r="J40" s="238"/>
      <c r="K40" s="96"/>
      <c r="L40" s="199">
        <f>IF(INDEX('Completion Matrix'!$J:$J,MATCH(Overview!$C40,'Completion Matrix'!$A:$A,0))=L$19,1,"")</f>
        <v>1</v>
      </c>
      <c r="M40" s="199" t="str">
        <f>IF(INDEX('Completion Matrix'!$J:$J,MATCH(Overview!$C40,'Completion Matrix'!$A:$A,0))=M$19,1,"")</f>
        <v/>
      </c>
      <c r="N40" s="199" t="str">
        <f>IF(INDEX('Completion Matrix'!$J:$J,MATCH(Overview!$C40,'Completion Matrix'!$A:$A,0))=N$19,1,"")</f>
        <v/>
      </c>
      <c r="O40" s="199" t="str">
        <f>IF(INDEX('Completion Matrix'!$J:$J,MATCH(Overview!$C40,'Completion Matrix'!$A:$A,0))=O$19,1,"")</f>
        <v/>
      </c>
      <c r="P40" s="190">
        <f t="shared" si="8"/>
        <v>1</v>
      </c>
      <c r="Q40" s="228"/>
      <c r="W40" s="96"/>
      <c r="X40" s="96"/>
      <c r="Y40" s="96"/>
      <c r="Z40" s="96"/>
      <c r="AA40" s="96"/>
      <c r="AB40" s="96"/>
      <c r="AC40" s="96"/>
      <c r="AD40"/>
      <c r="AE40" s="225"/>
      <c r="AF40" s="227"/>
      <c r="AG40" s="94" t="s">
        <v>462</v>
      </c>
      <c r="AH40" s="94"/>
      <c r="AI40" s="95">
        <f>COUNTIFS('Completion Matrix'!$E:$E,Overview!$AE$32,'Completion Matrix'!$I:$I,$AF$38,'Completion Matrix'!$J:$J,AG40)</f>
        <v>0</v>
      </c>
    </row>
    <row r="41" spans="2:35" ht="63.75" hidden="1" customHeight="1" outlineLevel="1">
      <c r="B41"/>
      <c r="C41" s="106">
        <v>108</v>
      </c>
      <c r="D41" s="101" t="s">
        <v>150</v>
      </c>
      <c r="E41" s="199">
        <f>IF(INDEX('Completion Matrix'!$I:$I,MATCH(Overview!$C41,'Completion Matrix'!$A:$A,0))=E$19,1,"")</f>
        <v>1</v>
      </c>
      <c r="F41" s="199" t="str">
        <f>IF(INDEX('Completion Matrix'!$I:$I,MATCH(Overview!$C41,'Completion Matrix'!$A:$A,0))=F$19,1,"")</f>
        <v/>
      </c>
      <c r="G41" s="199" t="str">
        <f>IF(INDEX('Completion Matrix'!$I:$I,MATCH(Overview!$C41,'Completion Matrix'!$A:$A,0))=G$19,1,"")</f>
        <v/>
      </c>
      <c r="H41" s="199" t="str">
        <f>IF(INDEX('Completion Matrix'!$I:$I,MATCH(Overview!$C41,'Completion Matrix'!$A:$A,0))=H$19,1,"")</f>
        <v/>
      </c>
      <c r="I41" s="138">
        <f t="shared" si="1"/>
        <v>1</v>
      </c>
      <c r="J41" s="238"/>
      <c r="K41" s="96"/>
      <c r="L41" s="199">
        <f>IF(INDEX('Completion Matrix'!$J:$J,MATCH(Overview!$C41,'Completion Matrix'!$A:$A,0))=L$19,1,"")</f>
        <v>1</v>
      </c>
      <c r="M41" s="199" t="str">
        <f>IF(INDEX('Completion Matrix'!$J:$J,MATCH(Overview!$C41,'Completion Matrix'!$A:$A,0))=M$19,1,"")</f>
        <v/>
      </c>
      <c r="N41" s="199" t="str">
        <f>IF(INDEX('Completion Matrix'!$J:$J,MATCH(Overview!$C41,'Completion Matrix'!$A:$A,0))=N$19,1,"")</f>
        <v/>
      </c>
      <c r="O41" s="199" t="str">
        <f>IF(INDEX('Completion Matrix'!$J:$J,MATCH(Overview!$C41,'Completion Matrix'!$A:$A,0))=O$19,1,"")</f>
        <v/>
      </c>
      <c r="P41" s="190">
        <f t="shared" si="8"/>
        <v>1</v>
      </c>
      <c r="Q41" s="228"/>
      <c r="W41" s="96"/>
      <c r="X41" s="96"/>
      <c r="Y41" s="96"/>
      <c r="Z41" s="96"/>
      <c r="AA41" s="96"/>
      <c r="AB41" s="96"/>
      <c r="AC41" s="96"/>
      <c r="AD41"/>
      <c r="AE41" s="225"/>
      <c r="AF41" s="227"/>
      <c r="AG41" s="94" t="s">
        <v>637</v>
      </c>
      <c r="AH41" s="94"/>
      <c r="AI41" s="95">
        <f>COUNTIFS('Completion Matrix'!$E:$E,Overview!$AE$32,'Completion Matrix'!$I:$I,$AF$38,'Completion Matrix'!$J:$J,AG41)</f>
        <v>0</v>
      </c>
    </row>
    <row r="42" spans="2:35" ht="63.75" hidden="1" customHeight="1" outlineLevel="1">
      <c r="B42"/>
      <c r="C42" s="106">
        <v>109</v>
      </c>
      <c r="D42" s="101" t="s">
        <v>151</v>
      </c>
      <c r="E42" s="199">
        <f>IF(INDEX('Completion Matrix'!$I:$I,MATCH(Overview!$C42,'Completion Matrix'!$A:$A,0))=E$19,1,"")</f>
        <v>1</v>
      </c>
      <c r="F42" s="199" t="str">
        <f>IF(INDEX('Completion Matrix'!$I:$I,MATCH(Overview!$C42,'Completion Matrix'!$A:$A,0))=F$19,1,"")</f>
        <v/>
      </c>
      <c r="G42" s="199" t="str">
        <f>IF(INDEX('Completion Matrix'!$I:$I,MATCH(Overview!$C42,'Completion Matrix'!$A:$A,0))=G$19,1,"")</f>
        <v/>
      </c>
      <c r="H42" s="199" t="str">
        <f>IF(INDEX('Completion Matrix'!$I:$I,MATCH(Overview!$C42,'Completion Matrix'!$A:$A,0))=H$19,1,"")</f>
        <v/>
      </c>
      <c r="I42" s="190">
        <f t="shared" ref="I42:I43" si="9">SUM(E42:H42)</f>
        <v>1</v>
      </c>
      <c r="J42" s="238"/>
      <c r="K42" s="96"/>
      <c r="L42" s="199">
        <f>IF(INDEX('Completion Matrix'!$J:$J,MATCH(Overview!$C42,'Completion Matrix'!$A:$A,0))=L$19,1,"")</f>
        <v>1</v>
      </c>
      <c r="M42" s="199" t="str">
        <f>IF(INDEX('Completion Matrix'!$J:$J,MATCH(Overview!$C42,'Completion Matrix'!$A:$A,0))=M$19,1,"")</f>
        <v/>
      </c>
      <c r="N42" s="199" t="str">
        <f>IF(INDEX('Completion Matrix'!$J:$J,MATCH(Overview!$C42,'Completion Matrix'!$A:$A,0))=N$19,1,"")</f>
        <v/>
      </c>
      <c r="O42" s="199" t="str">
        <f>IF(INDEX('Completion Matrix'!$J:$J,MATCH(Overview!$C42,'Completion Matrix'!$A:$A,0))=O$19,1,"")</f>
        <v/>
      </c>
      <c r="P42" s="190">
        <f t="shared" si="8"/>
        <v>1</v>
      </c>
      <c r="Q42" s="228"/>
      <c r="W42" s="96"/>
      <c r="X42" s="96"/>
      <c r="Y42" s="96"/>
      <c r="Z42" s="96"/>
      <c r="AA42" s="96"/>
      <c r="AB42" s="96"/>
      <c r="AC42" s="96"/>
      <c r="AD42"/>
      <c r="AE42" s="225"/>
      <c r="AF42" s="191"/>
      <c r="AG42" s="94"/>
      <c r="AH42" s="94"/>
      <c r="AI42" s="95"/>
    </row>
    <row r="43" spans="2:35" ht="63.75" hidden="1" customHeight="1" outlineLevel="1">
      <c r="B43"/>
      <c r="C43" s="106">
        <v>110</v>
      </c>
      <c r="D43" s="101" t="s">
        <v>152</v>
      </c>
      <c r="E43" s="199">
        <f>IF(INDEX('Completion Matrix'!$I:$I,MATCH(Overview!$C43,'Completion Matrix'!$A:$A,0))=E$19,1,"")</f>
        <v>1</v>
      </c>
      <c r="F43" s="199" t="str">
        <f>IF(INDEX('Completion Matrix'!$I:$I,MATCH(Overview!$C43,'Completion Matrix'!$A:$A,0))=F$19,1,"")</f>
        <v/>
      </c>
      <c r="G43" s="199" t="str">
        <f>IF(INDEX('Completion Matrix'!$I:$I,MATCH(Overview!$C43,'Completion Matrix'!$A:$A,0))=G$19,1,"")</f>
        <v/>
      </c>
      <c r="H43" s="199" t="str">
        <f>IF(INDEX('Completion Matrix'!$I:$I,MATCH(Overview!$C43,'Completion Matrix'!$A:$A,0))=H$19,1,"")</f>
        <v/>
      </c>
      <c r="I43" s="190">
        <f t="shared" si="9"/>
        <v>1</v>
      </c>
      <c r="J43" s="238"/>
      <c r="K43" s="96"/>
      <c r="L43" s="199">
        <f>IF(INDEX('Completion Matrix'!$J:$J,MATCH(Overview!$C43,'Completion Matrix'!$A:$A,0))=L$19,1,"")</f>
        <v>1</v>
      </c>
      <c r="M43" s="199" t="str">
        <f>IF(INDEX('Completion Matrix'!$J:$J,MATCH(Overview!$C43,'Completion Matrix'!$A:$A,0))=M$19,1,"")</f>
        <v/>
      </c>
      <c r="N43" s="199" t="str">
        <f>IF(INDEX('Completion Matrix'!$J:$J,MATCH(Overview!$C43,'Completion Matrix'!$A:$A,0))=N$19,1,"")</f>
        <v/>
      </c>
      <c r="O43" s="199" t="str">
        <f>IF(INDEX('Completion Matrix'!$J:$J,MATCH(Overview!$C43,'Completion Matrix'!$A:$A,0))=O$19,1,"")</f>
        <v/>
      </c>
      <c r="P43" s="190">
        <f t="shared" si="8"/>
        <v>1</v>
      </c>
      <c r="Q43" s="228"/>
      <c r="W43" s="96"/>
      <c r="X43" s="96"/>
      <c r="Y43" s="96"/>
      <c r="Z43" s="96"/>
      <c r="AA43" s="96"/>
      <c r="AB43" s="96"/>
      <c r="AC43" s="96"/>
      <c r="AD43"/>
      <c r="AE43" s="225"/>
      <c r="AF43" s="191"/>
      <c r="AG43" s="94"/>
      <c r="AH43" s="94"/>
      <c r="AI43" s="95"/>
    </row>
    <row r="44" spans="2:35" ht="15" hidden="1" customHeight="1" outlineLevel="1">
      <c r="B44"/>
      <c r="C44" s="106">
        <v>128</v>
      </c>
      <c r="D44" s="101" t="s">
        <v>106</v>
      </c>
      <c r="E44" s="199">
        <f>IF(INDEX('Completion Matrix'!$I:$I,MATCH(Overview!$C44,'Completion Matrix'!$A:$A,0))=E$19,1,"")</f>
        <v>1</v>
      </c>
      <c r="F44" s="199" t="str">
        <f>IF(INDEX('Completion Matrix'!$I:$I,MATCH(Overview!$C44,'Completion Matrix'!$A:$A,0))=F$19,1,"")</f>
        <v/>
      </c>
      <c r="G44" s="199" t="str">
        <f>IF(INDEX('Completion Matrix'!$I:$I,MATCH(Overview!$C44,'Completion Matrix'!$A:$A,0))=G$19,1,"")</f>
        <v/>
      </c>
      <c r="H44" s="199" t="str">
        <f>IF(INDEX('Completion Matrix'!$I:$I,MATCH(Overview!$C44,'Completion Matrix'!$A:$A,0))=H$19,1,"")</f>
        <v/>
      </c>
      <c r="I44" s="138">
        <f t="shared" si="1"/>
        <v>1</v>
      </c>
      <c r="J44" s="238"/>
      <c r="K44" s="96"/>
      <c r="L44" s="199">
        <f>IF(INDEX('Completion Matrix'!$J:$J,MATCH(Overview!$C44,'Completion Matrix'!$A:$A,0))=L$19,1,"")</f>
        <v>1</v>
      </c>
      <c r="M44" s="199" t="str">
        <f>IF(INDEX('Completion Matrix'!$J:$J,MATCH(Overview!$C44,'Completion Matrix'!$A:$A,0))=M$19,1,"")</f>
        <v/>
      </c>
      <c r="N44" s="199" t="str">
        <f>IF(INDEX('Completion Matrix'!$J:$J,MATCH(Overview!$C44,'Completion Matrix'!$A:$A,0))=N$19,1,"")</f>
        <v/>
      </c>
      <c r="O44" s="199" t="str">
        <f>IF(INDEX('Completion Matrix'!$J:$J,MATCH(Overview!$C44,'Completion Matrix'!$A:$A,0))=O$19,1,"")</f>
        <v/>
      </c>
      <c r="P44" s="190">
        <f t="shared" si="8"/>
        <v>1</v>
      </c>
      <c r="Q44" s="228"/>
      <c r="W44" s="96"/>
      <c r="X44" s="96"/>
      <c r="Y44" s="96"/>
      <c r="Z44" s="96"/>
      <c r="AA44" s="96"/>
      <c r="AB44" s="96"/>
      <c r="AC44" s="96"/>
      <c r="AD44"/>
      <c r="AE44" s="225"/>
      <c r="AF44" s="227" t="s">
        <v>593</v>
      </c>
      <c r="AG44" s="94" t="s">
        <v>468</v>
      </c>
      <c r="AH44" s="94"/>
      <c r="AI44" s="95">
        <f>COUNTIFS('Completion Matrix'!$E:$E,Overview!$AE$32,'Completion Matrix'!$I:$I,$AF$44,'Completion Matrix'!$J:$J,AG44)</f>
        <v>0</v>
      </c>
    </row>
    <row r="45" spans="2:35" ht="38.25" hidden="1" customHeight="1" outlineLevel="1">
      <c r="B45"/>
      <c r="C45" s="105">
        <v>129</v>
      </c>
      <c r="D45" s="100" t="s">
        <v>216</v>
      </c>
      <c r="E45" s="199">
        <f>IF(INDEX('Completion Matrix'!$I:$I,MATCH(Overview!$C45,'Completion Matrix'!$A:$A,0))=E$19,1,"")</f>
        <v>1</v>
      </c>
      <c r="F45" s="199" t="str">
        <f>IF(INDEX('Completion Matrix'!$I:$I,MATCH(Overview!$C45,'Completion Matrix'!$A:$A,0))=F$19,1,"")</f>
        <v/>
      </c>
      <c r="G45" s="199" t="str">
        <f>IF(INDEX('Completion Matrix'!$I:$I,MATCH(Overview!$C45,'Completion Matrix'!$A:$A,0))=G$19,1,"")</f>
        <v/>
      </c>
      <c r="H45" s="199" t="str">
        <f>IF(INDEX('Completion Matrix'!$I:$I,MATCH(Overview!$C45,'Completion Matrix'!$A:$A,0))=H$19,1,"")</f>
        <v/>
      </c>
      <c r="I45" s="138">
        <f t="shared" si="1"/>
        <v>1</v>
      </c>
      <c r="J45" s="238"/>
      <c r="K45" s="96"/>
      <c r="L45" s="199">
        <f>IF(INDEX('Completion Matrix'!$J:$J,MATCH(Overview!$C45,'Completion Matrix'!$A:$A,0))=L$19,1,"")</f>
        <v>1</v>
      </c>
      <c r="M45" s="199" t="str">
        <f>IF(INDEX('Completion Matrix'!$J:$J,MATCH(Overview!$C45,'Completion Matrix'!$A:$A,0))=M$19,1,"")</f>
        <v/>
      </c>
      <c r="N45" s="199" t="str">
        <f>IF(INDEX('Completion Matrix'!$J:$J,MATCH(Overview!$C45,'Completion Matrix'!$A:$A,0))=N$19,1,"")</f>
        <v/>
      </c>
      <c r="O45" s="199" t="str">
        <f>IF(INDEX('Completion Matrix'!$J:$J,MATCH(Overview!$C45,'Completion Matrix'!$A:$A,0))=O$19,1,"")</f>
        <v/>
      </c>
      <c r="P45" s="190">
        <f t="shared" si="8"/>
        <v>1</v>
      </c>
      <c r="Q45" s="228"/>
      <c r="W45" s="96"/>
      <c r="X45" s="96"/>
      <c r="Y45" s="96"/>
      <c r="Z45" s="96"/>
      <c r="AA45" s="96"/>
      <c r="AB45" s="96"/>
      <c r="AC45" s="96"/>
      <c r="AD45"/>
      <c r="AE45" s="225"/>
      <c r="AF45" s="227"/>
      <c r="AG45" s="94" t="s">
        <v>459</v>
      </c>
      <c r="AH45" s="94"/>
      <c r="AI45" s="95">
        <f>COUNTIFS('Completion Matrix'!$E:$E,Overview!$AE$32,'Completion Matrix'!$I:$I,$AF$44,'Completion Matrix'!$J:$J,AG45)</f>
        <v>0</v>
      </c>
    </row>
    <row r="46" spans="2:35" ht="38.25" hidden="1" customHeight="1" outlineLevel="1">
      <c r="B46"/>
      <c r="C46" s="106">
        <v>138</v>
      </c>
      <c r="D46" s="101" t="s">
        <v>228</v>
      </c>
      <c r="E46" s="199" t="str">
        <f>IF(INDEX('Completion Matrix'!$I:$I,MATCH(Overview!$C46,'Completion Matrix'!$A:$A,0))=E$19,1,"")</f>
        <v/>
      </c>
      <c r="F46" s="199">
        <f>IF(INDEX('Completion Matrix'!$I:$I,MATCH(Overview!$C46,'Completion Matrix'!$A:$A,0))=F$19,1,"")</f>
        <v>1</v>
      </c>
      <c r="G46" s="199" t="str">
        <f>IF(INDEX('Completion Matrix'!$I:$I,MATCH(Overview!$C46,'Completion Matrix'!$A:$A,0))=G$19,1,"")</f>
        <v/>
      </c>
      <c r="H46" s="199" t="str">
        <f>IF(INDEX('Completion Matrix'!$I:$I,MATCH(Overview!$C46,'Completion Matrix'!$A:$A,0))=H$19,1,"")</f>
        <v/>
      </c>
      <c r="I46" s="138">
        <f t="shared" si="1"/>
        <v>1</v>
      </c>
      <c r="J46" s="238"/>
      <c r="K46" s="96"/>
      <c r="L46" s="199" t="str">
        <f>IF(INDEX('Completion Matrix'!$J:$J,MATCH(Overview!$C46,'Completion Matrix'!$A:$A,0))=L$19,1,"")</f>
        <v/>
      </c>
      <c r="M46" s="199">
        <f>IF(INDEX('Completion Matrix'!$J:$J,MATCH(Overview!$C46,'Completion Matrix'!$A:$A,0))=M$19,1,"")</f>
        <v>1</v>
      </c>
      <c r="N46" s="199" t="str">
        <f>IF(INDEX('Completion Matrix'!$J:$J,MATCH(Overview!$C46,'Completion Matrix'!$A:$A,0))=N$19,1,"")</f>
        <v/>
      </c>
      <c r="O46" s="199" t="str">
        <f>IF(INDEX('Completion Matrix'!$J:$J,MATCH(Overview!$C46,'Completion Matrix'!$A:$A,0))=O$19,1,"")</f>
        <v/>
      </c>
      <c r="P46" s="190">
        <f t="shared" si="8"/>
        <v>1</v>
      </c>
      <c r="Q46" s="228"/>
      <c r="W46" s="96"/>
      <c r="X46" s="96"/>
      <c r="Y46" s="96"/>
      <c r="Z46" s="96"/>
      <c r="AA46" s="96"/>
      <c r="AB46" s="96"/>
      <c r="AC46" s="96"/>
      <c r="AD46"/>
      <c r="AE46" s="225"/>
      <c r="AF46" s="227"/>
      <c r="AG46" s="94" t="s">
        <v>462</v>
      </c>
      <c r="AH46" s="94"/>
      <c r="AI46" s="95">
        <f>COUNTIFS('Completion Matrix'!$E:$E,Overview!$AE$32,'Completion Matrix'!$I:$I,$AF$44,'Completion Matrix'!$J:$J,AG46)</f>
        <v>0</v>
      </c>
    </row>
    <row r="47" spans="2:35" ht="38.25" hidden="1" customHeight="1" outlineLevel="1" collapsed="1">
      <c r="B47"/>
      <c r="C47" s="142">
        <v>139</v>
      </c>
      <c r="D47" s="143" t="s">
        <v>229</v>
      </c>
      <c r="E47" s="199" t="str">
        <f>IF(INDEX('Completion Matrix'!$I:$I,MATCH(Overview!$C47,'Completion Matrix'!$A:$A,0))=E$19,1,"")</f>
        <v/>
      </c>
      <c r="F47" s="199">
        <f>IF(INDEX('Completion Matrix'!$I:$I,MATCH(Overview!$C47,'Completion Matrix'!$A:$A,0))=F$19,1,"")</f>
        <v>1</v>
      </c>
      <c r="G47" s="199" t="str">
        <f>IF(INDEX('Completion Matrix'!$I:$I,MATCH(Overview!$C47,'Completion Matrix'!$A:$A,0))=G$19,1,"")</f>
        <v/>
      </c>
      <c r="H47" s="199" t="str">
        <f>IF(INDEX('Completion Matrix'!$I:$I,MATCH(Overview!$C47,'Completion Matrix'!$A:$A,0))=H$19,1,"")</f>
        <v/>
      </c>
      <c r="I47" s="138">
        <f t="shared" si="1"/>
        <v>1</v>
      </c>
      <c r="J47" s="238"/>
      <c r="K47" s="96"/>
      <c r="L47" s="199" t="str">
        <f>IF(INDEX('Completion Matrix'!$J:$J,MATCH(Overview!$C47,'Completion Matrix'!$A:$A,0))=L$19,1,"")</f>
        <v/>
      </c>
      <c r="M47" s="199">
        <f>IF(INDEX('Completion Matrix'!$J:$J,MATCH(Overview!$C47,'Completion Matrix'!$A:$A,0))=M$19,1,"")</f>
        <v>1</v>
      </c>
      <c r="N47" s="199" t="str">
        <f>IF(INDEX('Completion Matrix'!$J:$J,MATCH(Overview!$C47,'Completion Matrix'!$A:$A,0))=N$19,1,"")</f>
        <v/>
      </c>
      <c r="O47" s="199" t="str">
        <f>IF(INDEX('Completion Matrix'!$J:$J,MATCH(Overview!$C47,'Completion Matrix'!$A:$A,0))=O$19,1,"")</f>
        <v/>
      </c>
      <c r="P47" s="190">
        <f t="shared" si="8"/>
        <v>1</v>
      </c>
      <c r="Q47" s="228"/>
      <c r="W47" s="96"/>
      <c r="X47" s="96"/>
      <c r="Y47" s="96"/>
      <c r="Z47" s="96"/>
      <c r="AA47" s="96"/>
      <c r="AB47" s="96"/>
      <c r="AC47" s="96"/>
      <c r="AD47"/>
      <c r="AE47" s="225"/>
      <c r="AF47" s="227"/>
      <c r="AG47" s="94" t="s">
        <v>636</v>
      </c>
      <c r="AH47" s="94"/>
      <c r="AI47" s="95">
        <f>COUNTIFS('Completion Matrix'!$E:$E,Overview!$AE$32,'Completion Matrix'!$I:$I,$AF$44,'Completion Matrix'!$J:$J,AG47)</f>
        <v>0</v>
      </c>
    </row>
    <row r="48" spans="2:35" ht="15" collapsed="1">
      <c r="B48" s="217" t="s">
        <v>728</v>
      </c>
      <c r="C48" s="218"/>
      <c r="D48" s="219"/>
      <c r="E48" s="199">
        <f>SUM(E49:E56)</f>
        <v>8</v>
      </c>
      <c r="F48" s="199">
        <f t="shared" ref="F48:H48" si="10">SUM(F49:F56)</f>
        <v>0</v>
      </c>
      <c r="G48" s="199">
        <f t="shared" si="10"/>
        <v>0</v>
      </c>
      <c r="H48" s="199">
        <f t="shared" si="10"/>
        <v>0</v>
      </c>
      <c r="I48" s="138">
        <f t="shared" si="1"/>
        <v>8</v>
      </c>
      <c r="J48" s="238"/>
      <c r="K48" s="96"/>
      <c r="L48" s="199">
        <f>SUM(L49:L56)</f>
        <v>0</v>
      </c>
      <c r="M48" s="199">
        <f t="shared" ref="M48:O48" si="11">SUM(M49:M56)</f>
        <v>8</v>
      </c>
      <c r="N48" s="199">
        <f t="shared" si="11"/>
        <v>0</v>
      </c>
      <c r="O48" s="199">
        <f t="shared" si="11"/>
        <v>0</v>
      </c>
      <c r="P48" s="138">
        <f>SUM(L48:O48)</f>
        <v>8</v>
      </c>
      <c r="Q48" s="228"/>
      <c r="W48" s="96"/>
      <c r="X48" s="96"/>
      <c r="Y48" s="96"/>
      <c r="Z48" s="96"/>
      <c r="AA48" s="96"/>
      <c r="AB48" s="96"/>
      <c r="AC48" s="96"/>
      <c r="AD48"/>
      <c r="AE48" s="225"/>
      <c r="AF48" s="227" t="s">
        <v>636</v>
      </c>
      <c r="AG48" s="94" t="s">
        <v>468</v>
      </c>
      <c r="AH48" s="94"/>
      <c r="AI48" s="95">
        <f>COUNTIFS('Completion Matrix'!$E:$E,Overview!$AE$32,'Completion Matrix'!$I:$I,$AF$48,'Completion Matrix'!$J:$J,AG48)</f>
        <v>0</v>
      </c>
    </row>
    <row r="49" spans="2:35" ht="15" hidden="1" customHeight="1" outlineLevel="1">
      <c r="B49"/>
      <c r="C49" s="144">
        <v>87</v>
      </c>
      <c r="D49" s="145" t="s">
        <v>118</v>
      </c>
      <c r="E49" s="199">
        <f>IF(INDEX('Completion Matrix'!$I:$I,MATCH(Overview!$C49,'Completion Matrix'!$A:$A,0))=E$19,1,"")</f>
        <v>1</v>
      </c>
      <c r="F49" s="199" t="str">
        <f>IF(INDEX('Completion Matrix'!$I:$I,MATCH(Overview!$C49,'Completion Matrix'!$A:$A,0))=F$19,1,"")</f>
        <v/>
      </c>
      <c r="G49" s="199" t="str">
        <f>IF(INDEX('Completion Matrix'!$I:$I,MATCH(Overview!$C49,'Completion Matrix'!$A:$A,0))=G$19,1,"")</f>
        <v/>
      </c>
      <c r="H49" s="199" t="str">
        <f>IF(INDEX('Completion Matrix'!$I:$I,MATCH(Overview!$C49,'Completion Matrix'!$A:$A,0))=H$19,1,"")</f>
        <v/>
      </c>
      <c r="I49" s="138">
        <f t="shared" si="1"/>
        <v>1</v>
      </c>
      <c r="J49" s="238"/>
      <c r="K49" s="96"/>
      <c r="L49" s="199" t="str">
        <f>IF(INDEX('Completion Matrix'!$J:$J,MATCH(Overview!$C49,'Completion Matrix'!$A:$A,0))=L$19,1,"")</f>
        <v/>
      </c>
      <c r="M49" s="199">
        <f>IF(INDEX('Completion Matrix'!$J:$J,MATCH(Overview!$C49,'Completion Matrix'!$A:$A,0))=M$19,1,"")</f>
        <v>1</v>
      </c>
      <c r="N49" s="199" t="str">
        <f>IF(INDEX('Completion Matrix'!$J:$J,MATCH(Overview!$C49,'Completion Matrix'!$A:$A,0))=N$19,1,"")</f>
        <v/>
      </c>
      <c r="O49" s="199" t="str">
        <f>IF(INDEX('Completion Matrix'!$J:$J,MATCH(Overview!$C49,'Completion Matrix'!$A:$A,0))=O$19,1,"")</f>
        <v/>
      </c>
      <c r="P49" s="138">
        <f>SUM(L49:O49)</f>
        <v>1</v>
      </c>
      <c r="Q49" s="228"/>
      <c r="W49" s="96"/>
      <c r="X49" s="96"/>
      <c r="Y49" s="96"/>
      <c r="Z49" s="96"/>
      <c r="AA49" s="96"/>
      <c r="AB49" s="96"/>
      <c r="AC49" s="96"/>
      <c r="AD49"/>
      <c r="AE49" s="225"/>
      <c r="AF49" s="227"/>
      <c r="AG49" s="94" t="s">
        <v>459</v>
      </c>
      <c r="AH49" s="94"/>
      <c r="AI49" s="95">
        <f>COUNTIFS('Completion Matrix'!$E:$E,Overview!$AE$32,'Completion Matrix'!$I:$I,$AF$48,'Completion Matrix'!$J:$J,AG49)</f>
        <v>0</v>
      </c>
    </row>
    <row r="50" spans="2:35" ht="15" hidden="1" customHeight="1" outlineLevel="1">
      <c r="B50"/>
      <c r="C50" s="106">
        <v>88</v>
      </c>
      <c r="D50" s="101" t="s">
        <v>120</v>
      </c>
      <c r="E50" s="199">
        <f>IF(INDEX('Completion Matrix'!$I:$I,MATCH(Overview!$C50,'Completion Matrix'!$A:$A,0))=E$19,1,"")</f>
        <v>1</v>
      </c>
      <c r="F50" s="199" t="str">
        <f>IF(INDEX('Completion Matrix'!$I:$I,MATCH(Overview!$C50,'Completion Matrix'!$A:$A,0))=F$19,1,"")</f>
        <v/>
      </c>
      <c r="G50" s="199" t="str">
        <f>IF(INDEX('Completion Matrix'!$I:$I,MATCH(Overview!$C50,'Completion Matrix'!$A:$A,0))=G$19,1,"")</f>
        <v/>
      </c>
      <c r="H50" s="199" t="str">
        <f>IF(INDEX('Completion Matrix'!$I:$I,MATCH(Overview!$C50,'Completion Matrix'!$A:$A,0))=H$19,1,"")</f>
        <v/>
      </c>
      <c r="I50" s="138">
        <f t="shared" si="1"/>
        <v>1</v>
      </c>
      <c r="J50" s="238"/>
      <c r="K50" s="96"/>
      <c r="L50" s="199" t="str">
        <f>IF(INDEX('Completion Matrix'!$J:$J,MATCH(Overview!$C50,'Completion Matrix'!$A:$A,0))=L$19,1,"")</f>
        <v/>
      </c>
      <c r="M50" s="199">
        <f>IF(INDEX('Completion Matrix'!$J:$J,MATCH(Overview!$C50,'Completion Matrix'!$A:$A,0))=M$19,1,"")</f>
        <v>1</v>
      </c>
      <c r="N50" s="199" t="str">
        <f>IF(INDEX('Completion Matrix'!$J:$J,MATCH(Overview!$C50,'Completion Matrix'!$A:$A,0))=N$19,1,"")</f>
        <v/>
      </c>
      <c r="O50" s="199" t="str">
        <f>IF(INDEX('Completion Matrix'!$J:$J,MATCH(Overview!$C50,'Completion Matrix'!$A:$A,0))=O$19,1,"")</f>
        <v/>
      </c>
      <c r="P50" s="138">
        <f t="shared" ref="P50:P67" si="12">SUM(L50:O50)</f>
        <v>1</v>
      </c>
      <c r="Q50" s="228"/>
      <c r="W50" s="96"/>
      <c r="X50" s="96"/>
      <c r="Y50" s="96"/>
      <c r="Z50" s="96"/>
      <c r="AA50" s="96"/>
      <c r="AB50" s="96"/>
      <c r="AC50" s="96"/>
      <c r="AD50"/>
      <c r="AE50" s="225"/>
      <c r="AF50" s="227"/>
      <c r="AG50" s="94" t="s">
        <v>462</v>
      </c>
      <c r="AH50" s="94"/>
      <c r="AI50" s="95">
        <f>COUNTIFS('Completion Matrix'!$E:$E,Overview!$AE$32,'Completion Matrix'!$I:$I,$AF$48,'Completion Matrix'!$J:$J,AG50)</f>
        <v>0</v>
      </c>
    </row>
    <row r="51" spans="2:35" ht="15" hidden="1" customHeight="1" outlineLevel="1">
      <c r="B51"/>
      <c r="C51" s="105">
        <v>91</v>
      </c>
      <c r="D51" s="100" t="s">
        <v>125</v>
      </c>
      <c r="E51" s="199">
        <f>IF(INDEX('Completion Matrix'!$I:$I,MATCH(Overview!$C51,'Completion Matrix'!$A:$A,0))=E$19,1,"")</f>
        <v>1</v>
      </c>
      <c r="F51" s="199" t="str">
        <f>IF(INDEX('Completion Matrix'!$I:$I,MATCH(Overview!$C51,'Completion Matrix'!$A:$A,0))=F$19,1,"")</f>
        <v/>
      </c>
      <c r="G51" s="199" t="str">
        <f>IF(INDEX('Completion Matrix'!$I:$I,MATCH(Overview!$C51,'Completion Matrix'!$A:$A,0))=G$19,1,"")</f>
        <v/>
      </c>
      <c r="H51" s="199" t="str">
        <f>IF(INDEX('Completion Matrix'!$I:$I,MATCH(Overview!$C51,'Completion Matrix'!$A:$A,0))=H$19,1,"")</f>
        <v/>
      </c>
      <c r="I51" s="138">
        <f t="shared" si="1"/>
        <v>1</v>
      </c>
      <c r="J51" s="238"/>
      <c r="K51" s="96"/>
      <c r="L51" s="199" t="str">
        <f>IF(INDEX('Completion Matrix'!$J:$J,MATCH(Overview!$C51,'Completion Matrix'!$A:$A,0))=L$19,1,"")</f>
        <v/>
      </c>
      <c r="M51" s="199">
        <f>IF(INDEX('Completion Matrix'!$J:$J,MATCH(Overview!$C51,'Completion Matrix'!$A:$A,0))=M$19,1,"")</f>
        <v>1</v>
      </c>
      <c r="N51" s="199" t="str">
        <f>IF(INDEX('Completion Matrix'!$J:$J,MATCH(Overview!$C51,'Completion Matrix'!$A:$A,0))=N$19,1,"")</f>
        <v/>
      </c>
      <c r="O51" s="199" t="str">
        <f>IF(INDEX('Completion Matrix'!$J:$J,MATCH(Overview!$C51,'Completion Matrix'!$A:$A,0))=O$19,1,"")</f>
        <v/>
      </c>
      <c r="P51" s="138">
        <f t="shared" si="12"/>
        <v>1</v>
      </c>
      <c r="Q51" s="228"/>
      <c r="W51" s="96"/>
      <c r="X51" s="96"/>
      <c r="Y51" s="96"/>
      <c r="Z51" s="96"/>
      <c r="AA51" s="96"/>
      <c r="AB51" s="96"/>
      <c r="AC51" s="96"/>
      <c r="AD51"/>
      <c r="AE51" s="226"/>
      <c r="AF51" s="227"/>
      <c r="AG51" s="94" t="s">
        <v>636</v>
      </c>
      <c r="AH51" s="94"/>
      <c r="AI51" s="95">
        <f>COUNTIFS('Completion Matrix'!$E:$E,Overview!$AE$32,'Completion Matrix'!$I:$I,$AF$48,'Completion Matrix'!$J:$J,AG51)</f>
        <v>0</v>
      </c>
    </row>
    <row r="52" spans="2:35" ht="51" hidden="1" customHeight="1" outlineLevel="1">
      <c r="B52"/>
      <c r="C52" s="105">
        <v>93</v>
      </c>
      <c r="D52" s="100" t="s">
        <v>126</v>
      </c>
      <c r="E52" s="199">
        <f>IF(INDEX('Completion Matrix'!$I:$I,MATCH(Overview!$C52,'Completion Matrix'!$A:$A,0))=E$19,1,"")</f>
        <v>1</v>
      </c>
      <c r="F52" s="199" t="str">
        <f>IF(INDEX('Completion Matrix'!$I:$I,MATCH(Overview!$C52,'Completion Matrix'!$A:$A,0))=F$19,1,"")</f>
        <v/>
      </c>
      <c r="G52" s="199" t="str">
        <f>IF(INDEX('Completion Matrix'!$I:$I,MATCH(Overview!$C52,'Completion Matrix'!$A:$A,0))=G$19,1,"")</f>
        <v/>
      </c>
      <c r="H52" s="199" t="str">
        <f>IF(INDEX('Completion Matrix'!$I:$I,MATCH(Overview!$C52,'Completion Matrix'!$A:$A,0))=H$19,1,"")</f>
        <v/>
      </c>
      <c r="I52" s="138">
        <f t="shared" si="1"/>
        <v>1</v>
      </c>
      <c r="J52" s="238"/>
      <c r="K52" s="96"/>
      <c r="L52" s="199" t="str">
        <f>IF(INDEX('Completion Matrix'!$J:$J,MATCH(Overview!$C52,'Completion Matrix'!$A:$A,0))=L$19,1,"")</f>
        <v/>
      </c>
      <c r="M52" s="199">
        <f>IF(INDEX('Completion Matrix'!$J:$J,MATCH(Overview!$C52,'Completion Matrix'!$A:$A,0))=M$19,1,"")</f>
        <v>1</v>
      </c>
      <c r="N52" s="199" t="str">
        <f>IF(INDEX('Completion Matrix'!$J:$J,MATCH(Overview!$C52,'Completion Matrix'!$A:$A,0))=N$19,1,"")</f>
        <v/>
      </c>
      <c r="O52" s="199" t="str">
        <f>IF(INDEX('Completion Matrix'!$J:$J,MATCH(Overview!$C52,'Completion Matrix'!$A:$A,0))=O$19,1,"")</f>
        <v/>
      </c>
      <c r="P52" s="138">
        <f t="shared" si="12"/>
        <v>1</v>
      </c>
      <c r="Q52" s="228"/>
      <c r="W52" s="96"/>
      <c r="X52" s="96"/>
      <c r="Y52" s="96"/>
      <c r="Z52" s="96"/>
      <c r="AA52" s="96"/>
      <c r="AB52" s="96"/>
      <c r="AC52" s="96"/>
      <c r="AD52"/>
      <c r="AE52"/>
      <c r="AF52"/>
      <c r="AG52"/>
      <c r="AH52"/>
      <c r="AI52" s="95">
        <f>SUM(AI32:AI51)</f>
        <v>0</v>
      </c>
    </row>
    <row r="53" spans="2:35" ht="38.25" hidden="1" customHeight="1" outlineLevel="1">
      <c r="B53"/>
      <c r="C53" s="106">
        <v>94</v>
      </c>
      <c r="D53" s="101" t="s">
        <v>128</v>
      </c>
      <c r="E53" s="199">
        <f>IF(INDEX('Completion Matrix'!$I:$I,MATCH(Overview!$C53,'Completion Matrix'!$A:$A,0))=E$19,1,"")</f>
        <v>1</v>
      </c>
      <c r="F53" s="199" t="str">
        <f>IF(INDEX('Completion Matrix'!$I:$I,MATCH(Overview!$C53,'Completion Matrix'!$A:$A,0))=F$19,1,"")</f>
        <v/>
      </c>
      <c r="G53" s="199" t="str">
        <f>IF(INDEX('Completion Matrix'!$I:$I,MATCH(Overview!$C53,'Completion Matrix'!$A:$A,0))=G$19,1,"")</f>
        <v/>
      </c>
      <c r="H53" s="199" t="str">
        <f>IF(INDEX('Completion Matrix'!$I:$I,MATCH(Overview!$C53,'Completion Matrix'!$A:$A,0))=H$19,1,"")</f>
        <v/>
      </c>
      <c r="I53" s="138">
        <f t="shared" si="1"/>
        <v>1</v>
      </c>
      <c r="J53" s="238"/>
      <c r="K53" s="96"/>
      <c r="L53" s="199" t="str">
        <f>IF(INDEX('Completion Matrix'!$J:$J,MATCH(Overview!$C53,'Completion Matrix'!$A:$A,0))=L$19,1,"")</f>
        <v/>
      </c>
      <c r="M53" s="199">
        <f>IF(INDEX('Completion Matrix'!$J:$J,MATCH(Overview!$C53,'Completion Matrix'!$A:$A,0))=M$19,1,"")</f>
        <v>1</v>
      </c>
      <c r="N53" s="199" t="str">
        <f>IF(INDEX('Completion Matrix'!$J:$J,MATCH(Overview!$C53,'Completion Matrix'!$A:$A,0))=N$19,1,"")</f>
        <v/>
      </c>
      <c r="O53" s="199" t="str">
        <f>IF(INDEX('Completion Matrix'!$J:$J,MATCH(Overview!$C53,'Completion Matrix'!$A:$A,0))=O$19,1,"")</f>
        <v/>
      </c>
      <c r="P53" s="138">
        <f t="shared" si="12"/>
        <v>1</v>
      </c>
      <c r="Q53" s="228"/>
      <c r="W53"/>
      <c r="X53"/>
      <c r="Y53"/>
      <c r="Z53"/>
      <c r="AA53"/>
      <c r="AB53"/>
      <c r="AC53"/>
      <c r="AD53"/>
      <c r="AE53"/>
      <c r="AF53"/>
      <c r="AG53"/>
      <c r="AH53"/>
      <c r="AI53"/>
    </row>
    <row r="54" spans="2:35" ht="25.5" hidden="1" customHeight="1" outlineLevel="1">
      <c r="B54"/>
      <c r="C54" s="105">
        <v>95</v>
      </c>
      <c r="D54" s="100" t="s">
        <v>129</v>
      </c>
      <c r="E54" s="199">
        <f>IF(INDEX('Completion Matrix'!$I:$I,MATCH(Overview!$C54,'Completion Matrix'!$A:$A,0))=E$19,1,"")</f>
        <v>1</v>
      </c>
      <c r="F54" s="199" t="str">
        <f>IF(INDEX('Completion Matrix'!$I:$I,MATCH(Overview!$C54,'Completion Matrix'!$A:$A,0))=F$19,1,"")</f>
        <v/>
      </c>
      <c r="G54" s="199" t="str">
        <f>IF(INDEX('Completion Matrix'!$I:$I,MATCH(Overview!$C54,'Completion Matrix'!$A:$A,0))=G$19,1,"")</f>
        <v/>
      </c>
      <c r="H54" s="199" t="str">
        <f>IF(INDEX('Completion Matrix'!$I:$I,MATCH(Overview!$C54,'Completion Matrix'!$A:$A,0))=H$19,1,"")</f>
        <v/>
      </c>
      <c r="I54" s="138">
        <f t="shared" si="1"/>
        <v>1</v>
      </c>
      <c r="J54" s="238"/>
      <c r="K54" s="96"/>
      <c r="L54" s="199" t="str">
        <f>IF(INDEX('Completion Matrix'!$J:$J,MATCH(Overview!$C54,'Completion Matrix'!$A:$A,0))=L$19,1,"")</f>
        <v/>
      </c>
      <c r="M54" s="199">
        <f>IF(INDEX('Completion Matrix'!$J:$J,MATCH(Overview!$C54,'Completion Matrix'!$A:$A,0))=M$19,1,"")</f>
        <v>1</v>
      </c>
      <c r="N54" s="199" t="str">
        <f>IF(INDEX('Completion Matrix'!$J:$J,MATCH(Overview!$C54,'Completion Matrix'!$A:$A,0))=N$19,1,"")</f>
        <v/>
      </c>
      <c r="O54" s="199" t="str">
        <f>IF(INDEX('Completion Matrix'!$J:$J,MATCH(Overview!$C54,'Completion Matrix'!$A:$A,0))=O$19,1,"")</f>
        <v/>
      </c>
      <c r="P54" s="138">
        <f t="shared" si="12"/>
        <v>1</v>
      </c>
      <c r="Q54" s="228"/>
      <c r="W54" s="96"/>
      <c r="X54" s="96"/>
      <c r="Y54" s="96"/>
      <c r="Z54" s="96"/>
      <c r="AA54" s="96"/>
      <c r="AB54" s="96"/>
      <c r="AC54" s="96"/>
      <c r="AD54"/>
      <c r="AE54"/>
      <c r="AF54" s="229" t="s">
        <v>638</v>
      </c>
      <c r="AG54" s="94" t="s">
        <v>451</v>
      </c>
      <c r="AH54" s="94"/>
      <c r="AI54" s="95">
        <f>COUNTIFS('Completion Matrix'!$E:$E,Overview!AE32,'Completion Matrix'!$I:$I,"")</f>
        <v>0</v>
      </c>
    </row>
    <row r="55" spans="2:35" ht="38.25" hidden="1" customHeight="1" outlineLevel="1">
      <c r="B55"/>
      <c r="C55" s="106">
        <v>96</v>
      </c>
      <c r="D55" s="101" t="s">
        <v>130</v>
      </c>
      <c r="E55" s="199">
        <f>IF(INDEX('Completion Matrix'!$I:$I,MATCH(Overview!$C55,'Completion Matrix'!$A:$A,0))=E$19,1,"")</f>
        <v>1</v>
      </c>
      <c r="F55" s="199" t="str">
        <f>IF(INDEX('Completion Matrix'!$I:$I,MATCH(Overview!$C55,'Completion Matrix'!$A:$A,0))=F$19,1,"")</f>
        <v/>
      </c>
      <c r="G55" s="199" t="str">
        <f>IF(INDEX('Completion Matrix'!$I:$I,MATCH(Overview!$C55,'Completion Matrix'!$A:$A,0))=G$19,1,"")</f>
        <v/>
      </c>
      <c r="H55" s="199" t="str">
        <f>IF(INDEX('Completion Matrix'!$I:$I,MATCH(Overview!$C55,'Completion Matrix'!$A:$A,0))=H$19,1,"")</f>
        <v/>
      </c>
      <c r="I55" s="138">
        <f t="shared" si="1"/>
        <v>1</v>
      </c>
      <c r="J55" s="238"/>
      <c r="K55" s="96"/>
      <c r="L55" s="199" t="str">
        <f>IF(INDEX('Completion Matrix'!$J:$J,MATCH(Overview!$C55,'Completion Matrix'!$A:$A,0))=L$19,1,"")</f>
        <v/>
      </c>
      <c r="M55" s="199">
        <f>IF(INDEX('Completion Matrix'!$J:$J,MATCH(Overview!$C55,'Completion Matrix'!$A:$A,0))=M$19,1,"")</f>
        <v>1</v>
      </c>
      <c r="N55" s="199" t="str">
        <f>IF(INDEX('Completion Matrix'!$J:$J,MATCH(Overview!$C55,'Completion Matrix'!$A:$A,0))=N$19,1,"")</f>
        <v/>
      </c>
      <c r="O55" s="199" t="str">
        <f>IF(INDEX('Completion Matrix'!$J:$J,MATCH(Overview!$C55,'Completion Matrix'!$A:$A,0))=O$19,1,"")</f>
        <v/>
      </c>
      <c r="P55" s="138">
        <f t="shared" si="12"/>
        <v>1</v>
      </c>
      <c r="Q55" s="228"/>
      <c r="W55" s="96"/>
      <c r="X55" s="96"/>
      <c r="Y55" s="96"/>
      <c r="Z55" s="96"/>
      <c r="AA55" s="96"/>
      <c r="AB55" s="96"/>
      <c r="AC55" s="96"/>
      <c r="AD55"/>
      <c r="AE55"/>
      <c r="AF55" s="230"/>
      <c r="AG55" s="94" t="s">
        <v>450</v>
      </c>
      <c r="AH55" s="94"/>
      <c r="AI55" s="95">
        <f>COUNTIFS('Completion Matrix'!$E:$E,Overview!AE32,'Completion Matrix'!$I:$I,"")</f>
        <v>0</v>
      </c>
    </row>
    <row r="56" spans="2:35" ht="38.25" hidden="1" customHeight="1" outlineLevel="1">
      <c r="B56"/>
      <c r="C56" s="106">
        <v>98</v>
      </c>
      <c r="D56" s="101" t="s">
        <v>131</v>
      </c>
      <c r="E56" s="199">
        <f>IF(INDEX('Completion Matrix'!$I:$I,MATCH(Overview!$C56,'Completion Matrix'!$A:$A,0))=E$19,1,"")</f>
        <v>1</v>
      </c>
      <c r="F56" s="199" t="str">
        <f>IF(INDEX('Completion Matrix'!$I:$I,MATCH(Overview!$C56,'Completion Matrix'!$A:$A,0))=F$19,1,"")</f>
        <v/>
      </c>
      <c r="G56" s="199" t="str">
        <f>IF(INDEX('Completion Matrix'!$I:$I,MATCH(Overview!$C56,'Completion Matrix'!$A:$A,0))=G$19,1,"")</f>
        <v/>
      </c>
      <c r="H56" s="199" t="str">
        <f>IF(INDEX('Completion Matrix'!$I:$I,MATCH(Overview!$C56,'Completion Matrix'!$A:$A,0))=H$19,1,"")</f>
        <v/>
      </c>
      <c r="I56" s="138">
        <f t="shared" si="1"/>
        <v>1</v>
      </c>
      <c r="J56" s="238"/>
      <c r="K56" s="96"/>
      <c r="L56" s="199" t="str">
        <f>IF(INDEX('Completion Matrix'!$J:$J,MATCH(Overview!$C56,'Completion Matrix'!$A:$A,0))=L$19,1,"")</f>
        <v/>
      </c>
      <c r="M56" s="199">
        <f>IF(INDEX('Completion Matrix'!$J:$J,MATCH(Overview!$C56,'Completion Matrix'!$A:$A,0))=M$19,1,"")</f>
        <v>1</v>
      </c>
      <c r="N56" s="199" t="str">
        <f>IF(INDEX('Completion Matrix'!$J:$J,MATCH(Overview!$C56,'Completion Matrix'!$A:$A,0))=N$19,1,"")</f>
        <v/>
      </c>
      <c r="O56" s="199" t="str">
        <f>IF(INDEX('Completion Matrix'!$J:$J,MATCH(Overview!$C56,'Completion Matrix'!$A:$A,0))=O$19,1,"")</f>
        <v/>
      </c>
      <c r="P56" s="138">
        <f t="shared" si="12"/>
        <v>1</v>
      </c>
      <c r="Q56" s="228"/>
      <c r="W56"/>
      <c r="X56"/>
      <c r="Y56"/>
      <c r="Z56"/>
      <c r="AA56"/>
      <c r="AB56"/>
      <c r="AC56"/>
      <c r="AD56"/>
      <c r="AE56"/>
      <c r="AF56"/>
      <c r="AG56"/>
      <c r="AH56"/>
      <c r="AI56"/>
    </row>
    <row r="57" spans="2:35" ht="15" collapsed="1">
      <c r="B57" s="217" t="s">
        <v>428</v>
      </c>
      <c r="C57" s="218"/>
      <c r="D57" s="219"/>
      <c r="E57" s="199">
        <f>SUM(E58:E67)</f>
        <v>3</v>
      </c>
      <c r="F57" s="199">
        <f>SUM(F58:F67)</f>
        <v>3</v>
      </c>
      <c r="G57" s="199">
        <f>SUM(G58:G67)</f>
        <v>4</v>
      </c>
      <c r="H57" s="199">
        <f>SUM(H58:H67)</f>
        <v>0</v>
      </c>
      <c r="I57" s="138">
        <v>10</v>
      </c>
      <c r="J57" s="238"/>
      <c r="K57" s="96"/>
      <c r="L57" s="199">
        <f>SUM(L58:L67)</f>
        <v>3</v>
      </c>
      <c r="M57" s="199">
        <f>SUM(M58:M67)</f>
        <v>7</v>
      </c>
      <c r="N57" s="199">
        <f>SUM(N58:N67)</f>
        <v>0</v>
      </c>
      <c r="O57" s="199">
        <f>SUM(O58:O67)</f>
        <v>0</v>
      </c>
      <c r="P57" s="138">
        <f>SUM(L57:O57)</f>
        <v>10</v>
      </c>
      <c r="Q57" s="228"/>
      <c r="W57"/>
      <c r="X57"/>
      <c r="Y57"/>
      <c r="Z57"/>
      <c r="AA57"/>
      <c r="AB57"/>
      <c r="AC57"/>
      <c r="AD57"/>
      <c r="AE57"/>
      <c r="AF57"/>
      <c r="AG57"/>
      <c r="AH57"/>
      <c r="AI57"/>
    </row>
    <row r="58" spans="2:35" ht="38.25" hidden="1" customHeight="1" outlineLevel="1" collapsed="1">
      <c r="B58" s="134"/>
      <c r="C58" s="137">
        <v>38</v>
      </c>
      <c r="D58" s="102" t="s">
        <v>55</v>
      </c>
      <c r="E58" s="199" t="str">
        <f>IF(INDEX('Completion Matrix'!$I:$I,MATCH(Overview!$C58,'Completion Matrix'!$A:$A,0))=E$19,1,"")</f>
        <v/>
      </c>
      <c r="F58" s="199">
        <f>IF(INDEX('Completion Matrix'!$I:$I,MATCH(Overview!$C58,'Completion Matrix'!$A:$A,0))=F$19,1,"")</f>
        <v>1</v>
      </c>
      <c r="G58" s="199" t="str">
        <f>IF(INDEX('Completion Matrix'!$I:$I,MATCH(Overview!$C58,'Completion Matrix'!$A:$A,0))=G$19,1,"")</f>
        <v/>
      </c>
      <c r="H58" s="199" t="str">
        <f>IF(INDEX('Completion Matrix'!$I:$I,MATCH(Overview!$C58,'Completion Matrix'!$A:$A,0))=H$19,1,"")</f>
        <v/>
      </c>
      <c r="I58" s="138">
        <f>SUM(E58:H58)</f>
        <v>1</v>
      </c>
      <c r="J58" s="238"/>
      <c r="K58" s="96"/>
      <c r="L58" s="199" t="str">
        <f>IF(INDEX('Completion Matrix'!$J:$J,MATCH(Overview!$C58,'Completion Matrix'!$A:$A,0))=L$19,1,"")</f>
        <v/>
      </c>
      <c r="M58" s="199">
        <f>IF(INDEX('Completion Matrix'!$J:$J,MATCH(Overview!$C58,'Completion Matrix'!$A:$A,0))=M$19,1,"")</f>
        <v>1</v>
      </c>
      <c r="N58" s="199" t="str">
        <f>IF(INDEX('Completion Matrix'!$J:$J,MATCH(Overview!$C58,'Completion Matrix'!$A:$A,0))=N$19,1,"")</f>
        <v/>
      </c>
      <c r="O58" s="199" t="str">
        <f>IF(INDEX('Completion Matrix'!$J:$J,MATCH(Overview!$C58,'Completion Matrix'!$A:$A,0))=O$19,1,"")</f>
        <v/>
      </c>
      <c r="P58" s="138">
        <f t="shared" si="12"/>
        <v>1</v>
      </c>
      <c r="Q58" s="228"/>
      <c r="W58" s="96"/>
      <c r="X58" s="96"/>
      <c r="Y58" s="96"/>
      <c r="Z58" s="96"/>
      <c r="AA58" s="96"/>
      <c r="AB58" s="96"/>
      <c r="AC58" s="96"/>
      <c r="AD58"/>
      <c r="AE58" s="224" t="s">
        <v>437</v>
      </c>
      <c r="AF58" s="227" t="s">
        <v>595</v>
      </c>
      <c r="AG58" s="94" t="s">
        <v>468</v>
      </c>
      <c r="AH58" s="94"/>
      <c r="AI58" s="95">
        <f>COUNTIFS('Completion Matrix'!$E:$E,Overview!$AE$58,'Completion Matrix'!$I:$I,$AF$58,'Completion Matrix'!$J:$J,AG58)</f>
        <v>0</v>
      </c>
    </row>
    <row r="59" spans="2:35" ht="25.5" hidden="1" customHeight="1" outlineLevel="1">
      <c r="B59" s="134"/>
      <c r="C59" s="135">
        <v>41</v>
      </c>
      <c r="D59" s="136" t="s">
        <v>58</v>
      </c>
      <c r="E59" s="199" t="str">
        <f>IF(INDEX('Completion Matrix'!$I:$I,MATCH(Overview!$C59,'Completion Matrix'!$A:$A,0))=E$19,1,"")</f>
        <v/>
      </c>
      <c r="F59" s="199" t="str">
        <f>IF(INDEX('Completion Matrix'!$I:$I,MATCH(Overview!$C59,'Completion Matrix'!$A:$A,0))=F$19,1,"")</f>
        <v/>
      </c>
      <c r="G59" s="199">
        <f>IF(INDEX('Completion Matrix'!$I:$I,MATCH(Overview!$C59,'Completion Matrix'!$A:$A,0))=G$19,1,"")</f>
        <v>1</v>
      </c>
      <c r="H59" s="199" t="str">
        <f>IF(INDEX('Completion Matrix'!$I:$I,MATCH(Overview!$C59,'Completion Matrix'!$A:$A,0))=H$19,1,"")</f>
        <v/>
      </c>
      <c r="I59" s="138">
        <f t="shared" ref="I59:I67" si="13">SUM(E59:H59)</f>
        <v>1</v>
      </c>
      <c r="J59" s="238"/>
      <c r="K59" s="96"/>
      <c r="L59" s="199" t="str">
        <f>IF(INDEX('Completion Matrix'!$J:$J,MATCH(Overview!$C59,'Completion Matrix'!$A:$A,0))=L$19,1,"")</f>
        <v/>
      </c>
      <c r="M59" s="199">
        <f>IF(INDEX('Completion Matrix'!$J:$J,MATCH(Overview!$C59,'Completion Matrix'!$A:$A,0))=M$19,1,"")</f>
        <v>1</v>
      </c>
      <c r="N59" s="199" t="str">
        <f>IF(INDEX('Completion Matrix'!$J:$J,MATCH(Overview!$C59,'Completion Matrix'!$A:$A,0))=N$19,1,"")</f>
        <v/>
      </c>
      <c r="O59" s="199" t="str">
        <f>IF(INDEX('Completion Matrix'!$J:$J,MATCH(Overview!$C59,'Completion Matrix'!$A:$A,0))=O$19,1,"")</f>
        <v/>
      </c>
      <c r="P59" s="138">
        <f t="shared" si="12"/>
        <v>1</v>
      </c>
      <c r="Q59" s="228"/>
      <c r="W59" s="96"/>
      <c r="X59" s="96"/>
      <c r="Y59" s="96"/>
      <c r="Z59" s="96"/>
      <c r="AA59" s="96"/>
      <c r="AB59" s="96"/>
      <c r="AC59" s="96"/>
      <c r="AD59"/>
      <c r="AE59" s="225"/>
      <c r="AF59" s="227"/>
      <c r="AG59" s="94" t="s">
        <v>459</v>
      </c>
      <c r="AH59" s="94"/>
      <c r="AI59" s="95">
        <f>COUNTIFS('Completion Matrix'!$E:$E,Overview!$AE$58,'Completion Matrix'!$I:$I,$AF$58,'Completion Matrix'!$J:$J,AG59)</f>
        <v>2</v>
      </c>
    </row>
    <row r="60" spans="2:35" ht="76.5" hidden="1" customHeight="1" outlineLevel="1">
      <c r="B60" s="134"/>
      <c r="C60" s="137">
        <v>42</v>
      </c>
      <c r="D60" s="102" t="s">
        <v>59</v>
      </c>
      <c r="E60" s="199" t="str">
        <f>IF(INDEX('Completion Matrix'!$I:$I,MATCH(Overview!$C60,'Completion Matrix'!$A:$A,0))=E$19,1,"")</f>
        <v/>
      </c>
      <c r="F60" s="199">
        <f>IF(INDEX('Completion Matrix'!$I:$I,MATCH(Overview!$C60,'Completion Matrix'!$A:$A,0))=F$19,1,"")</f>
        <v>1</v>
      </c>
      <c r="G60" s="199" t="str">
        <f>IF(INDEX('Completion Matrix'!$I:$I,MATCH(Overview!$C60,'Completion Matrix'!$A:$A,0))=G$19,1,"")</f>
        <v/>
      </c>
      <c r="H60" s="199" t="str">
        <f>IF(INDEX('Completion Matrix'!$I:$I,MATCH(Overview!$C60,'Completion Matrix'!$A:$A,0))=H$19,1,"")</f>
        <v/>
      </c>
      <c r="I60" s="138">
        <f t="shared" si="13"/>
        <v>1</v>
      </c>
      <c r="J60" s="238"/>
      <c r="K60" s="96"/>
      <c r="L60" s="199" t="str">
        <f>IF(INDEX('Completion Matrix'!$J:$J,MATCH(Overview!$C60,'Completion Matrix'!$A:$A,0))=L$19,1,"")</f>
        <v/>
      </c>
      <c r="M60" s="199">
        <f>IF(INDEX('Completion Matrix'!$J:$J,MATCH(Overview!$C60,'Completion Matrix'!$A:$A,0))=M$19,1,"")</f>
        <v>1</v>
      </c>
      <c r="N60" s="199" t="str">
        <f>IF(INDEX('Completion Matrix'!$J:$J,MATCH(Overview!$C60,'Completion Matrix'!$A:$A,0))=N$19,1,"")</f>
        <v/>
      </c>
      <c r="O60" s="199" t="str">
        <f>IF(INDEX('Completion Matrix'!$J:$J,MATCH(Overview!$C60,'Completion Matrix'!$A:$A,0))=O$19,1,"")</f>
        <v/>
      </c>
      <c r="P60" s="138">
        <f t="shared" si="12"/>
        <v>1</v>
      </c>
      <c r="Q60" s="228"/>
      <c r="W60" s="96"/>
      <c r="X60" s="96"/>
      <c r="Y60" s="96"/>
      <c r="Z60" s="96"/>
      <c r="AA60" s="96"/>
      <c r="AB60" s="96"/>
      <c r="AC60" s="96"/>
      <c r="AD60"/>
      <c r="AE60" s="225"/>
      <c r="AF60" s="227"/>
      <c r="AG60" s="94" t="s">
        <v>462</v>
      </c>
      <c r="AH60" s="94"/>
      <c r="AI60" s="95">
        <f>COUNTIFS('Completion Matrix'!$E:$E,Overview!$AE$58,'Completion Matrix'!$I:$I,$AF$58,'Completion Matrix'!$J:$J,AG60)</f>
        <v>0</v>
      </c>
    </row>
    <row r="61" spans="2:35" ht="15" hidden="1" customHeight="1" outlineLevel="1">
      <c r="B61" s="134"/>
      <c r="C61" s="137">
        <v>46</v>
      </c>
      <c r="D61" s="102" t="s">
        <v>66</v>
      </c>
      <c r="E61" s="199" t="str">
        <f>IF(INDEX('Completion Matrix'!$I:$I,MATCH(Overview!$C61,'Completion Matrix'!$A:$A,0))=E$19,1,"")</f>
        <v/>
      </c>
      <c r="F61" s="199" t="str">
        <f>IF(INDEX('Completion Matrix'!$I:$I,MATCH(Overview!$C61,'Completion Matrix'!$A:$A,0))=F$19,1,"")</f>
        <v/>
      </c>
      <c r="G61" s="199">
        <f>IF(INDEX('Completion Matrix'!$I:$I,MATCH(Overview!$C61,'Completion Matrix'!$A:$A,0))=G$19,1,"")</f>
        <v>1</v>
      </c>
      <c r="H61" s="199" t="str">
        <f>IF(INDEX('Completion Matrix'!$I:$I,MATCH(Overview!$C61,'Completion Matrix'!$A:$A,0))=H$19,1,"")</f>
        <v/>
      </c>
      <c r="I61" s="138">
        <f t="shared" si="13"/>
        <v>1</v>
      </c>
      <c r="J61" s="238"/>
      <c r="K61" s="96"/>
      <c r="L61" s="199" t="str">
        <f>IF(INDEX('Completion Matrix'!$J:$J,MATCH(Overview!$C61,'Completion Matrix'!$A:$A,0))=L$19,1,"")</f>
        <v/>
      </c>
      <c r="M61" s="199">
        <f>IF(INDEX('Completion Matrix'!$J:$J,MATCH(Overview!$C61,'Completion Matrix'!$A:$A,0))=M$19,1,"")</f>
        <v>1</v>
      </c>
      <c r="N61" s="199" t="str">
        <f>IF(INDEX('Completion Matrix'!$J:$J,MATCH(Overview!$C61,'Completion Matrix'!$A:$A,0))=N$19,1,"")</f>
        <v/>
      </c>
      <c r="O61" s="199" t="str">
        <f>IF(INDEX('Completion Matrix'!$J:$J,MATCH(Overview!$C61,'Completion Matrix'!$A:$A,0))=O$19,1,"")</f>
        <v/>
      </c>
      <c r="P61" s="138">
        <f t="shared" si="12"/>
        <v>1</v>
      </c>
      <c r="Q61" s="228"/>
      <c r="W61" s="96"/>
      <c r="X61" s="96"/>
      <c r="Y61" s="96"/>
      <c r="Z61" s="96"/>
      <c r="AA61" s="96"/>
      <c r="AB61" s="96"/>
      <c r="AC61" s="96"/>
      <c r="AD61"/>
      <c r="AE61" s="225"/>
      <c r="AF61" s="227"/>
      <c r="AG61" s="94" t="s">
        <v>636</v>
      </c>
      <c r="AH61" s="94"/>
      <c r="AI61" s="95">
        <f>COUNTIFS('Completion Matrix'!$E:$E,Overview!$AE$58,'Completion Matrix'!$I:$I,$AF$58,'Completion Matrix'!$J:$J,AG61)</f>
        <v>0</v>
      </c>
    </row>
    <row r="62" spans="2:35" ht="15" hidden="1" customHeight="1" outlineLevel="1">
      <c r="B62" s="134"/>
      <c r="C62" s="135">
        <v>49</v>
      </c>
      <c r="D62" s="136" t="s">
        <v>73</v>
      </c>
      <c r="E62" s="199" t="str">
        <f>IF(INDEX('Completion Matrix'!$I:$I,MATCH(Overview!$C62,'Completion Matrix'!$A:$A,0))=E$19,1,"")</f>
        <v/>
      </c>
      <c r="F62" s="199" t="str">
        <f>IF(INDEX('Completion Matrix'!$I:$I,MATCH(Overview!$C62,'Completion Matrix'!$A:$A,0))=F$19,1,"")</f>
        <v/>
      </c>
      <c r="G62" s="199">
        <f>IF(INDEX('Completion Matrix'!$I:$I,MATCH(Overview!$C62,'Completion Matrix'!$A:$A,0))=G$19,1,"")</f>
        <v>1</v>
      </c>
      <c r="H62" s="199" t="str">
        <f>IF(INDEX('Completion Matrix'!$I:$I,MATCH(Overview!$C62,'Completion Matrix'!$A:$A,0))=H$19,1,"")</f>
        <v/>
      </c>
      <c r="I62" s="138">
        <f t="shared" si="13"/>
        <v>1</v>
      </c>
      <c r="J62" s="238"/>
      <c r="K62" s="96"/>
      <c r="L62" s="199" t="str">
        <f>IF(INDEX('Completion Matrix'!$J:$J,MATCH(Overview!$C62,'Completion Matrix'!$A:$A,0))=L$19,1,"")</f>
        <v/>
      </c>
      <c r="M62" s="199">
        <f>IF(INDEX('Completion Matrix'!$J:$J,MATCH(Overview!$C62,'Completion Matrix'!$A:$A,0))=M$19,1,"")</f>
        <v>1</v>
      </c>
      <c r="N62" s="199" t="str">
        <f>IF(INDEX('Completion Matrix'!$J:$J,MATCH(Overview!$C62,'Completion Matrix'!$A:$A,0))=N$19,1,"")</f>
        <v/>
      </c>
      <c r="O62" s="199" t="str">
        <f>IF(INDEX('Completion Matrix'!$J:$J,MATCH(Overview!$C62,'Completion Matrix'!$A:$A,0))=O$19,1,"")</f>
        <v/>
      </c>
      <c r="P62" s="138">
        <f t="shared" si="12"/>
        <v>1</v>
      </c>
      <c r="Q62" s="228"/>
      <c r="W62" s="96"/>
      <c r="X62" s="96"/>
      <c r="Y62" s="96"/>
      <c r="Z62" s="96"/>
      <c r="AA62" s="96"/>
      <c r="AB62" s="96"/>
      <c r="AC62" s="96"/>
      <c r="AD62"/>
      <c r="AE62" s="225"/>
      <c r="AF62" s="227" t="s">
        <v>594</v>
      </c>
      <c r="AG62" s="94" t="s">
        <v>468</v>
      </c>
      <c r="AH62" s="94"/>
      <c r="AI62" s="95">
        <f>COUNTIFS('Completion Matrix'!$E:$E,Overview!$AE$58,'Completion Matrix'!$I:$I,$AF$62,'Completion Matrix'!$J:$J,AG62)</f>
        <v>0</v>
      </c>
    </row>
    <row r="63" spans="2:35" ht="89.25" hidden="1" customHeight="1" outlineLevel="1">
      <c r="B63" s="134"/>
      <c r="C63" s="137">
        <v>136</v>
      </c>
      <c r="D63" s="102" t="s">
        <v>226</v>
      </c>
      <c r="E63" s="199" t="str">
        <f>IF(INDEX('Completion Matrix'!$I:$I,MATCH(Overview!$C63,'Completion Matrix'!$A:$A,0))=E$19,1,"")</f>
        <v/>
      </c>
      <c r="F63" s="199" t="str">
        <f>IF(INDEX('Completion Matrix'!$I:$I,MATCH(Overview!$C63,'Completion Matrix'!$A:$A,0))=F$19,1,"")</f>
        <v/>
      </c>
      <c r="G63" s="199">
        <f>IF(INDEX('Completion Matrix'!$I:$I,MATCH(Overview!$C63,'Completion Matrix'!$A:$A,0))=G$19,1,"")</f>
        <v>1</v>
      </c>
      <c r="H63" s="199" t="str">
        <f>IF(INDEX('Completion Matrix'!$I:$I,MATCH(Overview!$C63,'Completion Matrix'!$A:$A,0))=H$19,1,"")</f>
        <v/>
      </c>
      <c r="I63" s="138">
        <f t="shared" si="13"/>
        <v>1</v>
      </c>
      <c r="J63" s="238"/>
      <c r="K63" s="96"/>
      <c r="L63" s="199" t="str">
        <f>IF(INDEX('Completion Matrix'!$J:$J,MATCH(Overview!$C63,'Completion Matrix'!$A:$A,0))=L$19,1,"")</f>
        <v/>
      </c>
      <c r="M63" s="199">
        <f>IF(INDEX('Completion Matrix'!$J:$J,MATCH(Overview!$C63,'Completion Matrix'!$A:$A,0))=M$19,1,"")</f>
        <v>1</v>
      </c>
      <c r="N63" s="199" t="str">
        <f>IF(INDEX('Completion Matrix'!$J:$J,MATCH(Overview!$C63,'Completion Matrix'!$A:$A,0))=N$19,1,"")</f>
        <v/>
      </c>
      <c r="O63" s="199" t="str">
        <f>IF(INDEX('Completion Matrix'!$J:$J,MATCH(Overview!$C63,'Completion Matrix'!$A:$A,0))=O$19,1,"")</f>
        <v/>
      </c>
      <c r="P63" s="138">
        <f t="shared" si="12"/>
        <v>1</v>
      </c>
      <c r="Q63" s="228"/>
      <c r="W63" s="96"/>
      <c r="X63" s="96"/>
      <c r="Y63" s="96"/>
      <c r="Z63" s="96"/>
      <c r="AA63" s="96"/>
      <c r="AB63" s="96"/>
      <c r="AC63" s="96"/>
      <c r="AD63"/>
      <c r="AE63" s="225"/>
      <c r="AF63" s="227"/>
      <c r="AG63" s="94" t="s">
        <v>459</v>
      </c>
      <c r="AH63" s="94"/>
      <c r="AI63" s="95">
        <f>COUNTIFS('Completion Matrix'!$E:$E,Overview!$AE$58,'Completion Matrix'!$I:$I,$AF$62,'Completion Matrix'!$J:$J,AG63)</f>
        <v>0</v>
      </c>
    </row>
    <row r="64" spans="2:35" ht="25.5" hidden="1" customHeight="1" outlineLevel="1">
      <c r="B64" s="134"/>
      <c r="C64" s="135">
        <v>183</v>
      </c>
      <c r="D64" s="136" t="s">
        <v>271</v>
      </c>
      <c r="E64" s="199">
        <f>IF(INDEX('Completion Matrix'!$I:$I,MATCH(Overview!$C64,'Completion Matrix'!$A:$A,0))=E$19,1,"")</f>
        <v>1</v>
      </c>
      <c r="F64" s="199" t="str">
        <f>IF(INDEX('Completion Matrix'!$I:$I,MATCH(Overview!$C64,'Completion Matrix'!$A:$A,0))=F$19,1,"")</f>
        <v/>
      </c>
      <c r="G64" s="199" t="str">
        <f>IF(INDEX('Completion Matrix'!$I:$I,MATCH(Overview!$C64,'Completion Matrix'!$A:$A,0))=G$19,1,"")</f>
        <v/>
      </c>
      <c r="H64" s="199" t="str">
        <f>IF(INDEX('Completion Matrix'!$I:$I,MATCH(Overview!$C64,'Completion Matrix'!$A:$A,0))=H$19,1,"")</f>
        <v/>
      </c>
      <c r="I64" s="138">
        <f t="shared" si="13"/>
        <v>1</v>
      </c>
      <c r="J64" s="238"/>
      <c r="K64" s="96"/>
      <c r="L64" s="199">
        <f>IF(INDEX('Completion Matrix'!$J:$J,MATCH(Overview!$C64,'Completion Matrix'!$A:$A,0))=L$19,1,"")</f>
        <v>1</v>
      </c>
      <c r="M64" s="199" t="str">
        <f>IF(INDEX('Completion Matrix'!$J:$J,MATCH(Overview!$C64,'Completion Matrix'!$A:$A,0))=M$19,1,"")</f>
        <v/>
      </c>
      <c r="N64" s="199" t="str">
        <f>IF(INDEX('Completion Matrix'!$J:$J,MATCH(Overview!$C64,'Completion Matrix'!$A:$A,0))=N$19,1,"")</f>
        <v/>
      </c>
      <c r="O64" s="199" t="str">
        <f>IF(INDEX('Completion Matrix'!$J:$J,MATCH(Overview!$C64,'Completion Matrix'!$A:$A,0))=O$19,1,"")</f>
        <v/>
      </c>
      <c r="P64" s="138">
        <f t="shared" si="12"/>
        <v>1</v>
      </c>
      <c r="Q64" s="228"/>
      <c r="W64" s="96"/>
      <c r="X64" s="96"/>
      <c r="Y64" s="96"/>
      <c r="Z64" s="96"/>
      <c r="AA64" s="96"/>
      <c r="AB64" s="96"/>
      <c r="AC64" s="96"/>
      <c r="AD64"/>
      <c r="AE64" s="225"/>
      <c r="AF64" s="227"/>
      <c r="AG64" s="94" t="s">
        <v>462</v>
      </c>
      <c r="AH64" s="94"/>
      <c r="AI64" s="95">
        <f>COUNTIFS('Completion Matrix'!$E:$E,Overview!$AE$58,'Completion Matrix'!$I:$I,$AF$62,'Completion Matrix'!$J:$J,AG64)</f>
        <v>0</v>
      </c>
    </row>
    <row r="65" spans="2:35" ht="102" hidden="1" customHeight="1" outlineLevel="1">
      <c r="B65" s="134"/>
      <c r="C65" s="137">
        <v>184</v>
      </c>
      <c r="D65" s="102" t="s">
        <v>272</v>
      </c>
      <c r="E65" s="199">
        <f>IF(INDEX('Completion Matrix'!$I:$I,MATCH(Overview!$C65,'Completion Matrix'!$A:$A,0))=E$19,1,"")</f>
        <v>1</v>
      </c>
      <c r="F65" s="199" t="str">
        <f>IF(INDEX('Completion Matrix'!$I:$I,MATCH(Overview!$C65,'Completion Matrix'!$A:$A,0))=F$19,1,"")</f>
        <v/>
      </c>
      <c r="G65" s="199" t="str">
        <f>IF(INDEX('Completion Matrix'!$I:$I,MATCH(Overview!$C65,'Completion Matrix'!$A:$A,0))=G$19,1,"")</f>
        <v/>
      </c>
      <c r="H65" s="199" t="str">
        <f>IF(INDEX('Completion Matrix'!$I:$I,MATCH(Overview!$C65,'Completion Matrix'!$A:$A,0))=H$19,1,"")</f>
        <v/>
      </c>
      <c r="I65" s="138">
        <f t="shared" si="13"/>
        <v>1</v>
      </c>
      <c r="J65" s="238"/>
      <c r="K65" s="96"/>
      <c r="L65" s="199">
        <f>IF(INDEX('Completion Matrix'!$J:$J,MATCH(Overview!$C65,'Completion Matrix'!$A:$A,0))=L$19,1,"")</f>
        <v>1</v>
      </c>
      <c r="M65" s="199" t="str">
        <f>IF(INDEX('Completion Matrix'!$J:$J,MATCH(Overview!$C65,'Completion Matrix'!$A:$A,0))=M$19,1,"")</f>
        <v/>
      </c>
      <c r="N65" s="199" t="str">
        <f>IF(INDEX('Completion Matrix'!$J:$J,MATCH(Overview!$C65,'Completion Matrix'!$A:$A,0))=N$19,1,"")</f>
        <v/>
      </c>
      <c r="O65" s="199" t="str">
        <f>IF(INDEX('Completion Matrix'!$J:$J,MATCH(Overview!$C65,'Completion Matrix'!$A:$A,0))=O$19,1,"")</f>
        <v/>
      </c>
      <c r="P65" s="138">
        <f t="shared" si="12"/>
        <v>1</v>
      </c>
      <c r="Q65" s="228"/>
      <c r="W65" s="96"/>
      <c r="X65" s="96"/>
      <c r="Y65" s="96"/>
      <c r="Z65" s="96"/>
      <c r="AA65" s="96"/>
      <c r="AB65" s="96"/>
      <c r="AC65" s="96"/>
      <c r="AD65"/>
      <c r="AE65" s="225"/>
      <c r="AF65" s="227"/>
      <c r="AG65" s="94" t="s">
        <v>637</v>
      </c>
      <c r="AH65" s="94"/>
      <c r="AI65" s="95">
        <f>COUNTIFS('Completion Matrix'!$E:$E,Overview!$AE$58,'Completion Matrix'!$I:$I,$AF$62,'Completion Matrix'!$J:$J,AG65)</f>
        <v>0</v>
      </c>
    </row>
    <row r="66" spans="2:35" ht="38.25" hidden="1" customHeight="1" outlineLevel="1">
      <c r="B66" s="134"/>
      <c r="C66" s="135">
        <v>189</v>
      </c>
      <c r="D66" s="136" t="s">
        <v>277</v>
      </c>
      <c r="E66" s="199">
        <f>IF(INDEX('Completion Matrix'!$I:$I,MATCH(Overview!$C66,'Completion Matrix'!$A:$A,0))=E$19,1,"")</f>
        <v>1</v>
      </c>
      <c r="F66" s="199" t="str">
        <f>IF(INDEX('Completion Matrix'!$I:$I,MATCH(Overview!$C66,'Completion Matrix'!$A:$A,0))=F$19,1,"")</f>
        <v/>
      </c>
      <c r="G66" s="199" t="str">
        <f>IF(INDEX('Completion Matrix'!$I:$I,MATCH(Overview!$C66,'Completion Matrix'!$A:$A,0))=G$19,1,"")</f>
        <v/>
      </c>
      <c r="H66" s="199" t="str">
        <f>IF(INDEX('Completion Matrix'!$I:$I,MATCH(Overview!$C66,'Completion Matrix'!$A:$A,0))=H$19,1,"")</f>
        <v/>
      </c>
      <c r="I66" s="138">
        <f t="shared" si="13"/>
        <v>1</v>
      </c>
      <c r="J66" s="238"/>
      <c r="K66" s="96"/>
      <c r="L66" s="199">
        <f>IF(INDEX('Completion Matrix'!$J:$J,MATCH(Overview!$C66,'Completion Matrix'!$A:$A,0))=L$19,1,"")</f>
        <v>1</v>
      </c>
      <c r="M66" s="199" t="str">
        <f>IF(INDEX('Completion Matrix'!$J:$J,MATCH(Overview!$C66,'Completion Matrix'!$A:$A,0))=M$19,1,"")</f>
        <v/>
      </c>
      <c r="N66" s="199" t="str">
        <f>IF(INDEX('Completion Matrix'!$J:$J,MATCH(Overview!$C66,'Completion Matrix'!$A:$A,0))=N$19,1,"")</f>
        <v/>
      </c>
      <c r="O66" s="199" t="str">
        <f>IF(INDEX('Completion Matrix'!$J:$J,MATCH(Overview!$C66,'Completion Matrix'!$A:$A,0))=O$19,1,"")</f>
        <v/>
      </c>
      <c r="P66" s="138">
        <f t="shared" si="12"/>
        <v>1</v>
      </c>
      <c r="Q66" s="228"/>
      <c r="W66" s="96"/>
      <c r="X66" s="96"/>
      <c r="Y66" s="96"/>
      <c r="Z66" s="96"/>
      <c r="AA66" s="96"/>
      <c r="AB66" s="96"/>
      <c r="AC66" s="96"/>
      <c r="AD66"/>
      <c r="AE66" s="225"/>
      <c r="AF66" s="227" t="s">
        <v>593</v>
      </c>
      <c r="AG66" s="94" t="s">
        <v>468</v>
      </c>
      <c r="AH66" s="94"/>
      <c r="AI66" s="95">
        <f>COUNTIFS('Completion Matrix'!$E:$E,Overview!$AE$58,'Completion Matrix'!$I:$I,$AF$66,'Completion Matrix'!$J:$J,AG66)</f>
        <v>0</v>
      </c>
    </row>
    <row r="67" spans="2:35" ht="63.75" hidden="1" customHeight="1" outlineLevel="1">
      <c r="B67" s="134"/>
      <c r="C67" s="135">
        <v>257</v>
      </c>
      <c r="D67" s="136" t="s">
        <v>344</v>
      </c>
      <c r="E67" s="199" t="str">
        <f>IF(INDEX('Completion Matrix'!$I:$I,MATCH(Overview!$C67,'Completion Matrix'!$A:$A,0))=E$19,1,"")</f>
        <v/>
      </c>
      <c r="F67" s="199">
        <f>IF(INDEX('Completion Matrix'!$I:$I,MATCH(Overview!$C67,'Completion Matrix'!$A:$A,0))=F$19,1,"")</f>
        <v>1</v>
      </c>
      <c r="G67" s="199" t="str">
        <f>IF(INDEX('Completion Matrix'!$I:$I,MATCH(Overview!$C67,'Completion Matrix'!$A:$A,0))=G$19,1,"")</f>
        <v/>
      </c>
      <c r="H67" s="199" t="str">
        <f>IF(INDEX('Completion Matrix'!$I:$I,MATCH(Overview!$C67,'Completion Matrix'!$A:$A,0))=H$19,1,"")</f>
        <v/>
      </c>
      <c r="I67" s="138">
        <f t="shared" si="13"/>
        <v>1</v>
      </c>
      <c r="J67" s="238"/>
      <c r="K67" s="96"/>
      <c r="L67" s="199" t="str">
        <f>IF(INDEX('Completion Matrix'!$J:$J,MATCH(Overview!$C67,'Completion Matrix'!$A:$A,0))=L$19,1,"")</f>
        <v/>
      </c>
      <c r="M67" s="199">
        <f>IF(INDEX('Completion Matrix'!$J:$J,MATCH(Overview!$C67,'Completion Matrix'!$A:$A,0))=M$19,1,"")</f>
        <v>1</v>
      </c>
      <c r="N67" s="199" t="str">
        <f>IF(INDEX('Completion Matrix'!$J:$J,MATCH(Overview!$C67,'Completion Matrix'!$A:$A,0))=N$19,1,"")</f>
        <v/>
      </c>
      <c r="O67" s="199" t="str">
        <f>IF(INDEX('Completion Matrix'!$J:$J,MATCH(Overview!$C67,'Completion Matrix'!$A:$A,0))=O$19,1,"")</f>
        <v/>
      </c>
      <c r="P67" s="138">
        <f t="shared" si="12"/>
        <v>1</v>
      </c>
      <c r="Q67" s="228"/>
      <c r="W67" s="96"/>
      <c r="X67" s="96"/>
      <c r="Y67" s="96"/>
      <c r="Z67" s="96"/>
      <c r="AA67" s="96"/>
      <c r="AB67" s="96"/>
      <c r="AC67" s="96"/>
      <c r="AD67"/>
      <c r="AE67" s="225"/>
      <c r="AF67" s="227"/>
      <c r="AG67" s="94" t="s">
        <v>459</v>
      </c>
      <c r="AH67" s="94"/>
      <c r="AI67" s="95">
        <f>COUNTIFS('Completion Matrix'!$E:$E,Overview!$AE$58,'Completion Matrix'!$I:$I,$AF$66,'Completion Matrix'!$J:$J,AG67)</f>
        <v>0</v>
      </c>
    </row>
    <row r="68" spans="2:35" ht="15" collapsed="1">
      <c r="B68" s="217" t="s">
        <v>437</v>
      </c>
      <c r="C68" s="218"/>
      <c r="D68" s="219"/>
      <c r="E68" s="199">
        <f>SUM(E69:E70)</f>
        <v>2</v>
      </c>
      <c r="F68" s="199">
        <f t="shared" ref="F68:H68" si="14">SUM(F69:F70)</f>
        <v>0</v>
      </c>
      <c r="G68" s="199">
        <f t="shared" si="14"/>
        <v>0</v>
      </c>
      <c r="H68" s="199">
        <f t="shared" si="14"/>
        <v>0</v>
      </c>
      <c r="I68" s="138">
        <f t="shared" si="1"/>
        <v>2</v>
      </c>
      <c r="J68" s="238"/>
      <c r="K68" s="96"/>
      <c r="L68" s="199">
        <f>SUM(L69:L70)</f>
        <v>0</v>
      </c>
      <c r="M68" s="199">
        <f t="shared" ref="M68:O68" si="15">SUM(M69:M70)</f>
        <v>2</v>
      </c>
      <c r="N68" s="199">
        <f t="shared" si="15"/>
        <v>0</v>
      </c>
      <c r="O68" s="199">
        <f t="shared" si="15"/>
        <v>0</v>
      </c>
      <c r="P68" s="138">
        <f t="shared" ref="P68:P72" si="16">SUM(L68:O68)</f>
        <v>2</v>
      </c>
      <c r="Q68" s="228"/>
      <c r="W68" s="96"/>
      <c r="X68" s="96"/>
      <c r="Y68" s="96"/>
      <c r="Z68" s="96"/>
      <c r="AA68" s="96"/>
      <c r="AB68" s="96"/>
      <c r="AC68" s="96"/>
      <c r="AD68"/>
      <c r="AE68" s="225"/>
      <c r="AF68" s="125"/>
      <c r="AG68" s="94"/>
      <c r="AH68" s="94"/>
      <c r="AI68" s="95"/>
    </row>
    <row r="69" spans="2:35" ht="25.5" hidden="1" customHeight="1" outlineLevel="1">
      <c r="B69" s="134"/>
      <c r="C69" s="135">
        <v>132</v>
      </c>
      <c r="D69" s="136" t="s">
        <v>218</v>
      </c>
      <c r="E69" s="199">
        <f>IF(INDEX('Completion Matrix'!$I:$I,MATCH(Overview!$C69,'Completion Matrix'!$A:$A,0))=E$19,1,"")</f>
        <v>1</v>
      </c>
      <c r="F69" s="199" t="str">
        <f>IF(INDEX('Completion Matrix'!$I:$I,MATCH(Overview!$C69,'Completion Matrix'!$A:$A,0))=F$19,1,"")</f>
        <v/>
      </c>
      <c r="G69" s="199" t="str">
        <f>IF(INDEX('Completion Matrix'!$I:$I,MATCH(Overview!$C69,'Completion Matrix'!$A:$A,0))=G$19,1,"")</f>
        <v/>
      </c>
      <c r="H69" s="199" t="str">
        <f>IF(INDEX('Completion Matrix'!$I:$I,MATCH(Overview!$C69,'Completion Matrix'!$A:$A,0))=H$19,1,"")</f>
        <v/>
      </c>
      <c r="I69" s="138">
        <f t="shared" si="1"/>
        <v>1</v>
      </c>
      <c r="J69" s="238"/>
      <c r="K69" s="96"/>
      <c r="L69" s="199" t="str">
        <f>IF(INDEX('Completion Matrix'!$J:$J,MATCH(Overview!$C69,'Completion Matrix'!$A:$A,0))=L$19,1,"")</f>
        <v/>
      </c>
      <c r="M69" s="199">
        <f>IF(INDEX('Completion Matrix'!$J:$J,MATCH(Overview!$C69,'Completion Matrix'!$A:$A,0))=M$19,1,"")</f>
        <v>1</v>
      </c>
      <c r="N69" s="199" t="str">
        <f>IF(INDEX('Completion Matrix'!$J:$J,MATCH(Overview!$C69,'Completion Matrix'!$A:$A,0))=N$19,1,"")</f>
        <v/>
      </c>
      <c r="O69" s="199" t="str">
        <f>IF(INDEX('Completion Matrix'!$J:$J,MATCH(Overview!$C69,'Completion Matrix'!$A:$A,0))=O$19,1,"")</f>
        <v/>
      </c>
      <c r="P69" s="138">
        <f t="shared" si="16"/>
        <v>1</v>
      </c>
      <c r="Q69" s="228"/>
      <c r="W69" s="96"/>
      <c r="X69" s="96"/>
      <c r="Y69" s="96"/>
      <c r="Z69" s="96"/>
      <c r="AA69" s="96"/>
      <c r="AB69" s="96"/>
      <c r="AC69" s="96"/>
      <c r="AD69"/>
      <c r="AE69" s="225"/>
      <c r="AF69" s="125"/>
      <c r="AG69" s="94"/>
      <c r="AH69" s="94"/>
      <c r="AI69" s="95"/>
    </row>
    <row r="70" spans="2:35" ht="51" hidden="1" customHeight="1" outlineLevel="1">
      <c r="B70" s="134"/>
      <c r="C70" s="135">
        <v>134</v>
      </c>
      <c r="D70" s="136" t="s">
        <v>225</v>
      </c>
      <c r="E70" s="199">
        <f>IF(INDEX('Completion Matrix'!$I:$I,MATCH(Overview!$C70,'Completion Matrix'!$A:$A,0))=E$19,1,"")</f>
        <v>1</v>
      </c>
      <c r="F70" s="199" t="str">
        <f>IF(INDEX('Completion Matrix'!$I:$I,MATCH(Overview!$C70,'Completion Matrix'!$A:$A,0))=F$19,1,"")</f>
        <v/>
      </c>
      <c r="G70" s="199" t="str">
        <f>IF(INDEX('Completion Matrix'!$I:$I,MATCH(Overview!$C70,'Completion Matrix'!$A:$A,0))=G$19,1,"")</f>
        <v/>
      </c>
      <c r="H70" s="199" t="str">
        <f>IF(INDEX('Completion Matrix'!$I:$I,MATCH(Overview!$C70,'Completion Matrix'!$A:$A,0))=H$19,1,"")</f>
        <v/>
      </c>
      <c r="I70" s="138">
        <f t="shared" si="1"/>
        <v>1</v>
      </c>
      <c r="J70" s="238"/>
      <c r="K70" s="96"/>
      <c r="L70" s="199" t="str">
        <f>IF(INDEX('Completion Matrix'!$J:$J,MATCH(Overview!$C70,'Completion Matrix'!$A:$A,0))=L$19,1,"")</f>
        <v/>
      </c>
      <c r="M70" s="199">
        <f>IF(INDEX('Completion Matrix'!$J:$J,MATCH(Overview!$C70,'Completion Matrix'!$A:$A,0))=M$19,1,"")</f>
        <v>1</v>
      </c>
      <c r="N70" s="199" t="str">
        <f>IF(INDEX('Completion Matrix'!$J:$J,MATCH(Overview!$C70,'Completion Matrix'!$A:$A,0))=N$19,1,"")</f>
        <v/>
      </c>
      <c r="O70" s="199" t="str">
        <f>IF(INDEX('Completion Matrix'!$J:$J,MATCH(Overview!$C70,'Completion Matrix'!$A:$A,0))=O$19,1,"")</f>
        <v/>
      </c>
      <c r="P70" s="138">
        <f t="shared" si="16"/>
        <v>1</v>
      </c>
      <c r="Q70" s="228"/>
      <c r="W70" s="96"/>
      <c r="X70" s="96"/>
      <c r="Y70" s="96"/>
      <c r="Z70" s="96"/>
      <c r="AA70" s="96"/>
      <c r="AB70" s="96"/>
      <c r="AC70" s="96"/>
      <c r="AD70"/>
      <c r="AE70" s="225"/>
      <c r="AF70" s="125"/>
      <c r="AG70" s="94"/>
      <c r="AH70" s="94"/>
      <c r="AI70" s="95"/>
    </row>
    <row r="71" spans="2:35" ht="15" collapsed="1">
      <c r="B71" s="217" t="s">
        <v>432</v>
      </c>
      <c r="C71" s="218"/>
      <c r="D71" s="219"/>
      <c r="E71" s="199">
        <f>SUM(E72:E76)</f>
        <v>0</v>
      </c>
      <c r="F71" s="199">
        <f>SUM(F72:F76)</f>
        <v>1</v>
      </c>
      <c r="G71" s="199">
        <f>SUM(G72:G76)</f>
        <v>4</v>
      </c>
      <c r="H71" s="199">
        <f>SUM(H72:H76)</f>
        <v>0</v>
      </c>
      <c r="I71" s="138">
        <f t="shared" si="1"/>
        <v>5</v>
      </c>
      <c r="J71" s="238"/>
      <c r="K71" s="96"/>
      <c r="L71" s="199">
        <f>SUM(L72:L76)</f>
        <v>0</v>
      </c>
      <c r="M71" s="199">
        <f>SUM(M72:M76)</f>
        <v>1</v>
      </c>
      <c r="N71" s="199">
        <f>SUM(N72:N76)</f>
        <v>4</v>
      </c>
      <c r="O71" s="199">
        <f>SUM(O72:O76)</f>
        <v>0</v>
      </c>
      <c r="P71" s="138">
        <f t="shared" si="16"/>
        <v>5</v>
      </c>
      <c r="Q71" s="228"/>
      <c r="W71" s="96"/>
      <c r="X71" s="96"/>
      <c r="Y71" s="96"/>
      <c r="Z71" s="96"/>
      <c r="AA71" s="96"/>
      <c r="AB71" s="96"/>
      <c r="AC71" s="96"/>
      <c r="AD71"/>
      <c r="AE71" s="225"/>
      <c r="AF71" s="227" t="s">
        <v>636</v>
      </c>
      <c r="AG71" s="94" t="s">
        <v>468</v>
      </c>
      <c r="AH71" s="94"/>
      <c r="AI71" s="95">
        <f>COUNTIFS('Completion Matrix'!$E:$E,Overview!$AE$58,'Completion Matrix'!$I:$I,$AF$71,'Completion Matrix'!$J:$J,AG71)</f>
        <v>0</v>
      </c>
    </row>
    <row r="72" spans="2:35" ht="25.5" hidden="1" customHeight="1" outlineLevel="1">
      <c r="B72" s="134"/>
      <c r="C72" s="135">
        <v>35</v>
      </c>
      <c r="D72" s="136" t="s">
        <v>50</v>
      </c>
      <c r="E72" s="199" t="str">
        <f>IF(INDEX('Completion Matrix'!$I:$I,MATCH(Overview!$C72,'Completion Matrix'!$A:$A,0))=E$19,1,"")</f>
        <v/>
      </c>
      <c r="F72" s="199" t="str">
        <f>IF(INDEX('Completion Matrix'!$I:$I,MATCH(Overview!$C72,'Completion Matrix'!$A:$A,0))=F$19,1,"")</f>
        <v/>
      </c>
      <c r="G72" s="199">
        <f>IF(INDEX('Completion Matrix'!$I:$I,MATCH(Overview!$C72,'Completion Matrix'!$A:$A,0))=G$19,1,"")</f>
        <v>1</v>
      </c>
      <c r="H72" s="199" t="str">
        <f>IF(INDEX('Completion Matrix'!$I:$I,MATCH(Overview!$C72,'Completion Matrix'!$A:$A,0))=H$19,1,"")</f>
        <v/>
      </c>
      <c r="I72" s="138">
        <f t="shared" si="1"/>
        <v>1</v>
      </c>
      <c r="J72" s="238"/>
      <c r="K72" s="96"/>
      <c r="L72" s="199" t="str">
        <f>IF(INDEX('Completion Matrix'!$J:$J,MATCH(Overview!$C72,'Completion Matrix'!$A:$A,0))=L$19,1,"")</f>
        <v/>
      </c>
      <c r="M72" s="199" t="str">
        <f>IF(INDEX('Completion Matrix'!$J:$J,MATCH(Overview!$C72,'Completion Matrix'!$A:$A,0))=M$19,1,"")</f>
        <v/>
      </c>
      <c r="N72" s="199">
        <f>IF(INDEX('Completion Matrix'!$J:$J,MATCH(Overview!$C72,'Completion Matrix'!$A:$A,0))=N$19,1,"")</f>
        <v>1</v>
      </c>
      <c r="O72" s="199" t="str">
        <f>IF(INDEX('Completion Matrix'!$J:$J,MATCH(Overview!$C72,'Completion Matrix'!$A:$A,0))=O$19,1,"")</f>
        <v/>
      </c>
      <c r="P72" s="138">
        <f t="shared" si="16"/>
        <v>1</v>
      </c>
      <c r="Q72" s="228"/>
      <c r="W72" s="96"/>
      <c r="X72" s="96"/>
      <c r="Y72" s="96"/>
      <c r="Z72" s="96"/>
      <c r="AA72" s="96"/>
      <c r="AB72" s="96"/>
      <c r="AC72" s="96"/>
      <c r="AD72"/>
      <c r="AE72" s="225"/>
      <c r="AF72" s="227"/>
      <c r="AG72" s="94" t="s">
        <v>459</v>
      </c>
      <c r="AH72" s="94"/>
      <c r="AI72" s="95">
        <f>COUNTIFS('Completion Matrix'!$E:$E,Overview!$AE$58,'Completion Matrix'!$I:$I,$AF$71,'Completion Matrix'!$J:$J,AG72)</f>
        <v>0</v>
      </c>
    </row>
    <row r="73" spans="2:35" ht="25.5" hidden="1" customHeight="1" outlineLevel="1">
      <c r="B73" s="134"/>
      <c r="C73" s="135">
        <v>51</v>
      </c>
      <c r="D73" s="136" t="s">
        <v>77</v>
      </c>
      <c r="E73" s="199" t="str">
        <f>IF(INDEX('Completion Matrix'!$I:$I,MATCH(Overview!$C73,'Completion Matrix'!$A:$A,0))=E$19,1,"")</f>
        <v/>
      </c>
      <c r="F73" s="199" t="str">
        <f>IF(INDEX('Completion Matrix'!$I:$I,MATCH(Overview!$C73,'Completion Matrix'!$A:$A,0))=F$19,1,"")</f>
        <v/>
      </c>
      <c r="G73" s="199">
        <f>IF(INDEX('Completion Matrix'!$I:$I,MATCH(Overview!$C73,'Completion Matrix'!$A:$A,0))=G$19,1,"")</f>
        <v>1</v>
      </c>
      <c r="H73" s="199" t="str">
        <f>IF(INDEX('Completion Matrix'!$I:$I,MATCH(Overview!$C73,'Completion Matrix'!$A:$A,0))=H$19,1,"")</f>
        <v/>
      </c>
      <c r="I73" s="138">
        <f t="shared" si="1"/>
        <v>1</v>
      </c>
      <c r="J73" s="238"/>
      <c r="K73" s="96"/>
      <c r="L73" s="199" t="str">
        <f>IF(INDEX('Completion Matrix'!$J:$J,MATCH(Overview!$C73,'Completion Matrix'!$A:$A,0))=L$19,1,"")</f>
        <v/>
      </c>
      <c r="M73" s="199" t="str">
        <f>IF(INDEX('Completion Matrix'!$J:$J,MATCH(Overview!$C73,'Completion Matrix'!$A:$A,0))=M$19,1,"")</f>
        <v/>
      </c>
      <c r="N73" s="199">
        <f>IF(INDEX('Completion Matrix'!$J:$J,MATCH(Overview!$C73,'Completion Matrix'!$A:$A,0))=N$19,1,"")</f>
        <v>1</v>
      </c>
      <c r="O73" s="199" t="str">
        <f>IF(INDEX('Completion Matrix'!$J:$J,MATCH(Overview!$C73,'Completion Matrix'!$A:$A,0))=O$19,1,"")</f>
        <v/>
      </c>
      <c r="P73" s="138">
        <f t="shared" ref="P73:P76" si="17">SUM(L73:O73)</f>
        <v>1</v>
      </c>
      <c r="Q73" s="228"/>
      <c r="W73" s="96"/>
      <c r="X73" s="96"/>
      <c r="Y73" s="96"/>
      <c r="Z73" s="96"/>
      <c r="AA73" s="96"/>
      <c r="AB73" s="96"/>
      <c r="AC73" s="96"/>
      <c r="AD73"/>
      <c r="AE73" s="225"/>
      <c r="AF73" s="227"/>
      <c r="AG73" s="94" t="s">
        <v>462</v>
      </c>
      <c r="AH73" s="94"/>
      <c r="AI73" s="95">
        <f>COUNTIFS('Completion Matrix'!$E:$E,Overview!$AE$58,'Completion Matrix'!$I:$I,$AF$71,'Completion Matrix'!$J:$J,AG73)</f>
        <v>0</v>
      </c>
    </row>
    <row r="74" spans="2:35" ht="63.75" hidden="1" customHeight="1" outlineLevel="1">
      <c r="B74" s="134"/>
      <c r="C74" s="135">
        <v>54</v>
      </c>
      <c r="D74" s="136" t="s">
        <v>82</v>
      </c>
      <c r="E74" s="199" t="str">
        <f>IF(INDEX('Completion Matrix'!$I:$I,MATCH(Overview!$C74,'Completion Matrix'!$A:$A,0))=E$19,1,"")</f>
        <v/>
      </c>
      <c r="F74" s="199" t="str">
        <f>IF(INDEX('Completion Matrix'!$I:$I,MATCH(Overview!$C74,'Completion Matrix'!$A:$A,0))=F$19,1,"")</f>
        <v/>
      </c>
      <c r="G74" s="199">
        <f>IF(INDEX('Completion Matrix'!$I:$I,MATCH(Overview!$C74,'Completion Matrix'!$A:$A,0))=G$19,1,"")</f>
        <v>1</v>
      </c>
      <c r="H74" s="199" t="str">
        <f>IF(INDEX('Completion Matrix'!$I:$I,MATCH(Overview!$C74,'Completion Matrix'!$A:$A,0))=H$19,1,"")</f>
        <v/>
      </c>
      <c r="I74" s="138">
        <f t="shared" si="1"/>
        <v>1</v>
      </c>
      <c r="J74" s="238"/>
      <c r="K74" s="96"/>
      <c r="L74" s="199" t="str">
        <f>IF(INDEX('Completion Matrix'!$J:$J,MATCH(Overview!$C74,'Completion Matrix'!$A:$A,0))=L$19,1,"")</f>
        <v/>
      </c>
      <c r="M74" s="199" t="str">
        <f>IF(INDEX('Completion Matrix'!$J:$J,MATCH(Overview!$C74,'Completion Matrix'!$A:$A,0))=M$19,1,"")</f>
        <v/>
      </c>
      <c r="N74" s="199">
        <f>IF(INDEX('Completion Matrix'!$J:$J,MATCH(Overview!$C74,'Completion Matrix'!$A:$A,0))=N$19,1,"")</f>
        <v>1</v>
      </c>
      <c r="O74" s="199" t="str">
        <f>IF(INDEX('Completion Matrix'!$J:$J,MATCH(Overview!$C74,'Completion Matrix'!$A:$A,0))=O$19,1,"")</f>
        <v/>
      </c>
      <c r="P74" s="138">
        <f t="shared" si="17"/>
        <v>1</v>
      </c>
      <c r="Q74" s="228"/>
      <c r="W74" s="96"/>
      <c r="X74" s="96"/>
      <c r="Y74" s="96"/>
      <c r="Z74" s="96"/>
      <c r="AA74" s="96"/>
      <c r="AB74" s="96"/>
      <c r="AC74" s="96"/>
      <c r="AD74"/>
      <c r="AE74" s="226"/>
      <c r="AF74" s="227"/>
      <c r="AG74" s="94" t="s">
        <v>636</v>
      </c>
      <c r="AH74" s="94"/>
      <c r="AI74" s="95">
        <f>COUNTIFS('Completion Matrix'!$E:$E,Overview!$AE$58,'Completion Matrix'!$I:$I,$AF$71,'Completion Matrix'!$J:$J,AG74)</f>
        <v>0</v>
      </c>
    </row>
    <row r="75" spans="2:35" ht="51" hidden="1" customHeight="1" outlineLevel="1">
      <c r="B75" s="134"/>
      <c r="C75" s="135">
        <v>55</v>
      </c>
      <c r="D75" s="136" t="s">
        <v>83</v>
      </c>
      <c r="E75" s="199" t="str">
        <f>IF(INDEX('Completion Matrix'!$I:$I,MATCH(Overview!$C75,'Completion Matrix'!$A:$A,0))=E$19,1,"")</f>
        <v/>
      </c>
      <c r="F75" s="199" t="str">
        <f>IF(INDEX('Completion Matrix'!$I:$I,MATCH(Overview!$C75,'Completion Matrix'!$A:$A,0))=F$19,1,"")</f>
        <v/>
      </c>
      <c r="G75" s="199">
        <f>IF(INDEX('Completion Matrix'!$I:$I,MATCH(Overview!$C75,'Completion Matrix'!$A:$A,0))=G$19,1,"")</f>
        <v>1</v>
      </c>
      <c r="H75" s="199" t="str">
        <f>IF(INDEX('Completion Matrix'!$I:$I,MATCH(Overview!$C75,'Completion Matrix'!$A:$A,0))=H$19,1,"")</f>
        <v/>
      </c>
      <c r="I75" s="138">
        <f t="shared" si="1"/>
        <v>1</v>
      </c>
      <c r="J75" s="238"/>
      <c r="K75" s="96"/>
      <c r="L75" s="199" t="str">
        <f>IF(INDEX('Completion Matrix'!$J:$J,MATCH(Overview!$C75,'Completion Matrix'!$A:$A,0))=L$19,1,"")</f>
        <v/>
      </c>
      <c r="M75" s="199" t="str">
        <f>IF(INDEX('Completion Matrix'!$J:$J,MATCH(Overview!$C75,'Completion Matrix'!$A:$A,0))=M$19,1,"")</f>
        <v/>
      </c>
      <c r="N75" s="199">
        <f>IF(INDEX('Completion Matrix'!$J:$J,MATCH(Overview!$C75,'Completion Matrix'!$A:$A,0))=N$19,1,"")</f>
        <v>1</v>
      </c>
      <c r="O75" s="199" t="str">
        <f>IF(INDEX('Completion Matrix'!$J:$J,MATCH(Overview!$C75,'Completion Matrix'!$A:$A,0))=O$19,1,"")</f>
        <v/>
      </c>
      <c r="P75" s="138">
        <f t="shared" si="17"/>
        <v>1</v>
      </c>
      <c r="Q75" s="228"/>
      <c r="W75" s="96"/>
      <c r="X75" s="96"/>
      <c r="Y75" s="96"/>
      <c r="Z75" s="96"/>
      <c r="AA75" s="96"/>
      <c r="AB75" s="96"/>
      <c r="AC75" s="96"/>
      <c r="AD75"/>
      <c r="AE75"/>
      <c r="AF75"/>
      <c r="AG75"/>
      <c r="AH75"/>
      <c r="AI75" s="95">
        <f>SUM(AI58:AI74)</f>
        <v>2</v>
      </c>
    </row>
    <row r="76" spans="2:35" ht="25.5" hidden="1" customHeight="1" outlineLevel="1">
      <c r="B76" s="134"/>
      <c r="C76" s="135">
        <v>75</v>
      </c>
      <c r="D76" s="136" t="s">
        <v>104</v>
      </c>
      <c r="E76" s="199" t="str">
        <f>IF(INDEX('Completion Matrix'!$I:$I,MATCH(Overview!$C76,'Completion Matrix'!$A:$A,0))=E$19,1,"")</f>
        <v/>
      </c>
      <c r="F76" s="199">
        <f>IF(INDEX('Completion Matrix'!$I:$I,MATCH(Overview!$C76,'Completion Matrix'!$A:$A,0))=F$19,1,"")</f>
        <v>1</v>
      </c>
      <c r="G76" s="199" t="str">
        <f>IF(INDEX('Completion Matrix'!$I:$I,MATCH(Overview!$C76,'Completion Matrix'!$A:$A,0))=G$19,1,"")</f>
        <v/>
      </c>
      <c r="H76" s="199" t="str">
        <f>IF(INDEX('Completion Matrix'!$I:$I,MATCH(Overview!$C76,'Completion Matrix'!$A:$A,0))=H$19,1,"")</f>
        <v/>
      </c>
      <c r="I76" s="138">
        <f t="shared" si="1"/>
        <v>1</v>
      </c>
      <c r="J76" s="238"/>
      <c r="K76" s="96"/>
      <c r="L76" s="199" t="str">
        <f>IF(INDEX('Completion Matrix'!$J:$J,MATCH(Overview!$C76,'Completion Matrix'!$A:$A,0))=L$19,1,"")</f>
        <v/>
      </c>
      <c r="M76" s="199">
        <f>IF(INDEX('Completion Matrix'!$J:$J,MATCH(Overview!$C76,'Completion Matrix'!$A:$A,0))=M$19,1,"")</f>
        <v>1</v>
      </c>
      <c r="N76" s="199" t="str">
        <f>IF(INDEX('Completion Matrix'!$J:$J,MATCH(Overview!$C76,'Completion Matrix'!$A:$A,0))=N$19,1,"")</f>
        <v/>
      </c>
      <c r="O76" s="199" t="str">
        <f>IF(INDEX('Completion Matrix'!$J:$J,MATCH(Overview!$C76,'Completion Matrix'!$A:$A,0))=O$19,1,"")</f>
        <v/>
      </c>
      <c r="P76" s="138">
        <f t="shared" si="17"/>
        <v>1</v>
      </c>
      <c r="Q76" s="228"/>
      <c r="W76"/>
      <c r="X76"/>
      <c r="Y76"/>
      <c r="Z76"/>
      <c r="AA76"/>
      <c r="AB76"/>
      <c r="AC76"/>
      <c r="AD76"/>
      <c r="AE76"/>
      <c r="AF76"/>
      <c r="AG76"/>
      <c r="AH76"/>
      <c r="AI76"/>
    </row>
    <row r="77" spans="2:35" ht="15" collapsed="1">
      <c r="B77" s="217" t="s">
        <v>429</v>
      </c>
      <c r="C77" s="218"/>
      <c r="D77" s="219"/>
      <c r="E77" s="199">
        <f>SUM(E78:E79)</f>
        <v>0</v>
      </c>
      <c r="F77" s="199">
        <f>SUM(F78:F79)</f>
        <v>1</v>
      </c>
      <c r="G77" s="199">
        <f>SUM(G78:G79)</f>
        <v>0</v>
      </c>
      <c r="H77" s="199">
        <f>SUM(H78:H79)</f>
        <v>1</v>
      </c>
      <c r="I77" s="138">
        <f t="shared" si="1"/>
        <v>2</v>
      </c>
      <c r="J77" s="238"/>
      <c r="K77" s="96"/>
      <c r="L77" s="199">
        <f>SUM(L78:L79)</f>
        <v>0</v>
      </c>
      <c r="M77" s="199">
        <f>SUM(M78:M79)</f>
        <v>1</v>
      </c>
      <c r="N77" s="199">
        <f>SUM(N78:N79)</f>
        <v>0</v>
      </c>
      <c r="O77" s="199">
        <f>SUM(O78:O79)</f>
        <v>1</v>
      </c>
      <c r="P77" s="138">
        <f t="shared" ref="P77:P79" si="18">SUM(L77:O77)</f>
        <v>2</v>
      </c>
      <c r="Q77" s="228"/>
      <c r="W77" s="96"/>
      <c r="X77" s="96"/>
      <c r="Y77" s="96"/>
      <c r="Z77" s="96"/>
      <c r="AA77" s="96"/>
      <c r="AB77" s="96"/>
      <c r="AC77" s="96"/>
      <c r="AD77"/>
      <c r="AE77"/>
      <c r="AF77" s="229" t="s">
        <v>638</v>
      </c>
      <c r="AG77" s="94" t="s">
        <v>451</v>
      </c>
      <c r="AH77" s="94"/>
      <c r="AI77" s="95">
        <f>COUNTIFS('Completion Matrix'!$E:$E,Overview!AE58,'Completion Matrix'!$I:$I,"")</f>
        <v>0</v>
      </c>
    </row>
    <row r="78" spans="2:35" ht="15" hidden="1" customHeight="1" outlineLevel="1">
      <c r="B78" s="134"/>
      <c r="C78" s="137">
        <v>44</v>
      </c>
      <c r="D78" s="102" t="s">
        <v>61</v>
      </c>
      <c r="E78" s="199" t="str">
        <f>IF(INDEX('Completion Matrix'!$I:$I,MATCH(Overview!$C78,'Completion Matrix'!$A:$A,0))=E$19,1,"")</f>
        <v/>
      </c>
      <c r="F78" s="199" t="str">
        <f>IF(INDEX('Completion Matrix'!$I:$I,MATCH(Overview!$C78,'Completion Matrix'!$A:$A,0))=F$19,1,"")</f>
        <v/>
      </c>
      <c r="G78" s="199" t="str">
        <f>IF(INDEX('Completion Matrix'!$I:$I,MATCH(Overview!$C78,'Completion Matrix'!$A:$A,0))=G$19,1,"")</f>
        <v/>
      </c>
      <c r="H78" s="199">
        <f>IF(INDEX('Completion Matrix'!$I:$I,MATCH(Overview!$C78,'Completion Matrix'!$A:$A,0))=H$19,1,"")</f>
        <v>1</v>
      </c>
      <c r="I78" s="148">
        <f t="shared" ref="I78:I79" si="19">SUM(E78:H78)</f>
        <v>1</v>
      </c>
      <c r="J78" s="238"/>
      <c r="K78" s="96"/>
      <c r="L78" s="199" t="str">
        <f>IF(INDEX('Completion Matrix'!$J:$J,MATCH(Overview!$C78,'Completion Matrix'!$A:$A,0))=L$19,1,"")</f>
        <v/>
      </c>
      <c r="M78" s="199" t="str">
        <f>IF(INDEX('Completion Matrix'!$J:$J,MATCH(Overview!$C78,'Completion Matrix'!$A:$A,0))=M$19,1,"")</f>
        <v/>
      </c>
      <c r="N78" s="199" t="str">
        <f>IF(INDEX('Completion Matrix'!$J:$J,MATCH(Overview!$C78,'Completion Matrix'!$A:$A,0))=N$19,1,"")</f>
        <v/>
      </c>
      <c r="O78" s="202">
        <f>IF(INDEX('Completion Matrix'!$J:$J,MATCH(Overview!$C78,'Completion Matrix'!$A:$A,0))=O$19,1,"")</f>
        <v>1</v>
      </c>
      <c r="P78" s="147">
        <f>SUM(L78:O78)</f>
        <v>1</v>
      </c>
      <c r="Q78" s="236"/>
      <c r="W78" s="96"/>
      <c r="X78" s="96"/>
      <c r="Y78" s="96"/>
      <c r="Z78" s="96"/>
      <c r="AA78" s="96"/>
      <c r="AB78" s="96"/>
      <c r="AC78" s="96"/>
      <c r="AD78"/>
      <c r="AE78"/>
      <c r="AF78" s="230"/>
      <c r="AG78" s="94" t="s">
        <v>450</v>
      </c>
      <c r="AH78" s="94"/>
      <c r="AI78" s="95">
        <f>COUNTIFS('Completion Matrix'!$E:$E,Overview!AE58,'Completion Matrix'!$I:$I,"")</f>
        <v>0</v>
      </c>
    </row>
    <row r="79" spans="2:35" ht="38.25" hidden="1" customHeight="1" outlineLevel="1">
      <c r="B79" s="134"/>
      <c r="C79" s="135">
        <v>45</v>
      </c>
      <c r="D79" s="136" t="s">
        <v>65</v>
      </c>
      <c r="E79" s="199" t="str">
        <f>IF(INDEX('Completion Matrix'!$I:$I,MATCH(Overview!$C79,'Completion Matrix'!$A:$A,0))=E$19,1,"")</f>
        <v/>
      </c>
      <c r="F79" s="199">
        <f>IF(INDEX('Completion Matrix'!$I:$I,MATCH(Overview!$C79,'Completion Matrix'!$A:$A,0))=F$19,1,"")</f>
        <v>1</v>
      </c>
      <c r="G79" s="199" t="str">
        <f>IF(INDEX('Completion Matrix'!$I:$I,MATCH(Overview!$C79,'Completion Matrix'!$A:$A,0))=G$19,1,"")</f>
        <v/>
      </c>
      <c r="H79" s="199" t="str">
        <f>IF(INDEX('Completion Matrix'!$I:$I,MATCH(Overview!$C79,'Completion Matrix'!$A:$A,0))=H$19,1,"")</f>
        <v/>
      </c>
      <c r="I79" s="148">
        <f t="shared" si="19"/>
        <v>1</v>
      </c>
      <c r="J79" s="239"/>
      <c r="K79" s="96"/>
      <c r="L79" s="199" t="str">
        <f>IF(INDEX('Completion Matrix'!$J:$J,MATCH(Overview!$C79,'Completion Matrix'!$A:$A,0))=L$19,1,"")</f>
        <v/>
      </c>
      <c r="M79" s="199">
        <f>IF(INDEX('Completion Matrix'!$J:$J,MATCH(Overview!$C79,'Completion Matrix'!$A:$A,0))=M$19,1,"")</f>
        <v>1</v>
      </c>
      <c r="N79" s="199" t="str">
        <f>IF(INDEX('Completion Matrix'!$J:$J,MATCH(Overview!$C79,'Completion Matrix'!$A:$A,0))=N$19,1,"")</f>
        <v/>
      </c>
      <c r="O79" s="203" t="str">
        <f>IF(INDEX('Completion Matrix'!$J:$J,MATCH(Overview!$C79,'Completion Matrix'!$A:$A,0))=O$19,1,"")</f>
        <v/>
      </c>
      <c r="P79" s="147">
        <f t="shared" si="18"/>
        <v>1</v>
      </c>
      <c r="Q79" s="236"/>
    </row>
    <row r="80" spans="2:35" ht="15" collapsed="1">
      <c r="B80" s="217" t="s">
        <v>625</v>
      </c>
      <c r="C80" s="218"/>
      <c r="D80" s="219"/>
      <c r="E80" s="200">
        <f>E20+E30+E32+E48+E57+E68+E71+E77</f>
        <v>30</v>
      </c>
      <c r="F80" s="200">
        <f>F20+F30+F32+F48+F57+F68+F71+F77</f>
        <v>13</v>
      </c>
      <c r="G80" s="200">
        <f>G20+G30+G32+G48+G57+G68+G71+G77</f>
        <v>8</v>
      </c>
      <c r="H80" s="200">
        <f>H20+H30+H32+H48+H57+H68+H71+H77</f>
        <v>1</v>
      </c>
      <c r="I80" s="96"/>
      <c r="J80" s="150"/>
      <c r="K80" s="96"/>
      <c r="L80" s="200">
        <f>L20+L30+L32+L48+L57+L68+L71+L77</f>
        <v>20</v>
      </c>
      <c r="M80" s="200">
        <f>M20+M30+M32+M48+M57+M68+M71+M77</f>
        <v>27</v>
      </c>
      <c r="N80" s="200">
        <f>N20+N30+N32+N48+N57+N68+N71+N77</f>
        <v>4</v>
      </c>
      <c r="O80" s="200">
        <f>O20+O30+O32+O48+O57+O68+O71+O77</f>
        <v>1</v>
      </c>
      <c r="P80" s="147"/>
      <c r="Q80" s="236"/>
    </row>
    <row r="81" spans="2:17" ht="15">
      <c r="B81" s="217" t="s">
        <v>625</v>
      </c>
      <c r="C81" s="218"/>
      <c r="D81" s="219"/>
      <c r="E81" s="201">
        <f>E80/$E$82</f>
        <v>0.57692307692307687</v>
      </c>
      <c r="F81" s="201">
        <f>F80/$E$82</f>
        <v>0.25</v>
      </c>
      <c r="G81" s="201">
        <f>G80/$E$82</f>
        <v>0.15384615384615385</v>
      </c>
      <c r="H81" s="201">
        <f>H80/$E$82</f>
        <v>1.9230769230769232E-2</v>
      </c>
      <c r="I81" s="96"/>
      <c r="J81" s="149"/>
      <c r="K81" s="96"/>
      <c r="L81" s="201">
        <f>L80/$E$82</f>
        <v>0.38461538461538464</v>
      </c>
      <c r="M81" s="201">
        <f>M80/$E$82</f>
        <v>0.51923076923076927</v>
      </c>
      <c r="N81" s="201">
        <f>N80/$E$82</f>
        <v>7.6923076923076927E-2</v>
      </c>
      <c r="O81" s="201">
        <f>O80/$E$82</f>
        <v>1.9230769230769232E-2</v>
      </c>
      <c r="P81" s="130"/>
      <c r="Q81" s="130"/>
    </row>
    <row r="82" spans="2:17" ht="15">
      <c r="E82" s="233">
        <f>SUM(E80:H80)</f>
        <v>52</v>
      </c>
      <c r="F82" s="234"/>
      <c r="G82" s="234"/>
      <c r="H82" s="235"/>
      <c r="L82" s="233">
        <f>SUM(L80:O80)</f>
        <v>52</v>
      </c>
      <c r="M82" s="234"/>
      <c r="N82" s="234"/>
      <c r="O82" s="235"/>
      <c r="P82" s="130"/>
      <c r="Q82" s="130"/>
    </row>
    <row r="84" spans="2:17">
      <c r="E84" s="151" t="str">
        <f>E19</f>
        <v>No Gap</v>
      </c>
      <c r="F84" s="151" t="str">
        <f t="shared" ref="F84:H84" si="20">F19</f>
        <v>Minor Gap</v>
      </c>
      <c r="G84" s="151" t="str">
        <f t="shared" si="20"/>
        <v>Significant Gap</v>
      </c>
      <c r="H84" s="151" t="str">
        <f t="shared" si="20"/>
        <v>Priority</v>
      </c>
      <c r="L84" s="151" t="str">
        <f>L19</f>
        <v>Ready</v>
      </c>
      <c r="M84" s="192" t="s">
        <v>878</v>
      </c>
      <c r="N84" s="192" t="s">
        <v>879</v>
      </c>
      <c r="O84" s="151" t="str">
        <f t="shared" ref="O84" si="21">O19</f>
        <v>Priority</v>
      </c>
    </row>
    <row r="85" spans="2:17">
      <c r="E85" s="151">
        <f>E80</f>
        <v>30</v>
      </c>
      <c r="F85" s="151">
        <f t="shared" ref="F85:H85" si="22">F80</f>
        <v>13</v>
      </c>
      <c r="G85" s="151">
        <f t="shared" si="22"/>
        <v>8</v>
      </c>
      <c r="H85" s="151">
        <f t="shared" si="22"/>
        <v>1</v>
      </c>
      <c r="L85" s="151">
        <f>L80</f>
        <v>20</v>
      </c>
      <c r="M85" s="151">
        <f t="shared" ref="M85:O85" si="23">M80</f>
        <v>27</v>
      </c>
      <c r="N85" s="151">
        <f t="shared" si="23"/>
        <v>4</v>
      </c>
      <c r="O85" s="151">
        <f t="shared" si="23"/>
        <v>1</v>
      </c>
    </row>
    <row r="87" spans="2:17">
      <c r="J87" s="132"/>
    </row>
  </sheetData>
  <autoFilter ref="B7:C7"/>
  <mergeCells count="47">
    <mergeCell ref="E82:H82"/>
    <mergeCell ref="L82:O82"/>
    <mergeCell ref="AF77:AF78"/>
    <mergeCell ref="B77:D77"/>
    <mergeCell ref="B71:D71"/>
    <mergeCell ref="Q78:Q80"/>
    <mergeCell ref="J20:J79"/>
    <mergeCell ref="AE32:AE51"/>
    <mergeCell ref="AF32:AF37"/>
    <mergeCell ref="AF38:AF41"/>
    <mergeCell ref="AF44:AF47"/>
    <mergeCell ref="AF48:AF51"/>
    <mergeCell ref="B68:D68"/>
    <mergeCell ref="B80:D80"/>
    <mergeCell ref="B81:D81"/>
    <mergeCell ref="B20:D20"/>
    <mergeCell ref="L18:O18"/>
    <mergeCell ref="E18:H18"/>
    <mergeCell ref="AE7:AE23"/>
    <mergeCell ref="AF7:AF10"/>
    <mergeCell ref="AF12:AF15"/>
    <mergeCell ref="AF16:AF19"/>
    <mergeCell ref="AF20:AF23"/>
    <mergeCell ref="Q20:Q77"/>
    <mergeCell ref="AF54:AF55"/>
    <mergeCell ref="AE58:AE74"/>
    <mergeCell ref="AF58:AF61"/>
    <mergeCell ref="AF62:AF65"/>
    <mergeCell ref="AF66:AF67"/>
    <mergeCell ref="AF71:AF74"/>
    <mergeCell ref="AF26:AF27"/>
    <mergeCell ref="I12:K12"/>
    <mergeCell ref="B32:D32"/>
    <mergeCell ref="B48:D48"/>
    <mergeCell ref="B57:D57"/>
    <mergeCell ref="B30:D30"/>
    <mergeCell ref="I13:K13"/>
    <mergeCell ref="I2:K2"/>
    <mergeCell ref="I3:K3"/>
    <mergeCell ref="I8:K8"/>
    <mergeCell ref="I9:K9"/>
    <mergeCell ref="I10:K10"/>
    <mergeCell ref="I11:K11"/>
    <mergeCell ref="I4:K4"/>
    <mergeCell ref="I5:K5"/>
    <mergeCell ref="I6:K6"/>
    <mergeCell ref="I7:K7"/>
  </mergeCells>
  <conditionalFormatting sqref="I20 P20">
    <cfRule type="cellIs" dxfId="26" priority="71" operator="notEqual">
      <formula>$C$8</formula>
    </cfRule>
    <cfRule type="cellIs" dxfId="25" priority="81" operator="equal">
      <formula>$C$8</formula>
    </cfRule>
  </conditionalFormatting>
  <conditionalFormatting sqref="I32 P32">
    <cfRule type="cellIs" dxfId="24" priority="70" operator="notEqual">
      <formula>$C$10</formula>
    </cfRule>
    <cfRule type="cellIs" dxfId="23" priority="80" operator="equal">
      <formula>$C$10</formula>
    </cfRule>
  </conditionalFormatting>
  <conditionalFormatting sqref="I48 P48">
    <cfRule type="cellIs" dxfId="22" priority="69" operator="notEqual">
      <formula>$C$11</formula>
    </cfRule>
    <cfRule type="cellIs" dxfId="21" priority="79" operator="equal">
      <formula>$C$11</formula>
    </cfRule>
  </conditionalFormatting>
  <conditionalFormatting sqref="I57 P57 I30 P30">
    <cfRule type="cellIs" dxfId="20" priority="68" operator="notEqual">
      <formula>$C$12</formula>
    </cfRule>
    <cfRule type="cellIs" dxfId="19" priority="78" operator="equal">
      <formula>$C$12</formula>
    </cfRule>
  </conditionalFormatting>
  <conditionalFormatting sqref="I68 P68">
    <cfRule type="cellIs" dxfId="18" priority="66" operator="notEqual">
      <formula>$C$13</formula>
    </cfRule>
    <cfRule type="cellIs" dxfId="17" priority="76" operator="equal">
      <formula>$C$13</formula>
    </cfRule>
  </conditionalFormatting>
  <conditionalFormatting sqref="I71 P71">
    <cfRule type="cellIs" dxfId="16" priority="65" operator="notEqual">
      <formula>$C$14</formula>
    </cfRule>
    <cfRule type="cellIs" dxfId="15" priority="75" operator="equal">
      <formula>$C$14</formula>
    </cfRule>
  </conditionalFormatting>
  <conditionalFormatting sqref="I77 P77">
    <cfRule type="cellIs" dxfId="14" priority="64" operator="notEqual">
      <formula>$C$15</formula>
    </cfRule>
    <cfRule type="cellIs" dxfId="13" priority="74" operator="equal">
      <formula>$C$15</formula>
    </cfRule>
  </conditionalFormatting>
  <conditionalFormatting sqref="P20">
    <cfRule type="cellIs" dxfId="12" priority="73" operator="equal">
      <formula>$C$8</formula>
    </cfRule>
  </conditionalFormatting>
  <conditionalFormatting sqref="P32">
    <cfRule type="cellIs" dxfId="11" priority="72" operator="equal">
      <formula>$C$9</formula>
    </cfRule>
  </conditionalFormatting>
  <conditionalFormatting sqref="E82:H82 J20 Q20 L82:O82 Q79">
    <cfRule type="cellIs" dxfId="10" priority="44" operator="notEqual">
      <formula>$C$16</formula>
    </cfRule>
    <cfRule type="cellIs" dxfId="9" priority="45" operator="equal">
      <formula>$C$16</formula>
    </cfRule>
  </conditionalFormatting>
  <conditionalFormatting sqref="I21:I31 I33:I47 P21:P31 P33:P47 P80">
    <cfRule type="cellIs" dxfId="8" priority="41" operator="greaterThan">
      <formula>0</formula>
    </cfRule>
  </conditionalFormatting>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7">
    <pageSetUpPr fitToPage="1"/>
  </sheetPr>
  <dimension ref="A5:S381"/>
  <sheetViews>
    <sheetView zoomScale="40" zoomScaleNormal="40" workbookViewId="0">
      <pane ySplit="7" topLeftCell="A8" activePane="bottomLeft" state="frozen"/>
      <selection pane="bottomLeft" activeCell="A8" sqref="A8"/>
    </sheetView>
  </sheetViews>
  <sheetFormatPr defaultRowHeight="15"/>
  <cols>
    <col min="1" max="1" width="13.140625" style="112" customWidth="1"/>
    <col min="2" max="2" width="26.42578125" style="117" customWidth="1"/>
    <col min="3" max="3" width="22" style="117" customWidth="1"/>
    <col min="4" max="4" width="24" style="117" customWidth="1"/>
    <col min="5" max="5" width="16" style="112" customWidth="1"/>
    <col min="6" max="6" width="17.85546875" style="112" customWidth="1"/>
    <col min="7" max="7" width="46.7109375" style="117" customWidth="1"/>
    <col min="8" max="8" width="25.85546875" style="117" customWidth="1"/>
    <col min="9" max="9" width="14.5703125" style="117" customWidth="1"/>
    <col min="10" max="10" width="16" style="117" customWidth="1"/>
    <col min="11" max="11" width="42.85546875" style="117" customWidth="1"/>
    <col min="12" max="12" width="42.28515625" style="117" customWidth="1"/>
    <col min="13" max="13" width="39.28515625" style="117" customWidth="1"/>
    <col min="14" max="14" width="38.5703125" style="117" customWidth="1"/>
    <col min="15" max="15" width="35.85546875" style="109" customWidth="1"/>
    <col min="16" max="19" width="35.85546875" customWidth="1"/>
  </cols>
  <sheetData>
    <row r="5" spans="1:19" ht="15.75" thickBot="1"/>
    <row r="6" spans="1:19" ht="30.75" thickBot="1">
      <c r="A6" s="113" t="s">
        <v>0</v>
      </c>
      <c r="B6" s="118"/>
      <c r="C6" s="118"/>
      <c r="D6" s="119"/>
      <c r="E6" s="114"/>
      <c r="F6" s="5" t="s">
        <v>1</v>
      </c>
      <c r="G6" s="121"/>
      <c r="H6" s="120"/>
      <c r="I6" s="120"/>
      <c r="J6" s="120"/>
      <c r="K6" s="120"/>
      <c r="L6" s="122" t="s">
        <v>2</v>
      </c>
      <c r="M6" s="122"/>
      <c r="N6" s="122"/>
      <c r="O6" s="205"/>
      <c r="P6" s="205"/>
      <c r="Q6" s="205"/>
      <c r="R6" s="205"/>
      <c r="S6" s="205"/>
    </row>
    <row r="7" spans="1:19" ht="63.75">
      <c r="A7" s="9" t="s">
        <v>3</v>
      </c>
      <c r="B7" s="9" t="s">
        <v>4</v>
      </c>
      <c r="C7" s="9" t="s">
        <v>5</v>
      </c>
      <c r="D7" s="9" t="s">
        <v>6</v>
      </c>
      <c r="E7" s="9" t="s">
        <v>434</v>
      </c>
      <c r="F7" s="12" t="s">
        <v>579</v>
      </c>
      <c r="G7" s="12" t="s">
        <v>7</v>
      </c>
      <c r="H7" s="12" t="s">
        <v>8</v>
      </c>
      <c r="I7" s="12" t="s">
        <v>451</v>
      </c>
      <c r="J7" s="12" t="s">
        <v>450</v>
      </c>
      <c r="K7" s="12" t="s">
        <v>510</v>
      </c>
      <c r="L7" s="13" t="s">
        <v>9</v>
      </c>
      <c r="M7" s="13" t="s">
        <v>10</v>
      </c>
      <c r="N7" s="23" t="s">
        <v>11</v>
      </c>
      <c r="O7" s="205" t="s">
        <v>955</v>
      </c>
      <c r="P7" s="205" t="s">
        <v>956</v>
      </c>
      <c r="Q7" s="205" t="s">
        <v>957</v>
      </c>
      <c r="R7" s="205" t="s">
        <v>958</v>
      </c>
      <c r="S7" s="205" t="s">
        <v>959</v>
      </c>
    </row>
    <row r="8" spans="1:19" ht="150">
      <c r="A8" s="123">
        <v>48</v>
      </c>
      <c r="B8" s="123" t="s">
        <v>71</v>
      </c>
      <c r="C8" s="123" t="s">
        <v>463</v>
      </c>
      <c r="D8" s="123" t="s">
        <v>659</v>
      </c>
      <c r="E8" s="123" t="s">
        <v>431</v>
      </c>
      <c r="F8" s="115"/>
      <c r="G8" s="116" t="s">
        <v>660</v>
      </c>
      <c r="H8" s="116" t="s">
        <v>661</v>
      </c>
      <c r="I8" s="116" t="s">
        <v>594</v>
      </c>
      <c r="J8" s="116" t="s">
        <v>459</v>
      </c>
      <c r="K8" s="116" t="s">
        <v>662</v>
      </c>
      <c r="L8" s="116" t="s">
        <v>663</v>
      </c>
      <c r="M8" s="116" t="s">
        <v>664</v>
      </c>
      <c r="N8" s="116" t="s">
        <v>501</v>
      </c>
      <c r="O8" s="116" t="s">
        <v>932</v>
      </c>
      <c r="P8" s="116" t="s">
        <v>933</v>
      </c>
      <c r="Q8" s="206">
        <v>42369</v>
      </c>
      <c r="R8" s="116"/>
      <c r="S8" s="116"/>
    </row>
    <row r="9" spans="1:19" ht="60">
      <c r="A9" s="123">
        <v>76</v>
      </c>
      <c r="B9" s="123" t="s">
        <v>106</v>
      </c>
      <c r="C9" s="123"/>
      <c r="D9" s="123"/>
      <c r="E9" s="123" t="s">
        <v>431</v>
      </c>
      <c r="F9" s="115"/>
      <c r="G9" s="116" t="s">
        <v>577</v>
      </c>
      <c r="H9" s="116" t="s">
        <v>661</v>
      </c>
      <c r="I9" s="116" t="s">
        <v>595</v>
      </c>
      <c r="J9" s="116" t="s">
        <v>468</v>
      </c>
      <c r="K9" s="116"/>
      <c r="L9" s="116" t="s">
        <v>577</v>
      </c>
      <c r="M9" s="116" t="s">
        <v>506</v>
      </c>
      <c r="N9" s="116" t="s">
        <v>501</v>
      </c>
      <c r="O9" s="116"/>
      <c r="P9" s="116"/>
      <c r="Q9" s="116"/>
      <c r="R9" s="116"/>
      <c r="S9" s="116"/>
    </row>
    <row r="10" spans="1:19" ht="120">
      <c r="A10" s="123">
        <v>77</v>
      </c>
      <c r="B10" s="123" t="s">
        <v>107</v>
      </c>
      <c r="C10" s="123" t="s">
        <v>502</v>
      </c>
      <c r="D10" s="123" t="s">
        <v>503</v>
      </c>
      <c r="E10" s="123" t="s">
        <v>431</v>
      </c>
      <c r="F10" s="116"/>
      <c r="G10" s="116" t="s">
        <v>577</v>
      </c>
      <c r="H10" s="116" t="s">
        <v>661</v>
      </c>
      <c r="I10" s="116" t="s">
        <v>594</v>
      </c>
      <c r="J10" s="116" t="s">
        <v>468</v>
      </c>
      <c r="K10" s="116" t="s">
        <v>666</v>
      </c>
      <c r="L10" s="116" t="s">
        <v>577</v>
      </c>
      <c r="M10" s="116" t="s">
        <v>506</v>
      </c>
      <c r="N10" s="116" t="s">
        <v>501</v>
      </c>
      <c r="O10" s="116" t="s">
        <v>934</v>
      </c>
      <c r="P10" s="116" t="s">
        <v>935</v>
      </c>
      <c r="Q10" s="206">
        <v>42460</v>
      </c>
      <c r="R10" s="116"/>
      <c r="S10" s="116"/>
    </row>
    <row r="11" spans="1:19" ht="105">
      <c r="A11" s="123">
        <v>78</v>
      </c>
      <c r="B11" s="123" t="s">
        <v>108</v>
      </c>
      <c r="C11" s="123" t="s">
        <v>507</v>
      </c>
      <c r="D11" s="123" t="s">
        <v>508</v>
      </c>
      <c r="E11" s="123" t="s">
        <v>431</v>
      </c>
      <c r="F11" s="115"/>
      <c r="G11" s="116" t="s">
        <v>577</v>
      </c>
      <c r="H11" s="116" t="s">
        <v>661</v>
      </c>
      <c r="I11" s="116" t="s">
        <v>594</v>
      </c>
      <c r="J11" s="116" t="s">
        <v>468</v>
      </c>
      <c r="K11" s="116" t="s">
        <v>667</v>
      </c>
      <c r="L11" s="116" t="s">
        <v>577</v>
      </c>
      <c r="M11" s="116" t="s">
        <v>506</v>
      </c>
      <c r="N11" s="116" t="s">
        <v>501</v>
      </c>
      <c r="O11" s="116" t="s">
        <v>934</v>
      </c>
      <c r="P11" s="116" t="s">
        <v>935</v>
      </c>
      <c r="Q11" s="116"/>
      <c r="R11" s="116"/>
      <c r="S11" s="116"/>
    </row>
    <row r="12" spans="1:19" ht="60">
      <c r="A12" s="123">
        <v>80</v>
      </c>
      <c r="B12" s="123" t="s">
        <v>111</v>
      </c>
      <c r="C12" s="123">
        <v>55</v>
      </c>
      <c r="D12" s="123" t="s">
        <v>509</v>
      </c>
      <c r="E12" s="123" t="s">
        <v>431</v>
      </c>
      <c r="F12" s="115"/>
      <c r="G12" s="116" t="s">
        <v>577</v>
      </c>
      <c r="H12" s="116" t="s">
        <v>661</v>
      </c>
      <c r="I12" s="116" t="s">
        <v>595</v>
      </c>
      <c r="J12" s="116" t="s">
        <v>468</v>
      </c>
      <c r="K12" s="116"/>
      <c r="L12" s="116" t="s">
        <v>577</v>
      </c>
      <c r="M12" s="116" t="s">
        <v>506</v>
      </c>
      <c r="N12" s="116" t="s">
        <v>501</v>
      </c>
      <c r="O12" s="116"/>
      <c r="P12" s="116"/>
      <c r="Q12" s="116"/>
      <c r="R12" s="116"/>
      <c r="S12" s="116"/>
    </row>
    <row r="13" spans="1:19" ht="105">
      <c r="A13" s="123">
        <v>81</v>
      </c>
      <c r="B13" s="123" t="s">
        <v>112</v>
      </c>
      <c r="C13" s="123" t="s">
        <v>511</v>
      </c>
      <c r="D13" s="123" t="s">
        <v>512</v>
      </c>
      <c r="E13" s="123" t="s">
        <v>431</v>
      </c>
      <c r="F13" s="115"/>
      <c r="G13" s="116" t="s">
        <v>577</v>
      </c>
      <c r="H13" s="116" t="s">
        <v>661</v>
      </c>
      <c r="I13" s="116" t="s">
        <v>594</v>
      </c>
      <c r="J13" s="116" t="s">
        <v>468</v>
      </c>
      <c r="K13" s="116" t="s">
        <v>668</v>
      </c>
      <c r="L13" s="116" t="s">
        <v>577</v>
      </c>
      <c r="M13" s="116" t="s">
        <v>506</v>
      </c>
      <c r="N13" s="116" t="s">
        <v>501</v>
      </c>
      <c r="O13" s="116" t="s">
        <v>934</v>
      </c>
      <c r="P13" s="116" t="s">
        <v>935</v>
      </c>
      <c r="Q13" s="206"/>
      <c r="R13" s="116"/>
      <c r="S13" s="116"/>
    </row>
    <row r="14" spans="1:19" ht="75">
      <c r="A14" s="123">
        <v>82</v>
      </c>
      <c r="B14" s="123" t="s">
        <v>113</v>
      </c>
      <c r="C14" s="123" t="s">
        <v>409</v>
      </c>
      <c r="D14" s="123"/>
      <c r="E14" s="123" t="s">
        <v>431</v>
      </c>
      <c r="F14" s="115"/>
      <c r="G14" s="116" t="s">
        <v>831</v>
      </c>
      <c r="H14" s="116"/>
      <c r="I14" s="116" t="s">
        <v>595</v>
      </c>
      <c r="J14" s="116" t="s">
        <v>459</v>
      </c>
      <c r="K14" s="116" t="s">
        <v>832</v>
      </c>
      <c r="L14" s="116" t="s">
        <v>831</v>
      </c>
      <c r="M14" s="116"/>
      <c r="N14" s="116"/>
      <c r="O14" s="116"/>
      <c r="P14" s="116"/>
      <c r="Q14" s="116"/>
      <c r="R14" s="116"/>
      <c r="S14" s="116"/>
    </row>
    <row r="15" spans="1:19" ht="60">
      <c r="A15" s="123">
        <v>83</v>
      </c>
      <c r="B15" s="123" t="s">
        <v>115</v>
      </c>
      <c r="C15" s="123"/>
      <c r="D15" s="123" t="s">
        <v>514</v>
      </c>
      <c r="E15" s="123" t="s">
        <v>431</v>
      </c>
      <c r="F15" s="116"/>
      <c r="G15" s="116" t="s">
        <v>515</v>
      </c>
      <c r="H15" s="116"/>
      <c r="I15" s="116" t="s">
        <v>594</v>
      </c>
      <c r="J15" s="116" t="s">
        <v>459</v>
      </c>
      <c r="K15" s="116" t="s">
        <v>516</v>
      </c>
      <c r="L15" s="116" t="s">
        <v>517</v>
      </c>
      <c r="M15" s="116" t="s">
        <v>506</v>
      </c>
      <c r="N15" s="116"/>
      <c r="O15" s="116" t="s">
        <v>932</v>
      </c>
      <c r="P15" s="116" t="s">
        <v>936</v>
      </c>
      <c r="Q15" s="116"/>
      <c r="R15" s="116"/>
      <c r="S15" s="116"/>
    </row>
    <row r="16" spans="1:19" ht="30">
      <c r="A16" s="123">
        <v>84</v>
      </c>
      <c r="B16" s="123" t="s">
        <v>116</v>
      </c>
      <c r="C16" s="123"/>
      <c r="D16" s="123"/>
      <c r="E16" s="123" t="s">
        <v>431</v>
      </c>
      <c r="F16" s="115"/>
      <c r="G16" s="116" t="s">
        <v>517</v>
      </c>
      <c r="H16" s="116"/>
      <c r="I16" s="116" t="s">
        <v>595</v>
      </c>
      <c r="J16" s="116" t="s">
        <v>468</v>
      </c>
      <c r="K16" s="116"/>
      <c r="L16" s="116" t="s">
        <v>517</v>
      </c>
      <c r="M16" s="116" t="s">
        <v>506</v>
      </c>
      <c r="N16" s="116" t="s">
        <v>501</v>
      </c>
      <c r="O16" s="116"/>
      <c r="P16" s="116"/>
      <c r="Q16" s="116"/>
      <c r="R16" s="116"/>
      <c r="S16" s="116"/>
    </row>
    <row r="17" spans="1:19" ht="409.5">
      <c r="A17" s="123">
        <v>47</v>
      </c>
      <c r="B17" s="123" t="s">
        <v>69</v>
      </c>
      <c r="C17" s="123">
        <v>271</v>
      </c>
      <c r="D17" s="123" t="s">
        <v>70</v>
      </c>
      <c r="E17" s="123" t="s">
        <v>430</v>
      </c>
      <c r="F17" s="115"/>
      <c r="G17" s="116" t="s">
        <v>892</v>
      </c>
      <c r="H17" s="116" t="s">
        <v>439</v>
      </c>
      <c r="I17" s="116" t="s">
        <v>595</v>
      </c>
      <c r="J17" s="116" t="s">
        <v>468</v>
      </c>
      <c r="K17" s="116"/>
      <c r="L17" s="116" t="s">
        <v>497</v>
      </c>
      <c r="M17" s="116" t="s">
        <v>496</v>
      </c>
      <c r="N17" s="116"/>
      <c r="O17" s="116"/>
      <c r="P17" s="116"/>
      <c r="Q17" s="116"/>
      <c r="R17" s="116"/>
      <c r="S17" s="116"/>
    </row>
    <row r="18" spans="1:19" ht="60">
      <c r="A18" s="123">
        <v>100</v>
      </c>
      <c r="B18" s="123" t="s">
        <v>106</v>
      </c>
      <c r="C18" s="123"/>
      <c r="D18" s="123"/>
      <c r="E18" s="123" t="s">
        <v>438</v>
      </c>
      <c r="F18" s="115"/>
      <c r="G18" s="116"/>
      <c r="H18" s="116"/>
      <c r="I18" s="116" t="s">
        <v>595</v>
      </c>
      <c r="J18" s="116" t="s">
        <v>468</v>
      </c>
      <c r="K18" s="116"/>
      <c r="L18" s="116" t="s">
        <v>677</v>
      </c>
      <c r="M18" s="116" t="s">
        <v>671</v>
      </c>
      <c r="N18" s="116" t="s">
        <v>678</v>
      </c>
      <c r="O18" s="116"/>
      <c r="P18" s="116"/>
      <c r="Q18" s="116"/>
      <c r="R18" s="116"/>
      <c r="S18" s="116"/>
    </row>
    <row r="19" spans="1:19" ht="105">
      <c r="A19" s="123">
        <v>101</v>
      </c>
      <c r="B19" s="123" t="s">
        <v>133</v>
      </c>
      <c r="C19" s="123" t="s">
        <v>411</v>
      </c>
      <c r="D19" s="123"/>
      <c r="E19" s="123" t="s">
        <v>438</v>
      </c>
      <c r="F19" s="115"/>
      <c r="G19" s="116" t="s">
        <v>679</v>
      </c>
      <c r="H19" s="116" t="s">
        <v>680</v>
      </c>
      <c r="I19" s="116" t="s">
        <v>595</v>
      </c>
      <c r="J19" s="116" t="s">
        <v>468</v>
      </c>
      <c r="K19" s="116" t="s">
        <v>681</v>
      </c>
      <c r="L19" s="116" t="s">
        <v>677</v>
      </c>
      <c r="M19" s="116" t="s">
        <v>671</v>
      </c>
      <c r="N19" s="116" t="s">
        <v>678</v>
      </c>
      <c r="O19" s="116"/>
      <c r="P19" s="116"/>
      <c r="Q19" s="116"/>
      <c r="R19" s="116"/>
      <c r="S19" s="116"/>
    </row>
    <row r="20" spans="1:19" ht="45">
      <c r="A20" s="123">
        <v>102</v>
      </c>
      <c r="B20" s="123" t="s">
        <v>137</v>
      </c>
      <c r="C20" s="123"/>
      <c r="D20" s="123"/>
      <c r="E20" s="123" t="s">
        <v>438</v>
      </c>
      <c r="F20" s="115"/>
      <c r="G20" s="116" t="s">
        <v>682</v>
      </c>
      <c r="H20" s="116"/>
      <c r="I20" s="116" t="s">
        <v>595</v>
      </c>
      <c r="J20" s="116" t="s">
        <v>459</v>
      </c>
      <c r="K20" s="116" t="s">
        <v>683</v>
      </c>
      <c r="L20" s="116" t="s">
        <v>684</v>
      </c>
      <c r="M20" s="116" t="s">
        <v>671</v>
      </c>
      <c r="N20" s="116"/>
      <c r="O20" s="116"/>
      <c r="P20" s="116"/>
      <c r="Q20" s="116"/>
      <c r="R20" s="116"/>
      <c r="S20" s="116"/>
    </row>
    <row r="21" spans="1:19" ht="60">
      <c r="A21" s="123">
        <v>103</v>
      </c>
      <c r="B21" s="123" t="s">
        <v>138</v>
      </c>
      <c r="C21" s="123">
        <v>205</v>
      </c>
      <c r="D21" s="123" t="s">
        <v>139</v>
      </c>
      <c r="E21" s="123" t="s">
        <v>438</v>
      </c>
      <c r="F21" s="115"/>
      <c r="G21" s="116" t="s">
        <v>875</v>
      </c>
      <c r="H21" s="116" t="s">
        <v>680</v>
      </c>
      <c r="I21" s="116" t="s">
        <v>595</v>
      </c>
      <c r="J21" s="116" t="s">
        <v>468</v>
      </c>
      <c r="K21" s="116"/>
      <c r="L21" s="116" t="s">
        <v>876</v>
      </c>
      <c r="M21" s="116" t="s">
        <v>671</v>
      </c>
      <c r="N21" s="116" t="s">
        <v>691</v>
      </c>
      <c r="O21" s="116"/>
      <c r="P21" s="116"/>
      <c r="Q21" s="116"/>
      <c r="R21" s="116"/>
      <c r="S21" s="116"/>
    </row>
    <row r="22" spans="1:19" ht="120">
      <c r="A22" s="123">
        <v>104</v>
      </c>
      <c r="B22" s="123" t="s">
        <v>140</v>
      </c>
      <c r="C22" s="123">
        <v>90</v>
      </c>
      <c r="D22" s="123" t="s">
        <v>833</v>
      </c>
      <c r="E22" s="123" t="s">
        <v>438</v>
      </c>
      <c r="F22" s="115"/>
      <c r="G22" s="116" t="s">
        <v>119</v>
      </c>
      <c r="H22" s="116" t="s">
        <v>680</v>
      </c>
      <c r="I22" s="116" t="s">
        <v>595</v>
      </c>
      <c r="J22" s="116" t="s">
        <v>459</v>
      </c>
      <c r="K22" s="116" t="s">
        <v>834</v>
      </c>
      <c r="L22" s="116"/>
      <c r="M22" s="116"/>
      <c r="N22" s="116"/>
      <c r="O22" s="116"/>
      <c r="P22" s="116"/>
      <c r="Q22" s="116"/>
      <c r="R22" s="116"/>
      <c r="S22" s="116"/>
    </row>
    <row r="23" spans="1:19" ht="285">
      <c r="A23" s="123">
        <v>105</v>
      </c>
      <c r="B23" s="123" t="s">
        <v>144</v>
      </c>
      <c r="C23" s="123" t="s">
        <v>412</v>
      </c>
      <c r="D23" s="123" t="s">
        <v>835</v>
      </c>
      <c r="E23" s="123" t="s">
        <v>438</v>
      </c>
      <c r="F23" s="115"/>
      <c r="G23" s="116" t="s">
        <v>685</v>
      </c>
      <c r="H23" s="116" t="s">
        <v>680</v>
      </c>
      <c r="I23" s="116" t="s">
        <v>594</v>
      </c>
      <c r="J23" s="116" t="s">
        <v>459</v>
      </c>
      <c r="K23" s="116" t="s">
        <v>836</v>
      </c>
      <c r="L23" s="116" t="s">
        <v>837</v>
      </c>
      <c r="M23" s="116"/>
      <c r="N23" s="116"/>
      <c r="O23" s="116" t="s">
        <v>937</v>
      </c>
      <c r="P23" s="116" t="s">
        <v>938</v>
      </c>
      <c r="Q23" s="206">
        <v>42457</v>
      </c>
      <c r="R23" s="116"/>
      <c r="S23" s="116"/>
    </row>
    <row r="24" spans="1:19" ht="45">
      <c r="A24" s="123">
        <v>106</v>
      </c>
      <c r="B24" s="123" t="s">
        <v>148</v>
      </c>
      <c r="C24" s="123">
        <v>172</v>
      </c>
      <c r="D24" s="123"/>
      <c r="E24" s="123" t="s">
        <v>438</v>
      </c>
      <c r="F24" s="115"/>
      <c r="G24" s="116"/>
      <c r="H24" s="116"/>
      <c r="I24" s="116" t="s">
        <v>595</v>
      </c>
      <c r="J24" s="116" t="s">
        <v>468</v>
      </c>
      <c r="K24" s="116" t="s">
        <v>686</v>
      </c>
      <c r="L24" s="116"/>
      <c r="M24" s="116"/>
      <c r="N24" s="116"/>
      <c r="O24" s="116"/>
      <c r="P24" s="116"/>
      <c r="Q24" s="116"/>
      <c r="R24" s="116"/>
      <c r="S24" s="116"/>
    </row>
    <row r="25" spans="1:19" ht="30">
      <c r="A25" s="123">
        <v>107</v>
      </c>
      <c r="B25" s="123" t="s">
        <v>149</v>
      </c>
      <c r="C25" s="123">
        <v>204</v>
      </c>
      <c r="D25" s="123"/>
      <c r="E25" s="123" t="s">
        <v>438</v>
      </c>
      <c r="F25" s="115"/>
      <c r="G25" s="116" t="s">
        <v>685</v>
      </c>
      <c r="H25" s="116" t="s">
        <v>680</v>
      </c>
      <c r="I25" s="116" t="s">
        <v>595</v>
      </c>
      <c r="J25" s="116" t="s">
        <v>468</v>
      </c>
      <c r="K25" s="116"/>
      <c r="L25" s="116" t="s">
        <v>687</v>
      </c>
      <c r="M25" s="116" t="s">
        <v>671</v>
      </c>
      <c r="N25" s="116" t="s">
        <v>678</v>
      </c>
      <c r="O25" s="116"/>
      <c r="P25" s="116"/>
      <c r="Q25" s="116"/>
      <c r="R25" s="116"/>
      <c r="S25" s="116"/>
    </row>
    <row r="26" spans="1:19" ht="60">
      <c r="A26" s="123">
        <v>108</v>
      </c>
      <c r="B26" s="123" t="s">
        <v>150</v>
      </c>
      <c r="C26" s="123" t="s">
        <v>413</v>
      </c>
      <c r="D26" s="123" t="s">
        <v>139</v>
      </c>
      <c r="E26" s="123" t="s">
        <v>438</v>
      </c>
      <c r="F26" s="115"/>
      <c r="G26" s="116"/>
      <c r="H26" s="116"/>
      <c r="I26" s="116" t="s">
        <v>595</v>
      </c>
      <c r="J26" s="116" t="s">
        <v>468</v>
      </c>
      <c r="K26" s="116"/>
      <c r="L26" s="116"/>
      <c r="M26" s="116"/>
      <c r="N26" s="116"/>
      <c r="O26" s="116"/>
      <c r="P26" s="116"/>
      <c r="Q26" s="116"/>
      <c r="R26" s="116"/>
      <c r="S26" s="116"/>
    </row>
    <row r="27" spans="1:19" ht="30">
      <c r="A27" s="123">
        <v>109</v>
      </c>
      <c r="B27" s="123" t="s">
        <v>151</v>
      </c>
      <c r="C27" s="123" t="s">
        <v>414</v>
      </c>
      <c r="D27" s="123"/>
      <c r="E27" s="123" t="s">
        <v>438</v>
      </c>
      <c r="F27" s="115"/>
      <c r="G27" s="116" t="s">
        <v>685</v>
      </c>
      <c r="H27" s="116" t="s">
        <v>680</v>
      </c>
      <c r="I27" s="116" t="s">
        <v>595</v>
      </c>
      <c r="J27" s="116" t="s">
        <v>468</v>
      </c>
      <c r="K27" s="116"/>
      <c r="L27" s="116" t="s">
        <v>876</v>
      </c>
      <c r="M27" s="116" t="s">
        <v>671</v>
      </c>
      <c r="N27" s="116" t="s">
        <v>691</v>
      </c>
      <c r="O27" s="116"/>
      <c r="P27" s="116"/>
      <c r="Q27" s="116"/>
      <c r="R27" s="116"/>
      <c r="S27" s="116"/>
    </row>
    <row r="28" spans="1:19" ht="60">
      <c r="A28" s="123">
        <v>110</v>
      </c>
      <c r="B28" s="123" t="s">
        <v>152</v>
      </c>
      <c r="C28" s="123"/>
      <c r="D28" s="123"/>
      <c r="E28" s="123" t="s">
        <v>438</v>
      </c>
      <c r="F28" s="115"/>
      <c r="G28" s="116"/>
      <c r="H28" s="116"/>
      <c r="I28" s="116" t="s">
        <v>595</v>
      </c>
      <c r="J28" s="116" t="s">
        <v>468</v>
      </c>
      <c r="K28" s="116"/>
      <c r="L28" s="116"/>
      <c r="M28" s="116"/>
      <c r="N28" s="116"/>
      <c r="O28" s="116"/>
      <c r="P28" s="116"/>
      <c r="Q28" s="116"/>
      <c r="R28" s="116"/>
      <c r="S28" s="116"/>
    </row>
    <row r="29" spans="1:19" ht="30">
      <c r="A29" s="123">
        <v>128</v>
      </c>
      <c r="B29" s="123" t="s">
        <v>106</v>
      </c>
      <c r="C29" s="123"/>
      <c r="D29" s="123"/>
      <c r="E29" s="123" t="s">
        <v>438</v>
      </c>
      <c r="F29" s="115"/>
      <c r="G29" s="116" t="s">
        <v>688</v>
      </c>
      <c r="H29" s="116" t="s">
        <v>689</v>
      </c>
      <c r="I29" s="116" t="s">
        <v>595</v>
      </c>
      <c r="J29" s="116" t="s">
        <v>468</v>
      </c>
      <c r="K29" s="116" t="s">
        <v>690</v>
      </c>
      <c r="L29" s="116" t="s">
        <v>688</v>
      </c>
      <c r="M29" s="116" t="s">
        <v>671</v>
      </c>
      <c r="N29" s="116" t="s">
        <v>691</v>
      </c>
      <c r="O29" s="116"/>
      <c r="P29" s="116"/>
      <c r="Q29" s="116"/>
      <c r="R29" s="116"/>
      <c r="S29" s="116"/>
    </row>
    <row r="30" spans="1:19" ht="30">
      <c r="A30" s="123">
        <v>129</v>
      </c>
      <c r="B30" s="123" t="s">
        <v>216</v>
      </c>
      <c r="C30" s="123" t="s">
        <v>419</v>
      </c>
      <c r="D30" s="123"/>
      <c r="E30" s="123" t="s">
        <v>438</v>
      </c>
      <c r="F30" s="115"/>
      <c r="G30" s="116" t="s">
        <v>688</v>
      </c>
      <c r="H30" s="116" t="s">
        <v>689</v>
      </c>
      <c r="I30" s="116" t="s">
        <v>595</v>
      </c>
      <c r="J30" s="116" t="s">
        <v>468</v>
      </c>
      <c r="K30" s="116" t="s">
        <v>690</v>
      </c>
      <c r="L30" s="116" t="s">
        <v>688</v>
      </c>
      <c r="M30" s="116" t="s">
        <v>671</v>
      </c>
      <c r="N30" s="116" t="s">
        <v>691</v>
      </c>
      <c r="O30" s="116"/>
      <c r="P30" s="116"/>
      <c r="Q30" s="116"/>
      <c r="R30" s="116"/>
      <c r="S30" s="116"/>
    </row>
    <row r="31" spans="1:19" ht="45">
      <c r="A31" s="123">
        <v>138</v>
      </c>
      <c r="B31" s="123" t="s">
        <v>228</v>
      </c>
      <c r="C31" s="123" t="s">
        <v>421</v>
      </c>
      <c r="D31" s="123"/>
      <c r="E31" s="123" t="s">
        <v>438</v>
      </c>
      <c r="F31" s="116"/>
      <c r="G31" s="116"/>
      <c r="H31" s="116"/>
      <c r="I31" s="116" t="s">
        <v>594</v>
      </c>
      <c r="J31" s="116" t="s">
        <v>459</v>
      </c>
      <c r="K31" s="116" t="s">
        <v>838</v>
      </c>
      <c r="L31" s="116" t="s">
        <v>839</v>
      </c>
      <c r="M31" s="116" t="s">
        <v>671</v>
      </c>
      <c r="N31" s="116" t="s">
        <v>691</v>
      </c>
      <c r="O31" s="116" t="s">
        <v>939</v>
      </c>
      <c r="P31" s="116" t="s">
        <v>940</v>
      </c>
      <c r="Q31" s="206">
        <v>42369</v>
      </c>
      <c r="R31" s="116"/>
      <c r="S31" s="116"/>
    </row>
    <row r="32" spans="1:19" ht="45">
      <c r="A32" s="123">
        <v>139</v>
      </c>
      <c r="B32" s="123" t="s">
        <v>229</v>
      </c>
      <c r="C32" s="123"/>
      <c r="D32" s="123"/>
      <c r="E32" s="123" t="s">
        <v>438</v>
      </c>
      <c r="F32" s="115"/>
      <c r="G32" s="116"/>
      <c r="H32" s="116"/>
      <c r="I32" s="116" t="s">
        <v>594</v>
      </c>
      <c r="J32" s="116" t="s">
        <v>459</v>
      </c>
      <c r="K32" s="116" t="s">
        <v>877</v>
      </c>
      <c r="L32" s="116" t="s">
        <v>839</v>
      </c>
      <c r="M32" s="116" t="s">
        <v>671</v>
      </c>
      <c r="N32" s="116" t="s">
        <v>691</v>
      </c>
      <c r="O32" s="116" t="s">
        <v>939</v>
      </c>
      <c r="P32" s="116" t="s">
        <v>941</v>
      </c>
      <c r="Q32" s="206">
        <v>42369</v>
      </c>
      <c r="R32" s="116"/>
      <c r="S32" s="116"/>
    </row>
    <row r="33" spans="1:19" ht="150">
      <c r="A33" s="123">
        <v>87</v>
      </c>
      <c r="B33" s="123" t="s">
        <v>118</v>
      </c>
      <c r="C33" s="123"/>
      <c r="D33" s="123"/>
      <c r="E33" s="123" t="s">
        <v>728</v>
      </c>
      <c r="F33" s="115"/>
      <c r="G33" s="116" t="s">
        <v>611</v>
      </c>
      <c r="H33" s="116" t="s">
        <v>552</v>
      </c>
      <c r="I33" s="116" t="s">
        <v>595</v>
      </c>
      <c r="J33" s="116" t="s">
        <v>459</v>
      </c>
      <c r="K33" s="116" t="s">
        <v>711</v>
      </c>
      <c r="L33" s="116" t="s">
        <v>601</v>
      </c>
      <c r="M33" s="116" t="s">
        <v>712</v>
      </c>
      <c r="N33" s="116" t="s">
        <v>713</v>
      </c>
      <c r="O33" s="116"/>
      <c r="P33" s="116"/>
      <c r="Q33" s="116"/>
      <c r="R33" s="116"/>
      <c r="S33" s="116"/>
    </row>
    <row r="34" spans="1:19" ht="150">
      <c r="A34" s="123">
        <v>88</v>
      </c>
      <c r="B34" s="123" t="s">
        <v>120</v>
      </c>
      <c r="C34" s="123">
        <v>68</v>
      </c>
      <c r="D34" s="123"/>
      <c r="E34" s="123" t="s">
        <v>728</v>
      </c>
      <c r="F34" s="115"/>
      <c r="G34" s="116" t="s">
        <v>611</v>
      </c>
      <c r="H34" s="116" t="s">
        <v>552</v>
      </c>
      <c r="I34" s="116" t="s">
        <v>595</v>
      </c>
      <c r="J34" s="116" t="s">
        <v>459</v>
      </c>
      <c r="K34" s="116" t="s">
        <v>711</v>
      </c>
      <c r="L34" s="116" t="s">
        <v>601</v>
      </c>
      <c r="M34" s="116" t="s">
        <v>712</v>
      </c>
      <c r="N34" s="116" t="s">
        <v>501</v>
      </c>
      <c r="O34" s="116"/>
      <c r="P34" s="116"/>
      <c r="Q34" s="116"/>
      <c r="R34" s="116"/>
      <c r="S34" s="116"/>
    </row>
    <row r="35" spans="1:19" ht="150">
      <c r="A35" s="123">
        <v>91</v>
      </c>
      <c r="B35" s="123" t="s">
        <v>125</v>
      </c>
      <c r="C35" s="123"/>
      <c r="D35" s="123"/>
      <c r="E35" s="123" t="s">
        <v>728</v>
      </c>
      <c r="F35" s="115"/>
      <c r="G35" s="116" t="s">
        <v>611</v>
      </c>
      <c r="H35" s="116" t="s">
        <v>552</v>
      </c>
      <c r="I35" s="116" t="s">
        <v>595</v>
      </c>
      <c r="J35" s="116" t="s">
        <v>459</v>
      </c>
      <c r="K35" s="116" t="s">
        <v>711</v>
      </c>
      <c r="L35" s="116" t="s">
        <v>601</v>
      </c>
      <c r="M35" s="116" t="s">
        <v>712</v>
      </c>
      <c r="N35" s="116" t="s">
        <v>501</v>
      </c>
      <c r="O35" s="116"/>
      <c r="P35" s="116"/>
      <c r="Q35" s="116"/>
      <c r="R35" s="116"/>
      <c r="S35" s="116"/>
    </row>
    <row r="36" spans="1:19" ht="150">
      <c r="A36" s="123">
        <v>93</v>
      </c>
      <c r="B36" s="123" t="s">
        <v>126</v>
      </c>
      <c r="C36" s="123" t="s">
        <v>445</v>
      </c>
      <c r="D36" s="123" t="s">
        <v>559</v>
      </c>
      <c r="E36" s="123" t="s">
        <v>728</v>
      </c>
      <c r="F36" s="115"/>
      <c r="G36" s="116" t="s">
        <v>611</v>
      </c>
      <c r="H36" s="116" t="s">
        <v>552</v>
      </c>
      <c r="I36" s="116" t="s">
        <v>595</v>
      </c>
      <c r="J36" s="116" t="s">
        <v>459</v>
      </c>
      <c r="K36" s="116" t="s">
        <v>711</v>
      </c>
      <c r="L36" s="116" t="s">
        <v>601</v>
      </c>
      <c r="M36" s="116" t="s">
        <v>712</v>
      </c>
      <c r="N36" s="116" t="s">
        <v>501</v>
      </c>
      <c r="O36" s="116"/>
      <c r="P36" s="116"/>
      <c r="Q36" s="116"/>
      <c r="R36" s="116"/>
      <c r="S36" s="116"/>
    </row>
    <row r="37" spans="1:19" ht="135">
      <c r="A37" s="123">
        <v>94</v>
      </c>
      <c r="B37" s="123" t="s">
        <v>128</v>
      </c>
      <c r="C37" s="123" t="s">
        <v>445</v>
      </c>
      <c r="D37" s="123" t="s">
        <v>560</v>
      </c>
      <c r="E37" s="123" t="s">
        <v>728</v>
      </c>
      <c r="F37" s="115"/>
      <c r="G37" s="116" t="s">
        <v>612</v>
      </c>
      <c r="H37" s="116" t="s">
        <v>552</v>
      </c>
      <c r="I37" s="116" t="s">
        <v>595</v>
      </c>
      <c r="J37" s="116" t="s">
        <v>459</v>
      </c>
      <c r="K37" s="116" t="s">
        <v>711</v>
      </c>
      <c r="L37" s="116" t="s">
        <v>601</v>
      </c>
      <c r="M37" s="116" t="s">
        <v>712</v>
      </c>
      <c r="N37" s="116" t="s">
        <v>501</v>
      </c>
      <c r="O37" s="116"/>
      <c r="P37" s="116"/>
      <c r="Q37" s="116"/>
      <c r="R37" s="116"/>
      <c r="S37" s="116"/>
    </row>
    <row r="38" spans="1:19" ht="150">
      <c r="A38" s="123">
        <v>95</v>
      </c>
      <c r="B38" s="123" t="s">
        <v>129</v>
      </c>
      <c r="C38" s="123" t="s">
        <v>445</v>
      </c>
      <c r="D38" s="123" t="s">
        <v>560</v>
      </c>
      <c r="E38" s="123" t="s">
        <v>728</v>
      </c>
      <c r="F38" s="115"/>
      <c r="G38" s="116" t="s">
        <v>611</v>
      </c>
      <c r="H38" s="116" t="s">
        <v>552</v>
      </c>
      <c r="I38" s="116" t="s">
        <v>595</v>
      </c>
      <c r="J38" s="116" t="s">
        <v>459</v>
      </c>
      <c r="K38" s="116" t="s">
        <v>711</v>
      </c>
      <c r="L38" s="116" t="s">
        <v>601</v>
      </c>
      <c r="M38" s="116" t="s">
        <v>712</v>
      </c>
      <c r="N38" s="116" t="s">
        <v>501</v>
      </c>
      <c r="O38" s="116"/>
      <c r="P38" s="116"/>
      <c r="Q38" s="116"/>
      <c r="R38" s="116"/>
      <c r="S38" s="116"/>
    </row>
    <row r="39" spans="1:19" ht="150">
      <c r="A39" s="123">
        <v>96</v>
      </c>
      <c r="B39" s="123" t="s">
        <v>130</v>
      </c>
      <c r="C39" s="123">
        <v>80</v>
      </c>
      <c r="D39" s="123" t="s">
        <v>122</v>
      </c>
      <c r="E39" s="123" t="s">
        <v>728</v>
      </c>
      <c r="F39" s="115"/>
      <c r="G39" s="116" t="s">
        <v>611</v>
      </c>
      <c r="H39" s="116" t="s">
        <v>552</v>
      </c>
      <c r="I39" s="116" t="s">
        <v>595</v>
      </c>
      <c r="J39" s="116" t="s">
        <v>459</v>
      </c>
      <c r="K39" s="116" t="s">
        <v>711</v>
      </c>
      <c r="L39" s="116" t="s">
        <v>601</v>
      </c>
      <c r="M39" s="116" t="s">
        <v>712</v>
      </c>
      <c r="N39" s="116" t="s">
        <v>501</v>
      </c>
      <c r="O39" s="116"/>
      <c r="P39" s="116"/>
      <c r="Q39" s="116"/>
      <c r="R39" s="116"/>
      <c r="S39" s="116"/>
    </row>
    <row r="40" spans="1:19" ht="75">
      <c r="A40" s="123">
        <v>98</v>
      </c>
      <c r="B40" s="123" t="s">
        <v>131</v>
      </c>
      <c r="C40" s="123" t="s">
        <v>446</v>
      </c>
      <c r="D40" s="123"/>
      <c r="E40" s="123" t="s">
        <v>728</v>
      </c>
      <c r="F40" s="115"/>
      <c r="G40" s="116" t="s">
        <v>557</v>
      </c>
      <c r="H40" s="116" t="s">
        <v>552</v>
      </c>
      <c r="I40" s="116" t="s">
        <v>595</v>
      </c>
      <c r="J40" s="116" t="s">
        <v>459</v>
      </c>
      <c r="K40" s="116" t="s">
        <v>711</v>
      </c>
      <c r="L40" s="116" t="s">
        <v>556</v>
      </c>
      <c r="M40" s="116" t="s">
        <v>712</v>
      </c>
      <c r="N40" s="116" t="s">
        <v>501</v>
      </c>
      <c r="O40" s="116"/>
      <c r="P40" s="116"/>
      <c r="Q40" s="116"/>
      <c r="R40" s="116"/>
      <c r="S40" s="116"/>
    </row>
    <row r="41" spans="1:19" ht="285">
      <c r="A41" s="123">
        <v>38</v>
      </c>
      <c r="B41" s="123" t="s">
        <v>55</v>
      </c>
      <c r="C41" s="123" t="s">
        <v>519</v>
      </c>
      <c r="D41" s="123"/>
      <c r="E41" s="123" t="s">
        <v>428</v>
      </c>
      <c r="F41" s="115"/>
      <c r="G41" s="116" t="s">
        <v>527</v>
      </c>
      <c r="H41" s="116" t="s">
        <v>893</v>
      </c>
      <c r="I41" s="116" t="s">
        <v>594</v>
      </c>
      <c r="J41" s="116" t="s">
        <v>459</v>
      </c>
      <c r="K41" s="116" t="s">
        <v>894</v>
      </c>
      <c r="L41" s="116" t="s">
        <v>895</v>
      </c>
      <c r="M41" s="116"/>
      <c r="N41" s="116" t="s">
        <v>68</v>
      </c>
      <c r="O41" s="116" t="s">
        <v>942</v>
      </c>
      <c r="P41" s="116" t="s">
        <v>943</v>
      </c>
      <c r="Q41" s="206">
        <v>42272</v>
      </c>
      <c r="R41" s="116"/>
      <c r="S41" s="116"/>
    </row>
    <row r="42" spans="1:19" ht="409.5">
      <c r="A42" s="123">
        <v>41</v>
      </c>
      <c r="B42" s="123" t="s">
        <v>58</v>
      </c>
      <c r="C42" s="123" t="s">
        <v>522</v>
      </c>
      <c r="D42" s="123" t="s">
        <v>523</v>
      </c>
      <c r="E42" s="123" t="s">
        <v>428</v>
      </c>
      <c r="F42" s="115"/>
      <c r="G42" s="116" t="s">
        <v>896</v>
      </c>
      <c r="H42" s="116" t="s">
        <v>452</v>
      </c>
      <c r="I42" s="116" t="s">
        <v>593</v>
      </c>
      <c r="J42" s="116" t="s">
        <v>459</v>
      </c>
      <c r="K42" s="116" t="s">
        <v>897</v>
      </c>
      <c r="L42" s="116" t="s">
        <v>898</v>
      </c>
      <c r="M42" s="116" t="s">
        <v>899</v>
      </c>
      <c r="N42" s="116" t="s">
        <v>68</v>
      </c>
      <c r="O42" s="116" t="s">
        <v>944</v>
      </c>
      <c r="P42" s="116" t="s">
        <v>945</v>
      </c>
      <c r="Q42" s="206">
        <v>42270</v>
      </c>
      <c r="R42" s="116"/>
      <c r="S42" s="116"/>
    </row>
    <row r="43" spans="1:19" ht="135">
      <c r="A43" s="123">
        <v>42</v>
      </c>
      <c r="B43" s="123" t="s">
        <v>59</v>
      </c>
      <c r="C43" s="123">
        <v>273</v>
      </c>
      <c r="D43" s="123" t="s">
        <v>524</v>
      </c>
      <c r="E43" s="123" t="s">
        <v>428</v>
      </c>
      <c r="F43" s="115"/>
      <c r="G43" s="116" t="s">
        <v>453</v>
      </c>
      <c r="H43" s="116" t="s">
        <v>441</v>
      </c>
      <c r="I43" s="116" t="s">
        <v>594</v>
      </c>
      <c r="J43" s="116" t="s">
        <v>459</v>
      </c>
      <c r="K43" s="116" t="s">
        <v>900</v>
      </c>
      <c r="L43" s="116" t="s">
        <v>454</v>
      </c>
      <c r="M43" s="116"/>
      <c r="N43" s="116" t="s">
        <v>901</v>
      </c>
      <c r="O43" s="116" t="s">
        <v>946</v>
      </c>
      <c r="P43" s="116" t="s">
        <v>947</v>
      </c>
      <c r="Q43" s="116"/>
      <c r="R43" s="116"/>
      <c r="S43" s="116"/>
    </row>
    <row r="44" spans="1:19" ht="240">
      <c r="A44" s="123">
        <v>46</v>
      </c>
      <c r="B44" s="123" t="s">
        <v>66</v>
      </c>
      <c r="C44" s="123" t="s">
        <v>405</v>
      </c>
      <c r="D44" s="123" t="s">
        <v>67</v>
      </c>
      <c r="E44" s="123" t="s">
        <v>428</v>
      </c>
      <c r="F44" s="115"/>
      <c r="G44" s="116" t="s">
        <v>902</v>
      </c>
      <c r="H44" s="116" t="s">
        <v>457</v>
      </c>
      <c r="I44" s="116" t="s">
        <v>593</v>
      </c>
      <c r="J44" s="116" t="s">
        <v>459</v>
      </c>
      <c r="K44" s="116" t="s">
        <v>903</v>
      </c>
      <c r="L44" s="116" t="s">
        <v>904</v>
      </c>
      <c r="M44" s="116" t="s">
        <v>899</v>
      </c>
      <c r="N44" s="116" t="s">
        <v>68</v>
      </c>
      <c r="O44" s="116" t="s">
        <v>944</v>
      </c>
      <c r="P44" s="116" t="s">
        <v>948</v>
      </c>
      <c r="Q44" s="206">
        <v>42311</v>
      </c>
      <c r="R44" s="116"/>
      <c r="S44" s="116"/>
    </row>
    <row r="45" spans="1:19" ht="285">
      <c r="A45" s="123">
        <v>49</v>
      </c>
      <c r="B45" s="123" t="s">
        <v>73</v>
      </c>
      <c r="C45" s="123" t="s">
        <v>526</v>
      </c>
      <c r="D45" s="123" t="s">
        <v>74</v>
      </c>
      <c r="E45" s="123" t="s">
        <v>428</v>
      </c>
      <c r="F45" s="115"/>
      <c r="G45" s="116" t="s">
        <v>905</v>
      </c>
      <c r="H45" s="116" t="s">
        <v>692</v>
      </c>
      <c r="I45" s="116" t="s">
        <v>593</v>
      </c>
      <c r="J45" s="116" t="s">
        <v>459</v>
      </c>
      <c r="K45" s="116" t="s">
        <v>906</v>
      </c>
      <c r="L45" s="116" t="s">
        <v>907</v>
      </c>
      <c r="M45" s="116"/>
      <c r="N45" s="116" t="s">
        <v>693</v>
      </c>
      <c r="O45" s="116" t="s">
        <v>944</v>
      </c>
      <c r="P45" s="116" t="s">
        <v>949</v>
      </c>
      <c r="Q45" s="206">
        <v>42311</v>
      </c>
      <c r="R45" s="116"/>
      <c r="S45" s="116"/>
    </row>
    <row r="46" spans="1:19" ht="210">
      <c r="A46" s="123">
        <v>136</v>
      </c>
      <c r="B46" s="123" t="s">
        <v>226</v>
      </c>
      <c r="C46" s="123"/>
      <c r="D46" s="123"/>
      <c r="E46" s="123" t="s">
        <v>428</v>
      </c>
      <c r="F46" s="115"/>
      <c r="G46" s="116" t="s">
        <v>908</v>
      </c>
      <c r="H46" s="116"/>
      <c r="I46" s="116" t="s">
        <v>593</v>
      </c>
      <c r="J46" s="116" t="s">
        <v>459</v>
      </c>
      <c r="K46" s="116" t="s">
        <v>909</v>
      </c>
      <c r="L46" s="116" t="s">
        <v>910</v>
      </c>
      <c r="M46" s="116"/>
      <c r="N46" s="116" t="s">
        <v>68</v>
      </c>
      <c r="O46" s="116" t="s">
        <v>944</v>
      </c>
      <c r="P46" s="116" t="s">
        <v>950</v>
      </c>
      <c r="Q46" s="116"/>
      <c r="R46" s="116"/>
      <c r="S46" s="116"/>
    </row>
    <row r="47" spans="1:19" ht="120">
      <c r="A47" s="123">
        <v>183</v>
      </c>
      <c r="B47" s="123" t="s">
        <v>271</v>
      </c>
      <c r="C47" s="123"/>
      <c r="D47" s="123"/>
      <c r="E47" s="123" t="s">
        <v>428</v>
      </c>
      <c r="F47" s="115"/>
      <c r="G47" s="116" t="s">
        <v>911</v>
      </c>
      <c r="H47" s="116"/>
      <c r="I47" s="116" t="s">
        <v>595</v>
      </c>
      <c r="J47" s="116" t="s">
        <v>468</v>
      </c>
      <c r="K47" s="116" t="s">
        <v>912</v>
      </c>
      <c r="L47" s="116" t="s">
        <v>911</v>
      </c>
      <c r="M47" s="116"/>
      <c r="N47" s="116"/>
      <c r="O47" s="116"/>
      <c r="P47" s="116"/>
      <c r="Q47" s="116"/>
      <c r="R47" s="116"/>
      <c r="S47" s="116"/>
    </row>
    <row r="48" spans="1:19" ht="135">
      <c r="A48" s="123">
        <v>184</v>
      </c>
      <c r="B48" s="123" t="s">
        <v>272</v>
      </c>
      <c r="C48" s="123"/>
      <c r="D48" s="123"/>
      <c r="E48" s="123" t="s">
        <v>428</v>
      </c>
      <c r="F48" s="115"/>
      <c r="G48" s="116" t="s">
        <v>891</v>
      </c>
      <c r="H48" s="116"/>
      <c r="I48" s="116" t="s">
        <v>595</v>
      </c>
      <c r="J48" s="116" t="s">
        <v>468</v>
      </c>
      <c r="K48" s="116" t="s">
        <v>913</v>
      </c>
      <c r="L48" s="116" t="s">
        <v>891</v>
      </c>
      <c r="M48" s="116"/>
      <c r="N48" s="116"/>
      <c r="O48" s="116"/>
      <c r="P48" s="116"/>
      <c r="Q48" s="116"/>
      <c r="R48" s="116"/>
      <c r="S48" s="116"/>
    </row>
    <row r="49" spans="1:19" ht="30">
      <c r="A49" s="123">
        <v>189</v>
      </c>
      <c r="B49" s="123" t="s">
        <v>277</v>
      </c>
      <c r="C49" s="123"/>
      <c r="D49" s="123"/>
      <c r="E49" s="123" t="s">
        <v>428</v>
      </c>
      <c r="F49" s="115"/>
      <c r="G49" s="116" t="s">
        <v>587</v>
      </c>
      <c r="H49" s="116"/>
      <c r="I49" s="116" t="s">
        <v>595</v>
      </c>
      <c r="J49" s="116" t="s">
        <v>468</v>
      </c>
      <c r="K49" s="116" t="s">
        <v>587</v>
      </c>
      <c r="L49" s="116"/>
      <c r="M49" s="116"/>
      <c r="N49" s="116"/>
      <c r="O49" s="116"/>
      <c r="P49" s="116"/>
      <c r="Q49" s="116"/>
      <c r="R49" s="116"/>
      <c r="S49" s="116"/>
    </row>
    <row r="50" spans="1:19" ht="90">
      <c r="A50" s="123">
        <v>257</v>
      </c>
      <c r="B50" s="123" t="s">
        <v>344</v>
      </c>
      <c r="C50" s="123"/>
      <c r="D50" s="123"/>
      <c r="E50" s="123" t="s">
        <v>428</v>
      </c>
      <c r="F50" s="115"/>
      <c r="G50" s="116" t="s">
        <v>453</v>
      </c>
      <c r="H50" s="116" t="s">
        <v>441</v>
      </c>
      <c r="I50" s="116" t="s">
        <v>594</v>
      </c>
      <c r="J50" s="116" t="s">
        <v>459</v>
      </c>
      <c r="K50" s="116" t="s">
        <v>900</v>
      </c>
      <c r="L50" s="116" t="s">
        <v>454</v>
      </c>
      <c r="M50" s="116" t="s">
        <v>443</v>
      </c>
      <c r="N50" s="116" t="s">
        <v>68</v>
      </c>
      <c r="O50" s="116" t="s">
        <v>946</v>
      </c>
      <c r="P50" s="116" t="s">
        <v>951</v>
      </c>
      <c r="Q50" s="206">
        <v>42369</v>
      </c>
      <c r="R50" s="116"/>
      <c r="S50" s="116"/>
    </row>
    <row r="51" spans="1:19" ht="180">
      <c r="A51" s="123">
        <v>132</v>
      </c>
      <c r="B51" s="123" t="s">
        <v>218</v>
      </c>
      <c r="C51" s="123"/>
      <c r="D51" s="123" t="s">
        <v>219</v>
      </c>
      <c r="E51" s="123" t="s">
        <v>437</v>
      </c>
      <c r="F51" s="115"/>
      <c r="G51" s="116" t="s">
        <v>696</v>
      </c>
      <c r="H51" s="116" t="s">
        <v>697</v>
      </c>
      <c r="I51" s="116" t="s">
        <v>595</v>
      </c>
      <c r="J51" s="116" t="s">
        <v>459</v>
      </c>
      <c r="K51" s="116" t="s">
        <v>698</v>
      </c>
      <c r="L51" s="116" t="s">
        <v>699</v>
      </c>
      <c r="M51" s="116" t="s">
        <v>718</v>
      </c>
      <c r="N51" s="116" t="s">
        <v>719</v>
      </c>
      <c r="O51" s="116"/>
      <c r="P51" s="116"/>
      <c r="Q51" s="116"/>
      <c r="R51" s="116"/>
      <c r="S51" s="116"/>
    </row>
    <row r="52" spans="1:19" ht="180">
      <c r="A52" s="123">
        <v>134</v>
      </c>
      <c r="B52" s="123" t="s">
        <v>225</v>
      </c>
      <c r="C52" s="123"/>
      <c r="D52" s="123"/>
      <c r="E52" s="123" t="s">
        <v>437</v>
      </c>
      <c r="F52" s="115"/>
      <c r="G52" s="116" t="s">
        <v>700</v>
      </c>
      <c r="H52" s="116" t="s">
        <v>697</v>
      </c>
      <c r="I52" s="116" t="s">
        <v>595</v>
      </c>
      <c r="J52" s="116" t="s">
        <v>459</v>
      </c>
      <c r="K52" s="116" t="s">
        <v>698</v>
      </c>
      <c r="L52" s="116" t="s">
        <v>699</v>
      </c>
      <c r="M52" s="116" t="s">
        <v>718</v>
      </c>
      <c r="N52" s="116" t="s">
        <v>719</v>
      </c>
      <c r="O52" s="116"/>
      <c r="P52" s="116"/>
      <c r="Q52" s="116"/>
      <c r="R52" s="116"/>
      <c r="S52" s="116"/>
    </row>
    <row r="53" spans="1:19" ht="120">
      <c r="A53" s="123">
        <v>35</v>
      </c>
      <c r="B53" s="123" t="s">
        <v>50</v>
      </c>
      <c r="C53" s="123" t="s">
        <v>401</v>
      </c>
      <c r="D53" s="123"/>
      <c r="E53" s="123" t="s">
        <v>432</v>
      </c>
      <c r="F53" s="115"/>
      <c r="G53" s="116" t="s">
        <v>701</v>
      </c>
      <c r="H53" s="116" t="s">
        <v>702</v>
      </c>
      <c r="I53" s="116" t="s">
        <v>593</v>
      </c>
      <c r="J53" s="116" t="s">
        <v>462</v>
      </c>
      <c r="K53" s="116" t="s">
        <v>703</v>
      </c>
      <c r="L53" s="116" t="s">
        <v>704</v>
      </c>
      <c r="M53" s="116" t="s">
        <v>720</v>
      </c>
      <c r="N53" s="116" t="s">
        <v>721</v>
      </c>
      <c r="O53" s="116"/>
      <c r="P53" s="116"/>
      <c r="Q53" s="116"/>
      <c r="R53" s="116"/>
      <c r="S53" s="116"/>
    </row>
    <row r="54" spans="1:19" ht="60">
      <c r="A54" s="123">
        <v>51</v>
      </c>
      <c r="B54" s="123" t="s">
        <v>77</v>
      </c>
      <c r="C54" s="123" t="s">
        <v>406</v>
      </c>
      <c r="D54" s="123"/>
      <c r="E54" s="123" t="s">
        <v>432</v>
      </c>
      <c r="F54" s="115"/>
      <c r="G54" s="116" t="s">
        <v>722</v>
      </c>
      <c r="H54" s="116" t="s">
        <v>705</v>
      </c>
      <c r="I54" s="116" t="s">
        <v>593</v>
      </c>
      <c r="J54" s="116" t="s">
        <v>462</v>
      </c>
      <c r="K54" s="116" t="s">
        <v>706</v>
      </c>
      <c r="L54" s="116" t="s">
        <v>707</v>
      </c>
      <c r="M54" s="116" t="s">
        <v>720</v>
      </c>
      <c r="N54" s="116" t="s">
        <v>721</v>
      </c>
      <c r="O54" s="116"/>
      <c r="P54" s="116"/>
      <c r="Q54" s="116"/>
      <c r="R54" s="116"/>
      <c r="S54" s="116"/>
    </row>
    <row r="55" spans="1:19" ht="60">
      <c r="A55" s="123">
        <v>54</v>
      </c>
      <c r="B55" s="123" t="s">
        <v>82</v>
      </c>
      <c r="C55" s="123" t="s">
        <v>407</v>
      </c>
      <c r="D55" s="123"/>
      <c r="E55" s="123" t="s">
        <v>432</v>
      </c>
      <c r="F55" s="115"/>
      <c r="G55" s="116" t="s">
        <v>493</v>
      </c>
      <c r="H55" s="116"/>
      <c r="I55" s="116" t="s">
        <v>593</v>
      </c>
      <c r="J55" s="116" t="s">
        <v>462</v>
      </c>
      <c r="K55" s="116" t="s">
        <v>550</v>
      </c>
      <c r="L55" s="116" t="s">
        <v>707</v>
      </c>
      <c r="M55" s="116" t="s">
        <v>720</v>
      </c>
      <c r="N55" s="116" t="s">
        <v>721</v>
      </c>
      <c r="O55" s="116"/>
      <c r="P55" s="116"/>
      <c r="Q55" s="116"/>
      <c r="R55" s="116"/>
      <c r="S55" s="116"/>
    </row>
    <row r="56" spans="1:19" ht="60">
      <c r="A56" s="123">
        <v>55</v>
      </c>
      <c r="B56" s="123" t="s">
        <v>83</v>
      </c>
      <c r="C56" s="123"/>
      <c r="D56" s="123"/>
      <c r="E56" s="123" t="s">
        <v>432</v>
      </c>
      <c r="F56" s="115"/>
      <c r="G56" s="116" t="s">
        <v>493</v>
      </c>
      <c r="H56" s="116"/>
      <c r="I56" s="116" t="s">
        <v>593</v>
      </c>
      <c r="J56" s="116" t="s">
        <v>462</v>
      </c>
      <c r="K56" s="116" t="s">
        <v>708</v>
      </c>
      <c r="L56" s="116" t="s">
        <v>709</v>
      </c>
      <c r="M56" s="116" t="s">
        <v>720</v>
      </c>
      <c r="N56" s="116" t="s">
        <v>721</v>
      </c>
      <c r="O56" s="116"/>
      <c r="P56" s="116"/>
      <c r="Q56" s="116"/>
      <c r="R56" s="116"/>
      <c r="S56" s="116"/>
    </row>
    <row r="57" spans="1:19" ht="90">
      <c r="A57" s="123">
        <v>75</v>
      </c>
      <c r="B57" s="123" t="s">
        <v>104</v>
      </c>
      <c r="C57" s="123" t="s">
        <v>408</v>
      </c>
      <c r="D57" s="123"/>
      <c r="E57" s="123" t="s">
        <v>432</v>
      </c>
      <c r="F57" s="115"/>
      <c r="G57" s="116" t="s">
        <v>105</v>
      </c>
      <c r="H57" s="116" t="s">
        <v>440</v>
      </c>
      <c r="I57" s="116" t="s">
        <v>594</v>
      </c>
      <c r="J57" s="116" t="s">
        <v>459</v>
      </c>
      <c r="K57" s="116" t="s">
        <v>723</v>
      </c>
      <c r="L57" s="116" t="s">
        <v>724</v>
      </c>
      <c r="M57" s="116" t="s">
        <v>725</v>
      </c>
      <c r="N57" s="116" t="s">
        <v>726</v>
      </c>
      <c r="O57" s="116"/>
      <c r="P57" s="116"/>
      <c r="Q57" s="116"/>
      <c r="R57" s="116"/>
      <c r="S57" s="116"/>
    </row>
    <row r="58" spans="1:19" ht="409.5">
      <c r="A58" s="123">
        <v>44</v>
      </c>
      <c r="B58" s="123" t="s">
        <v>61</v>
      </c>
      <c r="C58" s="123" t="s">
        <v>403</v>
      </c>
      <c r="D58" s="123" t="s">
        <v>489</v>
      </c>
      <c r="E58" s="123" t="s">
        <v>429</v>
      </c>
      <c r="F58" s="115"/>
      <c r="G58" s="116" t="s">
        <v>914</v>
      </c>
      <c r="H58" s="116" t="s">
        <v>915</v>
      </c>
      <c r="I58" s="116" t="s">
        <v>636</v>
      </c>
      <c r="J58" s="116" t="s">
        <v>636</v>
      </c>
      <c r="K58" s="116" t="s">
        <v>916</v>
      </c>
      <c r="L58" s="116" t="s">
        <v>917</v>
      </c>
      <c r="M58" s="116" t="s">
        <v>918</v>
      </c>
      <c r="N58" s="116" t="s">
        <v>919</v>
      </c>
      <c r="O58" s="116" t="s">
        <v>952</v>
      </c>
      <c r="P58" s="116" t="s">
        <v>953</v>
      </c>
      <c r="Q58" s="116"/>
      <c r="R58" s="116"/>
      <c r="S58" s="116"/>
    </row>
    <row r="59" spans="1:19" ht="390">
      <c r="A59" s="123">
        <v>45</v>
      </c>
      <c r="B59" s="123" t="s">
        <v>65</v>
      </c>
      <c r="C59" s="123" t="s">
        <v>404</v>
      </c>
      <c r="D59" s="123" t="s">
        <v>62</v>
      </c>
      <c r="E59" s="123" t="s">
        <v>429</v>
      </c>
      <c r="F59" s="115"/>
      <c r="G59" s="116" t="s">
        <v>920</v>
      </c>
      <c r="H59" s="116" t="s">
        <v>893</v>
      </c>
      <c r="I59" s="116" t="s">
        <v>594</v>
      </c>
      <c r="J59" s="116" t="s">
        <v>459</v>
      </c>
      <c r="K59" s="116" t="s">
        <v>921</v>
      </c>
      <c r="L59" s="116" t="s">
        <v>922</v>
      </c>
      <c r="M59" s="116" t="s">
        <v>465</v>
      </c>
      <c r="N59" s="116" t="s">
        <v>923</v>
      </c>
      <c r="O59" s="116" t="s">
        <v>954</v>
      </c>
      <c r="P59" s="116" t="s">
        <v>953</v>
      </c>
      <c r="Q59" s="116"/>
      <c r="R59" s="116"/>
      <c r="S59" s="116"/>
    </row>
    <row r="60" spans="1:19">
      <c r="A60"/>
      <c r="B60"/>
      <c r="C60"/>
      <c r="D60"/>
      <c r="E60"/>
      <c r="F60"/>
      <c r="G60"/>
      <c r="H60"/>
      <c r="I60"/>
      <c r="J60"/>
      <c r="K60"/>
      <c r="L60"/>
      <c r="M60"/>
      <c r="N60"/>
    </row>
    <row r="61" spans="1:19">
      <c r="A61"/>
      <c r="B61"/>
      <c r="C61"/>
      <c r="D61"/>
      <c r="E61"/>
      <c r="F61"/>
      <c r="G61"/>
      <c r="H61"/>
      <c r="I61"/>
      <c r="J61"/>
      <c r="K61"/>
      <c r="L61"/>
      <c r="M61"/>
      <c r="N61"/>
    </row>
    <row r="62" spans="1:19">
      <c r="A62"/>
      <c r="B62"/>
      <c r="C62"/>
      <c r="D62"/>
      <c r="E62"/>
      <c r="F62"/>
      <c r="G62"/>
      <c r="H62"/>
      <c r="I62"/>
      <c r="J62"/>
      <c r="K62"/>
      <c r="L62"/>
      <c r="M62"/>
      <c r="N62"/>
    </row>
    <row r="63" spans="1:19">
      <c r="A63"/>
      <c r="B63"/>
      <c r="C63"/>
      <c r="D63"/>
      <c r="E63"/>
      <c r="F63"/>
      <c r="G63"/>
      <c r="H63"/>
      <c r="I63"/>
      <c r="J63"/>
      <c r="K63"/>
      <c r="L63"/>
      <c r="M63"/>
      <c r="N63"/>
    </row>
    <row r="64" spans="1:19">
      <c r="A64"/>
      <c r="B64"/>
      <c r="C64"/>
      <c r="D64"/>
      <c r="E64"/>
      <c r="F64"/>
      <c r="G64"/>
      <c r="H64"/>
      <c r="I64"/>
      <c r="J64"/>
      <c r="K64"/>
      <c r="L64"/>
      <c r="M64"/>
      <c r="N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spans="1:14" customFormat="1">
      <c r="A161" s="123"/>
      <c r="B161" s="123"/>
      <c r="C161" s="123"/>
      <c r="D161" s="123"/>
      <c r="E161" s="123"/>
      <c r="F161" s="115"/>
      <c r="G161" s="116"/>
      <c r="H161" s="116"/>
      <c r="I161" s="116"/>
      <c r="J161" s="116"/>
      <c r="K161" s="116"/>
      <c r="L161" s="116"/>
      <c r="M161" s="116"/>
      <c r="N161" s="116"/>
    </row>
    <row r="162" spans="1:14" customFormat="1">
      <c r="A162" s="123"/>
      <c r="B162" s="123"/>
      <c r="C162" s="123"/>
      <c r="D162" s="123"/>
      <c r="E162" s="123"/>
      <c r="F162" s="115"/>
      <c r="G162" s="116"/>
      <c r="H162" s="116"/>
      <c r="I162" s="116"/>
      <c r="J162" s="116"/>
      <c r="K162" s="116"/>
      <c r="L162" s="116"/>
      <c r="M162" s="116"/>
      <c r="N162" s="116"/>
    </row>
    <row r="163" spans="1:14" customFormat="1">
      <c r="A163" s="123"/>
      <c r="B163" s="123"/>
      <c r="C163" s="123"/>
      <c r="D163" s="123"/>
      <c r="E163" s="123"/>
      <c r="F163" s="115"/>
      <c r="G163" s="116"/>
      <c r="H163" s="116"/>
      <c r="I163" s="116"/>
      <c r="J163" s="116"/>
      <c r="K163" s="116"/>
      <c r="L163" s="116"/>
      <c r="M163" s="116"/>
      <c r="N163" s="116"/>
    </row>
    <row r="164" spans="1:14" customFormat="1">
      <c r="A164" s="123"/>
      <c r="B164" s="123"/>
      <c r="C164" s="123"/>
      <c r="D164" s="123"/>
      <c r="E164" s="123"/>
      <c r="F164" s="115"/>
      <c r="G164" s="116"/>
      <c r="H164" s="116"/>
      <c r="I164" s="116"/>
      <c r="J164" s="116"/>
      <c r="K164" s="116"/>
      <c r="L164" s="116"/>
      <c r="M164" s="116"/>
      <c r="N164" s="116"/>
    </row>
    <row r="165" spans="1:14" customFormat="1">
      <c r="A165" s="123"/>
      <c r="B165" s="123"/>
      <c r="C165" s="123"/>
      <c r="D165" s="123"/>
      <c r="E165" s="123"/>
      <c r="F165" s="115"/>
      <c r="G165" s="116"/>
      <c r="H165" s="116"/>
      <c r="I165" s="116"/>
      <c r="J165" s="116"/>
      <c r="K165" s="116"/>
      <c r="L165" s="116"/>
      <c r="M165" s="116"/>
      <c r="N165" s="116"/>
    </row>
    <row r="166" spans="1:14" customFormat="1">
      <c r="A166" s="123"/>
      <c r="B166" s="123"/>
      <c r="C166" s="123"/>
      <c r="D166" s="123"/>
      <c r="E166" s="123"/>
      <c r="F166" s="115"/>
      <c r="G166" s="116"/>
      <c r="H166" s="116"/>
      <c r="I166" s="116"/>
      <c r="J166" s="116"/>
      <c r="K166" s="116"/>
      <c r="L166" s="116"/>
      <c r="M166" s="116"/>
      <c r="N166" s="116"/>
    </row>
    <row r="167" spans="1:14" customFormat="1">
      <c r="A167" s="123"/>
      <c r="B167" s="123"/>
      <c r="C167" s="123"/>
      <c r="D167" s="123"/>
      <c r="E167" s="123"/>
      <c r="F167" s="115"/>
      <c r="G167" s="116"/>
      <c r="H167" s="116"/>
      <c r="I167" s="116"/>
      <c r="J167" s="116"/>
      <c r="K167" s="116"/>
      <c r="L167" s="116"/>
      <c r="M167" s="116"/>
      <c r="N167" s="116"/>
    </row>
    <row r="168" spans="1:14" customFormat="1">
      <c r="A168" s="123"/>
      <c r="B168" s="123"/>
      <c r="C168" s="123"/>
      <c r="D168" s="123"/>
      <c r="E168" s="123"/>
      <c r="F168" s="115"/>
      <c r="G168" s="116"/>
      <c r="H168" s="116"/>
      <c r="I168" s="116"/>
      <c r="J168" s="116"/>
      <c r="K168" s="116"/>
      <c r="L168" s="116"/>
      <c r="M168" s="116"/>
      <c r="N168" s="116"/>
    </row>
    <row r="169" spans="1:14" customFormat="1">
      <c r="A169" s="123"/>
      <c r="B169" s="123"/>
      <c r="C169" s="123"/>
      <c r="D169" s="123"/>
      <c r="E169" s="123"/>
      <c r="F169" s="115"/>
      <c r="G169" s="116"/>
      <c r="H169" s="116"/>
      <c r="I169" s="116"/>
      <c r="J169" s="116"/>
      <c r="K169" s="116"/>
      <c r="L169" s="116"/>
      <c r="M169" s="116"/>
      <c r="N169" s="116"/>
    </row>
    <row r="170" spans="1:14" customFormat="1">
      <c r="A170" s="123"/>
      <c r="B170" s="123"/>
      <c r="C170" s="123"/>
      <c r="D170" s="123"/>
      <c r="E170" s="123"/>
      <c r="F170" s="115"/>
      <c r="G170" s="116"/>
      <c r="H170" s="116"/>
      <c r="I170" s="116"/>
      <c r="J170" s="116"/>
      <c r="K170" s="116"/>
      <c r="L170" s="116"/>
      <c r="M170" s="116"/>
      <c r="N170" s="116"/>
    </row>
    <row r="171" spans="1:14" customFormat="1">
      <c r="A171" s="123"/>
      <c r="B171" s="123"/>
      <c r="C171" s="123"/>
      <c r="D171" s="123"/>
      <c r="E171" s="123"/>
      <c r="F171" s="115"/>
      <c r="G171" s="116"/>
      <c r="H171" s="116"/>
      <c r="I171" s="116"/>
      <c r="J171" s="116"/>
      <c r="K171" s="116"/>
      <c r="L171" s="116"/>
      <c r="M171" s="116"/>
      <c r="N171" s="116"/>
    </row>
    <row r="172" spans="1:14" customFormat="1">
      <c r="A172" s="123"/>
      <c r="B172" s="123"/>
      <c r="C172" s="123"/>
      <c r="D172" s="123"/>
      <c r="E172" s="123"/>
      <c r="F172" s="115"/>
      <c r="G172" s="116"/>
      <c r="H172" s="116"/>
      <c r="I172" s="116"/>
      <c r="J172" s="116"/>
      <c r="K172" s="116"/>
      <c r="L172" s="116"/>
      <c r="M172" s="116"/>
      <c r="N172" s="116"/>
    </row>
    <row r="173" spans="1:14" customFormat="1">
      <c r="A173" s="123"/>
      <c r="B173" s="123"/>
      <c r="C173" s="123"/>
      <c r="D173" s="123"/>
      <c r="E173" s="123"/>
      <c r="F173" s="115"/>
      <c r="G173" s="116"/>
      <c r="H173" s="116"/>
      <c r="I173" s="116"/>
      <c r="J173" s="116"/>
      <c r="K173" s="116"/>
      <c r="L173" s="116"/>
      <c r="M173" s="116"/>
      <c r="N173" s="116"/>
    </row>
    <row r="174" spans="1:14" customFormat="1">
      <c r="A174" s="123"/>
      <c r="B174" s="123"/>
      <c r="C174" s="123"/>
      <c r="D174" s="123"/>
      <c r="E174" s="123"/>
      <c r="F174" s="115"/>
      <c r="G174" s="116"/>
      <c r="H174" s="116"/>
      <c r="I174" s="116"/>
      <c r="J174" s="116"/>
      <c r="K174" s="116"/>
      <c r="L174" s="116"/>
      <c r="M174" s="116"/>
      <c r="N174" s="116"/>
    </row>
    <row r="175" spans="1:14" customFormat="1">
      <c r="A175" s="123"/>
      <c r="B175" s="123"/>
      <c r="C175" s="123"/>
      <c r="D175" s="123"/>
      <c r="E175" s="123"/>
      <c r="F175" s="115"/>
      <c r="G175" s="116"/>
      <c r="H175" s="116"/>
      <c r="I175" s="116"/>
      <c r="J175" s="116"/>
      <c r="K175" s="116"/>
      <c r="L175" s="116"/>
      <c r="M175" s="116"/>
      <c r="N175" s="116"/>
    </row>
    <row r="176" spans="1:14" customFormat="1">
      <c r="A176" s="123"/>
      <c r="B176" s="123"/>
      <c r="C176" s="123"/>
      <c r="D176" s="123"/>
      <c r="E176" s="123"/>
      <c r="F176" s="115"/>
      <c r="G176" s="116"/>
      <c r="H176" s="116"/>
      <c r="I176" s="116"/>
      <c r="J176" s="116"/>
      <c r="K176" s="116"/>
      <c r="L176" s="116"/>
      <c r="M176" s="116"/>
      <c r="N176" s="116"/>
    </row>
    <row r="177" spans="1:14" customFormat="1">
      <c r="A177" s="123"/>
      <c r="B177" s="123"/>
      <c r="C177" s="123"/>
      <c r="D177" s="123"/>
      <c r="E177" s="123"/>
      <c r="F177" s="115"/>
      <c r="G177" s="116"/>
      <c r="H177" s="116"/>
      <c r="I177" s="116"/>
      <c r="J177" s="116"/>
      <c r="K177" s="116"/>
      <c r="L177" s="116"/>
      <c r="M177" s="116"/>
      <c r="N177" s="116"/>
    </row>
    <row r="178" spans="1:14" customFormat="1">
      <c r="A178" s="123"/>
      <c r="B178" s="123"/>
      <c r="C178" s="123"/>
      <c r="D178" s="123"/>
      <c r="E178" s="123"/>
      <c r="F178" s="115"/>
      <c r="G178" s="116"/>
      <c r="H178" s="116"/>
      <c r="I178" s="116"/>
      <c r="J178" s="116"/>
      <c r="K178" s="116"/>
      <c r="L178" s="116"/>
      <c r="M178" s="116"/>
      <c r="N178" s="116"/>
    </row>
    <row r="179" spans="1:14" customFormat="1">
      <c r="A179" s="123"/>
      <c r="B179" s="123"/>
      <c r="C179" s="123"/>
      <c r="D179" s="123"/>
      <c r="E179" s="123"/>
      <c r="F179" s="115"/>
      <c r="G179" s="116"/>
      <c r="H179" s="116"/>
      <c r="I179" s="116"/>
      <c r="J179" s="116"/>
      <c r="K179" s="116"/>
      <c r="L179" s="116"/>
      <c r="M179" s="116"/>
      <c r="N179" s="116"/>
    </row>
    <row r="180" spans="1:14" customFormat="1">
      <c r="A180" s="123"/>
      <c r="B180" s="123"/>
      <c r="C180" s="123"/>
      <c r="D180" s="123"/>
      <c r="E180" s="123"/>
      <c r="F180" s="115"/>
      <c r="G180" s="116"/>
      <c r="H180" s="116"/>
      <c r="I180" s="116"/>
      <c r="J180" s="116"/>
      <c r="K180" s="116"/>
      <c r="L180" s="116"/>
      <c r="M180" s="116"/>
      <c r="N180" s="116"/>
    </row>
    <row r="181" spans="1:14" customFormat="1">
      <c r="A181" s="123"/>
      <c r="B181" s="123"/>
      <c r="C181" s="123"/>
      <c r="D181" s="123"/>
      <c r="E181" s="123"/>
      <c r="F181" s="115"/>
      <c r="G181" s="116"/>
      <c r="H181" s="116"/>
      <c r="I181" s="116"/>
      <c r="J181" s="116"/>
      <c r="K181" s="116"/>
      <c r="L181" s="116"/>
      <c r="M181" s="116"/>
      <c r="N181" s="116"/>
    </row>
    <row r="182" spans="1:14" customFormat="1">
      <c r="A182" s="123"/>
      <c r="B182" s="123"/>
      <c r="C182" s="123"/>
      <c r="D182" s="123"/>
      <c r="E182" s="123"/>
      <c r="F182" s="115"/>
      <c r="G182" s="116"/>
      <c r="H182" s="116"/>
      <c r="I182" s="116"/>
      <c r="J182" s="116"/>
      <c r="K182" s="116"/>
      <c r="L182" s="116"/>
      <c r="M182" s="116"/>
      <c r="N182" s="116"/>
    </row>
    <row r="183" spans="1:14" customFormat="1">
      <c r="A183" s="123"/>
      <c r="B183" s="123"/>
      <c r="C183" s="123"/>
      <c r="D183" s="123"/>
      <c r="E183" s="123"/>
      <c r="F183" s="115"/>
      <c r="G183" s="116"/>
      <c r="H183" s="116"/>
      <c r="I183" s="116"/>
      <c r="J183" s="116"/>
      <c r="K183" s="116"/>
      <c r="L183" s="116"/>
      <c r="M183" s="116"/>
      <c r="N183" s="116"/>
    </row>
    <row r="184" spans="1:14" customFormat="1">
      <c r="A184" s="123"/>
      <c r="B184" s="123"/>
      <c r="C184" s="123"/>
      <c r="D184" s="123"/>
      <c r="E184" s="123"/>
      <c r="F184" s="115"/>
      <c r="G184" s="116"/>
      <c r="H184" s="116"/>
      <c r="I184" s="116"/>
      <c r="J184" s="116"/>
      <c r="K184" s="116"/>
      <c r="L184" s="116"/>
      <c r="M184" s="116"/>
      <c r="N184" s="116"/>
    </row>
    <row r="185" spans="1:14" customFormat="1">
      <c r="A185" s="123"/>
      <c r="B185" s="123"/>
      <c r="C185" s="123"/>
      <c r="D185" s="123"/>
      <c r="E185" s="123"/>
      <c r="F185" s="115"/>
      <c r="G185" s="116"/>
      <c r="H185" s="116"/>
      <c r="I185" s="116"/>
      <c r="J185" s="116"/>
      <c r="K185" s="116"/>
      <c r="L185" s="116"/>
      <c r="M185" s="116"/>
      <c r="N185" s="116"/>
    </row>
    <row r="186" spans="1:14" customFormat="1">
      <c r="A186" s="123"/>
      <c r="B186" s="123"/>
      <c r="C186" s="123"/>
      <c r="D186" s="123"/>
      <c r="E186" s="123"/>
      <c r="F186" s="115"/>
      <c r="G186" s="116"/>
      <c r="H186" s="116"/>
      <c r="I186" s="116"/>
      <c r="J186" s="116"/>
      <c r="K186" s="116"/>
      <c r="L186" s="116"/>
      <c r="M186" s="116"/>
      <c r="N186" s="116"/>
    </row>
    <row r="187" spans="1:14" customFormat="1">
      <c r="A187" s="123"/>
      <c r="B187" s="123"/>
      <c r="C187" s="123"/>
      <c r="D187" s="123"/>
      <c r="E187" s="123"/>
      <c r="F187" s="115"/>
      <c r="G187" s="116"/>
      <c r="H187" s="116"/>
      <c r="I187" s="116"/>
      <c r="J187" s="116"/>
      <c r="K187" s="116"/>
      <c r="L187" s="116"/>
      <c r="M187" s="116"/>
      <c r="N187" s="116"/>
    </row>
    <row r="188" spans="1:14" customFormat="1">
      <c r="A188" s="123"/>
      <c r="B188" s="123"/>
      <c r="C188" s="123"/>
      <c r="D188" s="123"/>
      <c r="E188" s="123"/>
      <c r="F188" s="115"/>
      <c r="G188" s="116"/>
      <c r="H188" s="116"/>
      <c r="I188" s="116"/>
      <c r="J188" s="116"/>
      <c r="K188" s="116"/>
      <c r="L188" s="116"/>
      <c r="M188" s="116"/>
      <c r="N188" s="116"/>
    </row>
    <row r="189" spans="1:14" customFormat="1">
      <c r="A189" s="123"/>
      <c r="B189" s="123"/>
      <c r="C189" s="123"/>
      <c r="D189" s="123"/>
      <c r="E189" s="123"/>
      <c r="F189" s="115"/>
      <c r="G189" s="116"/>
      <c r="H189" s="116"/>
      <c r="I189" s="116"/>
      <c r="J189" s="116"/>
      <c r="K189" s="116"/>
      <c r="L189" s="116"/>
      <c r="M189" s="116"/>
      <c r="N189" s="116"/>
    </row>
    <row r="190" spans="1:14" customFormat="1">
      <c r="A190" s="123"/>
      <c r="B190" s="123"/>
      <c r="C190" s="123"/>
      <c r="D190" s="123"/>
      <c r="E190" s="123"/>
      <c r="F190" s="115"/>
      <c r="G190" s="116"/>
      <c r="H190" s="116"/>
      <c r="I190" s="116"/>
      <c r="J190" s="116"/>
      <c r="K190" s="116"/>
      <c r="L190" s="116"/>
      <c r="M190" s="116"/>
      <c r="N190" s="116"/>
    </row>
    <row r="191" spans="1:14" customFormat="1">
      <c r="A191" s="123"/>
      <c r="B191" s="123"/>
      <c r="C191" s="123"/>
      <c r="D191" s="123"/>
      <c r="E191" s="123"/>
      <c r="F191" s="115"/>
      <c r="G191" s="116"/>
      <c r="H191" s="116"/>
      <c r="I191" s="116"/>
      <c r="J191" s="116"/>
      <c r="K191" s="116"/>
      <c r="L191" s="116"/>
      <c r="M191" s="116"/>
      <c r="N191" s="116"/>
    </row>
    <row r="192" spans="1:14" customFormat="1">
      <c r="A192" s="123"/>
      <c r="B192" s="123"/>
      <c r="C192" s="123"/>
      <c r="D192" s="123"/>
      <c r="E192" s="123"/>
      <c r="F192" s="115"/>
      <c r="G192" s="116"/>
      <c r="H192" s="116"/>
      <c r="I192" s="116"/>
      <c r="J192" s="116"/>
      <c r="K192" s="116"/>
      <c r="L192" s="116"/>
      <c r="M192" s="116"/>
      <c r="N192" s="116"/>
    </row>
    <row r="193" spans="1:14" customFormat="1">
      <c r="A193" s="123"/>
      <c r="B193" s="123"/>
      <c r="C193" s="123"/>
      <c r="D193" s="123"/>
      <c r="E193" s="123"/>
      <c r="F193" s="115"/>
      <c r="G193" s="116"/>
      <c r="H193" s="116"/>
      <c r="I193" s="116"/>
      <c r="J193" s="116"/>
      <c r="K193" s="116"/>
      <c r="L193" s="116"/>
      <c r="M193" s="116"/>
      <c r="N193" s="116"/>
    </row>
    <row r="194" spans="1:14" customFormat="1">
      <c r="A194" s="123"/>
      <c r="B194" s="123"/>
      <c r="C194" s="123"/>
      <c r="D194" s="123"/>
      <c r="E194" s="123"/>
      <c r="F194" s="115"/>
      <c r="G194" s="116"/>
      <c r="H194" s="116"/>
      <c r="I194" s="116"/>
      <c r="J194" s="116"/>
      <c r="K194" s="116"/>
      <c r="L194" s="116"/>
      <c r="M194" s="116"/>
      <c r="N194" s="116"/>
    </row>
    <row r="195" spans="1:14" customFormat="1">
      <c r="A195" s="123"/>
      <c r="B195" s="123"/>
      <c r="C195" s="123"/>
      <c r="D195" s="123"/>
      <c r="E195" s="123"/>
      <c r="F195" s="115"/>
      <c r="G195" s="116"/>
      <c r="H195" s="116"/>
      <c r="I195" s="116"/>
      <c r="J195" s="116"/>
      <c r="K195" s="116"/>
      <c r="L195" s="116"/>
      <c r="M195" s="116"/>
      <c r="N195" s="116"/>
    </row>
    <row r="196" spans="1:14" customFormat="1">
      <c r="A196" s="123"/>
      <c r="B196" s="123"/>
      <c r="C196" s="123"/>
      <c r="D196" s="123"/>
      <c r="E196" s="123"/>
      <c r="F196" s="115"/>
      <c r="G196" s="116"/>
      <c r="H196" s="116"/>
      <c r="I196" s="116"/>
      <c r="J196" s="116"/>
      <c r="K196" s="116"/>
      <c r="L196" s="116"/>
      <c r="M196" s="116"/>
      <c r="N196" s="116"/>
    </row>
    <row r="197" spans="1:14" customFormat="1">
      <c r="A197" s="123"/>
      <c r="B197" s="123"/>
      <c r="C197" s="123"/>
      <c r="D197" s="123"/>
      <c r="E197" s="123"/>
      <c r="F197" s="115"/>
      <c r="G197" s="116"/>
      <c r="H197" s="116"/>
      <c r="I197" s="116"/>
      <c r="J197" s="116"/>
      <c r="K197" s="116"/>
      <c r="L197" s="116"/>
      <c r="M197" s="116"/>
      <c r="N197" s="116"/>
    </row>
    <row r="198" spans="1:14" customFormat="1">
      <c r="A198" s="123"/>
      <c r="B198" s="123"/>
      <c r="C198" s="123"/>
      <c r="D198" s="123"/>
      <c r="E198" s="123"/>
      <c r="F198" s="115"/>
      <c r="G198" s="116"/>
      <c r="H198" s="116"/>
      <c r="I198" s="116"/>
      <c r="J198" s="116"/>
      <c r="K198" s="116"/>
      <c r="L198" s="116"/>
      <c r="M198" s="116"/>
      <c r="N198" s="116"/>
    </row>
    <row r="199" spans="1:14" customFormat="1">
      <c r="A199" s="123"/>
      <c r="B199" s="123"/>
      <c r="C199" s="123"/>
      <c r="D199" s="123"/>
      <c r="E199" s="123"/>
      <c r="F199" s="115"/>
      <c r="G199" s="116"/>
      <c r="H199" s="116"/>
      <c r="I199" s="116"/>
      <c r="J199" s="116"/>
      <c r="K199" s="116"/>
      <c r="L199" s="116"/>
      <c r="M199" s="116"/>
      <c r="N199" s="116"/>
    </row>
    <row r="200" spans="1:14" customFormat="1">
      <c r="A200" s="123"/>
      <c r="B200" s="123"/>
      <c r="C200" s="123"/>
      <c r="D200" s="123"/>
      <c r="E200" s="123"/>
      <c r="F200" s="115"/>
      <c r="G200" s="116"/>
      <c r="H200" s="116"/>
      <c r="I200" s="116"/>
      <c r="J200" s="116"/>
      <c r="K200" s="116"/>
      <c r="L200" s="116"/>
      <c r="M200" s="116"/>
      <c r="N200" s="116"/>
    </row>
    <row r="201" spans="1:14" customFormat="1">
      <c r="A201" s="123"/>
      <c r="B201" s="123"/>
      <c r="C201" s="123"/>
      <c r="D201" s="123"/>
      <c r="E201" s="123"/>
      <c r="F201" s="115"/>
      <c r="G201" s="116"/>
      <c r="H201" s="116"/>
      <c r="I201" s="116"/>
      <c r="J201" s="116"/>
      <c r="K201" s="116"/>
      <c r="L201" s="116"/>
      <c r="M201" s="116"/>
      <c r="N201" s="116"/>
    </row>
    <row r="202" spans="1:14" customFormat="1">
      <c r="A202" s="123"/>
      <c r="B202" s="123"/>
      <c r="C202" s="123"/>
      <c r="D202" s="123"/>
      <c r="E202" s="123"/>
      <c r="F202" s="115"/>
      <c r="G202" s="116"/>
      <c r="H202" s="116"/>
      <c r="I202" s="116"/>
      <c r="J202" s="116"/>
      <c r="K202" s="116"/>
      <c r="L202" s="116"/>
      <c r="M202" s="116"/>
      <c r="N202" s="116"/>
    </row>
    <row r="203" spans="1:14" customFormat="1">
      <c r="A203" s="123"/>
      <c r="B203" s="123"/>
      <c r="C203" s="123"/>
      <c r="D203" s="123"/>
      <c r="E203" s="123"/>
      <c r="F203" s="115"/>
      <c r="G203" s="116"/>
      <c r="H203" s="116"/>
      <c r="I203" s="116"/>
      <c r="J203" s="116"/>
      <c r="K203" s="116"/>
      <c r="L203" s="116"/>
      <c r="M203" s="116"/>
      <c r="N203" s="116"/>
    </row>
    <row r="204" spans="1:14" customFormat="1">
      <c r="A204" s="123"/>
      <c r="B204" s="123"/>
      <c r="C204" s="123"/>
      <c r="D204" s="123"/>
      <c r="E204" s="123"/>
      <c r="F204" s="115"/>
      <c r="G204" s="116"/>
      <c r="H204" s="116"/>
      <c r="I204" s="116"/>
      <c r="J204" s="116"/>
      <c r="K204" s="116"/>
      <c r="L204" s="116"/>
      <c r="M204" s="116"/>
      <c r="N204" s="116"/>
    </row>
    <row r="205" spans="1:14" customFormat="1">
      <c r="A205" s="123"/>
      <c r="B205" s="123"/>
      <c r="C205" s="123"/>
      <c r="D205" s="123"/>
      <c r="E205" s="123"/>
      <c r="F205" s="115"/>
      <c r="G205" s="116"/>
      <c r="H205" s="116"/>
      <c r="I205" s="116"/>
      <c r="J205" s="116"/>
      <c r="K205" s="116"/>
      <c r="L205" s="116"/>
      <c r="M205" s="116"/>
      <c r="N205" s="116"/>
    </row>
    <row r="206" spans="1:14" customFormat="1">
      <c r="A206" s="123"/>
      <c r="B206" s="123"/>
      <c r="C206" s="123"/>
      <c r="D206" s="123"/>
      <c r="E206" s="123"/>
      <c r="F206" s="115"/>
      <c r="G206" s="116"/>
      <c r="H206" s="116"/>
      <c r="I206" s="116"/>
      <c r="J206" s="116"/>
      <c r="K206" s="116"/>
      <c r="L206" s="116"/>
      <c r="M206" s="116"/>
      <c r="N206" s="116"/>
    </row>
    <row r="207" spans="1:14" customFormat="1">
      <c r="A207" s="123"/>
      <c r="B207" s="123"/>
      <c r="C207" s="123"/>
      <c r="D207" s="123"/>
      <c r="E207" s="123"/>
      <c r="F207" s="115"/>
      <c r="G207" s="116"/>
      <c r="H207" s="116"/>
      <c r="I207" s="116"/>
      <c r="J207" s="116"/>
      <c r="K207" s="116"/>
      <c r="L207" s="116"/>
      <c r="M207" s="116"/>
      <c r="N207" s="116"/>
    </row>
    <row r="208" spans="1:14" customFormat="1">
      <c r="A208" s="123"/>
      <c r="B208" s="123"/>
      <c r="C208" s="123"/>
      <c r="D208" s="123"/>
      <c r="E208" s="123"/>
      <c r="F208" s="115"/>
      <c r="G208" s="116"/>
      <c r="H208" s="116"/>
      <c r="I208" s="116"/>
      <c r="J208" s="116"/>
      <c r="K208" s="116"/>
      <c r="L208" s="116"/>
      <c r="M208" s="116"/>
      <c r="N208" s="116"/>
    </row>
    <row r="209" spans="1:14" customFormat="1">
      <c r="A209" s="123"/>
      <c r="B209" s="123"/>
      <c r="C209" s="123"/>
      <c r="D209" s="123"/>
      <c r="E209" s="123"/>
      <c r="F209" s="115"/>
      <c r="G209" s="116"/>
      <c r="H209" s="116"/>
      <c r="I209" s="116"/>
      <c r="J209" s="116"/>
      <c r="K209" s="116"/>
      <c r="L209" s="116"/>
      <c r="M209" s="116"/>
      <c r="N209" s="116"/>
    </row>
    <row r="210" spans="1:14" customFormat="1">
      <c r="A210" s="123"/>
      <c r="B210" s="123"/>
      <c r="C210" s="123"/>
      <c r="D210" s="123"/>
      <c r="E210" s="123"/>
      <c r="F210" s="115"/>
      <c r="G210" s="116"/>
      <c r="H210" s="116"/>
      <c r="I210" s="116"/>
      <c r="J210" s="116"/>
      <c r="K210" s="116"/>
      <c r="L210" s="116"/>
      <c r="M210" s="116"/>
      <c r="N210" s="116"/>
    </row>
    <row r="211" spans="1:14" customFormat="1">
      <c r="A211" s="115"/>
      <c r="B211" s="116"/>
      <c r="C211" s="116"/>
      <c r="D211" s="116"/>
      <c r="E211" s="115"/>
      <c r="F211" s="115"/>
      <c r="G211" s="116"/>
      <c r="H211" s="116"/>
      <c r="I211" s="116"/>
      <c r="J211" s="116"/>
      <c r="K211" s="116"/>
      <c r="L211" s="116"/>
      <c r="M211" s="116"/>
      <c r="N211" s="116"/>
    </row>
    <row r="212" spans="1:14" customFormat="1">
      <c r="A212" s="115"/>
      <c r="B212" s="116"/>
      <c r="C212" s="116"/>
      <c r="D212" s="116"/>
      <c r="E212" s="115"/>
      <c r="F212" s="115"/>
      <c r="G212" s="116"/>
      <c r="H212" s="116"/>
      <c r="I212" s="116"/>
      <c r="J212" s="116"/>
      <c r="K212" s="116"/>
      <c r="L212" s="116"/>
      <c r="M212" s="116"/>
      <c r="N212" s="116"/>
    </row>
    <row r="213" spans="1:14" customFormat="1">
      <c r="A213" s="115"/>
      <c r="B213" s="116"/>
      <c r="C213" s="116"/>
      <c r="D213" s="116"/>
      <c r="E213" s="115"/>
      <c r="F213" s="115"/>
      <c r="G213" s="116"/>
      <c r="H213" s="116"/>
      <c r="I213" s="116"/>
      <c r="J213" s="116"/>
      <c r="K213" s="116"/>
      <c r="L213" s="116"/>
      <c r="M213" s="116"/>
      <c r="N213" s="116"/>
    </row>
    <row r="214" spans="1:14" customFormat="1">
      <c r="A214" s="115"/>
      <c r="B214" s="116"/>
      <c r="C214" s="116"/>
      <c r="D214" s="116"/>
      <c r="E214" s="115"/>
      <c r="F214" s="115"/>
      <c r="G214" s="116"/>
      <c r="H214" s="116"/>
      <c r="I214" s="116"/>
      <c r="J214" s="116"/>
      <c r="K214" s="116"/>
      <c r="L214" s="116"/>
      <c r="M214" s="116"/>
      <c r="N214" s="116"/>
    </row>
    <row r="215" spans="1:14" customFormat="1">
      <c r="A215" s="115"/>
      <c r="B215" s="116"/>
      <c r="C215" s="116"/>
      <c r="D215" s="116"/>
      <c r="E215" s="115"/>
      <c r="F215" s="115"/>
      <c r="G215" s="116"/>
      <c r="H215" s="116"/>
      <c r="I215" s="116"/>
      <c r="J215" s="116"/>
      <c r="K215" s="116"/>
      <c r="L215" s="116"/>
      <c r="M215" s="116"/>
      <c r="N215" s="116"/>
    </row>
    <row r="216" spans="1:14" customFormat="1">
      <c r="A216" s="115"/>
      <c r="B216" s="116"/>
      <c r="C216" s="116"/>
      <c r="D216" s="116"/>
      <c r="E216" s="115"/>
      <c r="F216" s="115"/>
      <c r="G216" s="116"/>
      <c r="H216" s="116"/>
      <c r="I216" s="116"/>
      <c r="J216" s="116"/>
      <c r="K216" s="116"/>
      <c r="L216" s="116"/>
      <c r="M216" s="116"/>
      <c r="N216" s="116"/>
    </row>
    <row r="217" spans="1:14" customFormat="1">
      <c r="A217" s="115"/>
      <c r="B217" s="116"/>
      <c r="C217" s="116"/>
      <c r="D217" s="116"/>
      <c r="E217" s="115"/>
      <c r="F217" s="115"/>
      <c r="G217" s="116"/>
      <c r="H217" s="116"/>
      <c r="I217" s="116"/>
      <c r="J217" s="116"/>
      <c r="K217" s="116"/>
      <c r="L217" s="116"/>
      <c r="M217" s="116"/>
      <c r="N217" s="116"/>
    </row>
    <row r="218" spans="1:14" customFormat="1">
      <c r="A218" s="115"/>
      <c r="B218" s="116"/>
      <c r="C218" s="116"/>
      <c r="D218" s="116"/>
      <c r="E218" s="115"/>
      <c r="F218" s="115"/>
      <c r="G218" s="116"/>
      <c r="H218" s="116"/>
      <c r="I218" s="116"/>
      <c r="J218" s="116"/>
      <c r="K218" s="116"/>
      <c r="L218" s="116"/>
      <c r="M218" s="116"/>
      <c r="N218" s="116"/>
    </row>
    <row r="219" spans="1:14" customFormat="1">
      <c r="A219" s="115"/>
      <c r="B219" s="116"/>
      <c r="C219" s="116"/>
      <c r="D219" s="116"/>
      <c r="E219" s="115"/>
      <c r="F219" s="115"/>
      <c r="G219" s="116"/>
      <c r="H219" s="116"/>
      <c r="I219" s="116"/>
      <c r="J219" s="116"/>
      <c r="K219" s="116"/>
      <c r="L219" s="116"/>
      <c r="M219" s="116"/>
      <c r="N219" s="116"/>
    </row>
    <row r="220" spans="1:14" customFormat="1">
      <c r="A220" s="115"/>
      <c r="B220" s="116"/>
      <c r="C220" s="116"/>
      <c r="D220" s="116"/>
      <c r="E220" s="115"/>
      <c r="F220" s="115"/>
      <c r="G220" s="116"/>
      <c r="H220" s="116"/>
      <c r="I220" s="116"/>
      <c r="J220" s="116"/>
      <c r="K220" s="116"/>
      <c r="L220" s="116"/>
      <c r="M220" s="116"/>
      <c r="N220" s="116"/>
    </row>
    <row r="221" spans="1:14" customFormat="1">
      <c r="A221" s="115"/>
      <c r="B221" s="116"/>
      <c r="C221" s="116"/>
      <c r="D221" s="116"/>
      <c r="E221" s="115"/>
      <c r="F221" s="115"/>
      <c r="G221" s="116"/>
      <c r="H221" s="116"/>
      <c r="I221" s="116"/>
      <c r="J221" s="116"/>
      <c r="K221" s="116"/>
      <c r="L221" s="116"/>
      <c r="M221" s="116"/>
      <c r="N221" s="116"/>
    </row>
    <row r="222" spans="1:14" customFormat="1">
      <c r="A222" s="115"/>
      <c r="B222" s="116"/>
      <c r="C222" s="116"/>
      <c r="D222" s="116"/>
      <c r="E222" s="115"/>
      <c r="F222" s="115"/>
      <c r="G222" s="116"/>
      <c r="H222" s="116"/>
      <c r="I222" s="116"/>
      <c r="J222" s="116"/>
      <c r="K222" s="116"/>
      <c r="L222" s="116"/>
      <c r="M222" s="116"/>
      <c r="N222" s="116"/>
    </row>
    <row r="223" spans="1:14" customFormat="1">
      <c r="A223" s="115"/>
      <c r="B223" s="116"/>
      <c r="C223" s="116"/>
      <c r="D223" s="116"/>
      <c r="E223" s="115"/>
      <c r="F223" s="115"/>
      <c r="G223" s="116"/>
      <c r="H223" s="116"/>
      <c r="I223" s="116"/>
      <c r="J223" s="116"/>
      <c r="K223" s="116"/>
      <c r="L223" s="116"/>
      <c r="M223" s="116"/>
      <c r="N223" s="116"/>
    </row>
    <row r="224" spans="1:14" customFormat="1">
      <c r="A224" s="115"/>
      <c r="B224" s="116"/>
      <c r="C224" s="116"/>
      <c r="D224" s="116"/>
      <c r="E224" s="115"/>
      <c r="F224" s="115"/>
      <c r="G224" s="116"/>
      <c r="H224" s="116"/>
      <c r="I224" s="116"/>
      <c r="J224" s="116"/>
      <c r="K224" s="116"/>
      <c r="L224" s="116"/>
      <c r="M224" s="116"/>
      <c r="N224" s="116"/>
    </row>
    <row r="225" spans="1:14" customFormat="1">
      <c r="A225" s="115"/>
      <c r="B225" s="116"/>
      <c r="C225" s="116"/>
      <c r="D225" s="116"/>
      <c r="E225" s="115"/>
      <c r="F225" s="115"/>
      <c r="G225" s="116"/>
      <c r="H225" s="116"/>
      <c r="I225" s="116"/>
      <c r="J225" s="116"/>
      <c r="K225" s="116"/>
      <c r="L225" s="116"/>
      <c r="M225" s="116"/>
      <c r="N225" s="116"/>
    </row>
    <row r="226" spans="1:14" customFormat="1">
      <c r="A226" s="115"/>
      <c r="B226" s="116"/>
      <c r="C226" s="116"/>
      <c r="D226" s="116"/>
      <c r="E226" s="115"/>
      <c r="F226" s="115"/>
      <c r="G226" s="116"/>
      <c r="H226" s="116"/>
      <c r="I226" s="116"/>
      <c r="J226" s="116"/>
      <c r="K226" s="116"/>
      <c r="L226" s="116"/>
      <c r="M226" s="116"/>
      <c r="N226" s="116"/>
    </row>
    <row r="227" spans="1:14" customFormat="1">
      <c r="A227" s="115"/>
      <c r="B227" s="116"/>
      <c r="C227" s="116"/>
      <c r="D227" s="116"/>
      <c r="E227" s="115"/>
      <c r="F227" s="115"/>
      <c r="G227" s="116"/>
      <c r="H227" s="116"/>
      <c r="I227" s="116"/>
      <c r="J227" s="116"/>
      <c r="K227" s="116"/>
      <c r="L227" s="116"/>
      <c r="M227" s="116"/>
      <c r="N227" s="116"/>
    </row>
    <row r="228" spans="1:14" customFormat="1">
      <c r="A228" s="115"/>
      <c r="B228" s="116"/>
      <c r="C228" s="116"/>
      <c r="D228" s="116"/>
      <c r="E228" s="115"/>
      <c r="F228" s="115"/>
      <c r="G228" s="116"/>
      <c r="H228" s="116"/>
      <c r="I228" s="116"/>
      <c r="J228" s="116"/>
      <c r="K228" s="116"/>
      <c r="L228" s="116"/>
      <c r="M228" s="116"/>
      <c r="N228" s="116"/>
    </row>
    <row r="229" spans="1:14" customFormat="1">
      <c r="A229" s="115"/>
      <c r="B229" s="116"/>
      <c r="C229" s="116"/>
      <c r="D229" s="116"/>
      <c r="E229" s="115"/>
      <c r="F229" s="115"/>
      <c r="G229" s="116"/>
      <c r="H229" s="116"/>
      <c r="I229" s="116"/>
      <c r="J229" s="116"/>
      <c r="K229" s="116"/>
      <c r="L229" s="116"/>
      <c r="M229" s="116"/>
      <c r="N229" s="116"/>
    </row>
    <row r="230" spans="1:14" customFormat="1">
      <c r="A230" s="115"/>
      <c r="B230" s="116"/>
      <c r="C230" s="116"/>
      <c r="D230" s="116"/>
      <c r="E230" s="115"/>
      <c r="F230" s="115"/>
      <c r="G230" s="116"/>
      <c r="H230" s="116"/>
      <c r="I230" s="116"/>
      <c r="J230" s="116"/>
      <c r="K230" s="116"/>
      <c r="L230" s="116"/>
      <c r="M230" s="116"/>
      <c r="N230" s="116"/>
    </row>
    <row r="231" spans="1:14" customFormat="1">
      <c r="A231" s="115"/>
      <c r="B231" s="116"/>
      <c r="C231" s="116"/>
      <c r="D231" s="116"/>
      <c r="E231" s="115"/>
      <c r="F231" s="115"/>
      <c r="G231" s="116"/>
      <c r="H231" s="116"/>
      <c r="I231" s="116"/>
      <c r="J231" s="116"/>
      <c r="K231" s="116"/>
      <c r="L231" s="116"/>
      <c r="M231" s="116"/>
      <c r="N231" s="116"/>
    </row>
    <row r="232" spans="1:14" customFormat="1">
      <c r="A232" s="115"/>
      <c r="B232" s="116"/>
      <c r="C232" s="116"/>
      <c r="D232" s="116"/>
      <c r="E232" s="115"/>
      <c r="F232" s="115"/>
      <c r="G232" s="116"/>
      <c r="H232" s="116"/>
      <c r="I232" s="116"/>
      <c r="J232" s="116"/>
      <c r="K232" s="116"/>
      <c r="L232" s="116"/>
      <c r="M232" s="116"/>
      <c r="N232" s="116"/>
    </row>
    <row r="233" spans="1:14" customFormat="1">
      <c r="A233" s="115"/>
      <c r="B233" s="116"/>
      <c r="C233" s="116"/>
      <c r="D233" s="116"/>
      <c r="E233" s="115"/>
      <c r="F233" s="115"/>
      <c r="G233" s="116"/>
      <c r="H233" s="116"/>
      <c r="I233" s="116"/>
      <c r="J233" s="116"/>
      <c r="K233" s="116"/>
      <c r="L233" s="116"/>
      <c r="M233" s="116"/>
      <c r="N233" s="116"/>
    </row>
    <row r="234" spans="1:14" customFormat="1">
      <c r="A234" s="115"/>
      <c r="B234" s="116"/>
      <c r="C234" s="116"/>
      <c r="D234" s="116"/>
      <c r="E234" s="115"/>
      <c r="F234" s="115"/>
      <c r="G234" s="116"/>
      <c r="H234" s="116"/>
      <c r="I234" s="116"/>
      <c r="J234" s="116"/>
      <c r="K234" s="116"/>
      <c r="L234" s="116"/>
      <c r="M234" s="116"/>
      <c r="N234" s="116"/>
    </row>
    <row r="235" spans="1:14" customFormat="1">
      <c r="A235" s="115"/>
      <c r="B235" s="116"/>
      <c r="C235" s="116"/>
      <c r="D235" s="116"/>
      <c r="E235" s="115"/>
      <c r="F235" s="115"/>
      <c r="G235" s="116"/>
      <c r="H235" s="116"/>
      <c r="I235" s="116"/>
      <c r="J235" s="116"/>
      <c r="K235" s="116"/>
      <c r="L235" s="116"/>
      <c r="M235" s="116"/>
      <c r="N235" s="116"/>
    </row>
    <row r="236" spans="1:14" customFormat="1">
      <c r="A236" s="115"/>
      <c r="B236" s="116"/>
      <c r="C236" s="116"/>
      <c r="D236" s="116"/>
      <c r="E236" s="115"/>
      <c r="F236" s="115"/>
      <c r="G236" s="116"/>
      <c r="H236" s="116"/>
      <c r="I236" s="116"/>
      <c r="J236" s="116"/>
      <c r="K236" s="116"/>
      <c r="L236" s="116"/>
      <c r="M236" s="116"/>
      <c r="N236" s="116"/>
    </row>
    <row r="237" spans="1:14" customFormat="1">
      <c r="A237" s="115"/>
      <c r="B237" s="116"/>
      <c r="C237" s="116"/>
      <c r="D237" s="116"/>
      <c r="E237" s="115"/>
      <c r="F237" s="115"/>
      <c r="G237" s="116"/>
      <c r="H237" s="116"/>
      <c r="I237" s="116"/>
      <c r="J237" s="116"/>
      <c r="K237" s="116"/>
      <c r="L237" s="116"/>
      <c r="M237" s="116"/>
      <c r="N237" s="116"/>
    </row>
    <row r="238" spans="1:14" customFormat="1">
      <c r="A238" s="115"/>
      <c r="B238" s="116"/>
      <c r="C238" s="116"/>
      <c r="D238" s="116"/>
      <c r="E238" s="115"/>
      <c r="F238" s="115"/>
      <c r="G238" s="116"/>
      <c r="H238" s="116"/>
      <c r="I238" s="116"/>
      <c r="J238" s="116"/>
      <c r="K238" s="116"/>
      <c r="L238" s="116"/>
      <c r="M238" s="116"/>
      <c r="N238" s="116"/>
    </row>
    <row r="239" spans="1:14" customFormat="1">
      <c r="A239" s="115"/>
      <c r="B239" s="116"/>
      <c r="C239" s="116"/>
      <c r="D239" s="116"/>
      <c r="E239" s="115"/>
      <c r="F239" s="115"/>
      <c r="G239" s="116"/>
      <c r="H239" s="116"/>
      <c r="I239" s="116"/>
      <c r="J239" s="116"/>
      <c r="K239" s="116"/>
      <c r="L239" s="116"/>
      <c r="M239" s="116"/>
      <c r="N239" s="116"/>
    </row>
    <row r="240" spans="1:14" customFormat="1">
      <c r="A240" s="115"/>
      <c r="B240" s="116"/>
      <c r="C240" s="116"/>
      <c r="D240" s="116"/>
      <c r="E240" s="115"/>
      <c r="F240" s="115"/>
      <c r="G240" s="116"/>
      <c r="H240" s="116"/>
      <c r="I240" s="116"/>
      <c r="J240" s="116"/>
      <c r="K240" s="116"/>
      <c r="L240" s="116"/>
      <c r="M240" s="116"/>
      <c r="N240" s="116"/>
    </row>
    <row r="241" spans="1:14" customFormat="1">
      <c r="A241" s="115"/>
      <c r="B241" s="116"/>
      <c r="C241" s="116"/>
      <c r="D241" s="116"/>
      <c r="E241" s="115"/>
      <c r="F241" s="115"/>
      <c r="G241" s="116"/>
      <c r="H241" s="116"/>
      <c r="I241" s="116"/>
      <c r="J241" s="116"/>
      <c r="K241" s="116"/>
      <c r="L241" s="116"/>
      <c r="M241" s="116"/>
      <c r="N241" s="116"/>
    </row>
    <row r="242" spans="1:14" customFormat="1">
      <c r="A242" s="115"/>
      <c r="B242" s="116"/>
      <c r="C242" s="116"/>
      <c r="D242" s="116"/>
      <c r="E242" s="115"/>
      <c r="F242" s="115"/>
      <c r="G242" s="116"/>
      <c r="H242" s="116"/>
      <c r="I242" s="116"/>
      <c r="J242" s="116"/>
      <c r="K242" s="116"/>
      <c r="L242" s="116"/>
      <c r="M242" s="116"/>
      <c r="N242" s="116"/>
    </row>
    <row r="243" spans="1:14" customFormat="1">
      <c r="A243" s="115"/>
      <c r="B243" s="116"/>
      <c r="C243" s="116"/>
      <c r="D243" s="116"/>
      <c r="E243" s="115"/>
      <c r="F243" s="115"/>
      <c r="G243" s="116"/>
      <c r="H243" s="116"/>
      <c r="I243" s="116"/>
      <c r="J243" s="116"/>
      <c r="K243" s="116"/>
      <c r="L243" s="116"/>
      <c r="M243" s="116"/>
      <c r="N243" s="116"/>
    </row>
    <row r="244" spans="1:14" customFormat="1">
      <c r="A244" s="115"/>
      <c r="B244" s="116"/>
      <c r="C244" s="116"/>
      <c r="D244" s="116"/>
      <c r="E244" s="115"/>
      <c r="F244" s="115"/>
      <c r="G244" s="116"/>
      <c r="H244" s="116"/>
      <c r="I244" s="116"/>
      <c r="J244" s="116"/>
      <c r="K244" s="116"/>
      <c r="L244" s="116"/>
      <c r="M244" s="116"/>
      <c r="N244" s="116"/>
    </row>
    <row r="245" spans="1:14" customFormat="1">
      <c r="A245" s="115"/>
      <c r="B245" s="116"/>
      <c r="C245" s="116"/>
      <c r="D245" s="116"/>
      <c r="E245" s="115"/>
      <c r="F245" s="115"/>
      <c r="G245" s="116"/>
      <c r="H245" s="116"/>
      <c r="I245" s="116"/>
      <c r="J245" s="116"/>
      <c r="K245" s="116"/>
      <c r="L245" s="116"/>
      <c r="M245" s="116"/>
      <c r="N245" s="116"/>
    </row>
    <row r="246" spans="1:14" customFormat="1">
      <c r="A246" s="115"/>
      <c r="B246" s="116"/>
      <c r="C246" s="116"/>
      <c r="D246" s="116"/>
      <c r="E246" s="115"/>
      <c r="F246" s="115"/>
      <c r="G246" s="116"/>
      <c r="H246" s="116"/>
      <c r="I246" s="116"/>
      <c r="J246" s="116"/>
      <c r="K246" s="116"/>
      <c r="L246" s="116"/>
      <c r="M246" s="116"/>
      <c r="N246" s="116"/>
    </row>
    <row r="247" spans="1:14" customFormat="1">
      <c r="A247" s="115"/>
      <c r="B247" s="116"/>
      <c r="C247" s="116"/>
      <c r="D247" s="116"/>
      <c r="E247" s="115"/>
      <c r="F247" s="115"/>
      <c r="G247" s="116"/>
      <c r="H247" s="116"/>
      <c r="I247" s="116"/>
      <c r="J247" s="116"/>
      <c r="K247" s="116"/>
      <c r="L247" s="116"/>
      <c r="M247" s="116"/>
      <c r="N247" s="116"/>
    </row>
    <row r="248" spans="1:14" customFormat="1">
      <c r="A248" s="115"/>
      <c r="B248" s="116"/>
      <c r="C248" s="116"/>
      <c r="D248" s="116"/>
      <c r="E248" s="115"/>
      <c r="F248" s="115"/>
      <c r="G248" s="116"/>
      <c r="H248" s="116"/>
      <c r="I248" s="116"/>
      <c r="J248" s="116"/>
      <c r="K248" s="116"/>
      <c r="L248" s="116"/>
      <c r="M248" s="116"/>
      <c r="N248" s="116"/>
    </row>
    <row r="249" spans="1:14" customFormat="1">
      <c r="A249" s="115"/>
      <c r="B249" s="116"/>
      <c r="C249" s="116"/>
      <c r="D249" s="116"/>
      <c r="E249" s="115"/>
      <c r="F249" s="115"/>
      <c r="G249" s="116"/>
      <c r="H249" s="116"/>
      <c r="I249" s="116"/>
      <c r="J249" s="116"/>
      <c r="K249" s="116"/>
      <c r="L249" s="116"/>
      <c r="M249" s="116"/>
      <c r="N249" s="116"/>
    </row>
    <row r="250" spans="1:14" customFormat="1">
      <c r="A250" s="115"/>
      <c r="B250" s="116"/>
      <c r="C250" s="116"/>
      <c r="D250" s="116"/>
      <c r="E250" s="115"/>
      <c r="F250" s="115"/>
      <c r="G250" s="116"/>
      <c r="H250" s="116"/>
      <c r="I250" s="116"/>
      <c r="J250" s="116"/>
      <c r="K250" s="116"/>
      <c r="L250" s="116"/>
      <c r="M250" s="116"/>
      <c r="N250" s="116"/>
    </row>
    <row r="251" spans="1:14" customFormat="1">
      <c r="A251" s="115"/>
      <c r="B251" s="116"/>
      <c r="C251" s="116"/>
      <c r="D251" s="116"/>
      <c r="E251" s="115"/>
      <c r="F251" s="115"/>
      <c r="G251" s="116"/>
      <c r="H251" s="116"/>
      <c r="I251" s="116"/>
      <c r="J251" s="116"/>
      <c r="K251" s="116"/>
      <c r="L251" s="116"/>
      <c r="M251" s="116"/>
      <c r="N251" s="116"/>
    </row>
    <row r="252" spans="1:14" customFormat="1">
      <c r="A252" s="115"/>
      <c r="B252" s="116"/>
      <c r="C252" s="116"/>
      <c r="D252" s="116"/>
      <c r="E252" s="115"/>
      <c r="F252" s="115"/>
      <c r="G252" s="116"/>
      <c r="H252" s="116"/>
      <c r="I252" s="116"/>
      <c r="J252" s="116"/>
      <c r="K252" s="116"/>
      <c r="L252" s="116"/>
      <c r="M252" s="116"/>
      <c r="N252" s="116"/>
    </row>
    <row r="253" spans="1:14" customFormat="1">
      <c r="A253" s="115"/>
      <c r="B253" s="116"/>
      <c r="C253" s="116"/>
      <c r="D253" s="116"/>
      <c r="E253" s="115"/>
      <c r="F253" s="115"/>
      <c r="G253" s="116"/>
      <c r="H253" s="116"/>
      <c r="I253" s="116"/>
      <c r="J253" s="116"/>
      <c r="K253" s="116"/>
      <c r="L253" s="116"/>
      <c r="M253" s="116"/>
      <c r="N253" s="116"/>
    </row>
    <row r="254" spans="1:14" customFormat="1">
      <c r="A254" s="115"/>
      <c r="B254" s="116"/>
      <c r="C254" s="116"/>
      <c r="D254" s="116"/>
      <c r="E254" s="115"/>
      <c r="F254" s="115"/>
      <c r="G254" s="116"/>
      <c r="H254" s="116"/>
      <c r="I254" s="116"/>
      <c r="J254" s="116"/>
      <c r="K254" s="116"/>
      <c r="L254" s="116"/>
      <c r="M254" s="116"/>
      <c r="N254" s="116"/>
    </row>
    <row r="255" spans="1:14" customFormat="1">
      <c r="A255" s="115"/>
      <c r="B255" s="116"/>
      <c r="C255" s="116"/>
      <c r="D255" s="116"/>
      <c r="E255" s="115"/>
      <c r="F255" s="115"/>
      <c r="G255" s="116"/>
      <c r="H255" s="116"/>
      <c r="I255" s="116"/>
      <c r="J255" s="116"/>
      <c r="K255" s="116"/>
      <c r="L255" s="116"/>
      <c r="M255" s="116"/>
      <c r="N255" s="116"/>
    </row>
    <row r="256" spans="1:14" customFormat="1">
      <c r="A256" s="115"/>
      <c r="B256" s="116"/>
      <c r="C256" s="116"/>
      <c r="D256" s="116"/>
      <c r="E256" s="115"/>
      <c r="F256" s="115"/>
      <c r="G256" s="116"/>
      <c r="H256" s="116"/>
      <c r="I256" s="116"/>
      <c r="J256" s="116"/>
      <c r="K256" s="116"/>
      <c r="L256" s="116"/>
      <c r="M256" s="116"/>
      <c r="N256" s="116"/>
    </row>
    <row r="257" spans="1:14" customFormat="1">
      <c r="A257" s="115"/>
      <c r="B257" s="116"/>
      <c r="C257" s="116"/>
      <c r="D257" s="116"/>
      <c r="E257" s="115"/>
      <c r="F257" s="115"/>
      <c r="G257" s="116"/>
      <c r="H257" s="116"/>
      <c r="I257" s="116"/>
      <c r="J257" s="116"/>
      <c r="K257" s="116"/>
      <c r="L257" s="116"/>
      <c r="M257" s="116"/>
      <c r="N257" s="116"/>
    </row>
    <row r="258" spans="1:14" customFormat="1">
      <c r="A258" s="115"/>
      <c r="B258" s="116"/>
      <c r="C258" s="116"/>
      <c r="D258" s="116"/>
      <c r="E258" s="115"/>
      <c r="F258" s="115"/>
      <c r="G258" s="116"/>
      <c r="H258" s="116"/>
      <c r="I258" s="116"/>
      <c r="J258" s="116"/>
      <c r="K258" s="116"/>
      <c r="L258" s="116"/>
      <c r="M258" s="116"/>
      <c r="N258" s="116"/>
    </row>
    <row r="259" spans="1:14" customFormat="1">
      <c r="A259" s="115"/>
      <c r="B259" s="116"/>
      <c r="C259" s="116"/>
      <c r="D259" s="116"/>
      <c r="E259" s="115"/>
      <c r="F259" s="115"/>
      <c r="G259" s="116"/>
      <c r="H259" s="116"/>
      <c r="I259" s="116"/>
      <c r="J259" s="116"/>
      <c r="K259" s="116"/>
      <c r="L259" s="116"/>
      <c r="M259" s="116"/>
      <c r="N259" s="116"/>
    </row>
    <row r="260" spans="1:14" customFormat="1">
      <c r="A260" s="115"/>
      <c r="B260" s="116"/>
      <c r="C260" s="116"/>
      <c r="D260" s="116"/>
      <c r="E260" s="115"/>
      <c r="F260" s="115"/>
      <c r="G260" s="116"/>
      <c r="H260" s="116"/>
      <c r="I260" s="116"/>
      <c r="J260" s="116"/>
      <c r="K260" s="116"/>
      <c r="L260" s="116"/>
      <c r="M260" s="116"/>
      <c r="N260" s="116"/>
    </row>
    <row r="261" spans="1:14" customFormat="1">
      <c r="A261" s="115"/>
      <c r="B261" s="116"/>
      <c r="C261" s="116"/>
      <c r="D261" s="116"/>
      <c r="E261" s="115"/>
      <c r="F261" s="115"/>
      <c r="G261" s="116"/>
      <c r="H261" s="116"/>
      <c r="I261" s="116"/>
      <c r="J261" s="116"/>
      <c r="K261" s="116"/>
      <c r="L261" s="116"/>
      <c r="M261" s="116"/>
      <c r="N261" s="116"/>
    </row>
    <row r="262" spans="1:14" customFormat="1">
      <c r="A262" s="115"/>
      <c r="B262" s="116"/>
      <c r="C262" s="116"/>
      <c r="D262" s="116"/>
      <c r="E262" s="115"/>
      <c r="F262" s="115"/>
      <c r="G262" s="116"/>
      <c r="H262" s="116"/>
      <c r="I262" s="116"/>
      <c r="J262" s="116"/>
      <c r="K262" s="116"/>
      <c r="L262" s="116"/>
      <c r="M262" s="116"/>
      <c r="N262" s="116"/>
    </row>
    <row r="263" spans="1:14" customFormat="1">
      <c r="A263" s="115"/>
      <c r="B263" s="116"/>
      <c r="C263" s="116"/>
      <c r="D263" s="116"/>
      <c r="E263" s="115"/>
      <c r="F263" s="115"/>
      <c r="G263" s="116"/>
      <c r="H263" s="116"/>
      <c r="I263" s="116"/>
      <c r="J263" s="116"/>
      <c r="K263" s="116"/>
      <c r="L263" s="116"/>
      <c r="M263" s="116"/>
      <c r="N263" s="116"/>
    </row>
    <row r="264" spans="1:14" customFormat="1">
      <c r="A264" s="115"/>
      <c r="B264" s="116"/>
      <c r="C264" s="116"/>
      <c r="D264" s="116"/>
      <c r="E264" s="115"/>
      <c r="F264" s="115"/>
      <c r="G264" s="116"/>
      <c r="H264" s="116"/>
      <c r="I264" s="116"/>
      <c r="J264" s="116"/>
      <c r="K264" s="116"/>
      <c r="L264" s="116"/>
      <c r="M264" s="116"/>
      <c r="N264" s="116"/>
    </row>
    <row r="265" spans="1:14" customFormat="1">
      <c r="A265" s="115"/>
      <c r="B265" s="116"/>
      <c r="C265" s="116"/>
      <c r="D265" s="116"/>
      <c r="E265" s="115"/>
      <c r="F265" s="115"/>
      <c r="G265" s="116"/>
      <c r="H265" s="116"/>
      <c r="I265" s="116"/>
      <c r="J265" s="116"/>
      <c r="K265" s="116"/>
      <c r="L265" s="116"/>
      <c r="M265" s="116"/>
      <c r="N265" s="116"/>
    </row>
    <row r="266" spans="1:14" customFormat="1">
      <c r="A266" s="115"/>
      <c r="B266" s="116"/>
      <c r="C266" s="116"/>
      <c r="D266" s="116"/>
      <c r="E266" s="115"/>
      <c r="F266" s="115"/>
      <c r="G266" s="116"/>
      <c r="H266" s="116"/>
      <c r="I266" s="116"/>
      <c r="J266" s="116"/>
      <c r="K266" s="116"/>
      <c r="L266" s="116"/>
      <c r="M266" s="116"/>
      <c r="N266" s="116"/>
    </row>
    <row r="267" spans="1:14" customFormat="1">
      <c r="A267" s="115"/>
      <c r="B267" s="116"/>
      <c r="C267" s="116"/>
      <c r="D267" s="116"/>
      <c r="E267" s="115"/>
      <c r="F267" s="115"/>
      <c r="G267" s="116"/>
      <c r="H267" s="116"/>
      <c r="I267" s="116"/>
      <c r="J267" s="116"/>
      <c r="K267" s="116"/>
      <c r="L267" s="116"/>
      <c r="M267" s="116"/>
      <c r="N267" s="116"/>
    </row>
    <row r="268" spans="1:14" customFormat="1">
      <c r="A268" s="115"/>
      <c r="B268" s="116"/>
      <c r="C268" s="116"/>
      <c r="D268" s="116"/>
      <c r="E268" s="115"/>
      <c r="F268" s="115"/>
      <c r="G268" s="116"/>
      <c r="H268" s="116"/>
      <c r="I268" s="116"/>
      <c r="J268" s="116"/>
      <c r="K268" s="116"/>
      <c r="L268" s="116"/>
      <c r="M268" s="116"/>
      <c r="N268" s="116"/>
    </row>
    <row r="269" spans="1:14" customFormat="1">
      <c r="A269" s="115"/>
      <c r="B269" s="116"/>
      <c r="C269" s="116"/>
      <c r="D269" s="116"/>
      <c r="E269" s="115"/>
      <c r="F269" s="115"/>
      <c r="G269" s="116"/>
      <c r="H269" s="116"/>
      <c r="I269" s="116"/>
      <c r="J269" s="116"/>
      <c r="K269" s="116"/>
      <c r="L269" s="116"/>
      <c r="M269" s="116"/>
      <c r="N269" s="116"/>
    </row>
    <row r="270" spans="1:14" customFormat="1">
      <c r="A270" s="115"/>
      <c r="B270" s="116"/>
      <c r="C270" s="116"/>
      <c r="D270" s="116"/>
      <c r="E270" s="115"/>
      <c r="F270" s="115"/>
      <c r="G270" s="116"/>
      <c r="H270" s="116"/>
      <c r="I270" s="116"/>
      <c r="J270" s="116"/>
      <c r="K270" s="116"/>
      <c r="L270" s="116"/>
      <c r="M270" s="116"/>
      <c r="N270" s="116"/>
    </row>
    <row r="271" spans="1:14" customFormat="1">
      <c r="A271" s="115"/>
      <c r="B271" s="116"/>
      <c r="C271" s="116"/>
      <c r="D271" s="116"/>
      <c r="E271" s="115"/>
      <c r="F271" s="115"/>
      <c r="G271" s="116"/>
      <c r="H271" s="116"/>
      <c r="I271" s="116"/>
      <c r="J271" s="116"/>
      <c r="K271" s="116"/>
      <c r="L271" s="116"/>
      <c r="M271" s="116"/>
      <c r="N271" s="116"/>
    </row>
    <row r="272" spans="1:14" customFormat="1">
      <c r="A272" s="115"/>
      <c r="B272" s="116"/>
      <c r="C272" s="116"/>
      <c r="D272" s="116"/>
      <c r="E272" s="115"/>
      <c r="F272" s="115"/>
      <c r="G272" s="116"/>
      <c r="H272" s="116"/>
      <c r="I272" s="116"/>
      <c r="J272" s="116"/>
      <c r="K272" s="116"/>
      <c r="L272" s="116"/>
      <c r="M272" s="116"/>
      <c r="N272" s="116"/>
    </row>
    <row r="273" spans="1:14" customFormat="1">
      <c r="A273" s="115"/>
      <c r="B273" s="116"/>
      <c r="C273" s="116"/>
      <c r="D273" s="116"/>
      <c r="E273" s="115"/>
      <c r="F273" s="115"/>
      <c r="G273" s="116"/>
      <c r="H273" s="116"/>
      <c r="I273" s="116"/>
      <c r="J273" s="116"/>
      <c r="K273" s="116"/>
      <c r="L273" s="116"/>
      <c r="M273" s="116"/>
      <c r="N273" s="116"/>
    </row>
    <row r="274" spans="1:14" customFormat="1">
      <c r="A274" s="115"/>
      <c r="B274" s="116"/>
      <c r="C274" s="116"/>
      <c r="D274" s="116"/>
      <c r="E274" s="115"/>
      <c r="F274" s="115"/>
      <c r="G274" s="116"/>
      <c r="H274" s="116"/>
      <c r="I274" s="116"/>
      <c r="J274" s="116"/>
      <c r="K274" s="116"/>
      <c r="L274" s="116"/>
      <c r="M274" s="116"/>
      <c r="N274" s="116"/>
    </row>
    <row r="275" spans="1:14" customFormat="1">
      <c r="A275" s="115"/>
      <c r="B275" s="116"/>
      <c r="C275" s="116"/>
      <c r="D275" s="116"/>
      <c r="E275" s="115"/>
      <c r="F275" s="115"/>
      <c r="G275" s="116"/>
      <c r="H275" s="116"/>
      <c r="I275" s="116"/>
      <c r="J275" s="116"/>
      <c r="K275" s="116"/>
      <c r="L275" s="116"/>
      <c r="M275" s="116"/>
      <c r="N275" s="116"/>
    </row>
    <row r="276" spans="1:14" customFormat="1">
      <c r="A276" s="115"/>
      <c r="B276" s="116"/>
      <c r="C276" s="116"/>
      <c r="D276" s="116"/>
      <c r="E276" s="115"/>
      <c r="F276" s="115"/>
      <c r="G276" s="116"/>
      <c r="H276" s="116"/>
      <c r="I276" s="116"/>
      <c r="J276" s="116"/>
      <c r="K276" s="116"/>
      <c r="L276" s="116"/>
      <c r="M276" s="116"/>
      <c r="N276" s="116"/>
    </row>
    <row r="277" spans="1:14" customFormat="1">
      <c r="A277" s="115"/>
      <c r="B277" s="116"/>
      <c r="C277" s="116"/>
      <c r="D277" s="116"/>
      <c r="E277" s="115"/>
      <c r="F277" s="115"/>
      <c r="G277" s="116"/>
      <c r="H277" s="116"/>
      <c r="I277" s="116"/>
      <c r="J277" s="116"/>
      <c r="K277" s="116"/>
      <c r="L277" s="116"/>
      <c r="M277" s="116"/>
      <c r="N277" s="116"/>
    </row>
    <row r="278" spans="1:14" customFormat="1">
      <c r="A278" s="115"/>
      <c r="B278" s="116"/>
      <c r="C278" s="116"/>
      <c r="D278" s="116"/>
      <c r="E278" s="115"/>
      <c r="F278" s="115"/>
      <c r="G278" s="116"/>
      <c r="H278" s="116"/>
      <c r="I278" s="116"/>
      <c r="J278" s="116"/>
      <c r="K278" s="116"/>
      <c r="L278" s="116"/>
      <c r="M278" s="116"/>
      <c r="N278" s="116"/>
    </row>
    <row r="279" spans="1:14" customFormat="1">
      <c r="A279" s="115"/>
      <c r="B279" s="116"/>
      <c r="C279" s="116"/>
      <c r="D279" s="116"/>
      <c r="E279" s="115"/>
      <c r="F279" s="115"/>
      <c r="G279" s="116"/>
      <c r="H279" s="116"/>
      <c r="I279" s="116"/>
      <c r="J279" s="116"/>
      <c r="K279" s="116"/>
      <c r="L279" s="116"/>
      <c r="M279" s="116"/>
      <c r="N279" s="116"/>
    </row>
    <row r="280" spans="1:14" customFormat="1">
      <c r="A280" s="115"/>
      <c r="B280" s="116"/>
      <c r="C280" s="116"/>
      <c r="D280" s="116"/>
      <c r="E280" s="115"/>
      <c r="F280" s="115"/>
      <c r="G280" s="116"/>
      <c r="H280" s="116"/>
      <c r="I280" s="116"/>
      <c r="J280" s="116"/>
      <c r="K280" s="116"/>
      <c r="L280" s="116"/>
      <c r="M280" s="116"/>
      <c r="N280" s="116"/>
    </row>
    <row r="281" spans="1:14" customFormat="1">
      <c r="A281" s="115"/>
      <c r="B281" s="116"/>
      <c r="C281" s="116"/>
      <c r="D281" s="116"/>
      <c r="E281" s="115"/>
      <c r="F281" s="115"/>
      <c r="G281" s="116"/>
      <c r="H281" s="116"/>
      <c r="I281" s="116"/>
      <c r="J281" s="116"/>
      <c r="K281" s="116"/>
      <c r="L281" s="116"/>
      <c r="M281" s="116"/>
      <c r="N281" s="116"/>
    </row>
    <row r="282" spans="1:14" customFormat="1">
      <c r="A282" s="115"/>
      <c r="B282" s="116"/>
      <c r="C282" s="116"/>
      <c r="D282" s="116"/>
      <c r="E282" s="115"/>
      <c r="F282" s="115"/>
      <c r="G282" s="116"/>
      <c r="H282" s="116"/>
      <c r="I282" s="116"/>
      <c r="J282" s="116"/>
      <c r="K282" s="116"/>
      <c r="L282" s="116"/>
      <c r="M282" s="116"/>
      <c r="N282" s="116"/>
    </row>
    <row r="283" spans="1:14" customFormat="1">
      <c r="A283" s="115"/>
      <c r="B283" s="116"/>
      <c r="C283" s="116"/>
      <c r="D283" s="116"/>
      <c r="E283" s="115"/>
      <c r="F283" s="115"/>
      <c r="G283" s="116"/>
      <c r="H283" s="116"/>
      <c r="I283" s="116"/>
      <c r="J283" s="116"/>
      <c r="K283" s="116"/>
      <c r="L283" s="116"/>
      <c r="M283" s="116"/>
      <c r="N283" s="116"/>
    </row>
    <row r="284" spans="1:14" customFormat="1">
      <c r="A284" s="115"/>
      <c r="B284" s="116"/>
      <c r="C284" s="116"/>
      <c r="D284" s="116"/>
      <c r="E284" s="115"/>
      <c r="F284" s="115"/>
      <c r="G284" s="116"/>
      <c r="H284" s="116"/>
      <c r="I284" s="116"/>
      <c r="J284" s="116"/>
      <c r="K284" s="116"/>
      <c r="L284" s="116"/>
      <c r="M284" s="116"/>
      <c r="N284" s="116"/>
    </row>
    <row r="285" spans="1:14" customFormat="1">
      <c r="A285" s="115"/>
      <c r="B285" s="116"/>
      <c r="C285" s="116"/>
      <c r="D285" s="116"/>
      <c r="E285" s="115"/>
      <c r="F285" s="115"/>
      <c r="G285" s="116"/>
      <c r="H285" s="116"/>
      <c r="I285" s="116"/>
      <c r="J285" s="116"/>
      <c r="K285" s="116"/>
      <c r="L285" s="116"/>
      <c r="M285" s="116"/>
      <c r="N285" s="116"/>
    </row>
    <row r="286" spans="1:14" customFormat="1">
      <c r="A286" s="115"/>
      <c r="B286" s="116"/>
      <c r="C286" s="116"/>
      <c r="D286" s="116"/>
      <c r="E286" s="115"/>
      <c r="F286" s="115"/>
      <c r="G286" s="116"/>
      <c r="H286" s="116"/>
      <c r="I286" s="116"/>
      <c r="J286" s="116"/>
      <c r="K286" s="116"/>
      <c r="L286" s="116"/>
      <c r="M286" s="116"/>
      <c r="N286" s="116"/>
    </row>
    <row r="287" spans="1:14" customFormat="1">
      <c r="A287" s="115"/>
      <c r="B287" s="116"/>
      <c r="C287" s="116"/>
      <c r="D287" s="116"/>
      <c r="E287" s="115"/>
      <c r="F287" s="115"/>
      <c r="G287" s="116"/>
      <c r="H287" s="116"/>
      <c r="I287" s="116"/>
      <c r="J287" s="116"/>
      <c r="K287" s="116"/>
      <c r="L287" s="116"/>
      <c r="M287" s="116"/>
      <c r="N287" s="116"/>
    </row>
    <row r="288" spans="1:14" customFormat="1">
      <c r="A288" s="115"/>
      <c r="B288" s="116"/>
      <c r="C288" s="116"/>
      <c r="D288" s="116"/>
      <c r="E288" s="115"/>
      <c r="F288" s="115"/>
      <c r="G288" s="116"/>
      <c r="H288" s="116"/>
      <c r="I288" s="116"/>
      <c r="J288" s="116"/>
      <c r="K288" s="116"/>
      <c r="L288" s="116"/>
      <c r="M288" s="116"/>
      <c r="N288" s="116"/>
    </row>
    <row r="289" spans="1:14" customFormat="1">
      <c r="A289" s="115"/>
      <c r="B289" s="116"/>
      <c r="C289" s="116"/>
      <c r="D289" s="116"/>
      <c r="E289" s="115"/>
      <c r="F289" s="115"/>
      <c r="G289" s="116"/>
      <c r="H289" s="116"/>
      <c r="I289" s="116"/>
      <c r="J289" s="116"/>
      <c r="K289" s="116"/>
      <c r="L289" s="116"/>
      <c r="M289" s="116"/>
      <c r="N289" s="116"/>
    </row>
    <row r="290" spans="1:14" customFormat="1">
      <c r="A290" s="115"/>
      <c r="B290" s="116"/>
      <c r="C290" s="116"/>
      <c r="D290" s="116"/>
      <c r="E290" s="115"/>
      <c r="F290" s="115"/>
      <c r="G290" s="116"/>
      <c r="H290" s="116"/>
      <c r="I290" s="116"/>
      <c r="J290" s="116"/>
      <c r="K290" s="116"/>
      <c r="L290" s="116"/>
      <c r="M290" s="116"/>
      <c r="N290" s="116"/>
    </row>
    <row r="291" spans="1:14" customFormat="1">
      <c r="A291" s="115"/>
      <c r="B291" s="116"/>
      <c r="C291" s="116"/>
      <c r="D291" s="116"/>
      <c r="E291" s="115"/>
      <c r="F291" s="115"/>
      <c r="G291" s="116"/>
      <c r="H291" s="116"/>
      <c r="I291" s="116"/>
      <c r="J291" s="116"/>
      <c r="K291" s="116"/>
      <c r="L291" s="116"/>
      <c r="M291" s="116"/>
      <c r="N291" s="116"/>
    </row>
    <row r="292" spans="1:14" customFormat="1">
      <c r="A292" s="115"/>
      <c r="B292" s="116"/>
      <c r="C292" s="116"/>
      <c r="D292" s="116"/>
      <c r="E292" s="115"/>
      <c r="F292" s="115"/>
      <c r="G292" s="116"/>
      <c r="H292" s="116"/>
      <c r="I292" s="116"/>
      <c r="J292" s="116"/>
      <c r="K292" s="116"/>
      <c r="L292" s="116"/>
      <c r="M292" s="116"/>
      <c r="N292" s="116"/>
    </row>
    <row r="293" spans="1:14" customFormat="1">
      <c r="A293" s="115"/>
      <c r="B293" s="116"/>
      <c r="C293" s="116"/>
      <c r="D293" s="116"/>
      <c r="E293" s="115"/>
      <c r="F293" s="115"/>
      <c r="G293" s="116"/>
      <c r="H293" s="116"/>
      <c r="I293" s="116"/>
      <c r="J293" s="116"/>
      <c r="K293" s="116"/>
      <c r="L293" s="116"/>
      <c r="M293" s="116"/>
      <c r="N293" s="116"/>
    </row>
    <row r="294" spans="1:14" customFormat="1">
      <c r="A294" s="115"/>
      <c r="B294" s="116"/>
      <c r="C294" s="116"/>
      <c r="D294" s="116"/>
      <c r="E294" s="115"/>
      <c r="F294" s="115"/>
      <c r="G294" s="116"/>
      <c r="H294" s="116"/>
      <c r="I294" s="116"/>
      <c r="J294" s="116"/>
      <c r="K294" s="116"/>
      <c r="L294" s="116"/>
      <c r="M294" s="116"/>
      <c r="N294" s="116"/>
    </row>
    <row r="295" spans="1:14" customFormat="1">
      <c r="A295" s="115"/>
      <c r="B295" s="116"/>
      <c r="C295" s="116"/>
      <c r="D295" s="116"/>
      <c r="E295" s="115"/>
      <c r="F295" s="115"/>
      <c r="G295" s="116"/>
      <c r="H295" s="116"/>
      <c r="I295" s="116"/>
      <c r="J295" s="116"/>
      <c r="K295" s="116"/>
      <c r="L295" s="116"/>
      <c r="M295" s="116"/>
      <c r="N295" s="116"/>
    </row>
    <row r="296" spans="1:14" customFormat="1">
      <c r="A296" s="115"/>
      <c r="B296" s="116"/>
      <c r="C296" s="116"/>
      <c r="D296" s="116"/>
      <c r="E296" s="115"/>
      <c r="F296" s="115"/>
      <c r="G296" s="116"/>
      <c r="H296" s="116"/>
      <c r="I296" s="116"/>
      <c r="J296" s="116"/>
      <c r="K296" s="116"/>
      <c r="L296" s="116"/>
      <c r="M296" s="116"/>
      <c r="N296" s="116"/>
    </row>
    <row r="297" spans="1:14" customFormat="1">
      <c r="A297" s="115"/>
      <c r="B297" s="116"/>
      <c r="C297" s="116"/>
      <c r="D297" s="116"/>
      <c r="E297" s="115"/>
      <c r="F297" s="115"/>
      <c r="G297" s="116"/>
      <c r="H297" s="116"/>
      <c r="I297" s="116"/>
      <c r="J297" s="116"/>
      <c r="K297" s="116"/>
      <c r="L297" s="116"/>
      <c r="M297" s="116"/>
      <c r="N297" s="116"/>
    </row>
    <row r="298" spans="1:14" customFormat="1">
      <c r="A298" s="115"/>
      <c r="B298" s="116"/>
      <c r="C298" s="116"/>
      <c r="D298" s="116"/>
      <c r="E298" s="115"/>
      <c r="F298" s="115"/>
      <c r="G298" s="116"/>
      <c r="H298" s="116"/>
      <c r="I298" s="116"/>
      <c r="J298" s="116"/>
      <c r="K298" s="116"/>
      <c r="L298" s="116"/>
      <c r="M298" s="116"/>
      <c r="N298" s="116"/>
    </row>
    <row r="299" spans="1:14" customFormat="1">
      <c r="A299" s="115"/>
      <c r="B299" s="116"/>
      <c r="C299" s="116"/>
      <c r="D299" s="116"/>
      <c r="E299" s="115"/>
      <c r="F299" s="115"/>
      <c r="G299" s="116"/>
      <c r="H299" s="116"/>
      <c r="I299" s="116"/>
      <c r="J299" s="116"/>
      <c r="K299" s="116"/>
      <c r="L299" s="116"/>
      <c r="M299" s="116"/>
      <c r="N299" s="116"/>
    </row>
    <row r="300" spans="1:14" customFormat="1">
      <c r="A300" s="115"/>
      <c r="B300" s="116"/>
      <c r="C300" s="116"/>
      <c r="D300" s="116"/>
      <c r="E300" s="115"/>
      <c r="F300" s="115"/>
      <c r="G300" s="116"/>
      <c r="H300" s="116"/>
      <c r="I300" s="116"/>
      <c r="J300" s="116"/>
      <c r="K300" s="116"/>
      <c r="L300" s="116"/>
      <c r="M300" s="116"/>
      <c r="N300" s="116"/>
    </row>
    <row r="301" spans="1:14" customFormat="1">
      <c r="A301" s="115"/>
      <c r="B301" s="116"/>
      <c r="C301" s="116"/>
      <c r="D301" s="116"/>
      <c r="E301" s="115"/>
      <c r="F301" s="115"/>
      <c r="G301" s="116"/>
      <c r="H301" s="116"/>
      <c r="I301" s="116"/>
      <c r="J301" s="116"/>
      <c r="K301" s="116"/>
      <c r="L301" s="116"/>
      <c r="M301" s="116"/>
      <c r="N301" s="116"/>
    </row>
    <row r="302" spans="1:14" customFormat="1">
      <c r="A302" s="115"/>
      <c r="B302" s="116"/>
      <c r="C302" s="116"/>
      <c r="D302" s="116"/>
      <c r="E302" s="115"/>
      <c r="F302" s="115"/>
      <c r="G302" s="116"/>
      <c r="H302" s="116"/>
      <c r="I302" s="116"/>
      <c r="J302" s="116"/>
      <c r="K302" s="116"/>
      <c r="L302" s="116"/>
      <c r="M302" s="116"/>
      <c r="N302" s="116"/>
    </row>
    <row r="303" spans="1:14" customFormat="1">
      <c r="A303" s="115"/>
      <c r="B303" s="116"/>
      <c r="C303" s="116"/>
      <c r="D303" s="116"/>
      <c r="E303" s="115"/>
      <c r="F303" s="115"/>
      <c r="G303" s="116"/>
      <c r="H303" s="116"/>
      <c r="I303" s="116"/>
      <c r="J303" s="116"/>
      <c r="K303" s="116"/>
      <c r="L303" s="116"/>
      <c r="M303" s="116"/>
      <c r="N303" s="116"/>
    </row>
    <row r="304" spans="1:14" customFormat="1">
      <c r="A304" s="115"/>
      <c r="B304" s="116"/>
      <c r="C304" s="116"/>
      <c r="D304" s="116"/>
      <c r="E304" s="115"/>
      <c r="F304" s="115"/>
      <c r="G304" s="116"/>
      <c r="H304" s="116"/>
      <c r="I304" s="116"/>
      <c r="J304" s="116"/>
      <c r="K304" s="116"/>
      <c r="L304" s="116"/>
      <c r="M304" s="116"/>
      <c r="N304" s="116"/>
    </row>
    <row r="305" spans="1:14" customFormat="1">
      <c r="A305" s="115"/>
      <c r="B305" s="116"/>
      <c r="C305" s="116"/>
      <c r="D305" s="116"/>
      <c r="E305" s="115"/>
      <c r="F305" s="115"/>
      <c r="G305" s="116"/>
      <c r="H305" s="116"/>
      <c r="I305" s="116"/>
      <c r="J305" s="116"/>
      <c r="K305" s="116"/>
      <c r="L305" s="116"/>
      <c r="M305" s="116"/>
      <c r="N305" s="116"/>
    </row>
    <row r="306" spans="1:14" customFormat="1">
      <c r="A306" s="115"/>
      <c r="B306" s="116"/>
      <c r="C306" s="116"/>
      <c r="D306" s="116"/>
      <c r="E306" s="115"/>
      <c r="F306" s="115"/>
      <c r="G306" s="116"/>
      <c r="H306" s="116"/>
      <c r="I306" s="116"/>
      <c r="J306" s="116"/>
      <c r="K306" s="116"/>
      <c r="L306" s="116"/>
      <c r="M306" s="116"/>
      <c r="N306" s="116"/>
    </row>
    <row r="307" spans="1:14" customFormat="1">
      <c r="A307" s="115"/>
      <c r="B307" s="116"/>
      <c r="C307" s="116"/>
      <c r="D307" s="116"/>
      <c r="E307" s="115"/>
      <c r="F307" s="115"/>
      <c r="G307" s="116"/>
      <c r="H307" s="116"/>
      <c r="I307" s="116"/>
      <c r="J307" s="116"/>
      <c r="K307" s="116"/>
      <c r="L307" s="116"/>
      <c r="M307" s="116"/>
      <c r="N307" s="116"/>
    </row>
    <row r="308" spans="1:14" customFormat="1">
      <c r="A308" s="115"/>
      <c r="B308" s="116"/>
      <c r="C308" s="116"/>
      <c r="D308" s="116"/>
      <c r="E308" s="115"/>
      <c r="F308" s="115"/>
      <c r="G308" s="116"/>
      <c r="H308" s="116"/>
      <c r="I308" s="116"/>
      <c r="J308" s="116"/>
      <c r="K308" s="116"/>
      <c r="L308" s="116"/>
      <c r="M308" s="116"/>
      <c r="N308" s="116"/>
    </row>
    <row r="309" spans="1:14" customFormat="1">
      <c r="A309" s="115"/>
      <c r="B309" s="116"/>
      <c r="C309" s="116"/>
      <c r="D309" s="116"/>
      <c r="E309" s="115"/>
      <c r="F309" s="115"/>
      <c r="G309" s="116"/>
      <c r="H309" s="116"/>
      <c r="I309" s="116"/>
      <c r="J309" s="116"/>
      <c r="K309" s="116"/>
      <c r="L309" s="116"/>
      <c r="M309" s="116"/>
      <c r="N309" s="116"/>
    </row>
    <row r="310" spans="1:14" customFormat="1">
      <c r="A310" s="115"/>
      <c r="B310" s="116"/>
      <c r="C310" s="116"/>
      <c r="D310" s="116"/>
      <c r="E310" s="115"/>
      <c r="F310" s="115"/>
      <c r="G310" s="116"/>
      <c r="H310" s="116"/>
      <c r="I310" s="116"/>
      <c r="J310" s="116"/>
      <c r="K310" s="116"/>
      <c r="L310" s="116"/>
      <c r="M310" s="116"/>
      <c r="N310" s="116"/>
    </row>
    <row r="311" spans="1:14" customFormat="1">
      <c r="A311" s="115"/>
      <c r="B311" s="116"/>
      <c r="C311" s="116"/>
      <c r="D311" s="116"/>
      <c r="E311" s="115"/>
      <c r="F311" s="115"/>
      <c r="G311" s="116"/>
      <c r="H311" s="116"/>
      <c r="I311" s="116"/>
      <c r="J311" s="116"/>
      <c r="K311" s="116"/>
      <c r="L311" s="116"/>
      <c r="M311" s="116"/>
      <c r="N311" s="116"/>
    </row>
    <row r="312" spans="1:14" customFormat="1">
      <c r="A312" s="115"/>
      <c r="B312" s="116"/>
      <c r="C312" s="116"/>
      <c r="D312" s="116"/>
      <c r="E312" s="115"/>
      <c r="F312" s="115"/>
      <c r="G312" s="116"/>
      <c r="H312" s="116"/>
      <c r="I312" s="116"/>
      <c r="J312" s="116"/>
      <c r="K312" s="116"/>
      <c r="L312" s="116"/>
      <c r="M312" s="116"/>
      <c r="N312" s="116"/>
    </row>
    <row r="313" spans="1:14" customFormat="1">
      <c r="A313" s="115"/>
      <c r="B313" s="116"/>
      <c r="C313" s="116"/>
      <c r="D313" s="116"/>
      <c r="E313" s="115"/>
      <c r="F313" s="115"/>
      <c r="G313" s="116"/>
      <c r="H313" s="116"/>
      <c r="I313" s="116"/>
      <c r="J313" s="116"/>
      <c r="K313" s="116"/>
      <c r="L313" s="116"/>
      <c r="M313" s="116"/>
      <c r="N313" s="116"/>
    </row>
    <row r="314" spans="1:14" customFormat="1">
      <c r="A314" s="115"/>
      <c r="B314" s="116"/>
      <c r="C314" s="116"/>
      <c r="D314" s="116"/>
      <c r="E314" s="115"/>
      <c r="F314" s="115"/>
      <c r="G314" s="116"/>
      <c r="H314" s="116"/>
      <c r="I314" s="116"/>
      <c r="J314" s="116"/>
      <c r="K314" s="116"/>
      <c r="L314" s="116"/>
      <c r="M314" s="116"/>
      <c r="N314" s="116"/>
    </row>
    <row r="315" spans="1:14" customFormat="1">
      <c r="A315" s="115"/>
      <c r="B315" s="116"/>
      <c r="C315" s="116"/>
      <c r="D315" s="116"/>
      <c r="E315" s="115"/>
      <c r="F315" s="115"/>
      <c r="G315" s="116"/>
      <c r="H315" s="116"/>
      <c r="I315" s="116"/>
      <c r="J315" s="116"/>
      <c r="K315" s="116"/>
      <c r="L315" s="116"/>
      <c r="M315" s="116"/>
      <c r="N315" s="116"/>
    </row>
    <row r="316" spans="1:14" customFormat="1">
      <c r="A316" s="115"/>
      <c r="B316" s="116"/>
      <c r="C316" s="116"/>
      <c r="D316" s="116"/>
      <c r="E316" s="115"/>
      <c r="F316" s="115"/>
      <c r="G316" s="116"/>
      <c r="H316" s="116"/>
      <c r="I316" s="116"/>
      <c r="J316" s="116"/>
      <c r="K316" s="116"/>
      <c r="L316" s="116"/>
      <c r="M316" s="116"/>
      <c r="N316" s="116"/>
    </row>
    <row r="317" spans="1:14" customFormat="1">
      <c r="A317" s="115"/>
      <c r="B317" s="116"/>
      <c r="C317" s="116"/>
      <c r="D317" s="116"/>
      <c r="E317" s="115"/>
      <c r="F317" s="115"/>
      <c r="G317" s="116"/>
      <c r="H317" s="116"/>
      <c r="I317" s="116"/>
      <c r="J317" s="116"/>
      <c r="K317" s="116"/>
      <c r="L317" s="116"/>
      <c r="M317" s="116"/>
      <c r="N317" s="116"/>
    </row>
    <row r="318" spans="1:14" customFormat="1">
      <c r="A318" s="115"/>
      <c r="B318" s="116"/>
      <c r="C318" s="116"/>
      <c r="D318" s="116"/>
      <c r="E318" s="115"/>
      <c r="F318" s="115"/>
      <c r="G318" s="116"/>
      <c r="H318" s="116"/>
      <c r="I318" s="116"/>
      <c r="J318" s="116"/>
      <c r="K318" s="116"/>
      <c r="L318" s="116"/>
      <c r="M318" s="116"/>
      <c r="N318" s="116"/>
    </row>
    <row r="319" spans="1:14" customFormat="1">
      <c r="A319" s="115"/>
      <c r="B319" s="116"/>
      <c r="C319" s="116"/>
      <c r="D319" s="116"/>
      <c r="E319" s="115"/>
      <c r="F319" s="115"/>
      <c r="G319" s="116"/>
      <c r="H319" s="116"/>
      <c r="I319" s="116"/>
      <c r="J319" s="116"/>
      <c r="K319" s="116"/>
      <c r="L319" s="116"/>
      <c r="M319" s="116"/>
      <c r="N319" s="116"/>
    </row>
    <row r="320" spans="1:14" customFormat="1">
      <c r="A320" s="115"/>
      <c r="B320" s="116"/>
      <c r="C320" s="116"/>
      <c r="D320" s="116"/>
      <c r="E320" s="115"/>
      <c r="F320" s="115"/>
      <c r="G320" s="116"/>
      <c r="H320" s="116"/>
      <c r="I320" s="116"/>
      <c r="J320" s="116"/>
      <c r="K320" s="116"/>
      <c r="L320" s="116"/>
      <c r="M320" s="116"/>
      <c r="N320" s="116"/>
    </row>
    <row r="321" spans="1:14" customFormat="1">
      <c r="A321" s="115"/>
      <c r="B321" s="116"/>
      <c r="C321" s="116"/>
      <c r="D321" s="116"/>
      <c r="E321" s="115"/>
      <c r="F321" s="115"/>
      <c r="G321" s="116"/>
      <c r="H321" s="116"/>
      <c r="I321" s="116"/>
      <c r="J321" s="116"/>
      <c r="K321" s="116"/>
      <c r="L321" s="116"/>
      <c r="M321" s="116"/>
      <c r="N321" s="116"/>
    </row>
    <row r="322" spans="1:14" customFormat="1">
      <c r="A322" s="115"/>
      <c r="B322" s="116"/>
      <c r="C322" s="116"/>
      <c r="D322" s="116"/>
      <c r="E322" s="115"/>
      <c r="F322" s="115"/>
      <c r="G322" s="116"/>
      <c r="H322" s="116"/>
      <c r="I322" s="116"/>
      <c r="J322" s="116"/>
      <c r="K322" s="116"/>
      <c r="L322" s="116"/>
      <c r="M322" s="116"/>
      <c r="N322" s="116"/>
    </row>
    <row r="323" spans="1:14" customFormat="1">
      <c r="A323" s="115"/>
      <c r="B323" s="116"/>
      <c r="C323" s="116"/>
      <c r="D323" s="116"/>
      <c r="E323" s="115"/>
      <c r="F323" s="115"/>
      <c r="G323" s="116"/>
      <c r="H323" s="116"/>
      <c r="I323" s="116"/>
      <c r="J323" s="116"/>
      <c r="K323" s="116"/>
      <c r="L323" s="116"/>
      <c r="M323" s="116"/>
      <c r="N323" s="116"/>
    </row>
    <row r="324" spans="1:14" customFormat="1">
      <c r="A324" s="115"/>
      <c r="B324" s="116"/>
      <c r="C324" s="116"/>
      <c r="D324" s="116"/>
      <c r="E324" s="115"/>
      <c r="F324" s="115"/>
      <c r="G324" s="116"/>
      <c r="H324" s="116"/>
      <c r="I324" s="116"/>
      <c r="J324" s="116"/>
      <c r="K324" s="116"/>
      <c r="L324" s="116"/>
      <c r="M324" s="116"/>
      <c r="N324" s="116"/>
    </row>
    <row r="325" spans="1:14" customFormat="1">
      <c r="A325" s="115"/>
      <c r="B325" s="116"/>
      <c r="C325" s="116"/>
      <c r="D325" s="116"/>
      <c r="E325" s="115"/>
      <c r="F325" s="115"/>
      <c r="G325" s="116"/>
      <c r="H325" s="116"/>
      <c r="I325" s="116"/>
      <c r="J325" s="116"/>
      <c r="K325" s="116"/>
      <c r="L325" s="116"/>
      <c r="M325" s="116"/>
      <c r="N325" s="116"/>
    </row>
    <row r="326" spans="1:14" customFormat="1">
      <c r="A326" s="115"/>
      <c r="B326" s="116"/>
      <c r="C326" s="116"/>
      <c r="D326" s="116"/>
      <c r="E326" s="115"/>
      <c r="F326" s="115"/>
      <c r="G326" s="116"/>
      <c r="H326" s="116"/>
      <c r="I326" s="116"/>
      <c r="J326" s="116"/>
      <c r="K326" s="116"/>
      <c r="L326" s="116"/>
      <c r="M326" s="116"/>
      <c r="N326" s="116"/>
    </row>
    <row r="327" spans="1:14" customFormat="1">
      <c r="A327" s="115"/>
      <c r="B327" s="116"/>
      <c r="C327" s="116"/>
      <c r="D327" s="116"/>
      <c r="E327" s="115"/>
      <c r="F327" s="115"/>
      <c r="G327" s="116"/>
      <c r="H327" s="116"/>
      <c r="I327" s="116"/>
      <c r="J327" s="116"/>
      <c r="K327" s="116"/>
      <c r="L327" s="116"/>
      <c r="M327" s="116"/>
      <c r="N327" s="116"/>
    </row>
    <row r="328" spans="1:14" customFormat="1">
      <c r="A328" s="115"/>
      <c r="B328" s="116"/>
      <c r="C328" s="116"/>
      <c r="D328" s="116"/>
      <c r="E328" s="115"/>
      <c r="F328" s="115"/>
      <c r="G328" s="116"/>
      <c r="H328" s="116"/>
      <c r="I328" s="116"/>
      <c r="J328" s="116"/>
      <c r="K328" s="116"/>
      <c r="L328" s="116"/>
      <c r="M328" s="116"/>
      <c r="N328" s="116"/>
    </row>
    <row r="329" spans="1:14" customFormat="1">
      <c r="A329" s="115"/>
      <c r="B329" s="116"/>
      <c r="C329" s="116"/>
      <c r="D329" s="116"/>
      <c r="E329" s="115"/>
      <c r="F329" s="115"/>
      <c r="G329" s="116"/>
      <c r="H329" s="116"/>
      <c r="I329" s="116"/>
      <c r="J329" s="116"/>
      <c r="K329" s="116"/>
      <c r="L329" s="116"/>
      <c r="M329" s="116"/>
      <c r="N329" s="116"/>
    </row>
    <row r="330" spans="1:14" customFormat="1">
      <c r="A330" s="115"/>
      <c r="B330" s="116"/>
      <c r="C330" s="116"/>
      <c r="D330" s="116"/>
      <c r="E330" s="115"/>
      <c r="F330" s="115"/>
      <c r="G330" s="116"/>
      <c r="H330" s="116"/>
      <c r="I330" s="116"/>
      <c r="J330" s="116"/>
      <c r="K330" s="116"/>
      <c r="L330" s="116"/>
      <c r="M330" s="116"/>
      <c r="N330" s="116"/>
    </row>
    <row r="331" spans="1:14" customFormat="1">
      <c r="A331" s="115"/>
      <c r="B331" s="116"/>
      <c r="C331" s="116"/>
      <c r="D331" s="116"/>
      <c r="E331" s="115"/>
      <c r="F331" s="115"/>
      <c r="G331" s="116"/>
      <c r="H331" s="116"/>
      <c r="I331" s="116"/>
      <c r="J331" s="116"/>
      <c r="K331" s="116"/>
      <c r="L331" s="116"/>
      <c r="M331" s="116"/>
      <c r="N331" s="116"/>
    </row>
    <row r="332" spans="1:14" customFormat="1">
      <c r="A332" s="115"/>
      <c r="B332" s="116"/>
      <c r="C332" s="116"/>
      <c r="D332" s="116"/>
      <c r="E332" s="115"/>
      <c r="F332" s="115"/>
      <c r="G332" s="116"/>
      <c r="H332" s="116"/>
      <c r="I332" s="116"/>
      <c r="J332" s="116"/>
      <c r="K332" s="116"/>
      <c r="L332" s="116"/>
      <c r="M332" s="116"/>
      <c r="N332" s="116"/>
    </row>
    <row r="333" spans="1:14" customFormat="1">
      <c r="A333" s="115"/>
      <c r="B333" s="116"/>
      <c r="C333" s="116"/>
      <c r="D333" s="116"/>
      <c r="E333" s="115"/>
      <c r="F333" s="115"/>
      <c r="G333" s="116"/>
      <c r="H333" s="116"/>
      <c r="I333" s="116"/>
      <c r="J333" s="116"/>
      <c r="K333" s="116"/>
      <c r="L333" s="116"/>
      <c r="M333" s="116"/>
      <c r="N333" s="116"/>
    </row>
    <row r="334" spans="1:14" customFormat="1">
      <c r="A334" s="115"/>
      <c r="B334" s="116"/>
      <c r="C334" s="116"/>
      <c r="D334" s="116"/>
      <c r="E334" s="115"/>
      <c r="F334" s="115"/>
      <c r="G334" s="116"/>
      <c r="H334" s="116"/>
      <c r="I334" s="116"/>
      <c r="J334" s="116"/>
      <c r="K334" s="116"/>
      <c r="L334" s="116"/>
      <c r="M334" s="116"/>
      <c r="N334" s="116"/>
    </row>
    <row r="335" spans="1:14" customFormat="1">
      <c r="A335" s="115"/>
      <c r="B335" s="116"/>
      <c r="C335" s="116"/>
      <c r="D335" s="116"/>
      <c r="E335" s="115"/>
      <c r="F335" s="115"/>
      <c r="G335" s="116"/>
      <c r="H335" s="116"/>
      <c r="I335" s="116"/>
      <c r="J335" s="116"/>
      <c r="K335" s="116"/>
      <c r="L335" s="116"/>
      <c r="M335" s="116"/>
      <c r="N335" s="116"/>
    </row>
    <row r="336" spans="1:14" customFormat="1">
      <c r="A336" s="115"/>
      <c r="B336" s="116"/>
      <c r="C336" s="116"/>
      <c r="D336" s="116"/>
      <c r="E336" s="115"/>
      <c r="F336" s="115"/>
      <c r="G336" s="116"/>
      <c r="H336" s="116"/>
      <c r="I336" s="116"/>
      <c r="J336" s="116"/>
      <c r="K336" s="116"/>
      <c r="L336" s="116"/>
      <c r="M336" s="116"/>
      <c r="N336" s="116"/>
    </row>
    <row r="337" spans="1:14" customFormat="1">
      <c r="A337" s="115"/>
      <c r="B337" s="116"/>
      <c r="C337" s="116"/>
      <c r="D337" s="116"/>
      <c r="E337" s="115"/>
      <c r="F337" s="115"/>
      <c r="G337" s="116"/>
      <c r="H337" s="116"/>
      <c r="I337" s="116"/>
      <c r="J337" s="116"/>
      <c r="K337" s="116"/>
      <c r="L337" s="116"/>
      <c r="M337" s="116"/>
      <c r="N337" s="116"/>
    </row>
    <row r="338" spans="1:14" customFormat="1">
      <c r="A338" s="115"/>
      <c r="B338" s="116"/>
      <c r="C338" s="116"/>
      <c r="D338" s="116"/>
      <c r="E338" s="115"/>
      <c r="F338" s="115"/>
      <c r="G338" s="116"/>
      <c r="H338" s="116"/>
      <c r="I338" s="116"/>
      <c r="J338" s="116"/>
      <c r="K338" s="116"/>
      <c r="L338" s="116"/>
      <c r="M338" s="116"/>
      <c r="N338" s="116"/>
    </row>
    <row r="339" spans="1:14" customFormat="1">
      <c r="A339" s="115"/>
      <c r="B339" s="116"/>
      <c r="C339" s="116"/>
      <c r="D339" s="116"/>
      <c r="E339" s="115"/>
      <c r="F339" s="115"/>
      <c r="G339" s="116"/>
      <c r="H339" s="116"/>
      <c r="I339" s="116"/>
      <c r="J339" s="116"/>
      <c r="K339" s="116"/>
      <c r="L339" s="116"/>
      <c r="M339" s="116"/>
      <c r="N339" s="116"/>
    </row>
    <row r="340" spans="1:14" customFormat="1">
      <c r="A340" s="115"/>
      <c r="B340" s="116"/>
      <c r="C340" s="116"/>
      <c r="D340" s="116"/>
      <c r="E340" s="115"/>
      <c r="F340" s="115"/>
      <c r="G340" s="116"/>
      <c r="H340" s="116"/>
      <c r="I340" s="116"/>
      <c r="J340" s="116"/>
      <c r="K340" s="116"/>
      <c r="L340" s="116"/>
      <c r="M340" s="116"/>
      <c r="N340" s="116"/>
    </row>
    <row r="341" spans="1:14" customFormat="1">
      <c r="A341" s="115"/>
      <c r="B341" s="116"/>
      <c r="C341" s="116"/>
      <c r="D341" s="116"/>
      <c r="E341" s="115"/>
      <c r="F341" s="115"/>
      <c r="G341" s="116"/>
      <c r="H341" s="116"/>
      <c r="I341" s="116"/>
      <c r="J341" s="116"/>
      <c r="K341" s="116"/>
      <c r="L341" s="116"/>
      <c r="M341" s="116"/>
      <c r="N341" s="116"/>
    </row>
    <row r="342" spans="1:14" customFormat="1">
      <c r="A342" s="115"/>
      <c r="B342" s="116"/>
      <c r="C342" s="116"/>
      <c r="D342" s="116"/>
      <c r="E342" s="115"/>
      <c r="F342" s="115"/>
      <c r="G342" s="116"/>
      <c r="H342" s="116"/>
      <c r="I342" s="116"/>
      <c r="J342" s="116"/>
      <c r="K342" s="116"/>
      <c r="L342" s="116"/>
      <c r="M342" s="116"/>
      <c r="N342" s="116"/>
    </row>
    <row r="343" spans="1:14" customFormat="1">
      <c r="A343" s="115"/>
      <c r="B343" s="116"/>
      <c r="C343" s="116"/>
      <c r="D343" s="116"/>
      <c r="E343" s="115"/>
      <c r="F343" s="115"/>
      <c r="G343" s="116"/>
      <c r="H343" s="116"/>
      <c r="I343" s="116"/>
      <c r="J343" s="116"/>
      <c r="K343" s="116"/>
      <c r="L343" s="116"/>
      <c r="M343" s="116"/>
      <c r="N343" s="116"/>
    </row>
    <row r="344" spans="1:14" customFormat="1">
      <c r="A344" s="115"/>
      <c r="B344" s="116"/>
      <c r="C344" s="116"/>
      <c r="D344" s="116"/>
      <c r="E344" s="115"/>
      <c r="F344" s="115"/>
      <c r="G344" s="116"/>
      <c r="H344" s="116"/>
      <c r="I344" s="116"/>
      <c r="J344" s="116"/>
      <c r="K344" s="116"/>
      <c r="L344" s="116"/>
      <c r="M344" s="116"/>
      <c r="N344" s="116"/>
    </row>
    <row r="345" spans="1:14" customFormat="1">
      <c r="A345" s="115"/>
      <c r="B345" s="116"/>
      <c r="C345" s="116"/>
      <c r="D345" s="116"/>
      <c r="E345" s="115"/>
      <c r="F345" s="115"/>
      <c r="G345" s="116"/>
      <c r="H345" s="116"/>
      <c r="I345" s="116"/>
      <c r="J345" s="116"/>
      <c r="K345" s="116"/>
      <c r="L345" s="116"/>
      <c r="M345" s="116"/>
      <c r="N345" s="116"/>
    </row>
    <row r="346" spans="1:14" customFormat="1">
      <c r="A346" s="115"/>
      <c r="B346" s="116"/>
      <c r="C346" s="116"/>
      <c r="D346" s="116"/>
      <c r="E346" s="115"/>
      <c r="F346" s="115"/>
      <c r="G346" s="116"/>
      <c r="H346" s="116"/>
      <c r="I346" s="116"/>
      <c r="J346" s="116"/>
      <c r="K346" s="116"/>
      <c r="L346" s="116"/>
      <c r="M346" s="116"/>
      <c r="N346" s="116"/>
    </row>
    <row r="347" spans="1:14" customFormat="1">
      <c r="A347" s="115"/>
      <c r="B347" s="116"/>
      <c r="C347" s="116"/>
      <c r="D347" s="116"/>
      <c r="E347" s="115"/>
      <c r="F347" s="115"/>
      <c r="G347" s="116"/>
      <c r="H347" s="116"/>
      <c r="I347" s="116"/>
      <c r="J347" s="116"/>
      <c r="K347" s="116"/>
      <c r="L347" s="116"/>
      <c r="M347" s="116"/>
      <c r="N347" s="116"/>
    </row>
    <row r="348" spans="1:14" customFormat="1">
      <c r="A348" s="115"/>
      <c r="B348" s="116"/>
      <c r="C348" s="116"/>
      <c r="D348" s="116"/>
      <c r="E348" s="115"/>
      <c r="F348" s="115"/>
      <c r="G348" s="116"/>
      <c r="H348" s="116"/>
      <c r="I348" s="116"/>
      <c r="J348" s="116"/>
      <c r="K348" s="116"/>
      <c r="L348" s="116"/>
      <c r="M348" s="116"/>
      <c r="N348" s="116"/>
    </row>
    <row r="349" spans="1:14" customFormat="1">
      <c r="A349" s="115"/>
      <c r="B349" s="116"/>
      <c r="C349" s="116"/>
      <c r="D349" s="116"/>
      <c r="E349" s="115"/>
      <c r="F349" s="115"/>
      <c r="G349" s="116"/>
      <c r="H349" s="116"/>
      <c r="I349" s="116"/>
      <c r="J349" s="116"/>
      <c r="K349" s="116"/>
      <c r="L349" s="116"/>
      <c r="M349" s="116"/>
      <c r="N349" s="116"/>
    </row>
    <row r="350" spans="1:14" customFormat="1">
      <c r="A350" s="115"/>
      <c r="B350" s="116"/>
      <c r="C350" s="116"/>
      <c r="D350" s="116"/>
      <c r="E350" s="115"/>
      <c r="F350" s="115"/>
      <c r="G350" s="116"/>
      <c r="H350" s="116"/>
      <c r="I350" s="116"/>
      <c r="J350" s="116"/>
      <c r="K350" s="116"/>
      <c r="L350" s="116"/>
      <c r="M350" s="116"/>
      <c r="N350" s="116"/>
    </row>
    <row r="351" spans="1:14" customFormat="1">
      <c r="A351" s="115"/>
      <c r="B351" s="116"/>
      <c r="C351" s="116"/>
      <c r="D351" s="116"/>
      <c r="E351" s="115"/>
      <c r="F351" s="115"/>
      <c r="G351" s="116"/>
      <c r="H351" s="116"/>
      <c r="I351" s="116"/>
      <c r="J351" s="116"/>
      <c r="K351" s="116"/>
      <c r="L351" s="116"/>
      <c r="M351" s="116"/>
      <c r="N351" s="116"/>
    </row>
    <row r="352" spans="1:14" customFormat="1">
      <c r="A352" s="115"/>
      <c r="B352" s="116"/>
      <c r="C352" s="116"/>
      <c r="D352" s="116"/>
      <c r="E352" s="115"/>
      <c r="F352" s="115"/>
      <c r="G352" s="116"/>
      <c r="H352" s="116"/>
      <c r="I352" s="116"/>
      <c r="J352" s="116"/>
      <c r="K352" s="116"/>
      <c r="L352" s="116"/>
      <c r="M352" s="116"/>
      <c r="N352" s="116"/>
    </row>
    <row r="353" spans="1:14" customFormat="1">
      <c r="A353" s="115"/>
      <c r="B353" s="116"/>
      <c r="C353" s="116"/>
      <c r="D353" s="116"/>
      <c r="E353" s="115"/>
      <c r="F353" s="115"/>
      <c r="G353" s="116"/>
      <c r="H353" s="116"/>
      <c r="I353" s="116"/>
      <c r="J353" s="116"/>
      <c r="K353" s="116"/>
      <c r="L353" s="116"/>
      <c r="M353" s="116"/>
      <c r="N353" s="116"/>
    </row>
    <row r="354" spans="1:14" customFormat="1">
      <c r="A354" s="115"/>
      <c r="B354" s="116"/>
      <c r="C354" s="116"/>
      <c r="D354" s="116"/>
      <c r="E354" s="115"/>
      <c r="F354" s="115"/>
      <c r="G354" s="116"/>
      <c r="H354" s="116"/>
      <c r="I354" s="116"/>
      <c r="J354" s="116"/>
      <c r="K354" s="116"/>
      <c r="L354" s="116"/>
      <c r="M354" s="116"/>
      <c r="N354" s="116"/>
    </row>
    <row r="355" spans="1:14" customFormat="1">
      <c r="A355" s="115"/>
      <c r="B355" s="116"/>
      <c r="C355" s="116"/>
      <c r="D355" s="116"/>
      <c r="E355" s="115"/>
      <c r="F355" s="115"/>
      <c r="G355" s="116"/>
      <c r="H355" s="116"/>
      <c r="I355" s="116"/>
      <c r="J355" s="116"/>
      <c r="K355" s="116"/>
      <c r="L355" s="116"/>
      <c r="M355" s="116"/>
      <c r="N355" s="116"/>
    </row>
    <row r="356" spans="1:14" customFormat="1">
      <c r="A356" s="115"/>
      <c r="B356" s="116"/>
      <c r="C356" s="116"/>
      <c r="D356" s="116"/>
      <c r="E356" s="115"/>
      <c r="F356" s="115"/>
      <c r="G356" s="116"/>
      <c r="H356" s="116"/>
      <c r="I356" s="116"/>
      <c r="J356" s="116"/>
      <c r="K356" s="116"/>
      <c r="L356" s="116"/>
      <c r="M356" s="116"/>
      <c r="N356" s="116"/>
    </row>
    <row r="357" spans="1:14" customFormat="1">
      <c r="A357" s="115"/>
      <c r="B357" s="116"/>
      <c r="C357" s="116"/>
      <c r="D357" s="116"/>
      <c r="E357" s="115"/>
      <c r="F357" s="115"/>
      <c r="G357" s="116"/>
      <c r="H357" s="116"/>
      <c r="I357" s="116"/>
      <c r="J357" s="116"/>
      <c r="K357" s="116"/>
      <c r="L357" s="116"/>
      <c r="M357" s="116"/>
      <c r="N357" s="116"/>
    </row>
    <row r="358" spans="1:14" customFormat="1">
      <c r="A358" s="115"/>
      <c r="B358" s="116"/>
      <c r="C358" s="116"/>
      <c r="D358" s="116"/>
      <c r="E358" s="115"/>
      <c r="F358" s="115"/>
      <c r="G358" s="116"/>
      <c r="H358" s="116"/>
      <c r="I358" s="116"/>
      <c r="J358" s="116"/>
      <c r="K358" s="116"/>
      <c r="L358" s="116"/>
      <c r="M358" s="116"/>
      <c r="N358" s="116"/>
    </row>
    <row r="359" spans="1:14" customFormat="1">
      <c r="A359" s="115"/>
      <c r="B359" s="116"/>
      <c r="C359" s="116"/>
      <c r="D359" s="116"/>
      <c r="E359" s="115"/>
      <c r="F359" s="115"/>
      <c r="G359" s="116"/>
      <c r="H359" s="116"/>
      <c r="I359" s="116"/>
      <c r="J359" s="116"/>
      <c r="K359" s="116"/>
      <c r="L359" s="116"/>
      <c r="M359" s="116"/>
      <c r="N359" s="116"/>
    </row>
    <row r="360" spans="1:14" customFormat="1">
      <c r="A360" s="115"/>
      <c r="B360" s="116"/>
      <c r="C360" s="116"/>
      <c r="D360" s="116"/>
      <c r="E360" s="115"/>
      <c r="F360" s="115"/>
      <c r="G360" s="116"/>
      <c r="H360" s="116"/>
      <c r="I360" s="116"/>
      <c r="J360" s="116"/>
      <c r="K360" s="116"/>
      <c r="L360" s="116"/>
      <c r="M360" s="116"/>
      <c r="N360" s="116"/>
    </row>
    <row r="361" spans="1:14" customFormat="1">
      <c r="A361" s="115"/>
      <c r="B361" s="116"/>
      <c r="C361" s="116"/>
      <c r="D361" s="116"/>
      <c r="E361" s="115"/>
      <c r="F361" s="115"/>
      <c r="G361" s="116"/>
      <c r="H361" s="116"/>
      <c r="I361" s="116"/>
      <c r="J361" s="116"/>
      <c r="K361" s="116"/>
      <c r="L361" s="116"/>
      <c r="M361" s="116"/>
      <c r="N361" s="116"/>
    </row>
    <row r="362" spans="1:14" customFormat="1">
      <c r="A362" s="115"/>
      <c r="B362" s="116"/>
      <c r="C362" s="116"/>
      <c r="D362" s="116"/>
      <c r="E362" s="115"/>
      <c r="F362" s="115"/>
      <c r="G362" s="116"/>
      <c r="H362" s="116"/>
      <c r="I362" s="116"/>
      <c r="J362" s="116"/>
      <c r="K362" s="116"/>
      <c r="L362" s="116"/>
      <c r="M362" s="116"/>
      <c r="N362" s="116"/>
    </row>
    <row r="363" spans="1:14" customFormat="1">
      <c r="A363" s="115"/>
      <c r="B363" s="116"/>
      <c r="C363" s="116"/>
      <c r="D363" s="116"/>
      <c r="E363" s="115"/>
      <c r="F363" s="115"/>
      <c r="G363" s="116"/>
      <c r="H363" s="116"/>
      <c r="I363" s="116"/>
      <c r="J363" s="116"/>
      <c r="K363" s="116"/>
      <c r="L363" s="116"/>
      <c r="M363" s="116"/>
      <c r="N363" s="116"/>
    </row>
    <row r="364" spans="1:14" customFormat="1">
      <c r="A364" s="115"/>
      <c r="B364" s="116"/>
      <c r="C364" s="116"/>
      <c r="D364" s="116"/>
      <c r="E364" s="115"/>
      <c r="F364" s="115"/>
      <c r="G364" s="116"/>
      <c r="H364" s="116"/>
      <c r="I364" s="116"/>
      <c r="J364" s="116"/>
      <c r="K364" s="116"/>
      <c r="L364" s="116"/>
      <c r="M364" s="116"/>
      <c r="N364" s="116"/>
    </row>
    <row r="365" spans="1:14" customFormat="1">
      <c r="A365" s="115"/>
      <c r="B365" s="116"/>
      <c r="C365" s="116"/>
      <c r="D365" s="116"/>
      <c r="E365" s="115"/>
      <c r="F365" s="115"/>
      <c r="G365" s="116"/>
      <c r="H365" s="116"/>
      <c r="I365" s="116"/>
      <c r="J365" s="116"/>
      <c r="K365" s="116"/>
      <c r="L365" s="116"/>
      <c r="M365" s="116"/>
      <c r="N365" s="116"/>
    </row>
    <row r="366" spans="1:14" customFormat="1">
      <c r="A366" s="115"/>
      <c r="B366" s="116"/>
      <c r="C366" s="116"/>
      <c r="D366" s="116"/>
      <c r="E366" s="115"/>
      <c r="F366" s="115"/>
      <c r="G366" s="116"/>
      <c r="H366" s="116"/>
      <c r="I366" s="116"/>
      <c r="J366" s="116"/>
      <c r="K366" s="116"/>
      <c r="L366" s="116"/>
      <c r="M366" s="116"/>
      <c r="N366" s="116"/>
    </row>
    <row r="367" spans="1:14" customFormat="1">
      <c r="A367" s="115"/>
      <c r="B367" s="116"/>
      <c r="C367" s="116"/>
      <c r="D367" s="116"/>
      <c r="E367" s="115"/>
      <c r="F367" s="115"/>
      <c r="G367" s="116"/>
      <c r="H367" s="116"/>
      <c r="I367" s="116"/>
      <c r="J367" s="116"/>
      <c r="K367" s="116"/>
      <c r="L367" s="116"/>
      <c r="M367" s="116"/>
      <c r="N367" s="116"/>
    </row>
    <row r="368" spans="1:14" customFormat="1">
      <c r="A368" s="115"/>
      <c r="B368" s="116"/>
      <c r="C368" s="116"/>
      <c r="D368" s="116"/>
      <c r="E368" s="115"/>
      <c r="F368" s="115"/>
      <c r="G368" s="116"/>
      <c r="H368" s="116"/>
      <c r="I368" s="116"/>
      <c r="J368" s="116"/>
      <c r="K368" s="116"/>
      <c r="L368" s="116"/>
      <c r="M368" s="116"/>
      <c r="N368" s="116"/>
    </row>
    <row r="369" spans="1:14" customFormat="1">
      <c r="A369" s="115"/>
      <c r="B369" s="116"/>
      <c r="C369" s="116"/>
      <c r="D369" s="116"/>
      <c r="E369" s="115"/>
      <c r="F369" s="115"/>
      <c r="G369" s="116"/>
      <c r="H369" s="116"/>
      <c r="I369" s="116"/>
      <c r="J369" s="116"/>
      <c r="K369" s="116"/>
      <c r="L369" s="116"/>
      <c r="M369" s="116"/>
      <c r="N369" s="116"/>
    </row>
    <row r="370" spans="1:14" customFormat="1">
      <c r="A370" s="115"/>
      <c r="B370" s="116"/>
      <c r="C370" s="116"/>
      <c r="D370" s="116"/>
      <c r="E370" s="115"/>
      <c r="F370" s="115"/>
      <c r="G370" s="116"/>
      <c r="H370" s="116"/>
      <c r="I370" s="116"/>
      <c r="J370" s="116"/>
      <c r="K370" s="116"/>
      <c r="L370" s="116"/>
      <c r="M370" s="116"/>
      <c r="N370" s="116"/>
    </row>
    <row r="371" spans="1:14" customFormat="1">
      <c r="A371" s="115"/>
      <c r="B371" s="116"/>
      <c r="C371" s="116"/>
      <c r="D371" s="116"/>
      <c r="E371" s="115"/>
      <c r="F371" s="115"/>
      <c r="G371" s="116"/>
      <c r="H371" s="116"/>
      <c r="I371" s="116"/>
      <c r="J371" s="116"/>
      <c r="K371" s="116"/>
      <c r="L371" s="116"/>
      <c r="M371" s="116"/>
      <c r="N371" s="116"/>
    </row>
    <row r="372" spans="1:14" customFormat="1">
      <c r="A372" s="115"/>
      <c r="B372" s="116"/>
      <c r="C372" s="116"/>
      <c r="D372" s="116"/>
      <c r="E372" s="115"/>
      <c r="F372" s="115"/>
      <c r="G372" s="116"/>
      <c r="H372" s="116"/>
      <c r="I372" s="116"/>
      <c r="J372" s="116"/>
      <c r="K372" s="116"/>
      <c r="L372" s="116"/>
      <c r="M372" s="116"/>
      <c r="N372" s="116"/>
    </row>
    <row r="373" spans="1:14" customFormat="1">
      <c r="A373" s="115"/>
      <c r="B373" s="116"/>
      <c r="C373" s="116"/>
      <c r="D373" s="116"/>
      <c r="E373" s="115"/>
      <c r="F373" s="115"/>
      <c r="G373" s="116"/>
      <c r="H373" s="116"/>
      <c r="I373" s="116"/>
      <c r="J373" s="116"/>
      <c r="K373" s="116"/>
      <c r="L373" s="116"/>
      <c r="M373" s="116"/>
      <c r="N373" s="116"/>
    </row>
    <row r="374" spans="1:14" customFormat="1">
      <c r="A374" s="115"/>
      <c r="B374" s="116"/>
      <c r="C374" s="116"/>
      <c r="D374" s="116"/>
      <c r="E374" s="115"/>
      <c r="F374" s="115"/>
      <c r="G374" s="116"/>
      <c r="H374" s="116"/>
      <c r="I374" s="116"/>
      <c r="J374" s="116"/>
      <c r="K374" s="116"/>
      <c r="L374" s="116"/>
      <c r="M374" s="116"/>
      <c r="N374" s="116"/>
    </row>
    <row r="375" spans="1:14" customFormat="1">
      <c r="A375" s="115"/>
      <c r="B375" s="116"/>
      <c r="C375" s="116"/>
      <c r="D375" s="116"/>
      <c r="E375" s="115"/>
      <c r="F375" s="115"/>
      <c r="G375" s="116"/>
      <c r="H375" s="116"/>
      <c r="I375" s="116"/>
      <c r="J375" s="116"/>
      <c r="K375" s="116"/>
      <c r="L375" s="116"/>
      <c r="M375" s="116"/>
      <c r="N375" s="116"/>
    </row>
    <row r="376" spans="1:14" customFormat="1">
      <c r="A376" s="115"/>
      <c r="B376" s="116"/>
      <c r="C376" s="116"/>
      <c r="D376" s="116"/>
      <c r="E376" s="115"/>
      <c r="F376" s="115"/>
      <c r="G376" s="116"/>
      <c r="H376" s="116"/>
      <c r="I376" s="116"/>
      <c r="J376" s="116"/>
      <c r="K376" s="116"/>
      <c r="L376" s="116"/>
      <c r="M376" s="116"/>
      <c r="N376" s="116"/>
    </row>
    <row r="377" spans="1:14" customFormat="1">
      <c r="A377" s="115"/>
      <c r="B377" s="116"/>
      <c r="C377" s="116"/>
      <c r="D377" s="116"/>
      <c r="E377" s="115"/>
      <c r="F377" s="115"/>
      <c r="G377" s="116"/>
      <c r="H377" s="116"/>
      <c r="I377" s="116"/>
      <c r="J377" s="116"/>
      <c r="K377" s="116"/>
      <c r="L377" s="116"/>
      <c r="M377" s="116"/>
      <c r="N377" s="116"/>
    </row>
    <row r="378" spans="1:14" customFormat="1">
      <c r="A378" s="115"/>
      <c r="B378" s="116"/>
      <c r="C378" s="116"/>
      <c r="D378" s="116"/>
      <c r="E378" s="115"/>
      <c r="F378" s="115"/>
      <c r="G378" s="116"/>
      <c r="H378" s="116"/>
      <c r="I378" s="116"/>
      <c r="J378" s="116"/>
      <c r="K378" s="116"/>
      <c r="L378" s="116"/>
      <c r="M378" s="116"/>
      <c r="N378" s="116"/>
    </row>
    <row r="379" spans="1:14" customFormat="1">
      <c r="A379" s="115"/>
      <c r="B379" s="116"/>
      <c r="C379" s="116"/>
      <c r="D379" s="116"/>
      <c r="E379" s="115"/>
      <c r="F379" s="115"/>
      <c r="G379" s="116"/>
      <c r="H379" s="116"/>
      <c r="I379" s="116"/>
      <c r="J379" s="116"/>
      <c r="K379" s="116"/>
      <c r="L379" s="116"/>
      <c r="M379" s="116"/>
      <c r="N379" s="116"/>
    </row>
    <row r="380" spans="1:14" customFormat="1">
      <c r="A380" s="115"/>
      <c r="B380" s="116"/>
      <c r="C380" s="116"/>
      <c r="D380" s="116"/>
      <c r="E380" s="115"/>
      <c r="F380" s="115"/>
      <c r="G380" s="116"/>
      <c r="H380" s="116"/>
      <c r="I380" s="116"/>
      <c r="J380" s="116"/>
      <c r="K380" s="116"/>
      <c r="L380" s="116"/>
      <c r="M380" s="116"/>
      <c r="N380" s="116"/>
    </row>
    <row r="381" spans="1:14" customFormat="1">
      <c r="A381" s="115"/>
      <c r="B381" s="116"/>
      <c r="C381" s="116"/>
      <c r="D381" s="116"/>
      <c r="E381" s="115"/>
      <c r="F381" s="115"/>
      <c r="G381" s="116"/>
      <c r="H381" s="116"/>
      <c r="I381" s="116"/>
      <c r="J381" s="116"/>
      <c r="K381" s="116"/>
      <c r="L381" s="116"/>
      <c r="M381" s="116"/>
      <c r="N381" s="116"/>
    </row>
  </sheetData>
  <autoFilter ref="A7:O59">
    <filterColumn colId="4"/>
    <filterColumn colId="8"/>
    <filterColumn colId="9"/>
    <sortState ref="A8:O59">
      <sortCondition ref="A7:A59"/>
    </sortState>
  </autoFilter>
  <dataConsolidate/>
  <pageMargins left="0.23622047244094491" right="0.23622047244094491" top="0.74803149606299213" bottom="0.74803149606299213" header="0.31496062992125984" footer="0.31496062992125984"/>
  <pageSetup paperSize="8" scale="52" fitToHeight="0" orientation="landscape" r:id="rId1"/>
</worksheet>
</file>

<file path=xl/worksheets/sheet9.xml><?xml version="1.0" encoding="utf-8"?>
<worksheet xmlns="http://schemas.openxmlformats.org/spreadsheetml/2006/main" xmlns:r="http://schemas.openxmlformats.org/officeDocument/2006/relationships">
  <sheetPr codeName="Sheet8"/>
  <dimension ref="B1:AD55"/>
  <sheetViews>
    <sheetView zoomScale="60" zoomScaleNormal="60" workbookViewId="0">
      <selection activeCell="A42" sqref="A42"/>
    </sheetView>
  </sheetViews>
  <sheetFormatPr defaultRowHeight="15"/>
  <cols>
    <col min="2" max="2" width="24" customWidth="1"/>
    <col min="3" max="3" width="29.7109375" bestFit="1" customWidth="1"/>
    <col min="4" max="4" width="25.140625" bestFit="1" customWidth="1"/>
    <col min="5" max="5" width="17.7109375" bestFit="1" customWidth="1"/>
    <col min="7" max="7" width="29.7109375" bestFit="1" customWidth="1"/>
    <col min="8" max="8" width="19.140625" bestFit="1" customWidth="1"/>
    <col min="9" max="9" width="19.7109375" bestFit="1" customWidth="1"/>
    <col min="10" max="11" width="19.85546875" bestFit="1" customWidth="1"/>
    <col min="12" max="12" width="82.28515625" customWidth="1"/>
    <col min="14" max="14" width="19.28515625" bestFit="1" customWidth="1"/>
  </cols>
  <sheetData>
    <row r="1" spans="2:30">
      <c r="R1" s="104"/>
      <c r="S1" s="104"/>
      <c r="T1" s="104"/>
      <c r="U1" s="104"/>
      <c r="V1" s="104"/>
      <c r="W1" s="104"/>
      <c r="X1" s="104"/>
      <c r="Y1" s="104"/>
      <c r="Z1" s="104"/>
      <c r="AA1" s="104"/>
      <c r="AB1" s="104"/>
      <c r="AC1" s="104"/>
      <c r="AD1" s="104"/>
    </row>
    <row r="3" spans="2:30" ht="27.75" customHeight="1">
      <c r="B3" s="129" t="s">
        <v>647</v>
      </c>
      <c r="C3" s="108" t="s">
        <v>695</v>
      </c>
      <c r="D3" s="108" t="s">
        <v>648</v>
      </c>
      <c r="E3" s="108" t="s">
        <v>649</v>
      </c>
      <c r="G3" s="129" t="s">
        <v>647</v>
      </c>
      <c r="H3" s="108" t="s">
        <v>694</v>
      </c>
      <c r="I3" s="108" t="s">
        <v>655</v>
      </c>
      <c r="J3" s="108" t="s">
        <v>648</v>
      </c>
      <c r="K3" s="108" t="s">
        <v>656</v>
      </c>
      <c r="L3" s="111" t="s">
        <v>657</v>
      </c>
    </row>
    <row r="4" spans="2:30">
      <c r="B4" s="126" t="s">
        <v>431</v>
      </c>
      <c r="C4" s="128" t="s">
        <v>650</v>
      </c>
      <c r="D4" s="127" t="s">
        <v>651</v>
      </c>
      <c r="E4" s="127" t="s">
        <v>652</v>
      </c>
      <c r="G4" s="198" t="s">
        <v>431</v>
      </c>
      <c r="H4" s="110">
        <v>48</v>
      </c>
      <c r="I4" s="110" t="s">
        <v>652</v>
      </c>
      <c r="J4" s="110" t="s">
        <v>652</v>
      </c>
      <c r="K4" s="110" t="s">
        <v>652</v>
      </c>
      <c r="L4" s="194" t="s">
        <v>665</v>
      </c>
    </row>
    <row r="5" spans="2:30">
      <c r="B5" s="126" t="s">
        <v>431</v>
      </c>
      <c r="C5" s="128" t="s">
        <v>653</v>
      </c>
      <c r="D5" s="127" t="s">
        <v>651</v>
      </c>
      <c r="E5" s="127" t="s">
        <v>652</v>
      </c>
      <c r="G5" s="198" t="s">
        <v>431</v>
      </c>
      <c r="H5" s="110">
        <v>76</v>
      </c>
      <c r="I5" s="110" t="s">
        <v>652</v>
      </c>
      <c r="J5" s="110" t="s">
        <v>652</v>
      </c>
      <c r="K5" s="110" t="s">
        <v>652</v>
      </c>
      <c r="L5" s="193" t="s">
        <v>665</v>
      </c>
    </row>
    <row r="6" spans="2:30">
      <c r="B6" s="126" t="s">
        <v>431</v>
      </c>
      <c r="C6" s="128" t="s">
        <v>654</v>
      </c>
      <c r="D6" s="127" t="s">
        <v>651</v>
      </c>
      <c r="E6" s="127" t="s">
        <v>652</v>
      </c>
      <c r="G6" s="198" t="s">
        <v>431</v>
      </c>
      <c r="H6" s="110">
        <v>77</v>
      </c>
      <c r="I6" s="110" t="s">
        <v>652</v>
      </c>
      <c r="J6" s="110" t="s">
        <v>652</v>
      </c>
      <c r="K6" s="110" t="s">
        <v>652</v>
      </c>
      <c r="L6" s="193" t="s">
        <v>665</v>
      </c>
    </row>
    <row r="7" spans="2:30">
      <c r="B7" s="126" t="s">
        <v>430</v>
      </c>
      <c r="C7" s="128" t="s">
        <v>650</v>
      </c>
      <c r="D7" s="127" t="s">
        <v>651</v>
      </c>
      <c r="E7" s="127" t="s">
        <v>652</v>
      </c>
      <c r="G7" s="198" t="s">
        <v>431</v>
      </c>
      <c r="H7" s="110">
        <v>78</v>
      </c>
      <c r="I7" s="110" t="s">
        <v>652</v>
      </c>
      <c r="J7" s="110" t="s">
        <v>652</v>
      </c>
      <c r="K7" s="110" t="s">
        <v>652</v>
      </c>
      <c r="L7" s="193" t="s">
        <v>665</v>
      </c>
    </row>
    <row r="8" spans="2:30">
      <c r="B8" s="126" t="s">
        <v>430</v>
      </c>
      <c r="C8" s="128" t="s">
        <v>653</v>
      </c>
      <c r="D8" s="127" t="s">
        <v>651</v>
      </c>
      <c r="E8" s="127" t="s">
        <v>652</v>
      </c>
      <c r="G8" s="198" t="s">
        <v>431</v>
      </c>
      <c r="H8" s="110">
        <v>80</v>
      </c>
      <c r="I8" s="110" t="s">
        <v>652</v>
      </c>
      <c r="J8" s="110" t="s">
        <v>652</v>
      </c>
      <c r="K8" s="110" t="s">
        <v>652</v>
      </c>
      <c r="L8" s="193" t="s">
        <v>665</v>
      </c>
    </row>
    <row r="9" spans="2:30">
      <c r="B9" s="126" t="s">
        <v>430</v>
      </c>
      <c r="C9" s="128" t="s">
        <v>654</v>
      </c>
      <c r="D9" s="127" t="s">
        <v>651</v>
      </c>
      <c r="E9" s="127" t="s">
        <v>652</v>
      </c>
      <c r="G9" s="198" t="s">
        <v>431</v>
      </c>
      <c r="H9" s="110">
        <v>81</v>
      </c>
      <c r="I9" s="110" t="s">
        <v>652</v>
      </c>
      <c r="J9" s="110" t="s">
        <v>652</v>
      </c>
      <c r="K9" s="110" t="s">
        <v>652</v>
      </c>
      <c r="L9" s="193" t="s">
        <v>665</v>
      </c>
    </row>
    <row r="10" spans="2:30">
      <c r="B10" s="126" t="s">
        <v>438</v>
      </c>
      <c r="C10" s="128" t="s">
        <v>650</v>
      </c>
      <c r="D10" s="127" t="s">
        <v>651</v>
      </c>
      <c r="E10" s="127" t="s">
        <v>652</v>
      </c>
      <c r="G10" s="198" t="s">
        <v>431</v>
      </c>
      <c r="H10" s="110">
        <v>82</v>
      </c>
      <c r="I10" s="110" t="s">
        <v>652</v>
      </c>
      <c r="J10" s="110" t="s">
        <v>652</v>
      </c>
      <c r="K10" s="110" t="s">
        <v>652</v>
      </c>
      <c r="L10" s="193"/>
    </row>
    <row r="11" spans="2:30">
      <c r="B11" s="126" t="s">
        <v>438</v>
      </c>
      <c r="C11" s="128" t="s">
        <v>653</v>
      </c>
      <c r="D11" s="127" t="s">
        <v>651</v>
      </c>
      <c r="E11" s="127" t="s">
        <v>652</v>
      </c>
      <c r="G11" s="198" t="s">
        <v>431</v>
      </c>
      <c r="H11" s="110">
        <v>83</v>
      </c>
      <c r="I11" s="110" t="s">
        <v>652</v>
      </c>
      <c r="J11" s="110" t="s">
        <v>652</v>
      </c>
      <c r="K11" s="110" t="s">
        <v>652</v>
      </c>
      <c r="L11" s="193"/>
    </row>
    <row r="12" spans="2:30">
      <c r="B12" s="126" t="s">
        <v>438</v>
      </c>
      <c r="C12" s="128" t="s">
        <v>654</v>
      </c>
      <c r="D12" s="127" t="s">
        <v>651</v>
      </c>
      <c r="E12" s="127" t="s">
        <v>652</v>
      </c>
      <c r="G12" s="198" t="s">
        <v>431</v>
      </c>
      <c r="H12" s="110">
        <v>84</v>
      </c>
      <c r="I12" s="110" t="s">
        <v>652</v>
      </c>
      <c r="J12" s="110" t="s">
        <v>652</v>
      </c>
      <c r="K12" s="110" t="s">
        <v>658</v>
      </c>
      <c r="L12" s="193"/>
    </row>
    <row r="13" spans="2:30" ht="30" customHeight="1">
      <c r="B13" s="126" t="s">
        <v>728</v>
      </c>
      <c r="C13" s="128" t="s">
        <v>650</v>
      </c>
      <c r="D13" s="127" t="s">
        <v>651</v>
      </c>
      <c r="E13" s="127" t="s">
        <v>652</v>
      </c>
      <c r="G13" s="198" t="s">
        <v>430</v>
      </c>
      <c r="H13" s="110">
        <v>47</v>
      </c>
      <c r="I13" s="110" t="s">
        <v>652</v>
      </c>
      <c r="J13" s="110" t="s">
        <v>652</v>
      </c>
      <c r="K13" s="110" t="s">
        <v>652</v>
      </c>
      <c r="L13" s="193" t="s">
        <v>924</v>
      </c>
    </row>
    <row r="14" spans="2:30" ht="30" customHeight="1">
      <c r="B14" s="126" t="s">
        <v>728</v>
      </c>
      <c r="C14" s="128" t="s">
        <v>653</v>
      </c>
      <c r="D14" s="127" t="s">
        <v>651</v>
      </c>
      <c r="E14" s="127" t="s">
        <v>652</v>
      </c>
      <c r="G14" s="198" t="s">
        <v>438</v>
      </c>
      <c r="H14" s="110">
        <v>100</v>
      </c>
      <c r="I14" s="110" t="s">
        <v>658</v>
      </c>
      <c r="J14" s="110" t="s">
        <v>652</v>
      </c>
      <c r="K14" s="110" t="s">
        <v>652</v>
      </c>
      <c r="L14" s="193" t="s">
        <v>669</v>
      </c>
    </row>
    <row r="15" spans="2:30" ht="30">
      <c r="B15" s="126" t="s">
        <v>728</v>
      </c>
      <c r="C15" s="128" t="s">
        <v>654</v>
      </c>
      <c r="D15" s="127" t="s">
        <v>651</v>
      </c>
      <c r="E15" s="127" t="s">
        <v>652</v>
      </c>
      <c r="G15" s="198" t="s">
        <v>438</v>
      </c>
      <c r="H15" s="110">
        <v>101</v>
      </c>
      <c r="I15" s="110" t="s">
        <v>652</v>
      </c>
      <c r="J15" s="110" t="s">
        <v>652</v>
      </c>
      <c r="K15" s="110" t="s">
        <v>652</v>
      </c>
      <c r="L15" s="193" t="s">
        <v>670</v>
      </c>
    </row>
    <row r="16" spans="2:30">
      <c r="B16" s="126" t="s">
        <v>428</v>
      </c>
      <c r="C16" s="128" t="s">
        <v>650</v>
      </c>
      <c r="D16" s="127" t="s">
        <v>651</v>
      </c>
      <c r="E16" s="127" t="s">
        <v>652</v>
      </c>
      <c r="G16" s="198" t="s">
        <v>438</v>
      </c>
      <c r="H16" s="110">
        <v>102</v>
      </c>
      <c r="I16" s="110" t="s">
        <v>652</v>
      </c>
      <c r="J16" s="110" t="s">
        <v>652</v>
      </c>
      <c r="K16" s="110" t="s">
        <v>652</v>
      </c>
      <c r="L16" s="193" t="s">
        <v>671</v>
      </c>
    </row>
    <row r="17" spans="2:12">
      <c r="B17" s="126" t="s">
        <v>428</v>
      </c>
      <c r="C17" s="128" t="s">
        <v>653</v>
      </c>
      <c r="D17" s="127" t="s">
        <v>651</v>
      </c>
      <c r="E17" s="127" t="s">
        <v>652</v>
      </c>
      <c r="G17" s="198" t="s">
        <v>438</v>
      </c>
      <c r="H17" s="110">
        <v>103</v>
      </c>
      <c r="I17" s="110" t="s">
        <v>652</v>
      </c>
      <c r="J17" s="110" t="s">
        <v>652</v>
      </c>
      <c r="K17" s="110" t="s">
        <v>652</v>
      </c>
      <c r="L17" s="193" t="s">
        <v>874</v>
      </c>
    </row>
    <row r="18" spans="2:12" ht="30" customHeight="1">
      <c r="B18" s="126" t="s">
        <v>428</v>
      </c>
      <c r="C18" s="128" t="s">
        <v>654</v>
      </c>
      <c r="D18" s="127" t="s">
        <v>651</v>
      </c>
      <c r="E18" s="127" t="s">
        <v>652</v>
      </c>
      <c r="G18" s="198" t="s">
        <v>438</v>
      </c>
      <c r="H18" s="110">
        <v>104</v>
      </c>
      <c r="I18" s="110" t="s">
        <v>652</v>
      </c>
      <c r="J18" s="110" t="s">
        <v>652</v>
      </c>
      <c r="K18" s="110" t="s">
        <v>652</v>
      </c>
      <c r="L18" s="193" t="s">
        <v>672</v>
      </c>
    </row>
    <row r="19" spans="2:12" ht="30">
      <c r="B19" s="126" t="s">
        <v>437</v>
      </c>
      <c r="C19" s="128" t="s">
        <v>650</v>
      </c>
      <c r="D19" s="127" t="s">
        <v>651</v>
      </c>
      <c r="E19" s="127" t="s">
        <v>652</v>
      </c>
      <c r="G19" s="198" t="s">
        <v>438</v>
      </c>
      <c r="H19" s="110">
        <v>105</v>
      </c>
      <c r="I19" s="110" t="s">
        <v>652</v>
      </c>
      <c r="J19" s="110" t="s">
        <v>652</v>
      </c>
      <c r="K19" s="110" t="s">
        <v>652</v>
      </c>
      <c r="L19" s="193" t="s">
        <v>673</v>
      </c>
    </row>
    <row r="20" spans="2:12" ht="30" customHeight="1">
      <c r="B20" s="126" t="s">
        <v>437</v>
      </c>
      <c r="C20" s="128" t="s">
        <v>653</v>
      </c>
      <c r="D20" s="127" t="s">
        <v>651</v>
      </c>
      <c r="E20" s="127" t="s">
        <v>652</v>
      </c>
      <c r="G20" s="198" t="s">
        <v>438</v>
      </c>
      <c r="H20" s="110">
        <v>106</v>
      </c>
      <c r="I20" s="110" t="s">
        <v>658</v>
      </c>
      <c r="J20" s="110" t="s">
        <v>652</v>
      </c>
      <c r="K20" s="110" t="s">
        <v>652</v>
      </c>
      <c r="L20" s="193" t="s">
        <v>672</v>
      </c>
    </row>
    <row r="21" spans="2:12" ht="30">
      <c r="B21" s="126" t="s">
        <v>437</v>
      </c>
      <c r="C21" s="128" t="s">
        <v>654</v>
      </c>
      <c r="D21" s="127" t="s">
        <v>651</v>
      </c>
      <c r="E21" s="127" t="s">
        <v>652</v>
      </c>
      <c r="G21" s="198" t="s">
        <v>438</v>
      </c>
      <c r="H21" s="110">
        <v>107</v>
      </c>
      <c r="I21" s="110" t="s">
        <v>652</v>
      </c>
      <c r="J21" s="110" t="s">
        <v>652</v>
      </c>
      <c r="K21" s="110" t="s">
        <v>652</v>
      </c>
      <c r="L21" s="193" t="s">
        <v>674</v>
      </c>
    </row>
    <row r="22" spans="2:12">
      <c r="B22" s="126" t="s">
        <v>432</v>
      </c>
      <c r="C22" s="128" t="s">
        <v>650</v>
      </c>
      <c r="D22" s="127" t="s">
        <v>651</v>
      </c>
      <c r="E22" s="127" t="s">
        <v>652</v>
      </c>
      <c r="G22" s="198" t="s">
        <v>438</v>
      </c>
      <c r="H22" s="110">
        <v>108</v>
      </c>
      <c r="I22" s="110" t="s">
        <v>658</v>
      </c>
      <c r="J22" s="110" t="s">
        <v>652</v>
      </c>
      <c r="K22" s="110" t="s">
        <v>652</v>
      </c>
      <c r="L22" s="193"/>
    </row>
    <row r="23" spans="2:12">
      <c r="B23" s="126" t="s">
        <v>432</v>
      </c>
      <c r="C23" s="128" t="s">
        <v>653</v>
      </c>
      <c r="D23" s="127" t="s">
        <v>651</v>
      </c>
      <c r="E23" s="127" t="s">
        <v>652</v>
      </c>
      <c r="G23" s="198" t="s">
        <v>438</v>
      </c>
      <c r="H23" s="110">
        <v>109</v>
      </c>
      <c r="I23" s="110" t="s">
        <v>652</v>
      </c>
      <c r="J23" s="110" t="s">
        <v>652</v>
      </c>
      <c r="K23" s="110" t="s">
        <v>652</v>
      </c>
      <c r="L23" s="193" t="s">
        <v>874</v>
      </c>
    </row>
    <row r="24" spans="2:12">
      <c r="B24" s="126" t="s">
        <v>432</v>
      </c>
      <c r="C24" s="128" t="s">
        <v>654</v>
      </c>
      <c r="D24" s="127" t="s">
        <v>651</v>
      </c>
      <c r="E24" s="127" t="s">
        <v>652</v>
      </c>
      <c r="G24" s="198" t="s">
        <v>438</v>
      </c>
      <c r="H24" s="110">
        <v>110</v>
      </c>
      <c r="I24" s="110" t="s">
        <v>658</v>
      </c>
      <c r="J24" s="110" t="s">
        <v>652</v>
      </c>
      <c r="K24" s="110" t="s">
        <v>652</v>
      </c>
      <c r="L24" s="193"/>
    </row>
    <row r="25" spans="2:12">
      <c r="B25" s="126" t="s">
        <v>429</v>
      </c>
      <c r="C25" s="128" t="s">
        <v>650</v>
      </c>
      <c r="D25" s="127" t="s">
        <v>651</v>
      </c>
      <c r="E25" s="127" t="s">
        <v>652</v>
      </c>
      <c r="G25" s="198" t="s">
        <v>438</v>
      </c>
      <c r="H25" s="110">
        <v>128</v>
      </c>
      <c r="I25" s="110" t="s">
        <v>652</v>
      </c>
      <c r="J25" s="110" t="s">
        <v>652</v>
      </c>
      <c r="K25" s="110" t="s">
        <v>652</v>
      </c>
      <c r="L25" s="193" t="s">
        <v>675</v>
      </c>
    </row>
    <row r="26" spans="2:12">
      <c r="B26" s="126" t="s">
        <v>429</v>
      </c>
      <c r="C26" s="128" t="s">
        <v>653</v>
      </c>
      <c r="D26" s="127" t="s">
        <v>651</v>
      </c>
      <c r="E26" s="127" t="s">
        <v>652</v>
      </c>
      <c r="G26" s="198" t="s">
        <v>438</v>
      </c>
      <c r="H26" s="110">
        <v>129</v>
      </c>
      <c r="I26" s="110" t="s">
        <v>652</v>
      </c>
      <c r="J26" s="110" t="s">
        <v>652</v>
      </c>
      <c r="K26" s="110" t="s">
        <v>652</v>
      </c>
      <c r="L26" s="193"/>
    </row>
    <row r="27" spans="2:12">
      <c r="B27" s="126" t="s">
        <v>429</v>
      </c>
      <c r="C27" s="128" t="s">
        <v>654</v>
      </c>
      <c r="D27" s="127" t="s">
        <v>651</v>
      </c>
      <c r="E27" s="127" t="s">
        <v>652</v>
      </c>
      <c r="G27" s="198" t="s">
        <v>438</v>
      </c>
      <c r="H27" s="110">
        <v>138</v>
      </c>
      <c r="I27" s="110" t="s">
        <v>658</v>
      </c>
      <c r="J27" s="110" t="s">
        <v>652</v>
      </c>
      <c r="K27" s="110" t="s">
        <v>652</v>
      </c>
      <c r="L27" s="193" t="s">
        <v>676</v>
      </c>
    </row>
    <row r="28" spans="2:12">
      <c r="G28" s="198" t="s">
        <v>438</v>
      </c>
      <c r="H28" s="110">
        <v>139</v>
      </c>
      <c r="I28" s="110" t="s">
        <v>658</v>
      </c>
      <c r="J28" s="110" t="s">
        <v>652</v>
      </c>
      <c r="K28" s="110" t="s">
        <v>652</v>
      </c>
      <c r="L28" s="193" t="s">
        <v>676</v>
      </c>
    </row>
    <row r="29" spans="2:12">
      <c r="G29" s="198" t="s">
        <v>728</v>
      </c>
      <c r="H29" s="110">
        <v>87</v>
      </c>
      <c r="I29" s="110" t="s">
        <v>652</v>
      </c>
      <c r="J29" s="110" t="s">
        <v>652</v>
      </c>
      <c r="K29" s="110" t="s">
        <v>652</v>
      </c>
      <c r="L29" s="193" t="s">
        <v>710</v>
      </c>
    </row>
    <row r="30" spans="2:12">
      <c r="G30" s="198" t="s">
        <v>728</v>
      </c>
      <c r="H30" s="110">
        <v>88</v>
      </c>
      <c r="I30" s="110" t="s">
        <v>652</v>
      </c>
      <c r="J30" s="110" t="s">
        <v>652</v>
      </c>
      <c r="K30" s="110" t="s">
        <v>652</v>
      </c>
      <c r="L30" s="193" t="s">
        <v>710</v>
      </c>
    </row>
    <row r="31" spans="2:12">
      <c r="G31" s="198" t="s">
        <v>728</v>
      </c>
      <c r="H31" s="110">
        <v>91</v>
      </c>
      <c r="I31" s="110" t="s">
        <v>652</v>
      </c>
      <c r="J31" s="110" t="s">
        <v>652</v>
      </c>
      <c r="K31" s="110" t="s">
        <v>652</v>
      </c>
      <c r="L31" s="193" t="s">
        <v>710</v>
      </c>
    </row>
    <row r="32" spans="2:12">
      <c r="G32" s="198" t="s">
        <v>728</v>
      </c>
      <c r="H32" s="110">
        <v>93</v>
      </c>
      <c r="I32" s="110" t="s">
        <v>652</v>
      </c>
      <c r="J32" s="110" t="s">
        <v>652</v>
      </c>
      <c r="K32" s="110" t="s">
        <v>652</v>
      </c>
      <c r="L32" s="193" t="s">
        <v>710</v>
      </c>
    </row>
    <row r="33" spans="7:12">
      <c r="G33" s="198" t="s">
        <v>728</v>
      </c>
      <c r="H33" s="110">
        <v>94</v>
      </c>
      <c r="I33" s="110" t="s">
        <v>652</v>
      </c>
      <c r="J33" s="110" t="s">
        <v>652</v>
      </c>
      <c r="K33" s="110" t="s">
        <v>652</v>
      </c>
      <c r="L33" s="193" t="s">
        <v>710</v>
      </c>
    </row>
    <row r="34" spans="7:12">
      <c r="G34" s="198" t="s">
        <v>728</v>
      </c>
      <c r="H34" s="110">
        <v>95</v>
      </c>
      <c r="I34" s="110" t="s">
        <v>652</v>
      </c>
      <c r="J34" s="110" t="s">
        <v>652</v>
      </c>
      <c r="K34" s="110" t="s">
        <v>652</v>
      </c>
      <c r="L34" s="193" t="s">
        <v>710</v>
      </c>
    </row>
    <row r="35" spans="7:12">
      <c r="G35" s="198" t="s">
        <v>728</v>
      </c>
      <c r="H35" s="110">
        <v>96</v>
      </c>
      <c r="I35" s="110" t="s">
        <v>652</v>
      </c>
      <c r="J35" s="110" t="s">
        <v>652</v>
      </c>
      <c r="K35" s="110" t="s">
        <v>652</v>
      </c>
      <c r="L35" s="193" t="s">
        <v>710</v>
      </c>
    </row>
    <row r="36" spans="7:12">
      <c r="G36" s="198" t="s">
        <v>728</v>
      </c>
      <c r="H36" s="110">
        <v>98</v>
      </c>
      <c r="I36" s="110" t="s">
        <v>652</v>
      </c>
      <c r="J36" s="110" t="s">
        <v>652</v>
      </c>
      <c r="K36" s="110" t="s">
        <v>652</v>
      </c>
      <c r="L36" s="193" t="s">
        <v>710</v>
      </c>
    </row>
    <row r="37" spans="7:12">
      <c r="G37" s="198" t="s">
        <v>428</v>
      </c>
      <c r="H37" s="110">
        <v>38</v>
      </c>
      <c r="I37" s="110" t="s">
        <v>652</v>
      </c>
      <c r="J37" s="110" t="s">
        <v>652</v>
      </c>
      <c r="K37" s="110" t="s">
        <v>652</v>
      </c>
      <c r="L37" s="193"/>
    </row>
    <row r="38" spans="7:12">
      <c r="G38" s="198" t="s">
        <v>428</v>
      </c>
      <c r="H38" s="110">
        <v>41</v>
      </c>
      <c r="I38" s="95" t="s">
        <v>658</v>
      </c>
      <c r="J38" s="110" t="s">
        <v>652</v>
      </c>
      <c r="K38" s="110" t="s">
        <v>652</v>
      </c>
      <c r="L38" s="193"/>
    </row>
    <row r="39" spans="7:12">
      <c r="G39" s="198" t="s">
        <v>428</v>
      </c>
      <c r="H39" s="110">
        <v>42</v>
      </c>
      <c r="I39" s="110" t="s">
        <v>652</v>
      </c>
      <c r="J39" s="110" t="s">
        <v>652</v>
      </c>
      <c r="K39" s="110" t="s">
        <v>652</v>
      </c>
      <c r="L39" s="193"/>
    </row>
    <row r="40" spans="7:12">
      <c r="G40" s="198" t="s">
        <v>428</v>
      </c>
      <c r="H40" s="110">
        <v>46</v>
      </c>
      <c r="I40" s="110" t="s">
        <v>658</v>
      </c>
      <c r="J40" s="110" t="s">
        <v>652</v>
      </c>
      <c r="K40" s="110" t="s">
        <v>652</v>
      </c>
      <c r="L40" s="193"/>
    </row>
    <row r="41" spans="7:12">
      <c r="G41" s="198" t="s">
        <v>428</v>
      </c>
      <c r="H41" s="110">
        <v>49</v>
      </c>
      <c r="I41" s="110" t="s">
        <v>652</v>
      </c>
      <c r="J41" s="110" t="s">
        <v>652</v>
      </c>
      <c r="K41" s="110" t="s">
        <v>652</v>
      </c>
      <c r="L41" s="193"/>
    </row>
    <row r="42" spans="7:12">
      <c r="G42" s="198" t="s">
        <v>428</v>
      </c>
      <c r="H42" s="110">
        <v>136</v>
      </c>
      <c r="I42" s="110" t="s">
        <v>658</v>
      </c>
      <c r="J42" s="110" t="s">
        <v>652</v>
      </c>
      <c r="K42" s="110" t="s">
        <v>652</v>
      </c>
      <c r="L42" s="193"/>
    </row>
    <row r="43" spans="7:12">
      <c r="G43" s="198" t="s">
        <v>428</v>
      </c>
      <c r="H43" s="110">
        <v>183</v>
      </c>
      <c r="I43" s="110" t="s">
        <v>652</v>
      </c>
      <c r="J43" s="110" t="s">
        <v>652</v>
      </c>
      <c r="K43" s="110" t="s">
        <v>652</v>
      </c>
      <c r="L43" s="193"/>
    </row>
    <row r="44" spans="7:12">
      <c r="G44" s="198" t="s">
        <v>428</v>
      </c>
      <c r="H44" s="110">
        <v>184</v>
      </c>
      <c r="I44" s="110" t="s">
        <v>652</v>
      </c>
      <c r="J44" s="110" t="s">
        <v>652</v>
      </c>
      <c r="K44" s="110" t="s">
        <v>652</v>
      </c>
      <c r="L44" s="193"/>
    </row>
    <row r="45" spans="7:12">
      <c r="G45" s="198" t="s">
        <v>428</v>
      </c>
      <c r="H45" s="110">
        <v>189</v>
      </c>
      <c r="I45" s="110" t="s">
        <v>658</v>
      </c>
      <c r="J45" s="110" t="s">
        <v>658</v>
      </c>
      <c r="K45" s="110" t="s">
        <v>658</v>
      </c>
      <c r="L45" s="193"/>
    </row>
    <row r="46" spans="7:12">
      <c r="G46" s="198" t="s">
        <v>428</v>
      </c>
      <c r="H46" s="110">
        <v>257</v>
      </c>
      <c r="I46" s="110" t="s">
        <v>652</v>
      </c>
      <c r="J46" s="110" t="s">
        <v>652</v>
      </c>
      <c r="K46" s="110" t="s">
        <v>658</v>
      </c>
      <c r="L46" s="193"/>
    </row>
    <row r="47" spans="7:12">
      <c r="G47" s="198" t="s">
        <v>437</v>
      </c>
      <c r="H47" s="110">
        <v>132</v>
      </c>
      <c r="I47" s="110" t="s">
        <v>652</v>
      </c>
      <c r="J47" s="110" t="s">
        <v>652</v>
      </c>
      <c r="K47" s="110" t="s">
        <v>652</v>
      </c>
      <c r="L47" s="193"/>
    </row>
    <row r="48" spans="7:12">
      <c r="G48" s="198" t="s">
        <v>437</v>
      </c>
      <c r="H48" s="110">
        <v>134</v>
      </c>
      <c r="I48" s="110" t="s">
        <v>652</v>
      </c>
      <c r="J48" s="110" t="s">
        <v>652</v>
      </c>
      <c r="K48" s="110" t="s">
        <v>652</v>
      </c>
      <c r="L48" s="193"/>
    </row>
    <row r="49" spans="7:12" ht="30">
      <c r="G49" s="198" t="s">
        <v>432</v>
      </c>
      <c r="H49" s="110">
        <v>35</v>
      </c>
      <c r="I49" s="110" t="s">
        <v>652</v>
      </c>
      <c r="J49" s="110" t="s">
        <v>652</v>
      </c>
      <c r="K49" s="110" t="s">
        <v>652</v>
      </c>
      <c r="L49" s="193" t="s">
        <v>714</v>
      </c>
    </row>
    <row r="50" spans="7:12" ht="30">
      <c r="G50" s="198" t="s">
        <v>432</v>
      </c>
      <c r="H50" s="110">
        <v>51</v>
      </c>
      <c r="I50" s="110" t="s">
        <v>652</v>
      </c>
      <c r="J50" s="110" t="s">
        <v>652</v>
      </c>
      <c r="K50" s="110" t="s">
        <v>652</v>
      </c>
      <c r="L50" s="193" t="s">
        <v>715</v>
      </c>
    </row>
    <row r="51" spans="7:12">
      <c r="G51" s="198" t="s">
        <v>432</v>
      </c>
      <c r="H51" s="110">
        <v>54</v>
      </c>
      <c r="I51" s="110" t="s">
        <v>652</v>
      </c>
      <c r="J51" s="110" t="s">
        <v>652</v>
      </c>
      <c r="K51" s="110" t="s">
        <v>652</v>
      </c>
      <c r="L51" s="193"/>
    </row>
    <row r="52" spans="7:12" ht="30">
      <c r="G52" s="198" t="s">
        <v>432</v>
      </c>
      <c r="H52" s="110">
        <v>55</v>
      </c>
      <c r="I52" s="110" t="s">
        <v>652</v>
      </c>
      <c r="J52" s="110" t="s">
        <v>652</v>
      </c>
      <c r="K52" s="110" t="s">
        <v>652</v>
      </c>
      <c r="L52" s="193" t="s">
        <v>716</v>
      </c>
    </row>
    <row r="53" spans="7:12" ht="45">
      <c r="G53" s="198" t="s">
        <v>432</v>
      </c>
      <c r="H53" s="110">
        <v>75</v>
      </c>
      <c r="I53" s="110" t="s">
        <v>652</v>
      </c>
      <c r="J53" s="110" t="s">
        <v>652</v>
      </c>
      <c r="K53" s="110" t="s">
        <v>652</v>
      </c>
      <c r="L53" s="193" t="s">
        <v>717</v>
      </c>
    </row>
    <row r="54" spans="7:12">
      <c r="G54" s="198" t="s">
        <v>429</v>
      </c>
      <c r="H54" s="110">
        <v>44</v>
      </c>
      <c r="I54" s="110" t="s">
        <v>652</v>
      </c>
      <c r="J54" s="110" t="s">
        <v>652</v>
      </c>
      <c r="K54" s="110" t="s">
        <v>652</v>
      </c>
      <c r="L54" s="193" t="s">
        <v>727</v>
      </c>
    </row>
    <row r="55" spans="7:12">
      <c r="G55" s="198" t="s">
        <v>429</v>
      </c>
      <c r="H55" s="110">
        <v>45</v>
      </c>
      <c r="I55" s="110" t="s">
        <v>652</v>
      </c>
      <c r="J55" s="110" t="s">
        <v>652</v>
      </c>
      <c r="K55" s="110" t="s">
        <v>652</v>
      </c>
      <c r="L55" s="193" t="s">
        <v>727</v>
      </c>
    </row>
  </sheetData>
  <autoFilter ref="B3:E3"/>
  <dataValidations count="4">
    <dataValidation type="list" allowBlank="1" showInputMessage="1" showErrorMessage="1" sqref="E4:E6">
      <formula1>"Yes, No"</formula1>
    </dataValidation>
    <dataValidation type="list" allowBlank="1" showInputMessage="1" showErrorMessage="1" sqref="D4">
      <formula1>"Complete, Not Started"</formula1>
    </dataValidation>
    <dataValidation type="list" allowBlank="1" showInputMessage="1" showErrorMessage="1" sqref="D5:D6">
      <formula1>"Complete, In-Complete"</formula1>
    </dataValidation>
    <dataValidation type="list" allowBlank="1" showInputMessage="1" showErrorMessage="1" sqref="I4:K4">
      <formula1>"Yes,No"</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15"/>
  <dimension ref="A1:H23"/>
  <sheetViews>
    <sheetView tabSelected="1" zoomScale="70" zoomScaleNormal="70" workbookViewId="0">
      <selection activeCell="C22" sqref="C22"/>
    </sheetView>
  </sheetViews>
  <sheetFormatPr defaultRowHeight="15"/>
  <cols>
    <col min="3" max="3" width="41.7109375" customWidth="1"/>
    <col min="4" max="4" width="129.7109375" style="99" customWidth="1"/>
    <col min="5" max="5" width="37.28515625" customWidth="1"/>
    <col min="6" max="6" width="12.5703125" bestFit="1" customWidth="1"/>
  </cols>
  <sheetData>
    <row r="1" spans="1:8" ht="63.75">
      <c r="A1" s="9" t="s">
        <v>434</v>
      </c>
      <c r="B1" s="9" t="s">
        <v>3</v>
      </c>
      <c r="C1" s="9" t="s">
        <v>4</v>
      </c>
      <c r="D1" s="205" t="s">
        <v>955</v>
      </c>
      <c r="E1" s="205" t="s">
        <v>956</v>
      </c>
      <c r="F1" s="205" t="s">
        <v>957</v>
      </c>
      <c r="G1" s="205" t="s">
        <v>958</v>
      </c>
      <c r="H1" s="205" t="s">
        <v>959</v>
      </c>
    </row>
    <row r="2" spans="1:8" ht="60">
      <c r="A2" s="112" t="s">
        <v>431</v>
      </c>
      <c r="B2" s="112">
        <v>48</v>
      </c>
      <c r="C2" s="112" t="s">
        <v>71</v>
      </c>
      <c r="D2" s="117" t="s">
        <v>932</v>
      </c>
      <c r="E2" s="117" t="s">
        <v>933</v>
      </c>
      <c r="F2" s="207">
        <v>42369</v>
      </c>
      <c r="G2" s="117"/>
      <c r="H2" s="112"/>
    </row>
    <row r="3" spans="1:8" ht="45">
      <c r="A3" s="112" t="s">
        <v>431</v>
      </c>
      <c r="B3" s="112">
        <v>77</v>
      </c>
      <c r="C3" s="112" t="s">
        <v>107</v>
      </c>
      <c r="D3" s="117" t="s">
        <v>934</v>
      </c>
      <c r="E3" s="117" t="s">
        <v>935</v>
      </c>
      <c r="F3" s="207">
        <v>42460</v>
      </c>
      <c r="G3" s="117"/>
      <c r="H3" s="112"/>
    </row>
    <row r="4" spans="1:8" ht="45">
      <c r="A4" s="112" t="s">
        <v>431</v>
      </c>
      <c r="B4" s="112">
        <v>78</v>
      </c>
      <c r="C4" s="112" t="s">
        <v>108</v>
      </c>
      <c r="D4" s="117" t="s">
        <v>934</v>
      </c>
      <c r="E4" s="117" t="s">
        <v>935</v>
      </c>
      <c r="F4" s="117"/>
      <c r="G4" s="117"/>
      <c r="H4" s="112"/>
    </row>
    <row r="5" spans="1:8" ht="45">
      <c r="A5" s="112" t="s">
        <v>431</v>
      </c>
      <c r="B5" s="112">
        <v>81</v>
      </c>
      <c r="C5" s="112" t="s">
        <v>112</v>
      </c>
      <c r="D5" s="117" t="s">
        <v>934</v>
      </c>
      <c r="E5" s="117" t="s">
        <v>935</v>
      </c>
      <c r="F5" s="207"/>
      <c r="G5" s="117"/>
      <c r="H5" s="112"/>
    </row>
    <row r="6" spans="1:8" ht="60">
      <c r="A6" s="112" t="s">
        <v>431</v>
      </c>
      <c r="B6" s="112">
        <v>83</v>
      </c>
      <c r="C6" s="112" t="s">
        <v>115</v>
      </c>
      <c r="D6" s="117" t="s">
        <v>932</v>
      </c>
      <c r="E6" s="117" t="s">
        <v>936</v>
      </c>
      <c r="F6" s="117"/>
      <c r="G6" s="117"/>
      <c r="H6" s="112"/>
    </row>
    <row r="7" spans="1:8" ht="30">
      <c r="A7" s="112" t="s">
        <v>438</v>
      </c>
      <c r="B7" s="112">
        <v>105</v>
      </c>
      <c r="C7" s="112" t="s">
        <v>144</v>
      </c>
      <c r="D7" s="117" t="s">
        <v>937</v>
      </c>
      <c r="E7" s="117" t="s">
        <v>938</v>
      </c>
      <c r="F7" s="207">
        <v>42457</v>
      </c>
      <c r="G7" s="117"/>
      <c r="H7" s="112"/>
    </row>
    <row r="8" spans="1:8" ht="45">
      <c r="A8" s="112" t="s">
        <v>438</v>
      </c>
      <c r="B8" s="112">
        <v>138</v>
      </c>
      <c r="C8" s="112" t="s">
        <v>228</v>
      </c>
      <c r="D8" s="117" t="s">
        <v>939</v>
      </c>
      <c r="E8" s="117" t="s">
        <v>940</v>
      </c>
      <c r="F8" s="207">
        <v>42369</v>
      </c>
      <c r="G8" s="117"/>
      <c r="H8" s="112"/>
    </row>
    <row r="9" spans="1:8" ht="30">
      <c r="A9" s="112" t="s">
        <v>438</v>
      </c>
      <c r="B9" s="112">
        <v>139</v>
      </c>
      <c r="C9" s="112" t="s">
        <v>229</v>
      </c>
      <c r="D9" s="117" t="s">
        <v>939</v>
      </c>
      <c r="E9" s="117" t="s">
        <v>941</v>
      </c>
      <c r="F9" s="207">
        <v>42369</v>
      </c>
      <c r="G9" s="117"/>
      <c r="H9" s="112"/>
    </row>
    <row r="10" spans="1:8" ht="135">
      <c r="A10" s="112" t="s">
        <v>428</v>
      </c>
      <c r="B10" s="112">
        <v>38</v>
      </c>
      <c r="C10" s="112" t="s">
        <v>55</v>
      </c>
      <c r="D10" s="117" t="s">
        <v>942</v>
      </c>
      <c r="E10" s="117" t="s">
        <v>943</v>
      </c>
      <c r="F10" s="207">
        <v>42272</v>
      </c>
      <c r="G10" s="117"/>
      <c r="H10" s="112"/>
    </row>
    <row r="11" spans="1:8" ht="60">
      <c r="A11" s="112" t="s">
        <v>428</v>
      </c>
      <c r="B11" s="112">
        <v>41</v>
      </c>
      <c r="C11" s="112" t="s">
        <v>58</v>
      </c>
      <c r="D11" s="117" t="s">
        <v>944</v>
      </c>
      <c r="E11" s="117" t="s">
        <v>945</v>
      </c>
      <c r="F11" s="207">
        <v>42270</v>
      </c>
      <c r="G11" s="117"/>
      <c r="H11" s="112"/>
    </row>
    <row r="12" spans="1:8" ht="120">
      <c r="A12" s="112" t="s">
        <v>428</v>
      </c>
      <c r="B12" s="112">
        <v>42</v>
      </c>
      <c r="C12" s="112" t="s">
        <v>59</v>
      </c>
      <c r="D12" s="117" t="s">
        <v>946</v>
      </c>
      <c r="E12" s="117" t="s">
        <v>947</v>
      </c>
      <c r="F12" s="207"/>
      <c r="G12" s="117"/>
      <c r="H12" s="112"/>
    </row>
    <row r="13" spans="1:8" ht="165">
      <c r="A13" s="112" t="s">
        <v>428</v>
      </c>
      <c r="B13" s="112">
        <v>46</v>
      </c>
      <c r="C13" s="112" t="s">
        <v>66</v>
      </c>
      <c r="D13" s="117" t="s">
        <v>944</v>
      </c>
      <c r="E13" s="117" t="s">
        <v>948</v>
      </c>
      <c r="F13" s="207">
        <v>42311</v>
      </c>
      <c r="G13" s="117"/>
      <c r="H13" s="112"/>
    </row>
    <row r="14" spans="1:8" ht="75">
      <c r="A14" s="112" t="s">
        <v>428</v>
      </c>
      <c r="B14" s="112">
        <v>49</v>
      </c>
      <c r="C14" s="112" t="s">
        <v>73</v>
      </c>
      <c r="D14" s="117" t="s">
        <v>944</v>
      </c>
      <c r="E14" s="117" t="s">
        <v>949</v>
      </c>
      <c r="F14" s="207">
        <v>42311</v>
      </c>
      <c r="G14" s="117"/>
      <c r="H14" s="112"/>
    </row>
    <row r="15" spans="1:8" ht="195">
      <c r="A15" s="112" t="s">
        <v>428</v>
      </c>
      <c r="B15" s="112">
        <v>136</v>
      </c>
      <c r="C15" s="112" t="s">
        <v>226</v>
      </c>
      <c r="D15" s="117" t="s">
        <v>944</v>
      </c>
      <c r="E15" s="117" t="s">
        <v>950</v>
      </c>
      <c r="F15" s="117"/>
      <c r="G15" s="117"/>
      <c r="H15" s="112"/>
    </row>
    <row r="16" spans="1:8" ht="90">
      <c r="A16" s="112" t="s">
        <v>428</v>
      </c>
      <c r="B16" s="112">
        <v>257</v>
      </c>
      <c r="C16" s="112" t="s">
        <v>344</v>
      </c>
      <c r="D16" s="117" t="s">
        <v>946</v>
      </c>
      <c r="E16" s="117" t="s">
        <v>951</v>
      </c>
      <c r="F16" s="207">
        <v>42369</v>
      </c>
      <c r="G16" s="117"/>
      <c r="H16" s="112"/>
    </row>
    <row r="17" spans="1:8">
      <c r="A17" s="112" t="s">
        <v>432</v>
      </c>
      <c r="B17" s="112">
        <v>35</v>
      </c>
      <c r="C17" s="112" t="s">
        <v>50</v>
      </c>
      <c r="D17" s="117"/>
      <c r="E17" s="112"/>
      <c r="F17" s="112"/>
      <c r="G17" s="112"/>
      <c r="H17" s="112"/>
    </row>
    <row r="18" spans="1:8">
      <c r="A18" s="112" t="s">
        <v>432</v>
      </c>
      <c r="B18" s="112">
        <v>51</v>
      </c>
      <c r="C18" s="112" t="s">
        <v>77</v>
      </c>
      <c r="D18" s="117"/>
      <c r="E18" s="112"/>
      <c r="F18" s="112"/>
      <c r="G18" s="112"/>
      <c r="H18" s="112"/>
    </row>
    <row r="19" spans="1:8">
      <c r="A19" s="112" t="s">
        <v>432</v>
      </c>
      <c r="B19" s="112">
        <v>54</v>
      </c>
      <c r="C19" s="112" t="s">
        <v>82</v>
      </c>
      <c r="D19" s="117"/>
      <c r="E19" s="112"/>
      <c r="F19" s="112"/>
      <c r="G19" s="112"/>
      <c r="H19" s="112"/>
    </row>
    <row r="20" spans="1:8">
      <c r="A20" s="112" t="s">
        <v>432</v>
      </c>
      <c r="B20" s="112">
        <v>55</v>
      </c>
      <c r="C20" s="112" t="s">
        <v>83</v>
      </c>
      <c r="D20" s="117"/>
      <c r="E20" s="112"/>
      <c r="F20" s="112"/>
      <c r="G20" s="112"/>
      <c r="H20" s="112"/>
    </row>
    <row r="21" spans="1:8">
      <c r="A21" s="112" t="s">
        <v>432</v>
      </c>
      <c r="B21" s="112">
        <v>75</v>
      </c>
      <c r="C21" s="112" t="s">
        <v>104</v>
      </c>
      <c r="D21" s="117"/>
      <c r="E21" s="117"/>
      <c r="F21" s="112"/>
      <c r="G21" s="112"/>
      <c r="H21" s="112"/>
    </row>
    <row r="22" spans="1:8" ht="360">
      <c r="A22" s="112" t="s">
        <v>429</v>
      </c>
      <c r="B22" s="112">
        <v>44</v>
      </c>
      <c r="C22" s="112" t="s">
        <v>61</v>
      </c>
      <c r="D22" s="117" t="s">
        <v>952</v>
      </c>
      <c r="E22" s="117" t="s">
        <v>953</v>
      </c>
      <c r="F22" s="112"/>
      <c r="G22" s="112"/>
      <c r="H22" s="112"/>
    </row>
    <row r="23" spans="1:8" ht="360">
      <c r="A23" s="112" t="s">
        <v>429</v>
      </c>
      <c r="B23" s="112">
        <v>45</v>
      </c>
      <c r="C23" s="112" t="s">
        <v>65</v>
      </c>
      <c r="D23" s="117" t="s">
        <v>954</v>
      </c>
      <c r="E23" s="117" t="s">
        <v>953</v>
      </c>
      <c r="F23" s="112"/>
      <c r="G23" s="112"/>
      <c r="H2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9"/>
  <dimension ref="B1:CF95"/>
  <sheetViews>
    <sheetView topLeftCell="A40" zoomScale="85" zoomScaleNormal="85" workbookViewId="0">
      <selection activeCell="H89" sqref="H89"/>
    </sheetView>
  </sheetViews>
  <sheetFormatPr defaultRowHeight="15" outlineLevelCol="1"/>
  <cols>
    <col min="1" max="1" width="1.140625" customWidth="1"/>
    <col min="2" max="2" width="51.85546875" customWidth="1"/>
    <col min="5" max="5" width="20.42578125" bestFit="1" customWidth="1"/>
    <col min="8" max="8" width="11" bestFit="1" customWidth="1"/>
    <col min="13" max="14" width="9.140625" hidden="1" customWidth="1" outlineLevel="1"/>
    <col min="15" max="15" width="18.85546875" hidden="1" customWidth="1" outlineLevel="1"/>
    <col min="16" max="51" width="9.140625" hidden="1" customWidth="1" outlineLevel="1"/>
    <col min="52" max="52" width="9.140625" collapsed="1"/>
    <col min="54" max="54" width="15" bestFit="1" customWidth="1"/>
    <col min="55" max="55" width="19.5703125" bestFit="1" customWidth="1"/>
    <col min="56" max="56" width="33.140625" bestFit="1" customWidth="1"/>
    <col min="57" max="57" width="33.140625" hidden="1" customWidth="1"/>
    <col min="59" max="65" width="9.140625" hidden="1" customWidth="1"/>
    <col min="66" max="66" width="8" customWidth="1"/>
    <col min="67" max="67" width="11" bestFit="1" customWidth="1"/>
    <col min="68" max="68" width="19.5703125" bestFit="1" customWidth="1"/>
    <col min="69" max="69" width="33.28515625" bestFit="1" customWidth="1"/>
    <col min="70" max="70" width="33.28515625" hidden="1" customWidth="1"/>
    <col min="72" max="78" width="0" hidden="1" customWidth="1"/>
    <col min="80" max="80" width="15.28515625" bestFit="1" customWidth="1"/>
    <col min="81" max="81" width="19.5703125" bestFit="1" customWidth="1"/>
    <col min="82" max="82" width="33.5703125" bestFit="1" customWidth="1"/>
    <col min="83" max="83" width="33.5703125" hidden="1" customWidth="1"/>
  </cols>
  <sheetData>
    <row r="1" spans="2:84" ht="7.5" customHeight="1"/>
    <row r="2" spans="2:84">
      <c r="B2" s="83" t="s">
        <v>622</v>
      </c>
    </row>
    <row r="3" spans="2:84">
      <c r="O3" s="86"/>
      <c r="P3" s="242" t="s">
        <v>623</v>
      </c>
      <c r="Q3" s="243"/>
      <c r="R3" s="243"/>
      <c r="S3" s="243"/>
      <c r="T3" s="243"/>
      <c r="U3" s="243"/>
      <c r="V3" s="243"/>
      <c r="W3" s="243"/>
      <c r="X3" s="244"/>
      <c r="Y3" s="242" t="s">
        <v>630</v>
      </c>
      <c r="Z3" s="243"/>
      <c r="AA3" s="244"/>
      <c r="AB3" s="86"/>
    </row>
    <row r="4" spans="2:84" ht="30" customHeight="1">
      <c r="B4" s="240" t="s">
        <v>623</v>
      </c>
      <c r="C4" s="241"/>
      <c r="E4" s="98" t="s">
        <v>624</v>
      </c>
      <c r="F4" s="97" t="s">
        <v>642</v>
      </c>
      <c r="G4" s="97" t="s">
        <v>625</v>
      </c>
      <c r="H4" s="97" t="s">
        <v>639</v>
      </c>
      <c r="I4" s="97" t="s">
        <v>625</v>
      </c>
      <c r="K4" s="97" t="s">
        <v>626</v>
      </c>
      <c r="L4" s="97" t="s">
        <v>625</v>
      </c>
      <c r="O4" s="86"/>
      <c r="P4" s="87" t="s">
        <v>631</v>
      </c>
      <c r="Q4" s="87" t="s">
        <v>7</v>
      </c>
      <c r="R4" s="87" t="s">
        <v>8</v>
      </c>
      <c r="S4" s="87" t="s">
        <v>451</v>
      </c>
      <c r="T4" s="87" t="s">
        <v>632</v>
      </c>
      <c r="U4" s="87" t="s">
        <v>633</v>
      </c>
      <c r="V4" s="87" t="s">
        <v>9</v>
      </c>
      <c r="W4" s="87" t="s">
        <v>10</v>
      </c>
      <c r="X4" s="87" t="s">
        <v>11</v>
      </c>
      <c r="Y4" s="88" t="s">
        <v>627</v>
      </c>
      <c r="Z4" s="88" t="s">
        <v>628</v>
      </c>
      <c r="AA4" s="88" t="s">
        <v>629</v>
      </c>
      <c r="AB4" s="87" t="s">
        <v>634</v>
      </c>
    </row>
    <row r="5" spans="2:84">
      <c r="B5" s="84" t="s">
        <v>639</v>
      </c>
      <c r="C5" s="85" t="e">
        <f>312-C6</f>
        <v>#VALUE!</v>
      </c>
      <c r="E5" s="84" t="s">
        <v>432</v>
      </c>
      <c r="F5" s="85" t="e">
        <f>COUNTIF('[1]Completion Matrix'!$E$3:$E$306,E5)</f>
        <v>#VALUE!</v>
      </c>
      <c r="G5" s="245" t="e">
        <f>SUM(F5:F13)</f>
        <v>#VALUE!</v>
      </c>
      <c r="H5" s="95" t="e">
        <f>COUNTIFS('[1]Completion Matrix'!$E$3:$E$306,E5,'[1]Completion Matrix'!$F$3:$F$306,"")+COUNTIFS('[1]Completion Matrix'!$E$3:$E$306,E5,'[1]Completion Matrix'!$F$3:$F$306,"Standard Formula co only")</f>
        <v>#VALUE!</v>
      </c>
      <c r="I5" s="245" t="e">
        <f>SUM(H5:H13)</f>
        <v>#VALUE!</v>
      </c>
      <c r="K5" s="84" t="s">
        <v>635</v>
      </c>
      <c r="L5" s="93" t="e">
        <f>COUNTIF('[1]Completion Matrix'!P:P,"B")</f>
        <v>#VALUE!</v>
      </c>
      <c r="O5" s="89" t="s">
        <v>432</v>
      </c>
      <c r="P5" s="90" t="e">
        <f>COUNTIFS('[1]Completion Matrix'!$E$3:$E$306,$O5,'[1]Completion Matrix'!F$3:F$306,"")</f>
        <v>#VALUE!</v>
      </c>
      <c r="Q5" s="90" t="e">
        <f>COUNTIFS('[1]Completion Matrix'!$E$3:$E$306,$O5,'[1]Completion Matrix'!G$3:G$306,"")</f>
        <v>#VALUE!</v>
      </c>
      <c r="R5" s="90" t="e">
        <f>COUNTIFS('[1]Completion Matrix'!$E$3:$E$306,$O5,'[1]Completion Matrix'!H$3:H$306,"")</f>
        <v>#VALUE!</v>
      </c>
      <c r="S5" s="90" t="e">
        <f>COUNTIFS('[1]Completion Matrix'!$E$3:$E$306,$O5,'[1]Completion Matrix'!I$3:I$306,"")</f>
        <v>#VALUE!</v>
      </c>
      <c r="T5" s="90" t="e">
        <f>COUNTIFS('[1]Completion Matrix'!$E$3:$E$306,$O5,'[1]Completion Matrix'!J$3:J$306,"")</f>
        <v>#VALUE!</v>
      </c>
      <c r="U5" s="90" t="e">
        <f>COUNTIFS('[1]Completion Matrix'!$E$3:$E$306,$O5,'[1]Completion Matrix'!K$3:K$306,"")</f>
        <v>#VALUE!</v>
      </c>
      <c r="V5" s="90" t="e">
        <f>COUNTIFS('[1]Completion Matrix'!$E$3:$E$306,$O5,'[1]Completion Matrix'!L$3:L$306,"")</f>
        <v>#VALUE!</v>
      </c>
      <c r="W5" s="90" t="e">
        <f>COUNTIFS('[1]Completion Matrix'!$E$3:$E$306,$O5,'[1]Completion Matrix'!M$3:M$306,"")</f>
        <v>#VALUE!</v>
      </c>
      <c r="X5" s="90" t="e">
        <f>COUNTIFS('[1]Completion Matrix'!$E$3:$E$306,$O5,'[1]Completion Matrix'!N$3:N$306,"")</f>
        <v>#VALUE!</v>
      </c>
      <c r="Y5" s="91" t="e">
        <f>COUNTIFS('[1]Completion Matrix'!$E$3:$E$306,$O5,'[1]Completion Matrix'!$P$3:$P$306,"R")</f>
        <v>#VALUE!</v>
      </c>
      <c r="Z5" s="91" t="e">
        <f>COUNTIFS('[1]Completion Matrix'!$E$3:$E$306,$O5,'[1]Completion Matrix'!$P$3:$P$306,"A")</f>
        <v>#VALUE!</v>
      </c>
      <c r="AA5" s="91" t="e">
        <f>COUNTIFS('[1]Completion Matrix'!$E$3:$E$306,$O5,'[1]Completion Matrix'!$P$3:$P$306,"G")</f>
        <v>#VALUE!</v>
      </c>
      <c r="AB5" s="84" t="e">
        <f>SUM(P5:X5)</f>
        <v>#VALUE!</v>
      </c>
      <c r="BB5" s="224" t="s">
        <v>432</v>
      </c>
      <c r="BC5" s="227" t="s">
        <v>595</v>
      </c>
      <c r="BD5" s="94" t="s">
        <v>468</v>
      </c>
      <c r="BE5" s="94" t="str">
        <f>IF(ISNA(BG5),"",$BC$5&amp;"|"&amp;BD5)</f>
        <v>No Gap|Ready</v>
      </c>
      <c r="BF5" s="95" t="e">
        <f>COUNTIFS('[1]Completion Matrix'!$E:$E,'Dashboard 3'!$BB$5,'[1]Completion Matrix'!$I:$I,$BC$5,'[1]Completion Matrix'!$J:$J,BD5)</f>
        <v>#VALUE!</v>
      </c>
      <c r="BG5" s="95" t="e">
        <f>IF(COUNTIFS('[1]Completion Matrix'!$E:$E,'Dashboard 3'!$BB$5,'[1]Completion Matrix'!$I:$I,$BC$5,'[1]Completion Matrix'!$J:$J,BD5)=0,NA(),COUNTIFS('[1]Completion Matrix'!$E:$E,'Dashboard 3'!$BB$5,'[1]Completion Matrix'!$I:$I,$BC$5,'[1]Completion Matrix'!$J:$J,BD5))</f>
        <v>#VALUE!</v>
      </c>
      <c r="BH5" s="96"/>
      <c r="BI5" s="96"/>
      <c r="BJ5" s="96"/>
      <c r="BK5" s="96"/>
      <c r="BL5" s="96"/>
      <c r="BM5" s="96"/>
      <c r="BO5" s="224" t="s">
        <v>429</v>
      </c>
      <c r="BP5" s="227" t="s">
        <v>595</v>
      </c>
      <c r="BQ5" s="94" t="s">
        <v>468</v>
      </c>
      <c r="BR5" s="94"/>
      <c r="BS5" s="95" t="e">
        <f>COUNTIFS('[1]Completion Matrix'!$E:$E,'Dashboard 3'!$BO$5,'[1]Completion Matrix'!$I:$I,$BP$5,'[1]Completion Matrix'!$J:$J,BQ5)</f>
        <v>#VALUE!</v>
      </c>
      <c r="BT5" s="96"/>
      <c r="BU5" s="96"/>
      <c r="BV5" s="96"/>
      <c r="BW5" s="96"/>
      <c r="BX5" s="96"/>
      <c r="BY5" s="96"/>
      <c r="BZ5" s="96"/>
      <c r="CB5" s="224" t="s">
        <v>430</v>
      </c>
      <c r="CC5" s="227" t="s">
        <v>595</v>
      </c>
      <c r="CD5" s="94" t="s">
        <v>468</v>
      </c>
      <c r="CE5" s="94"/>
      <c r="CF5" s="95" t="e">
        <f>COUNTIFS('[1]Completion Matrix'!$E:$E,'Dashboard 3'!$CB$5,'[1]Completion Matrix'!$I:$I,$CC$5,'[1]Completion Matrix'!$J:$J,CD5)</f>
        <v>#VALUE!</v>
      </c>
    </row>
    <row r="6" spans="2:84">
      <c r="B6" s="84" t="s">
        <v>640</v>
      </c>
      <c r="C6" s="85" t="e">
        <f>COUNTIF('[1]Completion Matrix'!$E$3:$E$306,"")+COUNTIF('[1]Completion Matrix'!$E$3:$E$306,"NA")</f>
        <v>#VALUE!</v>
      </c>
      <c r="E6" s="84" t="s">
        <v>429</v>
      </c>
      <c r="F6" s="85" t="e">
        <f>COUNTIF('[1]Completion Matrix'!$E$3:$E$306,E6)</f>
        <v>#VALUE!</v>
      </c>
      <c r="G6" s="245"/>
      <c r="H6" s="95" t="e">
        <f>COUNTIFS('[1]Completion Matrix'!$E$3:$E$306,E6,'[1]Completion Matrix'!$F$3:$F$306,"")+COUNTIFS('[1]Completion Matrix'!$E$3:$E$306,E6,'[1]Completion Matrix'!$F$3:$F$306,"Standard Formula co only")</f>
        <v>#VALUE!</v>
      </c>
      <c r="I6" s="245"/>
      <c r="K6" s="84" t="s">
        <v>627</v>
      </c>
      <c r="L6" s="93" t="e">
        <f>COUNTIF('[1]Completion Matrix'!P:P,"R")</f>
        <v>#VALUE!</v>
      </c>
      <c r="O6" s="89" t="s">
        <v>429</v>
      </c>
      <c r="P6" s="90" t="e">
        <f>COUNTIFS('[1]Completion Matrix'!$E$3:$E$306,$O6,'[1]Completion Matrix'!F$3:F$306,"")</f>
        <v>#VALUE!</v>
      </c>
      <c r="Q6" s="90" t="e">
        <f>COUNTIFS('[1]Completion Matrix'!$E$3:$E$306,$O6,'[1]Completion Matrix'!G$3:G$306,"")</f>
        <v>#VALUE!</v>
      </c>
      <c r="R6" s="90" t="e">
        <f>COUNTIFS('[1]Completion Matrix'!$E$3:$E$306,$O6,'[1]Completion Matrix'!H$3:H$306,"")</f>
        <v>#VALUE!</v>
      </c>
      <c r="S6" s="90" t="e">
        <f>COUNTIFS('[1]Completion Matrix'!$E$3:$E$306,$O6,'[1]Completion Matrix'!I$3:I$306,"")</f>
        <v>#VALUE!</v>
      </c>
      <c r="T6" s="90" t="e">
        <f>COUNTIFS('[1]Completion Matrix'!$E$3:$E$306,$O6,'[1]Completion Matrix'!J$3:J$306,"")</f>
        <v>#VALUE!</v>
      </c>
      <c r="U6" s="90" t="e">
        <f>COUNTIFS('[1]Completion Matrix'!$E$3:$E$306,$O6,'[1]Completion Matrix'!K$3:K$306,"")</f>
        <v>#VALUE!</v>
      </c>
      <c r="V6" s="90" t="e">
        <f>COUNTIFS('[1]Completion Matrix'!$E$3:$E$306,$O6,'[1]Completion Matrix'!L$3:L$306,"")</f>
        <v>#VALUE!</v>
      </c>
      <c r="W6" s="90" t="e">
        <f>COUNTIFS('[1]Completion Matrix'!$E$3:$E$306,$O6,'[1]Completion Matrix'!M$3:M$306,"")</f>
        <v>#VALUE!</v>
      </c>
      <c r="X6" s="90" t="e">
        <f>COUNTIFS('[1]Completion Matrix'!$E$3:$E$306,$O6,'[1]Completion Matrix'!N$3:N$306,"")</f>
        <v>#VALUE!</v>
      </c>
      <c r="Y6" s="91" t="e">
        <f>COUNTIFS('[1]Completion Matrix'!$E$3:$E$306,$O6,'[1]Completion Matrix'!$P$3:$P$306,"R")</f>
        <v>#VALUE!</v>
      </c>
      <c r="Z6" s="91" t="e">
        <f>COUNTIFS('[1]Completion Matrix'!$E$3:$E$306,$O6,'[1]Completion Matrix'!$P$3:$P$306,"A")</f>
        <v>#VALUE!</v>
      </c>
      <c r="AA6" s="91" t="e">
        <f>COUNTIFS('[1]Completion Matrix'!$E$3:$E$306,$O6,'[1]Completion Matrix'!$P$3:$P$306,"G")</f>
        <v>#VALUE!</v>
      </c>
      <c r="AB6" s="84" t="e">
        <f t="shared" ref="AB6:AB13" si="0">SUM(P6:X6)</f>
        <v>#VALUE!</v>
      </c>
      <c r="BB6" s="225"/>
      <c r="BC6" s="227"/>
      <c r="BD6" s="94" t="s">
        <v>459</v>
      </c>
      <c r="BE6" s="94" t="str">
        <f>IF(ISNA(BG6),"",$BC$5&amp;"|"&amp;BD6)</f>
        <v>No Gap|Improvements Needed</v>
      </c>
      <c r="BF6" s="95" t="e">
        <f>COUNTIFS('[1]Completion Matrix'!$E:$E,'Dashboard 3'!$BB$5,'[1]Completion Matrix'!$I:$I,$BC$5,'[1]Completion Matrix'!$J:$J,BD6)</f>
        <v>#VALUE!</v>
      </c>
      <c r="BG6" s="95" t="e">
        <f>IF(COUNTIFS('[1]Completion Matrix'!$E:$E,'Dashboard 3'!$BB$5,'[1]Completion Matrix'!$I:$I,$BC$5,'[1]Completion Matrix'!$J:$J,BD6)=0,NA(),COUNTIFS('[1]Completion Matrix'!$E:$E,'Dashboard 3'!$BB$5,'[1]Completion Matrix'!$I:$I,$BC$5,'[1]Completion Matrix'!$J:$J,BD6))</f>
        <v>#VALUE!</v>
      </c>
      <c r="BH6" s="96"/>
      <c r="BI6" s="96"/>
      <c r="BJ6" s="96"/>
      <c r="BK6" s="96"/>
      <c r="BL6" s="96"/>
      <c r="BM6" s="96"/>
      <c r="BO6" s="225"/>
      <c r="BP6" s="227"/>
      <c r="BQ6" s="94" t="s">
        <v>459</v>
      </c>
      <c r="BR6" s="94"/>
      <c r="BS6" s="95" t="e">
        <f>COUNTIFS('[1]Completion Matrix'!$E:$E,'Dashboard 3'!$BO$5,'[1]Completion Matrix'!$I:$I,$BP$5,'[1]Completion Matrix'!$J:$J,BQ6)</f>
        <v>#VALUE!</v>
      </c>
      <c r="BT6" s="96"/>
      <c r="BU6" s="96"/>
      <c r="BV6" s="96"/>
      <c r="BW6" s="96"/>
      <c r="BX6" s="96"/>
      <c r="BY6" s="96"/>
      <c r="BZ6" s="96"/>
      <c r="CB6" s="225"/>
      <c r="CC6" s="227"/>
      <c r="CD6" s="94" t="s">
        <v>459</v>
      </c>
      <c r="CE6" s="94"/>
      <c r="CF6" s="95" t="e">
        <f>COUNTIFS('[1]Completion Matrix'!$E:$E,'Dashboard 3'!$CB$5,'[1]Completion Matrix'!$I:$I,$CC$5,'[1]Completion Matrix'!$J:$J,CD6)</f>
        <v>#VALUE!</v>
      </c>
    </row>
    <row r="7" spans="2:84">
      <c r="C7" s="85" t="e">
        <f>SUM(C5:C6)</f>
        <v>#VALUE!</v>
      </c>
      <c r="E7" s="84" t="s">
        <v>430</v>
      </c>
      <c r="F7" s="85" t="e">
        <f>COUNTIF('[1]Completion Matrix'!$E$3:$E$306,E7)</f>
        <v>#VALUE!</v>
      </c>
      <c r="G7" s="245"/>
      <c r="H7" s="95" t="e">
        <f>COUNTIFS('[1]Completion Matrix'!$E$3:$E$306,E7,'[1]Completion Matrix'!$F$3:$F$306,"")+COUNTIFS('[1]Completion Matrix'!$E$3:$E$306,E7,'[1]Completion Matrix'!$F$3:$F$306,"Standard Formula co only")</f>
        <v>#VALUE!</v>
      </c>
      <c r="I7" s="245"/>
      <c r="K7" s="84" t="s">
        <v>628</v>
      </c>
      <c r="L7" s="93" t="e">
        <f>COUNTIF('[1]Completion Matrix'!P:P,"R")</f>
        <v>#VALUE!</v>
      </c>
      <c r="O7" s="89" t="s">
        <v>430</v>
      </c>
      <c r="P7" s="90" t="e">
        <f>COUNTIFS('[1]Completion Matrix'!$E$3:$E$306,$O7,'[1]Completion Matrix'!F$3:F$306,"")</f>
        <v>#VALUE!</v>
      </c>
      <c r="Q7" s="90" t="e">
        <f>COUNTIFS('[1]Completion Matrix'!$E$3:$E$306,$O7,'[1]Completion Matrix'!G$3:G$306,"")</f>
        <v>#VALUE!</v>
      </c>
      <c r="R7" s="90" t="e">
        <f>COUNTIFS('[1]Completion Matrix'!$E$3:$E$306,$O7,'[1]Completion Matrix'!H$3:H$306,"")</f>
        <v>#VALUE!</v>
      </c>
      <c r="S7" s="90" t="e">
        <f>COUNTIFS('[1]Completion Matrix'!$E$3:$E$306,$O7,'[1]Completion Matrix'!I$3:I$306,"")</f>
        <v>#VALUE!</v>
      </c>
      <c r="T7" s="90" t="e">
        <f>COUNTIFS('[1]Completion Matrix'!$E$3:$E$306,$O7,'[1]Completion Matrix'!J$3:J$306,"")</f>
        <v>#VALUE!</v>
      </c>
      <c r="U7" s="90" t="e">
        <f>COUNTIFS('[1]Completion Matrix'!$E$3:$E$306,$O7,'[1]Completion Matrix'!K$3:K$306,"")</f>
        <v>#VALUE!</v>
      </c>
      <c r="V7" s="90" t="e">
        <f>COUNTIFS('[1]Completion Matrix'!$E$3:$E$306,$O7,'[1]Completion Matrix'!L$3:L$306,"")</f>
        <v>#VALUE!</v>
      </c>
      <c r="W7" s="90" t="e">
        <f>COUNTIFS('[1]Completion Matrix'!$E$3:$E$306,$O7,'[1]Completion Matrix'!M$3:M$306,"")</f>
        <v>#VALUE!</v>
      </c>
      <c r="X7" s="90" t="e">
        <f>COUNTIFS('[1]Completion Matrix'!$E$3:$E$306,$O7,'[1]Completion Matrix'!N$3:N$306,"")</f>
        <v>#VALUE!</v>
      </c>
      <c r="Y7" s="91" t="e">
        <f>COUNTIFS('[1]Completion Matrix'!$E$3:$E$306,$O7,'[1]Completion Matrix'!$P$3:$P$306,"R")</f>
        <v>#VALUE!</v>
      </c>
      <c r="Z7" s="91" t="e">
        <f>COUNTIFS('[1]Completion Matrix'!$E$3:$E$306,$O7,'[1]Completion Matrix'!$P$3:$P$306,"A")</f>
        <v>#VALUE!</v>
      </c>
      <c r="AA7" s="91" t="e">
        <f>COUNTIFS('[1]Completion Matrix'!$E$3:$E$306,$O7,'[1]Completion Matrix'!$P$3:$P$306,"G")</f>
        <v>#VALUE!</v>
      </c>
      <c r="AB7" s="84" t="e">
        <f t="shared" si="0"/>
        <v>#VALUE!</v>
      </c>
      <c r="BB7" s="225"/>
      <c r="BC7" s="227"/>
      <c r="BD7" s="94" t="s">
        <v>462</v>
      </c>
      <c r="BE7" s="94" t="str">
        <f t="shared" ref="BE7:BE20" si="1">IF(ISNA(BG7),"",$BC$5&amp;"|"&amp;BD7)</f>
        <v>No Gap|Significant Improvements Needed</v>
      </c>
      <c r="BF7" s="95" t="e">
        <f>COUNTIFS('[1]Completion Matrix'!$E:$E,'Dashboard 3'!$BB$5,'[1]Completion Matrix'!$I:$I,$BC$5,'[1]Completion Matrix'!$J:$J,BD7)</f>
        <v>#VALUE!</v>
      </c>
      <c r="BG7" s="95" t="e">
        <f>IF(COUNTIFS('[1]Completion Matrix'!$E:$E,'Dashboard 3'!$BB$5,'[1]Completion Matrix'!$I:$I,$BC$5,'[1]Completion Matrix'!$J:$J,BD7)=0,NA(),COUNTIFS('[1]Completion Matrix'!$E:$E,'Dashboard 3'!$BB$5,'[1]Completion Matrix'!$I:$I,$BC$5,'[1]Completion Matrix'!$J:$J,BD7))</f>
        <v>#VALUE!</v>
      </c>
      <c r="BH7" s="96"/>
      <c r="BI7" s="96"/>
      <c r="BJ7" s="96"/>
      <c r="BK7" s="96"/>
      <c r="BL7" s="96"/>
      <c r="BM7" s="96"/>
      <c r="BO7" s="225"/>
      <c r="BP7" s="227"/>
      <c r="BQ7" s="94" t="s">
        <v>462</v>
      </c>
      <c r="BR7" s="94"/>
      <c r="BS7" s="95" t="e">
        <f>COUNTIFS('[1]Completion Matrix'!$E:$E,'Dashboard 3'!$BO$5,'[1]Completion Matrix'!$I:$I,$BP$5,'[1]Completion Matrix'!$J:$J,BQ7)</f>
        <v>#VALUE!</v>
      </c>
      <c r="BT7" s="96"/>
      <c r="BU7" s="96"/>
      <c r="BV7" s="96"/>
      <c r="BW7" s="96"/>
      <c r="BX7" s="96"/>
      <c r="BY7" s="96"/>
      <c r="BZ7" s="96"/>
      <c r="CB7" s="225"/>
      <c r="CC7" s="227"/>
      <c r="CD7" s="94" t="s">
        <v>462</v>
      </c>
      <c r="CE7" s="94"/>
      <c r="CF7" s="95" t="e">
        <f>COUNTIFS('[1]Completion Matrix'!$E:$E,'Dashboard 3'!$CB$5,'[1]Completion Matrix'!$I:$I,$CC$5,'[1]Completion Matrix'!$J:$J,CD7)</f>
        <v>#VALUE!</v>
      </c>
    </row>
    <row r="8" spans="2:84">
      <c r="E8" s="84" t="s">
        <v>431</v>
      </c>
      <c r="F8" s="85" t="e">
        <f>COUNTIF('[1]Completion Matrix'!$E$3:$E$306,E8)</f>
        <v>#VALUE!</v>
      </c>
      <c r="G8" s="245"/>
      <c r="H8" s="95" t="e">
        <f>COUNTIFS('[1]Completion Matrix'!$E$3:$E$306,E8,'[1]Completion Matrix'!$F$3:$F$306,"")+COUNTIFS('[1]Completion Matrix'!$E$3:$E$306,E8,'[1]Completion Matrix'!$F$3:$F$306,"Standard Formula co only")</f>
        <v>#VALUE!</v>
      </c>
      <c r="I8" s="245"/>
      <c r="K8" s="84" t="s">
        <v>629</v>
      </c>
      <c r="L8" s="93" t="e">
        <f>COUNTIF('[1]Completion Matrix'!P:P,"R")</f>
        <v>#VALUE!</v>
      </c>
      <c r="O8" s="89" t="s">
        <v>431</v>
      </c>
      <c r="P8" s="90" t="e">
        <f>COUNTIFS('[1]Completion Matrix'!$E$3:$E$306,$O8,'[1]Completion Matrix'!F$3:F$306,"")</f>
        <v>#VALUE!</v>
      </c>
      <c r="Q8" s="90" t="e">
        <f>COUNTIFS('[1]Completion Matrix'!$E$3:$E$306,$O8,'[1]Completion Matrix'!G$3:G$306,"")</f>
        <v>#VALUE!</v>
      </c>
      <c r="R8" s="90" t="e">
        <f>COUNTIFS('[1]Completion Matrix'!$E$3:$E$306,$O8,'[1]Completion Matrix'!H$3:H$306,"")</f>
        <v>#VALUE!</v>
      </c>
      <c r="S8" s="90" t="e">
        <f>COUNTIFS('[1]Completion Matrix'!$E$3:$E$306,$O8,'[1]Completion Matrix'!I$3:I$306,"")</f>
        <v>#VALUE!</v>
      </c>
      <c r="T8" s="90" t="e">
        <f>COUNTIFS('[1]Completion Matrix'!$E$3:$E$306,$O8,'[1]Completion Matrix'!J$3:J$306,"")</f>
        <v>#VALUE!</v>
      </c>
      <c r="U8" s="90" t="e">
        <f>COUNTIFS('[1]Completion Matrix'!$E$3:$E$306,$O8,'[1]Completion Matrix'!K$3:K$306,"")</f>
        <v>#VALUE!</v>
      </c>
      <c r="V8" s="90" t="e">
        <f>COUNTIFS('[1]Completion Matrix'!$E$3:$E$306,$O8,'[1]Completion Matrix'!L$3:L$306,"")</f>
        <v>#VALUE!</v>
      </c>
      <c r="W8" s="90" t="e">
        <f>COUNTIFS('[1]Completion Matrix'!$E$3:$E$306,$O8,'[1]Completion Matrix'!M$3:M$306,"")</f>
        <v>#VALUE!</v>
      </c>
      <c r="X8" s="90" t="e">
        <f>COUNTIFS('[1]Completion Matrix'!$E$3:$E$306,$O8,'[1]Completion Matrix'!N$3:N$306,"")</f>
        <v>#VALUE!</v>
      </c>
      <c r="Y8" s="91" t="e">
        <f>COUNTIFS('[1]Completion Matrix'!$E$3:$E$306,$O8,'[1]Completion Matrix'!$P$3:$P$306,"R")</f>
        <v>#VALUE!</v>
      </c>
      <c r="Z8" s="91" t="e">
        <f>COUNTIFS('[1]Completion Matrix'!$E$3:$E$306,$O8,'[1]Completion Matrix'!$P$3:$P$306,"A")</f>
        <v>#VALUE!</v>
      </c>
      <c r="AA8" s="91" t="e">
        <f>COUNTIFS('[1]Completion Matrix'!$E$3:$E$306,$O8,'[1]Completion Matrix'!$P$3:$P$306,"G")</f>
        <v>#VALUE!</v>
      </c>
      <c r="AB8" s="84" t="e">
        <f t="shared" si="0"/>
        <v>#VALUE!</v>
      </c>
      <c r="BB8" s="225"/>
      <c r="BC8" s="227"/>
      <c r="BD8" s="94" t="s">
        <v>636</v>
      </c>
      <c r="BE8" s="94" t="str">
        <f t="shared" si="1"/>
        <v>No Gap|Priority</v>
      </c>
      <c r="BF8" s="95" t="e">
        <f>COUNTIFS('[1]Completion Matrix'!$E:$E,'Dashboard 3'!$BB$5,'[1]Completion Matrix'!$I:$I,$BC$5,'[1]Completion Matrix'!$J:$J,BD8)</f>
        <v>#VALUE!</v>
      </c>
      <c r="BG8" s="95" t="e">
        <f>IF(COUNTIFS('[1]Completion Matrix'!$E:$E,'Dashboard 3'!$BB$5,'[1]Completion Matrix'!$I:$I,$BC$5,'[1]Completion Matrix'!$J:$J,BD8)=0,NA(),COUNTIFS('[1]Completion Matrix'!$E:$E,'Dashboard 3'!$BB$5,'[1]Completion Matrix'!$I:$I,$BC$5,'[1]Completion Matrix'!$J:$J,BD8))</f>
        <v>#VALUE!</v>
      </c>
      <c r="BH8" s="96"/>
      <c r="BI8" s="96"/>
      <c r="BJ8" s="96"/>
      <c r="BK8" s="96"/>
      <c r="BL8" s="96"/>
      <c r="BM8" s="96"/>
      <c r="BO8" s="225"/>
      <c r="BP8" s="227"/>
      <c r="BQ8" s="94" t="s">
        <v>636</v>
      </c>
      <c r="BR8" s="94"/>
      <c r="BS8" s="95" t="e">
        <f>COUNTIFS('[1]Completion Matrix'!$E:$E,'Dashboard 3'!$BO$5,'[1]Completion Matrix'!$I:$I,$BP$5,'[1]Completion Matrix'!$J:$J,BQ8)</f>
        <v>#VALUE!</v>
      </c>
      <c r="BT8" s="96"/>
      <c r="BU8" s="96"/>
      <c r="BV8" s="96"/>
      <c r="BW8" s="96"/>
      <c r="BX8" s="96"/>
      <c r="BY8" s="96"/>
      <c r="BZ8" s="96"/>
      <c r="CB8" s="225"/>
      <c r="CC8" s="227"/>
      <c r="CD8" s="94" t="s">
        <v>636</v>
      </c>
      <c r="CE8" s="94"/>
      <c r="CF8" s="95" t="e">
        <f>COUNTIFS('[1]Completion Matrix'!$E:$E,'Dashboard 3'!$CB$5,'[1]Completion Matrix'!$I:$I,$CC$5,'[1]Completion Matrix'!$J:$J,CD8)</f>
        <v>#VALUE!</v>
      </c>
    </row>
    <row r="9" spans="2:84">
      <c r="E9" s="84" t="s">
        <v>481</v>
      </c>
      <c r="F9" s="85" t="e">
        <f>COUNTIF('[1]Completion Matrix'!$E$3:$E$306,E9)</f>
        <v>#VALUE!</v>
      </c>
      <c r="G9" s="245"/>
      <c r="H9" s="95" t="e">
        <f>COUNTIFS('[1]Completion Matrix'!$E$3:$E$306,E9,'[1]Completion Matrix'!$F$3:$F$306,"")+COUNTIFS('[1]Completion Matrix'!$E$3:$E$306,E9,'[1]Completion Matrix'!$F$3:$F$306,"Standard Formula co only")</f>
        <v>#VALUE!</v>
      </c>
      <c r="I9" s="245"/>
      <c r="L9" s="92" t="e">
        <f>SUM(L6:L8)</f>
        <v>#VALUE!</v>
      </c>
      <c r="O9" s="89" t="s">
        <v>481</v>
      </c>
      <c r="P9" s="90" t="e">
        <f>COUNTIFS('[1]Completion Matrix'!$E$3:$E$306,$O9,'[1]Completion Matrix'!F$3:F$306,"")</f>
        <v>#VALUE!</v>
      </c>
      <c r="Q9" s="90" t="e">
        <f>COUNTIFS('[1]Completion Matrix'!$E$3:$E$306,$O9,'[1]Completion Matrix'!G$3:G$306,"")</f>
        <v>#VALUE!</v>
      </c>
      <c r="R9" s="90" t="e">
        <f>COUNTIFS('[1]Completion Matrix'!$E$3:$E$306,$O9,'[1]Completion Matrix'!H$3:H$306,"")</f>
        <v>#VALUE!</v>
      </c>
      <c r="S9" s="90" t="e">
        <f>COUNTIFS('[1]Completion Matrix'!$E$3:$E$306,$O9,'[1]Completion Matrix'!I$3:I$306,"")</f>
        <v>#VALUE!</v>
      </c>
      <c r="T9" s="90" t="e">
        <f>COUNTIFS('[1]Completion Matrix'!$E$3:$E$306,$O9,'[1]Completion Matrix'!J$3:J$306,"")</f>
        <v>#VALUE!</v>
      </c>
      <c r="U9" s="90" t="e">
        <f>COUNTIFS('[1]Completion Matrix'!$E$3:$E$306,$O9,'[1]Completion Matrix'!K$3:K$306,"")</f>
        <v>#VALUE!</v>
      </c>
      <c r="V9" s="90" t="e">
        <f>COUNTIFS('[1]Completion Matrix'!$E$3:$E$306,$O9,'[1]Completion Matrix'!L$3:L$306,"")</f>
        <v>#VALUE!</v>
      </c>
      <c r="W9" s="90" t="e">
        <f>COUNTIFS('[1]Completion Matrix'!$E$3:$E$306,$O9,'[1]Completion Matrix'!M$3:M$306,"")</f>
        <v>#VALUE!</v>
      </c>
      <c r="X9" s="90" t="e">
        <f>COUNTIFS('[1]Completion Matrix'!$E$3:$E$306,$O9,'[1]Completion Matrix'!N$3:N$306,"")</f>
        <v>#VALUE!</v>
      </c>
      <c r="Y9" s="91" t="e">
        <f>COUNTIFS('[1]Completion Matrix'!$E$3:$E$306,$O9,'[1]Completion Matrix'!$P$3:$P$306,"R")</f>
        <v>#VALUE!</v>
      </c>
      <c r="Z9" s="91" t="e">
        <f>COUNTIFS('[1]Completion Matrix'!$E$3:$E$306,$O9,'[1]Completion Matrix'!$P$3:$P$306,"A")</f>
        <v>#VALUE!</v>
      </c>
      <c r="AA9" s="91" t="e">
        <f>COUNTIFS('[1]Completion Matrix'!$E$3:$E$306,$O9,'[1]Completion Matrix'!$P$3:$P$306,"G")</f>
        <v>#VALUE!</v>
      </c>
      <c r="AB9" s="84" t="e">
        <f t="shared" si="0"/>
        <v>#VALUE!</v>
      </c>
      <c r="BB9" s="225"/>
      <c r="BC9" s="227" t="s">
        <v>594</v>
      </c>
      <c r="BD9" s="94" t="s">
        <v>468</v>
      </c>
      <c r="BE9" s="94" t="str">
        <f t="shared" si="1"/>
        <v>No Gap|Ready</v>
      </c>
      <c r="BF9" s="95" t="e">
        <f>COUNTIFS('[1]Completion Matrix'!$E:$E,'Dashboard 3'!$BB$5,'[1]Completion Matrix'!$I:$I,$BC$9,'[1]Completion Matrix'!$J:$J,BD9)</f>
        <v>#VALUE!</v>
      </c>
      <c r="BG9" s="95" t="e">
        <f>IF(COUNTIFS('[1]Completion Matrix'!$E:$E,'Dashboard 3'!$BB$5,'[1]Completion Matrix'!$I:$I,$BC$9,'[1]Completion Matrix'!$J:$J,BD9)=0,NA(),COUNTIFS('[1]Completion Matrix'!$E:$E,'Dashboard 3'!$BB$5,'[1]Completion Matrix'!$I:$I,$BC$9,'[1]Completion Matrix'!$J:$J,BD9))</f>
        <v>#VALUE!</v>
      </c>
      <c r="BH9" s="96"/>
      <c r="BI9" s="96"/>
      <c r="BJ9" s="96"/>
      <c r="BK9" s="96"/>
      <c r="BL9" s="96"/>
      <c r="BM9" s="96"/>
      <c r="BO9" s="225"/>
      <c r="BP9" s="227" t="s">
        <v>594</v>
      </c>
      <c r="BQ9" s="94" t="s">
        <v>468</v>
      </c>
      <c r="BR9" s="94"/>
      <c r="BS9" s="95" t="e">
        <f>COUNTIFS('[1]Completion Matrix'!$E:$E,'Dashboard 3'!$BO$5,'[1]Completion Matrix'!$I:$I,$BP$9,'[1]Completion Matrix'!$J:$J,BQ9)</f>
        <v>#VALUE!</v>
      </c>
      <c r="BT9" s="96"/>
      <c r="BU9" s="96"/>
      <c r="BV9" s="96"/>
      <c r="BW9" s="96"/>
      <c r="BX9" s="96"/>
      <c r="BY9" s="96"/>
      <c r="BZ9" s="96"/>
      <c r="CB9" s="225"/>
      <c r="CC9" s="227" t="s">
        <v>594</v>
      </c>
      <c r="CD9" s="94" t="s">
        <v>468</v>
      </c>
      <c r="CE9" s="94"/>
      <c r="CF9" s="95" t="e">
        <f>COUNTIFS('[1]Completion Matrix'!$E:$E,'Dashboard 3'!$CB$5,'[1]Completion Matrix'!$I:$I,$CC$9,'[1]Completion Matrix'!$J:$J,CD9)</f>
        <v>#VALUE!</v>
      </c>
    </row>
    <row r="10" spans="2:84">
      <c r="E10" s="84" t="s">
        <v>589</v>
      </c>
      <c r="F10" s="85" t="e">
        <f>COUNTIF('[1]Completion Matrix'!$E$3:$E$306,E10)</f>
        <v>#VALUE!</v>
      </c>
      <c r="G10" s="245"/>
      <c r="H10" s="95" t="e">
        <f>COUNTIFS('[1]Completion Matrix'!$E$3:$E$306,E10,'[1]Completion Matrix'!$F$3:$F$306,"")+COUNTIFS('[1]Completion Matrix'!$E$3:$E$306,E10,'[1]Completion Matrix'!$F$3:$F$306,"Standard Formula co only")</f>
        <v>#VALUE!</v>
      </c>
      <c r="I10" s="245"/>
      <c r="O10" s="89" t="s">
        <v>589</v>
      </c>
      <c r="P10" s="90" t="e">
        <f>COUNTIFS('[1]Completion Matrix'!$E$3:$E$306,$O10,'[1]Completion Matrix'!F$3:F$306,"")</f>
        <v>#VALUE!</v>
      </c>
      <c r="Q10" s="90" t="e">
        <f>COUNTIFS('[1]Completion Matrix'!$E$3:$E$306,$O10,'[1]Completion Matrix'!G$3:G$306,"")</f>
        <v>#VALUE!</v>
      </c>
      <c r="R10" s="90" t="e">
        <f>COUNTIFS('[1]Completion Matrix'!$E$3:$E$306,$O10,'[1]Completion Matrix'!H$3:H$306,"")</f>
        <v>#VALUE!</v>
      </c>
      <c r="S10" s="90" t="e">
        <f>COUNTIFS('[1]Completion Matrix'!$E$3:$E$306,$O10,'[1]Completion Matrix'!I$3:I$306,"")</f>
        <v>#VALUE!</v>
      </c>
      <c r="T10" s="90" t="e">
        <f>COUNTIFS('[1]Completion Matrix'!$E$3:$E$306,$O10,'[1]Completion Matrix'!J$3:J$306,"")</f>
        <v>#VALUE!</v>
      </c>
      <c r="U10" s="90" t="e">
        <f>COUNTIFS('[1]Completion Matrix'!$E$3:$E$306,$O10,'[1]Completion Matrix'!K$3:K$306,"")</f>
        <v>#VALUE!</v>
      </c>
      <c r="V10" s="90" t="e">
        <f>COUNTIFS('[1]Completion Matrix'!$E$3:$E$306,$O10,'[1]Completion Matrix'!L$3:L$306,"")</f>
        <v>#VALUE!</v>
      </c>
      <c r="W10" s="90" t="e">
        <f>COUNTIFS('[1]Completion Matrix'!$E$3:$E$306,$O10,'[1]Completion Matrix'!M$3:M$306,"")</f>
        <v>#VALUE!</v>
      </c>
      <c r="X10" s="90" t="e">
        <f>COUNTIFS('[1]Completion Matrix'!$E$3:$E$306,$O10,'[1]Completion Matrix'!N$3:N$306,"")</f>
        <v>#VALUE!</v>
      </c>
      <c r="Y10" s="91" t="e">
        <f>COUNTIFS('[1]Completion Matrix'!$E$3:$E$306,$O10,'[1]Completion Matrix'!$P$3:$P$306,"R")</f>
        <v>#VALUE!</v>
      </c>
      <c r="Z10" s="91" t="e">
        <f>COUNTIFS('[1]Completion Matrix'!$E$3:$E$306,$O10,'[1]Completion Matrix'!$P$3:$P$306,"A")</f>
        <v>#VALUE!</v>
      </c>
      <c r="AA10" s="91" t="e">
        <f>COUNTIFS('[1]Completion Matrix'!$E$3:$E$306,$O10,'[1]Completion Matrix'!$P$3:$P$306,"G")</f>
        <v>#VALUE!</v>
      </c>
      <c r="AB10" s="84" t="e">
        <f t="shared" si="0"/>
        <v>#VALUE!</v>
      </c>
      <c r="BB10" s="225"/>
      <c r="BC10" s="227"/>
      <c r="BD10" s="94" t="s">
        <v>459</v>
      </c>
      <c r="BE10" s="94" t="str">
        <f t="shared" si="1"/>
        <v>No Gap|Improvements Needed</v>
      </c>
      <c r="BF10" s="95" t="e">
        <f>COUNTIFS('[1]Completion Matrix'!$E:$E,'Dashboard 3'!$BB$5,'[1]Completion Matrix'!$I:$I,$BC$9,'[1]Completion Matrix'!$J:$J,BD10)</f>
        <v>#VALUE!</v>
      </c>
      <c r="BG10" s="95" t="e">
        <f>IF(COUNTIFS('[1]Completion Matrix'!$E:$E,'Dashboard 3'!$BB$5,'[1]Completion Matrix'!$I:$I,$BC$9,'[1]Completion Matrix'!$J:$J,BD10)=0,NA(),COUNTIFS('[1]Completion Matrix'!$E:$E,'Dashboard 3'!$BB$5,'[1]Completion Matrix'!$I:$I,$BC$9,'[1]Completion Matrix'!$J:$J,BD10))</f>
        <v>#VALUE!</v>
      </c>
      <c r="BH10" s="96"/>
      <c r="BI10" s="96"/>
      <c r="BJ10" s="96"/>
      <c r="BK10" s="96"/>
      <c r="BL10" s="96"/>
      <c r="BM10" s="96"/>
      <c r="BO10" s="225"/>
      <c r="BP10" s="227"/>
      <c r="BQ10" s="94" t="s">
        <v>459</v>
      </c>
      <c r="BR10" s="94"/>
      <c r="BS10" s="95" t="e">
        <f>COUNTIFS('[1]Completion Matrix'!$E:$E,'Dashboard 3'!$BO$5,'[1]Completion Matrix'!$I:$I,$BP$9,'[1]Completion Matrix'!$J:$J,BQ10)</f>
        <v>#VALUE!</v>
      </c>
      <c r="BT10" s="96"/>
      <c r="BU10" s="96"/>
      <c r="BV10" s="96"/>
      <c r="BW10" s="96"/>
      <c r="BX10" s="96"/>
      <c r="BY10" s="96"/>
      <c r="BZ10" s="96"/>
      <c r="CB10" s="225"/>
      <c r="CC10" s="227"/>
      <c r="CD10" s="94" t="s">
        <v>459</v>
      </c>
      <c r="CE10" s="94"/>
      <c r="CF10" s="95" t="e">
        <f>COUNTIFS('[1]Completion Matrix'!$E:$E,'Dashboard 3'!$CB$5,'[1]Completion Matrix'!$I:$I,$CC$9,'[1]Completion Matrix'!$J:$J,CD10)</f>
        <v>#VALUE!</v>
      </c>
    </row>
    <row r="11" spans="2:84">
      <c r="E11" s="84" t="s">
        <v>428</v>
      </c>
      <c r="F11" s="85" t="e">
        <f>COUNTIF('[1]Completion Matrix'!$E$3:$E$306,E11)</f>
        <v>#VALUE!</v>
      </c>
      <c r="G11" s="245"/>
      <c r="H11" s="95" t="e">
        <f>COUNTIFS('[1]Completion Matrix'!$E$3:$E$306,E11,'[1]Completion Matrix'!$F$3:$F$306,"")+COUNTIFS('[1]Completion Matrix'!$E$3:$E$306,E11,'[1]Completion Matrix'!$F$3:$F$306,"Standard Formula co only")</f>
        <v>#VALUE!</v>
      </c>
      <c r="I11" s="245"/>
      <c r="O11" s="89" t="s">
        <v>428</v>
      </c>
      <c r="P11" s="90" t="e">
        <f>COUNTIFS('[1]Completion Matrix'!$E$3:$E$306,$O11,'[1]Completion Matrix'!F$3:F$306,"")</f>
        <v>#VALUE!</v>
      </c>
      <c r="Q11" s="90" t="e">
        <f>COUNTIFS('[1]Completion Matrix'!$E$3:$E$306,$O11,'[1]Completion Matrix'!G$3:G$306,"")</f>
        <v>#VALUE!</v>
      </c>
      <c r="R11" s="90" t="e">
        <f>COUNTIFS('[1]Completion Matrix'!$E$3:$E$306,$O11,'[1]Completion Matrix'!H$3:H$306,"")</f>
        <v>#VALUE!</v>
      </c>
      <c r="S11" s="90" t="e">
        <f>COUNTIFS('[1]Completion Matrix'!$E$3:$E$306,$O11,'[1]Completion Matrix'!I$3:I$306,"")</f>
        <v>#VALUE!</v>
      </c>
      <c r="T11" s="90" t="e">
        <f>COUNTIFS('[1]Completion Matrix'!$E$3:$E$306,$O11,'[1]Completion Matrix'!J$3:J$306,"")</f>
        <v>#VALUE!</v>
      </c>
      <c r="U11" s="90" t="e">
        <f>COUNTIFS('[1]Completion Matrix'!$E$3:$E$306,$O11,'[1]Completion Matrix'!K$3:K$306,"")</f>
        <v>#VALUE!</v>
      </c>
      <c r="V11" s="90" t="e">
        <f>COUNTIFS('[1]Completion Matrix'!$E$3:$E$306,$O11,'[1]Completion Matrix'!L$3:L$306,"")</f>
        <v>#VALUE!</v>
      </c>
      <c r="W11" s="90" t="e">
        <f>COUNTIFS('[1]Completion Matrix'!$E$3:$E$306,$O11,'[1]Completion Matrix'!M$3:M$306,"")</f>
        <v>#VALUE!</v>
      </c>
      <c r="X11" s="90" t="e">
        <f>COUNTIFS('[1]Completion Matrix'!$E$3:$E$306,$O11,'[1]Completion Matrix'!N$3:N$306,"")</f>
        <v>#VALUE!</v>
      </c>
      <c r="Y11" s="91" t="e">
        <f>COUNTIFS('[1]Completion Matrix'!$E$3:$E$306,$O11,'[1]Completion Matrix'!$P$3:$P$306,"R")</f>
        <v>#VALUE!</v>
      </c>
      <c r="Z11" s="91" t="e">
        <f>COUNTIFS('[1]Completion Matrix'!$E$3:$E$306,$O11,'[1]Completion Matrix'!$P$3:$P$306,"A")</f>
        <v>#VALUE!</v>
      </c>
      <c r="AA11" s="91" t="e">
        <f>COUNTIFS('[1]Completion Matrix'!$E$3:$E$306,$O11,'[1]Completion Matrix'!$P$3:$P$306,"G")</f>
        <v>#VALUE!</v>
      </c>
      <c r="AB11" s="84" t="e">
        <f t="shared" si="0"/>
        <v>#VALUE!</v>
      </c>
      <c r="BB11" s="225"/>
      <c r="BC11" s="227"/>
      <c r="BD11" s="94" t="s">
        <v>462</v>
      </c>
      <c r="BE11" s="94" t="str">
        <f t="shared" si="1"/>
        <v>No Gap|Significant Improvements Needed</v>
      </c>
      <c r="BF11" s="95" t="e">
        <f>COUNTIFS('[1]Completion Matrix'!$E:$E,'Dashboard 3'!$BB$5,'[1]Completion Matrix'!$I:$I,$BC$9,'[1]Completion Matrix'!$J:$J,BD11)</f>
        <v>#VALUE!</v>
      </c>
      <c r="BG11" s="95" t="e">
        <f>IF(COUNTIFS('[1]Completion Matrix'!$E:$E,'Dashboard 3'!$BB$5,'[1]Completion Matrix'!$I:$I,$BC$9,'[1]Completion Matrix'!$J:$J,BD11)=0,NA(),COUNTIFS('[1]Completion Matrix'!$E:$E,'Dashboard 3'!$BB$5,'[1]Completion Matrix'!$I:$I,$BC$9,'[1]Completion Matrix'!$J:$J,BD11))</f>
        <v>#VALUE!</v>
      </c>
      <c r="BH11" s="96"/>
      <c r="BI11" s="96"/>
      <c r="BJ11" s="96"/>
      <c r="BK11" s="96"/>
      <c r="BL11" s="96"/>
      <c r="BM11" s="96"/>
      <c r="BO11" s="225"/>
      <c r="BP11" s="227"/>
      <c r="BQ11" s="94" t="s">
        <v>462</v>
      </c>
      <c r="BR11" s="94"/>
      <c r="BS11" s="95" t="e">
        <f>COUNTIFS('[1]Completion Matrix'!$E:$E,'Dashboard 3'!$BO$5,'[1]Completion Matrix'!$I:$I,$BP$9,'[1]Completion Matrix'!$J:$J,BQ11)</f>
        <v>#VALUE!</v>
      </c>
      <c r="BT11" s="96"/>
      <c r="BU11" s="96"/>
      <c r="BV11" s="96"/>
      <c r="BW11" s="96"/>
      <c r="BX11" s="96"/>
      <c r="BY11" s="96"/>
      <c r="BZ11" s="96"/>
      <c r="CB11" s="225"/>
      <c r="CC11" s="227"/>
      <c r="CD11" s="94" t="s">
        <v>462</v>
      </c>
      <c r="CE11" s="94"/>
      <c r="CF11" s="95" t="e">
        <f>COUNTIFS('[1]Completion Matrix'!$E:$E,'Dashboard 3'!$CB$5,'[1]Completion Matrix'!$I:$I,$CC$9,'[1]Completion Matrix'!$J:$J,CD11)</f>
        <v>#VALUE!</v>
      </c>
    </row>
    <row r="12" spans="2:84">
      <c r="E12" s="84" t="s">
        <v>438</v>
      </c>
      <c r="F12" s="85" t="e">
        <f>COUNTIF('[1]Completion Matrix'!$E$3:$E$306,E12)</f>
        <v>#VALUE!</v>
      </c>
      <c r="G12" s="245"/>
      <c r="H12" s="95" t="e">
        <f>COUNTIFS('[1]Completion Matrix'!$E$3:$E$306,E12,'[1]Completion Matrix'!$F$3:$F$306,"")+COUNTIFS('[1]Completion Matrix'!$E$3:$E$306,E12,'[1]Completion Matrix'!$F$3:$F$306,"Standard Formula co only")</f>
        <v>#VALUE!</v>
      </c>
      <c r="I12" s="245"/>
      <c r="O12" s="89" t="s">
        <v>438</v>
      </c>
      <c r="P12" s="90" t="e">
        <f>COUNTIFS('[1]Completion Matrix'!$E$3:$E$306,$O12,'[1]Completion Matrix'!F$3:F$306,"")</f>
        <v>#VALUE!</v>
      </c>
      <c r="Q12" s="90" t="e">
        <f>COUNTIFS('[1]Completion Matrix'!$E$3:$E$306,$O12,'[1]Completion Matrix'!G$3:G$306,"")</f>
        <v>#VALUE!</v>
      </c>
      <c r="R12" s="90" t="e">
        <f>COUNTIFS('[1]Completion Matrix'!$E$3:$E$306,$O12,'[1]Completion Matrix'!H$3:H$306,"")</f>
        <v>#VALUE!</v>
      </c>
      <c r="S12" s="90" t="e">
        <f>COUNTIFS('[1]Completion Matrix'!$E$3:$E$306,$O12,'[1]Completion Matrix'!I$3:I$306,"")</f>
        <v>#VALUE!</v>
      </c>
      <c r="T12" s="90" t="e">
        <f>COUNTIFS('[1]Completion Matrix'!$E$3:$E$306,$O12,'[1]Completion Matrix'!J$3:J$306,"")</f>
        <v>#VALUE!</v>
      </c>
      <c r="U12" s="90" t="e">
        <f>COUNTIFS('[1]Completion Matrix'!$E$3:$E$306,$O12,'[1]Completion Matrix'!K$3:K$306,"")</f>
        <v>#VALUE!</v>
      </c>
      <c r="V12" s="90" t="e">
        <f>COUNTIFS('[1]Completion Matrix'!$E$3:$E$306,$O12,'[1]Completion Matrix'!L$3:L$306,"")</f>
        <v>#VALUE!</v>
      </c>
      <c r="W12" s="90" t="e">
        <f>COUNTIFS('[1]Completion Matrix'!$E$3:$E$306,$O12,'[1]Completion Matrix'!M$3:M$306,"")</f>
        <v>#VALUE!</v>
      </c>
      <c r="X12" s="90" t="e">
        <f>COUNTIFS('[1]Completion Matrix'!$E$3:$E$306,$O12,'[1]Completion Matrix'!N$3:N$306,"")</f>
        <v>#VALUE!</v>
      </c>
      <c r="Y12" s="91" t="e">
        <f>COUNTIFS('[1]Completion Matrix'!$E$3:$E$306,$O12,'[1]Completion Matrix'!$P$3:$P$306,"R")</f>
        <v>#VALUE!</v>
      </c>
      <c r="Z12" s="91" t="e">
        <f>COUNTIFS('[1]Completion Matrix'!$E$3:$E$306,$O12,'[1]Completion Matrix'!$P$3:$P$306,"A")</f>
        <v>#VALUE!</v>
      </c>
      <c r="AA12" s="91" t="e">
        <f>COUNTIFS('[1]Completion Matrix'!$E$3:$E$306,$O12,'[1]Completion Matrix'!$P$3:$P$306,"G")</f>
        <v>#VALUE!</v>
      </c>
      <c r="AB12" s="84" t="e">
        <f t="shared" si="0"/>
        <v>#VALUE!</v>
      </c>
      <c r="BB12" s="225"/>
      <c r="BC12" s="227"/>
      <c r="BD12" s="94" t="s">
        <v>636</v>
      </c>
      <c r="BE12" s="94" t="str">
        <f t="shared" si="1"/>
        <v>No Gap|Priority</v>
      </c>
      <c r="BF12" s="95" t="e">
        <f>COUNTIFS('[1]Completion Matrix'!$E:$E,'Dashboard 3'!$BB$5,'[1]Completion Matrix'!$I:$I,$BC$9,'[1]Completion Matrix'!$J:$J,BD12)</f>
        <v>#VALUE!</v>
      </c>
      <c r="BG12" s="95" t="e">
        <f>IF(COUNTIFS('[1]Completion Matrix'!$E:$E,'Dashboard 3'!$BB$5,'[1]Completion Matrix'!$I:$I,$BC$9,'[1]Completion Matrix'!$J:$J,BD12)=0,NA(),COUNTIFS('[1]Completion Matrix'!$E:$E,'Dashboard 3'!$BB$5,'[1]Completion Matrix'!$I:$I,$BC$9,'[1]Completion Matrix'!$J:$J,BD12))</f>
        <v>#VALUE!</v>
      </c>
      <c r="BH12" s="96"/>
      <c r="BI12" s="96"/>
      <c r="BJ12" s="96"/>
      <c r="BK12" s="96"/>
      <c r="BL12" s="96"/>
      <c r="BM12" s="96"/>
      <c r="BO12" s="225"/>
      <c r="BP12" s="227"/>
      <c r="BQ12" s="94" t="s">
        <v>637</v>
      </c>
      <c r="BR12" s="94"/>
      <c r="BS12" s="95" t="e">
        <f>COUNTIFS('[1]Completion Matrix'!$E:$E,'Dashboard 3'!$BO$5,'[1]Completion Matrix'!$I:$I,$BP$9,'[1]Completion Matrix'!$J:$J,BQ12)</f>
        <v>#VALUE!</v>
      </c>
      <c r="BT12" s="96"/>
      <c r="BU12" s="96"/>
      <c r="BV12" s="96"/>
      <c r="BW12" s="96"/>
      <c r="BX12" s="96"/>
      <c r="BY12" s="96"/>
      <c r="BZ12" s="96"/>
      <c r="CB12" s="225"/>
      <c r="CC12" s="227"/>
      <c r="CD12" s="94" t="s">
        <v>637</v>
      </c>
      <c r="CE12" s="94"/>
      <c r="CF12" s="95" t="e">
        <f>COUNTIFS('[1]Completion Matrix'!$E:$E,'Dashboard 3'!$CB$5,'[1]Completion Matrix'!$I:$I,$CC$9,'[1]Completion Matrix'!$J:$J,CD12)</f>
        <v>#VALUE!</v>
      </c>
    </row>
    <row r="13" spans="2:84">
      <c r="E13" s="84" t="s">
        <v>437</v>
      </c>
      <c r="F13" s="85" t="e">
        <f>COUNTIF('[1]Completion Matrix'!$E$3:$E$306,E13)</f>
        <v>#VALUE!</v>
      </c>
      <c r="G13" s="245"/>
      <c r="H13" s="95" t="e">
        <f>COUNTIFS('[1]Completion Matrix'!$E$3:$E$306,E13,'[1]Completion Matrix'!$F$3:$F$306,"")+COUNTIFS('[1]Completion Matrix'!$E$3:$E$306,E13,'[1]Completion Matrix'!$F$3:$F$306,"Standard Formula co only")</f>
        <v>#VALUE!</v>
      </c>
      <c r="I13" s="245"/>
      <c r="O13" s="89" t="s">
        <v>437</v>
      </c>
      <c r="P13" s="90" t="e">
        <f>COUNTIFS('[1]Completion Matrix'!$E$3:$E$306,$O13,'[1]Completion Matrix'!F$3:F$306,"")</f>
        <v>#VALUE!</v>
      </c>
      <c r="Q13" s="90" t="e">
        <f>COUNTIFS('[1]Completion Matrix'!$E$3:$E$306,$O13,'[1]Completion Matrix'!G$3:G$306,"")</f>
        <v>#VALUE!</v>
      </c>
      <c r="R13" s="90" t="e">
        <f>COUNTIFS('[1]Completion Matrix'!$E$3:$E$306,$O13,'[1]Completion Matrix'!H$3:H$306,"")</f>
        <v>#VALUE!</v>
      </c>
      <c r="S13" s="90" t="e">
        <f>COUNTIFS('[1]Completion Matrix'!$E$3:$E$306,$O13,'[1]Completion Matrix'!I$3:I$306,"")</f>
        <v>#VALUE!</v>
      </c>
      <c r="T13" s="90" t="e">
        <f>COUNTIFS('[1]Completion Matrix'!$E$3:$E$306,$O13,'[1]Completion Matrix'!J$3:J$306,"")</f>
        <v>#VALUE!</v>
      </c>
      <c r="U13" s="90" t="e">
        <f>COUNTIFS('[1]Completion Matrix'!$E$3:$E$306,$O13,'[1]Completion Matrix'!K$3:K$306,"")</f>
        <v>#VALUE!</v>
      </c>
      <c r="V13" s="90" t="e">
        <f>COUNTIFS('[1]Completion Matrix'!$E$3:$E$306,$O13,'[1]Completion Matrix'!L$3:L$306,"")</f>
        <v>#VALUE!</v>
      </c>
      <c r="W13" s="90" t="e">
        <f>COUNTIFS('[1]Completion Matrix'!$E$3:$E$306,$O13,'[1]Completion Matrix'!M$3:M$306,"")</f>
        <v>#VALUE!</v>
      </c>
      <c r="X13" s="90" t="e">
        <f>COUNTIFS('[1]Completion Matrix'!$E$3:$E$306,$O13,'[1]Completion Matrix'!N$3:N$306,"")</f>
        <v>#VALUE!</v>
      </c>
      <c r="Y13" s="91" t="e">
        <f>COUNTIFS('[1]Completion Matrix'!$E$3:$E$306,$O13,'[1]Completion Matrix'!$P$3:$P$306,"R")</f>
        <v>#VALUE!</v>
      </c>
      <c r="Z13" s="91" t="e">
        <f>COUNTIFS('[1]Completion Matrix'!$E$3:$E$306,$O13,'[1]Completion Matrix'!$P$3:$P$306,"A")</f>
        <v>#VALUE!</v>
      </c>
      <c r="AA13" s="91" t="e">
        <f>COUNTIFS('[1]Completion Matrix'!$E$3:$E$306,$O13,'[1]Completion Matrix'!$P$3:$P$306,"G")</f>
        <v>#VALUE!</v>
      </c>
      <c r="AB13" s="84" t="e">
        <f t="shared" si="0"/>
        <v>#VALUE!</v>
      </c>
      <c r="BB13" s="225"/>
      <c r="BC13" s="227" t="s">
        <v>593</v>
      </c>
      <c r="BD13" s="94" t="s">
        <v>468</v>
      </c>
      <c r="BE13" s="94" t="str">
        <f t="shared" si="1"/>
        <v>No Gap|Ready</v>
      </c>
      <c r="BF13" s="95" t="e">
        <f>COUNTIFS('[1]Completion Matrix'!$E:$E,'Dashboard 3'!$BB$5,'[1]Completion Matrix'!$I:$I,$BC$13,'[1]Completion Matrix'!$J:$J,BD13)</f>
        <v>#VALUE!</v>
      </c>
      <c r="BG13" s="95" t="e">
        <f>IF(COUNTIFS('[1]Completion Matrix'!$E:$E,'Dashboard 3'!$BB$5,'[1]Completion Matrix'!$I:$I,$BC$13,'[1]Completion Matrix'!$J:$J,BD13)=0,NA(),COUNTIFS('[1]Completion Matrix'!$E:$E,'Dashboard 3'!$BB$5,'[1]Completion Matrix'!$I:$I,$BC$13,'[1]Completion Matrix'!$J:$J,BD13))</f>
        <v>#VALUE!</v>
      </c>
      <c r="BH13" s="96"/>
      <c r="BI13" s="96"/>
      <c r="BJ13" s="96"/>
      <c r="BK13" s="96"/>
      <c r="BL13" s="96"/>
      <c r="BM13" s="96"/>
      <c r="BO13" s="225"/>
      <c r="BP13" s="227" t="s">
        <v>593</v>
      </c>
      <c r="BQ13" s="94" t="s">
        <v>468</v>
      </c>
      <c r="BR13" s="94"/>
      <c r="BS13" s="95" t="e">
        <f>COUNTIFS('[1]Completion Matrix'!$E:$E,'Dashboard 3'!$BO$5,'[1]Completion Matrix'!$I:$I,$BP$13,'[1]Completion Matrix'!$J:$J,BQ13)</f>
        <v>#VALUE!</v>
      </c>
      <c r="BT13" s="96"/>
      <c r="BU13" s="96"/>
      <c r="BV13" s="96"/>
      <c r="BW13" s="96"/>
      <c r="BX13" s="96"/>
      <c r="BY13" s="96"/>
      <c r="BZ13" s="96"/>
      <c r="CB13" s="225"/>
      <c r="CC13" s="227" t="s">
        <v>593</v>
      </c>
      <c r="CD13" s="94" t="s">
        <v>468</v>
      </c>
      <c r="CE13" s="94"/>
      <c r="CF13" s="95" t="e">
        <f>COUNTIFS('[1]Completion Matrix'!$E:$E,'Dashboard 3'!$CB$5,'[1]Completion Matrix'!$I:$I,$CC$13,'[1]Completion Matrix'!$J:$J,CD13)</f>
        <v>#VALUE!</v>
      </c>
    </row>
    <row r="14" spans="2:84">
      <c r="E14" s="84" t="s">
        <v>435</v>
      </c>
      <c r="F14" s="85" t="e">
        <f>COUNTIF('[1]Completion Matrix'!$E$3:$E$306,E14)</f>
        <v>#VALUE!</v>
      </c>
      <c r="G14" s="85" t="e">
        <f>F14</f>
        <v>#VALUE!</v>
      </c>
      <c r="O14" s="84" t="s">
        <v>435</v>
      </c>
      <c r="P14" s="90" t="e">
        <f>COUNTIFS('[1]Completion Matrix'!$E$3:$E$306,$O$14,'[1]Completion Matrix'!F$3:F$306,"")</f>
        <v>#VALUE!</v>
      </c>
      <c r="Q14" s="90" t="e">
        <f>COUNTIFS('[1]Completion Matrix'!$E$3:$E$306,$O$14,'[1]Completion Matrix'!G$3:G$306,"")</f>
        <v>#VALUE!</v>
      </c>
      <c r="R14" s="90" t="e">
        <f>COUNTIFS('[1]Completion Matrix'!$E$3:$E$306,$O$14,'[1]Completion Matrix'!H$3:H$306,"")</f>
        <v>#VALUE!</v>
      </c>
      <c r="S14" s="90" t="e">
        <f>COUNTIFS('[1]Completion Matrix'!$E$3:$E$306,$O$14,'[1]Completion Matrix'!I$3:I$306,"")</f>
        <v>#VALUE!</v>
      </c>
      <c r="T14" s="90" t="e">
        <f>COUNTIFS('[1]Completion Matrix'!$E$3:$E$306,$O$14,'[1]Completion Matrix'!J$3:J$306,"")</f>
        <v>#VALUE!</v>
      </c>
      <c r="U14" s="90" t="e">
        <f>COUNTIFS('[1]Completion Matrix'!$E$3:$E$306,$O$14,'[1]Completion Matrix'!K$3:K$306,"")</f>
        <v>#VALUE!</v>
      </c>
      <c r="V14" s="90" t="e">
        <f>COUNTIFS('[1]Completion Matrix'!$E$3:$E$306,$O$14,'[1]Completion Matrix'!L$3:L$306,"")</f>
        <v>#VALUE!</v>
      </c>
      <c r="W14" s="90" t="e">
        <f>COUNTIFS('[1]Completion Matrix'!$E$3:$E$306,$O$14,'[1]Completion Matrix'!M$3:M$306,"")</f>
        <v>#VALUE!</v>
      </c>
      <c r="X14" s="90" t="e">
        <f>COUNTIFS('[1]Completion Matrix'!$E$3:$E$306,$O$14,'[1]Completion Matrix'!N$3:N$306,"")</f>
        <v>#VALUE!</v>
      </c>
      <c r="Y14" s="91" t="e">
        <f>COUNTIFS('[1]Completion Matrix'!$E$3:$E$306,O14,'[1]Completion Matrix'!$P$3:$P$306,"R")</f>
        <v>#VALUE!</v>
      </c>
      <c r="Z14" s="91" t="e">
        <f>COUNTIFS('[1]Completion Matrix'!$E$3:$E$306,O14,'[1]Completion Matrix'!$P$3:$P$306,"A")</f>
        <v>#VALUE!</v>
      </c>
      <c r="AA14" s="91" t="e">
        <f>COUNTIFS('[1]Completion Matrix'!$E$3:$E$306,O14,'[1]Completion Matrix'!$P$3:$P$306,"G")</f>
        <v>#VALUE!</v>
      </c>
      <c r="AB14" s="84" t="e">
        <f>SUM(P14:X14)</f>
        <v>#VALUE!</v>
      </c>
      <c r="BB14" s="225"/>
      <c r="BC14" s="227"/>
      <c r="BD14" s="94" t="s">
        <v>459</v>
      </c>
      <c r="BE14" s="94" t="str">
        <f t="shared" si="1"/>
        <v>No Gap|Improvements Needed</v>
      </c>
      <c r="BF14" s="95" t="e">
        <f>COUNTIFS('[1]Completion Matrix'!$E:$E,'Dashboard 3'!$BB$5,'[1]Completion Matrix'!$I:$I,$BC$13,'[1]Completion Matrix'!$J:$J,BD14)</f>
        <v>#VALUE!</v>
      </c>
      <c r="BG14" s="95" t="e">
        <f>IF(COUNTIFS('[1]Completion Matrix'!$E:$E,'Dashboard 3'!$BB$5,'[1]Completion Matrix'!$I:$I,$BC$13,'[1]Completion Matrix'!$J:$J,BD14)=0,NA(),COUNTIFS('[1]Completion Matrix'!$E:$E,'Dashboard 3'!$BB$5,'[1]Completion Matrix'!$I:$I,$BC$13,'[1]Completion Matrix'!$J:$J,BD14))</f>
        <v>#VALUE!</v>
      </c>
      <c r="BH14" s="96"/>
      <c r="BI14" s="96"/>
      <c r="BJ14" s="96"/>
      <c r="BK14" s="96"/>
      <c r="BL14" s="96"/>
      <c r="BM14" s="96"/>
      <c r="BO14" s="225"/>
      <c r="BP14" s="227"/>
      <c r="BQ14" s="94" t="s">
        <v>459</v>
      </c>
      <c r="BR14" s="94"/>
      <c r="BS14" s="95" t="e">
        <f>COUNTIFS('[1]Completion Matrix'!$E:$E,'Dashboard 3'!$BO$5,'[1]Completion Matrix'!$I:$I,$BP$13,'[1]Completion Matrix'!$J:$J,BQ14)</f>
        <v>#VALUE!</v>
      </c>
      <c r="BT14" s="96"/>
      <c r="BU14" s="96"/>
      <c r="BV14" s="96"/>
      <c r="BW14" s="96"/>
      <c r="BX14" s="96"/>
      <c r="BY14" s="96"/>
      <c r="BZ14" s="96"/>
      <c r="CB14" s="225"/>
      <c r="CC14" s="227"/>
      <c r="CD14" s="94" t="s">
        <v>459</v>
      </c>
      <c r="CE14" s="94"/>
      <c r="CF14" s="95" t="e">
        <f>COUNTIFS('[1]Completion Matrix'!$E:$E,'Dashboard 3'!$CB$5,'[1]Completion Matrix'!$I:$I,$CC$13,'[1]Completion Matrix'!$J:$J,CD14)</f>
        <v>#VALUE!</v>
      </c>
    </row>
    <row r="15" spans="2:84">
      <c r="F15" s="85" t="e">
        <f>SUM(F5:F14)</f>
        <v>#VALUE!</v>
      </c>
      <c r="G15" s="85" t="e">
        <f>SUM(G5:G14)</f>
        <v>#VALUE!</v>
      </c>
      <c r="BB15" s="225"/>
      <c r="BC15" s="227"/>
      <c r="BD15" s="94" t="s">
        <v>462</v>
      </c>
      <c r="BE15" s="94" t="str">
        <f t="shared" si="1"/>
        <v>No Gap|Significant Improvements Needed</v>
      </c>
      <c r="BF15" s="95" t="e">
        <f>COUNTIFS('[1]Completion Matrix'!$E:$E,'Dashboard 3'!$BB$5,'[1]Completion Matrix'!$I:$I,$BC$13,'[1]Completion Matrix'!$J:$J,BD15)</f>
        <v>#VALUE!</v>
      </c>
      <c r="BG15" s="95" t="e">
        <f>IF(COUNTIFS('[1]Completion Matrix'!$E:$E,'Dashboard 3'!$BB$5,'[1]Completion Matrix'!$I:$I,$BC$13,'[1]Completion Matrix'!$J:$J,BD15)=0,NA(),COUNTIFS('[1]Completion Matrix'!$E:$E,'Dashboard 3'!$BB$5,'[1]Completion Matrix'!$I:$I,$BC$13,'[1]Completion Matrix'!$J:$J,BD15))</f>
        <v>#VALUE!</v>
      </c>
      <c r="BH15" s="96"/>
      <c r="BI15" s="96"/>
      <c r="BJ15" s="96"/>
      <c r="BK15" s="96"/>
      <c r="BL15" s="96"/>
      <c r="BM15" s="96"/>
      <c r="BO15" s="225"/>
      <c r="BP15" s="227"/>
      <c r="BQ15" s="94" t="s">
        <v>462</v>
      </c>
      <c r="BR15" s="94"/>
      <c r="BS15" s="95" t="e">
        <f>COUNTIFS('[1]Completion Matrix'!$E:$E,'Dashboard 3'!$BO$5,'[1]Completion Matrix'!$I:$I,$BP$13,'[1]Completion Matrix'!$J:$J,BQ15)</f>
        <v>#VALUE!</v>
      </c>
      <c r="BT15" s="96"/>
      <c r="BU15" s="96"/>
      <c r="BV15" s="96"/>
      <c r="BW15" s="96"/>
      <c r="BX15" s="96"/>
      <c r="BY15" s="96"/>
      <c r="BZ15" s="96"/>
      <c r="CB15" s="225"/>
      <c r="CC15" s="227"/>
      <c r="CD15" s="94" t="s">
        <v>462</v>
      </c>
      <c r="CE15" s="94"/>
      <c r="CF15" s="95" t="e">
        <f>COUNTIFS('[1]Completion Matrix'!$E:$E,'Dashboard 3'!$CB$5,'[1]Completion Matrix'!$I:$I,$CC$13,'[1]Completion Matrix'!$J:$J,CD15)</f>
        <v>#VALUE!</v>
      </c>
    </row>
    <row r="16" spans="2:84">
      <c r="BB16" s="225"/>
      <c r="BC16" s="227"/>
      <c r="BD16" s="94" t="s">
        <v>636</v>
      </c>
      <c r="BE16" s="94" t="str">
        <f t="shared" si="1"/>
        <v>No Gap|Priority</v>
      </c>
      <c r="BF16" s="95" t="e">
        <f>COUNTIFS('[1]Completion Matrix'!$E:$E,'Dashboard 3'!$BB$5,'[1]Completion Matrix'!$I:$I,$BC$13,'[1]Completion Matrix'!$J:$J,BD16)</f>
        <v>#VALUE!</v>
      </c>
      <c r="BG16" s="95" t="e">
        <f>IF(COUNTIFS('[1]Completion Matrix'!$E:$E,'Dashboard 3'!$BB$5,'[1]Completion Matrix'!$I:$I,$BC$13,'[1]Completion Matrix'!$J:$J,BD16)=0,NA(),COUNTIFS('[1]Completion Matrix'!$E:$E,'Dashboard 3'!$BB$5,'[1]Completion Matrix'!$I:$I,$BC$13,'[1]Completion Matrix'!$J:$J,BD16))</f>
        <v>#VALUE!</v>
      </c>
      <c r="BH16" s="96"/>
      <c r="BI16" s="96"/>
      <c r="BJ16" s="96"/>
      <c r="BK16" s="96"/>
      <c r="BL16" s="96"/>
      <c r="BM16" s="96"/>
      <c r="BO16" s="225"/>
      <c r="BP16" s="227"/>
      <c r="BQ16" s="94" t="s">
        <v>636</v>
      </c>
      <c r="BR16" s="94"/>
      <c r="BS16" s="95" t="e">
        <f>COUNTIFS('[1]Completion Matrix'!$E:$E,'Dashboard 3'!$BO$5,'[1]Completion Matrix'!$I:$I,$BP$13,'[1]Completion Matrix'!$J:$J,BQ16)</f>
        <v>#VALUE!</v>
      </c>
      <c r="BT16" s="96"/>
      <c r="BU16" s="96"/>
      <c r="BV16" s="96"/>
      <c r="BW16" s="96"/>
      <c r="BX16" s="96"/>
      <c r="BY16" s="96"/>
      <c r="BZ16" s="96"/>
      <c r="CB16" s="225"/>
      <c r="CC16" s="227"/>
      <c r="CD16" s="94" t="s">
        <v>636</v>
      </c>
      <c r="CE16" s="94"/>
      <c r="CF16" s="95" t="e">
        <f>COUNTIFS('[1]Completion Matrix'!$E:$E,'Dashboard 3'!$CB$5,'[1]Completion Matrix'!$I:$I,$CC$13,'[1]Completion Matrix'!$J:$J,CD16)</f>
        <v>#VALUE!</v>
      </c>
    </row>
    <row r="17" spans="54:84">
      <c r="BB17" s="225"/>
      <c r="BC17" s="227" t="s">
        <v>636</v>
      </c>
      <c r="BD17" s="94" t="s">
        <v>468</v>
      </c>
      <c r="BE17" s="94" t="str">
        <f t="shared" si="1"/>
        <v>No Gap|Ready</v>
      </c>
      <c r="BF17" s="95" t="e">
        <f>COUNTIFS('[1]Completion Matrix'!$E:$E,'Dashboard 3'!$BB$5,'[1]Completion Matrix'!$I:$I,$BC$17,'[1]Completion Matrix'!$J:$J,BD17)</f>
        <v>#VALUE!</v>
      </c>
      <c r="BG17" s="95" t="e">
        <f>IF(COUNTIFS('[1]Completion Matrix'!$E:$E,'Dashboard 3'!$BB$5,'[1]Completion Matrix'!$I:$I,$BC$17,'[1]Completion Matrix'!$J:$J,BD17)=0,NA(),COUNTIFS('[1]Completion Matrix'!$E:$E,'Dashboard 3'!$BB$5,'[1]Completion Matrix'!$I:$I,$BC$17,'[1]Completion Matrix'!$J:$J,BD17))</f>
        <v>#VALUE!</v>
      </c>
      <c r="BH17" s="96"/>
      <c r="BI17" s="96"/>
      <c r="BJ17" s="96"/>
      <c r="BK17" s="96"/>
      <c r="BL17" s="96"/>
      <c r="BM17" s="96"/>
      <c r="BO17" s="225"/>
      <c r="BP17" s="227" t="s">
        <v>636</v>
      </c>
      <c r="BQ17" s="94" t="s">
        <v>468</v>
      </c>
      <c r="BR17" s="94"/>
      <c r="BS17" s="95" t="e">
        <f>COUNTIFS('[1]Completion Matrix'!$E:$E,'Dashboard 3'!$BO$5,'[1]Completion Matrix'!$I:$I,$BP$17,'[1]Completion Matrix'!$J:$J,BQ17)</f>
        <v>#VALUE!</v>
      </c>
      <c r="BT17" s="96"/>
      <c r="BU17" s="96"/>
      <c r="BV17" s="96"/>
      <c r="BW17" s="96"/>
      <c r="BX17" s="96"/>
      <c r="BY17" s="96"/>
      <c r="BZ17" s="96"/>
      <c r="CB17" s="225"/>
      <c r="CC17" s="227" t="s">
        <v>636</v>
      </c>
      <c r="CD17" s="94" t="s">
        <v>468</v>
      </c>
      <c r="CE17" s="94"/>
      <c r="CF17" s="95" t="e">
        <f>COUNTIFS('[1]Completion Matrix'!$E:$E,'Dashboard 3'!$CB$5,'[1]Completion Matrix'!$I:$I,$CC$17,'[1]Completion Matrix'!$J:$J,CD17)</f>
        <v>#VALUE!</v>
      </c>
    </row>
    <row r="18" spans="54:84">
      <c r="BB18" s="225"/>
      <c r="BC18" s="227"/>
      <c r="BD18" s="94" t="s">
        <v>459</v>
      </c>
      <c r="BE18" s="94" t="str">
        <f t="shared" si="1"/>
        <v>No Gap|Improvements Needed</v>
      </c>
      <c r="BF18" s="95" t="e">
        <f>COUNTIFS('[1]Completion Matrix'!$E:$E,'Dashboard 3'!$BB$5,'[1]Completion Matrix'!$I:$I,$BC$17,'[1]Completion Matrix'!$J:$J,BD18)</f>
        <v>#VALUE!</v>
      </c>
      <c r="BG18" s="95" t="e">
        <f>IF(COUNTIFS('[1]Completion Matrix'!$E:$E,'Dashboard 3'!$BB$5,'[1]Completion Matrix'!$I:$I,$BC$17,'[1]Completion Matrix'!$J:$J,BD18)=0,NA(),COUNTIFS('[1]Completion Matrix'!$E:$E,'Dashboard 3'!$BB$5,'[1]Completion Matrix'!$I:$I,$BC$17,'[1]Completion Matrix'!$J:$J,BD18))</f>
        <v>#VALUE!</v>
      </c>
      <c r="BH18" s="96"/>
      <c r="BI18" s="96"/>
      <c r="BJ18" s="96"/>
      <c r="BK18" s="96"/>
      <c r="BL18" s="96"/>
      <c r="BM18" s="96"/>
      <c r="BO18" s="225"/>
      <c r="BP18" s="227"/>
      <c r="BQ18" s="94" t="s">
        <v>459</v>
      </c>
      <c r="BR18" s="94"/>
      <c r="BS18" s="95" t="e">
        <f>COUNTIFS('[1]Completion Matrix'!$E:$E,'Dashboard 3'!$BO$5,'[1]Completion Matrix'!$I:$I,$BP$17,'[1]Completion Matrix'!$J:$J,BQ18)</f>
        <v>#VALUE!</v>
      </c>
      <c r="BT18" s="96"/>
      <c r="BU18" s="96"/>
      <c r="BV18" s="96"/>
      <c r="BW18" s="96"/>
      <c r="BX18" s="96"/>
      <c r="BY18" s="96"/>
      <c r="BZ18" s="96"/>
      <c r="CB18" s="225"/>
      <c r="CC18" s="227"/>
      <c r="CD18" s="94" t="s">
        <v>459</v>
      </c>
      <c r="CE18" s="94"/>
      <c r="CF18" s="95" t="e">
        <f>COUNTIFS('[1]Completion Matrix'!$E:$E,'Dashboard 3'!$CB$5,'[1]Completion Matrix'!$I:$I,$CC$17,'[1]Completion Matrix'!$J:$J,CD18)</f>
        <v>#VALUE!</v>
      </c>
    </row>
    <row r="19" spans="54:84">
      <c r="BB19" s="225"/>
      <c r="BC19" s="227"/>
      <c r="BD19" s="94" t="s">
        <v>462</v>
      </c>
      <c r="BE19" s="94" t="str">
        <f t="shared" si="1"/>
        <v>No Gap|Significant Improvements Needed</v>
      </c>
      <c r="BF19" s="95" t="e">
        <f>COUNTIFS('[1]Completion Matrix'!$E:$E,'Dashboard 3'!$BB$5,'[1]Completion Matrix'!$I:$I,$BC$17,'[1]Completion Matrix'!$J:$J,BD19)</f>
        <v>#VALUE!</v>
      </c>
      <c r="BG19" s="95" t="e">
        <f>IF(COUNTIFS('[1]Completion Matrix'!$E:$E,'Dashboard 3'!$BB$5,'[1]Completion Matrix'!$I:$I,$BC$17,'[1]Completion Matrix'!$J:$J,BD19)=0,NA(),COUNTIFS('[1]Completion Matrix'!$E:$E,'Dashboard 3'!$BB$5,'[1]Completion Matrix'!$I:$I,$BC$17,'[1]Completion Matrix'!$J:$J,BD19))</f>
        <v>#VALUE!</v>
      </c>
      <c r="BH19" s="96"/>
      <c r="BI19" s="96"/>
      <c r="BJ19" s="96"/>
      <c r="BK19" s="96"/>
      <c r="BL19" s="96"/>
      <c r="BM19" s="96"/>
      <c r="BO19" s="225"/>
      <c r="BP19" s="227"/>
      <c r="BQ19" s="94" t="s">
        <v>462</v>
      </c>
      <c r="BR19" s="94"/>
      <c r="BS19" s="95" t="e">
        <f>COUNTIFS('[1]Completion Matrix'!$E:$E,'Dashboard 3'!$BO$5,'[1]Completion Matrix'!$I:$I,$BP$17,'[1]Completion Matrix'!$J:$J,BQ19)</f>
        <v>#VALUE!</v>
      </c>
      <c r="BT19" s="96"/>
      <c r="BU19" s="96"/>
      <c r="BV19" s="96"/>
      <c r="BW19" s="96"/>
      <c r="BX19" s="96"/>
      <c r="BY19" s="96"/>
      <c r="BZ19" s="96"/>
      <c r="CB19" s="225"/>
      <c r="CC19" s="227"/>
      <c r="CD19" s="94" t="s">
        <v>462</v>
      </c>
      <c r="CE19" s="94"/>
      <c r="CF19" s="95" t="e">
        <f>COUNTIFS('[1]Completion Matrix'!$E:$E,'Dashboard 3'!$CB$5,'[1]Completion Matrix'!$I:$I,$CC$17,'[1]Completion Matrix'!$J:$J,CD19)</f>
        <v>#VALUE!</v>
      </c>
    </row>
    <row r="20" spans="54:84">
      <c r="BB20" s="226"/>
      <c r="BC20" s="227"/>
      <c r="BD20" s="94" t="s">
        <v>636</v>
      </c>
      <c r="BE20" s="94" t="str">
        <f t="shared" si="1"/>
        <v>No Gap|Priority</v>
      </c>
      <c r="BF20" s="95" t="e">
        <f>COUNTIFS('[1]Completion Matrix'!$E:$E,'Dashboard 3'!$BB$5,'[1]Completion Matrix'!$I:$I,$BC$17,'[1]Completion Matrix'!$J:$J,BD20)</f>
        <v>#VALUE!</v>
      </c>
      <c r="BG20" s="95" t="e">
        <f>IF(COUNTIFS('[1]Completion Matrix'!$E:$E,'Dashboard 3'!$BB$5,'[1]Completion Matrix'!$I:$I,$BC$17,'[1]Completion Matrix'!$J:$J,BD20)=0,NA(),COUNTIFS('[1]Completion Matrix'!$E:$E,'Dashboard 3'!$BB$5,'[1]Completion Matrix'!$I:$I,$BC$17,'[1]Completion Matrix'!$J:$J,BD20))</f>
        <v>#VALUE!</v>
      </c>
      <c r="BH20" s="96"/>
      <c r="BI20" s="96"/>
      <c r="BJ20" s="96"/>
      <c r="BK20" s="96"/>
      <c r="BL20" s="96"/>
      <c r="BM20" s="96"/>
      <c r="BO20" s="226"/>
      <c r="BP20" s="227"/>
      <c r="BQ20" s="94" t="s">
        <v>636</v>
      </c>
      <c r="BR20" s="94"/>
      <c r="BS20" s="95" t="e">
        <f>COUNTIFS('[1]Completion Matrix'!$E:$E,'Dashboard 3'!$BO$5,'[1]Completion Matrix'!$I:$I,$BP$17,'[1]Completion Matrix'!$J:$J,BQ20)</f>
        <v>#VALUE!</v>
      </c>
      <c r="BT20" s="96"/>
      <c r="BU20" s="96"/>
      <c r="BV20" s="96"/>
      <c r="BW20" s="96"/>
      <c r="BX20" s="96"/>
      <c r="BY20" s="96"/>
      <c r="BZ20" s="96"/>
      <c r="CB20" s="226"/>
      <c r="CC20" s="227"/>
      <c r="CD20" s="94" t="s">
        <v>636</v>
      </c>
      <c r="CE20" s="94"/>
      <c r="CF20" s="95" t="e">
        <f>COUNTIFS('[1]Completion Matrix'!$E:$E,'Dashboard 3'!$CB$5,'[1]Completion Matrix'!$I:$I,$CC$17,'[1]Completion Matrix'!$J:$J,CD20)</f>
        <v>#VALUE!</v>
      </c>
    </row>
    <row r="21" spans="54:84">
      <c r="BF21" s="95" t="e">
        <f>SUM(BF5:BF20)</f>
        <v>#VALUE!</v>
      </c>
      <c r="BG21" s="96"/>
      <c r="BH21" s="96"/>
      <c r="BI21" s="96"/>
      <c r="BJ21" s="96"/>
      <c r="BK21" s="96"/>
      <c r="BL21" s="96"/>
      <c r="BM21" s="96"/>
      <c r="BS21" s="95" t="e">
        <f>SUM(BS5:BS20)</f>
        <v>#VALUE!</v>
      </c>
      <c r="BT21" s="96"/>
      <c r="BU21" s="96"/>
      <c r="BV21" s="96"/>
      <c r="BW21" s="96"/>
      <c r="BX21" s="96"/>
      <c r="BY21" s="96"/>
      <c r="BZ21" s="96"/>
      <c r="CF21" s="95" t="e">
        <f>SUM(CF5:CF20)</f>
        <v>#VALUE!</v>
      </c>
    </row>
    <row r="23" spans="54:84">
      <c r="BC23" s="229" t="s">
        <v>638</v>
      </c>
      <c r="BD23" s="94" t="s">
        <v>451</v>
      </c>
      <c r="BE23" s="94"/>
      <c r="BF23" s="95" t="e">
        <f>COUNTIFS('[1]Completion Matrix'!$E:$E,'Dashboard 3'!BB5,'[1]Completion Matrix'!$I:$I,"")</f>
        <v>#VALUE!</v>
      </c>
      <c r="BG23" s="96"/>
      <c r="BH23" s="96"/>
      <c r="BI23" s="96"/>
      <c r="BJ23" s="96"/>
      <c r="BK23" s="96"/>
      <c r="BL23" s="96"/>
      <c r="BM23" s="96"/>
      <c r="BP23" s="229" t="s">
        <v>638</v>
      </c>
      <c r="BQ23" s="94" t="s">
        <v>451</v>
      </c>
      <c r="BR23" s="94"/>
      <c r="BS23" s="95" t="e">
        <f>COUNTIFS('[1]Completion Matrix'!$E:$E,'Dashboard 3'!BO5,'[1]Completion Matrix'!$I:$I,"")</f>
        <v>#VALUE!</v>
      </c>
      <c r="BT23" s="96"/>
      <c r="BU23" s="96"/>
      <c r="BV23" s="96"/>
      <c r="BW23" s="96"/>
      <c r="BX23" s="96"/>
      <c r="BY23" s="96"/>
      <c r="BZ23" s="96"/>
      <c r="CC23" s="229" t="s">
        <v>638</v>
      </c>
      <c r="CD23" s="94" t="s">
        <v>451</v>
      </c>
      <c r="CE23" s="94"/>
      <c r="CF23" s="95" t="e">
        <f>COUNTIFS('[1]Completion Matrix'!$E:$E,'Dashboard 3'!CB5,'[1]Completion Matrix'!$I:$I,"")</f>
        <v>#VALUE!</v>
      </c>
    </row>
    <row r="24" spans="54:84">
      <c r="BC24" s="230"/>
      <c r="BD24" s="94" t="s">
        <v>450</v>
      </c>
      <c r="BE24" s="94"/>
      <c r="BF24" s="95" t="e">
        <f>COUNTIFS('[1]Completion Matrix'!$E:$E,'Dashboard 3'!BB5,'[1]Completion Matrix'!$I:$I,"")</f>
        <v>#VALUE!</v>
      </c>
      <c r="BG24" s="96"/>
      <c r="BH24" s="96"/>
      <c r="BI24" s="96"/>
      <c r="BJ24" s="96"/>
      <c r="BK24" s="96"/>
      <c r="BL24" s="96"/>
      <c r="BM24" s="96"/>
      <c r="BP24" s="230"/>
      <c r="BQ24" s="94" t="s">
        <v>450</v>
      </c>
      <c r="BR24" s="94"/>
      <c r="BS24" s="95" t="e">
        <f>COUNTIFS('[1]Completion Matrix'!$E:$E,'Dashboard 3'!BO5,'[1]Completion Matrix'!$I:$I,"")</f>
        <v>#VALUE!</v>
      </c>
      <c r="BT24" s="96"/>
      <c r="BU24" s="96"/>
      <c r="BV24" s="96"/>
      <c r="BW24" s="96"/>
      <c r="BX24" s="96"/>
      <c r="BY24" s="96"/>
      <c r="BZ24" s="96"/>
      <c r="CC24" s="230"/>
      <c r="CD24" s="94" t="s">
        <v>450</v>
      </c>
      <c r="CE24" s="94"/>
      <c r="CF24" s="95" t="e">
        <f>COUNTIFS('[1]Completion Matrix'!$E:$E,'Dashboard 3'!CB5,'[1]Completion Matrix'!$I:$I,"")</f>
        <v>#VALUE!</v>
      </c>
    </row>
    <row r="27" spans="54:84">
      <c r="BB27" s="224" t="s">
        <v>431</v>
      </c>
      <c r="BC27" s="227" t="s">
        <v>595</v>
      </c>
      <c r="BD27" s="94" t="s">
        <v>468</v>
      </c>
      <c r="BE27" s="94" t="str">
        <f>IF(ISNA(BG27),"",$BC$5&amp;"|"&amp;BD27)</f>
        <v>No Gap|Ready</v>
      </c>
      <c r="BF27" s="95" t="e">
        <f>COUNTIFS('[1]Completion Matrix'!$E:$E,'Dashboard 3'!$BB$27,'[1]Completion Matrix'!$I:$I,$BC$27,'[1]Completion Matrix'!$J:$J,BD27)</f>
        <v>#VALUE!</v>
      </c>
      <c r="BG27" s="95" t="e">
        <f>IF(COUNTIFS('[1]Completion Matrix'!$E:$E,'Dashboard 3'!$BB$27,'[1]Completion Matrix'!$I:$I,$BC$27,'[1]Completion Matrix'!$J:$J,BD27)=0,NA(),COUNTIFS('[1]Completion Matrix'!$E:$E,'Dashboard 3'!$BB$27,'[1]Completion Matrix'!$I:$I,$BC$27,'[1]Completion Matrix'!$J:$J,BD27))</f>
        <v>#VALUE!</v>
      </c>
      <c r="BH27" s="96"/>
      <c r="BI27" s="96"/>
      <c r="BJ27" s="96"/>
      <c r="BK27" s="96"/>
      <c r="BL27" s="96"/>
      <c r="BM27" s="96"/>
      <c r="BO27" s="224" t="s">
        <v>481</v>
      </c>
      <c r="BP27" s="227" t="s">
        <v>595</v>
      </c>
      <c r="BQ27" s="94" t="s">
        <v>468</v>
      </c>
      <c r="BR27" s="94"/>
      <c r="BS27" s="95" t="e">
        <f>COUNTIFS('[1]Completion Matrix'!$E:$E,'Dashboard 3'!$BO$27,'[1]Completion Matrix'!$I:$I,$BP$27,'[1]Completion Matrix'!$J:$J,BQ27)</f>
        <v>#VALUE!</v>
      </c>
      <c r="BT27" s="96"/>
      <c r="BU27" s="96"/>
      <c r="BV27" s="96"/>
      <c r="BW27" s="96"/>
      <c r="BX27" s="96"/>
      <c r="BY27" s="96"/>
      <c r="BZ27" s="96"/>
      <c r="CB27" s="224" t="s">
        <v>589</v>
      </c>
      <c r="CC27" s="227" t="s">
        <v>595</v>
      </c>
      <c r="CD27" s="94" t="s">
        <v>468</v>
      </c>
      <c r="CE27" s="94"/>
      <c r="CF27" s="95" t="e">
        <f>COUNTIFS('[1]Completion Matrix'!$E:$E,'Dashboard 3'!$CB$27,'[1]Completion Matrix'!$I:$I,$CC$27,'[1]Completion Matrix'!$J:$J,CD27)</f>
        <v>#VALUE!</v>
      </c>
    </row>
    <row r="28" spans="54:84">
      <c r="BB28" s="225"/>
      <c r="BC28" s="227"/>
      <c r="BD28" s="94" t="s">
        <v>459</v>
      </c>
      <c r="BE28" s="94" t="str">
        <f>IF(ISNA(BG28),"",$BC$5&amp;"|"&amp;BD28)</f>
        <v>No Gap|Improvements Needed</v>
      </c>
      <c r="BF28" s="95" t="e">
        <f>COUNTIFS('[1]Completion Matrix'!$E:$E,'Dashboard 3'!$BB$27,'[1]Completion Matrix'!$I:$I,$BC$27,'[1]Completion Matrix'!$J:$J,BD28)</f>
        <v>#VALUE!</v>
      </c>
      <c r="BG28" s="95" t="e">
        <f>IF(COUNTIFS('[1]Completion Matrix'!$E:$E,'Dashboard 3'!$BB$27,'[1]Completion Matrix'!$I:$I,$BC$27,'[1]Completion Matrix'!$J:$J,BD28)=0,NA(),COUNTIFS('[1]Completion Matrix'!$E:$E,'Dashboard 3'!$BB$27,'[1]Completion Matrix'!$I:$I,$BC$27,'[1]Completion Matrix'!$J:$J,BD28))</f>
        <v>#VALUE!</v>
      </c>
      <c r="BH28" s="96"/>
      <c r="BI28" s="96"/>
      <c r="BJ28" s="96"/>
      <c r="BK28" s="96"/>
      <c r="BL28" s="96"/>
      <c r="BM28" s="96"/>
      <c r="BO28" s="225"/>
      <c r="BP28" s="227"/>
      <c r="BQ28" s="94" t="s">
        <v>459</v>
      </c>
      <c r="BR28" s="94"/>
      <c r="BS28" s="95" t="e">
        <f>COUNTIFS('[1]Completion Matrix'!$E:$E,'Dashboard 3'!$BO$27,'[1]Completion Matrix'!$I:$I,$BP$27,'[1]Completion Matrix'!$J:$J,BQ28)</f>
        <v>#VALUE!</v>
      </c>
      <c r="BT28" s="96"/>
      <c r="BU28" s="96"/>
      <c r="BV28" s="96"/>
      <c r="BW28" s="96"/>
      <c r="BX28" s="96"/>
      <c r="BY28" s="96"/>
      <c r="BZ28" s="96"/>
      <c r="CB28" s="225"/>
      <c r="CC28" s="227"/>
      <c r="CD28" s="94" t="s">
        <v>459</v>
      </c>
      <c r="CE28" s="94"/>
      <c r="CF28" s="95" t="e">
        <f>COUNTIFS('[1]Completion Matrix'!$E:$E,'Dashboard 3'!$CB$27,'[1]Completion Matrix'!$I:$I,$CC$27,'[1]Completion Matrix'!$J:$J,CD28)</f>
        <v>#VALUE!</v>
      </c>
    </row>
    <row r="29" spans="54:84">
      <c r="BB29" s="225"/>
      <c r="BC29" s="227"/>
      <c r="BD29" s="94" t="s">
        <v>462</v>
      </c>
      <c r="BE29" s="94" t="str">
        <f t="shared" ref="BE29:BE42" si="2">IF(ISNA(BG29),"",$BC$5&amp;"|"&amp;BD29)</f>
        <v>No Gap|Significant Improvements Needed</v>
      </c>
      <c r="BF29" s="95" t="e">
        <f>COUNTIFS('[1]Completion Matrix'!$E:$E,'Dashboard 3'!$BB$27,'[1]Completion Matrix'!$I:$I,$BC$27,'[1]Completion Matrix'!$J:$J,BD29)</f>
        <v>#VALUE!</v>
      </c>
      <c r="BG29" s="95" t="e">
        <f>IF(COUNTIFS('[1]Completion Matrix'!$E:$E,'Dashboard 3'!$BB$27,'[1]Completion Matrix'!$I:$I,$BC$27,'[1]Completion Matrix'!$J:$J,BD29)=0,NA(),COUNTIFS('[1]Completion Matrix'!$E:$E,'Dashboard 3'!$BB$27,'[1]Completion Matrix'!$I:$I,$BC$27,'[1]Completion Matrix'!$J:$J,BD29))</f>
        <v>#VALUE!</v>
      </c>
      <c r="BH29" s="96"/>
      <c r="BI29" s="96"/>
      <c r="BJ29" s="96"/>
      <c r="BK29" s="96"/>
      <c r="BL29" s="96"/>
      <c r="BM29" s="96"/>
      <c r="BO29" s="225"/>
      <c r="BP29" s="227"/>
      <c r="BQ29" s="94" t="s">
        <v>462</v>
      </c>
      <c r="BR29" s="94"/>
      <c r="BS29" s="95" t="e">
        <f>COUNTIFS('[1]Completion Matrix'!$E:$E,'Dashboard 3'!$BO$27,'[1]Completion Matrix'!$I:$I,$BP$27,'[1]Completion Matrix'!$J:$J,BQ29)</f>
        <v>#VALUE!</v>
      </c>
      <c r="BT29" s="96"/>
      <c r="BU29" s="96"/>
      <c r="BV29" s="96"/>
      <c r="BW29" s="96"/>
      <c r="BX29" s="96"/>
      <c r="BY29" s="96"/>
      <c r="BZ29" s="96"/>
      <c r="CB29" s="225"/>
      <c r="CC29" s="227"/>
      <c r="CD29" s="94" t="s">
        <v>462</v>
      </c>
      <c r="CE29" s="94"/>
      <c r="CF29" s="95" t="e">
        <f>COUNTIFS('[1]Completion Matrix'!$E:$E,'Dashboard 3'!$CB$27,'[1]Completion Matrix'!$I:$I,$CC$27,'[1]Completion Matrix'!$J:$J,CD29)</f>
        <v>#VALUE!</v>
      </c>
    </row>
    <row r="30" spans="54:84">
      <c r="BB30" s="225"/>
      <c r="BC30" s="227"/>
      <c r="BD30" s="94" t="s">
        <v>636</v>
      </c>
      <c r="BE30" s="94" t="str">
        <f t="shared" si="2"/>
        <v>No Gap|Priority</v>
      </c>
      <c r="BF30" s="95" t="e">
        <f>COUNTIFS('[1]Completion Matrix'!$E:$E,'Dashboard 3'!$BB$27,'[1]Completion Matrix'!$I:$I,$BC$27,'[1]Completion Matrix'!$J:$J,BD30)</f>
        <v>#VALUE!</v>
      </c>
      <c r="BG30" s="95" t="e">
        <f>IF(COUNTIFS('[1]Completion Matrix'!$E:$E,'Dashboard 3'!$BB$27,'[1]Completion Matrix'!$I:$I,$BC$27,'[1]Completion Matrix'!$J:$J,BD30)=0,NA(),COUNTIFS('[1]Completion Matrix'!$E:$E,'Dashboard 3'!$BB$27,'[1]Completion Matrix'!$I:$I,$BC$27,'[1]Completion Matrix'!$J:$J,BD30))</f>
        <v>#VALUE!</v>
      </c>
      <c r="BH30" s="96"/>
      <c r="BI30" s="96"/>
      <c r="BJ30" s="96"/>
      <c r="BK30" s="96"/>
      <c r="BL30" s="96"/>
      <c r="BM30" s="96"/>
      <c r="BO30" s="225"/>
      <c r="BP30" s="227"/>
      <c r="BQ30" s="94" t="s">
        <v>636</v>
      </c>
      <c r="BR30" s="94"/>
      <c r="BS30" s="95" t="e">
        <f>COUNTIFS('[1]Completion Matrix'!$E:$E,'Dashboard 3'!$BO$27,'[1]Completion Matrix'!$I:$I,$BP$27,'[1]Completion Matrix'!$J:$J,BQ30)</f>
        <v>#VALUE!</v>
      </c>
      <c r="BT30" s="96"/>
      <c r="BU30" s="96"/>
      <c r="BV30" s="96"/>
      <c r="BW30" s="96"/>
      <c r="BX30" s="96"/>
      <c r="BY30" s="96"/>
      <c r="BZ30" s="96"/>
      <c r="CB30" s="225"/>
      <c r="CC30" s="227"/>
      <c r="CD30" s="94" t="s">
        <v>636</v>
      </c>
      <c r="CE30" s="94"/>
      <c r="CF30" s="95" t="e">
        <f>COUNTIFS('[1]Completion Matrix'!$E:$E,'Dashboard 3'!$CB$27,'[1]Completion Matrix'!$I:$I,$CC$27,'[1]Completion Matrix'!$J:$J,CD30)</f>
        <v>#VALUE!</v>
      </c>
    </row>
    <row r="31" spans="54:84">
      <c r="BB31" s="225"/>
      <c r="BC31" s="227" t="s">
        <v>594</v>
      </c>
      <c r="BD31" s="94" t="s">
        <v>468</v>
      </c>
      <c r="BE31" s="94" t="str">
        <f t="shared" si="2"/>
        <v>No Gap|Ready</v>
      </c>
      <c r="BF31" s="95" t="e">
        <f>COUNTIFS('[1]Completion Matrix'!$E:$E,'Dashboard 3'!$BB$27,'[1]Completion Matrix'!$I:$I,$BC$31,'[1]Completion Matrix'!$J:$J,BD31)</f>
        <v>#VALUE!</v>
      </c>
      <c r="BG31" s="95" t="e">
        <f>IF(COUNTIFS('[1]Completion Matrix'!$E:$E,'Dashboard 3'!$BB$27,'[1]Completion Matrix'!$I:$I,$BC$31,'[1]Completion Matrix'!$J:$J,BD31)=0,NA(),COUNTIFS('[1]Completion Matrix'!$E:$E,'Dashboard 3'!$BB$27,'[1]Completion Matrix'!$I:$I,$BC$31,'[1]Completion Matrix'!$J:$J,BD31))</f>
        <v>#VALUE!</v>
      </c>
      <c r="BH31" s="96"/>
      <c r="BI31" s="96"/>
      <c r="BJ31" s="96"/>
      <c r="BK31" s="96"/>
      <c r="BL31" s="96"/>
      <c r="BM31" s="96"/>
      <c r="BO31" s="225"/>
      <c r="BP31" s="227" t="s">
        <v>594</v>
      </c>
      <c r="BQ31" s="94" t="s">
        <v>468</v>
      </c>
      <c r="BR31" s="94"/>
      <c r="BS31" s="95" t="e">
        <f>COUNTIFS('[1]Completion Matrix'!$E:$E,'Dashboard 3'!$BO$27,'[1]Completion Matrix'!$I:$I,$BP$31,'[1]Completion Matrix'!$J:$J,BQ31)</f>
        <v>#VALUE!</v>
      </c>
      <c r="BT31" s="96"/>
      <c r="BU31" s="96"/>
      <c r="BV31" s="96"/>
      <c r="BW31" s="96"/>
      <c r="BX31" s="96"/>
      <c r="BY31" s="96"/>
      <c r="BZ31" s="96"/>
      <c r="CB31" s="225"/>
      <c r="CC31" s="227" t="s">
        <v>594</v>
      </c>
      <c r="CD31" s="94" t="s">
        <v>468</v>
      </c>
      <c r="CE31" s="94"/>
      <c r="CF31" s="95" t="e">
        <f>COUNTIFS('[1]Completion Matrix'!$E:$E,'Dashboard 3'!$CB$27,'[1]Completion Matrix'!$I:$I,$CC$31,'[1]Completion Matrix'!$J:$J,CD31)</f>
        <v>#VALUE!</v>
      </c>
    </row>
    <row r="32" spans="54:84">
      <c r="BB32" s="225"/>
      <c r="BC32" s="227"/>
      <c r="BD32" s="94" t="s">
        <v>459</v>
      </c>
      <c r="BE32" s="94" t="str">
        <f t="shared" si="2"/>
        <v>No Gap|Improvements Needed</v>
      </c>
      <c r="BF32" s="95" t="e">
        <f>COUNTIFS('[1]Completion Matrix'!$E:$E,'Dashboard 3'!$BB$27,'[1]Completion Matrix'!$I:$I,$BC$31,'[1]Completion Matrix'!$J:$J,BD32)</f>
        <v>#VALUE!</v>
      </c>
      <c r="BG32" s="95" t="e">
        <f>IF(COUNTIFS('[1]Completion Matrix'!$E:$E,'Dashboard 3'!$BB$27,'[1]Completion Matrix'!$I:$I,$BC$31,'[1]Completion Matrix'!$J:$J,BD32)=0,NA(),COUNTIFS('[1]Completion Matrix'!$E:$E,'Dashboard 3'!$BB$27,'[1]Completion Matrix'!$I:$I,$BC$31,'[1]Completion Matrix'!$J:$J,BD32))</f>
        <v>#VALUE!</v>
      </c>
      <c r="BH32" s="96"/>
      <c r="BI32" s="96"/>
      <c r="BJ32" s="96"/>
      <c r="BK32" s="96"/>
      <c r="BL32" s="96"/>
      <c r="BM32" s="96"/>
      <c r="BO32" s="225"/>
      <c r="BP32" s="227"/>
      <c r="BQ32" s="94" t="s">
        <v>459</v>
      </c>
      <c r="BR32" s="94"/>
      <c r="BS32" s="95" t="e">
        <f>COUNTIFS('[1]Completion Matrix'!$E:$E,'Dashboard 3'!$BO$27,'[1]Completion Matrix'!$I:$I,$BP$31,'[1]Completion Matrix'!$J:$J,BQ32)</f>
        <v>#VALUE!</v>
      </c>
      <c r="BT32" s="96"/>
      <c r="BU32" s="96"/>
      <c r="BV32" s="96"/>
      <c r="BW32" s="96"/>
      <c r="BX32" s="96"/>
      <c r="BY32" s="96"/>
      <c r="BZ32" s="96"/>
      <c r="CB32" s="225"/>
      <c r="CC32" s="227"/>
      <c r="CD32" s="94" t="s">
        <v>459</v>
      </c>
      <c r="CE32" s="94"/>
      <c r="CF32" s="95" t="e">
        <f>COUNTIFS('[1]Completion Matrix'!$E:$E,'Dashboard 3'!$CB$27,'[1]Completion Matrix'!$I:$I,$CC$31,'[1]Completion Matrix'!$J:$J,CD32)</f>
        <v>#VALUE!</v>
      </c>
    </row>
    <row r="33" spans="54:84">
      <c r="BB33" s="225"/>
      <c r="BC33" s="227"/>
      <c r="BD33" s="94" t="s">
        <v>462</v>
      </c>
      <c r="BE33" s="94" t="str">
        <f t="shared" si="2"/>
        <v>No Gap|Significant Improvements Needed</v>
      </c>
      <c r="BF33" s="95" t="e">
        <f>COUNTIFS('[1]Completion Matrix'!$E:$E,'Dashboard 3'!$BB$27,'[1]Completion Matrix'!$I:$I,$BC$31,'[1]Completion Matrix'!$J:$J,BD33)</f>
        <v>#VALUE!</v>
      </c>
      <c r="BG33" s="95" t="e">
        <f>IF(COUNTIFS('[1]Completion Matrix'!$E:$E,'Dashboard 3'!$BB$27,'[1]Completion Matrix'!$I:$I,$BC$31,'[1]Completion Matrix'!$J:$J,BD33)=0,NA(),COUNTIFS('[1]Completion Matrix'!$E:$E,'Dashboard 3'!$BB$27,'[1]Completion Matrix'!$I:$I,$BC$31,'[1]Completion Matrix'!$J:$J,BD33))</f>
        <v>#VALUE!</v>
      </c>
      <c r="BH33" s="96"/>
      <c r="BI33" s="96"/>
      <c r="BJ33" s="96"/>
      <c r="BK33" s="96"/>
      <c r="BL33" s="96"/>
      <c r="BM33" s="96"/>
      <c r="BO33" s="225"/>
      <c r="BP33" s="227"/>
      <c r="BQ33" s="94" t="s">
        <v>462</v>
      </c>
      <c r="BR33" s="94"/>
      <c r="BS33" s="95" t="e">
        <f>COUNTIFS('[1]Completion Matrix'!$E:$E,'Dashboard 3'!$BO$27,'[1]Completion Matrix'!$I:$I,$BP$31,'[1]Completion Matrix'!$J:$J,BQ33)</f>
        <v>#VALUE!</v>
      </c>
      <c r="BT33" s="96"/>
      <c r="BU33" s="96"/>
      <c r="BV33" s="96"/>
      <c r="BW33" s="96"/>
      <c r="BX33" s="96"/>
      <c r="BY33" s="96"/>
      <c r="BZ33" s="96"/>
      <c r="CB33" s="225"/>
      <c r="CC33" s="227"/>
      <c r="CD33" s="94" t="s">
        <v>462</v>
      </c>
      <c r="CE33" s="94"/>
      <c r="CF33" s="95" t="e">
        <f>COUNTIFS('[1]Completion Matrix'!$E:$E,'Dashboard 3'!$CB$27,'[1]Completion Matrix'!$I:$I,$CC$31,'[1]Completion Matrix'!$J:$J,CD33)</f>
        <v>#VALUE!</v>
      </c>
    </row>
    <row r="34" spans="54:84">
      <c r="BB34" s="225"/>
      <c r="BC34" s="227"/>
      <c r="BD34" s="94" t="s">
        <v>637</v>
      </c>
      <c r="BE34" s="94" t="str">
        <f t="shared" si="2"/>
        <v>No Gap|Priotiy</v>
      </c>
      <c r="BF34" s="95" t="e">
        <f>COUNTIFS('[1]Completion Matrix'!$E:$E,'Dashboard 3'!$BB$27,'[1]Completion Matrix'!$I:$I,$BC$31,'[1]Completion Matrix'!$J:$J,BD34)</f>
        <v>#VALUE!</v>
      </c>
      <c r="BG34" s="95" t="e">
        <f>IF(COUNTIFS('[1]Completion Matrix'!$E:$E,'Dashboard 3'!$BB$27,'[1]Completion Matrix'!$I:$I,$BC$31,'[1]Completion Matrix'!$J:$J,BD34)=0,NA(),COUNTIFS('[1]Completion Matrix'!$E:$E,'Dashboard 3'!$BB$27,'[1]Completion Matrix'!$I:$I,$BC$31,'[1]Completion Matrix'!$J:$J,BD34))</f>
        <v>#VALUE!</v>
      </c>
      <c r="BH34" s="96"/>
      <c r="BI34" s="96"/>
      <c r="BJ34" s="96"/>
      <c r="BK34" s="96"/>
      <c r="BL34" s="96"/>
      <c r="BM34" s="96"/>
      <c r="BO34" s="225"/>
      <c r="BP34" s="227"/>
      <c r="BQ34" s="94" t="s">
        <v>637</v>
      </c>
      <c r="BR34" s="94"/>
      <c r="BS34" s="95" t="e">
        <f>COUNTIFS('[1]Completion Matrix'!$E:$E,'Dashboard 3'!$BO$27,'[1]Completion Matrix'!$I:$I,$BP$31,'[1]Completion Matrix'!$J:$J,BQ34)</f>
        <v>#VALUE!</v>
      </c>
      <c r="BT34" s="96"/>
      <c r="BU34" s="96"/>
      <c r="BV34" s="96"/>
      <c r="BW34" s="96"/>
      <c r="BX34" s="96"/>
      <c r="BY34" s="96"/>
      <c r="BZ34" s="96"/>
      <c r="CB34" s="225"/>
      <c r="CC34" s="227"/>
      <c r="CD34" s="94" t="s">
        <v>637</v>
      </c>
      <c r="CE34" s="94"/>
      <c r="CF34" s="95" t="e">
        <f>COUNTIFS('[1]Completion Matrix'!$E:$E,'Dashboard 3'!$CB$27,'[1]Completion Matrix'!$I:$I,$CC$31,'[1]Completion Matrix'!$J:$J,CD34)</f>
        <v>#VALUE!</v>
      </c>
    </row>
    <row r="35" spans="54:84">
      <c r="BB35" s="225"/>
      <c r="BC35" s="227" t="s">
        <v>593</v>
      </c>
      <c r="BD35" s="94" t="s">
        <v>468</v>
      </c>
      <c r="BE35" s="94" t="str">
        <f t="shared" si="2"/>
        <v>No Gap|Ready</v>
      </c>
      <c r="BF35" s="95" t="e">
        <f>COUNTIFS('[1]Completion Matrix'!$E:$E,'Dashboard 3'!$BB$27,'[1]Completion Matrix'!$I:$I,$BC$35,'[1]Completion Matrix'!$J:$J,BD35)</f>
        <v>#VALUE!</v>
      </c>
      <c r="BG35" s="95" t="e">
        <f>IF(COUNTIFS('[1]Completion Matrix'!$E:$E,'Dashboard 3'!$BB$27,'[1]Completion Matrix'!$I:$I,$BC$35,'[1]Completion Matrix'!$J:$J,BD35)=0,NA(),COUNTIFS('[1]Completion Matrix'!$E:$E,'Dashboard 3'!$BB$27,'[1]Completion Matrix'!$I:$I,$BC$35,'[1]Completion Matrix'!$J:$J,BD35))</f>
        <v>#VALUE!</v>
      </c>
      <c r="BH35" s="96"/>
      <c r="BI35" s="96"/>
      <c r="BJ35" s="96"/>
      <c r="BK35" s="96"/>
      <c r="BL35" s="96"/>
      <c r="BM35" s="96"/>
      <c r="BO35" s="225"/>
      <c r="BP35" s="227" t="s">
        <v>593</v>
      </c>
      <c r="BQ35" s="94" t="s">
        <v>468</v>
      </c>
      <c r="BR35" s="94"/>
      <c r="BS35" s="95" t="e">
        <f>COUNTIFS('[1]Completion Matrix'!$E:$E,'Dashboard 3'!$BO$27,'[1]Completion Matrix'!$I:$I,$BP$35,'[1]Completion Matrix'!$J:$J,BQ35)</f>
        <v>#VALUE!</v>
      </c>
      <c r="BT35" s="96"/>
      <c r="BU35" s="96"/>
      <c r="BV35" s="96"/>
      <c r="BW35" s="96"/>
      <c r="BX35" s="96"/>
      <c r="BY35" s="96"/>
      <c r="BZ35" s="96"/>
      <c r="CB35" s="225"/>
      <c r="CC35" s="227" t="s">
        <v>593</v>
      </c>
      <c r="CD35" s="94" t="s">
        <v>468</v>
      </c>
      <c r="CE35" s="94"/>
      <c r="CF35" s="95" t="e">
        <f>COUNTIFS('[1]Completion Matrix'!$E:$E,'Dashboard 3'!$CB$27,'[1]Completion Matrix'!$I:$I,$CC$35,'[1]Completion Matrix'!$J:$J,CD35)</f>
        <v>#VALUE!</v>
      </c>
    </row>
    <row r="36" spans="54:84">
      <c r="BB36" s="225"/>
      <c r="BC36" s="227"/>
      <c r="BD36" s="94" t="s">
        <v>459</v>
      </c>
      <c r="BE36" s="94" t="str">
        <f t="shared" si="2"/>
        <v>No Gap|Improvements Needed</v>
      </c>
      <c r="BF36" s="95" t="e">
        <f>COUNTIFS('[1]Completion Matrix'!$E:$E,'Dashboard 3'!$BB$27,'[1]Completion Matrix'!$I:$I,$BC$35,'[1]Completion Matrix'!$J:$J,BD36)</f>
        <v>#VALUE!</v>
      </c>
      <c r="BG36" s="95" t="e">
        <f>IF(COUNTIFS('[1]Completion Matrix'!$E:$E,'Dashboard 3'!$BB$27,'[1]Completion Matrix'!$I:$I,$BC$35,'[1]Completion Matrix'!$J:$J,BD36)=0,NA(),COUNTIFS('[1]Completion Matrix'!$E:$E,'Dashboard 3'!$BB$27,'[1]Completion Matrix'!$I:$I,$BC$35,'[1]Completion Matrix'!$J:$J,BD36))</f>
        <v>#VALUE!</v>
      </c>
      <c r="BH36" s="96"/>
      <c r="BI36" s="96"/>
      <c r="BJ36" s="96"/>
      <c r="BK36" s="96"/>
      <c r="BL36" s="96"/>
      <c r="BM36" s="96"/>
      <c r="BO36" s="225"/>
      <c r="BP36" s="227"/>
      <c r="BQ36" s="94" t="s">
        <v>459</v>
      </c>
      <c r="BR36" s="94"/>
      <c r="BS36" s="95" t="e">
        <f>COUNTIFS('[1]Completion Matrix'!$E:$E,'Dashboard 3'!$BO$27,'[1]Completion Matrix'!$I:$I,$BP$35,'[1]Completion Matrix'!$J:$J,BQ36)</f>
        <v>#VALUE!</v>
      </c>
      <c r="BT36" s="96"/>
      <c r="BU36" s="96"/>
      <c r="BV36" s="96"/>
      <c r="BW36" s="96"/>
      <c r="BX36" s="96"/>
      <c r="BY36" s="96"/>
      <c r="BZ36" s="96"/>
      <c r="CB36" s="225"/>
      <c r="CC36" s="227"/>
      <c r="CD36" s="94" t="s">
        <v>459</v>
      </c>
      <c r="CE36" s="94"/>
      <c r="CF36" s="95" t="e">
        <f>COUNTIFS('[1]Completion Matrix'!$E:$E,'Dashboard 3'!$CB$27,'[1]Completion Matrix'!$I:$I,$CC$35,'[1]Completion Matrix'!$J:$J,CD36)</f>
        <v>#VALUE!</v>
      </c>
    </row>
    <row r="37" spans="54:84">
      <c r="BB37" s="225"/>
      <c r="BC37" s="227"/>
      <c r="BD37" s="94" t="s">
        <v>462</v>
      </c>
      <c r="BE37" s="94" t="str">
        <f t="shared" si="2"/>
        <v>No Gap|Significant Improvements Needed</v>
      </c>
      <c r="BF37" s="95" t="e">
        <f>COUNTIFS('[1]Completion Matrix'!$E:$E,'Dashboard 3'!$BB$27,'[1]Completion Matrix'!$I:$I,$BC$35,'[1]Completion Matrix'!$J:$J,BD37)</f>
        <v>#VALUE!</v>
      </c>
      <c r="BG37" s="95" t="e">
        <f>IF(COUNTIFS('[1]Completion Matrix'!$E:$E,'Dashboard 3'!$BB$27,'[1]Completion Matrix'!$I:$I,$BC$35,'[1]Completion Matrix'!$J:$J,BD37)=0,NA(),COUNTIFS('[1]Completion Matrix'!$E:$E,'Dashboard 3'!$BB$27,'[1]Completion Matrix'!$I:$I,$BC$35,'[1]Completion Matrix'!$J:$J,BD37))</f>
        <v>#VALUE!</v>
      </c>
      <c r="BH37" s="96"/>
      <c r="BI37" s="96"/>
      <c r="BJ37" s="96"/>
      <c r="BK37" s="96"/>
      <c r="BL37" s="96"/>
      <c r="BM37" s="96"/>
      <c r="BO37" s="225"/>
      <c r="BP37" s="227"/>
      <c r="BQ37" s="94" t="s">
        <v>462</v>
      </c>
      <c r="BR37" s="94"/>
      <c r="BS37" s="95" t="e">
        <f>COUNTIFS('[1]Completion Matrix'!$E:$E,'Dashboard 3'!$BO$27,'[1]Completion Matrix'!$I:$I,$BP$35,'[1]Completion Matrix'!$J:$J,BQ37)</f>
        <v>#VALUE!</v>
      </c>
      <c r="BT37" s="96"/>
      <c r="BU37" s="96"/>
      <c r="BV37" s="96"/>
      <c r="BW37" s="96"/>
      <c r="BX37" s="96"/>
      <c r="BY37" s="96"/>
      <c r="BZ37" s="96"/>
      <c r="CB37" s="225"/>
      <c r="CC37" s="227"/>
      <c r="CD37" s="94" t="s">
        <v>462</v>
      </c>
      <c r="CE37" s="94"/>
      <c r="CF37" s="95" t="e">
        <f>COUNTIFS('[1]Completion Matrix'!$E:$E,'Dashboard 3'!$CB$27,'[1]Completion Matrix'!$I:$I,$CC$35,'[1]Completion Matrix'!$J:$J,CD37)</f>
        <v>#VALUE!</v>
      </c>
    </row>
    <row r="38" spans="54:84">
      <c r="BB38" s="225"/>
      <c r="BC38" s="227"/>
      <c r="BD38" s="94" t="s">
        <v>636</v>
      </c>
      <c r="BE38" s="94" t="str">
        <f t="shared" si="2"/>
        <v>No Gap|Priority</v>
      </c>
      <c r="BF38" s="95" t="e">
        <f>COUNTIFS('[1]Completion Matrix'!$E:$E,'Dashboard 3'!$BB$27,'[1]Completion Matrix'!$I:$I,$BC$35,'[1]Completion Matrix'!$J:$J,BD38)</f>
        <v>#VALUE!</v>
      </c>
      <c r="BG38" s="95" t="e">
        <f>IF(COUNTIFS('[1]Completion Matrix'!$E:$E,'Dashboard 3'!$BB$27,'[1]Completion Matrix'!$I:$I,$BC$35,'[1]Completion Matrix'!$J:$J,BD38)=0,NA(),COUNTIFS('[1]Completion Matrix'!$E:$E,'Dashboard 3'!$BB$27,'[1]Completion Matrix'!$I:$I,$BC$35,'[1]Completion Matrix'!$J:$J,BD38))</f>
        <v>#VALUE!</v>
      </c>
      <c r="BH38" s="96"/>
      <c r="BI38" s="96"/>
      <c r="BJ38" s="96"/>
      <c r="BK38" s="96"/>
      <c r="BL38" s="96"/>
      <c r="BM38" s="96"/>
      <c r="BO38" s="225"/>
      <c r="BP38" s="227"/>
      <c r="BQ38" s="94" t="s">
        <v>636</v>
      </c>
      <c r="BR38" s="94"/>
      <c r="BS38" s="95" t="e">
        <f>COUNTIFS('[1]Completion Matrix'!$E:$E,'Dashboard 3'!$BO$27,'[1]Completion Matrix'!$I:$I,$BP$35,'[1]Completion Matrix'!$J:$J,BQ38)</f>
        <v>#VALUE!</v>
      </c>
      <c r="BT38" s="96"/>
      <c r="BU38" s="96"/>
      <c r="BV38" s="96"/>
      <c r="BW38" s="96"/>
      <c r="BX38" s="96"/>
      <c r="BY38" s="96"/>
      <c r="BZ38" s="96"/>
      <c r="CB38" s="225"/>
      <c r="CC38" s="227"/>
      <c r="CD38" s="94" t="s">
        <v>636</v>
      </c>
      <c r="CE38" s="94"/>
      <c r="CF38" s="95" t="e">
        <f>COUNTIFS('[1]Completion Matrix'!$E:$E,'Dashboard 3'!$CB$27,'[1]Completion Matrix'!$I:$I,$CC$35,'[1]Completion Matrix'!$J:$J,CD38)</f>
        <v>#VALUE!</v>
      </c>
    </row>
    <row r="39" spans="54:84">
      <c r="BB39" s="225"/>
      <c r="BC39" s="227" t="s">
        <v>636</v>
      </c>
      <c r="BD39" s="94" t="s">
        <v>468</v>
      </c>
      <c r="BE39" s="94" t="str">
        <f t="shared" si="2"/>
        <v>No Gap|Ready</v>
      </c>
      <c r="BF39" s="95" t="e">
        <f>COUNTIFS('[1]Completion Matrix'!$E:$E,'Dashboard 3'!$BB$27,'[1]Completion Matrix'!$I:$I,$BC$39,'[1]Completion Matrix'!$J:$J,BD39)</f>
        <v>#VALUE!</v>
      </c>
      <c r="BG39" s="95" t="e">
        <f>IF(COUNTIFS('[1]Completion Matrix'!$E:$E,'Dashboard 3'!$BB$27,'[1]Completion Matrix'!$I:$I,$BC$39,'[1]Completion Matrix'!$J:$J,BD39)=0,NA(),COUNTIFS('[1]Completion Matrix'!$E:$E,'Dashboard 3'!$BB$27,'[1]Completion Matrix'!$I:$I,$BC$39,'[1]Completion Matrix'!$J:$J,BD39))</f>
        <v>#VALUE!</v>
      </c>
      <c r="BH39" s="96"/>
      <c r="BI39" s="96"/>
      <c r="BJ39" s="96"/>
      <c r="BK39" s="96"/>
      <c r="BL39" s="96"/>
      <c r="BM39" s="96"/>
      <c r="BO39" s="225"/>
      <c r="BP39" s="227" t="s">
        <v>636</v>
      </c>
      <c r="BQ39" s="94" t="s">
        <v>468</v>
      </c>
      <c r="BR39" s="94"/>
      <c r="BS39" s="95" t="e">
        <f>COUNTIFS('[1]Completion Matrix'!$E:$E,'Dashboard 3'!$BO$27,'[1]Completion Matrix'!$I:$I,$BP$39,'[1]Completion Matrix'!$J:$J,BQ39)</f>
        <v>#VALUE!</v>
      </c>
      <c r="BT39" s="96"/>
      <c r="BU39" s="96"/>
      <c r="BV39" s="96"/>
      <c r="BW39" s="96"/>
      <c r="BX39" s="96"/>
      <c r="BY39" s="96"/>
      <c r="BZ39" s="96"/>
      <c r="CB39" s="225"/>
      <c r="CC39" s="227" t="s">
        <v>636</v>
      </c>
      <c r="CD39" s="94" t="s">
        <v>468</v>
      </c>
      <c r="CE39" s="94"/>
      <c r="CF39" s="95" t="e">
        <f>COUNTIFS('[1]Completion Matrix'!$E:$E,'Dashboard 3'!$CB$27,'[1]Completion Matrix'!$I:$I,$CC$39,'[1]Completion Matrix'!$J:$J,CD39)</f>
        <v>#VALUE!</v>
      </c>
    </row>
    <row r="40" spans="54:84">
      <c r="BB40" s="225"/>
      <c r="BC40" s="227"/>
      <c r="BD40" s="94" t="s">
        <v>459</v>
      </c>
      <c r="BE40" s="94" t="str">
        <f t="shared" si="2"/>
        <v>No Gap|Improvements Needed</v>
      </c>
      <c r="BF40" s="95" t="e">
        <f>COUNTIFS('[1]Completion Matrix'!$E:$E,'Dashboard 3'!$BB$27,'[1]Completion Matrix'!$I:$I,$BC$39,'[1]Completion Matrix'!$J:$J,BD40)</f>
        <v>#VALUE!</v>
      </c>
      <c r="BG40" s="95" t="e">
        <f>IF(COUNTIFS('[1]Completion Matrix'!$E:$E,'Dashboard 3'!$BB$27,'[1]Completion Matrix'!$I:$I,$BC$35,'[1]Completion Matrix'!$J:$J,BD40)=0,NA(),COUNTIFS('[1]Completion Matrix'!$E:$E,'Dashboard 3'!$BB$27,'[1]Completion Matrix'!$I:$I,$BC$35,'[1]Completion Matrix'!$J:$J,BD40))</f>
        <v>#VALUE!</v>
      </c>
      <c r="BH40" s="96"/>
      <c r="BI40" s="96"/>
      <c r="BJ40" s="96"/>
      <c r="BK40" s="96"/>
      <c r="BL40" s="96"/>
      <c r="BM40" s="96"/>
      <c r="BO40" s="225"/>
      <c r="BP40" s="227"/>
      <c r="BQ40" s="94" t="s">
        <v>459</v>
      </c>
      <c r="BR40" s="94"/>
      <c r="BS40" s="95" t="e">
        <f>COUNTIFS('[1]Completion Matrix'!$E:$E,'Dashboard 3'!$BO$27,'[1]Completion Matrix'!$I:$I,$BP$39,'[1]Completion Matrix'!$J:$J,BQ40)</f>
        <v>#VALUE!</v>
      </c>
      <c r="BT40" s="96"/>
      <c r="BU40" s="96"/>
      <c r="BV40" s="96"/>
      <c r="BW40" s="96"/>
      <c r="BX40" s="96"/>
      <c r="BY40" s="96"/>
      <c r="BZ40" s="96"/>
      <c r="CB40" s="225"/>
      <c r="CC40" s="227"/>
      <c r="CD40" s="94" t="s">
        <v>459</v>
      </c>
      <c r="CE40" s="94"/>
      <c r="CF40" s="95" t="e">
        <f>COUNTIFS('[1]Completion Matrix'!$E:$E,'Dashboard 3'!$CB$27,'[1]Completion Matrix'!$I:$I,$CC$39,'[1]Completion Matrix'!$J:$J,CD40)</f>
        <v>#VALUE!</v>
      </c>
    </row>
    <row r="41" spans="54:84">
      <c r="BB41" s="225"/>
      <c r="BC41" s="227"/>
      <c r="BD41" s="94" t="s">
        <v>462</v>
      </c>
      <c r="BE41" s="94" t="str">
        <f t="shared" si="2"/>
        <v>No Gap|Significant Improvements Needed</v>
      </c>
      <c r="BF41" s="95" t="e">
        <f>COUNTIFS('[1]Completion Matrix'!$E:$E,'Dashboard 3'!$BB$27,'[1]Completion Matrix'!$I:$I,$BC$39,'[1]Completion Matrix'!$J:$J,BD41)</f>
        <v>#VALUE!</v>
      </c>
      <c r="BG41" s="95" t="e">
        <f>IF(COUNTIFS('[1]Completion Matrix'!$E:$E,'Dashboard 3'!$BB$27,'[1]Completion Matrix'!$I:$I,$BC$35,'[1]Completion Matrix'!$J:$J,BD41)=0,NA(),COUNTIFS('[1]Completion Matrix'!$E:$E,'Dashboard 3'!$BB$27,'[1]Completion Matrix'!$I:$I,$BC$35,'[1]Completion Matrix'!$J:$J,BD41))</f>
        <v>#VALUE!</v>
      </c>
      <c r="BH41" s="96"/>
      <c r="BI41" s="96"/>
      <c r="BJ41" s="96"/>
      <c r="BK41" s="96"/>
      <c r="BL41" s="96"/>
      <c r="BM41" s="96"/>
      <c r="BO41" s="225"/>
      <c r="BP41" s="227"/>
      <c r="BQ41" s="94" t="s">
        <v>462</v>
      </c>
      <c r="BR41" s="94"/>
      <c r="BS41" s="95" t="e">
        <f>COUNTIFS('[1]Completion Matrix'!$E:$E,'Dashboard 3'!$BO$27,'[1]Completion Matrix'!$I:$I,$BP$39,'[1]Completion Matrix'!$J:$J,BQ41)</f>
        <v>#VALUE!</v>
      </c>
      <c r="BT41" s="96"/>
      <c r="BU41" s="96"/>
      <c r="BV41" s="96"/>
      <c r="BW41" s="96"/>
      <c r="BX41" s="96"/>
      <c r="BY41" s="96"/>
      <c r="BZ41" s="96"/>
      <c r="CB41" s="225"/>
      <c r="CC41" s="227"/>
      <c r="CD41" s="94" t="s">
        <v>462</v>
      </c>
      <c r="CE41" s="94"/>
      <c r="CF41" s="95" t="e">
        <f>COUNTIFS('[1]Completion Matrix'!$E:$E,'Dashboard 3'!$CB$27,'[1]Completion Matrix'!$I:$I,$CC$39,'[1]Completion Matrix'!$J:$J,CD41)</f>
        <v>#VALUE!</v>
      </c>
    </row>
    <row r="42" spans="54:84">
      <c r="BB42" s="226"/>
      <c r="BC42" s="227"/>
      <c r="BD42" s="94" t="s">
        <v>636</v>
      </c>
      <c r="BE42" s="94" t="str">
        <f t="shared" si="2"/>
        <v>No Gap|Priority</v>
      </c>
      <c r="BF42" s="95" t="e">
        <f>COUNTIFS('[1]Completion Matrix'!$E:$E,'Dashboard 3'!$BB$27,'[1]Completion Matrix'!$I:$I,$BC$39,'[1]Completion Matrix'!$J:$J,BD42)</f>
        <v>#VALUE!</v>
      </c>
      <c r="BG42" s="95" t="e">
        <f>IF(COUNTIFS('[1]Completion Matrix'!$E:$E,'Dashboard 3'!$BB$27,'[1]Completion Matrix'!$I:$I,$BC$35,'[1]Completion Matrix'!$J:$J,BD42)=0,NA(),COUNTIFS('[1]Completion Matrix'!$E:$E,'Dashboard 3'!$BB$27,'[1]Completion Matrix'!$I:$I,$BC$35,'[1]Completion Matrix'!$J:$J,BD42))</f>
        <v>#VALUE!</v>
      </c>
      <c r="BH42" s="96"/>
      <c r="BI42" s="96"/>
      <c r="BJ42" s="96"/>
      <c r="BK42" s="96"/>
      <c r="BL42" s="96"/>
      <c r="BM42" s="96"/>
      <c r="BO42" s="226"/>
      <c r="BP42" s="227"/>
      <c r="BQ42" s="94" t="s">
        <v>636</v>
      </c>
      <c r="BR42" s="94"/>
      <c r="BS42" s="95" t="e">
        <f>COUNTIFS('[1]Completion Matrix'!$E:$E,'Dashboard 3'!$BO$27,'[1]Completion Matrix'!$I:$I,$BP$39,'[1]Completion Matrix'!$J:$J,BQ42)</f>
        <v>#VALUE!</v>
      </c>
      <c r="BT42" s="96"/>
      <c r="BU42" s="96"/>
      <c r="BV42" s="96"/>
      <c r="BW42" s="96"/>
      <c r="BX42" s="96"/>
      <c r="BY42" s="96"/>
      <c r="BZ42" s="96"/>
      <c r="CB42" s="226"/>
      <c r="CC42" s="227"/>
      <c r="CD42" s="94" t="s">
        <v>636</v>
      </c>
      <c r="CE42" s="94"/>
      <c r="CF42" s="95" t="e">
        <f>COUNTIFS('[1]Completion Matrix'!$E:$E,'Dashboard 3'!$CB$27,'[1]Completion Matrix'!$I:$I,$CC$39,'[1]Completion Matrix'!$J:$J,CD42)</f>
        <v>#VALUE!</v>
      </c>
    </row>
    <row r="43" spans="54:84">
      <c r="BF43" s="95" t="e">
        <f>SUM(BF27:BF42)</f>
        <v>#VALUE!</v>
      </c>
      <c r="BG43" s="96"/>
      <c r="BH43" s="96"/>
      <c r="BI43" s="96"/>
      <c r="BJ43" s="96"/>
      <c r="BK43" s="96"/>
      <c r="BL43" s="96"/>
      <c r="BM43" s="96"/>
      <c r="BS43" s="95" t="e">
        <f>SUM(BS27:BS42)</f>
        <v>#VALUE!</v>
      </c>
      <c r="BT43" s="96"/>
      <c r="BU43" s="96"/>
      <c r="BV43" s="96"/>
      <c r="BW43" s="96"/>
      <c r="BX43" s="96"/>
      <c r="BY43" s="96"/>
      <c r="BZ43" s="96"/>
      <c r="CF43" s="95" t="e">
        <f>SUM(CF27:CF42)</f>
        <v>#VALUE!</v>
      </c>
    </row>
    <row r="45" spans="54:84">
      <c r="BC45" s="229" t="s">
        <v>638</v>
      </c>
      <c r="BD45" s="94" t="s">
        <v>451</v>
      </c>
      <c r="BE45" s="94"/>
      <c r="BF45" s="95" t="e">
        <f>COUNTIFS('[1]Completion Matrix'!$E:$E,'Dashboard 3'!BB27,'[1]Completion Matrix'!$I:$I,"")</f>
        <v>#VALUE!</v>
      </c>
      <c r="BG45" s="96"/>
      <c r="BH45" s="96"/>
      <c r="BI45" s="96"/>
      <c r="BJ45" s="96"/>
      <c r="BK45" s="96"/>
      <c r="BL45" s="96"/>
      <c r="BM45" s="96"/>
      <c r="BP45" s="229" t="s">
        <v>638</v>
      </c>
      <c r="BQ45" s="94" t="s">
        <v>451</v>
      </c>
      <c r="BR45" s="94"/>
      <c r="BS45" s="95" t="e">
        <f>COUNTIFS('[1]Completion Matrix'!$E:$E,'Dashboard 3'!BO27,'[1]Completion Matrix'!$I:$I,"")</f>
        <v>#VALUE!</v>
      </c>
      <c r="BT45" s="96"/>
      <c r="BU45" s="96"/>
      <c r="BV45" s="96"/>
      <c r="BW45" s="96"/>
      <c r="BX45" s="96"/>
      <c r="BY45" s="96"/>
      <c r="BZ45" s="96"/>
      <c r="CC45" s="229" t="s">
        <v>638</v>
      </c>
      <c r="CD45" s="94" t="s">
        <v>451</v>
      </c>
      <c r="CE45" s="94"/>
      <c r="CF45" s="95" t="e">
        <f>COUNTIFS('[1]Completion Matrix'!$E:$E,'Dashboard 3'!CB27,'[1]Completion Matrix'!$I:$I,"")</f>
        <v>#VALUE!</v>
      </c>
    </row>
    <row r="46" spans="54:84">
      <c r="BC46" s="230"/>
      <c r="BD46" s="94" t="s">
        <v>450</v>
      </c>
      <c r="BE46" s="94"/>
      <c r="BF46" s="95" t="e">
        <f>COUNTIFS('[1]Completion Matrix'!$E:$E,'Dashboard 3'!BB27,'[1]Completion Matrix'!$I:$I,"")</f>
        <v>#VALUE!</v>
      </c>
      <c r="BG46" s="96"/>
      <c r="BH46" s="96"/>
      <c r="BI46" s="96"/>
      <c r="BJ46" s="96"/>
      <c r="BK46" s="96"/>
      <c r="BL46" s="96"/>
      <c r="BM46" s="96"/>
      <c r="BP46" s="230"/>
      <c r="BQ46" s="94" t="s">
        <v>450</v>
      </c>
      <c r="BR46" s="94"/>
      <c r="BS46" s="95" t="e">
        <f>COUNTIFS('[1]Completion Matrix'!$E:$E,'Dashboard 3'!BO27,'[1]Completion Matrix'!$I:$I,"")</f>
        <v>#VALUE!</v>
      </c>
      <c r="BT46" s="96"/>
      <c r="BU46" s="96"/>
      <c r="BV46" s="96"/>
      <c r="BW46" s="96"/>
      <c r="BX46" s="96"/>
      <c r="BY46" s="96"/>
      <c r="BZ46" s="96"/>
      <c r="CC46" s="230"/>
      <c r="CD46" s="94" t="s">
        <v>450</v>
      </c>
      <c r="CE46" s="94"/>
      <c r="CF46" s="95" t="e">
        <f>COUNTIFS('[1]Completion Matrix'!$E:$E,'Dashboard 3'!CB27,'[1]Completion Matrix'!$I:$I,"")</f>
        <v>#VALUE!</v>
      </c>
    </row>
    <row r="49" spans="54:84">
      <c r="BB49" s="224" t="s">
        <v>428</v>
      </c>
      <c r="BC49" s="227" t="s">
        <v>595</v>
      </c>
      <c r="BD49" s="94" t="s">
        <v>468</v>
      </c>
      <c r="BE49" s="94" t="str">
        <f>IF(ISNA(BG49),"",$BC$5&amp;"|"&amp;BD49)</f>
        <v>No Gap|Ready</v>
      </c>
      <c r="BF49" s="95" t="e">
        <f>COUNTIFS('[1]Completion Matrix'!$E:$E,'Dashboard 3'!$BB$49,'[1]Completion Matrix'!$I:$I,$BC$49,'[1]Completion Matrix'!$J:$J,BD49)</f>
        <v>#VALUE!</v>
      </c>
      <c r="BG49" s="95" t="e">
        <f>IF(COUNTIFS('[1]Completion Matrix'!$E:$E,'Dashboard 3'!$BB$49,'[1]Completion Matrix'!$I:$I,$BC$49,'[1]Completion Matrix'!$J:$J,BD49)=0,NA(),COUNTIFS('[1]Completion Matrix'!$E:$E,'Dashboard 3'!$BB$49,'[1]Completion Matrix'!$I:$I,$BC$49,'[1]Completion Matrix'!$J:$J,BD49))</f>
        <v>#VALUE!</v>
      </c>
      <c r="BH49" s="96"/>
      <c r="BI49" s="96"/>
      <c r="BJ49" s="96"/>
      <c r="BK49" s="96"/>
      <c r="BL49" s="96"/>
      <c r="BM49" s="96"/>
      <c r="BO49" s="224" t="s">
        <v>438</v>
      </c>
      <c r="BP49" s="227" t="s">
        <v>595</v>
      </c>
      <c r="BQ49" s="94" t="s">
        <v>468</v>
      </c>
      <c r="BR49" s="94"/>
      <c r="BS49" s="95" t="e">
        <f>COUNTIFS('[1]Completion Matrix'!$E:$E,'Dashboard 3'!$BO$49,'[1]Completion Matrix'!$I:$I,$BP$49,'[1]Completion Matrix'!$J:$J,BQ49)</f>
        <v>#VALUE!</v>
      </c>
      <c r="BT49" s="96"/>
      <c r="BU49" s="96"/>
      <c r="BV49" s="96"/>
      <c r="BW49" s="96"/>
      <c r="BX49" s="96"/>
      <c r="BY49" s="96"/>
      <c r="BZ49" s="96"/>
      <c r="CB49" s="224" t="s">
        <v>437</v>
      </c>
      <c r="CC49" s="227" t="s">
        <v>595</v>
      </c>
      <c r="CD49" s="94" t="s">
        <v>468</v>
      </c>
      <c r="CE49" s="94"/>
      <c r="CF49" s="95" t="e">
        <f>COUNTIFS('[1]Completion Matrix'!$E:$E,'Dashboard 3'!$CB$49,'[1]Completion Matrix'!$I:$I,$CC$49,'[1]Completion Matrix'!$J:$J,CD49)</f>
        <v>#VALUE!</v>
      </c>
    </row>
    <row r="50" spans="54:84">
      <c r="BB50" s="225"/>
      <c r="BC50" s="227"/>
      <c r="BD50" s="94" t="s">
        <v>459</v>
      </c>
      <c r="BE50" s="94" t="str">
        <f>IF(ISNA(BG50),"",$BC$5&amp;"|"&amp;BD50)</f>
        <v>No Gap|Improvements Needed</v>
      </c>
      <c r="BF50" s="95" t="e">
        <f>COUNTIFS('[1]Completion Matrix'!$E:$E,'Dashboard 3'!$BB$49,'[1]Completion Matrix'!$I:$I,$BC$49,'[1]Completion Matrix'!$J:$J,BD50)</f>
        <v>#VALUE!</v>
      </c>
      <c r="BG50" s="95" t="e">
        <f>IF(COUNTIFS('[1]Completion Matrix'!$E:$E,'Dashboard 3'!$BB$49,'[1]Completion Matrix'!$I:$I,$BC$49,'[1]Completion Matrix'!$J:$J,BD50)=0,NA(),COUNTIFS('[1]Completion Matrix'!$E:$E,'Dashboard 3'!$BB$49,'[1]Completion Matrix'!$I:$I,$BC$49,'[1]Completion Matrix'!$J:$J,BD50))</f>
        <v>#VALUE!</v>
      </c>
      <c r="BH50" s="96"/>
      <c r="BI50" s="96"/>
      <c r="BJ50" s="96"/>
      <c r="BK50" s="96"/>
      <c r="BL50" s="96"/>
      <c r="BM50" s="96"/>
      <c r="BO50" s="225"/>
      <c r="BP50" s="227"/>
      <c r="BQ50" s="94" t="s">
        <v>459</v>
      </c>
      <c r="BR50" s="94"/>
      <c r="BS50" s="95" t="e">
        <f>COUNTIFS('[1]Completion Matrix'!$E:$E,'Dashboard 3'!$BO$49,'[1]Completion Matrix'!$I:$I,$BP$49,'[1]Completion Matrix'!$J:$J,BQ50)</f>
        <v>#VALUE!</v>
      </c>
      <c r="BT50" s="96"/>
      <c r="BU50" s="96"/>
      <c r="BV50" s="96"/>
      <c r="BW50" s="96"/>
      <c r="BX50" s="96"/>
      <c r="BY50" s="96"/>
      <c r="BZ50" s="96"/>
      <c r="CB50" s="225"/>
      <c r="CC50" s="227"/>
      <c r="CD50" s="94" t="s">
        <v>459</v>
      </c>
      <c r="CE50" s="94"/>
      <c r="CF50" s="95" t="e">
        <f>COUNTIFS('[1]Completion Matrix'!$E:$E,'Dashboard 3'!$CB$49,'[1]Completion Matrix'!$I:$I,$CC$49,'[1]Completion Matrix'!$J:$J,CD50)</f>
        <v>#VALUE!</v>
      </c>
    </row>
    <row r="51" spans="54:84">
      <c r="BB51" s="225"/>
      <c r="BC51" s="227"/>
      <c r="BD51" s="94" t="s">
        <v>462</v>
      </c>
      <c r="BE51" s="94" t="str">
        <f t="shared" ref="BE51:BE64" si="3">IF(ISNA(BG51),"",$BC$5&amp;"|"&amp;BD51)</f>
        <v>No Gap|Significant Improvements Needed</v>
      </c>
      <c r="BF51" s="95" t="e">
        <f>COUNTIFS('[1]Completion Matrix'!$E:$E,'Dashboard 3'!$BB$49,'[1]Completion Matrix'!$I:$I,$BC$49,'[1]Completion Matrix'!$J:$J,BD51)</f>
        <v>#VALUE!</v>
      </c>
      <c r="BG51" s="95" t="e">
        <f>IF(COUNTIFS('[1]Completion Matrix'!$E:$E,'Dashboard 3'!$BB$49,'[1]Completion Matrix'!$I:$I,$BC$49,'[1]Completion Matrix'!$J:$J,BD51)=0,NA(),COUNTIFS('[1]Completion Matrix'!$E:$E,'Dashboard 3'!$BB$49,'[1]Completion Matrix'!$I:$I,$BC$49,'[1]Completion Matrix'!$J:$J,BD51))</f>
        <v>#VALUE!</v>
      </c>
      <c r="BH51" s="96"/>
      <c r="BI51" s="96"/>
      <c r="BJ51" s="96"/>
      <c r="BK51" s="96"/>
      <c r="BL51" s="96"/>
      <c r="BM51" s="96"/>
      <c r="BO51" s="225"/>
      <c r="BP51" s="227"/>
      <c r="BQ51" s="94" t="s">
        <v>462</v>
      </c>
      <c r="BR51" s="94"/>
      <c r="BS51" s="95" t="e">
        <f>COUNTIFS('[1]Completion Matrix'!$E:$E,'Dashboard 3'!$BO$49,'[1]Completion Matrix'!$I:$I,$BP$49,'[1]Completion Matrix'!$J:$J,BQ51)</f>
        <v>#VALUE!</v>
      </c>
      <c r="BT51" s="96"/>
      <c r="BU51" s="96"/>
      <c r="BV51" s="96"/>
      <c r="BW51" s="96"/>
      <c r="BX51" s="96"/>
      <c r="BY51" s="96"/>
      <c r="BZ51" s="96"/>
      <c r="CB51" s="225"/>
      <c r="CC51" s="227"/>
      <c r="CD51" s="94" t="s">
        <v>462</v>
      </c>
      <c r="CE51" s="94"/>
      <c r="CF51" s="95" t="e">
        <f>COUNTIFS('[1]Completion Matrix'!$E:$E,'Dashboard 3'!$CB$49,'[1]Completion Matrix'!$I:$I,$CC$49,'[1]Completion Matrix'!$J:$J,CD51)</f>
        <v>#VALUE!</v>
      </c>
    </row>
    <row r="52" spans="54:84">
      <c r="BB52" s="225"/>
      <c r="BC52" s="227"/>
      <c r="BD52" s="94" t="s">
        <v>636</v>
      </c>
      <c r="BE52" s="94" t="str">
        <f t="shared" si="3"/>
        <v>No Gap|Priority</v>
      </c>
      <c r="BF52" s="95" t="e">
        <f>COUNTIFS('[1]Completion Matrix'!$E:$E,'Dashboard 3'!$BB$49,'[1]Completion Matrix'!$I:$I,$BC$49,'[1]Completion Matrix'!$J:$J,BD52)</f>
        <v>#VALUE!</v>
      </c>
      <c r="BG52" s="95" t="e">
        <f>IF(COUNTIFS('[1]Completion Matrix'!$E:$E,'Dashboard 3'!$BB$49,'[1]Completion Matrix'!$I:$I,$BC$49,'[1]Completion Matrix'!$J:$J,BD52)=0,NA(),COUNTIFS('[1]Completion Matrix'!$E:$E,'Dashboard 3'!$BB$49,'[1]Completion Matrix'!$I:$I,$BC$49,'[1]Completion Matrix'!$J:$J,BD52))</f>
        <v>#VALUE!</v>
      </c>
      <c r="BH52" s="96"/>
      <c r="BI52" s="96"/>
      <c r="BJ52" s="96"/>
      <c r="BK52" s="96"/>
      <c r="BL52" s="96"/>
      <c r="BM52" s="96"/>
      <c r="BO52" s="225"/>
      <c r="BP52" s="227"/>
      <c r="BQ52" s="94" t="s">
        <v>636</v>
      </c>
      <c r="BR52" s="94"/>
      <c r="BS52" s="95" t="e">
        <f>COUNTIFS('[1]Completion Matrix'!$E:$E,'Dashboard 3'!$BO$49,'[1]Completion Matrix'!$I:$I,$BP$49,'[1]Completion Matrix'!$J:$J,BQ52)</f>
        <v>#VALUE!</v>
      </c>
      <c r="BT52" s="96"/>
      <c r="BU52" s="96"/>
      <c r="BV52" s="96"/>
      <c r="BW52" s="96"/>
      <c r="BX52" s="96"/>
      <c r="BY52" s="96"/>
      <c r="BZ52" s="96"/>
      <c r="CB52" s="225"/>
      <c r="CC52" s="227"/>
      <c r="CD52" s="94" t="s">
        <v>636</v>
      </c>
      <c r="CE52" s="94"/>
      <c r="CF52" s="95" t="e">
        <f>COUNTIFS('[1]Completion Matrix'!$E:$E,'Dashboard 3'!$CB$49,'[1]Completion Matrix'!$I:$I,$CC$49,'[1]Completion Matrix'!$J:$J,CD52)</f>
        <v>#VALUE!</v>
      </c>
    </row>
    <row r="53" spans="54:84">
      <c r="BB53" s="225"/>
      <c r="BC53" s="227" t="s">
        <v>594</v>
      </c>
      <c r="BD53" s="94" t="s">
        <v>468</v>
      </c>
      <c r="BE53" s="94" t="str">
        <f t="shared" si="3"/>
        <v>No Gap|Ready</v>
      </c>
      <c r="BF53" s="95" t="e">
        <f>COUNTIFS('[1]Completion Matrix'!$E:$E,'Dashboard 3'!$BB$49,'[1]Completion Matrix'!$I:$I,$BC$53,'[1]Completion Matrix'!$J:$J,BD53)</f>
        <v>#VALUE!</v>
      </c>
      <c r="BG53" s="95" t="e">
        <f>IF(COUNTIFS('[1]Completion Matrix'!$E:$E,'Dashboard 3'!$BB$49,'[1]Completion Matrix'!$I:$I,$BC$53,'[1]Completion Matrix'!$J:$J,BD53)=0,NA(),COUNTIFS('[1]Completion Matrix'!$E:$E,'Dashboard 3'!$BB$49,'[1]Completion Matrix'!$I:$I,$BC$53,'[1]Completion Matrix'!$J:$J,BD53))</f>
        <v>#VALUE!</v>
      </c>
      <c r="BH53" s="96"/>
      <c r="BI53" s="96"/>
      <c r="BJ53" s="96"/>
      <c r="BK53" s="96"/>
      <c r="BL53" s="96"/>
      <c r="BM53" s="96"/>
      <c r="BO53" s="225"/>
      <c r="BP53" s="227" t="s">
        <v>594</v>
      </c>
      <c r="BQ53" s="94" t="s">
        <v>468</v>
      </c>
      <c r="BR53" s="94"/>
      <c r="BS53" s="95" t="e">
        <f>COUNTIFS('[1]Completion Matrix'!$E:$E,'Dashboard 3'!$BO$49,'[1]Completion Matrix'!$I:$I,$BP$53,'[1]Completion Matrix'!$J:$J,BQ53)</f>
        <v>#VALUE!</v>
      </c>
      <c r="BT53" s="96"/>
      <c r="BU53" s="96"/>
      <c r="BV53" s="96"/>
      <c r="BW53" s="96"/>
      <c r="BX53" s="96"/>
      <c r="BY53" s="96"/>
      <c r="BZ53" s="96"/>
      <c r="CB53" s="225"/>
      <c r="CC53" s="227" t="s">
        <v>594</v>
      </c>
      <c r="CD53" s="94" t="s">
        <v>468</v>
      </c>
      <c r="CE53" s="94"/>
      <c r="CF53" s="95" t="e">
        <f>COUNTIFS('[1]Completion Matrix'!$E:$E,'Dashboard 3'!$CB$49,'[1]Completion Matrix'!$I:$I,$CC$53,'[1]Completion Matrix'!$J:$J,CD53)</f>
        <v>#VALUE!</v>
      </c>
    </row>
    <row r="54" spans="54:84">
      <c r="BB54" s="225"/>
      <c r="BC54" s="227"/>
      <c r="BD54" s="94" t="s">
        <v>459</v>
      </c>
      <c r="BE54" s="94" t="str">
        <f t="shared" si="3"/>
        <v>No Gap|Improvements Needed</v>
      </c>
      <c r="BF54" s="95" t="e">
        <f>COUNTIFS('[1]Completion Matrix'!$E:$E,'Dashboard 3'!$BB$49,'[1]Completion Matrix'!$I:$I,$BC$53,'[1]Completion Matrix'!$J:$J,BD54)</f>
        <v>#VALUE!</v>
      </c>
      <c r="BG54" s="95" t="e">
        <f>IF(COUNTIFS('[1]Completion Matrix'!$E:$E,'Dashboard 3'!$BB$49,'[1]Completion Matrix'!$I:$I,$BC$53,'[1]Completion Matrix'!$J:$J,BD54)=0,NA(),COUNTIFS('[1]Completion Matrix'!$E:$E,'Dashboard 3'!$BB$49,'[1]Completion Matrix'!$I:$I,$BC$53,'[1]Completion Matrix'!$J:$J,BD54))</f>
        <v>#VALUE!</v>
      </c>
      <c r="BH54" s="96"/>
      <c r="BI54" s="96"/>
      <c r="BJ54" s="96"/>
      <c r="BK54" s="96"/>
      <c r="BL54" s="96"/>
      <c r="BM54" s="96"/>
      <c r="BO54" s="225"/>
      <c r="BP54" s="227"/>
      <c r="BQ54" s="94" t="s">
        <v>459</v>
      </c>
      <c r="BR54" s="94"/>
      <c r="BS54" s="95" t="e">
        <f>COUNTIFS('[1]Completion Matrix'!$E:$E,'Dashboard 3'!$BO$49,'[1]Completion Matrix'!$I:$I,$BP$53,'[1]Completion Matrix'!$J:$J,BQ54)</f>
        <v>#VALUE!</v>
      </c>
      <c r="BT54" s="96"/>
      <c r="BU54" s="96"/>
      <c r="BV54" s="96"/>
      <c r="BW54" s="96"/>
      <c r="BX54" s="96"/>
      <c r="BY54" s="96"/>
      <c r="BZ54" s="96"/>
      <c r="CB54" s="225"/>
      <c r="CC54" s="227"/>
      <c r="CD54" s="94" t="s">
        <v>459</v>
      </c>
      <c r="CE54" s="94"/>
      <c r="CF54" s="95" t="e">
        <f>COUNTIFS('[1]Completion Matrix'!$E:$E,'Dashboard 3'!$CB$49,'[1]Completion Matrix'!$I:$I,$CC$53,'[1]Completion Matrix'!$J:$J,CD54)</f>
        <v>#VALUE!</v>
      </c>
    </row>
    <row r="55" spans="54:84">
      <c r="BB55" s="225"/>
      <c r="BC55" s="227"/>
      <c r="BD55" s="94" t="s">
        <v>462</v>
      </c>
      <c r="BE55" s="94" t="str">
        <f t="shared" si="3"/>
        <v>No Gap|Significant Improvements Needed</v>
      </c>
      <c r="BF55" s="95" t="e">
        <f>COUNTIFS('[1]Completion Matrix'!$E:$E,'Dashboard 3'!$BB$49,'[1]Completion Matrix'!$I:$I,$BC$53,'[1]Completion Matrix'!$J:$J,BD55)</f>
        <v>#VALUE!</v>
      </c>
      <c r="BG55" s="95" t="e">
        <f>IF(COUNTIFS('[1]Completion Matrix'!$E:$E,'Dashboard 3'!$BB$49,'[1]Completion Matrix'!$I:$I,$BC$53,'[1]Completion Matrix'!$J:$J,BD55)=0,NA(),COUNTIFS('[1]Completion Matrix'!$E:$E,'Dashboard 3'!$BB$49,'[1]Completion Matrix'!$I:$I,$BC$53,'[1]Completion Matrix'!$J:$J,BD55))</f>
        <v>#VALUE!</v>
      </c>
      <c r="BH55" s="96"/>
      <c r="BI55" s="96"/>
      <c r="BJ55" s="96"/>
      <c r="BK55" s="96"/>
      <c r="BL55" s="96"/>
      <c r="BM55" s="96"/>
      <c r="BO55" s="225"/>
      <c r="BP55" s="227"/>
      <c r="BQ55" s="94" t="s">
        <v>462</v>
      </c>
      <c r="BR55" s="94"/>
      <c r="BS55" s="95" t="e">
        <f>COUNTIFS('[1]Completion Matrix'!$E:$E,'Dashboard 3'!$BO$49,'[1]Completion Matrix'!$I:$I,$BP$53,'[1]Completion Matrix'!$J:$J,BQ55)</f>
        <v>#VALUE!</v>
      </c>
      <c r="BT55" s="96"/>
      <c r="BU55" s="96"/>
      <c r="BV55" s="96"/>
      <c r="BW55" s="96"/>
      <c r="BX55" s="96"/>
      <c r="BY55" s="96"/>
      <c r="BZ55" s="96"/>
      <c r="CB55" s="225"/>
      <c r="CC55" s="227"/>
      <c r="CD55" s="94" t="s">
        <v>462</v>
      </c>
      <c r="CE55" s="94"/>
      <c r="CF55" s="95" t="e">
        <f>COUNTIFS('[1]Completion Matrix'!$E:$E,'Dashboard 3'!$CB$49,'[1]Completion Matrix'!$I:$I,$CC$53,'[1]Completion Matrix'!$J:$J,CD55)</f>
        <v>#VALUE!</v>
      </c>
    </row>
    <row r="56" spans="54:84">
      <c r="BB56" s="225"/>
      <c r="BC56" s="227"/>
      <c r="BD56" s="94" t="s">
        <v>637</v>
      </c>
      <c r="BE56" s="94" t="str">
        <f t="shared" si="3"/>
        <v>No Gap|Priotiy</v>
      </c>
      <c r="BF56" s="95" t="e">
        <f>COUNTIFS('[1]Completion Matrix'!$E:$E,'Dashboard 3'!$BB$49,'[1]Completion Matrix'!$I:$I,$BC$53,'[1]Completion Matrix'!$J:$J,BD56)</f>
        <v>#VALUE!</v>
      </c>
      <c r="BG56" s="95" t="e">
        <f>IF(COUNTIFS('[1]Completion Matrix'!$E:$E,'Dashboard 3'!$BB$49,'[1]Completion Matrix'!$I:$I,$BC$53,'[1]Completion Matrix'!$J:$J,BD56)=0,NA(),COUNTIFS('[1]Completion Matrix'!$E:$E,'Dashboard 3'!$BB$49,'[1]Completion Matrix'!$I:$I,$BC$53,'[1]Completion Matrix'!$J:$J,BD56))</f>
        <v>#VALUE!</v>
      </c>
      <c r="BH56" s="96"/>
      <c r="BI56" s="96"/>
      <c r="BJ56" s="96"/>
      <c r="BK56" s="96"/>
      <c r="BL56" s="96"/>
      <c r="BM56" s="96"/>
      <c r="BO56" s="225"/>
      <c r="BP56" s="227"/>
      <c r="BQ56" s="94" t="s">
        <v>637</v>
      </c>
      <c r="BR56" s="94"/>
      <c r="BS56" s="95" t="e">
        <f>COUNTIFS('[1]Completion Matrix'!$E:$E,'Dashboard 3'!$BO$49,'[1]Completion Matrix'!$I:$I,$BP$53,'[1]Completion Matrix'!$J:$J,BQ56)</f>
        <v>#VALUE!</v>
      </c>
      <c r="BT56" s="96"/>
      <c r="BU56" s="96"/>
      <c r="BV56" s="96"/>
      <c r="BW56" s="96"/>
      <c r="BX56" s="96"/>
      <c r="BY56" s="96"/>
      <c r="BZ56" s="96"/>
      <c r="CB56" s="225"/>
      <c r="CC56" s="227"/>
      <c r="CD56" s="94" t="s">
        <v>637</v>
      </c>
      <c r="CE56" s="94"/>
      <c r="CF56" s="95" t="e">
        <f>COUNTIFS('[1]Completion Matrix'!$E:$E,'Dashboard 3'!$CB$49,'[1]Completion Matrix'!$I:$I,$CC$53,'[1]Completion Matrix'!$J:$J,CD56)</f>
        <v>#VALUE!</v>
      </c>
    </row>
    <row r="57" spans="54:84">
      <c r="BB57" s="225"/>
      <c r="BC57" s="227" t="s">
        <v>593</v>
      </c>
      <c r="BD57" s="94" t="s">
        <v>468</v>
      </c>
      <c r="BE57" s="94" t="str">
        <f t="shared" si="3"/>
        <v>No Gap|Ready</v>
      </c>
      <c r="BF57" s="95" t="e">
        <f>COUNTIFS('[1]Completion Matrix'!$E:$E,'Dashboard 3'!$BB$49,'[1]Completion Matrix'!$I:$I,$BC$57,'[1]Completion Matrix'!$J:$J,BD57)</f>
        <v>#VALUE!</v>
      </c>
      <c r="BG57" s="95" t="e">
        <f>IF(COUNTIFS('[1]Completion Matrix'!$E:$E,'Dashboard 3'!$BB$49,'[1]Completion Matrix'!$I:$I,$BC$57,'[1]Completion Matrix'!$J:$J,BD57)=0,NA(),COUNTIFS('[1]Completion Matrix'!$E:$E,'Dashboard 3'!$BB$49,'[1]Completion Matrix'!$I:$I,$BC$57,'[1]Completion Matrix'!$J:$J,BD57))</f>
        <v>#VALUE!</v>
      </c>
      <c r="BH57" s="96"/>
      <c r="BI57" s="96"/>
      <c r="BJ57" s="96"/>
      <c r="BK57" s="96"/>
      <c r="BL57" s="96"/>
      <c r="BM57" s="96"/>
      <c r="BO57" s="225"/>
      <c r="BP57" s="227" t="s">
        <v>593</v>
      </c>
      <c r="BQ57" s="94" t="s">
        <v>468</v>
      </c>
      <c r="BR57" s="94"/>
      <c r="BS57" s="95" t="e">
        <f>COUNTIFS('[1]Completion Matrix'!$E:$E,'Dashboard 3'!$BO$49,'[1]Completion Matrix'!$I:$I,$BP$57,'[1]Completion Matrix'!$J:$J,BQ57)</f>
        <v>#VALUE!</v>
      </c>
      <c r="BT57" s="96"/>
      <c r="BU57" s="96"/>
      <c r="BV57" s="96"/>
      <c r="BW57" s="96"/>
      <c r="BX57" s="96"/>
      <c r="BY57" s="96"/>
      <c r="BZ57" s="96"/>
      <c r="CB57" s="225"/>
      <c r="CC57" s="227" t="s">
        <v>593</v>
      </c>
      <c r="CD57" s="94" t="s">
        <v>468</v>
      </c>
      <c r="CE57" s="94"/>
      <c r="CF57" s="95" t="e">
        <f>COUNTIFS('[1]Completion Matrix'!$E:$E,'Dashboard 3'!$CB$49,'[1]Completion Matrix'!$I:$I,$CC$57,'[1]Completion Matrix'!$J:$J,CD57)</f>
        <v>#VALUE!</v>
      </c>
    </row>
    <row r="58" spans="54:84">
      <c r="BB58" s="225"/>
      <c r="BC58" s="227"/>
      <c r="BD58" s="94" t="s">
        <v>459</v>
      </c>
      <c r="BE58" s="94" t="str">
        <f t="shared" si="3"/>
        <v>No Gap|Improvements Needed</v>
      </c>
      <c r="BF58" s="95" t="e">
        <f>COUNTIFS('[1]Completion Matrix'!$E:$E,'Dashboard 3'!$BB$49,'[1]Completion Matrix'!$I:$I,$BC$57,'[1]Completion Matrix'!$J:$J,BD58)</f>
        <v>#VALUE!</v>
      </c>
      <c r="BG58" s="95" t="e">
        <f>IF(COUNTIFS('[1]Completion Matrix'!$E:$E,'Dashboard 3'!$BB$49,'[1]Completion Matrix'!$I:$I,$BC$57,'[1]Completion Matrix'!$J:$J,BD58)=0,NA(),COUNTIFS('[1]Completion Matrix'!$E:$E,'Dashboard 3'!$BB$49,'[1]Completion Matrix'!$I:$I,$BC$57,'[1]Completion Matrix'!$J:$J,BD58))</f>
        <v>#VALUE!</v>
      </c>
      <c r="BH58" s="96"/>
      <c r="BI58" s="96"/>
      <c r="BJ58" s="96"/>
      <c r="BK58" s="96"/>
      <c r="BL58" s="96"/>
      <c r="BM58" s="96"/>
      <c r="BO58" s="225"/>
      <c r="BP58" s="227"/>
      <c r="BQ58" s="94" t="s">
        <v>459</v>
      </c>
      <c r="BR58" s="94"/>
      <c r="BS58" s="95" t="e">
        <f>COUNTIFS('[1]Completion Matrix'!$E:$E,'Dashboard 3'!$BO$49,'[1]Completion Matrix'!$I:$I,$BP$57,'[1]Completion Matrix'!$J:$J,BQ58)</f>
        <v>#VALUE!</v>
      </c>
      <c r="BT58" s="96"/>
      <c r="BU58" s="96"/>
      <c r="BV58" s="96"/>
      <c r="BW58" s="96"/>
      <c r="BX58" s="96"/>
      <c r="BY58" s="96"/>
      <c r="BZ58" s="96"/>
      <c r="CB58" s="225"/>
      <c r="CC58" s="227"/>
      <c r="CD58" s="94" t="s">
        <v>459</v>
      </c>
      <c r="CE58" s="94"/>
      <c r="CF58" s="95" t="e">
        <f>COUNTIFS('[1]Completion Matrix'!$E:$E,'Dashboard 3'!$CB$49,'[1]Completion Matrix'!$I:$I,$CC$57,'[1]Completion Matrix'!$J:$J,CD58)</f>
        <v>#VALUE!</v>
      </c>
    </row>
    <row r="59" spans="54:84">
      <c r="BB59" s="225"/>
      <c r="BC59" s="227"/>
      <c r="BD59" s="94" t="s">
        <v>462</v>
      </c>
      <c r="BE59" s="94" t="str">
        <f t="shared" si="3"/>
        <v>No Gap|Significant Improvements Needed</v>
      </c>
      <c r="BF59" s="95" t="e">
        <f>COUNTIFS('[1]Completion Matrix'!$E:$E,'Dashboard 3'!$BB$49,'[1]Completion Matrix'!$I:$I,$BC$57,'[1]Completion Matrix'!$J:$J,BD59)</f>
        <v>#VALUE!</v>
      </c>
      <c r="BG59" s="95" t="e">
        <f>IF(COUNTIFS('[1]Completion Matrix'!$E:$E,'Dashboard 3'!$BB$49,'[1]Completion Matrix'!$I:$I,$BC$57,'[1]Completion Matrix'!$J:$J,BD59)=0,NA(),COUNTIFS('[1]Completion Matrix'!$E:$E,'Dashboard 3'!$BB$49,'[1]Completion Matrix'!$I:$I,$BC$57,'[1]Completion Matrix'!$J:$J,BD59))</f>
        <v>#VALUE!</v>
      </c>
      <c r="BH59" s="96"/>
      <c r="BI59" s="96"/>
      <c r="BJ59" s="96"/>
      <c r="BK59" s="96"/>
      <c r="BL59" s="96"/>
      <c r="BM59" s="96"/>
      <c r="BO59" s="225"/>
      <c r="BP59" s="227"/>
      <c r="BQ59" s="94" t="s">
        <v>462</v>
      </c>
      <c r="BR59" s="94"/>
      <c r="BS59" s="95" t="e">
        <f>COUNTIFS('[1]Completion Matrix'!$E:$E,'Dashboard 3'!$BO$49,'[1]Completion Matrix'!$I:$I,$BP$57,'[1]Completion Matrix'!$J:$J,BQ59)</f>
        <v>#VALUE!</v>
      </c>
      <c r="BT59" s="96"/>
      <c r="BU59" s="96"/>
      <c r="BV59" s="96"/>
      <c r="BW59" s="96"/>
      <c r="BX59" s="96"/>
      <c r="BY59" s="96"/>
      <c r="BZ59" s="96"/>
      <c r="CB59" s="225"/>
      <c r="CC59" s="227"/>
      <c r="CD59" s="94" t="s">
        <v>462</v>
      </c>
      <c r="CE59" s="94"/>
      <c r="CF59" s="95" t="e">
        <f>COUNTIFS('[1]Completion Matrix'!$E:$E,'Dashboard 3'!$CB$49,'[1]Completion Matrix'!$I:$I,$CC$57,'[1]Completion Matrix'!$J:$J,CD59)</f>
        <v>#VALUE!</v>
      </c>
    </row>
    <row r="60" spans="54:84">
      <c r="BB60" s="225"/>
      <c r="BC60" s="227"/>
      <c r="BD60" s="94" t="s">
        <v>636</v>
      </c>
      <c r="BE60" s="94" t="str">
        <f t="shared" si="3"/>
        <v>No Gap|Priority</v>
      </c>
      <c r="BF60" s="95" t="e">
        <f>COUNTIFS('[1]Completion Matrix'!$E:$E,'Dashboard 3'!$BB$49,'[1]Completion Matrix'!$I:$I,$BC$57,'[1]Completion Matrix'!$J:$J,BD60)</f>
        <v>#VALUE!</v>
      </c>
      <c r="BG60" s="95" t="e">
        <f>IF(COUNTIFS('[1]Completion Matrix'!$E:$E,'Dashboard 3'!$BB$49,'[1]Completion Matrix'!$I:$I,$BC$57,'[1]Completion Matrix'!$J:$J,BD60)=0,NA(),COUNTIFS('[1]Completion Matrix'!$E:$E,'Dashboard 3'!$BB$49,'[1]Completion Matrix'!$I:$I,$BC$57,'[1]Completion Matrix'!$J:$J,BD60))</f>
        <v>#VALUE!</v>
      </c>
      <c r="BH60" s="96"/>
      <c r="BI60" s="96"/>
      <c r="BJ60" s="96"/>
      <c r="BK60" s="96"/>
      <c r="BL60" s="96"/>
      <c r="BM60" s="96"/>
      <c r="BO60" s="225"/>
      <c r="BP60" s="227"/>
      <c r="BQ60" s="94" t="s">
        <v>636</v>
      </c>
      <c r="BR60" s="94"/>
      <c r="BS60" s="95" t="e">
        <f>COUNTIFS('[1]Completion Matrix'!$E:$E,'Dashboard 3'!$BO$49,'[1]Completion Matrix'!$I:$I,$BP$57,'[1]Completion Matrix'!$J:$J,BQ60)</f>
        <v>#VALUE!</v>
      </c>
      <c r="BT60" s="96"/>
      <c r="BU60" s="96"/>
      <c r="BV60" s="96"/>
      <c r="BW60" s="96"/>
      <c r="BX60" s="96"/>
      <c r="BY60" s="96"/>
      <c r="BZ60" s="96"/>
      <c r="CB60" s="225"/>
      <c r="CC60" s="227"/>
      <c r="CD60" s="94" t="s">
        <v>636</v>
      </c>
      <c r="CE60" s="94"/>
      <c r="CF60" s="95" t="e">
        <f>COUNTIFS('[1]Completion Matrix'!$E:$E,'Dashboard 3'!$CB$49,'[1]Completion Matrix'!$I:$I,$CC$57,'[1]Completion Matrix'!$J:$J,CD60)</f>
        <v>#VALUE!</v>
      </c>
    </row>
    <row r="61" spans="54:84">
      <c r="BB61" s="225"/>
      <c r="BC61" s="227" t="s">
        <v>636</v>
      </c>
      <c r="BD61" s="94" t="s">
        <v>468</v>
      </c>
      <c r="BE61" s="94" t="str">
        <f t="shared" si="3"/>
        <v>No Gap|Ready</v>
      </c>
      <c r="BF61" s="95" t="e">
        <f>COUNTIFS('[1]Completion Matrix'!$E:$E,'Dashboard 3'!$BB$49,'[1]Completion Matrix'!$I:$I,$BC$61,'[1]Completion Matrix'!$J:$J,BD61)</f>
        <v>#VALUE!</v>
      </c>
      <c r="BG61" s="95" t="e">
        <f>IF(COUNTIFS('[1]Completion Matrix'!$E:$E,'Dashboard 3'!$BB$49,'[1]Completion Matrix'!$I:$I,$BC$61,'[1]Completion Matrix'!$J:$J,BD61)=0,NA(),COUNTIFS('[1]Completion Matrix'!$E:$E,'Dashboard 3'!$BB$49,'[1]Completion Matrix'!$I:$I,$BC$61,'[1]Completion Matrix'!$J:$J,BD61))</f>
        <v>#VALUE!</v>
      </c>
      <c r="BH61" s="96"/>
      <c r="BI61" s="96"/>
      <c r="BJ61" s="96"/>
      <c r="BK61" s="96"/>
      <c r="BL61" s="96"/>
      <c r="BM61" s="96"/>
      <c r="BO61" s="225"/>
      <c r="BP61" s="227" t="s">
        <v>636</v>
      </c>
      <c r="BQ61" s="94" t="s">
        <v>468</v>
      </c>
      <c r="BR61" s="94"/>
      <c r="BS61" s="95" t="e">
        <f>COUNTIFS('[1]Completion Matrix'!$E:$E,'Dashboard 3'!$BO$49,'[1]Completion Matrix'!$I:$I,$BP$61,'[1]Completion Matrix'!$J:$J,BQ61)</f>
        <v>#VALUE!</v>
      </c>
      <c r="BT61" s="96"/>
      <c r="BU61" s="96"/>
      <c r="BV61" s="96"/>
      <c r="BW61" s="96"/>
      <c r="BX61" s="96"/>
      <c r="BY61" s="96"/>
      <c r="BZ61" s="96"/>
      <c r="CB61" s="225"/>
      <c r="CC61" s="227" t="s">
        <v>636</v>
      </c>
      <c r="CD61" s="94" t="s">
        <v>468</v>
      </c>
      <c r="CE61" s="94"/>
      <c r="CF61" s="95" t="e">
        <f>COUNTIFS('[1]Completion Matrix'!$E:$E,'Dashboard 3'!$CB$49,'[1]Completion Matrix'!$I:$I,$CC$61,'[1]Completion Matrix'!$J:$J,CD61)</f>
        <v>#VALUE!</v>
      </c>
    </row>
    <row r="62" spans="54:84">
      <c r="BB62" s="225"/>
      <c r="BC62" s="227"/>
      <c r="BD62" s="94" t="s">
        <v>459</v>
      </c>
      <c r="BE62" s="94" t="str">
        <f t="shared" si="3"/>
        <v>No Gap|Improvements Needed</v>
      </c>
      <c r="BF62" s="95" t="e">
        <f>COUNTIFS('[1]Completion Matrix'!$E:$E,'Dashboard 3'!$BB$49,'[1]Completion Matrix'!$I:$I,$BC$61,'[1]Completion Matrix'!$J:$J,BD62)</f>
        <v>#VALUE!</v>
      </c>
      <c r="BG62" s="95" t="e">
        <f>IF(COUNTIFS('[1]Completion Matrix'!$E:$E,'Dashboard 3'!$BB$49,'[1]Completion Matrix'!$I:$I,$BC$61,'[1]Completion Matrix'!$J:$J,BD62)=0,NA(),COUNTIFS('[1]Completion Matrix'!$E:$E,'Dashboard 3'!$BB$49,'[1]Completion Matrix'!$I:$I,$BC$61,'[1]Completion Matrix'!$J:$J,BD62))</f>
        <v>#VALUE!</v>
      </c>
      <c r="BH62" s="96"/>
      <c r="BI62" s="96"/>
      <c r="BJ62" s="96"/>
      <c r="BK62" s="96"/>
      <c r="BL62" s="96"/>
      <c r="BM62" s="96"/>
      <c r="BO62" s="225"/>
      <c r="BP62" s="227"/>
      <c r="BQ62" s="94" t="s">
        <v>459</v>
      </c>
      <c r="BR62" s="94"/>
      <c r="BS62" s="95" t="e">
        <f>COUNTIFS('[1]Completion Matrix'!$E:$E,'Dashboard 3'!$BO$49,'[1]Completion Matrix'!$I:$I,$BP$61,'[1]Completion Matrix'!$J:$J,BQ62)</f>
        <v>#VALUE!</v>
      </c>
      <c r="BT62" s="96"/>
      <c r="BU62" s="96"/>
      <c r="BV62" s="96"/>
      <c r="BW62" s="96"/>
      <c r="BX62" s="96"/>
      <c r="BY62" s="96"/>
      <c r="BZ62" s="96"/>
      <c r="CB62" s="225"/>
      <c r="CC62" s="227"/>
      <c r="CD62" s="94" t="s">
        <v>459</v>
      </c>
      <c r="CE62" s="94"/>
      <c r="CF62" s="95" t="e">
        <f>COUNTIFS('[1]Completion Matrix'!$E:$E,'Dashboard 3'!$CB$49,'[1]Completion Matrix'!$I:$I,$CC$61,'[1]Completion Matrix'!$J:$J,CD62)</f>
        <v>#VALUE!</v>
      </c>
    </row>
    <row r="63" spans="54:84">
      <c r="BB63" s="225"/>
      <c r="BC63" s="227"/>
      <c r="BD63" s="94" t="s">
        <v>462</v>
      </c>
      <c r="BE63" s="94" t="str">
        <f t="shared" si="3"/>
        <v>No Gap|Significant Improvements Needed</v>
      </c>
      <c r="BF63" s="95" t="e">
        <f>COUNTIFS('[1]Completion Matrix'!$E:$E,'Dashboard 3'!$BB$49,'[1]Completion Matrix'!$I:$I,$BC$61,'[1]Completion Matrix'!$J:$J,BD63)</f>
        <v>#VALUE!</v>
      </c>
      <c r="BG63" s="95" t="e">
        <f>IF(COUNTIFS('[1]Completion Matrix'!$E:$E,'Dashboard 3'!$BB$49,'[1]Completion Matrix'!$I:$I,$BC$61,'[1]Completion Matrix'!$J:$J,BD63)=0,NA(),COUNTIFS('[1]Completion Matrix'!$E:$E,'Dashboard 3'!$BB$49,'[1]Completion Matrix'!$I:$I,$BC$61,'[1]Completion Matrix'!$J:$J,BD63))</f>
        <v>#VALUE!</v>
      </c>
      <c r="BH63" s="96"/>
      <c r="BI63" s="96"/>
      <c r="BJ63" s="96"/>
      <c r="BK63" s="96"/>
      <c r="BL63" s="96"/>
      <c r="BM63" s="96"/>
      <c r="BO63" s="225"/>
      <c r="BP63" s="227"/>
      <c r="BQ63" s="94" t="s">
        <v>462</v>
      </c>
      <c r="BR63" s="94"/>
      <c r="BS63" s="95" t="e">
        <f>COUNTIFS('[1]Completion Matrix'!$E:$E,'Dashboard 3'!$BO$49,'[1]Completion Matrix'!$I:$I,$BP$61,'[1]Completion Matrix'!$J:$J,BQ63)</f>
        <v>#VALUE!</v>
      </c>
      <c r="BT63" s="96"/>
      <c r="BU63" s="96"/>
      <c r="BV63" s="96"/>
      <c r="BW63" s="96"/>
      <c r="BX63" s="96"/>
      <c r="BY63" s="96"/>
      <c r="BZ63" s="96"/>
      <c r="CB63" s="225"/>
      <c r="CC63" s="227"/>
      <c r="CD63" s="94" t="s">
        <v>462</v>
      </c>
      <c r="CE63" s="94"/>
      <c r="CF63" s="95" t="e">
        <f>COUNTIFS('[1]Completion Matrix'!$E:$E,'Dashboard 3'!$CB$49,'[1]Completion Matrix'!$I:$I,$CC$61,'[1]Completion Matrix'!$J:$J,CD63)</f>
        <v>#VALUE!</v>
      </c>
    </row>
    <row r="64" spans="54:84">
      <c r="BB64" s="226"/>
      <c r="BC64" s="227"/>
      <c r="BD64" s="94" t="s">
        <v>636</v>
      </c>
      <c r="BE64" s="94" t="str">
        <f t="shared" si="3"/>
        <v>No Gap|Priority</v>
      </c>
      <c r="BF64" s="95" t="e">
        <f>COUNTIFS('[1]Completion Matrix'!$E:$E,'Dashboard 3'!$BB$49,'[1]Completion Matrix'!$I:$I,$BC$61,'[1]Completion Matrix'!$J:$J,BD64)</f>
        <v>#VALUE!</v>
      </c>
      <c r="BG64" s="95" t="e">
        <f>IF(COUNTIFS('[1]Completion Matrix'!$E:$E,'Dashboard 3'!$BB$49,'[1]Completion Matrix'!$I:$I,$BC$61,'[1]Completion Matrix'!$J:$J,BD64)=0,NA(),COUNTIFS('[1]Completion Matrix'!$E:$E,'Dashboard 3'!$BB$49,'[1]Completion Matrix'!$I:$I,$BC$61,'[1]Completion Matrix'!$J:$J,BD64))</f>
        <v>#VALUE!</v>
      </c>
      <c r="BH64" s="96"/>
      <c r="BI64" s="96"/>
      <c r="BJ64" s="96"/>
      <c r="BK64" s="96"/>
      <c r="BL64" s="96"/>
      <c r="BM64" s="96"/>
      <c r="BO64" s="226"/>
      <c r="BP64" s="227"/>
      <c r="BQ64" s="94" t="s">
        <v>636</v>
      </c>
      <c r="BR64" s="94"/>
      <c r="BS64" s="95" t="e">
        <f>COUNTIFS('[1]Completion Matrix'!$E:$E,'Dashboard 3'!$BO$49,'[1]Completion Matrix'!$I:$I,$BP$61,'[1]Completion Matrix'!$J:$J,BQ64)</f>
        <v>#VALUE!</v>
      </c>
      <c r="BT64" s="96"/>
      <c r="BU64" s="96"/>
      <c r="BV64" s="96"/>
      <c r="BW64" s="96"/>
      <c r="BX64" s="96"/>
      <c r="BY64" s="96"/>
      <c r="BZ64" s="96"/>
      <c r="CB64" s="226"/>
      <c r="CC64" s="227"/>
      <c r="CD64" s="94" t="s">
        <v>636</v>
      </c>
      <c r="CE64" s="94"/>
      <c r="CF64" s="95" t="e">
        <f>COUNTIFS('[1]Completion Matrix'!$E:$E,'Dashboard 3'!$CB$49,'[1]Completion Matrix'!$I:$I,$CC$61,'[1]Completion Matrix'!$J:$J,CD64)</f>
        <v>#VALUE!</v>
      </c>
    </row>
    <row r="65" spans="2:84">
      <c r="BF65" s="95" t="e">
        <f>SUM(BF49:BF64)</f>
        <v>#VALUE!</v>
      </c>
      <c r="BG65" s="96"/>
      <c r="BH65" s="96"/>
      <c r="BI65" s="96"/>
      <c r="BJ65" s="96"/>
      <c r="BK65" s="96"/>
      <c r="BL65" s="96"/>
      <c r="BM65" s="96"/>
      <c r="BS65" s="95" t="e">
        <f>SUM(BS49:BS64)</f>
        <v>#VALUE!</v>
      </c>
      <c r="BT65" s="96"/>
      <c r="BU65" s="96"/>
      <c r="BV65" s="96"/>
      <c r="BW65" s="96"/>
      <c r="BX65" s="96"/>
      <c r="BY65" s="96"/>
      <c r="BZ65" s="96"/>
      <c r="CF65" s="95" t="e">
        <f>SUM(CF49:CF64)</f>
        <v>#VALUE!</v>
      </c>
    </row>
    <row r="67" spans="2:84">
      <c r="BC67" s="229" t="s">
        <v>638</v>
      </c>
      <c r="BD67" s="94" t="s">
        <v>451</v>
      </c>
      <c r="BE67" s="94"/>
      <c r="BF67" s="95" t="e">
        <f>COUNTIFS('[1]Completion Matrix'!$E:$E,'Dashboard 3'!BB49,'[1]Completion Matrix'!$I:$I,"")</f>
        <v>#VALUE!</v>
      </c>
      <c r="BG67" s="96"/>
      <c r="BH67" s="96"/>
      <c r="BI67" s="96"/>
      <c r="BJ67" s="96"/>
      <c r="BK67" s="96"/>
      <c r="BL67" s="96"/>
      <c r="BM67" s="96"/>
      <c r="BP67" s="229" t="s">
        <v>638</v>
      </c>
      <c r="BQ67" s="94" t="s">
        <v>451</v>
      </c>
      <c r="BR67" s="94"/>
      <c r="BS67" s="95" t="e">
        <f>COUNTIFS('[1]Completion Matrix'!$E:$E,'Dashboard 3'!BO49,'[1]Completion Matrix'!$I:$I,"")</f>
        <v>#VALUE!</v>
      </c>
      <c r="BT67" s="96"/>
      <c r="BU67" s="96"/>
      <c r="BV67" s="96"/>
      <c r="BW67" s="96"/>
      <c r="BX67" s="96"/>
      <c r="BY67" s="96"/>
      <c r="BZ67" s="96"/>
      <c r="CC67" s="229" t="s">
        <v>638</v>
      </c>
      <c r="CD67" s="94" t="s">
        <v>451</v>
      </c>
      <c r="CE67" s="94"/>
      <c r="CF67" s="95" t="e">
        <f>COUNTIFS('[1]Completion Matrix'!$E:$E,'Dashboard 3'!CB49,'[1]Completion Matrix'!$I:$I,"")</f>
        <v>#VALUE!</v>
      </c>
    </row>
    <row r="68" spans="2:84">
      <c r="BC68" s="230"/>
      <c r="BD68" s="94" t="s">
        <v>450</v>
      </c>
      <c r="BE68" s="94"/>
      <c r="BF68" s="95" t="e">
        <f>COUNTIFS('[1]Completion Matrix'!$E:$E,'Dashboard 3'!BB49,'[1]Completion Matrix'!$I:$I,"")</f>
        <v>#VALUE!</v>
      </c>
      <c r="BG68" s="96"/>
      <c r="BH68" s="96"/>
      <c r="BI68" s="96"/>
      <c r="BJ68" s="96"/>
      <c r="BK68" s="96"/>
      <c r="BL68" s="96"/>
      <c r="BM68" s="96"/>
      <c r="BP68" s="230"/>
      <c r="BQ68" s="94" t="s">
        <v>450</v>
      </c>
      <c r="BR68" s="94"/>
      <c r="BS68" s="95" t="e">
        <f>COUNTIFS('[1]Completion Matrix'!$E:$E,'Dashboard 3'!BO49,'[1]Completion Matrix'!$I:$I,"")</f>
        <v>#VALUE!</v>
      </c>
      <c r="BT68" s="96"/>
      <c r="BU68" s="96"/>
      <c r="BV68" s="96"/>
      <c r="BW68" s="96"/>
      <c r="BX68" s="96"/>
      <c r="BY68" s="96"/>
      <c r="BZ68" s="96"/>
      <c r="CC68" s="230"/>
      <c r="CD68" s="94" t="s">
        <v>450</v>
      </c>
      <c r="CE68" s="94"/>
      <c r="CF68" s="95" t="e">
        <f>COUNTIFS('[1]Completion Matrix'!$E:$E,'Dashboard 3'!CB49,'[1]Completion Matrix'!$I:$I,"")</f>
        <v>#VALUE!</v>
      </c>
    </row>
    <row r="72" spans="2:84">
      <c r="B72" t="s">
        <v>641</v>
      </c>
      <c r="C72" t="s">
        <v>646</v>
      </c>
    </row>
    <row r="73" spans="2:84">
      <c r="B73" t="s">
        <v>645</v>
      </c>
      <c r="C73" t="e">
        <f>COUNTIF('[1]Completion Matrix'!$F$3:$F$306,"")</f>
        <v>#VALUE!</v>
      </c>
    </row>
    <row r="74" spans="2:84">
      <c r="B74" s="43" t="s">
        <v>13</v>
      </c>
      <c r="C74" s="107" t="e">
        <f>COUNTIF('[1]Completion Matrix'!$F$3:$F$306,'Dashboard 3'!B74)</f>
        <v>#VALUE!</v>
      </c>
    </row>
    <row r="75" spans="2:84">
      <c r="B75" s="43" t="s">
        <v>27</v>
      </c>
      <c r="C75" t="e">
        <f>COUNTIF('[1]Completion Matrix'!$F$3:$F$306,'Dashboard 3'!B75)</f>
        <v>#VALUE!</v>
      </c>
      <c r="BQ75" s="95" t="e">
        <f>SUM(BF21,BF23,BS21,BS23,CF21,CF23,BF43,BF45,BS43,BS45,CF43,CF45,CF65,CF67,BS65,BS67,BF65,BF67)</f>
        <v>#VALUE!</v>
      </c>
      <c r="BR75" s="96"/>
    </row>
    <row r="76" spans="2:84">
      <c r="B76" s="35" t="s">
        <v>35</v>
      </c>
      <c r="C76" s="107" t="e">
        <f>COUNTIF('[1]Completion Matrix'!$F$3:$F$306,'Dashboard 3'!B76)</f>
        <v>#VALUE!</v>
      </c>
    </row>
    <row r="77" spans="2:84">
      <c r="B77" s="35" t="s">
        <v>86</v>
      </c>
      <c r="C77" t="e">
        <f>COUNTIF('[1]Completion Matrix'!$F$3:$F$306,'Dashboard 3'!B77)</f>
        <v>#VALUE!</v>
      </c>
    </row>
    <row r="78" spans="2:84">
      <c r="B78" s="56" t="s">
        <v>521</v>
      </c>
      <c r="C78" t="e">
        <f>COUNTIF('[1]Completion Matrix'!$F$3:$F$306,'Dashboard 3'!B78)</f>
        <v>#VALUE!</v>
      </c>
    </row>
    <row r="79" spans="2:84">
      <c r="B79" s="35" t="s">
        <v>525</v>
      </c>
      <c r="C79" t="e">
        <f>COUNTIF('[1]Completion Matrix'!$F$3:$F$306,'Dashboard 3'!B79)</f>
        <v>#VALUE!</v>
      </c>
    </row>
    <row r="80" spans="2:84">
      <c r="B80" s="35" t="s">
        <v>532</v>
      </c>
      <c r="C80" t="e">
        <f>COUNTIF('[1]Completion Matrix'!$F$3:$F$306,'Dashboard 3'!B80)</f>
        <v>#VALUE!</v>
      </c>
    </row>
    <row r="81" spans="2:3">
      <c r="B81" s="56" t="s">
        <v>533</v>
      </c>
      <c r="C81" t="e">
        <f>COUNTIF('[1]Completion Matrix'!$F$3:$F$306,'Dashboard 3'!B81)</f>
        <v>#VALUE!</v>
      </c>
    </row>
    <row r="82" spans="2:3">
      <c r="B82" s="35" t="s">
        <v>110</v>
      </c>
      <c r="C82" t="e">
        <f>COUNTIF('[1]Completion Matrix'!$F$3:$F$306,'Dashboard 3'!B82)</f>
        <v>#VALUE!</v>
      </c>
    </row>
    <row r="83" spans="2:3">
      <c r="B83" s="35" t="s">
        <v>518</v>
      </c>
      <c r="C83" t="e">
        <f>COUNTIF('[1]Completion Matrix'!$F$3:$F$306,'Dashboard 3'!B83)</f>
        <v>#VALUE!</v>
      </c>
    </row>
    <row r="84" spans="2:3">
      <c r="B84" s="35" t="s">
        <v>123</v>
      </c>
      <c r="C84" s="107" t="e">
        <f>COUNTIF('[1]Completion Matrix'!$F$3:$F$306,'Dashboard 3'!B84)</f>
        <v>#VALUE!</v>
      </c>
    </row>
    <row r="85" spans="2:3">
      <c r="B85" s="35" t="s">
        <v>614</v>
      </c>
      <c r="C85" t="e">
        <f>COUNTIF('[1]Completion Matrix'!$F$3:$F$306,'Dashboard 3'!B85)</f>
        <v>#VALUE!</v>
      </c>
    </row>
    <row r="86" spans="2:3">
      <c r="B86" s="43" t="s">
        <v>153</v>
      </c>
      <c r="C86" t="e">
        <f>COUNTIF('[1]Completion Matrix'!$F$3:$F$306,'Dashboard 3'!B86)</f>
        <v>#VALUE!</v>
      </c>
    </row>
    <row r="87" spans="2:3">
      <c r="B87" s="49" t="s">
        <v>616</v>
      </c>
      <c r="C87" t="e">
        <f>COUNTIF('[1]Completion Matrix'!$F$3:$F$306,'Dashboard 3'!B87)</f>
        <v>#VALUE!</v>
      </c>
    </row>
    <row r="88" spans="2:3">
      <c r="B88" s="35" t="s">
        <v>442</v>
      </c>
      <c r="C88" t="e">
        <f>COUNTIF('[1]Completion Matrix'!$F$3:$F$306,'Dashboard 3'!B88)</f>
        <v>#VALUE!</v>
      </c>
    </row>
    <row r="89" spans="2:3">
      <c r="B89" s="35" t="s">
        <v>235</v>
      </c>
      <c r="C89" s="107" t="e">
        <f>COUNTIF('[1]Completion Matrix'!$F$3:$F$306,'Dashboard 3'!B89)</f>
        <v>#VALUE!</v>
      </c>
    </row>
    <row r="90" spans="2:3">
      <c r="B90" s="35" t="s">
        <v>619</v>
      </c>
      <c r="C90" t="e">
        <f>COUNTIF('[1]Completion Matrix'!$F$3:$F$306,'Dashboard 3'!B90)</f>
        <v>#VALUE!</v>
      </c>
    </row>
    <row r="91" spans="2:3">
      <c r="B91" s="35" t="s">
        <v>588</v>
      </c>
      <c r="C91" t="e">
        <f>COUNTIF('[1]Completion Matrix'!$F$3:$F$306,'Dashboard 3'!B91)</f>
        <v>#VALUE!</v>
      </c>
    </row>
    <row r="92" spans="2:3">
      <c r="B92" s="56" t="s">
        <v>615</v>
      </c>
      <c r="C92" s="107" t="e">
        <f>COUNTIF('[1]Completion Matrix'!$F$3:$F$306,'Dashboard 3'!B92)</f>
        <v>#VALUE!</v>
      </c>
    </row>
    <row r="93" spans="2:3">
      <c r="B93" s="29" t="s">
        <v>493</v>
      </c>
      <c r="C93" t="e">
        <f>COUNTIF('[1]Completion Matrix'!$F$3:$F$306,'Dashboard 3'!B93)</f>
        <v>#VALUE!</v>
      </c>
    </row>
    <row r="94" spans="2:3">
      <c r="B94" s="35" t="s">
        <v>535</v>
      </c>
      <c r="C94" t="e">
        <f>COUNTIF('[1]Completion Matrix'!$F$3:$F$306,'Dashboard 3'!B94)</f>
        <v>#VALUE!</v>
      </c>
    </row>
    <row r="95" spans="2:3">
      <c r="B95" s="35" t="s">
        <v>355</v>
      </c>
      <c r="C95" s="107" t="e">
        <f>COUNTIF('[1]Completion Matrix'!$F$3:$F$306,'Dashboard 3'!B95)</f>
        <v>#VALUE!</v>
      </c>
    </row>
  </sheetData>
  <autoFilter ref="B72:C95"/>
  <mergeCells count="59">
    <mergeCell ref="BP61:BP64"/>
    <mergeCell ref="CC61:CC64"/>
    <mergeCell ref="BC67:BC68"/>
    <mergeCell ref="BP67:BP68"/>
    <mergeCell ref="CC67:CC68"/>
    <mergeCell ref="BC45:BC46"/>
    <mergeCell ref="BP45:BP46"/>
    <mergeCell ref="CC45:CC46"/>
    <mergeCell ref="BB49:BB64"/>
    <mergeCell ref="BC49:BC52"/>
    <mergeCell ref="BO49:BO64"/>
    <mergeCell ref="BP49:BP52"/>
    <mergeCell ref="CB49:CB64"/>
    <mergeCell ref="CC49:CC52"/>
    <mergeCell ref="BC53:BC56"/>
    <mergeCell ref="BP53:BP56"/>
    <mergeCell ref="CC53:CC56"/>
    <mergeCell ref="BC57:BC60"/>
    <mergeCell ref="BP57:BP60"/>
    <mergeCell ref="CC57:CC60"/>
    <mergeCell ref="BC61:BC64"/>
    <mergeCell ref="CB27:CB42"/>
    <mergeCell ref="CC27:CC30"/>
    <mergeCell ref="BC31:BC34"/>
    <mergeCell ref="BP31:BP34"/>
    <mergeCell ref="CC31:CC34"/>
    <mergeCell ref="BC35:BC38"/>
    <mergeCell ref="BP35:BP38"/>
    <mergeCell ref="CC35:CC38"/>
    <mergeCell ref="BC39:BC42"/>
    <mergeCell ref="BP39:BP42"/>
    <mergeCell ref="CC39:CC42"/>
    <mergeCell ref="BO27:BO42"/>
    <mergeCell ref="BP27:BP30"/>
    <mergeCell ref="BP23:BP24"/>
    <mergeCell ref="CB5:CB20"/>
    <mergeCell ref="CC5:CC8"/>
    <mergeCell ref="CC9:CC12"/>
    <mergeCell ref="CC13:CC16"/>
    <mergeCell ref="CC17:CC20"/>
    <mergeCell ref="CC23:CC24"/>
    <mergeCell ref="BO5:BO20"/>
    <mergeCell ref="BP5:BP8"/>
    <mergeCell ref="BP9:BP12"/>
    <mergeCell ref="BP13:BP16"/>
    <mergeCell ref="BP17:BP20"/>
    <mergeCell ref="B4:C4"/>
    <mergeCell ref="P3:X3"/>
    <mergeCell ref="Y3:AA3"/>
    <mergeCell ref="BB27:BB42"/>
    <mergeCell ref="BC27:BC30"/>
    <mergeCell ref="BC23:BC24"/>
    <mergeCell ref="BC5:BC8"/>
    <mergeCell ref="BC9:BC12"/>
    <mergeCell ref="BC13:BC16"/>
    <mergeCell ref="BC17:BC20"/>
    <mergeCell ref="BB5:BB20"/>
    <mergeCell ref="G5:G13"/>
    <mergeCell ref="I5:I13"/>
  </mergeCells>
  <conditionalFormatting sqref="P15:X15">
    <cfRule type="cellIs" dxfId="7" priority="1" operator="greaterThan">
      <formula>$F11*0.7</formula>
    </cfRule>
    <cfRule type="cellIs" dxfId="6" priority="2" operator="greaterThan">
      <formula>$F11*0.5</formula>
    </cfRule>
  </conditionalFormatting>
  <conditionalFormatting sqref="P14:X14">
    <cfRule type="cellIs" dxfId="5" priority="5" operator="greaterThan">
      <formula>$F10*0.7</formula>
    </cfRule>
    <cfRule type="cellIs" dxfId="4" priority="6" operator="greaterThan">
      <formula>$F10*0.5</formula>
    </cfRule>
  </conditionalFormatting>
  <conditionalFormatting sqref="P5:X13">
    <cfRule type="cellIs" dxfId="3" priority="9" operator="greaterThan">
      <formula>$F1048574*0.7</formula>
    </cfRule>
    <cfRule type="cellIs" dxfId="2" priority="10" operator="greaterThan">
      <formula>$F1048574*0.5</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11"/>
  <dimension ref="A1:A7"/>
  <sheetViews>
    <sheetView workbookViewId="0">
      <selection activeCell="A8" sqref="A8"/>
    </sheetView>
  </sheetViews>
  <sheetFormatPr defaultRowHeight="15"/>
  <sheetData>
    <row r="1" spans="1:1">
      <c r="A1" t="s">
        <v>431</v>
      </c>
    </row>
    <row r="2" spans="1:1">
      <c r="A2" t="s">
        <v>432</v>
      </c>
    </row>
    <row r="3" spans="1:1">
      <c r="A3" t="s">
        <v>436</v>
      </c>
    </row>
    <row r="4" spans="1:1">
      <c r="A4" t="s">
        <v>428</v>
      </c>
    </row>
    <row r="5" spans="1:1">
      <c r="A5" t="s">
        <v>437</v>
      </c>
    </row>
    <row r="6" spans="1:1">
      <c r="A6" t="s">
        <v>430</v>
      </c>
    </row>
    <row r="7" spans="1:1">
      <c r="A7" t="s">
        <v>438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G48"/>
  <sheetViews>
    <sheetView workbookViewId="0">
      <selection activeCell="A8" sqref="A8"/>
    </sheetView>
  </sheetViews>
  <sheetFormatPr defaultRowHeight="15"/>
  <cols>
    <col min="2" max="2" width="30.28515625" customWidth="1"/>
    <col min="3" max="3" width="8.85546875" bestFit="1" customWidth="1"/>
    <col min="4" max="4" width="15.7109375" customWidth="1"/>
    <col min="5" max="5" width="21" customWidth="1"/>
    <col min="6" max="6" width="27.85546875" customWidth="1"/>
    <col min="7" max="7" width="35.140625" customWidth="1"/>
  </cols>
  <sheetData>
    <row r="2" spans="2:7" ht="15.75" thickBot="1"/>
    <row r="3" spans="2:7">
      <c r="B3" s="248" t="s">
        <v>729</v>
      </c>
      <c r="C3" s="152" t="s">
        <v>730</v>
      </c>
      <c r="D3" s="152" t="s">
        <v>732</v>
      </c>
      <c r="E3" s="152" t="s">
        <v>734</v>
      </c>
      <c r="F3" s="152" t="s">
        <v>736</v>
      </c>
      <c r="G3" s="154" t="s">
        <v>738</v>
      </c>
    </row>
    <row r="4" spans="2:7" ht="30.75" thickBot="1">
      <c r="B4" s="249"/>
      <c r="C4" s="153" t="s">
        <v>731</v>
      </c>
      <c r="D4" s="153" t="s">
        <v>733</v>
      </c>
      <c r="E4" s="153" t="s">
        <v>735</v>
      </c>
      <c r="F4" s="153" t="s">
        <v>737</v>
      </c>
      <c r="G4" s="155" t="s">
        <v>737</v>
      </c>
    </row>
    <row r="5" spans="2:7">
      <c r="B5" s="250" t="s">
        <v>739</v>
      </c>
      <c r="C5" s="252">
        <v>1.1000000000000001</v>
      </c>
      <c r="D5" s="252" t="s">
        <v>740</v>
      </c>
      <c r="E5" s="156" t="s">
        <v>741</v>
      </c>
      <c r="F5" s="252" t="s">
        <v>743</v>
      </c>
      <c r="G5" s="246" t="s">
        <v>744</v>
      </c>
    </row>
    <row r="6" spans="2:7" ht="15.75" thickBot="1">
      <c r="B6" s="251"/>
      <c r="C6" s="253"/>
      <c r="D6" s="253"/>
      <c r="E6" s="157" t="s">
        <v>742</v>
      </c>
      <c r="F6" s="253"/>
      <c r="G6" s="247"/>
    </row>
    <row r="7" spans="2:7" ht="15.75" thickBot="1">
      <c r="B7" s="158" t="s">
        <v>745</v>
      </c>
      <c r="C7" s="159">
        <v>5</v>
      </c>
      <c r="D7" s="159" t="s">
        <v>746</v>
      </c>
      <c r="E7" s="159" t="s">
        <v>747</v>
      </c>
      <c r="F7" s="159" t="s">
        <v>748</v>
      </c>
      <c r="G7" s="160" t="s">
        <v>744</v>
      </c>
    </row>
    <row r="8" spans="2:7" ht="15.75" thickBot="1">
      <c r="B8" s="161" t="s">
        <v>749</v>
      </c>
      <c r="C8" s="159">
        <v>7.03</v>
      </c>
      <c r="D8" s="159" t="s">
        <v>750</v>
      </c>
      <c r="E8" s="159" t="s">
        <v>751</v>
      </c>
      <c r="F8" s="162" t="s">
        <v>744</v>
      </c>
      <c r="G8" s="160" t="s">
        <v>744</v>
      </c>
    </row>
    <row r="9" spans="2:7" ht="15.75" thickBot="1">
      <c r="B9" s="163" t="s">
        <v>752</v>
      </c>
      <c r="C9" s="159">
        <v>1.0900000000000001</v>
      </c>
      <c r="D9" s="159" t="s">
        <v>750</v>
      </c>
      <c r="E9" s="159" t="s">
        <v>753</v>
      </c>
      <c r="F9" s="160" t="s">
        <v>744</v>
      </c>
      <c r="G9" s="160" t="s">
        <v>744</v>
      </c>
    </row>
    <row r="10" spans="2:7">
      <c r="B10" s="250" t="s">
        <v>754</v>
      </c>
      <c r="C10" s="252">
        <v>4</v>
      </c>
      <c r="D10" s="252" t="s">
        <v>740</v>
      </c>
      <c r="E10" s="156" t="s">
        <v>741</v>
      </c>
      <c r="F10" s="252" t="s">
        <v>743</v>
      </c>
      <c r="G10" s="246" t="s">
        <v>744</v>
      </c>
    </row>
    <row r="11" spans="2:7" ht="15.75" thickBot="1">
      <c r="B11" s="251"/>
      <c r="C11" s="253"/>
      <c r="D11" s="253"/>
      <c r="E11" s="157" t="s">
        <v>742</v>
      </c>
      <c r="F11" s="253"/>
      <c r="G11" s="247"/>
    </row>
    <row r="12" spans="2:7" ht="15.75" thickBot="1">
      <c r="B12" s="161" t="s">
        <v>755</v>
      </c>
      <c r="C12" s="159">
        <v>2.1</v>
      </c>
      <c r="D12" s="159" t="s">
        <v>756</v>
      </c>
      <c r="E12" s="159" t="s">
        <v>757</v>
      </c>
      <c r="F12" s="159" t="s">
        <v>758</v>
      </c>
      <c r="G12" s="159" t="s">
        <v>759</v>
      </c>
    </row>
    <row r="13" spans="2:7" ht="15.75" thickBot="1">
      <c r="B13" s="161" t="s">
        <v>760</v>
      </c>
      <c r="C13" s="159">
        <v>1</v>
      </c>
      <c r="D13" s="159" t="s">
        <v>756</v>
      </c>
      <c r="E13" s="159" t="s">
        <v>757</v>
      </c>
      <c r="F13" s="159" t="s">
        <v>758</v>
      </c>
      <c r="G13" s="159" t="s">
        <v>759</v>
      </c>
    </row>
    <row r="14" spans="2:7" ht="15.75" thickBot="1">
      <c r="B14" s="161" t="s">
        <v>761</v>
      </c>
      <c r="C14" s="159">
        <v>1.5</v>
      </c>
      <c r="D14" s="159" t="s">
        <v>756</v>
      </c>
      <c r="E14" s="159" t="s">
        <v>762</v>
      </c>
      <c r="F14" s="162" t="s">
        <v>744</v>
      </c>
      <c r="G14" s="162" t="s">
        <v>744</v>
      </c>
    </row>
    <row r="15" spans="2:7" ht="15.75" thickBot="1">
      <c r="B15" s="161" t="s">
        <v>763</v>
      </c>
      <c r="C15" s="159">
        <v>3</v>
      </c>
      <c r="D15" s="159" t="s">
        <v>756</v>
      </c>
      <c r="E15" s="159" t="s">
        <v>764</v>
      </c>
      <c r="F15" s="162" t="s">
        <v>744</v>
      </c>
      <c r="G15" s="162" t="s">
        <v>744</v>
      </c>
    </row>
    <row r="16" spans="2:7" ht="15.75" thickBot="1">
      <c r="B16" s="161" t="s">
        <v>765</v>
      </c>
      <c r="C16" s="159">
        <v>2.2000000000000002</v>
      </c>
      <c r="D16" s="159" t="s">
        <v>756</v>
      </c>
      <c r="E16" s="159" t="s">
        <v>764</v>
      </c>
      <c r="F16" s="159" t="s">
        <v>758</v>
      </c>
      <c r="G16" s="159" t="s">
        <v>759</v>
      </c>
    </row>
    <row r="17" spans="2:7" ht="15.75" thickBot="1">
      <c r="B17" s="163" t="s">
        <v>766</v>
      </c>
      <c r="C17" s="159">
        <v>1</v>
      </c>
      <c r="D17" s="159" t="s">
        <v>756</v>
      </c>
      <c r="E17" s="159" t="s">
        <v>764</v>
      </c>
      <c r="F17" s="164" t="s">
        <v>744</v>
      </c>
      <c r="G17" s="164" t="s">
        <v>744</v>
      </c>
    </row>
    <row r="18" spans="2:7" ht="15.75" thickBot="1">
      <c r="B18" s="165" t="s">
        <v>767</v>
      </c>
      <c r="C18" s="159">
        <v>2.2000000000000002</v>
      </c>
      <c r="D18" s="159" t="s">
        <v>768</v>
      </c>
      <c r="E18" s="159" t="s">
        <v>757</v>
      </c>
      <c r="F18" s="159" t="s">
        <v>769</v>
      </c>
      <c r="G18" s="159" t="s">
        <v>770</v>
      </c>
    </row>
    <row r="19" spans="2:7" ht="15.75" thickBot="1">
      <c r="B19" s="167" t="s">
        <v>771</v>
      </c>
      <c r="C19" s="159">
        <v>3.2</v>
      </c>
      <c r="D19" s="159" t="s">
        <v>768</v>
      </c>
      <c r="E19" s="159" t="s">
        <v>772</v>
      </c>
      <c r="F19" s="159" t="s">
        <v>758</v>
      </c>
      <c r="G19" s="159" t="s">
        <v>773</v>
      </c>
    </row>
    <row r="20" spans="2:7" ht="15.75" thickBot="1">
      <c r="B20" s="161" t="s">
        <v>774</v>
      </c>
      <c r="C20" s="159">
        <v>1</v>
      </c>
      <c r="D20" s="159" t="s">
        <v>775</v>
      </c>
      <c r="E20" s="159" t="s">
        <v>776</v>
      </c>
      <c r="F20" s="159" t="s">
        <v>758</v>
      </c>
      <c r="G20" s="159" t="s">
        <v>759</v>
      </c>
    </row>
    <row r="21" spans="2:7" ht="15.75" thickBot="1">
      <c r="B21" s="167" t="s">
        <v>777</v>
      </c>
      <c r="C21" s="159">
        <v>3.03</v>
      </c>
      <c r="D21" s="159" t="s">
        <v>768</v>
      </c>
      <c r="E21" s="159" t="s">
        <v>776</v>
      </c>
      <c r="F21" s="168" t="s">
        <v>778</v>
      </c>
      <c r="G21" s="159" t="s">
        <v>779</v>
      </c>
    </row>
    <row r="22" spans="2:7" ht="15.75" thickBot="1">
      <c r="B22" s="167" t="s">
        <v>780</v>
      </c>
      <c r="C22" s="159">
        <v>1</v>
      </c>
      <c r="D22" s="159" t="s">
        <v>781</v>
      </c>
      <c r="E22" s="159" t="s">
        <v>782</v>
      </c>
      <c r="F22" s="159" t="s">
        <v>769</v>
      </c>
      <c r="G22" s="160" t="s">
        <v>744</v>
      </c>
    </row>
    <row r="23" spans="2:7" ht="26.25" thickBot="1">
      <c r="B23" s="167" t="s">
        <v>783</v>
      </c>
      <c r="C23" s="159">
        <v>6.1</v>
      </c>
      <c r="D23" s="159" t="s">
        <v>768</v>
      </c>
      <c r="E23" s="159" t="s">
        <v>757</v>
      </c>
      <c r="F23" s="159" t="s">
        <v>758</v>
      </c>
      <c r="G23" s="159" t="s">
        <v>770</v>
      </c>
    </row>
    <row r="24" spans="2:7" ht="15.75" thickBot="1">
      <c r="B24" s="167" t="s">
        <v>784</v>
      </c>
      <c r="C24" s="159">
        <v>1.04</v>
      </c>
      <c r="D24" s="159" t="s">
        <v>775</v>
      </c>
      <c r="E24" s="159" t="s">
        <v>785</v>
      </c>
      <c r="F24" s="168" t="s">
        <v>778</v>
      </c>
      <c r="G24" s="159" t="s">
        <v>779</v>
      </c>
    </row>
    <row r="25" spans="2:7" ht="15.75" thickBot="1">
      <c r="B25" s="167" t="s">
        <v>786</v>
      </c>
      <c r="C25" s="159">
        <v>3.01</v>
      </c>
      <c r="D25" s="159" t="s">
        <v>787</v>
      </c>
      <c r="E25" s="159" t="s">
        <v>788</v>
      </c>
      <c r="F25" s="168" t="s">
        <v>778</v>
      </c>
      <c r="G25" s="159" t="s">
        <v>789</v>
      </c>
    </row>
    <row r="26" spans="2:7" ht="26.25" thickBot="1">
      <c r="B26" s="167" t="s">
        <v>790</v>
      </c>
      <c r="C26" s="159">
        <v>1.07</v>
      </c>
      <c r="D26" s="159" t="s">
        <v>787</v>
      </c>
      <c r="E26" s="159" t="s">
        <v>788</v>
      </c>
      <c r="F26" s="159" t="s">
        <v>791</v>
      </c>
      <c r="G26" s="159" t="s">
        <v>779</v>
      </c>
    </row>
    <row r="27" spans="2:7" ht="15.75" thickBot="1">
      <c r="B27" s="161" t="s">
        <v>792</v>
      </c>
      <c r="C27" s="159">
        <v>1.2</v>
      </c>
      <c r="D27" s="159" t="s">
        <v>787</v>
      </c>
      <c r="E27" s="159" t="s">
        <v>772</v>
      </c>
      <c r="F27" s="159" t="s">
        <v>758</v>
      </c>
      <c r="G27" s="159" t="s">
        <v>773</v>
      </c>
    </row>
    <row r="28" spans="2:7" ht="15.75" thickBot="1">
      <c r="B28" s="167" t="s">
        <v>793</v>
      </c>
      <c r="C28" s="159">
        <v>1.04</v>
      </c>
      <c r="D28" s="159" t="s">
        <v>787</v>
      </c>
      <c r="E28" s="159" t="s">
        <v>757</v>
      </c>
      <c r="F28" s="159" t="s">
        <v>769</v>
      </c>
      <c r="G28" s="159" t="s">
        <v>770</v>
      </c>
    </row>
    <row r="29" spans="2:7" ht="26.25" thickBot="1">
      <c r="B29" s="170" t="s">
        <v>794</v>
      </c>
      <c r="C29" s="166">
        <v>1</v>
      </c>
      <c r="D29" s="166" t="s">
        <v>750</v>
      </c>
      <c r="E29" s="166" t="s">
        <v>764</v>
      </c>
      <c r="F29" s="166" t="s">
        <v>758</v>
      </c>
      <c r="G29" s="166" t="s">
        <v>759</v>
      </c>
    </row>
    <row r="30" spans="2:7" ht="15.75" thickBot="1">
      <c r="B30" s="167" t="s">
        <v>795</v>
      </c>
      <c r="C30" s="159">
        <v>4</v>
      </c>
      <c r="D30" s="159" t="s">
        <v>750</v>
      </c>
      <c r="E30" s="159" t="s">
        <v>764</v>
      </c>
      <c r="F30" s="168" t="s">
        <v>796</v>
      </c>
      <c r="G30" s="159" t="s">
        <v>759</v>
      </c>
    </row>
    <row r="31" spans="2:7" ht="26.25" thickBot="1">
      <c r="B31" s="161" t="s">
        <v>797</v>
      </c>
      <c r="C31" s="159">
        <v>3.1</v>
      </c>
      <c r="D31" s="159" t="s">
        <v>768</v>
      </c>
      <c r="E31" s="159" t="s">
        <v>772</v>
      </c>
      <c r="F31" s="159" t="s">
        <v>758</v>
      </c>
      <c r="G31" s="159" t="s">
        <v>773</v>
      </c>
    </row>
    <row r="32" spans="2:7" ht="15.75" thickBot="1">
      <c r="B32" s="167" t="s">
        <v>798</v>
      </c>
      <c r="C32" s="159">
        <v>1.04</v>
      </c>
      <c r="D32" s="159" t="s">
        <v>799</v>
      </c>
      <c r="E32" s="159" t="s">
        <v>785</v>
      </c>
      <c r="F32" s="159" t="s">
        <v>758</v>
      </c>
      <c r="G32" s="159" t="s">
        <v>800</v>
      </c>
    </row>
    <row r="33" spans="2:7" ht="15.75" thickBot="1">
      <c r="B33" s="161" t="s">
        <v>801</v>
      </c>
      <c r="C33" s="159">
        <v>1</v>
      </c>
      <c r="D33" s="159" t="s">
        <v>799</v>
      </c>
      <c r="E33" s="159" t="s">
        <v>802</v>
      </c>
      <c r="F33" s="168" t="s">
        <v>796</v>
      </c>
      <c r="G33" s="159" t="s">
        <v>779</v>
      </c>
    </row>
    <row r="34" spans="2:7" ht="15.75" thickBot="1">
      <c r="B34" s="167" t="s">
        <v>803</v>
      </c>
      <c r="C34" s="159">
        <v>1.04</v>
      </c>
      <c r="D34" s="159" t="s">
        <v>775</v>
      </c>
      <c r="E34" s="159" t="s">
        <v>785</v>
      </c>
      <c r="F34" s="168" t="s">
        <v>796</v>
      </c>
      <c r="G34" s="159" t="s">
        <v>779</v>
      </c>
    </row>
    <row r="35" spans="2:7" ht="15.75" thickBot="1">
      <c r="B35" s="161" t="s">
        <v>804</v>
      </c>
      <c r="C35" s="159">
        <v>2.2000000000000002</v>
      </c>
      <c r="D35" s="159" t="s">
        <v>787</v>
      </c>
      <c r="E35" s="159" t="s">
        <v>772</v>
      </c>
      <c r="F35" s="159" t="s">
        <v>758</v>
      </c>
      <c r="G35" s="159" t="s">
        <v>773</v>
      </c>
    </row>
    <row r="36" spans="2:7" ht="15.75" thickBot="1">
      <c r="B36" s="161" t="s">
        <v>805</v>
      </c>
      <c r="C36" s="159">
        <v>1</v>
      </c>
      <c r="D36" s="159" t="s">
        <v>787</v>
      </c>
      <c r="E36" s="159" t="s">
        <v>806</v>
      </c>
      <c r="F36" s="159" t="s">
        <v>758</v>
      </c>
      <c r="G36" s="159" t="s">
        <v>773</v>
      </c>
    </row>
    <row r="37" spans="2:7" ht="15.75" thickBot="1">
      <c r="B37" s="167" t="s">
        <v>807</v>
      </c>
      <c r="C37" s="159">
        <v>4</v>
      </c>
      <c r="D37" s="159" t="s">
        <v>768</v>
      </c>
      <c r="E37" s="159" t="s">
        <v>788</v>
      </c>
      <c r="F37" s="168" t="s">
        <v>796</v>
      </c>
      <c r="G37" s="159" t="s">
        <v>789</v>
      </c>
    </row>
    <row r="38" spans="2:7" ht="15.75" thickBot="1">
      <c r="B38" s="167" t="s">
        <v>808</v>
      </c>
      <c r="C38" s="159">
        <v>3.07</v>
      </c>
      <c r="D38" s="159" t="s">
        <v>768</v>
      </c>
      <c r="E38" s="159" t="s">
        <v>757</v>
      </c>
      <c r="F38" s="159" t="s">
        <v>758</v>
      </c>
      <c r="G38" s="159" t="s">
        <v>759</v>
      </c>
    </row>
    <row r="39" spans="2:7" ht="15.75" thickBot="1">
      <c r="B39" s="171" t="s">
        <v>809</v>
      </c>
      <c r="C39" s="166">
        <v>5</v>
      </c>
      <c r="D39" s="166" t="s">
        <v>787</v>
      </c>
      <c r="E39" s="166" t="s">
        <v>788</v>
      </c>
      <c r="F39" s="169" t="s">
        <v>796</v>
      </c>
      <c r="G39" s="166" t="s">
        <v>810</v>
      </c>
    </row>
    <row r="40" spans="2:7" ht="15.75" thickBot="1">
      <c r="B40" s="167" t="s">
        <v>811</v>
      </c>
      <c r="C40" s="159">
        <v>1.1000000000000001</v>
      </c>
      <c r="D40" s="159" t="s">
        <v>787</v>
      </c>
      <c r="E40" s="159" t="s">
        <v>788</v>
      </c>
      <c r="F40" s="168" t="s">
        <v>796</v>
      </c>
      <c r="G40" s="159" t="s">
        <v>789</v>
      </c>
    </row>
    <row r="41" spans="2:7" ht="26.25" thickBot="1">
      <c r="B41" s="161" t="s">
        <v>812</v>
      </c>
      <c r="C41" s="159">
        <v>2.0499999999999998</v>
      </c>
      <c r="D41" s="159" t="s">
        <v>756</v>
      </c>
      <c r="E41" s="159" t="s">
        <v>813</v>
      </c>
      <c r="F41" s="160" t="s">
        <v>744</v>
      </c>
      <c r="G41" s="160" t="s">
        <v>744</v>
      </c>
    </row>
    <row r="42" spans="2:7" ht="15.75" thickBot="1">
      <c r="B42" s="161" t="s">
        <v>814</v>
      </c>
      <c r="C42" s="159">
        <v>1.1000000000000001</v>
      </c>
      <c r="D42" s="159" t="s">
        <v>775</v>
      </c>
      <c r="E42" s="159" t="s">
        <v>815</v>
      </c>
      <c r="F42" s="168" t="s">
        <v>796</v>
      </c>
      <c r="G42" s="159" t="s">
        <v>779</v>
      </c>
    </row>
    <row r="43" spans="2:7" ht="26.25" thickBot="1">
      <c r="B43" s="167" t="s">
        <v>816</v>
      </c>
      <c r="C43" s="159">
        <v>3.1</v>
      </c>
      <c r="D43" s="159" t="s">
        <v>768</v>
      </c>
      <c r="E43" s="159" t="s">
        <v>776</v>
      </c>
      <c r="F43" s="159" t="s">
        <v>758</v>
      </c>
      <c r="G43" s="159" t="s">
        <v>800</v>
      </c>
    </row>
    <row r="44" spans="2:7" ht="15.75" thickBot="1">
      <c r="B44" s="158" t="s">
        <v>817</v>
      </c>
      <c r="C44" s="159">
        <v>2.1</v>
      </c>
      <c r="D44" s="159" t="s">
        <v>818</v>
      </c>
      <c r="E44" s="159" t="s">
        <v>819</v>
      </c>
      <c r="F44" s="159" t="s">
        <v>820</v>
      </c>
      <c r="G44" s="159" t="s">
        <v>821</v>
      </c>
    </row>
    <row r="45" spans="2:7" ht="15.75" thickBot="1">
      <c r="B45" s="167" t="s">
        <v>822</v>
      </c>
      <c r="C45" s="159">
        <v>4.5999999999999996</v>
      </c>
      <c r="D45" s="159" t="s">
        <v>781</v>
      </c>
      <c r="E45" s="159" t="s">
        <v>782</v>
      </c>
      <c r="F45" s="159" t="s">
        <v>769</v>
      </c>
      <c r="G45" s="159" t="s">
        <v>810</v>
      </c>
    </row>
    <row r="46" spans="2:7" ht="15.75" thickBot="1">
      <c r="B46" s="167" t="s">
        <v>823</v>
      </c>
      <c r="C46" s="159">
        <v>1</v>
      </c>
      <c r="D46" s="159" t="s">
        <v>824</v>
      </c>
      <c r="E46" s="172" t="s">
        <v>829</v>
      </c>
      <c r="F46" s="159" t="s">
        <v>493</v>
      </c>
      <c r="G46" s="172" t="s">
        <v>830</v>
      </c>
    </row>
    <row r="47" spans="2:7" ht="15.75" thickBot="1">
      <c r="B47" s="161" t="s">
        <v>825</v>
      </c>
      <c r="C47" s="159">
        <v>5.2</v>
      </c>
      <c r="D47" s="159" t="s">
        <v>768</v>
      </c>
      <c r="E47" s="159" t="s">
        <v>826</v>
      </c>
      <c r="F47" s="159" t="s">
        <v>827</v>
      </c>
      <c r="G47" s="159" t="s">
        <v>759</v>
      </c>
    </row>
    <row r="48" spans="2:7" ht="15.75" thickBot="1">
      <c r="B48" s="158" t="s">
        <v>828</v>
      </c>
      <c r="C48" s="159">
        <v>1.1000000000000001</v>
      </c>
      <c r="D48" s="159" t="s">
        <v>775</v>
      </c>
      <c r="E48" s="159" t="s">
        <v>815</v>
      </c>
      <c r="F48" s="159" t="s">
        <v>769</v>
      </c>
      <c r="G48" s="159" t="s">
        <v>779</v>
      </c>
    </row>
  </sheetData>
  <mergeCells count="11">
    <mergeCell ref="B10:B11"/>
    <mergeCell ref="C10:C11"/>
    <mergeCell ref="D10:D11"/>
    <mergeCell ref="F10:F11"/>
    <mergeCell ref="G10:G11"/>
    <mergeCell ref="G5:G6"/>
    <mergeCell ref="B3:B4"/>
    <mergeCell ref="B5:B6"/>
    <mergeCell ref="C5:C6"/>
    <mergeCell ref="D5:D6"/>
    <mergeCell ref="F5:F6"/>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14"/>
  <dimension ref="A2:K60"/>
  <sheetViews>
    <sheetView zoomScale="85" zoomScaleNormal="85" workbookViewId="0">
      <selection activeCell="H49" sqref="H49"/>
    </sheetView>
  </sheetViews>
  <sheetFormatPr defaultRowHeight="15"/>
  <cols>
    <col min="2" max="2" width="35.85546875" customWidth="1"/>
    <col min="3" max="3" width="47.85546875" customWidth="1"/>
    <col min="4" max="4" width="10.42578125" customWidth="1"/>
    <col min="5" max="6" width="28.5703125" customWidth="1"/>
    <col min="7" max="7" width="21.7109375" customWidth="1"/>
    <col min="8" max="8" width="13.28515625" customWidth="1"/>
    <col min="9" max="10" width="14" customWidth="1"/>
    <col min="11" max="11" width="22.85546875" customWidth="1"/>
  </cols>
  <sheetData>
    <row r="2" spans="1:11" ht="15.75" thickBot="1"/>
    <row r="3" spans="1:11">
      <c r="A3" s="178" t="s">
        <v>642</v>
      </c>
      <c r="B3" s="178" t="s">
        <v>729</v>
      </c>
      <c r="C3" s="178" t="s">
        <v>845</v>
      </c>
      <c r="D3" s="178" t="s">
        <v>844</v>
      </c>
      <c r="E3" s="178" t="s">
        <v>846</v>
      </c>
      <c r="F3" s="178" t="s">
        <v>847</v>
      </c>
      <c r="G3" s="178" t="s">
        <v>843</v>
      </c>
      <c r="H3" s="178" t="s">
        <v>655</v>
      </c>
      <c r="I3" s="178" t="s">
        <v>849</v>
      </c>
      <c r="J3" s="178" t="s">
        <v>642</v>
      </c>
      <c r="K3" s="178" t="s">
        <v>850</v>
      </c>
    </row>
    <row r="4" spans="1:11" ht="15.75" thickBot="1">
      <c r="A4" s="179"/>
      <c r="B4" s="181"/>
      <c r="C4" s="179" t="s">
        <v>854</v>
      </c>
      <c r="D4" s="179" t="s">
        <v>731</v>
      </c>
      <c r="E4" s="179" t="s">
        <v>733</v>
      </c>
      <c r="F4" s="179" t="s">
        <v>842</v>
      </c>
      <c r="G4" s="179" t="s">
        <v>852</v>
      </c>
      <c r="H4" s="179" t="s">
        <v>848</v>
      </c>
      <c r="I4" s="179" t="s">
        <v>656</v>
      </c>
      <c r="J4" s="179" t="s">
        <v>864</v>
      </c>
      <c r="K4" s="179" t="s">
        <v>851</v>
      </c>
    </row>
    <row r="5" spans="1:11" ht="15.75" thickBot="1">
      <c r="A5" s="177">
        <v>1</v>
      </c>
      <c r="B5" s="180" t="s">
        <v>739</v>
      </c>
      <c r="C5" s="180"/>
      <c r="D5" s="177">
        <v>1.1000000000000001</v>
      </c>
      <c r="E5" s="177" t="s">
        <v>740</v>
      </c>
      <c r="F5" s="183" t="s">
        <v>840</v>
      </c>
      <c r="G5" s="185" t="s">
        <v>865</v>
      </c>
      <c r="H5" s="184"/>
      <c r="I5" s="177"/>
      <c r="J5" s="177"/>
      <c r="K5" s="177"/>
    </row>
    <row r="6" spans="1:11" ht="15.75" thickBot="1">
      <c r="A6" s="159">
        <v>2</v>
      </c>
      <c r="B6" s="174" t="s">
        <v>745</v>
      </c>
      <c r="C6" s="174"/>
      <c r="D6" s="159">
        <v>5</v>
      </c>
      <c r="E6" s="159" t="s">
        <v>746</v>
      </c>
      <c r="F6" s="159" t="s">
        <v>747</v>
      </c>
      <c r="G6" s="185" t="s">
        <v>865</v>
      </c>
      <c r="H6" s="159"/>
      <c r="I6" s="159"/>
      <c r="J6" s="159"/>
      <c r="K6" s="159"/>
    </row>
    <row r="7" spans="1:11" ht="15.75" thickBot="1">
      <c r="A7" s="159">
        <v>3</v>
      </c>
      <c r="B7" s="174" t="s">
        <v>749</v>
      </c>
      <c r="C7" s="174"/>
      <c r="D7" s="159">
        <v>7.03</v>
      </c>
      <c r="E7" s="159" t="s">
        <v>750</v>
      </c>
      <c r="F7" s="159" t="s">
        <v>751</v>
      </c>
      <c r="G7" s="185" t="s">
        <v>865</v>
      </c>
      <c r="H7" s="159"/>
      <c r="I7" s="159"/>
      <c r="J7" s="159"/>
      <c r="K7" s="159"/>
    </row>
    <row r="8" spans="1:11" ht="15.75" thickBot="1">
      <c r="A8" s="159">
        <v>4</v>
      </c>
      <c r="B8" s="174" t="s">
        <v>752</v>
      </c>
      <c r="C8" s="176" t="s">
        <v>855</v>
      </c>
      <c r="D8" s="159">
        <v>1.0900000000000001</v>
      </c>
      <c r="E8" s="159" t="s">
        <v>750</v>
      </c>
      <c r="F8" s="159" t="s">
        <v>753</v>
      </c>
      <c r="G8" s="185">
        <v>1.23</v>
      </c>
      <c r="H8" s="159" t="s">
        <v>853</v>
      </c>
      <c r="I8" s="159" t="s">
        <v>853</v>
      </c>
      <c r="J8" s="159" t="s">
        <v>853</v>
      </c>
      <c r="K8" s="159" t="s">
        <v>853</v>
      </c>
    </row>
    <row r="9" spans="1:11" ht="15.75" thickBot="1">
      <c r="A9" s="173">
        <v>5</v>
      </c>
      <c r="B9" s="174" t="s">
        <v>754</v>
      </c>
      <c r="C9" s="174"/>
      <c r="D9" s="173">
        <v>4</v>
      </c>
      <c r="E9" s="173" t="s">
        <v>740</v>
      </c>
      <c r="F9" s="173" t="s">
        <v>841</v>
      </c>
      <c r="G9" s="185" t="s">
        <v>865</v>
      </c>
      <c r="H9" s="159"/>
      <c r="I9" s="159"/>
      <c r="J9" s="159"/>
      <c r="K9" s="159"/>
    </row>
    <row r="10" spans="1:11" ht="15.75" thickBot="1">
      <c r="A10" s="159">
        <v>6</v>
      </c>
      <c r="B10" s="174" t="s">
        <v>755</v>
      </c>
      <c r="C10" s="174"/>
      <c r="D10" s="159">
        <v>2.1</v>
      </c>
      <c r="E10" s="159" t="s">
        <v>756</v>
      </c>
      <c r="F10" s="159" t="s">
        <v>757</v>
      </c>
      <c r="G10" s="185" t="s">
        <v>865</v>
      </c>
      <c r="H10" s="159"/>
      <c r="I10" s="159"/>
      <c r="J10" s="159"/>
      <c r="K10" s="159"/>
    </row>
    <row r="11" spans="1:11" ht="15.75" thickBot="1">
      <c r="A11" s="159">
        <v>7</v>
      </c>
      <c r="B11" s="174" t="s">
        <v>760</v>
      </c>
      <c r="C11" s="174"/>
      <c r="D11" s="159">
        <v>1</v>
      </c>
      <c r="E11" s="159" t="s">
        <v>756</v>
      </c>
      <c r="F11" s="159" t="s">
        <v>757</v>
      </c>
      <c r="G11" s="185"/>
      <c r="H11" s="159"/>
      <c r="I11" s="159"/>
      <c r="J11" s="159"/>
      <c r="K11" s="159"/>
    </row>
    <row r="12" spans="1:11" ht="15.75" thickBot="1">
      <c r="A12" s="159">
        <v>8</v>
      </c>
      <c r="B12" s="174" t="s">
        <v>761</v>
      </c>
      <c r="C12" s="174"/>
      <c r="D12" s="159">
        <v>1.5</v>
      </c>
      <c r="E12" s="159" t="s">
        <v>756</v>
      </c>
      <c r="F12" s="159" t="s">
        <v>762</v>
      </c>
      <c r="G12" s="185"/>
      <c r="H12" s="159"/>
      <c r="I12" s="159"/>
      <c r="J12" s="159"/>
      <c r="K12" s="159"/>
    </row>
    <row r="13" spans="1:11" ht="15.75" thickBot="1">
      <c r="A13" s="159">
        <v>9</v>
      </c>
      <c r="B13" s="174" t="s">
        <v>763</v>
      </c>
      <c r="C13" s="176" t="s">
        <v>856</v>
      </c>
      <c r="D13" s="159">
        <v>3</v>
      </c>
      <c r="E13" s="159" t="s">
        <v>756</v>
      </c>
      <c r="F13" s="159" t="s">
        <v>764</v>
      </c>
      <c r="G13" s="185">
        <v>5.04</v>
      </c>
      <c r="H13" s="159" t="s">
        <v>853</v>
      </c>
      <c r="I13" s="159" t="s">
        <v>853</v>
      </c>
      <c r="J13" s="159" t="s">
        <v>853</v>
      </c>
      <c r="K13" s="159" t="s">
        <v>853</v>
      </c>
    </row>
    <row r="14" spans="1:11" ht="15.75" thickBot="1">
      <c r="A14" s="159">
        <v>10</v>
      </c>
      <c r="B14" s="174" t="s">
        <v>765</v>
      </c>
      <c r="C14" s="176" t="s">
        <v>857</v>
      </c>
      <c r="D14" s="159">
        <v>2.2000000000000002</v>
      </c>
      <c r="E14" s="159" t="s">
        <v>756</v>
      </c>
      <c r="F14" s="159" t="s">
        <v>764</v>
      </c>
      <c r="G14" s="185">
        <v>4.0199999999999996</v>
      </c>
      <c r="H14" s="159" t="s">
        <v>853</v>
      </c>
      <c r="I14" s="159" t="s">
        <v>853</v>
      </c>
      <c r="J14" s="159" t="s">
        <v>853</v>
      </c>
      <c r="K14" s="159" t="s">
        <v>853</v>
      </c>
    </row>
    <row r="15" spans="1:11" ht="15.75" thickBot="1">
      <c r="A15" s="159">
        <v>11</v>
      </c>
      <c r="B15" s="174" t="s">
        <v>766</v>
      </c>
      <c r="C15" s="174"/>
      <c r="D15" s="159">
        <v>1</v>
      </c>
      <c r="E15" s="159" t="s">
        <v>756</v>
      </c>
      <c r="F15" s="159" t="s">
        <v>764</v>
      </c>
      <c r="G15" s="185"/>
      <c r="H15" s="159"/>
      <c r="I15" s="159"/>
      <c r="J15" s="159"/>
      <c r="K15" s="159"/>
    </row>
    <row r="16" spans="1:11" ht="15.75" thickBot="1">
      <c r="A16" s="159">
        <v>12</v>
      </c>
      <c r="B16" s="174" t="s">
        <v>767</v>
      </c>
      <c r="C16" s="174"/>
      <c r="D16" s="159">
        <v>2.2000000000000002</v>
      </c>
      <c r="E16" s="159" t="s">
        <v>768</v>
      </c>
      <c r="F16" s="159" t="s">
        <v>757</v>
      </c>
      <c r="G16" s="185" t="s">
        <v>865</v>
      </c>
      <c r="H16" s="159"/>
      <c r="I16" s="159"/>
      <c r="J16" s="159"/>
      <c r="K16" s="159"/>
    </row>
    <row r="17" spans="1:11" ht="15.75" thickBot="1">
      <c r="A17" s="159">
        <v>13</v>
      </c>
      <c r="B17" s="174" t="s">
        <v>771</v>
      </c>
      <c r="C17" s="174"/>
      <c r="D17" s="159">
        <v>3.2</v>
      </c>
      <c r="E17" s="159" t="s">
        <v>768</v>
      </c>
      <c r="F17" s="159" t="s">
        <v>772</v>
      </c>
      <c r="G17" s="185"/>
      <c r="H17" s="159"/>
      <c r="I17" s="159"/>
      <c r="J17" s="159"/>
      <c r="K17" s="159"/>
    </row>
    <row r="18" spans="1:11" ht="15.75" thickBot="1">
      <c r="A18" s="159">
        <v>14</v>
      </c>
      <c r="B18" s="174" t="s">
        <v>774</v>
      </c>
      <c r="C18" s="174"/>
      <c r="D18" s="159">
        <v>1</v>
      </c>
      <c r="E18" s="159" t="s">
        <v>775</v>
      </c>
      <c r="F18" s="159" t="s">
        <v>776</v>
      </c>
      <c r="G18" s="185"/>
      <c r="H18" s="159"/>
      <c r="I18" s="159"/>
      <c r="J18" s="159"/>
      <c r="K18" s="159"/>
    </row>
    <row r="19" spans="1:11" ht="15.75" thickBot="1">
      <c r="A19" s="159">
        <v>15</v>
      </c>
      <c r="B19" s="174" t="s">
        <v>777</v>
      </c>
      <c r="C19" s="174"/>
      <c r="D19" s="159">
        <v>3.03</v>
      </c>
      <c r="E19" s="159" t="s">
        <v>768</v>
      </c>
      <c r="F19" s="159" t="s">
        <v>776</v>
      </c>
      <c r="G19" s="185"/>
      <c r="H19" s="159"/>
      <c r="I19" s="159"/>
      <c r="J19" s="159"/>
      <c r="K19" s="159"/>
    </row>
    <row r="20" spans="1:11" ht="15.75" thickBot="1">
      <c r="A20" s="159">
        <v>16</v>
      </c>
      <c r="B20" s="174" t="s">
        <v>780</v>
      </c>
      <c r="C20" s="174"/>
      <c r="D20" s="159">
        <v>1</v>
      </c>
      <c r="E20" s="159" t="s">
        <v>781</v>
      </c>
      <c r="F20" s="159" t="s">
        <v>782</v>
      </c>
      <c r="G20" s="185"/>
      <c r="H20" s="159"/>
      <c r="I20" s="159"/>
      <c r="J20" s="159"/>
      <c r="K20" s="159"/>
    </row>
    <row r="21" spans="1:11" ht="15.75" thickBot="1">
      <c r="A21" s="159">
        <v>17</v>
      </c>
      <c r="B21" s="174" t="s">
        <v>783</v>
      </c>
      <c r="C21" s="174"/>
      <c r="D21" s="159">
        <v>6.1</v>
      </c>
      <c r="E21" s="159" t="s">
        <v>768</v>
      </c>
      <c r="F21" s="159" t="s">
        <v>757</v>
      </c>
      <c r="G21" s="185"/>
      <c r="H21" s="159"/>
      <c r="I21" s="159"/>
      <c r="J21" s="159"/>
      <c r="K21" s="159"/>
    </row>
    <row r="22" spans="1:11" ht="15.75" thickBot="1">
      <c r="A22" s="159">
        <v>18</v>
      </c>
      <c r="B22" s="174" t="s">
        <v>784</v>
      </c>
      <c r="C22" s="174"/>
      <c r="D22" s="159">
        <v>1.04</v>
      </c>
      <c r="E22" s="159" t="s">
        <v>775</v>
      </c>
      <c r="F22" s="159" t="s">
        <v>785</v>
      </c>
      <c r="G22" s="185"/>
      <c r="H22" s="159"/>
      <c r="I22" s="159"/>
      <c r="J22" s="159"/>
      <c r="K22" s="159"/>
    </row>
    <row r="23" spans="1:11" ht="15.75" thickBot="1">
      <c r="A23" s="159">
        <v>19</v>
      </c>
      <c r="B23" s="174" t="s">
        <v>786</v>
      </c>
      <c r="C23" s="174"/>
      <c r="D23" s="159">
        <v>3.01</v>
      </c>
      <c r="E23" s="159" t="s">
        <v>787</v>
      </c>
      <c r="F23" s="159" t="s">
        <v>788</v>
      </c>
      <c r="G23" s="185"/>
      <c r="H23" s="159"/>
      <c r="I23" s="159"/>
      <c r="J23" s="159"/>
      <c r="K23" s="159"/>
    </row>
    <row r="24" spans="1:11" ht="15.75" thickBot="1">
      <c r="A24" s="159">
        <v>20</v>
      </c>
      <c r="B24" s="174" t="s">
        <v>790</v>
      </c>
      <c r="C24" s="174"/>
      <c r="D24" s="159">
        <v>1.07</v>
      </c>
      <c r="E24" s="159" t="s">
        <v>787</v>
      </c>
      <c r="F24" s="159" t="s">
        <v>788</v>
      </c>
      <c r="G24" s="185"/>
      <c r="H24" s="159"/>
      <c r="I24" s="159"/>
      <c r="J24" s="159"/>
      <c r="K24" s="159"/>
    </row>
    <row r="25" spans="1:11" ht="15.75" thickBot="1">
      <c r="A25" s="159">
        <v>21</v>
      </c>
      <c r="B25" s="174" t="s">
        <v>792</v>
      </c>
      <c r="C25" s="174"/>
      <c r="D25" s="159">
        <v>1.2</v>
      </c>
      <c r="E25" s="159" t="s">
        <v>787</v>
      </c>
      <c r="F25" s="159" t="s">
        <v>772</v>
      </c>
      <c r="G25" s="185"/>
      <c r="H25" s="159"/>
      <c r="I25" s="159"/>
      <c r="J25" s="159"/>
      <c r="K25" s="159"/>
    </row>
    <row r="26" spans="1:11" ht="15.75" thickBot="1">
      <c r="A26" s="159">
        <v>22</v>
      </c>
      <c r="B26" s="174" t="s">
        <v>793</v>
      </c>
      <c r="C26" s="174"/>
      <c r="D26" s="159">
        <v>1.04</v>
      </c>
      <c r="E26" s="159" t="s">
        <v>787</v>
      </c>
      <c r="F26" s="159" t="s">
        <v>757</v>
      </c>
      <c r="G26" s="185"/>
      <c r="H26" s="159"/>
      <c r="I26" s="159"/>
      <c r="J26" s="159"/>
      <c r="K26" s="159"/>
    </row>
    <row r="27" spans="1:11" ht="15.75" thickBot="1">
      <c r="A27" s="159">
        <v>23</v>
      </c>
      <c r="B27" s="174" t="s">
        <v>794</v>
      </c>
      <c r="C27" s="174"/>
      <c r="D27" s="159">
        <v>1</v>
      </c>
      <c r="E27" s="159" t="s">
        <v>750</v>
      </c>
      <c r="F27" s="159" t="s">
        <v>764</v>
      </c>
      <c r="G27" s="185"/>
      <c r="H27" s="159"/>
      <c r="I27" s="159"/>
      <c r="J27" s="159"/>
      <c r="K27" s="159"/>
    </row>
    <row r="28" spans="1:11" ht="15.75" thickBot="1">
      <c r="A28" s="159">
        <v>24</v>
      </c>
      <c r="B28" s="174" t="s">
        <v>795</v>
      </c>
      <c r="C28" s="174"/>
      <c r="D28" s="159">
        <v>4</v>
      </c>
      <c r="E28" s="159" t="s">
        <v>750</v>
      </c>
      <c r="F28" s="159" t="s">
        <v>764</v>
      </c>
      <c r="G28" s="185"/>
      <c r="H28" s="159"/>
      <c r="I28" s="159"/>
      <c r="J28" s="159"/>
      <c r="K28" s="159"/>
    </row>
    <row r="29" spans="1:11" ht="15.75" thickBot="1">
      <c r="A29" s="159">
        <v>25</v>
      </c>
      <c r="B29" s="174" t="s">
        <v>797</v>
      </c>
      <c r="C29" s="174"/>
      <c r="D29" s="159">
        <v>3.1</v>
      </c>
      <c r="E29" s="159" t="s">
        <v>768</v>
      </c>
      <c r="F29" s="159" t="s">
        <v>772</v>
      </c>
      <c r="G29" s="185"/>
      <c r="H29" s="159"/>
      <c r="I29" s="159"/>
      <c r="J29" s="159"/>
      <c r="K29" s="159"/>
    </row>
    <row r="30" spans="1:11" ht="15.75" thickBot="1">
      <c r="A30" s="159">
        <v>26</v>
      </c>
      <c r="B30" s="174" t="s">
        <v>798</v>
      </c>
      <c r="C30" s="174"/>
      <c r="D30" s="159">
        <v>1.04</v>
      </c>
      <c r="E30" s="159" t="s">
        <v>799</v>
      </c>
      <c r="F30" s="159" t="s">
        <v>785</v>
      </c>
      <c r="G30" s="185"/>
      <c r="H30" s="159"/>
      <c r="I30" s="159"/>
      <c r="J30" s="159"/>
      <c r="K30" s="159"/>
    </row>
    <row r="31" spans="1:11" ht="15.75" thickBot="1">
      <c r="A31" s="159">
        <v>27</v>
      </c>
      <c r="B31" s="174" t="s">
        <v>801</v>
      </c>
      <c r="C31" s="174"/>
      <c r="D31" s="159">
        <v>1</v>
      </c>
      <c r="E31" s="159" t="s">
        <v>799</v>
      </c>
      <c r="F31" s="159" t="s">
        <v>802</v>
      </c>
      <c r="G31" s="185"/>
      <c r="H31" s="159"/>
      <c r="I31" s="159"/>
      <c r="J31" s="159"/>
      <c r="K31" s="159"/>
    </row>
    <row r="32" spans="1:11" ht="15.75" thickBot="1">
      <c r="A32" s="159">
        <v>28</v>
      </c>
      <c r="B32" s="174" t="s">
        <v>803</v>
      </c>
      <c r="C32" s="174"/>
      <c r="D32" s="159">
        <v>1.04</v>
      </c>
      <c r="E32" s="159" t="s">
        <v>775</v>
      </c>
      <c r="F32" s="159" t="s">
        <v>785</v>
      </c>
      <c r="G32" s="185"/>
      <c r="H32" s="159"/>
      <c r="I32" s="159"/>
      <c r="J32" s="159"/>
      <c r="K32" s="159"/>
    </row>
    <row r="33" spans="1:11" ht="15.75" thickBot="1">
      <c r="A33" s="159">
        <v>29</v>
      </c>
      <c r="B33" s="174" t="s">
        <v>804</v>
      </c>
      <c r="C33" s="174"/>
      <c r="D33" s="159">
        <v>2.2000000000000002</v>
      </c>
      <c r="E33" s="159" t="s">
        <v>787</v>
      </c>
      <c r="F33" s="159" t="s">
        <v>772</v>
      </c>
      <c r="G33" s="185"/>
      <c r="H33" s="159"/>
      <c r="I33" s="159"/>
      <c r="J33" s="159"/>
      <c r="K33" s="159"/>
    </row>
    <row r="34" spans="1:11" ht="15.75" thickBot="1">
      <c r="A34" s="159">
        <v>30</v>
      </c>
      <c r="B34" s="174" t="s">
        <v>805</v>
      </c>
      <c r="C34" s="174"/>
      <c r="D34" s="159">
        <v>1</v>
      </c>
      <c r="E34" s="159" t="s">
        <v>787</v>
      </c>
      <c r="F34" s="159" t="s">
        <v>806</v>
      </c>
      <c r="G34" s="185"/>
      <c r="H34" s="159"/>
      <c r="I34" s="159"/>
      <c r="J34" s="159"/>
      <c r="K34" s="159"/>
    </row>
    <row r="35" spans="1:11" ht="15.75" thickBot="1">
      <c r="A35" s="159">
        <v>31</v>
      </c>
      <c r="B35" s="174" t="s">
        <v>807</v>
      </c>
      <c r="C35" s="174"/>
      <c r="D35" s="159">
        <v>4</v>
      </c>
      <c r="E35" s="159" t="s">
        <v>768</v>
      </c>
      <c r="F35" s="159" t="s">
        <v>788</v>
      </c>
      <c r="G35" s="185"/>
      <c r="H35" s="159"/>
      <c r="I35" s="159"/>
      <c r="J35" s="159"/>
      <c r="K35" s="159"/>
    </row>
    <row r="36" spans="1:11" ht="15.75" thickBot="1">
      <c r="A36" s="159">
        <v>32</v>
      </c>
      <c r="B36" s="174" t="s">
        <v>808</v>
      </c>
      <c r="C36" s="174"/>
      <c r="D36" s="159">
        <v>3.07</v>
      </c>
      <c r="E36" s="159" t="s">
        <v>768</v>
      </c>
      <c r="F36" s="159" t="s">
        <v>757</v>
      </c>
      <c r="G36" s="185"/>
      <c r="H36" s="159"/>
      <c r="I36" s="159"/>
      <c r="J36" s="159"/>
      <c r="K36" s="159"/>
    </row>
    <row r="37" spans="1:11" ht="15.75" thickBot="1">
      <c r="A37" s="159">
        <v>33</v>
      </c>
      <c r="B37" s="174" t="s">
        <v>809</v>
      </c>
      <c r="C37" s="174"/>
      <c r="D37" s="159">
        <v>5</v>
      </c>
      <c r="E37" s="159" t="s">
        <v>787</v>
      </c>
      <c r="F37" s="159" t="s">
        <v>788</v>
      </c>
      <c r="G37" s="185"/>
      <c r="H37" s="159"/>
      <c r="I37" s="159"/>
      <c r="J37" s="159"/>
      <c r="K37" s="159"/>
    </row>
    <row r="38" spans="1:11" ht="15.75" thickBot="1">
      <c r="A38" s="159">
        <v>34</v>
      </c>
      <c r="B38" s="174" t="s">
        <v>811</v>
      </c>
      <c r="C38" s="174"/>
      <c r="D38" s="159">
        <v>1.1000000000000001</v>
      </c>
      <c r="E38" s="159" t="s">
        <v>787</v>
      </c>
      <c r="F38" s="159" t="s">
        <v>788</v>
      </c>
      <c r="G38" s="185"/>
      <c r="H38" s="159"/>
      <c r="I38" s="159"/>
      <c r="J38" s="159"/>
      <c r="K38" s="159"/>
    </row>
    <row r="39" spans="1:11" ht="15.75" thickBot="1">
      <c r="A39" s="159">
        <v>35</v>
      </c>
      <c r="B39" s="174" t="s">
        <v>812</v>
      </c>
      <c r="C39" s="174"/>
      <c r="D39" s="159">
        <v>2.0499999999999998</v>
      </c>
      <c r="E39" s="159" t="s">
        <v>756</v>
      </c>
      <c r="F39" s="159" t="s">
        <v>813</v>
      </c>
      <c r="G39" s="185"/>
      <c r="H39" s="159"/>
      <c r="I39" s="159"/>
      <c r="J39" s="159"/>
      <c r="K39" s="159"/>
    </row>
    <row r="40" spans="1:11" ht="15.75" thickBot="1">
      <c r="A40" s="159">
        <v>36</v>
      </c>
      <c r="B40" s="174" t="s">
        <v>814</v>
      </c>
      <c r="C40" s="174"/>
      <c r="D40" s="159">
        <v>1.1000000000000001</v>
      </c>
      <c r="E40" s="159" t="s">
        <v>775</v>
      </c>
      <c r="F40" s="159" t="s">
        <v>815</v>
      </c>
      <c r="G40" s="185"/>
      <c r="H40" s="159"/>
      <c r="I40" s="159"/>
      <c r="J40" s="159"/>
      <c r="K40" s="159"/>
    </row>
    <row r="41" spans="1:11" ht="15.75" thickBot="1">
      <c r="A41" s="159">
        <v>37</v>
      </c>
      <c r="B41" s="174" t="s">
        <v>816</v>
      </c>
      <c r="C41" s="174"/>
      <c r="D41" s="159">
        <v>3.1</v>
      </c>
      <c r="E41" s="159" t="s">
        <v>768</v>
      </c>
      <c r="F41" s="159" t="s">
        <v>776</v>
      </c>
      <c r="G41" s="185"/>
      <c r="H41" s="159"/>
      <c r="I41" s="159"/>
      <c r="J41" s="159"/>
      <c r="K41" s="159"/>
    </row>
    <row r="42" spans="1:11" ht="15.75" thickBot="1">
      <c r="A42" s="159">
        <v>38</v>
      </c>
      <c r="B42" s="174" t="s">
        <v>817</v>
      </c>
      <c r="C42" s="176" t="s">
        <v>861</v>
      </c>
      <c r="D42" s="159">
        <v>2.1</v>
      </c>
      <c r="E42" s="159" t="s">
        <v>818</v>
      </c>
      <c r="F42" s="159" t="s">
        <v>819</v>
      </c>
      <c r="G42" s="185">
        <v>2.2000000000000002</v>
      </c>
      <c r="H42" s="159" t="s">
        <v>853</v>
      </c>
      <c r="I42" s="159" t="s">
        <v>853</v>
      </c>
      <c r="J42" s="159" t="s">
        <v>853</v>
      </c>
      <c r="K42" s="159" t="s">
        <v>853</v>
      </c>
    </row>
    <row r="43" spans="1:11" ht="15.75" thickBot="1">
      <c r="A43" s="159">
        <v>39</v>
      </c>
      <c r="B43" s="174" t="s">
        <v>822</v>
      </c>
      <c r="C43" s="174"/>
      <c r="D43" s="159">
        <v>4.5999999999999996</v>
      </c>
      <c r="E43" s="159" t="s">
        <v>781</v>
      </c>
      <c r="F43" s="159" t="s">
        <v>782</v>
      </c>
      <c r="G43" s="185"/>
      <c r="H43" s="159"/>
      <c r="I43" s="159"/>
      <c r="J43" s="159"/>
      <c r="K43" s="159"/>
    </row>
    <row r="44" spans="1:11" ht="15.75" thickBot="1">
      <c r="A44" s="159">
        <v>40</v>
      </c>
      <c r="B44" s="174" t="s">
        <v>823</v>
      </c>
      <c r="C44" s="174"/>
      <c r="D44" s="159">
        <v>1</v>
      </c>
      <c r="E44" s="159" t="s">
        <v>824</v>
      </c>
      <c r="F44" s="172" t="s">
        <v>829</v>
      </c>
      <c r="G44" s="185"/>
      <c r="H44" s="172"/>
      <c r="I44" s="172"/>
      <c r="J44" s="172"/>
      <c r="K44" s="172"/>
    </row>
    <row r="45" spans="1:11" ht="15.75" thickBot="1">
      <c r="A45" s="159">
        <v>41</v>
      </c>
      <c r="B45" s="174" t="s">
        <v>825</v>
      </c>
      <c r="C45" s="176" t="s">
        <v>858</v>
      </c>
      <c r="D45" s="159">
        <v>5.2</v>
      </c>
      <c r="E45" s="159" t="s">
        <v>768</v>
      </c>
      <c r="F45" s="159" t="s">
        <v>826</v>
      </c>
      <c r="G45" s="185">
        <v>6.1</v>
      </c>
      <c r="H45" s="159" t="s">
        <v>853</v>
      </c>
      <c r="I45" s="159" t="s">
        <v>853</v>
      </c>
      <c r="J45" s="159" t="s">
        <v>853</v>
      </c>
      <c r="K45" s="159" t="s">
        <v>853</v>
      </c>
    </row>
    <row r="46" spans="1:11" ht="15.75" thickBot="1">
      <c r="A46" s="159">
        <v>42</v>
      </c>
      <c r="B46" s="175" t="s">
        <v>828</v>
      </c>
      <c r="C46" s="175"/>
      <c r="D46" s="159">
        <v>1.1000000000000001</v>
      </c>
      <c r="E46" s="159" t="s">
        <v>775</v>
      </c>
      <c r="F46" s="159" t="s">
        <v>815</v>
      </c>
      <c r="G46" s="185"/>
      <c r="H46" s="159"/>
      <c r="I46" s="159"/>
      <c r="J46" s="159"/>
      <c r="K46" s="159"/>
    </row>
    <row r="48" spans="1:11">
      <c r="B48" s="182" t="s">
        <v>873</v>
      </c>
    </row>
    <row r="49" spans="2:2">
      <c r="B49" s="187" t="s">
        <v>859</v>
      </c>
    </row>
    <row r="50" spans="2:2">
      <c r="B50" s="187" t="s">
        <v>860</v>
      </c>
    </row>
    <row r="51" spans="2:2">
      <c r="B51" s="187" t="s">
        <v>866</v>
      </c>
    </row>
    <row r="52" spans="2:2">
      <c r="B52" s="188" t="s">
        <v>867</v>
      </c>
    </row>
    <row r="53" spans="2:2">
      <c r="B53" s="187" t="s">
        <v>868</v>
      </c>
    </row>
    <row r="54" spans="2:2">
      <c r="B54" s="187" t="s">
        <v>869</v>
      </c>
    </row>
    <row r="55" spans="2:2">
      <c r="B55" s="187" t="s">
        <v>862</v>
      </c>
    </row>
    <row r="56" spans="2:2">
      <c r="B56" s="189" t="s">
        <v>870</v>
      </c>
    </row>
    <row r="57" spans="2:2">
      <c r="B57" s="187" t="s">
        <v>871</v>
      </c>
    </row>
    <row r="58" spans="2:2">
      <c r="B58" s="187" t="s">
        <v>872</v>
      </c>
    </row>
    <row r="59" spans="2:2">
      <c r="B59" s="187" t="s">
        <v>863</v>
      </c>
    </row>
    <row r="60" spans="2:2">
      <c r="B60" s="186"/>
    </row>
  </sheetData>
  <conditionalFormatting sqref="G5:G46">
    <cfRule type="notContainsBlanks" dxfId="1" priority="5">
      <formula>LEN(TRIM(G5))&gt;0</formula>
    </cfRule>
  </conditionalFormatting>
  <conditionalFormatting sqref="G6:G46">
    <cfRule type="cellIs" dxfId="0" priority="3" operator="greaterThan">
      <formula>0</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sheetPr codeName="Sheet10"/>
  <dimension ref="B2:F26"/>
  <sheetViews>
    <sheetView workbookViewId="0">
      <selection activeCell="B2" sqref="B2:F26"/>
    </sheetView>
  </sheetViews>
  <sheetFormatPr defaultRowHeight="15"/>
  <cols>
    <col min="2" max="2" width="17.42578125" bestFit="1" customWidth="1"/>
    <col min="3" max="3" width="28.140625" bestFit="1" customWidth="1"/>
    <col min="4" max="4" width="19" bestFit="1" customWidth="1"/>
    <col min="5" max="5" width="13.140625" customWidth="1"/>
    <col min="6" max="6" width="22.42578125" customWidth="1"/>
  </cols>
  <sheetData>
    <row r="2" spans="2:6" ht="25.5">
      <c r="B2" s="204" t="s">
        <v>647</v>
      </c>
      <c r="C2" s="204" t="s">
        <v>931</v>
      </c>
      <c r="D2" s="108" t="s">
        <v>695</v>
      </c>
      <c r="E2" s="108" t="s">
        <v>648</v>
      </c>
      <c r="F2" s="108" t="s">
        <v>649</v>
      </c>
    </row>
    <row r="3" spans="2:6">
      <c r="B3" s="126" t="s">
        <v>431</v>
      </c>
      <c r="C3" s="126" t="s">
        <v>925</v>
      </c>
      <c r="D3" s="128" t="s">
        <v>650</v>
      </c>
      <c r="E3" s="127" t="s">
        <v>651</v>
      </c>
      <c r="F3" s="127" t="s">
        <v>652</v>
      </c>
    </row>
    <row r="4" spans="2:6">
      <c r="B4" s="126" t="s">
        <v>431</v>
      </c>
      <c r="C4" s="126" t="s">
        <v>925</v>
      </c>
      <c r="D4" s="128" t="s">
        <v>653</v>
      </c>
      <c r="E4" s="127" t="s">
        <v>651</v>
      </c>
      <c r="F4" s="127" t="s">
        <v>652</v>
      </c>
    </row>
    <row r="5" spans="2:6">
      <c r="B5" s="126" t="s">
        <v>431</v>
      </c>
      <c r="C5" s="126" t="s">
        <v>925</v>
      </c>
      <c r="D5" s="128" t="s">
        <v>654</v>
      </c>
      <c r="E5" s="127" t="s">
        <v>651</v>
      </c>
      <c r="F5" s="127" t="s">
        <v>652</v>
      </c>
    </row>
    <row r="6" spans="2:6">
      <c r="B6" s="126" t="s">
        <v>430</v>
      </c>
      <c r="C6" s="126" t="s">
        <v>928</v>
      </c>
      <c r="D6" s="128" t="s">
        <v>650</v>
      </c>
      <c r="E6" s="127" t="s">
        <v>651</v>
      </c>
      <c r="F6" s="127" t="s">
        <v>652</v>
      </c>
    </row>
    <row r="7" spans="2:6">
      <c r="B7" s="126" t="s">
        <v>430</v>
      </c>
      <c r="C7" s="126" t="s">
        <v>928</v>
      </c>
      <c r="D7" s="128" t="s">
        <v>653</v>
      </c>
      <c r="E7" s="127" t="s">
        <v>651</v>
      </c>
      <c r="F7" s="127" t="s">
        <v>652</v>
      </c>
    </row>
    <row r="8" spans="2:6">
      <c r="B8" s="126" t="s">
        <v>430</v>
      </c>
      <c r="C8" s="126" t="s">
        <v>928</v>
      </c>
      <c r="D8" s="128" t="s">
        <v>654</v>
      </c>
      <c r="E8" s="127" t="s">
        <v>651</v>
      </c>
      <c r="F8" s="127" t="s">
        <v>652</v>
      </c>
    </row>
    <row r="9" spans="2:6">
      <c r="B9" s="126" t="s">
        <v>438</v>
      </c>
      <c r="C9" s="126" t="s">
        <v>929</v>
      </c>
      <c r="D9" s="128" t="s">
        <v>650</v>
      </c>
      <c r="E9" s="127" t="s">
        <v>651</v>
      </c>
      <c r="F9" s="127" t="s">
        <v>652</v>
      </c>
    </row>
    <row r="10" spans="2:6">
      <c r="B10" s="126" t="s">
        <v>438</v>
      </c>
      <c r="C10" s="126" t="s">
        <v>929</v>
      </c>
      <c r="D10" s="128" t="s">
        <v>653</v>
      </c>
      <c r="E10" s="127" t="s">
        <v>651</v>
      </c>
      <c r="F10" s="127" t="s">
        <v>652</v>
      </c>
    </row>
    <row r="11" spans="2:6">
      <c r="B11" s="126" t="s">
        <v>438</v>
      </c>
      <c r="C11" s="126" t="s">
        <v>929</v>
      </c>
      <c r="D11" s="128" t="s">
        <v>654</v>
      </c>
      <c r="E11" s="127" t="s">
        <v>651</v>
      </c>
      <c r="F11" s="127" t="s">
        <v>652</v>
      </c>
    </row>
    <row r="12" spans="2:6">
      <c r="B12" s="126" t="s">
        <v>728</v>
      </c>
      <c r="C12" s="126" t="s">
        <v>926</v>
      </c>
      <c r="D12" s="128" t="s">
        <v>650</v>
      </c>
      <c r="E12" s="127" t="s">
        <v>651</v>
      </c>
      <c r="F12" s="127" t="s">
        <v>652</v>
      </c>
    </row>
    <row r="13" spans="2:6">
      <c r="B13" s="126" t="s">
        <v>728</v>
      </c>
      <c r="C13" s="126" t="s">
        <v>926</v>
      </c>
      <c r="D13" s="128" t="s">
        <v>653</v>
      </c>
      <c r="E13" s="127" t="s">
        <v>651</v>
      </c>
      <c r="F13" s="127" t="s">
        <v>652</v>
      </c>
    </row>
    <row r="14" spans="2:6">
      <c r="B14" s="126" t="s">
        <v>728</v>
      </c>
      <c r="C14" s="126" t="s">
        <v>926</v>
      </c>
      <c r="D14" s="128" t="s">
        <v>654</v>
      </c>
      <c r="E14" s="127" t="s">
        <v>651</v>
      </c>
      <c r="F14" s="127" t="s">
        <v>652</v>
      </c>
    </row>
    <row r="15" spans="2:6">
      <c r="B15" s="126" t="s">
        <v>428</v>
      </c>
      <c r="C15" s="126" t="s">
        <v>927</v>
      </c>
      <c r="D15" s="128" t="s">
        <v>650</v>
      </c>
      <c r="E15" s="127" t="s">
        <v>651</v>
      </c>
      <c r="F15" s="127" t="s">
        <v>652</v>
      </c>
    </row>
    <row r="16" spans="2:6">
      <c r="B16" s="126" t="s">
        <v>428</v>
      </c>
      <c r="C16" s="126" t="s">
        <v>927</v>
      </c>
      <c r="D16" s="128" t="s">
        <v>653</v>
      </c>
      <c r="E16" s="127" t="s">
        <v>651</v>
      </c>
      <c r="F16" s="127" t="s">
        <v>652</v>
      </c>
    </row>
    <row r="17" spans="2:6">
      <c r="B17" s="126" t="s">
        <v>428</v>
      </c>
      <c r="C17" s="126" t="s">
        <v>927</v>
      </c>
      <c r="D17" s="128" t="s">
        <v>654</v>
      </c>
      <c r="E17" s="127" t="s">
        <v>651</v>
      </c>
      <c r="F17" s="127" t="s">
        <v>652</v>
      </c>
    </row>
    <row r="18" spans="2:6">
      <c r="B18" s="126" t="s">
        <v>437</v>
      </c>
      <c r="C18" s="126" t="s">
        <v>926</v>
      </c>
      <c r="D18" s="128" t="s">
        <v>650</v>
      </c>
      <c r="E18" s="127" t="s">
        <v>651</v>
      </c>
      <c r="F18" s="127" t="s">
        <v>652</v>
      </c>
    </row>
    <row r="19" spans="2:6">
      <c r="B19" s="126" t="s">
        <v>437</v>
      </c>
      <c r="C19" s="126" t="s">
        <v>926</v>
      </c>
      <c r="D19" s="128" t="s">
        <v>653</v>
      </c>
      <c r="E19" s="127" t="s">
        <v>651</v>
      </c>
      <c r="F19" s="127" t="s">
        <v>652</v>
      </c>
    </row>
    <row r="20" spans="2:6">
      <c r="B20" s="126" t="s">
        <v>437</v>
      </c>
      <c r="C20" s="126" t="s">
        <v>926</v>
      </c>
      <c r="D20" s="128" t="s">
        <v>654</v>
      </c>
      <c r="E20" s="127" t="s">
        <v>651</v>
      </c>
      <c r="F20" s="127" t="s">
        <v>652</v>
      </c>
    </row>
    <row r="21" spans="2:6">
      <c r="B21" s="126" t="s">
        <v>432</v>
      </c>
      <c r="C21" s="126" t="s">
        <v>926</v>
      </c>
      <c r="D21" s="128" t="s">
        <v>650</v>
      </c>
      <c r="E21" s="127" t="s">
        <v>651</v>
      </c>
      <c r="F21" s="127" t="s">
        <v>652</v>
      </c>
    </row>
    <row r="22" spans="2:6">
      <c r="B22" s="126" t="s">
        <v>432</v>
      </c>
      <c r="C22" s="126" t="s">
        <v>926</v>
      </c>
      <c r="D22" s="128" t="s">
        <v>653</v>
      </c>
      <c r="E22" s="127" t="s">
        <v>651</v>
      </c>
      <c r="F22" s="127" t="s">
        <v>652</v>
      </c>
    </row>
    <row r="23" spans="2:6">
      <c r="B23" s="126" t="s">
        <v>432</v>
      </c>
      <c r="C23" s="126" t="s">
        <v>926</v>
      </c>
      <c r="D23" s="128" t="s">
        <v>654</v>
      </c>
      <c r="E23" s="127" t="s">
        <v>651</v>
      </c>
      <c r="F23" s="127" t="s">
        <v>652</v>
      </c>
    </row>
    <row r="24" spans="2:6">
      <c r="B24" s="126" t="s">
        <v>429</v>
      </c>
      <c r="C24" s="126" t="s">
        <v>930</v>
      </c>
      <c r="D24" s="128" t="s">
        <v>650</v>
      </c>
      <c r="E24" s="127" t="s">
        <v>651</v>
      </c>
      <c r="F24" s="127" t="s">
        <v>652</v>
      </c>
    </row>
    <row r="25" spans="2:6">
      <c r="B25" s="126" t="s">
        <v>429</v>
      </c>
      <c r="C25" s="126" t="s">
        <v>930</v>
      </c>
      <c r="D25" s="128" t="s">
        <v>653</v>
      </c>
      <c r="E25" s="127" t="s">
        <v>651</v>
      </c>
      <c r="F25" s="127" t="s">
        <v>652</v>
      </c>
    </row>
    <row r="26" spans="2:6">
      <c r="B26" s="126" t="s">
        <v>429</v>
      </c>
      <c r="C26" s="126" t="s">
        <v>930</v>
      </c>
      <c r="D26" s="128" t="s">
        <v>654</v>
      </c>
      <c r="E26" s="127" t="s">
        <v>651</v>
      </c>
      <c r="F26" s="127" t="s">
        <v>652</v>
      </c>
    </row>
  </sheetData>
  <dataValidations count="3">
    <dataValidation type="list" allowBlank="1" showInputMessage="1" showErrorMessage="1" sqref="E4:E5">
      <formula1>"Complete, In-Complete"</formula1>
    </dataValidation>
    <dataValidation type="list" allowBlank="1" showInputMessage="1" showErrorMessage="1" sqref="E3">
      <formula1>"Complete, Not Started"</formula1>
    </dataValidation>
    <dataValidation type="list" allowBlank="1" showInputMessage="1" showErrorMessage="1" sqref="F3:F5">
      <formula1>"Yes, No"</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RSAI plc</vt:lpstr>
      <vt:lpstr>RSA Re</vt:lpstr>
      <vt:lpstr>MIC</vt:lpstr>
      <vt:lpstr>Codan</vt:lpstr>
      <vt:lpstr>Priv</vt:lpstr>
      <vt:lpstr>Holmia</vt:lpstr>
      <vt:lpstr>Overview</vt:lpstr>
      <vt:lpstr>Completion Matrix</vt:lpstr>
      <vt:lpstr>Dashboard 1</vt:lpstr>
      <vt:lpstr>Dashboard 2</vt:lpstr>
      <vt:lpstr>Dashboard 3</vt:lpstr>
      <vt:lpstr>Sheet1</vt:lpstr>
      <vt:lpstr>Policies</vt:lpstr>
      <vt:lpstr>Policies (2)</vt:lpstr>
      <vt:lpstr>Sheet2</vt:lpstr>
      <vt:lpstr>Codan!Print_Area</vt:lpstr>
      <vt:lpstr>'Completion Matrix'!Print_Area</vt:lpstr>
      <vt:lpstr>Holmia!Print_Area</vt:lpstr>
      <vt:lpstr>MIC!Print_Area</vt:lpstr>
      <vt:lpstr>Priv!Print_Area</vt:lpstr>
      <vt:lpstr>'RSA Re'!Print_Area</vt:lpstr>
      <vt:lpstr>'RSAI plc'!Print_Area</vt:lpstr>
      <vt:lpstr>Codan!Print_Titles</vt:lpstr>
      <vt:lpstr>'Completion Matrix'!Print_Titles</vt:lpstr>
      <vt:lpstr>Holmia!Print_Titles</vt:lpstr>
      <vt:lpstr>MIC!Print_Titles</vt:lpstr>
      <vt:lpstr>Priv!Print_Titles</vt:lpstr>
      <vt:lpstr>'RSA Re'!Print_Titles</vt:lpstr>
      <vt:lpstr>'RSAI plc'!Print_Titles</vt:lpstr>
    </vt:vector>
  </TitlesOfParts>
  <Company>PA Consulting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Kajal Kalan</dc:creator>
  <cp:lastModifiedBy>x_acc_mohan</cp:lastModifiedBy>
  <cp:lastPrinted>2015-08-21T15:30:35Z</cp:lastPrinted>
  <dcterms:created xsi:type="dcterms:W3CDTF">2015-06-25T16:43:55Z</dcterms:created>
  <dcterms:modified xsi:type="dcterms:W3CDTF">2015-10-15T13:49:13Z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A Classification">
    <vt:lpwstr/>
  </property>
</Properties>
</file>