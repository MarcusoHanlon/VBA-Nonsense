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405" windowWidth="15600" windowHeight="11760" tabRatio="871"/>
  </bookViews>
  <sheets>
    <sheet name="Resource Demand - Activity" sheetId="14" r:id="rId1"/>
    <sheet name="Example" sheetId="19" r:id="rId2"/>
    <sheet name="WorkingDays" sheetId="17" r:id="rId3"/>
  </sheets>
  <definedNames>
    <definedName name="_xlnm._FilterDatabase" localSheetId="0" hidden="1">'Resource Demand - Activity'!$A$8:$GE$401</definedName>
    <definedName name="_xlnm._FilterDatabase" localSheetId="2" hidden="1">WorkingDays!$A$1:$J$255</definedName>
    <definedName name="BusinessFunction">#REF!</definedName>
  </definedNames>
  <calcPr calcId="125725"/>
</workbook>
</file>

<file path=xl/calcChain.xml><?xml version="1.0" encoding="utf-8"?>
<calcChain xmlns="http://schemas.openxmlformats.org/spreadsheetml/2006/main">
  <c r="D36" i="19"/>
  <c r="C36"/>
  <c r="D31"/>
  <c r="C31"/>
  <c r="D25"/>
  <c r="C25"/>
  <c r="D20"/>
  <c r="C20" l="1"/>
  <c r="AQ2"/>
  <c r="AR2"/>
  <c r="AS2"/>
  <c r="AT2"/>
  <c r="AU2"/>
  <c r="AV2"/>
  <c r="AW2"/>
  <c r="CY2"/>
  <c r="DE2"/>
  <c r="DF2"/>
  <c r="EE2"/>
  <c r="FD2"/>
  <c r="G33"/>
  <c r="G34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"/>
  <c r="C328" i="14"/>
  <c r="C353"/>
  <c r="C352"/>
  <c r="C351"/>
  <c r="C350"/>
  <c r="C349"/>
  <c r="C359"/>
  <c r="C358"/>
  <c r="C357"/>
  <c r="C356"/>
  <c r="C355"/>
  <c r="C365"/>
  <c r="C364"/>
  <c r="C363"/>
  <c r="C362"/>
  <c r="C361"/>
  <c r="C371"/>
  <c r="C370"/>
  <c r="C369"/>
  <c r="C368"/>
  <c r="C367"/>
  <c r="C377"/>
  <c r="C376"/>
  <c r="C375"/>
  <c r="C374"/>
  <c r="C373"/>
  <c r="C383"/>
  <c r="C382"/>
  <c r="C381"/>
  <c r="C380"/>
  <c r="C379"/>
  <c r="C389"/>
  <c r="C388"/>
  <c r="C387"/>
  <c r="C386"/>
  <c r="C385"/>
  <c r="C395"/>
  <c r="C394"/>
  <c r="C393"/>
  <c r="C392"/>
  <c r="C391"/>
  <c r="C401"/>
  <c r="C400"/>
  <c r="C399"/>
  <c r="C398"/>
  <c r="C397"/>
  <c r="C347"/>
  <c r="C346"/>
  <c r="C345"/>
  <c r="C344"/>
  <c r="C343"/>
  <c r="C341"/>
  <c r="C340"/>
  <c r="C339"/>
  <c r="C338"/>
  <c r="C337"/>
  <c r="C335"/>
  <c r="C334"/>
  <c r="C333"/>
  <c r="C332"/>
  <c r="C331"/>
  <c r="C325"/>
  <c r="C320"/>
  <c r="C321"/>
  <c r="C316"/>
  <c r="C317"/>
  <c r="C327"/>
  <c r="C324"/>
  <c r="C319"/>
  <c r="C315"/>
  <c r="C405"/>
  <c r="FL403"/>
  <c r="FM403"/>
  <c r="FN403"/>
  <c r="FO403"/>
  <c r="FP403"/>
  <c r="FQ403"/>
  <c r="C268"/>
  <c r="C274"/>
  <c r="C280"/>
  <c r="C286"/>
  <c r="C292"/>
  <c r="C298"/>
  <c r="C304"/>
  <c r="C310"/>
  <c r="S403"/>
  <c r="DC390"/>
  <c r="G80" i="19"/>
  <c r="G81"/>
  <c r="G82"/>
  <c r="G83"/>
  <c r="G84"/>
  <c r="G85"/>
  <c r="G86"/>
  <c r="G87"/>
  <c r="G88"/>
  <c r="G89"/>
  <c r="G79"/>
  <c r="G61"/>
  <c r="G62"/>
  <c r="G63"/>
  <c r="G64"/>
  <c r="G65"/>
  <c r="G66"/>
  <c r="G67"/>
  <c r="G68"/>
  <c r="G69"/>
  <c r="G70"/>
  <c r="G71"/>
  <c r="G72"/>
  <c r="G73"/>
  <c r="G74"/>
  <c r="G75"/>
  <c r="G60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38"/>
  <c r="FT16" i="14"/>
  <c r="FT22"/>
  <c r="FT28"/>
  <c r="FT34"/>
  <c r="FT40"/>
  <c r="FT41"/>
  <c r="FT47"/>
  <c r="FT53"/>
  <c r="FT59"/>
  <c r="FT65"/>
  <c r="FT71"/>
  <c r="FT72"/>
  <c r="FT78"/>
  <c r="FT84"/>
  <c r="FT90"/>
  <c r="FT96"/>
  <c r="FT102"/>
  <c r="FT103"/>
  <c r="FT109"/>
  <c r="FT115"/>
  <c r="FT121"/>
  <c r="FT127"/>
  <c r="FT133"/>
  <c r="FT134"/>
  <c r="FT140"/>
  <c r="FT146"/>
  <c r="FT152"/>
  <c r="FT158"/>
  <c r="FT164"/>
  <c r="FT165"/>
  <c r="FT171"/>
  <c r="FT177"/>
  <c r="FT183"/>
  <c r="FT189"/>
  <c r="FT195"/>
  <c r="FT196"/>
  <c r="FT202"/>
  <c r="FT208"/>
  <c r="FT214"/>
  <c r="FT220"/>
  <c r="FT226"/>
  <c r="FT227"/>
  <c r="FT233"/>
  <c r="FT239"/>
  <c r="FT245"/>
  <c r="FT251"/>
  <c r="FT257"/>
  <c r="FT258"/>
  <c r="FT260"/>
  <c r="FT262"/>
  <c r="FT264"/>
  <c r="FT265"/>
  <c r="FT271"/>
  <c r="FT277"/>
  <c r="FT283"/>
  <c r="FT289"/>
  <c r="FT295"/>
  <c r="FT301"/>
  <c r="FT307"/>
  <c r="FT313"/>
  <c r="FT314"/>
  <c r="FT317"/>
  <c r="FT318"/>
  <c r="FT321"/>
  <c r="FT322"/>
  <c r="FT323"/>
  <c r="FT326"/>
  <c r="FT329"/>
  <c r="FT330"/>
  <c r="FT336"/>
  <c r="FT342"/>
  <c r="FT348"/>
  <c r="FT354"/>
  <c r="FT360"/>
  <c r="FT366"/>
  <c r="FT372"/>
  <c r="FT378"/>
  <c r="FT384"/>
  <c r="FT390"/>
  <c r="FT396"/>
  <c r="D401"/>
  <c r="FT401" s="1"/>
  <c r="D400"/>
  <c r="FT400" s="1"/>
  <c r="D399"/>
  <c r="FT399" s="1"/>
  <c r="D398"/>
  <c r="FT398" s="1"/>
  <c r="D397"/>
  <c r="FT397" s="1"/>
  <c r="D395"/>
  <c r="FT395" s="1"/>
  <c r="D394"/>
  <c r="FT394" s="1"/>
  <c r="D393"/>
  <c r="FT393" s="1"/>
  <c r="D392"/>
  <c r="FT392" s="1"/>
  <c r="D391"/>
  <c r="FT391" s="1"/>
  <c r="D389"/>
  <c r="FT389" s="1"/>
  <c r="D388"/>
  <c r="FT388" s="1"/>
  <c r="D387"/>
  <c r="FT387" s="1"/>
  <c r="D386"/>
  <c r="FT386" s="1"/>
  <c r="D385"/>
  <c r="FT385" s="1"/>
  <c r="D383"/>
  <c r="FT383" s="1"/>
  <c r="D382"/>
  <c r="FT382" s="1"/>
  <c r="D381"/>
  <c r="FT381" s="1"/>
  <c r="D380"/>
  <c r="FT380" s="1"/>
  <c r="D379"/>
  <c r="FT379" s="1"/>
  <c r="D377"/>
  <c r="FT377" s="1"/>
  <c r="D376"/>
  <c r="FT376" s="1"/>
  <c r="D375"/>
  <c r="FT375" s="1"/>
  <c r="D374"/>
  <c r="FT374" s="1"/>
  <c r="D373"/>
  <c r="FT373" s="1"/>
  <c r="D371"/>
  <c r="FT371" s="1"/>
  <c r="D370"/>
  <c r="FT370" s="1"/>
  <c r="D369"/>
  <c r="FT369" s="1"/>
  <c r="D368"/>
  <c r="FT368" s="1"/>
  <c r="D367"/>
  <c r="FT367" s="1"/>
  <c r="D365"/>
  <c r="FT365" s="1"/>
  <c r="D364"/>
  <c r="FT364" s="1"/>
  <c r="D363"/>
  <c r="FT363" s="1"/>
  <c r="D362"/>
  <c r="FT362" s="1"/>
  <c r="D361"/>
  <c r="FT361" s="1"/>
  <c r="D359"/>
  <c r="FT359" s="1"/>
  <c r="D357"/>
  <c r="FT357" s="1"/>
  <c r="D358"/>
  <c r="FT358" s="1"/>
  <c r="D356"/>
  <c r="FT356" s="1"/>
  <c r="D355"/>
  <c r="FT355" s="1"/>
  <c r="EA329"/>
  <c r="AL257"/>
  <c r="BW403"/>
  <c r="BA171"/>
  <c r="F403"/>
  <c r="G403"/>
  <c r="H403"/>
  <c r="I403"/>
  <c r="J403"/>
  <c r="K403"/>
  <c r="L403"/>
  <c r="M403"/>
  <c r="N403"/>
  <c r="O403"/>
  <c r="P403"/>
  <c r="Q403"/>
  <c r="R403"/>
  <c r="T403"/>
  <c r="U403"/>
  <c r="V403"/>
  <c r="W403"/>
  <c r="X403"/>
  <c r="Y403"/>
  <c r="Z403"/>
  <c r="AA403"/>
  <c r="AB403"/>
  <c r="AC403"/>
  <c r="AD403"/>
  <c r="AE403"/>
  <c r="AF403"/>
  <c r="AG403"/>
  <c r="AH403"/>
  <c r="AI403"/>
  <c r="AJ403"/>
  <c r="AK403"/>
  <c r="AL403"/>
  <c r="AM403"/>
  <c r="AN403"/>
  <c r="AO403"/>
  <c r="AP403"/>
  <c r="AQ403"/>
  <c r="AR403"/>
  <c r="AS403"/>
  <c r="AT403"/>
  <c r="AU403"/>
  <c r="AV403"/>
  <c r="AW403"/>
  <c r="AX403"/>
  <c r="AY403"/>
  <c r="AZ403"/>
  <c r="BA403"/>
  <c r="BB403"/>
  <c r="BC403"/>
  <c r="BD403"/>
  <c r="BE403"/>
  <c r="BF403"/>
  <c r="BG403"/>
  <c r="BH403"/>
  <c r="BI403"/>
  <c r="BJ403"/>
  <c r="BK403"/>
  <c r="BL403"/>
  <c r="BM403"/>
  <c r="BN403"/>
  <c r="BO403"/>
  <c r="BP403"/>
  <c r="BQ403"/>
  <c r="BR403"/>
  <c r="BS403"/>
  <c r="BT403"/>
  <c r="BU403"/>
  <c r="BV403"/>
  <c r="BX403"/>
  <c r="BY403"/>
  <c r="BZ403"/>
  <c r="CA403"/>
  <c r="CB403"/>
  <c r="CC403"/>
  <c r="CD403"/>
  <c r="CE403"/>
  <c r="CF403"/>
  <c r="CG403"/>
  <c r="CH403"/>
  <c r="CI403"/>
  <c r="CJ403"/>
  <c r="CK403"/>
  <c r="CL403"/>
  <c r="CM403"/>
  <c r="CN403"/>
  <c r="CO403"/>
  <c r="CP403"/>
  <c r="CQ403"/>
  <c r="CR403"/>
  <c r="CS403"/>
  <c r="CT403"/>
  <c r="CU403"/>
  <c r="CV403"/>
  <c r="CW403"/>
  <c r="CX403"/>
  <c r="CY403"/>
  <c r="CZ403"/>
  <c r="DA403"/>
  <c r="DB403"/>
  <c r="DC403"/>
  <c r="DD403"/>
  <c r="DE403"/>
  <c r="DF403"/>
  <c r="DG403"/>
  <c r="DH403"/>
  <c r="DI403"/>
  <c r="DJ403"/>
  <c r="DK403"/>
  <c r="DL403"/>
  <c r="DM403"/>
  <c r="DN403"/>
  <c r="DO403"/>
  <c r="DP403"/>
  <c r="DQ403"/>
  <c r="DR403"/>
  <c r="DS403"/>
  <c r="DT403"/>
  <c r="DU403"/>
  <c r="DV403"/>
  <c r="DW403"/>
  <c r="DX403"/>
  <c r="DY403"/>
  <c r="DZ403"/>
  <c r="EB403"/>
  <c r="EC403"/>
  <c r="ED403"/>
  <c r="EE403"/>
  <c r="EF403"/>
  <c r="EG403"/>
  <c r="EH403"/>
  <c r="EI403"/>
  <c r="EJ403"/>
  <c r="EK403"/>
  <c r="EL403"/>
  <c r="EM403"/>
  <c r="EN403"/>
  <c r="EO403"/>
  <c r="EP403"/>
  <c r="EQ403"/>
  <c r="ER403"/>
  <c r="ES403"/>
  <c r="ET403"/>
  <c r="EU403"/>
  <c r="EV403"/>
  <c r="EW403"/>
  <c r="EX403"/>
  <c r="EY403"/>
  <c r="EZ403"/>
  <c r="FA403"/>
  <c r="FB403"/>
  <c r="FC403"/>
  <c r="FD403"/>
  <c r="FE403"/>
  <c r="FF403"/>
  <c r="FG403"/>
  <c r="FH403"/>
  <c r="FI403"/>
  <c r="FJ403"/>
  <c r="FK403"/>
  <c r="E403"/>
  <c r="F264"/>
  <c r="G264"/>
  <c r="H264"/>
  <c r="I264"/>
  <c r="J264"/>
  <c r="K264"/>
  <c r="L264"/>
  <c r="M264"/>
  <c r="N264"/>
  <c r="O264"/>
  <c r="P264"/>
  <c r="Q264"/>
  <c r="R264"/>
  <c r="S264"/>
  <c r="T264"/>
  <c r="U264"/>
  <c r="V264"/>
  <c r="W264"/>
  <c r="X264"/>
  <c r="Y264"/>
  <c r="Z264"/>
  <c r="AA264"/>
  <c r="AB264"/>
  <c r="AC264"/>
  <c r="AD264"/>
  <c r="AE264"/>
  <c r="AF264"/>
  <c r="AG264"/>
  <c r="AH264"/>
  <c r="AI264"/>
  <c r="AJ264"/>
  <c r="AK264"/>
  <c r="AL264"/>
  <c r="AM264"/>
  <c r="AN264"/>
  <c r="AO264"/>
  <c r="AP264"/>
  <c r="AQ264"/>
  <c r="AR264"/>
  <c r="AS264"/>
  <c r="AT264"/>
  <c r="AU264"/>
  <c r="AV264"/>
  <c r="AW264"/>
  <c r="AX264"/>
  <c r="AY264"/>
  <c r="AZ264"/>
  <c r="BA264"/>
  <c r="BB264"/>
  <c r="BC264"/>
  <c r="BD264"/>
  <c r="BE264"/>
  <c r="BF264"/>
  <c r="BG264"/>
  <c r="BH264"/>
  <c r="BI264"/>
  <c r="BJ264"/>
  <c r="BK264"/>
  <c r="BL264"/>
  <c r="BM264"/>
  <c r="BN264"/>
  <c r="BO264"/>
  <c r="BP264"/>
  <c r="BQ264"/>
  <c r="BR264"/>
  <c r="BS264"/>
  <c r="BT264"/>
  <c r="BU264"/>
  <c r="BV264"/>
  <c r="BW264"/>
  <c r="BX264"/>
  <c r="BY264"/>
  <c r="BZ264"/>
  <c r="CA264"/>
  <c r="CB264"/>
  <c r="CC264"/>
  <c r="CD264"/>
  <c r="CE264"/>
  <c r="CF264"/>
  <c r="CG264"/>
  <c r="CH264"/>
  <c r="CI264"/>
  <c r="CJ264"/>
  <c r="CK264"/>
  <c r="CL264"/>
  <c r="CM264"/>
  <c r="CN264"/>
  <c r="CO264"/>
  <c r="CP264"/>
  <c r="CQ264"/>
  <c r="CR264"/>
  <c r="CS264"/>
  <c r="CT264"/>
  <c r="CU264"/>
  <c r="CV264"/>
  <c r="CW264"/>
  <c r="CX264"/>
  <c r="CY264"/>
  <c r="CZ264"/>
  <c r="DA264"/>
  <c r="DB264"/>
  <c r="DC264"/>
  <c r="DD264"/>
  <c r="DE264"/>
  <c r="DF264"/>
  <c r="DG264"/>
  <c r="DH264"/>
  <c r="DI264"/>
  <c r="DJ264"/>
  <c r="DK264"/>
  <c r="DL264"/>
  <c r="DM264"/>
  <c r="DN264"/>
  <c r="DO264"/>
  <c r="DP264"/>
  <c r="DQ264"/>
  <c r="DR264"/>
  <c r="DS264"/>
  <c r="DT264"/>
  <c r="DU264"/>
  <c r="DV264"/>
  <c r="DW264"/>
  <c r="DX264"/>
  <c r="DY264"/>
  <c r="DZ264"/>
  <c r="EA264"/>
  <c r="EB264"/>
  <c r="EC264"/>
  <c r="ED264"/>
  <c r="EE264"/>
  <c r="EF264"/>
  <c r="EG264"/>
  <c r="EH264"/>
  <c r="EI264"/>
  <c r="EJ264"/>
  <c r="EK264"/>
  <c r="EL264"/>
  <c r="EM264"/>
  <c r="EN264"/>
  <c r="EO264"/>
  <c r="EP264"/>
  <c r="EQ264"/>
  <c r="ER264"/>
  <c r="ES264"/>
  <c r="ET264"/>
  <c r="EU264"/>
  <c r="EV264"/>
  <c r="EW264"/>
  <c r="EX264"/>
  <c r="EY264"/>
  <c r="EZ264"/>
  <c r="FA264"/>
  <c r="FB264"/>
  <c r="FC264"/>
  <c r="FD264"/>
  <c r="FE264"/>
  <c r="FF264"/>
  <c r="FG264"/>
  <c r="FH264"/>
  <c r="FI264"/>
  <c r="FJ264"/>
  <c r="FK264"/>
  <c r="FL264"/>
  <c r="FM264"/>
  <c r="FN264"/>
  <c r="FO264"/>
  <c r="FP264"/>
  <c r="FQ264"/>
  <c r="E264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DA307"/>
  <c r="CZ307"/>
  <c r="CY307"/>
  <c r="CX307"/>
  <c r="CW307"/>
  <c r="CV307"/>
  <c r="CU307"/>
  <c r="CT307"/>
  <c r="CS307"/>
  <c r="CR307"/>
  <c r="CQ307"/>
  <c r="CP307"/>
  <c r="CO307"/>
  <c r="CN307"/>
  <c r="CM307"/>
  <c r="CL307"/>
  <c r="CK307"/>
  <c r="CJ307"/>
  <c r="CI307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DA301"/>
  <c r="CZ301"/>
  <c r="CY301"/>
  <c r="CX301"/>
  <c r="CW301"/>
  <c r="CV301"/>
  <c r="CU301"/>
  <c r="CT301"/>
  <c r="CS301"/>
  <c r="CR301"/>
  <c r="CQ301"/>
  <c r="CP301"/>
  <c r="CO301"/>
  <c r="CN301"/>
  <c r="CM301"/>
  <c r="CL301"/>
  <c r="CK301"/>
  <c r="CJ301"/>
  <c r="CI301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DA295"/>
  <c r="CZ295"/>
  <c r="CY295"/>
  <c r="CX295"/>
  <c r="CW295"/>
  <c r="CV295"/>
  <c r="CU295"/>
  <c r="CT295"/>
  <c r="CS295"/>
  <c r="CR295"/>
  <c r="CQ295"/>
  <c r="CP295"/>
  <c r="CO295"/>
  <c r="CN295"/>
  <c r="CM295"/>
  <c r="CL295"/>
  <c r="CK295"/>
  <c r="CJ295"/>
  <c r="CI295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DA289"/>
  <c r="CZ289"/>
  <c r="CY289"/>
  <c r="CX289"/>
  <c r="CW289"/>
  <c r="CV289"/>
  <c r="CU289"/>
  <c r="CT289"/>
  <c r="CS289"/>
  <c r="CR289"/>
  <c r="CQ289"/>
  <c r="CP289"/>
  <c r="CO289"/>
  <c r="CN289"/>
  <c r="CM289"/>
  <c r="CL289"/>
  <c r="CK289"/>
  <c r="CJ289"/>
  <c r="CI289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DA283"/>
  <c r="CZ283"/>
  <c r="CY283"/>
  <c r="CX283"/>
  <c r="CW283"/>
  <c r="CV283"/>
  <c r="CU283"/>
  <c r="CT283"/>
  <c r="CS283"/>
  <c r="CR283"/>
  <c r="CQ283"/>
  <c r="CP283"/>
  <c r="CO283"/>
  <c r="CN283"/>
  <c r="CM283"/>
  <c r="CL283"/>
  <c r="CK283"/>
  <c r="CJ283"/>
  <c r="CI283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DA277"/>
  <c r="CZ277"/>
  <c r="CY277"/>
  <c r="CX277"/>
  <c r="CW277"/>
  <c r="CV277"/>
  <c r="CU277"/>
  <c r="CT277"/>
  <c r="CS277"/>
  <c r="CR277"/>
  <c r="CQ277"/>
  <c r="CP277"/>
  <c r="CO277"/>
  <c r="CN277"/>
  <c r="CM277"/>
  <c r="CL277"/>
  <c r="CK277"/>
  <c r="CJ277"/>
  <c r="CI277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DA271"/>
  <c r="CZ271"/>
  <c r="CY271"/>
  <c r="CX271"/>
  <c r="CW271"/>
  <c r="CV271"/>
  <c r="CU271"/>
  <c r="CT271"/>
  <c r="CS271"/>
  <c r="CR271"/>
  <c r="CQ271"/>
  <c r="CP271"/>
  <c r="CO271"/>
  <c r="CN271"/>
  <c r="CM271"/>
  <c r="CL271"/>
  <c r="CK271"/>
  <c r="CJ271"/>
  <c r="CI271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F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DA265"/>
  <c r="CZ265"/>
  <c r="CY265"/>
  <c r="CX265"/>
  <c r="CW265"/>
  <c r="CV265"/>
  <c r="CU265"/>
  <c r="CT265"/>
  <c r="CS265"/>
  <c r="CR265"/>
  <c r="CQ265"/>
  <c r="CP265"/>
  <c r="CO265"/>
  <c r="CN265"/>
  <c r="CM265"/>
  <c r="CL265"/>
  <c r="CK265"/>
  <c r="CJ265"/>
  <c r="CI265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E265"/>
  <c r="D312"/>
  <c r="FT312" s="1"/>
  <c r="D311"/>
  <c r="FT311" s="1"/>
  <c r="D310"/>
  <c r="FT310" s="1"/>
  <c r="D309"/>
  <c r="FT309" s="1"/>
  <c r="D308"/>
  <c r="FT308" s="1"/>
  <c r="D306"/>
  <c r="FT306" s="1"/>
  <c r="D305"/>
  <c r="FT305" s="1"/>
  <c r="D304"/>
  <c r="FT304" s="1"/>
  <c r="D303"/>
  <c r="FT303" s="1"/>
  <c r="D302"/>
  <c r="FT302" s="1"/>
  <c r="C312"/>
  <c r="C311"/>
  <c r="C309"/>
  <c r="C308"/>
  <c r="C306"/>
  <c r="C305"/>
  <c r="C303"/>
  <c r="C302"/>
  <c r="C300"/>
  <c r="C299"/>
  <c r="C297"/>
  <c r="C296"/>
  <c r="C294"/>
  <c r="C293"/>
  <c r="C291"/>
  <c r="C290"/>
  <c r="C288"/>
  <c r="C287"/>
  <c r="C285"/>
  <c r="C284"/>
  <c r="C282"/>
  <c r="C281"/>
  <c r="C279"/>
  <c r="C278"/>
  <c r="C276"/>
  <c r="C275"/>
  <c r="C273"/>
  <c r="C272"/>
  <c r="C270"/>
  <c r="C269"/>
  <c r="C267"/>
  <c r="C266"/>
  <c r="D300"/>
  <c r="FT300" s="1"/>
  <c r="D299"/>
  <c r="FT299" s="1"/>
  <c r="D298"/>
  <c r="FT298" s="1"/>
  <c r="D297"/>
  <c r="FT297" s="1"/>
  <c r="D296"/>
  <c r="FT296" s="1"/>
  <c r="D294"/>
  <c r="FT294" s="1"/>
  <c r="D293"/>
  <c r="FT293" s="1"/>
  <c r="D292"/>
  <c r="FT292" s="1"/>
  <c r="D291"/>
  <c r="FT291" s="1"/>
  <c r="D290"/>
  <c r="FT290" s="1"/>
  <c r="D288"/>
  <c r="FT288" s="1"/>
  <c r="D287"/>
  <c r="FT287" s="1"/>
  <c r="D286"/>
  <c r="FT286" s="1"/>
  <c r="D285"/>
  <c r="FT285" s="1"/>
  <c r="D284"/>
  <c r="FT284" s="1"/>
  <c r="D282"/>
  <c r="FT282" s="1"/>
  <c r="D281"/>
  <c r="FT281" s="1"/>
  <c r="D280"/>
  <c r="FT280" s="1"/>
  <c r="D279"/>
  <c r="FT279" s="1"/>
  <c r="D278"/>
  <c r="FT278" s="1"/>
  <c r="D272"/>
  <c r="FT272" s="1"/>
  <c r="D276"/>
  <c r="FT276" s="1"/>
  <c r="D275"/>
  <c r="FT275" s="1"/>
  <c r="D274"/>
  <c r="FT274" s="1"/>
  <c r="D273"/>
  <c r="FT273" s="1"/>
  <c r="D270"/>
  <c r="FT270" s="1"/>
  <c r="D269"/>
  <c r="FT269" s="1"/>
  <c r="D268"/>
  <c r="FT268" s="1"/>
  <c r="D267"/>
  <c r="FT267" s="1"/>
  <c r="D266"/>
  <c r="FT266" s="1"/>
  <c r="E258"/>
  <c r="F262"/>
  <c r="G262"/>
  <c r="H262"/>
  <c r="I262"/>
  <c r="J262"/>
  <c r="K262"/>
  <c r="L262"/>
  <c r="M262"/>
  <c r="N262"/>
  <c r="O262"/>
  <c r="P262"/>
  <c r="Q262"/>
  <c r="R262"/>
  <c r="S262"/>
  <c r="T262"/>
  <c r="U262"/>
  <c r="V262"/>
  <c r="W262"/>
  <c r="X262"/>
  <c r="Y262"/>
  <c r="Z262"/>
  <c r="AA262"/>
  <c r="AB262"/>
  <c r="AC262"/>
  <c r="AD262"/>
  <c r="AE262"/>
  <c r="AF262"/>
  <c r="AG262"/>
  <c r="AH262"/>
  <c r="AI262"/>
  <c r="AJ262"/>
  <c r="AK262"/>
  <c r="AL262"/>
  <c r="AM262"/>
  <c r="AN262"/>
  <c r="AO262"/>
  <c r="AP262"/>
  <c r="AQ262"/>
  <c r="AR262"/>
  <c r="AS262"/>
  <c r="AT262"/>
  <c r="AU262"/>
  <c r="AV262"/>
  <c r="AW262"/>
  <c r="AX262"/>
  <c r="AY262"/>
  <c r="AZ262"/>
  <c r="BA262"/>
  <c r="BB262"/>
  <c r="BC262"/>
  <c r="BD262"/>
  <c r="BE262"/>
  <c r="BF262"/>
  <c r="BG262"/>
  <c r="BH262"/>
  <c r="BI262"/>
  <c r="BJ262"/>
  <c r="BK262"/>
  <c r="BL262"/>
  <c r="BM262"/>
  <c r="BN262"/>
  <c r="BO262"/>
  <c r="BP262"/>
  <c r="BQ262"/>
  <c r="BR262"/>
  <c r="BS262"/>
  <c r="BT262"/>
  <c r="BU262"/>
  <c r="BV262"/>
  <c r="BW262"/>
  <c r="BX262"/>
  <c r="BY262"/>
  <c r="BZ262"/>
  <c r="CA262"/>
  <c r="CB262"/>
  <c r="CC262"/>
  <c r="CD262"/>
  <c r="CE262"/>
  <c r="CF262"/>
  <c r="CG262"/>
  <c r="CH262"/>
  <c r="CI262"/>
  <c r="CJ262"/>
  <c r="CK262"/>
  <c r="CL262"/>
  <c r="CM262"/>
  <c r="CN262"/>
  <c r="CO262"/>
  <c r="CP262"/>
  <c r="CQ262"/>
  <c r="CR262"/>
  <c r="CS262"/>
  <c r="CT262"/>
  <c r="CU262"/>
  <c r="CV262"/>
  <c r="CW262"/>
  <c r="CX262"/>
  <c r="CY262"/>
  <c r="CZ262"/>
  <c r="DA262"/>
  <c r="DB262"/>
  <c r="DC262"/>
  <c r="DD262"/>
  <c r="DE262"/>
  <c r="DF262"/>
  <c r="DG262"/>
  <c r="DH262"/>
  <c r="DI262"/>
  <c r="DJ262"/>
  <c r="DK262"/>
  <c r="DL262"/>
  <c r="DM262"/>
  <c r="DN262"/>
  <c r="DO262"/>
  <c r="DP262"/>
  <c r="DQ262"/>
  <c r="DR262"/>
  <c r="DS262"/>
  <c r="DT262"/>
  <c r="DU262"/>
  <c r="DV262"/>
  <c r="DW262"/>
  <c r="DX262"/>
  <c r="DY262"/>
  <c r="DZ262"/>
  <c r="EA262"/>
  <c r="EB262"/>
  <c r="EC262"/>
  <c r="ED262"/>
  <c r="EE262"/>
  <c r="EF262"/>
  <c r="EG262"/>
  <c r="EH262"/>
  <c r="EI262"/>
  <c r="EJ262"/>
  <c r="EK262"/>
  <c r="EL262"/>
  <c r="EM262"/>
  <c r="EN262"/>
  <c r="EO262"/>
  <c r="EP262"/>
  <c r="EQ262"/>
  <c r="ER262"/>
  <c r="ES262"/>
  <c r="ET262"/>
  <c r="EU262"/>
  <c r="EV262"/>
  <c r="EW262"/>
  <c r="EX262"/>
  <c r="EY262"/>
  <c r="EZ262"/>
  <c r="FA262"/>
  <c r="FB262"/>
  <c r="FC262"/>
  <c r="FD262"/>
  <c r="FE262"/>
  <c r="FF262"/>
  <c r="FG262"/>
  <c r="FH262"/>
  <c r="FI262"/>
  <c r="FJ262"/>
  <c r="FK262"/>
  <c r="FL262"/>
  <c r="FM262"/>
  <c r="FN262"/>
  <c r="FO262"/>
  <c r="FP262"/>
  <c r="FQ262"/>
  <c r="E262"/>
  <c r="F260"/>
  <c r="G260"/>
  <c r="H260"/>
  <c r="I260"/>
  <c r="J260"/>
  <c r="K260"/>
  <c r="L260"/>
  <c r="M260"/>
  <c r="N260"/>
  <c r="O260"/>
  <c r="P260"/>
  <c r="Q260"/>
  <c r="R260"/>
  <c r="S260"/>
  <c r="T260"/>
  <c r="U260"/>
  <c r="V260"/>
  <c r="W260"/>
  <c r="X260"/>
  <c r="Y260"/>
  <c r="Z260"/>
  <c r="AA260"/>
  <c r="AB260"/>
  <c r="AC260"/>
  <c r="AD260"/>
  <c r="AE260"/>
  <c r="AF260"/>
  <c r="AG260"/>
  <c r="AH260"/>
  <c r="AI260"/>
  <c r="AJ260"/>
  <c r="AK260"/>
  <c r="AL260"/>
  <c r="AM260"/>
  <c r="AN260"/>
  <c r="AO260"/>
  <c r="AP260"/>
  <c r="AQ260"/>
  <c r="AR260"/>
  <c r="AS260"/>
  <c r="AT260"/>
  <c r="AU260"/>
  <c r="AV260"/>
  <c r="AW260"/>
  <c r="AX260"/>
  <c r="AY260"/>
  <c r="AZ260"/>
  <c r="BA260"/>
  <c r="BB260"/>
  <c r="BC260"/>
  <c r="BD260"/>
  <c r="BE260"/>
  <c r="BF260"/>
  <c r="BG260"/>
  <c r="BH260"/>
  <c r="BI260"/>
  <c r="BJ260"/>
  <c r="BK260"/>
  <c r="BL260"/>
  <c r="BM260"/>
  <c r="BN260"/>
  <c r="BO260"/>
  <c r="BP260"/>
  <c r="BQ260"/>
  <c r="BR260"/>
  <c r="BS260"/>
  <c r="BT260"/>
  <c r="BU260"/>
  <c r="BV260"/>
  <c r="BW260"/>
  <c r="BX260"/>
  <c r="BY260"/>
  <c r="BZ260"/>
  <c r="CA260"/>
  <c r="CB260"/>
  <c r="CC260"/>
  <c r="CD260"/>
  <c r="CE260"/>
  <c r="CF260"/>
  <c r="CG260"/>
  <c r="CH260"/>
  <c r="CI260"/>
  <c r="CJ260"/>
  <c r="CK260"/>
  <c r="CL260"/>
  <c r="CM260"/>
  <c r="CN260"/>
  <c r="CO260"/>
  <c r="CP260"/>
  <c r="CQ260"/>
  <c r="CR260"/>
  <c r="CS260"/>
  <c r="CT260"/>
  <c r="CU260"/>
  <c r="CV260"/>
  <c r="CW260"/>
  <c r="CX260"/>
  <c r="CY260"/>
  <c r="CZ260"/>
  <c r="DA260"/>
  <c r="DB260"/>
  <c r="DC260"/>
  <c r="DD260"/>
  <c r="DE260"/>
  <c r="DF260"/>
  <c r="DG260"/>
  <c r="DH260"/>
  <c r="DI260"/>
  <c r="DJ260"/>
  <c r="DK260"/>
  <c r="DL260"/>
  <c r="DM260"/>
  <c r="DN260"/>
  <c r="DO260"/>
  <c r="DP260"/>
  <c r="DQ260"/>
  <c r="DR260"/>
  <c r="DS260"/>
  <c r="DT260"/>
  <c r="DU260"/>
  <c r="DV260"/>
  <c r="DW260"/>
  <c r="DX260"/>
  <c r="DY260"/>
  <c r="DZ260"/>
  <c r="EA260"/>
  <c r="EB260"/>
  <c r="EC260"/>
  <c r="ED260"/>
  <c r="EE260"/>
  <c r="EF260"/>
  <c r="EG260"/>
  <c r="EH260"/>
  <c r="EI260"/>
  <c r="EJ260"/>
  <c r="EK260"/>
  <c r="EL260"/>
  <c r="EM260"/>
  <c r="EN260"/>
  <c r="EO260"/>
  <c r="EP260"/>
  <c r="EQ260"/>
  <c r="ER260"/>
  <c r="ES260"/>
  <c r="ET260"/>
  <c r="EU260"/>
  <c r="EV260"/>
  <c r="EW260"/>
  <c r="EX260"/>
  <c r="EY260"/>
  <c r="EZ260"/>
  <c r="FA260"/>
  <c r="FB260"/>
  <c r="FC260"/>
  <c r="FD260"/>
  <c r="FE260"/>
  <c r="FF260"/>
  <c r="FG260"/>
  <c r="FH260"/>
  <c r="FI260"/>
  <c r="FJ260"/>
  <c r="FK260"/>
  <c r="FL260"/>
  <c r="FM260"/>
  <c r="FN260"/>
  <c r="FO260"/>
  <c r="FP260"/>
  <c r="FQ260"/>
  <c r="E260"/>
  <c r="C259"/>
  <c r="C261"/>
  <c r="F257"/>
  <c r="G257"/>
  <c r="H257"/>
  <c r="I257"/>
  <c r="J257"/>
  <c r="K257"/>
  <c r="L257"/>
  <c r="M257"/>
  <c r="N257"/>
  <c r="O257"/>
  <c r="P257"/>
  <c r="Q257"/>
  <c r="R257"/>
  <c r="S257"/>
  <c r="T257"/>
  <c r="U257"/>
  <c r="V257"/>
  <c r="W257"/>
  <c r="X257"/>
  <c r="Y257"/>
  <c r="Z257"/>
  <c r="AA257"/>
  <c r="AB257"/>
  <c r="AC257"/>
  <c r="AD257"/>
  <c r="AE257"/>
  <c r="AF257"/>
  <c r="AG257"/>
  <c r="AH257"/>
  <c r="AI257"/>
  <c r="AJ257"/>
  <c r="AK257"/>
  <c r="AM257"/>
  <c r="AN257"/>
  <c r="AO257"/>
  <c r="AP257"/>
  <c r="AQ257"/>
  <c r="AR257"/>
  <c r="AS257"/>
  <c r="AT257"/>
  <c r="AU257"/>
  <c r="AV257"/>
  <c r="AW257"/>
  <c r="AX257"/>
  <c r="AY257"/>
  <c r="AZ257"/>
  <c r="BA257"/>
  <c r="BB257"/>
  <c r="BC257"/>
  <c r="BD257"/>
  <c r="BE257"/>
  <c r="BF257"/>
  <c r="BG257"/>
  <c r="BH257"/>
  <c r="BI257"/>
  <c r="BJ257"/>
  <c r="BK257"/>
  <c r="BL257"/>
  <c r="BM257"/>
  <c r="BN257"/>
  <c r="BO257"/>
  <c r="BP257"/>
  <c r="BQ257"/>
  <c r="BR257"/>
  <c r="BS257"/>
  <c r="BT257"/>
  <c r="BU257"/>
  <c r="BV257"/>
  <c r="BW257"/>
  <c r="BX257"/>
  <c r="BY257"/>
  <c r="BZ257"/>
  <c r="CA257"/>
  <c r="CB257"/>
  <c r="CC257"/>
  <c r="CD257"/>
  <c r="CE257"/>
  <c r="CF257"/>
  <c r="CG257"/>
  <c r="CH257"/>
  <c r="CI257"/>
  <c r="CJ257"/>
  <c r="CK257"/>
  <c r="CL257"/>
  <c r="CM257"/>
  <c r="CN257"/>
  <c r="CO257"/>
  <c r="CP257"/>
  <c r="CQ257"/>
  <c r="CR257"/>
  <c r="CS257"/>
  <c r="CT257"/>
  <c r="CU257"/>
  <c r="CV257"/>
  <c r="CW257"/>
  <c r="CX257"/>
  <c r="CY257"/>
  <c r="CZ257"/>
  <c r="DA257"/>
  <c r="DB257"/>
  <c r="DC257"/>
  <c r="DD257"/>
  <c r="DE257"/>
  <c r="DF257"/>
  <c r="DG257"/>
  <c r="DH257"/>
  <c r="DI257"/>
  <c r="DJ257"/>
  <c r="DK257"/>
  <c r="DL257"/>
  <c r="DM257"/>
  <c r="DN257"/>
  <c r="DO257"/>
  <c r="DP257"/>
  <c r="DQ257"/>
  <c r="DR257"/>
  <c r="DS257"/>
  <c r="DT257"/>
  <c r="DU257"/>
  <c r="DV257"/>
  <c r="DW257"/>
  <c r="DX257"/>
  <c r="DY257"/>
  <c r="DZ257"/>
  <c r="EA257"/>
  <c r="EB257"/>
  <c r="EC257"/>
  <c r="ED257"/>
  <c r="EE257"/>
  <c r="EF257"/>
  <c r="EG257"/>
  <c r="EH257"/>
  <c r="EI257"/>
  <c r="EJ257"/>
  <c r="EK257"/>
  <c r="EL257"/>
  <c r="EM257"/>
  <c r="EN257"/>
  <c r="EO257"/>
  <c r="EP257"/>
  <c r="EQ257"/>
  <c r="ER257"/>
  <c r="ES257"/>
  <c r="ET257"/>
  <c r="EU257"/>
  <c r="EV257"/>
  <c r="EW257"/>
  <c r="EX257"/>
  <c r="EY257"/>
  <c r="EZ257"/>
  <c r="FA257"/>
  <c r="FB257"/>
  <c r="FC257"/>
  <c r="FD257"/>
  <c r="FE257"/>
  <c r="FF257"/>
  <c r="FG257"/>
  <c r="FH257"/>
  <c r="FI257"/>
  <c r="FJ257"/>
  <c r="FK257"/>
  <c r="FL257"/>
  <c r="FM257"/>
  <c r="FN257"/>
  <c r="FO257"/>
  <c r="FP257"/>
  <c r="FQ257"/>
  <c r="E257"/>
  <c r="E313"/>
  <c r="D263"/>
  <c r="FT263" s="1"/>
  <c r="C263"/>
  <c r="D259"/>
  <c r="FT259" s="1"/>
  <c r="D261"/>
  <c r="FT261" s="1"/>
  <c r="G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DA258"/>
  <c r="CZ258"/>
  <c r="CY258"/>
  <c r="CX258"/>
  <c r="CW258"/>
  <c r="CV258"/>
  <c r="CU258"/>
  <c r="CT258"/>
  <c r="CS258"/>
  <c r="CR258"/>
  <c r="CQ258"/>
  <c r="CP258"/>
  <c r="CO258"/>
  <c r="CN258"/>
  <c r="CM258"/>
  <c r="CL258"/>
  <c r="CK258"/>
  <c r="CJ258"/>
  <c r="CI258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F258"/>
  <c r="D353"/>
  <c r="FT353" s="1"/>
  <c r="D352"/>
  <c r="FT352" s="1"/>
  <c r="D351"/>
  <c r="FT351" s="1"/>
  <c r="D350"/>
  <c r="FT350" s="1"/>
  <c r="D349"/>
  <c r="FT349" s="1"/>
  <c r="D347"/>
  <c r="FT347" s="1"/>
  <c r="D346"/>
  <c r="FT346" s="1"/>
  <c r="D345"/>
  <c r="FT345" s="1"/>
  <c r="D344"/>
  <c r="FT344" s="1"/>
  <c r="D343"/>
  <c r="FT343" s="1"/>
  <c r="D341"/>
  <c r="FT341" s="1"/>
  <c r="D340"/>
  <c r="FT340" s="1"/>
  <c r="D339"/>
  <c r="FT339" s="1"/>
  <c r="D338"/>
  <c r="FT338" s="1"/>
  <c r="D337"/>
  <c r="FT337" s="1"/>
  <c r="D335"/>
  <c r="FT335" s="1"/>
  <c r="D334"/>
  <c r="FT334" s="1"/>
  <c r="D333"/>
  <c r="FT333" s="1"/>
  <c r="D332"/>
  <c r="FT332" s="1"/>
  <c r="D331"/>
  <c r="FT331" s="1"/>
  <c r="D328"/>
  <c r="FT328" s="1"/>
  <c r="D327"/>
  <c r="FT327" s="1"/>
  <c r="D325"/>
  <c r="FT325" s="1"/>
  <c r="D324"/>
  <c r="FT324" s="1"/>
  <c r="D320"/>
  <c r="FT320" s="1"/>
  <c r="D319"/>
  <c r="FT319" s="1"/>
  <c r="D316"/>
  <c r="FT316" s="1"/>
  <c r="D315"/>
  <c r="FT315" s="1"/>
  <c r="D256"/>
  <c r="FT256" s="1"/>
  <c r="D255"/>
  <c r="FT255" s="1"/>
  <c r="D254"/>
  <c r="FT254" s="1"/>
  <c r="D253"/>
  <c r="FT253" s="1"/>
  <c r="D252"/>
  <c r="FT252" s="1"/>
  <c r="D250"/>
  <c r="FT250" s="1"/>
  <c r="D249"/>
  <c r="FT249" s="1"/>
  <c r="D248"/>
  <c r="FT248" s="1"/>
  <c r="D247"/>
  <c r="FT247" s="1"/>
  <c r="D246"/>
  <c r="FT246" s="1"/>
  <c r="D244"/>
  <c r="FT244" s="1"/>
  <c r="D243"/>
  <c r="FT243" s="1"/>
  <c r="D242"/>
  <c r="FT242" s="1"/>
  <c r="D241"/>
  <c r="FT241" s="1"/>
  <c r="D240"/>
  <c r="FT240" s="1"/>
  <c r="D238"/>
  <c r="FT238" s="1"/>
  <c r="D237"/>
  <c r="FT237" s="1"/>
  <c r="D236"/>
  <c r="FT236" s="1"/>
  <c r="D235"/>
  <c r="FT235" s="1"/>
  <c r="D234"/>
  <c r="FT234" s="1"/>
  <c r="D232"/>
  <c r="FT232" s="1"/>
  <c r="D231"/>
  <c r="FT231" s="1"/>
  <c r="D230"/>
  <c r="FT230" s="1"/>
  <c r="D229"/>
  <c r="FT229" s="1"/>
  <c r="D228"/>
  <c r="FT228" s="1"/>
  <c r="D225"/>
  <c r="FT225" s="1"/>
  <c r="D224"/>
  <c r="FT224" s="1"/>
  <c r="D223"/>
  <c r="FT223" s="1"/>
  <c r="D222"/>
  <c r="FT222" s="1"/>
  <c r="D221"/>
  <c r="FT221" s="1"/>
  <c r="D219"/>
  <c r="FT219" s="1"/>
  <c r="D218"/>
  <c r="FT218" s="1"/>
  <c r="D217"/>
  <c r="FT217" s="1"/>
  <c r="D216"/>
  <c r="FT216" s="1"/>
  <c r="D215"/>
  <c r="FT215" s="1"/>
  <c r="D213"/>
  <c r="FT213" s="1"/>
  <c r="D212"/>
  <c r="FT212" s="1"/>
  <c r="D211"/>
  <c r="FT211" s="1"/>
  <c r="D210"/>
  <c r="FT210" s="1"/>
  <c r="D209"/>
  <c r="D207"/>
  <c r="FT207" s="1"/>
  <c r="D206"/>
  <c r="FT206" s="1"/>
  <c r="D205"/>
  <c r="FT205" s="1"/>
  <c r="D204"/>
  <c r="FT204" s="1"/>
  <c r="D203"/>
  <c r="FT203" s="1"/>
  <c r="D201"/>
  <c r="FT201" s="1"/>
  <c r="D200"/>
  <c r="FT200" s="1"/>
  <c r="D199"/>
  <c r="FT199" s="1"/>
  <c r="D198"/>
  <c r="FT198" s="1"/>
  <c r="D197"/>
  <c r="FT197" s="1"/>
  <c r="D194"/>
  <c r="FT194" s="1"/>
  <c r="D193"/>
  <c r="FT193" s="1"/>
  <c r="D192"/>
  <c r="FT192" s="1"/>
  <c r="D191"/>
  <c r="FT191" s="1"/>
  <c r="D190"/>
  <c r="FT190" s="1"/>
  <c r="D188"/>
  <c r="FT188" s="1"/>
  <c r="D187"/>
  <c r="FT187" s="1"/>
  <c r="D186"/>
  <c r="FT186" s="1"/>
  <c r="D185"/>
  <c r="FT185" s="1"/>
  <c r="D184"/>
  <c r="FT184" s="1"/>
  <c r="D182"/>
  <c r="FT182" s="1"/>
  <c r="D181"/>
  <c r="FT181" s="1"/>
  <c r="D180"/>
  <c r="FT180" s="1"/>
  <c r="D179"/>
  <c r="FT179" s="1"/>
  <c r="D178"/>
  <c r="D176"/>
  <c r="FT176" s="1"/>
  <c r="D175"/>
  <c r="FT175" s="1"/>
  <c r="D174"/>
  <c r="FT174" s="1"/>
  <c r="D173"/>
  <c r="FT173" s="1"/>
  <c r="D172"/>
  <c r="FT172" s="1"/>
  <c r="D170"/>
  <c r="FT170" s="1"/>
  <c r="D169"/>
  <c r="FT169" s="1"/>
  <c r="D168"/>
  <c r="FT168" s="1"/>
  <c r="D167"/>
  <c r="FT167" s="1"/>
  <c r="D166"/>
  <c r="FT166" s="1"/>
  <c r="D163"/>
  <c r="FT163" s="1"/>
  <c r="D162"/>
  <c r="FT162" s="1"/>
  <c r="D161"/>
  <c r="FT161" s="1"/>
  <c r="D160"/>
  <c r="FT160" s="1"/>
  <c r="D159"/>
  <c r="FT159" s="1"/>
  <c r="D157"/>
  <c r="FT157" s="1"/>
  <c r="D156"/>
  <c r="FT156" s="1"/>
  <c r="D155"/>
  <c r="FT155" s="1"/>
  <c r="D154"/>
  <c r="FT154" s="1"/>
  <c r="D153"/>
  <c r="FT153" s="1"/>
  <c r="D151"/>
  <c r="FT151" s="1"/>
  <c r="D150"/>
  <c r="FT150" s="1"/>
  <c r="D149"/>
  <c r="FT149" s="1"/>
  <c r="D148"/>
  <c r="FT148" s="1"/>
  <c r="D147"/>
  <c r="FT147" s="1"/>
  <c r="D145"/>
  <c r="FT145" s="1"/>
  <c r="D144"/>
  <c r="FT144" s="1"/>
  <c r="D143"/>
  <c r="FT143" s="1"/>
  <c r="D142"/>
  <c r="FT142" s="1"/>
  <c r="D141"/>
  <c r="FT141" s="1"/>
  <c r="D139"/>
  <c r="FT139" s="1"/>
  <c r="D138"/>
  <c r="FT138" s="1"/>
  <c r="D137"/>
  <c r="FT137" s="1"/>
  <c r="D136"/>
  <c r="FT136" s="1"/>
  <c r="D135"/>
  <c r="FT135" s="1"/>
  <c r="D132"/>
  <c r="FT132" s="1"/>
  <c r="D131"/>
  <c r="FT131" s="1"/>
  <c r="D130"/>
  <c r="FT130" s="1"/>
  <c r="D129"/>
  <c r="FT129" s="1"/>
  <c r="D128"/>
  <c r="FT128" s="1"/>
  <c r="D126"/>
  <c r="FT126" s="1"/>
  <c r="D125"/>
  <c r="FT125" s="1"/>
  <c r="D124"/>
  <c r="FT124" s="1"/>
  <c r="D123"/>
  <c r="FT123" s="1"/>
  <c r="D122"/>
  <c r="FT122" s="1"/>
  <c r="D120"/>
  <c r="FT120" s="1"/>
  <c r="D119"/>
  <c r="FT119" s="1"/>
  <c r="D118"/>
  <c r="FT118" s="1"/>
  <c r="D117"/>
  <c r="FT117" s="1"/>
  <c r="D116"/>
  <c r="FT116" s="1"/>
  <c r="D114"/>
  <c r="FT114" s="1"/>
  <c r="D113"/>
  <c r="FT113" s="1"/>
  <c r="D112"/>
  <c r="FT112" s="1"/>
  <c r="D111"/>
  <c r="FT111" s="1"/>
  <c r="D110"/>
  <c r="FT110" s="1"/>
  <c r="D108"/>
  <c r="FT108" s="1"/>
  <c r="D107"/>
  <c r="FT107" s="1"/>
  <c r="D106"/>
  <c r="FT106" s="1"/>
  <c r="D105"/>
  <c r="FT105" s="1"/>
  <c r="D104"/>
  <c r="FT104" s="1"/>
  <c r="D101"/>
  <c r="FT101" s="1"/>
  <c r="D100"/>
  <c r="FT100" s="1"/>
  <c r="D99"/>
  <c r="FT99" s="1"/>
  <c r="D98"/>
  <c r="FT98" s="1"/>
  <c r="D97"/>
  <c r="FT97" s="1"/>
  <c r="D95"/>
  <c r="FT95" s="1"/>
  <c r="D94"/>
  <c r="FT94" s="1"/>
  <c r="D93"/>
  <c r="FT93" s="1"/>
  <c r="D92"/>
  <c r="FT92" s="1"/>
  <c r="D91"/>
  <c r="FT91" s="1"/>
  <c r="D89"/>
  <c r="FT89" s="1"/>
  <c r="D88"/>
  <c r="FT88" s="1"/>
  <c r="D87"/>
  <c r="FT87" s="1"/>
  <c r="D86"/>
  <c r="FT86" s="1"/>
  <c r="D85"/>
  <c r="FT85" s="1"/>
  <c r="D83"/>
  <c r="FT83" s="1"/>
  <c r="D82"/>
  <c r="FT82" s="1"/>
  <c r="D81"/>
  <c r="FT81" s="1"/>
  <c r="D80"/>
  <c r="FT80" s="1"/>
  <c r="D79"/>
  <c r="FT79" s="1"/>
  <c r="D77"/>
  <c r="FT77" s="1"/>
  <c r="D76"/>
  <c r="FT76" s="1"/>
  <c r="D75"/>
  <c r="FT75" s="1"/>
  <c r="D74"/>
  <c r="FT74" s="1"/>
  <c r="D73"/>
  <c r="FT73" s="1"/>
  <c r="D70"/>
  <c r="FT70" s="1"/>
  <c r="D69"/>
  <c r="FT69" s="1"/>
  <c r="D68"/>
  <c r="FT68" s="1"/>
  <c r="D67"/>
  <c r="FT67" s="1"/>
  <c r="D66"/>
  <c r="FT66" s="1"/>
  <c r="D64"/>
  <c r="FT64" s="1"/>
  <c r="D63"/>
  <c r="FT63" s="1"/>
  <c r="D62"/>
  <c r="FT62" s="1"/>
  <c r="D61"/>
  <c r="FT61" s="1"/>
  <c r="D60"/>
  <c r="FT60" s="1"/>
  <c r="D58"/>
  <c r="FT58" s="1"/>
  <c r="D57"/>
  <c r="FT57" s="1"/>
  <c r="D56"/>
  <c r="FT56" s="1"/>
  <c r="D55"/>
  <c r="FT55" s="1"/>
  <c r="D54"/>
  <c r="FT54" s="1"/>
  <c r="D52"/>
  <c r="FT52" s="1"/>
  <c r="D51"/>
  <c r="FT51" s="1"/>
  <c r="D50"/>
  <c r="FT50" s="1"/>
  <c r="D49"/>
  <c r="FT49" s="1"/>
  <c r="D48"/>
  <c r="FT48" s="1"/>
  <c r="D46"/>
  <c r="FT46" s="1"/>
  <c r="D45"/>
  <c r="FT45" s="1"/>
  <c r="D44"/>
  <c r="FT44" s="1"/>
  <c r="D43"/>
  <c r="FT43" s="1"/>
  <c r="D42"/>
  <c r="FT42" s="1"/>
  <c r="D39"/>
  <c r="FT39" s="1"/>
  <c r="D38"/>
  <c r="FT38" s="1"/>
  <c r="D37"/>
  <c r="FT37" s="1"/>
  <c r="D36"/>
  <c r="FT36" s="1"/>
  <c r="D35"/>
  <c r="FT35" s="1"/>
  <c r="D33"/>
  <c r="FT33" s="1"/>
  <c r="D32"/>
  <c r="FT32" s="1"/>
  <c r="D31"/>
  <c r="FT31" s="1"/>
  <c r="D30"/>
  <c r="FT30" s="1"/>
  <c r="D29"/>
  <c r="FT29" s="1"/>
  <c r="D27"/>
  <c r="FT27" s="1"/>
  <c r="D26"/>
  <c r="FT26" s="1"/>
  <c r="D25"/>
  <c r="FT25" s="1"/>
  <c r="D24"/>
  <c r="FT24" s="1"/>
  <c r="D23"/>
  <c r="FT23" s="1"/>
  <c r="D21"/>
  <c r="FT21" s="1"/>
  <c r="D20"/>
  <c r="FT20" s="1"/>
  <c r="D19"/>
  <c r="FT19" s="1"/>
  <c r="D18"/>
  <c r="FT18" s="1"/>
  <c r="D17"/>
  <c r="FT17" s="1"/>
  <c r="D15"/>
  <c r="FT15" s="1"/>
  <c r="D14"/>
  <c r="FT14" s="1"/>
  <c r="D13"/>
  <c r="FT13" s="1"/>
  <c r="D12"/>
  <c r="FT12" s="1"/>
  <c r="D11"/>
  <c r="FT11" s="1"/>
  <c r="C241"/>
  <c r="C240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DA239"/>
  <c r="CZ239"/>
  <c r="CY239"/>
  <c r="CX239"/>
  <c r="CW239"/>
  <c r="CV239"/>
  <c r="CU239"/>
  <c r="CT239"/>
  <c r="CS239"/>
  <c r="CR239"/>
  <c r="CQ239"/>
  <c r="CP239"/>
  <c r="CO239"/>
  <c r="CN239"/>
  <c r="CM239"/>
  <c r="CL239"/>
  <c r="CK239"/>
  <c r="CJ239"/>
  <c r="CI239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C228"/>
  <c r="DC226"/>
  <c r="DB226"/>
  <c r="DA226"/>
  <c r="CZ226"/>
  <c r="CY226"/>
  <c r="CX226"/>
  <c r="CW226"/>
  <c r="CV226"/>
  <c r="CU226"/>
  <c r="CT226"/>
  <c r="CS226"/>
  <c r="CR226"/>
  <c r="CQ226"/>
  <c r="CP226"/>
  <c r="CO226"/>
  <c r="CN226"/>
  <c r="CM226"/>
  <c r="CL226"/>
  <c r="CK226"/>
  <c r="CJ226"/>
  <c r="CI226"/>
  <c r="CH226"/>
  <c r="CG226"/>
  <c r="CF226"/>
  <c r="CE226"/>
  <c r="CD226"/>
  <c r="CC226"/>
  <c r="CB226"/>
  <c r="DC220"/>
  <c r="DB220"/>
  <c r="DA220"/>
  <c r="CZ220"/>
  <c r="CY220"/>
  <c r="CX220"/>
  <c r="CW220"/>
  <c r="CV220"/>
  <c r="CU220"/>
  <c r="CT220"/>
  <c r="CS220"/>
  <c r="CR220"/>
  <c r="CQ220"/>
  <c r="CP220"/>
  <c r="CO220"/>
  <c r="CN220"/>
  <c r="CM220"/>
  <c r="CL220"/>
  <c r="CK220"/>
  <c r="CJ220"/>
  <c r="CI220"/>
  <c r="CH220"/>
  <c r="CG220"/>
  <c r="CF220"/>
  <c r="CE220"/>
  <c r="CD220"/>
  <c r="CC220"/>
  <c r="CB220"/>
  <c r="DC214"/>
  <c r="DB214"/>
  <c r="DA214"/>
  <c r="CZ214"/>
  <c r="CY214"/>
  <c r="CX214"/>
  <c r="CW214"/>
  <c r="CV214"/>
  <c r="CU214"/>
  <c r="CT214"/>
  <c r="CS214"/>
  <c r="CR214"/>
  <c r="CQ214"/>
  <c r="CP214"/>
  <c r="CO214"/>
  <c r="CN214"/>
  <c r="CM214"/>
  <c r="CL214"/>
  <c r="CK214"/>
  <c r="CJ214"/>
  <c r="CI214"/>
  <c r="CH214"/>
  <c r="CG214"/>
  <c r="CF214"/>
  <c r="CE214"/>
  <c r="CD214"/>
  <c r="CC214"/>
  <c r="CB214"/>
  <c r="DC208"/>
  <c r="DB208"/>
  <c r="DA208"/>
  <c r="CZ208"/>
  <c r="CY208"/>
  <c r="CX208"/>
  <c r="CW208"/>
  <c r="CV208"/>
  <c r="CU208"/>
  <c r="CT208"/>
  <c r="CS208"/>
  <c r="CR208"/>
  <c r="CQ208"/>
  <c r="CP208"/>
  <c r="CO208"/>
  <c r="CN208"/>
  <c r="CM208"/>
  <c r="CL208"/>
  <c r="CK208"/>
  <c r="CJ208"/>
  <c r="CI208"/>
  <c r="CH208"/>
  <c r="CG208"/>
  <c r="CF208"/>
  <c r="CE208"/>
  <c r="CD208"/>
  <c r="CC208"/>
  <c r="CB208"/>
  <c r="DC202"/>
  <c r="DB202"/>
  <c r="DA202"/>
  <c r="CZ202"/>
  <c r="CY202"/>
  <c r="CX202"/>
  <c r="CW202"/>
  <c r="CV202"/>
  <c r="CU202"/>
  <c r="CT202"/>
  <c r="CS202"/>
  <c r="CR202"/>
  <c r="CQ202"/>
  <c r="CP202"/>
  <c r="CO202"/>
  <c r="CN202"/>
  <c r="CM202"/>
  <c r="CL202"/>
  <c r="CK202"/>
  <c r="CJ202"/>
  <c r="CI202"/>
  <c r="CH202"/>
  <c r="CG202"/>
  <c r="CF202"/>
  <c r="CE202"/>
  <c r="CD202"/>
  <c r="CC202"/>
  <c r="CB202"/>
  <c r="B209"/>
  <c r="C167"/>
  <c r="C185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Y78"/>
  <c r="Z78"/>
  <c r="AA78"/>
  <c r="AB78"/>
  <c r="AC78"/>
  <c r="AD78"/>
  <c r="AE78"/>
  <c r="AF78"/>
  <c r="AG78"/>
  <c r="AH78"/>
  <c r="AI78"/>
  <c r="AJ78"/>
  <c r="AK78"/>
  <c r="AL78"/>
  <c r="Y84"/>
  <c r="Z84"/>
  <c r="AA84"/>
  <c r="AB84"/>
  <c r="AC84"/>
  <c r="AD84"/>
  <c r="AE84"/>
  <c r="AF84"/>
  <c r="AG84"/>
  <c r="AH84"/>
  <c r="AI84"/>
  <c r="AJ84"/>
  <c r="AK84"/>
  <c r="AL84"/>
  <c r="Y90"/>
  <c r="Z90"/>
  <c r="AA90"/>
  <c r="AB90"/>
  <c r="AC90"/>
  <c r="AD90"/>
  <c r="AE90"/>
  <c r="AF90"/>
  <c r="AG90"/>
  <c r="AH90"/>
  <c r="AI90"/>
  <c r="AJ90"/>
  <c r="AK90"/>
  <c r="AL90"/>
  <c r="E318"/>
  <c r="F318"/>
  <c r="G318"/>
  <c r="H318"/>
  <c r="I318"/>
  <c r="J318"/>
  <c r="K318"/>
  <c r="L318"/>
  <c r="M318"/>
  <c r="N318"/>
  <c r="O318"/>
  <c r="P318"/>
  <c r="Q318"/>
  <c r="R318"/>
  <c r="S318"/>
  <c r="T318"/>
  <c r="U318"/>
  <c r="V318"/>
  <c r="W318"/>
  <c r="X318"/>
  <c r="Y318"/>
  <c r="Z318"/>
  <c r="AA318"/>
  <c r="AB318"/>
  <c r="AC318"/>
  <c r="AD318"/>
  <c r="AE318"/>
  <c r="AF318"/>
  <c r="AG318"/>
  <c r="AH318"/>
  <c r="AI318"/>
  <c r="AJ318"/>
  <c r="AK318"/>
  <c r="AL318"/>
  <c r="AM318"/>
  <c r="AN318"/>
  <c r="AO318"/>
  <c r="AP318"/>
  <c r="AQ318"/>
  <c r="AR318"/>
  <c r="AS318"/>
  <c r="AT318"/>
  <c r="AU318"/>
  <c r="AV318"/>
  <c r="AW318"/>
  <c r="AX318"/>
  <c r="AY318"/>
  <c r="AZ318"/>
  <c r="BA318"/>
  <c r="BB318"/>
  <c r="BC318"/>
  <c r="BD318"/>
  <c r="BE318"/>
  <c r="BF318"/>
  <c r="BG318"/>
  <c r="BH318"/>
  <c r="BI318"/>
  <c r="BJ318"/>
  <c r="BK318"/>
  <c r="BL318"/>
  <c r="BM318"/>
  <c r="BN318"/>
  <c r="BO318"/>
  <c r="BP318"/>
  <c r="BQ318"/>
  <c r="BR318"/>
  <c r="BS318"/>
  <c r="BT318"/>
  <c r="BU318"/>
  <c r="BV318"/>
  <c r="BW318"/>
  <c r="BX318"/>
  <c r="BY318"/>
  <c r="BZ318"/>
  <c r="CA318"/>
  <c r="CB318"/>
  <c r="CC318"/>
  <c r="CD318"/>
  <c r="CE318"/>
  <c r="CF318"/>
  <c r="CG318"/>
  <c r="CH318"/>
  <c r="CI318"/>
  <c r="CJ318"/>
  <c r="CK318"/>
  <c r="CL318"/>
  <c r="CM318"/>
  <c r="CN318"/>
  <c r="CO318"/>
  <c r="CP318"/>
  <c r="CQ318"/>
  <c r="CR318"/>
  <c r="CS318"/>
  <c r="CT318"/>
  <c r="CU318"/>
  <c r="CV318"/>
  <c r="CW318"/>
  <c r="CX318"/>
  <c r="CY318"/>
  <c r="CZ318"/>
  <c r="DA318"/>
  <c r="DB318"/>
  <c r="DC318"/>
  <c r="DD318"/>
  <c r="DE318"/>
  <c r="DF318"/>
  <c r="DG318"/>
  <c r="DH318"/>
  <c r="DI318"/>
  <c r="DJ318"/>
  <c r="DK318"/>
  <c r="DL318"/>
  <c r="DM318"/>
  <c r="DN318"/>
  <c r="DO318"/>
  <c r="DP318"/>
  <c r="DQ318"/>
  <c r="DR318"/>
  <c r="DS318"/>
  <c r="DT318"/>
  <c r="DU318"/>
  <c r="DV318"/>
  <c r="DW318"/>
  <c r="DX318"/>
  <c r="DY318"/>
  <c r="DZ318"/>
  <c r="EA318"/>
  <c r="EB318"/>
  <c r="EC318"/>
  <c r="ED318"/>
  <c r="EE318"/>
  <c r="EF318"/>
  <c r="EG318"/>
  <c r="EH318"/>
  <c r="EI318"/>
  <c r="EJ318"/>
  <c r="EK318"/>
  <c r="EL318"/>
  <c r="EM318"/>
  <c r="EN318"/>
  <c r="EO318"/>
  <c r="EP318"/>
  <c r="EQ318"/>
  <c r="ER318"/>
  <c r="ES318"/>
  <c r="ET318"/>
  <c r="EU318"/>
  <c r="EV318"/>
  <c r="EW318"/>
  <c r="EX318"/>
  <c r="EY318"/>
  <c r="EZ318"/>
  <c r="FA318"/>
  <c r="FB318"/>
  <c r="FC318"/>
  <c r="FD318"/>
  <c r="FE318"/>
  <c r="FF318"/>
  <c r="FG318"/>
  <c r="FH318"/>
  <c r="FI318"/>
  <c r="FJ318"/>
  <c r="FK318"/>
  <c r="FL318"/>
  <c r="FM318"/>
  <c r="FN318"/>
  <c r="FO318"/>
  <c r="FP318"/>
  <c r="FQ318"/>
  <c r="E314"/>
  <c r="F314"/>
  <c r="G314"/>
  <c r="H314"/>
  <c r="I314"/>
  <c r="J314"/>
  <c r="K314"/>
  <c r="L314"/>
  <c r="M314"/>
  <c r="N314"/>
  <c r="O314"/>
  <c r="P314"/>
  <c r="Q314"/>
  <c r="R314"/>
  <c r="S314"/>
  <c r="T314"/>
  <c r="U314"/>
  <c r="V314"/>
  <c r="W314"/>
  <c r="X314"/>
  <c r="Y314"/>
  <c r="Z314"/>
  <c r="AA314"/>
  <c r="AB314"/>
  <c r="AC314"/>
  <c r="AD314"/>
  <c r="AE314"/>
  <c r="AF314"/>
  <c r="AG314"/>
  <c r="AH314"/>
  <c r="AI314"/>
  <c r="AJ314"/>
  <c r="AK314"/>
  <c r="AL314"/>
  <c r="AM314"/>
  <c r="AN314"/>
  <c r="AO314"/>
  <c r="AP314"/>
  <c r="AQ314"/>
  <c r="AR314"/>
  <c r="AS314"/>
  <c r="AT314"/>
  <c r="AU314"/>
  <c r="AV314"/>
  <c r="AW314"/>
  <c r="AX314"/>
  <c r="AY314"/>
  <c r="AZ314"/>
  <c r="BA314"/>
  <c r="BB314"/>
  <c r="BC314"/>
  <c r="BD314"/>
  <c r="BE314"/>
  <c r="BF314"/>
  <c r="BG314"/>
  <c r="BH314"/>
  <c r="BI314"/>
  <c r="BJ314"/>
  <c r="BK314"/>
  <c r="BL314"/>
  <c r="BM314"/>
  <c r="BN314"/>
  <c r="BO314"/>
  <c r="BP314"/>
  <c r="BQ314"/>
  <c r="BR314"/>
  <c r="BS314"/>
  <c r="BT314"/>
  <c r="BU314"/>
  <c r="BV314"/>
  <c r="BW314"/>
  <c r="BX314"/>
  <c r="BY314"/>
  <c r="BZ314"/>
  <c r="CA314"/>
  <c r="CB314"/>
  <c r="CC314"/>
  <c r="CD314"/>
  <c r="CE314"/>
  <c r="CF314"/>
  <c r="CG314"/>
  <c r="CH314"/>
  <c r="CI314"/>
  <c r="CJ314"/>
  <c r="CK314"/>
  <c r="CL314"/>
  <c r="CM314"/>
  <c r="CN314"/>
  <c r="CO314"/>
  <c r="CP314"/>
  <c r="CQ314"/>
  <c r="CR314"/>
  <c r="CS314"/>
  <c r="CT314"/>
  <c r="CU314"/>
  <c r="CV314"/>
  <c r="CW314"/>
  <c r="CX314"/>
  <c r="CY314"/>
  <c r="CZ314"/>
  <c r="DA314"/>
  <c r="DB314"/>
  <c r="DC314"/>
  <c r="DD314"/>
  <c r="DE314"/>
  <c r="DF314"/>
  <c r="DG314"/>
  <c r="DH314"/>
  <c r="DI314"/>
  <c r="DJ314"/>
  <c r="DK314"/>
  <c r="DL314"/>
  <c r="DM314"/>
  <c r="DN314"/>
  <c r="DO314"/>
  <c r="DP314"/>
  <c r="DQ314"/>
  <c r="DR314"/>
  <c r="DS314"/>
  <c r="DT314"/>
  <c r="DU314"/>
  <c r="DV314"/>
  <c r="DW314"/>
  <c r="DX314"/>
  <c r="DY314"/>
  <c r="DZ314"/>
  <c r="EA314"/>
  <c r="EB314"/>
  <c r="EC314"/>
  <c r="ED314"/>
  <c r="EE314"/>
  <c r="EF314"/>
  <c r="EG314"/>
  <c r="EH314"/>
  <c r="EI314"/>
  <c r="EJ314"/>
  <c r="EK314"/>
  <c r="EL314"/>
  <c r="EM314"/>
  <c r="EN314"/>
  <c r="EO314"/>
  <c r="EP314"/>
  <c r="EQ314"/>
  <c r="ER314"/>
  <c r="ES314"/>
  <c r="ET314"/>
  <c r="EU314"/>
  <c r="EV314"/>
  <c r="EW314"/>
  <c r="EX314"/>
  <c r="EY314"/>
  <c r="EZ314"/>
  <c r="FA314"/>
  <c r="FB314"/>
  <c r="FC314"/>
  <c r="FD314"/>
  <c r="FE314"/>
  <c r="FF314"/>
  <c r="FG314"/>
  <c r="FH314"/>
  <c r="FI314"/>
  <c r="FJ314"/>
  <c r="FK314"/>
  <c r="FL314"/>
  <c r="FM314"/>
  <c r="FN314"/>
  <c r="FO314"/>
  <c r="FP314"/>
  <c r="FQ314"/>
  <c r="CF313"/>
  <c r="CG313"/>
  <c r="CH313"/>
  <c r="CI313"/>
  <c r="CJ313"/>
  <c r="CK313"/>
  <c r="CL313"/>
  <c r="CM313"/>
  <c r="CN313"/>
  <c r="CO313"/>
  <c r="CP313"/>
  <c r="CQ313"/>
  <c r="CR313"/>
  <c r="CS313"/>
  <c r="CT313"/>
  <c r="CU313"/>
  <c r="CV313"/>
  <c r="CW313"/>
  <c r="CX313"/>
  <c r="CY313"/>
  <c r="CZ313"/>
  <c r="DA313"/>
  <c r="DB313"/>
  <c r="DC313"/>
  <c r="DD313"/>
  <c r="DE313"/>
  <c r="DF313"/>
  <c r="DG313"/>
  <c r="DH313"/>
  <c r="DI313"/>
  <c r="DJ313"/>
  <c r="DK313"/>
  <c r="DL313"/>
  <c r="DM313"/>
  <c r="DN313"/>
  <c r="DO313"/>
  <c r="DP313"/>
  <c r="DQ313"/>
  <c r="DR313"/>
  <c r="DS313"/>
  <c r="DT313"/>
  <c r="DU313"/>
  <c r="DV313"/>
  <c r="DW313"/>
  <c r="DX313"/>
  <c r="DY313"/>
  <c r="DZ313"/>
  <c r="EA313"/>
  <c r="EB313"/>
  <c r="EC313"/>
  <c r="ED313"/>
  <c r="EE313"/>
  <c r="EF313"/>
  <c r="EG313"/>
  <c r="EH313"/>
  <c r="EI313"/>
  <c r="EJ313"/>
  <c r="EK313"/>
  <c r="EL313"/>
  <c r="EM313"/>
  <c r="EN313"/>
  <c r="EO313"/>
  <c r="EP313"/>
  <c r="EQ313"/>
  <c r="ER313"/>
  <c r="ES313"/>
  <c r="ET313"/>
  <c r="EU313"/>
  <c r="EV313"/>
  <c r="EW313"/>
  <c r="EX313"/>
  <c r="EY313"/>
  <c r="EZ313"/>
  <c r="FA313"/>
  <c r="FB313"/>
  <c r="FC313"/>
  <c r="FD313"/>
  <c r="FE313"/>
  <c r="FF313"/>
  <c r="FG313"/>
  <c r="FH313"/>
  <c r="FI313"/>
  <c r="FJ313"/>
  <c r="FK313"/>
  <c r="FL313"/>
  <c r="FM313"/>
  <c r="FN313"/>
  <c r="FO313"/>
  <c r="FP313"/>
  <c r="FQ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F313"/>
  <c r="G313"/>
  <c r="H313"/>
  <c r="I313"/>
  <c r="J313"/>
  <c r="K313"/>
  <c r="L313"/>
  <c r="M313"/>
  <c r="N313"/>
  <c r="O313"/>
  <c r="P313"/>
  <c r="Q313"/>
  <c r="R313"/>
  <c r="S313"/>
  <c r="T313"/>
  <c r="U313"/>
  <c r="V313"/>
  <c r="W313"/>
  <c r="X313"/>
  <c r="Y313"/>
  <c r="Z313"/>
  <c r="AA313"/>
  <c r="AB313"/>
  <c r="AC313"/>
  <c r="AD313"/>
  <c r="AE313"/>
  <c r="AF313"/>
  <c r="AG313"/>
  <c r="AH313"/>
  <c r="AI313"/>
  <c r="AJ313"/>
  <c r="AK313"/>
  <c r="AL313"/>
  <c r="E329"/>
  <c r="F329"/>
  <c r="G329"/>
  <c r="H329"/>
  <c r="I329"/>
  <c r="J329"/>
  <c r="K329"/>
  <c r="L329"/>
  <c r="M329"/>
  <c r="N329"/>
  <c r="O329"/>
  <c r="P329"/>
  <c r="Q329"/>
  <c r="R329"/>
  <c r="S329"/>
  <c r="T329"/>
  <c r="U329"/>
  <c r="V329"/>
  <c r="W329"/>
  <c r="X329"/>
  <c r="Y329"/>
  <c r="Z329"/>
  <c r="AA329"/>
  <c r="AB329"/>
  <c r="AC329"/>
  <c r="AD329"/>
  <c r="AE329"/>
  <c r="AF329"/>
  <c r="AG329"/>
  <c r="AH329"/>
  <c r="AI329"/>
  <c r="AJ329"/>
  <c r="AK329"/>
  <c r="AL329"/>
  <c r="AM329"/>
  <c r="AN329"/>
  <c r="AO329"/>
  <c r="AP329"/>
  <c r="AQ329"/>
  <c r="AR329"/>
  <c r="AS329"/>
  <c r="AT329"/>
  <c r="AU329"/>
  <c r="AV329"/>
  <c r="AW329"/>
  <c r="AX329"/>
  <c r="AY329"/>
  <c r="AZ329"/>
  <c r="BA329"/>
  <c r="BB329"/>
  <c r="BC329"/>
  <c r="BD329"/>
  <c r="BE329"/>
  <c r="BF329"/>
  <c r="BG329"/>
  <c r="BH329"/>
  <c r="BI329"/>
  <c r="BJ329"/>
  <c r="BK329"/>
  <c r="BL329"/>
  <c r="BM329"/>
  <c r="BN329"/>
  <c r="BO329"/>
  <c r="BP329"/>
  <c r="BQ329"/>
  <c r="BR329"/>
  <c r="BS329"/>
  <c r="BT329"/>
  <c r="BU329"/>
  <c r="BV329"/>
  <c r="BW329"/>
  <c r="BX329"/>
  <c r="BY329"/>
  <c r="BZ329"/>
  <c r="CA329"/>
  <c r="CB329"/>
  <c r="CC329"/>
  <c r="CD329"/>
  <c r="CE329"/>
  <c r="CF329"/>
  <c r="CG329"/>
  <c r="CH329"/>
  <c r="CI329"/>
  <c r="CJ329"/>
  <c r="CK329"/>
  <c r="CL329"/>
  <c r="CM329"/>
  <c r="CN329"/>
  <c r="CO329"/>
  <c r="CP329"/>
  <c r="CQ329"/>
  <c r="CR329"/>
  <c r="CS329"/>
  <c r="CT329"/>
  <c r="CU329"/>
  <c r="CV329"/>
  <c r="CW329"/>
  <c r="CX329"/>
  <c r="CY329"/>
  <c r="CZ329"/>
  <c r="DA329"/>
  <c r="DB329"/>
  <c r="DC329"/>
  <c r="DD329"/>
  <c r="DE329"/>
  <c r="DF329"/>
  <c r="DG329"/>
  <c r="DH329"/>
  <c r="DI329"/>
  <c r="DJ329"/>
  <c r="DK329"/>
  <c r="DL329"/>
  <c r="DM329"/>
  <c r="DN329"/>
  <c r="DO329"/>
  <c r="DP329"/>
  <c r="DQ329"/>
  <c r="DR329"/>
  <c r="DS329"/>
  <c r="DT329"/>
  <c r="DU329"/>
  <c r="DV329"/>
  <c r="DW329"/>
  <c r="DX329"/>
  <c r="DY329"/>
  <c r="DZ329"/>
  <c r="EB329"/>
  <c r="EC329"/>
  <c r="ED329"/>
  <c r="EE329"/>
  <c r="EF329"/>
  <c r="EG329"/>
  <c r="EH329"/>
  <c r="EI329"/>
  <c r="EJ329"/>
  <c r="EK329"/>
  <c r="EL329"/>
  <c r="EM329"/>
  <c r="EN329"/>
  <c r="EO329"/>
  <c r="EP329"/>
  <c r="EQ329"/>
  <c r="ER329"/>
  <c r="ES329"/>
  <c r="ET329"/>
  <c r="EU329"/>
  <c r="EV329"/>
  <c r="EW329"/>
  <c r="EX329"/>
  <c r="EY329"/>
  <c r="EZ329"/>
  <c r="FA329"/>
  <c r="FB329"/>
  <c r="FC329"/>
  <c r="FD329"/>
  <c r="FE329"/>
  <c r="FF329"/>
  <c r="FG329"/>
  <c r="FH329"/>
  <c r="FI329"/>
  <c r="FJ329"/>
  <c r="FK329"/>
  <c r="FL329"/>
  <c r="FM329"/>
  <c r="FN329"/>
  <c r="FO329"/>
  <c r="FP329"/>
  <c r="FQ329"/>
  <c r="E322"/>
  <c r="F322"/>
  <c r="G322"/>
  <c r="H322"/>
  <c r="I322"/>
  <c r="J322"/>
  <c r="K322"/>
  <c r="L322"/>
  <c r="M322"/>
  <c r="N322"/>
  <c r="O322"/>
  <c r="P322"/>
  <c r="Q322"/>
  <c r="R322"/>
  <c r="S322"/>
  <c r="T322"/>
  <c r="U322"/>
  <c r="V322"/>
  <c r="W322"/>
  <c r="X322"/>
  <c r="Y322"/>
  <c r="Z322"/>
  <c r="AA322"/>
  <c r="AB322"/>
  <c r="AC322"/>
  <c r="AD322"/>
  <c r="AE322"/>
  <c r="AF322"/>
  <c r="AG322"/>
  <c r="AH322"/>
  <c r="AI322"/>
  <c r="AJ322"/>
  <c r="AK322"/>
  <c r="AL322"/>
  <c r="AM322"/>
  <c r="AN322"/>
  <c r="AO322"/>
  <c r="AP322"/>
  <c r="AQ322"/>
  <c r="AR322"/>
  <c r="AS322"/>
  <c r="AT322"/>
  <c r="AU322"/>
  <c r="AV322"/>
  <c r="AW322"/>
  <c r="AX322"/>
  <c r="AY322"/>
  <c r="AZ322"/>
  <c r="BA322"/>
  <c r="BB322"/>
  <c r="BC322"/>
  <c r="BD322"/>
  <c r="BE322"/>
  <c r="BF322"/>
  <c r="BG322"/>
  <c r="BH322"/>
  <c r="BI322"/>
  <c r="BJ322"/>
  <c r="BK322"/>
  <c r="BL322"/>
  <c r="BM322"/>
  <c r="BN322"/>
  <c r="BO322"/>
  <c r="BP322"/>
  <c r="BQ322"/>
  <c r="BR322"/>
  <c r="BS322"/>
  <c r="BT322"/>
  <c r="BU322"/>
  <c r="BV322"/>
  <c r="BW322"/>
  <c r="BX322"/>
  <c r="BY322"/>
  <c r="BZ322"/>
  <c r="CA322"/>
  <c r="CB322"/>
  <c r="CC322"/>
  <c r="CD322"/>
  <c r="CE322"/>
  <c r="CF322"/>
  <c r="CG322"/>
  <c r="CH322"/>
  <c r="CI322"/>
  <c r="CJ322"/>
  <c r="CK322"/>
  <c r="CL322"/>
  <c r="CM322"/>
  <c r="CN322"/>
  <c r="CO322"/>
  <c r="CP322"/>
  <c r="CQ322"/>
  <c r="CR322"/>
  <c r="CS322"/>
  <c r="CT322"/>
  <c r="CU322"/>
  <c r="CV322"/>
  <c r="CW322"/>
  <c r="CX322"/>
  <c r="CY322"/>
  <c r="CZ322"/>
  <c r="DA322"/>
  <c r="DB322"/>
  <c r="DC322"/>
  <c r="DD322"/>
  <c r="DE322"/>
  <c r="DF322"/>
  <c r="DG322"/>
  <c r="DH322"/>
  <c r="DI322"/>
  <c r="DJ322"/>
  <c r="DK322"/>
  <c r="DL322"/>
  <c r="DM322"/>
  <c r="DN322"/>
  <c r="DO322"/>
  <c r="DP322"/>
  <c r="DQ322"/>
  <c r="DR322"/>
  <c r="DS322"/>
  <c r="DT322"/>
  <c r="DU322"/>
  <c r="DV322"/>
  <c r="DW322"/>
  <c r="DX322"/>
  <c r="DY322"/>
  <c r="DZ322"/>
  <c r="EA322"/>
  <c r="EB322"/>
  <c r="EC322"/>
  <c r="ED322"/>
  <c r="EE322"/>
  <c r="EF322"/>
  <c r="EG322"/>
  <c r="EH322"/>
  <c r="EI322"/>
  <c r="EJ322"/>
  <c r="EK322"/>
  <c r="EL322"/>
  <c r="EM322"/>
  <c r="EN322"/>
  <c r="EO322"/>
  <c r="EP322"/>
  <c r="EQ322"/>
  <c r="ER322"/>
  <c r="ES322"/>
  <c r="ET322"/>
  <c r="EU322"/>
  <c r="EV322"/>
  <c r="EW322"/>
  <c r="EX322"/>
  <c r="EY322"/>
  <c r="EZ322"/>
  <c r="FA322"/>
  <c r="FB322"/>
  <c r="FC322"/>
  <c r="FD322"/>
  <c r="FE322"/>
  <c r="FF322"/>
  <c r="FG322"/>
  <c r="FH322"/>
  <c r="FI322"/>
  <c r="FJ322"/>
  <c r="FK322"/>
  <c r="FL322"/>
  <c r="FM322"/>
  <c r="FN322"/>
  <c r="FO322"/>
  <c r="FP322"/>
  <c r="FQ322"/>
  <c r="AM313"/>
  <c r="AN313"/>
  <c r="AO313"/>
  <c r="AP313"/>
  <c r="AQ313"/>
  <c r="AR313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DA396"/>
  <c r="CZ396"/>
  <c r="CY396"/>
  <c r="CX396"/>
  <c r="CW396"/>
  <c r="CV396"/>
  <c r="CU396"/>
  <c r="CT396"/>
  <c r="CS396"/>
  <c r="CR396"/>
  <c r="CQ396"/>
  <c r="CP396"/>
  <c r="CO396"/>
  <c r="CN396"/>
  <c r="CM396"/>
  <c r="CL396"/>
  <c r="CK396"/>
  <c r="CJ396"/>
  <c r="CI396"/>
  <c r="CH396"/>
  <c r="CG396"/>
  <c r="CF396"/>
  <c r="CE396"/>
  <c r="CD396"/>
  <c r="CC396"/>
  <c r="CB396"/>
  <c r="CA396"/>
  <c r="BZ396"/>
  <c r="BY396"/>
  <c r="BX396"/>
  <c r="BW396"/>
  <c r="BV396"/>
  <c r="BU396"/>
  <c r="BT396"/>
  <c r="BS396"/>
  <c r="BR396"/>
  <c r="BQ396"/>
  <c r="BP396"/>
  <c r="BO396"/>
  <c r="BN396"/>
  <c r="BM396"/>
  <c r="BL396"/>
  <c r="BK396"/>
  <c r="BJ396"/>
  <c r="BI396"/>
  <c r="BH396"/>
  <c r="BG396"/>
  <c r="BF396"/>
  <c r="BE396"/>
  <c r="BD396"/>
  <c r="BC396"/>
  <c r="BB396"/>
  <c r="BA396"/>
  <c r="AZ396"/>
  <c r="AY396"/>
  <c r="AX396"/>
  <c r="AW396"/>
  <c r="AV396"/>
  <c r="AU396"/>
  <c r="AT396"/>
  <c r="AS396"/>
  <c r="AR396"/>
  <c r="AQ396"/>
  <c r="AP396"/>
  <c r="AO396"/>
  <c r="AN396"/>
  <c r="AM396"/>
  <c r="AL396"/>
  <c r="AK396"/>
  <c r="AJ396"/>
  <c r="AI396"/>
  <c r="AH396"/>
  <c r="AG396"/>
  <c r="AF396"/>
  <c r="AE396"/>
  <c r="AD396"/>
  <c r="AC396"/>
  <c r="AB396"/>
  <c r="AA396"/>
  <c r="Z396"/>
  <c r="Y396"/>
  <c r="X396"/>
  <c r="W396"/>
  <c r="V396"/>
  <c r="U396"/>
  <c r="T396"/>
  <c r="S396"/>
  <c r="R396"/>
  <c r="Q396"/>
  <c r="P396"/>
  <c r="O396"/>
  <c r="N396"/>
  <c r="M396"/>
  <c r="L396"/>
  <c r="K396"/>
  <c r="J396"/>
  <c r="I396"/>
  <c r="H396"/>
  <c r="G396"/>
  <c r="F396"/>
  <c r="E396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B390"/>
  <c r="DA390"/>
  <c r="CZ390"/>
  <c r="CY390"/>
  <c r="CX390"/>
  <c r="CW390"/>
  <c r="CV390"/>
  <c r="CU390"/>
  <c r="CT390"/>
  <c r="CS390"/>
  <c r="CR390"/>
  <c r="CQ390"/>
  <c r="CP390"/>
  <c r="CO390"/>
  <c r="CN390"/>
  <c r="CM390"/>
  <c r="CL390"/>
  <c r="CK390"/>
  <c r="CJ390"/>
  <c r="CI390"/>
  <c r="CH390"/>
  <c r="CG390"/>
  <c r="CF390"/>
  <c r="CE390"/>
  <c r="CD390"/>
  <c r="CC390"/>
  <c r="CB390"/>
  <c r="CA390"/>
  <c r="BZ390"/>
  <c r="BY390"/>
  <c r="BX390"/>
  <c r="BW390"/>
  <c r="BV390"/>
  <c r="BU390"/>
  <c r="BT390"/>
  <c r="BS390"/>
  <c r="BR390"/>
  <c r="BQ390"/>
  <c r="BP390"/>
  <c r="BO390"/>
  <c r="BN390"/>
  <c r="BM390"/>
  <c r="BL390"/>
  <c r="BK390"/>
  <c r="BJ390"/>
  <c r="BI390"/>
  <c r="BH390"/>
  <c r="BG390"/>
  <c r="BF390"/>
  <c r="BE390"/>
  <c r="BD390"/>
  <c r="BC390"/>
  <c r="BB390"/>
  <c r="BA390"/>
  <c r="AZ390"/>
  <c r="AY390"/>
  <c r="AX390"/>
  <c r="AW390"/>
  <c r="AV390"/>
  <c r="AU390"/>
  <c r="AT390"/>
  <c r="AS390"/>
  <c r="AR390"/>
  <c r="AQ390"/>
  <c r="AP390"/>
  <c r="AO390"/>
  <c r="AN390"/>
  <c r="AM390"/>
  <c r="AL390"/>
  <c r="AK390"/>
  <c r="AJ390"/>
  <c r="AI390"/>
  <c r="AH390"/>
  <c r="AG390"/>
  <c r="AF390"/>
  <c r="AE390"/>
  <c r="AD390"/>
  <c r="AC390"/>
  <c r="AB390"/>
  <c r="AA390"/>
  <c r="Z390"/>
  <c r="Y390"/>
  <c r="X390"/>
  <c r="W390"/>
  <c r="V390"/>
  <c r="U390"/>
  <c r="T390"/>
  <c r="S390"/>
  <c r="R390"/>
  <c r="Q390"/>
  <c r="P390"/>
  <c r="O390"/>
  <c r="N390"/>
  <c r="M390"/>
  <c r="L390"/>
  <c r="K390"/>
  <c r="J390"/>
  <c r="I390"/>
  <c r="H390"/>
  <c r="G390"/>
  <c r="F390"/>
  <c r="E390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DA384"/>
  <c r="CZ384"/>
  <c r="CY384"/>
  <c r="CX384"/>
  <c r="CW384"/>
  <c r="CV384"/>
  <c r="CU384"/>
  <c r="CT384"/>
  <c r="CS384"/>
  <c r="CR384"/>
  <c r="CQ384"/>
  <c r="CP384"/>
  <c r="CO384"/>
  <c r="CN384"/>
  <c r="CM384"/>
  <c r="CL384"/>
  <c r="CK384"/>
  <c r="CJ384"/>
  <c r="CI384"/>
  <c r="CH384"/>
  <c r="CG384"/>
  <c r="CF384"/>
  <c r="CE384"/>
  <c r="CD384"/>
  <c r="CC384"/>
  <c r="CB384"/>
  <c r="CA384"/>
  <c r="BZ384"/>
  <c r="BY384"/>
  <c r="BX384"/>
  <c r="BW384"/>
  <c r="BV384"/>
  <c r="BU384"/>
  <c r="BT384"/>
  <c r="BS384"/>
  <c r="BR384"/>
  <c r="BQ384"/>
  <c r="BP384"/>
  <c r="BO384"/>
  <c r="BN384"/>
  <c r="BM384"/>
  <c r="BL384"/>
  <c r="BK384"/>
  <c r="BJ384"/>
  <c r="BI384"/>
  <c r="BH384"/>
  <c r="BG384"/>
  <c r="BF384"/>
  <c r="BE384"/>
  <c r="BD384"/>
  <c r="BC384"/>
  <c r="BB384"/>
  <c r="BA384"/>
  <c r="AZ384"/>
  <c r="AY384"/>
  <c r="AX384"/>
  <c r="AW384"/>
  <c r="AV384"/>
  <c r="AU384"/>
  <c r="AT384"/>
  <c r="AS384"/>
  <c r="AR384"/>
  <c r="AQ384"/>
  <c r="AP384"/>
  <c r="AO384"/>
  <c r="AN384"/>
  <c r="AM384"/>
  <c r="AL384"/>
  <c r="AK384"/>
  <c r="AJ384"/>
  <c r="AI384"/>
  <c r="AH384"/>
  <c r="AG384"/>
  <c r="AF384"/>
  <c r="AE384"/>
  <c r="AD384"/>
  <c r="AC384"/>
  <c r="AB384"/>
  <c r="AA384"/>
  <c r="Z384"/>
  <c r="Y384"/>
  <c r="X384"/>
  <c r="W384"/>
  <c r="V384"/>
  <c r="U384"/>
  <c r="T384"/>
  <c r="S384"/>
  <c r="R384"/>
  <c r="Q384"/>
  <c r="P384"/>
  <c r="O384"/>
  <c r="N384"/>
  <c r="M384"/>
  <c r="L384"/>
  <c r="K384"/>
  <c r="J384"/>
  <c r="I384"/>
  <c r="H384"/>
  <c r="G384"/>
  <c r="F384"/>
  <c r="E384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DA378"/>
  <c r="CZ378"/>
  <c r="CY378"/>
  <c r="CX378"/>
  <c r="CW378"/>
  <c r="CV378"/>
  <c r="CU378"/>
  <c r="CT378"/>
  <c r="CS378"/>
  <c r="CR378"/>
  <c r="CQ378"/>
  <c r="CP378"/>
  <c r="CO378"/>
  <c r="CN378"/>
  <c r="CM378"/>
  <c r="CL378"/>
  <c r="CK378"/>
  <c r="CJ378"/>
  <c r="CI378"/>
  <c r="CH378"/>
  <c r="CG378"/>
  <c r="CF378"/>
  <c r="CE378"/>
  <c r="CD378"/>
  <c r="CC378"/>
  <c r="CB378"/>
  <c r="CA378"/>
  <c r="BZ378"/>
  <c r="BY378"/>
  <c r="BX378"/>
  <c r="BW378"/>
  <c r="BV378"/>
  <c r="BU378"/>
  <c r="BT378"/>
  <c r="BS378"/>
  <c r="BR378"/>
  <c r="BQ378"/>
  <c r="BP378"/>
  <c r="BO378"/>
  <c r="BN378"/>
  <c r="BM378"/>
  <c r="BL378"/>
  <c r="BK378"/>
  <c r="BJ378"/>
  <c r="BI378"/>
  <c r="BH378"/>
  <c r="BG378"/>
  <c r="BF378"/>
  <c r="BE378"/>
  <c r="BD378"/>
  <c r="BC378"/>
  <c r="BB378"/>
  <c r="BA378"/>
  <c r="AZ378"/>
  <c r="AY378"/>
  <c r="AX378"/>
  <c r="AW378"/>
  <c r="AV378"/>
  <c r="AU378"/>
  <c r="AT378"/>
  <c r="AS378"/>
  <c r="AR378"/>
  <c r="AQ378"/>
  <c r="AP378"/>
  <c r="AO378"/>
  <c r="AN378"/>
  <c r="AM378"/>
  <c r="AL378"/>
  <c r="AK378"/>
  <c r="AJ378"/>
  <c r="AI378"/>
  <c r="AH378"/>
  <c r="AG378"/>
  <c r="AF378"/>
  <c r="AE378"/>
  <c r="AD378"/>
  <c r="AC378"/>
  <c r="AB378"/>
  <c r="AA378"/>
  <c r="Z378"/>
  <c r="Y378"/>
  <c r="X378"/>
  <c r="W378"/>
  <c r="V378"/>
  <c r="U378"/>
  <c r="T378"/>
  <c r="S378"/>
  <c r="R378"/>
  <c r="Q378"/>
  <c r="P378"/>
  <c r="O378"/>
  <c r="N378"/>
  <c r="M378"/>
  <c r="L378"/>
  <c r="K378"/>
  <c r="J378"/>
  <c r="I378"/>
  <c r="H378"/>
  <c r="G378"/>
  <c r="F378"/>
  <c r="E378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DA372"/>
  <c r="CZ372"/>
  <c r="CY372"/>
  <c r="CX372"/>
  <c r="CW372"/>
  <c r="CV372"/>
  <c r="CU372"/>
  <c r="CT372"/>
  <c r="CS372"/>
  <c r="CR372"/>
  <c r="CQ372"/>
  <c r="CP372"/>
  <c r="CO372"/>
  <c r="CN372"/>
  <c r="CM372"/>
  <c r="CL372"/>
  <c r="CK372"/>
  <c r="CJ372"/>
  <c r="CI372"/>
  <c r="CH372"/>
  <c r="CG372"/>
  <c r="CF372"/>
  <c r="CE372"/>
  <c r="CD372"/>
  <c r="CC372"/>
  <c r="CB372"/>
  <c r="CA372"/>
  <c r="BZ372"/>
  <c r="BY372"/>
  <c r="BX372"/>
  <c r="BW372"/>
  <c r="BV372"/>
  <c r="BU372"/>
  <c r="BT372"/>
  <c r="BS372"/>
  <c r="BR372"/>
  <c r="BQ372"/>
  <c r="BP372"/>
  <c r="BO372"/>
  <c r="BN372"/>
  <c r="BM372"/>
  <c r="BL372"/>
  <c r="BK372"/>
  <c r="BJ372"/>
  <c r="BI372"/>
  <c r="BH372"/>
  <c r="BG372"/>
  <c r="BF372"/>
  <c r="BE372"/>
  <c r="BD372"/>
  <c r="BC372"/>
  <c r="BB372"/>
  <c r="BA372"/>
  <c r="AZ372"/>
  <c r="AY372"/>
  <c r="AX372"/>
  <c r="AW372"/>
  <c r="AV372"/>
  <c r="AU372"/>
  <c r="AT372"/>
  <c r="AS372"/>
  <c r="AR372"/>
  <c r="AQ372"/>
  <c r="AP372"/>
  <c r="AO372"/>
  <c r="AN372"/>
  <c r="AM372"/>
  <c r="AL372"/>
  <c r="AK372"/>
  <c r="AJ372"/>
  <c r="AI372"/>
  <c r="AH372"/>
  <c r="AG372"/>
  <c r="AF372"/>
  <c r="AE372"/>
  <c r="AD372"/>
  <c r="AC372"/>
  <c r="AB372"/>
  <c r="AA372"/>
  <c r="Z372"/>
  <c r="Y372"/>
  <c r="X372"/>
  <c r="W372"/>
  <c r="V372"/>
  <c r="U372"/>
  <c r="T372"/>
  <c r="S372"/>
  <c r="R372"/>
  <c r="Q372"/>
  <c r="P372"/>
  <c r="O372"/>
  <c r="N372"/>
  <c r="M372"/>
  <c r="L372"/>
  <c r="K372"/>
  <c r="J372"/>
  <c r="I372"/>
  <c r="H372"/>
  <c r="G372"/>
  <c r="F372"/>
  <c r="E372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DA366"/>
  <c r="CZ366"/>
  <c r="CY366"/>
  <c r="CX366"/>
  <c r="CW366"/>
  <c r="CV366"/>
  <c r="CU366"/>
  <c r="CT366"/>
  <c r="CS366"/>
  <c r="CR366"/>
  <c r="CQ366"/>
  <c r="CP366"/>
  <c r="CO366"/>
  <c r="CN366"/>
  <c r="CM366"/>
  <c r="CL366"/>
  <c r="CK366"/>
  <c r="CJ366"/>
  <c r="CI366"/>
  <c r="CH366"/>
  <c r="CG366"/>
  <c r="CF366"/>
  <c r="CE366"/>
  <c r="CD366"/>
  <c r="CC366"/>
  <c r="CB366"/>
  <c r="CA366"/>
  <c r="BZ366"/>
  <c r="BY366"/>
  <c r="BX366"/>
  <c r="BW366"/>
  <c r="BV366"/>
  <c r="BU366"/>
  <c r="BT366"/>
  <c r="BS366"/>
  <c r="BR366"/>
  <c r="BQ366"/>
  <c r="BP366"/>
  <c r="BO366"/>
  <c r="BN366"/>
  <c r="BM366"/>
  <c r="BL366"/>
  <c r="BK366"/>
  <c r="BJ366"/>
  <c r="BI366"/>
  <c r="BH366"/>
  <c r="BG366"/>
  <c r="BF366"/>
  <c r="BE366"/>
  <c r="BD366"/>
  <c r="BC366"/>
  <c r="BB366"/>
  <c r="BA366"/>
  <c r="AZ366"/>
  <c r="AY366"/>
  <c r="AX366"/>
  <c r="AW366"/>
  <c r="AV366"/>
  <c r="AU366"/>
  <c r="AT366"/>
  <c r="AS366"/>
  <c r="AR366"/>
  <c r="AQ366"/>
  <c r="AP366"/>
  <c r="AO366"/>
  <c r="AN366"/>
  <c r="AM366"/>
  <c r="AL366"/>
  <c r="AK366"/>
  <c r="AJ366"/>
  <c r="AI366"/>
  <c r="AH366"/>
  <c r="AG366"/>
  <c r="AF366"/>
  <c r="AE366"/>
  <c r="AD366"/>
  <c r="AC366"/>
  <c r="AB366"/>
  <c r="AA366"/>
  <c r="Z366"/>
  <c r="Y366"/>
  <c r="X366"/>
  <c r="W366"/>
  <c r="V366"/>
  <c r="U366"/>
  <c r="T366"/>
  <c r="S366"/>
  <c r="R366"/>
  <c r="Q366"/>
  <c r="P366"/>
  <c r="O366"/>
  <c r="N366"/>
  <c r="M366"/>
  <c r="L366"/>
  <c r="K366"/>
  <c r="J366"/>
  <c r="I366"/>
  <c r="H366"/>
  <c r="G366"/>
  <c r="F366"/>
  <c r="E366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DA360"/>
  <c r="CZ360"/>
  <c r="CY360"/>
  <c r="CX360"/>
  <c r="CW360"/>
  <c r="CV360"/>
  <c r="CU360"/>
  <c r="CT360"/>
  <c r="CS360"/>
  <c r="CR360"/>
  <c r="CQ360"/>
  <c r="CP360"/>
  <c r="CO360"/>
  <c r="CN360"/>
  <c r="CM360"/>
  <c r="CL360"/>
  <c r="CK360"/>
  <c r="CJ360"/>
  <c r="CI360"/>
  <c r="CH360"/>
  <c r="CG360"/>
  <c r="CF360"/>
  <c r="CE360"/>
  <c r="CD360"/>
  <c r="CC360"/>
  <c r="CB360"/>
  <c r="CA360"/>
  <c r="BZ360"/>
  <c r="BY360"/>
  <c r="BX360"/>
  <c r="BW360"/>
  <c r="BV360"/>
  <c r="BU360"/>
  <c r="BT360"/>
  <c r="BS360"/>
  <c r="BR360"/>
  <c r="BQ360"/>
  <c r="BP360"/>
  <c r="BO360"/>
  <c r="BN360"/>
  <c r="BM360"/>
  <c r="BL360"/>
  <c r="BK360"/>
  <c r="BJ360"/>
  <c r="BI360"/>
  <c r="BH360"/>
  <c r="BG360"/>
  <c r="BF360"/>
  <c r="BE360"/>
  <c r="BD360"/>
  <c r="BC360"/>
  <c r="BB360"/>
  <c r="BA360"/>
  <c r="AZ360"/>
  <c r="AY360"/>
  <c r="AX360"/>
  <c r="AW360"/>
  <c r="AV360"/>
  <c r="AU360"/>
  <c r="AT360"/>
  <c r="AS360"/>
  <c r="AR360"/>
  <c r="AQ360"/>
  <c r="AP360"/>
  <c r="AO360"/>
  <c r="AN360"/>
  <c r="AM360"/>
  <c r="AL360"/>
  <c r="AK360"/>
  <c r="AJ360"/>
  <c r="AI360"/>
  <c r="AH360"/>
  <c r="AG360"/>
  <c r="AF360"/>
  <c r="AE360"/>
  <c r="AD360"/>
  <c r="AC360"/>
  <c r="AB360"/>
  <c r="AA360"/>
  <c r="Z360"/>
  <c r="Y360"/>
  <c r="X360"/>
  <c r="W360"/>
  <c r="V360"/>
  <c r="U360"/>
  <c r="T360"/>
  <c r="S360"/>
  <c r="R360"/>
  <c r="Q360"/>
  <c r="P360"/>
  <c r="O360"/>
  <c r="N360"/>
  <c r="M360"/>
  <c r="L360"/>
  <c r="K360"/>
  <c r="J360"/>
  <c r="I360"/>
  <c r="H360"/>
  <c r="G360"/>
  <c r="F360"/>
  <c r="E360"/>
  <c r="CG9"/>
  <c r="CG10"/>
  <c r="CG16"/>
  <c r="CG22"/>
  <c r="CG28"/>
  <c r="CG34"/>
  <c r="CG40"/>
  <c r="CG41"/>
  <c r="CG47"/>
  <c r="CG53"/>
  <c r="CG59"/>
  <c r="CG65"/>
  <c r="CG71"/>
  <c r="CG72"/>
  <c r="CG78"/>
  <c r="CG84"/>
  <c r="CG90"/>
  <c r="CG96"/>
  <c r="CG102"/>
  <c r="CG103"/>
  <c r="CG109"/>
  <c r="CG115"/>
  <c r="CG121"/>
  <c r="CG127"/>
  <c r="CG133"/>
  <c r="CG134"/>
  <c r="CG140"/>
  <c r="CG146"/>
  <c r="CG152"/>
  <c r="CG158"/>
  <c r="CG164"/>
  <c r="CG165"/>
  <c r="CG171"/>
  <c r="CG177"/>
  <c r="CG183"/>
  <c r="CG189"/>
  <c r="CG195"/>
  <c r="CG196"/>
  <c r="CG227"/>
  <c r="CG233"/>
  <c r="CG245"/>
  <c r="CG251"/>
  <c r="CG323"/>
  <c r="CG326"/>
  <c r="CG330"/>
  <c r="CG336"/>
  <c r="CG342"/>
  <c r="CG348"/>
  <c r="CG354"/>
  <c r="CF40"/>
  <c r="C11"/>
  <c r="C12"/>
  <c r="C13"/>
  <c r="C14"/>
  <c r="C15"/>
  <c r="C17"/>
  <c r="C18"/>
  <c r="C19"/>
  <c r="C20"/>
  <c r="C21"/>
  <c r="C23"/>
  <c r="C24"/>
  <c r="C25"/>
  <c r="C26"/>
  <c r="C27"/>
  <c r="C29"/>
  <c r="C30"/>
  <c r="C31"/>
  <c r="C32"/>
  <c r="C33"/>
  <c r="C35"/>
  <c r="C36"/>
  <c r="C37"/>
  <c r="C38"/>
  <c r="C39"/>
  <c r="C42"/>
  <c r="C43"/>
  <c r="C44"/>
  <c r="C45"/>
  <c r="C46"/>
  <c r="C48"/>
  <c r="C49"/>
  <c r="C50"/>
  <c r="C51"/>
  <c r="C52"/>
  <c r="C54"/>
  <c r="C55"/>
  <c r="C56"/>
  <c r="C57"/>
  <c r="C58"/>
  <c r="C60"/>
  <c r="C61"/>
  <c r="C62"/>
  <c r="C63"/>
  <c r="C64"/>
  <c r="C66"/>
  <c r="C67"/>
  <c r="C68"/>
  <c r="C69"/>
  <c r="C70"/>
  <c r="C73"/>
  <c r="C74"/>
  <c r="C75"/>
  <c r="C76"/>
  <c r="C77"/>
  <c r="C79"/>
  <c r="C80"/>
  <c r="C81"/>
  <c r="C82"/>
  <c r="C83"/>
  <c r="C85"/>
  <c r="C86"/>
  <c r="C87"/>
  <c r="C88"/>
  <c r="C89"/>
  <c r="C91"/>
  <c r="C92"/>
  <c r="C93"/>
  <c r="C94"/>
  <c r="C95"/>
  <c r="C97"/>
  <c r="C98"/>
  <c r="C99"/>
  <c r="C100"/>
  <c r="C101"/>
  <c r="C104"/>
  <c r="C105"/>
  <c r="C106"/>
  <c r="C107"/>
  <c r="C108"/>
  <c r="C110"/>
  <c r="C111"/>
  <c r="C112"/>
  <c r="C113"/>
  <c r="C114"/>
  <c r="C116"/>
  <c r="C117"/>
  <c r="C118"/>
  <c r="C119"/>
  <c r="C120"/>
  <c r="C122"/>
  <c r="C123"/>
  <c r="C124"/>
  <c r="C125"/>
  <c r="C126"/>
  <c r="C128"/>
  <c r="C129"/>
  <c r="C130"/>
  <c r="C131"/>
  <c r="C132"/>
  <c r="C135"/>
  <c r="C136"/>
  <c r="C137"/>
  <c r="C138"/>
  <c r="C139"/>
  <c r="C141"/>
  <c r="C142"/>
  <c r="C143"/>
  <c r="C144"/>
  <c r="C145"/>
  <c r="C147"/>
  <c r="C148"/>
  <c r="C149"/>
  <c r="C150"/>
  <c r="C151"/>
  <c r="C153"/>
  <c r="C154"/>
  <c r="C155"/>
  <c r="C156"/>
  <c r="C157"/>
  <c r="C159"/>
  <c r="C160"/>
  <c r="C161"/>
  <c r="C162"/>
  <c r="C163"/>
  <c r="C166"/>
  <c r="C168"/>
  <c r="C169"/>
  <c r="C170"/>
  <c r="C172"/>
  <c r="C173"/>
  <c r="C174"/>
  <c r="C175"/>
  <c r="C176"/>
  <c r="C178"/>
  <c r="C179"/>
  <c r="C180"/>
  <c r="C181"/>
  <c r="C182"/>
  <c r="C184"/>
  <c r="C186"/>
  <c r="C187"/>
  <c r="C188"/>
  <c r="C190"/>
  <c r="C191"/>
  <c r="C192"/>
  <c r="C193"/>
  <c r="C194"/>
  <c r="C197"/>
  <c r="C198"/>
  <c r="C199"/>
  <c r="C200"/>
  <c r="C201"/>
  <c r="C203"/>
  <c r="C204"/>
  <c r="C205"/>
  <c r="C206"/>
  <c r="C207"/>
  <c r="C209"/>
  <c r="C210"/>
  <c r="C211"/>
  <c r="C212"/>
  <c r="C213"/>
  <c r="C215"/>
  <c r="C216"/>
  <c r="C217"/>
  <c r="C218"/>
  <c r="C219"/>
  <c r="C221"/>
  <c r="C222"/>
  <c r="C223"/>
  <c r="C224"/>
  <c r="C225"/>
  <c r="C229"/>
  <c r="C230"/>
  <c r="C231"/>
  <c r="C232"/>
  <c r="C234"/>
  <c r="C235"/>
  <c r="C236"/>
  <c r="C237"/>
  <c r="C238"/>
  <c r="C242"/>
  <c r="C243"/>
  <c r="C244"/>
  <c r="C246"/>
  <c r="C247"/>
  <c r="C248"/>
  <c r="C249"/>
  <c r="C250"/>
  <c r="C252"/>
  <c r="C253"/>
  <c r="C254"/>
  <c r="C255"/>
  <c r="C256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DA7"/>
  <c r="CY7"/>
  <c r="CX7"/>
  <c r="CW7"/>
  <c r="CV7"/>
  <c r="CU7"/>
  <c r="CT7"/>
  <c r="CS7"/>
  <c r="CR7"/>
  <c r="CQ7"/>
  <c r="CP7"/>
  <c r="CO7"/>
  <c r="CN7"/>
  <c r="CM7"/>
  <c r="CL7"/>
  <c r="CK7"/>
  <c r="CJ7"/>
  <c r="CI7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DA195"/>
  <c r="CZ195"/>
  <c r="CY195"/>
  <c r="CX195"/>
  <c r="CW195"/>
  <c r="CV195"/>
  <c r="CU195"/>
  <c r="CT195"/>
  <c r="CS195"/>
  <c r="CR195"/>
  <c r="CQ195"/>
  <c r="CP195"/>
  <c r="CO195"/>
  <c r="CN195"/>
  <c r="CM195"/>
  <c r="CL195"/>
  <c r="CK195"/>
  <c r="CJ195"/>
  <c r="CI195"/>
  <c r="CH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DA164"/>
  <c r="CZ164"/>
  <c r="CY164"/>
  <c r="CX164"/>
  <c r="CW164"/>
  <c r="CV164"/>
  <c r="CU164"/>
  <c r="CT164"/>
  <c r="CS164"/>
  <c r="CR164"/>
  <c r="CQ164"/>
  <c r="CP164"/>
  <c r="CO164"/>
  <c r="CN164"/>
  <c r="CM164"/>
  <c r="CL164"/>
  <c r="CK164"/>
  <c r="CJ164"/>
  <c r="CI164"/>
  <c r="CH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DA133"/>
  <c r="CZ133"/>
  <c r="CY133"/>
  <c r="CX133"/>
  <c r="CW133"/>
  <c r="CV133"/>
  <c r="CU133"/>
  <c r="CT133"/>
  <c r="CS133"/>
  <c r="CR133"/>
  <c r="CQ133"/>
  <c r="CP133"/>
  <c r="CO133"/>
  <c r="CN133"/>
  <c r="CM133"/>
  <c r="CL133"/>
  <c r="CK133"/>
  <c r="CJ133"/>
  <c r="CI133"/>
  <c r="CH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DA102"/>
  <c r="CZ102"/>
  <c r="CY102"/>
  <c r="CX102"/>
  <c r="CW102"/>
  <c r="CV102"/>
  <c r="CU102"/>
  <c r="CT102"/>
  <c r="CS102"/>
  <c r="CR102"/>
  <c r="CQ102"/>
  <c r="CP102"/>
  <c r="CO102"/>
  <c r="CN102"/>
  <c r="CM102"/>
  <c r="CL102"/>
  <c r="CK102"/>
  <c r="CJ102"/>
  <c r="CI102"/>
  <c r="CH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DA71"/>
  <c r="CZ71"/>
  <c r="CY71"/>
  <c r="CX71"/>
  <c r="CW71"/>
  <c r="CV71"/>
  <c r="CU71"/>
  <c r="CT71"/>
  <c r="CS71"/>
  <c r="CR71"/>
  <c r="CQ71"/>
  <c r="CP71"/>
  <c r="CO71"/>
  <c r="CN71"/>
  <c r="CM71"/>
  <c r="CL71"/>
  <c r="CK71"/>
  <c r="CJ71"/>
  <c r="CI71"/>
  <c r="CH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DA40"/>
  <c r="CZ40"/>
  <c r="CY40"/>
  <c r="CX40"/>
  <c r="CW40"/>
  <c r="CV40"/>
  <c r="CU40"/>
  <c r="CT40"/>
  <c r="CS40"/>
  <c r="CR40"/>
  <c r="CQ40"/>
  <c r="CP40"/>
  <c r="CO40"/>
  <c r="CN40"/>
  <c r="CM40"/>
  <c r="CL40"/>
  <c r="CK40"/>
  <c r="CJ40"/>
  <c r="CI40"/>
  <c r="CH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BJ9"/>
  <c r="BK9"/>
  <c r="BL9"/>
  <c r="BM9"/>
  <c r="BN9"/>
  <c r="BO9"/>
  <c r="BP9"/>
  <c r="BQ9"/>
  <c r="BR9"/>
  <c r="BS9"/>
  <c r="BT9"/>
  <c r="BU9"/>
  <c r="BV9"/>
  <c r="BW9"/>
  <c r="BX9"/>
  <c r="BY9"/>
  <c r="BZ9"/>
  <c r="CA9"/>
  <c r="CB9"/>
  <c r="CC9"/>
  <c r="CD9"/>
  <c r="CE9"/>
  <c r="CF9"/>
  <c r="CH9"/>
  <c r="CI9"/>
  <c r="CJ9"/>
  <c r="CK9"/>
  <c r="CL9"/>
  <c r="CM9"/>
  <c r="CN9"/>
  <c r="CO9"/>
  <c r="CP9"/>
  <c r="CQ9"/>
  <c r="CR9"/>
  <c r="CS9"/>
  <c r="CT9"/>
  <c r="CU9"/>
  <c r="CV9"/>
  <c r="CW9"/>
  <c r="CX9"/>
  <c r="CY9"/>
  <c r="CZ9"/>
  <c r="DA9"/>
  <c r="DB9"/>
  <c r="DC9"/>
  <c r="DD9"/>
  <c r="DE9"/>
  <c r="DF9"/>
  <c r="DG9"/>
  <c r="DH9"/>
  <c r="DI9"/>
  <c r="DJ9"/>
  <c r="DK9"/>
  <c r="DL9"/>
  <c r="DM9"/>
  <c r="DN9"/>
  <c r="DO9"/>
  <c r="DP9"/>
  <c r="DQ9"/>
  <c r="DR9"/>
  <c r="DS9"/>
  <c r="DT9"/>
  <c r="DU9"/>
  <c r="DV9"/>
  <c r="DW9"/>
  <c r="DX9"/>
  <c r="DY9"/>
  <c r="DZ9"/>
  <c r="EA9"/>
  <c r="EB9"/>
  <c r="EC9"/>
  <c r="ED9"/>
  <c r="EE9"/>
  <c r="EF9"/>
  <c r="EG9"/>
  <c r="EH9"/>
  <c r="EI9"/>
  <c r="EJ9"/>
  <c r="EK9"/>
  <c r="EL9"/>
  <c r="EM9"/>
  <c r="EN9"/>
  <c r="EO9"/>
  <c r="EP9"/>
  <c r="EQ9"/>
  <c r="ER9"/>
  <c r="ES9"/>
  <c r="ET9"/>
  <c r="EU9"/>
  <c r="EV9"/>
  <c r="EW9"/>
  <c r="EX9"/>
  <c r="EY9"/>
  <c r="EZ9"/>
  <c r="FA9"/>
  <c r="FB9"/>
  <c r="FC9"/>
  <c r="FD9"/>
  <c r="FE9"/>
  <c r="FF9"/>
  <c r="FG9"/>
  <c r="FH9"/>
  <c r="FI9"/>
  <c r="FJ9"/>
  <c r="FK9"/>
  <c r="FL9"/>
  <c r="FM9"/>
  <c r="FN9"/>
  <c r="FO9"/>
  <c r="FP9"/>
  <c r="FQ9"/>
  <c r="AL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B178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DA354"/>
  <c r="CZ354"/>
  <c r="CY354"/>
  <c r="CX354"/>
  <c r="CW354"/>
  <c r="CV354"/>
  <c r="CU354"/>
  <c r="CT354"/>
  <c r="CS354"/>
  <c r="CR354"/>
  <c r="CQ354"/>
  <c r="CP354"/>
  <c r="CO354"/>
  <c r="CN354"/>
  <c r="CM354"/>
  <c r="CL354"/>
  <c r="CK354"/>
  <c r="CJ354"/>
  <c r="CI354"/>
  <c r="CH354"/>
  <c r="CF354"/>
  <c r="CE354"/>
  <c r="CD354"/>
  <c r="CC354"/>
  <c r="CB354"/>
  <c r="CA354"/>
  <c r="BZ354"/>
  <c r="BY354"/>
  <c r="BX354"/>
  <c r="BW354"/>
  <c r="BV354"/>
  <c r="BU354"/>
  <c r="BT354"/>
  <c r="BS354"/>
  <c r="BR354"/>
  <c r="BQ354"/>
  <c r="BP354"/>
  <c r="BO354"/>
  <c r="BN354"/>
  <c r="BM354"/>
  <c r="BL354"/>
  <c r="BK354"/>
  <c r="BJ354"/>
  <c r="BI354"/>
  <c r="BH354"/>
  <c r="BG354"/>
  <c r="BF354"/>
  <c r="BE354"/>
  <c r="BD354"/>
  <c r="BC354"/>
  <c r="BB354"/>
  <c r="BA354"/>
  <c r="AZ354"/>
  <c r="AY354"/>
  <c r="AX354"/>
  <c r="AW354"/>
  <c r="AV354"/>
  <c r="AU354"/>
  <c r="AT354"/>
  <c r="AS354"/>
  <c r="AR354"/>
  <c r="AQ354"/>
  <c r="AP354"/>
  <c r="AO354"/>
  <c r="AN354"/>
  <c r="AM354"/>
  <c r="AL354"/>
  <c r="AK354"/>
  <c r="AJ354"/>
  <c r="AI354"/>
  <c r="AH354"/>
  <c r="AG354"/>
  <c r="AF354"/>
  <c r="AE354"/>
  <c r="AD354"/>
  <c r="AC354"/>
  <c r="AB354"/>
  <c r="AA354"/>
  <c r="Z354"/>
  <c r="Y354"/>
  <c r="X354"/>
  <c r="W354"/>
  <c r="V354"/>
  <c r="U354"/>
  <c r="T354"/>
  <c r="S354"/>
  <c r="R354"/>
  <c r="Q354"/>
  <c r="P354"/>
  <c r="O354"/>
  <c r="N354"/>
  <c r="M354"/>
  <c r="L354"/>
  <c r="K354"/>
  <c r="J354"/>
  <c r="I354"/>
  <c r="H354"/>
  <c r="G354"/>
  <c r="F354"/>
  <c r="E354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DA348"/>
  <c r="CZ348"/>
  <c r="CY348"/>
  <c r="CX348"/>
  <c r="CW348"/>
  <c r="CV348"/>
  <c r="CU348"/>
  <c r="CT348"/>
  <c r="CS348"/>
  <c r="CR348"/>
  <c r="CQ348"/>
  <c r="CP348"/>
  <c r="CO348"/>
  <c r="CN348"/>
  <c r="CM348"/>
  <c r="CL348"/>
  <c r="CK348"/>
  <c r="CJ348"/>
  <c r="CI348"/>
  <c r="CH348"/>
  <c r="CF348"/>
  <c r="CE348"/>
  <c r="CD348"/>
  <c r="CC348"/>
  <c r="CB348"/>
  <c r="CA348"/>
  <c r="BZ348"/>
  <c r="BY348"/>
  <c r="BX348"/>
  <c r="BW348"/>
  <c r="BV348"/>
  <c r="BU348"/>
  <c r="BT348"/>
  <c r="BS348"/>
  <c r="BR348"/>
  <c r="BQ348"/>
  <c r="BP348"/>
  <c r="BO348"/>
  <c r="BN348"/>
  <c r="BM348"/>
  <c r="BL348"/>
  <c r="BK348"/>
  <c r="BJ348"/>
  <c r="BI348"/>
  <c r="BH348"/>
  <c r="BG348"/>
  <c r="BF348"/>
  <c r="BE348"/>
  <c r="BD348"/>
  <c r="BC348"/>
  <c r="BB348"/>
  <c r="BA348"/>
  <c r="AZ348"/>
  <c r="AY348"/>
  <c r="AX348"/>
  <c r="AW348"/>
  <c r="AV348"/>
  <c r="AU348"/>
  <c r="AT348"/>
  <c r="AS348"/>
  <c r="AR348"/>
  <c r="AQ348"/>
  <c r="AP348"/>
  <c r="AO348"/>
  <c r="AN348"/>
  <c r="AM348"/>
  <c r="AL348"/>
  <c r="AK348"/>
  <c r="AJ348"/>
  <c r="AI348"/>
  <c r="AH348"/>
  <c r="AG348"/>
  <c r="AF348"/>
  <c r="AE348"/>
  <c r="AD348"/>
  <c r="AC348"/>
  <c r="AB348"/>
  <c r="AA348"/>
  <c r="Z348"/>
  <c r="Y348"/>
  <c r="X348"/>
  <c r="W348"/>
  <c r="V348"/>
  <c r="U348"/>
  <c r="T348"/>
  <c r="S348"/>
  <c r="R348"/>
  <c r="Q348"/>
  <c r="P348"/>
  <c r="O348"/>
  <c r="N348"/>
  <c r="M348"/>
  <c r="L348"/>
  <c r="K348"/>
  <c r="J348"/>
  <c r="I348"/>
  <c r="H348"/>
  <c r="G348"/>
  <c r="F348"/>
  <c r="E348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DA342"/>
  <c r="CZ342"/>
  <c r="CY342"/>
  <c r="CX342"/>
  <c r="CW342"/>
  <c r="CV342"/>
  <c r="CU342"/>
  <c r="CT342"/>
  <c r="CS342"/>
  <c r="CR342"/>
  <c r="CQ342"/>
  <c r="CP342"/>
  <c r="CO342"/>
  <c r="CN342"/>
  <c r="CM342"/>
  <c r="CL342"/>
  <c r="CK342"/>
  <c r="CJ342"/>
  <c r="CI342"/>
  <c r="CH342"/>
  <c r="CF342"/>
  <c r="CE342"/>
  <c r="CD342"/>
  <c r="CC342"/>
  <c r="CB342"/>
  <c r="CA342"/>
  <c r="BZ342"/>
  <c r="BY342"/>
  <c r="BX342"/>
  <c r="BW342"/>
  <c r="BV342"/>
  <c r="BU342"/>
  <c r="BT342"/>
  <c r="BS342"/>
  <c r="BR342"/>
  <c r="BQ342"/>
  <c r="BP342"/>
  <c r="BO342"/>
  <c r="BN342"/>
  <c r="BM342"/>
  <c r="BL342"/>
  <c r="BK342"/>
  <c r="BJ342"/>
  <c r="BI342"/>
  <c r="BH342"/>
  <c r="BG342"/>
  <c r="BF342"/>
  <c r="BE342"/>
  <c r="BD342"/>
  <c r="BC342"/>
  <c r="BB342"/>
  <c r="BA342"/>
  <c r="AZ342"/>
  <c r="AY342"/>
  <c r="AX342"/>
  <c r="AW342"/>
  <c r="AV342"/>
  <c r="AU342"/>
  <c r="AT342"/>
  <c r="AS342"/>
  <c r="AR342"/>
  <c r="AQ342"/>
  <c r="AP342"/>
  <c r="AO342"/>
  <c r="AN342"/>
  <c r="AM342"/>
  <c r="AL342"/>
  <c r="AK342"/>
  <c r="AJ342"/>
  <c r="AI342"/>
  <c r="AH342"/>
  <c r="AG342"/>
  <c r="AF342"/>
  <c r="AE342"/>
  <c r="AD342"/>
  <c r="AC342"/>
  <c r="AB342"/>
  <c r="AA342"/>
  <c r="Z342"/>
  <c r="Y342"/>
  <c r="X342"/>
  <c r="W342"/>
  <c r="V342"/>
  <c r="U342"/>
  <c r="T342"/>
  <c r="S342"/>
  <c r="R342"/>
  <c r="Q342"/>
  <c r="P342"/>
  <c r="O342"/>
  <c r="N342"/>
  <c r="M342"/>
  <c r="L342"/>
  <c r="K342"/>
  <c r="J342"/>
  <c r="I342"/>
  <c r="H342"/>
  <c r="G342"/>
  <c r="F342"/>
  <c r="E342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DA336"/>
  <c r="CZ336"/>
  <c r="CY336"/>
  <c r="CX336"/>
  <c r="CW336"/>
  <c r="CV336"/>
  <c r="CU336"/>
  <c r="CT336"/>
  <c r="CS336"/>
  <c r="CR336"/>
  <c r="CQ336"/>
  <c r="CP336"/>
  <c r="CO336"/>
  <c r="CN336"/>
  <c r="CM336"/>
  <c r="CL336"/>
  <c r="CK336"/>
  <c r="CJ336"/>
  <c r="CI336"/>
  <c r="CH336"/>
  <c r="CF336"/>
  <c r="CE336"/>
  <c r="CD336"/>
  <c r="CC336"/>
  <c r="CB336"/>
  <c r="CA336"/>
  <c r="BZ336"/>
  <c r="BY336"/>
  <c r="BX336"/>
  <c r="BW336"/>
  <c r="BV336"/>
  <c r="BU336"/>
  <c r="BT336"/>
  <c r="BS336"/>
  <c r="BR336"/>
  <c r="BQ336"/>
  <c r="BP336"/>
  <c r="BO336"/>
  <c r="BN336"/>
  <c r="BM336"/>
  <c r="BL336"/>
  <c r="BK336"/>
  <c r="BJ336"/>
  <c r="BI336"/>
  <c r="BH336"/>
  <c r="BG336"/>
  <c r="BF336"/>
  <c r="BE336"/>
  <c r="BD336"/>
  <c r="BC336"/>
  <c r="BB336"/>
  <c r="BA336"/>
  <c r="AZ336"/>
  <c r="AY336"/>
  <c r="AX336"/>
  <c r="AW336"/>
  <c r="AV336"/>
  <c r="AU336"/>
  <c r="AT336"/>
  <c r="AS336"/>
  <c r="AR336"/>
  <c r="AQ336"/>
  <c r="AP336"/>
  <c r="AO336"/>
  <c r="AN336"/>
  <c r="AM336"/>
  <c r="AL336"/>
  <c r="AK336"/>
  <c r="AJ336"/>
  <c r="AI336"/>
  <c r="AH336"/>
  <c r="AG336"/>
  <c r="AF336"/>
  <c r="AE336"/>
  <c r="AD336"/>
  <c r="AC336"/>
  <c r="AB336"/>
  <c r="AA336"/>
  <c r="Z336"/>
  <c r="Y336"/>
  <c r="X336"/>
  <c r="W336"/>
  <c r="V336"/>
  <c r="U336"/>
  <c r="T336"/>
  <c r="S336"/>
  <c r="R336"/>
  <c r="Q336"/>
  <c r="P336"/>
  <c r="O336"/>
  <c r="N336"/>
  <c r="M336"/>
  <c r="L336"/>
  <c r="K336"/>
  <c r="J336"/>
  <c r="I336"/>
  <c r="H336"/>
  <c r="G336"/>
  <c r="F336"/>
  <c r="E336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DA330"/>
  <c r="CZ330"/>
  <c r="CY330"/>
  <c r="CX330"/>
  <c r="CW330"/>
  <c r="CV330"/>
  <c r="CU330"/>
  <c r="CT330"/>
  <c r="CS330"/>
  <c r="CR330"/>
  <c r="CQ330"/>
  <c r="CP330"/>
  <c r="CO330"/>
  <c r="CN330"/>
  <c r="CM330"/>
  <c r="CL330"/>
  <c r="CK330"/>
  <c r="CJ330"/>
  <c r="CI330"/>
  <c r="CH330"/>
  <c r="CF330"/>
  <c r="CE330"/>
  <c r="CD330"/>
  <c r="CC330"/>
  <c r="CB330"/>
  <c r="CA330"/>
  <c r="BZ330"/>
  <c r="BY330"/>
  <c r="BX330"/>
  <c r="BW330"/>
  <c r="BV330"/>
  <c r="BU330"/>
  <c r="BT330"/>
  <c r="BS330"/>
  <c r="BR330"/>
  <c r="BQ330"/>
  <c r="BP330"/>
  <c r="BO330"/>
  <c r="BN330"/>
  <c r="BM330"/>
  <c r="BL330"/>
  <c r="BK330"/>
  <c r="BJ330"/>
  <c r="BI330"/>
  <c r="BH330"/>
  <c r="BG330"/>
  <c r="BF330"/>
  <c r="BE330"/>
  <c r="BD330"/>
  <c r="BC330"/>
  <c r="BB330"/>
  <c r="BA330"/>
  <c r="AZ330"/>
  <c r="AY330"/>
  <c r="AX330"/>
  <c r="AW330"/>
  <c r="AV330"/>
  <c r="AU330"/>
  <c r="AT330"/>
  <c r="AS330"/>
  <c r="AR330"/>
  <c r="AQ330"/>
  <c r="AP330"/>
  <c r="AO330"/>
  <c r="AN330"/>
  <c r="AM330"/>
  <c r="AL330"/>
  <c r="AK330"/>
  <c r="AJ330"/>
  <c r="AI330"/>
  <c r="AH330"/>
  <c r="AG330"/>
  <c r="AF330"/>
  <c r="AE330"/>
  <c r="AD330"/>
  <c r="AC330"/>
  <c r="AB330"/>
  <c r="AA330"/>
  <c r="Z330"/>
  <c r="Y330"/>
  <c r="X330"/>
  <c r="W330"/>
  <c r="V330"/>
  <c r="U330"/>
  <c r="T330"/>
  <c r="S330"/>
  <c r="R330"/>
  <c r="Q330"/>
  <c r="P330"/>
  <c r="O330"/>
  <c r="N330"/>
  <c r="M330"/>
  <c r="L330"/>
  <c r="K330"/>
  <c r="J330"/>
  <c r="I330"/>
  <c r="H330"/>
  <c r="G330"/>
  <c r="F330"/>
  <c r="E330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DA326"/>
  <c r="CZ326"/>
  <c r="CY326"/>
  <c r="CX326"/>
  <c r="CW326"/>
  <c r="CV326"/>
  <c r="CU326"/>
  <c r="CT326"/>
  <c r="CS326"/>
  <c r="CR326"/>
  <c r="CQ326"/>
  <c r="CP326"/>
  <c r="CO326"/>
  <c r="CN326"/>
  <c r="CM326"/>
  <c r="CL326"/>
  <c r="CK326"/>
  <c r="CJ326"/>
  <c r="CI326"/>
  <c r="CH326"/>
  <c r="CF326"/>
  <c r="CE326"/>
  <c r="CD326"/>
  <c r="CC326"/>
  <c r="CB326"/>
  <c r="CA326"/>
  <c r="BZ326"/>
  <c r="BY326"/>
  <c r="BX326"/>
  <c r="BW326"/>
  <c r="BV326"/>
  <c r="BU326"/>
  <c r="BT326"/>
  <c r="BS326"/>
  <c r="BR326"/>
  <c r="BQ326"/>
  <c r="BP326"/>
  <c r="BO326"/>
  <c r="BN326"/>
  <c r="BM326"/>
  <c r="BL326"/>
  <c r="BK326"/>
  <c r="BJ326"/>
  <c r="BI326"/>
  <c r="BH326"/>
  <c r="BG326"/>
  <c r="BF326"/>
  <c r="BE326"/>
  <c r="BD326"/>
  <c r="BC326"/>
  <c r="BB326"/>
  <c r="BA326"/>
  <c r="AZ326"/>
  <c r="AY326"/>
  <c r="AX326"/>
  <c r="AW326"/>
  <c r="AV326"/>
  <c r="AU326"/>
  <c r="AT326"/>
  <c r="AS326"/>
  <c r="AR326"/>
  <c r="AQ326"/>
  <c r="AP326"/>
  <c r="AO326"/>
  <c r="AN326"/>
  <c r="AM326"/>
  <c r="AL326"/>
  <c r="AK326"/>
  <c r="AJ326"/>
  <c r="AI326"/>
  <c r="AH326"/>
  <c r="AG326"/>
  <c r="AF326"/>
  <c r="AE326"/>
  <c r="AD326"/>
  <c r="AC326"/>
  <c r="AB326"/>
  <c r="AA326"/>
  <c r="Z326"/>
  <c r="Y326"/>
  <c r="X326"/>
  <c r="W326"/>
  <c r="V326"/>
  <c r="U326"/>
  <c r="T326"/>
  <c r="S326"/>
  <c r="R326"/>
  <c r="Q326"/>
  <c r="P326"/>
  <c r="O326"/>
  <c r="N326"/>
  <c r="M326"/>
  <c r="L326"/>
  <c r="K326"/>
  <c r="J326"/>
  <c r="I326"/>
  <c r="H326"/>
  <c r="G326"/>
  <c r="F326"/>
  <c r="E326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DA323"/>
  <c r="CZ323"/>
  <c r="CY323"/>
  <c r="CX323"/>
  <c r="CW323"/>
  <c r="CV323"/>
  <c r="CU323"/>
  <c r="CT323"/>
  <c r="CS323"/>
  <c r="CR323"/>
  <c r="CQ323"/>
  <c r="CP323"/>
  <c r="CO323"/>
  <c r="CN323"/>
  <c r="CM323"/>
  <c r="CL323"/>
  <c r="CK323"/>
  <c r="CJ323"/>
  <c r="CI323"/>
  <c r="CH323"/>
  <c r="CF323"/>
  <c r="CE323"/>
  <c r="CD323"/>
  <c r="CC323"/>
  <c r="CB323"/>
  <c r="CA323"/>
  <c r="BZ323"/>
  <c r="BY323"/>
  <c r="BX323"/>
  <c r="BW323"/>
  <c r="BV323"/>
  <c r="BU323"/>
  <c r="BT323"/>
  <c r="BS323"/>
  <c r="BR323"/>
  <c r="BQ323"/>
  <c r="BP323"/>
  <c r="BO323"/>
  <c r="BN323"/>
  <c r="BM323"/>
  <c r="BL323"/>
  <c r="BK323"/>
  <c r="BJ323"/>
  <c r="BI323"/>
  <c r="BH323"/>
  <c r="BG323"/>
  <c r="BF323"/>
  <c r="BE323"/>
  <c r="BD323"/>
  <c r="BC323"/>
  <c r="BB323"/>
  <c r="BA323"/>
  <c r="AZ323"/>
  <c r="AY323"/>
  <c r="AX323"/>
  <c r="AW323"/>
  <c r="AV323"/>
  <c r="AU323"/>
  <c r="AT323"/>
  <c r="AS323"/>
  <c r="AR323"/>
  <c r="AQ323"/>
  <c r="AP323"/>
  <c r="AO323"/>
  <c r="AN323"/>
  <c r="AM323"/>
  <c r="AL323"/>
  <c r="AK323"/>
  <c r="AJ323"/>
  <c r="AI323"/>
  <c r="AH323"/>
  <c r="AG323"/>
  <c r="AF323"/>
  <c r="AE323"/>
  <c r="AD323"/>
  <c r="AC323"/>
  <c r="AB323"/>
  <c r="AA323"/>
  <c r="Z323"/>
  <c r="Y323"/>
  <c r="X323"/>
  <c r="W323"/>
  <c r="V323"/>
  <c r="U323"/>
  <c r="T323"/>
  <c r="S323"/>
  <c r="R323"/>
  <c r="Q323"/>
  <c r="P323"/>
  <c r="O323"/>
  <c r="N323"/>
  <c r="M323"/>
  <c r="L323"/>
  <c r="K323"/>
  <c r="J323"/>
  <c r="I323"/>
  <c r="H323"/>
  <c r="G323"/>
  <c r="F323"/>
  <c r="E323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DA251"/>
  <c r="CZ251"/>
  <c r="CY251"/>
  <c r="CX251"/>
  <c r="CW251"/>
  <c r="CV251"/>
  <c r="CU251"/>
  <c r="CT251"/>
  <c r="CS251"/>
  <c r="CR251"/>
  <c r="CQ251"/>
  <c r="CP251"/>
  <c r="CO251"/>
  <c r="CN251"/>
  <c r="CM251"/>
  <c r="CL251"/>
  <c r="CK251"/>
  <c r="CJ251"/>
  <c r="CI251"/>
  <c r="CH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DA245"/>
  <c r="CZ245"/>
  <c r="CY245"/>
  <c r="CX245"/>
  <c r="CW245"/>
  <c r="CV245"/>
  <c r="CU245"/>
  <c r="CT245"/>
  <c r="CS245"/>
  <c r="CR245"/>
  <c r="CQ245"/>
  <c r="CP245"/>
  <c r="CO245"/>
  <c r="CN245"/>
  <c r="CM245"/>
  <c r="CL245"/>
  <c r="CK245"/>
  <c r="CJ245"/>
  <c r="CI245"/>
  <c r="CH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DA233"/>
  <c r="CZ233"/>
  <c r="CY233"/>
  <c r="CX233"/>
  <c r="CW233"/>
  <c r="CV233"/>
  <c r="CU233"/>
  <c r="CT233"/>
  <c r="CS233"/>
  <c r="CR233"/>
  <c r="CQ233"/>
  <c r="CP233"/>
  <c r="CO233"/>
  <c r="CN233"/>
  <c r="CM233"/>
  <c r="CL233"/>
  <c r="CK233"/>
  <c r="CJ233"/>
  <c r="CI233"/>
  <c r="CH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DA227"/>
  <c r="CZ227"/>
  <c r="CY227"/>
  <c r="CX227"/>
  <c r="CW227"/>
  <c r="CV227"/>
  <c r="CU227"/>
  <c r="CT227"/>
  <c r="CS227"/>
  <c r="CR227"/>
  <c r="CQ227"/>
  <c r="CP227"/>
  <c r="CO227"/>
  <c r="CN227"/>
  <c r="CM227"/>
  <c r="CL227"/>
  <c r="CK227"/>
  <c r="CJ227"/>
  <c r="CI227"/>
  <c r="CH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DA196"/>
  <c r="CZ196"/>
  <c r="CY196"/>
  <c r="CX196"/>
  <c r="CW196"/>
  <c r="CV196"/>
  <c r="CU196"/>
  <c r="CT196"/>
  <c r="CS196"/>
  <c r="CR196"/>
  <c r="CQ196"/>
  <c r="CP196"/>
  <c r="CO196"/>
  <c r="CN196"/>
  <c r="CM196"/>
  <c r="CL196"/>
  <c r="CK196"/>
  <c r="CJ196"/>
  <c r="CI196"/>
  <c r="CH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DA189"/>
  <c r="CZ189"/>
  <c r="CY189"/>
  <c r="CX189"/>
  <c r="CW189"/>
  <c r="CV189"/>
  <c r="CU189"/>
  <c r="CT189"/>
  <c r="CS189"/>
  <c r="CR189"/>
  <c r="CQ189"/>
  <c r="CP189"/>
  <c r="CO189"/>
  <c r="CN189"/>
  <c r="CM189"/>
  <c r="CL189"/>
  <c r="CK189"/>
  <c r="CJ189"/>
  <c r="CI189"/>
  <c r="CH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DA183"/>
  <c r="CZ183"/>
  <c r="CY183"/>
  <c r="CX183"/>
  <c r="CW183"/>
  <c r="CV183"/>
  <c r="CU183"/>
  <c r="CT183"/>
  <c r="CS183"/>
  <c r="CR183"/>
  <c r="CQ183"/>
  <c r="CP183"/>
  <c r="CO183"/>
  <c r="CN183"/>
  <c r="CM183"/>
  <c r="CL183"/>
  <c r="CK183"/>
  <c r="CJ183"/>
  <c r="CI183"/>
  <c r="CH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DA177"/>
  <c r="CZ177"/>
  <c r="CY177"/>
  <c r="CX177"/>
  <c r="CW177"/>
  <c r="CV177"/>
  <c r="CU177"/>
  <c r="CT177"/>
  <c r="CS177"/>
  <c r="CR177"/>
  <c r="CQ177"/>
  <c r="CP177"/>
  <c r="CO177"/>
  <c r="CN177"/>
  <c r="CM177"/>
  <c r="CL177"/>
  <c r="CK177"/>
  <c r="CJ177"/>
  <c r="CI177"/>
  <c r="CH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DA171"/>
  <c r="CZ171"/>
  <c r="CY171"/>
  <c r="CX171"/>
  <c r="CW171"/>
  <c r="CV171"/>
  <c r="CU171"/>
  <c r="CT171"/>
  <c r="CS171"/>
  <c r="CR171"/>
  <c r="CQ171"/>
  <c r="CP171"/>
  <c r="CO171"/>
  <c r="CN171"/>
  <c r="CM171"/>
  <c r="CL171"/>
  <c r="CK171"/>
  <c r="CJ171"/>
  <c r="CI171"/>
  <c r="CH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DA165"/>
  <c r="CZ165"/>
  <c r="CY165"/>
  <c r="CX165"/>
  <c r="CW165"/>
  <c r="CV165"/>
  <c r="CU165"/>
  <c r="CT165"/>
  <c r="CS165"/>
  <c r="CR165"/>
  <c r="CQ165"/>
  <c r="CP165"/>
  <c r="CO165"/>
  <c r="CN165"/>
  <c r="CM165"/>
  <c r="CL165"/>
  <c r="CK165"/>
  <c r="CJ165"/>
  <c r="CI165"/>
  <c r="CH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DA158"/>
  <c r="CZ158"/>
  <c r="CY158"/>
  <c r="CX158"/>
  <c r="CW158"/>
  <c r="CV158"/>
  <c r="CU158"/>
  <c r="CT158"/>
  <c r="CS158"/>
  <c r="CR158"/>
  <c r="CQ158"/>
  <c r="CP158"/>
  <c r="CO158"/>
  <c r="CN158"/>
  <c r="CM158"/>
  <c r="CL158"/>
  <c r="CK158"/>
  <c r="CJ158"/>
  <c r="CI158"/>
  <c r="CH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DA152"/>
  <c r="CZ152"/>
  <c r="CY152"/>
  <c r="CX152"/>
  <c r="CW152"/>
  <c r="CV152"/>
  <c r="CU152"/>
  <c r="CT152"/>
  <c r="CS152"/>
  <c r="CR152"/>
  <c r="CQ152"/>
  <c r="CP152"/>
  <c r="CO152"/>
  <c r="CN152"/>
  <c r="CM152"/>
  <c r="CL152"/>
  <c r="CK152"/>
  <c r="CJ152"/>
  <c r="CI152"/>
  <c r="CH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S152"/>
  <c r="R152"/>
  <c r="Q152"/>
  <c r="P152"/>
  <c r="O152"/>
  <c r="N152"/>
  <c r="M152"/>
  <c r="L152"/>
  <c r="K152"/>
  <c r="J152"/>
  <c r="I152"/>
  <c r="H152"/>
  <c r="G152"/>
  <c r="F152"/>
  <c r="E152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DA146"/>
  <c r="CZ146"/>
  <c r="CY146"/>
  <c r="CX146"/>
  <c r="CW146"/>
  <c r="CV146"/>
  <c r="CU146"/>
  <c r="CT146"/>
  <c r="CS146"/>
  <c r="CR146"/>
  <c r="CQ146"/>
  <c r="CP146"/>
  <c r="CO146"/>
  <c r="CN146"/>
  <c r="CM146"/>
  <c r="CL146"/>
  <c r="CK146"/>
  <c r="CJ146"/>
  <c r="CI146"/>
  <c r="CH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O146"/>
  <c r="N146"/>
  <c r="M146"/>
  <c r="L146"/>
  <c r="K146"/>
  <c r="J146"/>
  <c r="I146"/>
  <c r="H146"/>
  <c r="G146"/>
  <c r="F146"/>
  <c r="E146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DA140"/>
  <c r="CZ140"/>
  <c r="CY140"/>
  <c r="CX140"/>
  <c r="CW140"/>
  <c r="CV140"/>
  <c r="CU140"/>
  <c r="CT140"/>
  <c r="CS140"/>
  <c r="CR140"/>
  <c r="CQ140"/>
  <c r="CP140"/>
  <c r="CO140"/>
  <c r="CN140"/>
  <c r="CM140"/>
  <c r="CL140"/>
  <c r="CK140"/>
  <c r="CJ140"/>
  <c r="CI140"/>
  <c r="CH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O140"/>
  <c r="N140"/>
  <c r="M140"/>
  <c r="L140"/>
  <c r="K140"/>
  <c r="J140"/>
  <c r="I140"/>
  <c r="H140"/>
  <c r="G140"/>
  <c r="F140"/>
  <c r="E140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DA134"/>
  <c r="CZ134"/>
  <c r="CY134"/>
  <c r="CX134"/>
  <c r="CW134"/>
  <c r="CV134"/>
  <c r="CU134"/>
  <c r="CT134"/>
  <c r="CS134"/>
  <c r="CR134"/>
  <c r="CQ134"/>
  <c r="CP134"/>
  <c r="CO134"/>
  <c r="CN134"/>
  <c r="CM134"/>
  <c r="CL134"/>
  <c r="CK134"/>
  <c r="CJ134"/>
  <c r="CI134"/>
  <c r="CH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DA127"/>
  <c r="CZ127"/>
  <c r="CY127"/>
  <c r="CX127"/>
  <c r="CW127"/>
  <c r="CV127"/>
  <c r="CU127"/>
  <c r="CT127"/>
  <c r="CS127"/>
  <c r="CR127"/>
  <c r="CQ127"/>
  <c r="CP127"/>
  <c r="CO127"/>
  <c r="CN127"/>
  <c r="CM127"/>
  <c r="CL127"/>
  <c r="CK127"/>
  <c r="CJ127"/>
  <c r="CI127"/>
  <c r="CH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DA121"/>
  <c r="CZ121"/>
  <c r="CY121"/>
  <c r="CX121"/>
  <c r="CW121"/>
  <c r="CV121"/>
  <c r="CU121"/>
  <c r="CT121"/>
  <c r="CS121"/>
  <c r="CR121"/>
  <c r="CQ121"/>
  <c r="CP121"/>
  <c r="CO121"/>
  <c r="CN121"/>
  <c r="CM121"/>
  <c r="CL121"/>
  <c r="CK121"/>
  <c r="CJ121"/>
  <c r="CI121"/>
  <c r="CH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DA115"/>
  <c r="CZ115"/>
  <c r="CY115"/>
  <c r="CX115"/>
  <c r="CW115"/>
  <c r="CV115"/>
  <c r="CU115"/>
  <c r="CT115"/>
  <c r="CS115"/>
  <c r="CR115"/>
  <c r="CQ115"/>
  <c r="CP115"/>
  <c r="CO115"/>
  <c r="CN115"/>
  <c r="CM115"/>
  <c r="CL115"/>
  <c r="CK115"/>
  <c r="CJ115"/>
  <c r="CI115"/>
  <c r="CH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DA109"/>
  <c r="CZ109"/>
  <c r="CY109"/>
  <c r="CX109"/>
  <c r="CW109"/>
  <c r="CV109"/>
  <c r="CU109"/>
  <c r="CT109"/>
  <c r="CS109"/>
  <c r="CR109"/>
  <c r="CQ109"/>
  <c r="CP109"/>
  <c r="CO109"/>
  <c r="CN109"/>
  <c r="CM109"/>
  <c r="CL109"/>
  <c r="CK109"/>
  <c r="CJ109"/>
  <c r="CI109"/>
  <c r="CH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DA103"/>
  <c r="CZ103"/>
  <c r="CY103"/>
  <c r="CX103"/>
  <c r="CW103"/>
  <c r="CV103"/>
  <c r="CU103"/>
  <c r="CT103"/>
  <c r="CS103"/>
  <c r="CR103"/>
  <c r="CQ103"/>
  <c r="CP103"/>
  <c r="CO103"/>
  <c r="CN103"/>
  <c r="CM103"/>
  <c r="CL103"/>
  <c r="CK103"/>
  <c r="CJ103"/>
  <c r="CI103"/>
  <c r="CH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DA96"/>
  <c r="CZ96"/>
  <c r="CY96"/>
  <c r="CX96"/>
  <c r="CW96"/>
  <c r="CV96"/>
  <c r="CU96"/>
  <c r="CT96"/>
  <c r="CS96"/>
  <c r="CR96"/>
  <c r="CQ96"/>
  <c r="CP96"/>
  <c r="CO96"/>
  <c r="CN96"/>
  <c r="CM96"/>
  <c r="CL96"/>
  <c r="CK96"/>
  <c r="CJ96"/>
  <c r="CI96"/>
  <c r="CH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DA90"/>
  <c r="CZ90"/>
  <c r="CY90"/>
  <c r="CX90"/>
  <c r="CW90"/>
  <c r="CV90"/>
  <c r="CU90"/>
  <c r="CT90"/>
  <c r="CS90"/>
  <c r="CR90"/>
  <c r="CQ90"/>
  <c r="CP90"/>
  <c r="CO90"/>
  <c r="CN90"/>
  <c r="CM90"/>
  <c r="CL90"/>
  <c r="CK90"/>
  <c r="CJ90"/>
  <c r="CI90"/>
  <c r="CH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DA84"/>
  <c r="CZ84"/>
  <c r="CY84"/>
  <c r="CX84"/>
  <c r="CW84"/>
  <c r="CV84"/>
  <c r="CU84"/>
  <c r="CT84"/>
  <c r="CS84"/>
  <c r="CR84"/>
  <c r="CQ84"/>
  <c r="CP84"/>
  <c r="CO84"/>
  <c r="CN84"/>
  <c r="CM84"/>
  <c r="CL84"/>
  <c r="CK84"/>
  <c r="CJ84"/>
  <c r="CI84"/>
  <c r="CH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DA78"/>
  <c r="CZ78"/>
  <c r="CY78"/>
  <c r="CX78"/>
  <c r="CW78"/>
  <c r="CV78"/>
  <c r="CU78"/>
  <c r="CT78"/>
  <c r="CS78"/>
  <c r="CR78"/>
  <c r="CQ78"/>
  <c r="CP78"/>
  <c r="CO78"/>
  <c r="CN78"/>
  <c r="CM78"/>
  <c r="CL78"/>
  <c r="CK78"/>
  <c r="CJ78"/>
  <c r="CI78"/>
  <c r="CH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DA72"/>
  <c r="CZ72"/>
  <c r="CY72"/>
  <c r="CX72"/>
  <c r="CW72"/>
  <c r="CV72"/>
  <c r="CU72"/>
  <c r="CT72"/>
  <c r="CS72"/>
  <c r="CR72"/>
  <c r="CQ72"/>
  <c r="CP72"/>
  <c r="CO72"/>
  <c r="CN72"/>
  <c r="CM72"/>
  <c r="CL72"/>
  <c r="CK72"/>
  <c r="CJ72"/>
  <c r="CI72"/>
  <c r="CH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DA65"/>
  <c r="CZ65"/>
  <c r="CY65"/>
  <c r="CX65"/>
  <c r="CW65"/>
  <c r="CV65"/>
  <c r="CU65"/>
  <c r="CT65"/>
  <c r="CS65"/>
  <c r="CR65"/>
  <c r="CQ65"/>
  <c r="CP65"/>
  <c r="CO65"/>
  <c r="CN65"/>
  <c r="CM65"/>
  <c r="CL65"/>
  <c r="CK65"/>
  <c r="CJ65"/>
  <c r="CI65"/>
  <c r="CH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DA59"/>
  <c r="CZ59"/>
  <c r="CY59"/>
  <c r="CX59"/>
  <c r="CW59"/>
  <c r="CV59"/>
  <c r="CU59"/>
  <c r="CT59"/>
  <c r="CS59"/>
  <c r="CR59"/>
  <c r="CQ59"/>
  <c r="CP59"/>
  <c r="CO59"/>
  <c r="CN59"/>
  <c r="CM59"/>
  <c r="CL59"/>
  <c r="CK59"/>
  <c r="CJ59"/>
  <c r="CI59"/>
  <c r="CH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DA53"/>
  <c r="CZ53"/>
  <c r="CY53"/>
  <c r="CX53"/>
  <c r="CW53"/>
  <c r="CV53"/>
  <c r="CU53"/>
  <c r="CT53"/>
  <c r="CS53"/>
  <c r="CR53"/>
  <c r="CQ53"/>
  <c r="CP53"/>
  <c r="CO53"/>
  <c r="CN53"/>
  <c r="CM53"/>
  <c r="CL53"/>
  <c r="CK53"/>
  <c r="CJ53"/>
  <c r="CI53"/>
  <c r="CH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DA47"/>
  <c r="CZ47"/>
  <c r="CY47"/>
  <c r="CX47"/>
  <c r="CW47"/>
  <c r="CV47"/>
  <c r="CU47"/>
  <c r="CT47"/>
  <c r="CS47"/>
  <c r="CR47"/>
  <c r="CQ47"/>
  <c r="CP47"/>
  <c r="CO47"/>
  <c r="CN47"/>
  <c r="CM47"/>
  <c r="CL47"/>
  <c r="CK47"/>
  <c r="CJ47"/>
  <c r="CI47"/>
  <c r="CH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DA41"/>
  <c r="CZ41"/>
  <c r="CY41"/>
  <c r="CX41"/>
  <c r="CW41"/>
  <c r="CV41"/>
  <c r="CU41"/>
  <c r="CT41"/>
  <c r="CS41"/>
  <c r="CR41"/>
  <c r="CQ41"/>
  <c r="CP41"/>
  <c r="CO41"/>
  <c r="CN41"/>
  <c r="CM41"/>
  <c r="CL41"/>
  <c r="CK41"/>
  <c r="CJ41"/>
  <c r="CI41"/>
  <c r="CH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DA34"/>
  <c r="CZ34"/>
  <c r="CY34"/>
  <c r="CX34"/>
  <c r="CW34"/>
  <c r="CV34"/>
  <c r="CU34"/>
  <c r="CT34"/>
  <c r="CS34"/>
  <c r="CR34"/>
  <c r="CQ34"/>
  <c r="CP34"/>
  <c r="CO34"/>
  <c r="CN34"/>
  <c r="CM34"/>
  <c r="CL34"/>
  <c r="CK34"/>
  <c r="CJ34"/>
  <c r="CI34"/>
  <c r="CH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DA28"/>
  <c r="CZ28"/>
  <c r="CY28"/>
  <c r="CX28"/>
  <c r="CW28"/>
  <c r="CV28"/>
  <c r="CU28"/>
  <c r="CT28"/>
  <c r="CS28"/>
  <c r="CR28"/>
  <c r="CQ28"/>
  <c r="CP28"/>
  <c r="CO28"/>
  <c r="CN28"/>
  <c r="CM28"/>
  <c r="CL28"/>
  <c r="CK28"/>
  <c r="CJ28"/>
  <c r="CI28"/>
  <c r="CH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DA22"/>
  <c r="CZ22"/>
  <c r="CY22"/>
  <c r="CX22"/>
  <c r="CW22"/>
  <c r="CV22"/>
  <c r="CU22"/>
  <c r="CT22"/>
  <c r="CS22"/>
  <c r="CR22"/>
  <c r="CQ22"/>
  <c r="CP22"/>
  <c r="CO22"/>
  <c r="CN22"/>
  <c r="CM22"/>
  <c r="CL22"/>
  <c r="CK22"/>
  <c r="CJ22"/>
  <c r="CI22"/>
  <c r="CH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DA16"/>
  <c r="CZ16"/>
  <c r="CY16"/>
  <c r="CX16"/>
  <c r="CW16"/>
  <c r="CV16"/>
  <c r="CU16"/>
  <c r="CT16"/>
  <c r="CS16"/>
  <c r="CR16"/>
  <c r="CQ16"/>
  <c r="CP16"/>
  <c r="CO16"/>
  <c r="CN16"/>
  <c r="CM16"/>
  <c r="CL16"/>
  <c r="CK16"/>
  <c r="CJ16"/>
  <c r="CI16"/>
  <c r="CH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BJ10"/>
  <c r="BK10"/>
  <c r="BL10"/>
  <c r="BM10"/>
  <c r="BN10"/>
  <c r="BO10"/>
  <c r="BP10"/>
  <c r="BQ10"/>
  <c r="BR10"/>
  <c r="BS10"/>
  <c r="BT10"/>
  <c r="BU10"/>
  <c r="BV10"/>
  <c r="BW10"/>
  <c r="BX10"/>
  <c r="BY10"/>
  <c r="BZ10"/>
  <c r="CA10"/>
  <c r="CB10"/>
  <c r="CC10"/>
  <c r="CD10"/>
  <c r="CE10"/>
  <c r="CF10"/>
  <c r="CH10"/>
  <c r="CI10"/>
  <c r="CJ10"/>
  <c r="CK10"/>
  <c r="CL10"/>
  <c r="CM10"/>
  <c r="CN10"/>
  <c r="CO10"/>
  <c r="CP10"/>
  <c r="CQ10"/>
  <c r="CR10"/>
  <c r="CS10"/>
  <c r="CT10"/>
  <c r="CU10"/>
  <c r="CV10"/>
  <c r="CW10"/>
  <c r="CX10"/>
  <c r="CY10"/>
  <c r="CZ10"/>
  <c r="DA10"/>
  <c r="DB10"/>
  <c r="DC10"/>
  <c r="DD10"/>
  <c r="DE10"/>
  <c r="DF10"/>
  <c r="DG10"/>
  <c r="DH10"/>
  <c r="DI10"/>
  <c r="DJ10"/>
  <c r="DK10"/>
  <c r="DL10"/>
  <c r="DM10"/>
  <c r="DN10"/>
  <c r="DO10"/>
  <c r="DP10"/>
  <c r="DQ10"/>
  <c r="DR10"/>
  <c r="DS10"/>
  <c r="DT10"/>
  <c r="DU10"/>
  <c r="DV10"/>
  <c r="DW10"/>
  <c r="DX10"/>
  <c r="DY10"/>
  <c r="DZ10"/>
  <c r="EA10"/>
  <c r="EB10"/>
  <c r="EC10"/>
  <c r="ED10"/>
  <c r="EE10"/>
  <c r="EF10"/>
  <c r="EG10"/>
  <c r="EH10"/>
  <c r="EI10"/>
  <c r="EJ10"/>
  <c r="EK10"/>
  <c r="EL10"/>
  <c r="EM10"/>
  <c r="EN10"/>
  <c r="EO10"/>
  <c r="EP10"/>
  <c r="EQ10"/>
  <c r="ER10"/>
  <c r="ES10"/>
  <c r="ET10"/>
  <c r="EU10"/>
  <c r="EV10"/>
  <c r="EW10"/>
  <c r="EX10"/>
  <c r="EY10"/>
  <c r="EZ10"/>
  <c r="FA10"/>
  <c r="FB10"/>
  <c r="FC10"/>
  <c r="FD10"/>
  <c r="FE10"/>
  <c r="FF10"/>
  <c r="FG10"/>
  <c r="FH10"/>
  <c r="FI10"/>
  <c r="FJ10"/>
  <c r="FK10"/>
  <c r="FL10"/>
  <c r="FM10"/>
  <c r="FN10"/>
  <c r="FO10"/>
  <c r="FP10"/>
  <c r="FQ10"/>
  <c r="I79" i="19" l="1"/>
  <c r="I80"/>
  <c r="I81"/>
  <c r="I39"/>
  <c r="I61"/>
  <c r="I40"/>
  <c r="I62"/>
  <c r="I38"/>
  <c r="I41"/>
  <c r="I63"/>
  <c r="I42"/>
  <c r="I64"/>
  <c r="I43"/>
  <c r="I65"/>
  <c r="I60"/>
  <c r="C323" i="14"/>
  <c r="C330"/>
  <c r="C348"/>
  <c r="C354"/>
  <c r="I4" i="19"/>
  <c r="I5"/>
  <c r="I6"/>
  <c r="I7"/>
  <c r="I8"/>
  <c r="I3"/>
  <c r="C322" i="14"/>
  <c r="C329"/>
  <c r="C396"/>
  <c r="C313"/>
  <c r="C366"/>
  <c r="C390"/>
  <c r="C264"/>
  <c r="C257"/>
  <c r="C372"/>
  <c r="C326"/>
  <c r="C336"/>
  <c r="C342"/>
  <c r="C360"/>
  <c r="C384"/>
  <c r="C318"/>
  <c r="C378"/>
  <c r="C314"/>
  <c r="FT209"/>
  <c r="FT178"/>
  <c r="I70" i="19" s="1"/>
  <c r="EA403" i="14"/>
  <c r="C403" s="1"/>
  <c r="C171"/>
  <c r="C289"/>
  <c r="C271"/>
  <c r="C301"/>
  <c r="C283"/>
  <c r="C295"/>
  <c r="C307"/>
  <c r="C265"/>
  <c r="C277"/>
  <c r="C258"/>
  <c r="C239"/>
  <c r="C195"/>
  <c r="C78"/>
  <c r="C127"/>
  <c r="C140"/>
  <c r="C109"/>
  <c r="C40"/>
  <c r="C71"/>
  <c r="C133"/>
  <c r="C28"/>
  <c r="C41"/>
  <c r="C53"/>
  <c r="C65"/>
  <c r="C90"/>
  <c r="C103"/>
  <c r="C115"/>
  <c r="C152"/>
  <c r="C165"/>
  <c r="C177"/>
  <c r="C189"/>
  <c r="C202"/>
  <c r="C214"/>
  <c r="C227"/>
  <c r="C251"/>
  <c r="C10"/>
  <c r="C22"/>
  <c r="C34"/>
  <c r="C47"/>
  <c r="C59"/>
  <c r="C72"/>
  <c r="C84"/>
  <c r="C96"/>
  <c r="C121"/>
  <c r="C134"/>
  <c r="C146"/>
  <c r="C158"/>
  <c r="C183"/>
  <c r="C196"/>
  <c r="C208"/>
  <c r="C220"/>
  <c r="C233"/>
  <c r="C245"/>
  <c r="C102"/>
  <c r="C164"/>
  <c r="C226"/>
  <c r="C16"/>
  <c r="C9"/>
  <c r="I75" i="19" l="1"/>
  <c r="I86"/>
  <c r="I87"/>
  <c r="I66"/>
  <c r="I83"/>
  <c r="I89"/>
  <c r="I85"/>
  <c r="I50"/>
  <c r="I68"/>
  <c r="I88"/>
  <c r="I82"/>
  <c r="I74"/>
  <c r="I84"/>
  <c r="I52"/>
  <c r="I55"/>
  <c r="I44"/>
  <c r="I47"/>
  <c r="I54"/>
  <c r="I72"/>
  <c r="I46"/>
  <c r="I56"/>
  <c r="I53"/>
  <c r="I51"/>
  <c r="I49"/>
  <c r="I69"/>
  <c r="I45"/>
  <c r="I73"/>
  <c r="I71"/>
  <c r="M33"/>
  <c r="I67"/>
  <c r="I48"/>
  <c r="CZ32"/>
  <c r="EN33"/>
  <c r="EA33"/>
  <c r="EP32"/>
  <c r="CJ34"/>
  <c r="EL34"/>
  <c r="BV33"/>
  <c r="DJ34"/>
  <c r="BH32"/>
  <c r="BR34"/>
  <c r="CJ33"/>
  <c r="CE32"/>
  <c r="W33"/>
  <c r="BP34"/>
  <c r="BR33"/>
  <c r="BQ33"/>
  <c r="I11"/>
  <c r="I26"/>
  <c r="DD33"/>
  <c r="BQ34"/>
  <c r="U32"/>
  <c r="BN33"/>
  <c r="EC33"/>
  <c r="AE34"/>
  <c r="CZ34"/>
  <c r="FP34"/>
  <c r="DX34"/>
  <c r="ET34"/>
  <c r="AZ32"/>
  <c r="DO32"/>
  <c r="Q33"/>
  <c r="CK33"/>
  <c r="FA33"/>
  <c r="BJ34"/>
  <c r="DY34"/>
  <c r="FT32"/>
  <c r="CB33"/>
  <c r="BI34"/>
  <c r="I31"/>
  <c r="BW32"/>
  <c r="AP32"/>
  <c r="DM32"/>
  <c r="O33"/>
  <c r="CI33"/>
  <c r="EY33"/>
  <c r="BH34"/>
  <c r="DW34"/>
  <c r="CK32"/>
  <c r="FA32"/>
  <c r="BJ33"/>
  <c r="DY33"/>
  <c r="AA34"/>
  <c r="CU34"/>
  <c r="BI33"/>
  <c r="DX33"/>
  <c r="I13"/>
  <c r="BE32"/>
  <c r="I20"/>
  <c r="BL32"/>
  <c r="EA32"/>
  <c r="AC33"/>
  <c r="O32"/>
  <c r="CI32"/>
  <c r="EY32"/>
  <c r="BH33"/>
  <c r="DW33"/>
  <c r="Y34"/>
  <c r="CS34"/>
  <c r="FJ34"/>
  <c r="FV34"/>
  <c r="I18"/>
  <c r="BJ32"/>
  <c r="DY32"/>
  <c r="AA33"/>
  <c r="CU33"/>
  <c r="FL33"/>
  <c r="BT34"/>
  <c r="EJ34"/>
  <c r="AC34"/>
  <c r="BV34"/>
  <c r="M32"/>
  <c r="CG32"/>
  <c r="EW32"/>
  <c r="BF33"/>
  <c r="DU33"/>
  <c r="W34"/>
  <c r="CQ34"/>
  <c r="FH34"/>
  <c r="CO34"/>
  <c r="DU34"/>
  <c r="AJ32"/>
  <c r="DG32"/>
  <c r="FU32"/>
  <c r="CC33"/>
  <c r="ES33"/>
  <c r="BB34"/>
  <c r="DQ34"/>
  <c r="FC32"/>
  <c r="BT33"/>
  <c r="U34"/>
  <c r="I23"/>
  <c r="BO32"/>
  <c r="FL32"/>
  <c r="AH32"/>
  <c r="DC32"/>
  <c r="FS32"/>
  <c r="CA33"/>
  <c r="EQ33"/>
  <c r="AZ34"/>
  <c r="DO34"/>
  <c r="BU32"/>
  <c r="ES32"/>
  <c r="BB33"/>
  <c r="DQ33"/>
  <c r="S34"/>
  <c r="CM34"/>
  <c r="U33"/>
  <c r="DP33"/>
  <c r="AO32"/>
  <c r="I12"/>
  <c r="BD32"/>
  <c r="DS32"/>
  <c r="EM32"/>
  <c r="AE32"/>
  <c r="BX33"/>
  <c r="DL34"/>
  <c r="BZ32"/>
  <c r="P34"/>
  <c r="CW32"/>
  <c r="CS33"/>
  <c r="I14"/>
  <c r="CQ33"/>
  <c r="CS32"/>
  <c r="AI34"/>
  <c r="I28"/>
  <c r="CQ32"/>
  <c r="EF33"/>
  <c r="FR34"/>
  <c r="EH32"/>
  <c r="ER34"/>
  <c r="FF32"/>
  <c r="EQ32"/>
  <c r="Q34"/>
  <c r="FA34"/>
  <c r="BB32"/>
  <c r="CM33"/>
  <c r="BL34"/>
  <c r="FI33"/>
  <c r="BY32"/>
  <c r="DM33"/>
  <c r="EY34"/>
  <c r="AB32"/>
  <c r="BU33"/>
  <c r="DI34"/>
  <c r="BL33"/>
  <c r="BG32"/>
  <c r="CT32"/>
  <c r="EI33"/>
  <c r="FU34"/>
  <c r="DI33"/>
  <c r="FT34"/>
  <c r="AG32"/>
  <c r="AN32"/>
  <c r="DK32"/>
  <c r="EI32"/>
  <c r="FU33"/>
  <c r="DP34"/>
  <c r="DI32"/>
  <c r="EU33"/>
  <c r="DS34"/>
  <c r="FN33"/>
  <c r="EG32"/>
  <c r="FS33"/>
  <c r="M34"/>
  <c r="CN32"/>
  <c r="EB33"/>
  <c r="FO34"/>
  <c r="ER33"/>
  <c r="DN32"/>
  <c r="FB32"/>
  <c r="AB34"/>
  <c r="EB32"/>
  <c r="FO33"/>
  <c r="CW33"/>
  <c r="FC34"/>
  <c r="FQ32"/>
  <c r="I19"/>
  <c r="BK32"/>
  <c r="DZ32"/>
  <c r="AB33"/>
  <c r="CV33"/>
  <c r="FM33"/>
  <c r="BU34"/>
  <c r="EK34"/>
  <c r="BY34"/>
  <c r="DM34"/>
  <c r="AD32"/>
  <c r="CX32"/>
  <c r="FO32"/>
  <c r="BW33"/>
  <c r="EM33"/>
  <c r="AN34"/>
  <c r="DK34"/>
  <c r="ED32"/>
  <c r="EO33"/>
  <c r="I17"/>
  <c r="BI32"/>
  <c r="DX32"/>
  <c r="Z33"/>
  <c r="CT33"/>
  <c r="FK33"/>
  <c r="BS34"/>
  <c r="EI34"/>
  <c r="EJ33"/>
  <c r="R34"/>
  <c r="L32"/>
  <c r="CF32"/>
  <c r="EV32"/>
  <c r="BE33"/>
  <c r="DT33"/>
  <c r="V34"/>
  <c r="CP34"/>
  <c r="FG34"/>
  <c r="AN33"/>
  <c r="DK33"/>
  <c r="FN34"/>
  <c r="AI32"/>
  <c r="DD32"/>
  <c r="AX34"/>
  <c r="CD32"/>
  <c r="ET32"/>
  <c r="BC33"/>
  <c r="DR33"/>
  <c r="T34"/>
  <c r="CN34"/>
  <c r="FE34"/>
  <c r="DT32"/>
  <c r="V33"/>
  <c r="CP33"/>
  <c r="FG33"/>
  <c r="BO34"/>
  <c r="EU34"/>
  <c r="CO33"/>
  <c r="CT34"/>
  <c r="Q32"/>
  <c r="EM34"/>
  <c r="X32"/>
  <c r="CR32"/>
  <c r="FI32"/>
  <c r="I34"/>
  <c r="DN33"/>
  <c r="DH34"/>
  <c r="FN32"/>
  <c r="AM34"/>
  <c r="FF34"/>
  <c r="Y33"/>
  <c r="EH34"/>
  <c r="CG34"/>
  <c r="BF32"/>
  <c r="FH33"/>
  <c r="FJ32"/>
  <c r="DD34"/>
  <c r="FF33"/>
  <c r="BM32"/>
  <c r="BT32"/>
  <c r="W32"/>
  <c r="BP33"/>
  <c r="DB34"/>
  <c r="BR32"/>
  <c r="FT33"/>
  <c r="CO32"/>
  <c r="AZ33"/>
  <c r="CK34"/>
  <c r="EW34"/>
  <c r="DQ32"/>
  <c r="FC33"/>
  <c r="EA34"/>
  <c r="AH34"/>
  <c r="EO32"/>
  <c r="O34"/>
  <c r="BA34"/>
  <c r="CV32"/>
  <c r="EK33"/>
  <c r="I15"/>
  <c r="Z32"/>
  <c r="BS33"/>
  <c r="DG34"/>
  <c r="AL33"/>
  <c r="CE34"/>
  <c r="FK34"/>
  <c r="I27"/>
  <c r="AJ33"/>
  <c r="CC34"/>
  <c r="FB34"/>
  <c r="K33"/>
  <c r="I25"/>
  <c r="AH33"/>
  <c r="CA34"/>
  <c r="BF34"/>
  <c r="FE32"/>
  <c r="AD34"/>
  <c r="R32"/>
  <c r="BK33"/>
  <c r="CV34"/>
  <c r="AD33"/>
  <c r="BW34"/>
  <c r="EC34"/>
  <c r="AF32"/>
  <c r="DR32"/>
  <c r="T33"/>
  <c r="CN33"/>
  <c r="FE33"/>
  <c r="BM34"/>
  <c r="EB34"/>
  <c r="AK34"/>
  <c r="CD34"/>
  <c r="V32"/>
  <c r="CP32"/>
  <c r="FG32"/>
  <c r="BO33"/>
  <c r="ED33"/>
  <c r="AF34"/>
  <c r="DA34"/>
  <c r="FQ34"/>
  <c r="BA33"/>
  <c r="I9"/>
  <c r="BA32"/>
  <c r="DP32"/>
  <c r="R33"/>
  <c r="CL33"/>
  <c r="FB33"/>
  <c r="BK34"/>
  <c r="DZ34"/>
  <c r="EU32"/>
  <c r="EW33"/>
  <c r="I32"/>
  <c r="BX32"/>
  <c r="EN32"/>
  <c r="AO33"/>
  <c r="DL33"/>
  <c r="N34"/>
  <c r="CH34"/>
  <c r="EX34"/>
  <c r="AF33"/>
  <c r="DA33"/>
  <c r="EG34"/>
  <c r="AA32"/>
  <c r="CU32"/>
  <c r="I30"/>
  <c r="BV32"/>
  <c r="EL32"/>
  <c r="AM33"/>
  <c r="DJ33"/>
  <c r="L34"/>
  <c r="CF34"/>
  <c r="EV34"/>
  <c r="DL32"/>
  <c r="N33"/>
  <c r="CH33"/>
  <c r="EX33"/>
  <c r="BG34"/>
  <c r="ED34"/>
  <c r="CG33"/>
  <c r="BN34"/>
  <c r="AX33"/>
  <c r="DV34"/>
  <c r="P32"/>
  <c r="CJ32"/>
  <c r="EZ32"/>
  <c r="FP32"/>
  <c r="AO34"/>
  <c r="FV33"/>
  <c r="AY33"/>
  <c r="EZ34"/>
  <c r="AC32"/>
  <c r="EL33"/>
  <c r="J34"/>
  <c r="DW32"/>
  <c r="FJ33"/>
  <c r="P33"/>
  <c r="K32"/>
  <c r="DU32"/>
  <c r="EF34"/>
  <c r="EH33"/>
  <c r="I21"/>
  <c r="EJ32"/>
  <c r="FH32"/>
  <c r="AG34"/>
  <c r="EG33"/>
  <c r="AI33"/>
  <c r="CB34"/>
  <c r="DC34"/>
  <c r="CA32"/>
  <c r="DO33"/>
  <c r="I10"/>
  <c r="S33"/>
  <c r="I33"/>
  <c r="AP33"/>
  <c r="CI34"/>
  <c r="CL34"/>
  <c r="FM32"/>
  <c r="AL34"/>
  <c r="J33"/>
  <c r="EZ33"/>
  <c r="DV32"/>
  <c r="FK32"/>
  <c r="AJ34"/>
  <c r="EK32"/>
  <c r="K34"/>
  <c r="DH33"/>
  <c r="I16"/>
  <c r="BS32"/>
  <c r="DG33"/>
  <c r="ES34"/>
  <c r="AL32"/>
  <c r="CE33"/>
  <c r="BD34"/>
  <c r="DS33"/>
  <c r="BQ32"/>
  <c r="DC33"/>
  <c r="EQ34"/>
  <c r="T32"/>
  <c r="BM33"/>
  <c r="CX34"/>
  <c r="BD33"/>
  <c r="AY32"/>
  <c r="CL32"/>
  <c r="DZ33"/>
  <c r="FM34"/>
  <c r="CX33"/>
  <c r="FL34"/>
  <c r="Y32"/>
  <c r="DA32"/>
  <c r="BC32"/>
  <c r="AM32"/>
  <c r="DJ32"/>
  <c r="L33"/>
  <c r="CF33"/>
  <c r="EV33"/>
  <c r="BE34"/>
  <c r="DT34"/>
  <c r="FQ33"/>
  <c r="AP34"/>
  <c r="N32"/>
  <c r="CH32"/>
  <c r="EX32"/>
  <c r="BG33"/>
  <c r="DV33"/>
  <c r="X34"/>
  <c r="CR34"/>
  <c r="FI34"/>
  <c r="EO34"/>
  <c r="FS34"/>
  <c r="AK32"/>
  <c r="DH32"/>
  <c r="FV32"/>
  <c r="CD33"/>
  <c r="ET33"/>
  <c r="BC34"/>
  <c r="DR34"/>
  <c r="M3"/>
  <c r="AK33"/>
  <c r="I24"/>
  <c r="BP32"/>
  <c r="EF32"/>
  <c r="AG33"/>
  <c r="DB33"/>
  <c r="FR33"/>
  <c r="BZ34"/>
  <c r="EP34"/>
  <c r="X33"/>
  <c r="CR33"/>
  <c r="CW34"/>
  <c r="S32"/>
  <c r="CM32"/>
  <c r="I22"/>
  <c r="BN32"/>
  <c r="EC32"/>
  <c r="AE33"/>
  <c r="CZ33"/>
  <c r="FP33"/>
  <c r="BX34"/>
  <c r="EN34"/>
  <c r="DB32"/>
  <c r="FR32"/>
  <c r="BZ33"/>
  <c r="EP33"/>
  <c r="AY34"/>
  <c r="DN34"/>
  <c r="BY33"/>
  <c r="Z34"/>
  <c r="I29"/>
  <c r="CC32"/>
  <c r="AX32"/>
  <c r="CB32"/>
  <c r="ER32"/>
  <c r="C407" i="14"/>
  <c r="AQ49" i="19"/>
  <c r="DL38"/>
  <c r="AD42"/>
  <c r="AW51"/>
  <c r="CO49"/>
  <c r="DE49"/>
  <c r="DE38"/>
  <c r="AL38"/>
  <c r="CN41"/>
  <c r="AH41"/>
  <c r="AU51"/>
  <c r="AB49"/>
  <c r="DQ41"/>
  <c r="AK40"/>
  <c r="CA41"/>
  <c r="FS49"/>
  <c r="AL41"/>
  <c r="FU38"/>
  <c r="BT39"/>
  <c r="AV49"/>
  <c r="AJ38"/>
  <c r="DU41"/>
  <c r="DY49"/>
  <c r="L41"/>
  <c r="BL49"/>
  <c r="CY41"/>
  <c r="CX41"/>
  <c r="P41"/>
  <c r="CT41"/>
  <c r="FQ38"/>
  <c r="EF38"/>
  <c r="CE48"/>
  <c r="DU53"/>
  <c r="CB48"/>
  <c r="FJ38"/>
  <c r="DN38"/>
  <c r="T49"/>
  <c r="FK49"/>
  <c r="BY41"/>
  <c r="CW49"/>
  <c r="EA38"/>
  <c r="AJ49"/>
  <c r="EL38"/>
  <c r="FJ41"/>
  <c r="CB41"/>
  <c r="FF41"/>
  <c r="BR49"/>
  <c r="CQ38"/>
  <c r="BO42"/>
  <c r="EO55"/>
  <c r="FC48"/>
  <c r="CR45"/>
  <c r="BB38"/>
  <c r="DW41"/>
  <c r="DQ49"/>
  <c r="FH38"/>
  <c r="BD49"/>
  <c r="AY38"/>
  <c r="EJ41"/>
  <c r="N38"/>
  <c r="DL49"/>
  <c r="EN41"/>
  <c r="BE41"/>
  <c r="ED49"/>
  <c r="AS38"/>
  <c r="AW38"/>
  <c r="EG52"/>
  <c r="CR40"/>
  <c r="DV56"/>
  <c r="CX40"/>
  <c r="FK48"/>
  <c r="AY43"/>
  <c r="BW45"/>
  <c r="BE54"/>
  <c r="FH40"/>
  <c r="CK40"/>
  <c r="BD56"/>
  <c r="DW47"/>
  <c r="CX38"/>
  <c r="BK41"/>
  <c r="K49"/>
  <c r="CF49"/>
  <c r="FA49"/>
  <c r="CV38"/>
  <c r="BI41"/>
  <c r="S49"/>
  <c r="CN49"/>
  <c r="FI49"/>
  <c r="DK38"/>
  <c r="BX41"/>
  <c r="AA49"/>
  <c r="CV49"/>
  <c r="FQ49"/>
  <c r="DV38"/>
  <c r="CI41"/>
  <c r="AH49"/>
  <c r="DC49"/>
  <c r="FR41"/>
  <c r="DF41"/>
  <c r="AT41"/>
  <c r="EV41"/>
  <c r="CJ41"/>
  <c r="X41"/>
  <c r="DY41"/>
  <c r="BM41"/>
  <c r="FN41"/>
  <c r="DB41"/>
  <c r="AP41"/>
  <c r="EL49"/>
  <c r="BZ49"/>
  <c r="N49"/>
  <c r="DM38"/>
  <c r="BA38"/>
  <c r="DW38"/>
  <c r="FL38"/>
  <c r="AN38"/>
  <c r="CC38"/>
  <c r="CE40"/>
  <c r="DK44"/>
  <c r="DS47"/>
  <c r="EW50"/>
  <c r="BU52"/>
  <c r="FE53"/>
  <c r="CC55"/>
  <c r="CL56"/>
  <c r="BI53"/>
  <c r="BK40"/>
  <c r="DM40"/>
  <c r="EL40"/>
  <c r="EN40"/>
  <c r="EG40"/>
  <c r="BN40"/>
  <c r="EC48"/>
  <c r="AT48"/>
  <c r="R48"/>
  <c r="BY48"/>
  <c r="AZ56"/>
  <c r="BZ39"/>
  <c r="DD47"/>
  <c r="FP45"/>
  <c r="O41"/>
  <c r="EM41"/>
  <c r="BE49"/>
  <c r="DZ49"/>
  <c r="AZ38"/>
  <c r="M41"/>
  <c r="EK41"/>
  <c r="BM49"/>
  <c r="EH49"/>
  <c r="BO38"/>
  <c r="AB41"/>
  <c r="EZ41"/>
  <c r="BU49"/>
  <c r="EP49"/>
  <c r="BZ38"/>
  <c r="AM41"/>
  <c r="FK41"/>
  <c r="CB49"/>
  <c r="EW49"/>
  <c r="ED41"/>
  <c r="BR41"/>
  <c r="FT41"/>
  <c r="DH41"/>
  <c r="AV41"/>
  <c r="EW41"/>
  <c r="CK41"/>
  <c r="Y41"/>
  <c r="DZ41"/>
  <c r="BN41"/>
  <c r="FJ49"/>
  <c r="CX49"/>
  <c r="AL49"/>
  <c r="EK38"/>
  <c r="BY38"/>
  <c r="FC38"/>
  <c r="AE38"/>
  <c r="BT38"/>
  <c r="DI38"/>
  <c r="DS39"/>
  <c r="EY43"/>
  <c r="FG46"/>
  <c r="CK50"/>
  <c r="FU51"/>
  <c r="CS53"/>
  <c r="Q55"/>
  <c r="BA56"/>
  <c r="EK51"/>
  <c r="DW40"/>
  <c r="AJ40"/>
  <c r="W40"/>
  <c r="N40"/>
  <c r="P40"/>
  <c r="DZ40"/>
  <c r="CF48"/>
  <c r="DV48"/>
  <c r="EP48"/>
  <c r="AK45"/>
  <c r="CI54"/>
  <c r="EM39"/>
  <c r="BV39"/>
  <c r="P55"/>
  <c r="FJ54"/>
  <c r="EG49"/>
  <c r="BJ38"/>
  <c r="W41"/>
  <c r="EU41"/>
  <c r="BS49"/>
  <c r="EN49"/>
  <c r="EL41"/>
  <c r="BZ41"/>
  <c r="N41"/>
  <c r="DP41"/>
  <c r="BD41"/>
  <c r="FE41"/>
  <c r="CS41"/>
  <c r="AG41"/>
  <c r="EH41"/>
  <c r="BV41"/>
  <c r="FR49"/>
  <c r="DF49"/>
  <c r="AT49"/>
  <c r="ES38"/>
  <c r="CG38"/>
  <c r="U38"/>
  <c r="BK38"/>
  <c r="CZ38"/>
  <c r="EO38"/>
  <c r="Q38"/>
  <c r="AA43"/>
  <c r="AI46"/>
  <c r="W50"/>
  <c r="DI51"/>
  <c r="AG53"/>
  <c r="DQ54"/>
  <c r="Q56"/>
  <c r="FG56"/>
  <c r="DF50"/>
  <c r="CV40"/>
  <c r="DO40"/>
  <c r="BB40"/>
  <c r="BD40"/>
  <c r="Y40"/>
  <c r="AE48"/>
  <c r="AM48"/>
  <c r="DI48"/>
  <c r="AC42"/>
  <c r="EE52"/>
  <c r="DT39"/>
  <c r="BU39"/>
  <c r="FT47"/>
  <c r="BX53"/>
  <c r="BE47"/>
  <c r="CJ53"/>
  <c r="AY54"/>
  <c r="V38"/>
  <c r="AU41"/>
  <c r="FS41"/>
  <c r="DH49"/>
  <c r="T38"/>
  <c r="ER38"/>
  <c r="DE41"/>
  <c r="AU49"/>
  <c r="CE49"/>
  <c r="DP49"/>
  <c r="EZ49"/>
  <c r="AI38"/>
  <c r="CU38"/>
  <c r="FG38"/>
  <c r="BH41"/>
  <c r="DT41"/>
  <c r="R49"/>
  <c r="BC49"/>
  <c r="CM49"/>
  <c r="DX49"/>
  <c r="FH49"/>
  <c r="AT38"/>
  <c r="DF38"/>
  <c r="FR38"/>
  <c r="BS41"/>
  <c r="EE41"/>
  <c r="Y49"/>
  <c r="BI49"/>
  <c r="CT49"/>
  <c r="EE49"/>
  <c r="FO49"/>
  <c r="ET41"/>
  <c r="DN41"/>
  <c r="CH41"/>
  <c r="BB41"/>
  <c r="V41"/>
  <c r="FD41"/>
  <c r="DX41"/>
  <c r="CR41"/>
  <c r="BL41"/>
  <c r="AF41"/>
  <c r="FM41"/>
  <c r="EG41"/>
  <c r="DA41"/>
  <c r="BU41"/>
  <c r="AO41"/>
  <c r="FV41"/>
  <c r="EP41"/>
  <c r="DJ41"/>
  <c r="CD41"/>
  <c r="AX41"/>
  <c r="R41"/>
  <c r="ET49"/>
  <c r="DN49"/>
  <c r="CH49"/>
  <c r="BB49"/>
  <c r="V49"/>
  <c r="FA38"/>
  <c r="DU38"/>
  <c r="CO38"/>
  <c r="BI38"/>
  <c r="AC38"/>
  <c r="FK38"/>
  <c r="EE38"/>
  <c r="CY38"/>
  <c r="BS38"/>
  <c r="AM38"/>
  <c r="FT38"/>
  <c r="EN38"/>
  <c r="DH38"/>
  <c r="CB38"/>
  <c r="AV38"/>
  <c r="P38"/>
  <c r="EW38"/>
  <c r="DQ38"/>
  <c r="CK38"/>
  <c r="BE38"/>
  <c r="Y38"/>
  <c r="CM39"/>
  <c r="AY40"/>
  <c r="AI42"/>
  <c r="FG42"/>
  <c r="DS43"/>
  <c r="CE44"/>
  <c r="AQ45"/>
  <c r="FO45"/>
  <c r="EA46"/>
  <c r="CM47"/>
  <c r="AY48"/>
  <c r="FT48"/>
  <c r="BU50"/>
  <c r="EG50"/>
  <c r="AG51"/>
  <c r="CS51"/>
  <c r="FE51"/>
  <c r="BE52"/>
  <c r="DQ52"/>
  <c r="Q53"/>
  <c r="CC53"/>
  <c r="EO53"/>
  <c r="AO54"/>
  <c r="DA54"/>
  <c r="FM54"/>
  <c r="BM55"/>
  <c r="DY55"/>
  <c r="FS55"/>
  <c r="AR56"/>
  <c r="CC56"/>
  <c r="DM56"/>
  <c r="EX56"/>
  <c r="AC51"/>
  <c r="AS53"/>
  <c r="DE53"/>
  <c r="FQ53"/>
  <c r="EM40"/>
  <c r="CA40"/>
  <c r="O40"/>
  <c r="DL40"/>
  <c r="AZ40"/>
  <c r="ES40"/>
  <c r="BA40"/>
  <c r="EE40"/>
  <c r="BC40"/>
  <c r="ET40"/>
  <c r="DF40"/>
  <c r="BR40"/>
  <c r="V40"/>
  <c r="EV40"/>
  <c r="DH40"/>
  <c r="BL40"/>
  <c r="X40"/>
  <c r="EW40"/>
  <c r="DA40"/>
  <c r="AO40"/>
  <c r="EP40"/>
  <c r="CD40"/>
  <c r="R40"/>
  <c r="BK48"/>
  <c r="DL48"/>
  <c r="FI48"/>
  <c r="AK48"/>
  <c r="BS48"/>
  <c r="EL48"/>
  <c r="BZ48"/>
  <c r="DH48"/>
  <c r="EO48"/>
  <c r="Q48"/>
  <c r="AX48"/>
  <c r="CJ56"/>
  <c r="BY40"/>
  <c r="BY44"/>
  <c r="CG47"/>
  <c r="EU50"/>
  <c r="BS52"/>
  <c r="FC53"/>
  <c r="FI55"/>
  <c r="BG42"/>
  <c r="BC39"/>
  <c r="AS39"/>
  <c r="DN39"/>
  <c r="DP39"/>
  <c r="DI39"/>
  <c r="DJ39"/>
  <c r="AM47"/>
  <c r="AC47"/>
  <c r="BR47"/>
  <c r="EG47"/>
  <c r="EF55"/>
  <c r="AZ55"/>
  <c r="BB45"/>
  <c r="AX45"/>
  <c r="AI53"/>
  <c r="EL51"/>
  <c r="DJ46"/>
  <c r="EH43"/>
  <c r="CH38"/>
  <c r="ET38"/>
  <c r="DG41"/>
  <c r="AM49"/>
  <c r="BW49"/>
  <c r="ER49"/>
  <c r="CF38"/>
  <c r="AS41"/>
  <c r="FQ41"/>
  <c r="BR38"/>
  <c r="ED38"/>
  <c r="AE41"/>
  <c r="CQ41"/>
  <c r="FC41"/>
  <c r="AC49"/>
  <c r="BN49"/>
  <c r="CY49"/>
  <c r="EI49"/>
  <c r="FT49"/>
  <c r="BP38"/>
  <c r="EB38"/>
  <c r="AC41"/>
  <c r="CO41"/>
  <c r="FA41"/>
  <c r="AK49"/>
  <c r="BV49"/>
  <c r="DG49"/>
  <c r="EQ49"/>
  <c r="S38"/>
  <c r="CE38"/>
  <c r="EQ38"/>
  <c r="AR41"/>
  <c r="DD41"/>
  <c r="FP41"/>
  <c r="AS49"/>
  <c r="CD49"/>
  <c r="DO49"/>
  <c r="EY49"/>
  <c r="AD38"/>
  <c r="CP38"/>
  <c r="FB38"/>
  <c r="BC41"/>
  <c r="DO41"/>
  <c r="P49"/>
  <c r="AZ49"/>
  <c r="CK49"/>
  <c r="DU49"/>
  <c r="FF49"/>
  <c r="FB41"/>
  <c r="DV41"/>
  <c r="CP41"/>
  <c r="BJ41"/>
  <c r="AD41"/>
  <c r="FL41"/>
  <c r="EF41"/>
  <c r="CZ41"/>
  <c r="BT41"/>
  <c r="AN41"/>
  <c r="FU41"/>
  <c r="EO41"/>
  <c r="DI41"/>
  <c r="CC41"/>
  <c r="AW41"/>
  <c r="Q41"/>
  <c r="EX41"/>
  <c r="DR41"/>
  <c r="CL41"/>
  <c r="BF41"/>
  <c r="Z41"/>
  <c r="FB49"/>
  <c r="DV49"/>
  <c r="CP49"/>
  <c r="BJ49"/>
  <c r="AD49"/>
  <c r="FI38"/>
  <c r="EC38"/>
  <c r="CW38"/>
  <c r="BQ38"/>
  <c r="AK38"/>
  <c r="FS38"/>
  <c r="EM38"/>
  <c r="DG38"/>
  <c r="CA38"/>
  <c r="AU38"/>
  <c r="O38"/>
  <c r="EV38"/>
  <c r="DP38"/>
  <c r="CJ38"/>
  <c r="BD38"/>
  <c r="X38"/>
  <c r="FE38"/>
  <c r="DY38"/>
  <c r="CS38"/>
  <c r="BM38"/>
  <c r="AG38"/>
  <c r="BG39"/>
  <c r="S40"/>
  <c r="EQ40"/>
  <c r="EA42"/>
  <c r="CM43"/>
  <c r="AY44"/>
  <c r="K45"/>
  <c r="EI45"/>
  <c r="CU46"/>
  <c r="BG47"/>
  <c r="S48"/>
  <c r="EQ48"/>
  <c r="BE50"/>
  <c r="DQ50"/>
  <c r="Q51"/>
  <c r="CC51"/>
  <c r="EO51"/>
  <c r="AO52"/>
  <c r="DA52"/>
  <c r="FM52"/>
  <c r="BM53"/>
  <c r="DY53"/>
  <c r="Y54"/>
  <c r="CK54"/>
  <c r="EW54"/>
  <c r="AW55"/>
  <c r="DI55"/>
  <c r="FJ55"/>
  <c r="AI56"/>
  <c r="BS56"/>
  <c r="DD56"/>
  <c r="EO56"/>
  <c r="J50"/>
  <c r="AC53"/>
  <c r="CO53"/>
  <c r="FA53"/>
  <c r="FC40"/>
  <c r="CQ40"/>
  <c r="AE40"/>
  <c r="EB40"/>
  <c r="BP40"/>
  <c r="FI40"/>
  <c r="CG40"/>
  <c r="EU40"/>
  <c r="BS40"/>
  <c r="FJ40"/>
  <c r="DN40"/>
  <c r="BZ40"/>
  <c r="AL40"/>
  <c r="FD40"/>
  <c r="DP40"/>
  <c r="CB40"/>
  <c r="AF40"/>
  <c r="FE40"/>
  <c r="DQ40"/>
  <c r="BE40"/>
  <c r="FF40"/>
  <c r="CT40"/>
  <c r="AH40"/>
  <c r="CQ48"/>
  <c r="ER48"/>
  <c r="T48"/>
  <c r="BQ48"/>
  <c r="CY48"/>
  <c r="FB48"/>
  <c r="CP48"/>
  <c r="EN48"/>
  <c r="P48"/>
  <c r="AW48"/>
  <c r="CD48"/>
  <c r="DP56"/>
  <c r="CG39"/>
  <c r="DM43"/>
  <c r="DU46"/>
  <c r="CI50"/>
  <c r="FS51"/>
  <c r="CQ53"/>
  <c r="CA55"/>
  <c r="EW56"/>
  <c r="EE39"/>
  <c r="EK39"/>
  <c r="FB39"/>
  <c r="FD39"/>
  <c r="FE39"/>
  <c r="EX39"/>
  <c r="DO47"/>
  <c r="DU47"/>
  <c r="ED47"/>
  <c r="AV47"/>
  <c r="AX47"/>
  <c r="AI55"/>
  <c r="O45"/>
  <c r="FV45"/>
  <c r="FG53"/>
  <c r="BH46"/>
  <c r="DN46"/>
  <c r="EJ50"/>
  <c r="M38"/>
  <c r="EU38"/>
  <c r="DO38"/>
  <c r="CI38"/>
  <c r="BC38"/>
  <c r="W38"/>
  <c r="FD38"/>
  <c r="DX38"/>
  <c r="CR38"/>
  <c r="BL38"/>
  <c r="AF38"/>
  <c r="FM38"/>
  <c r="EG38"/>
  <c r="DA38"/>
  <c r="BU38"/>
  <c r="AO38"/>
  <c r="AA39"/>
  <c r="EY39"/>
  <c r="DK40"/>
  <c r="CU42"/>
  <c r="BG43"/>
  <c r="S44"/>
  <c r="EQ44"/>
  <c r="DC45"/>
  <c r="BO46"/>
  <c r="AA47"/>
  <c r="EY47"/>
  <c r="DK48"/>
  <c r="AO50"/>
  <c r="DA50"/>
  <c r="FM50"/>
  <c r="BM51"/>
  <c r="DY51"/>
  <c r="Y52"/>
  <c r="CK52"/>
  <c r="EW52"/>
  <c r="AW53"/>
  <c r="DI53"/>
  <c r="FU53"/>
  <c r="BU54"/>
  <c r="EG54"/>
  <c r="AG55"/>
  <c r="CS55"/>
  <c r="FA55"/>
  <c r="Z56"/>
  <c r="BJ56"/>
  <c r="CU56"/>
  <c r="EE56"/>
  <c r="FP56"/>
  <c r="M53"/>
  <c r="BY53"/>
  <c r="EK53"/>
  <c r="FS40"/>
  <c r="DG40"/>
  <c r="AU40"/>
  <c r="ER40"/>
  <c r="CF40"/>
  <c r="T40"/>
  <c r="CW40"/>
  <c r="U40"/>
  <c r="CI40"/>
  <c r="FR40"/>
  <c r="ED40"/>
  <c r="CH40"/>
  <c r="AT40"/>
  <c r="FT40"/>
  <c r="DX40"/>
  <c r="CJ40"/>
  <c r="AV40"/>
  <c r="FM40"/>
  <c r="DY40"/>
  <c r="BU40"/>
  <c r="FV40"/>
  <c r="DJ40"/>
  <c r="AX40"/>
  <c r="DW48"/>
  <c r="FU48"/>
  <c r="AZ48"/>
  <c r="CW48"/>
  <c r="EE48"/>
  <c r="FR48"/>
  <c r="DF48"/>
  <c r="N48"/>
  <c r="AV48"/>
  <c r="CC48"/>
  <c r="DJ48"/>
  <c r="EV56"/>
  <c r="X56"/>
  <c r="FA42"/>
  <c r="FI45"/>
  <c r="T50"/>
  <c r="DG51"/>
  <c r="AE53"/>
  <c r="FK54"/>
  <c r="CT56"/>
  <c r="CU45"/>
  <c r="AR39"/>
  <c r="BK39"/>
  <c r="AD39"/>
  <c r="AF39"/>
  <c r="AG39"/>
  <c r="Z39"/>
  <c r="AB47"/>
  <c r="AU47"/>
  <c r="DH47"/>
  <c r="EH47"/>
  <c r="Z55"/>
  <c r="CO45"/>
  <c r="EG45"/>
  <c r="DZ53"/>
  <c r="DD40"/>
  <c r="BI51"/>
  <c r="CS40"/>
  <c r="BM40"/>
  <c r="AG40"/>
  <c r="FN40"/>
  <c r="EH40"/>
  <c r="DB40"/>
  <c r="BV40"/>
  <c r="AP40"/>
  <c r="FS48"/>
  <c r="DG48"/>
  <c r="AU48"/>
  <c r="FH48"/>
  <c r="CV48"/>
  <c r="AJ48"/>
  <c r="ES48"/>
  <c r="CG48"/>
  <c r="U48"/>
  <c r="DO48"/>
  <c r="BC48"/>
  <c r="FJ48"/>
  <c r="ED48"/>
  <c r="CX48"/>
  <c r="BR48"/>
  <c r="AL48"/>
  <c r="FL48"/>
  <c r="EF48"/>
  <c r="CZ48"/>
  <c r="BT48"/>
  <c r="AN48"/>
  <c r="FM48"/>
  <c r="EG48"/>
  <c r="DA48"/>
  <c r="BU48"/>
  <c r="AO48"/>
  <c r="FN48"/>
  <c r="EH48"/>
  <c r="DB48"/>
  <c r="BV48"/>
  <c r="AP48"/>
  <c r="FT56"/>
  <c r="EN56"/>
  <c r="DH56"/>
  <c r="CB56"/>
  <c r="AV56"/>
  <c r="P56"/>
  <c r="DM39"/>
  <c r="DE40"/>
  <c r="BI42"/>
  <c r="U43"/>
  <c r="ES43"/>
  <c r="DE44"/>
  <c r="BQ45"/>
  <c r="AC46"/>
  <c r="FA46"/>
  <c r="DM47"/>
  <c r="DE48"/>
  <c r="AM50"/>
  <c r="CY50"/>
  <c r="FK50"/>
  <c r="BK51"/>
  <c r="DW51"/>
  <c r="W52"/>
  <c r="CI52"/>
  <c r="EU52"/>
  <c r="AU53"/>
  <c r="DG53"/>
  <c r="W54"/>
  <c r="CY54"/>
  <c r="O55"/>
  <c r="DG55"/>
  <c r="FR55"/>
  <c r="BI56"/>
  <c r="DL56"/>
  <c r="FF56"/>
  <c r="CM42"/>
  <c r="DK43"/>
  <c r="EA45"/>
  <c r="DO39"/>
  <c r="W39"/>
  <c r="DD39"/>
  <c r="AB39"/>
  <c r="DE39"/>
  <c r="AC39"/>
  <c r="DW39"/>
  <c r="AE39"/>
  <c r="ET39"/>
  <c r="DF39"/>
  <c r="BJ39"/>
  <c r="V39"/>
  <c r="EV39"/>
  <c r="CZ39"/>
  <c r="BL39"/>
  <c r="X39"/>
  <c r="EO39"/>
  <c r="DA39"/>
  <c r="BM39"/>
  <c r="Q39"/>
  <c r="EP39"/>
  <c r="DB39"/>
  <c r="BF39"/>
  <c r="R39"/>
  <c r="CY47"/>
  <c r="FP47"/>
  <c r="CN47"/>
  <c r="L47"/>
  <c r="CO47"/>
  <c r="M47"/>
  <c r="DG47"/>
  <c r="O47"/>
  <c r="DN47"/>
  <c r="BB47"/>
  <c r="FD47"/>
  <c r="CR47"/>
  <c r="AF47"/>
  <c r="DQ47"/>
  <c r="AG47"/>
  <c r="DJ47"/>
  <c r="AH47"/>
  <c r="DH55"/>
  <c r="DR55"/>
  <c r="EA55"/>
  <c r="ER55"/>
  <c r="T55"/>
  <c r="DD45"/>
  <c r="AC45"/>
  <c r="ET45"/>
  <c r="V45"/>
  <c r="BL45"/>
  <c r="DA45"/>
  <c r="EP45"/>
  <c r="R45"/>
  <c r="BD53"/>
  <c r="CT53"/>
  <c r="EA53"/>
  <c r="FP53"/>
  <c r="AR53"/>
  <c r="BH42"/>
  <c r="L48"/>
  <c r="CX52"/>
  <c r="EL55"/>
  <c r="FS46"/>
  <c r="FD46"/>
  <c r="EV54"/>
  <c r="AR54"/>
  <c r="AF42"/>
  <c r="EV44"/>
  <c r="EC40"/>
  <c r="BQ40"/>
  <c r="FK40"/>
  <c r="CY40"/>
  <c r="AM40"/>
  <c r="FB40"/>
  <c r="DV40"/>
  <c r="CP40"/>
  <c r="BJ40"/>
  <c r="AD40"/>
  <c r="FL40"/>
  <c r="EF40"/>
  <c r="CZ40"/>
  <c r="BT40"/>
  <c r="AN40"/>
  <c r="FU40"/>
  <c r="EO40"/>
  <c r="DI40"/>
  <c r="CC40"/>
  <c r="AW40"/>
  <c r="Q40"/>
  <c r="EX40"/>
  <c r="DR40"/>
  <c r="CL40"/>
  <c r="BF40"/>
  <c r="Z40"/>
  <c r="EM48"/>
  <c r="CA48"/>
  <c r="O48"/>
  <c r="EB48"/>
  <c r="BP48"/>
  <c r="FV48"/>
  <c r="DM48"/>
  <c r="BA48"/>
  <c r="EU48"/>
  <c r="CI48"/>
  <c r="W48"/>
  <c r="ET48"/>
  <c r="DN48"/>
  <c r="CH48"/>
  <c r="BB48"/>
  <c r="V48"/>
  <c r="EV48"/>
  <c r="DP48"/>
  <c r="CJ48"/>
  <c r="BD48"/>
  <c r="X48"/>
  <c r="EW48"/>
  <c r="DQ48"/>
  <c r="CK48"/>
  <c r="BE48"/>
  <c r="Y48"/>
  <c r="EX48"/>
  <c r="DR48"/>
  <c r="CL48"/>
  <c r="BF48"/>
  <c r="Z48"/>
  <c r="FD56"/>
  <c r="DX56"/>
  <c r="CR56"/>
  <c r="BL56"/>
  <c r="AF56"/>
  <c r="BA39"/>
  <c r="AS40"/>
  <c r="FQ40"/>
  <c r="DU42"/>
  <c r="CG43"/>
  <c r="AS44"/>
  <c r="FQ44"/>
  <c r="EC45"/>
  <c r="CO46"/>
  <c r="BA47"/>
  <c r="AS48"/>
  <c r="FQ48"/>
  <c r="BS50"/>
  <c r="EE50"/>
  <c r="AE51"/>
  <c r="CQ51"/>
  <c r="FC51"/>
  <c r="BC52"/>
  <c r="DO52"/>
  <c r="O53"/>
  <c r="CA53"/>
  <c r="EM53"/>
  <c r="BC54"/>
  <c r="EU54"/>
  <c r="BK55"/>
  <c r="EM55"/>
  <c r="AQ56"/>
  <c r="CK56"/>
  <c r="ED56"/>
  <c r="AA42"/>
  <c r="S43"/>
  <c r="AI45"/>
  <c r="EU39"/>
  <c r="BS39"/>
  <c r="EZ39"/>
  <c r="BH39"/>
  <c r="FA39"/>
  <c r="BY39"/>
  <c r="FC39"/>
  <c r="CA39"/>
  <c r="FR39"/>
  <c r="DV39"/>
  <c r="CH39"/>
  <c r="AT39"/>
  <c r="FL39"/>
  <c r="DX39"/>
  <c r="CJ39"/>
  <c r="AN39"/>
  <c r="FM39"/>
  <c r="DY39"/>
  <c r="CC39"/>
  <c r="AO39"/>
  <c r="FN39"/>
  <c r="DR39"/>
  <c r="CD39"/>
  <c r="AP39"/>
  <c r="EE47"/>
  <c r="BC47"/>
  <c r="EJ47"/>
  <c r="AR47"/>
  <c r="EK47"/>
  <c r="BI47"/>
  <c r="EM47"/>
  <c r="BK47"/>
  <c r="ET47"/>
  <c r="CH47"/>
  <c r="V47"/>
  <c r="DX47"/>
  <c r="BL47"/>
  <c r="FE47"/>
  <c r="BU47"/>
  <c r="FF47"/>
  <c r="BV47"/>
  <c r="EV55"/>
  <c r="AV55"/>
  <c r="BF55"/>
  <c r="BO55"/>
  <c r="CF55"/>
  <c r="BS45"/>
  <c r="FA45"/>
  <c r="CA45"/>
  <c r="CH45"/>
  <c r="DX45"/>
  <c r="FM45"/>
  <c r="AO45"/>
  <c r="CD45"/>
  <c r="DP53"/>
  <c r="FF53"/>
  <c r="AH53"/>
  <c r="BO53"/>
  <c r="DD53"/>
  <c r="ER39"/>
  <c r="DD44"/>
  <c r="N51"/>
  <c r="AL54"/>
  <c r="FE56"/>
  <c r="EU46"/>
  <c r="BU46"/>
  <c r="BF54"/>
  <c r="BS42"/>
  <c r="EN50"/>
  <c r="V29"/>
  <c r="BJ48"/>
  <c r="AD48"/>
  <c r="FD48"/>
  <c r="DX48"/>
  <c r="CR48"/>
  <c r="BL48"/>
  <c r="AF48"/>
  <c r="FE48"/>
  <c r="DY48"/>
  <c r="CS48"/>
  <c r="BM48"/>
  <c r="AG48"/>
  <c r="FF48"/>
  <c r="DZ48"/>
  <c r="CT48"/>
  <c r="BN48"/>
  <c r="AH48"/>
  <c r="FL56"/>
  <c r="EF56"/>
  <c r="CZ56"/>
  <c r="BT56"/>
  <c r="AN56"/>
  <c r="U39"/>
  <c r="ES39"/>
  <c r="EK40"/>
  <c r="CO42"/>
  <c r="BA43"/>
  <c r="M44"/>
  <c r="EK44"/>
  <c r="CW45"/>
  <c r="BI46"/>
  <c r="U47"/>
  <c r="ES47"/>
  <c r="EK48"/>
  <c r="BC50"/>
  <c r="DO50"/>
  <c r="O51"/>
  <c r="CA51"/>
  <c r="EM51"/>
  <c r="AM52"/>
  <c r="CY52"/>
  <c r="FK52"/>
  <c r="BK53"/>
  <c r="DW53"/>
  <c r="AM54"/>
  <c r="DO54"/>
  <c r="AU55"/>
  <c r="DW55"/>
  <c r="Y56"/>
  <c r="CA56"/>
  <c r="DU56"/>
  <c r="FO56"/>
  <c r="EY42"/>
  <c r="EQ43"/>
  <c r="FG45"/>
  <c r="CI39"/>
  <c r="FP39"/>
  <c r="CN39"/>
  <c r="FQ39"/>
  <c r="CO39"/>
  <c r="L39"/>
  <c r="CQ39"/>
  <c r="O39"/>
  <c r="EL39"/>
  <c r="CP39"/>
  <c r="BB39"/>
  <c r="N39"/>
  <c r="EF39"/>
  <c r="CR39"/>
  <c r="BD39"/>
  <c r="FU39"/>
  <c r="EG39"/>
  <c r="CS39"/>
  <c r="AW39"/>
  <c r="FV39"/>
  <c r="EH39"/>
  <c r="CL39"/>
  <c r="AX39"/>
  <c r="FK47"/>
  <c r="BS47"/>
  <c r="EZ47"/>
  <c r="BX47"/>
  <c r="FA47"/>
  <c r="BY47"/>
  <c r="FS47"/>
  <c r="CA47"/>
  <c r="FJ47"/>
  <c r="CX47"/>
  <c r="AL47"/>
  <c r="EN47"/>
  <c r="CB47"/>
  <c r="P47"/>
  <c r="CS47"/>
  <c r="FV47"/>
  <c r="CT47"/>
  <c r="FT55"/>
  <c r="CB55"/>
  <c r="CL55"/>
  <c r="CU55"/>
  <c r="DL55"/>
  <c r="EE45"/>
  <c r="AR45"/>
  <c r="EM45"/>
  <c r="DN45"/>
  <c r="FD45"/>
  <c r="AF45"/>
  <c r="BU45"/>
  <c r="DJ45"/>
  <c r="EV53"/>
  <c r="X53"/>
  <c r="BN53"/>
  <c r="CU53"/>
  <c r="EJ53"/>
  <c r="L53"/>
  <c r="T43"/>
  <c r="BB50"/>
  <c r="BZ53"/>
  <c r="AY56"/>
  <c r="CF46"/>
  <c r="AF46"/>
  <c r="X54"/>
  <c r="CF42"/>
  <c r="AG42"/>
  <c r="FC44"/>
  <c r="EL43"/>
  <c r="AN16"/>
  <c r="U56"/>
  <c r="EJ52"/>
  <c r="DK3"/>
  <c r="FQ9"/>
  <c r="FG48"/>
  <c r="EV52"/>
  <c r="DT51"/>
  <c r="R30"/>
  <c r="FR47"/>
  <c r="EL47"/>
  <c r="DF47"/>
  <c r="BZ47"/>
  <c r="AT47"/>
  <c r="N47"/>
  <c r="EV47"/>
  <c r="DP47"/>
  <c r="CJ47"/>
  <c r="BD47"/>
  <c r="X47"/>
  <c r="EW47"/>
  <c r="DA47"/>
  <c r="BM47"/>
  <c r="Y47"/>
  <c r="EP47"/>
  <c r="DB47"/>
  <c r="BN47"/>
  <c r="R47"/>
  <c r="EN55"/>
  <c r="CZ55"/>
  <c r="AN55"/>
  <c r="DJ55"/>
  <c r="AX55"/>
  <c r="DS55"/>
  <c r="BG55"/>
  <c r="EJ55"/>
  <c r="BX55"/>
  <c r="L55"/>
  <c r="BC45"/>
  <c r="CN45"/>
  <c r="EK45"/>
  <c r="M45"/>
  <c r="BK45"/>
  <c r="EL45"/>
  <c r="BZ45"/>
  <c r="N45"/>
  <c r="DP45"/>
  <c r="BD45"/>
  <c r="FE45"/>
  <c r="CS45"/>
  <c r="AG45"/>
  <c r="EH45"/>
  <c r="BV45"/>
  <c r="FT53"/>
  <c r="DH53"/>
  <c r="AV53"/>
  <c r="EX53"/>
  <c r="CL53"/>
  <c r="Z53"/>
  <c r="DS53"/>
  <c r="BG53"/>
  <c r="FH53"/>
  <c r="CV53"/>
  <c r="AJ53"/>
  <c r="L40"/>
  <c r="CN42"/>
  <c r="L44"/>
  <c r="EB45"/>
  <c r="CF47"/>
  <c r="FP48"/>
  <c r="ED50"/>
  <c r="CP51"/>
  <c r="BB52"/>
  <c r="AD53"/>
  <c r="FB53"/>
  <c r="DN54"/>
  <c r="CP55"/>
  <c r="W56"/>
  <c r="DT56"/>
  <c r="ES50"/>
  <c r="DV50"/>
  <c r="ER46"/>
  <c r="BA46"/>
  <c r="ET46"/>
  <c r="V46"/>
  <c r="BL46"/>
  <c r="DA46"/>
  <c r="EP46"/>
  <c r="R46"/>
  <c r="BD54"/>
  <c r="CT54"/>
  <c r="CM54"/>
  <c r="CN54"/>
  <c r="FH42"/>
  <c r="EU42"/>
  <c r="BZ42"/>
  <c r="BT42"/>
  <c r="BU42"/>
  <c r="AP42"/>
  <c r="DC50"/>
  <c r="DS45"/>
  <c r="DY54"/>
  <c r="BC51"/>
  <c r="DF44"/>
  <c r="DB44"/>
  <c r="CU52"/>
  <c r="M43"/>
  <c r="CS43"/>
  <c r="DS51"/>
  <c r="AF24"/>
  <c r="V28"/>
  <c r="EO14"/>
  <c r="DC29"/>
  <c r="CA9"/>
  <c r="ER43"/>
  <c r="CV45"/>
  <c r="AZ47"/>
  <c r="EJ48"/>
  <c r="DN50"/>
  <c r="BZ51"/>
  <c r="AL52"/>
  <c r="FJ52"/>
  <c r="EL53"/>
  <c r="CX54"/>
  <c r="BZ55"/>
  <c r="N56"/>
  <c r="CI56"/>
  <c r="CG50"/>
  <c r="AT50"/>
  <c r="AU46"/>
  <c r="DM46"/>
  <c r="W46"/>
  <c r="BB46"/>
  <c r="CR46"/>
  <c r="EG46"/>
  <c r="FV46"/>
  <c r="AX46"/>
  <c r="CJ54"/>
  <c r="DZ54"/>
  <c r="EA54"/>
  <c r="EB54"/>
  <c r="CQ42"/>
  <c r="BQ42"/>
  <c r="DN42"/>
  <c r="DP42"/>
  <c r="DI42"/>
  <c r="DB42"/>
  <c r="BV50"/>
  <c r="DK42"/>
  <c r="Y53"/>
  <c r="CG45"/>
  <c r="EE44"/>
  <c r="BM44"/>
  <c r="BN52"/>
  <c r="CN43"/>
  <c r="BD43"/>
  <c r="DZ51"/>
  <c r="FS7"/>
  <c r="EL3"/>
  <c r="CT3"/>
  <c r="AY16"/>
  <c r="FO20"/>
  <c r="DN28"/>
  <c r="FS53"/>
  <c r="BS54"/>
  <c r="EE54"/>
  <c r="AE55"/>
  <c r="CQ55"/>
  <c r="EZ55"/>
  <c r="AH56"/>
  <c r="BR56"/>
  <c r="DC56"/>
  <c r="EM56"/>
  <c r="J40"/>
  <c r="DS42"/>
  <c r="CE43"/>
  <c r="BO45"/>
  <c r="FK39"/>
  <c r="CY39"/>
  <c r="AM39"/>
  <c r="EJ39"/>
  <c r="BX39"/>
  <c r="K39"/>
  <c r="DU39"/>
  <c r="BI39"/>
  <c r="FS39"/>
  <c r="DG39"/>
  <c r="AU39"/>
  <c r="FJ39"/>
  <c r="ED39"/>
  <c r="CX39"/>
  <c r="BR39"/>
  <c r="AL39"/>
  <c r="FT39"/>
  <c r="EN39"/>
  <c r="DH39"/>
  <c r="CB39"/>
  <c r="AV39"/>
  <c r="P39"/>
  <c r="EW39"/>
  <c r="DQ39"/>
  <c r="CK39"/>
  <c r="BE39"/>
  <c r="Y39"/>
  <c r="FF39"/>
  <c r="DZ39"/>
  <c r="CT39"/>
  <c r="BN39"/>
  <c r="AH39"/>
  <c r="EU47"/>
  <c r="CI47"/>
  <c r="W47"/>
  <c r="DT47"/>
  <c r="BH47"/>
  <c r="FQ47"/>
  <c r="DE47"/>
  <c r="AS47"/>
  <c r="FC47"/>
  <c r="CQ47"/>
  <c r="AE47"/>
  <c r="FB47"/>
  <c r="DV47"/>
  <c r="CP47"/>
  <c r="BJ47"/>
  <c r="AD47"/>
  <c r="FL47"/>
  <c r="EF47"/>
  <c r="CZ47"/>
  <c r="BT47"/>
  <c r="AN47"/>
  <c r="FM47"/>
  <c r="DY47"/>
  <c r="CK47"/>
  <c r="AO47"/>
  <c r="FN47"/>
  <c r="DZ47"/>
  <c r="CD47"/>
  <c r="AP47"/>
  <c r="FL55"/>
  <c r="DP55"/>
  <c r="BT55"/>
  <c r="EP55"/>
  <c r="CD55"/>
  <c r="R55"/>
  <c r="CM55"/>
  <c r="AA55"/>
  <c r="DD55"/>
  <c r="AR55"/>
  <c r="DO45"/>
  <c r="EZ45"/>
  <c r="AB45"/>
  <c r="BY45"/>
  <c r="DW45"/>
  <c r="FR45"/>
  <c r="DF45"/>
  <c r="AT45"/>
  <c r="EV45"/>
  <c r="CJ45"/>
  <c r="X45"/>
  <c r="DY45"/>
  <c r="BM45"/>
  <c r="FN45"/>
  <c r="DB45"/>
  <c r="AP45"/>
  <c r="EN53"/>
  <c r="CB53"/>
  <c r="P53"/>
  <c r="DR53"/>
  <c r="BF53"/>
  <c r="EY53"/>
  <c r="CM53"/>
  <c r="AA53"/>
  <c r="EB53"/>
  <c r="BP53"/>
  <c r="AZ39"/>
  <c r="EJ40"/>
  <c r="AZ43"/>
  <c r="EJ44"/>
  <c r="CN46"/>
  <c r="AR48"/>
  <c r="BR50"/>
  <c r="AD51"/>
  <c r="FB51"/>
  <c r="DN52"/>
  <c r="CP53"/>
  <c r="BB54"/>
  <c r="AD55"/>
  <c r="EY55"/>
  <c r="BH56"/>
  <c r="R50"/>
  <c r="DU51"/>
  <c r="DG46"/>
  <c r="T46"/>
  <c r="CI46"/>
  <c r="CH46"/>
  <c r="DX46"/>
  <c r="FM46"/>
  <c r="AO46"/>
  <c r="CD46"/>
  <c r="DP54"/>
  <c r="FF54"/>
  <c r="R54"/>
  <c r="FP54"/>
  <c r="FS42"/>
  <c r="FI42"/>
  <c r="FB42"/>
  <c r="FD42"/>
  <c r="FE42"/>
  <c r="EX42"/>
  <c r="AE50"/>
  <c r="AL50"/>
  <c r="DA51"/>
  <c r="FK56"/>
  <c r="BP44"/>
  <c r="X44"/>
  <c r="X52"/>
  <c r="L52"/>
  <c r="N43"/>
  <c r="EF51"/>
  <c r="Q54"/>
  <c r="Q20"/>
  <c r="BC20"/>
  <c r="R19"/>
  <c r="CR21"/>
  <c r="BF29"/>
  <c r="AX24"/>
  <c r="X21"/>
  <c r="CA30"/>
  <c r="W30"/>
  <c r="AD30"/>
  <c r="BN12"/>
  <c r="DV19"/>
  <c r="AY24"/>
  <c r="AD14"/>
  <c r="T27"/>
  <c r="FJ16"/>
  <c r="DK20"/>
  <c r="BC28"/>
  <c r="AD10"/>
  <c r="O26"/>
  <c r="Z38"/>
  <c r="BK14"/>
  <c r="DW4"/>
  <c r="P13"/>
  <c r="V53"/>
  <c r="FQ18"/>
  <c r="BX51"/>
  <c r="CE51"/>
  <c r="CL51"/>
  <c r="CJ51"/>
  <c r="CT43"/>
  <c r="BM43"/>
  <c r="X43"/>
  <c r="EV43"/>
  <c r="DF43"/>
  <c r="DW43"/>
  <c r="AB43"/>
  <c r="DO43"/>
  <c r="DD52"/>
  <c r="BO52"/>
  <c r="AH52"/>
  <c r="FF52"/>
  <c r="DP52"/>
  <c r="BV44"/>
  <c r="AG44"/>
  <c r="FE44"/>
  <c r="DP44"/>
  <c r="BZ44"/>
  <c r="BS44"/>
  <c r="FI44"/>
  <c r="CQ44"/>
  <c r="DO51"/>
  <c r="AC50"/>
  <c r="AS42"/>
  <c r="BF56"/>
  <c r="Y55"/>
  <c r="CK53"/>
  <c r="FM51"/>
  <c r="CC50"/>
  <c r="DK46"/>
  <c r="BW43"/>
  <c r="AQ39"/>
  <c r="DD50"/>
  <c r="BW50"/>
  <c r="AP50"/>
  <c r="FN50"/>
  <c r="DX50"/>
  <c r="Z42"/>
  <c r="CL42"/>
  <c r="EP42"/>
  <c r="Q42"/>
  <c r="BM42"/>
  <c r="DA42"/>
  <c r="EO42"/>
  <c r="X42"/>
  <c r="BL42"/>
  <c r="CZ42"/>
  <c r="EV42"/>
  <c r="V42"/>
  <c r="BJ42"/>
  <c r="DF42"/>
  <c r="ET42"/>
  <c r="AM42"/>
  <c r="EE42"/>
  <c r="BA42"/>
  <c r="EC42"/>
  <c r="BP42"/>
  <c r="ER42"/>
  <c r="BK42"/>
  <c r="FC42"/>
  <c r="AJ54"/>
  <c r="BX54"/>
  <c r="DT54"/>
  <c r="FH54"/>
  <c r="AI54"/>
  <c r="CE54"/>
  <c r="DS54"/>
  <c r="FG54"/>
  <c r="AX54"/>
  <c r="CL54"/>
  <c r="DR54"/>
  <c r="EX54"/>
  <c r="P54"/>
  <c r="AV54"/>
  <c r="CB54"/>
  <c r="DH54"/>
  <c r="EN54"/>
  <c r="FT54"/>
  <c r="AP46"/>
  <c r="BV46"/>
  <c r="DB46"/>
  <c r="EH46"/>
  <c r="FN46"/>
  <c r="AG46"/>
  <c r="BM46"/>
  <c r="CS46"/>
  <c r="DY46"/>
  <c r="FE46"/>
  <c r="X46"/>
  <c r="BD46"/>
  <c r="CJ46"/>
  <c r="DP46"/>
  <c r="EV46"/>
  <c r="N46"/>
  <c r="AT46"/>
  <c r="BZ46"/>
  <c r="DF46"/>
  <c r="EL46"/>
  <c r="FR46"/>
  <c r="BS46"/>
  <c r="EE46"/>
  <c r="AK46"/>
  <c r="CW46"/>
  <c r="FI46"/>
  <c r="BP46"/>
  <c r="EB46"/>
  <c r="AE46"/>
  <c r="CQ46"/>
  <c r="FC46"/>
  <c r="EL50"/>
  <c r="BJ50"/>
  <c r="FA51"/>
  <c r="BY51"/>
  <c r="FI50"/>
  <c r="CW50"/>
  <c r="AJ50"/>
  <c r="FN56"/>
  <c r="EC56"/>
  <c r="CS56"/>
  <c r="BM31"/>
  <c r="J21"/>
  <c r="EB28"/>
  <c r="CZ10"/>
  <c r="X25"/>
  <c r="AH11"/>
  <c r="ED7"/>
  <c r="EJ9"/>
  <c r="AL6"/>
  <c r="L25"/>
  <c r="S3"/>
  <c r="DY22"/>
  <c r="CG28"/>
  <c r="BC4"/>
  <c r="AI23"/>
  <c r="CE14"/>
  <c r="AG3"/>
  <c r="BN13"/>
  <c r="K38"/>
  <c r="FS56"/>
  <c r="AJ51"/>
  <c r="AI51"/>
  <c r="AX51"/>
  <c r="AV51"/>
  <c r="AX43"/>
  <c r="AG43"/>
  <c r="FE43"/>
  <c r="DP43"/>
  <c r="BZ43"/>
  <c r="BK43"/>
  <c r="EK43"/>
  <c r="BC43"/>
  <c r="BX52"/>
  <c r="AI52"/>
  <c r="FG52"/>
  <c r="DZ52"/>
  <c r="CJ52"/>
  <c r="AP44"/>
  <c r="FN44"/>
  <c r="DY44"/>
  <c r="CJ44"/>
  <c r="AT44"/>
  <c r="FR44"/>
  <c r="CW44"/>
  <c r="AE44"/>
  <c r="L42"/>
  <c r="CQ50"/>
  <c r="FQ42"/>
  <c r="CP56"/>
  <c r="CK55"/>
  <c r="EW53"/>
  <c r="BM52"/>
  <c r="EO50"/>
  <c r="BW47"/>
  <c r="AI44"/>
  <c r="FO39"/>
  <c r="BX50"/>
  <c r="AQ50"/>
  <c r="FO50"/>
  <c r="EH50"/>
  <c r="CR50"/>
  <c r="FT50"/>
  <c r="BV42"/>
  <c r="EH42"/>
  <c r="FV42"/>
  <c r="AW42"/>
  <c r="CS42"/>
  <c r="EG42"/>
  <c r="FU42"/>
  <c r="BD42"/>
  <c r="CR42"/>
  <c r="EF42"/>
  <c r="N42"/>
  <c r="BB42"/>
  <c r="CP42"/>
  <c r="EL42"/>
  <c r="W42"/>
  <c r="CY42"/>
  <c r="AK42"/>
  <c r="DM42"/>
  <c r="AJ42"/>
  <c r="EB42"/>
  <c r="AU42"/>
  <c r="DW42"/>
  <c r="AB54"/>
  <c r="BP54"/>
  <c r="DD54"/>
  <c r="EZ54"/>
  <c r="AA54"/>
  <c r="BO54"/>
  <c r="DK54"/>
  <c r="EY54"/>
  <c r="AH54"/>
  <c r="CD54"/>
  <c r="DJ54"/>
  <c r="EP54"/>
  <c r="FV54"/>
  <c r="AN54"/>
  <c r="BT54"/>
  <c r="CZ54"/>
  <c r="EF54"/>
  <c r="FL54"/>
  <c r="AH46"/>
  <c r="BN46"/>
  <c r="CT46"/>
  <c r="DZ46"/>
  <c r="FF46"/>
  <c r="Y46"/>
  <c r="BE46"/>
  <c r="CK46"/>
  <c r="DQ46"/>
  <c r="EW46"/>
  <c r="P46"/>
  <c r="AV46"/>
  <c r="CB46"/>
  <c r="DH46"/>
  <c r="EN46"/>
  <c r="FT46"/>
  <c r="AL46"/>
  <c r="BR46"/>
  <c r="CX46"/>
  <c r="ED46"/>
  <c r="FJ46"/>
  <c r="BC46"/>
  <c r="DO46"/>
  <c r="U46"/>
  <c r="CG46"/>
  <c r="ES46"/>
  <c r="AZ46"/>
  <c r="DL46"/>
  <c r="O46"/>
  <c r="CA46"/>
  <c r="EM46"/>
  <c r="FB50"/>
  <c r="BZ50"/>
  <c r="FQ51"/>
  <c r="CO51"/>
  <c r="M51"/>
  <c r="DM50"/>
  <c r="BA50"/>
  <c r="J39"/>
  <c r="EL56"/>
  <c r="DB56"/>
  <c r="BQ56"/>
  <c r="AG56"/>
  <c r="FH55"/>
  <c r="DF55"/>
  <c r="AT55"/>
  <c r="ED54"/>
  <c r="BR54"/>
  <c r="FR53"/>
  <c r="DF53"/>
  <c r="AT53"/>
  <c r="ED52"/>
  <c r="BR52"/>
  <c r="FR51"/>
  <c r="DF51"/>
  <c r="AT51"/>
  <c r="ET50"/>
  <c r="CH50"/>
  <c r="S50"/>
  <c r="BX48"/>
  <c r="DL47"/>
  <c r="DT46"/>
  <c r="FH45"/>
  <c r="FP44"/>
  <c r="AR44"/>
  <c r="CF43"/>
  <c r="DT42"/>
  <c r="FP40"/>
  <c r="AR40"/>
  <c r="CF39"/>
  <c r="AB53"/>
  <c r="BH53"/>
  <c r="CN53"/>
  <c r="DT53"/>
  <c r="EZ53"/>
  <c r="S53"/>
  <c r="AY53"/>
  <c r="CE53"/>
  <c r="DK53"/>
  <c r="EQ53"/>
  <c r="R53"/>
  <c r="AX53"/>
  <c r="CD53"/>
  <c r="DJ53"/>
  <c r="EP53"/>
  <c r="FV53"/>
  <c r="AN53"/>
  <c r="BT53"/>
  <c r="CZ53"/>
  <c r="EF53"/>
  <c r="FL53"/>
  <c r="AH45"/>
  <c r="BN45"/>
  <c r="CT45"/>
  <c r="DZ45"/>
  <c r="FF45"/>
  <c r="Y45"/>
  <c r="BE45"/>
  <c r="CK45"/>
  <c r="DQ45"/>
  <c r="EW45"/>
  <c r="P45"/>
  <c r="AV45"/>
  <c r="CB45"/>
  <c r="DH45"/>
  <c r="EN45"/>
  <c r="FT45"/>
  <c r="AL45"/>
  <c r="BR45"/>
  <c r="CX45"/>
  <c r="ED45"/>
  <c r="FJ45"/>
  <c r="AU45"/>
  <c r="DG45"/>
  <c r="FS45"/>
  <c r="BI45"/>
  <c r="DU45"/>
  <c r="L45"/>
  <c r="BX45"/>
  <c r="EJ45"/>
  <c r="AM45"/>
  <c r="CY45"/>
  <c r="FK45"/>
  <c r="AJ55"/>
  <c r="BP55"/>
  <c r="CV55"/>
  <c r="EB55"/>
  <c r="S55"/>
  <c r="AY55"/>
  <c r="CE55"/>
  <c r="DK55"/>
  <c r="EQ55"/>
  <c r="AP55"/>
  <c r="BV55"/>
  <c r="DB55"/>
  <c r="EH55"/>
  <c r="AF55"/>
  <c r="BL55"/>
  <c r="CR55"/>
  <c r="DX55"/>
  <c r="FD55"/>
  <c r="Z47"/>
  <c r="BF47"/>
  <c r="CL47"/>
  <c r="DR47"/>
  <c r="EX47"/>
  <c r="Q47"/>
  <c r="AW47"/>
  <c r="CC47"/>
  <c r="DI47"/>
  <c r="EO47"/>
  <c r="FU47"/>
  <c r="DY30"/>
  <c r="AA5"/>
  <c r="DL13"/>
  <c r="AC16"/>
  <c r="CS17"/>
  <c r="Z22"/>
  <c r="DK47"/>
  <c r="CI22"/>
  <c r="AY8"/>
  <c r="AB22"/>
  <c r="T31"/>
  <c r="EA5"/>
  <c r="CX15"/>
  <c r="BC12"/>
  <c r="O21"/>
  <c r="T30"/>
  <c r="ED4"/>
  <c r="AJ27"/>
  <c r="J30"/>
  <c r="EY46"/>
  <c r="M48"/>
  <c r="FH51"/>
  <c r="FG51"/>
  <c r="FV51"/>
  <c r="FT51"/>
  <c r="FN43"/>
  <c r="DY43"/>
  <c r="CJ43"/>
  <c r="AT43"/>
  <c r="FR43"/>
  <c r="BY43"/>
  <c r="EZ43"/>
  <c r="AR52"/>
  <c r="FP52"/>
  <c r="EA52"/>
  <c r="CT52"/>
  <c r="BD52"/>
  <c r="J52"/>
  <c r="EH44"/>
  <c r="CS44"/>
  <c r="BD44"/>
  <c r="N44"/>
  <c r="EL44"/>
  <c r="AK44"/>
  <c r="EB44"/>
  <c r="EJ42"/>
  <c r="FC50"/>
  <c r="EC43"/>
  <c r="EA56"/>
  <c r="EW55"/>
  <c r="BM54"/>
  <c r="DY52"/>
  <c r="AO51"/>
  <c r="AI48"/>
  <c r="FG44"/>
  <c r="EA40"/>
  <c r="AR50"/>
  <c r="FP50"/>
  <c r="EI50"/>
  <c r="DB50"/>
  <c r="BL50"/>
  <c r="FD50"/>
  <c r="BF42"/>
  <c r="DR42"/>
  <c r="FN42"/>
  <c r="AO42"/>
  <c r="CC42"/>
  <c r="DY42"/>
  <c r="FM42"/>
  <c r="AN42"/>
  <c r="CJ42"/>
  <c r="DX42"/>
  <c r="FL42"/>
  <c r="AT42"/>
  <c r="CH42"/>
  <c r="DV42"/>
  <c r="FR42"/>
  <c r="CI42"/>
  <c r="FK42"/>
  <c r="CW42"/>
  <c r="T42"/>
  <c r="CV42"/>
  <c r="AE42"/>
  <c r="DG42"/>
  <c r="L54"/>
  <c r="BH54"/>
  <c r="CV54"/>
  <c r="EJ54"/>
  <c r="S54"/>
  <c r="BG54"/>
  <c r="CU54"/>
  <c r="EQ54"/>
  <c r="Z54"/>
  <c r="BN54"/>
  <c r="DB54"/>
  <c r="EH54"/>
  <c r="FN54"/>
  <c r="AF54"/>
  <c r="BL54"/>
  <c r="CR54"/>
  <c r="DX54"/>
  <c r="FD54"/>
  <c r="Z46"/>
  <c r="BF46"/>
  <c r="CL46"/>
  <c r="DR46"/>
  <c r="EX46"/>
  <c r="Q46"/>
  <c r="AW46"/>
  <c r="CC46"/>
  <c r="DI46"/>
  <c r="EO46"/>
  <c r="FU46"/>
  <c r="AN46"/>
  <c r="BT46"/>
  <c r="CZ46"/>
  <c r="EF46"/>
  <c r="FL46"/>
  <c r="AD46"/>
  <c r="BJ46"/>
  <c r="CP46"/>
  <c r="DV46"/>
  <c r="FB46"/>
  <c r="AM46"/>
  <c r="CY46"/>
  <c r="FK46"/>
  <c r="BQ46"/>
  <c r="EC46"/>
  <c r="AJ46"/>
  <c r="CV46"/>
  <c r="FH46"/>
  <c r="BK46"/>
  <c r="DW46"/>
  <c r="FR50"/>
  <c r="CP50"/>
  <c r="AB50"/>
  <c r="DE51"/>
  <c r="AS51"/>
  <c r="EC50"/>
  <c r="BQ50"/>
  <c r="J48"/>
  <c r="EU56"/>
  <c r="DK56"/>
  <c r="BZ56"/>
  <c r="AP56"/>
  <c r="FQ55"/>
  <c r="DV55"/>
  <c r="BJ55"/>
  <c r="ET54"/>
  <c r="CH54"/>
  <c r="V54"/>
  <c r="DV53"/>
  <c r="BJ53"/>
  <c r="ET52"/>
  <c r="CH52"/>
  <c r="V52"/>
  <c r="DV51"/>
  <c r="BJ51"/>
  <c r="FJ50"/>
  <c r="CX50"/>
  <c r="AK50"/>
  <c r="DD48"/>
  <c r="ER47"/>
  <c r="EZ46"/>
  <c r="AB46"/>
  <c r="BP45"/>
  <c r="BX44"/>
  <c r="DL43"/>
  <c r="EZ42"/>
  <c r="AB42"/>
  <c r="BX40"/>
  <c r="DL39"/>
  <c r="T53"/>
  <c r="AZ53"/>
  <c r="CF53"/>
  <c r="DL53"/>
  <c r="ER53"/>
  <c r="K53"/>
  <c r="AQ53"/>
  <c r="BW53"/>
  <c r="DC53"/>
  <c r="EI53"/>
  <c r="FO53"/>
  <c r="AP53"/>
  <c r="BV53"/>
  <c r="DB53"/>
  <c r="EH53"/>
  <c r="FN53"/>
  <c r="AF53"/>
  <c r="BL53"/>
  <c r="CR53"/>
  <c r="DX53"/>
  <c r="FD53"/>
  <c r="Z45"/>
  <c r="BF45"/>
  <c r="CL45"/>
  <c r="DR45"/>
  <c r="EX45"/>
  <c r="Q45"/>
  <c r="AW45"/>
  <c r="CC45"/>
  <c r="DI45"/>
  <c r="EO45"/>
  <c r="FU45"/>
  <c r="AN45"/>
  <c r="BT45"/>
  <c r="CZ45"/>
  <c r="EF45"/>
  <c r="FL45"/>
  <c r="AD45"/>
  <c r="BJ45"/>
  <c r="CP45"/>
  <c r="DV45"/>
  <c r="FB45"/>
  <c r="AE45"/>
  <c r="CQ45"/>
  <c r="FC45"/>
  <c r="AS45"/>
  <c r="DE45"/>
  <c r="FQ45"/>
  <c r="BH45"/>
  <c r="DT45"/>
  <c r="W45"/>
  <c r="CI45"/>
  <c r="EU45"/>
  <c r="AB55"/>
  <c r="BH55"/>
  <c r="CN55"/>
  <c r="DT55"/>
  <c r="K55"/>
  <c r="AQ55"/>
  <c r="BW55"/>
  <c r="DC55"/>
  <c r="EI55"/>
  <c r="AH55"/>
  <c r="BN55"/>
  <c r="CT55"/>
  <c r="DZ55"/>
  <c r="X55"/>
  <c r="BD55"/>
  <c r="CJ55"/>
  <c r="S56"/>
  <c r="EQ11"/>
  <c r="CG18"/>
  <c r="W7"/>
  <c r="DV28"/>
  <c r="AB11"/>
  <c r="CJ14"/>
  <c r="FJ8"/>
  <c r="BG31"/>
  <c r="CF45"/>
  <c r="DO17"/>
  <c r="CI13"/>
  <c r="CB19"/>
  <c r="S12"/>
  <c r="FC4"/>
  <c r="CP27"/>
  <c r="V18"/>
  <c r="AM3"/>
  <c r="AL30"/>
  <c r="DY13"/>
  <c r="FQ25"/>
  <c r="CU22"/>
  <c r="S17"/>
  <c r="AC26"/>
  <c r="O31"/>
  <c r="EX14"/>
  <c r="CL28"/>
  <c r="X15"/>
  <c r="AC22"/>
  <c r="O28"/>
  <c r="AK31"/>
  <c r="DY11"/>
  <c r="CM6"/>
  <c r="BK29"/>
  <c r="BK9"/>
  <c r="AA18"/>
  <c r="AL25"/>
  <c r="R31"/>
  <c r="DN22"/>
  <c r="CV10"/>
  <c r="BN27"/>
  <c r="BN3"/>
  <c r="AC19"/>
  <c r="V26"/>
  <c r="CM48"/>
  <c r="DA56"/>
  <c r="FR24"/>
  <c r="ER9"/>
  <c r="EP23"/>
  <c r="DL10"/>
  <c r="DZ19"/>
  <c r="DO28"/>
  <c r="DK12"/>
  <c r="DC30"/>
  <c r="CS8"/>
  <c r="CV17"/>
  <c r="CN25"/>
  <c r="CA26"/>
  <c r="CA21"/>
  <c r="CA16"/>
  <c r="CA10"/>
  <c r="CA5"/>
  <c r="J6"/>
  <c r="AK11"/>
  <c r="L16"/>
  <c r="AK18"/>
  <c r="AF21"/>
  <c r="S23"/>
  <c r="AK24"/>
  <c r="AA26"/>
  <c r="AN27"/>
  <c r="P29"/>
  <c r="O30"/>
  <c r="N31"/>
  <c r="FJ9"/>
  <c r="EN20"/>
  <c r="DW19"/>
  <c r="DG7"/>
  <c r="CG13"/>
  <c r="CM31"/>
  <c r="AX23"/>
  <c r="AX10"/>
  <c r="AK8"/>
  <c r="R18"/>
  <c r="Q23"/>
  <c r="AI26"/>
  <c r="AM29"/>
  <c r="EF29"/>
  <c r="DI22"/>
  <c r="CP15"/>
  <c r="BK28"/>
  <c r="BK12"/>
  <c r="V10"/>
  <c r="N21"/>
  <c r="N26"/>
  <c r="K30"/>
  <c r="AO3"/>
  <c r="EM27"/>
  <c r="DV30"/>
  <c r="CK9"/>
  <c r="BN16"/>
  <c r="W6"/>
  <c r="J19"/>
  <c r="AP24"/>
  <c r="S29"/>
  <c r="P3"/>
  <c r="BW48"/>
  <c r="CY55"/>
  <c r="AB44"/>
  <c r="CX53"/>
  <c r="FI9"/>
  <c r="FJ24"/>
  <c r="EO6"/>
  <c r="ER17"/>
  <c r="EU28"/>
  <c r="DW9"/>
  <c r="EB17"/>
  <c r="DW24"/>
  <c r="DR31"/>
  <c r="DJ13"/>
  <c r="DC21"/>
  <c r="CN5"/>
  <c r="CP11"/>
  <c r="CR17"/>
  <c r="CT23"/>
  <c r="CV29"/>
  <c r="AY31"/>
  <c r="AY27"/>
  <c r="AY23"/>
  <c r="AY19"/>
  <c r="AY15"/>
  <c r="AY11"/>
  <c r="AY7"/>
  <c r="AY3"/>
  <c r="AK7"/>
  <c r="AG11"/>
  <c r="V15"/>
  <c r="AB17"/>
  <c r="AJ19"/>
  <c r="AD21"/>
  <c r="AL22"/>
  <c r="O24"/>
  <c r="V25"/>
  <c r="Y26"/>
  <c r="AC27"/>
  <c r="AE28"/>
  <c r="AD29"/>
  <c r="AC30"/>
  <c r="AB31"/>
  <c r="AA3"/>
  <c r="FV4"/>
  <c r="FF20"/>
  <c r="EG6"/>
  <c r="EJ17"/>
  <c r="EM28"/>
  <c r="DO9"/>
  <c r="DX17"/>
  <c r="DS24"/>
  <c r="DN31"/>
  <c r="DI14"/>
  <c r="DC20"/>
  <c r="CJ5"/>
  <c r="CL11"/>
  <c r="CN17"/>
  <c r="CP23"/>
  <c r="CR29"/>
  <c r="BC31"/>
  <c r="BC27"/>
  <c r="BC23"/>
  <c r="BC19"/>
  <c r="BC15"/>
  <c r="BC11"/>
  <c r="BC7"/>
  <c r="BC3"/>
  <c r="AG7"/>
  <c r="AC11"/>
  <c r="U15"/>
  <c r="AA17"/>
  <c r="AH19"/>
  <c r="AA21"/>
  <c r="AK22"/>
  <c r="M24"/>
  <c r="T25"/>
  <c r="X26"/>
  <c r="AB27"/>
  <c r="AD28"/>
  <c r="AC29"/>
  <c r="AB30"/>
  <c r="AA31"/>
  <c r="Z3"/>
  <c r="AQ40"/>
  <c r="AL51"/>
  <c r="FK15"/>
  <c r="FA10"/>
  <c r="DV15"/>
  <c r="DH3"/>
  <c r="CG20"/>
  <c r="BK26"/>
  <c r="BK10"/>
  <c r="T12"/>
  <c r="AK21"/>
  <c r="CW53"/>
  <c r="BV56"/>
  <c r="CZ20"/>
  <c r="BU10"/>
  <c r="ER11"/>
  <c r="BD11"/>
  <c r="DK27"/>
  <c r="AB9"/>
  <c r="CH11"/>
  <c r="J10"/>
  <c r="ER27"/>
  <c r="CF4"/>
  <c r="BL26"/>
  <c r="AP5"/>
  <c r="DM52"/>
  <c r="CT7"/>
  <c r="S9"/>
  <c r="AG30"/>
  <c r="T19"/>
  <c r="W26"/>
  <c r="T45"/>
  <c r="CO4"/>
  <c r="R6"/>
  <c r="P25"/>
  <c r="P30"/>
  <c r="FF13"/>
  <c r="CF10"/>
  <c r="AM6"/>
  <c r="AE21"/>
  <c r="Z26"/>
  <c r="M31"/>
  <c r="ET27"/>
  <c r="DJ9"/>
  <c r="BK13"/>
  <c r="S13"/>
  <c r="AG24"/>
  <c r="S30"/>
  <c r="EH30"/>
  <c r="CT4"/>
  <c r="BN31"/>
  <c r="BN11"/>
  <c r="V17"/>
  <c r="R25"/>
  <c r="Z30"/>
  <c r="FA44"/>
  <c r="DE55"/>
  <c r="FI17"/>
  <c r="EW6"/>
  <c r="EU20"/>
  <c r="DQ3"/>
  <c r="DM18"/>
  <c r="DU26"/>
  <c r="DJ25"/>
  <c r="DC22"/>
  <c r="CH7"/>
  <c r="CU14"/>
  <c r="CX23"/>
  <c r="CP31"/>
  <c r="CA28"/>
  <c r="CA22"/>
  <c r="CA17"/>
  <c r="CA12"/>
  <c r="CA6"/>
  <c r="K5"/>
  <c r="AM9"/>
  <c r="Y15"/>
  <c r="S18"/>
  <c r="AO20"/>
  <c r="AO22"/>
  <c r="AA24"/>
  <c r="AP25"/>
  <c r="AE27"/>
  <c r="AO28"/>
  <c r="AN29"/>
  <c r="AM30"/>
  <c r="AL31"/>
  <c r="AK3"/>
  <c r="FC11"/>
  <c r="DV14"/>
  <c r="DH26"/>
  <c r="CP8"/>
  <c r="CV26"/>
  <c r="AX26"/>
  <c r="AX14"/>
  <c r="AN5"/>
  <c r="AB16"/>
  <c r="S22"/>
  <c r="AO25"/>
  <c r="O29"/>
  <c r="EL19"/>
  <c r="DL29"/>
  <c r="CN9"/>
  <c r="BK16"/>
  <c r="Z6"/>
  <c r="M19"/>
  <c r="J25"/>
  <c r="L29"/>
  <c r="FB18"/>
  <c r="EA23"/>
  <c r="CI3"/>
  <c r="CQ27"/>
  <c r="BN20"/>
  <c r="BN4"/>
  <c r="AK16"/>
  <c r="AG23"/>
  <c r="T28"/>
  <c r="EZ44"/>
  <c r="O54"/>
  <c r="EI40"/>
  <c r="ED51"/>
  <c r="FM5"/>
  <c r="FN20"/>
  <c r="ET3"/>
  <c r="EW14"/>
  <c r="EZ25"/>
  <c r="DP6"/>
  <c r="DO16"/>
  <c r="EC22"/>
  <c r="DX29"/>
  <c r="DG20"/>
  <c r="DC13"/>
  <c r="CX3"/>
  <c r="CE10"/>
  <c r="CG16"/>
  <c r="AG8"/>
  <c r="DW30"/>
  <c r="BE21"/>
  <c r="AA27"/>
  <c r="BD27"/>
  <c r="EF20"/>
  <c r="BF13"/>
  <c r="EC30"/>
  <c r="BW4"/>
  <c r="EL5"/>
  <c r="DK9"/>
  <c r="BL7"/>
  <c r="AP22"/>
  <c r="DJ29"/>
  <c r="BO10"/>
  <c r="X27"/>
  <c r="AX22"/>
  <c r="BK15"/>
  <c r="T24"/>
  <c r="DW28"/>
  <c r="BS13"/>
  <c r="T23"/>
  <c r="Q29"/>
  <c r="N3"/>
  <c r="DI13"/>
  <c r="AX12"/>
  <c r="X20"/>
  <c r="W25"/>
  <c r="AE29"/>
  <c r="FT22"/>
  <c r="CQ18"/>
  <c r="BK17"/>
  <c r="W9"/>
  <c r="O22"/>
  <c r="T29"/>
  <c r="FI26"/>
  <c r="DG23"/>
  <c r="CG29"/>
  <c r="BN15"/>
  <c r="R11"/>
  <c r="J24"/>
  <c r="AA29"/>
  <c r="EI38"/>
  <c r="U54"/>
  <c r="FM13"/>
  <c r="EZ17"/>
  <c r="EX31"/>
  <c r="DY14"/>
  <c r="EA24"/>
  <c r="DC6"/>
  <c r="CR5"/>
  <c r="CJ13"/>
  <c r="CW20"/>
  <c r="CE30"/>
  <c r="CA29"/>
  <c r="CA24"/>
  <c r="CA18"/>
  <c r="CA13"/>
  <c r="CA8"/>
  <c r="L4"/>
  <c r="AN8"/>
  <c r="AI13"/>
  <c r="AI17"/>
  <c r="Y20"/>
  <c r="T22"/>
  <c r="Q24"/>
  <c r="AG25"/>
  <c r="M27"/>
  <c r="AG28"/>
  <c r="AF29"/>
  <c r="AE30"/>
  <c r="AD31"/>
  <c r="AC3"/>
  <c r="FT31"/>
  <c r="DQ6"/>
  <c r="DY29"/>
  <c r="CD4"/>
  <c r="CJ22"/>
  <c r="AX29"/>
  <c r="AX17"/>
  <c r="AX4"/>
  <c r="AE14"/>
  <c r="S21"/>
  <c r="N25"/>
  <c r="X28"/>
  <c r="U31"/>
  <c r="FP26"/>
  <c r="DQ22"/>
  <c r="CL3"/>
  <c r="CT27"/>
  <c r="BK20"/>
  <c r="BK4"/>
  <c r="AM16"/>
  <c r="AH23"/>
  <c r="U28"/>
  <c r="AP31"/>
  <c r="ET10"/>
  <c r="DM17"/>
  <c r="DD9"/>
  <c r="CO21"/>
  <c r="BN24"/>
  <c r="BN8"/>
  <c r="O14"/>
  <c r="Y22"/>
  <c r="P27"/>
  <c r="Q31"/>
  <c r="BA41"/>
  <c r="BA52"/>
  <c r="BV38"/>
  <c r="CL49"/>
  <c r="BN56"/>
  <c r="FR16"/>
  <c r="FS31"/>
  <c r="FB11"/>
  <c r="EH23"/>
  <c r="EF5"/>
  <c r="DU14"/>
  <c r="DP21"/>
  <c r="ED27"/>
  <c r="DI26"/>
  <c r="DC5"/>
  <c r="CZ14"/>
  <c r="CO8"/>
  <c r="CQ14"/>
  <c r="CS20"/>
  <c r="CU26"/>
  <c r="AY29"/>
  <c r="AY25"/>
  <c r="AY21"/>
  <c r="AY17"/>
  <c r="AY13"/>
  <c r="AY9"/>
  <c r="AY5"/>
  <c r="AM5"/>
  <c r="AI9"/>
  <c r="AE13"/>
  <c r="X16"/>
  <c r="AH18"/>
  <c r="AJ20"/>
  <c r="R22"/>
  <c r="Z23"/>
  <c r="AI24"/>
  <c r="AN25"/>
  <c r="J27"/>
  <c r="N28"/>
  <c r="N29"/>
  <c r="M30"/>
  <c r="L31"/>
  <c r="K3"/>
  <c r="AL56"/>
  <c r="FN12"/>
  <c r="FO27"/>
  <c r="ET11"/>
  <c r="EW22"/>
  <c r="EF13"/>
  <c r="DQ14"/>
  <c r="DL21"/>
  <c r="DZ27"/>
  <c r="DH27"/>
  <c r="DC4"/>
  <c r="CZ18"/>
  <c r="CK8"/>
  <c r="CM14"/>
  <c r="CO20"/>
  <c r="CQ26"/>
  <c r="BC29"/>
  <c r="BC25"/>
  <c r="BC21"/>
  <c r="BC17"/>
  <c r="BC13"/>
  <c r="BC9"/>
  <c r="BC5"/>
  <c r="AI5"/>
  <c r="AE9"/>
  <c r="AA13"/>
  <c r="W16"/>
  <c r="AD18"/>
  <c r="AI20"/>
  <c r="Q22"/>
  <c r="Y23"/>
  <c r="AH24"/>
  <c r="AM25"/>
  <c r="AP26"/>
  <c r="M28"/>
  <c r="M29"/>
  <c r="L30"/>
  <c r="K31"/>
  <c r="J32"/>
  <c r="AP3"/>
  <c r="S47"/>
  <c r="FC54"/>
  <c r="FE13"/>
  <c r="EY24"/>
  <c r="DR27"/>
  <c r="CX7"/>
  <c r="CU30"/>
  <c r="BK18"/>
  <c r="AB4"/>
  <c r="J18"/>
  <c r="W24"/>
  <c r="AK28"/>
  <c r="EJ16"/>
  <c r="DT20"/>
  <c r="CZ29"/>
  <c r="CP24"/>
  <c r="BN21"/>
  <c r="BN5"/>
  <c r="T16"/>
  <c r="V23"/>
  <c r="K28"/>
  <c r="AO31"/>
  <c r="AA40"/>
  <c r="U51"/>
  <c r="FV56"/>
  <c r="M39"/>
  <c r="BA49"/>
  <c r="AC56"/>
  <c r="FH11"/>
  <c r="S42"/>
  <c r="S46"/>
  <c r="O56"/>
  <c r="T51"/>
  <c r="AZ51"/>
  <c r="CF51"/>
  <c r="DL51"/>
  <c r="ER51"/>
  <c r="K51"/>
  <c r="AQ51"/>
  <c r="BW51"/>
  <c r="DC51"/>
  <c r="EI51"/>
  <c r="FO51"/>
  <c r="AP51"/>
  <c r="BV51"/>
  <c r="DB51"/>
  <c r="EH51"/>
  <c r="FN51"/>
  <c r="AF51"/>
  <c r="BL51"/>
  <c r="CR51"/>
  <c r="DX51"/>
  <c r="FD51"/>
  <c r="Z43"/>
  <c r="BF43"/>
  <c r="CL43"/>
  <c r="DR43"/>
  <c r="DY10"/>
  <c r="FT15"/>
  <c r="FQ7"/>
  <c r="AC18"/>
  <c r="DS31"/>
  <c r="BS26"/>
  <c r="EC17"/>
  <c r="AN28"/>
  <c r="BK25"/>
  <c r="Q3"/>
  <c r="V7"/>
  <c r="EA49"/>
  <c r="FC28"/>
  <c r="DI6"/>
  <c r="CD27"/>
  <c r="CA14"/>
  <c r="AJ12"/>
  <c r="AC23"/>
  <c r="X29"/>
  <c r="U3"/>
  <c r="DD21"/>
  <c r="AX7"/>
  <c r="AD27"/>
  <c r="DC10"/>
  <c r="R14"/>
  <c r="FM22"/>
  <c r="BN28"/>
  <c r="M26"/>
  <c r="CX56"/>
  <c r="FF28"/>
  <c r="DZ12"/>
  <c r="DH7"/>
  <c r="CH19"/>
  <c r="CL31"/>
  <c r="AY26"/>
  <c r="AY18"/>
  <c r="AY10"/>
  <c r="AN4"/>
  <c r="AF12"/>
  <c r="N18"/>
  <c r="AN21"/>
  <c r="Y24"/>
  <c r="AH26"/>
  <c r="AM28"/>
  <c r="AK30"/>
  <c r="FR8"/>
  <c r="EY8"/>
  <c r="EH31"/>
  <c r="DR19"/>
  <c r="DC28"/>
  <c r="CW12"/>
  <c r="CF25"/>
  <c r="BC30"/>
  <c r="BC22"/>
  <c r="BC14"/>
  <c r="BC6"/>
  <c r="AF8"/>
  <c r="AL15"/>
  <c r="S20"/>
  <c r="N23"/>
  <c r="AD25"/>
  <c r="AK27"/>
  <c r="AK29"/>
  <c r="AI31"/>
  <c r="AH3"/>
  <c r="AL53"/>
  <c r="EQ16"/>
  <c r="CZ26"/>
  <c r="BK22"/>
  <c r="AK15"/>
  <c r="AF26"/>
  <c r="AH31"/>
  <c r="ER24"/>
  <c r="DI29"/>
  <c r="CN18"/>
  <c r="BN17"/>
  <c r="T9"/>
  <c r="M22"/>
  <c r="K29"/>
  <c r="AF3"/>
  <c r="BF49"/>
  <c r="FF4"/>
  <c r="BW42"/>
  <c r="EM54"/>
  <c r="FU14"/>
  <c r="AJ45"/>
  <c r="T39"/>
  <c r="AB51"/>
  <c r="BP51"/>
  <c r="DD51"/>
  <c r="EZ51"/>
  <c r="AA51"/>
  <c r="BO51"/>
  <c r="DK51"/>
  <c r="EY51"/>
  <c r="AH51"/>
  <c r="CD51"/>
  <c r="DR51"/>
  <c r="FF51"/>
  <c r="AN51"/>
  <c r="CB51"/>
  <c r="DP51"/>
  <c r="FL51"/>
  <c r="AP43"/>
  <c r="CD43"/>
  <c r="DZ43"/>
  <c r="FF43"/>
  <c r="Y43"/>
  <c r="BE43"/>
  <c r="CK43"/>
  <c r="DQ43"/>
  <c r="EW43"/>
  <c r="P43"/>
  <c r="AV43"/>
  <c r="CB43"/>
  <c r="DH43"/>
  <c r="EN43"/>
  <c r="FT43"/>
  <c r="AL43"/>
  <c r="BR43"/>
  <c r="CX43"/>
  <c r="ED43"/>
  <c r="FJ43"/>
  <c r="AU43"/>
  <c r="DG43"/>
  <c r="FS43"/>
  <c r="BI43"/>
  <c r="DU43"/>
  <c r="L43"/>
  <c r="BX43"/>
  <c r="EJ43"/>
  <c r="AM43"/>
  <c r="CY43"/>
  <c r="FK43"/>
  <c r="AJ52"/>
  <c r="BP52"/>
  <c r="CV52"/>
  <c r="EB52"/>
  <c r="FH52"/>
  <c r="AA52"/>
  <c r="BG52"/>
  <c r="CM52"/>
  <c r="DS52"/>
  <c r="EY52"/>
  <c r="Z52"/>
  <c r="BF52"/>
  <c r="CL52"/>
  <c r="DR52"/>
  <c r="EX52"/>
  <c r="P52"/>
  <c r="AV52"/>
  <c r="CB52"/>
  <c r="DH52"/>
  <c r="EN52"/>
  <c r="FT52"/>
  <c r="AH44"/>
  <c r="BN44"/>
  <c r="CT44"/>
  <c r="DZ44"/>
  <c r="FF44"/>
  <c r="Y44"/>
  <c r="BE44"/>
  <c r="CK44"/>
  <c r="DQ44"/>
  <c r="EW44"/>
  <c r="P44"/>
  <c r="AV44"/>
  <c r="CB44"/>
  <c r="DH44"/>
  <c r="EN44"/>
  <c r="FT44"/>
  <c r="AL44"/>
  <c r="BR44"/>
  <c r="CX44"/>
  <c r="ED44"/>
  <c r="FJ44"/>
  <c r="BC44"/>
  <c r="DO44"/>
  <c r="U44"/>
  <c r="CG44"/>
  <c r="ES44"/>
  <c r="AZ44"/>
  <c r="DL44"/>
  <c r="O44"/>
  <c r="CA44"/>
  <c r="EM44"/>
  <c r="FP42"/>
  <c r="AR42"/>
  <c r="EE51"/>
  <c r="BS51"/>
  <c r="FS50"/>
  <c r="DG50"/>
  <c r="AU50"/>
  <c r="DM45"/>
  <c r="FI43"/>
  <c r="AK43"/>
  <c r="BY42"/>
  <c r="FU56"/>
  <c r="EJ56"/>
  <c r="CY56"/>
  <c r="BO56"/>
  <c r="AD56"/>
  <c r="FF55"/>
  <c r="DA55"/>
  <c r="AO55"/>
  <c r="EO54"/>
  <c r="CC54"/>
  <c r="FM53"/>
  <c r="DA53"/>
  <c r="AO53"/>
  <c r="EO52"/>
  <c r="CC52"/>
  <c r="Q52"/>
  <c r="DQ51"/>
  <c r="BE51"/>
  <c r="FE50"/>
  <c r="CS50"/>
  <c r="AF50"/>
  <c r="BO48"/>
  <c r="DC47"/>
  <c r="EQ46"/>
  <c r="EY45"/>
  <c r="AA45"/>
  <c r="BO44"/>
  <c r="DC43"/>
  <c r="EQ42"/>
  <c r="FG40"/>
  <c r="AI40"/>
  <c r="BW39"/>
  <c r="AD50"/>
  <c r="AI50"/>
  <c r="BP50"/>
  <c r="CV50"/>
  <c r="EB50"/>
  <c r="FH50"/>
  <c r="AH50"/>
  <c r="BO50"/>
  <c r="CU50"/>
  <c r="EA50"/>
  <c r="FG50"/>
  <c r="AG50"/>
  <c r="BN50"/>
  <c r="CT50"/>
  <c r="DZ50"/>
  <c r="FF50"/>
  <c r="U50"/>
  <c r="BD50"/>
  <c r="CJ50"/>
  <c r="DP50"/>
  <c r="EV50"/>
  <c r="R42"/>
  <c r="AX42"/>
  <c r="CD42"/>
  <c r="DJ42"/>
  <c r="BJ22"/>
  <c r="CR16"/>
  <c r="BG15"/>
  <c r="CB13"/>
  <c r="AF23"/>
  <c r="Z24"/>
  <c r="CO12"/>
  <c r="AO26"/>
  <c r="BN19"/>
  <c r="X3"/>
  <c r="EM12"/>
  <c r="DV31"/>
  <c r="CL19"/>
  <c r="CA20"/>
  <c r="AO7"/>
  <c r="J22"/>
  <c r="P28"/>
  <c r="DX24"/>
  <c r="AX20"/>
  <c r="P24"/>
  <c r="EB13"/>
  <c r="BK8"/>
  <c r="J31"/>
  <c r="CM15"/>
  <c r="M21"/>
  <c r="DW49"/>
  <c r="FV12"/>
  <c r="EP31"/>
  <c r="CF13"/>
  <c r="CK28"/>
  <c r="AY28"/>
  <c r="AY20"/>
  <c r="AY12"/>
  <c r="AY4"/>
  <c r="AH10"/>
  <c r="K17"/>
  <c r="P21"/>
  <c r="AK23"/>
  <c r="P26"/>
  <c r="W28"/>
  <c r="U30"/>
  <c r="J43"/>
  <c r="FK31"/>
  <c r="ER25"/>
  <c r="ED15"/>
  <c r="DT29"/>
  <c r="DC12"/>
  <c r="CV9"/>
  <c r="CE22"/>
  <c r="BC24"/>
  <c r="BC16"/>
  <c r="BC8"/>
  <c r="AH6"/>
  <c r="Z14"/>
  <c r="Q19"/>
  <c r="AA22"/>
  <c r="K25"/>
  <c r="R27"/>
  <c r="U29"/>
  <c r="S31"/>
  <c r="R3"/>
  <c r="BK49"/>
  <c r="EN5"/>
  <c r="DK28"/>
  <c r="BK30"/>
  <c r="X8"/>
  <c r="AB25"/>
  <c r="AI30"/>
  <c r="EG5"/>
  <c r="DO27"/>
  <c r="CL12"/>
  <c r="BN25"/>
  <c r="X5"/>
  <c r="AF20"/>
  <c r="AN26"/>
  <c r="FO46"/>
  <c r="AE56"/>
  <c r="K40"/>
  <c r="U53"/>
  <c r="FL7"/>
  <c r="N53"/>
  <c r="T47"/>
  <c r="L51"/>
  <c r="BH51"/>
  <c r="CV51"/>
  <c r="EJ51"/>
  <c r="S51"/>
  <c r="BG51"/>
  <c r="CU51"/>
  <c r="EQ51"/>
  <c r="Z51"/>
  <c r="BN51"/>
  <c r="DJ51"/>
  <c r="EX51"/>
  <c r="X51"/>
  <c r="BT51"/>
  <c r="DH51"/>
  <c r="EV51"/>
  <c r="AH43"/>
  <c r="BV43"/>
  <c r="DJ43"/>
  <c r="EX43"/>
  <c r="Q43"/>
  <c r="AW43"/>
  <c r="CC43"/>
  <c r="DI43"/>
  <c r="EO43"/>
  <c r="FU43"/>
  <c r="AN43"/>
  <c r="BT43"/>
  <c r="CZ43"/>
  <c r="EF43"/>
  <c r="FL43"/>
  <c r="AD43"/>
  <c r="BJ43"/>
  <c r="CP43"/>
  <c r="DV43"/>
  <c r="FB43"/>
  <c r="AE43"/>
  <c r="CQ43"/>
  <c r="FC43"/>
  <c r="AS43"/>
  <c r="DE43"/>
  <c r="FQ43"/>
  <c r="BH43"/>
  <c r="DT43"/>
  <c r="W43"/>
  <c r="CI43"/>
  <c r="EU43"/>
  <c r="AB52"/>
  <c r="BH52"/>
  <c r="CN52"/>
  <c r="DT52"/>
  <c r="EZ52"/>
  <c r="S52"/>
  <c r="AY52"/>
  <c r="CE52"/>
  <c r="DK52"/>
  <c r="EQ52"/>
  <c r="R52"/>
  <c r="AX52"/>
  <c r="CD52"/>
  <c r="DJ52"/>
  <c r="EP52"/>
  <c r="FV52"/>
  <c r="AN52"/>
  <c r="BT52"/>
  <c r="CZ52"/>
  <c r="EF52"/>
  <c r="FL52"/>
  <c r="Z44"/>
  <c r="BF44"/>
  <c r="CL44"/>
  <c r="DR44"/>
  <c r="EX44"/>
  <c r="Q44"/>
  <c r="AW44"/>
  <c r="CC44"/>
  <c r="DI44"/>
  <c r="EO44"/>
  <c r="FU44"/>
  <c r="AN44"/>
  <c r="BT44"/>
  <c r="CZ44"/>
  <c r="EF44"/>
  <c r="FL44"/>
  <c r="AD44"/>
  <c r="BJ44"/>
  <c r="CP44"/>
  <c r="DV44"/>
  <c r="FB44"/>
  <c r="AM44"/>
  <c r="CY44"/>
  <c r="FK44"/>
  <c r="BQ44"/>
  <c r="EC44"/>
  <c r="AJ44"/>
  <c r="CV44"/>
  <c r="FH44"/>
  <c r="BK44"/>
  <c r="DW44"/>
  <c r="J44"/>
  <c r="BX42"/>
  <c r="EU51"/>
  <c r="CI51"/>
  <c r="W51"/>
  <c r="DW50"/>
  <c r="BK50"/>
  <c r="ES45"/>
  <c r="U45"/>
  <c r="BQ43"/>
  <c r="DE42"/>
  <c r="J46"/>
  <c r="ES56"/>
  <c r="DI56"/>
  <c r="BX56"/>
  <c r="AM56"/>
  <c r="FO55"/>
  <c r="DQ55"/>
  <c r="BE55"/>
  <c r="FE54"/>
  <c r="CS54"/>
  <c r="AG54"/>
  <c r="DQ53"/>
  <c r="BE53"/>
  <c r="FE52"/>
  <c r="CS52"/>
  <c r="AG52"/>
  <c r="EG51"/>
  <c r="BU51"/>
  <c r="FU50"/>
  <c r="DI50"/>
  <c r="AW50"/>
  <c r="CU48"/>
  <c r="EI47"/>
  <c r="K47"/>
  <c r="AY46"/>
  <c r="BG45"/>
  <c r="CU44"/>
  <c r="EI43"/>
  <c r="K43"/>
  <c r="AY42"/>
  <c r="BO40"/>
  <c r="DC39"/>
  <c r="V50"/>
  <c r="Z50"/>
  <c r="BH50"/>
  <c r="CN50"/>
  <c r="DT50"/>
  <c r="EZ50"/>
  <c r="Y50"/>
  <c r="BG50"/>
  <c r="CM50"/>
  <c r="DS50"/>
  <c r="EY50"/>
  <c r="X50"/>
  <c r="BF50"/>
  <c r="CL50"/>
  <c r="DR50"/>
  <c r="EX50"/>
  <c r="L50"/>
  <c r="AV50"/>
  <c r="CB50"/>
  <c r="DH50"/>
  <c r="U17"/>
  <c r="FB27"/>
  <c r="CG23"/>
  <c r="BO23"/>
  <c r="BN22"/>
  <c r="AO27"/>
  <c r="L17"/>
  <c r="DX25"/>
  <c r="AG20"/>
  <c r="CX16"/>
  <c r="AB28"/>
  <c r="FN28"/>
  <c r="DT21"/>
  <c r="CT11"/>
  <c r="CA25"/>
  <c r="CA4"/>
  <c r="AO19"/>
  <c r="AK26"/>
  <c r="V31"/>
  <c r="EV28"/>
  <c r="AK19"/>
  <c r="AB3"/>
  <c r="BK24"/>
  <c r="Q27"/>
  <c r="DJ16"/>
  <c r="S10"/>
  <c r="EH38"/>
  <c r="AM55"/>
  <c r="EM20"/>
  <c r="DQ26"/>
  <c r="CD7"/>
  <c r="CJ25"/>
  <c r="AY30"/>
  <c r="AY22"/>
  <c r="AY14"/>
  <c r="AY6"/>
  <c r="AJ8"/>
  <c r="AN15"/>
  <c r="T20"/>
  <c r="P23"/>
  <c r="AE25"/>
  <c r="AL27"/>
  <c r="AL29"/>
  <c r="AJ31"/>
  <c r="AI3"/>
  <c r="FS23"/>
  <c r="FB19"/>
  <c r="DV12"/>
  <c r="DM26"/>
  <c r="DG8"/>
  <c r="CU6"/>
  <c r="CD19"/>
  <c r="CH31"/>
  <c r="BC26"/>
  <c r="BC18"/>
  <c r="BC10"/>
  <c r="AJ4"/>
  <c r="AB12"/>
  <c r="K18"/>
  <c r="AM21"/>
  <c r="X24"/>
  <c r="AG26"/>
  <c r="AL28"/>
  <c r="AJ30"/>
  <c r="AI43"/>
  <c r="FL30"/>
  <c r="DW20"/>
  <c r="CS24"/>
  <c r="BK6"/>
  <c r="M23"/>
  <c r="AJ29"/>
  <c r="FV29"/>
  <c r="DS15"/>
  <c r="CJ6"/>
  <c r="BN29"/>
  <c r="BN9"/>
  <c r="Z18"/>
  <c r="AJ25"/>
  <c r="AP30"/>
  <c r="DC42"/>
  <c r="ES54"/>
  <c r="FO11"/>
  <c r="FQ50"/>
  <c r="FP3"/>
  <c r="M50"/>
  <c r="N55"/>
  <c r="M40"/>
  <c r="AR51"/>
  <c r="CN51"/>
  <c r="EB51"/>
  <c r="FP51"/>
  <c r="AY51"/>
  <c r="CM51"/>
  <c r="EA51"/>
  <c r="R51"/>
  <c r="BF51"/>
  <c r="CT51"/>
  <c r="EP51"/>
  <c r="P51"/>
  <c r="BD51"/>
  <c r="CZ51"/>
  <c r="EN51"/>
  <c r="R43"/>
  <c r="BN43"/>
  <c r="DB43"/>
  <c r="EP43"/>
  <c r="FV43"/>
  <c r="AO43"/>
  <c r="BU43"/>
  <c r="DA43"/>
  <c r="EG43"/>
  <c r="FM43"/>
  <c r="AF43"/>
  <c r="BL43"/>
  <c r="CR43"/>
  <c r="DX43"/>
  <c r="FD43"/>
  <c r="V43"/>
  <c r="BB43"/>
  <c r="CH43"/>
  <c r="DN43"/>
  <c r="ET43"/>
  <c r="O43"/>
  <c r="CA43"/>
  <c r="EM43"/>
  <c r="AC43"/>
  <c r="CO43"/>
  <c r="FA43"/>
  <c r="AR43"/>
  <c r="DD43"/>
  <c r="FP43"/>
  <c r="BS43"/>
  <c r="EE43"/>
  <c r="T52"/>
  <c r="AZ52"/>
  <c r="CF52"/>
  <c r="DL52"/>
  <c r="ER52"/>
  <c r="K52"/>
  <c r="AQ52"/>
  <c r="BW52"/>
  <c r="DC52"/>
  <c r="EI52"/>
  <c r="FO52"/>
  <c r="AP52"/>
  <c r="BV52"/>
  <c r="DB52"/>
  <c r="EH52"/>
  <c r="FN52"/>
  <c r="AF52"/>
  <c r="BL52"/>
  <c r="CR52"/>
  <c r="DX52"/>
  <c r="FD52"/>
  <c r="R44"/>
  <c r="AX44"/>
  <c r="CD44"/>
  <c r="DJ44"/>
  <c r="EP44"/>
  <c r="FV44"/>
  <c r="AO44"/>
  <c r="BU44"/>
  <c r="DA44"/>
  <c r="EG44"/>
  <c r="FM44"/>
  <c r="AF44"/>
  <c r="BL44"/>
  <c r="CR44"/>
  <c r="DX44"/>
  <c r="FD44"/>
  <c r="V44"/>
  <c r="BB44"/>
  <c r="CH44"/>
  <c r="DN44"/>
  <c r="ET44"/>
  <c r="W44"/>
  <c r="CI44"/>
  <c r="EU44"/>
  <c r="BA44"/>
  <c r="DM44"/>
  <c r="T44"/>
  <c r="CF44"/>
  <c r="ER44"/>
  <c r="AU44"/>
  <c r="DG44"/>
  <c r="FS44"/>
  <c r="DD42"/>
  <c r="FK51"/>
  <c r="CY51"/>
  <c r="AM51"/>
  <c r="EM50"/>
  <c r="CA50"/>
  <c r="K50"/>
  <c r="BA45"/>
  <c r="CW43"/>
  <c r="EK42"/>
  <c r="M42"/>
  <c r="FB56"/>
  <c r="DR56"/>
  <c r="CG56"/>
  <c r="AW56"/>
  <c r="L56"/>
  <c r="EG55"/>
  <c r="BU55"/>
  <c r="FU54"/>
  <c r="DI54"/>
  <c r="AW54"/>
  <c r="EG53"/>
  <c r="BU53"/>
  <c r="FU52"/>
  <c r="DI52"/>
  <c r="AW52"/>
  <c r="EW51"/>
  <c r="CK51"/>
  <c r="Y51"/>
  <c r="DY50"/>
  <c r="BM50"/>
  <c r="EA48"/>
  <c r="FO47"/>
  <c r="AQ47"/>
  <c r="CE46"/>
  <c r="CM45"/>
  <c r="EA44"/>
  <c r="FO43"/>
  <c r="AQ43"/>
  <c r="CE42"/>
  <c r="CU40"/>
  <c r="EI39"/>
  <c r="N50"/>
  <c r="Q50"/>
  <c r="AZ50"/>
  <c r="CF50"/>
  <c r="DL50"/>
  <c r="ER50"/>
  <c r="P50"/>
  <c r="AY50"/>
  <c r="CE50"/>
  <c r="DK50"/>
  <c r="EQ50"/>
  <c r="O50"/>
  <c r="AX50"/>
  <c r="CD50"/>
  <c r="DJ50"/>
  <c r="EP50"/>
  <c r="FV50"/>
  <c r="AN50"/>
  <c r="BT50"/>
  <c r="CZ50"/>
  <c r="EF50"/>
  <c r="FL50"/>
  <c r="AH42"/>
  <c r="BN42"/>
  <c r="CT42"/>
  <c r="DZ42"/>
  <c r="FF42"/>
  <c r="Y42"/>
  <c r="BE42"/>
  <c r="CK42"/>
  <c r="DQ42"/>
  <c r="EW42"/>
  <c r="P42"/>
  <c r="AV42"/>
  <c r="CB42"/>
  <c r="DH42"/>
  <c r="EN42"/>
  <c r="FT42"/>
  <c r="AL42"/>
  <c r="BR42"/>
  <c r="CX42"/>
  <c r="ED42"/>
  <c r="FJ42"/>
  <c r="BC42"/>
  <c r="DO42"/>
  <c r="U42"/>
  <c r="CG42"/>
  <c r="ES42"/>
  <c r="AZ42"/>
  <c r="DL42"/>
  <c r="O42"/>
  <c r="CA42"/>
  <c r="EM42"/>
  <c r="T54"/>
  <c r="AZ54"/>
  <c r="CF54"/>
  <c r="DL54"/>
  <c r="ER54"/>
  <c r="K54"/>
  <c r="AQ54"/>
  <c r="BW54"/>
  <c r="DC54"/>
  <c r="EI54"/>
  <c r="FO54"/>
  <c r="AP54"/>
  <c r="BV54"/>
  <c r="DQ11"/>
  <c r="EH64"/>
  <c r="BR71"/>
  <c r="EQ89"/>
  <c r="W79"/>
  <c r="EG3"/>
  <c r="DL45"/>
  <c r="EQ26"/>
  <c r="P11"/>
  <c r="CW6"/>
  <c r="V20"/>
  <c r="DK7"/>
  <c r="BB26"/>
  <c r="BJ16"/>
  <c r="BB10"/>
  <c r="BJ4"/>
  <c r="Y8"/>
  <c r="AC12"/>
  <c r="O18"/>
  <c r="BG44"/>
  <c r="AD54"/>
  <c r="FM10"/>
  <c r="FP23"/>
  <c r="EX10"/>
  <c r="EG17"/>
  <c r="FC23"/>
  <c r="DL9"/>
  <c r="DL15"/>
  <c r="DU20"/>
  <c r="DQ24"/>
  <c r="DU28"/>
  <c r="DH29"/>
  <c r="DK14"/>
  <c r="DA8"/>
  <c r="CZ28"/>
  <c r="CH5"/>
  <c r="CD9"/>
  <c r="CX13"/>
  <c r="CL17"/>
  <c r="CH21"/>
  <c r="CG26"/>
  <c r="CP29"/>
  <c r="BM29"/>
  <c r="BE27"/>
  <c r="BU24"/>
  <c r="BM21"/>
  <c r="BE19"/>
  <c r="BU16"/>
  <c r="BM13"/>
  <c r="BE11"/>
  <c r="BU8"/>
  <c r="BM5"/>
  <c r="BE3"/>
  <c r="P6"/>
  <c r="U9"/>
  <c r="AA11"/>
  <c r="AO13"/>
  <c r="M17"/>
  <c r="S19"/>
  <c r="AG21"/>
  <c r="AL24"/>
  <c r="K27"/>
  <c r="CN44"/>
  <c r="FA56"/>
  <c r="FF18"/>
  <c r="ES4"/>
  <c r="EU22"/>
  <c r="DL4"/>
  <c r="DZ16"/>
  <c r="DY27"/>
  <c r="DH24"/>
  <c r="DB16"/>
  <c r="CJ8"/>
  <c r="CG15"/>
  <c r="CT22"/>
  <c r="CV28"/>
  <c r="BT31"/>
  <c r="BT27"/>
  <c r="BT23"/>
  <c r="BT19"/>
  <c r="BT15"/>
  <c r="BT11"/>
  <c r="BT7"/>
  <c r="BT3"/>
  <c r="P7"/>
  <c r="L11"/>
  <c r="AO14"/>
  <c r="Z49"/>
  <c r="FN55"/>
  <c r="FV13"/>
  <c r="FF29"/>
  <c r="FA9"/>
  <c r="EG21"/>
  <c r="DQ13"/>
  <c r="DL20"/>
  <c r="DZ26"/>
  <c r="DG31"/>
  <c r="DI5"/>
  <c r="DD31"/>
  <c r="CM7"/>
  <c r="CO13"/>
  <c r="CQ19"/>
  <c r="CS25"/>
  <c r="CU31"/>
  <c r="BV29"/>
  <c r="BV25"/>
  <c r="BV21"/>
  <c r="BV17"/>
  <c r="BV13"/>
  <c r="BV9"/>
  <c r="BV5"/>
  <c r="P5"/>
  <c r="L9"/>
  <c r="AO12"/>
  <c r="DS41"/>
  <c r="DU52"/>
  <c r="FL6"/>
  <c r="FM21"/>
  <c r="EM4"/>
  <c r="EP15"/>
  <c r="ES26"/>
  <c r="DM7"/>
  <c r="DW16"/>
  <c r="DR23"/>
  <c r="DM30"/>
  <c r="DI18"/>
  <c r="DC15"/>
  <c r="CK4"/>
  <c r="CM10"/>
  <c r="CO16"/>
  <c r="CQ22"/>
  <c r="CS28"/>
  <c r="BW31"/>
  <c r="BW27"/>
  <c r="BW23"/>
  <c r="BW19"/>
  <c r="BW15"/>
  <c r="BW11"/>
  <c r="BW7"/>
  <c r="BW3"/>
  <c r="M7"/>
  <c r="AP10"/>
  <c r="AL14"/>
  <c r="EI48"/>
  <c r="EE55"/>
  <c r="FM11"/>
  <c r="FN26"/>
  <c r="EG8"/>
  <c r="EJ19"/>
  <c r="EM30"/>
  <c r="DW11"/>
  <c r="EB18"/>
  <c r="EC23"/>
  <c r="EA29"/>
  <c r="DK25"/>
  <c r="DJ6"/>
  <c r="DB26"/>
  <c r="CV4"/>
  <c r="CH10"/>
  <c r="CT14"/>
  <c r="CK19"/>
  <c r="CR24"/>
  <c r="CI29"/>
  <c r="CB31"/>
  <c r="CB28"/>
  <c r="CB25"/>
  <c r="BL22"/>
  <c r="BL19"/>
  <c r="CB15"/>
  <c r="CB12"/>
  <c r="CB9"/>
  <c r="BL6"/>
  <c r="BL3"/>
  <c r="AO6"/>
  <c r="AL9"/>
  <c r="AI12"/>
  <c r="O16"/>
  <c r="L19"/>
  <c r="AL21"/>
  <c r="AA23"/>
  <c r="AY39"/>
  <c r="FE55"/>
  <c r="FP18"/>
  <c r="ES10"/>
  <c r="EL27"/>
  <c r="DX13"/>
  <c r="DT25"/>
  <c r="DH23"/>
  <c r="CZ30"/>
  <c r="CU10"/>
  <c r="CX19"/>
  <c r="CQ30"/>
  <c r="BO28"/>
  <c r="BO21"/>
  <c r="BO15"/>
  <c r="BO9"/>
  <c r="X4"/>
  <c r="R10"/>
  <c r="P16"/>
  <c r="Z19"/>
  <c r="L22"/>
  <c r="S24"/>
  <c r="K26"/>
  <c r="AP27"/>
  <c r="Z29"/>
  <c r="AO30"/>
  <c r="FN5"/>
  <c r="DX9"/>
  <c r="DD5"/>
  <c r="CK25"/>
  <c r="AX16"/>
  <c r="AL7"/>
  <c r="AP21"/>
  <c r="L27"/>
  <c r="AC31"/>
  <c r="EG22"/>
  <c r="DG16"/>
  <c r="BK31"/>
  <c r="BK7"/>
  <c r="AG19"/>
  <c r="AC28"/>
  <c r="FE20"/>
  <c r="DU25"/>
  <c r="CD20"/>
  <c r="BN18"/>
  <c r="AG15"/>
  <c r="AA25"/>
  <c r="EF49"/>
  <c r="FT6"/>
  <c r="FE29"/>
  <c r="ES18"/>
  <c r="DU7"/>
  <c r="DO20"/>
  <c r="DQ30"/>
  <c r="DC8"/>
  <c r="CE6"/>
  <c r="CS16"/>
  <c r="CV25"/>
  <c r="BS31"/>
  <c r="BS24"/>
  <c r="BS18"/>
  <c r="BS11"/>
  <c r="BS5"/>
  <c r="Q7"/>
  <c r="J14"/>
  <c r="BC84"/>
  <c r="FI88"/>
  <c r="BS80"/>
  <c r="DT48"/>
  <c r="ET17"/>
  <c r="AK52"/>
  <c r="BX15"/>
  <c r="DO26"/>
  <c r="AL4"/>
  <c r="DN26"/>
  <c r="CI31"/>
  <c r="BJ18"/>
  <c r="BJ10"/>
  <c r="BB6"/>
  <c r="AA6"/>
  <c r="U12"/>
  <c r="Y16"/>
  <c r="CD38"/>
  <c r="DN53"/>
  <c r="FO8"/>
  <c r="FQ22"/>
  <c r="FH31"/>
  <c r="EM7"/>
  <c r="EN16"/>
  <c r="ET22"/>
  <c r="ES29"/>
  <c r="DO8"/>
  <c r="DO14"/>
  <c r="DS18"/>
  <c r="EB23"/>
  <c r="DX27"/>
  <c r="EB31"/>
  <c r="DI16"/>
  <c r="DA4"/>
  <c r="DA24"/>
  <c r="CU4"/>
  <c r="CI8"/>
  <c r="CE12"/>
  <c r="CD17"/>
  <c r="CM20"/>
  <c r="CI24"/>
  <c r="CH29"/>
  <c r="BU30"/>
  <c r="BM27"/>
  <c r="BE25"/>
  <c r="BU22"/>
  <c r="BM19"/>
  <c r="BE17"/>
  <c r="BU14"/>
  <c r="BM11"/>
  <c r="BE9"/>
  <c r="BU6"/>
  <c r="BM3"/>
  <c r="AG5"/>
  <c r="N8"/>
  <c r="S11"/>
  <c r="Y13"/>
  <c r="AM15"/>
  <c r="K19"/>
  <c r="Q21"/>
  <c r="AE23"/>
  <c r="AJ26"/>
  <c r="U41"/>
  <c r="ES53"/>
  <c r="FH16"/>
  <c r="FE31"/>
  <c r="EV15"/>
  <c r="EF15"/>
  <c r="DM15"/>
  <c r="DU23"/>
  <c r="DI27"/>
  <c r="DB8"/>
  <c r="CN4"/>
  <c r="CL14"/>
  <c r="CI21"/>
  <c r="CK27"/>
  <c r="BT28"/>
  <c r="BT24"/>
  <c r="BT20"/>
  <c r="BT16"/>
  <c r="BT12"/>
  <c r="BT8"/>
  <c r="BT4"/>
  <c r="Q6"/>
  <c r="M10"/>
  <c r="AP13"/>
  <c r="BG46"/>
  <c r="CQ54"/>
  <c r="FI10"/>
  <c r="FJ25"/>
  <c r="EI7"/>
  <c r="EL18"/>
  <c r="EO29"/>
  <c r="DU10"/>
  <c r="DR18"/>
  <c r="DM25"/>
  <c r="EA31"/>
  <c r="DK11"/>
  <c r="DD23"/>
  <c r="CW5"/>
  <c r="CD12"/>
  <c r="CF18"/>
  <c r="CH24"/>
  <c r="CJ30"/>
  <c r="BV30"/>
  <c r="BV26"/>
  <c r="BV22"/>
  <c r="BV18"/>
  <c r="BV14"/>
  <c r="BV10"/>
  <c r="BV6"/>
  <c r="Q4"/>
  <c r="M8"/>
  <c r="AP11"/>
  <c r="BO39"/>
  <c r="FL49"/>
  <c r="EK56"/>
  <c r="FQ17"/>
  <c r="EU12"/>
  <c r="EX23"/>
  <c r="DY3"/>
  <c r="EC14"/>
  <c r="DX21"/>
  <c r="DS28"/>
  <c r="DK24"/>
  <c r="DC7"/>
  <c r="CZ6"/>
  <c r="CW8"/>
  <c r="CD15"/>
  <c r="CF21"/>
  <c r="CH27"/>
  <c r="BW28"/>
  <c r="BW24"/>
  <c r="BW20"/>
  <c r="BW16"/>
  <c r="BW12"/>
  <c r="EP89"/>
  <c r="FS89"/>
  <c r="EJ13"/>
  <c r="FL16"/>
  <c r="EJ18"/>
  <c r="CO27"/>
  <c r="EJ20"/>
  <c r="BA18"/>
  <c r="DW12"/>
  <c r="CE19"/>
  <c r="BJ20"/>
  <c r="BJ12"/>
  <c r="BJ6"/>
  <c r="AK4"/>
  <c r="W10"/>
  <c r="Q16"/>
  <c r="U20"/>
  <c r="CS49"/>
  <c r="FP7"/>
  <c r="FV17"/>
  <c r="FI30"/>
  <c r="FA5"/>
  <c r="EZ12"/>
  <c r="FA21"/>
  <c r="EJ28"/>
  <c r="ED3"/>
  <c r="DZ13"/>
  <c r="DV17"/>
  <c r="DZ21"/>
  <c r="DP27"/>
  <c r="DL31"/>
  <c r="DI24"/>
  <c r="DJ3"/>
  <c r="DA20"/>
  <c r="CZ4"/>
  <c r="CV7"/>
  <c r="CJ11"/>
  <c r="CF15"/>
  <c r="CE20"/>
  <c r="CN23"/>
  <c r="CJ27"/>
  <c r="BE31"/>
  <c r="BU28"/>
  <c r="BM25"/>
  <c r="BE23"/>
  <c r="BU20"/>
  <c r="BM17"/>
  <c r="BE15"/>
  <c r="BU12"/>
  <c r="BM9"/>
  <c r="BE7"/>
  <c r="BU4"/>
  <c r="Y5"/>
  <c r="AE7"/>
  <c r="L10"/>
  <c r="Q13"/>
  <c r="W15"/>
  <c r="AK17"/>
  <c r="AP20"/>
  <c r="O23"/>
  <c r="AC25"/>
  <c r="DK39"/>
  <c r="U52"/>
  <c r="FR6"/>
  <c r="FI31"/>
  <c r="FA12"/>
  <c r="EY26"/>
  <c r="DP14"/>
  <c r="EA21"/>
  <c r="DP30"/>
  <c r="DB4"/>
  <c r="CZ3"/>
  <c r="CP10"/>
  <c r="CN20"/>
  <c r="CP26"/>
  <c r="BD29"/>
  <c r="BD25"/>
  <c r="BD21"/>
  <c r="BD17"/>
  <c r="BD13"/>
  <c r="BD9"/>
  <c r="BD5"/>
  <c r="AH5"/>
  <c r="AD9"/>
  <c r="Z13"/>
  <c r="BH44"/>
  <c r="DO53"/>
  <c r="FK8"/>
  <c r="FL23"/>
  <c r="EW5"/>
  <c r="EZ16"/>
  <c r="FC27"/>
  <c r="EA8"/>
  <c r="DU17"/>
  <c r="DP24"/>
  <c r="ED30"/>
  <c r="DG15"/>
  <c r="DD19"/>
  <c r="CG5"/>
  <c r="CI11"/>
  <c r="CK17"/>
  <c r="CM23"/>
  <c r="CO29"/>
  <c r="BF31"/>
  <c r="BF27"/>
  <c r="BF23"/>
  <c r="BF19"/>
  <c r="BF15"/>
  <c r="BF11"/>
  <c r="BF7"/>
  <c r="BF3"/>
  <c r="AD7"/>
  <c r="Z11"/>
  <c r="BW38"/>
  <c r="CQ49"/>
  <c r="BP56"/>
  <c r="FS15"/>
  <c r="FT30"/>
  <c r="EL11"/>
  <c r="EO22"/>
  <c r="EF21"/>
  <c r="DM14"/>
  <c r="EA20"/>
  <c r="DV27"/>
  <c r="DG28"/>
  <c r="DC3"/>
  <c r="CZ22"/>
  <c r="CG8"/>
  <c r="CI14"/>
  <c r="CK20"/>
  <c r="CM26"/>
  <c r="BG29"/>
  <c r="BG25"/>
  <c r="BG21"/>
  <c r="BG17"/>
  <c r="BG13"/>
  <c r="BG9"/>
  <c r="BG5"/>
  <c r="AE5"/>
  <c r="AA9"/>
  <c r="W13"/>
  <c r="CU43"/>
  <c r="BC53"/>
  <c r="FS5"/>
  <c r="FT20"/>
  <c r="EZ3"/>
  <c r="FC14"/>
  <c r="EI26"/>
  <c r="DV6"/>
  <c r="DR16"/>
  <c r="DS21"/>
  <c r="DT26"/>
  <c r="DH16"/>
  <c r="DB14"/>
  <c r="CZ11"/>
  <c r="CG7"/>
  <c r="CN12"/>
  <c r="CE17"/>
  <c r="CL22"/>
  <c r="CX26"/>
  <c r="CO31"/>
  <c r="BL30"/>
  <c r="BL27"/>
  <c r="CB23"/>
  <c r="CB20"/>
  <c r="CB17"/>
  <c r="BL14"/>
  <c r="BL11"/>
  <c r="CB7"/>
  <c r="CB4"/>
  <c r="J5"/>
  <c r="W8"/>
  <c r="T11"/>
  <c r="AG14"/>
  <c r="AD17"/>
  <c r="AA20"/>
  <c r="AG22"/>
  <c r="U24"/>
  <c r="FG49"/>
  <c r="FK7"/>
  <c r="FU29"/>
  <c r="FA18"/>
  <c r="DV4"/>
  <c r="DS20"/>
  <c r="DU30"/>
  <c r="DG4"/>
  <c r="CI6"/>
  <c r="CL15"/>
  <c r="CE26"/>
  <c r="BO31"/>
  <c r="BO25"/>
  <c r="BO18"/>
  <c r="BO12"/>
  <c r="BO5"/>
  <c r="U7"/>
  <c r="O13"/>
  <c r="AL17"/>
  <c r="K21"/>
  <c r="U23"/>
  <c r="Q25"/>
  <c r="AM26"/>
  <c r="AI28"/>
  <c r="Q30"/>
  <c r="AN31"/>
  <c r="W3"/>
  <c r="EK9"/>
  <c r="DR26"/>
  <c r="CQ11"/>
  <c r="AX25"/>
  <c r="AX8"/>
  <c r="AO15"/>
  <c r="AJ24"/>
  <c r="W29"/>
  <c r="FG19"/>
  <c r="DP17"/>
  <c r="CD11"/>
  <c r="BK19"/>
  <c r="U11"/>
  <c r="S25"/>
  <c r="Z31"/>
  <c r="EW21"/>
  <c r="DD25"/>
  <c r="BN30"/>
  <c r="Y4"/>
  <c r="AJ21"/>
  <c r="AJ28"/>
  <c r="BQ41"/>
  <c r="DO55"/>
  <c r="FU21"/>
  <c r="EK10"/>
  <c r="FA26"/>
  <c r="DN15"/>
  <c r="DP25"/>
  <c r="DJ17"/>
  <c r="CQ10"/>
  <c r="CJ21"/>
  <c r="CM30"/>
  <c r="BS27"/>
  <c r="BS21"/>
  <c r="BS15"/>
  <c r="BS8"/>
  <c r="T4"/>
  <c r="M11"/>
  <c r="M16"/>
  <c r="Y19"/>
  <c r="AH21"/>
  <c r="AD23"/>
  <c r="AM24"/>
  <c r="J26"/>
  <c r="N27"/>
  <c r="Q28"/>
  <c r="Y28"/>
  <c r="V27"/>
  <c r="R26"/>
  <c r="O25"/>
  <c r="AN23"/>
  <c r="AD22"/>
  <c r="U21"/>
  <c r="U19"/>
  <c r="O17"/>
  <c r="AH14"/>
  <c r="AL10"/>
  <c r="AP6"/>
  <c r="CA3"/>
  <c r="CA7"/>
  <c r="CA11"/>
  <c r="CA15"/>
  <c r="CA19"/>
  <c r="CA23"/>
  <c r="CA27"/>
  <c r="CA31"/>
  <c r="CO28"/>
  <c r="CM22"/>
  <c r="CK16"/>
  <c r="CI10"/>
  <c r="CG4"/>
  <c r="DC14"/>
  <c r="DH19"/>
  <c r="EB29"/>
  <c r="DN23"/>
  <c r="DS16"/>
  <c r="DX6"/>
  <c r="EK26"/>
  <c r="EH15"/>
  <c r="FB3"/>
  <c r="FV20"/>
  <c r="FU5"/>
  <c r="BI52"/>
  <c r="BG41"/>
  <c r="Y31"/>
  <c r="Y27"/>
  <c r="AI22"/>
  <c r="N15"/>
  <c r="BN7"/>
  <c r="BN23"/>
  <c r="CE23"/>
  <c r="DD17"/>
  <c r="DR11"/>
  <c r="L28"/>
  <c r="X23"/>
  <c r="U16"/>
  <c r="BK5"/>
  <c r="BK21"/>
  <c r="CI26"/>
  <c r="DC26"/>
  <c r="EC18"/>
  <c r="T3"/>
  <c r="V30"/>
  <c r="U27"/>
  <c r="AB23"/>
  <c r="AI18"/>
  <c r="AJ9"/>
  <c r="AX9"/>
  <c r="AX21"/>
  <c r="CR14"/>
  <c r="DD13"/>
  <c r="ED22"/>
  <c r="EI23"/>
  <c r="FS16"/>
  <c r="V3"/>
  <c r="W31"/>
  <c r="X30"/>
  <c r="Y29"/>
  <c r="Z28"/>
  <c r="AL26"/>
  <c r="Y25"/>
  <c r="AO23"/>
  <c r="V21"/>
  <c r="AJ17"/>
  <c r="O9"/>
  <c r="BS10"/>
  <c r="BS23"/>
  <c r="CW28"/>
  <c r="CF9"/>
  <c r="DI30"/>
  <c r="EB10"/>
  <c r="EU4"/>
  <c r="AE54"/>
  <c r="AH27"/>
  <c r="BN10"/>
  <c r="AB29"/>
  <c r="Y7"/>
  <c r="CW4"/>
  <c r="L3"/>
  <c r="AM22"/>
  <c r="AX13"/>
  <c r="CE7"/>
  <c r="EU3"/>
  <c r="X31"/>
  <c r="S28"/>
  <c r="AC24"/>
  <c r="AD20"/>
  <c r="P12"/>
  <c r="BO7"/>
  <c r="BO20"/>
  <c r="CV13"/>
  <c r="DI10"/>
  <c r="DL17"/>
  <c r="EN13"/>
  <c r="EI56"/>
  <c r="L24"/>
  <c r="K20"/>
  <c r="AH13"/>
  <c r="X7"/>
  <c r="CB5"/>
  <c r="CB11"/>
  <c r="BL18"/>
  <c r="CB24"/>
  <c r="BL31"/>
  <c r="CM25"/>
  <c r="CJ16"/>
  <c r="CL6"/>
  <c r="DB6"/>
  <c r="DX30"/>
  <c r="DY19"/>
  <c r="EV31"/>
  <c r="EP9"/>
  <c r="FK13"/>
  <c r="BT49"/>
  <c r="Y11"/>
  <c r="BG3"/>
  <c r="BG11"/>
  <c r="BG27"/>
  <c r="CJ17"/>
  <c r="DH15"/>
  <c r="DZ8"/>
  <c r="FK23"/>
  <c r="X13"/>
  <c r="BF9"/>
  <c r="BF25"/>
  <c r="CL20"/>
  <c r="DD3"/>
  <c r="DN14"/>
  <c r="FU30"/>
  <c r="CL38"/>
  <c r="BD7"/>
  <c r="BD23"/>
  <c r="CO23"/>
  <c r="DK17"/>
  <c r="EG24"/>
  <c r="AS50"/>
  <c r="AI19"/>
  <c r="AC9"/>
  <c r="BM7"/>
  <c r="BU18"/>
  <c r="BE29"/>
  <c r="CF23"/>
  <c r="CX5"/>
  <c r="DJ27"/>
  <c r="DN17"/>
  <c r="EP18"/>
  <c r="FG16"/>
  <c r="S14"/>
  <c r="BJ14"/>
  <c r="CJ31"/>
  <c r="CU39"/>
  <c r="AG12"/>
  <c r="AX6"/>
  <c r="AX18"/>
  <c r="AX30"/>
  <c r="CI19"/>
  <c r="DD29"/>
  <c r="DL28"/>
  <c r="EQ31"/>
  <c r="FG28"/>
  <c r="AD3"/>
  <c r="AE31"/>
  <c r="AF30"/>
  <c r="AG29"/>
  <c r="AH28"/>
  <c r="W27"/>
  <c r="AH25"/>
  <c r="R24"/>
  <c r="U22"/>
  <c r="AL18"/>
  <c r="L12"/>
  <c r="BS7"/>
  <c r="BS19"/>
  <c r="CR13"/>
  <c r="DH11"/>
  <c r="EA16"/>
  <c r="EX15"/>
  <c r="FG3"/>
  <c r="AH30"/>
  <c r="U8"/>
  <c r="CU7"/>
  <c r="Y3"/>
  <c r="W17"/>
  <c r="CH23"/>
  <c r="EI8"/>
  <c r="AF25"/>
  <c r="AO4"/>
  <c r="CT20"/>
  <c r="FA25"/>
  <c r="J29"/>
  <c r="AI25"/>
  <c r="AI21"/>
  <c r="M15"/>
  <c r="BO4"/>
  <c r="BO17"/>
  <c r="BO29"/>
  <c r="CM18"/>
  <c r="DC17"/>
  <c r="DM22"/>
  <c r="EV21"/>
  <c r="FT14"/>
  <c r="AN24"/>
  <c r="R21"/>
  <c r="P15"/>
  <c r="AM8"/>
  <c r="CB3"/>
  <c r="BL10"/>
  <c r="CB16"/>
  <c r="BL23"/>
  <c r="CB29"/>
  <c r="CN28"/>
  <c r="CP18"/>
  <c r="CR8"/>
  <c r="DB18"/>
  <c r="DM23"/>
  <c r="DP8"/>
  <c r="EO16"/>
  <c r="FR22"/>
  <c r="AU54"/>
  <c r="AM13"/>
  <c r="N6"/>
  <c r="BW8"/>
  <c r="BG23"/>
  <c r="CL23"/>
  <c r="DC19"/>
  <c r="DT17"/>
  <c r="EV5"/>
  <c r="AC44"/>
  <c r="BF5"/>
  <c r="BF21"/>
  <c r="CN26"/>
  <c r="CZ21"/>
  <c r="EB20"/>
  <c r="EM11"/>
  <c r="CU49"/>
  <c r="BD3"/>
  <c r="BD19"/>
  <c r="CQ29"/>
  <c r="CZ19"/>
  <c r="DS7"/>
  <c r="J3"/>
  <c r="AN22"/>
  <c r="J12"/>
  <c r="BE5"/>
  <c r="BM15"/>
  <c r="BU26"/>
  <c r="CO26"/>
  <c r="CW10"/>
  <c r="DJ11"/>
  <c r="EC20"/>
  <c r="EQ27"/>
  <c r="FN25"/>
  <c r="M20"/>
  <c r="BJ8"/>
  <c r="FP27"/>
  <c r="FH17"/>
  <c r="AD86"/>
  <c r="AX3"/>
  <c r="AX15"/>
  <c r="AX27"/>
  <c r="CU23"/>
  <c r="CO5"/>
  <c r="EA12"/>
  <c r="EP6"/>
  <c r="AL3"/>
  <c r="AM31"/>
  <c r="AN30"/>
  <c r="AO29"/>
  <c r="AP28"/>
  <c r="AF27"/>
  <c r="S26"/>
  <c r="AB24"/>
  <c r="AE22"/>
  <c r="AB20"/>
  <c r="AP14"/>
  <c r="BS3"/>
  <c r="BS16"/>
  <c r="BS29"/>
  <c r="CI18"/>
  <c r="DC16"/>
  <c r="DV23"/>
  <c r="EI24"/>
  <c r="FL14"/>
  <c r="AN3"/>
  <c r="AM17"/>
  <c r="CR30"/>
  <c r="EO13"/>
  <c r="AJ22"/>
  <c r="BK27"/>
  <c r="EO30"/>
  <c r="AF28"/>
  <c r="AF13"/>
  <c r="AX31"/>
  <c r="DP16"/>
  <c r="AP29"/>
  <c r="AD26"/>
  <c r="AH22"/>
  <c r="AJ16"/>
  <c r="W5"/>
  <c r="BO13"/>
  <c r="BO26"/>
  <c r="CD23"/>
  <c r="CH3"/>
  <c r="DN27"/>
  <c r="FH26"/>
  <c r="AA46"/>
  <c r="N22"/>
  <c r="AE16"/>
  <c r="AK10"/>
  <c r="AA4"/>
  <c r="CB8"/>
  <c r="BL15"/>
  <c r="CB21"/>
  <c r="CB27"/>
  <c r="CT30"/>
  <c r="CV20"/>
  <c r="CX10"/>
  <c r="DB30"/>
  <c r="DI19"/>
  <c r="DW25"/>
  <c r="ED12"/>
  <c r="ES20"/>
  <c r="FL28"/>
  <c r="AU56"/>
  <c r="AP38"/>
  <c r="AC7"/>
  <c r="BG7"/>
  <c r="BG19"/>
  <c r="CN29"/>
  <c r="CF5"/>
  <c r="DO24"/>
  <c r="EY16"/>
  <c r="CY53"/>
  <c r="AF5"/>
  <c r="BF17"/>
  <c r="CH8"/>
  <c r="DW27"/>
  <c r="EP22"/>
  <c r="BW56"/>
  <c r="AF7"/>
  <c r="BD15"/>
  <c r="BD31"/>
  <c r="CE9"/>
  <c r="ED20"/>
  <c r="FS21"/>
  <c r="M25"/>
  <c r="O15"/>
  <c r="R4"/>
  <c r="BE13"/>
  <c r="BM23"/>
  <c r="CK30"/>
  <c r="CK14"/>
  <c r="DA18"/>
  <c r="DN25"/>
  <c r="EF16"/>
  <c r="EK5"/>
  <c r="S45"/>
  <c r="AC4"/>
  <c r="CV6"/>
  <c r="DG17"/>
  <c r="N82"/>
  <c r="FH15"/>
  <c r="DF56"/>
  <c r="EC49"/>
  <c r="EP38"/>
  <c r="W18"/>
  <c r="AA14"/>
  <c r="AE10"/>
  <c r="AI6"/>
  <c r="BB4"/>
  <c r="BB8"/>
  <c r="BB12"/>
  <c r="BB16"/>
  <c r="BB20"/>
  <c r="BB25"/>
  <c r="CG25"/>
  <c r="DD28"/>
  <c r="DS19"/>
  <c r="EZ8"/>
  <c r="AN49"/>
  <c r="AH8"/>
  <c r="BA14"/>
  <c r="BA30"/>
  <c r="CD13"/>
  <c r="EM31"/>
  <c r="FS12"/>
  <c r="J17"/>
  <c r="BP11"/>
  <c r="BX31"/>
  <c r="CG3"/>
  <c r="EA7"/>
  <c r="FJ6"/>
  <c r="FA27"/>
  <c r="FH25"/>
  <c r="V51"/>
  <c r="EN27"/>
  <c r="FL24"/>
  <c r="AW49"/>
  <c r="EJ14"/>
  <c r="AS54"/>
  <c r="ER21"/>
  <c r="FG7"/>
  <c r="EH79"/>
  <c r="K79"/>
  <c r="CA88"/>
  <c r="ET80"/>
  <c r="BW80"/>
  <c r="BY83"/>
  <c r="Z88"/>
  <c r="CP87"/>
  <c r="CH63"/>
  <c r="FQ74"/>
  <c r="FC19"/>
  <c r="M56"/>
  <c r="AD12"/>
  <c r="BA10"/>
  <c r="BA26"/>
  <c r="CF19"/>
  <c r="DJ7"/>
  <c r="DX12"/>
  <c r="FT27"/>
  <c r="AM20"/>
  <c r="BP4"/>
  <c r="BP27"/>
  <c r="CL10"/>
  <c r="DL22"/>
  <c r="FJ22"/>
  <c r="DP3"/>
  <c r="EU5"/>
  <c r="U55"/>
  <c r="EF11"/>
  <c r="EH5"/>
  <c r="EC54"/>
  <c r="ER22"/>
  <c r="FM8"/>
  <c r="FQ21"/>
  <c r="AH38"/>
  <c r="FA79"/>
  <c r="AM83"/>
  <c r="CS88"/>
  <c r="N89"/>
  <c r="BA82"/>
  <c r="EA88"/>
  <c r="AJ89"/>
  <c r="DH62"/>
  <c r="K73"/>
  <c r="EJ71"/>
  <c r="BB14"/>
  <c r="BB18"/>
  <c r="BB22"/>
  <c r="BB30"/>
  <c r="CX12"/>
  <c r="EI31"/>
  <c r="FO12"/>
  <c r="Z16"/>
  <c r="BA6"/>
  <c r="BA22"/>
  <c r="CH25"/>
  <c r="DA29"/>
  <c r="DT19"/>
  <c r="EG9"/>
  <c r="AP49"/>
  <c r="L7"/>
  <c r="BP20"/>
  <c r="CV16"/>
  <c r="DL30"/>
  <c r="EL13"/>
  <c r="DS10"/>
  <c r="EL12"/>
  <c r="FI8"/>
  <c r="DY9"/>
  <c r="EV11"/>
  <c r="FM7"/>
  <c r="EF26"/>
  <c r="FF23"/>
  <c r="DT38"/>
  <c r="FE25"/>
  <c r="CW47"/>
  <c r="BZ79"/>
  <c r="FK81"/>
  <c r="EH88"/>
  <c r="CP83"/>
  <c r="EK80"/>
  <c r="AI80"/>
  <c r="CV81"/>
  <c r="BJ85"/>
  <c r="AE65"/>
  <c r="BZ69"/>
  <c r="FQ73"/>
  <c r="FK87"/>
  <c r="FH89"/>
  <c r="EZ82"/>
  <c r="L80"/>
  <c r="AH88"/>
  <c r="AQ89"/>
  <c r="AI81"/>
  <c r="BI89"/>
  <c r="ES83"/>
  <c r="BI82"/>
  <c r="AC81"/>
  <c r="BL80"/>
  <c r="EI81"/>
  <c r="V89"/>
  <c r="FB83"/>
  <c r="BR82"/>
  <c r="AT81"/>
  <c r="FM88"/>
  <c r="FF88"/>
  <c r="AA81"/>
  <c r="AM89"/>
  <c r="CY83"/>
  <c r="FS81"/>
  <c r="EE80"/>
  <c r="CM79"/>
  <c r="AR79"/>
  <c r="CD79"/>
  <c r="AE79"/>
  <c r="BD79"/>
  <c r="EG79"/>
  <c r="AA44"/>
  <c r="BB53"/>
  <c r="FK3"/>
  <c r="FL18"/>
  <c r="FQ29"/>
  <c r="EG10"/>
  <c r="EJ21"/>
  <c r="EZ29"/>
  <c r="DY7"/>
  <c r="AZ45"/>
  <c r="M54"/>
  <c r="FQ4"/>
  <c r="FR19"/>
  <c r="FF31"/>
  <c r="EG11"/>
  <c r="EJ22"/>
  <c r="EZ30"/>
  <c r="EC8"/>
  <c r="EI46"/>
  <c r="CW54"/>
  <c r="FM56"/>
  <c r="FV14"/>
  <c r="FU23"/>
  <c r="FU31"/>
  <c r="EU10"/>
  <c r="EL17"/>
  <c r="EJ23"/>
  <c r="DQ9"/>
  <c r="CN40"/>
  <c r="EU49"/>
  <c r="FA54"/>
  <c r="J54"/>
  <c r="FR15"/>
  <c r="FQ24"/>
  <c r="EK11"/>
  <c r="EY17"/>
  <c r="EW23"/>
  <c r="EF22"/>
  <c r="ED9"/>
  <c r="DT44"/>
  <c r="FM3"/>
  <c r="FK21"/>
  <c r="FA4"/>
  <c r="EO24"/>
  <c r="ED6"/>
  <c r="ED16"/>
  <c r="DZ28"/>
  <c r="DJ18"/>
  <c r="DB17"/>
  <c r="CI9"/>
  <c r="CN16"/>
  <c r="CX22"/>
  <c r="BX27"/>
  <c r="BP23"/>
  <c r="BP16"/>
  <c r="BX11"/>
  <c r="BP7"/>
  <c r="U6"/>
  <c r="AO10"/>
  <c r="L15"/>
  <c r="AO18"/>
  <c r="FH41"/>
  <c r="FC52"/>
  <c r="FJ5"/>
  <c r="FK20"/>
  <c r="EQ3"/>
  <c r="ET14"/>
  <c r="EW25"/>
  <c r="DM6"/>
  <c r="DM16"/>
  <c r="EA22"/>
  <c r="DV29"/>
  <c r="DI20"/>
  <c r="DA13"/>
  <c r="CV3"/>
  <c r="CX9"/>
  <c r="CE16"/>
  <c r="CG22"/>
  <c r="CI28"/>
  <c r="BA28"/>
  <c r="BA24"/>
  <c r="BA20"/>
  <c r="BA16"/>
  <c r="BA12"/>
  <c r="BA8"/>
  <c r="BA4"/>
  <c r="AJ6"/>
  <c r="AF10"/>
  <c r="AB14"/>
  <c r="X18"/>
  <c r="EY41"/>
  <c r="FA52"/>
  <c r="FF5"/>
  <c r="FG20"/>
  <c r="EM3"/>
  <c r="EP14"/>
  <c r="ES25"/>
  <c r="EB5"/>
  <c r="DL16"/>
  <c r="DZ22"/>
  <c r="DU29"/>
  <c r="DJ20"/>
  <c r="DD12"/>
  <c r="CU3"/>
  <c r="CW9"/>
  <c r="CD16"/>
  <c r="CF22"/>
  <c r="CH28"/>
  <c r="BB28"/>
  <c r="BB24"/>
  <c r="BJ21"/>
  <c r="BJ19"/>
  <c r="BJ17"/>
  <c r="BJ15"/>
  <c r="BJ13"/>
  <c r="BJ11"/>
  <c r="BJ9"/>
  <c r="BJ7"/>
  <c r="BJ5"/>
  <c r="BJ3"/>
  <c r="AB5"/>
  <c r="Z7"/>
  <c r="X9"/>
  <c r="V11"/>
  <c r="T13"/>
  <c r="R15"/>
  <c r="P17"/>
  <c r="N19"/>
  <c r="L21"/>
  <c r="FA40"/>
  <c r="EC47"/>
  <c r="FI51"/>
  <c r="BB55"/>
  <c r="FT3"/>
  <c r="FL11"/>
  <c r="FU18"/>
  <c r="FM26"/>
  <c r="FE16"/>
  <c r="FC7"/>
  <c r="ES13"/>
  <c r="EI19"/>
  <c r="EV24"/>
  <c r="EL30"/>
  <c r="EA4"/>
  <c r="DV11"/>
  <c r="DT15"/>
  <c r="EA18"/>
  <c r="DO22"/>
  <c r="DV25"/>
  <c r="EC28"/>
  <c r="DK22"/>
  <c r="DG10"/>
  <c r="DA10"/>
  <c r="DA26"/>
  <c r="CJ3"/>
  <c r="CK6"/>
  <c r="CL9"/>
  <c r="CM12"/>
  <c r="CN15"/>
  <c r="CO18"/>
  <c r="CP21"/>
  <c r="CQ24"/>
  <c r="CR27"/>
  <c r="CS30"/>
  <c r="BM30"/>
  <c r="BM28"/>
  <c r="BM26"/>
  <c r="BM24"/>
  <c r="BM22"/>
  <c r="BM20"/>
  <c r="BM18"/>
  <c r="BM16"/>
  <c r="BM14"/>
  <c r="BM12"/>
  <c r="BM10"/>
  <c r="BM8"/>
  <c r="BM6"/>
  <c r="BM4"/>
  <c r="Z4"/>
  <c r="X6"/>
  <c r="V8"/>
  <c r="T10"/>
  <c r="R12"/>
  <c r="P14"/>
  <c r="N16"/>
  <c r="L18"/>
  <c r="J20"/>
  <c r="AO21"/>
  <c r="AM23"/>
  <c r="AK25"/>
  <c r="AI27"/>
  <c r="CM46"/>
  <c r="DG54"/>
  <c r="FP8"/>
  <c r="FQ23"/>
  <c r="FB5"/>
  <c r="EH17"/>
  <c r="EK28"/>
  <c r="DM9"/>
  <c r="DW17"/>
  <c r="DR24"/>
  <c r="DM31"/>
  <c r="DJ14"/>
  <c r="DB20"/>
  <c r="CI5"/>
  <c r="CK11"/>
  <c r="CM17"/>
  <c r="CO81"/>
  <c r="M80"/>
  <c r="DK88"/>
  <c r="BZ89"/>
  <c r="BB88"/>
  <c r="EL82"/>
  <c r="BB81"/>
  <c r="V80"/>
  <c r="AG88"/>
  <c r="DK82"/>
  <c r="AU89"/>
  <c r="FK83"/>
  <c r="BS82"/>
  <c r="AM81"/>
  <c r="FG79"/>
  <c r="AZ79"/>
  <c r="AC79"/>
  <c r="EU79"/>
  <c r="DP79"/>
  <c r="EO79"/>
  <c r="DU40"/>
  <c r="EC51"/>
  <c r="BM56"/>
  <c r="FH14"/>
  <c r="FI29"/>
  <c r="ET7"/>
  <c r="FB15"/>
  <c r="EH27"/>
  <c r="DQ7"/>
  <c r="CE41"/>
  <c r="BZ52"/>
  <c r="DN56"/>
  <c r="FN15"/>
  <c r="FO30"/>
  <c r="ET8"/>
  <c r="FB16"/>
  <c r="EH28"/>
  <c r="DU8"/>
  <c r="FO41"/>
  <c r="FQ52"/>
  <c r="ET56"/>
  <c r="FK9"/>
  <c r="FN22"/>
  <c r="FM31"/>
  <c r="EQ6"/>
  <c r="EK16"/>
  <c r="EY22"/>
  <c r="EW28"/>
  <c r="DL8"/>
  <c r="AB40"/>
  <c r="BP47"/>
  <c r="BI54"/>
  <c r="J41"/>
  <c r="FG10"/>
  <c r="FJ23"/>
  <c r="EG7"/>
  <c r="EX16"/>
  <c r="EO23"/>
  <c r="EM29"/>
  <c r="DY8"/>
  <c r="FG43"/>
  <c r="FJ53"/>
  <c r="FN18"/>
  <c r="EK4"/>
  <c r="EG16"/>
  <c r="DT4"/>
  <c r="DV16"/>
  <c r="DY23"/>
  <c r="DI23"/>
  <c r="DB15"/>
  <c r="CR4"/>
  <c r="CK15"/>
  <c r="CP22"/>
  <c r="CE29"/>
  <c r="BP28"/>
  <c r="BX23"/>
  <c r="BP19"/>
  <c r="BP12"/>
  <c r="BX7"/>
  <c r="BP3"/>
  <c r="Q10"/>
  <c r="AK14"/>
  <c r="AG18"/>
  <c r="CV41"/>
  <c r="CQ52"/>
  <c r="FK4"/>
  <c r="FL19"/>
  <c r="FE8"/>
  <c r="FA13"/>
  <c r="EG25"/>
  <c r="DP5"/>
  <c r="DX15"/>
  <c r="DS22"/>
  <c r="DN29"/>
  <c r="DG22"/>
  <c r="DA11"/>
  <c r="CN3"/>
  <c r="CP9"/>
  <c r="CR15"/>
  <c r="CT21"/>
  <c r="CV27"/>
  <c r="BI28"/>
  <c r="BI24"/>
  <c r="BI20"/>
  <c r="BI16"/>
  <c r="BI12"/>
  <c r="BI8"/>
  <c r="BI4"/>
  <c r="AB6"/>
  <c r="X10"/>
  <c r="T14"/>
  <c r="P18"/>
  <c r="CM41"/>
  <c r="CO52"/>
  <c r="FG4"/>
  <c r="FH19"/>
  <c r="FE12"/>
  <c r="EW13"/>
  <c r="EZ24"/>
  <c r="DL5"/>
  <c r="DW15"/>
  <c r="DR22"/>
  <c r="DM29"/>
  <c r="DH22"/>
  <c r="DD10"/>
  <c r="CM3"/>
  <c r="CO9"/>
  <c r="CQ15"/>
  <c r="CS21"/>
  <c r="CU27"/>
  <c r="BJ28"/>
  <c r="BJ24"/>
  <c r="BR21"/>
  <c r="BR19"/>
  <c r="BR17"/>
  <c r="BR15"/>
  <c r="BR13"/>
  <c r="BR11"/>
  <c r="BR9"/>
  <c r="BR7"/>
  <c r="BR5"/>
  <c r="BR3"/>
  <c r="T5"/>
  <c r="R7"/>
  <c r="P9"/>
  <c r="N11"/>
  <c r="L13"/>
  <c r="J15"/>
  <c r="AO16"/>
  <c r="AM18"/>
  <c r="AK20"/>
  <c r="AC40"/>
  <c r="FQ46"/>
  <c r="AK51"/>
  <c r="FB54"/>
  <c r="J42"/>
  <c r="DX63"/>
  <c r="DI69"/>
  <c r="CU84"/>
  <c r="AE64"/>
  <c r="EW71"/>
  <c r="BH65"/>
  <c r="BD71"/>
  <c r="AG60"/>
  <c r="DL62"/>
  <c r="BW85"/>
  <c r="ES85"/>
  <c r="DM86"/>
  <c r="J87"/>
  <c r="DL83"/>
  <c r="BP81"/>
  <c r="AH89"/>
  <c r="J88"/>
  <c r="BG88"/>
  <c r="K80"/>
  <c r="CW88"/>
  <c r="U83"/>
  <c r="FA81"/>
  <c r="BQ80"/>
  <c r="EA89"/>
  <c r="ET89"/>
  <c r="BJ88"/>
  <c r="AD83"/>
  <c r="FR81"/>
  <c r="CH80"/>
  <c r="AO88"/>
  <c r="R81"/>
  <c r="CY89"/>
  <c r="BS88"/>
  <c r="EM82"/>
  <c r="AU81"/>
  <c r="EP79"/>
  <c r="FP79"/>
  <c r="CO79"/>
  <c r="FC79"/>
  <c r="V79"/>
  <c r="CH79"/>
  <c r="BN38"/>
  <c r="BQ49"/>
  <c r="AT56"/>
  <c r="FT10"/>
  <c r="FH22"/>
  <c r="EY4"/>
  <c r="ET15"/>
  <c r="EM24"/>
  <c r="DR4"/>
  <c r="EZ38"/>
  <c r="DS49"/>
  <c r="CV56"/>
  <c r="FI12"/>
  <c r="FN23"/>
  <c r="EY5"/>
  <c r="ET16"/>
  <c r="EM25"/>
  <c r="DV5"/>
  <c r="FG39"/>
  <c r="FU49"/>
  <c r="CQ56"/>
  <c r="FT8"/>
  <c r="FT16"/>
  <c r="FF30"/>
  <c r="EI6"/>
  <c r="EG12"/>
  <c r="EX21"/>
  <c r="EO28"/>
  <c r="EF3"/>
  <c r="FP38"/>
  <c r="FP46"/>
  <c r="CH51"/>
  <c r="DW56"/>
  <c r="FP9"/>
  <c r="FP17"/>
  <c r="FS30"/>
  <c r="EV6"/>
  <c r="ET12"/>
  <c r="EN22"/>
  <c r="FB28"/>
  <c r="DX3"/>
  <c r="AK41"/>
  <c r="CG53"/>
  <c r="FI7"/>
  <c r="FE23"/>
  <c r="EN15"/>
  <c r="EJ27"/>
  <c r="DQ15"/>
  <c r="DQ23"/>
  <c r="DT30"/>
  <c r="DB9"/>
  <c r="CJ4"/>
  <c r="CT10"/>
  <c r="CM21"/>
  <c r="CR28"/>
  <c r="BP31"/>
  <c r="BP24"/>
  <c r="BX19"/>
  <c r="BP15"/>
  <c r="BP8"/>
  <c r="BX3"/>
  <c r="T7"/>
  <c r="M14"/>
  <c r="AP17"/>
  <c r="EC39"/>
  <c r="CO50"/>
  <c r="FI56"/>
  <c r="FO16"/>
  <c r="FP31"/>
  <c r="EY11"/>
  <c r="FB22"/>
  <c r="EF8"/>
  <c r="DS14"/>
  <c r="DN21"/>
  <c r="EB27"/>
  <c r="DK26"/>
  <c r="DA5"/>
  <c r="CZ16"/>
  <c r="CM8"/>
  <c r="CO14"/>
  <c r="CQ20"/>
  <c r="CS26"/>
  <c r="BA29"/>
  <c r="BA25"/>
  <c r="BA21"/>
  <c r="BA17"/>
  <c r="BA13"/>
  <c r="BA9"/>
  <c r="BA5"/>
  <c r="AK5"/>
  <c r="AG9"/>
  <c r="AC13"/>
  <c r="Y17"/>
  <c r="EA39"/>
  <c r="BI50"/>
  <c r="FC56"/>
  <c r="FK16"/>
  <c r="FL31"/>
  <c r="EU11"/>
  <c r="EX22"/>
  <c r="EF12"/>
  <c r="DR14"/>
  <c r="DM21"/>
  <c r="EA27"/>
  <c r="DG27"/>
  <c r="DD4"/>
  <c r="CZ17"/>
  <c r="CL8"/>
  <c r="CN14"/>
  <c r="CP20"/>
  <c r="CR26"/>
  <c r="BB29"/>
  <c r="BB62"/>
  <c r="M83"/>
  <c r="AK88"/>
  <c r="BQ89"/>
  <c r="EY82"/>
  <c r="FO89"/>
  <c r="CT88"/>
  <c r="DD80"/>
  <c r="T83"/>
  <c r="CK80"/>
  <c r="CB87"/>
  <c r="CB86"/>
  <c r="P85"/>
  <c r="BW62"/>
  <c r="FS74"/>
  <c r="CB75"/>
  <c r="S65"/>
  <c r="DZ69"/>
  <c r="FF68"/>
  <c r="EJ72"/>
  <c r="DT61"/>
  <c r="CE66"/>
  <c r="BI60"/>
  <c r="FK86"/>
  <c r="CY85"/>
  <c r="BX70"/>
  <c r="CP67"/>
  <c r="BT72"/>
  <c r="DY65"/>
  <c r="AZ73"/>
  <c r="FF75"/>
  <c r="FO64"/>
  <c r="CI61"/>
  <c r="DE67"/>
  <c r="FC60"/>
  <c r="AK61"/>
  <c r="EG65"/>
  <c r="AU67"/>
  <c r="CV75"/>
  <c r="FI66"/>
  <c r="BV63"/>
  <c r="AY68"/>
  <c r="EV60"/>
  <c r="P89"/>
  <c r="EE70"/>
  <c r="DD88"/>
  <c r="AP80"/>
  <c r="DV87"/>
  <c r="FT87"/>
  <c r="FB86"/>
  <c r="DH86"/>
  <c r="FB85"/>
  <c r="EN85"/>
  <c r="AV62"/>
  <c r="AP62"/>
  <c r="AC62"/>
  <c r="FK71"/>
  <c r="DZ68"/>
  <c r="BZ74"/>
  <c r="DP65"/>
  <c r="EQ65"/>
  <c r="EI73"/>
  <c r="AO67"/>
  <c r="FM73"/>
  <c r="DV69"/>
  <c r="X64"/>
  <c r="BI64"/>
  <c r="EL84"/>
  <c r="AX61"/>
  <c r="AE69"/>
  <c r="DG75"/>
  <c r="AA67"/>
  <c r="FV66"/>
  <c r="EE63"/>
  <c r="BI63"/>
  <c r="EW68"/>
  <c r="ER60"/>
  <c r="N13"/>
  <c r="R9"/>
  <c r="V5"/>
  <c r="BP5"/>
  <c r="BP9"/>
  <c r="BP13"/>
  <c r="BP17"/>
  <c r="BP21"/>
  <c r="BP25"/>
  <c r="BP29"/>
  <c r="CD26"/>
  <c r="CW19"/>
  <c r="CU13"/>
  <c r="CS7"/>
  <c r="CZ31"/>
  <c r="DH4"/>
  <c r="DK29"/>
  <c r="DM27"/>
  <c r="DR20"/>
  <c r="DW13"/>
  <c r="ET21"/>
  <c r="EQ10"/>
  <c r="FS29"/>
  <c r="FR14"/>
  <c r="CO56"/>
  <c r="DM49"/>
  <c r="DR38"/>
  <c r="DL7"/>
  <c r="ER26"/>
  <c r="FB20"/>
  <c r="EO15"/>
  <c r="EY9"/>
  <c r="EL4"/>
  <c r="FU28"/>
  <c r="FL21"/>
  <c r="FT13"/>
  <c r="FK6"/>
  <c r="BB56"/>
  <c r="BR53"/>
  <c r="BY49"/>
  <c r="EA43"/>
  <c r="AR38"/>
  <c r="DR6"/>
  <c r="ER31"/>
  <c r="FB25"/>
  <c r="EO20"/>
  <c r="EY14"/>
  <c r="EL9"/>
  <c r="EV3"/>
  <c r="FH28"/>
  <c r="FP20"/>
  <c r="FG13"/>
  <c r="FO5"/>
  <c r="V56"/>
  <c r="DU50"/>
  <c r="BW46"/>
  <c r="DQ12"/>
  <c r="EF18"/>
  <c r="EW27"/>
  <c r="EW19"/>
  <c r="EO11"/>
  <c r="EQ5"/>
  <c r="FJ27"/>
  <c r="FV15"/>
  <c r="FV7"/>
  <c r="EC55"/>
  <c r="EK49"/>
  <c r="EI44"/>
  <c r="DM11"/>
  <c r="EW26"/>
  <c r="EW18"/>
  <c r="EO10"/>
  <c r="EQ4"/>
  <c r="FU25"/>
  <c r="FP14"/>
  <c r="FP6"/>
  <c r="AL55"/>
  <c r="CJ49"/>
  <c r="BP43"/>
  <c r="BU79"/>
  <c r="DJ79"/>
  <c r="DX79"/>
  <c r="CI79"/>
  <c r="BF79"/>
  <c r="CW79"/>
  <c r="DD79"/>
  <c r="EY79"/>
  <c r="CA80"/>
  <c r="CY81"/>
  <c r="EE82"/>
  <c r="DG83"/>
  <c r="EE88"/>
  <c r="FK89"/>
  <c r="EQ82"/>
  <c r="DB89"/>
  <c r="FE88"/>
  <c r="CP80"/>
  <c r="DF81"/>
  <c r="ED82"/>
  <c r="CX83"/>
  <c r="DN88"/>
  <c r="EL89"/>
  <c r="FG81"/>
  <c r="BM80"/>
  <c r="EC80"/>
  <c r="CW81"/>
  <c r="DM82"/>
  <c r="EK83"/>
  <c r="DE88"/>
  <c r="DU89"/>
  <c r="DS82"/>
  <c r="EI88"/>
  <c r="FN80"/>
  <c r="R89"/>
  <c r="T80"/>
  <c r="AB82"/>
  <c r="BX88"/>
  <c r="CU80"/>
  <c r="CG87"/>
  <c r="AM87"/>
  <c r="CG86"/>
  <c r="BS86"/>
  <c r="U85"/>
  <c r="BS85"/>
  <c r="DK86"/>
  <c r="FN62"/>
  <c r="FA62"/>
  <c r="FA69"/>
  <c r="AO65"/>
  <c r="BV73"/>
  <c r="EK68"/>
  <c r="DJ65"/>
  <c r="CW65"/>
  <c r="FB61"/>
  <c r="FA72"/>
  <c r="AG66"/>
  <c r="DO64"/>
  <c r="ER64"/>
  <c r="DD84"/>
  <c r="CB61"/>
  <c r="DL69"/>
  <c r="DJ71"/>
  <c r="DR67"/>
  <c r="AF66"/>
  <c r="BW74"/>
  <c r="ER63"/>
  <c r="CY68"/>
  <c r="BV60"/>
  <c r="EP70"/>
  <c r="FK53"/>
  <c r="DR49"/>
  <c r="DU44"/>
  <c r="DS38"/>
  <c r="DP7"/>
  <c r="EV26"/>
  <c r="EI21"/>
  <c r="ES15"/>
  <c r="FC9"/>
  <c r="EP4"/>
  <c r="FH29"/>
  <c r="FP21"/>
  <c r="FG14"/>
  <c r="FO6"/>
  <c r="AS56"/>
  <c r="BA53"/>
  <c r="BP49"/>
  <c r="BO43"/>
  <c r="AB38"/>
  <c r="DL6"/>
  <c r="EL31"/>
  <c r="EV25"/>
  <c r="EI20"/>
  <c r="ES14"/>
  <c r="FC8"/>
  <c r="EP3"/>
  <c r="FS27"/>
  <c r="FJ20"/>
  <c r="FR12"/>
  <c r="FI5"/>
  <c r="FC55"/>
  <c r="DG52"/>
  <c r="O49"/>
  <c r="DL41"/>
  <c r="AO79"/>
  <c r="FM79"/>
  <c r="X79"/>
  <c r="EV79"/>
  <c r="BC79"/>
  <c r="N79"/>
  <c r="EX79"/>
  <c r="DU79"/>
  <c r="BX79"/>
  <c r="BG79"/>
  <c r="AX79"/>
  <c r="CY80"/>
  <c r="BS81"/>
  <c r="AM82"/>
  <c r="FK82"/>
  <c r="EE83"/>
  <c r="CY88"/>
  <c r="BS89"/>
  <c r="CE80"/>
  <c r="CL80"/>
  <c r="AP89"/>
  <c r="BM88"/>
  <c r="AF80"/>
  <c r="DN80"/>
  <c r="BZ81"/>
  <c r="AL82"/>
  <c r="FJ82"/>
  <c r="DV83"/>
  <c r="CH88"/>
  <c r="AT89"/>
  <c r="FR89"/>
  <c r="BW82"/>
  <c r="AP81"/>
  <c r="AK80"/>
  <c r="FI80"/>
  <c r="DU81"/>
  <c r="CG82"/>
  <c r="AS83"/>
  <c r="FQ83"/>
  <c r="EC88"/>
  <c r="CO89"/>
  <c r="CM80"/>
  <c r="AA88"/>
  <c r="FG88"/>
  <c r="BV80"/>
  <c r="BF88"/>
  <c r="CD89"/>
  <c r="AR80"/>
  <c r="EB81"/>
  <c r="AZ83"/>
  <c r="EJ88"/>
  <c r="DK81"/>
  <c r="ES87"/>
  <c r="BJ87"/>
  <c r="EN87"/>
  <c r="BA86"/>
  <c r="EE86"/>
  <c r="AV86"/>
  <c r="DV85"/>
  <c r="AM85"/>
  <c r="EI85"/>
  <c r="FT62"/>
  <c r="DB62"/>
  <c r="K62"/>
  <c r="CO62"/>
  <c r="CK65"/>
  <c r="CC71"/>
  <c r="CP68"/>
  <c r="AT67"/>
  <c r="EX71"/>
  <c r="FD73"/>
  <c r="EX75"/>
  <c r="CI65"/>
  <c r="CB65"/>
  <c r="AX65"/>
  <c r="DT65"/>
  <c r="AK65"/>
  <c r="DL73"/>
  <c r="FE64"/>
  <c r="BQ71"/>
  <c r="CG73"/>
  <c r="CK75"/>
  <c r="DU68"/>
  <c r="FC64"/>
  <c r="EV64"/>
  <c r="BV64"/>
  <c r="T64"/>
  <c r="L72"/>
  <c r="CW84"/>
  <c r="CR84"/>
  <c r="FV61"/>
  <c r="FI61"/>
  <c r="FC69"/>
  <c r="AT60"/>
  <c r="DH74"/>
  <c r="EF67"/>
  <c r="EY67"/>
  <c r="BG75"/>
  <c r="CZ66"/>
  <c r="DT66"/>
  <c r="DL74"/>
  <c r="AW63"/>
  <c r="T63"/>
  <c r="L71"/>
  <c r="DX68"/>
  <c r="CB60"/>
  <c r="DC60"/>
  <c r="AJ84"/>
  <c r="BE73"/>
  <c r="EH62"/>
  <c r="AQ62"/>
  <c r="DU62"/>
  <c r="CH64"/>
  <c r="AM71"/>
  <c r="AW60"/>
  <c r="AT66"/>
  <c r="DH71"/>
  <c r="DN73"/>
  <c r="DN75"/>
  <c r="EU65"/>
  <c r="EN65"/>
  <c r="CD65"/>
  <c r="EZ65"/>
  <c r="BQ65"/>
  <c r="ER73"/>
  <c r="FB63"/>
  <c r="Y71"/>
  <c r="AO73"/>
  <c r="AU75"/>
  <c r="AL68"/>
  <c r="EL69"/>
  <c r="BC64"/>
  <c r="DB64"/>
  <c r="CF64"/>
  <c r="BX72"/>
  <c r="FI84"/>
  <c r="FD84"/>
  <c r="DY61"/>
  <c r="BH61"/>
  <c r="AZ69"/>
  <c r="AW69"/>
  <c r="Z74"/>
  <c r="CY67"/>
  <c r="BF67"/>
  <c r="AS67"/>
  <c r="BS66"/>
  <c r="S66"/>
  <c r="K74"/>
  <c r="FU63"/>
  <c r="CF63"/>
  <c r="BX71"/>
  <c r="AM68"/>
  <c r="AE60"/>
  <c r="FO60"/>
  <c r="FL80"/>
  <c r="BY70"/>
  <c r="DA67"/>
  <c r="BN82"/>
  <c r="EG63"/>
  <c r="V75"/>
  <c r="CE70"/>
  <c r="EO82"/>
  <c r="BF82"/>
  <c r="DE71"/>
  <c r="CH71"/>
  <c r="FE75"/>
  <c r="DG72"/>
  <c r="AH69"/>
  <c r="CD87"/>
  <c r="BD83"/>
  <c r="DU60"/>
  <c r="AQ60"/>
  <c r="EH60"/>
  <c r="DO60"/>
  <c r="AB68"/>
  <c r="BL68"/>
  <c r="FK68"/>
  <c r="DK68"/>
  <c r="AI71"/>
  <c r="DU63"/>
  <c r="AQ63"/>
  <c r="EH63"/>
  <c r="CA63"/>
  <c r="AZ74"/>
  <c r="EI74"/>
  <c r="BH66"/>
  <c r="EQ66"/>
  <c r="EG66"/>
  <c r="FD66"/>
  <c r="FH75"/>
  <c r="FQ67"/>
  <c r="CM67"/>
  <c r="Q67"/>
  <c r="FS67"/>
  <c r="CW68"/>
  <c r="AD75"/>
  <c r="AD71"/>
  <c r="CK63"/>
  <c r="FU69"/>
  <c r="CQ69"/>
  <c r="K69"/>
  <c r="CW61"/>
  <c r="S61"/>
  <c r="DJ61"/>
  <c r="AE61"/>
  <c r="AF84"/>
  <c r="DO84"/>
  <c r="AK84"/>
  <c r="BG84"/>
  <c r="BN84"/>
  <c r="AI72"/>
  <c r="DU64"/>
  <c r="AQ64"/>
  <c r="AP64"/>
  <c r="FN64"/>
  <c r="CJ64"/>
  <c r="P64"/>
  <c r="CQ64"/>
  <c r="AD68"/>
  <c r="AP69"/>
  <c r="Y63"/>
  <c r="DV75"/>
  <c r="DY74"/>
  <c r="DW73"/>
  <c r="DI72"/>
  <c r="DG71"/>
  <c r="AS69"/>
  <c r="AL66"/>
  <c r="FB60"/>
  <c r="CF73"/>
  <c r="AQ73"/>
  <c r="FO73"/>
  <c r="EC65"/>
  <c r="CN65"/>
  <c r="AY65"/>
  <c r="R65"/>
  <c r="EP65"/>
  <c r="P65"/>
  <c r="CQ65"/>
  <c r="W65"/>
  <c r="DR68"/>
  <c r="N71"/>
  <c r="AL75"/>
  <c r="AH74"/>
  <c r="AF73"/>
  <c r="AD72"/>
  <c r="Z71"/>
  <c r="AS68"/>
  <c r="AL64"/>
  <c r="Q84"/>
  <c r="EC74"/>
  <c r="DU71"/>
  <c r="BR69"/>
  <c r="CP66"/>
  <c r="CH61"/>
  <c r="BI62"/>
  <c r="T62"/>
  <c r="ER62"/>
  <c r="DC62"/>
  <c r="BV62"/>
  <c r="FP70"/>
  <c r="AR70"/>
  <c r="EY87"/>
  <c r="AY86"/>
  <c r="AV85"/>
  <c r="FT85"/>
  <c r="EE85"/>
  <c r="CP85"/>
  <c r="BA85"/>
  <c r="P86"/>
  <c r="EN86"/>
  <c r="CY86"/>
  <c r="BJ86"/>
  <c r="U86"/>
  <c r="ES86"/>
  <c r="DH87"/>
  <c r="BS87"/>
  <c r="AD87"/>
  <c r="FB87"/>
  <c r="DM87"/>
  <c r="FN81"/>
  <c r="CU82"/>
  <c r="EB89"/>
  <c r="FP88"/>
  <c r="AR88"/>
  <c r="CF83"/>
  <c r="DT82"/>
  <c r="FH81"/>
  <c r="AJ81"/>
  <c r="BX80"/>
  <c r="DQ80"/>
  <c r="CT89"/>
  <c r="EP88"/>
  <c r="BN88"/>
  <c r="DZ81"/>
  <c r="CT80"/>
  <c r="DS89"/>
  <c r="K89"/>
  <c r="CU88"/>
  <c r="AI88"/>
  <c r="AI82"/>
  <c r="DS80"/>
  <c r="FI89"/>
  <c r="CW89"/>
  <c r="AK89"/>
  <c r="EK88"/>
  <c r="BY88"/>
  <c r="M88"/>
  <c r="DM83"/>
  <c r="BA83"/>
  <c r="FA82"/>
  <c r="CO82"/>
  <c r="AC82"/>
  <c r="EC81"/>
  <c r="BQ81"/>
  <c r="FQ80"/>
  <c r="DE80"/>
  <c r="AS80"/>
  <c r="FM80"/>
  <c r="EH81"/>
  <c r="CE89"/>
  <c r="DC82"/>
  <c r="AY81"/>
  <c r="J83"/>
  <c r="DN89"/>
  <c r="BB89"/>
  <c r="FB88"/>
  <c r="CP88"/>
  <c r="AD88"/>
  <c r="ED83"/>
  <c r="BR83"/>
  <c r="FR82"/>
  <c r="DF82"/>
  <c r="AT82"/>
  <c r="ET81"/>
  <c r="CH81"/>
  <c r="V81"/>
  <c r="DV80"/>
  <c r="BJ80"/>
  <c r="AN80"/>
  <c r="EG88"/>
  <c r="BU88"/>
  <c r="Y80"/>
  <c r="BF89"/>
  <c r="EX81"/>
  <c r="DJ80"/>
  <c r="K82"/>
  <c r="DK80"/>
  <c r="EM89"/>
  <c r="CA89"/>
  <c r="FS88"/>
  <c r="DG88"/>
  <c r="AU88"/>
  <c r="EM83"/>
  <c r="CA83"/>
  <c r="FS82"/>
  <c r="DG82"/>
  <c r="AU82"/>
  <c r="EM81"/>
  <c r="CA81"/>
  <c r="FS80"/>
  <c r="DG80"/>
  <c r="AU80"/>
  <c r="BV79"/>
  <c r="EA79"/>
  <c r="BO79"/>
  <c r="ER79"/>
  <c r="CF79"/>
  <c r="T79"/>
  <c r="EC79"/>
  <c r="BQ79"/>
  <c r="FV79"/>
  <c r="AI79"/>
  <c r="AL79"/>
  <c r="DW79"/>
  <c r="BK79"/>
  <c r="FR79"/>
  <c r="FD79"/>
  <c r="CR79"/>
  <c r="AF79"/>
  <c r="AH79"/>
  <c r="FU79"/>
  <c r="DI79"/>
  <c r="AW79"/>
  <c r="FF38"/>
  <c r="CF41"/>
  <c r="CE45"/>
  <c r="DU48"/>
  <c r="EM49"/>
  <c r="CA52"/>
  <c r="AT54"/>
  <c r="ED55"/>
  <c r="DO56"/>
  <c r="FR4"/>
  <c r="FN8"/>
  <c r="FJ12"/>
  <c r="FF16"/>
  <c r="FS19"/>
  <c r="FO23"/>
  <c r="FK27"/>
  <c r="FG31"/>
  <c r="EH3"/>
  <c r="EZ5"/>
  <c r="EU8"/>
  <c r="EP11"/>
  <c r="EK14"/>
  <c r="FC16"/>
  <c r="EX19"/>
  <c r="ES22"/>
  <c r="EN25"/>
  <c r="EI28"/>
  <c r="FA30"/>
  <c r="EF17"/>
  <c r="DW5"/>
  <c r="ED8"/>
  <c r="DR12"/>
  <c r="FH39"/>
  <c r="K42"/>
  <c r="EJ46"/>
  <c r="AX49"/>
  <c r="EK50"/>
  <c r="FR52"/>
  <c r="EK54"/>
  <c r="AA56"/>
  <c r="FQ56"/>
  <c r="FG6"/>
  <c r="FT9"/>
  <c r="FP13"/>
  <c r="FL17"/>
  <c r="FH21"/>
  <c r="FU24"/>
  <c r="FQ28"/>
  <c r="EH4"/>
  <c r="EZ6"/>
  <c r="EU9"/>
  <c r="EP12"/>
  <c r="EK15"/>
  <c r="FC17"/>
  <c r="EX20"/>
  <c r="ES23"/>
  <c r="EN26"/>
  <c r="EI29"/>
  <c r="FA31"/>
  <c r="DT3"/>
  <c r="EA6"/>
  <c r="DO10"/>
  <c r="CM38"/>
  <c r="K41"/>
  <c r="BI44"/>
  <c r="FG47"/>
  <c r="CZ49"/>
  <c r="M52"/>
  <c r="EC53"/>
  <c r="BI55"/>
  <c r="BY56"/>
  <c r="FI3"/>
  <c r="FV6"/>
  <c r="FR10"/>
  <c r="FN14"/>
  <c r="FJ18"/>
  <c r="FF22"/>
  <c r="FS25"/>
  <c r="FO29"/>
  <c r="FE27"/>
  <c r="EW4"/>
  <c r="ER7"/>
  <c r="EM10"/>
  <c r="EH13"/>
  <c r="EZ15"/>
  <c r="EU18"/>
  <c r="EP21"/>
  <c r="EK24"/>
  <c r="FC26"/>
  <c r="EX29"/>
  <c r="DP4"/>
  <c r="DW7"/>
  <c r="ED10"/>
  <c r="EJ38"/>
  <c r="BO41"/>
  <c r="FO44"/>
  <c r="CN48"/>
  <c r="EB49"/>
  <c r="BJ52"/>
  <c r="AC54"/>
  <c r="DM55"/>
  <c r="DE56"/>
  <c r="FV3"/>
  <c r="FR7"/>
  <c r="FN11"/>
  <c r="FJ15"/>
  <c r="FF19"/>
  <c r="FS22"/>
  <c r="FO26"/>
  <c r="FK30"/>
  <c r="FE14"/>
  <c r="EM5"/>
  <c r="EH8"/>
  <c r="EZ10"/>
  <c r="EU13"/>
  <c r="EP16"/>
  <c r="EK19"/>
  <c r="FC21"/>
  <c r="EX24"/>
  <c r="ES27"/>
  <c r="EN30"/>
  <c r="EF30"/>
  <c r="EC4"/>
  <c r="DQ8"/>
  <c r="DX11"/>
  <c r="DC40"/>
  <c r="CE47"/>
  <c r="CX51"/>
  <c r="W55"/>
  <c r="J56"/>
  <c r="FF10"/>
  <c r="FO17"/>
  <c r="FG25"/>
  <c r="FC6"/>
  <c r="ES12"/>
  <c r="EI18"/>
  <c r="EV23"/>
  <c r="EL29"/>
  <c r="DW3"/>
  <c r="DR10"/>
  <c r="EB14"/>
  <c r="DP18"/>
  <c r="DW21"/>
  <c r="ED24"/>
  <c r="DR28"/>
  <c r="DY31"/>
  <c r="DG25"/>
  <c r="DH12"/>
  <c r="DB7"/>
  <c r="DB23"/>
  <c r="CZ7"/>
  <c r="CU5"/>
  <c r="CV8"/>
  <c r="CW11"/>
  <c r="CX14"/>
  <c r="CD18"/>
  <c r="CE21"/>
  <c r="CF24"/>
  <c r="CG27"/>
  <c r="CH30"/>
  <c r="BX30"/>
  <c r="BX28"/>
  <c r="BX26"/>
  <c r="BX24"/>
  <c r="BX22"/>
  <c r="BX20"/>
  <c r="BX18"/>
  <c r="BX16"/>
  <c r="BX14"/>
  <c r="BX12"/>
  <c r="BX10"/>
  <c r="BX8"/>
  <c r="BX6"/>
  <c r="BX4"/>
  <c r="O4"/>
  <c r="M6"/>
  <c r="K8"/>
  <c r="AP9"/>
  <c r="AN11"/>
  <c r="AL13"/>
  <c r="AJ15"/>
  <c r="AH17"/>
  <c r="AF19"/>
  <c r="FV38"/>
  <c r="EQ45"/>
  <c r="EV49"/>
  <c r="BJ54"/>
  <c r="DY56"/>
  <c r="FG8"/>
  <c r="FP15"/>
  <c r="FH23"/>
  <c r="FQ30"/>
  <c r="ES5"/>
  <c r="EI11"/>
  <c r="EV16"/>
  <c r="EL22"/>
  <c r="EY27"/>
  <c r="EF24"/>
  <c r="DW8"/>
  <c r="ED13"/>
  <c r="DR17"/>
  <c r="DY20"/>
  <c r="DM24"/>
  <c r="DT27"/>
  <c r="EA30"/>
  <c r="DI28"/>
  <c r="DJ15"/>
  <c r="DA3"/>
  <c r="DA19"/>
  <c r="CZ24"/>
  <c r="CD5"/>
  <c r="CE8"/>
  <c r="CF11"/>
  <c r="CG14"/>
  <c r="CH17"/>
  <c r="CI20"/>
  <c r="CJ23"/>
  <c r="CK26"/>
  <c r="CL29"/>
  <c r="BI31"/>
  <c r="BI29"/>
  <c r="BI27"/>
  <c r="BI25"/>
  <c r="BI23"/>
  <c r="BI21"/>
  <c r="BI19"/>
  <c r="BI17"/>
  <c r="BI15"/>
  <c r="BI13"/>
  <c r="BI11"/>
  <c r="BI9"/>
  <c r="BI7"/>
  <c r="BI5"/>
  <c r="BI3"/>
  <c r="AC5"/>
  <c r="AA7"/>
  <c r="Y9"/>
  <c r="W11"/>
  <c r="U13"/>
  <c r="S15"/>
  <c r="Q17"/>
  <c r="O19"/>
  <c r="FO38"/>
  <c r="DK45"/>
  <c r="ES49"/>
  <c r="BA54"/>
  <c r="DS56"/>
  <c r="FT7"/>
  <c r="FL15"/>
  <c r="FU22"/>
  <c r="FM30"/>
  <c r="EO5"/>
  <c r="FB10"/>
  <c r="ER16"/>
  <c r="EH22"/>
  <c r="EU27"/>
  <c r="EF28"/>
  <c r="DS8"/>
  <c r="EC13"/>
  <c r="DQ17"/>
  <c r="DX20"/>
  <c r="DL24"/>
  <c r="DS27"/>
  <c r="DZ30"/>
  <c r="DJ28"/>
  <c r="DK15"/>
  <c r="DG3"/>
  <c r="DD18"/>
  <c r="CZ25"/>
  <c r="CX4"/>
  <c r="CD8"/>
  <c r="CE11"/>
  <c r="CF14"/>
  <c r="CG17"/>
  <c r="CH20"/>
  <c r="CI23"/>
  <c r="CJ26"/>
  <c r="CK29"/>
  <c r="BJ31"/>
  <c r="BJ29"/>
  <c r="BJ27"/>
  <c r="BJ25"/>
  <c r="BJ23"/>
  <c r="FU75"/>
  <c r="DW72"/>
  <c r="M70"/>
  <c r="CU87"/>
  <c r="BT83"/>
  <c r="DM60"/>
  <c r="AI60"/>
  <c r="DZ60"/>
  <c r="CY60"/>
  <c r="T68"/>
  <c r="BD68"/>
  <c r="FC68"/>
  <c r="DC68"/>
  <c r="AA71"/>
  <c r="DM63"/>
  <c r="AI63"/>
  <c r="DZ63"/>
  <c r="BK63"/>
  <c r="AR74"/>
  <c r="EA74"/>
  <c r="AZ66"/>
  <c r="EI66"/>
  <c r="DQ66"/>
  <c r="EN66"/>
  <c r="EZ75"/>
  <c r="FI67"/>
  <c r="CE67"/>
  <c r="FV67"/>
  <c r="FC67"/>
  <c r="EL68"/>
  <c r="AN75"/>
  <c r="AN71"/>
  <c r="ED63"/>
  <c r="FM69"/>
  <c r="CI69"/>
  <c r="FP69"/>
  <c r="CO61"/>
  <c r="K61"/>
  <c r="DB61"/>
  <c r="O61"/>
  <c r="X84"/>
  <c r="DG84"/>
  <c r="AC84"/>
  <c r="AQ84"/>
  <c r="AX84"/>
  <c r="AA72"/>
  <c r="DM64"/>
  <c r="AI64"/>
  <c r="AH64"/>
  <c r="FF64"/>
  <c r="BT64"/>
  <c r="FK64"/>
  <c r="CA64"/>
  <c r="BB68"/>
  <c r="BJ69"/>
  <c r="BR63"/>
  <c r="EE75"/>
  <c r="EK74"/>
  <c r="EG73"/>
  <c r="DU72"/>
  <c r="DQ71"/>
  <c r="BN69"/>
  <c r="CC66"/>
  <c r="AD61"/>
  <c r="BX73"/>
  <c r="AI73"/>
  <c r="FG73"/>
  <c r="DU65"/>
  <c r="CF65"/>
  <c r="AQ65"/>
  <c r="FO65"/>
  <c r="EH65"/>
  <c r="FU65"/>
  <c r="CA65"/>
  <c r="FL65"/>
  <c r="CD69"/>
  <c r="X71"/>
  <c r="AV75"/>
  <c r="AT74"/>
  <c r="AP73"/>
  <c r="AN72"/>
  <c r="AL71"/>
  <c r="BN68"/>
  <c r="CC64"/>
  <c r="BE84"/>
  <c r="EM74"/>
  <c r="EE71"/>
  <c r="CO69"/>
  <c r="ED66"/>
  <c r="DV61"/>
  <c r="BA62"/>
  <c r="L62"/>
  <c r="EJ62"/>
  <c r="CU62"/>
  <c r="BN62"/>
  <c r="J62"/>
  <c r="AZ70"/>
  <c r="FO87"/>
  <c r="BO86"/>
  <c r="AN85"/>
  <c r="FL85"/>
  <c r="DW85"/>
  <c r="CH85"/>
  <c r="AS85"/>
  <c r="FQ85"/>
  <c r="EF86"/>
  <c r="CQ86"/>
  <c r="BB86"/>
  <c r="M86"/>
  <c r="EK86"/>
  <c r="CZ87"/>
  <c r="BK87"/>
  <c r="V87"/>
  <c r="ET87"/>
  <c r="DE87"/>
  <c r="AG80"/>
  <c r="EA82"/>
  <c r="EJ89"/>
  <c r="L89"/>
  <c r="AZ88"/>
  <c r="CN83"/>
  <c r="EB82"/>
  <c r="FP81"/>
  <c r="AR81"/>
  <c r="CF80"/>
  <c r="EW80"/>
  <c r="DJ89"/>
  <c r="EX88"/>
  <c r="BV88"/>
  <c r="FF81"/>
  <c r="DR80"/>
  <c r="EI89"/>
  <c r="S89"/>
  <c r="DC88"/>
  <c r="AQ88"/>
  <c r="BG82"/>
  <c r="EQ80"/>
  <c r="FQ89"/>
  <c r="DE89"/>
  <c r="AS89"/>
  <c r="ES88"/>
  <c r="CG88"/>
  <c r="U88"/>
  <c r="DU83"/>
  <c r="BI83"/>
  <c r="FI82"/>
  <c r="CW82"/>
  <c r="AK82"/>
  <c r="EK81"/>
  <c r="BY81"/>
  <c r="M81"/>
  <c r="DM80"/>
  <c r="BA80"/>
  <c r="X80"/>
  <c r="Q80"/>
  <c r="CU89"/>
  <c r="EI82"/>
  <c r="BW81"/>
  <c r="S80"/>
  <c r="DV89"/>
  <c r="BJ89"/>
  <c r="FJ88"/>
  <c r="CX88"/>
  <c r="AL88"/>
  <c r="EL83"/>
  <c r="BZ83"/>
  <c r="N83"/>
  <c r="DN82"/>
  <c r="BB82"/>
  <c r="FB81"/>
  <c r="CP81"/>
  <c r="AD81"/>
  <c r="ED80"/>
  <c r="BR80"/>
  <c r="BD80"/>
  <c r="EO88"/>
  <c r="CC88"/>
  <c r="Q88"/>
  <c r="BV89"/>
  <c r="FV81"/>
  <c r="EH80"/>
  <c r="AQ82"/>
  <c r="EI80"/>
  <c r="EU89"/>
  <c r="CI89"/>
  <c r="W89"/>
  <c r="DO88"/>
  <c r="BC88"/>
  <c r="EU83"/>
  <c r="CI83"/>
  <c r="W83"/>
  <c r="DO82"/>
  <c r="BC82"/>
  <c r="EU81"/>
  <c r="CI81"/>
  <c r="W81"/>
  <c r="DO80"/>
  <c r="BC80"/>
  <c r="CT79"/>
  <c r="EI79"/>
  <c r="BW79"/>
  <c r="EZ79"/>
  <c r="CN79"/>
  <c r="AB79"/>
  <c r="EK79"/>
  <c r="BY79"/>
  <c r="M79"/>
  <c r="Z79"/>
  <c r="AT79"/>
  <c r="EE79"/>
  <c r="BS79"/>
  <c r="S79"/>
  <c r="FL79"/>
  <c r="CZ79"/>
  <c r="AN79"/>
  <c r="BN79"/>
  <c r="AD79"/>
  <c r="DQ79"/>
  <c r="BE79"/>
  <c r="DZ38"/>
  <c r="AZ41"/>
  <c r="EY44"/>
  <c r="BI48"/>
  <c r="DT49"/>
  <c r="AU52"/>
  <c r="N54"/>
  <c r="CX55"/>
  <c r="CW56"/>
  <c r="FJ4"/>
  <c r="FF8"/>
  <c r="FS11"/>
  <c r="FO15"/>
  <c r="FK19"/>
  <c r="FG23"/>
  <c r="FT26"/>
  <c r="FP30"/>
  <c r="FE9"/>
  <c r="ER5"/>
  <c r="EM8"/>
  <c r="EH11"/>
  <c r="EZ13"/>
  <c r="EU16"/>
  <c r="EP19"/>
  <c r="EK22"/>
  <c r="FC24"/>
  <c r="EX27"/>
  <c r="ES30"/>
  <c r="EF25"/>
  <c r="DO5"/>
  <c r="DV8"/>
  <c r="EC11"/>
  <c r="CV39"/>
  <c r="EQ41"/>
  <c r="BX46"/>
  <c r="AF49"/>
  <c r="FV49"/>
  <c r="EL52"/>
  <c r="DE54"/>
  <c r="FU55"/>
  <c r="EY56"/>
  <c r="FP5"/>
  <c r="FL9"/>
  <c r="FH13"/>
  <c r="FU16"/>
  <c r="FQ20"/>
  <c r="FM24"/>
  <c r="FI28"/>
  <c r="FV31"/>
  <c r="EW3"/>
  <c r="ER6"/>
  <c r="EM9"/>
  <c r="EH12"/>
  <c r="EZ14"/>
  <c r="EU17"/>
  <c r="EP20"/>
  <c r="EK23"/>
  <c r="FC25"/>
  <c r="EX28"/>
  <c r="ES31"/>
  <c r="DL3"/>
  <c r="DS6"/>
  <c r="DZ9"/>
  <c r="BG38"/>
  <c r="DS40"/>
  <c r="FH43"/>
  <c r="CU47"/>
  <c r="CG49"/>
  <c r="DM51"/>
  <c r="CH53"/>
  <c r="AC55"/>
  <c r="BG56"/>
  <c r="J38"/>
  <c r="FN6"/>
  <c r="FJ10"/>
  <c r="FF14"/>
  <c r="FS17"/>
  <c r="FO21"/>
  <c r="FK25"/>
  <c r="FG29"/>
  <c r="EO4"/>
  <c r="EJ7"/>
  <c r="FB9"/>
  <c r="EW12"/>
  <c r="ER15"/>
  <c r="EM18"/>
  <c r="EH21"/>
  <c r="EZ23"/>
  <c r="EU26"/>
  <c r="EP29"/>
  <c r="EA3"/>
  <c r="DO7"/>
  <c r="DV10"/>
  <c r="DD38"/>
  <c r="AI41"/>
  <c r="DC44"/>
  <c r="AB48"/>
  <c r="DJ49"/>
  <c r="AD52"/>
  <c r="EU53"/>
  <c r="CG55"/>
  <c r="CM56"/>
  <c r="FN3"/>
  <c r="FJ7"/>
  <c r="FF11"/>
  <c r="FS14"/>
  <c r="FO18"/>
  <c r="FK22"/>
  <c r="FG26"/>
  <c r="FT29"/>
  <c r="FE22"/>
  <c r="FB4"/>
  <c r="EW7"/>
  <c r="ER10"/>
  <c r="EM13"/>
  <c r="EH16"/>
  <c r="EZ18"/>
  <c r="EU21"/>
  <c r="EP24"/>
  <c r="EK27"/>
  <c r="FC29"/>
  <c r="DU4"/>
  <c r="EB7"/>
  <c r="DP11"/>
  <c r="EQ39"/>
  <c r="DS46"/>
  <c r="DE50"/>
  <c r="DW54"/>
  <c r="FJ56"/>
  <c r="FG9"/>
  <c r="FP16"/>
  <c r="FH24"/>
  <c r="FQ31"/>
  <c r="EM6"/>
  <c r="EZ11"/>
  <c r="EP17"/>
  <c r="FC22"/>
  <c r="ES28"/>
  <c r="EF7"/>
  <c r="DU9"/>
  <c r="DT14"/>
  <c r="EA17"/>
  <c r="DO21"/>
  <c r="DV24"/>
  <c r="EC27"/>
  <c r="DQ31"/>
  <c r="DJ26"/>
  <c r="DK13"/>
  <c r="DB5"/>
  <c r="DB21"/>
  <c r="CZ15"/>
  <c r="CM5"/>
  <c r="CN8"/>
  <c r="CO11"/>
  <c r="CP14"/>
  <c r="CQ17"/>
  <c r="CR20"/>
  <c r="CS23"/>
  <c r="CT26"/>
  <c r="CU29"/>
  <c r="AZ31"/>
  <c r="AZ29"/>
  <c r="AZ27"/>
  <c r="AZ25"/>
  <c r="AZ23"/>
  <c r="AZ21"/>
  <c r="AZ19"/>
  <c r="AZ17"/>
  <c r="AZ15"/>
  <c r="AZ13"/>
  <c r="AZ11"/>
  <c r="AZ9"/>
  <c r="AZ7"/>
  <c r="AZ5"/>
  <c r="AZ3"/>
  <c r="AL5"/>
  <c r="AJ7"/>
  <c r="AH9"/>
  <c r="AF11"/>
  <c r="AD13"/>
  <c r="AB15"/>
  <c r="Z17"/>
  <c r="X19"/>
  <c r="DJ38"/>
  <c r="DS44"/>
  <c r="DK49"/>
  <c r="FI53"/>
  <c r="CN56"/>
  <c r="FH7"/>
  <c r="FQ14"/>
  <c r="FI22"/>
  <c r="FR29"/>
  <c r="EZ4"/>
  <c r="EP10"/>
  <c r="FC15"/>
  <c r="ES21"/>
  <c r="EI27"/>
  <c r="DZ7"/>
  <c r="DV13"/>
  <c r="EC16"/>
  <c r="DQ20"/>
  <c r="DX23"/>
  <c r="DL27"/>
  <c r="DS30"/>
  <c r="DG30"/>
  <c r="DH17"/>
  <c r="DI4"/>
  <c r="DA17"/>
  <c r="CQ4"/>
  <c r="CR7"/>
  <c r="CS10"/>
  <c r="CT13"/>
  <c r="CU16"/>
  <c r="CV19"/>
  <c r="CW22"/>
  <c r="CX25"/>
  <c r="CD29"/>
  <c r="BQ31"/>
  <c r="BQ29"/>
  <c r="BQ27"/>
  <c r="BQ25"/>
  <c r="BQ23"/>
  <c r="BQ21"/>
  <c r="BQ19"/>
  <c r="BQ17"/>
  <c r="BQ15"/>
  <c r="BQ13"/>
  <c r="BQ11"/>
  <c r="BQ9"/>
  <c r="BQ7"/>
  <c r="BQ5"/>
  <c r="BQ3"/>
  <c r="U5"/>
  <c r="S7"/>
  <c r="Q9"/>
  <c r="O11"/>
  <c r="M13"/>
  <c r="K15"/>
  <c r="AP16"/>
  <c r="AN18"/>
  <c r="DC38"/>
  <c r="CO44"/>
  <c r="DI49"/>
  <c r="ET53"/>
  <c r="CH56"/>
  <c r="FU6"/>
  <c r="FM14"/>
  <c r="FV21"/>
  <c r="FN29"/>
  <c r="EV4"/>
  <c r="EL10"/>
  <c r="EY15"/>
  <c r="EO21"/>
  <c r="FB26"/>
  <c r="DV7"/>
  <c r="DU13"/>
  <c r="EB16"/>
  <c r="DP20"/>
  <c r="DW23"/>
  <c r="ED26"/>
  <c r="DR30"/>
  <c r="DH30"/>
  <c r="DI17"/>
  <c r="DJ4"/>
  <c r="DD16"/>
  <c r="CP4"/>
  <c r="CQ7"/>
  <c r="CR10"/>
  <c r="CS13"/>
  <c r="CT16"/>
  <c r="CU19"/>
  <c r="CV22"/>
  <c r="CW25"/>
  <c r="CX28"/>
  <c r="BR31"/>
  <c r="BR29"/>
  <c r="BR27"/>
  <c r="BR25"/>
  <c r="AS73"/>
  <c r="BO70"/>
  <c r="DP88"/>
  <c r="FL83"/>
  <c r="BQ60"/>
  <c r="EZ60"/>
  <c r="CD60"/>
  <c r="FL60"/>
  <c r="FS60"/>
  <c r="FE68"/>
  <c r="DG68"/>
  <c r="BG68"/>
  <c r="ER71"/>
  <c r="BQ63"/>
  <c r="EZ63"/>
  <c r="CD63"/>
  <c r="EN63"/>
  <c r="EU63"/>
  <c r="CE74"/>
  <c r="FQ66"/>
  <c r="CM66"/>
  <c r="Y66"/>
  <c r="AV66"/>
  <c r="DD75"/>
  <c r="DM67"/>
  <c r="AI67"/>
  <c r="DZ67"/>
  <c r="BK67"/>
  <c r="DN68"/>
  <c r="CX75"/>
  <c r="CZ71"/>
  <c r="CP65"/>
  <c r="DQ69"/>
  <c r="AM69"/>
  <c r="DT69"/>
  <c r="AS61"/>
  <c r="EB61"/>
  <c r="BF61"/>
  <c r="CR61"/>
  <c r="CY61"/>
  <c r="BK84"/>
  <c r="ET84"/>
  <c r="DT84"/>
  <c r="DK84"/>
  <c r="ER72"/>
  <c r="BQ64"/>
  <c r="EZ64"/>
  <c r="R64"/>
  <c r="EP64"/>
  <c r="AN64"/>
  <c r="EE64"/>
  <c r="AU64"/>
  <c r="CT68"/>
  <c r="DB69"/>
  <c r="EW63"/>
  <c r="EW75"/>
  <c r="FE74"/>
  <c r="FC73"/>
  <c r="EO72"/>
  <c r="EM71"/>
  <c r="DE69"/>
  <c r="FJ66"/>
  <c r="DN61"/>
  <c r="BH73"/>
  <c r="S73"/>
  <c r="EQ73"/>
  <c r="DE65"/>
  <c r="BP65"/>
  <c r="AA65"/>
  <c r="EY65"/>
  <c r="DR65"/>
  <c r="EO65"/>
  <c r="AU65"/>
  <c r="EF65"/>
  <c r="EL61"/>
  <c r="AT71"/>
  <c r="BR75"/>
  <c r="BN74"/>
  <c r="BL73"/>
  <c r="BJ72"/>
  <c r="BF71"/>
  <c r="DE68"/>
  <c r="FJ64"/>
  <c r="EO84"/>
  <c r="FI74"/>
  <c r="FA71"/>
  <c r="ED69"/>
  <c r="BB67"/>
  <c r="AO63"/>
  <c r="AK62"/>
  <c r="FI62"/>
  <c r="DT62"/>
  <c r="CE62"/>
  <c r="AX62"/>
  <c r="FV62"/>
  <c r="BP70"/>
  <c r="AF62"/>
  <c r="CU86"/>
  <c r="X85"/>
  <c r="EV85"/>
  <c r="DG85"/>
  <c r="BR85"/>
  <c r="AC85"/>
  <c r="FA85"/>
  <c r="DP86"/>
  <c r="CA86"/>
  <c r="AL86"/>
  <c r="FJ86"/>
  <c r="DU86"/>
  <c r="CJ87"/>
  <c r="AU87"/>
  <c r="FS87"/>
  <c r="ED87"/>
  <c r="CO87"/>
  <c r="BU80"/>
  <c r="AH80"/>
  <c r="EZ89"/>
  <c r="AB89"/>
  <c r="BP88"/>
  <c r="DD83"/>
  <c r="ER82"/>
  <c r="T82"/>
  <c r="BH81"/>
  <c r="CV80"/>
  <c r="FU80"/>
  <c r="DZ89"/>
  <c r="FN88"/>
  <c r="CD88"/>
  <c r="R88"/>
  <c r="EP80"/>
  <c r="EY89"/>
  <c r="AI89"/>
  <c r="DS88"/>
  <c r="AY88"/>
  <c r="CM82"/>
  <c r="K81"/>
  <c r="J82"/>
  <c r="DM89"/>
  <c r="BA89"/>
  <c r="FA88"/>
  <c r="CO88"/>
  <c r="AC88"/>
  <c r="EC83"/>
  <c r="BQ83"/>
  <c r="FQ82"/>
  <c r="DE82"/>
  <c r="AS82"/>
  <c r="ES81"/>
  <c r="CG81"/>
  <c r="U81"/>
  <c r="DU80"/>
  <c r="BI80"/>
  <c r="AV80"/>
  <c r="AO80"/>
  <c r="DK89"/>
  <c r="FG82"/>
  <c r="DC81"/>
  <c r="AY80"/>
  <c r="ED89"/>
  <c r="BR89"/>
  <c r="FR88"/>
  <c r="DF88"/>
  <c r="AT88"/>
  <c r="ET83"/>
  <c r="CH83"/>
  <c r="V83"/>
  <c r="DV82"/>
  <c r="BJ82"/>
  <c r="FJ81"/>
  <c r="CX81"/>
  <c r="AL81"/>
  <c r="EL80"/>
  <c r="BZ80"/>
  <c r="N80"/>
  <c r="EW88"/>
  <c r="CK88"/>
  <c r="Y88"/>
  <c r="CL89"/>
  <c r="CL88"/>
  <c r="FF80"/>
  <c r="CE82"/>
  <c r="FO80"/>
  <c r="FC89"/>
  <c r="CQ89"/>
  <c r="AE89"/>
  <c r="DW88"/>
  <c r="BK88"/>
  <c r="FC83"/>
  <c r="CQ83"/>
  <c r="AE83"/>
  <c r="DW82"/>
  <c r="BK82"/>
  <c r="FC81"/>
  <c r="CQ81"/>
  <c r="AE81"/>
  <c r="DW80"/>
  <c r="BK80"/>
  <c r="DR79"/>
  <c r="EQ79"/>
  <c r="CE79"/>
  <c r="FH79"/>
  <c r="CV79"/>
  <c r="AJ79"/>
  <c r="ES79"/>
  <c r="CG79"/>
  <c r="U79"/>
  <c r="AP79"/>
  <c r="BB79"/>
  <c r="EM79"/>
  <c r="CA79"/>
  <c r="O79"/>
  <c r="FT79"/>
  <c r="DH79"/>
  <c r="AV79"/>
  <c r="CL79"/>
  <c r="BJ79"/>
  <c r="DY79"/>
  <c r="BM79"/>
  <c r="CT38"/>
  <c r="T41"/>
  <c r="CM44"/>
  <c r="FI47"/>
  <c r="DB49"/>
  <c r="O52"/>
  <c r="EE53"/>
  <c r="BR55"/>
  <c r="CE56"/>
  <c r="FS3"/>
  <c r="FO7"/>
  <c r="FK11"/>
  <c r="FG15"/>
  <c r="FT18"/>
  <c r="FP22"/>
  <c r="FL26"/>
  <c r="FH30"/>
  <c r="FE17"/>
  <c r="EJ5"/>
  <c r="FB7"/>
  <c r="EW10"/>
  <c r="ER13"/>
  <c r="EM16"/>
  <c r="EH19"/>
  <c r="EZ21"/>
  <c r="EU24"/>
  <c r="EP27"/>
  <c r="EK30"/>
  <c r="DZ4"/>
  <c r="DN8"/>
  <c r="DU11"/>
  <c r="AJ39"/>
  <c r="DK41"/>
  <c r="L46"/>
  <c r="M49"/>
  <c r="FD49"/>
  <c r="DF52"/>
  <c r="BY54"/>
  <c r="FB55"/>
  <c r="EG56"/>
  <c r="FH5"/>
  <c r="FU8"/>
  <c r="FQ12"/>
  <c r="FM16"/>
  <c r="FI20"/>
  <c r="FV23"/>
  <c r="FR27"/>
  <c r="FN31"/>
  <c r="EO3"/>
  <c r="EJ6"/>
  <c r="FB8"/>
  <c r="EW11"/>
  <c r="ER14"/>
  <c r="EM17"/>
  <c r="EH20"/>
  <c r="EZ22"/>
  <c r="EU25"/>
  <c r="EP28"/>
  <c r="EK31"/>
  <c r="EF10"/>
  <c r="ED5"/>
  <c r="DR9"/>
  <c r="AA38"/>
  <c r="BG40"/>
  <c r="AJ43"/>
  <c r="AI47"/>
  <c r="BO49"/>
  <c r="BA51"/>
  <c r="AM53"/>
  <c r="FI54"/>
  <c r="AO56"/>
  <c r="J45"/>
  <c r="FF6"/>
  <c r="FS9"/>
  <c r="FO13"/>
  <c r="FK17"/>
  <c r="FG21"/>
  <c r="FT24"/>
  <c r="FP28"/>
  <c r="EG4"/>
  <c r="EY6"/>
  <c r="ET9"/>
  <c r="EO12"/>
  <c r="EJ15"/>
  <c r="FB17"/>
  <c r="EW20"/>
  <c r="ER23"/>
  <c r="EM26"/>
  <c r="EH29"/>
  <c r="EZ31"/>
  <c r="DS3"/>
  <c r="DZ6"/>
  <c r="DN10"/>
  <c r="BX38"/>
  <c r="EZ40"/>
  <c r="AQ44"/>
  <c r="EB47"/>
  <c r="CR49"/>
  <c r="ET51"/>
  <c r="DM53"/>
  <c r="BA55"/>
  <c r="BU56"/>
  <c r="FF3"/>
  <c r="FS6"/>
  <c r="FO10"/>
  <c r="FK14"/>
  <c r="FG18"/>
  <c r="FT21"/>
  <c r="FP25"/>
  <c r="FL29"/>
  <c r="FE30"/>
  <c r="ET4"/>
  <c r="EO7"/>
  <c r="EJ10"/>
  <c r="FB12"/>
  <c r="EW15"/>
  <c r="ER18"/>
  <c r="EM21"/>
  <c r="EH24"/>
  <c r="EZ26"/>
  <c r="EU29"/>
  <c r="DM4"/>
  <c r="DT7"/>
  <c r="EA10"/>
  <c r="S39"/>
  <c r="ER45"/>
  <c r="EX49"/>
  <c r="BK54"/>
  <c r="DZ56"/>
  <c r="FH8"/>
  <c r="FQ15"/>
  <c r="FI23"/>
  <c r="FR30"/>
  <c r="ET5"/>
  <c r="EJ11"/>
  <c r="EW16"/>
  <c r="EM22"/>
  <c r="EZ27"/>
  <c r="EF23"/>
  <c r="DX8"/>
  <c r="DL14"/>
  <c r="DS17"/>
  <c r="DZ20"/>
  <c r="DN24"/>
  <c r="DU27"/>
  <c r="EB30"/>
  <c r="DH28"/>
  <c r="DI15"/>
  <c r="DB3"/>
  <c r="DB19"/>
  <c r="CZ23"/>
  <c r="CE5"/>
  <c r="CF8"/>
  <c r="CG11"/>
  <c r="CH14"/>
  <c r="CI17"/>
  <c r="CJ20"/>
  <c r="CK23"/>
  <c r="CL26"/>
  <c r="CM29"/>
  <c r="BH31"/>
  <c r="BH29"/>
  <c r="BH27"/>
  <c r="BH25"/>
  <c r="BH23"/>
  <c r="BH21"/>
  <c r="BH19"/>
  <c r="BH17"/>
  <c r="BH15"/>
  <c r="BH13"/>
  <c r="BH11"/>
  <c r="BH9"/>
  <c r="BH7"/>
  <c r="BH5"/>
  <c r="BH3"/>
  <c r="AD5"/>
  <c r="AB7"/>
  <c r="Z9"/>
  <c r="X11"/>
  <c r="V13"/>
  <c r="T15"/>
  <c r="R17"/>
  <c r="P19"/>
  <c r="AX38"/>
  <c r="EB43"/>
  <c r="CA49"/>
  <c r="BS53"/>
  <c r="BC56"/>
  <c r="FI6"/>
  <c r="FR13"/>
  <c r="FJ21"/>
  <c r="FS28"/>
  <c r="EJ4"/>
  <c r="EW9"/>
  <c r="EM15"/>
  <c r="EZ20"/>
  <c r="EP26"/>
  <c r="FC31"/>
  <c r="EC6"/>
  <c r="DN13"/>
  <c r="DU16"/>
  <c r="EB19"/>
  <c r="DP23"/>
  <c r="DW26"/>
  <c r="ED29"/>
  <c r="DJ31"/>
  <c r="DK18"/>
  <c r="DG6"/>
  <c r="DA15"/>
  <c r="DA31"/>
  <c r="CI4"/>
  <c r="CJ7"/>
  <c r="CK10"/>
  <c r="CL13"/>
  <c r="CM16"/>
  <c r="CN19"/>
  <c r="CO22"/>
  <c r="CP25"/>
  <c r="CQ28"/>
  <c r="CR31"/>
  <c r="BY31"/>
  <c r="BY29"/>
  <c r="BY27"/>
  <c r="BY25"/>
  <c r="BY23"/>
  <c r="BY21"/>
  <c r="BY19"/>
  <c r="BY17"/>
  <c r="BY15"/>
  <c r="BY13"/>
  <c r="BY11"/>
  <c r="BY9"/>
  <c r="BY7"/>
  <c r="BY5"/>
  <c r="BY3"/>
  <c r="M5"/>
  <c r="K7"/>
  <c r="AP8"/>
  <c r="AN10"/>
  <c r="AL12"/>
  <c r="AJ14"/>
  <c r="AH16"/>
  <c r="AF18"/>
  <c r="AQ38"/>
  <c r="CV43"/>
  <c r="BX49"/>
  <c r="BQ53"/>
  <c r="AX56"/>
  <c r="FV5"/>
  <c r="FN13"/>
  <c r="FF21"/>
  <c r="FO28"/>
  <c r="FC3"/>
  <c r="ES9"/>
  <c r="EI15"/>
  <c r="EV20"/>
  <c r="EL26"/>
  <c r="EY31"/>
  <c r="DY6"/>
  <c r="DM13"/>
  <c r="DT16"/>
  <c r="EA19"/>
  <c r="DO23"/>
  <c r="DV26"/>
  <c r="EC29"/>
  <c r="DK31"/>
  <c r="DG19"/>
  <c r="DH6"/>
  <c r="DD14"/>
  <c r="DD30"/>
  <c r="CH4"/>
  <c r="CI7"/>
  <c r="CJ10"/>
  <c r="CK13"/>
  <c r="CL16"/>
  <c r="CM19"/>
  <c r="CN22"/>
  <c r="CO25"/>
  <c r="CP28"/>
  <c r="CQ31"/>
  <c r="BZ31"/>
  <c r="BZ29"/>
  <c r="BZ27"/>
  <c r="BZ25"/>
  <c r="BZ23"/>
  <c r="BS62"/>
  <c r="EO85"/>
  <c r="AN81"/>
  <c r="BX60"/>
  <c r="FG60"/>
  <c r="FM60"/>
  <c r="O60"/>
  <c r="CC68"/>
  <c r="W68"/>
  <c r="EB68"/>
  <c r="BP71"/>
  <c r="EY71"/>
  <c r="BX63"/>
  <c r="FG63"/>
  <c r="FE63"/>
  <c r="EV63"/>
  <c r="FP74"/>
  <c r="CO66"/>
  <c r="K66"/>
  <c r="DB66"/>
  <c r="BC66"/>
  <c r="AB75"/>
  <c r="AK67"/>
  <c r="DT67"/>
  <c r="AX67"/>
  <c r="CB67"/>
  <c r="CI67"/>
  <c r="J75"/>
  <c r="AL74"/>
  <c r="Q68"/>
  <c r="AO69"/>
  <c r="DX69"/>
  <c r="AR69"/>
  <c r="EA69"/>
  <c r="AZ61"/>
  <c r="EI61"/>
  <c r="DI61"/>
  <c r="CZ61"/>
  <c r="EV84"/>
  <c r="BR84"/>
  <c r="FA84"/>
  <c r="EH84"/>
  <c r="BP72"/>
  <c r="EY72"/>
  <c r="BX64"/>
  <c r="EA64"/>
  <c r="CT64"/>
  <c r="DA64"/>
  <c r="AM64"/>
  <c r="DX64"/>
  <c r="J68"/>
  <c r="CX69"/>
  <c r="BI68"/>
  <c r="BM60"/>
  <c r="BE75"/>
  <c r="BC74"/>
  <c r="BA73"/>
  <c r="AM72"/>
  <c r="AK71"/>
  <c r="BJ68"/>
  <c r="AG64"/>
  <c r="L73"/>
  <c r="EJ73"/>
  <c r="CU73"/>
  <c r="BI65"/>
  <c r="T65"/>
  <c r="ER65"/>
  <c r="DC65"/>
  <c r="BV65"/>
  <c r="AW65"/>
  <c r="DX65"/>
  <c r="AN65"/>
  <c r="EE65"/>
  <c r="DF71"/>
  <c r="DW75"/>
  <c r="DZ74"/>
  <c r="DX73"/>
  <c r="DV72"/>
  <c r="DR71"/>
  <c r="BQ69"/>
  <c r="CH66"/>
  <c r="BZ61"/>
  <c r="V68"/>
  <c r="BE74"/>
  <c r="AW71"/>
  <c r="CL68"/>
  <c r="DY64"/>
  <c r="DA84"/>
  <c r="DM62"/>
  <c r="BX62"/>
  <c r="AI62"/>
  <c r="FG62"/>
  <c r="DZ62"/>
  <c r="DL70"/>
  <c r="DX62"/>
  <c r="AQ87"/>
  <c r="CM85"/>
  <c r="CZ85"/>
  <c r="BK85"/>
  <c r="V85"/>
  <c r="ET85"/>
  <c r="DE85"/>
  <c r="BT86"/>
  <c r="AE86"/>
  <c r="FC86"/>
  <c r="DN86"/>
  <c r="BY86"/>
  <c r="AN87"/>
  <c r="FL87"/>
  <c r="DW87"/>
  <c r="CH87"/>
  <c r="AS87"/>
  <c r="FQ87"/>
  <c r="EX80"/>
  <c r="FG80"/>
  <c r="BX89"/>
  <c r="DL88"/>
  <c r="EZ83"/>
  <c r="AB83"/>
  <c r="BP82"/>
  <c r="DD81"/>
  <c r="ER80"/>
  <c r="AB80"/>
  <c r="FV89"/>
  <c r="AX89"/>
  <c r="DJ88"/>
  <c r="AP88"/>
  <c r="BF81"/>
  <c r="R80"/>
  <c r="BW89"/>
  <c r="EQ88"/>
  <c r="BW88"/>
  <c r="K88"/>
  <c r="CU81"/>
  <c r="AQ80"/>
  <c r="EK89"/>
  <c r="BY89"/>
  <c r="M89"/>
  <c r="DM88"/>
  <c r="BA88"/>
  <c r="FA83"/>
  <c r="CO83"/>
  <c r="AC83"/>
  <c r="EC82"/>
  <c r="BQ82"/>
  <c r="FQ81"/>
  <c r="DE81"/>
  <c r="AS81"/>
  <c r="ES80"/>
  <c r="CG80"/>
  <c r="U80"/>
  <c r="DA80"/>
  <c r="FG89"/>
  <c r="AA89"/>
  <c r="S82"/>
  <c r="EA80"/>
  <c r="FB89"/>
  <c r="CP89"/>
  <c r="AD89"/>
  <c r="ED88"/>
  <c r="BR88"/>
  <c r="FR83"/>
  <c r="DF83"/>
  <c r="AT83"/>
  <c r="ET82"/>
  <c r="CH82"/>
  <c r="V82"/>
  <c r="DV81"/>
  <c r="BJ81"/>
  <c r="FJ80"/>
  <c r="CX80"/>
  <c r="AL80"/>
  <c r="FU88"/>
  <c r="DI88"/>
  <c r="AW88"/>
  <c r="EH89"/>
  <c r="FV88"/>
  <c r="BV81"/>
  <c r="Z80"/>
  <c r="CM81"/>
  <c r="AA80"/>
  <c r="DO89"/>
  <c r="BC89"/>
  <c r="EU88"/>
  <c r="CI88"/>
  <c r="W88"/>
  <c r="DO83"/>
  <c r="BC83"/>
  <c r="EU82"/>
  <c r="CI82"/>
  <c r="W82"/>
  <c r="DO81"/>
  <c r="BC81"/>
  <c r="EU80"/>
  <c r="CI80"/>
  <c r="W80"/>
  <c r="FO79"/>
  <c r="DC79"/>
  <c r="AQ79"/>
  <c r="DT79"/>
  <c r="BH79"/>
  <c r="FQ79"/>
  <c r="DE79"/>
  <c r="AS79"/>
  <c r="DB79"/>
  <c r="DN79"/>
  <c r="FK79"/>
  <c r="CY79"/>
  <c r="AM79"/>
  <c r="CX79"/>
  <c r="EF79"/>
  <c r="BT79"/>
  <c r="FF79"/>
  <c r="ED79"/>
  <c r="EW79"/>
  <c r="CK79"/>
  <c r="Y79"/>
  <c r="FI39"/>
  <c r="AQ42"/>
  <c r="EK46"/>
  <c r="AY49"/>
  <c r="FA50"/>
  <c r="FS52"/>
  <c r="EL54"/>
  <c r="AB56"/>
  <c r="FR56"/>
  <c r="FH6"/>
  <c r="FU9"/>
  <c r="FQ13"/>
  <c r="FM17"/>
  <c r="FI21"/>
  <c r="FV24"/>
  <c r="FR28"/>
  <c r="EI4"/>
  <c r="FA6"/>
  <c r="EV9"/>
  <c r="EQ12"/>
  <c r="EL15"/>
  <c r="EG18"/>
  <c r="EY20"/>
  <c r="ET23"/>
  <c r="EO26"/>
  <c r="EJ29"/>
  <c r="FB31"/>
  <c r="DU3"/>
  <c r="EB6"/>
  <c r="DP10"/>
  <c r="CN38"/>
  <c r="S41"/>
  <c r="BW44"/>
  <c r="FH47"/>
  <c r="DA49"/>
  <c r="N52"/>
  <c r="ED53"/>
  <c r="BQ55"/>
  <c r="CD56"/>
  <c r="FR3"/>
  <c r="FN7"/>
  <c r="FJ11"/>
  <c r="FF15"/>
  <c r="FS18"/>
  <c r="FO22"/>
  <c r="FK26"/>
  <c r="FG30"/>
  <c r="FE18"/>
  <c r="EI5"/>
  <c r="FA7"/>
  <c r="EV10"/>
  <c r="EQ13"/>
  <c r="EL16"/>
  <c r="EG19"/>
  <c r="EY21"/>
  <c r="ET24"/>
  <c r="EO27"/>
  <c r="EJ30"/>
  <c r="DY4"/>
  <c r="DM8"/>
  <c r="DT11"/>
  <c r="AI39"/>
  <c r="DC41"/>
  <c r="K46"/>
  <c r="L49"/>
  <c r="FC49"/>
  <c r="DE52"/>
  <c r="BQ54"/>
  <c r="EX55"/>
  <c r="EB56"/>
  <c r="FP4"/>
  <c r="FL8"/>
  <c r="FH12"/>
  <c r="FU15"/>
  <c r="FQ19"/>
  <c r="FM23"/>
  <c r="FI27"/>
  <c r="FV30"/>
  <c r="FE3"/>
  <c r="EX5"/>
  <c r="ES8"/>
  <c r="EN11"/>
  <c r="EI14"/>
  <c r="FA16"/>
  <c r="EV19"/>
  <c r="EQ22"/>
  <c r="EL25"/>
  <c r="EG28"/>
  <c r="EY30"/>
  <c r="EF19"/>
  <c r="DU5"/>
  <c r="EB8"/>
  <c r="DP12"/>
  <c r="EB39"/>
  <c r="FG41"/>
  <c r="DD46"/>
  <c r="AO49"/>
  <c r="BY50"/>
  <c r="FB52"/>
  <c r="DU54"/>
  <c r="R56"/>
  <c r="FH56"/>
  <c r="FL5"/>
  <c r="FH9"/>
  <c r="FU12"/>
  <c r="FQ16"/>
  <c r="FM20"/>
  <c r="FI24"/>
  <c r="FV27"/>
  <c r="FR31"/>
  <c r="ES3"/>
  <c r="EN6"/>
  <c r="EI9"/>
  <c r="FA11"/>
  <c r="EV14"/>
  <c r="EQ17"/>
  <c r="EL20"/>
  <c r="EG23"/>
  <c r="EY25"/>
  <c r="ET28"/>
  <c r="EO31"/>
  <c r="EF6"/>
  <c r="DO6"/>
  <c r="DV9"/>
  <c r="EC12"/>
  <c r="FI41"/>
  <c r="AR49"/>
  <c r="FI52"/>
  <c r="T56"/>
  <c r="FK5"/>
  <c r="FT12"/>
  <c r="FL20"/>
  <c r="FU27"/>
  <c r="ER3"/>
  <c r="EH9"/>
  <c r="EU14"/>
  <c r="EK20"/>
  <c r="EX25"/>
  <c r="EN31"/>
  <c r="DN6"/>
  <c r="DY12"/>
  <c r="DN16"/>
  <c r="DU19"/>
  <c r="EB22"/>
  <c r="DP26"/>
  <c r="DW29"/>
  <c r="DH20"/>
  <c r="DI7"/>
  <c r="DB13"/>
  <c r="DB29"/>
  <c r="CW3"/>
  <c r="CX6"/>
  <c r="CD10"/>
  <c r="CE13"/>
  <c r="CF16"/>
  <c r="CG19"/>
  <c r="CH22"/>
  <c r="CI25"/>
  <c r="CJ28"/>
  <c r="CK31"/>
  <c r="AZ30"/>
  <c r="AZ28"/>
  <c r="AZ26"/>
  <c r="AZ24"/>
  <c r="AZ22"/>
  <c r="AZ20"/>
  <c r="AZ18"/>
  <c r="AZ16"/>
  <c r="AZ14"/>
  <c r="AZ12"/>
  <c r="AZ10"/>
  <c r="AZ8"/>
  <c r="AZ6"/>
  <c r="AZ4"/>
  <c r="AM4"/>
  <c r="AK6"/>
  <c r="AI8"/>
  <c r="AG10"/>
  <c r="AE12"/>
  <c r="AC14"/>
  <c r="AA16"/>
  <c r="Y18"/>
  <c r="W20"/>
  <c r="AJ41"/>
  <c r="AC48"/>
  <c r="AE52"/>
  <c r="CH55"/>
  <c r="FL3"/>
  <c r="FU10"/>
  <c r="FM18"/>
  <c r="FV25"/>
  <c r="FE24"/>
  <c r="EU7"/>
  <c r="EK13"/>
  <c r="EX18"/>
  <c r="EN24"/>
  <c r="FA29"/>
  <c r="DS4"/>
  <c r="DN11"/>
  <c r="DP15"/>
  <c r="DW18"/>
  <c r="ED21"/>
  <c r="DR25"/>
  <c r="DY28"/>
  <c r="DJ23"/>
  <c r="DK10"/>
  <c r="DA9"/>
  <c r="DA25"/>
  <c r="CF3"/>
  <c r="CG6"/>
  <c r="CH9"/>
  <c r="CI12"/>
  <c r="CJ15"/>
  <c r="CK18"/>
  <c r="CL21"/>
  <c r="CM24"/>
  <c r="CN27"/>
  <c r="CO30"/>
  <c r="BQ30"/>
  <c r="BQ28"/>
  <c r="BQ26"/>
  <c r="BQ24"/>
  <c r="BQ22"/>
  <c r="BQ20"/>
  <c r="BQ18"/>
  <c r="BQ16"/>
  <c r="BQ14"/>
  <c r="BQ12"/>
  <c r="BQ10"/>
  <c r="BQ8"/>
  <c r="BQ6"/>
  <c r="BQ4"/>
  <c r="V4"/>
  <c r="T6"/>
  <c r="R8"/>
  <c r="P10"/>
  <c r="N12"/>
  <c r="L14"/>
  <c r="J16"/>
  <c r="AO17"/>
  <c r="AM19"/>
  <c r="AA41"/>
  <c r="AA48"/>
  <c r="AC52"/>
  <c r="BY55"/>
  <c r="FH3"/>
  <c r="FQ10"/>
  <c r="FI18"/>
  <c r="FR25"/>
  <c r="FE28"/>
  <c r="EQ7"/>
  <c r="EG13"/>
  <c r="ET18"/>
  <c r="EJ24"/>
  <c r="EW29"/>
  <c r="DO4"/>
  <c r="EC10"/>
  <c r="DO15"/>
  <c r="DV18"/>
  <c r="EC21"/>
  <c r="DQ25"/>
  <c r="DX28"/>
  <c r="DK23"/>
  <c r="DG11"/>
  <c r="DD8"/>
  <c r="DD24"/>
  <c r="CE3"/>
  <c r="CF6"/>
  <c r="CG9"/>
  <c r="CH12"/>
  <c r="CI15"/>
  <c r="CJ18"/>
  <c r="CK21"/>
  <c r="CL24"/>
  <c r="CM27"/>
  <c r="CN30"/>
  <c r="BR30"/>
  <c r="BR28"/>
  <c r="BR26"/>
  <c r="BR24"/>
  <c r="BR22"/>
  <c r="DI89"/>
  <c r="AG81"/>
  <c r="ET70"/>
  <c r="DT85"/>
  <c r="CF60"/>
  <c r="X60"/>
  <c r="CK68"/>
  <c r="EJ68"/>
  <c r="FG71"/>
  <c r="FO63"/>
  <c r="FL63"/>
  <c r="CW66"/>
  <c r="DJ66"/>
  <c r="AJ75"/>
  <c r="EB67"/>
  <c r="CR67"/>
  <c r="J66"/>
  <c r="EL67"/>
  <c r="EF69"/>
  <c r="EI69"/>
  <c r="EQ61"/>
  <c r="DP61"/>
  <c r="BZ84"/>
  <c r="EX84"/>
  <c r="FG72"/>
  <c r="EI64"/>
  <c r="DQ64"/>
  <c r="EN64"/>
  <c r="R69"/>
  <c r="V60"/>
  <c r="AS74"/>
  <c r="AC72"/>
  <c r="AP68"/>
  <c r="T73"/>
  <c r="DC73"/>
  <c r="AB65"/>
  <c r="DK65"/>
  <c r="BM65"/>
  <c r="BD65"/>
  <c r="CT71"/>
  <c r="DP74"/>
  <c r="DJ72"/>
  <c r="AT69"/>
  <c r="AL61"/>
  <c r="AU74"/>
  <c r="BQ68"/>
  <c r="BM84"/>
  <c r="CF62"/>
  <c r="FO62"/>
  <c r="DD70"/>
  <c r="AA87"/>
  <c r="DH85"/>
  <c r="AD85"/>
  <c r="DM85"/>
  <c r="AM86"/>
  <c r="DV86"/>
  <c r="AV87"/>
  <c r="EE87"/>
  <c r="BA87"/>
  <c r="DZ80"/>
  <c r="BP89"/>
  <c r="ER83"/>
  <c r="BH82"/>
  <c r="EJ80"/>
  <c r="FF89"/>
  <c r="DB88"/>
  <c r="Z81"/>
  <c r="BG89"/>
  <c r="BO88"/>
  <c r="BO81"/>
  <c r="EC89"/>
  <c r="FQ88"/>
  <c r="AS88"/>
  <c r="CG83"/>
  <c r="DU82"/>
  <c r="FI81"/>
  <c r="AK81"/>
  <c r="BY80"/>
  <c r="CC80"/>
  <c r="FO88"/>
  <c r="DC80"/>
  <c r="CH89"/>
  <c r="DV88"/>
  <c r="FJ83"/>
  <c r="AL83"/>
  <c r="BZ82"/>
  <c r="DN81"/>
  <c r="FB80"/>
  <c r="AD80"/>
  <c r="DA88"/>
  <c r="DR89"/>
  <c r="AX81"/>
  <c r="BG81"/>
  <c r="DG89"/>
  <c r="EM88"/>
  <c r="FS83"/>
  <c r="AU83"/>
  <c r="CA82"/>
  <c r="DG81"/>
  <c r="EM80"/>
  <c r="FN79"/>
  <c r="CU79"/>
  <c r="DL79"/>
  <c r="FI79"/>
  <c r="AK79"/>
  <c r="CP79"/>
  <c r="CQ79"/>
  <c r="BR79"/>
  <c r="BL79"/>
  <c r="DF79"/>
  <c r="CC79"/>
  <c r="BI40"/>
  <c r="AK47"/>
  <c r="BQ51"/>
  <c r="FR54"/>
  <c r="J49"/>
  <c r="FL10"/>
  <c r="FU17"/>
  <c r="FM25"/>
  <c r="EL7"/>
  <c r="EY12"/>
  <c r="EO18"/>
  <c r="FB23"/>
  <c r="ER29"/>
  <c r="EC3"/>
  <c r="DX10"/>
  <c r="AY41"/>
  <c r="BH48"/>
  <c r="AT52"/>
  <c r="CW55"/>
  <c r="FI4"/>
  <c r="FR11"/>
  <c r="FJ19"/>
  <c r="FS26"/>
  <c r="FE10"/>
  <c r="EL8"/>
  <c r="EY13"/>
  <c r="EO19"/>
  <c r="FB24"/>
  <c r="ER30"/>
  <c r="DN5"/>
  <c r="EB11"/>
  <c r="EI41"/>
  <c r="AE49"/>
  <c r="EK52"/>
  <c r="FP55"/>
  <c r="FG5"/>
  <c r="FP12"/>
  <c r="FH20"/>
  <c r="FQ27"/>
  <c r="EN3"/>
  <c r="FA8"/>
  <c r="EQ14"/>
  <c r="EG20"/>
  <c r="ET25"/>
  <c r="EJ31"/>
  <c r="EC5"/>
  <c r="L38"/>
  <c r="EI42"/>
  <c r="BG49"/>
  <c r="W53"/>
  <c r="AJ56"/>
  <c r="FT5"/>
  <c r="FL13"/>
  <c r="FU20"/>
  <c r="FM28"/>
  <c r="FA3"/>
  <c r="EQ9"/>
  <c r="EG15"/>
  <c r="ET20"/>
  <c r="EJ26"/>
  <c r="EW31"/>
  <c r="DW6"/>
  <c r="BF38"/>
  <c r="CC49"/>
  <c r="BE56"/>
  <c r="FS13"/>
  <c r="FT28"/>
  <c r="EX9"/>
  <c r="FA20"/>
  <c r="DO13"/>
  <c r="EC19"/>
  <c r="DX26"/>
  <c r="DI31"/>
  <c r="DK5"/>
  <c r="DB31"/>
  <c r="CK7"/>
  <c r="CM13"/>
  <c r="CO19"/>
  <c r="CQ25"/>
  <c r="CS31"/>
  <c r="BX29"/>
  <c r="BX25"/>
  <c r="BX21"/>
  <c r="BX17"/>
  <c r="BX13"/>
  <c r="BX9"/>
  <c r="BX5"/>
  <c r="N5"/>
  <c r="J9"/>
  <c r="AM12"/>
  <c r="AI16"/>
  <c r="AE20"/>
  <c r="FA48"/>
  <c r="ET55"/>
  <c r="FT11"/>
  <c r="FU26"/>
  <c r="EN8"/>
  <c r="EQ19"/>
  <c r="ET30"/>
  <c r="ED11"/>
  <c r="DL19"/>
  <c r="DZ25"/>
  <c r="DH9"/>
  <c r="DA27"/>
  <c r="CO6"/>
  <c r="CQ12"/>
  <c r="CS18"/>
  <c r="CU24"/>
  <c r="CW30"/>
  <c r="BI30"/>
  <c r="BI26"/>
  <c r="BI22"/>
  <c r="BI18"/>
  <c r="BI14"/>
  <c r="BI10"/>
  <c r="BI6"/>
  <c r="AD4"/>
  <c r="Z8"/>
  <c r="V12"/>
  <c r="R16"/>
  <c r="N20"/>
  <c r="EY48"/>
  <c r="EK55"/>
  <c r="FP11"/>
  <c r="FQ26"/>
  <c r="EJ8"/>
  <c r="EM19"/>
  <c r="EP30"/>
  <c r="DZ11"/>
  <c r="ED18"/>
  <c r="DY25"/>
  <c r="DI9"/>
  <c r="DD26"/>
  <c r="CN6"/>
  <c r="CP12"/>
  <c r="CR18"/>
  <c r="CT24"/>
  <c r="CV30"/>
  <c r="BJ30"/>
  <c r="BJ26"/>
  <c r="BZ22"/>
  <c r="BR20"/>
  <c r="BR18"/>
  <c r="BR16"/>
  <c r="BR14"/>
  <c r="BR12"/>
  <c r="BR10"/>
  <c r="BR8"/>
  <c r="BR6"/>
  <c r="BR4"/>
  <c r="U4"/>
  <c r="S6"/>
  <c r="Q8"/>
  <c r="O10"/>
  <c r="M12"/>
  <c r="K14"/>
  <c r="AP15"/>
  <c r="AN17"/>
  <c r="AL19"/>
  <c r="R38"/>
  <c r="FO42"/>
  <c r="BH49"/>
  <c r="AK53"/>
  <c r="AK56"/>
  <c r="FQ6"/>
  <c r="FI14"/>
  <c r="FR21"/>
  <c r="FJ29"/>
  <c r="ER4"/>
  <c r="EH10"/>
  <c r="EU15"/>
  <c r="EK21"/>
  <c r="EX26"/>
  <c r="DR7"/>
  <c r="DR13"/>
  <c r="DY16"/>
  <c r="DM20"/>
  <c r="DT23"/>
  <c r="EA26"/>
  <c r="DO30"/>
  <c r="DK30"/>
  <c r="DG18"/>
  <c r="DH5"/>
  <c r="DA16"/>
  <c r="CM4"/>
  <c r="CN7"/>
  <c r="CO10"/>
  <c r="CP13"/>
  <c r="CQ16"/>
  <c r="CR19"/>
  <c r="CS22"/>
  <c r="CT25"/>
  <c r="CU28"/>
  <c r="CV31"/>
  <c r="BU31"/>
  <c r="BU29"/>
  <c r="BU27"/>
  <c r="BU25"/>
  <c r="BU23"/>
  <c r="BU21"/>
  <c r="BU19"/>
  <c r="BU17"/>
  <c r="BU15"/>
  <c r="BU13"/>
  <c r="BU11"/>
  <c r="BU9"/>
  <c r="BU7"/>
  <c r="BU5"/>
  <c r="BU3"/>
  <c r="Q5"/>
  <c r="O7"/>
  <c r="M9"/>
  <c r="K11"/>
  <c r="AP12"/>
  <c r="AN14"/>
  <c r="AL16"/>
  <c r="AJ18"/>
  <c r="AH20"/>
  <c r="AF22"/>
  <c r="AD24"/>
  <c r="AB26"/>
  <c r="DB38"/>
  <c r="DD49"/>
  <c r="CF56"/>
  <c r="FJ14"/>
  <c r="FK29"/>
  <c r="EI10"/>
  <c r="EL21"/>
  <c r="DS13"/>
  <c r="DN20"/>
  <c r="EB26"/>
  <c r="DJ30"/>
  <c r="DG5"/>
  <c r="CO7"/>
  <c r="CQ13"/>
  <c r="CS19"/>
  <c r="CU25"/>
  <c r="CW31"/>
  <c r="BT29"/>
  <c r="BT25"/>
  <c r="BT21"/>
  <c r="BT17"/>
  <c r="BT13"/>
  <c r="BT9"/>
  <c r="BT5"/>
  <c r="R5"/>
  <c r="N9"/>
  <c r="J13"/>
  <c r="EC41"/>
  <c r="EC52"/>
  <c r="FM6"/>
  <c r="FN21"/>
  <c r="EN4"/>
  <c r="EQ15"/>
  <c r="ET26"/>
  <c r="DN7"/>
  <c r="DX16"/>
  <c r="DS23"/>
  <c r="DN30"/>
  <c r="DH18"/>
  <c r="DD15"/>
  <c r="CL4"/>
  <c r="CN10"/>
  <c r="CP16"/>
  <c r="CR22"/>
  <c r="CT28"/>
  <c r="BV31"/>
  <c r="BV27"/>
  <c r="BV23"/>
  <c r="BV19"/>
  <c r="BV15"/>
  <c r="BV11"/>
  <c r="BV7"/>
  <c r="BV3"/>
  <c r="N7"/>
  <c r="J11"/>
  <c r="AM14"/>
  <c r="U49"/>
  <c r="FG55"/>
  <c r="FU13"/>
  <c r="FV28"/>
  <c r="EZ9"/>
  <c r="FC20"/>
  <c r="DP13"/>
  <c r="ED19"/>
  <c r="DY26"/>
  <c r="DH31"/>
  <c r="DJ5"/>
  <c r="DC31"/>
  <c r="CL7"/>
  <c r="CN13"/>
  <c r="CP19"/>
  <c r="CR25"/>
  <c r="CT31"/>
  <c r="BW29"/>
  <c r="BW25"/>
  <c r="BW21"/>
  <c r="BW17"/>
  <c r="BW13"/>
  <c r="BW9"/>
  <c r="BW5"/>
  <c r="O5"/>
  <c r="K9"/>
  <c r="AN12"/>
  <c r="CG41"/>
  <c r="CG52"/>
  <c r="FU3"/>
  <c r="FV18"/>
  <c r="FE15"/>
  <c r="ET13"/>
  <c r="EW24"/>
  <c r="EB4"/>
  <c r="DU15"/>
  <c r="DP22"/>
  <c r="ED28"/>
  <c r="DJ22"/>
  <c r="DB10"/>
  <c r="CK3"/>
  <c r="CM9"/>
  <c r="CO15"/>
  <c r="CQ21"/>
  <c r="CS27"/>
  <c r="BL28"/>
  <c r="BL24"/>
  <c r="BL20"/>
  <c r="BL16"/>
  <c r="BL12"/>
  <c r="BL8"/>
  <c r="BL4"/>
  <c r="Y6"/>
  <c r="U10"/>
  <c r="Q14"/>
  <c r="M18"/>
  <c r="AC21"/>
  <c r="AJ23"/>
  <c r="Q49"/>
  <c r="FG11"/>
  <c r="EX7"/>
  <c r="EG30"/>
  <c r="DY18"/>
  <c r="DC25"/>
  <c r="CK12"/>
  <c r="CO24"/>
  <c r="BO30"/>
  <c r="BO22"/>
  <c r="BO14"/>
  <c r="BO6"/>
  <c r="T8"/>
  <c r="AD15"/>
  <c r="L20"/>
  <c r="K23"/>
  <c r="Z25"/>
  <c r="AG27"/>
  <c r="AH29"/>
  <c r="AF31"/>
  <c r="AE3"/>
  <c r="EF4"/>
  <c r="CZ13"/>
  <c r="AX28"/>
  <c r="AX5"/>
  <c r="AL20"/>
  <c r="AM27"/>
  <c r="AJ3"/>
  <c r="ED23"/>
  <c r="CJ29"/>
  <c r="BK3"/>
  <c r="K24"/>
  <c r="DZ18"/>
  <c r="CF26"/>
  <c r="BN6"/>
  <c r="L23"/>
  <c r="AG31"/>
  <c r="BQ52"/>
  <c r="FH18"/>
  <c r="FC12"/>
  <c r="DN4"/>
  <c r="EB21"/>
  <c r="DG24"/>
  <c r="CD3"/>
  <c r="CH15"/>
  <c r="CL27"/>
  <c r="BS28"/>
  <c r="BS20"/>
  <c r="BS12"/>
  <c r="BS4"/>
  <c r="N10"/>
  <c r="AF16"/>
  <c r="DO73"/>
  <c r="DR85"/>
  <c r="DO71"/>
  <c r="CF86"/>
  <c r="AB60"/>
  <c r="BU60"/>
  <c r="Y68"/>
  <c r="CF68"/>
  <c r="DC71"/>
  <c r="DK63"/>
  <c r="BD63"/>
  <c r="AS66"/>
  <c r="BF66"/>
  <c r="DW66"/>
  <c r="BX67"/>
  <c r="FE67"/>
  <c r="BJ60"/>
  <c r="FA68"/>
  <c r="CB69"/>
  <c r="CE69"/>
  <c r="CM61"/>
  <c r="FS61"/>
  <c r="V84"/>
  <c r="AP84"/>
  <c r="DC72"/>
  <c r="DK64"/>
  <c r="BU64"/>
  <c r="CR64"/>
  <c r="J69"/>
  <c r="ET60"/>
  <c r="BY74"/>
  <c r="BI72"/>
  <c r="DB68"/>
  <c r="CS84"/>
  <c r="CE73"/>
  <c r="FQ65"/>
  <c r="CM65"/>
  <c r="Q65"/>
  <c r="FS65"/>
  <c r="DZ71"/>
  <c r="EV74"/>
  <c r="EP72"/>
  <c r="DF69"/>
  <c r="FJ61"/>
  <c r="CA74"/>
  <c r="EC68"/>
  <c r="AL60"/>
  <c r="BH62"/>
  <c r="EQ62"/>
  <c r="EB70"/>
  <c r="BW87"/>
  <c r="CJ85"/>
  <c r="FS85"/>
  <c r="CO85"/>
  <c r="O86"/>
  <c r="CX86"/>
  <c r="X87"/>
  <c r="DG87"/>
  <c r="AC87"/>
  <c r="AH81"/>
  <c r="CN89"/>
  <c r="FP83"/>
  <c r="CF82"/>
  <c r="FH80"/>
  <c r="BE80"/>
  <c r="DR88"/>
  <c r="CD81"/>
  <c r="CM89"/>
  <c r="CE88"/>
  <c r="EA81"/>
  <c r="ES89"/>
  <c r="U89"/>
  <c r="BI88"/>
  <c r="CW83"/>
  <c r="EK82"/>
  <c r="M82"/>
  <c r="BA81"/>
  <c r="CO80"/>
  <c r="DY80"/>
  <c r="AY89"/>
  <c r="EY80"/>
  <c r="CX89"/>
  <c r="EL88"/>
  <c r="N88"/>
  <c r="BB83"/>
  <c r="CP82"/>
  <c r="ED81"/>
  <c r="FR80"/>
  <c r="AT80"/>
  <c r="DQ88"/>
  <c r="EX89"/>
  <c r="CT81"/>
  <c r="DS81"/>
  <c r="DW89"/>
  <c r="FC88"/>
  <c r="AE88"/>
  <c r="BK83"/>
  <c r="CQ82"/>
  <c r="DW81"/>
  <c r="FC80"/>
  <c r="AE80"/>
  <c r="DK79"/>
  <c r="EB79"/>
  <c r="J79"/>
  <c r="BA79"/>
  <c r="EL79"/>
  <c r="DG79"/>
  <c r="DV79"/>
  <c r="CB79"/>
  <c r="FB79"/>
  <c r="CS79"/>
  <c r="CW39"/>
  <c r="BY46"/>
  <c r="AA50"/>
  <c r="DF54"/>
  <c r="EZ56"/>
  <c r="FM9"/>
  <c r="FV16"/>
  <c r="FN24"/>
  <c r="ES6"/>
  <c r="EI12"/>
  <c r="EV17"/>
  <c r="EL23"/>
  <c r="EY28"/>
  <c r="DM3"/>
  <c r="EA9"/>
  <c r="DT40"/>
  <c r="CV47"/>
  <c r="DN51"/>
  <c r="AK55"/>
  <c r="FJ3"/>
  <c r="FS10"/>
  <c r="FK18"/>
  <c r="FT25"/>
  <c r="FE26"/>
  <c r="ES7"/>
  <c r="EI13"/>
  <c r="EV18"/>
  <c r="EL24"/>
  <c r="EY29"/>
  <c r="DQ4"/>
  <c r="DL11"/>
  <c r="BW41"/>
  <c r="DS48"/>
  <c r="BY52"/>
  <c r="DU55"/>
  <c r="FH4"/>
  <c r="FQ11"/>
  <c r="FI19"/>
  <c r="FR26"/>
  <c r="FE11"/>
  <c r="EK8"/>
  <c r="EX13"/>
  <c r="EN19"/>
  <c r="FA24"/>
  <c r="EQ30"/>
  <c r="DM5"/>
  <c r="EA11"/>
  <c r="EA41"/>
  <c r="W49"/>
  <c r="DV52"/>
  <c r="FK55"/>
  <c r="FU4"/>
  <c r="FM12"/>
  <c r="FV19"/>
  <c r="FN27"/>
  <c r="EK3"/>
  <c r="EX8"/>
  <c r="EN14"/>
  <c r="FA19"/>
  <c r="EQ25"/>
  <c r="EG31"/>
  <c r="DZ5"/>
  <c r="DU12"/>
  <c r="FO48"/>
  <c r="EU55"/>
  <c r="FU11"/>
  <c r="FV26"/>
  <c r="EO8"/>
  <c r="ER19"/>
  <c r="EU30"/>
  <c r="DL12"/>
  <c r="DM19"/>
  <c r="EA25"/>
  <c r="DG9"/>
  <c r="DB27"/>
  <c r="CP6"/>
  <c r="CR12"/>
  <c r="CT18"/>
  <c r="CV24"/>
  <c r="CX30"/>
  <c r="BH30"/>
  <c r="BH26"/>
  <c r="BH22"/>
  <c r="BH18"/>
  <c r="BH14"/>
  <c r="BH10"/>
  <c r="BH6"/>
  <c r="AE4"/>
  <c r="AA8"/>
  <c r="W12"/>
  <c r="S16"/>
  <c r="O20"/>
  <c r="BQ47"/>
  <c r="V55"/>
  <c r="FV9"/>
  <c r="FF25"/>
  <c r="FB6"/>
  <c r="EH18"/>
  <c r="EK29"/>
  <c r="DQ10"/>
  <c r="DO18"/>
  <c r="EC24"/>
  <c r="DX31"/>
  <c r="DI12"/>
  <c r="DA23"/>
  <c r="CT5"/>
  <c r="CV11"/>
  <c r="CX17"/>
  <c r="CE24"/>
  <c r="CG30"/>
  <c r="BY30"/>
  <c r="BY26"/>
  <c r="BY22"/>
  <c r="BY18"/>
  <c r="BY14"/>
  <c r="BY10"/>
  <c r="BY6"/>
  <c r="N4"/>
  <c r="J8"/>
  <c r="AM11"/>
  <c r="AI15"/>
  <c r="AE19"/>
  <c r="BO47"/>
  <c r="M55"/>
  <c r="FR9"/>
  <c r="FS24"/>
  <c r="EX6"/>
  <c r="FA17"/>
  <c r="EG29"/>
  <c r="DM10"/>
  <c r="DN18"/>
  <c r="EB24"/>
  <c r="DW31"/>
  <c r="DJ12"/>
  <c r="DD22"/>
  <c r="CS5"/>
  <c r="CU11"/>
  <c r="CW17"/>
  <c r="CD24"/>
  <c r="CF30"/>
  <c r="BZ30"/>
  <c r="BZ26"/>
  <c r="BB23"/>
  <c r="BZ20"/>
  <c r="BZ18"/>
  <c r="BZ16"/>
  <c r="BZ14"/>
  <c r="BZ12"/>
  <c r="BZ10"/>
  <c r="BZ8"/>
  <c r="BZ6"/>
  <c r="BZ4"/>
  <c r="M4"/>
  <c r="K6"/>
  <c r="AP7"/>
  <c r="AN9"/>
  <c r="AL11"/>
  <c r="AJ13"/>
  <c r="AH15"/>
  <c r="AF17"/>
  <c r="AD19"/>
  <c r="AB21"/>
  <c r="EB41"/>
  <c r="X49"/>
  <c r="DW52"/>
  <c r="FM55"/>
  <c r="FR5"/>
  <c r="FJ13"/>
  <c r="FS20"/>
  <c r="FK28"/>
  <c r="EY3"/>
  <c r="EO9"/>
  <c r="FB14"/>
  <c r="ER20"/>
  <c r="EH26"/>
  <c r="EU31"/>
  <c r="DU6"/>
  <c r="EB12"/>
  <c r="DQ16"/>
  <c r="DX19"/>
  <c r="DL23"/>
  <c r="DS26"/>
  <c r="DZ29"/>
  <c r="DJ19"/>
  <c r="DK6"/>
  <c r="DA14"/>
  <c r="DA30"/>
  <c r="CE4"/>
  <c r="CF7"/>
  <c r="CG10"/>
  <c r="CH13"/>
  <c r="CI16"/>
  <c r="CJ19"/>
  <c r="CK22"/>
  <c r="CL25"/>
  <c r="CM28"/>
  <c r="CN31"/>
  <c r="CC31"/>
  <c r="CC29"/>
  <c r="CC27"/>
  <c r="CC25"/>
  <c r="CC23"/>
  <c r="CC21"/>
  <c r="CC19"/>
  <c r="CC17"/>
  <c r="CC15"/>
  <c r="CC13"/>
  <c r="CC11"/>
  <c r="CC9"/>
  <c r="CC7"/>
  <c r="CC5"/>
  <c r="CC3"/>
  <c r="AP4"/>
  <c r="AN6"/>
  <c r="AL8"/>
  <c r="AJ10"/>
  <c r="AH12"/>
  <c r="AF14"/>
  <c r="AD16"/>
  <c r="AB18"/>
  <c r="Z20"/>
  <c r="X22"/>
  <c r="V24"/>
  <c r="T26"/>
  <c r="R28"/>
  <c r="AI49"/>
  <c r="K56"/>
  <c r="FL12"/>
  <c r="FM27"/>
  <c r="EW8"/>
  <c r="EZ19"/>
  <c r="FC30"/>
  <c r="DT12"/>
  <c r="DQ19"/>
  <c r="DL26"/>
  <c r="DH8"/>
  <c r="DB28"/>
  <c r="CT6"/>
  <c r="CV12"/>
  <c r="CX18"/>
  <c r="CE25"/>
  <c r="CG31"/>
  <c r="BD30"/>
  <c r="BD26"/>
  <c r="BD22"/>
  <c r="BD18"/>
  <c r="BD14"/>
  <c r="BD10"/>
  <c r="BD6"/>
  <c r="AI4"/>
  <c r="AE8"/>
  <c r="AA12"/>
  <c r="FO40"/>
  <c r="FJ51"/>
  <c r="FO4"/>
  <c r="FP19"/>
  <c r="FE4"/>
  <c r="EH14"/>
  <c r="EK25"/>
  <c r="DT5"/>
  <c r="EA15"/>
  <c r="DV22"/>
  <c r="DQ29"/>
  <c r="DI21"/>
  <c r="DD11"/>
  <c r="CQ3"/>
  <c r="CS9"/>
  <c r="CU15"/>
  <c r="CW21"/>
  <c r="CD28"/>
  <c r="BF28"/>
  <c r="BF24"/>
  <c r="BF20"/>
  <c r="BF16"/>
  <c r="BF12"/>
  <c r="BF8"/>
  <c r="BF4"/>
  <c r="AE6"/>
  <c r="AA10"/>
  <c r="W14"/>
  <c r="EA47"/>
  <c r="AS55"/>
  <c r="FF12"/>
  <c r="FG27"/>
  <c r="EQ8"/>
  <c r="ET19"/>
  <c r="EW30"/>
  <c r="DN12"/>
  <c r="DN19"/>
  <c r="EB25"/>
  <c r="DK8"/>
  <c r="DC27"/>
  <c r="CQ6"/>
  <c r="CS12"/>
  <c r="CU18"/>
  <c r="CW24"/>
  <c r="CD31"/>
  <c r="BG30"/>
  <c r="BG26"/>
  <c r="BG22"/>
  <c r="BG18"/>
  <c r="BG14"/>
  <c r="BG10"/>
  <c r="BG6"/>
  <c r="AF4"/>
  <c r="AB8"/>
  <c r="X12"/>
  <c r="BW40"/>
  <c r="BR51"/>
  <c r="J51"/>
  <c r="FG17"/>
  <c r="EK12"/>
  <c r="EN23"/>
  <c r="DO3"/>
  <c r="DX14"/>
  <c r="EN70"/>
  <c r="BH87"/>
  <c r="ET71"/>
  <c r="DA86"/>
  <c r="T60"/>
  <c r="BE60"/>
  <c r="AH68"/>
  <c r="BX68"/>
  <c r="CU71"/>
  <c r="DC63"/>
  <c r="AN63"/>
  <c r="AK66"/>
  <c r="AX66"/>
  <c r="DG66"/>
  <c r="BP67"/>
  <c r="EO67"/>
  <c r="CX60"/>
  <c r="FV68"/>
  <c r="BT69"/>
  <c r="BW69"/>
  <c r="CE61"/>
  <c r="FC61"/>
  <c r="N84"/>
  <c r="Z84"/>
  <c r="CU72"/>
  <c r="DC64"/>
  <c r="BE64"/>
  <c r="CB64"/>
  <c r="BB60"/>
  <c r="Y61"/>
  <c r="CI74"/>
  <c r="BS72"/>
  <c r="DV68"/>
  <c r="EG84"/>
  <c r="BW73"/>
  <c r="FI65"/>
  <c r="CE65"/>
  <c r="FV65"/>
  <c r="FC65"/>
  <c r="EL71"/>
  <c r="FF74"/>
  <c r="FB72"/>
  <c r="EC69"/>
  <c r="AL63"/>
  <c r="CK74"/>
  <c r="EX68"/>
  <c r="CC60"/>
  <c r="AZ62"/>
  <c r="EI62"/>
  <c r="EJ70"/>
  <c r="CM87"/>
  <c r="CB85"/>
  <c r="FK85"/>
  <c r="CG85"/>
  <c r="FT86"/>
  <c r="CP86"/>
  <c r="P87"/>
  <c r="CY87"/>
  <c r="U87"/>
  <c r="BN81"/>
  <c r="CV89"/>
  <c r="L88"/>
  <c r="CN82"/>
  <c r="FP80"/>
  <c r="CS80"/>
  <c r="DZ88"/>
  <c r="DB81"/>
  <c r="DC89"/>
  <c r="CM88"/>
  <c r="FO81"/>
  <c r="FA89"/>
  <c r="AC89"/>
  <c r="BQ88"/>
  <c r="DE83"/>
  <c r="ES82"/>
  <c r="U82"/>
  <c r="BI81"/>
  <c r="CW80"/>
  <c r="EO80"/>
  <c r="BO89"/>
  <c r="S81"/>
  <c r="DF89"/>
  <c r="ET88"/>
  <c r="V88"/>
  <c r="BJ83"/>
  <c r="CX82"/>
  <c r="EL81"/>
  <c r="N81"/>
  <c r="BB80"/>
  <c r="DY88"/>
  <c r="FN89"/>
  <c r="DR81"/>
  <c r="EY81"/>
  <c r="EE89"/>
  <c r="FK88"/>
  <c r="AM88"/>
  <c r="BS83"/>
  <c r="CY82"/>
  <c r="EE81"/>
  <c r="FK80"/>
  <c r="AM80"/>
  <c r="DS79"/>
  <c r="EJ79"/>
  <c r="L79"/>
  <c r="BI79"/>
  <c r="FJ79"/>
  <c r="DO79"/>
  <c r="ET79"/>
  <c r="CJ79"/>
  <c r="AA79"/>
  <c r="DA79"/>
  <c r="AK39"/>
  <c r="M46"/>
  <c r="FE49"/>
  <c r="BZ54"/>
  <c r="EH56"/>
  <c r="FV8"/>
  <c r="FN16"/>
  <c r="FF24"/>
  <c r="FO31"/>
  <c r="EK6"/>
  <c r="EX11"/>
  <c r="EN17"/>
  <c r="FA22"/>
  <c r="EQ28"/>
  <c r="EF9"/>
  <c r="DS9"/>
  <c r="BH40"/>
  <c r="AJ47"/>
  <c r="BB51"/>
  <c r="FQ54"/>
  <c r="J47"/>
  <c r="FK10"/>
  <c r="FT17"/>
  <c r="FL25"/>
  <c r="EK7"/>
  <c r="EX12"/>
  <c r="EN18"/>
  <c r="FA23"/>
  <c r="EQ29"/>
  <c r="EB3"/>
  <c r="DW10"/>
  <c r="AQ41"/>
  <c r="BG48"/>
  <c r="AS52"/>
  <c r="CO55"/>
  <c r="FQ3"/>
  <c r="FI11"/>
  <c r="FR18"/>
  <c r="FJ26"/>
  <c r="FE19"/>
  <c r="EZ7"/>
  <c r="EP13"/>
  <c r="FC18"/>
  <c r="ES24"/>
  <c r="EI30"/>
  <c r="DX4"/>
  <c r="DS11"/>
  <c r="CU41"/>
  <c r="EZ48"/>
  <c r="CP52"/>
  <c r="ES55"/>
  <c r="FM4"/>
  <c r="FV11"/>
  <c r="FN19"/>
  <c r="FF27"/>
  <c r="FE6"/>
  <c r="EP8"/>
  <c r="FC13"/>
  <c r="ES19"/>
  <c r="EI25"/>
  <c r="EV30"/>
  <c r="DR5"/>
  <c r="DM12"/>
  <c r="AQ48"/>
  <c r="CI55"/>
  <c r="FV10"/>
  <c r="FF26"/>
  <c r="EV7"/>
  <c r="EY18"/>
  <c r="FB29"/>
  <c r="DO11"/>
  <c r="DX18"/>
  <c r="DS25"/>
  <c r="DJ10"/>
  <c r="DB25"/>
  <c r="CH6"/>
  <c r="CJ12"/>
  <c r="CL18"/>
  <c r="CN24"/>
  <c r="CP30"/>
  <c r="BP30"/>
  <c r="BP26"/>
  <c r="BP22"/>
  <c r="BP18"/>
  <c r="BP14"/>
  <c r="BP10"/>
  <c r="BP6"/>
  <c r="W4"/>
  <c r="S8"/>
  <c r="O12"/>
  <c r="K16"/>
  <c r="AN19"/>
  <c r="DE46"/>
  <c r="DV54"/>
  <c r="FF9"/>
  <c r="FG24"/>
  <c r="EL6"/>
  <c r="EO17"/>
  <c r="ER28"/>
  <c r="DT9"/>
  <c r="DZ17"/>
  <c r="DU24"/>
  <c r="DP31"/>
  <c r="DG14"/>
  <c r="DA21"/>
  <c r="CL5"/>
  <c r="CN11"/>
  <c r="CP17"/>
  <c r="CR23"/>
  <c r="CT29"/>
  <c r="BA31"/>
  <c r="BA27"/>
  <c r="BA23"/>
  <c r="BA19"/>
  <c r="BA15"/>
  <c r="BA11"/>
  <c r="BA7"/>
  <c r="BA3"/>
  <c r="AI7"/>
  <c r="AE11"/>
  <c r="AA15"/>
  <c r="W19"/>
  <c r="DC46"/>
  <c r="DM54"/>
  <c r="FS8"/>
  <c r="FT23"/>
  <c r="EH6"/>
  <c r="EK17"/>
  <c r="EN28"/>
  <c r="DP9"/>
  <c r="DY17"/>
  <c r="DT24"/>
  <c r="DO31"/>
  <c r="DH14"/>
  <c r="DD20"/>
  <c r="CK5"/>
  <c r="CM11"/>
  <c r="CO17"/>
  <c r="CQ23"/>
  <c r="CS29"/>
  <c r="BB31"/>
  <c r="BB27"/>
  <c r="BR23"/>
  <c r="BB21"/>
  <c r="BB19"/>
  <c r="BB17"/>
  <c r="BB15"/>
  <c r="BB13"/>
  <c r="BB11"/>
  <c r="BB9"/>
  <c r="BB7"/>
  <c r="BB5"/>
  <c r="BB3"/>
  <c r="AJ5"/>
  <c r="AH7"/>
  <c r="AF9"/>
  <c r="AD11"/>
  <c r="AB13"/>
  <c r="Z15"/>
  <c r="X17"/>
  <c r="V19"/>
  <c r="T21"/>
  <c r="BP41"/>
  <c r="CO48"/>
  <c r="BK52"/>
  <c r="DN55"/>
  <c r="FS4"/>
  <c r="FK12"/>
  <c r="FT19"/>
  <c r="FL27"/>
  <c r="EI3"/>
  <c r="EV8"/>
  <c r="EL14"/>
  <c r="EY19"/>
  <c r="EO25"/>
  <c r="FB30"/>
  <c r="DX5"/>
  <c r="DS12"/>
  <c r="EB15"/>
  <c r="DP19"/>
  <c r="DW22"/>
  <c r="ED25"/>
  <c r="DR29"/>
  <c r="DH21"/>
  <c r="DI8"/>
  <c r="DA12"/>
  <c r="DA28"/>
  <c r="CR3"/>
  <c r="CS6"/>
  <c r="CT9"/>
  <c r="CU12"/>
  <c r="CV15"/>
  <c r="CW18"/>
  <c r="CX21"/>
  <c r="CD25"/>
  <c r="CE28"/>
  <c r="CF31"/>
  <c r="BE30"/>
  <c r="BE28"/>
  <c r="BE26"/>
  <c r="BE24"/>
  <c r="BE22"/>
  <c r="BE20"/>
  <c r="BE18"/>
  <c r="BE16"/>
  <c r="BE14"/>
  <c r="BE12"/>
  <c r="BE10"/>
  <c r="BE8"/>
  <c r="BE6"/>
  <c r="BE4"/>
  <c r="AH4"/>
  <c r="AF6"/>
  <c r="AD8"/>
  <c r="AB10"/>
  <c r="Z12"/>
  <c r="X14"/>
  <c r="V16"/>
  <c r="T18"/>
  <c r="R20"/>
  <c r="P22"/>
  <c r="N24"/>
  <c r="L26"/>
  <c r="J28"/>
  <c r="K48"/>
  <c r="BS55"/>
  <c r="FN10"/>
  <c r="FO25"/>
  <c r="EN7"/>
  <c r="EQ18"/>
  <c r="ET29"/>
  <c r="DZ10"/>
  <c r="DT18"/>
  <c r="DO25"/>
  <c r="EC31"/>
  <c r="DI11"/>
  <c r="DB24"/>
  <c r="CD6"/>
  <c r="CF12"/>
  <c r="CH18"/>
  <c r="CJ24"/>
  <c r="CL30"/>
  <c r="BT30"/>
  <c r="BT26"/>
  <c r="BT22"/>
  <c r="BT18"/>
  <c r="BT14"/>
  <c r="BT10"/>
  <c r="BT6"/>
  <c r="S4"/>
  <c r="O8"/>
  <c r="K12"/>
  <c r="CE39"/>
  <c r="FP49"/>
  <c r="ER56"/>
  <c r="FR17"/>
  <c r="EV12"/>
  <c r="EY23"/>
  <c r="DZ3"/>
  <c r="ED14"/>
  <c r="DY21"/>
  <c r="DT28"/>
  <c r="DJ24"/>
  <c r="DD7"/>
  <c r="CZ5"/>
  <c r="CX8"/>
  <c r="CE15"/>
  <c r="CG21"/>
  <c r="CI27"/>
  <c r="BV28"/>
  <c r="BV24"/>
  <c r="BV20"/>
  <c r="BV16"/>
  <c r="BV12"/>
  <c r="BV8"/>
  <c r="BV4"/>
  <c r="O6"/>
  <c r="K10"/>
  <c r="AN13"/>
  <c r="AQ46"/>
  <c r="CG54"/>
  <c r="FH10"/>
  <c r="FI25"/>
  <c r="EH7"/>
  <c r="EK18"/>
  <c r="EN29"/>
  <c r="DT10"/>
  <c r="DQ18"/>
  <c r="DL25"/>
  <c r="DZ31"/>
  <c r="DG12"/>
  <c r="DC23"/>
  <c r="CV5"/>
  <c r="CX11"/>
  <c r="CE18"/>
  <c r="CG24"/>
  <c r="CI30"/>
  <c r="BW30"/>
  <c r="BW26"/>
  <c r="BW22"/>
  <c r="BW18"/>
  <c r="BW14"/>
  <c r="BW10"/>
  <c r="BW6"/>
  <c r="P4"/>
  <c r="L8"/>
  <c r="AO11"/>
  <c r="FN38"/>
  <c r="EO49"/>
  <c r="DQ56"/>
  <c r="FI15"/>
  <c r="FJ30"/>
  <c r="EY10"/>
  <c r="FB21"/>
  <c r="EF31"/>
  <c r="EA13"/>
  <c r="DV20"/>
  <c r="DQ27"/>
  <c r="DG29"/>
  <c r="DI3"/>
  <c r="CZ27"/>
  <c r="CW7"/>
  <c r="CD14"/>
  <c r="CF20"/>
  <c r="CH26"/>
  <c r="BL29"/>
  <c r="BL25"/>
  <c r="BL21"/>
  <c r="BL17"/>
  <c r="BL13"/>
  <c r="BL9"/>
  <c r="BL5"/>
  <c r="Z5"/>
  <c r="V9"/>
  <c r="R13"/>
  <c r="N17"/>
  <c r="AN20"/>
  <c r="R23"/>
  <c r="DM41"/>
  <c r="FO3"/>
  <c r="FE21"/>
  <c r="EQ24"/>
  <c r="DR15"/>
  <c r="EA28"/>
  <c r="DC9"/>
  <c r="CJ9"/>
  <c r="CN21"/>
  <c r="BO24"/>
  <c r="BO16"/>
  <c r="BO8"/>
  <c r="V6"/>
  <c r="N14"/>
  <c r="AP18"/>
  <c r="V22"/>
  <c r="AO24"/>
  <c r="O27"/>
  <c r="R29"/>
  <c r="P31"/>
  <c r="O3"/>
  <c r="ES17"/>
  <c r="DK19"/>
  <c r="CW29"/>
  <c r="AX11"/>
  <c r="AE17"/>
  <c r="Q26"/>
  <c r="DR8"/>
  <c r="CF17"/>
  <c r="BK11"/>
  <c r="Z21"/>
  <c r="AA30"/>
  <c r="CW13"/>
  <c r="BN14"/>
  <c r="P20"/>
  <c r="AI29"/>
  <c r="DC48"/>
  <c r="FP10"/>
  <c r="EP7"/>
  <c r="EV29"/>
  <c r="DU18"/>
  <c r="ED31"/>
  <c r="DC24"/>
  <c r="CG12"/>
  <c r="CK24"/>
  <c r="BS30"/>
  <c r="BS22"/>
  <c r="BS14"/>
  <c r="BS6"/>
  <c r="P8"/>
  <c r="AC15"/>
  <c r="AP19"/>
  <c r="J23"/>
  <c r="CN87"/>
  <c r="DL86"/>
  <c r="FM74"/>
  <c r="N63"/>
  <c r="AV82"/>
  <c r="DK60"/>
  <c r="CR60"/>
  <c r="EF68"/>
  <c r="T71"/>
  <c r="AB63"/>
  <c r="BM63"/>
  <c r="DT74"/>
  <c r="EB66"/>
  <c r="DP66"/>
  <c r="BO75"/>
  <c r="FG67"/>
  <c r="EV67"/>
  <c r="CX74"/>
  <c r="EW84"/>
  <c r="FK69"/>
  <c r="FQ61"/>
  <c r="Q61"/>
  <c r="CZ84"/>
  <c r="DE84"/>
  <c r="T72"/>
  <c r="AB64"/>
  <c r="CD64"/>
  <c r="FL64"/>
  <c r="FS64"/>
  <c r="CX68"/>
  <c r="CA75"/>
  <c r="BU73"/>
  <c r="BE71"/>
  <c r="DN64"/>
  <c r="DT73"/>
  <c r="AS65"/>
  <c r="EB65"/>
  <c r="BF65"/>
  <c r="CR65"/>
  <c r="CY65"/>
  <c r="EO75"/>
  <c r="ET73"/>
  <c r="EN71"/>
  <c r="FR66"/>
  <c r="BV68"/>
  <c r="BS71"/>
  <c r="AT65"/>
  <c r="CW62"/>
  <c r="S62"/>
  <c r="DJ62"/>
  <c r="FD62"/>
  <c r="DS85"/>
  <c r="AU85"/>
  <c r="ED85"/>
  <c r="BD86"/>
  <c r="EM86"/>
  <c r="BI86"/>
  <c r="EV87"/>
  <c r="BR87"/>
  <c r="FA87"/>
  <c r="CE81"/>
  <c r="EB88"/>
  <c r="AR83"/>
  <c r="DT81"/>
  <c r="AJ80"/>
  <c r="BN89"/>
  <c r="AX88"/>
  <c r="AX80"/>
  <c r="EY88"/>
  <c r="S88"/>
  <c r="BO80"/>
  <c r="CG89"/>
  <c r="DU88"/>
  <c r="FI83"/>
  <c r="AK83"/>
  <c r="BY82"/>
  <c r="DM81"/>
  <c r="FA80"/>
  <c r="AC80"/>
  <c r="J80"/>
  <c r="AY82"/>
  <c r="FJ89"/>
  <c r="AL89"/>
  <c r="BZ88"/>
  <c r="DN83"/>
  <c r="FB82"/>
  <c r="AD82"/>
  <c r="BR81"/>
  <c r="DF80"/>
  <c r="P80"/>
  <c r="BE88"/>
  <c r="Z89"/>
  <c r="BN80"/>
  <c r="BG80"/>
  <c r="BK89"/>
  <c r="CQ88"/>
  <c r="DW83"/>
  <c r="FC82"/>
  <c r="AE82"/>
  <c r="BK81"/>
  <c r="CQ80"/>
  <c r="R79"/>
  <c r="AY79"/>
  <c r="BP79"/>
  <c r="DM79"/>
  <c r="DZ79"/>
  <c r="FS79"/>
  <c r="AU79"/>
  <c r="EN79"/>
  <c r="P79"/>
  <c r="FE79"/>
  <c r="AG79"/>
  <c r="ER41"/>
  <c r="AG49"/>
  <c r="EM52"/>
  <c r="FV55"/>
  <c r="FQ5"/>
  <c r="FI13"/>
  <c r="FR20"/>
  <c r="FJ28"/>
  <c r="EX3"/>
  <c r="EN9"/>
  <c r="FA14"/>
  <c r="EQ20"/>
  <c r="EG26"/>
  <c r="ET31"/>
  <c r="DT6"/>
  <c r="BH38"/>
  <c r="K44"/>
  <c r="CI49"/>
  <c r="CI53"/>
  <c r="BK56"/>
  <c r="FF7"/>
  <c r="FO14"/>
  <c r="FG22"/>
  <c r="FP29"/>
  <c r="EX4"/>
  <c r="EN10"/>
  <c r="FA15"/>
  <c r="EQ21"/>
  <c r="EG27"/>
  <c r="DX7"/>
  <c r="EY38"/>
  <c r="AY45"/>
  <c r="EJ49"/>
  <c r="AK54"/>
  <c r="DJ56"/>
  <c r="FU7"/>
  <c r="FM15"/>
  <c r="FV22"/>
  <c r="FN30"/>
  <c r="EP5"/>
  <c r="FC10"/>
  <c r="ES16"/>
  <c r="EI22"/>
  <c r="EV27"/>
  <c r="EF27"/>
  <c r="DT8"/>
  <c r="BP39"/>
  <c r="AR46"/>
  <c r="FM49"/>
  <c r="CO54"/>
  <c r="EP56"/>
  <c r="FQ8"/>
  <c r="FI16"/>
  <c r="FR23"/>
  <c r="FJ31"/>
  <c r="FC5"/>
  <c r="ES11"/>
  <c r="EI17"/>
  <c r="EV22"/>
  <c r="EL28"/>
  <c r="EF14"/>
  <c r="DN9"/>
  <c r="CW41"/>
  <c r="CW52"/>
  <c r="FL4"/>
  <c r="FM19"/>
  <c r="FE7"/>
  <c r="FB13"/>
  <c r="EH25"/>
  <c r="DQ5"/>
  <c r="DY15"/>
  <c r="DT22"/>
  <c r="DO29"/>
  <c r="DK21"/>
  <c r="DB11"/>
  <c r="CO3"/>
  <c r="CQ9"/>
  <c r="CS15"/>
  <c r="CU21"/>
  <c r="CW27"/>
  <c r="BH28"/>
  <c r="BH24"/>
  <c r="BH20"/>
  <c r="BH16"/>
  <c r="BH12"/>
  <c r="BH8"/>
  <c r="BH4"/>
  <c r="AC6"/>
  <c r="Y10"/>
  <c r="U14"/>
  <c r="Q18"/>
  <c r="CO40"/>
  <c r="CW51"/>
  <c r="J55"/>
  <c r="FN17"/>
  <c r="ER12"/>
  <c r="EU23"/>
  <c r="DV3"/>
  <c r="EA14"/>
  <c r="DV21"/>
  <c r="DQ28"/>
  <c r="DH25"/>
  <c r="DA7"/>
  <c r="CZ8"/>
  <c r="CU8"/>
  <c r="CW14"/>
  <c r="CD21"/>
  <c r="CF27"/>
  <c r="BY28"/>
  <c r="BY24"/>
  <c r="BY20"/>
  <c r="BY16"/>
  <c r="BY12"/>
  <c r="BY8"/>
  <c r="BY4"/>
  <c r="L6"/>
  <c r="AO9"/>
  <c r="AK13"/>
  <c r="AG17"/>
  <c r="CM40"/>
  <c r="CG51"/>
  <c r="J53"/>
  <c r="FJ17"/>
  <c r="EN12"/>
  <c r="EQ23"/>
  <c r="DR3"/>
  <c r="DZ14"/>
  <c r="DU21"/>
  <c r="DP28"/>
  <c r="DI25"/>
  <c r="DD6"/>
  <c r="CZ9"/>
  <c r="CT8"/>
  <c r="CV14"/>
  <c r="CX20"/>
  <c r="CE27"/>
  <c r="BZ28"/>
  <c r="BZ24"/>
  <c r="BZ21"/>
  <c r="BZ19"/>
  <c r="BZ17"/>
  <c r="BZ15"/>
  <c r="BZ13"/>
  <c r="BZ11"/>
  <c r="BZ9"/>
  <c r="BZ7"/>
  <c r="BZ5"/>
  <c r="BZ3"/>
  <c r="L5"/>
  <c r="J7"/>
  <c r="AO8"/>
  <c r="AM10"/>
  <c r="AK12"/>
  <c r="AI14"/>
  <c r="AG16"/>
  <c r="AE18"/>
  <c r="AC20"/>
  <c r="BQ39"/>
  <c r="AS46"/>
  <c r="FN49"/>
  <c r="CP54"/>
  <c r="EQ56"/>
  <c r="FN9"/>
  <c r="FF17"/>
  <c r="FO24"/>
  <c r="ET6"/>
  <c r="EJ12"/>
  <c r="EW17"/>
  <c r="EM23"/>
  <c r="EZ28"/>
  <c r="DN3"/>
  <c r="EB9"/>
  <c r="DW14"/>
  <c r="ED17"/>
  <c r="DR21"/>
  <c r="DY24"/>
  <c r="DM28"/>
  <c r="DT31"/>
  <c r="DG26"/>
  <c r="DH13"/>
  <c r="DA6"/>
  <c r="DA22"/>
  <c r="CZ12"/>
  <c r="CP5"/>
  <c r="CQ8"/>
  <c r="CR11"/>
  <c r="CS14"/>
  <c r="CT17"/>
  <c r="CU20"/>
  <c r="CV23"/>
  <c r="CW26"/>
  <c r="CX29"/>
  <c r="CC30"/>
  <c r="CC28"/>
  <c r="CC26"/>
  <c r="CC24"/>
  <c r="CC22"/>
  <c r="CC20"/>
  <c r="CC18"/>
  <c r="CC16"/>
  <c r="CC14"/>
  <c r="CC12"/>
  <c r="CC10"/>
  <c r="CC8"/>
  <c r="CC6"/>
  <c r="CC4"/>
  <c r="J4"/>
  <c r="AO5"/>
  <c r="AM7"/>
  <c r="AK9"/>
  <c r="AI11"/>
  <c r="AG13"/>
  <c r="AE15"/>
  <c r="AC17"/>
  <c r="AA19"/>
  <c r="Y21"/>
  <c r="W23"/>
  <c r="U25"/>
  <c r="S27"/>
  <c r="ES41"/>
  <c r="ES52"/>
  <c r="FT4"/>
  <c r="FU19"/>
  <c r="EJ3"/>
  <c r="EM14"/>
  <c r="EP25"/>
  <c r="DY5"/>
  <c r="EC15"/>
  <c r="DX22"/>
  <c r="DS29"/>
  <c r="DG21"/>
  <c r="DB12"/>
  <c r="CS3"/>
  <c r="CU9"/>
  <c r="CW15"/>
  <c r="CD22"/>
  <c r="CF28"/>
  <c r="BD28"/>
  <c r="BD24"/>
  <c r="BD20"/>
  <c r="BD16"/>
  <c r="BD12"/>
  <c r="BD8"/>
  <c r="BD4"/>
  <c r="AG6"/>
  <c r="AC10"/>
  <c r="Y14"/>
  <c r="EQ47"/>
  <c r="BC55"/>
  <c r="FG12"/>
  <c r="FH27"/>
  <c r="ER8"/>
  <c r="EU19"/>
  <c r="EX30"/>
  <c r="DO12"/>
  <c r="DO19"/>
  <c r="EC25"/>
  <c r="DJ8"/>
  <c r="DD27"/>
  <c r="CR6"/>
  <c r="CT12"/>
  <c r="CV18"/>
  <c r="CX24"/>
  <c r="CE31"/>
  <c r="BF30"/>
  <c r="BF26"/>
  <c r="BF22"/>
  <c r="BF18"/>
  <c r="BF14"/>
  <c r="BF10"/>
  <c r="BF6"/>
  <c r="AG4"/>
  <c r="AC8"/>
  <c r="Y12"/>
  <c r="EY40"/>
  <c r="ES51"/>
  <c r="FN4"/>
  <c r="FO19"/>
  <c r="FE5"/>
  <c r="EG14"/>
  <c r="EJ25"/>
  <c r="DS5"/>
  <c r="DZ15"/>
  <c r="DU22"/>
  <c r="DP29"/>
  <c r="DJ21"/>
  <c r="DC11"/>
  <c r="CP3"/>
  <c r="CR9"/>
  <c r="CT15"/>
  <c r="CV21"/>
  <c r="CX27"/>
  <c r="BG28"/>
  <c r="BG24"/>
  <c r="BG20"/>
  <c r="BG16"/>
  <c r="BG12"/>
  <c r="BG8"/>
  <c r="BG4"/>
  <c r="AD6"/>
  <c r="Z10"/>
  <c r="V14"/>
  <c r="AY47"/>
  <c r="FS54"/>
  <c r="FO9"/>
  <c r="FP24"/>
  <c r="EU6"/>
  <c r="EX17"/>
  <c r="FA28"/>
  <c r="EC9"/>
  <c r="DL18"/>
  <c r="DZ24"/>
  <c r="DU31"/>
  <c r="DG13"/>
  <c r="DB22"/>
  <c r="CQ5"/>
  <c r="CS11"/>
  <c r="CU17"/>
  <c r="CW23"/>
  <c r="CD30"/>
  <c r="CB30"/>
  <c r="CB26"/>
  <c r="CB22"/>
  <c r="CB18"/>
  <c r="CB14"/>
  <c r="CB10"/>
  <c r="CB6"/>
  <c r="K4"/>
  <c r="AN7"/>
  <c r="AJ11"/>
  <c r="AF15"/>
  <c r="AB19"/>
  <c r="W22"/>
  <c r="AE24"/>
  <c r="CA54"/>
  <c r="FL22"/>
  <c r="EI16"/>
  <c r="EC7"/>
  <c r="DZ23"/>
  <c r="DK16"/>
  <c r="CS4"/>
  <c r="CW16"/>
  <c r="CF29"/>
  <c r="BO27"/>
  <c r="BO19"/>
  <c r="BO11"/>
  <c r="BO3"/>
  <c r="Q11"/>
  <c r="T17"/>
  <c r="W21"/>
  <c r="AP23"/>
  <c r="U26"/>
  <c r="AA28"/>
  <c r="Y30"/>
  <c r="FK24"/>
  <c r="DQ21"/>
  <c r="CH16"/>
  <c r="AX19"/>
  <c r="AI10"/>
  <c r="AL23"/>
  <c r="N30"/>
  <c r="EV13"/>
  <c r="DC18"/>
  <c r="BK23"/>
  <c r="Q15"/>
  <c r="Z27"/>
  <c r="EY7"/>
  <c r="DH10"/>
  <c r="BN26"/>
  <c r="Q12"/>
  <c r="AE26"/>
  <c r="EX38"/>
  <c r="DG56"/>
  <c r="FM29"/>
  <c r="EN21"/>
  <c r="DT13"/>
  <c r="EC26"/>
  <c r="DK4"/>
  <c r="CP7"/>
  <c r="CT19"/>
  <c r="CX31"/>
  <c r="BS25"/>
  <c r="BS17"/>
  <c r="BS9"/>
  <c r="S5"/>
  <c r="K13"/>
  <c r="U18"/>
  <c r="K22"/>
  <c r="FC70"/>
  <c r="U74"/>
  <c r="EJ85"/>
  <c r="DI64"/>
  <c r="FF73"/>
  <c r="AR85"/>
  <c r="DR83"/>
  <c r="BA71"/>
  <c r="CX73"/>
  <c r="AG75"/>
  <c r="EP83"/>
  <c r="M69"/>
  <c r="BM81"/>
  <c r="AM75"/>
  <c r="BS73"/>
  <c r="M72"/>
  <c r="CH70"/>
  <c r="BJ64"/>
  <c r="AV89"/>
  <c r="DR86"/>
  <c r="DQ84"/>
  <c r="CK82"/>
  <c r="BA60"/>
  <c r="L60"/>
  <c r="EJ60"/>
  <c r="CU60"/>
  <c r="BN60"/>
  <c r="AO60"/>
  <c r="EF60"/>
  <c r="BL60"/>
  <c r="EM60"/>
  <c r="Z68"/>
  <c r="EO68"/>
  <c r="DP68"/>
  <c r="CQ68"/>
  <c r="BP68"/>
  <c r="AQ68"/>
  <c r="FO68"/>
  <c r="EB71"/>
  <c r="CM71"/>
  <c r="BA63"/>
  <c r="L63"/>
  <c r="EJ63"/>
  <c r="CU63"/>
  <c r="BN63"/>
  <c r="AG63"/>
  <c r="DH63"/>
  <c r="X63"/>
  <c r="DO63"/>
  <c r="DD74"/>
  <c r="BO74"/>
  <c r="AC66"/>
  <c r="FA66"/>
  <c r="DL66"/>
  <c r="BW66"/>
  <c r="AP66"/>
  <c r="FN66"/>
  <c r="CJ66"/>
  <c r="P66"/>
  <c r="CQ66"/>
  <c r="CN75"/>
  <c r="AY75"/>
  <c r="CW67"/>
  <c r="BH67"/>
  <c r="S67"/>
  <c r="EQ67"/>
  <c r="DJ67"/>
  <c r="DY67"/>
  <c r="AE67"/>
  <c r="DP67"/>
  <c r="FI69"/>
  <c r="EO60"/>
  <c r="DP75"/>
  <c r="DR74"/>
  <c r="DV71"/>
  <c r="BA69"/>
  <c r="N66"/>
  <c r="CH60"/>
  <c r="DA69"/>
  <c r="BL69"/>
  <c r="W69"/>
  <c r="EU69"/>
  <c r="DD69"/>
  <c r="BO69"/>
  <c r="AC61"/>
  <c r="FA61"/>
  <c r="DL61"/>
  <c r="BW61"/>
  <c r="AP61"/>
  <c r="FN61"/>
  <c r="BL61"/>
  <c r="EM61"/>
  <c r="BS61"/>
  <c r="CJ84"/>
  <c r="AU84"/>
  <c r="FS84"/>
  <c r="ED84"/>
  <c r="CO84"/>
  <c r="CN84"/>
  <c r="FO84"/>
  <c r="CE84"/>
  <c r="FV84"/>
  <c r="EB72"/>
  <c r="CM72"/>
  <c r="BA64"/>
  <c r="L64"/>
  <c r="EJ64"/>
  <c r="CU64"/>
  <c r="FG64"/>
  <c r="BN64"/>
  <c r="DZ64"/>
  <c r="AO64"/>
  <c r="FM64"/>
  <c r="EF64"/>
  <c r="CY64"/>
  <c r="BL64"/>
  <c r="O64"/>
  <c r="EM64"/>
  <c r="N69"/>
  <c r="N61"/>
  <c r="ES69"/>
  <c r="EP68"/>
  <c r="BZ66"/>
  <c r="BR61"/>
  <c r="FO75"/>
  <c r="CT75"/>
  <c r="O75"/>
  <c r="CS74"/>
  <c r="M74"/>
  <c r="CQ73"/>
  <c r="FK72"/>
  <c r="CC72"/>
  <c r="FI71"/>
  <c r="CA71"/>
  <c r="ET69"/>
  <c r="ES68"/>
  <c r="CH67"/>
  <c r="BZ65"/>
  <c r="AD63"/>
  <c r="AD60"/>
  <c r="AR73"/>
  <c r="DD73"/>
  <c r="FP73"/>
  <c r="BO73"/>
  <c r="EA73"/>
  <c r="AC65"/>
  <c r="CO65"/>
  <c r="FA65"/>
  <c r="AZ65"/>
  <c r="DL65"/>
  <c r="K65"/>
  <c r="BW65"/>
  <c r="EI65"/>
  <c r="AP65"/>
  <c r="DB65"/>
  <c r="FN65"/>
  <c r="DI65"/>
  <c r="BL65"/>
  <c r="O65"/>
  <c r="EM65"/>
  <c r="CZ65"/>
  <c r="BS65"/>
  <c r="DR69"/>
  <c r="EV71"/>
  <c r="BN71"/>
  <c r="FG75"/>
  <c r="CL75"/>
  <c r="FR74"/>
  <c r="CJ74"/>
  <c r="FN73"/>
  <c r="CH73"/>
  <c r="FL72"/>
  <c r="CD72"/>
  <c r="FJ71"/>
  <c r="CB71"/>
  <c r="EX69"/>
  <c r="ET68"/>
  <c r="CK67"/>
  <c r="CH65"/>
  <c r="BZ63"/>
  <c r="BZ60"/>
  <c r="DM68"/>
  <c r="EP69"/>
  <c r="CW74"/>
  <c r="FU71"/>
  <c r="CO71"/>
  <c r="FV69"/>
  <c r="FR68"/>
  <c r="EG67"/>
  <c r="ED65"/>
  <c r="DV63"/>
  <c r="DV60"/>
  <c r="U62"/>
  <c r="CG62"/>
  <c r="ES62"/>
  <c r="AR62"/>
  <c r="DD62"/>
  <c r="FP62"/>
  <c r="BO62"/>
  <c r="EA62"/>
  <c r="AH62"/>
  <c r="CT62"/>
  <c r="FF62"/>
  <c r="ER70"/>
  <c r="CF70"/>
  <c r="T70"/>
  <c r="BL62"/>
  <c r="DC87"/>
  <c r="EA86"/>
  <c r="EY85"/>
  <c r="AA85"/>
  <c r="BT85"/>
  <c r="EF85"/>
  <c r="AE85"/>
  <c r="CQ85"/>
  <c r="FC85"/>
  <c r="BB85"/>
  <c r="DN85"/>
  <c r="M85"/>
  <c r="BY85"/>
  <c r="EK85"/>
  <c r="AN86"/>
  <c r="CZ86"/>
  <c r="FL86"/>
  <c r="BK86"/>
  <c r="DW86"/>
  <c r="V86"/>
  <c r="CH86"/>
  <c r="ET86"/>
  <c r="AS86"/>
  <c r="DE86"/>
  <c r="FQ86"/>
  <c r="BT87"/>
  <c r="EF87"/>
  <c r="AE87"/>
  <c r="CQ87"/>
  <c r="FC87"/>
  <c r="BB87"/>
  <c r="DN87"/>
  <c r="M87"/>
  <c r="BY87"/>
  <c r="EK87"/>
  <c r="DI80"/>
  <c r="CL81"/>
  <c r="BF80"/>
  <c r="EQ81"/>
  <c r="FP89"/>
  <c r="DD89"/>
  <c r="AR89"/>
  <c r="ER88"/>
  <c r="CF88"/>
  <c r="T88"/>
  <c r="DT83"/>
  <c r="BH83"/>
  <c r="FH82"/>
  <c r="CV82"/>
  <c r="AJ82"/>
  <c r="EJ81"/>
  <c r="BX81"/>
  <c r="L81"/>
  <c r="DL80"/>
  <c r="AZ80"/>
  <c r="CL83"/>
  <c r="FM62"/>
  <c r="DJ73"/>
  <c r="AA83"/>
  <c r="FV83"/>
  <c r="EI70"/>
  <c r="CS81"/>
  <c r="BC75"/>
  <c r="CI73"/>
  <c r="Y72"/>
  <c r="CQ70"/>
  <c r="EO64"/>
  <c r="CB89"/>
  <c r="EI86"/>
  <c r="Q85"/>
  <c r="DH82"/>
  <c r="AS60"/>
  <c r="FQ60"/>
  <c r="EB60"/>
  <c r="CM60"/>
  <c r="BF60"/>
  <c r="Y60"/>
  <c r="DP60"/>
  <c r="AV60"/>
  <c r="DW60"/>
  <c r="R68"/>
  <c r="EG68"/>
  <c r="DH68"/>
  <c r="CI68"/>
  <c r="BH68"/>
  <c r="AE68"/>
  <c r="FG68"/>
  <c r="DT71"/>
  <c r="CE71"/>
  <c r="AS63"/>
  <c r="FQ63"/>
  <c r="EB63"/>
  <c r="CM63"/>
  <c r="BF63"/>
  <c r="Q63"/>
  <c r="CR63"/>
  <c r="FS63"/>
  <c r="CY63"/>
  <c r="CV74"/>
  <c r="BG74"/>
  <c r="U66"/>
  <c r="ES66"/>
  <c r="DD66"/>
  <c r="BO66"/>
  <c r="AH66"/>
  <c r="FF66"/>
  <c r="BT66"/>
  <c r="FK66"/>
  <c r="CA66"/>
  <c r="CF75"/>
  <c r="AQ75"/>
  <c r="CO67"/>
  <c r="AZ67"/>
  <c r="K67"/>
  <c r="EI67"/>
  <c r="DB67"/>
  <c r="DI67"/>
  <c r="O67"/>
  <c r="CZ67"/>
  <c r="FU60"/>
  <c r="V61"/>
  <c r="DY75"/>
  <c r="ED74"/>
  <c r="EF71"/>
  <c r="BV69"/>
  <c r="BB66"/>
  <c r="DY60"/>
  <c r="CS69"/>
  <c r="BD69"/>
  <c r="O69"/>
  <c r="EM69"/>
  <c r="CV69"/>
  <c r="BG69"/>
  <c r="U61"/>
  <c r="ES61"/>
  <c r="DD61"/>
  <c r="BO61"/>
  <c r="AH61"/>
  <c r="FF61"/>
  <c r="AV61"/>
  <c r="DW61"/>
  <c r="BC61"/>
  <c r="CB84"/>
  <c r="AM84"/>
  <c r="FK84"/>
  <c r="DV84"/>
  <c r="CG84"/>
  <c r="BX84"/>
  <c r="EY84"/>
  <c r="BO84"/>
  <c r="FF84"/>
  <c r="DT72"/>
  <c r="CE72"/>
  <c r="AS64"/>
  <c r="FQ64"/>
  <c r="EB64"/>
  <c r="CM64"/>
  <c r="EY64"/>
  <c r="BF64"/>
  <c r="DR64"/>
  <c r="Y64"/>
  <c r="EW64"/>
  <c r="DP64"/>
  <c r="CI64"/>
  <c r="AV64"/>
  <c r="FT64"/>
  <c r="DW64"/>
  <c r="AK69"/>
  <c r="BE61"/>
  <c r="FN69"/>
  <c r="FJ68"/>
  <c r="DN66"/>
  <c r="DF61"/>
  <c r="J63"/>
  <c r="DC75"/>
  <c r="Y75"/>
  <c r="DE74"/>
  <c r="W74"/>
  <c r="DA73"/>
  <c r="FU72"/>
  <c r="CO72"/>
  <c r="FS71"/>
  <c r="CK71"/>
  <c r="FQ69"/>
  <c r="FN68"/>
  <c r="DV67"/>
  <c r="DQ65"/>
  <c r="BU63"/>
  <c r="BR60"/>
  <c r="AJ73"/>
  <c r="CV73"/>
  <c r="FH73"/>
  <c r="BG73"/>
  <c r="DS73"/>
  <c r="U65"/>
  <c r="CG65"/>
  <c r="ES65"/>
  <c r="AR65"/>
  <c r="DD65"/>
  <c r="FP65"/>
  <c r="BO65"/>
  <c r="EA65"/>
  <c r="AH65"/>
  <c r="CT65"/>
  <c r="FF65"/>
  <c r="CS65"/>
  <c r="AV65"/>
  <c r="FT65"/>
  <c r="DW65"/>
  <c r="CJ65"/>
  <c r="BC65"/>
  <c r="ED60"/>
  <c r="FF71"/>
  <c r="BZ71"/>
  <c r="FQ75"/>
  <c r="CU75"/>
  <c r="P75"/>
  <c r="CT74"/>
  <c r="N74"/>
  <c r="CR73"/>
  <c r="FV72"/>
  <c r="CP72"/>
  <c r="FT71"/>
  <c r="CL71"/>
  <c r="FR69"/>
  <c r="FQ68"/>
  <c r="ED67"/>
  <c r="DV65"/>
  <c r="DQ63"/>
  <c r="DN60"/>
  <c r="EH68"/>
  <c r="EL60"/>
  <c r="DG74"/>
  <c r="Y74"/>
  <c r="CY71"/>
  <c r="Q71"/>
  <c r="AC69"/>
  <c r="N68"/>
  <c r="FR65"/>
  <c r="FM63"/>
  <c r="FJ60"/>
  <c r="M62"/>
  <c r="BY62"/>
  <c r="EK62"/>
  <c r="AJ62"/>
  <c r="CV62"/>
  <c r="FH62"/>
  <c r="BG62"/>
  <c r="DS62"/>
  <c r="Z62"/>
  <c r="CL62"/>
  <c r="EX62"/>
  <c r="EZ70"/>
  <c r="CN70"/>
  <c r="AB70"/>
  <c r="CB62"/>
  <c r="DS87"/>
  <c r="EQ86"/>
  <c r="FO85"/>
  <c r="AQ85"/>
  <c r="BL85"/>
  <c r="DX85"/>
  <c r="W85"/>
  <c r="CI85"/>
  <c r="EU85"/>
  <c r="AT85"/>
  <c r="DF85"/>
  <c r="FR85"/>
  <c r="BQ85"/>
  <c r="EC85"/>
  <c r="AF86"/>
  <c r="CR86"/>
  <c r="FD86"/>
  <c r="BC86"/>
  <c r="DO86"/>
  <c r="N86"/>
  <c r="BZ86"/>
  <c r="EL86"/>
  <c r="AK86"/>
  <c r="CW86"/>
  <c r="FI86"/>
  <c r="BL87"/>
  <c r="DX87"/>
  <c r="W87"/>
  <c r="CI87"/>
  <c r="EU87"/>
  <c r="AT87"/>
  <c r="DF87"/>
  <c r="FR87"/>
  <c r="BQ87"/>
  <c r="EC87"/>
  <c r="EG80"/>
  <c r="DJ81"/>
  <c r="CD80"/>
  <c r="AA82"/>
  <c r="J81"/>
  <c r="DL89"/>
  <c r="AZ89"/>
  <c r="EZ88"/>
  <c r="CN88"/>
  <c r="AB88"/>
  <c r="EB83"/>
  <c r="BP83"/>
  <c r="FP82"/>
  <c r="DD82"/>
  <c r="AR82"/>
  <c r="ER81"/>
  <c r="CF81"/>
  <c r="T81"/>
  <c r="DT80"/>
  <c r="BH80"/>
  <c r="AP83"/>
  <c r="EV62"/>
  <c r="FS73"/>
  <c r="AQ83"/>
  <c r="CT86"/>
  <c r="ES70"/>
  <c r="FE81"/>
  <c r="ES75"/>
  <c r="FA73"/>
  <c r="CS72"/>
  <c r="EK70"/>
  <c r="DF67"/>
  <c r="AG62"/>
  <c r="BM87"/>
  <c r="DB85"/>
  <c r="AN83"/>
  <c r="K87"/>
  <c r="EC60"/>
  <c r="CN60"/>
  <c r="AY60"/>
  <c r="R60"/>
  <c r="EP60"/>
  <c r="AN60"/>
  <c r="EE60"/>
  <c r="AU60"/>
  <c r="AJ68"/>
  <c r="CS68"/>
  <c r="BT68"/>
  <c r="AU68"/>
  <c r="FS68"/>
  <c r="ER68"/>
  <c r="DS68"/>
  <c r="CF71"/>
  <c r="AQ71"/>
  <c r="FO71"/>
  <c r="EC63"/>
  <c r="CN63"/>
  <c r="AY63"/>
  <c r="R63"/>
  <c r="EP63"/>
  <c r="P63"/>
  <c r="CQ63"/>
  <c r="W63"/>
  <c r="BH74"/>
  <c r="S74"/>
  <c r="EQ74"/>
  <c r="DE66"/>
  <c r="BP66"/>
  <c r="AA66"/>
  <c r="EY66"/>
  <c r="DR66"/>
  <c r="EW66"/>
  <c r="CI66"/>
  <c r="FT66"/>
  <c r="AR75"/>
  <c r="FP75"/>
  <c r="BA67"/>
  <c r="L67"/>
  <c r="EJ67"/>
  <c r="CU67"/>
  <c r="BN67"/>
  <c r="AG67"/>
  <c r="DH67"/>
  <c r="X67"/>
  <c r="DO67"/>
  <c r="BF68"/>
  <c r="FS75"/>
  <c r="R75"/>
  <c r="P74"/>
  <c r="R71"/>
  <c r="CX67"/>
  <c r="AT63"/>
  <c r="BE69"/>
  <c r="P69"/>
  <c r="EN69"/>
  <c r="CY69"/>
  <c r="BH69"/>
  <c r="S69"/>
  <c r="EQ69"/>
  <c r="DE61"/>
  <c r="BP61"/>
  <c r="AA61"/>
  <c r="EY61"/>
  <c r="DR61"/>
  <c r="EO61"/>
  <c r="AU61"/>
  <c r="EF61"/>
  <c r="AN84"/>
  <c r="FL84"/>
  <c r="DW84"/>
  <c r="CH84"/>
  <c r="AS84"/>
  <c r="FQ84"/>
  <c r="BW84"/>
  <c r="FN84"/>
  <c r="CD84"/>
  <c r="CF72"/>
  <c r="AQ72"/>
  <c r="FO72"/>
  <c r="EC64"/>
  <c r="CN64"/>
  <c r="AY64"/>
  <c r="EQ64"/>
  <c r="AX64"/>
  <c r="DJ64"/>
  <c r="FV64"/>
  <c r="EG64"/>
  <c r="CZ64"/>
  <c r="BS64"/>
  <c r="AF64"/>
  <c r="FD64"/>
  <c r="DG64"/>
  <c r="CW69"/>
  <c r="CX61"/>
  <c r="BZ68"/>
  <c r="U69"/>
  <c r="FE66"/>
  <c r="EW61"/>
  <c r="J72"/>
  <c r="DM75"/>
  <c r="AK75"/>
  <c r="DO74"/>
  <c r="AG74"/>
  <c r="DM73"/>
  <c r="AE73"/>
  <c r="CY72"/>
  <c r="Q72"/>
  <c r="CW71"/>
  <c r="O71"/>
  <c r="V69"/>
  <c r="FM67"/>
  <c r="FJ65"/>
  <c r="DN63"/>
  <c r="DI60"/>
  <c r="AB73"/>
  <c r="CN73"/>
  <c r="EZ73"/>
  <c r="AY73"/>
  <c r="DK73"/>
  <c r="M65"/>
  <c r="BY65"/>
  <c r="EK65"/>
  <c r="AJ65"/>
  <c r="CV65"/>
  <c r="FH65"/>
  <c r="BG65"/>
  <c r="DS65"/>
  <c r="Z65"/>
  <c r="CL65"/>
  <c r="EX65"/>
  <c r="CC65"/>
  <c r="AF65"/>
  <c r="FD65"/>
  <c r="DG65"/>
  <c r="BT65"/>
  <c r="AM65"/>
  <c r="FK65"/>
  <c r="FR71"/>
  <c r="CJ71"/>
  <c r="J73"/>
  <c r="DE75"/>
  <c r="Z75"/>
  <c r="DF74"/>
  <c r="X74"/>
  <c r="DB73"/>
  <c r="V73"/>
  <c r="CZ72"/>
  <c r="R72"/>
  <c r="CX71"/>
  <c r="P71"/>
  <c r="Z69"/>
  <c r="FR67"/>
  <c r="FM65"/>
  <c r="FJ63"/>
  <c r="FE60"/>
  <c r="FB68"/>
  <c r="BF69"/>
  <c r="DQ74"/>
  <c r="AK74"/>
  <c r="DI71"/>
  <c r="AC71"/>
  <c r="AX69"/>
  <c r="AT68"/>
  <c r="AW66"/>
  <c r="AT64"/>
  <c r="AO61"/>
  <c r="T84"/>
  <c r="BQ62"/>
  <c r="EC62"/>
  <c r="AB62"/>
  <c r="CN62"/>
  <c r="EZ62"/>
  <c r="AY62"/>
  <c r="DK62"/>
  <c r="R62"/>
  <c r="CD62"/>
  <c r="EP62"/>
  <c r="FH70"/>
  <c r="CV70"/>
  <c r="AJ70"/>
  <c r="CR62"/>
  <c r="EI87"/>
  <c r="FG86"/>
  <c r="AI86"/>
  <c r="BG85"/>
  <c r="BD85"/>
  <c r="DP85"/>
  <c r="O85"/>
  <c r="CA85"/>
  <c r="EM85"/>
  <c r="AL85"/>
  <c r="CX85"/>
  <c r="FJ85"/>
  <c r="BI85"/>
  <c r="DU85"/>
  <c r="X86"/>
  <c r="CJ86"/>
  <c r="EV86"/>
  <c r="AU86"/>
  <c r="DG86"/>
  <c r="FS86"/>
  <c r="BR86"/>
  <c r="ED86"/>
  <c r="AC86"/>
  <c r="CO86"/>
  <c r="FA86"/>
  <c r="BD87"/>
  <c r="DP87"/>
  <c r="O87"/>
  <c r="CA87"/>
  <c r="EM87"/>
  <c r="AL87"/>
  <c r="CX87"/>
  <c r="FJ87"/>
  <c r="BI87"/>
  <c r="DU87"/>
  <c r="FE80"/>
  <c r="EP81"/>
  <c r="DB80"/>
  <c r="BO82"/>
  <c r="J89"/>
  <c r="DT89"/>
  <c r="BH89"/>
  <c r="FH88"/>
  <c r="CV88"/>
  <c r="AJ88"/>
  <c r="EJ83"/>
  <c r="BX83"/>
  <c r="L83"/>
  <c r="DL82"/>
  <c r="AZ82"/>
  <c r="EZ81"/>
  <c r="CN81"/>
  <c r="AB81"/>
  <c r="EB80"/>
  <c r="BP80"/>
  <c r="DO70"/>
  <c r="DU70"/>
  <c r="EP73"/>
  <c r="AI85"/>
  <c r="BV70"/>
  <c r="DK75"/>
  <c r="AR86"/>
  <c r="AW64"/>
  <c r="AO74"/>
  <c r="EK72"/>
  <c r="FL70"/>
  <c r="V70"/>
  <c r="CJ62"/>
  <c r="DL87"/>
  <c r="FF85"/>
  <c r="CJ83"/>
  <c r="BT81"/>
  <c r="DE60"/>
  <c r="BP60"/>
  <c r="AA60"/>
  <c r="EY60"/>
  <c r="DR60"/>
  <c r="EW60"/>
  <c r="CI60"/>
  <c r="FT60"/>
  <c r="L68"/>
  <c r="BU68"/>
  <c r="AV68"/>
  <c r="FT68"/>
  <c r="EU68"/>
  <c r="DT68"/>
  <c r="CU68"/>
  <c r="BH71"/>
  <c r="S71"/>
  <c r="EQ71"/>
  <c r="DE63"/>
  <c r="BP63"/>
  <c r="AA63"/>
  <c r="EY63"/>
  <c r="DR63"/>
  <c r="EO63"/>
  <c r="AU63"/>
  <c r="EF63"/>
  <c r="AJ74"/>
  <c r="FH74"/>
  <c r="DS74"/>
  <c r="CG66"/>
  <c r="AR66"/>
  <c r="FP66"/>
  <c r="EA66"/>
  <c r="CT66"/>
  <c r="DA66"/>
  <c r="AM66"/>
  <c r="DX66"/>
  <c r="T75"/>
  <c r="ER75"/>
  <c r="AC67"/>
  <c r="FA67"/>
  <c r="DL67"/>
  <c r="BW67"/>
  <c r="AP67"/>
  <c r="FN67"/>
  <c r="BL67"/>
  <c r="EM67"/>
  <c r="BS67"/>
  <c r="FI68"/>
  <c r="O74"/>
  <c r="AX75"/>
  <c r="AV74"/>
  <c r="AX71"/>
  <c r="AX68"/>
  <c r="FR63"/>
  <c r="AG69"/>
  <c r="FE69"/>
  <c r="DP69"/>
  <c r="CA69"/>
  <c r="AJ69"/>
  <c r="FH69"/>
  <c r="DS69"/>
  <c r="CG61"/>
  <c r="AR61"/>
  <c r="FP61"/>
  <c r="EA61"/>
  <c r="CT61"/>
  <c r="CS61"/>
  <c r="FT61"/>
  <c r="CJ61"/>
  <c r="P84"/>
  <c r="EN84"/>
  <c r="CY84"/>
  <c r="BJ84"/>
  <c r="U84"/>
  <c r="ES84"/>
  <c r="AA84"/>
  <c r="DR84"/>
  <c r="AH84"/>
  <c r="BH72"/>
  <c r="S72"/>
  <c r="EQ72"/>
  <c r="DE64"/>
  <c r="BP64"/>
  <c r="AA64"/>
  <c r="DS64"/>
  <c r="Z64"/>
  <c r="CL64"/>
  <c r="EX64"/>
  <c r="CK64"/>
  <c r="BD64"/>
  <c r="W64"/>
  <c r="EU64"/>
  <c r="DH64"/>
  <c r="BK64"/>
  <c r="CP60"/>
  <c r="BY68"/>
  <c r="FJ69"/>
  <c r="CG69"/>
  <c r="CD68"/>
  <c r="DF63"/>
  <c r="DF60"/>
  <c r="EN75"/>
  <c r="BQ75"/>
  <c r="EU74"/>
  <c r="BM74"/>
  <c r="ES73"/>
  <c r="BK73"/>
  <c r="EE72"/>
  <c r="AW72"/>
  <c r="EC71"/>
  <c r="AU71"/>
  <c r="CH69"/>
  <c r="CG68"/>
  <c r="DV66"/>
  <c r="BZ64"/>
  <c r="BU61"/>
  <c r="AZ84"/>
  <c r="BP73"/>
  <c r="EB73"/>
  <c r="AA73"/>
  <c r="CM73"/>
  <c r="EY73"/>
  <c r="BA65"/>
  <c r="DM65"/>
  <c r="L65"/>
  <c r="BX65"/>
  <c r="EJ65"/>
  <c r="AI65"/>
  <c r="CU65"/>
  <c r="FG65"/>
  <c r="BN65"/>
  <c r="DZ65"/>
  <c r="AG65"/>
  <c r="FE65"/>
  <c r="DH65"/>
  <c r="BK65"/>
  <c r="X65"/>
  <c r="EV65"/>
  <c r="DO65"/>
  <c r="N60"/>
  <c r="DP71"/>
  <c r="AH71"/>
  <c r="EF75"/>
  <c r="BF75"/>
  <c r="EL74"/>
  <c r="BD74"/>
  <c r="EH73"/>
  <c r="BB73"/>
  <c r="EF72"/>
  <c r="AX72"/>
  <c r="ED71"/>
  <c r="AV71"/>
  <c r="CL69"/>
  <c r="CH68"/>
  <c r="DY66"/>
  <c r="DV64"/>
  <c r="DQ61"/>
  <c r="CV84"/>
  <c r="BA68"/>
  <c r="EW74"/>
  <c r="BQ74"/>
  <c r="EO71"/>
  <c r="BI71"/>
  <c r="DJ69"/>
  <c r="DF68"/>
  <c r="FU66"/>
  <c r="FR64"/>
  <c r="FM61"/>
  <c r="ER84"/>
  <c r="AS62"/>
  <c r="DE62"/>
  <c r="FQ62"/>
  <c r="BP62"/>
  <c r="EB62"/>
  <c r="AA62"/>
  <c r="CM62"/>
  <c r="EY62"/>
  <c r="BF62"/>
  <c r="DR62"/>
  <c r="J70"/>
  <c r="DT70"/>
  <c r="BH70"/>
  <c r="EN62"/>
  <c r="P62"/>
  <c r="BG87"/>
  <c r="CE86"/>
  <c r="DC85"/>
  <c r="AF85"/>
  <c r="CR85"/>
  <c r="FD85"/>
  <c r="BC85"/>
  <c r="DO85"/>
  <c r="N85"/>
  <c r="BZ85"/>
  <c r="EL85"/>
  <c r="AK85"/>
  <c r="CW85"/>
  <c r="FI85"/>
  <c r="BL86"/>
  <c r="DX86"/>
  <c r="W86"/>
  <c r="CI86"/>
  <c r="EU86"/>
  <c r="AT86"/>
  <c r="DF86"/>
  <c r="FR86"/>
  <c r="BQ86"/>
  <c r="EC86"/>
  <c r="AF87"/>
  <c r="CR87"/>
  <c r="FD87"/>
  <c r="BC87"/>
  <c r="DO87"/>
  <c r="N87"/>
  <c r="BZ87"/>
  <c r="EL87"/>
  <c r="AK87"/>
  <c r="CW87"/>
  <c r="FI87"/>
  <c r="AW80"/>
  <c r="FV80"/>
  <c r="FO82"/>
  <c r="AQ81"/>
  <c r="ER89"/>
  <c r="CF89"/>
  <c r="T89"/>
  <c r="DT88"/>
  <c r="BH88"/>
  <c r="FH83"/>
  <c r="CV83"/>
  <c r="AJ83"/>
  <c r="EJ82"/>
  <c r="BX82"/>
  <c r="L82"/>
  <c r="DL81"/>
  <c r="AZ81"/>
  <c r="EZ80"/>
  <c r="CN80"/>
  <c r="EA75"/>
  <c r="AZ85"/>
  <c r="CJ70"/>
  <c r="CZ74"/>
  <c r="R85"/>
  <c r="EV81"/>
  <c r="FL73"/>
  <c r="AH87"/>
  <c r="EE62"/>
  <c r="AI83"/>
  <c r="CC87"/>
  <c r="BK71"/>
  <c r="AN88"/>
  <c r="W72"/>
  <c r="AY87"/>
  <c r="EO89"/>
  <c r="BI73"/>
  <c r="EG74"/>
  <c r="BF86"/>
  <c r="W71"/>
  <c r="S87"/>
  <c r="CZ80"/>
  <c r="DA85"/>
  <c r="EL62"/>
  <c r="EX73"/>
  <c r="DA82"/>
  <c r="AD64"/>
  <c r="Q75"/>
  <c r="O89"/>
  <c r="DJ70"/>
  <c r="FT73"/>
  <c r="BY71"/>
  <c r="P82"/>
  <c r="FA74"/>
  <c r="V62"/>
  <c r="BO83"/>
  <c r="AW62"/>
  <c r="DF72"/>
  <c r="BL82"/>
  <c r="AN89"/>
  <c r="FK74"/>
  <c r="O81"/>
  <c r="DA70"/>
  <c r="CR82"/>
  <c r="CQ74"/>
  <c r="AH82"/>
  <c r="BI75"/>
  <c r="CP62"/>
  <c r="AY83"/>
  <c r="AE62"/>
  <c r="CR72"/>
  <c r="R82"/>
  <c r="FL88"/>
  <c r="Y73"/>
  <c r="BP87"/>
  <c r="CR70"/>
  <c r="DJ82"/>
  <c r="DM74"/>
  <c r="AO86"/>
  <c r="EY70"/>
  <c r="FK62"/>
  <c r="BR62"/>
  <c r="FB70"/>
  <c r="R74"/>
  <c r="CD82"/>
  <c r="EG86"/>
  <c r="BD70"/>
  <c r="DU74"/>
  <c r="FH86"/>
  <c r="AO84"/>
  <c r="BZ70"/>
  <c r="FU74"/>
  <c r="AX74"/>
  <c r="M75"/>
  <c r="Q64"/>
  <c r="CB82"/>
  <c r="BL72"/>
  <c r="S85"/>
  <c r="AL67"/>
  <c r="Q83"/>
  <c r="EA83"/>
  <c r="FN87"/>
  <c r="AV70"/>
  <c r="N73"/>
  <c r="BH86"/>
  <c r="CX63"/>
  <c r="FN71"/>
  <c r="K83"/>
  <c r="DI66"/>
  <c r="CC89"/>
  <c r="CJ73"/>
  <c r="EG82"/>
  <c r="EW70"/>
  <c r="DB71"/>
  <c r="BW86"/>
  <c r="FE70"/>
  <c r="DR75"/>
  <c r="EQ87"/>
  <c r="FR70"/>
  <c r="CT87"/>
  <c r="K70"/>
  <c r="DR72"/>
  <c r="EP75"/>
  <c r="CK84"/>
  <c r="FB62"/>
  <c r="EK71"/>
  <c r="EH82"/>
  <c r="CX65"/>
  <c r="Q89"/>
  <c r="BF73"/>
  <c r="FV82"/>
  <c r="FO70"/>
  <c r="FE71"/>
  <c r="DI86"/>
  <c r="O72"/>
  <c r="CZ82"/>
  <c r="BM89"/>
  <c r="FM71"/>
  <c r="BU75"/>
  <c r="BK74"/>
  <c r="CW73"/>
  <c r="EW72"/>
  <c r="AO72"/>
  <c r="FU70"/>
  <c r="CZ70"/>
  <c r="AE70"/>
  <c r="BJ65"/>
  <c r="DA62"/>
  <c r="DH89"/>
  <c r="EG87"/>
  <c r="EZ86"/>
  <c r="K86"/>
  <c r="AH85"/>
  <c r="CZ83"/>
  <c r="DZ82"/>
  <c r="CZ81"/>
  <c r="AK60"/>
  <c r="CW60"/>
  <c r="FI60"/>
  <c r="BH60"/>
  <c r="DT60"/>
  <c r="S60"/>
  <c r="CE60"/>
  <c r="EQ60"/>
  <c r="AX60"/>
  <c r="DJ60"/>
  <c r="FV60"/>
  <c r="EG60"/>
  <c r="CZ60"/>
  <c r="BS60"/>
  <c r="AF60"/>
  <c r="FD60"/>
  <c r="DG60"/>
  <c r="AK68"/>
  <c r="AI68"/>
  <c r="BM68"/>
  <c r="DY68"/>
  <c r="AN68"/>
  <c r="CZ68"/>
  <c r="FL68"/>
  <c r="CA68"/>
  <c r="EM68"/>
  <c r="AZ68"/>
  <c r="DL68"/>
  <c r="O68"/>
  <c r="CM68"/>
  <c r="EY68"/>
  <c r="AZ71"/>
  <c r="DL71"/>
  <c r="K71"/>
  <c r="BW71"/>
  <c r="EI71"/>
  <c r="AK63"/>
  <c r="CW63"/>
  <c r="FI63"/>
  <c r="BH63"/>
  <c r="DT63"/>
  <c r="S63"/>
  <c r="CE63"/>
  <c r="EQ63"/>
  <c r="AX63"/>
  <c r="DJ63"/>
  <c r="FV63"/>
  <c r="DY63"/>
  <c r="CB63"/>
  <c r="AE63"/>
  <c r="FC63"/>
  <c r="DP63"/>
  <c r="CI63"/>
  <c r="AB74"/>
  <c r="CN74"/>
  <c r="EZ74"/>
  <c r="AY74"/>
  <c r="DK74"/>
  <c r="M66"/>
  <c r="BY66"/>
  <c r="EK66"/>
  <c r="AJ66"/>
  <c r="CV66"/>
  <c r="FH66"/>
  <c r="BG66"/>
  <c r="DS66"/>
  <c r="Z66"/>
  <c r="CL66"/>
  <c r="EX66"/>
  <c r="CK66"/>
  <c r="BD66"/>
  <c r="W66"/>
  <c r="EU66"/>
  <c r="DH66"/>
  <c r="BK66"/>
  <c r="L75"/>
  <c r="BX75"/>
  <c r="EJ75"/>
  <c r="AI75"/>
  <c r="U67"/>
  <c r="CG67"/>
  <c r="ES67"/>
  <c r="AR67"/>
  <c r="DD67"/>
  <c r="FP67"/>
  <c r="BO67"/>
  <c r="EA67"/>
  <c r="AH67"/>
  <c r="CT67"/>
  <c r="FF67"/>
  <c r="CS67"/>
  <c r="AV67"/>
  <c r="FT67"/>
  <c r="DW67"/>
  <c r="CJ67"/>
  <c r="BC67"/>
  <c r="J60"/>
  <c r="AL69"/>
  <c r="BJ61"/>
  <c r="J74"/>
  <c r="EH75"/>
  <c r="BJ75"/>
  <c r="EN74"/>
  <c r="BF74"/>
  <c r="EP71"/>
  <c r="BJ71"/>
  <c r="CP69"/>
  <c r="BR68"/>
  <c r="CS66"/>
  <c r="CP64"/>
  <c r="FR60"/>
  <c r="Y69"/>
  <c r="CK69"/>
  <c r="EW69"/>
  <c r="AV69"/>
  <c r="DH69"/>
  <c r="FT69"/>
  <c r="BS69"/>
  <c r="EE69"/>
  <c r="AB69"/>
  <c r="CN69"/>
  <c r="EZ69"/>
  <c r="AY69"/>
  <c r="DK69"/>
  <c r="M61"/>
  <c r="BY61"/>
  <c r="EK61"/>
  <c r="AJ61"/>
  <c r="CV61"/>
  <c r="FH61"/>
  <c r="BG61"/>
  <c r="DS61"/>
  <c r="Z61"/>
  <c r="CL61"/>
  <c r="EX61"/>
  <c r="CC61"/>
  <c r="AF61"/>
  <c r="FD61"/>
  <c r="DG61"/>
  <c r="BT61"/>
  <c r="AM61"/>
  <c r="FK61"/>
  <c r="BT84"/>
  <c r="EF84"/>
  <c r="AE84"/>
  <c r="CQ84"/>
  <c r="FC84"/>
  <c r="BB84"/>
  <c r="DN84"/>
  <c r="M84"/>
  <c r="BY84"/>
  <c r="EK84"/>
  <c r="BH84"/>
  <c r="K84"/>
  <c r="EI84"/>
  <c r="DB84"/>
  <c r="AY84"/>
  <c r="R84"/>
  <c r="EP84"/>
  <c r="AZ72"/>
  <c r="DL72"/>
  <c r="K72"/>
  <c r="BW72"/>
  <c r="EI72"/>
  <c r="AK64"/>
  <c r="CW64"/>
  <c r="FI64"/>
  <c r="BH64"/>
  <c r="DT64"/>
  <c r="S64"/>
  <c r="CE64"/>
  <c r="AT61"/>
  <c r="CJ75"/>
  <c r="CG74"/>
  <c r="DI73"/>
  <c r="FM72"/>
  <c r="BC72"/>
  <c r="AG71"/>
  <c r="DI70"/>
  <c r="AN70"/>
  <c r="ET65"/>
  <c r="DV62"/>
  <c r="EN89"/>
  <c r="EX87"/>
  <c r="FU86"/>
  <c r="AB86"/>
  <c r="AY85"/>
  <c r="DP83"/>
  <c r="EW82"/>
  <c r="EF81"/>
  <c r="AC60"/>
  <c r="CO60"/>
  <c r="FA60"/>
  <c r="AZ60"/>
  <c r="DL60"/>
  <c r="K60"/>
  <c r="BW60"/>
  <c r="EI60"/>
  <c r="AP60"/>
  <c r="DB60"/>
  <c r="FN60"/>
  <c r="DQ60"/>
  <c r="CJ60"/>
  <c r="BC60"/>
  <c r="P60"/>
  <c r="EN60"/>
  <c r="CQ60"/>
  <c r="AC68"/>
  <c r="AA68"/>
  <c r="BE68"/>
  <c r="DQ68"/>
  <c r="X68"/>
  <c r="CR68"/>
  <c r="FD68"/>
  <c r="BS68"/>
  <c r="EE68"/>
  <c r="AR68"/>
  <c r="DD68"/>
  <c r="FP68"/>
  <c r="CE68"/>
  <c r="EQ68"/>
  <c r="AR71"/>
  <c r="DD71"/>
  <c r="FP71"/>
  <c r="BO71"/>
  <c r="EA71"/>
  <c r="AC63"/>
  <c r="CO63"/>
  <c r="FA63"/>
  <c r="AZ63"/>
  <c r="DL63"/>
  <c r="K63"/>
  <c r="BW63"/>
  <c r="EI63"/>
  <c r="AP63"/>
  <c r="DB63"/>
  <c r="FN63"/>
  <c r="DI63"/>
  <c r="BL63"/>
  <c r="O63"/>
  <c r="EM63"/>
  <c r="CZ63"/>
  <c r="BS63"/>
  <c r="T74"/>
  <c r="CF74"/>
  <c r="ER74"/>
  <c r="AQ74"/>
  <c r="DC74"/>
  <c r="FO74"/>
  <c r="BQ66"/>
  <c r="EC66"/>
  <c r="AB66"/>
  <c r="CN66"/>
  <c r="EZ66"/>
  <c r="AY66"/>
  <c r="DK66"/>
  <c r="R66"/>
  <c r="CD66"/>
  <c r="EP66"/>
  <c r="BU66"/>
  <c r="AN66"/>
  <c r="FL66"/>
  <c r="EE66"/>
  <c r="CR66"/>
  <c r="AU66"/>
  <c r="FS66"/>
  <c r="BP75"/>
  <c r="EB75"/>
  <c r="AA75"/>
  <c r="M67"/>
  <c r="BY67"/>
  <c r="EK67"/>
  <c r="AJ67"/>
  <c r="CV67"/>
  <c r="FH67"/>
  <c r="BG67"/>
  <c r="DS67"/>
  <c r="Z67"/>
  <c r="CL67"/>
  <c r="EX67"/>
  <c r="CC67"/>
  <c r="AF67"/>
  <c r="FD67"/>
  <c r="DG67"/>
  <c r="BT67"/>
  <c r="AM67"/>
  <c r="FK67"/>
  <c r="BI69"/>
  <c r="DA61"/>
  <c r="J61"/>
  <c r="EQ75"/>
  <c r="BT75"/>
  <c r="EX74"/>
  <c r="BR74"/>
  <c r="FB71"/>
  <c r="BT71"/>
  <c r="DM69"/>
  <c r="CO68"/>
  <c r="EL66"/>
  <c r="ED64"/>
  <c r="CK61"/>
  <c r="Q69"/>
  <c r="CC69"/>
  <c r="EO69"/>
  <c r="AN69"/>
  <c r="CZ69"/>
  <c r="FL69"/>
  <c r="BK69"/>
  <c r="DW69"/>
  <c r="T69"/>
  <c r="CF69"/>
  <c r="ER69"/>
  <c r="AQ69"/>
  <c r="DC69"/>
  <c r="FO69"/>
  <c r="BQ61"/>
  <c r="EC61"/>
  <c r="AB61"/>
  <c r="CN61"/>
  <c r="EZ61"/>
  <c r="AY61"/>
  <c r="DK61"/>
  <c r="R61"/>
  <c r="CD61"/>
  <c r="EP61"/>
  <c r="BM61"/>
  <c r="P61"/>
  <c r="EN61"/>
  <c r="CQ61"/>
  <c r="BD61"/>
  <c r="W61"/>
  <c r="EU61"/>
  <c r="BL84"/>
  <c r="DX84"/>
  <c r="W84"/>
  <c r="CI84"/>
  <c r="EU84"/>
  <c r="AT84"/>
  <c r="DF84"/>
  <c r="FR84"/>
  <c r="BQ84"/>
  <c r="EC84"/>
  <c r="AR84"/>
  <c r="FP84"/>
  <c r="DS84"/>
  <c r="CL84"/>
  <c r="AI84"/>
  <c r="FG84"/>
  <c r="DZ84"/>
  <c r="AR72"/>
  <c r="DD72"/>
  <c r="FP72"/>
  <c r="BO72"/>
  <c r="EA72"/>
  <c r="AC64"/>
  <c r="CO64"/>
  <c r="FA64"/>
  <c r="AZ64"/>
  <c r="DL64"/>
  <c r="K64"/>
  <c r="BW64"/>
  <c r="CR80"/>
  <c r="CZ75"/>
  <c r="DA74"/>
  <c r="DY73"/>
  <c r="O73"/>
  <c r="BQ72"/>
  <c r="BL71"/>
  <c r="DR70"/>
  <c r="AW70"/>
  <c r="BR66"/>
  <c r="EM62"/>
  <c r="FT89"/>
  <c r="FP87"/>
  <c r="Z87"/>
  <c r="AW86"/>
  <c r="BP85"/>
  <c r="EF83"/>
  <c r="FT82"/>
  <c r="FL81"/>
  <c r="U60"/>
  <c r="CG60"/>
  <c r="ES60"/>
  <c r="AR60"/>
  <c r="DD60"/>
  <c r="FP60"/>
  <c r="BO60"/>
  <c r="EA60"/>
  <c r="AH60"/>
  <c r="CT60"/>
  <c r="FF60"/>
  <c r="DA60"/>
  <c r="BT60"/>
  <c r="AM60"/>
  <c r="FK60"/>
  <c r="DX60"/>
  <c r="CA60"/>
  <c r="U68"/>
  <c r="S68"/>
  <c r="AW68"/>
  <c r="DI68"/>
  <c r="FU68"/>
  <c r="CJ68"/>
  <c r="EV68"/>
  <c r="BK68"/>
  <c r="DW68"/>
  <c r="AF68"/>
  <c r="CV68"/>
  <c r="FH68"/>
  <c r="BW68"/>
  <c r="EI68"/>
  <c r="AJ71"/>
  <c r="CV71"/>
  <c r="FH71"/>
  <c r="BG71"/>
  <c r="DS71"/>
  <c r="U63"/>
  <c r="CG63"/>
  <c r="ES63"/>
  <c r="AR63"/>
  <c r="DD63"/>
  <c r="FP63"/>
  <c r="BO63"/>
  <c r="EA63"/>
  <c r="AH63"/>
  <c r="CT63"/>
  <c r="FF63"/>
  <c r="CS63"/>
  <c r="AV63"/>
  <c r="FT63"/>
  <c r="DW63"/>
  <c r="CJ63"/>
  <c r="BC63"/>
  <c r="L74"/>
  <c r="BX74"/>
  <c r="EJ74"/>
  <c r="AI74"/>
  <c r="CU74"/>
  <c r="FG74"/>
  <c r="BI66"/>
  <c r="DU66"/>
  <c r="T66"/>
  <c r="CF66"/>
  <c r="ER66"/>
  <c r="AQ66"/>
  <c r="DC66"/>
  <c r="FO66"/>
  <c r="BV66"/>
  <c r="EH66"/>
  <c r="BE66"/>
  <c r="X66"/>
  <c r="EV66"/>
  <c r="DO66"/>
  <c r="CB66"/>
  <c r="AE66"/>
  <c r="FC66"/>
  <c r="BH75"/>
  <c r="DT75"/>
  <c r="S75"/>
  <c r="CE75"/>
  <c r="BQ67"/>
  <c r="EC67"/>
  <c r="AB67"/>
  <c r="CN67"/>
  <c r="EZ67"/>
  <c r="AY67"/>
  <c r="DK67"/>
  <c r="R67"/>
  <c r="CD67"/>
  <c r="EP67"/>
  <c r="BM67"/>
  <c r="P67"/>
  <c r="EN67"/>
  <c r="CQ67"/>
  <c r="BD67"/>
  <c r="W67"/>
  <c r="EU67"/>
  <c r="DU69"/>
  <c r="ET61"/>
  <c r="J71"/>
  <c r="FA75"/>
  <c r="CD75"/>
  <c r="FJ74"/>
  <c r="CB74"/>
  <c r="FL71"/>
  <c r="CD71"/>
  <c r="EH69"/>
  <c r="DJ68"/>
  <c r="N67"/>
  <c r="FU64"/>
  <c r="ED61"/>
  <c r="BP84"/>
  <c r="BU69"/>
  <c r="EG69"/>
  <c r="AF69"/>
  <c r="CR69"/>
  <c r="FD69"/>
  <c r="BC69"/>
  <c r="DO69"/>
  <c r="L69"/>
  <c r="BX69"/>
  <c r="EJ69"/>
  <c r="AI69"/>
  <c r="CU69"/>
  <c r="FG69"/>
  <c r="BI61"/>
  <c r="DU61"/>
  <c r="T61"/>
  <c r="CF61"/>
  <c r="ER61"/>
  <c r="AQ61"/>
  <c r="DC61"/>
  <c r="FO61"/>
  <c r="BV61"/>
  <c r="EH61"/>
  <c r="AW61"/>
  <c r="FU61"/>
  <c r="DX61"/>
  <c r="CA61"/>
  <c r="AN61"/>
  <c r="FL61"/>
  <c r="EE61"/>
  <c r="BD84"/>
  <c r="DP84"/>
  <c r="O84"/>
  <c r="CA84"/>
  <c r="EM84"/>
  <c r="AL84"/>
  <c r="CX84"/>
  <c r="FJ84"/>
  <c r="BI84"/>
  <c r="DU84"/>
  <c r="AB84"/>
  <c r="EZ84"/>
  <c r="DC84"/>
  <c r="BV84"/>
  <c r="S84"/>
  <c r="EQ84"/>
  <c r="DJ84"/>
  <c r="AJ72"/>
  <c r="CV72"/>
  <c r="FH72"/>
  <c r="BG72"/>
  <c r="DS72"/>
  <c r="U64"/>
  <c r="CG64"/>
  <c r="ES64"/>
  <c r="AR64"/>
  <c r="DD64"/>
  <c r="FP64"/>
  <c r="BO64"/>
  <c r="FD80"/>
  <c r="EC75"/>
  <c r="DW74"/>
  <c r="EM73"/>
  <c r="AC73"/>
  <c r="CG72"/>
  <c r="CQ71"/>
  <c r="EA70"/>
  <c r="BF70"/>
  <c r="Y67"/>
  <c r="FE62"/>
  <c r="O62"/>
  <c r="BD88"/>
  <c r="AR87"/>
  <c r="BN86"/>
  <c r="CK85"/>
  <c r="EV83"/>
  <c r="X83"/>
  <c r="Y82"/>
  <c r="M60"/>
  <c r="BY60"/>
  <c r="EK60"/>
  <c r="AJ60"/>
  <c r="CV60"/>
  <c r="FH60"/>
  <c r="BG60"/>
  <c r="DS60"/>
  <c r="Z60"/>
  <c r="CL60"/>
  <c r="EX60"/>
  <c r="CK60"/>
  <c r="BD60"/>
  <c r="W60"/>
  <c r="EU60"/>
  <c r="DH60"/>
  <c r="BK60"/>
  <c r="M68"/>
  <c r="K68"/>
  <c r="AO68"/>
  <c r="DA68"/>
  <c r="FM68"/>
  <c r="CB68"/>
  <c r="EN68"/>
  <c r="BC68"/>
  <c r="DO68"/>
  <c r="P68"/>
  <c r="CN68"/>
  <c r="EZ68"/>
  <c r="BO68"/>
  <c r="EA68"/>
  <c r="AB71"/>
  <c r="CN71"/>
  <c r="EZ71"/>
  <c r="AY71"/>
  <c r="DK71"/>
  <c r="M63"/>
  <c r="BY63"/>
  <c r="EK63"/>
  <c r="AJ63"/>
  <c r="CV63"/>
  <c r="FH63"/>
  <c r="BG63"/>
  <c r="DS63"/>
  <c r="Z63"/>
  <c r="CL63"/>
  <c r="EX63"/>
  <c r="CC63"/>
  <c r="AF63"/>
  <c r="FD63"/>
  <c r="DG63"/>
  <c r="BT63"/>
  <c r="AM63"/>
  <c r="FK63"/>
  <c r="BP74"/>
  <c r="EB74"/>
  <c r="AA74"/>
  <c r="CM74"/>
  <c r="EY74"/>
  <c r="BA66"/>
  <c r="DM66"/>
  <c r="L66"/>
  <c r="BX66"/>
  <c r="EJ66"/>
  <c r="AI66"/>
  <c r="CU66"/>
  <c r="FG66"/>
  <c r="BN66"/>
  <c r="DZ66"/>
  <c r="AO66"/>
  <c r="FM66"/>
  <c r="EF66"/>
  <c r="CY66"/>
  <c r="BL66"/>
  <c r="O66"/>
  <c r="EM66"/>
  <c r="AZ75"/>
  <c r="DL75"/>
  <c r="K75"/>
  <c r="BW75"/>
  <c r="BI67"/>
  <c r="DU67"/>
  <c r="T67"/>
  <c r="CF67"/>
  <c r="ER67"/>
  <c r="AQ67"/>
  <c r="DC67"/>
  <c r="FO67"/>
  <c r="BV67"/>
  <c r="EH67"/>
  <c r="AW67"/>
  <c r="FU67"/>
  <c r="DX67"/>
  <c r="CA67"/>
  <c r="AN67"/>
  <c r="FL67"/>
  <c r="EE67"/>
  <c r="CS60"/>
  <c r="AG68"/>
  <c r="Q60"/>
  <c r="FJ75"/>
  <c r="CO75"/>
  <c r="FT74"/>
  <c r="CL74"/>
  <c r="FV71"/>
  <c r="CP71"/>
  <c r="FB69"/>
  <c r="ED68"/>
  <c r="BE67"/>
  <c r="BB65"/>
  <c r="FR61"/>
  <c r="DI84"/>
  <c r="BM69"/>
  <c r="DY69"/>
  <c r="X69"/>
  <c r="CJ69"/>
  <c r="EV69"/>
  <c r="AU69"/>
  <c r="DG69"/>
  <c r="FS69"/>
  <c r="BP69"/>
  <c r="EB69"/>
  <c r="AA69"/>
  <c r="CM69"/>
  <c r="EY69"/>
  <c r="BA61"/>
  <c r="DM61"/>
  <c r="L61"/>
  <c r="BX61"/>
  <c r="EJ61"/>
  <c r="AI61"/>
  <c r="CU61"/>
  <c r="FG61"/>
  <c r="BN61"/>
  <c r="DZ61"/>
  <c r="AG61"/>
  <c r="FE61"/>
  <c r="DH61"/>
  <c r="BK61"/>
  <c r="X61"/>
  <c r="EV61"/>
  <c r="DO61"/>
  <c r="AV84"/>
  <c r="DH84"/>
  <c r="FT84"/>
  <c r="BS84"/>
  <c r="EE84"/>
  <c r="AD84"/>
  <c r="CP84"/>
  <c r="FB84"/>
  <c r="BA84"/>
  <c r="DM84"/>
  <c r="L84"/>
  <c r="EJ84"/>
  <c r="CM84"/>
  <c r="BF84"/>
  <c r="J84"/>
  <c r="EA84"/>
  <c r="CT84"/>
  <c r="AB72"/>
  <c r="CN72"/>
  <c r="EZ72"/>
  <c r="AY72"/>
  <c r="DK72"/>
  <c r="M64"/>
  <c r="BY64"/>
  <c r="EK64"/>
  <c r="AJ64"/>
  <c r="CV64"/>
  <c r="FH64"/>
  <c r="BG64"/>
  <c r="FU84"/>
  <c r="BT89"/>
  <c r="CO70"/>
  <c r="CC73"/>
  <c r="DX80"/>
  <c r="DJ85"/>
  <c r="AN62"/>
  <c r="EX82"/>
  <c r="FV86"/>
  <c r="EW65"/>
  <c r="BD72"/>
  <c r="BV75"/>
  <c r="EF88"/>
  <c r="DF75"/>
  <c r="CJ72"/>
  <c r="BJ67"/>
  <c r="FS72"/>
  <c r="AS70"/>
  <c r="FG87"/>
  <c r="DX83"/>
  <c r="EN80"/>
  <c r="AW84"/>
  <c r="DI87"/>
  <c r="ET63"/>
  <c r="EG70"/>
  <c r="EO73"/>
  <c r="AF75"/>
  <c r="AJ87"/>
  <c r="BQ73"/>
  <c r="Q79"/>
  <c r="CS85"/>
  <c r="W62"/>
  <c r="EF82"/>
  <c r="FE86"/>
  <c r="BR65"/>
  <c r="AP72"/>
  <c r="BD75"/>
  <c r="DP89"/>
  <c r="DS75"/>
  <c r="CX72"/>
  <c r="ET67"/>
  <c r="W73"/>
  <c r="BB70"/>
  <c r="X88"/>
  <c r="EN83"/>
  <c r="Y81"/>
  <c r="BE85"/>
  <c r="FH87"/>
  <c r="FB65"/>
  <c r="FI70"/>
  <c r="AW74"/>
  <c r="AW75"/>
  <c r="BV87"/>
  <c r="BC73"/>
  <c r="O82"/>
  <c r="BX85"/>
  <c r="J86"/>
  <c r="DI82"/>
  <c r="EJ86"/>
  <c r="ET64"/>
  <c r="Z72"/>
  <c r="AO75"/>
  <c r="AM62"/>
  <c r="EI75"/>
  <c r="DN72"/>
  <c r="CT69"/>
  <c r="AK73"/>
  <c r="BK70"/>
  <c r="CJ88"/>
  <c r="FD83"/>
  <c r="BE81"/>
  <c r="DZ85"/>
  <c r="FD88"/>
  <c r="BY69"/>
  <c r="BB71"/>
  <c r="EE74"/>
  <c r="BM75"/>
  <c r="DZ87"/>
  <c r="Y84"/>
  <c r="AO85"/>
  <c r="DQ89"/>
  <c r="BT82"/>
  <c r="DB86"/>
  <c r="EL63"/>
  <c r="EU71"/>
  <c r="FN74"/>
  <c r="BB63"/>
  <c r="FL75"/>
  <c r="EN72"/>
  <c r="Y70"/>
  <c r="BM73"/>
  <c r="CC70"/>
  <c r="AF89"/>
  <c r="CC84"/>
  <c r="DQ81"/>
  <c r="DT86"/>
  <c r="CP61"/>
  <c r="CA70"/>
  <c r="AH72"/>
  <c r="DB75"/>
  <c r="DX75"/>
  <c r="AG89"/>
  <c r="FN82"/>
  <c r="BO85"/>
  <c r="Y87"/>
  <c r="FM89"/>
  <c r="BM66"/>
  <c r="DQ70"/>
  <c r="BN72"/>
  <c r="DV73"/>
  <c r="CI75"/>
  <c r="BL81"/>
  <c r="CD83"/>
  <c r="EZ85"/>
  <c r="DJ87"/>
  <c r="CH62"/>
  <c r="S70"/>
  <c r="FJ70"/>
  <c r="EG72"/>
  <c r="AM74"/>
  <c r="FC75"/>
  <c r="BD82"/>
  <c r="FO83"/>
  <c r="CM86"/>
  <c r="EN88"/>
  <c r="BE63"/>
  <c r="EG81"/>
  <c r="DQ83"/>
  <c r="AG86"/>
  <c r="EZ87"/>
  <c r="DW62"/>
  <c r="AO70"/>
  <c r="AO71"/>
  <c r="FN72"/>
  <c r="CH74"/>
  <c r="AL65"/>
  <c r="BR70"/>
  <c r="FN83"/>
  <c r="AV81"/>
  <c r="EF74"/>
  <c r="AH73"/>
  <c r="DA71"/>
  <c r="BJ70"/>
  <c r="CC75"/>
  <c r="DQ73"/>
  <c r="BK72"/>
  <c r="DN70"/>
  <c r="V66"/>
  <c r="FD89"/>
  <c r="R87"/>
  <c r="BH85"/>
  <c r="FF82"/>
  <c r="DR82"/>
  <c r="BY73"/>
  <c r="BD89"/>
  <c r="BN73"/>
  <c r="V64"/>
  <c r="FM84"/>
  <c r="DX71"/>
  <c r="DC86"/>
  <c r="AL73"/>
  <c r="FR62"/>
  <c r="DY83"/>
  <c r="ED70"/>
  <c r="CN85"/>
  <c r="FT72"/>
  <c r="EF62"/>
  <c r="EO83"/>
  <c r="CJ82"/>
  <c r="DL84"/>
  <c r="DQ86"/>
  <c r="AO89"/>
  <c r="BB64"/>
  <c r="CG70"/>
  <c r="FQ71"/>
  <c r="BR73"/>
  <c r="U75"/>
  <c r="AF81"/>
  <c r="BN83"/>
  <c r="EH85"/>
  <c r="CS87"/>
  <c r="BM62"/>
  <c r="FF69"/>
  <c r="FA70"/>
  <c r="DQ72"/>
  <c r="Q74"/>
  <c r="EM75"/>
  <c r="AG82"/>
  <c r="EY83"/>
  <c r="BV86"/>
  <c r="CB88"/>
  <c r="FL62"/>
  <c r="DA81"/>
  <c r="DA83"/>
  <c r="L86"/>
  <c r="EH87"/>
  <c r="DF62"/>
  <c r="AF70"/>
  <c r="FV70"/>
  <c r="EX72"/>
  <c r="BL74"/>
  <c r="FV75"/>
  <c r="DB70"/>
  <c r="AJ85"/>
  <c r="CB81"/>
  <c r="FB74"/>
  <c r="AV73"/>
  <c r="DY71"/>
  <c r="BS70"/>
  <c r="CR75"/>
  <c r="EE73"/>
  <c r="BY72"/>
  <c r="DW70"/>
  <c r="EO66"/>
  <c r="BB61"/>
  <c r="AI87"/>
  <c r="CC85"/>
  <c r="P83"/>
  <c r="FD74"/>
  <c r="EC73"/>
  <c r="J85"/>
  <c r="DF73"/>
  <c r="DF65"/>
  <c r="BM85"/>
  <c r="AS72"/>
  <c r="L87"/>
  <c r="CB73"/>
  <c r="DF64"/>
  <c r="FU83"/>
  <c r="FN70"/>
  <c r="FH85"/>
  <c r="AX73"/>
  <c r="CP63"/>
  <c r="CF84"/>
  <c r="BM82"/>
  <c r="AG84"/>
  <c r="CV86"/>
  <c r="FT88"/>
  <c r="DA63"/>
  <c r="BW70"/>
  <c r="ES71"/>
  <c r="BD73"/>
  <c r="FL74"/>
  <c r="EV80"/>
  <c r="AX83"/>
  <c r="DQ85"/>
  <c r="BX87"/>
  <c r="AU62"/>
  <c r="FJ67"/>
  <c r="EQ70"/>
  <c r="DE72"/>
  <c r="FK73"/>
  <c r="DZ75"/>
  <c r="FU81"/>
  <c r="EI83"/>
  <c r="BE86"/>
  <c r="P88"/>
  <c r="EU62"/>
  <c r="BU81"/>
  <c r="CK83"/>
  <c r="FG85"/>
  <c r="DQ87"/>
  <c r="CK62"/>
  <c r="W70"/>
  <c r="FM70"/>
  <c r="EL72"/>
  <c r="AP74"/>
  <c r="FI75"/>
  <c r="EV70"/>
  <c r="DI85"/>
  <c r="DH81"/>
  <c r="FV74"/>
  <c r="BJ73"/>
  <c r="FD71"/>
  <c r="CB70"/>
  <c r="DH75"/>
  <c r="EU73"/>
  <c r="CK72"/>
  <c r="EF70"/>
  <c r="BR67"/>
  <c r="X62"/>
  <c r="AZ87"/>
  <c r="CT85"/>
  <c r="AF83"/>
  <c r="BT80"/>
  <c r="AC74"/>
  <c r="BU62"/>
  <c r="EV73"/>
  <c r="BU67"/>
  <c r="DL85"/>
  <c r="CW72"/>
  <c r="CF87"/>
  <c r="DR73"/>
  <c r="AD66"/>
  <c r="Z85"/>
  <c r="CS71"/>
  <c r="BU86"/>
  <c r="CP73"/>
  <c r="Y65"/>
  <c r="CS83"/>
  <c r="AP82"/>
  <c r="FG83"/>
  <c r="CD86"/>
  <c r="DH88"/>
  <c r="FU62"/>
  <c r="BN70"/>
  <c r="DN71"/>
  <c r="AN73"/>
  <c r="EP74"/>
  <c r="K85"/>
  <c r="R83"/>
  <c r="CE85"/>
  <c r="AO87"/>
  <c r="EG61"/>
  <c r="FB66"/>
  <c r="DY70"/>
  <c r="CA72"/>
  <c r="EK73"/>
  <c r="CW75"/>
  <c r="DI81"/>
  <c r="DC83"/>
  <c r="R86"/>
  <c r="EO87"/>
  <c r="DI62"/>
  <c r="FT80"/>
  <c r="BE83"/>
  <c r="DY85"/>
  <c r="CE87"/>
  <c r="BC62"/>
  <c r="BB69"/>
  <c r="EU70"/>
  <c r="DH72"/>
  <c r="FR73"/>
  <c r="ED75"/>
  <c r="FC71"/>
  <c r="CL86"/>
  <c r="FT81"/>
  <c r="AS75"/>
  <c r="CL73"/>
  <c r="AF72"/>
  <c r="CT70"/>
  <c r="EK75"/>
  <c r="FU73"/>
  <c r="DO72"/>
  <c r="EX70"/>
  <c r="DN69"/>
  <c r="BJ62"/>
  <c r="CL87"/>
  <c r="EB85"/>
  <c r="BL83"/>
  <c r="X81"/>
  <c r="X75"/>
  <c r="BR64"/>
  <c r="CR74"/>
  <c r="AT70"/>
  <c r="BG86"/>
  <c r="AU73"/>
  <c r="X89"/>
  <c r="BB74"/>
  <c r="AA70"/>
  <c r="EG85"/>
  <c r="CI72"/>
  <c r="AX87"/>
  <c r="FV73"/>
  <c r="EK69"/>
  <c r="EX85"/>
  <c r="ES74"/>
  <c r="DO75"/>
  <c r="S86"/>
  <c r="X82"/>
  <c r="S83"/>
  <c r="EQ83"/>
  <c r="CF85"/>
  <c r="BM86"/>
  <c r="AP87"/>
  <c r="AV88"/>
  <c r="N62"/>
  <c r="FC62"/>
  <c r="V67"/>
  <c r="BE70"/>
  <c r="DZ70"/>
  <c r="CI71"/>
  <c r="CB72"/>
  <c r="Z73"/>
  <c r="EL73"/>
  <c r="DV74"/>
  <c r="CY75"/>
  <c r="CJ80"/>
  <c r="AO82"/>
  <c r="AH83"/>
  <c r="FF83"/>
  <c r="CV85"/>
  <c r="CC86"/>
  <c r="BF87"/>
  <c r="CZ88"/>
  <c r="AD62"/>
  <c r="FS62"/>
  <c r="BZ67"/>
  <c r="BM70"/>
  <c r="EH70"/>
  <c r="DM71"/>
  <c r="CQ72"/>
  <c r="AM73"/>
  <c r="EW73"/>
  <c r="EO74"/>
  <c r="DJ75"/>
  <c r="O83"/>
  <c r="EO81"/>
  <c r="FE82"/>
  <c r="DS83"/>
  <c r="BF85"/>
  <c r="AJ86"/>
  <c r="Q87"/>
  <c r="FF87"/>
  <c r="EW89"/>
  <c r="ED62"/>
  <c r="Q66"/>
  <c r="AO81"/>
  <c r="CL82"/>
  <c r="BU83"/>
  <c r="DY84"/>
  <c r="EP85"/>
  <c r="DS86"/>
  <c r="CV87"/>
  <c r="AW89"/>
  <c r="BT62"/>
  <c r="BM64"/>
  <c r="N70"/>
  <c r="CI70"/>
  <c r="FD70"/>
  <c r="N72"/>
  <c r="DX72"/>
  <c r="BT73"/>
  <c r="V74"/>
  <c r="W75"/>
  <c r="ET75"/>
  <c r="CO74"/>
  <c r="AP71"/>
  <c r="DG62"/>
  <c r="Q86"/>
  <c r="FD82"/>
  <c r="EN81"/>
  <c r="EV75"/>
  <c r="AC75"/>
  <c r="AD74"/>
  <c r="BZ73"/>
  <c r="DZ72"/>
  <c r="P72"/>
  <c r="FF70"/>
  <c r="CK70"/>
  <c r="P70"/>
  <c r="DU75"/>
  <c r="FC74"/>
  <c r="FI73"/>
  <c r="AW73"/>
  <c r="DA72"/>
  <c r="EG71"/>
  <c r="EO70"/>
  <c r="BT70"/>
  <c r="EW67"/>
  <c r="BJ63"/>
  <c r="AO62"/>
  <c r="EV88"/>
  <c r="BU87"/>
  <c r="CN86"/>
  <c r="DK85"/>
  <c r="FT83"/>
  <c r="AV83"/>
  <c r="BE82"/>
  <c r="EF80"/>
  <c r="CK81"/>
  <c r="DI74"/>
  <c r="BU71"/>
  <c r="ET62"/>
  <c r="AZ86"/>
  <c r="AF74"/>
  <c r="V72"/>
  <c r="R70"/>
  <c r="CS89"/>
  <c r="FP85"/>
  <c r="J64"/>
  <c r="FC72"/>
  <c r="AP70"/>
  <c r="FE87"/>
  <c r="EX83"/>
  <c r="FJ73"/>
  <c r="EH71"/>
  <c r="FB67"/>
  <c r="CR88"/>
  <c r="CD85"/>
  <c r="AP75"/>
  <c r="AE72"/>
  <c r="FB64"/>
  <c r="EO86"/>
  <c r="CG75"/>
  <c r="EF73"/>
  <c r="CG71"/>
  <c r="ET66"/>
  <c r="AF88"/>
  <c r="CU85"/>
  <c r="FL82"/>
  <c r="DY81"/>
  <c r="EV82"/>
  <c r="DK83"/>
  <c r="AX85"/>
  <c r="AA86"/>
  <c r="FP86"/>
  <c r="EW87"/>
  <c r="EG89"/>
  <c r="DQ62"/>
  <c r="EL65"/>
  <c r="AM70"/>
  <c r="DH70"/>
  <c r="AF71"/>
  <c r="BB72"/>
  <c r="FJ72"/>
  <c r="DH73"/>
  <c r="CD74"/>
  <c r="BS75"/>
  <c r="FD81"/>
  <c r="FM82"/>
  <c r="DZ83"/>
  <c r="BN85"/>
  <c r="AQ86"/>
  <c r="T87"/>
  <c r="FM87"/>
  <c r="FL89"/>
  <c r="EG62"/>
  <c r="BJ66"/>
  <c r="AU70"/>
  <c r="DP70"/>
  <c r="BC71"/>
  <c r="BM72"/>
  <c r="M73"/>
  <c r="DU73"/>
  <c r="CY74"/>
  <c r="CH75"/>
  <c r="AD69"/>
  <c r="CC81"/>
  <c r="DP82"/>
  <c r="CM83"/>
  <c r="T85"/>
  <c r="FM85"/>
  <c r="EP86"/>
  <c r="DT87"/>
  <c r="CK89"/>
  <c r="CQ62"/>
  <c r="N65"/>
  <c r="DH80"/>
  <c r="AW82"/>
  <c r="AO83"/>
  <c r="FM83"/>
  <c r="DD85"/>
  <c r="CK86"/>
  <c r="BN87"/>
  <c r="DX88"/>
  <c r="AL62"/>
  <c r="V63"/>
  <c r="DN67"/>
  <c r="BQ70"/>
  <c r="EL70"/>
  <c r="DW71"/>
  <c r="CT72"/>
  <c r="AT73"/>
  <c r="FB73"/>
  <c r="ET74"/>
  <c r="DQ75"/>
  <c r="BY75"/>
  <c r="BE72"/>
  <c r="BU65"/>
  <c r="FF86"/>
  <c r="BF83"/>
  <c r="AF82"/>
  <c r="J65"/>
  <c r="BK75"/>
  <c r="BT74"/>
  <c r="CZ73"/>
  <c r="FD72"/>
  <c r="AT72"/>
  <c r="U71"/>
  <c r="DC70"/>
  <c r="AH70"/>
  <c r="EY75"/>
  <c r="AE75"/>
  <c r="AE74"/>
  <c r="CA73"/>
  <c r="EC72"/>
  <c r="U72"/>
  <c r="FG70"/>
  <c r="CL70"/>
  <c r="Q70"/>
  <c r="CX64"/>
  <c r="CA62"/>
  <c r="BL89"/>
  <c r="DD87"/>
  <c r="DZ86"/>
  <c r="EW85"/>
  <c r="FH84"/>
  <c r="CB83"/>
  <c r="CT82"/>
  <c r="BD81"/>
  <c r="EW81"/>
  <c r="CP75"/>
  <c r="BU72"/>
  <c r="DF66"/>
  <c r="AG87"/>
  <c r="CS75"/>
  <c r="DB72"/>
  <c r="BU70"/>
  <c r="BK62"/>
  <c r="DJ86"/>
  <c r="AW83"/>
  <c r="CY73"/>
  <c r="DK70"/>
  <c r="EV89"/>
  <c r="BV85"/>
  <c r="DN74"/>
  <c r="BZ72"/>
  <c r="BC70"/>
  <c r="FE89"/>
  <c r="Y86"/>
  <c r="FK75"/>
  <c r="EM72"/>
  <c r="X70"/>
  <c r="DR87"/>
  <c r="EL75"/>
  <c r="BV74"/>
  <c r="AV72"/>
  <c r="AK70"/>
  <c r="DY89"/>
  <c r="AP86"/>
  <c r="AG83"/>
  <c r="DY82"/>
  <c r="CU83"/>
  <c r="AG85"/>
  <c r="FV85"/>
  <c r="EY86"/>
  <c r="EB87"/>
  <c r="DA89"/>
  <c r="CZ62"/>
  <c r="BE65"/>
  <c r="AD70"/>
  <c r="CY70"/>
  <c r="FT70"/>
  <c r="AL72"/>
  <c r="EV72"/>
  <c r="CT73"/>
  <c r="BJ74"/>
  <c r="BB75"/>
  <c r="FT75"/>
  <c r="DX81"/>
  <c r="EP82"/>
  <c r="DJ83"/>
  <c r="AW85"/>
  <c r="Z86"/>
  <c r="FO86"/>
  <c r="ER87"/>
  <c r="EF89"/>
  <c r="DP62"/>
  <c r="DN65"/>
  <c r="AL70"/>
  <c r="DG70"/>
  <c r="AE71"/>
  <c r="BA72"/>
  <c r="FI72"/>
  <c r="DG73"/>
  <c r="CC74"/>
  <c r="BN75"/>
  <c r="L70"/>
  <c r="AW81"/>
  <c r="CS82"/>
  <c r="BW83"/>
  <c r="FE84"/>
  <c r="ER85"/>
  <c r="DY86"/>
  <c r="DB87"/>
  <c r="BE89"/>
  <c r="BZ62"/>
  <c r="CS64"/>
  <c r="O88"/>
  <c r="Z82"/>
  <c r="Y83"/>
  <c r="EW83"/>
  <c r="CL85"/>
  <c r="BP86"/>
  <c r="AW87"/>
  <c r="BL88"/>
  <c r="Q62"/>
  <c r="FJ62"/>
  <c r="AD67"/>
  <c r="BG70"/>
  <c r="EC70"/>
  <c r="CR71"/>
  <c r="CH72"/>
  <c r="AD73"/>
  <c r="EN73"/>
  <c r="DX74"/>
  <c r="DA75"/>
  <c r="EG75"/>
  <c r="DM72"/>
  <c r="DQ67"/>
  <c r="BO87"/>
  <c r="DB83"/>
  <c r="AX82"/>
  <c r="DP80"/>
  <c r="BZ75"/>
  <c r="CP74"/>
  <c r="DP73"/>
  <c r="FR72"/>
  <c r="BF72"/>
  <c r="AS71"/>
  <c r="DM70"/>
  <c r="AQ70"/>
  <c r="FM75"/>
  <c r="AT75"/>
  <c r="BA74"/>
  <c r="CO73"/>
  <c r="ES72"/>
  <c r="AG72"/>
  <c r="FQ70"/>
  <c r="CU70"/>
  <c r="Z70"/>
  <c r="V65"/>
  <c r="CS62"/>
  <c r="CR89"/>
  <c r="DY87"/>
  <c r="ER86"/>
  <c r="FN85"/>
  <c r="Y85"/>
  <c r="CR83"/>
  <c r="DQ82"/>
  <c r="CJ81"/>
  <c r="Q82"/>
  <c r="EU75"/>
  <c r="DY72"/>
  <c r="O70"/>
  <c r="DA87"/>
  <c r="FB75"/>
  <c r="ET72"/>
  <c r="CW70"/>
  <c r="CX62"/>
  <c r="FN86"/>
  <c r="DI83"/>
  <c r="FE73"/>
  <c r="EM70"/>
  <c r="BD62"/>
  <c r="EQ85"/>
  <c r="DI75"/>
  <c r="DP72"/>
  <c r="CD70"/>
  <c r="AT62"/>
  <c r="BX86"/>
  <c r="CC82"/>
  <c r="AG73"/>
  <c r="BI70"/>
  <c r="BT88"/>
  <c r="Z83"/>
  <c r="EH74"/>
  <c r="CL72"/>
  <c r="BL70"/>
  <c r="Y62"/>
  <c r="CS86"/>
  <c r="CC83"/>
  <c r="DB82"/>
  <c r="CE83"/>
  <c r="L85"/>
  <c r="FE85"/>
  <c r="EH86"/>
  <c r="DK87"/>
  <c r="BU89"/>
  <c r="CI62"/>
  <c r="EL64"/>
  <c r="U70"/>
  <c r="CP70"/>
  <c r="FK70"/>
  <c r="X72"/>
  <c r="EH72"/>
  <c r="CD73"/>
  <c r="AN74"/>
  <c r="AH75"/>
  <c r="FD75"/>
  <c r="CR81"/>
  <c r="DX82"/>
  <c r="CT83"/>
  <c r="AB85"/>
  <c r="FU85"/>
  <c r="EX86"/>
  <c r="EA87"/>
  <c r="CZ89"/>
  <c r="CY62"/>
  <c r="AD65"/>
  <c r="AC70"/>
  <c r="CX70"/>
  <c r="FS70"/>
  <c r="AK72"/>
  <c r="EU72"/>
  <c r="CS73"/>
  <c r="BI74"/>
  <c r="BA75"/>
  <c r="FR75"/>
  <c r="Q81"/>
  <c r="BV82"/>
  <c r="BG83"/>
  <c r="BU84"/>
  <c r="EA85"/>
  <c r="DD86"/>
  <c r="CK87"/>
  <c r="Y89"/>
  <c r="BE62"/>
  <c r="N64"/>
  <c r="O80"/>
  <c r="FM81"/>
  <c r="FU82"/>
  <c r="EG83"/>
  <c r="BU85"/>
  <c r="AX86"/>
  <c r="AB87"/>
  <c r="FU87"/>
  <c r="FU89"/>
  <c r="EO62"/>
  <c r="CX66"/>
  <c r="AX70"/>
  <c r="DS70"/>
  <c r="BM71"/>
  <c r="BR72"/>
  <c r="P73"/>
  <c r="DZ73"/>
  <c r="DB74"/>
  <c r="CM75"/>
  <c r="U73"/>
  <c r="FQ72"/>
  <c r="AG70"/>
  <c r="EJ87"/>
  <c r="EH83"/>
  <c r="BU82"/>
  <c r="P81"/>
  <c r="CQ75"/>
  <c r="DJ74"/>
  <c r="ED73"/>
  <c r="R73"/>
  <c r="BV72"/>
  <c r="BV71"/>
  <c r="DV70"/>
  <c r="BA70"/>
  <c r="J67"/>
  <c r="BL75"/>
  <c r="BU74"/>
  <c r="DE73"/>
  <c r="FE72"/>
  <c r="AU72"/>
  <c r="V71"/>
  <c r="DE70"/>
  <c r="AI70"/>
  <c r="DA65"/>
  <c r="DN62"/>
  <c r="DX89"/>
  <c r="EP87"/>
  <c r="FM86"/>
  <c r="T86"/>
  <c r="AP85"/>
  <c r="DH83"/>
  <c r="EN82"/>
  <c r="DP81"/>
  <c r="AN82"/>
  <c r="CB80"/>
  <c r="Q73"/>
  <c r="AY70"/>
  <c r="FV87"/>
  <c r="BV83"/>
  <c r="X73"/>
  <c r="DX70"/>
  <c r="EW62"/>
  <c r="BE87"/>
  <c r="FE83"/>
  <c r="BS74"/>
  <c r="M71"/>
  <c r="DY62"/>
  <c r="AH86"/>
  <c r="FN75"/>
  <c r="FF72"/>
  <c r="DF70"/>
  <c r="DO62"/>
  <c r="EB86"/>
  <c r="BM83"/>
  <c r="CK73"/>
  <c r="CS70"/>
  <c r="CJ89"/>
  <c r="EB84"/>
  <c r="N75"/>
  <c r="ED72"/>
  <c r="CM70"/>
  <c r="CC62"/>
  <c r="EW86"/>
  <c r="C262" i="14"/>
  <c r="C260"/>
  <c r="DK5"/>
  <c r="DP5" s="1"/>
  <c r="DU5" s="1"/>
  <c r="DZ5" s="1"/>
  <c r="EE5" s="1"/>
  <c r="EJ5" s="1"/>
  <c r="EO5" s="1"/>
  <c r="ET5" s="1"/>
  <c r="EY5" s="1"/>
  <c r="FD5" s="1"/>
  <c r="FI5" s="1"/>
  <c r="FN5" s="1"/>
  <c r="C6" i="19" l="1"/>
  <c r="D6" s="1"/>
  <c r="C16"/>
  <c r="C8"/>
  <c r="D8" s="1"/>
  <c r="C7"/>
  <c r="D7" s="1"/>
  <c r="C5"/>
  <c r="D5" s="1"/>
  <c r="CA78"/>
  <c r="Q78"/>
  <c r="BK59"/>
  <c r="Z59"/>
  <c r="BO59"/>
  <c r="DL59"/>
  <c r="EB59"/>
  <c r="CR2"/>
  <c r="DO78"/>
  <c r="DM2"/>
  <c r="CB78"/>
  <c r="AB59"/>
  <c r="DL78"/>
  <c r="FR2"/>
  <c r="AD78"/>
  <c r="BW78"/>
  <c r="AQ59"/>
  <c r="EV78"/>
  <c r="P78"/>
  <c r="FI78"/>
  <c r="FI59"/>
  <c r="BH78"/>
  <c r="CH78"/>
  <c r="EA59"/>
  <c r="K59"/>
  <c r="ET59"/>
  <c r="BU2"/>
  <c r="AI78"/>
  <c r="FB59"/>
  <c r="DP2"/>
  <c r="FB2"/>
  <c r="BM2"/>
  <c r="AH59"/>
  <c r="ED59"/>
  <c r="BA2"/>
  <c r="T59"/>
  <c r="DE78"/>
  <c r="D16"/>
  <c r="FK59"/>
  <c r="AM78"/>
  <c r="CE78"/>
  <c r="FL59"/>
  <c r="AF78"/>
  <c r="CI78"/>
  <c r="EH78"/>
  <c r="CT2"/>
  <c r="AA59"/>
  <c r="AY59"/>
  <c r="CM59"/>
  <c r="DK59"/>
  <c r="ET78"/>
  <c r="BU59"/>
  <c r="CF2"/>
  <c r="FH78"/>
  <c r="EE78"/>
  <c r="BR2"/>
  <c r="BG2"/>
  <c r="W2"/>
  <c r="Q2"/>
  <c r="EX59"/>
  <c r="BF59"/>
  <c r="FE78"/>
  <c r="EB2"/>
  <c r="AL59"/>
  <c r="CN78"/>
  <c r="AL78"/>
  <c r="DO59"/>
  <c r="DC2"/>
  <c r="R2"/>
  <c r="AC2"/>
  <c r="AA2"/>
  <c r="Q59"/>
  <c r="EN59"/>
  <c r="AO59"/>
  <c r="CD2"/>
  <c r="CP78"/>
  <c r="EO2"/>
  <c r="AJ78"/>
  <c r="AB78"/>
  <c r="ER78"/>
  <c r="EX78"/>
  <c r="DD78"/>
  <c r="FC59"/>
  <c r="FA78"/>
  <c r="Y2"/>
  <c r="BT2"/>
  <c r="U2"/>
  <c r="BD59"/>
  <c r="CV59"/>
  <c r="FF59"/>
  <c r="ES59"/>
  <c r="CQ59"/>
  <c r="AP59"/>
  <c r="AC59"/>
  <c r="FR59"/>
  <c r="AF59"/>
  <c r="CE59"/>
  <c r="DF59"/>
  <c r="EW59"/>
  <c r="FE59"/>
  <c r="AN59"/>
  <c r="DN59"/>
  <c r="DP59"/>
  <c r="BZ59"/>
  <c r="EF59"/>
  <c r="CS2"/>
  <c r="EX2"/>
  <c r="DM78"/>
  <c r="DI2"/>
  <c r="DA78"/>
  <c r="EJ78"/>
  <c r="CC59"/>
  <c r="DO2"/>
  <c r="CQ2"/>
  <c r="BA78"/>
  <c r="BJ59"/>
  <c r="AE2"/>
  <c r="CQ78"/>
  <c r="FL2"/>
  <c r="DU2"/>
  <c r="FF78"/>
  <c r="DB78"/>
  <c r="FO78"/>
  <c r="FG59"/>
  <c r="FS2"/>
  <c r="FT78"/>
  <c r="ES78"/>
  <c r="EW2"/>
  <c r="FL78"/>
  <c r="EK78"/>
  <c r="DA2"/>
  <c r="FI2"/>
  <c r="AW78"/>
  <c r="BK78"/>
  <c r="CF78"/>
  <c r="DU78"/>
  <c r="EP2"/>
  <c r="EY78"/>
  <c r="FP78"/>
  <c r="CN2"/>
  <c r="AC78"/>
  <c r="BJ2"/>
  <c r="CU2"/>
  <c r="EG78"/>
  <c r="BZ78"/>
  <c r="CH2"/>
  <c r="DD2"/>
  <c r="L2"/>
  <c r="V2"/>
  <c r="CA2"/>
  <c r="CZ2"/>
  <c r="BL2"/>
  <c r="BE2"/>
  <c r="W78"/>
  <c r="DK2"/>
  <c r="M2"/>
  <c r="CJ59"/>
  <c r="FV59"/>
  <c r="BP59"/>
  <c r="FQ2"/>
  <c r="EN2"/>
  <c r="CC78"/>
  <c r="BJ78"/>
  <c r="CY59"/>
  <c r="BV78"/>
  <c r="EU2"/>
  <c r="DH2"/>
  <c r="S2"/>
  <c r="CL59"/>
  <c r="EG59"/>
  <c r="DR2"/>
  <c r="FF2"/>
  <c r="DY78"/>
  <c r="FS59"/>
  <c r="FN2"/>
  <c r="DQ78"/>
  <c r="EH59"/>
  <c r="CD78"/>
  <c r="K78"/>
  <c r="BS2"/>
  <c r="BD2"/>
  <c r="N2"/>
  <c r="CI2"/>
  <c r="CA59"/>
  <c r="BW59"/>
  <c r="DT59"/>
  <c r="EY59"/>
  <c r="R59"/>
  <c r="BN59"/>
  <c r="AY78"/>
  <c r="EK2"/>
  <c r="BV2"/>
  <c r="EF78"/>
  <c r="BM78"/>
  <c r="BQ2"/>
  <c r="BE78"/>
  <c r="BO78"/>
  <c r="AT59"/>
  <c r="FG78"/>
  <c r="CL2"/>
  <c r="Z2"/>
  <c r="CK59"/>
  <c r="CG59"/>
  <c r="EI59"/>
  <c r="S59"/>
  <c r="AD59"/>
  <c r="CP2"/>
  <c r="BP78"/>
  <c r="O2"/>
  <c r="AA78"/>
  <c r="S78"/>
  <c r="DW78"/>
  <c r="EV59"/>
  <c r="BP2"/>
  <c r="EM2"/>
  <c r="W59"/>
  <c r="FH59"/>
  <c r="DA59"/>
  <c r="AR59"/>
  <c r="DB59"/>
  <c r="CO59"/>
  <c r="FD59"/>
  <c r="EQ59"/>
  <c r="CI59"/>
  <c r="EE59"/>
  <c r="DY59"/>
  <c r="AV59"/>
  <c r="CH59"/>
  <c r="BL59"/>
  <c r="DV2"/>
  <c r="DZ78"/>
  <c r="BB2"/>
  <c r="L78"/>
  <c r="EY2"/>
  <c r="EL78"/>
  <c r="BR78"/>
  <c r="ED78"/>
  <c r="DN78"/>
  <c r="DC78"/>
  <c r="BM59"/>
  <c r="FM59"/>
  <c r="BY2"/>
  <c r="DS2"/>
  <c r="DH78"/>
  <c r="CG78"/>
  <c r="BQ59"/>
  <c r="EA2"/>
  <c r="CZ78"/>
  <c r="BY78"/>
  <c r="DM59"/>
  <c r="FR78"/>
  <c r="T78"/>
  <c r="AE59"/>
  <c r="BX78"/>
  <c r="AO78"/>
  <c r="BU78"/>
  <c r="ER59"/>
  <c r="BX2"/>
  <c r="EF2"/>
  <c r="CO78"/>
  <c r="EU78"/>
  <c r="FM2"/>
  <c r="DJ2"/>
  <c r="DY2"/>
  <c r="EG2"/>
  <c r="FP2"/>
  <c r="AO2"/>
  <c r="J59"/>
  <c r="C17"/>
  <c r="AX59"/>
  <c r="D17"/>
  <c r="CN59"/>
  <c r="EJ59"/>
  <c r="FO2"/>
  <c r="Y78"/>
  <c r="BB78"/>
  <c r="DT2"/>
  <c r="AR78"/>
  <c r="AH2"/>
  <c r="BY59"/>
  <c r="DX59"/>
  <c r="BH59"/>
  <c r="CU59"/>
  <c r="R78"/>
  <c r="FB78"/>
  <c r="CX78"/>
  <c r="EM78"/>
  <c r="EZ78"/>
  <c r="AH78"/>
  <c r="BV59"/>
  <c r="BF78"/>
  <c r="DX2"/>
  <c r="CM2"/>
  <c r="AN2"/>
  <c r="P59"/>
  <c r="CR59"/>
  <c r="CS78"/>
  <c r="AK78"/>
  <c r="CV78"/>
  <c r="BS78"/>
  <c r="FU78"/>
  <c r="AE78"/>
  <c r="AK2"/>
  <c r="BC2"/>
  <c r="AY2"/>
  <c r="CT59"/>
  <c r="BS59"/>
  <c r="N59"/>
  <c r="DR59"/>
  <c r="DI59"/>
  <c r="EJ2"/>
  <c r="AG78"/>
  <c r="DS78"/>
  <c r="J78"/>
  <c r="AJ2"/>
  <c r="CE2"/>
  <c r="BT78"/>
  <c r="BD78"/>
  <c r="CG2"/>
  <c r="EU59"/>
  <c r="BG59"/>
  <c r="BT59"/>
  <c r="DD59"/>
  <c r="FN59"/>
  <c r="FA59"/>
  <c r="DG59"/>
  <c r="AK59"/>
  <c r="CP59"/>
  <c r="FT59"/>
  <c r="AU59"/>
  <c r="EL59"/>
  <c r="FU59"/>
  <c r="DW59"/>
  <c r="AS59"/>
  <c r="EM59"/>
  <c r="BA59"/>
  <c r="BO2"/>
  <c r="DN2"/>
  <c r="FS78"/>
  <c r="BI78"/>
  <c r="CX59"/>
  <c r="CC2"/>
  <c r="FJ2"/>
  <c r="DG78"/>
  <c r="BK2"/>
  <c r="CK2"/>
  <c r="EC2"/>
  <c r="BL78"/>
  <c r="FN78"/>
  <c r="CF59"/>
  <c r="FH2"/>
  <c r="ER2"/>
  <c r="EW78"/>
  <c r="FK78"/>
  <c r="AQ78"/>
  <c r="O59"/>
  <c r="AV78"/>
  <c r="U78"/>
  <c r="DR78"/>
  <c r="EZ59"/>
  <c r="AN78"/>
  <c r="M78"/>
  <c r="CT78"/>
  <c r="AI59"/>
  <c r="BI2"/>
  <c r="EH2"/>
  <c r="FD78"/>
  <c r="EC78"/>
  <c r="FO59"/>
  <c r="CB59"/>
  <c r="BG78"/>
  <c r="FM78"/>
  <c r="DJ78"/>
  <c r="EV2"/>
  <c r="FC78"/>
  <c r="DP78"/>
  <c r="EQ2"/>
  <c r="AL2"/>
  <c r="J2"/>
  <c r="AD2"/>
  <c r="EZ2"/>
  <c r="ED2"/>
  <c r="AI2"/>
  <c r="AP2"/>
  <c r="K2"/>
  <c r="ET2"/>
  <c r="P2"/>
  <c r="BN2"/>
  <c r="AM2"/>
  <c r="AG2"/>
  <c r="M59"/>
  <c r="EN78"/>
  <c r="FA2"/>
  <c r="AT78"/>
  <c r="FV78"/>
  <c r="CS59"/>
  <c r="BC59"/>
  <c r="DK78"/>
  <c r="FQ78"/>
  <c r="BH2"/>
  <c r="AZ2"/>
  <c r="EA78"/>
  <c r="BC78"/>
  <c r="EK59"/>
  <c r="U59"/>
  <c r="CZ59"/>
  <c r="CJ78"/>
  <c r="BB59"/>
  <c r="EB78"/>
  <c r="N78"/>
  <c r="CW78"/>
  <c r="FT2"/>
  <c r="AJ59"/>
  <c r="EP59"/>
  <c r="BR59"/>
  <c r="Y59"/>
  <c r="BE59"/>
  <c r="FU2"/>
  <c r="AS78"/>
  <c r="BX59"/>
  <c r="O78"/>
  <c r="FV2"/>
  <c r="DI78"/>
  <c r="EP78"/>
  <c r="AZ78"/>
  <c r="CB2"/>
  <c r="BF2"/>
  <c r="BW2"/>
  <c r="DH59"/>
  <c r="DS59"/>
  <c r="AM59"/>
  <c r="FP59"/>
  <c r="DQ59"/>
  <c r="AZ59"/>
  <c r="DJ59"/>
  <c r="CW59"/>
  <c r="DE59"/>
  <c r="EC59"/>
  <c r="FJ59"/>
  <c r="FQ59"/>
  <c r="DV59"/>
  <c r="EO59"/>
  <c r="L59"/>
  <c r="BZ2"/>
  <c r="CO2"/>
  <c r="AU78"/>
  <c r="DZ2"/>
  <c r="EI2"/>
  <c r="FJ78"/>
  <c r="DV78"/>
  <c r="DF78"/>
  <c r="CU78"/>
  <c r="V59"/>
  <c r="X59"/>
  <c r="CW2"/>
  <c r="ES2"/>
  <c r="FE2"/>
  <c r="CK78"/>
  <c r="CY78"/>
  <c r="DT78"/>
  <c r="FC2"/>
  <c r="DB2"/>
  <c r="CL78"/>
  <c r="AP78"/>
  <c r="EQ78"/>
  <c r="CD59"/>
  <c r="DL2"/>
  <c r="BN78"/>
  <c r="Z78"/>
  <c r="EI78"/>
  <c r="DZ59"/>
  <c r="DG2"/>
  <c r="DW2"/>
  <c r="CR78"/>
  <c r="BQ78"/>
  <c r="DU59"/>
  <c r="AW59"/>
  <c r="DC59"/>
  <c r="AX78"/>
  <c r="X78"/>
  <c r="DX78"/>
  <c r="BI59"/>
  <c r="V78"/>
  <c r="AG59"/>
  <c r="EO78"/>
  <c r="CJ2"/>
  <c r="CV2"/>
  <c r="FK2"/>
  <c r="CM78"/>
  <c r="AX2"/>
  <c r="FG2"/>
  <c r="T2"/>
  <c r="AB2"/>
  <c r="X2"/>
  <c r="AF2"/>
  <c r="CX2"/>
  <c r="DQ2"/>
  <c r="EL2"/>
  <c r="AG37"/>
  <c r="Q37"/>
  <c r="FM37"/>
  <c r="EO37"/>
  <c r="BU37"/>
  <c r="Y37"/>
  <c r="CB37"/>
  <c r="BD37"/>
  <c r="BZ37"/>
  <c r="FJ37"/>
  <c r="X37"/>
  <c r="BF37"/>
  <c r="DY37"/>
  <c r="CZ37"/>
  <c r="BL37"/>
  <c r="EP37"/>
  <c r="EH37"/>
  <c r="CD37"/>
  <c r="DA37"/>
  <c r="AM37"/>
  <c r="AF37"/>
  <c r="DX37"/>
  <c r="Z37"/>
  <c r="AW37"/>
  <c r="DP37"/>
  <c r="CS37"/>
  <c r="EF37"/>
  <c r="CL37"/>
  <c r="FL37"/>
  <c r="P37"/>
  <c r="FT37"/>
  <c r="AV37"/>
  <c r="CK37"/>
  <c r="BV37"/>
  <c r="BM37"/>
  <c r="EW37"/>
  <c r="BT37"/>
  <c r="DH37"/>
  <c r="BC37"/>
  <c r="FE37"/>
  <c r="BE37"/>
  <c r="AE37"/>
  <c r="DI37"/>
  <c r="AU37"/>
  <c r="EV37"/>
  <c r="AL37"/>
  <c r="AN37"/>
  <c r="CY37"/>
  <c r="DQ37"/>
  <c r="EG37"/>
  <c r="FD37"/>
  <c r="CT37"/>
  <c r="CJ37"/>
  <c r="BN37"/>
  <c r="CC37"/>
  <c r="EE37"/>
  <c r="AD37"/>
  <c r="FF37"/>
  <c r="AH37"/>
  <c r="U37"/>
  <c r="CR37"/>
  <c r="EN37"/>
  <c r="DO37"/>
  <c r="DL37"/>
  <c r="AP37"/>
  <c r="AT37"/>
  <c r="BP37"/>
  <c r="BB37"/>
  <c r="V37"/>
  <c r="AZ37"/>
  <c r="CQ37"/>
  <c r="FK37"/>
  <c r="ED37"/>
  <c r="CU37"/>
  <c r="FC37"/>
  <c r="FU37"/>
  <c r="DG37"/>
  <c r="AR37"/>
  <c r="DM37"/>
  <c r="DE37"/>
  <c r="DR37"/>
  <c r="FQ37"/>
  <c r="DT37"/>
  <c r="FA37"/>
  <c r="EX37"/>
  <c r="CE37"/>
  <c r="FP37"/>
  <c r="BR37"/>
  <c r="AO37"/>
  <c r="BA37"/>
  <c r="ES37"/>
  <c r="BQ37"/>
  <c r="BH37"/>
  <c r="BW37"/>
  <c r="W37"/>
  <c r="BY37"/>
  <c r="DB37"/>
  <c r="R37"/>
  <c r="L37"/>
  <c r="CN37"/>
  <c r="DK37"/>
  <c r="O37"/>
  <c r="AS37"/>
  <c r="ER37"/>
  <c r="DW37"/>
  <c r="BI37"/>
  <c r="FB37"/>
  <c r="N37"/>
  <c r="M37"/>
  <c r="DV37"/>
  <c r="DN37"/>
  <c r="EC37"/>
  <c r="EI37"/>
  <c r="AY37"/>
  <c r="AC37"/>
  <c r="FG37"/>
  <c r="FI37"/>
  <c r="BS37"/>
  <c r="DS37"/>
  <c r="CV37"/>
  <c r="DZ37"/>
  <c r="BJ37"/>
  <c r="BO37"/>
  <c r="K37"/>
  <c r="FH37"/>
  <c r="EM37"/>
  <c r="CO37"/>
  <c r="CI37"/>
  <c r="BK37"/>
  <c r="CP37"/>
  <c r="CG37"/>
  <c r="FS37"/>
  <c r="S37"/>
  <c r="EU37"/>
  <c r="CH37"/>
  <c r="EL37"/>
  <c r="CX37"/>
  <c r="FR37"/>
  <c r="CF37"/>
  <c r="EA37"/>
  <c r="CW37"/>
  <c r="EK37"/>
  <c r="ET37"/>
  <c r="EZ37"/>
  <c r="AJ37"/>
  <c r="AB37"/>
  <c r="AK37"/>
  <c r="EB37"/>
  <c r="AI37"/>
  <c r="CA37"/>
  <c r="DF37"/>
  <c r="T37"/>
  <c r="EQ37"/>
  <c r="DU37"/>
  <c r="AQ37"/>
  <c r="AX37"/>
  <c r="BX37"/>
  <c r="AA37"/>
  <c r="EY37"/>
  <c r="DC37"/>
  <c r="DJ37"/>
  <c r="DD37"/>
  <c r="BG37"/>
  <c r="FO37"/>
  <c r="FV37"/>
  <c r="EJ37"/>
  <c r="CM37"/>
  <c r="FN37"/>
  <c r="J37"/>
  <c r="D37" l="1"/>
  <c r="D50" s="1"/>
  <c r="D32"/>
  <c r="D44" s="1"/>
  <c r="C21"/>
  <c r="C43" s="1"/>
  <c r="C26"/>
  <c r="C49" s="1"/>
  <c r="C32"/>
  <c r="C44" s="1"/>
  <c r="C37"/>
  <c r="D21"/>
  <c r="D43" s="1"/>
  <c r="D45" s="1"/>
  <c r="D26"/>
  <c r="D49" s="1"/>
  <c r="D51" s="1"/>
  <c r="C10"/>
  <c r="C45" l="1"/>
  <c r="C46" s="1"/>
  <c r="C38"/>
  <c r="C50"/>
  <c r="C51" s="1"/>
  <c r="C52" s="1"/>
  <c r="C33"/>
  <c r="C22"/>
  <c r="C27"/>
</calcChain>
</file>

<file path=xl/sharedStrings.xml><?xml version="1.0" encoding="utf-8"?>
<sst xmlns="http://schemas.openxmlformats.org/spreadsheetml/2006/main" count="1443" uniqueCount="195">
  <si>
    <t>Date</t>
  </si>
  <si>
    <t>Utilisation</t>
  </si>
  <si>
    <t>Total</t>
  </si>
  <si>
    <t/>
  </si>
  <si>
    <t>Finance</t>
  </si>
  <si>
    <t>Kerry McConnell</t>
  </si>
  <si>
    <t>Peter Sherry</t>
  </si>
  <si>
    <t>Days</t>
  </si>
  <si>
    <t>Total Days</t>
  </si>
  <si>
    <t>Resource</t>
  </si>
  <si>
    <t>Glenn Kirk</t>
  </si>
  <si>
    <t>Resource Demand by Activity (FTE)</t>
  </si>
  <si>
    <t>Complexity</t>
  </si>
  <si>
    <t>H</t>
  </si>
  <si>
    <t>M</t>
  </si>
  <si>
    <t>L</t>
  </si>
  <si>
    <t>Junior Accountant</t>
  </si>
  <si>
    <t>Senior Accountant</t>
  </si>
  <si>
    <t>TM1 Analyst</t>
  </si>
  <si>
    <t>Evan Loftus</t>
  </si>
  <si>
    <t>WD1</t>
  </si>
  <si>
    <t>WD2</t>
  </si>
  <si>
    <t>WD3</t>
  </si>
  <si>
    <t>WD4</t>
  </si>
  <si>
    <t>WD5</t>
  </si>
  <si>
    <t>WD6</t>
  </si>
  <si>
    <t>WD7</t>
  </si>
  <si>
    <t>WD8</t>
  </si>
  <si>
    <t>WD9</t>
  </si>
  <si>
    <t>WD10</t>
  </si>
  <si>
    <t>WD11</t>
  </si>
  <si>
    <t>WD12</t>
  </si>
  <si>
    <t>WD13</t>
  </si>
  <si>
    <t>WD14</t>
  </si>
  <si>
    <t>WD15</t>
  </si>
  <si>
    <t>WD16</t>
  </si>
  <si>
    <t>WD17</t>
  </si>
  <si>
    <t>WD18</t>
  </si>
  <si>
    <t>WD19</t>
  </si>
  <si>
    <t>WD20</t>
  </si>
  <si>
    <t>WD21</t>
  </si>
  <si>
    <t>Working Day</t>
  </si>
  <si>
    <t>Mon</t>
  </si>
  <si>
    <t>Tue</t>
  </si>
  <si>
    <t>Wed</t>
  </si>
  <si>
    <t>Thu</t>
  </si>
  <si>
    <t>Fri</t>
  </si>
  <si>
    <t>Sat</t>
  </si>
  <si>
    <t>Sun</t>
  </si>
  <si>
    <t>Commen</t>
  </si>
  <si>
    <t xml:space="preserve"> </t>
  </si>
  <si>
    <t xml:space="preserve">1. Opening Balances </t>
  </si>
  <si>
    <t>1.1 Preparation</t>
  </si>
  <si>
    <t>1.2 Review</t>
  </si>
  <si>
    <t>1.3 Supervision</t>
  </si>
  <si>
    <t>1.4 Sign-off</t>
  </si>
  <si>
    <t>1.5 Technical Support</t>
  </si>
  <si>
    <t xml:space="preserve">2. Quarterly Reporting (QRTs) </t>
  </si>
  <si>
    <t>2.1 Preparation</t>
  </si>
  <si>
    <t>2.2 Review</t>
  </si>
  <si>
    <t>2.3 Supervision</t>
  </si>
  <si>
    <t>2.4 Sign-off</t>
  </si>
  <si>
    <t>2.5 Technical Support</t>
  </si>
  <si>
    <t>3. Quarterly Process Documentation</t>
  </si>
  <si>
    <t>3.1 Preparation</t>
  </si>
  <si>
    <t>3.2 FCF Review</t>
  </si>
  <si>
    <t>3.3 Supervision</t>
  </si>
  <si>
    <t>3.4 Sign-off</t>
  </si>
  <si>
    <t>3.5 Job 5</t>
  </si>
  <si>
    <t xml:space="preserve">4. Annual Reporting (QRTs) </t>
  </si>
  <si>
    <t>5. Annual Process Documentation</t>
  </si>
  <si>
    <t>5.1 Preparation</t>
  </si>
  <si>
    <t>5.2 FCF Review</t>
  </si>
  <si>
    <t>5.3 Supervision</t>
  </si>
  <si>
    <t>5.4 Sign-off</t>
  </si>
  <si>
    <t>5.5 Job 5</t>
  </si>
  <si>
    <t>8. NSTs/ECB Development &amp; Reporting</t>
  </si>
  <si>
    <t>4.1 Preparation</t>
  </si>
  <si>
    <t>4.2 Review</t>
  </si>
  <si>
    <t>4.3 Supervision</t>
  </si>
  <si>
    <t>4.4 Sign-off</t>
  </si>
  <si>
    <t>4.5 Technical Support</t>
  </si>
  <si>
    <t>6. SFCR Development &amp; Dry Run</t>
  </si>
  <si>
    <t>7. RSR Development &amp; Dry Run</t>
  </si>
  <si>
    <t>6.1 Preparation</t>
  </si>
  <si>
    <t>6.3 Supervision</t>
  </si>
  <si>
    <t>6.4 Sign-off</t>
  </si>
  <si>
    <t>6.2 Review</t>
  </si>
  <si>
    <t>6.5 Co-ordination</t>
  </si>
  <si>
    <t>7.1 Preparation</t>
  </si>
  <si>
    <t>7.2 Review</t>
  </si>
  <si>
    <t>7.3 Supervision</t>
  </si>
  <si>
    <t>7.4 Sign-off</t>
  </si>
  <si>
    <t>7.5 Co-ordination</t>
  </si>
  <si>
    <t>8.2 Review</t>
  </si>
  <si>
    <t>8.4 Sign-off</t>
  </si>
  <si>
    <t>8.1 Development</t>
  </si>
  <si>
    <t>8.2 Preparation</t>
  </si>
  <si>
    <t>8.5 Technical Support</t>
  </si>
  <si>
    <t>Total WD</t>
  </si>
  <si>
    <t>9. Technical Support</t>
  </si>
  <si>
    <t>10. SAP</t>
  </si>
  <si>
    <t>10.1 SAP Go Live - FSCP Readiness</t>
  </si>
  <si>
    <t>10.2 SAP Go Live - 123 / NI cut over</t>
  </si>
  <si>
    <t>11. FDS Release 3</t>
  </si>
  <si>
    <t>11.1 FDS Release 3 - HDL - SIS  SII Test</t>
  </si>
  <si>
    <t xml:space="preserve">11.2 FDS Release 3 - UAT / Ops models / PGLS </t>
  </si>
  <si>
    <t>12. FDS Release 4</t>
  </si>
  <si>
    <t>12.1 FDS Release 4 - Ireland LOB changes for Claims HDL</t>
  </si>
  <si>
    <t>12.2 FDS Release 4 - Business Familiarisation with RDS/CDS/Sandpit</t>
  </si>
  <si>
    <t xml:space="preserve">12.3 FDS Release 4 - Ireland TDS/ADS UAT </t>
  </si>
  <si>
    <t>12.4 FDS Release 4 - Business Validate TDS/ADS data</t>
  </si>
  <si>
    <t>12.5 FDS Release 4 - Ireland BAT prep</t>
  </si>
  <si>
    <t>12.6 FDS Release 4 - Ireland BAT</t>
  </si>
  <si>
    <t xml:space="preserve">12.7 FDS Release 4 - UK &amp; Ireland CRs UAT </t>
  </si>
  <si>
    <t>12.8 FDS Release 4 - UK &amp; IRE Regression testing</t>
  </si>
  <si>
    <t xml:space="preserve">12.9 FDS Release 4 - Sign off for go live </t>
  </si>
  <si>
    <t>12.10 FDS Release 4 - PGLS support</t>
  </si>
  <si>
    <t>12.11 FDS Release 4 - Handover to BAU</t>
  </si>
  <si>
    <t xml:space="preserve">12.12 FDS Release 4 - Ireland E2E Dry Run (inc Annual) </t>
  </si>
  <si>
    <t>9.1 UAT</t>
  </si>
  <si>
    <t>9.2 CBI Uploads</t>
  </si>
  <si>
    <t>9.3 TM1 Mapping Requirements</t>
  </si>
  <si>
    <t>10. BAU Transition</t>
  </si>
  <si>
    <t>10.1 Opening Balances</t>
  </si>
  <si>
    <t xml:space="preserve">10.2 Quarterly Reporting (QRTs) </t>
  </si>
  <si>
    <t>10.3 Quarterly Process Documentation</t>
  </si>
  <si>
    <t xml:space="preserve">10.4 Annual Reporting (QRTs) </t>
  </si>
  <si>
    <t>10.5 Annual Process Documentation</t>
  </si>
  <si>
    <t>10.6 SFCR Development &amp; Dry Run</t>
  </si>
  <si>
    <t>10.7 RSR Development &amp; Dry Run</t>
  </si>
  <si>
    <t>T</t>
  </si>
  <si>
    <t xml:space="preserve">10.8 NSTs/ECB Development &amp; Reporting </t>
  </si>
  <si>
    <t>1. Opening Balances  1.5 Technical Support</t>
  </si>
  <si>
    <t>2. Quarterly Reporting (QRTs)  2.5 Technical Support</t>
  </si>
  <si>
    <t>4. Annual Reporting (QRTs)  4.5 Technical Support</t>
  </si>
  <si>
    <t>8. NSTs/ECB Development &amp; Reporting 8.5 Technical Support</t>
  </si>
  <si>
    <t>9. Technical Support 9.1 UAT</t>
  </si>
  <si>
    <t>9. Technical Support 9.2 CBI Uploads</t>
  </si>
  <si>
    <t>9. Technical Support 9.3 TM1 Mapping Requirements</t>
  </si>
  <si>
    <t>10. BAU Transition 10.1 Opening Balances</t>
  </si>
  <si>
    <t xml:space="preserve">10. BAU Transition 10.2 Quarterly Reporting (QRTs) </t>
  </si>
  <si>
    <t xml:space="preserve">10. BAU Transition 10.4 Annual Reporting (QRTs) </t>
  </si>
  <si>
    <t xml:space="preserve">10. BAU Transition 10.8 NSTs/ECB Development &amp; Reporting </t>
  </si>
  <si>
    <t>1. Opening Balances  1.2 Review</t>
  </si>
  <si>
    <t>2. Quarterly Reporting (QRTs)  2.2 Review</t>
  </si>
  <si>
    <t>3. Quarterly Process Documentation 3.2 FCF Review</t>
  </si>
  <si>
    <t>4. Annual Reporting (QRTs)  4.2 Review</t>
  </si>
  <si>
    <t>5. Annual Process Documentation 5.2 FCF Review</t>
  </si>
  <si>
    <t>6. SFCR Development &amp; Dry Run 6.1 Preparation</t>
  </si>
  <si>
    <t>6. SFCR Development &amp; Dry Run 6.5 Co-ordination</t>
  </si>
  <si>
    <t>7. RSR Development &amp; Dry Run 7.1 Preparation</t>
  </si>
  <si>
    <t>7. RSR Development &amp; Dry Run 7.5 Co-ordination</t>
  </si>
  <si>
    <t>8. NSTs/ECB Development &amp; Reporting 8.1 Development</t>
  </si>
  <si>
    <t>8. NSTs/ECB Development &amp; Reporting 8.2 Review</t>
  </si>
  <si>
    <t>10. BAU Transition 10.3 Quarterly Process Documentation</t>
  </si>
  <si>
    <t>10. BAU Transition 10.5 Annual Process Documentation</t>
  </si>
  <si>
    <t>10. BAU Transition 10.6 SFCR Development &amp; Dry Run</t>
  </si>
  <si>
    <t>10. BAU Transition 10.7 RSR Development &amp; Dry Run</t>
  </si>
  <si>
    <t>1. Opening Balances  1.1 Preparation</t>
  </si>
  <si>
    <t>2. Quarterly Reporting (QRTs)  2.1 Preparation</t>
  </si>
  <si>
    <t>3. Quarterly Process Documentation 3.1 Preparation</t>
  </si>
  <si>
    <t>4. Annual Reporting (QRTs)  4.1 Preparation</t>
  </si>
  <si>
    <t>5. Annual Process Documentation 5.1 Preparation</t>
  </si>
  <si>
    <t>8. NSTs/ECB Development &amp; Reporting 8.2 Preparation</t>
  </si>
  <si>
    <t>1. Opening Balances  1.3 Supervision</t>
  </si>
  <si>
    <t>2. Quarterly Reporting (QRTs)  2.3 Supervision</t>
  </si>
  <si>
    <t>3. Quarterly Process Documentation 3.3 Supervision</t>
  </si>
  <si>
    <t>4. Annual Reporting (QRTs)  4.3 Supervision</t>
  </si>
  <si>
    <t>5. Annual Process Documentation 5.3 Supervision</t>
  </si>
  <si>
    <t>6. SFCR Development &amp; Dry Run 6.2 Review</t>
  </si>
  <si>
    <t>6. SFCR Development &amp; Dry Run 6.3 Supervision</t>
  </si>
  <si>
    <t>7. RSR Development &amp; Dry Run 7.2 Review</t>
  </si>
  <si>
    <t>7. RSR Development &amp; Dry Run 7.3 Supervision</t>
  </si>
  <si>
    <t>10. SAP 10.1 SAP Go Live - FSCP Readiness</t>
  </si>
  <si>
    <t>10. SAP 10.2 SAP Go Live - 123 / NI cut over</t>
  </si>
  <si>
    <t>11. FDS Release 3 11.1 FDS Release 3 - HDL - SIS  SII Test</t>
  </si>
  <si>
    <t xml:space="preserve">11. FDS Release 3 11.2 FDS Release 3 - UAT / Ops models / PGLS </t>
  </si>
  <si>
    <t xml:space="preserve">12. FDS Release 4 12.3 FDS Release 4 - Ireland TDS/ADS UAT </t>
  </si>
  <si>
    <t>12. FDS Release 4 12.5 FDS Release 4 - Ireland BAT prep</t>
  </si>
  <si>
    <t>12. FDS Release 4 12.6 FDS Release 4 - Ireland BAT</t>
  </si>
  <si>
    <t xml:space="preserve">12. FDS Release 4 12.7 FDS Release 4 - UK &amp; Ireland CRs UAT </t>
  </si>
  <si>
    <t>12. FDS Release 4 12.8 FDS Release 4 - UK &amp; IRE Regression testing</t>
  </si>
  <si>
    <t xml:space="preserve">12. FDS Release 4 12.9 FDS Release 4 - Sign off for go live </t>
  </si>
  <si>
    <t>12. FDS Release 4 12.10 FDS Release 4 - PGLS support</t>
  </si>
  <si>
    <t>12. FDS Release 4 12.11 FDS Release 4 - Handover to BAU</t>
  </si>
  <si>
    <t>Total Assignment</t>
  </si>
  <si>
    <t>Pillar III Resourcing</t>
  </si>
  <si>
    <t>FDS</t>
  </si>
  <si>
    <t>12. FDS Release 4 12.4 FDS Release 4 - Business Validate TDS/ADS data</t>
  </si>
  <si>
    <t xml:space="preserve">12. FDS Release 4 12.12 FDS Release 4 - Ireland E2E Dry Run (inc Annual) </t>
  </si>
  <si>
    <t>H1</t>
  </si>
  <si>
    <t>Day Count</t>
  </si>
  <si>
    <t>Low Rate (incl. VAT)</t>
  </si>
  <si>
    <t>High Rate (incl. VAT)</t>
  </si>
</sst>
</file>

<file path=xl/styles.xml><?xml version="1.0" encoding="utf-8"?>
<styleSheet xmlns="http://schemas.openxmlformats.org/spreadsheetml/2006/main">
  <numFmts count="5">
    <numFmt numFmtId="44" formatCode="_-&quot;€&quot;* #,##0.00_-;\-&quot;€&quot;* #,##0.00_-;_-&quot;€&quot;* &quot;-&quot;??_-;_-@_-"/>
    <numFmt numFmtId="43" formatCode="_-* #,##0.00_-;\-* #,##0.00_-;_-* &quot;-&quot;??_-;_-@_-"/>
    <numFmt numFmtId="164" formatCode="_-&quot;£&quot;* #,##0.00_-;\-&quot;£&quot;* #,##0.00_-;_-&quot;£&quot;* &quot;-&quot;??_-;_-@_-"/>
    <numFmt numFmtId="170" formatCode="dd\-mm"/>
    <numFmt numFmtId="171" formatCode="_-[$€-1809]* #,##0_-;\-[$€-1809]* #,##0_-;_-[$€-1809]* &quot;-&quot;??_-;_-@_-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6"/>
      <color theme="1"/>
      <name val="Arial"/>
      <family val="2"/>
    </font>
    <font>
      <b/>
      <sz val="6"/>
      <color theme="1"/>
      <name val="Arial"/>
      <family val="2"/>
    </font>
    <font>
      <sz val="11"/>
      <color rgb="FF000000"/>
      <name val="Calibri"/>
      <family val="2"/>
      <scheme val="minor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9"/>
      <color theme="0"/>
      <name val="Arial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10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3998840296639912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9">
    <xf numFmtId="0" fontId="0" fillId="0" borderId="0"/>
    <xf numFmtId="0" fontId="3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0"/>
    <xf numFmtId="0" fontId="1" fillId="0" borderId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76">
    <xf numFmtId="0" fontId="0" fillId="0" borderId="0" xfId="0"/>
    <xf numFmtId="0" fontId="0" fillId="0" borderId="0" xfId="0"/>
    <xf numFmtId="0" fontId="2" fillId="0" borderId="0" xfId="0" applyFont="1"/>
    <xf numFmtId="0" fontId="2" fillId="0" borderId="1" xfId="0" applyFont="1" applyBorder="1"/>
    <xf numFmtId="0" fontId="2" fillId="0" borderId="1" xfId="0" applyFont="1" applyBorder="1" applyAlignment="1">
      <alignment vertical="center"/>
    </xf>
    <xf numFmtId="0" fontId="6" fillId="0" borderId="0" xfId="0" applyFont="1"/>
    <xf numFmtId="0" fontId="10" fillId="0" borderId="0" xfId="0" applyFont="1"/>
    <xf numFmtId="0" fontId="8" fillId="0" borderId="14" xfId="0" applyFont="1" applyBorder="1"/>
    <xf numFmtId="0" fontId="8" fillId="0" borderId="0" xfId="0" applyFont="1" applyFill="1" applyBorder="1" applyAlignment="1">
      <alignment horizontal="center" vertical="top" textRotation="90"/>
    </xf>
    <xf numFmtId="0" fontId="8" fillId="0" borderId="0" xfId="0" applyFont="1" applyFill="1"/>
    <xf numFmtId="1" fontId="10" fillId="0" borderId="13" xfId="0" applyNumberFormat="1" applyFont="1" applyFill="1" applyBorder="1"/>
    <xf numFmtId="1" fontId="10" fillId="0" borderId="1" xfId="0" applyNumberFormat="1" applyFont="1" applyFill="1" applyBorder="1"/>
    <xf numFmtId="1" fontId="10" fillId="0" borderId="0" xfId="0" applyNumberFormat="1" applyFont="1" applyFill="1" applyBorder="1"/>
    <xf numFmtId="1" fontId="10" fillId="0" borderId="2" xfId="0" applyNumberFormat="1" applyFont="1" applyFill="1" applyBorder="1"/>
    <xf numFmtId="0" fontId="10" fillId="0" borderId="0" xfId="0" applyFont="1" applyFill="1" applyBorder="1"/>
    <xf numFmtId="0" fontId="8" fillId="0" borderId="0" xfId="0" applyFont="1" applyBorder="1"/>
    <xf numFmtId="14" fontId="2" fillId="0" borderId="0" xfId="0" applyNumberFormat="1" applyFont="1"/>
    <xf numFmtId="0" fontId="2" fillId="0" borderId="0" xfId="0" applyFont="1" applyAlignment="1">
      <alignment horizontal="center"/>
    </xf>
    <xf numFmtId="0" fontId="10" fillId="5" borderId="0" xfId="0" applyFont="1" applyFill="1" applyBorder="1" applyAlignment="1">
      <alignment horizontal="left" vertical="center"/>
    </xf>
    <xf numFmtId="1" fontId="2" fillId="0" borderId="1" xfId="0" applyNumberFormat="1" applyFont="1" applyBorder="1" applyAlignment="1">
      <alignment horizontal="center" vertical="center" textRotation="90"/>
    </xf>
    <xf numFmtId="1" fontId="8" fillId="9" borderId="3" xfId="0" applyNumberFormat="1" applyFont="1" applyFill="1" applyBorder="1" applyAlignment="1"/>
    <xf numFmtId="1" fontId="6" fillId="9" borderId="3" xfId="0" applyNumberFormat="1" applyFont="1" applyFill="1" applyBorder="1" applyAlignment="1"/>
    <xf numFmtId="0" fontId="6" fillId="9" borderId="3" xfId="0" applyFont="1" applyFill="1" applyBorder="1" applyAlignment="1"/>
    <xf numFmtId="0" fontId="6" fillId="9" borderId="6" xfId="0" applyFont="1" applyFill="1" applyBorder="1" applyAlignment="1"/>
    <xf numFmtId="1" fontId="2" fillId="9" borderId="1" xfId="0" applyNumberFormat="1" applyFont="1" applyFill="1" applyBorder="1" applyAlignment="1">
      <alignment horizontal="center" vertical="center" textRotation="90"/>
    </xf>
    <xf numFmtId="0" fontId="6" fillId="9" borderId="0" xfId="0" applyFont="1" applyFill="1"/>
    <xf numFmtId="1" fontId="12" fillId="7" borderId="3" xfId="0" applyNumberFormat="1" applyFont="1" applyFill="1" applyBorder="1" applyAlignment="1">
      <alignment horizontal="left"/>
    </xf>
    <xf numFmtId="1" fontId="11" fillId="2" borderId="3" xfId="0" applyNumberFormat="1" applyFont="1" applyFill="1" applyBorder="1" applyAlignment="1">
      <alignment horizontal="left"/>
    </xf>
    <xf numFmtId="0" fontId="10" fillId="0" borderId="0" xfId="0" applyFont="1" applyFill="1"/>
    <xf numFmtId="0" fontId="6" fillId="0" borderId="0" xfId="0" applyFont="1" applyFill="1"/>
    <xf numFmtId="1" fontId="2" fillId="0" borderId="1" xfId="0" applyNumberFormat="1" applyFont="1" applyFill="1" applyBorder="1" applyAlignment="1">
      <alignment horizontal="center" vertical="center" textRotation="90"/>
    </xf>
    <xf numFmtId="0" fontId="8" fillId="0" borderId="1" xfId="0" applyFont="1" applyFill="1" applyBorder="1"/>
    <xf numFmtId="2" fontId="13" fillId="8" borderId="3" xfId="0" applyNumberFormat="1" applyFont="1" applyFill="1" applyBorder="1"/>
    <xf numFmtId="2" fontId="13" fillId="9" borderId="3" xfId="0" applyNumberFormat="1" applyFont="1" applyFill="1" applyBorder="1"/>
    <xf numFmtId="2" fontId="13" fillId="2" borderId="3" xfId="0" applyNumberFormat="1" applyFont="1" applyFill="1" applyBorder="1"/>
    <xf numFmtId="2" fontId="13" fillId="0" borderId="0" xfId="0" applyNumberFormat="1" applyFont="1" applyFill="1" applyBorder="1"/>
    <xf numFmtId="2" fontId="13" fillId="9" borderId="0" xfId="0" applyNumberFormat="1" applyFont="1" applyFill="1" applyBorder="1"/>
    <xf numFmtId="1" fontId="11" fillId="2" borderId="8" xfId="0" applyNumberFormat="1" applyFont="1" applyFill="1" applyBorder="1" applyAlignment="1">
      <alignment horizontal="left"/>
    </xf>
    <xf numFmtId="1" fontId="11" fillId="2" borderId="0" xfId="0" applyNumberFormat="1" applyFont="1" applyFill="1" applyBorder="1" applyAlignment="1">
      <alignment horizontal="left"/>
    </xf>
    <xf numFmtId="1" fontId="11" fillId="2" borderId="14" xfId="0" applyNumberFormat="1" applyFont="1" applyFill="1" applyBorder="1" applyAlignment="1">
      <alignment horizontal="left"/>
    </xf>
    <xf numFmtId="1" fontId="12" fillId="7" borderId="14" xfId="0" applyNumberFormat="1" applyFont="1" applyFill="1" applyBorder="1" applyAlignment="1">
      <alignment horizontal="left"/>
    </xf>
    <xf numFmtId="2" fontId="13" fillId="7" borderId="3" xfId="0" applyNumberFormat="1" applyFont="1" applyFill="1" applyBorder="1"/>
    <xf numFmtId="2" fontId="10" fillId="0" borderId="0" xfId="0" applyNumberFormat="1" applyFont="1" applyFill="1"/>
    <xf numFmtId="0" fontId="10" fillId="0" borderId="0" xfId="0" applyFont="1" applyFill="1" applyAlignment="1">
      <alignment horizontal="center"/>
    </xf>
    <xf numFmtId="0" fontId="8" fillId="0" borderId="1" xfId="0" applyFont="1" applyFill="1" applyBorder="1" applyAlignment="1">
      <alignment horizontal="center"/>
    </xf>
    <xf numFmtId="9" fontId="8" fillId="0" borderId="1" xfId="14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2" fontId="13" fillId="0" borderId="5" xfId="0" applyNumberFormat="1" applyFont="1" applyFill="1" applyBorder="1"/>
    <xf numFmtId="2" fontId="13" fillId="0" borderId="8" xfId="0" applyNumberFormat="1" applyFont="1" applyFill="1" applyBorder="1"/>
    <xf numFmtId="2" fontId="13" fillId="9" borderId="8" xfId="0" applyNumberFormat="1" applyFont="1" applyFill="1" applyBorder="1"/>
    <xf numFmtId="2" fontId="13" fillId="0" borderId="9" xfId="0" applyNumberFormat="1" applyFont="1" applyFill="1" applyBorder="1"/>
    <xf numFmtId="2" fontId="13" fillId="0" borderId="11" xfId="0" applyNumberFormat="1" applyFont="1" applyFill="1" applyBorder="1"/>
    <xf numFmtId="2" fontId="13" fillId="0" borderId="12" xfId="0" applyNumberFormat="1" applyFont="1" applyFill="1" applyBorder="1"/>
    <xf numFmtId="2" fontId="13" fillId="0" borderId="13" xfId="0" applyNumberFormat="1" applyFont="1" applyFill="1" applyBorder="1"/>
    <xf numFmtId="2" fontId="13" fillId="0" borderId="14" xfId="0" applyNumberFormat="1" applyFont="1" applyFill="1" applyBorder="1"/>
    <xf numFmtId="2" fontId="13" fillId="9" borderId="14" xfId="0" applyNumberFormat="1" applyFont="1" applyFill="1" applyBorder="1"/>
    <xf numFmtId="2" fontId="13" fillId="0" borderId="10" xfId="0" applyNumberFormat="1" applyFont="1" applyFill="1" applyBorder="1"/>
    <xf numFmtId="0" fontId="0" fillId="0" borderId="0" xfId="0" applyBorder="1"/>
    <xf numFmtId="0" fontId="0" fillId="0" borderId="0" xfId="0" applyAlignment="1">
      <alignment horizontal="left" vertical="center"/>
    </xf>
    <xf numFmtId="1" fontId="6" fillId="0" borderId="1" xfId="0" applyNumberFormat="1" applyFont="1" applyFill="1" applyBorder="1" applyAlignment="1">
      <alignment horizontal="left" vertical="center"/>
    </xf>
    <xf numFmtId="1" fontId="6" fillId="0" borderId="2" xfId="0" applyNumberFormat="1" applyFont="1" applyFill="1" applyBorder="1" applyAlignment="1">
      <alignment horizontal="left" vertical="center"/>
    </xf>
    <xf numFmtId="1" fontId="6" fillId="0" borderId="1" xfId="0" applyNumberFormat="1" applyFont="1" applyFill="1" applyBorder="1" applyAlignment="1">
      <alignment vertical="center"/>
    </xf>
    <xf numFmtId="0" fontId="8" fillId="9" borderId="0" xfId="0" applyFont="1" applyFill="1" applyBorder="1"/>
    <xf numFmtId="0" fontId="2" fillId="0" borderId="0" xfId="0" applyFont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1" fontId="0" fillId="0" borderId="1" xfId="0" applyNumberFormat="1" applyFont="1" applyFill="1" applyBorder="1" applyAlignment="1">
      <alignment horizontal="left" vertical="center"/>
    </xf>
    <xf numFmtId="9" fontId="0" fillId="0" borderId="1" xfId="14" applyFont="1" applyBorder="1" applyAlignment="1">
      <alignment horizontal="center" vertical="center"/>
    </xf>
    <xf numFmtId="0" fontId="0" fillId="0" borderId="1" xfId="0" applyFont="1" applyBorder="1" applyAlignment="1">
      <alignment vertical="center"/>
    </xf>
    <xf numFmtId="0" fontId="5" fillId="3" borderId="1" xfId="0" applyFont="1" applyFill="1" applyBorder="1" applyAlignment="1">
      <alignment horizontal="left" vertical="center"/>
    </xf>
    <xf numFmtId="1" fontId="0" fillId="0" borderId="1" xfId="0" applyNumberFormat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5" fillId="3" borderId="1" xfId="0" applyFont="1" applyFill="1" applyBorder="1" applyAlignment="1">
      <alignment horizontal="center" vertical="center"/>
    </xf>
    <xf numFmtId="1" fontId="9" fillId="6" borderId="1" xfId="0" applyNumberFormat="1" applyFont="1" applyFill="1" applyBorder="1" applyAlignment="1">
      <alignment horizontal="left" vertical="center"/>
    </xf>
    <xf numFmtId="0" fontId="7" fillId="6" borderId="1" xfId="0" applyFont="1" applyFill="1" applyBorder="1"/>
    <xf numFmtId="0" fontId="7" fillId="6" borderId="1" xfId="0" applyFont="1" applyFill="1" applyBorder="1" applyAlignment="1">
      <alignment vertical="center"/>
    </xf>
    <xf numFmtId="1" fontId="9" fillId="6" borderId="4" xfId="0" applyNumberFormat="1" applyFont="1" applyFill="1" applyBorder="1" applyAlignment="1">
      <alignment horizontal="left" vertical="center"/>
    </xf>
    <xf numFmtId="0" fontId="7" fillId="6" borderId="4" xfId="0" applyFont="1" applyFill="1" applyBorder="1"/>
    <xf numFmtId="1" fontId="6" fillId="0" borderId="7" xfId="0" applyNumberFormat="1" applyFont="1" applyFill="1" applyBorder="1" applyAlignment="1">
      <alignment vertical="center"/>
    </xf>
    <xf numFmtId="2" fontId="13" fillId="0" borderId="6" xfId="0" applyNumberFormat="1" applyFont="1" applyFill="1" applyBorder="1"/>
    <xf numFmtId="2" fontId="13" fillId="0" borderId="2" xfId="0" applyNumberFormat="1" applyFont="1" applyFill="1" applyBorder="1"/>
    <xf numFmtId="2" fontId="13" fillId="0" borderId="3" xfId="0" applyNumberFormat="1" applyFont="1" applyFill="1" applyBorder="1"/>
    <xf numFmtId="1" fontId="6" fillId="0" borderId="2" xfId="0" applyNumberFormat="1" applyFont="1" applyFill="1" applyBorder="1" applyAlignment="1">
      <alignment vertical="center"/>
    </xf>
    <xf numFmtId="0" fontId="10" fillId="5" borderId="14" xfId="0" applyFont="1" applyFill="1" applyBorder="1" applyAlignment="1">
      <alignment horizontal="left" vertical="center"/>
    </xf>
    <xf numFmtId="14" fontId="2" fillId="0" borderId="11" xfId="0" applyNumberFormat="1" applyFont="1" applyBorder="1"/>
    <xf numFmtId="14" fontId="2" fillId="0" borderId="0" xfId="0" applyNumberFormat="1" applyFont="1" applyBorder="1"/>
    <xf numFmtId="14" fontId="2" fillId="9" borderId="0" xfId="0" applyNumberFormat="1" applyFont="1" applyFill="1" applyBorder="1"/>
    <xf numFmtId="14" fontId="2" fillId="0" borderId="12" xfId="0" applyNumberFormat="1" applyFont="1" applyBorder="1"/>
    <xf numFmtId="1" fontId="6" fillId="9" borderId="2" xfId="0" applyNumberFormat="1" applyFont="1" applyFill="1" applyBorder="1" applyAlignment="1"/>
    <xf numFmtId="2" fontId="13" fillId="8" borderId="2" xfId="0" applyNumberFormat="1" applyFont="1" applyFill="1" applyBorder="1"/>
    <xf numFmtId="2" fontId="13" fillId="8" borderId="6" xfId="0" applyNumberFormat="1" applyFont="1" applyFill="1" applyBorder="1"/>
    <xf numFmtId="2" fontId="13" fillId="2" borderId="2" xfId="0" applyNumberFormat="1" applyFont="1" applyFill="1" applyBorder="1"/>
    <xf numFmtId="2" fontId="13" fillId="2" borderId="6" xfId="0" applyNumberFormat="1" applyFont="1" applyFill="1" applyBorder="1"/>
    <xf numFmtId="0" fontId="8" fillId="0" borderId="0" xfId="0" applyFont="1" applyFill="1" applyBorder="1"/>
    <xf numFmtId="2" fontId="14" fillId="0" borderId="0" xfId="0" applyNumberFormat="1" applyFont="1" applyFill="1" applyBorder="1"/>
    <xf numFmtId="2" fontId="13" fillId="7" borderId="2" xfId="0" applyNumberFormat="1" applyFont="1" applyFill="1" applyBorder="1"/>
    <xf numFmtId="2" fontId="13" fillId="7" borderId="6" xfId="0" applyNumberFormat="1" applyFont="1" applyFill="1" applyBorder="1"/>
    <xf numFmtId="0" fontId="8" fillId="0" borderId="12" xfId="0" applyFont="1" applyFill="1" applyBorder="1"/>
    <xf numFmtId="0" fontId="6" fillId="0" borderId="0" xfId="0" applyFont="1" applyBorder="1"/>
    <xf numFmtId="1" fontId="10" fillId="0" borderId="1" xfId="0" applyNumberFormat="1" applyFont="1" applyFill="1" applyBorder="1" applyAlignment="1">
      <alignment vertical="center"/>
    </xf>
    <xf numFmtId="1" fontId="10" fillId="0" borderId="1" xfId="0" applyNumberFormat="1" applyFont="1" applyFill="1" applyBorder="1" applyAlignment="1">
      <alignment horizontal="center" vertical="center"/>
    </xf>
    <xf numFmtId="1" fontId="10" fillId="0" borderId="2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horizontal="left" vertical="center"/>
    </xf>
    <xf numFmtId="0" fontId="16" fillId="5" borderId="11" xfId="0" applyFont="1" applyFill="1" applyBorder="1" applyAlignment="1">
      <alignment horizontal="left" vertical="center"/>
    </xf>
    <xf numFmtId="0" fontId="16" fillId="5" borderId="0" xfId="0" applyFont="1" applyFill="1" applyBorder="1" applyAlignment="1">
      <alignment horizontal="left" vertical="center"/>
    </xf>
    <xf numFmtId="0" fontId="17" fillId="5" borderId="12" xfId="0" applyFont="1" applyFill="1" applyBorder="1" applyAlignment="1">
      <alignment horizontal="center" vertical="center"/>
    </xf>
    <xf numFmtId="0" fontId="16" fillId="5" borderId="13" xfId="0" applyFont="1" applyFill="1" applyBorder="1" applyAlignment="1">
      <alignment horizontal="left" vertical="center"/>
    </xf>
    <xf numFmtId="0" fontId="16" fillId="5" borderId="14" xfId="0" applyFont="1" applyFill="1" applyBorder="1" applyAlignment="1">
      <alignment horizontal="left" vertical="center"/>
    </xf>
    <xf numFmtId="0" fontId="17" fillId="5" borderId="10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vertical="center"/>
    </xf>
    <xf numFmtId="0" fontId="16" fillId="0" borderId="11" xfId="0" applyFont="1" applyFill="1" applyBorder="1" applyAlignment="1">
      <alignment horizontal="left" vertical="center"/>
    </xf>
    <xf numFmtId="0" fontId="16" fillId="0" borderId="0" xfId="0" applyFon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left" vertical="center"/>
    </xf>
    <xf numFmtId="1" fontId="16" fillId="9" borderId="2" xfId="0" applyNumberFormat="1" applyFont="1" applyFill="1" applyBorder="1" applyAlignment="1">
      <alignment vertical="center"/>
    </xf>
    <xf numFmtId="1" fontId="16" fillId="9" borderId="3" xfId="0" applyNumberFormat="1" applyFont="1" applyFill="1" applyBorder="1" applyAlignment="1">
      <alignment vertical="center"/>
    </xf>
    <xf numFmtId="1" fontId="16" fillId="9" borderId="3" xfId="0" applyNumberFormat="1" applyFont="1" applyFill="1" applyBorder="1" applyAlignment="1">
      <alignment horizontal="center"/>
    </xf>
    <xf numFmtId="1" fontId="19" fillId="7" borderId="2" xfId="0" applyNumberFormat="1" applyFont="1" applyFill="1" applyBorder="1" applyAlignment="1">
      <alignment horizontal="left"/>
    </xf>
    <xf numFmtId="1" fontId="19" fillId="7" borderId="3" xfId="0" applyNumberFormat="1" applyFont="1" applyFill="1" applyBorder="1" applyAlignment="1">
      <alignment horizontal="left"/>
    </xf>
    <xf numFmtId="1" fontId="19" fillId="7" borderId="3" xfId="0" applyNumberFormat="1" applyFont="1" applyFill="1" applyBorder="1" applyAlignment="1">
      <alignment horizontal="center"/>
    </xf>
    <xf numFmtId="1" fontId="20" fillId="2" borderId="2" xfId="0" applyNumberFormat="1" applyFont="1" applyFill="1" applyBorder="1" applyAlignment="1">
      <alignment horizontal="left"/>
    </xf>
    <xf numFmtId="1" fontId="20" fillId="2" borderId="3" xfId="0" applyNumberFormat="1" applyFont="1" applyFill="1" applyBorder="1" applyAlignment="1">
      <alignment horizontal="left"/>
    </xf>
    <xf numFmtId="1" fontId="20" fillId="2" borderId="3" xfId="0" applyNumberFormat="1" applyFont="1" applyFill="1" applyBorder="1" applyAlignment="1">
      <alignment horizontal="center"/>
    </xf>
    <xf numFmtId="1" fontId="17" fillId="0" borderId="13" xfId="0" applyNumberFormat="1" applyFont="1" applyFill="1" applyBorder="1"/>
    <xf numFmtId="1" fontId="17" fillId="0" borderId="1" xfId="0" applyNumberFormat="1" applyFont="1" applyFill="1" applyBorder="1"/>
    <xf numFmtId="1" fontId="17" fillId="0" borderId="1" xfId="0" applyNumberFormat="1" applyFont="1" applyFill="1" applyBorder="1" applyAlignment="1">
      <alignment horizontal="center"/>
    </xf>
    <xf numFmtId="1" fontId="17" fillId="0" borderId="2" xfId="0" applyNumberFormat="1" applyFont="1" applyFill="1" applyBorder="1"/>
    <xf numFmtId="1" fontId="17" fillId="0" borderId="5" xfId="0" applyNumberFormat="1" applyFont="1" applyFill="1" applyBorder="1"/>
    <xf numFmtId="1" fontId="17" fillId="2" borderId="3" xfId="0" applyNumberFormat="1" applyFont="1" applyFill="1" applyBorder="1" applyAlignment="1"/>
    <xf numFmtId="1" fontId="20" fillId="2" borderId="8" xfId="0" applyNumberFormat="1" applyFont="1" applyFill="1" applyBorder="1" applyAlignment="1">
      <alignment horizontal="center"/>
    </xf>
    <xf numFmtId="1" fontId="17" fillId="0" borderId="13" xfId="0" applyNumberFormat="1" applyFont="1" applyFill="1" applyBorder="1" applyAlignment="1">
      <alignment vertical="center"/>
    </xf>
    <xf numFmtId="1" fontId="17" fillId="0" borderId="1" xfId="0" applyNumberFormat="1" applyFont="1" applyFill="1" applyBorder="1" applyAlignment="1">
      <alignment vertical="center"/>
    </xf>
    <xf numFmtId="1" fontId="17" fillId="0" borderId="1" xfId="0" applyNumberFormat="1" applyFont="1" applyFill="1" applyBorder="1" applyAlignment="1">
      <alignment horizontal="center" vertical="center"/>
    </xf>
    <xf numFmtId="1" fontId="16" fillId="7" borderId="3" xfId="0" applyNumberFormat="1" applyFont="1" applyFill="1" applyBorder="1" applyAlignment="1"/>
    <xf numFmtId="1" fontId="17" fillId="0" borderId="5" xfId="0" applyNumberFormat="1" applyFont="1" applyFill="1" applyBorder="1" applyAlignment="1"/>
    <xf numFmtId="1" fontId="17" fillId="0" borderId="2" xfId="0" applyNumberFormat="1" applyFont="1" applyFill="1" applyBorder="1" applyAlignment="1">
      <alignment vertical="center"/>
    </xf>
    <xf numFmtId="1" fontId="17" fillId="0" borderId="7" xfId="0" applyNumberFormat="1" applyFont="1" applyFill="1" applyBorder="1" applyAlignment="1">
      <alignment horizontal="center"/>
    </xf>
    <xf numFmtId="1" fontId="20" fillId="2" borderId="14" xfId="0" applyNumberFormat="1" applyFont="1" applyFill="1" applyBorder="1" applyAlignment="1">
      <alignment horizontal="center"/>
    </xf>
    <xf numFmtId="1" fontId="19" fillId="7" borderId="14" xfId="0" applyNumberFormat="1" applyFont="1" applyFill="1" applyBorder="1" applyAlignment="1">
      <alignment horizontal="center"/>
    </xf>
    <xf numFmtId="14" fontId="2" fillId="4" borderId="0" xfId="0" applyNumberFormat="1" applyFont="1" applyFill="1" applyBorder="1"/>
    <xf numFmtId="0" fontId="21" fillId="0" borderId="0" xfId="0" applyFont="1"/>
    <xf numFmtId="1" fontId="11" fillId="2" borderId="6" xfId="0" applyNumberFormat="1" applyFont="1" applyFill="1" applyBorder="1" applyAlignment="1">
      <alignment horizontal="left"/>
    </xf>
    <xf numFmtId="1" fontId="10" fillId="0" borderId="2" xfId="0" applyNumberFormat="1" applyFont="1" applyFill="1" applyBorder="1" applyAlignment="1">
      <alignment wrapText="1"/>
    </xf>
    <xf numFmtId="171" fontId="0" fillId="0" borderId="1" xfId="0" applyNumberFormat="1" applyBorder="1" applyAlignment="1">
      <alignment horizontal="center" vertical="center"/>
    </xf>
    <xf numFmtId="1" fontId="0" fillId="0" borderId="2" xfId="0" applyNumberFormat="1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center" vertical="center"/>
    </xf>
    <xf numFmtId="9" fontId="0" fillId="0" borderId="0" xfId="14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3" borderId="2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171" fontId="0" fillId="0" borderId="1" xfId="0" applyNumberFormat="1" applyBorder="1" applyAlignment="1">
      <alignment vertical="center"/>
    </xf>
    <xf numFmtId="171" fontId="5" fillId="0" borderId="1" xfId="0" applyNumberFormat="1" applyFont="1" applyBorder="1" applyAlignment="1">
      <alignment vertical="center"/>
    </xf>
    <xf numFmtId="17" fontId="8" fillId="6" borderId="2" xfId="0" applyNumberFormat="1" applyFont="1" applyFill="1" applyBorder="1" applyAlignment="1">
      <alignment horizontal="center"/>
    </xf>
    <xf numFmtId="0" fontId="0" fillId="0" borderId="3" xfId="0" applyBorder="1" applyAlignment="1"/>
    <xf numFmtId="0" fontId="0" fillId="0" borderId="6" xfId="0" applyBorder="1" applyAlignment="1"/>
    <xf numFmtId="0" fontId="8" fillId="2" borderId="1" xfId="0" applyFont="1" applyFill="1" applyBorder="1" applyAlignment="1">
      <alignment horizontal="center" vertical="center"/>
    </xf>
    <xf numFmtId="17" fontId="5" fillId="6" borderId="2" xfId="0" applyNumberFormat="1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  <xf numFmtId="170" fontId="8" fillId="5" borderId="1" xfId="0" applyNumberFormat="1" applyFont="1" applyFill="1" applyBorder="1" applyAlignment="1">
      <alignment horizontal="center"/>
    </xf>
    <xf numFmtId="0" fontId="10" fillId="0" borderId="1" xfId="0" applyFont="1" applyBorder="1" applyAlignment="1">
      <alignment horizontal="center"/>
    </xf>
    <xf numFmtId="170" fontId="8" fillId="5" borderId="6" xfId="0" applyNumberFormat="1" applyFont="1" applyFill="1" applyBorder="1" applyAlignment="1">
      <alignment horizontal="center"/>
    </xf>
    <xf numFmtId="0" fontId="10" fillId="5" borderId="1" xfId="0" applyFont="1" applyFill="1" applyBorder="1" applyAlignment="1">
      <alignment horizontal="center"/>
    </xf>
    <xf numFmtId="171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 wrapText="1"/>
    </xf>
    <xf numFmtId="17" fontId="8" fillId="6" borderId="5" xfId="0" applyNumberFormat="1" applyFont="1" applyFill="1" applyBorder="1" applyAlignment="1">
      <alignment horizontal="center"/>
    </xf>
    <xf numFmtId="0" fontId="0" fillId="0" borderId="8" xfId="0" applyBorder="1" applyAlignment="1"/>
    <xf numFmtId="0" fontId="0" fillId="0" borderId="9" xfId="0" applyBorder="1" applyAlignment="1"/>
    <xf numFmtId="1" fontId="9" fillId="6" borderId="2" xfId="0" applyNumberFormat="1" applyFont="1" applyFill="1" applyBorder="1" applyAlignment="1">
      <alignment horizontal="left" vertical="center"/>
    </xf>
    <xf numFmtId="17" fontId="5" fillId="6" borderId="8" xfId="0" applyNumberFormat="1" applyFont="1" applyFill="1" applyBorder="1" applyAlignment="1">
      <alignment horizontal="center"/>
    </xf>
    <xf numFmtId="0" fontId="5" fillId="6" borderId="8" xfId="0" applyFont="1" applyFill="1" applyBorder="1" applyAlignment="1">
      <alignment horizontal="center"/>
    </xf>
    <xf numFmtId="0" fontId="5" fillId="6" borderId="9" xfId="0" applyFont="1" applyFill="1" applyBorder="1" applyAlignment="1">
      <alignment horizontal="center"/>
    </xf>
    <xf numFmtId="1" fontId="0" fillId="0" borderId="0" xfId="14" applyNumberFormat="1" applyFont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/>
    </xf>
  </cellXfs>
  <cellStyles count="29">
    <cellStyle name="Comma 2" xfId="3"/>
    <cellStyle name="Comma 3" xfId="12"/>
    <cellStyle name="Currency 2" xfId="2"/>
    <cellStyle name="Currency 2 2" xfId="10"/>
    <cellStyle name="Currency 3" xfId="4"/>
    <cellStyle name="Currency 4" xfId="5"/>
    <cellStyle name="Currency 5" xfId="13"/>
    <cellStyle name="Normal" xfId="0" builtinId="0"/>
    <cellStyle name="Normal 10" xfId="24"/>
    <cellStyle name="Normal 11" xfId="25"/>
    <cellStyle name="Normal 12" xfId="26"/>
    <cellStyle name="Normal 13" xfId="27"/>
    <cellStyle name="Normal 13 2" xfId="28"/>
    <cellStyle name="Normal 2" xfId="1"/>
    <cellStyle name="Normal 2 2" xfId="6"/>
    <cellStyle name="Normal 2 2 2" xfId="18"/>
    <cellStyle name="Normal 2 3" xfId="15"/>
    <cellStyle name="Normal 3" xfId="7"/>
    <cellStyle name="Normal 4" xfId="8"/>
    <cellStyle name="Normal 4 2" xfId="21"/>
    <cellStyle name="Normal 4 3" xfId="16"/>
    <cellStyle name="Normal 5" xfId="9"/>
    <cellStyle name="Normal 5 2" xfId="17"/>
    <cellStyle name="Normal 6" xfId="11"/>
    <cellStyle name="Normal 6 2" xfId="19"/>
    <cellStyle name="Normal 7" xfId="20"/>
    <cellStyle name="Normal 8" xfId="22"/>
    <cellStyle name="Normal 9" xfId="23"/>
    <cellStyle name="Percent" xfId="14" builtinId="5"/>
  </cellStyles>
  <dxfs count="17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b val="0"/>
        <i val="0"/>
      </font>
      <fill>
        <patternFill>
          <bgColor theme="7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ont>
        <b val="0"/>
        <i val="0"/>
      </font>
      <fill>
        <patternFill>
          <bgColor theme="7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FFFF66"/>
      <color rgb="FFFF66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/>
  <dimension ref="A1:GE456"/>
  <sheetViews>
    <sheetView showGridLines="0" tabSelected="1" zoomScale="85" zoomScaleNormal="85" workbookViewId="0">
      <pane xSplit="4" ySplit="8" topLeftCell="I109" activePane="bottomRight" state="frozen"/>
      <selection pane="topRight" activeCell="E1" sqref="E1"/>
      <selection pane="bottomLeft" activeCell="A6" sqref="A6"/>
      <selection pane="bottomRight" activeCell="B419" sqref="B419"/>
    </sheetView>
  </sheetViews>
  <sheetFormatPr defaultRowHeight="12" customHeight="1" outlineLevelRow="1" outlineLevelCol="1"/>
  <cols>
    <col min="1" max="1" width="10.140625" style="6" customWidth="1"/>
    <col min="2" max="2" width="28.7109375" style="6" customWidth="1"/>
    <col min="3" max="3" width="8.28515625" style="46" customWidth="1"/>
    <col min="4" max="4" width="62" style="6" hidden="1" customWidth="1" outlineLevel="1"/>
    <col min="5" max="5" width="0.85546875" style="5" customWidth="1" collapsed="1"/>
    <col min="6" max="38" width="0.85546875" style="5" customWidth="1"/>
    <col min="39" max="44" width="0.85546875" style="25" customWidth="1"/>
    <col min="45" max="84" width="0.85546875" style="5" customWidth="1"/>
    <col min="85" max="85" width="0.85546875" style="25" customWidth="1"/>
    <col min="86" max="97" width="0.85546875" style="5" customWidth="1"/>
    <col min="98" max="98" width="0.85546875" style="25" customWidth="1"/>
    <col min="99" max="104" width="0.85546875" style="5" customWidth="1"/>
    <col min="105" max="105" width="0.85546875" style="25" customWidth="1"/>
    <col min="106" max="129" width="0.85546875" style="5" customWidth="1"/>
    <col min="130" max="130" width="0.85546875" style="25" customWidth="1"/>
    <col min="131" max="154" width="0.85546875" style="5" customWidth="1"/>
    <col min="155" max="155" width="0.85546875" style="25" customWidth="1"/>
    <col min="156" max="173" width="0.85546875" style="5" customWidth="1"/>
    <col min="174" max="174" width="0.85546875" style="14" customWidth="1"/>
    <col min="175" max="177" width="0.85546875" style="6" hidden="1" customWidth="1" outlineLevel="1"/>
    <col min="178" max="178" width="0.85546875" style="6" customWidth="1" collapsed="1"/>
    <col min="179" max="179" width="0.85546875" style="6" customWidth="1"/>
    <col min="180" max="16384" width="9.140625" style="6"/>
  </cols>
  <sheetData>
    <row r="1" spans="1:187" ht="12" hidden="1" customHeight="1" outlineLevel="1">
      <c r="AM1" s="5"/>
      <c r="AN1" s="5"/>
      <c r="AO1" s="5"/>
      <c r="AP1" s="5"/>
      <c r="AQ1" s="5"/>
      <c r="AR1" s="5"/>
      <c r="CG1" s="5"/>
      <c r="CT1" s="5"/>
      <c r="DA1" s="5"/>
      <c r="DZ1" s="5"/>
      <c r="EY1" s="5"/>
    </row>
    <row r="2" spans="1:187" ht="12" hidden="1" customHeight="1" outlineLevel="1">
      <c r="AM2" s="5"/>
      <c r="AN2" s="5"/>
      <c r="AO2" s="5"/>
      <c r="AP2" s="5"/>
      <c r="AQ2" s="5"/>
      <c r="AR2" s="5"/>
      <c r="CG2" s="5"/>
      <c r="CT2" s="5"/>
      <c r="DA2" s="5"/>
      <c r="DZ2" s="5"/>
      <c r="EY2" s="5"/>
    </row>
    <row r="3" spans="1:187" ht="12" hidden="1" customHeight="1" outlineLevel="1">
      <c r="AM3" s="5"/>
      <c r="AN3" s="5"/>
      <c r="AO3" s="5"/>
      <c r="AP3" s="5"/>
      <c r="AQ3" s="5"/>
      <c r="AR3" s="5"/>
      <c r="CG3" s="5"/>
      <c r="CT3" s="5"/>
      <c r="DA3" s="5"/>
      <c r="DZ3" s="5"/>
      <c r="EY3" s="5"/>
    </row>
    <row r="4" spans="1:187" ht="12" customHeight="1" collapsed="1">
      <c r="A4" s="103" t="s">
        <v>11</v>
      </c>
      <c r="B4" s="104"/>
      <c r="C4" s="105"/>
      <c r="D4" s="18"/>
      <c r="E4" s="155">
        <v>42309</v>
      </c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7"/>
      <c r="U4" s="151">
        <v>42339</v>
      </c>
      <c r="V4" s="152"/>
      <c r="W4" s="152"/>
      <c r="X4" s="152"/>
      <c r="Y4" s="152"/>
      <c r="Z4" s="152"/>
      <c r="AA4" s="152"/>
      <c r="AB4" s="152"/>
      <c r="AC4" s="152"/>
      <c r="AD4" s="152"/>
      <c r="AE4" s="152"/>
      <c r="AF4" s="152"/>
      <c r="AG4" s="152"/>
      <c r="AH4" s="152"/>
      <c r="AI4" s="152"/>
      <c r="AJ4" s="152"/>
      <c r="AK4" s="152"/>
      <c r="AL4" s="152"/>
      <c r="AM4" s="152"/>
      <c r="AN4" s="152"/>
      <c r="AO4" s="152"/>
      <c r="AP4" s="152"/>
      <c r="AQ4" s="153"/>
      <c r="AR4" s="151">
        <v>42370</v>
      </c>
      <c r="AS4" s="152"/>
      <c r="AT4" s="152"/>
      <c r="AU4" s="152"/>
      <c r="AV4" s="152"/>
      <c r="AW4" s="152"/>
      <c r="AX4" s="152"/>
      <c r="AY4" s="152"/>
      <c r="AZ4" s="152"/>
      <c r="BA4" s="152"/>
      <c r="BB4" s="152"/>
      <c r="BC4" s="152"/>
      <c r="BD4" s="152"/>
      <c r="BE4" s="152"/>
      <c r="BF4" s="152"/>
      <c r="BG4" s="152"/>
      <c r="BH4" s="152"/>
      <c r="BI4" s="152"/>
      <c r="BJ4" s="152"/>
      <c r="BK4" s="152"/>
      <c r="BL4" s="153"/>
      <c r="BM4" s="151">
        <v>42401</v>
      </c>
      <c r="BN4" s="152"/>
      <c r="BO4" s="152"/>
      <c r="BP4" s="152"/>
      <c r="BQ4" s="152"/>
      <c r="BR4" s="152"/>
      <c r="BS4" s="152"/>
      <c r="BT4" s="152"/>
      <c r="BU4" s="152"/>
      <c r="BV4" s="152"/>
      <c r="BW4" s="152"/>
      <c r="BX4" s="152"/>
      <c r="BY4" s="152"/>
      <c r="BZ4" s="152"/>
      <c r="CA4" s="152"/>
      <c r="CB4" s="152"/>
      <c r="CC4" s="152"/>
      <c r="CD4" s="152"/>
      <c r="CE4" s="152"/>
      <c r="CF4" s="152"/>
      <c r="CG4" s="153"/>
      <c r="CH4" s="151">
        <v>42430</v>
      </c>
      <c r="CI4" s="152"/>
      <c r="CJ4" s="152"/>
      <c r="CK4" s="152"/>
      <c r="CL4" s="152"/>
      <c r="CM4" s="152"/>
      <c r="CN4" s="152"/>
      <c r="CO4" s="152"/>
      <c r="CP4" s="152"/>
      <c r="CQ4" s="152"/>
      <c r="CR4" s="152"/>
      <c r="CS4" s="152"/>
      <c r="CT4" s="152"/>
      <c r="CU4" s="152"/>
      <c r="CV4" s="152"/>
      <c r="CW4" s="152"/>
      <c r="CX4" s="152"/>
      <c r="CY4" s="152"/>
      <c r="CZ4" s="152"/>
      <c r="DA4" s="152"/>
      <c r="DB4" s="152"/>
      <c r="DC4" s="152"/>
      <c r="DD4" s="153"/>
      <c r="DE4" s="151">
        <v>42461</v>
      </c>
      <c r="DF4" s="152"/>
      <c r="DG4" s="152"/>
      <c r="DH4" s="152"/>
      <c r="DI4" s="152"/>
      <c r="DJ4" s="152"/>
      <c r="DK4" s="152"/>
      <c r="DL4" s="152"/>
      <c r="DM4" s="152"/>
      <c r="DN4" s="152"/>
      <c r="DO4" s="152"/>
      <c r="DP4" s="152"/>
      <c r="DQ4" s="152"/>
      <c r="DR4" s="152"/>
      <c r="DS4" s="152"/>
      <c r="DT4" s="152"/>
      <c r="DU4" s="152"/>
      <c r="DV4" s="152"/>
      <c r="DW4" s="152"/>
      <c r="DX4" s="152"/>
      <c r="DY4" s="152"/>
      <c r="DZ4" s="153"/>
      <c r="EA4" s="151">
        <v>42491</v>
      </c>
      <c r="EB4" s="152"/>
      <c r="EC4" s="152"/>
      <c r="ED4" s="152"/>
      <c r="EE4" s="152"/>
      <c r="EF4" s="152"/>
      <c r="EG4" s="152"/>
      <c r="EH4" s="152"/>
      <c r="EI4" s="152"/>
      <c r="EJ4" s="152"/>
      <c r="EK4" s="152"/>
      <c r="EL4" s="152"/>
      <c r="EM4" s="152"/>
      <c r="EN4" s="152"/>
      <c r="EO4" s="152"/>
      <c r="EP4" s="152"/>
      <c r="EQ4" s="152"/>
      <c r="ER4" s="152"/>
      <c r="ES4" s="152"/>
      <c r="ET4" s="152"/>
      <c r="EU4" s="152"/>
      <c r="EV4" s="151">
        <v>42522</v>
      </c>
      <c r="EW4" s="152"/>
      <c r="EX4" s="152"/>
      <c r="EY4" s="152"/>
      <c r="EZ4" s="152"/>
      <c r="FA4" s="152"/>
      <c r="FB4" s="152"/>
      <c r="FC4" s="152"/>
      <c r="FD4" s="152"/>
      <c r="FE4" s="152"/>
      <c r="FF4" s="152"/>
      <c r="FG4" s="152"/>
      <c r="FH4" s="152"/>
      <c r="FI4" s="152"/>
      <c r="FJ4" s="152"/>
      <c r="FK4" s="152"/>
      <c r="FL4" s="152"/>
      <c r="FM4" s="152"/>
      <c r="FN4" s="152"/>
      <c r="FO4" s="152"/>
      <c r="FP4" s="152"/>
      <c r="FQ4" s="153"/>
      <c r="FR4" s="8"/>
      <c r="FS4" s="154" t="s">
        <v>12</v>
      </c>
      <c r="FU4" s="154" t="s">
        <v>49</v>
      </c>
      <c r="GB4" s="139"/>
      <c r="GC4" s="139" t="s">
        <v>13</v>
      </c>
      <c r="GD4" s="139" t="s">
        <v>14</v>
      </c>
      <c r="GE4" s="139" t="s">
        <v>15</v>
      </c>
    </row>
    <row r="5" spans="1:187" s="7" customFormat="1" ht="12" hidden="1" customHeight="1" outlineLevel="1">
      <c r="A5" s="106"/>
      <c r="B5" s="107"/>
      <c r="C5" s="108"/>
      <c r="D5" s="83"/>
      <c r="E5" s="158">
        <v>42317</v>
      </c>
      <c r="F5" s="159"/>
      <c r="G5" s="159"/>
      <c r="H5" s="159"/>
      <c r="I5" s="159"/>
      <c r="J5" s="158">
        <v>42324</v>
      </c>
      <c r="K5" s="159"/>
      <c r="L5" s="159"/>
      <c r="M5" s="159"/>
      <c r="N5" s="159"/>
      <c r="O5" s="158">
        <v>42331</v>
      </c>
      <c r="P5" s="159"/>
      <c r="Q5" s="159"/>
      <c r="R5" s="159"/>
      <c r="S5" s="159"/>
      <c r="T5" s="158">
        <v>42338</v>
      </c>
      <c r="U5" s="159"/>
      <c r="V5" s="159"/>
      <c r="W5" s="159"/>
      <c r="X5" s="159"/>
      <c r="Y5" s="160">
        <v>42345</v>
      </c>
      <c r="Z5" s="159"/>
      <c r="AA5" s="159"/>
      <c r="AB5" s="159"/>
      <c r="AC5" s="159"/>
      <c r="AD5" s="160">
        <v>42352</v>
      </c>
      <c r="AE5" s="159"/>
      <c r="AF5" s="159"/>
      <c r="AG5" s="159"/>
      <c r="AH5" s="159"/>
      <c r="AI5" s="160">
        <v>42359</v>
      </c>
      <c r="AJ5" s="159"/>
      <c r="AK5" s="159"/>
      <c r="AL5" s="159"/>
      <c r="AM5" s="159"/>
      <c r="AN5" s="160">
        <v>42366</v>
      </c>
      <c r="AO5" s="161"/>
      <c r="AP5" s="161"/>
      <c r="AQ5" s="161"/>
      <c r="AR5" s="161"/>
      <c r="AS5" s="160">
        <v>42373</v>
      </c>
      <c r="AT5" s="159"/>
      <c r="AU5" s="159"/>
      <c r="AV5" s="159"/>
      <c r="AW5" s="159"/>
      <c r="AX5" s="160">
        <v>42380</v>
      </c>
      <c r="AY5" s="159"/>
      <c r="AZ5" s="159"/>
      <c r="BA5" s="159"/>
      <c r="BB5" s="159"/>
      <c r="BC5" s="160">
        <v>42387</v>
      </c>
      <c r="BD5" s="159"/>
      <c r="BE5" s="159"/>
      <c r="BF5" s="159"/>
      <c r="BG5" s="159"/>
      <c r="BH5" s="160">
        <v>42394</v>
      </c>
      <c r="BI5" s="159"/>
      <c r="BJ5" s="159"/>
      <c r="BK5" s="159"/>
      <c r="BL5" s="159"/>
      <c r="BM5" s="160">
        <v>42401</v>
      </c>
      <c r="BN5" s="159"/>
      <c r="BO5" s="159"/>
      <c r="BP5" s="159"/>
      <c r="BQ5" s="159"/>
      <c r="BR5" s="160">
        <v>42408</v>
      </c>
      <c r="BS5" s="159"/>
      <c r="BT5" s="159"/>
      <c r="BU5" s="159"/>
      <c r="BV5" s="159"/>
      <c r="BW5" s="160">
        <v>42415</v>
      </c>
      <c r="BX5" s="159"/>
      <c r="BY5" s="159"/>
      <c r="BZ5" s="159"/>
      <c r="CA5" s="159"/>
      <c r="CB5" s="160">
        <v>42422</v>
      </c>
      <c r="CC5" s="159"/>
      <c r="CD5" s="159"/>
      <c r="CE5" s="159"/>
      <c r="CF5" s="159"/>
      <c r="CG5" s="160">
        <v>42429</v>
      </c>
      <c r="CH5" s="159"/>
      <c r="CI5" s="159"/>
      <c r="CJ5" s="159"/>
      <c r="CK5" s="159"/>
      <c r="CL5" s="158">
        <v>42436</v>
      </c>
      <c r="CM5" s="159"/>
      <c r="CN5" s="159"/>
      <c r="CO5" s="159"/>
      <c r="CP5" s="159"/>
      <c r="CQ5" s="158">
        <v>42443</v>
      </c>
      <c r="CR5" s="159"/>
      <c r="CS5" s="159"/>
      <c r="CT5" s="159"/>
      <c r="CU5" s="159"/>
      <c r="CV5" s="158">
        <v>42450</v>
      </c>
      <c r="CW5" s="159"/>
      <c r="CX5" s="159"/>
      <c r="CY5" s="159"/>
      <c r="CZ5" s="159"/>
      <c r="DA5" s="158">
        <v>42457</v>
      </c>
      <c r="DB5" s="159"/>
      <c r="DC5" s="159"/>
      <c r="DD5" s="159"/>
      <c r="DE5" s="159"/>
      <c r="DF5" s="158">
        <v>42464</v>
      </c>
      <c r="DG5" s="159"/>
      <c r="DH5" s="159"/>
      <c r="DI5" s="159"/>
      <c r="DJ5" s="159"/>
      <c r="DK5" s="158">
        <f>DF5+7</f>
        <v>42471</v>
      </c>
      <c r="DL5" s="159"/>
      <c r="DM5" s="159"/>
      <c r="DN5" s="159"/>
      <c r="DO5" s="159"/>
      <c r="DP5" s="158">
        <f t="shared" ref="DP5" si="0">DK5+7</f>
        <v>42478</v>
      </c>
      <c r="DQ5" s="159"/>
      <c r="DR5" s="159"/>
      <c r="DS5" s="159"/>
      <c r="DT5" s="159"/>
      <c r="DU5" s="158">
        <f t="shared" ref="DU5" si="1">DP5+7</f>
        <v>42485</v>
      </c>
      <c r="DV5" s="159"/>
      <c r="DW5" s="159"/>
      <c r="DX5" s="159"/>
      <c r="DY5" s="159"/>
      <c r="DZ5" s="158">
        <f>DU5+7</f>
        <v>42492</v>
      </c>
      <c r="EA5" s="159"/>
      <c r="EB5" s="159"/>
      <c r="EC5" s="159"/>
      <c r="ED5" s="159"/>
      <c r="EE5" s="158">
        <f>DZ5+7</f>
        <v>42499</v>
      </c>
      <c r="EF5" s="159"/>
      <c r="EG5" s="159"/>
      <c r="EH5" s="159"/>
      <c r="EI5" s="159"/>
      <c r="EJ5" s="158">
        <f t="shared" ref="EJ5" si="2">EE5+7</f>
        <v>42506</v>
      </c>
      <c r="EK5" s="159"/>
      <c r="EL5" s="159"/>
      <c r="EM5" s="159"/>
      <c r="EN5" s="159"/>
      <c r="EO5" s="158">
        <f t="shared" ref="EO5" si="3">EJ5+7</f>
        <v>42513</v>
      </c>
      <c r="EP5" s="159"/>
      <c r="EQ5" s="159"/>
      <c r="ER5" s="159"/>
      <c r="ES5" s="159"/>
      <c r="ET5" s="158">
        <f t="shared" ref="ET5" si="4">EO5+7</f>
        <v>42520</v>
      </c>
      <c r="EU5" s="159"/>
      <c r="EV5" s="159"/>
      <c r="EW5" s="159"/>
      <c r="EX5" s="159"/>
      <c r="EY5" s="158">
        <f t="shared" ref="EY5" si="5">ET5+7</f>
        <v>42527</v>
      </c>
      <c r="EZ5" s="159"/>
      <c r="FA5" s="159"/>
      <c r="FB5" s="159"/>
      <c r="FC5" s="159"/>
      <c r="FD5" s="158">
        <f t="shared" ref="FD5" si="6">EY5+7</f>
        <v>42534</v>
      </c>
      <c r="FE5" s="159"/>
      <c r="FF5" s="159"/>
      <c r="FG5" s="159"/>
      <c r="FH5" s="159"/>
      <c r="FI5" s="158">
        <f t="shared" ref="FI5" si="7">FD5+7</f>
        <v>42541</v>
      </c>
      <c r="FJ5" s="159"/>
      <c r="FK5" s="159"/>
      <c r="FL5" s="159"/>
      <c r="FM5" s="159"/>
      <c r="FN5" s="158">
        <f t="shared" ref="FN5" si="8">FI5+7</f>
        <v>42548</v>
      </c>
      <c r="FO5" s="159"/>
      <c r="FP5" s="159"/>
      <c r="FQ5" s="159"/>
      <c r="FR5" s="8"/>
      <c r="FS5" s="154"/>
      <c r="FU5" s="154"/>
    </row>
    <row r="6" spans="1:187" s="15" customFormat="1" ht="4.5" hidden="1" customHeight="1" outlineLevel="1">
      <c r="A6" s="103"/>
      <c r="B6" s="104"/>
      <c r="C6" s="109"/>
      <c r="D6" s="18"/>
      <c r="E6" s="84">
        <v>42317</v>
      </c>
      <c r="F6" s="85">
        <v>42318</v>
      </c>
      <c r="G6" s="85">
        <v>42319</v>
      </c>
      <c r="H6" s="85">
        <v>42320</v>
      </c>
      <c r="I6" s="85">
        <v>42321</v>
      </c>
      <c r="J6" s="85">
        <v>42324</v>
      </c>
      <c r="K6" s="85">
        <v>42325</v>
      </c>
      <c r="L6" s="85">
        <v>42326</v>
      </c>
      <c r="M6" s="85">
        <v>42327</v>
      </c>
      <c r="N6" s="85">
        <v>42328</v>
      </c>
      <c r="O6" s="85">
        <v>42331</v>
      </c>
      <c r="P6" s="85">
        <v>42332</v>
      </c>
      <c r="Q6" s="85">
        <v>42333</v>
      </c>
      <c r="R6" s="85">
        <v>42334</v>
      </c>
      <c r="S6" s="85">
        <v>42335</v>
      </c>
      <c r="T6" s="85">
        <v>42338</v>
      </c>
      <c r="U6" s="85">
        <v>42339</v>
      </c>
      <c r="V6" s="85">
        <v>42340</v>
      </c>
      <c r="W6" s="85">
        <v>42341</v>
      </c>
      <c r="X6" s="85">
        <v>42342</v>
      </c>
      <c r="Y6" s="85">
        <v>42345</v>
      </c>
      <c r="Z6" s="85">
        <v>42346</v>
      </c>
      <c r="AA6" s="85">
        <v>42347</v>
      </c>
      <c r="AB6" s="85">
        <v>42348</v>
      </c>
      <c r="AC6" s="85">
        <v>42349</v>
      </c>
      <c r="AD6" s="85">
        <v>42352</v>
      </c>
      <c r="AE6" s="85">
        <v>42353</v>
      </c>
      <c r="AF6" s="85">
        <v>42354</v>
      </c>
      <c r="AG6" s="85">
        <v>42355</v>
      </c>
      <c r="AH6" s="85">
        <v>42356</v>
      </c>
      <c r="AI6" s="85">
        <v>42359</v>
      </c>
      <c r="AJ6" s="85">
        <v>42360</v>
      </c>
      <c r="AK6" s="85">
        <v>42361</v>
      </c>
      <c r="AL6" s="86">
        <v>42363</v>
      </c>
      <c r="AM6" s="86">
        <v>42363</v>
      </c>
      <c r="AN6" s="86">
        <v>42366</v>
      </c>
      <c r="AO6" s="86">
        <v>42367</v>
      </c>
      <c r="AP6" s="86">
        <v>42368</v>
      </c>
      <c r="AQ6" s="86">
        <v>42369</v>
      </c>
      <c r="AR6" s="86">
        <v>42370</v>
      </c>
      <c r="AS6" s="85">
        <v>42373</v>
      </c>
      <c r="AT6" s="85">
        <v>42374</v>
      </c>
      <c r="AU6" s="85">
        <v>42375</v>
      </c>
      <c r="AV6" s="85">
        <v>42376</v>
      </c>
      <c r="AW6" s="85">
        <v>42377</v>
      </c>
      <c r="AX6" s="85">
        <v>42380</v>
      </c>
      <c r="AY6" s="85">
        <v>42381</v>
      </c>
      <c r="AZ6" s="85">
        <v>42382</v>
      </c>
      <c r="BA6" s="85">
        <v>42383</v>
      </c>
      <c r="BB6" s="85">
        <v>42384</v>
      </c>
      <c r="BC6" s="85">
        <v>42387</v>
      </c>
      <c r="BD6" s="85">
        <v>42388</v>
      </c>
      <c r="BE6" s="85">
        <v>42389</v>
      </c>
      <c r="BF6" s="85">
        <v>42390</v>
      </c>
      <c r="BG6" s="85">
        <v>42391</v>
      </c>
      <c r="BH6" s="85">
        <v>42394</v>
      </c>
      <c r="BI6" s="85">
        <v>42395</v>
      </c>
      <c r="BJ6" s="85">
        <v>42396</v>
      </c>
      <c r="BK6" s="85">
        <v>42397</v>
      </c>
      <c r="BL6" s="85">
        <v>42398</v>
      </c>
      <c r="BM6" s="85">
        <v>42401</v>
      </c>
      <c r="BN6" s="85">
        <v>42402</v>
      </c>
      <c r="BO6" s="85">
        <v>42403</v>
      </c>
      <c r="BP6" s="85">
        <v>42404</v>
      </c>
      <c r="BQ6" s="85">
        <v>42405</v>
      </c>
      <c r="BR6" s="85">
        <v>42408</v>
      </c>
      <c r="BS6" s="85">
        <v>42409</v>
      </c>
      <c r="BT6" s="85">
        <v>42410</v>
      </c>
      <c r="BU6" s="85">
        <v>42411</v>
      </c>
      <c r="BV6" s="85">
        <v>42412</v>
      </c>
      <c r="BW6" s="85">
        <v>42415</v>
      </c>
      <c r="BX6" s="85">
        <v>42416</v>
      </c>
      <c r="BY6" s="85">
        <v>42417</v>
      </c>
      <c r="BZ6" s="85">
        <v>42418</v>
      </c>
      <c r="CA6" s="85">
        <v>42419</v>
      </c>
      <c r="CB6" s="85">
        <v>42422</v>
      </c>
      <c r="CC6" s="85">
        <v>42423</v>
      </c>
      <c r="CD6" s="85">
        <v>42424</v>
      </c>
      <c r="CE6" s="85">
        <v>42425</v>
      </c>
      <c r="CF6" s="85">
        <v>42426</v>
      </c>
      <c r="CG6" s="138">
        <v>42429</v>
      </c>
      <c r="CH6" s="85">
        <v>42430</v>
      </c>
      <c r="CI6" s="85">
        <v>42431</v>
      </c>
      <c r="CJ6" s="85">
        <v>42432</v>
      </c>
      <c r="CK6" s="85">
        <v>42433</v>
      </c>
      <c r="CL6" s="85">
        <v>42436</v>
      </c>
      <c r="CM6" s="85">
        <v>42437</v>
      </c>
      <c r="CN6" s="85">
        <v>42438</v>
      </c>
      <c r="CO6" s="85">
        <v>42439</v>
      </c>
      <c r="CP6" s="85">
        <v>42440</v>
      </c>
      <c r="CQ6" s="85">
        <v>42443</v>
      </c>
      <c r="CR6" s="85">
        <v>42444</v>
      </c>
      <c r="CS6" s="85">
        <v>42445</v>
      </c>
      <c r="CT6" s="86">
        <v>42446</v>
      </c>
      <c r="CU6" s="85">
        <v>42447</v>
      </c>
      <c r="CV6" s="85">
        <v>42450</v>
      </c>
      <c r="CW6" s="85">
        <v>42451</v>
      </c>
      <c r="CX6" s="85">
        <v>42452</v>
      </c>
      <c r="CY6" s="85">
        <v>42453</v>
      </c>
      <c r="CZ6" s="86">
        <v>42454</v>
      </c>
      <c r="DA6" s="86">
        <v>42457</v>
      </c>
      <c r="DB6" s="85">
        <v>42458</v>
      </c>
      <c r="DC6" s="85">
        <v>42459</v>
      </c>
      <c r="DD6" s="85">
        <v>42460</v>
      </c>
      <c r="DE6" s="85">
        <v>42461</v>
      </c>
      <c r="DF6" s="85">
        <v>42464</v>
      </c>
      <c r="DG6" s="85">
        <v>42465</v>
      </c>
      <c r="DH6" s="85">
        <v>42466</v>
      </c>
      <c r="DI6" s="85">
        <v>42467</v>
      </c>
      <c r="DJ6" s="85">
        <v>42468</v>
      </c>
      <c r="DK6" s="85">
        <v>42471</v>
      </c>
      <c r="DL6" s="85">
        <v>42472</v>
      </c>
      <c r="DM6" s="85">
        <v>42473</v>
      </c>
      <c r="DN6" s="85">
        <v>42474</v>
      </c>
      <c r="DO6" s="85">
        <v>42475</v>
      </c>
      <c r="DP6" s="85">
        <v>42478</v>
      </c>
      <c r="DQ6" s="85">
        <v>42479</v>
      </c>
      <c r="DR6" s="85">
        <v>42480</v>
      </c>
      <c r="DS6" s="85">
        <v>42481</v>
      </c>
      <c r="DT6" s="85">
        <v>42482</v>
      </c>
      <c r="DU6" s="85">
        <v>42485</v>
      </c>
      <c r="DV6" s="85">
        <v>42486</v>
      </c>
      <c r="DW6" s="85">
        <v>42487</v>
      </c>
      <c r="DX6" s="85">
        <v>42488</v>
      </c>
      <c r="DY6" s="85">
        <v>42489</v>
      </c>
      <c r="DZ6" s="86">
        <v>42492</v>
      </c>
      <c r="EA6" s="85">
        <v>42493</v>
      </c>
      <c r="EB6" s="85">
        <v>42494</v>
      </c>
      <c r="EC6" s="85">
        <v>42495</v>
      </c>
      <c r="ED6" s="85">
        <v>42496</v>
      </c>
      <c r="EE6" s="85">
        <v>42499</v>
      </c>
      <c r="EF6" s="85">
        <v>42500</v>
      </c>
      <c r="EG6" s="85">
        <v>42501</v>
      </c>
      <c r="EH6" s="85">
        <v>42502</v>
      </c>
      <c r="EI6" s="85">
        <v>42503</v>
      </c>
      <c r="EJ6" s="85">
        <v>42506</v>
      </c>
      <c r="EK6" s="85">
        <v>42507</v>
      </c>
      <c r="EL6" s="85">
        <v>42508</v>
      </c>
      <c r="EM6" s="85">
        <v>42509</v>
      </c>
      <c r="EN6" s="85">
        <v>42510</v>
      </c>
      <c r="EO6" s="85">
        <v>42513</v>
      </c>
      <c r="EP6" s="85">
        <v>42514</v>
      </c>
      <c r="EQ6" s="85">
        <v>42515</v>
      </c>
      <c r="ER6" s="85">
        <v>42516</v>
      </c>
      <c r="ES6" s="85">
        <v>42517</v>
      </c>
      <c r="ET6" s="85">
        <v>42520</v>
      </c>
      <c r="EU6" s="85">
        <v>42521</v>
      </c>
      <c r="EV6" s="85">
        <v>42522</v>
      </c>
      <c r="EW6" s="85">
        <v>42523</v>
      </c>
      <c r="EX6" s="85">
        <v>42524</v>
      </c>
      <c r="EY6" s="86">
        <v>42527</v>
      </c>
      <c r="EZ6" s="85">
        <v>42528</v>
      </c>
      <c r="FA6" s="85">
        <v>42529</v>
      </c>
      <c r="FB6" s="85">
        <v>42530</v>
      </c>
      <c r="FC6" s="85">
        <v>42531</v>
      </c>
      <c r="FD6" s="85">
        <v>42534</v>
      </c>
      <c r="FE6" s="85">
        <v>42535</v>
      </c>
      <c r="FF6" s="85">
        <v>42536</v>
      </c>
      <c r="FG6" s="85">
        <v>42537</v>
      </c>
      <c r="FH6" s="85">
        <v>42538</v>
      </c>
      <c r="FI6" s="85">
        <v>42541</v>
      </c>
      <c r="FJ6" s="85">
        <v>42542</v>
      </c>
      <c r="FK6" s="85">
        <v>42543</v>
      </c>
      <c r="FL6" s="85">
        <v>42544</v>
      </c>
      <c r="FM6" s="85">
        <v>42545</v>
      </c>
      <c r="FN6" s="85">
        <v>42548</v>
      </c>
      <c r="FO6" s="85">
        <v>42549</v>
      </c>
      <c r="FP6" s="85">
        <v>42550</v>
      </c>
      <c r="FQ6" s="87">
        <v>42551</v>
      </c>
      <c r="FR6" s="8"/>
      <c r="FS6" s="154"/>
      <c r="FU6" s="154"/>
    </row>
    <row r="7" spans="1:187" s="15" customFormat="1" ht="34.5" hidden="1" customHeight="1" outlineLevel="1">
      <c r="A7" s="110"/>
      <c r="B7" s="111"/>
      <c r="C7" s="112"/>
      <c r="D7" s="18"/>
      <c r="E7" s="19" t="str">
        <f>INDEX(WorkingDays!A:A,MATCH('Resource Demand - Activity'!E6,WorkingDays!B:B,0))</f>
        <v>WD6</v>
      </c>
      <c r="F7" s="19" t="str">
        <f>INDEX(WorkingDays!A:A,MATCH('Resource Demand - Activity'!F6,WorkingDays!B:B,0))</f>
        <v>WD7</v>
      </c>
      <c r="G7" s="19" t="str">
        <f>INDEX(WorkingDays!A:A,MATCH('Resource Demand - Activity'!G6,WorkingDays!B:B,0))</f>
        <v>WD8</v>
      </c>
      <c r="H7" s="19" t="str">
        <f>INDEX(WorkingDays!A:A,MATCH('Resource Demand - Activity'!H6,WorkingDays!B:B,0))</f>
        <v>WD9</v>
      </c>
      <c r="I7" s="19" t="str">
        <f>INDEX(WorkingDays!A:A,MATCH('Resource Demand - Activity'!I6,WorkingDays!B:B,0))</f>
        <v>WD10</v>
      </c>
      <c r="J7" s="19" t="str">
        <f>INDEX(WorkingDays!A:A,MATCH('Resource Demand - Activity'!J6,WorkingDays!B:B,0))</f>
        <v>WD11</v>
      </c>
      <c r="K7" s="19" t="str">
        <f>INDEX(WorkingDays!A:A,MATCH('Resource Demand - Activity'!K6,WorkingDays!B:B,0))</f>
        <v>WD12</v>
      </c>
      <c r="L7" s="19" t="str">
        <f>INDEX(WorkingDays!A:A,MATCH('Resource Demand - Activity'!L6,WorkingDays!B:B,0))</f>
        <v>WD13</v>
      </c>
      <c r="M7" s="19" t="str">
        <f>INDEX(WorkingDays!A:A,MATCH('Resource Demand - Activity'!M6,WorkingDays!B:B,0))</f>
        <v>WD14</v>
      </c>
      <c r="N7" s="19" t="str">
        <f>INDEX(WorkingDays!A:A,MATCH('Resource Demand - Activity'!N6,WorkingDays!B:B,0))</f>
        <v>WD15</v>
      </c>
      <c r="O7" s="19" t="str">
        <f>INDEX(WorkingDays!A:A,MATCH('Resource Demand - Activity'!O6,WorkingDays!B:B,0))</f>
        <v>WD16</v>
      </c>
      <c r="P7" s="19" t="str">
        <f>INDEX(WorkingDays!A:A,MATCH('Resource Demand - Activity'!P6,WorkingDays!B:B,0))</f>
        <v>WD17</v>
      </c>
      <c r="Q7" s="19" t="str">
        <f>INDEX(WorkingDays!A:A,MATCH('Resource Demand - Activity'!Q6,WorkingDays!B:B,0))</f>
        <v>WD18</v>
      </c>
      <c r="R7" s="19" t="str">
        <f>INDEX(WorkingDays!A:A,MATCH('Resource Demand - Activity'!R6,WorkingDays!B:B,0))</f>
        <v>WD19</v>
      </c>
      <c r="S7" s="19" t="str">
        <f>INDEX(WorkingDays!A:A,MATCH('Resource Demand - Activity'!S6,WorkingDays!B:B,0))</f>
        <v>WD20</v>
      </c>
      <c r="T7" s="19" t="str">
        <f>INDEX(WorkingDays!A:A,MATCH('Resource Demand - Activity'!T6,WorkingDays!B:B,0))</f>
        <v>WD21</v>
      </c>
      <c r="U7" s="19" t="str">
        <f>INDEX(WorkingDays!A:A,MATCH('Resource Demand - Activity'!U6,WorkingDays!B:B,0))</f>
        <v>WD1</v>
      </c>
      <c r="V7" s="19" t="str">
        <f>INDEX(WorkingDays!A:A,MATCH('Resource Demand - Activity'!V6,WorkingDays!B:B,0))</f>
        <v>WD2</v>
      </c>
      <c r="W7" s="19" t="str">
        <f>INDEX(WorkingDays!A:A,MATCH('Resource Demand - Activity'!W6,WorkingDays!B:B,0))</f>
        <v>WD3</v>
      </c>
      <c r="X7" s="19" t="str">
        <f>INDEX(WorkingDays!A:A,MATCH('Resource Demand - Activity'!X6,WorkingDays!B:B,0))</f>
        <v>WD4</v>
      </c>
      <c r="Y7" s="19" t="str">
        <f>INDEX(WorkingDays!A:A,MATCH('Resource Demand - Activity'!Y6,WorkingDays!B:B,0))</f>
        <v>WD5</v>
      </c>
      <c r="Z7" s="19" t="str">
        <f>INDEX(WorkingDays!A:A,MATCH('Resource Demand - Activity'!Z6,WorkingDays!B:B,0))</f>
        <v>WD6</v>
      </c>
      <c r="AA7" s="19" t="str">
        <f>INDEX(WorkingDays!A:A,MATCH('Resource Demand - Activity'!AA6,WorkingDays!B:B,0))</f>
        <v>WD7</v>
      </c>
      <c r="AB7" s="19" t="str">
        <f>INDEX(WorkingDays!A:A,MATCH('Resource Demand - Activity'!AB6,WorkingDays!B:B,0))</f>
        <v>WD8</v>
      </c>
      <c r="AC7" s="19" t="str">
        <f>INDEX(WorkingDays!A:A,MATCH('Resource Demand - Activity'!AC6,WorkingDays!B:B,0))</f>
        <v>WD9</v>
      </c>
      <c r="AD7" s="19" t="str">
        <f>INDEX(WorkingDays!A:A,MATCH('Resource Demand - Activity'!AD6,WorkingDays!B:B,0))</f>
        <v>WD10</v>
      </c>
      <c r="AE7" s="19" t="str">
        <f>INDEX(WorkingDays!A:A,MATCH('Resource Demand - Activity'!AE6,WorkingDays!B:B,0))</f>
        <v>WD11</v>
      </c>
      <c r="AF7" s="19" t="str">
        <f>INDEX(WorkingDays!A:A,MATCH('Resource Demand - Activity'!AF6,WorkingDays!B:B,0))</f>
        <v>WD12</v>
      </c>
      <c r="AG7" s="19" t="str">
        <f>INDEX(WorkingDays!A:A,MATCH('Resource Demand - Activity'!AG6,WorkingDays!B:B,0))</f>
        <v>WD13</v>
      </c>
      <c r="AH7" s="19" t="str">
        <f>INDEX(WorkingDays!A:A,MATCH('Resource Demand - Activity'!AH6,WorkingDays!B:B,0))</f>
        <v>WD14</v>
      </c>
      <c r="AI7" s="19" t="str">
        <f>INDEX(WorkingDays!A:A,MATCH('Resource Demand - Activity'!AI6,WorkingDays!B:B,0))</f>
        <v>WD15</v>
      </c>
      <c r="AJ7" s="19" t="str">
        <f>INDEX(WorkingDays!A:A,MATCH('Resource Demand - Activity'!AJ6,WorkingDays!B:B,0))</f>
        <v>WD16</v>
      </c>
      <c r="AK7" s="19" t="str">
        <f>INDEX(WorkingDays!A:A,MATCH('Resource Demand - Activity'!AK6,WorkingDays!B:B,0))</f>
        <v>WD17</v>
      </c>
      <c r="AL7" s="24" t="str">
        <f>INDEX(WorkingDays!A:A,MATCH('Resource Demand - Activity'!AL6,WorkingDays!B:B,0))</f>
        <v/>
      </c>
      <c r="AM7" s="24" t="str">
        <f>INDEX(WorkingDays!A:A,MATCH('Resource Demand - Activity'!AM6,WorkingDays!B:B,0))</f>
        <v/>
      </c>
      <c r="AN7" s="24" t="str">
        <f>INDEX(WorkingDays!A:A,MATCH('Resource Demand - Activity'!AN6,WorkingDays!B:B,0))</f>
        <v/>
      </c>
      <c r="AO7" s="24" t="str">
        <f>INDEX(WorkingDays!A:A,MATCH('Resource Demand - Activity'!AO6,WorkingDays!B:B,0))</f>
        <v/>
      </c>
      <c r="AP7" s="24" t="str">
        <f>INDEX(WorkingDays!A:A,MATCH('Resource Demand - Activity'!AP6,WorkingDays!B:B,0))</f>
        <v/>
      </c>
      <c r="AQ7" s="24" t="str">
        <f>INDEX(WorkingDays!A:A,MATCH('Resource Demand - Activity'!AQ6,WorkingDays!B:B,0))</f>
        <v/>
      </c>
      <c r="AR7" s="24" t="str">
        <f>INDEX(WorkingDays!A:A,MATCH('Resource Demand - Activity'!AR6,WorkingDays!B:B,0))</f>
        <v/>
      </c>
      <c r="AS7" s="19" t="str">
        <f>INDEX(WorkingDays!A:A,MATCH('Resource Demand - Activity'!AS6,WorkingDays!B:B,0))</f>
        <v>WD1</v>
      </c>
      <c r="AT7" s="19" t="str">
        <f>INDEX(WorkingDays!A:A,MATCH('Resource Demand - Activity'!AT6,WorkingDays!B:B,0))</f>
        <v>WD2</v>
      </c>
      <c r="AU7" s="19" t="str">
        <f>INDEX(WorkingDays!A:A,MATCH('Resource Demand - Activity'!AU6,WorkingDays!B:B,0))</f>
        <v>WD3</v>
      </c>
      <c r="AV7" s="19" t="str">
        <f>INDEX(WorkingDays!A:A,MATCH('Resource Demand - Activity'!AV6,WorkingDays!B:B,0))</f>
        <v>WD4</v>
      </c>
      <c r="AW7" s="19" t="str">
        <f>INDEX(WorkingDays!A:A,MATCH('Resource Demand - Activity'!AW6,WorkingDays!B:B,0))</f>
        <v>WD5</v>
      </c>
      <c r="AX7" s="19" t="str">
        <f>INDEX(WorkingDays!A:A,MATCH('Resource Demand - Activity'!AX6,WorkingDays!B:B,0))</f>
        <v>WD6</v>
      </c>
      <c r="AY7" s="19" t="str">
        <f>INDEX(WorkingDays!A:A,MATCH('Resource Demand - Activity'!AY6,WorkingDays!B:B,0))</f>
        <v>WD7</v>
      </c>
      <c r="AZ7" s="19" t="str">
        <f>INDEX(WorkingDays!A:A,MATCH('Resource Demand - Activity'!AZ6,WorkingDays!B:B,0))</f>
        <v>WD8</v>
      </c>
      <c r="BA7" s="19" t="str">
        <f>INDEX(WorkingDays!A:A,MATCH('Resource Demand - Activity'!BA6,WorkingDays!B:B,0))</f>
        <v>WD9</v>
      </c>
      <c r="BB7" s="19" t="str">
        <f>INDEX(WorkingDays!A:A,MATCH('Resource Demand - Activity'!BB6,WorkingDays!B:B,0))</f>
        <v>WD10</v>
      </c>
      <c r="BC7" s="19" t="str">
        <f>INDEX(WorkingDays!A:A,MATCH('Resource Demand - Activity'!BC6,WorkingDays!B:B,0))</f>
        <v>WD11</v>
      </c>
      <c r="BD7" s="19" t="str">
        <f>INDEX(WorkingDays!A:A,MATCH('Resource Demand - Activity'!BD6,WorkingDays!B:B,0))</f>
        <v>WD12</v>
      </c>
      <c r="BE7" s="19" t="str">
        <f>INDEX(WorkingDays!A:A,MATCH('Resource Demand - Activity'!BE6,WorkingDays!B:B,0))</f>
        <v>WD13</v>
      </c>
      <c r="BF7" s="19" t="str">
        <f>INDEX(WorkingDays!A:A,MATCH('Resource Demand - Activity'!BF6,WorkingDays!B:B,0))</f>
        <v>WD14</v>
      </c>
      <c r="BG7" s="19" t="str">
        <f>INDEX(WorkingDays!A:A,MATCH('Resource Demand - Activity'!BG6,WorkingDays!B:B,0))</f>
        <v>WD15</v>
      </c>
      <c r="BH7" s="19" t="str">
        <f>INDEX(WorkingDays!A:A,MATCH('Resource Demand - Activity'!BH6,WorkingDays!B:B,0))</f>
        <v>WD16</v>
      </c>
      <c r="BI7" s="19" t="str">
        <f>INDEX(WorkingDays!A:A,MATCH('Resource Demand - Activity'!BI6,WorkingDays!B:B,0))</f>
        <v>WD17</v>
      </c>
      <c r="BJ7" s="19" t="str">
        <f>INDEX(WorkingDays!A:A,MATCH('Resource Demand - Activity'!BJ6,WorkingDays!B:B,0))</f>
        <v>WD18</v>
      </c>
      <c r="BK7" s="19" t="str">
        <f>INDEX(WorkingDays!A:A,MATCH('Resource Demand - Activity'!BK6,WorkingDays!B:B,0))</f>
        <v>WD19</v>
      </c>
      <c r="BL7" s="19" t="str">
        <f>INDEX(WorkingDays!A:A,MATCH('Resource Demand - Activity'!BL6,WorkingDays!B:B,0))</f>
        <v>WD20</v>
      </c>
      <c r="BM7" s="19" t="str">
        <f>INDEX(WorkingDays!A:A,MATCH('Resource Demand - Activity'!BM6,WorkingDays!B:B,0))</f>
        <v>WD1</v>
      </c>
      <c r="BN7" s="19" t="str">
        <f>INDEX(WorkingDays!A:A,MATCH('Resource Demand - Activity'!BN6,WorkingDays!B:B,0))</f>
        <v>WD2</v>
      </c>
      <c r="BO7" s="19" t="str">
        <f>INDEX(WorkingDays!A:A,MATCH('Resource Demand - Activity'!BO6,WorkingDays!B:B,0))</f>
        <v>WD3</v>
      </c>
      <c r="BP7" s="19" t="str">
        <f>INDEX(WorkingDays!A:A,MATCH('Resource Demand - Activity'!BP6,WorkingDays!B:B,0))</f>
        <v>WD4</v>
      </c>
      <c r="BQ7" s="19" t="str">
        <f>INDEX(WorkingDays!A:A,MATCH('Resource Demand - Activity'!BQ6,WorkingDays!B:B,0))</f>
        <v>WD5</v>
      </c>
      <c r="BR7" s="19" t="str">
        <f>INDEX(WorkingDays!A:A,MATCH('Resource Demand - Activity'!BR6,WorkingDays!B:B,0))</f>
        <v>WD6</v>
      </c>
      <c r="BS7" s="19" t="str">
        <f>INDEX(WorkingDays!A:A,MATCH('Resource Demand - Activity'!BS6,WorkingDays!B:B,0))</f>
        <v>WD7</v>
      </c>
      <c r="BT7" s="19" t="str">
        <f>INDEX(WorkingDays!A:A,MATCH('Resource Demand - Activity'!BT6,WorkingDays!B:B,0))</f>
        <v>WD8</v>
      </c>
      <c r="BU7" s="19" t="str">
        <f>INDEX(WorkingDays!A:A,MATCH('Resource Demand - Activity'!BU6,WorkingDays!B:B,0))</f>
        <v>WD9</v>
      </c>
      <c r="BV7" s="19" t="str">
        <f>INDEX(WorkingDays!A:A,MATCH('Resource Demand - Activity'!BV6,WorkingDays!B:B,0))</f>
        <v>WD10</v>
      </c>
      <c r="BW7" s="19" t="str">
        <f>INDEX(WorkingDays!A:A,MATCH('Resource Demand - Activity'!BW6,WorkingDays!B:B,0))</f>
        <v>WD11</v>
      </c>
      <c r="BX7" s="19" t="str">
        <f>INDEX(WorkingDays!A:A,MATCH('Resource Demand - Activity'!BX6,WorkingDays!B:B,0))</f>
        <v>WD12</v>
      </c>
      <c r="BY7" s="19" t="str">
        <f>INDEX(WorkingDays!A:A,MATCH('Resource Demand - Activity'!BY6,WorkingDays!B:B,0))</f>
        <v>WD13</v>
      </c>
      <c r="BZ7" s="19" t="str">
        <f>INDEX(WorkingDays!A:A,MATCH('Resource Demand - Activity'!BZ6,WorkingDays!B:B,0))</f>
        <v>WD14</v>
      </c>
      <c r="CA7" s="19" t="str">
        <f>INDEX(WorkingDays!A:A,MATCH('Resource Demand - Activity'!CA6,WorkingDays!B:B,0))</f>
        <v>WD15</v>
      </c>
      <c r="CB7" s="19" t="str">
        <f>INDEX(WorkingDays!A:A,MATCH('Resource Demand - Activity'!CB6,WorkingDays!B:B,0))</f>
        <v>WD16</v>
      </c>
      <c r="CC7" s="19" t="str">
        <f>INDEX(WorkingDays!A:A,MATCH('Resource Demand - Activity'!CC6,WorkingDays!B:B,0))</f>
        <v>WD17</v>
      </c>
      <c r="CD7" s="19" t="str">
        <f>INDEX(WorkingDays!A:A,MATCH('Resource Demand - Activity'!CD6,WorkingDays!B:B,0))</f>
        <v>WD18</v>
      </c>
      <c r="CE7" s="19" t="str">
        <f>INDEX(WorkingDays!A:A,MATCH('Resource Demand - Activity'!CE6,WorkingDays!B:B,0))</f>
        <v>WD19</v>
      </c>
      <c r="CF7" s="19" t="str">
        <f>INDEX(WorkingDays!A:A,MATCH('Resource Demand - Activity'!CF6,WorkingDays!B:B,0))</f>
        <v>WD20</v>
      </c>
      <c r="CG7" s="30" t="str">
        <f>INDEX(WorkingDays!A:A,MATCH('Resource Demand - Activity'!CG6,WorkingDays!B:B,0))</f>
        <v>WD21</v>
      </c>
      <c r="CH7" s="19" t="str">
        <f>INDEX(WorkingDays!A:A,MATCH('Resource Demand - Activity'!CH6,WorkingDays!B:B,0))</f>
        <v>WD1</v>
      </c>
      <c r="CI7" s="19" t="str">
        <f>INDEX(WorkingDays!A:A,MATCH('Resource Demand - Activity'!CI6,WorkingDays!B:B,0))</f>
        <v>WD2</v>
      </c>
      <c r="CJ7" s="19" t="str">
        <f>INDEX(WorkingDays!A:A,MATCH('Resource Demand - Activity'!CJ6,WorkingDays!B:B,0))</f>
        <v>WD3</v>
      </c>
      <c r="CK7" s="19" t="str">
        <f>INDEX(WorkingDays!A:A,MATCH('Resource Demand - Activity'!CK6,WorkingDays!B:B,0))</f>
        <v>WD4</v>
      </c>
      <c r="CL7" s="19" t="str">
        <f>INDEX(WorkingDays!A:A,MATCH('Resource Demand - Activity'!CL6,WorkingDays!B:B,0))</f>
        <v>WD5</v>
      </c>
      <c r="CM7" s="19" t="str">
        <f>INDEX(WorkingDays!A:A,MATCH('Resource Demand - Activity'!CM6,WorkingDays!B:B,0))</f>
        <v>WD6</v>
      </c>
      <c r="CN7" s="19" t="str">
        <f>INDEX(WorkingDays!A:A,MATCH('Resource Demand - Activity'!CN6,WorkingDays!B:B,0))</f>
        <v>WD7</v>
      </c>
      <c r="CO7" s="19" t="str">
        <f>INDEX(WorkingDays!A:A,MATCH('Resource Demand - Activity'!CO6,WorkingDays!B:B,0))</f>
        <v>WD8</v>
      </c>
      <c r="CP7" s="19" t="str">
        <f>INDEX(WorkingDays!A:A,MATCH('Resource Demand - Activity'!CP6,WorkingDays!B:B,0))</f>
        <v>WD9</v>
      </c>
      <c r="CQ7" s="19" t="str">
        <f>INDEX(WorkingDays!A:A,MATCH('Resource Demand - Activity'!CQ6,WorkingDays!B:B,0))</f>
        <v>WD10</v>
      </c>
      <c r="CR7" s="19" t="str">
        <f>INDEX(WorkingDays!A:A,MATCH('Resource Demand - Activity'!CR6,WorkingDays!B:B,0))</f>
        <v>WD11</v>
      </c>
      <c r="CS7" s="19" t="str">
        <f>INDEX(WorkingDays!A:A,MATCH('Resource Demand - Activity'!CS6,WorkingDays!B:B,0))</f>
        <v>WD12</v>
      </c>
      <c r="CT7" s="24" t="str">
        <f>INDEX(WorkingDays!A:A,MATCH('Resource Demand - Activity'!CT6,WorkingDays!B:B,0))</f>
        <v/>
      </c>
      <c r="CU7" s="19" t="str">
        <f>INDEX(WorkingDays!A:A,MATCH('Resource Demand - Activity'!CU6,WorkingDays!B:B,0))</f>
        <v>WD13</v>
      </c>
      <c r="CV7" s="19" t="str">
        <f>INDEX(WorkingDays!A:A,MATCH('Resource Demand - Activity'!CV6,WorkingDays!B:B,0))</f>
        <v>WD14</v>
      </c>
      <c r="CW7" s="19" t="str">
        <f>INDEX(WorkingDays!A:A,MATCH('Resource Demand - Activity'!CW6,WorkingDays!B:B,0))</f>
        <v>WD15</v>
      </c>
      <c r="CX7" s="19" t="str">
        <f>INDEX(WorkingDays!A:A,MATCH('Resource Demand - Activity'!CX6,WorkingDays!B:B,0))</f>
        <v>WD16</v>
      </c>
      <c r="CY7" s="19" t="str">
        <f>INDEX(WorkingDays!A:A,MATCH('Resource Demand - Activity'!CY6,WorkingDays!B:B,0))</f>
        <v>WD17</v>
      </c>
      <c r="CZ7" s="24"/>
      <c r="DA7" s="24" t="str">
        <f>INDEX(WorkingDays!A:A,MATCH('Resource Demand - Activity'!DA6,WorkingDays!B:B,0))</f>
        <v/>
      </c>
      <c r="DB7" s="19" t="str">
        <f>INDEX(WorkingDays!A:A,MATCH('Resource Demand - Activity'!DB6,WorkingDays!B:B,0))</f>
        <v>WD18</v>
      </c>
      <c r="DC7" s="19" t="str">
        <f>INDEX(WorkingDays!A:A,MATCH('Resource Demand - Activity'!DC6,WorkingDays!B:B,0))</f>
        <v>WD19</v>
      </c>
      <c r="DD7" s="19" t="str">
        <f>INDEX(WorkingDays!A:A,MATCH('Resource Demand - Activity'!DD6,WorkingDays!B:B,0))</f>
        <v>WD20</v>
      </c>
      <c r="DE7" s="19" t="str">
        <f>INDEX(WorkingDays!A:A,MATCH('Resource Demand - Activity'!DE6,WorkingDays!B:B,0))</f>
        <v>WD1</v>
      </c>
      <c r="DF7" s="19" t="str">
        <f>INDEX(WorkingDays!A:A,MATCH('Resource Demand - Activity'!DF6,WorkingDays!B:B,0))</f>
        <v>WD2</v>
      </c>
      <c r="DG7" s="19" t="str">
        <f>INDEX(WorkingDays!A:A,MATCH('Resource Demand - Activity'!DG6,WorkingDays!B:B,0))</f>
        <v>WD3</v>
      </c>
      <c r="DH7" s="19" t="str">
        <f>INDEX(WorkingDays!A:A,MATCH('Resource Demand - Activity'!DH6,WorkingDays!B:B,0))</f>
        <v>WD4</v>
      </c>
      <c r="DI7" s="19" t="str">
        <f>INDEX(WorkingDays!A:A,MATCH('Resource Demand - Activity'!DI6,WorkingDays!B:B,0))</f>
        <v>WD5</v>
      </c>
      <c r="DJ7" s="19" t="str">
        <f>INDEX(WorkingDays!A:A,MATCH('Resource Demand - Activity'!DJ6,WorkingDays!B:B,0))</f>
        <v>WD6</v>
      </c>
      <c r="DK7" s="19" t="str">
        <f>INDEX(WorkingDays!A:A,MATCH('Resource Demand - Activity'!DK6,WorkingDays!B:B,0))</f>
        <v>WD7</v>
      </c>
      <c r="DL7" s="19" t="str">
        <f>INDEX(WorkingDays!A:A,MATCH('Resource Demand - Activity'!DL6,WorkingDays!B:B,0))</f>
        <v>WD8</v>
      </c>
      <c r="DM7" s="19" t="str">
        <f>INDEX(WorkingDays!A:A,MATCH('Resource Demand - Activity'!DM6,WorkingDays!B:B,0))</f>
        <v>WD9</v>
      </c>
      <c r="DN7" s="19" t="str">
        <f>INDEX(WorkingDays!A:A,MATCH('Resource Demand - Activity'!DN6,WorkingDays!B:B,0))</f>
        <v>WD10</v>
      </c>
      <c r="DO7" s="19" t="str">
        <f>INDEX(WorkingDays!A:A,MATCH('Resource Demand - Activity'!DO6,WorkingDays!B:B,0))</f>
        <v>WD11</v>
      </c>
      <c r="DP7" s="19" t="str">
        <f>INDEX(WorkingDays!A:A,MATCH('Resource Demand - Activity'!DP6,WorkingDays!B:B,0))</f>
        <v>WD12</v>
      </c>
      <c r="DQ7" s="19" t="str">
        <f>INDEX(WorkingDays!A:A,MATCH('Resource Demand - Activity'!DQ6,WorkingDays!B:B,0))</f>
        <v>WD13</v>
      </c>
      <c r="DR7" s="19" t="str">
        <f>INDEX(WorkingDays!A:A,MATCH('Resource Demand - Activity'!DR6,WorkingDays!B:B,0))</f>
        <v>WD14</v>
      </c>
      <c r="DS7" s="19" t="str">
        <f>INDEX(WorkingDays!A:A,MATCH('Resource Demand - Activity'!DS6,WorkingDays!B:B,0))</f>
        <v>WD15</v>
      </c>
      <c r="DT7" s="19" t="str">
        <f>INDEX(WorkingDays!A:A,MATCH('Resource Demand - Activity'!DT6,WorkingDays!B:B,0))</f>
        <v>WD16</v>
      </c>
      <c r="DU7" s="19" t="str">
        <f>INDEX(WorkingDays!A:A,MATCH('Resource Demand - Activity'!DU6,WorkingDays!B:B,0))</f>
        <v>WD17</v>
      </c>
      <c r="DV7" s="19" t="str">
        <f>INDEX(WorkingDays!A:A,MATCH('Resource Demand - Activity'!DV6,WorkingDays!B:B,0))</f>
        <v>WD18</v>
      </c>
      <c r="DW7" s="19" t="str">
        <f>INDEX(WorkingDays!A:A,MATCH('Resource Demand - Activity'!DW6,WorkingDays!B:B,0))</f>
        <v>WD19</v>
      </c>
      <c r="DX7" s="19" t="str">
        <f>INDEX(WorkingDays!A:A,MATCH('Resource Demand - Activity'!DX6,WorkingDays!B:B,0))</f>
        <v>WD20</v>
      </c>
      <c r="DY7" s="19" t="str">
        <f>INDEX(WorkingDays!A:A,MATCH('Resource Demand - Activity'!DY6,WorkingDays!B:B,0))</f>
        <v>WD21</v>
      </c>
      <c r="DZ7" s="24" t="str">
        <f>INDEX(WorkingDays!A:A,MATCH('Resource Demand - Activity'!DZ6,WorkingDays!B:B,0))</f>
        <v/>
      </c>
      <c r="EA7" s="19" t="str">
        <f>INDEX(WorkingDays!A:A,MATCH('Resource Demand - Activity'!EA6,WorkingDays!B:B,0))</f>
        <v>WD1</v>
      </c>
      <c r="EB7" s="19" t="str">
        <f>INDEX(WorkingDays!A:A,MATCH('Resource Demand - Activity'!EB6,WorkingDays!B:B,0))</f>
        <v>WD2</v>
      </c>
      <c r="EC7" s="19" t="str">
        <f>INDEX(WorkingDays!A:A,MATCH('Resource Demand - Activity'!EC6,WorkingDays!B:B,0))</f>
        <v>WD3</v>
      </c>
      <c r="ED7" s="19" t="str">
        <f>INDEX(WorkingDays!A:A,MATCH('Resource Demand - Activity'!ED6,WorkingDays!B:B,0))</f>
        <v>WD4</v>
      </c>
      <c r="EE7" s="19" t="str">
        <f>INDEX(WorkingDays!A:A,MATCH('Resource Demand - Activity'!EE6,WorkingDays!B:B,0))</f>
        <v>WD5</v>
      </c>
      <c r="EF7" s="19" t="str">
        <f>INDEX(WorkingDays!A:A,MATCH('Resource Demand - Activity'!EF6,WorkingDays!B:B,0))</f>
        <v>WD6</v>
      </c>
      <c r="EG7" s="19" t="str">
        <f>INDEX(WorkingDays!A:A,MATCH('Resource Demand - Activity'!EG6,WorkingDays!B:B,0))</f>
        <v>WD7</v>
      </c>
      <c r="EH7" s="19" t="str">
        <f>INDEX(WorkingDays!A:A,MATCH('Resource Demand - Activity'!EH6,WorkingDays!B:B,0))</f>
        <v>WD8</v>
      </c>
      <c r="EI7" s="19" t="str">
        <f>INDEX(WorkingDays!A:A,MATCH('Resource Demand - Activity'!EI6,WorkingDays!B:B,0))</f>
        <v>WD9</v>
      </c>
      <c r="EJ7" s="19" t="str">
        <f>INDEX(WorkingDays!A:A,MATCH('Resource Demand - Activity'!EJ6,WorkingDays!B:B,0))</f>
        <v>WD10</v>
      </c>
      <c r="EK7" s="19" t="str">
        <f>INDEX(WorkingDays!A:A,MATCH('Resource Demand - Activity'!EK6,WorkingDays!B:B,0))</f>
        <v>WD11</v>
      </c>
      <c r="EL7" s="19" t="str">
        <f>INDEX(WorkingDays!A:A,MATCH('Resource Demand - Activity'!EL6,WorkingDays!B:B,0))</f>
        <v>WD12</v>
      </c>
      <c r="EM7" s="19" t="str">
        <f>INDEX(WorkingDays!A:A,MATCH('Resource Demand - Activity'!EM6,WorkingDays!B:B,0))</f>
        <v>WD13</v>
      </c>
      <c r="EN7" s="19" t="str">
        <f>INDEX(WorkingDays!A:A,MATCH('Resource Demand - Activity'!EN6,WorkingDays!B:B,0))</f>
        <v>WD14</v>
      </c>
      <c r="EO7" s="19" t="str">
        <f>INDEX(WorkingDays!A:A,MATCH('Resource Demand - Activity'!EO6,WorkingDays!B:B,0))</f>
        <v>WD15</v>
      </c>
      <c r="EP7" s="19" t="str">
        <f>INDEX(WorkingDays!A:A,MATCH('Resource Demand - Activity'!EP6,WorkingDays!B:B,0))</f>
        <v>WD16</v>
      </c>
      <c r="EQ7" s="19" t="str">
        <f>INDEX(WorkingDays!A:A,MATCH('Resource Demand - Activity'!EQ6,WorkingDays!B:B,0))</f>
        <v>WD17</v>
      </c>
      <c r="ER7" s="19" t="str">
        <f>INDEX(WorkingDays!A:A,MATCH('Resource Demand - Activity'!ER6,WorkingDays!B:B,0))</f>
        <v>WD18</v>
      </c>
      <c r="ES7" s="19" t="str">
        <f>INDEX(WorkingDays!A:A,MATCH('Resource Demand - Activity'!ES6,WorkingDays!B:B,0))</f>
        <v>WD19</v>
      </c>
      <c r="ET7" s="19" t="str">
        <f>INDEX(WorkingDays!A:A,MATCH('Resource Demand - Activity'!ET6,WorkingDays!B:B,0))</f>
        <v>WD20</v>
      </c>
      <c r="EU7" s="19" t="str">
        <f>INDEX(WorkingDays!A:A,MATCH('Resource Demand - Activity'!EU6,WorkingDays!B:B,0))</f>
        <v>WD21</v>
      </c>
      <c r="EV7" s="19" t="str">
        <f>INDEX(WorkingDays!A:A,MATCH('Resource Demand - Activity'!EV6,WorkingDays!B:B,0))</f>
        <v>WD1</v>
      </c>
      <c r="EW7" s="19" t="str">
        <f>INDEX(WorkingDays!A:A,MATCH('Resource Demand - Activity'!EW6,WorkingDays!B:B,0))</f>
        <v>WD2</v>
      </c>
      <c r="EX7" s="19" t="str">
        <f>INDEX(WorkingDays!A:A,MATCH('Resource Demand - Activity'!EX6,WorkingDays!B:B,0))</f>
        <v>WD3</v>
      </c>
      <c r="EY7" s="24" t="str">
        <f>INDEX(WorkingDays!A:A,MATCH('Resource Demand - Activity'!EY6,WorkingDays!B:B,0))</f>
        <v/>
      </c>
      <c r="EZ7" s="19" t="str">
        <f>INDEX(WorkingDays!A:A,MATCH('Resource Demand - Activity'!EZ6,WorkingDays!B:B,0))</f>
        <v>WD4</v>
      </c>
      <c r="FA7" s="19" t="str">
        <f>INDEX(WorkingDays!A:A,MATCH('Resource Demand - Activity'!FA6,WorkingDays!B:B,0))</f>
        <v>WD5</v>
      </c>
      <c r="FB7" s="19" t="str">
        <f>INDEX(WorkingDays!A:A,MATCH('Resource Demand - Activity'!FB6,WorkingDays!B:B,0))</f>
        <v>WD6</v>
      </c>
      <c r="FC7" s="19" t="str">
        <f>INDEX(WorkingDays!A:A,MATCH('Resource Demand - Activity'!FC6,WorkingDays!B:B,0))</f>
        <v>WD7</v>
      </c>
      <c r="FD7" s="19" t="str">
        <f>INDEX(WorkingDays!A:A,MATCH('Resource Demand - Activity'!FD6,WorkingDays!B:B,0))</f>
        <v>WD8</v>
      </c>
      <c r="FE7" s="19" t="str">
        <f>INDEX(WorkingDays!A:A,MATCH('Resource Demand - Activity'!FE6,WorkingDays!B:B,0))</f>
        <v>WD9</v>
      </c>
      <c r="FF7" s="19" t="str">
        <f>INDEX(WorkingDays!A:A,MATCH('Resource Demand - Activity'!FF6,WorkingDays!B:B,0))</f>
        <v>WD10</v>
      </c>
      <c r="FG7" s="19" t="str">
        <f>INDEX(WorkingDays!A:A,MATCH('Resource Demand - Activity'!FG6,WorkingDays!B:B,0))</f>
        <v>WD11</v>
      </c>
      <c r="FH7" s="19" t="str">
        <f>INDEX(WorkingDays!A:A,MATCH('Resource Demand - Activity'!FH6,WorkingDays!B:B,0))</f>
        <v>WD12</v>
      </c>
      <c r="FI7" s="19" t="str">
        <f>INDEX(WorkingDays!A:A,MATCH('Resource Demand - Activity'!FI6,WorkingDays!B:B,0))</f>
        <v>WD13</v>
      </c>
      <c r="FJ7" s="19" t="str">
        <f>INDEX(WorkingDays!A:A,MATCH('Resource Demand - Activity'!FJ6,WorkingDays!B:B,0))</f>
        <v>WD14</v>
      </c>
      <c r="FK7" s="19" t="str">
        <f>INDEX(WorkingDays!A:A,MATCH('Resource Demand - Activity'!FK6,WorkingDays!B:B,0))</f>
        <v>WD15</v>
      </c>
      <c r="FL7" s="19" t="str">
        <f>INDEX(WorkingDays!A:A,MATCH('Resource Demand - Activity'!FL6,WorkingDays!B:B,0))</f>
        <v>WD16</v>
      </c>
      <c r="FM7" s="19" t="str">
        <f>INDEX(WorkingDays!A:A,MATCH('Resource Demand - Activity'!FM6,WorkingDays!B:B,0))</f>
        <v>WD17</v>
      </c>
      <c r="FN7" s="19" t="str">
        <f>INDEX(WorkingDays!A:A,MATCH('Resource Demand - Activity'!FN6,WorkingDays!B:B,0))</f>
        <v>WD18</v>
      </c>
      <c r="FO7" s="19" t="str">
        <f>INDEX(WorkingDays!A:A,MATCH('Resource Demand - Activity'!FO6,WorkingDays!B:B,0))</f>
        <v>WD19</v>
      </c>
      <c r="FP7" s="19" t="str">
        <f>INDEX(WorkingDays!A:A,MATCH('Resource Demand - Activity'!FP6,WorkingDays!B:B,0))</f>
        <v>WD20</v>
      </c>
      <c r="FQ7" s="19" t="str">
        <f>INDEX(WorkingDays!A:A,MATCH('Resource Demand - Activity'!FQ6,WorkingDays!B:B,0))</f>
        <v>WD21</v>
      </c>
      <c r="FR7" s="8"/>
      <c r="FS7" s="154"/>
      <c r="FU7" s="154"/>
    </row>
    <row r="8" spans="1:187" s="9" customFormat="1" ht="12" customHeight="1" collapsed="1">
      <c r="A8" s="113" t="s">
        <v>187</v>
      </c>
      <c r="B8" s="114"/>
      <c r="C8" s="115"/>
      <c r="D8" s="20"/>
      <c r="E8" s="88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2"/>
      <c r="CQ8" s="22"/>
      <c r="CR8" s="22"/>
      <c r="CS8" s="22"/>
      <c r="CT8" s="22"/>
      <c r="CU8" s="22"/>
      <c r="CV8" s="22"/>
      <c r="CW8" s="22"/>
      <c r="CX8" s="22"/>
      <c r="CY8" s="22"/>
      <c r="CZ8" s="22"/>
      <c r="DA8" s="22"/>
      <c r="DB8" s="22"/>
      <c r="DC8" s="22"/>
      <c r="DD8" s="22"/>
      <c r="DE8" s="22"/>
      <c r="DF8" s="22"/>
      <c r="DG8" s="22"/>
      <c r="DH8" s="22"/>
      <c r="DI8" s="22"/>
      <c r="DJ8" s="22"/>
      <c r="DK8" s="22"/>
      <c r="DL8" s="22"/>
      <c r="DM8" s="22"/>
      <c r="DN8" s="22"/>
      <c r="DO8" s="22"/>
      <c r="DP8" s="22"/>
      <c r="DQ8" s="22"/>
      <c r="DR8" s="22"/>
      <c r="DS8" s="22"/>
      <c r="DT8" s="22"/>
      <c r="DU8" s="22"/>
      <c r="DV8" s="22"/>
      <c r="DW8" s="22"/>
      <c r="DX8" s="22"/>
      <c r="DY8" s="22"/>
      <c r="DZ8" s="22"/>
      <c r="EA8" s="22"/>
      <c r="EB8" s="22"/>
      <c r="EC8" s="22"/>
      <c r="ED8" s="22"/>
      <c r="EE8" s="22"/>
      <c r="EF8" s="22"/>
      <c r="EG8" s="22"/>
      <c r="EH8" s="22"/>
      <c r="EI8" s="22"/>
      <c r="EJ8" s="22"/>
      <c r="EK8" s="22"/>
      <c r="EL8" s="22"/>
      <c r="EM8" s="22"/>
      <c r="EN8" s="22"/>
      <c r="EO8" s="22"/>
      <c r="EP8" s="22"/>
      <c r="EQ8" s="22"/>
      <c r="ER8" s="22"/>
      <c r="ES8" s="22"/>
      <c r="ET8" s="22"/>
      <c r="EU8" s="22"/>
      <c r="EV8" s="22"/>
      <c r="EW8" s="22"/>
      <c r="EX8" s="22"/>
      <c r="EY8" s="22"/>
      <c r="EZ8" s="22"/>
      <c r="FA8" s="22"/>
      <c r="FB8" s="22"/>
      <c r="FC8" s="22"/>
      <c r="FD8" s="22"/>
      <c r="FE8" s="22"/>
      <c r="FF8" s="22"/>
      <c r="FG8" s="22"/>
      <c r="FH8" s="22"/>
      <c r="FI8" s="22"/>
      <c r="FJ8" s="22"/>
      <c r="FK8" s="22"/>
      <c r="FL8" s="22"/>
      <c r="FM8" s="22"/>
      <c r="FN8" s="22"/>
      <c r="FO8" s="22"/>
      <c r="FP8" s="22"/>
      <c r="FQ8" s="23"/>
      <c r="FR8" s="8"/>
      <c r="FS8" s="154"/>
      <c r="FU8" s="154"/>
    </row>
    <row r="9" spans="1:187" s="9" customFormat="1" ht="12" customHeight="1">
      <c r="A9" s="116" t="s">
        <v>51</v>
      </c>
      <c r="B9" s="117"/>
      <c r="C9" s="118" t="str">
        <f t="shared" ref="C9:C72" si="9">ROUND(SUM(E9:FQ9),0) &amp; " days"</f>
        <v>8 days</v>
      </c>
      <c r="D9" s="26"/>
      <c r="E9" s="89" t="str">
        <f t="shared" ref="E9:AK9" si="10">IF(SUBTOTAL(9,E11:E15,E17:E21,E23:E27,E29:E33,E35:E39)&gt;0,SUBTOTAL(9,E11:E15,E17:E21,E23:E27,E29:E33,E35:E39),"")</f>
        <v/>
      </c>
      <c r="F9" s="32" t="str">
        <f t="shared" si="10"/>
        <v/>
      </c>
      <c r="G9" s="32" t="str">
        <f t="shared" si="10"/>
        <v/>
      </c>
      <c r="H9" s="32" t="str">
        <f t="shared" si="10"/>
        <v/>
      </c>
      <c r="I9" s="32" t="str">
        <f t="shared" si="10"/>
        <v/>
      </c>
      <c r="J9" s="32">
        <f t="shared" si="10"/>
        <v>1</v>
      </c>
      <c r="K9" s="32" t="str">
        <f t="shared" si="10"/>
        <v/>
      </c>
      <c r="L9" s="32" t="str">
        <f t="shared" si="10"/>
        <v/>
      </c>
      <c r="M9" s="32" t="str">
        <f t="shared" si="10"/>
        <v/>
      </c>
      <c r="N9" s="32" t="str">
        <f t="shared" si="10"/>
        <v/>
      </c>
      <c r="O9" s="32" t="str">
        <f t="shared" si="10"/>
        <v/>
      </c>
      <c r="P9" s="32" t="str">
        <f t="shared" si="10"/>
        <v/>
      </c>
      <c r="Q9" s="32" t="str">
        <f t="shared" si="10"/>
        <v/>
      </c>
      <c r="R9" s="32" t="str">
        <f t="shared" si="10"/>
        <v/>
      </c>
      <c r="S9" s="32" t="str">
        <f t="shared" si="10"/>
        <v/>
      </c>
      <c r="T9" s="32" t="str">
        <f t="shared" si="10"/>
        <v/>
      </c>
      <c r="U9" s="32" t="str">
        <f t="shared" si="10"/>
        <v/>
      </c>
      <c r="V9" s="32" t="str">
        <f t="shared" si="10"/>
        <v/>
      </c>
      <c r="W9" s="32" t="str">
        <f t="shared" si="10"/>
        <v/>
      </c>
      <c r="X9" s="32" t="str">
        <f t="shared" si="10"/>
        <v/>
      </c>
      <c r="Y9" s="32" t="str">
        <f t="shared" si="10"/>
        <v/>
      </c>
      <c r="Z9" s="32" t="str">
        <f t="shared" si="10"/>
        <v/>
      </c>
      <c r="AA9" s="32" t="str">
        <f t="shared" si="10"/>
        <v/>
      </c>
      <c r="AB9" s="32" t="str">
        <f t="shared" si="10"/>
        <v/>
      </c>
      <c r="AC9" s="32" t="str">
        <f t="shared" si="10"/>
        <v/>
      </c>
      <c r="AD9" s="32" t="str">
        <f t="shared" si="10"/>
        <v/>
      </c>
      <c r="AE9" s="32" t="str">
        <f t="shared" si="10"/>
        <v/>
      </c>
      <c r="AF9" s="32" t="str">
        <f t="shared" si="10"/>
        <v/>
      </c>
      <c r="AG9" s="32" t="str">
        <f t="shared" si="10"/>
        <v/>
      </c>
      <c r="AH9" s="32" t="str">
        <f t="shared" si="10"/>
        <v/>
      </c>
      <c r="AI9" s="32" t="str">
        <f t="shared" si="10"/>
        <v/>
      </c>
      <c r="AJ9" s="32" t="str">
        <f t="shared" si="10"/>
        <v/>
      </c>
      <c r="AK9" s="32" t="str">
        <f t="shared" si="10"/>
        <v/>
      </c>
      <c r="AL9" s="33" t="str">
        <f>IF(SUBTOTAL(9,AL11:AL15,AL17:AL21,AL23:AL27,AL29:AL33,AL35:AL39)&gt;0,SUBTOTAL(9,AL11:AL15,AL17:AL21,AL23:AL27,AL29:AL33,AL35:AL39),"")</f>
        <v/>
      </c>
      <c r="AM9" s="33" t="str">
        <f t="shared" ref="AM9:CX9" si="11">IF(SUBTOTAL(9,AM11:AM15,AM17:AM21,AM23:AM27,AM29:AM33,AM35:AM39)&gt;0,SUBTOTAL(9,AM11:AM15,AM17:AM21,AM23:AM27,AM29:AM33,AM35:AM39),"")</f>
        <v/>
      </c>
      <c r="AN9" s="33" t="str">
        <f t="shared" si="11"/>
        <v/>
      </c>
      <c r="AO9" s="33" t="str">
        <f t="shared" si="11"/>
        <v/>
      </c>
      <c r="AP9" s="33" t="str">
        <f t="shared" si="11"/>
        <v/>
      </c>
      <c r="AQ9" s="33" t="str">
        <f t="shared" si="11"/>
        <v/>
      </c>
      <c r="AR9" s="33" t="str">
        <f t="shared" si="11"/>
        <v/>
      </c>
      <c r="AS9" s="32" t="str">
        <f t="shared" si="11"/>
        <v/>
      </c>
      <c r="AT9" s="32" t="str">
        <f t="shared" si="11"/>
        <v/>
      </c>
      <c r="AU9" s="32" t="str">
        <f t="shared" si="11"/>
        <v/>
      </c>
      <c r="AV9" s="32" t="str">
        <f t="shared" si="11"/>
        <v/>
      </c>
      <c r="AW9" s="32" t="str">
        <f t="shared" si="11"/>
        <v/>
      </c>
      <c r="AX9" s="32" t="str">
        <f t="shared" si="11"/>
        <v/>
      </c>
      <c r="AY9" s="32" t="str">
        <f t="shared" si="11"/>
        <v/>
      </c>
      <c r="AZ9" s="32" t="str">
        <f t="shared" si="11"/>
        <v/>
      </c>
      <c r="BA9" s="32" t="str">
        <f t="shared" si="11"/>
        <v/>
      </c>
      <c r="BB9" s="32" t="str">
        <f t="shared" si="11"/>
        <v/>
      </c>
      <c r="BC9" s="32" t="str">
        <f t="shared" si="11"/>
        <v/>
      </c>
      <c r="BD9" s="32" t="str">
        <f t="shared" si="11"/>
        <v/>
      </c>
      <c r="BE9" s="32" t="str">
        <f t="shared" si="11"/>
        <v/>
      </c>
      <c r="BF9" s="32" t="str">
        <f t="shared" si="11"/>
        <v/>
      </c>
      <c r="BG9" s="32" t="str">
        <f t="shared" si="11"/>
        <v/>
      </c>
      <c r="BH9" s="32" t="str">
        <f t="shared" si="11"/>
        <v/>
      </c>
      <c r="BI9" s="32" t="str">
        <f t="shared" si="11"/>
        <v/>
      </c>
      <c r="BJ9" s="32" t="str">
        <f t="shared" si="11"/>
        <v/>
      </c>
      <c r="BK9" s="32" t="str">
        <f t="shared" si="11"/>
        <v/>
      </c>
      <c r="BL9" s="32" t="str">
        <f t="shared" si="11"/>
        <v/>
      </c>
      <c r="BM9" s="32" t="str">
        <f t="shared" si="11"/>
        <v/>
      </c>
      <c r="BN9" s="32" t="str">
        <f t="shared" si="11"/>
        <v/>
      </c>
      <c r="BO9" s="32" t="str">
        <f t="shared" si="11"/>
        <v/>
      </c>
      <c r="BP9" s="32" t="str">
        <f t="shared" si="11"/>
        <v/>
      </c>
      <c r="BQ9" s="32" t="str">
        <f t="shared" si="11"/>
        <v/>
      </c>
      <c r="BR9" s="32" t="str">
        <f t="shared" si="11"/>
        <v/>
      </c>
      <c r="BS9" s="32" t="str">
        <f t="shared" si="11"/>
        <v/>
      </c>
      <c r="BT9" s="32" t="str">
        <f t="shared" si="11"/>
        <v/>
      </c>
      <c r="BU9" s="32" t="str">
        <f t="shared" si="11"/>
        <v/>
      </c>
      <c r="BV9" s="32" t="str">
        <f t="shared" si="11"/>
        <v/>
      </c>
      <c r="BW9" s="32">
        <f t="shared" si="11"/>
        <v>1</v>
      </c>
      <c r="BX9" s="32" t="str">
        <f t="shared" si="11"/>
        <v/>
      </c>
      <c r="BY9" s="32" t="str">
        <f t="shared" si="11"/>
        <v/>
      </c>
      <c r="BZ9" s="32" t="str">
        <f t="shared" si="11"/>
        <v/>
      </c>
      <c r="CA9" s="32" t="str">
        <f t="shared" si="11"/>
        <v/>
      </c>
      <c r="CB9" s="32" t="str">
        <f t="shared" si="11"/>
        <v/>
      </c>
      <c r="CC9" s="32" t="str">
        <f t="shared" si="11"/>
        <v/>
      </c>
      <c r="CD9" s="32" t="str">
        <f t="shared" si="11"/>
        <v/>
      </c>
      <c r="CE9" s="32" t="str">
        <f t="shared" si="11"/>
        <v/>
      </c>
      <c r="CF9" s="32" t="str">
        <f t="shared" si="11"/>
        <v/>
      </c>
      <c r="CG9" s="32" t="str">
        <f t="shared" ref="CG9" si="12">IF(SUBTOTAL(9,CG11:CG15,CG17:CG21,CG23:CG27,CG29:CG33,CG35:CG39)&gt;0,SUBTOTAL(9,CG11:CG15,CG17:CG21,CG23:CG27,CG29:CG33,CG35:CG39),"")</f>
        <v/>
      </c>
      <c r="CH9" s="32" t="str">
        <f t="shared" si="11"/>
        <v/>
      </c>
      <c r="CI9" s="32" t="str">
        <f t="shared" si="11"/>
        <v/>
      </c>
      <c r="CJ9" s="32" t="str">
        <f t="shared" si="11"/>
        <v/>
      </c>
      <c r="CK9" s="32" t="str">
        <f t="shared" si="11"/>
        <v/>
      </c>
      <c r="CL9" s="32" t="str">
        <f t="shared" si="11"/>
        <v/>
      </c>
      <c r="CM9" s="32" t="str">
        <f t="shared" si="11"/>
        <v/>
      </c>
      <c r="CN9" s="32" t="str">
        <f t="shared" si="11"/>
        <v/>
      </c>
      <c r="CO9" s="32" t="str">
        <f t="shared" si="11"/>
        <v/>
      </c>
      <c r="CP9" s="32" t="str">
        <f t="shared" si="11"/>
        <v/>
      </c>
      <c r="CQ9" s="32" t="str">
        <f t="shared" si="11"/>
        <v/>
      </c>
      <c r="CR9" s="32" t="str">
        <f t="shared" si="11"/>
        <v/>
      </c>
      <c r="CS9" s="32" t="str">
        <f t="shared" si="11"/>
        <v/>
      </c>
      <c r="CT9" s="33" t="str">
        <f t="shared" si="11"/>
        <v/>
      </c>
      <c r="CU9" s="32" t="str">
        <f t="shared" si="11"/>
        <v/>
      </c>
      <c r="CV9" s="32" t="str">
        <f t="shared" si="11"/>
        <v/>
      </c>
      <c r="CW9" s="32" t="str">
        <f t="shared" si="11"/>
        <v/>
      </c>
      <c r="CX9" s="32" t="str">
        <f t="shared" si="11"/>
        <v/>
      </c>
      <c r="CY9" s="32" t="str">
        <f t="shared" ref="CY9:FJ9" si="13">IF(SUBTOTAL(9,CY11:CY15,CY17:CY21,CY23:CY27,CY29:CY33,CY35:CY39)&gt;0,SUBTOTAL(9,CY11:CY15,CY17:CY21,CY23:CY27,CY29:CY33,CY35:CY39),"")</f>
        <v/>
      </c>
      <c r="CZ9" s="33" t="str">
        <f t="shared" si="13"/>
        <v/>
      </c>
      <c r="DA9" s="33" t="str">
        <f t="shared" si="13"/>
        <v/>
      </c>
      <c r="DB9" s="32" t="str">
        <f t="shared" si="13"/>
        <v/>
      </c>
      <c r="DC9" s="32" t="str">
        <f t="shared" si="13"/>
        <v/>
      </c>
      <c r="DD9" s="32" t="str">
        <f t="shared" si="13"/>
        <v/>
      </c>
      <c r="DE9" s="32" t="str">
        <f t="shared" si="13"/>
        <v/>
      </c>
      <c r="DF9" s="32" t="str">
        <f t="shared" si="13"/>
        <v/>
      </c>
      <c r="DG9" s="32" t="str">
        <f t="shared" si="13"/>
        <v/>
      </c>
      <c r="DH9" s="32" t="str">
        <f t="shared" si="13"/>
        <v/>
      </c>
      <c r="DI9" s="32" t="str">
        <f t="shared" si="13"/>
        <v/>
      </c>
      <c r="DJ9" s="32" t="str">
        <f t="shared" si="13"/>
        <v/>
      </c>
      <c r="DK9" s="32" t="str">
        <f t="shared" si="13"/>
        <v/>
      </c>
      <c r="DL9" s="32" t="str">
        <f t="shared" si="13"/>
        <v/>
      </c>
      <c r="DM9" s="32" t="str">
        <f t="shared" si="13"/>
        <v/>
      </c>
      <c r="DN9" s="32" t="str">
        <f t="shared" si="13"/>
        <v/>
      </c>
      <c r="DO9" s="32" t="str">
        <f t="shared" si="13"/>
        <v/>
      </c>
      <c r="DP9" s="32" t="str">
        <f t="shared" si="13"/>
        <v/>
      </c>
      <c r="DQ9" s="32">
        <f t="shared" si="13"/>
        <v>1</v>
      </c>
      <c r="DR9" s="32">
        <f t="shared" si="13"/>
        <v>2</v>
      </c>
      <c r="DS9" s="32">
        <f t="shared" si="13"/>
        <v>1.5</v>
      </c>
      <c r="DT9" s="32">
        <f t="shared" si="13"/>
        <v>1</v>
      </c>
      <c r="DU9" s="32" t="str">
        <f t="shared" si="13"/>
        <v/>
      </c>
      <c r="DV9" s="32" t="str">
        <f t="shared" si="13"/>
        <v/>
      </c>
      <c r="DW9" s="32" t="str">
        <f t="shared" si="13"/>
        <v/>
      </c>
      <c r="DX9" s="32" t="str">
        <f t="shared" si="13"/>
        <v/>
      </c>
      <c r="DY9" s="32" t="str">
        <f t="shared" si="13"/>
        <v/>
      </c>
      <c r="DZ9" s="33" t="str">
        <f t="shared" si="13"/>
        <v/>
      </c>
      <c r="EA9" s="32" t="str">
        <f t="shared" si="13"/>
        <v/>
      </c>
      <c r="EB9" s="32" t="str">
        <f t="shared" si="13"/>
        <v/>
      </c>
      <c r="EC9" s="32" t="str">
        <f t="shared" si="13"/>
        <v/>
      </c>
      <c r="ED9" s="32" t="str">
        <f t="shared" si="13"/>
        <v/>
      </c>
      <c r="EE9" s="32" t="str">
        <f t="shared" si="13"/>
        <v/>
      </c>
      <c r="EF9" s="32" t="str">
        <f t="shared" si="13"/>
        <v/>
      </c>
      <c r="EG9" s="32" t="str">
        <f t="shared" si="13"/>
        <v/>
      </c>
      <c r="EH9" s="32" t="str">
        <f t="shared" si="13"/>
        <v/>
      </c>
      <c r="EI9" s="32" t="str">
        <f t="shared" si="13"/>
        <v/>
      </c>
      <c r="EJ9" s="32" t="str">
        <f t="shared" si="13"/>
        <v/>
      </c>
      <c r="EK9" s="32" t="str">
        <f t="shared" si="13"/>
        <v/>
      </c>
      <c r="EL9" s="32" t="str">
        <f t="shared" si="13"/>
        <v/>
      </c>
      <c r="EM9" s="32" t="str">
        <f t="shared" si="13"/>
        <v/>
      </c>
      <c r="EN9" s="32" t="str">
        <f t="shared" si="13"/>
        <v/>
      </c>
      <c r="EO9" s="32" t="str">
        <f t="shared" si="13"/>
        <v/>
      </c>
      <c r="EP9" s="32" t="str">
        <f t="shared" si="13"/>
        <v/>
      </c>
      <c r="EQ9" s="32" t="str">
        <f t="shared" si="13"/>
        <v/>
      </c>
      <c r="ER9" s="32" t="str">
        <f t="shared" si="13"/>
        <v/>
      </c>
      <c r="ES9" s="32" t="str">
        <f t="shared" si="13"/>
        <v/>
      </c>
      <c r="ET9" s="32" t="str">
        <f t="shared" si="13"/>
        <v/>
      </c>
      <c r="EU9" s="32" t="str">
        <f t="shared" si="13"/>
        <v/>
      </c>
      <c r="EV9" s="32" t="str">
        <f t="shared" si="13"/>
        <v/>
      </c>
      <c r="EW9" s="32" t="str">
        <f t="shared" si="13"/>
        <v/>
      </c>
      <c r="EX9" s="32" t="str">
        <f t="shared" si="13"/>
        <v/>
      </c>
      <c r="EY9" s="33" t="str">
        <f t="shared" si="13"/>
        <v/>
      </c>
      <c r="EZ9" s="32" t="str">
        <f t="shared" si="13"/>
        <v/>
      </c>
      <c r="FA9" s="32" t="str">
        <f t="shared" si="13"/>
        <v/>
      </c>
      <c r="FB9" s="32" t="str">
        <f t="shared" si="13"/>
        <v/>
      </c>
      <c r="FC9" s="32" t="str">
        <f t="shared" si="13"/>
        <v/>
      </c>
      <c r="FD9" s="32" t="str">
        <f t="shared" si="13"/>
        <v/>
      </c>
      <c r="FE9" s="32" t="str">
        <f t="shared" si="13"/>
        <v/>
      </c>
      <c r="FF9" s="32" t="str">
        <f t="shared" si="13"/>
        <v/>
      </c>
      <c r="FG9" s="32" t="str">
        <f t="shared" si="13"/>
        <v/>
      </c>
      <c r="FH9" s="32" t="str">
        <f t="shared" si="13"/>
        <v/>
      </c>
      <c r="FI9" s="32" t="str">
        <f t="shared" si="13"/>
        <v/>
      </c>
      <c r="FJ9" s="32" t="str">
        <f t="shared" si="13"/>
        <v/>
      </c>
      <c r="FK9" s="32" t="str">
        <f t="shared" ref="FK9:FQ9" si="14">IF(SUBTOTAL(9,FK11:FK15,FK17:FK21,FK23:FK27,FK29:FK33,FK35:FK39)&gt;0,SUBTOTAL(9,FK11:FK15,FK17:FK21,FK23:FK27,FK29:FK33,FK35:FK39),"")</f>
        <v/>
      </c>
      <c r="FL9" s="32" t="str">
        <f t="shared" si="14"/>
        <v/>
      </c>
      <c r="FM9" s="32" t="str">
        <f t="shared" si="14"/>
        <v/>
      </c>
      <c r="FN9" s="32" t="str">
        <f t="shared" si="14"/>
        <v/>
      </c>
      <c r="FO9" s="32" t="str">
        <f t="shared" si="14"/>
        <v/>
      </c>
      <c r="FP9" s="32" t="str">
        <f t="shared" si="14"/>
        <v/>
      </c>
      <c r="FQ9" s="90" t="str">
        <f t="shared" si="14"/>
        <v/>
      </c>
      <c r="FR9" s="8"/>
      <c r="FS9" s="9" t="s">
        <v>131</v>
      </c>
    </row>
    <row r="10" spans="1:187" s="9" customFormat="1" ht="12" customHeight="1">
      <c r="A10" s="119" t="s">
        <v>52</v>
      </c>
      <c r="B10" s="120"/>
      <c r="C10" s="121" t="str">
        <f t="shared" si="9"/>
        <v>3 days</v>
      </c>
      <c r="D10" s="27"/>
      <c r="E10" s="91" t="str">
        <f t="shared" ref="E10" si="15">IF(SUBTOTAL(9,E11:E15)&gt;0,SUBTOTAL(9,E11:E15),"")</f>
        <v/>
      </c>
      <c r="F10" s="34" t="str">
        <f t="shared" ref="F10" si="16">IF(SUBTOTAL(9,F11:F15)&gt;0,SUBTOTAL(9,F11:F15),"")</f>
        <v/>
      </c>
      <c r="G10" s="34" t="str">
        <f t="shared" ref="G10" si="17">IF(SUBTOTAL(9,G11:G15)&gt;0,SUBTOTAL(9,G11:G15),"")</f>
        <v/>
      </c>
      <c r="H10" s="34" t="str">
        <f t="shared" ref="H10:I10" si="18">IF(SUBTOTAL(9,H11:H15)&gt;0,SUBTOTAL(9,H11:H15),"")</f>
        <v/>
      </c>
      <c r="I10" s="34" t="str">
        <f t="shared" si="18"/>
        <v/>
      </c>
      <c r="J10" s="34">
        <f t="shared" ref="J10" si="19">IF(SUBTOTAL(9,J11:J15)&gt;0,SUBTOTAL(9,J11:J15),"")</f>
        <v>1</v>
      </c>
      <c r="K10" s="34" t="str">
        <f t="shared" ref="K10" si="20">IF(SUBTOTAL(9,K11:K15)&gt;0,SUBTOTAL(9,K11:K15),"")</f>
        <v/>
      </c>
      <c r="L10" s="34" t="str">
        <f t="shared" ref="L10" si="21">IF(SUBTOTAL(9,L11:L15)&gt;0,SUBTOTAL(9,L11:L15),"")</f>
        <v/>
      </c>
      <c r="M10" s="34" t="str">
        <f t="shared" ref="M10:N10" si="22">IF(SUBTOTAL(9,M11:M15)&gt;0,SUBTOTAL(9,M11:M15),"")</f>
        <v/>
      </c>
      <c r="N10" s="34" t="str">
        <f t="shared" si="22"/>
        <v/>
      </c>
      <c r="O10" s="34" t="str">
        <f t="shared" ref="O10" si="23">IF(SUBTOTAL(9,O11:O15)&gt;0,SUBTOTAL(9,O11:O15),"")</f>
        <v/>
      </c>
      <c r="P10" s="34" t="str">
        <f t="shared" ref="P10" si="24">IF(SUBTOTAL(9,P11:P15)&gt;0,SUBTOTAL(9,P11:P15),"")</f>
        <v/>
      </c>
      <c r="Q10" s="34" t="str">
        <f t="shared" ref="Q10" si="25">IF(SUBTOTAL(9,Q11:Q15)&gt;0,SUBTOTAL(9,Q11:Q15),"")</f>
        <v/>
      </c>
      <c r="R10" s="34" t="str">
        <f t="shared" ref="R10:S10" si="26">IF(SUBTOTAL(9,R11:R15)&gt;0,SUBTOTAL(9,R11:R15),"")</f>
        <v/>
      </c>
      <c r="S10" s="34" t="str">
        <f t="shared" si="26"/>
        <v/>
      </c>
      <c r="T10" s="34" t="str">
        <f t="shared" ref="T10" si="27">IF(SUBTOTAL(9,T11:T15)&gt;0,SUBTOTAL(9,T11:T15),"")</f>
        <v/>
      </c>
      <c r="U10" s="34" t="str">
        <f t="shared" ref="U10" si="28">IF(SUBTOTAL(9,U11:U15)&gt;0,SUBTOTAL(9,U11:U15),"")</f>
        <v/>
      </c>
      <c r="V10" s="34" t="str">
        <f t="shared" ref="V10" si="29">IF(SUBTOTAL(9,V11:V15)&gt;0,SUBTOTAL(9,V11:V15),"")</f>
        <v/>
      </c>
      <c r="W10" s="34" t="str">
        <f t="shared" ref="W10:X10" si="30">IF(SUBTOTAL(9,W11:W15)&gt;0,SUBTOTAL(9,W11:W15),"")</f>
        <v/>
      </c>
      <c r="X10" s="34" t="str">
        <f t="shared" si="30"/>
        <v/>
      </c>
      <c r="Y10" s="34" t="str">
        <f t="shared" ref="Y10" si="31">IF(SUBTOTAL(9,Y11:Y15)&gt;0,SUBTOTAL(9,Y11:Y15),"")</f>
        <v/>
      </c>
      <c r="Z10" s="34" t="str">
        <f t="shared" ref="Z10" si="32">IF(SUBTOTAL(9,Z11:Z15)&gt;0,SUBTOTAL(9,Z11:Z15),"")</f>
        <v/>
      </c>
      <c r="AA10" s="34" t="str">
        <f t="shared" ref="AA10" si="33">IF(SUBTOTAL(9,AA11:AA15)&gt;0,SUBTOTAL(9,AA11:AA15),"")</f>
        <v/>
      </c>
      <c r="AB10" s="34" t="str">
        <f t="shared" ref="AB10:AC10" si="34">IF(SUBTOTAL(9,AB11:AB15)&gt;0,SUBTOTAL(9,AB11:AB15),"")</f>
        <v/>
      </c>
      <c r="AC10" s="34" t="str">
        <f t="shared" si="34"/>
        <v/>
      </c>
      <c r="AD10" s="34" t="str">
        <f t="shared" ref="AD10" si="35">IF(SUBTOTAL(9,AD11:AD15)&gt;0,SUBTOTAL(9,AD11:AD15),"")</f>
        <v/>
      </c>
      <c r="AE10" s="34" t="str">
        <f t="shared" ref="AE10" si="36">IF(SUBTOTAL(9,AE11:AE15)&gt;0,SUBTOTAL(9,AE11:AE15),"")</f>
        <v/>
      </c>
      <c r="AF10" s="34" t="str">
        <f t="shared" ref="AF10" si="37">IF(SUBTOTAL(9,AF11:AF15)&gt;0,SUBTOTAL(9,AF11:AF15),"")</f>
        <v/>
      </c>
      <c r="AG10" s="34" t="str">
        <f t="shared" ref="AG10:AH10" si="38">IF(SUBTOTAL(9,AG11:AG15)&gt;0,SUBTOTAL(9,AG11:AG15),"")</f>
        <v/>
      </c>
      <c r="AH10" s="34" t="str">
        <f t="shared" si="38"/>
        <v/>
      </c>
      <c r="AI10" s="34" t="str">
        <f t="shared" ref="AI10" si="39">IF(SUBTOTAL(9,AI11:AI15)&gt;0,SUBTOTAL(9,AI11:AI15),"")</f>
        <v/>
      </c>
      <c r="AJ10" s="34" t="str">
        <f t="shared" ref="AJ10" si="40">IF(SUBTOTAL(9,AJ11:AJ15)&gt;0,SUBTOTAL(9,AJ11:AJ15),"")</f>
        <v/>
      </c>
      <c r="AK10" s="34" t="str">
        <f t="shared" ref="AK10" si="41">IF(SUBTOTAL(9,AK11:AK15)&gt;0,SUBTOTAL(9,AK11:AK15),"")</f>
        <v/>
      </c>
      <c r="AL10" s="33" t="str">
        <f t="shared" ref="AL10:AM10" si="42">IF(SUBTOTAL(9,AL11:AL15)&gt;0,SUBTOTAL(9,AL11:AL15),"")</f>
        <v/>
      </c>
      <c r="AM10" s="33" t="str">
        <f t="shared" si="42"/>
        <v/>
      </c>
      <c r="AN10" s="33" t="str">
        <f t="shared" ref="AN10" si="43">IF(SUBTOTAL(9,AN11:AN15)&gt;0,SUBTOTAL(9,AN11:AN15),"")</f>
        <v/>
      </c>
      <c r="AO10" s="33" t="str">
        <f t="shared" ref="AO10" si="44">IF(SUBTOTAL(9,AO11:AO15)&gt;0,SUBTOTAL(9,AO11:AO15),"")</f>
        <v/>
      </c>
      <c r="AP10" s="33" t="str">
        <f t="shared" ref="AP10" si="45">IF(SUBTOTAL(9,AP11:AP15)&gt;0,SUBTOTAL(9,AP11:AP15),"")</f>
        <v/>
      </c>
      <c r="AQ10" s="33" t="str">
        <f t="shared" ref="AQ10:AR10" si="46">IF(SUBTOTAL(9,AQ11:AQ15)&gt;0,SUBTOTAL(9,AQ11:AQ15),"")</f>
        <v/>
      </c>
      <c r="AR10" s="33" t="str">
        <f t="shared" si="46"/>
        <v/>
      </c>
      <c r="AS10" s="34" t="str">
        <f t="shared" ref="AS10" si="47">IF(SUBTOTAL(9,AS11:AS15)&gt;0,SUBTOTAL(9,AS11:AS15),"")</f>
        <v/>
      </c>
      <c r="AT10" s="34" t="str">
        <f t="shared" ref="AT10" si="48">IF(SUBTOTAL(9,AT11:AT15)&gt;0,SUBTOTAL(9,AT11:AT15),"")</f>
        <v/>
      </c>
      <c r="AU10" s="34" t="str">
        <f t="shared" ref="AU10" si="49">IF(SUBTOTAL(9,AU11:AU15)&gt;0,SUBTOTAL(9,AU11:AU15),"")</f>
        <v/>
      </c>
      <c r="AV10" s="34" t="str">
        <f t="shared" ref="AV10:AW10" si="50">IF(SUBTOTAL(9,AV11:AV15)&gt;0,SUBTOTAL(9,AV11:AV15),"")</f>
        <v/>
      </c>
      <c r="AW10" s="34" t="str">
        <f t="shared" si="50"/>
        <v/>
      </c>
      <c r="AX10" s="34" t="str">
        <f t="shared" ref="AX10" si="51">IF(SUBTOTAL(9,AX11:AX15)&gt;0,SUBTOTAL(9,AX11:AX15),"")</f>
        <v/>
      </c>
      <c r="AY10" s="34" t="str">
        <f t="shared" ref="AY10" si="52">IF(SUBTOTAL(9,AY11:AY15)&gt;0,SUBTOTAL(9,AY11:AY15),"")</f>
        <v/>
      </c>
      <c r="AZ10" s="34" t="str">
        <f t="shared" ref="AZ10" si="53">IF(SUBTOTAL(9,AZ11:AZ15)&gt;0,SUBTOTAL(9,AZ11:AZ15),"")</f>
        <v/>
      </c>
      <c r="BA10" s="34" t="str">
        <f t="shared" ref="BA10:BB10" si="54">IF(SUBTOTAL(9,BA11:BA15)&gt;0,SUBTOTAL(9,BA11:BA15),"")</f>
        <v/>
      </c>
      <c r="BB10" s="34" t="str">
        <f t="shared" si="54"/>
        <v/>
      </c>
      <c r="BC10" s="34" t="str">
        <f t="shared" ref="BC10" si="55">IF(SUBTOTAL(9,BC11:BC15)&gt;0,SUBTOTAL(9,BC11:BC15),"")</f>
        <v/>
      </c>
      <c r="BD10" s="34" t="str">
        <f t="shared" ref="BD10" si="56">IF(SUBTOTAL(9,BD11:BD15)&gt;0,SUBTOTAL(9,BD11:BD15),"")</f>
        <v/>
      </c>
      <c r="BE10" s="34" t="str">
        <f t="shared" ref="BE10" si="57">IF(SUBTOTAL(9,BE11:BE15)&gt;0,SUBTOTAL(9,BE11:BE15),"")</f>
        <v/>
      </c>
      <c r="BF10" s="34" t="str">
        <f t="shared" ref="BF10:BG10" si="58">IF(SUBTOTAL(9,BF11:BF15)&gt;0,SUBTOTAL(9,BF11:BF15),"")</f>
        <v/>
      </c>
      <c r="BG10" s="34" t="str">
        <f t="shared" si="58"/>
        <v/>
      </c>
      <c r="BH10" s="34" t="str">
        <f t="shared" ref="BH10" si="59">IF(SUBTOTAL(9,BH11:BH15)&gt;0,SUBTOTAL(9,BH11:BH15),"")</f>
        <v/>
      </c>
      <c r="BI10" s="34" t="str">
        <f t="shared" ref="BI10" si="60">IF(SUBTOTAL(9,BI11:BI15)&gt;0,SUBTOTAL(9,BI11:BI15),"")</f>
        <v/>
      </c>
      <c r="BJ10" s="34" t="str">
        <f t="shared" ref="BJ10" si="61">IF(SUBTOTAL(9,BJ11:BJ15)&gt;0,SUBTOTAL(9,BJ11:BJ15),"")</f>
        <v/>
      </c>
      <c r="BK10" s="34" t="str">
        <f t="shared" ref="BK10:BL10" si="62">IF(SUBTOTAL(9,BK11:BK15)&gt;0,SUBTOTAL(9,BK11:BK15),"")</f>
        <v/>
      </c>
      <c r="BL10" s="34" t="str">
        <f t="shared" si="62"/>
        <v/>
      </c>
      <c r="BM10" s="34" t="str">
        <f t="shared" ref="BM10" si="63">IF(SUBTOTAL(9,BM11:BM15)&gt;0,SUBTOTAL(9,BM11:BM15),"")</f>
        <v/>
      </c>
      <c r="BN10" s="34" t="str">
        <f t="shared" ref="BN10" si="64">IF(SUBTOTAL(9,BN11:BN15)&gt;0,SUBTOTAL(9,BN11:BN15),"")</f>
        <v/>
      </c>
      <c r="BO10" s="34" t="str">
        <f t="shared" ref="BO10" si="65">IF(SUBTOTAL(9,BO11:BO15)&gt;0,SUBTOTAL(9,BO11:BO15),"")</f>
        <v/>
      </c>
      <c r="BP10" s="34" t="str">
        <f t="shared" ref="BP10:BQ10" si="66">IF(SUBTOTAL(9,BP11:BP15)&gt;0,SUBTOTAL(9,BP11:BP15),"")</f>
        <v/>
      </c>
      <c r="BQ10" s="34" t="str">
        <f t="shared" si="66"/>
        <v/>
      </c>
      <c r="BR10" s="34" t="str">
        <f t="shared" ref="BR10" si="67">IF(SUBTOTAL(9,BR11:BR15)&gt;0,SUBTOTAL(9,BR11:BR15),"")</f>
        <v/>
      </c>
      <c r="BS10" s="34" t="str">
        <f t="shared" ref="BS10" si="68">IF(SUBTOTAL(9,BS11:BS15)&gt;0,SUBTOTAL(9,BS11:BS15),"")</f>
        <v/>
      </c>
      <c r="BT10" s="34" t="str">
        <f t="shared" ref="BT10" si="69">IF(SUBTOTAL(9,BT11:BT15)&gt;0,SUBTOTAL(9,BT11:BT15),"")</f>
        <v/>
      </c>
      <c r="BU10" s="34" t="str">
        <f t="shared" ref="BU10:BV10" si="70">IF(SUBTOTAL(9,BU11:BU15)&gt;0,SUBTOTAL(9,BU11:BU15),"")</f>
        <v/>
      </c>
      <c r="BV10" s="34" t="str">
        <f t="shared" si="70"/>
        <v/>
      </c>
      <c r="BW10" s="34" t="str">
        <f t="shared" ref="BW10" si="71">IF(SUBTOTAL(9,BW11:BW15)&gt;0,SUBTOTAL(9,BW11:BW15),"")</f>
        <v/>
      </c>
      <c r="BX10" s="34" t="str">
        <f t="shared" ref="BX10" si="72">IF(SUBTOTAL(9,BX11:BX15)&gt;0,SUBTOTAL(9,BX11:BX15),"")</f>
        <v/>
      </c>
      <c r="BY10" s="34" t="str">
        <f t="shared" ref="BY10" si="73">IF(SUBTOTAL(9,BY11:BY15)&gt;0,SUBTOTAL(9,BY11:BY15),"")</f>
        <v/>
      </c>
      <c r="BZ10" s="34" t="str">
        <f t="shared" ref="BZ10:CA10" si="74">IF(SUBTOTAL(9,BZ11:BZ15)&gt;0,SUBTOTAL(9,BZ11:BZ15),"")</f>
        <v/>
      </c>
      <c r="CA10" s="34" t="str">
        <f t="shared" si="74"/>
        <v/>
      </c>
      <c r="CB10" s="34" t="str">
        <f t="shared" ref="CB10" si="75">IF(SUBTOTAL(9,CB11:CB15)&gt;0,SUBTOTAL(9,CB11:CB15),"")</f>
        <v/>
      </c>
      <c r="CC10" s="34" t="str">
        <f t="shared" ref="CC10" si="76">IF(SUBTOTAL(9,CC11:CC15)&gt;0,SUBTOTAL(9,CC11:CC15),"")</f>
        <v/>
      </c>
      <c r="CD10" s="34" t="str">
        <f t="shared" ref="CD10" si="77">IF(SUBTOTAL(9,CD11:CD15)&gt;0,SUBTOTAL(9,CD11:CD15),"")</f>
        <v/>
      </c>
      <c r="CE10" s="34" t="str">
        <f t="shared" ref="CE10:CF10" si="78">IF(SUBTOTAL(9,CE11:CE15)&gt;0,SUBTOTAL(9,CE11:CE15),"")</f>
        <v/>
      </c>
      <c r="CF10" s="34" t="str">
        <f t="shared" si="78"/>
        <v/>
      </c>
      <c r="CG10" s="34" t="str">
        <f t="shared" ref="CG10" si="79">IF(SUBTOTAL(9,CG11:CG15)&gt;0,SUBTOTAL(9,CG11:CG15),"")</f>
        <v/>
      </c>
      <c r="CH10" s="34" t="str">
        <f t="shared" ref="CH10" si="80">IF(SUBTOTAL(9,CH11:CH15)&gt;0,SUBTOTAL(9,CH11:CH15),"")</f>
        <v/>
      </c>
      <c r="CI10" s="34" t="str">
        <f t="shared" ref="CI10" si="81">IF(SUBTOTAL(9,CI11:CI15)&gt;0,SUBTOTAL(9,CI11:CI15),"")</f>
        <v/>
      </c>
      <c r="CJ10" s="34" t="str">
        <f t="shared" ref="CJ10:CK10" si="82">IF(SUBTOTAL(9,CJ11:CJ15)&gt;0,SUBTOTAL(9,CJ11:CJ15),"")</f>
        <v/>
      </c>
      <c r="CK10" s="34" t="str">
        <f t="shared" si="82"/>
        <v/>
      </c>
      <c r="CL10" s="34" t="str">
        <f t="shared" ref="CL10" si="83">IF(SUBTOTAL(9,CL11:CL15)&gt;0,SUBTOTAL(9,CL11:CL15),"")</f>
        <v/>
      </c>
      <c r="CM10" s="34" t="str">
        <f t="shared" ref="CM10" si="84">IF(SUBTOTAL(9,CM11:CM15)&gt;0,SUBTOTAL(9,CM11:CM15),"")</f>
        <v/>
      </c>
      <c r="CN10" s="34" t="str">
        <f t="shared" ref="CN10" si="85">IF(SUBTOTAL(9,CN11:CN15)&gt;0,SUBTOTAL(9,CN11:CN15),"")</f>
        <v/>
      </c>
      <c r="CO10" s="34" t="str">
        <f t="shared" ref="CO10:CP10" si="86">IF(SUBTOTAL(9,CO11:CO15)&gt;0,SUBTOTAL(9,CO11:CO15),"")</f>
        <v/>
      </c>
      <c r="CP10" s="34" t="str">
        <f t="shared" si="86"/>
        <v/>
      </c>
      <c r="CQ10" s="34" t="str">
        <f t="shared" ref="CQ10" si="87">IF(SUBTOTAL(9,CQ11:CQ15)&gt;0,SUBTOTAL(9,CQ11:CQ15),"")</f>
        <v/>
      </c>
      <c r="CR10" s="34" t="str">
        <f t="shared" ref="CR10" si="88">IF(SUBTOTAL(9,CR11:CR15)&gt;0,SUBTOTAL(9,CR11:CR15),"")</f>
        <v/>
      </c>
      <c r="CS10" s="34" t="str">
        <f t="shared" ref="CS10" si="89">IF(SUBTOTAL(9,CS11:CS15)&gt;0,SUBTOTAL(9,CS11:CS15),"")</f>
        <v/>
      </c>
      <c r="CT10" s="33" t="str">
        <f t="shared" ref="CT10:CU10" si="90">IF(SUBTOTAL(9,CT11:CT15)&gt;0,SUBTOTAL(9,CT11:CT15),"")</f>
        <v/>
      </c>
      <c r="CU10" s="34" t="str">
        <f t="shared" si="90"/>
        <v/>
      </c>
      <c r="CV10" s="34" t="str">
        <f t="shared" ref="CV10" si="91">IF(SUBTOTAL(9,CV11:CV15)&gt;0,SUBTOTAL(9,CV11:CV15),"")</f>
        <v/>
      </c>
      <c r="CW10" s="34" t="str">
        <f t="shared" ref="CW10" si="92">IF(SUBTOTAL(9,CW11:CW15)&gt;0,SUBTOTAL(9,CW11:CW15),"")</f>
        <v/>
      </c>
      <c r="CX10" s="34" t="str">
        <f t="shared" ref="CX10" si="93">IF(SUBTOTAL(9,CX11:CX15)&gt;0,SUBTOTAL(9,CX11:CX15),"")</f>
        <v/>
      </c>
      <c r="CY10" s="34" t="str">
        <f t="shared" ref="CY10:CZ10" si="94">IF(SUBTOTAL(9,CY11:CY15)&gt;0,SUBTOTAL(9,CY11:CY15),"")</f>
        <v/>
      </c>
      <c r="CZ10" s="33" t="str">
        <f t="shared" si="94"/>
        <v/>
      </c>
      <c r="DA10" s="33" t="str">
        <f t="shared" ref="DA10" si="95">IF(SUBTOTAL(9,DA11:DA15)&gt;0,SUBTOTAL(9,DA11:DA15),"")</f>
        <v/>
      </c>
      <c r="DB10" s="34" t="str">
        <f t="shared" ref="DB10" si="96">IF(SUBTOTAL(9,DB11:DB15)&gt;0,SUBTOTAL(9,DB11:DB15),"")</f>
        <v/>
      </c>
      <c r="DC10" s="34" t="str">
        <f t="shared" ref="DC10" si="97">IF(SUBTOTAL(9,DC11:DC15)&gt;0,SUBTOTAL(9,DC11:DC15),"")</f>
        <v/>
      </c>
      <c r="DD10" s="34" t="str">
        <f t="shared" ref="DD10:DE10" si="98">IF(SUBTOTAL(9,DD11:DD15)&gt;0,SUBTOTAL(9,DD11:DD15),"")</f>
        <v/>
      </c>
      <c r="DE10" s="34" t="str">
        <f t="shared" si="98"/>
        <v/>
      </c>
      <c r="DF10" s="34" t="str">
        <f t="shared" ref="DF10" si="99">IF(SUBTOTAL(9,DF11:DF15)&gt;0,SUBTOTAL(9,DF11:DF15),"")</f>
        <v/>
      </c>
      <c r="DG10" s="34" t="str">
        <f t="shared" ref="DG10" si="100">IF(SUBTOTAL(9,DG11:DG15)&gt;0,SUBTOTAL(9,DG11:DG15),"")</f>
        <v/>
      </c>
      <c r="DH10" s="34" t="str">
        <f t="shared" ref="DH10" si="101">IF(SUBTOTAL(9,DH11:DH15)&gt;0,SUBTOTAL(9,DH11:DH15),"")</f>
        <v/>
      </c>
      <c r="DI10" s="34" t="str">
        <f t="shared" ref="DI10:DJ10" si="102">IF(SUBTOTAL(9,DI11:DI15)&gt;0,SUBTOTAL(9,DI11:DI15),"")</f>
        <v/>
      </c>
      <c r="DJ10" s="34" t="str">
        <f t="shared" si="102"/>
        <v/>
      </c>
      <c r="DK10" s="34" t="str">
        <f t="shared" ref="DK10" si="103">IF(SUBTOTAL(9,DK11:DK15)&gt;0,SUBTOTAL(9,DK11:DK15),"")</f>
        <v/>
      </c>
      <c r="DL10" s="34" t="str">
        <f t="shared" ref="DL10" si="104">IF(SUBTOTAL(9,DL11:DL15)&gt;0,SUBTOTAL(9,DL11:DL15),"")</f>
        <v/>
      </c>
      <c r="DM10" s="34" t="str">
        <f t="shared" ref="DM10" si="105">IF(SUBTOTAL(9,DM11:DM15)&gt;0,SUBTOTAL(9,DM11:DM15),"")</f>
        <v/>
      </c>
      <c r="DN10" s="34" t="str">
        <f t="shared" ref="DN10:DO10" si="106">IF(SUBTOTAL(9,DN11:DN15)&gt;0,SUBTOTAL(9,DN11:DN15),"")</f>
        <v/>
      </c>
      <c r="DO10" s="34" t="str">
        <f t="shared" si="106"/>
        <v/>
      </c>
      <c r="DP10" s="34" t="str">
        <f t="shared" ref="DP10" si="107">IF(SUBTOTAL(9,DP11:DP15)&gt;0,SUBTOTAL(9,DP11:DP15),"")</f>
        <v/>
      </c>
      <c r="DQ10" s="34">
        <f t="shared" ref="DQ10" si="108">IF(SUBTOTAL(9,DQ11:DQ15)&gt;0,SUBTOTAL(9,DQ11:DQ15),"")</f>
        <v>1</v>
      </c>
      <c r="DR10" s="34">
        <f t="shared" ref="DR10" si="109">IF(SUBTOTAL(9,DR11:DR15)&gt;0,SUBTOTAL(9,DR11:DR15),"")</f>
        <v>1</v>
      </c>
      <c r="DS10" s="34" t="str">
        <f t="shared" ref="DS10:DT10" si="110">IF(SUBTOTAL(9,DS11:DS15)&gt;0,SUBTOTAL(9,DS11:DS15),"")</f>
        <v/>
      </c>
      <c r="DT10" s="34" t="str">
        <f t="shared" si="110"/>
        <v/>
      </c>
      <c r="DU10" s="34" t="str">
        <f t="shared" ref="DU10" si="111">IF(SUBTOTAL(9,DU11:DU15)&gt;0,SUBTOTAL(9,DU11:DU15),"")</f>
        <v/>
      </c>
      <c r="DV10" s="34" t="str">
        <f t="shared" ref="DV10" si="112">IF(SUBTOTAL(9,DV11:DV15)&gt;0,SUBTOTAL(9,DV11:DV15),"")</f>
        <v/>
      </c>
      <c r="DW10" s="34" t="str">
        <f t="shared" ref="DW10" si="113">IF(SUBTOTAL(9,DW11:DW15)&gt;0,SUBTOTAL(9,DW11:DW15),"")</f>
        <v/>
      </c>
      <c r="DX10" s="34" t="str">
        <f t="shared" ref="DX10:DY10" si="114">IF(SUBTOTAL(9,DX11:DX15)&gt;0,SUBTOTAL(9,DX11:DX15),"")</f>
        <v/>
      </c>
      <c r="DY10" s="34" t="str">
        <f t="shared" si="114"/>
        <v/>
      </c>
      <c r="DZ10" s="33" t="str">
        <f t="shared" ref="DZ10" si="115">IF(SUBTOTAL(9,DZ11:DZ15)&gt;0,SUBTOTAL(9,DZ11:DZ15),"")</f>
        <v/>
      </c>
      <c r="EA10" s="34" t="str">
        <f t="shared" ref="EA10" si="116">IF(SUBTOTAL(9,EA11:EA15)&gt;0,SUBTOTAL(9,EA11:EA15),"")</f>
        <v/>
      </c>
      <c r="EB10" s="34" t="str">
        <f t="shared" ref="EB10" si="117">IF(SUBTOTAL(9,EB11:EB15)&gt;0,SUBTOTAL(9,EB11:EB15),"")</f>
        <v/>
      </c>
      <c r="EC10" s="34" t="str">
        <f t="shared" ref="EC10:ED10" si="118">IF(SUBTOTAL(9,EC11:EC15)&gt;0,SUBTOTAL(9,EC11:EC15),"")</f>
        <v/>
      </c>
      <c r="ED10" s="34" t="str">
        <f t="shared" si="118"/>
        <v/>
      </c>
      <c r="EE10" s="34" t="str">
        <f t="shared" ref="EE10" si="119">IF(SUBTOTAL(9,EE11:EE15)&gt;0,SUBTOTAL(9,EE11:EE15),"")</f>
        <v/>
      </c>
      <c r="EF10" s="34" t="str">
        <f t="shared" ref="EF10" si="120">IF(SUBTOTAL(9,EF11:EF15)&gt;0,SUBTOTAL(9,EF11:EF15),"")</f>
        <v/>
      </c>
      <c r="EG10" s="34" t="str">
        <f t="shared" ref="EG10" si="121">IF(SUBTOTAL(9,EG11:EG15)&gt;0,SUBTOTAL(9,EG11:EG15),"")</f>
        <v/>
      </c>
      <c r="EH10" s="34" t="str">
        <f t="shared" ref="EH10:EI10" si="122">IF(SUBTOTAL(9,EH11:EH15)&gt;0,SUBTOTAL(9,EH11:EH15),"")</f>
        <v/>
      </c>
      <c r="EI10" s="34" t="str">
        <f t="shared" si="122"/>
        <v/>
      </c>
      <c r="EJ10" s="34" t="str">
        <f t="shared" ref="EJ10" si="123">IF(SUBTOTAL(9,EJ11:EJ15)&gt;0,SUBTOTAL(9,EJ11:EJ15),"")</f>
        <v/>
      </c>
      <c r="EK10" s="34" t="str">
        <f t="shared" ref="EK10" si="124">IF(SUBTOTAL(9,EK11:EK15)&gt;0,SUBTOTAL(9,EK11:EK15),"")</f>
        <v/>
      </c>
      <c r="EL10" s="34" t="str">
        <f t="shared" ref="EL10" si="125">IF(SUBTOTAL(9,EL11:EL15)&gt;0,SUBTOTAL(9,EL11:EL15),"")</f>
        <v/>
      </c>
      <c r="EM10" s="34" t="str">
        <f t="shared" ref="EM10:EN10" si="126">IF(SUBTOTAL(9,EM11:EM15)&gt;0,SUBTOTAL(9,EM11:EM15),"")</f>
        <v/>
      </c>
      <c r="EN10" s="34" t="str">
        <f t="shared" si="126"/>
        <v/>
      </c>
      <c r="EO10" s="34" t="str">
        <f t="shared" ref="EO10" si="127">IF(SUBTOTAL(9,EO11:EO15)&gt;0,SUBTOTAL(9,EO11:EO15),"")</f>
        <v/>
      </c>
      <c r="EP10" s="34" t="str">
        <f t="shared" ref="EP10" si="128">IF(SUBTOTAL(9,EP11:EP15)&gt;0,SUBTOTAL(9,EP11:EP15),"")</f>
        <v/>
      </c>
      <c r="EQ10" s="34" t="str">
        <f t="shared" ref="EQ10" si="129">IF(SUBTOTAL(9,EQ11:EQ15)&gt;0,SUBTOTAL(9,EQ11:EQ15),"")</f>
        <v/>
      </c>
      <c r="ER10" s="34" t="str">
        <f t="shared" ref="ER10:ES10" si="130">IF(SUBTOTAL(9,ER11:ER15)&gt;0,SUBTOTAL(9,ER11:ER15),"")</f>
        <v/>
      </c>
      <c r="ES10" s="34" t="str">
        <f t="shared" si="130"/>
        <v/>
      </c>
      <c r="ET10" s="34" t="str">
        <f t="shared" ref="ET10" si="131">IF(SUBTOTAL(9,ET11:ET15)&gt;0,SUBTOTAL(9,ET11:ET15),"")</f>
        <v/>
      </c>
      <c r="EU10" s="34" t="str">
        <f t="shared" ref="EU10" si="132">IF(SUBTOTAL(9,EU11:EU15)&gt;0,SUBTOTAL(9,EU11:EU15),"")</f>
        <v/>
      </c>
      <c r="EV10" s="34" t="str">
        <f t="shared" ref="EV10" si="133">IF(SUBTOTAL(9,EV11:EV15)&gt;0,SUBTOTAL(9,EV11:EV15),"")</f>
        <v/>
      </c>
      <c r="EW10" s="34" t="str">
        <f t="shared" ref="EW10:EX10" si="134">IF(SUBTOTAL(9,EW11:EW15)&gt;0,SUBTOTAL(9,EW11:EW15),"")</f>
        <v/>
      </c>
      <c r="EX10" s="34" t="str">
        <f t="shared" si="134"/>
        <v/>
      </c>
      <c r="EY10" s="33" t="str">
        <f t="shared" ref="EY10" si="135">IF(SUBTOTAL(9,EY11:EY15)&gt;0,SUBTOTAL(9,EY11:EY15),"")</f>
        <v/>
      </c>
      <c r="EZ10" s="34" t="str">
        <f t="shared" ref="EZ10" si="136">IF(SUBTOTAL(9,EZ11:EZ15)&gt;0,SUBTOTAL(9,EZ11:EZ15),"")</f>
        <v/>
      </c>
      <c r="FA10" s="34" t="str">
        <f t="shared" ref="FA10" si="137">IF(SUBTOTAL(9,FA11:FA15)&gt;0,SUBTOTAL(9,FA11:FA15),"")</f>
        <v/>
      </c>
      <c r="FB10" s="34" t="str">
        <f t="shared" ref="FB10:FC10" si="138">IF(SUBTOTAL(9,FB11:FB15)&gt;0,SUBTOTAL(9,FB11:FB15),"")</f>
        <v/>
      </c>
      <c r="FC10" s="34" t="str">
        <f t="shared" si="138"/>
        <v/>
      </c>
      <c r="FD10" s="34" t="str">
        <f t="shared" ref="FD10" si="139">IF(SUBTOTAL(9,FD11:FD15)&gt;0,SUBTOTAL(9,FD11:FD15),"")</f>
        <v/>
      </c>
      <c r="FE10" s="34" t="str">
        <f t="shared" ref="FE10" si="140">IF(SUBTOTAL(9,FE11:FE15)&gt;0,SUBTOTAL(9,FE11:FE15),"")</f>
        <v/>
      </c>
      <c r="FF10" s="34" t="str">
        <f t="shared" ref="FF10" si="141">IF(SUBTOTAL(9,FF11:FF15)&gt;0,SUBTOTAL(9,FF11:FF15),"")</f>
        <v/>
      </c>
      <c r="FG10" s="34" t="str">
        <f t="shared" ref="FG10:FH10" si="142">IF(SUBTOTAL(9,FG11:FG15)&gt;0,SUBTOTAL(9,FG11:FG15),"")</f>
        <v/>
      </c>
      <c r="FH10" s="34" t="str">
        <f t="shared" si="142"/>
        <v/>
      </c>
      <c r="FI10" s="34" t="str">
        <f t="shared" ref="FI10" si="143">IF(SUBTOTAL(9,FI11:FI15)&gt;0,SUBTOTAL(9,FI11:FI15),"")</f>
        <v/>
      </c>
      <c r="FJ10" s="34" t="str">
        <f t="shared" ref="FJ10" si="144">IF(SUBTOTAL(9,FJ11:FJ15)&gt;0,SUBTOTAL(9,FJ11:FJ15),"")</f>
        <v/>
      </c>
      <c r="FK10" s="34" t="str">
        <f t="shared" ref="FK10" si="145">IF(SUBTOTAL(9,FK11:FK15)&gt;0,SUBTOTAL(9,FK11:FK15),"")</f>
        <v/>
      </c>
      <c r="FL10" s="34" t="str">
        <f t="shared" ref="FL10:FM10" si="146">IF(SUBTOTAL(9,FL11:FL15)&gt;0,SUBTOTAL(9,FL11:FL15),"")</f>
        <v/>
      </c>
      <c r="FM10" s="34" t="str">
        <f t="shared" si="146"/>
        <v/>
      </c>
      <c r="FN10" s="34" t="str">
        <f t="shared" ref="FN10" si="147">IF(SUBTOTAL(9,FN11:FN15)&gt;0,SUBTOTAL(9,FN11:FN15),"")</f>
        <v/>
      </c>
      <c r="FO10" s="34" t="str">
        <f t="shared" ref="FO10" si="148">IF(SUBTOTAL(9,FO11:FO15)&gt;0,SUBTOTAL(9,FO11:FO15),"")</f>
        <v/>
      </c>
      <c r="FP10" s="34" t="str">
        <f t="shared" ref="FP10" si="149">IF(SUBTOTAL(9,FP11:FP15)&gt;0,SUBTOTAL(9,FP11:FP15),"")</f>
        <v/>
      </c>
      <c r="FQ10" s="92" t="str">
        <f t="shared" ref="FQ10" si="150">IF(SUBTOTAL(9,FQ11:FQ15)&gt;0,SUBTOTAL(9,FQ11:FQ15),"")</f>
        <v/>
      </c>
      <c r="FR10" s="8"/>
      <c r="FS10" s="9" t="s">
        <v>131</v>
      </c>
    </row>
    <row r="11" spans="1:187" s="9" customFormat="1" ht="12" hidden="1" customHeight="1" outlineLevel="1">
      <c r="A11" s="122" t="s">
        <v>4</v>
      </c>
      <c r="B11" s="123" t="s">
        <v>16</v>
      </c>
      <c r="C11" s="124" t="str">
        <f t="shared" si="9"/>
        <v>3 days</v>
      </c>
      <c r="D11" s="13" t="str">
        <f>A9&amp;" "&amp;A10</f>
        <v>1. Opening Balances  1.1 Preparation</v>
      </c>
      <c r="E11" s="51"/>
      <c r="F11" s="35"/>
      <c r="G11" s="35"/>
      <c r="H11" s="35"/>
      <c r="I11" s="35"/>
      <c r="J11" s="35">
        <v>1</v>
      </c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V11" s="35"/>
      <c r="W11" s="35"/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6"/>
      <c r="AM11" s="36"/>
      <c r="AN11" s="36"/>
      <c r="AO11" s="36"/>
      <c r="AP11" s="36"/>
      <c r="AQ11" s="36"/>
      <c r="AR11" s="36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5"/>
      <c r="BM11" s="35"/>
      <c r="BN11" s="35"/>
      <c r="BO11" s="35"/>
      <c r="BP11" s="35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  <c r="CB11" s="35"/>
      <c r="CC11" s="35"/>
      <c r="CD11" s="35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6"/>
      <c r="CU11" s="35"/>
      <c r="CV11" s="35"/>
      <c r="CW11" s="35"/>
      <c r="CX11" s="35"/>
      <c r="CY11" s="35"/>
      <c r="CZ11" s="36"/>
      <c r="DA11" s="36"/>
      <c r="DB11" s="35"/>
      <c r="DC11" s="35"/>
      <c r="DD11" s="35"/>
      <c r="DE11" s="35"/>
      <c r="DF11" s="35"/>
      <c r="DG11" s="35"/>
      <c r="DH11" s="35"/>
      <c r="DI11" s="35"/>
      <c r="DJ11" s="35"/>
      <c r="DK11" s="35"/>
      <c r="DL11" s="35"/>
      <c r="DM11" s="35"/>
      <c r="DN11" s="35"/>
      <c r="DO11" s="35"/>
      <c r="DP11" s="35"/>
      <c r="DQ11" s="35">
        <v>1</v>
      </c>
      <c r="DR11" s="35">
        <v>1</v>
      </c>
      <c r="DS11" s="35"/>
      <c r="DT11" s="35"/>
      <c r="DU11" s="35"/>
      <c r="DV11" s="35"/>
      <c r="DW11" s="35"/>
      <c r="DX11" s="35"/>
      <c r="DY11" s="35"/>
      <c r="DZ11" s="36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35"/>
      <c r="EN11" s="35"/>
      <c r="EO11" s="35"/>
      <c r="EP11" s="35"/>
      <c r="EQ11" s="35"/>
      <c r="ER11" s="35"/>
      <c r="ES11" s="35"/>
      <c r="ET11" s="35"/>
      <c r="EU11" s="35"/>
      <c r="EV11" s="35"/>
      <c r="EW11" s="35"/>
      <c r="EX11" s="35"/>
      <c r="EY11" s="36"/>
      <c r="EZ11" s="35"/>
      <c r="FA11" s="35"/>
      <c r="FB11" s="35"/>
      <c r="FC11" s="35"/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52"/>
      <c r="FR11" s="8"/>
      <c r="FS11" s="9" t="s">
        <v>13</v>
      </c>
      <c r="FT11" s="9" t="str">
        <f>CONCATENATE(D11,B11)</f>
        <v>1. Opening Balances  1.1 PreparationJunior Accountant</v>
      </c>
    </row>
    <row r="12" spans="1:187" s="9" customFormat="1" ht="12" hidden="1" customHeight="1" outlineLevel="1">
      <c r="A12" s="125"/>
      <c r="B12" s="123"/>
      <c r="C12" s="124" t="str">
        <f t="shared" si="9"/>
        <v>0 days</v>
      </c>
      <c r="D12" s="13" t="str">
        <f>A9&amp;" "&amp;A10</f>
        <v>1. Opening Balances  1.1 Preparation</v>
      </c>
      <c r="E12" s="51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V12" s="35"/>
      <c r="W12" s="35"/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6"/>
      <c r="AM12" s="36"/>
      <c r="AN12" s="36"/>
      <c r="AO12" s="36"/>
      <c r="AP12" s="36"/>
      <c r="AQ12" s="36"/>
      <c r="AR12" s="36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5"/>
      <c r="BM12" s="35"/>
      <c r="BN12" s="35"/>
      <c r="BO12" s="35"/>
      <c r="BP12" s="35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  <c r="CB12" s="35"/>
      <c r="CC12" s="35"/>
      <c r="CD12" s="35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6"/>
      <c r="CU12" s="35"/>
      <c r="CV12" s="35"/>
      <c r="CW12" s="35"/>
      <c r="CX12" s="35"/>
      <c r="CY12" s="35"/>
      <c r="CZ12" s="36"/>
      <c r="DA12" s="36"/>
      <c r="DB12" s="35"/>
      <c r="DC12" s="35"/>
      <c r="DD12" s="35"/>
      <c r="DE12" s="35"/>
      <c r="DF12" s="35"/>
      <c r="DG12" s="35"/>
      <c r="DH12" s="35"/>
      <c r="DI12" s="35"/>
      <c r="DJ12" s="35"/>
      <c r="DK12" s="35"/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6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35"/>
      <c r="EN12" s="35"/>
      <c r="EO12" s="35"/>
      <c r="EP12" s="35"/>
      <c r="EQ12" s="35"/>
      <c r="ER12" s="35"/>
      <c r="ES12" s="35"/>
      <c r="ET12" s="35"/>
      <c r="EU12" s="35"/>
      <c r="EV12" s="35"/>
      <c r="EW12" s="35"/>
      <c r="EX12" s="35"/>
      <c r="EY12" s="36"/>
      <c r="EZ12" s="35"/>
      <c r="FA12" s="35"/>
      <c r="FB12" s="35"/>
      <c r="FC12" s="35"/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52"/>
      <c r="FR12" s="8"/>
      <c r="FS12" s="9" t="s">
        <v>13</v>
      </c>
      <c r="FT12" s="9" t="str">
        <f t="shared" ref="FT12:FT75" si="151">CONCATENATE(D12,B12)</f>
        <v>1. Opening Balances  1.1 Preparation</v>
      </c>
    </row>
    <row r="13" spans="1:187" s="9" customFormat="1" ht="12" hidden="1" customHeight="1" outlineLevel="1">
      <c r="A13" s="125" t="s">
        <v>50</v>
      </c>
      <c r="B13" s="123"/>
      <c r="C13" s="124" t="str">
        <f t="shared" si="9"/>
        <v>0 days</v>
      </c>
      <c r="D13" s="13" t="str">
        <f>A9&amp;" "&amp;A10</f>
        <v>1. Opening Balances  1.1 Preparation</v>
      </c>
      <c r="E13" s="51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V13" s="35"/>
      <c r="W13" s="35"/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6"/>
      <c r="AM13" s="36"/>
      <c r="AN13" s="36"/>
      <c r="AO13" s="36"/>
      <c r="AP13" s="36"/>
      <c r="AQ13" s="36"/>
      <c r="AR13" s="36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5"/>
      <c r="BM13" s="35"/>
      <c r="BN13" s="35"/>
      <c r="BO13" s="35"/>
      <c r="BP13" s="35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  <c r="CB13" s="35"/>
      <c r="CC13" s="35"/>
      <c r="CD13" s="35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6"/>
      <c r="CU13" s="35"/>
      <c r="CV13" s="35"/>
      <c r="CW13" s="35"/>
      <c r="CX13" s="35"/>
      <c r="CY13" s="35"/>
      <c r="CZ13" s="36"/>
      <c r="DA13" s="36"/>
      <c r="DB13" s="35"/>
      <c r="DC13" s="35"/>
      <c r="DD13" s="35"/>
      <c r="DE13" s="35"/>
      <c r="DF13" s="35"/>
      <c r="DG13" s="35"/>
      <c r="DH13" s="35"/>
      <c r="DI13" s="35"/>
      <c r="DJ13" s="35"/>
      <c r="DK13" s="35"/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6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35"/>
      <c r="EN13" s="35"/>
      <c r="EO13" s="35"/>
      <c r="EP13" s="35"/>
      <c r="EQ13" s="35"/>
      <c r="ER13" s="35"/>
      <c r="ES13" s="35"/>
      <c r="ET13" s="35"/>
      <c r="EU13" s="35"/>
      <c r="EV13" s="35"/>
      <c r="EW13" s="35"/>
      <c r="EX13" s="35"/>
      <c r="EY13" s="36"/>
      <c r="EZ13" s="35"/>
      <c r="FA13" s="35"/>
      <c r="FB13" s="35"/>
      <c r="FC13" s="35"/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52"/>
      <c r="FR13" s="8"/>
      <c r="FS13" s="9" t="s">
        <v>13</v>
      </c>
      <c r="FT13" s="9" t="str">
        <f t="shared" si="151"/>
        <v>1. Opening Balances  1.1 Preparation</v>
      </c>
    </row>
    <row r="14" spans="1:187" s="9" customFormat="1" ht="12" hidden="1" customHeight="1" outlineLevel="1">
      <c r="A14" s="125" t="s">
        <v>50</v>
      </c>
      <c r="B14" s="123"/>
      <c r="C14" s="124" t="str">
        <f t="shared" si="9"/>
        <v>0 days</v>
      </c>
      <c r="D14" s="13" t="str">
        <f>A9&amp;" "&amp;A10</f>
        <v>1. Opening Balances  1.1 Preparation</v>
      </c>
      <c r="E14" s="51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V14" s="35"/>
      <c r="W14" s="35"/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6"/>
      <c r="AM14" s="36"/>
      <c r="AN14" s="36"/>
      <c r="AO14" s="36"/>
      <c r="AP14" s="36"/>
      <c r="AQ14" s="36"/>
      <c r="AR14" s="36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5"/>
      <c r="BM14" s="35"/>
      <c r="BN14" s="35"/>
      <c r="BO14" s="35"/>
      <c r="BP14" s="35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  <c r="CB14" s="35"/>
      <c r="CC14" s="35"/>
      <c r="CD14" s="35"/>
      <c r="CE14" s="35"/>
      <c r="CF14" s="35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6"/>
      <c r="CU14" s="35"/>
      <c r="CV14" s="35"/>
      <c r="CW14" s="35"/>
      <c r="CX14" s="35"/>
      <c r="CY14" s="35"/>
      <c r="CZ14" s="36"/>
      <c r="DA14" s="36"/>
      <c r="DB14" s="35"/>
      <c r="DC14" s="35"/>
      <c r="DD14" s="35"/>
      <c r="DE14" s="35"/>
      <c r="DF14" s="35"/>
      <c r="DG14" s="35"/>
      <c r="DH14" s="35"/>
      <c r="DI14" s="35"/>
      <c r="DJ14" s="35"/>
      <c r="DK14" s="35"/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6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35"/>
      <c r="EN14" s="35"/>
      <c r="EO14" s="35"/>
      <c r="EP14" s="35"/>
      <c r="EQ14" s="35"/>
      <c r="ER14" s="35"/>
      <c r="ES14" s="35"/>
      <c r="ET14" s="35"/>
      <c r="EU14" s="35"/>
      <c r="EV14" s="35"/>
      <c r="EW14" s="35"/>
      <c r="EX14" s="35"/>
      <c r="EY14" s="36"/>
      <c r="EZ14" s="35"/>
      <c r="FA14" s="35"/>
      <c r="FB14" s="35"/>
      <c r="FC14" s="35"/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52"/>
      <c r="FR14" s="8"/>
      <c r="FS14" s="9" t="s">
        <v>13</v>
      </c>
      <c r="FT14" s="9" t="str">
        <f t="shared" si="151"/>
        <v>1. Opening Balances  1.1 Preparation</v>
      </c>
    </row>
    <row r="15" spans="1:187" s="9" customFormat="1" ht="12" hidden="1" customHeight="1" outlineLevel="1">
      <c r="A15" s="126" t="s">
        <v>50</v>
      </c>
      <c r="B15" s="123"/>
      <c r="C15" s="124" t="str">
        <f t="shared" si="9"/>
        <v>0 days</v>
      </c>
      <c r="D15" s="13" t="str">
        <f>A9&amp;" "&amp;A10</f>
        <v>1. Opening Balances  1.1 Preparation</v>
      </c>
      <c r="E15" s="51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V15" s="35"/>
      <c r="W15" s="35"/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6"/>
      <c r="AM15" s="36"/>
      <c r="AN15" s="36"/>
      <c r="AO15" s="36"/>
      <c r="AP15" s="36"/>
      <c r="AQ15" s="36"/>
      <c r="AR15" s="36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6"/>
      <c r="CU15" s="35"/>
      <c r="CV15" s="35"/>
      <c r="CW15" s="35"/>
      <c r="CX15" s="35"/>
      <c r="CY15" s="35"/>
      <c r="CZ15" s="36"/>
      <c r="DA15" s="36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6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6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52"/>
      <c r="FR15" s="8"/>
      <c r="FS15" s="9" t="s">
        <v>13</v>
      </c>
      <c r="FT15" s="9" t="str">
        <f t="shared" si="151"/>
        <v>1. Opening Balances  1.1 Preparation</v>
      </c>
    </row>
    <row r="16" spans="1:187" s="9" customFormat="1" ht="12" customHeight="1" collapsed="1">
      <c r="A16" s="119" t="s">
        <v>53</v>
      </c>
      <c r="B16" s="127"/>
      <c r="C16" s="121" t="str">
        <f t="shared" si="9"/>
        <v>1 days</v>
      </c>
      <c r="D16" s="27"/>
      <c r="E16" s="91" t="str">
        <f t="shared" ref="E16" si="152">IF(SUBTOTAL(9,E17:E21)&gt;0,SUBTOTAL(9,E17:E21),"")</f>
        <v/>
      </c>
      <c r="F16" s="34" t="str">
        <f t="shared" ref="F16" si="153">IF(SUBTOTAL(9,F17:F21)&gt;0,SUBTOTAL(9,F17:F21),"")</f>
        <v/>
      </c>
      <c r="G16" s="34" t="str">
        <f t="shared" ref="G16" si="154">IF(SUBTOTAL(9,G17:G21)&gt;0,SUBTOTAL(9,G17:G21),"")</f>
        <v/>
      </c>
      <c r="H16" s="34" t="str">
        <f t="shared" ref="H16" si="155">IF(SUBTOTAL(9,H17:H21)&gt;0,SUBTOTAL(9,H17:H21),"")</f>
        <v/>
      </c>
      <c r="I16" s="34" t="str">
        <f t="shared" ref="I16" si="156">IF(SUBTOTAL(9,I17:I21)&gt;0,SUBTOTAL(9,I17:I21),"")</f>
        <v/>
      </c>
      <c r="J16" s="34" t="str">
        <f t="shared" ref="J16" si="157">IF(SUBTOTAL(9,J17:J21)&gt;0,SUBTOTAL(9,J17:J21),"")</f>
        <v/>
      </c>
      <c r="K16" s="34" t="str">
        <f t="shared" ref="K16" si="158">IF(SUBTOTAL(9,K17:K21)&gt;0,SUBTOTAL(9,K17:K21),"")</f>
        <v/>
      </c>
      <c r="L16" s="34" t="str">
        <f t="shared" ref="L16" si="159">IF(SUBTOTAL(9,L17:L21)&gt;0,SUBTOTAL(9,L17:L21),"")</f>
        <v/>
      </c>
      <c r="M16" s="34" t="str">
        <f t="shared" ref="M16" si="160">IF(SUBTOTAL(9,M17:M21)&gt;0,SUBTOTAL(9,M17:M21),"")</f>
        <v/>
      </c>
      <c r="N16" s="34" t="str">
        <f t="shared" ref="N16" si="161">IF(SUBTOTAL(9,N17:N21)&gt;0,SUBTOTAL(9,N17:N21),"")</f>
        <v/>
      </c>
      <c r="O16" s="34" t="str">
        <f t="shared" ref="O16" si="162">IF(SUBTOTAL(9,O17:O21)&gt;0,SUBTOTAL(9,O17:O21),"")</f>
        <v/>
      </c>
      <c r="P16" s="34" t="str">
        <f t="shared" ref="P16" si="163">IF(SUBTOTAL(9,P17:P21)&gt;0,SUBTOTAL(9,P17:P21),"")</f>
        <v/>
      </c>
      <c r="Q16" s="34" t="str">
        <f t="shared" ref="Q16" si="164">IF(SUBTOTAL(9,Q17:Q21)&gt;0,SUBTOTAL(9,Q17:Q21),"")</f>
        <v/>
      </c>
      <c r="R16" s="34" t="str">
        <f t="shared" ref="R16" si="165">IF(SUBTOTAL(9,R17:R21)&gt;0,SUBTOTAL(9,R17:R21),"")</f>
        <v/>
      </c>
      <c r="S16" s="34" t="str">
        <f t="shared" ref="S16" si="166">IF(SUBTOTAL(9,S17:S21)&gt;0,SUBTOTAL(9,S17:S21),"")</f>
        <v/>
      </c>
      <c r="T16" s="34" t="str">
        <f t="shared" ref="T16" si="167">IF(SUBTOTAL(9,T17:T21)&gt;0,SUBTOTAL(9,T17:T21),"")</f>
        <v/>
      </c>
      <c r="U16" s="34" t="str">
        <f t="shared" ref="U16" si="168">IF(SUBTOTAL(9,U17:U21)&gt;0,SUBTOTAL(9,U17:U21),"")</f>
        <v/>
      </c>
      <c r="V16" s="34" t="str">
        <f t="shared" ref="V16" si="169">IF(SUBTOTAL(9,V17:V21)&gt;0,SUBTOTAL(9,V17:V21),"")</f>
        <v/>
      </c>
      <c r="W16" s="34" t="str">
        <f t="shared" ref="W16" si="170">IF(SUBTOTAL(9,W17:W21)&gt;0,SUBTOTAL(9,W17:W21),"")</f>
        <v/>
      </c>
      <c r="X16" s="34" t="str">
        <f t="shared" ref="X16" si="171">IF(SUBTOTAL(9,X17:X21)&gt;0,SUBTOTAL(9,X17:X21),"")</f>
        <v/>
      </c>
      <c r="Y16" s="34" t="str">
        <f t="shared" ref="Y16" si="172">IF(SUBTOTAL(9,Y17:Y21)&gt;0,SUBTOTAL(9,Y17:Y21),"")</f>
        <v/>
      </c>
      <c r="Z16" s="34" t="str">
        <f t="shared" ref="Z16" si="173">IF(SUBTOTAL(9,Z17:Z21)&gt;0,SUBTOTAL(9,Z17:Z21),"")</f>
        <v/>
      </c>
      <c r="AA16" s="34" t="str">
        <f t="shared" ref="AA16" si="174">IF(SUBTOTAL(9,AA17:AA21)&gt;0,SUBTOTAL(9,AA17:AA21),"")</f>
        <v/>
      </c>
      <c r="AB16" s="34" t="str">
        <f t="shared" ref="AB16" si="175">IF(SUBTOTAL(9,AB17:AB21)&gt;0,SUBTOTAL(9,AB17:AB21),"")</f>
        <v/>
      </c>
      <c r="AC16" s="34" t="str">
        <f t="shared" ref="AC16" si="176">IF(SUBTOTAL(9,AC17:AC21)&gt;0,SUBTOTAL(9,AC17:AC21),"")</f>
        <v/>
      </c>
      <c r="AD16" s="34" t="str">
        <f t="shared" ref="AD16" si="177">IF(SUBTOTAL(9,AD17:AD21)&gt;0,SUBTOTAL(9,AD17:AD21),"")</f>
        <v/>
      </c>
      <c r="AE16" s="34" t="str">
        <f t="shared" ref="AE16" si="178">IF(SUBTOTAL(9,AE17:AE21)&gt;0,SUBTOTAL(9,AE17:AE21),"")</f>
        <v/>
      </c>
      <c r="AF16" s="34" t="str">
        <f t="shared" ref="AF16" si="179">IF(SUBTOTAL(9,AF17:AF21)&gt;0,SUBTOTAL(9,AF17:AF21),"")</f>
        <v/>
      </c>
      <c r="AG16" s="34" t="str">
        <f t="shared" ref="AG16" si="180">IF(SUBTOTAL(9,AG17:AG21)&gt;0,SUBTOTAL(9,AG17:AG21),"")</f>
        <v/>
      </c>
      <c r="AH16" s="34" t="str">
        <f t="shared" ref="AH16" si="181">IF(SUBTOTAL(9,AH17:AH21)&gt;0,SUBTOTAL(9,AH17:AH21),"")</f>
        <v/>
      </c>
      <c r="AI16" s="34" t="str">
        <f t="shared" ref="AI16" si="182">IF(SUBTOTAL(9,AI17:AI21)&gt;0,SUBTOTAL(9,AI17:AI21),"")</f>
        <v/>
      </c>
      <c r="AJ16" s="34" t="str">
        <f t="shared" ref="AJ16" si="183">IF(SUBTOTAL(9,AJ17:AJ21)&gt;0,SUBTOTAL(9,AJ17:AJ21),"")</f>
        <v/>
      </c>
      <c r="AK16" s="34" t="str">
        <f t="shared" ref="AK16" si="184">IF(SUBTOTAL(9,AK17:AK21)&gt;0,SUBTOTAL(9,AK17:AK21),"")</f>
        <v/>
      </c>
      <c r="AL16" s="33" t="str">
        <f t="shared" ref="AL16" si="185">IF(SUBTOTAL(9,AL17:AL21)&gt;0,SUBTOTAL(9,AL17:AL21),"")</f>
        <v/>
      </c>
      <c r="AM16" s="33" t="str">
        <f t="shared" ref="AM16" si="186">IF(SUBTOTAL(9,AM17:AM21)&gt;0,SUBTOTAL(9,AM17:AM21),"")</f>
        <v/>
      </c>
      <c r="AN16" s="33" t="str">
        <f t="shared" ref="AN16" si="187">IF(SUBTOTAL(9,AN17:AN21)&gt;0,SUBTOTAL(9,AN17:AN21),"")</f>
        <v/>
      </c>
      <c r="AO16" s="33" t="str">
        <f t="shared" ref="AO16" si="188">IF(SUBTOTAL(9,AO17:AO21)&gt;0,SUBTOTAL(9,AO17:AO21),"")</f>
        <v/>
      </c>
      <c r="AP16" s="33" t="str">
        <f t="shared" ref="AP16" si="189">IF(SUBTOTAL(9,AP17:AP21)&gt;0,SUBTOTAL(9,AP17:AP21),"")</f>
        <v/>
      </c>
      <c r="AQ16" s="33" t="str">
        <f t="shared" ref="AQ16" si="190">IF(SUBTOTAL(9,AQ17:AQ21)&gt;0,SUBTOTAL(9,AQ17:AQ21),"")</f>
        <v/>
      </c>
      <c r="AR16" s="33" t="str">
        <f t="shared" ref="AR16" si="191">IF(SUBTOTAL(9,AR17:AR21)&gt;0,SUBTOTAL(9,AR17:AR21),"")</f>
        <v/>
      </c>
      <c r="AS16" s="34" t="str">
        <f t="shared" ref="AS16" si="192">IF(SUBTOTAL(9,AS17:AS21)&gt;0,SUBTOTAL(9,AS17:AS21),"")</f>
        <v/>
      </c>
      <c r="AT16" s="34" t="str">
        <f t="shared" ref="AT16" si="193">IF(SUBTOTAL(9,AT17:AT21)&gt;0,SUBTOTAL(9,AT17:AT21),"")</f>
        <v/>
      </c>
      <c r="AU16" s="34" t="str">
        <f t="shared" ref="AU16" si="194">IF(SUBTOTAL(9,AU17:AU21)&gt;0,SUBTOTAL(9,AU17:AU21),"")</f>
        <v/>
      </c>
      <c r="AV16" s="34" t="str">
        <f t="shared" ref="AV16" si="195">IF(SUBTOTAL(9,AV17:AV21)&gt;0,SUBTOTAL(9,AV17:AV21),"")</f>
        <v/>
      </c>
      <c r="AW16" s="34" t="str">
        <f t="shared" ref="AW16" si="196">IF(SUBTOTAL(9,AW17:AW21)&gt;0,SUBTOTAL(9,AW17:AW21),"")</f>
        <v/>
      </c>
      <c r="AX16" s="34" t="str">
        <f t="shared" ref="AX16" si="197">IF(SUBTOTAL(9,AX17:AX21)&gt;0,SUBTOTAL(9,AX17:AX21),"")</f>
        <v/>
      </c>
      <c r="AY16" s="34" t="str">
        <f t="shared" ref="AY16" si="198">IF(SUBTOTAL(9,AY17:AY21)&gt;0,SUBTOTAL(9,AY17:AY21),"")</f>
        <v/>
      </c>
      <c r="AZ16" s="34" t="str">
        <f t="shared" ref="AZ16" si="199">IF(SUBTOTAL(9,AZ17:AZ21)&gt;0,SUBTOTAL(9,AZ17:AZ21),"")</f>
        <v/>
      </c>
      <c r="BA16" s="34" t="str">
        <f t="shared" ref="BA16" si="200">IF(SUBTOTAL(9,BA17:BA21)&gt;0,SUBTOTAL(9,BA17:BA21),"")</f>
        <v/>
      </c>
      <c r="BB16" s="34" t="str">
        <f t="shared" ref="BB16" si="201">IF(SUBTOTAL(9,BB17:BB21)&gt;0,SUBTOTAL(9,BB17:BB21),"")</f>
        <v/>
      </c>
      <c r="BC16" s="34" t="str">
        <f t="shared" ref="BC16" si="202">IF(SUBTOTAL(9,BC17:BC21)&gt;0,SUBTOTAL(9,BC17:BC21),"")</f>
        <v/>
      </c>
      <c r="BD16" s="34" t="str">
        <f t="shared" ref="BD16" si="203">IF(SUBTOTAL(9,BD17:BD21)&gt;0,SUBTOTAL(9,BD17:BD21),"")</f>
        <v/>
      </c>
      <c r="BE16" s="34" t="str">
        <f t="shared" ref="BE16" si="204">IF(SUBTOTAL(9,BE17:BE21)&gt;0,SUBTOTAL(9,BE17:BE21),"")</f>
        <v/>
      </c>
      <c r="BF16" s="34" t="str">
        <f t="shared" ref="BF16" si="205">IF(SUBTOTAL(9,BF17:BF21)&gt;0,SUBTOTAL(9,BF17:BF21),"")</f>
        <v/>
      </c>
      <c r="BG16" s="34" t="str">
        <f t="shared" ref="BG16" si="206">IF(SUBTOTAL(9,BG17:BG21)&gt;0,SUBTOTAL(9,BG17:BG21),"")</f>
        <v/>
      </c>
      <c r="BH16" s="34" t="str">
        <f t="shared" ref="BH16" si="207">IF(SUBTOTAL(9,BH17:BH21)&gt;0,SUBTOTAL(9,BH17:BH21),"")</f>
        <v/>
      </c>
      <c r="BI16" s="34" t="str">
        <f t="shared" ref="BI16" si="208">IF(SUBTOTAL(9,BI17:BI21)&gt;0,SUBTOTAL(9,BI17:BI21),"")</f>
        <v/>
      </c>
      <c r="BJ16" s="34" t="str">
        <f t="shared" ref="BJ16" si="209">IF(SUBTOTAL(9,BJ17:BJ21)&gt;0,SUBTOTAL(9,BJ17:BJ21),"")</f>
        <v/>
      </c>
      <c r="BK16" s="34" t="str">
        <f t="shared" ref="BK16" si="210">IF(SUBTOTAL(9,BK17:BK21)&gt;0,SUBTOTAL(9,BK17:BK21),"")</f>
        <v/>
      </c>
      <c r="BL16" s="34" t="str">
        <f t="shared" ref="BL16" si="211">IF(SUBTOTAL(9,BL17:BL21)&gt;0,SUBTOTAL(9,BL17:BL21),"")</f>
        <v/>
      </c>
      <c r="BM16" s="34" t="str">
        <f t="shared" ref="BM16" si="212">IF(SUBTOTAL(9,BM17:BM21)&gt;0,SUBTOTAL(9,BM17:BM21),"")</f>
        <v/>
      </c>
      <c r="BN16" s="34" t="str">
        <f t="shared" ref="BN16" si="213">IF(SUBTOTAL(9,BN17:BN21)&gt;0,SUBTOTAL(9,BN17:BN21),"")</f>
        <v/>
      </c>
      <c r="BO16" s="34" t="str">
        <f t="shared" ref="BO16" si="214">IF(SUBTOTAL(9,BO17:BO21)&gt;0,SUBTOTAL(9,BO17:BO21),"")</f>
        <v/>
      </c>
      <c r="BP16" s="34" t="str">
        <f t="shared" ref="BP16" si="215">IF(SUBTOTAL(9,BP17:BP21)&gt;0,SUBTOTAL(9,BP17:BP21),"")</f>
        <v/>
      </c>
      <c r="BQ16" s="34" t="str">
        <f t="shared" ref="BQ16" si="216">IF(SUBTOTAL(9,BQ17:BQ21)&gt;0,SUBTOTAL(9,BQ17:BQ21),"")</f>
        <v/>
      </c>
      <c r="BR16" s="34" t="str">
        <f t="shared" ref="BR16" si="217">IF(SUBTOTAL(9,BR17:BR21)&gt;0,SUBTOTAL(9,BR17:BR21),"")</f>
        <v/>
      </c>
      <c r="BS16" s="34" t="str">
        <f t="shared" ref="BS16" si="218">IF(SUBTOTAL(9,BS17:BS21)&gt;0,SUBTOTAL(9,BS17:BS21),"")</f>
        <v/>
      </c>
      <c r="BT16" s="34" t="str">
        <f t="shared" ref="BT16" si="219">IF(SUBTOTAL(9,BT17:BT21)&gt;0,SUBTOTAL(9,BT17:BT21),"")</f>
        <v/>
      </c>
      <c r="BU16" s="34" t="str">
        <f t="shared" ref="BU16" si="220">IF(SUBTOTAL(9,BU17:BU21)&gt;0,SUBTOTAL(9,BU17:BU21),"")</f>
        <v/>
      </c>
      <c r="BV16" s="34" t="str">
        <f t="shared" ref="BV16" si="221">IF(SUBTOTAL(9,BV17:BV21)&gt;0,SUBTOTAL(9,BV17:BV21),"")</f>
        <v/>
      </c>
      <c r="BW16" s="34" t="str">
        <f t="shared" ref="BW16" si="222">IF(SUBTOTAL(9,BW17:BW21)&gt;0,SUBTOTAL(9,BW17:BW21),"")</f>
        <v/>
      </c>
      <c r="BX16" s="34" t="str">
        <f t="shared" ref="BX16" si="223">IF(SUBTOTAL(9,BX17:BX21)&gt;0,SUBTOTAL(9,BX17:BX21),"")</f>
        <v/>
      </c>
      <c r="BY16" s="34" t="str">
        <f t="shared" ref="BY16" si="224">IF(SUBTOTAL(9,BY17:BY21)&gt;0,SUBTOTAL(9,BY17:BY21),"")</f>
        <v/>
      </c>
      <c r="BZ16" s="34" t="str">
        <f t="shared" ref="BZ16" si="225">IF(SUBTOTAL(9,BZ17:BZ21)&gt;0,SUBTOTAL(9,BZ17:BZ21),"")</f>
        <v/>
      </c>
      <c r="CA16" s="34" t="str">
        <f t="shared" ref="CA16" si="226">IF(SUBTOTAL(9,CA17:CA21)&gt;0,SUBTOTAL(9,CA17:CA21),"")</f>
        <v/>
      </c>
      <c r="CB16" s="34" t="str">
        <f t="shared" ref="CB16" si="227">IF(SUBTOTAL(9,CB17:CB21)&gt;0,SUBTOTAL(9,CB17:CB21),"")</f>
        <v/>
      </c>
      <c r="CC16" s="34" t="str">
        <f t="shared" ref="CC16" si="228">IF(SUBTOTAL(9,CC17:CC21)&gt;0,SUBTOTAL(9,CC17:CC21),"")</f>
        <v/>
      </c>
      <c r="CD16" s="34" t="str">
        <f t="shared" ref="CD16" si="229">IF(SUBTOTAL(9,CD17:CD21)&gt;0,SUBTOTAL(9,CD17:CD21),"")</f>
        <v/>
      </c>
      <c r="CE16" s="34" t="str">
        <f t="shared" ref="CE16" si="230">IF(SUBTOTAL(9,CE17:CE21)&gt;0,SUBTOTAL(9,CE17:CE21),"")</f>
        <v/>
      </c>
      <c r="CF16" s="34" t="str">
        <f t="shared" ref="CF16:CG16" si="231">IF(SUBTOTAL(9,CF17:CF21)&gt;0,SUBTOTAL(9,CF17:CF21),"")</f>
        <v/>
      </c>
      <c r="CG16" s="34" t="str">
        <f t="shared" si="231"/>
        <v/>
      </c>
      <c r="CH16" s="34" t="str">
        <f t="shared" ref="CH16" si="232">IF(SUBTOTAL(9,CH17:CH21)&gt;0,SUBTOTAL(9,CH17:CH21),"")</f>
        <v/>
      </c>
      <c r="CI16" s="34" t="str">
        <f t="shared" ref="CI16" si="233">IF(SUBTOTAL(9,CI17:CI21)&gt;0,SUBTOTAL(9,CI17:CI21),"")</f>
        <v/>
      </c>
      <c r="CJ16" s="34" t="str">
        <f t="shared" ref="CJ16" si="234">IF(SUBTOTAL(9,CJ17:CJ21)&gt;0,SUBTOTAL(9,CJ17:CJ21),"")</f>
        <v/>
      </c>
      <c r="CK16" s="34" t="str">
        <f t="shared" ref="CK16" si="235">IF(SUBTOTAL(9,CK17:CK21)&gt;0,SUBTOTAL(9,CK17:CK21),"")</f>
        <v/>
      </c>
      <c r="CL16" s="34" t="str">
        <f t="shared" ref="CL16" si="236">IF(SUBTOTAL(9,CL17:CL21)&gt;0,SUBTOTAL(9,CL17:CL21),"")</f>
        <v/>
      </c>
      <c r="CM16" s="34" t="str">
        <f t="shared" ref="CM16" si="237">IF(SUBTOTAL(9,CM17:CM21)&gt;0,SUBTOTAL(9,CM17:CM21),"")</f>
        <v/>
      </c>
      <c r="CN16" s="34" t="str">
        <f t="shared" ref="CN16" si="238">IF(SUBTOTAL(9,CN17:CN21)&gt;0,SUBTOTAL(9,CN17:CN21),"")</f>
        <v/>
      </c>
      <c r="CO16" s="34" t="str">
        <f t="shared" ref="CO16" si="239">IF(SUBTOTAL(9,CO17:CO21)&gt;0,SUBTOTAL(9,CO17:CO21),"")</f>
        <v/>
      </c>
      <c r="CP16" s="34" t="str">
        <f t="shared" ref="CP16" si="240">IF(SUBTOTAL(9,CP17:CP21)&gt;0,SUBTOTAL(9,CP17:CP21),"")</f>
        <v/>
      </c>
      <c r="CQ16" s="34" t="str">
        <f t="shared" ref="CQ16" si="241">IF(SUBTOTAL(9,CQ17:CQ21)&gt;0,SUBTOTAL(9,CQ17:CQ21),"")</f>
        <v/>
      </c>
      <c r="CR16" s="34" t="str">
        <f t="shared" ref="CR16" si="242">IF(SUBTOTAL(9,CR17:CR21)&gt;0,SUBTOTAL(9,CR17:CR21),"")</f>
        <v/>
      </c>
      <c r="CS16" s="34" t="str">
        <f t="shared" ref="CS16" si="243">IF(SUBTOTAL(9,CS17:CS21)&gt;0,SUBTOTAL(9,CS17:CS21),"")</f>
        <v/>
      </c>
      <c r="CT16" s="33" t="str">
        <f t="shared" ref="CT16" si="244">IF(SUBTOTAL(9,CT17:CT21)&gt;0,SUBTOTAL(9,CT17:CT21),"")</f>
        <v/>
      </c>
      <c r="CU16" s="34" t="str">
        <f t="shared" ref="CU16" si="245">IF(SUBTOTAL(9,CU17:CU21)&gt;0,SUBTOTAL(9,CU17:CU21),"")</f>
        <v/>
      </c>
      <c r="CV16" s="34" t="str">
        <f t="shared" ref="CV16" si="246">IF(SUBTOTAL(9,CV17:CV21)&gt;0,SUBTOTAL(9,CV17:CV21),"")</f>
        <v/>
      </c>
      <c r="CW16" s="34" t="str">
        <f t="shared" ref="CW16" si="247">IF(SUBTOTAL(9,CW17:CW21)&gt;0,SUBTOTAL(9,CW17:CW21),"")</f>
        <v/>
      </c>
      <c r="CX16" s="34" t="str">
        <f t="shared" ref="CX16" si="248">IF(SUBTOTAL(9,CX17:CX21)&gt;0,SUBTOTAL(9,CX17:CX21),"")</f>
        <v/>
      </c>
      <c r="CY16" s="34" t="str">
        <f t="shared" ref="CY16" si="249">IF(SUBTOTAL(9,CY17:CY21)&gt;0,SUBTOTAL(9,CY17:CY21),"")</f>
        <v/>
      </c>
      <c r="CZ16" s="33" t="str">
        <f t="shared" ref="CZ16" si="250">IF(SUBTOTAL(9,CZ17:CZ21)&gt;0,SUBTOTAL(9,CZ17:CZ21),"")</f>
        <v/>
      </c>
      <c r="DA16" s="33" t="str">
        <f t="shared" ref="DA16" si="251">IF(SUBTOTAL(9,DA17:DA21)&gt;0,SUBTOTAL(9,DA17:DA21),"")</f>
        <v/>
      </c>
      <c r="DB16" s="34" t="str">
        <f t="shared" ref="DB16" si="252">IF(SUBTOTAL(9,DB17:DB21)&gt;0,SUBTOTAL(9,DB17:DB21),"")</f>
        <v/>
      </c>
      <c r="DC16" s="34" t="str">
        <f t="shared" ref="DC16" si="253">IF(SUBTOTAL(9,DC17:DC21)&gt;0,SUBTOTAL(9,DC17:DC21),"")</f>
        <v/>
      </c>
      <c r="DD16" s="34" t="str">
        <f t="shared" ref="DD16" si="254">IF(SUBTOTAL(9,DD17:DD21)&gt;0,SUBTOTAL(9,DD17:DD21),"")</f>
        <v/>
      </c>
      <c r="DE16" s="34" t="str">
        <f t="shared" ref="DE16" si="255">IF(SUBTOTAL(9,DE17:DE21)&gt;0,SUBTOTAL(9,DE17:DE21),"")</f>
        <v/>
      </c>
      <c r="DF16" s="34" t="str">
        <f t="shared" ref="DF16" si="256">IF(SUBTOTAL(9,DF17:DF21)&gt;0,SUBTOTAL(9,DF17:DF21),"")</f>
        <v/>
      </c>
      <c r="DG16" s="34" t="str">
        <f t="shared" ref="DG16" si="257">IF(SUBTOTAL(9,DG17:DG21)&gt;0,SUBTOTAL(9,DG17:DG21),"")</f>
        <v/>
      </c>
      <c r="DH16" s="34" t="str">
        <f t="shared" ref="DH16" si="258">IF(SUBTOTAL(9,DH17:DH21)&gt;0,SUBTOTAL(9,DH17:DH21),"")</f>
        <v/>
      </c>
      <c r="DI16" s="34" t="str">
        <f t="shared" ref="DI16" si="259">IF(SUBTOTAL(9,DI17:DI21)&gt;0,SUBTOTAL(9,DI17:DI21),"")</f>
        <v/>
      </c>
      <c r="DJ16" s="34" t="str">
        <f t="shared" ref="DJ16" si="260">IF(SUBTOTAL(9,DJ17:DJ21)&gt;0,SUBTOTAL(9,DJ17:DJ21),"")</f>
        <v/>
      </c>
      <c r="DK16" s="34" t="str">
        <f t="shared" ref="DK16" si="261">IF(SUBTOTAL(9,DK17:DK21)&gt;0,SUBTOTAL(9,DK17:DK21),"")</f>
        <v/>
      </c>
      <c r="DL16" s="34" t="str">
        <f t="shared" ref="DL16" si="262">IF(SUBTOTAL(9,DL17:DL21)&gt;0,SUBTOTAL(9,DL17:DL21),"")</f>
        <v/>
      </c>
      <c r="DM16" s="34" t="str">
        <f t="shared" ref="DM16" si="263">IF(SUBTOTAL(9,DM17:DM21)&gt;0,SUBTOTAL(9,DM17:DM21),"")</f>
        <v/>
      </c>
      <c r="DN16" s="34" t="str">
        <f t="shared" ref="DN16" si="264">IF(SUBTOTAL(9,DN17:DN21)&gt;0,SUBTOTAL(9,DN17:DN21),"")</f>
        <v/>
      </c>
      <c r="DO16" s="34" t="str">
        <f t="shared" ref="DO16" si="265">IF(SUBTOTAL(9,DO17:DO21)&gt;0,SUBTOTAL(9,DO17:DO21),"")</f>
        <v/>
      </c>
      <c r="DP16" s="34" t="str">
        <f t="shared" ref="DP16" si="266">IF(SUBTOTAL(9,DP17:DP21)&gt;0,SUBTOTAL(9,DP17:DP21),"")</f>
        <v/>
      </c>
      <c r="DQ16" s="34" t="str">
        <f t="shared" ref="DQ16" si="267">IF(SUBTOTAL(9,DQ17:DQ21)&gt;0,SUBTOTAL(9,DQ17:DQ21),"")</f>
        <v/>
      </c>
      <c r="DR16" s="34">
        <f t="shared" ref="DR16" si="268">IF(SUBTOTAL(9,DR17:DR21)&gt;0,SUBTOTAL(9,DR17:DR21),"")</f>
        <v>1</v>
      </c>
      <c r="DS16" s="34" t="str">
        <f t="shared" ref="DS16" si="269">IF(SUBTOTAL(9,DS17:DS21)&gt;0,SUBTOTAL(9,DS17:DS21),"")</f>
        <v/>
      </c>
      <c r="DT16" s="34" t="str">
        <f t="shared" ref="DT16" si="270">IF(SUBTOTAL(9,DT17:DT21)&gt;0,SUBTOTAL(9,DT17:DT21),"")</f>
        <v/>
      </c>
      <c r="DU16" s="34" t="str">
        <f t="shared" ref="DU16" si="271">IF(SUBTOTAL(9,DU17:DU21)&gt;0,SUBTOTAL(9,DU17:DU21),"")</f>
        <v/>
      </c>
      <c r="DV16" s="34" t="str">
        <f t="shared" ref="DV16" si="272">IF(SUBTOTAL(9,DV17:DV21)&gt;0,SUBTOTAL(9,DV17:DV21),"")</f>
        <v/>
      </c>
      <c r="DW16" s="34" t="str">
        <f t="shared" ref="DW16" si="273">IF(SUBTOTAL(9,DW17:DW21)&gt;0,SUBTOTAL(9,DW17:DW21),"")</f>
        <v/>
      </c>
      <c r="DX16" s="34" t="str">
        <f t="shared" ref="DX16" si="274">IF(SUBTOTAL(9,DX17:DX21)&gt;0,SUBTOTAL(9,DX17:DX21),"")</f>
        <v/>
      </c>
      <c r="DY16" s="34" t="str">
        <f t="shared" ref="DY16" si="275">IF(SUBTOTAL(9,DY17:DY21)&gt;0,SUBTOTAL(9,DY17:DY21),"")</f>
        <v/>
      </c>
      <c r="DZ16" s="33" t="str">
        <f t="shared" ref="DZ16" si="276">IF(SUBTOTAL(9,DZ17:DZ21)&gt;0,SUBTOTAL(9,DZ17:DZ21),"")</f>
        <v/>
      </c>
      <c r="EA16" s="34" t="str">
        <f t="shared" ref="EA16" si="277">IF(SUBTOTAL(9,EA17:EA21)&gt;0,SUBTOTAL(9,EA17:EA21),"")</f>
        <v/>
      </c>
      <c r="EB16" s="34" t="str">
        <f t="shared" ref="EB16" si="278">IF(SUBTOTAL(9,EB17:EB21)&gt;0,SUBTOTAL(9,EB17:EB21),"")</f>
        <v/>
      </c>
      <c r="EC16" s="34" t="str">
        <f t="shared" ref="EC16" si="279">IF(SUBTOTAL(9,EC17:EC21)&gt;0,SUBTOTAL(9,EC17:EC21),"")</f>
        <v/>
      </c>
      <c r="ED16" s="34" t="str">
        <f t="shared" ref="ED16" si="280">IF(SUBTOTAL(9,ED17:ED21)&gt;0,SUBTOTAL(9,ED17:ED21),"")</f>
        <v/>
      </c>
      <c r="EE16" s="34" t="str">
        <f t="shared" ref="EE16" si="281">IF(SUBTOTAL(9,EE17:EE21)&gt;0,SUBTOTAL(9,EE17:EE21),"")</f>
        <v/>
      </c>
      <c r="EF16" s="34" t="str">
        <f t="shared" ref="EF16" si="282">IF(SUBTOTAL(9,EF17:EF21)&gt;0,SUBTOTAL(9,EF17:EF21),"")</f>
        <v/>
      </c>
      <c r="EG16" s="34" t="str">
        <f t="shared" ref="EG16" si="283">IF(SUBTOTAL(9,EG17:EG21)&gt;0,SUBTOTAL(9,EG17:EG21),"")</f>
        <v/>
      </c>
      <c r="EH16" s="34" t="str">
        <f t="shared" ref="EH16" si="284">IF(SUBTOTAL(9,EH17:EH21)&gt;0,SUBTOTAL(9,EH17:EH21),"")</f>
        <v/>
      </c>
      <c r="EI16" s="34" t="str">
        <f t="shared" ref="EI16" si="285">IF(SUBTOTAL(9,EI17:EI21)&gt;0,SUBTOTAL(9,EI17:EI21),"")</f>
        <v/>
      </c>
      <c r="EJ16" s="34" t="str">
        <f t="shared" ref="EJ16" si="286">IF(SUBTOTAL(9,EJ17:EJ21)&gt;0,SUBTOTAL(9,EJ17:EJ21),"")</f>
        <v/>
      </c>
      <c r="EK16" s="34" t="str">
        <f t="shared" ref="EK16" si="287">IF(SUBTOTAL(9,EK17:EK21)&gt;0,SUBTOTAL(9,EK17:EK21),"")</f>
        <v/>
      </c>
      <c r="EL16" s="34" t="str">
        <f t="shared" ref="EL16" si="288">IF(SUBTOTAL(9,EL17:EL21)&gt;0,SUBTOTAL(9,EL17:EL21),"")</f>
        <v/>
      </c>
      <c r="EM16" s="34" t="str">
        <f t="shared" ref="EM16" si="289">IF(SUBTOTAL(9,EM17:EM21)&gt;0,SUBTOTAL(9,EM17:EM21),"")</f>
        <v/>
      </c>
      <c r="EN16" s="34" t="str">
        <f t="shared" ref="EN16" si="290">IF(SUBTOTAL(9,EN17:EN21)&gt;0,SUBTOTAL(9,EN17:EN21),"")</f>
        <v/>
      </c>
      <c r="EO16" s="34" t="str">
        <f t="shared" ref="EO16" si="291">IF(SUBTOTAL(9,EO17:EO21)&gt;0,SUBTOTAL(9,EO17:EO21),"")</f>
        <v/>
      </c>
      <c r="EP16" s="34" t="str">
        <f t="shared" ref="EP16" si="292">IF(SUBTOTAL(9,EP17:EP21)&gt;0,SUBTOTAL(9,EP17:EP21),"")</f>
        <v/>
      </c>
      <c r="EQ16" s="34" t="str">
        <f t="shared" ref="EQ16" si="293">IF(SUBTOTAL(9,EQ17:EQ21)&gt;0,SUBTOTAL(9,EQ17:EQ21),"")</f>
        <v/>
      </c>
      <c r="ER16" s="34" t="str">
        <f t="shared" ref="ER16" si="294">IF(SUBTOTAL(9,ER17:ER21)&gt;0,SUBTOTAL(9,ER17:ER21),"")</f>
        <v/>
      </c>
      <c r="ES16" s="34" t="str">
        <f t="shared" ref="ES16" si="295">IF(SUBTOTAL(9,ES17:ES21)&gt;0,SUBTOTAL(9,ES17:ES21),"")</f>
        <v/>
      </c>
      <c r="ET16" s="34" t="str">
        <f t="shared" ref="ET16" si="296">IF(SUBTOTAL(9,ET17:ET21)&gt;0,SUBTOTAL(9,ET17:ET21),"")</f>
        <v/>
      </c>
      <c r="EU16" s="34" t="str">
        <f t="shared" ref="EU16" si="297">IF(SUBTOTAL(9,EU17:EU21)&gt;0,SUBTOTAL(9,EU17:EU21),"")</f>
        <v/>
      </c>
      <c r="EV16" s="34" t="str">
        <f t="shared" ref="EV16" si="298">IF(SUBTOTAL(9,EV17:EV21)&gt;0,SUBTOTAL(9,EV17:EV21),"")</f>
        <v/>
      </c>
      <c r="EW16" s="34" t="str">
        <f t="shared" ref="EW16" si="299">IF(SUBTOTAL(9,EW17:EW21)&gt;0,SUBTOTAL(9,EW17:EW21),"")</f>
        <v/>
      </c>
      <c r="EX16" s="34" t="str">
        <f t="shared" ref="EX16" si="300">IF(SUBTOTAL(9,EX17:EX21)&gt;0,SUBTOTAL(9,EX17:EX21),"")</f>
        <v/>
      </c>
      <c r="EY16" s="33" t="str">
        <f t="shared" ref="EY16" si="301">IF(SUBTOTAL(9,EY17:EY21)&gt;0,SUBTOTAL(9,EY17:EY21),"")</f>
        <v/>
      </c>
      <c r="EZ16" s="34" t="str">
        <f t="shared" ref="EZ16" si="302">IF(SUBTOTAL(9,EZ17:EZ21)&gt;0,SUBTOTAL(9,EZ17:EZ21),"")</f>
        <v/>
      </c>
      <c r="FA16" s="34" t="str">
        <f t="shared" ref="FA16" si="303">IF(SUBTOTAL(9,FA17:FA21)&gt;0,SUBTOTAL(9,FA17:FA21),"")</f>
        <v/>
      </c>
      <c r="FB16" s="34" t="str">
        <f t="shared" ref="FB16" si="304">IF(SUBTOTAL(9,FB17:FB21)&gt;0,SUBTOTAL(9,FB17:FB21),"")</f>
        <v/>
      </c>
      <c r="FC16" s="34" t="str">
        <f t="shared" ref="FC16" si="305">IF(SUBTOTAL(9,FC17:FC21)&gt;0,SUBTOTAL(9,FC17:FC21),"")</f>
        <v/>
      </c>
      <c r="FD16" s="34" t="str">
        <f t="shared" ref="FD16" si="306">IF(SUBTOTAL(9,FD17:FD21)&gt;0,SUBTOTAL(9,FD17:FD21),"")</f>
        <v/>
      </c>
      <c r="FE16" s="34" t="str">
        <f t="shared" ref="FE16" si="307">IF(SUBTOTAL(9,FE17:FE21)&gt;0,SUBTOTAL(9,FE17:FE21),"")</f>
        <v/>
      </c>
      <c r="FF16" s="34" t="str">
        <f t="shared" ref="FF16" si="308">IF(SUBTOTAL(9,FF17:FF21)&gt;0,SUBTOTAL(9,FF17:FF21),"")</f>
        <v/>
      </c>
      <c r="FG16" s="34" t="str">
        <f t="shared" ref="FG16" si="309">IF(SUBTOTAL(9,FG17:FG21)&gt;0,SUBTOTAL(9,FG17:FG21),"")</f>
        <v/>
      </c>
      <c r="FH16" s="34" t="str">
        <f t="shared" ref="FH16" si="310">IF(SUBTOTAL(9,FH17:FH21)&gt;0,SUBTOTAL(9,FH17:FH21),"")</f>
        <v/>
      </c>
      <c r="FI16" s="34" t="str">
        <f t="shared" ref="FI16" si="311">IF(SUBTOTAL(9,FI17:FI21)&gt;0,SUBTOTAL(9,FI17:FI21),"")</f>
        <v/>
      </c>
      <c r="FJ16" s="34" t="str">
        <f t="shared" ref="FJ16" si="312">IF(SUBTOTAL(9,FJ17:FJ21)&gt;0,SUBTOTAL(9,FJ17:FJ21),"")</f>
        <v/>
      </c>
      <c r="FK16" s="34" t="str">
        <f t="shared" ref="FK16" si="313">IF(SUBTOTAL(9,FK17:FK21)&gt;0,SUBTOTAL(9,FK17:FK21),"")</f>
        <v/>
      </c>
      <c r="FL16" s="34" t="str">
        <f t="shared" ref="FL16" si="314">IF(SUBTOTAL(9,FL17:FL21)&gt;0,SUBTOTAL(9,FL17:FL21),"")</f>
        <v/>
      </c>
      <c r="FM16" s="34" t="str">
        <f t="shared" ref="FM16" si="315">IF(SUBTOTAL(9,FM17:FM21)&gt;0,SUBTOTAL(9,FM17:FM21),"")</f>
        <v/>
      </c>
      <c r="FN16" s="34" t="str">
        <f t="shared" ref="FN16" si="316">IF(SUBTOTAL(9,FN17:FN21)&gt;0,SUBTOTAL(9,FN17:FN21),"")</f>
        <v/>
      </c>
      <c r="FO16" s="34" t="str">
        <f t="shared" ref="FO16" si="317">IF(SUBTOTAL(9,FO17:FO21)&gt;0,SUBTOTAL(9,FO17:FO21),"")</f>
        <v/>
      </c>
      <c r="FP16" s="34" t="str">
        <f t="shared" ref="FP16" si="318">IF(SUBTOTAL(9,FP17:FP21)&gt;0,SUBTOTAL(9,FP17:FP21),"")</f>
        <v/>
      </c>
      <c r="FQ16" s="92" t="str">
        <f t="shared" ref="FQ16" si="319">IF(SUBTOTAL(9,FQ17:FQ21)&gt;0,SUBTOTAL(9,FQ17:FQ21),"")</f>
        <v/>
      </c>
      <c r="FR16" s="8"/>
      <c r="FS16" s="9" t="s">
        <v>131</v>
      </c>
      <c r="FT16" s="9" t="str">
        <f t="shared" si="151"/>
        <v/>
      </c>
    </row>
    <row r="17" spans="1:176" s="9" customFormat="1" ht="12" hidden="1" customHeight="1" outlineLevel="1">
      <c r="A17" s="122" t="s">
        <v>4</v>
      </c>
      <c r="B17" s="123" t="s">
        <v>17</v>
      </c>
      <c r="C17" s="124" t="str">
        <f t="shared" si="9"/>
        <v>1 days</v>
      </c>
      <c r="D17" s="13" t="str">
        <f>A9&amp;" "&amp;A16</f>
        <v>1. Opening Balances  1.2 Review</v>
      </c>
      <c r="E17" s="51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6"/>
      <c r="AM17" s="36"/>
      <c r="AN17" s="36"/>
      <c r="AO17" s="36"/>
      <c r="AP17" s="36"/>
      <c r="AQ17" s="36"/>
      <c r="AR17" s="36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5"/>
      <c r="BM17" s="35"/>
      <c r="BN17" s="35"/>
      <c r="BO17" s="35"/>
      <c r="BP17" s="35"/>
      <c r="BQ17" s="35"/>
      <c r="BR17" s="35"/>
      <c r="BS17" s="35"/>
      <c r="BT17" s="35"/>
      <c r="BU17" s="35"/>
      <c r="BV17" s="35"/>
      <c r="BW17" s="35"/>
      <c r="BX17" s="35"/>
      <c r="BY17" s="35"/>
      <c r="BZ17" s="35"/>
      <c r="CA17" s="35"/>
      <c r="CB17" s="35"/>
      <c r="CC17" s="35"/>
      <c r="CD17" s="35"/>
      <c r="CE17" s="35"/>
      <c r="CF17" s="35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6"/>
      <c r="CU17" s="35"/>
      <c r="CV17" s="35"/>
      <c r="CW17" s="35"/>
      <c r="CX17" s="35"/>
      <c r="CY17" s="35"/>
      <c r="CZ17" s="36"/>
      <c r="DA17" s="36"/>
      <c r="DB17" s="35"/>
      <c r="DC17" s="35"/>
      <c r="DD17" s="35"/>
      <c r="DE17" s="35"/>
      <c r="DF17" s="35"/>
      <c r="DG17" s="35"/>
      <c r="DH17" s="35"/>
      <c r="DI17" s="35"/>
      <c r="DJ17" s="35"/>
      <c r="DK17" s="35"/>
      <c r="DL17" s="35"/>
      <c r="DM17" s="35"/>
      <c r="DN17" s="35"/>
      <c r="DO17" s="35"/>
      <c r="DP17" s="35"/>
      <c r="DQ17" s="35"/>
      <c r="DR17" s="35">
        <v>1</v>
      </c>
      <c r="DS17" s="35"/>
      <c r="DT17" s="35"/>
      <c r="DU17" s="35"/>
      <c r="DV17" s="35"/>
      <c r="DW17" s="35"/>
      <c r="DX17" s="35"/>
      <c r="DY17" s="35"/>
      <c r="DZ17" s="36"/>
      <c r="EA17" s="35"/>
      <c r="EB17" s="35"/>
      <c r="EC17" s="35"/>
      <c r="ED17" s="35"/>
      <c r="EE17" s="35"/>
      <c r="EF17" s="35"/>
      <c r="EG17" s="35"/>
      <c r="EH17" s="35"/>
      <c r="EI17" s="35"/>
      <c r="EJ17" s="35"/>
      <c r="EK17" s="35"/>
      <c r="EL17" s="35"/>
      <c r="EM17" s="35"/>
      <c r="EN17" s="35"/>
      <c r="EO17" s="35"/>
      <c r="EP17" s="35"/>
      <c r="EQ17" s="35"/>
      <c r="ER17" s="35"/>
      <c r="ES17" s="35"/>
      <c r="ET17" s="35"/>
      <c r="EU17" s="35"/>
      <c r="EV17" s="35"/>
      <c r="EW17" s="35"/>
      <c r="EX17" s="35"/>
      <c r="EY17" s="36"/>
      <c r="EZ17" s="35"/>
      <c r="FA17" s="35"/>
      <c r="FB17" s="35"/>
      <c r="FC17" s="35"/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52"/>
      <c r="FR17" s="8"/>
      <c r="FS17" s="9" t="s">
        <v>13</v>
      </c>
      <c r="FT17" s="9" t="str">
        <f t="shared" si="151"/>
        <v>1. Opening Balances  1.2 ReviewSenior Accountant</v>
      </c>
    </row>
    <row r="18" spans="1:176" s="9" customFormat="1" ht="12" hidden="1" customHeight="1" outlineLevel="1">
      <c r="A18" s="125" t="s">
        <v>50</v>
      </c>
      <c r="B18" s="123"/>
      <c r="C18" s="124" t="str">
        <f t="shared" si="9"/>
        <v>0 days</v>
      </c>
      <c r="D18" s="13" t="str">
        <f>A9&amp;" "&amp;A16</f>
        <v>1. Opening Balances  1.2 Review</v>
      </c>
      <c r="E18" s="51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6"/>
      <c r="AM18" s="36"/>
      <c r="AN18" s="36"/>
      <c r="AO18" s="36"/>
      <c r="AP18" s="36"/>
      <c r="AQ18" s="36"/>
      <c r="AR18" s="36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5"/>
      <c r="BM18" s="35"/>
      <c r="BN18" s="35"/>
      <c r="BO18" s="35"/>
      <c r="BP18" s="35"/>
      <c r="BQ18" s="35"/>
      <c r="BR18" s="35"/>
      <c r="BS18" s="35"/>
      <c r="BT18" s="35"/>
      <c r="BU18" s="35"/>
      <c r="BV18" s="35"/>
      <c r="BW18" s="35"/>
      <c r="BX18" s="35"/>
      <c r="BY18" s="35"/>
      <c r="BZ18" s="35"/>
      <c r="CA18" s="35"/>
      <c r="CB18" s="35"/>
      <c r="CC18" s="35"/>
      <c r="CD18" s="35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6"/>
      <c r="CU18" s="35"/>
      <c r="CV18" s="35"/>
      <c r="CW18" s="35"/>
      <c r="CX18" s="35"/>
      <c r="CY18" s="35"/>
      <c r="CZ18" s="36"/>
      <c r="DA18" s="36"/>
      <c r="DB18" s="35"/>
      <c r="DC18" s="35"/>
      <c r="DD18" s="35"/>
      <c r="DE18" s="35"/>
      <c r="DF18" s="35"/>
      <c r="DG18" s="35"/>
      <c r="DH18" s="35"/>
      <c r="DI18" s="35"/>
      <c r="DJ18" s="35"/>
      <c r="DK18" s="35"/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6"/>
      <c r="EA18" s="35"/>
      <c r="EB18" s="35"/>
      <c r="EC18" s="35"/>
      <c r="ED18" s="35"/>
      <c r="EE18" s="35"/>
      <c r="EF18" s="35"/>
      <c r="EG18" s="35"/>
      <c r="EH18" s="35"/>
      <c r="EI18" s="35"/>
      <c r="EJ18" s="35"/>
      <c r="EK18" s="35"/>
      <c r="EL18" s="35"/>
      <c r="EM18" s="35"/>
      <c r="EN18" s="35"/>
      <c r="EO18" s="35"/>
      <c r="EP18" s="35"/>
      <c r="EQ18" s="35"/>
      <c r="ER18" s="35"/>
      <c r="ES18" s="35"/>
      <c r="ET18" s="35"/>
      <c r="EU18" s="35"/>
      <c r="EV18" s="35"/>
      <c r="EW18" s="35"/>
      <c r="EX18" s="35"/>
      <c r="EY18" s="36"/>
      <c r="EZ18" s="35"/>
      <c r="FA18" s="35"/>
      <c r="FB18" s="35"/>
      <c r="FC18" s="35"/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52"/>
      <c r="FR18" s="8"/>
      <c r="FS18" s="9" t="s">
        <v>13</v>
      </c>
      <c r="FT18" s="9" t="str">
        <f t="shared" si="151"/>
        <v>1. Opening Balances  1.2 Review</v>
      </c>
    </row>
    <row r="19" spans="1:176" s="9" customFormat="1" ht="12" hidden="1" customHeight="1" outlineLevel="1">
      <c r="A19" s="125" t="s">
        <v>50</v>
      </c>
      <c r="B19" s="123"/>
      <c r="C19" s="124" t="str">
        <f t="shared" si="9"/>
        <v>0 days</v>
      </c>
      <c r="D19" s="13" t="str">
        <f>A9&amp;" "&amp;A16</f>
        <v>1. Opening Balances  1.2 Review</v>
      </c>
      <c r="E19" s="51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6"/>
      <c r="AM19" s="36"/>
      <c r="AN19" s="36"/>
      <c r="AO19" s="36"/>
      <c r="AP19" s="36"/>
      <c r="AQ19" s="36"/>
      <c r="AR19" s="36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5"/>
      <c r="BM19" s="35"/>
      <c r="BN19" s="35"/>
      <c r="BO19" s="35"/>
      <c r="BP19" s="35"/>
      <c r="BQ19" s="35"/>
      <c r="BR19" s="35"/>
      <c r="BS19" s="35"/>
      <c r="BT19" s="35"/>
      <c r="BU19" s="35"/>
      <c r="BV19" s="35"/>
      <c r="BW19" s="35"/>
      <c r="BX19" s="35"/>
      <c r="BY19" s="35"/>
      <c r="BZ19" s="35"/>
      <c r="CA19" s="35"/>
      <c r="CB19" s="35"/>
      <c r="CC19" s="35"/>
      <c r="CD19" s="35"/>
      <c r="CE19" s="35"/>
      <c r="CF19" s="35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6"/>
      <c r="CU19" s="35"/>
      <c r="CV19" s="35"/>
      <c r="CW19" s="35"/>
      <c r="CX19" s="35"/>
      <c r="CY19" s="35"/>
      <c r="CZ19" s="36"/>
      <c r="DA19" s="36"/>
      <c r="DB19" s="35"/>
      <c r="DC19" s="35"/>
      <c r="DD19" s="35"/>
      <c r="DE19" s="35"/>
      <c r="DF19" s="35"/>
      <c r="DG19" s="35"/>
      <c r="DH19" s="35"/>
      <c r="DI19" s="35"/>
      <c r="DJ19" s="35"/>
      <c r="DK19" s="35"/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6"/>
      <c r="EA19" s="35"/>
      <c r="EB19" s="35"/>
      <c r="EC19" s="35"/>
      <c r="ED19" s="35"/>
      <c r="EE19" s="35"/>
      <c r="EF19" s="35"/>
      <c r="EG19" s="35"/>
      <c r="EH19" s="35"/>
      <c r="EI19" s="35"/>
      <c r="EJ19" s="35"/>
      <c r="EK19" s="35"/>
      <c r="EL19" s="35"/>
      <c r="EM19" s="35"/>
      <c r="EN19" s="35"/>
      <c r="EO19" s="35"/>
      <c r="EP19" s="35"/>
      <c r="EQ19" s="35"/>
      <c r="ER19" s="35"/>
      <c r="ES19" s="35"/>
      <c r="ET19" s="35"/>
      <c r="EU19" s="35"/>
      <c r="EV19" s="35"/>
      <c r="EW19" s="35"/>
      <c r="EX19" s="35"/>
      <c r="EY19" s="36"/>
      <c r="EZ19" s="35"/>
      <c r="FA19" s="35"/>
      <c r="FB19" s="35"/>
      <c r="FC19" s="35"/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52"/>
      <c r="FR19" s="8"/>
      <c r="FS19" s="9" t="s">
        <v>13</v>
      </c>
      <c r="FT19" s="9" t="str">
        <f t="shared" si="151"/>
        <v>1. Opening Balances  1.2 Review</v>
      </c>
    </row>
    <row r="20" spans="1:176" s="9" customFormat="1" ht="12" hidden="1" customHeight="1" outlineLevel="1">
      <c r="A20" s="125" t="s">
        <v>50</v>
      </c>
      <c r="B20" s="123"/>
      <c r="C20" s="124" t="str">
        <f t="shared" si="9"/>
        <v>0 days</v>
      </c>
      <c r="D20" s="13" t="str">
        <f>A9&amp;" "&amp;A16</f>
        <v>1. Opening Balances  1.2 Review</v>
      </c>
      <c r="E20" s="51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6"/>
      <c r="AM20" s="36"/>
      <c r="AN20" s="36"/>
      <c r="AO20" s="36"/>
      <c r="AP20" s="36"/>
      <c r="AQ20" s="36"/>
      <c r="AR20" s="36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5"/>
      <c r="BM20" s="35"/>
      <c r="BN20" s="35"/>
      <c r="BO20" s="35"/>
      <c r="BP20" s="35"/>
      <c r="BQ20" s="35"/>
      <c r="BR20" s="35"/>
      <c r="BS20" s="35"/>
      <c r="BT20" s="35"/>
      <c r="BU20" s="35"/>
      <c r="BV20" s="35"/>
      <c r="BW20" s="35"/>
      <c r="BX20" s="35"/>
      <c r="BY20" s="35"/>
      <c r="BZ20" s="35"/>
      <c r="CA20" s="35"/>
      <c r="CB20" s="35"/>
      <c r="CC20" s="35"/>
      <c r="CD20" s="35"/>
      <c r="CE20" s="35"/>
      <c r="CF20" s="35"/>
      <c r="CG20" s="35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6"/>
      <c r="CU20" s="35"/>
      <c r="CV20" s="35"/>
      <c r="CW20" s="35"/>
      <c r="CX20" s="35"/>
      <c r="CY20" s="35"/>
      <c r="CZ20" s="36"/>
      <c r="DA20" s="36"/>
      <c r="DB20" s="35"/>
      <c r="DC20" s="35"/>
      <c r="DD20" s="35"/>
      <c r="DE20" s="35"/>
      <c r="DF20" s="35"/>
      <c r="DG20" s="35"/>
      <c r="DH20" s="35"/>
      <c r="DI20" s="35"/>
      <c r="DJ20" s="35"/>
      <c r="DK20" s="35"/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6"/>
      <c r="EA20" s="35"/>
      <c r="EB20" s="35"/>
      <c r="EC20" s="35"/>
      <c r="ED20" s="35"/>
      <c r="EE20" s="35"/>
      <c r="EF20" s="35"/>
      <c r="EG20" s="35"/>
      <c r="EH20" s="35"/>
      <c r="EI20" s="35"/>
      <c r="EJ20" s="35"/>
      <c r="EK20" s="35"/>
      <c r="EL20" s="35"/>
      <c r="EM20" s="35"/>
      <c r="EN20" s="35"/>
      <c r="EO20" s="35"/>
      <c r="EP20" s="35"/>
      <c r="EQ20" s="35"/>
      <c r="ER20" s="35"/>
      <c r="ES20" s="35"/>
      <c r="ET20" s="35"/>
      <c r="EU20" s="35"/>
      <c r="EV20" s="35"/>
      <c r="EW20" s="35"/>
      <c r="EX20" s="35"/>
      <c r="EY20" s="36"/>
      <c r="EZ20" s="35"/>
      <c r="FA20" s="35"/>
      <c r="FB20" s="35"/>
      <c r="FC20" s="35"/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52"/>
      <c r="FR20" s="8"/>
      <c r="FS20" s="9" t="s">
        <v>13</v>
      </c>
      <c r="FT20" s="9" t="str">
        <f t="shared" si="151"/>
        <v>1. Opening Balances  1.2 Review</v>
      </c>
    </row>
    <row r="21" spans="1:176" s="9" customFormat="1" ht="12" hidden="1" customHeight="1" outlineLevel="1">
      <c r="A21" s="126" t="s">
        <v>50</v>
      </c>
      <c r="B21" s="123"/>
      <c r="C21" s="124" t="str">
        <f t="shared" si="9"/>
        <v>0 days</v>
      </c>
      <c r="D21" s="13" t="str">
        <f>A9&amp;" "&amp;A16</f>
        <v>1. Opening Balances  1.2 Review</v>
      </c>
      <c r="E21" s="51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5"/>
      <c r="AB21" s="35"/>
      <c r="AC21" s="35"/>
      <c r="AD21" s="35"/>
      <c r="AE21" s="35"/>
      <c r="AF21" s="35"/>
      <c r="AG21" s="35"/>
      <c r="AH21" s="35"/>
      <c r="AI21" s="35"/>
      <c r="AJ21" s="35"/>
      <c r="AK21" s="35"/>
      <c r="AL21" s="36"/>
      <c r="AM21" s="36"/>
      <c r="AN21" s="36"/>
      <c r="AO21" s="36"/>
      <c r="AP21" s="36"/>
      <c r="AQ21" s="36"/>
      <c r="AR21" s="36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5"/>
      <c r="BM21" s="35"/>
      <c r="BN21" s="35"/>
      <c r="BO21" s="35"/>
      <c r="BP21" s="35"/>
      <c r="BQ21" s="35"/>
      <c r="BR21" s="35"/>
      <c r="BS21" s="35"/>
      <c r="BT21" s="35"/>
      <c r="BU21" s="35"/>
      <c r="BV21" s="35"/>
      <c r="BW21" s="35"/>
      <c r="BX21" s="35"/>
      <c r="BY21" s="35"/>
      <c r="BZ21" s="35"/>
      <c r="CA21" s="35"/>
      <c r="CB21" s="35"/>
      <c r="CC21" s="35"/>
      <c r="CD21" s="35"/>
      <c r="CE21" s="35"/>
      <c r="CF21" s="35"/>
      <c r="CG21" s="35"/>
      <c r="CH21" s="35"/>
      <c r="CI21" s="35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6"/>
      <c r="CU21" s="35"/>
      <c r="CV21" s="35"/>
      <c r="CW21" s="35"/>
      <c r="CX21" s="35"/>
      <c r="CY21" s="35"/>
      <c r="CZ21" s="36"/>
      <c r="DA21" s="36"/>
      <c r="DB21" s="35"/>
      <c r="DC21" s="35"/>
      <c r="DD21" s="35"/>
      <c r="DE21" s="35"/>
      <c r="DF21" s="35"/>
      <c r="DG21" s="35"/>
      <c r="DH21" s="35"/>
      <c r="DI21" s="35"/>
      <c r="DJ21" s="35"/>
      <c r="DK21" s="35"/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6"/>
      <c r="EA21" s="35"/>
      <c r="EB21" s="35"/>
      <c r="EC21" s="35"/>
      <c r="ED21" s="35"/>
      <c r="EE21" s="35"/>
      <c r="EF21" s="35"/>
      <c r="EG21" s="35"/>
      <c r="EH21" s="35"/>
      <c r="EI21" s="35"/>
      <c r="EJ21" s="35"/>
      <c r="EK21" s="35"/>
      <c r="EL21" s="35"/>
      <c r="EM21" s="35"/>
      <c r="EN21" s="35"/>
      <c r="EO21" s="35"/>
      <c r="EP21" s="35"/>
      <c r="EQ21" s="35"/>
      <c r="ER21" s="35"/>
      <c r="ES21" s="35"/>
      <c r="ET21" s="35"/>
      <c r="EU21" s="35"/>
      <c r="EV21" s="35"/>
      <c r="EW21" s="35"/>
      <c r="EX21" s="35"/>
      <c r="EY21" s="36"/>
      <c r="EZ21" s="35"/>
      <c r="FA21" s="35"/>
      <c r="FB21" s="35"/>
      <c r="FC21" s="35"/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52"/>
      <c r="FR21" s="8"/>
      <c r="FS21" s="9" t="s">
        <v>13</v>
      </c>
      <c r="FT21" s="9" t="str">
        <f t="shared" si="151"/>
        <v>1. Opening Balances  1.2 Review</v>
      </c>
    </row>
    <row r="22" spans="1:176" s="9" customFormat="1" ht="12" customHeight="1" collapsed="1">
      <c r="A22" s="119" t="s">
        <v>54</v>
      </c>
      <c r="B22" s="127"/>
      <c r="C22" s="128" t="str">
        <f t="shared" si="9"/>
        <v>1 days</v>
      </c>
      <c r="D22" s="37"/>
      <c r="E22" s="91" t="str">
        <f t="shared" ref="E22" si="320">IF(SUBTOTAL(9,E23:E27)&gt;0,SUBTOTAL(9,E23:E27),"")</f>
        <v/>
      </c>
      <c r="F22" s="34" t="str">
        <f t="shared" ref="F22" si="321">IF(SUBTOTAL(9,F23:F27)&gt;0,SUBTOTAL(9,F23:F27),"")</f>
        <v/>
      </c>
      <c r="G22" s="34" t="str">
        <f t="shared" ref="G22" si="322">IF(SUBTOTAL(9,G23:G27)&gt;0,SUBTOTAL(9,G23:G27),"")</f>
        <v/>
      </c>
      <c r="H22" s="34" t="str">
        <f t="shared" ref="H22" si="323">IF(SUBTOTAL(9,H23:H27)&gt;0,SUBTOTAL(9,H23:H27),"")</f>
        <v/>
      </c>
      <c r="I22" s="34" t="str">
        <f t="shared" ref="I22" si="324">IF(SUBTOTAL(9,I23:I27)&gt;0,SUBTOTAL(9,I23:I27),"")</f>
        <v/>
      </c>
      <c r="J22" s="34" t="str">
        <f t="shared" ref="J22" si="325">IF(SUBTOTAL(9,J23:J27)&gt;0,SUBTOTAL(9,J23:J27),"")</f>
        <v/>
      </c>
      <c r="K22" s="34" t="str">
        <f t="shared" ref="K22" si="326">IF(SUBTOTAL(9,K23:K27)&gt;0,SUBTOTAL(9,K23:K27),"")</f>
        <v/>
      </c>
      <c r="L22" s="34" t="str">
        <f t="shared" ref="L22" si="327">IF(SUBTOTAL(9,L23:L27)&gt;0,SUBTOTAL(9,L23:L27),"")</f>
        <v/>
      </c>
      <c r="M22" s="34" t="str">
        <f t="shared" ref="M22" si="328">IF(SUBTOTAL(9,M23:M27)&gt;0,SUBTOTAL(9,M23:M27),"")</f>
        <v/>
      </c>
      <c r="N22" s="34" t="str">
        <f t="shared" ref="N22" si="329">IF(SUBTOTAL(9,N23:N27)&gt;0,SUBTOTAL(9,N23:N27),"")</f>
        <v/>
      </c>
      <c r="O22" s="34" t="str">
        <f t="shared" ref="O22" si="330">IF(SUBTOTAL(9,O23:O27)&gt;0,SUBTOTAL(9,O23:O27),"")</f>
        <v/>
      </c>
      <c r="P22" s="34" t="str">
        <f t="shared" ref="P22" si="331">IF(SUBTOTAL(9,P23:P27)&gt;0,SUBTOTAL(9,P23:P27),"")</f>
        <v/>
      </c>
      <c r="Q22" s="34" t="str">
        <f t="shared" ref="Q22" si="332">IF(SUBTOTAL(9,Q23:Q27)&gt;0,SUBTOTAL(9,Q23:Q27),"")</f>
        <v/>
      </c>
      <c r="R22" s="34" t="str">
        <f t="shared" ref="R22" si="333">IF(SUBTOTAL(9,R23:R27)&gt;0,SUBTOTAL(9,R23:R27),"")</f>
        <v/>
      </c>
      <c r="S22" s="34" t="str">
        <f t="shared" ref="S22" si="334">IF(SUBTOTAL(9,S23:S27)&gt;0,SUBTOTAL(9,S23:S27),"")</f>
        <v/>
      </c>
      <c r="T22" s="34" t="str">
        <f t="shared" ref="T22" si="335">IF(SUBTOTAL(9,T23:T27)&gt;0,SUBTOTAL(9,T23:T27),"")</f>
        <v/>
      </c>
      <c r="U22" s="34" t="str">
        <f t="shared" ref="U22" si="336">IF(SUBTOTAL(9,U23:U27)&gt;0,SUBTOTAL(9,U23:U27),"")</f>
        <v/>
      </c>
      <c r="V22" s="34" t="str">
        <f t="shared" ref="V22" si="337">IF(SUBTOTAL(9,V23:V27)&gt;0,SUBTOTAL(9,V23:V27),"")</f>
        <v/>
      </c>
      <c r="W22" s="34" t="str">
        <f t="shared" ref="W22" si="338">IF(SUBTOTAL(9,W23:W27)&gt;0,SUBTOTAL(9,W23:W27),"")</f>
        <v/>
      </c>
      <c r="X22" s="34" t="str">
        <f t="shared" ref="X22" si="339">IF(SUBTOTAL(9,X23:X27)&gt;0,SUBTOTAL(9,X23:X27),"")</f>
        <v/>
      </c>
      <c r="Y22" s="34" t="str">
        <f t="shared" ref="Y22" si="340">IF(SUBTOTAL(9,Y23:Y27)&gt;0,SUBTOTAL(9,Y23:Y27),"")</f>
        <v/>
      </c>
      <c r="Z22" s="34" t="str">
        <f t="shared" ref="Z22" si="341">IF(SUBTOTAL(9,Z23:Z27)&gt;0,SUBTOTAL(9,Z23:Z27),"")</f>
        <v/>
      </c>
      <c r="AA22" s="34" t="str">
        <f t="shared" ref="AA22" si="342">IF(SUBTOTAL(9,AA23:AA27)&gt;0,SUBTOTAL(9,AA23:AA27),"")</f>
        <v/>
      </c>
      <c r="AB22" s="34" t="str">
        <f t="shared" ref="AB22" si="343">IF(SUBTOTAL(9,AB23:AB27)&gt;0,SUBTOTAL(9,AB23:AB27),"")</f>
        <v/>
      </c>
      <c r="AC22" s="34" t="str">
        <f t="shared" ref="AC22" si="344">IF(SUBTOTAL(9,AC23:AC27)&gt;0,SUBTOTAL(9,AC23:AC27),"")</f>
        <v/>
      </c>
      <c r="AD22" s="34" t="str">
        <f t="shared" ref="AD22" si="345">IF(SUBTOTAL(9,AD23:AD27)&gt;0,SUBTOTAL(9,AD23:AD27),"")</f>
        <v/>
      </c>
      <c r="AE22" s="34" t="str">
        <f t="shared" ref="AE22" si="346">IF(SUBTOTAL(9,AE23:AE27)&gt;0,SUBTOTAL(9,AE23:AE27),"")</f>
        <v/>
      </c>
      <c r="AF22" s="34" t="str">
        <f t="shared" ref="AF22" si="347">IF(SUBTOTAL(9,AF23:AF27)&gt;0,SUBTOTAL(9,AF23:AF27),"")</f>
        <v/>
      </c>
      <c r="AG22" s="34" t="str">
        <f t="shared" ref="AG22" si="348">IF(SUBTOTAL(9,AG23:AG27)&gt;0,SUBTOTAL(9,AG23:AG27),"")</f>
        <v/>
      </c>
      <c r="AH22" s="34" t="str">
        <f t="shared" ref="AH22" si="349">IF(SUBTOTAL(9,AH23:AH27)&gt;0,SUBTOTAL(9,AH23:AH27),"")</f>
        <v/>
      </c>
      <c r="AI22" s="34" t="str">
        <f t="shared" ref="AI22" si="350">IF(SUBTOTAL(9,AI23:AI27)&gt;0,SUBTOTAL(9,AI23:AI27),"")</f>
        <v/>
      </c>
      <c r="AJ22" s="34" t="str">
        <f t="shared" ref="AJ22" si="351">IF(SUBTOTAL(9,AJ23:AJ27)&gt;0,SUBTOTAL(9,AJ23:AJ27),"")</f>
        <v/>
      </c>
      <c r="AK22" s="34" t="str">
        <f t="shared" ref="AK22" si="352">IF(SUBTOTAL(9,AK23:AK27)&gt;0,SUBTOTAL(9,AK23:AK27),"")</f>
        <v/>
      </c>
      <c r="AL22" s="33" t="str">
        <f t="shared" ref="AL22" si="353">IF(SUBTOTAL(9,AL23:AL27)&gt;0,SUBTOTAL(9,AL23:AL27),"")</f>
        <v/>
      </c>
      <c r="AM22" s="33" t="str">
        <f t="shared" ref="AM22" si="354">IF(SUBTOTAL(9,AM23:AM27)&gt;0,SUBTOTAL(9,AM23:AM27),"")</f>
        <v/>
      </c>
      <c r="AN22" s="33" t="str">
        <f t="shared" ref="AN22" si="355">IF(SUBTOTAL(9,AN23:AN27)&gt;0,SUBTOTAL(9,AN23:AN27),"")</f>
        <v/>
      </c>
      <c r="AO22" s="33" t="str">
        <f t="shared" ref="AO22" si="356">IF(SUBTOTAL(9,AO23:AO27)&gt;0,SUBTOTAL(9,AO23:AO27),"")</f>
        <v/>
      </c>
      <c r="AP22" s="33" t="str">
        <f t="shared" ref="AP22" si="357">IF(SUBTOTAL(9,AP23:AP27)&gt;0,SUBTOTAL(9,AP23:AP27),"")</f>
        <v/>
      </c>
      <c r="AQ22" s="33" t="str">
        <f t="shared" ref="AQ22" si="358">IF(SUBTOTAL(9,AQ23:AQ27)&gt;0,SUBTOTAL(9,AQ23:AQ27),"")</f>
        <v/>
      </c>
      <c r="AR22" s="33" t="str">
        <f t="shared" ref="AR22" si="359">IF(SUBTOTAL(9,AR23:AR27)&gt;0,SUBTOTAL(9,AR23:AR27),"")</f>
        <v/>
      </c>
      <c r="AS22" s="34" t="str">
        <f t="shared" ref="AS22" si="360">IF(SUBTOTAL(9,AS23:AS27)&gt;0,SUBTOTAL(9,AS23:AS27),"")</f>
        <v/>
      </c>
      <c r="AT22" s="34" t="str">
        <f t="shared" ref="AT22" si="361">IF(SUBTOTAL(9,AT23:AT27)&gt;0,SUBTOTAL(9,AT23:AT27),"")</f>
        <v/>
      </c>
      <c r="AU22" s="34" t="str">
        <f t="shared" ref="AU22" si="362">IF(SUBTOTAL(9,AU23:AU27)&gt;0,SUBTOTAL(9,AU23:AU27),"")</f>
        <v/>
      </c>
      <c r="AV22" s="34" t="str">
        <f t="shared" ref="AV22" si="363">IF(SUBTOTAL(9,AV23:AV27)&gt;0,SUBTOTAL(9,AV23:AV27),"")</f>
        <v/>
      </c>
      <c r="AW22" s="34" t="str">
        <f t="shared" ref="AW22" si="364">IF(SUBTOTAL(9,AW23:AW27)&gt;0,SUBTOTAL(9,AW23:AW27),"")</f>
        <v/>
      </c>
      <c r="AX22" s="34" t="str">
        <f t="shared" ref="AX22" si="365">IF(SUBTOTAL(9,AX23:AX27)&gt;0,SUBTOTAL(9,AX23:AX27),"")</f>
        <v/>
      </c>
      <c r="AY22" s="34" t="str">
        <f t="shared" ref="AY22" si="366">IF(SUBTOTAL(9,AY23:AY27)&gt;0,SUBTOTAL(9,AY23:AY27),"")</f>
        <v/>
      </c>
      <c r="AZ22" s="34" t="str">
        <f t="shared" ref="AZ22" si="367">IF(SUBTOTAL(9,AZ23:AZ27)&gt;0,SUBTOTAL(9,AZ23:AZ27),"")</f>
        <v/>
      </c>
      <c r="BA22" s="34" t="str">
        <f t="shared" ref="BA22" si="368">IF(SUBTOTAL(9,BA23:BA27)&gt;0,SUBTOTAL(9,BA23:BA27),"")</f>
        <v/>
      </c>
      <c r="BB22" s="34" t="str">
        <f t="shared" ref="BB22" si="369">IF(SUBTOTAL(9,BB23:BB27)&gt;0,SUBTOTAL(9,BB23:BB27),"")</f>
        <v/>
      </c>
      <c r="BC22" s="34" t="str">
        <f t="shared" ref="BC22" si="370">IF(SUBTOTAL(9,BC23:BC27)&gt;0,SUBTOTAL(9,BC23:BC27),"")</f>
        <v/>
      </c>
      <c r="BD22" s="34" t="str">
        <f t="shared" ref="BD22" si="371">IF(SUBTOTAL(9,BD23:BD27)&gt;0,SUBTOTAL(9,BD23:BD27),"")</f>
        <v/>
      </c>
      <c r="BE22" s="34" t="str">
        <f t="shared" ref="BE22" si="372">IF(SUBTOTAL(9,BE23:BE27)&gt;0,SUBTOTAL(9,BE23:BE27),"")</f>
        <v/>
      </c>
      <c r="BF22" s="34" t="str">
        <f t="shared" ref="BF22" si="373">IF(SUBTOTAL(9,BF23:BF27)&gt;0,SUBTOTAL(9,BF23:BF27),"")</f>
        <v/>
      </c>
      <c r="BG22" s="34" t="str">
        <f t="shared" ref="BG22" si="374">IF(SUBTOTAL(9,BG23:BG27)&gt;0,SUBTOTAL(9,BG23:BG27),"")</f>
        <v/>
      </c>
      <c r="BH22" s="34" t="str">
        <f t="shared" ref="BH22" si="375">IF(SUBTOTAL(9,BH23:BH27)&gt;0,SUBTOTAL(9,BH23:BH27),"")</f>
        <v/>
      </c>
      <c r="BI22" s="34" t="str">
        <f t="shared" ref="BI22" si="376">IF(SUBTOTAL(9,BI23:BI27)&gt;0,SUBTOTAL(9,BI23:BI27),"")</f>
        <v/>
      </c>
      <c r="BJ22" s="34" t="str">
        <f t="shared" ref="BJ22" si="377">IF(SUBTOTAL(9,BJ23:BJ27)&gt;0,SUBTOTAL(9,BJ23:BJ27),"")</f>
        <v/>
      </c>
      <c r="BK22" s="34" t="str">
        <f t="shared" ref="BK22" si="378">IF(SUBTOTAL(9,BK23:BK27)&gt;0,SUBTOTAL(9,BK23:BK27),"")</f>
        <v/>
      </c>
      <c r="BL22" s="34" t="str">
        <f t="shared" ref="BL22" si="379">IF(SUBTOTAL(9,BL23:BL27)&gt;0,SUBTOTAL(9,BL23:BL27),"")</f>
        <v/>
      </c>
      <c r="BM22" s="34" t="str">
        <f t="shared" ref="BM22" si="380">IF(SUBTOTAL(9,BM23:BM27)&gt;0,SUBTOTAL(9,BM23:BM27),"")</f>
        <v/>
      </c>
      <c r="BN22" s="34" t="str">
        <f t="shared" ref="BN22" si="381">IF(SUBTOTAL(9,BN23:BN27)&gt;0,SUBTOTAL(9,BN23:BN27),"")</f>
        <v/>
      </c>
      <c r="BO22" s="34" t="str">
        <f t="shared" ref="BO22" si="382">IF(SUBTOTAL(9,BO23:BO27)&gt;0,SUBTOTAL(9,BO23:BO27),"")</f>
        <v/>
      </c>
      <c r="BP22" s="34" t="str">
        <f t="shared" ref="BP22" si="383">IF(SUBTOTAL(9,BP23:BP27)&gt;0,SUBTOTAL(9,BP23:BP27),"")</f>
        <v/>
      </c>
      <c r="BQ22" s="34" t="str">
        <f t="shared" ref="BQ22" si="384">IF(SUBTOTAL(9,BQ23:BQ27)&gt;0,SUBTOTAL(9,BQ23:BQ27),"")</f>
        <v/>
      </c>
      <c r="BR22" s="34" t="str">
        <f t="shared" ref="BR22" si="385">IF(SUBTOTAL(9,BR23:BR27)&gt;0,SUBTOTAL(9,BR23:BR27),"")</f>
        <v/>
      </c>
      <c r="BS22" s="34" t="str">
        <f t="shared" ref="BS22" si="386">IF(SUBTOTAL(9,BS23:BS27)&gt;0,SUBTOTAL(9,BS23:BS27),"")</f>
        <v/>
      </c>
      <c r="BT22" s="34" t="str">
        <f t="shared" ref="BT22" si="387">IF(SUBTOTAL(9,BT23:BT27)&gt;0,SUBTOTAL(9,BT23:BT27),"")</f>
        <v/>
      </c>
      <c r="BU22" s="34" t="str">
        <f t="shared" ref="BU22" si="388">IF(SUBTOTAL(9,BU23:BU27)&gt;0,SUBTOTAL(9,BU23:BU27),"")</f>
        <v/>
      </c>
      <c r="BV22" s="34" t="str">
        <f t="shared" ref="BV22" si="389">IF(SUBTOTAL(9,BV23:BV27)&gt;0,SUBTOTAL(9,BV23:BV27),"")</f>
        <v/>
      </c>
      <c r="BW22" s="34" t="str">
        <f t="shared" ref="BW22" si="390">IF(SUBTOTAL(9,BW23:BW27)&gt;0,SUBTOTAL(9,BW23:BW27),"")</f>
        <v/>
      </c>
      <c r="BX22" s="34" t="str">
        <f t="shared" ref="BX22" si="391">IF(SUBTOTAL(9,BX23:BX27)&gt;0,SUBTOTAL(9,BX23:BX27),"")</f>
        <v/>
      </c>
      <c r="BY22" s="34" t="str">
        <f t="shared" ref="BY22" si="392">IF(SUBTOTAL(9,BY23:BY27)&gt;0,SUBTOTAL(9,BY23:BY27),"")</f>
        <v/>
      </c>
      <c r="BZ22" s="34" t="str">
        <f t="shared" ref="BZ22" si="393">IF(SUBTOTAL(9,BZ23:BZ27)&gt;0,SUBTOTAL(9,BZ23:BZ27),"")</f>
        <v/>
      </c>
      <c r="CA22" s="34" t="str">
        <f t="shared" ref="CA22" si="394">IF(SUBTOTAL(9,CA23:CA27)&gt;0,SUBTOTAL(9,CA23:CA27),"")</f>
        <v/>
      </c>
      <c r="CB22" s="34" t="str">
        <f t="shared" ref="CB22" si="395">IF(SUBTOTAL(9,CB23:CB27)&gt;0,SUBTOTAL(9,CB23:CB27),"")</f>
        <v/>
      </c>
      <c r="CC22" s="34" t="str">
        <f t="shared" ref="CC22" si="396">IF(SUBTOTAL(9,CC23:CC27)&gt;0,SUBTOTAL(9,CC23:CC27),"")</f>
        <v/>
      </c>
      <c r="CD22" s="34" t="str">
        <f t="shared" ref="CD22" si="397">IF(SUBTOTAL(9,CD23:CD27)&gt;0,SUBTOTAL(9,CD23:CD27),"")</f>
        <v/>
      </c>
      <c r="CE22" s="34" t="str">
        <f t="shared" ref="CE22" si="398">IF(SUBTOTAL(9,CE23:CE27)&gt;0,SUBTOTAL(9,CE23:CE27),"")</f>
        <v/>
      </c>
      <c r="CF22" s="34" t="str">
        <f t="shared" ref="CF22:CG22" si="399">IF(SUBTOTAL(9,CF23:CF27)&gt;0,SUBTOTAL(9,CF23:CF27),"")</f>
        <v/>
      </c>
      <c r="CG22" s="34" t="str">
        <f t="shared" si="399"/>
        <v/>
      </c>
      <c r="CH22" s="34" t="str">
        <f t="shared" ref="CH22" si="400">IF(SUBTOTAL(9,CH23:CH27)&gt;0,SUBTOTAL(9,CH23:CH27),"")</f>
        <v/>
      </c>
      <c r="CI22" s="34" t="str">
        <f t="shared" ref="CI22" si="401">IF(SUBTOTAL(9,CI23:CI27)&gt;0,SUBTOTAL(9,CI23:CI27),"")</f>
        <v/>
      </c>
      <c r="CJ22" s="34" t="str">
        <f t="shared" ref="CJ22" si="402">IF(SUBTOTAL(9,CJ23:CJ27)&gt;0,SUBTOTAL(9,CJ23:CJ27),"")</f>
        <v/>
      </c>
      <c r="CK22" s="34" t="str">
        <f t="shared" ref="CK22" si="403">IF(SUBTOTAL(9,CK23:CK27)&gt;0,SUBTOTAL(9,CK23:CK27),"")</f>
        <v/>
      </c>
      <c r="CL22" s="34" t="str">
        <f t="shared" ref="CL22" si="404">IF(SUBTOTAL(9,CL23:CL27)&gt;0,SUBTOTAL(9,CL23:CL27),"")</f>
        <v/>
      </c>
      <c r="CM22" s="34" t="str">
        <f t="shared" ref="CM22" si="405">IF(SUBTOTAL(9,CM23:CM27)&gt;0,SUBTOTAL(9,CM23:CM27),"")</f>
        <v/>
      </c>
      <c r="CN22" s="34" t="str">
        <f t="shared" ref="CN22" si="406">IF(SUBTOTAL(9,CN23:CN27)&gt;0,SUBTOTAL(9,CN23:CN27),"")</f>
        <v/>
      </c>
      <c r="CO22" s="34" t="str">
        <f t="shared" ref="CO22" si="407">IF(SUBTOTAL(9,CO23:CO27)&gt;0,SUBTOTAL(9,CO23:CO27),"")</f>
        <v/>
      </c>
      <c r="CP22" s="34" t="str">
        <f t="shared" ref="CP22" si="408">IF(SUBTOTAL(9,CP23:CP27)&gt;0,SUBTOTAL(9,CP23:CP27),"")</f>
        <v/>
      </c>
      <c r="CQ22" s="34" t="str">
        <f t="shared" ref="CQ22" si="409">IF(SUBTOTAL(9,CQ23:CQ27)&gt;0,SUBTOTAL(9,CQ23:CQ27),"")</f>
        <v/>
      </c>
      <c r="CR22" s="34" t="str">
        <f t="shared" ref="CR22" si="410">IF(SUBTOTAL(9,CR23:CR27)&gt;0,SUBTOTAL(9,CR23:CR27),"")</f>
        <v/>
      </c>
      <c r="CS22" s="34" t="str">
        <f t="shared" ref="CS22" si="411">IF(SUBTOTAL(9,CS23:CS27)&gt;0,SUBTOTAL(9,CS23:CS27),"")</f>
        <v/>
      </c>
      <c r="CT22" s="33" t="str">
        <f t="shared" ref="CT22" si="412">IF(SUBTOTAL(9,CT23:CT27)&gt;0,SUBTOTAL(9,CT23:CT27),"")</f>
        <v/>
      </c>
      <c r="CU22" s="34" t="str">
        <f t="shared" ref="CU22" si="413">IF(SUBTOTAL(9,CU23:CU27)&gt;0,SUBTOTAL(9,CU23:CU27),"")</f>
        <v/>
      </c>
      <c r="CV22" s="34" t="str">
        <f t="shared" ref="CV22" si="414">IF(SUBTOTAL(9,CV23:CV27)&gt;0,SUBTOTAL(9,CV23:CV27),"")</f>
        <v/>
      </c>
      <c r="CW22" s="34" t="str">
        <f t="shared" ref="CW22" si="415">IF(SUBTOTAL(9,CW23:CW27)&gt;0,SUBTOTAL(9,CW23:CW27),"")</f>
        <v/>
      </c>
      <c r="CX22" s="34" t="str">
        <f t="shared" ref="CX22" si="416">IF(SUBTOTAL(9,CX23:CX27)&gt;0,SUBTOTAL(9,CX23:CX27),"")</f>
        <v/>
      </c>
      <c r="CY22" s="34" t="str">
        <f t="shared" ref="CY22" si="417">IF(SUBTOTAL(9,CY23:CY27)&gt;0,SUBTOTAL(9,CY23:CY27),"")</f>
        <v/>
      </c>
      <c r="CZ22" s="33" t="str">
        <f t="shared" ref="CZ22" si="418">IF(SUBTOTAL(9,CZ23:CZ27)&gt;0,SUBTOTAL(9,CZ23:CZ27),"")</f>
        <v/>
      </c>
      <c r="DA22" s="33" t="str">
        <f t="shared" ref="DA22" si="419">IF(SUBTOTAL(9,DA23:DA27)&gt;0,SUBTOTAL(9,DA23:DA27),"")</f>
        <v/>
      </c>
      <c r="DB22" s="34" t="str">
        <f t="shared" ref="DB22" si="420">IF(SUBTOTAL(9,DB23:DB27)&gt;0,SUBTOTAL(9,DB23:DB27),"")</f>
        <v/>
      </c>
      <c r="DC22" s="34" t="str">
        <f t="shared" ref="DC22" si="421">IF(SUBTOTAL(9,DC23:DC27)&gt;0,SUBTOTAL(9,DC23:DC27),"")</f>
        <v/>
      </c>
      <c r="DD22" s="34" t="str">
        <f t="shared" ref="DD22" si="422">IF(SUBTOTAL(9,DD23:DD27)&gt;0,SUBTOTAL(9,DD23:DD27),"")</f>
        <v/>
      </c>
      <c r="DE22" s="34" t="str">
        <f t="shared" ref="DE22" si="423">IF(SUBTOTAL(9,DE23:DE27)&gt;0,SUBTOTAL(9,DE23:DE27),"")</f>
        <v/>
      </c>
      <c r="DF22" s="34" t="str">
        <f t="shared" ref="DF22" si="424">IF(SUBTOTAL(9,DF23:DF27)&gt;0,SUBTOTAL(9,DF23:DF27),"")</f>
        <v/>
      </c>
      <c r="DG22" s="34" t="str">
        <f t="shared" ref="DG22" si="425">IF(SUBTOTAL(9,DG23:DG27)&gt;0,SUBTOTAL(9,DG23:DG27),"")</f>
        <v/>
      </c>
      <c r="DH22" s="34" t="str">
        <f t="shared" ref="DH22" si="426">IF(SUBTOTAL(9,DH23:DH27)&gt;0,SUBTOTAL(9,DH23:DH27),"")</f>
        <v/>
      </c>
      <c r="DI22" s="34" t="str">
        <f t="shared" ref="DI22" si="427">IF(SUBTOTAL(9,DI23:DI27)&gt;0,SUBTOTAL(9,DI23:DI27),"")</f>
        <v/>
      </c>
      <c r="DJ22" s="34" t="str">
        <f t="shared" ref="DJ22" si="428">IF(SUBTOTAL(9,DJ23:DJ27)&gt;0,SUBTOTAL(9,DJ23:DJ27),"")</f>
        <v/>
      </c>
      <c r="DK22" s="34" t="str">
        <f t="shared" ref="DK22" si="429">IF(SUBTOTAL(9,DK23:DK27)&gt;0,SUBTOTAL(9,DK23:DK27),"")</f>
        <v/>
      </c>
      <c r="DL22" s="34" t="str">
        <f t="shared" ref="DL22" si="430">IF(SUBTOTAL(9,DL23:DL27)&gt;0,SUBTOTAL(9,DL23:DL27),"")</f>
        <v/>
      </c>
      <c r="DM22" s="34" t="str">
        <f t="shared" ref="DM22" si="431">IF(SUBTOTAL(9,DM23:DM27)&gt;0,SUBTOTAL(9,DM23:DM27),"")</f>
        <v/>
      </c>
      <c r="DN22" s="34" t="str">
        <f t="shared" ref="DN22" si="432">IF(SUBTOTAL(9,DN23:DN27)&gt;0,SUBTOTAL(9,DN23:DN27),"")</f>
        <v/>
      </c>
      <c r="DO22" s="34" t="str">
        <f t="shared" ref="DO22" si="433">IF(SUBTOTAL(9,DO23:DO27)&gt;0,SUBTOTAL(9,DO23:DO27),"")</f>
        <v/>
      </c>
      <c r="DP22" s="34" t="str">
        <f t="shared" ref="DP22" si="434">IF(SUBTOTAL(9,DP23:DP27)&gt;0,SUBTOTAL(9,DP23:DP27),"")</f>
        <v/>
      </c>
      <c r="DQ22" s="34" t="str">
        <f t="shared" ref="DQ22" si="435">IF(SUBTOTAL(9,DQ23:DQ27)&gt;0,SUBTOTAL(9,DQ23:DQ27),"")</f>
        <v/>
      </c>
      <c r="DR22" s="34" t="str">
        <f t="shared" ref="DR22" si="436">IF(SUBTOTAL(9,DR23:DR27)&gt;0,SUBTOTAL(9,DR23:DR27),"")</f>
        <v/>
      </c>
      <c r="DS22" s="34">
        <f t="shared" ref="DS22" si="437">IF(SUBTOTAL(9,DS23:DS27)&gt;0,SUBTOTAL(9,DS23:DS27),"")</f>
        <v>0.5</v>
      </c>
      <c r="DT22" s="34">
        <f t="shared" ref="DT22" si="438">IF(SUBTOTAL(9,DT23:DT27)&gt;0,SUBTOTAL(9,DT23:DT27),"")</f>
        <v>0.5</v>
      </c>
      <c r="DU22" s="34" t="str">
        <f t="shared" ref="DU22" si="439">IF(SUBTOTAL(9,DU23:DU27)&gt;0,SUBTOTAL(9,DU23:DU27),"")</f>
        <v/>
      </c>
      <c r="DV22" s="34" t="str">
        <f t="shared" ref="DV22" si="440">IF(SUBTOTAL(9,DV23:DV27)&gt;0,SUBTOTAL(9,DV23:DV27),"")</f>
        <v/>
      </c>
      <c r="DW22" s="34" t="str">
        <f t="shared" ref="DW22" si="441">IF(SUBTOTAL(9,DW23:DW27)&gt;0,SUBTOTAL(9,DW23:DW27),"")</f>
        <v/>
      </c>
      <c r="DX22" s="34" t="str">
        <f t="shared" ref="DX22" si="442">IF(SUBTOTAL(9,DX23:DX27)&gt;0,SUBTOTAL(9,DX23:DX27),"")</f>
        <v/>
      </c>
      <c r="DY22" s="34" t="str">
        <f t="shared" ref="DY22" si="443">IF(SUBTOTAL(9,DY23:DY27)&gt;0,SUBTOTAL(9,DY23:DY27),"")</f>
        <v/>
      </c>
      <c r="DZ22" s="33" t="str">
        <f t="shared" ref="DZ22" si="444">IF(SUBTOTAL(9,DZ23:DZ27)&gt;0,SUBTOTAL(9,DZ23:DZ27),"")</f>
        <v/>
      </c>
      <c r="EA22" s="34" t="str">
        <f t="shared" ref="EA22" si="445">IF(SUBTOTAL(9,EA23:EA27)&gt;0,SUBTOTAL(9,EA23:EA27),"")</f>
        <v/>
      </c>
      <c r="EB22" s="34" t="str">
        <f t="shared" ref="EB22" si="446">IF(SUBTOTAL(9,EB23:EB27)&gt;0,SUBTOTAL(9,EB23:EB27),"")</f>
        <v/>
      </c>
      <c r="EC22" s="34" t="str">
        <f t="shared" ref="EC22" si="447">IF(SUBTOTAL(9,EC23:EC27)&gt;0,SUBTOTAL(9,EC23:EC27),"")</f>
        <v/>
      </c>
      <c r="ED22" s="34" t="str">
        <f t="shared" ref="ED22" si="448">IF(SUBTOTAL(9,ED23:ED27)&gt;0,SUBTOTAL(9,ED23:ED27),"")</f>
        <v/>
      </c>
      <c r="EE22" s="34" t="str">
        <f t="shared" ref="EE22" si="449">IF(SUBTOTAL(9,EE23:EE27)&gt;0,SUBTOTAL(9,EE23:EE27),"")</f>
        <v/>
      </c>
      <c r="EF22" s="34" t="str">
        <f t="shared" ref="EF22" si="450">IF(SUBTOTAL(9,EF23:EF27)&gt;0,SUBTOTAL(9,EF23:EF27),"")</f>
        <v/>
      </c>
      <c r="EG22" s="34" t="str">
        <f t="shared" ref="EG22" si="451">IF(SUBTOTAL(9,EG23:EG27)&gt;0,SUBTOTAL(9,EG23:EG27),"")</f>
        <v/>
      </c>
      <c r="EH22" s="34" t="str">
        <f t="shared" ref="EH22" si="452">IF(SUBTOTAL(9,EH23:EH27)&gt;0,SUBTOTAL(9,EH23:EH27),"")</f>
        <v/>
      </c>
      <c r="EI22" s="34" t="str">
        <f t="shared" ref="EI22" si="453">IF(SUBTOTAL(9,EI23:EI27)&gt;0,SUBTOTAL(9,EI23:EI27),"")</f>
        <v/>
      </c>
      <c r="EJ22" s="34" t="str">
        <f t="shared" ref="EJ22" si="454">IF(SUBTOTAL(9,EJ23:EJ27)&gt;0,SUBTOTAL(9,EJ23:EJ27),"")</f>
        <v/>
      </c>
      <c r="EK22" s="34" t="str">
        <f t="shared" ref="EK22" si="455">IF(SUBTOTAL(9,EK23:EK27)&gt;0,SUBTOTAL(9,EK23:EK27),"")</f>
        <v/>
      </c>
      <c r="EL22" s="34" t="str">
        <f t="shared" ref="EL22" si="456">IF(SUBTOTAL(9,EL23:EL27)&gt;0,SUBTOTAL(9,EL23:EL27),"")</f>
        <v/>
      </c>
      <c r="EM22" s="34" t="str">
        <f t="shared" ref="EM22" si="457">IF(SUBTOTAL(9,EM23:EM27)&gt;0,SUBTOTAL(9,EM23:EM27),"")</f>
        <v/>
      </c>
      <c r="EN22" s="34" t="str">
        <f t="shared" ref="EN22" si="458">IF(SUBTOTAL(9,EN23:EN27)&gt;0,SUBTOTAL(9,EN23:EN27),"")</f>
        <v/>
      </c>
      <c r="EO22" s="34" t="str">
        <f t="shared" ref="EO22" si="459">IF(SUBTOTAL(9,EO23:EO27)&gt;0,SUBTOTAL(9,EO23:EO27),"")</f>
        <v/>
      </c>
      <c r="EP22" s="34" t="str">
        <f t="shared" ref="EP22" si="460">IF(SUBTOTAL(9,EP23:EP27)&gt;0,SUBTOTAL(9,EP23:EP27),"")</f>
        <v/>
      </c>
      <c r="EQ22" s="34" t="str">
        <f t="shared" ref="EQ22" si="461">IF(SUBTOTAL(9,EQ23:EQ27)&gt;0,SUBTOTAL(9,EQ23:EQ27),"")</f>
        <v/>
      </c>
      <c r="ER22" s="34" t="str">
        <f t="shared" ref="ER22" si="462">IF(SUBTOTAL(9,ER23:ER27)&gt;0,SUBTOTAL(9,ER23:ER27),"")</f>
        <v/>
      </c>
      <c r="ES22" s="34" t="str">
        <f t="shared" ref="ES22" si="463">IF(SUBTOTAL(9,ES23:ES27)&gt;0,SUBTOTAL(9,ES23:ES27),"")</f>
        <v/>
      </c>
      <c r="ET22" s="34" t="str">
        <f t="shared" ref="ET22" si="464">IF(SUBTOTAL(9,ET23:ET27)&gt;0,SUBTOTAL(9,ET23:ET27),"")</f>
        <v/>
      </c>
      <c r="EU22" s="34" t="str">
        <f t="shared" ref="EU22" si="465">IF(SUBTOTAL(9,EU23:EU27)&gt;0,SUBTOTAL(9,EU23:EU27),"")</f>
        <v/>
      </c>
      <c r="EV22" s="34" t="str">
        <f t="shared" ref="EV22" si="466">IF(SUBTOTAL(9,EV23:EV27)&gt;0,SUBTOTAL(9,EV23:EV27),"")</f>
        <v/>
      </c>
      <c r="EW22" s="34" t="str">
        <f t="shared" ref="EW22" si="467">IF(SUBTOTAL(9,EW23:EW27)&gt;0,SUBTOTAL(9,EW23:EW27),"")</f>
        <v/>
      </c>
      <c r="EX22" s="34" t="str">
        <f t="shared" ref="EX22" si="468">IF(SUBTOTAL(9,EX23:EX27)&gt;0,SUBTOTAL(9,EX23:EX27),"")</f>
        <v/>
      </c>
      <c r="EY22" s="33" t="str">
        <f t="shared" ref="EY22" si="469">IF(SUBTOTAL(9,EY23:EY27)&gt;0,SUBTOTAL(9,EY23:EY27),"")</f>
        <v/>
      </c>
      <c r="EZ22" s="34" t="str">
        <f t="shared" ref="EZ22" si="470">IF(SUBTOTAL(9,EZ23:EZ27)&gt;0,SUBTOTAL(9,EZ23:EZ27),"")</f>
        <v/>
      </c>
      <c r="FA22" s="34" t="str">
        <f t="shared" ref="FA22" si="471">IF(SUBTOTAL(9,FA23:FA27)&gt;0,SUBTOTAL(9,FA23:FA27),"")</f>
        <v/>
      </c>
      <c r="FB22" s="34" t="str">
        <f t="shared" ref="FB22" si="472">IF(SUBTOTAL(9,FB23:FB27)&gt;0,SUBTOTAL(9,FB23:FB27),"")</f>
        <v/>
      </c>
      <c r="FC22" s="34" t="str">
        <f t="shared" ref="FC22" si="473">IF(SUBTOTAL(9,FC23:FC27)&gt;0,SUBTOTAL(9,FC23:FC27),"")</f>
        <v/>
      </c>
      <c r="FD22" s="34" t="str">
        <f t="shared" ref="FD22" si="474">IF(SUBTOTAL(9,FD23:FD27)&gt;0,SUBTOTAL(9,FD23:FD27),"")</f>
        <v/>
      </c>
      <c r="FE22" s="34" t="str">
        <f t="shared" ref="FE22" si="475">IF(SUBTOTAL(9,FE23:FE27)&gt;0,SUBTOTAL(9,FE23:FE27),"")</f>
        <v/>
      </c>
      <c r="FF22" s="34" t="str">
        <f t="shared" ref="FF22" si="476">IF(SUBTOTAL(9,FF23:FF27)&gt;0,SUBTOTAL(9,FF23:FF27),"")</f>
        <v/>
      </c>
      <c r="FG22" s="34" t="str">
        <f t="shared" ref="FG22" si="477">IF(SUBTOTAL(9,FG23:FG27)&gt;0,SUBTOTAL(9,FG23:FG27),"")</f>
        <v/>
      </c>
      <c r="FH22" s="34" t="str">
        <f t="shared" ref="FH22" si="478">IF(SUBTOTAL(9,FH23:FH27)&gt;0,SUBTOTAL(9,FH23:FH27),"")</f>
        <v/>
      </c>
      <c r="FI22" s="34" t="str">
        <f t="shared" ref="FI22" si="479">IF(SUBTOTAL(9,FI23:FI27)&gt;0,SUBTOTAL(9,FI23:FI27),"")</f>
        <v/>
      </c>
      <c r="FJ22" s="34" t="str">
        <f t="shared" ref="FJ22" si="480">IF(SUBTOTAL(9,FJ23:FJ27)&gt;0,SUBTOTAL(9,FJ23:FJ27),"")</f>
        <v/>
      </c>
      <c r="FK22" s="34" t="str">
        <f t="shared" ref="FK22" si="481">IF(SUBTOTAL(9,FK23:FK27)&gt;0,SUBTOTAL(9,FK23:FK27),"")</f>
        <v/>
      </c>
      <c r="FL22" s="34" t="str">
        <f t="shared" ref="FL22" si="482">IF(SUBTOTAL(9,FL23:FL27)&gt;0,SUBTOTAL(9,FL23:FL27),"")</f>
        <v/>
      </c>
      <c r="FM22" s="34" t="str">
        <f t="shared" ref="FM22" si="483">IF(SUBTOTAL(9,FM23:FM27)&gt;0,SUBTOTAL(9,FM23:FM27),"")</f>
        <v/>
      </c>
      <c r="FN22" s="34" t="str">
        <f t="shared" ref="FN22" si="484">IF(SUBTOTAL(9,FN23:FN27)&gt;0,SUBTOTAL(9,FN23:FN27),"")</f>
        <v/>
      </c>
      <c r="FO22" s="34" t="str">
        <f t="shared" ref="FO22" si="485">IF(SUBTOTAL(9,FO23:FO27)&gt;0,SUBTOTAL(9,FO23:FO27),"")</f>
        <v/>
      </c>
      <c r="FP22" s="34" t="str">
        <f t="shared" ref="FP22" si="486">IF(SUBTOTAL(9,FP23:FP27)&gt;0,SUBTOTAL(9,FP23:FP27),"")</f>
        <v/>
      </c>
      <c r="FQ22" s="92" t="str">
        <f t="shared" ref="FQ22" si="487">IF(SUBTOTAL(9,FQ23:FQ27)&gt;0,SUBTOTAL(9,FQ23:FQ27),"")</f>
        <v/>
      </c>
      <c r="FR22" s="8"/>
      <c r="FS22" s="9" t="s">
        <v>131</v>
      </c>
      <c r="FT22" s="9" t="str">
        <f t="shared" si="151"/>
        <v/>
      </c>
    </row>
    <row r="23" spans="1:176" s="9" customFormat="1" ht="12" hidden="1" customHeight="1" outlineLevel="1">
      <c r="A23" s="129" t="s">
        <v>4</v>
      </c>
      <c r="B23" s="130" t="s">
        <v>10</v>
      </c>
      <c r="C23" s="131" t="str">
        <f t="shared" si="9"/>
        <v>1 days</v>
      </c>
      <c r="D23" s="101" t="str">
        <f>A9&amp;" "&amp;A22</f>
        <v>1. Opening Balances  1.3 Supervision</v>
      </c>
      <c r="E23" s="51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6"/>
      <c r="AM23" s="36"/>
      <c r="AN23" s="36"/>
      <c r="AO23" s="36"/>
      <c r="AP23" s="36"/>
      <c r="AQ23" s="36"/>
      <c r="AR23" s="36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5"/>
      <c r="BM23" s="35"/>
      <c r="BN23" s="35"/>
      <c r="BO23" s="35"/>
      <c r="BP23" s="35"/>
      <c r="BQ23" s="35"/>
      <c r="BR23" s="35"/>
      <c r="BS23" s="35"/>
      <c r="BT23" s="35"/>
      <c r="BU23" s="35"/>
      <c r="BV23" s="35"/>
      <c r="BW23" s="35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6"/>
      <c r="CU23" s="35"/>
      <c r="CV23" s="35"/>
      <c r="CW23" s="35"/>
      <c r="CX23" s="35"/>
      <c r="CY23" s="35"/>
      <c r="CZ23" s="36"/>
      <c r="DA23" s="36"/>
      <c r="DB23" s="35"/>
      <c r="DC23" s="35"/>
      <c r="DD23" s="35"/>
      <c r="DE23" s="35"/>
      <c r="DF23" s="35"/>
      <c r="DG23" s="35"/>
      <c r="DH23" s="35"/>
      <c r="DI23" s="35"/>
      <c r="DJ23" s="35"/>
      <c r="DK23" s="35"/>
      <c r="DL23" s="35"/>
      <c r="DM23" s="35"/>
      <c r="DN23" s="35"/>
      <c r="DO23" s="35"/>
      <c r="DP23" s="35"/>
      <c r="DQ23" s="35"/>
      <c r="DR23" s="35"/>
      <c r="DS23" s="35">
        <v>0.5</v>
      </c>
      <c r="DT23" s="35">
        <v>0.5</v>
      </c>
      <c r="DU23" s="35"/>
      <c r="DV23" s="35"/>
      <c r="DW23" s="35"/>
      <c r="DX23" s="35"/>
      <c r="DY23" s="35"/>
      <c r="DZ23" s="36"/>
      <c r="EA23" s="35"/>
      <c r="EB23" s="35"/>
      <c r="EC23" s="35"/>
      <c r="ED23" s="35"/>
      <c r="EE23" s="35"/>
      <c r="EF23" s="35"/>
      <c r="EG23" s="35"/>
      <c r="EH23" s="35"/>
      <c r="EI23" s="35"/>
      <c r="EJ23" s="35"/>
      <c r="EK23" s="35"/>
      <c r="EL23" s="35"/>
      <c r="EM23" s="35"/>
      <c r="EN23" s="35"/>
      <c r="EO23" s="35"/>
      <c r="EP23" s="35"/>
      <c r="EQ23" s="35"/>
      <c r="ER23" s="35"/>
      <c r="ES23" s="35"/>
      <c r="ET23" s="35"/>
      <c r="EU23" s="35"/>
      <c r="EV23" s="35"/>
      <c r="EW23" s="35"/>
      <c r="EX23" s="35"/>
      <c r="EY23" s="36"/>
      <c r="EZ23" s="35"/>
      <c r="FA23" s="35"/>
      <c r="FB23" s="35"/>
      <c r="FC23" s="35"/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52"/>
      <c r="FR23" s="8"/>
      <c r="FS23" s="9" t="s">
        <v>13</v>
      </c>
      <c r="FT23" s="9" t="str">
        <f t="shared" si="151"/>
        <v>1. Opening Balances  1.3 SupervisionGlenn Kirk</v>
      </c>
    </row>
    <row r="24" spans="1:176" s="9" customFormat="1" ht="12" hidden="1" customHeight="1" outlineLevel="1">
      <c r="A24" s="125" t="s">
        <v>50</v>
      </c>
      <c r="B24" s="123"/>
      <c r="C24" s="124" t="str">
        <f t="shared" si="9"/>
        <v>0 days</v>
      </c>
      <c r="D24" s="13" t="str">
        <f>A9&amp;" "&amp;A22</f>
        <v>1. Opening Balances  1.3 Supervision</v>
      </c>
      <c r="E24" s="51"/>
      <c r="F24" s="35"/>
      <c r="G24" s="35"/>
      <c r="H24" s="35"/>
      <c r="I24" s="35"/>
      <c r="J24" s="35"/>
      <c r="K24" s="35"/>
      <c r="L24" s="35"/>
      <c r="M24" s="35"/>
      <c r="N24" s="35"/>
      <c r="O24" s="35"/>
      <c r="P24" s="35"/>
      <c r="Q24" s="35"/>
      <c r="R24" s="35"/>
      <c r="S24" s="35"/>
      <c r="T24" s="35"/>
      <c r="U24" s="35"/>
      <c r="V24" s="35"/>
      <c r="W24" s="35"/>
      <c r="X24" s="35"/>
      <c r="Y24" s="35"/>
      <c r="Z24" s="35"/>
      <c r="AA24" s="35"/>
      <c r="AB24" s="35"/>
      <c r="AC24" s="35"/>
      <c r="AD24" s="35"/>
      <c r="AE24" s="35"/>
      <c r="AF24" s="35"/>
      <c r="AG24" s="35"/>
      <c r="AH24" s="35"/>
      <c r="AI24" s="35"/>
      <c r="AJ24" s="35"/>
      <c r="AK24" s="35"/>
      <c r="AL24" s="36"/>
      <c r="AM24" s="36"/>
      <c r="AN24" s="36"/>
      <c r="AO24" s="36"/>
      <c r="AP24" s="36"/>
      <c r="AQ24" s="36"/>
      <c r="AR24" s="36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5"/>
      <c r="BM24" s="35"/>
      <c r="BN24" s="35"/>
      <c r="BO24" s="35"/>
      <c r="BP24" s="35"/>
      <c r="BQ24" s="35"/>
      <c r="BR24" s="35"/>
      <c r="BS24" s="35"/>
      <c r="BT24" s="35"/>
      <c r="BU24" s="35"/>
      <c r="BV24" s="35"/>
      <c r="BW24" s="35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6"/>
      <c r="CU24" s="35"/>
      <c r="CV24" s="35"/>
      <c r="CW24" s="35"/>
      <c r="CX24" s="35"/>
      <c r="CY24" s="35"/>
      <c r="CZ24" s="36"/>
      <c r="DA24" s="36"/>
      <c r="DB24" s="35"/>
      <c r="DC24" s="35"/>
      <c r="DD24" s="35"/>
      <c r="DE24" s="35"/>
      <c r="DF24" s="35"/>
      <c r="DG24" s="35"/>
      <c r="DH24" s="35"/>
      <c r="DI24" s="35"/>
      <c r="DJ24" s="35"/>
      <c r="DK24" s="35"/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6"/>
      <c r="EA24" s="35"/>
      <c r="EB24" s="35"/>
      <c r="EC24" s="35"/>
      <c r="ED24" s="35"/>
      <c r="EE24" s="35"/>
      <c r="EF24" s="35"/>
      <c r="EG24" s="35"/>
      <c r="EH24" s="35"/>
      <c r="EI24" s="35"/>
      <c r="EJ24" s="35"/>
      <c r="EK24" s="35"/>
      <c r="EL24" s="35"/>
      <c r="EM24" s="35"/>
      <c r="EN24" s="35"/>
      <c r="EO24" s="35"/>
      <c r="EP24" s="35"/>
      <c r="EQ24" s="35"/>
      <c r="ER24" s="35"/>
      <c r="ES24" s="35"/>
      <c r="ET24" s="35"/>
      <c r="EU24" s="35"/>
      <c r="EV24" s="35"/>
      <c r="EW24" s="35"/>
      <c r="EX24" s="35"/>
      <c r="EY24" s="36"/>
      <c r="EZ24" s="35"/>
      <c r="FA24" s="35"/>
      <c r="FB24" s="35"/>
      <c r="FC24" s="35"/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52"/>
      <c r="FR24" s="8"/>
      <c r="FS24" s="9" t="s">
        <v>13</v>
      </c>
      <c r="FT24" s="9" t="str">
        <f t="shared" si="151"/>
        <v>1. Opening Balances  1.3 Supervision</v>
      </c>
    </row>
    <row r="25" spans="1:176" s="9" customFormat="1" ht="12" hidden="1" customHeight="1" outlineLevel="1">
      <c r="A25" s="125" t="s">
        <v>50</v>
      </c>
      <c r="B25" s="123"/>
      <c r="C25" s="124" t="str">
        <f t="shared" si="9"/>
        <v>0 days</v>
      </c>
      <c r="D25" s="13" t="str">
        <f>A9&amp;" "&amp;A22</f>
        <v>1. Opening Balances  1.3 Supervision</v>
      </c>
      <c r="E25" s="51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6"/>
      <c r="AM25" s="36"/>
      <c r="AN25" s="36"/>
      <c r="AO25" s="36"/>
      <c r="AP25" s="36"/>
      <c r="AQ25" s="36"/>
      <c r="AR25" s="36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5"/>
      <c r="BM25" s="35"/>
      <c r="BN25" s="35"/>
      <c r="BO25" s="35"/>
      <c r="BP25" s="35"/>
      <c r="BQ25" s="35"/>
      <c r="BR25" s="35"/>
      <c r="BS25" s="35"/>
      <c r="BT25" s="35"/>
      <c r="BU25" s="35"/>
      <c r="BV25" s="35"/>
      <c r="BW25" s="35"/>
      <c r="BX25" s="35"/>
      <c r="BY25" s="35"/>
      <c r="BZ25" s="35"/>
      <c r="CA25" s="35"/>
      <c r="CB25" s="35"/>
      <c r="CC25" s="35"/>
      <c r="CD25" s="35"/>
      <c r="CE25" s="35"/>
      <c r="CF25" s="35"/>
      <c r="CG25" s="35"/>
      <c r="CH25" s="35"/>
      <c r="CI25" s="35"/>
      <c r="CJ25" s="35"/>
      <c r="CK25" s="35"/>
      <c r="CL25" s="35"/>
      <c r="CM25" s="35"/>
      <c r="CN25" s="35"/>
      <c r="CO25" s="35"/>
      <c r="CP25" s="35"/>
      <c r="CQ25" s="35"/>
      <c r="CR25" s="35"/>
      <c r="CS25" s="35"/>
      <c r="CT25" s="36"/>
      <c r="CU25" s="35"/>
      <c r="CV25" s="35"/>
      <c r="CW25" s="35"/>
      <c r="CX25" s="35"/>
      <c r="CY25" s="35"/>
      <c r="CZ25" s="36"/>
      <c r="DA25" s="36"/>
      <c r="DB25" s="35"/>
      <c r="DC25" s="35"/>
      <c r="DD25" s="35"/>
      <c r="DE25" s="35"/>
      <c r="DF25" s="35"/>
      <c r="DG25" s="35"/>
      <c r="DH25" s="35"/>
      <c r="DI25" s="35"/>
      <c r="DJ25" s="35"/>
      <c r="DK25" s="35"/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6"/>
      <c r="EA25" s="35"/>
      <c r="EB25" s="35"/>
      <c r="EC25" s="35"/>
      <c r="ED25" s="35"/>
      <c r="EE25" s="35"/>
      <c r="EF25" s="35"/>
      <c r="EG25" s="35"/>
      <c r="EH25" s="35"/>
      <c r="EI25" s="35"/>
      <c r="EJ25" s="35"/>
      <c r="EK25" s="35"/>
      <c r="EL25" s="35"/>
      <c r="EM25" s="35"/>
      <c r="EN25" s="35"/>
      <c r="EO25" s="35"/>
      <c r="EP25" s="35"/>
      <c r="EQ25" s="35"/>
      <c r="ER25" s="35"/>
      <c r="ES25" s="35"/>
      <c r="ET25" s="35"/>
      <c r="EU25" s="35"/>
      <c r="EV25" s="35"/>
      <c r="EW25" s="35"/>
      <c r="EX25" s="35"/>
      <c r="EY25" s="36"/>
      <c r="EZ25" s="35"/>
      <c r="FA25" s="35"/>
      <c r="FB25" s="35"/>
      <c r="FC25" s="35"/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52"/>
      <c r="FR25" s="8"/>
      <c r="FS25" s="9" t="s">
        <v>13</v>
      </c>
      <c r="FT25" s="9" t="str">
        <f t="shared" si="151"/>
        <v>1. Opening Balances  1.3 Supervision</v>
      </c>
    </row>
    <row r="26" spans="1:176" s="9" customFormat="1" ht="12" hidden="1" customHeight="1" outlineLevel="1">
      <c r="A26" s="125" t="s">
        <v>50</v>
      </c>
      <c r="B26" s="123"/>
      <c r="C26" s="124" t="str">
        <f t="shared" si="9"/>
        <v>0 days</v>
      </c>
      <c r="D26" s="13" t="str">
        <f>A9&amp;" "&amp;A22</f>
        <v>1. Opening Balances  1.3 Supervision</v>
      </c>
      <c r="E26" s="51"/>
      <c r="F26" s="35"/>
      <c r="G26" s="35"/>
      <c r="H26" s="35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35"/>
      <c r="AK26" s="35"/>
      <c r="AL26" s="36"/>
      <c r="AM26" s="36"/>
      <c r="AN26" s="36"/>
      <c r="AO26" s="36"/>
      <c r="AP26" s="36"/>
      <c r="AQ26" s="36"/>
      <c r="AR26" s="36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5"/>
      <c r="BM26" s="35"/>
      <c r="BN26" s="35"/>
      <c r="BO26" s="35"/>
      <c r="BP26" s="35"/>
      <c r="BQ26" s="35"/>
      <c r="BR26" s="35"/>
      <c r="BS26" s="35"/>
      <c r="BT26" s="35"/>
      <c r="BU26" s="35"/>
      <c r="BV26" s="35"/>
      <c r="BW26" s="35"/>
      <c r="BX26" s="35"/>
      <c r="BY26" s="35"/>
      <c r="BZ26" s="35"/>
      <c r="CA26" s="35"/>
      <c r="CB26" s="35"/>
      <c r="CC26" s="35"/>
      <c r="CD26" s="35"/>
      <c r="CE26" s="35"/>
      <c r="CF26" s="35"/>
      <c r="CG26" s="35"/>
      <c r="CH26" s="35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6"/>
      <c r="CU26" s="35"/>
      <c r="CV26" s="35"/>
      <c r="CW26" s="35"/>
      <c r="CX26" s="35"/>
      <c r="CY26" s="35"/>
      <c r="CZ26" s="36"/>
      <c r="DA26" s="36"/>
      <c r="DB26" s="35"/>
      <c r="DC26" s="35"/>
      <c r="DD26" s="35"/>
      <c r="DE26" s="35"/>
      <c r="DF26" s="35"/>
      <c r="DG26" s="35"/>
      <c r="DH26" s="35"/>
      <c r="DI26" s="35"/>
      <c r="DJ26" s="35"/>
      <c r="DK26" s="35"/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6"/>
      <c r="EA26" s="35"/>
      <c r="EB26" s="35"/>
      <c r="EC26" s="35"/>
      <c r="ED26" s="35"/>
      <c r="EE26" s="35"/>
      <c r="EF26" s="35"/>
      <c r="EG26" s="35"/>
      <c r="EH26" s="35"/>
      <c r="EI26" s="35"/>
      <c r="EJ26" s="35"/>
      <c r="EK26" s="35"/>
      <c r="EL26" s="35"/>
      <c r="EM26" s="35"/>
      <c r="EN26" s="35"/>
      <c r="EO26" s="35"/>
      <c r="EP26" s="35"/>
      <c r="EQ26" s="35"/>
      <c r="ER26" s="35"/>
      <c r="ES26" s="35"/>
      <c r="ET26" s="35"/>
      <c r="EU26" s="35"/>
      <c r="EV26" s="35"/>
      <c r="EW26" s="35"/>
      <c r="EX26" s="35"/>
      <c r="EY26" s="36"/>
      <c r="EZ26" s="35"/>
      <c r="FA26" s="35"/>
      <c r="FB26" s="35"/>
      <c r="FC26" s="35"/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52"/>
      <c r="FR26" s="8"/>
      <c r="FS26" s="9" t="s">
        <v>13</v>
      </c>
      <c r="FT26" s="9" t="str">
        <f t="shared" si="151"/>
        <v>1. Opening Balances  1.3 Supervision</v>
      </c>
    </row>
    <row r="27" spans="1:176" s="9" customFormat="1" ht="12" hidden="1" customHeight="1" outlineLevel="1">
      <c r="A27" s="126" t="s">
        <v>50</v>
      </c>
      <c r="B27" s="123"/>
      <c r="C27" s="124" t="str">
        <f t="shared" si="9"/>
        <v>0 days</v>
      </c>
      <c r="D27" s="13" t="str">
        <f>A9&amp;" "&amp;A22</f>
        <v>1. Opening Balances  1.3 Supervision</v>
      </c>
      <c r="E27" s="51"/>
      <c r="F27" s="35"/>
      <c r="G27" s="35"/>
      <c r="H27" s="35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35"/>
      <c r="AJ27" s="35"/>
      <c r="AK27" s="35"/>
      <c r="AL27" s="36"/>
      <c r="AM27" s="36"/>
      <c r="AN27" s="36"/>
      <c r="AO27" s="36"/>
      <c r="AP27" s="36"/>
      <c r="AQ27" s="36"/>
      <c r="AR27" s="36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5"/>
      <c r="BM27" s="35"/>
      <c r="BN27" s="35"/>
      <c r="BO27" s="35"/>
      <c r="BP27" s="35"/>
      <c r="BQ27" s="35"/>
      <c r="BR27" s="35"/>
      <c r="BS27" s="35"/>
      <c r="BT27" s="35"/>
      <c r="BU27" s="35"/>
      <c r="BV27" s="35"/>
      <c r="BW27" s="35"/>
      <c r="BX27" s="35"/>
      <c r="BY27" s="35"/>
      <c r="BZ27" s="35"/>
      <c r="CA27" s="35"/>
      <c r="CB27" s="35"/>
      <c r="CC27" s="35"/>
      <c r="CD27" s="35"/>
      <c r="CE27" s="35"/>
      <c r="CF27" s="35"/>
      <c r="CG27" s="35"/>
      <c r="CH27" s="35"/>
      <c r="CI27" s="35"/>
      <c r="CJ27" s="35"/>
      <c r="CK27" s="35"/>
      <c r="CL27" s="35"/>
      <c r="CM27" s="35"/>
      <c r="CN27" s="35"/>
      <c r="CO27" s="35"/>
      <c r="CP27" s="35"/>
      <c r="CQ27" s="35"/>
      <c r="CR27" s="35"/>
      <c r="CS27" s="35"/>
      <c r="CT27" s="36"/>
      <c r="CU27" s="35"/>
      <c r="CV27" s="35"/>
      <c r="CW27" s="35"/>
      <c r="CX27" s="35"/>
      <c r="CY27" s="35"/>
      <c r="CZ27" s="36"/>
      <c r="DA27" s="36"/>
      <c r="DB27" s="35"/>
      <c r="DC27" s="35"/>
      <c r="DD27" s="35"/>
      <c r="DE27" s="35"/>
      <c r="DF27" s="35"/>
      <c r="DG27" s="35"/>
      <c r="DH27" s="35"/>
      <c r="DI27" s="35"/>
      <c r="DJ27" s="35"/>
      <c r="DK27" s="35"/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6"/>
      <c r="EA27" s="35"/>
      <c r="EB27" s="35"/>
      <c r="EC27" s="35"/>
      <c r="ED27" s="35"/>
      <c r="EE27" s="35"/>
      <c r="EF27" s="35"/>
      <c r="EG27" s="35"/>
      <c r="EH27" s="35"/>
      <c r="EI27" s="35"/>
      <c r="EJ27" s="35"/>
      <c r="EK27" s="35"/>
      <c r="EL27" s="35"/>
      <c r="EM27" s="35"/>
      <c r="EN27" s="35"/>
      <c r="EO27" s="35"/>
      <c r="EP27" s="35"/>
      <c r="EQ27" s="35"/>
      <c r="ER27" s="35"/>
      <c r="ES27" s="35"/>
      <c r="ET27" s="35"/>
      <c r="EU27" s="35"/>
      <c r="EV27" s="35"/>
      <c r="EW27" s="35"/>
      <c r="EX27" s="35"/>
      <c r="EY27" s="36"/>
      <c r="EZ27" s="35"/>
      <c r="FA27" s="35"/>
      <c r="FB27" s="35"/>
      <c r="FC27" s="35"/>
      <c r="FD27" s="35"/>
      <c r="FE27" s="35"/>
      <c r="FF27" s="35"/>
      <c r="FG27" s="35"/>
      <c r="FH27" s="35"/>
      <c r="FI27" s="35"/>
      <c r="FJ27" s="35"/>
      <c r="FK27" s="35"/>
      <c r="FL27" s="35"/>
      <c r="FM27" s="35"/>
      <c r="FN27" s="35"/>
      <c r="FO27" s="35"/>
      <c r="FP27" s="35"/>
      <c r="FQ27" s="52"/>
      <c r="FR27" s="8"/>
      <c r="FS27" s="9" t="s">
        <v>13</v>
      </c>
      <c r="FT27" s="9" t="str">
        <f t="shared" si="151"/>
        <v>1. Opening Balances  1.3 Supervision</v>
      </c>
    </row>
    <row r="28" spans="1:176" s="9" customFormat="1" ht="12" customHeight="1" collapsed="1">
      <c r="A28" s="119" t="s">
        <v>55</v>
      </c>
      <c r="B28" s="127"/>
      <c r="C28" s="121" t="str">
        <f t="shared" si="9"/>
        <v>1 days</v>
      </c>
      <c r="D28" s="27"/>
      <c r="E28" s="91" t="str">
        <f t="shared" ref="E28" si="488">IF(SUBTOTAL(9,E29:E33)&gt;0,SUBTOTAL(9,E29:E33),"")</f>
        <v/>
      </c>
      <c r="F28" s="34" t="str">
        <f t="shared" ref="F28" si="489">IF(SUBTOTAL(9,F29:F33)&gt;0,SUBTOTAL(9,F29:F33),"")</f>
        <v/>
      </c>
      <c r="G28" s="34" t="str">
        <f t="shared" ref="G28" si="490">IF(SUBTOTAL(9,G29:G33)&gt;0,SUBTOTAL(9,G29:G33),"")</f>
        <v/>
      </c>
      <c r="H28" s="34" t="str">
        <f t="shared" ref="H28" si="491">IF(SUBTOTAL(9,H29:H33)&gt;0,SUBTOTAL(9,H29:H33),"")</f>
        <v/>
      </c>
      <c r="I28" s="34" t="str">
        <f t="shared" ref="I28" si="492">IF(SUBTOTAL(9,I29:I33)&gt;0,SUBTOTAL(9,I29:I33),"")</f>
        <v/>
      </c>
      <c r="J28" s="34" t="str">
        <f t="shared" ref="J28" si="493">IF(SUBTOTAL(9,J29:J33)&gt;0,SUBTOTAL(9,J29:J33),"")</f>
        <v/>
      </c>
      <c r="K28" s="34" t="str">
        <f t="shared" ref="K28" si="494">IF(SUBTOTAL(9,K29:K33)&gt;0,SUBTOTAL(9,K29:K33),"")</f>
        <v/>
      </c>
      <c r="L28" s="34" t="str">
        <f t="shared" ref="L28" si="495">IF(SUBTOTAL(9,L29:L33)&gt;0,SUBTOTAL(9,L29:L33),"")</f>
        <v/>
      </c>
      <c r="M28" s="34" t="str">
        <f t="shared" ref="M28" si="496">IF(SUBTOTAL(9,M29:M33)&gt;0,SUBTOTAL(9,M29:M33),"")</f>
        <v/>
      </c>
      <c r="N28" s="34" t="str">
        <f t="shared" ref="N28" si="497">IF(SUBTOTAL(9,N29:N33)&gt;0,SUBTOTAL(9,N29:N33),"")</f>
        <v/>
      </c>
      <c r="O28" s="34" t="str">
        <f t="shared" ref="O28" si="498">IF(SUBTOTAL(9,O29:O33)&gt;0,SUBTOTAL(9,O29:O33),"")</f>
        <v/>
      </c>
      <c r="P28" s="34" t="str">
        <f t="shared" ref="P28" si="499">IF(SUBTOTAL(9,P29:P33)&gt;0,SUBTOTAL(9,P29:P33),"")</f>
        <v/>
      </c>
      <c r="Q28" s="34" t="str">
        <f t="shared" ref="Q28" si="500">IF(SUBTOTAL(9,Q29:Q33)&gt;0,SUBTOTAL(9,Q29:Q33),"")</f>
        <v/>
      </c>
      <c r="R28" s="34" t="str">
        <f t="shared" ref="R28" si="501">IF(SUBTOTAL(9,R29:R33)&gt;0,SUBTOTAL(9,R29:R33),"")</f>
        <v/>
      </c>
      <c r="S28" s="34" t="str">
        <f t="shared" ref="S28" si="502">IF(SUBTOTAL(9,S29:S33)&gt;0,SUBTOTAL(9,S29:S33),"")</f>
        <v/>
      </c>
      <c r="T28" s="34" t="str">
        <f t="shared" ref="T28" si="503">IF(SUBTOTAL(9,T29:T33)&gt;0,SUBTOTAL(9,T29:T33),"")</f>
        <v/>
      </c>
      <c r="U28" s="34" t="str">
        <f t="shared" ref="U28" si="504">IF(SUBTOTAL(9,U29:U33)&gt;0,SUBTOTAL(9,U29:U33),"")</f>
        <v/>
      </c>
      <c r="V28" s="34" t="str">
        <f t="shared" ref="V28" si="505">IF(SUBTOTAL(9,V29:V33)&gt;0,SUBTOTAL(9,V29:V33),"")</f>
        <v/>
      </c>
      <c r="W28" s="34" t="str">
        <f t="shared" ref="W28" si="506">IF(SUBTOTAL(9,W29:W33)&gt;0,SUBTOTAL(9,W29:W33),"")</f>
        <v/>
      </c>
      <c r="X28" s="34" t="str">
        <f t="shared" ref="X28" si="507">IF(SUBTOTAL(9,X29:X33)&gt;0,SUBTOTAL(9,X29:X33),"")</f>
        <v/>
      </c>
      <c r="Y28" s="34" t="str">
        <f t="shared" ref="Y28" si="508">IF(SUBTOTAL(9,Y29:Y33)&gt;0,SUBTOTAL(9,Y29:Y33),"")</f>
        <v/>
      </c>
      <c r="Z28" s="34" t="str">
        <f t="shared" ref="Z28" si="509">IF(SUBTOTAL(9,Z29:Z33)&gt;0,SUBTOTAL(9,Z29:Z33),"")</f>
        <v/>
      </c>
      <c r="AA28" s="34" t="str">
        <f t="shared" ref="AA28" si="510">IF(SUBTOTAL(9,AA29:AA33)&gt;0,SUBTOTAL(9,AA29:AA33),"")</f>
        <v/>
      </c>
      <c r="AB28" s="34" t="str">
        <f t="shared" ref="AB28" si="511">IF(SUBTOTAL(9,AB29:AB33)&gt;0,SUBTOTAL(9,AB29:AB33),"")</f>
        <v/>
      </c>
      <c r="AC28" s="34" t="str">
        <f t="shared" ref="AC28" si="512">IF(SUBTOTAL(9,AC29:AC33)&gt;0,SUBTOTAL(9,AC29:AC33),"")</f>
        <v/>
      </c>
      <c r="AD28" s="34" t="str">
        <f t="shared" ref="AD28" si="513">IF(SUBTOTAL(9,AD29:AD33)&gt;0,SUBTOTAL(9,AD29:AD33),"")</f>
        <v/>
      </c>
      <c r="AE28" s="34" t="str">
        <f t="shared" ref="AE28" si="514">IF(SUBTOTAL(9,AE29:AE33)&gt;0,SUBTOTAL(9,AE29:AE33),"")</f>
        <v/>
      </c>
      <c r="AF28" s="34" t="str">
        <f t="shared" ref="AF28" si="515">IF(SUBTOTAL(9,AF29:AF33)&gt;0,SUBTOTAL(9,AF29:AF33),"")</f>
        <v/>
      </c>
      <c r="AG28" s="34" t="str">
        <f t="shared" ref="AG28" si="516">IF(SUBTOTAL(9,AG29:AG33)&gt;0,SUBTOTAL(9,AG29:AG33),"")</f>
        <v/>
      </c>
      <c r="AH28" s="34" t="str">
        <f t="shared" ref="AH28" si="517">IF(SUBTOTAL(9,AH29:AH33)&gt;0,SUBTOTAL(9,AH29:AH33),"")</f>
        <v/>
      </c>
      <c r="AI28" s="34" t="str">
        <f t="shared" ref="AI28" si="518">IF(SUBTOTAL(9,AI29:AI33)&gt;0,SUBTOTAL(9,AI29:AI33),"")</f>
        <v/>
      </c>
      <c r="AJ28" s="34" t="str">
        <f t="shared" ref="AJ28" si="519">IF(SUBTOTAL(9,AJ29:AJ33)&gt;0,SUBTOTAL(9,AJ29:AJ33),"")</f>
        <v/>
      </c>
      <c r="AK28" s="34" t="str">
        <f t="shared" ref="AK28" si="520">IF(SUBTOTAL(9,AK29:AK33)&gt;0,SUBTOTAL(9,AK29:AK33),"")</f>
        <v/>
      </c>
      <c r="AL28" s="33" t="str">
        <f t="shared" ref="AL28" si="521">IF(SUBTOTAL(9,AL29:AL33)&gt;0,SUBTOTAL(9,AL29:AL33),"")</f>
        <v/>
      </c>
      <c r="AM28" s="33" t="str">
        <f t="shared" ref="AM28" si="522">IF(SUBTOTAL(9,AM29:AM33)&gt;0,SUBTOTAL(9,AM29:AM33),"")</f>
        <v/>
      </c>
      <c r="AN28" s="33" t="str">
        <f t="shared" ref="AN28" si="523">IF(SUBTOTAL(9,AN29:AN33)&gt;0,SUBTOTAL(9,AN29:AN33),"")</f>
        <v/>
      </c>
      <c r="AO28" s="33" t="str">
        <f t="shared" ref="AO28" si="524">IF(SUBTOTAL(9,AO29:AO33)&gt;0,SUBTOTAL(9,AO29:AO33),"")</f>
        <v/>
      </c>
      <c r="AP28" s="33" t="str">
        <f t="shared" ref="AP28" si="525">IF(SUBTOTAL(9,AP29:AP33)&gt;0,SUBTOTAL(9,AP29:AP33),"")</f>
        <v/>
      </c>
      <c r="AQ28" s="33" t="str">
        <f t="shared" ref="AQ28" si="526">IF(SUBTOTAL(9,AQ29:AQ33)&gt;0,SUBTOTAL(9,AQ29:AQ33),"")</f>
        <v/>
      </c>
      <c r="AR28" s="33" t="str">
        <f t="shared" ref="AR28" si="527">IF(SUBTOTAL(9,AR29:AR33)&gt;0,SUBTOTAL(9,AR29:AR33),"")</f>
        <v/>
      </c>
      <c r="AS28" s="34" t="str">
        <f t="shared" ref="AS28" si="528">IF(SUBTOTAL(9,AS29:AS33)&gt;0,SUBTOTAL(9,AS29:AS33),"")</f>
        <v/>
      </c>
      <c r="AT28" s="34" t="str">
        <f t="shared" ref="AT28" si="529">IF(SUBTOTAL(9,AT29:AT33)&gt;0,SUBTOTAL(9,AT29:AT33),"")</f>
        <v/>
      </c>
      <c r="AU28" s="34" t="str">
        <f t="shared" ref="AU28" si="530">IF(SUBTOTAL(9,AU29:AU33)&gt;0,SUBTOTAL(9,AU29:AU33),"")</f>
        <v/>
      </c>
      <c r="AV28" s="34" t="str">
        <f t="shared" ref="AV28" si="531">IF(SUBTOTAL(9,AV29:AV33)&gt;0,SUBTOTAL(9,AV29:AV33),"")</f>
        <v/>
      </c>
      <c r="AW28" s="34" t="str">
        <f t="shared" ref="AW28" si="532">IF(SUBTOTAL(9,AW29:AW33)&gt;0,SUBTOTAL(9,AW29:AW33),"")</f>
        <v/>
      </c>
      <c r="AX28" s="34" t="str">
        <f t="shared" ref="AX28" si="533">IF(SUBTOTAL(9,AX29:AX33)&gt;0,SUBTOTAL(9,AX29:AX33),"")</f>
        <v/>
      </c>
      <c r="AY28" s="34" t="str">
        <f t="shared" ref="AY28" si="534">IF(SUBTOTAL(9,AY29:AY33)&gt;0,SUBTOTAL(9,AY29:AY33),"")</f>
        <v/>
      </c>
      <c r="AZ28" s="34" t="str">
        <f t="shared" ref="AZ28" si="535">IF(SUBTOTAL(9,AZ29:AZ33)&gt;0,SUBTOTAL(9,AZ29:AZ33),"")</f>
        <v/>
      </c>
      <c r="BA28" s="34" t="str">
        <f t="shared" ref="BA28" si="536">IF(SUBTOTAL(9,BA29:BA33)&gt;0,SUBTOTAL(9,BA29:BA33),"")</f>
        <v/>
      </c>
      <c r="BB28" s="34" t="str">
        <f t="shared" ref="BB28" si="537">IF(SUBTOTAL(9,BB29:BB33)&gt;0,SUBTOTAL(9,BB29:BB33),"")</f>
        <v/>
      </c>
      <c r="BC28" s="34" t="str">
        <f t="shared" ref="BC28" si="538">IF(SUBTOTAL(9,BC29:BC33)&gt;0,SUBTOTAL(9,BC29:BC33),"")</f>
        <v/>
      </c>
      <c r="BD28" s="34" t="str">
        <f t="shared" ref="BD28" si="539">IF(SUBTOTAL(9,BD29:BD33)&gt;0,SUBTOTAL(9,BD29:BD33),"")</f>
        <v/>
      </c>
      <c r="BE28" s="34" t="str">
        <f t="shared" ref="BE28" si="540">IF(SUBTOTAL(9,BE29:BE33)&gt;0,SUBTOTAL(9,BE29:BE33),"")</f>
        <v/>
      </c>
      <c r="BF28" s="34" t="str">
        <f t="shared" ref="BF28" si="541">IF(SUBTOTAL(9,BF29:BF33)&gt;0,SUBTOTAL(9,BF29:BF33),"")</f>
        <v/>
      </c>
      <c r="BG28" s="34" t="str">
        <f t="shared" ref="BG28" si="542">IF(SUBTOTAL(9,BG29:BG33)&gt;0,SUBTOTAL(9,BG29:BG33),"")</f>
        <v/>
      </c>
      <c r="BH28" s="34" t="str">
        <f t="shared" ref="BH28" si="543">IF(SUBTOTAL(9,BH29:BH33)&gt;0,SUBTOTAL(9,BH29:BH33),"")</f>
        <v/>
      </c>
      <c r="BI28" s="34" t="str">
        <f t="shared" ref="BI28" si="544">IF(SUBTOTAL(9,BI29:BI33)&gt;0,SUBTOTAL(9,BI29:BI33),"")</f>
        <v/>
      </c>
      <c r="BJ28" s="34" t="str">
        <f t="shared" ref="BJ28" si="545">IF(SUBTOTAL(9,BJ29:BJ33)&gt;0,SUBTOTAL(9,BJ29:BJ33),"")</f>
        <v/>
      </c>
      <c r="BK28" s="34" t="str">
        <f t="shared" ref="BK28" si="546">IF(SUBTOTAL(9,BK29:BK33)&gt;0,SUBTOTAL(9,BK29:BK33),"")</f>
        <v/>
      </c>
      <c r="BL28" s="34" t="str">
        <f t="shared" ref="BL28" si="547">IF(SUBTOTAL(9,BL29:BL33)&gt;0,SUBTOTAL(9,BL29:BL33),"")</f>
        <v/>
      </c>
      <c r="BM28" s="34" t="str">
        <f t="shared" ref="BM28" si="548">IF(SUBTOTAL(9,BM29:BM33)&gt;0,SUBTOTAL(9,BM29:BM33),"")</f>
        <v/>
      </c>
      <c r="BN28" s="34" t="str">
        <f t="shared" ref="BN28" si="549">IF(SUBTOTAL(9,BN29:BN33)&gt;0,SUBTOTAL(9,BN29:BN33),"")</f>
        <v/>
      </c>
      <c r="BO28" s="34" t="str">
        <f t="shared" ref="BO28" si="550">IF(SUBTOTAL(9,BO29:BO33)&gt;0,SUBTOTAL(9,BO29:BO33),"")</f>
        <v/>
      </c>
      <c r="BP28" s="34" t="str">
        <f t="shared" ref="BP28" si="551">IF(SUBTOTAL(9,BP29:BP33)&gt;0,SUBTOTAL(9,BP29:BP33),"")</f>
        <v/>
      </c>
      <c r="BQ28" s="34" t="str">
        <f t="shared" ref="BQ28" si="552">IF(SUBTOTAL(9,BQ29:BQ33)&gt;0,SUBTOTAL(9,BQ29:BQ33),"")</f>
        <v/>
      </c>
      <c r="BR28" s="34" t="str">
        <f t="shared" ref="BR28" si="553">IF(SUBTOTAL(9,BR29:BR33)&gt;0,SUBTOTAL(9,BR29:BR33),"")</f>
        <v/>
      </c>
      <c r="BS28" s="34" t="str">
        <f t="shared" ref="BS28" si="554">IF(SUBTOTAL(9,BS29:BS33)&gt;0,SUBTOTAL(9,BS29:BS33),"")</f>
        <v/>
      </c>
      <c r="BT28" s="34" t="str">
        <f t="shared" ref="BT28" si="555">IF(SUBTOTAL(9,BT29:BT33)&gt;0,SUBTOTAL(9,BT29:BT33),"")</f>
        <v/>
      </c>
      <c r="BU28" s="34" t="str">
        <f t="shared" ref="BU28" si="556">IF(SUBTOTAL(9,BU29:BU33)&gt;0,SUBTOTAL(9,BU29:BU33),"")</f>
        <v/>
      </c>
      <c r="BV28" s="34" t="str">
        <f t="shared" ref="BV28" si="557">IF(SUBTOTAL(9,BV29:BV33)&gt;0,SUBTOTAL(9,BV29:BV33),"")</f>
        <v/>
      </c>
      <c r="BW28" s="34" t="str">
        <f t="shared" ref="BW28" si="558">IF(SUBTOTAL(9,BW29:BW33)&gt;0,SUBTOTAL(9,BW29:BW33),"")</f>
        <v/>
      </c>
      <c r="BX28" s="34" t="str">
        <f t="shared" ref="BX28" si="559">IF(SUBTOTAL(9,BX29:BX33)&gt;0,SUBTOTAL(9,BX29:BX33),"")</f>
        <v/>
      </c>
      <c r="BY28" s="34" t="str">
        <f t="shared" ref="BY28" si="560">IF(SUBTOTAL(9,BY29:BY33)&gt;0,SUBTOTAL(9,BY29:BY33),"")</f>
        <v/>
      </c>
      <c r="BZ28" s="34" t="str">
        <f t="shared" ref="BZ28" si="561">IF(SUBTOTAL(9,BZ29:BZ33)&gt;0,SUBTOTAL(9,BZ29:BZ33),"")</f>
        <v/>
      </c>
      <c r="CA28" s="34" t="str">
        <f t="shared" ref="CA28" si="562">IF(SUBTOTAL(9,CA29:CA33)&gt;0,SUBTOTAL(9,CA29:CA33),"")</f>
        <v/>
      </c>
      <c r="CB28" s="34" t="str">
        <f t="shared" ref="CB28" si="563">IF(SUBTOTAL(9,CB29:CB33)&gt;0,SUBTOTAL(9,CB29:CB33),"")</f>
        <v/>
      </c>
      <c r="CC28" s="34" t="str">
        <f t="shared" ref="CC28" si="564">IF(SUBTOTAL(9,CC29:CC33)&gt;0,SUBTOTAL(9,CC29:CC33),"")</f>
        <v/>
      </c>
      <c r="CD28" s="34" t="str">
        <f t="shared" ref="CD28" si="565">IF(SUBTOTAL(9,CD29:CD33)&gt;0,SUBTOTAL(9,CD29:CD33),"")</f>
        <v/>
      </c>
      <c r="CE28" s="34" t="str">
        <f t="shared" ref="CE28" si="566">IF(SUBTOTAL(9,CE29:CE33)&gt;0,SUBTOTAL(9,CE29:CE33),"")</f>
        <v/>
      </c>
      <c r="CF28" s="34" t="str">
        <f t="shared" ref="CF28:CG28" si="567">IF(SUBTOTAL(9,CF29:CF33)&gt;0,SUBTOTAL(9,CF29:CF33),"")</f>
        <v/>
      </c>
      <c r="CG28" s="34" t="str">
        <f t="shared" si="567"/>
        <v/>
      </c>
      <c r="CH28" s="34" t="str">
        <f t="shared" ref="CH28" si="568">IF(SUBTOTAL(9,CH29:CH33)&gt;0,SUBTOTAL(9,CH29:CH33),"")</f>
        <v/>
      </c>
      <c r="CI28" s="34" t="str">
        <f t="shared" ref="CI28" si="569">IF(SUBTOTAL(9,CI29:CI33)&gt;0,SUBTOTAL(9,CI29:CI33),"")</f>
        <v/>
      </c>
      <c r="CJ28" s="34" t="str">
        <f t="shared" ref="CJ28" si="570">IF(SUBTOTAL(9,CJ29:CJ33)&gt;0,SUBTOTAL(9,CJ29:CJ33),"")</f>
        <v/>
      </c>
      <c r="CK28" s="34" t="str">
        <f t="shared" ref="CK28" si="571">IF(SUBTOTAL(9,CK29:CK33)&gt;0,SUBTOTAL(9,CK29:CK33),"")</f>
        <v/>
      </c>
      <c r="CL28" s="34" t="str">
        <f t="shared" ref="CL28" si="572">IF(SUBTOTAL(9,CL29:CL33)&gt;0,SUBTOTAL(9,CL29:CL33),"")</f>
        <v/>
      </c>
      <c r="CM28" s="34" t="str">
        <f t="shared" ref="CM28" si="573">IF(SUBTOTAL(9,CM29:CM33)&gt;0,SUBTOTAL(9,CM29:CM33),"")</f>
        <v/>
      </c>
      <c r="CN28" s="34" t="str">
        <f t="shared" ref="CN28" si="574">IF(SUBTOTAL(9,CN29:CN33)&gt;0,SUBTOTAL(9,CN29:CN33),"")</f>
        <v/>
      </c>
      <c r="CO28" s="34" t="str">
        <f t="shared" ref="CO28" si="575">IF(SUBTOTAL(9,CO29:CO33)&gt;0,SUBTOTAL(9,CO29:CO33),"")</f>
        <v/>
      </c>
      <c r="CP28" s="34" t="str">
        <f t="shared" ref="CP28" si="576">IF(SUBTOTAL(9,CP29:CP33)&gt;0,SUBTOTAL(9,CP29:CP33),"")</f>
        <v/>
      </c>
      <c r="CQ28" s="34" t="str">
        <f t="shared" ref="CQ28" si="577">IF(SUBTOTAL(9,CQ29:CQ33)&gt;0,SUBTOTAL(9,CQ29:CQ33),"")</f>
        <v/>
      </c>
      <c r="CR28" s="34" t="str">
        <f t="shared" ref="CR28" si="578">IF(SUBTOTAL(9,CR29:CR33)&gt;0,SUBTOTAL(9,CR29:CR33),"")</f>
        <v/>
      </c>
      <c r="CS28" s="34" t="str">
        <f t="shared" ref="CS28" si="579">IF(SUBTOTAL(9,CS29:CS33)&gt;0,SUBTOTAL(9,CS29:CS33),"")</f>
        <v/>
      </c>
      <c r="CT28" s="33" t="str">
        <f t="shared" ref="CT28" si="580">IF(SUBTOTAL(9,CT29:CT33)&gt;0,SUBTOTAL(9,CT29:CT33),"")</f>
        <v/>
      </c>
      <c r="CU28" s="34" t="str">
        <f t="shared" ref="CU28" si="581">IF(SUBTOTAL(9,CU29:CU33)&gt;0,SUBTOTAL(9,CU29:CU33),"")</f>
        <v/>
      </c>
      <c r="CV28" s="34" t="str">
        <f t="shared" ref="CV28" si="582">IF(SUBTOTAL(9,CV29:CV33)&gt;0,SUBTOTAL(9,CV29:CV33),"")</f>
        <v/>
      </c>
      <c r="CW28" s="34" t="str">
        <f t="shared" ref="CW28" si="583">IF(SUBTOTAL(9,CW29:CW33)&gt;0,SUBTOTAL(9,CW29:CW33),"")</f>
        <v/>
      </c>
      <c r="CX28" s="34" t="str">
        <f t="shared" ref="CX28" si="584">IF(SUBTOTAL(9,CX29:CX33)&gt;0,SUBTOTAL(9,CX29:CX33),"")</f>
        <v/>
      </c>
      <c r="CY28" s="34" t="str">
        <f t="shared" ref="CY28" si="585">IF(SUBTOTAL(9,CY29:CY33)&gt;0,SUBTOTAL(9,CY29:CY33),"")</f>
        <v/>
      </c>
      <c r="CZ28" s="33" t="str">
        <f t="shared" ref="CZ28" si="586">IF(SUBTOTAL(9,CZ29:CZ33)&gt;0,SUBTOTAL(9,CZ29:CZ33),"")</f>
        <v/>
      </c>
      <c r="DA28" s="33" t="str">
        <f t="shared" ref="DA28" si="587">IF(SUBTOTAL(9,DA29:DA33)&gt;0,SUBTOTAL(9,DA29:DA33),"")</f>
        <v/>
      </c>
      <c r="DB28" s="34" t="str">
        <f t="shared" ref="DB28" si="588">IF(SUBTOTAL(9,DB29:DB33)&gt;0,SUBTOTAL(9,DB29:DB33),"")</f>
        <v/>
      </c>
      <c r="DC28" s="34" t="str">
        <f t="shared" ref="DC28" si="589">IF(SUBTOTAL(9,DC29:DC33)&gt;0,SUBTOTAL(9,DC29:DC33),"")</f>
        <v/>
      </c>
      <c r="DD28" s="34" t="str">
        <f t="shared" ref="DD28" si="590">IF(SUBTOTAL(9,DD29:DD33)&gt;0,SUBTOTAL(9,DD29:DD33),"")</f>
        <v/>
      </c>
      <c r="DE28" s="34" t="str">
        <f t="shared" ref="DE28" si="591">IF(SUBTOTAL(9,DE29:DE33)&gt;0,SUBTOTAL(9,DE29:DE33),"")</f>
        <v/>
      </c>
      <c r="DF28" s="34" t="str">
        <f t="shared" ref="DF28" si="592">IF(SUBTOTAL(9,DF29:DF33)&gt;0,SUBTOTAL(9,DF29:DF33),"")</f>
        <v/>
      </c>
      <c r="DG28" s="34" t="str">
        <f t="shared" ref="DG28" si="593">IF(SUBTOTAL(9,DG29:DG33)&gt;0,SUBTOTAL(9,DG29:DG33),"")</f>
        <v/>
      </c>
      <c r="DH28" s="34" t="str">
        <f t="shared" ref="DH28" si="594">IF(SUBTOTAL(9,DH29:DH33)&gt;0,SUBTOTAL(9,DH29:DH33),"")</f>
        <v/>
      </c>
      <c r="DI28" s="34" t="str">
        <f t="shared" ref="DI28" si="595">IF(SUBTOTAL(9,DI29:DI33)&gt;0,SUBTOTAL(9,DI29:DI33),"")</f>
        <v/>
      </c>
      <c r="DJ28" s="34" t="str">
        <f t="shared" ref="DJ28" si="596">IF(SUBTOTAL(9,DJ29:DJ33)&gt;0,SUBTOTAL(9,DJ29:DJ33),"")</f>
        <v/>
      </c>
      <c r="DK28" s="34" t="str">
        <f t="shared" ref="DK28" si="597">IF(SUBTOTAL(9,DK29:DK33)&gt;0,SUBTOTAL(9,DK29:DK33),"")</f>
        <v/>
      </c>
      <c r="DL28" s="34" t="str">
        <f t="shared" ref="DL28" si="598">IF(SUBTOTAL(9,DL29:DL33)&gt;0,SUBTOTAL(9,DL29:DL33),"")</f>
        <v/>
      </c>
      <c r="DM28" s="34" t="str">
        <f t="shared" ref="DM28" si="599">IF(SUBTOTAL(9,DM29:DM33)&gt;0,SUBTOTAL(9,DM29:DM33),"")</f>
        <v/>
      </c>
      <c r="DN28" s="34" t="str">
        <f t="shared" ref="DN28" si="600">IF(SUBTOTAL(9,DN29:DN33)&gt;0,SUBTOTAL(9,DN29:DN33),"")</f>
        <v/>
      </c>
      <c r="DO28" s="34" t="str">
        <f t="shared" ref="DO28" si="601">IF(SUBTOTAL(9,DO29:DO33)&gt;0,SUBTOTAL(9,DO29:DO33),"")</f>
        <v/>
      </c>
      <c r="DP28" s="34" t="str">
        <f t="shared" ref="DP28" si="602">IF(SUBTOTAL(9,DP29:DP33)&gt;0,SUBTOTAL(9,DP29:DP33),"")</f>
        <v/>
      </c>
      <c r="DQ28" s="34" t="str">
        <f t="shared" ref="DQ28" si="603">IF(SUBTOTAL(9,DQ29:DQ33)&gt;0,SUBTOTAL(9,DQ29:DQ33),"")</f>
        <v/>
      </c>
      <c r="DR28" s="34" t="str">
        <f t="shared" ref="DR28" si="604">IF(SUBTOTAL(9,DR29:DR33)&gt;0,SUBTOTAL(9,DR29:DR33),"")</f>
        <v/>
      </c>
      <c r="DS28" s="34">
        <f t="shared" ref="DS28" si="605">IF(SUBTOTAL(9,DS29:DS33)&gt;0,SUBTOTAL(9,DS29:DS33),"")</f>
        <v>1</v>
      </c>
      <c r="DT28" s="34" t="str">
        <f t="shared" ref="DT28" si="606">IF(SUBTOTAL(9,DT29:DT33)&gt;0,SUBTOTAL(9,DT29:DT33),"")</f>
        <v/>
      </c>
      <c r="DU28" s="34" t="str">
        <f t="shared" ref="DU28" si="607">IF(SUBTOTAL(9,DU29:DU33)&gt;0,SUBTOTAL(9,DU29:DU33),"")</f>
        <v/>
      </c>
      <c r="DV28" s="34" t="str">
        <f t="shared" ref="DV28" si="608">IF(SUBTOTAL(9,DV29:DV33)&gt;0,SUBTOTAL(9,DV29:DV33),"")</f>
        <v/>
      </c>
      <c r="DW28" s="34" t="str">
        <f t="shared" ref="DW28" si="609">IF(SUBTOTAL(9,DW29:DW33)&gt;0,SUBTOTAL(9,DW29:DW33),"")</f>
        <v/>
      </c>
      <c r="DX28" s="34" t="str">
        <f t="shared" ref="DX28" si="610">IF(SUBTOTAL(9,DX29:DX33)&gt;0,SUBTOTAL(9,DX29:DX33),"")</f>
        <v/>
      </c>
      <c r="DY28" s="34" t="str">
        <f t="shared" ref="DY28" si="611">IF(SUBTOTAL(9,DY29:DY33)&gt;0,SUBTOTAL(9,DY29:DY33),"")</f>
        <v/>
      </c>
      <c r="DZ28" s="33" t="str">
        <f t="shared" ref="DZ28" si="612">IF(SUBTOTAL(9,DZ29:DZ33)&gt;0,SUBTOTAL(9,DZ29:DZ33),"")</f>
        <v/>
      </c>
      <c r="EA28" s="34" t="str">
        <f t="shared" ref="EA28" si="613">IF(SUBTOTAL(9,EA29:EA33)&gt;0,SUBTOTAL(9,EA29:EA33),"")</f>
        <v/>
      </c>
      <c r="EB28" s="34" t="str">
        <f t="shared" ref="EB28" si="614">IF(SUBTOTAL(9,EB29:EB33)&gt;0,SUBTOTAL(9,EB29:EB33),"")</f>
        <v/>
      </c>
      <c r="EC28" s="34" t="str">
        <f t="shared" ref="EC28" si="615">IF(SUBTOTAL(9,EC29:EC33)&gt;0,SUBTOTAL(9,EC29:EC33),"")</f>
        <v/>
      </c>
      <c r="ED28" s="34" t="str">
        <f t="shared" ref="ED28" si="616">IF(SUBTOTAL(9,ED29:ED33)&gt;0,SUBTOTAL(9,ED29:ED33),"")</f>
        <v/>
      </c>
      <c r="EE28" s="34" t="str">
        <f t="shared" ref="EE28" si="617">IF(SUBTOTAL(9,EE29:EE33)&gt;0,SUBTOTAL(9,EE29:EE33),"")</f>
        <v/>
      </c>
      <c r="EF28" s="34" t="str">
        <f t="shared" ref="EF28" si="618">IF(SUBTOTAL(9,EF29:EF33)&gt;0,SUBTOTAL(9,EF29:EF33),"")</f>
        <v/>
      </c>
      <c r="EG28" s="34" t="str">
        <f t="shared" ref="EG28" si="619">IF(SUBTOTAL(9,EG29:EG33)&gt;0,SUBTOTAL(9,EG29:EG33),"")</f>
        <v/>
      </c>
      <c r="EH28" s="34" t="str">
        <f t="shared" ref="EH28" si="620">IF(SUBTOTAL(9,EH29:EH33)&gt;0,SUBTOTAL(9,EH29:EH33),"")</f>
        <v/>
      </c>
      <c r="EI28" s="34" t="str">
        <f t="shared" ref="EI28" si="621">IF(SUBTOTAL(9,EI29:EI33)&gt;0,SUBTOTAL(9,EI29:EI33),"")</f>
        <v/>
      </c>
      <c r="EJ28" s="34" t="str">
        <f t="shared" ref="EJ28" si="622">IF(SUBTOTAL(9,EJ29:EJ33)&gt;0,SUBTOTAL(9,EJ29:EJ33),"")</f>
        <v/>
      </c>
      <c r="EK28" s="34" t="str">
        <f t="shared" ref="EK28" si="623">IF(SUBTOTAL(9,EK29:EK33)&gt;0,SUBTOTAL(9,EK29:EK33),"")</f>
        <v/>
      </c>
      <c r="EL28" s="34" t="str">
        <f t="shared" ref="EL28" si="624">IF(SUBTOTAL(9,EL29:EL33)&gt;0,SUBTOTAL(9,EL29:EL33),"")</f>
        <v/>
      </c>
      <c r="EM28" s="34" t="str">
        <f t="shared" ref="EM28" si="625">IF(SUBTOTAL(9,EM29:EM33)&gt;0,SUBTOTAL(9,EM29:EM33),"")</f>
        <v/>
      </c>
      <c r="EN28" s="34" t="str">
        <f t="shared" ref="EN28" si="626">IF(SUBTOTAL(9,EN29:EN33)&gt;0,SUBTOTAL(9,EN29:EN33),"")</f>
        <v/>
      </c>
      <c r="EO28" s="34" t="str">
        <f t="shared" ref="EO28" si="627">IF(SUBTOTAL(9,EO29:EO33)&gt;0,SUBTOTAL(9,EO29:EO33),"")</f>
        <v/>
      </c>
      <c r="EP28" s="34" t="str">
        <f t="shared" ref="EP28" si="628">IF(SUBTOTAL(9,EP29:EP33)&gt;0,SUBTOTAL(9,EP29:EP33),"")</f>
        <v/>
      </c>
      <c r="EQ28" s="34" t="str">
        <f t="shared" ref="EQ28" si="629">IF(SUBTOTAL(9,EQ29:EQ33)&gt;0,SUBTOTAL(9,EQ29:EQ33),"")</f>
        <v/>
      </c>
      <c r="ER28" s="34" t="str">
        <f t="shared" ref="ER28" si="630">IF(SUBTOTAL(9,ER29:ER33)&gt;0,SUBTOTAL(9,ER29:ER33),"")</f>
        <v/>
      </c>
      <c r="ES28" s="34" t="str">
        <f t="shared" ref="ES28" si="631">IF(SUBTOTAL(9,ES29:ES33)&gt;0,SUBTOTAL(9,ES29:ES33),"")</f>
        <v/>
      </c>
      <c r="ET28" s="34" t="str">
        <f t="shared" ref="ET28" si="632">IF(SUBTOTAL(9,ET29:ET33)&gt;0,SUBTOTAL(9,ET29:ET33),"")</f>
        <v/>
      </c>
      <c r="EU28" s="34" t="str">
        <f t="shared" ref="EU28" si="633">IF(SUBTOTAL(9,EU29:EU33)&gt;0,SUBTOTAL(9,EU29:EU33),"")</f>
        <v/>
      </c>
      <c r="EV28" s="34" t="str">
        <f t="shared" ref="EV28" si="634">IF(SUBTOTAL(9,EV29:EV33)&gt;0,SUBTOTAL(9,EV29:EV33),"")</f>
        <v/>
      </c>
      <c r="EW28" s="34" t="str">
        <f t="shared" ref="EW28" si="635">IF(SUBTOTAL(9,EW29:EW33)&gt;0,SUBTOTAL(9,EW29:EW33),"")</f>
        <v/>
      </c>
      <c r="EX28" s="34" t="str">
        <f t="shared" ref="EX28" si="636">IF(SUBTOTAL(9,EX29:EX33)&gt;0,SUBTOTAL(9,EX29:EX33),"")</f>
        <v/>
      </c>
      <c r="EY28" s="33" t="str">
        <f t="shared" ref="EY28" si="637">IF(SUBTOTAL(9,EY29:EY33)&gt;0,SUBTOTAL(9,EY29:EY33),"")</f>
        <v/>
      </c>
      <c r="EZ28" s="34" t="str">
        <f t="shared" ref="EZ28" si="638">IF(SUBTOTAL(9,EZ29:EZ33)&gt;0,SUBTOTAL(9,EZ29:EZ33),"")</f>
        <v/>
      </c>
      <c r="FA28" s="34" t="str">
        <f t="shared" ref="FA28" si="639">IF(SUBTOTAL(9,FA29:FA33)&gt;0,SUBTOTAL(9,FA29:FA33),"")</f>
        <v/>
      </c>
      <c r="FB28" s="34" t="str">
        <f t="shared" ref="FB28" si="640">IF(SUBTOTAL(9,FB29:FB33)&gt;0,SUBTOTAL(9,FB29:FB33),"")</f>
        <v/>
      </c>
      <c r="FC28" s="34" t="str">
        <f t="shared" ref="FC28" si="641">IF(SUBTOTAL(9,FC29:FC33)&gt;0,SUBTOTAL(9,FC29:FC33),"")</f>
        <v/>
      </c>
      <c r="FD28" s="34" t="str">
        <f t="shared" ref="FD28" si="642">IF(SUBTOTAL(9,FD29:FD33)&gt;0,SUBTOTAL(9,FD29:FD33),"")</f>
        <v/>
      </c>
      <c r="FE28" s="34" t="str">
        <f t="shared" ref="FE28" si="643">IF(SUBTOTAL(9,FE29:FE33)&gt;0,SUBTOTAL(9,FE29:FE33),"")</f>
        <v/>
      </c>
      <c r="FF28" s="34" t="str">
        <f t="shared" ref="FF28" si="644">IF(SUBTOTAL(9,FF29:FF33)&gt;0,SUBTOTAL(9,FF29:FF33),"")</f>
        <v/>
      </c>
      <c r="FG28" s="34" t="str">
        <f t="shared" ref="FG28" si="645">IF(SUBTOTAL(9,FG29:FG33)&gt;0,SUBTOTAL(9,FG29:FG33),"")</f>
        <v/>
      </c>
      <c r="FH28" s="34" t="str">
        <f t="shared" ref="FH28" si="646">IF(SUBTOTAL(9,FH29:FH33)&gt;0,SUBTOTAL(9,FH29:FH33),"")</f>
        <v/>
      </c>
      <c r="FI28" s="34" t="str">
        <f t="shared" ref="FI28" si="647">IF(SUBTOTAL(9,FI29:FI33)&gt;0,SUBTOTAL(9,FI29:FI33),"")</f>
        <v/>
      </c>
      <c r="FJ28" s="34" t="str">
        <f t="shared" ref="FJ28" si="648">IF(SUBTOTAL(9,FJ29:FJ33)&gt;0,SUBTOTAL(9,FJ29:FJ33),"")</f>
        <v/>
      </c>
      <c r="FK28" s="34" t="str">
        <f t="shared" ref="FK28" si="649">IF(SUBTOTAL(9,FK29:FK33)&gt;0,SUBTOTAL(9,FK29:FK33),"")</f>
        <v/>
      </c>
      <c r="FL28" s="34" t="str">
        <f t="shared" ref="FL28" si="650">IF(SUBTOTAL(9,FL29:FL33)&gt;0,SUBTOTAL(9,FL29:FL33),"")</f>
        <v/>
      </c>
      <c r="FM28" s="34" t="str">
        <f t="shared" ref="FM28" si="651">IF(SUBTOTAL(9,FM29:FM33)&gt;0,SUBTOTAL(9,FM29:FM33),"")</f>
        <v/>
      </c>
      <c r="FN28" s="34" t="str">
        <f t="shared" ref="FN28" si="652">IF(SUBTOTAL(9,FN29:FN33)&gt;0,SUBTOTAL(9,FN29:FN33),"")</f>
        <v/>
      </c>
      <c r="FO28" s="34" t="str">
        <f t="shared" ref="FO28" si="653">IF(SUBTOTAL(9,FO29:FO33)&gt;0,SUBTOTAL(9,FO29:FO33),"")</f>
        <v/>
      </c>
      <c r="FP28" s="34" t="str">
        <f t="shared" ref="FP28" si="654">IF(SUBTOTAL(9,FP29:FP33)&gt;0,SUBTOTAL(9,FP29:FP33),"")</f>
        <v/>
      </c>
      <c r="FQ28" s="92" t="str">
        <f t="shared" ref="FQ28" si="655">IF(SUBTOTAL(9,FQ29:FQ33)&gt;0,SUBTOTAL(9,FQ29:FQ33),"")</f>
        <v/>
      </c>
      <c r="FR28" s="8"/>
      <c r="FS28" s="9" t="s">
        <v>131</v>
      </c>
      <c r="FT28" s="9" t="str">
        <f t="shared" si="151"/>
        <v/>
      </c>
    </row>
    <row r="29" spans="1:176" s="9" customFormat="1" ht="12" hidden="1" customHeight="1" outlineLevel="1">
      <c r="A29" s="122" t="s">
        <v>4</v>
      </c>
      <c r="B29" s="123" t="s">
        <v>5</v>
      </c>
      <c r="C29" s="124" t="str">
        <f t="shared" si="9"/>
        <v>1 days</v>
      </c>
      <c r="D29" s="13" t="str">
        <f>A9&amp;" "&amp;A28</f>
        <v>1. Opening Balances  1.4 Sign-off</v>
      </c>
      <c r="E29" s="51"/>
      <c r="F29" s="35"/>
      <c r="G29" s="35"/>
      <c r="H29" s="35"/>
      <c r="I29" s="35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35"/>
      <c r="V29" s="35"/>
      <c r="W29" s="35"/>
      <c r="X29" s="35"/>
      <c r="Y29" s="35"/>
      <c r="Z29" s="35"/>
      <c r="AA29" s="35"/>
      <c r="AB29" s="35"/>
      <c r="AC29" s="35"/>
      <c r="AD29" s="35"/>
      <c r="AE29" s="35"/>
      <c r="AF29" s="35"/>
      <c r="AG29" s="35"/>
      <c r="AH29" s="35"/>
      <c r="AI29" s="35"/>
      <c r="AJ29" s="35"/>
      <c r="AK29" s="35"/>
      <c r="AL29" s="36"/>
      <c r="AM29" s="36"/>
      <c r="AN29" s="36"/>
      <c r="AO29" s="36"/>
      <c r="AP29" s="36"/>
      <c r="AQ29" s="36"/>
      <c r="AR29" s="36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5"/>
      <c r="BM29" s="35"/>
      <c r="BN29" s="35"/>
      <c r="BO29" s="35"/>
      <c r="BP29" s="35"/>
      <c r="BQ29" s="35"/>
      <c r="BR29" s="35"/>
      <c r="BS29" s="35"/>
      <c r="BT29" s="35"/>
      <c r="BU29" s="35"/>
      <c r="BV29" s="35"/>
      <c r="BW29" s="35"/>
      <c r="BX29" s="35"/>
      <c r="BY29" s="35"/>
      <c r="BZ29" s="35"/>
      <c r="CA29" s="35"/>
      <c r="CB29" s="35"/>
      <c r="CC29" s="35"/>
      <c r="CD29" s="35"/>
      <c r="CE29" s="35"/>
      <c r="CF29" s="35"/>
      <c r="CG29" s="35"/>
      <c r="CH29" s="35"/>
      <c r="CI29" s="35"/>
      <c r="CJ29" s="35"/>
      <c r="CK29" s="35"/>
      <c r="CL29" s="35"/>
      <c r="CM29" s="35"/>
      <c r="CN29" s="35"/>
      <c r="CO29" s="35"/>
      <c r="CP29" s="35"/>
      <c r="CQ29" s="35"/>
      <c r="CR29" s="35"/>
      <c r="CS29" s="35"/>
      <c r="CT29" s="36"/>
      <c r="CU29" s="35"/>
      <c r="CV29" s="35"/>
      <c r="CW29" s="35"/>
      <c r="CX29" s="35"/>
      <c r="CY29" s="35"/>
      <c r="CZ29" s="36"/>
      <c r="DA29" s="36"/>
      <c r="DB29" s="35"/>
      <c r="DC29" s="35"/>
      <c r="DD29" s="35"/>
      <c r="DE29" s="35"/>
      <c r="DF29" s="35"/>
      <c r="DG29" s="35"/>
      <c r="DH29" s="35"/>
      <c r="DI29" s="35"/>
      <c r="DJ29" s="35"/>
      <c r="DK29" s="35"/>
      <c r="DL29" s="35"/>
      <c r="DM29" s="35"/>
      <c r="DN29" s="35"/>
      <c r="DO29" s="35"/>
      <c r="DP29" s="35"/>
      <c r="DQ29" s="35"/>
      <c r="DR29" s="35"/>
      <c r="DS29" s="35">
        <v>0.5</v>
      </c>
      <c r="DT29" s="35"/>
      <c r="DU29" s="35"/>
      <c r="DV29" s="35"/>
      <c r="DW29" s="35"/>
      <c r="DX29" s="35"/>
      <c r="DY29" s="35"/>
      <c r="DZ29" s="36"/>
      <c r="EA29" s="35"/>
      <c r="EB29" s="35"/>
      <c r="EC29" s="35"/>
      <c r="ED29" s="35"/>
      <c r="EE29" s="35"/>
      <c r="EF29" s="35"/>
      <c r="EG29" s="35"/>
      <c r="EH29" s="35"/>
      <c r="EI29" s="35"/>
      <c r="EJ29" s="35"/>
      <c r="EK29" s="35"/>
      <c r="EL29" s="35"/>
      <c r="EM29" s="35"/>
      <c r="EN29" s="35"/>
      <c r="EO29" s="35"/>
      <c r="EP29" s="35"/>
      <c r="EQ29" s="35"/>
      <c r="ER29" s="35"/>
      <c r="ES29" s="35"/>
      <c r="ET29" s="35"/>
      <c r="EU29" s="35"/>
      <c r="EV29" s="35"/>
      <c r="EW29" s="35"/>
      <c r="EX29" s="35"/>
      <c r="EY29" s="36"/>
      <c r="EZ29" s="35"/>
      <c r="FA29" s="35"/>
      <c r="FB29" s="35"/>
      <c r="FC29" s="35"/>
      <c r="FD29" s="35"/>
      <c r="FE29" s="35"/>
      <c r="FF29" s="35"/>
      <c r="FG29" s="35"/>
      <c r="FH29" s="35"/>
      <c r="FI29" s="35"/>
      <c r="FJ29" s="35"/>
      <c r="FK29" s="35"/>
      <c r="FL29" s="35"/>
      <c r="FM29" s="35"/>
      <c r="FN29" s="35"/>
      <c r="FO29" s="35"/>
      <c r="FP29" s="35"/>
      <c r="FQ29" s="52"/>
      <c r="FR29" s="8"/>
      <c r="FS29" s="9" t="s">
        <v>13</v>
      </c>
      <c r="FT29" s="9" t="str">
        <f t="shared" si="151"/>
        <v>1. Opening Balances  1.4 Sign-offKerry McConnell</v>
      </c>
    </row>
    <row r="30" spans="1:176" s="9" customFormat="1" ht="12" hidden="1" customHeight="1" outlineLevel="1">
      <c r="A30" s="122" t="s">
        <v>4</v>
      </c>
      <c r="B30" s="123" t="s">
        <v>6</v>
      </c>
      <c r="C30" s="124" t="str">
        <f t="shared" si="9"/>
        <v>1 days</v>
      </c>
      <c r="D30" s="13" t="str">
        <f>A9&amp;" "&amp;A28</f>
        <v>1. Opening Balances  1.4 Sign-off</v>
      </c>
      <c r="E30" s="51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35"/>
      <c r="AD30" s="35"/>
      <c r="AE30" s="35"/>
      <c r="AF30" s="35"/>
      <c r="AG30" s="35"/>
      <c r="AH30" s="35"/>
      <c r="AI30" s="35"/>
      <c r="AJ30" s="35"/>
      <c r="AK30" s="35"/>
      <c r="AL30" s="36"/>
      <c r="AM30" s="36"/>
      <c r="AN30" s="36"/>
      <c r="AO30" s="36"/>
      <c r="AP30" s="36"/>
      <c r="AQ30" s="36"/>
      <c r="AR30" s="36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5"/>
      <c r="BM30" s="35"/>
      <c r="BN30" s="35"/>
      <c r="BO30" s="35"/>
      <c r="BP30" s="35"/>
      <c r="BQ30" s="35"/>
      <c r="BR30" s="35"/>
      <c r="BS30" s="35"/>
      <c r="BT30" s="35"/>
      <c r="BU30" s="35"/>
      <c r="BV30" s="35"/>
      <c r="BW30" s="35"/>
      <c r="BX30" s="35"/>
      <c r="BY30" s="35"/>
      <c r="BZ30" s="35"/>
      <c r="CA30" s="35"/>
      <c r="CB30" s="35"/>
      <c r="CC30" s="35"/>
      <c r="CD30" s="35"/>
      <c r="CE30" s="35"/>
      <c r="CF30" s="35"/>
      <c r="CG30" s="35"/>
      <c r="CH30" s="35"/>
      <c r="CI30" s="35"/>
      <c r="CJ30" s="35"/>
      <c r="CK30" s="35"/>
      <c r="CL30" s="35"/>
      <c r="CM30" s="35"/>
      <c r="CN30" s="35"/>
      <c r="CO30" s="35"/>
      <c r="CP30" s="35"/>
      <c r="CQ30" s="35"/>
      <c r="CR30" s="35"/>
      <c r="CS30" s="35"/>
      <c r="CT30" s="36"/>
      <c r="CU30" s="35"/>
      <c r="CV30" s="35"/>
      <c r="CW30" s="35"/>
      <c r="CX30" s="35"/>
      <c r="CY30" s="35"/>
      <c r="CZ30" s="36"/>
      <c r="DA30" s="36"/>
      <c r="DB30" s="35"/>
      <c r="DC30" s="35"/>
      <c r="DD30" s="35"/>
      <c r="DE30" s="35"/>
      <c r="DF30" s="35"/>
      <c r="DG30" s="35"/>
      <c r="DH30" s="35"/>
      <c r="DI30" s="35"/>
      <c r="DJ30" s="35"/>
      <c r="DK30" s="35"/>
      <c r="DL30" s="35"/>
      <c r="DM30" s="35"/>
      <c r="DN30" s="35"/>
      <c r="DO30" s="35"/>
      <c r="DP30" s="35"/>
      <c r="DQ30" s="35"/>
      <c r="DR30" s="35"/>
      <c r="DS30" s="35">
        <v>0.5</v>
      </c>
      <c r="DT30" s="35"/>
      <c r="DU30" s="35"/>
      <c r="DV30" s="35"/>
      <c r="DW30" s="35"/>
      <c r="DX30" s="35"/>
      <c r="DY30" s="35"/>
      <c r="DZ30" s="36"/>
      <c r="EA30" s="35"/>
      <c r="EB30" s="35"/>
      <c r="EC30" s="35"/>
      <c r="ED30" s="35"/>
      <c r="EE30" s="35"/>
      <c r="EF30" s="35"/>
      <c r="EG30" s="35"/>
      <c r="EH30" s="35"/>
      <c r="EI30" s="35"/>
      <c r="EJ30" s="35"/>
      <c r="EK30" s="35"/>
      <c r="EL30" s="35"/>
      <c r="EM30" s="35"/>
      <c r="EN30" s="35"/>
      <c r="EO30" s="35"/>
      <c r="EP30" s="35"/>
      <c r="EQ30" s="35"/>
      <c r="ER30" s="35"/>
      <c r="ES30" s="35"/>
      <c r="ET30" s="35"/>
      <c r="EU30" s="35"/>
      <c r="EV30" s="35"/>
      <c r="EW30" s="35"/>
      <c r="EX30" s="35"/>
      <c r="EY30" s="36"/>
      <c r="EZ30" s="35"/>
      <c r="FA30" s="35"/>
      <c r="FB30" s="35"/>
      <c r="FC30" s="35"/>
      <c r="FD30" s="35"/>
      <c r="FE30" s="35"/>
      <c r="FF30" s="35"/>
      <c r="FG30" s="35"/>
      <c r="FH30" s="35"/>
      <c r="FI30" s="35"/>
      <c r="FJ30" s="35"/>
      <c r="FK30" s="35"/>
      <c r="FL30" s="35"/>
      <c r="FM30" s="35"/>
      <c r="FN30" s="35"/>
      <c r="FO30" s="35"/>
      <c r="FP30" s="35"/>
      <c r="FQ30" s="52"/>
      <c r="FR30" s="8"/>
      <c r="FS30" s="9" t="s">
        <v>13</v>
      </c>
      <c r="FT30" s="9" t="str">
        <f t="shared" si="151"/>
        <v>1. Opening Balances  1.4 Sign-offPeter Sherry</v>
      </c>
    </row>
    <row r="31" spans="1:176" s="9" customFormat="1" ht="12" hidden="1" customHeight="1" outlineLevel="1">
      <c r="A31" s="125" t="s">
        <v>50</v>
      </c>
      <c r="B31" s="123"/>
      <c r="C31" s="124" t="str">
        <f t="shared" si="9"/>
        <v>0 days</v>
      </c>
      <c r="D31" s="13" t="str">
        <f>A9&amp;" "&amp;A28</f>
        <v>1. Opening Balances  1.4 Sign-off</v>
      </c>
      <c r="E31" s="51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35"/>
      <c r="AD31" s="35"/>
      <c r="AE31" s="35"/>
      <c r="AF31" s="35"/>
      <c r="AG31" s="35"/>
      <c r="AH31" s="35"/>
      <c r="AI31" s="35"/>
      <c r="AJ31" s="35"/>
      <c r="AK31" s="35"/>
      <c r="AL31" s="36"/>
      <c r="AM31" s="36"/>
      <c r="AN31" s="36"/>
      <c r="AO31" s="36"/>
      <c r="AP31" s="36"/>
      <c r="AQ31" s="36"/>
      <c r="AR31" s="36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5"/>
      <c r="BM31" s="35"/>
      <c r="BN31" s="35"/>
      <c r="BO31" s="35"/>
      <c r="BP31" s="35"/>
      <c r="BQ31" s="35"/>
      <c r="BR31" s="35"/>
      <c r="BS31" s="35"/>
      <c r="BT31" s="35"/>
      <c r="BU31" s="35"/>
      <c r="BV31" s="35"/>
      <c r="BW31" s="35"/>
      <c r="BX31" s="35"/>
      <c r="BY31" s="35"/>
      <c r="BZ31" s="35"/>
      <c r="CA31" s="35"/>
      <c r="CB31" s="35"/>
      <c r="CC31" s="35"/>
      <c r="CD31" s="35"/>
      <c r="CE31" s="35"/>
      <c r="CF31" s="35"/>
      <c r="CG31" s="35"/>
      <c r="CH31" s="35"/>
      <c r="CI31" s="35"/>
      <c r="CJ31" s="35"/>
      <c r="CK31" s="35"/>
      <c r="CL31" s="35"/>
      <c r="CM31" s="35"/>
      <c r="CN31" s="35"/>
      <c r="CO31" s="35"/>
      <c r="CP31" s="35"/>
      <c r="CQ31" s="35"/>
      <c r="CR31" s="35"/>
      <c r="CS31" s="35"/>
      <c r="CT31" s="36"/>
      <c r="CU31" s="35"/>
      <c r="CV31" s="35"/>
      <c r="CW31" s="35"/>
      <c r="CX31" s="35"/>
      <c r="CY31" s="35"/>
      <c r="CZ31" s="36"/>
      <c r="DA31" s="36"/>
      <c r="DB31" s="35"/>
      <c r="DC31" s="35"/>
      <c r="DD31" s="35"/>
      <c r="DE31" s="35"/>
      <c r="DF31" s="35"/>
      <c r="DG31" s="35"/>
      <c r="DH31" s="35"/>
      <c r="DI31" s="35"/>
      <c r="DJ31" s="35"/>
      <c r="DK31" s="35"/>
      <c r="DL31" s="35"/>
      <c r="DM31" s="35"/>
      <c r="DN31" s="35"/>
      <c r="DO31" s="35"/>
      <c r="DP31" s="35"/>
      <c r="DQ31" s="35"/>
      <c r="DR31" s="35"/>
      <c r="DS31" s="35"/>
      <c r="DT31" s="35"/>
      <c r="DU31" s="35"/>
      <c r="DV31" s="35"/>
      <c r="DW31" s="35"/>
      <c r="DX31" s="35"/>
      <c r="DY31" s="35"/>
      <c r="DZ31" s="36"/>
      <c r="EA31" s="35"/>
      <c r="EB31" s="35"/>
      <c r="EC31" s="35"/>
      <c r="ED31" s="35"/>
      <c r="EE31" s="35"/>
      <c r="EF31" s="35"/>
      <c r="EG31" s="35"/>
      <c r="EH31" s="35"/>
      <c r="EI31" s="35"/>
      <c r="EJ31" s="35"/>
      <c r="EK31" s="35"/>
      <c r="EL31" s="35"/>
      <c r="EM31" s="35"/>
      <c r="EN31" s="35"/>
      <c r="EO31" s="35"/>
      <c r="EP31" s="35"/>
      <c r="EQ31" s="35"/>
      <c r="ER31" s="35"/>
      <c r="ES31" s="35"/>
      <c r="ET31" s="35"/>
      <c r="EU31" s="35"/>
      <c r="EV31" s="35"/>
      <c r="EW31" s="35"/>
      <c r="EX31" s="35"/>
      <c r="EY31" s="36"/>
      <c r="EZ31" s="35"/>
      <c r="FA31" s="35"/>
      <c r="FB31" s="35"/>
      <c r="FC31" s="35"/>
      <c r="FD31" s="35"/>
      <c r="FE31" s="35"/>
      <c r="FF31" s="35"/>
      <c r="FG31" s="35"/>
      <c r="FH31" s="35"/>
      <c r="FI31" s="35"/>
      <c r="FJ31" s="35"/>
      <c r="FK31" s="35"/>
      <c r="FL31" s="35"/>
      <c r="FM31" s="35"/>
      <c r="FN31" s="35"/>
      <c r="FO31" s="35"/>
      <c r="FP31" s="35"/>
      <c r="FQ31" s="52"/>
      <c r="FR31" s="8"/>
      <c r="FS31" s="9" t="s">
        <v>13</v>
      </c>
      <c r="FT31" s="9" t="str">
        <f t="shared" si="151"/>
        <v>1. Opening Balances  1.4 Sign-off</v>
      </c>
    </row>
    <row r="32" spans="1:176" s="9" customFormat="1" ht="12" hidden="1" customHeight="1" outlineLevel="1">
      <c r="A32" s="125" t="s">
        <v>50</v>
      </c>
      <c r="B32" s="123"/>
      <c r="C32" s="124" t="str">
        <f t="shared" si="9"/>
        <v>0 days</v>
      </c>
      <c r="D32" s="13" t="str">
        <f>A9&amp;" "&amp;A28</f>
        <v>1. Opening Balances  1.4 Sign-off</v>
      </c>
      <c r="E32" s="51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35"/>
      <c r="Z32" s="35"/>
      <c r="AA32" s="35"/>
      <c r="AB32" s="35"/>
      <c r="AC32" s="35"/>
      <c r="AD32" s="35"/>
      <c r="AE32" s="35"/>
      <c r="AF32" s="35"/>
      <c r="AG32" s="35"/>
      <c r="AH32" s="35"/>
      <c r="AI32" s="35"/>
      <c r="AJ32" s="35"/>
      <c r="AK32" s="35"/>
      <c r="AL32" s="36"/>
      <c r="AM32" s="36"/>
      <c r="AN32" s="36"/>
      <c r="AO32" s="36"/>
      <c r="AP32" s="36"/>
      <c r="AQ32" s="36"/>
      <c r="AR32" s="36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5"/>
      <c r="BM32" s="35"/>
      <c r="BN32" s="35"/>
      <c r="BO32" s="35"/>
      <c r="BP32" s="35"/>
      <c r="BQ32" s="35"/>
      <c r="BR32" s="35"/>
      <c r="BS32" s="35"/>
      <c r="BT32" s="35"/>
      <c r="BU32" s="35"/>
      <c r="BV32" s="35"/>
      <c r="BW32" s="35"/>
      <c r="BX32" s="35"/>
      <c r="BY32" s="35"/>
      <c r="BZ32" s="35"/>
      <c r="CA32" s="35"/>
      <c r="CB32" s="35"/>
      <c r="CC32" s="35"/>
      <c r="CD32" s="35"/>
      <c r="CE32" s="35"/>
      <c r="CF32" s="35"/>
      <c r="CG32" s="35"/>
      <c r="CH32" s="35"/>
      <c r="CI32" s="35"/>
      <c r="CJ32" s="35"/>
      <c r="CK32" s="35"/>
      <c r="CL32" s="35"/>
      <c r="CM32" s="35"/>
      <c r="CN32" s="35"/>
      <c r="CO32" s="35"/>
      <c r="CP32" s="35"/>
      <c r="CQ32" s="35"/>
      <c r="CR32" s="35"/>
      <c r="CS32" s="35"/>
      <c r="CT32" s="36"/>
      <c r="CU32" s="35"/>
      <c r="CV32" s="35"/>
      <c r="CW32" s="35"/>
      <c r="CX32" s="35"/>
      <c r="CY32" s="35"/>
      <c r="CZ32" s="36"/>
      <c r="DA32" s="36"/>
      <c r="DB32" s="35"/>
      <c r="DC32" s="35"/>
      <c r="DD32" s="35"/>
      <c r="DE32" s="35"/>
      <c r="DF32" s="35"/>
      <c r="DG32" s="35"/>
      <c r="DH32" s="35"/>
      <c r="DI32" s="35"/>
      <c r="DJ32" s="35"/>
      <c r="DK32" s="35"/>
      <c r="DL32" s="35"/>
      <c r="DM32" s="35"/>
      <c r="DN32" s="35"/>
      <c r="DO32" s="35"/>
      <c r="DP32" s="35"/>
      <c r="DQ32" s="35"/>
      <c r="DR32" s="35"/>
      <c r="DS32" s="35"/>
      <c r="DT32" s="35"/>
      <c r="DU32" s="35"/>
      <c r="DV32" s="35"/>
      <c r="DW32" s="35"/>
      <c r="DX32" s="35"/>
      <c r="DY32" s="35"/>
      <c r="DZ32" s="36"/>
      <c r="EA32" s="35"/>
      <c r="EB32" s="35"/>
      <c r="EC32" s="35"/>
      <c r="ED32" s="35"/>
      <c r="EE32" s="35"/>
      <c r="EF32" s="35"/>
      <c r="EG32" s="35"/>
      <c r="EH32" s="35"/>
      <c r="EI32" s="35"/>
      <c r="EJ32" s="35"/>
      <c r="EK32" s="35"/>
      <c r="EL32" s="35"/>
      <c r="EM32" s="35"/>
      <c r="EN32" s="35"/>
      <c r="EO32" s="35"/>
      <c r="EP32" s="35"/>
      <c r="EQ32" s="35"/>
      <c r="ER32" s="35"/>
      <c r="ES32" s="35"/>
      <c r="ET32" s="35"/>
      <c r="EU32" s="35"/>
      <c r="EV32" s="35"/>
      <c r="EW32" s="35"/>
      <c r="EX32" s="35"/>
      <c r="EY32" s="36"/>
      <c r="EZ32" s="35"/>
      <c r="FA32" s="35"/>
      <c r="FB32" s="35"/>
      <c r="FC32" s="35"/>
      <c r="FD32" s="35"/>
      <c r="FE32" s="35"/>
      <c r="FF32" s="35"/>
      <c r="FG32" s="35"/>
      <c r="FH32" s="35"/>
      <c r="FI32" s="35"/>
      <c r="FJ32" s="35"/>
      <c r="FK32" s="35"/>
      <c r="FL32" s="35"/>
      <c r="FM32" s="35"/>
      <c r="FN32" s="35"/>
      <c r="FO32" s="35"/>
      <c r="FP32" s="35"/>
      <c r="FQ32" s="52"/>
      <c r="FR32" s="8"/>
      <c r="FS32" s="9" t="s">
        <v>13</v>
      </c>
      <c r="FT32" s="9" t="str">
        <f t="shared" si="151"/>
        <v>1. Opening Balances  1.4 Sign-off</v>
      </c>
    </row>
    <row r="33" spans="1:176" s="9" customFormat="1" ht="12" hidden="1" customHeight="1" outlineLevel="1">
      <c r="A33" s="126" t="s">
        <v>50</v>
      </c>
      <c r="B33" s="123"/>
      <c r="C33" s="124" t="str">
        <f t="shared" si="9"/>
        <v>0 days</v>
      </c>
      <c r="D33" s="13" t="str">
        <f>A9&amp;" "&amp;A28</f>
        <v>1. Opening Balances  1.4 Sign-off</v>
      </c>
      <c r="E33" s="51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35"/>
      <c r="AJ33" s="35"/>
      <c r="AK33" s="35"/>
      <c r="AL33" s="36"/>
      <c r="AM33" s="36"/>
      <c r="AN33" s="36"/>
      <c r="AO33" s="36"/>
      <c r="AP33" s="36"/>
      <c r="AQ33" s="36"/>
      <c r="AR33" s="36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5"/>
      <c r="BM33" s="35"/>
      <c r="BN33" s="35"/>
      <c r="BO33" s="35"/>
      <c r="BP33" s="35"/>
      <c r="BQ33" s="35"/>
      <c r="BR33" s="35"/>
      <c r="BS33" s="35"/>
      <c r="BT33" s="35"/>
      <c r="BU33" s="35"/>
      <c r="BV33" s="35"/>
      <c r="BW33" s="35"/>
      <c r="BX33" s="35"/>
      <c r="BY33" s="35"/>
      <c r="BZ33" s="35"/>
      <c r="CA33" s="35"/>
      <c r="CB33" s="35"/>
      <c r="CC33" s="35"/>
      <c r="CD33" s="35"/>
      <c r="CE33" s="35"/>
      <c r="CF33" s="35"/>
      <c r="CG33" s="35"/>
      <c r="CH33" s="35"/>
      <c r="CI33" s="35"/>
      <c r="CJ33" s="35"/>
      <c r="CK33" s="35"/>
      <c r="CL33" s="35"/>
      <c r="CM33" s="35"/>
      <c r="CN33" s="35"/>
      <c r="CO33" s="35"/>
      <c r="CP33" s="35"/>
      <c r="CQ33" s="35"/>
      <c r="CR33" s="35"/>
      <c r="CS33" s="35"/>
      <c r="CT33" s="36"/>
      <c r="CU33" s="35"/>
      <c r="CV33" s="35"/>
      <c r="CW33" s="35"/>
      <c r="CX33" s="35"/>
      <c r="CY33" s="35"/>
      <c r="CZ33" s="36"/>
      <c r="DA33" s="36"/>
      <c r="DB33" s="35"/>
      <c r="DC33" s="35"/>
      <c r="DD33" s="35"/>
      <c r="DE33" s="35"/>
      <c r="DF33" s="35"/>
      <c r="DG33" s="35"/>
      <c r="DH33" s="35"/>
      <c r="DI33" s="35"/>
      <c r="DJ33" s="35"/>
      <c r="DK33" s="35"/>
      <c r="DL33" s="35"/>
      <c r="DM33" s="35"/>
      <c r="DN33" s="35"/>
      <c r="DO33" s="35"/>
      <c r="DP33" s="35"/>
      <c r="DQ33" s="35"/>
      <c r="DR33" s="35"/>
      <c r="DS33" s="35"/>
      <c r="DT33" s="35"/>
      <c r="DU33" s="35"/>
      <c r="DV33" s="35"/>
      <c r="DW33" s="35"/>
      <c r="DX33" s="35"/>
      <c r="DY33" s="35"/>
      <c r="DZ33" s="36"/>
      <c r="EA33" s="35"/>
      <c r="EB33" s="35"/>
      <c r="EC33" s="35"/>
      <c r="ED33" s="35"/>
      <c r="EE33" s="35"/>
      <c r="EF33" s="35"/>
      <c r="EG33" s="35"/>
      <c r="EH33" s="35"/>
      <c r="EI33" s="35"/>
      <c r="EJ33" s="35"/>
      <c r="EK33" s="35"/>
      <c r="EL33" s="35"/>
      <c r="EM33" s="35"/>
      <c r="EN33" s="35"/>
      <c r="EO33" s="35"/>
      <c r="EP33" s="35"/>
      <c r="EQ33" s="35"/>
      <c r="ER33" s="35"/>
      <c r="ES33" s="35"/>
      <c r="ET33" s="35"/>
      <c r="EU33" s="35"/>
      <c r="EV33" s="35"/>
      <c r="EW33" s="35"/>
      <c r="EX33" s="35"/>
      <c r="EY33" s="36"/>
      <c r="EZ33" s="35"/>
      <c r="FA33" s="35"/>
      <c r="FB33" s="35"/>
      <c r="FC33" s="35"/>
      <c r="FD33" s="35"/>
      <c r="FE33" s="35"/>
      <c r="FF33" s="35"/>
      <c r="FG33" s="35"/>
      <c r="FH33" s="35"/>
      <c r="FI33" s="35"/>
      <c r="FJ33" s="35"/>
      <c r="FK33" s="35"/>
      <c r="FL33" s="35"/>
      <c r="FM33" s="35"/>
      <c r="FN33" s="35"/>
      <c r="FO33" s="35"/>
      <c r="FP33" s="35"/>
      <c r="FQ33" s="52"/>
      <c r="FR33" s="8"/>
      <c r="FS33" s="9" t="s">
        <v>13</v>
      </c>
      <c r="FT33" s="9" t="str">
        <f t="shared" si="151"/>
        <v>1. Opening Balances  1.4 Sign-off</v>
      </c>
    </row>
    <row r="34" spans="1:176" s="9" customFormat="1" ht="12" customHeight="1" collapsed="1">
      <c r="A34" s="119" t="s">
        <v>56</v>
      </c>
      <c r="B34" s="127"/>
      <c r="C34" s="121" t="str">
        <f t="shared" si="9"/>
        <v>2 days</v>
      </c>
      <c r="D34" s="27"/>
      <c r="E34" s="91" t="str">
        <f t="shared" ref="E34" si="656">IF(SUBTOTAL(9,E35:E39)&gt;0,SUBTOTAL(9,E35:E39),"")</f>
        <v/>
      </c>
      <c r="F34" s="34" t="str">
        <f t="shared" ref="F34" si="657">IF(SUBTOTAL(9,F35:F39)&gt;0,SUBTOTAL(9,F35:F39),"")</f>
        <v/>
      </c>
      <c r="G34" s="34" t="str">
        <f t="shared" ref="G34" si="658">IF(SUBTOTAL(9,G35:G39)&gt;0,SUBTOTAL(9,G35:G39),"")</f>
        <v/>
      </c>
      <c r="H34" s="34" t="str">
        <f t="shared" ref="H34" si="659">IF(SUBTOTAL(9,H35:H39)&gt;0,SUBTOTAL(9,H35:H39),"")</f>
        <v/>
      </c>
      <c r="I34" s="34" t="str">
        <f t="shared" ref="I34" si="660">IF(SUBTOTAL(9,I35:I39)&gt;0,SUBTOTAL(9,I35:I39),"")</f>
        <v/>
      </c>
      <c r="J34" s="34" t="str">
        <f t="shared" ref="J34" si="661">IF(SUBTOTAL(9,J35:J39)&gt;0,SUBTOTAL(9,J35:J39),"")</f>
        <v/>
      </c>
      <c r="K34" s="34" t="str">
        <f t="shared" ref="K34" si="662">IF(SUBTOTAL(9,K35:K39)&gt;0,SUBTOTAL(9,K35:K39),"")</f>
        <v/>
      </c>
      <c r="L34" s="34" t="str">
        <f t="shared" ref="L34" si="663">IF(SUBTOTAL(9,L35:L39)&gt;0,SUBTOTAL(9,L35:L39),"")</f>
        <v/>
      </c>
      <c r="M34" s="34" t="str">
        <f t="shared" ref="M34" si="664">IF(SUBTOTAL(9,M35:M39)&gt;0,SUBTOTAL(9,M35:M39),"")</f>
        <v/>
      </c>
      <c r="N34" s="34" t="str">
        <f t="shared" ref="N34" si="665">IF(SUBTOTAL(9,N35:N39)&gt;0,SUBTOTAL(9,N35:N39),"")</f>
        <v/>
      </c>
      <c r="O34" s="34" t="str">
        <f t="shared" ref="O34" si="666">IF(SUBTOTAL(9,O35:O39)&gt;0,SUBTOTAL(9,O35:O39),"")</f>
        <v/>
      </c>
      <c r="P34" s="34" t="str">
        <f t="shared" ref="P34" si="667">IF(SUBTOTAL(9,P35:P39)&gt;0,SUBTOTAL(9,P35:P39),"")</f>
        <v/>
      </c>
      <c r="Q34" s="34" t="str">
        <f t="shared" ref="Q34" si="668">IF(SUBTOTAL(9,Q35:Q39)&gt;0,SUBTOTAL(9,Q35:Q39),"")</f>
        <v/>
      </c>
      <c r="R34" s="34" t="str">
        <f t="shared" ref="R34" si="669">IF(SUBTOTAL(9,R35:R39)&gt;0,SUBTOTAL(9,R35:R39),"")</f>
        <v/>
      </c>
      <c r="S34" s="34" t="str">
        <f t="shared" ref="S34" si="670">IF(SUBTOTAL(9,S35:S39)&gt;0,SUBTOTAL(9,S35:S39),"")</f>
        <v/>
      </c>
      <c r="T34" s="34" t="str">
        <f t="shared" ref="T34" si="671">IF(SUBTOTAL(9,T35:T39)&gt;0,SUBTOTAL(9,T35:T39),"")</f>
        <v/>
      </c>
      <c r="U34" s="34" t="str">
        <f t="shared" ref="U34" si="672">IF(SUBTOTAL(9,U35:U39)&gt;0,SUBTOTAL(9,U35:U39),"")</f>
        <v/>
      </c>
      <c r="V34" s="34" t="str">
        <f t="shared" ref="V34" si="673">IF(SUBTOTAL(9,V35:V39)&gt;0,SUBTOTAL(9,V35:V39),"")</f>
        <v/>
      </c>
      <c r="W34" s="34" t="str">
        <f t="shared" ref="W34" si="674">IF(SUBTOTAL(9,W35:W39)&gt;0,SUBTOTAL(9,W35:W39),"")</f>
        <v/>
      </c>
      <c r="X34" s="34" t="str">
        <f t="shared" ref="X34" si="675">IF(SUBTOTAL(9,X35:X39)&gt;0,SUBTOTAL(9,X35:X39),"")</f>
        <v/>
      </c>
      <c r="Y34" s="34" t="str">
        <f t="shared" ref="Y34" si="676">IF(SUBTOTAL(9,Y35:Y39)&gt;0,SUBTOTAL(9,Y35:Y39),"")</f>
        <v/>
      </c>
      <c r="Z34" s="34" t="str">
        <f t="shared" ref="Z34" si="677">IF(SUBTOTAL(9,Z35:Z39)&gt;0,SUBTOTAL(9,Z35:Z39),"")</f>
        <v/>
      </c>
      <c r="AA34" s="34" t="str">
        <f t="shared" ref="AA34" si="678">IF(SUBTOTAL(9,AA35:AA39)&gt;0,SUBTOTAL(9,AA35:AA39),"")</f>
        <v/>
      </c>
      <c r="AB34" s="34" t="str">
        <f t="shared" ref="AB34" si="679">IF(SUBTOTAL(9,AB35:AB39)&gt;0,SUBTOTAL(9,AB35:AB39),"")</f>
        <v/>
      </c>
      <c r="AC34" s="34" t="str">
        <f t="shared" ref="AC34" si="680">IF(SUBTOTAL(9,AC35:AC39)&gt;0,SUBTOTAL(9,AC35:AC39),"")</f>
        <v/>
      </c>
      <c r="AD34" s="34" t="str">
        <f t="shared" ref="AD34" si="681">IF(SUBTOTAL(9,AD35:AD39)&gt;0,SUBTOTAL(9,AD35:AD39),"")</f>
        <v/>
      </c>
      <c r="AE34" s="34" t="str">
        <f t="shared" ref="AE34" si="682">IF(SUBTOTAL(9,AE35:AE39)&gt;0,SUBTOTAL(9,AE35:AE39),"")</f>
        <v/>
      </c>
      <c r="AF34" s="34" t="str">
        <f t="shared" ref="AF34" si="683">IF(SUBTOTAL(9,AF35:AF39)&gt;0,SUBTOTAL(9,AF35:AF39),"")</f>
        <v/>
      </c>
      <c r="AG34" s="34" t="str">
        <f t="shared" ref="AG34" si="684">IF(SUBTOTAL(9,AG35:AG39)&gt;0,SUBTOTAL(9,AG35:AG39),"")</f>
        <v/>
      </c>
      <c r="AH34" s="34" t="str">
        <f t="shared" ref="AH34" si="685">IF(SUBTOTAL(9,AH35:AH39)&gt;0,SUBTOTAL(9,AH35:AH39),"")</f>
        <v/>
      </c>
      <c r="AI34" s="34" t="str">
        <f t="shared" ref="AI34" si="686">IF(SUBTOTAL(9,AI35:AI39)&gt;0,SUBTOTAL(9,AI35:AI39),"")</f>
        <v/>
      </c>
      <c r="AJ34" s="34" t="str">
        <f t="shared" ref="AJ34" si="687">IF(SUBTOTAL(9,AJ35:AJ39)&gt;0,SUBTOTAL(9,AJ35:AJ39),"")</f>
        <v/>
      </c>
      <c r="AK34" s="34" t="str">
        <f t="shared" ref="AK34" si="688">IF(SUBTOTAL(9,AK35:AK39)&gt;0,SUBTOTAL(9,AK35:AK39),"")</f>
        <v/>
      </c>
      <c r="AL34" s="33" t="str">
        <f t="shared" ref="AL34" si="689">IF(SUBTOTAL(9,AL35:AL39)&gt;0,SUBTOTAL(9,AL35:AL39),"")</f>
        <v/>
      </c>
      <c r="AM34" s="33" t="str">
        <f t="shared" ref="AM34" si="690">IF(SUBTOTAL(9,AM35:AM39)&gt;0,SUBTOTAL(9,AM35:AM39),"")</f>
        <v/>
      </c>
      <c r="AN34" s="33" t="str">
        <f t="shared" ref="AN34" si="691">IF(SUBTOTAL(9,AN35:AN39)&gt;0,SUBTOTAL(9,AN35:AN39),"")</f>
        <v/>
      </c>
      <c r="AO34" s="33" t="str">
        <f t="shared" ref="AO34" si="692">IF(SUBTOTAL(9,AO35:AO39)&gt;0,SUBTOTAL(9,AO35:AO39),"")</f>
        <v/>
      </c>
      <c r="AP34" s="33" t="str">
        <f t="shared" ref="AP34" si="693">IF(SUBTOTAL(9,AP35:AP39)&gt;0,SUBTOTAL(9,AP35:AP39),"")</f>
        <v/>
      </c>
      <c r="AQ34" s="33" t="str">
        <f t="shared" ref="AQ34" si="694">IF(SUBTOTAL(9,AQ35:AQ39)&gt;0,SUBTOTAL(9,AQ35:AQ39),"")</f>
        <v/>
      </c>
      <c r="AR34" s="33" t="str">
        <f t="shared" ref="AR34" si="695">IF(SUBTOTAL(9,AR35:AR39)&gt;0,SUBTOTAL(9,AR35:AR39),"")</f>
        <v/>
      </c>
      <c r="AS34" s="34" t="str">
        <f t="shared" ref="AS34" si="696">IF(SUBTOTAL(9,AS35:AS39)&gt;0,SUBTOTAL(9,AS35:AS39),"")</f>
        <v/>
      </c>
      <c r="AT34" s="34" t="str">
        <f t="shared" ref="AT34" si="697">IF(SUBTOTAL(9,AT35:AT39)&gt;0,SUBTOTAL(9,AT35:AT39),"")</f>
        <v/>
      </c>
      <c r="AU34" s="34" t="str">
        <f t="shared" ref="AU34" si="698">IF(SUBTOTAL(9,AU35:AU39)&gt;0,SUBTOTAL(9,AU35:AU39),"")</f>
        <v/>
      </c>
      <c r="AV34" s="34" t="str">
        <f t="shared" ref="AV34" si="699">IF(SUBTOTAL(9,AV35:AV39)&gt;0,SUBTOTAL(9,AV35:AV39),"")</f>
        <v/>
      </c>
      <c r="AW34" s="34" t="str">
        <f t="shared" ref="AW34" si="700">IF(SUBTOTAL(9,AW35:AW39)&gt;0,SUBTOTAL(9,AW35:AW39),"")</f>
        <v/>
      </c>
      <c r="AX34" s="34" t="str">
        <f t="shared" ref="AX34" si="701">IF(SUBTOTAL(9,AX35:AX39)&gt;0,SUBTOTAL(9,AX35:AX39),"")</f>
        <v/>
      </c>
      <c r="AY34" s="34" t="str">
        <f t="shared" ref="AY34" si="702">IF(SUBTOTAL(9,AY35:AY39)&gt;0,SUBTOTAL(9,AY35:AY39),"")</f>
        <v/>
      </c>
      <c r="AZ34" s="34" t="str">
        <f t="shared" ref="AZ34" si="703">IF(SUBTOTAL(9,AZ35:AZ39)&gt;0,SUBTOTAL(9,AZ35:AZ39),"")</f>
        <v/>
      </c>
      <c r="BA34" s="34" t="str">
        <f t="shared" ref="BA34" si="704">IF(SUBTOTAL(9,BA35:BA39)&gt;0,SUBTOTAL(9,BA35:BA39),"")</f>
        <v/>
      </c>
      <c r="BB34" s="34" t="str">
        <f t="shared" ref="BB34" si="705">IF(SUBTOTAL(9,BB35:BB39)&gt;0,SUBTOTAL(9,BB35:BB39),"")</f>
        <v/>
      </c>
      <c r="BC34" s="34" t="str">
        <f t="shared" ref="BC34" si="706">IF(SUBTOTAL(9,BC35:BC39)&gt;0,SUBTOTAL(9,BC35:BC39),"")</f>
        <v/>
      </c>
      <c r="BD34" s="34" t="str">
        <f t="shared" ref="BD34" si="707">IF(SUBTOTAL(9,BD35:BD39)&gt;0,SUBTOTAL(9,BD35:BD39),"")</f>
        <v/>
      </c>
      <c r="BE34" s="34" t="str">
        <f t="shared" ref="BE34" si="708">IF(SUBTOTAL(9,BE35:BE39)&gt;0,SUBTOTAL(9,BE35:BE39),"")</f>
        <v/>
      </c>
      <c r="BF34" s="34" t="str">
        <f t="shared" ref="BF34" si="709">IF(SUBTOTAL(9,BF35:BF39)&gt;0,SUBTOTAL(9,BF35:BF39),"")</f>
        <v/>
      </c>
      <c r="BG34" s="34" t="str">
        <f t="shared" ref="BG34" si="710">IF(SUBTOTAL(9,BG35:BG39)&gt;0,SUBTOTAL(9,BG35:BG39),"")</f>
        <v/>
      </c>
      <c r="BH34" s="34" t="str">
        <f t="shared" ref="BH34" si="711">IF(SUBTOTAL(9,BH35:BH39)&gt;0,SUBTOTAL(9,BH35:BH39),"")</f>
        <v/>
      </c>
      <c r="BI34" s="34" t="str">
        <f t="shared" ref="BI34" si="712">IF(SUBTOTAL(9,BI35:BI39)&gt;0,SUBTOTAL(9,BI35:BI39),"")</f>
        <v/>
      </c>
      <c r="BJ34" s="34" t="str">
        <f t="shared" ref="BJ34" si="713">IF(SUBTOTAL(9,BJ35:BJ39)&gt;0,SUBTOTAL(9,BJ35:BJ39),"")</f>
        <v/>
      </c>
      <c r="BK34" s="34" t="str">
        <f t="shared" ref="BK34" si="714">IF(SUBTOTAL(9,BK35:BK39)&gt;0,SUBTOTAL(9,BK35:BK39),"")</f>
        <v/>
      </c>
      <c r="BL34" s="34" t="str">
        <f t="shared" ref="BL34" si="715">IF(SUBTOTAL(9,BL35:BL39)&gt;0,SUBTOTAL(9,BL35:BL39),"")</f>
        <v/>
      </c>
      <c r="BM34" s="34" t="str">
        <f t="shared" ref="BM34" si="716">IF(SUBTOTAL(9,BM35:BM39)&gt;0,SUBTOTAL(9,BM35:BM39),"")</f>
        <v/>
      </c>
      <c r="BN34" s="34" t="str">
        <f t="shared" ref="BN34" si="717">IF(SUBTOTAL(9,BN35:BN39)&gt;0,SUBTOTAL(9,BN35:BN39),"")</f>
        <v/>
      </c>
      <c r="BO34" s="34" t="str">
        <f t="shared" ref="BO34" si="718">IF(SUBTOTAL(9,BO35:BO39)&gt;0,SUBTOTAL(9,BO35:BO39),"")</f>
        <v/>
      </c>
      <c r="BP34" s="34" t="str">
        <f t="shared" ref="BP34" si="719">IF(SUBTOTAL(9,BP35:BP39)&gt;0,SUBTOTAL(9,BP35:BP39),"")</f>
        <v/>
      </c>
      <c r="BQ34" s="34" t="str">
        <f t="shared" ref="BQ34" si="720">IF(SUBTOTAL(9,BQ35:BQ39)&gt;0,SUBTOTAL(9,BQ35:BQ39),"")</f>
        <v/>
      </c>
      <c r="BR34" s="34" t="str">
        <f t="shared" ref="BR34" si="721">IF(SUBTOTAL(9,BR35:BR39)&gt;0,SUBTOTAL(9,BR35:BR39),"")</f>
        <v/>
      </c>
      <c r="BS34" s="34" t="str">
        <f t="shared" ref="BS34" si="722">IF(SUBTOTAL(9,BS35:BS39)&gt;0,SUBTOTAL(9,BS35:BS39),"")</f>
        <v/>
      </c>
      <c r="BT34" s="34" t="str">
        <f t="shared" ref="BT34" si="723">IF(SUBTOTAL(9,BT35:BT39)&gt;0,SUBTOTAL(9,BT35:BT39),"")</f>
        <v/>
      </c>
      <c r="BU34" s="34" t="str">
        <f t="shared" ref="BU34" si="724">IF(SUBTOTAL(9,BU35:BU39)&gt;0,SUBTOTAL(9,BU35:BU39),"")</f>
        <v/>
      </c>
      <c r="BV34" s="34" t="str">
        <f t="shared" ref="BV34" si="725">IF(SUBTOTAL(9,BV35:BV39)&gt;0,SUBTOTAL(9,BV35:BV39),"")</f>
        <v/>
      </c>
      <c r="BW34" s="34">
        <f t="shared" ref="BW34" si="726">IF(SUBTOTAL(9,BW35:BW39)&gt;0,SUBTOTAL(9,BW35:BW39),"")</f>
        <v>1</v>
      </c>
      <c r="BX34" s="34" t="str">
        <f t="shared" ref="BX34" si="727">IF(SUBTOTAL(9,BX35:BX39)&gt;0,SUBTOTAL(9,BX35:BX39),"")</f>
        <v/>
      </c>
      <c r="BY34" s="34" t="str">
        <f t="shared" ref="BY34" si="728">IF(SUBTOTAL(9,BY35:BY39)&gt;0,SUBTOTAL(9,BY35:BY39),"")</f>
        <v/>
      </c>
      <c r="BZ34" s="34" t="str">
        <f t="shared" ref="BZ34" si="729">IF(SUBTOTAL(9,BZ35:BZ39)&gt;0,SUBTOTAL(9,BZ35:BZ39),"")</f>
        <v/>
      </c>
      <c r="CA34" s="34" t="str">
        <f t="shared" ref="CA34" si="730">IF(SUBTOTAL(9,CA35:CA39)&gt;0,SUBTOTAL(9,CA35:CA39),"")</f>
        <v/>
      </c>
      <c r="CB34" s="34" t="str">
        <f t="shared" ref="CB34" si="731">IF(SUBTOTAL(9,CB35:CB39)&gt;0,SUBTOTAL(9,CB35:CB39),"")</f>
        <v/>
      </c>
      <c r="CC34" s="34" t="str">
        <f t="shared" ref="CC34" si="732">IF(SUBTOTAL(9,CC35:CC39)&gt;0,SUBTOTAL(9,CC35:CC39),"")</f>
        <v/>
      </c>
      <c r="CD34" s="34" t="str">
        <f t="shared" ref="CD34" si="733">IF(SUBTOTAL(9,CD35:CD39)&gt;0,SUBTOTAL(9,CD35:CD39),"")</f>
        <v/>
      </c>
      <c r="CE34" s="34" t="str">
        <f t="shared" ref="CE34" si="734">IF(SUBTOTAL(9,CE35:CE39)&gt;0,SUBTOTAL(9,CE35:CE39),"")</f>
        <v/>
      </c>
      <c r="CF34" s="34" t="str">
        <f t="shared" ref="CF34:CG34" si="735">IF(SUBTOTAL(9,CF35:CF39)&gt;0,SUBTOTAL(9,CF35:CF39),"")</f>
        <v/>
      </c>
      <c r="CG34" s="34" t="str">
        <f t="shared" si="735"/>
        <v/>
      </c>
      <c r="CH34" s="34" t="str">
        <f t="shared" ref="CH34" si="736">IF(SUBTOTAL(9,CH35:CH39)&gt;0,SUBTOTAL(9,CH35:CH39),"")</f>
        <v/>
      </c>
      <c r="CI34" s="34" t="str">
        <f t="shared" ref="CI34" si="737">IF(SUBTOTAL(9,CI35:CI39)&gt;0,SUBTOTAL(9,CI35:CI39),"")</f>
        <v/>
      </c>
      <c r="CJ34" s="34" t="str">
        <f t="shared" ref="CJ34" si="738">IF(SUBTOTAL(9,CJ35:CJ39)&gt;0,SUBTOTAL(9,CJ35:CJ39),"")</f>
        <v/>
      </c>
      <c r="CK34" s="34" t="str">
        <f t="shared" ref="CK34" si="739">IF(SUBTOTAL(9,CK35:CK39)&gt;0,SUBTOTAL(9,CK35:CK39),"")</f>
        <v/>
      </c>
      <c r="CL34" s="34" t="str">
        <f t="shared" ref="CL34" si="740">IF(SUBTOTAL(9,CL35:CL39)&gt;0,SUBTOTAL(9,CL35:CL39),"")</f>
        <v/>
      </c>
      <c r="CM34" s="34" t="str">
        <f t="shared" ref="CM34" si="741">IF(SUBTOTAL(9,CM35:CM39)&gt;0,SUBTOTAL(9,CM35:CM39),"")</f>
        <v/>
      </c>
      <c r="CN34" s="34" t="str">
        <f t="shared" ref="CN34" si="742">IF(SUBTOTAL(9,CN35:CN39)&gt;0,SUBTOTAL(9,CN35:CN39),"")</f>
        <v/>
      </c>
      <c r="CO34" s="34" t="str">
        <f t="shared" ref="CO34" si="743">IF(SUBTOTAL(9,CO35:CO39)&gt;0,SUBTOTAL(9,CO35:CO39),"")</f>
        <v/>
      </c>
      <c r="CP34" s="34" t="str">
        <f t="shared" ref="CP34" si="744">IF(SUBTOTAL(9,CP35:CP39)&gt;0,SUBTOTAL(9,CP35:CP39),"")</f>
        <v/>
      </c>
      <c r="CQ34" s="34" t="str">
        <f t="shared" ref="CQ34" si="745">IF(SUBTOTAL(9,CQ35:CQ39)&gt;0,SUBTOTAL(9,CQ35:CQ39),"")</f>
        <v/>
      </c>
      <c r="CR34" s="34" t="str">
        <f t="shared" ref="CR34" si="746">IF(SUBTOTAL(9,CR35:CR39)&gt;0,SUBTOTAL(9,CR35:CR39),"")</f>
        <v/>
      </c>
      <c r="CS34" s="34" t="str">
        <f t="shared" ref="CS34" si="747">IF(SUBTOTAL(9,CS35:CS39)&gt;0,SUBTOTAL(9,CS35:CS39),"")</f>
        <v/>
      </c>
      <c r="CT34" s="33" t="str">
        <f t="shared" ref="CT34" si="748">IF(SUBTOTAL(9,CT35:CT39)&gt;0,SUBTOTAL(9,CT35:CT39),"")</f>
        <v/>
      </c>
      <c r="CU34" s="34" t="str">
        <f t="shared" ref="CU34" si="749">IF(SUBTOTAL(9,CU35:CU39)&gt;0,SUBTOTAL(9,CU35:CU39),"")</f>
        <v/>
      </c>
      <c r="CV34" s="34" t="str">
        <f t="shared" ref="CV34" si="750">IF(SUBTOTAL(9,CV35:CV39)&gt;0,SUBTOTAL(9,CV35:CV39),"")</f>
        <v/>
      </c>
      <c r="CW34" s="34" t="str">
        <f t="shared" ref="CW34" si="751">IF(SUBTOTAL(9,CW35:CW39)&gt;0,SUBTOTAL(9,CW35:CW39),"")</f>
        <v/>
      </c>
      <c r="CX34" s="34" t="str">
        <f t="shared" ref="CX34" si="752">IF(SUBTOTAL(9,CX35:CX39)&gt;0,SUBTOTAL(9,CX35:CX39),"")</f>
        <v/>
      </c>
      <c r="CY34" s="34" t="str">
        <f t="shared" ref="CY34" si="753">IF(SUBTOTAL(9,CY35:CY39)&gt;0,SUBTOTAL(9,CY35:CY39),"")</f>
        <v/>
      </c>
      <c r="CZ34" s="33" t="str">
        <f t="shared" ref="CZ34" si="754">IF(SUBTOTAL(9,CZ35:CZ39)&gt;0,SUBTOTAL(9,CZ35:CZ39),"")</f>
        <v/>
      </c>
      <c r="DA34" s="33" t="str">
        <f t="shared" ref="DA34" si="755">IF(SUBTOTAL(9,DA35:DA39)&gt;0,SUBTOTAL(9,DA35:DA39),"")</f>
        <v/>
      </c>
      <c r="DB34" s="34" t="str">
        <f t="shared" ref="DB34" si="756">IF(SUBTOTAL(9,DB35:DB39)&gt;0,SUBTOTAL(9,DB35:DB39),"")</f>
        <v/>
      </c>
      <c r="DC34" s="34" t="str">
        <f t="shared" ref="DC34" si="757">IF(SUBTOTAL(9,DC35:DC39)&gt;0,SUBTOTAL(9,DC35:DC39),"")</f>
        <v/>
      </c>
      <c r="DD34" s="34" t="str">
        <f t="shared" ref="DD34" si="758">IF(SUBTOTAL(9,DD35:DD39)&gt;0,SUBTOTAL(9,DD35:DD39),"")</f>
        <v/>
      </c>
      <c r="DE34" s="34" t="str">
        <f t="shared" ref="DE34" si="759">IF(SUBTOTAL(9,DE35:DE39)&gt;0,SUBTOTAL(9,DE35:DE39),"")</f>
        <v/>
      </c>
      <c r="DF34" s="34" t="str">
        <f t="shared" ref="DF34" si="760">IF(SUBTOTAL(9,DF35:DF39)&gt;0,SUBTOTAL(9,DF35:DF39),"")</f>
        <v/>
      </c>
      <c r="DG34" s="34" t="str">
        <f t="shared" ref="DG34" si="761">IF(SUBTOTAL(9,DG35:DG39)&gt;0,SUBTOTAL(9,DG35:DG39),"")</f>
        <v/>
      </c>
      <c r="DH34" s="34" t="str">
        <f t="shared" ref="DH34" si="762">IF(SUBTOTAL(9,DH35:DH39)&gt;0,SUBTOTAL(9,DH35:DH39),"")</f>
        <v/>
      </c>
      <c r="DI34" s="34" t="str">
        <f t="shared" ref="DI34" si="763">IF(SUBTOTAL(9,DI35:DI39)&gt;0,SUBTOTAL(9,DI35:DI39),"")</f>
        <v/>
      </c>
      <c r="DJ34" s="34" t="str">
        <f t="shared" ref="DJ34" si="764">IF(SUBTOTAL(9,DJ35:DJ39)&gt;0,SUBTOTAL(9,DJ35:DJ39),"")</f>
        <v/>
      </c>
      <c r="DK34" s="34" t="str">
        <f t="shared" ref="DK34" si="765">IF(SUBTOTAL(9,DK35:DK39)&gt;0,SUBTOTAL(9,DK35:DK39),"")</f>
        <v/>
      </c>
      <c r="DL34" s="34" t="str">
        <f t="shared" ref="DL34" si="766">IF(SUBTOTAL(9,DL35:DL39)&gt;0,SUBTOTAL(9,DL35:DL39),"")</f>
        <v/>
      </c>
      <c r="DM34" s="34" t="str">
        <f t="shared" ref="DM34" si="767">IF(SUBTOTAL(9,DM35:DM39)&gt;0,SUBTOTAL(9,DM35:DM39),"")</f>
        <v/>
      </c>
      <c r="DN34" s="34" t="str">
        <f t="shared" ref="DN34" si="768">IF(SUBTOTAL(9,DN35:DN39)&gt;0,SUBTOTAL(9,DN35:DN39),"")</f>
        <v/>
      </c>
      <c r="DO34" s="34" t="str">
        <f t="shared" ref="DO34" si="769">IF(SUBTOTAL(9,DO35:DO39)&gt;0,SUBTOTAL(9,DO35:DO39),"")</f>
        <v/>
      </c>
      <c r="DP34" s="34" t="str">
        <f t="shared" ref="DP34" si="770">IF(SUBTOTAL(9,DP35:DP39)&gt;0,SUBTOTAL(9,DP35:DP39),"")</f>
        <v/>
      </c>
      <c r="DQ34" s="34" t="str">
        <f t="shared" ref="DQ34" si="771">IF(SUBTOTAL(9,DQ35:DQ39)&gt;0,SUBTOTAL(9,DQ35:DQ39),"")</f>
        <v/>
      </c>
      <c r="DR34" s="34" t="str">
        <f t="shared" ref="DR34" si="772">IF(SUBTOTAL(9,DR35:DR39)&gt;0,SUBTOTAL(9,DR35:DR39),"")</f>
        <v/>
      </c>
      <c r="DS34" s="34" t="str">
        <f t="shared" ref="DS34" si="773">IF(SUBTOTAL(9,DS35:DS39)&gt;0,SUBTOTAL(9,DS35:DS39),"")</f>
        <v/>
      </c>
      <c r="DT34" s="34">
        <f t="shared" ref="DT34" si="774">IF(SUBTOTAL(9,DT35:DT39)&gt;0,SUBTOTAL(9,DT35:DT39),"")</f>
        <v>0.5</v>
      </c>
      <c r="DU34" s="34" t="str">
        <f t="shared" ref="DU34" si="775">IF(SUBTOTAL(9,DU35:DU39)&gt;0,SUBTOTAL(9,DU35:DU39),"")</f>
        <v/>
      </c>
      <c r="DV34" s="34" t="str">
        <f t="shared" ref="DV34" si="776">IF(SUBTOTAL(9,DV35:DV39)&gt;0,SUBTOTAL(9,DV35:DV39),"")</f>
        <v/>
      </c>
      <c r="DW34" s="34" t="str">
        <f t="shared" ref="DW34" si="777">IF(SUBTOTAL(9,DW35:DW39)&gt;0,SUBTOTAL(9,DW35:DW39),"")</f>
        <v/>
      </c>
      <c r="DX34" s="34" t="str">
        <f t="shared" ref="DX34" si="778">IF(SUBTOTAL(9,DX35:DX39)&gt;0,SUBTOTAL(9,DX35:DX39),"")</f>
        <v/>
      </c>
      <c r="DY34" s="34" t="str">
        <f t="shared" ref="DY34" si="779">IF(SUBTOTAL(9,DY35:DY39)&gt;0,SUBTOTAL(9,DY35:DY39),"")</f>
        <v/>
      </c>
      <c r="DZ34" s="33" t="str">
        <f t="shared" ref="DZ34" si="780">IF(SUBTOTAL(9,DZ35:DZ39)&gt;0,SUBTOTAL(9,DZ35:DZ39),"")</f>
        <v/>
      </c>
      <c r="EA34" s="34" t="str">
        <f t="shared" ref="EA34" si="781">IF(SUBTOTAL(9,EA35:EA39)&gt;0,SUBTOTAL(9,EA35:EA39),"")</f>
        <v/>
      </c>
      <c r="EB34" s="34" t="str">
        <f t="shared" ref="EB34" si="782">IF(SUBTOTAL(9,EB35:EB39)&gt;0,SUBTOTAL(9,EB35:EB39),"")</f>
        <v/>
      </c>
      <c r="EC34" s="34" t="str">
        <f t="shared" ref="EC34" si="783">IF(SUBTOTAL(9,EC35:EC39)&gt;0,SUBTOTAL(9,EC35:EC39),"")</f>
        <v/>
      </c>
      <c r="ED34" s="34" t="str">
        <f t="shared" ref="ED34" si="784">IF(SUBTOTAL(9,ED35:ED39)&gt;0,SUBTOTAL(9,ED35:ED39),"")</f>
        <v/>
      </c>
      <c r="EE34" s="34" t="str">
        <f t="shared" ref="EE34" si="785">IF(SUBTOTAL(9,EE35:EE39)&gt;0,SUBTOTAL(9,EE35:EE39),"")</f>
        <v/>
      </c>
      <c r="EF34" s="34" t="str">
        <f t="shared" ref="EF34" si="786">IF(SUBTOTAL(9,EF35:EF39)&gt;0,SUBTOTAL(9,EF35:EF39),"")</f>
        <v/>
      </c>
      <c r="EG34" s="34" t="str">
        <f t="shared" ref="EG34" si="787">IF(SUBTOTAL(9,EG35:EG39)&gt;0,SUBTOTAL(9,EG35:EG39),"")</f>
        <v/>
      </c>
      <c r="EH34" s="34" t="str">
        <f t="shared" ref="EH34" si="788">IF(SUBTOTAL(9,EH35:EH39)&gt;0,SUBTOTAL(9,EH35:EH39),"")</f>
        <v/>
      </c>
      <c r="EI34" s="34" t="str">
        <f t="shared" ref="EI34" si="789">IF(SUBTOTAL(9,EI35:EI39)&gt;0,SUBTOTAL(9,EI35:EI39),"")</f>
        <v/>
      </c>
      <c r="EJ34" s="34" t="str">
        <f t="shared" ref="EJ34" si="790">IF(SUBTOTAL(9,EJ35:EJ39)&gt;0,SUBTOTAL(9,EJ35:EJ39),"")</f>
        <v/>
      </c>
      <c r="EK34" s="34" t="str">
        <f t="shared" ref="EK34" si="791">IF(SUBTOTAL(9,EK35:EK39)&gt;0,SUBTOTAL(9,EK35:EK39),"")</f>
        <v/>
      </c>
      <c r="EL34" s="34" t="str">
        <f t="shared" ref="EL34" si="792">IF(SUBTOTAL(9,EL35:EL39)&gt;0,SUBTOTAL(9,EL35:EL39),"")</f>
        <v/>
      </c>
      <c r="EM34" s="34" t="str">
        <f t="shared" ref="EM34" si="793">IF(SUBTOTAL(9,EM35:EM39)&gt;0,SUBTOTAL(9,EM35:EM39),"")</f>
        <v/>
      </c>
      <c r="EN34" s="34" t="str">
        <f t="shared" ref="EN34" si="794">IF(SUBTOTAL(9,EN35:EN39)&gt;0,SUBTOTAL(9,EN35:EN39),"")</f>
        <v/>
      </c>
      <c r="EO34" s="34" t="str">
        <f t="shared" ref="EO34" si="795">IF(SUBTOTAL(9,EO35:EO39)&gt;0,SUBTOTAL(9,EO35:EO39),"")</f>
        <v/>
      </c>
      <c r="EP34" s="34" t="str">
        <f t="shared" ref="EP34" si="796">IF(SUBTOTAL(9,EP35:EP39)&gt;0,SUBTOTAL(9,EP35:EP39),"")</f>
        <v/>
      </c>
      <c r="EQ34" s="34" t="str">
        <f t="shared" ref="EQ34" si="797">IF(SUBTOTAL(9,EQ35:EQ39)&gt;0,SUBTOTAL(9,EQ35:EQ39),"")</f>
        <v/>
      </c>
      <c r="ER34" s="34" t="str">
        <f t="shared" ref="ER34" si="798">IF(SUBTOTAL(9,ER35:ER39)&gt;0,SUBTOTAL(9,ER35:ER39),"")</f>
        <v/>
      </c>
      <c r="ES34" s="34" t="str">
        <f t="shared" ref="ES34" si="799">IF(SUBTOTAL(9,ES35:ES39)&gt;0,SUBTOTAL(9,ES35:ES39),"")</f>
        <v/>
      </c>
      <c r="ET34" s="34" t="str">
        <f t="shared" ref="ET34" si="800">IF(SUBTOTAL(9,ET35:ET39)&gt;0,SUBTOTAL(9,ET35:ET39),"")</f>
        <v/>
      </c>
      <c r="EU34" s="34" t="str">
        <f t="shared" ref="EU34" si="801">IF(SUBTOTAL(9,EU35:EU39)&gt;0,SUBTOTAL(9,EU35:EU39),"")</f>
        <v/>
      </c>
      <c r="EV34" s="34" t="str">
        <f t="shared" ref="EV34" si="802">IF(SUBTOTAL(9,EV35:EV39)&gt;0,SUBTOTAL(9,EV35:EV39),"")</f>
        <v/>
      </c>
      <c r="EW34" s="34" t="str">
        <f t="shared" ref="EW34" si="803">IF(SUBTOTAL(9,EW35:EW39)&gt;0,SUBTOTAL(9,EW35:EW39),"")</f>
        <v/>
      </c>
      <c r="EX34" s="34" t="str">
        <f t="shared" ref="EX34" si="804">IF(SUBTOTAL(9,EX35:EX39)&gt;0,SUBTOTAL(9,EX35:EX39),"")</f>
        <v/>
      </c>
      <c r="EY34" s="33" t="str">
        <f t="shared" ref="EY34" si="805">IF(SUBTOTAL(9,EY35:EY39)&gt;0,SUBTOTAL(9,EY35:EY39),"")</f>
        <v/>
      </c>
      <c r="EZ34" s="34" t="str">
        <f t="shared" ref="EZ34" si="806">IF(SUBTOTAL(9,EZ35:EZ39)&gt;0,SUBTOTAL(9,EZ35:EZ39),"")</f>
        <v/>
      </c>
      <c r="FA34" s="34" t="str">
        <f t="shared" ref="FA34" si="807">IF(SUBTOTAL(9,FA35:FA39)&gt;0,SUBTOTAL(9,FA35:FA39),"")</f>
        <v/>
      </c>
      <c r="FB34" s="34" t="str">
        <f t="shared" ref="FB34" si="808">IF(SUBTOTAL(9,FB35:FB39)&gt;0,SUBTOTAL(9,FB35:FB39),"")</f>
        <v/>
      </c>
      <c r="FC34" s="34" t="str">
        <f t="shared" ref="FC34" si="809">IF(SUBTOTAL(9,FC35:FC39)&gt;0,SUBTOTAL(9,FC35:FC39),"")</f>
        <v/>
      </c>
      <c r="FD34" s="34" t="str">
        <f t="shared" ref="FD34" si="810">IF(SUBTOTAL(9,FD35:FD39)&gt;0,SUBTOTAL(9,FD35:FD39),"")</f>
        <v/>
      </c>
      <c r="FE34" s="34" t="str">
        <f t="shared" ref="FE34" si="811">IF(SUBTOTAL(9,FE35:FE39)&gt;0,SUBTOTAL(9,FE35:FE39),"")</f>
        <v/>
      </c>
      <c r="FF34" s="34" t="str">
        <f t="shared" ref="FF34" si="812">IF(SUBTOTAL(9,FF35:FF39)&gt;0,SUBTOTAL(9,FF35:FF39),"")</f>
        <v/>
      </c>
      <c r="FG34" s="34" t="str">
        <f t="shared" ref="FG34" si="813">IF(SUBTOTAL(9,FG35:FG39)&gt;0,SUBTOTAL(9,FG35:FG39),"")</f>
        <v/>
      </c>
      <c r="FH34" s="34" t="str">
        <f t="shared" ref="FH34" si="814">IF(SUBTOTAL(9,FH35:FH39)&gt;0,SUBTOTAL(9,FH35:FH39),"")</f>
        <v/>
      </c>
      <c r="FI34" s="34" t="str">
        <f t="shared" ref="FI34" si="815">IF(SUBTOTAL(9,FI35:FI39)&gt;0,SUBTOTAL(9,FI35:FI39),"")</f>
        <v/>
      </c>
      <c r="FJ34" s="34" t="str">
        <f t="shared" ref="FJ34" si="816">IF(SUBTOTAL(9,FJ35:FJ39)&gt;0,SUBTOTAL(9,FJ35:FJ39),"")</f>
        <v/>
      </c>
      <c r="FK34" s="34" t="str">
        <f t="shared" ref="FK34" si="817">IF(SUBTOTAL(9,FK35:FK39)&gt;0,SUBTOTAL(9,FK35:FK39),"")</f>
        <v/>
      </c>
      <c r="FL34" s="34" t="str">
        <f t="shared" ref="FL34" si="818">IF(SUBTOTAL(9,FL35:FL39)&gt;0,SUBTOTAL(9,FL35:FL39),"")</f>
        <v/>
      </c>
      <c r="FM34" s="34" t="str">
        <f t="shared" ref="FM34" si="819">IF(SUBTOTAL(9,FM35:FM39)&gt;0,SUBTOTAL(9,FM35:FM39),"")</f>
        <v/>
      </c>
      <c r="FN34" s="34" t="str">
        <f t="shared" ref="FN34" si="820">IF(SUBTOTAL(9,FN35:FN39)&gt;0,SUBTOTAL(9,FN35:FN39),"")</f>
        <v/>
      </c>
      <c r="FO34" s="34" t="str">
        <f t="shared" ref="FO34" si="821">IF(SUBTOTAL(9,FO35:FO39)&gt;0,SUBTOTAL(9,FO35:FO39),"")</f>
        <v/>
      </c>
      <c r="FP34" s="34" t="str">
        <f t="shared" ref="FP34" si="822">IF(SUBTOTAL(9,FP35:FP39)&gt;0,SUBTOTAL(9,FP35:FP39),"")</f>
        <v/>
      </c>
      <c r="FQ34" s="92" t="str">
        <f t="shared" ref="FQ34" si="823">IF(SUBTOTAL(9,FQ35:FQ39)&gt;0,SUBTOTAL(9,FQ35:FQ39),"")</f>
        <v/>
      </c>
      <c r="FR34" s="8"/>
      <c r="FS34" s="9" t="s">
        <v>131</v>
      </c>
      <c r="FT34" s="9" t="str">
        <f t="shared" si="151"/>
        <v/>
      </c>
    </row>
    <row r="35" spans="1:176" s="9" customFormat="1" ht="12" hidden="1" customHeight="1" outlineLevel="1">
      <c r="A35" s="122" t="s">
        <v>4</v>
      </c>
      <c r="B35" s="123" t="s">
        <v>18</v>
      </c>
      <c r="C35" s="124" t="str">
        <f t="shared" si="9"/>
        <v>2 days</v>
      </c>
      <c r="D35" s="13" t="str">
        <f>A9&amp;" "&amp;A34</f>
        <v>1. Opening Balances  1.5 Technical Support</v>
      </c>
      <c r="E35" s="51"/>
      <c r="F35" s="35"/>
      <c r="G35" s="35"/>
      <c r="H35" s="35"/>
      <c r="I35" s="35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35"/>
      <c r="AJ35" s="35"/>
      <c r="AK35" s="35"/>
      <c r="AL35" s="36"/>
      <c r="AM35" s="36"/>
      <c r="AN35" s="36"/>
      <c r="AO35" s="36"/>
      <c r="AP35" s="36"/>
      <c r="AQ35" s="36"/>
      <c r="AR35" s="36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5"/>
      <c r="BM35" s="35"/>
      <c r="BN35" s="35"/>
      <c r="BO35" s="35"/>
      <c r="BP35" s="35"/>
      <c r="BQ35" s="35"/>
      <c r="BR35" s="35"/>
      <c r="BS35" s="35"/>
      <c r="BT35" s="35"/>
      <c r="BU35" s="35"/>
      <c r="BV35" s="35"/>
      <c r="BW35" s="35">
        <v>1</v>
      </c>
      <c r="BX35" s="35"/>
      <c r="BY35" s="35"/>
      <c r="BZ35" s="35"/>
      <c r="CA35" s="35"/>
      <c r="CB35" s="35"/>
      <c r="CC35" s="35"/>
      <c r="CD35" s="35"/>
      <c r="CE35" s="35"/>
      <c r="CF35" s="35"/>
      <c r="CG35" s="35"/>
      <c r="CH35" s="35"/>
      <c r="CI35" s="35"/>
      <c r="CJ35" s="35"/>
      <c r="CK35" s="35"/>
      <c r="CL35" s="35"/>
      <c r="CM35" s="35"/>
      <c r="CN35" s="35"/>
      <c r="CO35" s="35"/>
      <c r="CP35" s="35"/>
      <c r="CQ35" s="35"/>
      <c r="CR35" s="35"/>
      <c r="CS35" s="35"/>
      <c r="CT35" s="36"/>
      <c r="CU35" s="35"/>
      <c r="CV35" s="35"/>
      <c r="CW35" s="35"/>
      <c r="CX35" s="35"/>
      <c r="CY35" s="35"/>
      <c r="CZ35" s="36"/>
      <c r="DA35" s="36"/>
      <c r="DB35" s="35"/>
      <c r="DC35" s="35"/>
      <c r="DD35" s="35"/>
      <c r="DE35" s="35"/>
      <c r="DF35" s="35"/>
      <c r="DG35" s="35"/>
      <c r="DH35" s="35"/>
      <c r="DI35" s="35"/>
      <c r="DJ35" s="35"/>
      <c r="DK35" s="35"/>
      <c r="DL35" s="35"/>
      <c r="DM35" s="35"/>
      <c r="DN35" s="35"/>
      <c r="DO35" s="35"/>
      <c r="DP35" s="35"/>
      <c r="DQ35" s="35"/>
      <c r="DR35" s="35"/>
      <c r="DS35" s="35"/>
      <c r="DT35" s="35">
        <v>0.5</v>
      </c>
      <c r="DU35" s="35"/>
      <c r="DV35" s="35"/>
      <c r="DW35" s="35"/>
      <c r="DX35" s="35"/>
      <c r="DY35" s="35"/>
      <c r="DZ35" s="36"/>
      <c r="EA35" s="35"/>
      <c r="EB35" s="35"/>
      <c r="EC35" s="35"/>
      <c r="ED35" s="35"/>
      <c r="EE35" s="35"/>
      <c r="EF35" s="35"/>
      <c r="EG35" s="35"/>
      <c r="EH35" s="35"/>
      <c r="EI35" s="35"/>
      <c r="EJ35" s="35"/>
      <c r="EK35" s="35"/>
      <c r="EL35" s="35"/>
      <c r="EM35" s="35"/>
      <c r="EN35" s="35"/>
      <c r="EO35" s="35"/>
      <c r="EP35" s="35"/>
      <c r="EQ35" s="35"/>
      <c r="ER35" s="35"/>
      <c r="ES35" s="35"/>
      <c r="ET35" s="35"/>
      <c r="EU35" s="35"/>
      <c r="EV35" s="35"/>
      <c r="EW35" s="35"/>
      <c r="EX35" s="35"/>
      <c r="EY35" s="36"/>
      <c r="EZ35" s="35"/>
      <c r="FA35" s="35"/>
      <c r="FB35" s="35"/>
      <c r="FC35" s="35"/>
      <c r="FD35" s="35"/>
      <c r="FE35" s="35"/>
      <c r="FF35" s="35"/>
      <c r="FG35" s="35"/>
      <c r="FH35" s="35"/>
      <c r="FI35" s="35"/>
      <c r="FJ35" s="35"/>
      <c r="FK35" s="35"/>
      <c r="FL35" s="35"/>
      <c r="FM35" s="35"/>
      <c r="FN35" s="35"/>
      <c r="FO35" s="35"/>
      <c r="FP35" s="35"/>
      <c r="FQ35" s="52"/>
      <c r="FR35" s="8"/>
      <c r="FS35" s="9" t="s">
        <v>13</v>
      </c>
      <c r="FT35" s="9" t="str">
        <f t="shared" si="151"/>
        <v>1. Opening Balances  1.5 Technical SupportTM1 Analyst</v>
      </c>
    </row>
    <row r="36" spans="1:176" s="9" customFormat="1" ht="12" hidden="1" customHeight="1" outlineLevel="1">
      <c r="A36" s="125" t="s">
        <v>50</v>
      </c>
      <c r="B36" s="123"/>
      <c r="C36" s="124" t="str">
        <f t="shared" si="9"/>
        <v>0 days</v>
      </c>
      <c r="D36" s="13" t="str">
        <f>A9&amp;" "&amp;A34</f>
        <v>1. Opening Balances  1.5 Technical Support</v>
      </c>
      <c r="E36" s="51"/>
      <c r="F36" s="35"/>
      <c r="G36" s="35"/>
      <c r="H36" s="35"/>
      <c r="I36" s="35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35"/>
      <c r="AC36" s="35"/>
      <c r="AD36" s="35"/>
      <c r="AE36" s="35"/>
      <c r="AF36" s="35"/>
      <c r="AG36" s="35"/>
      <c r="AH36" s="35"/>
      <c r="AI36" s="35"/>
      <c r="AJ36" s="35"/>
      <c r="AK36" s="35"/>
      <c r="AL36" s="36"/>
      <c r="AM36" s="36"/>
      <c r="AN36" s="36"/>
      <c r="AO36" s="36"/>
      <c r="AP36" s="36"/>
      <c r="AQ36" s="36"/>
      <c r="AR36" s="36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5"/>
      <c r="BM36" s="35"/>
      <c r="BN36" s="35"/>
      <c r="BO36" s="35"/>
      <c r="BP36" s="35"/>
      <c r="BQ36" s="35"/>
      <c r="BR36" s="35"/>
      <c r="BS36" s="35"/>
      <c r="BT36" s="35"/>
      <c r="BU36" s="35"/>
      <c r="BV36" s="35"/>
      <c r="BW36" s="35"/>
      <c r="BX36" s="35"/>
      <c r="BY36" s="35"/>
      <c r="BZ36" s="35"/>
      <c r="CA36" s="35"/>
      <c r="CB36" s="35"/>
      <c r="CC36" s="35"/>
      <c r="CD36" s="35"/>
      <c r="CE36" s="35"/>
      <c r="CF36" s="35"/>
      <c r="CG36" s="35"/>
      <c r="CH36" s="35"/>
      <c r="CI36" s="35"/>
      <c r="CJ36" s="35"/>
      <c r="CK36" s="35"/>
      <c r="CL36" s="35"/>
      <c r="CM36" s="35"/>
      <c r="CN36" s="35"/>
      <c r="CO36" s="35"/>
      <c r="CP36" s="35"/>
      <c r="CQ36" s="35"/>
      <c r="CR36" s="35"/>
      <c r="CS36" s="35"/>
      <c r="CT36" s="36"/>
      <c r="CU36" s="35"/>
      <c r="CV36" s="35"/>
      <c r="CW36" s="35"/>
      <c r="CX36" s="35"/>
      <c r="CY36" s="35"/>
      <c r="CZ36" s="36"/>
      <c r="DA36" s="36"/>
      <c r="DB36" s="35"/>
      <c r="DC36" s="35"/>
      <c r="DD36" s="35"/>
      <c r="DE36" s="35"/>
      <c r="DF36" s="35"/>
      <c r="DG36" s="35"/>
      <c r="DH36" s="35"/>
      <c r="DI36" s="35"/>
      <c r="DJ36" s="35"/>
      <c r="DK36" s="35"/>
      <c r="DL36" s="35"/>
      <c r="DM36" s="35"/>
      <c r="DN36" s="35"/>
      <c r="DO36" s="35"/>
      <c r="DP36" s="35"/>
      <c r="DQ36" s="35"/>
      <c r="DR36" s="35"/>
      <c r="DS36" s="35"/>
      <c r="DT36" s="35"/>
      <c r="DU36" s="35"/>
      <c r="DV36" s="35"/>
      <c r="DW36" s="35"/>
      <c r="DX36" s="35"/>
      <c r="DY36" s="35"/>
      <c r="DZ36" s="36"/>
      <c r="EA36" s="35"/>
      <c r="EB36" s="35"/>
      <c r="EC36" s="35"/>
      <c r="ED36" s="35"/>
      <c r="EE36" s="35"/>
      <c r="EF36" s="35"/>
      <c r="EG36" s="35"/>
      <c r="EH36" s="35"/>
      <c r="EI36" s="35"/>
      <c r="EJ36" s="35"/>
      <c r="EK36" s="35"/>
      <c r="EL36" s="35"/>
      <c r="EM36" s="35"/>
      <c r="EN36" s="35"/>
      <c r="EO36" s="35"/>
      <c r="EP36" s="35"/>
      <c r="EQ36" s="35"/>
      <c r="ER36" s="35"/>
      <c r="ES36" s="35"/>
      <c r="ET36" s="35"/>
      <c r="EU36" s="35"/>
      <c r="EV36" s="35"/>
      <c r="EW36" s="35"/>
      <c r="EX36" s="35"/>
      <c r="EY36" s="36"/>
      <c r="EZ36" s="35"/>
      <c r="FA36" s="35"/>
      <c r="FB36" s="35"/>
      <c r="FC36" s="35"/>
      <c r="FD36" s="35"/>
      <c r="FE36" s="35"/>
      <c r="FF36" s="35"/>
      <c r="FG36" s="35"/>
      <c r="FH36" s="35"/>
      <c r="FI36" s="35"/>
      <c r="FJ36" s="35"/>
      <c r="FK36" s="35"/>
      <c r="FL36" s="35"/>
      <c r="FM36" s="35"/>
      <c r="FN36" s="35"/>
      <c r="FO36" s="35"/>
      <c r="FP36" s="35"/>
      <c r="FQ36" s="52"/>
      <c r="FR36" s="8"/>
      <c r="FS36" s="9" t="s">
        <v>13</v>
      </c>
      <c r="FT36" s="9" t="str">
        <f t="shared" si="151"/>
        <v>1. Opening Balances  1.5 Technical Support</v>
      </c>
    </row>
    <row r="37" spans="1:176" s="9" customFormat="1" ht="12" hidden="1" customHeight="1" outlineLevel="1">
      <c r="A37" s="125" t="s">
        <v>50</v>
      </c>
      <c r="B37" s="123"/>
      <c r="C37" s="124" t="str">
        <f t="shared" si="9"/>
        <v>0 days</v>
      </c>
      <c r="D37" s="13" t="str">
        <f>A9&amp;" "&amp;A34</f>
        <v>1. Opening Balances  1.5 Technical Support</v>
      </c>
      <c r="E37" s="51"/>
      <c r="F37" s="35"/>
      <c r="G37" s="35"/>
      <c r="H37" s="35"/>
      <c r="I37" s="35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6"/>
      <c r="AM37" s="36"/>
      <c r="AN37" s="36"/>
      <c r="AO37" s="36"/>
      <c r="AP37" s="36"/>
      <c r="AQ37" s="36"/>
      <c r="AR37" s="36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6"/>
      <c r="CU37" s="35"/>
      <c r="CV37" s="35"/>
      <c r="CW37" s="35"/>
      <c r="CX37" s="35"/>
      <c r="CY37" s="35"/>
      <c r="CZ37" s="36"/>
      <c r="DA37" s="36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6"/>
      <c r="EA37" s="35"/>
      <c r="EB37" s="35"/>
      <c r="EC37" s="35"/>
      <c r="ED37" s="35"/>
      <c r="EE37" s="35"/>
      <c r="EF37" s="35"/>
      <c r="EG37" s="35"/>
      <c r="EH37" s="35"/>
      <c r="EI37" s="35"/>
      <c r="EJ37" s="35"/>
      <c r="EK37" s="35"/>
      <c r="EL37" s="35"/>
      <c r="EM37" s="35"/>
      <c r="EN37" s="35"/>
      <c r="EO37" s="35"/>
      <c r="EP37" s="35"/>
      <c r="EQ37" s="35"/>
      <c r="ER37" s="35"/>
      <c r="ES37" s="35"/>
      <c r="ET37" s="35"/>
      <c r="EU37" s="35"/>
      <c r="EV37" s="35"/>
      <c r="EW37" s="35"/>
      <c r="EX37" s="35"/>
      <c r="EY37" s="36"/>
      <c r="EZ37" s="35"/>
      <c r="FA37" s="35"/>
      <c r="FB37" s="35"/>
      <c r="FC37" s="35"/>
      <c r="FD37" s="35"/>
      <c r="FE37" s="35"/>
      <c r="FF37" s="35"/>
      <c r="FG37" s="35"/>
      <c r="FH37" s="35"/>
      <c r="FI37" s="35"/>
      <c r="FJ37" s="35"/>
      <c r="FK37" s="35"/>
      <c r="FL37" s="35"/>
      <c r="FM37" s="35"/>
      <c r="FN37" s="35"/>
      <c r="FO37" s="35"/>
      <c r="FP37" s="35"/>
      <c r="FQ37" s="52"/>
      <c r="FR37" s="8"/>
      <c r="FS37" s="9" t="s">
        <v>13</v>
      </c>
      <c r="FT37" s="9" t="str">
        <f t="shared" si="151"/>
        <v>1. Opening Balances  1.5 Technical Support</v>
      </c>
    </row>
    <row r="38" spans="1:176" s="9" customFormat="1" ht="12" hidden="1" customHeight="1" outlineLevel="1">
      <c r="A38" s="125" t="s">
        <v>50</v>
      </c>
      <c r="B38" s="123"/>
      <c r="C38" s="124" t="str">
        <f t="shared" si="9"/>
        <v>0 days</v>
      </c>
      <c r="D38" s="13" t="str">
        <f>A9&amp;" "&amp;A34</f>
        <v>1. Opening Balances  1.5 Technical Support</v>
      </c>
      <c r="E38" s="51"/>
      <c r="F38" s="35"/>
      <c r="G38" s="35"/>
      <c r="H38" s="35"/>
      <c r="I38" s="35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6"/>
      <c r="AM38" s="36"/>
      <c r="AN38" s="36"/>
      <c r="AO38" s="36"/>
      <c r="AP38" s="36"/>
      <c r="AQ38" s="36"/>
      <c r="AR38" s="36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6"/>
      <c r="CU38" s="35"/>
      <c r="CV38" s="35"/>
      <c r="CW38" s="35"/>
      <c r="CX38" s="35"/>
      <c r="CY38" s="35"/>
      <c r="CZ38" s="36"/>
      <c r="DA38" s="36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6"/>
      <c r="EA38" s="35"/>
      <c r="EB38" s="35"/>
      <c r="EC38" s="35"/>
      <c r="ED38" s="35"/>
      <c r="EE38" s="35"/>
      <c r="EF38" s="35"/>
      <c r="EG38" s="35"/>
      <c r="EH38" s="35"/>
      <c r="EI38" s="35"/>
      <c r="EJ38" s="35"/>
      <c r="EK38" s="35"/>
      <c r="EL38" s="35"/>
      <c r="EM38" s="35"/>
      <c r="EN38" s="35"/>
      <c r="EO38" s="35"/>
      <c r="EP38" s="35"/>
      <c r="EQ38" s="35"/>
      <c r="ER38" s="35"/>
      <c r="ES38" s="35"/>
      <c r="ET38" s="35"/>
      <c r="EU38" s="35"/>
      <c r="EV38" s="35"/>
      <c r="EW38" s="35"/>
      <c r="EX38" s="35"/>
      <c r="EY38" s="36"/>
      <c r="EZ38" s="35"/>
      <c r="FA38" s="35"/>
      <c r="FB38" s="35"/>
      <c r="FC38" s="35"/>
      <c r="FD38" s="35"/>
      <c r="FE38" s="35"/>
      <c r="FF38" s="35"/>
      <c r="FG38" s="35"/>
      <c r="FH38" s="35"/>
      <c r="FI38" s="35"/>
      <c r="FJ38" s="35"/>
      <c r="FK38" s="35"/>
      <c r="FL38" s="35"/>
      <c r="FM38" s="35"/>
      <c r="FN38" s="35"/>
      <c r="FO38" s="35"/>
      <c r="FP38" s="35"/>
      <c r="FQ38" s="52"/>
      <c r="FR38" s="8"/>
      <c r="FS38" s="9" t="s">
        <v>13</v>
      </c>
      <c r="FT38" s="9" t="str">
        <f t="shared" si="151"/>
        <v>1. Opening Balances  1.5 Technical Support</v>
      </c>
    </row>
    <row r="39" spans="1:176" s="9" customFormat="1" ht="12" hidden="1" customHeight="1" outlineLevel="1">
      <c r="A39" s="125" t="s">
        <v>50</v>
      </c>
      <c r="B39" s="123"/>
      <c r="C39" s="124" t="str">
        <f t="shared" si="9"/>
        <v>0 days</v>
      </c>
      <c r="D39" s="13" t="str">
        <f>A9&amp;" "&amp;A34</f>
        <v>1. Opening Balances  1.5 Technical Support</v>
      </c>
      <c r="E39" s="51"/>
      <c r="F39" s="35"/>
      <c r="G39" s="35"/>
      <c r="H39" s="35"/>
      <c r="I39" s="35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6"/>
      <c r="AM39" s="36"/>
      <c r="AN39" s="36"/>
      <c r="AO39" s="36"/>
      <c r="AP39" s="36"/>
      <c r="AQ39" s="36"/>
      <c r="AR39" s="36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6"/>
      <c r="CU39" s="35"/>
      <c r="CV39" s="35"/>
      <c r="CW39" s="35"/>
      <c r="CX39" s="35"/>
      <c r="CY39" s="35"/>
      <c r="CZ39" s="36"/>
      <c r="DA39" s="36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35"/>
      <c r="DZ39" s="36"/>
      <c r="EA39" s="35"/>
      <c r="EB39" s="35"/>
      <c r="EC39" s="35"/>
      <c r="ED39" s="35"/>
      <c r="EE39" s="35"/>
      <c r="EF39" s="35"/>
      <c r="EG39" s="35"/>
      <c r="EH39" s="35"/>
      <c r="EI39" s="35"/>
      <c r="EJ39" s="35"/>
      <c r="EK39" s="35"/>
      <c r="EL39" s="35"/>
      <c r="EM39" s="35"/>
      <c r="EN39" s="35"/>
      <c r="EO39" s="35"/>
      <c r="EP39" s="35"/>
      <c r="EQ39" s="35"/>
      <c r="ER39" s="35"/>
      <c r="ES39" s="35"/>
      <c r="ET39" s="35"/>
      <c r="EU39" s="35"/>
      <c r="EV39" s="35"/>
      <c r="EW39" s="35"/>
      <c r="EX39" s="35"/>
      <c r="EY39" s="36"/>
      <c r="EZ39" s="35"/>
      <c r="FA39" s="35"/>
      <c r="FB39" s="35"/>
      <c r="FC39" s="35"/>
      <c r="FD39" s="35"/>
      <c r="FE39" s="35"/>
      <c r="FF39" s="35"/>
      <c r="FG39" s="35"/>
      <c r="FH39" s="35"/>
      <c r="FI39" s="35"/>
      <c r="FJ39" s="35"/>
      <c r="FK39" s="35"/>
      <c r="FL39" s="35"/>
      <c r="FM39" s="35"/>
      <c r="FN39" s="35"/>
      <c r="FO39" s="35"/>
      <c r="FP39" s="35"/>
      <c r="FQ39" s="52"/>
      <c r="FR39" s="8"/>
      <c r="FS39" s="9" t="s">
        <v>13</v>
      </c>
      <c r="FT39" s="9" t="str">
        <f t="shared" si="151"/>
        <v>1. Opening Balances  1.5 Technical Support</v>
      </c>
    </row>
    <row r="40" spans="1:176" s="9" customFormat="1" ht="12" customHeight="1" collapsed="1">
      <c r="A40" s="116" t="s">
        <v>57</v>
      </c>
      <c r="B40" s="132"/>
      <c r="C40" s="118" t="str">
        <f t="shared" si="9"/>
        <v>18 days</v>
      </c>
      <c r="D40" s="26"/>
      <c r="E40" s="89" t="str">
        <f t="shared" ref="E40:AK40" si="824">IF(SUBTOTAL(9,E42:E46,E48:E52,E54:E58,E60:E64,E66:E70)&gt;0,SUBTOTAL(9,E42:E46,E48:E52,E54:E58,E60:E64,E66:E70),"")</f>
        <v/>
      </c>
      <c r="F40" s="32" t="str">
        <f t="shared" si="824"/>
        <v/>
      </c>
      <c r="G40" s="32" t="str">
        <f t="shared" si="824"/>
        <v/>
      </c>
      <c r="H40" s="32" t="str">
        <f t="shared" si="824"/>
        <v/>
      </c>
      <c r="I40" s="32" t="str">
        <f t="shared" si="824"/>
        <v/>
      </c>
      <c r="J40" s="32" t="str">
        <f t="shared" si="824"/>
        <v/>
      </c>
      <c r="K40" s="32" t="str">
        <f t="shared" si="824"/>
        <v/>
      </c>
      <c r="L40" s="32" t="str">
        <f t="shared" si="824"/>
        <v/>
      </c>
      <c r="M40" s="32" t="str">
        <f t="shared" si="824"/>
        <v/>
      </c>
      <c r="N40" s="32" t="str">
        <f t="shared" si="824"/>
        <v/>
      </c>
      <c r="O40" s="32" t="str">
        <f t="shared" si="824"/>
        <v/>
      </c>
      <c r="P40" s="32" t="str">
        <f t="shared" si="824"/>
        <v/>
      </c>
      <c r="Q40" s="32" t="str">
        <f t="shared" si="824"/>
        <v/>
      </c>
      <c r="R40" s="32" t="str">
        <f t="shared" si="824"/>
        <v/>
      </c>
      <c r="S40" s="32" t="str">
        <f t="shared" si="824"/>
        <v/>
      </c>
      <c r="T40" s="32" t="str">
        <f t="shared" si="824"/>
        <v/>
      </c>
      <c r="U40" s="32" t="str">
        <f t="shared" si="824"/>
        <v/>
      </c>
      <c r="V40" s="32" t="str">
        <f t="shared" si="824"/>
        <v/>
      </c>
      <c r="W40" s="32" t="str">
        <f t="shared" si="824"/>
        <v/>
      </c>
      <c r="X40" s="32" t="str">
        <f t="shared" si="824"/>
        <v/>
      </c>
      <c r="Y40" s="32" t="str">
        <f t="shared" si="824"/>
        <v/>
      </c>
      <c r="Z40" s="32" t="str">
        <f t="shared" si="824"/>
        <v/>
      </c>
      <c r="AA40" s="32" t="str">
        <f t="shared" si="824"/>
        <v/>
      </c>
      <c r="AB40" s="32" t="str">
        <f t="shared" si="824"/>
        <v/>
      </c>
      <c r="AC40" s="32" t="str">
        <f t="shared" si="824"/>
        <v/>
      </c>
      <c r="AD40" s="32" t="str">
        <f t="shared" si="824"/>
        <v/>
      </c>
      <c r="AE40" s="32" t="str">
        <f t="shared" si="824"/>
        <v/>
      </c>
      <c r="AF40" s="32" t="str">
        <f t="shared" si="824"/>
        <v/>
      </c>
      <c r="AG40" s="32" t="str">
        <f t="shared" si="824"/>
        <v/>
      </c>
      <c r="AH40" s="32" t="str">
        <f t="shared" si="824"/>
        <v/>
      </c>
      <c r="AI40" s="32" t="str">
        <f t="shared" si="824"/>
        <v/>
      </c>
      <c r="AJ40" s="32" t="str">
        <f t="shared" si="824"/>
        <v/>
      </c>
      <c r="AK40" s="32" t="str">
        <f t="shared" si="824"/>
        <v/>
      </c>
      <c r="AL40" s="33" t="str">
        <f>IF(SUBTOTAL(9,AL42:AL46,AL48:AL52,AL54:AL58,AL60:AL64,AL66:AL70)&gt;0,SUBTOTAL(9,AL42:AL46,AL48:AL52,AL54:AL58,AL60:AL64,AL66:AL70),"")</f>
        <v/>
      </c>
      <c r="AM40" s="33" t="str">
        <f t="shared" ref="AM40:CX40" si="825">IF(SUBTOTAL(9,AM42:AM46,AM48:AM52,AM54:AM58,AM60:AM64,AM66:AM70)&gt;0,SUBTOTAL(9,AM42:AM46,AM48:AM52,AM54:AM58,AM60:AM64,AM66:AM70),"")</f>
        <v/>
      </c>
      <c r="AN40" s="33" t="str">
        <f t="shared" si="825"/>
        <v/>
      </c>
      <c r="AO40" s="33" t="str">
        <f t="shared" si="825"/>
        <v/>
      </c>
      <c r="AP40" s="33" t="str">
        <f t="shared" si="825"/>
        <v/>
      </c>
      <c r="AQ40" s="33" t="str">
        <f t="shared" si="825"/>
        <v/>
      </c>
      <c r="AR40" s="33" t="str">
        <f t="shared" si="825"/>
        <v/>
      </c>
      <c r="AS40" s="32" t="str">
        <f t="shared" si="825"/>
        <v/>
      </c>
      <c r="AT40" s="32" t="str">
        <f t="shared" si="825"/>
        <v/>
      </c>
      <c r="AU40" s="32" t="str">
        <f t="shared" si="825"/>
        <v/>
      </c>
      <c r="AV40" s="32" t="str">
        <f t="shared" si="825"/>
        <v/>
      </c>
      <c r="AW40" s="32" t="str">
        <f t="shared" si="825"/>
        <v/>
      </c>
      <c r="AX40" s="32" t="str">
        <f t="shared" si="825"/>
        <v/>
      </c>
      <c r="AY40" s="32" t="str">
        <f t="shared" si="825"/>
        <v/>
      </c>
      <c r="AZ40" s="32" t="str">
        <f t="shared" si="825"/>
        <v/>
      </c>
      <c r="BA40" s="32" t="str">
        <f t="shared" si="825"/>
        <v/>
      </c>
      <c r="BB40" s="32" t="str">
        <f t="shared" si="825"/>
        <v/>
      </c>
      <c r="BC40" s="32" t="str">
        <f t="shared" si="825"/>
        <v/>
      </c>
      <c r="BD40" s="32" t="str">
        <f t="shared" si="825"/>
        <v/>
      </c>
      <c r="BE40" s="32" t="str">
        <f t="shared" si="825"/>
        <v/>
      </c>
      <c r="BF40" s="32" t="str">
        <f t="shared" si="825"/>
        <v/>
      </c>
      <c r="BG40" s="32" t="str">
        <f t="shared" si="825"/>
        <v/>
      </c>
      <c r="BH40" s="32" t="str">
        <f t="shared" si="825"/>
        <v/>
      </c>
      <c r="BI40" s="32" t="str">
        <f t="shared" si="825"/>
        <v/>
      </c>
      <c r="BJ40" s="32" t="str">
        <f t="shared" si="825"/>
        <v/>
      </c>
      <c r="BK40" s="32" t="str">
        <f t="shared" si="825"/>
        <v/>
      </c>
      <c r="BL40" s="32" t="str">
        <f t="shared" si="825"/>
        <v/>
      </c>
      <c r="BM40" s="32" t="str">
        <f t="shared" si="825"/>
        <v/>
      </c>
      <c r="BN40" s="32" t="str">
        <f t="shared" si="825"/>
        <v/>
      </c>
      <c r="BO40" s="32" t="str">
        <f t="shared" si="825"/>
        <v/>
      </c>
      <c r="BP40" s="32" t="str">
        <f t="shared" si="825"/>
        <v/>
      </c>
      <c r="BQ40" s="32" t="str">
        <f t="shared" si="825"/>
        <v/>
      </c>
      <c r="BR40" s="32" t="str">
        <f t="shared" si="825"/>
        <v/>
      </c>
      <c r="BS40" s="32" t="str">
        <f t="shared" si="825"/>
        <v/>
      </c>
      <c r="BT40" s="32" t="str">
        <f t="shared" si="825"/>
        <v/>
      </c>
      <c r="BU40" s="32" t="str">
        <f t="shared" si="825"/>
        <v/>
      </c>
      <c r="BV40" s="32" t="str">
        <f t="shared" si="825"/>
        <v/>
      </c>
      <c r="BW40" s="32" t="str">
        <f t="shared" si="825"/>
        <v/>
      </c>
      <c r="BX40" s="32" t="str">
        <f t="shared" si="825"/>
        <v/>
      </c>
      <c r="BY40" s="32" t="str">
        <f t="shared" si="825"/>
        <v/>
      </c>
      <c r="BZ40" s="32" t="str">
        <f t="shared" si="825"/>
        <v/>
      </c>
      <c r="CA40" s="32" t="str">
        <f t="shared" si="825"/>
        <v/>
      </c>
      <c r="CB40" s="32" t="str">
        <f t="shared" si="825"/>
        <v/>
      </c>
      <c r="CC40" s="32" t="str">
        <f t="shared" si="825"/>
        <v/>
      </c>
      <c r="CD40" s="32" t="str">
        <f t="shared" si="825"/>
        <v/>
      </c>
      <c r="CE40" s="32" t="str">
        <f t="shared" si="825"/>
        <v/>
      </c>
      <c r="CF40" s="32" t="str">
        <f t="shared" si="825"/>
        <v/>
      </c>
      <c r="CG40" s="32" t="str">
        <f t="shared" ref="CG40" si="826">IF(SUBTOTAL(9,CG42:CG46,CG48:CG52,CG54:CG58,CG60:CG64,CG66:CG70)&gt;0,SUBTOTAL(9,CG42:CG46,CG48:CG52,CG54:CG58,CG60:CG64,CG66:CG70),"")</f>
        <v/>
      </c>
      <c r="CH40" s="32" t="str">
        <f t="shared" si="825"/>
        <v/>
      </c>
      <c r="CI40" s="32" t="str">
        <f t="shared" si="825"/>
        <v/>
      </c>
      <c r="CJ40" s="32" t="str">
        <f t="shared" si="825"/>
        <v/>
      </c>
      <c r="CK40" s="32" t="str">
        <f t="shared" si="825"/>
        <v/>
      </c>
      <c r="CL40" s="32" t="str">
        <f t="shared" si="825"/>
        <v/>
      </c>
      <c r="CM40" s="32" t="str">
        <f t="shared" si="825"/>
        <v/>
      </c>
      <c r="CN40" s="32" t="str">
        <f t="shared" si="825"/>
        <v/>
      </c>
      <c r="CO40" s="32" t="str">
        <f t="shared" si="825"/>
        <v/>
      </c>
      <c r="CP40" s="32" t="str">
        <f t="shared" si="825"/>
        <v/>
      </c>
      <c r="CQ40" s="32" t="str">
        <f t="shared" si="825"/>
        <v/>
      </c>
      <c r="CR40" s="32" t="str">
        <f t="shared" si="825"/>
        <v/>
      </c>
      <c r="CS40" s="32" t="str">
        <f t="shared" si="825"/>
        <v/>
      </c>
      <c r="CT40" s="33" t="str">
        <f t="shared" si="825"/>
        <v/>
      </c>
      <c r="CU40" s="32" t="str">
        <f t="shared" si="825"/>
        <v/>
      </c>
      <c r="CV40" s="32" t="str">
        <f t="shared" si="825"/>
        <v/>
      </c>
      <c r="CW40" s="32" t="str">
        <f t="shared" si="825"/>
        <v/>
      </c>
      <c r="CX40" s="32" t="str">
        <f t="shared" si="825"/>
        <v/>
      </c>
      <c r="CY40" s="32" t="str">
        <f t="shared" ref="CY40:FJ40" si="827">IF(SUBTOTAL(9,CY42:CY46,CY48:CY52,CY54:CY58,CY60:CY64,CY66:CY70)&gt;0,SUBTOTAL(9,CY42:CY46,CY48:CY52,CY54:CY58,CY60:CY64,CY66:CY70),"")</f>
        <v/>
      </c>
      <c r="CZ40" s="33" t="str">
        <f t="shared" si="827"/>
        <v/>
      </c>
      <c r="DA40" s="33" t="str">
        <f t="shared" si="827"/>
        <v/>
      </c>
      <c r="DB40" s="32" t="str">
        <f t="shared" si="827"/>
        <v/>
      </c>
      <c r="DC40" s="32" t="str">
        <f t="shared" si="827"/>
        <v/>
      </c>
      <c r="DD40" s="32" t="str">
        <f t="shared" si="827"/>
        <v/>
      </c>
      <c r="DE40" s="32" t="str">
        <f t="shared" si="827"/>
        <v/>
      </c>
      <c r="DF40" s="32" t="str">
        <f t="shared" si="827"/>
        <v/>
      </c>
      <c r="DG40" s="32" t="str">
        <f t="shared" si="827"/>
        <v/>
      </c>
      <c r="DH40" s="32" t="str">
        <f t="shared" si="827"/>
        <v/>
      </c>
      <c r="DI40" s="32" t="str">
        <f t="shared" si="827"/>
        <v/>
      </c>
      <c r="DJ40" s="32" t="str">
        <f t="shared" si="827"/>
        <v/>
      </c>
      <c r="DK40" s="32">
        <f t="shared" si="827"/>
        <v>1</v>
      </c>
      <c r="DL40" s="32">
        <f t="shared" si="827"/>
        <v>1</v>
      </c>
      <c r="DM40" s="32">
        <f t="shared" si="827"/>
        <v>2</v>
      </c>
      <c r="DN40" s="32">
        <f t="shared" si="827"/>
        <v>4</v>
      </c>
      <c r="DO40" s="32">
        <f t="shared" si="827"/>
        <v>2.5</v>
      </c>
      <c r="DP40" s="32">
        <f t="shared" si="827"/>
        <v>2</v>
      </c>
      <c r="DQ40" s="32">
        <f t="shared" si="827"/>
        <v>1</v>
      </c>
      <c r="DR40" s="32">
        <f t="shared" si="827"/>
        <v>1.5</v>
      </c>
      <c r="DS40" s="32" t="str">
        <f t="shared" si="827"/>
        <v/>
      </c>
      <c r="DT40" s="32" t="str">
        <f t="shared" si="827"/>
        <v/>
      </c>
      <c r="DU40" s="32" t="str">
        <f t="shared" si="827"/>
        <v/>
      </c>
      <c r="DV40" s="32" t="str">
        <f t="shared" si="827"/>
        <v/>
      </c>
      <c r="DW40" s="32" t="str">
        <f t="shared" si="827"/>
        <v/>
      </c>
      <c r="DX40" s="32" t="str">
        <f t="shared" si="827"/>
        <v/>
      </c>
      <c r="DY40" s="32" t="str">
        <f t="shared" si="827"/>
        <v/>
      </c>
      <c r="DZ40" s="33" t="str">
        <f t="shared" si="827"/>
        <v/>
      </c>
      <c r="EA40" s="32" t="str">
        <f t="shared" si="827"/>
        <v/>
      </c>
      <c r="EB40" s="32" t="str">
        <f t="shared" si="827"/>
        <v/>
      </c>
      <c r="EC40" s="32" t="str">
        <f t="shared" si="827"/>
        <v/>
      </c>
      <c r="ED40" s="32" t="str">
        <f t="shared" si="827"/>
        <v/>
      </c>
      <c r="EE40" s="32" t="str">
        <f t="shared" si="827"/>
        <v/>
      </c>
      <c r="EF40" s="32" t="str">
        <f t="shared" si="827"/>
        <v/>
      </c>
      <c r="EG40" s="32" t="str">
        <f t="shared" si="827"/>
        <v/>
      </c>
      <c r="EH40" s="32" t="str">
        <f t="shared" si="827"/>
        <v/>
      </c>
      <c r="EI40" s="32" t="str">
        <f t="shared" si="827"/>
        <v/>
      </c>
      <c r="EJ40" s="32" t="str">
        <f t="shared" si="827"/>
        <v/>
      </c>
      <c r="EK40" s="32" t="str">
        <f t="shared" si="827"/>
        <v/>
      </c>
      <c r="EL40" s="32" t="str">
        <f t="shared" si="827"/>
        <v/>
      </c>
      <c r="EM40" s="32" t="str">
        <f t="shared" si="827"/>
        <v/>
      </c>
      <c r="EN40" s="32">
        <f t="shared" si="827"/>
        <v>1</v>
      </c>
      <c r="EO40" s="32">
        <f t="shared" si="827"/>
        <v>1.5</v>
      </c>
      <c r="EP40" s="32" t="str">
        <f t="shared" si="827"/>
        <v/>
      </c>
      <c r="EQ40" s="32" t="str">
        <f t="shared" si="827"/>
        <v/>
      </c>
      <c r="ER40" s="32" t="str">
        <f t="shared" si="827"/>
        <v/>
      </c>
      <c r="ES40" s="32" t="str">
        <f t="shared" si="827"/>
        <v/>
      </c>
      <c r="ET40" s="32" t="str">
        <f t="shared" si="827"/>
        <v/>
      </c>
      <c r="EU40" s="32" t="str">
        <f t="shared" si="827"/>
        <v/>
      </c>
      <c r="EV40" s="32" t="str">
        <f t="shared" si="827"/>
        <v/>
      </c>
      <c r="EW40" s="32" t="str">
        <f t="shared" si="827"/>
        <v/>
      </c>
      <c r="EX40" s="32" t="str">
        <f t="shared" si="827"/>
        <v/>
      </c>
      <c r="EY40" s="33" t="str">
        <f t="shared" si="827"/>
        <v/>
      </c>
      <c r="EZ40" s="32" t="str">
        <f t="shared" si="827"/>
        <v/>
      </c>
      <c r="FA40" s="32" t="str">
        <f t="shared" si="827"/>
        <v/>
      </c>
      <c r="FB40" s="32" t="str">
        <f t="shared" si="827"/>
        <v/>
      </c>
      <c r="FC40" s="32" t="str">
        <f t="shared" si="827"/>
        <v/>
      </c>
      <c r="FD40" s="32" t="str">
        <f t="shared" si="827"/>
        <v/>
      </c>
      <c r="FE40" s="32" t="str">
        <f t="shared" si="827"/>
        <v/>
      </c>
      <c r="FF40" s="32" t="str">
        <f t="shared" si="827"/>
        <v/>
      </c>
      <c r="FG40" s="32" t="str">
        <f t="shared" si="827"/>
        <v/>
      </c>
      <c r="FH40" s="32" t="str">
        <f t="shared" si="827"/>
        <v/>
      </c>
      <c r="FI40" s="32" t="str">
        <f t="shared" si="827"/>
        <v/>
      </c>
      <c r="FJ40" s="32" t="str">
        <f t="shared" si="827"/>
        <v/>
      </c>
      <c r="FK40" s="32" t="str">
        <f t="shared" ref="FK40:FQ40" si="828">IF(SUBTOTAL(9,FK42:FK46,FK48:FK52,FK54:FK58,FK60:FK64,FK66:FK70)&gt;0,SUBTOTAL(9,FK42:FK46,FK48:FK52,FK54:FK58,FK60:FK64,FK66:FK70),"")</f>
        <v/>
      </c>
      <c r="FL40" s="32" t="str">
        <f t="shared" si="828"/>
        <v/>
      </c>
      <c r="FM40" s="32" t="str">
        <f t="shared" si="828"/>
        <v/>
      </c>
      <c r="FN40" s="32" t="str">
        <f t="shared" si="828"/>
        <v/>
      </c>
      <c r="FO40" s="32" t="str">
        <f t="shared" si="828"/>
        <v/>
      </c>
      <c r="FP40" s="32" t="str">
        <f t="shared" si="828"/>
        <v/>
      </c>
      <c r="FQ40" s="90" t="str">
        <f t="shared" si="828"/>
        <v/>
      </c>
      <c r="FR40" s="8"/>
      <c r="FS40" s="9" t="s">
        <v>131</v>
      </c>
      <c r="FT40" s="9" t="str">
        <f t="shared" si="151"/>
        <v/>
      </c>
    </row>
    <row r="41" spans="1:176" s="9" customFormat="1" ht="12" customHeight="1">
      <c r="A41" s="119" t="s">
        <v>58</v>
      </c>
      <c r="B41" s="127"/>
      <c r="C41" s="121" t="str">
        <f t="shared" si="9"/>
        <v>6 days</v>
      </c>
      <c r="D41" s="27"/>
      <c r="E41" s="91" t="str">
        <f t="shared" ref="E41" si="829">IF(SUBTOTAL(9,E42:E46)&gt;0,SUBTOTAL(9,E42:E46),"")</f>
        <v/>
      </c>
      <c r="F41" s="34" t="str">
        <f t="shared" ref="F41" si="830">IF(SUBTOTAL(9,F42:F46)&gt;0,SUBTOTAL(9,F42:F46),"")</f>
        <v/>
      </c>
      <c r="G41" s="34" t="str">
        <f t="shared" ref="G41" si="831">IF(SUBTOTAL(9,G42:G46)&gt;0,SUBTOTAL(9,G42:G46),"")</f>
        <v/>
      </c>
      <c r="H41" s="34" t="str">
        <f t="shared" ref="H41" si="832">IF(SUBTOTAL(9,H42:H46)&gt;0,SUBTOTAL(9,H42:H46),"")</f>
        <v/>
      </c>
      <c r="I41" s="34" t="str">
        <f t="shared" ref="I41" si="833">IF(SUBTOTAL(9,I42:I46)&gt;0,SUBTOTAL(9,I42:I46),"")</f>
        <v/>
      </c>
      <c r="J41" s="34" t="str">
        <f t="shared" ref="J41" si="834">IF(SUBTOTAL(9,J42:J46)&gt;0,SUBTOTAL(9,J42:J46),"")</f>
        <v/>
      </c>
      <c r="K41" s="34" t="str">
        <f t="shared" ref="K41" si="835">IF(SUBTOTAL(9,K42:K46)&gt;0,SUBTOTAL(9,K42:K46),"")</f>
        <v/>
      </c>
      <c r="L41" s="34" t="str">
        <f t="shared" ref="L41" si="836">IF(SUBTOTAL(9,L42:L46)&gt;0,SUBTOTAL(9,L42:L46),"")</f>
        <v/>
      </c>
      <c r="M41" s="34" t="str">
        <f t="shared" ref="M41" si="837">IF(SUBTOTAL(9,M42:M46)&gt;0,SUBTOTAL(9,M42:M46),"")</f>
        <v/>
      </c>
      <c r="N41" s="34" t="str">
        <f t="shared" ref="N41" si="838">IF(SUBTOTAL(9,N42:N46)&gt;0,SUBTOTAL(9,N42:N46),"")</f>
        <v/>
      </c>
      <c r="O41" s="34" t="str">
        <f t="shared" ref="O41" si="839">IF(SUBTOTAL(9,O42:O46)&gt;0,SUBTOTAL(9,O42:O46),"")</f>
        <v/>
      </c>
      <c r="P41" s="34" t="str">
        <f t="shared" ref="P41" si="840">IF(SUBTOTAL(9,P42:P46)&gt;0,SUBTOTAL(9,P42:P46),"")</f>
        <v/>
      </c>
      <c r="Q41" s="34" t="str">
        <f t="shared" ref="Q41" si="841">IF(SUBTOTAL(9,Q42:Q46)&gt;0,SUBTOTAL(9,Q42:Q46),"")</f>
        <v/>
      </c>
      <c r="R41" s="34" t="str">
        <f t="shared" ref="R41" si="842">IF(SUBTOTAL(9,R42:R46)&gt;0,SUBTOTAL(9,R42:R46),"")</f>
        <v/>
      </c>
      <c r="S41" s="34" t="str">
        <f t="shared" ref="S41" si="843">IF(SUBTOTAL(9,S42:S46)&gt;0,SUBTOTAL(9,S42:S46),"")</f>
        <v/>
      </c>
      <c r="T41" s="34" t="str">
        <f t="shared" ref="T41" si="844">IF(SUBTOTAL(9,T42:T46)&gt;0,SUBTOTAL(9,T42:T46),"")</f>
        <v/>
      </c>
      <c r="U41" s="34" t="str">
        <f t="shared" ref="U41" si="845">IF(SUBTOTAL(9,U42:U46)&gt;0,SUBTOTAL(9,U42:U46),"")</f>
        <v/>
      </c>
      <c r="V41" s="34" t="str">
        <f t="shared" ref="V41" si="846">IF(SUBTOTAL(9,V42:V46)&gt;0,SUBTOTAL(9,V42:V46),"")</f>
        <v/>
      </c>
      <c r="W41" s="34" t="str">
        <f t="shared" ref="W41" si="847">IF(SUBTOTAL(9,W42:W46)&gt;0,SUBTOTAL(9,W42:W46),"")</f>
        <v/>
      </c>
      <c r="X41" s="34" t="str">
        <f t="shared" ref="X41" si="848">IF(SUBTOTAL(9,X42:X46)&gt;0,SUBTOTAL(9,X42:X46),"")</f>
        <v/>
      </c>
      <c r="Y41" s="34" t="str">
        <f t="shared" ref="Y41" si="849">IF(SUBTOTAL(9,Y42:Y46)&gt;0,SUBTOTAL(9,Y42:Y46),"")</f>
        <v/>
      </c>
      <c r="Z41" s="34" t="str">
        <f t="shared" ref="Z41" si="850">IF(SUBTOTAL(9,Z42:Z46)&gt;0,SUBTOTAL(9,Z42:Z46),"")</f>
        <v/>
      </c>
      <c r="AA41" s="34" t="str">
        <f t="shared" ref="AA41" si="851">IF(SUBTOTAL(9,AA42:AA46)&gt;0,SUBTOTAL(9,AA42:AA46),"")</f>
        <v/>
      </c>
      <c r="AB41" s="34" t="str">
        <f t="shared" ref="AB41" si="852">IF(SUBTOTAL(9,AB42:AB46)&gt;0,SUBTOTAL(9,AB42:AB46),"")</f>
        <v/>
      </c>
      <c r="AC41" s="34" t="str">
        <f t="shared" ref="AC41" si="853">IF(SUBTOTAL(9,AC42:AC46)&gt;0,SUBTOTAL(9,AC42:AC46),"")</f>
        <v/>
      </c>
      <c r="AD41" s="34" t="str">
        <f t="shared" ref="AD41" si="854">IF(SUBTOTAL(9,AD42:AD46)&gt;0,SUBTOTAL(9,AD42:AD46),"")</f>
        <v/>
      </c>
      <c r="AE41" s="34" t="str">
        <f t="shared" ref="AE41" si="855">IF(SUBTOTAL(9,AE42:AE46)&gt;0,SUBTOTAL(9,AE42:AE46),"")</f>
        <v/>
      </c>
      <c r="AF41" s="34" t="str">
        <f t="shared" ref="AF41" si="856">IF(SUBTOTAL(9,AF42:AF46)&gt;0,SUBTOTAL(9,AF42:AF46),"")</f>
        <v/>
      </c>
      <c r="AG41" s="34" t="str">
        <f t="shared" ref="AG41" si="857">IF(SUBTOTAL(9,AG42:AG46)&gt;0,SUBTOTAL(9,AG42:AG46),"")</f>
        <v/>
      </c>
      <c r="AH41" s="34" t="str">
        <f t="shared" ref="AH41" si="858">IF(SUBTOTAL(9,AH42:AH46)&gt;0,SUBTOTAL(9,AH42:AH46),"")</f>
        <v/>
      </c>
      <c r="AI41" s="34" t="str">
        <f t="shared" ref="AI41" si="859">IF(SUBTOTAL(9,AI42:AI46)&gt;0,SUBTOTAL(9,AI42:AI46),"")</f>
        <v/>
      </c>
      <c r="AJ41" s="34" t="str">
        <f t="shared" ref="AJ41" si="860">IF(SUBTOTAL(9,AJ42:AJ46)&gt;0,SUBTOTAL(9,AJ42:AJ46),"")</f>
        <v/>
      </c>
      <c r="AK41" s="34" t="str">
        <f t="shared" ref="AK41" si="861">IF(SUBTOTAL(9,AK42:AK46)&gt;0,SUBTOTAL(9,AK42:AK46),"")</f>
        <v/>
      </c>
      <c r="AL41" s="33" t="str">
        <f t="shared" ref="AL41" si="862">IF(SUBTOTAL(9,AL42:AL46)&gt;0,SUBTOTAL(9,AL42:AL46),"")</f>
        <v/>
      </c>
      <c r="AM41" s="33" t="str">
        <f t="shared" ref="AM41" si="863">IF(SUBTOTAL(9,AM42:AM46)&gt;0,SUBTOTAL(9,AM42:AM46),"")</f>
        <v/>
      </c>
      <c r="AN41" s="33" t="str">
        <f t="shared" ref="AN41" si="864">IF(SUBTOTAL(9,AN42:AN46)&gt;0,SUBTOTAL(9,AN42:AN46),"")</f>
        <v/>
      </c>
      <c r="AO41" s="33" t="str">
        <f t="shared" ref="AO41" si="865">IF(SUBTOTAL(9,AO42:AO46)&gt;0,SUBTOTAL(9,AO42:AO46),"")</f>
        <v/>
      </c>
      <c r="AP41" s="33" t="str">
        <f t="shared" ref="AP41" si="866">IF(SUBTOTAL(9,AP42:AP46)&gt;0,SUBTOTAL(9,AP42:AP46),"")</f>
        <v/>
      </c>
      <c r="AQ41" s="33" t="str">
        <f t="shared" ref="AQ41" si="867">IF(SUBTOTAL(9,AQ42:AQ46)&gt;0,SUBTOTAL(9,AQ42:AQ46),"")</f>
        <v/>
      </c>
      <c r="AR41" s="33" t="str">
        <f t="shared" ref="AR41" si="868">IF(SUBTOTAL(9,AR42:AR46)&gt;0,SUBTOTAL(9,AR42:AR46),"")</f>
        <v/>
      </c>
      <c r="AS41" s="34" t="str">
        <f t="shared" ref="AS41" si="869">IF(SUBTOTAL(9,AS42:AS46)&gt;0,SUBTOTAL(9,AS42:AS46),"")</f>
        <v/>
      </c>
      <c r="AT41" s="34" t="str">
        <f t="shared" ref="AT41" si="870">IF(SUBTOTAL(9,AT42:AT46)&gt;0,SUBTOTAL(9,AT42:AT46),"")</f>
        <v/>
      </c>
      <c r="AU41" s="34" t="str">
        <f t="shared" ref="AU41" si="871">IF(SUBTOTAL(9,AU42:AU46)&gt;0,SUBTOTAL(9,AU42:AU46),"")</f>
        <v/>
      </c>
      <c r="AV41" s="34" t="str">
        <f t="shared" ref="AV41" si="872">IF(SUBTOTAL(9,AV42:AV46)&gt;0,SUBTOTAL(9,AV42:AV46),"")</f>
        <v/>
      </c>
      <c r="AW41" s="34" t="str">
        <f t="shared" ref="AW41" si="873">IF(SUBTOTAL(9,AW42:AW46)&gt;0,SUBTOTAL(9,AW42:AW46),"")</f>
        <v/>
      </c>
      <c r="AX41" s="34" t="str">
        <f t="shared" ref="AX41" si="874">IF(SUBTOTAL(9,AX42:AX46)&gt;0,SUBTOTAL(9,AX42:AX46),"")</f>
        <v/>
      </c>
      <c r="AY41" s="34" t="str">
        <f t="shared" ref="AY41" si="875">IF(SUBTOTAL(9,AY42:AY46)&gt;0,SUBTOTAL(9,AY42:AY46),"")</f>
        <v/>
      </c>
      <c r="AZ41" s="34" t="str">
        <f t="shared" ref="AZ41" si="876">IF(SUBTOTAL(9,AZ42:AZ46)&gt;0,SUBTOTAL(9,AZ42:AZ46),"")</f>
        <v/>
      </c>
      <c r="BA41" s="34" t="str">
        <f t="shared" ref="BA41" si="877">IF(SUBTOTAL(9,BA42:BA46)&gt;0,SUBTOTAL(9,BA42:BA46),"")</f>
        <v/>
      </c>
      <c r="BB41" s="34" t="str">
        <f t="shared" ref="BB41" si="878">IF(SUBTOTAL(9,BB42:BB46)&gt;0,SUBTOTAL(9,BB42:BB46),"")</f>
        <v/>
      </c>
      <c r="BC41" s="34" t="str">
        <f t="shared" ref="BC41" si="879">IF(SUBTOTAL(9,BC42:BC46)&gt;0,SUBTOTAL(9,BC42:BC46),"")</f>
        <v/>
      </c>
      <c r="BD41" s="34" t="str">
        <f t="shared" ref="BD41" si="880">IF(SUBTOTAL(9,BD42:BD46)&gt;0,SUBTOTAL(9,BD42:BD46),"")</f>
        <v/>
      </c>
      <c r="BE41" s="34" t="str">
        <f t="shared" ref="BE41" si="881">IF(SUBTOTAL(9,BE42:BE46)&gt;0,SUBTOTAL(9,BE42:BE46),"")</f>
        <v/>
      </c>
      <c r="BF41" s="34" t="str">
        <f t="shared" ref="BF41" si="882">IF(SUBTOTAL(9,BF42:BF46)&gt;0,SUBTOTAL(9,BF42:BF46),"")</f>
        <v/>
      </c>
      <c r="BG41" s="34" t="str">
        <f t="shared" ref="BG41" si="883">IF(SUBTOTAL(9,BG42:BG46)&gt;0,SUBTOTAL(9,BG42:BG46),"")</f>
        <v/>
      </c>
      <c r="BH41" s="34" t="str">
        <f t="shared" ref="BH41" si="884">IF(SUBTOTAL(9,BH42:BH46)&gt;0,SUBTOTAL(9,BH42:BH46),"")</f>
        <v/>
      </c>
      <c r="BI41" s="34" t="str">
        <f t="shared" ref="BI41" si="885">IF(SUBTOTAL(9,BI42:BI46)&gt;0,SUBTOTAL(9,BI42:BI46),"")</f>
        <v/>
      </c>
      <c r="BJ41" s="34" t="str">
        <f t="shared" ref="BJ41" si="886">IF(SUBTOTAL(9,BJ42:BJ46)&gt;0,SUBTOTAL(9,BJ42:BJ46),"")</f>
        <v/>
      </c>
      <c r="BK41" s="34" t="str">
        <f t="shared" ref="BK41" si="887">IF(SUBTOTAL(9,BK42:BK46)&gt;0,SUBTOTAL(9,BK42:BK46),"")</f>
        <v/>
      </c>
      <c r="BL41" s="34" t="str">
        <f t="shared" ref="BL41" si="888">IF(SUBTOTAL(9,BL42:BL46)&gt;0,SUBTOTAL(9,BL42:BL46),"")</f>
        <v/>
      </c>
      <c r="BM41" s="34" t="str">
        <f t="shared" ref="BM41" si="889">IF(SUBTOTAL(9,BM42:BM46)&gt;0,SUBTOTAL(9,BM42:BM46),"")</f>
        <v/>
      </c>
      <c r="BN41" s="34" t="str">
        <f t="shared" ref="BN41" si="890">IF(SUBTOTAL(9,BN42:BN46)&gt;0,SUBTOTAL(9,BN42:BN46),"")</f>
        <v/>
      </c>
      <c r="BO41" s="34" t="str">
        <f t="shared" ref="BO41" si="891">IF(SUBTOTAL(9,BO42:BO46)&gt;0,SUBTOTAL(9,BO42:BO46),"")</f>
        <v/>
      </c>
      <c r="BP41" s="34" t="str">
        <f t="shared" ref="BP41" si="892">IF(SUBTOTAL(9,BP42:BP46)&gt;0,SUBTOTAL(9,BP42:BP46),"")</f>
        <v/>
      </c>
      <c r="BQ41" s="34" t="str">
        <f t="shared" ref="BQ41" si="893">IF(SUBTOTAL(9,BQ42:BQ46)&gt;0,SUBTOTAL(9,BQ42:BQ46),"")</f>
        <v/>
      </c>
      <c r="BR41" s="34" t="str">
        <f t="shared" ref="BR41" si="894">IF(SUBTOTAL(9,BR42:BR46)&gt;0,SUBTOTAL(9,BR42:BR46),"")</f>
        <v/>
      </c>
      <c r="BS41" s="34" t="str">
        <f t="shared" ref="BS41" si="895">IF(SUBTOTAL(9,BS42:BS46)&gt;0,SUBTOTAL(9,BS42:BS46),"")</f>
        <v/>
      </c>
      <c r="BT41" s="34" t="str">
        <f t="shared" ref="BT41" si="896">IF(SUBTOTAL(9,BT42:BT46)&gt;0,SUBTOTAL(9,BT42:BT46),"")</f>
        <v/>
      </c>
      <c r="BU41" s="34" t="str">
        <f t="shared" ref="BU41" si="897">IF(SUBTOTAL(9,BU42:BU46)&gt;0,SUBTOTAL(9,BU42:BU46),"")</f>
        <v/>
      </c>
      <c r="BV41" s="34" t="str">
        <f t="shared" ref="BV41" si="898">IF(SUBTOTAL(9,BV42:BV46)&gt;0,SUBTOTAL(9,BV42:BV46),"")</f>
        <v/>
      </c>
      <c r="BW41" s="34" t="str">
        <f t="shared" ref="BW41" si="899">IF(SUBTOTAL(9,BW42:BW46)&gt;0,SUBTOTAL(9,BW42:BW46),"")</f>
        <v/>
      </c>
      <c r="BX41" s="34" t="str">
        <f t="shared" ref="BX41" si="900">IF(SUBTOTAL(9,BX42:BX46)&gt;0,SUBTOTAL(9,BX42:BX46),"")</f>
        <v/>
      </c>
      <c r="BY41" s="34" t="str">
        <f t="shared" ref="BY41" si="901">IF(SUBTOTAL(9,BY42:BY46)&gt;0,SUBTOTAL(9,BY42:BY46),"")</f>
        <v/>
      </c>
      <c r="BZ41" s="34" t="str">
        <f t="shared" ref="BZ41" si="902">IF(SUBTOTAL(9,BZ42:BZ46)&gt;0,SUBTOTAL(9,BZ42:BZ46),"")</f>
        <v/>
      </c>
      <c r="CA41" s="34" t="str">
        <f t="shared" ref="CA41" si="903">IF(SUBTOTAL(9,CA42:CA46)&gt;0,SUBTOTAL(9,CA42:CA46),"")</f>
        <v/>
      </c>
      <c r="CB41" s="34" t="str">
        <f t="shared" ref="CB41" si="904">IF(SUBTOTAL(9,CB42:CB46)&gt;0,SUBTOTAL(9,CB42:CB46),"")</f>
        <v/>
      </c>
      <c r="CC41" s="34" t="str">
        <f t="shared" ref="CC41" si="905">IF(SUBTOTAL(9,CC42:CC46)&gt;0,SUBTOTAL(9,CC42:CC46),"")</f>
        <v/>
      </c>
      <c r="CD41" s="34" t="str">
        <f t="shared" ref="CD41" si="906">IF(SUBTOTAL(9,CD42:CD46)&gt;0,SUBTOTAL(9,CD42:CD46),"")</f>
        <v/>
      </c>
      <c r="CE41" s="34" t="str">
        <f t="shared" ref="CE41" si="907">IF(SUBTOTAL(9,CE42:CE46)&gt;0,SUBTOTAL(9,CE42:CE46),"")</f>
        <v/>
      </c>
      <c r="CF41" s="34" t="str">
        <f t="shared" ref="CF41:CG41" si="908">IF(SUBTOTAL(9,CF42:CF46)&gt;0,SUBTOTAL(9,CF42:CF46),"")</f>
        <v/>
      </c>
      <c r="CG41" s="34" t="str">
        <f t="shared" si="908"/>
        <v/>
      </c>
      <c r="CH41" s="34" t="str">
        <f t="shared" ref="CH41" si="909">IF(SUBTOTAL(9,CH42:CH46)&gt;0,SUBTOTAL(9,CH42:CH46),"")</f>
        <v/>
      </c>
      <c r="CI41" s="34" t="str">
        <f t="shared" ref="CI41" si="910">IF(SUBTOTAL(9,CI42:CI46)&gt;0,SUBTOTAL(9,CI42:CI46),"")</f>
        <v/>
      </c>
      <c r="CJ41" s="34" t="str">
        <f t="shared" ref="CJ41" si="911">IF(SUBTOTAL(9,CJ42:CJ46)&gt;0,SUBTOTAL(9,CJ42:CJ46),"")</f>
        <v/>
      </c>
      <c r="CK41" s="34" t="str">
        <f t="shared" ref="CK41" si="912">IF(SUBTOTAL(9,CK42:CK46)&gt;0,SUBTOTAL(9,CK42:CK46),"")</f>
        <v/>
      </c>
      <c r="CL41" s="34" t="str">
        <f t="shared" ref="CL41" si="913">IF(SUBTOTAL(9,CL42:CL46)&gt;0,SUBTOTAL(9,CL42:CL46),"")</f>
        <v/>
      </c>
      <c r="CM41" s="34" t="str">
        <f t="shared" ref="CM41" si="914">IF(SUBTOTAL(9,CM42:CM46)&gt;0,SUBTOTAL(9,CM42:CM46),"")</f>
        <v/>
      </c>
      <c r="CN41" s="34" t="str">
        <f t="shared" ref="CN41" si="915">IF(SUBTOTAL(9,CN42:CN46)&gt;0,SUBTOTAL(9,CN42:CN46),"")</f>
        <v/>
      </c>
      <c r="CO41" s="34" t="str">
        <f t="shared" ref="CO41" si="916">IF(SUBTOTAL(9,CO42:CO46)&gt;0,SUBTOTAL(9,CO42:CO46),"")</f>
        <v/>
      </c>
      <c r="CP41" s="34" t="str">
        <f t="shared" ref="CP41" si="917">IF(SUBTOTAL(9,CP42:CP46)&gt;0,SUBTOTAL(9,CP42:CP46),"")</f>
        <v/>
      </c>
      <c r="CQ41" s="34" t="str">
        <f t="shared" ref="CQ41" si="918">IF(SUBTOTAL(9,CQ42:CQ46)&gt;0,SUBTOTAL(9,CQ42:CQ46),"")</f>
        <v/>
      </c>
      <c r="CR41" s="34" t="str">
        <f t="shared" ref="CR41" si="919">IF(SUBTOTAL(9,CR42:CR46)&gt;0,SUBTOTAL(9,CR42:CR46),"")</f>
        <v/>
      </c>
      <c r="CS41" s="34" t="str">
        <f t="shared" ref="CS41" si="920">IF(SUBTOTAL(9,CS42:CS46)&gt;0,SUBTOTAL(9,CS42:CS46),"")</f>
        <v/>
      </c>
      <c r="CT41" s="33" t="str">
        <f t="shared" ref="CT41" si="921">IF(SUBTOTAL(9,CT42:CT46)&gt;0,SUBTOTAL(9,CT42:CT46),"")</f>
        <v/>
      </c>
      <c r="CU41" s="34" t="str">
        <f t="shared" ref="CU41" si="922">IF(SUBTOTAL(9,CU42:CU46)&gt;0,SUBTOTAL(9,CU42:CU46),"")</f>
        <v/>
      </c>
      <c r="CV41" s="34" t="str">
        <f t="shared" ref="CV41" si="923">IF(SUBTOTAL(9,CV42:CV46)&gt;0,SUBTOTAL(9,CV42:CV46),"")</f>
        <v/>
      </c>
      <c r="CW41" s="34" t="str">
        <f t="shared" ref="CW41" si="924">IF(SUBTOTAL(9,CW42:CW46)&gt;0,SUBTOTAL(9,CW42:CW46),"")</f>
        <v/>
      </c>
      <c r="CX41" s="34" t="str">
        <f t="shared" ref="CX41" si="925">IF(SUBTOTAL(9,CX42:CX46)&gt;0,SUBTOTAL(9,CX42:CX46),"")</f>
        <v/>
      </c>
      <c r="CY41" s="34" t="str">
        <f t="shared" ref="CY41" si="926">IF(SUBTOTAL(9,CY42:CY46)&gt;0,SUBTOTAL(9,CY42:CY46),"")</f>
        <v/>
      </c>
      <c r="CZ41" s="33" t="str">
        <f t="shared" ref="CZ41" si="927">IF(SUBTOTAL(9,CZ42:CZ46)&gt;0,SUBTOTAL(9,CZ42:CZ46),"")</f>
        <v/>
      </c>
      <c r="DA41" s="33" t="str">
        <f t="shared" ref="DA41" si="928">IF(SUBTOTAL(9,DA42:DA46)&gt;0,SUBTOTAL(9,DA42:DA46),"")</f>
        <v/>
      </c>
      <c r="DB41" s="34" t="str">
        <f t="shared" ref="DB41" si="929">IF(SUBTOTAL(9,DB42:DB46)&gt;0,SUBTOTAL(9,DB42:DB46),"")</f>
        <v/>
      </c>
      <c r="DC41" s="34" t="str">
        <f t="shared" ref="DC41" si="930">IF(SUBTOTAL(9,DC42:DC46)&gt;0,SUBTOTAL(9,DC42:DC46),"")</f>
        <v/>
      </c>
      <c r="DD41" s="34" t="str">
        <f t="shared" ref="DD41" si="931">IF(SUBTOTAL(9,DD42:DD46)&gt;0,SUBTOTAL(9,DD42:DD46),"")</f>
        <v/>
      </c>
      <c r="DE41" s="34" t="str">
        <f t="shared" ref="DE41" si="932">IF(SUBTOTAL(9,DE42:DE46)&gt;0,SUBTOTAL(9,DE42:DE46),"")</f>
        <v/>
      </c>
      <c r="DF41" s="34" t="str">
        <f t="shared" ref="DF41" si="933">IF(SUBTOTAL(9,DF42:DF46)&gt;0,SUBTOTAL(9,DF42:DF46),"")</f>
        <v/>
      </c>
      <c r="DG41" s="34" t="str">
        <f t="shared" ref="DG41" si="934">IF(SUBTOTAL(9,DG42:DG46)&gt;0,SUBTOTAL(9,DG42:DG46),"")</f>
        <v/>
      </c>
      <c r="DH41" s="34" t="str">
        <f t="shared" ref="DH41" si="935">IF(SUBTOTAL(9,DH42:DH46)&gt;0,SUBTOTAL(9,DH42:DH46),"")</f>
        <v/>
      </c>
      <c r="DI41" s="34" t="str">
        <f t="shared" ref="DI41" si="936">IF(SUBTOTAL(9,DI42:DI46)&gt;0,SUBTOTAL(9,DI42:DI46),"")</f>
        <v/>
      </c>
      <c r="DJ41" s="34" t="str">
        <f t="shared" ref="DJ41" si="937">IF(SUBTOTAL(9,DJ42:DJ46)&gt;0,SUBTOTAL(9,DJ42:DJ46),"")</f>
        <v/>
      </c>
      <c r="DK41" s="34">
        <f t="shared" ref="DK41" si="938">IF(SUBTOTAL(9,DK42:DK46)&gt;0,SUBTOTAL(9,DK42:DK46),"")</f>
        <v>1</v>
      </c>
      <c r="DL41" s="34">
        <f t="shared" ref="DL41" si="939">IF(SUBTOTAL(9,DL42:DL46)&gt;0,SUBTOTAL(9,DL42:DL46),"")</f>
        <v>1</v>
      </c>
      <c r="DM41" s="34">
        <f t="shared" ref="DM41" si="940">IF(SUBTOTAL(9,DM42:DM46)&gt;0,SUBTOTAL(9,DM42:DM46),"")</f>
        <v>1</v>
      </c>
      <c r="DN41" s="34">
        <f t="shared" ref="DN41" si="941">IF(SUBTOTAL(9,DN42:DN46)&gt;0,SUBTOTAL(9,DN42:DN46),"")</f>
        <v>1</v>
      </c>
      <c r="DO41" s="34">
        <f t="shared" ref="DO41" si="942">IF(SUBTOTAL(9,DO42:DO46)&gt;0,SUBTOTAL(9,DO42:DO46),"")</f>
        <v>1</v>
      </c>
      <c r="DP41" s="34">
        <f t="shared" ref="DP41" si="943">IF(SUBTOTAL(9,DP42:DP46)&gt;0,SUBTOTAL(9,DP42:DP46),"")</f>
        <v>1</v>
      </c>
      <c r="DQ41" s="34" t="str">
        <f t="shared" ref="DQ41" si="944">IF(SUBTOTAL(9,DQ42:DQ46)&gt;0,SUBTOTAL(9,DQ42:DQ46),"")</f>
        <v/>
      </c>
      <c r="DR41" s="34" t="str">
        <f t="shared" ref="DR41" si="945">IF(SUBTOTAL(9,DR42:DR46)&gt;0,SUBTOTAL(9,DR42:DR46),"")</f>
        <v/>
      </c>
      <c r="DS41" s="34" t="str">
        <f t="shared" ref="DS41" si="946">IF(SUBTOTAL(9,DS42:DS46)&gt;0,SUBTOTAL(9,DS42:DS46),"")</f>
        <v/>
      </c>
      <c r="DT41" s="34" t="str">
        <f t="shared" ref="DT41" si="947">IF(SUBTOTAL(9,DT42:DT46)&gt;0,SUBTOTAL(9,DT42:DT46),"")</f>
        <v/>
      </c>
      <c r="DU41" s="34" t="str">
        <f t="shared" ref="DU41" si="948">IF(SUBTOTAL(9,DU42:DU46)&gt;0,SUBTOTAL(9,DU42:DU46),"")</f>
        <v/>
      </c>
      <c r="DV41" s="34" t="str">
        <f t="shared" ref="DV41" si="949">IF(SUBTOTAL(9,DV42:DV46)&gt;0,SUBTOTAL(9,DV42:DV46),"")</f>
        <v/>
      </c>
      <c r="DW41" s="34" t="str">
        <f t="shared" ref="DW41" si="950">IF(SUBTOTAL(9,DW42:DW46)&gt;0,SUBTOTAL(9,DW42:DW46),"")</f>
        <v/>
      </c>
      <c r="DX41" s="34" t="str">
        <f t="shared" ref="DX41" si="951">IF(SUBTOTAL(9,DX42:DX46)&gt;0,SUBTOTAL(9,DX42:DX46),"")</f>
        <v/>
      </c>
      <c r="DY41" s="34" t="str">
        <f t="shared" ref="DY41" si="952">IF(SUBTOTAL(9,DY42:DY46)&gt;0,SUBTOTAL(9,DY42:DY46),"")</f>
        <v/>
      </c>
      <c r="DZ41" s="33" t="str">
        <f t="shared" ref="DZ41" si="953">IF(SUBTOTAL(9,DZ42:DZ46)&gt;0,SUBTOTAL(9,DZ42:DZ46),"")</f>
        <v/>
      </c>
      <c r="EA41" s="34" t="str">
        <f t="shared" ref="EA41" si="954">IF(SUBTOTAL(9,EA42:EA46)&gt;0,SUBTOTAL(9,EA42:EA46),"")</f>
        <v/>
      </c>
      <c r="EB41" s="34" t="str">
        <f t="shared" ref="EB41" si="955">IF(SUBTOTAL(9,EB42:EB46)&gt;0,SUBTOTAL(9,EB42:EB46),"")</f>
        <v/>
      </c>
      <c r="EC41" s="34" t="str">
        <f t="shared" ref="EC41" si="956">IF(SUBTOTAL(9,EC42:EC46)&gt;0,SUBTOTAL(9,EC42:EC46),"")</f>
        <v/>
      </c>
      <c r="ED41" s="34" t="str">
        <f t="shared" ref="ED41" si="957">IF(SUBTOTAL(9,ED42:ED46)&gt;0,SUBTOTAL(9,ED42:ED46),"")</f>
        <v/>
      </c>
      <c r="EE41" s="34" t="str">
        <f t="shared" ref="EE41" si="958">IF(SUBTOTAL(9,EE42:EE46)&gt;0,SUBTOTAL(9,EE42:EE46),"")</f>
        <v/>
      </c>
      <c r="EF41" s="34" t="str">
        <f t="shared" ref="EF41" si="959">IF(SUBTOTAL(9,EF42:EF46)&gt;0,SUBTOTAL(9,EF42:EF46),"")</f>
        <v/>
      </c>
      <c r="EG41" s="34" t="str">
        <f t="shared" ref="EG41" si="960">IF(SUBTOTAL(9,EG42:EG46)&gt;0,SUBTOTAL(9,EG42:EG46),"")</f>
        <v/>
      </c>
      <c r="EH41" s="34" t="str">
        <f t="shared" ref="EH41" si="961">IF(SUBTOTAL(9,EH42:EH46)&gt;0,SUBTOTAL(9,EH42:EH46),"")</f>
        <v/>
      </c>
      <c r="EI41" s="34" t="str">
        <f t="shared" ref="EI41" si="962">IF(SUBTOTAL(9,EI42:EI46)&gt;0,SUBTOTAL(9,EI42:EI46),"")</f>
        <v/>
      </c>
      <c r="EJ41" s="34" t="str">
        <f t="shared" ref="EJ41" si="963">IF(SUBTOTAL(9,EJ42:EJ46)&gt;0,SUBTOTAL(9,EJ42:EJ46),"")</f>
        <v/>
      </c>
      <c r="EK41" s="34" t="str">
        <f t="shared" ref="EK41" si="964">IF(SUBTOTAL(9,EK42:EK46)&gt;0,SUBTOTAL(9,EK42:EK46),"")</f>
        <v/>
      </c>
      <c r="EL41" s="34" t="str">
        <f t="shared" ref="EL41" si="965">IF(SUBTOTAL(9,EL42:EL46)&gt;0,SUBTOTAL(9,EL42:EL46),"")</f>
        <v/>
      </c>
      <c r="EM41" s="34" t="str">
        <f t="shared" ref="EM41" si="966">IF(SUBTOTAL(9,EM42:EM46)&gt;0,SUBTOTAL(9,EM42:EM46),"")</f>
        <v/>
      </c>
      <c r="EN41" s="34" t="str">
        <f t="shared" ref="EN41" si="967">IF(SUBTOTAL(9,EN42:EN46)&gt;0,SUBTOTAL(9,EN42:EN46),"")</f>
        <v/>
      </c>
      <c r="EO41" s="34" t="str">
        <f t="shared" ref="EO41" si="968">IF(SUBTOTAL(9,EO42:EO46)&gt;0,SUBTOTAL(9,EO42:EO46),"")</f>
        <v/>
      </c>
      <c r="EP41" s="34" t="str">
        <f t="shared" ref="EP41" si="969">IF(SUBTOTAL(9,EP42:EP46)&gt;0,SUBTOTAL(9,EP42:EP46),"")</f>
        <v/>
      </c>
      <c r="EQ41" s="34" t="str">
        <f t="shared" ref="EQ41" si="970">IF(SUBTOTAL(9,EQ42:EQ46)&gt;0,SUBTOTAL(9,EQ42:EQ46),"")</f>
        <v/>
      </c>
      <c r="ER41" s="34" t="str">
        <f t="shared" ref="ER41" si="971">IF(SUBTOTAL(9,ER42:ER46)&gt;0,SUBTOTAL(9,ER42:ER46),"")</f>
        <v/>
      </c>
      <c r="ES41" s="34" t="str">
        <f t="shared" ref="ES41" si="972">IF(SUBTOTAL(9,ES42:ES46)&gt;0,SUBTOTAL(9,ES42:ES46),"")</f>
        <v/>
      </c>
      <c r="ET41" s="34" t="str">
        <f t="shared" ref="ET41" si="973">IF(SUBTOTAL(9,ET42:ET46)&gt;0,SUBTOTAL(9,ET42:ET46),"")</f>
        <v/>
      </c>
      <c r="EU41" s="34" t="str">
        <f t="shared" ref="EU41" si="974">IF(SUBTOTAL(9,EU42:EU46)&gt;0,SUBTOTAL(9,EU42:EU46),"")</f>
        <v/>
      </c>
      <c r="EV41" s="34" t="str">
        <f t="shared" ref="EV41" si="975">IF(SUBTOTAL(9,EV42:EV46)&gt;0,SUBTOTAL(9,EV42:EV46),"")</f>
        <v/>
      </c>
      <c r="EW41" s="34" t="str">
        <f t="shared" ref="EW41" si="976">IF(SUBTOTAL(9,EW42:EW46)&gt;0,SUBTOTAL(9,EW42:EW46),"")</f>
        <v/>
      </c>
      <c r="EX41" s="34" t="str">
        <f t="shared" ref="EX41" si="977">IF(SUBTOTAL(9,EX42:EX46)&gt;0,SUBTOTAL(9,EX42:EX46),"")</f>
        <v/>
      </c>
      <c r="EY41" s="33" t="str">
        <f t="shared" ref="EY41" si="978">IF(SUBTOTAL(9,EY42:EY46)&gt;0,SUBTOTAL(9,EY42:EY46),"")</f>
        <v/>
      </c>
      <c r="EZ41" s="34" t="str">
        <f t="shared" ref="EZ41" si="979">IF(SUBTOTAL(9,EZ42:EZ46)&gt;0,SUBTOTAL(9,EZ42:EZ46),"")</f>
        <v/>
      </c>
      <c r="FA41" s="34" t="str">
        <f t="shared" ref="FA41" si="980">IF(SUBTOTAL(9,FA42:FA46)&gt;0,SUBTOTAL(9,FA42:FA46),"")</f>
        <v/>
      </c>
      <c r="FB41" s="34" t="str">
        <f t="shared" ref="FB41" si="981">IF(SUBTOTAL(9,FB42:FB46)&gt;0,SUBTOTAL(9,FB42:FB46),"")</f>
        <v/>
      </c>
      <c r="FC41" s="34" t="str">
        <f t="shared" ref="FC41" si="982">IF(SUBTOTAL(9,FC42:FC46)&gt;0,SUBTOTAL(9,FC42:FC46),"")</f>
        <v/>
      </c>
      <c r="FD41" s="34" t="str">
        <f t="shared" ref="FD41" si="983">IF(SUBTOTAL(9,FD42:FD46)&gt;0,SUBTOTAL(9,FD42:FD46),"")</f>
        <v/>
      </c>
      <c r="FE41" s="34" t="str">
        <f t="shared" ref="FE41" si="984">IF(SUBTOTAL(9,FE42:FE46)&gt;0,SUBTOTAL(9,FE42:FE46),"")</f>
        <v/>
      </c>
      <c r="FF41" s="34" t="str">
        <f t="shared" ref="FF41" si="985">IF(SUBTOTAL(9,FF42:FF46)&gt;0,SUBTOTAL(9,FF42:FF46),"")</f>
        <v/>
      </c>
      <c r="FG41" s="34" t="str">
        <f t="shared" ref="FG41" si="986">IF(SUBTOTAL(9,FG42:FG46)&gt;0,SUBTOTAL(9,FG42:FG46),"")</f>
        <v/>
      </c>
      <c r="FH41" s="34" t="str">
        <f t="shared" ref="FH41" si="987">IF(SUBTOTAL(9,FH42:FH46)&gt;0,SUBTOTAL(9,FH42:FH46),"")</f>
        <v/>
      </c>
      <c r="FI41" s="34" t="str">
        <f t="shared" ref="FI41" si="988">IF(SUBTOTAL(9,FI42:FI46)&gt;0,SUBTOTAL(9,FI42:FI46),"")</f>
        <v/>
      </c>
      <c r="FJ41" s="34" t="str">
        <f t="shared" ref="FJ41" si="989">IF(SUBTOTAL(9,FJ42:FJ46)&gt;0,SUBTOTAL(9,FJ42:FJ46),"")</f>
        <v/>
      </c>
      <c r="FK41" s="34" t="str">
        <f t="shared" ref="FK41" si="990">IF(SUBTOTAL(9,FK42:FK46)&gt;0,SUBTOTAL(9,FK42:FK46),"")</f>
        <v/>
      </c>
      <c r="FL41" s="34" t="str">
        <f t="shared" ref="FL41" si="991">IF(SUBTOTAL(9,FL42:FL46)&gt;0,SUBTOTAL(9,FL42:FL46),"")</f>
        <v/>
      </c>
      <c r="FM41" s="34" t="str">
        <f t="shared" ref="FM41" si="992">IF(SUBTOTAL(9,FM42:FM46)&gt;0,SUBTOTAL(9,FM42:FM46),"")</f>
        <v/>
      </c>
      <c r="FN41" s="34" t="str">
        <f t="shared" ref="FN41" si="993">IF(SUBTOTAL(9,FN42:FN46)&gt;0,SUBTOTAL(9,FN42:FN46),"")</f>
        <v/>
      </c>
      <c r="FO41" s="34" t="str">
        <f t="shared" ref="FO41" si="994">IF(SUBTOTAL(9,FO42:FO46)&gt;0,SUBTOTAL(9,FO42:FO46),"")</f>
        <v/>
      </c>
      <c r="FP41" s="34" t="str">
        <f t="shared" ref="FP41" si="995">IF(SUBTOTAL(9,FP42:FP46)&gt;0,SUBTOTAL(9,FP42:FP46),"")</f>
        <v/>
      </c>
      <c r="FQ41" s="92" t="str">
        <f t="shared" ref="FQ41" si="996">IF(SUBTOTAL(9,FQ42:FQ46)&gt;0,SUBTOTAL(9,FQ42:FQ46),"")</f>
        <v/>
      </c>
      <c r="FR41" s="8"/>
      <c r="FS41" s="9" t="s">
        <v>131</v>
      </c>
      <c r="FT41" s="9" t="str">
        <f t="shared" si="151"/>
        <v/>
      </c>
    </row>
    <row r="42" spans="1:176" s="9" customFormat="1" ht="12" hidden="1" customHeight="1" outlineLevel="1">
      <c r="A42" s="122" t="s">
        <v>4</v>
      </c>
      <c r="B42" s="123" t="s">
        <v>16</v>
      </c>
      <c r="C42" s="124" t="str">
        <f t="shared" si="9"/>
        <v>6 days</v>
      </c>
      <c r="D42" s="13" t="str">
        <f>A40&amp;" "&amp;A41</f>
        <v>2. Quarterly Reporting (QRTs)  2.1 Preparation</v>
      </c>
      <c r="E42" s="51"/>
      <c r="F42" s="35"/>
      <c r="G42" s="35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35"/>
      <c r="AB42" s="35"/>
      <c r="AC42" s="35"/>
      <c r="AD42" s="35"/>
      <c r="AE42" s="35"/>
      <c r="AF42" s="35"/>
      <c r="AG42" s="35"/>
      <c r="AH42" s="35"/>
      <c r="AI42" s="35"/>
      <c r="AJ42" s="35"/>
      <c r="AK42" s="35"/>
      <c r="AL42" s="36"/>
      <c r="AM42" s="36"/>
      <c r="AN42" s="36"/>
      <c r="AO42" s="36"/>
      <c r="AP42" s="36"/>
      <c r="AQ42" s="36"/>
      <c r="AR42" s="36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5"/>
      <c r="BM42" s="35"/>
      <c r="BN42" s="35"/>
      <c r="BO42" s="35"/>
      <c r="BP42" s="35"/>
      <c r="BQ42" s="35"/>
      <c r="BR42" s="35"/>
      <c r="BS42" s="35"/>
      <c r="BT42" s="35"/>
      <c r="BU42" s="35"/>
      <c r="BV42" s="35"/>
      <c r="BW42" s="35"/>
      <c r="BX42" s="35"/>
      <c r="BY42" s="35"/>
      <c r="BZ42" s="35"/>
      <c r="CA42" s="35"/>
      <c r="CB42" s="35"/>
      <c r="CC42" s="35"/>
      <c r="CD42" s="35"/>
      <c r="CE42" s="35"/>
      <c r="CF42" s="35"/>
      <c r="CG42" s="35"/>
      <c r="CH42" s="35"/>
      <c r="CI42" s="35"/>
      <c r="CJ42" s="35"/>
      <c r="CK42" s="35"/>
      <c r="CL42" s="35"/>
      <c r="CM42" s="35"/>
      <c r="CN42" s="35"/>
      <c r="CO42" s="35"/>
      <c r="CP42" s="35"/>
      <c r="CQ42" s="35"/>
      <c r="CR42" s="35"/>
      <c r="CS42" s="35"/>
      <c r="CT42" s="36"/>
      <c r="CU42" s="35"/>
      <c r="CV42" s="35"/>
      <c r="CW42" s="35"/>
      <c r="CX42" s="35"/>
      <c r="CY42" s="35"/>
      <c r="CZ42" s="36"/>
      <c r="DA42" s="36"/>
      <c r="DB42" s="35"/>
      <c r="DC42" s="35"/>
      <c r="DD42" s="35"/>
      <c r="DE42" s="35"/>
      <c r="DF42" s="35"/>
      <c r="DG42" s="35"/>
      <c r="DH42" s="35"/>
      <c r="DI42" s="35"/>
      <c r="DJ42" s="35"/>
      <c r="DK42" s="35">
        <v>1</v>
      </c>
      <c r="DL42" s="35">
        <v>1</v>
      </c>
      <c r="DM42" s="35">
        <v>1</v>
      </c>
      <c r="DN42" s="35">
        <v>1</v>
      </c>
      <c r="DO42" s="35">
        <v>1</v>
      </c>
      <c r="DP42" s="35">
        <v>1</v>
      </c>
      <c r="DQ42" s="35"/>
      <c r="DR42" s="35"/>
      <c r="DS42" s="35"/>
      <c r="DT42" s="35"/>
      <c r="DU42" s="35"/>
      <c r="DV42" s="35"/>
      <c r="DW42" s="35"/>
      <c r="DX42" s="35"/>
      <c r="DY42" s="35"/>
      <c r="DZ42" s="36"/>
      <c r="EA42" s="35"/>
      <c r="EB42" s="35"/>
      <c r="EC42" s="35"/>
      <c r="ED42" s="35"/>
      <c r="EE42" s="35"/>
      <c r="EF42" s="35"/>
      <c r="EG42" s="35"/>
      <c r="EH42" s="35"/>
      <c r="EI42" s="35"/>
      <c r="EJ42" s="35"/>
      <c r="EK42" s="35"/>
      <c r="EL42" s="35"/>
      <c r="EM42" s="35"/>
      <c r="EN42" s="35"/>
      <c r="EO42" s="35"/>
      <c r="EP42" s="35"/>
      <c r="EQ42" s="35"/>
      <c r="ER42" s="35"/>
      <c r="ES42" s="35"/>
      <c r="ET42" s="35"/>
      <c r="EU42" s="35"/>
      <c r="EV42" s="35"/>
      <c r="EW42" s="35"/>
      <c r="EX42" s="35"/>
      <c r="EY42" s="36"/>
      <c r="EZ42" s="35"/>
      <c r="FA42" s="35"/>
      <c r="FB42" s="35"/>
      <c r="FC42" s="35"/>
      <c r="FD42" s="35"/>
      <c r="FE42" s="35"/>
      <c r="FF42" s="35"/>
      <c r="FG42" s="35"/>
      <c r="FH42" s="35"/>
      <c r="FI42" s="35"/>
      <c r="FJ42" s="35"/>
      <c r="FK42" s="35"/>
      <c r="FL42" s="35"/>
      <c r="FM42" s="35"/>
      <c r="FN42" s="35"/>
      <c r="FO42" s="35"/>
      <c r="FP42" s="35"/>
      <c r="FQ42" s="52"/>
      <c r="FR42" s="8"/>
      <c r="FS42" s="9" t="s">
        <v>13</v>
      </c>
      <c r="FT42" s="9" t="str">
        <f t="shared" si="151"/>
        <v>2. Quarterly Reporting (QRTs)  2.1 PreparationJunior Accountant</v>
      </c>
    </row>
    <row r="43" spans="1:176" s="9" customFormat="1" ht="12" hidden="1" customHeight="1" outlineLevel="1">
      <c r="A43" s="125" t="s">
        <v>50</v>
      </c>
      <c r="B43" s="123"/>
      <c r="C43" s="124" t="str">
        <f t="shared" si="9"/>
        <v>0 days</v>
      </c>
      <c r="D43" s="13" t="str">
        <f>A40&amp;" "&amp;A41</f>
        <v>2. Quarterly Reporting (QRTs)  2.1 Preparation</v>
      </c>
      <c r="E43" s="51"/>
      <c r="F43" s="35"/>
      <c r="G43" s="35"/>
      <c r="H43" s="35"/>
      <c r="I43" s="35"/>
      <c r="J43" s="35"/>
      <c r="K43" s="35"/>
      <c r="L43" s="35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35"/>
      <c r="AJ43" s="35"/>
      <c r="AK43" s="35"/>
      <c r="AL43" s="36"/>
      <c r="AM43" s="36"/>
      <c r="AN43" s="36"/>
      <c r="AO43" s="36"/>
      <c r="AP43" s="36"/>
      <c r="AQ43" s="36"/>
      <c r="AR43" s="36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5"/>
      <c r="BM43" s="35"/>
      <c r="BN43" s="35"/>
      <c r="BO43" s="35"/>
      <c r="BP43" s="35"/>
      <c r="BQ43" s="35"/>
      <c r="BR43" s="35"/>
      <c r="BS43" s="35"/>
      <c r="BT43" s="35"/>
      <c r="BU43" s="35"/>
      <c r="BV43" s="35"/>
      <c r="BW43" s="35"/>
      <c r="BX43" s="35"/>
      <c r="BY43" s="35"/>
      <c r="BZ43" s="35"/>
      <c r="CA43" s="35"/>
      <c r="CB43" s="35"/>
      <c r="CC43" s="35"/>
      <c r="CD43" s="35"/>
      <c r="CE43" s="35"/>
      <c r="CF43" s="35"/>
      <c r="CG43" s="35"/>
      <c r="CH43" s="35"/>
      <c r="CI43" s="35"/>
      <c r="CJ43" s="35"/>
      <c r="CK43" s="35"/>
      <c r="CL43" s="35"/>
      <c r="CM43" s="35"/>
      <c r="CN43" s="35"/>
      <c r="CO43" s="35"/>
      <c r="CP43" s="35"/>
      <c r="CQ43" s="35"/>
      <c r="CR43" s="35"/>
      <c r="CS43" s="35"/>
      <c r="CT43" s="36"/>
      <c r="CU43" s="35"/>
      <c r="CV43" s="35"/>
      <c r="CW43" s="35"/>
      <c r="CX43" s="35"/>
      <c r="CY43" s="35"/>
      <c r="CZ43" s="36"/>
      <c r="DA43" s="36"/>
      <c r="DB43" s="35"/>
      <c r="DC43" s="35"/>
      <c r="DD43" s="35"/>
      <c r="DE43" s="35"/>
      <c r="DF43" s="35"/>
      <c r="DG43" s="35"/>
      <c r="DH43" s="35"/>
      <c r="DI43" s="35"/>
      <c r="DJ43" s="35"/>
      <c r="DK43" s="35"/>
      <c r="DL43" s="35"/>
      <c r="DM43" s="35"/>
      <c r="DN43" s="35"/>
      <c r="DO43" s="35"/>
      <c r="DP43" s="35"/>
      <c r="DQ43" s="35"/>
      <c r="DR43" s="35"/>
      <c r="DS43" s="35"/>
      <c r="DT43" s="35"/>
      <c r="DU43" s="35"/>
      <c r="DV43" s="35"/>
      <c r="DW43" s="35"/>
      <c r="DX43" s="35"/>
      <c r="DY43" s="35"/>
      <c r="DZ43" s="36"/>
      <c r="EA43" s="35"/>
      <c r="EB43" s="35"/>
      <c r="EC43" s="35"/>
      <c r="ED43" s="35"/>
      <c r="EE43" s="35"/>
      <c r="EF43" s="35"/>
      <c r="EG43" s="35"/>
      <c r="EH43" s="35"/>
      <c r="EI43" s="35"/>
      <c r="EJ43" s="35"/>
      <c r="EK43" s="35"/>
      <c r="EL43" s="35"/>
      <c r="EM43" s="35"/>
      <c r="EN43" s="35"/>
      <c r="EO43" s="35"/>
      <c r="EP43" s="35"/>
      <c r="EQ43" s="35"/>
      <c r="ER43" s="35"/>
      <c r="ES43" s="35"/>
      <c r="ET43" s="35"/>
      <c r="EU43" s="35"/>
      <c r="EV43" s="35"/>
      <c r="EW43" s="35"/>
      <c r="EX43" s="35"/>
      <c r="EY43" s="36"/>
      <c r="EZ43" s="35"/>
      <c r="FA43" s="35"/>
      <c r="FB43" s="35"/>
      <c r="FC43" s="35"/>
      <c r="FD43" s="35"/>
      <c r="FE43" s="35"/>
      <c r="FF43" s="35"/>
      <c r="FG43" s="35"/>
      <c r="FH43" s="35"/>
      <c r="FI43" s="35"/>
      <c r="FJ43" s="35"/>
      <c r="FK43" s="35"/>
      <c r="FL43" s="35"/>
      <c r="FM43" s="35"/>
      <c r="FN43" s="35"/>
      <c r="FO43" s="35"/>
      <c r="FP43" s="35"/>
      <c r="FQ43" s="52"/>
      <c r="FR43" s="8"/>
      <c r="FS43" s="9" t="s">
        <v>13</v>
      </c>
      <c r="FT43" s="9" t="str">
        <f t="shared" si="151"/>
        <v>2. Quarterly Reporting (QRTs)  2.1 Preparation</v>
      </c>
    </row>
    <row r="44" spans="1:176" s="9" customFormat="1" ht="12" hidden="1" customHeight="1" outlineLevel="1">
      <c r="A44" s="125" t="s">
        <v>50</v>
      </c>
      <c r="B44" s="123"/>
      <c r="C44" s="124" t="str">
        <f t="shared" si="9"/>
        <v>0 days</v>
      </c>
      <c r="D44" s="13" t="str">
        <f>A40&amp;" "&amp;A41</f>
        <v>2. Quarterly Reporting (QRTs)  2.1 Preparation</v>
      </c>
      <c r="E44" s="51"/>
      <c r="F44" s="35"/>
      <c r="G44" s="35"/>
      <c r="H44" s="35"/>
      <c r="I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35"/>
      <c r="AK44" s="35"/>
      <c r="AL44" s="36"/>
      <c r="AM44" s="36"/>
      <c r="AN44" s="36"/>
      <c r="AO44" s="36"/>
      <c r="AP44" s="36"/>
      <c r="AQ44" s="36"/>
      <c r="AR44" s="36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5"/>
      <c r="BM44" s="35"/>
      <c r="BN44" s="35"/>
      <c r="BO44" s="35"/>
      <c r="BP44" s="35"/>
      <c r="BQ44" s="35"/>
      <c r="BR44" s="35"/>
      <c r="BS44" s="35"/>
      <c r="BT44" s="35"/>
      <c r="BU44" s="35"/>
      <c r="BV44" s="35"/>
      <c r="BW44" s="35"/>
      <c r="BX44" s="35"/>
      <c r="BY44" s="35"/>
      <c r="BZ44" s="35"/>
      <c r="CA44" s="35"/>
      <c r="CB44" s="35"/>
      <c r="CC44" s="35"/>
      <c r="CD44" s="35"/>
      <c r="CE44" s="35"/>
      <c r="CF44" s="35"/>
      <c r="CG44" s="35"/>
      <c r="CH44" s="35"/>
      <c r="CI44" s="35"/>
      <c r="CJ44" s="35"/>
      <c r="CK44" s="35"/>
      <c r="CL44" s="35"/>
      <c r="CM44" s="35"/>
      <c r="CN44" s="35"/>
      <c r="CO44" s="35"/>
      <c r="CP44" s="35"/>
      <c r="CQ44" s="35"/>
      <c r="CR44" s="35"/>
      <c r="CS44" s="35"/>
      <c r="CT44" s="36"/>
      <c r="CU44" s="35"/>
      <c r="CV44" s="35"/>
      <c r="CW44" s="35"/>
      <c r="CX44" s="35"/>
      <c r="CY44" s="35"/>
      <c r="CZ44" s="36"/>
      <c r="DA44" s="36"/>
      <c r="DB44" s="35"/>
      <c r="DC44" s="35"/>
      <c r="DD44" s="35"/>
      <c r="DE44" s="35"/>
      <c r="DF44" s="35"/>
      <c r="DG44" s="35"/>
      <c r="DH44" s="35"/>
      <c r="DI44" s="35"/>
      <c r="DJ44" s="35"/>
      <c r="DK44" s="35"/>
      <c r="DL44" s="35"/>
      <c r="DM44" s="35"/>
      <c r="DN44" s="35"/>
      <c r="DO44" s="35"/>
      <c r="DP44" s="35"/>
      <c r="DQ44" s="35"/>
      <c r="DR44" s="35"/>
      <c r="DS44" s="35"/>
      <c r="DT44" s="35"/>
      <c r="DU44" s="35"/>
      <c r="DV44" s="35"/>
      <c r="DW44" s="35"/>
      <c r="DX44" s="35"/>
      <c r="DY44" s="35"/>
      <c r="DZ44" s="36"/>
      <c r="EA44" s="35"/>
      <c r="EB44" s="35"/>
      <c r="EC44" s="35"/>
      <c r="ED44" s="35"/>
      <c r="EE44" s="35"/>
      <c r="EF44" s="35"/>
      <c r="EG44" s="35"/>
      <c r="EH44" s="35"/>
      <c r="EI44" s="35"/>
      <c r="EJ44" s="35"/>
      <c r="EK44" s="35"/>
      <c r="EL44" s="35"/>
      <c r="EM44" s="35"/>
      <c r="EN44" s="35"/>
      <c r="EO44" s="35"/>
      <c r="EP44" s="35"/>
      <c r="EQ44" s="35"/>
      <c r="ER44" s="35"/>
      <c r="ES44" s="35"/>
      <c r="ET44" s="35"/>
      <c r="EU44" s="35"/>
      <c r="EV44" s="35"/>
      <c r="EW44" s="35"/>
      <c r="EX44" s="35"/>
      <c r="EY44" s="36"/>
      <c r="EZ44" s="35"/>
      <c r="FA44" s="35"/>
      <c r="FB44" s="35"/>
      <c r="FC44" s="35"/>
      <c r="FD44" s="35"/>
      <c r="FE44" s="35"/>
      <c r="FF44" s="35"/>
      <c r="FG44" s="35"/>
      <c r="FH44" s="35"/>
      <c r="FI44" s="35"/>
      <c r="FJ44" s="35"/>
      <c r="FK44" s="35"/>
      <c r="FL44" s="35"/>
      <c r="FM44" s="35"/>
      <c r="FN44" s="35"/>
      <c r="FO44" s="35"/>
      <c r="FP44" s="35"/>
      <c r="FQ44" s="52"/>
      <c r="FR44" s="8"/>
      <c r="FS44" s="9" t="s">
        <v>13</v>
      </c>
      <c r="FT44" s="9" t="str">
        <f t="shared" si="151"/>
        <v>2. Quarterly Reporting (QRTs)  2.1 Preparation</v>
      </c>
    </row>
    <row r="45" spans="1:176" s="9" customFormat="1" ht="12" hidden="1" customHeight="1" outlineLevel="1">
      <c r="A45" s="125" t="s">
        <v>50</v>
      </c>
      <c r="B45" s="123"/>
      <c r="C45" s="124" t="str">
        <f t="shared" si="9"/>
        <v>0 days</v>
      </c>
      <c r="D45" s="13" t="str">
        <f>A40&amp;" "&amp;A41</f>
        <v>2. Quarterly Reporting (QRTs)  2.1 Preparation</v>
      </c>
      <c r="E45" s="51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  <c r="AG45" s="35"/>
      <c r="AH45" s="35"/>
      <c r="AI45" s="35"/>
      <c r="AJ45" s="35"/>
      <c r="AK45" s="35"/>
      <c r="AL45" s="36"/>
      <c r="AM45" s="36"/>
      <c r="AN45" s="36"/>
      <c r="AO45" s="36"/>
      <c r="AP45" s="36"/>
      <c r="AQ45" s="36"/>
      <c r="AR45" s="36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5"/>
      <c r="BM45" s="35"/>
      <c r="BN45" s="35"/>
      <c r="BO45" s="35"/>
      <c r="BP45" s="35"/>
      <c r="BQ45" s="35"/>
      <c r="BR45" s="35"/>
      <c r="BS45" s="35"/>
      <c r="BT45" s="35"/>
      <c r="BU45" s="35"/>
      <c r="BV45" s="35"/>
      <c r="BW45" s="35"/>
      <c r="BX45" s="35"/>
      <c r="BY45" s="35"/>
      <c r="BZ45" s="35"/>
      <c r="CA45" s="35"/>
      <c r="CB45" s="35"/>
      <c r="CC45" s="35"/>
      <c r="CD45" s="35"/>
      <c r="CE45" s="35"/>
      <c r="CF45" s="35"/>
      <c r="CG45" s="35"/>
      <c r="CH45" s="35"/>
      <c r="CI45" s="35"/>
      <c r="CJ45" s="35"/>
      <c r="CK45" s="35"/>
      <c r="CL45" s="35"/>
      <c r="CM45" s="35"/>
      <c r="CN45" s="35"/>
      <c r="CO45" s="35"/>
      <c r="CP45" s="35"/>
      <c r="CQ45" s="35"/>
      <c r="CR45" s="35"/>
      <c r="CS45" s="35"/>
      <c r="CT45" s="36"/>
      <c r="CU45" s="35"/>
      <c r="CV45" s="35"/>
      <c r="CW45" s="35"/>
      <c r="CX45" s="35"/>
      <c r="CY45" s="35"/>
      <c r="CZ45" s="36"/>
      <c r="DA45" s="36"/>
      <c r="DB45" s="35"/>
      <c r="DC45" s="35"/>
      <c r="DD45" s="35"/>
      <c r="DE45" s="35"/>
      <c r="DF45" s="35"/>
      <c r="DG45" s="35"/>
      <c r="DH45" s="35"/>
      <c r="DI45" s="35"/>
      <c r="DJ45" s="35"/>
      <c r="DK45" s="35"/>
      <c r="DL45" s="35"/>
      <c r="DM45" s="35"/>
      <c r="DN45" s="35"/>
      <c r="DO45" s="35"/>
      <c r="DP45" s="35"/>
      <c r="DQ45" s="35"/>
      <c r="DR45" s="35"/>
      <c r="DS45" s="35"/>
      <c r="DT45" s="35"/>
      <c r="DU45" s="35"/>
      <c r="DV45" s="35"/>
      <c r="DW45" s="35"/>
      <c r="DX45" s="35"/>
      <c r="DY45" s="35"/>
      <c r="DZ45" s="36"/>
      <c r="EA45" s="35"/>
      <c r="EB45" s="35"/>
      <c r="EC45" s="35"/>
      <c r="ED45" s="35"/>
      <c r="EE45" s="35"/>
      <c r="EF45" s="35"/>
      <c r="EG45" s="35"/>
      <c r="EH45" s="35"/>
      <c r="EI45" s="35"/>
      <c r="EJ45" s="35"/>
      <c r="EK45" s="35"/>
      <c r="EL45" s="35"/>
      <c r="EM45" s="35"/>
      <c r="EN45" s="35"/>
      <c r="EO45" s="35"/>
      <c r="EP45" s="35"/>
      <c r="EQ45" s="35"/>
      <c r="ER45" s="35"/>
      <c r="ES45" s="35"/>
      <c r="ET45" s="35"/>
      <c r="EU45" s="35"/>
      <c r="EV45" s="35"/>
      <c r="EW45" s="35"/>
      <c r="EX45" s="35"/>
      <c r="EY45" s="36"/>
      <c r="EZ45" s="35"/>
      <c r="FA45" s="35"/>
      <c r="FB45" s="35"/>
      <c r="FC45" s="35"/>
      <c r="FD45" s="35"/>
      <c r="FE45" s="35"/>
      <c r="FF45" s="35"/>
      <c r="FG45" s="35"/>
      <c r="FH45" s="35"/>
      <c r="FI45" s="35"/>
      <c r="FJ45" s="35"/>
      <c r="FK45" s="35"/>
      <c r="FL45" s="35"/>
      <c r="FM45" s="35"/>
      <c r="FN45" s="35"/>
      <c r="FO45" s="35"/>
      <c r="FP45" s="35"/>
      <c r="FQ45" s="52"/>
      <c r="FR45" s="8"/>
      <c r="FS45" s="9" t="s">
        <v>13</v>
      </c>
      <c r="FT45" s="9" t="str">
        <f t="shared" si="151"/>
        <v>2. Quarterly Reporting (QRTs)  2.1 Preparation</v>
      </c>
    </row>
    <row r="46" spans="1:176" s="9" customFormat="1" ht="12" hidden="1" customHeight="1" outlineLevel="1">
      <c r="A46" s="126" t="s">
        <v>50</v>
      </c>
      <c r="B46" s="123"/>
      <c r="C46" s="124" t="str">
        <f t="shared" si="9"/>
        <v>0 days</v>
      </c>
      <c r="D46" s="13" t="str">
        <f>A40&amp;" "&amp;A41</f>
        <v>2. Quarterly Reporting (QRTs)  2.1 Preparation</v>
      </c>
      <c r="E46" s="51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  <c r="AG46" s="35"/>
      <c r="AH46" s="35"/>
      <c r="AI46" s="35"/>
      <c r="AJ46" s="35"/>
      <c r="AK46" s="35"/>
      <c r="AL46" s="36"/>
      <c r="AM46" s="36"/>
      <c r="AN46" s="36"/>
      <c r="AO46" s="36"/>
      <c r="AP46" s="36"/>
      <c r="AQ46" s="36"/>
      <c r="AR46" s="36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5"/>
      <c r="BM46" s="35"/>
      <c r="BN46" s="35"/>
      <c r="BO46" s="35"/>
      <c r="BP46" s="35"/>
      <c r="BQ46" s="35"/>
      <c r="BR46" s="35"/>
      <c r="BS46" s="35"/>
      <c r="BT46" s="35"/>
      <c r="BU46" s="35"/>
      <c r="BV46" s="35"/>
      <c r="BW46" s="35"/>
      <c r="BX46" s="35"/>
      <c r="BY46" s="35"/>
      <c r="BZ46" s="35"/>
      <c r="CA46" s="35"/>
      <c r="CB46" s="35"/>
      <c r="CC46" s="35"/>
      <c r="CD46" s="35"/>
      <c r="CE46" s="35"/>
      <c r="CF46" s="35"/>
      <c r="CG46" s="35"/>
      <c r="CH46" s="35"/>
      <c r="CI46" s="35"/>
      <c r="CJ46" s="35"/>
      <c r="CK46" s="35"/>
      <c r="CL46" s="35"/>
      <c r="CM46" s="35"/>
      <c r="CN46" s="35"/>
      <c r="CO46" s="35"/>
      <c r="CP46" s="35"/>
      <c r="CQ46" s="35"/>
      <c r="CR46" s="35"/>
      <c r="CS46" s="35"/>
      <c r="CT46" s="36"/>
      <c r="CU46" s="35"/>
      <c r="CV46" s="35"/>
      <c r="CW46" s="35"/>
      <c r="CX46" s="35"/>
      <c r="CY46" s="35"/>
      <c r="CZ46" s="36"/>
      <c r="DA46" s="36"/>
      <c r="DB46" s="35"/>
      <c r="DC46" s="35"/>
      <c r="DD46" s="35"/>
      <c r="DE46" s="35"/>
      <c r="DF46" s="35"/>
      <c r="DG46" s="35"/>
      <c r="DH46" s="35"/>
      <c r="DI46" s="35"/>
      <c r="DJ46" s="35"/>
      <c r="DK46" s="35"/>
      <c r="DL46" s="35"/>
      <c r="DM46" s="35"/>
      <c r="DN46" s="35"/>
      <c r="DO46" s="35"/>
      <c r="DP46" s="35"/>
      <c r="DQ46" s="35"/>
      <c r="DR46" s="35"/>
      <c r="DS46" s="35"/>
      <c r="DT46" s="35"/>
      <c r="DU46" s="35"/>
      <c r="DV46" s="35"/>
      <c r="DW46" s="35"/>
      <c r="DX46" s="35"/>
      <c r="DY46" s="35"/>
      <c r="DZ46" s="36"/>
      <c r="EA46" s="35"/>
      <c r="EB46" s="35"/>
      <c r="EC46" s="35"/>
      <c r="ED46" s="35"/>
      <c r="EE46" s="35"/>
      <c r="EF46" s="35"/>
      <c r="EG46" s="35"/>
      <c r="EH46" s="35"/>
      <c r="EI46" s="35"/>
      <c r="EJ46" s="35"/>
      <c r="EK46" s="35"/>
      <c r="EL46" s="35"/>
      <c r="EM46" s="35"/>
      <c r="EN46" s="35"/>
      <c r="EO46" s="35"/>
      <c r="EP46" s="35"/>
      <c r="EQ46" s="35"/>
      <c r="ER46" s="35"/>
      <c r="ES46" s="35"/>
      <c r="ET46" s="35"/>
      <c r="EU46" s="35"/>
      <c r="EV46" s="35"/>
      <c r="EW46" s="35"/>
      <c r="EX46" s="35"/>
      <c r="EY46" s="36"/>
      <c r="EZ46" s="35"/>
      <c r="FA46" s="35"/>
      <c r="FB46" s="35"/>
      <c r="FC46" s="35"/>
      <c r="FD46" s="35"/>
      <c r="FE46" s="35"/>
      <c r="FF46" s="35"/>
      <c r="FG46" s="35"/>
      <c r="FH46" s="35"/>
      <c r="FI46" s="35"/>
      <c r="FJ46" s="35"/>
      <c r="FK46" s="35"/>
      <c r="FL46" s="35"/>
      <c r="FM46" s="35"/>
      <c r="FN46" s="35"/>
      <c r="FO46" s="35"/>
      <c r="FP46" s="35"/>
      <c r="FQ46" s="52"/>
      <c r="FR46" s="8"/>
      <c r="FS46" s="9" t="s">
        <v>13</v>
      </c>
      <c r="FT46" s="9" t="str">
        <f t="shared" si="151"/>
        <v>2. Quarterly Reporting (QRTs)  2.1 Preparation</v>
      </c>
    </row>
    <row r="47" spans="1:176" s="9" customFormat="1" ht="12" customHeight="1" collapsed="1">
      <c r="A47" s="119" t="s">
        <v>59</v>
      </c>
      <c r="B47" s="127"/>
      <c r="C47" s="121" t="str">
        <f t="shared" si="9"/>
        <v>5 days</v>
      </c>
      <c r="D47" s="27"/>
      <c r="E47" s="91" t="str">
        <f t="shared" ref="E47" si="997">IF(SUBTOTAL(9,E48:E52)&gt;0,SUBTOTAL(9,E48:E52),"")</f>
        <v/>
      </c>
      <c r="F47" s="34" t="str">
        <f t="shared" ref="F47" si="998">IF(SUBTOTAL(9,F48:F52)&gt;0,SUBTOTAL(9,F48:F52),"")</f>
        <v/>
      </c>
      <c r="G47" s="34" t="str">
        <f t="shared" ref="G47" si="999">IF(SUBTOTAL(9,G48:G52)&gt;0,SUBTOTAL(9,G48:G52),"")</f>
        <v/>
      </c>
      <c r="H47" s="34" t="str">
        <f t="shared" ref="H47" si="1000">IF(SUBTOTAL(9,H48:H52)&gt;0,SUBTOTAL(9,H48:H52),"")</f>
        <v/>
      </c>
      <c r="I47" s="34" t="str">
        <f t="shared" ref="I47" si="1001">IF(SUBTOTAL(9,I48:I52)&gt;0,SUBTOTAL(9,I48:I52),"")</f>
        <v/>
      </c>
      <c r="J47" s="34" t="str">
        <f t="shared" ref="J47" si="1002">IF(SUBTOTAL(9,J48:J52)&gt;0,SUBTOTAL(9,J48:J52),"")</f>
        <v/>
      </c>
      <c r="K47" s="34" t="str">
        <f t="shared" ref="K47" si="1003">IF(SUBTOTAL(9,K48:K52)&gt;0,SUBTOTAL(9,K48:K52),"")</f>
        <v/>
      </c>
      <c r="L47" s="34" t="str">
        <f t="shared" ref="L47" si="1004">IF(SUBTOTAL(9,L48:L52)&gt;0,SUBTOTAL(9,L48:L52),"")</f>
        <v/>
      </c>
      <c r="M47" s="34" t="str">
        <f t="shared" ref="M47" si="1005">IF(SUBTOTAL(9,M48:M52)&gt;0,SUBTOTAL(9,M48:M52),"")</f>
        <v/>
      </c>
      <c r="N47" s="34" t="str">
        <f t="shared" ref="N47" si="1006">IF(SUBTOTAL(9,N48:N52)&gt;0,SUBTOTAL(9,N48:N52),"")</f>
        <v/>
      </c>
      <c r="O47" s="34" t="str">
        <f t="shared" ref="O47" si="1007">IF(SUBTOTAL(9,O48:O52)&gt;0,SUBTOTAL(9,O48:O52),"")</f>
        <v/>
      </c>
      <c r="P47" s="34" t="str">
        <f t="shared" ref="P47" si="1008">IF(SUBTOTAL(9,P48:P52)&gt;0,SUBTOTAL(9,P48:P52),"")</f>
        <v/>
      </c>
      <c r="Q47" s="34" t="str">
        <f t="shared" ref="Q47" si="1009">IF(SUBTOTAL(9,Q48:Q52)&gt;0,SUBTOTAL(9,Q48:Q52),"")</f>
        <v/>
      </c>
      <c r="R47" s="34" t="str">
        <f t="shared" ref="R47" si="1010">IF(SUBTOTAL(9,R48:R52)&gt;0,SUBTOTAL(9,R48:R52),"")</f>
        <v/>
      </c>
      <c r="S47" s="34" t="str">
        <f t="shared" ref="S47" si="1011">IF(SUBTOTAL(9,S48:S52)&gt;0,SUBTOTAL(9,S48:S52),"")</f>
        <v/>
      </c>
      <c r="T47" s="34" t="str">
        <f t="shared" ref="T47" si="1012">IF(SUBTOTAL(9,T48:T52)&gt;0,SUBTOTAL(9,T48:T52),"")</f>
        <v/>
      </c>
      <c r="U47" s="34" t="str">
        <f t="shared" ref="U47" si="1013">IF(SUBTOTAL(9,U48:U52)&gt;0,SUBTOTAL(9,U48:U52),"")</f>
        <v/>
      </c>
      <c r="V47" s="34" t="str">
        <f t="shared" ref="V47" si="1014">IF(SUBTOTAL(9,V48:V52)&gt;0,SUBTOTAL(9,V48:V52),"")</f>
        <v/>
      </c>
      <c r="W47" s="34" t="str">
        <f t="shared" ref="W47" si="1015">IF(SUBTOTAL(9,W48:W52)&gt;0,SUBTOTAL(9,W48:W52),"")</f>
        <v/>
      </c>
      <c r="X47" s="34" t="str">
        <f t="shared" ref="X47" si="1016">IF(SUBTOTAL(9,X48:X52)&gt;0,SUBTOTAL(9,X48:X52),"")</f>
        <v/>
      </c>
      <c r="Y47" s="34" t="str">
        <f t="shared" ref="Y47" si="1017">IF(SUBTOTAL(9,Y48:Y52)&gt;0,SUBTOTAL(9,Y48:Y52),"")</f>
        <v/>
      </c>
      <c r="Z47" s="34" t="str">
        <f t="shared" ref="Z47" si="1018">IF(SUBTOTAL(9,Z48:Z52)&gt;0,SUBTOTAL(9,Z48:Z52),"")</f>
        <v/>
      </c>
      <c r="AA47" s="34" t="str">
        <f t="shared" ref="AA47" si="1019">IF(SUBTOTAL(9,AA48:AA52)&gt;0,SUBTOTAL(9,AA48:AA52),"")</f>
        <v/>
      </c>
      <c r="AB47" s="34" t="str">
        <f t="shared" ref="AB47" si="1020">IF(SUBTOTAL(9,AB48:AB52)&gt;0,SUBTOTAL(9,AB48:AB52),"")</f>
        <v/>
      </c>
      <c r="AC47" s="34" t="str">
        <f t="shared" ref="AC47" si="1021">IF(SUBTOTAL(9,AC48:AC52)&gt;0,SUBTOTAL(9,AC48:AC52),"")</f>
        <v/>
      </c>
      <c r="AD47" s="34" t="str">
        <f t="shared" ref="AD47" si="1022">IF(SUBTOTAL(9,AD48:AD52)&gt;0,SUBTOTAL(9,AD48:AD52),"")</f>
        <v/>
      </c>
      <c r="AE47" s="34" t="str">
        <f t="shared" ref="AE47" si="1023">IF(SUBTOTAL(9,AE48:AE52)&gt;0,SUBTOTAL(9,AE48:AE52),"")</f>
        <v/>
      </c>
      <c r="AF47" s="34" t="str">
        <f t="shared" ref="AF47" si="1024">IF(SUBTOTAL(9,AF48:AF52)&gt;0,SUBTOTAL(9,AF48:AF52),"")</f>
        <v/>
      </c>
      <c r="AG47" s="34" t="str">
        <f t="shared" ref="AG47" si="1025">IF(SUBTOTAL(9,AG48:AG52)&gt;0,SUBTOTAL(9,AG48:AG52),"")</f>
        <v/>
      </c>
      <c r="AH47" s="34" t="str">
        <f t="shared" ref="AH47" si="1026">IF(SUBTOTAL(9,AH48:AH52)&gt;0,SUBTOTAL(9,AH48:AH52),"")</f>
        <v/>
      </c>
      <c r="AI47" s="34" t="str">
        <f t="shared" ref="AI47" si="1027">IF(SUBTOTAL(9,AI48:AI52)&gt;0,SUBTOTAL(9,AI48:AI52),"")</f>
        <v/>
      </c>
      <c r="AJ47" s="34" t="str">
        <f t="shared" ref="AJ47" si="1028">IF(SUBTOTAL(9,AJ48:AJ52)&gt;0,SUBTOTAL(9,AJ48:AJ52),"")</f>
        <v/>
      </c>
      <c r="AK47" s="34" t="str">
        <f t="shared" ref="AK47" si="1029">IF(SUBTOTAL(9,AK48:AK52)&gt;0,SUBTOTAL(9,AK48:AK52),"")</f>
        <v/>
      </c>
      <c r="AL47" s="33" t="str">
        <f t="shared" ref="AL47" si="1030">IF(SUBTOTAL(9,AL48:AL52)&gt;0,SUBTOTAL(9,AL48:AL52),"")</f>
        <v/>
      </c>
      <c r="AM47" s="33" t="str">
        <f t="shared" ref="AM47" si="1031">IF(SUBTOTAL(9,AM48:AM52)&gt;0,SUBTOTAL(9,AM48:AM52),"")</f>
        <v/>
      </c>
      <c r="AN47" s="33" t="str">
        <f t="shared" ref="AN47" si="1032">IF(SUBTOTAL(9,AN48:AN52)&gt;0,SUBTOTAL(9,AN48:AN52),"")</f>
        <v/>
      </c>
      <c r="AO47" s="33" t="str">
        <f t="shared" ref="AO47" si="1033">IF(SUBTOTAL(9,AO48:AO52)&gt;0,SUBTOTAL(9,AO48:AO52),"")</f>
        <v/>
      </c>
      <c r="AP47" s="33" t="str">
        <f t="shared" ref="AP47" si="1034">IF(SUBTOTAL(9,AP48:AP52)&gt;0,SUBTOTAL(9,AP48:AP52),"")</f>
        <v/>
      </c>
      <c r="AQ47" s="33" t="str">
        <f t="shared" ref="AQ47" si="1035">IF(SUBTOTAL(9,AQ48:AQ52)&gt;0,SUBTOTAL(9,AQ48:AQ52),"")</f>
        <v/>
      </c>
      <c r="AR47" s="33" t="str">
        <f t="shared" ref="AR47" si="1036">IF(SUBTOTAL(9,AR48:AR52)&gt;0,SUBTOTAL(9,AR48:AR52),"")</f>
        <v/>
      </c>
      <c r="AS47" s="34" t="str">
        <f t="shared" ref="AS47" si="1037">IF(SUBTOTAL(9,AS48:AS52)&gt;0,SUBTOTAL(9,AS48:AS52),"")</f>
        <v/>
      </c>
      <c r="AT47" s="34" t="str">
        <f t="shared" ref="AT47" si="1038">IF(SUBTOTAL(9,AT48:AT52)&gt;0,SUBTOTAL(9,AT48:AT52),"")</f>
        <v/>
      </c>
      <c r="AU47" s="34" t="str">
        <f t="shared" ref="AU47" si="1039">IF(SUBTOTAL(9,AU48:AU52)&gt;0,SUBTOTAL(9,AU48:AU52),"")</f>
        <v/>
      </c>
      <c r="AV47" s="34" t="str">
        <f t="shared" ref="AV47" si="1040">IF(SUBTOTAL(9,AV48:AV52)&gt;0,SUBTOTAL(9,AV48:AV52),"")</f>
        <v/>
      </c>
      <c r="AW47" s="34" t="str">
        <f t="shared" ref="AW47" si="1041">IF(SUBTOTAL(9,AW48:AW52)&gt;0,SUBTOTAL(9,AW48:AW52),"")</f>
        <v/>
      </c>
      <c r="AX47" s="34" t="str">
        <f t="shared" ref="AX47" si="1042">IF(SUBTOTAL(9,AX48:AX52)&gt;0,SUBTOTAL(9,AX48:AX52),"")</f>
        <v/>
      </c>
      <c r="AY47" s="34" t="str">
        <f t="shared" ref="AY47" si="1043">IF(SUBTOTAL(9,AY48:AY52)&gt;0,SUBTOTAL(9,AY48:AY52),"")</f>
        <v/>
      </c>
      <c r="AZ47" s="34" t="str">
        <f t="shared" ref="AZ47" si="1044">IF(SUBTOTAL(9,AZ48:AZ52)&gt;0,SUBTOTAL(9,AZ48:AZ52),"")</f>
        <v/>
      </c>
      <c r="BA47" s="34" t="str">
        <f t="shared" ref="BA47" si="1045">IF(SUBTOTAL(9,BA48:BA52)&gt;0,SUBTOTAL(9,BA48:BA52),"")</f>
        <v/>
      </c>
      <c r="BB47" s="34" t="str">
        <f t="shared" ref="BB47" si="1046">IF(SUBTOTAL(9,BB48:BB52)&gt;0,SUBTOTAL(9,BB48:BB52),"")</f>
        <v/>
      </c>
      <c r="BC47" s="34" t="str">
        <f t="shared" ref="BC47" si="1047">IF(SUBTOTAL(9,BC48:BC52)&gt;0,SUBTOTAL(9,BC48:BC52),"")</f>
        <v/>
      </c>
      <c r="BD47" s="34" t="str">
        <f t="shared" ref="BD47" si="1048">IF(SUBTOTAL(9,BD48:BD52)&gt;0,SUBTOTAL(9,BD48:BD52),"")</f>
        <v/>
      </c>
      <c r="BE47" s="34" t="str">
        <f t="shared" ref="BE47" si="1049">IF(SUBTOTAL(9,BE48:BE52)&gt;0,SUBTOTAL(9,BE48:BE52),"")</f>
        <v/>
      </c>
      <c r="BF47" s="34" t="str">
        <f t="shared" ref="BF47" si="1050">IF(SUBTOTAL(9,BF48:BF52)&gt;0,SUBTOTAL(9,BF48:BF52),"")</f>
        <v/>
      </c>
      <c r="BG47" s="34" t="str">
        <f t="shared" ref="BG47" si="1051">IF(SUBTOTAL(9,BG48:BG52)&gt;0,SUBTOTAL(9,BG48:BG52),"")</f>
        <v/>
      </c>
      <c r="BH47" s="34" t="str">
        <f t="shared" ref="BH47" si="1052">IF(SUBTOTAL(9,BH48:BH52)&gt;0,SUBTOTAL(9,BH48:BH52),"")</f>
        <v/>
      </c>
      <c r="BI47" s="34" t="str">
        <f t="shared" ref="BI47" si="1053">IF(SUBTOTAL(9,BI48:BI52)&gt;0,SUBTOTAL(9,BI48:BI52),"")</f>
        <v/>
      </c>
      <c r="BJ47" s="34" t="str">
        <f t="shared" ref="BJ47" si="1054">IF(SUBTOTAL(9,BJ48:BJ52)&gt;0,SUBTOTAL(9,BJ48:BJ52),"")</f>
        <v/>
      </c>
      <c r="BK47" s="34" t="str">
        <f t="shared" ref="BK47" si="1055">IF(SUBTOTAL(9,BK48:BK52)&gt;0,SUBTOTAL(9,BK48:BK52),"")</f>
        <v/>
      </c>
      <c r="BL47" s="34" t="str">
        <f t="shared" ref="BL47" si="1056">IF(SUBTOTAL(9,BL48:BL52)&gt;0,SUBTOTAL(9,BL48:BL52),"")</f>
        <v/>
      </c>
      <c r="BM47" s="34" t="str">
        <f t="shared" ref="BM47" si="1057">IF(SUBTOTAL(9,BM48:BM52)&gt;0,SUBTOTAL(9,BM48:BM52),"")</f>
        <v/>
      </c>
      <c r="BN47" s="34" t="str">
        <f t="shared" ref="BN47" si="1058">IF(SUBTOTAL(9,BN48:BN52)&gt;0,SUBTOTAL(9,BN48:BN52),"")</f>
        <v/>
      </c>
      <c r="BO47" s="34" t="str">
        <f t="shared" ref="BO47" si="1059">IF(SUBTOTAL(9,BO48:BO52)&gt;0,SUBTOTAL(9,BO48:BO52),"")</f>
        <v/>
      </c>
      <c r="BP47" s="34" t="str">
        <f t="shared" ref="BP47" si="1060">IF(SUBTOTAL(9,BP48:BP52)&gt;0,SUBTOTAL(9,BP48:BP52),"")</f>
        <v/>
      </c>
      <c r="BQ47" s="34" t="str">
        <f t="shared" ref="BQ47" si="1061">IF(SUBTOTAL(9,BQ48:BQ52)&gt;0,SUBTOTAL(9,BQ48:BQ52),"")</f>
        <v/>
      </c>
      <c r="BR47" s="34" t="str">
        <f t="shared" ref="BR47" si="1062">IF(SUBTOTAL(9,BR48:BR52)&gt;0,SUBTOTAL(9,BR48:BR52),"")</f>
        <v/>
      </c>
      <c r="BS47" s="34" t="str">
        <f t="shared" ref="BS47" si="1063">IF(SUBTOTAL(9,BS48:BS52)&gt;0,SUBTOTAL(9,BS48:BS52),"")</f>
        <v/>
      </c>
      <c r="BT47" s="34" t="str">
        <f t="shared" ref="BT47" si="1064">IF(SUBTOTAL(9,BT48:BT52)&gt;0,SUBTOTAL(9,BT48:BT52),"")</f>
        <v/>
      </c>
      <c r="BU47" s="34" t="str">
        <f t="shared" ref="BU47" si="1065">IF(SUBTOTAL(9,BU48:BU52)&gt;0,SUBTOTAL(9,BU48:BU52),"")</f>
        <v/>
      </c>
      <c r="BV47" s="34" t="str">
        <f t="shared" ref="BV47" si="1066">IF(SUBTOTAL(9,BV48:BV52)&gt;0,SUBTOTAL(9,BV48:BV52),"")</f>
        <v/>
      </c>
      <c r="BW47" s="34" t="str">
        <f t="shared" ref="BW47" si="1067">IF(SUBTOTAL(9,BW48:BW52)&gt;0,SUBTOTAL(9,BW48:BW52),"")</f>
        <v/>
      </c>
      <c r="BX47" s="34" t="str">
        <f t="shared" ref="BX47" si="1068">IF(SUBTOTAL(9,BX48:BX52)&gt;0,SUBTOTAL(9,BX48:BX52),"")</f>
        <v/>
      </c>
      <c r="BY47" s="34" t="str">
        <f t="shared" ref="BY47" si="1069">IF(SUBTOTAL(9,BY48:BY52)&gt;0,SUBTOTAL(9,BY48:BY52),"")</f>
        <v/>
      </c>
      <c r="BZ47" s="34" t="str">
        <f t="shared" ref="BZ47" si="1070">IF(SUBTOTAL(9,BZ48:BZ52)&gt;0,SUBTOTAL(9,BZ48:BZ52),"")</f>
        <v/>
      </c>
      <c r="CA47" s="34" t="str">
        <f t="shared" ref="CA47" si="1071">IF(SUBTOTAL(9,CA48:CA52)&gt;0,SUBTOTAL(9,CA48:CA52),"")</f>
        <v/>
      </c>
      <c r="CB47" s="34" t="str">
        <f t="shared" ref="CB47" si="1072">IF(SUBTOTAL(9,CB48:CB52)&gt;0,SUBTOTAL(9,CB48:CB52),"")</f>
        <v/>
      </c>
      <c r="CC47" s="34" t="str">
        <f t="shared" ref="CC47" si="1073">IF(SUBTOTAL(9,CC48:CC52)&gt;0,SUBTOTAL(9,CC48:CC52),"")</f>
        <v/>
      </c>
      <c r="CD47" s="34" t="str">
        <f t="shared" ref="CD47" si="1074">IF(SUBTOTAL(9,CD48:CD52)&gt;0,SUBTOTAL(9,CD48:CD52),"")</f>
        <v/>
      </c>
      <c r="CE47" s="34" t="str">
        <f t="shared" ref="CE47" si="1075">IF(SUBTOTAL(9,CE48:CE52)&gt;0,SUBTOTAL(9,CE48:CE52),"")</f>
        <v/>
      </c>
      <c r="CF47" s="34" t="str">
        <f t="shared" ref="CF47:CG47" si="1076">IF(SUBTOTAL(9,CF48:CF52)&gt;0,SUBTOTAL(9,CF48:CF52),"")</f>
        <v/>
      </c>
      <c r="CG47" s="34" t="str">
        <f t="shared" si="1076"/>
        <v/>
      </c>
      <c r="CH47" s="34" t="str">
        <f t="shared" ref="CH47" si="1077">IF(SUBTOTAL(9,CH48:CH52)&gt;0,SUBTOTAL(9,CH48:CH52),"")</f>
        <v/>
      </c>
      <c r="CI47" s="34" t="str">
        <f t="shared" ref="CI47" si="1078">IF(SUBTOTAL(9,CI48:CI52)&gt;0,SUBTOTAL(9,CI48:CI52),"")</f>
        <v/>
      </c>
      <c r="CJ47" s="34" t="str">
        <f t="shared" ref="CJ47" si="1079">IF(SUBTOTAL(9,CJ48:CJ52)&gt;0,SUBTOTAL(9,CJ48:CJ52),"")</f>
        <v/>
      </c>
      <c r="CK47" s="34" t="str">
        <f t="shared" ref="CK47" si="1080">IF(SUBTOTAL(9,CK48:CK52)&gt;0,SUBTOTAL(9,CK48:CK52),"")</f>
        <v/>
      </c>
      <c r="CL47" s="34" t="str">
        <f t="shared" ref="CL47" si="1081">IF(SUBTOTAL(9,CL48:CL52)&gt;0,SUBTOTAL(9,CL48:CL52),"")</f>
        <v/>
      </c>
      <c r="CM47" s="34" t="str">
        <f t="shared" ref="CM47" si="1082">IF(SUBTOTAL(9,CM48:CM52)&gt;0,SUBTOTAL(9,CM48:CM52),"")</f>
        <v/>
      </c>
      <c r="CN47" s="34" t="str">
        <f t="shared" ref="CN47" si="1083">IF(SUBTOTAL(9,CN48:CN52)&gt;0,SUBTOTAL(9,CN48:CN52),"")</f>
        <v/>
      </c>
      <c r="CO47" s="34" t="str">
        <f t="shared" ref="CO47" si="1084">IF(SUBTOTAL(9,CO48:CO52)&gt;0,SUBTOTAL(9,CO48:CO52),"")</f>
        <v/>
      </c>
      <c r="CP47" s="34" t="str">
        <f t="shared" ref="CP47" si="1085">IF(SUBTOTAL(9,CP48:CP52)&gt;0,SUBTOTAL(9,CP48:CP52),"")</f>
        <v/>
      </c>
      <c r="CQ47" s="34" t="str">
        <f t="shared" ref="CQ47" si="1086">IF(SUBTOTAL(9,CQ48:CQ52)&gt;0,SUBTOTAL(9,CQ48:CQ52),"")</f>
        <v/>
      </c>
      <c r="CR47" s="34" t="str">
        <f t="shared" ref="CR47" si="1087">IF(SUBTOTAL(9,CR48:CR52)&gt;0,SUBTOTAL(9,CR48:CR52),"")</f>
        <v/>
      </c>
      <c r="CS47" s="34" t="str">
        <f t="shared" ref="CS47" si="1088">IF(SUBTOTAL(9,CS48:CS52)&gt;0,SUBTOTAL(9,CS48:CS52),"")</f>
        <v/>
      </c>
      <c r="CT47" s="33" t="str">
        <f t="shared" ref="CT47" si="1089">IF(SUBTOTAL(9,CT48:CT52)&gt;0,SUBTOTAL(9,CT48:CT52),"")</f>
        <v/>
      </c>
      <c r="CU47" s="34" t="str">
        <f t="shared" ref="CU47" si="1090">IF(SUBTOTAL(9,CU48:CU52)&gt;0,SUBTOTAL(9,CU48:CU52),"")</f>
        <v/>
      </c>
      <c r="CV47" s="34" t="str">
        <f t="shared" ref="CV47" si="1091">IF(SUBTOTAL(9,CV48:CV52)&gt;0,SUBTOTAL(9,CV48:CV52),"")</f>
        <v/>
      </c>
      <c r="CW47" s="34" t="str">
        <f t="shared" ref="CW47" si="1092">IF(SUBTOTAL(9,CW48:CW52)&gt;0,SUBTOTAL(9,CW48:CW52),"")</f>
        <v/>
      </c>
      <c r="CX47" s="34" t="str">
        <f t="shared" ref="CX47" si="1093">IF(SUBTOTAL(9,CX48:CX52)&gt;0,SUBTOTAL(9,CX48:CX52),"")</f>
        <v/>
      </c>
      <c r="CY47" s="34" t="str">
        <f t="shared" ref="CY47" si="1094">IF(SUBTOTAL(9,CY48:CY52)&gt;0,SUBTOTAL(9,CY48:CY52),"")</f>
        <v/>
      </c>
      <c r="CZ47" s="33" t="str">
        <f t="shared" ref="CZ47" si="1095">IF(SUBTOTAL(9,CZ48:CZ52)&gt;0,SUBTOTAL(9,CZ48:CZ52),"")</f>
        <v/>
      </c>
      <c r="DA47" s="33" t="str">
        <f t="shared" ref="DA47" si="1096">IF(SUBTOTAL(9,DA48:DA52)&gt;0,SUBTOTAL(9,DA48:DA52),"")</f>
        <v/>
      </c>
      <c r="DB47" s="34" t="str">
        <f t="shared" ref="DB47" si="1097">IF(SUBTOTAL(9,DB48:DB52)&gt;0,SUBTOTAL(9,DB48:DB52),"")</f>
        <v/>
      </c>
      <c r="DC47" s="34" t="str">
        <f t="shared" ref="DC47" si="1098">IF(SUBTOTAL(9,DC48:DC52)&gt;0,SUBTOTAL(9,DC48:DC52),"")</f>
        <v/>
      </c>
      <c r="DD47" s="34" t="str">
        <f t="shared" ref="DD47" si="1099">IF(SUBTOTAL(9,DD48:DD52)&gt;0,SUBTOTAL(9,DD48:DD52),"")</f>
        <v/>
      </c>
      <c r="DE47" s="34" t="str">
        <f t="shared" ref="DE47" si="1100">IF(SUBTOTAL(9,DE48:DE52)&gt;0,SUBTOTAL(9,DE48:DE52),"")</f>
        <v/>
      </c>
      <c r="DF47" s="34" t="str">
        <f t="shared" ref="DF47" si="1101">IF(SUBTOTAL(9,DF48:DF52)&gt;0,SUBTOTAL(9,DF48:DF52),"")</f>
        <v/>
      </c>
      <c r="DG47" s="34" t="str">
        <f t="shared" ref="DG47" si="1102">IF(SUBTOTAL(9,DG48:DG52)&gt;0,SUBTOTAL(9,DG48:DG52),"")</f>
        <v/>
      </c>
      <c r="DH47" s="34" t="str">
        <f t="shared" ref="DH47" si="1103">IF(SUBTOTAL(9,DH48:DH52)&gt;0,SUBTOTAL(9,DH48:DH52),"")</f>
        <v/>
      </c>
      <c r="DI47" s="34" t="str">
        <f t="shared" ref="DI47" si="1104">IF(SUBTOTAL(9,DI48:DI52)&gt;0,SUBTOTAL(9,DI48:DI52),"")</f>
        <v/>
      </c>
      <c r="DJ47" s="34" t="str">
        <f t="shared" ref="DJ47" si="1105">IF(SUBTOTAL(9,DJ48:DJ52)&gt;0,SUBTOTAL(9,DJ48:DJ52),"")</f>
        <v/>
      </c>
      <c r="DK47" s="34" t="str">
        <f t="shared" ref="DK47" si="1106">IF(SUBTOTAL(9,DK48:DK52)&gt;0,SUBTOTAL(9,DK48:DK52),"")</f>
        <v/>
      </c>
      <c r="DL47" s="34" t="str">
        <f t="shared" ref="DL47" si="1107">IF(SUBTOTAL(9,DL48:DL52)&gt;0,SUBTOTAL(9,DL48:DL52),"")</f>
        <v/>
      </c>
      <c r="DM47" s="34">
        <f t="shared" ref="DM47" si="1108">IF(SUBTOTAL(9,DM48:DM52)&gt;0,SUBTOTAL(9,DM48:DM52),"")</f>
        <v>1</v>
      </c>
      <c r="DN47" s="34">
        <f t="shared" ref="DN47" si="1109">IF(SUBTOTAL(9,DN48:DN52)&gt;0,SUBTOTAL(9,DN48:DN52),"")</f>
        <v>1</v>
      </c>
      <c r="DO47" s="34">
        <f t="shared" ref="DO47" si="1110">IF(SUBTOTAL(9,DO48:DO52)&gt;0,SUBTOTAL(9,DO48:DO52),"")</f>
        <v>1</v>
      </c>
      <c r="DP47" s="34">
        <f t="shared" ref="DP47" si="1111">IF(SUBTOTAL(9,DP48:DP52)&gt;0,SUBTOTAL(9,DP48:DP52),"")</f>
        <v>1</v>
      </c>
      <c r="DQ47" s="34">
        <f t="shared" ref="DQ47" si="1112">IF(SUBTOTAL(9,DQ48:DQ52)&gt;0,SUBTOTAL(9,DQ48:DQ52),"")</f>
        <v>1</v>
      </c>
      <c r="DR47" s="34" t="str">
        <f t="shared" ref="DR47" si="1113">IF(SUBTOTAL(9,DR48:DR52)&gt;0,SUBTOTAL(9,DR48:DR52),"")</f>
        <v/>
      </c>
      <c r="DS47" s="34" t="str">
        <f t="shared" ref="DS47" si="1114">IF(SUBTOTAL(9,DS48:DS52)&gt;0,SUBTOTAL(9,DS48:DS52),"")</f>
        <v/>
      </c>
      <c r="DT47" s="34" t="str">
        <f t="shared" ref="DT47" si="1115">IF(SUBTOTAL(9,DT48:DT52)&gt;0,SUBTOTAL(9,DT48:DT52),"")</f>
        <v/>
      </c>
      <c r="DU47" s="34" t="str">
        <f t="shared" ref="DU47" si="1116">IF(SUBTOTAL(9,DU48:DU52)&gt;0,SUBTOTAL(9,DU48:DU52),"")</f>
        <v/>
      </c>
      <c r="DV47" s="34" t="str">
        <f t="shared" ref="DV47" si="1117">IF(SUBTOTAL(9,DV48:DV52)&gt;0,SUBTOTAL(9,DV48:DV52),"")</f>
        <v/>
      </c>
      <c r="DW47" s="34" t="str">
        <f t="shared" ref="DW47" si="1118">IF(SUBTOTAL(9,DW48:DW52)&gt;0,SUBTOTAL(9,DW48:DW52),"")</f>
        <v/>
      </c>
      <c r="DX47" s="34" t="str">
        <f t="shared" ref="DX47" si="1119">IF(SUBTOTAL(9,DX48:DX52)&gt;0,SUBTOTAL(9,DX48:DX52),"")</f>
        <v/>
      </c>
      <c r="DY47" s="34" t="str">
        <f t="shared" ref="DY47" si="1120">IF(SUBTOTAL(9,DY48:DY52)&gt;0,SUBTOTAL(9,DY48:DY52),"")</f>
        <v/>
      </c>
      <c r="DZ47" s="33" t="str">
        <f t="shared" ref="DZ47" si="1121">IF(SUBTOTAL(9,DZ48:DZ52)&gt;0,SUBTOTAL(9,DZ48:DZ52),"")</f>
        <v/>
      </c>
      <c r="EA47" s="34" t="str">
        <f t="shared" ref="EA47" si="1122">IF(SUBTOTAL(9,EA48:EA52)&gt;0,SUBTOTAL(9,EA48:EA52),"")</f>
        <v/>
      </c>
      <c r="EB47" s="34" t="str">
        <f t="shared" ref="EB47" si="1123">IF(SUBTOTAL(9,EB48:EB52)&gt;0,SUBTOTAL(9,EB48:EB52),"")</f>
        <v/>
      </c>
      <c r="EC47" s="34" t="str">
        <f t="shared" ref="EC47" si="1124">IF(SUBTOTAL(9,EC48:EC52)&gt;0,SUBTOTAL(9,EC48:EC52),"")</f>
        <v/>
      </c>
      <c r="ED47" s="34" t="str">
        <f t="shared" ref="ED47" si="1125">IF(SUBTOTAL(9,ED48:ED52)&gt;0,SUBTOTAL(9,ED48:ED52),"")</f>
        <v/>
      </c>
      <c r="EE47" s="34" t="str">
        <f t="shared" ref="EE47" si="1126">IF(SUBTOTAL(9,EE48:EE52)&gt;0,SUBTOTAL(9,EE48:EE52),"")</f>
        <v/>
      </c>
      <c r="EF47" s="34" t="str">
        <f t="shared" ref="EF47" si="1127">IF(SUBTOTAL(9,EF48:EF52)&gt;0,SUBTOTAL(9,EF48:EF52),"")</f>
        <v/>
      </c>
      <c r="EG47" s="34" t="str">
        <f t="shared" ref="EG47" si="1128">IF(SUBTOTAL(9,EG48:EG52)&gt;0,SUBTOTAL(9,EG48:EG52),"")</f>
        <v/>
      </c>
      <c r="EH47" s="34" t="str">
        <f t="shared" ref="EH47" si="1129">IF(SUBTOTAL(9,EH48:EH52)&gt;0,SUBTOTAL(9,EH48:EH52),"")</f>
        <v/>
      </c>
      <c r="EI47" s="34" t="str">
        <f t="shared" ref="EI47" si="1130">IF(SUBTOTAL(9,EI48:EI52)&gt;0,SUBTOTAL(9,EI48:EI52),"")</f>
        <v/>
      </c>
      <c r="EJ47" s="34" t="str">
        <f t="shared" ref="EJ47" si="1131">IF(SUBTOTAL(9,EJ48:EJ52)&gt;0,SUBTOTAL(9,EJ48:EJ52),"")</f>
        <v/>
      </c>
      <c r="EK47" s="34" t="str">
        <f t="shared" ref="EK47" si="1132">IF(SUBTOTAL(9,EK48:EK52)&gt;0,SUBTOTAL(9,EK48:EK52),"")</f>
        <v/>
      </c>
      <c r="EL47" s="34" t="str">
        <f t="shared" ref="EL47" si="1133">IF(SUBTOTAL(9,EL48:EL52)&gt;0,SUBTOTAL(9,EL48:EL52),"")</f>
        <v/>
      </c>
      <c r="EM47" s="34" t="str">
        <f t="shared" ref="EM47" si="1134">IF(SUBTOTAL(9,EM48:EM52)&gt;0,SUBTOTAL(9,EM48:EM52),"")</f>
        <v/>
      </c>
      <c r="EN47" s="34" t="str">
        <f t="shared" ref="EN47" si="1135">IF(SUBTOTAL(9,EN48:EN52)&gt;0,SUBTOTAL(9,EN48:EN52),"")</f>
        <v/>
      </c>
      <c r="EO47" s="34" t="str">
        <f t="shared" ref="EO47" si="1136">IF(SUBTOTAL(9,EO48:EO52)&gt;0,SUBTOTAL(9,EO48:EO52),"")</f>
        <v/>
      </c>
      <c r="EP47" s="34" t="str">
        <f t="shared" ref="EP47" si="1137">IF(SUBTOTAL(9,EP48:EP52)&gt;0,SUBTOTAL(9,EP48:EP52),"")</f>
        <v/>
      </c>
      <c r="EQ47" s="34" t="str">
        <f t="shared" ref="EQ47" si="1138">IF(SUBTOTAL(9,EQ48:EQ52)&gt;0,SUBTOTAL(9,EQ48:EQ52),"")</f>
        <v/>
      </c>
      <c r="ER47" s="34" t="str">
        <f t="shared" ref="ER47" si="1139">IF(SUBTOTAL(9,ER48:ER52)&gt;0,SUBTOTAL(9,ER48:ER52),"")</f>
        <v/>
      </c>
      <c r="ES47" s="34" t="str">
        <f t="shared" ref="ES47" si="1140">IF(SUBTOTAL(9,ES48:ES52)&gt;0,SUBTOTAL(9,ES48:ES52),"")</f>
        <v/>
      </c>
      <c r="ET47" s="34" t="str">
        <f t="shared" ref="ET47" si="1141">IF(SUBTOTAL(9,ET48:ET52)&gt;0,SUBTOTAL(9,ET48:ET52),"")</f>
        <v/>
      </c>
      <c r="EU47" s="34" t="str">
        <f t="shared" ref="EU47" si="1142">IF(SUBTOTAL(9,EU48:EU52)&gt;0,SUBTOTAL(9,EU48:EU52),"")</f>
        <v/>
      </c>
      <c r="EV47" s="34" t="str">
        <f t="shared" ref="EV47" si="1143">IF(SUBTOTAL(9,EV48:EV52)&gt;0,SUBTOTAL(9,EV48:EV52),"")</f>
        <v/>
      </c>
      <c r="EW47" s="34" t="str">
        <f t="shared" ref="EW47" si="1144">IF(SUBTOTAL(9,EW48:EW52)&gt;0,SUBTOTAL(9,EW48:EW52),"")</f>
        <v/>
      </c>
      <c r="EX47" s="34" t="str">
        <f t="shared" ref="EX47" si="1145">IF(SUBTOTAL(9,EX48:EX52)&gt;0,SUBTOTAL(9,EX48:EX52),"")</f>
        <v/>
      </c>
      <c r="EY47" s="33" t="str">
        <f t="shared" ref="EY47" si="1146">IF(SUBTOTAL(9,EY48:EY52)&gt;0,SUBTOTAL(9,EY48:EY52),"")</f>
        <v/>
      </c>
      <c r="EZ47" s="34" t="str">
        <f t="shared" ref="EZ47" si="1147">IF(SUBTOTAL(9,EZ48:EZ52)&gt;0,SUBTOTAL(9,EZ48:EZ52),"")</f>
        <v/>
      </c>
      <c r="FA47" s="34" t="str">
        <f t="shared" ref="FA47" si="1148">IF(SUBTOTAL(9,FA48:FA52)&gt;0,SUBTOTAL(9,FA48:FA52),"")</f>
        <v/>
      </c>
      <c r="FB47" s="34" t="str">
        <f t="shared" ref="FB47" si="1149">IF(SUBTOTAL(9,FB48:FB52)&gt;0,SUBTOTAL(9,FB48:FB52),"")</f>
        <v/>
      </c>
      <c r="FC47" s="34" t="str">
        <f t="shared" ref="FC47" si="1150">IF(SUBTOTAL(9,FC48:FC52)&gt;0,SUBTOTAL(9,FC48:FC52),"")</f>
        <v/>
      </c>
      <c r="FD47" s="34" t="str">
        <f t="shared" ref="FD47" si="1151">IF(SUBTOTAL(9,FD48:FD52)&gt;0,SUBTOTAL(9,FD48:FD52),"")</f>
        <v/>
      </c>
      <c r="FE47" s="34" t="str">
        <f t="shared" ref="FE47" si="1152">IF(SUBTOTAL(9,FE48:FE52)&gt;0,SUBTOTAL(9,FE48:FE52),"")</f>
        <v/>
      </c>
      <c r="FF47" s="34" t="str">
        <f t="shared" ref="FF47" si="1153">IF(SUBTOTAL(9,FF48:FF52)&gt;0,SUBTOTAL(9,FF48:FF52),"")</f>
        <v/>
      </c>
      <c r="FG47" s="34" t="str">
        <f t="shared" ref="FG47" si="1154">IF(SUBTOTAL(9,FG48:FG52)&gt;0,SUBTOTAL(9,FG48:FG52),"")</f>
        <v/>
      </c>
      <c r="FH47" s="34" t="str">
        <f t="shared" ref="FH47" si="1155">IF(SUBTOTAL(9,FH48:FH52)&gt;0,SUBTOTAL(9,FH48:FH52),"")</f>
        <v/>
      </c>
      <c r="FI47" s="34" t="str">
        <f t="shared" ref="FI47" si="1156">IF(SUBTOTAL(9,FI48:FI52)&gt;0,SUBTOTAL(9,FI48:FI52),"")</f>
        <v/>
      </c>
      <c r="FJ47" s="34" t="str">
        <f t="shared" ref="FJ47" si="1157">IF(SUBTOTAL(9,FJ48:FJ52)&gt;0,SUBTOTAL(9,FJ48:FJ52),"")</f>
        <v/>
      </c>
      <c r="FK47" s="34" t="str">
        <f t="shared" ref="FK47" si="1158">IF(SUBTOTAL(9,FK48:FK52)&gt;0,SUBTOTAL(9,FK48:FK52),"")</f>
        <v/>
      </c>
      <c r="FL47" s="34" t="str">
        <f t="shared" ref="FL47" si="1159">IF(SUBTOTAL(9,FL48:FL52)&gt;0,SUBTOTAL(9,FL48:FL52),"")</f>
        <v/>
      </c>
      <c r="FM47" s="34" t="str">
        <f t="shared" ref="FM47" si="1160">IF(SUBTOTAL(9,FM48:FM52)&gt;0,SUBTOTAL(9,FM48:FM52),"")</f>
        <v/>
      </c>
      <c r="FN47" s="34" t="str">
        <f t="shared" ref="FN47" si="1161">IF(SUBTOTAL(9,FN48:FN52)&gt;0,SUBTOTAL(9,FN48:FN52),"")</f>
        <v/>
      </c>
      <c r="FO47" s="34" t="str">
        <f t="shared" ref="FO47" si="1162">IF(SUBTOTAL(9,FO48:FO52)&gt;0,SUBTOTAL(9,FO48:FO52),"")</f>
        <v/>
      </c>
      <c r="FP47" s="34" t="str">
        <f t="shared" ref="FP47" si="1163">IF(SUBTOTAL(9,FP48:FP52)&gt;0,SUBTOTAL(9,FP48:FP52),"")</f>
        <v/>
      </c>
      <c r="FQ47" s="92" t="str">
        <f t="shared" ref="FQ47" si="1164">IF(SUBTOTAL(9,FQ48:FQ52)&gt;0,SUBTOTAL(9,FQ48:FQ52),"")</f>
        <v/>
      </c>
      <c r="FR47" s="8"/>
      <c r="FS47" s="9" t="s">
        <v>131</v>
      </c>
      <c r="FT47" s="9" t="str">
        <f t="shared" si="151"/>
        <v/>
      </c>
    </row>
    <row r="48" spans="1:176" s="9" customFormat="1" ht="12" hidden="1" customHeight="1" outlineLevel="1">
      <c r="A48" s="122" t="s">
        <v>4</v>
      </c>
      <c r="B48" s="123" t="s">
        <v>17</v>
      </c>
      <c r="C48" s="124" t="str">
        <f t="shared" si="9"/>
        <v>5 days</v>
      </c>
      <c r="D48" s="13" t="str">
        <f>A40&amp;" "&amp;A47</f>
        <v>2. Quarterly Reporting (QRTs)  2.2 Review</v>
      </c>
      <c r="E48" s="51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35"/>
      <c r="AJ48" s="35"/>
      <c r="AK48" s="35"/>
      <c r="AL48" s="36"/>
      <c r="AM48" s="36"/>
      <c r="AN48" s="36"/>
      <c r="AO48" s="36"/>
      <c r="AP48" s="36"/>
      <c r="AQ48" s="36"/>
      <c r="AR48" s="36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5"/>
      <c r="BM48" s="35"/>
      <c r="BN48" s="35"/>
      <c r="BO48" s="35"/>
      <c r="BP48" s="35"/>
      <c r="BQ48" s="35"/>
      <c r="BR48" s="35"/>
      <c r="BS48" s="35"/>
      <c r="BT48" s="35"/>
      <c r="BU48" s="35"/>
      <c r="BV48" s="35"/>
      <c r="BW48" s="35"/>
      <c r="BX48" s="35"/>
      <c r="BY48" s="35"/>
      <c r="BZ48" s="35"/>
      <c r="CA48" s="35"/>
      <c r="CB48" s="35"/>
      <c r="CC48" s="35"/>
      <c r="CD48" s="35"/>
      <c r="CE48" s="35"/>
      <c r="CF48" s="35"/>
      <c r="CG48" s="35"/>
      <c r="CH48" s="35"/>
      <c r="CI48" s="35"/>
      <c r="CJ48" s="35"/>
      <c r="CK48" s="35"/>
      <c r="CL48" s="35"/>
      <c r="CM48" s="35"/>
      <c r="CN48" s="35"/>
      <c r="CO48" s="35"/>
      <c r="CP48" s="35"/>
      <c r="CQ48" s="35"/>
      <c r="CR48" s="35"/>
      <c r="CS48" s="35"/>
      <c r="CT48" s="36"/>
      <c r="CU48" s="35"/>
      <c r="CV48" s="35"/>
      <c r="CW48" s="35"/>
      <c r="CX48" s="35"/>
      <c r="CY48" s="35"/>
      <c r="CZ48" s="36"/>
      <c r="DA48" s="36"/>
      <c r="DB48" s="35"/>
      <c r="DC48" s="35"/>
      <c r="DD48" s="35"/>
      <c r="DE48" s="35"/>
      <c r="DF48" s="35"/>
      <c r="DG48" s="35"/>
      <c r="DH48" s="35"/>
      <c r="DI48" s="35"/>
      <c r="DJ48" s="35"/>
      <c r="DK48" s="35"/>
      <c r="DL48" s="35"/>
      <c r="DM48" s="35">
        <v>1</v>
      </c>
      <c r="DN48" s="35">
        <v>1</v>
      </c>
      <c r="DO48" s="35">
        <v>1</v>
      </c>
      <c r="DP48" s="35">
        <v>1</v>
      </c>
      <c r="DQ48" s="35">
        <v>1</v>
      </c>
      <c r="DR48" s="35"/>
      <c r="DS48" s="35"/>
      <c r="DT48" s="35"/>
      <c r="DU48" s="35"/>
      <c r="DV48" s="35"/>
      <c r="DW48" s="35"/>
      <c r="DX48" s="35"/>
      <c r="DY48" s="35"/>
      <c r="DZ48" s="36"/>
      <c r="EA48" s="35"/>
      <c r="EB48" s="35"/>
      <c r="EC48" s="35"/>
      <c r="ED48" s="35"/>
      <c r="EE48" s="35"/>
      <c r="EF48" s="35"/>
      <c r="EG48" s="35"/>
      <c r="EH48" s="35"/>
      <c r="EI48" s="35"/>
      <c r="EJ48" s="35"/>
      <c r="EK48" s="35"/>
      <c r="EL48" s="35"/>
      <c r="EM48" s="35"/>
      <c r="EN48" s="35"/>
      <c r="EO48" s="35"/>
      <c r="EP48" s="35"/>
      <c r="EQ48" s="35"/>
      <c r="ER48" s="35"/>
      <c r="ES48" s="35"/>
      <c r="ET48" s="35"/>
      <c r="EU48" s="35"/>
      <c r="EV48" s="35"/>
      <c r="EW48" s="35"/>
      <c r="EX48" s="35"/>
      <c r="EY48" s="36"/>
      <c r="EZ48" s="35"/>
      <c r="FA48" s="35"/>
      <c r="FB48" s="35"/>
      <c r="FC48" s="35"/>
      <c r="FD48" s="35"/>
      <c r="FE48" s="35"/>
      <c r="FF48" s="35"/>
      <c r="FG48" s="35"/>
      <c r="FH48" s="35"/>
      <c r="FI48" s="35"/>
      <c r="FJ48" s="35"/>
      <c r="FK48" s="35"/>
      <c r="FL48" s="35"/>
      <c r="FM48" s="35"/>
      <c r="FN48" s="35"/>
      <c r="FO48" s="35"/>
      <c r="FP48" s="35"/>
      <c r="FQ48" s="52"/>
      <c r="FR48" s="8"/>
      <c r="FS48" s="9" t="s">
        <v>13</v>
      </c>
      <c r="FT48" s="9" t="str">
        <f t="shared" si="151"/>
        <v>2. Quarterly Reporting (QRTs)  2.2 ReviewSenior Accountant</v>
      </c>
    </row>
    <row r="49" spans="1:176" s="9" customFormat="1" ht="12" hidden="1" customHeight="1" outlineLevel="1">
      <c r="A49" s="125" t="s">
        <v>50</v>
      </c>
      <c r="B49" s="123"/>
      <c r="C49" s="124" t="str">
        <f t="shared" si="9"/>
        <v>0 days</v>
      </c>
      <c r="D49" s="13" t="str">
        <f>A40&amp;" "&amp;A47</f>
        <v>2. Quarterly Reporting (QRTs)  2.2 Review</v>
      </c>
      <c r="E49" s="51"/>
      <c r="F49" s="35"/>
      <c r="G49" s="35"/>
      <c r="H49" s="35"/>
      <c r="I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35"/>
      <c r="AK49" s="35"/>
      <c r="AL49" s="36"/>
      <c r="AM49" s="36"/>
      <c r="AN49" s="36"/>
      <c r="AO49" s="36"/>
      <c r="AP49" s="36"/>
      <c r="AQ49" s="36"/>
      <c r="AR49" s="36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5"/>
      <c r="BM49" s="35"/>
      <c r="BN49" s="35"/>
      <c r="BO49" s="35"/>
      <c r="BP49" s="35"/>
      <c r="BQ49" s="35"/>
      <c r="BR49" s="35"/>
      <c r="BS49" s="35"/>
      <c r="BT49" s="35"/>
      <c r="BU49" s="35"/>
      <c r="BV49" s="35"/>
      <c r="BW49" s="35"/>
      <c r="BX49" s="35"/>
      <c r="BY49" s="35"/>
      <c r="BZ49" s="35"/>
      <c r="CA49" s="35"/>
      <c r="CB49" s="35"/>
      <c r="CC49" s="35"/>
      <c r="CD49" s="35"/>
      <c r="CE49" s="35"/>
      <c r="CF49" s="35"/>
      <c r="CG49" s="35"/>
      <c r="CH49" s="35"/>
      <c r="CI49" s="35"/>
      <c r="CJ49" s="35"/>
      <c r="CK49" s="35"/>
      <c r="CL49" s="35"/>
      <c r="CM49" s="35"/>
      <c r="CN49" s="35"/>
      <c r="CO49" s="35"/>
      <c r="CP49" s="35"/>
      <c r="CQ49" s="35"/>
      <c r="CR49" s="35"/>
      <c r="CS49" s="35"/>
      <c r="CT49" s="36"/>
      <c r="CU49" s="35"/>
      <c r="CV49" s="35"/>
      <c r="CW49" s="35"/>
      <c r="CX49" s="35"/>
      <c r="CY49" s="35"/>
      <c r="CZ49" s="36"/>
      <c r="DA49" s="36"/>
      <c r="DB49" s="35"/>
      <c r="DC49" s="35"/>
      <c r="DD49" s="35"/>
      <c r="DE49" s="35"/>
      <c r="DF49" s="35"/>
      <c r="DG49" s="35"/>
      <c r="DH49" s="35"/>
      <c r="DI49" s="35"/>
      <c r="DJ49" s="35"/>
      <c r="DK49" s="35"/>
      <c r="DL49" s="35"/>
      <c r="DM49" s="35"/>
      <c r="DN49" s="35"/>
      <c r="DO49" s="35"/>
      <c r="DP49" s="35"/>
      <c r="DQ49" s="35"/>
      <c r="DR49" s="35"/>
      <c r="DS49" s="35"/>
      <c r="DT49" s="35"/>
      <c r="DU49" s="35"/>
      <c r="DV49" s="35"/>
      <c r="DW49" s="35"/>
      <c r="DX49" s="35"/>
      <c r="DY49" s="35"/>
      <c r="DZ49" s="36"/>
      <c r="EA49" s="35"/>
      <c r="EB49" s="35"/>
      <c r="EC49" s="35"/>
      <c r="ED49" s="35"/>
      <c r="EE49" s="35"/>
      <c r="EF49" s="35"/>
      <c r="EG49" s="35"/>
      <c r="EH49" s="35"/>
      <c r="EI49" s="35"/>
      <c r="EJ49" s="35"/>
      <c r="EK49" s="35"/>
      <c r="EL49" s="35"/>
      <c r="EM49" s="35"/>
      <c r="EN49" s="35"/>
      <c r="EO49" s="35"/>
      <c r="EP49" s="35"/>
      <c r="EQ49" s="35"/>
      <c r="ER49" s="35"/>
      <c r="ES49" s="35"/>
      <c r="ET49" s="35"/>
      <c r="EU49" s="35"/>
      <c r="EV49" s="35"/>
      <c r="EW49" s="35"/>
      <c r="EX49" s="35"/>
      <c r="EY49" s="36"/>
      <c r="EZ49" s="35"/>
      <c r="FA49" s="35"/>
      <c r="FB49" s="35"/>
      <c r="FC49" s="35"/>
      <c r="FD49" s="35"/>
      <c r="FE49" s="35"/>
      <c r="FF49" s="35"/>
      <c r="FG49" s="35"/>
      <c r="FH49" s="35"/>
      <c r="FI49" s="35"/>
      <c r="FJ49" s="35"/>
      <c r="FK49" s="35"/>
      <c r="FL49" s="35"/>
      <c r="FM49" s="35"/>
      <c r="FN49" s="35"/>
      <c r="FO49" s="35"/>
      <c r="FP49" s="35"/>
      <c r="FQ49" s="52"/>
      <c r="FR49" s="8"/>
      <c r="FS49" s="9" t="s">
        <v>13</v>
      </c>
      <c r="FT49" s="9" t="str">
        <f t="shared" si="151"/>
        <v>2. Quarterly Reporting (QRTs)  2.2 Review</v>
      </c>
    </row>
    <row r="50" spans="1:176" s="9" customFormat="1" ht="12" hidden="1" customHeight="1" outlineLevel="1">
      <c r="A50" s="125" t="s">
        <v>50</v>
      </c>
      <c r="B50" s="123"/>
      <c r="C50" s="124" t="str">
        <f t="shared" si="9"/>
        <v>0 days</v>
      </c>
      <c r="D50" s="13" t="str">
        <f>A40&amp;" "&amp;A47</f>
        <v>2. Quarterly Reporting (QRTs)  2.2 Review</v>
      </c>
      <c r="E50" s="51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35"/>
      <c r="AK50" s="35"/>
      <c r="AL50" s="36"/>
      <c r="AM50" s="36"/>
      <c r="AN50" s="36"/>
      <c r="AO50" s="36"/>
      <c r="AP50" s="36"/>
      <c r="AQ50" s="36"/>
      <c r="AR50" s="36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5"/>
      <c r="BM50" s="35"/>
      <c r="BN50" s="35"/>
      <c r="BO50" s="35"/>
      <c r="BP50" s="35"/>
      <c r="BQ50" s="35"/>
      <c r="BR50" s="35"/>
      <c r="BS50" s="35"/>
      <c r="BT50" s="35"/>
      <c r="BU50" s="35"/>
      <c r="BV50" s="35"/>
      <c r="BW50" s="35"/>
      <c r="BX50" s="35"/>
      <c r="BY50" s="35"/>
      <c r="BZ50" s="35"/>
      <c r="CA50" s="35"/>
      <c r="CB50" s="35"/>
      <c r="CC50" s="35"/>
      <c r="CD50" s="35"/>
      <c r="CE50" s="35"/>
      <c r="CF50" s="35"/>
      <c r="CG50" s="35"/>
      <c r="CH50" s="35"/>
      <c r="CI50" s="35"/>
      <c r="CJ50" s="35"/>
      <c r="CK50" s="35"/>
      <c r="CL50" s="35"/>
      <c r="CM50" s="35"/>
      <c r="CN50" s="35"/>
      <c r="CO50" s="35"/>
      <c r="CP50" s="35"/>
      <c r="CQ50" s="35"/>
      <c r="CR50" s="35"/>
      <c r="CS50" s="35"/>
      <c r="CT50" s="36"/>
      <c r="CU50" s="35"/>
      <c r="CV50" s="35"/>
      <c r="CW50" s="35"/>
      <c r="CX50" s="35"/>
      <c r="CY50" s="35"/>
      <c r="CZ50" s="36"/>
      <c r="DA50" s="36"/>
      <c r="DB50" s="35"/>
      <c r="DC50" s="35"/>
      <c r="DD50" s="35"/>
      <c r="DE50" s="35"/>
      <c r="DF50" s="35"/>
      <c r="DG50" s="35"/>
      <c r="DH50" s="35"/>
      <c r="DI50" s="35"/>
      <c r="DJ50" s="35"/>
      <c r="DK50" s="35"/>
      <c r="DL50" s="35"/>
      <c r="DM50" s="35"/>
      <c r="DN50" s="35"/>
      <c r="DO50" s="35"/>
      <c r="DP50" s="35"/>
      <c r="DQ50" s="35"/>
      <c r="DR50" s="35"/>
      <c r="DS50" s="35"/>
      <c r="DT50" s="35"/>
      <c r="DU50" s="35"/>
      <c r="DV50" s="35"/>
      <c r="DW50" s="35"/>
      <c r="DX50" s="35"/>
      <c r="DY50" s="35"/>
      <c r="DZ50" s="36"/>
      <c r="EA50" s="35"/>
      <c r="EB50" s="35"/>
      <c r="EC50" s="35"/>
      <c r="ED50" s="35"/>
      <c r="EE50" s="35"/>
      <c r="EF50" s="35"/>
      <c r="EG50" s="35"/>
      <c r="EH50" s="35"/>
      <c r="EI50" s="35"/>
      <c r="EJ50" s="35"/>
      <c r="EK50" s="35"/>
      <c r="EL50" s="35"/>
      <c r="EM50" s="35"/>
      <c r="EN50" s="35"/>
      <c r="EO50" s="35"/>
      <c r="EP50" s="35"/>
      <c r="EQ50" s="35"/>
      <c r="ER50" s="35"/>
      <c r="ES50" s="35"/>
      <c r="ET50" s="35"/>
      <c r="EU50" s="35"/>
      <c r="EV50" s="35"/>
      <c r="EW50" s="35"/>
      <c r="EX50" s="35"/>
      <c r="EY50" s="36"/>
      <c r="EZ50" s="35"/>
      <c r="FA50" s="35"/>
      <c r="FB50" s="35"/>
      <c r="FC50" s="35"/>
      <c r="FD50" s="35"/>
      <c r="FE50" s="35"/>
      <c r="FF50" s="35"/>
      <c r="FG50" s="35"/>
      <c r="FH50" s="35"/>
      <c r="FI50" s="35"/>
      <c r="FJ50" s="35"/>
      <c r="FK50" s="35"/>
      <c r="FL50" s="35"/>
      <c r="FM50" s="35"/>
      <c r="FN50" s="35"/>
      <c r="FO50" s="35"/>
      <c r="FP50" s="35"/>
      <c r="FQ50" s="52"/>
      <c r="FR50" s="8"/>
      <c r="FS50" s="9" t="s">
        <v>13</v>
      </c>
      <c r="FT50" s="9" t="str">
        <f t="shared" si="151"/>
        <v>2. Quarterly Reporting (QRTs)  2.2 Review</v>
      </c>
    </row>
    <row r="51" spans="1:176" s="9" customFormat="1" ht="12" hidden="1" customHeight="1" outlineLevel="1">
      <c r="A51" s="125" t="s">
        <v>50</v>
      </c>
      <c r="B51" s="123"/>
      <c r="C51" s="124" t="str">
        <f t="shared" si="9"/>
        <v>0 days</v>
      </c>
      <c r="D51" s="13" t="str">
        <f>A40&amp;" "&amp;A47</f>
        <v>2. Quarterly Reporting (QRTs)  2.2 Review</v>
      </c>
      <c r="E51" s="51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6"/>
      <c r="AM51" s="36"/>
      <c r="AN51" s="36"/>
      <c r="AO51" s="36"/>
      <c r="AP51" s="36"/>
      <c r="AQ51" s="36"/>
      <c r="AR51" s="36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5"/>
      <c r="BM51" s="35"/>
      <c r="BN51" s="35"/>
      <c r="BO51" s="35"/>
      <c r="BP51" s="35"/>
      <c r="BQ51" s="35"/>
      <c r="BR51" s="35"/>
      <c r="BS51" s="35"/>
      <c r="BT51" s="35"/>
      <c r="BU51" s="35"/>
      <c r="BV51" s="35"/>
      <c r="BW51" s="35"/>
      <c r="BX51" s="35"/>
      <c r="BY51" s="35"/>
      <c r="BZ51" s="35"/>
      <c r="CA51" s="35"/>
      <c r="CB51" s="35"/>
      <c r="CC51" s="35"/>
      <c r="CD51" s="35"/>
      <c r="CE51" s="35"/>
      <c r="CF51" s="35"/>
      <c r="CG51" s="35"/>
      <c r="CH51" s="35"/>
      <c r="CI51" s="35"/>
      <c r="CJ51" s="35"/>
      <c r="CK51" s="35"/>
      <c r="CL51" s="35"/>
      <c r="CM51" s="35"/>
      <c r="CN51" s="35"/>
      <c r="CO51" s="35"/>
      <c r="CP51" s="35"/>
      <c r="CQ51" s="35"/>
      <c r="CR51" s="35"/>
      <c r="CS51" s="35"/>
      <c r="CT51" s="36"/>
      <c r="CU51" s="35"/>
      <c r="CV51" s="35"/>
      <c r="CW51" s="35"/>
      <c r="CX51" s="35"/>
      <c r="CY51" s="35"/>
      <c r="CZ51" s="36"/>
      <c r="DA51" s="36"/>
      <c r="DB51" s="35"/>
      <c r="DC51" s="35"/>
      <c r="DD51" s="35"/>
      <c r="DE51" s="35"/>
      <c r="DF51" s="35"/>
      <c r="DG51" s="35"/>
      <c r="DH51" s="35"/>
      <c r="DI51" s="35"/>
      <c r="DJ51" s="35"/>
      <c r="DK51" s="35"/>
      <c r="DL51" s="35"/>
      <c r="DM51" s="35"/>
      <c r="DN51" s="35"/>
      <c r="DO51" s="35"/>
      <c r="DP51" s="35"/>
      <c r="DQ51" s="35"/>
      <c r="DR51" s="35"/>
      <c r="DS51" s="35"/>
      <c r="DT51" s="35"/>
      <c r="DU51" s="35"/>
      <c r="DV51" s="35"/>
      <c r="DW51" s="35"/>
      <c r="DX51" s="35"/>
      <c r="DY51" s="35"/>
      <c r="DZ51" s="36"/>
      <c r="EA51" s="35"/>
      <c r="EB51" s="35"/>
      <c r="EC51" s="35"/>
      <c r="ED51" s="35"/>
      <c r="EE51" s="35"/>
      <c r="EF51" s="35"/>
      <c r="EG51" s="35"/>
      <c r="EH51" s="35"/>
      <c r="EI51" s="35"/>
      <c r="EJ51" s="35"/>
      <c r="EK51" s="35"/>
      <c r="EL51" s="35"/>
      <c r="EM51" s="35"/>
      <c r="EN51" s="35"/>
      <c r="EO51" s="35"/>
      <c r="EP51" s="35"/>
      <c r="EQ51" s="35"/>
      <c r="ER51" s="35"/>
      <c r="ES51" s="35"/>
      <c r="ET51" s="35"/>
      <c r="EU51" s="35"/>
      <c r="EV51" s="35"/>
      <c r="EW51" s="35"/>
      <c r="EX51" s="35"/>
      <c r="EY51" s="36"/>
      <c r="EZ51" s="35"/>
      <c r="FA51" s="35"/>
      <c r="FB51" s="35"/>
      <c r="FC51" s="35"/>
      <c r="FD51" s="35"/>
      <c r="FE51" s="35"/>
      <c r="FF51" s="35"/>
      <c r="FG51" s="35"/>
      <c r="FH51" s="35"/>
      <c r="FI51" s="35"/>
      <c r="FJ51" s="35"/>
      <c r="FK51" s="35"/>
      <c r="FL51" s="35"/>
      <c r="FM51" s="35"/>
      <c r="FN51" s="35"/>
      <c r="FO51" s="35"/>
      <c r="FP51" s="35"/>
      <c r="FQ51" s="52"/>
      <c r="FR51" s="8"/>
      <c r="FS51" s="9" t="s">
        <v>13</v>
      </c>
      <c r="FT51" s="9" t="str">
        <f t="shared" si="151"/>
        <v>2. Quarterly Reporting (QRTs)  2.2 Review</v>
      </c>
    </row>
    <row r="52" spans="1:176" s="9" customFormat="1" ht="12" hidden="1" customHeight="1" outlineLevel="1">
      <c r="A52" s="133" t="s">
        <v>50</v>
      </c>
      <c r="B52" s="123"/>
      <c r="C52" s="124" t="str">
        <f t="shared" si="9"/>
        <v>0 days</v>
      </c>
      <c r="D52" s="13" t="str">
        <f>A40&amp;" "&amp;A47</f>
        <v>2. Quarterly Reporting (QRTs)  2.2 Review</v>
      </c>
      <c r="E52" s="51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35"/>
      <c r="AK52" s="35"/>
      <c r="AL52" s="36"/>
      <c r="AM52" s="36"/>
      <c r="AN52" s="36"/>
      <c r="AO52" s="36"/>
      <c r="AP52" s="36"/>
      <c r="AQ52" s="36"/>
      <c r="AR52" s="36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5"/>
      <c r="BM52" s="35"/>
      <c r="BN52" s="35"/>
      <c r="BO52" s="35"/>
      <c r="BP52" s="35"/>
      <c r="BQ52" s="35"/>
      <c r="BR52" s="35"/>
      <c r="BS52" s="35"/>
      <c r="BT52" s="35"/>
      <c r="BU52" s="35"/>
      <c r="BV52" s="35"/>
      <c r="BW52" s="35"/>
      <c r="BX52" s="35"/>
      <c r="BY52" s="35"/>
      <c r="BZ52" s="35"/>
      <c r="CA52" s="35"/>
      <c r="CB52" s="35"/>
      <c r="CC52" s="35"/>
      <c r="CD52" s="35"/>
      <c r="CE52" s="35"/>
      <c r="CF52" s="35"/>
      <c r="CG52" s="35"/>
      <c r="CH52" s="35"/>
      <c r="CI52" s="35"/>
      <c r="CJ52" s="35"/>
      <c r="CK52" s="35"/>
      <c r="CL52" s="35"/>
      <c r="CM52" s="35"/>
      <c r="CN52" s="35"/>
      <c r="CO52" s="35"/>
      <c r="CP52" s="35"/>
      <c r="CQ52" s="35"/>
      <c r="CR52" s="35"/>
      <c r="CS52" s="35"/>
      <c r="CT52" s="36"/>
      <c r="CU52" s="35"/>
      <c r="CV52" s="35"/>
      <c r="CW52" s="35"/>
      <c r="CX52" s="35"/>
      <c r="CY52" s="35"/>
      <c r="CZ52" s="36"/>
      <c r="DA52" s="36"/>
      <c r="DB52" s="35"/>
      <c r="DC52" s="35"/>
      <c r="DD52" s="35"/>
      <c r="DE52" s="35"/>
      <c r="DF52" s="35"/>
      <c r="DG52" s="35"/>
      <c r="DH52" s="35"/>
      <c r="DI52" s="35"/>
      <c r="DJ52" s="35"/>
      <c r="DK52" s="35"/>
      <c r="DL52" s="35"/>
      <c r="DM52" s="35"/>
      <c r="DN52" s="35"/>
      <c r="DO52" s="35"/>
      <c r="DP52" s="35"/>
      <c r="DQ52" s="35"/>
      <c r="DR52" s="35"/>
      <c r="DS52" s="35"/>
      <c r="DT52" s="35"/>
      <c r="DU52" s="35"/>
      <c r="DV52" s="35"/>
      <c r="DW52" s="35"/>
      <c r="DX52" s="35"/>
      <c r="DY52" s="35"/>
      <c r="DZ52" s="36"/>
      <c r="EA52" s="35"/>
      <c r="EB52" s="35"/>
      <c r="EC52" s="35"/>
      <c r="ED52" s="35"/>
      <c r="EE52" s="35"/>
      <c r="EF52" s="35"/>
      <c r="EG52" s="35"/>
      <c r="EH52" s="35"/>
      <c r="EI52" s="35"/>
      <c r="EJ52" s="35"/>
      <c r="EK52" s="35"/>
      <c r="EL52" s="35"/>
      <c r="EM52" s="35"/>
      <c r="EN52" s="35"/>
      <c r="EO52" s="35"/>
      <c r="EP52" s="35"/>
      <c r="EQ52" s="35"/>
      <c r="ER52" s="35"/>
      <c r="ES52" s="35"/>
      <c r="ET52" s="35"/>
      <c r="EU52" s="35"/>
      <c r="EV52" s="35"/>
      <c r="EW52" s="35"/>
      <c r="EX52" s="35"/>
      <c r="EY52" s="36"/>
      <c r="EZ52" s="35"/>
      <c r="FA52" s="35"/>
      <c r="FB52" s="35"/>
      <c r="FC52" s="35"/>
      <c r="FD52" s="35"/>
      <c r="FE52" s="35"/>
      <c r="FF52" s="35"/>
      <c r="FG52" s="35"/>
      <c r="FH52" s="35"/>
      <c r="FI52" s="35"/>
      <c r="FJ52" s="35"/>
      <c r="FK52" s="35"/>
      <c r="FL52" s="35"/>
      <c r="FM52" s="35"/>
      <c r="FN52" s="35"/>
      <c r="FO52" s="35"/>
      <c r="FP52" s="35"/>
      <c r="FQ52" s="52"/>
      <c r="FR52" s="8"/>
      <c r="FS52" s="9" t="s">
        <v>13</v>
      </c>
      <c r="FT52" s="9" t="str">
        <f t="shared" si="151"/>
        <v>2. Quarterly Reporting (QRTs)  2.2 Review</v>
      </c>
    </row>
    <row r="53" spans="1:176" s="9" customFormat="1" ht="12" customHeight="1" collapsed="1">
      <c r="A53" s="119" t="s">
        <v>60</v>
      </c>
      <c r="B53" s="127"/>
      <c r="C53" s="128" t="str">
        <f t="shared" si="9"/>
        <v>2 days</v>
      </c>
      <c r="D53" s="37"/>
      <c r="E53" s="91" t="str">
        <f t="shared" ref="E53" si="1165">IF(SUBTOTAL(9,E54:E58)&gt;0,SUBTOTAL(9,E54:E58),"")</f>
        <v/>
      </c>
      <c r="F53" s="34" t="str">
        <f t="shared" ref="F53" si="1166">IF(SUBTOTAL(9,F54:F58)&gt;0,SUBTOTAL(9,F54:F58),"")</f>
        <v/>
      </c>
      <c r="G53" s="34" t="str">
        <f t="shared" ref="G53" si="1167">IF(SUBTOTAL(9,G54:G58)&gt;0,SUBTOTAL(9,G54:G58),"")</f>
        <v/>
      </c>
      <c r="H53" s="34" t="str">
        <f t="shared" ref="H53" si="1168">IF(SUBTOTAL(9,H54:H58)&gt;0,SUBTOTAL(9,H54:H58),"")</f>
        <v/>
      </c>
      <c r="I53" s="34" t="str">
        <f t="shared" ref="I53" si="1169">IF(SUBTOTAL(9,I54:I58)&gt;0,SUBTOTAL(9,I54:I58),"")</f>
        <v/>
      </c>
      <c r="J53" s="34" t="str">
        <f t="shared" ref="J53" si="1170">IF(SUBTOTAL(9,J54:J58)&gt;0,SUBTOTAL(9,J54:J58),"")</f>
        <v/>
      </c>
      <c r="K53" s="34" t="str">
        <f t="shared" ref="K53" si="1171">IF(SUBTOTAL(9,K54:K58)&gt;0,SUBTOTAL(9,K54:K58),"")</f>
        <v/>
      </c>
      <c r="L53" s="34" t="str">
        <f t="shared" ref="L53" si="1172">IF(SUBTOTAL(9,L54:L58)&gt;0,SUBTOTAL(9,L54:L58),"")</f>
        <v/>
      </c>
      <c r="M53" s="34" t="str">
        <f t="shared" ref="M53" si="1173">IF(SUBTOTAL(9,M54:M58)&gt;0,SUBTOTAL(9,M54:M58),"")</f>
        <v/>
      </c>
      <c r="N53" s="34" t="str">
        <f t="shared" ref="N53" si="1174">IF(SUBTOTAL(9,N54:N58)&gt;0,SUBTOTAL(9,N54:N58),"")</f>
        <v/>
      </c>
      <c r="O53" s="34" t="str">
        <f t="shared" ref="O53" si="1175">IF(SUBTOTAL(9,O54:O58)&gt;0,SUBTOTAL(9,O54:O58),"")</f>
        <v/>
      </c>
      <c r="P53" s="34" t="str">
        <f t="shared" ref="P53" si="1176">IF(SUBTOTAL(9,P54:P58)&gt;0,SUBTOTAL(9,P54:P58),"")</f>
        <v/>
      </c>
      <c r="Q53" s="34" t="str">
        <f t="shared" ref="Q53" si="1177">IF(SUBTOTAL(9,Q54:Q58)&gt;0,SUBTOTAL(9,Q54:Q58),"")</f>
        <v/>
      </c>
      <c r="R53" s="34" t="str">
        <f t="shared" ref="R53" si="1178">IF(SUBTOTAL(9,R54:R58)&gt;0,SUBTOTAL(9,R54:R58),"")</f>
        <v/>
      </c>
      <c r="S53" s="34" t="str">
        <f t="shared" ref="S53" si="1179">IF(SUBTOTAL(9,S54:S58)&gt;0,SUBTOTAL(9,S54:S58),"")</f>
        <v/>
      </c>
      <c r="T53" s="34" t="str">
        <f t="shared" ref="T53" si="1180">IF(SUBTOTAL(9,T54:T58)&gt;0,SUBTOTAL(9,T54:T58),"")</f>
        <v/>
      </c>
      <c r="U53" s="34" t="str">
        <f t="shared" ref="U53" si="1181">IF(SUBTOTAL(9,U54:U58)&gt;0,SUBTOTAL(9,U54:U58),"")</f>
        <v/>
      </c>
      <c r="V53" s="34" t="str">
        <f t="shared" ref="V53" si="1182">IF(SUBTOTAL(9,V54:V58)&gt;0,SUBTOTAL(9,V54:V58),"")</f>
        <v/>
      </c>
      <c r="W53" s="34" t="str">
        <f t="shared" ref="W53" si="1183">IF(SUBTOTAL(9,W54:W58)&gt;0,SUBTOTAL(9,W54:W58),"")</f>
        <v/>
      </c>
      <c r="X53" s="34" t="str">
        <f t="shared" ref="X53" si="1184">IF(SUBTOTAL(9,X54:X58)&gt;0,SUBTOTAL(9,X54:X58),"")</f>
        <v/>
      </c>
      <c r="Y53" s="34" t="str">
        <f t="shared" ref="Y53" si="1185">IF(SUBTOTAL(9,Y54:Y58)&gt;0,SUBTOTAL(9,Y54:Y58),"")</f>
        <v/>
      </c>
      <c r="Z53" s="34" t="str">
        <f t="shared" ref="Z53" si="1186">IF(SUBTOTAL(9,Z54:Z58)&gt;0,SUBTOTAL(9,Z54:Z58),"")</f>
        <v/>
      </c>
      <c r="AA53" s="34" t="str">
        <f t="shared" ref="AA53" si="1187">IF(SUBTOTAL(9,AA54:AA58)&gt;0,SUBTOTAL(9,AA54:AA58),"")</f>
        <v/>
      </c>
      <c r="AB53" s="34" t="str">
        <f t="shared" ref="AB53" si="1188">IF(SUBTOTAL(9,AB54:AB58)&gt;0,SUBTOTAL(9,AB54:AB58),"")</f>
        <v/>
      </c>
      <c r="AC53" s="34" t="str">
        <f t="shared" ref="AC53" si="1189">IF(SUBTOTAL(9,AC54:AC58)&gt;0,SUBTOTAL(9,AC54:AC58),"")</f>
        <v/>
      </c>
      <c r="AD53" s="34" t="str">
        <f t="shared" ref="AD53" si="1190">IF(SUBTOTAL(9,AD54:AD58)&gt;0,SUBTOTAL(9,AD54:AD58),"")</f>
        <v/>
      </c>
      <c r="AE53" s="34" t="str">
        <f t="shared" ref="AE53" si="1191">IF(SUBTOTAL(9,AE54:AE58)&gt;0,SUBTOTAL(9,AE54:AE58),"")</f>
        <v/>
      </c>
      <c r="AF53" s="34" t="str">
        <f t="shared" ref="AF53" si="1192">IF(SUBTOTAL(9,AF54:AF58)&gt;0,SUBTOTAL(9,AF54:AF58),"")</f>
        <v/>
      </c>
      <c r="AG53" s="34" t="str">
        <f t="shared" ref="AG53" si="1193">IF(SUBTOTAL(9,AG54:AG58)&gt;0,SUBTOTAL(9,AG54:AG58),"")</f>
        <v/>
      </c>
      <c r="AH53" s="34" t="str">
        <f t="shared" ref="AH53" si="1194">IF(SUBTOTAL(9,AH54:AH58)&gt;0,SUBTOTAL(9,AH54:AH58),"")</f>
        <v/>
      </c>
      <c r="AI53" s="34" t="str">
        <f t="shared" ref="AI53" si="1195">IF(SUBTOTAL(9,AI54:AI58)&gt;0,SUBTOTAL(9,AI54:AI58),"")</f>
        <v/>
      </c>
      <c r="AJ53" s="34" t="str">
        <f t="shared" ref="AJ53" si="1196">IF(SUBTOTAL(9,AJ54:AJ58)&gt;0,SUBTOTAL(9,AJ54:AJ58),"")</f>
        <v/>
      </c>
      <c r="AK53" s="34" t="str">
        <f t="shared" ref="AK53" si="1197">IF(SUBTOTAL(9,AK54:AK58)&gt;0,SUBTOTAL(9,AK54:AK58),"")</f>
        <v/>
      </c>
      <c r="AL53" s="33" t="str">
        <f t="shared" ref="AL53" si="1198">IF(SUBTOTAL(9,AL54:AL58)&gt;0,SUBTOTAL(9,AL54:AL58),"")</f>
        <v/>
      </c>
      <c r="AM53" s="33" t="str">
        <f t="shared" ref="AM53" si="1199">IF(SUBTOTAL(9,AM54:AM58)&gt;0,SUBTOTAL(9,AM54:AM58),"")</f>
        <v/>
      </c>
      <c r="AN53" s="33" t="str">
        <f t="shared" ref="AN53" si="1200">IF(SUBTOTAL(9,AN54:AN58)&gt;0,SUBTOTAL(9,AN54:AN58),"")</f>
        <v/>
      </c>
      <c r="AO53" s="33" t="str">
        <f t="shared" ref="AO53" si="1201">IF(SUBTOTAL(9,AO54:AO58)&gt;0,SUBTOTAL(9,AO54:AO58),"")</f>
        <v/>
      </c>
      <c r="AP53" s="33" t="str">
        <f t="shared" ref="AP53" si="1202">IF(SUBTOTAL(9,AP54:AP58)&gt;0,SUBTOTAL(9,AP54:AP58),"")</f>
        <v/>
      </c>
      <c r="AQ53" s="33" t="str">
        <f t="shared" ref="AQ53" si="1203">IF(SUBTOTAL(9,AQ54:AQ58)&gt;0,SUBTOTAL(9,AQ54:AQ58),"")</f>
        <v/>
      </c>
      <c r="AR53" s="33" t="str">
        <f t="shared" ref="AR53" si="1204">IF(SUBTOTAL(9,AR54:AR58)&gt;0,SUBTOTAL(9,AR54:AR58),"")</f>
        <v/>
      </c>
      <c r="AS53" s="34" t="str">
        <f t="shared" ref="AS53" si="1205">IF(SUBTOTAL(9,AS54:AS58)&gt;0,SUBTOTAL(9,AS54:AS58),"")</f>
        <v/>
      </c>
      <c r="AT53" s="34" t="str">
        <f t="shared" ref="AT53" si="1206">IF(SUBTOTAL(9,AT54:AT58)&gt;0,SUBTOTAL(9,AT54:AT58),"")</f>
        <v/>
      </c>
      <c r="AU53" s="34" t="str">
        <f t="shared" ref="AU53" si="1207">IF(SUBTOTAL(9,AU54:AU58)&gt;0,SUBTOTAL(9,AU54:AU58),"")</f>
        <v/>
      </c>
      <c r="AV53" s="34" t="str">
        <f t="shared" ref="AV53" si="1208">IF(SUBTOTAL(9,AV54:AV58)&gt;0,SUBTOTAL(9,AV54:AV58),"")</f>
        <v/>
      </c>
      <c r="AW53" s="34" t="str">
        <f t="shared" ref="AW53" si="1209">IF(SUBTOTAL(9,AW54:AW58)&gt;0,SUBTOTAL(9,AW54:AW58),"")</f>
        <v/>
      </c>
      <c r="AX53" s="34" t="str">
        <f t="shared" ref="AX53" si="1210">IF(SUBTOTAL(9,AX54:AX58)&gt;0,SUBTOTAL(9,AX54:AX58),"")</f>
        <v/>
      </c>
      <c r="AY53" s="34" t="str">
        <f t="shared" ref="AY53" si="1211">IF(SUBTOTAL(9,AY54:AY58)&gt;0,SUBTOTAL(9,AY54:AY58),"")</f>
        <v/>
      </c>
      <c r="AZ53" s="34" t="str">
        <f t="shared" ref="AZ53" si="1212">IF(SUBTOTAL(9,AZ54:AZ58)&gt;0,SUBTOTAL(9,AZ54:AZ58),"")</f>
        <v/>
      </c>
      <c r="BA53" s="34" t="str">
        <f t="shared" ref="BA53" si="1213">IF(SUBTOTAL(9,BA54:BA58)&gt;0,SUBTOTAL(9,BA54:BA58),"")</f>
        <v/>
      </c>
      <c r="BB53" s="34" t="str">
        <f t="shared" ref="BB53" si="1214">IF(SUBTOTAL(9,BB54:BB58)&gt;0,SUBTOTAL(9,BB54:BB58),"")</f>
        <v/>
      </c>
      <c r="BC53" s="34" t="str">
        <f t="shared" ref="BC53" si="1215">IF(SUBTOTAL(9,BC54:BC58)&gt;0,SUBTOTAL(9,BC54:BC58),"")</f>
        <v/>
      </c>
      <c r="BD53" s="34" t="str">
        <f t="shared" ref="BD53" si="1216">IF(SUBTOTAL(9,BD54:BD58)&gt;0,SUBTOTAL(9,BD54:BD58),"")</f>
        <v/>
      </c>
      <c r="BE53" s="34" t="str">
        <f t="shared" ref="BE53" si="1217">IF(SUBTOTAL(9,BE54:BE58)&gt;0,SUBTOTAL(9,BE54:BE58),"")</f>
        <v/>
      </c>
      <c r="BF53" s="34" t="str">
        <f t="shared" ref="BF53" si="1218">IF(SUBTOTAL(9,BF54:BF58)&gt;0,SUBTOTAL(9,BF54:BF58),"")</f>
        <v/>
      </c>
      <c r="BG53" s="34" t="str">
        <f t="shared" ref="BG53" si="1219">IF(SUBTOTAL(9,BG54:BG58)&gt;0,SUBTOTAL(9,BG54:BG58),"")</f>
        <v/>
      </c>
      <c r="BH53" s="34" t="str">
        <f t="shared" ref="BH53" si="1220">IF(SUBTOTAL(9,BH54:BH58)&gt;0,SUBTOTAL(9,BH54:BH58),"")</f>
        <v/>
      </c>
      <c r="BI53" s="34" t="str">
        <f t="shared" ref="BI53" si="1221">IF(SUBTOTAL(9,BI54:BI58)&gt;0,SUBTOTAL(9,BI54:BI58),"")</f>
        <v/>
      </c>
      <c r="BJ53" s="34" t="str">
        <f t="shared" ref="BJ53" si="1222">IF(SUBTOTAL(9,BJ54:BJ58)&gt;0,SUBTOTAL(9,BJ54:BJ58),"")</f>
        <v/>
      </c>
      <c r="BK53" s="34" t="str">
        <f t="shared" ref="BK53" si="1223">IF(SUBTOTAL(9,BK54:BK58)&gt;0,SUBTOTAL(9,BK54:BK58),"")</f>
        <v/>
      </c>
      <c r="BL53" s="34" t="str">
        <f t="shared" ref="BL53" si="1224">IF(SUBTOTAL(9,BL54:BL58)&gt;0,SUBTOTAL(9,BL54:BL58),"")</f>
        <v/>
      </c>
      <c r="BM53" s="34" t="str">
        <f t="shared" ref="BM53" si="1225">IF(SUBTOTAL(9,BM54:BM58)&gt;0,SUBTOTAL(9,BM54:BM58),"")</f>
        <v/>
      </c>
      <c r="BN53" s="34" t="str">
        <f t="shared" ref="BN53" si="1226">IF(SUBTOTAL(9,BN54:BN58)&gt;0,SUBTOTAL(9,BN54:BN58),"")</f>
        <v/>
      </c>
      <c r="BO53" s="34" t="str">
        <f t="shared" ref="BO53" si="1227">IF(SUBTOTAL(9,BO54:BO58)&gt;0,SUBTOTAL(9,BO54:BO58),"")</f>
        <v/>
      </c>
      <c r="BP53" s="34" t="str">
        <f t="shared" ref="BP53" si="1228">IF(SUBTOTAL(9,BP54:BP58)&gt;0,SUBTOTAL(9,BP54:BP58),"")</f>
        <v/>
      </c>
      <c r="BQ53" s="34" t="str">
        <f t="shared" ref="BQ53" si="1229">IF(SUBTOTAL(9,BQ54:BQ58)&gt;0,SUBTOTAL(9,BQ54:BQ58),"")</f>
        <v/>
      </c>
      <c r="BR53" s="34" t="str">
        <f t="shared" ref="BR53" si="1230">IF(SUBTOTAL(9,BR54:BR58)&gt;0,SUBTOTAL(9,BR54:BR58),"")</f>
        <v/>
      </c>
      <c r="BS53" s="34" t="str">
        <f t="shared" ref="BS53" si="1231">IF(SUBTOTAL(9,BS54:BS58)&gt;0,SUBTOTAL(9,BS54:BS58),"")</f>
        <v/>
      </c>
      <c r="BT53" s="34" t="str">
        <f t="shared" ref="BT53" si="1232">IF(SUBTOTAL(9,BT54:BT58)&gt;0,SUBTOTAL(9,BT54:BT58),"")</f>
        <v/>
      </c>
      <c r="BU53" s="34" t="str">
        <f t="shared" ref="BU53" si="1233">IF(SUBTOTAL(9,BU54:BU58)&gt;0,SUBTOTAL(9,BU54:BU58),"")</f>
        <v/>
      </c>
      <c r="BV53" s="34" t="str">
        <f t="shared" ref="BV53" si="1234">IF(SUBTOTAL(9,BV54:BV58)&gt;0,SUBTOTAL(9,BV54:BV58),"")</f>
        <v/>
      </c>
      <c r="BW53" s="34" t="str">
        <f t="shared" ref="BW53" si="1235">IF(SUBTOTAL(9,BW54:BW58)&gt;0,SUBTOTAL(9,BW54:BW58),"")</f>
        <v/>
      </c>
      <c r="BX53" s="34" t="str">
        <f t="shared" ref="BX53" si="1236">IF(SUBTOTAL(9,BX54:BX58)&gt;0,SUBTOTAL(9,BX54:BX58),"")</f>
        <v/>
      </c>
      <c r="BY53" s="34" t="str">
        <f t="shared" ref="BY53" si="1237">IF(SUBTOTAL(9,BY54:BY58)&gt;0,SUBTOTAL(9,BY54:BY58),"")</f>
        <v/>
      </c>
      <c r="BZ53" s="34" t="str">
        <f t="shared" ref="BZ53" si="1238">IF(SUBTOTAL(9,BZ54:BZ58)&gt;0,SUBTOTAL(9,BZ54:BZ58),"")</f>
        <v/>
      </c>
      <c r="CA53" s="34" t="str">
        <f t="shared" ref="CA53" si="1239">IF(SUBTOTAL(9,CA54:CA58)&gt;0,SUBTOTAL(9,CA54:CA58),"")</f>
        <v/>
      </c>
      <c r="CB53" s="34" t="str">
        <f t="shared" ref="CB53" si="1240">IF(SUBTOTAL(9,CB54:CB58)&gt;0,SUBTOTAL(9,CB54:CB58),"")</f>
        <v/>
      </c>
      <c r="CC53" s="34" t="str">
        <f t="shared" ref="CC53" si="1241">IF(SUBTOTAL(9,CC54:CC58)&gt;0,SUBTOTAL(9,CC54:CC58),"")</f>
        <v/>
      </c>
      <c r="CD53" s="34" t="str">
        <f t="shared" ref="CD53" si="1242">IF(SUBTOTAL(9,CD54:CD58)&gt;0,SUBTOTAL(9,CD54:CD58),"")</f>
        <v/>
      </c>
      <c r="CE53" s="34" t="str">
        <f t="shared" ref="CE53" si="1243">IF(SUBTOTAL(9,CE54:CE58)&gt;0,SUBTOTAL(9,CE54:CE58),"")</f>
        <v/>
      </c>
      <c r="CF53" s="34" t="str">
        <f t="shared" ref="CF53:CG53" si="1244">IF(SUBTOTAL(9,CF54:CF58)&gt;0,SUBTOTAL(9,CF54:CF58),"")</f>
        <v/>
      </c>
      <c r="CG53" s="34" t="str">
        <f t="shared" si="1244"/>
        <v/>
      </c>
      <c r="CH53" s="34" t="str">
        <f t="shared" ref="CH53" si="1245">IF(SUBTOTAL(9,CH54:CH58)&gt;0,SUBTOTAL(9,CH54:CH58),"")</f>
        <v/>
      </c>
      <c r="CI53" s="34" t="str">
        <f t="shared" ref="CI53" si="1246">IF(SUBTOTAL(9,CI54:CI58)&gt;0,SUBTOTAL(9,CI54:CI58),"")</f>
        <v/>
      </c>
      <c r="CJ53" s="34" t="str">
        <f t="shared" ref="CJ53" si="1247">IF(SUBTOTAL(9,CJ54:CJ58)&gt;0,SUBTOTAL(9,CJ54:CJ58),"")</f>
        <v/>
      </c>
      <c r="CK53" s="34" t="str">
        <f t="shared" ref="CK53" si="1248">IF(SUBTOTAL(9,CK54:CK58)&gt;0,SUBTOTAL(9,CK54:CK58),"")</f>
        <v/>
      </c>
      <c r="CL53" s="34" t="str">
        <f t="shared" ref="CL53" si="1249">IF(SUBTOTAL(9,CL54:CL58)&gt;0,SUBTOTAL(9,CL54:CL58),"")</f>
        <v/>
      </c>
      <c r="CM53" s="34" t="str">
        <f t="shared" ref="CM53" si="1250">IF(SUBTOTAL(9,CM54:CM58)&gt;0,SUBTOTAL(9,CM54:CM58),"")</f>
        <v/>
      </c>
      <c r="CN53" s="34" t="str">
        <f t="shared" ref="CN53" si="1251">IF(SUBTOTAL(9,CN54:CN58)&gt;0,SUBTOTAL(9,CN54:CN58),"")</f>
        <v/>
      </c>
      <c r="CO53" s="34" t="str">
        <f t="shared" ref="CO53" si="1252">IF(SUBTOTAL(9,CO54:CO58)&gt;0,SUBTOTAL(9,CO54:CO58),"")</f>
        <v/>
      </c>
      <c r="CP53" s="34" t="str">
        <f t="shared" ref="CP53" si="1253">IF(SUBTOTAL(9,CP54:CP58)&gt;0,SUBTOTAL(9,CP54:CP58),"")</f>
        <v/>
      </c>
      <c r="CQ53" s="34" t="str">
        <f t="shared" ref="CQ53" si="1254">IF(SUBTOTAL(9,CQ54:CQ58)&gt;0,SUBTOTAL(9,CQ54:CQ58),"")</f>
        <v/>
      </c>
      <c r="CR53" s="34" t="str">
        <f t="shared" ref="CR53" si="1255">IF(SUBTOTAL(9,CR54:CR58)&gt;0,SUBTOTAL(9,CR54:CR58),"")</f>
        <v/>
      </c>
      <c r="CS53" s="34" t="str">
        <f t="shared" ref="CS53" si="1256">IF(SUBTOTAL(9,CS54:CS58)&gt;0,SUBTOTAL(9,CS54:CS58),"")</f>
        <v/>
      </c>
      <c r="CT53" s="33" t="str">
        <f t="shared" ref="CT53" si="1257">IF(SUBTOTAL(9,CT54:CT58)&gt;0,SUBTOTAL(9,CT54:CT58),"")</f>
        <v/>
      </c>
      <c r="CU53" s="34" t="str">
        <f t="shared" ref="CU53" si="1258">IF(SUBTOTAL(9,CU54:CU58)&gt;0,SUBTOTAL(9,CU54:CU58),"")</f>
        <v/>
      </c>
      <c r="CV53" s="34" t="str">
        <f t="shared" ref="CV53" si="1259">IF(SUBTOTAL(9,CV54:CV58)&gt;0,SUBTOTAL(9,CV54:CV58),"")</f>
        <v/>
      </c>
      <c r="CW53" s="34" t="str">
        <f t="shared" ref="CW53" si="1260">IF(SUBTOTAL(9,CW54:CW58)&gt;0,SUBTOTAL(9,CW54:CW58),"")</f>
        <v/>
      </c>
      <c r="CX53" s="34" t="str">
        <f t="shared" ref="CX53" si="1261">IF(SUBTOTAL(9,CX54:CX58)&gt;0,SUBTOTAL(9,CX54:CX58),"")</f>
        <v/>
      </c>
      <c r="CY53" s="34" t="str">
        <f t="shared" ref="CY53" si="1262">IF(SUBTOTAL(9,CY54:CY58)&gt;0,SUBTOTAL(9,CY54:CY58),"")</f>
        <v/>
      </c>
      <c r="CZ53" s="33" t="str">
        <f t="shared" ref="CZ53" si="1263">IF(SUBTOTAL(9,CZ54:CZ58)&gt;0,SUBTOTAL(9,CZ54:CZ58),"")</f>
        <v/>
      </c>
      <c r="DA53" s="33" t="str">
        <f t="shared" ref="DA53" si="1264">IF(SUBTOTAL(9,DA54:DA58)&gt;0,SUBTOTAL(9,DA54:DA58),"")</f>
        <v/>
      </c>
      <c r="DB53" s="34" t="str">
        <f t="shared" ref="DB53" si="1265">IF(SUBTOTAL(9,DB54:DB58)&gt;0,SUBTOTAL(9,DB54:DB58),"")</f>
        <v/>
      </c>
      <c r="DC53" s="34" t="str">
        <f t="shared" ref="DC53" si="1266">IF(SUBTOTAL(9,DC54:DC58)&gt;0,SUBTOTAL(9,DC54:DC58),"")</f>
        <v/>
      </c>
      <c r="DD53" s="34" t="str">
        <f t="shared" ref="DD53" si="1267">IF(SUBTOTAL(9,DD54:DD58)&gt;0,SUBTOTAL(9,DD54:DD58),"")</f>
        <v/>
      </c>
      <c r="DE53" s="34" t="str">
        <f t="shared" ref="DE53" si="1268">IF(SUBTOTAL(9,DE54:DE58)&gt;0,SUBTOTAL(9,DE54:DE58),"")</f>
        <v/>
      </c>
      <c r="DF53" s="34" t="str">
        <f t="shared" ref="DF53" si="1269">IF(SUBTOTAL(9,DF54:DF58)&gt;0,SUBTOTAL(9,DF54:DF58),"")</f>
        <v/>
      </c>
      <c r="DG53" s="34" t="str">
        <f t="shared" ref="DG53" si="1270">IF(SUBTOTAL(9,DG54:DG58)&gt;0,SUBTOTAL(9,DG54:DG58),"")</f>
        <v/>
      </c>
      <c r="DH53" s="34" t="str">
        <f t="shared" ref="DH53" si="1271">IF(SUBTOTAL(9,DH54:DH58)&gt;0,SUBTOTAL(9,DH54:DH58),"")</f>
        <v/>
      </c>
      <c r="DI53" s="34" t="str">
        <f t="shared" ref="DI53" si="1272">IF(SUBTOTAL(9,DI54:DI58)&gt;0,SUBTOTAL(9,DI54:DI58),"")</f>
        <v/>
      </c>
      <c r="DJ53" s="34" t="str">
        <f t="shared" ref="DJ53" si="1273">IF(SUBTOTAL(9,DJ54:DJ58)&gt;0,SUBTOTAL(9,DJ54:DJ58),"")</f>
        <v/>
      </c>
      <c r="DK53" s="34" t="str">
        <f t="shared" ref="DK53" si="1274">IF(SUBTOTAL(9,DK54:DK58)&gt;0,SUBTOTAL(9,DK54:DK58),"")</f>
        <v/>
      </c>
      <c r="DL53" s="34" t="str">
        <f t="shared" ref="DL53" si="1275">IF(SUBTOTAL(9,DL54:DL58)&gt;0,SUBTOTAL(9,DL54:DL58),"")</f>
        <v/>
      </c>
      <c r="DM53" s="34" t="str">
        <f t="shared" ref="DM53" si="1276">IF(SUBTOTAL(9,DM54:DM58)&gt;0,SUBTOTAL(9,DM54:DM58),"")</f>
        <v/>
      </c>
      <c r="DN53" s="34">
        <f t="shared" ref="DN53" si="1277">IF(SUBTOTAL(9,DN54:DN58)&gt;0,SUBTOTAL(9,DN54:DN58),"")</f>
        <v>0.5</v>
      </c>
      <c r="DO53" s="34" t="str">
        <f t="shared" ref="DO53" si="1278">IF(SUBTOTAL(9,DO54:DO58)&gt;0,SUBTOTAL(9,DO54:DO58),"")</f>
        <v/>
      </c>
      <c r="DP53" s="34" t="str">
        <f t="shared" ref="DP53" si="1279">IF(SUBTOTAL(9,DP54:DP58)&gt;0,SUBTOTAL(9,DP54:DP58),"")</f>
        <v/>
      </c>
      <c r="DQ53" s="34" t="str">
        <f t="shared" ref="DQ53" si="1280">IF(SUBTOTAL(9,DQ54:DQ58)&gt;0,SUBTOTAL(9,DQ54:DQ58),"")</f>
        <v/>
      </c>
      <c r="DR53" s="34">
        <f t="shared" ref="DR53" si="1281">IF(SUBTOTAL(9,DR54:DR58)&gt;0,SUBTOTAL(9,DR54:DR58),"")</f>
        <v>0.5</v>
      </c>
      <c r="DS53" s="34" t="str">
        <f t="shared" ref="DS53" si="1282">IF(SUBTOTAL(9,DS54:DS58)&gt;0,SUBTOTAL(9,DS54:DS58),"")</f>
        <v/>
      </c>
      <c r="DT53" s="34" t="str">
        <f t="shared" ref="DT53" si="1283">IF(SUBTOTAL(9,DT54:DT58)&gt;0,SUBTOTAL(9,DT54:DT58),"")</f>
        <v/>
      </c>
      <c r="DU53" s="34" t="str">
        <f t="shared" ref="DU53" si="1284">IF(SUBTOTAL(9,DU54:DU58)&gt;0,SUBTOTAL(9,DU54:DU58),"")</f>
        <v/>
      </c>
      <c r="DV53" s="34" t="str">
        <f t="shared" ref="DV53" si="1285">IF(SUBTOTAL(9,DV54:DV58)&gt;0,SUBTOTAL(9,DV54:DV58),"")</f>
        <v/>
      </c>
      <c r="DW53" s="34" t="str">
        <f t="shared" ref="DW53" si="1286">IF(SUBTOTAL(9,DW54:DW58)&gt;0,SUBTOTAL(9,DW54:DW58),"")</f>
        <v/>
      </c>
      <c r="DX53" s="34" t="str">
        <f t="shared" ref="DX53" si="1287">IF(SUBTOTAL(9,DX54:DX58)&gt;0,SUBTOTAL(9,DX54:DX58),"")</f>
        <v/>
      </c>
      <c r="DY53" s="34" t="str">
        <f t="shared" ref="DY53" si="1288">IF(SUBTOTAL(9,DY54:DY58)&gt;0,SUBTOTAL(9,DY54:DY58),"")</f>
        <v/>
      </c>
      <c r="DZ53" s="33" t="str">
        <f t="shared" ref="DZ53" si="1289">IF(SUBTOTAL(9,DZ54:DZ58)&gt;0,SUBTOTAL(9,DZ54:DZ58),"")</f>
        <v/>
      </c>
      <c r="EA53" s="34" t="str">
        <f t="shared" ref="EA53" si="1290">IF(SUBTOTAL(9,EA54:EA58)&gt;0,SUBTOTAL(9,EA54:EA58),"")</f>
        <v/>
      </c>
      <c r="EB53" s="34" t="str">
        <f t="shared" ref="EB53" si="1291">IF(SUBTOTAL(9,EB54:EB58)&gt;0,SUBTOTAL(9,EB54:EB58),"")</f>
        <v/>
      </c>
      <c r="EC53" s="34" t="str">
        <f t="shared" ref="EC53" si="1292">IF(SUBTOTAL(9,EC54:EC58)&gt;0,SUBTOTAL(9,EC54:EC58),"")</f>
        <v/>
      </c>
      <c r="ED53" s="34" t="str">
        <f t="shared" ref="ED53" si="1293">IF(SUBTOTAL(9,ED54:ED58)&gt;0,SUBTOTAL(9,ED54:ED58),"")</f>
        <v/>
      </c>
      <c r="EE53" s="34" t="str">
        <f t="shared" ref="EE53" si="1294">IF(SUBTOTAL(9,EE54:EE58)&gt;0,SUBTOTAL(9,EE54:EE58),"")</f>
        <v/>
      </c>
      <c r="EF53" s="34" t="str">
        <f t="shared" ref="EF53" si="1295">IF(SUBTOTAL(9,EF54:EF58)&gt;0,SUBTOTAL(9,EF54:EF58),"")</f>
        <v/>
      </c>
      <c r="EG53" s="34" t="str">
        <f t="shared" ref="EG53" si="1296">IF(SUBTOTAL(9,EG54:EG58)&gt;0,SUBTOTAL(9,EG54:EG58),"")</f>
        <v/>
      </c>
      <c r="EH53" s="34" t="str">
        <f t="shared" ref="EH53" si="1297">IF(SUBTOTAL(9,EH54:EH58)&gt;0,SUBTOTAL(9,EH54:EH58),"")</f>
        <v/>
      </c>
      <c r="EI53" s="34" t="str">
        <f t="shared" ref="EI53" si="1298">IF(SUBTOTAL(9,EI54:EI58)&gt;0,SUBTOTAL(9,EI54:EI58),"")</f>
        <v/>
      </c>
      <c r="EJ53" s="34" t="str">
        <f t="shared" ref="EJ53" si="1299">IF(SUBTOTAL(9,EJ54:EJ58)&gt;0,SUBTOTAL(9,EJ54:EJ58),"")</f>
        <v/>
      </c>
      <c r="EK53" s="34" t="str">
        <f t="shared" ref="EK53" si="1300">IF(SUBTOTAL(9,EK54:EK58)&gt;0,SUBTOTAL(9,EK54:EK58),"")</f>
        <v/>
      </c>
      <c r="EL53" s="34" t="str">
        <f t="shared" ref="EL53" si="1301">IF(SUBTOTAL(9,EL54:EL58)&gt;0,SUBTOTAL(9,EL54:EL58),"")</f>
        <v/>
      </c>
      <c r="EM53" s="34" t="str">
        <f t="shared" ref="EM53" si="1302">IF(SUBTOTAL(9,EM54:EM58)&gt;0,SUBTOTAL(9,EM54:EM58),"")</f>
        <v/>
      </c>
      <c r="EN53" s="34">
        <f t="shared" ref="EN53" si="1303">IF(SUBTOTAL(9,EN54:EN58)&gt;0,SUBTOTAL(9,EN54:EN58),"")</f>
        <v>1</v>
      </c>
      <c r="EO53" s="34" t="str">
        <f t="shared" ref="EO53" si="1304">IF(SUBTOTAL(9,EO54:EO58)&gt;0,SUBTOTAL(9,EO54:EO58),"")</f>
        <v/>
      </c>
      <c r="EP53" s="34" t="str">
        <f t="shared" ref="EP53" si="1305">IF(SUBTOTAL(9,EP54:EP58)&gt;0,SUBTOTAL(9,EP54:EP58),"")</f>
        <v/>
      </c>
      <c r="EQ53" s="34" t="str">
        <f t="shared" ref="EQ53" si="1306">IF(SUBTOTAL(9,EQ54:EQ58)&gt;0,SUBTOTAL(9,EQ54:EQ58),"")</f>
        <v/>
      </c>
      <c r="ER53" s="34" t="str">
        <f t="shared" ref="ER53" si="1307">IF(SUBTOTAL(9,ER54:ER58)&gt;0,SUBTOTAL(9,ER54:ER58),"")</f>
        <v/>
      </c>
      <c r="ES53" s="34" t="str">
        <f t="shared" ref="ES53" si="1308">IF(SUBTOTAL(9,ES54:ES58)&gt;0,SUBTOTAL(9,ES54:ES58),"")</f>
        <v/>
      </c>
      <c r="ET53" s="34" t="str">
        <f t="shared" ref="ET53" si="1309">IF(SUBTOTAL(9,ET54:ET58)&gt;0,SUBTOTAL(9,ET54:ET58),"")</f>
        <v/>
      </c>
      <c r="EU53" s="34" t="str">
        <f t="shared" ref="EU53" si="1310">IF(SUBTOTAL(9,EU54:EU58)&gt;0,SUBTOTAL(9,EU54:EU58),"")</f>
        <v/>
      </c>
      <c r="EV53" s="34" t="str">
        <f t="shared" ref="EV53" si="1311">IF(SUBTOTAL(9,EV54:EV58)&gt;0,SUBTOTAL(9,EV54:EV58),"")</f>
        <v/>
      </c>
      <c r="EW53" s="34" t="str">
        <f t="shared" ref="EW53" si="1312">IF(SUBTOTAL(9,EW54:EW58)&gt;0,SUBTOTAL(9,EW54:EW58),"")</f>
        <v/>
      </c>
      <c r="EX53" s="34" t="str">
        <f t="shared" ref="EX53" si="1313">IF(SUBTOTAL(9,EX54:EX58)&gt;0,SUBTOTAL(9,EX54:EX58),"")</f>
        <v/>
      </c>
      <c r="EY53" s="33" t="str">
        <f t="shared" ref="EY53" si="1314">IF(SUBTOTAL(9,EY54:EY58)&gt;0,SUBTOTAL(9,EY54:EY58),"")</f>
        <v/>
      </c>
      <c r="EZ53" s="34" t="str">
        <f t="shared" ref="EZ53" si="1315">IF(SUBTOTAL(9,EZ54:EZ58)&gt;0,SUBTOTAL(9,EZ54:EZ58),"")</f>
        <v/>
      </c>
      <c r="FA53" s="34" t="str">
        <f t="shared" ref="FA53" si="1316">IF(SUBTOTAL(9,FA54:FA58)&gt;0,SUBTOTAL(9,FA54:FA58),"")</f>
        <v/>
      </c>
      <c r="FB53" s="34" t="str">
        <f t="shared" ref="FB53" si="1317">IF(SUBTOTAL(9,FB54:FB58)&gt;0,SUBTOTAL(9,FB54:FB58),"")</f>
        <v/>
      </c>
      <c r="FC53" s="34" t="str">
        <f t="shared" ref="FC53" si="1318">IF(SUBTOTAL(9,FC54:FC58)&gt;0,SUBTOTAL(9,FC54:FC58),"")</f>
        <v/>
      </c>
      <c r="FD53" s="34" t="str">
        <f t="shared" ref="FD53" si="1319">IF(SUBTOTAL(9,FD54:FD58)&gt;0,SUBTOTAL(9,FD54:FD58),"")</f>
        <v/>
      </c>
      <c r="FE53" s="34" t="str">
        <f t="shared" ref="FE53" si="1320">IF(SUBTOTAL(9,FE54:FE58)&gt;0,SUBTOTAL(9,FE54:FE58),"")</f>
        <v/>
      </c>
      <c r="FF53" s="34" t="str">
        <f t="shared" ref="FF53" si="1321">IF(SUBTOTAL(9,FF54:FF58)&gt;0,SUBTOTAL(9,FF54:FF58),"")</f>
        <v/>
      </c>
      <c r="FG53" s="34" t="str">
        <f t="shared" ref="FG53" si="1322">IF(SUBTOTAL(9,FG54:FG58)&gt;0,SUBTOTAL(9,FG54:FG58),"")</f>
        <v/>
      </c>
      <c r="FH53" s="34" t="str">
        <f t="shared" ref="FH53" si="1323">IF(SUBTOTAL(9,FH54:FH58)&gt;0,SUBTOTAL(9,FH54:FH58),"")</f>
        <v/>
      </c>
      <c r="FI53" s="34" t="str">
        <f t="shared" ref="FI53" si="1324">IF(SUBTOTAL(9,FI54:FI58)&gt;0,SUBTOTAL(9,FI54:FI58),"")</f>
        <v/>
      </c>
      <c r="FJ53" s="34" t="str">
        <f t="shared" ref="FJ53" si="1325">IF(SUBTOTAL(9,FJ54:FJ58)&gt;0,SUBTOTAL(9,FJ54:FJ58),"")</f>
        <v/>
      </c>
      <c r="FK53" s="34" t="str">
        <f t="shared" ref="FK53" si="1326">IF(SUBTOTAL(9,FK54:FK58)&gt;0,SUBTOTAL(9,FK54:FK58),"")</f>
        <v/>
      </c>
      <c r="FL53" s="34" t="str">
        <f t="shared" ref="FL53" si="1327">IF(SUBTOTAL(9,FL54:FL58)&gt;0,SUBTOTAL(9,FL54:FL58),"")</f>
        <v/>
      </c>
      <c r="FM53" s="34" t="str">
        <f t="shared" ref="FM53" si="1328">IF(SUBTOTAL(9,FM54:FM58)&gt;0,SUBTOTAL(9,FM54:FM58),"")</f>
        <v/>
      </c>
      <c r="FN53" s="34" t="str">
        <f t="shared" ref="FN53" si="1329">IF(SUBTOTAL(9,FN54:FN58)&gt;0,SUBTOTAL(9,FN54:FN58),"")</f>
        <v/>
      </c>
      <c r="FO53" s="34" t="str">
        <f t="shared" ref="FO53" si="1330">IF(SUBTOTAL(9,FO54:FO58)&gt;0,SUBTOTAL(9,FO54:FO58),"")</f>
        <v/>
      </c>
      <c r="FP53" s="34" t="str">
        <f t="shared" ref="FP53" si="1331">IF(SUBTOTAL(9,FP54:FP58)&gt;0,SUBTOTAL(9,FP54:FP58),"")</f>
        <v/>
      </c>
      <c r="FQ53" s="92" t="str">
        <f t="shared" ref="FQ53" si="1332">IF(SUBTOTAL(9,FQ54:FQ58)&gt;0,SUBTOTAL(9,FQ54:FQ58),"")</f>
        <v/>
      </c>
      <c r="FR53" s="8"/>
      <c r="FS53" s="9" t="s">
        <v>131</v>
      </c>
      <c r="FT53" s="9" t="str">
        <f t="shared" si="151"/>
        <v/>
      </c>
    </row>
    <row r="54" spans="1:176" s="9" customFormat="1" ht="12" hidden="1" customHeight="1" outlineLevel="1">
      <c r="A54" s="129" t="s">
        <v>4</v>
      </c>
      <c r="B54" s="130" t="s">
        <v>10</v>
      </c>
      <c r="C54" s="131" t="str">
        <f t="shared" si="9"/>
        <v>2 days</v>
      </c>
      <c r="D54" s="101" t="str">
        <f>A40&amp;" "&amp;A53</f>
        <v>2. Quarterly Reporting (QRTs)  2.3 Supervision</v>
      </c>
      <c r="E54" s="51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35"/>
      <c r="AK54" s="35"/>
      <c r="AL54" s="36"/>
      <c r="AM54" s="36"/>
      <c r="AN54" s="36"/>
      <c r="AO54" s="36"/>
      <c r="AP54" s="36"/>
      <c r="AQ54" s="36"/>
      <c r="AR54" s="36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5"/>
      <c r="BM54" s="35"/>
      <c r="BN54" s="35"/>
      <c r="BO54" s="35"/>
      <c r="BP54" s="35"/>
      <c r="BQ54" s="35"/>
      <c r="BR54" s="35"/>
      <c r="BS54" s="35"/>
      <c r="BT54" s="35"/>
      <c r="BU54" s="35"/>
      <c r="BV54" s="35"/>
      <c r="BW54" s="35"/>
      <c r="BX54" s="35"/>
      <c r="BY54" s="35"/>
      <c r="BZ54" s="35"/>
      <c r="CA54" s="35"/>
      <c r="CB54" s="35"/>
      <c r="CC54" s="35"/>
      <c r="CD54" s="35"/>
      <c r="CE54" s="35"/>
      <c r="CF54" s="35"/>
      <c r="CG54" s="35"/>
      <c r="CH54" s="35"/>
      <c r="CI54" s="35"/>
      <c r="CJ54" s="35"/>
      <c r="CK54" s="35"/>
      <c r="CL54" s="35"/>
      <c r="CM54" s="35"/>
      <c r="CN54" s="35"/>
      <c r="CO54" s="35"/>
      <c r="CP54" s="35"/>
      <c r="CQ54" s="35"/>
      <c r="CR54" s="35"/>
      <c r="CS54" s="35"/>
      <c r="CT54" s="36"/>
      <c r="CU54" s="35"/>
      <c r="CV54" s="35"/>
      <c r="CW54" s="35"/>
      <c r="CX54" s="35"/>
      <c r="CY54" s="35"/>
      <c r="CZ54" s="36"/>
      <c r="DA54" s="36"/>
      <c r="DB54" s="35"/>
      <c r="DC54" s="35"/>
      <c r="DD54" s="35"/>
      <c r="DE54" s="35"/>
      <c r="DF54" s="35"/>
      <c r="DG54" s="35"/>
      <c r="DH54" s="35"/>
      <c r="DI54" s="35"/>
      <c r="DJ54" s="35"/>
      <c r="DK54" s="35"/>
      <c r="DL54" s="35"/>
      <c r="DM54" s="35"/>
      <c r="DN54" s="35">
        <v>0.5</v>
      </c>
      <c r="DO54" s="35"/>
      <c r="DP54" s="35"/>
      <c r="DQ54" s="35"/>
      <c r="DR54" s="35">
        <v>0.5</v>
      </c>
      <c r="DS54" s="35"/>
      <c r="DT54" s="35"/>
      <c r="DU54" s="35"/>
      <c r="DV54" s="35"/>
      <c r="DW54" s="35"/>
      <c r="DX54" s="35"/>
      <c r="DY54" s="35"/>
      <c r="DZ54" s="36"/>
      <c r="EA54" s="35"/>
      <c r="EB54" s="35"/>
      <c r="EC54" s="35"/>
      <c r="ED54" s="35"/>
      <c r="EE54" s="35"/>
      <c r="EF54" s="35"/>
      <c r="EG54" s="35"/>
      <c r="EH54" s="35"/>
      <c r="EI54" s="35"/>
      <c r="EJ54" s="35"/>
      <c r="EK54" s="35"/>
      <c r="EL54" s="35"/>
      <c r="EM54" s="35"/>
      <c r="EN54" s="35">
        <v>1</v>
      </c>
      <c r="EO54" s="35"/>
      <c r="EP54" s="35"/>
      <c r="EQ54" s="35"/>
      <c r="ER54" s="35"/>
      <c r="ES54" s="35"/>
      <c r="ET54" s="35"/>
      <c r="EU54" s="35"/>
      <c r="EV54" s="35"/>
      <c r="EW54" s="35"/>
      <c r="EX54" s="35"/>
      <c r="EY54" s="36"/>
      <c r="EZ54" s="35"/>
      <c r="FA54" s="35"/>
      <c r="FB54" s="35"/>
      <c r="FC54" s="35"/>
      <c r="FD54" s="35"/>
      <c r="FE54" s="35"/>
      <c r="FF54" s="35"/>
      <c r="FG54" s="35"/>
      <c r="FH54" s="35"/>
      <c r="FI54" s="35"/>
      <c r="FJ54" s="35"/>
      <c r="FK54" s="35"/>
      <c r="FL54" s="35"/>
      <c r="FM54" s="35"/>
      <c r="FN54" s="35"/>
      <c r="FO54" s="35"/>
      <c r="FP54" s="35"/>
      <c r="FQ54" s="52"/>
      <c r="FR54" s="8"/>
      <c r="FS54" s="9" t="s">
        <v>13</v>
      </c>
      <c r="FT54" s="9" t="str">
        <f t="shared" si="151"/>
        <v>2. Quarterly Reporting (QRTs)  2.3 SupervisionGlenn Kirk</v>
      </c>
    </row>
    <row r="55" spans="1:176" s="9" customFormat="1" ht="12" hidden="1" customHeight="1" outlineLevel="1">
      <c r="A55" s="125" t="s">
        <v>50</v>
      </c>
      <c r="B55" s="123"/>
      <c r="C55" s="124" t="str">
        <f t="shared" si="9"/>
        <v>0 days</v>
      </c>
      <c r="D55" s="13" t="str">
        <f>A40&amp;" "&amp;A53</f>
        <v>2. Quarterly Reporting (QRTs)  2.3 Supervision</v>
      </c>
      <c r="E55" s="51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35"/>
      <c r="AK55" s="35"/>
      <c r="AL55" s="36"/>
      <c r="AM55" s="36"/>
      <c r="AN55" s="36"/>
      <c r="AO55" s="36"/>
      <c r="AP55" s="36"/>
      <c r="AQ55" s="36"/>
      <c r="AR55" s="36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5"/>
      <c r="BM55" s="35"/>
      <c r="BN55" s="35"/>
      <c r="BO55" s="35"/>
      <c r="BP55" s="35"/>
      <c r="BQ55" s="35"/>
      <c r="BR55" s="35"/>
      <c r="BS55" s="35"/>
      <c r="BT55" s="35"/>
      <c r="BU55" s="35"/>
      <c r="BV55" s="35"/>
      <c r="BW55" s="35"/>
      <c r="BX55" s="35"/>
      <c r="BY55" s="35"/>
      <c r="BZ55" s="35"/>
      <c r="CA55" s="35"/>
      <c r="CB55" s="35"/>
      <c r="CC55" s="35"/>
      <c r="CD55" s="35"/>
      <c r="CE55" s="35"/>
      <c r="CF55" s="35"/>
      <c r="CG55" s="35"/>
      <c r="CH55" s="35"/>
      <c r="CI55" s="35"/>
      <c r="CJ55" s="35"/>
      <c r="CK55" s="35"/>
      <c r="CL55" s="35"/>
      <c r="CM55" s="35"/>
      <c r="CN55" s="35"/>
      <c r="CO55" s="35"/>
      <c r="CP55" s="35"/>
      <c r="CQ55" s="35"/>
      <c r="CR55" s="35"/>
      <c r="CS55" s="35"/>
      <c r="CT55" s="36"/>
      <c r="CU55" s="35"/>
      <c r="CV55" s="35"/>
      <c r="CW55" s="35"/>
      <c r="CX55" s="35"/>
      <c r="CY55" s="35"/>
      <c r="CZ55" s="36"/>
      <c r="DA55" s="36"/>
      <c r="DB55" s="35"/>
      <c r="DC55" s="35"/>
      <c r="DD55" s="35"/>
      <c r="DE55" s="35"/>
      <c r="DF55" s="35"/>
      <c r="DG55" s="35"/>
      <c r="DH55" s="35"/>
      <c r="DI55" s="35"/>
      <c r="DJ55" s="35"/>
      <c r="DK55" s="35"/>
      <c r="DL55" s="35"/>
      <c r="DM55" s="35"/>
      <c r="DN55" s="35"/>
      <c r="DO55" s="35"/>
      <c r="DP55" s="35"/>
      <c r="DQ55" s="35"/>
      <c r="DR55" s="35"/>
      <c r="DS55" s="35"/>
      <c r="DT55" s="35"/>
      <c r="DU55" s="35"/>
      <c r="DV55" s="35"/>
      <c r="DW55" s="35"/>
      <c r="DX55" s="35"/>
      <c r="DY55" s="35"/>
      <c r="DZ55" s="36"/>
      <c r="EA55" s="35"/>
      <c r="EB55" s="35"/>
      <c r="EC55" s="35"/>
      <c r="ED55" s="35"/>
      <c r="EE55" s="35"/>
      <c r="EF55" s="35"/>
      <c r="EG55" s="35"/>
      <c r="EH55" s="35"/>
      <c r="EI55" s="35"/>
      <c r="EJ55" s="35"/>
      <c r="EK55" s="35"/>
      <c r="EL55" s="35"/>
      <c r="EM55" s="35"/>
      <c r="EN55" s="35"/>
      <c r="EO55" s="35"/>
      <c r="EP55" s="35"/>
      <c r="EQ55" s="35"/>
      <c r="ER55" s="35"/>
      <c r="ES55" s="35"/>
      <c r="ET55" s="35"/>
      <c r="EU55" s="35"/>
      <c r="EV55" s="35"/>
      <c r="EW55" s="35"/>
      <c r="EX55" s="35"/>
      <c r="EY55" s="36"/>
      <c r="EZ55" s="35"/>
      <c r="FA55" s="35"/>
      <c r="FB55" s="35"/>
      <c r="FC55" s="35"/>
      <c r="FD55" s="35"/>
      <c r="FE55" s="35"/>
      <c r="FF55" s="35"/>
      <c r="FG55" s="35"/>
      <c r="FH55" s="35"/>
      <c r="FI55" s="35"/>
      <c r="FJ55" s="35"/>
      <c r="FK55" s="35"/>
      <c r="FL55" s="35"/>
      <c r="FM55" s="35"/>
      <c r="FN55" s="35"/>
      <c r="FO55" s="35"/>
      <c r="FP55" s="35"/>
      <c r="FQ55" s="52"/>
      <c r="FR55" s="8"/>
      <c r="FS55" s="9" t="s">
        <v>13</v>
      </c>
      <c r="FT55" s="9" t="str">
        <f t="shared" si="151"/>
        <v>2. Quarterly Reporting (QRTs)  2.3 Supervision</v>
      </c>
    </row>
    <row r="56" spans="1:176" s="9" customFormat="1" ht="12" hidden="1" customHeight="1" outlineLevel="1">
      <c r="A56" s="125" t="s">
        <v>50</v>
      </c>
      <c r="B56" s="123"/>
      <c r="C56" s="124" t="str">
        <f t="shared" si="9"/>
        <v>0 days</v>
      </c>
      <c r="D56" s="13" t="str">
        <f>A40&amp;" "&amp;A53</f>
        <v>2. Quarterly Reporting (QRTs)  2.3 Supervision</v>
      </c>
      <c r="E56" s="51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35"/>
      <c r="AK56" s="35"/>
      <c r="AL56" s="36"/>
      <c r="AM56" s="36"/>
      <c r="AN56" s="36"/>
      <c r="AO56" s="36"/>
      <c r="AP56" s="36"/>
      <c r="AQ56" s="36"/>
      <c r="AR56" s="36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5"/>
      <c r="BM56" s="35"/>
      <c r="BN56" s="35"/>
      <c r="BO56" s="35"/>
      <c r="BP56" s="35"/>
      <c r="BQ56" s="35"/>
      <c r="BR56" s="35"/>
      <c r="BS56" s="35"/>
      <c r="BT56" s="35"/>
      <c r="BU56" s="35"/>
      <c r="BV56" s="35"/>
      <c r="BW56" s="35"/>
      <c r="BX56" s="35"/>
      <c r="BY56" s="35"/>
      <c r="BZ56" s="35"/>
      <c r="CA56" s="35"/>
      <c r="CB56" s="35"/>
      <c r="CC56" s="35"/>
      <c r="CD56" s="35"/>
      <c r="CE56" s="35"/>
      <c r="CF56" s="35"/>
      <c r="CG56" s="35"/>
      <c r="CH56" s="35"/>
      <c r="CI56" s="35"/>
      <c r="CJ56" s="35"/>
      <c r="CK56" s="35"/>
      <c r="CL56" s="35"/>
      <c r="CM56" s="35"/>
      <c r="CN56" s="35"/>
      <c r="CO56" s="35"/>
      <c r="CP56" s="35"/>
      <c r="CQ56" s="35"/>
      <c r="CR56" s="35"/>
      <c r="CS56" s="35"/>
      <c r="CT56" s="36"/>
      <c r="CU56" s="35"/>
      <c r="CV56" s="35"/>
      <c r="CW56" s="35"/>
      <c r="CX56" s="35"/>
      <c r="CY56" s="35"/>
      <c r="CZ56" s="36"/>
      <c r="DA56" s="36"/>
      <c r="DB56" s="35"/>
      <c r="DC56" s="35"/>
      <c r="DD56" s="35"/>
      <c r="DE56" s="35"/>
      <c r="DF56" s="35"/>
      <c r="DG56" s="35"/>
      <c r="DH56" s="35"/>
      <c r="DI56" s="35"/>
      <c r="DJ56" s="35"/>
      <c r="DK56" s="35"/>
      <c r="DL56" s="35"/>
      <c r="DM56" s="35"/>
      <c r="DN56" s="35"/>
      <c r="DO56" s="35"/>
      <c r="DP56" s="35"/>
      <c r="DQ56" s="35"/>
      <c r="DR56" s="35"/>
      <c r="DS56" s="35"/>
      <c r="DT56" s="35"/>
      <c r="DU56" s="35"/>
      <c r="DV56" s="35"/>
      <c r="DW56" s="35"/>
      <c r="DX56" s="35"/>
      <c r="DY56" s="35"/>
      <c r="DZ56" s="36"/>
      <c r="EA56" s="35"/>
      <c r="EB56" s="35"/>
      <c r="EC56" s="35"/>
      <c r="ED56" s="35"/>
      <c r="EE56" s="35"/>
      <c r="EF56" s="35"/>
      <c r="EG56" s="35"/>
      <c r="EH56" s="35"/>
      <c r="EI56" s="35"/>
      <c r="EJ56" s="35"/>
      <c r="EK56" s="35"/>
      <c r="EL56" s="35"/>
      <c r="EM56" s="35"/>
      <c r="EN56" s="35"/>
      <c r="EO56" s="35"/>
      <c r="EP56" s="35"/>
      <c r="EQ56" s="35"/>
      <c r="ER56" s="35"/>
      <c r="ES56" s="35"/>
      <c r="ET56" s="35"/>
      <c r="EU56" s="35"/>
      <c r="EV56" s="35"/>
      <c r="EW56" s="35"/>
      <c r="EX56" s="35"/>
      <c r="EY56" s="36"/>
      <c r="EZ56" s="35"/>
      <c r="FA56" s="35"/>
      <c r="FB56" s="35"/>
      <c r="FC56" s="35"/>
      <c r="FD56" s="35"/>
      <c r="FE56" s="35"/>
      <c r="FF56" s="35"/>
      <c r="FG56" s="35"/>
      <c r="FH56" s="35"/>
      <c r="FI56" s="35"/>
      <c r="FJ56" s="35"/>
      <c r="FK56" s="35"/>
      <c r="FL56" s="35"/>
      <c r="FM56" s="35"/>
      <c r="FN56" s="35"/>
      <c r="FO56" s="35"/>
      <c r="FP56" s="35"/>
      <c r="FQ56" s="52"/>
      <c r="FR56" s="8"/>
      <c r="FS56" s="9" t="s">
        <v>13</v>
      </c>
      <c r="FT56" s="9" t="str">
        <f t="shared" si="151"/>
        <v>2. Quarterly Reporting (QRTs)  2.3 Supervision</v>
      </c>
    </row>
    <row r="57" spans="1:176" s="9" customFormat="1" ht="12" hidden="1" customHeight="1" outlineLevel="1">
      <c r="A57" s="125" t="s">
        <v>50</v>
      </c>
      <c r="B57" s="123"/>
      <c r="C57" s="124" t="str">
        <f t="shared" si="9"/>
        <v>0 days</v>
      </c>
      <c r="D57" s="13" t="str">
        <f>A40&amp;" "&amp;A53</f>
        <v>2. Quarterly Reporting (QRTs)  2.3 Supervision</v>
      </c>
      <c r="E57" s="51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35"/>
      <c r="AK57" s="35"/>
      <c r="AL57" s="36"/>
      <c r="AM57" s="36"/>
      <c r="AN57" s="36"/>
      <c r="AO57" s="36"/>
      <c r="AP57" s="36"/>
      <c r="AQ57" s="36"/>
      <c r="AR57" s="36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5"/>
      <c r="BM57" s="35"/>
      <c r="BN57" s="35"/>
      <c r="BO57" s="35"/>
      <c r="BP57" s="35"/>
      <c r="BQ57" s="35"/>
      <c r="BR57" s="35"/>
      <c r="BS57" s="35"/>
      <c r="BT57" s="35"/>
      <c r="BU57" s="35"/>
      <c r="BV57" s="35"/>
      <c r="BW57" s="35"/>
      <c r="BX57" s="35"/>
      <c r="BY57" s="35"/>
      <c r="BZ57" s="35"/>
      <c r="CA57" s="35"/>
      <c r="CB57" s="35"/>
      <c r="CC57" s="35"/>
      <c r="CD57" s="35"/>
      <c r="CE57" s="35"/>
      <c r="CF57" s="35"/>
      <c r="CG57" s="35"/>
      <c r="CH57" s="35"/>
      <c r="CI57" s="35"/>
      <c r="CJ57" s="35"/>
      <c r="CK57" s="35"/>
      <c r="CL57" s="35"/>
      <c r="CM57" s="35"/>
      <c r="CN57" s="35"/>
      <c r="CO57" s="35"/>
      <c r="CP57" s="35"/>
      <c r="CQ57" s="35"/>
      <c r="CR57" s="35"/>
      <c r="CS57" s="35"/>
      <c r="CT57" s="36"/>
      <c r="CU57" s="35"/>
      <c r="CV57" s="35"/>
      <c r="CW57" s="35"/>
      <c r="CX57" s="35"/>
      <c r="CY57" s="35"/>
      <c r="CZ57" s="36"/>
      <c r="DA57" s="36"/>
      <c r="DB57" s="35"/>
      <c r="DC57" s="35"/>
      <c r="DD57" s="35"/>
      <c r="DE57" s="35"/>
      <c r="DF57" s="35"/>
      <c r="DG57" s="35"/>
      <c r="DH57" s="35"/>
      <c r="DI57" s="35"/>
      <c r="DJ57" s="35"/>
      <c r="DK57" s="35"/>
      <c r="DL57" s="35"/>
      <c r="DM57" s="35"/>
      <c r="DN57" s="35"/>
      <c r="DO57" s="35"/>
      <c r="DP57" s="35"/>
      <c r="DQ57" s="35"/>
      <c r="DR57" s="35"/>
      <c r="DS57" s="35"/>
      <c r="DT57" s="35"/>
      <c r="DU57" s="35"/>
      <c r="DV57" s="35"/>
      <c r="DW57" s="35"/>
      <c r="DX57" s="35"/>
      <c r="DY57" s="35"/>
      <c r="DZ57" s="36"/>
      <c r="EA57" s="35"/>
      <c r="EB57" s="35"/>
      <c r="EC57" s="35"/>
      <c r="ED57" s="35"/>
      <c r="EE57" s="35"/>
      <c r="EF57" s="35"/>
      <c r="EG57" s="35"/>
      <c r="EH57" s="35"/>
      <c r="EI57" s="35"/>
      <c r="EJ57" s="35"/>
      <c r="EK57" s="35"/>
      <c r="EL57" s="35"/>
      <c r="EM57" s="35"/>
      <c r="EN57" s="35"/>
      <c r="EO57" s="35"/>
      <c r="EP57" s="35"/>
      <c r="EQ57" s="35"/>
      <c r="ER57" s="35"/>
      <c r="ES57" s="35"/>
      <c r="ET57" s="35"/>
      <c r="EU57" s="35"/>
      <c r="EV57" s="35"/>
      <c r="EW57" s="35"/>
      <c r="EX57" s="35"/>
      <c r="EY57" s="36"/>
      <c r="EZ57" s="35"/>
      <c r="FA57" s="35"/>
      <c r="FB57" s="35"/>
      <c r="FC57" s="35"/>
      <c r="FD57" s="35"/>
      <c r="FE57" s="35"/>
      <c r="FF57" s="35"/>
      <c r="FG57" s="35"/>
      <c r="FH57" s="35"/>
      <c r="FI57" s="35"/>
      <c r="FJ57" s="35"/>
      <c r="FK57" s="35"/>
      <c r="FL57" s="35"/>
      <c r="FM57" s="35"/>
      <c r="FN57" s="35"/>
      <c r="FO57" s="35"/>
      <c r="FP57" s="35"/>
      <c r="FQ57" s="52"/>
      <c r="FR57" s="8"/>
      <c r="FS57" s="9" t="s">
        <v>13</v>
      </c>
      <c r="FT57" s="9" t="str">
        <f t="shared" si="151"/>
        <v>2. Quarterly Reporting (QRTs)  2.3 Supervision</v>
      </c>
    </row>
    <row r="58" spans="1:176" s="9" customFormat="1" ht="12" hidden="1" customHeight="1" outlineLevel="1">
      <c r="A58" s="126" t="s">
        <v>50</v>
      </c>
      <c r="B58" s="123"/>
      <c r="C58" s="124" t="str">
        <f t="shared" si="9"/>
        <v>0 days</v>
      </c>
      <c r="D58" s="13" t="str">
        <f>A40&amp;" "&amp;A53</f>
        <v>2. Quarterly Reporting (QRTs)  2.3 Supervision</v>
      </c>
      <c r="E58" s="51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35"/>
      <c r="AK58" s="35"/>
      <c r="AL58" s="36"/>
      <c r="AM58" s="36"/>
      <c r="AN58" s="36"/>
      <c r="AO58" s="36"/>
      <c r="AP58" s="36"/>
      <c r="AQ58" s="36"/>
      <c r="AR58" s="36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5"/>
      <c r="BM58" s="35"/>
      <c r="BN58" s="35"/>
      <c r="BO58" s="35"/>
      <c r="BP58" s="35"/>
      <c r="BQ58" s="35"/>
      <c r="BR58" s="35"/>
      <c r="BS58" s="35"/>
      <c r="BT58" s="35"/>
      <c r="BU58" s="35"/>
      <c r="BV58" s="35"/>
      <c r="BW58" s="35"/>
      <c r="BX58" s="35"/>
      <c r="BY58" s="35"/>
      <c r="BZ58" s="35"/>
      <c r="CA58" s="35"/>
      <c r="CB58" s="35"/>
      <c r="CC58" s="35"/>
      <c r="CD58" s="35"/>
      <c r="CE58" s="35"/>
      <c r="CF58" s="35"/>
      <c r="CG58" s="35"/>
      <c r="CH58" s="35"/>
      <c r="CI58" s="35"/>
      <c r="CJ58" s="35"/>
      <c r="CK58" s="35"/>
      <c r="CL58" s="35"/>
      <c r="CM58" s="35"/>
      <c r="CN58" s="35"/>
      <c r="CO58" s="35"/>
      <c r="CP58" s="35"/>
      <c r="CQ58" s="35"/>
      <c r="CR58" s="35"/>
      <c r="CS58" s="35"/>
      <c r="CT58" s="36"/>
      <c r="CU58" s="35"/>
      <c r="CV58" s="35"/>
      <c r="CW58" s="35"/>
      <c r="CX58" s="35"/>
      <c r="CY58" s="35"/>
      <c r="CZ58" s="36"/>
      <c r="DA58" s="36"/>
      <c r="DB58" s="35"/>
      <c r="DC58" s="35"/>
      <c r="DD58" s="35"/>
      <c r="DE58" s="35"/>
      <c r="DF58" s="35"/>
      <c r="DG58" s="35"/>
      <c r="DH58" s="35"/>
      <c r="DI58" s="35"/>
      <c r="DJ58" s="35"/>
      <c r="DK58" s="35"/>
      <c r="DL58" s="35"/>
      <c r="DM58" s="35"/>
      <c r="DN58" s="35"/>
      <c r="DO58" s="35"/>
      <c r="DP58" s="35"/>
      <c r="DQ58" s="35"/>
      <c r="DR58" s="35"/>
      <c r="DS58" s="35"/>
      <c r="DT58" s="35"/>
      <c r="DU58" s="35"/>
      <c r="DV58" s="35"/>
      <c r="DW58" s="35"/>
      <c r="DX58" s="35"/>
      <c r="DY58" s="35"/>
      <c r="DZ58" s="36"/>
      <c r="EA58" s="35"/>
      <c r="EB58" s="35"/>
      <c r="EC58" s="35"/>
      <c r="ED58" s="35"/>
      <c r="EE58" s="35"/>
      <c r="EF58" s="35"/>
      <c r="EG58" s="35"/>
      <c r="EH58" s="35"/>
      <c r="EI58" s="35"/>
      <c r="EJ58" s="35"/>
      <c r="EK58" s="35"/>
      <c r="EL58" s="35"/>
      <c r="EM58" s="35"/>
      <c r="EN58" s="35"/>
      <c r="EO58" s="35"/>
      <c r="EP58" s="35"/>
      <c r="EQ58" s="35"/>
      <c r="ER58" s="35"/>
      <c r="ES58" s="35"/>
      <c r="ET58" s="35"/>
      <c r="EU58" s="35"/>
      <c r="EV58" s="35"/>
      <c r="EW58" s="35"/>
      <c r="EX58" s="35"/>
      <c r="EY58" s="36"/>
      <c r="EZ58" s="35"/>
      <c r="FA58" s="35"/>
      <c r="FB58" s="35"/>
      <c r="FC58" s="35"/>
      <c r="FD58" s="35"/>
      <c r="FE58" s="35"/>
      <c r="FF58" s="35"/>
      <c r="FG58" s="35"/>
      <c r="FH58" s="35"/>
      <c r="FI58" s="35"/>
      <c r="FJ58" s="35"/>
      <c r="FK58" s="35"/>
      <c r="FL58" s="35"/>
      <c r="FM58" s="35"/>
      <c r="FN58" s="35"/>
      <c r="FO58" s="35"/>
      <c r="FP58" s="35"/>
      <c r="FQ58" s="52"/>
      <c r="FR58" s="8"/>
      <c r="FS58" s="9" t="s">
        <v>13</v>
      </c>
      <c r="FT58" s="9" t="str">
        <f t="shared" si="151"/>
        <v>2. Quarterly Reporting (QRTs)  2.3 Supervision</v>
      </c>
    </row>
    <row r="59" spans="1:176" s="9" customFormat="1" ht="12" customHeight="1" collapsed="1">
      <c r="A59" s="119" t="s">
        <v>61</v>
      </c>
      <c r="B59" s="127"/>
      <c r="C59" s="121" t="str">
        <f t="shared" si="9"/>
        <v>3 days</v>
      </c>
      <c r="D59" s="27"/>
      <c r="E59" s="91" t="str">
        <f t="shared" ref="E59" si="1333">IF(SUBTOTAL(9,E60:E64)&gt;0,SUBTOTAL(9,E60:E64),"")</f>
        <v/>
      </c>
      <c r="F59" s="34" t="str">
        <f t="shared" ref="F59" si="1334">IF(SUBTOTAL(9,F60:F64)&gt;0,SUBTOTAL(9,F60:F64),"")</f>
        <v/>
      </c>
      <c r="G59" s="34" t="str">
        <f t="shared" ref="G59" si="1335">IF(SUBTOTAL(9,G60:G64)&gt;0,SUBTOTAL(9,G60:G64),"")</f>
        <v/>
      </c>
      <c r="H59" s="34" t="str">
        <f t="shared" ref="H59" si="1336">IF(SUBTOTAL(9,H60:H64)&gt;0,SUBTOTAL(9,H60:H64),"")</f>
        <v/>
      </c>
      <c r="I59" s="34" t="str">
        <f t="shared" ref="I59" si="1337">IF(SUBTOTAL(9,I60:I64)&gt;0,SUBTOTAL(9,I60:I64),"")</f>
        <v/>
      </c>
      <c r="J59" s="34" t="str">
        <f t="shared" ref="J59" si="1338">IF(SUBTOTAL(9,J60:J64)&gt;0,SUBTOTAL(9,J60:J64),"")</f>
        <v/>
      </c>
      <c r="K59" s="34" t="str">
        <f t="shared" ref="K59" si="1339">IF(SUBTOTAL(9,K60:K64)&gt;0,SUBTOTAL(9,K60:K64),"")</f>
        <v/>
      </c>
      <c r="L59" s="34" t="str">
        <f t="shared" ref="L59" si="1340">IF(SUBTOTAL(9,L60:L64)&gt;0,SUBTOTAL(9,L60:L64),"")</f>
        <v/>
      </c>
      <c r="M59" s="34" t="str">
        <f t="shared" ref="M59" si="1341">IF(SUBTOTAL(9,M60:M64)&gt;0,SUBTOTAL(9,M60:M64),"")</f>
        <v/>
      </c>
      <c r="N59" s="34" t="str">
        <f t="shared" ref="N59" si="1342">IF(SUBTOTAL(9,N60:N64)&gt;0,SUBTOTAL(9,N60:N64),"")</f>
        <v/>
      </c>
      <c r="O59" s="34" t="str">
        <f t="shared" ref="O59" si="1343">IF(SUBTOTAL(9,O60:O64)&gt;0,SUBTOTAL(9,O60:O64),"")</f>
        <v/>
      </c>
      <c r="P59" s="34" t="str">
        <f t="shared" ref="P59" si="1344">IF(SUBTOTAL(9,P60:P64)&gt;0,SUBTOTAL(9,P60:P64),"")</f>
        <v/>
      </c>
      <c r="Q59" s="34" t="str">
        <f t="shared" ref="Q59" si="1345">IF(SUBTOTAL(9,Q60:Q64)&gt;0,SUBTOTAL(9,Q60:Q64),"")</f>
        <v/>
      </c>
      <c r="R59" s="34" t="str">
        <f t="shared" ref="R59" si="1346">IF(SUBTOTAL(9,R60:R64)&gt;0,SUBTOTAL(9,R60:R64),"")</f>
        <v/>
      </c>
      <c r="S59" s="34" t="str">
        <f t="shared" ref="S59" si="1347">IF(SUBTOTAL(9,S60:S64)&gt;0,SUBTOTAL(9,S60:S64),"")</f>
        <v/>
      </c>
      <c r="T59" s="34" t="str">
        <f t="shared" ref="T59" si="1348">IF(SUBTOTAL(9,T60:T64)&gt;0,SUBTOTAL(9,T60:T64),"")</f>
        <v/>
      </c>
      <c r="U59" s="34" t="str">
        <f t="shared" ref="U59" si="1349">IF(SUBTOTAL(9,U60:U64)&gt;0,SUBTOTAL(9,U60:U64),"")</f>
        <v/>
      </c>
      <c r="V59" s="34" t="str">
        <f t="shared" ref="V59" si="1350">IF(SUBTOTAL(9,V60:V64)&gt;0,SUBTOTAL(9,V60:V64),"")</f>
        <v/>
      </c>
      <c r="W59" s="34" t="str">
        <f t="shared" ref="W59" si="1351">IF(SUBTOTAL(9,W60:W64)&gt;0,SUBTOTAL(9,W60:W64),"")</f>
        <v/>
      </c>
      <c r="X59" s="34" t="str">
        <f t="shared" ref="X59" si="1352">IF(SUBTOTAL(9,X60:X64)&gt;0,SUBTOTAL(9,X60:X64),"")</f>
        <v/>
      </c>
      <c r="Y59" s="34" t="str">
        <f t="shared" ref="Y59" si="1353">IF(SUBTOTAL(9,Y60:Y64)&gt;0,SUBTOTAL(9,Y60:Y64),"")</f>
        <v/>
      </c>
      <c r="Z59" s="34" t="str">
        <f t="shared" ref="Z59" si="1354">IF(SUBTOTAL(9,Z60:Z64)&gt;0,SUBTOTAL(9,Z60:Z64),"")</f>
        <v/>
      </c>
      <c r="AA59" s="34" t="str">
        <f t="shared" ref="AA59" si="1355">IF(SUBTOTAL(9,AA60:AA64)&gt;0,SUBTOTAL(9,AA60:AA64),"")</f>
        <v/>
      </c>
      <c r="AB59" s="34" t="str">
        <f t="shared" ref="AB59" si="1356">IF(SUBTOTAL(9,AB60:AB64)&gt;0,SUBTOTAL(9,AB60:AB64),"")</f>
        <v/>
      </c>
      <c r="AC59" s="34" t="str">
        <f t="shared" ref="AC59" si="1357">IF(SUBTOTAL(9,AC60:AC64)&gt;0,SUBTOTAL(9,AC60:AC64),"")</f>
        <v/>
      </c>
      <c r="AD59" s="34" t="str">
        <f t="shared" ref="AD59" si="1358">IF(SUBTOTAL(9,AD60:AD64)&gt;0,SUBTOTAL(9,AD60:AD64),"")</f>
        <v/>
      </c>
      <c r="AE59" s="34" t="str">
        <f t="shared" ref="AE59" si="1359">IF(SUBTOTAL(9,AE60:AE64)&gt;0,SUBTOTAL(9,AE60:AE64),"")</f>
        <v/>
      </c>
      <c r="AF59" s="34" t="str">
        <f t="shared" ref="AF59" si="1360">IF(SUBTOTAL(9,AF60:AF64)&gt;0,SUBTOTAL(9,AF60:AF64),"")</f>
        <v/>
      </c>
      <c r="AG59" s="34" t="str">
        <f t="shared" ref="AG59" si="1361">IF(SUBTOTAL(9,AG60:AG64)&gt;0,SUBTOTAL(9,AG60:AG64),"")</f>
        <v/>
      </c>
      <c r="AH59" s="34" t="str">
        <f t="shared" ref="AH59" si="1362">IF(SUBTOTAL(9,AH60:AH64)&gt;0,SUBTOTAL(9,AH60:AH64),"")</f>
        <v/>
      </c>
      <c r="AI59" s="34" t="str">
        <f t="shared" ref="AI59" si="1363">IF(SUBTOTAL(9,AI60:AI64)&gt;0,SUBTOTAL(9,AI60:AI64),"")</f>
        <v/>
      </c>
      <c r="AJ59" s="34" t="str">
        <f t="shared" ref="AJ59" si="1364">IF(SUBTOTAL(9,AJ60:AJ64)&gt;0,SUBTOTAL(9,AJ60:AJ64),"")</f>
        <v/>
      </c>
      <c r="AK59" s="34" t="str">
        <f t="shared" ref="AK59" si="1365">IF(SUBTOTAL(9,AK60:AK64)&gt;0,SUBTOTAL(9,AK60:AK64),"")</f>
        <v/>
      </c>
      <c r="AL59" s="33" t="str">
        <f t="shared" ref="AL59" si="1366">IF(SUBTOTAL(9,AL60:AL64)&gt;0,SUBTOTAL(9,AL60:AL64),"")</f>
        <v/>
      </c>
      <c r="AM59" s="33" t="str">
        <f t="shared" ref="AM59" si="1367">IF(SUBTOTAL(9,AM60:AM64)&gt;0,SUBTOTAL(9,AM60:AM64),"")</f>
        <v/>
      </c>
      <c r="AN59" s="33" t="str">
        <f t="shared" ref="AN59" si="1368">IF(SUBTOTAL(9,AN60:AN64)&gt;0,SUBTOTAL(9,AN60:AN64),"")</f>
        <v/>
      </c>
      <c r="AO59" s="33" t="str">
        <f t="shared" ref="AO59" si="1369">IF(SUBTOTAL(9,AO60:AO64)&gt;0,SUBTOTAL(9,AO60:AO64),"")</f>
        <v/>
      </c>
      <c r="AP59" s="33" t="str">
        <f t="shared" ref="AP59" si="1370">IF(SUBTOTAL(9,AP60:AP64)&gt;0,SUBTOTAL(9,AP60:AP64),"")</f>
        <v/>
      </c>
      <c r="AQ59" s="33" t="str">
        <f t="shared" ref="AQ59" si="1371">IF(SUBTOTAL(9,AQ60:AQ64)&gt;0,SUBTOTAL(9,AQ60:AQ64),"")</f>
        <v/>
      </c>
      <c r="AR59" s="33" t="str">
        <f t="shared" ref="AR59" si="1372">IF(SUBTOTAL(9,AR60:AR64)&gt;0,SUBTOTAL(9,AR60:AR64),"")</f>
        <v/>
      </c>
      <c r="AS59" s="34" t="str">
        <f t="shared" ref="AS59" si="1373">IF(SUBTOTAL(9,AS60:AS64)&gt;0,SUBTOTAL(9,AS60:AS64),"")</f>
        <v/>
      </c>
      <c r="AT59" s="34" t="str">
        <f t="shared" ref="AT59" si="1374">IF(SUBTOTAL(9,AT60:AT64)&gt;0,SUBTOTAL(9,AT60:AT64),"")</f>
        <v/>
      </c>
      <c r="AU59" s="34" t="str">
        <f t="shared" ref="AU59" si="1375">IF(SUBTOTAL(9,AU60:AU64)&gt;0,SUBTOTAL(9,AU60:AU64),"")</f>
        <v/>
      </c>
      <c r="AV59" s="34" t="str">
        <f t="shared" ref="AV59" si="1376">IF(SUBTOTAL(9,AV60:AV64)&gt;0,SUBTOTAL(9,AV60:AV64),"")</f>
        <v/>
      </c>
      <c r="AW59" s="34" t="str">
        <f t="shared" ref="AW59" si="1377">IF(SUBTOTAL(9,AW60:AW64)&gt;0,SUBTOTAL(9,AW60:AW64),"")</f>
        <v/>
      </c>
      <c r="AX59" s="34" t="str">
        <f t="shared" ref="AX59" si="1378">IF(SUBTOTAL(9,AX60:AX64)&gt;0,SUBTOTAL(9,AX60:AX64),"")</f>
        <v/>
      </c>
      <c r="AY59" s="34" t="str">
        <f t="shared" ref="AY59" si="1379">IF(SUBTOTAL(9,AY60:AY64)&gt;0,SUBTOTAL(9,AY60:AY64),"")</f>
        <v/>
      </c>
      <c r="AZ59" s="34" t="str">
        <f t="shared" ref="AZ59" si="1380">IF(SUBTOTAL(9,AZ60:AZ64)&gt;0,SUBTOTAL(9,AZ60:AZ64),"")</f>
        <v/>
      </c>
      <c r="BA59" s="34" t="str">
        <f t="shared" ref="BA59" si="1381">IF(SUBTOTAL(9,BA60:BA64)&gt;0,SUBTOTAL(9,BA60:BA64),"")</f>
        <v/>
      </c>
      <c r="BB59" s="34" t="str">
        <f t="shared" ref="BB59" si="1382">IF(SUBTOTAL(9,BB60:BB64)&gt;0,SUBTOTAL(9,BB60:BB64),"")</f>
        <v/>
      </c>
      <c r="BC59" s="34" t="str">
        <f t="shared" ref="BC59" si="1383">IF(SUBTOTAL(9,BC60:BC64)&gt;0,SUBTOTAL(9,BC60:BC64),"")</f>
        <v/>
      </c>
      <c r="BD59" s="34" t="str">
        <f t="shared" ref="BD59" si="1384">IF(SUBTOTAL(9,BD60:BD64)&gt;0,SUBTOTAL(9,BD60:BD64),"")</f>
        <v/>
      </c>
      <c r="BE59" s="34" t="str">
        <f t="shared" ref="BE59" si="1385">IF(SUBTOTAL(9,BE60:BE64)&gt;0,SUBTOTAL(9,BE60:BE64),"")</f>
        <v/>
      </c>
      <c r="BF59" s="34" t="str">
        <f t="shared" ref="BF59" si="1386">IF(SUBTOTAL(9,BF60:BF64)&gt;0,SUBTOTAL(9,BF60:BF64),"")</f>
        <v/>
      </c>
      <c r="BG59" s="34" t="str">
        <f t="shared" ref="BG59" si="1387">IF(SUBTOTAL(9,BG60:BG64)&gt;0,SUBTOTAL(9,BG60:BG64),"")</f>
        <v/>
      </c>
      <c r="BH59" s="34" t="str">
        <f t="shared" ref="BH59" si="1388">IF(SUBTOTAL(9,BH60:BH64)&gt;0,SUBTOTAL(9,BH60:BH64),"")</f>
        <v/>
      </c>
      <c r="BI59" s="34" t="str">
        <f t="shared" ref="BI59" si="1389">IF(SUBTOTAL(9,BI60:BI64)&gt;0,SUBTOTAL(9,BI60:BI64),"")</f>
        <v/>
      </c>
      <c r="BJ59" s="34" t="str">
        <f t="shared" ref="BJ59" si="1390">IF(SUBTOTAL(9,BJ60:BJ64)&gt;0,SUBTOTAL(9,BJ60:BJ64),"")</f>
        <v/>
      </c>
      <c r="BK59" s="34" t="str">
        <f t="shared" ref="BK59" si="1391">IF(SUBTOTAL(9,BK60:BK64)&gt;0,SUBTOTAL(9,BK60:BK64),"")</f>
        <v/>
      </c>
      <c r="BL59" s="34" t="str">
        <f t="shared" ref="BL59" si="1392">IF(SUBTOTAL(9,BL60:BL64)&gt;0,SUBTOTAL(9,BL60:BL64),"")</f>
        <v/>
      </c>
      <c r="BM59" s="34" t="str">
        <f t="shared" ref="BM59" si="1393">IF(SUBTOTAL(9,BM60:BM64)&gt;0,SUBTOTAL(9,BM60:BM64),"")</f>
        <v/>
      </c>
      <c r="BN59" s="34" t="str">
        <f t="shared" ref="BN59" si="1394">IF(SUBTOTAL(9,BN60:BN64)&gt;0,SUBTOTAL(9,BN60:BN64),"")</f>
        <v/>
      </c>
      <c r="BO59" s="34" t="str">
        <f t="shared" ref="BO59" si="1395">IF(SUBTOTAL(9,BO60:BO64)&gt;0,SUBTOTAL(9,BO60:BO64),"")</f>
        <v/>
      </c>
      <c r="BP59" s="34" t="str">
        <f t="shared" ref="BP59" si="1396">IF(SUBTOTAL(9,BP60:BP64)&gt;0,SUBTOTAL(9,BP60:BP64),"")</f>
        <v/>
      </c>
      <c r="BQ59" s="34" t="str">
        <f t="shared" ref="BQ59" si="1397">IF(SUBTOTAL(9,BQ60:BQ64)&gt;0,SUBTOTAL(9,BQ60:BQ64),"")</f>
        <v/>
      </c>
      <c r="BR59" s="34" t="str">
        <f t="shared" ref="BR59" si="1398">IF(SUBTOTAL(9,BR60:BR64)&gt;0,SUBTOTAL(9,BR60:BR64),"")</f>
        <v/>
      </c>
      <c r="BS59" s="34" t="str">
        <f t="shared" ref="BS59" si="1399">IF(SUBTOTAL(9,BS60:BS64)&gt;0,SUBTOTAL(9,BS60:BS64),"")</f>
        <v/>
      </c>
      <c r="BT59" s="34" t="str">
        <f t="shared" ref="BT59" si="1400">IF(SUBTOTAL(9,BT60:BT64)&gt;0,SUBTOTAL(9,BT60:BT64),"")</f>
        <v/>
      </c>
      <c r="BU59" s="34" t="str">
        <f t="shared" ref="BU59" si="1401">IF(SUBTOTAL(9,BU60:BU64)&gt;0,SUBTOTAL(9,BU60:BU64),"")</f>
        <v/>
      </c>
      <c r="BV59" s="34" t="str">
        <f t="shared" ref="BV59" si="1402">IF(SUBTOTAL(9,BV60:BV64)&gt;0,SUBTOTAL(9,BV60:BV64),"")</f>
        <v/>
      </c>
      <c r="BW59" s="34" t="str">
        <f t="shared" ref="BW59" si="1403">IF(SUBTOTAL(9,BW60:BW64)&gt;0,SUBTOTAL(9,BW60:BW64),"")</f>
        <v/>
      </c>
      <c r="BX59" s="34" t="str">
        <f t="shared" ref="BX59" si="1404">IF(SUBTOTAL(9,BX60:BX64)&gt;0,SUBTOTAL(9,BX60:BX64),"")</f>
        <v/>
      </c>
      <c r="BY59" s="34" t="str">
        <f t="shared" ref="BY59" si="1405">IF(SUBTOTAL(9,BY60:BY64)&gt;0,SUBTOTAL(9,BY60:BY64),"")</f>
        <v/>
      </c>
      <c r="BZ59" s="34" t="str">
        <f t="shared" ref="BZ59" si="1406">IF(SUBTOTAL(9,BZ60:BZ64)&gt;0,SUBTOTAL(9,BZ60:BZ64),"")</f>
        <v/>
      </c>
      <c r="CA59" s="34" t="str">
        <f t="shared" ref="CA59" si="1407">IF(SUBTOTAL(9,CA60:CA64)&gt;0,SUBTOTAL(9,CA60:CA64),"")</f>
        <v/>
      </c>
      <c r="CB59" s="34" t="str">
        <f t="shared" ref="CB59" si="1408">IF(SUBTOTAL(9,CB60:CB64)&gt;0,SUBTOTAL(9,CB60:CB64),"")</f>
        <v/>
      </c>
      <c r="CC59" s="34" t="str">
        <f t="shared" ref="CC59" si="1409">IF(SUBTOTAL(9,CC60:CC64)&gt;0,SUBTOTAL(9,CC60:CC64),"")</f>
        <v/>
      </c>
      <c r="CD59" s="34" t="str">
        <f t="shared" ref="CD59" si="1410">IF(SUBTOTAL(9,CD60:CD64)&gt;0,SUBTOTAL(9,CD60:CD64),"")</f>
        <v/>
      </c>
      <c r="CE59" s="34" t="str">
        <f t="shared" ref="CE59" si="1411">IF(SUBTOTAL(9,CE60:CE64)&gt;0,SUBTOTAL(9,CE60:CE64),"")</f>
        <v/>
      </c>
      <c r="CF59" s="34" t="str">
        <f t="shared" ref="CF59:CG59" si="1412">IF(SUBTOTAL(9,CF60:CF64)&gt;0,SUBTOTAL(9,CF60:CF64),"")</f>
        <v/>
      </c>
      <c r="CG59" s="34" t="str">
        <f t="shared" si="1412"/>
        <v/>
      </c>
      <c r="CH59" s="34" t="str">
        <f t="shared" ref="CH59" si="1413">IF(SUBTOTAL(9,CH60:CH64)&gt;0,SUBTOTAL(9,CH60:CH64),"")</f>
        <v/>
      </c>
      <c r="CI59" s="34" t="str">
        <f t="shared" ref="CI59" si="1414">IF(SUBTOTAL(9,CI60:CI64)&gt;0,SUBTOTAL(9,CI60:CI64),"")</f>
        <v/>
      </c>
      <c r="CJ59" s="34" t="str">
        <f t="shared" ref="CJ59" si="1415">IF(SUBTOTAL(9,CJ60:CJ64)&gt;0,SUBTOTAL(9,CJ60:CJ64),"")</f>
        <v/>
      </c>
      <c r="CK59" s="34" t="str">
        <f t="shared" ref="CK59" si="1416">IF(SUBTOTAL(9,CK60:CK64)&gt;0,SUBTOTAL(9,CK60:CK64),"")</f>
        <v/>
      </c>
      <c r="CL59" s="34" t="str">
        <f t="shared" ref="CL59" si="1417">IF(SUBTOTAL(9,CL60:CL64)&gt;0,SUBTOTAL(9,CL60:CL64),"")</f>
        <v/>
      </c>
      <c r="CM59" s="34" t="str">
        <f t="shared" ref="CM59" si="1418">IF(SUBTOTAL(9,CM60:CM64)&gt;0,SUBTOTAL(9,CM60:CM64),"")</f>
        <v/>
      </c>
      <c r="CN59" s="34" t="str">
        <f t="shared" ref="CN59" si="1419">IF(SUBTOTAL(9,CN60:CN64)&gt;0,SUBTOTAL(9,CN60:CN64),"")</f>
        <v/>
      </c>
      <c r="CO59" s="34" t="str">
        <f t="shared" ref="CO59" si="1420">IF(SUBTOTAL(9,CO60:CO64)&gt;0,SUBTOTAL(9,CO60:CO64),"")</f>
        <v/>
      </c>
      <c r="CP59" s="34" t="str">
        <f t="shared" ref="CP59" si="1421">IF(SUBTOTAL(9,CP60:CP64)&gt;0,SUBTOTAL(9,CP60:CP64),"")</f>
        <v/>
      </c>
      <c r="CQ59" s="34" t="str">
        <f t="shared" ref="CQ59" si="1422">IF(SUBTOTAL(9,CQ60:CQ64)&gt;0,SUBTOTAL(9,CQ60:CQ64),"")</f>
        <v/>
      </c>
      <c r="CR59" s="34" t="str">
        <f t="shared" ref="CR59" si="1423">IF(SUBTOTAL(9,CR60:CR64)&gt;0,SUBTOTAL(9,CR60:CR64),"")</f>
        <v/>
      </c>
      <c r="CS59" s="34" t="str">
        <f t="shared" ref="CS59" si="1424">IF(SUBTOTAL(9,CS60:CS64)&gt;0,SUBTOTAL(9,CS60:CS64),"")</f>
        <v/>
      </c>
      <c r="CT59" s="33" t="str">
        <f t="shared" ref="CT59" si="1425">IF(SUBTOTAL(9,CT60:CT64)&gt;0,SUBTOTAL(9,CT60:CT64),"")</f>
        <v/>
      </c>
      <c r="CU59" s="34" t="str">
        <f t="shared" ref="CU59" si="1426">IF(SUBTOTAL(9,CU60:CU64)&gt;0,SUBTOTAL(9,CU60:CU64),"")</f>
        <v/>
      </c>
      <c r="CV59" s="34" t="str">
        <f t="shared" ref="CV59" si="1427">IF(SUBTOTAL(9,CV60:CV64)&gt;0,SUBTOTAL(9,CV60:CV64),"")</f>
        <v/>
      </c>
      <c r="CW59" s="34" t="str">
        <f t="shared" ref="CW59" si="1428">IF(SUBTOTAL(9,CW60:CW64)&gt;0,SUBTOTAL(9,CW60:CW64),"")</f>
        <v/>
      </c>
      <c r="CX59" s="34" t="str">
        <f t="shared" ref="CX59" si="1429">IF(SUBTOTAL(9,CX60:CX64)&gt;0,SUBTOTAL(9,CX60:CX64),"")</f>
        <v/>
      </c>
      <c r="CY59" s="34" t="str">
        <f t="shared" ref="CY59" si="1430">IF(SUBTOTAL(9,CY60:CY64)&gt;0,SUBTOTAL(9,CY60:CY64),"")</f>
        <v/>
      </c>
      <c r="CZ59" s="33" t="str">
        <f t="shared" ref="CZ59" si="1431">IF(SUBTOTAL(9,CZ60:CZ64)&gt;0,SUBTOTAL(9,CZ60:CZ64),"")</f>
        <v/>
      </c>
      <c r="DA59" s="33" t="str">
        <f t="shared" ref="DA59" si="1432">IF(SUBTOTAL(9,DA60:DA64)&gt;0,SUBTOTAL(9,DA60:DA64),"")</f>
        <v/>
      </c>
      <c r="DB59" s="34" t="str">
        <f t="shared" ref="DB59" si="1433">IF(SUBTOTAL(9,DB60:DB64)&gt;0,SUBTOTAL(9,DB60:DB64),"")</f>
        <v/>
      </c>
      <c r="DC59" s="34" t="str">
        <f t="shared" ref="DC59" si="1434">IF(SUBTOTAL(9,DC60:DC64)&gt;0,SUBTOTAL(9,DC60:DC64),"")</f>
        <v/>
      </c>
      <c r="DD59" s="34" t="str">
        <f t="shared" ref="DD59" si="1435">IF(SUBTOTAL(9,DD60:DD64)&gt;0,SUBTOTAL(9,DD60:DD64),"")</f>
        <v/>
      </c>
      <c r="DE59" s="34" t="str">
        <f t="shared" ref="DE59" si="1436">IF(SUBTOTAL(9,DE60:DE64)&gt;0,SUBTOTAL(9,DE60:DE64),"")</f>
        <v/>
      </c>
      <c r="DF59" s="34" t="str">
        <f t="shared" ref="DF59" si="1437">IF(SUBTOTAL(9,DF60:DF64)&gt;0,SUBTOTAL(9,DF60:DF64),"")</f>
        <v/>
      </c>
      <c r="DG59" s="34" t="str">
        <f t="shared" ref="DG59" si="1438">IF(SUBTOTAL(9,DG60:DG64)&gt;0,SUBTOTAL(9,DG60:DG64),"")</f>
        <v/>
      </c>
      <c r="DH59" s="34" t="str">
        <f t="shared" ref="DH59" si="1439">IF(SUBTOTAL(9,DH60:DH64)&gt;0,SUBTOTAL(9,DH60:DH64),"")</f>
        <v/>
      </c>
      <c r="DI59" s="34" t="str">
        <f t="shared" ref="DI59" si="1440">IF(SUBTOTAL(9,DI60:DI64)&gt;0,SUBTOTAL(9,DI60:DI64),"")</f>
        <v/>
      </c>
      <c r="DJ59" s="34" t="str">
        <f t="shared" ref="DJ59" si="1441">IF(SUBTOTAL(9,DJ60:DJ64)&gt;0,SUBTOTAL(9,DJ60:DJ64),"")</f>
        <v/>
      </c>
      <c r="DK59" s="34" t="str">
        <f t="shared" ref="DK59" si="1442">IF(SUBTOTAL(9,DK60:DK64)&gt;0,SUBTOTAL(9,DK60:DK64),"")</f>
        <v/>
      </c>
      <c r="DL59" s="34" t="str">
        <f t="shared" ref="DL59" si="1443">IF(SUBTOTAL(9,DL60:DL64)&gt;0,SUBTOTAL(9,DL60:DL64),"")</f>
        <v/>
      </c>
      <c r="DM59" s="34" t="str">
        <f t="shared" ref="DM59" si="1444">IF(SUBTOTAL(9,DM60:DM64)&gt;0,SUBTOTAL(9,DM60:DM64),"")</f>
        <v/>
      </c>
      <c r="DN59" s="34">
        <f t="shared" ref="DN59" si="1445">IF(SUBTOTAL(9,DN60:DN64)&gt;0,SUBTOTAL(9,DN60:DN64),"")</f>
        <v>1</v>
      </c>
      <c r="DO59" s="34" t="str">
        <f t="shared" ref="DO59" si="1446">IF(SUBTOTAL(9,DO60:DO64)&gt;0,SUBTOTAL(9,DO60:DO64),"")</f>
        <v/>
      </c>
      <c r="DP59" s="34" t="str">
        <f t="shared" ref="DP59" si="1447">IF(SUBTOTAL(9,DP60:DP64)&gt;0,SUBTOTAL(9,DP60:DP64),"")</f>
        <v/>
      </c>
      <c r="DQ59" s="34" t="str">
        <f t="shared" ref="DQ59" si="1448">IF(SUBTOTAL(9,DQ60:DQ64)&gt;0,SUBTOTAL(9,DQ60:DQ64),"")</f>
        <v/>
      </c>
      <c r="DR59" s="34">
        <f t="shared" ref="DR59" si="1449">IF(SUBTOTAL(9,DR60:DR64)&gt;0,SUBTOTAL(9,DR60:DR64),"")</f>
        <v>1</v>
      </c>
      <c r="DS59" s="34" t="str">
        <f t="shared" ref="DS59" si="1450">IF(SUBTOTAL(9,DS60:DS64)&gt;0,SUBTOTAL(9,DS60:DS64),"")</f>
        <v/>
      </c>
      <c r="DT59" s="34" t="str">
        <f t="shared" ref="DT59" si="1451">IF(SUBTOTAL(9,DT60:DT64)&gt;0,SUBTOTAL(9,DT60:DT64),"")</f>
        <v/>
      </c>
      <c r="DU59" s="34" t="str">
        <f t="shared" ref="DU59" si="1452">IF(SUBTOTAL(9,DU60:DU64)&gt;0,SUBTOTAL(9,DU60:DU64),"")</f>
        <v/>
      </c>
      <c r="DV59" s="34" t="str">
        <f t="shared" ref="DV59" si="1453">IF(SUBTOTAL(9,DV60:DV64)&gt;0,SUBTOTAL(9,DV60:DV64),"")</f>
        <v/>
      </c>
      <c r="DW59" s="34" t="str">
        <f t="shared" ref="DW59" si="1454">IF(SUBTOTAL(9,DW60:DW64)&gt;0,SUBTOTAL(9,DW60:DW64),"")</f>
        <v/>
      </c>
      <c r="DX59" s="34" t="str">
        <f t="shared" ref="DX59" si="1455">IF(SUBTOTAL(9,DX60:DX64)&gt;0,SUBTOTAL(9,DX60:DX64),"")</f>
        <v/>
      </c>
      <c r="DY59" s="34" t="str">
        <f t="shared" ref="DY59" si="1456">IF(SUBTOTAL(9,DY60:DY64)&gt;0,SUBTOTAL(9,DY60:DY64),"")</f>
        <v/>
      </c>
      <c r="DZ59" s="33" t="str">
        <f t="shared" ref="DZ59" si="1457">IF(SUBTOTAL(9,DZ60:DZ64)&gt;0,SUBTOTAL(9,DZ60:DZ64),"")</f>
        <v/>
      </c>
      <c r="EA59" s="34" t="str">
        <f t="shared" ref="EA59" si="1458">IF(SUBTOTAL(9,EA60:EA64)&gt;0,SUBTOTAL(9,EA60:EA64),"")</f>
        <v/>
      </c>
      <c r="EB59" s="34" t="str">
        <f t="shared" ref="EB59" si="1459">IF(SUBTOTAL(9,EB60:EB64)&gt;0,SUBTOTAL(9,EB60:EB64),"")</f>
        <v/>
      </c>
      <c r="EC59" s="34" t="str">
        <f t="shared" ref="EC59" si="1460">IF(SUBTOTAL(9,EC60:EC64)&gt;0,SUBTOTAL(9,EC60:EC64),"")</f>
        <v/>
      </c>
      <c r="ED59" s="34" t="str">
        <f t="shared" ref="ED59" si="1461">IF(SUBTOTAL(9,ED60:ED64)&gt;0,SUBTOTAL(9,ED60:ED64),"")</f>
        <v/>
      </c>
      <c r="EE59" s="34" t="str">
        <f t="shared" ref="EE59" si="1462">IF(SUBTOTAL(9,EE60:EE64)&gt;0,SUBTOTAL(9,EE60:EE64),"")</f>
        <v/>
      </c>
      <c r="EF59" s="34" t="str">
        <f t="shared" ref="EF59" si="1463">IF(SUBTOTAL(9,EF60:EF64)&gt;0,SUBTOTAL(9,EF60:EF64),"")</f>
        <v/>
      </c>
      <c r="EG59" s="34" t="str">
        <f t="shared" ref="EG59" si="1464">IF(SUBTOTAL(9,EG60:EG64)&gt;0,SUBTOTAL(9,EG60:EG64),"")</f>
        <v/>
      </c>
      <c r="EH59" s="34" t="str">
        <f t="shared" ref="EH59" si="1465">IF(SUBTOTAL(9,EH60:EH64)&gt;0,SUBTOTAL(9,EH60:EH64),"")</f>
        <v/>
      </c>
      <c r="EI59" s="34" t="str">
        <f t="shared" ref="EI59" si="1466">IF(SUBTOTAL(9,EI60:EI64)&gt;0,SUBTOTAL(9,EI60:EI64),"")</f>
        <v/>
      </c>
      <c r="EJ59" s="34" t="str">
        <f t="shared" ref="EJ59" si="1467">IF(SUBTOTAL(9,EJ60:EJ64)&gt;0,SUBTOTAL(9,EJ60:EJ64),"")</f>
        <v/>
      </c>
      <c r="EK59" s="34" t="str">
        <f t="shared" ref="EK59" si="1468">IF(SUBTOTAL(9,EK60:EK64)&gt;0,SUBTOTAL(9,EK60:EK64),"")</f>
        <v/>
      </c>
      <c r="EL59" s="34" t="str">
        <f t="shared" ref="EL59" si="1469">IF(SUBTOTAL(9,EL60:EL64)&gt;0,SUBTOTAL(9,EL60:EL64),"")</f>
        <v/>
      </c>
      <c r="EM59" s="34" t="str">
        <f t="shared" ref="EM59" si="1470">IF(SUBTOTAL(9,EM60:EM64)&gt;0,SUBTOTAL(9,EM60:EM64),"")</f>
        <v/>
      </c>
      <c r="EN59" s="34" t="str">
        <f t="shared" ref="EN59" si="1471">IF(SUBTOTAL(9,EN60:EN64)&gt;0,SUBTOTAL(9,EN60:EN64),"")</f>
        <v/>
      </c>
      <c r="EO59" s="34">
        <f t="shared" ref="EO59" si="1472">IF(SUBTOTAL(9,EO60:EO64)&gt;0,SUBTOTAL(9,EO60:EO64),"")</f>
        <v>1</v>
      </c>
      <c r="EP59" s="34" t="str">
        <f t="shared" ref="EP59" si="1473">IF(SUBTOTAL(9,EP60:EP64)&gt;0,SUBTOTAL(9,EP60:EP64),"")</f>
        <v/>
      </c>
      <c r="EQ59" s="34" t="str">
        <f t="shared" ref="EQ59" si="1474">IF(SUBTOTAL(9,EQ60:EQ64)&gt;0,SUBTOTAL(9,EQ60:EQ64),"")</f>
        <v/>
      </c>
      <c r="ER59" s="34" t="str">
        <f t="shared" ref="ER59" si="1475">IF(SUBTOTAL(9,ER60:ER64)&gt;0,SUBTOTAL(9,ER60:ER64),"")</f>
        <v/>
      </c>
      <c r="ES59" s="34" t="str">
        <f t="shared" ref="ES59" si="1476">IF(SUBTOTAL(9,ES60:ES64)&gt;0,SUBTOTAL(9,ES60:ES64),"")</f>
        <v/>
      </c>
      <c r="ET59" s="34" t="str">
        <f t="shared" ref="ET59" si="1477">IF(SUBTOTAL(9,ET60:ET64)&gt;0,SUBTOTAL(9,ET60:ET64),"")</f>
        <v/>
      </c>
      <c r="EU59" s="34" t="str">
        <f t="shared" ref="EU59" si="1478">IF(SUBTOTAL(9,EU60:EU64)&gt;0,SUBTOTAL(9,EU60:EU64),"")</f>
        <v/>
      </c>
      <c r="EV59" s="34" t="str">
        <f t="shared" ref="EV59" si="1479">IF(SUBTOTAL(9,EV60:EV64)&gt;0,SUBTOTAL(9,EV60:EV64),"")</f>
        <v/>
      </c>
      <c r="EW59" s="34" t="str">
        <f t="shared" ref="EW59" si="1480">IF(SUBTOTAL(9,EW60:EW64)&gt;0,SUBTOTAL(9,EW60:EW64),"")</f>
        <v/>
      </c>
      <c r="EX59" s="34" t="str">
        <f t="shared" ref="EX59" si="1481">IF(SUBTOTAL(9,EX60:EX64)&gt;0,SUBTOTAL(9,EX60:EX64),"")</f>
        <v/>
      </c>
      <c r="EY59" s="33" t="str">
        <f t="shared" ref="EY59" si="1482">IF(SUBTOTAL(9,EY60:EY64)&gt;0,SUBTOTAL(9,EY60:EY64),"")</f>
        <v/>
      </c>
      <c r="EZ59" s="34" t="str">
        <f t="shared" ref="EZ59" si="1483">IF(SUBTOTAL(9,EZ60:EZ64)&gt;0,SUBTOTAL(9,EZ60:EZ64),"")</f>
        <v/>
      </c>
      <c r="FA59" s="34" t="str">
        <f t="shared" ref="FA59" si="1484">IF(SUBTOTAL(9,FA60:FA64)&gt;0,SUBTOTAL(9,FA60:FA64),"")</f>
        <v/>
      </c>
      <c r="FB59" s="34" t="str">
        <f t="shared" ref="FB59" si="1485">IF(SUBTOTAL(9,FB60:FB64)&gt;0,SUBTOTAL(9,FB60:FB64),"")</f>
        <v/>
      </c>
      <c r="FC59" s="34" t="str">
        <f t="shared" ref="FC59" si="1486">IF(SUBTOTAL(9,FC60:FC64)&gt;0,SUBTOTAL(9,FC60:FC64),"")</f>
        <v/>
      </c>
      <c r="FD59" s="34" t="str">
        <f t="shared" ref="FD59" si="1487">IF(SUBTOTAL(9,FD60:FD64)&gt;0,SUBTOTAL(9,FD60:FD64),"")</f>
        <v/>
      </c>
      <c r="FE59" s="34" t="str">
        <f t="shared" ref="FE59" si="1488">IF(SUBTOTAL(9,FE60:FE64)&gt;0,SUBTOTAL(9,FE60:FE64),"")</f>
        <v/>
      </c>
      <c r="FF59" s="34" t="str">
        <f t="shared" ref="FF59" si="1489">IF(SUBTOTAL(9,FF60:FF64)&gt;0,SUBTOTAL(9,FF60:FF64),"")</f>
        <v/>
      </c>
      <c r="FG59" s="34" t="str">
        <f t="shared" ref="FG59" si="1490">IF(SUBTOTAL(9,FG60:FG64)&gt;0,SUBTOTAL(9,FG60:FG64),"")</f>
        <v/>
      </c>
      <c r="FH59" s="34" t="str">
        <f t="shared" ref="FH59" si="1491">IF(SUBTOTAL(9,FH60:FH64)&gt;0,SUBTOTAL(9,FH60:FH64),"")</f>
        <v/>
      </c>
      <c r="FI59" s="34" t="str">
        <f t="shared" ref="FI59" si="1492">IF(SUBTOTAL(9,FI60:FI64)&gt;0,SUBTOTAL(9,FI60:FI64),"")</f>
        <v/>
      </c>
      <c r="FJ59" s="34" t="str">
        <f t="shared" ref="FJ59" si="1493">IF(SUBTOTAL(9,FJ60:FJ64)&gt;0,SUBTOTAL(9,FJ60:FJ64),"")</f>
        <v/>
      </c>
      <c r="FK59" s="34" t="str">
        <f t="shared" ref="FK59" si="1494">IF(SUBTOTAL(9,FK60:FK64)&gt;0,SUBTOTAL(9,FK60:FK64),"")</f>
        <v/>
      </c>
      <c r="FL59" s="34" t="str">
        <f t="shared" ref="FL59" si="1495">IF(SUBTOTAL(9,FL60:FL64)&gt;0,SUBTOTAL(9,FL60:FL64),"")</f>
        <v/>
      </c>
      <c r="FM59" s="34" t="str">
        <f t="shared" ref="FM59" si="1496">IF(SUBTOTAL(9,FM60:FM64)&gt;0,SUBTOTAL(9,FM60:FM64),"")</f>
        <v/>
      </c>
      <c r="FN59" s="34" t="str">
        <f t="shared" ref="FN59" si="1497">IF(SUBTOTAL(9,FN60:FN64)&gt;0,SUBTOTAL(9,FN60:FN64),"")</f>
        <v/>
      </c>
      <c r="FO59" s="34" t="str">
        <f t="shared" ref="FO59" si="1498">IF(SUBTOTAL(9,FO60:FO64)&gt;0,SUBTOTAL(9,FO60:FO64),"")</f>
        <v/>
      </c>
      <c r="FP59" s="34" t="str">
        <f t="shared" ref="FP59" si="1499">IF(SUBTOTAL(9,FP60:FP64)&gt;0,SUBTOTAL(9,FP60:FP64),"")</f>
        <v/>
      </c>
      <c r="FQ59" s="92" t="str">
        <f t="shared" ref="FQ59" si="1500">IF(SUBTOTAL(9,FQ60:FQ64)&gt;0,SUBTOTAL(9,FQ60:FQ64),"")</f>
        <v/>
      </c>
      <c r="FR59" s="8"/>
      <c r="FS59" s="9" t="s">
        <v>131</v>
      </c>
      <c r="FT59" s="9" t="str">
        <f t="shared" si="151"/>
        <v/>
      </c>
    </row>
    <row r="60" spans="1:176" s="9" customFormat="1" ht="12" hidden="1" customHeight="1" outlineLevel="1">
      <c r="A60" s="122" t="s">
        <v>4</v>
      </c>
      <c r="B60" s="125" t="s">
        <v>5</v>
      </c>
      <c r="C60" s="124" t="str">
        <f t="shared" si="9"/>
        <v>2 days</v>
      </c>
      <c r="D60" s="13" t="str">
        <f>A40&amp;" "&amp;A59</f>
        <v>2. Quarterly Reporting (QRTs)  2.4 Sign-off</v>
      </c>
      <c r="E60" s="51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6"/>
      <c r="AM60" s="36"/>
      <c r="AN60" s="36"/>
      <c r="AO60" s="36"/>
      <c r="AP60" s="36"/>
      <c r="AQ60" s="36"/>
      <c r="AR60" s="36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5"/>
      <c r="BM60" s="35"/>
      <c r="BN60" s="35"/>
      <c r="BO60" s="35"/>
      <c r="BP60" s="35"/>
      <c r="BQ60" s="35"/>
      <c r="BR60" s="35"/>
      <c r="BS60" s="35"/>
      <c r="BT60" s="35"/>
      <c r="BU60" s="35"/>
      <c r="BV60" s="35"/>
      <c r="BW60" s="35"/>
      <c r="BX60" s="35"/>
      <c r="BY60" s="35"/>
      <c r="BZ60" s="35"/>
      <c r="CA60" s="35"/>
      <c r="CB60" s="35"/>
      <c r="CC60" s="35"/>
      <c r="CD60" s="35"/>
      <c r="CE60" s="35"/>
      <c r="CF60" s="35"/>
      <c r="CG60" s="35"/>
      <c r="CH60" s="35"/>
      <c r="CI60" s="35"/>
      <c r="CJ60" s="35"/>
      <c r="CK60" s="35"/>
      <c r="CL60" s="35"/>
      <c r="CM60" s="35"/>
      <c r="CN60" s="35"/>
      <c r="CO60" s="35"/>
      <c r="CP60" s="35"/>
      <c r="CQ60" s="35"/>
      <c r="CR60" s="35"/>
      <c r="CS60" s="35"/>
      <c r="CT60" s="36"/>
      <c r="CU60" s="35"/>
      <c r="CV60" s="35"/>
      <c r="CW60" s="35"/>
      <c r="CX60" s="35"/>
      <c r="CY60" s="35"/>
      <c r="CZ60" s="36"/>
      <c r="DA60" s="36"/>
      <c r="DB60" s="35"/>
      <c r="DC60" s="35"/>
      <c r="DD60" s="35"/>
      <c r="DE60" s="35"/>
      <c r="DF60" s="35"/>
      <c r="DG60" s="35"/>
      <c r="DH60" s="35"/>
      <c r="DI60" s="35"/>
      <c r="DJ60" s="35"/>
      <c r="DK60" s="35"/>
      <c r="DL60" s="35"/>
      <c r="DM60" s="35"/>
      <c r="DN60" s="35">
        <v>0.5</v>
      </c>
      <c r="DO60" s="35"/>
      <c r="DP60" s="35"/>
      <c r="DQ60" s="35"/>
      <c r="DR60" s="35">
        <v>0.5</v>
      </c>
      <c r="DS60" s="35"/>
      <c r="DT60" s="35"/>
      <c r="DU60" s="35"/>
      <c r="DV60" s="35"/>
      <c r="DW60" s="35"/>
      <c r="DX60" s="35"/>
      <c r="DY60" s="35"/>
      <c r="DZ60" s="36"/>
      <c r="EA60" s="35"/>
      <c r="EB60" s="35"/>
      <c r="EC60" s="35"/>
      <c r="ED60" s="35"/>
      <c r="EE60" s="35"/>
      <c r="EF60" s="35"/>
      <c r="EG60" s="35"/>
      <c r="EH60" s="35"/>
      <c r="EI60" s="35"/>
      <c r="EJ60" s="35"/>
      <c r="EK60" s="35"/>
      <c r="EL60" s="35"/>
      <c r="EM60" s="35"/>
      <c r="EN60" s="35"/>
      <c r="EO60" s="35">
        <v>0.5</v>
      </c>
      <c r="EP60" s="35"/>
      <c r="EQ60" s="35"/>
      <c r="ER60" s="35"/>
      <c r="ES60" s="35"/>
      <c r="ET60" s="35"/>
      <c r="EU60" s="35"/>
      <c r="EV60" s="35"/>
      <c r="EW60" s="35"/>
      <c r="EX60" s="35"/>
      <c r="EY60" s="36"/>
      <c r="EZ60" s="35"/>
      <c r="FA60" s="35"/>
      <c r="FB60" s="35"/>
      <c r="FC60" s="35"/>
      <c r="FD60" s="35"/>
      <c r="FE60" s="35"/>
      <c r="FF60" s="35"/>
      <c r="FG60" s="35"/>
      <c r="FH60" s="35"/>
      <c r="FI60" s="35"/>
      <c r="FJ60" s="35"/>
      <c r="FK60" s="35"/>
      <c r="FL60" s="35"/>
      <c r="FM60" s="35"/>
      <c r="FN60" s="35"/>
      <c r="FO60" s="35"/>
      <c r="FP60" s="35"/>
      <c r="FQ60" s="52"/>
      <c r="FR60" s="8"/>
      <c r="FS60" s="9" t="s">
        <v>13</v>
      </c>
      <c r="FT60" s="9" t="str">
        <f t="shared" si="151"/>
        <v>2. Quarterly Reporting (QRTs)  2.4 Sign-offKerry McConnell</v>
      </c>
    </row>
    <row r="61" spans="1:176" s="9" customFormat="1" ht="12" hidden="1" customHeight="1" outlineLevel="1">
      <c r="A61" s="122" t="s">
        <v>4</v>
      </c>
      <c r="B61" s="125" t="s">
        <v>6</v>
      </c>
      <c r="C61" s="124" t="str">
        <f t="shared" si="9"/>
        <v>2 days</v>
      </c>
      <c r="D61" s="13" t="str">
        <f>A40&amp;" "&amp;A59</f>
        <v>2. Quarterly Reporting (QRTs)  2.4 Sign-off</v>
      </c>
      <c r="E61" s="51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6"/>
      <c r="AM61" s="36"/>
      <c r="AN61" s="36"/>
      <c r="AO61" s="36"/>
      <c r="AP61" s="36"/>
      <c r="AQ61" s="36"/>
      <c r="AR61" s="36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5"/>
      <c r="BM61" s="35"/>
      <c r="BN61" s="35"/>
      <c r="BO61" s="35"/>
      <c r="BP61" s="35"/>
      <c r="BQ61" s="35"/>
      <c r="BR61" s="35"/>
      <c r="BS61" s="35"/>
      <c r="BT61" s="35"/>
      <c r="BU61" s="35"/>
      <c r="BV61" s="35"/>
      <c r="BW61" s="35"/>
      <c r="BX61" s="35"/>
      <c r="BY61" s="35"/>
      <c r="BZ61" s="35"/>
      <c r="CA61" s="35"/>
      <c r="CB61" s="35"/>
      <c r="CC61" s="35"/>
      <c r="CD61" s="35"/>
      <c r="CE61" s="35"/>
      <c r="CF61" s="35"/>
      <c r="CG61" s="35"/>
      <c r="CH61" s="35"/>
      <c r="CI61" s="35"/>
      <c r="CJ61" s="35"/>
      <c r="CK61" s="35"/>
      <c r="CL61" s="35"/>
      <c r="CM61" s="35"/>
      <c r="CN61" s="35"/>
      <c r="CO61" s="35"/>
      <c r="CP61" s="35"/>
      <c r="CQ61" s="35"/>
      <c r="CR61" s="35"/>
      <c r="CS61" s="35"/>
      <c r="CT61" s="36"/>
      <c r="CU61" s="35"/>
      <c r="CV61" s="35"/>
      <c r="CW61" s="35"/>
      <c r="CX61" s="35"/>
      <c r="CY61" s="35"/>
      <c r="CZ61" s="36"/>
      <c r="DA61" s="36"/>
      <c r="DB61" s="35"/>
      <c r="DC61" s="35"/>
      <c r="DD61" s="35"/>
      <c r="DE61" s="35"/>
      <c r="DF61" s="35"/>
      <c r="DG61" s="35"/>
      <c r="DH61" s="35"/>
      <c r="DI61" s="35"/>
      <c r="DJ61" s="35"/>
      <c r="DK61" s="35"/>
      <c r="DL61" s="35"/>
      <c r="DM61" s="35"/>
      <c r="DN61" s="35">
        <v>0.5</v>
      </c>
      <c r="DO61" s="35"/>
      <c r="DP61" s="35"/>
      <c r="DQ61" s="35"/>
      <c r="DR61" s="35">
        <v>0.5</v>
      </c>
      <c r="DS61" s="35"/>
      <c r="DT61" s="35"/>
      <c r="DU61" s="35"/>
      <c r="DV61" s="35"/>
      <c r="DW61" s="35"/>
      <c r="DX61" s="35"/>
      <c r="DY61" s="35"/>
      <c r="DZ61" s="36"/>
      <c r="EA61" s="35"/>
      <c r="EB61" s="35"/>
      <c r="EC61" s="35"/>
      <c r="ED61" s="35"/>
      <c r="EE61" s="35"/>
      <c r="EF61" s="35"/>
      <c r="EG61" s="35"/>
      <c r="EH61" s="35"/>
      <c r="EI61" s="35"/>
      <c r="EJ61" s="35"/>
      <c r="EK61" s="35"/>
      <c r="EL61" s="35"/>
      <c r="EM61" s="35"/>
      <c r="EN61" s="35"/>
      <c r="EO61" s="35">
        <v>0.5</v>
      </c>
      <c r="EP61" s="35"/>
      <c r="EQ61" s="35"/>
      <c r="ER61" s="35"/>
      <c r="ES61" s="35"/>
      <c r="ET61" s="35"/>
      <c r="EU61" s="35"/>
      <c r="EV61" s="35"/>
      <c r="EW61" s="35"/>
      <c r="EX61" s="35"/>
      <c r="EY61" s="36"/>
      <c r="EZ61" s="35"/>
      <c r="FA61" s="35"/>
      <c r="FB61" s="35"/>
      <c r="FC61" s="35"/>
      <c r="FD61" s="35"/>
      <c r="FE61" s="35"/>
      <c r="FF61" s="35"/>
      <c r="FG61" s="35"/>
      <c r="FH61" s="35"/>
      <c r="FI61" s="35"/>
      <c r="FJ61" s="35"/>
      <c r="FK61" s="35"/>
      <c r="FL61" s="35"/>
      <c r="FM61" s="35"/>
      <c r="FN61" s="35"/>
      <c r="FO61" s="35"/>
      <c r="FP61" s="35"/>
      <c r="FQ61" s="52"/>
      <c r="FR61" s="8"/>
      <c r="FS61" s="9" t="s">
        <v>13</v>
      </c>
      <c r="FT61" s="9" t="str">
        <f t="shared" si="151"/>
        <v>2. Quarterly Reporting (QRTs)  2.4 Sign-offPeter Sherry</v>
      </c>
    </row>
    <row r="62" spans="1:176" s="9" customFormat="1" ht="12" hidden="1" customHeight="1" outlineLevel="1">
      <c r="A62" s="125" t="s">
        <v>50</v>
      </c>
      <c r="B62" s="125"/>
      <c r="C62" s="124" t="str">
        <f t="shared" si="9"/>
        <v>0 days</v>
      </c>
      <c r="D62" s="13" t="str">
        <f>A40&amp;" "&amp;A59</f>
        <v>2. Quarterly Reporting (QRTs)  2.4 Sign-off</v>
      </c>
      <c r="E62" s="51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6"/>
      <c r="AM62" s="36"/>
      <c r="AN62" s="36"/>
      <c r="AO62" s="36"/>
      <c r="AP62" s="36"/>
      <c r="AQ62" s="36"/>
      <c r="AR62" s="36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35"/>
      <c r="BU62" s="35"/>
      <c r="BV62" s="35"/>
      <c r="BW62" s="35"/>
      <c r="BX62" s="35"/>
      <c r="BY62" s="35"/>
      <c r="BZ62" s="35"/>
      <c r="CA62" s="35"/>
      <c r="CB62" s="35"/>
      <c r="CC62" s="35"/>
      <c r="CD62" s="35"/>
      <c r="CE62" s="35"/>
      <c r="CF62" s="35"/>
      <c r="CG62" s="35"/>
      <c r="CH62" s="35"/>
      <c r="CI62" s="35"/>
      <c r="CJ62" s="35"/>
      <c r="CK62" s="35"/>
      <c r="CL62" s="35"/>
      <c r="CM62" s="35"/>
      <c r="CN62" s="35"/>
      <c r="CO62" s="35"/>
      <c r="CP62" s="35"/>
      <c r="CQ62" s="35"/>
      <c r="CR62" s="35"/>
      <c r="CS62" s="35"/>
      <c r="CT62" s="36"/>
      <c r="CU62" s="35"/>
      <c r="CV62" s="35"/>
      <c r="CW62" s="35"/>
      <c r="CX62" s="35"/>
      <c r="CY62" s="35"/>
      <c r="CZ62" s="36"/>
      <c r="DA62" s="36"/>
      <c r="DB62" s="35"/>
      <c r="DC62" s="35"/>
      <c r="DD62" s="35"/>
      <c r="DE62" s="35"/>
      <c r="DF62" s="35"/>
      <c r="DG62" s="35"/>
      <c r="DH62" s="35"/>
      <c r="DI62" s="35"/>
      <c r="DJ62" s="35"/>
      <c r="DK62" s="35"/>
      <c r="DL62" s="35"/>
      <c r="DM62" s="35"/>
      <c r="DN62" s="35"/>
      <c r="DO62" s="35"/>
      <c r="DP62" s="35"/>
      <c r="DQ62" s="35"/>
      <c r="DR62" s="35"/>
      <c r="DS62" s="35"/>
      <c r="DT62" s="35"/>
      <c r="DU62" s="35"/>
      <c r="DV62" s="35"/>
      <c r="DW62" s="35"/>
      <c r="DX62" s="35"/>
      <c r="DY62" s="35"/>
      <c r="DZ62" s="36"/>
      <c r="EA62" s="35"/>
      <c r="EB62" s="35"/>
      <c r="EC62" s="35"/>
      <c r="ED62" s="35"/>
      <c r="EE62" s="35"/>
      <c r="EF62" s="35"/>
      <c r="EG62" s="35"/>
      <c r="EH62" s="35"/>
      <c r="EI62" s="35"/>
      <c r="EJ62" s="35"/>
      <c r="EK62" s="35"/>
      <c r="EL62" s="35"/>
      <c r="EM62" s="35"/>
      <c r="EN62" s="35"/>
      <c r="EO62" s="35"/>
      <c r="EP62" s="35"/>
      <c r="EQ62" s="35"/>
      <c r="ER62" s="35"/>
      <c r="ES62" s="35"/>
      <c r="ET62" s="35"/>
      <c r="EU62" s="35"/>
      <c r="EV62" s="35"/>
      <c r="EW62" s="35"/>
      <c r="EX62" s="35"/>
      <c r="EY62" s="36"/>
      <c r="EZ62" s="35"/>
      <c r="FA62" s="35"/>
      <c r="FB62" s="35"/>
      <c r="FC62" s="35"/>
      <c r="FD62" s="35"/>
      <c r="FE62" s="35"/>
      <c r="FF62" s="35"/>
      <c r="FG62" s="35"/>
      <c r="FH62" s="35"/>
      <c r="FI62" s="35"/>
      <c r="FJ62" s="35"/>
      <c r="FK62" s="35"/>
      <c r="FL62" s="35"/>
      <c r="FM62" s="35"/>
      <c r="FN62" s="35"/>
      <c r="FO62" s="35"/>
      <c r="FP62" s="35"/>
      <c r="FQ62" s="52"/>
      <c r="FR62" s="8"/>
      <c r="FS62" s="9" t="s">
        <v>13</v>
      </c>
      <c r="FT62" s="9" t="str">
        <f t="shared" si="151"/>
        <v>2. Quarterly Reporting (QRTs)  2.4 Sign-off</v>
      </c>
    </row>
    <row r="63" spans="1:176" s="9" customFormat="1" ht="12" hidden="1" customHeight="1" outlineLevel="1">
      <c r="A63" s="125" t="s">
        <v>50</v>
      </c>
      <c r="B63" s="125"/>
      <c r="C63" s="124" t="str">
        <f t="shared" si="9"/>
        <v>0 days</v>
      </c>
      <c r="D63" s="13" t="str">
        <f>A40&amp;" "&amp;A59</f>
        <v>2. Quarterly Reporting (QRTs)  2.4 Sign-off</v>
      </c>
      <c r="E63" s="51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35"/>
      <c r="AK63" s="35"/>
      <c r="AL63" s="36"/>
      <c r="AM63" s="36"/>
      <c r="AN63" s="36"/>
      <c r="AO63" s="36"/>
      <c r="AP63" s="36"/>
      <c r="AQ63" s="36"/>
      <c r="AR63" s="36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5"/>
      <c r="BM63" s="35"/>
      <c r="BN63" s="35"/>
      <c r="BO63" s="35"/>
      <c r="BP63" s="35"/>
      <c r="BQ63" s="35"/>
      <c r="BR63" s="35"/>
      <c r="BS63" s="35"/>
      <c r="BT63" s="35"/>
      <c r="BU63" s="35"/>
      <c r="BV63" s="35"/>
      <c r="BW63" s="35"/>
      <c r="BX63" s="35"/>
      <c r="BY63" s="35"/>
      <c r="BZ63" s="35"/>
      <c r="CA63" s="35"/>
      <c r="CB63" s="35"/>
      <c r="CC63" s="35"/>
      <c r="CD63" s="35"/>
      <c r="CE63" s="35"/>
      <c r="CF63" s="35"/>
      <c r="CG63" s="35"/>
      <c r="CH63" s="35"/>
      <c r="CI63" s="35"/>
      <c r="CJ63" s="35"/>
      <c r="CK63" s="35"/>
      <c r="CL63" s="35"/>
      <c r="CM63" s="35"/>
      <c r="CN63" s="35"/>
      <c r="CO63" s="35"/>
      <c r="CP63" s="35"/>
      <c r="CQ63" s="35"/>
      <c r="CR63" s="35"/>
      <c r="CS63" s="35"/>
      <c r="CT63" s="36"/>
      <c r="CU63" s="35"/>
      <c r="CV63" s="35"/>
      <c r="CW63" s="35"/>
      <c r="CX63" s="35"/>
      <c r="CY63" s="35"/>
      <c r="CZ63" s="36"/>
      <c r="DA63" s="36"/>
      <c r="DB63" s="35"/>
      <c r="DC63" s="35"/>
      <c r="DD63" s="35"/>
      <c r="DE63" s="35"/>
      <c r="DF63" s="35"/>
      <c r="DG63" s="35"/>
      <c r="DH63" s="35"/>
      <c r="DI63" s="35"/>
      <c r="DJ63" s="35"/>
      <c r="DK63" s="35"/>
      <c r="DL63" s="35"/>
      <c r="DM63" s="35"/>
      <c r="DN63" s="35"/>
      <c r="DO63" s="35"/>
      <c r="DP63" s="35"/>
      <c r="DQ63" s="35"/>
      <c r="DR63" s="35"/>
      <c r="DS63" s="35"/>
      <c r="DT63" s="35"/>
      <c r="DU63" s="35"/>
      <c r="DV63" s="35"/>
      <c r="DW63" s="35"/>
      <c r="DX63" s="35"/>
      <c r="DY63" s="35"/>
      <c r="DZ63" s="36"/>
      <c r="EA63" s="35"/>
      <c r="EB63" s="35"/>
      <c r="EC63" s="35"/>
      <c r="ED63" s="35"/>
      <c r="EE63" s="35"/>
      <c r="EF63" s="35"/>
      <c r="EG63" s="35"/>
      <c r="EH63" s="35"/>
      <c r="EI63" s="35"/>
      <c r="EJ63" s="35"/>
      <c r="EK63" s="35"/>
      <c r="EL63" s="35"/>
      <c r="EM63" s="35"/>
      <c r="EN63" s="35"/>
      <c r="EO63" s="35"/>
      <c r="EP63" s="35"/>
      <c r="EQ63" s="35"/>
      <c r="ER63" s="35"/>
      <c r="ES63" s="35"/>
      <c r="ET63" s="35"/>
      <c r="EU63" s="35"/>
      <c r="EV63" s="35"/>
      <c r="EW63" s="35"/>
      <c r="EX63" s="35"/>
      <c r="EY63" s="36"/>
      <c r="EZ63" s="35"/>
      <c r="FA63" s="35"/>
      <c r="FB63" s="35"/>
      <c r="FC63" s="35"/>
      <c r="FD63" s="35"/>
      <c r="FE63" s="35"/>
      <c r="FF63" s="35"/>
      <c r="FG63" s="35"/>
      <c r="FH63" s="35"/>
      <c r="FI63" s="35"/>
      <c r="FJ63" s="35"/>
      <c r="FK63" s="35"/>
      <c r="FL63" s="35"/>
      <c r="FM63" s="35"/>
      <c r="FN63" s="35"/>
      <c r="FO63" s="35"/>
      <c r="FP63" s="35"/>
      <c r="FQ63" s="52"/>
      <c r="FR63" s="8"/>
      <c r="FS63" s="9" t="s">
        <v>13</v>
      </c>
      <c r="FT63" s="9" t="str">
        <f t="shared" si="151"/>
        <v>2. Quarterly Reporting (QRTs)  2.4 Sign-off</v>
      </c>
    </row>
    <row r="64" spans="1:176" s="9" customFormat="1" ht="12" hidden="1" customHeight="1" outlineLevel="1">
      <c r="A64" s="126" t="s">
        <v>50</v>
      </c>
      <c r="B64" s="125"/>
      <c r="C64" s="124" t="str">
        <f t="shared" si="9"/>
        <v>0 days</v>
      </c>
      <c r="D64" s="13" t="str">
        <f>A40&amp;" "&amp;A59</f>
        <v>2. Quarterly Reporting (QRTs)  2.4 Sign-off</v>
      </c>
      <c r="E64" s="51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35"/>
      <c r="AK64" s="35"/>
      <c r="AL64" s="36"/>
      <c r="AM64" s="36"/>
      <c r="AN64" s="36"/>
      <c r="AO64" s="36"/>
      <c r="AP64" s="36"/>
      <c r="AQ64" s="36"/>
      <c r="AR64" s="36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5"/>
      <c r="BM64" s="35"/>
      <c r="BN64" s="35"/>
      <c r="BO64" s="35"/>
      <c r="BP64" s="35"/>
      <c r="BQ64" s="35"/>
      <c r="BR64" s="35"/>
      <c r="BS64" s="35"/>
      <c r="BT64" s="35"/>
      <c r="BU64" s="35"/>
      <c r="BV64" s="35"/>
      <c r="BW64" s="35"/>
      <c r="BX64" s="35"/>
      <c r="BY64" s="35"/>
      <c r="BZ64" s="35"/>
      <c r="CA64" s="35"/>
      <c r="CB64" s="35"/>
      <c r="CC64" s="35"/>
      <c r="CD64" s="35"/>
      <c r="CE64" s="35"/>
      <c r="CF64" s="35"/>
      <c r="CG64" s="35"/>
      <c r="CH64" s="35"/>
      <c r="CI64" s="35"/>
      <c r="CJ64" s="35"/>
      <c r="CK64" s="35"/>
      <c r="CL64" s="35"/>
      <c r="CM64" s="35"/>
      <c r="CN64" s="35"/>
      <c r="CO64" s="35"/>
      <c r="CP64" s="35"/>
      <c r="CQ64" s="35"/>
      <c r="CR64" s="35"/>
      <c r="CS64" s="35"/>
      <c r="CT64" s="36"/>
      <c r="CU64" s="35"/>
      <c r="CV64" s="35"/>
      <c r="CW64" s="35"/>
      <c r="CX64" s="35"/>
      <c r="CY64" s="35"/>
      <c r="CZ64" s="36"/>
      <c r="DA64" s="36"/>
      <c r="DB64" s="35"/>
      <c r="DC64" s="35"/>
      <c r="DD64" s="35"/>
      <c r="DE64" s="35"/>
      <c r="DF64" s="35"/>
      <c r="DG64" s="35"/>
      <c r="DH64" s="35"/>
      <c r="DI64" s="35"/>
      <c r="DJ64" s="35"/>
      <c r="DK64" s="35"/>
      <c r="DL64" s="35"/>
      <c r="DM64" s="35"/>
      <c r="DN64" s="35"/>
      <c r="DO64" s="35"/>
      <c r="DP64" s="35"/>
      <c r="DQ64" s="35"/>
      <c r="DR64" s="35"/>
      <c r="DS64" s="35"/>
      <c r="DT64" s="35"/>
      <c r="DU64" s="35"/>
      <c r="DV64" s="35"/>
      <c r="DW64" s="35"/>
      <c r="DX64" s="35"/>
      <c r="DY64" s="35"/>
      <c r="DZ64" s="36"/>
      <c r="EA64" s="35"/>
      <c r="EB64" s="35"/>
      <c r="EC64" s="35"/>
      <c r="ED64" s="35"/>
      <c r="EE64" s="35"/>
      <c r="EF64" s="35"/>
      <c r="EG64" s="35"/>
      <c r="EH64" s="35"/>
      <c r="EI64" s="35"/>
      <c r="EJ64" s="35"/>
      <c r="EK64" s="35"/>
      <c r="EL64" s="35"/>
      <c r="EM64" s="35"/>
      <c r="EN64" s="35"/>
      <c r="EO64" s="35"/>
      <c r="EP64" s="35"/>
      <c r="EQ64" s="35"/>
      <c r="ER64" s="35"/>
      <c r="ES64" s="35"/>
      <c r="ET64" s="35"/>
      <c r="EU64" s="35"/>
      <c r="EV64" s="35"/>
      <c r="EW64" s="35"/>
      <c r="EX64" s="35"/>
      <c r="EY64" s="36"/>
      <c r="EZ64" s="35"/>
      <c r="FA64" s="35"/>
      <c r="FB64" s="35"/>
      <c r="FC64" s="35"/>
      <c r="FD64" s="35"/>
      <c r="FE64" s="35"/>
      <c r="FF64" s="35"/>
      <c r="FG64" s="35"/>
      <c r="FH64" s="35"/>
      <c r="FI64" s="35"/>
      <c r="FJ64" s="35"/>
      <c r="FK64" s="35"/>
      <c r="FL64" s="35"/>
      <c r="FM64" s="35"/>
      <c r="FN64" s="35"/>
      <c r="FO64" s="35"/>
      <c r="FP64" s="35"/>
      <c r="FQ64" s="52"/>
      <c r="FR64" s="8"/>
      <c r="FS64" s="9" t="s">
        <v>13</v>
      </c>
      <c r="FT64" s="9" t="str">
        <f t="shared" si="151"/>
        <v>2. Quarterly Reporting (QRTs)  2.4 Sign-off</v>
      </c>
    </row>
    <row r="65" spans="1:176" s="9" customFormat="1" ht="12" customHeight="1" collapsed="1">
      <c r="A65" s="119" t="s">
        <v>62</v>
      </c>
      <c r="B65" s="127"/>
      <c r="C65" s="121" t="str">
        <f t="shared" si="9"/>
        <v>2 days</v>
      </c>
      <c r="D65" s="27"/>
      <c r="E65" s="91" t="str">
        <f t="shared" ref="E65" si="1501">IF(SUBTOTAL(9,E66:E70)&gt;0,SUBTOTAL(9,E66:E70),"")</f>
        <v/>
      </c>
      <c r="F65" s="34" t="str">
        <f t="shared" ref="F65" si="1502">IF(SUBTOTAL(9,F66:F70)&gt;0,SUBTOTAL(9,F66:F70),"")</f>
        <v/>
      </c>
      <c r="G65" s="34" t="str">
        <f t="shared" ref="G65" si="1503">IF(SUBTOTAL(9,G66:G70)&gt;0,SUBTOTAL(9,G66:G70),"")</f>
        <v/>
      </c>
      <c r="H65" s="34" t="str">
        <f t="shared" ref="H65" si="1504">IF(SUBTOTAL(9,H66:H70)&gt;0,SUBTOTAL(9,H66:H70),"")</f>
        <v/>
      </c>
      <c r="I65" s="34" t="str">
        <f t="shared" ref="I65" si="1505">IF(SUBTOTAL(9,I66:I70)&gt;0,SUBTOTAL(9,I66:I70),"")</f>
        <v/>
      </c>
      <c r="J65" s="34" t="str">
        <f t="shared" ref="J65" si="1506">IF(SUBTOTAL(9,J66:J70)&gt;0,SUBTOTAL(9,J66:J70),"")</f>
        <v/>
      </c>
      <c r="K65" s="34" t="str">
        <f t="shared" ref="K65" si="1507">IF(SUBTOTAL(9,K66:K70)&gt;0,SUBTOTAL(9,K66:K70),"")</f>
        <v/>
      </c>
      <c r="L65" s="34" t="str">
        <f t="shared" ref="L65" si="1508">IF(SUBTOTAL(9,L66:L70)&gt;0,SUBTOTAL(9,L66:L70),"")</f>
        <v/>
      </c>
      <c r="M65" s="34" t="str">
        <f t="shared" ref="M65" si="1509">IF(SUBTOTAL(9,M66:M70)&gt;0,SUBTOTAL(9,M66:M70),"")</f>
        <v/>
      </c>
      <c r="N65" s="34" t="str">
        <f t="shared" ref="N65" si="1510">IF(SUBTOTAL(9,N66:N70)&gt;0,SUBTOTAL(9,N66:N70),"")</f>
        <v/>
      </c>
      <c r="O65" s="34" t="str">
        <f t="shared" ref="O65" si="1511">IF(SUBTOTAL(9,O66:O70)&gt;0,SUBTOTAL(9,O66:O70),"")</f>
        <v/>
      </c>
      <c r="P65" s="34" t="str">
        <f t="shared" ref="P65" si="1512">IF(SUBTOTAL(9,P66:P70)&gt;0,SUBTOTAL(9,P66:P70),"")</f>
        <v/>
      </c>
      <c r="Q65" s="34" t="str">
        <f t="shared" ref="Q65" si="1513">IF(SUBTOTAL(9,Q66:Q70)&gt;0,SUBTOTAL(9,Q66:Q70),"")</f>
        <v/>
      </c>
      <c r="R65" s="34" t="str">
        <f t="shared" ref="R65" si="1514">IF(SUBTOTAL(9,R66:R70)&gt;0,SUBTOTAL(9,R66:R70),"")</f>
        <v/>
      </c>
      <c r="S65" s="34" t="str">
        <f t="shared" ref="S65" si="1515">IF(SUBTOTAL(9,S66:S70)&gt;0,SUBTOTAL(9,S66:S70),"")</f>
        <v/>
      </c>
      <c r="T65" s="34" t="str">
        <f t="shared" ref="T65" si="1516">IF(SUBTOTAL(9,T66:T70)&gt;0,SUBTOTAL(9,T66:T70),"")</f>
        <v/>
      </c>
      <c r="U65" s="34" t="str">
        <f t="shared" ref="U65" si="1517">IF(SUBTOTAL(9,U66:U70)&gt;0,SUBTOTAL(9,U66:U70),"")</f>
        <v/>
      </c>
      <c r="V65" s="34" t="str">
        <f t="shared" ref="V65" si="1518">IF(SUBTOTAL(9,V66:V70)&gt;0,SUBTOTAL(9,V66:V70),"")</f>
        <v/>
      </c>
      <c r="W65" s="34" t="str">
        <f t="shared" ref="W65" si="1519">IF(SUBTOTAL(9,W66:W70)&gt;0,SUBTOTAL(9,W66:W70),"")</f>
        <v/>
      </c>
      <c r="X65" s="34" t="str">
        <f t="shared" ref="X65" si="1520">IF(SUBTOTAL(9,X66:X70)&gt;0,SUBTOTAL(9,X66:X70),"")</f>
        <v/>
      </c>
      <c r="Y65" s="34" t="str">
        <f t="shared" ref="Y65" si="1521">IF(SUBTOTAL(9,Y66:Y70)&gt;0,SUBTOTAL(9,Y66:Y70),"")</f>
        <v/>
      </c>
      <c r="Z65" s="34" t="str">
        <f t="shared" ref="Z65" si="1522">IF(SUBTOTAL(9,Z66:Z70)&gt;0,SUBTOTAL(9,Z66:Z70),"")</f>
        <v/>
      </c>
      <c r="AA65" s="34" t="str">
        <f t="shared" ref="AA65" si="1523">IF(SUBTOTAL(9,AA66:AA70)&gt;0,SUBTOTAL(9,AA66:AA70),"")</f>
        <v/>
      </c>
      <c r="AB65" s="34" t="str">
        <f t="shared" ref="AB65" si="1524">IF(SUBTOTAL(9,AB66:AB70)&gt;0,SUBTOTAL(9,AB66:AB70),"")</f>
        <v/>
      </c>
      <c r="AC65" s="34" t="str">
        <f t="shared" ref="AC65" si="1525">IF(SUBTOTAL(9,AC66:AC70)&gt;0,SUBTOTAL(9,AC66:AC70),"")</f>
        <v/>
      </c>
      <c r="AD65" s="34" t="str">
        <f t="shared" ref="AD65" si="1526">IF(SUBTOTAL(9,AD66:AD70)&gt;0,SUBTOTAL(9,AD66:AD70),"")</f>
        <v/>
      </c>
      <c r="AE65" s="34" t="str">
        <f t="shared" ref="AE65" si="1527">IF(SUBTOTAL(9,AE66:AE70)&gt;0,SUBTOTAL(9,AE66:AE70),"")</f>
        <v/>
      </c>
      <c r="AF65" s="34" t="str">
        <f t="shared" ref="AF65" si="1528">IF(SUBTOTAL(9,AF66:AF70)&gt;0,SUBTOTAL(9,AF66:AF70),"")</f>
        <v/>
      </c>
      <c r="AG65" s="34" t="str">
        <f t="shared" ref="AG65" si="1529">IF(SUBTOTAL(9,AG66:AG70)&gt;0,SUBTOTAL(9,AG66:AG70),"")</f>
        <v/>
      </c>
      <c r="AH65" s="34" t="str">
        <f t="shared" ref="AH65" si="1530">IF(SUBTOTAL(9,AH66:AH70)&gt;0,SUBTOTAL(9,AH66:AH70),"")</f>
        <v/>
      </c>
      <c r="AI65" s="34" t="str">
        <f t="shared" ref="AI65" si="1531">IF(SUBTOTAL(9,AI66:AI70)&gt;0,SUBTOTAL(9,AI66:AI70),"")</f>
        <v/>
      </c>
      <c r="AJ65" s="34" t="str">
        <f t="shared" ref="AJ65" si="1532">IF(SUBTOTAL(9,AJ66:AJ70)&gt;0,SUBTOTAL(9,AJ66:AJ70),"")</f>
        <v/>
      </c>
      <c r="AK65" s="34" t="str">
        <f t="shared" ref="AK65" si="1533">IF(SUBTOTAL(9,AK66:AK70)&gt;0,SUBTOTAL(9,AK66:AK70),"")</f>
        <v/>
      </c>
      <c r="AL65" s="33" t="str">
        <f t="shared" ref="AL65" si="1534">IF(SUBTOTAL(9,AL66:AL70)&gt;0,SUBTOTAL(9,AL66:AL70),"")</f>
        <v/>
      </c>
      <c r="AM65" s="33" t="str">
        <f t="shared" ref="AM65" si="1535">IF(SUBTOTAL(9,AM66:AM70)&gt;0,SUBTOTAL(9,AM66:AM70),"")</f>
        <v/>
      </c>
      <c r="AN65" s="33" t="str">
        <f t="shared" ref="AN65" si="1536">IF(SUBTOTAL(9,AN66:AN70)&gt;0,SUBTOTAL(9,AN66:AN70),"")</f>
        <v/>
      </c>
      <c r="AO65" s="33" t="str">
        <f t="shared" ref="AO65" si="1537">IF(SUBTOTAL(9,AO66:AO70)&gt;0,SUBTOTAL(9,AO66:AO70),"")</f>
        <v/>
      </c>
      <c r="AP65" s="33" t="str">
        <f t="shared" ref="AP65" si="1538">IF(SUBTOTAL(9,AP66:AP70)&gt;0,SUBTOTAL(9,AP66:AP70),"")</f>
        <v/>
      </c>
      <c r="AQ65" s="33" t="str">
        <f t="shared" ref="AQ65" si="1539">IF(SUBTOTAL(9,AQ66:AQ70)&gt;0,SUBTOTAL(9,AQ66:AQ70),"")</f>
        <v/>
      </c>
      <c r="AR65" s="33" t="str">
        <f t="shared" ref="AR65" si="1540">IF(SUBTOTAL(9,AR66:AR70)&gt;0,SUBTOTAL(9,AR66:AR70),"")</f>
        <v/>
      </c>
      <c r="AS65" s="34" t="str">
        <f t="shared" ref="AS65" si="1541">IF(SUBTOTAL(9,AS66:AS70)&gt;0,SUBTOTAL(9,AS66:AS70),"")</f>
        <v/>
      </c>
      <c r="AT65" s="34" t="str">
        <f t="shared" ref="AT65" si="1542">IF(SUBTOTAL(9,AT66:AT70)&gt;0,SUBTOTAL(9,AT66:AT70),"")</f>
        <v/>
      </c>
      <c r="AU65" s="34" t="str">
        <f t="shared" ref="AU65" si="1543">IF(SUBTOTAL(9,AU66:AU70)&gt;0,SUBTOTAL(9,AU66:AU70),"")</f>
        <v/>
      </c>
      <c r="AV65" s="34" t="str">
        <f t="shared" ref="AV65" si="1544">IF(SUBTOTAL(9,AV66:AV70)&gt;0,SUBTOTAL(9,AV66:AV70),"")</f>
        <v/>
      </c>
      <c r="AW65" s="34" t="str">
        <f t="shared" ref="AW65" si="1545">IF(SUBTOTAL(9,AW66:AW70)&gt;0,SUBTOTAL(9,AW66:AW70),"")</f>
        <v/>
      </c>
      <c r="AX65" s="34" t="str">
        <f t="shared" ref="AX65" si="1546">IF(SUBTOTAL(9,AX66:AX70)&gt;0,SUBTOTAL(9,AX66:AX70),"")</f>
        <v/>
      </c>
      <c r="AY65" s="34" t="str">
        <f t="shared" ref="AY65" si="1547">IF(SUBTOTAL(9,AY66:AY70)&gt;0,SUBTOTAL(9,AY66:AY70),"")</f>
        <v/>
      </c>
      <c r="AZ65" s="34" t="str">
        <f t="shared" ref="AZ65" si="1548">IF(SUBTOTAL(9,AZ66:AZ70)&gt;0,SUBTOTAL(9,AZ66:AZ70),"")</f>
        <v/>
      </c>
      <c r="BA65" s="34" t="str">
        <f t="shared" ref="BA65" si="1549">IF(SUBTOTAL(9,BA66:BA70)&gt;0,SUBTOTAL(9,BA66:BA70),"")</f>
        <v/>
      </c>
      <c r="BB65" s="34" t="str">
        <f t="shared" ref="BB65" si="1550">IF(SUBTOTAL(9,BB66:BB70)&gt;0,SUBTOTAL(9,BB66:BB70),"")</f>
        <v/>
      </c>
      <c r="BC65" s="34" t="str">
        <f t="shared" ref="BC65" si="1551">IF(SUBTOTAL(9,BC66:BC70)&gt;0,SUBTOTAL(9,BC66:BC70),"")</f>
        <v/>
      </c>
      <c r="BD65" s="34" t="str">
        <f t="shared" ref="BD65" si="1552">IF(SUBTOTAL(9,BD66:BD70)&gt;0,SUBTOTAL(9,BD66:BD70),"")</f>
        <v/>
      </c>
      <c r="BE65" s="34" t="str">
        <f t="shared" ref="BE65" si="1553">IF(SUBTOTAL(9,BE66:BE70)&gt;0,SUBTOTAL(9,BE66:BE70),"")</f>
        <v/>
      </c>
      <c r="BF65" s="34" t="str">
        <f t="shared" ref="BF65" si="1554">IF(SUBTOTAL(9,BF66:BF70)&gt;0,SUBTOTAL(9,BF66:BF70),"")</f>
        <v/>
      </c>
      <c r="BG65" s="34" t="str">
        <f t="shared" ref="BG65" si="1555">IF(SUBTOTAL(9,BG66:BG70)&gt;0,SUBTOTAL(9,BG66:BG70),"")</f>
        <v/>
      </c>
      <c r="BH65" s="34" t="str">
        <f t="shared" ref="BH65" si="1556">IF(SUBTOTAL(9,BH66:BH70)&gt;0,SUBTOTAL(9,BH66:BH70),"")</f>
        <v/>
      </c>
      <c r="BI65" s="34" t="str">
        <f t="shared" ref="BI65" si="1557">IF(SUBTOTAL(9,BI66:BI70)&gt;0,SUBTOTAL(9,BI66:BI70),"")</f>
        <v/>
      </c>
      <c r="BJ65" s="34" t="str">
        <f t="shared" ref="BJ65" si="1558">IF(SUBTOTAL(9,BJ66:BJ70)&gt;0,SUBTOTAL(9,BJ66:BJ70),"")</f>
        <v/>
      </c>
      <c r="BK65" s="34" t="str">
        <f t="shared" ref="BK65" si="1559">IF(SUBTOTAL(9,BK66:BK70)&gt;0,SUBTOTAL(9,BK66:BK70),"")</f>
        <v/>
      </c>
      <c r="BL65" s="34" t="str">
        <f t="shared" ref="BL65" si="1560">IF(SUBTOTAL(9,BL66:BL70)&gt;0,SUBTOTAL(9,BL66:BL70),"")</f>
        <v/>
      </c>
      <c r="BM65" s="34" t="str">
        <f t="shared" ref="BM65" si="1561">IF(SUBTOTAL(9,BM66:BM70)&gt;0,SUBTOTAL(9,BM66:BM70),"")</f>
        <v/>
      </c>
      <c r="BN65" s="34" t="str">
        <f t="shared" ref="BN65" si="1562">IF(SUBTOTAL(9,BN66:BN70)&gt;0,SUBTOTAL(9,BN66:BN70),"")</f>
        <v/>
      </c>
      <c r="BO65" s="34" t="str">
        <f t="shared" ref="BO65" si="1563">IF(SUBTOTAL(9,BO66:BO70)&gt;0,SUBTOTAL(9,BO66:BO70),"")</f>
        <v/>
      </c>
      <c r="BP65" s="34" t="str">
        <f t="shared" ref="BP65" si="1564">IF(SUBTOTAL(9,BP66:BP70)&gt;0,SUBTOTAL(9,BP66:BP70),"")</f>
        <v/>
      </c>
      <c r="BQ65" s="34" t="str">
        <f t="shared" ref="BQ65" si="1565">IF(SUBTOTAL(9,BQ66:BQ70)&gt;0,SUBTOTAL(9,BQ66:BQ70),"")</f>
        <v/>
      </c>
      <c r="BR65" s="34" t="str">
        <f t="shared" ref="BR65" si="1566">IF(SUBTOTAL(9,BR66:BR70)&gt;0,SUBTOTAL(9,BR66:BR70),"")</f>
        <v/>
      </c>
      <c r="BS65" s="34" t="str">
        <f t="shared" ref="BS65" si="1567">IF(SUBTOTAL(9,BS66:BS70)&gt;0,SUBTOTAL(9,BS66:BS70),"")</f>
        <v/>
      </c>
      <c r="BT65" s="34" t="str">
        <f t="shared" ref="BT65" si="1568">IF(SUBTOTAL(9,BT66:BT70)&gt;0,SUBTOTAL(9,BT66:BT70),"")</f>
        <v/>
      </c>
      <c r="BU65" s="34" t="str">
        <f t="shared" ref="BU65" si="1569">IF(SUBTOTAL(9,BU66:BU70)&gt;0,SUBTOTAL(9,BU66:BU70),"")</f>
        <v/>
      </c>
      <c r="BV65" s="34" t="str">
        <f t="shared" ref="BV65" si="1570">IF(SUBTOTAL(9,BV66:BV70)&gt;0,SUBTOTAL(9,BV66:BV70),"")</f>
        <v/>
      </c>
      <c r="BW65" s="34" t="str">
        <f t="shared" ref="BW65" si="1571">IF(SUBTOTAL(9,BW66:BW70)&gt;0,SUBTOTAL(9,BW66:BW70),"")</f>
        <v/>
      </c>
      <c r="BX65" s="34" t="str">
        <f t="shared" ref="BX65" si="1572">IF(SUBTOTAL(9,BX66:BX70)&gt;0,SUBTOTAL(9,BX66:BX70),"")</f>
        <v/>
      </c>
      <c r="BY65" s="34" t="str">
        <f t="shared" ref="BY65" si="1573">IF(SUBTOTAL(9,BY66:BY70)&gt;0,SUBTOTAL(9,BY66:BY70),"")</f>
        <v/>
      </c>
      <c r="BZ65" s="34" t="str">
        <f t="shared" ref="BZ65" si="1574">IF(SUBTOTAL(9,BZ66:BZ70)&gt;0,SUBTOTAL(9,BZ66:BZ70),"")</f>
        <v/>
      </c>
      <c r="CA65" s="34" t="str">
        <f t="shared" ref="CA65" si="1575">IF(SUBTOTAL(9,CA66:CA70)&gt;0,SUBTOTAL(9,CA66:CA70),"")</f>
        <v/>
      </c>
      <c r="CB65" s="34" t="str">
        <f t="shared" ref="CB65" si="1576">IF(SUBTOTAL(9,CB66:CB70)&gt;0,SUBTOTAL(9,CB66:CB70),"")</f>
        <v/>
      </c>
      <c r="CC65" s="34" t="str">
        <f t="shared" ref="CC65" si="1577">IF(SUBTOTAL(9,CC66:CC70)&gt;0,SUBTOTAL(9,CC66:CC70),"")</f>
        <v/>
      </c>
      <c r="CD65" s="34" t="str">
        <f t="shared" ref="CD65" si="1578">IF(SUBTOTAL(9,CD66:CD70)&gt;0,SUBTOTAL(9,CD66:CD70),"")</f>
        <v/>
      </c>
      <c r="CE65" s="34" t="str">
        <f t="shared" ref="CE65" si="1579">IF(SUBTOTAL(9,CE66:CE70)&gt;0,SUBTOTAL(9,CE66:CE70),"")</f>
        <v/>
      </c>
      <c r="CF65" s="34" t="str">
        <f t="shared" ref="CF65:CG65" si="1580">IF(SUBTOTAL(9,CF66:CF70)&gt;0,SUBTOTAL(9,CF66:CF70),"")</f>
        <v/>
      </c>
      <c r="CG65" s="34" t="str">
        <f t="shared" si="1580"/>
        <v/>
      </c>
      <c r="CH65" s="34" t="str">
        <f t="shared" ref="CH65" si="1581">IF(SUBTOTAL(9,CH66:CH70)&gt;0,SUBTOTAL(9,CH66:CH70),"")</f>
        <v/>
      </c>
      <c r="CI65" s="34" t="str">
        <f t="shared" ref="CI65" si="1582">IF(SUBTOTAL(9,CI66:CI70)&gt;0,SUBTOTAL(9,CI66:CI70),"")</f>
        <v/>
      </c>
      <c r="CJ65" s="34" t="str">
        <f t="shared" ref="CJ65" si="1583">IF(SUBTOTAL(9,CJ66:CJ70)&gt;0,SUBTOTAL(9,CJ66:CJ70),"")</f>
        <v/>
      </c>
      <c r="CK65" s="34" t="str">
        <f t="shared" ref="CK65" si="1584">IF(SUBTOTAL(9,CK66:CK70)&gt;0,SUBTOTAL(9,CK66:CK70),"")</f>
        <v/>
      </c>
      <c r="CL65" s="34" t="str">
        <f t="shared" ref="CL65" si="1585">IF(SUBTOTAL(9,CL66:CL70)&gt;0,SUBTOTAL(9,CL66:CL70),"")</f>
        <v/>
      </c>
      <c r="CM65" s="34" t="str">
        <f t="shared" ref="CM65" si="1586">IF(SUBTOTAL(9,CM66:CM70)&gt;0,SUBTOTAL(9,CM66:CM70),"")</f>
        <v/>
      </c>
      <c r="CN65" s="34" t="str">
        <f t="shared" ref="CN65" si="1587">IF(SUBTOTAL(9,CN66:CN70)&gt;0,SUBTOTAL(9,CN66:CN70),"")</f>
        <v/>
      </c>
      <c r="CO65" s="34" t="str">
        <f t="shared" ref="CO65" si="1588">IF(SUBTOTAL(9,CO66:CO70)&gt;0,SUBTOTAL(9,CO66:CO70),"")</f>
        <v/>
      </c>
      <c r="CP65" s="34" t="str">
        <f t="shared" ref="CP65" si="1589">IF(SUBTOTAL(9,CP66:CP70)&gt;0,SUBTOTAL(9,CP66:CP70),"")</f>
        <v/>
      </c>
      <c r="CQ65" s="34" t="str">
        <f t="shared" ref="CQ65" si="1590">IF(SUBTOTAL(9,CQ66:CQ70)&gt;0,SUBTOTAL(9,CQ66:CQ70),"")</f>
        <v/>
      </c>
      <c r="CR65" s="34" t="str">
        <f t="shared" ref="CR65" si="1591">IF(SUBTOTAL(9,CR66:CR70)&gt;0,SUBTOTAL(9,CR66:CR70),"")</f>
        <v/>
      </c>
      <c r="CS65" s="34" t="str">
        <f t="shared" ref="CS65" si="1592">IF(SUBTOTAL(9,CS66:CS70)&gt;0,SUBTOTAL(9,CS66:CS70),"")</f>
        <v/>
      </c>
      <c r="CT65" s="33" t="str">
        <f t="shared" ref="CT65" si="1593">IF(SUBTOTAL(9,CT66:CT70)&gt;0,SUBTOTAL(9,CT66:CT70),"")</f>
        <v/>
      </c>
      <c r="CU65" s="34" t="str">
        <f t="shared" ref="CU65" si="1594">IF(SUBTOTAL(9,CU66:CU70)&gt;0,SUBTOTAL(9,CU66:CU70),"")</f>
        <v/>
      </c>
      <c r="CV65" s="34" t="str">
        <f t="shared" ref="CV65" si="1595">IF(SUBTOTAL(9,CV66:CV70)&gt;0,SUBTOTAL(9,CV66:CV70),"")</f>
        <v/>
      </c>
      <c r="CW65" s="34" t="str">
        <f t="shared" ref="CW65" si="1596">IF(SUBTOTAL(9,CW66:CW70)&gt;0,SUBTOTAL(9,CW66:CW70),"")</f>
        <v/>
      </c>
      <c r="CX65" s="34" t="str">
        <f t="shared" ref="CX65" si="1597">IF(SUBTOTAL(9,CX66:CX70)&gt;0,SUBTOTAL(9,CX66:CX70),"")</f>
        <v/>
      </c>
      <c r="CY65" s="34" t="str">
        <f t="shared" ref="CY65" si="1598">IF(SUBTOTAL(9,CY66:CY70)&gt;0,SUBTOTAL(9,CY66:CY70),"")</f>
        <v/>
      </c>
      <c r="CZ65" s="33" t="str">
        <f t="shared" ref="CZ65" si="1599">IF(SUBTOTAL(9,CZ66:CZ70)&gt;0,SUBTOTAL(9,CZ66:CZ70),"")</f>
        <v/>
      </c>
      <c r="DA65" s="33" t="str">
        <f t="shared" ref="DA65" si="1600">IF(SUBTOTAL(9,DA66:DA70)&gt;0,SUBTOTAL(9,DA66:DA70),"")</f>
        <v/>
      </c>
      <c r="DB65" s="34" t="str">
        <f t="shared" ref="DB65" si="1601">IF(SUBTOTAL(9,DB66:DB70)&gt;0,SUBTOTAL(9,DB66:DB70),"")</f>
        <v/>
      </c>
      <c r="DC65" s="34" t="str">
        <f t="shared" ref="DC65" si="1602">IF(SUBTOTAL(9,DC66:DC70)&gt;0,SUBTOTAL(9,DC66:DC70),"")</f>
        <v/>
      </c>
      <c r="DD65" s="34" t="str">
        <f t="shared" ref="DD65" si="1603">IF(SUBTOTAL(9,DD66:DD70)&gt;0,SUBTOTAL(9,DD66:DD70),"")</f>
        <v/>
      </c>
      <c r="DE65" s="34" t="str">
        <f t="shared" ref="DE65" si="1604">IF(SUBTOTAL(9,DE66:DE70)&gt;0,SUBTOTAL(9,DE66:DE70),"")</f>
        <v/>
      </c>
      <c r="DF65" s="34" t="str">
        <f t="shared" ref="DF65" si="1605">IF(SUBTOTAL(9,DF66:DF70)&gt;0,SUBTOTAL(9,DF66:DF70),"")</f>
        <v/>
      </c>
      <c r="DG65" s="34" t="str">
        <f t="shared" ref="DG65" si="1606">IF(SUBTOTAL(9,DG66:DG70)&gt;0,SUBTOTAL(9,DG66:DG70),"")</f>
        <v/>
      </c>
      <c r="DH65" s="34" t="str">
        <f t="shared" ref="DH65" si="1607">IF(SUBTOTAL(9,DH66:DH70)&gt;0,SUBTOTAL(9,DH66:DH70),"")</f>
        <v/>
      </c>
      <c r="DI65" s="34" t="str">
        <f t="shared" ref="DI65" si="1608">IF(SUBTOTAL(9,DI66:DI70)&gt;0,SUBTOTAL(9,DI66:DI70),"")</f>
        <v/>
      </c>
      <c r="DJ65" s="34" t="str">
        <f t="shared" ref="DJ65" si="1609">IF(SUBTOTAL(9,DJ66:DJ70)&gt;0,SUBTOTAL(9,DJ66:DJ70),"")</f>
        <v/>
      </c>
      <c r="DK65" s="34" t="str">
        <f t="shared" ref="DK65" si="1610">IF(SUBTOTAL(9,DK66:DK70)&gt;0,SUBTOTAL(9,DK66:DK70),"")</f>
        <v/>
      </c>
      <c r="DL65" s="34" t="str">
        <f t="shared" ref="DL65" si="1611">IF(SUBTOTAL(9,DL66:DL70)&gt;0,SUBTOTAL(9,DL66:DL70),"")</f>
        <v/>
      </c>
      <c r="DM65" s="34" t="str">
        <f t="shared" ref="DM65" si="1612">IF(SUBTOTAL(9,DM66:DM70)&gt;0,SUBTOTAL(9,DM66:DM70),"")</f>
        <v/>
      </c>
      <c r="DN65" s="34">
        <f t="shared" ref="DN65" si="1613">IF(SUBTOTAL(9,DN66:DN70)&gt;0,SUBTOTAL(9,DN66:DN70),"")</f>
        <v>0.5</v>
      </c>
      <c r="DO65" s="34">
        <f t="shared" ref="DO65" si="1614">IF(SUBTOTAL(9,DO66:DO70)&gt;0,SUBTOTAL(9,DO66:DO70),"")</f>
        <v>0.5</v>
      </c>
      <c r="DP65" s="34" t="str">
        <f t="shared" ref="DP65" si="1615">IF(SUBTOTAL(9,DP66:DP70)&gt;0,SUBTOTAL(9,DP66:DP70),"")</f>
        <v/>
      </c>
      <c r="DQ65" s="34" t="str">
        <f t="shared" ref="DQ65" si="1616">IF(SUBTOTAL(9,DQ66:DQ70)&gt;0,SUBTOTAL(9,DQ66:DQ70),"")</f>
        <v/>
      </c>
      <c r="DR65" s="34" t="str">
        <f t="shared" ref="DR65" si="1617">IF(SUBTOTAL(9,DR66:DR70)&gt;0,SUBTOTAL(9,DR66:DR70),"")</f>
        <v/>
      </c>
      <c r="DS65" s="34" t="str">
        <f t="shared" ref="DS65" si="1618">IF(SUBTOTAL(9,DS66:DS70)&gt;0,SUBTOTAL(9,DS66:DS70),"")</f>
        <v/>
      </c>
      <c r="DT65" s="34" t="str">
        <f t="shared" ref="DT65" si="1619">IF(SUBTOTAL(9,DT66:DT70)&gt;0,SUBTOTAL(9,DT66:DT70),"")</f>
        <v/>
      </c>
      <c r="DU65" s="34" t="str">
        <f t="shared" ref="DU65" si="1620">IF(SUBTOTAL(9,DU66:DU70)&gt;0,SUBTOTAL(9,DU66:DU70),"")</f>
        <v/>
      </c>
      <c r="DV65" s="34" t="str">
        <f t="shared" ref="DV65" si="1621">IF(SUBTOTAL(9,DV66:DV70)&gt;0,SUBTOTAL(9,DV66:DV70),"")</f>
        <v/>
      </c>
      <c r="DW65" s="34" t="str">
        <f t="shared" ref="DW65" si="1622">IF(SUBTOTAL(9,DW66:DW70)&gt;0,SUBTOTAL(9,DW66:DW70),"")</f>
        <v/>
      </c>
      <c r="DX65" s="34" t="str">
        <f t="shared" ref="DX65" si="1623">IF(SUBTOTAL(9,DX66:DX70)&gt;0,SUBTOTAL(9,DX66:DX70),"")</f>
        <v/>
      </c>
      <c r="DY65" s="34" t="str">
        <f t="shared" ref="DY65" si="1624">IF(SUBTOTAL(9,DY66:DY70)&gt;0,SUBTOTAL(9,DY66:DY70),"")</f>
        <v/>
      </c>
      <c r="DZ65" s="33" t="str">
        <f t="shared" ref="DZ65" si="1625">IF(SUBTOTAL(9,DZ66:DZ70)&gt;0,SUBTOTAL(9,DZ66:DZ70),"")</f>
        <v/>
      </c>
      <c r="EA65" s="34" t="str">
        <f t="shared" ref="EA65" si="1626">IF(SUBTOTAL(9,EA66:EA70)&gt;0,SUBTOTAL(9,EA66:EA70),"")</f>
        <v/>
      </c>
      <c r="EB65" s="34" t="str">
        <f t="shared" ref="EB65" si="1627">IF(SUBTOTAL(9,EB66:EB70)&gt;0,SUBTOTAL(9,EB66:EB70),"")</f>
        <v/>
      </c>
      <c r="EC65" s="34" t="str">
        <f t="shared" ref="EC65" si="1628">IF(SUBTOTAL(9,EC66:EC70)&gt;0,SUBTOTAL(9,EC66:EC70),"")</f>
        <v/>
      </c>
      <c r="ED65" s="34" t="str">
        <f t="shared" ref="ED65" si="1629">IF(SUBTOTAL(9,ED66:ED70)&gt;0,SUBTOTAL(9,ED66:ED70),"")</f>
        <v/>
      </c>
      <c r="EE65" s="34" t="str">
        <f t="shared" ref="EE65" si="1630">IF(SUBTOTAL(9,EE66:EE70)&gt;0,SUBTOTAL(9,EE66:EE70),"")</f>
        <v/>
      </c>
      <c r="EF65" s="34" t="str">
        <f t="shared" ref="EF65" si="1631">IF(SUBTOTAL(9,EF66:EF70)&gt;0,SUBTOTAL(9,EF66:EF70),"")</f>
        <v/>
      </c>
      <c r="EG65" s="34" t="str">
        <f t="shared" ref="EG65" si="1632">IF(SUBTOTAL(9,EG66:EG70)&gt;0,SUBTOTAL(9,EG66:EG70),"")</f>
        <v/>
      </c>
      <c r="EH65" s="34" t="str">
        <f t="shared" ref="EH65" si="1633">IF(SUBTOTAL(9,EH66:EH70)&gt;0,SUBTOTAL(9,EH66:EH70),"")</f>
        <v/>
      </c>
      <c r="EI65" s="34" t="str">
        <f t="shared" ref="EI65" si="1634">IF(SUBTOTAL(9,EI66:EI70)&gt;0,SUBTOTAL(9,EI66:EI70),"")</f>
        <v/>
      </c>
      <c r="EJ65" s="34" t="str">
        <f t="shared" ref="EJ65" si="1635">IF(SUBTOTAL(9,EJ66:EJ70)&gt;0,SUBTOTAL(9,EJ66:EJ70),"")</f>
        <v/>
      </c>
      <c r="EK65" s="34" t="str">
        <f t="shared" ref="EK65" si="1636">IF(SUBTOTAL(9,EK66:EK70)&gt;0,SUBTOTAL(9,EK66:EK70),"")</f>
        <v/>
      </c>
      <c r="EL65" s="34" t="str">
        <f t="shared" ref="EL65" si="1637">IF(SUBTOTAL(9,EL66:EL70)&gt;0,SUBTOTAL(9,EL66:EL70),"")</f>
        <v/>
      </c>
      <c r="EM65" s="34" t="str">
        <f t="shared" ref="EM65" si="1638">IF(SUBTOTAL(9,EM66:EM70)&gt;0,SUBTOTAL(9,EM66:EM70),"")</f>
        <v/>
      </c>
      <c r="EN65" s="34" t="str">
        <f t="shared" ref="EN65" si="1639">IF(SUBTOTAL(9,EN66:EN70)&gt;0,SUBTOTAL(9,EN66:EN70),"")</f>
        <v/>
      </c>
      <c r="EO65" s="34">
        <f t="shared" ref="EO65" si="1640">IF(SUBTOTAL(9,EO66:EO70)&gt;0,SUBTOTAL(9,EO66:EO70),"")</f>
        <v>0.5</v>
      </c>
      <c r="EP65" s="34" t="str">
        <f t="shared" ref="EP65" si="1641">IF(SUBTOTAL(9,EP66:EP70)&gt;0,SUBTOTAL(9,EP66:EP70),"")</f>
        <v/>
      </c>
      <c r="EQ65" s="34" t="str">
        <f t="shared" ref="EQ65" si="1642">IF(SUBTOTAL(9,EQ66:EQ70)&gt;0,SUBTOTAL(9,EQ66:EQ70),"")</f>
        <v/>
      </c>
      <c r="ER65" s="34" t="str">
        <f t="shared" ref="ER65" si="1643">IF(SUBTOTAL(9,ER66:ER70)&gt;0,SUBTOTAL(9,ER66:ER70),"")</f>
        <v/>
      </c>
      <c r="ES65" s="34" t="str">
        <f t="shared" ref="ES65" si="1644">IF(SUBTOTAL(9,ES66:ES70)&gt;0,SUBTOTAL(9,ES66:ES70),"")</f>
        <v/>
      </c>
      <c r="ET65" s="34" t="str">
        <f t="shared" ref="ET65" si="1645">IF(SUBTOTAL(9,ET66:ET70)&gt;0,SUBTOTAL(9,ET66:ET70),"")</f>
        <v/>
      </c>
      <c r="EU65" s="34" t="str">
        <f t="shared" ref="EU65" si="1646">IF(SUBTOTAL(9,EU66:EU70)&gt;0,SUBTOTAL(9,EU66:EU70),"")</f>
        <v/>
      </c>
      <c r="EV65" s="34" t="str">
        <f t="shared" ref="EV65" si="1647">IF(SUBTOTAL(9,EV66:EV70)&gt;0,SUBTOTAL(9,EV66:EV70),"")</f>
        <v/>
      </c>
      <c r="EW65" s="34" t="str">
        <f t="shared" ref="EW65" si="1648">IF(SUBTOTAL(9,EW66:EW70)&gt;0,SUBTOTAL(9,EW66:EW70),"")</f>
        <v/>
      </c>
      <c r="EX65" s="34" t="str">
        <f t="shared" ref="EX65" si="1649">IF(SUBTOTAL(9,EX66:EX70)&gt;0,SUBTOTAL(9,EX66:EX70),"")</f>
        <v/>
      </c>
      <c r="EY65" s="33" t="str">
        <f t="shared" ref="EY65" si="1650">IF(SUBTOTAL(9,EY66:EY70)&gt;0,SUBTOTAL(9,EY66:EY70),"")</f>
        <v/>
      </c>
      <c r="EZ65" s="34" t="str">
        <f t="shared" ref="EZ65" si="1651">IF(SUBTOTAL(9,EZ66:EZ70)&gt;0,SUBTOTAL(9,EZ66:EZ70),"")</f>
        <v/>
      </c>
      <c r="FA65" s="34" t="str">
        <f t="shared" ref="FA65" si="1652">IF(SUBTOTAL(9,FA66:FA70)&gt;0,SUBTOTAL(9,FA66:FA70),"")</f>
        <v/>
      </c>
      <c r="FB65" s="34" t="str">
        <f t="shared" ref="FB65" si="1653">IF(SUBTOTAL(9,FB66:FB70)&gt;0,SUBTOTAL(9,FB66:FB70),"")</f>
        <v/>
      </c>
      <c r="FC65" s="34" t="str">
        <f t="shared" ref="FC65" si="1654">IF(SUBTOTAL(9,FC66:FC70)&gt;0,SUBTOTAL(9,FC66:FC70),"")</f>
        <v/>
      </c>
      <c r="FD65" s="34" t="str">
        <f t="shared" ref="FD65" si="1655">IF(SUBTOTAL(9,FD66:FD70)&gt;0,SUBTOTAL(9,FD66:FD70),"")</f>
        <v/>
      </c>
      <c r="FE65" s="34" t="str">
        <f t="shared" ref="FE65" si="1656">IF(SUBTOTAL(9,FE66:FE70)&gt;0,SUBTOTAL(9,FE66:FE70),"")</f>
        <v/>
      </c>
      <c r="FF65" s="34" t="str">
        <f t="shared" ref="FF65" si="1657">IF(SUBTOTAL(9,FF66:FF70)&gt;0,SUBTOTAL(9,FF66:FF70),"")</f>
        <v/>
      </c>
      <c r="FG65" s="34" t="str">
        <f t="shared" ref="FG65" si="1658">IF(SUBTOTAL(9,FG66:FG70)&gt;0,SUBTOTAL(9,FG66:FG70),"")</f>
        <v/>
      </c>
      <c r="FH65" s="34" t="str">
        <f t="shared" ref="FH65" si="1659">IF(SUBTOTAL(9,FH66:FH70)&gt;0,SUBTOTAL(9,FH66:FH70),"")</f>
        <v/>
      </c>
      <c r="FI65" s="34" t="str">
        <f t="shared" ref="FI65" si="1660">IF(SUBTOTAL(9,FI66:FI70)&gt;0,SUBTOTAL(9,FI66:FI70),"")</f>
        <v/>
      </c>
      <c r="FJ65" s="34" t="str">
        <f t="shared" ref="FJ65" si="1661">IF(SUBTOTAL(9,FJ66:FJ70)&gt;0,SUBTOTAL(9,FJ66:FJ70),"")</f>
        <v/>
      </c>
      <c r="FK65" s="34" t="str">
        <f t="shared" ref="FK65" si="1662">IF(SUBTOTAL(9,FK66:FK70)&gt;0,SUBTOTAL(9,FK66:FK70),"")</f>
        <v/>
      </c>
      <c r="FL65" s="34" t="str">
        <f t="shared" ref="FL65" si="1663">IF(SUBTOTAL(9,FL66:FL70)&gt;0,SUBTOTAL(9,FL66:FL70),"")</f>
        <v/>
      </c>
      <c r="FM65" s="34" t="str">
        <f t="shared" ref="FM65" si="1664">IF(SUBTOTAL(9,FM66:FM70)&gt;0,SUBTOTAL(9,FM66:FM70),"")</f>
        <v/>
      </c>
      <c r="FN65" s="34" t="str">
        <f t="shared" ref="FN65" si="1665">IF(SUBTOTAL(9,FN66:FN70)&gt;0,SUBTOTAL(9,FN66:FN70),"")</f>
        <v/>
      </c>
      <c r="FO65" s="34" t="str">
        <f t="shared" ref="FO65" si="1666">IF(SUBTOTAL(9,FO66:FO70)&gt;0,SUBTOTAL(9,FO66:FO70),"")</f>
        <v/>
      </c>
      <c r="FP65" s="34" t="str">
        <f t="shared" ref="FP65" si="1667">IF(SUBTOTAL(9,FP66:FP70)&gt;0,SUBTOTAL(9,FP66:FP70),"")</f>
        <v/>
      </c>
      <c r="FQ65" s="92" t="str">
        <f t="shared" ref="FQ65" si="1668">IF(SUBTOTAL(9,FQ66:FQ70)&gt;0,SUBTOTAL(9,FQ66:FQ70),"")</f>
        <v/>
      </c>
      <c r="FR65" s="8"/>
      <c r="FS65" s="9" t="s">
        <v>131</v>
      </c>
      <c r="FT65" s="9" t="str">
        <f t="shared" si="151"/>
        <v/>
      </c>
    </row>
    <row r="66" spans="1:176" s="9" customFormat="1" ht="12" hidden="1" customHeight="1" outlineLevel="1">
      <c r="A66" s="122" t="s">
        <v>4</v>
      </c>
      <c r="B66" s="125" t="s">
        <v>18</v>
      </c>
      <c r="C66" s="124" t="str">
        <f t="shared" si="9"/>
        <v>2 days</v>
      </c>
      <c r="D66" s="13" t="str">
        <f>A40&amp;" "&amp;A65</f>
        <v>2. Quarterly Reporting (QRTs)  2.5 Technical Support</v>
      </c>
      <c r="E66" s="51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6"/>
      <c r="AM66" s="36"/>
      <c r="AN66" s="36"/>
      <c r="AO66" s="36"/>
      <c r="AP66" s="36"/>
      <c r="AQ66" s="36"/>
      <c r="AR66" s="36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5"/>
      <c r="BM66" s="35"/>
      <c r="BN66" s="35"/>
      <c r="BO66" s="35"/>
      <c r="BP66" s="35"/>
      <c r="BQ66" s="35"/>
      <c r="BR66" s="35"/>
      <c r="BS66" s="35"/>
      <c r="BT66" s="35"/>
      <c r="BU66" s="35"/>
      <c r="BV66" s="35"/>
      <c r="BW66" s="35"/>
      <c r="BX66" s="35"/>
      <c r="BY66" s="35"/>
      <c r="BZ66" s="35"/>
      <c r="CA66" s="35"/>
      <c r="CB66" s="35"/>
      <c r="CC66" s="35"/>
      <c r="CD66" s="35"/>
      <c r="CE66" s="35"/>
      <c r="CF66" s="35"/>
      <c r="CG66" s="35"/>
      <c r="CH66" s="35"/>
      <c r="CI66" s="35"/>
      <c r="CJ66" s="35"/>
      <c r="CK66" s="35"/>
      <c r="CL66" s="35"/>
      <c r="CM66" s="35"/>
      <c r="CN66" s="35"/>
      <c r="CO66" s="35"/>
      <c r="CP66" s="35"/>
      <c r="CQ66" s="35"/>
      <c r="CR66" s="35"/>
      <c r="CS66" s="35"/>
      <c r="CT66" s="36"/>
      <c r="CU66" s="35"/>
      <c r="CV66" s="35"/>
      <c r="CW66" s="35"/>
      <c r="CX66" s="35"/>
      <c r="CY66" s="35"/>
      <c r="CZ66" s="36"/>
      <c r="DA66" s="36"/>
      <c r="DB66" s="35"/>
      <c r="DC66" s="35"/>
      <c r="DD66" s="35"/>
      <c r="DE66" s="35"/>
      <c r="DF66" s="35"/>
      <c r="DG66" s="35"/>
      <c r="DH66" s="35"/>
      <c r="DI66" s="35"/>
      <c r="DJ66" s="35"/>
      <c r="DK66" s="35"/>
      <c r="DL66" s="35"/>
      <c r="DM66" s="35"/>
      <c r="DN66" s="35">
        <v>0.5</v>
      </c>
      <c r="DO66" s="35">
        <v>0.5</v>
      </c>
      <c r="DP66" s="35"/>
      <c r="DQ66" s="35"/>
      <c r="DR66" s="35"/>
      <c r="DS66" s="35"/>
      <c r="DT66" s="35"/>
      <c r="DU66" s="35"/>
      <c r="DV66" s="35"/>
      <c r="DW66" s="35"/>
      <c r="DX66" s="35"/>
      <c r="DY66" s="35"/>
      <c r="DZ66" s="36"/>
      <c r="EA66" s="35"/>
      <c r="EB66" s="35"/>
      <c r="EC66" s="35"/>
      <c r="ED66" s="35"/>
      <c r="EE66" s="35"/>
      <c r="EF66" s="35"/>
      <c r="EG66" s="35"/>
      <c r="EH66" s="35"/>
      <c r="EI66" s="35"/>
      <c r="EJ66" s="35"/>
      <c r="EK66" s="35"/>
      <c r="EL66" s="35"/>
      <c r="EM66" s="35"/>
      <c r="EN66" s="35"/>
      <c r="EO66" s="35">
        <v>0.5</v>
      </c>
      <c r="EP66" s="35"/>
      <c r="EQ66" s="35"/>
      <c r="ER66" s="35"/>
      <c r="ES66" s="35"/>
      <c r="ET66" s="35"/>
      <c r="EU66" s="35"/>
      <c r="EV66" s="35"/>
      <c r="EW66" s="35"/>
      <c r="EX66" s="35"/>
      <c r="EY66" s="36"/>
      <c r="EZ66" s="35"/>
      <c r="FA66" s="35"/>
      <c r="FB66" s="35"/>
      <c r="FC66" s="35"/>
      <c r="FD66" s="35"/>
      <c r="FE66" s="35"/>
      <c r="FF66" s="35"/>
      <c r="FG66" s="35"/>
      <c r="FH66" s="35"/>
      <c r="FI66" s="35"/>
      <c r="FJ66" s="35"/>
      <c r="FK66" s="35"/>
      <c r="FL66" s="35"/>
      <c r="FM66" s="35"/>
      <c r="FN66" s="35"/>
      <c r="FO66" s="35"/>
      <c r="FP66" s="35"/>
      <c r="FQ66" s="52"/>
      <c r="FR66" s="8"/>
      <c r="FS66" s="9" t="s">
        <v>13</v>
      </c>
      <c r="FT66" s="9" t="str">
        <f t="shared" si="151"/>
        <v>2. Quarterly Reporting (QRTs)  2.5 Technical SupportTM1 Analyst</v>
      </c>
    </row>
    <row r="67" spans="1:176" s="9" customFormat="1" ht="12" hidden="1" customHeight="1" outlineLevel="1">
      <c r="A67" s="125" t="s">
        <v>50</v>
      </c>
      <c r="B67" s="125"/>
      <c r="C67" s="124" t="str">
        <f t="shared" si="9"/>
        <v>0 days</v>
      </c>
      <c r="D67" s="13" t="str">
        <f>A40&amp;" "&amp;A65</f>
        <v>2. Quarterly Reporting (QRTs)  2.5 Technical Support</v>
      </c>
      <c r="E67" s="51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6"/>
      <c r="AM67" s="36"/>
      <c r="AN67" s="36"/>
      <c r="AO67" s="36"/>
      <c r="AP67" s="36"/>
      <c r="AQ67" s="36"/>
      <c r="AR67" s="36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35"/>
      <c r="BU67" s="35"/>
      <c r="BV67" s="35"/>
      <c r="BW67" s="35"/>
      <c r="BX67" s="35"/>
      <c r="BY67" s="35"/>
      <c r="BZ67" s="35"/>
      <c r="CA67" s="35"/>
      <c r="CB67" s="35"/>
      <c r="CC67" s="35"/>
      <c r="CD67" s="35"/>
      <c r="CE67" s="35"/>
      <c r="CF67" s="35"/>
      <c r="CG67" s="35"/>
      <c r="CH67" s="35"/>
      <c r="CI67" s="35"/>
      <c r="CJ67" s="35"/>
      <c r="CK67" s="35"/>
      <c r="CL67" s="35"/>
      <c r="CM67" s="35"/>
      <c r="CN67" s="35"/>
      <c r="CO67" s="35"/>
      <c r="CP67" s="35"/>
      <c r="CQ67" s="35"/>
      <c r="CR67" s="35"/>
      <c r="CS67" s="35"/>
      <c r="CT67" s="36"/>
      <c r="CU67" s="35"/>
      <c r="CV67" s="35"/>
      <c r="CW67" s="35"/>
      <c r="CX67" s="35"/>
      <c r="CY67" s="35"/>
      <c r="CZ67" s="36"/>
      <c r="DA67" s="36"/>
      <c r="DB67" s="35"/>
      <c r="DC67" s="35"/>
      <c r="DD67" s="35"/>
      <c r="DE67" s="35"/>
      <c r="DF67" s="35"/>
      <c r="DG67" s="35"/>
      <c r="DH67" s="35"/>
      <c r="DI67" s="35"/>
      <c r="DJ67" s="35"/>
      <c r="DK67" s="35"/>
      <c r="DL67" s="35"/>
      <c r="DM67" s="35"/>
      <c r="DN67" s="35"/>
      <c r="DO67" s="35"/>
      <c r="DP67" s="35"/>
      <c r="DQ67" s="35"/>
      <c r="DR67" s="35"/>
      <c r="DS67" s="35"/>
      <c r="DT67" s="35"/>
      <c r="DU67" s="35"/>
      <c r="DV67" s="35"/>
      <c r="DW67" s="35"/>
      <c r="DX67" s="35"/>
      <c r="DY67" s="35"/>
      <c r="DZ67" s="36"/>
      <c r="EA67" s="35"/>
      <c r="EB67" s="35"/>
      <c r="EC67" s="35"/>
      <c r="ED67" s="35"/>
      <c r="EE67" s="35"/>
      <c r="EF67" s="35"/>
      <c r="EG67" s="35"/>
      <c r="EH67" s="35"/>
      <c r="EI67" s="35"/>
      <c r="EJ67" s="35"/>
      <c r="EK67" s="35"/>
      <c r="EL67" s="35"/>
      <c r="EM67" s="35"/>
      <c r="EN67" s="35"/>
      <c r="EO67" s="35"/>
      <c r="EP67" s="35"/>
      <c r="EQ67" s="35"/>
      <c r="ER67" s="35"/>
      <c r="ES67" s="35"/>
      <c r="ET67" s="35"/>
      <c r="EU67" s="35"/>
      <c r="EV67" s="35"/>
      <c r="EW67" s="35"/>
      <c r="EX67" s="35"/>
      <c r="EY67" s="36"/>
      <c r="EZ67" s="35"/>
      <c r="FA67" s="35"/>
      <c r="FB67" s="35"/>
      <c r="FC67" s="35"/>
      <c r="FD67" s="35"/>
      <c r="FE67" s="35"/>
      <c r="FF67" s="35"/>
      <c r="FG67" s="35"/>
      <c r="FH67" s="35"/>
      <c r="FI67" s="35"/>
      <c r="FJ67" s="35"/>
      <c r="FK67" s="35"/>
      <c r="FL67" s="35"/>
      <c r="FM67" s="35"/>
      <c r="FN67" s="35"/>
      <c r="FO67" s="35"/>
      <c r="FP67" s="35"/>
      <c r="FQ67" s="52"/>
      <c r="FR67" s="8"/>
      <c r="FS67" s="9" t="s">
        <v>13</v>
      </c>
      <c r="FT67" s="9" t="str">
        <f t="shared" si="151"/>
        <v>2. Quarterly Reporting (QRTs)  2.5 Technical Support</v>
      </c>
    </row>
    <row r="68" spans="1:176" s="9" customFormat="1" ht="12" hidden="1" customHeight="1" outlineLevel="1">
      <c r="A68" s="122"/>
      <c r="B68" s="125"/>
      <c r="C68" s="124" t="str">
        <f t="shared" si="9"/>
        <v>0 days</v>
      </c>
      <c r="D68" s="13" t="str">
        <f>A40&amp;" "&amp;A65</f>
        <v>2. Quarterly Reporting (QRTs)  2.5 Technical Support</v>
      </c>
      <c r="E68" s="51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6"/>
      <c r="AM68" s="36"/>
      <c r="AN68" s="36"/>
      <c r="AO68" s="36"/>
      <c r="AP68" s="36"/>
      <c r="AQ68" s="36"/>
      <c r="AR68" s="36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5"/>
      <c r="BM68" s="35"/>
      <c r="BN68" s="35"/>
      <c r="BO68" s="35"/>
      <c r="BP68" s="35"/>
      <c r="BQ68" s="35"/>
      <c r="BR68" s="35"/>
      <c r="BS68" s="35"/>
      <c r="BT68" s="35"/>
      <c r="BU68" s="35"/>
      <c r="BV68" s="35"/>
      <c r="BW68" s="35"/>
      <c r="BX68" s="35"/>
      <c r="BY68" s="35"/>
      <c r="BZ68" s="35"/>
      <c r="CA68" s="35"/>
      <c r="CB68" s="35"/>
      <c r="CC68" s="35"/>
      <c r="CD68" s="35"/>
      <c r="CE68" s="35"/>
      <c r="CF68" s="35"/>
      <c r="CG68" s="35"/>
      <c r="CH68" s="35"/>
      <c r="CI68" s="35"/>
      <c r="CJ68" s="35"/>
      <c r="CK68" s="35"/>
      <c r="CL68" s="35"/>
      <c r="CM68" s="35"/>
      <c r="CN68" s="35"/>
      <c r="CO68" s="35"/>
      <c r="CP68" s="35"/>
      <c r="CQ68" s="35"/>
      <c r="CR68" s="35"/>
      <c r="CS68" s="35"/>
      <c r="CT68" s="36"/>
      <c r="CU68" s="35"/>
      <c r="CV68" s="35"/>
      <c r="CW68" s="35"/>
      <c r="CX68" s="35"/>
      <c r="CY68" s="35"/>
      <c r="CZ68" s="36"/>
      <c r="DA68" s="36"/>
      <c r="DB68" s="35"/>
      <c r="DC68" s="35"/>
      <c r="DD68" s="35"/>
      <c r="DE68" s="35"/>
      <c r="DF68" s="35"/>
      <c r="DG68" s="35"/>
      <c r="DH68" s="35"/>
      <c r="DI68" s="35"/>
      <c r="DJ68" s="35"/>
      <c r="DK68" s="35"/>
      <c r="DL68" s="35"/>
      <c r="DM68" s="35"/>
      <c r="DN68" s="35"/>
      <c r="DO68" s="35"/>
      <c r="DP68" s="35"/>
      <c r="DQ68" s="35"/>
      <c r="DR68" s="35"/>
      <c r="DS68" s="35"/>
      <c r="DT68" s="35"/>
      <c r="DU68" s="35"/>
      <c r="DV68" s="35"/>
      <c r="DW68" s="35"/>
      <c r="DX68" s="35"/>
      <c r="DY68" s="35"/>
      <c r="DZ68" s="36"/>
      <c r="EA68" s="35"/>
      <c r="EB68" s="35"/>
      <c r="EC68" s="35"/>
      <c r="ED68" s="35"/>
      <c r="EE68" s="35"/>
      <c r="EF68" s="35"/>
      <c r="EG68" s="35"/>
      <c r="EH68" s="35"/>
      <c r="EI68" s="35"/>
      <c r="EJ68" s="35"/>
      <c r="EK68" s="35"/>
      <c r="EL68" s="35"/>
      <c r="EM68" s="35"/>
      <c r="EN68" s="35"/>
      <c r="EO68" s="35"/>
      <c r="EP68" s="35"/>
      <c r="EQ68" s="35"/>
      <c r="ER68" s="35"/>
      <c r="ES68" s="35"/>
      <c r="ET68" s="35"/>
      <c r="EU68" s="35"/>
      <c r="EV68" s="35"/>
      <c r="EW68" s="35"/>
      <c r="EX68" s="35"/>
      <c r="EY68" s="36"/>
      <c r="EZ68" s="35"/>
      <c r="FA68" s="35"/>
      <c r="FB68" s="35"/>
      <c r="FC68" s="35"/>
      <c r="FD68" s="35"/>
      <c r="FE68" s="35"/>
      <c r="FF68" s="35"/>
      <c r="FG68" s="35"/>
      <c r="FH68" s="35"/>
      <c r="FI68" s="35"/>
      <c r="FJ68" s="35"/>
      <c r="FK68" s="35"/>
      <c r="FL68" s="35"/>
      <c r="FM68" s="35"/>
      <c r="FN68" s="35"/>
      <c r="FO68" s="35"/>
      <c r="FP68" s="35"/>
      <c r="FQ68" s="52"/>
      <c r="FR68" s="8"/>
      <c r="FS68" s="9" t="s">
        <v>13</v>
      </c>
      <c r="FT68" s="9" t="str">
        <f t="shared" si="151"/>
        <v>2. Quarterly Reporting (QRTs)  2.5 Technical Support</v>
      </c>
    </row>
    <row r="69" spans="1:176" s="9" customFormat="1" ht="12" hidden="1" customHeight="1" outlineLevel="1">
      <c r="A69" s="125" t="s">
        <v>50</v>
      </c>
      <c r="B69" s="125"/>
      <c r="C69" s="124" t="str">
        <f t="shared" si="9"/>
        <v>0 days</v>
      </c>
      <c r="D69" s="13" t="str">
        <f>A40&amp;" "&amp;A65</f>
        <v>2. Quarterly Reporting (QRTs)  2.5 Technical Support</v>
      </c>
      <c r="E69" s="51"/>
      <c r="F69" s="35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6"/>
      <c r="AM69" s="36"/>
      <c r="AN69" s="36"/>
      <c r="AO69" s="36"/>
      <c r="AP69" s="36"/>
      <c r="AQ69" s="36"/>
      <c r="AR69" s="36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5"/>
      <c r="BM69" s="35"/>
      <c r="BN69" s="35"/>
      <c r="BO69" s="35"/>
      <c r="BP69" s="35"/>
      <c r="BQ69" s="35"/>
      <c r="BR69" s="35"/>
      <c r="BS69" s="35"/>
      <c r="BT69" s="35"/>
      <c r="BU69" s="35"/>
      <c r="BV69" s="35"/>
      <c r="BW69" s="35"/>
      <c r="BX69" s="35"/>
      <c r="BY69" s="35"/>
      <c r="BZ69" s="35"/>
      <c r="CA69" s="35"/>
      <c r="CB69" s="35"/>
      <c r="CC69" s="35"/>
      <c r="CD69" s="35"/>
      <c r="CE69" s="35"/>
      <c r="CF69" s="35"/>
      <c r="CG69" s="35"/>
      <c r="CH69" s="35"/>
      <c r="CI69" s="35"/>
      <c r="CJ69" s="35"/>
      <c r="CK69" s="35"/>
      <c r="CL69" s="35"/>
      <c r="CM69" s="35"/>
      <c r="CN69" s="35"/>
      <c r="CO69" s="35"/>
      <c r="CP69" s="35"/>
      <c r="CQ69" s="35"/>
      <c r="CR69" s="35"/>
      <c r="CS69" s="35"/>
      <c r="CT69" s="36"/>
      <c r="CU69" s="35"/>
      <c r="CV69" s="35"/>
      <c r="CW69" s="35"/>
      <c r="CX69" s="35"/>
      <c r="CY69" s="35"/>
      <c r="CZ69" s="36"/>
      <c r="DA69" s="36"/>
      <c r="DB69" s="35"/>
      <c r="DC69" s="35"/>
      <c r="DD69" s="35"/>
      <c r="DE69" s="35"/>
      <c r="DF69" s="35"/>
      <c r="DG69" s="35"/>
      <c r="DH69" s="35"/>
      <c r="DI69" s="35"/>
      <c r="DJ69" s="35"/>
      <c r="DK69" s="35"/>
      <c r="DL69" s="35"/>
      <c r="DM69" s="35"/>
      <c r="DN69" s="35"/>
      <c r="DO69" s="35"/>
      <c r="DP69" s="35"/>
      <c r="DQ69" s="35"/>
      <c r="DR69" s="35"/>
      <c r="DS69" s="35"/>
      <c r="DT69" s="35"/>
      <c r="DU69" s="35"/>
      <c r="DV69" s="35"/>
      <c r="DW69" s="35"/>
      <c r="DX69" s="35"/>
      <c r="DY69" s="35"/>
      <c r="DZ69" s="36"/>
      <c r="EA69" s="35"/>
      <c r="EB69" s="35"/>
      <c r="EC69" s="35"/>
      <c r="ED69" s="35"/>
      <c r="EE69" s="35"/>
      <c r="EF69" s="35"/>
      <c r="EG69" s="35"/>
      <c r="EH69" s="35"/>
      <c r="EI69" s="35"/>
      <c r="EJ69" s="35"/>
      <c r="EK69" s="35"/>
      <c r="EL69" s="35"/>
      <c r="EM69" s="35"/>
      <c r="EN69" s="35"/>
      <c r="EO69" s="35"/>
      <c r="EP69" s="35"/>
      <c r="EQ69" s="35"/>
      <c r="ER69" s="35"/>
      <c r="ES69" s="35"/>
      <c r="ET69" s="35"/>
      <c r="EU69" s="35"/>
      <c r="EV69" s="35"/>
      <c r="EW69" s="35"/>
      <c r="EX69" s="35"/>
      <c r="EY69" s="36"/>
      <c r="EZ69" s="35"/>
      <c r="FA69" s="35"/>
      <c r="FB69" s="35"/>
      <c r="FC69" s="35"/>
      <c r="FD69" s="35"/>
      <c r="FE69" s="35"/>
      <c r="FF69" s="35"/>
      <c r="FG69" s="35"/>
      <c r="FH69" s="35"/>
      <c r="FI69" s="35"/>
      <c r="FJ69" s="35"/>
      <c r="FK69" s="35"/>
      <c r="FL69" s="35"/>
      <c r="FM69" s="35"/>
      <c r="FN69" s="35"/>
      <c r="FO69" s="35"/>
      <c r="FP69" s="35"/>
      <c r="FQ69" s="52"/>
      <c r="FR69" s="8"/>
      <c r="FS69" s="9" t="s">
        <v>13</v>
      </c>
      <c r="FT69" s="9" t="str">
        <f t="shared" si="151"/>
        <v>2. Quarterly Reporting (QRTs)  2.5 Technical Support</v>
      </c>
    </row>
    <row r="70" spans="1:176" s="9" customFormat="1" ht="12" hidden="1" customHeight="1" outlineLevel="1">
      <c r="A70" s="125" t="s">
        <v>50</v>
      </c>
      <c r="B70" s="125"/>
      <c r="C70" s="124" t="str">
        <f t="shared" si="9"/>
        <v>0 days</v>
      </c>
      <c r="D70" s="13" t="str">
        <f>A40&amp;" "&amp;A65</f>
        <v>2. Quarterly Reporting (QRTs)  2.5 Technical Support</v>
      </c>
      <c r="E70" s="51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6"/>
      <c r="AM70" s="36"/>
      <c r="AN70" s="36"/>
      <c r="AO70" s="36"/>
      <c r="AP70" s="36"/>
      <c r="AQ70" s="36"/>
      <c r="AR70" s="36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5"/>
      <c r="BM70" s="35"/>
      <c r="BN70" s="35"/>
      <c r="BO70" s="35"/>
      <c r="BP70" s="35"/>
      <c r="BQ70" s="35"/>
      <c r="BR70" s="35"/>
      <c r="BS70" s="35"/>
      <c r="BT70" s="35"/>
      <c r="BU70" s="35"/>
      <c r="BV70" s="35"/>
      <c r="BW70" s="35"/>
      <c r="BX70" s="35"/>
      <c r="BY70" s="35"/>
      <c r="BZ70" s="35"/>
      <c r="CA70" s="35"/>
      <c r="CB70" s="35"/>
      <c r="CC70" s="35"/>
      <c r="CD70" s="35"/>
      <c r="CE70" s="35"/>
      <c r="CF70" s="35"/>
      <c r="CG70" s="35"/>
      <c r="CH70" s="35"/>
      <c r="CI70" s="35"/>
      <c r="CJ70" s="35"/>
      <c r="CK70" s="35"/>
      <c r="CL70" s="35"/>
      <c r="CM70" s="35"/>
      <c r="CN70" s="35"/>
      <c r="CO70" s="35"/>
      <c r="CP70" s="35"/>
      <c r="CQ70" s="35"/>
      <c r="CR70" s="35"/>
      <c r="CS70" s="35"/>
      <c r="CT70" s="36"/>
      <c r="CU70" s="35"/>
      <c r="CV70" s="35"/>
      <c r="CW70" s="35"/>
      <c r="CX70" s="35"/>
      <c r="CY70" s="35"/>
      <c r="CZ70" s="36"/>
      <c r="DA70" s="36"/>
      <c r="DB70" s="35"/>
      <c r="DC70" s="35"/>
      <c r="DD70" s="35"/>
      <c r="DE70" s="35"/>
      <c r="DF70" s="35"/>
      <c r="DG70" s="35"/>
      <c r="DH70" s="35"/>
      <c r="DI70" s="35"/>
      <c r="DJ70" s="35"/>
      <c r="DK70" s="35"/>
      <c r="DL70" s="35"/>
      <c r="DM70" s="35"/>
      <c r="DN70" s="35"/>
      <c r="DO70" s="35"/>
      <c r="DP70" s="35"/>
      <c r="DQ70" s="35"/>
      <c r="DR70" s="35"/>
      <c r="DS70" s="35"/>
      <c r="DT70" s="35"/>
      <c r="DU70" s="35"/>
      <c r="DV70" s="35"/>
      <c r="DW70" s="35"/>
      <c r="DX70" s="35"/>
      <c r="DY70" s="35"/>
      <c r="DZ70" s="36"/>
      <c r="EA70" s="35"/>
      <c r="EB70" s="35"/>
      <c r="EC70" s="35"/>
      <c r="ED70" s="35"/>
      <c r="EE70" s="35"/>
      <c r="EF70" s="35"/>
      <c r="EG70" s="35"/>
      <c r="EH70" s="35"/>
      <c r="EI70" s="35"/>
      <c r="EJ70" s="35"/>
      <c r="EK70" s="35"/>
      <c r="EL70" s="35"/>
      <c r="EM70" s="35"/>
      <c r="EN70" s="35"/>
      <c r="EO70" s="35"/>
      <c r="EP70" s="35"/>
      <c r="EQ70" s="35"/>
      <c r="ER70" s="35"/>
      <c r="ES70" s="35"/>
      <c r="ET70" s="35"/>
      <c r="EU70" s="35"/>
      <c r="EV70" s="35"/>
      <c r="EW70" s="35"/>
      <c r="EX70" s="35"/>
      <c r="EY70" s="36"/>
      <c r="EZ70" s="35"/>
      <c r="FA70" s="35"/>
      <c r="FB70" s="35"/>
      <c r="FC70" s="35"/>
      <c r="FD70" s="35"/>
      <c r="FE70" s="35"/>
      <c r="FF70" s="35"/>
      <c r="FG70" s="35"/>
      <c r="FH70" s="35"/>
      <c r="FI70" s="35"/>
      <c r="FJ70" s="35"/>
      <c r="FK70" s="35"/>
      <c r="FL70" s="35"/>
      <c r="FM70" s="35"/>
      <c r="FN70" s="35"/>
      <c r="FO70" s="35"/>
      <c r="FP70" s="35"/>
      <c r="FQ70" s="52"/>
      <c r="FR70" s="8"/>
      <c r="FS70" s="9" t="s">
        <v>13</v>
      </c>
      <c r="FT70" s="9" t="str">
        <f t="shared" si="151"/>
        <v>2. Quarterly Reporting (QRTs)  2.5 Technical Support</v>
      </c>
    </row>
    <row r="71" spans="1:176" s="9" customFormat="1" ht="12" customHeight="1" collapsed="1">
      <c r="A71" s="116" t="s">
        <v>63</v>
      </c>
      <c r="B71" s="132"/>
      <c r="C71" s="118" t="str">
        <f t="shared" si="9"/>
        <v>34 days</v>
      </c>
      <c r="D71" s="26"/>
      <c r="E71" s="89" t="str">
        <f t="shared" ref="E71:AK71" si="1669">IF(SUBTOTAL(9,E73:E77,E79:E83,E85:E89,E91:E95,E97:E101)&gt;0,SUBTOTAL(9,E73:E77,E79:E83,E85:E89,E91:E95,E97:E101),"")</f>
        <v/>
      </c>
      <c r="F71" s="32" t="str">
        <f t="shared" si="1669"/>
        <v/>
      </c>
      <c r="G71" s="32" t="str">
        <f t="shared" si="1669"/>
        <v/>
      </c>
      <c r="H71" s="32" t="str">
        <f t="shared" si="1669"/>
        <v/>
      </c>
      <c r="I71" s="32" t="str">
        <f t="shared" si="1669"/>
        <v/>
      </c>
      <c r="J71" s="32">
        <f t="shared" si="1669"/>
        <v>1</v>
      </c>
      <c r="K71" s="32">
        <f t="shared" si="1669"/>
        <v>1</v>
      </c>
      <c r="L71" s="32">
        <f t="shared" si="1669"/>
        <v>1</v>
      </c>
      <c r="M71" s="32">
        <f t="shared" si="1669"/>
        <v>1</v>
      </c>
      <c r="N71" s="32">
        <f t="shared" si="1669"/>
        <v>1</v>
      </c>
      <c r="O71" s="32">
        <f t="shared" si="1669"/>
        <v>2</v>
      </c>
      <c r="P71" s="32">
        <f t="shared" si="1669"/>
        <v>1</v>
      </c>
      <c r="Q71" s="32">
        <f t="shared" si="1669"/>
        <v>2</v>
      </c>
      <c r="R71" s="32">
        <f t="shared" si="1669"/>
        <v>2</v>
      </c>
      <c r="S71" s="32">
        <f t="shared" si="1669"/>
        <v>1</v>
      </c>
      <c r="T71" s="32">
        <f t="shared" si="1669"/>
        <v>3</v>
      </c>
      <c r="U71" s="32" t="str">
        <f t="shared" si="1669"/>
        <v/>
      </c>
      <c r="V71" s="32" t="str">
        <f t="shared" si="1669"/>
        <v/>
      </c>
      <c r="W71" s="32" t="str">
        <f t="shared" si="1669"/>
        <v/>
      </c>
      <c r="X71" s="32" t="str">
        <f t="shared" si="1669"/>
        <v/>
      </c>
      <c r="Y71" s="32" t="str">
        <f t="shared" si="1669"/>
        <v/>
      </c>
      <c r="Z71" s="32" t="str">
        <f t="shared" si="1669"/>
        <v/>
      </c>
      <c r="AA71" s="32" t="str">
        <f t="shared" si="1669"/>
        <v/>
      </c>
      <c r="AB71" s="32" t="str">
        <f t="shared" si="1669"/>
        <v/>
      </c>
      <c r="AC71" s="32" t="str">
        <f t="shared" si="1669"/>
        <v/>
      </c>
      <c r="AD71" s="32" t="str">
        <f t="shared" si="1669"/>
        <v/>
      </c>
      <c r="AE71" s="32" t="str">
        <f t="shared" si="1669"/>
        <v/>
      </c>
      <c r="AF71" s="32" t="str">
        <f t="shared" si="1669"/>
        <v/>
      </c>
      <c r="AG71" s="32" t="str">
        <f t="shared" si="1669"/>
        <v/>
      </c>
      <c r="AH71" s="32" t="str">
        <f t="shared" si="1669"/>
        <v/>
      </c>
      <c r="AI71" s="32" t="str">
        <f t="shared" si="1669"/>
        <v/>
      </c>
      <c r="AJ71" s="32" t="str">
        <f t="shared" si="1669"/>
        <v/>
      </c>
      <c r="AK71" s="32" t="str">
        <f t="shared" si="1669"/>
        <v/>
      </c>
      <c r="AL71" s="33" t="str">
        <f>IF(SUBTOTAL(9,AL73:AL77,AL79:AL83,AL85:AL89,AL91:AL95,AL97:AL101)&gt;0,SUBTOTAL(9,AL73:AL77,AL79:AL83,AL85:AL89,AL91:AL95,AL97:AL101),"")</f>
        <v/>
      </c>
      <c r="AM71" s="33" t="str">
        <f t="shared" ref="AM71:CV71" si="1670">IF(SUBTOTAL(9,AM73:AM77,AM79:AM83,AM85:AM89,AM91:AM95,AM97:AM101)&gt;0,SUBTOTAL(9,AM73:AM77,AM79:AM83,AM85:AM89,AM91:AM95,AM97:AM101),"")</f>
        <v/>
      </c>
      <c r="AN71" s="33" t="str">
        <f t="shared" si="1670"/>
        <v/>
      </c>
      <c r="AO71" s="33" t="str">
        <f t="shared" si="1670"/>
        <v/>
      </c>
      <c r="AP71" s="33" t="str">
        <f t="shared" si="1670"/>
        <v/>
      </c>
      <c r="AQ71" s="33" t="str">
        <f t="shared" si="1670"/>
        <v/>
      </c>
      <c r="AR71" s="33" t="str">
        <f t="shared" si="1670"/>
        <v/>
      </c>
      <c r="AS71" s="32">
        <f t="shared" si="1670"/>
        <v>1</v>
      </c>
      <c r="AT71" s="32">
        <f t="shared" si="1670"/>
        <v>1</v>
      </c>
      <c r="AU71" s="32">
        <f t="shared" si="1670"/>
        <v>1</v>
      </c>
      <c r="AV71" s="32">
        <f t="shared" si="1670"/>
        <v>1</v>
      </c>
      <c r="AW71" s="32">
        <f t="shared" si="1670"/>
        <v>1</v>
      </c>
      <c r="AX71" s="32">
        <f t="shared" si="1670"/>
        <v>1</v>
      </c>
      <c r="AY71" s="32" t="str">
        <f t="shared" si="1670"/>
        <v/>
      </c>
      <c r="AZ71" s="32" t="str">
        <f t="shared" si="1670"/>
        <v/>
      </c>
      <c r="BA71" s="32" t="str">
        <f t="shared" si="1670"/>
        <v/>
      </c>
      <c r="BB71" s="32" t="str">
        <f t="shared" si="1670"/>
        <v/>
      </c>
      <c r="BC71" s="32" t="str">
        <f t="shared" si="1670"/>
        <v/>
      </c>
      <c r="BD71" s="32" t="str">
        <f t="shared" si="1670"/>
        <v/>
      </c>
      <c r="BE71" s="32" t="str">
        <f t="shared" si="1670"/>
        <v/>
      </c>
      <c r="BF71" s="32" t="str">
        <f t="shared" si="1670"/>
        <v/>
      </c>
      <c r="BG71" s="32" t="str">
        <f t="shared" si="1670"/>
        <v/>
      </c>
      <c r="BH71" s="32" t="str">
        <f t="shared" si="1670"/>
        <v/>
      </c>
      <c r="BI71" s="32" t="str">
        <f t="shared" si="1670"/>
        <v/>
      </c>
      <c r="BJ71" s="32" t="str">
        <f t="shared" si="1670"/>
        <v/>
      </c>
      <c r="BK71" s="32" t="str">
        <f t="shared" si="1670"/>
        <v/>
      </c>
      <c r="BL71" s="32" t="str">
        <f t="shared" si="1670"/>
        <v/>
      </c>
      <c r="BM71" s="32" t="str">
        <f t="shared" si="1670"/>
        <v/>
      </c>
      <c r="BN71" s="32" t="str">
        <f t="shared" si="1670"/>
        <v/>
      </c>
      <c r="BO71" s="32" t="str">
        <f t="shared" si="1670"/>
        <v/>
      </c>
      <c r="BP71" s="32" t="str">
        <f t="shared" si="1670"/>
        <v/>
      </c>
      <c r="BQ71" s="32" t="str">
        <f t="shared" si="1670"/>
        <v/>
      </c>
      <c r="BR71" s="32" t="str">
        <f t="shared" si="1670"/>
        <v/>
      </c>
      <c r="BS71" s="32" t="str">
        <f t="shared" si="1670"/>
        <v/>
      </c>
      <c r="BT71" s="32" t="str">
        <f t="shared" si="1670"/>
        <v/>
      </c>
      <c r="BU71" s="32" t="str">
        <f t="shared" si="1670"/>
        <v/>
      </c>
      <c r="BV71" s="32" t="str">
        <f t="shared" si="1670"/>
        <v/>
      </c>
      <c r="BW71" s="32" t="str">
        <f t="shared" si="1670"/>
        <v/>
      </c>
      <c r="BX71" s="32" t="str">
        <f t="shared" si="1670"/>
        <v/>
      </c>
      <c r="BY71" s="32" t="str">
        <f t="shared" si="1670"/>
        <v/>
      </c>
      <c r="BZ71" s="32" t="str">
        <f t="shared" si="1670"/>
        <v/>
      </c>
      <c r="CA71" s="32" t="str">
        <f t="shared" si="1670"/>
        <v/>
      </c>
      <c r="CB71" s="32" t="str">
        <f t="shared" si="1670"/>
        <v/>
      </c>
      <c r="CC71" s="32" t="str">
        <f t="shared" si="1670"/>
        <v/>
      </c>
      <c r="CD71" s="32" t="str">
        <f t="shared" si="1670"/>
        <v/>
      </c>
      <c r="CE71" s="32" t="str">
        <f t="shared" si="1670"/>
        <v/>
      </c>
      <c r="CF71" s="32" t="str">
        <f t="shared" si="1670"/>
        <v/>
      </c>
      <c r="CG71" s="32">
        <f>IF(SUBTOTAL(9,CG73:CG77,CG79:CG83,CG85:CG89,CG91:CG95,CG97:CG101)&gt;0,SUBTOTAL(9,CG73:CG77,CG79:CG83,CG85:CG89,CG91:CG95,CG97:CG101),"")</f>
        <v>1</v>
      </c>
      <c r="CH71" s="32">
        <f>IF(SUBTOTAL(9,CH73:CH77,CH79:CH83,CH85:CH89,CH91:CH95,CH97:CH101)&gt;0,SUBTOTAL(9,CH73:CH77,CH79:CH83,CH85:CH89,CH91:CH95,CH97:CH101),"")</f>
        <v>1</v>
      </c>
      <c r="CI71" s="32">
        <f>IF(SUBTOTAL(9,CI73:CI77,CI79:CI83,CI85:CI89,CI91:CI95,CI97:CI101)&gt;0,SUBTOTAL(9,CI73:CI77,CI79:CI83,CI85:CI89,CI91:CI95,CI97:CI101),"")</f>
        <v>1</v>
      </c>
      <c r="CJ71" s="32">
        <f>IF(SUBTOTAL(9,CJ73:CJ77,CJ79:CJ83,CJ85:CJ89,CJ91:CJ95,CJ97:CJ101)&gt;0,SUBTOTAL(9,CJ73:CJ77,CJ79:CJ83,CJ85:CJ89,CJ91:CJ95,CJ97:CJ101),"")</f>
        <v>1</v>
      </c>
      <c r="CK71" s="32">
        <f>IF(SUBTOTAL(9,CK73:CK77,CK79:CK83,CK85:CK89,CK91:CK95,CK97:CK101)&gt;0,SUBTOTAL(9,CK73:CK77,CK79:CK83,CK85:CK89,CK91:CK95,CK97:CK101),"")</f>
        <v>1</v>
      </c>
      <c r="CL71" s="32" t="str">
        <f t="shared" si="1670"/>
        <v/>
      </c>
      <c r="CM71" s="32" t="str">
        <f t="shared" si="1670"/>
        <v/>
      </c>
      <c r="CN71" s="32" t="str">
        <f t="shared" si="1670"/>
        <v/>
      </c>
      <c r="CO71" s="32">
        <f>IF(SUBTOTAL(9,CO73:CO77,CO79:CO83,CO85:CO89,CO91:CO95,CO97:CO101)&gt;0,SUBTOTAL(9,CO73:CO77,CO79:CO83,CO85:CO89,CO91:CO95,CO97:CO101),"")</f>
        <v>1</v>
      </c>
      <c r="CP71" s="32">
        <f>IF(SUBTOTAL(9,CP73:CP77,CP79:CP83,CP85:CP89,CP91:CP95,CP97:CP101)&gt;0,SUBTOTAL(9,CP73:CP77,CP79:CP83,CP85:CP89,CP91:CP95,CP97:CP101),"")</f>
        <v>1</v>
      </c>
      <c r="CQ71" s="32">
        <f>IF(SUBTOTAL(9,CQ73:CQ77,CQ79:CQ83,CQ85:CQ89,CQ91:CQ95,CQ97:CQ101)&gt;0,SUBTOTAL(9,CQ73:CQ77,CQ79:CQ83,CQ85:CQ89,CQ91:CQ95,CQ97:CQ101),"")</f>
        <v>1</v>
      </c>
      <c r="CR71" s="32">
        <f>IF(SUBTOTAL(9,CR73:CR77,CR79:CR83,CR85:CR89,CR91:CR95,CR97:CR101)&gt;0,SUBTOTAL(9,CR73:CR77,CR79:CR83,CR85:CR89,CR91:CR95,CR97:CR101),"")</f>
        <v>1</v>
      </c>
      <c r="CS71" s="32">
        <f>IF(SUBTOTAL(9,CS73:CS77,CS79:CS83,CS85:CS89,CS91:CS95,CS97:CS101)&gt;0,SUBTOTAL(9,CS73:CS77,CS79:CS83,CS85:CS89,CS91:CS95,CS97:CS101),"")</f>
        <v>1</v>
      </c>
      <c r="CT71" s="33" t="str">
        <f t="shared" si="1670"/>
        <v/>
      </c>
      <c r="CU71" s="32" t="str">
        <f t="shared" si="1670"/>
        <v/>
      </c>
      <c r="CV71" s="32" t="str">
        <f t="shared" si="1670"/>
        <v/>
      </c>
      <c r="CW71" s="32" t="str">
        <f>IF(SUBTOTAL(9,CW73:CW77,CW79:CW83,CW85:CW89,CW91:CW95,CW97:CW101)&gt;0,SUBTOTAL(9,CW73:CW77,CW79:CW83,CW85:CW89,CW91:CW95,CW97:CW101),"")</f>
        <v/>
      </c>
      <c r="CX71" s="32">
        <f>IF(SUBTOTAL(9,CX73:CX77,CX79:CX83,CX85:CX89,CX91:CX95,CX97:CX101)&gt;0,SUBTOTAL(9,CX73:CX77,CX79:CX83,CX85:CX89,CX91:CX95,CX97:CX101),"")</f>
        <v>0.5</v>
      </c>
      <c r="CY71" s="32" t="str">
        <f t="shared" ref="CY71:FJ71" si="1671">IF(SUBTOTAL(9,CY73:CY77,CY79:CY83,CY85:CY89,CY91:CY95,CY97:CY101)&gt;0,SUBTOTAL(9,CY73:CY77,CY79:CY83,CY85:CY89,CY91:CY95,CY97:CY101),"")</f>
        <v/>
      </c>
      <c r="CZ71" s="33" t="str">
        <f t="shared" si="1671"/>
        <v/>
      </c>
      <c r="DA71" s="33" t="str">
        <f t="shared" si="1671"/>
        <v/>
      </c>
      <c r="DB71" s="32">
        <f>IF(SUBTOTAL(9,DB73:DB77,DB79:DB83,DB85:DB89,DB91:DB95,DB97:DB101)&gt;0,SUBTOTAL(9,DB73:DB77,DB79:DB83,DB85:DB89,DB91:DB95,DB97:DB101),"")</f>
        <v>1.5</v>
      </c>
      <c r="DC71" s="32" t="str">
        <f t="shared" si="1671"/>
        <v/>
      </c>
      <c r="DD71" s="32" t="str">
        <f t="shared" si="1671"/>
        <v/>
      </c>
      <c r="DE71" s="32" t="str">
        <f t="shared" si="1671"/>
        <v/>
      </c>
      <c r="DF71" s="32" t="str">
        <f t="shared" si="1671"/>
        <v/>
      </c>
      <c r="DG71" s="32" t="str">
        <f t="shared" si="1671"/>
        <v/>
      </c>
      <c r="DH71" s="32" t="str">
        <f t="shared" si="1671"/>
        <v/>
      </c>
      <c r="DI71" s="32" t="str">
        <f t="shared" si="1671"/>
        <v/>
      </c>
      <c r="DJ71" s="32" t="str">
        <f t="shared" si="1671"/>
        <v/>
      </c>
      <c r="DK71" s="32" t="str">
        <f t="shared" si="1671"/>
        <v/>
      </c>
      <c r="DL71" s="32" t="str">
        <f t="shared" si="1671"/>
        <v/>
      </c>
      <c r="DM71" s="32" t="str">
        <f t="shared" si="1671"/>
        <v/>
      </c>
      <c r="DN71" s="32" t="str">
        <f t="shared" si="1671"/>
        <v/>
      </c>
      <c r="DO71" s="32" t="str">
        <f t="shared" si="1671"/>
        <v/>
      </c>
      <c r="DP71" s="32" t="str">
        <f t="shared" si="1671"/>
        <v/>
      </c>
      <c r="DQ71" s="32" t="str">
        <f t="shared" si="1671"/>
        <v/>
      </c>
      <c r="DR71" s="32" t="str">
        <f t="shared" si="1671"/>
        <v/>
      </c>
      <c r="DS71" s="32" t="str">
        <f t="shared" si="1671"/>
        <v/>
      </c>
      <c r="DT71" s="32" t="str">
        <f t="shared" si="1671"/>
        <v/>
      </c>
      <c r="DU71" s="32" t="str">
        <f t="shared" si="1671"/>
        <v/>
      </c>
      <c r="DV71" s="32" t="str">
        <f t="shared" si="1671"/>
        <v/>
      </c>
      <c r="DW71" s="32" t="str">
        <f t="shared" si="1671"/>
        <v/>
      </c>
      <c r="DX71" s="32" t="str">
        <f t="shared" si="1671"/>
        <v/>
      </c>
      <c r="DY71" s="32" t="str">
        <f t="shared" si="1671"/>
        <v/>
      </c>
      <c r="DZ71" s="33" t="str">
        <f t="shared" si="1671"/>
        <v/>
      </c>
      <c r="EA71" s="32" t="str">
        <f t="shared" si="1671"/>
        <v/>
      </c>
      <c r="EB71" s="32" t="str">
        <f t="shared" si="1671"/>
        <v/>
      </c>
      <c r="EC71" s="32" t="str">
        <f t="shared" si="1671"/>
        <v/>
      </c>
      <c r="ED71" s="32" t="str">
        <f t="shared" si="1671"/>
        <v/>
      </c>
      <c r="EE71" s="32" t="str">
        <f t="shared" si="1671"/>
        <v/>
      </c>
      <c r="EF71" s="32" t="str">
        <f t="shared" si="1671"/>
        <v/>
      </c>
      <c r="EG71" s="32" t="str">
        <f t="shared" si="1671"/>
        <v/>
      </c>
      <c r="EH71" s="32" t="str">
        <f t="shared" si="1671"/>
        <v/>
      </c>
      <c r="EI71" s="32" t="str">
        <f t="shared" si="1671"/>
        <v/>
      </c>
      <c r="EJ71" s="32" t="str">
        <f t="shared" si="1671"/>
        <v/>
      </c>
      <c r="EK71" s="32" t="str">
        <f t="shared" si="1671"/>
        <v/>
      </c>
      <c r="EL71" s="32" t="str">
        <f t="shared" si="1671"/>
        <v/>
      </c>
      <c r="EM71" s="32" t="str">
        <f t="shared" si="1671"/>
        <v/>
      </c>
      <c r="EN71" s="32" t="str">
        <f t="shared" si="1671"/>
        <v/>
      </c>
      <c r="EO71" s="32" t="str">
        <f t="shared" si="1671"/>
        <v/>
      </c>
      <c r="EP71" s="32" t="str">
        <f t="shared" si="1671"/>
        <v/>
      </c>
      <c r="EQ71" s="32" t="str">
        <f t="shared" si="1671"/>
        <v/>
      </c>
      <c r="ER71" s="32" t="str">
        <f t="shared" si="1671"/>
        <v/>
      </c>
      <c r="ES71" s="32" t="str">
        <f t="shared" si="1671"/>
        <v/>
      </c>
      <c r="ET71" s="32" t="str">
        <f t="shared" si="1671"/>
        <v/>
      </c>
      <c r="EU71" s="32" t="str">
        <f t="shared" si="1671"/>
        <v/>
      </c>
      <c r="EV71" s="32" t="str">
        <f t="shared" si="1671"/>
        <v/>
      </c>
      <c r="EW71" s="32" t="str">
        <f t="shared" si="1671"/>
        <v/>
      </c>
      <c r="EX71" s="32" t="str">
        <f t="shared" si="1671"/>
        <v/>
      </c>
      <c r="EY71" s="33" t="str">
        <f t="shared" si="1671"/>
        <v/>
      </c>
      <c r="EZ71" s="32" t="str">
        <f t="shared" si="1671"/>
        <v/>
      </c>
      <c r="FA71" s="32" t="str">
        <f t="shared" si="1671"/>
        <v/>
      </c>
      <c r="FB71" s="32" t="str">
        <f t="shared" si="1671"/>
        <v/>
      </c>
      <c r="FC71" s="32" t="str">
        <f t="shared" si="1671"/>
        <v/>
      </c>
      <c r="FD71" s="32" t="str">
        <f t="shared" si="1671"/>
        <v/>
      </c>
      <c r="FE71" s="32" t="str">
        <f t="shared" si="1671"/>
        <v/>
      </c>
      <c r="FF71" s="32" t="str">
        <f t="shared" si="1671"/>
        <v/>
      </c>
      <c r="FG71" s="32" t="str">
        <f t="shared" si="1671"/>
        <v/>
      </c>
      <c r="FH71" s="32" t="str">
        <f t="shared" si="1671"/>
        <v/>
      </c>
      <c r="FI71" s="32" t="str">
        <f t="shared" si="1671"/>
        <v/>
      </c>
      <c r="FJ71" s="32" t="str">
        <f t="shared" si="1671"/>
        <v/>
      </c>
      <c r="FK71" s="32" t="str">
        <f t="shared" ref="FK71:FQ71" si="1672">IF(SUBTOTAL(9,FK73:FK77,FK79:FK83,FK85:FK89,FK91:FK95,FK97:FK101)&gt;0,SUBTOTAL(9,FK73:FK77,FK79:FK83,FK85:FK89,FK91:FK95,FK97:FK101),"")</f>
        <v/>
      </c>
      <c r="FL71" s="32" t="str">
        <f t="shared" si="1672"/>
        <v/>
      </c>
      <c r="FM71" s="32" t="str">
        <f t="shared" si="1672"/>
        <v/>
      </c>
      <c r="FN71" s="32" t="str">
        <f t="shared" si="1672"/>
        <v/>
      </c>
      <c r="FO71" s="32" t="str">
        <f t="shared" si="1672"/>
        <v/>
      </c>
      <c r="FP71" s="32" t="str">
        <f t="shared" si="1672"/>
        <v/>
      </c>
      <c r="FQ71" s="90" t="str">
        <f t="shared" si="1672"/>
        <v/>
      </c>
      <c r="FR71" s="8"/>
      <c r="FS71" s="9" t="s">
        <v>131</v>
      </c>
      <c r="FT71" s="9" t="str">
        <f t="shared" si="151"/>
        <v/>
      </c>
    </row>
    <row r="72" spans="1:176" s="9" customFormat="1" ht="12" customHeight="1">
      <c r="A72" s="119" t="s">
        <v>64</v>
      </c>
      <c r="B72" s="127"/>
      <c r="C72" s="121" t="str">
        <f t="shared" si="9"/>
        <v>12 days</v>
      </c>
      <c r="D72" s="27"/>
      <c r="E72" s="91" t="str">
        <f t="shared" ref="E72" si="1673">IF(SUBTOTAL(9,E73:E77)&gt;0,SUBTOTAL(9,E73:E77),"")</f>
        <v/>
      </c>
      <c r="F72" s="34" t="str">
        <f t="shared" ref="F72" si="1674">IF(SUBTOTAL(9,F73:F77)&gt;0,SUBTOTAL(9,F73:F77),"")</f>
        <v/>
      </c>
      <c r="G72" s="34" t="str">
        <f t="shared" ref="G72" si="1675">IF(SUBTOTAL(9,G73:G77)&gt;0,SUBTOTAL(9,G73:G77),"")</f>
        <v/>
      </c>
      <c r="H72" s="34" t="str">
        <f t="shared" ref="H72" si="1676">IF(SUBTOTAL(9,H73:H77)&gt;0,SUBTOTAL(9,H73:H77),"")</f>
        <v/>
      </c>
      <c r="I72" s="34" t="str">
        <f t="shared" ref="I72" si="1677">IF(SUBTOTAL(9,I73:I77)&gt;0,SUBTOTAL(9,I73:I77),"")</f>
        <v/>
      </c>
      <c r="J72" s="34" t="str">
        <f t="shared" ref="J72" si="1678">IF(SUBTOTAL(9,J73:J77)&gt;0,SUBTOTAL(9,J73:J77),"")</f>
        <v/>
      </c>
      <c r="K72" s="34" t="str">
        <f t="shared" ref="K72" si="1679">IF(SUBTOTAL(9,K73:K77)&gt;0,SUBTOTAL(9,K73:K77),"")</f>
        <v/>
      </c>
      <c r="L72" s="34" t="str">
        <f t="shared" ref="L72" si="1680">IF(SUBTOTAL(9,L73:L77)&gt;0,SUBTOTAL(9,L73:L77),"")</f>
        <v/>
      </c>
      <c r="M72" s="34" t="str">
        <f t="shared" ref="M72" si="1681">IF(SUBTOTAL(9,M73:M77)&gt;0,SUBTOTAL(9,M73:M77),"")</f>
        <v/>
      </c>
      <c r="N72" s="34" t="str">
        <f t="shared" ref="N72" si="1682">IF(SUBTOTAL(9,N73:N77)&gt;0,SUBTOTAL(9,N73:N77),"")</f>
        <v/>
      </c>
      <c r="O72" s="34">
        <f t="shared" ref="O72" si="1683">IF(SUBTOTAL(9,O73:O77)&gt;0,SUBTOTAL(9,O73:O77),"")</f>
        <v>1</v>
      </c>
      <c r="P72" s="34" t="str">
        <f t="shared" ref="P72" si="1684">IF(SUBTOTAL(9,P73:P77)&gt;0,SUBTOTAL(9,P73:P77),"")</f>
        <v/>
      </c>
      <c r="Q72" s="34" t="str">
        <f t="shared" ref="Q72" si="1685">IF(SUBTOTAL(9,Q73:Q77)&gt;0,SUBTOTAL(9,Q73:Q77),"")</f>
        <v/>
      </c>
      <c r="R72" s="34" t="str">
        <f t="shared" ref="R72" si="1686">IF(SUBTOTAL(9,R73:R77)&gt;0,SUBTOTAL(9,R73:R77),"")</f>
        <v/>
      </c>
      <c r="S72" s="34" t="str">
        <f t="shared" ref="S72" si="1687">IF(SUBTOTAL(9,S73:S77)&gt;0,SUBTOTAL(9,S73:S77),"")</f>
        <v/>
      </c>
      <c r="T72" s="34" t="str">
        <f t="shared" ref="T72" si="1688">IF(SUBTOTAL(9,T73:T77)&gt;0,SUBTOTAL(9,T73:T77),"")</f>
        <v/>
      </c>
      <c r="U72" s="34" t="str">
        <f t="shared" ref="U72" si="1689">IF(SUBTOTAL(9,U73:U77)&gt;0,SUBTOTAL(9,U73:U77),"")</f>
        <v/>
      </c>
      <c r="V72" s="34" t="str">
        <f t="shared" ref="V72" si="1690">IF(SUBTOTAL(9,V73:V77)&gt;0,SUBTOTAL(9,V73:V77),"")</f>
        <v/>
      </c>
      <c r="W72" s="34" t="str">
        <f t="shared" ref="W72" si="1691">IF(SUBTOTAL(9,W73:W77)&gt;0,SUBTOTAL(9,W73:W77),"")</f>
        <v/>
      </c>
      <c r="X72" s="34" t="str">
        <f t="shared" ref="X72" si="1692">IF(SUBTOTAL(9,X73:X77)&gt;0,SUBTOTAL(9,X73:X77),"")</f>
        <v/>
      </c>
      <c r="Y72" s="34" t="str">
        <f t="shared" ref="Y72" si="1693">IF(SUBTOTAL(9,Y73:Y77)&gt;0,SUBTOTAL(9,Y73:Y77),"")</f>
        <v/>
      </c>
      <c r="Z72" s="34" t="str">
        <f t="shared" ref="Z72" si="1694">IF(SUBTOTAL(9,Z73:Z77)&gt;0,SUBTOTAL(9,Z73:Z77),"")</f>
        <v/>
      </c>
      <c r="AA72" s="34" t="str">
        <f t="shared" ref="AA72" si="1695">IF(SUBTOTAL(9,AA73:AA77)&gt;0,SUBTOTAL(9,AA73:AA77),"")</f>
        <v/>
      </c>
      <c r="AB72" s="34" t="str">
        <f t="shared" ref="AB72" si="1696">IF(SUBTOTAL(9,AB73:AB77)&gt;0,SUBTOTAL(9,AB73:AB77),"")</f>
        <v/>
      </c>
      <c r="AC72" s="34" t="str">
        <f t="shared" ref="AC72" si="1697">IF(SUBTOTAL(9,AC73:AC77)&gt;0,SUBTOTAL(9,AC73:AC77),"")</f>
        <v/>
      </c>
      <c r="AD72" s="34" t="str">
        <f t="shared" ref="AD72" si="1698">IF(SUBTOTAL(9,AD73:AD77)&gt;0,SUBTOTAL(9,AD73:AD77),"")</f>
        <v/>
      </c>
      <c r="AE72" s="34" t="str">
        <f t="shared" ref="AE72" si="1699">IF(SUBTOTAL(9,AE73:AE77)&gt;0,SUBTOTAL(9,AE73:AE77),"")</f>
        <v/>
      </c>
      <c r="AF72" s="34" t="str">
        <f t="shared" ref="AF72" si="1700">IF(SUBTOTAL(9,AF73:AF77)&gt;0,SUBTOTAL(9,AF73:AF77),"")</f>
        <v/>
      </c>
      <c r="AG72" s="34" t="str">
        <f t="shared" ref="AG72" si="1701">IF(SUBTOTAL(9,AG73:AG77)&gt;0,SUBTOTAL(9,AG73:AG77),"")</f>
        <v/>
      </c>
      <c r="AH72" s="34" t="str">
        <f t="shared" ref="AH72" si="1702">IF(SUBTOTAL(9,AH73:AH77)&gt;0,SUBTOTAL(9,AH73:AH77),"")</f>
        <v/>
      </c>
      <c r="AI72" s="34" t="str">
        <f t="shared" ref="AI72" si="1703">IF(SUBTOTAL(9,AI73:AI77)&gt;0,SUBTOTAL(9,AI73:AI77),"")</f>
        <v/>
      </c>
      <c r="AJ72" s="34" t="str">
        <f t="shared" ref="AJ72" si="1704">IF(SUBTOTAL(9,AJ73:AJ77)&gt;0,SUBTOTAL(9,AJ73:AJ77),"")</f>
        <v/>
      </c>
      <c r="AK72" s="34" t="str">
        <f t="shared" ref="AK72" si="1705">IF(SUBTOTAL(9,AK73:AK77)&gt;0,SUBTOTAL(9,AK73:AK77),"")</f>
        <v/>
      </c>
      <c r="AL72" s="33" t="str">
        <f t="shared" ref="AL72" si="1706">IF(SUBTOTAL(9,AL73:AL77)&gt;0,SUBTOTAL(9,AL73:AL77),"")</f>
        <v/>
      </c>
      <c r="AM72" s="33" t="str">
        <f t="shared" ref="AM72" si="1707">IF(SUBTOTAL(9,AM73:AM77)&gt;0,SUBTOTAL(9,AM73:AM77),"")</f>
        <v/>
      </c>
      <c r="AN72" s="33" t="str">
        <f t="shared" ref="AN72" si="1708">IF(SUBTOTAL(9,AN73:AN77)&gt;0,SUBTOTAL(9,AN73:AN77),"")</f>
        <v/>
      </c>
      <c r="AO72" s="33" t="str">
        <f t="shared" ref="AO72" si="1709">IF(SUBTOTAL(9,AO73:AO77)&gt;0,SUBTOTAL(9,AO73:AO77),"")</f>
        <v/>
      </c>
      <c r="AP72" s="33" t="str">
        <f t="shared" ref="AP72" si="1710">IF(SUBTOTAL(9,AP73:AP77)&gt;0,SUBTOTAL(9,AP73:AP77),"")</f>
        <v/>
      </c>
      <c r="AQ72" s="33" t="str">
        <f t="shared" ref="AQ72" si="1711">IF(SUBTOTAL(9,AQ73:AQ77)&gt;0,SUBTOTAL(9,AQ73:AQ77),"")</f>
        <v/>
      </c>
      <c r="AR72" s="33" t="str">
        <f t="shared" ref="AR72" si="1712">IF(SUBTOTAL(9,AR73:AR77)&gt;0,SUBTOTAL(9,AR73:AR77),"")</f>
        <v/>
      </c>
      <c r="AS72" s="34">
        <f t="shared" ref="AS72" si="1713">IF(SUBTOTAL(9,AS73:AS77)&gt;0,SUBTOTAL(9,AS73:AS77),"")</f>
        <v>1</v>
      </c>
      <c r="AT72" s="34">
        <f t="shared" ref="AT72" si="1714">IF(SUBTOTAL(9,AT73:AT77)&gt;0,SUBTOTAL(9,AT73:AT77),"")</f>
        <v>1</v>
      </c>
      <c r="AU72" s="34">
        <f t="shared" ref="AU72" si="1715">IF(SUBTOTAL(9,AU73:AU77)&gt;0,SUBTOTAL(9,AU73:AU77),"")</f>
        <v>1</v>
      </c>
      <c r="AV72" s="34">
        <f t="shared" ref="AV72" si="1716">IF(SUBTOTAL(9,AV73:AV77)&gt;0,SUBTOTAL(9,AV73:AV77),"")</f>
        <v>1</v>
      </c>
      <c r="AW72" s="34">
        <f t="shared" ref="AW72" si="1717">IF(SUBTOTAL(9,AW73:AW77)&gt;0,SUBTOTAL(9,AW73:AW77),"")</f>
        <v>1</v>
      </c>
      <c r="AX72" s="34">
        <f t="shared" ref="AX72" si="1718">IF(SUBTOTAL(9,AX73:AX77)&gt;0,SUBTOTAL(9,AX73:AX77),"")</f>
        <v>1</v>
      </c>
      <c r="AY72" s="34" t="str">
        <f t="shared" ref="AY72" si="1719">IF(SUBTOTAL(9,AY73:AY77)&gt;0,SUBTOTAL(9,AY73:AY77),"")</f>
        <v/>
      </c>
      <c r="AZ72" s="34" t="str">
        <f t="shared" ref="AZ72" si="1720">IF(SUBTOTAL(9,AZ73:AZ77)&gt;0,SUBTOTAL(9,AZ73:AZ77),"")</f>
        <v/>
      </c>
      <c r="BA72" s="34" t="str">
        <f t="shared" ref="BA72" si="1721">IF(SUBTOTAL(9,BA73:BA77)&gt;0,SUBTOTAL(9,BA73:BA77),"")</f>
        <v/>
      </c>
      <c r="BB72" s="34" t="str">
        <f t="shared" ref="BB72" si="1722">IF(SUBTOTAL(9,BB73:BB77)&gt;0,SUBTOTAL(9,BB73:BB77),"")</f>
        <v/>
      </c>
      <c r="BC72" s="34" t="str">
        <f t="shared" ref="BC72" si="1723">IF(SUBTOTAL(9,BC73:BC77)&gt;0,SUBTOTAL(9,BC73:BC77),"")</f>
        <v/>
      </c>
      <c r="BD72" s="34" t="str">
        <f t="shared" ref="BD72" si="1724">IF(SUBTOTAL(9,BD73:BD77)&gt;0,SUBTOTAL(9,BD73:BD77),"")</f>
        <v/>
      </c>
      <c r="BE72" s="34" t="str">
        <f t="shared" ref="BE72" si="1725">IF(SUBTOTAL(9,BE73:BE77)&gt;0,SUBTOTAL(9,BE73:BE77),"")</f>
        <v/>
      </c>
      <c r="BF72" s="34" t="str">
        <f t="shared" ref="BF72" si="1726">IF(SUBTOTAL(9,BF73:BF77)&gt;0,SUBTOTAL(9,BF73:BF77),"")</f>
        <v/>
      </c>
      <c r="BG72" s="34" t="str">
        <f t="shared" ref="BG72" si="1727">IF(SUBTOTAL(9,BG73:BG77)&gt;0,SUBTOTAL(9,BG73:BG77),"")</f>
        <v/>
      </c>
      <c r="BH72" s="34" t="str">
        <f t="shared" ref="BH72" si="1728">IF(SUBTOTAL(9,BH73:BH77)&gt;0,SUBTOTAL(9,BH73:BH77),"")</f>
        <v/>
      </c>
      <c r="BI72" s="34" t="str">
        <f t="shared" ref="BI72" si="1729">IF(SUBTOTAL(9,BI73:BI77)&gt;0,SUBTOTAL(9,BI73:BI77),"")</f>
        <v/>
      </c>
      <c r="BJ72" s="34" t="str">
        <f t="shared" ref="BJ72" si="1730">IF(SUBTOTAL(9,BJ73:BJ77)&gt;0,SUBTOTAL(9,BJ73:BJ77),"")</f>
        <v/>
      </c>
      <c r="BK72" s="34" t="str">
        <f t="shared" ref="BK72" si="1731">IF(SUBTOTAL(9,BK73:BK77)&gt;0,SUBTOTAL(9,BK73:BK77),"")</f>
        <v/>
      </c>
      <c r="BL72" s="34" t="str">
        <f t="shared" ref="BL72" si="1732">IF(SUBTOTAL(9,BL73:BL77)&gt;0,SUBTOTAL(9,BL73:BL77),"")</f>
        <v/>
      </c>
      <c r="BM72" s="34" t="str">
        <f t="shared" ref="BM72" si="1733">IF(SUBTOTAL(9,BM73:BM77)&gt;0,SUBTOTAL(9,BM73:BM77),"")</f>
        <v/>
      </c>
      <c r="BN72" s="34" t="str">
        <f t="shared" ref="BN72" si="1734">IF(SUBTOTAL(9,BN73:BN77)&gt;0,SUBTOTAL(9,BN73:BN77),"")</f>
        <v/>
      </c>
      <c r="BO72" s="34" t="str">
        <f t="shared" ref="BO72" si="1735">IF(SUBTOTAL(9,BO73:BO77)&gt;0,SUBTOTAL(9,BO73:BO77),"")</f>
        <v/>
      </c>
      <c r="BP72" s="34" t="str">
        <f t="shared" ref="BP72" si="1736">IF(SUBTOTAL(9,BP73:BP77)&gt;0,SUBTOTAL(9,BP73:BP77),"")</f>
        <v/>
      </c>
      <c r="BQ72" s="34" t="str">
        <f t="shared" ref="BQ72" si="1737">IF(SUBTOTAL(9,BQ73:BQ77)&gt;0,SUBTOTAL(9,BQ73:BQ77),"")</f>
        <v/>
      </c>
      <c r="BR72" s="34" t="str">
        <f t="shared" ref="BR72" si="1738">IF(SUBTOTAL(9,BR73:BR77)&gt;0,SUBTOTAL(9,BR73:BR77),"")</f>
        <v/>
      </c>
      <c r="BS72" s="34" t="str">
        <f t="shared" ref="BS72" si="1739">IF(SUBTOTAL(9,BS73:BS77)&gt;0,SUBTOTAL(9,BS73:BS77),"")</f>
        <v/>
      </c>
      <c r="BT72" s="34" t="str">
        <f t="shared" ref="BT72" si="1740">IF(SUBTOTAL(9,BT73:BT77)&gt;0,SUBTOTAL(9,BT73:BT77),"")</f>
        <v/>
      </c>
      <c r="BU72" s="34" t="str">
        <f t="shared" ref="BU72" si="1741">IF(SUBTOTAL(9,BU73:BU77)&gt;0,SUBTOTAL(9,BU73:BU77),"")</f>
        <v/>
      </c>
      <c r="BV72" s="34" t="str">
        <f t="shared" ref="BV72" si="1742">IF(SUBTOTAL(9,BV73:BV77)&gt;0,SUBTOTAL(9,BV73:BV77),"")</f>
        <v/>
      </c>
      <c r="BW72" s="34" t="str">
        <f t="shared" ref="BW72" si="1743">IF(SUBTOTAL(9,BW73:BW77)&gt;0,SUBTOTAL(9,BW73:BW77),"")</f>
        <v/>
      </c>
      <c r="BX72" s="34" t="str">
        <f t="shared" ref="BX72" si="1744">IF(SUBTOTAL(9,BX73:BX77)&gt;0,SUBTOTAL(9,BX73:BX77),"")</f>
        <v/>
      </c>
      <c r="BY72" s="34" t="str">
        <f t="shared" ref="BY72" si="1745">IF(SUBTOTAL(9,BY73:BY77)&gt;0,SUBTOTAL(9,BY73:BY77),"")</f>
        <v/>
      </c>
      <c r="BZ72" s="34" t="str">
        <f t="shared" ref="BZ72" si="1746">IF(SUBTOTAL(9,BZ73:BZ77)&gt;0,SUBTOTAL(9,BZ73:BZ77),"")</f>
        <v/>
      </c>
      <c r="CA72" s="34" t="str">
        <f t="shared" ref="CA72" si="1747">IF(SUBTOTAL(9,CA73:CA77)&gt;0,SUBTOTAL(9,CA73:CA77),"")</f>
        <v/>
      </c>
      <c r="CB72" s="34" t="str">
        <f t="shared" ref="CB72" si="1748">IF(SUBTOTAL(9,CB73:CB77)&gt;0,SUBTOTAL(9,CB73:CB77),"")</f>
        <v/>
      </c>
      <c r="CC72" s="34" t="str">
        <f t="shared" ref="CC72" si="1749">IF(SUBTOTAL(9,CC73:CC77)&gt;0,SUBTOTAL(9,CC73:CC77),"")</f>
        <v/>
      </c>
      <c r="CD72" s="34" t="str">
        <f t="shared" ref="CD72" si="1750">IF(SUBTOTAL(9,CD73:CD77)&gt;0,SUBTOTAL(9,CD73:CD77),"")</f>
        <v/>
      </c>
      <c r="CE72" s="34" t="str">
        <f t="shared" ref="CE72" si="1751">IF(SUBTOTAL(9,CE73:CE77)&gt;0,SUBTOTAL(9,CE73:CE77),"")</f>
        <v/>
      </c>
      <c r="CF72" s="34" t="str">
        <f t="shared" ref="CF72" si="1752">IF(SUBTOTAL(9,CF73:CF77)&gt;0,SUBTOTAL(9,CF73:CF77),"")</f>
        <v/>
      </c>
      <c r="CG72" s="34">
        <f>IF(SUBTOTAL(9,CG73:CG77)&gt;0,SUBTOTAL(9,CG73:CG77),"")</f>
        <v>1</v>
      </c>
      <c r="CH72" s="34">
        <f>IF(SUBTOTAL(9,CH73:CH77)&gt;0,SUBTOTAL(9,CH73:CH77),"")</f>
        <v>1</v>
      </c>
      <c r="CI72" s="34">
        <f>IF(SUBTOTAL(9,CI73:CI77)&gt;0,SUBTOTAL(9,CI73:CI77),"")</f>
        <v>1</v>
      </c>
      <c r="CJ72" s="34">
        <f>IF(SUBTOTAL(9,CJ73:CJ77)&gt;0,SUBTOTAL(9,CJ73:CJ77),"")</f>
        <v>1</v>
      </c>
      <c r="CK72" s="34">
        <f>IF(SUBTOTAL(9,CK73:CK77)&gt;0,SUBTOTAL(9,CK73:CK77),"")</f>
        <v>1</v>
      </c>
      <c r="CL72" s="34" t="str">
        <f t="shared" ref="CL72" si="1753">IF(SUBTOTAL(9,CL73:CL77)&gt;0,SUBTOTAL(9,CL73:CL77),"")</f>
        <v/>
      </c>
      <c r="CM72" s="34" t="str">
        <f t="shared" ref="CM72" si="1754">IF(SUBTOTAL(9,CM73:CM77)&gt;0,SUBTOTAL(9,CM73:CM77),"")</f>
        <v/>
      </c>
      <c r="CN72" s="34" t="str">
        <f t="shared" ref="CN72" si="1755">IF(SUBTOTAL(9,CN73:CN77)&gt;0,SUBTOTAL(9,CN73:CN77),"")</f>
        <v/>
      </c>
      <c r="CO72" s="34" t="str">
        <f t="shared" ref="CO72" si="1756">IF(SUBTOTAL(9,CO73:CO77)&gt;0,SUBTOTAL(9,CO73:CO77),"")</f>
        <v/>
      </c>
      <c r="CP72" s="34" t="str">
        <f t="shared" ref="CP72" si="1757">IF(SUBTOTAL(9,CP73:CP77)&gt;0,SUBTOTAL(9,CP73:CP77),"")</f>
        <v/>
      </c>
      <c r="CQ72" s="34" t="str">
        <f t="shared" ref="CQ72" si="1758">IF(SUBTOTAL(9,CQ73:CQ77)&gt;0,SUBTOTAL(9,CQ73:CQ77),"")</f>
        <v/>
      </c>
      <c r="CR72" s="34" t="str">
        <f t="shared" ref="CR72" si="1759">IF(SUBTOTAL(9,CR73:CR77)&gt;0,SUBTOTAL(9,CR73:CR77),"")</f>
        <v/>
      </c>
      <c r="CS72" s="34" t="str">
        <f t="shared" ref="CS72" si="1760">IF(SUBTOTAL(9,CS73:CS77)&gt;0,SUBTOTAL(9,CS73:CS77),"")</f>
        <v/>
      </c>
      <c r="CT72" s="33" t="str">
        <f t="shared" ref="CT72" si="1761">IF(SUBTOTAL(9,CT73:CT77)&gt;0,SUBTOTAL(9,CT73:CT77),"")</f>
        <v/>
      </c>
      <c r="CU72" s="34" t="str">
        <f t="shared" ref="CU72" si="1762">IF(SUBTOTAL(9,CU73:CU77)&gt;0,SUBTOTAL(9,CU73:CU77),"")</f>
        <v/>
      </c>
      <c r="CV72" s="34" t="str">
        <f t="shared" ref="CV72" si="1763">IF(SUBTOTAL(9,CV73:CV77)&gt;0,SUBTOTAL(9,CV73:CV77),"")</f>
        <v/>
      </c>
      <c r="CW72" s="34" t="str">
        <f t="shared" ref="CW72" si="1764">IF(SUBTOTAL(9,CW73:CW77)&gt;0,SUBTOTAL(9,CW73:CW77),"")</f>
        <v/>
      </c>
      <c r="CX72" s="34" t="str">
        <f t="shared" ref="CX72" si="1765">IF(SUBTOTAL(9,CX73:CX77)&gt;0,SUBTOTAL(9,CX73:CX77),"")</f>
        <v/>
      </c>
      <c r="CY72" s="34" t="str">
        <f t="shared" ref="CY72" si="1766">IF(SUBTOTAL(9,CY73:CY77)&gt;0,SUBTOTAL(9,CY73:CY77),"")</f>
        <v/>
      </c>
      <c r="CZ72" s="33" t="str">
        <f t="shared" ref="CZ72" si="1767">IF(SUBTOTAL(9,CZ73:CZ77)&gt;0,SUBTOTAL(9,CZ73:CZ77),"")</f>
        <v/>
      </c>
      <c r="DA72" s="33" t="str">
        <f t="shared" ref="DA72" si="1768">IF(SUBTOTAL(9,DA73:DA77)&gt;0,SUBTOTAL(9,DA73:DA77),"")</f>
        <v/>
      </c>
      <c r="DB72" s="34" t="str">
        <f t="shared" ref="DB72" si="1769">IF(SUBTOTAL(9,DB73:DB77)&gt;0,SUBTOTAL(9,DB73:DB77),"")</f>
        <v/>
      </c>
      <c r="DC72" s="34" t="str">
        <f t="shared" ref="DC72" si="1770">IF(SUBTOTAL(9,DC73:DC77)&gt;0,SUBTOTAL(9,DC73:DC77),"")</f>
        <v/>
      </c>
      <c r="DD72" s="34" t="str">
        <f t="shared" ref="DD72" si="1771">IF(SUBTOTAL(9,DD73:DD77)&gt;0,SUBTOTAL(9,DD73:DD77),"")</f>
        <v/>
      </c>
      <c r="DE72" s="34" t="str">
        <f t="shared" ref="DE72" si="1772">IF(SUBTOTAL(9,DE73:DE77)&gt;0,SUBTOTAL(9,DE73:DE77),"")</f>
        <v/>
      </c>
      <c r="DF72" s="34" t="str">
        <f t="shared" ref="DF72" si="1773">IF(SUBTOTAL(9,DF73:DF77)&gt;0,SUBTOTAL(9,DF73:DF77),"")</f>
        <v/>
      </c>
      <c r="DG72" s="34" t="str">
        <f t="shared" ref="DG72" si="1774">IF(SUBTOTAL(9,DG73:DG77)&gt;0,SUBTOTAL(9,DG73:DG77),"")</f>
        <v/>
      </c>
      <c r="DH72" s="34" t="str">
        <f t="shared" ref="DH72" si="1775">IF(SUBTOTAL(9,DH73:DH77)&gt;0,SUBTOTAL(9,DH73:DH77),"")</f>
        <v/>
      </c>
      <c r="DI72" s="34" t="str">
        <f t="shared" ref="DI72" si="1776">IF(SUBTOTAL(9,DI73:DI77)&gt;0,SUBTOTAL(9,DI73:DI77),"")</f>
        <v/>
      </c>
      <c r="DJ72" s="34" t="str">
        <f t="shared" ref="DJ72" si="1777">IF(SUBTOTAL(9,DJ73:DJ77)&gt;0,SUBTOTAL(9,DJ73:DJ77),"")</f>
        <v/>
      </c>
      <c r="DK72" s="34" t="str">
        <f t="shared" ref="DK72" si="1778">IF(SUBTOTAL(9,DK73:DK77)&gt;0,SUBTOTAL(9,DK73:DK77),"")</f>
        <v/>
      </c>
      <c r="DL72" s="34" t="str">
        <f t="shared" ref="DL72" si="1779">IF(SUBTOTAL(9,DL73:DL77)&gt;0,SUBTOTAL(9,DL73:DL77),"")</f>
        <v/>
      </c>
      <c r="DM72" s="34" t="str">
        <f t="shared" ref="DM72" si="1780">IF(SUBTOTAL(9,DM73:DM77)&gt;0,SUBTOTAL(9,DM73:DM77),"")</f>
        <v/>
      </c>
      <c r="DN72" s="34" t="str">
        <f t="shared" ref="DN72" si="1781">IF(SUBTOTAL(9,DN73:DN77)&gt;0,SUBTOTAL(9,DN73:DN77),"")</f>
        <v/>
      </c>
      <c r="DO72" s="34" t="str">
        <f t="shared" ref="DO72" si="1782">IF(SUBTOTAL(9,DO73:DO77)&gt;0,SUBTOTAL(9,DO73:DO77),"")</f>
        <v/>
      </c>
      <c r="DP72" s="34" t="str">
        <f t="shared" ref="DP72" si="1783">IF(SUBTOTAL(9,DP73:DP77)&gt;0,SUBTOTAL(9,DP73:DP77),"")</f>
        <v/>
      </c>
      <c r="DQ72" s="34" t="str">
        <f t="shared" ref="DQ72" si="1784">IF(SUBTOTAL(9,DQ73:DQ77)&gt;0,SUBTOTAL(9,DQ73:DQ77),"")</f>
        <v/>
      </c>
      <c r="DR72" s="34" t="str">
        <f t="shared" ref="DR72" si="1785">IF(SUBTOTAL(9,DR73:DR77)&gt;0,SUBTOTAL(9,DR73:DR77),"")</f>
        <v/>
      </c>
      <c r="DS72" s="34" t="str">
        <f t="shared" ref="DS72" si="1786">IF(SUBTOTAL(9,DS73:DS77)&gt;0,SUBTOTAL(9,DS73:DS77),"")</f>
        <v/>
      </c>
      <c r="DT72" s="34" t="str">
        <f t="shared" ref="DT72" si="1787">IF(SUBTOTAL(9,DT73:DT77)&gt;0,SUBTOTAL(9,DT73:DT77),"")</f>
        <v/>
      </c>
      <c r="DU72" s="34" t="str">
        <f t="shared" ref="DU72" si="1788">IF(SUBTOTAL(9,DU73:DU77)&gt;0,SUBTOTAL(9,DU73:DU77),"")</f>
        <v/>
      </c>
      <c r="DV72" s="34" t="str">
        <f t="shared" ref="DV72" si="1789">IF(SUBTOTAL(9,DV73:DV77)&gt;0,SUBTOTAL(9,DV73:DV77),"")</f>
        <v/>
      </c>
      <c r="DW72" s="34" t="str">
        <f t="shared" ref="DW72" si="1790">IF(SUBTOTAL(9,DW73:DW77)&gt;0,SUBTOTAL(9,DW73:DW77),"")</f>
        <v/>
      </c>
      <c r="DX72" s="34" t="str">
        <f t="shared" ref="DX72" si="1791">IF(SUBTOTAL(9,DX73:DX77)&gt;0,SUBTOTAL(9,DX73:DX77),"")</f>
        <v/>
      </c>
      <c r="DY72" s="34" t="str">
        <f t="shared" ref="DY72" si="1792">IF(SUBTOTAL(9,DY73:DY77)&gt;0,SUBTOTAL(9,DY73:DY77),"")</f>
        <v/>
      </c>
      <c r="DZ72" s="33" t="str">
        <f t="shared" ref="DZ72" si="1793">IF(SUBTOTAL(9,DZ73:DZ77)&gt;0,SUBTOTAL(9,DZ73:DZ77),"")</f>
        <v/>
      </c>
      <c r="EA72" s="34" t="str">
        <f t="shared" ref="EA72" si="1794">IF(SUBTOTAL(9,EA73:EA77)&gt;0,SUBTOTAL(9,EA73:EA77),"")</f>
        <v/>
      </c>
      <c r="EB72" s="34" t="str">
        <f t="shared" ref="EB72" si="1795">IF(SUBTOTAL(9,EB73:EB77)&gt;0,SUBTOTAL(9,EB73:EB77),"")</f>
        <v/>
      </c>
      <c r="EC72" s="34" t="str">
        <f t="shared" ref="EC72" si="1796">IF(SUBTOTAL(9,EC73:EC77)&gt;0,SUBTOTAL(9,EC73:EC77),"")</f>
        <v/>
      </c>
      <c r="ED72" s="34" t="str">
        <f t="shared" ref="ED72" si="1797">IF(SUBTOTAL(9,ED73:ED77)&gt;0,SUBTOTAL(9,ED73:ED77),"")</f>
        <v/>
      </c>
      <c r="EE72" s="34" t="str">
        <f t="shared" ref="EE72" si="1798">IF(SUBTOTAL(9,EE73:EE77)&gt;0,SUBTOTAL(9,EE73:EE77),"")</f>
        <v/>
      </c>
      <c r="EF72" s="34" t="str">
        <f t="shared" ref="EF72" si="1799">IF(SUBTOTAL(9,EF73:EF77)&gt;0,SUBTOTAL(9,EF73:EF77),"")</f>
        <v/>
      </c>
      <c r="EG72" s="34" t="str">
        <f t="shared" ref="EG72" si="1800">IF(SUBTOTAL(9,EG73:EG77)&gt;0,SUBTOTAL(9,EG73:EG77),"")</f>
        <v/>
      </c>
      <c r="EH72" s="34" t="str">
        <f t="shared" ref="EH72" si="1801">IF(SUBTOTAL(9,EH73:EH77)&gt;0,SUBTOTAL(9,EH73:EH77),"")</f>
        <v/>
      </c>
      <c r="EI72" s="34" t="str">
        <f t="shared" ref="EI72" si="1802">IF(SUBTOTAL(9,EI73:EI77)&gt;0,SUBTOTAL(9,EI73:EI77),"")</f>
        <v/>
      </c>
      <c r="EJ72" s="34" t="str">
        <f t="shared" ref="EJ72" si="1803">IF(SUBTOTAL(9,EJ73:EJ77)&gt;0,SUBTOTAL(9,EJ73:EJ77),"")</f>
        <v/>
      </c>
      <c r="EK72" s="34" t="str">
        <f t="shared" ref="EK72" si="1804">IF(SUBTOTAL(9,EK73:EK77)&gt;0,SUBTOTAL(9,EK73:EK77),"")</f>
        <v/>
      </c>
      <c r="EL72" s="34" t="str">
        <f t="shared" ref="EL72" si="1805">IF(SUBTOTAL(9,EL73:EL77)&gt;0,SUBTOTAL(9,EL73:EL77),"")</f>
        <v/>
      </c>
      <c r="EM72" s="34" t="str">
        <f t="shared" ref="EM72" si="1806">IF(SUBTOTAL(9,EM73:EM77)&gt;0,SUBTOTAL(9,EM73:EM77),"")</f>
        <v/>
      </c>
      <c r="EN72" s="34" t="str">
        <f t="shared" ref="EN72" si="1807">IF(SUBTOTAL(9,EN73:EN77)&gt;0,SUBTOTAL(9,EN73:EN77),"")</f>
        <v/>
      </c>
      <c r="EO72" s="34" t="str">
        <f t="shared" ref="EO72" si="1808">IF(SUBTOTAL(9,EO73:EO77)&gt;0,SUBTOTAL(9,EO73:EO77),"")</f>
        <v/>
      </c>
      <c r="EP72" s="34" t="str">
        <f t="shared" ref="EP72" si="1809">IF(SUBTOTAL(9,EP73:EP77)&gt;0,SUBTOTAL(9,EP73:EP77),"")</f>
        <v/>
      </c>
      <c r="EQ72" s="34" t="str">
        <f t="shared" ref="EQ72" si="1810">IF(SUBTOTAL(9,EQ73:EQ77)&gt;0,SUBTOTAL(9,EQ73:EQ77),"")</f>
        <v/>
      </c>
      <c r="ER72" s="34" t="str">
        <f t="shared" ref="ER72" si="1811">IF(SUBTOTAL(9,ER73:ER77)&gt;0,SUBTOTAL(9,ER73:ER77),"")</f>
        <v/>
      </c>
      <c r="ES72" s="34" t="str">
        <f t="shared" ref="ES72" si="1812">IF(SUBTOTAL(9,ES73:ES77)&gt;0,SUBTOTAL(9,ES73:ES77),"")</f>
        <v/>
      </c>
      <c r="ET72" s="34" t="str">
        <f t="shared" ref="ET72" si="1813">IF(SUBTOTAL(9,ET73:ET77)&gt;0,SUBTOTAL(9,ET73:ET77),"")</f>
        <v/>
      </c>
      <c r="EU72" s="34" t="str">
        <f t="shared" ref="EU72" si="1814">IF(SUBTOTAL(9,EU73:EU77)&gt;0,SUBTOTAL(9,EU73:EU77),"")</f>
        <v/>
      </c>
      <c r="EV72" s="34" t="str">
        <f t="shared" ref="EV72" si="1815">IF(SUBTOTAL(9,EV73:EV77)&gt;0,SUBTOTAL(9,EV73:EV77),"")</f>
        <v/>
      </c>
      <c r="EW72" s="34" t="str">
        <f t="shared" ref="EW72" si="1816">IF(SUBTOTAL(9,EW73:EW77)&gt;0,SUBTOTAL(9,EW73:EW77),"")</f>
        <v/>
      </c>
      <c r="EX72" s="34" t="str">
        <f t="shared" ref="EX72" si="1817">IF(SUBTOTAL(9,EX73:EX77)&gt;0,SUBTOTAL(9,EX73:EX77),"")</f>
        <v/>
      </c>
      <c r="EY72" s="33" t="str">
        <f t="shared" ref="EY72" si="1818">IF(SUBTOTAL(9,EY73:EY77)&gt;0,SUBTOTAL(9,EY73:EY77),"")</f>
        <v/>
      </c>
      <c r="EZ72" s="34" t="str">
        <f t="shared" ref="EZ72" si="1819">IF(SUBTOTAL(9,EZ73:EZ77)&gt;0,SUBTOTAL(9,EZ73:EZ77),"")</f>
        <v/>
      </c>
      <c r="FA72" s="34" t="str">
        <f t="shared" ref="FA72" si="1820">IF(SUBTOTAL(9,FA73:FA77)&gt;0,SUBTOTAL(9,FA73:FA77),"")</f>
        <v/>
      </c>
      <c r="FB72" s="34" t="str">
        <f t="shared" ref="FB72" si="1821">IF(SUBTOTAL(9,FB73:FB77)&gt;0,SUBTOTAL(9,FB73:FB77),"")</f>
        <v/>
      </c>
      <c r="FC72" s="34" t="str">
        <f t="shared" ref="FC72" si="1822">IF(SUBTOTAL(9,FC73:FC77)&gt;0,SUBTOTAL(9,FC73:FC77),"")</f>
        <v/>
      </c>
      <c r="FD72" s="34" t="str">
        <f t="shared" ref="FD72" si="1823">IF(SUBTOTAL(9,FD73:FD77)&gt;0,SUBTOTAL(9,FD73:FD77),"")</f>
        <v/>
      </c>
      <c r="FE72" s="34" t="str">
        <f t="shared" ref="FE72" si="1824">IF(SUBTOTAL(9,FE73:FE77)&gt;0,SUBTOTAL(9,FE73:FE77),"")</f>
        <v/>
      </c>
      <c r="FF72" s="34" t="str">
        <f t="shared" ref="FF72" si="1825">IF(SUBTOTAL(9,FF73:FF77)&gt;0,SUBTOTAL(9,FF73:FF77),"")</f>
        <v/>
      </c>
      <c r="FG72" s="34" t="str">
        <f t="shared" ref="FG72" si="1826">IF(SUBTOTAL(9,FG73:FG77)&gt;0,SUBTOTAL(9,FG73:FG77),"")</f>
        <v/>
      </c>
      <c r="FH72" s="34" t="str">
        <f t="shared" ref="FH72" si="1827">IF(SUBTOTAL(9,FH73:FH77)&gt;0,SUBTOTAL(9,FH73:FH77),"")</f>
        <v/>
      </c>
      <c r="FI72" s="34" t="str">
        <f t="shared" ref="FI72" si="1828">IF(SUBTOTAL(9,FI73:FI77)&gt;0,SUBTOTAL(9,FI73:FI77),"")</f>
        <v/>
      </c>
      <c r="FJ72" s="34" t="str">
        <f t="shared" ref="FJ72" si="1829">IF(SUBTOTAL(9,FJ73:FJ77)&gt;0,SUBTOTAL(9,FJ73:FJ77),"")</f>
        <v/>
      </c>
      <c r="FK72" s="34" t="str">
        <f t="shared" ref="FK72" si="1830">IF(SUBTOTAL(9,FK73:FK77)&gt;0,SUBTOTAL(9,FK73:FK77),"")</f>
        <v/>
      </c>
      <c r="FL72" s="34" t="str">
        <f t="shared" ref="FL72" si="1831">IF(SUBTOTAL(9,FL73:FL77)&gt;0,SUBTOTAL(9,FL73:FL77),"")</f>
        <v/>
      </c>
      <c r="FM72" s="34" t="str">
        <f t="shared" ref="FM72" si="1832">IF(SUBTOTAL(9,FM73:FM77)&gt;0,SUBTOTAL(9,FM73:FM77),"")</f>
        <v/>
      </c>
      <c r="FN72" s="34" t="str">
        <f t="shared" ref="FN72" si="1833">IF(SUBTOTAL(9,FN73:FN77)&gt;0,SUBTOTAL(9,FN73:FN77),"")</f>
        <v/>
      </c>
      <c r="FO72" s="34" t="str">
        <f t="shared" ref="FO72" si="1834">IF(SUBTOTAL(9,FO73:FO77)&gt;0,SUBTOTAL(9,FO73:FO77),"")</f>
        <v/>
      </c>
      <c r="FP72" s="34" t="str">
        <f t="shared" ref="FP72" si="1835">IF(SUBTOTAL(9,FP73:FP77)&gt;0,SUBTOTAL(9,FP73:FP77),"")</f>
        <v/>
      </c>
      <c r="FQ72" s="92" t="str">
        <f t="shared" ref="FQ72" si="1836">IF(SUBTOTAL(9,FQ73:FQ77)&gt;0,SUBTOTAL(9,FQ73:FQ77),"")</f>
        <v/>
      </c>
      <c r="FR72" s="8"/>
      <c r="FS72" s="9" t="s">
        <v>131</v>
      </c>
      <c r="FT72" s="9" t="str">
        <f t="shared" si="151"/>
        <v/>
      </c>
    </row>
    <row r="73" spans="1:176" s="9" customFormat="1" ht="12" hidden="1" customHeight="1" outlineLevel="1">
      <c r="A73" s="122" t="s">
        <v>4</v>
      </c>
      <c r="B73" s="125" t="s">
        <v>16</v>
      </c>
      <c r="C73" s="124" t="str">
        <f t="shared" ref="C73:C136" si="1837">ROUND(SUM(E73:FQ73),0) &amp; " days"</f>
        <v>12 days</v>
      </c>
      <c r="D73" s="13" t="str">
        <f>A71&amp;" "&amp;A72</f>
        <v>3. Quarterly Process Documentation 3.1 Preparation</v>
      </c>
      <c r="E73" s="51"/>
      <c r="F73" s="35"/>
      <c r="G73" s="35"/>
      <c r="H73" s="35"/>
      <c r="I73" s="35"/>
      <c r="J73" s="35"/>
      <c r="K73" s="35"/>
      <c r="L73" s="35"/>
      <c r="M73" s="35"/>
      <c r="N73" s="35"/>
      <c r="O73" s="35">
        <v>1</v>
      </c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6"/>
      <c r="AM73" s="36"/>
      <c r="AN73" s="36"/>
      <c r="AO73" s="36"/>
      <c r="AP73" s="36"/>
      <c r="AQ73" s="36"/>
      <c r="AR73" s="36"/>
      <c r="AS73" s="35">
        <v>1</v>
      </c>
      <c r="AT73" s="35">
        <v>1</v>
      </c>
      <c r="AU73" s="35">
        <v>1</v>
      </c>
      <c r="AV73" s="35">
        <v>1</v>
      </c>
      <c r="AW73" s="35">
        <v>1</v>
      </c>
      <c r="AX73" s="35">
        <v>1</v>
      </c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5"/>
      <c r="BM73" s="35"/>
      <c r="BN73" s="35"/>
      <c r="BO73" s="35"/>
      <c r="BP73" s="35"/>
      <c r="BQ73" s="35"/>
      <c r="BR73" s="35"/>
      <c r="BS73" s="35"/>
      <c r="BT73" s="35"/>
      <c r="BU73" s="35"/>
      <c r="BV73" s="35"/>
      <c r="BW73" s="35"/>
      <c r="BX73" s="35"/>
      <c r="BY73" s="35"/>
      <c r="BZ73" s="35"/>
      <c r="CA73" s="35"/>
      <c r="CB73" s="35"/>
      <c r="CC73" s="35"/>
      <c r="CD73" s="35"/>
      <c r="CE73" s="35"/>
      <c r="CF73" s="35"/>
      <c r="CG73" s="35">
        <v>1</v>
      </c>
      <c r="CH73" s="35">
        <v>1</v>
      </c>
      <c r="CI73" s="35">
        <v>1</v>
      </c>
      <c r="CJ73" s="35">
        <v>1</v>
      </c>
      <c r="CK73" s="35">
        <v>1</v>
      </c>
      <c r="CL73" s="93"/>
      <c r="CM73" s="93"/>
      <c r="CN73" s="93"/>
      <c r="CO73" s="93"/>
      <c r="CP73" s="93"/>
      <c r="CQ73" s="35"/>
      <c r="CR73" s="35"/>
      <c r="CS73" s="35"/>
      <c r="CT73" s="36"/>
      <c r="CU73" s="35"/>
      <c r="CV73" s="35"/>
      <c r="CW73" s="35"/>
      <c r="CX73" s="35"/>
      <c r="CY73" s="35"/>
      <c r="CZ73" s="36"/>
      <c r="DA73" s="36"/>
      <c r="DB73" s="35"/>
      <c r="DC73" s="35"/>
      <c r="DD73" s="35"/>
      <c r="DE73" s="35"/>
      <c r="DF73" s="35"/>
      <c r="DG73" s="35"/>
      <c r="DH73" s="35"/>
      <c r="DI73" s="35"/>
      <c r="DJ73" s="35"/>
      <c r="DK73" s="35"/>
      <c r="DL73" s="35"/>
      <c r="DM73" s="35"/>
      <c r="DN73" s="35"/>
      <c r="DO73" s="35"/>
      <c r="DP73" s="35"/>
      <c r="DQ73" s="35"/>
      <c r="DR73" s="35"/>
      <c r="DS73" s="35"/>
      <c r="DT73" s="35"/>
      <c r="DU73" s="35"/>
      <c r="DV73" s="35"/>
      <c r="DW73" s="35"/>
      <c r="DX73" s="35"/>
      <c r="DY73" s="35"/>
      <c r="DZ73" s="36"/>
      <c r="EA73" s="35"/>
      <c r="EB73" s="35"/>
      <c r="EC73" s="35"/>
      <c r="ED73" s="35"/>
      <c r="EE73" s="35"/>
      <c r="EF73" s="35"/>
      <c r="EG73" s="35"/>
      <c r="EH73" s="35"/>
      <c r="EI73" s="35"/>
      <c r="EJ73" s="35"/>
      <c r="EK73" s="35"/>
      <c r="EL73" s="35"/>
      <c r="EM73" s="35"/>
      <c r="EN73" s="35"/>
      <c r="EO73" s="35"/>
      <c r="EP73" s="35"/>
      <c r="EQ73" s="35"/>
      <c r="ER73" s="35"/>
      <c r="ES73" s="35"/>
      <c r="ET73" s="35"/>
      <c r="EU73" s="35"/>
      <c r="EV73" s="35"/>
      <c r="EW73" s="35"/>
      <c r="EX73" s="35"/>
      <c r="EY73" s="36"/>
      <c r="EZ73" s="35"/>
      <c r="FA73" s="35"/>
      <c r="FB73" s="35"/>
      <c r="FC73" s="35"/>
      <c r="FD73" s="35"/>
      <c r="FE73" s="35"/>
      <c r="FF73" s="35"/>
      <c r="FG73" s="35"/>
      <c r="FH73" s="35"/>
      <c r="FI73" s="35"/>
      <c r="FJ73" s="35"/>
      <c r="FK73" s="35"/>
      <c r="FL73" s="35"/>
      <c r="FM73" s="35"/>
      <c r="FN73" s="35"/>
      <c r="FO73" s="35"/>
      <c r="FP73" s="35"/>
      <c r="FQ73" s="52"/>
      <c r="FR73" s="8"/>
      <c r="FS73" s="9" t="s">
        <v>13</v>
      </c>
      <c r="FT73" s="9" t="str">
        <f t="shared" si="151"/>
        <v>3. Quarterly Process Documentation 3.1 PreparationJunior Accountant</v>
      </c>
    </row>
    <row r="74" spans="1:176" s="9" customFormat="1" ht="12" hidden="1" customHeight="1" outlineLevel="1">
      <c r="A74" s="125" t="s">
        <v>50</v>
      </c>
      <c r="B74" s="125"/>
      <c r="C74" s="124" t="str">
        <f t="shared" si="1837"/>
        <v>0 days</v>
      </c>
      <c r="D74" s="13" t="str">
        <f>A71&amp;" "&amp;A72</f>
        <v>3. Quarterly Process Documentation 3.1 Preparation</v>
      </c>
      <c r="E74" s="51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35"/>
      <c r="AK74" s="35"/>
      <c r="AL74" s="36"/>
      <c r="AM74" s="36"/>
      <c r="AN74" s="36"/>
      <c r="AO74" s="36"/>
      <c r="AP74" s="36"/>
      <c r="AQ74" s="36"/>
      <c r="AR74" s="36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5"/>
      <c r="BM74" s="35"/>
      <c r="BN74" s="35"/>
      <c r="BO74" s="35"/>
      <c r="BP74" s="35"/>
      <c r="BQ74" s="35"/>
      <c r="BR74" s="35"/>
      <c r="BS74" s="35"/>
      <c r="BT74" s="35"/>
      <c r="BU74" s="35"/>
      <c r="BV74" s="35"/>
      <c r="BW74" s="35"/>
      <c r="BX74" s="35"/>
      <c r="BY74" s="35"/>
      <c r="BZ74" s="35"/>
      <c r="CA74" s="35"/>
      <c r="CB74" s="35"/>
      <c r="CC74" s="35"/>
      <c r="CD74" s="35"/>
      <c r="CE74" s="35"/>
      <c r="CF74" s="35"/>
      <c r="CG74" s="35"/>
      <c r="CH74" s="35"/>
      <c r="CI74" s="35"/>
      <c r="CJ74" s="35"/>
      <c r="CK74" s="35"/>
      <c r="CL74" s="35"/>
      <c r="CM74" s="35"/>
      <c r="CN74" s="35"/>
      <c r="CO74" s="35"/>
      <c r="CP74" s="35"/>
      <c r="CQ74" s="35"/>
      <c r="CR74" s="35"/>
      <c r="CS74" s="35"/>
      <c r="CT74" s="36"/>
      <c r="CU74" s="35"/>
      <c r="CV74" s="35"/>
      <c r="CW74" s="35"/>
      <c r="CX74" s="35"/>
      <c r="CY74" s="35"/>
      <c r="CZ74" s="36"/>
      <c r="DA74" s="36"/>
      <c r="DB74" s="35"/>
      <c r="DC74" s="35"/>
      <c r="DD74" s="35"/>
      <c r="DE74" s="35"/>
      <c r="DF74" s="35"/>
      <c r="DG74" s="35"/>
      <c r="DH74" s="35"/>
      <c r="DI74" s="35"/>
      <c r="DJ74" s="35"/>
      <c r="DK74" s="35"/>
      <c r="DL74" s="35"/>
      <c r="DM74" s="35"/>
      <c r="DN74" s="35"/>
      <c r="DO74" s="35"/>
      <c r="DP74" s="35"/>
      <c r="DQ74" s="35"/>
      <c r="DR74" s="35"/>
      <c r="DS74" s="35"/>
      <c r="DT74" s="35"/>
      <c r="DU74" s="35"/>
      <c r="DV74" s="35"/>
      <c r="DW74" s="35"/>
      <c r="DX74" s="35"/>
      <c r="DY74" s="35"/>
      <c r="DZ74" s="36"/>
      <c r="EA74" s="35"/>
      <c r="EB74" s="35"/>
      <c r="EC74" s="35"/>
      <c r="ED74" s="35"/>
      <c r="EE74" s="35"/>
      <c r="EF74" s="35"/>
      <c r="EG74" s="35"/>
      <c r="EH74" s="35"/>
      <c r="EI74" s="35"/>
      <c r="EJ74" s="35"/>
      <c r="EK74" s="35"/>
      <c r="EL74" s="35"/>
      <c r="EM74" s="35"/>
      <c r="EN74" s="35"/>
      <c r="EO74" s="35"/>
      <c r="EP74" s="35"/>
      <c r="EQ74" s="35"/>
      <c r="ER74" s="35"/>
      <c r="ES74" s="35"/>
      <c r="ET74" s="35"/>
      <c r="EU74" s="35"/>
      <c r="EV74" s="35"/>
      <c r="EW74" s="35"/>
      <c r="EX74" s="35"/>
      <c r="EY74" s="36"/>
      <c r="EZ74" s="35"/>
      <c r="FA74" s="35"/>
      <c r="FB74" s="35"/>
      <c r="FC74" s="35"/>
      <c r="FD74" s="35"/>
      <c r="FE74" s="35"/>
      <c r="FF74" s="35"/>
      <c r="FG74" s="35"/>
      <c r="FH74" s="35"/>
      <c r="FI74" s="35"/>
      <c r="FJ74" s="35"/>
      <c r="FK74" s="35"/>
      <c r="FL74" s="35"/>
      <c r="FM74" s="35"/>
      <c r="FN74" s="35"/>
      <c r="FO74" s="35"/>
      <c r="FP74" s="35"/>
      <c r="FQ74" s="52"/>
      <c r="FR74" s="8"/>
      <c r="FS74" s="9" t="s">
        <v>13</v>
      </c>
      <c r="FT74" s="9" t="str">
        <f t="shared" si="151"/>
        <v>3. Quarterly Process Documentation 3.1 Preparation</v>
      </c>
    </row>
    <row r="75" spans="1:176" s="9" customFormat="1" ht="12" hidden="1" customHeight="1" outlineLevel="1">
      <c r="A75" s="125" t="s">
        <v>50</v>
      </c>
      <c r="B75" s="125"/>
      <c r="C75" s="124" t="str">
        <f t="shared" si="1837"/>
        <v>0 days</v>
      </c>
      <c r="D75" s="13" t="str">
        <f>A71&amp;" "&amp;A72</f>
        <v>3. Quarterly Process Documentation 3.1 Preparation</v>
      </c>
      <c r="E75" s="51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35"/>
      <c r="AK75" s="35"/>
      <c r="AL75" s="36"/>
      <c r="AM75" s="36"/>
      <c r="AN75" s="36"/>
      <c r="AO75" s="36"/>
      <c r="AP75" s="36"/>
      <c r="AQ75" s="36"/>
      <c r="AR75" s="36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5"/>
      <c r="BM75" s="35"/>
      <c r="BN75" s="35"/>
      <c r="BO75" s="35"/>
      <c r="BP75" s="35"/>
      <c r="BQ75" s="35"/>
      <c r="BR75" s="35"/>
      <c r="BS75" s="35"/>
      <c r="BT75" s="35"/>
      <c r="BU75" s="35"/>
      <c r="BV75" s="35"/>
      <c r="BW75" s="35"/>
      <c r="BX75" s="35"/>
      <c r="BY75" s="35"/>
      <c r="BZ75" s="35"/>
      <c r="CA75" s="35"/>
      <c r="CB75" s="35"/>
      <c r="CC75" s="35"/>
      <c r="CD75" s="35"/>
      <c r="CE75" s="35"/>
      <c r="CF75" s="35"/>
      <c r="CG75" s="35"/>
      <c r="CH75" s="35"/>
      <c r="CI75" s="35"/>
      <c r="CJ75" s="35"/>
      <c r="CK75" s="35"/>
      <c r="CL75" s="35"/>
      <c r="CM75" s="35"/>
      <c r="CN75" s="35"/>
      <c r="CO75" s="35"/>
      <c r="CP75" s="35"/>
      <c r="CQ75" s="35"/>
      <c r="CR75" s="35"/>
      <c r="CS75" s="35"/>
      <c r="CT75" s="36"/>
      <c r="CU75" s="35"/>
      <c r="CV75" s="35"/>
      <c r="CW75" s="35"/>
      <c r="CX75" s="35"/>
      <c r="CY75" s="35"/>
      <c r="CZ75" s="36"/>
      <c r="DA75" s="36"/>
      <c r="DB75" s="35"/>
      <c r="DC75" s="35"/>
      <c r="DD75" s="35"/>
      <c r="DE75" s="35"/>
      <c r="DF75" s="35"/>
      <c r="DG75" s="35"/>
      <c r="DH75" s="35"/>
      <c r="DI75" s="35"/>
      <c r="DJ75" s="35"/>
      <c r="DK75" s="35"/>
      <c r="DL75" s="35"/>
      <c r="DM75" s="35"/>
      <c r="DN75" s="35"/>
      <c r="DO75" s="35"/>
      <c r="DP75" s="35"/>
      <c r="DQ75" s="35"/>
      <c r="DR75" s="35"/>
      <c r="DS75" s="35"/>
      <c r="DT75" s="35"/>
      <c r="DU75" s="35"/>
      <c r="DV75" s="35"/>
      <c r="DW75" s="35"/>
      <c r="DX75" s="35"/>
      <c r="DY75" s="35"/>
      <c r="DZ75" s="36"/>
      <c r="EA75" s="35"/>
      <c r="EB75" s="35"/>
      <c r="EC75" s="35"/>
      <c r="ED75" s="35"/>
      <c r="EE75" s="35"/>
      <c r="EF75" s="35"/>
      <c r="EG75" s="35"/>
      <c r="EH75" s="35"/>
      <c r="EI75" s="35"/>
      <c r="EJ75" s="35"/>
      <c r="EK75" s="35"/>
      <c r="EL75" s="35"/>
      <c r="EM75" s="35"/>
      <c r="EN75" s="35"/>
      <c r="EO75" s="35"/>
      <c r="EP75" s="35"/>
      <c r="EQ75" s="35"/>
      <c r="ER75" s="35"/>
      <c r="ES75" s="35"/>
      <c r="ET75" s="35"/>
      <c r="EU75" s="35"/>
      <c r="EV75" s="35"/>
      <c r="EW75" s="35"/>
      <c r="EX75" s="35"/>
      <c r="EY75" s="36"/>
      <c r="EZ75" s="35"/>
      <c r="FA75" s="35"/>
      <c r="FB75" s="35"/>
      <c r="FC75" s="35"/>
      <c r="FD75" s="35"/>
      <c r="FE75" s="35"/>
      <c r="FF75" s="35"/>
      <c r="FG75" s="35"/>
      <c r="FH75" s="35"/>
      <c r="FI75" s="35"/>
      <c r="FJ75" s="35"/>
      <c r="FK75" s="35"/>
      <c r="FL75" s="35"/>
      <c r="FM75" s="35"/>
      <c r="FN75" s="35"/>
      <c r="FO75" s="35"/>
      <c r="FP75" s="35"/>
      <c r="FQ75" s="52"/>
      <c r="FR75" s="8"/>
      <c r="FS75" s="9" t="s">
        <v>13</v>
      </c>
      <c r="FT75" s="9" t="str">
        <f t="shared" si="151"/>
        <v>3. Quarterly Process Documentation 3.1 Preparation</v>
      </c>
    </row>
    <row r="76" spans="1:176" s="9" customFormat="1" ht="12" hidden="1" customHeight="1" outlineLevel="1">
      <c r="A76" s="125" t="s">
        <v>50</v>
      </c>
      <c r="B76" s="125"/>
      <c r="C76" s="124" t="str">
        <f t="shared" si="1837"/>
        <v>0 days</v>
      </c>
      <c r="D76" s="13" t="str">
        <f>A71&amp;" "&amp;A72</f>
        <v>3. Quarterly Process Documentation 3.1 Preparation</v>
      </c>
      <c r="E76" s="51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35"/>
      <c r="AK76" s="35"/>
      <c r="AL76" s="36"/>
      <c r="AM76" s="36"/>
      <c r="AN76" s="36"/>
      <c r="AO76" s="36"/>
      <c r="AP76" s="36"/>
      <c r="AQ76" s="36"/>
      <c r="AR76" s="36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5"/>
      <c r="BM76" s="35"/>
      <c r="BN76" s="35"/>
      <c r="BO76" s="35"/>
      <c r="BP76" s="35"/>
      <c r="BQ76" s="35"/>
      <c r="BR76" s="35"/>
      <c r="BS76" s="35"/>
      <c r="BT76" s="35"/>
      <c r="BU76" s="35"/>
      <c r="BV76" s="35"/>
      <c r="BW76" s="35"/>
      <c r="BX76" s="35"/>
      <c r="BY76" s="35"/>
      <c r="BZ76" s="35"/>
      <c r="CA76" s="35"/>
      <c r="CB76" s="35"/>
      <c r="CC76" s="35"/>
      <c r="CD76" s="35"/>
      <c r="CE76" s="35"/>
      <c r="CF76" s="35"/>
      <c r="CG76" s="35"/>
      <c r="CH76" s="35"/>
      <c r="CI76" s="35"/>
      <c r="CJ76" s="35"/>
      <c r="CK76" s="35"/>
      <c r="CL76" s="35"/>
      <c r="CM76" s="35"/>
      <c r="CN76" s="35"/>
      <c r="CO76" s="35"/>
      <c r="CP76" s="35"/>
      <c r="CQ76" s="35"/>
      <c r="CR76" s="35"/>
      <c r="CS76" s="35"/>
      <c r="CT76" s="36"/>
      <c r="CU76" s="35"/>
      <c r="CV76" s="35"/>
      <c r="CW76" s="35"/>
      <c r="CX76" s="35"/>
      <c r="CY76" s="35"/>
      <c r="CZ76" s="36"/>
      <c r="DA76" s="36"/>
      <c r="DB76" s="35"/>
      <c r="DC76" s="35"/>
      <c r="DD76" s="35"/>
      <c r="DE76" s="35"/>
      <c r="DF76" s="35"/>
      <c r="DG76" s="35"/>
      <c r="DH76" s="35"/>
      <c r="DI76" s="35"/>
      <c r="DJ76" s="35"/>
      <c r="DK76" s="35"/>
      <c r="DL76" s="35"/>
      <c r="DM76" s="35"/>
      <c r="DN76" s="35"/>
      <c r="DO76" s="35"/>
      <c r="DP76" s="35"/>
      <c r="DQ76" s="35"/>
      <c r="DR76" s="35"/>
      <c r="DS76" s="35"/>
      <c r="DT76" s="35"/>
      <c r="DU76" s="35"/>
      <c r="DV76" s="35"/>
      <c r="DW76" s="35"/>
      <c r="DX76" s="35"/>
      <c r="DY76" s="35"/>
      <c r="DZ76" s="36"/>
      <c r="EA76" s="35"/>
      <c r="EB76" s="35"/>
      <c r="EC76" s="35"/>
      <c r="ED76" s="35"/>
      <c r="EE76" s="35"/>
      <c r="EF76" s="35"/>
      <c r="EG76" s="35"/>
      <c r="EH76" s="35"/>
      <c r="EI76" s="35"/>
      <c r="EJ76" s="35"/>
      <c r="EK76" s="35"/>
      <c r="EL76" s="35"/>
      <c r="EM76" s="35"/>
      <c r="EN76" s="35"/>
      <c r="EO76" s="35"/>
      <c r="EP76" s="35"/>
      <c r="EQ76" s="35"/>
      <c r="ER76" s="35"/>
      <c r="ES76" s="35"/>
      <c r="ET76" s="35"/>
      <c r="EU76" s="35"/>
      <c r="EV76" s="35"/>
      <c r="EW76" s="35"/>
      <c r="EX76" s="35"/>
      <c r="EY76" s="36"/>
      <c r="EZ76" s="35"/>
      <c r="FA76" s="35"/>
      <c r="FB76" s="35"/>
      <c r="FC76" s="35"/>
      <c r="FD76" s="35"/>
      <c r="FE76" s="35"/>
      <c r="FF76" s="35"/>
      <c r="FG76" s="35"/>
      <c r="FH76" s="35"/>
      <c r="FI76" s="35"/>
      <c r="FJ76" s="35"/>
      <c r="FK76" s="35"/>
      <c r="FL76" s="35"/>
      <c r="FM76" s="35"/>
      <c r="FN76" s="35"/>
      <c r="FO76" s="35"/>
      <c r="FP76" s="35"/>
      <c r="FQ76" s="52"/>
      <c r="FR76" s="8"/>
      <c r="FS76" s="9" t="s">
        <v>13</v>
      </c>
      <c r="FT76" s="9" t="str">
        <f t="shared" ref="FT76:FT139" si="1838">CONCATENATE(D76,B76)</f>
        <v>3. Quarterly Process Documentation 3.1 Preparation</v>
      </c>
    </row>
    <row r="77" spans="1:176" s="9" customFormat="1" ht="12" hidden="1" customHeight="1" outlineLevel="1">
      <c r="A77" s="126" t="s">
        <v>50</v>
      </c>
      <c r="B77" s="125"/>
      <c r="C77" s="124" t="str">
        <f t="shared" si="1837"/>
        <v>0 days</v>
      </c>
      <c r="D77" s="13" t="str">
        <f>A71&amp;" "&amp;A72</f>
        <v>3. Quarterly Process Documentation 3.1 Preparation</v>
      </c>
      <c r="E77" s="51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35"/>
      <c r="AK77" s="35"/>
      <c r="AL77" s="36"/>
      <c r="AM77" s="36"/>
      <c r="AN77" s="36"/>
      <c r="AO77" s="36"/>
      <c r="AP77" s="36"/>
      <c r="AQ77" s="36"/>
      <c r="AR77" s="36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5"/>
      <c r="BM77" s="35"/>
      <c r="BN77" s="35"/>
      <c r="BO77" s="35"/>
      <c r="BP77" s="35"/>
      <c r="BQ77" s="35"/>
      <c r="BR77" s="35"/>
      <c r="BS77" s="35"/>
      <c r="BT77" s="35"/>
      <c r="BU77" s="35"/>
      <c r="BV77" s="35"/>
      <c r="BW77" s="35"/>
      <c r="BX77" s="35"/>
      <c r="BY77" s="35"/>
      <c r="BZ77" s="35"/>
      <c r="CA77" s="35"/>
      <c r="CB77" s="35"/>
      <c r="CC77" s="35"/>
      <c r="CD77" s="35"/>
      <c r="CE77" s="35"/>
      <c r="CF77" s="35"/>
      <c r="CG77" s="35"/>
      <c r="CH77" s="35"/>
      <c r="CI77" s="35"/>
      <c r="CJ77" s="35"/>
      <c r="CK77" s="35"/>
      <c r="CL77" s="35"/>
      <c r="CM77" s="35"/>
      <c r="CN77" s="35"/>
      <c r="CO77" s="35"/>
      <c r="CP77" s="35"/>
      <c r="CQ77" s="35"/>
      <c r="CR77" s="35"/>
      <c r="CS77" s="35"/>
      <c r="CT77" s="36"/>
      <c r="CU77" s="35"/>
      <c r="CV77" s="35"/>
      <c r="CW77" s="35"/>
      <c r="CX77" s="35"/>
      <c r="CY77" s="35"/>
      <c r="CZ77" s="36"/>
      <c r="DA77" s="36"/>
      <c r="DB77" s="35"/>
      <c r="DC77" s="35"/>
      <c r="DD77" s="35"/>
      <c r="DE77" s="35"/>
      <c r="DF77" s="35"/>
      <c r="DG77" s="35"/>
      <c r="DH77" s="35"/>
      <c r="DI77" s="35"/>
      <c r="DJ77" s="35"/>
      <c r="DK77" s="35"/>
      <c r="DL77" s="35"/>
      <c r="DM77" s="35"/>
      <c r="DN77" s="35"/>
      <c r="DO77" s="35"/>
      <c r="DP77" s="35"/>
      <c r="DQ77" s="35"/>
      <c r="DR77" s="35"/>
      <c r="DS77" s="35"/>
      <c r="DT77" s="35"/>
      <c r="DU77" s="35"/>
      <c r="DV77" s="35"/>
      <c r="DW77" s="35"/>
      <c r="DX77" s="35"/>
      <c r="DY77" s="35"/>
      <c r="DZ77" s="36"/>
      <c r="EA77" s="35"/>
      <c r="EB77" s="35"/>
      <c r="EC77" s="35"/>
      <c r="ED77" s="35"/>
      <c r="EE77" s="35"/>
      <c r="EF77" s="35"/>
      <c r="EG77" s="35"/>
      <c r="EH77" s="35"/>
      <c r="EI77" s="35"/>
      <c r="EJ77" s="35"/>
      <c r="EK77" s="35"/>
      <c r="EL77" s="35"/>
      <c r="EM77" s="35"/>
      <c r="EN77" s="35"/>
      <c r="EO77" s="35"/>
      <c r="EP77" s="35"/>
      <c r="EQ77" s="35"/>
      <c r="ER77" s="35"/>
      <c r="ES77" s="35"/>
      <c r="ET77" s="35"/>
      <c r="EU77" s="35"/>
      <c r="EV77" s="35"/>
      <c r="EW77" s="35"/>
      <c r="EX77" s="35"/>
      <c r="EY77" s="36"/>
      <c r="EZ77" s="35"/>
      <c r="FA77" s="35"/>
      <c r="FB77" s="35"/>
      <c r="FC77" s="35"/>
      <c r="FD77" s="35"/>
      <c r="FE77" s="35"/>
      <c r="FF77" s="35"/>
      <c r="FG77" s="35"/>
      <c r="FH77" s="35"/>
      <c r="FI77" s="35"/>
      <c r="FJ77" s="35"/>
      <c r="FK77" s="35"/>
      <c r="FL77" s="35"/>
      <c r="FM77" s="35"/>
      <c r="FN77" s="35"/>
      <c r="FO77" s="35"/>
      <c r="FP77" s="35"/>
      <c r="FQ77" s="52"/>
      <c r="FR77" s="8"/>
      <c r="FS77" s="9" t="s">
        <v>13</v>
      </c>
      <c r="FT77" s="9" t="str">
        <f t="shared" si="1838"/>
        <v>3. Quarterly Process Documentation 3.1 Preparation</v>
      </c>
    </row>
    <row r="78" spans="1:176" s="9" customFormat="1" ht="12" customHeight="1" collapsed="1">
      <c r="A78" s="119" t="s">
        <v>65</v>
      </c>
      <c r="B78" s="127"/>
      <c r="C78" s="121" t="str">
        <f t="shared" si="1837"/>
        <v>15 days</v>
      </c>
      <c r="D78" s="27"/>
      <c r="E78" s="91" t="str">
        <f t="shared" ref="E78" si="1839">IF(SUBTOTAL(9,E79:E83)&gt;0,SUBTOTAL(9,E79:E83),"")</f>
        <v/>
      </c>
      <c r="F78" s="34" t="str">
        <f t="shared" ref="F78" si="1840">IF(SUBTOTAL(9,F79:F83)&gt;0,SUBTOTAL(9,F79:F83),"")</f>
        <v/>
      </c>
      <c r="G78" s="34" t="str">
        <f t="shared" ref="G78" si="1841">IF(SUBTOTAL(9,G79:G83)&gt;0,SUBTOTAL(9,G79:G83),"")</f>
        <v/>
      </c>
      <c r="H78" s="34" t="str">
        <f t="shared" ref="H78" si="1842">IF(SUBTOTAL(9,H79:H83)&gt;0,SUBTOTAL(9,H79:H83),"")</f>
        <v/>
      </c>
      <c r="I78" s="34" t="str">
        <f t="shared" ref="I78" si="1843">IF(SUBTOTAL(9,I79:I83)&gt;0,SUBTOTAL(9,I79:I83),"")</f>
        <v/>
      </c>
      <c r="J78" s="34">
        <f t="shared" ref="J78" si="1844">IF(SUBTOTAL(9,J79:J83)&gt;0,SUBTOTAL(9,J79:J83),"")</f>
        <v>1</v>
      </c>
      <c r="K78" s="34">
        <f t="shared" ref="K78" si="1845">IF(SUBTOTAL(9,K79:K83)&gt;0,SUBTOTAL(9,K79:K83),"")</f>
        <v>1</v>
      </c>
      <c r="L78" s="34">
        <f t="shared" ref="L78" si="1846">IF(SUBTOTAL(9,L79:L83)&gt;0,SUBTOTAL(9,L79:L83),"")</f>
        <v>1</v>
      </c>
      <c r="M78" s="34">
        <f t="shared" ref="M78" si="1847">IF(SUBTOTAL(9,M79:M83)&gt;0,SUBTOTAL(9,M79:M83),"")</f>
        <v>1</v>
      </c>
      <c r="N78" s="34">
        <f t="shared" ref="N78" si="1848">IF(SUBTOTAL(9,N79:N83)&gt;0,SUBTOTAL(9,N79:N83),"")</f>
        <v>1</v>
      </c>
      <c r="O78" s="34">
        <f t="shared" ref="O78" si="1849">IF(SUBTOTAL(9,O79:O83)&gt;0,SUBTOTAL(9,O79:O83),"")</f>
        <v>1</v>
      </c>
      <c r="P78" s="34">
        <f t="shared" ref="P78" si="1850">IF(SUBTOTAL(9,P79:P83)&gt;0,SUBTOTAL(9,P79:P83),"")</f>
        <v>1</v>
      </c>
      <c r="Q78" s="34">
        <f t="shared" ref="Q78" si="1851">IF(SUBTOTAL(9,Q79:Q83)&gt;0,SUBTOTAL(9,Q79:Q83),"")</f>
        <v>1</v>
      </c>
      <c r="R78" s="34">
        <f t="shared" ref="R78" si="1852">IF(SUBTOTAL(9,R79:R83)&gt;0,SUBTOTAL(9,R79:R83),"")</f>
        <v>1</v>
      </c>
      <c r="S78" s="34">
        <f t="shared" ref="S78" si="1853">IF(SUBTOTAL(9,S79:S83)&gt;0,SUBTOTAL(9,S79:S83),"")</f>
        <v>1</v>
      </c>
      <c r="T78" s="34" t="str">
        <f t="shared" ref="T78" si="1854">IF(SUBTOTAL(9,T79:T83)&gt;0,SUBTOTAL(9,T79:T83),"")</f>
        <v/>
      </c>
      <c r="U78" s="34" t="str">
        <f t="shared" ref="U78" si="1855">IF(SUBTOTAL(9,U79:U83)&gt;0,SUBTOTAL(9,U79:U83),"")</f>
        <v/>
      </c>
      <c r="V78" s="34" t="str">
        <f t="shared" ref="V78" si="1856">IF(SUBTOTAL(9,V79:V83)&gt;0,SUBTOTAL(9,V79:V83),"")</f>
        <v/>
      </c>
      <c r="W78" s="34" t="str">
        <f t="shared" ref="W78" si="1857">IF(SUBTOTAL(9,W79:W83)&gt;0,SUBTOTAL(9,W79:W83),"")</f>
        <v/>
      </c>
      <c r="X78" s="34" t="str">
        <f t="shared" ref="X78" si="1858">IF(SUBTOTAL(9,X79:X83)&gt;0,SUBTOTAL(9,X79:X83),"")</f>
        <v/>
      </c>
      <c r="Y78" s="34" t="str">
        <f t="shared" ref="Y78" si="1859">IF(SUBTOTAL(9,Y79:Y83)&gt;0,SUBTOTAL(9,Y79:Y83),"")</f>
        <v/>
      </c>
      <c r="Z78" s="34" t="str">
        <f t="shared" ref="Z78" si="1860">IF(SUBTOTAL(9,Z79:Z83)&gt;0,SUBTOTAL(9,Z79:Z83),"")</f>
        <v/>
      </c>
      <c r="AA78" s="34" t="str">
        <f t="shared" ref="AA78" si="1861">IF(SUBTOTAL(9,AA79:AA83)&gt;0,SUBTOTAL(9,AA79:AA83),"")</f>
        <v/>
      </c>
      <c r="AB78" s="34" t="str">
        <f t="shared" ref="AB78" si="1862">IF(SUBTOTAL(9,AB79:AB83)&gt;0,SUBTOTAL(9,AB79:AB83),"")</f>
        <v/>
      </c>
      <c r="AC78" s="34" t="str">
        <f t="shared" ref="AC78" si="1863">IF(SUBTOTAL(9,AC79:AC83)&gt;0,SUBTOTAL(9,AC79:AC83),"")</f>
        <v/>
      </c>
      <c r="AD78" s="34" t="str">
        <f t="shared" ref="AD78" si="1864">IF(SUBTOTAL(9,AD79:AD83)&gt;0,SUBTOTAL(9,AD79:AD83),"")</f>
        <v/>
      </c>
      <c r="AE78" s="34" t="str">
        <f t="shared" ref="AE78" si="1865">IF(SUBTOTAL(9,AE79:AE83)&gt;0,SUBTOTAL(9,AE79:AE83),"")</f>
        <v/>
      </c>
      <c r="AF78" s="34" t="str">
        <f t="shared" ref="AF78" si="1866">IF(SUBTOTAL(9,AF79:AF83)&gt;0,SUBTOTAL(9,AF79:AF83),"")</f>
        <v/>
      </c>
      <c r="AG78" s="34" t="str">
        <f t="shared" ref="AG78" si="1867">IF(SUBTOTAL(9,AG79:AG83)&gt;0,SUBTOTAL(9,AG79:AG83),"")</f>
        <v/>
      </c>
      <c r="AH78" s="34" t="str">
        <f t="shared" ref="AH78" si="1868">IF(SUBTOTAL(9,AH79:AH83)&gt;0,SUBTOTAL(9,AH79:AH83),"")</f>
        <v/>
      </c>
      <c r="AI78" s="34" t="str">
        <f t="shared" ref="AI78" si="1869">IF(SUBTOTAL(9,AI79:AI83)&gt;0,SUBTOTAL(9,AI79:AI83),"")</f>
        <v/>
      </c>
      <c r="AJ78" s="34" t="str">
        <f t="shared" ref="AJ78" si="1870">IF(SUBTOTAL(9,AJ79:AJ83)&gt;0,SUBTOTAL(9,AJ79:AJ83),"")</f>
        <v/>
      </c>
      <c r="AK78" s="34" t="str">
        <f t="shared" ref="AK78" si="1871">IF(SUBTOTAL(9,AK79:AK83)&gt;0,SUBTOTAL(9,AK79:AK83),"")</f>
        <v/>
      </c>
      <c r="AL78" s="33" t="str">
        <f t="shared" ref="AL78" si="1872">IF(SUBTOTAL(9,AL79:AL83)&gt;0,SUBTOTAL(9,AL79:AL83),"")</f>
        <v/>
      </c>
      <c r="AM78" s="33" t="str">
        <f t="shared" ref="AM78" si="1873">IF(SUBTOTAL(9,AM79:AM83)&gt;0,SUBTOTAL(9,AM79:AM83),"")</f>
        <v/>
      </c>
      <c r="AN78" s="33" t="str">
        <f t="shared" ref="AN78" si="1874">IF(SUBTOTAL(9,AN79:AN83)&gt;0,SUBTOTAL(9,AN79:AN83),"")</f>
        <v/>
      </c>
      <c r="AO78" s="33" t="str">
        <f t="shared" ref="AO78" si="1875">IF(SUBTOTAL(9,AO79:AO83)&gt;0,SUBTOTAL(9,AO79:AO83),"")</f>
        <v/>
      </c>
      <c r="AP78" s="33" t="str">
        <f t="shared" ref="AP78" si="1876">IF(SUBTOTAL(9,AP79:AP83)&gt;0,SUBTOTAL(9,AP79:AP83),"")</f>
        <v/>
      </c>
      <c r="AQ78" s="33" t="str">
        <f t="shared" ref="AQ78" si="1877">IF(SUBTOTAL(9,AQ79:AQ83)&gt;0,SUBTOTAL(9,AQ79:AQ83),"")</f>
        <v/>
      </c>
      <c r="AR78" s="33" t="str">
        <f t="shared" ref="AR78" si="1878">IF(SUBTOTAL(9,AR79:AR83)&gt;0,SUBTOTAL(9,AR79:AR83),"")</f>
        <v/>
      </c>
      <c r="AS78" s="34" t="str">
        <f t="shared" ref="AS78" si="1879">IF(SUBTOTAL(9,AS79:AS83)&gt;0,SUBTOTAL(9,AS79:AS83),"")</f>
        <v/>
      </c>
      <c r="AT78" s="34" t="str">
        <f t="shared" ref="AT78" si="1880">IF(SUBTOTAL(9,AT79:AT83)&gt;0,SUBTOTAL(9,AT79:AT83),"")</f>
        <v/>
      </c>
      <c r="AU78" s="34" t="str">
        <f t="shared" ref="AU78" si="1881">IF(SUBTOTAL(9,AU79:AU83)&gt;0,SUBTOTAL(9,AU79:AU83),"")</f>
        <v/>
      </c>
      <c r="AV78" s="34" t="str">
        <f t="shared" ref="AV78" si="1882">IF(SUBTOTAL(9,AV79:AV83)&gt;0,SUBTOTAL(9,AV79:AV83),"")</f>
        <v/>
      </c>
      <c r="AW78" s="34" t="str">
        <f t="shared" ref="AW78" si="1883">IF(SUBTOTAL(9,AW79:AW83)&gt;0,SUBTOTAL(9,AW79:AW83),"")</f>
        <v/>
      </c>
      <c r="AX78" s="34" t="str">
        <f t="shared" ref="AX78" si="1884">IF(SUBTOTAL(9,AX79:AX83)&gt;0,SUBTOTAL(9,AX79:AX83),"")</f>
        <v/>
      </c>
      <c r="AY78" s="34" t="str">
        <f t="shared" ref="AY78" si="1885">IF(SUBTOTAL(9,AY79:AY83)&gt;0,SUBTOTAL(9,AY79:AY83),"")</f>
        <v/>
      </c>
      <c r="AZ78" s="34" t="str">
        <f t="shared" ref="AZ78" si="1886">IF(SUBTOTAL(9,AZ79:AZ83)&gt;0,SUBTOTAL(9,AZ79:AZ83),"")</f>
        <v/>
      </c>
      <c r="BA78" s="34" t="str">
        <f t="shared" ref="BA78" si="1887">IF(SUBTOTAL(9,BA79:BA83)&gt;0,SUBTOTAL(9,BA79:BA83),"")</f>
        <v/>
      </c>
      <c r="BB78" s="34" t="str">
        <f t="shared" ref="BB78" si="1888">IF(SUBTOTAL(9,BB79:BB83)&gt;0,SUBTOTAL(9,BB79:BB83),"")</f>
        <v/>
      </c>
      <c r="BC78" s="34" t="str">
        <f t="shared" ref="BC78" si="1889">IF(SUBTOTAL(9,BC79:BC83)&gt;0,SUBTOTAL(9,BC79:BC83),"")</f>
        <v/>
      </c>
      <c r="BD78" s="34" t="str">
        <f t="shared" ref="BD78" si="1890">IF(SUBTOTAL(9,BD79:BD83)&gt;0,SUBTOTAL(9,BD79:BD83),"")</f>
        <v/>
      </c>
      <c r="BE78" s="34" t="str">
        <f t="shared" ref="BE78" si="1891">IF(SUBTOTAL(9,BE79:BE83)&gt;0,SUBTOTAL(9,BE79:BE83),"")</f>
        <v/>
      </c>
      <c r="BF78" s="34" t="str">
        <f t="shared" ref="BF78" si="1892">IF(SUBTOTAL(9,BF79:BF83)&gt;0,SUBTOTAL(9,BF79:BF83),"")</f>
        <v/>
      </c>
      <c r="BG78" s="34" t="str">
        <f t="shared" ref="BG78" si="1893">IF(SUBTOTAL(9,BG79:BG83)&gt;0,SUBTOTAL(9,BG79:BG83),"")</f>
        <v/>
      </c>
      <c r="BH78" s="34" t="str">
        <f t="shared" ref="BH78" si="1894">IF(SUBTOTAL(9,BH79:BH83)&gt;0,SUBTOTAL(9,BH79:BH83),"")</f>
        <v/>
      </c>
      <c r="BI78" s="34" t="str">
        <f t="shared" ref="BI78" si="1895">IF(SUBTOTAL(9,BI79:BI83)&gt;0,SUBTOTAL(9,BI79:BI83),"")</f>
        <v/>
      </c>
      <c r="BJ78" s="34" t="str">
        <f t="shared" ref="BJ78" si="1896">IF(SUBTOTAL(9,BJ79:BJ83)&gt;0,SUBTOTAL(9,BJ79:BJ83),"")</f>
        <v/>
      </c>
      <c r="BK78" s="34" t="str">
        <f t="shared" ref="BK78" si="1897">IF(SUBTOTAL(9,BK79:BK83)&gt;0,SUBTOTAL(9,BK79:BK83),"")</f>
        <v/>
      </c>
      <c r="BL78" s="34" t="str">
        <f t="shared" ref="BL78" si="1898">IF(SUBTOTAL(9,BL79:BL83)&gt;0,SUBTOTAL(9,BL79:BL83),"")</f>
        <v/>
      </c>
      <c r="BM78" s="34" t="str">
        <f t="shared" ref="BM78" si="1899">IF(SUBTOTAL(9,BM79:BM83)&gt;0,SUBTOTAL(9,BM79:BM83),"")</f>
        <v/>
      </c>
      <c r="BN78" s="34" t="str">
        <f t="shared" ref="BN78" si="1900">IF(SUBTOTAL(9,BN79:BN83)&gt;0,SUBTOTAL(9,BN79:BN83),"")</f>
        <v/>
      </c>
      <c r="BO78" s="34" t="str">
        <f t="shared" ref="BO78" si="1901">IF(SUBTOTAL(9,BO79:BO83)&gt;0,SUBTOTAL(9,BO79:BO83),"")</f>
        <v/>
      </c>
      <c r="BP78" s="34" t="str">
        <f t="shared" ref="BP78" si="1902">IF(SUBTOTAL(9,BP79:BP83)&gt;0,SUBTOTAL(9,BP79:BP83),"")</f>
        <v/>
      </c>
      <c r="BQ78" s="34" t="str">
        <f t="shared" ref="BQ78" si="1903">IF(SUBTOTAL(9,BQ79:BQ83)&gt;0,SUBTOTAL(9,BQ79:BQ83),"")</f>
        <v/>
      </c>
      <c r="BR78" s="34" t="str">
        <f t="shared" ref="BR78" si="1904">IF(SUBTOTAL(9,BR79:BR83)&gt;0,SUBTOTAL(9,BR79:BR83),"")</f>
        <v/>
      </c>
      <c r="BS78" s="34" t="str">
        <f t="shared" ref="BS78" si="1905">IF(SUBTOTAL(9,BS79:BS83)&gt;0,SUBTOTAL(9,BS79:BS83),"")</f>
        <v/>
      </c>
      <c r="BT78" s="34" t="str">
        <f t="shared" ref="BT78" si="1906">IF(SUBTOTAL(9,BT79:BT83)&gt;0,SUBTOTAL(9,BT79:BT83),"")</f>
        <v/>
      </c>
      <c r="BU78" s="34" t="str">
        <f t="shared" ref="BU78" si="1907">IF(SUBTOTAL(9,BU79:BU83)&gt;0,SUBTOTAL(9,BU79:BU83),"")</f>
        <v/>
      </c>
      <c r="BV78" s="34" t="str">
        <f t="shared" ref="BV78" si="1908">IF(SUBTOTAL(9,BV79:BV83)&gt;0,SUBTOTAL(9,BV79:BV83),"")</f>
        <v/>
      </c>
      <c r="BW78" s="34" t="str">
        <f t="shared" ref="BW78" si="1909">IF(SUBTOTAL(9,BW79:BW83)&gt;0,SUBTOTAL(9,BW79:BW83),"")</f>
        <v/>
      </c>
      <c r="BX78" s="34" t="str">
        <f t="shared" ref="BX78" si="1910">IF(SUBTOTAL(9,BX79:BX83)&gt;0,SUBTOTAL(9,BX79:BX83),"")</f>
        <v/>
      </c>
      <c r="BY78" s="34" t="str">
        <f t="shared" ref="BY78" si="1911">IF(SUBTOTAL(9,BY79:BY83)&gt;0,SUBTOTAL(9,BY79:BY83),"")</f>
        <v/>
      </c>
      <c r="BZ78" s="34" t="str">
        <f t="shared" ref="BZ78" si="1912">IF(SUBTOTAL(9,BZ79:BZ83)&gt;0,SUBTOTAL(9,BZ79:BZ83),"")</f>
        <v/>
      </c>
      <c r="CA78" s="34" t="str">
        <f t="shared" ref="CA78" si="1913">IF(SUBTOTAL(9,CA79:CA83)&gt;0,SUBTOTAL(9,CA79:CA83),"")</f>
        <v/>
      </c>
      <c r="CB78" s="34" t="str">
        <f t="shared" ref="CB78" si="1914">IF(SUBTOTAL(9,CB79:CB83)&gt;0,SUBTOTAL(9,CB79:CB83),"")</f>
        <v/>
      </c>
      <c r="CC78" s="34" t="str">
        <f t="shared" ref="CC78" si="1915">IF(SUBTOTAL(9,CC79:CC83)&gt;0,SUBTOTAL(9,CC79:CC83),"")</f>
        <v/>
      </c>
      <c r="CD78" s="34" t="str">
        <f t="shared" ref="CD78" si="1916">IF(SUBTOTAL(9,CD79:CD83)&gt;0,SUBTOTAL(9,CD79:CD83),"")</f>
        <v/>
      </c>
      <c r="CE78" s="34" t="str">
        <f t="shared" ref="CE78" si="1917">IF(SUBTOTAL(9,CE79:CE83)&gt;0,SUBTOTAL(9,CE79:CE83),"")</f>
        <v/>
      </c>
      <c r="CF78" s="34" t="str">
        <f t="shared" ref="CF78:CG78" si="1918">IF(SUBTOTAL(9,CF79:CF83)&gt;0,SUBTOTAL(9,CF79:CF83),"")</f>
        <v/>
      </c>
      <c r="CG78" s="34" t="str">
        <f t="shared" si="1918"/>
        <v/>
      </c>
      <c r="CH78" s="34" t="str">
        <f t="shared" ref="CH78" si="1919">IF(SUBTOTAL(9,CH79:CH83)&gt;0,SUBTOTAL(9,CH79:CH83),"")</f>
        <v/>
      </c>
      <c r="CI78" s="34" t="str">
        <f t="shared" ref="CI78" si="1920">IF(SUBTOTAL(9,CI79:CI83)&gt;0,SUBTOTAL(9,CI79:CI83),"")</f>
        <v/>
      </c>
      <c r="CJ78" s="34" t="str">
        <f t="shared" ref="CJ78" si="1921">IF(SUBTOTAL(9,CJ79:CJ83)&gt;0,SUBTOTAL(9,CJ79:CJ83),"")</f>
        <v/>
      </c>
      <c r="CK78" s="34" t="str">
        <f t="shared" ref="CK78" si="1922">IF(SUBTOTAL(9,CK79:CK83)&gt;0,SUBTOTAL(9,CK79:CK83),"")</f>
        <v/>
      </c>
      <c r="CL78" s="34" t="str">
        <f t="shared" ref="CL78" si="1923">IF(SUBTOTAL(9,CL79:CL83)&gt;0,SUBTOTAL(9,CL79:CL83),"")</f>
        <v/>
      </c>
      <c r="CM78" s="34" t="str">
        <f t="shared" ref="CM78" si="1924">IF(SUBTOTAL(9,CM79:CM83)&gt;0,SUBTOTAL(9,CM79:CM83),"")</f>
        <v/>
      </c>
      <c r="CN78" s="34" t="str">
        <f t="shared" ref="CN78" si="1925">IF(SUBTOTAL(9,CN79:CN83)&gt;0,SUBTOTAL(9,CN79:CN83),"")</f>
        <v/>
      </c>
      <c r="CO78" s="34">
        <f>IF(SUBTOTAL(9,CO79:CO83)&gt;0,SUBTOTAL(9,CO79:CO83),"")</f>
        <v>1</v>
      </c>
      <c r="CP78" s="34">
        <f>IF(SUBTOTAL(9,CP79:CP83)&gt;0,SUBTOTAL(9,CP79:CP83),"")</f>
        <v>1</v>
      </c>
      <c r="CQ78" s="34">
        <f>IF(SUBTOTAL(9,CQ79:CQ83)&gt;0,SUBTOTAL(9,CQ79:CQ83),"")</f>
        <v>1</v>
      </c>
      <c r="CR78" s="34">
        <f>IF(SUBTOTAL(9,CR79:CR83)&gt;0,SUBTOTAL(9,CR79:CR83),"")</f>
        <v>1</v>
      </c>
      <c r="CS78" s="34">
        <f>IF(SUBTOTAL(9,CS79:CS83)&gt;0,SUBTOTAL(9,CS79:CS83),"")</f>
        <v>1</v>
      </c>
      <c r="CT78" s="33" t="str">
        <f t="shared" ref="CT78" si="1926">IF(SUBTOTAL(9,CT79:CT83)&gt;0,SUBTOTAL(9,CT79:CT83),"")</f>
        <v/>
      </c>
      <c r="CU78" s="34" t="str">
        <f t="shared" ref="CU78" si="1927">IF(SUBTOTAL(9,CU79:CU83)&gt;0,SUBTOTAL(9,CU79:CU83),"")</f>
        <v/>
      </c>
      <c r="CV78" s="34" t="str">
        <f t="shared" ref="CV78" si="1928">IF(SUBTOTAL(9,CV79:CV83)&gt;0,SUBTOTAL(9,CV79:CV83),"")</f>
        <v/>
      </c>
      <c r="CW78" s="34" t="str">
        <f t="shared" ref="CW78" si="1929">IF(SUBTOTAL(9,CW79:CW83)&gt;0,SUBTOTAL(9,CW79:CW83),"")</f>
        <v/>
      </c>
      <c r="CX78" s="34" t="str">
        <f t="shared" ref="CX78" si="1930">IF(SUBTOTAL(9,CX79:CX83)&gt;0,SUBTOTAL(9,CX79:CX83),"")</f>
        <v/>
      </c>
      <c r="CY78" s="34" t="str">
        <f t="shared" ref="CY78" si="1931">IF(SUBTOTAL(9,CY79:CY83)&gt;0,SUBTOTAL(9,CY79:CY83),"")</f>
        <v/>
      </c>
      <c r="CZ78" s="33" t="str">
        <f t="shared" ref="CZ78" si="1932">IF(SUBTOTAL(9,CZ79:CZ83)&gt;0,SUBTOTAL(9,CZ79:CZ83),"")</f>
        <v/>
      </c>
      <c r="DA78" s="33" t="str">
        <f t="shared" ref="DA78" si="1933">IF(SUBTOTAL(9,DA79:DA83)&gt;0,SUBTOTAL(9,DA79:DA83),"")</f>
        <v/>
      </c>
      <c r="DB78" s="34" t="str">
        <f t="shared" ref="DB78" si="1934">IF(SUBTOTAL(9,DB79:DB83)&gt;0,SUBTOTAL(9,DB79:DB83),"")</f>
        <v/>
      </c>
      <c r="DC78" s="34" t="str">
        <f t="shared" ref="DC78" si="1935">IF(SUBTOTAL(9,DC79:DC83)&gt;0,SUBTOTAL(9,DC79:DC83),"")</f>
        <v/>
      </c>
      <c r="DD78" s="34" t="str">
        <f t="shared" ref="DD78" si="1936">IF(SUBTOTAL(9,DD79:DD83)&gt;0,SUBTOTAL(9,DD79:DD83),"")</f>
        <v/>
      </c>
      <c r="DE78" s="34" t="str">
        <f t="shared" ref="DE78" si="1937">IF(SUBTOTAL(9,DE79:DE83)&gt;0,SUBTOTAL(9,DE79:DE83),"")</f>
        <v/>
      </c>
      <c r="DF78" s="34" t="str">
        <f t="shared" ref="DF78" si="1938">IF(SUBTOTAL(9,DF79:DF83)&gt;0,SUBTOTAL(9,DF79:DF83),"")</f>
        <v/>
      </c>
      <c r="DG78" s="34" t="str">
        <f t="shared" ref="DG78" si="1939">IF(SUBTOTAL(9,DG79:DG83)&gt;0,SUBTOTAL(9,DG79:DG83),"")</f>
        <v/>
      </c>
      <c r="DH78" s="34" t="str">
        <f t="shared" ref="DH78" si="1940">IF(SUBTOTAL(9,DH79:DH83)&gt;0,SUBTOTAL(9,DH79:DH83),"")</f>
        <v/>
      </c>
      <c r="DI78" s="34" t="str">
        <f t="shared" ref="DI78" si="1941">IF(SUBTOTAL(9,DI79:DI83)&gt;0,SUBTOTAL(9,DI79:DI83),"")</f>
        <v/>
      </c>
      <c r="DJ78" s="34" t="str">
        <f t="shared" ref="DJ78" si="1942">IF(SUBTOTAL(9,DJ79:DJ83)&gt;0,SUBTOTAL(9,DJ79:DJ83),"")</f>
        <v/>
      </c>
      <c r="DK78" s="34" t="str">
        <f t="shared" ref="DK78" si="1943">IF(SUBTOTAL(9,DK79:DK83)&gt;0,SUBTOTAL(9,DK79:DK83),"")</f>
        <v/>
      </c>
      <c r="DL78" s="34" t="str">
        <f t="shared" ref="DL78" si="1944">IF(SUBTOTAL(9,DL79:DL83)&gt;0,SUBTOTAL(9,DL79:DL83),"")</f>
        <v/>
      </c>
      <c r="DM78" s="34" t="str">
        <f t="shared" ref="DM78" si="1945">IF(SUBTOTAL(9,DM79:DM83)&gt;0,SUBTOTAL(9,DM79:DM83),"")</f>
        <v/>
      </c>
      <c r="DN78" s="34" t="str">
        <f t="shared" ref="DN78" si="1946">IF(SUBTOTAL(9,DN79:DN83)&gt;0,SUBTOTAL(9,DN79:DN83),"")</f>
        <v/>
      </c>
      <c r="DO78" s="34" t="str">
        <f t="shared" ref="DO78" si="1947">IF(SUBTOTAL(9,DO79:DO83)&gt;0,SUBTOTAL(9,DO79:DO83),"")</f>
        <v/>
      </c>
      <c r="DP78" s="34" t="str">
        <f t="shared" ref="DP78" si="1948">IF(SUBTOTAL(9,DP79:DP83)&gt;0,SUBTOTAL(9,DP79:DP83),"")</f>
        <v/>
      </c>
      <c r="DQ78" s="34" t="str">
        <f t="shared" ref="DQ78" si="1949">IF(SUBTOTAL(9,DQ79:DQ83)&gt;0,SUBTOTAL(9,DQ79:DQ83),"")</f>
        <v/>
      </c>
      <c r="DR78" s="34" t="str">
        <f t="shared" ref="DR78" si="1950">IF(SUBTOTAL(9,DR79:DR83)&gt;0,SUBTOTAL(9,DR79:DR83),"")</f>
        <v/>
      </c>
      <c r="DS78" s="34" t="str">
        <f t="shared" ref="DS78" si="1951">IF(SUBTOTAL(9,DS79:DS83)&gt;0,SUBTOTAL(9,DS79:DS83),"")</f>
        <v/>
      </c>
      <c r="DT78" s="34" t="str">
        <f t="shared" ref="DT78" si="1952">IF(SUBTOTAL(9,DT79:DT83)&gt;0,SUBTOTAL(9,DT79:DT83),"")</f>
        <v/>
      </c>
      <c r="DU78" s="34" t="str">
        <f t="shared" ref="DU78" si="1953">IF(SUBTOTAL(9,DU79:DU83)&gt;0,SUBTOTAL(9,DU79:DU83),"")</f>
        <v/>
      </c>
      <c r="DV78" s="34" t="str">
        <f t="shared" ref="DV78" si="1954">IF(SUBTOTAL(9,DV79:DV83)&gt;0,SUBTOTAL(9,DV79:DV83),"")</f>
        <v/>
      </c>
      <c r="DW78" s="34" t="str">
        <f t="shared" ref="DW78" si="1955">IF(SUBTOTAL(9,DW79:DW83)&gt;0,SUBTOTAL(9,DW79:DW83),"")</f>
        <v/>
      </c>
      <c r="DX78" s="34" t="str">
        <f t="shared" ref="DX78" si="1956">IF(SUBTOTAL(9,DX79:DX83)&gt;0,SUBTOTAL(9,DX79:DX83),"")</f>
        <v/>
      </c>
      <c r="DY78" s="34" t="str">
        <f t="shared" ref="DY78" si="1957">IF(SUBTOTAL(9,DY79:DY83)&gt;0,SUBTOTAL(9,DY79:DY83),"")</f>
        <v/>
      </c>
      <c r="DZ78" s="33" t="str">
        <f t="shared" ref="DZ78" si="1958">IF(SUBTOTAL(9,DZ79:DZ83)&gt;0,SUBTOTAL(9,DZ79:DZ83),"")</f>
        <v/>
      </c>
      <c r="EA78" s="34" t="str">
        <f t="shared" ref="EA78" si="1959">IF(SUBTOTAL(9,EA79:EA83)&gt;0,SUBTOTAL(9,EA79:EA83),"")</f>
        <v/>
      </c>
      <c r="EB78" s="34" t="str">
        <f t="shared" ref="EB78" si="1960">IF(SUBTOTAL(9,EB79:EB83)&gt;0,SUBTOTAL(9,EB79:EB83),"")</f>
        <v/>
      </c>
      <c r="EC78" s="34" t="str">
        <f t="shared" ref="EC78" si="1961">IF(SUBTOTAL(9,EC79:EC83)&gt;0,SUBTOTAL(9,EC79:EC83),"")</f>
        <v/>
      </c>
      <c r="ED78" s="34" t="str">
        <f t="shared" ref="ED78" si="1962">IF(SUBTOTAL(9,ED79:ED83)&gt;0,SUBTOTAL(9,ED79:ED83),"")</f>
        <v/>
      </c>
      <c r="EE78" s="34" t="str">
        <f t="shared" ref="EE78" si="1963">IF(SUBTOTAL(9,EE79:EE83)&gt;0,SUBTOTAL(9,EE79:EE83),"")</f>
        <v/>
      </c>
      <c r="EF78" s="34" t="str">
        <f t="shared" ref="EF78" si="1964">IF(SUBTOTAL(9,EF79:EF83)&gt;0,SUBTOTAL(9,EF79:EF83),"")</f>
        <v/>
      </c>
      <c r="EG78" s="34" t="str">
        <f t="shared" ref="EG78" si="1965">IF(SUBTOTAL(9,EG79:EG83)&gt;0,SUBTOTAL(9,EG79:EG83),"")</f>
        <v/>
      </c>
      <c r="EH78" s="34" t="str">
        <f t="shared" ref="EH78" si="1966">IF(SUBTOTAL(9,EH79:EH83)&gt;0,SUBTOTAL(9,EH79:EH83),"")</f>
        <v/>
      </c>
      <c r="EI78" s="34" t="str">
        <f t="shared" ref="EI78" si="1967">IF(SUBTOTAL(9,EI79:EI83)&gt;0,SUBTOTAL(9,EI79:EI83),"")</f>
        <v/>
      </c>
      <c r="EJ78" s="34" t="str">
        <f t="shared" ref="EJ78" si="1968">IF(SUBTOTAL(9,EJ79:EJ83)&gt;0,SUBTOTAL(9,EJ79:EJ83),"")</f>
        <v/>
      </c>
      <c r="EK78" s="34" t="str">
        <f t="shared" ref="EK78" si="1969">IF(SUBTOTAL(9,EK79:EK83)&gt;0,SUBTOTAL(9,EK79:EK83),"")</f>
        <v/>
      </c>
      <c r="EL78" s="34" t="str">
        <f t="shared" ref="EL78" si="1970">IF(SUBTOTAL(9,EL79:EL83)&gt;0,SUBTOTAL(9,EL79:EL83),"")</f>
        <v/>
      </c>
      <c r="EM78" s="34" t="str">
        <f t="shared" ref="EM78" si="1971">IF(SUBTOTAL(9,EM79:EM83)&gt;0,SUBTOTAL(9,EM79:EM83),"")</f>
        <v/>
      </c>
      <c r="EN78" s="34" t="str">
        <f t="shared" ref="EN78" si="1972">IF(SUBTOTAL(9,EN79:EN83)&gt;0,SUBTOTAL(9,EN79:EN83),"")</f>
        <v/>
      </c>
      <c r="EO78" s="34" t="str">
        <f t="shared" ref="EO78" si="1973">IF(SUBTOTAL(9,EO79:EO83)&gt;0,SUBTOTAL(9,EO79:EO83),"")</f>
        <v/>
      </c>
      <c r="EP78" s="34" t="str">
        <f t="shared" ref="EP78" si="1974">IF(SUBTOTAL(9,EP79:EP83)&gt;0,SUBTOTAL(9,EP79:EP83),"")</f>
        <v/>
      </c>
      <c r="EQ78" s="34" t="str">
        <f t="shared" ref="EQ78" si="1975">IF(SUBTOTAL(9,EQ79:EQ83)&gt;0,SUBTOTAL(9,EQ79:EQ83),"")</f>
        <v/>
      </c>
      <c r="ER78" s="34" t="str">
        <f t="shared" ref="ER78" si="1976">IF(SUBTOTAL(9,ER79:ER83)&gt;0,SUBTOTAL(9,ER79:ER83),"")</f>
        <v/>
      </c>
      <c r="ES78" s="34" t="str">
        <f t="shared" ref="ES78" si="1977">IF(SUBTOTAL(9,ES79:ES83)&gt;0,SUBTOTAL(9,ES79:ES83),"")</f>
        <v/>
      </c>
      <c r="ET78" s="34" t="str">
        <f t="shared" ref="ET78" si="1978">IF(SUBTOTAL(9,ET79:ET83)&gt;0,SUBTOTAL(9,ET79:ET83),"")</f>
        <v/>
      </c>
      <c r="EU78" s="34" t="str">
        <f t="shared" ref="EU78" si="1979">IF(SUBTOTAL(9,EU79:EU83)&gt;0,SUBTOTAL(9,EU79:EU83),"")</f>
        <v/>
      </c>
      <c r="EV78" s="34" t="str">
        <f t="shared" ref="EV78" si="1980">IF(SUBTOTAL(9,EV79:EV83)&gt;0,SUBTOTAL(9,EV79:EV83),"")</f>
        <v/>
      </c>
      <c r="EW78" s="34" t="str">
        <f t="shared" ref="EW78" si="1981">IF(SUBTOTAL(9,EW79:EW83)&gt;0,SUBTOTAL(9,EW79:EW83),"")</f>
        <v/>
      </c>
      <c r="EX78" s="34" t="str">
        <f t="shared" ref="EX78" si="1982">IF(SUBTOTAL(9,EX79:EX83)&gt;0,SUBTOTAL(9,EX79:EX83),"")</f>
        <v/>
      </c>
      <c r="EY78" s="33" t="str">
        <f t="shared" ref="EY78" si="1983">IF(SUBTOTAL(9,EY79:EY83)&gt;0,SUBTOTAL(9,EY79:EY83),"")</f>
        <v/>
      </c>
      <c r="EZ78" s="34" t="str">
        <f t="shared" ref="EZ78" si="1984">IF(SUBTOTAL(9,EZ79:EZ83)&gt;0,SUBTOTAL(9,EZ79:EZ83),"")</f>
        <v/>
      </c>
      <c r="FA78" s="34" t="str">
        <f t="shared" ref="FA78" si="1985">IF(SUBTOTAL(9,FA79:FA83)&gt;0,SUBTOTAL(9,FA79:FA83),"")</f>
        <v/>
      </c>
      <c r="FB78" s="34" t="str">
        <f t="shared" ref="FB78" si="1986">IF(SUBTOTAL(9,FB79:FB83)&gt;0,SUBTOTAL(9,FB79:FB83),"")</f>
        <v/>
      </c>
      <c r="FC78" s="34" t="str">
        <f t="shared" ref="FC78" si="1987">IF(SUBTOTAL(9,FC79:FC83)&gt;0,SUBTOTAL(9,FC79:FC83),"")</f>
        <v/>
      </c>
      <c r="FD78" s="34" t="str">
        <f t="shared" ref="FD78" si="1988">IF(SUBTOTAL(9,FD79:FD83)&gt;0,SUBTOTAL(9,FD79:FD83),"")</f>
        <v/>
      </c>
      <c r="FE78" s="34" t="str">
        <f t="shared" ref="FE78" si="1989">IF(SUBTOTAL(9,FE79:FE83)&gt;0,SUBTOTAL(9,FE79:FE83),"")</f>
        <v/>
      </c>
      <c r="FF78" s="34" t="str">
        <f t="shared" ref="FF78" si="1990">IF(SUBTOTAL(9,FF79:FF83)&gt;0,SUBTOTAL(9,FF79:FF83),"")</f>
        <v/>
      </c>
      <c r="FG78" s="34" t="str">
        <f t="shared" ref="FG78" si="1991">IF(SUBTOTAL(9,FG79:FG83)&gt;0,SUBTOTAL(9,FG79:FG83),"")</f>
        <v/>
      </c>
      <c r="FH78" s="34" t="str">
        <f t="shared" ref="FH78" si="1992">IF(SUBTOTAL(9,FH79:FH83)&gt;0,SUBTOTAL(9,FH79:FH83),"")</f>
        <v/>
      </c>
      <c r="FI78" s="34" t="str">
        <f t="shared" ref="FI78" si="1993">IF(SUBTOTAL(9,FI79:FI83)&gt;0,SUBTOTAL(9,FI79:FI83),"")</f>
        <v/>
      </c>
      <c r="FJ78" s="34" t="str">
        <f t="shared" ref="FJ78" si="1994">IF(SUBTOTAL(9,FJ79:FJ83)&gt;0,SUBTOTAL(9,FJ79:FJ83),"")</f>
        <v/>
      </c>
      <c r="FK78" s="34" t="str">
        <f t="shared" ref="FK78" si="1995">IF(SUBTOTAL(9,FK79:FK83)&gt;0,SUBTOTAL(9,FK79:FK83),"")</f>
        <v/>
      </c>
      <c r="FL78" s="34" t="str">
        <f t="shared" ref="FL78" si="1996">IF(SUBTOTAL(9,FL79:FL83)&gt;0,SUBTOTAL(9,FL79:FL83),"")</f>
        <v/>
      </c>
      <c r="FM78" s="34" t="str">
        <f t="shared" ref="FM78" si="1997">IF(SUBTOTAL(9,FM79:FM83)&gt;0,SUBTOTAL(9,FM79:FM83),"")</f>
        <v/>
      </c>
      <c r="FN78" s="34" t="str">
        <f t="shared" ref="FN78" si="1998">IF(SUBTOTAL(9,FN79:FN83)&gt;0,SUBTOTAL(9,FN79:FN83),"")</f>
        <v/>
      </c>
      <c r="FO78" s="34" t="str">
        <f t="shared" ref="FO78" si="1999">IF(SUBTOTAL(9,FO79:FO83)&gt;0,SUBTOTAL(9,FO79:FO83),"")</f>
        <v/>
      </c>
      <c r="FP78" s="34" t="str">
        <f t="shared" ref="FP78" si="2000">IF(SUBTOTAL(9,FP79:FP83)&gt;0,SUBTOTAL(9,FP79:FP83),"")</f>
        <v/>
      </c>
      <c r="FQ78" s="92" t="str">
        <f t="shared" ref="FQ78" si="2001">IF(SUBTOTAL(9,FQ79:FQ83)&gt;0,SUBTOTAL(9,FQ79:FQ83),"")</f>
        <v/>
      </c>
      <c r="FR78" s="8"/>
      <c r="FS78" s="9" t="s">
        <v>131</v>
      </c>
      <c r="FT78" s="9" t="str">
        <f t="shared" si="1838"/>
        <v/>
      </c>
    </row>
    <row r="79" spans="1:176" s="9" customFormat="1" ht="12" hidden="1" customHeight="1" outlineLevel="1">
      <c r="A79" s="122" t="s">
        <v>4</v>
      </c>
      <c r="B79" s="125" t="s">
        <v>17</v>
      </c>
      <c r="C79" s="124" t="str">
        <f t="shared" si="1837"/>
        <v>15 days</v>
      </c>
      <c r="D79" s="13" t="str">
        <f>A71&amp;" "&amp;A78</f>
        <v>3. Quarterly Process Documentation 3.2 FCF Review</v>
      </c>
      <c r="E79" s="51"/>
      <c r="F79" s="35"/>
      <c r="G79" s="35"/>
      <c r="H79" s="35"/>
      <c r="I79" s="35"/>
      <c r="J79" s="35">
        <v>1</v>
      </c>
      <c r="K79" s="35">
        <v>1</v>
      </c>
      <c r="L79" s="35">
        <v>1</v>
      </c>
      <c r="M79" s="35">
        <v>1</v>
      </c>
      <c r="N79" s="35">
        <v>1</v>
      </c>
      <c r="O79" s="35">
        <v>1</v>
      </c>
      <c r="P79" s="35">
        <v>1</v>
      </c>
      <c r="Q79" s="35">
        <v>1</v>
      </c>
      <c r="R79" s="35">
        <v>1</v>
      </c>
      <c r="S79" s="35">
        <v>1</v>
      </c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35"/>
      <c r="AK79" s="35"/>
      <c r="AL79" s="36"/>
      <c r="AM79" s="36"/>
      <c r="AN79" s="36"/>
      <c r="AO79" s="36"/>
      <c r="AP79" s="36"/>
      <c r="AQ79" s="36"/>
      <c r="AR79" s="36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5"/>
      <c r="BM79" s="35"/>
      <c r="BN79" s="35"/>
      <c r="BO79" s="35"/>
      <c r="BP79" s="35"/>
      <c r="BQ79" s="35"/>
      <c r="BR79" s="35"/>
      <c r="BS79" s="35"/>
      <c r="BT79" s="35"/>
      <c r="BU79" s="35"/>
      <c r="BV79" s="35"/>
      <c r="BW79" s="35"/>
      <c r="BX79" s="35"/>
      <c r="BY79" s="35"/>
      <c r="BZ79" s="35"/>
      <c r="CA79" s="35"/>
      <c r="CB79" s="35"/>
      <c r="CC79" s="35"/>
      <c r="CD79" s="35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>
        <v>1</v>
      </c>
      <c r="CP79" s="35">
        <v>1</v>
      </c>
      <c r="CQ79" s="35">
        <v>1</v>
      </c>
      <c r="CR79" s="35">
        <v>1</v>
      </c>
      <c r="CS79" s="35">
        <v>1</v>
      </c>
      <c r="CT79" s="36"/>
      <c r="CU79" s="35"/>
      <c r="CV79" s="35"/>
      <c r="CW79" s="35"/>
      <c r="CX79" s="35"/>
      <c r="CY79" s="35"/>
      <c r="CZ79" s="36"/>
      <c r="DA79" s="36"/>
      <c r="DB79" s="93"/>
      <c r="DC79" s="93"/>
      <c r="DD79" s="93"/>
      <c r="DE79" s="93"/>
      <c r="DF79" s="93"/>
      <c r="DG79" s="35"/>
      <c r="DH79" s="35"/>
      <c r="DI79" s="35"/>
      <c r="DJ79" s="35"/>
      <c r="DK79" s="35"/>
      <c r="DL79" s="35"/>
      <c r="DM79" s="35"/>
      <c r="DN79" s="35"/>
      <c r="DO79" s="35"/>
      <c r="DP79" s="35"/>
      <c r="DQ79" s="35"/>
      <c r="DR79" s="35"/>
      <c r="DS79" s="35"/>
      <c r="DT79" s="35"/>
      <c r="DU79" s="35"/>
      <c r="DV79" s="35"/>
      <c r="DW79" s="35"/>
      <c r="DX79" s="35"/>
      <c r="DY79" s="35"/>
      <c r="DZ79" s="36"/>
      <c r="EA79" s="35"/>
      <c r="EB79" s="35"/>
      <c r="EC79" s="35"/>
      <c r="ED79" s="35"/>
      <c r="EE79" s="35"/>
      <c r="EF79" s="35"/>
      <c r="EG79" s="35"/>
      <c r="EH79" s="35"/>
      <c r="EI79" s="35"/>
      <c r="EJ79" s="35"/>
      <c r="EK79" s="35"/>
      <c r="EL79" s="35"/>
      <c r="EM79" s="35"/>
      <c r="EN79" s="35"/>
      <c r="EO79" s="35"/>
      <c r="EP79" s="35"/>
      <c r="EQ79" s="35"/>
      <c r="ER79" s="35"/>
      <c r="ES79" s="35"/>
      <c r="ET79" s="35"/>
      <c r="EU79" s="35"/>
      <c r="EV79" s="35"/>
      <c r="EW79" s="35"/>
      <c r="EX79" s="35"/>
      <c r="EY79" s="36"/>
      <c r="EZ79" s="35"/>
      <c r="FA79" s="35"/>
      <c r="FB79" s="35"/>
      <c r="FC79" s="35"/>
      <c r="FD79" s="35"/>
      <c r="FE79" s="35"/>
      <c r="FF79" s="35"/>
      <c r="FG79" s="35"/>
      <c r="FH79" s="35"/>
      <c r="FI79" s="35"/>
      <c r="FJ79" s="35"/>
      <c r="FK79" s="35"/>
      <c r="FL79" s="35"/>
      <c r="FM79" s="35"/>
      <c r="FN79" s="35"/>
      <c r="FO79" s="35"/>
      <c r="FP79" s="35"/>
      <c r="FQ79" s="52"/>
      <c r="FR79" s="8"/>
      <c r="FS79" s="9" t="s">
        <v>13</v>
      </c>
      <c r="FT79" s="9" t="str">
        <f t="shared" si="1838"/>
        <v>3. Quarterly Process Documentation 3.2 FCF ReviewSenior Accountant</v>
      </c>
    </row>
    <row r="80" spans="1:176" s="9" customFormat="1" ht="12" hidden="1" customHeight="1" outlineLevel="1">
      <c r="A80" s="125" t="s">
        <v>50</v>
      </c>
      <c r="B80" s="125"/>
      <c r="C80" s="124" t="str">
        <f t="shared" si="1837"/>
        <v>0 days</v>
      </c>
      <c r="D80" s="13" t="str">
        <f>A71&amp;" "&amp;A78</f>
        <v>3. Quarterly Process Documentation 3.2 FCF Review</v>
      </c>
      <c r="E80" s="51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35"/>
      <c r="AK80" s="35"/>
      <c r="AL80" s="36"/>
      <c r="AM80" s="36"/>
      <c r="AN80" s="36"/>
      <c r="AO80" s="36"/>
      <c r="AP80" s="36"/>
      <c r="AQ80" s="36"/>
      <c r="AR80" s="36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5"/>
      <c r="BM80" s="35"/>
      <c r="BN80" s="35"/>
      <c r="BO80" s="35"/>
      <c r="BP80" s="35"/>
      <c r="BQ80" s="35"/>
      <c r="BR80" s="35"/>
      <c r="BS80" s="35"/>
      <c r="BT80" s="35"/>
      <c r="BU80" s="35"/>
      <c r="BV80" s="35"/>
      <c r="BW80" s="35"/>
      <c r="BX80" s="35"/>
      <c r="BY80" s="35"/>
      <c r="BZ80" s="35"/>
      <c r="CA80" s="35"/>
      <c r="CB80" s="35"/>
      <c r="CC80" s="35"/>
      <c r="CD80" s="35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  <c r="CQ80" s="35"/>
      <c r="CR80" s="35"/>
      <c r="CS80" s="35"/>
      <c r="CT80" s="36"/>
      <c r="CU80" s="35"/>
      <c r="CV80" s="35"/>
      <c r="CW80" s="35"/>
      <c r="CX80" s="35"/>
      <c r="CY80" s="35"/>
      <c r="CZ80" s="36"/>
      <c r="DA80" s="36"/>
      <c r="DB80" s="35"/>
      <c r="DC80" s="35"/>
      <c r="DD80" s="35"/>
      <c r="DE80" s="35"/>
      <c r="DF80" s="35"/>
      <c r="DG80" s="35"/>
      <c r="DH80" s="35"/>
      <c r="DI80" s="35"/>
      <c r="DJ80" s="35"/>
      <c r="DK80" s="35"/>
      <c r="DL80" s="35"/>
      <c r="DM80" s="35"/>
      <c r="DN80" s="35"/>
      <c r="DO80" s="35"/>
      <c r="DP80" s="35"/>
      <c r="DQ80" s="35"/>
      <c r="DR80" s="35"/>
      <c r="DS80" s="35"/>
      <c r="DT80" s="35"/>
      <c r="DU80" s="35"/>
      <c r="DV80" s="35"/>
      <c r="DW80" s="35"/>
      <c r="DX80" s="35"/>
      <c r="DY80" s="35"/>
      <c r="DZ80" s="36"/>
      <c r="EA80" s="35"/>
      <c r="EB80" s="35"/>
      <c r="EC80" s="35"/>
      <c r="ED80" s="35"/>
      <c r="EE80" s="35"/>
      <c r="EF80" s="35"/>
      <c r="EG80" s="35"/>
      <c r="EH80" s="35"/>
      <c r="EI80" s="35"/>
      <c r="EJ80" s="35"/>
      <c r="EK80" s="35"/>
      <c r="EL80" s="35"/>
      <c r="EM80" s="35"/>
      <c r="EN80" s="35"/>
      <c r="EO80" s="35"/>
      <c r="EP80" s="35"/>
      <c r="EQ80" s="35"/>
      <c r="ER80" s="35"/>
      <c r="ES80" s="35"/>
      <c r="ET80" s="35"/>
      <c r="EU80" s="35"/>
      <c r="EV80" s="35"/>
      <c r="EW80" s="35"/>
      <c r="EX80" s="35"/>
      <c r="EY80" s="36"/>
      <c r="EZ80" s="35"/>
      <c r="FA80" s="35"/>
      <c r="FB80" s="35"/>
      <c r="FC80" s="35"/>
      <c r="FD80" s="35"/>
      <c r="FE80" s="35"/>
      <c r="FF80" s="35"/>
      <c r="FG80" s="35"/>
      <c r="FH80" s="35"/>
      <c r="FI80" s="35"/>
      <c r="FJ80" s="35"/>
      <c r="FK80" s="35"/>
      <c r="FL80" s="35"/>
      <c r="FM80" s="35"/>
      <c r="FN80" s="35"/>
      <c r="FO80" s="35"/>
      <c r="FP80" s="35"/>
      <c r="FQ80" s="52"/>
      <c r="FR80" s="8"/>
      <c r="FS80" s="9" t="s">
        <v>13</v>
      </c>
      <c r="FT80" s="9" t="str">
        <f t="shared" si="1838"/>
        <v>3. Quarterly Process Documentation 3.2 FCF Review</v>
      </c>
    </row>
    <row r="81" spans="1:176" s="9" customFormat="1" ht="12" hidden="1" customHeight="1" outlineLevel="1">
      <c r="A81" s="125" t="s">
        <v>50</v>
      </c>
      <c r="B81" s="125"/>
      <c r="C81" s="124" t="str">
        <f t="shared" si="1837"/>
        <v>0 days</v>
      </c>
      <c r="D81" s="13" t="str">
        <f>A71&amp;" "&amp;A78</f>
        <v>3. Quarterly Process Documentation 3.2 FCF Review</v>
      </c>
      <c r="E81" s="51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35"/>
      <c r="AK81" s="35"/>
      <c r="AL81" s="36"/>
      <c r="AM81" s="36"/>
      <c r="AN81" s="36"/>
      <c r="AO81" s="36"/>
      <c r="AP81" s="36"/>
      <c r="AQ81" s="36"/>
      <c r="AR81" s="36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5"/>
      <c r="BM81" s="35"/>
      <c r="BN81" s="35"/>
      <c r="BO81" s="35"/>
      <c r="BP81" s="35"/>
      <c r="BQ81" s="35"/>
      <c r="BR81" s="35"/>
      <c r="BS81" s="35"/>
      <c r="BT81" s="35"/>
      <c r="BU81" s="35"/>
      <c r="BV81" s="35"/>
      <c r="BW81" s="35"/>
      <c r="BX81" s="35"/>
      <c r="BY81" s="35"/>
      <c r="BZ81" s="35"/>
      <c r="CA81" s="35"/>
      <c r="CB81" s="35"/>
      <c r="CC81" s="35"/>
      <c r="CD81" s="35"/>
      <c r="CE81" s="35"/>
      <c r="CF81" s="35"/>
      <c r="CG81" s="35"/>
      <c r="CH81" s="35"/>
      <c r="CI81" s="35"/>
      <c r="CJ81" s="35"/>
      <c r="CK81" s="35"/>
      <c r="CL81" s="35"/>
      <c r="CM81" s="35"/>
      <c r="CN81" s="35"/>
      <c r="CO81" s="35"/>
      <c r="CP81" s="35"/>
      <c r="CQ81" s="35"/>
      <c r="CR81" s="35"/>
      <c r="CS81" s="35"/>
      <c r="CT81" s="36"/>
      <c r="CU81" s="35"/>
      <c r="CV81" s="35"/>
      <c r="CW81" s="35"/>
      <c r="CX81" s="35"/>
      <c r="CY81" s="35"/>
      <c r="CZ81" s="36"/>
      <c r="DA81" s="36"/>
      <c r="DB81" s="35"/>
      <c r="DC81" s="35"/>
      <c r="DD81" s="35"/>
      <c r="DE81" s="35"/>
      <c r="DF81" s="35"/>
      <c r="DG81" s="35"/>
      <c r="DH81" s="35"/>
      <c r="DI81" s="35"/>
      <c r="DJ81" s="35"/>
      <c r="DK81" s="35"/>
      <c r="DL81" s="35"/>
      <c r="DM81" s="35"/>
      <c r="DN81" s="35"/>
      <c r="DO81" s="35"/>
      <c r="DP81" s="35"/>
      <c r="DQ81" s="35"/>
      <c r="DR81" s="35"/>
      <c r="DS81" s="35"/>
      <c r="DT81" s="35"/>
      <c r="DU81" s="35"/>
      <c r="DV81" s="35"/>
      <c r="DW81" s="35"/>
      <c r="DX81" s="35"/>
      <c r="DY81" s="35"/>
      <c r="DZ81" s="36"/>
      <c r="EA81" s="35"/>
      <c r="EB81" s="35"/>
      <c r="EC81" s="35"/>
      <c r="ED81" s="35"/>
      <c r="EE81" s="35"/>
      <c r="EF81" s="35"/>
      <c r="EG81" s="35"/>
      <c r="EH81" s="35"/>
      <c r="EI81" s="35"/>
      <c r="EJ81" s="35"/>
      <c r="EK81" s="35"/>
      <c r="EL81" s="35"/>
      <c r="EM81" s="35"/>
      <c r="EN81" s="35"/>
      <c r="EO81" s="35"/>
      <c r="EP81" s="35"/>
      <c r="EQ81" s="35"/>
      <c r="ER81" s="35"/>
      <c r="ES81" s="35"/>
      <c r="ET81" s="35"/>
      <c r="EU81" s="35"/>
      <c r="EV81" s="35"/>
      <c r="EW81" s="35"/>
      <c r="EX81" s="35"/>
      <c r="EY81" s="36"/>
      <c r="EZ81" s="35"/>
      <c r="FA81" s="35"/>
      <c r="FB81" s="35"/>
      <c r="FC81" s="35"/>
      <c r="FD81" s="35"/>
      <c r="FE81" s="35"/>
      <c r="FF81" s="35"/>
      <c r="FG81" s="35"/>
      <c r="FH81" s="35"/>
      <c r="FI81" s="35"/>
      <c r="FJ81" s="35"/>
      <c r="FK81" s="35"/>
      <c r="FL81" s="35"/>
      <c r="FM81" s="35"/>
      <c r="FN81" s="35"/>
      <c r="FO81" s="35"/>
      <c r="FP81" s="35"/>
      <c r="FQ81" s="52"/>
      <c r="FR81" s="8"/>
      <c r="FS81" s="9" t="s">
        <v>13</v>
      </c>
      <c r="FT81" s="9" t="str">
        <f t="shared" si="1838"/>
        <v>3. Quarterly Process Documentation 3.2 FCF Review</v>
      </c>
    </row>
    <row r="82" spans="1:176" s="9" customFormat="1" ht="12" hidden="1" customHeight="1" outlineLevel="1">
      <c r="A82" s="125" t="s">
        <v>50</v>
      </c>
      <c r="B82" s="125"/>
      <c r="C82" s="124" t="str">
        <f t="shared" si="1837"/>
        <v>0 days</v>
      </c>
      <c r="D82" s="13" t="str">
        <f>A71&amp;" "&amp;A78</f>
        <v>3. Quarterly Process Documentation 3.2 FCF Review</v>
      </c>
      <c r="E82" s="51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35"/>
      <c r="AK82" s="35"/>
      <c r="AL82" s="36"/>
      <c r="AM82" s="36"/>
      <c r="AN82" s="36"/>
      <c r="AO82" s="36"/>
      <c r="AP82" s="36"/>
      <c r="AQ82" s="36"/>
      <c r="AR82" s="36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5"/>
      <c r="BM82" s="35"/>
      <c r="BN82" s="35"/>
      <c r="BO82" s="35"/>
      <c r="BP82" s="35"/>
      <c r="BQ82" s="35"/>
      <c r="BR82" s="35"/>
      <c r="BS82" s="35"/>
      <c r="BT82" s="35"/>
      <c r="BU82" s="35"/>
      <c r="BV82" s="35"/>
      <c r="BW82" s="35"/>
      <c r="BX82" s="35"/>
      <c r="BY82" s="35"/>
      <c r="BZ82" s="35"/>
      <c r="CA82" s="35"/>
      <c r="CB82" s="35"/>
      <c r="CC82" s="35"/>
      <c r="CD82" s="35"/>
      <c r="CE82" s="35"/>
      <c r="CF82" s="35"/>
      <c r="CG82" s="35"/>
      <c r="CH82" s="35"/>
      <c r="CI82" s="35"/>
      <c r="CJ82" s="35"/>
      <c r="CK82" s="35"/>
      <c r="CL82" s="35"/>
      <c r="CM82" s="35"/>
      <c r="CN82" s="35"/>
      <c r="CO82" s="35"/>
      <c r="CP82" s="35"/>
      <c r="CQ82" s="35"/>
      <c r="CR82" s="35"/>
      <c r="CS82" s="35"/>
      <c r="CT82" s="36"/>
      <c r="CU82" s="35"/>
      <c r="CV82" s="35"/>
      <c r="CW82" s="35"/>
      <c r="CX82" s="35"/>
      <c r="CY82" s="35"/>
      <c r="CZ82" s="36"/>
      <c r="DA82" s="36"/>
      <c r="DB82" s="35"/>
      <c r="DC82" s="35"/>
      <c r="DD82" s="35"/>
      <c r="DE82" s="35"/>
      <c r="DF82" s="35"/>
      <c r="DG82" s="35"/>
      <c r="DH82" s="35"/>
      <c r="DI82" s="35"/>
      <c r="DJ82" s="35"/>
      <c r="DK82" s="35"/>
      <c r="DL82" s="35"/>
      <c r="DM82" s="35"/>
      <c r="DN82" s="35"/>
      <c r="DO82" s="35"/>
      <c r="DP82" s="35"/>
      <c r="DQ82" s="35"/>
      <c r="DR82" s="35"/>
      <c r="DS82" s="35"/>
      <c r="DT82" s="35"/>
      <c r="DU82" s="35"/>
      <c r="DV82" s="35"/>
      <c r="DW82" s="35"/>
      <c r="DX82" s="35"/>
      <c r="DY82" s="35"/>
      <c r="DZ82" s="36"/>
      <c r="EA82" s="35"/>
      <c r="EB82" s="35"/>
      <c r="EC82" s="35"/>
      <c r="ED82" s="35"/>
      <c r="EE82" s="35"/>
      <c r="EF82" s="35"/>
      <c r="EG82" s="35"/>
      <c r="EH82" s="35"/>
      <c r="EI82" s="35"/>
      <c r="EJ82" s="35"/>
      <c r="EK82" s="35"/>
      <c r="EL82" s="35"/>
      <c r="EM82" s="35"/>
      <c r="EN82" s="35"/>
      <c r="EO82" s="35"/>
      <c r="EP82" s="35"/>
      <c r="EQ82" s="35"/>
      <c r="ER82" s="35"/>
      <c r="ES82" s="35"/>
      <c r="ET82" s="35"/>
      <c r="EU82" s="35"/>
      <c r="EV82" s="35"/>
      <c r="EW82" s="35"/>
      <c r="EX82" s="35"/>
      <c r="EY82" s="36"/>
      <c r="EZ82" s="35"/>
      <c r="FA82" s="35"/>
      <c r="FB82" s="35"/>
      <c r="FC82" s="35"/>
      <c r="FD82" s="35"/>
      <c r="FE82" s="35"/>
      <c r="FF82" s="35"/>
      <c r="FG82" s="35"/>
      <c r="FH82" s="35"/>
      <c r="FI82" s="35"/>
      <c r="FJ82" s="35"/>
      <c r="FK82" s="35"/>
      <c r="FL82" s="35"/>
      <c r="FM82" s="35"/>
      <c r="FN82" s="35"/>
      <c r="FO82" s="35"/>
      <c r="FP82" s="35"/>
      <c r="FQ82" s="52"/>
      <c r="FR82" s="8"/>
      <c r="FS82" s="9" t="s">
        <v>13</v>
      </c>
      <c r="FT82" s="9" t="str">
        <f t="shared" si="1838"/>
        <v>3. Quarterly Process Documentation 3.2 FCF Review</v>
      </c>
    </row>
    <row r="83" spans="1:176" s="9" customFormat="1" ht="12" hidden="1" customHeight="1" outlineLevel="1">
      <c r="A83" s="126" t="s">
        <v>50</v>
      </c>
      <c r="B83" s="125"/>
      <c r="C83" s="124" t="str">
        <f t="shared" si="1837"/>
        <v>0 days</v>
      </c>
      <c r="D83" s="13" t="str">
        <f>A71&amp;" "&amp;A78</f>
        <v>3. Quarterly Process Documentation 3.2 FCF Review</v>
      </c>
      <c r="E83" s="51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35"/>
      <c r="AK83" s="35"/>
      <c r="AL83" s="36"/>
      <c r="AM83" s="36"/>
      <c r="AN83" s="36"/>
      <c r="AO83" s="36"/>
      <c r="AP83" s="36"/>
      <c r="AQ83" s="36"/>
      <c r="AR83" s="36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5"/>
      <c r="BM83" s="35"/>
      <c r="BN83" s="35"/>
      <c r="BO83" s="35"/>
      <c r="BP83" s="35"/>
      <c r="BQ83" s="35"/>
      <c r="BR83" s="35"/>
      <c r="BS83" s="35"/>
      <c r="BT83" s="35"/>
      <c r="BU83" s="35"/>
      <c r="BV83" s="35"/>
      <c r="BW83" s="35"/>
      <c r="BX83" s="35"/>
      <c r="BY83" s="35"/>
      <c r="BZ83" s="35"/>
      <c r="CA83" s="35"/>
      <c r="CB83" s="35"/>
      <c r="CC83" s="35"/>
      <c r="CD83" s="35"/>
      <c r="CE83" s="35"/>
      <c r="CF83" s="35"/>
      <c r="CG83" s="35"/>
      <c r="CH83" s="35"/>
      <c r="CI83" s="35"/>
      <c r="CJ83" s="35"/>
      <c r="CK83" s="35"/>
      <c r="CL83" s="35"/>
      <c r="CM83" s="35"/>
      <c r="CN83" s="35"/>
      <c r="CO83" s="35"/>
      <c r="CP83" s="35"/>
      <c r="CQ83" s="35"/>
      <c r="CR83" s="35"/>
      <c r="CS83" s="35"/>
      <c r="CT83" s="36"/>
      <c r="CU83" s="35"/>
      <c r="CV83" s="35"/>
      <c r="CW83" s="35"/>
      <c r="CX83" s="35"/>
      <c r="CY83" s="35"/>
      <c r="CZ83" s="36"/>
      <c r="DA83" s="36"/>
      <c r="DB83" s="35"/>
      <c r="DC83" s="35"/>
      <c r="DD83" s="35"/>
      <c r="DE83" s="35"/>
      <c r="DF83" s="35"/>
      <c r="DG83" s="35"/>
      <c r="DH83" s="35"/>
      <c r="DI83" s="35"/>
      <c r="DJ83" s="35"/>
      <c r="DK83" s="35"/>
      <c r="DL83" s="35"/>
      <c r="DM83" s="35"/>
      <c r="DN83" s="35"/>
      <c r="DO83" s="35"/>
      <c r="DP83" s="35"/>
      <c r="DQ83" s="35"/>
      <c r="DR83" s="35"/>
      <c r="DS83" s="35"/>
      <c r="DT83" s="35"/>
      <c r="DU83" s="35"/>
      <c r="DV83" s="35"/>
      <c r="DW83" s="35"/>
      <c r="DX83" s="35"/>
      <c r="DY83" s="35"/>
      <c r="DZ83" s="36"/>
      <c r="EA83" s="35"/>
      <c r="EB83" s="35"/>
      <c r="EC83" s="35"/>
      <c r="ED83" s="35"/>
      <c r="EE83" s="35"/>
      <c r="EF83" s="35"/>
      <c r="EG83" s="35"/>
      <c r="EH83" s="35"/>
      <c r="EI83" s="35"/>
      <c r="EJ83" s="35"/>
      <c r="EK83" s="35"/>
      <c r="EL83" s="35"/>
      <c r="EM83" s="35"/>
      <c r="EN83" s="35"/>
      <c r="EO83" s="35"/>
      <c r="EP83" s="35"/>
      <c r="EQ83" s="35"/>
      <c r="ER83" s="35"/>
      <c r="ES83" s="35"/>
      <c r="ET83" s="35"/>
      <c r="EU83" s="35"/>
      <c r="EV83" s="35"/>
      <c r="EW83" s="35"/>
      <c r="EX83" s="35"/>
      <c r="EY83" s="36"/>
      <c r="EZ83" s="35"/>
      <c r="FA83" s="35"/>
      <c r="FB83" s="35"/>
      <c r="FC83" s="35"/>
      <c r="FD83" s="35"/>
      <c r="FE83" s="35"/>
      <c r="FF83" s="35"/>
      <c r="FG83" s="35"/>
      <c r="FH83" s="35"/>
      <c r="FI83" s="35"/>
      <c r="FJ83" s="35"/>
      <c r="FK83" s="35"/>
      <c r="FL83" s="35"/>
      <c r="FM83" s="35"/>
      <c r="FN83" s="35"/>
      <c r="FO83" s="35"/>
      <c r="FP83" s="35"/>
      <c r="FQ83" s="52"/>
      <c r="FR83" s="8"/>
      <c r="FS83" s="9" t="s">
        <v>13</v>
      </c>
      <c r="FT83" s="9" t="str">
        <f t="shared" si="1838"/>
        <v>3. Quarterly Process Documentation 3.2 FCF Review</v>
      </c>
    </row>
    <row r="84" spans="1:176" s="9" customFormat="1" ht="12" customHeight="1" collapsed="1">
      <c r="A84" s="119" t="s">
        <v>66</v>
      </c>
      <c r="B84" s="127"/>
      <c r="C84" s="128" t="str">
        <f t="shared" si="1837"/>
        <v>4 days</v>
      </c>
      <c r="D84" s="37"/>
      <c r="E84" s="91" t="str">
        <f t="shared" ref="E84" si="2002">IF(SUBTOTAL(9,E85:E89)&gt;0,SUBTOTAL(9,E85:E89),"")</f>
        <v/>
      </c>
      <c r="F84" s="34" t="str">
        <f t="shared" ref="F84" si="2003">IF(SUBTOTAL(9,F85:F89)&gt;0,SUBTOTAL(9,F85:F89),"")</f>
        <v/>
      </c>
      <c r="G84" s="34" t="str">
        <f t="shared" ref="G84" si="2004">IF(SUBTOTAL(9,G85:G89)&gt;0,SUBTOTAL(9,G85:G89),"")</f>
        <v/>
      </c>
      <c r="H84" s="34" t="str">
        <f t="shared" ref="H84" si="2005">IF(SUBTOTAL(9,H85:H89)&gt;0,SUBTOTAL(9,H85:H89),"")</f>
        <v/>
      </c>
      <c r="I84" s="34" t="str">
        <f t="shared" ref="I84" si="2006">IF(SUBTOTAL(9,I85:I89)&gt;0,SUBTOTAL(9,I85:I89),"")</f>
        <v/>
      </c>
      <c r="J84" s="34" t="str">
        <f t="shared" ref="J84" si="2007">IF(SUBTOTAL(9,J85:J89)&gt;0,SUBTOTAL(9,J85:J89),"")</f>
        <v/>
      </c>
      <c r="K84" s="34" t="str">
        <f t="shared" ref="K84" si="2008">IF(SUBTOTAL(9,K85:K89)&gt;0,SUBTOTAL(9,K85:K89),"")</f>
        <v/>
      </c>
      <c r="L84" s="34" t="str">
        <f t="shared" ref="L84" si="2009">IF(SUBTOTAL(9,L85:L89)&gt;0,SUBTOTAL(9,L85:L89),"")</f>
        <v/>
      </c>
      <c r="M84" s="34" t="str">
        <f t="shared" ref="M84" si="2010">IF(SUBTOTAL(9,M85:M89)&gt;0,SUBTOTAL(9,M85:M89),"")</f>
        <v/>
      </c>
      <c r="N84" s="34" t="str">
        <f t="shared" ref="N84" si="2011">IF(SUBTOTAL(9,N85:N89)&gt;0,SUBTOTAL(9,N85:N89),"")</f>
        <v/>
      </c>
      <c r="O84" s="34" t="str">
        <f t="shared" ref="O84" si="2012">IF(SUBTOTAL(9,O85:O89)&gt;0,SUBTOTAL(9,O85:O89),"")</f>
        <v/>
      </c>
      <c r="P84" s="34" t="str">
        <f t="shared" ref="P84" si="2013">IF(SUBTOTAL(9,P85:P89)&gt;0,SUBTOTAL(9,P85:P89),"")</f>
        <v/>
      </c>
      <c r="Q84" s="34">
        <f t="shared" ref="Q84" si="2014">IF(SUBTOTAL(9,Q85:Q89)&gt;0,SUBTOTAL(9,Q85:Q89),"")</f>
        <v>1</v>
      </c>
      <c r="R84" s="34">
        <f t="shared" ref="R84" si="2015">IF(SUBTOTAL(9,R85:R89)&gt;0,SUBTOTAL(9,R85:R89),"")</f>
        <v>1</v>
      </c>
      <c r="S84" s="34" t="str">
        <f t="shared" ref="S84" si="2016">IF(SUBTOTAL(9,S85:S89)&gt;0,SUBTOTAL(9,S85:S89),"")</f>
        <v/>
      </c>
      <c r="T84" s="34">
        <f t="shared" ref="T84" si="2017">IF(SUBTOTAL(9,T85:T89)&gt;0,SUBTOTAL(9,T85:T89),"")</f>
        <v>1</v>
      </c>
      <c r="U84" s="34" t="str">
        <f t="shared" ref="U84" si="2018">IF(SUBTOTAL(9,U85:U89)&gt;0,SUBTOTAL(9,U85:U89),"")</f>
        <v/>
      </c>
      <c r="V84" s="34" t="str">
        <f t="shared" ref="V84" si="2019">IF(SUBTOTAL(9,V85:V89)&gt;0,SUBTOTAL(9,V85:V89),"")</f>
        <v/>
      </c>
      <c r="W84" s="34" t="str">
        <f t="shared" ref="W84" si="2020">IF(SUBTOTAL(9,W85:W89)&gt;0,SUBTOTAL(9,W85:W89),"")</f>
        <v/>
      </c>
      <c r="X84" s="34" t="str">
        <f t="shared" ref="X84" si="2021">IF(SUBTOTAL(9,X85:X89)&gt;0,SUBTOTAL(9,X85:X89),"")</f>
        <v/>
      </c>
      <c r="Y84" s="34" t="str">
        <f t="shared" ref="Y84" si="2022">IF(SUBTOTAL(9,Y85:Y89)&gt;0,SUBTOTAL(9,Y85:Y89),"")</f>
        <v/>
      </c>
      <c r="Z84" s="34" t="str">
        <f t="shared" ref="Z84" si="2023">IF(SUBTOTAL(9,Z85:Z89)&gt;0,SUBTOTAL(9,Z85:Z89),"")</f>
        <v/>
      </c>
      <c r="AA84" s="34" t="str">
        <f t="shared" ref="AA84" si="2024">IF(SUBTOTAL(9,AA85:AA89)&gt;0,SUBTOTAL(9,AA85:AA89),"")</f>
        <v/>
      </c>
      <c r="AB84" s="34" t="str">
        <f t="shared" ref="AB84" si="2025">IF(SUBTOTAL(9,AB85:AB89)&gt;0,SUBTOTAL(9,AB85:AB89),"")</f>
        <v/>
      </c>
      <c r="AC84" s="34" t="str">
        <f t="shared" ref="AC84" si="2026">IF(SUBTOTAL(9,AC85:AC89)&gt;0,SUBTOTAL(9,AC85:AC89),"")</f>
        <v/>
      </c>
      <c r="AD84" s="34" t="str">
        <f t="shared" ref="AD84" si="2027">IF(SUBTOTAL(9,AD85:AD89)&gt;0,SUBTOTAL(9,AD85:AD89),"")</f>
        <v/>
      </c>
      <c r="AE84" s="34" t="str">
        <f t="shared" ref="AE84" si="2028">IF(SUBTOTAL(9,AE85:AE89)&gt;0,SUBTOTAL(9,AE85:AE89),"")</f>
        <v/>
      </c>
      <c r="AF84" s="34" t="str">
        <f t="shared" ref="AF84" si="2029">IF(SUBTOTAL(9,AF85:AF89)&gt;0,SUBTOTAL(9,AF85:AF89),"")</f>
        <v/>
      </c>
      <c r="AG84" s="34" t="str">
        <f t="shared" ref="AG84" si="2030">IF(SUBTOTAL(9,AG85:AG89)&gt;0,SUBTOTAL(9,AG85:AG89),"")</f>
        <v/>
      </c>
      <c r="AH84" s="34" t="str">
        <f t="shared" ref="AH84" si="2031">IF(SUBTOTAL(9,AH85:AH89)&gt;0,SUBTOTAL(9,AH85:AH89),"")</f>
        <v/>
      </c>
      <c r="AI84" s="34" t="str">
        <f t="shared" ref="AI84" si="2032">IF(SUBTOTAL(9,AI85:AI89)&gt;0,SUBTOTAL(9,AI85:AI89),"")</f>
        <v/>
      </c>
      <c r="AJ84" s="34" t="str">
        <f t="shared" ref="AJ84" si="2033">IF(SUBTOTAL(9,AJ85:AJ89)&gt;0,SUBTOTAL(9,AJ85:AJ89),"")</f>
        <v/>
      </c>
      <c r="AK84" s="34" t="str">
        <f t="shared" ref="AK84" si="2034">IF(SUBTOTAL(9,AK85:AK89)&gt;0,SUBTOTAL(9,AK85:AK89),"")</f>
        <v/>
      </c>
      <c r="AL84" s="33" t="str">
        <f t="shared" ref="AL84" si="2035">IF(SUBTOTAL(9,AL85:AL89)&gt;0,SUBTOTAL(9,AL85:AL89),"")</f>
        <v/>
      </c>
      <c r="AM84" s="33" t="str">
        <f t="shared" ref="AM84" si="2036">IF(SUBTOTAL(9,AM85:AM89)&gt;0,SUBTOTAL(9,AM85:AM89),"")</f>
        <v/>
      </c>
      <c r="AN84" s="33" t="str">
        <f t="shared" ref="AN84" si="2037">IF(SUBTOTAL(9,AN85:AN89)&gt;0,SUBTOTAL(9,AN85:AN89),"")</f>
        <v/>
      </c>
      <c r="AO84" s="33" t="str">
        <f t="shared" ref="AO84" si="2038">IF(SUBTOTAL(9,AO85:AO89)&gt;0,SUBTOTAL(9,AO85:AO89),"")</f>
        <v/>
      </c>
      <c r="AP84" s="33" t="str">
        <f t="shared" ref="AP84" si="2039">IF(SUBTOTAL(9,AP85:AP89)&gt;0,SUBTOTAL(9,AP85:AP89),"")</f>
        <v/>
      </c>
      <c r="AQ84" s="33" t="str">
        <f t="shared" ref="AQ84" si="2040">IF(SUBTOTAL(9,AQ85:AQ89)&gt;0,SUBTOTAL(9,AQ85:AQ89),"")</f>
        <v/>
      </c>
      <c r="AR84" s="33" t="str">
        <f t="shared" ref="AR84" si="2041">IF(SUBTOTAL(9,AR85:AR89)&gt;0,SUBTOTAL(9,AR85:AR89),"")</f>
        <v/>
      </c>
      <c r="AS84" s="34" t="str">
        <f t="shared" ref="AS84" si="2042">IF(SUBTOTAL(9,AS85:AS89)&gt;0,SUBTOTAL(9,AS85:AS89),"")</f>
        <v/>
      </c>
      <c r="AT84" s="34" t="str">
        <f t="shared" ref="AT84" si="2043">IF(SUBTOTAL(9,AT85:AT89)&gt;0,SUBTOTAL(9,AT85:AT89),"")</f>
        <v/>
      </c>
      <c r="AU84" s="34" t="str">
        <f t="shared" ref="AU84" si="2044">IF(SUBTOTAL(9,AU85:AU89)&gt;0,SUBTOTAL(9,AU85:AU89),"")</f>
        <v/>
      </c>
      <c r="AV84" s="34" t="str">
        <f t="shared" ref="AV84" si="2045">IF(SUBTOTAL(9,AV85:AV89)&gt;0,SUBTOTAL(9,AV85:AV89),"")</f>
        <v/>
      </c>
      <c r="AW84" s="34" t="str">
        <f t="shared" ref="AW84" si="2046">IF(SUBTOTAL(9,AW85:AW89)&gt;0,SUBTOTAL(9,AW85:AW89),"")</f>
        <v/>
      </c>
      <c r="AX84" s="34" t="str">
        <f t="shared" ref="AX84" si="2047">IF(SUBTOTAL(9,AX85:AX89)&gt;0,SUBTOTAL(9,AX85:AX89),"")</f>
        <v/>
      </c>
      <c r="AY84" s="34" t="str">
        <f t="shared" ref="AY84" si="2048">IF(SUBTOTAL(9,AY85:AY89)&gt;0,SUBTOTAL(9,AY85:AY89),"")</f>
        <v/>
      </c>
      <c r="AZ84" s="34" t="str">
        <f t="shared" ref="AZ84" si="2049">IF(SUBTOTAL(9,AZ85:AZ89)&gt;0,SUBTOTAL(9,AZ85:AZ89),"")</f>
        <v/>
      </c>
      <c r="BA84" s="34" t="str">
        <f t="shared" ref="BA84" si="2050">IF(SUBTOTAL(9,BA85:BA89)&gt;0,SUBTOTAL(9,BA85:BA89),"")</f>
        <v/>
      </c>
      <c r="BB84" s="34" t="str">
        <f t="shared" ref="BB84" si="2051">IF(SUBTOTAL(9,BB85:BB89)&gt;0,SUBTOTAL(9,BB85:BB89),"")</f>
        <v/>
      </c>
      <c r="BC84" s="34" t="str">
        <f t="shared" ref="BC84" si="2052">IF(SUBTOTAL(9,BC85:BC89)&gt;0,SUBTOTAL(9,BC85:BC89),"")</f>
        <v/>
      </c>
      <c r="BD84" s="34" t="str">
        <f t="shared" ref="BD84" si="2053">IF(SUBTOTAL(9,BD85:BD89)&gt;0,SUBTOTAL(9,BD85:BD89),"")</f>
        <v/>
      </c>
      <c r="BE84" s="34" t="str">
        <f t="shared" ref="BE84" si="2054">IF(SUBTOTAL(9,BE85:BE89)&gt;0,SUBTOTAL(9,BE85:BE89),"")</f>
        <v/>
      </c>
      <c r="BF84" s="34" t="str">
        <f t="shared" ref="BF84" si="2055">IF(SUBTOTAL(9,BF85:BF89)&gt;0,SUBTOTAL(9,BF85:BF89),"")</f>
        <v/>
      </c>
      <c r="BG84" s="34" t="str">
        <f t="shared" ref="BG84" si="2056">IF(SUBTOTAL(9,BG85:BG89)&gt;0,SUBTOTAL(9,BG85:BG89),"")</f>
        <v/>
      </c>
      <c r="BH84" s="34" t="str">
        <f t="shared" ref="BH84" si="2057">IF(SUBTOTAL(9,BH85:BH89)&gt;0,SUBTOTAL(9,BH85:BH89),"")</f>
        <v/>
      </c>
      <c r="BI84" s="34" t="str">
        <f t="shared" ref="BI84" si="2058">IF(SUBTOTAL(9,BI85:BI89)&gt;0,SUBTOTAL(9,BI85:BI89),"")</f>
        <v/>
      </c>
      <c r="BJ84" s="34" t="str">
        <f t="shared" ref="BJ84" si="2059">IF(SUBTOTAL(9,BJ85:BJ89)&gt;0,SUBTOTAL(9,BJ85:BJ89),"")</f>
        <v/>
      </c>
      <c r="BK84" s="34" t="str">
        <f t="shared" ref="BK84" si="2060">IF(SUBTOTAL(9,BK85:BK89)&gt;0,SUBTOTAL(9,BK85:BK89),"")</f>
        <v/>
      </c>
      <c r="BL84" s="34" t="str">
        <f t="shared" ref="BL84" si="2061">IF(SUBTOTAL(9,BL85:BL89)&gt;0,SUBTOTAL(9,BL85:BL89),"")</f>
        <v/>
      </c>
      <c r="BM84" s="34" t="str">
        <f t="shared" ref="BM84" si="2062">IF(SUBTOTAL(9,BM85:BM89)&gt;0,SUBTOTAL(9,BM85:BM89),"")</f>
        <v/>
      </c>
      <c r="BN84" s="34" t="str">
        <f t="shared" ref="BN84" si="2063">IF(SUBTOTAL(9,BN85:BN89)&gt;0,SUBTOTAL(9,BN85:BN89),"")</f>
        <v/>
      </c>
      <c r="BO84" s="34" t="str">
        <f t="shared" ref="BO84" si="2064">IF(SUBTOTAL(9,BO85:BO89)&gt;0,SUBTOTAL(9,BO85:BO89),"")</f>
        <v/>
      </c>
      <c r="BP84" s="34" t="str">
        <f t="shared" ref="BP84" si="2065">IF(SUBTOTAL(9,BP85:BP89)&gt;0,SUBTOTAL(9,BP85:BP89),"")</f>
        <v/>
      </c>
      <c r="BQ84" s="34" t="str">
        <f t="shared" ref="BQ84" si="2066">IF(SUBTOTAL(9,BQ85:BQ89)&gt;0,SUBTOTAL(9,BQ85:BQ89),"")</f>
        <v/>
      </c>
      <c r="BR84" s="34" t="str">
        <f t="shared" ref="BR84" si="2067">IF(SUBTOTAL(9,BR85:BR89)&gt;0,SUBTOTAL(9,BR85:BR89),"")</f>
        <v/>
      </c>
      <c r="BS84" s="34" t="str">
        <f t="shared" ref="BS84" si="2068">IF(SUBTOTAL(9,BS85:BS89)&gt;0,SUBTOTAL(9,BS85:BS89),"")</f>
        <v/>
      </c>
      <c r="BT84" s="34" t="str">
        <f t="shared" ref="BT84" si="2069">IF(SUBTOTAL(9,BT85:BT89)&gt;0,SUBTOTAL(9,BT85:BT89),"")</f>
        <v/>
      </c>
      <c r="BU84" s="34" t="str">
        <f t="shared" ref="BU84" si="2070">IF(SUBTOTAL(9,BU85:BU89)&gt;0,SUBTOTAL(9,BU85:BU89),"")</f>
        <v/>
      </c>
      <c r="BV84" s="34" t="str">
        <f t="shared" ref="BV84" si="2071">IF(SUBTOTAL(9,BV85:BV89)&gt;0,SUBTOTAL(9,BV85:BV89),"")</f>
        <v/>
      </c>
      <c r="BW84" s="34" t="str">
        <f t="shared" ref="BW84" si="2072">IF(SUBTOTAL(9,BW85:BW89)&gt;0,SUBTOTAL(9,BW85:BW89),"")</f>
        <v/>
      </c>
      <c r="BX84" s="34" t="str">
        <f t="shared" ref="BX84" si="2073">IF(SUBTOTAL(9,BX85:BX89)&gt;0,SUBTOTAL(9,BX85:BX89),"")</f>
        <v/>
      </c>
      <c r="BY84" s="34" t="str">
        <f t="shared" ref="BY84" si="2074">IF(SUBTOTAL(9,BY85:BY89)&gt;0,SUBTOTAL(9,BY85:BY89),"")</f>
        <v/>
      </c>
      <c r="BZ84" s="34" t="str">
        <f t="shared" ref="BZ84" si="2075">IF(SUBTOTAL(9,BZ85:BZ89)&gt;0,SUBTOTAL(9,BZ85:BZ89),"")</f>
        <v/>
      </c>
      <c r="CA84" s="34" t="str">
        <f t="shared" ref="CA84" si="2076">IF(SUBTOTAL(9,CA85:CA89)&gt;0,SUBTOTAL(9,CA85:CA89),"")</f>
        <v/>
      </c>
      <c r="CB84" s="34" t="str">
        <f t="shared" ref="CB84" si="2077">IF(SUBTOTAL(9,CB85:CB89)&gt;0,SUBTOTAL(9,CB85:CB89),"")</f>
        <v/>
      </c>
      <c r="CC84" s="34" t="str">
        <f t="shared" ref="CC84" si="2078">IF(SUBTOTAL(9,CC85:CC89)&gt;0,SUBTOTAL(9,CC85:CC89),"")</f>
        <v/>
      </c>
      <c r="CD84" s="34" t="str">
        <f t="shared" ref="CD84" si="2079">IF(SUBTOTAL(9,CD85:CD89)&gt;0,SUBTOTAL(9,CD85:CD89),"")</f>
        <v/>
      </c>
      <c r="CE84" s="34" t="str">
        <f t="shared" ref="CE84" si="2080">IF(SUBTOTAL(9,CE85:CE89)&gt;0,SUBTOTAL(9,CE85:CE89),"")</f>
        <v/>
      </c>
      <c r="CF84" s="34" t="str">
        <f t="shared" ref="CF84:CG84" si="2081">IF(SUBTOTAL(9,CF85:CF89)&gt;0,SUBTOTAL(9,CF85:CF89),"")</f>
        <v/>
      </c>
      <c r="CG84" s="34" t="str">
        <f t="shared" si="2081"/>
        <v/>
      </c>
      <c r="CH84" s="34" t="str">
        <f t="shared" ref="CH84" si="2082">IF(SUBTOTAL(9,CH85:CH89)&gt;0,SUBTOTAL(9,CH85:CH89),"")</f>
        <v/>
      </c>
      <c r="CI84" s="34" t="str">
        <f t="shared" ref="CI84" si="2083">IF(SUBTOTAL(9,CI85:CI89)&gt;0,SUBTOTAL(9,CI85:CI89),"")</f>
        <v/>
      </c>
      <c r="CJ84" s="34" t="str">
        <f t="shared" ref="CJ84" si="2084">IF(SUBTOTAL(9,CJ85:CJ89)&gt;0,SUBTOTAL(9,CJ85:CJ89),"")</f>
        <v/>
      </c>
      <c r="CK84" s="34" t="str">
        <f t="shared" ref="CK84" si="2085">IF(SUBTOTAL(9,CK85:CK89)&gt;0,SUBTOTAL(9,CK85:CK89),"")</f>
        <v/>
      </c>
      <c r="CL84" s="34" t="str">
        <f t="shared" ref="CL84" si="2086">IF(SUBTOTAL(9,CL85:CL89)&gt;0,SUBTOTAL(9,CL85:CL89),"")</f>
        <v/>
      </c>
      <c r="CM84" s="34" t="str">
        <f t="shared" ref="CM84" si="2087">IF(SUBTOTAL(9,CM85:CM89)&gt;0,SUBTOTAL(9,CM85:CM89),"")</f>
        <v/>
      </c>
      <c r="CN84" s="34" t="str">
        <f t="shared" ref="CN84" si="2088">IF(SUBTOTAL(9,CN85:CN89)&gt;0,SUBTOTAL(9,CN85:CN89),"")</f>
        <v/>
      </c>
      <c r="CO84" s="34" t="str">
        <f t="shared" ref="CO84" si="2089">IF(SUBTOTAL(9,CO85:CO89)&gt;0,SUBTOTAL(9,CO85:CO89),"")</f>
        <v/>
      </c>
      <c r="CP84" s="34" t="str">
        <f t="shared" ref="CP84" si="2090">IF(SUBTOTAL(9,CP85:CP89)&gt;0,SUBTOTAL(9,CP85:CP89),"")</f>
        <v/>
      </c>
      <c r="CQ84" s="34" t="str">
        <f t="shared" ref="CQ84" si="2091">IF(SUBTOTAL(9,CQ85:CQ89)&gt;0,SUBTOTAL(9,CQ85:CQ89),"")</f>
        <v/>
      </c>
      <c r="CR84" s="34" t="str">
        <f t="shared" ref="CR84" si="2092">IF(SUBTOTAL(9,CR85:CR89)&gt;0,SUBTOTAL(9,CR85:CR89),"")</f>
        <v/>
      </c>
      <c r="CS84" s="34" t="str">
        <f t="shared" ref="CS84" si="2093">IF(SUBTOTAL(9,CS85:CS89)&gt;0,SUBTOTAL(9,CS85:CS89),"")</f>
        <v/>
      </c>
      <c r="CT84" s="33" t="str">
        <f t="shared" ref="CT84" si="2094">IF(SUBTOTAL(9,CT85:CT89)&gt;0,SUBTOTAL(9,CT85:CT89),"")</f>
        <v/>
      </c>
      <c r="CU84" s="34" t="str">
        <f t="shared" ref="CU84" si="2095">IF(SUBTOTAL(9,CU85:CU89)&gt;0,SUBTOTAL(9,CU85:CU89),"")</f>
        <v/>
      </c>
      <c r="CV84" s="34" t="str">
        <f t="shared" ref="CV84" si="2096">IF(SUBTOTAL(9,CV85:CV89)&gt;0,SUBTOTAL(9,CV85:CV89),"")</f>
        <v/>
      </c>
      <c r="CW84" s="34" t="str">
        <f>IF(SUBTOTAL(9,CW85:CW89)&gt;0,SUBTOTAL(9,CW85:CW89),"")</f>
        <v/>
      </c>
      <c r="CX84" s="34">
        <f>IF(SUBTOTAL(9,CX85:CX89)&gt;0,SUBTOTAL(9,CX85:CX89),"")</f>
        <v>0.5</v>
      </c>
      <c r="CY84" s="34" t="str">
        <f t="shared" ref="CY84" si="2097">IF(SUBTOTAL(9,CY85:CY89)&gt;0,SUBTOTAL(9,CY85:CY89),"")</f>
        <v/>
      </c>
      <c r="CZ84" s="33" t="str">
        <f t="shared" ref="CZ84" si="2098">IF(SUBTOTAL(9,CZ85:CZ89)&gt;0,SUBTOTAL(9,CZ85:CZ89),"")</f>
        <v/>
      </c>
      <c r="DA84" s="33" t="str">
        <f t="shared" ref="DA84" si="2099">IF(SUBTOTAL(9,DA85:DA89)&gt;0,SUBTOTAL(9,DA85:DA89),"")</f>
        <v/>
      </c>
      <c r="DB84" s="34">
        <f>IF(SUBTOTAL(9,DB85:DB89)&gt;0,SUBTOTAL(9,DB85:DB89),"")</f>
        <v>0.5</v>
      </c>
      <c r="DC84" s="34" t="str">
        <f t="shared" ref="DC84" si="2100">IF(SUBTOTAL(9,DC85:DC89)&gt;0,SUBTOTAL(9,DC85:DC89),"")</f>
        <v/>
      </c>
      <c r="DD84" s="34" t="str">
        <f t="shared" ref="DD84" si="2101">IF(SUBTOTAL(9,DD85:DD89)&gt;0,SUBTOTAL(9,DD85:DD89),"")</f>
        <v/>
      </c>
      <c r="DE84" s="34" t="str">
        <f t="shared" ref="DE84" si="2102">IF(SUBTOTAL(9,DE85:DE89)&gt;0,SUBTOTAL(9,DE85:DE89),"")</f>
        <v/>
      </c>
      <c r="DF84" s="34" t="str">
        <f t="shared" ref="DF84" si="2103">IF(SUBTOTAL(9,DF85:DF89)&gt;0,SUBTOTAL(9,DF85:DF89),"")</f>
        <v/>
      </c>
      <c r="DG84" s="34" t="str">
        <f t="shared" ref="DG84" si="2104">IF(SUBTOTAL(9,DG85:DG89)&gt;0,SUBTOTAL(9,DG85:DG89),"")</f>
        <v/>
      </c>
      <c r="DH84" s="34" t="str">
        <f t="shared" ref="DH84" si="2105">IF(SUBTOTAL(9,DH85:DH89)&gt;0,SUBTOTAL(9,DH85:DH89),"")</f>
        <v/>
      </c>
      <c r="DI84" s="34" t="str">
        <f t="shared" ref="DI84" si="2106">IF(SUBTOTAL(9,DI85:DI89)&gt;0,SUBTOTAL(9,DI85:DI89),"")</f>
        <v/>
      </c>
      <c r="DJ84" s="34" t="str">
        <f t="shared" ref="DJ84" si="2107">IF(SUBTOTAL(9,DJ85:DJ89)&gt;0,SUBTOTAL(9,DJ85:DJ89),"")</f>
        <v/>
      </c>
      <c r="DK84" s="34" t="str">
        <f t="shared" ref="DK84" si="2108">IF(SUBTOTAL(9,DK85:DK89)&gt;0,SUBTOTAL(9,DK85:DK89),"")</f>
        <v/>
      </c>
      <c r="DL84" s="34" t="str">
        <f t="shared" ref="DL84" si="2109">IF(SUBTOTAL(9,DL85:DL89)&gt;0,SUBTOTAL(9,DL85:DL89),"")</f>
        <v/>
      </c>
      <c r="DM84" s="34" t="str">
        <f t="shared" ref="DM84" si="2110">IF(SUBTOTAL(9,DM85:DM89)&gt;0,SUBTOTAL(9,DM85:DM89),"")</f>
        <v/>
      </c>
      <c r="DN84" s="34" t="str">
        <f t="shared" ref="DN84" si="2111">IF(SUBTOTAL(9,DN85:DN89)&gt;0,SUBTOTAL(9,DN85:DN89),"")</f>
        <v/>
      </c>
      <c r="DO84" s="34" t="str">
        <f t="shared" ref="DO84" si="2112">IF(SUBTOTAL(9,DO85:DO89)&gt;0,SUBTOTAL(9,DO85:DO89),"")</f>
        <v/>
      </c>
      <c r="DP84" s="34" t="str">
        <f t="shared" ref="DP84" si="2113">IF(SUBTOTAL(9,DP85:DP89)&gt;0,SUBTOTAL(9,DP85:DP89),"")</f>
        <v/>
      </c>
      <c r="DQ84" s="34" t="str">
        <f t="shared" ref="DQ84" si="2114">IF(SUBTOTAL(9,DQ85:DQ89)&gt;0,SUBTOTAL(9,DQ85:DQ89),"")</f>
        <v/>
      </c>
      <c r="DR84" s="34" t="str">
        <f t="shared" ref="DR84" si="2115">IF(SUBTOTAL(9,DR85:DR89)&gt;0,SUBTOTAL(9,DR85:DR89),"")</f>
        <v/>
      </c>
      <c r="DS84" s="34" t="str">
        <f t="shared" ref="DS84" si="2116">IF(SUBTOTAL(9,DS85:DS89)&gt;0,SUBTOTAL(9,DS85:DS89),"")</f>
        <v/>
      </c>
      <c r="DT84" s="34" t="str">
        <f t="shared" ref="DT84" si="2117">IF(SUBTOTAL(9,DT85:DT89)&gt;0,SUBTOTAL(9,DT85:DT89),"")</f>
        <v/>
      </c>
      <c r="DU84" s="34" t="str">
        <f t="shared" ref="DU84" si="2118">IF(SUBTOTAL(9,DU85:DU89)&gt;0,SUBTOTAL(9,DU85:DU89),"")</f>
        <v/>
      </c>
      <c r="DV84" s="34" t="str">
        <f t="shared" ref="DV84" si="2119">IF(SUBTOTAL(9,DV85:DV89)&gt;0,SUBTOTAL(9,DV85:DV89),"")</f>
        <v/>
      </c>
      <c r="DW84" s="34" t="str">
        <f t="shared" ref="DW84" si="2120">IF(SUBTOTAL(9,DW85:DW89)&gt;0,SUBTOTAL(9,DW85:DW89),"")</f>
        <v/>
      </c>
      <c r="DX84" s="34" t="str">
        <f t="shared" ref="DX84" si="2121">IF(SUBTOTAL(9,DX85:DX89)&gt;0,SUBTOTAL(9,DX85:DX89),"")</f>
        <v/>
      </c>
      <c r="DY84" s="34" t="str">
        <f t="shared" ref="DY84" si="2122">IF(SUBTOTAL(9,DY85:DY89)&gt;0,SUBTOTAL(9,DY85:DY89),"")</f>
        <v/>
      </c>
      <c r="DZ84" s="33" t="str">
        <f t="shared" ref="DZ84" si="2123">IF(SUBTOTAL(9,DZ85:DZ89)&gt;0,SUBTOTAL(9,DZ85:DZ89),"")</f>
        <v/>
      </c>
      <c r="EA84" s="34" t="str">
        <f t="shared" ref="EA84" si="2124">IF(SUBTOTAL(9,EA85:EA89)&gt;0,SUBTOTAL(9,EA85:EA89),"")</f>
        <v/>
      </c>
      <c r="EB84" s="34" t="str">
        <f t="shared" ref="EB84" si="2125">IF(SUBTOTAL(9,EB85:EB89)&gt;0,SUBTOTAL(9,EB85:EB89),"")</f>
        <v/>
      </c>
      <c r="EC84" s="34" t="str">
        <f t="shared" ref="EC84" si="2126">IF(SUBTOTAL(9,EC85:EC89)&gt;0,SUBTOTAL(9,EC85:EC89),"")</f>
        <v/>
      </c>
      <c r="ED84" s="34" t="str">
        <f t="shared" ref="ED84" si="2127">IF(SUBTOTAL(9,ED85:ED89)&gt;0,SUBTOTAL(9,ED85:ED89),"")</f>
        <v/>
      </c>
      <c r="EE84" s="34" t="str">
        <f t="shared" ref="EE84" si="2128">IF(SUBTOTAL(9,EE85:EE89)&gt;0,SUBTOTAL(9,EE85:EE89),"")</f>
        <v/>
      </c>
      <c r="EF84" s="34" t="str">
        <f t="shared" ref="EF84" si="2129">IF(SUBTOTAL(9,EF85:EF89)&gt;0,SUBTOTAL(9,EF85:EF89),"")</f>
        <v/>
      </c>
      <c r="EG84" s="34" t="str">
        <f t="shared" ref="EG84" si="2130">IF(SUBTOTAL(9,EG85:EG89)&gt;0,SUBTOTAL(9,EG85:EG89),"")</f>
        <v/>
      </c>
      <c r="EH84" s="34" t="str">
        <f t="shared" ref="EH84" si="2131">IF(SUBTOTAL(9,EH85:EH89)&gt;0,SUBTOTAL(9,EH85:EH89),"")</f>
        <v/>
      </c>
      <c r="EI84" s="34" t="str">
        <f t="shared" ref="EI84" si="2132">IF(SUBTOTAL(9,EI85:EI89)&gt;0,SUBTOTAL(9,EI85:EI89),"")</f>
        <v/>
      </c>
      <c r="EJ84" s="34" t="str">
        <f t="shared" ref="EJ84" si="2133">IF(SUBTOTAL(9,EJ85:EJ89)&gt;0,SUBTOTAL(9,EJ85:EJ89),"")</f>
        <v/>
      </c>
      <c r="EK84" s="34" t="str">
        <f t="shared" ref="EK84" si="2134">IF(SUBTOTAL(9,EK85:EK89)&gt;0,SUBTOTAL(9,EK85:EK89),"")</f>
        <v/>
      </c>
      <c r="EL84" s="34" t="str">
        <f t="shared" ref="EL84" si="2135">IF(SUBTOTAL(9,EL85:EL89)&gt;0,SUBTOTAL(9,EL85:EL89),"")</f>
        <v/>
      </c>
      <c r="EM84" s="34" t="str">
        <f t="shared" ref="EM84" si="2136">IF(SUBTOTAL(9,EM85:EM89)&gt;0,SUBTOTAL(9,EM85:EM89),"")</f>
        <v/>
      </c>
      <c r="EN84" s="34" t="str">
        <f t="shared" ref="EN84" si="2137">IF(SUBTOTAL(9,EN85:EN89)&gt;0,SUBTOTAL(9,EN85:EN89),"")</f>
        <v/>
      </c>
      <c r="EO84" s="34" t="str">
        <f t="shared" ref="EO84" si="2138">IF(SUBTOTAL(9,EO85:EO89)&gt;0,SUBTOTAL(9,EO85:EO89),"")</f>
        <v/>
      </c>
      <c r="EP84" s="34" t="str">
        <f t="shared" ref="EP84" si="2139">IF(SUBTOTAL(9,EP85:EP89)&gt;0,SUBTOTAL(9,EP85:EP89),"")</f>
        <v/>
      </c>
      <c r="EQ84" s="34" t="str">
        <f t="shared" ref="EQ84" si="2140">IF(SUBTOTAL(9,EQ85:EQ89)&gt;0,SUBTOTAL(9,EQ85:EQ89),"")</f>
        <v/>
      </c>
      <c r="ER84" s="34" t="str">
        <f t="shared" ref="ER84" si="2141">IF(SUBTOTAL(9,ER85:ER89)&gt;0,SUBTOTAL(9,ER85:ER89),"")</f>
        <v/>
      </c>
      <c r="ES84" s="34" t="str">
        <f t="shared" ref="ES84" si="2142">IF(SUBTOTAL(9,ES85:ES89)&gt;0,SUBTOTAL(9,ES85:ES89),"")</f>
        <v/>
      </c>
      <c r="ET84" s="34" t="str">
        <f t="shared" ref="ET84" si="2143">IF(SUBTOTAL(9,ET85:ET89)&gt;0,SUBTOTAL(9,ET85:ET89),"")</f>
        <v/>
      </c>
      <c r="EU84" s="34" t="str">
        <f t="shared" ref="EU84" si="2144">IF(SUBTOTAL(9,EU85:EU89)&gt;0,SUBTOTAL(9,EU85:EU89),"")</f>
        <v/>
      </c>
      <c r="EV84" s="34" t="str">
        <f t="shared" ref="EV84" si="2145">IF(SUBTOTAL(9,EV85:EV89)&gt;0,SUBTOTAL(9,EV85:EV89),"")</f>
        <v/>
      </c>
      <c r="EW84" s="34" t="str">
        <f t="shared" ref="EW84" si="2146">IF(SUBTOTAL(9,EW85:EW89)&gt;0,SUBTOTAL(9,EW85:EW89),"")</f>
        <v/>
      </c>
      <c r="EX84" s="34" t="str">
        <f t="shared" ref="EX84" si="2147">IF(SUBTOTAL(9,EX85:EX89)&gt;0,SUBTOTAL(9,EX85:EX89),"")</f>
        <v/>
      </c>
      <c r="EY84" s="33" t="str">
        <f t="shared" ref="EY84" si="2148">IF(SUBTOTAL(9,EY85:EY89)&gt;0,SUBTOTAL(9,EY85:EY89),"")</f>
        <v/>
      </c>
      <c r="EZ84" s="34" t="str">
        <f t="shared" ref="EZ84" si="2149">IF(SUBTOTAL(9,EZ85:EZ89)&gt;0,SUBTOTAL(9,EZ85:EZ89),"")</f>
        <v/>
      </c>
      <c r="FA84" s="34" t="str">
        <f t="shared" ref="FA84" si="2150">IF(SUBTOTAL(9,FA85:FA89)&gt;0,SUBTOTAL(9,FA85:FA89),"")</f>
        <v/>
      </c>
      <c r="FB84" s="34" t="str">
        <f t="shared" ref="FB84" si="2151">IF(SUBTOTAL(9,FB85:FB89)&gt;0,SUBTOTAL(9,FB85:FB89),"")</f>
        <v/>
      </c>
      <c r="FC84" s="34" t="str">
        <f t="shared" ref="FC84" si="2152">IF(SUBTOTAL(9,FC85:FC89)&gt;0,SUBTOTAL(9,FC85:FC89),"")</f>
        <v/>
      </c>
      <c r="FD84" s="34" t="str">
        <f t="shared" ref="FD84" si="2153">IF(SUBTOTAL(9,FD85:FD89)&gt;0,SUBTOTAL(9,FD85:FD89),"")</f>
        <v/>
      </c>
      <c r="FE84" s="34" t="str">
        <f t="shared" ref="FE84" si="2154">IF(SUBTOTAL(9,FE85:FE89)&gt;0,SUBTOTAL(9,FE85:FE89),"")</f>
        <v/>
      </c>
      <c r="FF84" s="34" t="str">
        <f t="shared" ref="FF84" si="2155">IF(SUBTOTAL(9,FF85:FF89)&gt;0,SUBTOTAL(9,FF85:FF89),"")</f>
        <v/>
      </c>
      <c r="FG84" s="34" t="str">
        <f t="shared" ref="FG84" si="2156">IF(SUBTOTAL(9,FG85:FG89)&gt;0,SUBTOTAL(9,FG85:FG89),"")</f>
        <v/>
      </c>
      <c r="FH84" s="34" t="str">
        <f t="shared" ref="FH84" si="2157">IF(SUBTOTAL(9,FH85:FH89)&gt;0,SUBTOTAL(9,FH85:FH89),"")</f>
        <v/>
      </c>
      <c r="FI84" s="34" t="str">
        <f t="shared" ref="FI84" si="2158">IF(SUBTOTAL(9,FI85:FI89)&gt;0,SUBTOTAL(9,FI85:FI89),"")</f>
        <v/>
      </c>
      <c r="FJ84" s="34" t="str">
        <f t="shared" ref="FJ84" si="2159">IF(SUBTOTAL(9,FJ85:FJ89)&gt;0,SUBTOTAL(9,FJ85:FJ89),"")</f>
        <v/>
      </c>
      <c r="FK84" s="34" t="str">
        <f t="shared" ref="FK84" si="2160">IF(SUBTOTAL(9,FK85:FK89)&gt;0,SUBTOTAL(9,FK85:FK89),"")</f>
        <v/>
      </c>
      <c r="FL84" s="34" t="str">
        <f t="shared" ref="FL84" si="2161">IF(SUBTOTAL(9,FL85:FL89)&gt;0,SUBTOTAL(9,FL85:FL89),"")</f>
        <v/>
      </c>
      <c r="FM84" s="34" t="str">
        <f t="shared" ref="FM84" si="2162">IF(SUBTOTAL(9,FM85:FM89)&gt;0,SUBTOTAL(9,FM85:FM89),"")</f>
        <v/>
      </c>
      <c r="FN84" s="34" t="str">
        <f t="shared" ref="FN84" si="2163">IF(SUBTOTAL(9,FN85:FN89)&gt;0,SUBTOTAL(9,FN85:FN89),"")</f>
        <v/>
      </c>
      <c r="FO84" s="34" t="str">
        <f t="shared" ref="FO84" si="2164">IF(SUBTOTAL(9,FO85:FO89)&gt;0,SUBTOTAL(9,FO85:FO89),"")</f>
        <v/>
      </c>
      <c r="FP84" s="34" t="str">
        <f t="shared" ref="FP84" si="2165">IF(SUBTOTAL(9,FP85:FP89)&gt;0,SUBTOTAL(9,FP85:FP89),"")</f>
        <v/>
      </c>
      <c r="FQ84" s="92" t="str">
        <f t="shared" ref="FQ84" si="2166">IF(SUBTOTAL(9,FQ85:FQ89)&gt;0,SUBTOTAL(9,FQ85:FQ89),"")</f>
        <v/>
      </c>
      <c r="FR84" s="8"/>
      <c r="FS84" s="9" t="s">
        <v>131</v>
      </c>
      <c r="FT84" s="9" t="str">
        <f t="shared" si="1838"/>
        <v/>
      </c>
    </row>
    <row r="85" spans="1:176" s="9" customFormat="1" ht="12" hidden="1" customHeight="1" outlineLevel="1">
      <c r="A85" s="129" t="s">
        <v>4</v>
      </c>
      <c r="B85" s="134" t="s">
        <v>10</v>
      </c>
      <c r="C85" s="131" t="str">
        <f t="shared" si="1837"/>
        <v>4 days</v>
      </c>
      <c r="D85" s="101" t="str">
        <f>A71&amp;" "&amp;A84</f>
        <v>3. Quarterly Process Documentation 3.3 Supervision</v>
      </c>
      <c r="E85" s="51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>
        <v>1</v>
      </c>
      <c r="R85" s="35">
        <v>1</v>
      </c>
      <c r="S85" s="35"/>
      <c r="T85" s="35">
        <v>1</v>
      </c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35"/>
      <c r="AK85" s="35"/>
      <c r="AL85" s="36"/>
      <c r="AM85" s="36"/>
      <c r="AN85" s="36"/>
      <c r="AO85" s="36"/>
      <c r="AP85" s="36"/>
      <c r="AQ85" s="36"/>
      <c r="AR85" s="36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5"/>
      <c r="BM85" s="35"/>
      <c r="BN85" s="35"/>
      <c r="BO85" s="35"/>
      <c r="BP85" s="35"/>
      <c r="BQ85" s="35"/>
      <c r="BR85" s="35"/>
      <c r="BS85" s="35"/>
      <c r="BT85" s="35"/>
      <c r="BU85" s="35"/>
      <c r="BV85" s="35"/>
      <c r="BW85" s="35"/>
      <c r="BX85" s="35"/>
      <c r="BY85" s="35"/>
      <c r="BZ85" s="35"/>
      <c r="CA85" s="35"/>
      <c r="CB85" s="35"/>
      <c r="CC85" s="35"/>
      <c r="CD85" s="35"/>
      <c r="CE85" s="35"/>
      <c r="CF85" s="35"/>
      <c r="CG85" s="35"/>
      <c r="CH85" s="35"/>
      <c r="CI85" s="35"/>
      <c r="CJ85" s="35"/>
      <c r="CK85" s="35"/>
      <c r="CL85" s="35"/>
      <c r="CM85" s="35"/>
      <c r="CN85" s="35"/>
      <c r="CO85" s="35"/>
      <c r="CP85" s="35"/>
      <c r="CQ85" s="35"/>
      <c r="CR85" s="35"/>
      <c r="CS85" s="35"/>
      <c r="CT85" s="36"/>
      <c r="CU85" s="93"/>
      <c r="CV85" s="93"/>
      <c r="CW85" s="35"/>
      <c r="CX85" s="35">
        <v>0.5</v>
      </c>
      <c r="CY85" s="35"/>
      <c r="CZ85" s="36"/>
      <c r="DA85" s="36"/>
      <c r="DB85" s="35">
        <v>0.5</v>
      </c>
      <c r="DC85" s="35"/>
      <c r="DD85" s="35"/>
      <c r="DE85" s="35"/>
      <c r="DF85" s="35"/>
      <c r="DG85" s="35"/>
      <c r="DH85" s="35"/>
      <c r="DI85" s="35"/>
      <c r="DJ85" s="35"/>
      <c r="DK85" s="35"/>
      <c r="DL85" s="35"/>
      <c r="DM85" s="35"/>
      <c r="DN85" s="35"/>
      <c r="DO85" s="35"/>
      <c r="DP85" s="35"/>
      <c r="DQ85" s="35"/>
      <c r="DR85" s="35"/>
      <c r="DS85" s="35"/>
      <c r="DT85" s="35"/>
      <c r="DU85" s="35"/>
      <c r="DV85" s="35"/>
      <c r="DW85" s="35"/>
      <c r="DX85" s="35"/>
      <c r="DY85" s="35"/>
      <c r="DZ85" s="36"/>
      <c r="EA85" s="35"/>
      <c r="EB85" s="35"/>
      <c r="EC85" s="35"/>
      <c r="ED85" s="35"/>
      <c r="EE85" s="35"/>
      <c r="EF85" s="35"/>
      <c r="EG85" s="35"/>
      <c r="EH85" s="35"/>
      <c r="EI85" s="35"/>
      <c r="EJ85" s="35"/>
      <c r="EK85" s="35"/>
      <c r="EL85" s="35"/>
      <c r="EM85" s="35"/>
      <c r="EN85" s="35"/>
      <c r="EO85" s="35"/>
      <c r="EP85" s="35"/>
      <c r="EQ85" s="35"/>
      <c r="ER85" s="35"/>
      <c r="ES85" s="35"/>
      <c r="ET85" s="35"/>
      <c r="EU85" s="35"/>
      <c r="EV85" s="35"/>
      <c r="EW85" s="35"/>
      <c r="EX85" s="35"/>
      <c r="EY85" s="36"/>
      <c r="EZ85" s="35"/>
      <c r="FA85" s="35"/>
      <c r="FB85" s="35"/>
      <c r="FC85" s="35"/>
      <c r="FD85" s="35"/>
      <c r="FE85" s="35"/>
      <c r="FF85" s="35"/>
      <c r="FG85" s="35"/>
      <c r="FH85" s="35"/>
      <c r="FI85" s="35"/>
      <c r="FJ85" s="35"/>
      <c r="FK85" s="35"/>
      <c r="FL85" s="35"/>
      <c r="FM85" s="35"/>
      <c r="FN85" s="35"/>
      <c r="FO85" s="35"/>
      <c r="FP85" s="35"/>
      <c r="FQ85" s="52"/>
      <c r="FR85" s="8"/>
      <c r="FS85" s="9" t="s">
        <v>13</v>
      </c>
      <c r="FT85" s="9" t="str">
        <f t="shared" si="1838"/>
        <v>3. Quarterly Process Documentation 3.3 SupervisionGlenn Kirk</v>
      </c>
    </row>
    <row r="86" spans="1:176" s="9" customFormat="1" ht="12" hidden="1" customHeight="1" outlineLevel="1">
      <c r="A86" s="125" t="s">
        <v>50</v>
      </c>
      <c r="B86" s="125"/>
      <c r="C86" s="124" t="str">
        <f t="shared" si="1837"/>
        <v>0 days</v>
      </c>
      <c r="D86" s="13" t="str">
        <f>A71&amp;" "&amp;A84</f>
        <v>3. Quarterly Process Documentation 3.3 Supervision</v>
      </c>
      <c r="E86" s="51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35"/>
      <c r="AK86" s="35"/>
      <c r="AL86" s="36"/>
      <c r="AM86" s="36"/>
      <c r="AN86" s="36"/>
      <c r="AO86" s="36"/>
      <c r="AP86" s="36"/>
      <c r="AQ86" s="36"/>
      <c r="AR86" s="36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5"/>
      <c r="BM86" s="35"/>
      <c r="BN86" s="35"/>
      <c r="BO86" s="35"/>
      <c r="BP86" s="35"/>
      <c r="BQ86" s="35"/>
      <c r="BR86" s="35"/>
      <c r="BS86" s="35"/>
      <c r="BT86" s="35"/>
      <c r="BU86" s="35"/>
      <c r="BV86" s="35"/>
      <c r="BW86" s="35"/>
      <c r="BX86" s="35"/>
      <c r="BY86" s="35"/>
      <c r="BZ86" s="35"/>
      <c r="CA86" s="35"/>
      <c r="CB86" s="35"/>
      <c r="CC86" s="35"/>
      <c r="CD86" s="35"/>
      <c r="CE86" s="35"/>
      <c r="CF86" s="35"/>
      <c r="CG86" s="35"/>
      <c r="CH86" s="35"/>
      <c r="CI86" s="35"/>
      <c r="CJ86" s="35"/>
      <c r="CK86" s="35"/>
      <c r="CL86" s="35"/>
      <c r="CM86" s="35"/>
      <c r="CN86" s="35"/>
      <c r="CO86" s="35"/>
      <c r="CP86" s="35"/>
      <c r="CQ86" s="35"/>
      <c r="CR86" s="35"/>
      <c r="CS86" s="35"/>
      <c r="CT86" s="36"/>
      <c r="CU86" s="35"/>
      <c r="CV86" s="35"/>
      <c r="CW86" s="35"/>
      <c r="CX86" s="35"/>
      <c r="CY86" s="35"/>
      <c r="CZ86" s="36"/>
      <c r="DA86" s="36"/>
      <c r="DB86" s="35"/>
      <c r="DC86" s="35"/>
      <c r="DD86" s="35"/>
      <c r="DE86" s="35"/>
      <c r="DF86" s="35"/>
      <c r="DG86" s="35"/>
      <c r="DH86" s="35"/>
      <c r="DI86" s="35"/>
      <c r="DJ86" s="35"/>
      <c r="DK86" s="35"/>
      <c r="DL86" s="35"/>
      <c r="DM86" s="35"/>
      <c r="DN86" s="35"/>
      <c r="DO86" s="35"/>
      <c r="DP86" s="35"/>
      <c r="DQ86" s="35"/>
      <c r="DR86" s="35"/>
      <c r="DS86" s="35"/>
      <c r="DT86" s="35"/>
      <c r="DU86" s="35"/>
      <c r="DV86" s="35"/>
      <c r="DW86" s="35"/>
      <c r="DX86" s="35"/>
      <c r="DY86" s="35"/>
      <c r="DZ86" s="36"/>
      <c r="EA86" s="35"/>
      <c r="EB86" s="35"/>
      <c r="EC86" s="35"/>
      <c r="ED86" s="35"/>
      <c r="EE86" s="35"/>
      <c r="EF86" s="35"/>
      <c r="EG86" s="35"/>
      <c r="EH86" s="35"/>
      <c r="EI86" s="35"/>
      <c r="EJ86" s="35"/>
      <c r="EK86" s="35"/>
      <c r="EL86" s="35"/>
      <c r="EM86" s="35"/>
      <c r="EN86" s="35"/>
      <c r="EO86" s="35"/>
      <c r="EP86" s="35"/>
      <c r="EQ86" s="35"/>
      <c r="ER86" s="35"/>
      <c r="ES86" s="35"/>
      <c r="ET86" s="35"/>
      <c r="EU86" s="35"/>
      <c r="EV86" s="35"/>
      <c r="EW86" s="35"/>
      <c r="EX86" s="35"/>
      <c r="EY86" s="36"/>
      <c r="EZ86" s="35"/>
      <c r="FA86" s="35"/>
      <c r="FB86" s="35"/>
      <c r="FC86" s="35"/>
      <c r="FD86" s="35"/>
      <c r="FE86" s="35"/>
      <c r="FF86" s="35"/>
      <c r="FG86" s="35"/>
      <c r="FH86" s="35"/>
      <c r="FI86" s="35"/>
      <c r="FJ86" s="35"/>
      <c r="FK86" s="35"/>
      <c r="FL86" s="35"/>
      <c r="FM86" s="35"/>
      <c r="FN86" s="35"/>
      <c r="FO86" s="35"/>
      <c r="FP86" s="35"/>
      <c r="FQ86" s="52"/>
      <c r="FR86" s="8"/>
      <c r="FS86" s="9" t="s">
        <v>13</v>
      </c>
      <c r="FT86" s="9" t="str">
        <f t="shared" si="1838"/>
        <v>3. Quarterly Process Documentation 3.3 Supervision</v>
      </c>
    </row>
    <row r="87" spans="1:176" s="9" customFormat="1" ht="12" hidden="1" customHeight="1" outlineLevel="1">
      <c r="A87" s="125" t="s">
        <v>50</v>
      </c>
      <c r="B87" s="125"/>
      <c r="C87" s="124" t="str">
        <f t="shared" si="1837"/>
        <v>0 days</v>
      </c>
      <c r="D87" s="13" t="str">
        <f>A71&amp;" "&amp;A84</f>
        <v>3. Quarterly Process Documentation 3.3 Supervision</v>
      </c>
      <c r="E87" s="51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35"/>
      <c r="AK87" s="35"/>
      <c r="AL87" s="36"/>
      <c r="AM87" s="36"/>
      <c r="AN87" s="36"/>
      <c r="AO87" s="36"/>
      <c r="AP87" s="36"/>
      <c r="AQ87" s="36"/>
      <c r="AR87" s="36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5"/>
      <c r="BM87" s="35"/>
      <c r="BN87" s="35"/>
      <c r="BO87" s="35"/>
      <c r="BP87" s="35"/>
      <c r="BQ87" s="35"/>
      <c r="BR87" s="35"/>
      <c r="BS87" s="35"/>
      <c r="BT87" s="35"/>
      <c r="BU87" s="35"/>
      <c r="BV87" s="35"/>
      <c r="BW87" s="35"/>
      <c r="BX87" s="35"/>
      <c r="BY87" s="35"/>
      <c r="BZ87" s="35"/>
      <c r="CA87" s="35"/>
      <c r="CB87" s="35"/>
      <c r="CC87" s="35"/>
      <c r="CD87" s="35"/>
      <c r="CE87" s="35"/>
      <c r="CF87" s="35"/>
      <c r="CG87" s="35"/>
      <c r="CH87" s="35"/>
      <c r="CI87" s="35"/>
      <c r="CJ87" s="35"/>
      <c r="CK87" s="35"/>
      <c r="CL87" s="35"/>
      <c r="CM87" s="35"/>
      <c r="CN87" s="35"/>
      <c r="CO87" s="35"/>
      <c r="CP87" s="35"/>
      <c r="CQ87" s="35"/>
      <c r="CR87" s="35"/>
      <c r="CS87" s="35"/>
      <c r="CT87" s="36"/>
      <c r="CU87" s="35"/>
      <c r="CV87" s="35"/>
      <c r="CW87" s="35"/>
      <c r="CX87" s="35"/>
      <c r="CY87" s="35"/>
      <c r="CZ87" s="36"/>
      <c r="DA87" s="36"/>
      <c r="DB87" s="35"/>
      <c r="DC87" s="35"/>
      <c r="DD87" s="35"/>
      <c r="DE87" s="35"/>
      <c r="DF87" s="35"/>
      <c r="DG87" s="35"/>
      <c r="DH87" s="35"/>
      <c r="DI87" s="35"/>
      <c r="DJ87" s="35"/>
      <c r="DK87" s="35"/>
      <c r="DL87" s="35"/>
      <c r="DM87" s="35"/>
      <c r="DN87" s="35"/>
      <c r="DO87" s="35"/>
      <c r="DP87" s="35"/>
      <c r="DQ87" s="35"/>
      <c r="DR87" s="35"/>
      <c r="DS87" s="35"/>
      <c r="DT87" s="35"/>
      <c r="DU87" s="35"/>
      <c r="DV87" s="35"/>
      <c r="DW87" s="35"/>
      <c r="DX87" s="35"/>
      <c r="DY87" s="35"/>
      <c r="DZ87" s="36"/>
      <c r="EA87" s="35"/>
      <c r="EB87" s="35"/>
      <c r="EC87" s="35"/>
      <c r="ED87" s="35"/>
      <c r="EE87" s="35"/>
      <c r="EF87" s="35"/>
      <c r="EG87" s="35"/>
      <c r="EH87" s="35"/>
      <c r="EI87" s="35"/>
      <c r="EJ87" s="35"/>
      <c r="EK87" s="35"/>
      <c r="EL87" s="35"/>
      <c r="EM87" s="35"/>
      <c r="EN87" s="35"/>
      <c r="EO87" s="35"/>
      <c r="EP87" s="35"/>
      <c r="EQ87" s="35"/>
      <c r="ER87" s="35"/>
      <c r="ES87" s="35"/>
      <c r="ET87" s="35"/>
      <c r="EU87" s="35"/>
      <c r="EV87" s="35"/>
      <c r="EW87" s="35"/>
      <c r="EX87" s="35"/>
      <c r="EY87" s="36"/>
      <c r="EZ87" s="35"/>
      <c r="FA87" s="35"/>
      <c r="FB87" s="35"/>
      <c r="FC87" s="35"/>
      <c r="FD87" s="35"/>
      <c r="FE87" s="35"/>
      <c r="FF87" s="35"/>
      <c r="FG87" s="35"/>
      <c r="FH87" s="35"/>
      <c r="FI87" s="35"/>
      <c r="FJ87" s="35"/>
      <c r="FK87" s="35"/>
      <c r="FL87" s="35"/>
      <c r="FM87" s="35"/>
      <c r="FN87" s="35"/>
      <c r="FO87" s="35"/>
      <c r="FP87" s="35"/>
      <c r="FQ87" s="52"/>
      <c r="FR87" s="8"/>
      <c r="FS87" s="9" t="s">
        <v>13</v>
      </c>
      <c r="FT87" s="9" t="str">
        <f t="shared" si="1838"/>
        <v>3. Quarterly Process Documentation 3.3 Supervision</v>
      </c>
    </row>
    <row r="88" spans="1:176" s="9" customFormat="1" ht="12" hidden="1" customHeight="1" outlineLevel="1">
      <c r="A88" s="125" t="s">
        <v>50</v>
      </c>
      <c r="B88" s="125"/>
      <c r="C88" s="124" t="str">
        <f t="shared" si="1837"/>
        <v>0 days</v>
      </c>
      <c r="D88" s="13" t="str">
        <f>A71&amp;" "&amp;A84</f>
        <v>3. Quarterly Process Documentation 3.3 Supervision</v>
      </c>
      <c r="E88" s="51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35"/>
      <c r="AK88" s="35"/>
      <c r="AL88" s="36"/>
      <c r="AM88" s="36"/>
      <c r="AN88" s="36"/>
      <c r="AO88" s="36"/>
      <c r="AP88" s="36"/>
      <c r="AQ88" s="36"/>
      <c r="AR88" s="36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5"/>
      <c r="BM88" s="35"/>
      <c r="BN88" s="35"/>
      <c r="BO88" s="35"/>
      <c r="BP88" s="35"/>
      <c r="BQ88" s="35"/>
      <c r="BR88" s="35"/>
      <c r="BS88" s="35"/>
      <c r="BT88" s="35"/>
      <c r="BU88" s="35"/>
      <c r="BV88" s="35"/>
      <c r="BW88" s="35"/>
      <c r="BX88" s="35"/>
      <c r="BY88" s="35"/>
      <c r="BZ88" s="35"/>
      <c r="CA88" s="35"/>
      <c r="CB88" s="35"/>
      <c r="CC88" s="35"/>
      <c r="CD88" s="35"/>
      <c r="CE88" s="35"/>
      <c r="CF88" s="35"/>
      <c r="CG88" s="35"/>
      <c r="CH88" s="35"/>
      <c r="CI88" s="35"/>
      <c r="CJ88" s="35"/>
      <c r="CK88" s="35"/>
      <c r="CL88" s="35"/>
      <c r="CM88" s="35"/>
      <c r="CN88" s="35"/>
      <c r="CO88" s="35"/>
      <c r="CP88" s="35"/>
      <c r="CQ88" s="35"/>
      <c r="CR88" s="35"/>
      <c r="CS88" s="35"/>
      <c r="CT88" s="36"/>
      <c r="CU88" s="35"/>
      <c r="CV88" s="35"/>
      <c r="CW88" s="35"/>
      <c r="CX88" s="35"/>
      <c r="CY88" s="35"/>
      <c r="CZ88" s="36"/>
      <c r="DA88" s="36"/>
      <c r="DB88" s="35"/>
      <c r="DC88" s="35"/>
      <c r="DD88" s="35"/>
      <c r="DE88" s="35"/>
      <c r="DF88" s="35"/>
      <c r="DG88" s="35"/>
      <c r="DH88" s="35"/>
      <c r="DI88" s="35"/>
      <c r="DJ88" s="35"/>
      <c r="DK88" s="35"/>
      <c r="DL88" s="35"/>
      <c r="DM88" s="35"/>
      <c r="DN88" s="35"/>
      <c r="DO88" s="35"/>
      <c r="DP88" s="35"/>
      <c r="DQ88" s="35"/>
      <c r="DR88" s="35"/>
      <c r="DS88" s="35"/>
      <c r="DT88" s="35"/>
      <c r="DU88" s="35"/>
      <c r="DV88" s="35"/>
      <c r="DW88" s="35"/>
      <c r="DX88" s="35"/>
      <c r="DY88" s="35"/>
      <c r="DZ88" s="36"/>
      <c r="EA88" s="35"/>
      <c r="EB88" s="35"/>
      <c r="EC88" s="35"/>
      <c r="ED88" s="35"/>
      <c r="EE88" s="35"/>
      <c r="EF88" s="35"/>
      <c r="EG88" s="35"/>
      <c r="EH88" s="35"/>
      <c r="EI88" s="35"/>
      <c r="EJ88" s="35"/>
      <c r="EK88" s="35"/>
      <c r="EL88" s="35"/>
      <c r="EM88" s="35"/>
      <c r="EN88" s="35"/>
      <c r="EO88" s="35"/>
      <c r="EP88" s="35"/>
      <c r="EQ88" s="35"/>
      <c r="ER88" s="35"/>
      <c r="ES88" s="35"/>
      <c r="ET88" s="35"/>
      <c r="EU88" s="35"/>
      <c r="EV88" s="35"/>
      <c r="EW88" s="35"/>
      <c r="EX88" s="35"/>
      <c r="EY88" s="36"/>
      <c r="EZ88" s="35"/>
      <c r="FA88" s="35"/>
      <c r="FB88" s="35"/>
      <c r="FC88" s="35"/>
      <c r="FD88" s="35"/>
      <c r="FE88" s="35"/>
      <c r="FF88" s="35"/>
      <c r="FG88" s="35"/>
      <c r="FH88" s="35"/>
      <c r="FI88" s="35"/>
      <c r="FJ88" s="35"/>
      <c r="FK88" s="35"/>
      <c r="FL88" s="35"/>
      <c r="FM88" s="35"/>
      <c r="FN88" s="35"/>
      <c r="FO88" s="35"/>
      <c r="FP88" s="35"/>
      <c r="FQ88" s="52"/>
      <c r="FR88" s="8"/>
      <c r="FS88" s="9" t="s">
        <v>13</v>
      </c>
      <c r="FT88" s="9" t="str">
        <f t="shared" si="1838"/>
        <v>3. Quarterly Process Documentation 3.3 Supervision</v>
      </c>
    </row>
    <row r="89" spans="1:176" s="9" customFormat="1" ht="12" hidden="1" customHeight="1" outlineLevel="1">
      <c r="A89" s="126" t="s">
        <v>50</v>
      </c>
      <c r="B89" s="125"/>
      <c r="C89" s="124" t="str">
        <f t="shared" si="1837"/>
        <v>0 days</v>
      </c>
      <c r="D89" s="13" t="str">
        <f>A71&amp;" "&amp;A84</f>
        <v>3. Quarterly Process Documentation 3.3 Supervision</v>
      </c>
      <c r="E89" s="51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5"/>
      <c r="AK89" s="35"/>
      <c r="AL89" s="36"/>
      <c r="AM89" s="36"/>
      <c r="AN89" s="36"/>
      <c r="AO89" s="36"/>
      <c r="AP89" s="36"/>
      <c r="AQ89" s="36"/>
      <c r="AR89" s="36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5"/>
      <c r="BM89" s="35"/>
      <c r="BN89" s="35"/>
      <c r="BO89" s="35"/>
      <c r="BP89" s="35"/>
      <c r="BQ89" s="35"/>
      <c r="BR89" s="35"/>
      <c r="BS89" s="35"/>
      <c r="BT89" s="35"/>
      <c r="BU89" s="35"/>
      <c r="BV89" s="35"/>
      <c r="BW89" s="35"/>
      <c r="BX89" s="35"/>
      <c r="BY89" s="35"/>
      <c r="BZ89" s="35"/>
      <c r="CA89" s="35"/>
      <c r="CB89" s="35"/>
      <c r="CC89" s="35"/>
      <c r="CD89" s="35"/>
      <c r="CE89" s="35"/>
      <c r="CF89" s="35"/>
      <c r="CG89" s="35"/>
      <c r="CH89" s="35"/>
      <c r="CI89" s="35"/>
      <c r="CJ89" s="35"/>
      <c r="CK89" s="35"/>
      <c r="CL89" s="35"/>
      <c r="CM89" s="35"/>
      <c r="CN89" s="35"/>
      <c r="CO89" s="35"/>
      <c r="CP89" s="35"/>
      <c r="CQ89" s="35"/>
      <c r="CR89" s="35"/>
      <c r="CS89" s="35"/>
      <c r="CT89" s="36"/>
      <c r="CU89" s="35"/>
      <c r="CV89" s="35"/>
      <c r="CW89" s="35"/>
      <c r="CX89" s="35"/>
      <c r="CY89" s="35"/>
      <c r="CZ89" s="36"/>
      <c r="DA89" s="36"/>
      <c r="DB89" s="35"/>
      <c r="DC89" s="35"/>
      <c r="DD89" s="35"/>
      <c r="DE89" s="35"/>
      <c r="DF89" s="35"/>
      <c r="DG89" s="35"/>
      <c r="DH89" s="35"/>
      <c r="DI89" s="35"/>
      <c r="DJ89" s="35"/>
      <c r="DK89" s="35"/>
      <c r="DL89" s="35"/>
      <c r="DM89" s="35"/>
      <c r="DN89" s="35"/>
      <c r="DO89" s="35"/>
      <c r="DP89" s="35"/>
      <c r="DQ89" s="35"/>
      <c r="DR89" s="35"/>
      <c r="DS89" s="35"/>
      <c r="DT89" s="35"/>
      <c r="DU89" s="35"/>
      <c r="DV89" s="35"/>
      <c r="DW89" s="35"/>
      <c r="DX89" s="35"/>
      <c r="DY89" s="35"/>
      <c r="DZ89" s="36"/>
      <c r="EA89" s="35"/>
      <c r="EB89" s="35"/>
      <c r="EC89" s="35"/>
      <c r="ED89" s="35"/>
      <c r="EE89" s="35"/>
      <c r="EF89" s="35"/>
      <c r="EG89" s="35"/>
      <c r="EH89" s="35"/>
      <c r="EI89" s="35"/>
      <c r="EJ89" s="35"/>
      <c r="EK89" s="35"/>
      <c r="EL89" s="35"/>
      <c r="EM89" s="35"/>
      <c r="EN89" s="35"/>
      <c r="EO89" s="35"/>
      <c r="EP89" s="35"/>
      <c r="EQ89" s="35"/>
      <c r="ER89" s="35"/>
      <c r="ES89" s="35"/>
      <c r="ET89" s="35"/>
      <c r="EU89" s="35"/>
      <c r="EV89" s="35"/>
      <c r="EW89" s="35"/>
      <c r="EX89" s="35"/>
      <c r="EY89" s="36"/>
      <c r="EZ89" s="35"/>
      <c r="FA89" s="35"/>
      <c r="FB89" s="35"/>
      <c r="FC89" s="35"/>
      <c r="FD89" s="35"/>
      <c r="FE89" s="35"/>
      <c r="FF89" s="35"/>
      <c r="FG89" s="35"/>
      <c r="FH89" s="35"/>
      <c r="FI89" s="35"/>
      <c r="FJ89" s="35"/>
      <c r="FK89" s="35"/>
      <c r="FL89" s="35"/>
      <c r="FM89" s="35"/>
      <c r="FN89" s="35"/>
      <c r="FO89" s="35"/>
      <c r="FP89" s="35"/>
      <c r="FQ89" s="52"/>
      <c r="FR89" s="8"/>
      <c r="FS89" s="9" t="s">
        <v>13</v>
      </c>
      <c r="FT89" s="9" t="str">
        <f t="shared" si="1838"/>
        <v>3. Quarterly Process Documentation 3.3 Supervision</v>
      </c>
    </row>
    <row r="90" spans="1:176" s="9" customFormat="1" ht="12" customHeight="1" collapsed="1">
      <c r="A90" s="119" t="s">
        <v>67</v>
      </c>
      <c r="B90" s="127"/>
      <c r="C90" s="121" t="str">
        <f t="shared" si="1837"/>
        <v>3 days</v>
      </c>
      <c r="D90" s="27"/>
      <c r="E90" s="91" t="str">
        <f t="shared" ref="E90" si="2167">IF(SUBTOTAL(9,E91:E95)&gt;0,SUBTOTAL(9,E91:E95),"")</f>
        <v/>
      </c>
      <c r="F90" s="34" t="str">
        <f t="shared" ref="F90" si="2168">IF(SUBTOTAL(9,F91:F95)&gt;0,SUBTOTAL(9,F91:F95),"")</f>
        <v/>
      </c>
      <c r="G90" s="34" t="str">
        <f t="shared" ref="G90" si="2169">IF(SUBTOTAL(9,G91:G95)&gt;0,SUBTOTAL(9,G91:G95),"")</f>
        <v/>
      </c>
      <c r="H90" s="34" t="str">
        <f t="shared" ref="H90" si="2170">IF(SUBTOTAL(9,H91:H95)&gt;0,SUBTOTAL(9,H91:H95),"")</f>
        <v/>
      </c>
      <c r="I90" s="34" t="str">
        <f t="shared" ref="I90" si="2171">IF(SUBTOTAL(9,I91:I95)&gt;0,SUBTOTAL(9,I91:I95),"")</f>
        <v/>
      </c>
      <c r="J90" s="34" t="str">
        <f t="shared" ref="J90" si="2172">IF(SUBTOTAL(9,J91:J95)&gt;0,SUBTOTAL(9,J91:J95),"")</f>
        <v/>
      </c>
      <c r="K90" s="34" t="str">
        <f t="shared" ref="K90" si="2173">IF(SUBTOTAL(9,K91:K95)&gt;0,SUBTOTAL(9,K91:K95),"")</f>
        <v/>
      </c>
      <c r="L90" s="34" t="str">
        <f t="shared" ref="L90" si="2174">IF(SUBTOTAL(9,L91:L95)&gt;0,SUBTOTAL(9,L91:L95),"")</f>
        <v/>
      </c>
      <c r="M90" s="34" t="str">
        <f t="shared" ref="M90" si="2175">IF(SUBTOTAL(9,M91:M95)&gt;0,SUBTOTAL(9,M91:M95),"")</f>
        <v/>
      </c>
      <c r="N90" s="34" t="str">
        <f t="shared" ref="N90" si="2176">IF(SUBTOTAL(9,N91:N95)&gt;0,SUBTOTAL(9,N91:N95),"")</f>
        <v/>
      </c>
      <c r="O90" s="34" t="str">
        <f t="shared" ref="O90" si="2177">IF(SUBTOTAL(9,O91:O95)&gt;0,SUBTOTAL(9,O91:O95),"")</f>
        <v/>
      </c>
      <c r="P90" s="34" t="str">
        <f t="shared" ref="P90" si="2178">IF(SUBTOTAL(9,P91:P95)&gt;0,SUBTOTAL(9,P91:P95),"")</f>
        <v/>
      </c>
      <c r="Q90" s="34" t="str">
        <f t="shared" ref="Q90" si="2179">IF(SUBTOTAL(9,Q91:Q95)&gt;0,SUBTOTAL(9,Q91:Q95),"")</f>
        <v/>
      </c>
      <c r="R90" s="34" t="str">
        <f t="shared" ref="R90" si="2180">IF(SUBTOTAL(9,R91:R95)&gt;0,SUBTOTAL(9,R91:R95),"")</f>
        <v/>
      </c>
      <c r="S90" s="34" t="str">
        <f t="shared" ref="S90" si="2181">IF(SUBTOTAL(9,S91:S95)&gt;0,SUBTOTAL(9,S91:S95),"")</f>
        <v/>
      </c>
      <c r="T90" s="34">
        <f t="shared" ref="T90" si="2182">IF(SUBTOTAL(9,T91:T95)&gt;0,SUBTOTAL(9,T91:T95),"")</f>
        <v>2</v>
      </c>
      <c r="U90" s="34" t="str">
        <f t="shared" ref="U90" si="2183">IF(SUBTOTAL(9,U91:U95)&gt;0,SUBTOTAL(9,U91:U95),"")</f>
        <v/>
      </c>
      <c r="V90" s="34" t="str">
        <f t="shared" ref="V90" si="2184">IF(SUBTOTAL(9,V91:V95)&gt;0,SUBTOTAL(9,V91:V95),"")</f>
        <v/>
      </c>
      <c r="W90" s="34" t="str">
        <f t="shared" ref="W90" si="2185">IF(SUBTOTAL(9,W91:W95)&gt;0,SUBTOTAL(9,W91:W95),"")</f>
        <v/>
      </c>
      <c r="X90" s="34" t="str">
        <f t="shared" ref="X90" si="2186">IF(SUBTOTAL(9,X91:X95)&gt;0,SUBTOTAL(9,X91:X95),"")</f>
        <v/>
      </c>
      <c r="Y90" s="34" t="str">
        <f t="shared" ref="Y90" si="2187">IF(SUBTOTAL(9,Y91:Y95)&gt;0,SUBTOTAL(9,Y91:Y95),"")</f>
        <v/>
      </c>
      <c r="Z90" s="34" t="str">
        <f t="shared" ref="Z90" si="2188">IF(SUBTOTAL(9,Z91:Z95)&gt;0,SUBTOTAL(9,Z91:Z95),"")</f>
        <v/>
      </c>
      <c r="AA90" s="34" t="str">
        <f t="shared" ref="AA90" si="2189">IF(SUBTOTAL(9,AA91:AA95)&gt;0,SUBTOTAL(9,AA91:AA95),"")</f>
        <v/>
      </c>
      <c r="AB90" s="34" t="str">
        <f t="shared" ref="AB90" si="2190">IF(SUBTOTAL(9,AB91:AB95)&gt;0,SUBTOTAL(9,AB91:AB95),"")</f>
        <v/>
      </c>
      <c r="AC90" s="34" t="str">
        <f t="shared" ref="AC90" si="2191">IF(SUBTOTAL(9,AC91:AC95)&gt;0,SUBTOTAL(9,AC91:AC95),"")</f>
        <v/>
      </c>
      <c r="AD90" s="34" t="str">
        <f t="shared" ref="AD90" si="2192">IF(SUBTOTAL(9,AD91:AD95)&gt;0,SUBTOTAL(9,AD91:AD95),"")</f>
        <v/>
      </c>
      <c r="AE90" s="34" t="str">
        <f t="shared" ref="AE90" si="2193">IF(SUBTOTAL(9,AE91:AE95)&gt;0,SUBTOTAL(9,AE91:AE95),"")</f>
        <v/>
      </c>
      <c r="AF90" s="34" t="str">
        <f t="shared" ref="AF90" si="2194">IF(SUBTOTAL(9,AF91:AF95)&gt;0,SUBTOTAL(9,AF91:AF95),"")</f>
        <v/>
      </c>
      <c r="AG90" s="34" t="str">
        <f t="shared" ref="AG90" si="2195">IF(SUBTOTAL(9,AG91:AG95)&gt;0,SUBTOTAL(9,AG91:AG95),"")</f>
        <v/>
      </c>
      <c r="AH90" s="34" t="str">
        <f t="shared" ref="AH90" si="2196">IF(SUBTOTAL(9,AH91:AH95)&gt;0,SUBTOTAL(9,AH91:AH95),"")</f>
        <v/>
      </c>
      <c r="AI90" s="34" t="str">
        <f t="shared" ref="AI90" si="2197">IF(SUBTOTAL(9,AI91:AI95)&gt;0,SUBTOTAL(9,AI91:AI95),"")</f>
        <v/>
      </c>
      <c r="AJ90" s="34" t="str">
        <f t="shared" ref="AJ90" si="2198">IF(SUBTOTAL(9,AJ91:AJ95)&gt;0,SUBTOTAL(9,AJ91:AJ95),"")</f>
        <v/>
      </c>
      <c r="AK90" s="34" t="str">
        <f t="shared" ref="AK90" si="2199">IF(SUBTOTAL(9,AK91:AK95)&gt;0,SUBTOTAL(9,AK91:AK95),"")</f>
        <v/>
      </c>
      <c r="AL90" s="33" t="str">
        <f t="shared" ref="AL90" si="2200">IF(SUBTOTAL(9,AL91:AL95)&gt;0,SUBTOTAL(9,AL91:AL95),"")</f>
        <v/>
      </c>
      <c r="AM90" s="33" t="str">
        <f t="shared" ref="AM90" si="2201">IF(SUBTOTAL(9,AM91:AM95)&gt;0,SUBTOTAL(9,AM91:AM95),"")</f>
        <v/>
      </c>
      <c r="AN90" s="33" t="str">
        <f t="shared" ref="AN90" si="2202">IF(SUBTOTAL(9,AN91:AN95)&gt;0,SUBTOTAL(9,AN91:AN95),"")</f>
        <v/>
      </c>
      <c r="AO90" s="33" t="str">
        <f t="shared" ref="AO90" si="2203">IF(SUBTOTAL(9,AO91:AO95)&gt;0,SUBTOTAL(9,AO91:AO95),"")</f>
        <v/>
      </c>
      <c r="AP90" s="33" t="str">
        <f t="shared" ref="AP90" si="2204">IF(SUBTOTAL(9,AP91:AP95)&gt;0,SUBTOTAL(9,AP91:AP95),"")</f>
        <v/>
      </c>
      <c r="AQ90" s="33" t="str">
        <f t="shared" ref="AQ90" si="2205">IF(SUBTOTAL(9,AQ91:AQ95)&gt;0,SUBTOTAL(9,AQ91:AQ95),"")</f>
        <v/>
      </c>
      <c r="AR90" s="33" t="str">
        <f t="shared" ref="AR90" si="2206">IF(SUBTOTAL(9,AR91:AR95)&gt;0,SUBTOTAL(9,AR91:AR95),"")</f>
        <v/>
      </c>
      <c r="AS90" s="34" t="str">
        <f t="shared" ref="AS90" si="2207">IF(SUBTOTAL(9,AS91:AS95)&gt;0,SUBTOTAL(9,AS91:AS95),"")</f>
        <v/>
      </c>
      <c r="AT90" s="34" t="str">
        <f t="shared" ref="AT90" si="2208">IF(SUBTOTAL(9,AT91:AT95)&gt;0,SUBTOTAL(9,AT91:AT95),"")</f>
        <v/>
      </c>
      <c r="AU90" s="34" t="str">
        <f t="shared" ref="AU90" si="2209">IF(SUBTOTAL(9,AU91:AU95)&gt;0,SUBTOTAL(9,AU91:AU95),"")</f>
        <v/>
      </c>
      <c r="AV90" s="34" t="str">
        <f t="shared" ref="AV90" si="2210">IF(SUBTOTAL(9,AV91:AV95)&gt;0,SUBTOTAL(9,AV91:AV95),"")</f>
        <v/>
      </c>
      <c r="AW90" s="34" t="str">
        <f t="shared" ref="AW90" si="2211">IF(SUBTOTAL(9,AW91:AW95)&gt;0,SUBTOTAL(9,AW91:AW95),"")</f>
        <v/>
      </c>
      <c r="AX90" s="34" t="str">
        <f t="shared" ref="AX90" si="2212">IF(SUBTOTAL(9,AX91:AX95)&gt;0,SUBTOTAL(9,AX91:AX95),"")</f>
        <v/>
      </c>
      <c r="AY90" s="34" t="str">
        <f t="shared" ref="AY90" si="2213">IF(SUBTOTAL(9,AY91:AY95)&gt;0,SUBTOTAL(9,AY91:AY95),"")</f>
        <v/>
      </c>
      <c r="AZ90" s="34" t="str">
        <f t="shared" ref="AZ90" si="2214">IF(SUBTOTAL(9,AZ91:AZ95)&gt;0,SUBTOTAL(9,AZ91:AZ95),"")</f>
        <v/>
      </c>
      <c r="BA90" s="34" t="str">
        <f t="shared" ref="BA90" si="2215">IF(SUBTOTAL(9,BA91:BA95)&gt;0,SUBTOTAL(9,BA91:BA95),"")</f>
        <v/>
      </c>
      <c r="BB90" s="34" t="str">
        <f t="shared" ref="BB90" si="2216">IF(SUBTOTAL(9,BB91:BB95)&gt;0,SUBTOTAL(9,BB91:BB95),"")</f>
        <v/>
      </c>
      <c r="BC90" s="34" t="str">
        <f t="shared" ref="BC90" si="2217">IF(SUBTOTAL(9,BC91:BC95)&gt;0,SUBTOTAL(9,BC91:BC95),"")</f>
        <v/>
      </c>
      <c r="BD90" s="34" t="str">
        <f t="shared" ref="BD90" si="2218">IF(SUBTOTAL(9,BD91:BD95)&gt;0,SUBTOTAL(9,BD91:BD95),"")</f>
        <v/>
      </c>
      <c r="BE90" s="34" t="str">
        <f t="shared" ref="BE90" si="2219">IF(SUBTOTAL(9,BE91:BE95)&gt;0,SUBTOTAL(9,BE91:BE95),"")</f>
        <v/>
      </c>
      <c r="BF90" s="34" t="str">
        <f t="shared" ref="BF90" si="2220">IF(SUBTOTAL(9,BF91:BF95)&gt;0,SUBTOTAL(9,BF91:BF95),"")</f>
        <v/>
      </c>
      <c r="BG90" s="34" t="str">
        <f t="shared" ref="BG90" si="2221">IF(SUBTOTAL(9,BG91:BG95)&gt;0,SUBTOTAL(9,BG91:BG95),"")</f>
        <v/>
      </c>
      <c r="BH90" s="34" t="str">
        <f t="shared" ref="BH90" si="2222">IF(SUBTOTAL(9,BH91:BH95)&gt;0,SUBTOTAL(9,BH91:BH95),"")</f>
        <v/>
      </c>
      <c r="BI90" s="34" t="str">
        <f t="shared" ref="BI90" si="2223">IF(SUBTOTAL(9,BI91:BI95)&gt;0,SUBTOTAL(9,BI91:BI95),"")</f>
        <v/>
      </c>
      <c r="BJ90" s="34" t="str">
        <f t="shared" ref="BJ90" si="2224">IF(SUBTOTAL(9,BJ91:BJ95)&gt;0,SUBTOTAL(9,BJ91:BJ95),"")</f>
        <v/>
      </c>
      <c r="BK90" s="34" t="str">
        <f t="shared" ref="BK90" si="2225">IF(SUBTOTAL(9,BK91:BK95)&gt;0,SUBTOTAL(9,BK91:BK95),"")</f>
        <v/>
      </c>
      <c r="BL90" s="34" t="str">
        <f t="shared" ref="BL90" si="2226">IF(SUBTOTAL(9,BL91:BL95)&gt;0,SUBTOTAL(9,BL91:BL95),"")</f>
        <v/>
      </c>
      <c r="BM90" s="34" t="str">
        <f t="shared" ref="BM90" si="2227">IF(SUBTOTAL(9,BM91:BM95)&gt;0,SUBTOTAL(9,BM91:BM95),"")</f>
        <v/>
      </c>
      <c r="BN90" s="34" t="str">
        <f t="shared" ref="BN90" si="2228">IF(SUBTOTAL(9,BN91:BN95)&gt;0,SUBTOTAL(9,BN91:BN95),"")</f>
        <v/>
      </c>
      <c r="BO90" s="34" t="str">
        <f t="shared" ref="BO90" si="2229">IF(SUBTOTAL(9,BO91:BO95)&gt;0,SUBTOTAL(9,BO91:BO95),"")</f>
        <v/>
      </c>
      <c r="BP90" s="34" t="str">
        <f t="shared" ref="BP90" si="2230">IF(SUBTOTAL(9,BP91:BP95)&gt;0,SUBTOTAL(9,BP91:BP95),"")</f>
        <v/>
      </c>
      <c r="BQ90" s="34" t="str">
        <f t="shared" ref="BQ90" si="2231">IF(SUBTOTAL(9,BQ91:BQ95)&gt;0,SUBTOTAL(9,BQ91:BQ95),"")</f>
        <v/>
      </c>
      <c r="BR90" s="34" t="str">
        <f t="shared" ref="BR90" si="2232">IF(SUBTOTAL(9,BR91:BR95)&gt;0,SUBTOTAL(9,BR91:BR95),"")</f>
        <v/>
      </c>
      <c r="BS90" s="34" t="str">
        <f t="shared" ref="BS90" si="2233">IF(SUBTOTAL(9,BS91:BS95)&gt;0,SUBTOTAL(9,BS91:BS95),"")</f>
        <v/>
      </c>
      <c r="BT90" s="34" t="str">
        <f t="shared" ref="BT90" si="2234">IF(SUBTOTAL(9,BT91:BT95)&gt;0,SUBTOTAL(9,BT91:BT95),"")</f>
        <v/>
      </c>
      <c r="BU90" s="34" t="str">
        <f t="shared" ref="BU90" si="2235">IF(SUBTOTAL(9,BU91:BU95)&gt;0,SUBTOTAL(9,BU91:BU95),"")</f>
        <v/>
      </c>
      <c r="BV90" s="34" t="str">
        <f t="shared" ref="BV90" si="2236">IF(SUBTOTAL(9,BV91:BV95)&gt;0,SUBTOTAL(9,BV91:BV95),"")</f>
        <v/>
      </c>
      <c r="BW90" s="34" t="str">
        <f t="shared" ref="BW90" si="2237">IF(SUBTOTAL(9,BW91:BW95)&gt;0,SUBTOTAL(9,BW91:BW95),"")</f>
        <v/>
      </c>
      <c r="BX90" s="34" t="str">
        <f t="shared" ref="BX90" si="2238">IF(SUBTOTAL(9,BX91:BX95)&gt;0,SUBTOTAL(9,BX91:BX95),"")</f>
        <v/>
      </c>
      <c r="BY90" s="34" t="str">
        <f t="shared" ref="BY90" si="2239">IF(SUBTOTAL(9,BY91:BY95)&gt;0,SUBTOTAL(9,BY91:BY95),"")</f>
        <v/>
      </c>
      <c r="BZ90" s="34" t="str">
        <f t="shared" ref="BZ90" si="2240">IF(SUBTOTAL(9,BZ91:BZ95)&gt;0,SUBTOTAL(9,BZ91:BZ95),"")</f>
        <v/>
      </c>
      <c r="CA90" s="34" t="str">
        <f t="shared" ref="CA90" si="2241">IF(SUBTOTAL(9,CA91:CA95)&gt;0,SUBTOTAL(9,CA91:CA95),"")</f>
        <v/>
      </c>
      <c r="CB90" s="34" t="str">
        <f t="shared" ref="CB90" si="2242">IF(SUBTOTAL(9,CB91:CB95)&gt;0,SUBTOTAL(9,CB91:CB95),"")</f>
        <v/>
      </c>
      <c r="CC90" s="34" t="str">
        <f t="shared" ref="CC90" si="2243">IF(SUBTOTAL(9,CC91:CC95)&gt;0,SUBTOTAL(9,CC91:CC95),"")</f>
        <v/>
      </c>
      <c r="CD90" s="34" t="str">
        <f t="shared" ref="CD90" si="2244">IF(SUBTOTAL(9,CD91:CD95)&gt;0,SUBTOTAL(9,CD91:CD95),"")</f>
        <v/>
      </c>
      <c r="CE90" s="34" t="str">
        <f t="shared" ref="CE90" si="2245">IF(SUBTOTAL(9,CE91:CE95)&gt;0,SUBTOTAL(9,CE91:CE95),"")</f>
        <v/>
      </c>
      <c r="CF90" s="34" t="str">
        <f t="shared" ref="CF90:CG90" si="2246">IF(SUBTOTAL(9,CF91:CF95)&gt;0,SUBTOTAL(9,CF91:CF95),"")</f>
        <v/>
      </c>
      <c r="CG90" s="34" t="str">
        <f t="shared" si="2246"/>
        <v/>
      </c>
      <c r="CH90" s="34" t="str">
        <f t="shared" ref="CH90" si="2247">IF(SUBTOTAL(9,CH91:CH95)&gt;0,SUBTOTAL(9,CH91:CH95),"")</f>
        <v/>
      </c>
      <c r="CI90" s="34" t="str">
        <f t="shared" ref="CI90" si="2248">IF(SUBTOTAL(9,CI91:CI95)&gt;0,SUBTOTAL(9,CI91:CI95),"")</f>
        <v/>
      </c>
      <c r="CJ90" s="34" t="str">
        <f t="shared" ref="CJ90" si="2249">IF(SUBTOTAL(9,CJ91:CJ95)&gt;0,SUBTOTAL(9,CJ91:CJ95),"")</f>
        <v/>
      </c>
      <c r="CK90" s="34" t="str">
        <f t="shared" ref="CK90" si="2250">IF(SUBTOTAL(9,CK91:CK95)&gt;0,SUBTOTAL(9,CK91:CK95),"")</f>
        <v/>
      </c>
      <c r="CL90" s="34" t="str">
        <f t="shared" ref="CL90" si="2251">IF(SUBTOTAL(9,CL91:CL95)&gt;0,SUBTOTAL(9,CL91:CL95),"")</f>
        <v/>
      </c>
      <c r="CM90" s="34" t="str">
        <f t="shared" ref="CM90" si="2252">IF(SUBTOTAL(9,CM91:CM95)&gt;0,SUBTOTAL(9,CM91:CM95),"")</f>
        <v/>
      </c>
      <c r="CN90" s="34" t="str">
        <f t="shared" ref="CN90" si="2253">IF(SUBTOTAL(9,CN91:CN95)&gt;0,SUBTOTAL(9,CN91:CN95),"")</f>
        <v/>
      </c>
      <c r="CO90" s="34" t="str">
        <f t="shared" ref="CO90" si="2254">IF(SUBTOTAL(9,CO91:CO95)&gt;0,SUBTOTAL(9,CO91:CO95),"")</f>
        <v/>
      </c>
      <c r="CP90" s="34" t="str">
        <f t="shared" ref="CP90" si="2255">IF(SUBTOTAL(9,CP91:CP95)&gt;0,SUBTOTAL(9,CP91:CP95),"")</f>
        <v/>
      </c>
      <c r="CQ90" s="34" t="str">
        <f t="shared" ref="CQ90" si="2256">IF(SUBTOTAL(9,CQ91:CQ95)&gt;0,SUBTOTAL(9,CQ91:CQ95),"")</f>
        <v/>
      </c>
      <c r="CR90" s="34" t="str">
        <f t="shared" ref="CR90" si="2257">IF(SUBTOTAL(9,CR91:CR95)&gt;0,SUBTOTAL(9,CR91:CR95),"")</f>
        <v/>
      </c>
      <c r="CS90" s="34" t="str">
        <f t="shared" ref="CS90" si="2258">IF(SUBTOTAL(9,CS91:CS95)&gt;0,SUBTOTAL(9,CS91:CS95),"")</f>
        <v/>
      </c>
      <c r="CT90" s="33" t="str">
        <f t="shared" ref="CT90" si="2259">IF(SUBTOTAL(9,CT91:CT95)&gt;0,SUBTOTAL(9,CT91:CT95),"")</f>
        <v/>
      </c>
      <c r="CU90" s="34" t="str">
        <f t="shared" ref="CU90" si="2260">IF(SUBTOTAL(9,CU91:CU95)&gt;0,SUBTOTAL(9,CU91:CU95),"")</f>
        <v/>
      </c>
      <c r="CV90" s="34" t="str">
        <f t="shared" ref="CV90" si="2261">IF(SUBTOTAL(9,CV91:CV95)&gt;0,SUBTOTAL(9,CV91:CV95),"")</f>
        <v/>
      </c>
      <c r="CW90" s="34" t="str">
        <f t="shared" ref="CW90" si="2262">IF(SUBTOTAL(9,CW91:CW95)&gt;0,SUBTOTAL(9,CW91:CW95),"")</f>
        <v/>
      </c>
      <c r="CX90" s="34" t="str">
        <f t="shared" ref="CX90" si="2263">IF(SUBTOTAL(9,CX91:CX95)&gt;0,SUBTOTAL(9,CX91:CX95),"")</f>
        <v/>
      </c>
      <c r="CY90" s="34" t="str">
        <f t="shared" ref="CY90" si="2264">IF(SUBTOTAL(9,CY91:CY95)&gt;0,SUBTOTAL(9,CY91:CY95),"")</f>
        <v/>
      </c>
      <c r="CZ90" s="33" t="str">
        <f t="shared" ref="CZ90" si="2265">IF(SUBTOTAL(9,CZ91:CZ95)&gt;0,SUBTOTAL(9,CZ91:CZ95),"")</f>
        <v/>
      </c>
      <c r="DA90" s="33" t="str">
        <f t="shared" ref="DA90" si="2266">IF(SUBTOTAL(9,DA91:DA95)&gt;0,SUBTOTAL(9,DA91:DA95),"")</f>
        <v/>
      </c>
      <c r="DB90" s="34">
        <f>IF(SUBTOTAL(9,DB91:DB95)&gt;0,SUBTOTAL(9,DB91:DB95),"")</f>
        <v>1</v>
      </c>
      <c r="DC90" s="34" t="str">
        <f t="shared" ref="DC90" si="2267">IF(SUBTOTAL(9,DC91:DC95)&gt;0,SUBTOTAL(9,DC91:DC95),"")</f>
        <v/>
      </c>
      <c r="DD90" s="34" t="str">
        <f t="shared" ref="DD90" si="2268">IF(SUBTOTAL(9,DD91:DD95)&gt;0,SUBTOTAL(9,DD91:DD95),"")</f>
        <v/>
      </c>
      <c r="DE90" s="34" t="str">
        <f t="shared" ref="DE90" si="2269">IF(SUBTOTAL(9,DE91:DE95)&gt;0,SUBTOTAL(9,DE91:DE95),"")</f>
        <v/>
      </c>
      <c r="DF90" s="34" t="str">
        <f t="shared" ref="DF90" si="2270">IF(SUBTOTAL(9,DF91:DF95)&gt;0,SUBTOTAL(9,DF91:DF95),"")</f>
        <v/>
      </c>
      <c r="DG90" s="34" t="str">
        <f t="shared" ref="DG90" si="2271">IF(SUBTOTAL(9,DG91:DG95)&gt;0,SUBTOTAL(9,DG91:DG95),"")</f>
        <v/>
      </c>
      <c r="DH90" s="34" t="str">
        <f t="shared" ref="DH90" si="2272">IF(SUBTOTAL(9,DH91:DH95)&gt;0,SUBTOTAL(9,DH91:DH95),"")</f>
        <v/>
      </c>
      <c r="DI90" s="34" t="str">
        <f t="shared" ref="DI90" si="2273">IF(SUBTOTAL(9,DI91:DI95)&gt;0,SUBTOTAL(9,DI91:DI95),"")</f>
        <v/>
      </c>
      <c r="DJ90" s="34" t="str">
        <f t="shared" ref="DJ90" si="2274">IF(SUBTOTAL(9,DJ91:DJ95)&gt;0,SUBTOTAL(9,DJ91:DJ95),"")</f>
        <v/>
      </c>
      <c r="DK90" s="34" t="str">
        <f t="shared" ref="DK90" si="2275">IF(SUBTOTAL(9,DK91:DK95)&gt;0,SUBTOTAL(9,DK91:DK95),"")</f>
        <v/>
      </c>
      <c r="DL90" s="34" t="str">
        <f t="shared" ref="DL90" si="2276">IF(SUBTOTAL(9,DL91:DL95)&gt;0,SUBTOTAL(9,DL91:DL95),"")</f>
        <v/>
      </c>
      <c r="DM90" s="34" t="str">
        <f t="shared" ref="DM90" si="2277">IF(SUBTOTAL(9,DM91:DM95)&gt;0,SUBTOTAL(9,DM91:DM95),"")</f>
        <v/>
      </c>
      <c r="DN90" s="34" t="str">
        <f t="shared" ref="DN90" si="2278">IF(SUBTOTAL(9,DN91:DN95)&gt;0,SUBTOTAL(9,DN91:DN95),"")</f>
        <v/>
      </c>
      <c r="DO90" s="34" t="str">
        <f t="shared" ref="DO90" si="2279">IF(SUBTOTAL(9,DO91:DO95)&gt;0,SUBTOTAL(9,DO91:DO95),"")</f>
        <v/>
      </c>
      <c r="DP90" s="34" t="str">
        <f t="shared" ref="DP90" si="2280">IF(SUBTOTAL(9,DP91:DP95)&gt;0,SUBTOTAL(9,DP91:DP95),"")</f>
        <v/>
      </c>
      <c r="DQ90" s="34" t="str">
        <f t="shared" ref="DQ90" si="2281">IF(SUBTOTAL(9,DQ91:DQ95)&gt;0,SUBTOTAL(9,DQ91:DQ95),"")</f>
        <v/>
      </c>
      <c r="DR90" s="34" t="str">
        <f t="shared" ref="DR90" si="2282">IF(SUBTOTAL(9,DR91:DR95)&gt;0,SUBTOTAL(9,DR91:DR95),"")</f>
        <v/>
      </c>
      <c r="DS90" s="34" t="str">
        <f t="shared" ref="DS90" si="2283">IF(SUBTOTAL(9,DS91:DS95)&gt;0,SUBTOTAL(9,DS91:DS95),"")</f>
        <v/>
      </c>
      <c r="DT90" s="34" t="str">
        <f t="shared" ref="DT90" si="2284">IF(SUBTOTAL(9,DT91:DT95)&gt;0,SUBTOTAL(9,DT91:DT95),"")</f>
        <v/>
      </c>
      <c r="DU90" s="34" t="str">
        <f t="shared" ref="DU90" si="2285">IF(SUBTOTAL(9,DU91:DU95)&gt;0,SUBTOTAL(9,DU91:DU95),"")</f>
        <v/>
      </c>
      <c r="DV90" s="34" t="str">
        <f t="shared" ref="DV90" si="2286">IF(SUBTOTAL(9,DV91:DV95)&gt;0,SUBTOTAL(9,DV91:DV95),"")</f>
        <v/>
      </c>
      <c r="DW90" s="34" t="str">
        <f t="shared" ref="DW90" si="2287">IF(SUBTOTAL(9,DW91:DW95)&gt;0,SUBTOTAL(9,DW91:DW95),"")</f>
        <v/>
      </c>
      <c r="DX90" s="34" t="str">
        <f t="shared" ref="DX90" si="2288">IF(SUBTOTAL(9,DX91:DX95)&gt;0,SUBTOTAL(9,DX91:DX95),"")</f>
        <v/>
      </c>
      <c r="DY90" s="34" t="str">
        <f t="shared" ref="DY90" si="2289">IF(SUBTOTAL(9,DY91:DY95)&gt;0,SUBTOTAL(9,DY91:DY95),"")</f>
        <v/>
      </c>
      <c r="DZ90" s="33" t="str">
        <f t="shared" ref="DZ90" si="2290">IF(SUBTOTAL(9,DZ91:DZ95)&gt;0,SUBTOTAL(9,DZ91:DZ95),"")</f>
        <v/>
      </c>
      <c r="EA90" s="34" t="str">
        <f t="shared" ref="EA90" si="2291">IF(SUBTOTAL(9,EA91:EA95)&gt;0,SUBTOTAL(9,EA91:EA95),"")</f>
        <v/>
      </c>
      <c r="EB90" s="34" t="str">
        <f t="shared" ref="EB90" si="2292">IF(SUBTOTAL(9,EB91:EB95)&gt;0,SUBTOTAL(9,EB91:EB95),"")</f>
        <v/>
      </c>
      <c r="EC90" s="34" t="str">
        <f t="shared" ref="EC90" si="2293">IF(SUBTOTAL(9,EC91:EC95)&gt;0,SUBTOTAL(9,EC91:EC95),"")</f>
        <v/>
      </c>
      <c r="ED90" s="34" t="str">
        <f t="shared" ref="ED90" si="2294">IF(SUBTOTAL(9,ED91:ED95)&gt;0,SUBTOTAL(9,ED91:ED95),"")</f>
        <v/>
      </c>
      <c r="EE90" s="34" t="str">
        <f t="shared" ref="EE90" si="2295">IF(SUBTOTAL(9,EE91:EE95)&gt;0,SUBTOTAL(9,EE91:EE95),"")</f>
        <v/>
      </c>
      <c r="EF90" s="34" t="str">
        <f t="shared" ref="EF90" si="2296">IF(SUBTOTAL(9,EF91:EF95)&gt;0,SUBTOTAL(9,EF91:EF95),"")</f>
        <v/>
      </c>
      <c r="EG90" s="34" t="str">
        <f t="shared" ref="EG90" si="2297">IF(SUBTOTAL(9,EG91:EG95)&gt;0,SUBTOTAL(9,EG91:EG95),"")</f>
        <v/>
      </c>
      <c r="EH90" s="34" t="str">
        <f t="shared" ref="EH90" si="2298">IF(SUBTOTAL(9,EH91:EH95)&gt;0,SUBTOTAL(9,EH91:EH95),"")</f>
        <v/>
      </c>
      <c r="EI90" s="34" t="str">
        <f t="shared" ref="EI90" si="2299">IF(SUBTOTAL(9,EI91:EI95)&gt;0,SUBTOTAL(9,EI91:EI95),"")</f>
        <v/>
      </c>
      <c r="EJ90" s="34" t="str">
        <f t="shared" ref="EJ90" si="2300">IF(SUBTOTAL(9,EJ91:EJ95)&gt;0,SUBTOTAL(9,EJ91:EJ95),"")</f>
        <v/>
      </c>
      <c r="EK90" s="34" t="str">
        <f t="shared" ref="EK90" si="2301">IF(SUBTOTAL(9,EK91:EK95)&gt;0,SUBTOTAL(9,EK91:EK95),"")</f>
        <v/>
      </c>
      <c r="EL90" s="34" t="str">
        <f t="shared" ref="EL90" si="2302">IF(SUBTOTAL(9,EL91:EL95)&gt;0,SUBTOTAL(9,EL91:EL95),"")</f>
        <v/>
      </c>
      <c r="EM90" s="34" t="str">
        <f t="shared" ref="EM90" si="2303">IF(SUBTOTAL(9,EM91:EM95)&gt;0,SUBTOTAL(9,EM91:EM95),"")</f>
        <v/>
      </c>
      <c r="EN90" s="34" t="str">
        <f t="shared" ref="EN90" si="2304">IF(SUBTOTAL(9,EN91:EN95)&gt;0,SUBTOTAL(9,EN91:EN95),"")</f>
        <v/>
      </c>
      <c r="EO90" s="34" t="str">
        <f t="shared" ref="EO90" si="2305">IF(SUBTOTAL(9,EO91:EO95)&gt;0,SUBTOTAL(9,EO91:EO95),"")</f>
        <v/>
      </c>
      <c r="EP90" s="34" t="str">
        <f t="shared" ref="EP90" si="2306">IF(SUBTOTAL(9,EP91:EP95)&gt;0,SUBTOTAL(9,EP91:EP95),"")</f>
        <v/>
      </c>
      <c r="EQ90" s="34" t="str">
        <f t="shared" ref="EQ90" si="2307">IF(SUBTOTAL(9,EQ91:EQ95)&gt;0,SUBTOTAL(9,EQ91:EQ95),"")</f>
        <v/>
      </c>
      <c r="ER90" s="34" t="str">
        <f t="shared" ref="ER90" si="2308">IF(SUBTOTAL(9,ER91:ER95)&gt;0,SUBTOTAL(9,ER91:ER95),"")</f>
        <v/>
      </c>
      <c r="ES90" s="34" t="str">
        <f t="shared" ref="ES90" si="2309">IF(SUBTOTAL(9,ES91:ES95)&gt;0,SUBTOTAL(9,ES91:ES95),"")</f>
        <v/>
      </c>
      <c r="ET90" s="34" t="str">
        <f t="shared" ref="ET90" si="2310">IF(SUBTOTAL(9,ET91:ET95)&gt;0,SUBTOTAL(9,ET91:ET95),"")</f>
        <v/>
      </c>
      <c r="EU90" s="34" t="str">
        <f t="shared" ref="EU90" si="2311">IF(SUBTOTAL(9,EU91:EU95)&gt;0,SUBTOTAL(9,EU91:EU95),"")</f>
        <v/>
      </c>
      <c r="EV90" s="34" t="str">
        <f t="shared" ref="EV90" si="2312">IF(SUBTOTAL(9,EV91:EV95)&gt;0,SUBTOTAL(9,EV91:EV95),"")</f>
        <v/>
      </c>
      <c r="EW90" s="34" t="str">
        <f t="shared" ref="EW90" si="2313">IF(SUBTOTAL(9,EW91:EW95)&gt;0,SUBTOTAL(9,EW91:EW95),"")</f>
        <v/>
      </c>
      <c r="EX90" s="34" t="str">
        <f t="shared" ref="EX90" si="2314">IF(SUBTOTAL(9,EX91:EX95)&gt;0,SUBTOTAL(9,EX91:EX95),"")</f>
        <v/>
      </c>
      <c r="EY90" s="33" t="str">
        <f t="shared" ref="EY90" si="2315">IF(SUBTOTAL(9,EY91:EY95)&gt;0,SUBTOTAL(9,EY91:EY95),"")</f>
        <v/>
      </c>
      <c r="EZ90" s="34" t="str">
        <f t="shared" ref="EZ90" si="2316">IF(SUBTOTAL(9,EZ91:EZ95)&gt;0,SUBTOTAL(9,EZ91:EZ95),"")</f>
        <v/>
      </c>
      <c r="FA90" s="34" t="str">
        <f t="shared" ref="FA90" si="2317">IF(SUBTOTAL(9,FA91:FA95)&gt;0,SUBTOTAL(9,FA91:FA95),"")</f>
        <v/>
      </c>
      <c r="FB90" s="34" t="str">
        <f t="shared" ref="FB90" si="2318">IF(SUBTOTAL(9,FB91:FB95)&gt;0,SUBTOTAL(9,FB91:FB95),"")</f>
        <v/>
      </c>
      <c r="FC90" s="34" t="str">
        <f t="shared" ref="FC90" si="2319">IF(SUBTOTAL(9,FC91:FC95)&gt;0,SUBTOTAL(9,FC91:FC95),"")</f>
        <v/>
      </c>
      <c r="FD90" s="34" t="str">
        <f t="shared" ref="FD90" si="2320">IF(SUBTOTAL(9,FD91:FD95)&gt;0,SUBTOTAL(9,FD91:FD95),"")</f>
        <v/>
      </c>
      <c r="FE90" s="34" t="str">
        <f t="shared" ref="FE90" si="2321">IF(SUBTOTAL(9,FE91:FE95)&gt;0,SUBTOTAL(9,FE91:FE95),"")</f>
        <v/>
      </c>
      <c r="FF90" s="34" t="str">
        <f t="shared" ref="FF90" si="2322">IF(SUBTOTAL(9,FF91:FF95)&gt;0,SUBTOTAL(9,FF91:FF95),"")</f>
        <v/>
      </c>
      <c r="FG90" s="34" t="str">
        <f t="shared" ref="FG90" si="2323">IF(SUBTOTAL(9,FG91:FG95)&gt;0,SUBTOTAL(9,FG91:FG95),"")</f>
        <v/>
      </c>
      <c r="FH90" s="34" t="str">
        <f t="shared" ref="FH90" si="2324">IF(SUBTOTAL(9,FH91:FH95)&gt;0,SUBTOTAL(9,FH91:FH95),"")</f>
        <v/>
      </c>
      <c r="FI90" s="34" t="str">
        <f t="shared" ref="FI90" si="2325">IF(SUBTOTAL(9,FI91:FI95)&gt;0,SUBTOTAL(9,FI91:FI95),"")</f>
        <v/>
      </c>
      <c r="FJ90" s="34" t="str">
        <f t="shared" ref="FJ90" si="2326">IF(SUBTOTAL(9,FJ91:FJ95)&gt;0,SUBTOTAL(9,FJ91:FJ95),"")</f>
        <v/>
      </c>
      <c r="FK90" s="34" t="str">
        <f t="shared" ref="FK90" si="2327">IF(SUBTOTAL(9,FK91:FK95)&gt;0,SUBTOTAL(9,FK91:FK95),"")</f>
        <v/>
      </c>
      <c r="FL90" s="34" t="str">
        <f t="shared" ref="FL90" si="2328">IF(SUBTOTAL(9,FL91:FL95)&gt;0,SUBTOTAL(9,FL91:FL95),"")</f>
        <v/>
      </c>
      <c r="FM90" s="34" t="str">
        <f t="shared" ref="FM90" si="2329">IF(SUBTOTAL(9,FM91:FM95)&gt;0,SUBTOTAL(9,FM91:FM95),"")</f>
        <v/>
      </c>
      <c r="FN90" s="34" t="str">
        <f t="shared" ref="FN90" si="2330">IF(SUBTOTAL(9,FN91:FN95)&gt;0,SUBTOTAL(9,FN91:FN95),"")</f>
        <v/>
      </c>
      <c r="FO90" s="34" t="str">
        <f t="shared" ref="FO90" si="2331">IF(SUBTOTAL(9,FO91:FO95)&gt;0,SUBTOTAL(9,FO91:FO95),"")</f>
        <v/>
      </c>
      <c r="FP90" s="34" t="str">
        <f t="shared" ref="FP90" si="2332">IF(SUBTOTAL(9,FP91:FP95)&gt;0,SUBTOTAL(9,FP91:FP95),"")</f>
        <v/>
      </c>
      <c r="FQ90" s="92" t="str">
        <f t="shared" ref="FQ90" si="2333">IF(SUBTOTAL(9,FQ91:FQ95)&gt;0,SUBTOTAL(9,FQ91:FQ95),"")</f>
        <v/>
      </c>
      <c r="FR90" s="8"/>
      <c r="FS90" s="9" t="s">
        <v>131</v>
      </c>
      <c r="FT90" s="9" t="str">
        <f t="shared" si="1838"/>
        <v/>
      </c>
    </row>
    <row r="91" spans="1:176" s="9" customFormat="1" ht="12" hidden="1" customHeight="1" outlineLevel="1">
      <c r="A91" s="122" t="s">
        <v>4</v>
      </c>
      <c r="B91" s="125" t="s">
        <v>19</v>
      </c>
      <c r="C91" s="124" t="str">
        <f t="shared" si="1837"/>
        <v>2 days</v>
      </c>
      <c r="D91" s="13" t="str">
        <f>A71&amp;" "&amp;A90</f>
        <v>3. Quarterly Process Documentation 3.4 Sign-off</v>
      </c>
      <c r="E91" s="51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>
        <v>1</v>
      </c>
      <c r="U91" s="35"/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5"/>
      <c r="AK91" s="35"/>
      <c r="AL91" s="36"/>
      <c r="AM91" s="36"/>
      <c r="AN91" s="36"/>
      <c r="AO91" s="36"/>
      <c r="AP91" s="36"/>
      <c r="AQ91" s="36"/>
      <c r="AR91" s="36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5"/>
      <c r="BM91" s="35"/>
      <c r="BN91" s="35"/>
      <c r="BO91" s="35"/>
      <c r="BP91" s="35"/>
      <c r="BQ91" s="35"/>
      <c r="BR91" s="35"/>
      <c r="BS91" s="35"/>
      <c r="BT91" s="35"/>
      <c r="BU91" s="35"/>
      <c r="BV91" s="35"/>
      <c r="BW91" s="35"/>
      <c r="BX91" s="35"/>
      <c r="BY91" s="35"/>
      <c r="BZ91" s="35"/>
      <c r="CA91" s="35"/>
      <c r="CB91" s="35"/>
      <c r="CC91" s="35"/>
      <c r="CD91" s="35"/>
      <c r="CE91" s="35"/>
      <c r="CF91" s="35"/>
      <c r="CG91" s="35"/>
      <c r="CH91" s="35"/>
      <c r="CI91" s="35"/>
      <c r="CJ91" s="35"/>
      <c r="CK91" s="35"/>
      <c r="CL91" s="35"/>
      <c r="CM91" s="35"/>
      <c r="CN91" s="35"/>
      <c r="CO91" s="35"/>
      <c r="CP91" s="35"/>
      <c r="CQ91" s="35"/>
      <c r="CR91" s="35"/>
      <c r="CS91" s="35"/>
      <c r="CT91" s="36"/>
      <c r="CU91" s="35"/>
      <c r="CV91" s="93"/>
      <c r="CW91" s="35"/>
      <c r="CX91" s="35"/>
      <c r="CY91" s="35"/>
      <c r="CZ91" s="36"/>
      <c r="DA91" s="36"/>
      <c r="DB91" s="35">
        <v>0.5</v>
      </c>
      <c r="DC91" s="35"/>
      <c r="DD91" s="35"/>
      <c r="DE91" s="35"/>
      <c r="DF91" s="35"/>
      <c r="DG91" s="35"/>
      <c r="DH91" s="35"/>
      <c r="DI91" s="35"/>
      <c r="DJ91" s="35"/>
      <c r="DK91" s="35"/>
      <c r="DL91" s="35"/>
      <c r="DM91" s="35"/>
      <c r="DN91" s="35"/>
      <c r="DO91" s="35"/>
      <c r="DP91" s="35"/>
      <c r="DQ91" s="35"/>
      <c r="DR91" s="35"/>
      <c r="DS91" s="35"/>
      <c r="DT91" s="35"/>
      <c r="DU91" s="35"/>
      <c r="DV91" s="35"/>
      <c r="DW91" s="35"/>
      <c r="DX91" s="35"/>
      <c r="DY91" s="35"/>
      <c r="DZ91" s="36"/>
      <c r="EA91" s="35"/>
      <c r="EB91" s="35"/>
      <c r="EC91" s="35"/>
      <c r="ED91" s="35"/>
      <c r="EE91" s="35"/>
      <c r="EF91" s="35"/>
      <c r="EG91" s="35"/>
      <c r="EH91" s="35"/>
      <c r="EI91" s="35"/>
      <c r="EJ91" s="35"/>
      <c r="EK91" s="35"/>
      <c r="EL91" s="35"/>
      <c r="EM91" s="35"/>
      <c r="EN91" s="35"/>
      <c r="EO91" s="35"/>
      <c r="EP91" s="35"/>
      <c r="EQ91" s="35"/>
      <c r="ER91" s="35"/>
      <c r="ES91" s="35"/>
      <c r="ET91" s="35"/>
      <c r="EU91" s="35"/>
      <c r="EV91" s="35"/>
      <c r="EW91" s="35"/>
      <c r="EX91" s="35"/>
      <c r="EY91" s="36"/>
      <c r="EZ91" s="35"/>
      <c r="FA91" s="35"/>
      <c r="FB91" s="35"/>
      <c r="FC91" s="35"/>
      <c r="FD91" s="35"/>
      <c r="FE91" s="35"/>
      <c r="FF91" s="35"/>
      <c r="FG91" s="35"/>
      <c r="FH91" s="35"/>
      <c r="FI91" s="35"/>
      <c r="FJ91" s="35"/>
      <c r="FK91" s="35"/>
      <c r="FL91" s="35"/>
      <c r="FM91" s="35"/>
      <c r="FN91" s="35"/>
      <c r="FO91" s="35"/>
      <c r="FP91" s="35"/>
      <c r="FQ91" s="52"/>
      <c r="FR91" s="8"/>
      <c r="FS91" s="9" t="s">
        <v>13</v>
      </c>
      <c r="FT91" s="9" t="str">
        <f t="shared" si="1838"/>
        <v>3. Quarterly Process Documentation 3.4 Sign-offEvan Loftus</v>
      </c>
    </row>
    <row r="92" spans="1:176" s="9" customFormat="1" ht="12" hidden="1" customHeight="1" outlineLevel="1">
      <c r="A92" s="122" t="s">
        <v>4</v>
      </c>
      <c r="B92" s="125" t="s">
        <v>6</v>
      </c>
      <c r="C92" s="124" t="str">
        <f t="shared" si="1837"/>
        <v>2 days</v>
      </c>
      <c r="D92" s="13" t="str">
        <f>A71&amp;" "&amp;A90</f>
        <v>3. Quarterly Process Documentation 3.4 Sign-off</v>
      </c>
      <c r="E92" s="51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>
        <v>1</v>
      </c>
      <c r="U92" s="35"/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5"/>
      <c r="AK92" s="35"/>
      <c r="AL92" s="36"/>
      <c r="AM92" s="36"/>
      <c r="AN92" s="36"/>
      <c r="AO92" s="36"/>
      <c r="AP92" s="36"/>
      <c r="AQ92" s="36"/>
      <c r="AR92" s="36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5"/>
      <c r="BM92" s="35"/>
      <c r="BN92" s="35"/>
      <c r="BO92" s="35"/>
      <c r="BP92" s="35"/>
      <c r="BQ92" s="35"/>
      <c r="BR92" s="35"/>
      <c r="BS92" s="35"/>
      <c r="BT92" s="35"/>
      <c r="BU92" s="35"/>
      <c r="BV92" s="35"/>
      <c r="BW92" s="35"/>
      <c r="BX92" s="35"/>
      <c r="BY92" s="35"/>
      <c r="BZ92" s="35"/>
      <c r="CA92" s="35"/>
      <c r="CB92" s="35"/>
      <c r="CC92" s="35"/>
      <c r="CD92" s="35"/>
      <c r="CE92" s="35"/>
      <c r="CF92" s="35"/>
      <c r="CG92" s="35"/>
      <c r="CH92" s="35"/>
      <c r="CI92" s="35"/>
      <c r="CJ92" s="35"/>
      <c r="CK92" s="35"/>
      <c r="CL92" s="35"/>
      <c r="CM92" s="35"/>
      <c r="CN92" s="35"/>
      <c r="CO92" s="35"/>
      <c r="CP92" s="35"/>
      <c r="CQ92" s="35"/>
      <c r="CR92" s="35"/>
      <c r="CS92" s="35"/>
      <c r="CT92" s="36"/>
      <c r="CU92" s="35"/>
      <c r="CV92" s="93"/>
      <c r="CW92" s="35"/>
      <c r="CX92" s="35"/>
      <c r="CY92" s="35"/>
      <c r="CZ92" s="36"/>
      <c r="DA92" s="36"/>
      <c r="DB92" s="35">
        <v>0.5</v>
      </c>
      <c r="DC92" s="35"/>
      <c r="DD92" s="35"/>
      <c r="DE92" s="35"/>
      <c r="DF92" s="35"/>
      <c r="DG92" s="35"/>
      <c r="DH92" s="35"/>
      <c r="DI92" s="35"/>
      <c r="DJ92" s="35"/>
      <c r="DK92" s="35"/>
      <c r="DL92" s="35"/>
      <c r="DM92" s="35"/>
      <c r="DN92" s="35"/>
      <c r="DO92" s="35"/>
      <c r="DP92" s="35"/>
      <c r="DQ92" s="35"/>
      <c r="DR92" s="35"/>
      <c r="DS92" s="35"/>
      <c r="DT92" s="35"/>
      <c r="DU92" s="35"/>
      <c r="DV92" s="35"/>
      <c r="DW92" s="35"/>
      <c r="DX92" s="35"/>
      <c r="DY92" s="35"/>
      <c r="DZ92" s="36"/>
      <c r="EA92" s="35"/>
      <c r="EB92" s="35"/>
      <c r="EC92" s="35"/>
      <c r="ED92" s="35"/>
      <c r="EE92" s="35"/>
      <c r="EF92" s="35"/>
      <c r="EG92" s="35"/>
      <c r="EH92" s="35"/>
      <c r="EI92" s="35"/>
      <c r="EJ92" s="35"/>
      <c r="EK92" s="35"/>
      <c r="EL92" s="35"/>
      <c r="EM92" s="35"/>
      <c r="EN92" s="35"/>
      <c r="EO92" s="35"/>
      <c r="EP92" s="35"/>
      <c r="EQ92" s="35"/>
      <c r="ER92" s="35"/>
      <c r="ES92" s="35"/>
      <c r="ET92" s="35"/>
      <c r="EU92" s="35"/>
      <c r="EV92" s="35"/>
      <c r="EW92" s="35"/>
      <c r="EX92" s="35"/>
      <c r="EY92" s="36"/>
      <c r="EZ92" s="35"/>
      <c r="FA92" s="35"/>
      <c r="FB92" s="35"/>
      <c r="FC92" s="35"/>
      <c r="FD92" s="35"/>
      <c r="FE92" s="35"/>
      <c r="FF92" s="35"/>
      <c r="FG92" s="35"/>
      <c r="FH92" s="35"/>
      <c r="FI92" s="35"/>
      <c r="FJ92" s="35"/>
      <c r="FK92" s="35"/>
      <c r="FL92" s="35"/>
      <c r="FM92" s="35"/>
      <c r="FN92" s="35"/>
      <c r="FO92" s="35"/>
      <c r="FP92" s="35"/>
      <c r="FQ92" s="52"/>
      <c r="FR92" s="8"/>
      <c r="FS92" s="9" t="s">
        <v>13</v>
      </c>
      <c r="FT92" s="9" t="str">
        <f t="shared" si="1838"/>
        <v>3. Quarterly Process Documentation 3.4 Sign-offPeter Sherry</v>
      </c>
    </row>
    <row r="93" spans="1:176" s="9" customFormat="1" ht="12" hidden="1" customHeight="1" outlineLevel="1">
      <c r="A93" s="125" t="s">
        <v>50</v>
      </c>
      <c r="B93" s="125"/>
      <c r="C93" s="124" t="str">
        <f t="shared" si="1837"/>
        <v>0 days</v>
      </c>
      <c r="D93" s="13" t="str">
        <f>A71&amp;" "&amp;A90</f>
        <v>3. Quarterly Process Documentation 3.4 Sign-off</v>
      </c>
      <c r="E93" s="51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5"/>
      <c r="AK93" s="35"/>
      <c r="AL93" s="36"/>
      <c r="AM93" s="36"/>
      <c r="AN93" s="36"/>
      <c r="AO93" s="36"/>
      <c r="AP93" s="36"/>
      <c r="AQ93" s="36"/>
      <c r="AR93" s="36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5"/>
      <c r="BM93" s="35"/>
      <c r="BN93" s="35"/>
      <c r="BO93" s="35"/>
      <c r="BP93" s="35"/>
      <c r="BQ93" s="35"/>
      <c r="BR93" s="35"/>
      <c r="BS93" s="35"/>
      <c r="BT93" s="35"/>
      <c r="BU93" s="35"/>
      <c r="BV93" s="35"/>
      <c r="BW93" s="35"/>
      <c r="BX93" s="35"/>
      <c r="BY93" s="35"/>
      <c r="BZ93" s="35"/>
      <c r="CA93" s="35"/>
      <c r="CB93" s="35"/>
      <c r="CC93" s="35"/>
      <c r="CD93" s="35"/>
      <c r="CE93" s="35"/>
      <c r="CF93" s="35"/>
      <c r="CG93" s="35"/>
      <c r="CH93" s="35"/>
      <c r="CI93" s="35"/>
      <c r="CJ93" s="35"/>
      <c r="CK93" s="35"/>
      <c r="CL93" s="35"/>
      <c r="CM93" s="35"/>
      <c r="CN93" s="35"/>
      <c r="CO93" s="35"/>
      <c r="CP93" s="35"/>
      <c r="CQ93" s="35"/>
      <c r="CR93" s="35"/>
      <c r="CS93" s="35"/>
      <c r="CT93" s="36"/>
      <c r="CU93" s="35"/>
      <c r="CV93" s="35"/>
      <c r="CW93" s="35"/>
      <c r="CX93" s="35"/>
      <c r="CY93" s="35"/>
      <c r="CZ93" s="36"/>
      <c r="DA93" s="36"/>
      <c r="DB93" s="35"/>
      <c r="DC93" s="35"/>
      <c r="DD93" s="35"/>
      <c r="DE93" s="35"/>
      <c r="DF93" s="35"/>
      <c r="DG93" s="35"/>
      <c r="DH93" s="35"/>
      <c r="DI93" s="35"/>
      <c r="DJ93" s="35"/>
      <c r="DK93" s="35"/>
      <c r="DL93" s="35"/>
      <c r="DM93" s="35"/>
      <c r="DN93" s="35"/>
      <c r="DO93" s="35"/>
      <c r="DP93" s="35"/>
      <c r="DQ93" s="35"/>
      <c r="DR93" s="35"/>
      <c r="DS93" s="35"/>
      <c r="DT93" s="35"/>
      <c r="DU93" s="35"/>
      <c r="DV93" s="35"/>
      <c r="DW93" s="35"/>
      <c r="DX93" s="35"/>
      <c r="DY93" s="35"/>
      <c r="DZ93" s="36"/>
      <c r="EA93" s="35"/>
      <c r="EB93" s="35"/>
      <c r="EC93" s="35"/>
      <c r="ED93" s="35"/>
      <c r="EE93" s="35"/>
      <c r="EF93" s="35"/>
      <c r="EG93" s="35"/>
      <c r="EH93" s="35"/>
      <c r="EI93" s="35"/>
      <c r="EJ93" s="35"/>
      <c r="EK93" s="35"/>
      <c r="EL93" s="35"/>
      <c r="EM93" s="35"/>
      <c r="EN93" s="35"/>
      <c r="EO93" s="35"/>
      <c r="EP93" s="35"/>
      <c r="EQ93" s="35"/>
      <c r="ER93" s="35"/>
      <c r="ES93" s="35"/>
      <c r="ET93" s="35"/>
      <c r="EU93" s="35"/>
      <c r="EV93" s="35"/>
      <c r="EW93" s="35"/>
      <c r="EX93" s="35"/>
      <c r="EY93" s="36"/>
      <c r="EZ93" s="35"/>
      <c r="FA93" s="35"/>
      <c r="FB93" s="35"/>
      <c r="FC93" s="35"/>
      <c r="FD93" s="35"/>
      <c r="FE93" s="35"/>
      <c r="FF93" s="35"/>
      <c r="FG93" s="35"/>
      <c r="FH93" s="35"/>
      <c r="FI93" s="35"/>
      <c r="FJ93" s="35"/>
      <c r="FK93" s="35"/>
      <c r="FL93" s="35"/>
      <c r="FM93" s="35"/>
      <c r="FN93" s="35"/>
      <c r="FO93" s="35"/>
      <c r="FP93" s="35"/>
      <c r="FQ93" s="52"/>
      <c r="FR93" s="8"/>
      <c r="FS93" s="9" t="s">
        <v>13</v>
      </c>
      <c r="FT93" s="9" t="str">
        <f t="shared" si="1838"/>
        <v>3. Quarterly Process Documentation 3.4 Sign-off</v>
      </c>
    </row>
    <row r="94" spans="1:176" s="9" customFormat="1" ht="12" hidden="1" customHeight="1" outlineLevel="1">
      <c r="A94" s="125" t="s">
        <v>50</v>
      </c>
      <c r="B94" s="125"/>
      <c r="C94" s="124" t="str">
        <f t="shared" si="1837"/>
        <v>0 days</v>
      </c>
      <c r="D94" s="13" t="str">
        <f>A71&amp;" "&amp;A90</f>
        <v>3. Quarterly Process Documentation 3.4 Sign-off</v>
      </c>
      <c r="E94" s="51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5"/>
      <c r="AK94" s="35"/>
      <c r="AL94" s="36"/>
      <c r="AM94" s="36"/>
      <c r="AN94" s="36"/>
      <c r="AO94" s="36"/>
      <c r="AP94" s="36"/>
      <c r="AQ94" s="36"/>
      <c r="AR94" s="36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5"/>
      <c r="BM94" s="35"/>
      <c r="BN94" s="35"/>
      <c r="BO94" s="35"/>
      <c r="BP94" s="35"/>
      <c r="BQ94" s="35"/>
      <c r="BR94" s="35"/>
      <c r="BS94" s="35"/>
      <c r="BT94" s="35"/>
      <c r="BU94" s="35"/>
      <c r="BV94" s="35"/>
      <c r="BW94" s="35"/>
      <c r="BX94" s="35"/>
      <c r="BY94" s="35"/>
      <c r="BZ94" s="35"/>
      <c r="CA94" s="35"/>
      <c r="CB94" s="35"/>
      <c r="CC94" s="35"/>
      <c r="CD94" s="35"/>
      <c r="CE94" s="35"/>
      <c r="CF94" s="35"/>
      <c r="CG94" s="35"/>
      <c r="CH94" s="35"/>
      <c r="CI94" s="35"/>
      <c r="CJ94" s="35"/>
      <c r="CK94" s="35"/>
      <c r="CL94" s="35"/>
      <c r="CM94" s="35"/>
      <c r="CN94" s="35"/>
      <c r="CO94" s="35"/>
      <c r="CP94" s="35"/>
      <c r="CQ94" s="35"/>
      <c r="CR94" s="35"/>
      <c r="CS94" s="35"/>
      <c r="CT94" s="36"/>
      <c r="CU94" s="35"/>
      <c r="CV94" s="35"/>
      <c r="CW94" s="35"/>
      <c r="CX94" s="35"/>
      <c r="CY94" s="35"/>
      <c r="CZ94" s="36"/>
      <c r="DA94" s="36"/>
      <c r="DB94" s="35"/>
      <c r="DC94" s="35"/>
      <c r="DD94" s="35"/>
      <c r="DE94" s="35"/>
      <c r="DF94" s="35"/>
      <c r="DG94" s="35"/>
      <c r="DH94" s="35"/>
      <c r="DI94" s="35"/>
      <c r="DJ94" s="35"/>
      <c r="DK94" s="35"/>
      <c r="DL94" s="35"/>
      <c r="DM94" s="35"/>
      <c r="DN94" s="35"/>
      <c r="DO94" s="35"/>
      <c r="DP94" s="35"/>
      <c r="DQ94" s="35"/>
      <c r="DR94" s="35"/>
      <c r="DS94" s="35"/>
      <c r="DT94" s="35"/>
      <c r="DU94" s="35"/>
      <c r="DV94" s="35"/>
      <c r="DW94" s="35"/>
      <c r="DX94" s="35"/>
      <c r="DY94" s="35"/>
      <c r="DZ94" s="36"/>
      <c r="EA94" s="35"/>
      <c r="EB94" s="35"/>
      <c r="EC94" s="35"/>
      <c r="ED94" s="35"/>
      <c r="EE94" s="35"/>
      <c r="EF94" s="35"/>
      <c r="EG94" s="35"/>
      <c r="EH94" s="35"/>
      <c r="EI94" s="35"/>
      <c r="EJ94" s="35"/>
      <c r="EK94" s="35"/>
      <c r="EL94" s="35"/>
      <c r="EM94" s="35"/>
      <c r="EN94" s="35"/>
      <c r="EO94" s="35"/>
      <c r="EP94" s="35"/>
      <c r="EQ94" s="35"/>
      <c r="ER94" s="35"/>
      <c r="ES94" s="35"/>
      <c r="ET94" s="35"/>
      <c r="EU94" s="35"/>
      <c r="EV94" s="35"/>
      <c r="EW94" s="35"/>
      <c r="EX94" s="35"/>
      <c r="EY94" s="36"/>
      <c r="EZ94" s="35"/>
      <c r="FA94" s="35"/>
      <c r="FB94" s="35"/>
      <c r="FC94" s="35"/>
      <c r="FD94" s="35"/>
      <c r="FE94" s="35"/>
      <c r="FF94" s="35"/>
      <c r="FG94" s="35"/>
      <c r="FH94" s="35"/>
      <c r="FI94" s="35"/>
      <c r="FJ94" s="35"/>
      <c r="FK94" s="35"/>
      <c r="FL94" s="35"/>
      <c r="FM94" s="35"/>
      <c r="FN94" s="35"/>
      <c r="FO94" s="35"/>
      <c r="FP94" s="35"/>
      <c r="FQ94" s="52"/>
      <c r="FR94" s="8"/>
      <c r="FS94" s="9" t="s">
        <v>13</v>
      </c>
      <c r="FT94" s="9" t="str">
        <f t="shared" si="1838"/>
        <v>3. Quarterly Process Documentation 3.4 Sign-off</v>
      </c>
    </row>
    <row r="95" spans="1:176" s="9" customFormat="1" ht="12" hidden="1" customHeight="1" outlineLevel="1">
      <c r="A95" s="126" t="s">
        <v>50</v>
      </c>
      <c r="B95" s="125"/>
      <c r="C95" s="124" t="str">
        <f t="shared" si="1837"/>
        <v>0 days</v>
      </c>
      <c r="D95" s="13" t="str">
        <f>A71&amp;" "&amp;A90</f>
        <v>3. Quarterly Process Documentation 3.4 Sign-off</v>
      </c>
      <c r="E95" s="51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5"/>
      <c r="AK95" s="35"/>
      <c r="AL95" s="36"/>
      <c r="AM95" s="36"/>
      <c r="AN95" s="36"/>
      <c r="AO95" s="36"/>
      <c r="AP95" s="36"/>
      <c r="AQ95" s="36"/>
      <c r="AR95" s="36"/>
      <c r="AS95" s="35"/>
      <c r="AT95" s="35"/>
      <c r="AU95" s="35"/>
      <c r="AV95" s="35"/>
      <c r="AW95" s="35"/>
      <c r="AX95" s="35"/>
      <c r="AY95" s="35"/>
      <c r="AZ95" s="35"/>
      <c r="BA95" s="35"/>
      <c r="BB95" s="35"/>
      <c r="BC95" s="35"/>
      <c r="BD95" s="35"/>
      <c r="BE95" s="35"/>
      <c r="BF95" s="35"/>
      <c r="BG95" s="35"/>
      <c r="BH95" s="35"/>
      <c r="BI95" s="35"/>
      <c r="BJ95" s="35"/>
      <c r="BK95" s="35"/>
      <c r="BL95" s="35"/>
      <c r="BM95" s="35"/>
      <c r="BN95" s="35"/>
      <c r="BO95" s="35"/>
      <c r="BP95" s="35"/>
      <c r="BQ95" s="35"/>
      <c r="BR95" s="35"/>
      <c r="BS95" s="35"/>
      <c r="BT95" s="35"/>
      <c r="BU95" s="35"/>
      <c r="BV95" s="35"/>
      <c r="BW95" s="35"/>
      <c r="BX95" s="35"/>
      <c r="BY95" s="35"/>
      <c r="BZ95" s="35"/>
      <c r="CA95" s="35"/>
      <c r="CB95" s="35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  <c r="CN95" s="35"/>
      <c r="CO95" s="35"/>
      <c r="CP95" s="35"/>
      <c r="CQ95" s="35"/>
      <c r="CR95" s="35"/>
      <c r="CS95" s="35"/>
      <c r="CT95" s="36"/>
      <c r="CU95" s="35"/>
      <c r="CV95" s="35"/>
      <c r="CW95" s="35"/>
      <c r="CX95" s="35"/>
      <c r="CY95" s="35"/>
      <c r="CZ95" s="36"/>
      <c r="DA95" s="36"/>
      <c r="DB95" s="35"/>
      <c r="DC95" s="35"/>
      <c r="DD95" s="35"/>
      <c r="DE95" s="35"/>
      <c r="DF95" s="35"/>
      <c r="DG95" s="35"/>
      <c r="DH95" s="35"/>
      <c r="DI95" s="35"/>
      <c r="DJ95" s="35"/>
      <c r="DK95" s="35"/>
      <c r="DL95" s="35"/>
      <c r="DM95" s="35"/>
      <c r="DN95" s="35"/>
      <c r="DO95" s="35"/>
      <c r="DP95" s="35"/>
      <c r="DQ95" s="35"/>
      <c r="DR95" s="35"/>
      <c r="DS95" s="35"/>
      <c r="DT95" s="35"/>
      <c r="DU95" s="35"/>
      <c r="DV95" s="35"/>
      <c r="DW95" s="35"/>
      <c r="DX95" s="35"/>
      <c r="DY95" s="35"/>
      <c r="DZ95" s="36"/>
      <c r="EA95" s="35"/>
      <c r="EB95" s="35"/>
      <c r="EC95" s="35"/>
      <c r="ED95" s="35"/>
      <c r="EE95" s="35"/>
      <c r="EF95" s="35"/>
      <c r="EG95" s="35"/>
      <c r="EH95" s="35"/>
      <c r="EI95" s="35"/>
      <c r="EJ95" s="35"/>
      <c r="EK95" s="35"/>
      <c r="EL95" s="35"/>
      <c r="EM95" s="35"/>
      <c r="EN95" s="35"/>
      <c r="EO95" s="35"/>
      <c r="EP95" s="35"/>
      <c r="EQ95" s="35"/>
      <c r="ER95" s="35"/>
      <c r="ES95" s="35"/>
      <c r="ET95" s="35"/>
      <c r="EU95" s="35"/>
      <c r="EV95" s="35"/>
      <c r="EW95" s="35"/>
      <c r="EX95" s="35"/>
      <c r="EY95" s="36"/>
      <c r="EZ95" s="35"/>
      <c r="FA95" s="35"/>
      <c r="FB95" s="35"/>
      <c r="FC95" s="35"/>
      <c r="FD95" s="35"/>
      <c r="FE95" s="35"/>
      <c r="FF95" s="35"/>
      <c r="FG95" s="35"/>
      <c r="FH95" s="35"/>
      <c r="FI95" s="35"/>
      <c r="FJ95" s="35"/>
      <c r="FK95" s="35"/>
      <c r="FL95" s="35"/>
      <c r="FM95" s="35"/>
      <c r="FN95" s="35"/>
      <c r="FO95" s="35"/>
      <c r="FP95" s="35"/>
      <c r="FQ95" s="52"/>
      <c r="FR95" s="8"/>
      <c r="FS95" s="9" t="s">
        <v>13</v>
      </c>
      <c r="FT95" s="9" t="str">
        <f t="shared" si="1838"/>
        <v>3. Quarterly Process Documentation 3.4 Sign-off</v>
      </c>
    </row>
    <row r="96" spans="1:176" s="9" customFormat="1" ht="12" customHeight="1" collapsed="1">
      <c r="A96" s="119" t="s">
        <v>68</v>
      </c>
      <c r="B96" s="127"/>
      <c r="C96" s="121" t="str">
        <f t="shared" si="1837"/>
        <v>0 days</v>
      </c>
      <c r="D96" s="27"/>
      <c r="E96" s="91" t="str">
        <f t="shared" ref="E96" si="2334">IF(SUBTOTAL(9,E97:E101)&gt;0,SUBTOTAL(9,E97:E101),"")</f>
        <v/>
      </c>
      <c r="F96" s="34" t="str">
        <f t="shared" ref="F96" si="2335">IF(SUBTOTAL(9,F97:F101)&gt;0,SUBTOTAL(9,F97:F101),"")</f>
        <v/>
      </c>
      <c r="G96" s="34" t="str">
        <f t="shared" ref="G96" si="2336">IF(SUBTOTAL(9,G97:G101)&gt;0,SUBTOTAL(9,G97:G101),"")</f>
        <v/>
      </c>
      <c r="H96" s="34" t="str">
        <f t="shared" ref="H96" si="2337">IF(SUBTOTAL(9,H97:H101)&gt;0,SUBTOTAL(9,H97:H101),"")</f>
        <v/>
      </c>
      <c r="I96" s="34" t="str">
        <f t="shared" ref="I96" si="2338">IF(SUBTOTAL(9,I97:I101)&gt;0,SUBTOTAL(9,I97:I101),"")</f>
        <v/>
      </c>
      <c r="J96" s="34" t="str">
        <f t="shared" ref="J96" si="2339">IF(SUBTOTAL(9,J97:J101)&gt;0,SUBTOTAL(9,J97:J101),"")</f>
        <v/>
      </c>
      <c r="K96" s="34" t="str">
        <f t="shared" ref="K96" si="2340">IF(SUBTOTAL(9,K97:K101)&gt;0,SUBTOTAL(9,K97:K101),"")</f>
        <v/>
      </c>
      <c r="L96" s="34" t="str">
        <f t="shared" ref="L96" si="2341">IF(SUBTOTAL(9,L97:L101)&gt;0,SUBTOTAL(9,L97:L101),"")</f>
        <v/>
      </c>
      <c r="M96" s="34" t="str">
        <f t="shared" ref="M96" si="2342">IF(SUBTOTAL(9,M97:M101)&gt;0,SUBTOTAL(9,M97:M101),"")</f>
        <v/>
      </c>
      <c r="N96" s="34" t="str">
        <f t="shared" ref="N96" si="2343">IF(SUBTOTAL(9,N97:N101)&gt;0,SUBTOTAL(9,N97:N101),"")</f>
        <v/>
      </c>
      <c r="O96" s="34" t="str">
        <f t="shared" ref="O96" si="2344">IF(SUBTOTAL(9,O97:O101)&gt;0,SUBTOTAL(9,O97:O101),"")</f>
        <v/>
      </c>
      <c r="P96" s="34" t="str">
        <f t="shared" ref="P96" si="2345">IF(SUBTOTAL(9,P97:P101)&gt;0,SUBTOTAL(9,P97:P101),"")</f>
        <v/>
      </c>
      <c r="Q96" s="34" t="str">
        <f t="shared" ref="Q96" si="2346">IF(SUBTOTAL(9,Q97:Q101)&gt;0,SUBTOTAL(9,Q97:Q101),"")</f>
        <v/>
      </c>
      <c r="R96" s="34" t="str">
        <f t="shared" ref="R96" si="2347">IF(SUBTOTAL(9,R97:R101)&gt;0,SUBTOTAL(9,R97:R101),"")</f>
        <v/>
      </c>
      <c r="S96" s="34" t="str">
        <f t="shared" ref="S96" si="2348">IF(SUBTOTAL(9,S97:S101)&gt;0,SUBTOTAL(9,S97:S101),"")</f>
        <v/>
      </c>
      <c r="T96" s="34" t="str">
        <f t="shared" ref="T96" si="2349">IF(SUBTOTAL(9,T97:T101)&gt;0,SUBTOTAL(9,T97:T101),"")</f>
        <v/>
      </c>
      <c r="U96" s="34" t="str">
        <f t="shared" ref="U96" si="2350">IF(SUBTOTAL(9,U97:U101)&gt;0,SUBTOTAL(9,U97:U101),"")</f>
        <v/>
      </c>
      <c r="V96" s="34" t="str">
        <f t="shared" ref="V96" si="2351">IF(SUBTOTAL(9,V97:V101)&gt;0,SUBTOTAL(9,V97:V101),"")</f>
        <v/>
      </c>
      <c r="W96" s="34" t="str">
        <f t="shared" ref="W96" si="2352">IF(SUBTOTAL(9,W97:W101)&gt;0,SUBTOTAL(9,W97:W101),"")</f>
        <v/>
      </c>
      <c r="X96" s="34" t="str">
        <f t="shared" ref="X96" si="2353">IF(SUBTOTAL(9,X97:X101)&gt;0,SUBTOTAL(9,X97:X101),"")</f>
        <v/>
      </c>
      <c r="Y96" s="34" t="str">
        <f t="shared" ref="Y96" si="2354">IF(SUBTOTAL(9,Y97:Y101)&gt;0,SUBTOTAL(9,Y97:Y101),"")</f>
        <v/>
      </c>
      <c r="Z96" s="34" t="str">
        <f t="shared" ref="Z96" si="2355">IF(SUBTOTAL(9,Z97:Z101)&gt;0,SUBTOTAL(9,Z97:Z101),"")</f>
        <v/>
      </c>
      <c r="AA96" s="34" t="str">
        <f t="shared" ref="AA96" si="2356">IF(SUBTOTAL(9,AA97:AA101)&gt;0,SUBTOTAL(9,AA97:AA101),"")</f>
        <v/>
      </c>
      <c r="AB96" s="34" t="str">
        <f t="shared" ref="AB96" si="2357">IF(SUBTOTAL(9,AB97:AB101)&gt;0,SUBTOTAL(9,AB97:AB101),"")</f>
        <v/>
      </c>
      <c r="AC96" s="34" t="str">
        <f t="shared" ref="AC96" si="2358">IF(SUBTOTAL(9,AC97:AC101)&gt;0,SUBTOTAL(9,AC97:AC101),"")</f>
        <v/>
      </c>
      <c r="AD96" s="34" t="str">
        <f t="shared" ref="AD96" si="2359">IF(SUBTOTAL(9,AD97:AD101)&gt;0,SUBTOTAL(9,AD97:AD101),"")</f>
        <v/>
      </c>
      <c r="AE96" s="34" t="str">
        <f t="shared" ref="AE96" si="2360">IF(SUBTOTAL(9,AE97:AE101)&gt;0,SUBTOTAL(9,AE97:AE101),"")</f>
        <v/>
      </c>
      <c r="AF96" s="34" t="str">
        <f t="shared" ref="AF96" si="2361">IF(SUBTOTAL(9,AF97:AF101)&gt;0,SUBTOTAL(9,AF97:AF101),"")</f>
        <v/>
      </c>
      <c r="AG96" s="34" t="str">
        <f t="shared" ref="AG96" si="2362">IF(SUBTOTAL(9,AG97:AG101)&gt;0,SUBTOTAL(9,AG97:AG101),"")</f>
        <v/>
      </c>
      <c r="AH96" s="34" t="str">
        <f t="shared" ref="AH96" si="2363">IF(SUBTOTAL(9,AH97:AH101)&gt;0,SUBTOTAL(9,AH97:AH101),"")</f>
        <v/>
      </c>
      <c r="AI96" s="34" t="str">
        <f t="shared" ref="AI96" si="2364">IF(SUBTOTAL(9,AI97:AI101)&gt;0,SUBTOTAL(9,AI97:AI101),"")</f>
        <v/>
      </c>
      <c r="AJ96" s="34" t="str">
        <f t="shared" ref="AJ96" si="2365">IF(SUBTOTAL(9,AJ97:AJ101)&gt;0,SUBTOTAL(9,AJ97:AJ101),"")</f>
        <v/>
      </c>
      <c r="AK96" s="34" t="str">
        <f t="shared" ref="AK96" si="2366">IF(SUBTOTAL(9,AK97:AK101)&gt;0,SUBTOTAL(9,AK97:AK101),"")</f>
        <v/>
      </c>
      <c r="AL96" s="33" t="str">
        <f t="shared" ref="AL96" si="2367">IF(SUBTOTAL(9,AL97:AL101)&gt;0,SUBTOTAL(9,AL97:AL101),"")</f>
        <v/>
      </c>
      <c r="AM96" s="33" t="str">
        <f t="shared" ref="AM96" si="2368">IF(SUBTOTAL(9,AM97:AM101)&gt;0,SUBTOTAL(9,AM97:AM101),"")</f>
        <v/>
      </c>
      <c r="AN96" s="33" t="str">
        <f t="shared" ref="AN96" si="2369">IF(SUBTOTAL(9,AN97:AN101)&gt;0,SUBTOTAL(9,AN97:AN101),"")</f>
        <v/>
      </c>
      <c r="AO96" s="33" t="str">
        <f t="shared" ref="AO96" si="2370">IF(SUBTOTAL(9,AO97:AO101)&gt;0,SUBTOTAL(9,AO97:AO101),"")</f>
        <v/>
      </c>
      <c r="AP96" s="33" t="str">
        <f t="shared" ref="AP96" si="2371">IF(SUBTOTAL(9,AP97:AP101)&gt;0,SUBTOTAL(9,AP97:AP101),"")</f>
        <v/>
      </c>
      <c r="AQ96" s="33" t="str">
        <f t="shared" ref="AQ96" si="2372">IF(SUBTOTAL(9,AQ97:AQ101)&gt;0,SUBTOTAL(9,AQ97:AQ101),"")</f>
        <v/>
      </c>
      <c r="AR96" s="33" t="str">
        <f t="shared" ref="AR96" si="2373">IF(SUBTOTAL(9,AR97:AR101)&gt;0,SUBTOTAL(9,AR97:AR101),"")</f>
        <v/>
      </c>
      <c r="AS96" s="34" t="str">
        <f t="shared" ref="AS96" si="2374">IF(SUBTOTAL(9,AS97:AS101)&gt;0,SUBTOTAL(9,AS97:AS101),"")</f>
        <v/>
      </c>
      <c r="AT96" s="34" t="str">
        <f t="shared" ref="AT96" si="2375">IF(SUBTOTAL(9,AT97:AT101)&gt;0,SUBTOTAL(9,AT97:AT101),"")</f>
        <v/>
      </c>
      <c r="AU96" s="34" t="str">
        <f t="shared" ref="AU96" si="2376">IF(SUBTOTAL(9,AU97:AU101)&gt;0,SUBTOTAL(9,AU97:AU101),"")</f>
        <v/>
      </c>
      <c r="AV96" s="34" t="str">
        <f t="shared" ref="AV96" si="2377">IF(SUBTOTAL(9,AV97:AV101)&gt;0,SUBTOTAL(9,AV97:AV101),"")</f>
        <v/>
      </c>
      <c r="AW96" s="34" t="str">
        <f t="shared" ref="AW96" si="2378">IF(SUBTOTAL(9,AW97:AW101)&gt;0,SUBTOTAL(9,AW97:AW101),"")</f>
        <v/>
      </c>
      <c r="AX96" s="34" t="str">
        <f t="shared" ref="AX96" si="2379">IF(SUBTOTAL(9,AX97:AX101)&gt;0,SUBTOTAL(9,AX97:AX101),"")</f>
        <v/>
      </c>
      <c r="AY96" s="34" t="str">
        <f t="shared" ref="AY96" si="2380">IF(SUBTOTAL(9,AY97:AY101)&gt;0,SUBTOTAL(9,AY97:AY101),"")</f>
        <v/>
      </c>
      <c r="AZ96" s="34" t="str">
        <f t="shared" ref="AZ96" si="2381">IF(SUBTOTAL(9,AZ97:AZ101)&gt;0,SUBTOTAL(9,AZ97:AZ101),"")</f>
        <v/>
      </c>
      <c r="BA96" s="34" t="str">
        <f t="shared" ref="BA96" si="2382">IF(SUBTOTAL(9,BA97:BA101)&gt;0,SUBTOTAL(9,BA97:BA101),"")</f>
        <v/>
      </c>
      <c r="BB96" s="34" t="str">
        <f t="shared" ref="BB96" si="2383">IF(SUBTOTAL(9,BB97:BB101)&gt;0,SUBTOTAL(9,BB97:BB101),"")</f>
        <v/>
      </c>
      <c r="BC96" s="34" t="str">
        <f t="shared" ref="BC96" si="2384">IF(SUBTOTAL(9,BC97:BC101)&gt;0,SUBTOTAL(9,BC97:BC101),"")</f>
        <v/>
      </c>
      <c r="BD96" s="34" t="str">
        <f t="shared" ref="BD96" si="2385">IF(SUBTOTAL(9,BD97:BD101)&gt;0,SUBTOTAL(9,BD97:BD101),"")</f>
        <v/>
      </c>
      <c r="BE96" s="34" t="str">
        <f t="shared" ref="BE96" si="2386">IF(SUBTOTAL(9,BE97:BE101)&gt;0,SUBTOTAL(9,BE97:BE101),"")</f>
        <v/>
      </c>
      <c r="BF96" s="34" t="str">
        <f t="shared" ref="BF96" si="2387">IF(SUBTOTAL(9,BF97:BF101)&gt;0,SUBTOTAL(9,BF97:BF101),"")</f>
        <v/>
      </c>
      <c r="BG96" s="34" t="str">
        <f t="shared" ref="BG96" si="2388">IF(SUBTOTAL(9,BG97:BG101)&gt;0,SUBTOTAL(9,BG97:BG101),"")</f>
        <v/>
      </c>
      <c r="BH96" s="34" t="str">
        <f t="shared" ref="BH96" si="2389">IF(SUBTOTAL(9,BH97:BH101)&gt;0,SUBTOTAL(9,BH97:BH101),"")</f>
        <v/>
      </c>
      <c r="BI96" s="34" t="str">
        <f t="shared" ref="BI96" si="2390">IF(SUBTOTAL(9,BI97:BI101)&gt;0,SUBTOTAL(9,BI97:BI101),"")</f>
        <v/>
      </c>
      <c r="BJ96" s="34" t="str">
        <f t="shared" ref="BJ96" si="2391">IF(SUBTOTAL(9,BJ97:BJ101)&gt;0,SUBTOTAL(9,BJ97:BJ101),"")</f>
        <v/>
      </c>
      <c r="BK96" s="34" t="str">
        <f t="shared" ref="BK96" si="2392">IF(SUBTOTAL(9,BK97:BK101)&gt;0,SUBTOTAL(9,BK97:BK101),"")</f>
        <v/>
      </c>
      <c r="BL96" s="34" t="str">
        <f t="shared" ref="BL96" si="2393">IF(SUBTOTAL(9,BL97:BL101)&gt;0,SUBTOTAL(9,BL97:BL101),"")</f>
        <v/>
      </c>
      <c r="BM96" s="34" t="str">
        <f t="shared" ref="BM96" si="2394">IF(SUBTOTAL(9,BM97:BM101)&gt;0,SUBTOTAL(9,BM97:BM101),"")</f>
        <v/>
      </c>
      <c r="BN96" s="34" t="str">
        <f t="shared" ref="BN96" si="2395">IF(SUBTOTAL(9,BN97:BN101)&gt;0,SUBTOTAL(9,BN97:BN101),"")</f>
        <v/>
      </c>
      <c r="BO96" s="34" t="str">
        <f t="shared" ref="BO96" si="2396">IF(SUBTOTAL(9,BO97:BO101)&gt;0,SUBTOTAL(9,BO97:BO101),"")</f>
        <v/>
      </c>
      <c r="BP96" s="34" t="str">
        <f t="shared" ref="BP96" si="2397">IF(SUBTOTAL(9,BP97:BP101)&gt;0,SUBTOTAL(9,BP97:BP101),"")</f>
        <v/>
      </c>
      <c r="BQ96" s="34" t="str">
        <f t="shared" ref="BQ96" si="2398">IF(SUBTOTAL(9,BQ97:BQ101)&gt;0,SUBTOTAL(9,BQ97:BQ101),"")</f>
        <v/>
      </c>
      <c r="BR96" s="34" t="str">
        <f t="shared" ref="BR96" si="2399">IF(SUBTOTAL(9,BR97:BR101)&gt;0,SUBTOTAL(9,BR97:BR101),"")</f>
        <v/>
      </c>
      <c r="BS96" s="34" t="str">
        <f t="shared" ref="BS96" si="2400">IF(SUBTOTAL(9,BS97:BS101)&gt;0,SUBTOTAL(9,BS97:BS101),"")</f>
        <v/>
      </c>
      <c r="BT96" s="34" t="str">
        <f t="shared" ref="BT96" si="2401">IF(SUBTOTAL(9,BT97:BT101)&gt;0,SUBTOTAL(9,BT97:BT101),"")</f>
        <v/>
      </c>
      <c r="BU96" s="34" t="str">
        <f t="shared" ref="BU96" si="2402">IF(SUBTOTAL(9,BU97:BU101)&gt;0,SUBTOTAL(9,BU97:BU101),"")</f>
        <v/>
      </c>
      <c r="BV96" s="34" t="str">
        <f t="shared" ref="BV96" si="2403">IF(SUBTOTAL(9,BV97:BV101)&gt;0,SUBTOTAL(9,BV97:BV101),"")</f>
        <v/>
      </c>
      <c r="BW96" s="34" t="str">
        <f t="shared" ref="BW96" si="2404">IF(SUBTOTAL(9,BW97:BW101)&gt;0,SUBTOTAL(9,BW97:BW101),"")</f>
        <v/>
      </c>
      <c r="BX96" s="34" t="str">
        <f t="shared" ref="BX96" si="2405">IF(SUBTOTAL(9,BX97:BX101)&gt;0,SUBTOTAL(9,BX97:BX101),"")</f>
        <v/>
      </c>
      <c r="BY96" s="34" t="str">
        <f t="shared" ref="BY96" si="2406">IF(SUBTOTAL(9,BY97:BY101)&gt;0,SUBTOTAL(9,BY97:BY101),"")</f>
        <v/>
      </c>
      <c r="BZ96" s="34" t="str">
        <f t="shared" ref="BZ96" si="2407">IF(SUBTOTAL(9,BZ97:BZ101)&gt;0,SUBTOTAL(9,BZ97:BZ101),"")</f>
        <v/>
      </c>
      <c r="CA96" s="34" t="str">
        <f t="shared" ref="CA96" si="2408">IF(SUBTOTAL(9,CA97:CA101)&gt;0,SUBTOTAL(9,CA97:CA101),"")</f>
        <v/>
      </c>
      <c r="CB96" s="34" t="str">
        <f t="shared" ref="CB96" si="2409">IF(SUBTOTAL(9,CB97:CB101)&gt;0,SUBTOTAL(9,CB97:CB101),"")</f>
        <v/>
      </c>
      <c r="CC96" s="34" t="str">
        <f t="shared" ref="CC96" si="2410">IF(SUBTOTAL(9,CC97:CC101)&gt;0,SUBTOTAL(9,CC97:CC101),"")</f>
        <v/>
      </c>
      <c r="CD96" s="34" t="str">
        <f t="shared" ref="CD96" si="2411">IF(SUBTOTAL(9,CD97:CD101)&gt;0,SUBTOTAL(9,CD97:CD101),"")</f>
        <v/>
      </c>
      <c r="CE96" s="34" t="str">
        <f t="shared" ref="CE96" si="2412">IF(SUBTOTAL(9,CE97:CE101)&gt;0,SUBTOTAL(9,CE97:CE101),"")</f>
        <v/>
      </c>
      <c r="CF96" s="34" t="str">
        <f t="shared" ref="CF96:CG96" si="2413">IF(SUBTOTAL(9,CF97:CF101)&gt;0,SUBTOTAL(9,CF97:CF101),"")</f>
        <v/>
      </c>
      <c r="CG96" s="34" t="str">
        <f t="shared" si="2413"/>
        <v/>
      </c>
      <c r="CH96" s="34" t="str">
        <f t="shared" ref="CH96" si="2414">IF(SUBTOTAL(9,CH97:CH101)&gt;0,SUBTOTAL(9,CH97:CH101),"")</f>
        <v/>
      </c>
      <c r="CI96" s="34" t="str">
        <f t="shared" ref="CI96" si="2415">IF(SUBTOTAL(9,CI97:CI101)&gt;0,SUBTOTAL(9,CI97:CI101),"")</f>
        <v/>
      </c>
      <c r="CJ96" s="34" t="str">
        <f t="shared" ref="CJ96" si="2416">IF(SUBTOTAL(9,CJ97:CJ101)&gt;0,SUBTOTAL(9,CJ97:CJ101),"")</f>
        <v/>
      </c>
      <c r="CK96" s="34" t="str">
        <f t="shared" ref="CK96" si="2417">IF(SUBTOTAL(9,CK97:CK101)&gt;0,SUBTOTAL(9,CK97:CK101),"")</f>
        <v/>
      </c>
      <c r="CL96" s="34" t="str">
        <f t="shared" ref="CL96" si="2418">IF(SUBTOTAL(9,CL97:CL101)&gt;0,SUBTOTAL(9,CL97:CL101),"")</f>
        <v/>
      </c>
      <c r="CM96" s="34" t="str">
        <f t="shared" ref="CM96" si="2419">IF(SUBTOTAL(9,CM97:CM101)&gt;0,SUBTOTAL(9,CM97:CM101),"")</f>
        <v/>
      </c>
      <c r="CN96" s="34" t="str">
        <f t="shared" ref="CN96" si="2420">IF(SUBTOTAL(9,CN97:CN101)&gt;0,SUBTOTAL(9,CN97:CN101),"")</f>
        <v/>
      </c>
      <c r="CO96" s="34" t="str">
        <f t="shared" ref="CO96" si="2421">IF(SUBTOTAL(9,CO97:CO101)&gt;0,SUBTOTAL(9,CO97:CO101),"")</f>
        <v/>
      </c>
      <c r="CP96" s="34" t="str">
        <f t="shared" ref="CP96" si="2422">IF(SUBTOTAL(9,CP97:CP101)&gt;0,SUBTOTAL(9,CP97:CP101),"")</f>
        <v/>
      </c>
      <c r="CQ96" s="34" t="str">
        <f t="shared" ref="CQ96" si="2423">IF(SUBTOTAL(9,CQ97:CQ101)&gt;0,SUBTOTAL(9,CQ97:CQ101),"")</f>
        <v/>
      </c>
      <c r="CR96" s="34" t="str">
        <f t="shared" ref="CR96" si="2424">IF(SUBTOTAL(9,CR97:CR101)&gt;0,SUBTOTAL(9,CR97:CR101),"")</f>
        <v/>
      </c>
      <c r="CS96" s="34" t="str">
        <f t="shared" ref="CS96" si="2425">IF(SUBTOTAL(9,CS97:CS101)&gt;0,SUBTOTAL(9,CS97:CS101),"")</f>
        <v/>
      </c>
      <c r="CT96" s="33" t="str">
        <f t="shared" ref="CT96" si="2426">IF(SUBTOTAL(9,CT97:CT101)&gt;0,SUBTOTAL(9,CT97:CT101),"")</f>
        <v/>
      </c>
      <c r="CU96" s="34" t="str">
        <f t="shared" ref="CU96" si="2427">IF(SUBTOTAL(9,CU97:CU101)&gt;0,SUBTOTAL(9,CU97:CU101),"")</f>
        <v/>
      </c>
      <c r="CV96" s="34" t="str">
        <f t="shared" ref="CV96" si="2428">IF(SUBTOTAL(9,CV97:CV101)&gt;0,SUBTOTAL(9,CV97:CV101),"")</f>
        <v/>
      </c>
      <c r="CW96" s="34" t="str">
        <f t="shared" ref="CW96" si="2429">IF(SUBTOTAL(9,CW97:CW101)&gt;0,SUBTOTAL(9,CW97:CW101),"")</f>
        <v/>
      </c>
      <c r="CX96" s="34" t="str">
        <f t="shared" ref="CX96" si="2430">IF(SUBTOTAL(9,CX97:CX101)&gt;0,SUBTOTAL(9,CX97:CX101),"")</f>
        <v/>
      </c>
      <c r="CY96" s="34" t="str">
        <f t="shared" ref="CY96" si="2431">IF(SUBTOTAL(9,CY97:CY101)&gt;0,SUBTOTAL(9,CY97:CY101),"")</f>
        <v/>
      </c>
      <c r="CZ96" s="33" t="str">
        <f t="shared" ref="CZ96" si="2432">IF(SUBTOTAL(9,CZ97:CZ101)&gt;0,SUBTOTAL(9,CZ97:CZ101),"")</f>
        <v/>
      </c>
      <c r="DA96" s="33" t="str">
        <f t="shared" ref="DA96" si="2433">IF(SUBTOTAL(9,DA97:DA101)&gt;0,SUBTOTAL(9,DA97:DA101),"")</f>
        <v/>
      </c>
      <c r="DB96" s="34" t="str">
        <f t="shared" ref="DB96" si="2434">IF(SUBTOTAL(9,DB97:DB101)&gt;0,SUBTOTAL(9,DB97:DB101),"")</f>
        <v/>
      </c>
      <c r="DC96" s="34" t="str">
        <f t="shared" ref="DC96" si="2435">IF(SUBTOTAL(9,DC97:DC101)&gt;0,SUBTOTAL(9,DC97:DC101),"")</f>
        <v/>
      </c>
      <c r="DD96" s="34" t="str">
        <f t="shared" ref="DD96" si="2436">IF(SUBTOTAL(9,DD97:DD101)&gt;0,SUBTOTAL(9,DD97:DD101),"")</f>
        <v/>
      </c>
      <c r="DE96" s="34" t="str">
        <f t="shared" ref="DE96" si="2437">IF(SUBTOTAL(9,DE97:DE101)&gt;0,SUBTOTAL(9,DE97:DE101),"")</f>
        <v/>
      </c>
      <c r="DF96" s="34" t="str">
        <f t="shared" ref="DF96" si="2438">IF(SUBTOTAL(9,DF97:DF101)&gt;0,SUBTOTAL(9,DF97:DF101),"")</f>
        <v/>
      </c>
      <c r="DG96" s="34" t="str">
        <f t="shared" ref="DG96" si="2439">IF(SUBTOTAL(9,DG97:DG101)&gt;0,SUBTOTAL(9,DG97:DG101),"")</f>
        <v/>
      </c>
      <c r="DH96" s="34" t="str">
        <f t="shared" ref="DH96" si="2440">IF(SUBTOTAL(9,DH97:DH101)&gt;0,SUBTOTAL(9,DH97:DH101),"")</f>
        <v/>
      </c>
      <c r="DI96" s="34" t="str">
        <f t="shared" ref="DI96" si="2441">IF(SUBTOTAL(9,DI97:DI101)&gt;0,SUBTOTAL(9,DI97:DI101),"")</f>
        <v/>
      </c>
      <c r="DJ96" s="34" t="str">
        <f t="shared" ref="DJ96" si="2442">IF(SUBTOTAL(9,DJ97:DJ101)&gt;0,SUBTOTAL(9,DJ97:DJ101),"")</f>
        <v/>
      </c>
      <c r="DK96" s="34" t="str">
        <f t="shared" ref="DK96" si="2443">IF(SUBTOTAL(9,DK97:DK101)&gt;0,SUBTOTAL(9,DK97:DK101),"")</f>
        <v/>
      </c>
      <c r="DL96" s="34" t="str">
        <f t="shared" ref="DL96" si="2444">IF(SUBTOTAL(9,DL97:DL101)&gt;0,SUBTOTAL(9,DL97:DL101),"")</f>
        <v/>
      </c>
      <c r="DM96" s="34" t="str">
        <f t="shared" ref="DM96" si="2445">IF(SUBTOTAL(9,DM97:DM101)&gt;0,SUBTOTAL(9,DM97:DM101),"")</f>
        <v/>
      </c>
      <c r="DN96" s="34" t="str">
        <f t="shared" ref="DN96" si="2446">IF(SUBTOTAL(9,DN97:DN101)&gt;0,SUBTOTAL(9,DN97:DN101),"")</f>
        <v/>
      </c>
      <c r="DO96" s="34" t="str">
        <f t="shared" ref="DO96" si="2447">IF(SUBTOTAL(9,DO97:DO101)&gt;0,SUBTOTAL(9,DO97:DO101),"")</f>
        <v/>
      </c>
      <c r="DP96" s="34" t="str">
        <f t="shared" ref="DP96" si="2448">IF(SUBTOTAL(9,DP97:DP101)&gt;0,SUBTOTAL(9,DP97:DP101),"")</f>
        <v/>
      </c>
      <c r="DQ96" s="34" t="str">
        <f t="shared" ref="DQ96" si="2449">IF(SUBTOTAL(9,DQ97:DQ101)&gt;0,SUBTOTAL(9,DQ97:DQ101),"")</f>
        <v/>
      </c>
      <c r="DR96" s="34" t="str">
        <f t="shared" ref="DR96" si="2450">IF(SUBTOTAL(9,DR97:DR101)&gt;0,SUBTOTAL(9,DR97:DR101),"")</f>
        <v/>
      </c>
      <c r="DS96" s="34" t="str">
        <f t="shared" ref="DS96" si="2451">IF(SUBTOTAL(9,DS97:DS101)&gt;0,SUBTOTAL(9,DS97:DS101),"")</f>
        <v/>
      </c>
      <c r="DT96" s="34" t="str">
        <f t="shared" ref="DT96" si="2452">IF(SUBTOTAL(9,DT97:DT101)&gt;0,SUBTOTAL(9,DT97:DT101),"")</f>
        <v/>
      </c>
      <c r="DU96" s="34" t="str">
        <f t="shared" ref="DU96" si="2453">IF(SUBTOTAL(9,DU97:DU101)&gt;0,SUBTOTAL(9,DU97:DU101),"")</f>
        <v/>
      </c>
      <c r="DV96" s="34" t="str">
        <f t="shared" ref="DV96" si="2454">IF(SUBTOTAL(9,DV97:DV101)&gt;0,SUBTOTAL(9,DV97:DV101),"")</f>
        <v/>
      </c>
      <c r="DW96" s="34" t="str">
        <f t="shared" ref="DW96" si="2455">IF(SUBTOTAL(9,DW97:DW101)&gt;0,SUBTOTAL(9,DW97:DW101),"")</f>
        <v/>
      </c>
      <c r="DX96" s="34" t="str">
        <f t="shared" ref="DX96" si="2456">IF(SUBTOTAL(9,DX97:DX101)&gt;0,SUBTOTAL(9,DX97:DX101),"")</f>
        <v/>
      </c>
      <c r="DY96" s="34" t="str">
        <f t="shared" ref="DY96" si="2457">IF(SUBTOTAL(9,DY97:DY101)&gt;0,SUBTOTAL(9,DY97:DY101),"")</f>
        <v/>
      </c>
      <c r="DZ96" s="33" t="str">
        <f t="shared" ref="DZ96" si="2458">IF(SUBTOTAL(9,DZ97:DZ101)&gt;0,SUBTOTAL(9,DZ97:DZ101),"")</f>
        <v/>
      </c>
      <c r="EA96" s="34" t="str">
        <f t="shared" ref="EA96" si="2459">IF(SUBTOTAL(9,EA97:EA101)&gt;0,SUBTOTAL(9,EA97:EA101),"")</f>
        <v/>
      </c>
      <c r="EB96" s="34" t="str">
        <f t="shared" ref="EB96" si="2460">IF(SUBTOTAL(9,EB97:EB101)&gt;0,SUBTOTAL(9,EB97:EB101),"")</f>
        <v/>
      </c>
      <c r="EC96" s="34" t="str">
        <f t="shared" ref="EC96" si="2461">IF(SUBTOTAL(9,EC97:EC101)&gt;0,SUBTOTAL(9,EC97:EC101),"")</f>
        <v/>
      </c>
      <c r="ED96" s="34" t="str">
        <f t="shared" ref="ED96" si="2462">IF(SUBTOTAL(9,ED97:ED101)&gt;0,SUBTOTAL(9,ED97:ED101),"")</f>
        <v/>
      </c>
      <c r="EE96" s="34" t="str">
        <f t="shared" ref="EE96" si="2463">IF(SUBTOTAL(9,EE97:EE101)&gt;0,SUBTOTAL(9,EE97:EE101),"")</f>
        <v/>
      </c>
      <c r="EF96" s="34" t="str">
        <f t="shared" ref="EF96" si="2464">IF(SUBTOTAL(9,EF97:EF101)&gt;0,SUBTOTAL(9,EF97:EF101),"")</f>
        <v/>
      </c>
      <c r="EG96" s="34" t="str">
        <f t="shared" ref="EG96" si="2465">IF(SUBTOTAL(9,EG97:EG101)&gt;0,SUBTOTAL(9,EG97:EG101),"")</f>
        <v/>
      </c>
      <c r="EH96" s="34" t="str">
        <f t="shared" ref="EH96" si="2466">IF(SUBTOTAL(9,EH97:EH101)&gt;0,SUBTOTAL(9,EH97:EH101),"")</f>
        <v/>
      </c>
      <c r="EI96" s="34" t="str">
        <f t="shared" ref="EI96" si="2467">IF(SUBTOTAL(9,EI97:EI101)&gt;0,SUBTOTAL(9,EI97:EI101),"")</f>
        <v/>
      </c>
      <c r="EJ96" s="34" t="str">
        <f t="shared" ref="EJ96" si="2468">IF(SUBTOTAL(9,EJ97:EJ101)&gt;0,SUBTOTAL(9,EJ97:EJ101),"")</f>
        <v/>
      </c>
      <c r="EK96" s="34" t="str">
        <f t="shared" ref="EK96" si="2469">IF(SUBTOTAL(9,EK97:EK101)&gt;0,SUBTOTAL(9,EK97:EK101),"")</f>
        <v/>
      </c>
      <c r="EL96" s="34" t="str">
        <f t="shared" ref="EL96" si="2470">IF(SUBTOTAL(9,EL97:EL101)&gt;0,SUBTOTAL(9,EL97:EL101),"")</f>
        <v/>
      </c>
      <c r="EM96" s="34" t="str">
        <f t="shared" ref="EM96" si="2471">IF(SUBTOTAL(9,EM97:EM101)&gt;0,SUBTOTAL(9,EM97:EM101),"")</f>
        <v/>
      </c>
      <c r="EN96" s="34" t="str">
        <f t="shared" ref="EN96" si="2472">IF(SUBTOTAL(9,EN97:EN101)&gt;0,SUBTOTAL(9,EN97:EN101),"")</f>
        <v/>
      </c>
      <c r="EO96" s="34" t="str">
        <f t="shared" ref="EO96" si="2473">IF(SUBTOTAL(9,EO97:EO101)&gt;0,SUBTOTAL(9,EO97:EO101),"")</f>
        <v/>
      </c>
      <c r="EP96" s="34" t="str">
        <f t="shared" ref="EP96" si="2474">IF(SUBTOTAL(9,EP97:EP101)&gt;0,SUBTOTAL(9,EP97:EP101),"")</f>
        <v/>
      </c>
      <c r="EQ96" s="34" t="str">
        <f t="shared" ref="EQ96" si="2475">IF(SUBTOTAL(9,EQ97:EQ101)&gt;0,SUBTOTAL(9,EQ97:EQ101),"")</f>
        <v/>
      </c>
      <c r="ER96" s="34" t="str">
        <f t="shared" ref="ER96" si="2476">IF(SUBTOTAL(9,ER97:ER101)&gt;0,SUBTOTAL(9,ER97:ER101),"")</f>
        <v/>
      </c>
      <c r="ES96" s="34" t="str">
        <f t="shared" ref="ES96" si="2477">IF(SUBTOTAL(9,ES97:ES101)&gt;0,SUBTOTAL(9,ES97:ES101),"")</f>
        <v/>
      </c>
      <c r="ET96" s="34" t="str">
        <f t="shared" ref="ET96" si="2478">IF(SUBTOTAL(9,ET97:ET101)&gt;0,SUBTOTAL(9,ET97:ET101),"")</f>
        <v/>
      </c>
      <c r="EU96" s="34" t="str">
        <f t="shared" ref="EU96" si="2479">IF(SUBTOTAL(9,EU97:EU101)&gt;0,SUBTOTAL(9,EU97:EU101),"")</f>
        <v/>
      </c>
      <c r="EV96" s="34" t="str">
        <f t="shared" ref="EV96" si="2480">IF(SUBTOTAL(9,EV97:EV101)&gt;0,SUBTOTAL(9,EV97:EV101),"")</f>
        <v/>
      </c>
      <c r="EW96" s="34" t="str">
        <f t="shared" ref="EW96" si="2481">IF(SUBTOTAL(9,EW97:EW101)&gt;0,SUBTOTAL(9,EW97:EW101),"")</f>
        <v/>
      </c>
      <c r="EX96" s="34" t="str">
        <f t="shared" ref="EX96" si="2482">IF(SUBTOTAL(9,EX97:EX101)&gt;0,SUBTOTAL(9,EX97:EX101),"")</f>
        <v/>
      </c>
      <c r="EY96" s="33" t="str">
        <f t="shared" ref="EY96" si="2483">IF(SUBTOTAL(9,EY97:EY101)&gt;0,SUBTOTAL(9,EY97:EY101),"")</f>
        <v/>
      </c>
      <c r="EZ96" s="34" t="str">
        <f t="shared" ref="EZ96" si="2484">IF(SUBTOTAL(9,EZ97:EZ101)&gt;0,SUBTOTAL(9,EZ97:EZ101),"")</f>
        <v/>
      </c>
      <c r="FA96" s="34" t="str">
        <f t="shared" ref="FA96" si="2485">IF(SUBTOTAL(9,FA97:FA101)&gt;0,SUBTOTAL(9,FA97:FA101),"")</f>
        <v/>
      </c>
      <c r="FB96" s="34" t="str">
        <f t="shared" ref="FB96" si="2486">IF(SUBTOTAL(9,FB97:FB101)&gt;0,SUBTOTAL(9,FB97:FB101),"")</f>
        <v/>
      </c>
      <c r="FC96" s="34" t="str">
        <f t="shared" ref="FC96" si="2487">IF(SUBTOTAL(9,FC97:FC101)&gt;0,SUBTOTAL(9,FC97:FC101),"")</f>
        <v/>
      </c>
      <c r="FD96" s="34" t="str">
        <f t="shared" ref="FD96" si="2488">IF(SUBTOTAL(9,FD97:FD101)&gt;0,SUBTOTAL(9,FD97:FD101),"")</f>
        <v/>
      </c>
      <c r="FE96" s="34" t="str">
        <f t="shared" ref="FE96" si="2489">IF(SUBTOTAL(9,FE97:FE101)&gt;0,SUBTOTAL(9,FE97:FE101),"")</f>
        <v/>
      </c>
      <c r="FF96" s="34" t="str">
        <f t="shared" ref="FF96" si="2490">IF(SUBTOTAL(9,FF97:FF101)&gt;0,SUBTOTAL(9,FF97:FF101),"")</f>
        <v/>
      </c>
      <c r="FG96" s="34" t="str">
        <f t="shared" ref="FG96" si="2491">IF(SUBTOTAL(9,FG97:FG101)&gt;0,SUBTOTAL(9,FG97:FG101),"")</f>
        <v/>
      </c>
      <c r="FH96" s="34" t="str">
        <f t="shared" ref="FH96" si="2492">IF(SUBTOTAL(9,FH97:FH101)&gt;0,SUBTOTAL(9,FH97:FH101),"")</f>
        <v/>
      </c>
      <c r="FI96" s="34" t="str">
        <f t="shared" ref="FI96" si="2493">IF(SUBTOTAL(9,FI97:FI101)&gt;0,SUBTOTAL(9,FI97:FI101),"")</f>
        <v/>
      </c>
      <c r="FJ96" s="34" t="str">
        <f t="shared" ref="FJ96" si="2494">IF(SUBTOTAL(9,FJ97:FJ101)&gt;0,SUBTOTAL(9,FJ97:FJ101),"")</f>
        <v/>
      </c>
      <c r="FK96" s="34" t="str">
        <f t="shared" ref="FK96" si="2495">IF(SUBTOTAL(9,FK97:FK101)&gt;0,SUBTOTAL(9,FK97:FK101),"")</f>
        <v/>
      </c>
      <c r="FL96" s="34" t="str">
        <f t="shared" ref="FL96" si="2496">IF(SUBTOTAL(9,FL97:FL101)&gt;0,SUBTOTAL(9,FL97:FL101),"")</f>
        <v/>
      </c>
      <c r="FM96" s="34" t="str">
        <f t="shared" ref="FM96" si="2497">IF(SUBTOTAL(9,FM97:FM101)&gt;0,SUBTOTAL(9,FM97:FM101),"")</f>
        <v/>
      </c>
      <c r="FN96" s="34" t="str">
        <f t="shared" ref="FN96" si="2498">IF(SUBTOTAL(9,FN97:FN101)&gt;0,SUBTOTAL(9,FN97:FN101),"")</f>
        <v/>
      </c>
      <c r="FO96" s="34" t="str">
        <f t="shared" ref="FO96" si="2499">IF(SUBTOTAL(9,FO97:FO101)&gt;0,SUBTOTAL(9,FO97:FO101),"")</f>
        <v/>
      </c>
      <c r="FP96" s="34" t="str">
        <f t="shared" ref="FP96" si="2500">IF(SUBTOTAL(9,FP97:FP101)&gt;0,SUBTOTAL(9,FP97:FP101),"")</f>
        <v/>
      </c>
      <c r="FQ96" s="92" t="str">
        <f t="shared" ref="FQ96" si="2501">IF(SUBTOTAL(9,FQ97:FQ101)&gt;0,SUBTOTAL(9,FQ97:FQ101),"")</f>
        <v/>
      </c>
      <c r="FR96" s="8"/>
      <c r="FS96" s="9" t="s">
        <v>131</v>
      </c>
      <c r="FT96" s="9" t="str">
        <f t="shared" si="1838"/>
        <v/>
      </c>
    </row>
    <row r="97" spans="1:176" s="9" customFormat="1" ht="12" hidden="1" customHeight="1" outlineLevel="1">
      <c r="A97" s="122"/>
      <c r="B97" s="125"/>
      <c r="C97" s="124" t="str">
        <f t="shared" si="1837"/>
        <v>0 days</v>
      </c>
      <c r="D97" s="13" t="str">
        <f>A71&amp;" "&amp;A96</f>
        <v>3. Quarterly Process Documentation 3.5 Job 5</v>
      </c>
      <c r="E97" s="51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5"/>
      <c r="AK97" s="35"/>
      <c r="AL97" s="36"/>
      <c r="AM97" s="36"/>
      <c r="AN97" s="36"/>
      <c r="AO97" s="36"/>
      <c r="AP97" s="36"/>
      <c r="AQ97" s="36"/>
      <c r="AR97" s="36"/>
      <c r="AS97" s="35"/>
      <c r="AT97" s="35"/>
      <c r="AU97" s="35"/>
      <c r="AV97" s="35"/>
      <c r="AW97" s="35"/>
      <c r="AX97" s="35"/>
      <c r="AY97" s="35"/>
      <c r="AZ97" s="35"/>
      <c r="BA97" s="35"/>
      <c r="BB97" s="35"/>
      <c r="BC97" s="35"/>
      <c r="BD97" s="35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35"/>
      <c r="BU97" s="35"/>
      <c r="BV97" s="35"/>
      <c r="BW97" s="35"/>
      <c r="BX97" s="35"/>
      <c r="BY97" s="35"/>
      <c r="BZ97" s="35"/>
      <c r="CA97" s="35"/>
      <c r="CB97" s="35"/>
      <c r="CC97" s="35"/>
      <c r="CD97" s="35"/>
      <c r="CE97" s="35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6"/>
      <c r="CU97" s="35"/>
      <c r="CV97" s="35"/>
      <c r="CW97" s="35"/>
      <c r="CX97" s="35"/>
      <c r="CY97" s="35"/>
      <c r="CZ97" s="36"/>
      <c r="DA97" s="36"/>
      <c r="DB97" s="35"/>
      <c r="DC97" s="35"/>
      <c r="DD97" s="35"/>
      <c r="DE97" s="35"/>
      <c r="DF97" s="35"/>
      <c r="DG97" s="35"/>
      <c r="DH97" s="35"/>
      <c r="DI97" s="35"/>
      <c r="DJ97" s="35"/>
      <c r="DK97" s="35"/>
      <c r="DL97" s="35"/>
      <c r="DM97" s="35"/>
      <c r="DN97" s="35"/>
      <c r="DO97" s="35"/>
      <c r="DP97" s="35"/>
      <c r="DQ97" s="35"/>
      <c r="DR97" s="35"/>
      <c r="DS97" s="35"/>
      <c r="DT97" s="35"/>
      <c r="DU97" s="35"/>
      <c r="DV97" s="35"/>
      <c r="DW97" s="35"/>
      <c r="DX97" s="35"/>
      <c r="DY97" s="35"/>
      <c r="DZ97" s="36"/>
      <c r="EA97" s="35"/>
      <c r="EB97" s="35"/>
      <c r="EC97" s="35"/>
      <c r="ED97" s="35"/>
      <c r="EE97" s="35"/>
      <c r="EF97" s="35"/>
      <c r="EG97" s="35"/>
      <c r="EH97" s="35"/>
      <c r="EI97" s="35"/>
      <c r="EJ97" s="35"/>
      <c r="EK97" s="35"/>
      <c r="EL97" s="35"/>
      <c r="EM97" s="35"/>
      <c r="EN97" s="35"/>
      <c r="EO97" s="35"/>
      <c r="EP97" s="35"/>
      <c r="EQ97" s="35"/>
      <c r="ER97" s="35"/>
      <c r="ES97" s="35"/>
      <c r="ET97" s="35"/>
      <c r="EU97" s="35"/>
      <c r="EV97" s="35"/>
      <c r="EW97" s="35"/>
      <c r="EX97" s="35"/>
      <c r="EY97" s="36"/>
      <c r="EZ97" s="35"/>
      <c r="FA97" s="35"/>
      <c r="FB97" s="35"/>
      <c r="FC97" s="35"/>
      <c r="FD97" s="35"/>
      <c r="FE97" s="35"/>
      <c r="FF97" s="35"/>
      <c r="FG97" s="35"/>
      <c r="FH97" s="35"/>
      <c r="FI97" s="35"/>
      <c r="FJ97" s="35"/>
      <c r="FK97" s="35"/>
      <c r="FL97" s="35"/>
      <c r="FM97" s="35"/>
      <c r="FN97" s="35"/>
      <c r="FO97" s="35"/>
      <c r="FP97" s="35"/>
      <c r="FQ97" s="52"/>
      <c r="FR97" s="8"/>
      <c r="FS97" s="9" t="s">
        <v>13</v>
      </c>
      <c r="FT97" s="9" t="str">
        <f t="shared" si="1838"/>
        <v>3. Quarterly Process Documentation 3.5 Job 5</v>
      </c>
    </row>
    <row r="98" spans="1:176" s="9" customFormat="1" ht="12" hidden="1" customHeight="1" outlineLevel="1">
      <c r="A98" s="122"/>
      <c r="B98" s="125"/>
      <c r="C98" s="124" t="str">
        <f t="shared" si="1837"/>
        <v>0 days</v>
      </c>
      <c r="D98" s="13" t="str">
        <f>A71&amp;" "&amp;A96</f>
        <v>3. Quarterly Process Documentation 3.5 Job 5</v>
      </c>
      <c r="E98" s="51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5"/>
      <c r="AK98" s="35"/>
      <c r="AL98" s="36"/>
      <c r="AM98" s="36"/>
      <c r="AN98" s="36"/>
      <c r="AO98" s="36"/>
      <c r="AP98" s="36"/>
      <c r="AQ98" s="36"/>
      <c r="AR98" s="36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35"/>
      <c r="BU98" s="35"/>
      <c r="BV98" s="35"/>
      <c r="BW98" s="35"/>
      <c r="BX98" s="35"/>
      <c r="BY98" s="35"/>
      <c r="BZ98" s="35"/>
      <c r="CA98" s="35"/>
      <c r="CB98" s="35"/>
      <c r="CC98" s="35"/>
      <c r="CD98" s="35"/>
      <c r="CE98" s="35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6"/>
      <c r="CU98" s="35"/>
      <c r="CV98" s="35"/>
      <c r="CW98" s="35"/>
      <c r="CX98" s="35"/>
      <c r="CY98" s="35"/>
      <c r="CZ98" s="36"/>
      <c r="DA98" s="36"/>
      <c r="DB98" s="35"/>
      <c r="DC98" s="35"/>
      <c r="DD98" s="35"/>
      <c r="DE98" s="35"/>
      <c r="DF98" s="35"/>
      <c r="DG98" s="35"/>
      <c r="DH98" s="35"/>
      <c r="DI98" s="35"/>
      <c r="DJ98" s="35"/>
      <c r="DK98" s="35"/>
      <c r="DL98" s="35"/>
      <c r="DM98" s="35"/>
      <c r="DN98" s="35"/>
      <c r="DO98" s="35"/>
      <c r="DP98" s="35"/>
      <c r="DQ98" s="35"/>
      <c r="DR98" s="35"/>
      <c r="DS98" s="35"/>
      <c r="DT98" s="35"/>
      <c r="DU98" s="35"/>
      <c r="DV98" s="35"/>
      <c r="DW98" s="35"/>
      <c r="DX98" s="35"/>
      <c r="DY98" s="35"/>
      <c r="DZ98" s="36"/>
      <c r="EA98" s="35"/>
      <c r="EB98" s="35"/>
      <c r="EC98" s="35"/>
      <c r="ED98" s="35"/>
      <c r="EE98" s="35"/>
      <c r="EF98" s="35"/>
      <c r="EG98" s="35"/>
      <c r="EH98" s="35"/>
      <c r="EI98" s="35"/>
      <c r="EJ98" s="35"/>
      <c r="EK98" s="35"/>
      <c r="EL98" s="35"/>
      <c r="EM98" s="35"/>
      <c r="EN98" s="35"/>
      <c r="EO98" s="35"/>
      <c r="EP98" s="35"/>
      <c r="EQ98" s="35"/>
      <c r="ER98" s="35"/>
      <c r="ES98" s="35"/>
      <c r="ET98" s="35"/>
      <c r="EU98" s="35"/>
      <c r="EV98" s="35"/>
      <c r="EW98" s="35"/>
      <c r="EX98" s="35"/>
      <c r="EY98" s="36"/>
      <c r="EZ98" s="35"/>
      <c r="FA98" s="35"/>
      <c r="FB98" s="35"/>
      <c r="FC98" s="35"/>
      <c r="FD98" s="35"/>
      <c r="FE98" s="35"/>
      <c r="FF98" s="35"/>
      <c r="FG98" s="35"/>
      <c r="FH98" s="35"/>
      <c r="FI98" s="35"/>
      <c r="FJ98" s="35"/>
      <c r="FK98" s="35"/>
      <c r="FL98" s="35"/>
      <c r="FM98" s="35"/>
      <c r="FN98" s="35"/>
      <c r="FO98" s="35"/>
      <c r="FP98" s="35"/>
      <c r="FQ98" s="52"/>
      <c r="FR98" s="8"/>
      <c r="FS98" s="9" t="s">
        <v>13</v>
      </c>
      <c r="FT98" s="9" t="str">
        <f t="shared" si="1838"/>
        <v>3. Quarterly Process Documentation 3.5 Job 5</v>
      </c>
    </row>
    <row r="99" spans="1:176" s="9" customFormat="1" ht="12" hidden="1" customHeight="1" outlineLevel="1">
      <c r="A99" s="125" t="s">
        <v>50</v>
      </c>
      <c r="B99" s="125"/>
      <c r="C99" s="124" t="str">
        <f t="shared" si="1837"/>
        <v>0 days</v>
      </c>
      <c r="D99" s="13" t="str">
        <f>A71&amp;" "&amp;A96</f>
        <v>3. Quarterly Process Documentation 3.5 Job 5</v>
      </c>
      <c r="E99" s="51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5"/>
      <c r="AK99" s="35"/>
      <c r="AL99" s="36"/>
      <c r="AM99" s="36"/>
      <c r="AN99" s="36"/>
      <c r="AO99" s="36"/>
      <c r="AP99" s="36"/>
      <c r="AQ99" s="36"/>
      <c r="AR99" s="36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35"/>
      <c r="BU99" s="35"/>
      <c r="BV99" s="35"/>
      <c r="BW99" s="35"/>
      <c r="BX99" s="35"/>
      <c r="BY99" s="35"/>
      <c r="BZ99" s="35"/>
      <c r="CA99" s="35"/>
      <c r="CB99" s="35"/>
      <c r="CC99" s="35"/>
      <c r="CD99" s="35"/>
      <c r="CE99" s="35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6"/>
      <c r="CU99" s="35"/>
      <c r="CV99" s="35"/>
      <c r="CW99" s="35"/>
      <c r="CX99" s="35"/>
      <c r="CY99" s="35"/>
      <c r="CZ99" s="36"/>
      <c r="DA99" s="36"/>
      <c r="DB99" s="35"/>
      <c r="DC99" s="35"/>
      <c r="DD99" s="35"/>
      <c r="DE99" s="35"/>
      <c r="DF99" s="35"/>
      <c r="DG99" s="35"/>
      <c r="DH99" s="35"/>
      <c r="DI99" s="35"/>
      <c r="DJ99" s="35"/>
      <c r="DK99" s="35"/>
      <c r="DL99" s="35"/>
      <c r="DM99" s="35"/>
      <c r="DN99" s="35"/>
      <c r="DO99" s="35"/>
      <c r="DP99" s="35"/>
      <c r="DQ99" s="35"/>
      <c r="DR99" s="35"/>
      <c r="DS99" s="35"/>
      <c r="DT99" s="35"/>
      <c r="DU99" s="35"/>
      <c r="DV99" s="35"/>
      <c r="DW99" s="35"/>
      <c r="DX99" s="35"/>
      <c r="DY99" s="35"/>
      <c r="DZ99" s="36"/>
      <c r="EA99" s="35"/>
      <c r="EB99" s="35"/>
      <c r="EC99" s="35"/>
      <c r="ED99" s="35"/>
      <c r="EE99" s="35"/>
      <c r="EF99" s="35"/>
      <c r="EG99" s="35"/>
      <c r="EH99" s="35"/>
      <c r="EI99" s="35"/>
      <c r="EJ99" s="35"/>
      <c r="EK99" s="35"/>
      <c r="EL99" s="35"/>
      <c r="EM99" s="35"/>
      <c r="EN99" s="35"/>
      <c r="EO99" s="35"/>
      <c r="EP99" s="35"/>
      <c r="EQ99" s="35"/>
      <c r="ER99" s="35"/>
      <c r="ES99" s="35"/>
      <c r="ET99" s="35"/>
      <c r="EU99" s="35"/>
      <c r="EV99" s="35"/>
      <c r="EW99" s="35"/>
      <c r="EX99" s="35"/>
      <c r="EY99" s="36"/>
      <c r="EZ99" s="35"/>
      <c r="FA99" s="35"/>
      <c r="FB99" s="35"/>
      <c r="FC99" s="35"/>
      <c r="FD99" s="35"/>
      <c r="FE99" s="35"/>
      <c r="FF99" s="35"/>
      <c r="FG99" s="35"/>
      <c r="FH99" s="35"/>
      <c r="FI99" s="35"/>
      <c r="FJ99" s="35"/>
      <c r="FK99" s="35"/>
      <c r="FL99" s="35"/>
      <c r="FM99" s="35"/>
      <c r="FN99" s="35"/>
      <c r="FO99" s="35"/>
      <c r="FP99" s="35"/>
      <c r="FQ99" s="52"/>
      <c r="FR99" s="8"/>
      <c r="FS99" s="9" t="s">
        <v>13</v>
      </c>
      <c r="FT99" s="9" t="str">
        <f t="shared" si="1838"/>
        <v>3. Quarterly Process Documentation 3.5 Job 5</v>
      </c>
    </row>
    <row r="100" spans="1:176" s="9" customFormat="1" ht="12" hidden="1" customHeight="1" outlineLevel="1">
      <c r="A100" s="125" t="s">
        <v>50</v>
      </c>
      <c r="B100" s="125"/>
      <c r="C100" s="124" t="str">
        <f t="shared" si="1837"/>
        <v>0 days</v>
      </c>
      <c r="D100" s="13" t="str">
        <f>A71&amp;" "&amp;A96</f>
        <v>3. Quarterly Process Documentation 3.5 Job 5</v>
      </c>
      <c r="E100" s="51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5"/>
      <c r="AK100" s="35"/>
      <c r="AL100" s="36"/>
      <c r="AM100" s="36"/>
      <c r="AN100" s="36"/>
      <c r="AO100" s="36"/>
      <c r="AP100" s="36"/>
      <c r="AQ100" s="36"/>
      <c r="AR100" s="36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35"/>
      <c r="BU100" s="35"/>
      <c r="BV100" s="35"/>
      <c r="BW100" s="35"/>
      <c r="BX100" s="35"/>
      <c r="BY100" s="35"/>
      <c r="BZ100" s="35"/>
      <c r="CA100" s="35"/>
      <c r="CB100" s="35"/>
      <c r="CC100" s="35"/>
      <c r="CD100" s="35"/>
      <c r="CE100" s="35"/>
      <c r="CF100" s="35"/>
      <c r="CG100" s="35"/>
      <c r="CH100" s="35"/>
      <c r="CI100" s="35"/>
      <c r="CJ100" s="35"/>
      <c r="CK100" s="35"/>
      <c r="CL100" s="35"/>
      <c r="CM100" s="35"/>
      <c r="CN100" s="35"/>
      <c r="CO100" s="35"/>
      <c r="CP100" s="35"/>
      <c r="CQ100" s="35"/>
      <c r="CR100" s="35"/>
      <c r="CS100" s="35"/>
      <c r="CT100" s="36"/>
      <c r="CU100" s="35"/>
      <c r="CV100" s="35"/>
      <c r="CW100" s="35"/>
      <c r="CX100" s="35"/>
      <c r="CY100" s="35"/>
      <c r="CZ100" s="36"/>
      <c r="DA100" s="36"/>
      <c r="DB100" s="35"/>
      <c r="DC100" s="35"/>
      <c r="DD100" s="35"/>
      <c r="DE100" s="35"/>
      <c r="DF100" s="35"/>
      <c r="DG100" s="35"/>
      <c r="DH100" s="35"/>
      <c r="DI100" s="35"/>
      <c r="DJ100" s="35"/>
      <c r="DK100" s="35"/>
      <c r="DL100" s="35"/>
      <c r="DM100" s="35"/>
      <c r="DN100" s="35"/>
      <c r="DO100" s="35"/>
      <c r="DP100" s="35"/>
      <c r="DQ100" s="35"/>
      <c r="DR100" s="35"/>
      <c r="DS100" s="35"/>
      <c r="DT100" s="35"/>
      <c r="DU100" s="35"/>
      <c r="DV100" s="35"/>
      <c r="DW100" s="35"/>
      <c r="DX100" s="35"/>
      <c r="DY100" s="35"/>
      <c r="DZ100" s="36"/>
      <c r="EA100" s="35"/>
      <c r="EB100" s="35"/>
      <c r="EC100" s="35"/>
      <c r="ED100" s="35"/>
      <c r="EE100" s="35"/>
      <c r="EF100" s="35"/>
      <c r="EG100" s="35"/>
      <c r="EH100" s="35"/>
      <c r="EI100" s="35"/>
      <c r="EJ100" s="35"/>
      <c r="EK100" s="35"/>
      <c r="EL100" s="35"/>
      <c r="EM100" s="35"/>
      <c r="EN100" s="35"/>
      <c r="EO100" s="35"/>
      <c r="EP100" s="35"/>
      <c r="EQ100" s="35"/>
      <c r="ER100" s="35"/>
      <c r="ES100" s="35"/>
      <c r="ET100" s="35"/>
      <c r="EU100" s="35"/>
      <c r="EV100" s="35"/>
      <c r="EW100" s="35"/>
      <c r="EX100" s="35"/>
      <c r="EY100" s="36"/>
      <c r="EZ100" s="35"/>
      <c r="FA100" s="35"/>
      <c r="FB100" s="35"/>
      <c r="FC100" s="35"/>
      <c r="FD100" s="35"/>
      <c r="FE100" s="35"/>
      <c r="FF100" s="35"/>
      <c r="FG100" s="35"/>
      <c r="FH100" s="35"/>
      <c r="FI100" s="35"/>
      <c r="FJ100" s="35"/>
      <c r="FK100" s="35"/>
      <c r="FL100" s="35"/>
      <c r="FM100" s="35"/>
      <c r="FN100" s="35"/>
      <c r="FO100" s="35"/>
      <c r="FP100" s="35"/>
      <c r="FQ100" s="52"/>
      <c r="FR100" s="8"/>
      <c r="FS100" s="9" t="s">
        <v>13</v>
      </c>
      <c r="FT100" s="9" t="str">
        <f t="shared" si="1838"/>
        <v>3. Quarterly Process Documentation 3.5 Job 5</v>
      </c>
    </row>
    <row r="101" spans="1:176" s="9" customFormat="1" ht="12" hidden="1" customHeight="1" outlineLevel="1">
      <c r="A101" s="125" t="s">
        <v>50</v>
      </c>
      <c r="B101" s="125"/>
      <c r="C101" s="124" t="str">
        <f t="shared" si="1837"/>
        <v>0 days</v>
      </c>
      <c r="D101" s="13" t="str">
        <f>A71&amp;" "&amp;A96</f>
        <v>3. Quarterly Process Documentation 3.5 Job 5</v>
      </c>
      <c r="E101" s="51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5"/>
      <c r="AK101" s="35"/>
      <c r="AL101" s="36"/>
      <c r="AM101" s="36"/>
      <c r="AN101" s="36"/>
      <c r="AO101" s="36"/>
      <c r="AP101" s="36"/>
      <c r="AQ101" s="36"/>
      <c r="AR101" s="36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35"/>
      <c r="BU101" s="35"/>
      <c r="BV101" s="35"/>
      <c r="BW101" s="35"/>
      <c r="BX101" s="35"/>
      <c r="BY101" s="35"/>
      <c r="BZ101" s="35"/>
      <c r="CA101" s="35"/>
      <c r="CB101" s="35"/>
      <c r="CC101" s="35"/>
      <c r="CD101" s="35"/>
      <c r="CE101" s="35"/>
      <c r="CF101" s="35"/>
      <c r="CG101" s="35"/>
      <c r="CH101" s="35"/>
      <c r="CI101" s="35"/>
      <c r="CJ101" s="35"/>
      <c r="CK101" s="35"/>
      <c r="CL101" s="35"/>
      <c r="CM101" s="35"/>
      <c r="CN101" s="35"/>
      <c r="CO101" s="35"/>
      <c r="CP101" s="35"/>
      <c r="CQ101" s="35"/>
      <c r="CR101" s="35"/>
      <c r="CS101" s="35"/>
      <c r="CT101" s="36"/>
      <c r="CU101" s="35"/>
      <c r="CV101" s="35"/>
      <c r="CW101" s="35"/>
      <c r="CX101" s="35"/>
      <c r="CY101" s="35"/>
      <c r="CZ101" s="36"/>
      <c r="DA101" s="36"/>
      <c r="DB101" s="35"/>
      <c r="DC101" s="35"/>
      <c r="DD101" s="35"/>
      <c r="DE101" s="35"/>
      <c r="DF101" s="35"/>
      <c r="DG101" s="35"/>
      <c r="DH101" s="35"/>
      <c r="DI101" s="35"/>
      <c r="DJ101" s="35"/>
      <c r="DK101" s="35"/>
      <c r="DL101" s="35"/>
      <c r="DM101" s="35"/>
      <c r="DN101" s="35"/>
      <c r="DO101" s="35"/>
      <c r="DP101" s="35"/>
      <c r="DQ101" s="35"/>
      <c r="DR101" s="35"/>
      <c r="DS101" s="35"/>
      <c r="DT101" s="35"/>
      <c r="DU101" s="35"/>
      <c r="DV101" s="35"/>
      <c r="DW101" s="35"/>
      <c r="DX101" s="35"/>
      <c r="DY101" s="35"/>
      <c r="DZ101" s="36"/>
      <c r="EA101" s="35"/>
      <c r="EB101" s="35"/>
      <c r="EC101" s="35"/>
      <c r="ED101" s="35"/>
      <c r="EE101" s="35"/>
      <c r="EF101" s="35"/>
      <c r="EG101" s="35"/>
      <c r="EH101" s="35"/>
      <c r="EI101" s="35"/>
      <c r="EJ101" s="35"/>
      <c r="EK101" s="35"/>
      <c r="EL101" s="35"/>
      <c r="EM101" s="35"/>
      <c r="EN101" s="35"/>
      <c r="EO101" s="35"/>
      <c r="EP101" s="35"/>
      <c r="EQ101" s="35"/>
      <c r="ER101" s="35"/>
      <c r="ES101" s="35"/>
      <c r="ET101" s="35"/>
      <c r="EU101" s="35"/>
      <c r="EV101" s="35"/>
      <c r="EW101" s="35"/>
      <c r="EX101" s="35"/>
      <c r="EY101" s="36"/>
      <c r="EZ101" s="35"/>
      <c r="FA101" s="35"/>
      <c r="FB101" s="35"/>
      <c r="FC101" s="35"/>
      <c r="FD101" s="35"/>
      <c r="FE101" s="35"/>
      <c r="FF101" s="35"/>
      <c r="FG101" s="35"/>
      <c r="FH101" s="35"/>
      <c r="FI101" s="35"/>
      <c r="FJ101" s="35"/>
      <c r="FK101" s="35"/>
      <c r="FL101" s="35"/>
      <c r="FM101" s="35"/>
      <c r="FN101" s="35"/>
      <c r="FO101" s="35"/>
      <c r="FP101" s="35"/>
      <c r="FQ101" s="52"/>
      <c r="FR101" s="8"/>
      <c r="FS101" s="9" t="s">
        <v>13</v>
      </c>
      <c r="FT101" s="9" t="str">
        <f t="shared" si="1838"/>
        <v>3. Quarterly Process Documentation 3.5 Job 5</v>
      </c>
    </row>
    <row r="102" spans="1:176" s="9" customFormat="1" ht="12" customHeight="1" collapsed="1">
      <c r="A102" s="116" t="s">
        <v>69</v>
      </c>
      <c r="B102" s="132"/>
      <c r="C102" s="118" t="str">
        <f t="shared" si="1837"/>
        <v>50 days</v>
      </c>
      <c r="D102" s="26"/>
      <c r="E102" s="89" t="str">
        <f t="shared" ref="E102:AK102" si="2502">IF(SUBTOTAL(9,E104:E108,E110:E114,E116:E120,E122:E126,E128:E132)&gt;0,SUBTOTAL(9,E104:E108,E110:E114,E116:E120,E122:E126,E128:E132),"")</f>
        <v/>
      </c>
      <c r="F102" s="32" t="str">
        <f t="shared" si="2502"/>
        <v/>
      </c>
      <c r="G102" s="32" t="str">
        <f t="shared" si="2502"/>
        <v/>
      </c>
      <c r="H102" s="32" t="str">
        <f t="shared" si="2502"/>
        <v/>
      </c>
      <c r="I102" s="32" t="str">
        <f t="shared" si="2502"/>
        <v/>
      </c>
      <c r="J102" s="32" t="str">
        <f>IF(SUBTOTAL(9,J104:J108,J110:J114,J116:J120,J122:J126,J128:J132)&gt;0,SUBTOTAL(9,J104:J108,J110:J114,J116:J120,J122:J126,J128:J132),"")</f>
        <v/>
      </c>
      <c r="K102" s="32">
        <f>IF(SUBTOTAL(9,K104:K108,K110:K114,K116:K120,K122:K126,K128:K132)&gt;0,SUBTOTAL(9,K104:K108,K110:K114,K116:K120,K122:K126,K128:K132),"")</f>
        <v>1</v>
      </c>
      <c r="L102" s="32">
        <f>IF(SUBTOTAL(9,L104:L108,L110:L114,L116:L120,L122:L126,L128:L132)&gt;0,SUBTOTAL(9,L104:L108,L110:L114,L116:L120,L122:L126,L128:L132),"")</f>
        <v>1</v>
      </c>
      <c r="M102" s="32">
        <f>IF(SUBTOTAL(9,M104:M108,M110:M114,M116:M120,M122:M126,M128:M132)&gt;0,SUBTOTAL(9,M104:M108,M110:M114,M116:M120,M122:M126,M128:M132),"")</f>
        <v>1</v>
      </c>
      <c r="N102" s="32">
        <f>IF(SUBTOTAL(9,N104:N108,N110:N114,N116:N120,N122:N126,N128:N132)&gt;0,SUBTOTAL(9,N104:N108,N110:N114,N116:N120,N122:N126,N128:N132),"")</f>
        <v>1</v>
      </c>
      <c r="O102" s="32" t="str">
        <f t="shared" si="2502"/>
        <v/>
      </c>
      <c r="P102" s="32" t="str">
        <f t="shared" si="2502"/>
        <v/>
      </c>
      <c r="Q102" s="32" t="str">
        <f t="shared" si="2502"/>
        <v/>
      </c>
      <c r="R102" s="32" t="str">
        <f t="shared" si="2502"/>
        <v/>
      </c>
      <c r="S102" s="32" t="str">
        <f t="shared" si="2502"/>
        <v/>
      </c>
      <c r="T102" s="32" t="str">
        <f t="shared" si="2502"/>
        <v/>
      </c>
      <c r="U102" s="32" t="str">
        <f t="shared" si="2502"/>
        <v/>
      </c>
      <c r="V102" s="32" t="str">
        <f t="shared" si="2502"/>
        <v/>
      </c>
      <c r="W102" s="32">
        <f t="shared" si="2502"/>
        <v>0.5</v>
      </c>
      <c r="X102" s="32">
        <f t="shared" si="2502"/>
        <v>0.5</v>
      </c>
      <c r="Y102" s="32">
        <f t="shared" si="2502"/>
        <v>1</v>
      </c>
      <c r="Z102" s="32">
        <f t="shared" si="2502"/>
        <v>0.5</v>
      </c>
      <c r="AA102" s="32">
        <f t="shared" si="2502"/>
        <v>0.5</v>
      </c>
      <c r="AB102" s="32" t="str">
        <f t="shared" si="2502"/>
        <v/>
      </c>
      <c r="AC102" s="32" t="str">
        <f t="shared" si="2502"/>
        <v/>
      </c>
      <c r="AD102" s="32" t="str">
        <f t="shared" si="2502"/>
        <v/>
      </c>
      <c r="AE102" s="32" t="str">
        <f t="shared" si="2502"/>
        <v/>
      </c>
      <c r="AF102" s="32" t="str">
        <f t="shared" si="2502"/>
        <v/>
      </c>
      <c r="AG102" s="32" t="str">
        <f t="shared" si="2502"/>
        <v/>
      </c>
      <c r="AH102" s="32" t="str">
        <f t="shared" si="2502"/>
        <v/>
      </c>
      <c r="AI102" s="32" t="str">
        <f t="shared" si="2502"/>
        <v/>
      </c>
      <c r="AJ102" s="32" t="str">
        <f t="shared" si="2502"/>
        <v/>
      </c>
      <c r="AK102" s="32" t="str">
        <f t="shared" si="2502"/>
        <v/>
      </c>
      <c r="AL102" s="33" t="str">
        <f>IF(SUBTOTAL(9,AL104:AL108,AL110:AL114,AL116:AL120,AL122:AL126,AL128:AL132)&gt;0,SUBTOTAL(9,AL104:AL108,AL110:AL114,AL116:AL120,AL122:AL126,AL128:AL132),"")</f>
        <v/>
      </c>
      <c r="AM102" s="33" t="str">
        <f t="shared" ref="AM102:CX102" si="2503">IF(SUBTOTAL(9,AM104:AM108,AM110:AM114,AM116:AM120,AM122:AM126,AM128:AM132)&gt;0,SUBTOTAL(9,AM104:AM108,AM110:AM114,AM116:AM120,AM122:AM126,AM128:AM132),"")</f>
        <v/>
      </c>
      <c r="AN102" s="33" t="str">
        <f t="shared" si="2503"/>
        <v/>
      </c>
      <c r="AO102" s="33" t="str">
        <f t="shared" si="2503"/>
        <v/>
      </c>
      <c r="AP102" s="33" t="str">
        <f t="shared" si="2503"/>
        <v/>
      </c>
      <c r="AQ102" s="33" t="str">
        <f t="shared" si="2503"/>
        <v/>
      </c>
      <c r="AR102" s="33" t="str">
        <f t="shared" si="2503"/>
        <v/>
      </c>
      <c r="AS102" s="32" t="str">
        <f t="shared" si="2503"/>
        <v/>
      </c>
      <c r="AT102" s="32" t="str">
        <f t="shared" si="2503"/>
        <v/>
      </c>
      <c r="AU102" s="32" t="str">
        <f t="shared" si="2503"/>
        <v/>
      </c>
      <c r="AV102" s="32" t="str">
        <f t="shared" si="2503"/>
        <v/>
      </c>
      <c r="AW102" s="32" t="str">
        <f t="shared" si="2503"/>
        <v/>
      </c>
      <c r="AX102" s="32" t="str">
        <f t="shared" si="2503"/>
        <v/>
      </c>
      <c r="AY102" s="32">
        <f t="shared" si="2503"/>
        <v>2.5</v>
      </c>
      <c r="AZ102" s="32">
        <f t="shared" si="2503"/>
        <v>2.5</v>
      </c>
      <c r="BA102" s="32">
        <f t="shared" si="2503"/>
        <v>2.5</v>
      </c>
      <c r="BB102" s="32">
        <f t="shared" si="2503"/>
        <v>4</v>
      </c>
      <c r="BC102" s="32">
        <f t="shared" si="2503"/>
        <v>3</v>
      </c>
      <c r="BD102" s="32">
        <f t="shared" si="2503"/>
        <v>3</v>
      </c>
      <c r="BE102" s="32">
        <f t="shared" si="2503"/>
        <v>3</v>
      </c>
      <c r="BF102" s="32">
        <f t="shared" si="2503"/>
        <v>4</v>
      </c>
      <c r="BG102" s="32">
        <f t="shared" si="2503"/>
        <v>3</v>
      </c>
      <c r="BH102" s="32">
        <f t="shared" si="2503"/>
        <v>2.75</v>
      </c>
      <c r="BI102" s="32">
        <f t="shared" si="2503"/>
        <v>2.75</v>
      </c>
      <c r="BJ102" s="32">
        <f t="shared" si="2503"/>
        <v>2.75</v>
      </c>
      <c r="BK102" s="32">
        <f t="shared" si="2503"/>
        <v>2.75</v>
      </c>
      <c r="BL102" s="32">
        <f t="shared" si="2503"/>
        <v>4</v>
      </c>
      <c r="BM102" s="32" t="str">
        <f t="shared" si="2503"/>
        <v/>
      </c>
      <c r="BN102" s="32" t="str">
        <f t="shared" si="2503"/>
        <v/>
      </c>
      <c r="BO102" s="32" t="str">
        <f t="shared" si="2503"/>
        <v/>
      </c>
      <c r="BP102" s="32" t="str">
        <f t="shared" si="2503"/>
        <v/>
      </c>
      <c r="BQ102" s="32" t="str">
        <f t="shared" si="2503"/>
        <v/>
      </c>
      <c r="BR102" s="32" t="str">
        <f t="shared" si="2503"/>
        <v/>
      </c>
      <c r="BS102" s="32" t="str">
        <f t="shared" si="2503"/>
        <v/>
      </c>
      <c r="BT102" s="32" t="str">
        <f t="shared" si="2503"/>
        <v/>
      </c>
      <c r="BU102" s="32" t="str">
        <f t="shared" si="2503"/>
        <v/>
      </c>
      <c r="BV102" s="32" t="str">
        <f t="shared" si="2503"/>
        <v/>
      </c>
      <c r="BW102" s="32" t="str">
        <f t="shared" si="2503"/>
        <v/>
      </c>
      <c r="BX102" s="32" t="str">
        <f t="shared" si="2503"/>
        <v/>
      </c>
      <c r="BY102" s="32" t="str">
        <f t="shared" si="2503"/>
        <v/>
      </c>
      <c r="BZ102" s="32" t="str">
        <f t="shared" si="2503"/>
        <v/>
      </c>
      <c r="CA102" s="32" t="str">
        <f t="shared" si="2503"/>
        <v/>
      </c>
      <c r="CB102" s="32" t="str">
        <f t="shared" si="2503"/>
        <v/>
      </c>
      <c r="CC102" s="32" t="str">
        <f t="shared" si="2503"/>
        <v/>
      </c>
      <c r="CD102" s="32" t="str">
        <f t="shared" si="2503"/>
        <v/>
      </c>
      <c r="CE102" s="32" t="str">
        <f t="shared" si="2503"/>
        <v/>
      </c>
      <c r="CF102" s="32" t="str">
        <f t="shared" si="2503"/>
        <v/>
      </c>
      <c r="CG102" s="32" t="str">
        <f t="shared" ref="CG102" si="2504">IF(SUBTOTAL(9,CG104:CG108,CG110:CG114,CG116:CG120,CG122:CG126,CG128:CG132)&gt;0,SUBTOTAL(9,CG104:CG108,CG110:CG114,CG116:CG120,CG122:CG126,CG128:CG132),"")</f>
        <v/>
      </c>
      <c r="CH102" s="32" t="str">
        <f t="shared" si="2503"/>
        <v/>
      </c>
      <c r="CI102" s="32" t="str">
        <f t="shared" si="2503"/>
        <v/>
      </c>
      <c r="CJ102" s="32" t="str">
        <f t="shared" si="2503"/>
        <v/>
      </c>
      <c r="CK102" s="32" t="str">
        <f t="shared" si="2503"/>
        <v/>
      </c>
      <c r="CL102" s="32" t="str">
        <f t="shared" si="2503"/>
        <v/>
      </c>
      <c r="CM102" s="32" t="str">
        <f t="shared" si="2503"/>
        <v/>
      </c>
      <c r="CN102" s="32" t="str">
        <f t="shared" si="2503"/>
        <v/>
      </c>
      <c r="CO102" s="32" t="str">
        <f t="shared" si="2503"/>
        <v/>
      </c>
      <c r="CP102" s="32" t="str">
        <f t="shared" si="2503"/>
        <v/>
      </c>
      <c r="CQ102" s="32" t="str">
        <f t="shared" si="2503"/>
        <v/>
      </c>
      <c r="CR102" s="32" t="str">
        <f t="shared" si="2503"/>
        <v/>
      </c>
      <c r="CS102" s="32" t="str">
        <f t="shared" si="2503"/>
        <v/>
      </c>
      <c r="CT102" s="33" t="str">
        <f t="shared" si="2503"/>
        <v/>
      </c>
      <c r="CU102" s="32" t="str">
        <f t="shared" si="2503"/>
        <v/>
      </c>
      <c r="CV102" s="32" t="str">
        <f t="shared" si="2503"/>
        <v/>
      </c>
      <c r="CW102" s="32" t="str">
        <f t="shared" si="2503"/>
        <v/>
      </c>
      <c r="CX102" s="32" t="str">
        <f t="shared" si="2503"/>
        <v/>
      </c>
      <c r="CY102" s="32" t="str">
        <f t="shared" ref="CY102:FJ102" si="2505">IF(SUBTOTAL(9,CY104:CY108,CY110:CY114,CY116:CY120,CY122:CY126,CY128:CY132)&gt;0,SUBTOTAL(9,CY104:CY108,CY110:CY114,CY116:CY120,CY122:CY126,CY128:CY132),"")</f>
        <v/>
      </c>
      <c r="CZ102" s="33" t="str">
        <f t="shared" si="2505"/>
        <v/>
      </c>
      <c r="DA102" s="33" t="str">
        <f t="shared" si="2505"/>
        <v/>
      </c>
      <c r="DB102" s="32" t="str">
        <f t="shared" si="2505"/>
        <v/>
      </c>
      <c r="DC102" s="32" t="str">
        <f t="shared" si="2505"/>
        <v/>
      </c>
      <c r="DD102" s="32" t="str">
        <f t="shared" si="2505"/>
        <v/>
      </c>
      <c r="DE102" s="32" t="str">
        <f t="shared" si="2505"/>
        <v/>
      </c>
      <c r="DF102" s="32" t="str">
        <f t="shared" si="2505"/>
        <v/>
      </c>
      <c r="DG102" s="32" t="str">
        <f t="shared" si="2505"/>
        <v/>
      </c>
      <c r="DH102" s="32" t="str">
        <f t="shared" si="2505"/>
        <v/>
      </c>
      <c r="DI102" s="32" t="str">
        <f t="shared" si="2505"/>
        <v/>
      </c>
      <c r="DJ102" s="32" t="str">
        <f t="shared" si="2505"/>
        <v/>
      </c>
      <c r="DK102" s="32" t="str">
        <f t="shared" si="2505"/>
        <v/>
      </c>
      <c r="DL102" s="32" t="str">
        <f t="shared" si="2505"/>
        <v/>
      </c>
      <c r="DM102" s="32" t="str">
        <f t="shared" si="2505"/>
        <v/>
      </c>
      <c r="DN102" s="32" t="str">
        <f t="shared" si="2505"/>
        <v/>
      </c>
      <c r="DO102" s="32" t="str">
        <f t="shared" si="2505"/>
        <v/>
      </c>
      <c r="DP102" s="32" t="str">
        <f t="shared" si="2505"/>
        <v/>
      </c>
      <c r="DQ102" s="32" t="str">
        <f t="shared" si="2505"/>
        <v/>
      </c>
      <c r="DR102" s="32" t="str">
        <f t="shared" si="2505"/>
        <v/>
      </c>
      <c r="DS102" s="32" t="str">
        <f t="shared" si="2505"/>
        <v/>
      </c>
      <c r="DT102" s="32" t="str">
        <f t="shared" si="2505"/>
        <v/>
      </c>
      <c r="DU102" s="32" t="str">
        <f t="shared" si="2505"/>
        <v/>
      </c>
      <c r="DV102" s="32" t="str">
        <f t="shared" si="2505"/>
        <v/>
      </c>
      <c r="DW102" s="32" t="str">
        <f t="shared" si="2505"/>
        <v/>
      </c>
      <c r="DX102" s="32" t="str">
        <f t="shared" si="2505"/>
        <v/>
      </c>
      <c r="DY102" s="32" t="str">
        <f t="shared" si="2505"/>
        <v/>
      </c>
      <c r="DZ102" s="33" t="str">
        <f t="shared" si="2505"/>
        <v/>
      </c>
      <c r="EA102" s="32" t="str">
        <f t="shared" si="2505"/>
        <v/>
      </c>
      <c r="EB102" s="32" t="str">
        <f t="shared" si="2505"/>
        <v/>
      </c>
      <c r="EC102" s="32" t="str">
        <f t="shared" si="2505"/>
        <v/>
      </c>
      <c r="ED102" s="32" t="str">
        <f t="shared" si="2505"/>
        <v/>
      </c>
      <c r="EE102" s="32" t="str">
        <f t="shared" si="2505"/>
        <v/>
      </c>
      <c r="EF102" s="32" t="str">
        <f t="shared" si="2505"/>
        <v/>
      </c>
      <c r="EG102" s="32" t="str">
        <f t="shared" si="2505"/>
        <v/>
      </c>
      <c r="EH102" s="32" t="str">
        <f t="shared" si="2505"/>
        <v/>
      </c>
      <c r="EI102" s="32" t="str">
        <f t="shared" si="2505"/>
        <v/>
      </c>
      <c r="EJ102" s="32" t="str">
        <f t="shared" si="2505"/>
        <v/>
      </c>
      <c r="EK102" s="32" t="str">
        <f t="shared" si="2505"/>
        <v/>
      </c>
      <c r="EL102" s="32" t="str">
        <f t="shared" si="2505"/>
        <v/>
      </c>
      <c r="EM102" s="32" t="str">
        <f t="shared" si="2505"/>
        <v/>
      </c>
      <c r="EN102" s="32" t="str">
        <f t="shared" si="2505"/>
        <v/>
      </c>
      <c r="EO102" s="32" t="str">
        <f t="shared" si="2505"/>
        <v/>
      </c>
      <c r="EP102" s="32" t="str">
        <f t="shared" si="2505"/>
        <v/>
      </c>
      <c r="EQ102" s="32" t="str">
        <f t="shared" si="2505"/>
        <v/>
      </c>
      <c r="ER102" s="32" t="str">
        <f t="shared" si="2505"/>
        <v/>
      </c>
      <c r="ES102" s="32" t="str">
        <f t="shared" si="2505"/>
        <v/>
      </c>
      <c r="ET102" s="32" t="str">
        <f t="shared" si="2505"/>
        <v/>
      </c>
      <c r="EU102" s="32" t="str">
        <f t="shared" si="2505"/>
        <v/>
      </c>
      <c r="EV102" s="32" t="str">
        <f t="shared" si="2505"/>
        <v/>
      </c>
      <c r="EW102" s="32" t="str">
        <f t="shared" si="2505"/>
        <v/>
      </c>
      <c r="EX102" s="32" t="str">
        <f t="shared" si="2505"/>
        <v/>
      </c>
      <c r="EY102" s="33" t="str">
        <f t="shared" si="2505"/>
        <v/>
      </c>
      <c r="EZ102" s="32" t="str">
        <f t="shared" si="2505"/>
        <v/>
      </c>
      <c r="FA102" s="32" t="str">
        <f t="shared" si="2505"/>
        <v/>
      </c>
      <c r="FB102" s="32" t="str">
        <f t="shared" si="2505"/>
        <v/>
      </c>
      <c r="FC102" s="32" t="str">
        <f t="shared" si="2505"/>
        <v/>
      </c>
      <c r="FD102" s="32" t="str">
        <f t="shared" si="2505"/>
        <v/>
      </c>
      <c r="FE102" s="32" t="str">
        <f t="shared" si="2505"/>
        <v/>
      </c>
      <c r="FF102" s="32" t="str">
        <f t="shared" si="2505"/>
        <v/>
      </c>
      <c r="FG102" s="32" t="str">
        <f t="shared" si="2505"/>
        <v/>
      </c>
      <c r="FH102" s="32" t="str">
        <f t="shared" si="2505"/>
        <v/>
      </c>
      <c r="FI102" s="32" t="str">
        <f t="shared" si="2505"/>
        <v/>
      </c>
      <c r="FJ102" s="32" t="str">
        <f t="shared" si="2505"/>
        <v/>
      </c>
      <c r="FK102" s="32" t="str">
        <f t="shared" ref="FK102:FQ102" si="2506">IF(SUBTOTAL(9,FK104:FK108,FK110:FK114,FK116:FK120,FK122:FK126,FK128:FK132)&gt;0,SUBTOTAL(9,FK104:FK108,FK110:FK114,FK116:FK120,FK122:FK126,FK128:FK132),"")</f>
        <v/>
      </c>
      <c r="FL102" s="32" t="str">
        <f t="shared" si="2506"/>
        <v/>
      </c>
      <c r="FM102" s="32" t="str">
        <f t="shared" si="2506"/>
        <v/>
      </c>
      <c r="FN102" s="32" t="str">
        <f t="shared" si="2506"/>
        <v/>
      </c>
      <c r="FO102" s="32" t="str">
        <f t="shared" si="2506"/>
        <v/>
      </c>
      <c r="FP102" s="32" t="str">
        <f t="shared" si="2506"/>
        <v/>
      </c>
      <c r="FQ102" s="90" t="str">
        <f t="shared" si="2506"/>
        <v/>
      </c>
      <c r="FR102" s="8"/>
      <c r="FS102" s="9" t="s">
        <v>131</v>
      </c>
      <c r="FT102" s="9" t="str">
        <f t="shared" si="1838"/>
        <v/>
      </c>
    </row>
    <row r="103" spans="1:176" s="9" customFormat="1" ht="12" customHeight="1">
      <c r="A103" s="119" t="s">
        <v>77</v>
      </c>
      <c r="B103" s="127"/>
      <c r="C103" s="121" t="str">
        <f t="shared" si="1837"/>
        <v>18 days</v>
      </c>
      <c r="D103" s="27"/>
      <c r="E103" s="91" t="str">
        <f t="shared" ref="E103" si="2507">IF(SUBTOTAL(9,E104:E108)&gt;0,SUBTOTAL(9,E104:E108),"")</f>
        <v/>
      </c>
      <c r="F103" s="34" t="str">
        <f t="shared" ref="F103" si="2508">IF(SUBTOTAL(9,F104:F108)&gt;0,SUBTOTAL(9,F104:F108),"")</f>
        <v/>
      </c>
      <c r="G103" s="34" t="str">
        <f t="shared" ref="G103" si="2509">IF(SUBTOTAL(9,G104:G108)&gt;0,SUBTOTAL(9,G104:G108),"")</f>
        <v/>
      </c>
      <c r="H103" s="34" t="str">
        <f t="shared" ref="H103" si="2510">IF(SUBTOTAL(9,H104:H108)&gt;0,SUBTOTAL(9,H104:H108),"")</f>
        <v/>
      </c>
      <c r="I103" s="34" t="str">
        <f t="shared" ref="I103" si="2511">IF(SUBTOTAL(9,I104:I108)&gt;0,SUBTOTAL(9,I104:I108),"")</f>
        <v/>
      </c>
      <c r="J103" s="34" t="str">
        <f>IF(SUBTOTAL(9,J104:J108)&gt;0,SUBTOTAL(9,J104:J108),"")</f>
        <v/>
      </c>
      <c r="K103" s="34">
        <f>IF(SUBTOTAL(9,K104:K108)&gt;0,SUBTOTAL(9,K104:K108),"")</f>
        <v>1</v>
      </c>
      <c r="L103" s="34">
        <f>IF(SUBTOTAL(9,L104:L108)&gt;0,SUBTOTAL(9,L104:L108),"")</f>
        <v>1</v>
      </c>
      <c r="M103" s="34">
        <f>IF(SUBTOTAL(9,M104:M108)&gt;0,SUBTOTAL(9,M104:M108),"")</f>
        <v>1</v>
      </c>
      <c r="N103" s="34">
        <f>IF(SUBTOTAL(9,N104:N108)&gt;0,SUBTOTAL(9,N104:N108),"")</f>
        <v>1</v>
      </c>
      <c r="O103" s="34" t="str">
        <f t="shared" ref="O103" si="2512">IF(SUBTOTAL(9,O104:O108)&gt;0,SUBTOTAL(9,O104:O108),"")</f>
        <v/>
      </c>
      <c r="P103" s="34" t="str">
        <f t="shared" ref="P103" si="2513">IF(SUBTOTAL(9,P104:P108)&gt;0,SUBTOTAL(9,P104:P108),"")</f>
        <v/>
      </c>
      <c r="Q103" s="34" t="str">
        <f t="shared" ref="Q103" si="2514">IF(SUBTOTAL(9,Q104:Q108)&gt;0,SUBTOTAL(9,Q104:Q108),"")</f>
        <v/>
      </c>
      <c r="R103" s="34" t="str">
        <f t="shared" ref="R103" si="2515">IF(SUBTOTAL(9,R104:R108)&gt;0,SUBTOTAL(9,R104:R108),"")</f>
        <v/>
      </c>
      <c r="S103" s="34" t="str">
        <f t="shared" ref="S103" si="2516">IF(SUBTOTAL(9,S104:S108)&gt;0,SUBTOTAL(9,S104:S108),"")</f>
        <v/>
      </c>
      <c r="T103" s="34" t="str">
        <f t="shared" ref="T103" si="2517">IF(SUBTOTAL(9,T104:T108)&gt;0,SUBTOTAL(9,T104:T108),"")</f>
        <v/>
      </c>
      <c r="U103" s="34" t="str">
        <f t="shared" ref="U103" si="2518">IF(SUBTOTAL(9,U104:U108)&gt;0,SUBTOTAL(9,U104:U108),"")</f>
        <v/>
      </c>
      <c r="V103" s="34" t="str">
        <f t="shared" ref="V103" si="2519">IF(SUBTOTAL(9,V104:V108)&gt;0,SUBTOTAL(9,V104:V108),"")</f>
        <v/>
      </c>
      <c r="W103" s="34" t="str">
        <f t="shared" ref="W103" si="2520">IF(SUBTOTAL(9,W104:W108)&gt;0,SUBTOTAL(9,W104:W108),"")</f>
        <v/>
      </c>
      <c r="X103" s="34" t="str">
        <f t="shared" ref="X103" si="2521">IF(SUBTOTAL(9,X104:X108)&gt;0,SUBTOTAL(9,X104:X108),"")</f>
        <v/>
      </c>
      <c r="Y103" s="34" t="str">
        <f t="shared" ref="Y103" si="2522">IF(SUBTOTAL(9,Y104:Y108)&gt;0,SUBTOTAL(9,Y104:Y108),"")</f>
        <v/>
      </c>
      <c r="Z103" s="34" t="str">
        <f t="shared" ref="Z103" si="2523">IF(SUBTOTAL(9,Z104:Z108)&gt;0,SUBTOTAL(9,Z104:Z108),"")</f>
        <v/>
      </c>
      <c r="AA103" s="34" t="str">
        <f t="shared" ref="AA103" si="2524">IF(SUBTOTAL(9,AA104:AA108)&gt;0,SUBTOTAL(9,AA104:AA108),"")</f>
        <v/>
      </c>
      <c r="AB103" s="34" t="str">
        <f t="shared" ref="AB103" si="2525">IF(SUBTOTAL(9,AB104:AB108)&gt;0,SUBTOTAL(9,AB104:AB108),"")</f>
        <v/>
      </c>
      <c r="AC103" s="34" t="str">
        <f t="shared" ref="AC103" si="2526">IF(SUBTOTAL(9,AC104:AC108)&gt;0,SUBTOTAL(9,AC104:AC108),"")</f>
        <v/>
      </c>
      <c r="AD103" s="34" t="str">
        <f t="shared" ref="AD103" si="2527">IF(SUBTOTAL(9,AD104:AD108)&gt;0,SUBTOTAL(9,AD104:AD108),"")</f>
        <v/>
      </c>
      <c r="AE103" s="34" t="str">
        <f t="shared" ref="AE103" si="2528">IF(SUBTOTAL(9,AE104:AE108)&gt;0,SUBTOTAL(9,AE104:AE108),"")</f>
        <v/>
      </c>
      <c r="AF103" s="34" t="str">
        <f t="shared" ref="AF103" si="2529">IF(SUBTOTAL(9,AF104:AF108)&gt;0,SUBTOTAL(9,AF104:AF108),"")</f>
        <v/>
      </c>
      <c r="AG103" s="34" t="str">
        <f t="shared" ref="AG103" si="2530">IF(SUBTOTAL(9,AG104:AG108)&gt;0,SUBTOTAL(9,AG104:AG108),"")</f>
        <v/>
      </c>
      <c r="AH103" s="34" t="str">
        <f t="shared" ref="AH103" si="2531">IF(SUBTOTAL(9,AH104:AH108)&gt;0,SUBTOTAL(9,AH104:AH108),"")</f>
        <v/>
      </c>
      <c r="AI103" s="34" t="str">
        <f t="shared" ref="AI103" si="2532">IF(SUBTOTAL(9,AI104:AI108)&gt;0,SUBTOTAL(9,AI104:AI108),"")</f>
        <v/>
      </c>
      <c r="AJ103" s="34" t="str">
        <f t="shared" ref="AJ103" si="2533">IF(SUBTOTAL(9,AJ104:AJ108)&gt;0,SUBTOTAL(9,AJ104:AJ108),"")</f>
        <v/>
      </c>
      <c r="AK103" s="34" t="str">
        <f t="shared" ref="AK103" si="2534">IF(SUBTOTAL(9,AK104:AK108)&gt;0,SUBTOTAL(9,AK104:AK108),"")</f>
        <v/>
      </c>
      <c r="AL103" s="33" t="str">
        <f t="shared" ref="AL103" si="2535">IF(SUBTOTAL(9,AL104:AL108)&gt;0,SUBTOTAL(9,AL104:AL108),"")</f>
        <v/>
      </c>
      <c r="AM103" s="33" t="str">
        <f t="shared" ref="AM103" si="2536">IF(SUBTOTAL(9,AM104:AM108)&gt;0,SUBTOTAL(9,AM104:AM108),"")</f>
        <v/>
      </c>
      <c r="AN103" s="33" t="str">
        <f t="shared" ref="AN103" si="2537">IF(SUBTOTAL(9,AN104:AN108)&gt;0,SUBTOTAL(9,AN104:AN108),"")</f>
        <v/>
      </c>
      <c r="AO103" s="33" t="str">
        <f t="shared" ref="AO103" si="2538">IF(SUBTOTAL(9,AO104:AO108)&gt;0,SUBTOTAL(9,AO104:AO108),"")</f>
        <v/>
      </c>
      <c r="AP103" s="33" t="str">
        <f t="shared" ref="AP103" si="2539">IF(SUBTOTAL(9,AP104:AP108)&gt;0,SUBTOTAL(9,AP104:AP108),"")</f>
        <v/>
      </c>
      <c r="AQ103" s="33" t="str">
        <f t="shared" ref="AQ103" si="2540">IF(SUBTOTAL(9,AQ104:AQ108)&gt;0,SUBTOTAL(9,AQ104:AQ108),"")</f>
        <v/>
      </c>
      <c r="AR103" s="33" t="str">
        <f t="shared" ref="AR103" si="2541">IF(SUBTOTAL(9,AR104:AR108)&gt;0,SUBTOTAL(9,AR104:AR108),"")</f>
        <v/>
      </c>
      <c r="AS103" s="34" t="str">
        <f t="shared" ref="AS103" si="2542">IF(SUBTOTAL(9,AS104:AS108)&gt;0,SUBTOTAL(9,AS104:AS108),"")</f>
        <v/>
      </c>
      <c r="AT103" s="34" t="str">
        <f t="shared" ref="AT103" si="2543">IF(SUBTOTAL(9,AT104:AT108)&gt;0,SUBTOTAL(9,AT104:AT108),"")</f>
        <v/>
      </c>
      <c r="AU103" s="34" t="str">
        <f t="shared" ref="AU103" si="2544">IF(SUBTOTAL(9,AU104:AU108)&gt;0,SUBTOTAL(9,AU104:AU108),"")</f>
        <v/>
      </c>
      <c r="AV103" s="34" t="str">
        <f t="shared" ref="AV103" si="2545">IF(SUBTOTAL(9,AV104:AV108)&gt;0,SUBTOTAL(9,AV104:AV108),"")</f>
        <v/>
      </c>
      <c r="AW103" s="34" t="str">
        <f t="shared" ref="AW103" si="2546">IF(SUBTOTAL(9,AW104:AW108)&gt;0,SUBTOTAL(9,AW104:AW108),"")</f>
        <v/>
      </c>
      <c r="AX103" s="34" t="str">
        <f t="shared" ref="AX103" si="2547">IF(SUBTOTAL(9,AX104:AX108)&gt;0,SUBTOTAL(9,AX104:AX108),"")</f>
        <v/>
      </c>
      <c r="AY103" s="34">
        <f t="shared" ref="AY103" si="2548">IF(SUBTOTAL(9,AY104:AY108)&gt;0,SUBTOTAL(9,AY104:AY108),"")</f>
        <v>1</v>
      </c>
      <c r="AZ103" s="34">
        <f t="shared" ref="AZ103" si="2549">IF(SUBTOTAL(9,AZ104:AZ108)&gt;0,SUBTOTAL(9,AZ104:AZ108),"")</f>
        <v>1</v>
      </c>
      <c r="BA103" s="34">
        <f t="shared" ref="BA103" si="2550">IF(SUBTOTAL(9,BA104:BA108)&gt;0,SUBTOTAL(9,BA104:BA108),"")</f>
        <v>1</v>
      </c>
      <c r="BB103" s="34">
        <f t="shared" ref="BB103" si="2551">IF(SUBTOTAL(9,BB104:BB108)&gt;0,SUBTOTAL(9,BB104:BB108),"")</f>
        <v>1</v>
      </c>
      <c r="BC103" s="34">
        <f t="shared" ref="BC103" si="2552">IF(SUBTOTAL(9,BC104:BC108)&gt;0,SUBTOTAL(9,BC104:BC108),"")</f>
        <v>1</v>
      </c>
      <c r="BD103" s="34">
        <f t="shared" ref="BD103" si="2553">IF(SUBTOTAL(9,BD104:BD108)&gt;0,SUBTOTAL(9,BD104:BD108),"")</f>
        <v>1</v>
      </c>
      <c r="BE103" s="34">
        <f t="shared" ref="BE103" si="2554">IF(SUBTOTAL(9,BE104:BE108)&gt;0,SUBTOTAL(9,BE104:BE108),"")</f>
        <v>1</v>
      </c>
      <c r="BF103" s="34">
        <f t="shared" ref="BF103" si="2555">IF(SUBTOTAL(9,BF104:BF108)&gt;0,SUBTOTAL(9,BF104:BF108),"")</f>
        <v>1</v>
      </c>
      <c r="BG103" s="34">
        <f t="shared" ref="BG103" si="2556">IF(SUBTOTAL(9,BG104:BG108)&gt;0,SUBTOTAL(9,BG104:BG108),"")</f>
        <v>1</v>
      </c>
      <c r="BH103" s="34">
        <f t="shared" ref="BH103" si="2557">IF(SUBTOTAL(9,BH104:BH108)&gt;0,SUBTOTAL(9,BH104:BH108),"")</f>
        <v>1</v>
      </c>
      <c r="BI103" s="34">
        <f t="shared" ref="BI103" si="2558">IF(SUBTOTAL(9,BI104:BI108)&gt;0,SUBTOTAL(9,BI104:BI108),"")</f>
        <v>1</v>
      </c>
      <c r="BJ103" s="34">
        <f t="shared" ref="BJ103" si="2559">IF(SUBTOTAL(9,BJ104:BJ108)&gt;0,SUBTOTAL(9,BJ104:BJ108),"")</f>
        <v>1</v>
      </c>
      <c r="BK103" s="34">
        <f t="shared" ref="BK103" si="2560">IF(SUBTOTAL(9,BK104:BK108)&gt;0,SUBTOTAL(9,BK104:BK108),"")</f>
        <v>1</v>
      </c>
      <c r="BL103" s="34">
        <f t="shared" ref="BL103" si="2561">IF(SUBTOTAL(9,BL104:BL108)&gt;0,SUBTOTAL(9,BL104:BL108),"")</f>
        <v>1</v>
      </c>
      <c r="BM103" s="34" t="str">
        <f t="shared" ref="BM103" si="2562">IF(SUBTOTAL(9,BM104:BM108)&gt;0,SUBTOTAL(9,BM104:BM108),"")</f>
        <v/>
      </c>
      <c r="BN103" s="34" t="str">
        <f t="shared" ref="BN103" si="2563">IF(SUBTOTAL(9,BN104:BN108)&gt;0,SUBTOTAL(9,BN104:BN108),"")</f>
        <v/>
      </c>
      <c r="BO103" s="34" t="str">
        <f t="shared" ref="BO103" si="2564">IF(SUBTOTAL(9,BO104:BO108)&gt;0,SUBTOTAL(9,BO104:BO108),"")</f>
        <v/>
      </c>
      <c r="BP103" s="34" t="str">
        <f t="shared" ref="BP103" si="2565">IF(SUBTOTAL(9,BP104:BP108)&gt;0,SUBTOTAL(9,BP104:BP108),"")</f>
        <v/>
      </c>
      <c r="BQ103" s="34" t="str">
        <f t="shared" ref="BQ103" si="2566">IF(SUBTOTAL(9,BQ104:BQ108)&gt;0,SUBTOTAL(9,BQ104:BQ108),"")</f>
        <v/>
      </c>
      <c r="BR103" s="34" t="str">
        <f t="shared" ref="BR103" si="2567">IF(SUBTOTAL(9,BR104:BR108)&gt;0,SUBTOTAL(9,BR104:BR108),"")</f>
        <v/>
      </c>
      <c r="BS103" s="34" t="str">
        <f t="shared" ref="BS103" si="2568">IF(SUBTOTAL(9,BS104:BS108)&gt;0,SUBTOTAL(9,BS104:BS108),"")</f>
        <v/>
      </c>
      <c r="BT103" s="34" t="str">
        <f t="shared" ref="BT103" si="2569">IF(SUBTOTAL(9,BT104:BT108)&gt;0,SUBTOTAL(9,BT104:BT108),"")</f>
        <v/>
      </c>
      <c r="BU103" s="34" t="str">
        <f t="shared" ref="BU103" si="2570">IF(SUBTOTAL(9,BU104:BU108)&gt;0,SUBTOTAL(9,BU104:BU108),"")</f>
        <v/>
      </c>
      <c r="BV103" s="34" t="str">
        <f t="shared" ref="BV103" si="2571">IF(SUBTOTAL(9,BV104:BV108)&gt;0,SUBTOTAL(9,BV104:BV108),"")</f>
        <v/>
      </c>
      <c r="BW103" s="34" t="str">
        <f t="shared" ref="BW103" si="2572">IF(SUBTOTAL(9,BW104:BW108)&gt;0,SUBTOTAL(9,BW104:BW108),"")</f>
        <v/>
      </c>
      <c r="BX103" s="34" t="str">
        <f t="shared" ref="BX103" si="2573">IF(SUBTOTAL(9,BX104:BX108)&gt;0,SUBTOTAL(9,BX104:BX108),"")</f>
        <v/>
      </c>
      <c r="BY103" s="34" t="str">
        <f t="shared" ref="BY103" si="2574">IF(SUBTOTAL(9,BY104:BY108)&gt;0,SUBTOTAL(9,BY104:BY108),"")</f>
        <v/>
      </c>
      <c r="BZ103" s="34" t="str">
        <f t="shared" ref="BZ103" si="2575">IF(SUBTOTAL(9,BZ104:BZ108)&gt;0,SUBTOTAL(9,BZ104:BZ108),"")</f>
        <v/>
      </c>
      <c r="CA103" s="34" t="str">
        <f t="shared" ref="CA103" si="2576">IF(SUBTOTAL(9,CA104:CA108)&gt;0,SUBTOTAL(9,CA104:CA108),"")</f>
        <v/>
      </c>
      <c r="CB103" s="34" t="str">
        <f t="shared" ref="CB103" si="2577">IF(SUBTOTAL(9,CB104:CB108)&gt;0,SUBTOTAL(9,CB104:CB108),"")</f>
        <v/>
      </c>
      <c r="CC103" s="34" t="str">
        <f t="shared" ref="CC103" si="2578">IF(SUBTOTAL(9,CC104:CC108)&gt;0,SUBTOTAL(9,CC104:CC108),"")</f>
        <v/>
      </c>
      <c r="CD103" s="34" t="str">
        <f t="shared" ref="CD103" si="2579">IF(SUBTOTAL(9,CD104:CD108)&gt;0,SUBTOTAL(9,CD104:CD108),"")</f>
        <v/>
      </c>
      <c r="CE103" s="34" t="str">
        <f t="shared" ref="CE103" si="2580">IF(SUBTOTAL(9,CE104:CE108)&gt;0,SUBTOTAL(9,CE104:CE108),"")</f>
        <v/>
      </c>
      <c r="CF103" s="34" t="str">
        <f t="shared" ref="CF103:CG103" si="2581">IF(SUBTOTAL(9,CF104:CF108)&gt;0,SUBTOTAL(9,CF104:CF108),"")</f>
        <v/>
      </c>
      <c r="CG103" s="34" t="str">
        <f t="shared" si="2581"/>
        <v/>
      </c>
      <c r="CH103" s="34" t="str">
        <f t="shared" ref="CH103" si="2582">IF(SUBTOTAL(9,CH104:CH108)&gt;0,SUBTOTAL(9,CH104:CH108),"")</f>
        <v/>
      </c>
      <c r="CI103" s="34" t="str">
        <f t="shared" ref="CI103" si="2583">IF(SUBTOTAL(9,CI104:CI108)&gt;0,SUBTOTAL(9,CI104:CI108),"")</f>
        <v/>
      </c>
      <c r="CJ103" s="34" t="str">
        <f t="shared" ref="CJ103" si="2584">IF(SUBTOTAL(9,CJ104:CJ108)&gt;0,SUBTOTAL(9,CJ104:CJ108),"")</f>
        <v/>
      </c>
      <c r="CK103" s="34" t="str">
        <f t="shared" ref="CK103" si="2585">IF(SUBTOTAL(9,CK104:CK108)&gt;0,SUBTOTAL(9,CK104:CK108),"")</f>
        <v/>
      </c>
      <c r="CL103" s="34" t="str">
        <f t="shared" ref="CL103" si="2586">IF(SUBTOTAL(9,CL104:CL108)&gt;0,SUBTOTAL(9,CL104:CL108),"")</f>
        <v/>
      </c>
      <c r="CM103" s="34" t="str">
        <f t="shared" ref="CM103" si="2587">IF(SUBTOTAL(9,CM104:CM108)&gt;0,SUBTOTAL(9,CM104:CM108),"")</f>
        <v/>
      </c>
      <c r="CN103" s="34" t="str">
        <f t="shared" ref="CN103" si="2588">IF(SUBTOTAL(9,CN104:CN108)&gt;0,SUBTOTAL(9,CN104:CN108),"")</f>
        <v/>
      </c>
      <c r="CO103" s="34" t="str">
        <f t="shared" ref="CO103" si="2589">IF(SUBTOTAL(9,CO104:CO108)&gt;0,SUBTOTAL(9,CO104:CO108),"")</f>
        <v/>
      </c>
      <c r="CP103" s="34" t="str">
        <f t="shared" ref="CP103" si="2590">IF(SUBTOTAL(9,CP104:CP108)&gt;0,SUBTOTAL(9,CP104:CP108),"")</f>
        <v/>
      </c>
      <c r="CQ103" s="34" t="str">
        <f t="shared" ref="CQ103" si="2591">IF(SUBTOTAL(9,CQ104:CQ108)&gt;0,SUBTOTAL(9,CQ104:CQ108),"")</f>
        <v/>
      </c>
      <c r="CR103" s="34" t="str">
        <f t="shared" ref="CR103" si="2592">IF(SUBTOTAL(9,CR104:CR108)&gt;0,SUBTOTAL(9,CR104:CR108),"")</f>
        <v/>
      </c>
      <c r="CS103" s="34" t="str">
        <f t="shared" ref="CS103" si="2593">IF(SUBTOTAL(9,CS104:CS108)&gt;0,SUBTOTAL(9,CS104:CS108),"")</f>
        <v/>
      </c>
      <c r="CT103" s="33" t="str">
        <f t="shared" ref="CT103" si="2594">IF(SUBTOTAL(9,CT104:CT108)&gt;0,SUBTOTAL(9,CT104:CT108),"")</f>
        <v/>
      </c>
      <c r="CU103" s="34" t="str">
        <f t="shared" ref="CU103" si="2595">IF(SUBTOTAL(9,CU104:CU108)&gt;0,SUBTOTAL(9,CU104:CU108),"")</f>
        <v/>
      </c>
      <c r="CV103" s="34" t="str">
        <f t="shared" ref="CV103" si="2596">IF(SUBTOTAL(9,CV104:CV108)&gt;0,SUBTOTAL(9,CV104:CV108),"")</f>
        <v/>
      </c>
      <c r="CW103" s="34" t="str">
        <f t="shared" ref="CW103" si="2597">IF(SUBTOTAL(9,CW104:CW108)&gt;0,SUBTOTAL(9,CW104:CW108),"")</f>
        <v/>
      </c>
      <c r="CX103" s="34" t="str">
        <f t="shared" ref="CX103" si="2598">IF(SUBTOTAL(9,CX104:CX108)&gt;0,SUBTOTAL(9,CX104:CX108),"")</f>
        <v/>
      </c>
      <c r="CY103" s="34" t="str">
        <f t="shared" ref="CY103" si="2599">IF(SUBTOTAL(9,CY104:CY108)&gt;0,SUBTOTAL(9,CY104:CY108),"")</f>
        <v/>
      </c>
      <c r="CZ103" s="33" t="str">
        <f t="shared" ref="CZ103" si="2600">IF(SUBTOTAL(9,CZ104:CZ108)&gt;0,SUBTOTAL(9,CZ104:CZ108),"")</f>
        <v/>
      </c>
      <c r="DA103" s="33" t="str">
        <f t="shared" ref="DA103" si="2601">IF(SUBTOTAL(9,DA104:DA108)&gt;0,SUBTOTAL(9,DA104:DA108),"")</f>
        <v/>
      </c>
      <c r="DB103" s="34" t="str">
        <f t="shared" ref="DB103" si="2602">IF(SUBTOTAL(9,DB104:DB108)&gt;0,SUBTOTAL(9,DB104:DB108),"")</f>
        <v/>
      </c>
      <c r="DC103" s="34" t="str">
        <f t="shared" ref="DC103" si="2603">IF(SUBTOTAL(9,DC104:DC108)&gt;0,SUBTOTAL(9,DC104:DC108),"")</f>
        <v/>
      </c>
      <c r="DD103" s="34" t="str">
        <f t="shared" ref="DD103" si="2604">IF(SUBTOTAL(9,DD104:DD108)&gt;0,SUBTOTAL(9,DD104:DD108),"")</f>
        <v/>
      </c>
      <c r="DE103" s="34" t="str">
        <f t="shared" ref="DE103" si="2605">IF(SUBTOTAL(9,DE104:DE108)&gt;0,SUBTOTAL(9,DE104:DE108),"")</f>
        <v/>
      </c>
      <c r="DF103" s="34" t="str">
        <f t="shared" ref="DF103" si="2606">IF(SUBTOTAL(9,DF104:DF108)&gt;0,SUBTOTAL(9,DF104:DF108),"")</f>
        <v/>
      </c>
      <c r="DG103" s="34" t="str">
        <f t="shared" ref="DG103" si="2607">IF(SUBTOTAL(9,DG104:DG108)&gt;0,SUBTOTAL(9,DG104:DG108),"")</f>
        <v/>
      </c>
      <c r="DH103" s="34" t="str">
        <f t="shared" ref="DH103" si="2608">IF(SUBTOTAL(9,DH104:DH108)&gt;0,SUBTOTAL(9,DH104:DH108),"")</f>
        <v/>
      </c>
      <c r="DI103" s="34" t="str">
        <f t="shared" ref="DI103" si="2609">IF(SUBTOTAL(9,DI104:DI108)&gt;0,SUBTOTAL(9,DI104:DI108),"")</f>
        <v/>
      </c>
      <c r="DJ103" s="34" t="str">
        <f t="shared" ref="DJ103" si="2610">IF(SUBTOTAL(9,DJ104:DJ108)&gt;0,SUBTOTAL(9,DJ104:DJ108),"")</f>
        <v/>
      </c>
      <c r="DK103" s="34" t="str">
        <f t="shared" ref="DK103" si="2611">IF(SUBTOTAL(9,DK104:DK108)&gt;0,SUBTOTAL(9,DK104:DK108),"")</f>
        <v/>
      </c>
      <c r="DL103" s="34" t="str">
        <f t="shared" ref="DL103" si="2612">IF(SUBTOTAL(9,DL104:DL108)&gt;0,SUBTOTAL(9,DL104:DL108),"")</f>
        <v/>
      </c>
      <c r="DM103" s="34" t="str">
        <f t="shared" ref="DM103" si="2613">IF(SUBTOTAL(9,DM104:DM108)&gt;0,SUBTOTAL(9,DM104:DM108),"")</f>
        <v/>
      </c>
      <c r="DN103" s="34" t="str">
        <f t="shared" ref="DN103" si="2614">IF(SUBTOTAL(9,DN104:DN108)&gt;0,SUBTOTAL(9,DN104:DN108),"")</f>
        <v/>
      </c>
      <c r="DO103" s="34" t="str">
        <f t="shared" ref="DO103" si="2615">IF(SUBTOTAL(9,DO104:DO108)&gt;0,SUBTOTAL(9,DO104:DO108),"")</f>
        <v/>
      </c>
      <c r="DP103" s="34" t="str">
        <f t="shared" ref="DP103" si="2616">IF(SUBTOTAL(9,DP104:DP108)&gt;0,SUBTOTAL(9,DP104:DP108),"")</f>
        <v/>
      </c>
      <c r="DQ103" s="34" t="str">
        <f t="shared" ref="DQ103" si="2617">IF(SUBTOTAL(9,DQ104:DQ108)&gt;0,SUBTOTAL(9,DQ104:DQ108),"")</f>
        <v/>
      </c>
      <c r="DR103" s="34" t="str">
        <f t="shared" ref="DR103" si="2618">IF(SUBTOTAL(9,DR104:DR108)&gt;0,SUBTOTAL(9,DR104:DR108),"")</f>
        <v/>
      </c>
      <c r="DS103" s="34" t="str">
        <f t="shared" ref="DS103" si="2619">IF(SUBTOTAL(9,DS104:DS108)&gt;0,SUBTOTAL(9,DS104:DS108),"")</f>
        <v/>
      </c>
      <c r="DT103" s="34" t="str">
        <f t="shared" ref="DT103" si="2620">IF(SUBTOTAL(9,DT104:DT108)&gt;0,SUBTOTAL(9,DT104:DT108),"")</f>
        <v/>
      </c>
      <c r="DU103" s="34" t="str">
        <f t="shared" ref="DU103" si="2621">IF(SUBTOTAL(9,DU104:DU108)&gt;0,SUBTOTAL(9,DU104:DU108),"")</f>
        <v/>
      </c>
      <c r="DV103" s="34" t="str">
        <f t="shared" ref="DV103" si="2622">IF(SUBTOTAL(9,DV104:DV108)&gt;0,SUBTOTAL(9,DV104:DV108),"")</f>
        <v/>
      </c>
      <c r="DW103" s="34" t="str">
        <f t="shared" ref="DW103" si="2623">IF(SUBTOTAL(9,DW104:DW108)&gt;0,SUBTOTAL(9,DW104:DW108),"")</f>
        <v/>
      </c>
      <c r="DX103" s="34" t="str">
        <f t="shared" ref="DX103" si="2624">IF(SUBTOTAL(9,DX104:DX108)&gt;0,SUBTOTAL(9,DX104:DX108),"")</f>
        <v/>
      </c>
      <c r="DY103" s="34" t="str">
        <f t="shared" ref="DY103" si="2625">IF(SUBTOTAL(9,DY104:DY108)&gt;0,SUBTOTAL(9,DY104:DY108),"")</f>
        <v/>
      </c>
      <c r="DZ103" s="33" t="str">
        <f t="shared" ref="DZ103" si="2626">IF(SUBTOTAL(9,DZ104:DZ108)&gt;0,SUBTOTAL(9,DZ104:DZ108),"")</f>
        <v/>
      </c>
      <c r="EA103" s="34" t="str">
        <f t="shared" ref="EA103" si="2627">IF(SUBTOTAL(9,EA104:EA108)&gt;0,SUBTOTAL(9,EA104:EA108),"")</f>
        <v/>
      </c>
      <c r="EB103" s="34" t="str">
        <f t="shared" ref="EB103" si="2628">IF(SUBTOTAL(9,EB104:EB108)&gt;0,SUBTOTAL(9,EB104:EB108),"")</f>
        <v/>
      </c>
      <c r="EC103" s="34" t="str">
        <f t="shared" ref="EC103" si="2629">IF(SUBTOTAL(9,EC104:EC108)&gt;0,SUBTOTAL(9,EC104:EC108),"")</f>
        <v/>
      </c>
      <c r="ED103" s="34" t="str">
        <f t="shared" ref="ED103" si="2630">IF(SUBTOTAL(9,ED104:ED108)&gt;0,SUBTOTAL(9,ED104:ED108),"")</f>
        <v/>
      </c>
      <c r="EE103" s="34" t="str">
        <f t="shared" ref="EE103" si="2631">IF(SUBTOTAL(9,EE104:EE108)&gt;0,SUBTOTAL(9,EE104:EE108),"")</f>
        <v/>
      </c>
      <c r="EF103" s="34" t="str">
        <f t="shared" ref="EF103" si="2632">IF(SUBTOTAL(9,EF104:EF108)&gt;0,SUBTOTAL(9,EF104:EF108),"")</f>
        <v/>
      </c>
      <c r="EG103" s="34" t="str">
        <f t="shared" ref="EG103" si="2633">IF(SUBTOTAL(9,EG104:EG108)&gt;0,SUBTOTAL(9,EG104:EG108),"")</f>
        <v/>
      </c>
      <c r="EH103" s="34" t="str">
        <f t="shared" ref="EH103" si="2634">IF(SUBTOTAL(9,EH104:EH108)&gt;0,SUBTOTAL(9,EH104:EH108),"")</f>
        <v/>
      </c>
      <c r="EI103" s="34" t="str">
        <f t="shared" ref="EI103" si="2635">IF(SUBTOTAL(9,EI104:EI108)&gt;0,SUBTOTAL(9,EI104:EI108),"")</f>
        <v/>
      </c>
      <c r="EJ103" s="34" t="str">
        <f t="shared" ref="EJ103" si="2636">IF(SUBTOTAL(9,EJ104:EJ108)&gt;0,SUBTOTAL(9,EJ104:EJ108),"")</f>
        <v/>
      </c>
      <c r="EK103" s="34" t="str">
        <f t="shared" ref="EK103" si="2637">IF(SUBTOTAL(9,EK104:EK108)&gt;0,SUBTOTAL(9,EK104:EK108),"")</f>
        <v/>
      </c>
      <c r="EL103" s="34" t="str">
        <f t="shared" ref="EL103" si="2638">IF(SUBTOTAL(9,EL104:EL108)&gt;0,SUBTOTAL(9,EL104:EL108),"")</f>
        <v/>
      </c>
      <c r="EM103" s="34" t="str">
        <f t="shared" ref="EM103" si="2639">IF(SUBTOTAL(9,EM104:EM108)&gt;0,SUBTOTAL(9,EM104:EM108),"")</f>
        <v/>
      </c>
      <c r="EN103" s="34" t="str">
        <f t="shared" ref="EN103" si="2640">IF(SUBTOTAL(9,EN104:EN108)&gt;0,SUBTOTAL(9,EN104:EN108),"")</f>
        <v/>
      </c>
      <c r="EO103" s="34" t="str">
        <f t="shared" ref="EO103" si="2641">IF(SUBTOTAL(9,EO104:EO108)&gt;0,SUBTOTAL(9,EO104:EO108),"")</f>
        <v/>
      </c>
      <c r="EP103" s="34" t="str">
        <f t="shared" ref="EP103" si="2642">IF(SUBTOTAL(9,EP104:EP108)&gt;0,SUBTOTAL(9,EP104:EP108),"")</f>
        <v/>
      </c>
      <c r="EQ103" s="34" t="str">
        <f t="shared" ref="EQ103" si="2643">IF(SUBTOTAL(9,EQ104:EQ108)&gt;0,SUBTOTAL(9,EQ104:EQ108),"")</f>
        <v/>
      </c>
      <c r="ER103" s="34" t="str">
        <f t="shared" ref="ER103" si="2644">IF(SUBTOTAL(9,ER104:ER108)&gt;0,SUBTOTAL(9,ER104:ER108),"")</f>
        <v/>
      </c>
      <c r="ES103" s="34" t="str">
        <f t="shared" ref="ES103" si="2645">IF(SUBTOTAL(9,ES104:ES108)&gt;0,SUBTOTAL(9,ES104:ES108),"")</f>
        <v/>
      </c>
      <c r="ET103" s="34" t="str">
        <f t="shared" ref="ET103" si="2646">IF(SUBTOTAL(9,ET104:ET108)&gt;0,SUBTOTAL(9,ET104:ET108),"")</f>
        <v/>
      </c>
      <c r="EU103" s="34" t="str">
        <f t="shared" ref="EU103" si="2647">IF(SUBTOTAL(9,EU104:EU108)&gt;0,SUBTOTAL(9,EU104:EU108),"")</f>
        <v/>
      </c>
      <c r="EV103" s="34" t="str">
        <f t="shared" ref="EV103" si="2648">IF(SUBTOTAL(9,EV104:EV108)&gt;0,SUBTOTAL(9,EV104:EV108),"")</f>
        <v/>
      </c>
      <c r="EW103" s="34" t="str">
        <f t="shared" ref="EW103" si="2649">IF(SUBTOTAL(9,EW104:EW108)&gt;0,SUBTOTAL(9,EW104:EW108),"")</f>
        <v/>
      </c>
      <c r="EX103" s="34" t="str">
        <f t="shared" ref="EX103" si="2650">IF(SUBTOTAL(9,EX104:EX108)&gt;0,SUBTOTAL(9,EX104:EX108),"")</f>
        <v/>
      </c>
      <c r="EY103" s="33" t="str">
        <f t="shared" ref="EY103" si="2651">IF(SUBTOTAL(9,EY104:EY108)&gt;0,SUBTOTAL(9,EY104:EY108),"")</f>
        <v/>
      </c>
      <c r="EZ103" s="34" t="str">
        <f t="shared" ref="EZ103" si="2652">IF(SUBTOTAL(9,EZ104:EZ108)&gt;0,SUBTOTAL(9,EZ104:EZ108),"")</f>
        <v/>
      </c>
      <c r="FA103" s="34" t="str">
        <f t="shared" ref="FA103" si="2653">IF(SUBTOTAL(9,FA104:FA108)&gt;0,SUBTOTAL(9,FA104:FA108),"")</f>
        <v/>
      </c>
      <c r="FB103" s="34" t="str">
        <f t="shared" ref="FB103" si="2654">IF(SUBTOTAL(9,FB104:FB108)&gt;0,SUBTOTAL(9,FB104:FB108),"")</f>
        <v/>
      </c>
      <c r="FC103" s="34" t="str">
        <f t="shared" ref="FC103" si="2655">IF(SUBTOTAL(9,FC104:FC108)&gt;0,SUBTOTAL(9,FC104:FC108),"")</f>
        <v/>
      </c>
      <c r="FD103" s="34" t="str">
        <f t="shared" ref="FD103" si="2656">IF(SUBTOTAL(9,FD104:FD108)&gt;0,SUBTOTAL(9,FD104:FD108),"")</f>
        <v/>
      </c>
      <c r="FE103" s="34" t="str">
        <f t="shared" ref="FE103" si="2657">IF(SUBTOTAL(9,FE104:FE108)&gt;0,SUBTOTAL(9,FE104:FE108),"")</f>
        <v/>
      </c>
      <c r="FF103" s="34" t="str">
        <f t="shared" ref="FF103" si="2658">IF(SUBTOTAL(9,FF104:FF108)&gt;0,SUBTOTAL(9,FF104:FF108),"")</f>
        <v/>
      </c>
      <c r="FG103" s="34" t="str">
        <f t="shared" ref="FG103" si="2659">IF(SUBTOTAL(9,FG104:FG108)&gt;0,SUBTOTAL(9,FG104:FG108),"")</f>
        <v/>
      </c>
      <c r="FH103" s="34" t="str">
        <f t="shared" ref="FH103" si="2660">IF(SUBTOTAL(9,FH104:FH108)&gt;0,SUBTOTAL(9,FH104:FH108),"")</f>
        <v/>
      </c>
      <c r="FI103" s="34" t="str">
        <f t="shared" ref="FI103" si="2661">IF(SUBTOTAL(9,FI104:FI108)&gt;0,SUBTOTAL(9,FI104:FI108),"")</f>
        <v/>
      </c>
      <c r="FJ103" s="34" t="str">
        <f t="shared" ref="FJ103" si="2662">IF(SUBTOTAL(9,FJ104:FJ108)&gt;0,SUBTOTAL(9,FJ104:FJ108),"")</f>
        <v/>
      </c>
      <c r="FK103" s="34" t="str">
        <f t="shared" ref="FK103" si="2663">IF(SUBTOTAL(9,FK104:FK108)&gt;0,SUBTOTAL(9,FK104:FK108),"")</f>
        <v/>
      </c>
      <c r="FL103" s="34" t="str">
        <f t="shared" ref="FL103" si="2664">IF(SUBTOTAL(9,FL104:FL108)&gt;0,SUBTOTAL(9,FL104:FL108),"")</f>
        <v/>
      </c>
      <c r="FM103" s="34" t="str">
        <f t="shared" ref="FM103" si="2665">IF(SUBTOTAL(9,FM104:FM108)&gt;0,SUBTOTAL(9,FM104:FM108),"")</f>
        <v/>
      </c>
      <c r="FN103" s="34" t="str">
        <f t="shared" ref="FN103" si="2666">IF(SUBTOTAL(9,FN104:FN108)&gt;0,SUBTOTAL(9,FN104:FN108),"")</f>
        <v/>
      </c>
      <c r="FO103" s="34" t="str">
        <f t="shared" ref="FO103" si="2667">IF(SUBTOTAL(9,FO104:FO108)&gt;0,SUBTOTAL(9,FO104:FO108),"")</f>
        <v/>
      </c>
      <c r="FP103" s="34" t="str">
        <f t="shared" ref="FP103" si="2668">IF(SUBTOTAL(9,FP104:FP108)&gt;0,SUBTOTAL(9,FP104:FP108),"")</f>
        <v/>
      </c>
      <c r="FQ103" s="92" t="str">
        <f t="shared" ref="FQ103" si="2669">IF(SUBTOTAL(9,FQ104:FQ108)&gt;0,SUBTOTAL(9,FQ104:FQ108),"")</f>
        <v/>
      </c>
      <c r="FR103" s="8"/>
      <c r="FS103" s="9" t="s">
        <v>131</v>
      </c>
      <c r="FT103" s="9" t="str">
        <f t="shared" si="1838"/>
        <v/>
      </c>
    </row>
    <row r="104" spans="1:176" s="9" customFormat="1" ht="12" hidden="1" customHeight="1" outlineLevel="1">
      <c r="A104" s="122" t="s">
        <v>4</v>
      </c>
      <c r="B104" s="123" t="s">
        <v>16</v>
      </c>
      <c r="C104" s="124" t="str">
        <f t="shared" si="1837"/>
        <v>18 days</v>
      </c>
      <c r="D104" s="13" t="str">
        <f>A102&amp;" "&amp;A103</f>
        <v>4. Annual Reporting (QRTs)  4.1 Preparation</v>
      </c>
      <c r="E104" s="51"/>
      <c r="F104" s="35"/>
      <c r="G104" s="35"/>
      <c r="H104" s="35"/>
      <c r="I104" s="35"/>
      <c r="J104" s="35"/>
      <c r="K104" s="35">
        <v>1</v>
      </c>
      <c r="L104" s="35">
        <v>1</v>
      </c>
      <c r="M104" s="35">
        <v>1</v>
      </c>
      <c r="N104" s="35">
        <v>1</v>
      </c>
      <c r="O104" s="35"/>
      <c r="P104" s="35"/>
      <c r="Q104" s="35"/>
      <c r="R104" s="35"/>
      <c r="S104" s="35"/>
      <c r="T104" s="35"/>
      <c r="U104" s="35"/>
      <c r="V104" s="35"/>
      <c r="W104" s="94"/>
      <c r="X104" s="94"/>
      <c r="Y104" s="94"/>
      <c r="Z104" s="94"/>
      <c r="AA104" s="94"/>
      <c r="AB104" s="35"/>
      <c r="AC104" s="35"/>
      <c r="AD104" s="35"/>
      <c r="AE104" s="35"/>
      <c r="AF104" s="35"/>
      <c r="AG104" s="35"/>
      <c r="AH104" s="35"/>
      <c r="AI104" s="35"/>
      <c r="AJ104" s="35"/>
      <c r="AK104" s="35"/>
      <c r="AL104" s="36"/>
      <c r="AM104" s="36"/>
      <c r="AN104" s="36"/>
      <c r="AO104" s="36"/>
      <c r="AP104" s="36"/>
      <c r="AQ104" s="36"/>
      <c r="AR104" s="36"/>
      <c r="AS104" s="35"/>
      <c r="AT104" s="35"/>
      <c r="AU104" s="35"/>
      <c r="AV104" s="35"/>
      <c r="AW104" s="35"/>
      <c r="AX104" s="35"/>
      <c r="AY104" s="35">
        <v>1</v>
      </c>
      <c r="AZ104" s="35">
        <v>1</v>
      </c>
      <c r="BA104" s="35">
        <v>1</v>
      </c>
      <c r="BB104" s="35">
        <v>1</v>
      </c>
      <c r="BC104" s="35">
        <v>1</v>
      </c>
      <c r="BD104" s="35">
        <v>1</v>
      </c>
      <c r="BE104" s="35">
        <v>1</v>
      </c>
      <c r="BF104" s="35">
        <v>1</v>
      </c>
      <c r="BG104" s="35">
        <v>1</v>
      </c>
      <c r="BH104" s="35">
        <v>1</v>
      </c>
      <c r="BI104" s="35">
        <v>1</v>
      </c>
      <c r="BJ104" s="35">
        <v>1</v>
      </c>
      <c r="BK104" s="35">
        <v>1</v>
      </c>
      <c r="BL104" s="35">
        <v>1</v>
      </c>
      <c r="BM104" s="35"/>
      <c r="BN104" s="35"/>
      <c r="BO104" s="35"/>
      <c r="BP104" s="35"/>
      <c r="BQ104" s="35"/>
      <c r="BR104" s="35"/>
      <c r="BS104" s="35"/>
      <c r="BT104" s="35"/>
      <c r="BU104" s="35"/>
      <c r="BV104" s="35"/>
      <c r="BW104" s="35"/>
      <c r="BX104" s="35"/>
      <c r="BY104" s="35"/>
      <c r="BZ104" s="35"/>
      <c r="CA104" s="35"/>
      <c r="CB104" s="35"/>
      <c r="CC104" s="35"/>
      <c r="CD104" s="35"/>
      <c r="CE104" s="35"/>
      <c r="CF104" s="35"/>
      <c r="CG104" s="35"/>
      <c r="CH104" s="35"/>
      <c r="CI104" s="35"/>
      <c r="CJ104" s="35"/>
      <c r="CK104" s="35"/>
      <c r="CL104" s="35"/>
      <c r="CM104" s="35"/>
      <c r="CN104" s="35"/>
      <c r="CO104" s="35"/>
      <c r="CP104" s="35"/>
      <c r="CQ104" s="35"/>
      <c r="CR104" s="35"/>
      <c r="CS104" s="35"/>
      <c r="CT104" s="36"/>
      <c r="CU104" s="35"/>
      <c r="CV104" s="35"/>
      <c r="CW104" s="35"/>
      <c r="CX104" s="35"/>
      <c r="CY104" s="35"/>
      <c r="CZ104" s="36"/>
      <c r="DA104" s="36"/>
      <c r="DB104" s="35"/>
      <c r="DC104" s="35"/>
      <c r="DD104" s="35"/>
      <c r="DE104" s="35"/>
      <c r="DF104" s="35"/>
      <c r="DG104" s="35"/>
      <c r="DH104" s="35"/>
      <c r="DI104" s="35"/>
      <c r="DJ104" s="35"/>
      <c r="DK104" s="35"/>
      <c r="DL104" s="35"/>
      <c r="DM104" s="35"/>
      <c r="DN104" s="35"/>
      <c r="DO104" s="35"/>
      <c r="DP104" s="35"/>
      <c r="DQ104" s="35"/>
      <c r="DR104" s="35"/>
      <c r="DS104" s="35"/>
      <c r="DT104" s="35"/>
      <c r="DU104" s="35"/>
      <c r="DV104" s="35"/>
      <c r="DW104" s="35"/>
      <c r="DX104" s="35"/>
      <c r="DY104" s="35"/>
      <c r="DZ104" s="36"/>
      <c r="EA104" s="35"/>
      <c r="EB104" s="35"/>
      <c r="EC104" s="35"/>
      <c r="ED104" s="35"/>
      <c r="EE104" s="35"/>
      <c r="EF104" s="35"/>
      <c r="EG104" s="35"/>
      <c r="EH104" s="35"/>
      <c r="EI104" s="35"/>
      <c r="EJ104" s="35"/>
      <c r="EK104" s="35"/>
      <c r="EL104" s="35"/>
      <c r="EM104" s="35"/>
      <c r="EN104" s="35"/>
      <c r="EO104" s="35"/>
      <c r="EP104" s="35"/>
      <c r="EQ104" s="35"/>
      <c r="ER104" s="35"/>
      <c r="ES104" s="35"/>
      <c r="ET104" s="35"/>
      <c r="EU104" s="35"/>
      <c r="EV104" s="35"/>
      <c r="EW104" s="35"/>
      <c r="EX104" s="35"/>
      <c r="EY104" s="36"/>
      <c r="EZ104" s="35"/>
      <c r="FA104" s="35"/>
      <c r="FB104" s="35"/>
      <c r="FC104" s="35"/>
      <c r="FD104" s="35"/>
      <c r="FE104" s="35"/>
      <c r="FF104" s="35"/>
      <c r="FG104" s="35"/>
      <c r="FH104" s="35"/>
      <c r="FI104" s="35"/>
      <c r="FJ104" s="35"/>
      <c r="FK104" s="35"/>
      <c r="FL104" s="35"/>
      <c r="FM104" s="35"/>
      <c r="FN104" s="35"/>
      <c r="FO104" s="35"/>
      <c r="FP104" s="35"/>
      <c r="FQ104" s="52"/>
      <c r="FR104" s="8"/>
      <c r="FS104" s="9" t="s">
        <v>13</v>
      </c>
      <c r="FT104" s="9" t="str">
        <f t="shared" si="1838"/>
        <v>4. Annual Reporting (QRTs)  4.1 PreparationJunior Accountant</v>
      </c>
    </row>
    <row r="105" spans="1:176" s="9" customFormat="1" ht="12" hidden="1" customHeight="1" outlineLevel="1">
      <c r="A105" s="122"/>
      <c r="B105" s="123"/>
      <c r="C105" s="124" t="str">
        <f t="shared" si="1837"/>
        <v>0 days</v>
      </c>
      <c r="D105" s="13" t="str">
        <f>A102&amp;" "&amp;A103</f>
        <v>4. Annual Reporting (QRTs)  4.1 Preparation</v>
      </c>
      <c r="E105" s="51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5"/>
      <c r="AK105" s="35"/>
      <c r="AL105" s="36"/>
      <c r="AM105" s="36"/>
      <c r="AN105" s="36"/>
      <c r="AO105" s="36"/>
      <c r="AP105" s="36"/>
      <c r="AQ105" s="36"/>
      <c r="AR105" s="36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35"/>
      <c r="BU105" s="35"/>
      <c r="BV105" s="35"/>
      <c r="BW105" s="35"/>
      <c r="BX105" s="35"/>
      <c r="BY105" s="35"/>
      <c r="BZ105" s="35"/>
      <c r="CA105" s="35"/>
      <c r="CB105" s="35"/>
      <c r="CC105" s="35"/>
      <c r="CD105" s="35"/>
      <c r="CE105" s="35"/>
      <c r="CF105" s="35"/>
      <c r="CG105" s="35"/>
      <c r="CH105" s="35"/>
      <c r="CI105" s="35"/>
      <c r="CJ105" s="35"/>
      <c r="CK105" s="35"/>
      <c r="CL105" s="35"/>
      <c r="CM105" s="35"/>
      <c r="CN105" s="35"/>
      <c r="CO105" s="35"/>
      <c r="CP105" s="35"/>
      <c r="CQ105" s="35"/>
      <c r="CR105" s="35"/>
      <c r="CS105" s="35"/>
      <c r="CT105" s="36"/>
      <c r="CU105" s="35"/>
      <c r="CV105" s="35"/>
      <c r="CW105" s="35"/>
      <c r="CX105" s="35"/>
      <c r="CY105" s="35"/>
      <c r="CZ105" s="36"/>
      <c r="DA105" s="36"/>
      <c r="DB105" s="35"/>
      <c r="DC105" s="35"/>
      <c r="DD105" s="35"/>
      <c r="DE105" s="35"/>
      <c r="DF105" s="35"/>
      <c r="DG105" s="35"/>
      <c r="DH105" s="35"/>
      <c r="DI105" s="35"/>
      <c r="DJ105" s="35"/>
      <c r="DK105" s="35"/>
      <c r="DL105" s="35"/>
      <c r="DM105" s="35"/>
      <c r="DN105" s="35"/>
      <c r="DO105" s="35"/>
      <c r="DP105" s="35"/>
      <c r="DQ105" s="35"/>
      <c r="DR105" s="35"/>
      <c r="DS105" s="35"/>
      <c r="DT105" s="35"/>
      <c r="DU105" s="35"/>
      <c r="DV105" s="35"/>
      <c r="DW105" s="35"/>
      <c r="DX105" s="35"/>
      <c r="DY105" s="35"/>
      <c r="DZ105" s="36"/>
      <c r="EA105" s="35"/>
      <c r="EB105" s="35"/>
      <c r="EC105" s="35"/>
      <c r="ED105" s="35"/>
      <c r="EE105" s="35"/>
      <c r="EF105" s="35"/>
      <c r="EG105" s="35"/>
      <c r="EH105" s="35"/>
      <c r="EI105" s="35"/>
      <c r="EJ105" s="35"/>
      <c r="EK105" s="35"/>
      <c r="EL105" s="35"/>
      <c r="EM105" s="35"/>
      <c r="EN105" s="35"/>
      <c r="EO105" s="35"/>
      <c r="EP105" s="35"/>
      <c r="EQ105" s="35"/>
      <c r="ER105" s="35"/>
      <c r="ES105" s="35"/>
      <c r="ET105" s="35"/>
      <c r="EU105" s="35"/>
      <c r="EV105" s="35"/>
      <c r="EW105" s="35"/>
      <c r="EX105" s="35"/>
      <c r="EY105" s="36"/>
      <c r="EZ105" s="35"/>
      <c r="FA105" s="35"/>
      <c r="FB105" s="35"/>
      <c r="FC105" s="35"/>
      <c r="FD105" s="35"/>
      <c r="FE105" s="35"/>
      <c r="FF105" s="35"/>
      <c r="FG105" s="35"/>
      <c r="FH105" s="35"/>
      <c r="FI105" s="35"/>
      <c r="FJ105" s="35"/>
      <c r="FK105" s="35"/>
      <c r="FL105" s="35"/>
      <c r="FM105" s="35"/>
      <c r="FN105" s="35"/>
      <c r="FO105" s="35"/>
      <c r="FP105" s="35"/>
      <c r="FQ105" s="52"/>
      <c r="FR105" s="8"/>
      <c r="FS105" s="9" t="s">
        <v>13</v>
      </c>
      <c r="FT105" s="9" t="str">
        <f t="shared" si="1838"/>
        <v>4. Annual Reporting (QRTs)  4.1 Preparation</v>
      </c>
    </row>
    <row r="106" spans="1:176" s="9" customFormat="1" ht="12" hidden="1" customHeight="1" outlineLevel="1">
      <c r="A106" s="125" t="s">
        <v>50</v>
      </c>
      <c r="B106" s="123"/>
      <c r="C106" s="124" t="str">
        <f t="shared" si="1837"/>
        <v>0 days</v>
      </c>
      <c r="D106" s="13" t="str">
        <f>A102&amp;" "&amp;A103</f>
        <v>4. Annual Reporting (QRTs)  4.1 Preparation</v>
      </c>
      <c r="E106" s="51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5"/>
      <c r="AK106" s="35"/>
      <c r="AL106" s="36"/>
      <c r="AM106" s="36"/>
      <c r="AN106" s="36"/>
      <c r="AO106" s="36"/>
      <c r="AP106" s="36"/>
      <c r="AQ106" s="36"/>
      <c r="AR106" s="36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35"/>
      <c r="BU106" s="35"/>
      <c r="BV106" s="35"/>
      <c r="BW106" s="35"/>
      <c r="BX106" s="35"/>
      <c r="BY106" s="35"/>
      <c r="BZ106" s="35"/>
      <c r="CA106" s="35"/>
      <c r="CB106" s="35"/>
      <c r="CC106" s="35"/>
      <c r="CD106" s="35"/>
      <c r="CE106" s="35"/>
      <c r="CF106" s="35"/>
      <c r="CG106" s="35"/>
      <c r="CH106" s="35"/>
      <c r="CI106" s="35"/>
      <c r="CJ106" s="35"/>
      <c r="CK106" s="35"/>
      <c r="CL106" s="35"/>
      <c r="CM106" s="35"/>
      <c r="CN106" s="35"/>
      <c r="CO106" s="35"/>
      <c r="CP106" s="35"/>
      <c r="CQ106" s="35"/>
      <c r="CR106" s="35"/>
      <c r="CS106" s="35"/>
      <c r="CT106" s="36"/>
      <c r="CU106" s="35"/>
      <c r="CV106" s="35"/>
      <c r="CW106" s="35"/>
      <c r="CX106" s="35"/>
      <c r="CY106" s="35"/>
      <c r="CZ106" s="36"/>
      <c r="DA106" s="36"/>
      <c r="DB106" s="35"/>
      <c r="DC106" s="35"/>
      <c r="DD106" s="35"/>
      <c r="DE106" s="35"/>
      <c r="DF106" s="35"/>
      <c r="DG106" s="35"/>
      <c r="DH106" s="35"/>
      <c r="DI106" s="35"/>
      <c r="DJ106" s="35"/>
      <c r="DK106" s="35"/>
      <c r="DL106" s="35"/>
      <c r="DM106" s="35"/>
      <c r="DN106" s="35"/>
      <c r="DO106" s="35"/>
      <c r="DP106" s="35"/>
      <c r="DQ106" s="35"/>
      <c r="DR106" s="35"/>
      <c r="DS106" s="35"/>
      <c r="DT106" s="35"/>
      <c r="DU106" s="35"/>
      <c r="DV106" s="35"/>
      <c r="DW106" s="35"/>
      <c r="DX106" s="35"/>
      <c r="DY106" s="35"/>
      <c r="DZ106" s="36"/>
      <c r="EA106" s="35"/>
      <c r="EB106" s="35"/>
      <c r="EC106" s="35"/>
      <c r="ED106" s="35"/>
      <c r="EE106" s="35"/>
      <c r="EF106" s="35"/>
      <c r="EG106" s="35"/>
      <c r="EH106" s="35"/>
      <c r="EI106" s="35"/>
      <c r="EJ106" s="35"/>
      <c r="EK106" s="35"/>
      <c r="EL106" s="35"/>
      <c r="EM106" s="35"/>
      <c r="EN106" s="35"/>
      <c r="EO106" s="35"/>
      <c r="EP106" s="35"/>
      <c r="EQ106" s="35"/>
      <c r="ER106" s="35"/>
      <c r="ES106" s="35"/>
      <c r="ET106" s="35"/>
      <c r="EU106" s="35"/>
      <c r="EV106" s="35"/>
      <c r="EW106" s="35"/>
      <c r="EX106" s="35"/>
      <c r="EY106" s="36"/>
      <c r="EZ106" s="35"/>
      <c r="FA106" s="35"/>
      <c r="FB106" s="35"/>
      <c r="FC106" s="35"/>
      <c r="FD106" s="35"/>
      <c r="FE106" s="35"/>
      <c r="FF106" s="35"/>
      <c r="FG106" s="35"/>
      <c r="FH106" s="35"/>
      <c r="FI106" s="35"/>
      <c r="FJ106" s="35"/>
      <c r="FK106" s="35"/>
      <c r="FL106" s="35"/>
      <c r="FM106" s="35"/>
      <c r="FN106" s="35"/>
      <c r="FO106" s="35"/>
      <c r="FP106" s="35"/>
      <c r="FQ106" s="52"/>
      <c r="FR106" s="8"/>
      <c r="FS106" s="9" t="s">
        <v>13</v>
      </c>
      <c r="FT106" s="9" t="str">
        <f t="shared" si="1838"/>
        <v>4. Annual Reporting (QRTs)  4.1 Preparation</v>
      </c>
    </row>
    <row r="107" spans="1:176" s="9" customFormat="1" ht="12" hidden="1" customHeight="1" outlineLevel="1">
      <c r="A107" s="125" t="s">
        <v>50</v>
      </c>
      <c r="B107" s="123"/>
      <c r="C107" s="124" t="str">
        <f t="shared" si="1837"/>
        <v>0 days</v>
      </c>
      <c r="D107" s="13" t="str">
        <f>A102&amp;" "&amp;A103</f>
        <v>4. Annual Reporting (QRTs)  4.1 Preparation</v>
      </c>
      <c r="E107" s="51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5"/>
      <c r="AK107" s="35"/>
      <c r="AL107" s="36"/>
      <c r="AM107" s="36"/>
      <c r="AN107" s="36"/>
      <c r="AO107" s="36"/>
      <c r="AP107" s="36"/>
      <c r="AQ107" s="36"/>
      <c r="AR107" s="36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35"/>
      <c r="BU107" s="35"/>
      <c r="BV107" s="35"/>
      <c r="BW107" s="35"/>
      <c r="BX107" s="35"/>
      <c r="BY107" s="35"/>
      <c r="BZ107" s="35"/>
      <c r="CA107" s="35"/>
      <c r="CB107" s="35"/>
      <c r="CC107" s="35"/>
      <c r="CD107" s="35"/>
      <c r="CE107" s="35"/>
      <c r="CF107" s="35"/>
      <c r="CG107" s="35"/>
      <c r="CH107" s="35"/>
      <c r="CI107" s="35"/>
      <c r="CJ107" s="35"/>
      <c r="CK107" s="35"/>
      <c r="CL107" s="35"/>
      <c r="CM107" s="35"/>
      <c r="CN107" s="35"/>
      <c r="CO107" s="35"/>
      <c r="CP107" s="35"/>
      <c r="CQ107" s="35"/>
      <c r="CR107" s="35"/>
      <c r="CS107" s="35"/>
      <c r="CT107" s="36"/>
      <c r="CU107" s="35"/>
      <c r="CV107" s="35"/>
      <c r="CW107" s="35"/>
      <c r="CX107" s="35"/>
      <c r="CY107" s="35"/>
      <c r="CZ107" s="36"/>
      <c r="DA107" s="36"/>
      <c r="DB107" s="35"/>
      <c r="DC107" s="35"/>
      <c r="DD107" s="35"/>
      <c r="DE107" s="35"/>
      <c r="DF107" s="35"/>
      <c r="DG107" s="35"/>
      <c r="DH107" s="35"/>
      <c r="DI107" s="35"/>
      <c r="DJ107" s="35"/>
      <c r="DK107" s="35"/>
      <c r="DL107" s="35"/>
      <c r="DM107" s="35"/>
      <c r="DN107" s="35"/>
      <c r="DO107" s="35"/>
      <c r="DP107" s="35"/>
      <c r="DQ107" s="35"/>
      <c r="DR107" s="35"/>
      <c r="DS107" s="35"/>
      <c r="DT107" s="35"/>
      <c r="DU107" s="35"/>
      <c r="DV107" s="35"/>
      <c r="DW107" s="35"/>
      <c r="DX107" s="35"/>
      <c r="DY107" s="35"/>
      <c r="DZ107" s="36"/>
      <c r="EA107" s="35"/>
      <c r="EB107" s="35"/>
      <c r="EC107" s="35"/>
      <c r="ED107" s="35"/>
      <c r="EE107" s="35"/>
      <c r="EF107" s="35"/>
      <c r="EG107" s="35"/>
      <c r="EH107" s="35"/>
      <c r="EI107" s="35"/>
      <c r="EJ107" s="35"/>
      <c r="EK107" s="35"/>
      <c r="EL107" s="35"/>
      <c r="EM107" s="35"/>
      <c r="EN107" s="35"/>
      <c r="EO107" s="35"/>
      <c r="EP107" s="35"/>
      <c r="EQ107" s="35"/>
      <c r="ER107" s="35"/>
      <c r="ES107" s="35"/>
      <c r="ET107" s="35"/>
      <c r="EU107" s="35"/>
      <c r="EV107" s="35"/>
      <c r="EW107" s="35"/>
      <c r="EX107" s="35"/>
      <c r="EY107" s="36"/>
      <c r="EZ107" s="35"/>
      <c r="FA107" s="35"/>
      <c r="FB107" s="35"/>
      <c r="FC107" s="35"/>
      <c r="FD107" s="35"/>
      <c r="FE107" s="35"/>
      <c r="FF107" s="35"/>
      <c r="FG107" s="35"/>
      <c r="FH107" s="35"/>
      <c r="FI107" s="35"/>
      <c r="FJ107" s="35"/>
      <c r="FK107" s="35"/>
      <c r="FL107" s="35"/>
      <c r="FM107" s="35"/>
      <c r="FN107" s="35"/>
      <c r="FO107" s="35"/>
      <c r="FP107" s="35"/>
      <c r="FQ107" s="52"/>
      <c r="FR107" s="8"/>
      <c r="FS107" s="9" t="s">
        <v>13</v>
      </c>
      <c r="FT107" s="9" t="str">
        <f t="shared" si="1838"/>
        <v>4. Annual Reporting (QRTs)  4.1 Preparation</v>
      </c>
    </row>
    <row r="108" spans="1:176" s="9" customFormat="1" ht="12" hidden="1" customHeight="1" outlineLevel="1">
      <c r="A108" s="126" t="s">
        <v>50</v>
      </c>
      <c r="B108" s="123"/>
      <c r="C108" s="124" t="str">
        <f t="shared" si="1837"/>
        <v>0 days</v>
      </c>
      <c r="D108" s="13" t="str">
        <f>A102&amp;" "&amp;A103</f>
        <v>4. Annual Reporting (QRTs)  4.1 Preparation</v>
      </c>
      <c r="E108" s="51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5"/>
      <c r="AK108" s="35"/>
      <c r="AL108" s="36"/>
      <c r="AM108" s="36"/>
      <c r="AN108" s="36"/>
      <c r="AO108" s="36"/>
      <c r="AP108" s="36"/>
      <c r="AQ108" s="36"/>
      <c r="AR108" s="36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35"/>
      <c r="BU108" s="35"/>
      <c r="BV108" s="35"/>
      <c r="BW108" s="35"/>
      <c r="BX108" s="35"/>
      <c r="BY108" s="35"/>
      <c r="BZ108" s="35"/>
      <c r="CA108" s="35"/>
      <c r="CB108" s="35"/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  <c r="CN108" s="35"/>
      <c r="CO108" s="35"/>
      <c r="CP108" s="35"/>
      <c r="CQ108" s="35"/>
      <c r="CR108" s="35"/>
      <c r="CS108" s="35"/>
      <c r="CT108" s="36"/>
      <c r="CU108" s="35"/>
      <c r="CV108" s="35"/>
      <c r="CW108" s="35"/>
      <c r="CX108" s="35"/>
      <c r="CY108" s="35"/>
      <c r="CZ108" s="36"/>
      <c r="DA108" s="36"/>
      <c r="DB108" s="35"/>
      <c r="DC108" s="35"/>
      <c r="DD108" s="35"/>
      <c r="DE108" s="35"/>
      <c r="DF108" s="35"/>
      <c r="DG108" s="35"/>
      <c r="DH108" s="35"/>
      <c r="DI108" s="35"/>
      <c r="DJ108" s="35"/>
      <c r="DK108" s="35"/>
      <c r="DL108" s="35"/>
      <c r="DM108" s="35"/>
      <c r="DN108" s="35"/>
      <c r="DO108" s="35"/>
      <c r="DP108" s="35"/>
      <c r="DQ108" s="35"/>
      <c r="DR108" s="35"/>
      <c r="DS108" s="35"/>
      <c r="DT108" s="35"/>
      <c r="DU108" s="35"/>
      <c r="DV108" s="35"/>
      <c r="DW108" s="35"/>
      <c r="DX108" s="35"/>
      <c r="DY108" s="35"/>
      <c r="DZ108" s="36"/>
      <c r="EA108" s="35"/>
      <c r="EB108" s="35"/>
      <c r="EC108" s="35"/>
      <c r="ED108" s="35"/>
      <c r="EE108" s="35"/>
      <c r="EF108" s="35"/>
      <c r="EG108" s="35"/>
      <c r="EH108" s="35"/>
      <c r="EI108" s="35"/>
      <c r="EJ108" s="35"/>
      <c r="EK108" s="35"/>
      <c r="EL108" s="35"/>
      <c r="EM108" s="35"/>
      <c r="EN108" s="35"/>
      <c r="EO108" s="35"/>
      <c r="EP108" s="35"/>
      <c r="EQ108" s="35"/>
      <c r="ER108" s="35"/>
      <c r="ES108" s="35"/>
      <c r="ET108" s="35"/>
      <c r="EU108" s="35"/>
      <c r="EV108" s="35"/>
      <c r="EW108" s="35"/>
      <c r="EX108" s="35"/>
      <c r="EY108" s="36"/>
      <c r="EZ108" s="35"/>
      <c r="FA108" s="35"/>
      <c r="FB108" s="35"/>
      <c r="FC108" s="35"/>
      <c r="FD108" s="35"/>
      <c r="FE108" s="35"/>
      <c r="FF108" s="35"/>
      <c r="FG108" s="35"/>
      <c r="FH108" s="35"/>
      <c r="FI108" s="35"/>
      <c r="FJ108" s="35"/>
      <c r="FK108" s="35"/>
      <c r="FL108" s="35"/>
      <c r="FM108" s="35"/>
      <c r="FN108" s="35"/>
      <c r="FO108" s="35"/>
      <c r="FP108" s="35"/>
      <c r="FQ108" s="52"/>
      <c r="FR108" s="8"/>
      <c r="FS108" s="9" t="s">
        <v>13</v>
      </c>
      <c r="FT108" s="9" t="str">
        <f t="shared" si="1838"/>
        <v>4. Annual Reporting (QRTs)  4.1 Preparation</v>
      </c>
    </row>
    <row r="109" spans="1:176" s="9" customFormat="1" ht="12" customHeight="1" collapsed="1">
      <c r="A109" s="119" t="s">
        <v>78</v>
      </c>
      <c r="B109" s="127"/>
      <c r="C109" s="121" t="str">
        <f t="shared" si="1837"/>
        <v>7 days</v>
      </c>
      <c r="D109" s="27"/>
      <c r="E109" s="91" t="str">
        <f t="shared" ref="E109" si="2670">IF(SUBTOTAL(9,E110:E114)&gt;0,SUBTOTAL(9,E110:E114),"")</f>
        <v/>
      </c>
      <c r="F109" s="34" t="str">
        <f t="shared" ref="F109" si="2671">IF(SUBTOTAL(9,F110:F114)&gt;0,SUBTOTAL(9,F110:F114),"")</f>
        <v/>
      </c>
      <c r="G109" s="34" t="str">
        <f t="shared" ref="G109" si="2672">IF(SUBTOTAL(9,G110:G114)&gt;0,SUBTOTAL(9,G110:G114),"")</f>
        <v/>
      </c>
      <c r="H109" s="34" t="str">
        <f t="shared" ref="H109" si="2673">IF(SUBTOTAL(9,H110:H114)&gt;0,SUBTOTAL(9,H110:H114),"")</f>
        <v/>
      </c>
      <c r="I109" s="34" t="str">
        <f t="shared" ref="I109" si="2674">IF(SUBTOTAL(9,I110:I114)&gt;0,SUBTOTAL(9,I110:I114),"")</f>
        <v/>
      </c>
      <c r="J109" s="34" t="str">
        <f t="shared" ref="J109" si="2675">IF(SUBTOTAL(9,J110:J114)&gt;0,SUBTOTAL(9,J110:J114),"")</f>
        <v/>
      </c>
      <c r="K109" s="34" t="str">
        <f t="shared" ref="K109" si="2676">IF(SUBTOTAL(9,K110:K114)&gt;0,SUBTOTAL(9,K110:K114),"")</f>
        <v/>
      </c>
      <c r="L109" s="34" t="str">
        <f t="shared" ref="L109" si="2677">IF(SUBTOTAL(9,L110:L114)&gt;0,SUBTOTAL(9,L110:L114),"")</f>
        <v/>
      </c>
      <c r="M109" s="34" t="str">
        <f t="shared" ref="M109" si="2678">IF(SUBTOTAL(9,M110:M114)&gt;0,SUBTOTAL(9,M110:M114),"")</f>
        <v/>
      </c>
      <c r="N109" s="34" t="str">
        <f t="shared" ref="N109" si="2679">IF(SUBTOTAL(9,N110:N114)&gt;0,SUBTOTAL(9,N110:N114),"")</f>
        <v/>
      </c>
      <c r="O109" s="34" t="str">
        <f t="shared" ref="O109" si="2680">IF(SUBTOTAL(9,O110:O114)&gt;0,SUBTOTAL(9,O110:O114),"")</f>
        <v/>
      </c>
      <c r="P109" s="34" t="str">
        <f t="shared" ref="P109" si="2681">IF(SUBTOTAL(9,P110:P114)&gt;0,SUBTOTAL(9,P110:P114),"")</f>
        <v/>
      </c>
      <c r="Q109" s="34" t="str">
        <f t="shared" ref="Q109" si="2682">IF(SUBTOTAL(9,Q110:Q114)&gt;0,SUBTOTAL(9,Q110:Q114),"")</f>
        <v/>
      </c>
      <c r="R109" s="34" t="str">
        <f t="shared" ref="R109" si="2683">IF(SUBTOTAL(9,R110:R114)&gt;0,SUBTOTAL(9,R110:R114),"")</f>
        <v/>
      </c>
      <c r="S109" s="34" t="str">
        <f t="shared" ref="S109" si="2684">IF(SUBTOTAL(9,S110:S114)&gt;0,SUBTOTAL(9,S110:S114),"")</f>
        <v/>
      </c>
      <c r="T109" s="34" t="str">
        <f t="shared" ref="T109" si="2685">IF(SUBTOTAL(9,T110:T114)&gt;0,SUBTOTAL(9,T110:T114),"")</f>
        <v/>
      </c>
      <c r="U109" s="34" t="str">
        <f t="shared" ref="U109" si="2686">IF(SUBTOTAL(9,U110:U114)&gt;0,SUBTOTAL(9,U110:U114),"")</f>
        <v/>
      </c>
      <c r="V109" s="34" t="str">
        <f t="shared" ref="V109" si="2687">IF(SUBTOTAL(9,V110:V114)&gt;0,SUBTOTAL(9,V110:V114),"")</f>
        <v/>
      </c>
      <c r="W109" s="34" t="str">
        <f t="shared" ref="W109" si="2688">IF(SUBTOTAL(9,W110:W114)&gt;0,SUBTOTAL(9,W110:W114),"")</f>
        <v/>
      </c>
      <c r="X109" s="34" t="str">
        <f t="shared" ref="X109" si="2689">IF(SUBTOTAL(9,X110:X114)&gt;0,SUBTOTAL(9,X110:X114),"")</f>
        <v/>
      </c>
      <c r="Y109" s="34" t="str">
        <f t="shared" ref="Y109" si="2690">IF(SUBTOTAL(9,Y110:Y114)&gt;0,SUBTOTAL(9,Y110:Y114),"")</f>
        <v/>
      </c>
      <c r="Z109" s="34" t="str">
        <f t="shared" ref="Z109" si="2691">IF(SUBTOTAL(9,Z110:Z114)&gt;0,SUBTOTAL(9,Z110:Z114),"")</f>
        <v/>
      </c>
      <c r="AA109" s="34" t="str">
        <f t="shared" ref="AA109" si="2692">IF(SUBTOTAL(9,AA110:AA114)&gt;0,SUBTOTAL(9,AA110:AA114),"")</f>
        <v/>
      </c>
      <c r="AB109" s="34" t="str">
        <f t="shared" ref="AB109" si="2693">IF(SUBTOTAL(9,AB110:AB114)&gt;0,SUBTOTAL(9,AB110:AB114),"")</f>
        <v/>
      </c>
      <c r="AC109" s="34" t="str">
        <f t="shared" ref="AC109" si="2694">IF(SUBTOTAL(9,AC110:AC114)&gt;0,SUBTOTAL(9,AC110:AC114),"")</f>
        <v/>
      </c>
      <c r="AD109" s="34" t="str">
        <f t="shared" ref="AD109" si="2695">IF(SUBTOTAL(9,AD110:AD114)&gt;0,SUBTOTAL(9,AD110:AD114),"")</f>
        <v/>
      </c>
      <c r="AE109" s="34" t="str">
        <f t="shared" ref="AE109" si="2696">IF(SUBTOTAL(9,AE110:AE114)&gt;0,SUBTOTAL(9,AE110:AE114),"")</f>
        <v/>
      </c>
      <c r="AF109" s="34" t="str">
        <f t="shared" ref="AF109" si="2697">IF(SUBTOTAL(9,AF110:AF114)&gt;0,SUBTOTAL(9,AF110:AF114),"")</f>
        <v/>
      </c>
      <c r="AG109" s="34" t="str">
        <f t="shared" ref="AG109" si="2698">IF(SUBTOTAL(9,AG110:AG114)&gt;0,SUBTOTAL(9,AG110:AG114),"")</f>
        <v/>
      </c>
      <c r="AH109" s="34" t="str">
        <f t="shared" ref="AH109" si="2699">IF(SUBTOTAL(9,AH110:AH114)&gt;0,SUBTOTAL(9,AH110:AH114),"")</f>
        <v/>
      </c>
      <c r="AI109" s="34" t="str">
        <f t="shared" ref="AI109" si="2700">IF(SUBTOTAL(9,AI110:AI114)&gt;0,SUBTOTAL(9,AI110:AI114),"")</f>
        <v/>
      </c>
      <c r="AJ109" s="34" t="str">
        <f t="shared" ref="AJ109" si="2701">IF(SUBTOTAL(9,AJ110:AJ114)&gt;0,SUBTOTAL(9,AJ110:AJ114),"")</f>
        <v/>
      </c>
      <c r="AK109" s="34" t="str">
        <f t="shared" ref="AK109" si="2702">IF(SUBTOTAL(9,AK110:AK114)&gt;0,SUBTOTAL(9,AK110:AK114),"")</f>
        <v/>
      </c>
      <c r="AL109" s="33" t="str">
        <f t="shared" ref="AL109" si="2703">IF(SUBTOTAL(9,AL110:AL114)&gt;0,SUBTOTAL(9,AL110:AL114),"")</f>
        <v/>
      </c>
      <c r="AM109" s="33" t="str">
        <f t="shared" ref="AM109" si="2704">IF(SUBTOTAL(9,AM110:AM114)&gt;0,SUBTOTAL(9,AM110:AM114),"")</f>
        <v/>
      </c>
      <c r="AN109" s="33" t="str">
        <f t="shared" ref="AN109" si="2705">IF(SUBTOTAL(9,AN110:AN114)&gt;0,SUBTOTAL(9,AN110:AN114),"")</f>
        <v/>
      </c>
      <c r="AO109" s="33" t="str">
        <f t="shared" ref="AO109" si="2706">IF(SUBTOTAL(9,AO110:AO114)&gt;0,SUBTOTAL(9,AO110:AO114),"")</f>
        <v/>
      </c>
      <c r="AP109" s="33" t="str">
        <f t="shared" ref="AP109" si="2707">IF(SUBTOTAL(9,AP110:AP114)&gt;0,SUBTOTAL(9,AP110:AP114),"")</f>
        <v/>
      </c>
      <c r="AQ109" s="33" t="str">
        <f t="shared" ref="AQ109" si="2708">IF(SUBTOTAL(9,AQ110:AQ114)&gt;0,SUBTOTAL(9,AQ110:AQ114),"")</f>
        <v/>
      </c>
      <c r="AR109" s="33" t="str">
        <f t="shared" ref="AR109" si="2709">IF(SUBTOTAL(9,AR110:AR114)&gt;0,SUBTOTAL(9,AR110:AR114),"")</f>
        <v/>
      </c>
      <c r="AS109" s="34" t="str">
        <f t="shared" ref="AS109" si="2710">IF(SUBTOTAL(9,AS110:AS114)&gt;0,SUBTOTAL(9,AS110:AS114),"")</f>
        <v/>
      </c>
      <c r="AT109" s="34" t="str">
        <f t="shared" ref="AT109" si="2711">IF(SUBTOTAL(9,AT110:AT114)&gt;0,SUBTOTAL(9,AT110:AT114),"")</f>
        <v/>
      </c>
      <c r="AU109" s="34" t="str">
        <f t="shared" ref="AU109" si="2712">IF(SUBTOTAL(9,AU110:AU114)&gt;0,SUBTOTAL(9,AU110:AU114),"")</f>
        <v/>
      </c>
      <c r="AV109" s="34" t="str">
        <f t="shared" ref="AV109" si="2713">IF(SUBTOTAL(9,AV110:AV114)&gt;0,SUBTOTAL(9,AV110:AV114),"")</f>
        <v/>
      </c>
      <c r="AW109" s="34" t="str">
        <f t="shared" ref="AW109" si="2714">IF(SUBTOTAL(9,AW110:AW114)&gt;0,SUBTOTAL(9,AW110:AW114),"")</f>
        <v/>
      </c>
      <c r="AX109" s="34" t="str">
        <f t="shared" ref="AX109" si="2715">IF(SUBTOTAL(9,AX110:AX114)&gt;0,SUBTOTAL(9,AX110:AX114),"")</f>
        <v/>
      </c>
      <c r="AY109" s="34">
        <f t="shared" ref="AY109" si="2716">IF(SUBTOTAL(9,AY110:AY114)&gt;0,SUBTOTAL(9,AY110:AY114),"")</f>
        <v>0.5</v>
      </c>
      <c r="AZ109" s="34">
        <f t="shared" ref="AZ109" si="2717">IF(SUBTOTAL(9,AZ110:AZ114)&gt;0,SUBTOTAL(9,AZ110:AZ114),"")</f>
        <v>0.5</v>
      </c>
      <c r="BA109" s="34">
        <f t="shared" ref="BA109" si="2718">IF(SUBTOTAL(9,BA110:BA114)&gt;0,SUBTOTAL(9,BA110:BA114),"")</f>
        <v>0.5</v>
      </c>
      <c r="BB109" s="34">
        <f t="shared" ref="BB109" si="2719">IF(SUBTOTAL(9,BB110:BB114)&gt;0,SUBTOTAL(9,BB110:BB114),"")</f>
        <v>0.5</v>
      </c>
      <c r="BC109" s="34">
        <f t="shared" ref="BC109" si="2720">IF(SUBTOTAL(9,BC110:BC114)&gt;0,SUBTOTAL(9,BC110:BC114),"")</f>
        <v>0.5</v>
      </c>
      <c r="BD109" s="34">
        <f t="shared" ref="BD109" si="2721">IF(SUBTOTAL(9,BD110:BD114)&gt;0,SUBTOTAL(9,BD110:BD114),"")</f>
        <v>0.5</v>
      </c>
      <c r="BE109" s="34">
        <f t="shared" ref="BE109" si="2722">IF(SUBTOTAL(9,BE110:BE114)&gt;0,SUBTOTAL(9,BE110:BE114),"")</f>
        <v>0.5</v>
      </c>
      <c r="BF109" s="34">
        <f t="shared" ref="BF109" si="2723">IF(SUBTOTAL(9,BF110:BF114)&gt;0,SUBTOTAL(9,BF110:BF114),"")</f>
        <v>0.5</v>
      </c>
      <c r="BG109" s="34">
        <f t="shared" ref="BG109" si="2724">IF(SUBTOTAL(9,BG110:BG114)&gt;0,SUBTOTAL(9,BG110:BG114),"")</f>
        <v>0.5</v>
      </c>
      <c r="BH109" s="34">
        <f t="shared" ref="BH109" si="2725">IF(SUBTOTAL(9,BH110:BH114)&gt;0,SUBTOTAL(9,BH110:BH114),"")</f>
        <v>0.5</v>
      </c>
      <c r="BI109" s="34">
        <f t="shared" ref="BI109" si="2726">IF(SUBTOTAL(9,BI110:BI114)&gt;0,SUBTOTAL(9,BI110:BI114),"")</f>
        <v>0.5</v>
      </c>
      <c r="BJ109" s="34">
        <f t="shared" ref="BJ109" si="2727">IF(SUBTOTAL(9,BJ110:BJ114)&gt;0,SUBTOTAL(9,BJ110:BJ114),"")</f>
        <v>0.5</v>
      </c>
      <c r="BK109" s="34">
        <f t="shared" ref="BK109" si="2728">IF(SUBTOTAL(9,BK110:BK114)&gt;0,SUBTOTAL(9,BK110:BK114),"")</f>
        <v>0.5</v>
      </c>
      <c r="BL109" s="34">
        <f t="shared" ref="BL109" si="2729">IF(SUBTOTAL(9,BL110:BL114)&gt;0,SUBTOTAL(9,BL110:BL114),"")</f>
        <v>0.5</v>
      </c>
      <c r="BM109" s="34" t="str">
        <f t="shared" ref="BM109" si="2730">IF(SUBTOTAL(9,BM110:BM114)&gt;0,SUBTOTAL(9,BM110:BM114),"")</f>
        <v/>
      </c>
      <c r="BN109" s="34" t="str">
        <f t="shared" ref="BN109" si="2731">IF(SUBTOTAL(9,BN110:BN114)&gt;0,SUBTOTAL(9,BN110:BN114),"")</f>
        <v/>
      </c>
      <c r="BO109" s="34" t="str">
        <f t="shared" ref="BO109" si="2732">IF(SUBTOTAL(9,BO110:BO114)&gt;0,SUBTOTAL(9,BO110:BO114),"")</f>
        <v/>
      </c>
      <c r="BP109" s="34" t="str">
        <f t="shared" ref="BP109" si="2733">IF(SUBTOTAL(9,BP110:BP114)&gt;0,SUBTOTAL(9,BP110:BP114),"")</f>
        <v/>
      </c>
      <c r="BQ109" s="34" t="str">
        <f t="shared" ref="BQ109" si="2734">IF(SUBTOTAL(9,BQ110:BQ114)&gt;0,SUBTOTAL(9,BQ110:BQ114),"")</f>
        <v/>
      </c>
      <c r="BR109" s="34" t="str">
        <f t="shared" ref="BR109" si="2735">IF(SUBTOTAL(9,BR110:BR114)&gt;0,SUBTOTAL(9,BR110:BR114),"")</f>
        <v/>
      </c>
      <c r="BS109" s="34" t="str">
        <f t="shared" ref="BS109" si="2736">IF(SUBTOTAL(9,BS110:BS114)&gt;0,SUBTOTAL(9,BS110:BS114),"")</f>
        <v/>
      </c>
      <c r="BT109" s="34" t="str">
        <f t="shared" ref="BT109" si="2737">IF(SUBTOTAL(9,BT110:BT114)&gt;0,SUBTOTAL(9,BT110:BT114),"")</f>
        <v/>
      </c>
      <c r="BU109" s="34" t="str">
        <f t="shared" ref="BU109" si="2738">IF(SUBTOTAL(9,BU110:BU114)&gt;0,SUBTOTAL(9,BU110:BU114),"")</f>
        <v/>
      </c>
      <c r="BV109" s="34" t="str">
        <f t="shared" ref="BV109" si="2739">IF(SUBTOTAL(9,BV110:BV114)&gt;0,SUBTOTAL(9,BV110:BV114),"")</f>
        <v/>
      </c>
      <c r="BW109" s="34" t="str">
        <f t="shared" ref="BW109" si="2740">IF(SUBTOTAL(9,BW110:BW114)&gt;0,SUBTOTAL(9,BW110:BW114),"")</f>
        <v/>
      </c>
      <c r="BX109" s="34" t="str">
        <f t="shared" ref="BX109" si="2741">IF(SUBTOTAL(9,BX110:BX114)&gt;0,SUBTOTAL(9,BX110:BX114),"")</f>
        <v/>
      </c>
      <c r="BY109" s="34" t="str">
        <f t="shared" ref="BY109" si="2742">IF(SUBTOTAL(9,BY110:BY114)&gt;0,SUBTOTAL(9,BY110:BY114),"")</f>
        <v/>
      </c>
      <c r="BZ109" s="34" t="str">
        <f t="shared" ref="BZ109" si="2743">IF(SUBTOTAL(9,BZ110:BZ114)&gt;0,SUBTOTAL(9,BZ110:BZ114),"")</f>
        <v/>
      </c>
      <c r="CA109" s="34" t="str">
        <f t="shared" ref="CA109" si="2744">IF(SUBTOTAL(9,CA110:CA114)&gt;0,SUBTOTAL(9,CA110:CA114),"")</f>
        <v/>
      </c>
      <c r="CB109" s="34" t="str">
        <f t="shared" ref="CB109" si="2745">IF(SUBTOTAL(9,CB110:CB114)&gt;0,SUBTOTAL(9,CB110:CB114),"")</f>
        <v/>
      </c>
      <c r="CC109" s="34" t="str">
        <f t="shared" ref="CC109" si="2746">IF(SUBTOTAL(9,CC110:CC114)&gt;0,SUBTOTAL(9,CC110:CC114),"")</f>
        <v/>
      </c>
      <c r="CD109" s="34" t="str">
        <f t="shared" ref="CD109" si="2747">IF(SUBTOTAL(9,CD110:CD114)&gt;0,SUBTOTAL(9,CD110:CD114),"")</f>
        <v/>
      </c>
      <c r="CE109" s="34" t="str">
        <f t="shared" ref="CE109" si="2748">IF(SUBTOTAL(9,CE110:CE114)&gt;0,SUBTOTAL(9,CE110:CE114),"")</f>
        <v/>
      </c>
      <c r="CF109" s="34" t="str">
        <f t="shared" ref="CF109:CG109" si="2749">IF(SUBTOTAL(9,CF110:CF114)&gt;0,SUBTOTAL(9,CF110:CF114),"")</f>
        <v/>
      </c>
      <c r="CG109" s="34" t="str">
        <f t="shared" si="2749"/>
        <v/>
      </c>
      <c r="CH109" s="34" t="str">
        <f t="shared" ref="CH109" si="2750">IF(SUBTOTAL(9,CH110:CH114)&gt;0,SUBTOTAL(9,CH110:CH114),"")</f>
        <v/>
      </c>
      <c r="CI109" s="34" t="str">
        <f t="shared" ref="CI109" si="2751">IF(SUBTOTAL(9,CI110:CI114)&gt;0,SUBTOTAL(9,CI110:CI114),"")</f>
        <v/>
      </c>
      <c r="CJ109" s="34" t="str">
        <f t="shared" ref="CJ109" si="2752">IF(SUBTOTAL(9,CJ110:CJ114)&gt;0,SUBTOTAL(9,CJ110:CJ114),"")</f>
        <v/>
      </c>
      <c r="CK109" s="34" t="str">
        <f t="shared" ref="CK109" si="2753">IF(SUBTOTAL(9,CK110:CK114)&gt;0,SUBTOTAL(9,CK110:CK114),"")</f>
        <v/>
      </c>
      <c r="CL109" s="34" t="str">
        <f t="shared" ref="CL109" si="2754">IF(SUBTOTAL(9,CL110:CL114)&gt;0,SUBTOTAL(9,CL110:CL114),"")</f>
        <v/>
      </c>
      <c r="CM109" s="34" t="str">
        <f t="shared" ref="CM109" si="2755">IF(SUBTOTAL(9,CM110:CM114)&gt;0,SUBTOTAL(9,CM110:CM114),"")</f>
        <v/>
      </c>
      <c r="CN109" s="34" t="str">
        <f t="shared" ref="CN109" si="2756">IF(SUBTOTAL(9,CN110:CN114)&gt;0,SUBTOTAL(9,CN110:CN114),"")</f>
        <v/>
      </c>
      <c r="CO109" s="34" t="str">
        <f t="shared" ref="CO109" si="2757">IF(SUBTOTAL(9,CO110:CO114)&gt;0,SUBTOTAL(9,CO110:CO114),"")</f>
        <v/>
      </c>
      <c r="CP109" s="34" t="str">
        <f t="shared" ref="CP109" si="2758">IF(SUBTOTAL(9,CP110:CP114)&gt;0,SUBTOTAL(9,CP110:CP114),"")</f>
        <v/>
      </c>
      <c r="CQ109" s="34" t="str">
        <f t="shared" ref="CQ109" si="2759">IF(SUBTOTAL(9,CQ110:CQ114)&gt;0,SUBTOTAL(9,CQ110:CQ114),"")</f>
        <v/>
      </c>
      <c r="CR109" s="34" t="str">
        <f t="shared" ref="CR109" si="2760">IF(SUBTOTAL(9,CR110:CR114)&gt;0,SUBTOTAL(9,CR110:CR114),"")</f>
        <v/>
      </c>
      <c r="CS109" s="34" t="str">
        <f t="shared" ref="CS109" si="2761">IF(SUBTOTAL(9,CS110:CS114)&gt;0,SUBTOTAL(9,CS110:CS114),"")</f>
        <v/>
      </c>
      <c r="CT109" s="33" t="str">
        <f t="shared" ref="CT109" si="2762">IF(SUBTOTAL(9,CT110:CT114)&gt;0,SUBTOTAL(9,CT110:CT114),"")</f>
        <v/>
      </c>
      <c r="CU109" s="34" t="str">
        <f t="shared" ref="CU109" si="2763">IF(SUBTOTAL(9,CU110:CU114)&gt;0,SUBTOTAL(9,CU110:CU114),"")</f>
        <v/>
      </c>
      <c r="CV109" s="34" t="str">
        <f t="shared" ref="CV109" si="2764">IF(SUBTOTAL(9,CV110:CV114)&gt;0,SUBTOTAL(9,CV110:CV114),"")</f>
        <v/>
      </c>
      <c r="CW109" s="34" t="str">
        <f t="shared" ref="CW109" si="2765">IF(SUBTOTAL(9,CW110:CW114)&gt;0,SUBTOTAL(9,CW110:CW114),"")</f>
        <v/>
      </c>
      <c r="CX109" s="34" t="str">
        <f t="shared" ref="CX109" si="2766">IF(SUBTOTAL(9,CX110:CX114)&gt;0,SUBTOTAL(9,CX110:CX114),"")</f>
        <v/>
      </c>
      <c r="CY109" s="34" t="str">
        <f t="shared" ref="CY109" si="2767">IF(SUBTOTAL(9,CY110:CY114)&gt;0,SUBTOTAL(9,CY110:CY114),"")</f>
        <v/>
      </c>
      <c r="CZ109" s="33" t="str">
        <f t="shared" ref="CZ109" si="2768">IF(SUBTOTAL(9,CZ110:CZ114)&gt;0,SUBTOTAL(9,CZ110:CZ114),"")</f>
        <v/>
      </c>
      <c r="DA109" s="33" t="str">
        <f t="shared" ref="DA109" si="2769">IF(SUBTOTAL(9,DA110:DA114)&gt;0,SUBTOTAL(9,DA110:DA114),"")</f>
        <v/>
      </c>
      <c r="DB109" s="34" t="str">
        <f t="shared" ref="DB109" si="2770">IF(SUBTOTAL(9,DB110:DB114)&gt;0,SUBTOTAL(9,DB110:DB114),"")</f>
        <v/>
      </c>
      <c r="DC109" s="34" t="str">
        <f t="shared" ref="DC109" si="2771">IF(SUBTOTAL(9,DC110:DC114)&gt;0,SUBTOTAL(9,DC110:DC114),"")</f>
        <v/>
      </c>
      <c r="DD109" s="34" t="str">
        <f t="shared" ref="DD109" si="2772">IF(SUBTOTAL(9,DD110:DD114)&gt;0,SUBTOTAL(9,DD110:DD114),"")</f>
        <v/>
      </c>
      <c r="DE109" s="34" t="str">
        <f t="shared" ref="DE109" si="2773">IF(SUBTOTAL(9,DE110:DE114)&gt;0,SUBTOTAL(9,DE110:DE114),"")</f>
        <v/>
      </c>
      <c r="DF109" s="34" t="str">
        <f t="shared" ref="DF109" si="2774">IF(SUBTOTAL(9,DF110:DF114)&gt;0,SUBTOTAL(9,DF110:DF114),"")</f>
        <v/>
      </c>
      <c r="DG109" s="34" t="str">
        <f t="shared" ref="DG109" si="2775">IF(SUBTOTAL(9,DG110:DG114)&gt;0,SUBTOTAL(9,DG110:DG114),"")</f>
        <v/>
      </c>
      <c r="DH109" s="34" t="str">
        <f t="shared" ref="DH109" si="2776">IF(SUBTOTAL(9,DH110:DH114)&gt;0,SUBTOTAL(9,DH110:DH114),"")</f>
        <v/>
      </c>
      <c r="DI109" s="34" t="str">
        <f t="shared" ref="DI109" si="2777">IF(SUBTOTAL(9,DI110:DI114)&gt;0,SUBTOTAL(9,DI110:DI114),"")</f>
        <v/>
      </c>
      <c r="DJ109" s="34" t="str">
        <f t="shared" ref="DJ109" si="2778">IF(SUBTOTAL(9,DJ110:DJ114)&gt;0,SUBTOTAL(9,DJ110:DJ114),"")</f>
        <v/>
      </c>
      <c r="DK109" s="34" t="str">
        <f t="shared" ref="DK109" si="2779">IF(SUBTOTAL(9,DK110:DK114)&gt;0,SUBTOTAL(9,DK110:DK114),"")</f>
        <v/>
      </c>
      <c r="DL109" s="34" t="str">
        <f t="shared" ref="DL109" si="2780">IF(SUBTOTAL(9,DL110:DL114)&gt;0,SUBTOTAL(9,DL110:DL114),"")</f>
        <v/>
      </c>
      <c r="DM109" s="34" t="str">
        <f t="shared" ref="DM109" si="2781">IF(SUBTOTAL(9,DM110:DM114)&gt;0,SUBTOTAL(9,DM110:DM114),"")</f>
        <v/>
      </c>
      <c r="DN109" s="34" t="str">
        <f t="shared" ref="DN109" si="2782">IF(SUBTOTAL(9,DN110:DN114)&gt;0,SUBTOTAL(9,DN110:DN114),"")</f>
        <v/>
      </c>
      <c r="DO109" s="34" t="str">
        <f t="shared" ref="DO109" si="2783">IF(SUBTOTAL(9,DO110:DO114)&gt;0,SUBTOTAL(9,DO110:DO114),"")</f>
        <v/>
      </c>
      <c r="DP109" s="34" t="str">
        <f t="shared" ref="DP109" si="2784">IF(SUBTOTAL(9,DP110:DP114)&gt;0,SUBTOTAL(9,DP110:DP114),"")</f>
        <v/>
      </c>
      <c r="DQ109" s="34" t="str">
        <f t="shared" ref="DQ109" si="2785">IF(SUBTOTAL(9,DQ110:DQ114)&gt;0,SUBTOTAL(9,DQ110:DQ114),"")</f>
        <v/>
      </c>
      <c r="DR109" s="34" t="str">
        <f t="shared" ref="DR109" si="2786">IF(SUBTOTAL(9,DR110:DR114)&gt;0,SUBTOTAL(9,DR110:DR114),"")</f>
        <v/>
      </c>
      <c r="DS109" s="34" t="str">
        <f t="shared" ref="DS109" si="2787">IF(SUBTOTAL(9,DS110:DS114)&gt;0,SUBTOTAL(9,DS110:DS114),"")</f>
        <v/>
      </c>
      <c r="DT109" s="34" t="str">
        <f t="shared" ref="DT109" si="2788">IF(SUBTOTAL(9,DT110:DT114)&gt;0,SUBTOTAL(9,DT110:DT114),"")</f>
        <v/>
      </c>
      <c r="DU109" s="34" t="str">
        <f t="shared" ref="DU109" si="2789">IF(SUBTOTAL(9,DU110:DU114)&gt;0,SUBTOTAL(9,DU110:DU114),"")</f>
        <v/>
      </c>
      <c r="DV109" s="34" t="str">
        <f t="shared" ref="DV109" si="2790">IF(SUBTOTAL(9,DV110:DV114)&gt;0,SUBTOTAL(9,DV110:DV114),"")</f>
        <v/>
      </c>
      <c r="DW109" s="34" t="str">
        <f t="shared" ref="DW109" si="2791">IF(SUBTOTAL(9,DW110:DW114)&gt;0,SUBTOTAL(9,DW110:DW114),"")</f>
        <v/>
      </c>
      <c r="DX109" s="34" t="str">
        <f t="shared" ref="DX109" si="2792">IF(SUBTOTAL(9,DX110:DX114)&gt;0,SUBTOTAL(9,DX110:DX114),"")</f>
        <v/>
      </c>
      <c r="DY109" s="34" t="str">
        <f t="shared" ref="DY109" si="2793">IF(SUBTOTAL(9,DY110:DY114)&gt;0,SUBTOTAL(9,DY110:DY114),"")</f>
        <v/>
      </c>
      <c r="DZ109" s="33" t="str">
        <f t="shared" ref="DZ109" si="2794">IF(SUBTOTAL(9,DZ110:DZ114)&gt;0,SUBTOTAL(9,DZ110:DZ114),"")</f>
        <v/>
      </c>
      <c r="EA109" s="34" t="str">
        <f t="shared" ref="EA109" si="2795">IF(SUBTOTAL(9,EA110:EA114)&gt;0,SUBTOTAL(9,EA110:EA114),"")</f>
        <v/>
      </c>
      <c r="EB109" s="34" t="str">
        <f t="shared" ref="EB109" si="2796">IF(SUBTOTAL(9,EB110:EB114)&gt;0,SUBTOTAL(9,EB110:EB114),"")</f>
        <v/>
      </c>
      <c r="EC109" s="34" t="str">
        <f t="shared" ref="EC109" si="2797">IF(SUBTOTAL(9,EC110:EC114)&gt;0,SUBTOTAL(9,EC110:EC114),"")</f>
        <v/>
      </c>
      <c r="ED109" s="34" t="str">
        <f t="shared" ref="ED109" si="2798">IF(SUBTOTAL(9,ED110:ED114)&gt;0,SUBTOTAL(9,ED110:ED114),"")</f>
        <v/>
      </c>
      <c r="EE109" s="34" t="str">
        <f t="shared" ref="EE109" si="2799">IF(SUBTOTAL(9,EE110:EE114)&gt;0,SUBTOTAL(9,EE110:EE114),"")</f>
        <v/>
      </c>
      <c r="EF109" s="34" t="str">
        <f t="shared" ref="EF109" si="2800">IF(SUBTOTAL(9,EF110:EF114)&gt;0,SUBTOTAL(9,EF110:EF114),"")</f>
        <v/>
      </c>
      <c r="EG109" s="34" t="str">
        <f t="shared" ref="EG109" si="2801">IF(SUBTOTAL(9,EG110:EG114)&gt;0,SUBTOTAL(9,EG110:EG114),"")</f>
        <v/>
      </c>
      <c r="EH109" s="34" t="str">
        <f t="shared" ref="EH109" si="2802">IF(SUBTOTAL(9,EH110:EH114)&gt;0,SUBTOTAL(9,EH110:EH114),"")</f>
        <v/>
      </c>
      <c r="EI109" s="34" t="str">
        <f t="shared" ref="EI109" si="2803">IF(SUBTOTAL(9,EI110:EI114)&gt;0,SUBTOTAL(9,EI110:EI114),"")</f>
        <v/>
      </c>
      <c r="EJ109" s="34" t="str">
        <f t="shared" ref="EJ109" si="2804">IF(SUBTOTAL(9,EJ110:EJ114)&gt;0,SUBTOTAL(9,EJ110:EJ114),"")</f>
        <v/>
      </c>
      <c r="EK109" s="34" t="str">
        <f t="shared" ref="EK109" si="2805">IF(SUBTOTAL(9,EK110:EK114)&gt;0,SUBTOTAL(9,EK110:EK114),"")</f>
        <v/>
      </c>
      <c r="EL109" s="34" t="str">
        <f t="shared" ref="EL109" si="2806">IF(SUBTOTAL(9,EL110:EL114)&gt;0,SUBTOTAL(9,EL110:EL114),"")</f>
        <v/>
      </c>
      <c r="EM109" s="34" t="str">
        <f t="shared" ref="EM109" si="2807">IF(SUBTOTAL(9,EM110:EM114)&gt;0,SUBTOTAL(9,EM110:EM114),"")</f>
        <v/>
      </c>
      <c r="EN109" s="34" t="str">
        <f t="shared" ref="EN109" si="2808">IF(SUBTOTAL(9,EN110:EN114)&gt;0,SUBTOTAL(9,EN110:EN114),"")</f>
        <v/>
      </c>
      <c r="EO109" s="34" t="str">
        <f t="shared" ref="EO109" si="2809">IF(SUBTOTAL(9,EO110:EO114)&gt;0,SUBTOTAL(9,EO110:EO114),"")</f>
        <v/>
      </c>
      <c r="EP109" s="34" t="str">
        <f t="shared" ref="EP109" si="2810">IF(SUBTOTAL(9,EP110:EP114)&gt;0,SUBTOTAL(9,EP110:EP114),"")</f>
        <v/>
      </c>
      <c r="EQ109" s="34" t="str">
        <f t="shared" ref="EQ109" si="2811">IF(SUBTOTAL(9,EQ110:EQ114)&gt;0,SUBTOTAL(9,EQ110:EQ114),"")</f>
        <v/>
      </c>
      <c r="ER109" s="34" t="str">
        <f t="shared" ref="ER109" si="2812">IF(SUBTOTAL(9,ER110:ER114)&gt;0,SUBTOTAL(9,ER110:ER114),"")</f>
        <v/>
      </c>
      <c r="ES109" s="34" t="str">
        <f t="shared" ref="ES109" si="2813">IF(SUBTOTAL(9,ES110:ES114)&gt;0,SUBTOTAL(9,ES110:ES114),"")</f>
        <v/>
      </c>
      <c r="ET109" s="34" t="str">
        <f t="shared" ref="ET109" si="2814">IF(SUBTOTAL(9,ET110:ET114)&gt;0,SUBTOTAL(9,ET110:ET114),"")</f>
        <v/>
      </c>
      <c r="EU109" s="34" t="str">
        <f t="shared" ref="EU109" si="2815">IF(SUBTOTAL(9,EU110:EU114)&gt;0,SUBTOTAL(9,EU110:EU114),"")</f>
        <v/>
      </c>
      <c r="EV109" s="34" t="str">
        <f t="shared" ref="EV109" si="2816">IF(SUBTOTAL(9,EV110:EV114)&gt;0,SUBTOTAL(9,EV110:EV114),"")</f>
        <v/>
      </c>
      <c r="EW109" s="34" t="str">
        <f t="shared" ref="EW109" si="2817">IF(SUBTOTAL(9,EW110:EW114)&gt;0,SUBTOTAL(9,EW110:EW114),"")</f>
        <v/>
      </c>
      <c r="EX109" s="34" t="str">
        <f t="shared" ref="EX109" si="2818">IF(SUBTOTAL(9,EX110:EX114)&gt;0,SUBTOTAL(9,EX110:EX114),"")</f>
        <v/>
      </c>
      <c r="EY109" s="33" t="str">
        <f t="shared" ref="EY109" si="2819">IF(SUBTOTAL(9,EY110:EY114)&gt;0,SUBTOTAL(9,EY110:EY114),"")</f>
        <v/>
      </c>
      <c r="EZ109" s="34" t="str">
        <f t="shared" ref="EZ109" si="2820">IF(SUBTOTAL(9,EZ110:EZ114)&gt;0,SUBTOTAL(9,EZ110:EZ114),"")</f>
        <v/>
      </c>
      <c r="FA109" s="34" t="str">
        <f t="shared" ref="FA109" si="2821">IF(SUBTOTAL(9,FA110:FA114)&gt;0,SUBTOTAL(9,FA110:FA114),"")</f>
        <v/>
      </c>
      <c r="FB109" s="34" t="str">
        <f t="shared" ref="FB109" si="2822">IF(SUBTOTAL(9,FB110:FB114)&gt;0,SUBTOTAL(9,FB110:FB114),"")</f>
        <v/>
      </c>
      <c r="FC109" s="34" t="str">
        <f t="shared" ref="FC109" si="2823">IF(SUBTOTAL(9,FC110:FC114)&gt;0,SUBTOTAL(9,FC110:FC114),"")</f>
        <v/>
      </c>
      <c r="FD109" s="34" t="str">
        <f t="shared" ref="FD109" si="2824">IF(SUBTOTAL(9,FD110:FD114)&gt;0,SUBTOTAL(9,FD110:FD114),"")</f>
        <v/>
      </c>
      <c r="FE109" s="34" t="str">
        <f t="shared" ref="FE109" si="2825">IF(SUBTOTAL(9,FE110:FE114)&gt;0,SUBTOTAL(9,FE110:FE114),"")</f>
        <v/>
      </c>
      <c r="FF109" s="34" t="str">
        <f t="shared" ref="FF109" si="2826">IF(SUBTOTAL(9,FF110:FF114)&gt;0,SUBTOTAL(9,FF110:FF114),"")</f>
        <v/>
      </c>
      <c r="FG109" s="34" t="str">
        <f t="shared" ref="FG109" si="2827">IF(SUBTOTAL(9,FG110:FG114)&gt;0,SUBTOTAL(9,FG110:FG114),"")</f>
        <v/>
      </c>
      <c r="FH109" s="34" t="str">
        <f t="shared" ref="FH109" si="2828">IF(SUBTOTAL(9,FH110:FH114)&gt;0,SUBTOTAL(9,FH110:FH114),"")</f>
        <v/>
      </c>
      <c r="FI109" s="34" t="str">
        <f t="shared" ref="FI109" si="2829">IF(SUBTOTAL(9,FI110:FI114)&gt;0,SUBTOTAL(9,FI110:FI114),"")</f>
        <v/>
      </c>
      <c r="FJ109" s="34" t="str">
        <f t="shared" ref="FJ109" si="2830">IF(SUBTOTAL(9,FJ110:FJ114)&gt;0,SUBTOTAL(9,FJ110:FJ114),"")</f>
        <v/>
      </c>
      <c r="FK109" s="34" t="str">
        <f t="shared" ref="FK109" si="2831">IF(SUBTOTAL(9,FK110:FK114)&gt;0,SUBTOTAL(9,FK110:FK114),"")</f>
        <v/>
      </c>
      <c r="FL109" s="34" t="str">
        <f t="shared" ref="FL109" si="2832">IF(SUBTOTAL(9,FL110:FL114)&gt;0,SUBTOTAL(9,FL110:FL114),"")</f>
        <v/>
      </c>
      <c r="FM109" s="34" t="str">
        <f t="shared" ref="FM109" si="2833">IF(SUBTOTAL(9,FM110:FM114)&gt;0,SUBTOTAL(9,FM110:FM114),"")</f>
        <v/>
      </c>
      <c r="FN109" s="34" t="str">
        <f t="shared" ref="FN109" si="2834">IF(SUBTOTAL(9,FN110:FN114)&gt;0,SUBTOTAL(9,FN110:FN114),"")</f>
        <v/>
      </c>
      <c r="FO109" s="34" t="str">
        <f t="shared" ref="FO109" si="2835">IF(SUBTOTAL(9,FO110:FO114)&gt;0,SUBTOTAL(9,FO110:FO114),"")</f>
        <v/>
      </c>
      <c r="FP109" s="34" t="str">
        <f t="shared" ref="FP109" si="2836">IF(SUBTOTAL(9,FP110:FP114)&gt;0,SUBTOTAL(9,FP110:FP114),"")</f>
        <v/>
      </c>
      <c r="FQ109" s="92" t="str">
        <f t="shared" ref="FQ109" si="2837">IF(SUBTOTAL(9,FQ110:FQ114)&gt;0,SUBTOTAL(9,FQ110:FQ114),"")</f>
        <v/>
      </c>
      <c r="FR109" s="8"/>
      <c r="FS109" s="9" t="s">
        <v>131</v>
      </c>
      <c r="FT109" s="9" t="str">
        <f t="shared" si="1838"/>
        <v/>
      </c>
    </row>
    <row r="110" spans="1:176" s="9" customFormat="1" ht="12" hidden="1" customHeight="1" outlineLevel="1">
      <c r="A110" s="122" t="s">
        <v>4</v>
      </c>
      <c r="B110" s="123" t="s">
        <v>17</v>
      </c>
      <c r="C110" s="124" t="str">
        <f t="shared" si="1837"/>
        <v>7 days</v>
      </c>
      <c r="D110" s="13" t="str">
        <f>A102&amp;" "&amp;A109</f>
        <v>4. Annual Reporting (QRTs)  4.2 Review</v>
      </c>
      <c r="E110" s="51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5"/>
      <c r="AK110" s="35"/>
      <c r="AL110" s="36"/>
      <c r="AM110" s="36"/>
      <c r="AN110" s="36"/>
      <c r="AO110" s="36"/>
      <c r="AP110" s="36"/>
      <c r="AQ110" s="36"/>
      <c r="AR110" s="36"/>
      <c r="AS110" s="35"/>
      <c r="AT110" s="35"/>
      <c r="AU110" s="35"/>
      <c r="AV110" s="35"/>
      <c r="AW110" s="35"/>
      <c r="AX110" s="35"/>
      <c r="AY110" s="35">
        <v>0.5</v>
      </c>
      <c r="AZ110" s="35">
        <v>0.5</v>
      </c>
      <c r="BA110" s="35">
        <v>0.5</v>
      </c>
      <c r="BB110" s="35">
        <v>0.5</v>
      </c>
      <c r="BC110" s="35">
        <v>0.5</v>
      </c>
      <c r="BD110" s="35">
        <v>0.5</v>
      </c>
      <c r="BE110" s="35">
        <v>0.5</v>
      </c>
      <c r="BF110" s="35">
        <v>0.5</v>
      </c>
      <c r="BG110" s="35">
        <v>0.5</v>
      </c>
      <c r="BH110" s="35">
        <v>0.5</v>
      </c>
      <c r="BI110" s="35">
        <v>0.5</v>
      </c>
      <c r="BJ110" s="35">
        <v>0.5</v>
      </c>
      <c r="BK110" s="35">
        <v>0.5</v>
      </c>
      <c r="BL110" s="35">
        <v>0.5</v>
      </c>
      <c r="BM110" s="35"/>
      <c r="BN110" s="35"/>
      <c r="BO110" s="35"/>
      <c r="BP110" s="35"/>
      <c r="BQ110" s="35"/>
      <c r="BR110" s="35"/>
      <c r="BS110" s="35"/>
      <c r="BT110" s="35"/>
      <c r="BU110" s="35"/>
      <c r="BV110" s="35"/>
      <c r="BW110" s="35"/>
      <c r="BX110" s="35"/>
      <c r="BY110" s="35"/>
      <c r="BZ110" s="35"/>
      <c r="CA110" s="35"/>
      <c r="CB110" s="35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  <c r="CN110" s="35"/>
      <c r="CO110" s="35"/>
      <c r="CP110" s="35"/>
      <c r="CQ110" s="35"/>
      <c r="CR110" s="35"/>
      <c r="CS110" s="35"/>
      <c r="CT110" s="36"/>
      <c r="CU110" s="35"/>
      <c r="CV110" s="35"/>
      <c r="CW110" s="35"/>
      <c r="CX110" s="35"/>
      <c r="CY110" s="35"/>
      <c r="CZ110" s="36"/>
      <c r="DA110" s="36"/>
      <c r="DB110" s="35"/>
      <c r="DC110" s="35"/>
      <c r="DD110" s="35"/>
      <c r="DE110" s="35"/>
      <c r="DF110" s="35"/>
      <c r="DG110" s="35"/>
      <c r="DH110" s="35"/>
      <c r="DI110" s="35"/>
      <c r="DJ110" s="35"/>
      <c r="DK110" s="35"/>
      <c r="DL110" s="35"/>
      <c r="DM110" s="35"/>
      <c r="DN110" s="35"/>
      <c r="DO110" s="35"/>
      <c r="DP110" s="35"/>
      <c r="DQ110" s="35"/>
      <c r="DR110" s="35"/>
      <c r="DS110" s="35"/>
      <c r="DT110" s="35"/>
      <c r="DU110" s="35"/>
      <c r="DV110" s="35"/>
      <c r="DW110" s="35"/>
      <c r="DX110" s="35"/>
      <c r="DY110" s="35"/>
      <c r="DZ110" s="36"/>
      <c r="EA110" s="35"/>
      <c r="EB110" s="35"/>
      <c r="EC110" s="35"/>
      <c r="ED110" s="35"/>
      <c r="EE110" s="35"/>
      <c r="EF110" s="35"/>
      <c r="EG110" s="35"/>
      <c r="EH110" s="35"/>
      <c r="EI110" s="35"/>
      <c r="EJ110" s="35"/>
      <c r="EK110" s="35"/>
      <c r="EL110" s="35"/>
      <c r="EM110" s="35"/>
      <c r="EN110" s="35"/>
      <c r="EO110" s="35"/>
      <c r="EP110" s="35"/>
      <c r="EQ110" s="35"/>
      <c r="ER110" s="35"/>
      <c r="ES110" s="35"/>
      <c r="ET110" s="35"/>
      <c r="EU110" s="35"/>
      <c r="EV110" s="35"/>
      <c r="EW110" s="35"/>
      <c r="EX110" s="35"/>
      <c r="EY110" s="36"/>
      <c r="EZ110" s="35"/>
      <c r="FA110" s="35"/>
      <c r="FB110" s="35"/>
      <c r="FC110" s="35"/>
      <c r="FD110" s="35"/>
      <c r="FE110" s="35"/>
      <c r="FF110" s="35"/>
      <c r="FG110" s="35"/>
      <c r="FH110" s="35"/>
      <c r="FI110" s="35"/>
      <c r="FJ110" s="35"/>
      <c r="FK110" s="35"/>
      <c r="FL110" s="35"/>
      <c r="FM110" s="35"/>
      <c r="FN110" s="35"/>
      <c r="FO110" s="35"/>
      <c r="FP110" s="35"/>
      <c r="FQ110" s="52"/>
      <c r="FR110" s="8"/>
      <c r="FS110" s="9" t="s">
        <v>13</v>
      </c>
      <c r="FT110" s="9" t="str">
        <f t="shared" si="1838"/>
        <v>4. Annual Reporting (QRTs)  4.2 ReviewSenior Accountant</v>
      </c>
    </row>
    <row r="111" spans="1:176" s="9" customFormat="1" ht="12" hidden="1" customHeight="1" outlineLevel="1">
      <c r="A111" s="122"/>
      <c r="B111" s="123"/>
      <c r="C111" s="124" t="str">
        <f t="shared" si="1837"/>
        <v>0 days</v>
      </c>
      <c r="D111" s="13" t="str">
        <f>A102&amp;" "&amp;A109</f>
        <v>4. Annual Reporting (QRTs)  4.2 Review</v>
      </c>
      <c r="E111" s="51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6"/>
      <c r="AM111" s="36"/>
      <c r="AN111" s="36"/>
      <c r="AO111" s="36"/>
      <c r="AP111" s="36"/>
      <c r="AQ111" s="36"/>
      <c r="AR111" s="36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35"/>
      <c r="BU111" s="35"/>
      <c r="BV111" s="35"/>
      <c r="BW111" s="35"/>
      <c r="BX111" s="35"/>
      <c r="BY111" s="35"/>
      <c r="BZ111" s="35"/>
      <c r="CA111" s="35"/>
      <c r="CB111" s="35"/>
      <c r="CC111" s="35"/>
      <c r="CD111" s="35"/>
      <c r="CE111" s="35"/>
      <c r="CF111" s="35"/>
      <c r="CG111" s="35"/>
      <c r="CH111" s="35"/>
      <c r="CI111" s="35"/>
      <c r="CJ111" s="35"/>
      <c r="CK111" s="35"/>
      <c r="CL111" s="35"/>
      <c r="CM111" s="35"/>
      <c r="CN111" s="35"/>
      <c r="CO111" s="35"/>
      <c r="CP111" s="35"/>
      <c r="CQ111" s="35"/>
      <c r="CR111" s="35"/>
      <c r="CS111" s="35"/>
      <c r="CT111" s="36"/>
      <c r="CU111" s="35"/>
      <c r="CV111" s="35"/>
      <c r="CW111" s="35"/>
      <c r="CX111" s="35"/>
      <c r="CY111" s="35"/>
      <c r="CZ111" s="36"/>
      <c r="DA111" s="36"/>
      <c r="DB111" s="35"/>
      <c r="DC111" s="35"/>
      <c r="DD111" s="35"/>
      <c r="DE111" s="35"/>
      <c r="DF111" s="35"/>
      <c r="DG111" s="35"/>
      <c r="DH111" s="35"/>
      <c r="DI111" s="35"/>
      <c r="DJ111" s="35"/>
      <c r="DK111" s="35"/>
      <c r="DL111" s="35"/>
      <c r="DM111" s="35"/>
      <c r="DN111" s="35"/>
      <c r="DO111" s="35"/>
      <c r="DP111" s="35"/>
      <c r="DQ111" s="35"/>
      <c r="DR111" s="35"/>
      <c r="DS111" s="35"/>
      <c r="DT111" s="35"/>
      <c r="DU111" s="35"/>
      <c r="DV111" s="35"/>
      <c r="DW111" s="35"/>
      <c r="DX111" s="35"/>
      <c r="DY111" s="35"/>
      <c r="DZ111" s="36"/>
      <c r="EA111" s="35"/>
      <c r="EB111" s="35"/>
      <c r="EC111" s="35"/>
      <c r="ED111" s="35"/>
      <c r="EE111" s="35"/>
      <c r="EF111" s="35"/>
      <c r="EG111" s="35"/>
      <c r="EH111" s="35"/>
      <c r="EI111" s="35"/>
      <c r="EJ111" s="35"/>
      <c r="EK111" s="35"/>
      <c r="EL111" s="35"/>
      <c r="EM111" s="35"/>
      <c r="EN111" s="35"/>
      <c r="EO111" s="35"/>
      <c r="EP111" s="35"/>
      <c r="EQ111" s="35"/>
      <c r="ER111" s="35"/>
      <c r="ES111" s="35"/>
      <c r="ET111" s="35"/>
      <c r="EU111" s="35"/>
      <c r="EV111" s="35"/>
      <c r="EW111" s="35"/>
      <c r="EX111" s="35"/>
      <c r="EY111" s="36"/>
      <c r="EZ111" s="35"/>
      <c r="FA111" s="35"/>
      <c r="FB111" s="35"/>
      <c r="FC111" s="35"/>
      <c r="FD111" s="35"/>
      <c r="FE111" s="35"/>
      <c r="FF111" s="35"/>
      <c r="FG111" s="35"/>
      <c r="FH111" s="35"/>
      <c r="FI111" s="35"/>
      <c r="FJ111" s="35"/>
      <c r="FK111" s="35"/>
      <c r="FL111" s="35"/>
      <c r="FM111" s="35"/>
      <c r="FN111" s="35"/>
      <c r="FO111" s="35"/>
      <c r="FP111" s="35"/>
      <c r="FQ111" s="52"/>
      <c r="FR111" s="8"/>
      <c r="FS111" s="9" t="s">
        <v>13</v>
      </c>
      <c r="FT111" s="9" t="str">
        <f t="shared" si="1838"/>
        <v>4. Annual Reporting (QRTs)  4.2 Review</v>
      </c>
    </row>
    <row r="112" spans="1:176" s="9" customFormat="1" ht="12" hidden="1" customHeight="1" outlineLevel="1">
      <c r="A112" s="125" t="s">
        <v>50</v>
      </c>
      <c r="B112" s="123"/>
      <c r="C112" s="124" t="str">
        <f t="shared" si="1837"/>
        <v>0 days</v>
      </c>
      <c r="D112" s="13" t="str">
        <f>A102&amp;" "&amp;A109</f>
        <v>4. Annual Reporting (QRTs)  4.2 Review</v>
      </c>
      <c r="E112" s="51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5"/>
      <c r="AK112" s="35"/>
      <c r="AL112" s="36"/>
      <c r="AM112" s="36"/>
      <c r="AN112" s="36"/>
      <c r="AO112" s="36"/>
      <c r="AP112" s="36"/>
      <c r="AQ112" s="36"/>
      <c r="AR112" s="36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35"/>
      <c r="BU112" s="35"/>
      <c r="BV112" s="35"/>
      <c r="BW112" s="35"/>
      <c r="BX112" s="35"/>
      <c r="BY112" s="35"/>
      <c r="BZ112" s="35"/>
      <c r="CA112" s="35"/>
      <c r="CB112" s="35"/>
      <c r="CC112" s="35"/>
      <c r="CD112" s="35"/>
      <c r="CE112" s="35"/>
      <c r="CF112" s="35"/>
      <c r="CG112" s="35"/>
      <c r="CH112" s="35"/>
      <c r="CI112" s="35"/>
      <c r="CJ112" s="35"/>
      <c r="CK112" s="35"/>
      <c r="CL112" s="35"/>
      <c r="CM112" s="35"/>
      <c r="CN112" s="35"/>
      <c r="CO112" s="35"/>
      <c r="CP112" s="35"/>
      <c r="CQ112" s="35"/>
      <c r="CR112" s="35"/>
      <c r="CS112" s="35"/>
      <c r="CT112" s="36"/>
      <c r="CU112" s="35"/>
      <c r="CV112" s="35"/>
      <c r="CW112" s="35"/>
      <c r="CX112" s="35"/>
      <c r="CY112" s="35"/>
      <c r="CZ112" s="36"/>
      <c r="DA112" s="36"/>
      <c r="DB112" s="35"/>
      <c r="DC112" s="35"/>
      <c r="DD112" s="35"/>
      <c r="DE112" s="35"/>
      <c r="DF112" s="35"/>
      <c r="DG112" s="35"/>
      <c r="DH112" s="35"/>
      <c r="DI112" s="35"/>
      <c r="DJ112" s="35"/>
      <c r="DK112" s="35"/>
      <c r="DL112" s="35"/>
      <c r="DM112" s="35"/>
      <c r="DN112" s="35"/>
      <c r="DO112" s="35"/>
      <c r="DP112" s="35"/>
      <c r="DQ112" s="35"/>
      <c r="DR112" s="35"/>
      <c r="DS112" s="35"/>
      <c r="DT112" s="35"/>
      <c r="DU112" s="35"/>
      <c r="DV112" s="35"/>
      <c r="DW112" s="35"/>
      <c r="DX112" s="35"/>
      <c r="DY112" s="35"/>
      <c r="DZ112" s="36"/>
      <c r="EA112" s="35"/>
      <c r="EB112" s="35"/>
      <c r="EC112" s="35"/>
      <c r="ED112" s="35"/>
      <c r="EE112" s="35"/>
      <c r="EF112" s="35"/>
      <c r="EG112" s="35"/>
      <c r="EH112" s="35"/>
      <c r="EI112" s="35"/>
      <c r="EJ112" s="35"/>
      <c r="EK112" s="35"/>
      <c r="EL112" s="35"/>
      <c r="EM112" s="35"/>
      <c r="EN112" s="35"/>
      <c r="EO112" s="35"/>
      <c r="EP112" s="35"/>
      <c r="EQ112" s="35"/>
      <c r="ER112" s="35"/>
      <c r="ES112" s="35"/>
      <c r="ET112" s="35"/>
      <c r="EU112" s="35"/>
      <c r="EV112" s="35"/>
      <c r="EW112" s="35"/>
      <c r="EX112" s="35"/>
      <c r="EY112" s="36"/>
      <c r="EZ112" s="35"/>
      <c r="FA112" s="35"/>
      <c r="FB112" s="35"/>
      <c r="FC112" s="35"/>
      <c r="FD112" s="35"/>
      <c r="FE112" s="35"/>
      <c r="FF112" s="35"/>
      <c r="FG112" s="35"/>
      <c r="FH112" s="35"/>
      <c r="FI112" s="35"/>
      <c r="FJ112" s="35"/>
      <c r="FK112" s="35"/>
      <c r="FL112" s="35"/>
      <c r="FM112" s="35"/>
      <c r="FN112" s="35"/>
      <c r="FO112" s="35"/>
      <c r="FP112" s="35"/>
      <c r="FQ112" s="52"/>
      <c r="FR112" s="8"/>
      <c r="FS112" s="9" t="s">
        <v>13</v>
      </c>
      <c r="FT112" s="9" t="str">
        <f t="shared" si="1838"/>
        <v>4. Annual Reporting (QRTs)  4.2 Review</v>
      </c>
    </row>
    <row r="113" spans="1:176" s="9" customFormat="1" ht="12" hidden="1" customHeight="1" outlineLevel="1">
      <c r="A113" s="125" t="s">
        <v>50</v>
      </c>
      <c r="B113" s="123"/>
      <c r="C113" s="124" t="str">
        <f t="shared" si="1837"/>
        <v>0 days</v>
      </c>
      <c r="D113" s="13" t="str">
        <f>A102&amp;" "&amp;A109</f>
        <v>4. Annual Reporting (QRTs)  4.2 Review</v>
      </c>
      <c r="E113" s="51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5"/>
      <c r="AK113" s="35"/>
      <c r="AL113" s="36"/>
      <c r="AM113" s="36"/>
      <c r="AN113" s="36"/>
      <c r="AO113" s="36"/>
      <c r="AP113" s="36"/>
      <c r="AQ113" s="36"/>
      <c r="AR113" s="36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35"/>
      <c r="BU113" s="35"/>
      <c r="BV113" s="35"/>
      <c r="BW113" s="35"/>
      <c r="BX113" s="35"/>
      <c r="BY113" s="35"/>
      <c r="BZ113" s="35"/>
      <c r="CA113" s="35"/>
      <c r="CB113" s="35"/>
      <c r="CC113" s="35"/>
      <c r="CD113" s="35"/>
      <c r="CE113" s="35"/>
      <c r="CF113" s="35"/>
      <c r="CG113" s="35"/>
      <c r="CH113" s="35"/>
      <c r="CI113" s="35"/>
      <c r="CJ113" s="35"/>
      <c r="CK113" s="35"/>
      <c r="CL113" s="35"/>
      <c r="CM113" s="35"/>
      <c r="CN113" s="35"/>
      <c r="CO113" s="35"/>
      <c r="CP113" s="35"/>
      <c r="CQ113" s="35"/>
      <c r="CR113" s="35"/>
      <c r="CS113" s="35"/>
      <c r="CT113" s="36"/>
      <c r="CU113" s="35"/>
      <c r="CV113" s="35"/>
      <c r="CW113" s="35"/>
      <c r="CX113" s="35"/>
      <c r="CY113" s="35"/>
      <c r="CZ113" s="36"/>
      <c r="DA113" s="36"/>
      <c r="DB113" s="35"/>
      <c r="DC113" s="35"/>
      <c r="DD113" s="35"/>
      <c r="DE113" s="35"/>
      <c r="DF113" s="35"/>
      <c r="DG113" s="35"/>
      <c r="DH113" s="35"/>
      <c r="DI113" s="35"/>
      <c r="DJ113" s="35"/>
      <c r="DK113" s="35"/>
      <c r="DL113" s="35"/>
      <c r="DM113" s="35"/>
      <c r="DN113" s="35"/>
      <c r="DO113" s="35"/>
      <c r="DP113" s="35"/>
      <c r="DQ113" s="35"/>
      <c r="DR113" s="35"/>
      <c r="DS113" s="35"/>
      <c r="DT113" s="35"/>
      <c r="DU113" s="35"/>
      <c r="DV113" s="35"/>
      <c r="DW113" s="35"/>
      <c r="DX113" s="35"/>
      <c r="DY113" s="35"/>
      <c r="DZ113" s="36"/>
      <c r="EA113" s="35"/>
      <c r="EB113" s="35"/>
      <c r="EC113" s="35"/>
      <c r="ED113" s="35"/>
      <c r="EE113" s="35"/>
      <c r="EF113" s="35"/>
      <c r="EG113" s="35"/>
      <c r="EH113" s="35"/>
      <c r="EI113" s="35"/>
      <c r="EJ113" s="35"/>
      <c r="EK113" s="35"/>
      <c r="EL113" s="35"/>
      <c r="EM113" s="35"/>
      <c r="EN113" s="35"/>
      <c r="EO113" s="35"/>
      <c r="EP113" s="35"/>
      <c r="EQ113" s="35"/>
      <c r="ER113" s="35"/>
      <c r="ES113" s="35"/>
      <c r="ET113" s="35"/>
      <c r="EU113" s="35"/>
      <c r="EV113" s="35"/>
      <c r="EW113" s="35"/>
      <c r="EX113" s="35"/>
      <c r="EY113" s="36"/>
      <c r="EZ113" s="35"/>
      <c r="FA113" s="35"/>
      <c r="FB113" s="35"/>
      <c r="FC113" s="35"/>
      <c r="FD113" s="35"/>
      <c r="FE113" s="35"/>
      <c r="FF113" s="35"/>
      <c r="FG113" s="35"/>
      <c r="FH113" s="35"/>
      <c r="FI113" s="35"/>
      <c r="FJ113" s="35"/>
      <c r="FK113" s="35"/>
      <c r="FL113" s="35"/>
      <c r="FM113" s="35"/>
      <c r="FN113" s="35"/>
      <c r="FO113" s="35"/>
      <c r="FP113" s="35"/>
      <c r="FQ113" s="52"/>
      <c r="FR113" s="8"/>
      <c r="FS113" s="9" t="s">
        <v>13</v>
      </c>
      <c r="FT113" s="9" t="str">
        <f t="shared" si="1838"/>
        <v>4. Annual Reporting (QRTs)  4.2 Review</v>
      </c>
    </row>
    <row r="114" spans="1:176" s="9" customFormat="1" ht="12" hidden="1" customHeight="1" outlineLevel="1">
      <c r="A114" s="126" t="s">
        <v>50</v>
      </c>
      <c r="B114" s="123"/>
      <c r="C114" s="124" t="str">
        <f t="shared" si="1837"/>
        <v>0 days</v>
      </c>
      <c r="D114" s="13" t="str">
        <f>A102&amp;" "&amp;A109</f>
        <v>4. Annual Reporting (QRTs)  4.2 Review</v>
      </c>
      <c r="E114" s="51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5"/>
      <c r="AK114" s="35"/>
      <c r="AL114" s="36"/>
      <c r="AM114" s="36"/>
      <c r="AN114" s="36"/>
      <c r="AO114" s="36"/>
      <c r="AP114" s="36"/>
      <c r="AQ114" s="36"/>
      <c r="AR114" s="36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35"/>
      <c r="BU114" s="35"/>
      <c r="BV114" s="35"/>
      <c r="BW114" s="35"/>
      <c r="BX114" s="35"/>
      <c r="BY114" s="35"/>
      <c r="BZ114" s="35"/>
      <c r="CA114" s="35"/>
      <c r="CB114" s="35"/>
      <c r="CC114" s="35"/>
      <c r="CD114" s="35"/>
      <c r="CE114" s="35"/>
      <c r="CF114" s="35"/>
      <c r="CG114" s="35"/>
      <c r="CH114" s="35"/>
      <c r="CI114" s="35"/>
      <c r="CJ114" s="35"/>
      <c r="CK114" s="35"/>
      <c r="CL114" s="35"/>
      <c r="CM114" s="35"/>
      <c r="CN114" s="35"/>
      <c r="CO114" s="35"/>
      <c r="CP114" s="35"/>
      <c r="CQ114" s="35"/>
      <c r="CR114" s="35"/>
      <c r="CS114" s="35"/>
      <c r="CT114" s="36"/>
      <c r="CU114" s="35"/>
      <c r="CV114" s="35"/>
      <c r="CW114" s="35"/>
      <c r="CX114" s="35"/>
      <c r="CY114" s="35"/>
      <c r="CZ114" s="36"/>
      <c r="DA114" s="36"/>
      <c r="DB114" s="35"/>
      <c r="DC114" s="35"/>
      <c r="DD114" s="35"/>
      <c r="DE114" s="35"/>
      <c r="DF114" s="35"/>
      <c r="DG114" s="35"/>
      <c r="DH114" s="35"/>
      <c r="DI114" s="35"/>
      <c r="DJ114" s="35"/>
      <c r="DK114" s="35"/>
      <c r="DL114" s="35"/>
      <c r="DM114" s="35"/>
      <c r="DN114" s="35"/>
      <c r="DO114" s="35"/>
      <c r="DP114" s="35"/>
      <c r="DQ114" s="35"/>
      <c r="DR114" s="35"/>
      <c r="DS114" s="35"/>
      <c r="DT114" s="35"/>
      <c r="DU114" s="35"/>
      <c r="DV114" s="35"/>
      <c r="DW114" s="35"/>
      <c r="DX114" s="35"/>
      <c r="DY114" s="35"/>
      <c r="DZ114" s="36"/>
      <c r="EA114" s="35"/>
      <c r="EB114" s="35"/>
      <c r="EC114" s="35"/>
      <c r="ED114" s="35"/>
      <c r="EE114" s="35"/>
      <c r="EF114" s="35"/>
      <c r="EG114" s="35"/>
      <c r="EH114" s="35"/>
      <c r="EI114" s="35"/>
      <c r="EJ114" s="35"/>
      <c r="EK114" s="35"/>
      <c r="EL114" s="35"/>
      <c r="EM114" s="35"/>
      <c r="EN114" s="35"/>
      <c r="EO114" s="35"/>
      <c r="EP114" s="35"/>
      <c r="EQ114" s="35"/>
      <c r="ER114" s="35"/>
      <c r="ES114" s="35"/>
      <c r="ET114" s="35"/>
      <c r="EU114" s="35"/>
      <c r="EV114" s="35"/>
      <c r="EW114" s="35"/>
      <c r="EX114" s="35"/>
      <c r="EY114" s="36"/>
      <c r="EZ114" s="35"/>
      <c r="FA114" s="35"/>
      <c r="FB114" s="35"/>
      <c r="FC114" s="35"/>
      <c r="FD114" s="35"/>
      <c r="FE114" s="35"/>
      <c r="FF114" s="35"/>
      <c r="FG114" s="35"/>
      <c r="FH114" s="35"/>
      <c r="FI114" s="35"/>
      <c r="FJ114" s="35"/>
      <c r="FK114" s="35"/>
      <c r="FL114" s="35"/>
      <c r="FM114" s="35"/>
      <c r="FN114" s="35"/>
      <c r="FO114" s="35"/>
      <c r="FP114" s="35"/>
      <c r="FQ114" s="52"/>
      <c r="FR114" s="8"/>
      <c r="FS114" s="9" t="s">
        <v>13</v>
      </c>
      <c r="FT114" s="9" t="str">
        <f t="shared" si="1838"/>
        <v>4. Annual Reporting (QRTs)  4.2 Review</v>
      </c>
    </row>
    <row r="115" spans="1:176" s="9" customFormat="1" ht="12" customHeight="1" collapsed="1">
      <c r="A115" s="119" t="s">
        <v>79</v>
      </c>
      <c r="B115" s="127"/>
      <c r="C115" s="128" t="str">
        <f t="shared" si="1837"/>
        <v>5 days</v>
      </c>
      <c r="D115" s="37"/>
      <c r="E115" s="91" t="str">
        <f t="shared" ref="E115" si="2838">IF(SUBTOTAL(9,E116:E120)&gt;0,SUBTOTAL(9,E116:E120),"")</f>
        <v/>
      </c>
      <c r="F115" s="34" t="str">
        <f t="shared" ref="F115" si="2839">IF(SUBTOTAL(9,F116:F120)&gt;0,SUBTOTAL(9,F116:F120),"")</f>
        <v/>
      </c>
      <c r="G115" s="34" t="str">
        <f t="shared" ref="G115" si="2840">IF(SUBTOTAL(9,G116:G120)&gt;0,SUBTOTAL(9,G116:G120),"")</f>
        <v/>
      </c>
      <c r="H115" s="34" t="str">
        <f t="shared" ref="H115" si="2841">IF(SUBTOTAL(9,H116:H120)&gt;0,SUBTOTAL(9,H116:H120),"")</f>
        <v/>
      </c>
      <c r="I115" s="34" t="str">
        <f t="shared" ref="I115" si="2842">IF(SUBTOTAL(9,I116:I120)&gt;0,SUBTOTAL(9,I116:I120),"")</f>
        <v/>
      </c>
      <c r="J115" s="34" t="str">
        <f t="shared" ref="J115" si="2843">IF(SUBTOTAL(9,J116:J120)&gt;0,SUBTOTAL(9,J116:J120),"")</f>
        <v/>
      </c>
      <c r="K115" s="34" t="str">
        <f t="shared" ref="K115" si="2844">IF(SUBTOTAL(9,K116:K120)&gt;0,SUBTOTAL(9,K116:K120),"")</f>
        <v/>
      </c>
      <c r="L115" s="34" t="str">
        <f t="shared" ref="L115" si="2845">IF(SUBTOTAL(9,L116:L120)&gt;0,SUBTOTAL(9,L116:L120),"")</f>
        <v/>
      </c>
      <c r="M115" s="34" t="str">
        <f t="shared" ref="M115" si="2846">IF(SUBTOTAL(9,M116:M120)&gt;0,SUBTOTAL(9,M116:M120),"")</f>
        <v/>
      </c>
      <c r="N115" s="34" t="str">
        <f t="shared" ref="N115" si="2847">IF(SUBTOTAL(9,N116:N120)&gt;0,SUBTOTAL(9,N116:N120),"")</f>
        <v/>
      </c>
      <c r="O115" s="34" t="str">
        <f t="shared" ref="O115" si="2848">IF(SUBTOTAL(9,O116:O120)&gt;0,SUBTOTAL(9,O116:O120),"")</f>
        <v/>
      </c>
      <c r="P115" s="34" t="str">
        <f t="shared" ref="P115" si="2849">IF(SUBTOTAL(9,P116:P120)&gt;0,SUBTOTAL(9,P116:P120),"")</f>
        <v/>
      </c>
      <c r="Q115" s="34" t="str">
        <f t="shared" ref="Q115" si="2850">IF(SUBTOTAL(9,Q116:Q120)&gt;0,SUBTOTAL(9,Q116:Q120),"")</f>
        <v/>
      </c>
      <c r="R115" s="34" t="str">
        <f t="shared" ref="R115" si="2851">IF(SUBTOTAL(9,R116:R120)&gt;0,SUBTOTAL(9,R116:R120),"")</f>
        <v/>
      </c>
      <c r="S115" s="34" t="str">
        <f t="shared" ref="S115" si="2852">IF(SUBTOTAL(9,S116:S120)&gt;0,SUBTOTAL(9,S116:S120),"")</f>
        <v/>
      </c>
      <c r="T115" s="34" t="str">
        <f t="shared" ref="T115" si="2853">IF(SUBTOTAL(9,T116:T120)&gt;0,SUBTOTAL(9,T116:T120),"")</f>
        <v/>
      </c>
      <c r="U115" s="34" t="str">
        <f t="shared" ref="U115" si="2854">IF(SUBTOTAL(9,U116:U120)&gt;0,SUBTOTAL(9,U116:U120),"")</f>
        <v/>
      </c>
      <c r="V115" s="34" t="str">
        <f t="shared" ref="V115" si="2855">IF(SUBTOTAL(9,V116:V120)&gt;0,SUBTOTAL(9,V116:V120),"")</f>
        <v/>
      </c>
      <c r="W115" s="34" t="str">
        <f t="shared" ref="W115" si="2856">IF(SUBTOTAL(9,W116:W120)&gt;0,SUBTOTAL(9,W116:W120),"")</f>
        <v/>
      </c>
      <c r="X115" s="34" t="str">
        <f t="shared" ref="X115" si="2857">IF(SUBTOTAL(9,X116:X120)&gt;0,SUBTOTAL(9,X116:X120),"")</f>
        <v/>
      </c>
      <c r="Y115" s="34" t="str">
        <f t="shared" ref="Y115" si="2858">IF(SUBTOTAL(9,Y116:Y120)&gt;0,SUBTOTAL(9,Y116:Y120),"")</f>
        <v/>
      </c>
      <c r="Z115" s="34" t="str">
        <f t="shared" ref="Z115" si="2859">IF(SUBTOTAL(9,Z116:Z120)&gt;0,SUBTOTAL(9,Z116:Z120),"")</f>
        <v/>
      </c>
      <c r="AA115" s="34" t="str">
        <f t="shared" ref="AA115" si="2860">IF(SUBTOTAL(9,AA116:AA120)&gt;0,SUBTOTAL(9,AA116:AA120),"")</f>
        <v/>
      </c>
      <c r="AB115" s="34" t="str">
        <f t="shared" ref="AB115" si="2861">IF(SUBTOTAL(9,AB116:AB120)&gt;0,SUBTOTAL(9,AB116:AB120),"")</f>
        <v/>
      </c>
      <c r="AC115" s="34" t="str">
        <f t="shared" ref="AC115" si="2862">IF(SUBTOTAL(9,AC116:AC120)&gt;0,SUBTOTAL(9,AC116:AC120),"")</f>
        <v/>
      </c>
      <c r="AD115" s="34" t="str">
        <f t="shared" ref="AD115" si="2863">IF(SUBTOTAL(9,AD116:AD120)&gt;0,SUBTOTAL(9,AD116:AD120),"")</f>
        <v/>
      </c>
      <c r="AE115" s="34" t="str">
        <f t="shared" ref="AE115" si="2864">IF(SUBTOTAL(9,AE116:AE120)&gt;0,SUBTOTAL(9,AE116:AE120),"")</f>
        <v/>
      </c>
      <c r="AF115" s="34" t="str">
        <f t="shared" ref="AF115" si="2865">IF(SUBTOTAL(9,AF116:AF120)&gt;0,SUBTOTAL(9,AF116:AF120),"")</f>
        <v/>
      </c>
      <c r="AG115" s="34" t="str">
        <f t="shared" ref="AG115" si="2866">IF(SUBTOTAL(9,AG116:AG120)&gt;0,SUBTOTAL(9,AG116:AG120),"")</f>
        <v/>
      </c>
      <c r="AH115" s="34" t="str">
        <f t="shared" ref="AH115" si="2867">IF(SUBTOTAL(9,AH116:AH120)&gt;0,SUBTOTAL(9,AH116:AH120),"")</f>
        <v/>
      </c>
      <c r="AI115" s="34" t="str">
        <f t="shared" ref="AI115" si="2868">IF(SUBTOTAL(9,AI116:AI120)&gt;0,SUBTOTAL(9,AI116:AI120),"")</f>
        <v/>
      </c>
      <c r="AJ115" s="34" t="str">
        <f t="shared" ref="AJ115" si="2869">IF(SUBTOTAL(9,AJ116:AJ120)&gt;0,SUBTOTAL(9,AJ116:AJ120),"")</f>
        <v/>
      </c>
      <c r="AK115" s="34" t="str">
        <f t="shared" ref="AK115" si="2870">IF(SUBTOTAL(9,AK116:AK120)&gt;0,SUBTOTAL(9,AK116:AK120),"")</f>
        <v/>
      </c>
      <c r="AL115" s="33" t="str">
        <f t="shared" ref="AL115" si="2871">IF(SUBTOTAL(9,AL116:AL120)&gt;0,SUBTOTAL(9,AL116:AL120),"")</f>
        <v/>
      </c>
      <c r="AM115" s="33" t="str">
        <f t="shared" ref="AM115" si="2872">IF(SUBTOTAL(9,AM116:AM120)&gt;0,SUBTOTAL(9,AM116:AM120),"")</f>
        <v/>
      </c>
      <c r="AN115" s="33" t="str">
        <f t="shared" ref="AN115" si="2873">IF(SUBTOTAL(9,AN116:AN120)&gt;0,SUBTOTAL(9,AN116:AN120),"")</f>
        <v/>
      </c>
      <c r="AO115" s="33" t="str">
        <f t="shared" ref="AO115" si="2874">IF(SUBTOTAL(9,AO116:AO120)&gt;0,SUBTOTAL(9,AO116:AO120),"")</f>
        <v/>
      </c>
      <c r="AP115" s="33" t="str">
        <f t="shared" ref="AP115" si="2875">IF(SUBTOTAL(9,AP116:AP120)&gt;0,SUBTOTAL(9,AP116:AP120),"")</f>
        <v/>
      </c>
      <c r="AQ115" s="33" t="str">
        <f t="shared" ref="AQ115" si="2876">IF(SUBTOTAL(9,AQ116:AQ120)&gt;0,SUBTOTAL(9,AQ116:AQ120),"")</f>
        <v/>
      </c>
      <c r="AR115" s="33" t="str">
        <f t="shared" ref="AR115" si="2877">IF(SUBTOTAL(9,AR116:AR120)&gt;0,SUBTOTAL(9,AR116:AR120),"")</f>
        <v/>
      </c>
      <c r="AS115" s="34" t="str">
        <f t="shared" ref="AS115" si="2878">IF(SUBTOTAL(9,AS116:AS120)&gt;0,SUBTOTAL(9,AS116:AS120),"")</f>
        <v/>
      </c>
      <c r="AT115" s="34" t="str">
        <f t="shared" ref="AT115" si="2879">IF(SUBTOTAL(9,AT116:AT120)&gt;0,SUBTOTAL(9,AT116:AT120),"")</f>
        <v/>
      </c>
      <c r="AU115" s="34" t="str">
        <f t="shared" ref="AU115" si="2880">IF(SUBTOTAL(9,AU116:AU120)&gt;0,SUBTOTAL(9,AU116:AU120),"")</f>
        <v/>
      </c>
      <c r="AV115" s="34" t="str">
        <f t="shared" ref="AV115" si="2881">IF(SUBTOTAL(9,AV116:AV120)&gt;0,SUBTOTAL(9,AV116:AV120),"")</f>
        <v/>
      </c>
      <c r="AW115" s="34" t="str">
        <f t="shared" ref="AW115" si="2882">IF(SUBTOTAL(9,AW116:AW120)&gt;0,SUBTOTAL(9,AW116:AW120),"")</f>
        <v/>
      </c>
      <c r="AX115" s="34" t="str">
        <f t="shared" ref="AX115" si="2883">IF(SUBTOTAL(9,AX116:AX120)&gt;0,SUBTOTAL(9,AX116:AX120),"")</f>
        <v/>
      </c>
      <c r="AY115" s="34" t="str">
        <f t="shared" ref="AY115" si="2884">IF(SUBTOTAL(9,AY116:AY120)&gt;0,SUBTOTAL(9,AY116:AY120),"")</f>
        <v/>
      </c>
      <c r="AZ115" s="34" t="str">
        <f t="shared" ref="AZ115" si="2885">IF(SUBTOTAL(9,AZ116:AZ120)&gt;0,SUBTOTAL(9,AZ116:AZ120),"")</f>
        <v/>
      </c>
      <c r="BA115" s="34" t="str">
        <f t="shared" ref="BA115" si="2886">IF(SUBTOTAL(9,BA116:BA120)&gt;0,SUBTOTAL(9,BA116:BA120),"")</f>
        <v/>
      </c>
      <c r="BB115" s="34">
        <f t="shared" ref="BB115" si="2887">IF(SUBTOTAL(9,BB116:BB120)&gt;0,SUBTOTAL(9,BB116:BB120),"")</f>
        <v>0.5</v>
      </c>
      <c r="BC115" s="34">
        <f t="shared" ref="BC115" si="2888">IF(SUBTOTAL(9,BC116:BC120)&gt;0,SUBTOTAL(9,BC116:BC120),"")</f>
        <v>0.5</v>
      </c>
      <c r="BD115" s="34">
        <f t="shared" ref="BD115" si="2889">IF(SUBTOTAL(9,BD116:BD120)&gt;0,SUBTOTAL(9,BD116:BD120),"")</f>
        <v>0.5</v>
      </c>
      <c r="BE115" s="34">
        <f t="shared" ref="BE115" si="2890">IF(SUBTOTAL(9,BE116:BE120)&gt;0,SUBTOTAL(9,BE116:BE120),"")</f>
        <v>0.5</v>
      </c>
      <c r="BF115" s="34">
        <f t="shared" ref="BF115" si="2891">IF(SUBTOTAL(9,BF116:BF120)&gt;0,SUBTOTAL(9,BF116:BF120),"")</f>
        <v>0.5</v>
      </c>
      <c r="BG115" s="34">
        <f t="shared" ref="BG115" si="2892">IF(SUBTOTAL(9,BG116:BG120)&gt;0,SUBTOTAL(9,BG116:BG120),"")</f>
        <v>0.5</v>
      </c>
      <c r="BH115" s="34">
        <f t="shared" ref="BH115" si="2893">IF(SUBTOTAL(9,BH116:BH120)&gt;0,SUBTOTAL(9,BH116:BH120),"")</f>
        <v>0.25</v>
      </c>
      <c r="BI115" s="34">
        <f t="shared" ref="BI115" si="2894">IF(SUBTOTAL(9,BI116:BI120)&gt;0,SUBTOTAL(9,BI116:BI120),"")</f>
        <v>0.25</v>
      </c>
      <c r="BJ115" s="34">
        <f t="shared" ref="BJ115" si="2895">IF(SUBTOTAL(9,BJ116:BJ120)&gt;0,SUBTOTAL(9,BJ116:BJ120),"")</f>
        <v>0.25</v>
      </c>
      <c r="BK115" s="34">
        <f t="shared" ref="BK115" si="2896">IF(SUBTOTAL(9,BK116:BK120)&gt;0,SUBTOTAL(9,BK116:BK120),"")</f>
        <v>0.25</v>
      </c>
      <c r="BL115" s="34">
        <f t="shared" ref="BL115" si="2897">IF(SUBTOTAL(9,BL116:BL120)&gt;0,SUBTOTAL(9,BL116:BL120),"")</f>
        <v>0.5</v>
      </c>
      <c r="BM115" s="34" t="str">
        <f t="shared" ref="BM115" si="2898">IF(SUBTOTAL(9,BM116:BM120)&gt;0,SUBTOTAL(9,BM116:BM120),"")</f>
        <v/>
      </c>
      <c r="BN115" s="34" t="str">
        <f t="shared" ref="BN115" si="2899">IF(SUBTOTAL(9,BN116:BN120)&gt;0,SUBTOTAL(9,BN116:BN120),"")</f>
        <v/>
      </c>
      <c r="BO115" s="34" t="str">
        <f t="shared" ref="BO115" si="2900">IF(SUBTOTAL(9,BO116:BO120)&gt;0,SUBTOTAL(9,BO116:BO120),"")</f>
        <v/>
      </c>
      <c r="BP115" s="34" t="str">
        <f t="shared" ref="BP115" si="2901">IF(SUBTOTAL(9,BP116:BP120)&gt;0,SUBTOTAL(9,BP116:BP120),"")</f>
        <v/>
      </c>
      <c r="BQ115" s="34" t="str">
        <f t="shared" ref="BQ115" si="2902">IF(SUBTOTAL(9,BQ116:BQ120)&gt;0,SUBTOTAL(9,BQ116:BQ120),"")</f>
        <v/>
      </c>
      <c r="BR115" s="34" t="str">
        <f t="shared" ref="BR115" si="2903">IF(SUBTOTAL(9,BR116:BR120)&gt;0,SUBTOTAL(9,BR116:BR120),"")</f>
        <v/>
      </c>
      <c r="BS115" s="34" t="str">
        <f t="shared" ref="BS115" si="2904">IF(SUBTOTAL(9,BS116:BS120)&gt;0,SUBTOTAL(9,BS116:BS120),"")</f>
        <v/>
      </c>
      <c r="BT115" s="34" t="str">
        <f t="shared" ref="BT115" si="2905">IF(SUBTOTAL(9,BT116:BT120)&gt;0,SUBTOTAL(9,BT116:BT120),"")</f>
        <v/>
      </c>
      <c r="BU115" s="34" t="str">
        <f t="shared" ref="BU115" si="2906">IF(SUBTOTAL(9,BU116:BU120)&gt;0,SUBTOTAL(9,BU116:BU120),"")</f>
        <v/>
      </c>
      <c r="BV115" s="34" t="str">
        <f t="shared" ref="BV115" si="2907">IF(SUBTOTAL(9,BV116:BV120)&gt;0,SUBTOTAL(9,BV116:BV120),"")</f>
        <v/>
      </c>
      <c r="BW115" s="34" t="str">
        <f t="shared" ref="BW115" si="2908">IF(SUBTOTAL(9,BW116:BW120)&gt;0,SUBTOTAL(9,BW116:BW120),"")</f>
        <v/>
      </c>
      <c r="BX115" s="34" t="str">
        <f t="shared" ref="BX115" si="2909">IF(SUBTOTAL(9,BX116:BX120)&gt;0,SUBTOTAL(9,BX116:BX120),"")</f>
        <v/>
      </c>
      <c r="BY115" s="34" t="str">
        <f t="shared" ref="BY115" si="2910">IF(SUBTOTAL(9,BY116:BY120)&gt;0,SUBTOTAL(9,BY116:BY120),"")</f>
        <v/>
      </c>
      <c r="BZ115" s="34" t="str">
        <f t="shared" ref="BZ115" si="2911">IF(SUBTOTAL(9,BZ116:BZ120)&gt;0,SUBTOTAL(9,BZ116:BZ120),"")</f>
        <v/>
      </c>
      <c r="CA115" s="34" t="str">
        <f t="shared" ref="CA115" si="2912">IF(SUBTOTAL(9,CA116:CA120)&gt;0,SUBTOTAL(9,CA116:CA120),"")</f>
        <v/>
      </c>
      <c r="CB115" s="34" t="str">
        <f t="shared" ref="CB115" si="2913">IF(SUBTOTAL(9,CB116:CB120)&gt;0,SUBTOTAL(9,CB116:CB120),"")</f>
        <v/>
      </c>
      <c r="CC115" s="34" t="str">
        <f t="shared" ref="CC115" si="2914">IF(SUBTOTAL(9,CC116:CC120)&gt;0,SUBTOTAL(9,CC116:CC120),"")</f>
        <v/>
      </c>
      <c r="CD115" s="34" t="str">
        <f t="shared" ref="CD115" si="2915">IF(SUBTOTAL(9,CD116:CD120)&gt;0,SUBTOTAL(9,CD116:CD120),"")</f>
        <v/>
      </c>
      <c r="CE115" s="34" t="str">
        <f t="shared" ref="CE115" si="2916">IF(SUBTOTAL(9,CE116:CE120)&gt;0,SUBTOTAL(9,CE116:CE120),"")</f>
        <v/>
      </c>
      <c r="CF115" s="34" t="str">
        <f t="shared" ref="CF115:CG115" si="2917">IF(SUBTOTAL(9,CF116:CF120)&gt;0,SUBTOTAL(9,CF116:CF120),"")</f>
        <v/>
      </c>
      <c r="CG115" s="34" t="str">
        <f t="shared" si="2917"/>
        <v/>
      </c>
      <c r="CH115" s="34" t="str">
        <f t="shared" ref="CH115" si="2918">IF(SUBTOTAL(9,CH116:CH120)&gt;0,SUBTOTAL(9,CH116:CH120),"")</f>
        <v/>
      </c>
      <c r="CI115" s="34" t="str">
        <f t="shared" ref="CI115" si="2919">IF(SUBTOTAL(9,CI116:CI120)&gt;0,SUBTOTAL(9,CI116:CI120),"")</f>
        <v/>
      </c>
      <c r="CJ115" s="34" t="str">
        <f t="shared" ref="CJ115" si="2920">IF(SUBTOTAL(9,CJ116:CJ120)&gt;0,SUBTOTAL(9,CJ116:CJ120),"")</f>
        <v/>
      </c>
      <c r="CK115" s="34" t="str">
        <f t="shared" ref="CK115" si="2921">IF(SUBTOTAL(9,CK116:CK120)&gt;0,SUBTOTAL(9,CK116:CK120),"")</f>
        <v/>
      </c>
      <c r="CL115" s="34" t="str">
        <f t="shared" ref="CL115" si="2922">IF(SUBTOTAL(9,CL116:CL120)&gt;0,SUBTOTAL(9,CL116:CL120),"")</f>
        <v/>
      </c>
      <c r="CM115" s="34" t="str">
        <f t="shared" ref="CM115" si="2923">IF(SUBTOTAL(9,CM116:CM120)&gt;0,SUBTOTAL(9,CM116:CM120),"")</f>
        <v/>
      </c>
      <c r="CN115" s="34" t="str">
        <f t="shared" ref="CN115" si="2924">IF(SUBTOTAL(9,CN116:CN120)&gt;0,SUBTOTAL(9,CN116:CN120),"")</f>
        <v/>
      </c>
      <c r="CO115" s="34" t="str">
        <f t="shared" ref="CO115" si="2925">IF(SUBTOTAL(9,CO116:CO120)&gt;0,SUBTOTAL(9,CO116:CO120),"")</f>
        <v/>
      </c>
      <c r="CP115" s="34" t="str">
        <f t="shared" ref="CP115" si="2926">IF(SUBTOTAL(9,CP116:CP120)&gt;0,SUBTOTAL(9,CP116:CP120),"")</f>
        <v/>
      </c>
      <c r="CQ115" s="34" t="str">
        <f t="shared" ref="CQ115" si="2927">IF(SUBTOTAL(9,CQ116:CQ120)&gt;0,SUBTOTAL(9,CQ116:CQ120),"")</f>
        <v/>
      </c>
      <c r="CR115" s="34" t="str">
        <f t="shared" ref="CR115" si="2928">IF(SUBTOTAL(9,CR116:CR120)&gt;0,SUBTOTAL(9,CR116:CR120),"")</f>
        <v/>
      </c>
      <c r="CS115" s="34" t="str">
        <f t="shared" ref="CS115" si="2929">IF(SUBTOTAL(9,CS116:CS120)&gt;0,SUBTOTAL(9,CS116:CS120),"")</f>
        <v/>
      </c>
      <c r="CT115" s="33" t="str">
        <f t="shared" ref="CT115" si="2930">IF(SUBTOTAL(9,CT116:CT120)&gt;0,SUBTOTAL(9,CT116:CT120),"")</f>
        <v/>
      </c>
      <c r="CU115" s="34" t="str">
        <f t="shared" ref="CU115" si="2931">IF(SUBTOTAL(9,CU116:CU120)&gt;0,SUBTOTAL(9,CU116:CU120),"")</f>
        <v/>
      </c>
      <c r="CV115" s="34" t="str">
        <f t="shared" ref="CV115" si="2932">IF(SUBTOTAL(9,CV116:CV120)&gt;0,SUBTOTAL(9,CV116:CV120),"")</f>
        <v/>
      </c>
      <c r="CW115" s="34" t="str">
        <f t="shared" ref="CW115" si="2933">IF(SUBTOTAL(9,CW116:CW120)&gt;0,SUBTOTAL(9,CW116:CW120),"")</f>
        <v/>
      </c>
      <c r="CX115" s="34" t="str">
        <f t="shared" ref="CX115" si="2934">IF(SUBTOTAL(9,CX116:CX120)&gt;0,SUBTOTAL(9,CX116:CX120),"")</f>
        <v/>
      </c>
      <c r="CY115" s="34" t="str">
        <f t="shared" ref="CY115" si="2935">IF(SUBTOTAL(9,CY116:CY120)&gt;0,SUBTOTAL(9,CY116:CY120),"")</f>
        <v/>
      </c>
      <c r="CZ115" s="33" t="str">
        <f t="shared" ref="CZ115" si="2936">IF(SUBTOTAL(9,CZ116:CZ120)&gt;0,SUBTOTAL(9,CZ116:CZ120),"")</f>
        <v/>
      </c>
      <c r="DA115" s="33" t="str">
        <f t="shared" ref="DA115" si="2937">IF(SUBTOTAL(9,DA116:DA120)&gt;0,SUBTOTAL(9,DA116:DA120),"")</f>
        <v/>
      </c>
      <c r="DB115" s="34" t="str">
        <f t="shared" ref="DB115" si="2938">IF(SUBTOTAL(9,DB116:DB120)&gt;0,SUBTOTAL(9,DB116:DB120),"")</f>
        <v/>
      </c>
      <c r="DC115" s="34" t="str">
        <f t="shared" ref="DC115" si="2939">IF(SUBTOTAL(9,DC116:DC120)&gt;0,SUBTOTAL(9,DC116:DC120),"")</f>
        <v/>
      </c>
      <c r="DD115" s="34" t="str">
        <f t="shared" ref="DD115" si="2940">IF(SUBTOTAL(9,DD116:DD120)&gt;0,SUBTOTAL(9,DD116:DD120),"")</f>
        <v/>
      </c>
      <c r="DE115" s="34" t="str">
        <f t="shared" ref="DE115" si="2941">IF(SUBTOTAL(9,DE116:DE120)&gt;0,SUBTOTAL(9,DE116:DE120),"")</f>
        <v/>
      </c>
      <c r="DF115" s="34" t="str">
        <f t="shared" ref="DF115" si="2942">IF(SUBTOTAL(9,DF116:DF120)&gt;0,SUBTOTAL(9,DF116:DF120),"")</f>
        <v/>
      </c>
      <c r="DG115" s="34" t="str">
        <f t="shared" ref="DG115" si="2943">IF(SUBTOTAL(9,DG116:DG120)&gt;0,SUBTOTAL(9,DG116:DG120),"")</f>
        <v/>
      </c>
      <c r="DH115" s="34" t="str">
        <f t="shared" ref="DH115" si="2944">IF(SUBTOTAL(9,DH116:DH120)&gt;0,SUBTOTAL(9,DH116:DH120),"")</f>
        <v/>
      </c>
      <c r="DI115" s="34" t="str">
        <f t="shared" ref="DI115" si="2945">IF(SUBTOTAL(9,DI116:DI120)&gt;0,SUBTOTAL(9,DI116:DI120),"")</f>
        <v/>
      </c>
      <c r="DJ115" s="34" t="str">
        <f t="shared" ref="DJ115" si="2946">IF(SUBTOTAL(9,DJ116:DJ120)&gt;0,SUBTOTAL(9,DJ116:DJ120),"")</f>
        <v/>
      </c>
      <c r="DK115" s="34" t="str">
        <f t="shared" ref="DK115" si="2947">IF(SUBTOTAL(9,DK116:DK120)&gt;0,SUBTOTAL(9,DK116:DK120),"")</f>
        <v/>
      </c>
      <c r="DL115" s="34" t="str">
        <f t="shared" ref="DL115" si="2948">IF(SUBTOTAL(9,DL116:DL120)&gt;0,SUBTOTAL(9,DL116:DL120),"")</f>
        <v/>
      </c>
      <c r="DM115" s="34" t="str">
        <f t="shared" ref="DM115" si="2949">IF(SUBTOTAL(9,DM116:DM120)&gt;0,SUBTOTAL(9,DM116:DM120),"")</f>
        <v/>
      </c>
      <c r="DN115" s="34" t="str">
        <f t="shared" ref="DN115" si="2950">IF(SUBTOTAL(9,DN116:DN120)&gt;0,SUBTOTAL(9,DN116:DN120),"")</f>
        <v/>
      </c>
      <c r="DO115" s="34" t="str">
        <f t="shared" ref="DO115" si="2951">IF(SUBTOTAL(9,DO116:DO120)&gt;0,SUBTOTAL(9,DO116:DO120),"")</f>
        <v/>
      </c>
      <c r="DP115" s="34" t="str">
        <f t="shared" ref="DP115" si="2952">IF(SUBTOTAL(9,DP116:DP120)&gt;0,SUBTOTAL(9,DP116:DP120),"")</f>
        <v/>
      </c>
      <c r="DQ115" s="34" t="str">
        <f t="shared" ref="DQ115" si="2953">IF(SUBTOTAL(9,DQ116:DQ120)&gt;0,SUBTOTAL(9,DQ116:DQ120),"")</f>
        <v/>
      </c>
      <c r="DR115" s="34" t="str">
        <f t="shared" ref="DR115" si="2954">IF(SUBTOTAL(9,DR116:DR120)&gt;0,SUBTOTAL(9,DR116:DR120),"")</f>
        <v/>
      </c>
      <c r="DS115" s="34" t="str">
        <f t="shared" ref="DS115" si="2955">IF(SUBTOTAL(9,DS116:DS120)&gt;0,SUBTOTAL(9,DS116:DS120),"")</f>
        <v/>
      </c>
      <c r="DT115" s="34" t="str">
        <f t="shared" ref="DT115" si="2956">IF(SUBTOTAL(9,DT116:DT120)&gt;0,SUBTOTAL(9,DT116:DT120),"")</f>
        <v/>
      </c>
      <c r="DU115" s="34" t="str">
        <f t="shared" ref="DU115" si="2957">IF(SUBTOTAL(9,DU116:DU120)&gt;0,SUBTOTAL(9,DU116:DU120),"")</f>
        <v/>
      </c>
      <c r="DV115" s="34" t="str">
        <f t="shared" ref="DV115" si="2958">IF(SUBTOTAL(9,DV116:DV120)&gt;0,SUBTOTAL(9,DV116:DV120),"")</f>
        <v/>
      </c>
      <c r="DW115" s="34" t="str">
        <f t="shared" ref="DW115" si="2959">IF(SUBTOTAL(9,DW116:DW120)&gt;0,SUBTOTAL(9,DW116:DW120),"")</f>
        <v/>
      </c>
      <c r="DX115" s="34" t="str">
        <f t="shared" ref="DX115" si="2960">IF(SUBTOTAL(9,DX116:DX120)&gt;0,SUBTOTAL(9,DX116:DX120),"")</f>
        <v/>
      </c>
      <c r="DY115" s="34" t="str">
        <f t="shared" ref="DY115" si="2961">IF(SUBTOTAL(9,DY116:DY120)&gt;0,SUBTOTAL(9,DY116:DY120),"")</f>
        <v/>
      </c>
      <c r="DZ115" s="33" t="str">
        <f t="shared" ref="DZ115" si="2962">IF(SUBTOTAL(9,DZ116:DZ120)&gt;0,SUBTOTAL(9,DZ116:DZ120),"")</f>
        <v/>
      </c>
      <c r="EA115" s="34" t="str">
        <f t="shared" ref="EA115" si="2963">IF(SUBTOTAL(9,EA116:EA120)&gt;0,SUBTOTAL(9,EA116:EA120),"")</f>
        <v/>
      </c>
      <c r="EB115" s="34" t="str">
        <f t="shared" ref="EB115" si="2964">IF(SUBTOTAL(9,EB116:EB120)&gt;0,SUBTOTAL(9,EB116:EB120),"")</f>
        <v/>
      </c>
      <c r="EC115" s="34" t="str">
        <f t="shared" ref="EC115" si="2965">IF(SUBTOTAL(9,EC116:EC120)&gt;0,SUBTOTAL(9,EC116:EC120),"")</f>
        <v/>
      </c>
      <c r="ED115" s="34" t="str">
        <f t="shared" ref="ED115" si="2966">IF(SUBTOTAL(9,ED116:ED120)&gt;0,SUBTOTAL(9,ED116:ED120),"")</f>
        <v/>
      </c>
      <c r="EE115" s="34" t="str">
        <f t="shared" ref="EE115" si="2967">IF(SUBTOTAL(9,EE116:EE120)&gt;0,SUBTOTAL(9,EE116:EE120),"")</f>
        <v/>
      </c>
      <c r="EF115" s="34" t="str">
        <f t="shared" ref="EF115" si="2968">IF(SUBTOTAL(9,EF116:EF120)&gt;0,SUBTOTAL(9,EF116:EF120),"")</f>
        <v/>
      </c>
      <c r="EG115" s="34" t="str">
        <f t="shared" ref="EG115" si="2969">IF(SUBTOTAL(9,EG116:EG120)&gt;0,SUBTOTAL(9,EG116:EG120),"")</f>
        <v/>
      </c>
      <c r="EH115" s="34" t="str">
        <f t="shared" ref="EH115" si="2970">IF(SUBTOTAL(9,EH116:EH120)&gt;0,SUBTOTAL(9,EH116:EH120),"")</f>
        <v/>
      </c>
      <c r="EI115" s="34" t="str">
        <f t="shared" ref="EI115" si="2971">IF(SUBTOTAL(9,EI116:EI120)&gt;0,SUBTOTAL(9,EI116:EI120),"")</f>
        <v/>
      </c>
      <c r="EJ115" s="34" t="str">
        <f t="shared" ref="EJ115" si="2972">IF(SUBTOTAL(9,EJ116:EJ120)&gt;0,SUBTOTAL(9,EJ116:EJ120),"")</f>
        <v/>
      </c>
      <c r="EK115" s="34" t="str">
        <f t="shared" ref="EK115" si="2973">IF(SUBTOTAL(9,EK116:EK120)&gt;0,SUBTOTAL(9,EK116:EK120),"")</f>
        <v/>
      </c>
      <c r="EL115" s="34" t="str">
        <f t="shared" ref="EL115" si="2974">IF(SUBTOTAL(9,EL116:EL120)&gt;0,SUBTOTAL(9,EL116:EL120),"")</f>
        <v/>
      </c>
      <c r="EM115" s="34" t="str">
        <f t="shared" ref="EM115" si="2975">IF(SUBTOTAL(9,EM116:EM120)&gt;0,SUBTOTAL(9,EM116:EM120),"")</f>
        <v/>
      </c>
      <c r="EN115" s="34" t="str">
        <f t="shared" ref="EN115" si="2976">IF(SUBTOTAL(9,EN116:EN120)&gt;0,SUBTOTAL(9,EN116:EN120),"")</f>
        <v/>
      </c>
      <c r="EO115" s="34" t="str">
        <f t="shared" ref="EO115" si="2977">IF(SUBTOTAL(9,EO116:EO120)&gt;0,SUBTOTAL(9,EO116:EO120),"")</f>
        <v/>
      </c>
      <c r="EP115" s="34" t="str">
        <f t="shared" ref="EP115" si="2978">IF(SUBTOTAL(9,EP116:EP120)&gt;0,SUBTOTAL(9,EP116:EP120),"")</f>
        <v/>
      </c>
      <c r="EQ115" s="34" t="str">
        <f t="shared" ref="EQ115" si="2979">IF(SUBTOTAL(9,EQ116:EQ120)&gt;0,SUBTOTAL(9,EQ116:EQ120),"")</f>
        <v/>
      </c>
      <c r="ER115" s="34" t="str">
        <f t="shared" ref="ER115" si="2980">IF(SUBTOTAL(9,ER116:ER120)&gt;0,SUBTOTAL(9,ER116:ER120),"")</f>
        <v/>
      </c>
      <c r="ES115" s="34" t="str">
        <f t="shared" ref="ES115" si="2981">IF(SUBTOTAL(9,ES116:ES120)&gt;0,SUBTOTAL(9,ES116:ES120),"")</f>
        <v/>
      </c>
      <c r="ET115" s="34" t="str">
        <f t="shared" ref="ET115" si="2982">IF(SUBTOTAL(9,ET116:ET120)&gt;0,SUBTOTAL(9,ET116:ET120),"")</f>
        <v/>
      </c>
      <c r="EU115" s="34" t="str">
        <f t="shared" ref="EU115" si="2983">IF(SUBTOTAL(9,EU116:EU120)&gt;0,SUBTOTAL(9,EU116:EU120),"")</f>
        <v/>
      </c>
      <c r="EV115" s="34" t="str">
        <f t="shared" ref="EV115" si="2984">IF(SUBTOTAL(9,EV116:EV120)&gt;0,SUBTOTAL(9,EV116:EV120),"")</f>
        <v/>
      </c>
      <c r="EW115" s="34" t="str">
        <f t="shared" ref="EW115" si="2985">IF(SUBTOTAL(9,EW116:EW120)&gt;0,SUBTOTAL(9,EW116:EW120),"")</f>
        <v/>
      </c>
      <c r="EX115" s="34" t="str">
        <f t="shared" ref="EX115" si="2986">IF(SUBTOTAL(9,EX116:EX120)&gt;0,SUBTOTAL(9,EX116:EX120),"")</f>
        <v/>
      </c>
      <c r="EY115" s="33" t="str">
        <f t="shared" ref="EY115" si="2987">IF(SUBTOTAL(9,EY116:EY120)&gt;0,SUBTOTAL(9,EY116:EY120),"")</f>
        <v/>
      </c>
      <c r="EZ115" s="34" t="str">
        <f t="shared" ref="EZ115" si="2988">IF(SUBTOTAL(9,EZ116:EZ120)&gt;0,SUBTOTAL(9,EZ116:EZ120),"")</f>
        <v/>
      </c>
      <c r="FA115" s="34" t="str">
        <f t="shared" ref="FA115" si="2989">IF(SUBTOTAL(9,FA116:FA120)&gt;0,SUBTOTAL(9,FA116:FA120),"")</f>
        <v/>
      </c>
      <c r="FB115" s="34" t="str">
        <f t="shared" ref="FB115" si="2990">IF(SUBTOTAL(9,FB116:FB120)&gt;0,SUBTOTAL(9,FB116:FB120),"")</f>
        <v/>
      </c>
      <c r="FC115" s="34" t="str">
        <f t="shared" ref="FC115" si="2991">IF(SUBTOTAL(9,FC116:FC120)&gt;0,SUBTOTAL(9,FC116:FC120),"")</f>
        <v/>
      </c>
      <c r="FD115" s="34" t="str">
        <f t="shared" ref="FD115" si="2992">IF(SUBTOTAL(9,FD116:FD120)&gt;0,SUBTOTAL(9,FD116:FD120),"")</f>
        <v/>
      </c>
      <c r="FE115" s="34" t="str">
        <f t="shared" ref="FE115" si="2993">IF(SUBTOTAL(9,FE116:FE120)&gt;0,SUBTOTAL(9,FE116:FE120),"")</f>
        <v/>
      </c>
      <c r="FF115" s="34" t="str">
        <f t="shared" ref="FF115" si="2994">IF(SUBTOTAL(9,FF116:FF120)&gt;0,SUBTOTAL(9,FF116:FF120),"")</f>
        <v/>
      </c>
      <c r="FG115" s="34" t="str">
        <f t="shared" ref="FG115" si="2995">IF(SUBTOTAL(9,FG116:FG120)&gt;0,SUBTOTAL(9,FG116:FG120),"")</f>
        <v/>
      </c>
      <c r="FH115" s="34" t="str">
        <f t="shared" ref="FH115" si="2996">IF(SUBTOTAL(9,FH116:FH120)&gt;0,SUBTOTAL(9,FH116:FH120),"")</f>
        <v/>
      </c>
      <c r="FI115" s="34" t="str">
        <f t="shared" ref="FI115" si="2997">IF(SUBTOTAL(9,FI116:FI120)&gt;0,SUBTOTAL(9,FI116:FI120),"")</f>
        <v/>
      </c>
      <c r="FJ115" s="34" t="str">
        <f t="shared" ref="FJ115" si="2998">IF(SUBTOTAL(9,FJ116:FJ120)&gt;0,SUBTOTAL(9,FJ116:FJ120),"")</f>
        <v/>
      </c>
      <c r="FK115" s="34" t="str">
        <f t="shared" ref="FK115" si="2999">IF(SUBTOTAL(9,FK116:FK120)&gt;0,SUBTOTAL(9,FK116:FK120),"")</f>
        <v/>
      </c>
      <c r="FL115" s="34" t="str">
        <f t="shared" ref="FL115" si="3000">IF(SUBTOTAL(9,FL116:FL120)&gt;0,SUBTOTAL(9,FL116:FL120),"")</f>
        <v/>
      </c>
      <c r="FM115" s="34" t="str">
        <f t="shared" ref="FM115" si="3001">IF(SUBTOTAL(9,FM116:FM120)&gt;0,SUBTOTAL(9,FM116:FM120),"")</f>
        <v/>
      </c>
      <c r="FN115" s="34" t="str">
        <f t="shared" ref="FN115" si="3002">IF(SUBTOTAL(9,FN116:FN120)&gt;0,SUBTOTAL(9,FN116:FN120),"")</f>
        <v/>
      </c>
      <c r="FO115" s="34" t="str">
        <f t="shared" ref="FO115" si="3003">IF(SUBTOTAL(9,FO116:FO120)&gt;0,SUBTOTAL(9,FO116:FO120),"")</f>
        <v/>
      </c>
      <c r="FP115" s="34" t="str">
        <f t="shared" ref="FP115" si="3004">IF(SUBTOTAL(9,FP116:FP120)&gt;0,SUBTOTAL(9,FP116:FP120),"")</f>
        <v/>
      </c>
      <c r="FQ115" s="92" t="str">
        <f t="shared" ref="FQ115" si="3005">IF(SUBTOTAL(9,FQ116:FQ120)&gt;0,SUBTOTAL(9,FQ116:FQ120),"")</f>
        <v/>
      </c>
      <c r="FR115" s="8"/>
      <c r="FS115" s="9" t="s">
        <v>131</v>
      </c>
      <c r="FT115" s="9" t="str">
        <f t="shared" si="1838"/>
        <v/>
      </c>
    </row>
    <row r="116" spans="1:176" s="9" customFormat="1" ht="12" hidden="1" customHeight="1" outlineLevel="1">
      <c r="A116" s="129" t="s">
        <v>4</v>
      </c>
      <c r="B116" s="130" t="s">
        <v>10</v>
      </c>
      <c r="C116" s="131" t="str">
        <f t="shared" si="1837"/>
        <v>5 days</v>
      </c>
      <c r="D116" s="101" t="str">
        <f>A102&amp;" "&amp;A115</f>
        <v>4. Annual Reporting (QRTs)  4.3 Supervision</v>
      </c>
      <c r="E116" s="51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5"/>
      <c r="AK116" s="35"/>
      <c r="AL116" s="36"/>
      <c r="AM116" s="36"/>
      <c r="AN116" s="36"/>
      <c r="AO116" s="36"/>
      <c r="AP116" s="36"/>
      <c r="AQ116" s="36"/>
      <c r="AR116" s="36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>
        <v>0.5</v>
      </c>
      <c r="BC116" s="35">
        <v>0.5</v>
      </c>
      <c r="BD116" s="35">
        <v>0.5</v>
      </c>
      <c r="BE116" s="35">
        <v>0.5</v>
      </c>
      <c r="BF116" s="35">
        <v>0.5</v>
      </c>
      <c r="BG116" s="35">
        <v>0.5</v>
      </c>
      <c r="BH116" s="35">
        <v>0.25</v>
      </c>
      <c r="BI116" s="35">
        <v>0.25</v>
      </c>
      <c r="BJ116" s="35">
        <v>0.25</v>
      </c>
      <c r="BK116" s="35">
        <v>0.25</v>
      </c>
      <c r="BL116" s="35">
        <v>0.5</v>
      </c>
      <c r="BM116" s="35"/>
      <c r="BN116" s="35"/>
      <c r="BO116" s="35"/>
      <c r="BP116" s="35"/>
      <c r="BQ116" s="35"/>
      <c r="BR116" s="35"/>
      <c r="BS116" s="35"/>
      <c r="BT116" s="35"/>
      <c r="BU116" s="35"/>
      <c r="BV116" s="35"/>
      <c r="BW116" s="35"/>
      <c r="BX116" s="35"/>
      <c r="BY116" s="35"/>
      <c r="BZ116" s="35"/>
      <c r="CA116" s="35"/>
      <c r="CB116" s="35"/>
      <c r="CC116" s="35"/>
      <c r="CD116" s="35"/>
      <c r="CE116" s="35"/>
      <c r="CF116" s="35"/>
      <c r="CG116" s="35"/>
      <c r="CH116" s="35"/>
      <c r="CI116" s="35"/>
      <c r="CJ116" s="35"/>
      <c r="CK116" s="35"/>
      <c r="CL116" s="35"/>
      <c r="CM116" s="35"/>
      <c r="CN116" s="35"/>
      <c r="CO116" s="35"/>
      <c r="CP116" s="35"/>
      <c r="CQ116" s="35"/>
      <c r="CR116" s="35"/>
      <c r="CS116" s="35"/>
      <c r="CT116" s="36"/>
      <c r="CU116" s="35"/>
      <c r="CV116" s="35"/>
      <c r="CW116" s="35"/>
      <c r="CX116" s="35"/>
      <c r="CY116" s="35"/>
      <c r="CZ116" s="36"/>
      <c r="DA116" s="36"/>
      <c r="DB116" s="35"/>
      <c r="DC116" s="35"/>
      <c r="DD116" s="35"/>
      <c r="DE116" s="35"/>
      <c r="DF116" s="35"/>
      <c r="DG116" s="35"/>
      <c r="DH116" s="35"/>
      <c r="DI116" s="35"/>
      <c r="DJ116" s="35"/>
      <c r="DK116" s="35"/>
      <c r="DL116" s="35"/>
      <c r="DM116" s="35"/>
      <c r="DN116" s="35"/>
      <c r="DO116" s="35"/>
      <c r="DP116" s="35"/>
      <c r="DQ116" s="35"/>
      <c r="DR116" s="35"/>
      <c r="DS116" s="35"/>
      <c r="DT116" s="35"/>
      <c r="DU116" s="35"/>
      <c r="DV116" s="35"/>
      <c r="DW116" s="35"/>
      <c r="DX116" s="35"/>
      <c r="DY116" s="35"/>
      <c r="DZ116" s="36"/>
      <c r="EA116" s="35"/>
      <c r="EB116" s="35"/>
      <c r="EC116" s="35"/>
      <c r="ED116" s="35"/>
      <c r="EE116" s="35"/>
      <c r="EF116" s="35"/>
      <c r="EG116" s="35"/>
      <c r="EH116" s="35"/>
      <c r="EI116" s="35"/>
      <c r="EJ116" s="35"/>
      <c r="EK116" s="35"/>
      <c r="EL116" s="35"/>
      <c r="EM116" s="35"/>
      <c r="EN116" s="35"/>
      <c r="EO116" s="35"/>
      <c r="EP116" s="35"/>
      <c r="EQ116" s="35"/>
      <c r="ER116" s="35"/>
      <c r="ES116" s="35"/>
      <c r="ET116" s="35"/>
      <c r="EU116" s="35"/>
      <c r="EV116" s="35"/>
      <c r="EW116" s="35"/>
      <c r="EX116" s="35"/>
      <c r="EY116" s="36"/>
      <c r="EZ116" s="35"/>
      <c r="FA116" s="35"/>
      <c r="FB116" s="35"/>
      <c r="FC116" s="35"/>
      <c r="FD116" s="35"/>
      <c r="FE116" s="35"/>
      <c r="FF116" s="35"/>
      <c r="FG116" s="35"/>
      <c r="FH116" s="35"/>
      <c r="FI116" s="35"/>
      <c r="FJ116" s="35"/>
      <c r="FK116" s="35"/>
      <c r="FL116" s="35"/>
      <c r="FM116" s="35"/>
      <c r="FN116" s="35"/>
      <c r="FO116" s="35"/>
      <c r="FP116" s="35"/>
      <c r="FQ116" s="52"/>
      <c r="FR116" s="8"/>
      <c r="FS116" s="9" t="s">
        <v>13</v>
      </c>
      <c r="FT116" s="9" t="str">
        <f t="shared" si="1838"/>
        <v>4. Annual Reporting (QRTs)  4.3 SupervisionGlenn Kirk</v>
      </c>
    </row>
    <row r="117" spans="1:176" s="9" customFormat="1" ht="12" hidden="1" customHeight="1" outlineLevel="1">
      <c r="A117" s="122"/>
      <c r="B117" s="123"/>
      <c r="C117" s="124" t="str">
        <f t="shared" si="1837"/>
        <v>0 days</v>
      </c>
      <c r="D117" s="13" t="str">
        <f>A102&amp;" "&amp;A115</f>
        <v>4. Annual Reporting (QRTs)  4.3 Supervision</v>
      </c>
      <c r="E117" s="51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5"/>
      <c r="AK117" s="35"/>
      <c r="AL117" s="36"/>
      <c r="AM117" s="36"/>
      <c r="AN117" s="36"/>
      <c r="AO117" s="36"/>
      <c r="AP117" s="36"/>
      <c r="AQ117" s="36"/>
      <c r="AR117" s="36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35"/>
      <c r="BU117" s="35"/>
      <c r="BV117" s="35"/>
      <c r="BW117" s="35"/>
      <c r="BX117" s="35"/>
      <c r="BY117" s="35"/>
      <c r="BZ117" s="35"/>
      <c r="CA117" s="35"/>
      <c r="CB117" s="35"/>
      <c r="CC117" s="35"/>
      <c r="CD117" s="35"/>
      <c r="CE117" s="35"/>
      <c r="CF117" s="35"/>
      <c r="CG117" s="35"/>
      <c r="CH117" s="35"/>
      <c r="CI117" s="35"/>
      <c r="CJ117" s="35"/>
      <c r="CK117" s="35"/>
      <c r="CL117" s="35"/>
      <c r="CM117" s="35"/>
      <c r="CN117" s="35"/>
      <c r="CO117" s="35"/>
      <c r="CP117" s="35"/>
      <c r="CQ117" s="35"/>
      <c r="CR117" s="35"/>
      <c r="CS117" s="35"/>
      <c r="CT117" s="36"/>
      <c r="CU117" s="35"/>
      <c r="CV117" s="35"/>
      <c r="CW117" s="35"/>
      <c r="CX117" s="35"/>
      <c r="CY117" s="35"/>
      <c r="CZ117" s="36"/>
      <c r="DA117" s="36"/>
      <c r="DB117" s="35"/>
      <c r="DC117" s="35"/>
      <c r="DD117" s="35"/>
      <c r="DE117" s="35"/>
      <c r="DF117" s="35"/>
      <c r="DG117" s="35"/>
      <c r="DH117" s="35"/>
      <c r="DI117" s="35"/>
      <c r="DJ117" s="35"/>
      <c r="DK117" s="35"/>
      <c r="DL117" s="35"/>
      <c r="DM117" s="35"/>
      <c r="DN117" s="35"/>
      <c r="DO117" s="35"/>
      <c r="DP117" s="35"/>
      <c r="DQ117" s="35"/>
      <c r="DR117" s="35"/>
      <c r="DS117" s="35"/>
      <c r="DT117" s="35"/>
      <c r="DU117" s="35"/>
      <c r="DV117" s="35"/>
      <c r="DW117" s="35"/>
      <c r="DX117" s="35"/>
      <c r="DY117" s="35"/>
      <c r="DZ117" s="36"/>
      <c r="EA117" s="35"/>
      <c r="EB117" s="35"/>
      <c r="EC117" s="35"/>
      <c r="ED117" s="35"/>
      <c r="EE117" s="35"/>
      <c r="EF117" s="35"/>
      <c r="EG117" s="35"/>
      <c r="EH117" s="35"/>
      <c r="EI117" s="35"/>
      <c r="EJ117" s="35"/>
      <c r="EK117" s="35"/>
      <c r="EL117" s="35"/>
      <c r="EM117" s="35"/>
      <c r="EN117" s="35"/>
      <c r="EO117" s="35"/>
      <c r="EP117" s="35"/>
      <c r="EQ117" s="35"/>
      <c r="ER117" s="35"/>
      <c r="ES117" s="35"/>
      <c r="ET117" s="35"/>
      <c r="EU117" s="35"/>
      <c r="EV117" s="35"/>
      <c r="EW117" s="35"/>
      <c r="EX117" s="35"/>
      <c r="EY117" s="36"/>
      <c r="EZ117" s="35"/>
      <c r="FA117" s="35"/>
      <c r="FB117" s="35"/>
      <c r="FC117" s="35"/>
      <c r="FD117" s="35"/>
      <c r="FE117" s="35"/>
      <c r="FF117" s="35"/>
      <c r="FG117" s="35"/>
      <c r="FH117" s="35"/>
      <c r="FI117" s="35"/>
      <c r="FJ117" s="35"/>
      <c r="FK117" s="35"/>
      <c r="FL117" s="35"/>
      <c r="FM117" s="35"/>
      <c r="FN117" s="35"/>
      <c r="FO117" s="35"/>
      <c r="FP117" s="35"/>
      <c r="FQ117" s="52"/>
      <c r="FR117" s="8"/>
      <c r="FS117" s="9" t="s">
        <v>13</v>
      </c>
      <c r="FT117" s="9" t="str">
        <f t="shared" si="1838"/>
        <v>4. Annual Reporting (QRTs)  4.3 Supervision</v>
      </c>
    </row>
    <row r="118" spans="1:176" s="9" customFormat="1" ht="12" hidden="1" customHeight="1" outlineLevel="1">
      <c r="A118" s="125" t="s">
        <v>50</v>
      </c>
      <c r="B118" s="123"/>
      <c r="C118" s="124" t="str">
        <f t="shared" si="1837"/>
        <v>0 days</v>
      </c>
      <c r="D118" s="13" t="str">
        <f>A102&amp;" "&amp;A115</f>
        <v>4. Annual Reporting (QRTs)  4.3 Supervision</v>
      </c>
      <c r="E118" s="51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5"/>
      <c r="AK118" s="35"/>
      <c r="AL118" s="36"/>
      <c r="AM118" s="36"/>
      <c r="AN118" s="36"/>
      <c r="AO118" s="36"/>
      <c r="AP118" s="36"/>
      <c r="AQ118" s="36"/>
      <c r="AR118" s="36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35"/>
      <c r="BU118" s="35"/>
      <c r="BV118" s="35"/>
      <c r="BW118" s="35"/>
      <c r="BX118" s="35"/>
      <c r="BY118" s="35"/>
      <c r="BZ118" s="35"/>
      <c r="CA118" s="35"/>
      <c r="CB118" s="35"/>
      <c r="CC118" s="35"/>
      <c r="CD118" s="35"/>
      <c r="CE118" s="35"/>
      <c r="CF118" s="35"/>
      <c r="CG118" s="35"/>
      <c r="CH118" s="35"/>
      <c r="CI118" s="35"/>
      <c r="CJ118" s="35"/>
      <c r="CK118" s="35"/>
      <c r="CL118" s="35"/>
      <c r="CM118" s="35"/>
      <c r="CN118" s="35"/>
      <c r="CO118" s="35"/>
      <c r="CP118" s="35"/>
      <c r="CQ118" s="35"/>
      <c r="CR118" s="35"/>
      <c r="CS118" s="35"/>
      <c r="CT118" s="36"/>
      <c r="CU118" s="35"/>
      <c r="CV118" s="35"/>
      <c r="CW118" s="35"/>
      <c r="CX118" s="35"/>
      <c r="CY118" s="35"/>
      <c r="CZ118" s="36"/>
      <c r="DA118" s="36"/>
      <c r="DB118" s="35"/>
      <c r="DC118" s="35"/>
      <c r="DD118" s="35"/>
      <c r="DE118" s="35"/>
      <c r="DF118" s="35"/>
      <c r="DG118" s="35"/>
      <c r="DH118" s="35"/>
      <c r="DI118" s="35"/>
      <c r="DJ118" s="35"/>
      <c r="DK118" s="35"/>
      <c r="DL118" s="35"/>
      <c r="DM118" s="35"/>
      <c r="DN118" s="35"/>
      <c r="DO118" s="35"/>
      <c r="DP118" s="35"/>
      <c r="DQ118" s="35"/>
      <c r="DR118" s="35"/>
      <c r="DS118" s="35"/>
      <c r="DT118" s="35"/>
      <c r="DU118" s="35"/>
      <c r="DV118" s="35"/>
      <c r="DW118" s="35"/>
      <c r="DX118" s="35"/>
      <c r="DY118" s="35"/>
      <c r="DZ118" s="36"/>
      <c r="EA118" s="35"/>
      <c r="EB118" s="35"/>
      <c r="EC118" s="35"/>
      <c r="ED118" s="35"/>
      <c r="EE118" s="35"/>
      <c r="EF118" s="35"/>
      <c r="EG118" s="35"/>
      <c r="EH118" s="35"/>
      <c r="EI118" s="35"/>
      <c r="EJ118" s="35"/>
      <c r="EK118" s="35"/>
      <c r="EL118" s="35"/>
      <c r="EM118" s="35"/>
      <c r="EN118" s="35"/>
      <c r="EO118" s="35"/>
      <c r="EP118" s="35"/>
      <c r="EQ118" s="35"/>
      <c r="ER118" s="35"/>
      <c r="ES118" s="35"/>
      <c r="ET118" s="35"/>
      <c r="EU118" s="35"/>
      <c r="EV118" s="35"/>
      <c r="EW118" s="35"/>
      <c r="EX118" s="35"/>
      <c r="EY118" s="36"/>
      <c r="EZ118" s="35"/>
      <c r="FA118" s="35"/>
      <c r="FB118" s="35"/>
      <c r="FC118" s="35"/>
      <c r="FD118" s="35"/>
      <c r="FE118" s="35"/>
      <c r="FF118" s="35"/>
      <c r="FG118" s="35"/>
      <c r="FH118" s="35"/>
      <c r="FI118" s="35"/>
      <c r="FJ118" s="35"/>
      <c r="FK118" s="35"/>
      <c r="FL118" s="35"/>
      <c r="FM118" s="35"/>
      <c r="FN118" s="35"/>
      <c r="FO118" s="35"/>
      <c r="FP118" s="35"/>
      <c r="FQ118" s="52"/>
      <c r="FR118" s="8"/>
      <c r="FS118" s="9" t="s">
        <v>13</v>
      </c>
      <c r="FT118" s="9" t="str">
        <f t="shared" si="1838"/>
        <v>4. Annual Reporting (QRTs)  4.3 Supervision</v>
      </c>
    </row>
    <row r="119" spans="1:176" s="9" customFormat="1" ht="12" hidden="1" customHeight="1" outlineLevel="1">
      <c r="A119" s="125" t="s">
        <v>50</v>
      </c>
      <c r="B119" s="123"/>
      <c r="C119" s="124" t="str">
        <f t="shared" si="1837"/>
        <v>0 days</v>
      </c>
      <c r="D119" s="13" t="str">
        <f>A102&amp;" "&amp;A115</f>
        <v>4. Annual Reporting (QRTs)  4.3 Supervision</v>
      </c>
      <c r="E119" s="51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5"/>
      <c r="AK119" s="35"/>
      <c r="AL119" s="36"/>
      <c r="AM119" s="36"/>
      <c r="AN119" s="36"/>
      <c r="AO119" s="36"/>
      <c r="AP119" s="36"/>
      <c r="AQ119" s="36"/>
      <c r="AR119" s="36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35"/>
      <c r="BU119" s="35"/>
      <c r="BV119" s="35"/>
      <c r="BW119" s="35"/>
      <c r="BX119" s="35"/>
      <c r="BY119" s="35"/>
      <c r="BZ119" s="35"/>
      <c r="CA119" s="35"/>
      <c r="CB119" s="35"/>
      <c r="CC119" s="35"/>
      <c r="CD119" s="35"/>
      <c r="CE119" s="35"/>
      <c r="CF119" s="35"/>
      <c r="CG119" s="35"/>
      <c r="CH119" s="35"/>
      <c r="CI119" s="35"/>
      <c r="CJ119" s="35"/>
      <c r="CK119" s="35"/>
      <c r="CL119" s="35"/>
      <c r="CM119" s="35"/>
      <c r="CN119" s="35"/>
      <c r="CO119" s="35"/>
      <c r="CP119" s="35"/>
      <c r="CQ119" s="35"/>
      <c r="CR119" s="35"/>
      <c r="CS119" s="35"/>
      <c r="CT119" s="36"/>
      <c r="CU119" s="35"/>
      <c r="CV119" s="35"/>
      <c r="CW119" s="35"/>
      <c r="CX119" s="35"/>
      <c r="CY119" s="35"/>
      <c r="CZ119" s="36"/>
      <c r="DA119" s="36"/>
      <c r="DB119" s="35"/>
      <c r="DC119" s="35"/>
      <c r="DD119" s="35"/>
      <c r="DE119" s="35"/>
      <c r="DF119" s="35"/>
      <c r="DG119" s="35"/>
      <c r="DH119" s="35"/>
      <c r="DI119" s="35"/>
      <c r="DJ119" s="35"/>
      <c r="DK119" s="35"/>
      <c r="DL119" s="35"/>
      <c r="DM119" s="35"/>
      <c r="DN119" s="35"/>
      <c r="DO119" s="35"/>
      <c r="DP119" s="35"/>
      <c r="DQ119" s="35"/>
      <c r="DR119" s="35"/>
      <c r="DS119" s="35"/>
      <c r="DT119" s="35"/>
      <c r="DU119" s="35"/>
      <c r="DV119" s="35"/>
      <c r="DW119" s="35"/>
      <c r="DX119" s="35"/>
      <c r="DY119" s="35"/>
      <c r="DZ119" s="36"/>
      <c r="EA119" s="35"/>
      <c r="EB119" s="35"/>
      <c r="EC119" s="35"/>
      <c r="ED119" s="35"/>
      <c r="EE119" s="35"/>
      <c r="EF119" s="35"/>
      <c r="EG119" s="35"/>
      <c r="EH119" s="35"/>
      <c r="EI119" s="35"/>
      <c r="EJ119" s="35"/>
      <c r="EK119" s="35"/>
      <c r="EL119" s="35"/>
      <c r="EM119" s="35"/>
      <c r="EN119" s="35"/>
      <c r="EO119" s="35"/>
      <c r="EP119" s="35"/>
      <c r="EQ119" s="35"/>
      <c r="ER119" s="35"/>
      <c r="ES119" s="35"/>
      <c r="ET119" s="35"/>
      <c r="EU119" s="35"/>
      <c r="EV119" s="35"/>
      <c r="EW119" s="35"/>
      <c r="EX119" s="35"/>
      <c r="EY119" s="36"/>
      <c r="EZ119" s="35"/>
      <c r="FA119" s="35"/>
      <c r="FB119" s="35"/>
      <c r="FC119" s="35"/>
      <c r="FD119" s="35"/>
      <c r="FE119" s="35"/>
      <c r="FF119" s="35"/>
      <c r="FG119" s="35"/>
      <c r="FH119" s="35"/>
      <c r="FI119" s="35"/>
      <c r="FJ119" s="35"/>
      <c r="FK119" s="35"/>
      <c r="FL119" s="35"/>
      <c r="FM119" s="35"/>
      <c r="FN119" s="35"/>
      <c r="FO119" s="35"/>
      <c r="FP119" s="35"/>
      <c r="FQ119" s="52"/>
      <c r="FR119" s="8"/>
      <c r="FS119" s="9" t="s">
        <v>13</v>
      </c>
      <c r="FT119" s="9" t="str">
        <f t="shared" si="1838"/>
        <v>4. Annual Reporting (QRTs)  4.3 Supervision</v>
      </c>
    </row>
    <row r="120" spans="1:176" s="9" customFormat="1" ht="12" hidden="1" customHeight="1" outlineLevel="1">
      <c r="A120" s="126" t="s">
        <v>50</v>
      </c>
      <c r="B120" s="123"/>
      <c r="C120" s="124" t="str">
        <f t="shared" si="1837"/>
        <v>0 days</v>
      </c>
      <c r="D120" s="13" t="str">
        <f>A102&amp;" "&amp;A115</f>
        <v>4. Annual Reporting (QRTs)  4.3 Supervision</v>
      </c>
      <c r="E120" s="51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5"/>
      <c r="AK120" s="35"/>
      <c r="AL120" s="36"/>
      <c r="AM120" s="36"/>
      <c r="AN120" s="36"/>
      <c r="AO120" s="36"/>
      <c r="AP120" s="36"/>
      <c r="AQ120" s="36"/>
      <c r="AR120" s="36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35"/>
      <c r="BU120" s="35"/>
      <c r="BV120" s="35"/>
      <c r="BW120" s="35"/>
      <c r="BX120" s="35"/>
      <c r="BY120" s="35"/>
      <c r="BZ120" s="35"/>
      <c r="CA120" s="35"/>
      <c r="CB120" s="35"/>
      <c r="CC120" s="35"/>
      <c r="CD120" s="35"/>
      <c r="CE120" s="35"/>
      <c r="CF120" s="35"/>
      <c r="CG120" s="35"/>
      <c r="CH120" s="35"/>
      <c r="CI120" s="35"/>
      <c r="CJ120" s="35"/>
      <c r="CK120" s="35"/>
      <c r="CL120" s="35"/>
      <c r="CM120" s="35"/>
      <c r="CN120" s="35"/>
      <c r="CO120" s="35"/>
      <c r="CP120" s="35"/>
      <c r="CQ120" s="35"/>
      <c r="CR120" s="35"/>
      <c r="CS120" s="35"/>
      <c r="CT120" s="36"/>
      <c r="CU120" s="35"/>
      <c r="CV120" s="35"/>
      <c r="CW120" s="35"/>
      <c r="CX120" s="35"/>
      <c r="CY120" s="35"/>
      <c r="CZ120" s="36"/>
      <c r="DA120" s="36"/>
      <c r="DB120" s="35"/>
      <c r="DC120" s="35"/>
      <c r="DD120" s="35"/>
      <c r="DE120" s="35"/>
      <c r="DF120" s="35"/>
      <c r="DG120" s="35"/>
      <c r="DH120" s="35"/>
      <c r="DI120" s="35"/>
      <c r="DJ120" s="35"/>
      <c r="DK120" s="35"/>
      <c r="DL120" s="35"/>
      <c r="DM120" s="35"/>
      <c r="DN120" s="35"/>
      <c r="DO120" s="35"/>
      <c r="DP120" s="35"/>
      <c r="DQ120" s="35"/>
      <c r="DR120" s="35"/>
      <c r="DS120" s="35"/>
      <c r="DT120" s="35"/>
      <c r="DU120" s="35"/>
      <c r="DV120" s="35"/>
      <c r="DW120" s="35"/>
      <c r="DX120" s="35"/>
      <c r="DY120" s="35"/>
      <c r="DZ120" s="36"/>
      <c r="EA120" s="35"/>
      <c r="EB120" s="35"/>
      <c r="EC120" s="35"/>
      <c r="ED120" s="35"/>
      <c r="EE120" s="35"/>
      <c r="EF120" s="35"/>
      <c r="EG120" s="35"/>
      <c r="EH120" s="35"/>
      <c r="EI120" s="35"/>
      <c r="EJ120" s="35"/>
      <c r="EK120" s="35"/>
      <c r="EL120" s="35"/>
      <c r="EM120" s="35"/>
      <c r="EN120" s="35"/>
      <c r="EO120" s="35"/>
      <c r="EP120" s="35"/>
      <c r="EQ120" s="35"/>
      <c r="ER120" s="35"/>
      <c r="ES120" s="35"/>
      <c r="ET120" s="35"/>
      <c r="EU120" s="35"/>
      <c r="EV120" s="35"/>
      <c r="EW120" s="35"/>
      <c r="EX120" s="35"/>
      <c r="EY120" s="36"/>
      <c r="EZ120" s="35"/>
      <c r="FA120" s="35"/>
      <c r="FB120" s="35"/>
      <c r="FC120" s="35"/>
      <c r="FD120" s="35"/>
      <c r="FE120" s="35"/>
      <c r="FF120" s="35"/>
      <c r="FG120" s="35"/>
      <c r="FH120" s="35"/>
      <c r="FI120" s="35"/>
      <c r="FJ120" s="35"/>
      <c r="FK120" s="35"/>
      <c r="FL120" s="35"/>
      <c r="FM120" s="35"/>
      <c r="FN120" s="35"/>
      <c r="FO120" s="35"/>
      <c r="FP120" s="35"/>
      <c r="FQ120" s="52"/>
      <c r="FR120" s="8"/>
      <c r="FS120" s="9" t="s">
        <v>13</v>
      </c>
      <c r="FT120" s="9" t="str">
        <f t="shared" si="1838"/>
        <v>4. Annual Reporting (QRTs)  4.3 Supervision</v>
      </c>
    </row>
    <row r="121" spans="1:176" s="9" customFormat="1" ht="12" customHeight="1" collapsed="1">
      <c r="A121" s="119" t="s">
        <v>80</v>
      </c>
      <c r="B121" s="127"/>
      <c r="C121" s="121" t="str">
        <f t="shared" si="1837"/>
        <v>3 days</v>
      </c>
      <c r="D121" s="27"/>
      <c r="E121" s="91" t="str">
        <f t="shared" ref="E121" si="3006">IF(SUBTOTAL(9,E122:E126)&gt;0,SUBTOTAL(9,E122:E126),"")</f>
        <v/>
      </c>
      <c r="F121" s="34" t="str">
        <f t="shared" ref="F121" si="3007">IF(SUBTOTAL(9,F122:F126)&gt;0,SUBTOTAL(9,F122:F126),"")</f>
        <v/>
      </c>
      <c r="G121" s="34" t="str">
        <f t="shared" ref="G121" si="3008">IF(SUBTOTAL(9,G122:G126)&gt;0,SUBTOTAL(9,G122:G126),"")</f>
        <v/>
      </c>
      <c r="H121" s="34" t="str">
        <f t="shared" ref="H121" si="3009">IF(SUBTOTAL(9,H122:H126)&gt;0,SUBTOTAL(9,H122:H126),"")</f>
        <v/>
      </c>
      <c r="I121" s="34" t="str">
        <f t="shared" ref="I121" si="3010">IF(SUBTOTAL(9,I122:I126)&gt;0,SUBTOTAL(9,I122:I126),"")</f>
        <v/>
      </c>
      <c r="J121" s="34" t="str">
        <f t="shared" ref="J121" si="3011">IF(SUBTOTAL(9,J122:J126)&gt;0,SUBTOTAL(9,J122:J126),"")</f>
        <v/>
      </c>
      <c r="K121" s="34" t="str">
        <f t="shared" ref="K121" si="3012">IF(SUBTOTAL(9,K122:K126)&gt;0,SUBTOTAL(9,K122:K126),"")</f>
        <v/>
      </c>
      <c r="L121" s="34" t="str">
        <f t="shared" ref="L121" si="3013">IF(SUBTOTAL(9,L122:L126)&gt;0,SUBTOTAL(9,L122:L126),"")</f>
        <v/>
      </c>
      <c r="M121" s="34" t="str">
        <f t="shared" ref="M121" si="3014">IF(SUBTOTAL(9,M122:M126)&gt;0,SUBTOTAL(9,M122:M126),"")</f>
        <v/>
      </c>
      <c r="N121" s="34" t="str">
        <f t="shared" ref="N121" si="3015">IF(SUBTOTAL(9,N122:N126)&gt;0,SUBTOTAL(9,N122:N126),"")</f>
        <v/>
      </c>
      <c r="O121" s="34" t="str">
        <f t="shared" ref="O121" si="3016">IF(SUBTOTAL(9,O122:O126)&gt;0,SUBTOTAL(9,O122:O126),"")</f>
        <v/>
      </c>
      <c r="P121" s="34" t="str">
        <f t="shared" ref="P121" si="3017">IF(SUBTOTAL(9,P122:P126)&gt;0,SUBTOTAL(9,P122:P126),"")</f>
        <v/>
      </c>
      <c r="Q121" s="34" t="str">
        <f t="shared" ref="Q121" si="3018">IF(SUBTOTAL(9,Q122:Q126)&gt;0,SUBTOTAL(9,Q122:Q126),"")</f>
        <v/>
      </c>
      <c r="R121" s="34" t="str">
        <f t="shared" ref="R121" si="3019">IF(SUBTOTAL(9,R122:R126)&gt;0,SUBTOTAL(9,R122:R126),"")</f>
        <v/>
      </c>
      <c r="S121" s="34" t="str">
        <f t="shared" ref="S121" si="3020">IF(SUBTOTAL(9,S122:S126)&gt;0,SUBTOTAL(9,S122:S126),"")</f>
        <v/>
      </c>
      <c r="T121" s="34" t="str">
        <f t="shared" ref="T121" si="3021">IF(SUBTOTAL(9,T122:T126)&gt;0,SUBTOTAL(9,T122:T126),"")</f>
        <v/>
      </c>
      <c r="U121" s="34" t="str">
        <f t="shared" ref="U121" si="3022">IF(SUBTOTAL(9,U122:U126)&gt;0,SUBTOTAL(9,U122:U126),"")</f>
        <v/>
      </c>
      <c r="V121" s="34" t="str">
        <f t="shared" ref="V121" si="3023">IF(SUBTOTAL(9,V122:V126)&gt;0,SUBTOTAL(9,V122:V126),"")</f>
        <v/>
      </c>
      <c r="W121" s="34" t="str">
        <f t="shared" ref="W121" si="3024">IF(SUBTOTAL(9,W122:W126)&gt;0,SUBTOTAL(9,W122:W126),"")</f>
        <v/>
      </c>
      <c r="X121" s="34" t="str">
        <f t="shared" ref="X121" si="3025">IF(SUBTOTAL(9,X122:X126)&gt;0,SUBTOTAL(9,X122:X126),"")</f>
        <v/>
      </c>
      <c r="Y121" s="34" t="str">
        <f t="shared" ref="Y121" si="3026">IF(SUBTOTAL(9,Y122:Y126)&gt;0,SUBTOTAL(9,Y122:Y126),"")</f>
        <v/>
      </c>
      <c r="Z121" s="34" t="str">
        <f t="shared" ref="Z121" si="3027">IF(SUBTOTAL(9,Z122:Z126)&gt;0,SUBTOTAL(9,Z122:Z126),"")</f>
        <v/>
      </c>
      <c r="AA121" s="34" t="str">
        <f t="shared" ref="AA121" si="3028">IF(SUBTOTAL(9,AA122:AA126)&gt;0,SUBTOTAL(9,AA122:AA126),"")</f>
        <v/>
      </c>
      <c r="AB121" s="34" t="str">
        <f t="shared" ref="AB121" si="3029">IF(SUBTOTAL(9,AB122:AB126)&gt;0,SUBTOTAL(9,AB122:AB126),"")</f>
        <v/>
      </c>
      <c r="AC121" s="34" t="str">
        <f t="shared" ref="AC121" si="3030">IF(SUBTOTAL(9,AC122:AC126)&gt;0,SUBTOTAL(9,AC122:AC126),"")</f>
        <v/>
      </c>
      <c r="AD121" s="34" t="str">
        <f t="shared" ref="AD121" si="3031">IF(SUBTOTAL(9,AD122:AD126)&gt;0,SUBTOTAL(9,AD122:AD126),"")</f>
        <v/>
      </c>
      <c r="AE121" s="34" t="str">
        <f t="shared" ref="AE121" si="3032">IF(SUBTOTAL(9,AE122:AE126)&gt;0,SUBTOTAL(9,AE122:AE126),"")</f>
        <v/>
      </c>
      <c r="AF121" s="34" t="str">
        <f t="shared" ref="AF121" si="3033">IF(SUBTOTAL(9,AF122:AF126)&gt;0,SUBTOTAL(9,AF122:AF126),"")</f>
        <v/>
      </c>
      <c r="AG121" s="34" t="str">
        <f t="shared" ref="AG121" si="3034">IF(SUBTOTAL(9,AG122:AG126)&gt;0,SUBTOTAL(9,AG122:AG126),"")</f>
        <v/>
      </c>
      <c r="AH121" s="34" t="str">
        <f t="shared" ref="AH121" si="3035">IF(SUBTOTAL(9,AH122:AH126)&gt;0,SUBTOTAL(9,AH122:AH126),"")</f>
        <v/>
      </c>
      <c r="AI121" s="34" t="str">
        <f t="shared" ref="AI121" si="3036">IF(SUBTOTAL(9,AI122:AI126)&gt;0,SUBTOTAL(9,AI122:AI126),"")</f>
        <v/>
      </c>
      <c r="AJ121" s="34" t="str">
        <f t="shared" ref="AJ121" si="3037">IF(SUBTOTAL(9,AJ122:AJ126)&gt;0,SUBTOTAL(9,AJ122:AJ126),"")</f>
        <v/>
      </c>
      <c r="AK121" s="34" t="str">
        <f t="shared" ref="AK121" si="3038">IF(SUBTOTAL(9,AK122:AK126)&gt;0,SUBTOTAL(9,AK122:AK126),"")</f>
        <v/>
      </c>
      <c r="AL121" s="33" t="str">
        <f t="shared" ref="AL121" si="3039">IF(SUBTOTAL(9,AL122:AL126)&gt;0,SUBTOTAL(9,AL122:AL126),"")</f>
        <v/>
      </c>
      <c r="AM121" s="33" t="str">
        <f t="shared" ref="AM121" si="3040">IF(SUBTOTAL(9,AM122:AM126)&gt;0,SUBTOTAL(9,AM122:AM126),"")</f>
        <v/>
      </c>
      <c r="AN121" s="33" t="str">
        <f t="shared" ref="AN121" si="3041">IF(SUBTOTAL(9,AN122:AN126)&gt;0,SUBTOTAL(9,AN122:AN126),"")</f>
        <v/>
      </c>
      <c r="AO121" s="33" t="str">
        <f t="shared" ref="AO121" si="3042">IF(SUBTOTAL(9,AO122:AO126)&gt;0,SUBTOTAL(9,AO122:AO126),"")</f>
        <v/>
      </c>
      <c r="AP121" s="33" t="str">
        <f t="shared" ref="AP121" si="3043">IF(SUBTOTAL(9,AP122:AP126)&gt;0,SUBTOTAL(9,AP122:AP126),"")</f>
        <v/>
      </c>
      <c r="AQ121" s="33" t="str">
        <f t="shared" ref="AQ121" si="3044">IF(SUBTOTAL(9,AQ122:AQ126)&gt;0,SUBTOTAL(9,AQ122:AQ126),"")</f>
        <v/>
      </c>
      <c r="AR121" s="33" t="str">
        <f t="shared" ref="AR121" si="3045">IF(SUBTOTAL(9,AR122:AR126)&gt;0,SUBTOTAL(9,AR122:AR126),"")</f>
        <v/>
      </c>
      <c r="AS121" s="34" t="str">
        <f t="shared" ref="AS121" si="3046">IF(SUBTOTAL(9,AS122:AS126)&gt;0,SUBTOTAL(9,AS122:AS126),"")</f>
        <v/>
      </c>
      <c r="AT121" s="34" t="str">
        <f t="shared" ref="AT121" si="3047">IF(SUBTOTAL(9,AT122:AT126)&gt;0,SUBTOTAL(9,AT122:AT126),"")</f>
        <v/>
      </c>
      <c r="AU121" s="34" t="str">
        <f t="shared" ref="AU121" si="3048">IF(SUBTOTAL(9,AU122:AU126)&gt;0,SUBTOTAL(9,AU122:AU126),"")</f>
        <v/>
      </c>
      <c r="AV121" s="34" t="str">
        <f t="shared" ref="AV121" si="3049">IF(SUBTOTAL(9,AV122:AV126)&gt;0,SUBTOTAL(9,AV122:AV126),"")</f>
        <v/>
      </c>
      <c r="AW121" s="34" t="str">
        <f t="shared" ref="AW121" si="3050">IF(SUBTOTAL(9,AW122:AW126)&gt;0,SUBTOTAL(9,AW122:AW126),"")</f>
        <v/>
      </c>
      <c r="AX121" s="34" t="str">
        <f t="shared" ref="AX121" si="3051">IF(SUBTOTAL(9,AX122:AX126)&gt;0,SUBTOTAL(9,AX122:AX126),"")</f>
        <v/>
      </c>
      <c r="AY121" s="34" t="str">
        <f t="shared" ref="AY121" si="3052">IF(SUBTOTAL(9,AY122:AY126)&gt;0,SUBTOTAL(9,AY122:AY126),"")</f>
        <v/>
      </c>
      <c r="AZ121" s="34" t="str">
        <f t="shared" ref="AZ121" si="3053">IF(SUBTOTAL(9,AZ122:AZ126)&gt;0,SUBTOTAL(9,AZ122:AZ126),"")</f>
        <v/>
      </c>
      <c r="BA121" s="34" t="str">
        <f t="shared" ref="BA121" si="3054">IF(SUBTOTAL(9,BA122:BA126)&gt;0,SUBTOTAL(9,BA122:BA126),"")</f>
        <v/>
      </c>
      <c r="BB121" s="34">
        <f t="shared" ref="BB121" si="3055">IF(SUBTOTAL(9,BB122:BB126)&gt;0,SUBTOTAL(9,BB122:BB126),"")</f>
        <v>1</v>
      </c>
      <c r="BC121" s="34" t="str">
        <f t="shared" ref="BC121" si="3056">IF(SUBTOTAL(9,BC122:BC126)&gt;0,SUBTOTAL(9,BC122:BC126),"")</f>
        <v/>
      </c>
      <c r="BD121" s="34" t="str">
        <f t="shared" ref="BD121" si="3057">IF(SUBTOTAL(9,BD122:BD126)&gt;0,SUBTOTAL(9,BD122:BD126),"")</f>
        <v/>
      </c>
      <c r="BE121" s="34" t="str">
        <f t="shared" ref="BE121" si="3058">IF(SUBTOTAL(9,BE122:BE126)&gt;0,SUBTOTAL(9,BE122:BE126),"")</f>
        <v/>
      </c>
      <c r="BF121" s="34">
        <f t="shared" ref="BF121" si="3059">IF(SUBTOTAL(9,BF122:BF126)&gt;0,SUBTOTAL(9,BF122:BF126),"")</f>
        <v>1</v>
      </c>
      <c r="BG121" s="34" t="str">
        <f t="shared" ref="BG121" si="3060">IF(SUBTOTAL(9,BG122:BG126)&gt;0,SUBTOTAL(9,BG122:BG126),"")</f>
        <v/>
      </c>
      <c r="BH121" s="34" t="str">
        <f t="shared" ref="BH121" si="3061">IF(SUBTOTAL(9,BH122:BH126)&gt;0,SUBTOTAL(9,BH122:BH126),"")</f>
        <v/>
      </c>
      <c r="BI121" s="34" t="str">
        <f t="shared" ref="BI121" si="3062">IF(SUBTOTAL(9,BI122:BI126)&gt;0,SUBTOTAL(9,BI122:BI126),"")</f>
        <v/>
      </c>
      <c r="BJ121" s="34" t="str">
        <f t="shared" ref="BJ121" si="3063">IF(SUBTOTAL(9,BJ122:BJ126)&gt;0,SUBTOTAL(9,BJ122:BJ126),"")</f>
        <v/>
      </c>
      <c r="BK121" s="34" t="str">
        <f t="shared" ref="BK121" si="3064">IF(SUBTOTAL(9,BK122:BK126)&gt;0,SUBTOTAL(9,BK122:BK126),"")</f>
        <v/>
      </c>
      <c r="BL121" s="34">
        <f t="shared" ref="BL121" si="3065">IF(SUBTOTAL(9,BL122:BL126)&gt;0,SUBTOTAL(9,BL122:BL126),"")</f>
        <v>1</v>
      </c>
      <c r="BM121" s="34" t="str">
        <f t="shared" ref="BM121" si="3066">IF(SUBTOTAL(9,BM122:BM126)&gt;0,SUBTOTAL(9,BM122:BM126),"")</f>
        <v/>
      </c>
      <c r="BN121" s="34" t="str">
        <f t="shared" ref="BN121" si="3067">IF(SUBTOTAL(9,BN122:BN126)&gt;0,SUBTOTAL(9,BN122:BN126),"")</f>
        <v/>
      </c>
      <c r="BO121" s="34" t="str">
        <f t="shared" ref="BO121" si="3068">IF(SUBTOTAL(9,BO122:BO126)&gt;0,SUBTOTAL(9,BO122:BO126),"")</f>
        <v/>
      </c>
      <c r="BP121" s="34" t="str">
        <f t="shared" ref="BP121" si="3069">IF(SUBTOTAL(9,BP122:BP126)&gt;0,SUBTOTAL(9,BP122:BP126),"")</f>
        <v/>
      </c>
      <c r="BQ121" s="34" t="str">
        <f t="shared" ref="BQ121" si="3070">IF(SUBTOTAL(9,BQ122:BQ126)&gt;0,SUBTOTAL(9,BQ122:BQ126),"")</f>
        <v/>
      </c>
      <c r="BR121" s="34" t="str">
        <f t="shared" ref="BR121" si="3071">IF(SUBTOTAL(9,BR122:BR126)&gt;0,SUBTOTAL(9,BR122:BR126),"")</f>
        <v/>
      </c>
      <c r="BS121" s="34" t="str">
        <f t="shared" ref="BS121" si="3072">IF(SUBTOTAL(9,BS122:BS126)&gt;0,SUBTOTAL(9,BS122:BS126),"")</f>
        <v/>
      </c>
      <c r="BT121" s="34" t="str">
        <f t="shared" ref="BT121" si="3073">IF(SUBTOTAL(9,BT122:BT126)&gt;0,SUBTOTAL(9,BT122:BT126),"")</f>
        <v/>
      </c>
      <c r="BU121" s="34" t="str">
        <f t="shared" ref="BU121" si="3074">IF(SUBTOTAL(9,BU122:BU126)&gt;0,SUBTOTAL(9,BU122:BU126),"")</f>
        <v/>
      </c>
      <c r="BV121" s="34" t="str">
        <f t="shared" ref="BV121" si="3075">IF(SUBTOTAL(9,BV122:BV126)&gt;0,SUBTOTAL(9,BV122:BV126),"")</f>
        <v/>
      </c>
      <c r="BW121" s="34" t="str">
        <f t="shared" ref="BW121" si="3076">IF(SUBTOTAL(9,BW122:BW126)&gt;0,SUBTOTAL(9,BW122:BW126),"")</f>
        <v/>
      </c>
      <c r="BX121" s="34" t="str">
        <f t="shared" ref="BX121" si="3077">IF(SUBTOTAL(9,BX122:BX126)&gt;0,SUBTOTAL(9,BX122:BX126),"")</f>
        <v/>
      </c>
      <c r="BY121" s="34" t="str">
        <f t="shared" ref="BY121" si="3078">IF(SUBTOTAL(9,BY122:BY126)&gt;0,SUBTOTAL(9,BY122:BY126),"")</f>
        <v/>
      </c>
      <c r="BZ121" s="34" t="str">
        <f t="shared" ref="BZ121" si="3079">IF(SUBTOTAL(9,BZ122:BZ126)&gt;0,SUBTOTAL(9,BZ122:BZ126),"")</f>
        <v/>
      </c>
      <c r="CA121" s="34" t="str">
        <f t="shared" ref="CA121" si="3080">IF(SUBTOTAL(9,CA122:CA126)&gt;0,SUBTOTAL(9,CA122:CA126),"")</f>
        <v/>
      </c>
      <c r="CB121" s="34" t="str">
        <f t="shared" ref="CB121" si="3081">IF(SUBTOTAL(9,CB122:CB126)&gt;0,SUBTOTAL(9,CB122:CB126),"")</f>
        <v/>
      </c>
      <c r="CC121" s="34" t="str">
        <f t="shared" ref="CC121" si="3082">IF(SUBTOTAL(9,CC122:CC126)&gt;0,SUBTOTAL(9,CC122:CC126),"")</f>
        <v/>
      </c>
      <c r="CD121" s="34" t="str">
        <f t="shared" ref="CD121" si="3083">IF(SUBTOTAL(9,CD122:CD126)&gt;0,SUBTOTAL(9,CD122:CD126),"")</f>
        <v/>
      </c>
      <c r="CE121" s="34" t="str">
        <f t="shared" ref="CE121" si="3084">IF(SUBTOTAL(9,CE122:CE126)&gt;0,SUBTOTAL(9,CE122:CE126),"")</f>
        <v/>
      </c>
      <c r="CF121" s="34" t="str">
        <f t="shared" ref="CF121:CG121" si="3085">IF(SUBTOTAL(9,CF122:CF126)&gt;0,SUBTOTAL(9,CF122:CF126),"")</f>
        <v/>
      </c>
      <c r="CG121" s="34" t="str">
        <f t="shared" si="3085"/>
        <v/>
      </c>
      <c r="CH121" s="34" t="str">
        <f t="shared" ref="CH121" si="3086">IF(SUBTOTAL(9,CH122:CH126)&gt;0,SUBTOTAL(9,CH122:CH126),"")</f>
        <v/>
      </c>
      <c r="CI121" s="34" t="str">
        <f t="shared" ref="CI121" si="3087">IF(SUBTOTAL(9,CI122:CI126)&gt;0,SUBTOTAL(9,CI122:CI126),"")</f>
        <v/>
      </c>
      <c r="CJ121" s="34" t="str">
        <f t="shared" ref="CJ121" si="3088">IF(SUBTOTAL(9,CJ122:CJ126)&gt;0,SUBTOTAL(9,CJ122:CJ126),"")</f>
        <v/>
      </c>
      <c r="CK121" s="34" t="str">
        <f t="shared" ref="CK121" si="3089">IF(SUBTOTAL(9,CK122:CK126)&gt;0,SUBTOTAL(9,CK122:CK126),"")</f>
        <v/>
      </c>
      <c r="CL121" s="34" t="str">
        <f t="shared" ref="CL121" si="3090">IF(SUBTOTAL(9,CL122:CL126)&gt;0,SUBTOTAL(9,CL122:CL126),"")</f>
        <v/>
      </c>
      <c r="CM121" s="34" t="str">
        <f t="shared" ref="CM121" si="3091">IF(SUBTOTAL(9,CM122:CM126)&gt;0,SUBTOTAL(9,CM122:CM126),"")</f>
        <v/>
      </c>
      <c r="CN121" s="34" t="str">
        <f t="shared" ref="CN121" si="3092">IF(SUBTOTAL(9,CN122:CN126)&gt;0,SUBTOTAL(9,CN122:CN126),"")</f>
        <v/>
      </c>
      <c r="CO121" s="34" t="str">
        <f t="shared" ref="CO121" si="3093">IF(SUBTOTAL(9,CO122:CO126)&gt;0,SUBTOTAL(9,CO122:CO126),"")</f>
        <v/>
      </c>
      <c r="CP121" s="34" t="str">
        <f t="shared" ref="CP121" si="3094">IF(SUBTOTAL(9,CP122:CP126)&gt;0,SUBTOTAL(9,CP122:CP126),"")</f>
        <v/>
      </c>
      <c r="CQ121" s="34" t="str">
        <f t="shared" ref="CQ121" si="3095">IF(SUBTOTAL(9,CQ122:CQ126)&gt;0,SUBTOTAL(9,CQ122:CQ126),"")</f>
        <v/>
      </c>
      <c r="CR121" s="34" t="str">
        <f t="shared" ref="CR121" si="3096">IF(SUBTOTAL(9,CR122:CR126)&gt;0,SUBTOTAL(9,CR122:CR126),"")</f>
        <v/>
      </c>
      <c r="CS121" s="34" t="str">
        <f t="shared" ref="CS121" si="3097">IF(SUBTOTAL(9,CS122:CS126)&gt;0,SUBTOTAL(9,CS122:CS126),"")</f>
        <v/>
      </c>
      <c r="CT121" s="33" t="str">
        <f t="shared" ref="CT121" si="3098">IF(SUBTOTAL(9,CT122:CT126)&gt;0,SUBTOTAL(9,CT122:CT126),"")</f>
        <v/>
      </c>
      <c r="CU121" s="34" t="str">
        <f t="shared" ref="CU121" si="3099">IF(SUBTOTAL(9,CU122:CU126)&gt;0,SUBTOTAL(9,CU122:CU126),"")</f>
        <v/>
      </c>
      <c r="CV121" s="34" t="str">
        <f t="shared" ref="CV121" si="3100">IF(SUBTOTAL(9,CV122:CV126)&gt;0,SUBTOTAL(9,CV122:CV126),"")</f>
        <v/>
      </c>
      <c r="CW121" s="34" t="str">
        <f t="shared" ref="CW121" si="3101">IF(SUBTOTAL(9,CW122:CW126)&gt;0,SUBTOTAL(9,CW122:CW126),"")</f>
        <v/>
      </c>
      <c r="CX121" s="34" t="str">
        <f t="shared" ref="CX121" si="3102">IF(SUBTOTAL(9,CX122:CX126)&gt;0,SUBTOTAL(9,CX122:CX126),"")</f>
        <v/>
      </c>
      <c r="CY121" s="34" t="str">
        <f t="shared" ref="CY121" si="3103">IF(SUBTOTAL(9,CY122:CY126)&gt;0,SUBTOTAL(9,CY122:CY126),"")</f>
        <v/>
      </c>
      <c r="CZ121" s="33" t="str">
        <f t="shared" ref="CZ121" si="3104">IF(SUBTOTAL(9,CZ122:CZ126)&gt;0,SUBTOTAL(9,CZ122:CZ126),"")</f>
        <v/>
      </c>
      <c r="DA121" s="33" t="str">
        <f t="shared" ref="DA121" si="3105">IF(SUBTOTAL(9,DA122:DA126)&gt;0,SUBTOTAL(9,DA122:DA126),"")</f>
        <v/>
      </c>
      <c r="DB121" s="34" t="str">
        <f t="shared" ref="DB121" si="3106">IF(SUBTOTAL(9,DB122:DB126)&gt;0,SUBTOTAL(9,DB122:DB126),"")</f>
        <v/>
      </c>
      <c r="DC121" s="34" t="str">
        <f t="shared" ref="DC121" si="3107">IF(SUBTOTAL(9,DC122:DC126)&gt;0,SUBTOTAL(9,DC122:DC126),"")</f>
        <v/>
      </c>
      <c r="DD121" s="34" t="str">
        <f t="shared" ref="DD121" si="3108">IF(SUBTOTAL(9,DD122:DD126)&gt;0,SUBTOTAL(9,DD122:DD126),"")</f>
        <v/>
      </c>
      <c r="DE121" s="34" t="str">
        <f t="shared" ref="DE121" si="3109">IF(SUBTOTAL(9,DE122:DE126)&gt;0,SUBTOTAL(9,DE122:DE126),"")</f>
        <v/>
      </c>
      <c r="DF121" s="34" t="str">
        <f t="shared" ref="DF121" si="3110">IF(SUBTOTAL(9,DF122:DF126)&gt;0,SUBTOTAL(9,DF122:DF126),"")</f>
        <v/>
      </c>
      <c r="DG121" s="34" t="str">
        <f t="shared" ref="DG121" si="3111">IF(SUBTOTAL(9,DG122:DG126)&gt;0,SUBTOTAL(9,DG122:DG126),"")</f>
        <v/>
      </c>
      <c r="DH121" s="34" t="str">
        <f t="shared" ref="DH121" si="3112">IF(SUBTOTAL(9,DH122:DH126)&gt;0,SUBTOTAL(9,DH122:DH126),"")</f>
        <v/>
      </c>
      <c r="DI121" s="34" t="str">
        <f t="shared" ref="DI121" si="3113">IF(SUBTOTAL(9,DI122:DI126)&gt;0,SUBTOTAL(9,DI122:DI126),"")</f>
        <v/>
      </c>
      <c r="DJ121" s="34" t="str">
        <f t="shared" ref="DJ121" si="3114">IF(SUBTOTAL(9,DJ122:DJ126)&gt;0,SUBTOTAL(9,DJ122:DJ126),"")</f>
        <v/>
      </c>
      <c r="DK121" s="34" t="str">
        <f t="shared" ref="DK121" si="3115">IF(SUBTOTAL(9,DK122:DK126)&gt;0,SUBTOTAL(9,DK122:DK126),"")</f>
        <v/>
      </c>
      <c r="DL121" s="34" t="str">
        <f t="shared" ref="DL121" si="3116">IF(SUBTOTAL(9,DL122:DL126)&gt;0,SUBTOTAL(9,DL122:DL126),"")</f>
        <v/>
      </c>
      <c r="DM121" s="34" t="str">
        <f t="shared" ref="DM121" si="3117">IF(SUBTOTAL(9,DM122:DM126)&gt;0,SUBTOTAL(9,DM122:DM126),"")</f>
        <v/>
      </c>
      <c r="DN121" s="34" t="str">
        <f t="shared" ref="DN121" si="3118">IF(SUBTOTAL(9,DN122:DN126)&gt;0,SUBTOTAL(9,DN122:DN126),"")</f>
        <v/>
      </c>
      <c r="DO121" s="34" t="str">
        <f t="shared" ref="DO121" si="3119">IF(SUBTOTAL(9,DO122:DO126)&gt;0,SUBTOTAL(9,DO122:DO126),"")</f>
        <v/>
      </c>
      <c r="DP121" s="34" t="str">
        <f t="shared" ref="DP121" si="3120">IF(SUBTOTAL(9,DP122:DP126)&gt;0,SUBTOTAL(9,DP122:DP126),"")</f>
        <v/>
      </c>
      <c r="DQ121" s="34" t="str">
        <f t="shared" ref="DQ121" si="3121">IF(SUBTOTAL(9,DQ122:DQ126)&gt;0,SUBTOTAL(9,DQ122:DQ126),"")</f>
        <v/>
      </c>
      <c r="DR121" s="34" t="str">
        <f t="shared" ref="DR121" si="3122">IF(SUBTOTAL(9,DR122:DR126)&gt;0,SUBTOTAL(9,DR122:DR126),"")</f>
        <v/>
      </c>
      <c r="DS121" s="34" t="str">
        <f t="shared" ref="DS121" si="3123">IF(SUBTOTAL(9,DS122:DS126)&gt;0,SUBTOTAL(9,DS122:DS126),"")</f>
        <v/>
      </c>
      <c r="DT121" s="34" t="str">
        <f t="shared" ref="DT121" si="3124">IF(SUBTOTAL(9,DT122:DT126)&gt;0,SUBTOTAL(9,DT122:DT126),"")</f>
        <v/>
      </c>
      <c r="DU121" s="34" t="str">
        <f t="shared" ref="DU121" si="3125">IF(SUBTOTAL(9,DU122:DU126)&gt;0,SUBTOTAL(9,DU122:DU126),"")</f>
        <v/>
      </c>
      <c r="DV121" s="34" t="str">
        <f t="shared" ref="DV121" si="3126">IF(SUBTOTAL(9,DV122:DV126)&gt;0,SUBTOTAL(9,DV122:DV126),"")</f>
        <v/>
      </c>
      <c r="DW121" s="34" t="str">
        <f t="shared" ref="DW121" si="3127">IF(SUBTOTAL(9,DW122:DW126)&gt;0,SUBTOTAL(9,DW122:DW126),"")</f>
        <v/>
      </c>
      <c r="DX121" s="34" t="str">
        <f t="shared" ref="DX121" si="3128">IF(SUBTOTAL(9,DX122:DX126)&gt;0,SUBTOTAL(9,DX122:DX126),"")</f>
        <v/>
      </c>
      <c r="DY121" s="34" t="str">
        <f t="shared" ref="DY121" si="3129">IF(SUBTOTAL(9,DY122:DY126)&gt;0,SUBTOTAL(9,DY122:DY126),"")</f>
        <v/>
      </c>
      <c r="DZ121" s="33" t="str">
        <f t="shared" ref="DZ121" si="3130">IF(SUBTOTAL(9,DZ122:DZ126)&gt;0,SUBTOTAL(9,DZ122:DZ126),"")</f>
        <v/>
      </c>
      <c r="EA121" s="34" t="str">
        <f t="shared" ref="EA121" si="3131">IF(SUBTOTAL(9,EA122:EA126)&gt;0,SUBTOTAL(9,EA122:EA126),"")</f>
        <v/>
      </c>
      <c r="EB121" s="34" t="str">
        <f t="shared" ref="EB121" si="3132">IF(SUBTOTAL(9,EB122:EB126)&gt;0,SUBTOTAL(9,EB122:EB126),"")</f>
        <v/>
      </c>
      <c r="EC121" s="34" t="str">
        <f t="shared" ref="EC121" si="3133">IF(SUBTOTAL(9,EC122:EC126)&gt;0,SUBTOTAL(9,EC122:EC126),"")</f>
        <v/>
      </c>
      <c r="ED121" s="34" t="str">
        <f t="shared" ref="ED121" si="3134">IF(SUBTOTAL(9,ED122:ED126)&gt;0,SUBTOTAL(9,ED122:ED126),"")</f>
        <v/>
      </c>
      <c r="EE121" s="34" t="str">
        <f t="shared" ref="EE121" si="3135">IF(SUBTOTAL(9,EE122:EE126)&gt;0,SUBTOTAL(9,EE122:EE126),"")</f>
        <v/>
      </c>
      <c r="EF121" s="34" t="str">
        <f t="shared" ref="EF121" si="3136">IF(SUBTOTAL(9,EF122:EF126)&gt;0,SUBTOTAL(9,EF122:EF126),"")</f>
        <v/>
      </c>
      <c r="EG121" s="34" t="str">
        <f t="shared" ref="EG121" si="3137">IF(SUBTOTAL(9,EG122:EG126)&gt;0,SUBTOTAL(9,EG122:EG126),"")</f>
        <v/>
      </c>
      <c r="EH121" s="34" t="str">
        <f t="shared" ref="EH121" si="3138">IF(SUBTOTAL(9,EH122:EH126)&gt;0,SUBTOTAL(9,EH122:EH126),"")</f>
        <v/>
      </c>
      <c r="EI121" s="34" t="str">
        <f t="shared" ref="EI121" si="3139">IF(SUBTOTAL(9,EI122:EI126)&gt;0,SUBTOTAL(9,EI122:EI126),"")</f>
        <v/>
      </c>
      <c r="EJ121" s="34" t="str">
        <f t="shared" ref="EJ121" si="3140">IF(SUBTOTAL(9,EJ122:EJ126)&gt;0,SUBTOTAL(9,EJ122:EJ126),"")</f>
        <v/>
      </c>
      <c r="EK121" s="34" t="str">
        <f t="shared" ref="EK121" si="3141">IF(SUBTOTAL(9,EK122:EK126)&gt;0,SUBTOTAL(9,EK122:EK126),"")</f>
        <v/>
      </c>
      <c r="EL121" s="34" t="str">
        <f t="shared" ref="EL121" si="3142">IF(SUBTOTAL(9,EL122:EL126)&gt;0,SUBTOTAL(9,EL122:EL126),"")</f>
        <v/>
      </c>
      <c r="EM121" s="34" t="str">
        <f t="shared" ref="EM121" si="3143">IF(SUBTOTAL(9,EM122:EM126)&gt;0,SUBTOTAL(9,EM122:EM126),"")</f>
        <v/>
      </c>
      <c r="EN121" s="34" t="str">
        <f t="shared" ref="EN121" si="3144">IF(SUBTOTAL(9,EN122:EN126)&gt;0,SUBTOTAL(9,EN122:EN126),"")</f>
        <v/>
      </c>
      <c r="EO121" s="34" t="str">
        <f t="shared" ref="EO121" si="3145">IF(SUBTOTAL(9,EO122:EO126)&gt;0,SUBTOTAL(9,EO122:EO126),"")</f>
        <v/>
      </c>
      <c r="EP121" s="34" t="str">
        <f t="shared" ref="EP121" si="3146">IF(SUBTOTAL(9,EP122:EP126)&gt;0,SUBTOTAL(9,EP122:EP126),"")</f>
        <v/>
      </c>
      <c r="EQ121" s="34" t="str">
        <f t="shared" ref="EQ121" si="3147">IF(SUBTOTAL(9,EQ122:EQ126)&gt;0,SUBTOTAL(9,EQ122:EQ126),"")</f>
        <v/>
      </c>
      <c r="ER121" s="34" t="str">
        <f t="shared" ref="ER121" si="3148">IF(SUBTOTAL(9,ER122:ER126)&gt;0,SUBTOTAL(9,ER122:ER126),"")</f>
        <v/>
      </c>
      <c r="ES121" s="34" t="str">
        <f t="shared" ref="ES121" si="3149">IF(SUBTOTAL(9,ES122:ES126)&gt;0,SUBTOTAL(9,ES122:ES126),"")</f>
        <v/>
      </c>
      <c r="ET121" s="34" t="str">
        <f t="shared" ref="ET121" si="3150">IF(SUBTOTAL(9,ET122:ET126)&gt;0,SUBTOTAL(9,ET122:ET126),"")</f>
        <v/>
      </c>
      <c r="EU121" s="34" t="str">
        <f t="shared" ref="EU121" si="3151">IF(SUBTOTAL(9,EU122:EU126)&gt;0,SUBTOTAL(9,EU122:EU126),"")</f>
        <v/>
      </c>
      <c r="EV121" s="34" t="str">
        <f t="shared" ref="EV121" si="3152">IF(SUBTOTAL(9,EV122:EV126)&gt;0,SUBTOTAL(9,EV122:EV126),"")</f>
        <v/>
      </c>
      <c r="EW121" s="34" t="str">
        <f t="shared" ref="EW121" si="3153">IF(SUBTOTAL(9,EW122:EW126)&gt;0,SUBTOTAL(9,EW122:EW126),"")</f>
        <v/>
      </c>
      <c r="EX121" s="34" t="str">
        <f t="shared" ref="EX121" si="3154">IF(SUBTOTAL(9,EX122:EX126)&gt;0,SUBTOTAL(9,EX122:EX126),"")</f>
        <v/>
      </c>
      <c r="EY121" s="33" t="str">
        <f t="shared" ref="EY121" si="3155">IF(SUBTOTAL(9,EY122:EY126)&gt;0,SUBTOTAL(9,EY122:EY126),"")</f>
        <v/>
      </c>
      <c r="EZ121" s="34" t="str">
        <f t="shared" ref="EZ121" si="3156">IF(SUBTOTAL(9,EZ122:EZ126)&gt;0,SUBTOTAL(9,EZ122:EZ126),"")</f>
        <v/>
      </c>
      <c r="FA121" s="34" t="str">
        <f t="shared" ref="FA121" si="3157">IF(SUBTOTAL(9,FA122:FA126)&gt;0,SUBTOTAL(9,FA122:FA126),"")</f>
        <v/>
      </c>
      <c r="FB121" s="34" t="str">
        <f t="shared" ref="FB121" si="3158">IF(SUBTOTAL(9,FB122:FB126)&gt;0,SUBTOTAL(9,FB122:FB126),"")</f>
        <v/>
      </c>
      <c r="FC121" s="34" t="str">
        <f t="shared" ref="FC121" si="3159">IF(SUBTOTAL(9,FC122:FC126)&gt;0,SUBTOTAL(9,FC122:FC126),"")</f>
        <v/>
      </c>
      <c r="FD121" s="34" t="str">
        <f t="shared" ref="FD121" si="3160">IF(SUBTOTAL(9,FD122:FD126)&gt;0,SUBTOTAL(9,FD122:FD126),"")</f>
        <v/>
      </c>
      <c r="FE121" s="34" t="str">
        <f t="shared" ref="FE121" si="3161">IF(SUBTOTAL(9,FE122:FE126)&gt;0,SUBTOTAL(9,FE122:FE126),"")</f>
        <v/>
      </c>
      <c r="FF121" s="34" t="str">
        <f t="shared" ref="FF121" si="3162">IF(SUBTOTAL(9,FF122:FF126)&gt;0,SUBTOTAL(9,FF122:FF126),"")</f>
        <v/>
      </c>
      <c r="FG121" s="34" t="str">
        <f t="shared" ref="FG121" si="3163">IF(SUBTOTAL(9,FG122:FG126)&gt;0,SUBTOTAL(9,FG122:FG126),"")</f>
        <v/>
      </c>
      <c r="FH121" s="34" t="str">
        <f t="shared" ref="FH121" si="3164">IF(SUBTOTAL(9,FH122:FH126)&gt;0,SUBTOTAL(9,FH122:FH126),"")</f>
        <v/>
      </c>
      <c r="FI121" s="34" t="str">
        <f t="shared" ref="FI121" si="3165">IF(SUBTOTAL(9,FI122:FI126)&gt;0,SUBTOTAL(9,FI122:FI126),"")</f>
        <v/>
      </c>
      <c r="FJ121" s="34" t="str">
        <f t="shared" ref="FJ121" si="3166">IF(SUBTOTAL(9,FJ122:FJ126)&gt;0,SUBTOTAL(9,FJ122:FJ126),"")</f>
        <v/>
      </c>
      <c r="FK121" s="34" t="str">
        <f t="shared" ref="FK121" si="3167">IF(SUBTOTAL(9,FK122:FK126)&gt;0,SUBTOTAL(9,FK122:FK126),"")</f>
        <v/>
      </c>
      <c r="FL121" s="34" t="str">
        <f t="shared" ref="FL121" si="3168">IF(SUBTOTAL(9,FL122:FL126)&gt;0,SUBTOTAL(9,FL122:FL126),"")</f>
        <v/>
      </c>
      <c r="FM121" s="34" t="str">
        <f t="shared" ref="FM121" si="3169">IF(SUBTOTAL(9,FM122:FM126)&gt;0,SUBTOTAL(9,FM122:FM126),"")</f>
        <v/>
      </c>
      <c r="FN121" s="34" t="str">
        <f t="shared" ref="FN121" si="3170">IF(SUBTOTAL(9,FN122:FN126)&gt;0,SUBTOTAL(9,FN122:FN126),"")</f>
        <v/>
      </c>
      <c r="FO121" s="34" t="str">
        <f t="shared" ref="FO121" si="3171">IF(SUBTOTAL(9,FO122:FO126)&gt;0,SUBTOTAL(9,FO122:FO126),"")</f>
        <v/>
      </c>
      <c r="FP121" s="34" t="str">
        <f t="shared" ref="FP121" si="3172">IF(SUBTOTAL(9,FP122:FP126)&gt;0,SUBTOTAL(9,FP122:FP126),"")</f>
        <v/>
      </c>
      <c r="FQ121" s="92" t="str">
        <f t="shared" ref="FQ121" si="3173">IF(SUBTOTAL(9,FQ122:FQ126)&gt;0,SUBTOTAL(9,FQ122:FQ126),"")</f>
        <v/>
      </c>
      <c r="FR121" s="8"/>
      <c r="FS121" s="9" t="s">
        <v>131</v>
      </c>
      <c r="FT121" s="9" t="str">
        <f t="shared" si="1838"/>
        <v/>
      </c>
    </row>
    <row r="122" spans="1:176" s="9" customFormat="1" ht="12" hidden="1" customHeight="1" outlineLevel="1">
      <c r="A122" s="122" t="s">
        <v>4</v>
      </c>
      <c r="B122" s="123" t="s">
        <v>6</v>
      </c>
      <c r="C122" s="124" t="str">
        <f t="shared" si="1837"/>
        <v>2 days</v>
      </c>
      <c r="D122" s="13" t="str">
        <f>A102&amp;" "&amp;A121</f>
        <v>4. Annual Reporting (QRTs)  4.4 Sign-off</v>
      </c>
      <c r="E122" s="51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5"/>
      <c r="AK122" s="35"/>
      <c r="AL122" s="36"/>
      <c r="AM122" s="36"/>
      <c r="AN122" s="36"/>
      <c r="AO122" s="36"/>
      <c r="AP122" s="36"/>
      <c r="AQ122" s="36"/>
      <c r="AR122" s="36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>
        <v>0.5</v>
      </c>
      <c r="BC122" s="35"/>
      <c r="BD122" s="35"/>
      <c r="BE122" s="35"/>
      <c r="BF122" s="35">
        <v>0.5</v>
      </c>
      <c r="BG122" s="35"/>
      <c r="BH122" s="35"/>
      <c r="BI122" s="35"/>
      <c r="BJ122" s="35"/>
      <c r="BK122" s="35"/>
      <c r="BL122" s="35">
        <v>0.5</v>
      </c>
      <c r="BM122" s="35"/>
      <c r="BN122" s="35"/>
      <c r="BO122" s="35"/>
      <c r="BP122" s="35"/>
      <c r="BQ122" s="35"/>
      <c r="BR122" s="35"/>
      <c r="BS122" s="35"/>
      <c r="BT122" s="35"/>
      <c r="BU122" s="35"/>
      <c r="BV122" s="35"/>
      <c r="BW122" s="35"/>
      <c r="BX122" s="35"/>
      <c r="BY122" s="35"/>
      <c r="BZ122" s="35"/>
      <c r="CA122" s="35"/>
      <c r="CB122" s="35"/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  <c r="CN122" s="35"/>
      <c r="CO122" s="35"/>
      <c r="CP122" s="35"/>
      <c r="CQ122" s="35"/>
      <c r="CR122" s="35"/>
      <c r="CS122" s="35"/>
      <c r="CT122" s="36"/>
      <c r="CU122" s="35"/>
      <c r="CV122" s="35"/>
      <c r="CW122" s="35"/>
      <c r="CX122" s="35"/>
      <c r="CY122" s="35"/>
      <c r="CZ122" s="36"/>
      <c r="DA122" s="36"/>
      <c r="DB122" s="35"/>
      <c r="DC122" s="35"/>
      <c r="DD122" s="35"/>
      <c r="DE122" s="35"/>
      <c r="DF122" s="35"/>
      <c r="DG122" s="35"/>
      <c r="DH122" s="35"/>
      <c r="DI122" s="35"/>
      <c r="DJ122" s="35"/>
      <c r="DK122" s="35"/>
      <c r="DL122" s="35"/>
      <c r="DM122" s="35"/>
      <c r="DN122" s="35"/>
      <c r="DO122" s="35"/>
      <c r="DP122" s="35"/>
      <c r="DQ122" s="35"/>
      <c r="DR122" s="35"/>
      <c r="DS122" s="35"/>
      <c r="DT122" s="35"/>
      <c r="DU122" s="35"/>
      <c r="DV122" s="35"/>
      <c r="DW122" s="35"/>
      <c r="DX122" s="35"/>
      <c r="DY122" s="35"/>
      <c r="DZ122" s="36"/>
      <c r="EA122" s="35"/>
      <c r="EB122" s="35"/>
      <c r="EC122" s="35"/>
      <c r="ED122" s="35"/>
      <c r="EE122" s="35"/>
      <c r="EF122" s="35"/>
      <c r="EG122" s="35"/>
      <c r="EH122" s="35"/>
      <c r="EI122" s="35"/>
      <c r="EJ122" s="35"/>
      <c r="EK122" s="35"/>
      <c r="EL122" s="35"/>
      <c r="EM122" s="35"/>
      <c r="EN122" s="35"/>
      <c r="EO122" s="35"/>
      <c r="EP122" s="35"/>
      <c r="EQ122" s="35"/>
      <c r="ER122" s="35"/>
      <c r="ES122" s="35"/>
      <c r="ET122" s="35"/>
      <c r="EU122" s="35"/>
      <c r="EV122" s="35"/>
      <c r="EW122" s="35"/>
      <c r="EX122" s="35"/>
      <c r="EY122" s="36"/>
      <c r="EZ122" s="35"/>
      <c r="FA122" s="35"/>
      <c r="FB122" s="35"/>
      <c r="FC122" s="35"/>
      <c r="FD122" s="35"/>
      <c r="FE122" s="35"/>
      <c r="FF122" s="35"/>
      <c r="FG122" s="35"/>
      <c r="FH122" s="35"/>
      <c r="FI122" s="35"/>
      <c r="FJ122" s="35"/>
      <c r="FK122" s="35"/>
      <c r="FL122" s="35"/>
      <c r="FM122" s="35"/>
      <c r="FN122" s="35"/>
      <c r="FO122" s="35"/>
      <c r="FP122" s="35"/>
      <c r="FQ122" s="52"/>
      <c r="FR122" s="8"/>
      <c r="FS122" s="9" t="s">
        <v>13</v>
      </c>
      <c r="FT122" s="9" t="str">
        <f t="shared" si="1838"/>
        <v>4. Annual Reporting (QRTs)  4.4 Sign-offPeter Sherry</v>
      </c>
    </row>
    <row r="123" spans="1:176" s="9" customFormat="1" ht="12" hidden="1" customHeight="1" outlineLevel="1">
      <c r="A123" s="122" t="s">
        <v>4</v>
      </c>
      <c r="B123" s="123" t="s">
        <v>5</v>
      </c>
      <c r="C123" s="124" t="str">
        <f t="shared" si="1837"/>
        <v>2 days</v>
      </c>
      <c r="D123" s="13" t="str">
        <f>A102&amp;" "&amp;A121</f>
        <v>4. Annual Reporting (QRTs)  4.4 Sign-off</v>
      </c>
      <c r="E123" s="51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5"/>
      <c r="AK123" s="35"/>
      <c r="AL123" s="36"/>
      <c r="AM123" s="36"/>
      <c r="AN123" s="36"/>
      <c r="AO123" s="36"/>
      <c r="AP123" s="36"/>
      <c r="AQ123" s="36"/>
      <c r="AR123" s="36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>
        <v>0.5</v>
      </c>
      <c r="BC123" s="35"/>
      <c r="BD123" s="35"/>
      <c r="BE123" s="35"/>
      <c r="BF123" s="35">
        <v>0.5</v>
      </c>
      <c r="BG123" s="35"/>
      <c r="BH123" s="35"/>
      <c r="BI123" s="35"/>
      <c r="BJ123" s="35"/>
      <c r="BK123" s="35"/>
      <c r="BL123" s="35">
        <v>0.5</v>
      </c>
      <c r="BM123" s="35"/>
      <c r="BN123" s="35"/>
      <c r="BO123" s="35"/>
      <c r="BP123" s="35"/>
      <c r="BQ123" s="35"/>
      <c r="BR123" s="35"/>
      <c r="BS123" s="35"/>
      <c r="BT123" s="35"/>
      <c r="BU123" s="35"/>
      <c r="BV123" s="35"/>
      <c r="BW123" s="35"/>
      <c r="BX123" s="35"/>
      <c r="BY123" s="35"/>
      <c r="BZ123" s="35"/>
      <c r="CA123" s="35"/>
      <c r="CB123" s="35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6"/>
      <c r="CU123" s="35"/>
      <c r="CV123" s="35"/>
      <c r="CW123" s="35"/>
      <c r="CX123" s="35"/>
      <c r="CY123" s="35"/>
      <c r="CZ123" s="36"/>
      <c r="DA123" s="36"/>
      <c r="DB123" s="35"/>
      <c r="DC123" s="35"/>
      <c r="DD123" s="35"/>
      <c r="DE123" s="35"/>
      <c r="DF123" s="35"/>
      <c r="DG123" s="35"/>
      <c r="DH123" s="35"/>
      <c r="DI123" s="35"/>
      <c r="DJ123" s="35"/>
      <c r="DK123" s="35"/>
      <c r="DL123" s="35"/>
      <c r="DM123" s="35"/>
      <c r="DN123" s="35"/>
      <c r="DO123" s="35"/>
      <c r="DP123" s="35"/>
      <c r="DQ123" s="35"/>
      <c r="DR123" s="35"/>
      <c r="DS123" s="35"/>
      <c r="DT123" s="35"/>
      <c r="DU123" s="35"/>
      <c r="DV123" s="35"/>
      <c r="DW123" s="35"/>
      <c r="DX123" s="35"/>
      <c r="DY123" s="35"/>
      <c r="DZ123" s="36"/>
      <c r="EA123" s="35"/>
      <c r="EB123" s="35"/>
      <c r="EC123" s="35"/>
      <c r="ED123" s="35"/>
      <c r="EE123" s="35"/>
      <c r="EF123" s="35"/>
      <c r="EG123" s="35"/>
      <c r="EH123" s="35"/>
      <c r="EI123" s="35"/>
      <c r="EJ123" s="35"/>
      <c r="EK123" s="35"/>
      <c r="EL123" s="35"/>
      <c r="EM123" s="35"/>
      <c r="EN123" s="35"/>
      <c r="EO123" s="35"/>
      <c r="EP123" s="35"/>
      <c r="EQ123" s="35"/>
      <c r="ER123" s="35"/>
      <c r="ES123" s="35"/>
      <c r="ET123" s="35"/>
      <c r="EU123" s="35"/>
      <c r="EV123" s="35"/>
      <c r="EW123" s="35"/>
      <c r="EX123" s="35"/>
      <c r="EY123" s="36"/>
      <c r="EZ123" s="35"/>
      <c r="FA123" s="35"/>
      <c r="FB123" s="35"/>
      <c r="FC123" s="35"/>
      <c r="FD123" s="35"/>
      <c r="FE123" s="35"/>
      <c r="FF123" s="35"/>
      <c r="FG123" s="35"/>
      <c r="FH123" s="35"/>
      <c r="FI123" s="35"/>
      <c r="FJ123" s="35"/>
      <c r="FK123" s="35"/>
      <c r="FL123" s="35"/>
      <c r="FM123" s="35"/>
      <c r="FN123" s="35"/>
      <c r="FO123" s="35"/>
      <c r="FP123" s="35"/>
      <c r="FQ123" s="52"/>
      <c r="FR123" s="8"/>
      <c r="FS123" s="9" t="s">
        <v>13</v>
      </c>
      <c r="FT123" s="9" t="str">
        <f t="shared" si="1838"/>
        <v>4. Annual Reporting (QRTs)  4.4 Sign-offKerry McConnell</v>
      </c>
    </row>
    <row r="124" spans="1:176" s="9" customFormat="1" ht="12" hidden="1" customHeight="1" outlineLevel="1">
      <c r="A124" s="125" t="s">
        <v>50</v>
      </c>
      <c r="B124" s="123"/>
      <c r="C124" s="124" t="str">
        <f t="shared" si="1837"/>
        <v>0 days</v>
      </c>
      <c r="D124" s="13" t="str">
        <f>A102&amp;" "&amp;A121</f>
        <v>4. Annual Reporting (QRTs)  4.4 Sign-off</v>
      </c>
      <c r="E124" s="51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5"/>
      <c r="AK124" s="35"/>
      <c r="AL124" s="36"/>
      <c r="AM124" s="36"/>
      <c r="AN124" s="36"/>
      <c r="AO124" s="36"/>
      <c r="AP124" s="36"/>
      <c r="AQ124" s="36"/>
      <c r="AR124" s="36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35"/>
      <c r="BU124" s="35"/>
      <c r="BV124" s="35"/>
      <c r="BW124" s="35"/>
      <c r="BX124" s="35"/>
      <c r="BY124" s="35"/>
      <c r="BZ124" s="35"/>
      <c r="CA124" s="35"/>
      <c r="CB124" s="35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  <c r="CN124" s="35"/>
      <c r="CO124" s="35"/>
      <c r="CP124" s="35"/>
      <c r="CQ124" s="35"/>
      <c r="CR124" s="35"/>
      <c r="CS124" s="35"/>
      <c r="CT124" s="36"/>
      <c r="CU124" s="35"/>
      <c r="CV124" s="35"/>
      <c r="CW124" s="35"/>
      <c r="CX124" s="35"/>
      <c r="CY124" s="35"/>
      <c r="CZ124" s="36"/>
      <c r="DA124" s="36"/>
      <c r="DB124" s="35"/>
      <c r="DC124" s="35"/>
      <c r="DD124" s="35"/>
      <c r="DE124" s="35"/>
      <c r="DF124" s="35"/>
      <c r="DG124" s="35"/>
      <c r="DH124" s="35"/>
      <c r="DI124" s="35"/>
      <c r="DJ124" s="35"/>
      <c r="DK124" s="35"/>
      <c r="DL124" s="35"/>
      <c r="DM124" s="35"/>
      <c r="DN124" s="35"/>
      <c r="DO124" s="35"/>
      <c r="DP124" s="35"/>
      <c r="DQ124" s="35"/>
      <c r="DR124" s="35"/>
      <c r="DS124" s="35"/>
      <c r="DT124" s="35"/>
      <c r="DU124" s="35"/>
      <c r="DV124" s="35"/>
      <c r="DW124" s="35"/>
      <c r="DX124" s="35"/>
      <c r="DY124" s="35"/>
      <c r="DZ124" s="36"/>
      <c r="EA124" s="35"/>
      <c r="EB124" s="35"/>
      <c r="EC124" s="35"/>
      <c r="ED124" s="35"/>
      <c r="EE124" s="35"/>
      <c r="EF124" s="35"/>
      <c r="EG124" s="35"/>
      <c r="EH124" s="35"/>
      <c r="EI124" s="35"/>
      <c r="EJ124" s="35"/>
      <c r="EK124" s="35"/>
      <c r="EL124" s="35"/>
      <c r="EM124" s="35"/>
      <c r="EN124" s="35"/>
      <c r="EO124" s="35"/>
      <c r="EP124" s="35"/>
      <c r="EQ124" s="35"/>
      <c r="ER124" s="35"/>
      <c r="ES124" s="35"/>
      <c r="ET124" s="35"/>
      <c r="EU124" s="35"/>
      <c r="EV124" s="35"/>
      <c r="EW124" s="35"/>
      <c r="EX124" s="35"/>
      <c r="EY124" s="36"/>
      <c r="EZ124" s="35"/>
      <c r="FA124" s="35"/>
      <c r="FB124" s="35"/>
      <c r="FC124" s="35"/>
      <c r="FD124" s="35"/>
      <c r="FE124" s="35"/>
      <c r="FF124" s="35"/>
      <c r="FG124" s="35"/>
      <c r="FH124" s="35"/>
      <c r="FI124" s="35"/>
      <c r="FJ124" s="35"/>
      <c r="FK124" s="35"/>
      <c r="FL124" s="35"/>
      <c r="FM124" s="35"/>
      <c r="FN124" s="35"/>
      <c r="FO124" s="35"/>
      <c r="FP124" s="35"/>
      <c r="FQ124" s="52"/>
      <c r="FR124" s="8"/>
      <c r="FS124" s="9" t="s">
        <v>13</v>
      </c>
      <c r="FT124" s="9" t="str">
        <f t="shared" si="1838"/>
        <v>4. Annual Reporting (QRTs)  4.4 Sign-off</v>
      </c>
    </row>
    <row r="125" spans="1:176" s="9" customFormat="1" ht="12" hidden="1" customHeight="1" outlineLevel="1">
      <c r="A125" s="125" t="s">
        <v>50</v>
      </c>
      <c r="B125" s="123"/>
      <c r="C125" s="124" t="str">
        <f t="shared" si="1837"/>
        <v>0 days</v>
      </c>
      <c r="D125" s="13" t="str">
        <f>A102&amp;" "&amp;A121</f>
        <v>4. Annual Reporting (QRTs)  4.4 Sign-off</v>
      </c>
      <c r="E125" s="51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5"/>
      <c r="AK125" s="35"/>
      <c r="AL125" s="36"/>
      <c r="AM125" s="36"/>
      <c r="AN125" s="36"/>
      <c r="AO125" s="36"/>
      <c r="AP125" s="36"/>
      <c r="AQ125" s="36"/>
      <c r="AR125" s="36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35"/>
      <c r="BU125" s="35"/>
      <c r="BV125" s="35"/>
      <c r="BW125" s="35"/>
      <c r="BX125" s="35"/>
      <c r="BY125" s="35"/>
      <c r="BZ125" s="35"/>
      <c r="CA125" s="35"/>
      <c r="CB125" s="35"/>
      <c r="CC125" s="35"/>
      <c r="CD125" s="35"/>
      <c r="CE125" s="35"/>
      <c r="CF125" s="35"/>
      <c r="CG125" s="35"/>
      <c r="CH125" s="35"/>
      <c r="CI125" s="35"/>
      <c r="CJ125" s="35"/>
      <c r="CK125" s="35"/>
      <c r="CL125" s="35"/>
      <c r="CM125" s="35"/>
      <c r="CN125" s="35"/>
      <c r="CO125" s="35"/>
      <c r="CP125" s="35"/>
      <c r="CQ125" s="35"/>
      <c r="CR125" s="35"/>
      <c r="CS125" s="35"/>
      <c r="CT125" s="36"/>
      <c r="CU125" s="35"/>
      <c r="CV125" s="35"/>
      <c r="CW125" s="35"/>
      <c r="CX125" s="35"/>
      <c r="CY125" s="35"/>
      <c r="CZ125" s="36"/>
      <c r="DA125" s="36"/>
      <c r="DB125" s="35"/>
      <c r="DC125" s="35"/>
      <c r="DD125" s="35"/>
      <c r="DE125" s="35"/>
      <c r="DF125" s="35"/>
      <c r="DG125" s="35"/>
      <c r="DH125" s="35"/>
      <c r="DI125" s="35"/>
      <c r="DJ125" s="35"/>
      <c r="DK125" s="35"/>
      <c r="DL125" s="35"/>
      <c r="DM125" s="35"/>
      <c r="DN125" s="35"/>
      <c r="DO125" s="35"/>
      <c r="DP125" s="35"/>
      <c r="DQ125" s="35"/>
      <c r="DR125" s="35"/>
      <c r="DS125" s="35"/>
      <c r="DT125" s="35"/>
      <c r="DU125" s="35"/>
      <c r="DV125" s="35"/>
      <c r="DW125" s="35"/>
      <c r="DX125" s="35"/>
      <c r="DY125" s="35"/>
      <c r="DZ125" s="36"/>
      <c r="EA125" s="35"/>
      <c r="EB125" s="35"/>
      <c r="EC125" s="35"/>
      <c r="ED125" s="35"/>
      <c r="EE125" s="35"/>
      <c r="EF125" s="35"/>
      <c r="EG125" s="35"/>
      <c r="EH125" s="35"/>
      <c r="EI125" s="35"/>
      <c r="EJ125" s="35"/>
      <c r="EK125" s="35"/>
      <c r="EL125" s="35"/>
      <c r="EM125" s="35"/>
      <c r="EN125" s="35"/>
      <c r="EO125" s="35"/>
      <c r="EP125" s="35"/>
      <c r="EQ125" s="35"/>
      <c r="ER125" s="35"/>
      <c r="ES125" s="35"/>
      <c r="ET125" s="35"/>
      <c r="EU125" s="35"/>
      <c r="EV125" s="35"/>
      <c r="EW125" s="35"/>
      <c r="EX125" s="35"/>
      <c r="EY125" s="36"/>
      <c r="EZ125" s="35"/>
      <c r="FA125" s="35"/>
      <c r="FB125" s="35"/>
      <c r="FC125" s="35"/>
      <c r="FD125" s="35"/>
      <c r="FE125" s="35"/>
      <c r="FF125" s="35"/>
      <c r="FG125" s="35"/>
      <c r="FH125" s="35"/>
      <c r="FI125" s="35"/>
      <c r="FJ125" s="35"/>
      <c r="FK125" s="35"/>
      <c r="FL125" s="35"/>
      <c r="FM125" s="35"/>
      <c r="FN125" s="35"/>
      <c r="FO125" s="35"/>
      <c r="FP125" s="35"/>
      <c r="FQ125" s="52"/>
      <c r="FR125" s="8"/>
      <c r="FS125" s="9" t="s">
        <v>13</v>
      </c>
      <c r="FT125" s="9" t="str">
        <f t="shared" si="1838"/>
        <v>4. Annual Reporting (QRTs)  4.4 Sign-off</v>
      </c>
    </row>
    <row r="126" spans="1:176" s="9" customFormat="1" ht="12" hidden="1" customHeight="1" outlineLevel="1">
      <c r="A126" s="126" t="s">
        <v>50</v>
      </c>
      <c r="B126" s="123"/>
      <c r="C126" s="124" t="str">
        <f t="shared" si="1837"/>
        <v>0 days</v>
      </c>
      <c r="D126" s="13" t="str">
        <f>A102&amp;" "&amp;A121</f>
        <v>4. Annual Reporting (QRTs)  4.4 Sign-off</v>
      </c>
      <c r="E126" s="51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5"/>
      <c r="AK126" s="35"/>
      <c r="AL126" s="36"/>
      <c r="AM126" s="36"/>
      <c r="AN126" s="36"/>
      <c r="AO126" s="36"/>
      <c r="AP126" s="36"/>
      <c r="AQ126" s="36"/>
      <c r="AR126" s="36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35"/>
      <c r="BU126" s="35"/>
      <c r="BV126" s="35"/>
      <c r="BW126" s="35"/>
      <c r="BX126" s="35"/>
      <c r="BY126" s="35"/>
      <c r="BZ126" s="35"/>
      <c r="CA126" s="35"/>
      <c r="CB126" s="35"/>
      <c r="CC126" s="35"/>
      <c r="CD126" s="35"/>
      <c r="CE126" s="35"/>
      <c r="CF126" s="35"/>
      <c r="CG126" s="35"/>
      <c r="CH126" s="35"/>
      <c r="CI126" s="35"/>
      <c r="CJ126" s="35"/>
      <c r="CK126" s="35"/>
      <c r="CL126" s="35"/>
      <c r="CM126" s="35"/>
      <c r="CN126" s="35"/>
      <c r="CO126" s="35"/>
      <c r="CP126" s="35"/>
      <c r="CQ126" s="35"/>
      <c r="CR126" s="35"/>
      <c r="CS126" s="35"/>
      <c r="CT126" s="36"/>
      <c r="CU126" s="35"/>
      <c r="CV126" s="35"/>
      <c r="CW126" s="35"/>
      <c r="CX126" s="35"/>
      <c r="CY126" s="35"/>
      <c r="CZ126" s="36"/>
      <c r="DA126" s="36"/>
      <c r="DB126" s="35"/>
      <c r="DC126" s="35"/>
      <c r="DD126" s="35"/>
      <c r="DE126" s="35"/>
      <c r="DF126" s="35"/>
      <c r="DG126" s="35"/>
      <c r="DH126" s="35"/>
      <c r="DI126" s="35"/>
      <c r="DJ126" s="35"/>
      <c r="DK126" s="35"/>
      <c r="DL126" s="35"/>
      <c r="DM126" s="35"/>
      <c r="DN126" s="35"/>
      <c r="DO126" s="35"/>
      <c r="DP126" s="35"/>
      <c r="DQ126" s="35"/>
      <c r="DR126" s="35"/>
      <c r="DS126" s="35"/>
      <c r="DT126" s="35"/>
      <c r="DU126" s="35"/>
      <c r="DV126" s="35"/>
      <c r="DW126" s="35"/>
      <c r="DX126" s="35"/>
      <c r="DY126" s="35"/>
      <c r="DZ126" s="36"/>
      <c r="EA126" s="35"/>
      <c r="EB126" s="35"/>
      <c r="EC126" s="35"/>
      <c r="ED126" s="35"/>
      <c r="EE126" s="35"/>
      <c r="EF126" s="35"/>
      <c r="EG126" s="35"/>
      <c r="EH126" s="35"/>
      <c r="EI126" s="35"/>
      <c r="EJ126" s="35"/>
      <c r="EK126" s="35"/>
      <c r="EL126" s="35"/>
      <c r="EM126" s="35"/>
      <c r="EN126" s="35"/>
      <c r="EO126" s="35"/>
      <c r="EP126" s="35"/>
      <c r="EQ126" s="35"/>
      <c r="ER126" s="35"/>
      <c r="ES126" s="35"/>
      <c r="ET126" s="35"/>
      <c r="EU126" s="35"/>
      <c r="EV126" s="35"/>
      <c r="EW126" s="35"/>
      <c r="EX126" s="35"/>
      <c r="EY126" s="36"/>
      <c r="EZ126" s="35"/>
      <c r="FA126" s="35"/>
      <c r="FB126" s="35"/>
      <c r="FC126" s="35"/>
      <c r="FD126" s="35"/>
      <c r="FE126" s="35"/>
      <c r="FF126" s="35"/>
      <c r="FG126" s="35"/>
      <c r="FH126" s="35"/>
      <c r="FI126" s="35"/>
      <c r="FJ126" s="35"/>
      <c r="FK126" s="35"/>
      <c r="FL126" s="35"/>
      <c r="FM126" s="35"/>
      <c r="FN126" s="35"/>
      <c r="FO126" s="35"/>
      <c r="FP126" s="35"/>
      <c r="FQ126" s="52"/>
      <c r="FR126" s="8"/>
      <c r="FS126" s="9" t="s">
        <v>13</v>
      </c>
      <c r="FT126" s="9" t="str">
        <f t="shared" si="1838"/>
        <v>4. Annual Reporting (QRTs)  4.4 Sign-off</v>
      </c>
    </row>
    <row r="127" spans="1:176" s="9" customFormat="1" ht="12" customHeight="1" collapsed="1">
      <c r="A127" s="119" t="s">
        <v>81</v>
      </c>
      <c r="B127" s="127"/>
      <c r="C127" s="121" t="str">
        <f t="shared" si="1837"/>
        <v>17 days</v>
      </c>
      <c r="D127" s="27"/>
      <c r="E127" s="91" t="str">
        <f t="shared" ref="E127" si="3174">IF(SUBTOTAL(9,E128:E132)&gt;0,SUBTOTAL(9,E128:E132),"")</f>
        <v/>
      </c>
      <c r="F127" s="34" t="str">
        <f t="shared" ref="F127" si="3175">IF(SUBTOTAL(9,F128:F132)&gt;0,SUBTOTAL(9,F128:F132),"")</f>
        <v/>
      </c>
      <c r="G127" s="34" t="str">
        <f t="shared" ref="G127" si="3176">IF(SUBTOTAL(9,G128:G132)&gt;0,SUBTOTAL(9,G128:G132),"")</f>
        <v/>
      </c>
      <c r="H127" s="34" t="str">
        <f t="shared" ref="H127" si="3177">IF(SUBTOTAL(9,H128:H132)&gt;0,SUBTOTAL(9,H128:H132),"")</f>
        <v/>
      </c>
      <c r="I127" s="34" t="str">
        <f t="shared" ref="I127" si="3178">IF(SUBTOTAL(9,I128:I132)&gt;0,SUBTOTAL(9,I128:I132),"")</f>
        <v/>
      </c>
      <c r="J127" s="34" t="str">
        <f t="shared" ref="J127" si="3179">IF(SUBTOTAL(9,J128:J132)&gt;0,SUBTOTAL(9,J128:J132),"")</f>
        <v/>
      </c>
      <c r="K127" s="34" t="str">
        <f t="shared" ref="K127" si="3180">IF(SUBTOTAL(9,K128:K132)&gt;0,SUBTOTAL(9,K128:K132),"")</f>
        <v/>
      </c>
      <c r="L127" s="34" t="str">
        <f t="shared" ref="L127" si="3181">IF(SUBTOTAL(9,L128:L132)&gt;0,SUBTOTAL(9,L128:L132),"")</f>
        <v/>
      </c>
      <c r="M127" s="34" t="str">
        <f t="shared" ref="M127" si="3182">IF(SUBTOTAL(9,M128:M132)&gt;0,SUBTOTAL(9,M128:M132),"")</f>
        <v/>
      </c>
      <c r="N127" s="34" t="str">
        <f t="shared" ref="N127" si="3183">IF(SUBTOTAL(9,N128:N132)&gt;0,SUBTOTAL(9,N128:N132),"")</f>
        <v/>
      </c>
      <c r="O127" s="34" t="str">
        <f t="shared" ref="O127" si="3184">IF(SUBTOTAL(9,O128:O132)&gt;0,SUBTOTAL(9,O128:O132),"")</f>
        <v/>
      </c>
      <c r="P127" s="34" t="str">
        <f t="shared" ref="P127" si="3185">IF(SUBTOTAL(9,P128:P132)&gt;0,SUBTOTAL(9,P128:P132),"")</f>
        <v/>
      </c>
      <c r="Q127" s="34" t="str">
        <f t="shared" ref="Q127" si="3186">IF(SUBTOTAL(9,Q128:Q132)&gt;0,SUBTOTAL(9,Q128:Q132),"")</f>
        <v/>
      </c>
      <c r="R127" s="34" t="str">
        <f t="shared" ref="R127" si="3187">IF(SUBTOTAL(9,R128:R132)&gt;0,SUBTOTAL(9,R128:R132),"")</f>
        <v/>
      </c>
      <c r="S127" s="34" t="str">
        <f t="shared" ref="S127" si="3188">IF(SUBTOTAL(9,S128:S132)&gt;0,SUBTOTAL(9,S128:S132),"")</f>
        <v/>
      </c>
      <c r="T127" s="34" t="str">
        <f t="shared" ref="T127" si="3189">IF(SUBTOTAL(9,T128:T132)&gt;0,SUBTOTAL(9,T128:T132),"")</f>
        <v/>
      </c>
      <c r="U127" s="34" t="str">
        <f t="shared" ref="U127" si="3190">IF(SUBTOTAL(9,U128:U132)&gt;0,SUBTOTAL(9,U128:U132),"")</f>
        <v/>
      </c>
      <c r="V127" s="34" t="str">
        <f t="shared" ref="V127" si="3191">IF(SUBTOTAL(9,V128:V132)&gt;0,SUBTOTAL(9,V128:V132),"")</f>
        <v/>
      </c>
      <c r="W127" s="34">
        <f t="shared" ref="W127" si="3192">IF(SUBTOTAL(9,W128:W132)&gt;0,SUBTOTAL(9,W128:W132),"")</f>
        <v>0.5</v>
      </c>
      <c r="X127" s="34">
        <f t="shared" ref="X127" si="3193">IF(SUBTOTAL(9,X128:X132)&gt;0,SUBTOTAL(9,X128:X132),"")</f>
        <v>0.5</v>
      </c>
      <c r="Y127" s="34">
        <f t="shared" ref="Y127" si="3194">IF(SUBTOTAL(9,Y128:Y132)&gt;0,SUBTOTAL(9,Y128:Y132),"")</f>
        <v>1</v>
      </c>
      <c r="Z127" s="34">
        <f t="shared" ref="Z127" si="3195">IF(SUBTOTAL(9,Z128:Z132)&gt;0,SUBTOTAL(9,Z128:Z132),"")</f>
        <v>0.5</v>
      </c>
      <c r="AA127" s="34">
        <f t="shared" ref="AA127" si="3196">IF(SUBTOTAL(9,AA128:AA132)&gt;0,SUBTOTAL(9,AA128:AA132),"")</f>
        <v>0.5</v>
      </c>
      <c r="AB127" s="34" t="str">
        <f t="shared" ref="AB127" si="3197">IF(SUBTOTAL(9,AB128:AB132)&gt;0,SUBTOTAL(9,AB128:AB132),"")</f>
        <v/>
      </c>
      <c r="AC127" s="34" t="str">
        <f t="shared" ref="AC127" si="3198">IF(SUBTOTAL(9,AC128:AC132)&gt;0,SUBTOTAL(9,AC128:AC132),"")</f>
        <v/>
      </c>
      <c r="AD127" s="34" t="str">
        <f t="shared" ref="AD127" si="3199">IF(SUBTOTAL(9,AD128:AD132)&gt;0,SUBTOTAL(9,AD128:AD132),"")</f>
        <v/>
      </c>
      <c r="AE127" s="34" t="str">
        <f t="shared" ref="AE127" si="3200">IF(SUBTOTAL(9,AE128:AE132)&gt;0,SUBTOTAL(9,AE128:AE132),"")</f>
        <v/>
      </c>
      <c r="AF127" s="34" t="str">
        <f t="shared" ref="AF127" si="3201">IF(SUBTOTAL(9,AF128:AF132)&gt;0,SUBTOTAL(9,AF128:AF132),"")</f>
        <v/>
      </c>
      <c r="AG127" s="34" t="str">
        <f t="shared" ref="AG127" si="3202">IF(SUBTOTAL(9,AG128:AG132)&gt;0,SUBTOTAL(9,AG128:AG132),"")</f>
        <v/>
      </c>
      <c r="AH127" s="34" t="str">
        <f t="shared" ref="AH127" si="3203">IF(SUBTOTAL(9,AH128:AH132)&gt;0,SUBTOTAL(9,AH128:AH132),"")</f>
        <v/>
      </c>
      <c r="AI127" s="34" t="str">
        <f t="shared" ref="AI127" si="3204">IF(SUBTOTAL(9,AI128:AI132)&gt;0,SUBTOTAL(9,AI128:AI132),"")</f>
        <v/>
      </c>
      <c r="AJ127" s="34" t="str">
        <f t="shared" ref="AJ127" si="3205">IF(SUBTOTAL(9,AJ128:AJ132)&gt;0,SUBTOTAL(9,AJ128:AJ132),"")</f>
        <v/>
      </c>
      <c r="AK127" s="34" t="str">
        <f t="shared" ref="AK127" si="3206">IF(SUBTOTAL(9,AK128:AK132)&gt;0,SUBTOTAL(9,AK128:AK132),"")</f>
        <v/>
      </c>
      <c r="AL127" s="33" t="str">
        <f t="shared" ref="AL127" si="3207">IF(SUBTOTAL(9,AL128:AL132)&gt;0,SUBTOTAL(9,AL128:AL132),"")</f>
        <v/>
      </c>
      <c r="AM127" s="33" t="str">
        <f t="shared" ref="AM127" si="3208">IF(SUBTOTAL(9,AM128:AM132)&gt;0,SUBTOTAL(9,AM128:AM132),"")</f>
        <v/>
      </c>
      <c r="AN127" s="33" t="str">
        <f t="shared" ref="AN127" si="3209">IF(SUBTOTAL(9,AN128:AN132)&gt;0,SUBTOTAL(9,AN128:AN132),"")</f>
        <v/>
      </c>
      <c r="AO127" s="33" t="str">
        <f t="shared" ref="AO127" si="3210">IF(SUBTOTAL(9,AO128:AO132)&gt;0,SUBTOTAL(9,AO128:AO132),"")</f>
        <v/>
      </c>
      <c r="AP127" s="33" t="str">
        <f t="shared" ref="AP127" si="3211">IF(SUBTOTAL(9,AP128:AP132)&gt;0,SUBTOTAL(9,AP128:AP132),"")</f>
        <v/>
      </c>
      <c r="AQ127" s="33" t="str">
        <f t="shared" ref="AQ127" si="3212">IF(SUBTOTAL(9,AQ128:AQ132)&gt;0,SUBTOTAL(9,AQ128:AQ132),"")</f>
        <v/>
      </c>
      <c r="AR127" s="33" t="str">
        <f t="shared" ref="AR127" si="3213">IF(SUBTOTAL(9,AR128:AR132)&gt;0,SUBTOTAL(9,AR128:AR132),"")</f>
        <v/>
      </c>
      <c r="AS127" s="34" t="str">
        <f t="shared" ref="AS127" si="3214">IF(SUBTOTAL(9,AS128:AS132)&gt;0,SUBTOTAL(9,AS128:AS132),"")</f>
        <v/>
      </c>
      <c r="AT127" s="34" t="str">
        <f t="shared" ref="AT127" si="3215">IF(SUBTOTAL(9,AT128:AT132)&gt;0,SUBTOTAL(9,AT128:AT132),"")</f>
        <v/>
      </c>
      <c r="AU127" s="34" t="str">
        <f t="shared" ref="AU127" si="3216">IF(SUBTOTAL(9,AU128:AU132)&gt;0,SUBTOTAL(9,AU128:AU132),"")</f>
        <v/>
      </c>
      <c r="AV127" s="34" t="str">
        <f t="shared" ref="AV127" si="3217">IF(SUBTOTAL(9,AV128:AV132)&gt;0,SUBTOTAL(9,AV128:AV132),"")</f>
        <v/>
      </c>
      <c r="AW127" s="34" t="str">
        <f t="shared" ref="AW127" si="3218">IF(SUBTOTAL(9,AW128:AW132)&gt;0,SUBTOTAL(9,AW128:AW132),"")</f>
        <v/>
      </c>
      <c r="AX127" s="34" t="str">
        <f t="shared" ref="AX127" si="3219">IF(SUBTOTAL(9,AX128:AX132)&gt;0,SUBTOTAL(9,AX128:AX132),"")</f>
        <v/>
      </c>
      <c r="AY127" s="34">
        <f t="shared" ref="AY127" si="3220">IF(SUBTOTAL(9,AY128:AY132)&gt;0,SUBTOTAL(9,AY128:AY132),"")</f>
        <v>1</v>
      </c>
      <c r="AZ127" s="34">
        <f t="shared" ref="AZ127" si="3221">IF(SUBTOTAL(9,AZ128:AZ132)&gt;0,SUBTOTAL(9,AZ128:AZ132),"")</f>
        <v>1</v>
      </c>
      <c r="BA127" s="34">
        <f t="shared" ref="BA127" si="3222">IF(SUBTOTAL(9,BA128:BA132)&gt;0,SUBTOTAL(9,BA128:BA132),"")</f>
        <v>1</v>
      </c>
      <c r="BB127" s="34">
        <f t="shared" ref="BB127" si="3223">IF(SUBTOTAL(9,BB128:BB132)&gt;0,SUBTOTAL(9,BB128:BB132),"")</f>
        <v>1</v>
      </c>
      <c r="BC127" s="34">
        <f t="shared" ref="BC127" si="3224">IF(SUBTOTAL(9,BC128:BC132)&gt;0,SUBTOTAL(9,BC128:BC132),"")</f>
        <v>1</v>
      </c>
      <c r="BD127" s="34">
        <f t="shared" ref="BD127" si="3225">IF(SUBTOTAL(9,BD128:BD132)&gt;0,SUBTOTAL(9,BD128:BD132),"")</f>
        <v>1</v>
      </c>
      <c r="BE127" s="34">
        <f t="shared" ref="BE127" si="3226">IF(SUBTOTAL(9,BE128:BE132)&gt;0,SUBTOTAL(9,BE128:BE132),"")</f>
        <v>1</v>
      </c>
      <c r="BF127" s="34">
        <f t="shared" ref="BF127" si="3227">IF(SUBTOTAL(9,BF128:BF132)&gt;0,SUBTOTAL(9,BF128:BF132),"")</f>
        <v>1</v>
      </c>
      <c r="BG127" s="34">
        <f t="shared" ref="BG127" si="3228">IF(SUBTOTAL(9,BG128:BG132)&gt;0,SUBTOTAL(9,BG128:BG132),"")</f>
        <v>1</v>
      </c>
      <c r="BH127" s="34">
        <f t="shared" ref="BH127" si="3229">IF(SUBTOTAL(9,BH128:BH132)&gt;0,SUBTOTAL(9,BH128:BH132),"")</f>
        <v>1</v>
      </c>
      <c r="BI127" s="34">
        <f t="shared" ref="BI127" si="3230">IF(SUBTOTAL(9,BI128:BI132)&gt;0,SUBTOTAL(9,BI128:BI132),"")</f>
        <v>1</v>
      </c>
      <c r="BJ127" s="34">
        <f t="shared" ref="BJ127" si="3231">IF(SUBTOTAL(9,BJ128:BJ132)&gt;0,SUBTOTAL(9,BJ128:BJ132),"")</f>
        <v>1</v>
      </c>
      <c r="BK127" s="34">
        <f t="shared" ref="BK127" si="3232">IF(SUBTOTAL(9,BK128:BK132)&gt;0,SUBTOTAL(9,BK128:BK132),"")</f>
        <v>1</v>
      </c>
      <c r="BL127" s="34">
        <f t="shared" ref="BL127" si="3233">IF(SUBTOTAL(9,BL128:BL132)&gt;0,SUBTOTAL(9,BL128:BL132),"")</f>
        <v>1</v>
      </c>
      <c r="BM127" s="34" t="str">
        <f t="shared" ref="BM127" si="3234">IF(SUBTOTAL(9,BM128:BM132)&gt;0,SUBTOTAL(9,BM128:BM132),"")</f>
        <v/>
      </c>
      <c r="BN127" s="34" t="str">
        <f t="shared" ref="BN127" si="3235">IF(SUBTOTAL(9,BN128:BN132)&gt;0,SUBTOTAL(9,BN128:BN132),"")</f>
        <v/>
      </c>
      <c r="BO127" s="34" t="str">
        <f t="shared" ref="BO127" si="3236">IF(SUBTOTAL(9,BO128:BO132)&gt;0,SUBTOTAL(9,BO128:BO132),"")</f>
        <v/>
      </c>
      <c r="BP127" s="34" t="str">
        <f t="shared" ref="BP127" si="3237">IF(SUBTOTAL(9,BP128:BP132)&gt;0,SUBTOTAL(9,BP128:BP132),"")</f>
        <v/>
      </c>
      <c r="BQ127" s="34" t="str">
        <f t="shared" ref="BQ127" si="3238">IF(SUBTOTAL(9,BQ128:BQ132)&gt;0,SUBTOTAL(9,BQ128:BQ132),"")</f>
        <v/>
      </c>
      <c r="BR127" s="34" t="str">
        <f t="shared" ref="BR127" si="3239">IF(SUBTOTAL(9,BR128:BR132)&gt;0,SUBTOTAL(9,BR128:BR132),"")</f>
        <v/>
      </c>
      <c r="BS127" s="34" t="str">
        <f t="shared" ref="BS127" si="3240">IF(SUBTOTAL(9,BS128:BS132)&gt;0,SUBTOTAL(9,BS128:BS132),"")</f>
        <v/>
      </c>
      <c r="BT127" s="34" t="str">
        <f t="shared" ref="BT127" si="3241">IF(SUBTOTAL(9,BT128:BT132)&gt;0,SUBTOTAL(9,BT128:BT132),"")</f>
        <v/>
      </c>
      <c r="BU127" s="34" t="str">
        <f t="shared" ref="BU127" si="3242">IF(SUBTOTAL(9,BU128:BU132)&gt;0,SUBTOTAL(9,BU128:BU132),"")</f>
        <v/>
      </c>
      <c r="BV127" s="34" t="str">
        <f t="shared" ref="BV127" si="3243">IF(SUBTOTAL(9,BV128:BV132)&gt;0,SUBTOTAL(9,BV128:BV132),"")</f>
        <v/>
      </c>
      <c r="BW127" s="34" t="str">
        <f t="shared" ref="BW127" si="3244">IF(SUBTOTAL(9,BW128:BW132)&gt;0,SUBTOTAL(9,BW128:BW132),"")</f>
        <v/>
      </c>
      <c r="BX127" s="34" t="str">
        <f t="shared" ref="BX127" si="3245">IF(SUBTOTAL(9,BX128:BX132)&gt;0,SUBTOTAL(9,BX128:BX132),"")</f>
        <v/>
      </c>
      <c r="BY127" s="34" t="str">
        <f t="shared" ref="BY127" si="3246">IF(SUBTOTAL(9,BY128:BY132)&gt;0,SUBTOTAL(9,BY128:BY132),"")</f>
        <v/>
      </c>
      <c r="BZ127" s="34" t="str">
        <f t="shared" ref="BZ127" si="3247">IF(SUBTOTAL(9,BZ128:BZ132)&gt;0,SUBTOTAL(9,BZ128:BZ132),"")</f>
        <v/>
      </c>
      <c r="CA127" s="34" t="str">
        <f t="shared" ref="CA127" si="3248">IF(SUBTOTAL(9,CA128:CA132)&gt;0,SUBTOTAL(9,CA128:CA132),"")</f>
        <v/>
      </c>
      <c r="CB127" s="34" t="str">
        <f t="shared" ref="CB127" si="3249">IF(SUBTOTAL(9,CB128:CB132)&gt;0,SUBTOTAL(9,CB128:CB132),"")</f>
        <v/>
      </c>
      <c r="CC127" s="34" t="str">
        <f t="shared" ref="CC127" si="3250">IF(SUBTOTAL(9,CC128:CC132)&gt;0,SUBTOTAL(9,CC128:CC132),"")</f>
        <v/>
      </c>
      <c r="CD127" s="34" t="str">
        <f t="shared" ref="CD127" si="3251">IF(SUBTOTAL(9,CD128:CD132)&gt;0,SUBTOTAL(9,CD128:CD132),"")</f>
        <v/>
      </c>
      <c r="CE127" s="34" t="str">
        <f t="shared" ref="CE127" si="3252">IF(SUBTOTAL(9,CE128:CE132)&gt;0,SUBTOTAL(9,CE128:CE132),"")</f>
        <v/>
      </c>
      <c r="CF127" s="34" t="str">
        <f t="shared" ref="CF127:CG127" si="3253">IF(SUBTOTAL(9,CF128:CF132)&gt;0,SUBTOTAL(9,CF128:CF132),"")</f>
        <v/>
      </c>
      <c r="CG127" s="34" t="str">
        <f t="shared" si="3253"/>
        <v/>
      </c>
      <c r="CH127" s="34" t="str">
        <f t="shared" ref="CH127" si="3254">IF(SUBTOTAL(9,CH128:CH132)&gt;0,SUBTOTAL(9,CH128:CH132),"")</f>
        <v/>
      </c>
      <c r="CI127" s="34" t="str">
        <f t="shared" ref="CI127" si="3255">IF(SUBTOTAL(9,CI128:CI132)&gt;0,SUBTOTAL(9,CI128:CI132),"")</f>
        <v/>
      </c>
      <c r="CJ127" s="34" t="str">
        <f t="shared" ref="CJ127" si="3256">IF(SUBTOTAL(9,CJ128:CJ132)&gt;0,SUBTOTAL(9,CJ128:CJ132),"")</f>
        <v/>
      </c>
      <c r="CK127" s="34" t="str">
        <f t="shared" ref="CK127" si="3257">IF(SUBTOTAL(9,CK128:CK132)&gt;0,SUBTOTAL(9,CK128:CK132),"")</f>
        <v/>
      </c>
      <c r="CL127" s="34" t="str">
        <f t="shared" ref="CL127" si="3258">IF(SUBTOTAL(9,CL128:CL132)&gt;0,SUBTOTAL(9,CL128:CL132),"")</f>
        <v/>
      </c>
      <c r="CM127" s="34" t="str">
        <f t="shared" ref="CM127" si="3259">IF(SUBTOTAL(9,CM128:CM132)&gt;0,SUBTOTAL(9,CM128:CM132),"")</f>
        <v/>
      </c>
      <c r="CN127" s="34" t="str">
        <f t="shared" ref="CN127" si="3260">IF(SUBTOTAL(9,CN128:CN132)&gt;0,SUBTOTAL(9,CN128:CN132),"")</f>
        <v/>
      </c>
      <c r="CO127" s="34" t="str">
        <f t="shared" ref="CO127" si="3261">IF(SUBTOTAL(9,CO128:CO132)&gt;0,SUBTOTAL(9,CO128:CO132),"")</f>
        <v/>
      </c>
      <c r="CP127" s="34" t="str">
        <f t="shared" ref="CP127" si="3262">IF(SUBTOTAL(9,CP128:CP132)&gt;0,SUBTOTAL(9,CP128:CP132),"")</f>
        <v/>
      </c>
      <c r="CQ127" s="34" t="str">
        <f t="shared" ref="CQ127" si="3263">IF(SUBTOTAL(9,CQ128:CQ132)&gt;0,SUBTOTAL(9,CQ128:CQ132),"")</f>
        <v/>
      </c>
      <c r="CR127" s="34" t="str">
        <f t="shared" ref="CR127" si="3264">IF(SUBTOTAL(9,CR128:CR132)&gt;0,SUBTOTAL(9,CR128:CR132),"")</f>
        <v/>
      </c>
      <c r="CS127" s="34" t="str">
        <f t="shared" ref="CS127" si="3265">IF(SUBTOTAL(9,CS128:CS132)&gt;0,SUBTOTAL(9,CS128:CS132),"")</f>
        <v/>
      </c>
      <c r="CT127" s="33" t="str">
        <f t="shared" ref="CT127" si="3266">IF(SUBTOTAL(9,CT128:CT132)&gt;0,SUBTOTAL(9,CT128:CT132),"")</f>
        <v/>
      </c>
      <c r="CU127" s="34" t="str">
        <f t="shared" ref="CU127" si="3267">IF(SUBTOTAL(9,CU128:CU132)&gt;0,SUBTOTAL(9,CU128:CU132),"")</f>
        <v/>
      </c>
      <c r="CV127" s="34" t="str">
        <f t="shared" ref="CV127" si="3268">IF(SUBTOTAL(9,CV128:CV132)&gt;0,SUBTOTAL(9,CV128:CV132),"")</f>
        <v/>
      </c>
      <c r="CW127" s="34" t="str">
        <f t="shared" ref="CW127" si="3269">IF(SUBTOTAL(9,CW128:CW132)&gt;0,SUBTOTAL(9,CW128:CW132),"")</f>
        <v/>
      </c>
      <c r="CX127" s="34" t="str">
        <f t="shared" ref="CX127" si="3270">IF(SUBTOTAL(9,CX128:CX132)&gt;0,SUBTOTAL(9,CX128:CX132),"")</f>
        <v/>
      </c>
      <c r="CY127" s="34" t="str">
        <f t="shared" ref="CY127" si="3271">IF(SUBTOTAL(9,CY128:CY132)&gt;0,SUBTOTAL(9,CY128:CY132),"")</f>
        <v/>
      </c>
      <c r="CZ127" s="33" t="str">
        <f t="shared" ref="CZ127" si="3272">IF(SUBTOTAL(9,CZ128:CZ132)&gt;0,SUBTOTAL(9,CZ128:CZ132),"")</f>
        <v/>
      </c>
      <c r="DA127" s="33" t="str">
        <f t="shared" ref="DA127" si="3273">IF(SUBTOTAL(9,DA128:DA132)&gt;0,SUBTOTAL(9,DA128:DA132),"")</f>
        <v/>
      </c>
      <c r="DB127" s="34" t="str">
        <f t="shared" ref="DB127" si="3274">IF(SUBTOTAL(9,DB128:DB132)&gt;0,SUBTOTAL(9,DB128:DB132),"")</f>
        <v/>
      </c>
      <c r="DC127" s="34" t="str">
        <f t="shared" ref="DC127" si="3275">IF(SUBTOTAL(9,DC128:DC132)&gt;0,SUBTOTAL(9,DC128:DC132),"")</f>
        <v/>
      </c>
      <c r="DD127" s="34" t="str">
        <f t="shared" ref="DD127" si="3276">IF(SUBTOTAL(9,DD128:DD132)&gt;0,SUBTOTAL(9,DD128:DD132),"")</f>
        <v/>
      </c>
      <c r="DE127" s="34" t="str">
        <f t="shared" ref="DE127" si="3277">IF(SUBTOTAL(9,DE128:DE132)&gt;0,SUBTOTAL(9,DE128:DE132),"")</f>
        <v/>
      </c>
      <c r="DF127" s="34" t="str">
        <f t="shared" ref="DF127" si="3278">IF(SUBTOTAL(9,DF128:DF132)&gt;0,SUBTOTAL(9,DF128:DF132),"")</f>
        <v/>
      </c>
      <c r="DG127" s="34" t="str">
        <f t="shared" ref="DG127" si="3279">IF(SUBTOTAL(9,DG128:DG132)&gt;0,SUBTOTAL(9,DG128:DG132),"")</f>
        <v/>
      </c>
      <c r="DH127" s="34" t="str">
        <f t="shared" ref="DH127" si="3280">IF(SUBTOTAL(9,DH128:DH132)&gt;0,SUBTOTAL(9,DH128:DH132),"")</f>
        <v/>
      </c>
      <c r="DI127" s="34" t="str">
        <f t="shared" ref="DI127" si="3281">IF(SUBTOTAL(9,DI128:DI132)&gt;0,SUBTOTAL(9,DI128:DI132),"")</f>
        <v/>
      </c>
      <c r="DJ127" s="34" t="str">
        <f t="shared" ref="DJ127" si="3282">IF(SUBTOTAL(9,DJ128:DJ132)&gt;0,SUBTOTAL(9,DJ128:DJ132),"")</f>
        <v/>
      </c>
      <c r="DK127" s="34" t="str">
        <f t="shared" ref="DK127" si="3283">IF(SUBTOTAL(9,DK128:DK132)&gt;0,SUBTOTAL(9,DK128:DK132),"")</f>
        <v/>
      </c>
      <c r="DL127" s="34" t="str">
        <f t="shared" ref="DL127" si="3284">IF(SUBTOTAL(9,DL128:DL132)&gt;0,SUBTOTAL(9,DL128:DL132),"")</f>
        <v/>
      </c>
      <c r="DM127" s="34" t="str">
        <f t="shared" ref="DM127" si="3285">IF(SUBTOTAL(9,DM128:DM132)&gt;0,SUBTOTAL(9,DM128:DM132),"")</f>
        <v/>
      </c>
      <c r="DN127" s="34" t="str">
        <f t="shared" ref="DN127" si="3286">IF(SUBTOTAL(9,DN128:DN132)&gt;0,SUBTOTAL(9,DN128:DN132),"")</f>
        <v/>
      </c>
      <c r="DO127" s="34" t="str">
        <f t="shared" ref="DO127" si="3287">IF(SUBTOTAL(9,DO128:DO132)&gt;0,SUBTOTAL(9,DO128:DO132),"")</f>
        <v/>
      </c>
      <c r="DP127" s="34" t="str">
        <f t="shared" ref="DP127" si="3288">IF(SUBTOTAL(9,DP128:DP132)&gt;0,SUBTOTAL(9,DP128:DP132),"")</f>
        <v/>
      </c>
      <c r="DQ127" s="34" t="str">
        <f t="shared" ref="DQ127" si="3289">IF(SUBTOTAL(9,DQ128:DQ132)&gt;0,SUBTOTAL(9,DQ128:DQ132),"")</f>
        <v/>
      </c>
      <c r="DR127" s="34" t="str">
        <f t="shared" ref="DR127" si="3290">IF(SUBTOTAL(9,DR128:DR132)&gt;0,SUBTOTAL(9,DR128:DR132),"")</f>
        <v/>
      </c>
      <c r="DS127" s="34" t="str">
        <f t="shared" ref="DS127" si="3291">IF(SUBTOTAL(9,DS128:DS132)&gt;0,SUBTOTAL(9,DS128:DS132),"")</f>
        <v/>
      </c>
      <c r="DT127" s="34" t="str">
        <f t="shared" ref="DT127" si="3292">IF(SUBTOTAL(9,DT128:DT132)&gt;0,SUBTOTAL(9,DT128:DT132),"")</f>
        <v/>
      </c>
      <c r="DU127" s="34" t="str">
        <f t="shared" ref="DU127" si="3293">IF(SUBTOTAL(9,DU128:DU132)&gt;0,SUBTOTAL(9,DU128:DU132),"")</f>
        <v/>
      </c>
      <c r="DV127" s="34" t="str">
        <f t="shared" ref="DV127" si="3294">IF(SUBTOTAL(9,DV128:DV132)&gt;0,SUBTOTAL(9,DV128:DV132),"")</f>
        <v/>
      </c>
      <c r="DW127" s="34" t="str">
        <f t="shared" ref="DW127" si="3295">IF(SUBTOTAL(9,DW128:DW132)&gt;0,SUBTOTAL(9,DW128:DW132),"")</f>
        <v/>
      </c>
      <c r="DX127" s="34" t="str">
        <f t="shared" ref="DX127" si="3296">IF(SUBTOTAL(9,DX128:DX132)&gt;0,SUBTOTAL(9,DX128:DX132),"")</f>
        <v/>
      </c>
      <c r="DY127" s="34" t="str">
        <f t="shared" ref="DY127" si="3297">IF(SUBTOTAL(9,DY128:DY132)&gt;0,SUBTOTAL(9,DY128:DY132),"")</f>
        <v/>
      </c>
      <c r="DZ127" s="33" t="str">
        <f t="shared" ref="DZ127" si="3298">IF(SUBTOTAL(9,DZ128:DZ132)&gt;0,SUBTOTAL(9,DZ128:DZ132),"")</f>
        <v/>
      </c>
      <c r="EA127" s="34" t="str">
        <f t="shared" ref="EA127" si="3299">IF(SUBTOTAL(9,EA128:EA132)&gt;0,SUBTOTAL(9,EA128:EA132),"")</f>
        <v/>
      </c>
      <c r="EB127" s="34" t="str">
        <f t="shared" ref="EB127" si="3300">IF(SUBTOTAL(9,EB128:EB132)&gt;0,SUBTOTAL(9,EB128:EB132),"")</f>
        <v/>
      </c>
      <c r="EC127" s="34" t="str">
        <f t="shared" ref="EC127" si="3301">IF(SUBTOTAL(9,EC128:EC132)&gt;0,SUBTOTAL(9,EC128:EC132),"")</f>
        <v/>
      </c>
      <c r="ED127" s="34" t="str">
        <f t="shared" ref="ED127" si="3302">IF(SUBTOTAL(9,ED128:ED132)&gt;0,SUBTOTAL(9,ED128:ED132),"")</f>
        <v/>
      </c>
      <c r="EE127" s="34" t="str">
        <f t="shared" ref="EE127" si="3303">IF(SUBTOTAL(9,EE128:EE132)&gt;0,SUBTOTAL(9,EE128:EE132),"")</f>
        <v/>
      </c>
      <c r="EF127" s="34" t="str">
        <f t="shared" ref="EF127" si="3304">IF(SUBTOTAL(9,EF128:EF132)&gt;0,SUBTOTAL(9,EF128:EF132),"")</f>
        <v/>
      </c>
      <c r="EG127" s="34" t="str">
        <f t="shared" ref="EG127" si="3305">IF(SUBTOTAL(9,EG128:EG132)&gt;0,SUBTOTAL(9,EG128:EG132),"")</f>
        <v/>
      </c>
      <c r="EH127" s="34" t="str">
        <f t="shared" ref="EH127" si="3306">IF(SUBTOTAL(9,EH128:EH132)&gt;0,SUBTOTAL(9,EH128:EH132),"")</f>
        <v/>
      </c>
      <c r="EI127" s="34" t="str">
        <f t="shared" ref="EI127" si="3307">IF(SUBTOTAL(9,EI128:EI132)&gt;0,SUBTOTAL(9,EI128:EI132),"")</f>
        <v/>
      </c>
      <c r="EJ127" s="34" t="str">
        <f t="shared" ref="EJ127" si="3308">IF(SUBTOTAL(9,EJ128:EJ132)&gt;0,SUBTOTAL(9,EJ128:EJ132),"")</f>
        <v/>
      </c>
      <c r="EK127" s="34" t="str">
        <f t="shared" ref="EK127" si="3309">IF(SUBTOTAL(9,EK128:EK132)&gt;0,SUBTOTAL(9,EK128:EK132),"")</f>
        <v/>
      </c>
      <c r="EL127" s="34" t="str">
        <f t="shared" ref="EL127" si="3310">IF(SUBTOTAL(9,EL128:EL132)&gt;0,SUBTOTAL(9,EL128:EL132),"")</f>
        <v/>
      </c>
      <c r="EM127" s="34" t="str">
        <f t="shared" ref="EM127" si="3311">IF(SUBTOTAL(9,EM128:EM132)&gt;0,SUBTOTAL(9,EM128:EM132),"")</f>
        <v/>
      </c>
      <c r="EN127" s="34" t="str">
        <f t="shared" ref="EN127" si="3312">IF(SUBTOTAL(9,EN128:EN132)&gt;0,SUBTOTAL(9,EN128:EN132),"")</f>
        <v/>
      </c>
      <c r="EO127" s="34" t="str">
        <f t="shared" ref="EO127" si="3313">IF(SUBTOTAL(9,EO128:EO132)&gt;0,SUBTOTAL(9,EO128:EO132),"")</f>
        <v/>
      </c>
      <c r="EP127" s="34" t="str">
        <f t="shared" ref="EP127" si="3314">IF(SUBTOTAL(9,EP128:EP132)&gt;0,SUBTOTAL(9,EP128:EP132),"")</f>
        <v/>
      </c>
      <c r="EQ127" s="34" t="str">
        <f t="shared" ref="EQ127" si="3315">IF(SUBTOTAL(9,EQ128:EQ132)&gt;0,SUBTOTAL(9,EQ128:EQ132),"")</f>
        <v/>
      </c>
      <c r="ER127" s="34" t="str">
        <f t="shared" ref="ER127" si="3316">IF(SUBTOTAL(9,ER128:ER132)&gt;0,SUBTOTAL(9,ER128:ER132),"")</f>
        <v/>
      </c>
      <c r="ES127" s="34" t="str">
        <f t="shared" ref="ES127" si="3317">IF(SUBTOTAL(9,ES128:ES132)&gt;0,SUBTOTAL(9,ES128:ES132),"")</f>
        <v/>
      </c>
      <c r="ET127" s="34" t="str">
        <f t="shared" ref="ET127" si="3318">IF(SUBTOTAL(9,ET128:ET132)&gt;0,SUBTOTAL(9,ET128:ET132),"")</f>
        <v/>
      </c>
      <c r="EU127" s="34" t="str">
        <f t="shared" ref="EU127" si="3319">IF(SUBTOTAL(9,EU128:EU132)&gt;0,SUBTOTAL(9,EU128:EU132),"")</f>
        <v/>
      </c>
      <c r="EV127" s="34" t="str">
        <f t="shared" ref="EV127" si="3320">IF(SUBTOTAL(9,EV128:EV132)&gt;0,SUBTOTAL(9,EV128:EV132),"")</f>
        <v/>
      </c>
      <c r="EW127" s="34" t="str">
        <f t="shared" ref="EW127" si="3321">IF(SUBTOTAL(9,EW128:EW132)&gt;0,SUBTOTAL(9,EW128:EW132),"")</f>
        <v/>
      </c>
      <c r="EX127" s="34" t="str">
        <f t="shared" ref="EX127" si="3322">IF(SUBTOTAL(9,EX128:EX132)&gt;0,SUBTOTAL(9,EX128:EX132),"")</f>
        <v/>
      </c>
      <c r="EY127" s="33" t="str">
        <f t="shared" ref="EY127" si="3323">IF(SUBTOTAL(9,EY128:EY132)&gt;0,SUBTOTAL(9,EY128:EY132),"")</f>
        <v/>
      </c>
      <c r="EZ127" s="34" t="str">
        <f t="shared" ref="EZ127" si="3324">IF(SUBTOTAL(9,EZ128:EZ132)&gt;0,SUBTOTAL(9,EZ128:EZ132),"")</f>
        <v/>
      </c>
      <c r="FA127" s="34" t="str">
        <f t="shared" ref="FA127" si="3325">IF(SUBTOTAL(9,FA128:FA132)&gt;0,SUBTOTAL(9,FA128:FA132),"")</f>
        <v/>
      </c>
      <c r="FB127" s="34" t="str">
        <f t="shared" ref="FB127" si="3326">IF(SUBTOTAL(9,FB128:FB132)&gt;0,SUBTOTAL(9,FB128:FB132),"")</f>
        <v/>
      </c>
      <c r="FC127" s="34" t="str">
        <f t="shared" ref="FC127" si="3327">IF(SUBTOTAL(9,FC128:FC132)&gt;0,SUBTOTAL(9,FC128:FC132),"")</f>
        <v/>
      </c>
      <c r="FD127" s="34" t="str">
        <f t="shared" ref="FD127" si="3328">IF(SUBTOTAL(9,FD128:FD132)&gt;0,SUBTOTAL(9,FD128:FD132),"")</f>
        <v/>
      </c>
      <c r="FE127" s="34" t="str">
        <f t="shared" ref="FE127" si="3329">IF(SUBTOTAL(9,FE128:FE132)&gt;0,SUBTOTAL(9,FE128:FE132),"")</f>
        <v/>
      </c>
      <c r="FF127" s="34" t="str">
        <f t="shared" ref="FF127" si="3330">IF(SUBTOTAL(9,FF128:FF132)&gt;0,SUBTOTAL(9,FF128:FF132),"")</f>
        <v/>
      </c>
      <c r="FG127" s="34" t="str">
        <f t="shared" ref="FG127" si="3331">IF(SUBTOTAL(9,FG128:FG132)&gt;0,SUBTOTAL(9,FG128:FG132),"")</f>
        <v/>
      </c>
      <c r="FH127" s="34" t="str">
        <f t="shared" ref="FH127" si="3332">IF(SUBTOTAL(9,FH128:FH132)&gt;0,SUBTOTAL(9,FH128:FH132),"")</f>
        <v/>
      </c>
      <c r="FI127" s="34" t="str">
        <f t="shared" ref="FI127" si="3333">IF(SUBTOTAL(9,FI128:FI132)&gt;0,SUBTOTAL(9,FI128:FI132),"")</f>
        <v/>
      </c>
      <c r="FJ127" s="34" t="str">
        <f t="shared" ref="FJ127" si="3334">IF(SUBTOTAL(9,FJ128:FJ132)&gt;0,SUBTOTAL(9,FJ128:FJ132),"")</f>
        <v/>
      </c>
      <c r="FK127" s="34" t="str">
        <f t="shared" ref="FK127" si="3335">IF(SUBTOTAL(9,FK128:FK132)&gt;0,SUBTOTAL(9,FK128:FK132),"")</f>
        <v/>
      </c>
      <c r="FL127" s="34" t="str">
        <f t="shared" ref="FL127" si="3336">IF(SUBTOTAL(9,FL128:FL132)&gt;0,SUBTOTAL(9,FL128:FL132),"")</f>
        <v/>
      </c>
      <c r="FM127" s="34" t="str">
        <f t="shared" ref="FM127" si="3337">IF(SUBTOTAL(9,FM128:FM132)&gt;0,SUBTOTAL(9,FM128:FM132),"")</f>
        <v/>
      </c>
      <c r="FN127" s="34" t="str">
        <f t="shared" ref="FN127" si="3338">IF(SUBTOTAL(9,FN128:FN132)&gt;0,SUBTOTAL(9,FN128:FN132),"")</f>
        <v/>
      </c>
      <c r="FO127" s="34" t="str">
        <f t="shared" ref="FO127" si="3339">IF(SUBTOTAL(9,FO128:FO132)&gt;0,SUBTOTAL(9,FO128:FO132),"")</f>
        <v/>
      </c>
      <c r="FP127" s="34" t="str">
        <f t="shared" ref="FP127" si="3340">IF(SUBTOTAL(9,FP128:FP132)&gt;0,SUBTOTAL(9,FP128:FP132),"")</f>
        <v/>
      </c>
      <c r="FQ127" s="92" t="str">
        <f t="shared" ref="FQ127" si="3341">IF(SUBTOTAL(9,FQ128:FQ132)&gt;0,SUBTOTAL(9,FQ128:FQ132),"")</f>
        <v/>
      </c>
      <c r="FR127" s="8"/>
      <c r="FS127" s="9" t="s">
        <v>131</v>
      </c>
      <c r="FT127" s="9" t="str">
        <f t="shared" si="1838"/>
        <v/>
      </c>
    </row>
    <row r="128" spans="1:176" s="9" customFormat="1" ht="12" hidden="1" customHeight="1" outlineLevel="1">
      <c r="A128" s="122" t="s">
        <v>4</v>
      </c>
      <c r="B128" s="123" t="s">
        <v>18</v>
      </c>
      <c r="C128" s="124" t="str">
        <f t="shared" si="1837"/>
        <v>17 days</v>
      </c>
      <c r="D128" s="13" t="str">
        <f>A102&amp;" "&amp;A127</f>
        <v>4. Annual Reporting (QRTs)  4.5 Technical Support</v>
      </c>
      <c r="E128" s="51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>
        <v>0.5</v>
      </c>
      <c r="X128" s="35">
        <v>0.5</v>
      </c>
      <c r="Y128" s="35">
        <v>1</v>
      </c>
      <c r="Z128" s="35">
        <v>0.5</v>
      </c>
      <c r="AA128" s="35">
        <v>0.5</v>
      </c>
      <c r="AB128" s="35"/>
      <c r="AC128" s="35"/>
      <c r="AD128" s="35"/>
      <c r="AE128" s="35"/>
      <c r="AF128" s="35"/>
      <c r="AG128" s="35"/>
      <c r="AH128" s="35"/>
      <c r="AI128" s="35"/>
      <c r="AJ128" s="35"/>
      <c r="AK128" s="35"/>
      <c r="AL128" s="36"/>
      <c r="AM128" s="36"/>
      <c r="AN128" s="36"/>
      <c r="AO128" s="36"/>
      <c r="AP128" s="36"/>
      <c r="AQ128" s="36"/>
      <c r="AR128" s="36"/>
      <c r="AS128" s="35"/>
      <c r="AT128" s="35"/>
      <c r="AU128" s="35"/>
      <c r="AV128" s="35"/>
      <c r="AW128" s="35"/>
      <c r="AX128" s="35"/>
      <c r="AY128" s="35">
        <v>1</v>
      </c>
      <c r="AZ128" s="35">
        <v>1</v>
      </c>
      <c r="BA128" s="35">
        <v>1</v>
      </c>
      <c r="BB128" s="35">
        <v>1</v>
      </c>
      <c r="BC128" s="35">
        <v>1</v>
      </c>
      <c r="BD128" s="35">
        <v>1</v>
      </c>
      <c r="BE128" s="35">
        <v>1</v>
      </c>
      <c r="BF128" s="35">
        <v>1</v>
      </c>
      <c r="BG128" s="35">
        <v>1</v>
      </c>
      <c r="BH128" s="35">
        <v>1</v>
      </c>
      <c r="BI128" s="35">
        <v>1</v>
      </c>
      <c r="BJ128" s="35">
        <v>1</v>
      </c>
      <c r="BK128" s="35">
        <v>1</v>
      </c>
      <c r="BL128" s="35">
        <v>1</v>
      </c>
      <c r="BM128" s="35"/>
      <c r="BN128" s="35"/>
      <c r="BO128" s="35"/>
      <c r="BP128" s="35"/>
      <c r="BQ128" s="35"/>
      <c r="BR128" s="35"/>
      <c r="BS128" s="35"/>
      <c r="BT128" s="35"/>
      <c r="BU128" s="35"/>
      <c r="BV128" s="35"/>
      <c r="BW128" s="35"/>
      <c r="BX128" s="35"/>
      <c r="BY128" s="35"/>
      <c r="BZ128" s="35"/>
      <c r="CA128" s="35"/>
      <c r="CB128" s="35"/>
      <c r="CC128" s="35"/>
      <c r="CD128" s="35"/>
      <c r="CE128" s="35"/>
      <c r="CF128" s="35"/>
      <c r="CG128" s="35"/>
      <c r="CH128" s="35"/>
      <c r="CI128" s="35"/>
      <c r="CJ128" s="35"/>
      <c r="CK128" s="35"/>
      <c r="CL128" s="35"/>
      <c r="CM128" s="35"/>
      <c r="CN128" s="35"/>
      <c r="CO128" s="35"/>
      <c r="CP128" s="35"/>
      <c r="CQ128" s="35"/>
      <c r="CR128" s="35"/>
      <c r="CS128" s="35"/>
      <c r="CT128" s="36"/>
      <c r="CU128" s="35"/>
      <c r="CV128" s="35"/>
      <c r="CW128" s="35"/>
      <c r="CX128" s="35"/>
      <c r="CY128" s="35"/>
      <c r="CZ128" s="36"/>
      <c r="DA128" s="36"/>
      <c r="DB128" s="35"/>
      <c r="DC128" s="35"/>
      <c r="DD128" s="35"/>
      <c r="DE128" s="35"/>
      <c r="DF128" s="35"/>
      <c r="DG128" s="35"/>
      <c r="DH128" s="35"/>
      <c r="DI128" s="35"/>
      <c r="DJ128" s="35"/>
      <c r="DK128" s="35"/>
      <c r="DL128" s="35"/>
      <c r="DM128" s="35"/>
      <c r="DN128" s="35"/>
      <c r="DO128" s="35"/>
      <c r="DP128" s="35"/>
      <c r="DQ128" s="35"/>
      <c r="DR128" s="35"/>
      <c r="DS128" s="35"/>
      <c r="DT128" s="35"/>
      <c r="DU128" s="35"/>
      <c r="DV128" s="35"/>
      <c r="DW128" s="35"/>
      <c r="DX128" s="35"/>
      <c r="DY128" s="35"/>
      <c r="DZ128" s="36"/>
      <c r="EA128" s="35"/>
      <c r="EB128" s="35"/>
      <c r="EC128" s="35"/>
      <c r="ED128" s="35"/>
      <c r="EE128" s="35"/>
      <c r="EF128" s="35"/>
      <c r="EG128" s="35"/>
      <c r="EH128" s="35"/>
      <c r="EI128" s="35"/>
      <c r="EJ128" s="35"/>
      <c r="EK128" s="35"/>
      <c r="EL128" s="35"/>
      <c r="EM128" s="35"/>
      <c r="EN128" s="35"/>
      <c r="EO128" s="35"/>
      <c r="EP128" s="35"/>
      <c r="EQ128" s="35"/>
      <c r="ER128" s="35"/>
      <c r="ES128" s="35"/>
      <c r="ET128" s="35"/>
      <c r="EU128" s="35"/>
      <c r="EV128" s="35"/>
      <c r="EW128" s="35"/>
      <c r="EX128" s="35"/>
      <c r="EY128" s="36"/>
      <c r="EZ128" s="35"/>
      <c r="FA128" s="35"/>
      <c r="FB128" s="35"/>
      <c r="FC128" s="35"/>
      <c r="FD128" s="35"/>
      <c r="FE128" s="35"/>
      <c r="FF128" s="35"/>
      <c r="FG128" s="35"/>
      <c r="FH128" s="35"/>
      <c r="FI128" s="35"/>
      <c r="FJ128" s="35"/>
      <c r="FK128" s="35"/>
      <c r="FL128" s="35"/>
      <c r="FM128" s="35"/>
      <c r="FN128" s="35"/>
      <c r="FO128" s="35"/>
      <c r="FP128" s="35"/>
      <c r="FQ128" s="52"/>
      <c r="FR128" s="8"/>
      <c r="FS128" s="9" t="s">
        <v>13</v>
      </c>
      <c r="FT128" s="9" t="str">
        <f t="shared" si="1838"/>
        <v>4. Annual Reporting (QRTs)  4.5 Technical SupportTM1 Analyst</v>
      </c>
    </row>
    <row r="129" spans="1:176" s="9" customFormat="1" ht="12" hidden="1" customHeight="1" outlineLevel="1">
      <c r="A129" s="122"/>
      <c r="B129" s="123"/>
      <c r="C129" s="124" t="str">
        <f t="shared" si="1837"/>
        <v>0 days</v>
      </c>
      <c r="D129" s="13" t="str">
        <f>A102&amp;" "&amp;A127</f>
        <v>4. Annual Reporting (QRTs)  4.5 Technical Support</v>
      </c>
      <c r="E129" s="51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5"/>
      <c r="AK129" s="35"/>
      <c r="AL129" s="36"/>
      <c r="AM129" s="36"/>
      <c r="AN129" s="36"/>
      <c r="AO129" s="36"/>
      <c r="AP129" s="36"/>
      <c r="AQ129" s="36"/>
      <c r="AR129" s="36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35"/>
      <c r="BU129" s="35"/>
      <c r="BV129" s="35"/>
      <c r="BW129" s="35"/>
      <c r="BX129" s="35"/>
      <c r="BY129" s="35"/>
      <c r="BZ129" s="35"/>
      <c r="CA129" s="35"/>
      <c r="CB129" s="35"/>
      <c r="CC129" s="35"/>
      <c r="CD129" s="35"/>
      <c r="CE129" s="35"/>
      <c r="CF129" s="35"/>
      <c r="CG129" s="35"/>
      <c r="CH129" s="35"/>
      <c r="CI129" s="35"/>
      <c r="CJ129" s="35"/>
      <c r="CK129" s="35"/>
      <c r="CL129" s="35"/>
      <c r="CM129" s="35"/>
      <c r="CN129" s="35"/>
      <c r="CO129" s="35"/>
      <c r="CP129" s="35"/>
      <c r="CQ129" s="35"/>
      <c r="CR129" s="35"/>
      <c r="CS129" s="35"/>
      <c r="CT129" s="36"/>
      <c r="CU129" s="35"/>
      <c r="CV129" s="35"/>
      <c r="CW129" s="35"/>
      <c r="CX129" s="35"/>
      <c r="CY129" s="35"/>
      <c r="CZ129" s="36"/>
      <c r="DA129" s="36"/>
      <c r="DB129" s="35"/>
      <c r="DC129" s="35"/>
      <c r="DD129" s="35"/>
      <c r="DE129" s="35"/>
      <c r="DF129" s="35"/>
      <c r="DG129" s="35"/>
      <c r="DH129" s="35"/>
      <c r="DI129" s="35"/>
      <c r="DJ129" s="35"/>
      <c r="DK129" s="35"/>
      <c r="DL129" s="35"/>
      <c r="DM129" s="35"/>
      <c r="DN129" s="35"/>
      <c r="DO129" s="35"/>
      <c r="DP129" s="35"/>
      <c r="DQ129" s="35"/>
      <c r="DR129" s="35"/>
      <c r="DS129" s="35"/>
      <c r="DT129" s="35"/>
      <c r="DU129" s="35"/>
      <c r="DV129" s="35"/>
      <c r="DW129" s="35"/>
      <c r="DX129" s="35"/>
      <c r="DY129" s="35"/>
      <c r="DZ129" s="36"/>
      <c r="EA129" s="35"/>
      <c r="EB129" s="35"/>
      <c r="EC129" s="35"/>
      <c r="ED129" s="35"/>
      <c r="EE129" s="35"/>
      <c r="EF129" s="35"/>
      <c r="EG129" s="35"/>
      <c r="EH129" s="35"/>
      <c r="EI129" s="35"/>
      <c r="EJ129" s="35"/>
      <c r="EK129" s="35"/>
      <c r="EL129" s="35"/>
      <c r="EM129" s="35"/>
      <c r="EN129" s="35"/>
      <c r="EO129" s="35"/>
      <c r="EP129" s="35"/>
      <c r="EQ129" s="35"/>
      <c r="ER129" s="35"/>
      <c r="ES129" s="35"/>
      <c r="ET129" s="35"/>
      <c r="EU129" s="35"/>
      <c r="EV129" s="35"/>
      <c r="EW129" s="35"/>
      <c r="EX129" s="35"/>
      <c r="EY129" s="36"/>
      <c r="EZ129" s="35"/>
      <c r="FA129" s="35"/>
      <c r="FB129" s="35"/>
      <c r="FC129" s="35"/>
      <c r="FD129" s="35"/>
      <c r="FE129" s="35"/>
      <c r="FF129" s="35"/>
      <c r="FG129" s="35"/>
      <c r="FH129" s="35"/>
      <c r="FI129" s="35"/>
      <c r="FJ129" s="35"/>
      <c r="FK129" s="35"/>
      <c r="FL129" s="35"/>
      <c r="FM129" s="35"/>
      <c r="FN129" s="35"/>
      <c r="FO129" s="35"/>
      <c r="FP129" s="35"/>
      <c r="FQ129" s="52"/>
      <c r="FR129" s="8"/>
      <c r="FS129" s="9" t="s">
        <v>13</v>
      </c>
      <c r="FT129" s="9" t="str">
        <f t="shared" si="1838"/>
        <v>4. Annual Reporting (QRTs)  4.5 Technical Support</v>
      </c>
    </row>
    <row r="130" spans="1:176" s="9" customFormat="1" ht="12" hidden="1" customHeight="1" outlineLevel="1">
      <c r="A130" s="125" t="s">
        <v>50</v>
      </c>
      <c r="B130" s="123"/>
      <c r="C130" s="124" t="str">
        <f t="shared" si="1837"/>
        <v>0 days</v>
      </c>
      <c r="D130" s="13" t="str">
        <f>A102&amp;" "&amp;A127</f>
        <v>4. Annual Reporting (QRTs)  4.5 Technical Support</v>
      </c>
      <c r="E130" s="51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5"/>
      <c r="AK130" s="35"/>
      <c r="AL130" s="36"/>
      <c r="AM130" s="36"/>
      <c r="AN130" s="36"/>
      <c r="AO130" s="36"/>
      <c r="AP130" s="36"/>
      <c r="AQ130" s="36"/>
      <c r="AR130" s="36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35"/>
      <c r="BU130" s="35"/>
      <c r="BV130" s="35"/>
      <c r="BW130" s="35"/>
      <c r="BX130" s="35"/>
      <c r="BY130" s="35"/>
      <c r="BZ130" s="35"/>
      <c r="CA130" s="35"/>
      <c r="CB130" s="35"/>
      <c r="CC130" s="35"/>
      <c r="CD130" s="35"/>
      <c r="CE130" s="35"/>
      <c r="CF130" s="35"/>
      <c r="CG130" s="35"/>
      <c r="CH130" s="35"/>
      <c r="CI130" s="35"/>
      <c r="CJ130" s="35"/>
      <c r="CK130" s="35"/>
      <c r="CL130" s="35"/>
      <c r="CM130" s="35"/>
      <c r="CN130" s="35"/>
      <c r="CO130" s="35"/>
      <c r="CP130" s="35"/>
      <c r="CQ130" s="35"/>
      <c r="CR130" s="35"/>
      <c r="CS130" s="35"/>
      <c r="CT130" s="36"/>
      <c r="CU130" s="35"/>
      <c r="CV130" s="35"/>
      <c r="CW130" s="35"/>
      <c r="CX130" s="35"/>
      <c r="CY130" s="35"/>
      <c r="CZ130" s="36"/>
      <c r="DA130" s="36"/>
      <c r="DB130" s="35"/>
      <c r="DC130" s="35"/>
      <c r="DD130" s="35"/>
      <c r="DE130" s="35"/>
      <c r="DF130" s="35"/>
      <c r="DG130" s="35"/>
      <c r="DH130" s="35"/>
      <c r="DI130" s="35"/>
      <c r="DJ130" s="35"/>
      <c r="DK130" s="35"/>
      <c r="DL130" s="35"/>
      <c r="DM130" s="35"/>
      <c r="DN130" s="35"/>
      <c r="DO130" s="35"/>
      <c r="DP130" s="35"/>
      <c r="DQ130" s="35"/>
      <c r="DR130" s="35"/>
      <c r="DS130" s="35"/>
      <c r="DT130" s="35"/>
      <c r="DU130" s="35"/>
      <c r="DV130" s="35"/>
      <c r="DW130" s="35"/>
      <c r="DX130" s="35"/>
      <c r="DY130" s="35"/>
      <c r="DZ130" s="36"/>
      <c r="EA130" s="35"/>
      <c r="EB130" s="35"/>
      <c r="EC130" s="35"/>
      <c r="ED130" s="35"/>
      <c r="EE130" s="35"/>
      <c r="EF130" s="35"/>
      <c r="EG130" s="35"/>
      <c r="EH130" s="35"/>
      <c r="EI130" s="35"/>
      <c r="EJ130" s="35"/>
      <c r="EK130" s="35"/>
      <c r="EL130" s="35"/>
      <c r="EM130" s="35"/>
      <c r="EN130" s="35"/>
      <c r="EO130" s="35"/>
      <c r="EP130" s="35"/>
      <c r="EQ130" s="35"/>
      <c r="ER130" s="35"/>
      <c r="ES130" s="35"/>
      <c r="ET130" s="35"/>
      <c r="EU130" s="35"/>
      <c r="EV130" s="35"/>
      <c r="EW130" s="35"/>
      <c r="EX130" s="35"/>
      <c r="EY130" s="36"/>
      <c r="EZ130" s="35"/>
      <c r="FA130" s="35"/>
      <c r="FB130" s="35"/>
      <c r="FC130" s="35"/>
      <c r="FD130" s="35"/>
      <c r="FE130" s="35"/>
      <c r="FF130" s="35"/>
      <c r="FG130" s="35"/>
      <c r="FH130" s="35"/>
      <c r="FI130" s="35"/>
      <c r="FJ130" s="35"/>
      <c r="FK130" s="35"/>
      <c r="FL130" s="35"/>
      <c r="FM130" s="35"/>
      <c r="FN130" s="35"/>
      <c r="FO130" s="35"/>
      <c r="FP130" s="35"/>
      <c r="FQ130" s="52"/>
      <c r="FR130" s="8"/>
      <c r="FS130" s="9" t="s">
        <v>13</v>
      </c>
      <c r="FT130" s="9" t="str">
        <f t="shared" si="1838"/>
        <v>4. Annual Reporting (QRTs)  4.5 Technical Support</v>
      </c>
    </row>
    <row r="131" spans="1:176" s="9" customFormat="1" ht="12" hidden="1" customHeight="1" outlineLevel="1">
      <c r="A131" s="125" t="s">
        <v>50</v>
      </c>
      <c r="B131" s="123"/>
      <c r="C131" s="124" t="str">
        <f t="shared" si="1837"/>
        <v>0 days</v>
      </c>
      <c r="D131" s="13" t="str">
        <f>A102&amp;" "&amp;A127</f>
        <v>4. Annual Reporting (QRTs)  4.5 Technical Support</v>
      </c>
      <c r="E131" s="51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5"/>
      <c r="AK131" s="35"/>
      <c r="AL131" s="36"/>
      <c r="AM131" s="36"/>
      <c r="AN131" s="36"/>
      <c r="AO131" s="36"/>
      <c r="AP131" s="36"/>
      <c r="AQ131" s="36"/>
      <c r="AR131" s="36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35"/>
      <c r="BU131" s="35"/>
      <c r="BV131" s="35"/>
      <c r="BW131" s="35"/>
      <c r="BX131" s="35"/>
      <c r="BY131" s="35"/>
      <c r="BZ131" s="35"/>
      <c r="CA131" s="35"/>
      <c r="CB131" s="35"/>
      <c r="CC131" s="35"/>
      <c r="CD131" s="35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6"/>
      <c r="CU131" s="35"/>
      <c r="CV131" s="35"/>
      <c r="CW131" s="35"/>
      <c r="CX131" s="35"/>
      <c r="CY131" s="35"/>
      <c r="CZ131" s="36"/>
      <c r="DA131" s="36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6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  <c r="EU131" s="35"/>
      <c r="EV131" s="35"/>
      <c r="EW131" s="35"/>
      <c r="EX131" s="35"/>
      <c r="EY131" s="36"/>
      <c r="EZ131" s="35"/>
      <c r="FA131" s="35"/>
      <c r="FB131" s="35"/>
      <c r="FC131" s="35"/>
      <c r="FD131" s="35"/>
      <c r="FE131" s="35"/>
      <c r="FF131" s="35"/>
      <c r="FG131" s="35"/>
      <c r="FH131" s="35"/>
      <c r="FI131" s="35"/>
      <c r="FJ131" s="35"/>
      <c r="FK131" s="35"/>
      <c r="FL131" s="35"/>
      <c r="FM131" s="35"/>
      <c r="FN131" s="35"/>
      <c r="FO131" s="35"/>
      <c r="FP131" s="35"/>
      <c r="FQ131" s="52"/>
      <c r="FR131" s="8"/>
      <c r="FS131" s="9" t="s">
        <v>13</v>
      </c>
      <c r="FT131" s="9" t="str">
        <f t="shared" si="1838"/>
        <v>4. Annual Reporting (QRTs)  4.5 Technical Support</v>
      </c>
    </row>
    <row r="132" spans="1:176" s="9" customFormat="1" ht="12" hidden="1" customHeight="1" outlineLevel="1">
      <c r="A132" s="125" t="s">
        <v>50</v>
      </c>
      <c r="B132" s="123"/>
      <c r="C132" s="124" t="str">
        <f t="shared" si="1837"/>
        <v>0 days</v>
      </c>
      <c r="D132" s="13" t="str">
        <f>A102&amp;" "&amp;A127</f>
        <v>4. Annual Reporting (QRTs)  4.5 Technical Support</v>
      </c>
      <c r="E132" s="51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5"/>
      <c r="AK132" s="35"/>
      <c r="AL132" s="36"/>
      <c r="AM132" s="36"/>
      <c r="AN132" s="36"/>
      <c r="AO132" s="36"/>
      <c r="AP132" s="36"/>
      <c r="AQ132" s="36"/>
      <c r="AR132" s="36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35"/>
      <c r="BU132" s="35"/>
      <c r="BV132" s="35"/>
      <c r="BW132" s="35"/>
      <c r="BX132" s="35"/>
      <c r="BY132" s="35"/>
      <c r="BZ132" s="35"/>
      <c r="CA132" s="35"/>
      <c r="CB132" s="35"/>
      <c r="CC132" s="35"/>
      <c r="CD132" s="35"/>
      <c r="CE132" s="35"/>
      <c r="CF132" s="35"/>
      <c r="CG132" s="35"/>
      <c r="CH132" s="35"/>
      <c r="CI132" s="35"/>
      <c r="CJ132" s="35"/>
      <c r="CK132" s="35"/>
      <c r="CL132" s="35"/>
      <c r="CM132" s="35"/>
      <c r="CN132" s="35"/>
      <c r="CO132" s="35"/>
      <c r="CP132" s="35"/>
      <c r="CQ132" s="35"/>
      <c r="CR132" s="35"/>
      <c r="CS132" s="35"/>
      <c r="CT132" s="36"/>
      <c r="CU132" s="35"/>
      <c r="CV132" s="35"/>
      <c r="CW132" s="35"/>
      <c r="CX132" s="35"/>
      <c r="CY132" s="35"/>
      <c r="CZ132" s="36"/>
      <c r="DA132" s="36"/>
      <c r="DB132" s="35"/>
      <c r="DC132" s="35"/>
      <c r="DD132" s="35"/>
      <c r="DE132" s="35"/>
      <c r="DF132" s="35"/>
      <c r="DG132" s="35"/>
      <c r="DH132" s="35"/>
      <c r="DI132" s="35"/>
      <c r="DJ132" s="35"/>
      <c r="DK132" s="35"/>
      <c r="DL132" s="35"/>
      <c r="DM132" s="35"/>
      <c r="DN132" s="35"/>
      <c r="DO132" s="35"/>
      <c r="DP132" s="35"/>
      <c r="DQ132" s="35"/>
      <c r="DR132" s="35"/>
      <c r="DS132" s="35"/>
      <c r="DT132" s="35"/>
      <c r="DU132" s="35"/>
      <c r="DV132" s="35"/>
      <c r="DW132" s="35"/>
      <c r="DX132" s="35"/>
      <c r="DY132" s="35"/>
      <c r="DZ132" s="36"/>
      <c r="EA132" s="35"/>
      <c r="EB132" s="35"/>
      <c r="EC132" s="35"/>
      <c r="ED132" s="35"/>
      <c r="EE132" s="35"/>
      <c r="EF132" s="35"/>
      <c r="EG132" s="35"/>
      <c r="EH132" s="35"/>
      <c r="EI132" s="35"/>
      <c r="EJ132" s="35"/>
      <c r="EK132" s="35"/>
      <c r="EL132" s="35"/>
      <c r="EM132" s="35"/>
      <c r="EN132" s="35"/>
      <c r="EO132" s="35"/>
      <c r="EP132" s="35"/>
      <c r="EQ132" s="35"/>
      <c r="ER132" s="35"/>
      <c r="ES132" s="35"/>
      <c r="ET132" s="35"/>
      <c r="EU132" s="35"/>
      <c r="EV132" s="35"/>
      <c r="EW132" s="35"/>
      <c r="EX132" s="35"/>
      <c r="EY132" s="36"/>
      <c r="EZ132" s="35"/>
      <c r="FA132" s="35"/>
      <c r="FB132" s="35"/>
      <c r="FC132" s="35"/>
      <c r="FD132" s="35"/>
      <c r="FE132" s="35"/>
      <c r="FF132" s="35"/>
      <c r="FG132" s="35"/>
      <c r="FH132" s="35"/>
      <c r="FI132" s="35"/>
      <c r="FJ132" s="35"/>
      <c r="FK132" s="35"/>
      <c r="FL132" s="35"/>
      <c r="FM132" s="35"/>
      <c r="FN132" s="35"/>
      <c r="FO132" s="35"/>
      <c r="FP132" s="35"/>
      <c r="FQ132" s="52"/>
      <c r="FR132" s="8"/>
      <c r="FS132" s="9" t="s">
        <v>13</v>
      </c>
      <c r="FT132" s="9" t="str">
        <f t="shared" si="1838"/>
        <v>4. Annual Reporting (QRTs)  4.5 Technical Support</v>
      </c>
    </row>
    <row r="133" spans="1:176" s="9" customFormat="1" ht="12" customHeight="1" collapsed="1">
      <c r="A133" s="116" t="s">
        <v>70</v>
      </c>
      <c r="B133" s="132"/>
      <c r="C133" s="118" t="str">
        <f t="shared" si="1837"/>
        <v>38 days</v>
      </c>
      <c r="D133" s="26"/>
      <c r="E133" s="89" t="str">
        <f t="shared" ref="E133:AK133" si="3342">IF(SUBTOTAL(9,E135:E139,E141:E145,E147:E151,E153:E157,E159:E163)&gt;0,SUBTOTAL(9,E135:E139,E141:E145,E147:E151,E153:E157,E159:E163),"")</f>
        <v/>
      </c>
      <c r="F133" s="32" t="str">
        <f t="shared" si="3342"/>
        <v/>
      </c>
      <c r="G133" s="32" t="str">
        <f t="shared" si="3342"/>
        <v/>
      </c>
      <c r="H133" s="32" t="str">
        <f t="shared" si="3342"/>
        <v/>
      </c>
      <c r="I133" s="32" t="str">
        <f t="shared" si="3342"/>
        <v/>
      </c>
      <c r="J133" s="32" t="str">
        <f t="shared" si="3342"/>
        <v/>
      </c>
      <c r="K133" s="32" t="str">
        <f t="shared" si="3342"/>
        <v/>
      </c>
      <c r="L133" s="32" t="str">
        <f t="shared" si="3342"/>
        <v/>
      </c>
      <c r="M133" s="32" t="str">
        <f t="shared" si="3342"/>
        <v/>
      </c>
      <c r="N133" s="32" t="str">
        <f t="shared" si="3342"/>
        <v/>
      </c>
      <c r="O133" s="32" t="str">
        <f t="shared" si="3342"/>
        <v/>
      </c>
      <c r="P133" s="32">
        <f t="shared" si="3342"/>
        <v>1</v>
      </c>
      <c r="Q133" s="32">
        <f t="shared" si="3342"/>
        <v>1</v>
      </c>
      <c r="R133" s="32">
        <f t="shared" si="3342"/>
        <v>1</v>
      </c>
      <c r="S133" s="32">
        <f t="shared" si="3342"/>
        <v>1</v>
      </c>
      <c r="T133" s="32">
        <f t="shared" si="3342"/>
        <v>2</v>
      </c>
      <c r="U133" s="32">
        <f t="shared" si="3342"/>
        <v>1</v>
      </c>
      <c r="V133" s="32">
        <f t="shared" si="3342"/>
        <v>1</v>
      </c>
      <c r="W133" s="32">
        <f t="shared" si="3342"/>
        <v>1</v>
      </c>
      <c r="X133" s="32">
        <f t="shared" si="3342"/>
        <v>1</v>
      </c>
      <c r="Y133" s="32">
        <f t="shared" si="3342"/>
        <v>2</v>
      </c>
      <c r="Z133" s="32">
        <f t="shared" si="3342"/>
        <v>1.25</v>
      </c>
      <c r="AA133" s="32">
        <f t="shared" si="3342"/>
        <v>1</v>
      </c>
      <c r="AB133" s="32">
        <f t="shared" si="3342"/>
        <v>1</v>
      </c>
      <c r="AC133" s="32">
        <f t="shared" si="3342"/>
        <v>1</v>
      </c>
      <c r="AD133" s="32">
        <f t="shared" si="3342"/>
        <v>2</v>
      </c>
      <c r="AE133" s="32">
        <f t="shared" si="3342"/>
        <v>2</v>
      </c>
      <c r="AF133" s="32">
        <f t="shared" si="3342"/>
        <v>2</v>
      </c>
      <c r="AG133" s="32">
        <f t="shared" si="3342"/>
        <v>2</v>
      </c>
      <c r="AH133" s="32">
        <f t="shared" si="3342"/>
        <v>2</v>
      </c>
      <c r="AI133" s="32">
        <f t="shared" si="3342"/>
        <v>2.5</v>
      </c>
      <c r="AJ133" s="32">
        <f t="shared" si="3342"/>
        <v>1</v>
      </c>
      <c r="AK133" s="32">
        <f t="shared" si="3342"/>
        <v>1</v>
      </c>
      <c r="AL133" s="33" t="str">
        <f>IF(SUBTOTAL(9,AL135:AL139,AL141:AL145,AL147:AL151,AL153:AL157,AL159:AL163)&gt;0,SUBTOTAL(9,AL135:AL139,AL141:AL145,AL147:AL151,AL153:AL157,AL159:AL163),"")</f>
        <v/>
      </c>
      <c r="AM133" s="33" t="str">
        <f t="shared" ref="AM133:CX133" si="3343">IF(SUBTOTAL(9,AM135:AM139,AM141:AM145,AM147:AM151,AM153:AM157,AM159:AM163)&gt;0,SUBTOTAL(9,AM135:AM139,AM141:AM145,AM147:AM151,AM153:AM157,AM159:AM163),"")</f>
        <v/>
      </c>
      <c r="AN133" s="33" t="str">
        <f t="shared" si="3343"/>
        <v/>
      </c>
      <c r="AO133" s="33" t="str">
        <f t="shared" si="3343"/>
        <v/>
      </c>
      <c r="AP133" s="33" t="str">
        <f t="shared" si="3343"/>
        <v/>
      </c>
      <c r="AQ133" s="33" t="str">
        <f t="shared" si="3343"/>
        <v/>
      </c>
      <c r="AR133" s="33" t="str">
        <f t="shared" si="3343"/>
        <v/>
      </c>
      <c r="AS133" s="32">
        <f t="shared" si="3343"/>
        <v>1</v>
      </c>
      <c r="AT133" s="32">
        <f t="shared" si="3343"/>
        <v>1.25</v>
      </c>
      <c r="AU133" s="32">
        <f t="shared" si="3343"/>
        <v>1.5</v>
      </c>
      <c r="AV133" s="32">
        <f t="shared" si="3343"/>
        <v>3</v>
      </c>
      <c r="AW133" s="32" t="str">
        <f t="shared" si="3343"/>
        <v/>
      </c>
      <c r="AX133" s="32" t="str">
        <f t="shared" si="3343"/>
        <v/>
      </c>
      <c r="AY133" s="32" t="str">
        <f t="shared" si="3343"/>
        <v/>
      </c>
      <c r="AZ133" s="32" t="str">
        <f t="shared" si="3343"/>
        <v/>
      </c>
      <c r="BA133" s="32" t="str">
        <f t="shared" si="3343"/>
        <v/>
      </c>
      <c r="BB133" s="32" t="str">
        <f t="shared" si="3343"/>
        <v/>
      </c>
      <c r="BC133" s="32" t="str">
        <f t="shared" si="3343"/>
        <v/>
      </c>
      <c r="BD133" s="32" t="str">
        <f t="shared" si="3343"/>
        <v/>
      </c>
      <c r="BE133" s="32" t="str">
        <f t="shared" si="3343"/>
        <v/>
      </c>
      <c r="BF133" s="32" t="str">
        <f t="shared" si="3343"/>
        <v/>
      </c>
      <c r="BG133" s="32" t="str">
        <f t="shared" si="3343"/>
        <v/>
      </c>
      <c r="BH133" s="32" t="str">
        <f t="shared" si="3343"/>
        <v/>
      </c>
      <c r="BI133" s="32" t="str">
        <f t="shared" si="3343"/>
        <v/>
      </c>
      <c r="BJ133" s="32" t="str">
        <f t="shared" si="3343"/>
        <v/>
      </c>
      <c r="BK133" s="32" t="str">
        <f t="shared" si="3343"/>
        <v/>
      </c>
      <c r="BL133" s="32" t="str">
        <f t="shared" si="3343"/>
        <v/>
      </c>
      <c r="BM133" s="32" t="str">
        <f t="shared" si="3343"/>
        <v/>
      </c>
      <c r="BN133" s="32" t="str">
        <f t="shared" si="3343"/>
        <v/>
      </c>
      <c r="BO133" s="32" t="str">
        <f t="shared" si="3343"/>
        <v/>
      </c>
      <c r="BP133" s="32" t="str">
        <f t="shared" si="3343"/>
        <v/>
      </c>
      <c r="BQ133" s="32" t="str">
        <f t="shared" si="3343"/>
        <v/>
      </c>
      <c r="BR133" s="32" t="str">
        <f t="shared" si="3343"/>
        <v/>
      </c>
      <c r="BS133" s="32" t="str">
        <f t="shared" si="3343"/>
        <v/>
      </c>
      <c r="BT133" s="32" t="str">
        <f t="shared" si="3343"/>
        <v/>
      </c>
      <c r="BU133" s="32" t="str">
        <f t="shared" si="3343"/>
        <v/>
      </c>
      <c r="BV133" s="32" t="str">
        <f t="shared" si="3343"/>
        <v/>
      </c>
      <c r="BW133" s="32" t="str">
        <f t="shared" si="3343"/>
        <v/>
      </c>
      <c r="BX133" s="32" t="str">
        <f t="shared" si="3343"/>
        <v/>
      </c>
      <c r="BY133" s="32" t="str">
        <f t="shared" si="3343"/>
        <v/>
      </c>
      <c r="BZ133" s="32" t="str">
        <f t="shared" si="3343"/>
        <v/>
      </c>
      <c r="CA133" s="32" t="str">
        <f t="shared" si="3343"/>
        <v/>
      </c>
      <c r="CB133" s="32" t="str">
        <f t="shared" si="3343"/>
        <v/>
      </c>
      <c r="CC133" s="32" t="str">
        <f t="shared" si="3343"/>
        <v/>
      </c>
      <c r="CD133" s="32" t="str">
        <f t="shared" si="3343"/>
        <v/>
      </c>
      <c r="CE133" s="32" t="str">
        <f t="shared" si="3343"/>
        <v/>
      </c>
      <c r="CF133" s="32" t="str">
        <f t="shared" si="3343"/>
        <v/>
      </c>
      <c r="CG133" s="32" t="str">
        <f t="shared" ref="CG133" si="3344">IF(SUBTOTAL(9,CG135:CG139,CG141:CG145,CG147:CG151,CG153:CG157,CG159:CG163)&gt;0,SUBTOTAL(9,CG135:CG139,CG141:CG145,CG147:CG151,CG153:CG157,CG159:CG163),"")</f>
        <v/>
      </c>
      <c r="CH133" s="32" t="str">
        <f t="shared" si="3343"/>
        <v/>
      </c>
      <c r="CI133" s="32" t="str">
        <f t="shared" si="3343"/>
        <v/>
      </c>
      <c r="CJ133" s="32" t="str">
        <f t="shared" si="3343"/>
        <v/>
      </c>
      <c r="CK133" s="32" t="str">
        <f t="shared" si="3343"/>
        <v/>
      </c>
      <c r="CL133" s="32" t="str">
        <f t="shared" si="3343"/>
        <v/>
      </c>
      <c r="CM133" s="32" t="str">
        <f t="shared" si="3343"/>
        <v/>
      </c>
      <c r="CN133" s="32" t="str">
        <f t="shared" si="3343"/>
        <v/>
      </c>
      <c r="CO133" s="32" t="str">
        <f t="shared" si="3343"/>
        <v/>
      </c>
      <c r="CP133" s="32" t="str">
        <f t="shared" si="3343"/>
        <v/>
      </c>
      <c r="CQ133" s="32" t="str">
        <f t="shared" si="3343"/>
        <v/>
      </c>
      <c r="CR133" s="32" t="str">
        <f t="shared" si="3343"/>
        <v/>
      </c>
      <c r="CS133" s="32" t="str">
        <f t="shared" si="3343"/>
        <v/>
      </c>
      <c r="CT133" s="33" t="str">
        <f t="shared" si="3343"/>
        <v/>
      </c>
      <c r="CU133" s="32" t="str">
        <f t="shared" si="3343"/>
        <v/>
      </c>
      <c r="CV133" s="32" t="str">
        <f t="shared" si="3343"/>
        <v/>
      </c>
      <c r="CW133" s="32" t="str">
        <f t="shared" si="3343"/>
        <v/>
      </c>
      <c r="CX133" s="32" t="str">
        <f t="shared" si="3343"/>
        <v/>
      </c>
      <c r="CY133" s="32" t="str">
        <f t="shared" ref="CY133:FJ133" si="3345">IF(SUBTOTAL(9,CY135:CY139,CY141:CY145,CY147:CY151,CY153:CY157,CY159:CY163)&gt;0,SUBTOTAL(9,CY135:CY139,CY141:CY145,CY147:CY151,CY153:CY157,CY159:CY163),"")</f>
        <v/>
      </c>
      <c r="CZ133" s="33" t="str">
        <f t="shared" si="3345"/>
        <v/>
      </c>
      <c r="DA133" s="33" t="str">
        <f t="shared" si="3345"/>
        <v/>
      </c>
      <c r="DB133" s="32" t="str">
        <f t="shared" si="3345"/>
        <v/>
      </c>
      <c r="DC133" s="32" t="str">
        <f t="shared" si="3345"/>
        <v/>
      </c>
      <c r="DD133" s="32" t="str">
        <f t="shared" si="3345"/>
        <v/>
      </c>
      <c r="DE133" s="32" t="str">
        <f t="shared" si="3345"/>
        <v/>
      </c>
      <c r="DF133" s="32" t="str">
        <f t="shared" si="3345"/>
        <v/>
      </c>
      <c r="DG133" s="32" t="str">
        <f t="shared" si="3345"/>
        <v/>
      </c>
      <c r="DH133" s="32" t="str">
        <f t="shared" si="3345"/>
        <v/>
      </c>
      <c r="DI133" s="32" t="str">
        <f t="shared" si="3345"/>
        <v/>
      </c>
      <c r="DJ133" s="32" t="str">
        <f t="shared" si="3345"/>
        <v/>
      </c>
      <c r="DK133" s="32" t="str">
        <f t="shared" si="3345"/>
        <v/>
      </c>
      <c r="DL133" s="32" t="str">
        <f t="shared" si="3345"/>
        <v/>
      </c>
      <c r="DM133" s="32" t="str">
        <f t="shared" si="3345"/>
        <v/>
      </c>
      <c r="DN133" s="32" t="str">
        <f t="shared" si="3345"/>
        <v/>
      </c>
      <c r="DO133" s="32" t="str">
        <f t="shared" si="3345"/>
        <v/>
      </c>
      <c r="DP133" s="32" t="str">
        <f t="shared" si="3345"/>
        <v/>
      </c>
      <c r="DQ133" s="32" t="str">
        <f t="shared" si="3345"/>
        <v/>
      </c>
      <c r="DR133" s="32" t="str">
        <f t="shared" si="3345"/>
        <v/>
      </c>
      <c r="DS133" s="32" t="str">
        <f t="shared" si="3345"/>
        <v/>
      </c>
      <c r="DT133" s="32" t="str">
        <f t="shared" si="3345"/>
        <v/>
      </c>
      <c r="DU133" s="32" t="str">
        <f t="shared" si="3345"/>
        <v/>
      </c>
      <c r="DV133" s="32" t="str">
        <f t="shared" si="3345"/>
        <v/>
      </c>
      <c r="DW133" s="32" t="str">
        <f t="shared" si="3345"/>
        <v/>
      </c>
      <c r="DX133" s="32" t="str">
        <f t="shared" si="3345"/>
        <v/>
      </c>
      <c r="DY133" s="32" t="str">
        <f t="shared" si="3345"/>
        <v/>
      </c>
      <c r="DZ133" s="33" t="str">
        <f t="shared" si="3345"/>
        <v/>
      </c>
      <c r="EA133" s="32" t="str">
        <f t="shared" si="3345"/>
        <v/>
      </c>
      <c r="EB133" s="32" t="str">
        <f t="shared" si="3345"/>
        <v/>
      </c>
      <c r="EC133" s="32" t="str">
        <f t="shared" si="3345"/>
        <v/>
      </c>
      <c r="ED133" s="32" t="str">
        <f t="shared" si="3345"/>
        <v/>
      </c>
      <c r="EE133" s="32" t="str">
        <f t="shared" si="3345"/>
        <v/>
      </c>
      <c r="EF133" s="32" t="str">
        <f t="shared" si="3345"/>
        <v/>
      </c>
      <c r="EG133" s="32" t="str">
        <f t="shared" si="3345"/>
        <v/>
      </c>
      <c r="EH133" s="32" t="str">
        <f t="shared" si="3345"/>
        <v/>
      </c>
      <c r="EI133" s="32" t="str">
        <f t="shared" si="3345"/>
        <v/>
      </c>
      <c r="EJ133" s="32" t="str">
        <f t="shared" si="3345"/>
        <v/>
      </c>
      <c r="EK133" s="32" t="str">
        <f t="shared" si="3345"/>
        <v/>
      </c>
      <c r="EL133" s="32" t="str">
        <f t="shared" si="3345"/>
        <v/>
      </c>
      <c r="EM133" s="32" t="str">
        <f t="shared" si="3345"/>
        <v/>
      </c>
      <c r="EN133" s="32" t="str">
        <f t="shared" si="3345"/>
        <v/>
      </c>
      <c r="EO133" s="32" t="str">
        <f t="shared" si="3345"/>
        <v/>
      </c>
      <c r="EP133" s="32" t="str">
        <f t="shared" si="3345"/>
        <v/>
      </c>
      <c r="EQ133" s="32" t="str">
        <f t="shared" si="3345"/>
        <v/>
      </c>
      <c r="ER133" s="32" t="str">
        <f t="shared" si="3345"/>
        <v/>
      </c>
      <c r="ES133" s="32" t="str">
        <f t="shared" si="3345"/>
        <v/>
      </c>
      <c r="ET133" s="32" t="str">
        <f t="shared" si="3345"/>
        <v/>
      </c>
      <c r="EU133" s="32" t="str">
        <f t="shared" si="3345"/>
        <v/>
      </c>
      <c r="EV133" s="32" t="str">
        <f t="shared" si="3345"/>
        <v/>
      </c>
      <c r="EW133" s="32" t="str">
        <f t="shared" si="3345"/>
        <v/>
      </c>
      <c r="EX133" s="32" t="str">
        <f t="shared" si="3345"/>
        <v/>
      </c>
      <c r="EY133" s="33" t="str">
        <f t="shared" si="3345"/>
        <v/>
      </c>
      <c r="EZ133" s="32" t="str">
        <f t="shared" si="3345"/>
        <v/>
      </c>
      <c r="FA133" s="32" t="str">
        <f t="shared" si="3345"/>
        <v/>
      </c>
      <c r="FB133" s="32" t="str">
        <f t="shared" si="3345"/>
        <v/>
      </c>
      <c r="FC133" s="32" t="str">
        <f t="shared" si="3345"/>
        <v/>
      </c>
      <c r="FD133" s="32" t="str">
        <f t="shared" si="3345"/>
        <v/>
      </c>
      <c r="FE133" s="32" t="str">
        <f t="shared" si="3345"/>
        <v/>
      </c>
      <c r="FF133" s="32" t="str">
        <f t="shared" si="3345"/>
        <v/>
      </c>
      <c r="FG133" s="32" t="str">
        <f t="shared" si="3345"/>
        <v/>
      </c>
      <c r="FH133" s="32" t="str">
        <f t="shared" si="3345"/>
        <v/>
      </c>
      <c r="FI133" s="32" t="str">
        <f t="shared" si="3345"/>
        <v/>
      </c>
      <c r="FJ133" s="32" t="str">
        <f t="shared" si="3345"/>
        <v/>
      </c>
      <c r="FK133" s="32" t="str">
        <f t="shared" ref="FK133:FQ133" si="3346">IF(SUBTOTAL(9,FK135:FK139,FK141:FK145,FK147:FK151,FK153:FK157,FK159:FK163)&gt;0,SUBTOTAL(9,FK135:FK139,FK141:FK145,FK147:FK151,FK153:FK157,FK159:FK163),"")</f>
        <v/>
      </c>
      <c r="FL133" s="32" t="str">
        <f t="shared" si="3346"/>
        <v/>
      </c>
      <c r="FM133" s="32" t="str">
        <f t="shared" si="3346"/>
        <v/>
      </c>
      <c r="FN133" s="32" t="str">
        <f t="shared" si="3346"/>
        <v/>
      </c>
      <c r="FO133" s="32" t="str">
        <f t="shared" si="3346"/>
        <v/>
      </c>
      <c r="FP133" s="32" t="str">
        <f t="shared" si="3346"/>
        <v/>
      </c>
      <c r="FQ133" s="90" t="str">
        <f t="shared" si="3346"/>
        <v/>
      </c>
      <c r="FR133" s="8"/>
      <c r="FS133" s="9" t="s">
        <v>131</v>
      </c>
      <c r="FT133" s="9" t="str">
        <f t="shared" si="1838"/>
        <v/>
      </c>
    </row>
    <row r="134" spans="1:176" s="9" customFormat="1" ht="12" customHeight="1">
      <c r="A134" s="119" t="s">
        <v>71</v>
      </c>
      <c r="B134" s="127"/>
      <c r="C134" s="121" t="str">
        <f t="shared" si="1837"/>
        <v>22 days</v>
      </c>
      <c r="D134" s="27"/>
      <c r="E134" s="91" t="str">
        <f t="shared" ref="E134" si="3347">IF(SUBTOTAL(9,E135:E139)&gt;0,SUBTOTAL(9,E135:E139),"")</f>
        <v/>
      </c>
      <c r="F134" s="34" t="str">
        <f t="shared" ref="F134" si="3348">IF(SUBTOTAL(9,F135:F139)&gt;0,SUBTOTAL(9,F135:F139),"")</f>
        <v/>
      </c>
      <c r="G134" s="34" t="str">
        <f t="shared" ref="G134" si="3349">IF(SUBTOTAL(9,G135:G139)&gt;0,SUBTOTAL(9,G135:G139),"")</f>
        <v/>
      </c>
      <c r="H134" s="34" t="str">
        <f t="shared" ref="H134" si="3350">IF(SUBTOTAL(9,H135:H139)&gt;0,SUBTOTAL(9,H135:H139),"")</f>
        <v/>
      </c>
      <c r="I134" s="34" t="str">
        <f t="shared" ref="I134" si="3351">IF(SUBTOTAL(9,I135:I139)&gt;0,SUBTOTAL(9,I135:I139),"")</f>
        <v/>
      </c>
      <c r="J134" s="34" t="str">
        <f t="shared" ref="J134" si="3352">IF(SUBTOTAL(9,J135:J139)&gt;0,SUBTOTAL(9,J135:J139),"")</f>
        <v/>
      </c>
      <c r="K134" s="34" t="str">
        <f t="shared" ref="K134" si="3353">IF(SUBTOTAL(9,K135:K139)&gt;0,SUBTOTAL(9,K135:K139),"")</f>
        <v/>
      </c>
      <c r="L134" s="34" t="str">
        <f t="shared" ref="L134" si="3354">IF(SUBTOTAL(9,L135:L139)&gt;0,SUBTOTAL(9,L135:L139),"")</f>
        <v/>
      </c>
      <c r="M134" s="34" t="str">
        <f t="shared" ref="M134" si="3355">IF(SUBTOTAL(9,M135:M139)&gt;0,SUBTOTAL(9,M135:M139),"")</f>
        <v/>
      </c>
      <c r="N134" s="34" t="str">
        <f t="shared" ref="N134" si="3356">IF(SUBTOTAL(9,N135:N139)&gt;0,SUBTOTAL(9,N135:N139),"")</f>
        <v/>
      </c>
      <c r="O134" s="34" t="str">
        <f t="shared" ref="O134" si="3357">IF(SUBTOTAL(9,O135:O139)&gt;0,SUBTOTAL(9,O135:O139),"")</f>
        <v/>
      </c>
      <c r="P134" s="34">
        <f t="shared" ref="P134" si="3358">IF(SUBTOTAL(9,P135:P139)&gt;0,SUBTOTAL(9,P135:P139),"")</f>
        <v>1</v>
      </c>
      <c r="Q134" s="34">
        <f t="shared" ref="Q134" si="3359">IF(SUBTOTAL(9,Q135:Q139)&gt;0,SUBTOTAL(9,Q135:Q139),"")</f>
        <v>1</v>
      </c>
      <c r="R134" s="34">
        <f t="shared" ref="R134" si="3360">IF(SUBTOTAL(9,R135:R139)&gt;0,SUBTOTAL(9,R135:R139),"")</f>
        <v>1</v>
      </c>
      <c r="S134" s="34">
        <f t="shared" ref="S134" si="3361">IF(SUBTOTAL(9,S135:S139)&gt;0,SUBTOTAL(9,S135:S139),"")</f>
        <v>1</v>
      </c>
      <c r="T134" s="34">
        <f t="shared" ref="T134" si="3362">IF(SUBTOTAL(9,T135:T139)&gt;0,SUBTOTAL(9,T135:T139),"")</f>
        <v>1</v>
      </c>
      <c r="U134" s="34">
        <f t="shared" ref="U134" si="3363">IF(SUBTOTAL(9,U135:U139)&gt;0,SUBTOTAL(9,U135:U139),"")</f>
        <v>1</v>
      </c>
      <c r="V134" s="34">
        <f t="shared" ref="V134" si="3364">IF(SUBTOTAL(9,V135:V139)&gt;0,SUBTOTAL(9,V135:V139),"")</f>
        <v>1</v>
      </c>
      <c r="W134" s="34">
        <f t="shared" ref="W134" si="3365">IF(SUBTOTAL(9,W135:W139)&gt;0,SUBTOTAL(9,W135:W139),"")</f>
        <v>1</v>
      </c>
      <c r="X134" s="34">
        <f t="shared" ref="X134" si="3366">IF(SUBTOTAL(9,X135:X139)&gt;0,SUBTOTAL(9,X135:X139),"")</f>
        <v>1</v>
      </c>
      <c r="Y134" s="34">
        <f t="shared" ref="Y134" si="3367">IF(SUBTOTAL(9,Y135:Y139)&gt;0,SUBTOTAL(9,Y135:Y139),"")</f>
        <v>1</v>
      </c>
      <c r="Z134" s="34">
        <f t="shared" ref="Z134" si="3368">IF(SUBTOTAL(9,Z135:Z139)&gt;0,SUBTOTAL(9,Z135:Z139),"")</f>
        <v>1</v>
      </c>
      <c r="AA134" s="34">
        <f t="shared" ref="AA134" si="3369">IF(SUBTOTAL(9,AA135:AA139)&gt;0,SUBTOTAL(9,AA135:AA139),"")</f>
        <v>1</v>
      </c>
      <c r="AB134" s="34">
        <f t="shared" ref="AB134" si="3370">IF(SUBTOTAL(9,AB135:AB139)&gt;0,SUBTOTAL(9,AB135:AB139),"")</f>
        <v>1</v>
      </c>
      <c r="AC134" s="34">
        <f t="shared" ref="AC134" si="3371">IF(SUBTOTAL(9,AC135:AC139)&gt;0,SUBTOTAL(9,AC135:AC139),"")</f>
        <v>1</v>
      </c>
      <c r="AD134" s="34">
        <f t="shared" ref="AD134" si="3372">IF(SUBTOTAL(9,AD135:AD139)&gt;0,SUBTOTAL(9,AD135:AD139),"")</f>
        <v>1</v>
      </c>
      <c r="AE134" s="34">
        <f t="shared" ref="AE134" si="3373">IF(SUBTOTAL(9,AE135:AE139)&gt;0,SUBTOTAL(9,AE135:AE139),"")</f>
        <v>1</v>
      </c>
      <c r="AF134" s="34">
        <f t="shared" ref="AF134" si="3374">IF(SUBTOTAL(9,AF135:AF139)&gt;0,SUBTOTAL(9,AF135:AF139),"")</f>
        <v>1</v>
      </c>
      <c r="AG134" s="34">
        <f t="shared" ref="AG134" si="3375">IF(SUBTOTAL(9,AG135:AG139)&gt;0,SUBTOTAL(9,AG135:AG139),"")</f>
        <v>1</v>
      </c>
      <c r="AH134" s="34">
        <f t="shared" ref="AH134" si="3376">IF(SUBTOTAL(9,AH135:AH139)&gt;0,SUBTOTAL(9,AH135:AH139),"")</f>
        <v>1</v>
      </c>
      <c r="AI134" s="34">
        <f t="shared" ref="AI134" si="3377">IF(SUBTOTAL(9,AI135:AI139)&gt;0,SUBTOTAL(9,AI135:AI139),"")</f>
        <v>1</v>
      </c>
      <c r="AJ134" s="34">
        <f t="shared" ref="AJ134" si="3378">IF(SUBTOTAL(9,AJ135:AJ139)&gt;0,SUBTOTAL(9,AJ135:AJ139),"")</f>
        <v>1</v>
      </c>
      <c r="AK134" s="34">
        <f t="shared" ref="AK134" si="3379">IF(SUBTOTAL(9,AK135:AK139)&gt;0,SUBTOTAL(9,AK135:AK139),"")</f>
        <v>1</v>
      </c>
      <c r="AL134" s="33" t="str">
        <f t="shared" ref="AL134" si="3380">IF(SUBTOTAL(9,AL135:AL139)&gt;0,SUBTOTAL(9,AL135:AL139),"")</f>
        <v/>
      </c>
      <c r="AM134" s="33" t="str">
        <f t="shared" ref="AM134" si="3381">IF(SUBTOTAL(9,AM135:AM139)&gt;0,SUBTOTAL(9,AM135:AM139),"")</f>
        <v/>
      </c>
      <c r="AN134" s="33" t="str">
        <f t="shared" ref="AN134" si="3382">IF(SUBTOTAL(9,AN135:AN139)&gt;0,SUBTOTAL(9,AN135:AN139),"")</f>
        <v/>
      </c>
      <c r="AO134" s="33" t="str">
        <f t="shared" ref="AO134" si="3383">IF(SUBTOTAL(9,AO135:AO139)&gt;0,SUBTOTAL(9,AO135:AO139),"")</f>
        <v/>
      </c>
      <c r="AP134" s="33" t="str">
        <f t="shared" ref="AP134" si="3384">IF(SUBTOTAL(9,AP135:AP139)&gt;0,SUBTOTAL(9,AP135:AP139),"")</f>
        <v/>
      </c>
      <c r="AQ134" s="33" t="str">
        <f t="shared" ref="AQ134" si="3385">IF(SUBTOTAL(9,AQ135:AQ139)&gt;0,SUBTOTAL(9,AQ135:AQ139),"")</f>
        <v/>
      </c>
      <c r="AR134" s="33" t="str">
        <f t="shared" ref="AR134" si="3386">IF(SUBTOTAL(9,AR135:AR139)&gt;0,SUBTOTAL(9,AR135:AR139),"")</f>
        <v/>
      </c>
      <c r="AS134" s="34" t="str">
        <f t="shared" ref="AS134" si="3387">IF(SUBTOTAL(9,AS135:AS139)&gt;0,SUBTOTAL(9,AS135:AS139),"")</f>
        <v/>
      </c>
      <c r="AT134" s="34" t="str">
        <f t="shared" ref="AT134" si="3388">IF(SUBTOTAL(9,AT135:AT139)&gt;0,SUBTOTAL(9,AT135:AT139),"")</f>
        <v/>
      </c>
      <c r="AU134" s="34" t="str">
        <f t="shared" ref="AU134" si="3389">IF(SUBTOTAL(9,AU135:AU139)&gt;0,SUBTOTAL(9,AU135:AU139),"")</f>
        <v/>
      </c>
      <c r="AV134" s="34" t="str">
        <f t="shared" ref="AV134" si="3390">IF(SUBTOTAL(9,AV135:AV139)&gt;0,SUBTOTAL(9,AV135:AV139),"")</f>
        <v/>
      </c>
      <c r="AW134" s="34" t="str">
        <f t="shared" ref="AW134" si="3391">IF(SUBTOTAL(9,AW135:AW139)&gt;0,SUBTOTAL(9,AW135:AW139),"")</f>
        <v/>
      </c>
      <c r="AX134" s="34" t="str">
        <f t="shared" ref="AX134" si="3392">IF(SUBTOTAL(9,AX135:AX139)&gt;0,SUBTOTAL(9,AX135:AX139),"")</f>
        <v/>
      </c>
      <c r="AY134" s="34" t="str">
        <f t="shared" ref="AY134" si="3393">IF(SUBTOTAL(9,AY135:AY139)&gt;0,SUBTOTAL(9,AY135:AY139),"")</f>
        <v/>
      </c>
      <c r="AZ134" s="34" t="str">
        <f t="shared" ref="AZ134" si="3394">IF(SUBTOTAL(9,AZ135:AZ139)&gt;0,SUBTOTAL(9,AZ135:AZ139),"")</f>
        <v/>
      </c>
      <c r="BA134" s="34" t="str">
        <f t="shared" ref="BA134" si="3395">IF(SUBTOTAL(9,BA135:BA139)&gt;0,SUBTOTAL(9,BA135:BA139),"")</f>
        <v/>
      </c>
      <c r="BB134" s="34" t="str">
        <f t="shared" ref="BB134" si="3396">IF(SUBTOTAL(9,BB135:BB139)&gt;0,SUBTOTAL(9,BB135:BB139),"")</f>
        <v/>
      </c>
      <c r="BC134" s="34" t="str">
        <f t="shared" ref="BC134" si="3397">IF(SUBTOTAL(9,BC135:BC139)&gt;0,SUBTOTAL(9,BC135:BC139),"")</f>
        <v/>
      </c>
      <c r="BD134" s="34" t="str">
        <f t="shared" ref="BD134" si="3398">IF(SUBTOTAL(9,BD135:BD139)&gt;0,SUBTOTAL(9,BD135:BD139),"")</f>
        <v/>
      </c>
      <c r="BE134" s="34" t="str">
        <f t="shared" ref="BE134" si="3399">IF(SUBTOTAL(9,BE135:BE139)&gt;0,SUBTOTAL(9,BE135:BE139),"")</f>
        <v/>
      </c>
      <c r="BF134" s="34" t="str">
        <f t="shared" ref="BF134" si="3400">IF(SUBTOTAL(9,BF135:BF139)&gt;0,SUBTOTAL(9,BF135:BF139),"")</f>
        <v/>
      </c>
      <c r="BG134" s="34" t="str">
        <f t="shared" ref="BG134" si="3401">IF(SUBTOTAL(9,BG135:BG139)&gt;0,SUBTOTAL(9,BG135:BG139),"")</f>
        <v/>
      </c>
      <c r="BH134" s="34" t="str">
        <f t="shared" ref="BH134" si="3402">IF(SUBTOTAL(9,BH135:BH139)&gt;0,SUBTOTAL(9,BH135:BH139),"")</f>
        <v/>
      </c>
      <c r="BI134" s="34" t="str">
        <f t="shared" ref="BI134" si="3403">IF(SUBTOTAL(9,BI135:BI139)&gt;0,SUBTOTAL(9,BI135:BI139),"")</f>
        <v/>
      </c>
      <c r="BJ134" s="34" t="str">
        <f t="shared" ref="BJ134" si="3404">IF(SUBTOTAL(9,BJ135:BJ139)&gt;0,SUBTOTAL(9,BJ135:BJ139),"")</f>
        <v/>
      </c>
      <c r="BK134" s="34" t="str">
        <f t="shared" ref="BK134" si="3405">IF(SUBTOTAL(9,BK135:BK139)&gt;0,SUBTOTAL(9,BK135:BK139),"")</f>
        <v/>
      </c>
      <c r="BL134" s="34" t="str">
        <f t="shared" ref="BL134" si="3406">IF(SUBTOTAL(9,BL135:BL139)&gt;0,SUBTOTAL(9,BL135:BL139),"")</f>
        <v/>
      </c>
      <c r="BM134" s="34" t="str">
        <f t="shared" ref="BM134" si="3407">IF(SUBTOTAL(9,BM135:BM139)&gt;0,SUBTOTAL(9,BM135:BM139),"")</f>
        <v/>
      </c>
      <c r="BN134" s="34" t="str">
        <f t="shared" ref="BN134" si="3408">IF(SUBTOTAL(9,BN135:BN139)&gt;0,SUBTOTAL(9,BN135:BN139),"")</f>
        <v/>
      </c>
      <c r="BO134" s="34" t="str">
        <f t="shared" ref="BO134" si="3409">IF(SUBTOTAL(9,BO135:BO139)&gt;0,SUBTOTAL(9,BO135:BO139),"")</f>
        <v/>
      </c>
      <c r="BP134" s="34" t="str">
        <f t="shared" ref="BP134" si="3410">IF(SUBTOTAL(9,BP135:BP139)&gt;0,SUBTOTAL(9,BP135:BP139),"")</f>
        <v/>
      </c>
      <c r="BQ134" s="34" t="str">
        <f t="shared" ref="BQ134" si="3411">IF(SUBTOTAL(9,BQ135:BQ139)&gt;0,SUBTOTAL(9,BQ135:BQ139),"")</f>
        <v/>
      </c>
      <c r="BR134" s="34" t="str">
        <f t="shared" ref="BR134" si="3412">IF(SUBTOTAL(9,BR135:BR139)&gt;0,SUBTOTAL(9,BR135:BR139),"")</f>
        <v/>
      </c>
      <c r="BS134" s="34" t="str">
        <f t="shared" ref="BS134" si="3413">IF(SUBTOTAL(9,BS135:BS139)&gt;0,SUBTOTAL(9,BS135:BS139),"")</f>
        <v/>
      </c>
      <c r="BT134" s="34" t="str">
        <f t="shared" ref="BT134" si="3414">IF(SUBTOTAL(9,BT135:BT139)&gt;0,SUBTOTAL(9,BT135:BT139),"")</f>
        <v/>
      </c>
      <c r="BU134" s="34" t="str">
        <f t="shared" ref="BU134" si="3415">IF(SUBTOTAL(9,BU135:BU139)&gt;0,SUBTOTAL(9,BU135:BU139),"")</f>
        <v/>
      </c>
      <c r="BV134" s="34" t="str">
        <f t="shared" ref="BV134" si="3416">IF(SUBTOTAL(9,BV135:BV139)&gt;0,SUBTOTAL(9,BV135:BV139),"")</f>
        <v/>
      </c>
      <c r="BW134" s="34" t="str">
        <f t="shared" ref="BW134" si="3417">IF(SUBTOTAL(9,BW135:BW139)&gt;0,SUBTOTAL(9,BW135:BW139),"")</f>
        <v/>
      </c>
      <c r="BX134" s="34" t="str">
        <f t="shared" ref="BX134" si="3418">IF(SUBTOTAL(9,BX135:BX139)&gt;0,SUBTOTAL(9,BX135:BX139),"")</f>
        <v/>
      </c>
      <c r="BY134" s="34" t="str">
        <f t="shared" ref="BY134" si="3419">IF(SUBTOTAL(9,BY135:BY139)&gt;0,SUBTOTAL(9,BY135:BY139),"")</f>
        <v/>
      </c>
      <c r="BZ134" s="34" t="str">
        <f t="shared" ref="BZ134" si="3420">IF(SUBTOTAL(9,BZ135:BZ139)&gt;0,SUBTOTAL(9,BZ135:BZ139),"")</f>
        <v/>
      </c>
      <c r="CA134" s="34" t="str">
        <f t="shared" ref="CA134" si="3421">IF(SUBTOTAL(9,CA135:CA139)&gt;0,SUBTOTAL(9,CA135:CA139),"")</f>
        <v/>
      </c>
      <c r="CB134" s="34" t="str">
        <f t="shared" ref="CB134" si="3422">IF(SUBTOTAL(9,CB135:CB139)&gt;0,SUBTOTAL(9,CB135:CB139),"")</f>
        <v/>
      </c>
      <c r="CC134" s="34" t="str">
        <f t="shared" ref="CC134" si="3423">IF(SUBTOTAL(9,CC135:CC139)&gt;0,SUBTOTAL(9,CC135:CC139),"")</f>
        <v/>
      </c>
      <c r="CD134" s="34" t="str">
        <f t="shared" ref="CD134" si="3424">IF(SUBTOTAL(9,CD135:CD139)&gt;0,SUBTOTAL(9,CD135:CD139),"")</f>
        <v/>
      </c>
      <c r="CE134" s="34" t="str">
        <f t="shared" ref="CE134" si="3425">IF(SUBTOTAL(9,CE135:CE139)&gt;0,SUBTOTAL(9,CE135:CE139),"")</f>
        <v/>
      </c>
      <c r="CF134" s="34" t="str">
        <f t="shared" ref="CF134:CG134" si="3426">IF(SUBTOTAL(9,CF135:CF139)&gt;0,SUBTOTAL(9,CF135:CF139),"")</f>
        <v/>
      </c>
      <c r="CG134" s="34" t="str">
        <f t="shared" si="3426"/>
        <v/>
      </c>
      <c r="CH134" s="34" t="str">
        <f t="shared" ref="CH134" si="3427">IF(SUBTOTAL(9,CH135:CH139)&gt;0,SUBTOTAL(9,CH135:CH139),"")</f>
        <v/>
      </c>
      <c r="CI134" s="34" t="str">
        <f t="shared" ref="CI134" si="3428">IF(SUBTOTAL(9,CI135:CI139)&gt;0,SUBTOTAL(9,CI135:CI139),"")</f>
        <v/>
      </c>
      <c r="CJ134" s="34" t="str">
        <f t="shared" ref="CJ134" si="3429">IF(SUBTOTAL(9,CJ135:CJ139)&gt;0,SUBTOTAL(9,CJ135:CJ139),"")</f>
        <v/>
      </c>
      <c r="CK134" s="34" t="str">
        <f t="shared" ref="CK134" si="3430">IF(SUBTOTAL(9,CK135:CK139)&gt;0,SUBTOTAL(9,CK135:CK139),"")</f>
        <v/>
      </c>
      <c r="CL134" s="34" t="str">
        <f t="shared" ref="CL134" si="3431">IF(SUBTOTAL(9,CL135:CL139)&gt;0,SUBTOTAL(9,CL135:CL139),"")</f>
        <v/>
      </c>
      <c r="CM134" s="34" t="str">
        <f t="shared" ref="CM134" si="3432">IF(SUBTOTAL(9,CM135:CM139)&gt;0,SUBTOTAL(9,CM135:CM139),"")</f>
        <v/>
      </c>
      <c r="CN134" s="34" t="str">
        <f t="shared" ref="CN134" si="3433">IF(SUBTOTAL(9,CN135:CN139)&gt;0,SUBTOTAL(9,CN135:CN139),"")</f>
        <v/>
      </c>
      <c r="CO134" s="34" t="str">
        <f t="shared" ref="CO134" si="3434">IF(SUBTOTAL(9,CO135:CO139)&gt;0,SUBTOTAL(9,CO135:CO139),"")</f>
        <v/>
      </c>
      <c r="CP134" s="34" t="str">
        <f t="shared" ref="CP134" si="3435">IF(SUBTOTAL(9,CP135:CP139)&gt;0,SUBTOTAL(9,CP135:CP139),"")</f>
        <v/>
      </c>
      <c r="CQ134" s="34" t="str">
        <f t="shared" ref="CQ134" si="3436">IF(SUBTOTAL(9,CQ135:CQ139)&gt;0,SUBTOTAL(9,CQ135:CQ139),"")</f>
        <v/>
      </c>
      <c r="CR134" s="34" t="str">
        <f t="shared" ref="CR134" si="3437">IF(SUBTOTAL(9,CR135:CR139)&gt;0,SUBTOTAL(9,CR135:CR139),"")</f>
        <v/>
      </c>
      <c r="CS134" s="34" t="str">
        <f t="shared" ref="CS134" si="3438">IF(SUBTOTAL(9,CS135:CS139)&gt;0,SUBTOTAL(9,CS135:CS139),"")</f>
        <v/>
      </c>
      <c r="CT134" s="33" t="str">
        <f t="shared" ref="CT134" si="3439">IF(SUBTOTAL(9,CT135:CT139)&gt;0,SUBTOTAL(9,CT135:CT139),"")</f>
        <v/>
      </c>
      <c r="CU134" s="34" t="str">
        <f t="shared" ref="CU134" si="3440">IF(SUBTOTAL(9,CU135:CU139)&gt;0,SUBTOTAL(9,CU135:CU139),"")</f>
        <v/>
      </c>
      <c r="CV134" s="34" t="str">
        <f t="shared" ref="CV134" si="3441">IF(SUBTOTAL(9,CV135:CV139)&gt;0,SUBTOTAL(9,CV135:CV139),"")</f>
        <v/>
      </c>
      <c r="CW134" s="34" t="str">
        <f t="shared" ref="CW134" si="3442">IF(SUBTOTAL(9,CW135:CW139)&gt;0,SUBTOTAL(9,CW135:CW139),"")</f>
        <v/>
      </c>
      <c r="CX134" s="34" t="str">
        <f t="shared" ref="CX134" si="3443">IF(SUBTOTAL(9,CX135:CX139)&gt;0,SUBTOTAL(9,CX135:CX139),"")</f>
        <v/>
      </c>
      <c r="CY134" s="34" t="str">
        <f t="shared" ref="CY134" si="3444">IF(SUBTOTAL(9,CY135:CY139)&gt;0,SUBTOTAL(9,CY135:CY139),"")</f>
        <v/>
      </c>
      <c r="CZ134" s="33" t="str">
        <f t="shared" ref="CZ134" si="3445">IF(SUBTOTAL(9,CZ135:CZ139)&gt;0,SUBTOTAL(9,CZ135:CZ139),"")</f>
        <v/>
      </c>
      <c r="DA134" s="33" t="str">
        <f t="shared" ref="DA134" si="3446">IF(SUBTOTAL(9,DA135:DA139)&gt;0,SUBTOTAL(9,DA135:DA139),"")</f>
        <v/>
      </c>
      <c r="DB134" s="34" t="str">
        <f t="shared" ref="DB134" si="3447">IF(SUBTOTAL(9,DB135:DB139)&gt;0,SUBTOTAL(9,DB135:DB139),"")</f>
        <v/>
      </c>
      <c r="DC134" s="34" t="str">
        <f t="shared" ref="DC134" si="3448">IF(SUBTOTAL(9,DC135:DC139)&gt;0,SUBTOTAL(9,DC135:DC139),"")</f>
        <v/>
      </c>
      <c r="DD134" s="34" t="str">
        <f t="shared" ref="DD134" si="3449">IF(SUBTOTAL(9,DD135:DD139)&gt;0,SUBTOTAL(9,DD135:DD139),"")</f>
        <v/>
      </c>
      <c r="DE134" s="34" t="str">
        <f t="shared" ref="DE134" si="3450">IF(SUBTOTAL(9,DE135:DE139)&gt;0,SUBTOTAL(9,DE135:DE139),"")</f>
        <v/>
      </c>
      <c r="DF134" s="34" t="str">
        <f t="shared" ref="DF134" si="3451">IF(SUBTOTAL(9,DF135:DF139)&gt;0,SUBTOTAL(9,DF135:DF139),"")</f>
        <v/>
      </c>
      <c r="DG134" s="34" t="str">
        <f t="shared" ref="DG134" si="3452">IF(SUBTOTAL(9,DG135:DG139)&gt;0,SUBTOTAL(9,DG135:DG139),"")</f>
        <v/>
      </c>
      <c r="DH134" s="34" t="str">
        <f t="shared" ref="DH134" si="3453">IF(SUBTOTAL(9,DH135:DH139)&gt;0,SUBTOTAL(9,DH135:DH139),"")</f>
        <v/>
      </c>
      <c r="DI134" s="34" t="str">
        <f t="shared" ref="DI134" si="3454">IF(SUBTOTAL(9,DI135:DI139)&gt;0,SUBTOTAL(9,DI135:DI139),"")</f>
        <v/>
      </c>
      <c r="DJ134" s="34" t="str">
        <f t="shared" ref="DJ134" si="3455">IF(SUBTOTAL(9,DJ135:DJ139)&gt;0,SUBTOTAL(9,DJ135:DJ139),"")</f>
        <v/>
      </c>
      <c r="DK134" s="34" t="str">
        <f t="shared" ref="DK134" si="3456">IF(SUBTOTAL(9,DK135:DK139)&gt;0,SUBTOTAL(9,DK135:DK139),"")</f>
        <v/>
      </c>
      <c r="DL134" s="34" t="str">
        <f t="shared" ref="DL134" si="3457">IF(SUBTOTAL(9,DL135:DL139)&gt;0,SUBTOTAL(9,DL135:DL139),"")</f>
        <v/>
      </c>
      <c r="DM134" s="34" t="str">
        <f t="shared" ref="DM134" si="3458">IF(SUBTOTAL(9,DM135:DM139)&gt;0,SUBTOTAL(9,DM135:DM139),"")</f>
        <v/>
      </c>
      <c r="DN134" s="34" t="str">
        <f t="shared" ref="DN134" si="3459">IF(SUBTOTAL(9,DN135:DN139)&gt;0,SUBTOTAL(9,DN135:DN139),"")</f>
        <v/>
      </c>
      <c r="DO134" s="34" t="str">
        <f t="shared" ref="DO134" si="3460">IF(SUBTOTAL(9,DO135:DO139)&gt;0,SUBTOTAL(9,DO135:DO139),"")</f>
        <v/>
      </c>
      <c r="DP134" s="34" t="str">
        <f t="shared" ref="DP134" si="3461">IF(SUBTOTAL(9,DP135:DP139)&gt;0,SUBTOTAL(9,DP135:DP139),"")</f>
        <v/>
      </c>
      <c r="DQ134" s="34" t="str">
        <f t="shared" ref="DQ134" si="3462">IF(SUBTOTAL(9,DQ135:DQ139)&gt;0,SUBTOTAL(9,DQ135:DQ139),"")</f>
        <v/>
      </c>
      <c r="DR134" s="34" t="str">
        <f t="shared" ref="DR134" si="3463">IF(SUBTOTAL(9,DR135:DR139)&gt;0,SUBTOTAL(9,DR135:DR139),"")</f>
        <v/>
      </c>
      <c r="DS134" s="34" t="str">
        <f t="shared" ref="DS134" si="3464">IF(SUBTOTAL(9,DS135:DS139)&gt;0,SUBTOTAL(9,DS135:DS139),"")</f>
        <v/>
      </c>
      <c r="DT134" s="34" t="str">
        <f t="shared" ref="DT134" si="3465">IF(SUBTOTAL(9,DT135:DT139)&gt;0,SUBTOTAL(9,DT135:DT139),"")</f>
        <v/>
      </c>
      <c r="DU134" s="34" t="str">
        <f t="shared" ref="DU134" si="3466">IF(SUBTOTAL(9,DU135:DU139)&gt;0,SUBTOTAL(9,DU135:DU139),"")</f>
        <v/>
      </c>
      <c r="DV134" s="34" t="str">
        <f t="shared" ref="DV134" si="3467">IF(SUBTOTAL(9,DV135:DV139)&gt;0,SUBTOTAL(9,DV135:DV139),"")</f>
        <v/>
      </c>
      <c r="DW134" s="34" t="str">
        <f t="shared" ref="DW134" si="3468">IF(SUBTOTAL(9,DW135:DW139)&gt;0,SUBTOTAL(9,DW135:DW139),"")</f>
        <v/>
      </c>
      <c r="DX134" s="34" t="str">
        <f t="shared" ref="DX134" si="3469">IF(SUBTOTAL(9,DX135:DX139)&gt;0,SUBTOTAL(9,DX135:DX139),"")</f>
        <v/>
      </c>
      <c r="DY134" s="34" t="str">
        <f t="shared" ref="DY134" si="3470">IF(SUBTOTAL(9,DY135:DY139)&gt;0,SUBTOTAL(9,DY135:DY139),"")</f>
        <v/>
      </c>
      <c r="DZ134" s="33" t="str">
        <f t="shared" ref="DZ134" si="3471">IF(SUBTOTAL(9,DZ135:DZ139)&gt;0,SUBTOTAL(9,DZ135:DZ139),"")</f>
        <v/>
      </c>
      <c r="EA134" s="34" t="str">
        <f t="shared" ref="EA134" si="3472">IF(SUBTOTAL(9,EA135:EA139)&gt;0,SUBTOTAL(9,EA135:EA139),"")</f>
        <v/>
      </c>
      <c r="EB134" s="34" t="str">
        <f t="shared" ref="EB134" si="3473">IF(SUBTOTAL(9,EB135:EB139)&gt;0,SUBTOTAL(9,EB135:EB139),"")</f>
        <v/>
      </c>
      <c r="EC134" s="34" t="str">
        <f t="shared" ref="EC134" si="3474">IF(SUBTOTAL(9,EC135:EC139)&gt;0,SUBTOTAL(9,EC135:EC139),"")</f>
        <v/>
      </c>
      <c r="ED134" s="34" t="str">
        <f t="shared" ref="ED134" si="3475">IF(SUBTOTAL(9,ED135:ED139)&gt;0,SUBTOTAL(9,ED135:ED139),"")</f>
        <v/>
      </c>
      <c r="EE134" s="34" t="str">
        <f t="shared" ref="EE134" si="3476">IF(SUBTOTAL(9,EE135:EE139)&gt;0,SUBTOTAL(9,EE135:EE139),"")</f>
        <v/>
      </c>
      <c r="EF134" s="34" t="str">
        <f t="shared" ref="EF134" si="3477">IF(SUBTOTAL(9,EF135:EF139)&gt;0,SUBTOTAL(9,EF135:EF139),"")</f>
        <v/>
      </c>
      <c r="EG134" s="34" t="str">
        <f t="shared" ref="EG134" si="3478">IF(SUBTOTAL(9,EG135:EG139)&gt;0,SUBTOTAL(9,EG135:EG139),"")</f>
        <v/>
      </c>
      <c r="EH134" s="34" t="str">
        <f t="shared" ref="EH134" si="3479">IF(SUBTOTAL(9,EH135:EH139)&gt;0,SUBTOTAL(9,EH135:EH139),"")</f>
        <v/>
      </c>
      <c r="EI134" s="34" t="str">
        <f t="shared" ref="EI134" si="3480">IF(SUBTOTAL(9,EI135:EI139)&gt;0,SUBTOTAL(9,EI135:EI139),"")</f>
        <v/>
      </c>
      <c r="EJ134" s="34" t="str">
        <f t="shared" ref="EJ134" si="3481">IF(SUBTOTAL(9,EJ135:EJ139)&gt;0,SUBTOTAL(9,EJ135:EJ139),"")</f>
        <v/>
      </c>
      <c r="EK134" s="34" t="str">
        <f t="shared" ref="EK134" si="3482">IF(SUBTOTAL(9,EK135:EK139)&gt;0,SUBTOTAL(9,EK135:EK139),"")</f>
        <v/>
      </c>
      <c r="EL134" s="34" t="str">
        <f t="shared" ref="EL134" si="3483">IF(SUBTOTAL(9,EL135:EL139)&gt;0,SUBTOTAL(9,EL135:EL139),"")</f>
        <v/>
      </c>
      <c r="EM134" s="34" t="str">
        <f t="shared" ref="EM134" si="3484">IF(SUBTOTAL(9,EM135:EM139)&gt;0,SUBTOTAL(9,EM135:EM139),"")</f>
        <v/>
      </c>
      <c r="EN134" s="34" t="str">
        <f t="shared" ref="EN134" si="3485">IF(SUBTOTAL(9,EN135:EN139)&gt;0,SUBTOTAL(9,EN135:EN139),"")</f>
        <v/>
      </c>
      <c r="EO134" s="34" t="str">
        <f t="shared" ref="EO134" si="3486">IF(SUBTOTAL(9,EO135:EO139)&gt;0,SUBTOTAL(9,EO135:EO139),"")</f>
        <v/>
      </c>
      <c r="EP134" s="34" t="str">
        <f t="shared" ref="EP134" si="3487">IF(SUBTOTAL(9,EP135:EP139)&gt;0,SUBTOTAL(9,EP135:EP139),"")</f>
        <v/>
      </c>
      <c r="EQ134" s="34" t="str">
        <f t="shared" ref="EQ134" si="3488">IF(SUBTOTAL(9,EQ135:EQ139)&gt;0,SUBTOTAL(9,EQ135:EQ139),"")</f>
        <v/>
      </c>
      <c r="ER134" s="34" t="str">
        <f t="shared" ref="ER134" si="3489">IF(SUBTOTAL(9,ER135:ER139)&gt;0,SUBTOTAL(9,ER135:ER139),"")</f>
        <v/>
      </c>
      <c r="ES134" s="34" t="str">
        <f t="shared" ref="ES134" si="3490">IF(SUBTOTAL(9,ES135:ES139)&gt;0,SUBTOTAL(9,ES135:ES139),"")</f>
        <v/>
      </c>
      <c r="ET134" s="34" t="str">
        <f t="shared" ref="ET134" si="3491">IF(SUBTOTAL(9,ET135:ET139)&gt;0,SUBTOTAL(9,ET135:ET139),"")</f>
        <v/>
      </c>
      <c r="EU134" s="34" t="str">
        <f t="shared" ref="EU134" si="3492">IF(SUBTOTAL(9,EU135:EU139)&gt;0,SUBTOTAL(9,EU135:EU139),"")</f>
        <v/>
      </c>
      <c r="EV134" s="34" t="str">
        <f t="shared" ref="EV134" si="3493">IF(SUBTOTAL(9,EV135:EV139)&gt;0,SUBTOTAL(9,EV135:EV139),"")</f>
        <v/>
      </c>
      <c r="EW134" s="34" t="str">
        <f t="shared" ref="EW134" si="3494">IF(SUBTOTAL(9,EW135:EW139)&gt;0,SUBTOTAL(9,EW135:EW139),"")</f>
        <v/>
      </c>
      <c r="EX134" s="34" t="str">
        <f t="shared" ref="EX134" si="3495">IF(SUBTOTAL(9,EX135:EX139)&gt;0,SUBTOTAL(9,EX135:EX139),"")</f>
        <v/>
      </c>
      <c r="EY134" s="33" t="str">
        <f t="shared" ref="EY134" si="3496">IF(SUBTOTAL(9,EY135:EY139)&gt;0,SUBTOTAL(9,EY135:EY139),"")</f>
        <v/>
      </c>
      <c r="EZ134" s="34" t="str">
        <f t="shared" ref="EZ134" si="3497">IF(SUBTOTAL(9,EZ135:EZ139)&gt;0,SUBTOTAL(9,EZ135:EZ139),"")</f>
        <v/>
      </c>
      <c r="FA134" s="34" t="str">
        <f t="shared" ref="FA134" si="3498">IF(SUBTOTAL(9,FA135:FA139)&gt;0,SUBTOTAL(9,FA135:FA139),"")</f>
        <v/>
      </c>
      <c r="FB134" s="34" t="str">
        <f t="shared" ref="FB134" si="3499">IF(SUBTOTAL(9,FB135:FB139)&gt;0,SUBTOTAL(9,FB135:FB139),"")</f>
        <v/>
      </c>
      <c r="FC134" s="34" t="str">
        <f t="shared" ref="FC134" si="3500">IF(SUBTOTAL(9,FC135:FC139)&gt;0,SUBTOTAL(9,FC135:FC139),"")</f>
        <v/>
      </c>
      <c r="FD134" s="34" t="str">
        <f t="shared" ref="FD134" si="3501">IF(SUBTOTAL(9,FD135:FD139)&gt;0,SUBTOTAL(9,FD135:FD139),"")</f>
        <v/>
      </c>
      <c r="FE134" s="34" t="str">
        <f t="shared" ref="FE134" si="3502">IF(SUBTOTAL(9,FE135:FE139)&gt;0,SUBTOTAL(9,FE135:FE139),"")</f>
        <v/>
      </c>
      <c r="FF134" s="34" t="str">
        <f t="shared" ref="FF134" si="3503">IF(SUBTOTAL(9,FF135:FF139)&gt;0,SUBTOTAL(9,FF135:FF139),"")</f>
        <v/>
      </c>
      <c r="FG134" s="34" t="str">
        <f t="shared" ref="FG134" si="3504">IF(SUBTOTAL(9,FG135:FG139)&gt;0,SUBTOTAL(9,FG135:FG139),"")</f>
        <v/>
      </c>
      <c r="FH134" s="34" t="str">
        <f t="shared" ref="FH134" si="3505">IF(SUBTOTAL(9,FH135:FH139)&gt;0,SUBTOTAL(9,FH135:FH139),"")</f>
        <v/>
      </c>
      <c r="FI134" s="34" t="str">
        <f t="shared" ref="FI134" si="3506">IF(SUBTOTAL(9,FI135:FI139)&gt;0,SUBTOTAL(9,FI135:FI139),"")</f>
        <v/>
      </c>
      <c r="FJ134" s="34" t="str">
        <f t="shared" ref="FJ134" si="3507">IF(SUBTOTAL(9,FJ135:FJ139)&gt;0,SUBTOTAL(9,FJ135:FJ139),"")</f>
        <v/>
      </c>
      <c r="FK134" s="34" t="str">
        <f t="shared" ref="FK134" si="3508">IF(SUBTOTAL(9,FK135:FK139)&gt;0,SUBTOTAL(9,FK135:FK139),"")</f>
        <v/>
      </c>
      <c r="FL134" s="34" t="str">
        <f t="shared" ref="FL134" si="3509">IF(SUBTOTAL(9,FL135:FL139)&gt;0,SUBTOTAL(9,FL135:FL139),"")</f>
        <v/>
      </c>
      <c r="FM134" s="34" t="str">
        <f t="shared" ref="FM134" si="3510">IF(SUBTOTAL(9,FM135:FM139)&gt;0,SUBTOTAL(9,FM135:FM139),"")</f>
        <v/>
      </c>
      <c r="FN134" s="34" t="str">
        <f t="shared" ref="FN134" si="3511">IF(SUBTOTAL(9,FN135:FN139)&gt;0,SUBTOTAL(9,FN135:FN139),"")</f>
        <v/>
      </c>
      <c r="FO134" s="34" t="str">
        <f t="shared" ref="FO134" si="3512">IF(SUBTOTAL(9,FO135:FO139)&gt;0,SUBTOTAL(9,FO135:FO139),"")</f>
        <v/>
      </c>
      <c r="FP134" s="34" t="str">
        <f t="shared" ref="FP134" si="3513">IF(SUBTOTAL(9,FP135:FP139)&gt;0,SUBTOTAL(9,FP135:FP139),"")</f>
        <v/>
      </c>
      <c r="FQ134" s="92" t="str">
        <f t="shared" ref="FQ134" si="3514">IF(SUBTOTAL(9,FQ135:FQ139)&gt;0,SUBTOTAL(9,FQ135:FQ139),"")</f>
        <v/>
      </c>
      <c r="FR134" s="8"/>
      <c r="FS134" s="9" t="s">
        <v>131</v>
      </c>
      <c r="FT134" s="9" t="str">
        <f t="shared" si="1838"/>
        <v/>
      </c>
    </row>
    <row r="135" spans="1:176" s="9" customFormat="1" ht="12" hidden="1" customHeight="1" outlineLevel="1">
      <c r="A135" s="122" t="s">
        <v>4</v>
      </c>
      <c r="B135" s="123" t="s">
        <v>16</v>
      </c>
      <c r="C135" s="124" t="str">
        <f t="shared" si="1837"/>
        <v>22 days</v>
      </c>
      <c r="D135" s="13" t="str">
        <f>A133&amp;" "&amp;A134</f>
        <v>5. Annual Process Documentation 5.1 Preparation</v>
      </c>
      <c r="E135" s="51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>
        <v>1</v>
      </c>
      <c r="Q135" s="35">
        <v>1</v>
      </c>
      <c r="R135" s="35">
        <v>1</v>
      </c>
      <c r="S135" s="35">
        <v>1</v>
      </c>
      <c r="T135" s="35">
        <v>1</v>
      </c>
      <c r="U135" s="35">
        <v>1</v>
      </c>
      <c r="V135" s="35">
        <v>1</v>
      </c>
      <c r="W135" s="35">
        <v>1</v>
      </c>
      <c r="X135" s="35">
        <v>1</v>
      </c>
      <c r="Y135" s="35">
        <v>1</v>
      </c>
      <c r="Z135" s="35">
        <v>1</v>
      </c>
      <c r="AA135" s="35">
        <v>1</v>
      </c>
      <c r="AB135" s="35">
        <v>1</v>
      </c>
      <c r="AC135" s="35">
        <v>1</v>
      </c>
      <c r="AD135" s="35">
        <v>1</v>
      </c>
      <c r="AE135" s="35">
        <v>1</v>
      </c>
      <c r="AF135" s="35">
        <v>1</v>
      </c>
      <c r="AG135" s="35">
        <v>1</v>
      </c>
      <c r="AH135" s="35">
        <v>1</v>
      </c>
      <c r="AI135" s="35">
        <v>1</v>
      </c>
      <c r="AJ135" s="35">
        <v>1</v>
      </c>
      <c r="AK135" s="35">
        <v>1</v>
      </c>
      <c r="AL135" s="36"/>
      <c r="AM135" s="36"/>
      <c r="AN135" s="36"/>
      <c r="AO135" s="36"/>
      <c r="AP135" s="36"/>
      <c r="AQ135" s="36"/>
      <c r="AR135" s="36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35"/>
      <c r="BU135" s="35"/>
      <c r="BV135" s="35"/>
      <c r="BW135" s="35"/>
      <c r="BX135" s="35"/>
      <c r="BY135" s="35"/>
      <c r="BZ135" s="35"/>
      <c r="CA135" s="35"/>
      <c r="CB135" s="35"/>
      <c r="CC135" s="35"/>
      <c r="CD135" s="35"/>
      <c r="CE135" s="35"/>
      <c r="CF135" s="35"/>
      <c r="CG135" s="35"/>
      <c r="CH135" s="35"/>
      <c r="CI135" s="35"/>
      <c r="CJ135" s="35"/>
      <c r="CK135" s="35"/>
      <c r="CL135" s="35"/>
      <c r="CM135" s="35"/>
      <c r="CN135" s="35"/>
      <c r="CO135" s="35"/>
      <c r="CP135" s="35"/>
      <c r="CQ135" s="35"/>
      <c r="CR135" s="35"/>
      <c r="CS135" s="35"/>
      <c r="CT135" s="36"/>
      <c r="CU135" s="35"/>
      <c r="CV135" s="35"/>
      <c r="CW135" s="35"/>
      <c r="CX135" s="35"/>
      <c r="CY135" s="35"/>
      <c r="CZ135" s="36"/>
      <c r="DA135" s="36"/>
      <c r="DB135" s="35"/>
      <c r="DC135" s="35"/>
      <c r="DD135" s="35"/>
      <c r="DE135" s="35"/>
      <c r="DF135" s="35"/>
      <c r="DG135" s="35"/>
      <c r="DH135" s="35"/>
      <c r="DI135" s="35"/>
      <c r="DJ135" s="35"/>
      <c r="DK135" s="35"/>
      <c r="DL135" s="35"/>
      <c r="DM135" s="35"/>
      <c r="DN135" s="35"/>
      <c r="DO135" s="35"/>
      <c r="DP135" s="35"/>
      <c r="DQ135" s="35"/>
      <c r="DR135" s="35"/>
      <c r="DS135" s="35"/>
      <c r="DT135" s="35"/>
      <c r="DU135" s="35"/>
      <c r="DV135" s="35"/>
      <c r="DW135" s="35"/>
      <c r="DX135" s="35"/>
      <c r="DY135" s="35"/>
      <c r="DZ135" s="36"/>
      <c r="EA135" s="35"/>
      <c r="EB135" s="35"/>
      <c r="EC135" s="35"/>
      <c r="ED135" s="35"/>
      <c r="EE135" s="35"/>
      <c r="EF135" s="35"/>
      <c r="EG135" s="35"/>
      <c r="EH135" s="35"/>
      <c r="EI135" s="35"/>
      <c r="EJ135" s="35"/>
      <c r="EK135" s="35"/>
      <c r="EL135" s="35"/>
      <c r="EM135" s="35"/>
      <c r="EN135" s="35"/>
      <c r="EO135" s="35"/>
      <c r="EP135" s="35"/>
      <c r="EQ135" s="35"/>
      <c r="ER135" s="35"/>
      <c r="ES135" s="35"/>
      <c r="ET135" s="35"/>
      <c r="EU135" s="35"/>
      <c r="EV135" s="35"/>
      <c r="EW135" s="35"/>
      <c r="EX135" s="35"/>
      <c r="EY135" s="36"/>
      <c r="EZ135" s="35"/>
      <c r="FA135" s="35"/>
      <c r="FB135" s="35"/>
      <c r="FC135" s="35"/>
      <c r="FD135" s="35"/>
      <c r="FE135" s="35"/>
      <c r="FF135" s="35"/>
      <c r="FG135" s="35"/>
      <c r="FH135" s="35"/>
      <c r="FI135" s="35"/>
      <c r="FJ135" s="35"/>
      <c r="FK135" s="35"/>
      <c r="FL135" s="35"/>
      <c r="FM135" s="35"/>
      <c r="FN135" s="35"/>
      <c r="FO135" s="35"/>
      <c r="FP135" s="35"/>
      <c r="FQ135" s="52"/>
      <c r="FR135" s="8"/>
      <c r="FS135" s="9" t="s">
        <v>13</v>
      </c>
      <c r="FT135" s="9" t="str">
        <f t="shared" si="1838"/>
        <v>5. Annual Process Documentation 5.1 PreparationJunior Accountant</v>
      </c>
    </row>
    <row r="136" spans="1:176" s="9" customFormat="1" ht="12" hidden="1" customHeight="1" outlineLevel="1">
      <c r="A136" s="122"/>
      <c r="B136" s="123"/>
      <c r="C136" s="124" t="str">
        <f t="shared" si="1837"/>
        <v>0 days</v>
      </c>
      <c r="D136" s="13" t="str">
        <f>A133&amp;" "&amp;A134</f>
        <v>5. Annual Process Documentation 5.1 Preparation</v>
      </c>
      <c r="E136" s="51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5"/>
      <c r="AK136" s="35"/>
      <c r="AL136" s="36"/>
      <c r="AM136" s="36"/>
      <c r="AN136" s="36"/>
      <c r="AO136" s="36"/>
      <c r="AP136" s="36"/>
      <c r="AQ136" s="36"/>
      <c r="AR136" s="36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35"/>
      <c r="BU136" s="35"/>
      <c r="BV136" s="35"/>
      <c r="BW136" s="35"/>
      <c r="BX136" s="35"/>
      <c r="BY136" s="35"/>
      <c r="BZ136" s="35"/>
      <c r="CA136" s="35"/>
      <c r="CB136" s="35"/>
      <c r="CC136" s="35"/>
      <c r="CD136" s="35"/>
      <c r="CE136" s="35"/>
      <c r="CF136" s="35"/>
      <c r="CG136" s="35"/>
      <c r="CH136" s="35"/>
      <c r="CI136" s="35"/>
      <c r="CJ136" s="35"/>
      <c r="CK136" s="35"/>
      <c r="CL136" s="35"/>
      <c r="CM136" s="35"/>
      <c r="CN136" s="35"/>
      <c r="CO136" s="35"/>
      <c r="CP136" s="35"/>
      <c r="CQ136" s="35"/>
      <c r="CR136" s="35"/>
      <c r="CS136" s="35"/>
      <c r="CT136" s="36"/>
      <c r="CU136" s="35"/>
      <c r="CV136" s="35"/>
      <c r="CW136" s="35"/>
      <c r="CX136" s="35"/>
      <c r="CY136" s="35"/>
      <c r="CZ136" s="36"/>
      <c r="DA136" s="36"/>
      <c r="DB136" s="35"/>
      <c r="DC136" s="35"/>
      <c r="DD136" s="35"/>
      <c r="DE136" s="35"/>
      <c r="DF136" s="35"/>
      <c r="DG136" s="35"/>
      <c r="DH136" s="35"/>
      <c r="DI136" s="35"/>
      <c r="DJ136" s="35"/>
      <c r="DK136" s="35"/>
      <c r="DL136" s="35"/>
      <c r="DM136" s="35"/>
      <c r="DN136" s="35"/>
      <c r="DO136" s="35"/>
      <c r="DP136" s="35"/>
      <c r="DQ136" s="35"/>
      <c r="DR136" s="35"/>
      <c r="DS136" s="35"/>
      <c r="DT136" s="35"/>
      <c r="DU136" s="35"/>
      <c r="DV136" s="35"/>
      <c r="DW136" s="35"/>
      <c r="DX136" s="35"/>
      <c r="DY136" s="35"/>
      <c r="DZ136" s="36"/>
      <c r="EA136" s="35"/>
      <c r="EB136" s="35"/>
      <c r="EC136" s="35"/>
      <c r="ED136" s="35"/>
      <c r="EE136" s="35"/>
      <c r="EF136" s="35"/>
      <c r="EG136" s="35"/>
      <c r="EH136" s="35"/>
      <c r="EI136" s="35"/>
      <c r="EJ136" s="35"/>
      <c r="EK136" s="35"/>
      <c r="EL136" s="35"/>
      <c r="EM136" s="35"/>
      <c r="EN136" s="35"/>
      <c r="EO136" s="35"/>
      <c r="EP136" s="35"/>
      <c r="EQ136" s="35"/>
      <c r="ER136" s="35"/>
      <c r="ES136" s="35"/>
      <c r="ET136" s="35"/>
      <c r="EU136" s="35"/>
      <c r="EV136" s="35"/>
      <c r="EW136" s="35"/>
      <c r="EX136" s="35"/>
      <c r="EY136" s="36"/>
      <c r="EZ136" s="35"/>
      <c r="FA136" s="35"/>
      <c r="FB136" s="35"/>
      <c r="FC136" s="35"/>
      <c r="FD136" s="35"/>
      <c r="FE136" s="35"/>
      <c r="FF136" s="35"/>
      <c r="FG136" s="35"/>
      <c r="FH136" s="35"/>
      <c r="FI136" s="35"/>
      <c r="FJ136" s="35"/>
      <c r="FK136" s="35"/>
      <c r="FL136" s="35"/>
      <c r="FM136" s="35"/>
      <c r="FN136" s="35"/>
      <c r="FO136" s="35"/>
      <c r="FP136" s="35"/>
      <c r="FQ136" s="52"/>
      <c r="FR136" s="8"/>
      <c r="FS136" s="9" t="s">
        <v>13</v>
      </c>
      <c r="FT136" s="9" t="str">
        <f t="shared" si="1838"/>
        <v>5. Annual Process Documentation 5.1 Preparation</v>
      </c>
    </row>
    <row r="137" spans="1:176" s="9" customFormat="1" ht="12" hidden="1" customHeight="1" outlineLevel="1">
      <c r="A137" s="125" t="s">
        <v>50</v>
      </c>
      <c r="B137" s="123"/>
      <c r="C137" s="124" t="str">
        <f t="shared" ref="C137:C200" si="3515">ROUND(SUM(E137:FQ137),0) &amp; " days"</f>
        <v>0 days</v>
      </c>
      <c r="D137" s="13" t="str">
        <f>A133&amp;" "&amp;A134</f>
        <v>5. Annual Process Documentation 5.1 Preparation</v>
      </c>
      <c r="E137" s="51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5"/>
      <c r="AK137" s="35"/>
      <c r="AL137" s="36"/>
      <c r="AM137" s="36"/>
      <c r="AN137" s="36"/>
      <c r="AO137" s="36"/>
      <c r="AP137" s="36"/>
      <c r="AQ137" s="36"/>
      <c r="AR137" s="36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35"/>
      <c r="BU137" s="35"/>
      <c r="BV137" s="35"/>
      <c r="BW137" s="35"/>
      <c r="BX137" s="35"/>
      <c r="BY137" s="35"/>
      <c r="BZ137" s="35"/>
      <c r="CA137" s="35"/>
      <c r="CB137" s="35"/>
      <c r="CC137" s="35"/>
      <c r="CD137" s="35"/>
      <c r="CE137" s="35"/>
      <c r="CF137" s="35"/>
      <c r="CG137" s="35"/>
      <c r="CH137" s="35"/>
      <c r="CI137" s="35"/>
      <c r="CJ137" s="35"/>
      <c r="CK137" s="35"/>
      <c r="CL137" s="35"/>
      <c r="CM137" s="35"/>
      <c r="CN137" s="35"/>
      <c r="CO137" s="35"/>
      <c r="CP137" s="35"/>
      <c r="CQ137" s="35"/>
      <c r="CR137" s="35"/>
      <c r="CS137" s="35"/>
      <c r="CT137" s="36"/>
      <c r="CU137" s="35"/>
      <c r="CV137" s="35"/>
      <c r="CW137" s="35"/>
      <c r="CX137" s="35"/>
      <c r="CY137" s="35"/>
      <c r="CZ137" s="36"/>
      <c r="DA137" s="36"/>
      <c r="DB137" s="35"/>
      <c r="DC137" s="35"/>
      <c r="DD137" s="35"/>
      <c r="DE137" s="35"/>
      <c r="DF137" s="35"/>
      <c r="DG137" s="35"/>
      <c r="DH137" s="35"/>
      <c r="DI137" s="35"/>
      <c r="DJ137" s="35"/>
      <c r="DK137" s="35"/>
      <c r="DL137" s="35"/>
      <c r="DM137" s="35"/>
      <c r="DN137" s="35"/>
      <c r="DO137" s="35"/>
      <c r="DP137" s="35"/>
      <c r="DQ137" s="35"/>
      <c r="DR137" s="35"/>
      <c r="DS137" s="35"/>
      <c r="DT137" s="35"/>
      <c r="DU137" s="35"/>
      <c r="DV137" s="35"/>
      <c r="DW137" s="35"/>
      <c r="DX137" s="35"/>
      <c r="DY137" s="35"/>
      <c r="DZ137" s="36"/>
      <c r="EA137" s="35"/>
      <c r="EB137" s="35"/>
      <c r="EC137" s="35"/>
      <c r="ED137" s="35"/>
      <c r="EE137" s="35"/>
      <c r="EF137" s="35"/>
      <c r="EG137" s="35"/>
      <c r="EH137" s="35"/>
      <c r="EI137" s="35"/>
      <c r="EJ137" s="35"/>
      <c r="EK137" s="35"/>
      <c r="EL137" s="35"/>
      <c r="EM137" s="35"/>
      <c r="EN137" s="35"/>
      <c r="EO137" s="35"/>
      <c r="EP137" s="35"/>
      <c r="EQ137" s="35"/>
      <c r="ER137" s="35"/>
      <c r="ES137" s="35"/>
      <c r="ET137" s="35"/>
      <c r="EU137" s="35"/>
      <c r="EV137" s="35"/>
      <c r="EW137" s="35"/>
      <c r="EX137" s="35"/>
      <c r="EY137" s="36"/>
      <c r="EZ137" s="35"/>
      <c r="FA137" s="35"/>
      <c r="FB137" s="35"/>
      <c r="FC137" s="35"/>
      <c r="FD137" s="35"/>
      <c r="FE137" s="35"/>
      <c r="FF137" s="35"/>
      <c r="FG137" s="35"/>
      <c r="FH137" s="35"/>
      <c r="FI137" s="35"/>
      <c r="FJ137" s="35"/>
      <c r="FK137" s="35"/>
      <c r="FL137" s="35"/>
      <c r="FM137" s="35"/>
      <c r="FN137" s="35"/>
      <c r="FO137" s="35"/>
      <c r="FP137" s="35"/>
      <c r="FQ137" s="52"/>
      <c r="FR137" s="8"/>
      <c r="FS137" s="9" t="s">
        <v>13</v>
      </c>
      <c r="FT137" s="9" t="str">
        <f t="shared" si="1838"/>
        <v>5. Annual Process Documentation 5.1 Preparation</v>
      </c>
    </row>
    <row r="138" spans="1:176" s="9" customFormat="1" ht="12" hidden="1" customHeight="1" outlineLevel="1">
      <c r="A138" s="125" t="s">
        <v>50</v>
      </c>
      <c r="B138" s="123"/>
      <c r="C138" s="124" t="str">
        <f t="shared" si="3515"/>
        <v>0 days</v>
      </c>
      <c r="D138" s="13" t="str">
        <f>A133&amp;" "&amp;A134</f>
        <v>5. Annual Process Documentation 5.1 Preparation</v>
      </c>
      <c r="E138" s="51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5"/>
      <c r="AK138" s="35"/>
      <c r="AL138" s="36"/>
      <c r="AM138" s="36"/>
      <c r="AN138" s="36"/>
      <c r="AO138" s="36"/>
      <c r="AP138" s="36"/>
      <c r="AQ138" s="36"/>
      <c r="AR138" s="36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35"/>
      <c r="BU138" s="35"/>
      <c r="BV138" s="35"/>
      <c r="BW138" s="35"/>
      <c r="BX138" s="35"/>
      <c r="BY138" s="35"/>
      <c r="BZ138" s="35"/>
      <c r="CA138" s="35"/>
      <c r="CB138" s="35"/>
      <c r="CC138" s="35"/>
      <c r="CD138" s="35"/>
      <c r="CE138" s="35"/>
      <c r="CF138" s="35"/>
      <c r="CG138" s="35"/>
      <c r="CH138" s="35"/>
      <c r="CI138" s="35"/>
      <c r="CJ138" s="35"/>
      <c r="CK138" s="35"/>
      <c r="CL138" s="35"/>
      <c r="CM138" s="35"/>
      <c r="CN138" s="35"/>
      <c r="CO138" s="35"/>
      <c r="CP138" s="35"/>
      <c r="CQ138" s="35"/>
      <c r="CR138" s="35"/>
      <c r="CS138" s="35"/>
      <c r="CT138" s="36"/>
      <c r="CU138" s="35"/>
      <c r="CV138" s="35"/>
      <c r="CW138" s="35"/>
      <c r="CX138" s="35"/>
      <c r="CY138" s="35"/>
      <c r="CZ138" s="36"/>
      <c r="DA138" s="36"/>
      <c r="DB138" s="35"/>
      <c r="DC138" s="35"/>
      <c r="DD138" s="35"/>
      <c r="DE138" s="35"/>
      <c r="DF138" s="35"/>
      <c r="DG138" s="35"/>
      <c r="DH138" s="35"/>
      <c r="DI138" s="35"/>
      <c r="DJ138" s="35"/>
      <c r="DK138" s="35"/>
      <c r="DL138" s="35"/>
      <c r="DM138" s="35"/>
      <c r="DN138" s="35"/>
      <c r="DO138" s="35"/>
      <c r="DP138" s="35"/>
      <c r="DQ138" s="35"/>
      <c r="DR138" s="35"/>
      <c r="DS138" s="35"/>
      <c r="DT138" s="35"/>
      <c r="DU138" s="35"/>
      <c r="DV138" s="35"/>
      <c r="DW138" s="35"/>
      <c r="DX138" s="35"/>
      <c r="DY138" s="35"/>
      <c r="DZ138" s="36"/>
      <c r="EA138" s="35"/>
      <c r="EB138" s="35"/>
      <c r="EC138" s="35"/>
      <c r="ED138" s="35"/>
      <c r="EE138" s="35"/>
      <c r="EF138" s="35"/>
      <c r="EG138" s="35"/>
      <c r="EH138" s="35"/>
      <c r="EI138" s="35"/>
      <c r="EJ138" s="35"/>
      <c r="EK138" s="35"/>
      <c r="EL138" s="35"/>
      <c r="EM138" s="35"/>
      <c r="EN138" s="35"/>
      <c r="EO138" s="35"/>
      <c r="EP138" s="35"/>
      <c r="EQ138" s="35"/>
      <c r="ER138" s="35"/>
      <c r="ES138" s="35"/>
      <c r="ET138" s="35"/>
      <c r="EU138" s="35"/>
      <c r="EV138" s="35"/>
      <c r="EW138" s="35"/>
      <c r="EX138" s="35"/>
      <c r="EY138" s="36"/>
      <c r="EZ138" s="35"/>
      <c r="FA138" s="35"/>
      <c r="FB138" s="35"/>
      <c r="FC138" s="35"/>
      <c r="FD138" s="35"/>
      <c r="FE138" s="35"/>
      <c r="FF138" s="35"/>
      <c r="FG138" s="35"/>
      <c r="FH138" s="35"/>
      <c r="FI138" s="35"/>
      <c r="FJ138" s="35"/>
      <c r="FK138" s="35"/>
      <c r="FL138" s="35"/>
      <c r="FM138" s="35"/>
      <c r="FN138" s="35"/>
      <c r="FO138" s="35"/>
      <c r="FP138" s="35"/>
      <c r="FQ138" s="52"/>
      <c r="FR138" s="8"/>
      <c r="FS138" s="9" t="s">
        <v>13</v>
      </c>
      <c r="FT138" s="9" t="str">
        <f t="shared" si="1838"/>
        <v>5. Annual Process Documentation 5.1 Preparation</v>
      </c>
    </row>
    <row r="139" spans="1:176" s="9" customFormat="1" ht="12" hidden="1" customHeight="1" outlineLevel="1">
      <c r="A139" s="126" t="s">
        <v>50</v>
      </c>
      <c r="B139" s="123"/>
      <c r="C139" s="124" t="str">
        <f t="shared" si="3515"/>
        <v>0 days</v>
      </c>
      <c r="D139" s="13" t="str">
        <f>A133&amp;" "&amp;A134</f>
        <v>5. Annual Process Documentation 5.1 Preparation</v>
      </c>
      <c r="E139" s="51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5"/>
      <c r="AK139" s="35"/>
      <c r="AL139" s="36"/>
      <c r="AM139" s="36"/>
      <c r="AN139" s="36"/>
      <c r="AO139" s="36"/>
      <c r="AP139" s="36"/>
      <c r="AQ139" s="36"/>
      <c r="AR139" s="36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35"/>
      <c r="BU139" s="35"/>
      <c r="BV139" s="35"/>
      <c r="BW139" s="35"/>
      <c r="BX139" s="35"/>
      <c r="BY139" s="35"/>
      <c r="BZ139" s="35"/>
      <c r="CA139" s="35"/>
      <c r="CB139" s="35"/>
      <c r="CC139" s="35"/>
      <c r="CD139" s="35"/>
      <c r="CE139" s="35"/>
      <c r="CF139" s="35"/>
      <c r="CG139" s="35"/>
      <c r="CH139" s="35"/>
      <c r="CI139" s="35"/>
      <c r="CJ139" s="35"/>
      <c r="CK139" s="35"/>
      <c r="CL139" s="35"/>
      <c r="CM139" s="35"/>
      <c r="CN139" s="35"/>
      <c r="CO139" s="35"/>
      <c r="CP139" s="35"/>
      <c r="CQ139" s="35"/>
      <c r="CR139" s="35"/>
      <c r="CS139" s="35"/>
      <c r="CT139" s="36"/>
      <c r="CU139" s="35"/>
      <c r="CV139" s="35"/>
      <c r="CW139" s="35"/>
      <c r="CX139" s="35"/>
      <c r="CY139" s="35"/>
      <c r="CZ139" s="36"/>
      <c r="DA139" s="36"/>
      <c r="DB139" s="35"/>
      <c r="DC139" s="35"/>
      <c r="DD139" s="35"/>
      <c r="DE139" s="35"/>
      <c r="DF139" s="35"/>
      <c r="DG139" s="35"/>
      <c r="DH139" s="35"/>
      <c r="DI139" s="35"/>
      <c r="DJ139" s="35"/>
      <c r="DK139" s="35"/>
      <c r="DL139" s="35"/>
      <c r="DM139" s="35"/>
      <c r="DN139" s="35"/>
      <c r="DO139" s="35"/>
      <c r="DP139" s="35"/>
      <c r="DQ139" s="35"/>
      <c r="DR139" s="35"/>
      <c r="DS139" s="35"/>
      <c r="DT139" s="35"/>
      <c r="DU139" s="35"/>
      <c r="DV139" s="35"/>
      <c r="DW139" s="35"/>
      <c r="DX139" s="35"/>
      <c r="DY139" s="35"/>
      <c r="DZ139" s="36"/>
      <c r="EA139" s="35"/>
      <c r="EB139" s="35"/>
      <c r="EC139" s="35"/>
      <c r="ED139" s="35"/>
      <c r="EE139" s="35"/>
      <c r="EF139" s="35"/>
      <c r="EG139" s="35"/>
      <c r="EH139" s="35"/>
      <c r="EI139" s="35"/>
      <c r="EJ139" s="35"/>
      <c r="EK139" s="35"/>
      <c r="EL139" s="35"/>
      <c r="EM139" s="35"/>
      <c r="EN139" s="35"/>
      <c r="EO139" s="35"/>
      <c r="EP139" s="35"/>
      <c r="EQ139" s="35"/>
      <c r="ER139" s="35"/>
      <c r="ES139" s="35"/>
      <c r="ET139" s="35"/>
      <c r="EU139" s="35"/>
      <c r="EV139" s="35"/>
      <c r="EW139" s="35"/>
      <c r="EX139" s="35"/>
      <c r="EY139" s="36"/>
      <c r="EZ139" s="35"/>
      <c r="FA139" s="35"/>
      <c r="FB139" s="35"/>
      <c r="FC139" s="35"/>
      <c r="FD139" s="35"/>
      <c r="FE139" s="35"/>
      <c r="FF139" s="35"/>
      <c r="FG139" s="35"/>
      <c r="FH139" s="35"/>
      <c r="FI139" s="35"/>
      <c r="FJ139" s="35"/>
      <c r="FK139" s="35"/>
      <c r="FL139" s="35"/>
      <c r="FM139" s="35"/>
      <c r="FN139" s="35"/>
      <c r="FO139" s="35"/>
      <c r="FP139" s="35"/>
      <c r="FQ139" s="52"/>
      <c r="FR139" s="8"/>
      <c r="FS139" s="9" t="s">
        <v>13</v>
      </c>
      <c r="FT139" s="9" t="str">
        <f t="shared" si="1838"/>
        <v>5. Annual Process Documentation 5.1 Preparation</v>
      </c>
    </row>
    <row r="140" spans="1:176" s="9" customFormat="1" ht="12" customHeight="1" collapsed="1">
      <c r="A140" s="119" t="s">
        <v>72</v>
      </c>
      <c r="B140" s="127"/>
      <c r="C140" s="121" t="str">
        <f t="shared" si="3515"/>
        <v>11 days</v>
      </c>
      <c r="D140" s="27"/>
      <c r="E140" s="91" t="str">
        <f t="shared" ref="E140" si="3516">IF(SUBTOTAL(9,E141:E145)&gt;0,SUBTOTAL(9,E141:E145),"")</f>
        <v/>
      </c>
      <c r="F140" s="34" t="str">
        <f t="shared" ref="F140" si="3517">IF(SUBTOTAL(9,F141:F145)&gt;0,SUBTOTAL(9,F141:F145),"")</f>
        <v/>
      </c>
      <c r="G140" s="34" t="str">
        <f t="shared" ref="G140" si="3518">IF(SUBTOTAL(9,G141:G145)&gt;0,SUBTOTAL(9,G141:G145),"")</f>
        <v/>
      </c>
      <c r="H140" s="34" t="str">
        <f t="shared" ref="H140" si="3519">IF(SUBTOTAL(9,H141:H145)&gt;0,SUBTOTAL(9,H141:H145),"")</f>
        <v/>
      </c>
      <c r="I140" s="34" t="str">
        <f t="shared" ref="I140" si="3520">IF(SUBTOTAL(9,I141:I145)&gt;0,SUBTOTAL(9,I141:I145),"")</f>
        <v/>
      </c>
      <c r="J140" s="34" t="str">
        <f t="shared" ref="J140" si="3521">IF(SUBTOTAL(9,J141:J145)&gt;0,SUBTOTAL(9,J141:J145),"")</f>
        <v/>
      </c>
      <c r="K140" s="34" t="str">
        <f t="shared" ref="K140" si="3522">IF(SUBTOTAL(9,K141:K145)&gt;0,SUBTOTAL(9,K141:K145),"")</f>
        <v/>
      </c>
      <c r="L140" s="34" t="str">
        <f t="shared" ref="L140" si="3523">IF(SUBTOTAL(9,L141:L145)&gt;0,SUBTOTAL(9,L141:L145),"")</f>
        <v/>
      </c>
      <c r="M140" s="34" t="str">
        <f t="shared" ref="M140" si="3524">IF(SUBTOTAL(9,M141:M145)&gt;0,SUBTOTAL(9,M141:M145),"")</f>
        <v/>
      </c>
      <c r="N140" s="34" t="str">
        <f t="shared" ref="N140" si="3525">IF(SUBTOTAL(9,N141:N145)&gt;0,SUBTOTAL(9,N141:N145),"")</f>
        <v/>
      </c>
      <c r="O140" s="34" t="str">
        <f t="shared" ref="O140:AI140" si="3526">IF(SUBTOTAL(9,O141:O145)&gt;0,SUBTOTAL(9,O141:O145),"")</f>
        <v/>
      </c>
      <c r="P140" s="34" t="str">
        <f t="shared" si="3526"/>
        <v/>
      </c>
      <c r="Q140" s="34" t="str">
        <f t="shared" si="3526"/>
        <v/>
      </c>
      <c r="R140" s="34" t="str">
        <f t="shared" si="3526"/>
        <v/>
      </c>
      <c r="S140" s="34" t="str">
        <f t="shared" si="3526"/>
        <v/>
      </c>
      <c r="T140" s="34">
        <f t="shared" si="3526"/>
        <v>1</v>
      </c>
      <c r="U140" s="34" t="str">
        <f t="shared" si="3526"/>
        <v/>
      </c>
      <c r="V140" s="34" t="str">
        <f t="shared" si="3526"/>
        <v/>
      </c>
      <c r="W140" s="34" t="str">
        <f t="shared" si="3526"/>
        <v/>
      </c>
      <c r="X140" s="34" t="str">
        <f t="shared" si="3526"/>
        <v/>
      </c>
      <c r="Y140" s="34">
        <f t="shared" si="3526"/>
        <v>1</v>
      </c>
      <c r="Z140" s="34" t="str">
        <f t="shared" si="3526"/>
        <v/>
      </c>
      <c r="AA140" s="34" t="str">
        <f t="shared" si="3526"/>
        <v/>
      </c>
      <c r="AB140" s="34" t="str">
        <f t="shared" si="3526"/>
        <v/>
      </c>
      <c r="AC140" s="34" t="str">
        <f t="shared" si="3526"/>
        <v/>
      </c>
      <c r="AD140" s="34">
        <f t="shared" si="3526"/>
        <v>1</v>
      </c>
      <c r="AE140" s="34">
        <f t="shared" si="3526"/>
        <v>1</v>
      </c>
      <c r="AF140" s="34">
        <f t="shared" si="3526"/>
        <v>1</v>
      </c>
      <c r="AG140" s="34">
        <f t="shared" si="3526"/>
        <v>1</v>
      </c>
      <c r="AH140" s="34">
        <f t="shared" si="3526"/>
        <v>1</v>
      </c>
      <c r="AI140" s="34">
        <f t="shared" si="3526"/>
        <v>1</v>
      </c>
      <c r="AJ140" s="34" t="str">
        <f t="shared" ref="AJ140" si="3527">IF(SUBTOTAL(9,AJ141:AJ145)&gt;0,SUBTOTAL(9,AJ141:AJ145),"")</f>
        <v/>
      </c>
      <c r="AK140" s="34" t="str">
        <f t="shared" ref="AK140" si="3528">IF(SUBTOTAL(9,AK141:AK145)&gt;0,SUBTOTAL(9,AK141:AK145),"")</f>
        <v/>
      </c>
      <c r="AL140" s="33" t="str">
        <f t="shared" ref="AL140" si="3529">IF(SUBTOTAL(9,AL141:AL145)&gt;0,SUBTOTAL(9,AL141:AL145),"")</f>
        <v/>
      </c>
      <c r="AM140" s="33" t="str">
        <f t="shared" ref="AM140" si="3530">IF(SUBTOTAL(9,AM141:AM145)&gt;0,SUBTOTAL(9,AM141:AM145),"")</f>
        <v/>
      </c>
      <c r="AN140" s="33" t="str">
        <f t="shared" ref="AN140" si="3531">IF(SUBTOTAL(9,AN141:AN145)&gt;0,SUBTOTAL(9,AN141:AN145),"")</f>
        <v/>
      </c>
      <c r="AO140" s="33" t="str">
        <f t="shared" ref="AO140" si="3532">IF(SUBTOTAL(9,AO141:AO145)&gt;0,SUBTOTAL(9,AO141:AO145),"")</f>
        <v/>
      </c>
      <c r="AP140" s="33" t="str">
        <f t="shared" ref="AP140" si="3533">IF(SUBTOTAL(9,AP141:AP145)&gt;0,SUBTOTAL(9,AP141:AP145),"")</f>
        <v/>
      </c>
      <c r="AQ140" s="33" t="str">
        <f t="shared" ref="AQ140" si="3534">IF(SUBTOTAL(9,AQ141:AQ145)&gt;0,SUBTOTAL(9,AQ141:AQ145),"")</f>
        <v/>
      </c>
      <c r="AR140" s="33" t="str">
        <f t="shared" ref="AR140" si="3535">IF(SUBTOTAL(9,AR141:AR145)&gt;0,SUBTOTAL(9,AR141:AR145),"")</f>
        <v/>
      </c>
      <c r="AS140" s="34">
        <f t="shared" ref="AS140" si="3536">IF(SUBTOTAL(9,AS141:AS145)&gt;0,SUBTOTAL(9,AS141:AS145),"")</f>
        <v>1</v>
      </c>
      <c r="AT140" s="34">
        <f t="shared" ref="AT140" si="3537">IF(SUBTOTAL(9,AT141:AT145)&gt;0,SUBTOTAL(9,AT141:AT145),"")</f>
        <v>1</v>
      </c>
      <c r="AU140" s="34">
        <f t="shared" ref="AU140" si="3538">IF(SUBTOTAL(9,AU141:AU145)&gt;0,SUBTOTAL(9,AU141:AU145),"")</f>
        <v>1</v>
      </c>
      <c r="AV140" s="34" t="str">
        <f t="shared" ref="AV140" si="3539">IF(SUBTOTAL(9,AV141:AV145)&gt;0,SUBTOTAL(9,AV141:AV145),"")</f>
        <v/>
      </c>
      <c r="AW140" s="34" t="str">
        <f t="shared" ref="AW140" si="3540">IF(SUBTOTAL(9,AW141:AW145)&gt;0,SUBTOTAL(9,AW141:AW145),"")</f>
        <v/>
      </c>
      <c r="AX140" s="34" t="str">
        <f t="shared" ref="AX140" si="3541">IF(SUBTOTAL(9,AX141:AX145)&gt;0,SUBTOTAL(9,AX141:AX145),"")</f>
        <v/>
      </c>
      <c r="AY140" s="34" t="str">
        <f t="shared" ref="AY140" si="3542">IF(SUBTOTAL(9,AY141:AY145)&gt;0,SUBTOTAL(9,AY141:AY145),"")</f>
        <v/>
      </c>
      <c r="AZ140" s="34" t="str">
        <f t="shared" ref="AZ140" si="3543">IF(SUBTOTAL(9,AZ141:AZ145)&gt;0,SUBTOTAL(9,AZ141:AZ145),"")</f>
        <v/>
      </c>
      <c r="BA140" s="34" t="str">
        <f t="shared" ref="BA140" si="3544">IF(SUBTOTAL(9,BA141:BA145)&gt;0,SUBTOTAL(9,BA141:BA145),"")</f>
        <v/>
      </c>
      <c r="BB140" s="34" t="str">
        <f t="shared" ref="BB140" si="3545">IF(SUBTOTAL(9,BB141:BB145)&gt;0,SUBTOTAL(9,BB141:BB145),"")</f>
        <v/>
      </c>
      <c r="BC140" s="34" t="str">
        <f t="shared" ref="BC140" si="3546">IF(SUBTOTAL(9,BC141:BC145)&gt;0,SUBTOTAL(9,BC141:BC145),"")</f>
        <v/>
      </c>
      <c r="BD140" s="34" t="str">
        <f t="shared" ref="BD140" si="3547">IF(SUBTOTAL(9,BD141:BD145)&gt;0,SUBTOTAL(9,BD141:BD145),"")</f>
        <v/>
      </c>
      <c r="BE140" s="34" t="str">
        <f t="shared" ref="BE140" si="3548">IF(SUBTOTAL(9,BE141:BE145)&gt;0,SUBTOTAL(9,BE141:BE145),"")</f>
        <v/>
      </c>
      <c r="BF140" s="34" t="str">
        <f t="shared" ref="BF140" si="3549">IF(SUBTOTAL(9,BF141:BF145)&gt;0,SUBTOTAL(9,BF141:BF145),"")</f>
        <v/>
      </c>
      <c r="BG140" s="34" t="str">
        <f t="shared" ref="BG140" si="3550">IF(SUBTOTAL(9,BG141:BG145)&gt;0,SUBTOTAL(9,BG141:BG145),"")</f>
        <v/>
      </c>
      <c r="BH140" s="34" t="str">
        <f t="shared" ref="BH140" si="3551">IF(SUBTOTAL(9,BH141:BH145)&gt;0,SUBTOTAL(9,BH141:BH145),"")</f>
        <v/>
      </c>
      <c r="BI140" s="34" t="str">
        <f t="shared" ref="BI140" si="3552">IF(SUBTOTAL(9,BI141:BI145)&gt;0,SUBTOTAL(9,BI141:BI145),"")</f>
        <v/>
      </c>
      <c r="BJ140" s="34" t="str">
        <f t="shared" ref="BJ140" si="3553">IF(SUBTOTAL(9,BJ141:BJ145)&gt;0,SUBTOTAL(9,BJ141:BJ145),"")</f>
        <v/>
      </c>
      <c r="BK140" s="34" t="str">
        <f t="shared" ref="BK140" si="3554">IF(SUBTOTAL(9,BK141:BK145)&gt;0,SUBTOTAL(9,BK141:BK145),"")</f>
        <v/>
      </c>
      <c r="BL140" s="34" t="str">
        <f t="shared" ref="BL140" si="3555">IF(SUBTOTAL(9,BL141:BL145)&gt;0,SUBTOTAL(9,BL141:BL145),"")</f>
        <v/>
      </c>
      <c r="BM140" s="34" t="str">
        <f t="shared" ref="BM140" si="3556">IF(SUBTOTAL(9,BM141:BM145)&gt;0,SUBTOTAL(9,BM141:BM145),"")</f>
        <v/>
      </c>
      <c r="BN140" s="34" t="str">
        <f t="shared" ref="BN140" si="3557">IF(SUBTOTAL(9,BN141:BN145)&gt;0,SUBTOTAL(9,BN141:BN145),"")</f>
        <v/>
      </c>
      <c r="BO140" s="34" t="str">
        <f t="shared" ref="BO140" si="3558">IF(SUBTOTAL(9,BO141:BO145)&gt;0,SUBTOTAL(9,BO141:BO145),"")</f>
        <v/>
      </c>
      <c r="BP140" s="34" t="str">
        <f t="shared" ref="BP140" si="3559">IF(SUBTOTAL(9,BP141:BP145)&gt;0,SUBTOTAL(9,BP141:BP145),"")</f>
        <v/>
      </c>
      <c r="BQ140" s="34" t="str">
        <f t="shared" ref="BQ140" si="3560">IF(SUBTOTAL(9,BQ141:BQ145)&gt;0,SUBTOTAL(9,BQ141:BQ145),"")</f>
        <v/>
      </c>
      <c r="BR140" s="34" t="str">
        <f t="shared" ref="BR140" si="3561">IF(SUBTOTAL(9,BR141:BR145)&gt;0,SUBTOTAL(9,BR141:BR145),"")</f>
        <v/>
      </c>
      <c r="BS140" s="34" t="str">
        <f t="shared" ref="BS140" si="3562">IF(SUBTOTAL(9,BS141:BS145)&gt;0,SUBTOTAL(9,BS141:BS145),"")</f>
        <v/>
      </c>
      <c r="BT140" s="34" t="str">
        <f t="shared" ref="BT140" si="3563">IF(SUBTOTAL(9,BT141:BT145)&gt;0,SUBTOTAL(9,BT141:BT145),"")</f>
        <v/>
      </c>
      <c r="BU140" s="34" t="str">
        <f t="shared" ref="BU140" si="3564">IF(SUBTOTAL(9,BU141:BU145)&gt;0,SUBTOTAL(9,BU141:BU145),"")</f>
        <v/>
      </c>
      <c r="BV140" s="34" t="str">
        <f t="shared" ref="BV140" si="3565">IF(SUBTOTAL(9,BV141:BV145)&gt;0,SUBTOTAL(9,BV141:BV145),"")</f>
        <v/>
      </c>
      <c r="BW140" s="34" t="str">
        <f t="shared" ref="BW140" si="3566">IF(SUBTOTAL(9,BW141:BW145)&gt;0,SUBTOTAL(9,BW141:BW145),"")</f>
        <v/>
      </c>
      <c r="BX140" s="34" t="str">
        <f t="shared" ref="BX140" si="3567">IF(SUBTOTAL(9,BX141:BX145)&gt;0,SUBTOTAL(9,BX141:BX145),"")</f>
        <v/>
      </c>
      <c r="BY140" s="34" t="str">
        <f t="shared" ref="BY140" si="3568">IF(SUBTOTAL(9,BY141:BY145)&gt;0,SUBTOTAL(9,BY141:BY145),"")</f>
        <v/>
      </c>
      <c r="BZ140" s="34" t="str">
        <f t="shared" ref="BZ140" si="3569">IF(SUBTOTAL(9,BZ141:BZ145)&gt;0,SUBTOTAL(9,BZ141:BZ145),"")</f>
        <v/>
      </c>
      <c r="CA140" s="34" t="str">
        <f t="shared" ref="CA140" si="3570">IF(SUBTOTAL(9,CA141:CA145)&gt;0,SUBTOTAL(9,CA141:CA145),"")</f>
        <v/>
      </c>
      <c r="CB140" s="34" t="str">
        <f t="shared" ref="CB140" si="3571">IF(SUBTOTAL(9,CB141:CB145)&gt;0,SUBTOTAL(9,CB141:CB145),"")</f>
        <v/>
      </c>
      <c r="CC140" s="34" t="str">
        <f t="shared" ref="CC140" si="3572">IF(SUBTOTAL(9,CC141:CC145)&gt;0,SUBTOTAL(9,CC141:CC145),"")</f>
        <v/>
      </c>
      <c r="CD140" s="34" t="str">
        <f t="shared" ref="CD140" si="3573">IF(SUBTOTAL(9,CD141:CD145)&gt;0,SUBTOTAL(9,CD141:CD145),"")</f>
        <v/>
      </c>
      <c r="CE140" s="34" t="str">
        <f t="shared" ref="CE140" si="3574">IF(SUBTOTAL(9,CE141:CE145)&gt;0,SUBTOTAL(9,CE141:CE145),"")</f>
        <v/>
      </c>
      <c r="CF140" s="34" t="str">
        <f t="shared" ref="CF140:CG140" si="3575">IF(SUBTOTAL(9,CF141:CF145)&gt;0,SUBTOTAL(9,CF141:CF145),"")</f>
        <v/>
      </c>
      <c r="CG140" s="34" t="str">
        <f t="shared" si="3575"/>
        <v/>
      </c>
      <c r="CH140" s="34" t="str">
        <f t="shared" ref="CH140" si="3576">IF(SUBTOTAL(9,CH141:CH145)&gt;0,SUBTOTAL(9,CH141:CH145),"")</f>
        <v/>
      </c>
      <c r="CI140" s="34" t="str">
        <f t="shared" ref="CI140" si="3577">IF(SUBTOTAL(9,CI141:CI145)&gt;0,SUBTOTAL(9,CI141:CI145),"")</f>
        <v/>
      </c>
      <c r="CJ140" s="34" t="str">
        <f t="shared" ref="CJ140" si="3578">IF(SUBTOTAL(9,CJ141:CJ145)&gt;0,SUBTOTAL(9,CJ141:CJ145),"")</f>
        <v/>
      </c>
      <c r="CK140" s="34" t="str">
        <f t="shared" ref="CK140" si="3579">IF(SUBTOTAL(9,CK141:CK145)&gt;0,SUBTOTAL(9,CK141:CK145),"")</f>
        <v/>
      </c>
      <c r="CL140" s="34" t="str">
        <f t="shared" ref="CL140" si="3580">IF(SUBTOTAL(9,CL141:CL145)&gt;0,SUBTOTAL(9,CL141:CL145),"")</f>
        <v/>
      </c>
      <c r="CM140" s="34" t="str">
        <f t="shared" ref="CM140" si="3581">IF(SUBTOTAL(9,CM141:CM145)&gt;0,SUBTOTAL(9,CM141:CM145),"")</f>
        <v/>
      </c>
      <c r="CN140" s="34" t="str">
        <f t="shared" ref="CN140" si="3582">IF(SUBTOTAL(9,CN141:CN145)&gt;0,SUBTOTAL(9,CN141:CN145),"")</f>
        <v/>
      </c>
      <c r="CO140" s="34" t="str">
        <f t="shared" ref="CO140" si="3583">IF(SUBTOTAL(9,CO141:CO145)&gt;0,SUBTOTAL(9,CO141:CO145),"")</f>
        <v/>
      </c>
      <c r="CP140" s="34" t="str">
        <f t="shared" ref="CP140" si="3584">IF(SUBTOTAL(9,CP141:CP145)&gt;0,SUBTOTAL(9,CP141:CP145),"")</f>
        <v/>
      </c>
      <c r="CQ140" s="34" t="str">
        <f t="shared" ref="CQ140" si="3585">IF(SUBTOTAL(9,CQ141:CQ145)&gt;0,SUBTOTAL(9,CQ141:CQ145),"")</f>
        <v/>
      </c>
      <c r="CR140" s="34" t="str">
        <f t="shared" ref="CR140" si="3586">IF(SUBTOTAL(9,CR141:CR145)&gt;0,SUBTOTAL(9,CR141:CR145),"")</f>
        <v/>
      </c>
      <c r="CS140" s="34" t="str">
        <f t="shared" ref="CS140" si="3587">IF(SUBTOTAL(9,CS141:CS145)&gt;0,SUBTOTAL(9,CS141:CS145),"")</f>
        <v/>
      </c>
      <c r="CT140" s="33" t="str">
        <f t="shared" ref="CT140" si="3588">IF(SUBTOTAL(9,CT141:CT145)&gt;0,SUBTOTAL(9,CT141:CT145),"")</f>
        <v/>
      </c>
      <c r="CU140" s="34" t="str">
        <f t="shared" ref="CU140" si="3589">IF(SUBTOTAL(9,CU141:CU145)&gt;0,SUBTOTAL(9,CU141:CU145),"")</f>
        <v/>
      </c>
      <c r="CV140" s="34" t="str">
        <f t="shared" ref="CV140" si="3590">IF(SUBTOTAL(9,CV141:CV145)&gt;0,SUBTOTAL(9,CV141:CV145),"")</f>
        <v/>
      </c>
      <c r="CW140" s="34" t="str">
        <f t="shared" ref="CW140" si="3591">IF(SUBTOTAL(9,CW141:CW145)&gt;0,SUBTOTAL(9,CW141:CW145),"")</f>
        <v/>
      </c>
      <c r="CX140" s="34" t="str">
        <f t="shared" ref="CX140" si="3592">IF(SUBTOTAL(9,CX141:CX145)&gt;0,SUBTOTAL(9,CX141:CX145),"")</f>
        <v/>
      </c>
      <c r="CY140" s="34" t="str">
        <f t="shared" ref="CY140" si="3593">IF(SUBTOTAL(9,CY141:CY145)&gt;0,SUBTOTAL(9,CY141:CY145),"")</f>
        <v/>
      </c>
      <c r="CZ140" s="33" t="str">
        <f t="shared" ref="CZ140" si="3594">IF(SUBTOTAL(9,CZ141:CZ145)&gt;0,SUBTOTAL(9,CZ141:CZ145),"")</f>
        <v/>
      </c>
      <c r="DA140" s="33" t="str">
        <f t="shared" ref="DA140" si="3595">IF(SUBTOTAL(9,DA141:DA145)&gt;0,SUBTOTAL(9,DA141:DA145),"")</f>
        <v/>
      </c>
      <c r="DB140" s="34" t="str">
        <f t="shared" ref="DB140" si="3596">IF(SUBTOTAL(9,DB141:DB145)&gt;0,SUBTOTAL(9,DB141:DB145),"")</f>
        <v/>
      </c>
      <c r="DC140" s="34" t="str">
        <f t="shared" ref="DC140" si="3597">IF(SUBTOTAL(9,DC141:DC145)&gt;0,SUBTOTAL(9,DC141:DC145),"")</f>
        <v/>
      </c>
      <c r="DD140" s="34" t="str">
        <f t="shared" ref="DD140" si="3598">IF(SUBTOTAL(9,DD141:DD145)&gt;0,SUBTOTAL(9,DD141:DD145),"")</f>
        <v/>
      </c>
      <c r="DE140" s="34" t="str">
        <f t="shared" ref="DE140" si="3599">IF(SUBTOTAL(9,DE141:DE145)&gt;0,SUBTOTAL(9,DE141:DE145),"")</f>
        <v/>
      </c>
      <c r="DF140" s="34" t="str">
        <f t="shared" ref="DF140" si="3600">IF(SUBTOTAL(9,DF141:DF145)&gt;0,SUBTOTAL(9,DF141:DF145),"")</f>
        <v/>
      </c>
      <c r="DG140" s="34" t="str">
        <f t="shared" ref="DG140" si="3601">IF(SUBTOTAL(9,DG141:DG145)&gt;0,SUBTOTAL(9,DG141:DG145),"")</f>
        <v/>
      </c>
      <c r="DH140" s="34" t="str">
        <f t="shared" ref="DH140" si="3602">IF(SUBTOTAL(9,DH141:DH145)&gt;0,SUBTOTAL(9,DH141:DH145),"")</f>
        <v/>
      </c>
      <c r="DI140" s="34" t="str">
        <f t="shared" ref="DI140" si="3603">IF(SUBTOTAL(9,DI141:DI145)&gt;0,SUBTOTAL(9,DI141:DI145),"")</f>
        <v/>
      </c>
      <c r="DJ140" s="34" t="str">
        <f t="shared" ref="DJ140" si="3604">IF(SUBTOTAL(9,DJ141:DJ145)&gt;0,SUBTOTAL(9,DJ141:DJ145),"")</f>
        <v/>
      </c>
      <c r="DK140" s="34" t="str">
        <f t="shared" ref="DK140" si="3605">IF(SUBTOTAL(9,DK141:DK145)&gt;0,SUBTOTAL(9,DK141:DK145),"")</f>
        <v/>
      </c>
      <c r="DL140" s="34" t="str">
        <f t="shared" ref="DL140" si="3606">IF(SUBTOTAL(9,DL141:DL145)&gt;0,SUBTOTAL(9,DL141:DL145),"")</f>
        <v/>
      </c>
      <c r="DM140" s="34" t="str">
        <f t="shared" ref="DM140" si="3607">IF(SUBTOTAL(9,DM141:DM145)&gt;0,SUBTOTAL(9,DM141:DM145),"")</f>
        <v/>
      </c>
      <c r="DN140" s="34" t="str">
        <f t="shared" ref="DN140" si="3608">IF(SUBTOTAL(9,DN141:DN145)&gt;0,SUBTOTAL(9,DN141:DN145),"")</f>
        <v/>
      </c>
      <c r="DO140" s="34" t="str">
        <f t="shared" ref="DO140" si="3609">IF(SUBTOTAL(9,DO141:DO145)&gt;0,SUBTOTAL(9,DO141:DO145),"")</f>
        <v/>
      </c>
      <c r="DP140" s="34" t="str">
        <f t="shared" ref="DP140" si="3610">IF(SUBTOTAL(9,DP141:DP145)&gt;0,SUBTOTAL(9,DP141:DP145),"")</f>
        <v/>
      </c>
      <c r="DQ140" s="34" t="str">
        <f t="shared" ref="DQ140" si="3611">IF(SUBTOTAL(9,DQ141:DQ145)&gt;0,SUBTOTAL(9,DQ141:DQ145),"")</f>
        <v/>
      </c>
      <c r="DR140" s="34" t="str">
        <f t="shared" ref="DR140" si="3612">IF(SUBTOTAL(9,DR141:DR145)&gt;0,SUBTOTAL(9,DR141:DR145),"")</f>
        <v/>
      </c>
      <c r="DS140" s="34" t="str">
        <f t="shared" ref="DS140" si="3613">IF(SUBTOTAL(9,DS141:DS145)&gt;0,SUBTOTAL(9,DS141:DS145),"")</f>
        <v/>
      </c>
      <c r="DT140" s="34" t="str">
        <f t="shared" ref="DT140" si="3614">IF(SUBTOTAL(9,DT141:DT145)&gt;0,SUBTOTAL(9,DT141:DT145),"")</f>
        <v/>
      </c>
      <c r="DU140" s="34" t="str">
        <f t="shared" ref="DU140" si="3615">IF(SUBTOTAL(9,DU141:DU145)&gt;0,SUBTOTAL(9,DU141:DU145),"")</f>
        <v/>
      </c>
      <c r="DV140" s="34" t="str">
        <f t="shared" ref="DV140" si="3616">IF(SUBTOTAL(9,DV141:DV145)&gt;0,SUBTOTAL(9,DV141:DV145),"")</f>
        <v/>
      </c>
      <c r="DW140" s="34" t="str">
        <f t="shared" ref="DW140" si="3617">IF(SUBTOTAL(9,DW141:DW145)&gt;0,SUBTOTAL(9,DW141:DW145),"")</f>
        <v/>
      </c>
      <c r="DX140" s="34" t="str">
        <f t="shared" ref="DX140" si="3618">IF(SUBTOTAL(9,DX141:DX145)&gt;0,SUBTOTAL(9,DX141:DX145),"")</f>
        <v/>
      </c>
      <c r="DY140" s="34" t="str">
        <f t="shared" ref="DY140" si="3619">IF(SUBTOTAL(9,DY141:DY145)&gt;0,SUBTOTAL(9,DY141:DY145),"")</f>
        <v/>
      </c>
      <c r="DZ140" s="33" t="str">
        <f t="shared" ref="DZ140" si="3620">IF(SUBTOTAL(9,DZ141:DZ145)&gt;0,SUBTOTAL(9,DZ141:DZ145),"")</f>
        <v/>
      </c>
      <c r="EA140" s="34" t="str">
        <f t="shared" ref="EA140" si="3621">IF(SUBTOTAL(9,EA141:EA145)&gt;0,SUBTOTAL(9,EA141:EA145),"")</f>
        <v/>
      </c>
      <c r="EB140" s="34" t="str">
        <f t="shared" ref="EB140" si="3622">IF(SUBTOTAL(9,EB141:EB145)&gt;0,SUBTOTAL(9,EB141:EB145),"")</f>
        <v/>
      </c>
      <c r="EC140" s="34" t="str">
        <f t="shared" ref="EC140" si="3623">IF(SUBTOTAL(9,EC141:EC145)&gt;0,SUBTOTAL(9,EC141:EC145),"")</f>
        <v/>
      </c>
      <c r="ED140" s="34" t="str">
        <f t="shared" ref="ED140" si="3624">IF(SUBTOTAL(9,ED141:ED145)&gt;0,SUBTOTAL(9,ED141:ED145),"")</f>
        <v/>
      </c>
      <c r="EE140" s="34" t="str">
        <f t="shared" ref="EE140" si="3625">IF(SUBTOTAL(9,EE141:EE145)&gt;0,SUBTOTAL(9,EE141:EE145),"")</f>
        <v/>
      </c>
      <c r="EF140" s="34" t="str">
        <f t="shared" ref="EF140" si="3626">IF(SUBTOTAL(9,EF141:EF145)&gt;0,SUBTOTAL(9,EF141:EF145),"")</f>
        <v/>
      </c>
      <c r="EG140" s="34" t="str">
        <f t="shared" ref="EG140" si="3627">IF(SUBTOTAL(9,EG141:EG145)&gt;0,SUBTOTAL(9,EG141:EG145),"")</f>
        <v/>
      </c>
      <c r="EH140" s="34" t="str">
        <f t="shared" ref="EH140" si="3628">IF(SUBTOTAL(9,EH141:EH145)&gt;0,SUBTOTAL(9,EH141:EH145),"")</f>
        <v/>
      </c>
      <c r="EI140" s="34" t="str">
        <f t="shared" ref="EI140" si="3629">IF(SUBTOTAL(9,EI141:EI145)&gt;0,SUBTOTAL(9,EI141:EI145),"")</f>
        <v/>
      </c>
      <c r="EJ140" s="34" t="str">
        <f t="shared" ref="EJ140" si="3630">IF(SUBTOTAL(9,EJ141:EJ145)&gt;0,SUBTOTAL(9,EJ141:EJ145),"")</f>
        <v/>
      </c>
      <c r="EK140" s="34" t="str">
        <f t="shared" ref="EK140" si="3631">IF(SUBTOTAL(9,EK141:EK145)&gt;0,SUBTOTAL(9,EK141:EK145),"")</f>
        <v/>
      </c>
      <c r="EL140" s="34" t="str">
        <f t="shared" ref="EL140" si="3632">IF(SUBTOTAL(9,EL141:EL145)&gt;0,SUBTOTAL(9,EL141:EL145),"")</f>
        <v/>
      </c>
      <c r="EM140" s="34" t="str">
        <f t="shared" ref="EM140" si="3633">IF(SUBTOTAL(9,EM141:EM145)&gt;0,SUBTOTAL(9,EM141:EM145),"")</f>
        <v/>
      </c>
      <c r="EN140" s="34" t="str">
        <f t="shared" ref="EN140" si="3634">IF(SUBTOTAL(9,EN141:EN145)&gt;0,SUBTOTAL(9,EN141:EN145),"")</f>
        <v/>
      </c>
      <c r="EO140" s="34" t="str">
        <f t="shared" ref="EO140" si="3635">IF(SUBTOTAL(9,EO141:EO145)&gt;0,SUBTOTAL(9,EO141:EO145),"")</f>
        <v/>
      </c>
      <c r="EP140" s="34" t="str">
        <f t="shared" ref="EP140" si="3636">IF(SUBTOTAL(9,EP141:EP145)&gt;0,SUBTOTAL(9,EP141:EP145),"")</f>
        <v/>
      </c>
      <c r="EQ140" s="34" t="str">
        <f t="shared" ref="EQ140" si="3637">IF(SUBTOTAL(9,EQ141:EQ145)&gt;0,SUBTOTAL(9,EQ141:EQ145),"")</f>
        <v/>
      </c>
      <c r="ER140" s="34" t="str">
        <f t="shared" ref="ER140" si="3638">IF(SUBTOTAL(9,ER141:ER145)&gt;0,SUBTOTAL(9,ER141:ER145),"")</f>
        <v/>
      </c>
      <c r="ES140" s="34" t="str">
        <f t="shared" ref="ES140" si="3639">IF(SUBTOTAL(9,ES141:ES145)&gt;0,SUBTOTAL(9,ES141:ES145),"")</f>
        <v/>
      </c>
      <c r="ET140" s="34" t="str">
        <f t="shared" ref="ET140" si="3640">IF(SUBTOTAL(9,ET141:ET145)&gt;0,SUBTOTAL(9,ET141:ET145),"")</f>
        <v/>
      </c>
      <c r="EU140" s="34" t="str">
        <f t="shared" ref="EU140" si="3641">IF(SUBTOTAL(9,EU141:EU145)&gt;0,SUBTOTAL(9,EU141:EU145),"")</f>
        <v/>
      </c>
      <c r="EV140" s="34" t="str">
        <f t="shared" ref="EV140" si="3642">IF(SUBTOTAL(9,EV141:EV145)&gt;0,SUBTOTAL(9,EV141:EV145),"")</f>
        <v/>
      </c>
      <c r="EW140" s="34" t="str">
        <f t="shared" ref="EW140" si="3643">IF(SUBTOTAL(9,EW141:EW145)&gt;0,SUBTOTAL(9,EW141:EW145),"")</f>
        <v/>
      </c>
      <c r="EX140" s="34" t="str">
        <f t="shared" ref="EX140" si="3644">IF(SUBTOTAL(9,EX141:EX145)&gt;0,SUBTOTAL(9,EX141:EX145),"")</f>
        <v/>
      </c>
      <c r="EY140" s="33" t="str">
        <f t="shared" ref="EY140" si="3645">IF(SUBTOTAL(9,EY141:EY145)&gt;0,SUBTOTAL(9,EY141:EY145),"")</f>
        <v/>
      </c>
      <c r="EZ140" s="34" t="str">
        <f t="shared" ref="EZ140" si="3646">IF(SUBTOTAL(9,EZ141:EZ145)&gt;0,SUBTOTAL(9,EZ141:EZ145),"")</f>
        <v/>
      </c>
      <c r="FA140" s="34" t="str">
        <f t="shared" ref="FA140" si="3647">IF(SUBTOTAL(9,FA141:FA145)&gt;0,SUBTOTAL(9,FA141:FA145),"")</f>
        <v/>
      </c>
      <c r="FB140" s="34" t="str">
        <f t="shared" ref="FB140" si="3648">IF(SUBTOTAL(9,FB141:FB145)&gt;0,SUBTOTAL(9,FB141:FB145),"")</f>
        <v/>
      </c>
      <c r="FC140" s="34" t="str">
        <f t="shared" ref="FC140" si="3649">IF(SUBTOTAL(9,FC141:FC145)&gt;0,SUBTOTAL(9,FC141:FC145),"")</f>
        <v/>
      </c>
      <c r="FD140" s="34" t="str">
        <f t="shared" ref="FD140" si="3650">IF(SUBTOTAL(9,FD141:FD145)&gt;0,SUBTOTAL(9,FD141:FD145),"")</f>
        <v/>
      </c>
      <c r="FE140" s="34" t="str">
        <f t="shared" ref="FE140" si="3651">IF(SUBTOTAL(9,FE141:FE145)&gt;0,SUBTOTAL(9,FE141:FE145),"")</f>
        <v/>
      </c>
      <c r="FF140" s="34" t="str">
        <f t="shared" ref="FF140" si="3652">IF(SUBTOTAL(9,FF141:FF145)&gt;0,SUBTOTAL(9,FF141:FF145),"")</f>
        <v/>
      </c>
      <c r="FG140" s="34" t="str">
        <f t="shared" ref="FG140" si="3653">IF(SUBTOTAL(9,FG141:FG145)&gt;0,SUBTOTAL(9,FG141:FG145),"")</f>
        <v/>
      </c>
      <c r="FH140" s="34" t="str">
        <f t="shared" ref="FH140" si="3654">IF(SUBTOTAL(9,FH141:FH145)&gt;0,SUBTOTAL(9,FH141:FH145),"")</f>
        <v/>
      </c>
      <c r="FI140" s="34" t="str">
        <f t="shared" ref="FI140" si="3655">IF(SUBTOTAL(9,FI141:FI145)&gt;0,SUBTOTAL(9,FI141:FI145),"")</f>
        <v/>
      </c>
      <c r="FJ140" s="34" t="str">
        <f t="shared" ref="FJ140" si="3656">IF(SUBTOTAL(9,FJ141:FJ145)&gt;0,SUBTOTAL(9,FJ141:FJ145),"")</f>
        <v/>
      </c>
      <c r="FK140" s="34" t="str">
        <f t="shared" ref="FK140" si="3657">IF(SUBTOTAL(9,FK141:FK145)&gt;0,SUBTOTAL(9,FK141:FK145),"")</f>
        <v/>
      </c>
      <c r="FL140" s="34" t="str">
        <f t="shared" ref="FL140" si="3658">IF(SUBTOTAL(9,FL141:FL145)&gt;0,SUBTOTAL(9,FL141:FL145),"")</f>
        <v/>
      </c>
      <c r="FM140" s="34" t="str">
        <f t="shared" ref="FM140" si="3659">IF(SUBTOTAL(9,FM141:FM145)&gt;0,SUBTOTAL(9,FM141:FM145),"")</f>
        <v/>
      </c>
      <c r="FN140" s="34" t="str">
        <f t="shared" ref="FN140" si="3660">IF(SUBTOTAL(9,FN141:FN145)&gt;0,SUBTOTAL(9,FN141:FN145),"")</f>
        <v/>
      </c>
      <c r="FO140" s="34" t="str">
        <f t="shared" ref="FO140" si="3661">IF(SUBTOTAL(9,FO141:FO145)&gt;0,SUBTOTAL(9,FO141:FO145),"")</f>
        <v/>
      </c>
      <c r="FP140" s="34" t="str">
        <f t="shared" ref="FP140" si="3662">IF(SUBTOTAL(9,FP141:FP145)&gt;0,SUBTOTAL(9,FP141:FP145),"")</f>
        <v/>
      </c>
      <c r="FQ140" s="92" t="str">
        <f t="shared" ref="FQ140" si="3663">IF(SUBTOTAL(9,FQ141:FQ145)&gt;0,SUBTOTAL(9,FQ141:FQ145),"")</f>
        <v/>
      </c>
      <c r="FR140" s="8"/>
      <c r="FS140" s="9" t="s">
        <v>131</v>
      </c>
      <c r="FT140" s="9" t="str">
        <f t="shared" ref="FT140:FT203" si="3664">CONCATENATE(D140,B140)</f>
        <v/>
      </c>
    </row>
    <row r="141" spans="1:176" s="9" customFormat="1" ht="12" hidden="1" customHeight="1" outlineLevel="1">
      <c r="A141" s="122" t="s">
        <v>4</v>
      </c>
      <c r="B141" s="123" t="s">
        <v>17</v>
      </c>
      <c r="C141" s="124" t="str">
        <f t="shared" si="3515"/>
        <v>11 days</v>
      </c>
      <c r="D141" s="13" t="str">
        <f>A133&amp;" "&amp;A140</f>
        <v>5. Annual Process Documentation 5.2 FCF Review</v>
      </c>
      <c r="E141" s="51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>
        <v>1</v>
      </c>
      <c r="U141" s="35"/>
      <c r="V141" s="35"/>
      <c r="W141" s="35"/>
      <c r="X141" s="35"/>
      <c r="Y141" s="35">
        <v>1</v>
      </c>
      <c r="Z141" s="35"/>
      <c r="AA141" s="35"/>
      <c r="AB141" s="35"/>
      <c r="AC141" s="35"/>
      <c r="AD141" s="35">
        <v>1</v>
      </c>
      <c r="AE141" s="35">
        <v>1</v>
      </c>
      <c r="AF141" s="35">
        <v>1</v>
      </c>
      <c r="AG141" s="35">
        <v>1</v>
      </c>
      <c r="AH141" s="35">
        <v>1</v>
      </c>
      <c r="AI141" s="35">
        <v>1</v>
      </c>
      <c r="AJ141" s="35"/>
      <c r="AK141" s="35"/>
      <c r="AL141" s="36"/>
      <c r="AM141" s="36"/>
      <c r="AN141" s="36"/>
      <c r="AO141" s="36"/>
      <c r="AP141" s="36"/>
      <c r="AQ141" s="36"/>
      <c r="AR141" s="36"/>
      <c r="AS141" s="35">
        <v>1</v>
      </c>
      <c r="AT141" s="35">
        <v>1</v>
      </c>
      <c r="AU141" s="35">
        <v>1</v>
      </c>
      <c r="AV141" s="35"/>
      <c r="AW141" s="35"/>
      <c r="AX141" s="35"/>
      <c r="AY141" s="35"/>
      <c r="AZ141" s="35"/>
      <c r="BA141" s="35"/>
      <c r="BB141" s="35"/>
      <c r="BC141" s="35"/>
      <c r="BD141" s="35"/>
      <c r="BE141" s="35"/>
      <c r="BF141" s="35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35"/>
      <c r="BU141" s="35"/>
      <c r="BV141" s="35"/>
      <c r="BW141" s="35"/>
      <c r="BX141" s="35"/>
      <c r="BY141" s="35"/>
      <c r="BZ141" s="35"/>
      <c r="CA141" s="35"/>
      <c r="CB141" s="35"/>
      <c r="CC141" s="35"/>
      <c r="CD141" s="35"/>
      <c r="CE141" s="35"/>
      <c r="CF141" s="35"/>
      <c r="CG141" s="35"/>
      <c r="CH141" s="35"/>
      <c r="CI141" s="35"/>
      <c r="CJ141" s="35"/>
      <c r="CK141" s="35"/>
      <c r="CL141" s="35"/>
      <c r="CM141" s="35"/>
      <c r="CN141" s="35"/>
      <c r="CO141" s="35"/>
      <c r="CP141" s="35"/>
      <c r="CQ141" s="35"/>
      <c r="CR141" s="35"/>
      <c r="CS141" s="35"/>
      <c r="CT141" s="36"/>
      <c r="CU141" s="35"/>
      <c r="CV141" s="35"/>
      <c r="CW141" s="35"/>
      <c r="CX141" s="35"/>
      <c r="CY141" s="35"/>
      <c r="CZ141" s="36"/>
      <c r="DA141" s="36"/>
      <c r="DB141" s="35"/>
      <c r="DC141" s="35"/>
      <c r="DD141" s="35"/>
      <c r="DE141" s="35"/>
      <c r="DF141" s="35"/>
      <c r="DG141" s="35"/>
      <c r="DH141" s="35"/>
      <c r="DI141" s="35"/>
      <c r="DJ141" s="35"/>
      <c r="DK141" s="35"/>
      <c r="DL141" s="35"/>
      <c r="DM141" s="35"/>
      <c r="DN141" s="35"/>
      <c r="DO141" s="35"/>
      <c r="DP141" s="35"/>
      <c r="DQ141" s="35"/>
      <c r="DR141" s="35"/>
      <c r="DS141" s="35"/>
      <c r="DT141" s="35"/>
      <c r="DU141" s="35"/>
      <c r="DV141" s="35"/>
      <c r="DW141" s="35"/>
      <c r="DX141" s="35"/>
      <c r="DY141" s="35"/>
      <c r="DZ141" s="36"/>
      <c r="EA141" s="35"/>
      <c r="EB141" s="35"/>
      <c r="EC141" s="35"/>
      <c r="ED141" s="35"/>
      <c r="EE141" s="35"/>
      <c r="EF141" s="35"/>
      <c r="EG141" s="35"/>
      <c r="EH141" s="35"/>
      <c r="EI141" s="35"/>
      <c r="EJ141" s="35"/>
      <c r="EK141" s="35"/>
      <c r="EL141" s="35"/>
      <c r="EM141" s="35"/>
      <c r="EN141" s="35"/>
      <c r="EO141" s="35"/>
      <c r="EP141" s="35"/>
      <c r="EQ141" s="35"/>
      <c r="ER141" s="35"/>
      <c r="ES141" s="35"/>
      <c r="ET141" s="35"/>
      <c r="EU141" s="35"/>
      <c r="EV141" s="35"/>
      <c r="EW141" s="35"/>
      <c r="EX141" s="35"/>
      <c r="EY141" s="36"/>
      <c r="EZ141" s="35"/>
      <c r="FA141" s="35"/>
      <c r="FB141" s="35"/>
      <c r="FC141" s="35"/>
      <c r="FD141" s="35"/>
      <c r="FE141" s="35"/>
      <c r="FF141" s="35"/>
      <c r="FG141" s="35"/>
      <c r="FH141" s="35"/>
      <c r="FI141" s="35"/>
      <c r="FJ141" s="35"/>
      <c r="FK141" s="35"/>
      <c r="FL141" s="35"/>
      <c r="FM141" s="35"/>
      <c r="FN141" s="35"/>
      <c r="FO141" s="35"/>
      <c r="FP141" s="35"/>
      <c r="FQ141" s="52"/>
      <c r="FR141" s="8"/>
      <c r="FS141" s="9" t="s">
        <v>13</v>
      </c>
      <c r="FT141" s="9" t="str">
        <f t="shared" si="3664"/>
        <v>5. Annual Process Documentation 5.2 FCF ReviewSenior Accountant</v>
      </c>
    </row>
    <row r="142" spans="1:176" s="9" customFormat="1" ht="12" hidden="1" customHeight="1" outlineLevel="1">
      <c r="A142" s="122"/>
      <c r="B142" s="123"/>
      <c r="C142" s="124" t="str">
        <f t="shared" si="3515"/>
        <v>0 days</v>
      </c>
      <c r="D142" s="13" t="str">
        <f>A133&amp;" "&amp;A140</f>
        <v>5. Annual Process Documentation 5.2 FCF Review</v>
      </c>
      <c r="E142" s="51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5"/>
      <c r="AK142" s="35"/>
      <c r="AL142" s="36"/>
      <c r="AM142" s="36"/>
      <c r="AN142" s="36"/>
      <c r="AO142" s="36"/>
      <c r="AP142" s="36"/>
      <c r="AQ142" s="36"/>
      <c r="AR142" s="36"/>
      <c r="AS142" s="35"/>
      <c r="AT142" s="35"/>
      <c r="AU142" s="35"/>
      <c r="AV142" s="35"/>
      <c r="AW142" s="35"/>
      <c r="AX142" s="35"/>
      <c r="AY142" s="35"/>
      <c r="AZ142" s="35"/>
      <c r="BA142" s="35"/>
      <c r="BB142" s="35"/>
      <c r="BC142" s="35"/>
      <c r="BD142" s="35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35"/>
      <c r="BU142" s="35"/>
      <c r="BV142" s="35"/>
      <c r="BW142" s="35"/>
      <c r="BX142" s="35"/>
      <c r="BY142" s="35"/>
      <c r="BZ142" s="35"/>
      <c r="CA142" s="35"/>
      <c r="CB142" s="35"/>
      <c r="CC142" s="35"/>
      <c r="CD142" s="35"/>
      <c r="CE142" s="35"/>
      <c r="CF142" s="35"/>
      <c r="CG142" s="35"/>
      <c r="CH142" s="35"/>
      <c r="CI142" s="35"/>
      <c r="CJ142" s="35"/>
      <c r="CK142" s="35"/>
      <c r="CL142" s="35"/>
      <c r="CM142" s="35"/>
      <c r="CN142" s="35"/>
      <c r="CO142" s="35"/>
      <c r="CP142" s="35"/>
      <c r="CQ142" s="35"/>
      <c r="CR142" s="35"/>
      <c r="CS142" s="35"/>
      <c r="CT142" s="36"/>
      <c r="CU142" s="35"/>
      <c r="CV142" s="35"/>
      <c r="CW142" s="35"/>
      <c r="CX142" s="35"/>
      <c r="CY142" s="35"/>
      <c r="CZ142" s="36"/>
      <c r="DA142" s="36"/>
      <c r="DB142" s="35"/>
      <c r="DC142" s="35"/>
      <c r="DD142" s="35"/>
      <c r="DE142" s="35"/>
      <c r="DF142" s="35"/>
      <c r="DG142" s="35"/>
      <c r="DH142" s="35"/>
      <c r="DI142" s="35"/>
      <c r="DJ142" s="35"/>
      <c r="DK142" s="35"/>
      <c r="DL142" s="35"/>
      <c r="DM142" s="35"/>
      <c r="DN142" s="35"/>
      <c r="DO142" s="35"/>
      <c r="DP142" s="35"/>
      <c r="DQ142" s="35"/>
      <c r="DR142" s="35"/>
      <c r="DS142" s="35"/>
      <c r="DT142" s="35"/>
      <c r="DU142" s="35"/>
      <c r="DV142" s="35"/>
      <c r="DW142" s="35"/>
      <c r="DX142" s="35"/>
      <c r="DY142" s="35"/>
      <c r="DZ142" s="36"/>
      <c r="EA142" s="35"/>
      <c r="EB142" s="35"/>
      <c r="EC142" s="35"/>
      <c r="ED142" s="35"/>
      <c r="EE142" s="35"/>
      <c r="EF142" s="35"/>
      <c r="EG142" s="35"/>
      <c r="EH142" s="35"/>
      <c r="EI142" s="35"/>
      <c r="EJ142" s="35"/>
      <c r="EK142" s="35"/>
      <c r="EL142" s="35"/>
      <c r="EM142" s="35"/>
      <c r="EN142" s="35"/>
      <c r="EO142" s="35"/>
      <c r="EP142" s="35"/>
      <c r="EQ142" s="35"/>
      <c r="ER142" s="35"/>
      <c r="ES142" s="35"/>
      <c r="ET142" s="35"/>
      <c r="EU142" s="35"/>
      <c r="EV142" s="35"/>
      <c r="EW142" s="35"/>
      <c r="EX142" s="35"/>
      <c r="EY142" s="36"/>
      <c r="EZ142" s="35"/>
      <c r="FA142" s="35"/>
      <c r="FB142" s="35"/>
      <c r="FC142" s="35"/>
      <c r="FD142" s="35"/>
      <c r="FE142" s="35"/>
      <c r="FF142" s="35"/>
      <c r="FG142" s="35"/>
      <c r="FH142" s="35"/>
      <c r="FI142" s="35"/>
      <c r="FJ142" s="35"/>
      <c r="FK142" s="35"/>
      <c r="FL142" s="35"/>
      <c r="FM142" s="35"/>
      <c r="FN142" s="35"/>
      <c r="FO142" s="35"/>
      <c r="FP142" s="35"/>
      <c r="FQ142" s="52"/>
      <c r="FR142" s="8"/>
      <c r="FS142" s="9" t="s">
        <v>13</v>
      </c>
      <c r="FT142" s="9" t="str">
        <f t="shared" si="3664"/>
        <v>5. Annual Process Documentation 5.2 FCF Review</v>
      </c>
    </row>
    <row r="143" spans="1:176" s="9" customFormat="1" ht="12" hidden="1" customHeight="1" outlineLevel="1">
      <c r="A143" s="125" t="s">
        <v>50</v>
      </c>
      <c r="B143" s="123"/>
      <c r="C143" s="124" t="str">
        <f t="shared" si="3515"/>
        <v>0 days</v>
      </c>
      <c r="D143" s="13" t="str">
        <f>A133&amp;" "&amp;A140</f>
        <v>5. Annual Process Documentation 5.2 FCF Review</v>
      </c>
      <c r="E143" s="51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5"/>
      <c r="AK143" s="35"/>
      <c r="AL143" s="36"/>
      <c r="AM143" s="36"/>
      <c r="AN143" s="36"/>
      <c r="AO143" s="36"/>
      <c r="AP143" s="36"/>
      <c r="AQ143" s="36"/>
      <c r="AR143" s="36"/>
      <c r="AS143" s="35"/>
      <c r="AT143" s="35"/>
      <c r="AU143" s="35"/>
      <c r="AV143" s="35"/>
      <c r="AW143" s="35"/>
      <c r="AX143" s="35"/>
      <c r="AY143" s="35"/>
      <c r="AZ143" s="35"/>
      <c r="BA143" s="35"/>
      <c r="BB143" s="35"/>
      <c r="BC143" s="35"/>
      <c r="BD143" s="35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35"/>
      <c r="BU143" s="35"/>
      <c r="BV143" s="35"/>
      <c r="BW143" s="35"/>
      <c r="BX143" s="35"/>
      <c r="BY143" s="35"/>
      <c r="BZ143" s="35"/>
      <c r="CA143" s="35"/>
      <c r="CB143" s="35"/>
      <c r="CC143" s="35"/>
      <c r="CD143" s="35"/>
      <c r="CE143" s="35"/>
      <c r="CF143" s="35"/>
      <c r="CG143" s="35"/>
      <c r="CH143" s="35"/>
      <c r="CI143" s="35"/>
      <c r="CJ143" s="35"/>
      <c r="CK143" s="35"/>
      <c r="CL143" s="35"/>
      <c r="CM143" s="35"/>
      <c r="CN143" s="35"/>
      <c r="CO143" s="35"/>
      <c r="CP143" s="35"/>
      <c r="CQ143" s="35"/>
      <c r="CR143" s="35"/>
      <c r="CS143" s="35"/>
      <c r="CT143" s="36"/>
      <c r="CU143" s="35"/>
      <c r="CV143" s="35"/>
      <c r="CW143" s="35"/>
      <c r="CX143" s="35"/>
      <c r="CY143" s="35"/>
      <c r="CZ143" s="36"/>
      <c r="DA143" s="36"/>
      <c r="DB143" s="35"/>
      <c r="DC143" s="35"/>
      <c r="DD143" s="35"/>
      <c r="DE143" s="35"/>
      <c r="DF143" s="35"/>
      <c r="DG143" s="35"/>
      <c r="DH143" s="35"/>
      <c r="DI143" s="35"/>
      <c r="DJ143" s="35"/>
      <c r="DK143" s="35"/>
      <c r="DL143" s="35"/>
      <c r="DM143" s="35"/>
      <c r="DN143" s="35"/>
      <c r="DO143" s="35"/>
      <c r="DP143" s="35"/>
      <c r="DQ143" s="35"/>
      <c r="DR143" s="35"/>
      <c r="DS143" s="35"/>
      <c r="DT143" s="35"/>
      <c r="DU143" s="35"/>
      <c r="DV143" s="35"/>
      <c r="DW143" s="35"/>
      <c r="DX143" s="35"/>
      <c r="DY143" s="35"/>
      <c r="DZ143" s="36"/>
      <c r="EA143" s="35"/>
      <c r="EB143" s="35"/>
      <c r="EC143" s="35"/>
      <c r="ED143" s="35"/>
      <c r="EE143" s="35"/>
      <c r="EF143" s="35"/>
      <c r="EG143" s="35"/>
      <c r="EH143" s="35"/>
      <c r="EI143" s="35"/>
      <c r="EJ143" s="35"/>
      <c r="EK143" s="35"/>
      <c r="EL143" s="35"/>
      <c r="EM143" s="35"/>
      <c r="EN143" s="35"/>
      <c r="EO143" s="35"/>
      <c r="EP143" s="35"/>
      <c r="EQ143" s="35"/>
      <c r="ER143" s="35"/>
      <c r="ES143" s="35"/>
      <c r="ET143" s="35"/>
      <c r="EU143" s="35"/>
      <c r="EV143" s="35"/>
      <c r="EW143" s="35"/>
      <c r="EX143" s="35"/>
      <c r="EY143" s="36"/>
      <c r="EZ143" s="35"/>
      <c r="FA143" s="35"/>
      <c r="FB143" s="35"/>
      <c r="FC143" s="35"/>
      <c r="FD143" s="35"/>
      <c r="FE143" s="35"/>
      <c r="FF143" s="35"/>
      <c r="FG143" s="35"/>
      <c r="FH143" s="35"/>
      <c r="FI143" s="35"/>
      <c r="FJ143" s="35"/>
      <c r="FK143" s="35"/>
      <c r="FL143" s="35"/>
      <c r="FM143" s="35"/>
      <c r="FN143" s="35"/>
      <c r="FO143" s="35"/>
      <c r="FP143" s="35"/>
      <c r="FQ143" s="52"/>
      <c r="FR143" s="8"/>
      <c r="FS143" s="9" t="s">
        <v>13</v>
      </c>
      <c r="FT143" s="9" t="str">
        <f t="shared" si="3664"/>
        <v>5. Annual Process Documentation 5.2 FCF Review</v>
      </c>
    </row>
    <row r="144" spans="1:176" s="9" customFormat="1" ht="12" hidden="1" customHeight="1" outlineLevel="1">
      <c r="A144" s="125" t="s">
        <v>50</v>
      </c>
      <c r="B144" s="123"/>
      <c r="C144" s="124" t="str">
        <f t="shared" si="3515"/>
        <v>0 days</v>
      </c>
      <c r="D144" s="13" t="str">
        <f>A133&amp;" "&amp;A140</f>
        <v>5. Annual Process Documentation 5.2 FCF Review</v>
      </c>
      <c r="E144" s="51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5"/>
      <c r="AK144" s="35"/>
      <c r="AL144" s="36"/>
      <c r="AM144" s="36"/>
      <c r="AN144" s="36"/>
      <c r="AO144" s="36"/>
      <c r="AP144" s="36"/>
      <c r="AQ144" s="36"/>
      <c r="AR144" s="36"/>
      <c r="AS144" s="35"/>
      <c r="AT144" s="35"/>
      <c r="AU144" s="35"/>
      <c r="AV144" s="35"/>
      <c r="AW144" s="35"/>
      <c r="AX144" s="35"/>
      <c r="AY144" s="35"/>
      <c r="AZ144" s="35"/>
      <c r="BA144" s="35"/>
      <c r="BB144" s="35"/>
      <c r="BC144" s="35"/>
      <c r="BD144" s="35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35"/>
      <c r="BU144" s="35"/>
      <c r="BV144" s="35"/>
      <c r="BW144" s="35"/>
      <c r="BX144" s="35"/>
      <c r="BY144" s="35"/>
      <c r="BZ144" s="35"/>
      <c r="CA144" s="35"/>
      <c r="CB144" s="35"/>
      <c r="CC144" s="35"/>
      <c r="CD144" s="35"/>
      <c r="CE144" s="35"/>
      <c r="CF144" s="35"/>
      <c r="CG144" s="35"/>
      <c r="CH144" s="35"/>
      <c r="CI144" s="35"/>
      <c r="CJ144" s="35"/>
      <c r="CK144" s="35"/>
      <c r="CL144" s="35"/>
      <c r="CM144" s="35"/>
      <c r="CN144" s="35"/>
      <c r="CO144" s="35"/>
      <c r="CP144" s="35"/>
      <c r="CQ144" s="35"/>
      <c r="CR144" s="35"/>
      <c r="CS144" s="35"/>
      <c r="CT144" s="36"/>
      <c r="CU144" s="35"/>
      <c r="CV144" s="35"/>
      <c r="CW144" s="35"/>
      <c r="CX144" s="35"/>
      <c r="CY144" s="35"/>
      <c r="CZ144" s="36"/>
      <c r="DA144" s="36"/>
      <c r="DB144" s="35"/>
      <c r="DC144" s="35"/>
      <c r="DD144" s="35"/>
      <c r="DE144" s="35"/>
      <c r="DF144" s="35"/>
      <c r="DG144" s="35"/>
      <c r="DH144" s="35"/>
      <c r="DI144" s="35"/>
      <c r="DJ144" s="35"/>
      <c r="DK144" s="35"/>
      <c r="DL144" s="35"/>
      <c r="DM144" s="35"/>
      <c r="DN144" s="35"/>
      <c r="DO144" s="35"/>
      <c r="DP144" s="35"/>
      <c r="DQ144" s="35"/>
      <c r="DR144" s="35"/>
      <c r="DS144" s="35"/>
      <c r="DT144" s="35"/>
      <c r="DU144" s="35"/>
      <c r="DV144" s="35"/>
      <c r="DW144" s="35"/>
      <c r="DX144" s="35"/>
      <c r="DY144" s="35"/>
      <c r="DZ144" s="36"/>
      <c r="EA144" s="35"/>
      <c r="EB144" s="35"/>
      <c r="EC144" s="35"/>
      <c r="ED144" s="35"/>
      <c r="EE144" s="35"/>
      <c r="EF144" s="35"/>
      <c r="EG144" s="35"/>
      <c r="EH144" s="35"/>
      <c r="EI144" s="35"/>
      <c r="EJ144" s="35"/>
      <c r="EK144" s="35"/>
      <c r="EL144" s="35"/>
      <c r="EM144" s="35"/>
      <c r="EN144" s="35"/>
      <c r="EO144" s="35"/>
      <c r="EP144" s="35"/>
      <c r="EQ144" s="35"/>
      <c r="ER144" s="35"/>
      <c r="ES144" s="35"/>
      <c r="ET144" s="35"/>
      <c r="EU144" s="35"/>
      <c r="EV144" s="35"/>
      <c r="EW144" s="35"/>
      <c r="EX144" s="35"/>
      <c r="EY144" s="36"/>
      <c r="EZ144" s="35"/>
      <c r="FA144" s="35"/>
      <c r="FB144" s="35"/>
      <c r="FC144" s="35"/>
      <c r="FD144" s="35"/>
      <c r="FE144" s="35"/>
      <c r="FF144" s="35"/>
      <c r="FG144" s="35"/>
      <c r="FH144" s="35"/>
      <c r="FI144" s="35"/>
      <c r="FJ144" s="35"/>
      <c r="FK144" s="35"/>
      <c r="FL144" s="35"/>
      <c r="FM144" s="35"/>
      <c r="FN144" s="35"/>
      <c r="FO144" s="35"/>
      <c r="FP144" s="35"/>
      <c r="FQ144" s="52"/>
      <c r="FR144" s="8"/>
      <c r="FS144" s="9" t="s">
        <v>13</v>
      </c>
      <c r="FT144" s="9" t="str">
        <f t="shared" si="3664"/>
        <v>5. Annual Process Documentation 5.2 FCF Review</v>
      </c>
    </row>
    <row r="145" spans="1:176" s="9" customFormat="1" ht="12" hidden="1" customHeight="1" outlineLevel="1">
      <c r="A145" s="126" t="s">
        <v>50</v>
      </c>
      <c r="B145" s="123"/>
      <c r="C145" s="124" t="str">
        <f t="shared" si="3515"/>
        <v>0 days</v>
      </c>
      <c r="D145" s="13" t="str">
        <f>A133&amp;" "&amp;A140</f>
        <v>5. Annual Process Documentation 5.2 FCF Review</v>
      </c>
      <c r="E145" s="51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5"/>
      <c r="AK145" s="35"/>
      <c r="AL145" s="36"/>
      <c r="AM145" s="36"/>
      <c r="AN145" s="36"/>
      <c r="AO145" s="36"/>
      <c r="AP145" s="36"/>
      <c r="AQ145" s="36"/>
      <c r="AR145" s="36"/>
      <c r="AS145" s="35"/>
      <c r="AT145" s="35"/>
      <c r="AU145" s="35"/>
      <c r="AV145" s="35"/>
      <c r="AW145" s="35"/>
      <c r="AX145" s="35"/>
      <c r="AY145" s="35"/>
      <c r="AZ145" s="35"/>
      <c r="BA145" s="35"/>
      <c r="BB145" s="35"/>
      <c r="BC145" s="35"/>
      <c r="BD145" s="35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35"/>
      <c r="BU145" s="35"/>
      <c r="BV145" s="35"/>
      <c r="BW145" s="35"/>
      <c r="BX145" s="35"/>
      <c r="BY145" s="35"/>
      <c r="BZ145" s="35"/>
      <c r="CA145" s="35"/>
      <c r="CB145" s="35"/>
      <c r="CC145" s="35"/>
      <c r="CD145" s="35"/>
      <c r="CE145" s="35"/>
      <c r="CF145" s="35"/>
      <c r="CG145" s="35"/>
      <c r="CH145" s="35"/>
      <c r="CI145" s="35"/>
      <c r="CJ145" s="35"/>
      <c r="CK145" s="35"/>
      <c r="CL145" s="35"/>
      <c r="CM145" s="35"/>
      <c r="CN145" s="35"/>
      <c r="CO145" s="35"/>
      <c r="CP145" s="35"/>
      <c r="CQ145" s="35"/>
      <c r="CR145" s="35"/>
      <c r="CS145" s="35"/>
      <c r="CT145" s="36"/>
      <c r="CU145" s="35"/>
      <c r="CV145" s="35"/>
      <c r="CW145" s="35"/>
      <c r="CX145" s="35"/>
      <c r="CY145" s="35"/>
      <c r="CZ145" s="36"/>
      <c r="DA145" s="36"/>
      <c r="DB145" s="35"/>
      <c r="DC145" s="35"/>
      <c r="DD145" s="35"/>
      <c r="DE145" s="35"/>
      <c r="DF145" s="35"/>
      <c r="DG145" s="35"/>
      <c r="DH145" s="35"/>
      <c r="DI145" s="35"/>
      <c r="DJ145" s="35"/>
      <c r="DK145" s="35"/>
      <c r="DL145" s="35"/>
      <c r="DM145" s="35"/>
      <c r="DN145" s="35"/>
      <c r="DO145" s="35"/>
      <c r="DP145" s="35"/>
      <c r="DQ145" s="35"/>
      <c r="DR145" s="35"/>
      <c r="DS145" s="35"/>
      <c r="DT145" s="35"/>
      <c r="DU145" s="35"/>
      <c r="DV145" s="35"/>
      <c r="DW145" s="35"/>
      <c r="DX145" s="35"/>
      <c r="DY145" s="35"/>
      <c r="DZ145" s="36"/>
      <c r="EA145" s="35"/>
      <c r="EB145" s="35"/>
      <c r="EC145" s="35"/>
      <c r="ED145" s="35"/>
      <c r="EE145" s="35"/>
      <c r="EF145" s="35"/>
      <c r="EG145" s="35"/>
      <c r="EH145" s="35"/>
      <c r="EI145" s="35"/>
      <c r="EJ145" s="35"/>
      <c r="EK145" s="35"/>
      <c r="EL145" s="35"/>
      <c r="EM145" s="35"/>
      <c r="EN145" s="35"/>
      <c r="EO145" s="35"/>
      <c r="EP145" s="35"/>
      <c r="EQ145" s="35"/>
      <c r="ER145" s="35"/>
      <c r="ES145" s="35"/>
      <c r="ET145" s="35"/>
      <c r="EU145" s="35"/>
      <c r="EV145" s="35"/>
      <c r="EW145" s="35"/>
      <c r="EX145" s="35"/>
      <c r="EY145" s="36"/>
      <c r="EZ145" s="35"/>
      <c r="FA145" s="35"/>
      <c r="FB145" s="35"/>
      <c r="FC145" s="35"/>
      <c r="FD145" s="35"/>
      <c r="FE145" s="35"/>
      <c r="FF145" s="35"/>
      <c r="FG145" s="35"/>
      <c r="FH145" s="35"/>
      <c r="FI145" s="35"/>
      <c r="FJ145" s="35"/>
      <c r="FK145" s="35"/>
      <c r="FL145" s="35"/>
      <c r="FM145" s="35"/>
      <c r="FN145" s="35"/>
      <c r="FO145" s="35"/>
      <c r="FP145" s="35"/>
      <c r="FQ145" s="52"/>
      <c r="FR145" s="8"/>
      <c r="FS145" s="9" t="s">
        <v>13</v>
      </c>
      <c r="FT145" s="9" t="str">
        <f t="shared" si="3664"/>
        <v>5. Annual Process Documentation 5.2 FCF Review</v>
      </c>
    </row>
    <row r="146" spans="1:176" s="9" customFormat="1" ht="12" customHeight="1" collapsed="1">
      <c r="A146" s="119" t="s">
        <v>73</v>
      </c>
      <c r="B146" s="127"/>
      <c r="C146" s="128" t="str">
        <f t="shared" si="3515"/>
        <v>3 days</v>
      </c>
      <c r="D146" s="37"/>
      <c r="E146" s="91" t="str">
        <f t="shared" ref="E146" si="3665">IF(SUBTOTAL(9,E147:E151)&gt;0,SUBTOTAL(9,E147:E151),"")</f>
        <v/>
      </c>
      <c r="F146" s="34" t="str">
        <f t="shared" ref="F146" si="3666">IF(SUBTOTAL(9,F147:F151)&gt;0,SUBTOTAL(9,F147:F151),"")</f>
        <v/>
      </c>
      <c r="G146" s="34" t="str">
        <f t="shared" ref="G146" si="3667">IF(SUBTOTAL(9,G147:G151)&gt;0,SUBTOTAL(9,G147:G151),"")</f>
        <v/>
      </c>
      <c r="H146" s="34" t="str">
        <f t="shared" ref="H146" si="3668">IF(SUBTOTAL(9,H147:H151)&gt;0,SUBTOTAL(9,H147:H151),"")</f>
        <v/>
      </c>
      <c r="I146" s="34" t="str">
        <f t="shared" ref="I146" si="3669">IF(SUBTOTAL(9,I147:I151)&gt;0,SUBTOTAL(9,I147:I151),"")</f>
        <v/>
      </c>
      <c r="J146" s="34" t="str">
        <f t="shared" ref="J146" si="3670">IF(SUBTOTAL(9,J147:J151)&gt;0,SUBTOTAL(9,J147:J151),"")</f>
        <v/>
      </c>
      <c r="K146" s="34" t="str">
        <f t="shared" ref="K146" si="3671">IF(SUBTOTAL(9,K147:K151)&gt;0,SUBTOTAL(9,K147:K151),"")</f>
        <v/>
      </c>
      <c r="L146" s="34" t="str">
        <f t="shared" ref="L146" si="3672">IF(SUBTOTAL(9,L147:L151)&gt;0,SUBTOTAL(9,L147:L151),"")</f>
        <v/>
      </c>
      <c r="M146" s="34" t="str">
        <f t="shared" ref="M146" si="3673">IF(SUBTOTAL(9,M147:M151)&gt;0,SUBTOTAL(9,M147:M151),"")</f>
        <v/>
      </c>
      <c r="N146" s="34" t="str">
        <f t="shared" ref="N146" si="3674">IF(SUBTOTAL(9,N147:N151)&gt;0,SUBTOTAL(9,N147:N151),"")</f>
        <v/>
      </c>
      <c r="O146" s="34" t="str">
        <f t="shared" ref="O146:AV146" si="3675">IF(SUBTOTAL(9,O147:O151)&gt;0,SUBTOTAL(9,O147:O151),"")</f>
        <v/>
      </c>
      <c r="P146" s="34" t="str">
        <f t="shared" si="3675"/>
        <v/>
      </c>
      <c r="Q146" s="34" t="str">
        <f t="shared" si="3675"/>
        <v/>
      </c>
      <c r="R146" s="34" t="str">
        <f t="shared" si="3675"/>
        <v/>
      </c>
      <c r="S146" s="34" t="str">
        <f t="shared" si="3675"/>
        <v/>
      </c>
      <c r="T146" s="34" t="str">
        <f t="shared" si="3675"/>
        <v/>
      </c>
      <c r="U146" s="34" t="str">
        <f t="shared" si="3675"/>
        <v/>
      </c>
      <c r="V146" s="34" t="str">
        <f t="shared" si="3675"/>
        <v/>
      </c>
      <c r="W146" s="34" t="str">
        <f t="shared" si="3675"/>
        <v/>
      </c>
      <c r="X146" s="34" t="str">
        <f t="shared" si="3675"/>
        <v/>
      </c>
      <c r="Y146" s="34" t="str">
        <f t="shared" si="3675"/>
        <v/>
      </c>
      <c r="Z146" s="34">
        <f t="shared" si="3675"/>
        <v>0.25</v>
      </c>
      <c r="AA146" s="34" t="str">
        <f t="shared" si="3675"/>
        <v/>
      </c>
      <c r="AB146" s="34" t="str">
        <f t="shared" si="3675"/>
        <v/>
      </c>
      <c r="AC146" s="34" t="str">
        <f t="shared" si="3675"/>
        <v/>
      </c>
      <c r="AD146" s="34" t="str">
        <f t="shared" si="3675"/>
        <v/>
      </c>
      <c r="AE146" s="34" t="str">
        <f t="shared" si="3675"/>
        <v/>
      </c>
      <c r="AF146" s="34" t="str">
        <f t="shared" si="3675"/>
        <v/>
      </c>
      <c r="AG146" s="34" t="str">
        <f t="shared" si="3675"/>
        <v/>
      </c>
      <c r="AH146" s="34" t="str">
        <f t="shared" si="3675"/>
        <v/>
      </c>
      <c r="AI146" s="34">
        <f t="shared" si="3675"/>
        <v>0.5</v>
      </c>
      <c r="AJ146" s="34" t="str">
        <f t="shared" si="3675"/>
        <v/>
      </c>
      <c r="AK146" s="34" t="str">
        <f t="shared" si="3675"/>
        <v/>
      </c>
      <c r="AL146" s="33" t="str">
        <f t="shared" si="3675"/>
        <v/>
      </c>
      <c r="AM146" s="33" t="str">
        <f t="shared" si="3675"/>
        <v/>
      </c>
      <c r="AN146" s="33" t="str">
        <f t="shared" si="3675"/>
        <v/>
      </c>
      <c r="AO146" s="33" t="str">
        <f t="shared" si="3675"/>
        <v/>
      </c>
      <c r="AP146" s="33" t="str">
        <f t="shared" si="3675"/>
        <v/>
      </c>
      <c r="AQ146" s="33" t="str">
        <f t="shared" si="3675"/>
        <v/>
      </c>
      <c r="AR146" s="33" t="str">
        <f t="shared" si="3675"/>
        <v/>
      </c>
      <c r="AS146" s="34" t="str">
        <f t="shared" si="3675"/>
        <v/>
      </c>
      <c r="AT146" s="34">
        <f t="shared" si="3675"/>
        <v>0.25</v>
      </c>
      <c r="AU146" s="34">
        <f t="shared" si="3675"/>
        <v>0.5</v>
      </c>
      <c r="AV146" s="34">
        <f t="shared" si="3675"/>
        <v>1</v>
      </c>
      <c r="AW146" s="34" t="str">
        <f t="shared" ref="AW146" si="3676">IF(SUBTOTAL(9,AW147:AW151)&gt;0,SUBTOTAL(9,AW147:AW151),"")</f>
        <v/>
      </c>
      <c r="AX146" s="34" t="str">
        <f t="shared" ref="AX146" si="3677">IF(SUBTOTAL(9,AX147:AX151)&gt;0,SUBTOTAL(9,AX147:AX151),"")</f>
        <v/>
      </c>
      <c r="AY146" s="34" t="str">
        <f t="shared" ref="AY146" si="3678">IF(SUBTOTAL(9,AY147:AY151)&gt;0,SUBTOTAL(9,AY147:AY151),"")</f>
        <v/>
      </c>
      <c r="AZ146" s="34" t="str">
        <f t="shared" ref="AZ146" si="3679">IF(SUBTOTAL(9,AZ147:AZ151)&gt;0,SUBTOTAL(9,AZ147:AZ151),"")</f>
        <v/>
      </c>
      <c r="BA146" s="34" t="str">
        <f t="shared" ref="BA146" si="3680">IF(SUBTOTAL(9,BA147:BA151)&gt;0,SUBTOTAL(9,BA147:BA151),"")</f>
        <v/>
      </c>
      <c r="BB146" s="34" t="str">
        <f t="shared" ref="BB146" si="3681">IF(SUBTOTAL(9,BB147:BB151)&gt;0,SUBTOTAL(9,BB147:BB151),"")</f>
        <v/>
      </c>
      <c r="BC146" s="34" t="str">
        <f t="shared" ref="BC146" si="3682">IF(SUBTOTAL(9,BC147:BC151)&gt;0,SUBTOTAL(9,BC147:BC151),"")</f>
        <v/>
      </c>
      <c r="BD146" s="34" t="str">
        <f t="shared" ref="BD146" si="3683">IF(SUBTOTAL(9,BD147:BD151)&gt;0,SUBTOTAL(9,BD147:BD151),"")</f>
        <v/>
      </c>
      <c r="BE146" s="34" t="str">
        <f t="shared" ref="BE146" si="3684">IF(SUBTOTAL(9,BE147:BE151)&gt;0,SUBTOTAL(9,BE147:BE151),"")</f>
        <v/>
      </c>
      <c r="BF146" s="34" t="str">
        <f t="shared" ref="BF146" si="3685">IF(SUBTOTAL(9,BF147:BF151)&gt;0,SUBTOTAL(9,BF147:BF151),"")</f>
        <v/>
      </c>
      <c r="BG146" s="34" t="str">
        <f t="shared" ref="BG146" si="3686">IF(SUBTOTAL(9,BG147:BG151)&gt;0,SUBTOTAL(9,BG147:BG151),"")</f>
        <v/>
      </c>
      <c r="BH146" s="34" t="str">
        <f t="shared" ref="BH146" si="3687">IF(SUBTOTAL(9,BH147:BH151)&gt;0,SUBTOTAL(9,BH147:BH151),"")</f>
        <v/>
      </c>
      <c r="BI146" s="34" t="str">
        <f t="shared" ref="BI146" si="3688">IF(SUBTOTAL(9,BI147:BI151)&gt;0,SUBTOTAL(9,BI147:BI151),"")</f>
        <v/>
      </c>
      <c r="BJ146" s="34" t="str">
        <f t="shared" ref="BJ146" si="3689">IF(SUBTOTAL(9,BJ147:BJ151)&gt;0,SUBTOTAL(9,BJ147:BJ151),"")</f>
        <v/>
      </c>
      <c r="BK146" s="34" t="str">
        <f t="shared" ref="BK146" si="3690">IF(SUBTOTAL(9,BK147:BK151)&gt;0,SUBTOTAL(9,BK147:BK151),"")</f>
        <v/>
      </c>
      <c r="BL146" s="34" t="str">
        <f t="shared" ref="BL146" si="3691">IF(SUBTOTAL(9,BL147:BL151)&gt;0,SUBTOTAL(9,BL147:BL151),"")</f>
        <v/>
      </c>
      <c r="BM146" s="34" t="str">
        <f t="shared" ref="BM146" si="3692">IF(SUBTOTAL(9,BM147:BM151)&gt;0,SUBTOTAL(9,BM147:BM151),"")</f>
        <v/>
      </c>
      <c r="BN146" s="34" t="str">
        <f t="shared" ref="BN146" si="3693">IF(SUBTOTAL(9,BN147:BN151)&gt;0,SUBTOTAL(9,BN147:BN151),"")</f>
        <v/>
      </c>
      <c r="BO146" s="34" t="str">
        <f t="shared" ref="BO146" si="3694">IF(SUBTOTAL(9,BO147:BO151)&gt;0,SUBTOTAL(9,BO147:BO151),"")</f>
        <v/>
      </c>
      <c r="BP146" s="34" t="str">
        <f t="shared" ref="BP146" si="3695">IF(SUBTOTAL(9,BP147:BP151)&gt;0,SUBTOTAL(9,BP147:BP151),"")</f>
        <v/>
      </c>
      <c r="BQ146" s="34" t="str">
        <f t="shared" ref="BQ146" si="3696">IF(SUBTOTAL(9,BQ147:BQ151)&gt;0,SUBTOTAL(9,BQ147:BQ151),"")</f>
        <v/>
      </c>
      <c r="BR146" s="34" t="str">
        <f t="shared" ref="BR146" si="3697">IF(SUBTOTAL(9,BR147:BR151)&gt;0,SUBTOTAL(9,BR147:BR151),"")</f>
        <v/>
      </c>
      <c r="BS146" s="34" t="str">
        <f t="shared" ref="BS146" si="3698">IF(SUBTOTAL(9,BS147:BS151)&gt;0,SUBTOTAL(9,BS147:BS151),"")</f>
        <v/>
      </c>
      <c r="BT146" s="34" t="str">
        <f t="shared" ref="BT146" si="3699">IF(SUBTOTAL(9,BT147:BT151)&gt;0,SUBTOTAL(9,BT147:BT151),"")</f>
        <v/>
      </c>
      <c r="BU146" s="34" t="str">
        <f t="shared" ref="BU146" si="3700">IF(SUBTOTAL(9,BU147:BU151)&gt;0,SUBTOTAL(9,BU147:BU151),"")</f>
        <v/>
      </c>
      <c r="BV146" s="34" t="str">
        <f t="shared" ref="BV146" si="3701">IF(SUBTOTAL(9,BV147:BV151)&gt;0,SUBTOTAL(9,BV147:BV151),"")</f>
        <v/>
      </c>
      <c r="BW146" s="34" t="str">
        <f t="shared" ref="BW146" si="3702">IF(SUBTOTAL(9,BW147:BW151)&gt;0,SUBTOTAL(9,BW147:BW151),"")</f>
        <v/>
      </c>
      <c r="BX146" s="34" t="str">
        <f t="shared" ref="BX146" si="3703">IF(SUBTOTAL(9,BX147:BX151)&gt;0,SUBTOTAL(9,BX147:BX151),"")</f>
        <v/>
      </c>
      <c r="BY146" s="34" t="str">
        <f t="shared" ref="BY146" si="3704">IF(SUBTOTAL(9,BY147:BY151)&gt;0,SUBTOTAL(9,BY147:BY151),"")</f>
        <v/>
      </c>
      <c r="BZ146" s="34" t="str">
        <f t="shared" ref="BZ146" si="3705">IF(SUBTOTAL(9,BZ147:BZ151)&gt;0,SUBTOTAL(9,BZ147:BZ151),"")</f>
        <v/>
      </c>
      <c r="CA146" s="34" t="str">
        <f t="shared" ref="CA146" si="3706">IF(SUBTOTAL(9,CA147:CA151)&gt;0,SUBTOTAL(9,CA147:CA151),"")</f>
        <v/>
      </c>
      <c r="CB146" s="34" t="str">
        <f t="shared" ref="CB146" si="3707">IF(SUBTOTAL(9,CB147:CB151)&gt;0,SUBTOTAL(9,CB147:CB151),"")</f>
        <v/>
      </c>
      <c r="CC146" s="34" t="str">
        <f t="shared" ref="CC146" si="3708">IF(SUBTOTAL(9,CC147:CC151)&gt;0,SUBTOTAL(9,CC147:CC151),"")</f>
        <v/>
      </c>
      <c r="CD146" s="34" t="str">
        <f t="shared" ref="CD146" si="3709">IF(SUBTOTAL(9,CD147:CD151)&gt;0,SUBTOTAL(9,CD147:CD151),"")</f>
        <v/>
      </c>
      <c r="CE146" s="34" t="str">
        <f t="shared" ref="CE146" si="3710">IF(SUBTOTAL(9,CE147:CE151)&gt;0,SUBTOTAL(9,CE147:CE151),"")</f>
        <v/>
      </c>
      <c r="CF146" s="34" t="str">
        <f t="shared" ref="CF146:CG146" si="3711">IF(SUBTOTAL(9,CF147:CF151)&gt;0,SUBTOTAL(9,CF147:CF151),"")</f>
        <v/>
      </c>
      <c r="CG146" s="34" t="str">
        <f t="shared" si="3711"/>
        <v/>
      </c>
      <c r="CH146" s="34" t="str">
        <f t="shared" ref="CH146" si="3712">IF(SUBTOTAL(9,CH147:CH151)&gt;0,SUBTOTAL(9,CH147:CH151),"")</f>
        <v/>
      </c>
      <c r="CI146" s="34" t="str">
        <f t="shared" ref="CI146" si="3713">IF(SUBTOTAL(9,CI147:CI151)&gt;0,SUBTOTAL(9,CI147:CI151),"")</f>
        <v/>
      </c>
      <c r="CJ146" s="34" t="str">
        <f t="shared" ref="CJ146" si="3714">IF(SUBTOTAL(9,CJ147:CJ151)&gt;0,SUBTOTAL(9,CJ147:CJ151),"")</f>
        <v/>
      </c>
      <c r="CK146" s="34" t="str">
        <f t="shared" ref="CK146" si="3715">IF(SUBTOTAL(9,CK147:CK151)&gt;0,SUBTOTAL(9,CK147:CK151),"")</f>
        <v/>
      </c>
      <c r="CL146" s="34" t="str">
        <f t="shared" ref="CL146" si="3716">IF(SUBTOTAL(9,CL147:CL151)&gt;0,SUBTOTAL(9,CL147:CL151),"")</f>
        <v/>
      </c>
      <c r="CM146" s="34" t="str">
        <f t="shared" ref="CM146" si="3717">IF(SUBTOTAL(9,CM147:CM151)&gt;0,SUBTOTAL(9,CM147:CM151),"")</f>
        <v/>
      </c>
      <c r="CN146" s="34" t="str">
        <f t="shared" ref="CN146" si="3718">IF(SUBTOTAL(9,CN147:CN151)&gt;0,SUBTOTAL(9,CN147:CN151),"")</f>
        <v/>
      </c>
      <c r="CO146" s="34" t="str">
        <f t="shared" ref="CO146" si="3719">IF(SUBTOTAL(9,CO147:CO151)&gt;0,SUBTOTAL(9,CO147:CO151),"")</f>
        <v/>
      </c>
      <c r="CP146" s="34" t="str">
        <f t="shared" ref="CP146" si="3720">IF(SUBTOTAL(9,CP147:CP151)&gt;0,SUBTOTAL(9,CP147:CP151),"")</f>
        <v/>
      </c>
      <c r="CQ146" s="34" t="str">
        <f t="shared" ref="CQ146" si="3721">IF(SUBTOTAL(9,CQ147:CQ151)&gt;0,SUBTOTAL(9,CQ147:CQ151),"")</f>
        <v/>
      </c>
      <c r="CR146" s="34" t="str">
        <f t="shared" ref="CR146" si="3722">IF(SUBTOTAL(9,CR147:CR151)&gt;0,SUBTOTAL(9,CR147:CR151),"")</f>
        <v/>
      </c>
      <c r="CS146" s="34" t="str">
        <f t="shared" ref="CS146" si="3723">IF(SUBTOTAL(9,CS147:CS151)&gt;0,SUBTOTAL(9,CS147:CS151),"")</f>
        <v/>
      </c>
      <c r="CT146" s="33" t="str">
        <f t="shared" ref="CT146" si="3724">IF(SUBTOTAL(9,CT147:CT151)&gt;0,SUBTOTAL(9,CT147:CT151),"")</f>
        <v/>
      </c>
      <c r="CU146" s="34" t="str">
        <f t="shared" ref="CU146" si="3725">IF(SUBTOTAL(9,CU147:CU151)&gt;0,SUBTOTAL(9,CU147:CU151),"")</f>
        <v/>
      </c>
      <c r="CV146" s="34" t="str">
        <f t="shared" ref="CV146" si="3726">IF(SUBTOTAL(9,CV147:CV151)&gt;0,SUBTOTAL(9,CV147:CV151),"")</f>
        <v/>
      </c>
      <c r="CW146" s="34" t="str">
        <f t="shared" ref="CW146" si="3727">IF(SUBTOTAL(9,CW147:CW151)&gt;0,SUBTOTAL(9,CW147:CW151),"")</f>
        <v/>
      </c>
      <c r="CX146" s="34" t="str">
        <f t="shared" ref="CX146" si="3728">IF(SUBTOTAL(9,CX147:CX151)&gt;0,SUBTOTAL(9,CX147:CX151),"")</f>
        <v/>
      </c>
      <c r="CY146" s="34" t="str">
        <f t="shared" ref="CY146" si="3729">IF(SUBTOTAL(9,CY147:CY151)&gt;0,SUBTOTAL(9,CY147:CY151),"")</f>
        <v/>
      </c>
      <c r="CZ146" s="33" t="str">
        <f t="shared" ref="CZ146" si="3730">IF(SUBTOTAL(9,CZ147:CZ151)&gt;0,SUBTOTAL(9,CZ147:CZ151),"")</f>
        <v/>
      </c>
      <c r="DA146" s="33" t="str">
        <f t="shared" ref="DA146" si="3731">IF(SUBTOTAL(9,DA147:DA151)&gt;0,SUBTOTAL(9,DA147:DA151),"")</f>
        <v/>
      </c>
      <c r="DB146" s="34" t="str">
        <f t="shared" ref="DB146" si="3732">IF(SUBTOTAL(9,DB147:DB151)&gt;0,SUBTOTAL(9,DB147:DB151),"")</f>
        <v/>
      </c>
      <c r="DC146" s="34" t="str">
        <f t="shared" ref="DC146" si="3733">IF(SUBTOTAL(9,DC147:DC151)&gt;0,SUBTOTAL(9,DC147:DC151),"")</f>
        <v/>
      </c>
      <c r="DD146" s="34" t="str">
        <f t="shared" ref="DD146" si="3734">IF(SUBTOTAL(9,DD147:DD151)&gt;0,SUBTOTAL(9,DD147:DD151),"")</f>
        <v/>
      </c>
      <c r="DE146" s="34" t="str">
        <f t="shared" ref="DE146" si="3735">IF(SUBTOTAL(9,DE147:DE151)&gt;0,SUBTOTAL(9,DE147:DE151),"")</f>
        <v/>
      </c>
      <c r="DF146" s="34" t="str">
        <f t="shared" ref="DF146" si="3736">IF(SUBTOTAL(9,DF147:DF151)&gt;0,SUBTOTAL(9,DF147:DF151),"")</f>
        <v/>
      </c>
      <c r="DG146" s="34" t="str">
        <f t="shared" ref="DG146" si="3737">IF(SUBTOTAL(9,DG147:DG151)&gt;0,SUBTOTAL(9,DG147:DG151),"")</f>
        <v/>
      </c>
      <c r="DH146" s="34" t="str">
        <f t="shared" ref="DH146" si="3738">IF(SUBTOTAL(9,DH147:DH151)&gt;0,SUBTOTAL(9,DH147:DH151),"")</f>
        <v/>
      </c>
      <c r="DI146" s="34" t="str">
        <f t="shared" ref="DI146" si="3739">IF(SUBTOTAL(9,DI147:DI151)&gt;0,SUBTOTAL(9,DI147:DI151),"")</f>
        <v/>
      </c>
      <c r="DJ146" s="34" t="str">
        <f t="shared" ref="DJ146" si="3740">IF(SUBTOTAL(9,DJ147:DJ151)&gt;0,SUBTOTAL(9,DJ147:DJ151),"")</f>
        <v/>
      </c>
      <c r="DK146" s="34" t="str">
        <f t="shared" ref="DK146" si="3741">IF(SUBTOTAL(9,DK147:DK151)&gt;0,SUBTOTAL(9,DK147:DK151),"")</f>
        <v/>
      </c>
      <c r="DL146" s="34" t="str">
        <f t="shared" ref="DL146" si="3742">IF(SUBTOTAL(9,DL147:DL151)&gt;0,SUBTOTAL(9,DL147:DL151),"")</f>
        <v/>
      </c>
      <c r="DM146" s="34" t="str">
        <f t="shared" ref="DM146" si="3743">IF(SUBTOTAL(9,DM147:DM151)&gt;0,SUBTOTAL(9,DM147:DM151),"")</f>
        <v/>
      </c>
      <c r="DN146" s="34" t="str">
        <f t="shared" ref="DN146" si="3744">IF(SUBTOTAL(9,DN147:DN151)&gt;0,SUBTOTAL(9,DN147:DN151),"")</f>
        <v/>
      </c>
      <c r="DO146" s="34" t="str">
        <f t="shared" ref="DO146" si="3745">IF(SUBTOTAL(9,DO147:DO151)&gt;0,SUBTOTAL(9,DO147:DO151),"")</f>
        <v/>
      </c>
      <c r="DP146" s="34" t="str">
        <f t="shared" ref="DP146" si="3746">IF(SUBTOTAL(9,DP147:DP151)&gt;0,SUBTOTAL(9,DP147:DP151),"")</f>
        <v/>
      </c>
      <c r="DQ146" s="34" t="str">
        <f t="shared" ref="DQ146" si="3747">IF(SUBTOTAL(9,DQ147:DQ151)&gt;0,SUBTOTAL(9,DQ147:DQ151),"")</f>
        <v/>
      </c>
      <c r="DR146" s="34" t="str">
        <f t="shared" ref="DR146" si="3748">IF(SUBTOTAL(9,DR147:DR151)&gt;0,SUBTOTAL(9,DR147:DR151),"")</f>
        <v/>
      </c>
      <c r="DS146" s="34" t="str">
        <f t="shared" ref="DS146" si="3749">IF(SUBTOTAL(9,DS147:DS151)&gt;0,SUBTOTAL(9,DS147:DS151),"")</f>
        <v/>
      </c>
      <c r="DT146" s="34" t="str">
        <f t="shared" ref="DT146" si="3750">IF(SUBTOTAL(9,DT147:DT151)&gt;0,SUBTOTAL(9,DT147:DT151),"")</f>
        <v/>
      </c>
      <c r="DU146" s="34" t="str">
        <f t="shared" ref="DU146" si="3751">IF(SUBTOTAL(9,DU147:DU151)&gt;0,SUBTOTAL(9,DU147:DU151),"")</f>
        <v/>
      </c>
      <c r="DV146" s="34" t="str">
        <f t="shared" ref="DV146" si="3752">IF(SUBTOTAL(9,DV147:DV151)&gt;0,SUBTOTAL(9,DV147:DV151),"")</f>
        <v/>
      </c>
      <c r="DW146" s="34" t="str">
        <f t="shared" ref="DW146" si="3753">IF(SUBTOTAL(9,DW147:DW151)&gt;0,SUBTOTAL(9,DW147:DW151),"")</f>
        <v/>
      </c>
      <c r="DX146" s="34" t="str">
        <f t="shared" ref="DX146" si="3754">IF(SUBTOTAL(9,DX147:DX151)&gt;0,SUBTOTAL(9,DX147:DX151),"")</f>
        <v/>
      </c>
      <c r="DY146" s="34" t="str">
        <f t="shared" ref="DY146" si="3755">IF(SUBTOTAL(9,DY147:DY151)&gt;0,SUBTOTAL(9,DY147:DY151),"")</f>
        <v/>
      </c>
      <c r="DZ146" s="33" t="str">
        <f t="shared" ref="DZ146" si="3756">IF(SUBTOTAL(9,DZ147:DZ151)&gt;0,SUBTOTAL(9,DZ147:DZ151),"")</f>
        <v/>
      </c>
      <c r="EA146" s="34" t="str">
        <f t="shared" ref="EA146" si="3757">IF(SUBTOTAL(9,EA147:EA151)&gt;0,SUBTOTAL(9,EA147:EA151),"")</f>
        <v/>
      </c>
      <c r="EB146" s="34" t="str">
        <f t="shared" ref="EB146" si="3758">IF(SUBTOTAL(9,EB147:EB151)&gt;0,SUBTOTAL(9,EB147:EB151),"")</f>
        <v/>
      </c>
      <c r="EC146" s="34" t="str">
        <f t="shared" ref="EC146" si="3759">IF(SUBTOTAL(9,EC147:EC151)&gt;0,SUBTOTAL(9,EC147:EC151),"")</f>
        <v/>
      </c>
      <c r="ED146" s="34" t="str">
        <f t="shared" ref="ED146" si="3760">IF(SUBTOTAL(9,ED147:ED151)&gt;0,SUBTOTAL(9,ED147:ED151),"")</f>
        <v/>
      </c>
      <c r="EE146" s="34" t="str">
        <f t="shared" ref="EE146" si="3761">IF(SUBTOTAL(9,EE147:EE151)&gt;0,SUBTOTAL(9,EE147:EE151),"")</f>
        <v/>
      </c>
      <c r="EF146" s="34" t="str">
        <f t="shared" ref="EF146" si="3762">IF(SUBTOTAL(9,EF147:EF151)&gt;0,SUBTOTAL(9,EF147:EF151),"")</f>
        <v/>
      </c>
      <c r="EG146" s="34" t="str">
        <f t="shared" ref="EG146" si="3763">IF(SUBTOTAL(9,EG147:EG151)&gt;0,SUBTOTAL(9,EG147:EG151),"")</f>
        <v/>
      </c>
      <c r="EH146" s="34" t="str">
        <f t="shared" ref="EH146" si="3764">IF(SUBTOTAL(9,EH147:EH151)&gt;0,SUBTOTAL(9,EH147:EH151),"")</f>
        <v/>
      </c>
      <c r="EI146" s="34" t="str">
        <f t="shared" ref="EI146" si="3765">IF(SUBTOTAL(9,EI147:EI151)&gt;0,SUBTOTAL(9,EI147:EI151),"")</f>
        <v/>
      </c>
      <c r="EJ146" s="34" t="str">
        <f t="shared" ref="EJ146" si="3766">IF(SUBTOTAL(9,EJ147:EJ151)&gt;0,SUBTOTAL(9,EJ147:EJ151),"")</f>
        <v/>
      </c>
      <c r="EK146" s="34" t="str">
        <f t="shared" ref="EK146" si="3767">IF(SUBTOTAL(9,EK147:EK151)&gt;0,SUBTOTAL(9,EK147:EK151),"")</f>
        <v/>
      </c>
      <c r="EL146" s="34" t="str">
        <f t="shared" ref="EL146" si="3768">IF(SUBTOTAL(9,EL147:EL151)&gt;0,SUBTOTAL(9,EL147:EL151),"")</f>
        <v/>
      </c>
      <c r="EM146" s="34" t="str">
        <f t="shared" ref="EM146" si="3769">IF(SUBTOTAL(9,EM147:EM151)&gt;0,SUBTOTAL(9,EM147:EM151),"")</f>
        <v/>
      </c>
      <c r="EN146" s="34" t="str">
        <f t="shared" ref="EN146" si="3770">IF(SUBTOTAL(9,EN147:EN151)&gt;0,SUBTOTAL(9,EN147:EN151),"")</f>
        <v/>
      </c>
      <c r="EO146" s="34" t="str">
        <f t="shared" ref="EO146" si="3771">IF(SUBTOTAL(9,EO147:EO151)&gt;0,SUBTOTAL(9,EO147:EO151),"")</f>
        <v/>
      </c>
      <c r="EP146" s="34" t="str">
        <f t="shared" ref="EP146" si="3772">IF(SUBTOTAL(9,EP147:EP151)&gt;0,SUBTOTAL(9,EP147:EP151),"")</f>
        <v/>
      </c>
      <c r="EQ146" s="34" t="str">
        <f t="shared" ref="EQ146" si="3773">IF(SUBTOTAL(9,EQ147:EQ151)&gt;0,SUBTOTAL(9,EQ147:EQ151),"")</f>
        <v/>
      </c>
      <c r="ER146" s="34" t="str">
        <f t="shared" ref="ER146" si="3774">IF(SUBTOTAL(9,ER147:ER151)&gt;0,SUBTOTAL(9,ER147:ER151),"")</f>
        <v/>
      </c>
      <c r="ES146" s="34" t="str">
        <f t="shared" ref="ES146" si="3775">IF(SUBTOTAL(9,ES147:ES151)&gt;0,SUBTOTAL(9,ES147:ES151),"")</f>
        <v/>
      </c>
      <c r="ET146" s="34" t="str">
        <f t="shared" ref="ET146" si="3776">IF(SUBTOTAL(9,ET147:ET151)&gt;0,SUBTOTAL(9,ET147:ET151),"")</f>
        <v/>
      </c>
      <c r="EU146" s="34" t="str">
        <f t="shared" ref="EU146" si="3777">IF(SUBTOTAL(9,EU147:EU151)&gt;0,SUBTOTAL(9,EU147:EU151),"")</f>
        <v/>
      </c>
      <c r="EV146" s="34" t="str">
        <f t="shared" ref="EV146" si="3778">IF(SUBTOTAL(9,EV147:EV151)&gt;0,SUBTOTAL(9,EV147:EV151),"")</f>
        <v/>
      </c>
      <c r="EW146" s="34" t="str">
        <f t="shared" ref="EW146" si="3779">IF(SUBTOTAL(9,EW147:EW151)&gt;0,SUBTOTAL(9,EW147:EW151),"")</f>
        <v/>
      </c>
      <c r="EX146" s="34" t="str">
        <f t="shared" ref="EX146" si="3780">IF(SUBTOTAL(9,EX147:EX151)&gt;0,SUBTOTAL(9,EX147:EX151),"")</f>
        <v/>
      </c>
      <c r="EY146" s="33" t="str">
        <f t="shared" ref="EY146" si="3781">IF(SUBTOTAL(9,EY147:EY151)&gt;0,SUBTOTAL(9,EY147:EY151),"")</f>
        <v/>
      </c>
      <c r="EZ146" s="34" t="str">
        <f t="shared" ref="EZ146" si="3782">IF(SUBTOTAL(9,EZ147:EZ151)&gt;0,SUBTOTAL(9,EZ147:EZ151),"")</f>
        <v/>
      </c>
      <c r="FA146" s="34" t="str">
        <f t="shared" ref="FA146" si="3783">IF(SUBTOTAL(9,FA147:FA151)&gt;0,SUBTOTAL(9,FA147:FA151),"")</f>
        <v/>
      </c>
      <c r="FB146" s="34" t="str">
        <f t="shared" ref="FB146" si="3784">IF(SUBTOTAL(9,FB147:FB151)&gt;0,SUBTOTAL(9,FB147:FB151),"")</f>
        <v/>
      </c>
      <c r="FC146" s="34" t="str">
        <f t="shared" ref="FC146" si="3785">IF(SUBTOTAL(9,FC147:FC151)&gt;0,SUBTOTAL(9,FC147:FC151),"")</f>
        <v/>
      </c>
      <c r="FD146" s="34" t="str">
        <f t="shared" ref="FD146" si="3786">IF(SUBTOTAL(9,FD147:FD151)&gt;0,SUBTOTAL(9,FD147:FD151),"")</f>
        <v/>
      </c>
      <c r="FE146" s="34" t="str">
        <f t="shared" ref="FE146" si="3787">IF(SUBTOTAL(9,FE147:FE151)&gt;0,SUBTOTAL(9,FE147:FE151),"")</f>
        <v/>
      </c>
      <c r="FF146" s="34" t="str">
        <f t="shared" ref="FF146" si="3788">IF(SUBTOTAL(9,FF147:FF151)&gt;0,SUBTOTAL(9,FF147:FF151),"")</f>
        <v/>
      </c>
      <c r="FG146" s="34" t="str">
        <f t="shared" ref="FG146" si="3789">IF(SUBTOTAL(9,FG147:FG151)&gt;0,SUBTOTAL(9,FG147:FG151),"")</f>
        <v/>
      </c>
      <c r="FH146" s="34" t="str">
        <f t="shared" ref="FH146" si="3790">IF(SUBTOTAL(9,FH147:FH151)&gt;0,SUBTOTAL(9,FH147:FH151),"")</f>
        <v/>
      </c>
      <c r="FI146" s="34" t="str">
        <f t="shared" ref="FI146" si="3791">IF(SUBTOTAL(9,FI147:FI151)&gt;0,SUBTOTAL(9,FI147:FI151),"")</f>
        <v/>
      </c>
      <c r="FJ146" s="34" t="str">
        <f t="shared" ref="FJ146" si="3792">IF(SUBTOTAL(9,FJ147:FJ151)&gt;0,SUBTOTAL(9,FJ147:FJ151),"")</f>
        <v/>
      </c>
      <c r="FK146" s="34" t="str">
        <f t="shared" ref="FK146" si="3793">IF(SUBTOTAL(9,FK147:FK151)&gt;0,SUBTOTAL(9,FK147:FK151),"")</f>
        <v/>
      </c>
      <c r="FL146" s="34" t="str">
        <f t="shared" ref="FL146" si="3794">IF(SUBTOTAL(9,FL147:FL151)&gt;0,SUBTOTAL(9,FL147:FL151),"")</f>
        <v/>
      </c>
      <c r="FM146" s="34" t="str">
        <f t="shared" ref="FM146" si="3795">IF(SUBTOTAL(9,FM147:FM151)&gt;0,SUBTOTAL(9,FM147:FM151),"")</f>
        <v/>
      </c>
      <c r="FN146" s="34" t="str">
        <f t="shared" ref="FN146" si="3796">IF(SUBTOTAL(9,FN147:FN151)&gt;0,SUBTOTAL(9,FN147:FN151),"")</f>
        <v/>
      </c>
      <c r="FO146" s="34" t="str">
        <f t="shared" ref="FO146" si="3797">IF(SUBTOTAL(9,FO147:FO151)&gt;0,SUBTOTAL(9,FO147:FO151),"")</f>
        <v/>
      </c>
      <c r="FP146" s="34" t="str">
        <f t="shared" ref="FP146" si="3798">IF(SUBTOTAL(9,FP147:FP151)&gt;0,SUBTOTAL(9,FP147:FP151),"")</f>
        <v/>
      </c>
      <c r="FQ146" s="92" t="str">
        <f t="shared" ref="FQ146" si="3799">IF(SUBTOTAL(9,FQ147:FQ151)&gt;0,SUBTOTAL(9,FQ147:FQ151),"")</f>
        <v/>
      </c>
      <c r="FR146" s="8"/>
      <c r="FS146" s="9" t="s">
        <v>131</v>
      </c>
      <c r="FT146" s="9" t="str">
        <f t="shared" si="3664"/>
        <v/>
      </c>
    </row>
    <row r="147" spans="1:176" s="9" customFormat="1" ht="12" hidden="1" customHeight="1" outlineLevel="1">
      <c r="A147" s="129" t="s">
        <v>4</v>
      </c>
      <c r="B147" s="130" t="s">
        <v>10</v>
      </c>
      <c r="C147" s="131" t="str">
        <f t="shared" si="3515"/>
        <v>3 days</v>
      </c>
      <c r="D147" s="101" t="str">
        <f>A133&amp;" "&amp;A146</f>
        <v>5. Annual Process Documentation 5.3 Supervision</v>
      </c>
      <c r="E147" s="51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>
        <v>0.25</v>
      </c>
      <c r="AA147" s="35"/>
      <c r="AB147" s="35"/>
      <c r="AC147" s="35"/>
      <c r="AD147" s="35"/>
      <c r="AE147" s="35"/>
      <c r="AF147" s="35"/>
      <c r="AG147" s="35"/>
      <c r="AH147" s="35"/>
      <c r="AI147" s="35">
        <v>0.5</v>
      </c>
      <c r="AJ147" s="35"/>
      <c r="AK147" s="35"/>
      <c r="AL147" s="36"/>
      <c r="AM147" s="36"/>
      <c r="AN147" s="36"/>
      <c r="AO147" s="36"/>
      <c r="AP147" s="36"/>
      <c r="AQ147" s="36"/>
      <c r="AR147" s="36"/>
      <c r="AS147" s="35"/>
      <c r="AT147" s="35">
        <v>0.25</v>
      </c>
      <c r="AU147" s="35">
        <v>0.5</v>
      </c>
      <c r="AV147" s="35">
        <v>1</v>
      </c>
      <c r="AW147" s="35"/>
      <c r="AX147" s="35"/>
      <c r="AY147" s="35"/>
      <c r="AZ147" s="35"/>
      <c r="BA147" s="35"/>
      <c r="BB147" s="35"/>
      <c r="BC147" s="35"/>
      <c r="BD147" s="35"/>
      <c r="BE147" s="35"/>
      <c r="BF147" s="35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35"/>
      <c r="BU147" s="35"/>
      <c r="BV147" s="35"/>
      <c r="BW147" s="35"/>
      <c r="BX147" s="35"/>
      <c r="BY147" s="35"/>
      <c r="BZ147" s="35"/>
      <c r="CA147" s="35"/>
      <c r="CB147" s="35"/>
      <c r="CC147" s="35"/>
      <c r="CD147" s="35"/>
      <c r="CE147" s="35"/>
      <c r="CF147" s="35"/>
      <c r="CG147" s="35"/>
      <c r="CH147" s="35"/>
      <c r="CI147" s="35"/>
      <c r="CJ147" s="35"/>
      <c r="CK147" s="35"/>
      <c r="CL147" s="35"/>
      <c r="CM147" s="35"/>
      <c r="CN147" s="35"/>
      <c r="CO147" s="35"/>
      <c r="CP147" s="35"/>
      <c r="CQ147" s="35"/>
      <c r="CR147" s="35"/>
      <c r="CS147" s="35"/>
      <c r="CT147" s="36"/>
      <c r="CU147" s="35"/>
      <c r="CV147" s="35"/>
      <c r="CW147" s="35"/>
      <c r="CX147" s="35"/>
      <c r="CY147" s="35"/>
      <c r="CZ147" s="36"/>
      <c r="DA147" s="36"/>
      <c r="DB147" s="35"/>
      <c r="DC147" s="35"/>
      <c r="DD147" s="35"/>
      <c r="DE147" s="35"/>
      <c r="DF147" s="35"/>
      <c r="DG147" s="35"/>
      <c r="DH147" s="35"/>
      <c r="DI147" s="35"/>
      <c r="DJ147" s="35"/>
      <c r="DK147" s="35"/>
      <c r="DL147" s="35"/>
      <c r="DM147" s="35"/>
      <c r="DN147" s="35"/>
      <c r="DO147" s="35"/>
      <c r="DP147" s="35"/>
      <c r="DQ147" s="35"/>
      <c r="DR147" s="35"/>
      <c r="DS147" s="35"/>
      <c r="DT147" s="35"/>
      <c r="DU147" s="35"/>
      <c r="DV147" s="35"/>
      <c r="DW147" s="35"/>
      <c r="DX147" s="35"/>
      <c r="DY147" s="35"/>
      <c r="DZ147" s="36"/>
      <c r="EA147" s="35"/>
      <c r="EB147" s="35"/>
      <c r="EC147" s="35"/>
      <c r="ED147" s="35"/>
      <c r="EE147" s="35"/>
      <c r="EF147" s="35"/>
      <c r="EG147" s="35"/>
      <c r="EH147" s="35"/>
      <c r="EI147" s="35"/>
      <c r="EJ147" s="35"/>
      <c r="EK147" s="35"/>
      <c r="EL147" s="35"/>
      <c r="EM147" s="35"/>
      <c r="EN147" s="35"/>
      <c r="EO147" s="35"/>
      <c r="EP147" s="35"/>
      <c r="EQ147" s="35"/>
      <c r="ER147" s="35"/>
      <c r="ES147" s="35"/>
      <c r="ET147" s="35"/>
      <c r="EU147" s="35"/>
      <c r="EV147" s="35"/>
      <c r="EW147" s="35"/>
      <c r="EX147" s="35"/>
      <c r="EY147" s="36"/>
      <c r="EZ147" s="35"/>
      <c r="FA147" s="35"/>
      <c r="FB147" s="35"/>
      <c r="FC147" s="35"/>
      <c r="FD147" s="35"/>
      <c r="FE147" s="35"/>
      <c r="FF147" s="35"/>
      <c r="FG147" s="35"/>
      <c r="FH147" s="35"/>
      <c r="FI147" s="35"/>
      <c r="FJ147" s="35"/>
      <c r="FK147" s="35"/>
      <c r="FL147" s="35"/>
      <c r="FM147" s="35"/>
      <c r="FN147" s="35"/>
      <c r="FO147" s="35"/>
      <c r="FP147" s="35"/>
      <c r="FQ147" s="52"/>
      <c r="FR147" s="8"/>
      <c r="FS147" s="9" t="s">
        <v>13</v>
      </c>
      <c r="FT147" s="9" t="str">
        <f t="shared" si="3664"/>
        <v>5. Annual Process Documentation 5.3 SupervisionGlenn Kirk</v>
      </c>
    </row>
    <row r="148" spans="1:176" s="9" customFormat="1" ht="12" hidden="1" customHeight="1" outlineLevel="1">
      <c r="A148" s="122"/>
      <c r="B148" s="123"/>
      <c r="C148" s="124" t="str">
        <f t="shared" si="3515"/>
        <v>0 days</v>
      </c>
      <c r="D148" s="13" t="str">
        <f>A133&amp;" "&amp;A146</f>
        <v>5. Annual Process Documentation 5.3 Supervision</v>
      </c>
      <c r="E148" s="51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5"/>
      <c r="AK148" s="35"/>
      <c r="AL148" s="36"/>
      <c r="AM148" s="36"/>
      <c r="AN148" s="36"/>
      <c r="AO148" s="36"/>
      <c r="AP148" s="36"/>
      <c r="AQ148" s="36"/>
      <c r="AR148" s="36"/>
      <c r="AS148" s="35"/>
      <c r="AT148" s="35"/>
      <c r="AU148" s="35"/>
      <c r="AV148" s="35"/>
      <c r="AW148" s="35"/>
      <c r="AX148" s="35"/>
      <c r="AY148" s="35"/>
      <c r="AZ148" s="35"/>
      <c r="BA148" s="35"/>
      <c r="BB148" s="35"/>
      <c r="BC148" s="35"/>
      <c r="BD148" s="35"/>
      <c r="BE148" s="35"/>
      <c r="BF148" s="35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35"/>
      <c r="BU148" s="35"/>
      <c r="BV148" s="35"/>
      <c r="BW148" s="35"/>
      <c r="BX148" s="35"/>
      <c r="BY148" s="35"/>
      <c r="BZ148" s="35"/>
      <c r="CA148" s="35"/>
      <c r="CB148" s="35"/>
      <c r="CC148" s="35"/>
      <c r="CD148" s="35"/>
      <c r="CE148" s="35"/>
      <c r="CF148" s="35"/>
      <c r="CG148" s="35"/>
      <c r="CH148" s="35"/>
      <c r="CI148" s="35"/>
      <c r="CJ148" s="35"/>
      <c r="CK148" s="35"/>
      <c r="CL148" s="35"/>
      <c r="CM148" s="35"/>
      <c r="CN148" s="35"/>
      <c r="CO148" s="35"/>
      <c r="CP148" s="35"/>
      <c r="CQ148" s="35"/>
      <c r="CR148" s="35"/>
      <c r="CS148" s="35"/>
      <c r="CT148" s="36"/>
      <c r="CU148" s="35"/>
      <c r="CV148" s="35"/>
      <c r="CW148" s="35"/>
      <c r="CX148" s="35"/>
      <c r="CY148" s="35"/>
      <c r="CZ148" s="36"/>
      <c r="DA148" s="36"/>
      <c r="DB148" s="35"/>
      <c r="DC148" s="35"/>
      <c r="DD148" s="35"/>
      <c r="DE148" s="35"/>
      <c r="DF148" s="35"/>
      <c r="DG148" s="35"/>
      <c r="DH148" s="35"/>
      <c r="DI148" s="35"/>
      <c r="DJ148" s="35"/>
      <c r="DK148" s="35"/>
      <c r="DL148" s="35"/>
      <c r="DM148" s="35"/>
      <c r="DN148" s="35"/>
      <c r="DO148" s="35"/>
      <c r="DP148" s="35"/>
      <c r="DQ148" s="35"/>
      <c r="DR148" s="35"/>
      <c r="DS148" s="35"/>
      <c r="DT148" s="35"/>
      <c r="DU148" s="35"/>
      <c r="DV148" s="35"/>
      <c r="DW148" s="35"/>
      <c r="DX148" s="35"/>
      <c r="DY148" s="35"/>
      <c r="DZ148" s="36"/>
      <c r="EA148" s="35"/>
      <c r="EB148" s="35"/>
      <c r="EC148" s="35"/>
      <c r="ED148" s="35"/>
      <c r="EE148" s="35"/>
      <c r="EF148" s="35"/>
      <c r="EG148" s="35"/>
      <c r="EH148" s="35"/>
      <c r="EI148" s="35"/>
      <c r="EJ148" s="35"/>
      <c r="EK148" s="35"/>
      <c r="EL148" s="35"/>
      <c r="EM148" s="35"/>
      <c r="EN148" s="35"/>
      <c r="EO148" s="35"/>
      <c r="EP148" s="35"/>
      <c r="EQ148" s="35"/>
      <c r="ER148" s="35"/>
      <c r="ES148" s="35"/>
      <c r="ET148" s="35"/>
      <c r="EU148" s="35"/>
      <c r="EV148" s="35"/>
      <c r="EW148" s="35"/>
      <c r="EX148" s="35"/>
      <c r="EY148" s="36"/>
      <c r="EZ148" s="35"/>
      <c r="FA148" s="35"/>
      <c r="FB148" s="35"/>
      <c r="FC148" s="35"/>
      <c r="FD148" s="35"/>
      <c r="FE148" s="35"/>
      <c r="FF148" s="35"/>
      <c r="FG148" s="35"/>
      <c r="FH148" s="35"/>
      <c r="FI148" s="35"/>
      <c r="FJ148" s="35"/>
      <c r="FK148" s="35"/>
      <c r="FL148" s="35"/>
      <c r="FM148" s="35"/>
      <c r="FN148" s="35"/>
      <c r="FO148" s="35"/>
      <c r="FP148" s="35"/>
      <c r="FQ148" s="52"/>
      <c r="FR148" s="8"/>
      <c r="FS148" s="9" t="s">
        <v>13</v>
      </c>
      <c r="FT148" s="9" t="str">
        <f t="shared" si="3664"/>
        <v>5. Annual Process Documentation 5.3 Supervision</v>
      </c>
    </row>
    <row r="149" spans="1:176" s="9" customFormat="1" ht="12" hidden="1" customHeight="1" outlineLevel="1">
      <c r="A149" s="125" t="s">
        <v>50</v>
      </c>
      <c r="B149" s="123"/>
      <c r="C149" s="124" t="str">
        <f t="shared" si="3515"/>
        <v>0 days</v>
      </c>
      <c r="D149" s="13" t="str">
        <f>A133&amp;" "&amp;A146</f>
        <v>5. Annual Process Documentation 5.3 Supervision</v>
      </c>
      <c r="E149" s="51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5"/>
      <c r="AK149" s="35"/>
      <c r="AL149" s="36"/>
      <c r="AM149" s="36"/>
      <c r="AN149" s="36"/>
      <c r="AO149" s="36"/>
      <c r="AP149" s="36"/>
      <c r="AQ149" s="36"/>
      <c r="AR149" s="36"/>
      <c r="AS149" s="35"/>
      <c r="AT149" s="35"/>
      <c r="AU149" s="35"/>
      <c r="AV149" s="35"/>
      <c r="AW149" s="35"/>
      <c r="AX149" s="35"/>
      <c r="AY149" s="35"/>
      <c r="AZ149" s="35"/>
      <c r="BA149" s="35"/>
      <c r="BB149" s="35"/>
      <c r="BC149" s="35"/>
      <c r="BD149" s="35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35"/>
      <c r="BU149" s="35"/>
      <c r="BV149" s="35"/>
      <c r="BW149" s="35"/>
      <c r="BX149" s="35"/>
      <c r="BY149" s="35"/>
      <c r="BZ149" s="35"/>
      <c r="CA149" s="35"/>
      <c r="CB149" s="35"/>
      <c r="CC149" s="35"/>
      <c r="CD149" s="35"/>
      <c r="CE149" s="35"/>
      <c r="CF149" s="35"/>
      <c r="CG149" s="35"/>
      <c r="CH149" s="35"/>
      <c r="CI149" s="35"/>
      <c r="CJ149" s="35"/>
      <c r="CK149" s="35"/>
      <c r="CL149" s="35"/>
      <c r="CM149" s="35"/>
      <c r="CN149" s="35"/>
      <c r="CO149" s="35"/>
      <c r="CP149" s="35"/>
      <c r="CQ149" s="35"/>
      <c r="CR149" s="35"/>
      <c r="CS149" s="35"/>
      <c r="CT149" s="36"/>
      <c r="CU149" s="35"/>
      <c r="CV149" s="35"/>
      <c r="CW149" s="35"/>
      <c r="CX149" s="35"/>
      <c r="CY149" s="35"/>
      <c r="CZ149" s="36"/>
      <c r="DA149" s="36"/>
      <c r="DB149" s="35"/>
      <c r="DC149" s="35"/>
      <c r="DD149" s="35"/>
      <c r="DE149" s="35"/>
      <c r="DF149" s="35"/>
      <c r="DG149" s="35"/>
      <c r="DH149" s="35"/>
      <c r="DI149" s="35"/>
      <c r="DJ149" s="35"/>
      <c r="DK149" s="35"/>
      <c r="DL149" s="35"/>
      <c r="DM149" s="35"/>
      <c r="DN149" s="35"/>
      <c r="DO149" s="35"/>
      <c r="DP149" s="35"/>
      <c r="DQ149" s="35"/>
      <c r="DR149" s="35"/>
      <c r="DS149" s="35"/>
      <c r="DT149" s="35"/>
      <c r="DU149" s="35"/>
      <c r="DV149" s="35"/>
      <c r="DW149" s="35"/>
      <c r="DX149" s="35"/>
      <c r="DY149" s="35"/>
      <c r="DZ149" s="36"/>
      <c r="EA149" s="35"/>
      <c r="EB149" s="35"/>
      <c r="EC149" s="35"/>
      <c r="ED149" s="35"/>
      <c r="EE149" s="35"/>
      <c r="EF149" s="35"/>
      <c r="EG149" s="35"/>
      <c r="EH149" s="35"/>
      <c r="EI149" s="35"/>
      <c r="EJ149" s="35"/>
      <c r="EK149" s="35"/>
      <c r="EL149" s="35"/>
      <c r="EM149" s="35"/>
      <c r="EN149" s="35"/>
      <c r="EO149" s="35"/>
      <c r="EP149" s="35"/>
      <c r="EQ149" s="35"/>
      <c r="ER149" s="35"/>
      <c r="ES149" s="35"/>
      <c r="ET149" s="35"/>
      <c r="EU149" s="35"/>
      <c r="EV149" s="35"/>
      <c r="EW149" s="35"/>
      <c r="EX149" s="35"/>
      <c r="EY149" s="36"/>
      <c r="EZ149" s="35"/>
      <c r="FA149" s="35"/>
      <c r="FB149" s="35"/>
      <c r="FC149" s="35"/>
      <c r="FD149" s="35"/>
      <c r="FE149" s="35"/>
      <c r="FF149" s="35"/>
      <c r="FG149" s="35"/>
      <c r="FH149" s="35"/>
      <c r="FI149" s="35"/>
      <c r="FJ149" s="35"/>
      <c r="FK149" s="35"/>
      <c r="FL149" s="35"/>
      <c r="FM149" s="35"/>
      <c r="FN149" s="35"/>
      <c r="FO149" s="35"/>
      <c r="FP149" s="35"/>
      <c r="FQ149" s="52"/>
      <c r="FR149" s="8"/>
      <c r="FS149" s="9" t="s">
        <v>13</v>
      </c>
      <c r="FT149" s="9" t="str">
        <f t="shared" si="3664"/>
        <v>5. Annual Process Documentation 5.3 Supervision</v>
      </c>
    </row>
    <row r="150" spans="1:176" s="9" customFormat="1" ht="12" hidden="1" customHeight="1" outlineLevel="1">
      <c r="A150" s="125" t="s">
        <v>50</v>
      </c>
      <c r="B150" s="123"/>
      <c r="C150" s="124" t="str">
        <f t="shared" si="3515"/>
        <v>0 days</v>
      </c>
      <c r="D150" s="13" t="str">
        <f>A133&amp;" "&amp;A146</f>
        <v>5. Annual Process Documentation 5.3 Supervision</v>
      </c>
      <c r="E150" s="51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5"/>
      <c r="AK150" s="35"/>
      <c r="AL150" s="36"/>
      <c r="AM150" s="36"/>
      <c r="AN150" s="36"/>
      <c r="AO150" s="36"/>
      <c r="AP150" s="36"/>
      <c r="AQ150" s="36"/>
      <c r="AR150" s="36"/>
      <c r="AS150" s="35"/>
      <c r="AT150" s="35"/>
      <c r="AU150" s="35"/>
      <c r="AV150" s="35"/>
      <c r="AW150" s="35"/>
      <c r="AX150" s="35"/>
      <c r="AY150" s="35"/>
      <c r="AZ150" s="35"/>
      <c r="BA150" s="35"/>
      <c r="BB150" s="35"/>
      <c r="BC150" s="35"/>
      <c r="BD150" s="35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35"/>
      <c r="BU150" s="35"/>
      <c r="BV150" s="35"/>
      <c r="BW150" s="35"/>
      <c r="BX150" s="35"/>
      <c r="BY150" s="35"/>
      <c r="BZ150" s="35"/>
      <c r="CA150" s="35"/>
      <c r="CB150" s="35"/>
      <c r="CC150" s="35"/>
      <c r="CD150" s="35"/>
      <c r="CE150" s="35"/>
      <c r="CF150" s="35"/>
      <c r="CG150" s="35"/>
      <c r="CH150" s="35"/>
      <c r="CI150" s="35"/>
      <c r="CJ150" s="35"/>
      <c r="CK150" s="35"/>
      <c r="CL150" s="35"/>
      <c r="CM150" s="35"/>
      <c r="CN150" s="35"/>
      <c r="CO150" s="35"/>
      <c r="CP150" s="35"/>
      <c r="CQ150" s="35"/>
      <c r="CR150" s="35"/>
      <c r="CS150" s="35"/>
      <c r="CT150" s="36"/>
      <c r="CU150" s="35"/>
      <c r="CV150" s="35"/>
      <c r="CW150" s="35"/>
      <c r="CX150" s="35"/>
      <c r="CY150" s="35"/>
      <c r="CZ150" s="36"/>
      <c r="DA150" s="36"/>
      <c r="DB150" s="35"/>
      <c r="DC150" s="35"/>
      <c r="DD150" s="35"/>
      <c r="DE150" s="35"/>
      <c r="DF150" s="35"/>
      <c r="DG150" s="35"/>
      <c r="DH150" s="35"/>
      <c r="DI150" s="35"/>
      <c r="DJ150" s="35"/>
      <c r="DK150" s="35"/>
      <c r="DL150" s="35"/>
      <c r="DM150" s="35"/>
      <c r="DN150" s="35"/>
      <c r="DO150" s="35"/>
      <c r="DP150" s="35"/>
      <c r="DQ150" s="35"/>
      <c r="DR150" s="35"/>
      <c r="DS150" s="35"/>
      <c r="DT150" s="35"/>
      <c r="DU150" s="35"/>
      <c r="DV150" s="35"/>
      <c r="DW150" s="35"/>
      <c r="DX150" s="35"/>
      <c r="DY150" s="35"/>
      <c r="DZ150" s="36"/>
      <c r="EA150" s="35"/>
      <c r="EB150" s="35"/>
      <c r="EC150" s="35"/>
      <c r="ED150" s="35"/>
      <c r="EE150" s="35"/>
      <c r="EF150" s="35"/>
      <c r="EG150" s="35"/>
      <c r="EH150" s="35"/>
      <c r="EI150" s="35"/>
      <c r="EJ150" s="35"/>
      <c r="EK150" s="35"/>
      <c r="EL150" s="35"/>
      <c r="EM150" s="35"/>
      <c r="EN150" s="35"/>
      <c r="EO150" s="35"/>
      <c r="EP150" s="35"/>
      <c r="EQ150" s="35"/>
      <c r="ER150" s="35"/>
      <c r="ES150" s="35"/>
      <c r="ET150" s="35"/>
      <c r="EU150" s="35"/>
      <c r="EV150" s="35"/>
      <c r="EW150" s="35"/>
      <c r="EX150" s="35"/>
      <c r="EY150" s="36"/>
      <c r="EZ150" s="35"/>
      <c r="FA150" s="35"/>
      <c r="FB150" s="35"/>
      <c r="FC150" s="35"/>
      <c r="FD150" s="35"/>
      <c r="FE150" s="35"/>
      <c r="FF150" s="35"/>
      <c r="FG150" s="35"/>
      <c r="FH150" s="35"/>
      <c r="FI150" s="35"/>
      <c r="FJ150" s="35"/>
      <c r="FK150" s="35"/>
      <c r="FL150" s="35"/>
      <c r="FM150" s="35"/>
      <c r="FN150" s="35"/>
      <c r="FO150" s="35"/>
      <c r="FP150" s="35"/>
      <c r="FQ150" s="52"/>
      <c r="FR150" s="8"/>
      <c r="FS150" s="9" t="s">
        <v>13</v>
      </c>
      <c r="FT150" s="9" t="str">
        <f t="shared" si="3664"/>
        <v>5. Annual Process Documentation 5.3 Supervision</v>
      </c>
    </row>
    <row r="151" spans="1:176" s="9" customFormat="1" ht="12" hidden="1" customHeight="1" outlineLevel="1">
      <c r="A151" s="126" t="s">
        <v>50</v>
      </c>
      <c r="B151" s="123"/>
      <c r="C151" s="124" t="str">
        <f t="shared" si="3515"/>
        <v>0 days</v>
      </c>
      <c r="D151" s="13" t="str">
        <f>A133&amp;" "&amp;A146</f>
        <v>5. Annual Process Documentation 5.3 Supervision</v>
      </c>
      <c r="E151" s="51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5"/>
      <c r="AK151" s="35"/>
      <c r="AL151" s="36"/>
      <c r="AM151" s="36"/>
      <c r="AN151" s="36"/>
      <c r="AO151" s="36"/>
      <c r="AP151" s="36"/>
      <c r="AQ151" s="36"/>
      <c r="AR151" s="36"/>
      <c r="AS151" s="35"/>
      <c r="AT151" s="35"/>
      <c r="AU151" s="35"/>
      <c r="AV151" s="35"/>
      <c r="AW151" s="35"/>
      <c r="AX151" s="35"/>
      <c r="AY151" s="35"/>
      <c r="AZ151" s="35"/>
      <c r="BA151" s="35"/>
      <c r="BB151" s="35"/>
      <c r="BC151" s="35"/>
      <c r="BD151" s="35"/>
      <c r="BE151" s="35"/>
      <c r="BF151" s="35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35"/>
      <c r="BU151" s="35"/>
      <c r="BV151" s="35"/>
      <c r="BW151" s="35"/>
      <c r="BX151" s="35"/>
      <c r="BY151" s="35"/>
      <c r="BZ151" s="35"/>
      <c r="CA151" s="35"/>
      <c r="CB151" s="35"/>
      <c r="CC151" s="35"/>
      <c r="CD151" s="35"/>
      <c r="CE151" s="35"/>
      <c r="CF151" s="35"/>
      <c r="CG151" s="35"/>
      <c r="CH151" s="35"/>
      <c r="CI151" s="35"/>
      <c r="CJ151" s="35"/>
      <c r="CK151" s="35"/>
      <c r="CL151" s="35"/>
      <c r="CM151" s="35"/>
      <c r="CN151" s="35"/>
      <c r="CO151" s="35"/>
      <c r="CP151" s="35"/>
      <c r="CQ151" s="35"/>
      <c r="CR151" s="35"/>
      <c r="CS151" s="35"/>
      <c r="CT151" s="36"/>
      <c r="CU151" s="35"/>
      <c r="CV151" s="35"/>
      <c r="CW151" s="35"/>
      <c r="CX151" s="35"/>
      <c r="CY151" s="35"/>
      <c r="CZ151" s="36"/>
      <c r="DA151" s="36"/>
      <c r="DB151" s="35"/>
      <c r="DC151" s="35"/>
      <c r="DD151" s="35"/>
      <c r="DE151" s="35"/>
      <c r="DF151" s="35"/>
      <c r="DG151" s="35"/>
      <c r="DH151" s="35"/>
      <c r="DI151" s="35"/>
      <c r="DJ151" s="35"/>
      <c r="DK151" s="35"/>
      <c r="DL151" s="35"/>
      <c r="DM151" s="35"/>
      <c r="DN151" s="35"/>
      <c r="DO151" s="35"/>
      <c r="DP151" s="35"/>
      <c r="DQ151" s="35"/>
      <c r="DR151" s="35"/>
      <c r="DS151" s="35"/>
      <c r="DT151" s="35"/>
      <c r="DU151" s="35"/>
      <c r="DV151" s="35"/>
      <c r="DW151" s="35"/>
      <c r="DX151" s="35"/>
      <c r="DY151" s="35"/>
      <c r="DZ151" s="36"/>
      <c r="EA151" s="35"/>
      <c r="EB151" s="35"/>
      <c r="EC151" s="35"/>
      <c r="ED151" s="35"/>
      <c r="EE151" s="35"/>
      <c r="EF151" s="35"/>
      <c r="EG151" s="35"/>
      <c r="EH151" s="35"/>
      <c r="EI151" s="35"/>
      <c r="EJ151" s="35"/>
      <c r="EK151" s="35"/>
      <c r="EL151" s="35"/>
      <c r="EM151" s="35"/>
      <c r="EN151" s="35"/>
      <c r="EO151" s="35"/>
      <c r="EP151" s="35"/>
      <c r="EQ151" s="35"/>
      <c r="ER151" s="35"/>
      <c r="ES151" s="35"/>
      <c r="ET151" s="35"/>
      <c r="EU151" s="35"/>
      <c r="EV151" s="35"/>
      <c r="EW151" s="35"/>
      <c r="EX151" s="35"/>
      <c r="EY151" s="36"/>
      <c r="EZ151" s="35"/>
      <c r="FA151" s="35"/>
      <c r="FB151" s="35"/>
      <c r="FC151" s="35"/>
      <c r="FD151" s="35"/>
      <c r="FE151" s="35"/>
      <c r="FF151" s="35"/>
      <c r="FG151" s="35"/>
      <c r="FH151" s="35"/>
      <c r="FI151" s="35"/>
      <c r="FJ151" s="35"/>
      <c r="FK151" s="35"/>
      <c r="FL151" s="35"/>
      <c r="FM151" s="35"/>
      <c r="FN151" s="35"/>
      <c r="FO151" s="35"/>
      <c r="FP151" s="35"/>
      <c r="FQ151" s="52"/>
      <c r="FR151" s="8"/>
      <c r="FS151" s="9" t="s">
        <v>13</v>
      </c>
      <c r="FT151" s="9" t="str">
        <f t="shared" si="3664"/>
        <v>5. Annual Process Documentation 5.3 Supervision</v>
      </c>
    </row>
    <row r="152" spans="1:176" s="9" customFormat="1" ht="12" customHeight="1" collapsed="1">
      <c r="A152" s="119" t="s">
        <v>74</v>
      </c>
      <c r="B152" s="127"/>
      <c r="C152" s="121" t="str">
        <f t="shared" si="3515"/>
        <v>2 days</v>
      </c>
      <c r="D152" s="27"/>
      <c r="E152" s="91" t="str">
        <f t="shared" ref="E152" si="3800">IF(SUBTOTAL(9,E153:E157)&gt;0,SUBTOTAL(9,E153:E157),"")</f>
        <v/>
      </c>
      <c r="F152" s="34" t="str">
        <f t="shared" ref="F152" si="3801">IF(SUBTOTAL(9,F153:F157)&gt;0,SUBTOTAL(9,F153:F157),"")</f>
        <v/>
      </c>
      <c r="G152" s="34" t="str">
        <f t="shared" ref="G152" si="3802">IF(SUBTOTAL(9,G153:G157)&gt;0,SUBTOTAL(9,G153:G157),"")</f>
        <v/>
      </c>
      <c r="H152" s="34" t="str">
        <f t="shared" ref="H152" si="3803">IF(SUBTOTAL(9,H153:H157)&gt;0,SUBTOTAL(9,H153:H157),"")</f>
        <v/>
      </c>
      <c r="I152" s="34" t="str">
        <f t="shared" ref="I152" si="3804">IF(SUBTOTAL(9,I153:I157)&gt;0,SUBTOTAL(9,I153:I157),"")</f>
        <v/>
      </c>
      <c r="J152" s="34" t="str">
        <f t="shared" ref="J152" si="3805">IF(SUBTOTAL(9,J153:J157)&gt;0,SUBTOTAL(9,J153:J157),"")</f>
        <v/>
      </c>
      <c r="K152" s="34" t="str">
        <f t="shared" ref="K152" si="3806">IF(SUBTOTAL(9,K153:K157)&gt;0,SUBTOTAL(9,K153:K157),"")</f>
        <v/>
      </c>
      <c r="L152" s="34" t="str">
        <f t="shared" ref="L152" si="3807">IF(SUBTOTAL(9,L153:L157)&gt;0,SUBTOTAL(9,L153:L157),"")</f>
        <v/>
      </c>
      <c r="M152" s="34" t="str">
        <f t="shared" ref="M152" si="3808">IF(SUBTOTAL(9,M153:M157)&gt;0,SUBTOTAL(9,M153:M157),"")</f>
        <v/>
      </c>
      <c r="N152" s="34" t="str">
        <f t="shared" ref="N152" si="3809">IF(SUBTOTAL(9,N153:N157)&gt;0,SUBTOTAL(9,N153:N157),"")</f>
        <v/>
      </c>
      <c r="O152" s="34" t="str">
        <f t="shared" ref="O152" si="3810">IF(SUBTOTAL(9,O153:O157)&gt;0,SUBTOTAL(9,O153:O157),"")</f>
        <v/>
      </c>
      <c r="P152" s="34" t="str">
        <f t="shared" ref="P152" si="3811">IF(SUBTOTAL(9,P153:P157)&gt;0,SUBTOTAL(9,P153:P157),"")</f>
        <v/>
      </c>
      <c r="Q152" s="34" t="str">
        <f t="shared" ref="Q152" si="3812">IF(SUBTOTAL(9,Q153:Q157)&gt;0,SUBTOTAL(9,Q153:Q157),"")</f>
        <v/>
      </c>
      <c r="R152" s="34" t="str">
        <f t="shared" ref="R152" si="3813">IF(SUBTOTAL(9,R153:R157)&gt;0,SUBTOTAL(9,R153:R157),"")</f>
        <v/>
      </c>
      <c r="S152" s="34" t="str">
        <f t="shared" ref="S152:AV152" si="3814">IF(SUBTOTAL(9,S153:S157)&gt;0,SUBTOTAL(9,S153:S157),"")</f>
        <v/>
      </c>
      <c r="T152" s="34" t="str">
        <f t="shared" si="3814"/>
        <v/>
      </c>
      <c r="U152" s="34" t="str">
        <f t="shared" si="3814"/>
        <v/>
      </c>
      <c r="V152" s="34" t="str">
        <f t="shared" si="3814"/>
        <v/>
      </c>
      <c r="W152" s="34" t="str">
        <f t="shared" si="3814"/>
        <v/>
      </c>
      <c r="X152" s="34" t="str">
        <f t="shared" si="3814"/>
        <v/>
      </c>
      <c r="Y152" s="34" t="str">
        <f t="shared" si="3814"/>
        <v/>
      </c>
      <c r="Z152" s="34" t="str">
        <f t="shared" si="3814"/>
        <v/>
      </c>
      <c r="AA152" s="34" t="str">
        <f t="shared" si="3814"/>
        <v/>
      </c>
      <c r="AB152" s="34" t="str">
        <f t="shared" si="3814"/>
        <v/>
      </c>
      <c r="AC152" s="34" t="str">
        <f t="shared" si="3814"/>
        <v/>
      </c>
      <c r="AD152" s="34" t="str">
        <f t="shared" si="3814"/>
        <v/>
      </c>
      <c r="AE152" s="34" t="str">
        <f t="shared" si="3814"/>
        <v/>
      </c>
      <c r="AF152" s="34" t="str">
        <f t="shared" si="3814"/>
        <v/>
      </c>
      <c r="AG152" s="34" t="str">
        <f t="shared" si="3814"/>
        <v/>
      </c>
      <c r="AH152" s="34" t="str">
        <f t="shared" si="3814"/>
        <v/>
      </c>
      <c r="AI152" s="34" t="str">
        <f t="shared" si="3814"/>
        <v/>
      </c>
      <c r="AJ152" s="34" t="str">
        <f t="shared" si="3814"/>
        <v/>
      </c>
      <c r="AK152" s="34" t="str">
        <f t="shared" si="3814"/>
        <v/>
      </c>
      <c r="AL152" s="33" t="str">
        <f t="shared" si="3814"/>
        <v/>
      </c>
      <c r="AM152" s="33" t="str">
        <f t="shared" si="3814"/>
        <v/>
      </c>
      <c r="AN152" s="33" t="str">
        <f t="shared" si="3814"/>
        <v/>
      </c>
      <c r="AO152" s="33" t="str">
        <f t="shared" si="3814"/>
        <v/>
      </c>
      <c r="AP152" s="33" t="str">
        <f t="shared" si="3814"/>
        <v/>
      </c>
      <c r="AQ152" s="33" t="str">
        <f t="shared" si="3814"/>
        <v/>
      </c>
      <c r="AR152" s="33" t="str">
        <f t="shared" si="3814"/>
        <v/>
      </c>
      <c r="AS152" s="34" t="str">
        <f t="shared" si="3814"/>
        <v/>
      </c>
      <c r="AT152" s="34" t="str">
        <f t="shared" si="3814"/>
        <v/>
      </c>
      <c r="AU152" s="34" t="str">
        <f t="shared" si="3814"/>
        <v/>
      </c>
      <c r="AV152" s="34">
        <f t="shared" si="3814"/>
        <v>2</v>
      </c>
      <c r="AW152" s="34" t="str">
        <f t="shared" ref="AW152" si="3815">IF(SUBTOTAL(9,AW153:AW157)&gt;0,SUBTOTAL(9,AW153:AW157),"")</f>
        <v/>
      </c>
      <c r="AX152" s="34" t="str">
        <f t="shared" ref="AX152" si="3816">IF(SUBTOTAL(9,AX153:AX157)&gt;0,SUBTOTAL(9,AX153:AX157),"")</f>
        <v/>
      </c>
      <c r="AY152" s="34" t="str">
        <f t="shared" ref="AY152" si="3817">IF(SUBTOTAL(9,AY153:AY157)&gt;0,SUBTOTAL(9,AY153:AY157),"")</f>
        <v/>
      </c>
      <c r="AZ152" s="34" t="str">
        <f t="shared" ref="AZ152" si="3818">IF(SUBTOTAL(9,AZ153:AZ157)&gt;0,SUBTOTAL(9,AZ153:AZ157),"")</f>
        <v/>
      </c>
      <c r="BA152" s="34" t="str">
        <f t="shared" ref="BA152" si="3819">IF(SUBTOTAL(9,BA153:BA157)&gt;0,SUBTOTAL(9,BA153:BA157),"")</f>
        <v/>
      </c>
      <c r="BB152" s="34" t="str">
        <f t="shared" ref="BB152" si="3820">IF(SUBTOTAL(9,BB153:BB157)&gt;0,SUBTOTAL(9,BB153:BB157),"")</f>
        <v/>
      </c>
      <c r="BC152" s="34" t="str">
        <f t="shared" ref="BC152" si="3821">IF(SUBTOTAL(9,BC153:BC157)&gt;0,SUBTOTAL(9,BC153:BC157),"")</f>
        <v/>
      </c>
      <c r="BD152" s="34" t="str">
        <f t="shared" ref="BD152" si="3822">IF(SUBTOTAL(9,BD153:BD157)&gt;0,SUBTOTAL(9,BD153:BD157),"")</f>
        <v/>
      </c>
      <c r="BE152" s="34" t="str">
        <f t="shared" ref="BE152" si="3823">IF(SUBTOTAL(9,BE153:BE157)&gt;0,SUBTOTAL(9,BE153:BE157),"")</f>
        <v/>
      </c>
      <c r="BF152" s="34" t="str">
        <f t="shared" ref="BF152" si="3824">IF(SUBTOTAL(9,BF153:BF157)&gt;0,SUBTOTAL(9,BF153:BF157),"")</f>
        <v/>
      </c>
      <c r="BG152" s="34" t="str">
        <f t="shared" ref="BG152" si="3825">IF(SUBTOTAL(9,BG153:BG157)&gt;0,SUBTOTAL(9,BG153:BG157),"")</f>
        <v/>
      </c>
      <c r="BH152" s="34" t="str">
        <f t="shared" ref="BH152" si="3826">IF(SUBTOTAL(9,BH153:BH157)&gt;0,SUBTOTAL(9,BH153:BH157),"")</f>
        <v/>
      </c>
      <c r="BI152" s="34" t="str">
        <f t="shared" ref="BI152" si="3827">IF(SUBTOTAL(9,BI153:BI157)&gt;0,SUBTOTAL(9,BI153:BI157),"")</f>
        <v/>
      </c>
      <c r="BJ152" s="34" t="str">
        <f t="shared" ref="BJ152" si="3828">IF(SUBTOTAL(9,BJ153:BJ157)&gt;0,SUBTOTAL(9,BJ153:BJ157),"")</f>
        <v/>
      </c>
      <c r="BK152" s="34" t="str">
        <f t="shared" ref="BK152" si="3829">IF(SUBTOTAL(9,BK153:BK157)&gt;0,SUBTOTAL(9,BK153:BK157),"")</f>
        <v/>
      </c>
      <c r="BL152" s="34" t="str">
        <f t="shared" ref="BL152" si="3830">IF(SUBTOTAL(9,BL153:BL157)&gt;0,SUBTOTAL(9,BL153:BL157),"")</f>
        <v/>
      </c>
      <c r="BM152" s="34" t="str">
        <f t="shared" ref="BM152" si="3831">IF(SUBTOTAL(9,BM153:BM157)&gt;0,SUBTOTAL(9,BM153:BM157),"")</f>
        <v/>
      </c>
      <c r="BN152" s="34" t="str">
        <f t="shared" ref="BN152" si="3832">IF(SUBTOTAL(9,BN153:BN157)&gt;0,SUBTOTAL(9,BN153:BN157),"")</f>
        <v/>
      </c>
      <c r="BO152" s="34" t="str">
        <f t="shared" ref="BO152" si="3833">IF(SUBTOTAL(9,BO153:BO157)&gt;0,SUBTOTAL(9,BO153:BO157),"")</f>
        <v/>
      </c>
      <c r="BP152" s="34" t="str">
        <f t="shared" ref="BP152" si="3834">IF(SUBTOTAL(9,BP153:BP157)&gt;0,SUBTOTAL(9,BP153:BP157),"")</f>
        <v/>
      </c>
      <c r="BQ152" s="34" t="str">
        <f t="shared" ref="BQ152" si="3835">IF(SUBTOTAL(9,BQ153:BQ157)&gt;0,SUBTOTAL(9,BQ153:BQ157),"")</f>
        <v/>
      </c>
      <c r="BR152" s="34" t="str">
        <f t="shared" ref="BR152" si="3836">IF(SUBTOTAL(9,BR153:BR157)&gt;0,SUBTOTAL(9,BR153:BR157),"")</f>
        <v/>
      </c>
      <c r="BS152" s="34" t="str">
        <f t="shared" ref="BS152" si="3837">IF(SUBTOTAL(9,BS153:BS157)&gt;0,SUBTOTAL(9,BS153:BS157),"")</f>
        <v/>
      </c>
      <c r="BT152" s="34" t="str">
        <f t="shared" ref="BT152" si="3838">IF(SUBTOTAL(9,BT153:BT157)&gt;0,SUBTOTAL(9,BT153:BT157),"")</f>
        <v/>
      </c>
      <c r="BU152" s="34" t="str">
        <f t="shared" ref="BU152" si="3839">IF(SUBTOTAL(9,BU153:BU157)&gt;0,SUBTOTAL(9,BU153:BU157),"")</f>
        <v/>
      </c>
      <c r="BV152" s="34" t="str">
        <f t="shared" ref="BV152" si="3840">IF(SUBTOTAL(9,BV153:BV157)&gt;0,SUBTOTAL(9,BV153:BV157),"")</f>
        <v/>
      </c>
      <c r="BW152" s="34" t="str">
        <f t="shared" ref="BW152" si="3841">IF(SUBTOTAL(9,BW153:BW157)&gt;0,SUBTOTAL(9,BW153:BW157),"")</f>
        <v/>
      </c>
      <c r="BX152" s="34" t="str">
        <f t="shared" ref="BX152" si="3842">IF(SUBTOTAL(9,BX153:BX157)&gt;0,SUBTOTAL(9,BX153:BX157),"")</f>
        <v/>
      </c>
      <c r="BY152" s="34" t="str">
        <f t="shared" ref="BY152" si="3843">IF(SUBTOTAL(9,BY153:BY157)&gt;0,SUBTOTAL(9,BY153:BY157),"")</f>
        <v/>
      </c>
      <c r="BZ152" s="34" t="str">
        <f t="shared" ref="BZ152" si="3844">IF(SUBTOTAL(9,BZ153:BZ157)&gt;0,SUBTOTAL(9,BZ153:BZ157),"")</f>
        <v/>
      </c>
      <c r="CA152" s="34" t="str">
        <f t="shared" ref="CA152" si="3845">IF(SUBTOTAL(9,CA153:CA157)&gt;0,SUBTOTAL(9,CA153:CA157),"")</f>
        <v/>
      </c>
      <c r="CB152" s="34" t="str">
        <f t="shared" ref="CB152" si="3846">IF(SUBTOTAL(9,CB153:CB157)&gt;0,SUBTOTAL(9,CB153:CB157),"")</f>
        <v/>
      </c>
      <c r="CC152" s="34" t="str">
        <f t="shared" ref="CC152" si="3847">IF(SUBTOTAL(9,CC153:CC157)&gt;0,SUBTOTAL(9,CC153:CC157),"")</f>
        <v/>
      </c>
      <c r="CD152" s="34" t="str">
        <f t="shared" ref="CD152" si="3848">IF(SUBTOTAL(9,CD153:CD157)&gt;0,SUBTOTAL(9,CD153:CD157),"")</f>
        <v/>
      </c>
      <c r="CE152" s="34" t="str">
        <f t="shared" ref="CE152" si="3849">IF(SUBTOTAL(9,CE153:CE157)&gt;0,SUBTOTAL(9,CE153:CE157),"")</f>
        <v/>
      </c>
      <c r="CF152" s="34" t="str">
        <f t="shared" ref="CF152:CG152" si="3850">IF(SUBTOTAL(9,CF153:CF157)&gt;0,SUBTOTAL(9,CF153:CF157),"")</f>
        <v/>
      </c>
      <c r="CG152" s="34" t="str">
        <f t="shared" si="3850"/>
        <v/>
      </c>
      <c r="CH152" s="34" t="str">
        <f t="shared" ref="CH152" si="3851">IF(SUBTOTAL(9,CH153:CH157)&gt;0,SUBTOTAL(9,CH153:CH157),"")</f>
        <v/>
      </c>
      <c r="CI152" s="34" t="str">
        <f t="shared" ref="CI152" si="3852">IF(SUBTOTAL(9,CI153:CI157)&gt;0,SUBTOTAL(9,CI153:CI157),"")</f>
        <v/>
      </c>
      <c r="CJ152" s="34" t="str">
        <f t="shared" ref="CJ152" si="3853">IF(SUBTOTAL(9,CJ153:CJ157)&gt;0,SUBTOTAL(9,CJ153:CJ157),"")</f>
        <v/>
      </c>
      <c r="CK152" s="34" t="str">
        <f t="shared" ref="CK152" si="3854">IF(SUBTOTAL(9,CK153:CK157)&gt;0,SUBTOTAL(9,CK153:CK157),"")</f>
        <v/>
      </c>
      <c r="CL152" s="34" t="str">
        <f t="shared" ref="CL152" si="3855">IF(SUBTOTAL(9,CL153:CL157)&gt;0,SUBTOTAL(9,CL153:CL157),"")</f>
        <v/>
      </c>
      <c r="CM152" s="34" t="str">
        <f t="shared" ref="CM152" si="3856">IF(SUBTOTAL(9,CM153:CM157)&gt;0,SUBTOTAL(9,CM153:CM157),"")</f>
        <v/>
      </c>
      <c r="CN152" s="34" t="str">
        <f t="shared" ref="CN152" si="3857">IF(SUBTOTAL(9,CN153:CN157)&gt;0,SUBTOTAL(9,CN153:CN157),"")</f>
        <v/>
      </c>
      <c r="CO152" s="34" t="str">
        <f t="shared" ref="CO152" si="3858">IF(SUBTOTAL(9,CO153:CO157)&gt;0,SUBTOTAL(9,CO153:CO157),"")</f>
        <v/>
      </c>
      <c r="CP152" s="34" t="str">
        <f t="shared" ref="CP152" si="3859">IF(SUBTOTAL(9,CP153:CP157)&gt;0,SUBTOTAL(9,CP153:CP157),"")</f>
        <v/>
      </c>
      <c r="CQ152" s="34" t="str">
        <f t="shared" ref="CQ152" si="3860">IF(SUBTOTAL(9,CQ153:CQ157)&gt;0,SUBTOTAL(9,CQ153:CQ157),"")</f>
        <v/>
      </c>
      <c r="CR152" s="34" t="str">
        <f t="shared" ref="CR152" si="3861">IF(SUBTOTAL(9,CR153:CR157)&gt;0,SUBTOTAL(9,CR153:CR157),"")</f>
        <v/>
      </c>
      <c r="CS152" s="34" t="str">
        <f t="shared" ref="CS152" si="3862">IF(SUBTOTAL(9,CS153:CS157)&gt;0,SUBTOTAL(9,CS153:CS157),"")</f>
        <v/>
      </c>
      <c r="CT152" s="33" t="str">
        <f t="shared" ref="CT152" si="3863">IF(SUBTOTAL(9,CT153:CT157)&gt;0,SUBTOTAL(9,CT153:CT157),"")</f>
        <v/>
      </c>
      <c r="CU152" s="34" t="str">
        <f t="shared" ref="CU152" si="3864">IF(SUBTOTAL(9,CU153:CU157)&gt;0,SUBTOTAL(9,CU153:CU157),"")</f>
        <v/>
      </c>
      <c r="CV152" s="34" t="str">
        <f t="shared" ref="CV152" si="3865">IF(SUBTOTAL(9,CV153:CV157)&gt;0,SUBTOTAL(9,CV153:CV157),"")</f>
        <v/>
      </c>
      <c r="CW152" s="34" t="str">
        <f t="shared" ref="CW152" si="3866">IF(SUBTOTAL(9,CW153:CW157)&gt;0,SUBTOTAL(9,CW153:CW157),"")</f>
        <v/>
      </c>
      <c r="CX152" s="34" t="str">
        <f t="shared" ref="CX152" si="3867">IF(SUBTOTAL(9,CX153:CX157)&gt;0,SUBTOTAL(9,CX153:CX157),"")</f>
        <v/>
      </c>
      <c r="CY152" s="34" t="str">
        <f t="shared" ref="CY152" si="3868">IF(SUBTOTAL(9,CY153:CY157)&gt;0,SUBTOTAL(9,CY153:CY157),"")</f>
        <v/>
      </c>
      <c r="CZ152" s="33" t="str">
        <f t="shared" ref="CZ152" si="3869">IF(SUBTOTAL(9,CZ153:CZ157)&gt;0,SUBTOTAL(9,CZ153:CZ157),"")</f>
        <v/>
      </c>
      <c r="DA152" s="33" t="str">
        <f t="shared" ref="DA152" si="3870">IF(SUBTOTAL(9,DA153:DA157)&gt;0,SUBTOTAL(9,DA153:DA157),"")</f>
        <v/>
      </c>
      <c r="DB152" s="34" t="str">
        <f t="shared" ref="DB152" si="3871">IF(SUBTOTAL(9,DB153:DB157)&gt;0,SUBTOTAL(9,DB153:DB157),"")</f>
        <v/>
      </c>
      <c r="DC152" s="34" t="str">
        <f t="shared" ref="DC152" si="3872">IF(SUBTOTAL(9,DC153:DC157)&gt;0,SUBTOTAL(9,DC153:DC157),"")</f>
        <v/>
      </c>
      <c r="DD152" s="34" t="str">
        <f t="shared" ref="DD152" si="3873">IF(SUBTOTAL(9,DD153:DD157)&gt;0,SUBTOTAL(9,DD153:DD157),"")</f>
        <v/>
      </c>
      <c r="DE152" s="34" t="str">
        <f t="shared" ref="DE152" si="3874">IF(SUBTOTAL(9,DE153:DE157)&gt;0,SUBTOTAL(9,DE153:DE157),"")</f>
        <v/>
      </c>
      <c r="DF152" s="34" t="str">
        <f t="shared" ref="DF152" si="3875">IF(SUBTOTAL(9,DF153:DF157)&gt;0,SUBTOTAL(9,DF153:DF157),"")</f>
        <v/>
      </c>
      <c r="DG152" s="34" t="str">
        <f t="shared" ref="DG152" si="3876">IF(SUBTOTAL(9,DG153:DG157)&gt;0,SUBTOTAL(9,DG153:DG157),"")</f>
        <v/>
      </c>
      <c r="DH152" s="34" t="str">
        <f t="shared" ref="DH152" si="3877">IF(SUBTOTAL(9,DH153:DH157)&gt;0,SUBTOTAL(9,DH153:DH157),"")</f>
        <v/>
      </c>
      <c r="DI152" s="34" t="str">
        <f t="shared" ref="DI152" si="3878">IF(SUBTOTAL(9,DI153:DI157)&gt;0,SUBTOTAL(9,DI153:DI157),"")</f>
        <v/>
      </c>
      <c r="DJ152" s="34" t="str">
        <f t="shared" ref="DJ152" si="3879">IF(SUBTOTAL(9,DJ153:DJ157)&gt;0,SUBTOTAL(9,DJ153:DJ157),"")</f>
        <v/>
      </c>
      <c r="DK152" s="34" t="str">
        <f t="shared" ref="DK152" si="3880">IF(SUBTOTAL(9,DK153:DK157)&gt;0,SUBTOTAL(9,DK153:DK157),"")</f>
        <v/>
      </c>
      <c r="DL152" s="34" t="str">
        <f t="shared" ref="DL152" si="3881">IF(SUBTOTAL(9,DL153:DL157)&gt;0,SUBTOTAL(9,DL153:DL157),"")</f>
        <v/>
      </c>
      <c r="DM152" s="34" t="str">
        <f t="shared" ref="DM152" si="3882">IF(SUBTOTAL(9,DM153:DM157)&gt;0,SUBTOTAL(9,DM153:DM157),"")</f>
        <v/>
      </c>
      <c r="DN152" s="34" t="str">
        <f t="shared" ref="DN152" si="3883">IF(SUBTOTAL(9,DN153:DN157)&gt;0,SUBTOTAL(9,DN153:DN157),"")</f>
        <v/>
      </c>
      <c r="DO152" s="34" t="str">
        <f t="shared" ref="DO152" si="3884">IF(SUBTOTAL(9,DO153:DO157)&gt;0,SUBTOTAL(9,DO153:DO157),"")</f>
        <v/>
      </c>
      <c r="DP152" s="34" t="str">
        <f t="shared" ref="DP152" si="3885">IF(SUBTOTAL(9,DP153:DP157)&gt;0,SUBTOTAL(9,DP153:DP157),"")</f>
        <v/>
      </c>
      <c r="DQ152" s="34" t="str">
        <f t="shared" ref="DQ152" si="3886">IF(SUBTOTAL(9,DQ153:DQ157)&gt;0,SUBTOTAL(9,DQ153:DQ157),"")</f>
        <v/>
      </c>
      <c r="DR152" s="34" t="str">
        <f t="shared" ref="DR152" si="3887">IF(SUBTOTAL(9,DR153:DR157)&gt;0,SUBTOTAL(9,DR153:DR157),"")</f>
        <v/>
      </c>
      <c r="DS152" s="34" t="str">
        <f t="shared" ref="DS152" si="3888">IF(SUBTOTAL(9,DS153:DS157)&gt;0,SUBTOTAL(9,DS153:DS157),"")</f>
        <v/>
      </c>
      <c r="DT152" s="34" t="str">
        <f t="shared" ref="DT152" si="3889">IF(SUBTOTAL(9,DT153:DT157)&gt;0,SUBTOTAL(9,DT153:DT157),"")</f>
        <v/>
      </c>
      <c r="DU152" s="34" t="str">
        <f t="shared" ref="DU152" si="3890">IF(SUBTOTAL(9,DU153:DU157)&gt;0,SUBTOTAL(9,DU153:DU157),"")</f>
        <v/>
      </c>
      <c r="DV152" s="34" t="str">
        <f t="shared" ref="DV152" si="3891">IF(SUBTOTAL(9,DV153:DV157)&gt;0,SUBTOTAL(9,DV153:DV157),"")</f>
        <v/>
      </c>
      <c r="DW152" s="34" t="str">
        <f t="shared" ref="DW152" si="3892">IF(SUBTOTAL(9,DW153:DW157)&gt;0,SUBTOTAL(9,DW153:DW157),"")</f>
        <v/>
      </c>
      <c r="DX152" s="34" t="str">
        <f t="shared" ref="DX152" si="3893">IF(SUBTOTAL(9,DX153:DX157)&gt;0,SUBTOTAL(9,DX153:DX157),"")</f>
        <v/>
      </c>
      <c r="DY152" s="34" t="str">
        <f t="shared" ref="DY152" si="3894">IF(SUBTOTAL(9,DY153:DY157)&gt;0,SUBTOTAL(9,DY153:DY157),"")</f>
        <v/>
      </c>
      <c r="DZ152" s="33" t="str">
        <f t="shared" ref="DZ152" si="3895">IF(SUBTOTAL(9,DZ153:DZ157)&gt;0,SUBTOTAL(9,DZ153:DZ157),"")</f>
        <v/>
      </c>
      <c r="EA152" s="34" t="str">
        <f t="shared" ref="EA152" si="3896">IF(SUBTOTAL(9,EA153:EA157)&gt;0,SUBTOTAL(9,EA153:EA157),"")</f>
        <v/>
      </c>
      <c r="EB152" s="34" t="str">
        <f t="shared" ref="EB152" si="3897">IF(SUBTOTAL(9,EB153:EB157)&gt;0,SUBTOTAL(9,EB153:EB157),"")</f>
        <v/>
      </c>
      <c r="EC152" s="34" t="str">
        <f t="shared" ref="EC152" si="3898">IF(SUBTOTAL(9,EC153:EC157)&gt;0,SUBTOTAL(9,EC153:EC157),"")</f>
        <v/>
      </c>
      <c r="ED152" s="34" t="str">
        <f t="shared" ref="ED152" si="3899">IF(SUBTOTAL(9,ED153:ED157)&gt;0,SUBTOTAL(9,ED153:ED157),"")</f>
        <v/>
      </c>
      <c r="EE152" s="34" t="str">
        <f t="shared" ref="EE152" si="3900">IF(SUBTOTAL(9,EE153:EE157)&gt;0,SUBTOTAL(9,EE153:EE157),"")</f>
        <v/>
      </c>
      <c r="EF152" s="34" t="str">
        <f t="shared" ref="EF152" si="3901">IF(SUBTOTAL(9,EF153:EF157)&gt;0,SUBTOTAL(9,EF153:EF157),"")</f>
        <v/>
      </c>
      <c r="EG152" s="34" t="str">
        <f t="shared" ref="EG152" si="3902">IF(SUBTOTAL(9,EG153:EG157)&gt;0,SUBTOTAL(9,EG153:EG157),"")</f>
        <v/>
      </c>
      <c r="EH152" s="34" t="str">
        <f t="shared" ref="EH152" si="3903">IF(SUBTOTAL(9,EH153:EH157)&gt;0,SUBTOTAL(9,EH153:EH157),"")</f>
        <v/>
      </c>
      <c r="EI152" s="34" t="str">
        <f t="shared" ref="EI152" si="3904">IF(SUBTOTAL(9,EI153:EI157)&gt;0,SUBTOTAL(9,EI153:EI157),"")</f>
        <v/>
      </c>
      <c r="EJ152" s="34" t="str">
        <f t="shared" ref="EJ152" si="3905">IF(SUBTOTAL(9,EJ153:EJ157)&gt;0,SUBTOTAL(9,EJ153:EJ157),"")</f>
        <v/>
      </c>
      <c r="EK152" s="34" t="str">
        <f t="shared" ref="EK152" si="3906">IF(SUBTOTAL(9,EK153:EK157)&gt;0,SUBTOTAL(9,EK153:EK157),"")</f>
        <v/>
      </c>
      <c r="EL152" s="34" t="str">
        <f t="shared" ref="EL152" si="3907">IF(SUBTOTAL(9,EL153:EL157)&gt;0,SUBTOTAL(9,EL153:EL157),"")</f>
        <v/>
      </c>
      <c r="EM152" s="34" t="str">
        <f t="shared" ref="EM152" si="3908">IF(SUBTOTAL(9,EM153:EM157)&gt;0,SUBTOTAL(9,EM153:EM157),"")</f>
        <v/>
      </c>
      <c r="EN152" s="34" t="str">
        <f t="shared" ref="EN152" si="3909">IF(SUBTOTAL(9,EN153:EN157)&gt;0,SUBTOTAL(9,EN153:EN157),"")</f>
        <v/>
      </c>
      <c r="EO152" s="34" t="str">
        <f t="shared" ref="EO152" si="3910">IF(SUBTOTAL(9,EO153:EO157)&gt;0,SUBTOTAL(9,EO153:EO157),"")</f>
        <v/>
      </c>
      <c r="EP152" s="34" t="str">
        <f t="shared" ref="EP152" si="3911">IF(SUBTOTAL(9,EP153:EP157)&gt;0,SUBTOTAL(9,EP153:EP157),"")</f>
        <v/>
      </c>
      <c r="EQ152" s="34" t="str">
        <f t="shared" ref="EQ152" si="3912">IF(SUBTOTAL(9,EQ153:EQ157)&gt;0,SUBTOTAL(9,EQ153:EQ157),"")</f>
        <v/>
      </c>
      <c r="ER152" s="34" t="str">
        <f t="shared" ref="ER152" si="3913">IF(SUBTOTAL(9,ER153:ER157)&gt;0,SUBTOTAL(9,ER153:ER157),"")</f>
        <v/>
      </c>
      <c r="ES152" s="34" t="str">
        <f t="shared" ref="ES152" si="3914">IF(SUBTOTAL(9,ES153:ES157)&gt;0,SUBTOTAL(9,ES153:ES157),"")</f>
        <v/>
      </c>
      <c r="ET152" s="34" t="str">
        <f t="shared" ref="ET152" si="3915">IF(SUBTOTAL(9,ET153:ET157)&gt;0,SUBTOTAL(9,ET153:ET157),"")</f>
        <v/>
      </c>
      <c r="EU152" s="34" t="str">
        <f t="shared" ref="EU152" si="3916">IF(SUBTOTAL(9,EU153:EU157)&gt;0,SUBTOTAL(9,EU153:EU157),"")</f>
        <v/>
      </c>
      <c r="EV152" s="34" t="str">
        <f t="shared" ref="EV152" si="3917">IF(SUBTOTAL(9,EV153:EV157)&gt;0,SUBTOTAL(9,EV153:EV157),"")</f>
        <v/>
      </c>
      <c r="EW152" s="34" t="str">
        <f t="shared" ref="EW152" si="3918">IF(SUBTOTAL(9,EW153:EW157)&gt;0,SUBTOTAL(9,EW153:EW157),"")</f>
        <v/>
      </c>
      <c r="EX152" s="34" t="str">
        <f t="shared" ref="EX152" si="3919">IF(SUBTOTAL(9,EX153:EX157)&gt;0,SUBTOTAL(9,EX153:EX157),"")</f>
        <v/>
      </c>
      <c r="EY152" s="33" t="str">
        <f t="shared" ref="EY152" si="3920">IF(SUBTOTAL(9,EY153:EY157)&gt;0,SUBTOTAL(9,EY153:EY157),"")</f>
        <v/>
      </c>
      <c r="EZ152" s="34" t="str">
        <f t="shared" ref="EZ152" si="3921">IF(SUBTOTAL(9,EZ153:EZ157)&gt;0,SUBTOTAL(9,EZ153:EZ157),"")</f>
        <v/>
      </c>
      <c r="FA152" s="34" t="str">
        <f t="shared" ref="FA152" si="3922">IF(SUBTOTAL(9,FA153:FA157)&gt;0,SUBTOTAL(9,FA153:FA157),"")</f>
        <v/>
      </c>
      <c r="FB152" s="34" t="str">
        <f t="shared" ref="FB152" si="3923">IF(SUBTOTAL(9,FB153:FB157)&gt;0,SUBTOTAL(9,FB153:FB157),"")</f>
        <v/>
      </c>
      <c r="FC152" s="34" t="str">
        <f t="shared" ref="FC152" si="3924">IF(SUBTOTAL(9,FC153:FC157)&gt;0,SUBTOTAL(9,FC153:FC157),"")</f>
        <v/>
      </c>
      <c r="FD152" s="34" t="str">
        <f t="shared" ref="FD152" si="3925">IF(SUBTOTAL(9,FD153:FD157)&gt;0,SUBTOTAL(9,FD153:FD157),"")</f>
        <v/>
      </c>
      <c r="FE152" s="34" t="str">
        <f t="shared" ref="FE152" si="3926">IF(SUBTOTAL(9,FE153:FE157)&gt;0,SUBTOTAL(9,FE153:FE157),"")</f>
        <v/>
      </c>
      <c r="FF152" s="34" t="str">
        <f t="shared" ref="FF152" si="3927">IF(SUBTOTAL(9,FF153:FF157)&gt;0,SUBTOTAL(9,FF153:FF157),"")</f>
        <v/>
      </c>
      <c r="FG152" s="34" t="str">
        <f t="shared" ref="FG152" si="3928">IF(SUBTOTAL(9,FG153:FG157)&gt;0,SUBTOTAL(9,FG153:FG157),"")</f>
        <v/>
      </c>
      <c r="FH152" s="34" t="str">
        <f t="shared" ref="FH152" si="3929">IF(SUBTOTAL(9,FH153:FH157)&gt;0,SUBTOTAL(9,FH153:FH157),"")</f>
        <v/>
      </c>
      <c r="FI152" s="34" t="str">
        <f t="shared" ref="FI152" si="3930">IF(SUBTOTAL(9,FI153:FI157)&gt;0,SUBTOTAL(9,FI153:FI157),"")</f>
        <v/>
      </c>
      <c r="FJ152" s="34" t="str">
        <f t="shared" ref="FJ152" si="3931">IF(SUBTOTAL(9,FJ153:FJ157)&gt;0,SUBTOTAL(9,FJ153:FJ157),"")</f>
        <v/>
      </c>
      <c r="FK152" s="34" t="str">
        <f t="shared" ref="FK152" si="3932">IF(SUBTOTAL(9,FK153:FK157)&gt;0,SUBTOTAL(9,FK153:FK157),"")</f>
        <v/>
      </c>
      <c r="FL152" s="34" t="str">
        <f t="shared" ref="FL152" si="3933">IF(SUBTOTAL(9,FL153:FL157)&gt;0,SUBTOTAL(9,FL153:FL157),"")</f>
        <v/>
      </c>
      <c r="FM152" s="34" t="str">
        <f t="shared" ref="FM152" si="3934">IF(SUBTOTAL(9,FM153:FM157)&gt;0,SUBTOTAL(9,FM153:FM157),"")</f>
        <v/>
      </c>
      <c r="FN152" s="34" t="str">
        <f t="shared" ref="FN152" si="3935">IF(SUBTOTAL(9,FN153:FN157)&gt;0,SUBTOTAL(9,FN153:FN157),"")</f>
        <v/>
      </c>
      <c r="FO152" s="34" t="str">
        <f t="shared" ref="FO152" si="3936">IF(SUBTOTAL(9,FO153:FO157)&gt;0,SUBTOTAL(9,FO153:FO157),"")</f>
        <v/>
      </c>
      <c r="FP152" s="34" t="str">
        <f t="shared" ref="FP152" si="3937">IF(SUBTOTAL(9,FP153:FP157)&gt;0,SUBTOTAL(9,FP153:FP157),"")</f>
        <v/>
      </c>
      <c r="FQ152" s="92" t="str">
        <f t="shared" ref="FQ152" si="3938">IF(SUBTOTAL(9,FQ153:FQ157)&gt;0,SUBTOTAL(9,FQ153:FQ157),"")</f>
        <v/>
      </c>
      <c r="FR152" s="8"/>
      <c r="FS152" s="9" t="s">
        <v>131</v>
      </c>
      <c r="FT152" s="9" t="str">
        <f t="shared" si="3664"/>
        <v/>
      </c>
    </row>
    <row r="153" spans="1:176" s="9" customFormat="1" ht="12" hidden="1" customHeight="1" outlineLevel="1">
      <c r="A153" s="122" t="s">
        <v>4</v>
      </c>
      <c r="B153" s="123" t="s">
        <v>19</v>
      </c>
      <c r="C153" s="124" t="str">
        <f t="shared" si="3515"/>
        <v>1 days</v>
      </c>
      <c r="D153" s="13" t="str">
        <f>A133&amp;" "&amp;A152</f>
        <v>5. Annual Process Documentation 5.4 Sign-off</v>
      </c>
      <c r="E153" s="51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5"/>
      <c r="AK153" s="35"/>
      <c r="AL153" s="36"/>
      <c r="AM153" s="36"/>
      <c r="AN153" s="36"/>
      <c r="AO153" s="36"/>
      <c r="AP153" s="36"/>
      <c r="AQ153" s="36"/>
      <c r="AR153" s="36"/>
      <c r="AS153" s="35"/>
      <c r="AT153" s="35"/>
      <c r="AU153" s="35"/>
      <c r="AV153" s="35">
        <v>1</v>
      </c>
      <c r="AW153" s="35"/>
      <c r="AX153" s="35"/>
      <c r="AY153" s="35"/>
      <c r="AZ153" s="35"/>
      <c r="BA153" s="35"/>
      <c r="BB153" s="35"/>
      <c r="BC153" s="35"/>
      <c r="BD153" s="35"/>
      <c r="BE153" s="35"/>
      <c r="BF153" s="35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35"/>
      <c r="BU153" s="35"/>
      <c r="BV153" s="35"/>
      <c r="BW153" s="35"/>
      <c r="BX153" s="35"/>
      <c r="BY153" s="35"/>
      <c r="BZ153" s="35"/>
      <c r="CA153" s="35"/>
      <c r="CB153" s="35"/>
      <c r="CC153" s="35"/>
      <c r="CD153" s="35"/>
      <c r="CE153" s="35"/>
      <c r="CF153" s="35"/>
      <c r="CG153" s="35"/>
      <c r="CH153" s="35"/>
      <c r="CI153" s="35"/>
      <c r="CJ153" s="35"/>
      <c r="CK153" s="35"/>
      <c r="CL153" s="35"/>
      <c r="CM153" s="35"/>
      <c r="CN153" s="35"/>
      <c r="CO153" s="35"/>
      <c r="CP153" s="35"/>
      <c r="CQ153" s="35"/>
      <c r="CR153" s="35"/>
      <c r="CS153" s="35"/>
      <c r="CT153" s="36"/>
      <c r="CU153" s="35"/>
      <c r="CV153" s="35"/>
      <c r="CW153" s="35"/>
      <c r="CX153" s="35"/>
      <c r="CY153" s="35"/>
      <c r="CZ153" s="36"/>
      <c r="DA153" s="36"/>
      <c r="DB153" s="35"/>
      <c r="DC153" s="35"/>
      <c r="DD153" s="35"/>
      <c r="DE153" s="35"/>
      <c r="DF153" s="35"/>
      <c r="DG153" s="35"/>
      <c r="DH153" s="35"/>
      <c r="DI153" s="35"/>
      <c r="DJ153" s="35"/>
      <c r="DK153" s="35"/>
      <c r="DL153" s="35"/>
      <c r="DM153" s="35"/>
      <c r="DN153" s="35"/>
      <c r="DO153" s="35"/>
      <c r="DP153" s="35"/>
      <c r="DQ153" s="35"/>
      <c r="DR153" s="35"/>
      <c r="DS153" s="35"/>
      <c r="DT153" s="35"/>
      <c r="DU153" s="35"/>
      <c r="DV153" s="35"/>
      <c r="DW153" s="35"/>
      <c r="DX153" s="35"/>
      <c r="DY153" s="35"/>
      <c r="DZ153" s="36"/>
      <c r="EA153" s="35"/>
      <c r="EB153" s="35"/>
      <c r="EC153" s="35"/>
      <c r="ED153" s="35"/>
      <c r="EE153" s="35"/>
      <c r="EF153" s="35"/>
      <c r="EG153" s="35"/>
      <c r="EH153" s="35"/>
      <c r="EI153" s="35"/>
      <c r="EJ153" s="35"/>
      <c r="EK153" s="35"/>
      <c r="EL153" s="35"/>
      <c r="EM153" s="35"/>
      <c r="EN153" s="35"/>
      <c r="EO153" s="35"/>
      <c r="EP153" s="35"/>
      <c r="EQ153" s="35"/>
      <c r="ER153" s="35"/>
      <c r="ES153" s="35"/>
      <c r="ET153" s="35"/>
      <c r="EU153" s="35"/>
      <c r="EV153" s="35"/>
      <c r="EW153" s="35"/>
      <c r="EX153" s="35"/>
      <c r="EY153" s="36"/>
      <c r="EZ153" s="35"/>
      <c r="FA153" s="35"/>
      <c r="FB153" s="35"/>
      <c r="FC153" s="35"/>
      <c r="FD153" s="35"/>
      <c r="FE153" s="35"/>
      <c r="FF153" s="35"/>
      <c r="FG153" s="35"/>
      <c r="FH153" s="35"/>
      <c r="FI153" s="35"/>
      <c r="FJ153" s="35"/>
      <c r="FK153" s="35"/>
      <c r="FL153" s="35"/>
      <c r="FM153" s="35"/>
      <c r="FN153" s="35"/>
      <c r="FO153" s="35"/>
      <c r="FP153" s="35"/>
      <c r="FQ153" s="52"/>
      <c r="FR153" s="8"/>
      <c r="FS153" s="9" t="s">
        <v>13</v>
      </c>
      <c r="FT153" s="9" t="str">
        <f t="shared" si="3664"/>
        <v>5. Annual Process Documentation 5.4 Sign-offEvan Loftus</v>
      </c>
    </row>
    <row r="154" spans="1:176" s="9" customFormat="1" ht="12" hidden="1" customHeight="1" outlineLevel="1">
      <c r="A154" s="122" t="s">
        <v>4</v>
      </c>
      <c r="B154" s="123" t="s">
        <v>6</v>
      </c>
      <c r="C154" s="124" t="str">
        <f t="shared" si="3515"/>
        <v>1 days</v>
      </c>
      <c r="D154" s="13" t="str">
        <f>A133&amp;" "&amp;A152</f>
        <v>5. Annual Process Documentation 5.4 Sign-off</v>
      </c>
      <c r="E154" s="51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5"/>
      <c r="AK154" s="35"/>
      <c r="AL154" s="36"/>
      <c r="AM154" s="36"/>
      <c r="AN154" s="36"/>
      <c r="AO154" s="36"/>
      <c r="AP154" s="36"/>
      <c r="AQ154" s="36"/>
      <c r="AR154" s="36"/>
      <c r="AS154" s="35"/>
      <c r="AT154" s="35"/>
      <c r="AU154" s="35"/>
      <c r="AV154" s="35">
        <v>1</v>
      </c>
      <c r="AW154" s="35"/>
      <c r="AX154" s="35"/>
      <c r="AY154" s="35"/>
      <c r="AZ154" s="35"/>
      <c r="BA154" s="35"/>
      <c r="BB154" s="35"/>
      <c r="BC154" s="35"/>
      <c r="BD154" s="35"/>
      <c r="BE154" s="35"/>
      <c r="BF154" s="35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35"/>
      <c r="BU154" s="35"/>
      <c r="BV154" s="35"/>
      <c r="BW154" s="35"/>
      <c r="BX154" s="35"/>
      <c r="BY154" s="35"/>
      <c r="BZ154" s="35"/>
      <c r="CA154" s="35"/>
      <c r="CB154" s="35"/>
      <c r="CC154" s="35"/>
      <c r="CD154" s="35"/>
      <c r="CE154" s="35"/>
      <c r="CF154" s="35"/>
      <c r="CG154" s="35"/>
      <c r="CH154" s="35"/>
      <c r="CI154" s="35"/>
      <c r="CJ154" s="35"/>
      <c r="CK154" s="35"/>
      <c r="CL154" s="35"/>
      <c r="CM154" s="35"/>
      <c r="CN154" s="35"/>
      <c r="CO154" s="35"/>
      <c r="CP154" s="35"/>
      <c r="CQ154" s="35"/>
      <c r="CR154" s="35"/>
      <c r="CS154" s="35"/>
      <c r="CT154" s="36"/>
      <c r="CU154" s="35"/>
      <c r="CV154" s="35"/>
      <c r="CW154" s="35"/>
      <c r="CX154" s="35"/>
      <c r="CY154" s="35"/>
      <c r="CZ154" s="36"/>
      <c r="DA154" s="36"/>
      <c r="DB154" s="35"/>
      <c r="DC154" s="35"/>
      <c r="DD154" s="35"/>
      <c r="DE154" s="35"/>
      <c r="DF154" s="35"/>
      <c r="DG154" s="35"/>
      <c r="DH154" s="35"/>
      <c r="DI154" s="35"/>
      <c r="DJ154" s="35"/>
      <c r="DK154" s="35"/>
      <c r="DL154" s="35"/>
      <c r="DM154" s="35"/>
      <c r="DN154" s="35"/>
      <c r="DO154" s="35"/>
      <c r="DP154" s="35"/>
      <c r="DQ154" s="35"/>
      <c r="DR154" s="35"/>
      <c r="DS154" s="35"/>
      <c r="DT154" s="35"/>
      <c r="DU154" s="35"/>
      <c r="DV154" s="35"/>
      <c r="DW154" s="35"/>
      <c r="DX154" s="35"/>
      <c r="DY154" s="35"/>
      <c r="DZ154" s="36"/>
      <c r="EA154" s="35"/>
      <c r="EB154" s="35"/>
      <c r="EC154" s="35"/>
      <c r="ED154" s="35"/>
      <c r="EE154" s="35"/>
      <c r="EF154" s="35"/>
      <c r="EG154" s="35"/>
      <c r="EH154" s="35"/>
      <c r="EI154" s="35"/>
      <c r="EJ154" s="35"/>
      <c r="EK154" s="35"/>
      <c r="EL154" s="35"/>
      <c r="EM154" s="35"/>
      <c r="EN154" s="35"/>
      <c r="EO154" s="35"/>
      <c r="EP154" s="35"/>
      <c r="EQ154" s="35"/>
      <c r="ER154" s="35"/>
      <c r="ES154" s="35"/>
      <c r="ET154" s="35"/>
      <c r="EU154" s="35"/>
      <c r="EV154" s="35"/>
      <c r="EW154" s="35"/>
      <c r="EX154" s="35"/>
      <c r="EY154" s="36"/>
      <c r="EZ154" s="35"/>
      <c r="FA154" s="35"/>
      <c r="FB154" s="35"/>
      <c r="FC154" s="35"/>
      <c r="FD154" s="35"/>
      <c r="FE154" s="35"/>
      <c r="FF154" s="35"/>
      <c r="FG154" s="35"/>
      <c r="FH154" s="35"/>
      <c r="FI154" s="35"/>
      <c r="FJ154" s="35"/>
      <c r="FK154" s="35"/>
      <c r="FL154" s="35"/>
      <c r="FM154" s="35"/>
      <c r="FN154" s="35"/>
      <c r="FO154" s="35"/>
      <c r="FP154" s="35"/>
      <c r="FQ154" s="52"/>
      <c r="FR154" s="8"/>
      <c r="FS154" s="9" t="s">
        <v>13</v>
      </c>
      <c r="FT154" s="9" t="str">
        <f t="shared" si="3664"/>
        <v>5. Annual Process Documentation 5.4 Sign-offPeter Sherry</v>
      </c>
    </row>
    <row r="155" spans="1:176" s="9" customFormat="1" ht="12" hidden="1" customHeight="1" outlineLevel="1">
      <c r="A155" s="125" t="s">
        <v>50</v>
      </c>
      <c r="B155" s="123"/>
      <c r="C155" s="124" t="str">
        <f t="shared" si="3515"/>
        <v>0 days</v>
      </c>
      <c r="D155" s="13" t="str">
        <f>A133&amp;" "&amp;A152</f>
        <v>5. Annual Process Documentation 5.4 Sign-off</v>
      </c>
      <c r="E155" s="51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5"/>
      <c r="AK155" s="35"/>
      <c r="AL155" s="36"/>
      <c r="AM155" s="36"/>
      <c r="AN155" s="36"/>
      <c r="AO155" s="36"/>
      <c r="AP155" s="36"/>
      <c r="AQ155" s="36"/>
      <c r="AR155" s="36"/>
      <c r="AS155" s="35"/>
      <c r="AT155" s="35"/>
      <c r="AU155" s="35"/>
      <c r="AV155" s="35"/>
      <c r="AW155" s="35"/>
      <c r="AX155" s="35"/>
      <c r="AY155" s="35"/>
      <c r="AZ155" s="35"/>
      <c r="BA155" s="35"/>
      <c r="BB155" s="35"/>
      <c r="BC155" s="35"/>
      <c r="BD155" s="35"/>
      <c r="BE155" s="35"/>
      <c r="BF155" s="35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35"/>
      <c r="BU155" s="35"/>
      <c r="BV155" s="35"/>
      <c r="BW155" s="35"/>
      <c r="BX155" s="35"/>
      <c r="BY155" s="35"/>
      <c r="BZ155" s="35"/>
      <c r="CA155" s="35"/>
      <c r="CB155" s="35"/>
      <c r="CC155" s="35"/>
      <c r="CD155" s="35"/>
      <c r="CE155" s="35"/>
      <c r="CF155" s="35"/>
      <c r="CG155" s="35"/>
      <c r="CH155" s="35"/>
      <c r="CI155" s="35"/>
      <c r="CJ155" s="35"/>
      <c r="CK155" s="35"/>
      <c r="CL155" s="35"/>
      <c r="CM155" s="35"/>
      <c r="CN155" s="35"/>
      <c r="CO155" s="35"/>
      <c r="CP155" s="35"/>
      <c r="CQ155" s="35"/>
      <c r="CR155" s="35"/>
      <c r="CS155" s="35"/>
      <c r="CT155" s="36"/>
      <c r="CU155" s="35"/>
      <c r="CV155" s="35"/>
      <c r="CW155" s="35"/>
      <c r="CX155" s="35"/>
      <c r="CY155" s="35"/>
      <c r="CZ155" s="36"/>
      <c r="DA155" s="36"/>
      <c r="DB155" s="35"/>
      <c r="DC155" s="35"/>
      <c r="DD155" s="35"/>
      <c r="DE155" s="35"/>
      <c r="DF155" s="35"/>
      <c r="DG155" s="35"/>
      <c r="DH155" s="35"/>
      <c r="DI155" s="35"/>
      <c r="DJ155" s="35"/>
      <c r="DK155" s="35"/>
      <c r="DL155" s="35"/>
      <c r="DM155" s="35"/>
      <c r="DN155" s="35"/>
      <c r="DO155" s="35"/>
      <c r="DP155" s="35"/>
      <c r="DQ155" s="35"/>
      <c r="DR155" s="35"/>
      <c r="DS155" s="35"/>
      <c r="DT155" s="35"/>
      <c r="DU155" s="35"/>
      <c r="DV155" s="35"/>
      <c r="DW155" s="35"/>
      <c r="DX155" s="35"/>
      <c r="DY155" s="35"/>
      <c r="DZ155" s="36"/>
      <c r="EA155" s="35"/>
      <c r="EB155" s="35"/>
      <c r="EC155" s="35"/>
      <c r="ED155" s="35"/>
      <c r="EE155" s="35"/>
      <c r="EF155" s="35"/>
      <c r="EG155" s="35"/>
      <c r="EH155" s="35"/>
      <c r="EI155" s="35"/>
      <c r="EJ155" s="35"/>
      <c r="EK155" s="35"/>
      <c r="EL155" s="35"/>
      <c r="EM155" s="35"/>
      <c r="EN155" s="35"/>
      <c r="EO155" s="35"/>
      <c r="EP155" s="35"/>
      <c r="EQ155" s="35"/>
      <c r="ER155" s="35"/>
      <c r="ES155" s="35"/>
      <c r="ET155" s="35"/>
      <c r="EU155" s="35"/>
      <c r="EV155" s="35"/>
      <c r="EW155" s="35"/>
      <c r="EX155" s="35"/>
      <c r="EY155" s="36"/>
      <c r="EZ155" s="35"/>
      <c r="FA155" s="35"/>
      <c r="FB155" s="35"/>
      <c r="FC155" s="35"/>
      <c r="FD155" s="35"/>
      <c r="FE155" s="35"/>
      <c r="FF155" s="35"/>
      <c r="FG155" s="35"/>
      <c r="FH155" s="35"/>
      <c r="FI155" s="35"/>
      <c r="FJ155" s="35"/>
      <c r="FK155" s="35"/>
      <c r="FL155" s="35"/>
      <c r="FM155" s="35"/>
      <c r="FN155" s="35"/>
      <c r="FO155" s="35"/>
      <c r="FP155" s="35"/>
      <c r="FQ155" s="52"/>
      <c r="FR155" s="8"/>
      <c r="FS155" s="9" t="s">
        <v>13</v>
      </c>
      <c r="FT155" s="9" t="str">
        <f t="shared" si="3664"/>
        <v>5. Annual Process Documentation 5.4 Sign-off</v>
      </c>
    </row>
    <row r="156" spans="1:176" s="9" customFormat="1" ht="12" hidden="1" customHeight="1" outlineLevel="1">
      <c r="A156" s="125" t="s">
        <v>50</v>
      </c>
      <c r="B156" s="123"/>
      <c r="C156" s="124" t="str">
        <f t="shared" si="3515"/>
        <v>0 days</v>
      </c>
      <c r="D156" s="13" t="str">
        <f>A133&amp;" "&amp;A152</f>
        <v>5. Annual Process Documentation 5.4 Sign-off</v>
      </c>
      <c r="E156" s="51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5"/>
      <c r="AK156" s="35"/>
      <c r="AL156" s="36"/>
      <c r="AM156" s="36"/>
      <c r="AN156" s="36"/>
      <c r="AO156" s="36"/>
      <c r="AP156" s="36"/>
      <c r="AQ156" s="36"/>
      <c r="AR156" s="36"/>
      <c r="AS156" s="35"/>
      <c r="AT156" s="35"/>
      <c r="AU156" s="35"/>
      <c r="AV156" s="35"/>
      <c r="AW156" s="35"/>
      <c r="AX156" s="35"/>
      <c r="AY156" s="35"/>
      <c r="AZ156" s="35"/>
      <c r="BA156" s="35"/>
      <c r="BB156" s="35"/>
      <c r="BC156" s="35"/>
      <c r="BD156" s="35"/>
      <c r="BE156" s="35"/>
      <c r="BF156" s="35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35"/>
      <c r="BU156" s="35"/>
      <c r="BV156" s="35"/>
      <c r="BW156" s="35"/>
      <c r="BX156" s="35"/>
      <c r="BY156" s="35"/>
      <c r="BZ156" s="35"/>
      <c r="CA156" s="35"/>
      <c r="CB156" s="35"/>
      <c r="CC156" s="35"/>
      <c r="CD156" s="35"/>
      <c r="CE156" s="35"/>
      <c r="CF156" s="35"/>
      <c r="CG156" s="35"/>
      <c r="CH156" s="35"/>
      <c r="CI156" s="35"/>
      <c r="CJ156" s="35"/>
      <c r="CK156" s="35"/>
      <c r="CL156" s="35"/>
      <c r="CM156" s="35"/>
      <c r="CN156" s="35"/>
      <c r="CO156" s="35"/>
      <c r="CP156" s="35"/>
      <c r="CQ156" s="35"/>
      <c r="CR156" s="35"/>
      <c r="CS156" s="35"/>
      <c r="CT156" s="36"/>
      <c r="CU156" s="35"/>
      <c r="CV156" s="35"/>
      <c r="CW156" s="35"/>
      <c r="CX156" s="35"/>
      <c r="CY156" s="35"/>
      <c r="CZ156" s="36"/>
      <c r="DA156" s="36"/>
      <c r="DB156" s="35"/>
      <c r="DC156" s="35"/>
      <c r="DD156" s="35"/>
      <c r="DE156" s="35"/>
      <c r="DF156" s="35"/>
      <c r="DG156" s="35"/>
      <c r="DH156" s="35"/>
      <c r="DI156" s="35"/>
      <c r="DJ156" s="35"/>
      <c r="DK156" s="35"/>
      <c r="DL156" s="35"/>
      <c r="DM156" s="35"/>
      <c r="DN156" s="35"/>
      <c r="DO156" s="35"/>
      <c r="DP156" s="35"/>
      <c r="DQ156" s="35"/>
      <c r="DR156" s="35"/>
      <c r="DS156" s="35"/>
      <c r="DT156" s="35"/>
      <c r="DU156" s="35"/>
      <c r="DV156" s="35"/>
      <c r="DW156" s="35"/>
      <c r="DX156" s="35"/>
      <c r="DY156" s="35"/>
      <c r="DZ156" s="36"/>
      <c r="EA156" s="35"/>
      <c r="EB156" s="35"/>
      <c r="EC156" s="35"/>
      <c r="ED156" s="35"/>
      <c r="EE156" s="35"/>
      <c r="EF156" s="35"/>
      <c r="EG156" s="35"/>
      <c r="EH156" s="35"/>
      <c r="EI156" s="35"/>
      <c r="EJ156" s="35"/>
      <c r="EK156" s="35"/>
      <c r="EL156" s="35"/>
      <c r="EM156" s="35"/>
      <c r="EN156" s="35"/>
      <c r="EO156" s="35"/>
      <c r="EP156" s="35"/>
      <c r="EQ156" s="35"/>
      <c r="ER156" s="35"/>
      <c r="ES156" s="35"/>
      <c r="ET156" s="35"/>
      <c r="EU156" s="35"/>
      <c r="EV156" s="35"/>
      <c r="EW156" s="35"/>
      <c r="EX156" s="35"/>
      <c r="EY156" s="36"/>
      <c r="EZ156" s="35"/>
      <c r="FA156" s="35"/>
      <c r="FB156" s="35"/>
      <c r="FC156" s="35"/>
      <c r="FD156" s="35"/>
      <c r="FE156" s="35"/>
      <c r="FF156" s="35"/>
      <c r="FG156" s="35"/>
      <c r="FH156" s="35"/>
      <c r="FI156" s="35"/>
      <c r="FJ156" s="35"/>
      <c r="FK156" s="35"/>
      <c r="FL156" s="35"/>
      <c r="FM156" s="35"/>
      <c r="FN156" s="35"/>
      <c r="FO156" s="35"/>
      <c r="FP156" s="35"/>
      <c r="FQ156" s="52"/>
      <c r="FR156" s="8"/>
      <c r="FS156" s="9" t="s">
        <v>13</v>
      </c>
      <c r="FT156" s="9" t="str">
        <f t="shared" si="3664"/>
        <v>5. Annual Process Documentation 5.4 Sign-off</v>
      </c>
    </row>
    <row r="157" spans="1:176" s="9" customFormat="1" ht="12" hidden="1" customHeight="1" outlineLevel="1">
      <c r="A157" s="126" t="s">
        <v>50</v>
      </c>
      <c r="B157" s="123"/>
      <c r="C157" s="124" t="str">
        <f t="shared" si="3515"/>
        <v>0 days</v>
      </c>
      <c r="D157" s="13" t="str">
        <f>A133&amp;" "&amp;A152</f>
        <v>5. Annual Process Documentation 5.4 Sign-off</v>
      </c>
      <c r="E157" s="51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5"/>
      <c r="AK157" s="35"/>
      <c r="AL157" s="36"/>
      <c r="AM157" s="36"/>
      <c r="AN157" s="36"/>
      <c r="AO157" s="36"/>
      <c r="AP157" s="36"/>
      <c r="AQ157" s="36"/>
      <c r="AR157" s="36"/>
      <c r="AS157" s="35"/>
      <c r="AT157" s="35"/>
      <c r="AU157" s="35"/>
      <c r="AV157" s="35"/>
      <c r="AW157" s="35"/>
      <c r="AX157" s="35"/>
      <c r="AY157" s="35"/>
      <c r="AZ157" s="35"/>
      <c r="BA157" s="35"/>
      <c r="BB157" s="35"/>
      <c r="BC157" s="35"/>
      <c r="BD157" s="35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35"/>
      <c r="BU157" s="35"/>
      <c r="BV157" s="35"/>
      <c r="BW157" s="35"/>
      <c r="BX157" s="35"/>
      <c r="BY157" s="35"/>
      <c r="BZ157" s="35"/>
      <c r="CA157" s="35"/>
      <c r="CB157" s="35"/>
      <c r="CC157" s="35"/>
      <c r="CD157" s="35"/>
      <c r="CE157" s="35"/>
      <c r="CF157" s="35"/>
      <c r="CG157" s="35"/>
      <c r="CH157" s="35"/>
      <c r="CI157" s="35"/>
      <c r="CJ157" s="35"/>
      <c r="CK157" s="35"/>
      <c r="CL157" s="35"/>
      <c r="CM157" s="35"/>
      <c r="CN157" s="35"/>
      <c r="CO157" s="35"/>
      <c r="CP157" s="35"/>
      <c r="CQ157" s="35"/>
      <c r="CR157" s="35"/>
      <c r="CS157" s="35"/>
      <c r="CT157" s="36"/>
      <c r="CU157" s="35"/>
      <c r="CV157" s="35"/>
      <c r="CW157" s="35"/>
      <c r="CX157" s="35"/>
      <c r="CY157" s="35"/>
      <c r="CZ157" s="36"/>
      <c r="DA157" s="36"/>
      <c r="DB157" s="35"/>
      <c r="DC157" s="35"/>
      <c r="DD157" s="35"/>
      <c r="DE157" s="35"/>
      <c r="DF157" s="35"/>
      <c r="DG157" s="35"/>
      <c r="DH157" s="35"/>
      <c r="DI157" s="35"/>
      <c r="DJ157" s="35"/>
      <c r="DK157" s="35"/>
      <c r="DL157" s="35"/>
      <c r="DM157" s="35"/>
      <c r="DN157" s="35"/>
      <c r="DO157" s="35"/>
      <c r="DP157" s="35"/>
      <c r="DQ157" s="35"/>
      <c r="DR157" s="35"/>
      <c r="DS157" s="35"/>
      <c r="DT157" s="35"/>
      <c r="DU157" s="35"/>
      <c r="DV157" s="35"/>
      <c r="DW157" s="35"/>
      <c r="DX157" s="35"/>
      <c r="DY157" s="35"/>
      <c r="DZ157" s="36"/>
      <c r="EA157" s="35"/>
      <c r="EB157" s="35"/>
      <c r="EC157" s="35"/>
      <c r="ED157" s="35"/>
      <c r="EE157" s="35"/>
      <c r="EF157" s="35"/>
      <c r="EG157" s="35"/>
      <c r="EH157" s="35"/>
      <c r="EI157" s="35"/>
      <c r="EJ157" s="35"/>
      <c r="EK157" s="35"/>
      <c r="EL157" s="35"/>
      <c r="EM157" s="35"/>
      <c r="EN157" s="35"/>
      <c r="EO157" s="35"/>
      <c r="EP157" s="35"/>
      <c r="EQ157" s="35"/>
      <c r="ER157" s="35"/>
      <c r="ES157" s="35"/>
      <c r="ET157" s="35"/>
      <c r="EU157" s="35"/>
      <c r="EV157" s="35"/>
      <c r="EW157" s="35"/>
      <c r="EX157" s="35"/>
      <c r="EY157" s="36"/>
      <c r="EZ157" s="35"/>
      <c r="FA157" s="35"/>
      <c r="FB157" s="35"/>
      <c r="FC157" s="35"/>
      <c r="FD157" s="35"/>
      <c r="FE157" s="35"/>
      <c r="FF157" s="35"/>
      <c r="FG157" s="35"/>
      <c r="FH157" s="35"/>
      <c r="FI157" s="35"/>
      <c r="FJ157" s="35"/>
      <c r="FK157" s="35"/>
      <c r="FL157" s="35"/>
      <c r="FM157" s="35"/>
      <c r="FN157" s="35"/>
      <c r="FO157" s="35"/>
      <c r="FP157" s="35"/>
      <c r="FQ157" s="52"/>
      <c r="FR157" s="8"/>
      <c r="FS157" s="9" t="s">
        <v>13</v>
      </c>
      <c r="FT157" s="9" t="str">
        <f t="shared" si="3664"/>
        <v>5. Annual Process Documentation 5.4 Sign-off</v>
      </c>
    </row>
    <row r="158" spans="1:176" s="9" customFormat="1" ht="12" customHeight="1" collapsed="1">
      <c r="A158" s="119" t="s">
        <v>75</v>
      </c>
      <c r="B158" s="127"/>
      <c r="C158" s="121" t="str">
        <f t="shared" si="3515"/>
        <v>0 days</v>
      </c>
      <c r="D158" s="27"/>
      <c r="E158" s="91" t="str">
        <f t="shared" ref="E158" si="3939">IF(SUBTOTAL(9,E159:E163)&gt;0,SUBTOTAL(9,E159:E163),"")</f>
        <v/>
      </c>
      <c r="F158" s="34" t="str">
        <f t="shared" ref="F158" si="3940">IF(SUBTOTAL(9,F159:F163)&gt;0,SUBTOTAL(9,F159:F163),"")</f>
        <v/>
      </c>
      <c r="G158" s="34" t="str">
        <f t="shared" ref="G158" si="3941">IF(SUBTOTAL(9,G159:G163)&gt;0,SUBTOTAL(9,G159:G163),"")</f>
        <v/>
      </c>
      <c r="H158" s="34" t="str">
        <f t="shared" ref="H158" si="3942">IF(SUBTOTAL(9,H159:H163)&gt;0,SUBTOTAL(9,H159:H163),"")</f>
        <v/>
      </c>
      <c r="I158" s="34" t="str">
        <f t="shared" ref="I158" si="3943">IF(SUBTOTAL(9,I159:I163)&gt;0,SUBTOTAL(9,I159:I163),"")</f>
        <v/>
      </c>
      <c r="J158" s="34" t="str">
        <f t="shared" ref="J158" si="3944">IF(SUBTOTAL(9,J159:J163)&gt;0,SUBTOTAL(9,J159:J163),"")</f>
        <v/>
      </c>
      <c r="K158" s="34" t="str">
        <f t="shared" ref="K158" si="3945">IF(SUBTOTAL(9,K159:K163)&gt;0,SUBTOTAL(9,K159:K163),"")</f>
        <v/>
      </c>
      <c r="L158" s="34" t="str">
        <f t="shared" ref="L158" si="3946">IF(SUBTOTAL(9,L159:L163)&gt;0,SUBTOTAL(9,L159:L163),"")</f>
        <v/>
      </c>
      <c r="M158" s="34" t="str">
        <f t="shared" ref="M158" si="3947">IF(SUBTOTAL(9,M159:M163)&gt;0,SUBTOTAL(9,M159:M163),"")</f>
        <v/>
      </c>
      <c r="N158" s="34" t="str">
        <f t="shared" ref="N158" si="3948">IF(SUBTOTAL(9,N159:N163)&gt;0,SUBTOTAL(9,N159:N163),"")</f>
        <v/>
      </c>
      <c r="O158" s="34" t="str">
        <f t="shared" ref="O158" si="3949">IF(SUBTOTAL(9,O159:O163)&gt;0,SUBTOTAL(9,O159:O163),"")</f>
        <v/>
      </c>
      <c r="P158" s="34" t="str">
        <f t="shared" ref="P158" si="3950">IF(SUBTOTAL(9,P159:P163)&gt;0,SUBTOTAL(9,P159:P163),"")</f>
        <v/>
      </c>
      <c r="Q158" s="34" t="str">
        <f t="shared" ref="Q158" si="3951">IF(SUBTOTAL(9,Q159:Q163)&gt;0,SUBTOTAL(9,Q159:Q163),"")</f>
        <v/>
      </c>
      <c r="R158" s="34" t="str">
        <f t="shared" ref="R158" si="3952">IF(SUBTOTAL(9,R159:R163)&gt;0,SUBTOTAL(9,R159:R163),"")</f>
        <v/>
      </c>
      <c r="S158" s="34" t="str">
        <f t="shared" ref="S158" si="3953">IF(SUBTOTAL(9,S159:S163)&gt;0,SUBTOTAL(9,S159:S163),"")</f>
        <v/>
      </c>
      <c r="T158" s="34" t="str">
        <f t="shared" ref="T158" si="3954">IF(SUBTOTAL(9,T159:T163)&gt;0,SUBTOTAL(9,T159:T163),"")</f>
        <v/>
      </c>
      <c r="U158" s="34" t="str">
        <f t="shared" ref="U158" si="3955">IF(SUBTOTAL(9,U159:U163)&gt;0,SUBTOTAL(9,U159:U163),"")</f>
        <v/>
      </c>
      <c r="V158" s="34" t="str">
        <f t="shared" ref="V158" si="3956">IF(SUBTOTAL(9,V159:V163)&gt;0,SUBTOTAL(9,V159:V163),"")</f>
        <v/>
      </c>
      <c r="W158" s="34" t="str">
        <f t="shared" ref="W158" si="3957">IF(SUBTOTAL(9,W159:W163)&gt;0,SUBTOTAL(9,W159:W163),"")</f>
        <v/>
      </c>
      <c r="X158" s="34" t="str">
        <f t="shared" ref="X158" si="3958">IF(SUBTOTAL(9,X159:X163)&gt;0,SUBTOTAL(9,X159:X163),"")</f>
        <v/>
      </c>
      <c r="Y158" s="34" t="str">
        <f t="shared" ref="Y158" si="3959">IF(SUBTOTAL(9,Y159:Y163)&gt;0,SUBTOTAL(9,Y159:Y163),"")</f>
        <v/>
      </c>
      <c r="Z158" s="34" t="str">
        <f t="shared" ref="Z158" si="3960">IF(SUBTOTAL(9,Z159:Z163)&gt;0,SUBTOTAL(9,Z159:Z163),"")</f>
        <v/>
      </c>
      <c r="AA158" s="34" t="str">
        <f t="shared" ref="AA158" si="3961">IF(SUBTOTAL(9,AA159:AA163)&gt;0,SUBTOTAL(9,AA159:AA163),"")</f>
        <v/>
      </c>
      <c r="AB158" s="34" t="str">
        <f t="shared" ref="AB158" si="3962">IF(SUBTOTAL(9,AB159:AB163)&gt;0,SUBTOTAL(9,AB159:AB163),"")</f>
        <v/>
      </c>
      <c r="AC158" s="34" t="str">
        <f t="shared" ref="AC158" si="3963">IF(SUBTOTAL(9,AC159:AC163)&gt;0,SUBTOTAL(9,AC159:AC163),"")</f>
        <v/>
      </c>
      <c r="AD158" s="34" t="str">
        <f t="shared" ref="AD158" si="3964">IF(SUBTOTAL(9,AD159:AD163)&gt;0,SUBTOTAL(9,AD159:AD163),"")</f>
        <v/>
      </c>
      <c r="AE158" s="34" t="str">
        <f t="shared" ref="AE158" si="3965">IF(SUBTOTAL(9,AE159:AE163)&gt;0,SUBTOTAL(9,AE159:AE163),"")</f>
        <v/>
      </c>
      <c r="AF158" s="34" t="str">
        <f t="shared" ref="AF158" si="3966">IF(SUBTOTAL(9,AF159:AF163)&gt;0,SUBTOTAL(9,AF159:AF163),"")</f>
        <v/>
      </c>
      <c r="AG158" s="34" t="str">
        <f t="shared" ref="AG158" si="3967">IF(SUBTOTAL(9,AG159:AG163)&gt;0,SUBTOTAL(9,AG159:AG163),"")</f>
        <v/>
      </c>
      <c r="AH158" s="34" t="str">
        <f t="shared" ref="AH158" si="3968">IF(SUBTOTAL(9,AH159:AH163)&gt;0,SUBTOTAL(9,AH159:AH163),"")</f>
        <v/>
      </c>
      <c r="AI158" s="34" t="str">
        <f t="shared" ref="AI158" si="3969">IF(SUBTOTAL(9,AI159:AI163)&gt;0,SUBTOTAL(9,AI159:AI163),"")</f>
        <v/>
      </c>
      <c r="AJ158" s="34" t="str">
        <f t="shared" ref="AJ158" si="3970">IF(SUBTOTAL(9,AJ159:AJ163)&gt;0,SUBTOTAL(9,AJ159:AJ163),"")</f>
        <v/>
      </c>
      <c r="AK158" s="34" t="str">
        <f t="shared" ref="AK158" si="3971">IF(SUBTOTAL(9,AK159:AK163)&gt;0,SUBTOTAL(9,AK159:AK163),"")</f>
        <v/>
      </c>
      <c r="AL158" s="33" t="str">
        <f t="shared" ref="AL158" si="3972">IF(SUBTOTAL(9,AL159:AL163)&gt;0,SUBTOTAL(9,AL159:AL163),"")</f>
        <v/>
      </c>
      <c r="AM158" s="33" t="str">
        <f t="shared" ref="AM158" si="3973">IF(SUBTOTAL(9,AM159:AM163)&gt;0,SUBTOTAL(9,AM159:AM163),"")</f>
        <v/>
      </c>
      <c r="AN158" s="33" t="str">
        <f t="shared" ref="AN158" si="3974">IF(SUBTOTAL(9,AN159:AN163)&gt;0,SUBTOTAL(9,AN159:AN163),"")</f>
        <v/>
      </c>
      <c r="AO158" s="33" t="str">
        <f t="shared" ref="AO158" si="3975">IF(SUBTOTAL(9,AO159:AO163)&gt;0,SUBTOTAL(9,AO159:AO163),"")</f>
        <v/>
      </c>
      <c r="AP158" s="33" t="str">
        <f t="shared" ref="AP158" si="3976">IF(SUBTOTAL(9,AP159:AP163)&gt;0,SUBTOTAL(9,AP159:AP163),"")</f>
        <v/>
      </c>
      <c r="AQ158" s="33" t="str">
        <f t="shared" ref="AQ158" si="3977">IF(SUBTOTAL(9,AQ159:AQ163)&gt;0,SUBTOTAL(9,AQ159:AQ163),"")</f>
        <v/>
      </c>
      <c r="AR158" s="33" t="str">
        <f t="shared" ref="AR158" si="3978">IF(SUBTOTAL(9,AR159:AR163)&gt;0,SUBTOTAL(9,AR159:AR163),"")</f>
        <v/>
      </c>
      <c r="AS158" s="34" t="str">
        <f t="shared" ref="AS158" si="3979">IF(SUBTOTAL(9,AS159:AS163)&gt;0,SUBTOTAL(9,AS159:AS163),"")</f>
        <v/>
      </c>
      <c r="AT158" s="34" t="str">
        <f t="shared" ref="AT158" si="3980">IF(SUBTOTAL(9,AT159:AT163)&gt;0,SUBTOTAL(9,AT159:AT163),"")</f>
        <v/>
      </c>
      <c r="AU158" s="34" t="str">
        <f t="shared" ref="AU158" si="3981">IF(SUBTOTAL(9,AU159:AU163)&gt;0,SUBTOTAL(9,AU159:AU163),"")</f>
        <v/>
      </c>
      <c r="AV158" s="34" t="str">
        <f t="shared" ref="AV158" si="3982">IF(SUBTOTAL(9,AV159:AV163)&gt;0,SUBTOTAL(9,AV159:AV163),"")</f>
        <v/>
      </c>
      <c r="AW158" s="34" t="str">
        <f t="shared" ref="AW158" si="3983">IF(SUBTOTAL(9,AW159:AW163)&gt;0,SUBTOTAL(9,AW159:AW163),"")</f>
        <v/>
      </c>
      <c r="AX158" s="34" t="str">
        <f t="shared" ref="AX158" si="3984">IF(SUBTOTAL(9,AX159:AX163)&gt;0,SUBTOTAL(9,AX159:AX163),"")</f>
        <v/>
      </c>
      <c r="AY158" s="34" t="str">
        <f t="shared" ref="AY158" si="3985">IF(SUBTOTAL(9,AY159:AY163)&gt;0,SUBTOTAL(9,AY159:AY163),"")</f>
        <v/>
      </c>
      <c r="AZ158" s="34" t="str">
        <f t="shared" ref="AZ158" si="3986">IF(SUBTOTAL(9,AZ159:AZ163)&gt;0,SUBTOTAL(9,AZ159:AZ163),"")</f>
        <v/>
      </c>
      <c r="BA158" s="34" t="str">
        <f t="shared" ref="BA158" si="3987">IF(SUBTOTAL(9,BA159:BA163)&gt;0,SUBTOTAL(9,BA159:BA163),"")</f>
        <v/>
      </c>
      <c r="BB158" s="34" t="str">
        <f t="shared" ref="BB158" si="3988">IF(SUBTOTAL(9,BB159:BB163)&gt;0,SUBTOTAL(9,BB159:BB163),"")</f>
        <v/>
      </c>
      <c r="BC158" s="34" t="str">
        <f t="shared" ref="BC158" si="3989">IF(SUBTOTAL(9,BC159:BC163)&gt;0,SUBTOTAL(9,BC159:BC163),"")</f>
        <v/>
      </c>
      <c r="BD158" s="34" t="str">
        <f t="shared" ref="BD158" si="3990">IF(SUBTOTAL(9,BD159:BD163)&gt;0,SUBTOTAL(9,BD159:BD163),"")</f>
        <v/>
      </c>
      <c r="BE158" s="34" t="str">
        <f t="shared" ref="BE158" si="3991">IF(SUBTOTAL(9,BE159:BE163)&gt;0,SUBTOTAL(9,BE159:BE163),"")</f>
        <v/>
      </c>
      <c r="BF158" s="34" t="str">
        <f t="shared" ref="BF158" si="3992">IF(SUBTOTAL(9,BF159:BF163)&gt;0,SUBTOTAL(9,BF159:BF163),"")</f>
        <v/>
      </c>
      <c r="BG158" s="34" t="str">
        <f t="shared" ref="BG158" si="3993">IF(SUBTOTAL(9,BG159:BG163)&gt;0,SUBTOTAL(9,BG159:BG163),"")</f>
        <v/>
      </c>
      <c r="BH158" s="34" t="str">
        <f t="shared" ref="BH158" si="3994">IF(SUBTOTAL(9,BH159:BH163)&gt;0,SUBTOTAL(9,BH159:BH163),"")</f>
        <v/>
      </c>
      <c r="BI158" s="34" t="str">
        <f t="shared" ref="BI158" si="3995">IF(SUBTOTAL(9,BI159:BI163)&gt;0,SUBTOTAL(9,BI159:BI163),"")</f>
        <v/>
      </c>
      <c r="BJ158" s="34" t="str">
        <f t="shared" ref="BJ158" si="3996">IF(SUBTOTAL(9,BJ159:BJ163)&gt;0,SUBTOTAL(9,BJ159:BJ163),"")</f>
        <v/>
      </c>
      <c r="BK158" s="34" t="str">
        <f t="shared" ref="BK158" si="3997">IF(SUBTOTAL(9,BK159:BK163)&gt;0,SUBTOTAL(9,BK159:BK163),"")</f>
        <v/>
      </c>
      <c r="BL158" s="34" t="str">
        <f t="shared" ref="BL158" si="3998">IF(SUBTOTAL(9,BL159:BL163)&gt;0,SUBTOTAL(9,BL159:BL163),"")</f>
        <v/>
      </c>
      <c r="BM158" s="34" t="str">
        <f t="shared" ref="BM158" si="3999">IF(SUBTOTAL(9,BM159:BM163)&gt;0,SUBTOTAL(9,BM159:BM163),"")</f>
        <v/>
      </c>
      <c r="BN158" s="34" t="str">
        <f t="shared" ref="BN158" si="4000">IF(SUBTOTAL(9,BN159:BN163)&gt;0,SUBTOTAL(9,BN159:BN163),"")</f>
        <v/>
      </c>
      <c r="BO158" s="34" t="str">
        <f t="shared" ref="BO158" si="4001">IF(SUBTOTAL(9,BO159:BO163)&gt;0,SUBTOTAL(9,BO159:BO163),"")</f>
        <v/>
      </c>
      <c r="BP158" s="34" t="str">
        <f t="shared" ref="BP158" si="4002">IF(SUBTOTAL(9,BP159:BP163)&gt;0,SUBTOTAL(9,BP159:BP163),"")</f>
        <v/>
      </c>
      <c r="BQ158" s="34" t="str">
        <f t="shared" ref="BQ158" si="4003">IF(SUBTOTAL(9,BQ159:BQ163)&gt;0,SUBTOTAL(9,BQ159:BQ163),"")</f>
        <v/>
      </c>
      <c r="BR158" s="34" t="str">
        <f t="shared" ref="BR158" si="4004">IF(SUBTOTAL(9,BR159:BR163)&gt;0,SUBTOTAL(9,BR159:BR163),"")</f>
        <v/>
      </c>
      <c r="BS158" s="34" t="str">
        <f t="shared" ref="BS158" si="4005">IF(SUBTOTAL(9,BS159:BS163)&gt;0,SUBTOTAL(9,BS159:BS163),"")</f>
        <v/>
      </c>
      <c r="BT158" s="34" t="str">
        <f t="shared" ref="BT158" si="4006">IF(SUBTOTAL(9,BT159:BT163)&gt;0,SUBTOTAL(9,BT159:BT163),"")</f>
        <v/>
      </c>
      <c r="BU158" s="34" t="str">
        <f t="shared" ref="BU158" si="4007">IF(SUBTOTAL(9,BU159:BU163)&gt;0,SUBTOTAL(9,BU159:BU163),"")</f>
        <v/>
      </c>
      <c r="BV158" s="34" t="str">
        <f t="shared" ref="BV158" si="4008">IF(SUBTOTAL(9,BV159:BV163)&gt;0,SUBTOTAL(9,BV159:BV163),"")</f>
        <v/>
      </c>
      <c r="BW158" s="34" t="str">
        <f t="shared" ref="BW158" si="4009">IF(SUBTOTAL(9,BW159:BW163)&gt;0,SUBTOTAL(9,BW159:BW163),"")</f>
        <v/>
      </c>
      <c r="BX158" s="34" t="str">
        <f t="shared" ref="BX158" si="4010">IF(SUBTOTAL(9,BX159:BX163)&gt;0,SUBTOTAL(9,BX159:BX163),"")</f>
        <v/>
      </c>
      <c r="BY158" s="34" t="str">
        <f t="shared" ref="BY158" si="4011">IF(SUBTOTAL(9,BY159:BY163)&gt;0,SUBTOTAL(9,BY159:BY163),"")</f>
        <v/>
      </c>
      <c r="BZ158" s="34" t="str">
        <f t="shared" ref="BZ158" si="4012">IF(SUBTOTAL(9,BZ159:BZ163)&gt;0,SUBTOTAL(9,BZ159:BZ163),"")</f>
        <v/>
      </c>
      <c r="CA158" s="34" t="str">
        <f t="shared" ref="CA158" si="4013">IF(SUBTOTAL(9,CA159:CA163)&gt;0,SUBTOTAL(9,CA159:CA163),"")</f>
        <v/>
      </c>
      <c r="CB158" s="34" t="str">
        <f t="shared" ref="CB158" si="4014">IF(SUBTOTAL(9,CB159:CB163)&gt;0,SUBTOTAL(9,CB159:CB163),"")</f>
        <v/>
      </c>
      <c r="CC158" s="34" t="str">
        <f t="shared" ref="CC158" si="4015">IF(SUBTOTAL(9,CC159:CC163)&gt;0,SUBTOTAL(9,CC159:CC163),"")</f>
        <v/>
      </c>
      <c r="CD158" s="34" t="str">
        <f t="shared" ref="CD158" si="4016">IF(SUBTOTAL(9,CD159:CD163)&gt;0,SUBTOTAL(9,CD159:CD163),"")</f>
        <v/>
      </c>
      <c r="CE158" s="34" t="str">
        <f t="shared" ref="CE158" si="4017">IF(SUBTOTAL(9,CE159:CE163)&gt;0,SUBTOTAL(9,CE159:CE163),"")</f>
        <v/>
      </c>
      <c r="CF158" s="34" t="str">
        <f t="shared" ref="CF158:CG158" si="4018">IF(SUBTOTAL(9,CF159:CF163)&gt;0,SUBTOTAL(9,CF159:CF163),"")</f>
        <v/>
      </c>
      <c r="CG158" s="34" t="str">
        <f t="shared" si="4018"/>
        <v/>
      </c>
      <c r="CH158" s="34" t="str">
        <f t="shared" ref="CH158" si="4019">IF(SUBTOTAL(9,CH159:CH163)&gt;0,SUBTOTAL(9,CH159:CH163),"")</f>
        <v/>
      </c>
      <c r="CI158" s="34" t="str">
        <f t="shared" ref="CI158" si="4020">IF(SUBTOTAL(9,CI159:CI163)&gt;0,SUBTOTAL(9,CI159:CI163),"")</f>
        <v/>
      </c>
      <c r="CJ158" s="34" t="str">
        <f t="shared" ref="CJ158" si="4021">IF(SUBTOTAL(9,CJ159:CJ163)&gt;0,SUBTOTAL(9,CJ159:CJ163),"")</f>
        <v/>
      </c>
      <c r="CK158" s="34" t="str">
        <f t="shared" ref="CK158" si="4022">IF(SUBTOTAL(9,CK159:CK163)&gt;0,SUBTOTAL(9,CK159:CK163),"")</f>
        <v/>
      </c>
      <c r="CL158" s="34" t="str">
        <f t="shared" ref="CL158" si="4023">IF(SUBTOTAL(9,CL159:CL163)&gt;0,SUBTOTAL(9,CL159:CL163),"")</f>
        <v/>
      </c>
      <c r="CM158" s="34" t="str">
        <f t="shared" ref="CM158" si="4024">IF(SUBTOTAL(9,CM159:CM163)&gt;0,SUBTOTAL(9,CM159:CM163),"")</f>
        <v/>
      </c>
      <c r="CN158" s="34" t="str">
        <f t="shared" ref="CN158" si="4025">IF(SUBTOTAL(9,CN159:CN163)&gt;0,SUBTOTAL(9,CN159:CN163),"")</f>
        <v/>
      </c>
      <c r="CO158" s="34" t="str">
        <f t="shared" ref="CO158" si="4026">IF(SUBTOTAL(9,CO159:CO163)&gt;0,SUBTOTAL(9,CO159:CO163),"")</f>
        <v/>
      </c>
      <c r="CP158" s="34" t="str">
        <f t="shared" ref="CP158" si="4027">IF(SUBTOTAL(9,CP159:CP163)&gt;0,SUBTOTAL(9,CP159:CP163),"")</f>
        <v/>
      </c>
      <c r="CQ158" s="34" t="str">
        <f t="shared" ref="CQ158" si="4028">IF(SUBTOTAL(9,CQ159:CQ163)&gt;0,SUBTOTAL(9,CQ159:CQ163),"")</f>
        <v/>
      </c>
      <c r="CR158" s="34" t="str">
        <f t="shared" ref="CR158" si="4029">IF(SUBTOTAL(9,CR159:CR163)&gt;0,SUBTOTAL(9,CR159:CR163),"")</f>
        <v/>
      </c>
      <c r="CS158" s="34" t="str">
        <f t="shared" ref="CS158" si="4030">IF(SUBTOTAL(9,CS159:CS163)&gt;0,SUBTOTAL(9,CS159:CS163),"")</f>
        <v/>
      </c>
      <c r="CT158" s="33" t="str">
        <f t="shared" ref="CT158" si="4031">IF(SUBTOTAL(9,CT159:CT163)&gt;0,SUBTOTAL(9,CT159:CT163),"")</f>
        <v/>
      </c>
      <c r="CU158" s="34" t="str">
        <f t="shared" ref="CU158" si="4032">IF(SUBTOTAL(9,CU159:CU163)&gt;0,SUBTOTAL(9,CU159:CU163),"")</f>
        <v/>
      </c>
      <c r="CV158" s="34" t="str">
        <f t="shared" ref="CV158" si="4033">IF(SUBTOTAL(9,CV159:CV163)&gt;0,SUBTOTAL(9,CV159:CV163),"")</f>
        <v/>
      </c>
      <c r="CW158" s="34" t="str">
        <f t="shared" ref="CW158" si="4034">IF(SUBTOTAL(9,CW159:CW163)&gt;0,SUBTOTAL(9,CW159:CW163),"")</f>
        <v/>
      </c>
      <c r="CX158" s="34" t="str">
        <f t="shared" ref="CX158" si="4035">IF(SUBTOTAL(9,CX159:CX163)&gt;0,SUBTOTAL(9,CX159:CX163),"")</f>
        <v/>
      </c>
      <c r="CY158" s="34" t="str">
        <f t="shared" ref="CY158" si="4036">IF(SUBTOTAL(9,CY159:CY163)&gt;0,SUBTOTAL(9,CY159:CY163),"")</f>
        <v/>
      </c>
      <c r="CZ158" s="33" t="str">
        <f t="shared" ref="CZ158" si="4037">IF(SUBTOTAL(9,CZ159:CZ163)&gt;0,SUBTOTAL(9,CZ159:CZ163),"")</f>
        <v/>
      </c>
      <c r="DA158" s="33" t="str">
        <f t="shared" ref="DA158" si="4038">IF(SUBTOTAL(9,DA159:DA163)&gt;0,SUBTOTAL(9,DA159:DA163),"")</f>
        <v/>
      </c>
      <c r="DB158" s="34" t="str">
        <f t="shared" ref="DB158" si="4039">IF(SUBTOTAL(9,DB159:DB163)&gt;0,SUBTOTAL(9,DB159:DB163),"")</f>
        <v/>
      </c>
      <c r="DC158" s="34" t="str">
        <f t="shared" ref="DC158" si="4040">IF(SUBTOTAL(9,DC159:DC163)&gt;0,SUBTOTAL(9,DC159:DC163),"")</f>
        <v/>
      </c>
      <c r="DD158" s="34" t="str">
        <f t="shared" ref="DD158" si="4041">IF(SUBTOTAL(9,DD159:DD163)&gt;0,SUBTOTAL(9,DD159:DD163),"")</f>
        <v/>
      </c>
      <c r="DE158" s="34" t="str">
        <f t="shared" ref="DE158" si="4042">IF(SUBTOTAL(9,DE159:DE163)&gt;0,SUBTOTAL(9,DE159:DE163),"")</f>
        <v/>
      </c>
      <c r="DF158" s="34" t="str">
        <f t="shared" ref="DF158" si="4043">IF(SUBTOTAL(9,DF159:DF163)&gt;0,SUBTOTAL(9,DF159:DF163),"")</f>
        <v/>
      </c>
      <c r="DG158" s="34" t="str">
        <f t="shared" ref="DG158" si="4044">IF(SUBTOTAL(9,DG159:DG163)&gt;0,SUBTOTAL(9,DG159:DG163),"")</f>
        <v/>
      </c>
      <c r="DH158" s="34" t="str">
        <f t="shared" ref="DH158" si="4045">IF(SUBTOTAL(9,DH159:DH163)&gt;0,SUBTOTAL(9,DH159:DH163),"")</f>
        <v/>
      </c>
      <c r="DI158" s="34" t="str">
        <f t="shared" ref="DI158" si="4046">IF(SUBTOTAL(9,DI159:DI163)&gt;0,SUBTOTAL(9,DI159:DI163),"")</f>
        <v/>
      </c>
      <c r="DJ158" s="34" t="str">
        <f t="shared" ref="DJ158" si="4047">IF(SUBTOTAL(9,DJ159:DJ163)&gt;0,SUBTOTAL(9,DJ159:DJ163),"")</f>
        <v/>
      </c>
      <c r="DK158" s="34" t="str">
        <f t="shared" ref="DK158" si="4048">IF(SUBTOTAL(9,DK159:DK163)&gt;0,SUBTOTAL(9,DK159:DK163),"")</f>
        <v/>
      </c>
      <c r="DL158" s="34" t="str">
        <f t="shared" ref="DL158" si="4049">IF(SUBTOTAL(9,DL159:DL163)&gt;0,SUBTOTAL(9,DL159:DL163),"")</f>
        <v/>
      </c>
      <c r="DM158" s="34" t="str">
        <f t="shared" ref="DM158" si="4050">IF(SUBTOTAL(9,DM159:DM163)&gt;0,SUBTOTAL(9,DM159:DM163),"")</f>
        <v/>
      </c>
      <c r="DN158" s="34" t="str">
        <f t="shared" ref="DN158" si="4051">IF(SUBTOTAL(9,DN159:DN163)&gt;0,SUBTOTAL(9,DN159:DN163),"")</f>
        <v/>
      </c>
      <c r="DO158" s="34" t="str">
        <f t="shared" ref="DO158" si="4052">IF(SUBTOTAL(9,DO159:DO163)&gt;0,SUBTOTAL(9,DO159:DO163),"")</f>
        <v/>
      </c>
      <c r="DP158" s="34" t="str">
        <f t="shared" ref="DP158" si="4053">IF(SUBTOTAL(9,DP159:DP163)&gt;0,SUBTOTAL(9,DP159:DP163),"")</f>
        <v/>
      </c>
      <c r="DQ158" s="34" t="str">
        <f t="shared" ref="DQ158" si="4054">IF(SUBTOTAL(9,DQ159:DQ163)&gt;0,SUBTOTAL(9,DQ159:DQ163),"")</f>
        <v/>
      </c>
      <c r="DR158" s="34" t="str">
        <f t="shared" ref="DR158" si="4055">IF(SUBTOTAL(9,DR159:DR163)&gt;0,SUBTOTAL(9,DR159:DR163),"")</f>
        <v/>
      </c>
      <c r="DS158" s="34" t="str">
        <f t="shared" ref="DS158" si="4056">IF(SUBTOTAL(9,DS159:DS163)&gt;0,SUBTOTAL(9,DS159:DS163),"")</f>
        <v/>
      </c>
      <c r="DT158" s="34" t="str">
        <f t="shared" ref="DT158" si="4057">IF(SUBTOTAL(9,DT159:DT163)&gt;0,SUBTOTAL(9,DT159:DT163),"")</f>
        <v/>
      </c>
      <c r="DU158" s="34" t="str">
        <f t="shared" ref="DU158" si="4058">IF(SUBTOTAL(9,DU159:DU163)&gt;0,SUBTOTAL(9,DU159:DU163),"")</f>
        <v/>
      </c>
      <c r="DV158" s="34" t="str">
        <f t="shared" ref="DV158" si="4059">IF(SUBTOTAL(9,DV159:DV163)&gt;0,SUBTOTAL(9,DV159:DV163),"")</f>
        <v/>
      </c>
      <c r="DW158" s="34" t="str">
        <f t="shared" ref="DW158" si="4060">IF(SUBTOTAL(9,DW159:DW163)&gt;0,SUBTOTAL(9,DW159:DW163),"")</f>
        <v/>
      </c>
      <c r="DX158" s="34" t="str">
        <f t="shared" ref="DX158" si="4061">IF(SUBTOTAL(9,DX159:DX163)&gt;0,SUBTOTAL(9,DX159:DX163),"")</f>
        <v/>
      </c>
      <c r="DY158" s="34" t="str">
        <f t="shared" ref="DY158" si="4062">IF(SUBTOTAL(9,DY159:DY163)&gt;0,SUBTOTAL(9,DY159:DY163),"")</f>
        <v/>
      </c>
      <c r="DZ158" s="33" t="str">
        <f t="shared" ref="DZ158" si="4063">IF(SUBTOTAL(9,DZ159:DZ163)&gt;0,SUBTOTAL(9,DZ159:DZ163),"")</f>
        <v/>
      </c>
      <c r="EA158" s="34" t="str">
        <f t="shared" ref="EA158" si="4064">IF(SUBTOTAL(9,EA159:EA163)&gt;0,SUBTOTAL(9,EA159:EA163),"")</f>
        <v/>
      </c>
      <c r="EB158" s="34" t="str">
        <f t="shared" ref="EB158" si="4065">IF(SUBTOTAL(9,EB159:EB163)&gt;0,SUBTOTAL(9,EB159:EB163),"")</f>
        <v/>
      </c>
      <c r="EC158" s="34" t="str">
        <f t="shared" ref="EC158" si="4066">IF(SUBTOTAL(9,EC159:EC163)&gt;0,SUBTOTAL(9,EC159:EC163),"")</f>
        <v/>
      </c>
      <c r="ED158" s="34" t="str">
        <f t="shared" ref="ED158" si="4067">IF(SUBTOTAL(9,ED159:ED163)&gt;0,SUBTOTAL(9,ED159:ED163),"")</f>
        <v/>
      </c>
      <c r="EE158" s="34" t="str">
        <f t="shared" ref="EE158" si="4068">IF(SUBTOTAL(9,EE159:EE163)&gt;0,SUBTOTAL(9,EE159:EE163),"")</f>
        <v/>
      </c>
      <c r="EF158" s="34" t="str">
        <f t="shared" ref="EF158" si="4069">IF(SUBTOTAL(9,EF159:EF163)&gt;0,SUBTOTAL(9,EF159:EF163),"")</f>
        <v/>
      </c>
      <c r="EG158" s="34" t="str">
        <f t="shared" ref="EG158" si="4070">IF(SUBTOTAL(9,EG159:EG163)&gt;0,SUBTOTAL(9,EG159:EG163),"")</f>
        <v/>
      </c>
      <c r="EH158" s="34" t="str">
        <f t="shared" ref="EH158" si="4071">IF(SUBTOTAL(9,EH159:EH163)&gt;0,SUBTOTAL(9,EH159:EH163),"")</f>
        <v/>
      </c>
      <c r="EI158" s="34" t="str">
        <f t="shared" ref="EI158" si="4072">IF(SUBTOTAL(9,EI159:EI163)&gt;0,SUBTOTAL(9,EI159:EI163),"")</f>
        <v/>
      </c>
      <c r="EJ158" s="34" t="str">
        <f t="shared" ref="EJ158" si="4073">IF(SUBTOTAL(9,EJ159:EJ163)&gt;0,SUBTOTAL(9,EJ159:EJ163),"")</f>
        <v/>
      </c>
      <c r="EK158" s="34" t="str">
        <f t="shared" ref="EK158" si="4074">IF(SUBTOTAL(9,EK159:EK163)&gt;0,SUBTOTAL(9,EK159:EK163),"")</f>
        <v/>
      </c>
      <c r="EL158" s="34" t="str">
        <f t="shared" ref="EL158" si="4075">IF(SUBTOTAL(9,EL159:EL163)&gt;0,SUBTOTAL(9,EL159:EL163),"")</f>
        <v/>
      </c>
      <c r="EM158" s="34" t="str">
        <f t="shared" ref="EM158" si="4076">IF(SUBTOTAL(9,EM159:EM163)&gt;0,SUBTOTAL(9,EM159:EM163),"")</f>
        <v/>
      </c>
      <c r="EN158" s="34" t="str">
        <f t="shared" ref="EN158" si="4077">IF(SUBTOTAL(9,EN159:EN163)&gt;0,SUBTOTAL(9,EN159:EN163),"")</f>
        <v/>
      </c>
      <c r="EO158" s="34" t="str">
        <f t="shared" ref="EO158" si="4078">IF(SUBTOTAL(9,EO159:EO163)&gt;0,SUBTOTAL(9,EO159:EO163),"")</f>
        <v/>
      </c>
      <c r="EP158" s="34" t="str">
        <f t="shared" ref="EP158" si="4079">IF(SUBTOTAL(9,EP159:EP163)&gt;0,SUBTOTAL(9,EP159:EP163),"")</f>
        <v/>
      </c>
      <c r="EQ158" s="34" t="str">
        <f t="shared" ref="EQ158" si="4080">IF(SUBTOTAL(9,EQ159:EQ163)&gt;0,SUBTOTAL(9,EQ159:EQ163),"")</f>
        <v/>
      </c>
      <c r="ER158" s="34" t="str">
        <f t="shared" ref="ER158" si="4081">IF(SUBTOTAL(9,ER159:ER163)&gt;0,SUBTOTAL(9,ER159:ER163),"")</f>
        <v/>
      </c>
      <c r="ES158" s="34" t="str">
        <f t="shared" ref="ES158" si="4082">IF(SUBTOTAL(9,ES159:ES163)&gt;0,SUBTOTAL(9,ES159:ES163),"")</f>
        <v/>
      </c>
      <c r="ET158" s="34" t="str">
        <f t="shared" ref="ET158" si="4083">IF(SUBTOTAL(9,ET159:ET163)&gt;0,SUBTOTAL(9,ET159:ET163),"")</f>
        <v/>
      </c>
      <c r="EU158" s="34" t="str">
        <f t="shared" ref="EU158" si="4084">IF(SUBTOTAL(9,EU159:EU163)&gt;0,SUBTOTAL(9,EU159:EU163),"")</f>
        <v/>
      </c>
      <c r="EV158" s="34" t="str">
        <f t="shared" ref="EV158" si="4085">IF(SUBTOTAL(9,EV159:EV163)&gt;0,SUBTOTAL(9,EV159:EV163),"")</f>
        <v/>
      </c>
      <c r="EW158" s="34" t="str">
        <f t="shared" ref="EW158" si="4086">IF(SUBTOTAL(9,EW159:EW163)&gt;0,SUBTOTAL(9,EW159:EW163),"")</f>
        <v/>
      </c>
      <c r="EX158" s="34" t="str">
        <f t="shared" ref="EX158" si="4087">IF(SUBTOTAL(9,EX159:EX163)&gt;0,SUBTOTAL(9,EX159:EX163),"")</f>
        <v/>
      </c>
      <c r="EY158" s="33" t="str">
        <f t="shared" ref="EY158" si="4088">IF(SUBTOTAL(9,EY159:EY163)&gt;0,SUBTOTAL(9,EY159:EY163),"")</f>
        <v/>
      </c>
      <c r="EZ158" s="34" t="str">
        <f t="shared" ref="EZ158" si="4089">IF(SUBTOTAL(9,EZ159:EZ163)&gt;0,SUBTOTAL(9,EZ159:EZ163),"")</f>
        <v/>
      </c>
      <c r="FA158" s="34" t="str">
        <f t="shared" ref="FA158" si="4090">IF(SUBTOTAL(9,FA159:FA163)&gt;0,SUBTOTAL(9,FA159:FA163),"")</f>
        <v/>
      </c>
      <c r="FB158" s="34" t="str">
        <f t="shared" ref="FB158" si="4091">IF(SUBTOTAL(9,FB159:FB163)&gt;0,SUBTOTAL(9,FB159:FB163),"")</f>
        <v/>
      </c>
      <c r="FC158" s="34" t="str">
        <f t="shared" ref="FC158" si="4092">IF(SUBTOTAL(9,FC159:FC163)&gt;0,SUBTOTAL(9,FC159:FC163),"")</f>
        <v/>
      </c>
      <c r="FD158" s="34" t="str">
        <f t="shared" ref="FD158" si="4093">IF(SUBTOTAL(9,FD159:FD163)&gt;0,SUBTOTAL(9,FD159:FD163),"")</f>
        <v/>
      </c>
      <c r="FE158" s="34" t="str">
        <f t="shared" ref="FE158" si="4094">IF(SUBTOTAL(9,FE159:FE163)&gt;0,SUBTOTAL(9,FE159:FE163),"")</f>
        <v/>
      </c>
      <c r="FF158" s="34" t="str">
        <f t="shared" ref="FF158" si="4095">IF(SUBTOTAL(9,FF159:FF163)&gt;0,SUBTOTAL(9,FF159:FF163),"")</f>
        <v/>
      </c>
      <c r="FG158" s="34" t="str">
        <f t="shared" ref="FG158" si="4096">IF(SUBTOTAL(9,FG159:FG163)&gt;0,SUBTOTAL(9,FG159:FG163),"")</f>
        <v/>
      </c>
      <c r="FH158" s="34" t="str">
        <f t="shared" ref="FH158" si="4097">IF(SUBTOTAL(9,FH159:FH163)&gt;0,SUBTOTAL(9,FH159:FH163),"")</f>
        <v/>
      </c>
      <c r="FI158" s="34" t="str">
        <f t="shared" ref="FI158" si="4098">IF(SUBTOTAL(9,FI159:FI163)&gt;0,SUBTOTAL(9,FI159:FI163),"")</f>
        <v/>
      </c>
      <c r="FJ158" s="34" t="str">
        <f t="shared" ref="FJ158" si="4099">IF(SUBTOTAL(9,FJ159:FJ163)&gt;0,SUBTOTAL(9,FJ159:FJ163),"")</f>
        <v/>
      </c>
      <c r="FK158" s="34" t="str">
        <f t="shared" ref="FK158" si="4100">IF(SUBTOTAL(9,FK159:FK163)&gt;0,SUBTOTAL(9,FK159:FK163),"")</f>
        <v/>
      </c>
      <c r="FL158" s="34" t="str">
        <f t="shared" ref="FL158" si="4101">IF(SUBTOTAL(9,FL159:FL163)&gt;0,SUBTOTAL(9,FL159:FL163),"")</f>
        <v/>
      </c>
      <c r="FM158" s="34" t="str">
        <f t="shared" ref="FM158" si="4102">IF(SUBTOTAL(9,FM159:FM163)&gt;0,SUBTOTAL(9,FM159:FM163),"")</f>
        <v/>
      </c>
      <c r="FN158" s="34" t="str">
        <f t="shared" ref="FN158" si="4103">IF(SUBTOTAL(9,FN159:FN163)&gt;0,SUBTOTAL(9,FN159:FN163),"")</f>
        <v/>
      </c>
      <c r="FO158" s="34" t="str">
        <f t="shared" ref="FO158" si="4104">IF(SUBTOTAL(9,FO159:FO163)&gt;0,SUBTOTAL(9,FO159:FO163),"")</f>
        <v/>
      </c>
      <c r="FP158" s="34" t="str">
        <f t="shared" ref="FP158" si="4105">IF(SUBTOTAL(9,FP159:FP163)&gt;0,SUBTOTAL(9,FP159:FP163),"")</f>
        <v/>
      </c>
      <c r="FQ158" s="92" t="str">
        <f t="shared" ref="FQ158" si="4106">IF(SUBTOTAL(9,FQ159:FQ163)&gt;0,SUBTOTAL(9,FQ159:FQ163),"")</f>
        <v/>
      </c>
      <c r="FR158" s="8"/>
      <c r="FS158" s="9" t="s">
        <v>131</v>
      </c>
      <c r="FT158" s="9" t="str">
        <f t="shared" si="3664"/>
        <v/>
      </c>
    </row>
    <row r="159" spans="1:176" s="9" customFormat="1" ht="12" hidden="1" customHeight="1" outlineLevel="1">
      <c r="A159" s="122"/>
      <c r="B159" s="123"/>
      <c r="C159" s="124" t="str">
        <f t="shared" si="3515"/>
        <v>0 days</v>
      </c>
      <c r="D159" s="13" t="str">
        <f>A133&amp;" "&amp;A158</f>
        <v>5. Annual Process Documentation 5.5 Job 5</v>
      </c>
      <c r="E159" s="51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5"/>
      <c r="AK159" s="35"/>
      <c r="AL159" s="36"/>
      <c r="AM159" s="36"/>
      <c r="AN159" s="36"/>
      <c r="AO159" s="36"/>
      <c r="AP159" s="36"/>
      <c r="AQ159" s="36"/>
      <c r="AR159" s="36"/>
      <c r="AS159" s="35"/>
      <c r="AT159" s="35"/>
      <c r="AU159" s="35"/>
      <c r="AV159" s="35"/>
      <c r="AW159" s="35"/>
      <c r="AX159" s="35"/>
      <c r="AY159" s="35"/>
      <c r="AZ159" s="35"/>
      <c r="BA159" s="35"/>
      <c r="BB159" s="35"/>
      <c r="BC159" s="35"/>
      <c r="BD159" s="35"/>
      <c r="BE159" s="35"/>
      <c r="BF159" s="35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35"/>
      <c r="BU159" s="35"/>
      <c r="BV159" s="35"/>
      <c r="BW159" s="35"/>
      <c r="BX159" s="35"/>
      <c r="BY159" s="35"/>
      <c r="BZ159" s="35"/>
      <c r="CA159" s="35"/>
      <c r="CB159" s="35"/>
      <c r="CC159" s="35"/>
      <c r="CD159" s="35"/>
      <c r="CE159" s="35"/>
      <c r="CF159" s="35"/>
      <c r="CG159" s="35"/>
      <c r="CH159" s="35"/>
      <c r="CI159" s="35"/>
      <c r="CJ159" s="35"/>
      <c r="CK159" s="35"/>
      <c r="CL159" s="35"/>
      <c r="CM159" s="35"/>
      <c r="CN159" s="35"/>
      <c r="CO159" s="35"/>
      <c r="CP159" s="35"/>
      <c r="CQ159" s="35"/>
      <c r="CR159" s="35"/>
      <c r="CS159" s="35"/>
      <c r="CT159" s="36"/>
      <c r="CU159" s="35"/>
      <c r="CV159" s="35"/>
      <c r="CW159" s="35"/>
      <c r="CX159" s="35"/>
      <c r="CY159" s="35"/>
      <c r="CZ159" s="36"/>
      <c r="DA159" s="36"/>
      <c r="DB159" s="35"/>
      <c r="DC159" s="35"/>
      <c r="DD159" s="35"/>
      <c r="DE159" s="35"/>
      <c r="DF159" s="35"/>
      <c r="DG159" s="35"/>
      <c r="DH159" s="35"/>
      <c r="DI159" s="35"/>
      <c r="DJ159" s="35"/>
      <c r="DK159" s="35"/>
      <c r="DL159" s="35"/>
      <c r="DM159" s="35"/>
      <c r="DN159" s="35"/>
      <c r="DO159" s="35"/>
      <c r="DP159" s="35"/>
      <c r="DQ159" s="35"/>
      <c r="DR159" s="35"/>
      <c r="DS159" s="35"/>
      <c r="DT159" s="35"/>
      <c r="DU159" s="35"/>
      <c r="DV159" s="35"/>
      <c r="DW159" s="35"/>
      <c r="DX159" s="35"/>
      <c r="DY159" s="35"/>
      <c r="DZ159" s="36"/>
      <c r="EA159" s="35"/>
      <c r="EB159" s="35"/>
      <c r="EC159" s="35"/>
      <c r="ED159" s="35"/>
      <c r="EE159" s="35"/>
      <c r="EF159" s="35"/>
      <c r="EG159" s="35"/>
      <c r="EH159" s="35"/>
      <c r="EI159" s="35"/>
      <c r="EJ159" s="35"/>
      <c r="EK159" s="35"/>
      <c r="EL159" s="35"/>
      <c r="EM159" s="35"/>
      <c r="EN159" s="35"/>
      <c r="EO159" s="35"/>
      <c r="EP159" s="35"/>
      <c r="EQ159" s="35"/>
      <c r="ER159" s="35"/>
      <c r="ES159" s="35"/>
      <c r="ET159" s="35"/>
      <c r="EU159" s="35"/>
      <c r="EV159" s="35"/>
      <c r="EW159" s="35"/>
      <c r="EX159" s="35"/>
      <c r="EY159" s="36"/>
      <c r="EZ159" s="35"/>
      <c r="FA159" s="35"/>
      <c r="FB159" s="35"/>
      <c r="FC159" s="35"/>
      <c r="FD159" s="35"/>
      <c r="FE159" s="35"/>
      <c r="FF159" s="35"/>
      <c r="FG159" s="35"/>
      <c r="FH159" s="35"/>
      <c r="FI159" s="35"/>
      <c r="FJ159" s="35"/>
      <c r="FK159" s="35"/>
      <c r="FL159" s="35"/>
      <c r="FM159" s="35"/>
      <c r="FN159" s="35"/>
      <c r="FO159" s="35"/>
      <c r="FP159" s="35"/>
      <c r="FQ159" s="52"/>
      <c r="FR159" s="8"/>
      <c r="FS159" s="9" t="s">
        <v>13</v>
      </c>
      <c r="FT159" s="9" t="str">
        <f t="shared" si="3664"/>
        <v>5. Annual Process Documentation 5.5 Job 5</v>
      </c>
    </row>
    <row r="160" spans="1:176" s="9" customFormat="1" ht="12" hidden="1" customHeight="1" outlineLevel="1">
      <c r="A160" s="122"/>
      <c r="B160" s="123"/>
      <c r="C160" s="124" t="str">
        <f t="shared" si="3515"/>
        <v>0 days</v>
      </c>
      <c r="D160" s="13" t="str">
        <f>A133&amp;" "&amp;A158</f>
        <v>5. Annual Process Documentation 5.5 Job 5</v>
      </c>
      <c r="E160" s="51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5"/>
      <c r="AK160" s="35"/>
      <c r="AL160" s="36"/>
      <c r="AM160" s="36"/>
      <c r="AN160" s="36"/>
      <c r="AO160" s="36"/>
      <c r="AP160" s="36"/>
      <c r="AQ160" s="36"/>
      <c r="AR160" s="36"/>
      <c r="AS160" s="35"/>
      <c r="AT160" s="35"/>
      <c r="AU160" s="35"/>
      <c r="AV160" s="35"/>
      <c r="AW160" s="35"/>
      <c r="AX160" s="35"/>
      <c r="AY160" s="35"/>
      <c r="AZ160" s="35"/>
      <c r="BA160" s="35"/>
      <c r="BB160" s="35"/>
      <c r="BC160" s="35"/>
      <c r="BD160" s="35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35"/>
      <c r="BU160" s="35"/>
      <c r="BV160" s="35"/>
      <c r="BW160" s="35"/>
      <c r="BX160" s="35"/>
      <c r="BY160" s="35"/>
      <c r="BZ160" s="35"/>
      <c r="CA160" s="35"/>
      <c r="CB160" s="35"/>
      <c r="CC160" s="35"/>
      <c r="CD160" s="35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6"/>
      <c r="CU160" s="35"/>
      <c r="CV160" s="35"/>
      <c r="CW160" s="35"/>
      <c r="CX160" s="35"/>
      <c r="CY160" s="35"/>
      <c r="CZ160" s="36"/>
      <c r="DA160" s="36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  <c r="DN160" s="35"/>
      <c r="DO160" s="35"/>
      <c r="DP160" s="35"/>
      <c r="DQ160" s="35"/>
      <c r="DR160" s="35"/>
      <c r="DS160" s="35"/>
      <c r="DT160" s="35"/>
      <c r="DU160" s="35"/>
      <c r="DV160" s="35"/>
      <c r="DW160" s="35"/>
      <c r="DX160" s="35"/>
      <c r="DY160" s="35"/>
      <c r="DZ160" s="36"/>
      <c r="EA160" s="35"/>
      <c r="EB160" s="35"/>
      <c r="EC160" s="35"/>
      <c r="ED160" s="35"/>
      <c r="EE160" s="35"/>
      <c r="EF160" s="35"/>
      <c r="EG160" s="35"/>
      <c r="EH160" s="35"/>
      <c r="EI160" s="35"/>
      <c r="EJ160" s="35"/>
      <c r="EK160" s="35"/>
      <c r="EL160" s="35"/>
      <c r="EM160" s="35"/>
      <c r="EN160" s="35"/>
      <c r="EO160" s="35"/>
      <c r="EP160" s="35"/>
      <c r="EQ160" s="35"/>
      <c r="ER160" s="35"/>
      <c r="ES160" s="35"/>
      <c r="ET160" s="35"/>
      <c r="EU160" s="35"/>
      <c r="EV160" s="35"/>
      <c r="EW160" s="35"/>
      <c r="EX160" s="35"/>
      <c r="EY160" s="36"/>
      <c r="EZ160" s="35"/>
      <c r="FA160" s="35"/>
      <c r="FB160" s="35"/>
      <c r="FC160" s="35"/>
      <c r="FD160" s="35"/>
      <c r="FE160" s="35"/>
      <c r="FF160" s="35"/>
      <c r="FG160" s="35"/>
      <c r="FH160" s="35"/>
      <c r="FI160" s="35"/>
      <c r="FJ160" s="35"/>
      <c r="FK160" s="35"/>
      <c r="FL160" s="35"/>
      <c r="FM160" s="35"/>
      <c r="FN160" s="35"/>
      <c r="FO160" s="35"/>
      <c r="FP160" s="35"/>
      <c r="FQ160" s="52"/>
      <c r="FR160" s="8"/>
      <c r="FS160" s="9" t="s">
        <v>13</v>
      </c>
      <c r="FT160" s="9" t="str">
        <f t="shared" si="3664"/>
        <v>5. Annual Process Documentation 5.5 Job 5</v>
      </c>
    </row>
    <row r="161" spans="1:176" s="9" customFormat="1" ht="12" hidden="1" customHeight="1" outlineLevel="1">
      <c r="A161" s="125" t="s">
        <v>50</v>
      </c>
      <c r="B161" s="123"/>
      <c r="C161" s="124" t="str">
        <f t="shared" si="3515"/>
        <v>0 days</v>
      </c>
      <c r="D161" s="13" t="str">
        <f>A133&amp;" "&amp;A158</f>
        <v>5. Annual Process Documentation 5.5 Job 5</v>
      </c>
      <c r="E161" s="51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5"/>
      <c r="AK161" s="35"/>
      <c r="AL161" s="36"/>
      <c r="AM161" s="36"/>
      <c r="AN161" s="36"/>
      <c r="AO161" s="36"/>
      <c r="AP161" s="36"/>
      <c r="AQ161" s="36"/>
      <c r="AR161" s="36"/>
      <c r="AS161" s="35"/>
      <c r="AT161" s="35"/>
      <c r="AU161" s="35"/>
      <c r="AV161" s="35"/>
      <c r="AW161" s="35"/>
      <c r="AX161" s="35"/>
      <c r="AY161" s="35"/>
      <c r="AZ161" s="35"/>
      <c r="BA161" s="35"/>
      <c r="BB161" s="35"/>
      <c r="BC161" s="35"/>
      <c r="BD161" s="35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35"/>
      <c r="BU161" s="35"/>
      <c r="BV161" s="35"/>
      <c r="BW161" s="35"/>
      <c r="BX161" s="35"/>
      <c r="BY161" s="35"/>
      <c r="BZ161" s="35"/>
      <c r="CA161" s="35"/>
      <c r="CB161" s="35"/>
      <c r="CC161" s="35"/>
      <c r="CD161" s="35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6"/>
      <c r="CU161" s="35"/>
      <c r="CV161" s="35"/>
      <c r="CW161" s="35"/>
      <c r="CX161" s="35"/>
      <c r="CY161" s="35"/>
      <c r="CZ161" s="36"/>
      <c r="DA161" s="36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6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  <c r="EU161" s="35"/>
      <c r="EV161" s="35"/>
      <c r="EW161" s="35"/>
      <c r="EX161" s="35"/>
      <c r="EY161" s="36"/>
      <c r="EZ161" s="35"/>
      <c r="FA161" s="35"/>
      <c r="FB161" s="35"/>
      <c r="FC161" s="35"/>
      <c r="FD161" s="35"/>
      <c r="FE161" s="35"/>
      <c r="FF161" s="35"/>
      <c r="FG161" s="35"/>
      <c r="FH161" s="35"/>
      <c r="FI161" s="35"/>
      <c r="FJ161" s="35"/>
      <c r="FK161" s="35"/>
      <c r="FL161" s="35"/>
      <c r="FM161" s="35"/>
      <c r="FN161" s="35"/>
      <c r="FO161" s="35"/>
      <c r="FP161" s="35"/>
      <c r="FQ161" s="52"/>
      <c r="FR161" s="8"/>
      <c r="FS161" s="9" t="s">
        <v>13</v>
      </c>
      <c r="FT161" s="9" t="str">
        <f t="shared" si="3664"/>
        <v>5. Annual Process Documentation 5.5 Job 5</v>
      </c>
    </row>
    <row r="162" spans="1:176" s="9" customFormat="1" ht="12" hidden="1" customHeight="1" outlineLevel="1">
      <c r="A162" s="125" t="s">
        <v>50</v>
      </c>
      <c r="B162" s="123"/>
      <c r="C162" s="124" t="str">
        <f t="shared" si="3515"/>
        <v>0 days</v>
      </c>
      <c r="D162" s="13" t="str">
        <f>A133&amp;" "&amp;A158</f>
        <v>5. Annual Process Documentation 5.5 Job 5</v>
      </c>
      <c r="E162" s="51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5"/>
      <c r="AK162" s="35"/>
      <c r="AL162" s="36"/>
      <c r="AM162" s="36"/>
      <c r="AN162" s="36"/>
      <c r="AO162" s="36"/>
      <c r="AP162" s="36"/>
      <c r="AQ162" s="36"/>
      <c r="AR162" s="36"/>
      <c r="AS162" s="35"/>
      <c r="AT162" s="35"/>
      <c r="AU162" s="35"/>
      <c r="AV162" s="35"/>
      <c r="AW162" s="35"/>
      <c r="AX162" s="35"/>
      <c r="AY162" s="35"/>
      <c r="AZ162" s="35"/>
      <c r="BA162" s="35"/>
      <c r="BB162" s="35"/>
      <c r="BC162" s="35"/>
      <c r="BD162" s="35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35"/>
      <c r="BU162" s="35"/>
      <c r="BV162" s="35"/>
      <c r="BW162" s="35"/>
      <c r="BX162" s="35"/>
      <c r="BY162" s="35"/>
      <c r="BZ162" s="35"/>
      <c r="CA162" s="35"/>
      <c r="CB162" s="35"/>
      <c r="CC162" s="35"/>
      <c r="CD162" s="35"/>
      <c r="CE162" s="35"/>
      <c r="CF162" s="35"/>
      <c r="CG162" s="35"/>
      <c r="CH162" s="35"/>
      <c r="CI162" s="35"/>
      <c r="CJ162" s="35"/>
      <c r="CK162" s="35"/>
      <c r="CL162" s="35"/>
      <c r="CM162" s="35"/>
      <c r="CN162" s="35"/>
      <c r="CO162" s="35"/>
      <c r="CP162" s="35"/>
      <c r="CQ162" s="35"/>
      <c r="CR162" s="35"/>
      <c r="CS162" s="35"/>
      <c r="CT162" s="36"/>
      <c r="CU162" s="35"/>
      <c r="CV162" s="35"/>
      <c r="CW162" s="35"/>
      <c r="CX162" s="35"/>
      <c r="CY162" s="35"/>
      <c r="CZ162" s="36"/>
      <c r="DA162" s="36"/>
      <c r="DB162" s="35"/>
      <c r="DC162" s="35"/>
      <c r="DD162" s="35"/>
      <c r="DE162" s="35"/>
      <c r="DF162" s="35"/>
      <c r="DG162" s="35"/>
      <c r="DH162" s="35"/>
      <c r="DI162" s="35"/>
      <c r="DJ162" s="35"/>
      <c r="DK162" s="35"/>
      <c r="DL162" s="35"/>
      <c r="DM162" s="35"/>
      <c r="DN162" s="35"/>
      <c r="DO162" s="35"/>
      <c r="DP162" s="35"/>
      <c r="DQ162" s="35"/>
      <c r="DR162" s="35"/>
      <c r="DS162" s="35"/>
      <c r="DT162" s="35"/>
      <c r="DU162" s="35"/>
      <c r="DV162" s="35"/>
      <c r="DW162" s="35"/>
      <c r="DX162" s="35"/>
      <c r="DY162" s="35"/>
      <c r="DZ162" s="36"/>
      <c r="EA162" s="35"/>
      <c r="EB162" s="35"/>
      <c r="EC162" s="35"/>
      <c r="ED162" s="35"/>
      <c r="EE162" s="35"/>
      <c r="EF162" s="35"/>
      <c r="EG162" s="35"/>
      <c r="EH162" s="35"/>
      <c r="EI162" s="35"/>
      <c r="EJ162" s="35"/>
      <c r="EK162" s="35"/>
      <c r="EL162" s="35"/>
      <c r="EM162" s="35"/>
      <c r="EN162" s="35"/>
      <c r="EO162" s="35"/>
      <c r="EP162" s="35"/>
      <c r="EQ162" s="35"/>
      <c r="ER162" s="35"/>
      <c r="ES162" s="35"/>
      <c r="ET162" s="35"/>
      <c r="EU162" s="35"/>
      <c r="EV162" s="35"/>
      <c r="EW162" s="35"/>
      <c r="EX162" s="35"/>
      <c r="EY162" s="36"/>
      <c r="EZ162" s="35"/>
      <c r="FA162" s="35"/>
      <c r="FB162" s="35"/>
      <c r="FC162" s="35"/>
      <c r="FD162" s="35"/>
      <c r="FE162" s="35"/>
      <c r="FF162" s="35"/>
      <c r="FG162" s="35"/>
      <c r="FH162" s="35"/>
      <c r="FI162" s="35"/>
      <c r="FJ162" s="35"/>
      <c r="FK162" s="35"/>
      <c r="FL162" s="35"/>
      <c r="FM162" s="35"/>
      <c r="FN162" s="35"/>
      <c r="FO162" s="35"/>
      <c r="FP162" s="35"/>
      <c r="FQ162" s="52"/>
      <c r="FR162" s="8"/>
      <c r="FS162" s="9" t="s">
        <v>13</v>
      </c>
      <c r="FT162" s="9" t="str">
        <f t="shared" si="3664"/>
        <v>5. Annual Process Documentation 5.5 Job 5</v>
      </c>
    </row>
    <row r="163" spans="1:176" s="9" customFormat="1" ht="12" hidden="1" customHeight="1" outlineLevel="1">
      <c r="A163" s="125" t="s">
        <v>50</v>
      </c>
      <c r="B163" s="123"/>
      <c r="C163" s="124" t="str">
        <f t="shared" si="3515"/>
        <v>0 days</v>
      </c>
      <c r="D163" s="13" t="str">
        <f>A133&amp;" "&amp;A158</f>
        <v>5. Annual Process Documentation 5.5 Job 5</v>
      </c>
      <c r="E163" s="51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5"/>
      <c r="AK163" s="35"/>
      <c r="AL163" s="36"/>
      <c r="AM163" s="36"/>
      <c r="AN163" s="36"/>
      <c r="AO163" s="36"/>
      <c r="AP163" s="36"/>
      <c r="AQ163" s="36"/>
      <c r="AR163" s="36"/>
      <c r="AS163" s="35"/>
      <c r="AT163" s="35"/>
      <c r="AU163" s="35"/>
      <c r="AV163" s="35"/>
      <c r="AW163" s="35"/>
      <c r="AX163" s="35"/>
      <c r="AY163" s="35"/>
      <c r="AZ163" s="35"/>
      <c r="BA163" s="35"/>
      <c r="BB163" s="35"/>
      <c r="BC163" s="35"/>
      <c r="BD163" s="35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35"/>
      <c r="BU163" s="35"/>
      <c r="BV163" s="35"/>
      <c r="BW163" s="35"/>
      <c r="BX163" s="35"/>
      <c r="BY163" s="35"/>
      <c r="BZ163" s="35"/>
      <c r="CA163" s="35"/>
      <c r="CB163" s="35"/>
      <c r="CC163" s="35"/>
      <c r="CD163" s="35"/>
      <c r="CE163" s="35"/>
      <c r="CF163" s="35"/>
      <c r="CG163" s="35"/>
      <c r="CH163" s="35"/>
      <c r="CI163" s="35"/>
      <c r="CJ163" s="35"/>
      <c r="CK163" s="35"/>
      <c r="CL163" s="35"/>
      <c r="CM163" s="35"/>
      <c r="CN163" s="35"/>
      <c r="CO163" s="35"/>
      <c r="CP163" s="35"/>
      <c r="CQ163" s="35"/>
      <c r="CR163" s="35"/>
      <c r="CS163" s="35"/>
      <c r="CT163" s="36"/>
      <c r="CU163" s="35"/>
      <c r="CV163" s="35"/>
      <c r="CW163" s="35"/>
      <c r="CX163" s="35"/>
      <c r="CY163" s="35"/>
      <c r="CZ163" s="36"/>
      <c r="DA163" s="36"/>
      <c r="DB163" s="35"/>
      <c r="DC163" s="35"/>
      <c r="DD163" s="35"/>
      <c r="DE163" s="35"/>
      <c r="DF163" s="35"/>
      <c r="DG163" s="35"/>
      <c r="DH163" s="35"/>
      <c r="DI163" s="35"/>
      <c r="DJ163" s="35"/>
      <c r="DK163" s="35"/>
      <c r="DL163" s="35"/>
      <c r="DM163" s="35"/>
      <c r="DN163" s="35"/>
      <c r="DO163" s="35"/>
      <c r="DP163" s="35"/>
      <c r="DQ163" s="35"/>
      <c r="DR163" s="35"/>
      <c r="DS163" s="35"/>
      <c r="DT163" s="35"/>
      <c r="DU163" s="35"/>
      <c r="DV163" s="35"/>
      <c r="DW163" s="35"/>
      <c r="DX163" s="35"/>
      <c r="DY163" s="35"/>
      <c r="DZ163" s="36"/>
      <c r="EA163" s="35"/>
      <c r="EB163" s="35"/>
      <c r="EC163" s="35"/>
      <c r="ED163" s="35"/>
      <c r="EE163" s="35"/>
      <c r="EF163" s="35"/>
      <c r="EG163" s="35"/>
      <c r="EH163" s="35"/>
      <c r="EI163" s="35"/>
      <c r="EJ163" s="35"/>
      <c r="EK163" s="35"/>
      <c r="EL163" s="35"/>
      <c r="EM163" s="35"/>
      <c r="EN163" s="35"/>
      <c r="EO163" s="35"/>
      <c r="EP163" s="35"/>
      <c r="EQ163" s="35"/>
      <c r="ER163" s="35"/>
      <c r="ES163" s="35"/>
      <c r="ET163" s="35"/>
      <c r="EU163" s="35"/>
      <c r="EV163" s="35"/>
      <c r="EW163" s="35"/>
      <c r="EX163" s="35"/>
      <c r="EY163" s="36"/>
      <c r="EZ163" s="35"/>
      <c r="FA163" s="35"/>
      <c r="FB163" s="35"/>
      <c r="FC163" s="35"/>
      <c r="FD163" s="35"/>
      <c r="FE163" s="35"/>
      <c r="FF163" s="35"/>
      <c r="FG163" s="35"/>
      <c r="FH163" s="35"/>
      <c r="FI163" s="35"/>
      <c r="FJ163" s="35"/>
      <c r="FK163" s="35"/>
      <c r="FL163" s="35"/>
      <c r="FM163" s="35"/>
      <c r="FN163" s="35"/>
      <c r="FO163" s="35"/>
      <c r="FP163" s="35"/>
      <c r="FQ163" s="52"/>
      <c r="FR163" s="8"/>
      <c r="FS163" s="9" t="s">
        <v>13</v>
      </c>
      <c r="FT163" s="9" t="str">
        <f t="shared" si="3664"/>
        <v>5. Annual Process Documentation 5.5 Job 5</v>
      </c>
    </row>
    <row r="164" spans="1:176" s="9" customFormat="1" ht="12" customHeight="1" collapsed="1">
      <c r="A164" s="116" t="s">
        <v>82</v>
      </c>
      <c r="B164" s="132"/>
      <c r="C164" s="118" t="str">
        <f t="shared" si="3515"/>
        <v>37 days</v>
      </c>
      <c r="D164" s="26"/>
      <c r="E164" s="89" t="str">
        <f t="shared" ref="E164:AK164" si="4107">IF(SUBTOTAL(9,E166:E170,E172:E176,E178:E182,E184:E188,E190:E194)&gt;0,SUBTOTAL(9,E166:E170,E172:E176,E178:E182,E184:E188,E190:E194),"")</f>
        <v/>
      </c>
      <c r="F164" s="32" t="str">
        <f t="shared" si="4107"/>
        <v/>
      </c>
      <c r="G164" s="32" t="str">
        <f t="shared" si="4107"/>
        <v/>
      </c>
      <c r="H164" s="32" t="str">
        <f t="shared" si="4107"/>
        <v/>
      </c>
      <c r="I164" s="32" t="str">
        <f t="shared" si="4107"/>
        <v/>
      </c>
      <c r="J164" s="32" t="str">
        <f t="shared" si="4107"/>
        <v/>
      </c>
      <c r="K164" s="32" t="str">
        <f t="shared" si="4107"/>
        <v/>
      </c>
      <c r="L164" s="32" t="str">
        <f t="shared" si="4107"/>
        <v/>
      </c>
      <c r="M164" s="32" t="str">
        <f t="shared" si="4107"/>
        <v/>
      </c>
      <c r="N164" s="32" t="str">
        <f t="shared" si="4107"/>
        <v/>
      </c>
      <c r="O164" s="32" t="str">
        <f t="shared" si="4107"/>
        <v/>
      </c>
      <c r="P164" s="32" t="str">
        <f t="shared" si="4107"/>
        <v/>
      </c>
      <c r="Q164" s="32" t="str">
        <f t="shared" si="4107"/>
        <v/>
      </c>
      <c r="R164" s="32" t="str">
        <f t="shared" si="4107"/>
        <v/>
      </c>
      <c r="S164" s="32" t="str">
        <f t="shared" si="4107"/>
        <v/>
      </c>
      <c r="T164" s="32" t="str">
        <f t="shared" si="4107"/>
        <v/>
      </c>
      <c r="U164" s="32" t="str">
        <f t="shared" si="4107"/>
        <v/>
      </c>
      <c r="V164" s="32" t="str">
        <f t="shared" si="4107"/>
        <v/>
      </c>
      <c r="W164" s="32" t="str">
        <f t="shared" si="4107"/>
        <v/>
      </c>
      <c r="X164" s="32" t="str">
        <f t="shared" si="4107"/>
        <v/>
      </c>
      <c r="Y164" s="32" t="str">
        <f t="shared" si="4107"/>
        <v/>
      </c>
      <c r="Z164" s="32" t="str">
        <f t="shared" si="4107"/>
        <v/>
      </c>
      <c r="AA164" s="32" t="str">
        <f t="shared" si="4107"/>
        <v/>
      </c>
      <c r="AB164" s="32" t="str">
        <f t="shared" si="4107"/>
        <v/>
      </c>
      <c r="AC164" s="32" t="str">
        <f t="shared" si="4107"/>
        <v/>
      </c>
      <c r="AD164" s="32" t="str">
        <f t="shared" si="4107"/>
        <v/>
      </c>
      <c r="AE164" s="32" t="str">
        <f t="shared" si="4107"/>
        <v/>
      </c>
      <c r="AF164" s="32" t="str">
        <f t="shared" si="4107"/>
        <v/>
      </c>
      <c r="AG164" s="32" t="str">
        <f t="shared" si="4107"/>
        <v/>
      </c>
      <c r="AH164" s="32" t="str">
        <f t="shared" si="4107"/>
        <v/>
      </c>
      <c r="AI164" s="32" t="str">
        <f t="shared" si="4107"/>
        <v/>
      </c>
      <c r="AJ164" s="32" t="str">
        <f t="shared" si="4107"/>
        <v/>
      </c>
      <c r="AK164" s="32" t="str">
        <f t="shared" si="4107"/>
        <v/>
      </c>
      <c r="AL164" s="33" t="str">
        <f>IF(SUBTOTAL(9,AL166:AL170,AL172:AL176,AL178:AL182,AL184:AL188,AL190:AL194)&gt;0,SUBTOTAL(9,AL166:AL170,AL172:AL176,AL178:AL182,AL184:AL188,AL190:AL194),"")</f>
        <v/>
      </c>
      <c r="AM164" s="33" t="str">
        <f t="shared" ref="AM164:CX164" si="4108">IF(SUBTOTAL(9,AM166:AM170,AM172:AM176,AM178:AM182,AM184:AM188,AM190:AM194)&gt;0,SUBTOTAL(9,AM166:AM170,AM172:AM176,AM178:AM182,AM184:AM188,AM190:AM194),"")</f>
        <v/>
      </c>
      <c r="AN164" s="33" t="str">
        <f t="shared" si="4108"/>
        <v/>
      </c>
      <c r="AO164" s="33" t="str">
        <f t="shared" si="4108"/>
        <v/>
      </c>
      <c r="AP164" s="33" t="str">
        <f t="shared" si="4108"/>
        <v/>
      </c>
      <c r="AQ164" s="33" t="str">
        <f t="shared" si="4108"/>
        <v/>
      </c>
      <c r="AR164" s="33" t="str">
        <f t="shared" si="4108"/>
        <v/>
      </c>
      <c r="AS164" s="32" t="str">
        <f t="shared" si="4108"/>
        <v/>
      </c>
      <c r="AT164" s="32" t="str">
        <f t="shared" si="4108"/>
        <v/>
      </c>
      <c r="AU164" s="32" t="str">
        <f t="shared" si="4108"/>
        <v/>
      </c>
      <c r="AV164" s="32" t="str">
        <f t="shared" si="4108"/>
        <v/>
      </c>
      <c r="AW164" s="32" t="str">
        <f t="shared" si="4108"/>
        <v/>
      </c>
      <c r="AX164" s="32" t="str">
        <f t="shared" si="4108"/>
        <v/>
      </c>
      <c r="AY164" s="32">
        <f t="shared" si="4108"/>
        <v>0.5</v>
      </c>
      <c r="AZ164" s="32">
        <f t="shared" si="4108"/>
        <v>0.5</v>
      </c>
      <c r="BA164" s="32">
        <f t="shared" si="4108"/>
        <v>1</v>
      </c>
      <c r="BB164" s="32">
        <f t="shared" si="4108"/>
        <v>1</v>
      </c>
      <c r="BC164" s="32">
        <f t="shared" si="4108"/>
        <v>0.5</v>
      </c>
      <c r="BD164" s="32">
        <f t="shared" si="4108"/>
        <v>0.5</v>
      </c>
      <c r="BE164" s="32">
        <f t="shared" si="4108"/>
        <v>0.5</v>
      </c>
      <c r="BF164" s="32">
        <f t="shared" si="4108"/>
        <v>1</v>
      </c>
      <c r="BG164" s="32">
        <f t="shared" si="4108"/>
        <v>1</v>
      </c>
      <c r="BH164" s="32">
        <f t="shared" si="4108"/>
        <v>0.5</v>
      </c>
      <c r="BI164" s="32">
        <f t="shared" si="4108"/>
        <v>0.5</v>
      </c>
      <c r="BJ164" s="32">
        <f t="shared" si="4108"/>
        <v>0.5</v>
      </c>
      <c r="BK164" s="32">
        <f t="shared" si="4108"/>
        <v>1</v>
      </c>
      <c r="BL164" s="32">
        <f t="shared" si="4108"/>
        <v>1</v>
      </c>
      <c r="BM164" s="32">
        <f t="shared" si="4108"/>
        <v>2</v>
      </c>
      <c r="BN164" s="32">
        <f t="shared" si="4108"/>
        <v>2</v>
      </c>
      <c r="BO164" s="32">
        <f t="shared" si="4108"/>
        <v>2</v>
      </c>
      <c r="BP164" s="32">
        <f t="shared" si="4108"/>
        <v>2.5</v>
      </c>
      <c r="BQ164" s="32">
        <f t="shared" si="4108"/>
        <v>2.5</v>
      </c>
      <c r="BR164" s="32">
        <f t="shared" si="4108"/>
        <v>2</v>
      </c>
      <c r="BS164" s="32">
        <f t="shared" si="4108"/>
        <v>2</v>
      </c>
      <c r="BT164" s="32">
        <f t="shared" si="4108"/>
        <v>2</v>
      </c>
      <c r="BU164" s="32">
        <f t="shared" si="4108"/>
        <v>2.5</v>
      </c>
      <c r="BV164" s="32">
        <f t="shared" si="4108"/>
        <v>3</v>
      </c>
      <c r="BW164" s="32">
        <f t="shared" si="4108"/>
        <v>1</v>
      </c>
      <c r="BX164" s="32">
        <f t="shared" si="4108"/>
        <v>1</v>
      </c>
      <c r="BY164" s="32">
        <f t="shared" si="4108"/>
        <v>1</v>
      </c>
      <c r="BZ164" s="32">
        <f t="shared" si="4108"/>
        <v>1.5</v>
      </c>
      <c r="CA164" s="32" t="str">
        <f t="shared" si="4108"/>
        <v/>
      </c>
      <c r="CB164" s="32" t="str">
        <f t="shared" si="4108"/>
        <v/>
      </c>
      <c r="CC164" s="32" t="str">
        <f t="shared" si="4108"/>
        <v/>
      </c>
      <c r="CD164" s="32" t="str">
        <f t="shared" si="4108"/>
        <v/>
      </c>
      <c r="CE164" s="32" t="str">
        <f t="shared" si="4108"/>
        <v/>
      </c>
      <c r="CF164" s="32" t="str">
        <f t="shared" si="4108"/>
        <v/>
      </c>
      <c r="CG164" s="32" t="str">
        <f t="shared" ref="CG164" si="4109">IF(SUBTOTAL(9,CG166:CG170,CG172:CG176,CG178:CG182,CG184:CG188,CG190:CG194)&gt;0,SUBTOTAL(9,CG166:CG170,CG172:CG176,CG178:CG182,CG184:CG188,CG190:CG194),"")</f>
        <v/>
      </c>
      <c r="CH164" s="32" t="str">
        <f t="shared" si="4108"/>
        <v/>
      </c>
      <c r="CI164" s="32" t="str">
        <f t="shared" si="4108"/>
        <v/>
      </c>
      <c r="CJ164" s="32" t="str">
        <f t="shared" si="4108"/>
        <v/>
      </c>
      <c r="CK164" s="32" t="str">
        <f t="shared" si="4108"/>
        <v/>
      </c>
      <c r="CL164" s="32" t="str">
        <f t="shared" si="4108"/>
        <v/>
      </c>
      <c r="CM164" s="32" t="str">
        <f t="shared" si="4108"/>
        <v/>
      </c>
      <c r="CN164" s="32" t="str">
        <f t="shared" si="4108"/>
        <v/>
      </c>
      <c r="CO164" s="32" t="str">
        <f t="shared" si="4108"/>
        <v/>
      </c>
      <c r="CP164" s="32" t="str">
        <f t="shared" si="4108"/>
        <v/>
      </c>
      <c r="CQ164" s="32" t="str">
        <f t="shared" si="4108"/>
        <v/>
      </c>
      <c r="CR164" s="32" t="str">
        <f t="shared" si="4108"/>
        <v/>
      </c>
      <c r="CS164" s="32" t="str">
        <f t="shared" si="4108"/>
        <v/>
      </c>
      <c r="CT164" s="33" t="str">
        <f t="shared" si="4108"/>
        <v/>
      </c>
      <c r="CU164" s="32" t="str">
        <f t="shared" si="4108"/>
        <v/>
      </c>
      <c r="CV164" s="32" t="str">
        <f t="shared" si="4108"/>
        <v/>
      </c>
      <c r="CW164" s="32" t="str">
        <f t="shared" si="4108"/>
        <v/>
      </c>
      <c r="CX164" s="32" t="str">
        <f t="shared" si="4108"/>
        <v/>
      </c>
      <c r="CY164" s="32" t="str">
        <f t="shared" ref="CY164:FJ164" si="4110">IF(SUBTOTAL(9,CY166:CY170,CY172:CY176,CY178:CY182,CY184:CY188,CY190:CY194)&gt;0,SUBTOTAL(9,CY166:CY170,CY172:CY176,CY178:CY182,CY184:CY188,CY190:CY194),"")</f>
        <v/>
      </c>
      <c r="CZ164" s="33" t="str">
        <f t="shared" si="4110"/>
        <v/>
      </c>
      <c r="DA164" s="33" t="str">
        <f t="shared" si="4110"/>
        <v/>
      </c>
      <c r="DB164" s="32" t="str">
        <f t="shared" si="4110"/>
        <v/>
      </c>
      <c r="DC164" s="32" t="str">
        <f t="shared" si="4110"/>
        <v/>
      </c>
      <c r="DD164" s="32" t="str">
        <f t="shared" si="4110"/>
        <v/>
      </c>
      <c r="DE164" s="32" t="str">
        <f t="shared" si="4110"/>
        <v/>
      </c>
      <c r="DF164" s="32" t="str">
        <f t="shared" si="4110"/>
        <v/>
      </c>
      <c r="DG164" s="32" t="str">
        <f t="shared" si="4110"/>
        <v/>
      </c>
      <c r="DH164" s="32" t="str">
        <f t="shared" si="4110"/>
        <v/>
      </c>
      <c r="DI164" s="32" t="str">
        <f t="shared" si="4110"/>
        <v/>
      </c>
      <c r="DJ164" s="32" t="str">
        <f t="shared" si="4110"/>
        <v/>
      </c>
      <c r="DK164" s="32" t="str">
        <f t="shared" si="4110"/>
        <v/>
      </c>
      <c r="DL164" s="32" t="str">
        <f t="shared" si="4110"/>
        <v/>
      </c>
      <c r="DM164" s="32" t="str">
        <f t="shared" si="4110"/>
        <v/>
      </c>
      <c r="DN164" s="32" t="str">
        <f t="shared" si="4110"/>
        <v/>
      </c>
      <c r="DO164" s="32" t="str">
        <f t="shared" si="4110"/>
        <v/>
      </c>
      <c r="DP164" s="32" t="str">
        <f t="shared" si="4110"/>
        <v/>
      </c>
      <c r="DQ164" s="32" t="str">
        <f t="shared" si="4110"/>
        <v/>
      </c>
      <c r="DR164" s="32" t="str">
        <f t="shared" si="4110"/>
        <v/>
      </c>
      <c r="DS164" s="32" t="str">
        <f t="shared" si="4110"/>
        <v/>
      </c>
      <c r="DT164" s="32" t="str">
        <f t="shared" si="4110"/>
        <v/>
      </c>
      <c r="DU164" s="32" t="str">
        <f t="shared" si="4110"/>
        <v/>
      </c>
      <c r="DV164" s="32" t="str">
        <f t="shared" si="4110"/>
        <v/>
      </c>
      <c r="DW164" s="32" t="str">
        <f t="shared" si="4110"/>
        <v/>
      </c>
      <c r="DX164" s="32" t="str">
        <f t="shared" si="4110"/>
        <v/>
      </c>
      <c r="DY164" s="32" t="str">
        <f t="shared" si="4110"/>
        <v/>
      </c>
      <c r="DZ164" s="33" t="str">
        <f t="shared" si="4110"/>
        <v/>
      </c>
      <c r="EA164" s="32" t="str">
        <f t="shared" si="4110"/>
        <v/>
      </c>
      <c r="EB164" s="32" t="str">
        <f t="shared" si="4110"/>
        <v/>
      </c>
      <c r="EC164" s="32" t="str">
        <f t="shared" si="4110"/>
        <v/>
      </c>
      <c r="ED164" s="32" t="str">
        <f t="shared" si="4110"/>
        <v/>
      </c>
      <c r="EE164" s="32" t="str">
        <f t="shared" si="4110"/>
        <v/>
      </c>
      <c r="EF164" s="32" t="str">
        <f t="shared" si="4110"/>
        <v/>
      </c>
      <c r="EG164" s="32" t="str">
        <f t="shared" si="4110"/>
        <v/>
      </c>
      <c r="EH164" s="32" t="str">
        <f t="shared" si="4110"/>
        <v/>
      </c>
      <c r="EI164" s="32" t="str">
        <f t="shared" si="4110"/>
        <v/>
      </c>
      <c r="EJ164" s="32" t="str">
        <f t="shared" si="4110"/>
        <v/>
      </c>
      <c r="EK164" s="32" t="str">
        <f t="shared" si="4110"/>
        <v/>
      </c>
      <c r="EL164" s="32" t="str">
        <f t="shared" si="4110"/>
        <v/>
      </c>
      <c r="EM164" s="32" t="str">
        <f t="shared" si="4110"/>
        <v/>
      </c>
      <c r="EN164" s="32" t="str">
        <f t="shared" si="4110"/>
        <v/>
      </c>
      <c r="EO164" s="32" t="str">
        <f t="shared" si="4110"/>
        <v/>
      </c>
      <c r="EP164" s="32" t="str">
        <f t="shared" si="4110"/>
        <v/>
      </c>
      <c r="EQ164" s="32" t="str">
        <f t="shared" si="4110"/>
        <v/>
      </c>
      <c r="ER164" s="32" t="str">
        <f t="shared" si="4110"/>
        <v/>
      </c>
      <c r="ES164" s="32" t="str">
        <f t="shared" si="4110"/>
        <v/>
      </c>
      <c r="ET164" s="32" t="str">
        <f t="shared" si="4110"/>
        <v/>
      </c>
      <c r="EU164" s="32" t="str">
        <f t="shared" si="4110"/>
        <v/>
      </c>
      <c r="EV164" s="32" t="str">
        <f t="shared" si="4110"/>
        <v/>
      </c>
      <c r="EW164" s="32" t="str">
        <f t="shared" si="4110"/>
        <v/>
      </c>
      <c r="EX164" s="32" t="str">
        <f t="shared" si="4110"/>
        <v/>
      </c>
      <c r="EY164" s="33" t="str">
        <f t="shared" si="4110"/>
        <v/>
      </c>
      <c r="EZ164" s="32" t="str">
        <f t="shared" si="4110"/>
        <v/>
      </c>
      <c r="FA164" s="32" t="str">
        <f t="shared" si="4110"/>
        <v/>
      </c>
      <c r="FB164" s="32" t="str">
        <f t="shared" si="4110"/>
        <v/>
      </c>
      <c r="FC164" s="32" t="str">
        <f t="shared" si="4110"/>
        <v/>
      </c>
      <c r="FD164" s="32" t="str">
        <f t="shared" si="4110"/>
        <v/>
      </c>
      <c r="FE164" s="32" t="str">
        <f t="shared" si="4110"/>
        <v/>
      </c>
      <c r="FF164" s="32" t="str">
        <f t="shared" si="4110"/>
        <v/>
      </c>
      <c r="FG164" s="32" t="str">
        <f t="shared" si="4110"/>
        <v/>
      </c>
      <c r="FH164" s="32" t="str">
        <f t="shared" si="4110"/>
        <v/>
      </c>
      <c r="FI164" s="32" t="str">
        <f t="shared" si="4110"/>
        <v/>
      </c>
      <c r="FJ164" s="32" t="str">
        <f t="shared" si="4110"/>
        <v/>
      </c>
      <c r="FK164" s="32" t="str">
        <f t="shared" ref="FK164:FQ164" si="4111">IF(SUBTOTAL(9,FK166:FK170,FK172:FK176,FK178:FK182,FK184:FK188,FK190:FK194)&gt;0,SUBTOTAL(9,FK166:FK170,FK172:FK176,FK178:FK182,FK184:FK188,FK190:FK194),"")</f>
        <v/>
      </c>
      <c r="FL164" s="32" t="str">
        <f t="shared" si="4111"/>
        <v/>
      </c>
      <c r="FM164" s="32" t="str">
        <f t="shared" si="4111"/>
        <v/>
      </c>
      <c r="FN164" s="32" t="str">
        <f t="shared" si="4111"/>
        <v/>
      </c>
      <c r="FO164" s="32" t="str">
        <f t="shared" si="4111"/>
        <v/>
      </c>
      <c r="FP164" s="32" t="str">
        <f t="shared" si="4111"/>
        <v/>
      </c>
      <c r="FQ164" s="90" t="str">
        <f t="shared" si="4111"/>
        <v/>
      </c>
      <c r="FR164" s="8"/>
      <c r="FS164" s="9" t="s">
        <v>131</v>
      </c>
      <c r="FT164" s="9" t="str">
        <f t="shared" si="3664"/>
        <v/>
      </c>
    </row>
    <row r="165" spans="1:176" s="9" customFormat="1" ht="12" customHeight="1">
      <c r="A165" s="119" t="s">
        <v>84</v>
      </c>
      <c r="B165" s="127"/>
      <c r="C165" s="121" t="str">
        <f t="shared" si="3515"/>
        <v>22 days</v>
      </c>
      <c r="D165" s="27"/>
      <c r="E165" s="91" t="str">
        <f t="shared" ref="E165" si="4112">IF(SUBTOTAL(9,E166:E170)&gt;0,SUBTOTAL(9,E166:E170),"")</f>
        <v/>
      </c>
      <c r="F165" s="34" t="str">
        <f t="shared" ref="F165" si="4113">IF(SUBTOTAL(9,F166:F170)&gt;0,SUBTOTAL(9,F166:F170),"")</f>
        <v/>
      </c>
      <c r="G165" s="34" t="str">
        <f t="shared" ref="G165" si="4114">IF(SUBTOTAL(9,G166:G170)&gt;0,SUBTOTAL(9,G166:G170),"")</f>
        <v/>
      </c>
      <c r="H165" s="34" t="str">
        <f t="shared" ref="H165" si="4115">IF(SUBTOTAL(9,H166:H170)&gt;0,SUBTOTAL(9,H166:H170),"")</f>
        <v/>
      </c>
      <c r="I165" s="34" t="str">
        <f t="shared" ref="I165" si="4116">IF(SUBTOTAL(9,I166:I170)&gt;0,SUBTOTAL(9,I166:I170),"")</f>
        <v/>
      </c>
      <c r="J165" s="34" t="str">
        <f t="shared" ref="J165" si="4117">IF(SUBTOTAL(9,J166:J170)&gt;0,SUBTOTAL(9,J166:J170),"")</f>
        <v/>
      </c>
      <c r="K165" s="34" t="str">
        <f t="shared" ref="K165" si="4118">IF(SUBTOTAL(9,K166:K170)&gt;0,SUBTOTAL(9,K166:K170),"")</f>
        <v/>
      </c>
      <c r="L165" s="34" t="str">
        <f t="shared" ref="L165" si="4119">IF(SUBTOTAL(9,L166:L170)&gt;0,SUBTOTAL(9,L166:L170),"")</f>
        <v/>
      </c>
      <c r="M165" s="34" t="str">
        <f t="shared" ref="M165" si="4120">IF(SUBTOTAL(9,M166:M170)&gt;0,SUBTOTAL(9,M166:M170),"")</f>
        <v/>
      </c>
      <c r="N165" s="34" t="str">
        <f t="shared" ref="N165" si="4121">IF(SUBTOTAL(9,N166:N170)&gt;0,SUBTOTAL(9,N166:N170),"")</f>
        <v/>
      </c>
      <c r="O165" s="34" t="str">
        <f t="shared" ref="O165" si="4122">IF(SUBTOTAL(9,O166:O170)&gt;0,SUBTOTAL(9,O166:O170),"")</f>
        <v/>
      </c>
      <c r="P165" s="34" t="str">
        <f t="shared" ref="P165" si="4123">IF(SUBTOTAL(9,P166:P170)&gt;0,SUBTOTAL(9,P166:P170),"")</f>
        <v/>
      </c>
      <c r="Q165" s="34" t="str">
        <f t="shared" ref="Q165" si="4124">IF(SUBTOTAL(9,Q166:Q170)&gt;0,SUBTOTAL(9,Q166:Q170),"")</f>
        <v/>
      </c>
      <c r="R165" s="34" t="str">
        <f t="shared" ref="R165" si="4125">IF(SUBTOTAL(9,R166:R170)&gt;0,SUBTOTAL(9,R166:R170),"")</f>
        <v/>
      </c>
      <c r="S165" s="34" t="str">
        <f t="shared" ref="S165" si="4126">IF(SUBTOTAL(9,S166:S170)&gt;0,SUBTOTAL(9,S166:S170),"")</f>
        <v/>
      </c>
      <c r="T165" s="34" t="str">
        <f t="shared" ref="T165" si="4127">IF(SUBTOTAL(9,T166:T170)&gt;0,SUBTOTAL(9,T166:T170),"")</f>
        <v/>
      </c>
      <c r="U165" s="34" t="str">
        <f t="shared" ref="U165" si="4128">IF(SUBTOTAL(9,U166:U170)&gt;0,SUBTOTAL(9,U166:U170),"")</f>
        <v/>
      </c>
      <c r="V165" s="34" t="str">
        <f t="shared" ref="V165" si="4129">IF(SUBTOTAL(9,V166:V170)&gt;0,SUBTOTAL(9,V166:V170),"")</f>
        <v/>
      </c>
      <c r="W165" s="34" t="str">
        <f t="shared" ref="W165" si="4130">IF(SUBTOTAL(9,W166:W170)&gt;0,SUBTOTAL(9,W166:W170),"")</f>
        <v/>
      </c>
      <c r="X165" s="34" t="str">
        <f t="shared" ref="X165" si="4131">IF(SUBTOTAL(9,X166:X170)&gt;0,SUBTOTAL(9,X166:X170),"")</f>
        <v/>
      </c>
      <c r="Y165" s="34" t="str">
        <f t="shared" ref="Y165" si="4132">IF(SUBTOTAL(9,Y166:Y170)&gt;0,SUBTOTAL(9,Y166:Y170),"")</f>
        <v/>
      </c>
      <c r="Z165" s="34" t="str">
        <f t="shared" ref="Z165" si="4133">IF(SUBTOTAL(9,Z166:Z170)&gt;0,SUBTOTAL(9,Z166:Z170),"")</f>
        <v/>
      </c>
      <c r="AA165" s="34" t="str">
        <f t="shared" ref="AA165" si="4134">IF(SUBTOTAL(9,AA166:AA170)&gt;0,SUBTOTAL(9,AA166:AA170),"")</f>
        <v/>
      </c>
      <c r="AB165" s="34" t="str">
        <f t="shared" ref="AB165" si="4135">IF(SUBTOTAL(9,AB166:AB170)&gt;0,SUBTOTAL(9,AB166:AB170),"")</f>
        <v/>
      </c>
      <c r="AC165" s="34" t="str">
        <f t="shared" ref="AC165" si="4136">IF(SUBTOTAL(9,AC166:AC170)&gt;0,SUBTOTAL(9,AC166:AC170),"")</f>
        <v/>
      </c>
      <c r="AD165" s="34" t="str">
        <f t="shared" ref="AD165" si="4137">IF(SUBTOTAL(9,AD166:AD170)&gt;0,SUBTOTAL(9,AD166:AD170),"")</f>
        <v/>
      </c>
      <c r="AE165" s="34" t="str">
        <f t="shared" ref="AE165" si="4138">IF(SUBTOTAL(9,AE166:AE170)&gt;0,SUBTOTAL(9,AE166:AE170),"")</f>
        <v/>
      </c>
      <c r="AF165" s="34" t="str">
        <f t="shared" ref="AF165" si="4139">IF(SUBTOTAL(9,AF166:AF170)&gt;0,SUBTOTAL(9,AF166:AF170),"")</f>
        <v/>
      </c>
      <c r="AG165" s="34" t="str">
        <f t="shared" ref="AG165" si="4140">IF(SUBTOTAL(9,AG166:AG170)&gt;0,SUBTOTAL(9,AG166:AG170),"")</f>
        <v/>
      </c>
      <c r="AH165" s="34" t="str">
        <f t="shared" ref="AH165" si="4141">IF(SUBTOTAL(9,AH166:AH170)&gt;0,SUBTOTAL(9,AH166:AH170),"")</f>
        <v/>
      </c>
      <c r="AI165" s="34" t="str">
        <f t="shared" ref="AI165" si="4142">IF(SUBTOTAL(9,AI166:AI170)&gt;0,SUBTOTAL(9,AI166:AI170),"")</f>
        <v/>
      </c>
      <c r="AJ165" s="34" t="str">
        <f t="shared" ref="AJ165" si="4143">IF(SUBTOTAL(9,AJ166:AJ170)&gt;0,SUBTOTAL(9,AJ166:AJ170),"")</f>
        <v/>
      </c>
      <c r="AK165" s="34" t="str">
        <f t="shared" ref="AK165" si="4144">IF(SUBTOTAL(9,AK166:AK170)&gt;0,SUBTOTAL(9,AK166:AK170),"")</f>
        <v/>
      </c>
      <c r="AL165" s="33" t="str">
        <f t="shared" ref="AL165" si="4145">IF(SUBTOTAL(9,AL166:AL170)&gt;0,SUBTOTAL(9,AL166:AL170),"")</f>
        <v/>
      </c>
      <c r="AM165" s="33" t="str">
        <f t="shared" ref="AM165" si="4146">IF(SUBTOTAL(9,AM166:AM170)&gt;0,SUBTOTAL(9,AM166:AM170),"")</f>
        <v/>
      </c>
      <c r="AN165" s="33" t="str">
        <f t="shared" ref="AN165" si="4147">IF(SUBTOTAL(9,AN166:AN170)&gt;0,SUBTOTAL(9,AN166:AN170),"")</f>
        <v/>
      </c>
      <c r="AO165" s="33" t="str">
        <f t="shared" ref="AO165" si="4148">IF(SUBTOTAL(9,AO166:AO170)&gt;0,SUBTOTAL(9,AO166:AO170),"")</f>
        <v/>
      </c>
      <c r="AP165" s="33" t="str">
        <f t="shared" ref="AP165" si="4149">IF(SUBTOTAL(9,AP166:AP170)&gt;0,SUBTOTAL(9,AP166:AP170),"")</f>
        <v/>
      </c>
      <c r="AQ165" s="33" t="str">
        <f t="shared" ref="AQ165" si="4150">IF(SUBTOTAL(9,AQ166:AQ170)&gt;0,SUBTOTAL(9,AQ166:AQ170),"")</f>
        <v/>
      </c>
      <c r="AR165" s="33" t="str">
        <f t="shared" ref="AR165" si="4151">IF(SUBTOTAL(9,AR166:AR170)&gt;0,SUBTOTAL(9,AR166:AR170),"")</f>
        <v/>
      </c>
      <c r="AS165" s="34" t="str">
        <f t="shared" ref="AS165" si="4152">IF(SUBTOTAL(9,AS166:AS170)&gt;0,SUBTOTAL(9,AS166:AS170),"")</f>
        <v/>
      </c>
      <c r="AT165" s="34" t="str">
        <f t="shared" ref="AT165" si="4153">IF(SUBTOTAL(9,AT166:AT170)&gt;0,SUBTOTAL(9,AT166:AT170),"")</f>
        <v/>
      </c>
      <c r="AU165" s="34" t="str">
        <f t="shared" ref="AU165" si="4154">IF(SUBTOTAL(9,AU166:AU170)&gt;0,SUBTOTAL(9,AU166:AU170),"")</f>
        <v/>
      </c>
      <c r="AV165" s="34" t="str">
        <f t="shared" ref="AV165" si="4155">IF(SUBTOTAL(9,AV166:AV170)&gt;0,SUBTOTAL(9,AV166:AV170),"")</f>
        <v/>
      </c>
      <c r="AW165" s="34" t="str">
        <f t="shared" ref="AW165" si="4156">IF(SUBTOTAL(9,AW166:AW170)&gt;0,SUBTOTAL(9,AW166:AW170),"")</f>
        <v/>
      </c>
      <c r="AX165" s="34" t="str">
        <f t="shared" ref="AX165" si="4157">IF(SUBTOTAL(9,AX166:AX170)&gt;0,SUBTOTAL(9,AX166:AX170),"")</f>
        <v/>
      </c>
      <c r="AY165" s="34">
        <f t="shared" ref="AY165" si="4158">IF(SUBTOTAL(9,AY166:AY170)&gt;0,SUBTOTAL(9,AY166:AY170),"")</f>
        <v>0.5</v>
      </c>
      <c r="AZ165" s="34">
        <f t="shared" ref="AZ165" si="4159">IF(SUBTOTAL(9,AZ166:AZ170)&gt;0,SUBTOTAL(9,AZ166:AZ170),"")</f>
        <v>0.5</v>
      </c>
      <c r="BA165" s="34">
        <f t="shared" ref="BA165" si="4160">IF(SUBTOTAL(9,BA166:BA170)&gt;0,SUBTOTAL(9,BA166:BA170),"")</f>
        <v>0.5</v>
      </c>
      <c r="BB165" s="34">
        <f t="shared" ref="BB165" si="4161">IF(SUBTOTAL(9,BB166:BB170)&gt;0,SUBTOTAL(9,BB166:BB170),"")</f>
        <v>0.5</v>
      </c>
      <c r="BC165" s="34">
        <f t="shared" ref="BC165" si="4162">IF(SUBTOTAL(9,BC166:BC170)&gt;0,SUBTOTAL(9,BC166:BC170),"")</f>
        <v>0.5</v>
      </c>
      <c r="BD165" s="34">
        <f t="shared" ref="BD165" si="4163">IF(SUBTOTAL(9,BD166:BD170)&gt;0,SUBTOTAL(9,BD166:BD170),"")</f>
        <v>0.5</v>
      </c>
      <c r="BE165" s="34">
        <f t="shared" ref="BE165" si="4164">IF(SUBTOTAL(9,BE166:BE170)&gt;0,SUBTOTAL(9,BE166:BE170),"")</f>
        <v>0.5</v>
      </c>
      <c r="BF165" s="34">
        <f t="shared" ref="BF165" si="4165">IF(SUBTOTAL(9,BF166:BF170)&gt;0,SUBTOTAL(9,BF166:BF170),"")</f>
        <v>0.5</v>
      </c>
      <c r="BG165" s="34">
        <f t="shared" ref="BG165" si="4166">IF(SUBTOTAL(9,BG166:BG170)&gt;0,SUBTOTAL(9,BG166:BG170),"")</f>
        <v>0.5</v>
      </c>
      <c r="BH165" s="34">
        <f t="shared" ref="BH165" si="4167">IF(SUBTOTAL(9,BH166:BH170)&gt;0,SUBTOTAL(9,BH166:BH170),"")</f>
        <v>0.5</v>
      </c>
      <c r="BI165" s="34">
        <f t="shared" ref="BI165" si="4168">IF(SUBTOTAL(9,BI166:BI170)&gt;0,SUBTOTAL(9,BI166:BI170),"")</f>
        <v>0.5</v>
      </c>
      <c r="BJ165" s="34">
        <f t="shared" ref="BJ165" si="4169">IF(SUBTOTAL(9,BJ166:BJ170)&gt;0,SUBTOTAL(9,BJ166:BJ170),"")</f>
        <v>0.5</v>
      </c>
      <c r="BK165" s="34">
        <f t="shared" ref="BK165" si="4170">IF(SUBTOTAL(9,BK166:BK170)&gt;0,SUBTOTAL(9,BK166:BK170),"")</f>
        <v>0.5</v>
      </c>
      <c r="BL165" s="34">
        <f t="shared" ref="BL165" si="4171">IF(SUBTOTAL(9,BL166:BL170)&gt;0,SUBTOTAL(9,BL166:BL170),"")</f>
        <v>0.5</v>
      </c>
      <c r="BM165" s="34">
        <f t="shared" ref="BM165" si="4172">IF(SUBTOTAL(9,BM166:BM170)&gt;0,SUBTOTAL(9,BM166:BM170),"")</f>
        <v>1.5</v>
      </c>
      <c r="BN165" s="34">
        <f t="shared" ref="BN165" si="4173">IF(SUBTOTAL(9,BN166:BN170)&gt;0,SUBTOTAL(9,BN166:BN170),"")</f>
        <v>1.5</v>
      </c>
      <c r="BO165" s="34">
        <f t="shared" ref="BO165" si="4174">IF(SUBTOTAL(9,BO166:BO170)&gt;0,SUBTOTAL(9,BO166:BO170),"")</f>
        <v>1.5</v>
      </c>
      <c r="BP165" s="34">
        <f t="shared" ref="BP165" si="4175">IF(SUBTOTAL(9,BP166:BP170)&gt;0,SUBTOTAL(9,BP166:BP170),"")</f>
        <v>1.5</v>
      </c>
      <c r="BQ165" s="34">
        <f t="shared" ref="BQ165" si="4176">IF(SUBTOTAL(9,BQ166:BQ170)&gt;0,SUBTOTAL(9,BQ166:BQ170),"")</f>
        <v>1.5</v>
      </c>
      <c r="BR165" s="34">
        <f t="shared" ref="BR165" si="4177">IF(SUBTOTAL(9,BR166:BR170)&gt;0,SUBTOTAL(9,BR166:BR170),"")</f>
        <v>1.5</v>
      </c>
      <c r="BS165" s="34">
        <f t="shared" ref="BS165" si="4178">IF(SUBTOTAL(9,BS166:BS170)&gt;0,SUBTOTAL(9,BS166:BS170),"")</f>
        <v>1.5</v>
      </c>
      <c r="BT165" s="34">
        <f t="shared" ref="BT165" si="4179">IF(SUBTOTAL(9,BT166:BT170)&gt;0,SUBTOTAL(9,BT166:BT170),"")</f>
        <v>1.5</v>
      </c>
      <c r="BU165" s="34">
        <f t="shared" ref="BU165" si="4180">IF(SUBTOTAL(9,BU166:BU170)&gt;0,SUBTOTAL(9,BU166:BU170),"")</f>
        <v>1.5</v>
      </c>
      <c r="BV165" s="34">
        <f t="shared" ref="BV165" si="4181">IF(SUBTOTAL(9,BV166:BV170)&gt;0,SUBTOTAL(9,BV166:BV170),"")</f>
        <v>1.5</v>
      </c>
      <c r="BW165" s="34" t="str">
        <f t="shared" ref="BW165" si="4182">IF(SUBTOTAL(9,BW166:BW170)&gt;0,SUBTOTAL(9,BW166:BW170),"")</f>
        <v/>
      </c>
      <c r="BX165" s="34" t="str">
        <f t="shared" ref="BX165" si="4183">IF(SUBTOTAL(9,BX166:BX170)&gt;0,SUBTOTAL(9,BX166:BX170),"")</f>
        <v/>
      </c>
      <c r="BY165" s="34" t="str">
        <f t="shared" ref="BY165" si="4184">IF(SUBTOTAL(9,BY166:BY170)&gt;0,SUBTOTAL(9,BY166:BY170),"")</f>
        <v/>
      </c>
      <c r="BZ165" s="34" t="str">
        <f t="shared" ref="BZ165" si="4185">IF(SUBTOTAL(9,BZ166:BZ170)&gt;0,SUBTOTAL(9,BZ166:BZ170),"")</f>
        <v/>
      </c>
      <c r="CA165" s="34" t="str">
        <f t="shared" ref="CA165" si="4186">IF(SUBTOTAL(9,CA166:CA170)&gt;0,SUBTOTAL(9,CA166:CA170),"")</f>
        <v/>
      </c>
      <c r="CB165" s="34" t="str">
        <f t="shared" ref="CB165" si="4187">IF(SUBTOTAL(9,CB166:CB170)&gt;0,SUBTOTAL(9,CB166:CB170),"")</f>
        <v/>
      </c>
      <c r="CC165" s="34" t="str">
        <f t="shared" ref="CC165" si="4188">IF(SUBTOTAL(9,CC166:CC170)&gt;0,SUBTOTAL(9,CC166:CC170),"")</f>
        <v/>
      </c>
      <c r="CD165" s="34" t="str">
        <f t="shared" ref="CD165" si="4189">IF(SUBTOTAL(9,CD166:CD170)&gt;0,SUBTOTAL(9,CD166:CD170),"")</f>
        <v/>
      </c>
      <c r="CE165" s="34" t="str">
        <f t="shared" ref="CE165" si="4190">IF(SUBTOTAL(9,CE166:CE170)&gt;0,SUBTOTAL(9,CE166:CE170),"")</f>
        <v/>
      </c>
      <c r="CF165" s="34" t="str">
        <f t="shared" ref="CF165:CG165" si="4191">IF(SUBTOTAL(9,CF166:CF170)&gt;0,SUBTOTAL(9,CF166:CF170),"")</f>
        <v/>
      </c>
      <c r="CG165" s="34" t="str">
        <f t="shared" si="4191"/>
        <v/>
      </c>
      <c r="CH165" s="34" t="str">
        <f t="shared" ref="CH165" si="4192">IF(SUBTOTAL(9,CH166:CH170)&gt;0,SUBTOTAL(9,CH166:CH170),"")</f>
        <v/>
      </c>
      <c r="CI165" s="34" t="str">
        <f t="shared" ref="CI165" si="4193">IF(SUBTOTAL(9,CI166:CI170)&gt;0,SUBTOTAL(9,CI166:CI170),"")</f>
        <v/>
      </c>
      <c r="CJ165" s="34" t="str">
        <f t="shared" ref="CJ165" si="4194">IF(SUBTOTAL(9,CJ166:CJ170)&gt;0,SUBTOTAL(9,CJ166:CJ170),"")</f>
        <v/>
      </c>
      <c r="CK165" s="34" t="str">
        <f t="shared" ref="CK165" si="4195">IF(SUBTOTAL(9,CK166:CK170)&gt;0,SUBTOTAL(9,CK166:CK170),"")</f>
        <v/>
      </c>
      <c r="CL165" s="34" t="str">
        <f t="shared" ref="CL165" si="4196">IF(SUBTOTAL(9,CL166:CL170)&gt;0,SUBTOTAL(9,CL166:CL170),"")</f>
        <v/>
      </c>
      <c r="CM165" s="34" t="str">
        <f t="shared" ref="CM165" si="4197">IF(SUBTOTAL(9,CM166:CM170)&gt;0,SUBTOTAL(9,CM166:CM170),"")</f>
        <v/>
      </c>
      <c r="CN165" s="34" t="str">
        <f t="shared" ref="CN165" si="4198">IF(SUBTOTAL(9,CN166:CN170)&gt;0,SUBTOTAL(9,CN166:CN170),"")</f>
        <v/>
      </c>
      <c r="CO165" s="34" t="str">
        <f t="shared" ref="CO165" si="4199">IF(SUBTOTAL(9,CO166:CO170)&gt;0,SUBTOTAL(9,CO166:CO170),"")</f>
        <v/>
      </c>
      <c r="CP165" s="34" t="str">
        <f t="shared" ref="CP165" si="4200">IF(SUBTOTAL(9,CP166:CP170)&gt;0,SUBTOTAL(9,CP166:CP170),"")</f>
        <v/>
      </c>
      <c r="CQ165" s="34" t="str">
        <f t="shared" ref="CQ165" si="4201">IF(SUBTOTAL(9,CQ166:CQ170)&gt;0,SUBTOTAL(9,CQ166:CQ170),"")</f>
        <v/>
      </c>
      <c r="CR165" s="34" t="str">
        <f t="shared" ref="CR165" si="4202">IF(SUBTOTAL(9,CR166:CR170)&gt;0,SUBTOTAL(9,CR166:CR170),"")</f>
        <v/>
      </c>
      <c r="CS165" s="34" t="str">
        <f t="shared" ref="CS165" si="4203">IF(SUBTOTAL(9,CS166:CS170)&gt;0,SUBTOTAL(9,CS166:CS170),"")</f>
        <v/>
      </c>
      <c r="CT165" s="33" t="str">
        <f t="shared" ref="CT165" si="4204">IF(SUBTOTAL(9,CT166:CT170)&gt;0,SUBTOTAL(9,CT166:CT170),"")</f>
        <v/>
      </c>
      <c r="CU165" s="34" t="str">
        <f t="shared" ref="CU165" si="4205">IF(SUBTOTAL(9,CU166:CU170)&gt;0,SUBTOTAL(9,CU166:CU170),"")</f>
        <v/>
      </c>
      <c r="CV165" s="34" t="str">
        <f t="shared" ref="CV165" si="4206">IF(SUBTOTAL(9,CV166:CV170)&gt;0,SUBTOTAL(9,CV166:CV170),"")</f>
        <v/>
      </c>
      <c r="CW165" s="34" t="str">
        <f t="shared" ref="CW165" si="4207">IF(SUBTOTAL(9,CW166:CW170)&gt;0,SUBTOTAL(9,CW166:CW170),"")</f>
        <v/>
      </c>
      <c r="CX165" s="34" t="str">
        <f t="shared" ref="CX165" si="4208">IF(SUBTOTAL(9,CX166:CX170)&gt;0,SUBTOTAL(9,CX166:CX170),"")</f>
        <v/>
      </c>
      <c r="CY165" s="34" t="str">
        <f t="shared" ref="CY165" si="4209">IF(SUBTOTAL(9,CY166:CY170)&gt;0,SUBTOTAL(9,CY166:CY170),"")</f>
        <v/>
      </c>
      <c r="CZ165" s="33" t="str">
        <f t="shared" ref="CZ165" si="4210">IF(SUBTOTAL(9,CZ166:CZ170)&gt;0,SUBTOTAL(9,CZ166:CZ170),"")</f>
        <v/>
      </c>
      <c r="DA165" s="33" t="str">
        <f t="shared" ref="DA165" si="4211">IF(SUBTOTAL(9,DA166:DA170)&gt;0,SUBTOTAL(9,DA166:DA170),"")</f>
        <v/>
      </c>
      <c r="DB165" s="34" t="str">
        <f t="shared" ref="DB165" si="4212">IF(SUBTOTAL(9,DB166:DB170)&gt;0,SUBTOTAL(9,DB166:DB170),"")</f>
        <v/>
      </c>
      <c r="DC165" s="34" t="str">
        <f t="shared" ref="DC165" si="4213">IF(SUBTOTAL(9,DC166:DC170)&gt;0,SUBTOTAL(9,DC166:DC170),"")</f>
        <v/>
      </c>
      <c r="DD165" s="34" t="str">
        <f t="shared" ref="DD165" si="4214">IF(SUBTOTAL(9,DD166:DD170)&gt;0,SUBTOTAL(9,DD166:DD170),"")</f>
        <v/>
      </c>
      <c r="DE165" s="34" t="str">
        <f t="shared" ref="DE165" si="4215">IF(SUBTOTAL(9,DE166:DE170)&gt;0,SUBTOTAL(9,DE166:DE170),"")</f>
        <v/>
      </c>
      <c r="DF165" s="34" t="str">
        <f t="shared" ref="DF165" si="4216">IF(SUBTOTAL(9,DF166:DF170)&gt;0,SUBTOTAL(9,DF166:DF170),"")</f>
        <v/>
      </c>
      <c r="DG165" s="34" t="str">
        <f t="shared" ref="DG165" si="4217">IF(SUBTOTAL(9,DG166:DG170)&gt;0,SUBTOTAL(9,DG166:DG170),"")</f>
        <v/>
      </c>
      <c r="DH165" s="34" t="str">
        <f t="shared" ref="DH165" si="4218">IF(SUBTOTAL(9,DH166:DH170)&gt;0,SUBTOTAL(9,DH166:DH170),"")</f>
        <v/>
      </c>
      <c r="DI165" s="34" t="str">
        <f t="shared" ref="DI165" si="4219">IF(SUBTOTAL(9,DI166:DI170)&gt;0,SUBTOTAL(9,DI166:DI170),"")</f>
        <v/>
      </c>
      <c r="DJ165" s="34" t="str">
        <f t="shared" ref="DJ165" si="4220">IF(SUBTOTAL(9,DJ166:DJ170)&gt;0,SUBTOTAL(9,DJ166:DJ170),"")</f>
        <v/>
      </c>
      <c r="DK165" s="34" t="str">
        <f t="shared" ref="DK165" si="4221">IF(SUBTOTAL(9,DK166:DK170)&gt;0,SUBTOTAL(9,DK166:DK170),"")</f>
        <v/>
      </c>
      <c r="DL165" s="34" t="str">
        <f t="shared" ref="DL165" si="4222">IF(SUBTOTAL(9,DL166:DL170)&gt;0,SUBTOTAL(9,DL166:DL170),"")</f>
        <v/>
      </c>
      <c r="DM165" s="34" t="str">
        <f t="shared" ref="DM165" si="4223">IF(SUBTOTAL(9,DM166:DM170)&gt;0,SUBTOTAL(9,DM166:DM170),"")</f>
        <v/>
      </c>
      <c r="DN165" s="34" t="str">
        <f t="shared" ref="DN165" si="4224">IF(SUBTOTAL(9,DN166:DN170)&gt;0,SUBTOTAL(9,DN166:DN170),"")</f>
        <v/>
      </c>
      <c r="DO165" s="34" t="str">
        <f t="shared" ref="DO165" si="4225">IF(SUBTOTAL(9,DO166:DO170)&gt;0,SUBTOTAL(9,DO166:DO170),"")</f>
        <v/>
      </c>
      <c r="DP165" s="34" t="str">
        <f t="shared" ref="DP165" si="4226">IF(SUBTOTAL(9,DP166:DP170)&gt;0,SUBTOTAL(9,DP166:DP170),"")</f>
        <v/>
      </c>
      <c r="DQ165" s="34" t="str">
        <f t="shared" ref="DQ165" si="4227">IF(SUBTOTAL(9,DQ166:DQ170)&gt;0,SUBTOTAL(9,DQ166:DQ170),"")</f>
        <v/>
      </c>
      <c r="DR165" s="34" t="str">
        <f t="shared" ref="DR165" si="4228">IF(SUBTOTAL(9,DR166:DR170)&gt;0,SUBTOTAL(9,DR166:DR170),"")</f>
        <v/>
      </c>
      <c r="DS165" s="34" t="str">
        <f t="shared" ref="DS165" si="4229">IF(SUBTOTAL(9,DS166:DS170)&gt;0,SUBTOTAL(9,DS166:DS170),"")</f>
        <v/>
      </c>
      <c r="DT165" s="34" t="str">
        <f t="shared" ref="DT165" si="4230">IF(SUBTOTAL(9,DT166:DT170)&gt;0,SUBTOTAL(9,DT166:DT170),"")</f>
        <v/>
      </c>
      <c r="DU165" s="34" t="str">
        <f t="shared" ref="DU165" si="4231">IF(SUBTOTAL(9,DU166:DU170)&gt;0,SUBTOTAL(9,DU166:DU170),"")</f>
        <v/>
      </c>
      <c r="DV165" s="34" t="str">
        <f t="shared" ref="DV165" si="4232">IF(SUBTOTAL(9,DV166:DV170)&gt;0,SUBTOTAL(9,DV166:DV170),"")</f>
        <v/>
      </c>
      <c r="DW165" s="34" t="str">
        <f t="shared" ref="DW165" si="4233">IF(SUBTOTAL(9,DW166:DW170)&gt;0,SUBTOTAL(9,DW166:DW170),"")</f>
        <v/>
      </c>
      <c r="DX165" s="34" t="str">
        <f t="shared" ref="DX165" si="4234">IF(SUBTOTAL(9,DX166:DX170)&gt;0,SUBTOTAL(9,DX166:DX170),"")</f>
        <v/>
      </c>
      <c r="DY165" s="34" t="str">
        <f t="shared" ref="DY165" si="4235">IF(SUBTOTAL(9,DY166:DY170)&gt;0,SUBTOTAL(9,DY166:DY170),"")</f>
        <v/>
      </c>
      <c r="DZ165" s="33" t="str">
        <f t="shared" ref="DZ165" si="4236">IF(SUBTOTAL(9,DZ166:DZ170)&gt;0,SUBTOTAL(9,DZ166:DZ170),"")</f>
        <v/>
      </c>
      <c r="EA165" s="34" t="str">
        <f t="shared" ref="EA165" si="4237">IF(SUBTOTAL(9,EA166:EA170)&gt;0,SUBTOTAL(9,EA166:EA170),"")</f>
        <v/>
      </c>
      <c r="EB165" s="34" t="str">
        <f t="shared" ref="EB165" si="4238">IF(SUBTOTAL(9,EB166:EB170)&gt;0,SUBTOTAL(9,EB166:EB170),"")</f>
        <v/>
      </c>
      <c r="EC165" s="34" t="str">
        <f t="shared" ref="EC165" si="4239">IF(SUBTOTAL(9,EC166:EC170)&gt;0,SUBTOTAL(9,EC166:EC170),"")</f>
        <v/>
      </c>
      <c r="ED165" s="34" t="str">
        <f t="shared" ref="ED165" si="4240">IF(SUBTOTAL(9,ED166:ED170)&gt;0,SUBTOTAL(9,ED166:ED170),"")</f>
        <v/>
      </c>
      <c r="EE165" s="34" t="str">
        <f t="shared" ref="EE165" si="4241">IF(SUBTOTAL(9,EE166:EE170)&gt;0,SUBTOTAL(9,EE166:EE170),"")</f>
        <v/>
      </c>
      <c r="EF165" s="34" t="str">
        <f t="shared" ref="EF165" si="4242">IF(SUBTOTAL(9,EF166:EF170)&gt;0,SUBTOTAL(9,EF166:EF170),"")</f>
        <v/>
      </c>
      <c r="EG165" s="34" t="str">
        <f t="shared" ref="EG165" si="4243">IF(SUBTOTAL(9,EG166:EG170)&gt;0,SUBTOTAL(9,EG166:EG170),"")</f>
        <v/>
      </c>
      <c r="EH165" s="34" t="str">
        <f t="shared" ref="EH165" si="4244">IF(SUBTOTAL(9,EH166:EH170)&gt;0,SUBTOTAL(9,EH166:EH170),"")</f>
        <v/>
      </c>
      <c r="EI165" s="34" t="str">
        <f t="shared" ref="EI165" si="4245">IF(SUBTOTAL(9,EI166:EI170)&gt;0,SUBTOTAL(9,EI166:EI170),"")</f>
        <v/>
      </c>
      <c r="EJ165" s="34" t="str">
        <f t="shared" ref="EJ165" si="4246">IF(SUBTOTAL(9,EJ166:EJ170)&gt;0,SUBTOTAL(9,EJ166:EJ170),"")</f>
        <v/>
      </c>
      <c r="EK165" s="34" t="str">
        <f t="shared" ref="EK165" si="4247">IF(SUBTOTAL(9,EK166:EK170)&gt;0,SUBTOTAL(9,EK166:EK170),"")</f>
        <v/>
      </c>
      <c r="EL165" s="34" t="str">
        <f t="shared" ref="EL165" si="4248">IF(SUBTOTAL(9,EL166:EL170)&gt;0,SUBTOTAL(9,EL166:EL170),"")</f>
        <v/>
      </c>
      <c r="EM165" s="34" t="str">
        <f t="shared" ref="EM165" si="4249">IF(SUBTOTAL(9,EM166:EM170)&gt;0,SUBTOTAL(9,EM166:EM170),"")</f>
        <v/>
      </c>
      <c r="EN165" s="34" t="str">
        <f t="shared" ref="EN165" si="4250">IF(SUBTOTAL(9,EN166:EN170)&gt;0,SUBTOTAL(9,EN166:EN170),"")</f>
        <v/>
      </c>
      <c r="EO165" s="34" t="str">
        <f t="shared" ref="EO165" si="4251">IF(SUBTOTAL(9,EO166:EO170)&gt;0,SUBTOTAL(9,EO166:EO170),"")</f>
        <v/>
      </c>
      <c r="EP165" s="34" t="str">
        <f t="shared" ref="EP165" si="4252">IF(SUBTOTAL(9,EP166:EP170)&gt;0,SUBTOTAL(9,EP166:EP170),"")</f>
        <v/>
      </c>
      <c r="EQ165" s="34" t="str">
        <f t="shared" ref="EQ165" si="4253">IF(SUBTOTAL(9,EQ166:EQ170)&gt;0,SUBTOTAL(9,EQ166:EQ170),"")</f>
        <v/>
      </c>
      <c r="ER165" s="34" t="str">
        <f t="shared" ref="ER165" si="4254">IF(SUBTOTAL(9,ER166:ER170)&gt;0,SUBTOTAL(9,ER166:ER170),"")</f>
        <v/>
      </c>
      <c r="ES165" s="34" t="str">
        <f t="shared" ref="ES165" si="4255">IF(SUBTOTAL(9,ES166:ES170)&gt;0,SUBTOTAL(9,ES166:ES170),"")</f>
        <v/>
      </c>
      <c r="ET165" s="34" t="str">
        <f t="shared" ref="ET165" si="4256">IF(SUBTOTAL(9,ET166:ET170)&gt;0,SUBTOTAL(9,ET166:ET170),"")</f>
        <v/>
      </c>
      <c r="EU165" s="34" t="str">
        <f t="shared" ref="EU165" si="4257">IF(SUBTOTAL(9,EU166:EU170)&gt;0,SUBTOTAL(9,EU166:EU170),"")</f>
        <v/>
      </c>
      <c r="EV165" s="34" t="str">
        <f t="shared" ref="EV165" si="4258">IF(SUBTOTAL(9,EV166:EV170)&gt;0,SUBTOTAL(9,EV166:EV170),"")</f>
        <v/>
      </c>
      <c r="EW165" s="34" t="str">
        <f t="shared" ref="EW165" si="4259">IF(SUBTOTAL(9,EW166:EW170)&gt;0,SUBTOTAL(9,EW166:EW170),"")</f>
        <v/>
      </c>
      <c r="EX165" s="34" t="str">
        <f t="shared" ref="EX165" si="4260">IF(SUBTOTAL(9,EX166:EX170)&gt;0,SUBTOTAL(9,EX166:EX170),"")</f>
        <v/>
      </c>
      <c r="EY165" s="33" t="str">
        <f t="shared" ref="EY165" si="4261">IF(SUBTOTAL(9,EY166:EY170)&gt;0,SUBTOTAL(9,EY166:EY170),"")</f>
        <v/>
      </c>
      <c r="EZ165" s="34" t="str">
        <f t="shared" ref="EZ165" si="4262">IF(SUBTOTAL(9,EZ166:EZ170)&gt;0,SUBTOTAL(9,EZ166:EZ170),"")</f>
        <v/>
      </c>
      <c r="FA165" s="34" t="str">
        <f t="shared" ref="FA165" si="4263">IF(SUBTOTAL(9,FA166:FA170)&gt;0,SUBTOTAL(9,FA166:FA170),"")</f>
        <v/>
      </c>
      <c r="FB165" s="34" t="str">
        <f t="shared" ref="FB165" si="4264">IF(SUBTOTAL(9,FB166:FB170)&gt;0,SUBTOTAL(9,FB166:FB170),"")</f>
        <v/>
      </c>
      <c r="FC165" s="34" t="str">
        <f t="shared" ref="FC165" si="4265">IF(SUBTOTAL(9,FC166:FC170)&gt;0,SUBTOTAL(9,FC166:FC170),"")</f>
        <v/>
      </c>
      <c r="FD165" s="34" t="str">
        <f t="shared" ref="FD165" si="4266">IF(SUBTOTAL(9,FD166:FD170)&gt;0,SUBTOTAL(9,FD166:FD170),"")</f>
        <v/>
      </c>
      <c r="FE165" s="34" t="str">
        <f t="shared" ref="FE165" si="4267">IF(SUBTOTAL(9,FE166:FE170)&gt;0,SUBTOTAL(9,FE166:FE170),"")</f>
        <v/>
      </c>
      <c r="FF165" s="34" t="str">
        <f t="shared" ref="FF165" si="4268">IF(SUBTOTAL(9,FF166:FF170)&gt;0,SUBTOTAL(9,FF166:FF170),"")</f>
        <v/>
      </c>
      <c r="FG165" s="34" t="str">
        <f t="shared" ref="FG165" si="4269">IF(SUBTOTAL(9,FG166:FG170)&gt;0,SUBTOTAL(9,FG166:FG170),"")</f>
        <v/>
      </c>
      <c r="FH165" s="34" t="str">
        <f t="shared" ref="FH165" si="4270">IF(SUBTOTAL(9,FH166:FH170)&gt;0,SUBTOTAL(9,FH166:FH170),"")</f>
        <v/>
      </c>
      <c r="FI165" s="34" t="str">
        <f t="shared" ref="FI165" si="4271">IF(SUBTOTAL(9,FI166:FI170)&gt;0,SUBTOTAL(9,FI166:FI170),"")</f>
        <v/>
      </c>
      <c r="FJ165" s="34" t="str">
        <f t="shared" ref="FJ165" si="4272">IF(SUBTOTAL(9,FJ166:FJ170)&gt;0,SUBTOTAL(9,FJ166:FJ170),"")</f>
        <v/>
      </c>
      <c r="FK165" s="34" t="str">
        <f t="shared" ref="FK165" si="4273">IF(SUBTOTAL(9,FK166:FK170)&gt;0,SUBTOTAL(9,FK166:FK170),"")</f>
        <v/>
      </c>
      <c r="FL165" s="34" t="str">
        <f t="shared" ref="FL165" si="4274">IF(SUBTOTAL(9,FL166:FL170)&gt;0,SUBTOTAL(9,FL166:FL170),"")</f>
        <v/>
      </c>
      <c r="FM165" s="34" t="str">
        <f t="shared" ref="FM165" si="4275">IF(SUBTOTAL(9,FM166:FM170)&gt;0,SUBTOTAL(9,FM166:FM170),"")</f>
        <v/>
      </c>
      <c r="FN165" s="34" t="str">
        <f t="shared" ref="FN165" si="4276">IF(SUBTOTAL(9,FN166:FN170)&gt;0,SUBTOTAL(9,FN166:FN170),"")</f>
        <v/>
      </c>
      <c r="FO165" s="34" t="str">
        <f t="shared" ref="FO165" si="4277">IF(SUBTOTAL(9,FO166:FO170)&gt;0,SUBTOTAL(9,FO166:FO170),"")</f>
        <v/>
      </c>
      <c r="FP165" s="34" t="str">
        <f t="shared" ref="FP165" si="4278">IF(SUBTOTAL(9,FP166:FP170)&gt;0,SUBTOTAL(9,FP166:FP170),"")</f>
        <v/>
      </c>
      <c r="FQ165" s="92" t="str">
        <f t="shared" ref="FQ165" si="4279">IF(SUBTOTAL(9,FQ166:FQ170)&gt;0,SUBTOTAL(9,FQ166:FQ170),"")</f>
        <v/>
      </c>
      <c r="FR165" s="8"/>
      <c r="FS165" s="9" t="s">
        <v>131</v>
      </c>
      <c r="FT165" s="9" t="str">
        <f t="shared" si="3664"/>
        <v/>
      </c>
    </row>
    <row r="166" spans="1:176" s="9" customFormat="1" ht="12" hidden="1" customHeight="1" outlineLevel="1">
      <c r="A166" s="122" t="s">
        <v>4</v>
      </c>
      <c r="B166" s="123" t="s">
        <v>16</v>
      </c>
      <c r="C166" s="124" t="str">
        <f t="shared" si="3515"/>
        <v>10 days</v>
      </c>
      <c r="D166" s="13" t="str">
        <f>A164&amp;" "&amp;A165</f>
        <v>6. SFCR Development &amp; Dry Run 6.1 Preparation</v>
      </c>
      <c r="E166" s="51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5"/>
      <c r="AK166" s="35"/>
      <c r="AL166" s="36"/>
      <c r="AM166" s="36"/>
      <c r="AN166" s="36"/>
      <c r="AO166" s="36"/>
      <c r="AP166" s="36"/>
      <c r="AQ166" s="36"/>
      <c r="AR166" s="36"/>
      <c r="AS166" s="35"/>
      <c r="AT166" s="35"/>
      <c r="AU166" s="35"/>
      <c r="AV166" s="35"/>
      <c r="AW166" s="35"/>
      <c r="AX166" s="35"/>
      <c r="AY166" s="35"/>
      <c r="AZ166" s="35"/>
      <c r="BA166" s="35"/>
      <c r="BB166" s="35"/>
      <c r="BC166" s="35"/>
      <c r="BD166" s="35"/>
      <c r="BE166" s="35"/>
      <c r="BF166" s="35"/>
      <c r="BG166" s="35"/>
      <c r="BH166" s="35"/>
      <c r="BI166" s="35"/>
      <c r="BJ166" s="35"/>
      <c r="BK166" s="35"/>
      <c r="BL166" s="35"/>
      <c r="BM166" s="35">
        <v>1</v>
      </c>
      <c r="BN166" s="35">
        <v>1</v>
      </c>
      <c r="BO166" s="35">
        <v>1</v>
      </c>
      <c r="BP166" s="35">
        <v>1</v>
      </c>
      <c r="BQ166" s="35">
        <v>1</v>
      </c>
      <c r="BR166" s="35">
        <v>1</v>
      </c>
      <c r="BS166" s="35">
        <v>1</v>
      </c>
      <c r="BT166" s="35">
        <v>1</v>
      </c>
      <c r="BU166" s="35">
        <v>1</v>
      </c>
      <c r="BV166" s="35">
        <v>1</v>
      </c>
      <c r="BW166" s="35"/>
      <c r="BX166" s="35"/>
      <c r="BY166" s="35"/>
      <c r="BZ166" s="35"/>
      <c r="CA166" s="35"/>
      <c r="CB166" s="35"/>
      <c r="CC166" s="35"/>
      <c r="CD166" s="35"/>
      <c r="CE166" s="35"/>
      <c r="CF166" s="35"/>
      <c r="CG166" s="35"/>
      <c r="CH166" s="35"/>
      <c r="CI166" s="35"/>
      <c r="CJ166" s="35"/>
      <c r="CK166" s="35"/>
      <c r="CL166" s="35"/>
      <c r="CM166" s="35"/>
      <c r="CN166" s="35"/>
      <c r="CO166" s="35"/>
      <c r="CP166" s="35"/>
      <c r="CQ166" s="35"/>
      <c r="CR166" s="35"/>
      <c r="CS166" s="35"/>
      <c r="CT166" s="36"/>
      <c r="CU166" s="35"/>
      <c r="CV166" s="35"/>
      <c r="CW166" s="35"/>
      <c r="CX166" s="35"/>
      <c r="CY166" s="35"/>
      <c r="CZ166" s="36"/>
      <c r="DA166" s="36"/>
      <c r="DB166" s="35"/>
      <c r="DC166" s="35"/>
      <c r="DD166" s="35"/>
      <c r="DE166" s="35"/>
      <c r="DF166" s="35"/>
      <c r="DG166" s="35"/>
      <c r="DH166" s="35"/>
      <c r="DI166" s="35"/>
      <c r="DJ166" s="35"/>
      <c r="DK166" s="35"/>
      <c r="DL166" s="35"/>
      <c r="DM166" s="35"/>
      <c r="DN166" s="35"/>
      <c r="DO166" s="35"/>
      <c r="DP166" s="35"/>
      <c r="DQ166" s="35"/>
      <c r="DR166" s="35"/>
      <c r="DS166" s="35"/>
      <c r="DT166" s="35"/>
      <c r="DU166" s="35"/>
      <c r="DV166" s="35"/>
      <c r="DW166" s="35"/>
      <c r="DX166" s="35"/>
      <c r="DY166" s="35"/>
      <c r="DZ166" s="36"/>
      <c r="EA166" s="35"/>
      <c r="EB166" s="35"/>
      <c r="EC166" s="35"/>
      <c r="ED166" s="35"/>
      <c r="EE166" s="35"/>
      <c r="EF166" s="35"/>
      <c r="EG166" s="35"/>
      <c r="EH166" s="35"/>
      <c r="EI166" s="35"/>
      <c r="EJ166" s="35"/>
      <c r="EK166" s="35"/>
      <c r="EL166" s="35"/>
      <c r="EM166" s="35"/>
      <c r="EN166" s="35"/>
      <c r="EO166" s="35"/>
      <c r="EP166" s="35"/>
      <c r="EQ166" s="35"/>
      <c r="ER166" s="35"/>
      <c r="ES166" s="35"/>
      <c r="ET166" s="35"/>
      <c r="EU166" s="35"/>
      <c r="EV166" s="35"/>
      <c r="EW166" s="35"/>
      <c r="EX166" s="35"/>
      <c r="EY166" s="36"/>
      <c r="EZ166" s="35"/>
      <c r="FA166" s="35"/>
      <c r="FB166" s="35"/>
      <c r="FC166" s="35"/>
      <c r="FD166" s="35"/>
      <c r="FE166" s="35"/>
      <c r="FF166" s="35"/>
      <c r="FG166" s="35"/>
      <c r="FH166" s="35"/>
      <c r="FI166" s="35"/>
      <c r="FJ166" s="35"/>
      <c r="FK166" s="35"/>
      <c r="FL166" s="35"/>
      <c r="FM166" s="35"/>
      <c r="FN166" s="35"/>
      <c r="FO166" s="35"/>
      <c r="FP166" s="35"/>
      <c r="FQ166" s="52"/>
      <c r="FR166" s="8"/>
      <c r="FS166" s="9" t="s">
        <v>13</v>
      </c>
      <c r="FT166" s="9" t="str">
        <f t="shared" si="3664"/>
        <v>6. SFCR Development &amp; Dry Run 6.1 PreparationJunior Accountant</v>
      </c>
    </row>
    <row r="167" spans="1:176" s="9" customFormat="1" ht="12" hidden="1" customHeight="1" outlineLevel="1">
      <c r="A167" s="122" t="s">
        <v>4</v>
      </c>
      <c r="B167" s="123" t="s">
        <v>17</v>
      </c>
      <c r="C167" s="124" t="str">
        <f t="shared" si="3515"/>
        <v>12 days</v>
      </c>
      <c r="D167" s="13" t="str">
        <f>A164&amp;" "&amp;A165</f>
        <v>6. SFCR Development &amp; Dry Run 6.1 Preparation</v>
      </c>
      <c r="E167" s="51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5"/>
      <c r="AK167" s="35"/>
      <c r="AL167" s="36"/>
      <c r="AM167" s="36"/>
      <c r="AN167" s="36"/>
      <c r="AO167" s="36"/>
      <c r="AP167" s="36"/>
      <c r="AQ167" s="36"/>
      <c r="AR167" s="36"/>
      <c r="AS167" s="35"/>
      <c r="AT167" s="35"/>
      <c r="AU167" s="35"/>
      <c r="AV167" s="35"/>
      <c r="AW167" s="35"/>
      <c r="AX167" s="35"/>
      <c r="AY167" s="35">
        <v>0.5</v>
      </c>
      <c r="AZ167" s="35">
        <v>0.5</v>
      </c>
      <c r="BA167" s="35">
        <v>0.5</v>
      </c>
      <c r="BB167" s="35">
        <v>0.5</v>
      </c>
      <c r="BC167" s="35">
        <v>0.5</v>
      </c>
      <c r="BD167" s="35">
        <v>0.5</v>
      </c>
      <c r="BE167" s="35">
        <v>0.5</v>
      </c>
      <c r="BF167" s="35">
        <v>0.5</v>
      </c>
      <c r="BG167" s="35">
        <v>0.5</v>
      </c>
      <c r="BH167" s="35">
        <v>0.5</v>
      </c>
      <c r="BI167" s="35">
        <v>0.5</v>
      </c>
      <c r="BJ167" s="35">
        <v>0.5</v>
      </c>
      <c r="BK167" s="35">
        <v>0.5</v>
      </c>
      <c r="BL167" s="35">
        <v>0.5</v>
      </c>
      <c r="BM167" s="35">
        <v>0.5</v>
      </c>
      <c r="BN167" s="35">
        <v>0.5</v>
      </c>
      <c r="BO167" s="35">
        <v>0.5</v>
      </c>
      <c r="BP167" s="35">
        <v>0.5</v>
      </c>
      <c r="BQ167" s="35">
        <v>0.5</v>
      </c>
      <c r="BR167" s="35">
        <v>0.5</v>
      </c>
      <c r="BS167" s="35">
        <v>0.5</v>
      </c>
      <c r="BT167" s="35">
        <v>0.5</v>
      </c>
      <c r="BU167" s="35">
        <v>0.5</v>
      </c>
      <c r="BV167" s="35">
        <v>0.5</v>
      </c>
      <c r="BW167" s="35"/>
      <c r="BX167" s="35"/>
      <c r="BY167" s="35"/>
      <c r="BZ167" s="35"/>
      <c r="CA167" s="35"/>
      <c r="CB167" s="35"/>
      <c r="CC167" s="35"/>
      <c r="CD167" s="35"/>
      <c r="CE167" s="35"/>
      <c r="CF167" s="35"/>
      <c r="CG167" s="35"/>
      <c r="CH167" s="35"/>
      <c r="CI167" s="35"/>
      <c r="CJ167" s="35"/>
      <c r="CK167" s="35"/>
      <c r="CL167" s="35"/>
      <c r="CM167" s="35"/>
      <c r="CN167" s="35"/>
      <c r="CO167" s="35"/>
      <c r="CP167" s="35"/>
      <c r="CQ167" s="35"/>
      <c r="CR167" s="35"/>
      <c r="CS167" s="35"/>
      <c r="CT167" s="36"/>
      <c r="CU167" s="35"/>
      <c r="CV167" s="35"/>
      <c r="CW167" s="35"/>
      <c r="CX167" s="35"/>
      <c r="CY167" s="35"/>
      <c r="CZ167" s="36"/>
      <c r="DA167" s="36"/>
      <c r="DB167" s="35"/>
      <c r="DC167" s="35"/>
      <c r="DD167" s="35"/>
      <c r="DE167" s="35"/>
      <c r="DF167" s="35"/>
      <c r="DG167" s="35"/>
      <c r="DH167" s="35"/>
      <c r="DI167" s="35"/>
      <c r="DJ167" s="35"/>
      <c r="DK167" s="35"/>
      <c r="DL167" s="35"/>
      <c r="DM167" s="35"/>
      <c r="DN167" s="35"/>
      <c r="DO167" s="35"/>
      <c r="DP167" s="35"/>
      <c r="DQ167" s="35"/>
      <c r="DR167" s="35"/>
      <c r="DS167" s="35"/>
      <c r="DT167" s="35"/>
      <c r="DU167" s="35"/>
      <c r="DV167" s="35"/>
      <c r="DW167" s="35"/>
      <c r="DX167" s="35"/>
      <c r="DY167" s="35"/>
      <c r="DZ167" s="36"/>
      <c r="EA167" s="35"/>
      <c r="EB167" s="35"/>
      <c r="EC167" s="35"/>
      <c r="ED167" s="35"/>
      <c r="EE167" s="35"/>
      <c r="EF167" s="35"/>
      <c r="EG167" s="35"/>
      <c r="EH167" s="35"/>
      <c r="EI167" s="35"/>
      <c r="EJ167" s="35"/>
      <c r="EK167" s="35"/>
      <c r="EL167" s="35"/>
      <c r="EM167" s="35"/>
      <c r="EN167" s="35"/>
      <c r="EO167" s="35"/>
      <c r="EP167" s="35"/>
      <c r="EQ167" s="35"/>
      <c r="ER167" s="35"/>
      <c r="ES167" s="35"/>
      <c r="ET167" s="35"/>
      <c r="EU167" s="35"/>
      <c r="EV167" s="35"/>
      <c r="EW167" s="35"/>
      <c r="EX167" s="35"/>
      <c r="EY167" s="36"/>
      <c r="EZ167" s="35"/>
      <c r="FA167" s="35"/>
      <c r="FB167" s="35"/>
      <c r="FC167" s="35"/>
      <c r="FD167" s="35"/>
      <c r="FE167" s="35"/>
      <c r="FF167" s="35"/>
      <c r="FG167" s="35"/>
      <c r="FH167" s="35"/>
      <c r="FI167" s="35"/>
      <c r="FJ167" s="35"/>
      <c r="FK167" s="35"/>
      <c r="FL167" s="35"/>
      <c r="FM167" s="35"/>
      <c r="FN167" s="35"/>
      <c r="FO167" s="35"/>
      <c r="FP167" s="35"/>
      <c r="FQ167" s="52"/>
      <c r="FR167" s="8"/>
      <c r="FS167" s="9" t="s">
        <v>13</v>
      </c>
      <c r="FT167" s="9" t="str">
        <f t="shared" si="3664"/>
        <v>6. SFCR Development &amp; Dry Run 6.1 PreparationSenior Accountant</v>
      </c>
    </row>
    <row r="168" spans="1:176" s="9" customFormat="1" ht="12" hidden="1" customHeight="1" outlineLevel="1">
      <c r="A168" s="125" t="s">
        <v>50</v>
      </c>
      <c r="B168" s="123"/>
      <c r="C168" s="124" t="str">
        <f t="shared" si="3515"/>
        <v>0 days</v>
      </c>
      <c r="D168" s="13" t="str">
        <f>A164&amp;" "&amp;A165</f>
        <v>6. SFCR Development &amp; Dry Run 6.1 Preparation</v>
      </c>
      <c r="E168" s="51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5"/>
      <c r="AK168" s="35"/>
      <c r="AL168" s="36"/>
      <c r="AM168" s="36"/>
      <c r="AN168" s="36"/>
      <c r="AO168" s="36"/>
      <c r="AP168" s="36"/>
      <c r="AQ168" s="36"/>
      <c r="AR168" s="36"/>
      <c r="AS168" s="35"/>
      <c r="AT168" s="35"/>
      <c r="AU168" s="35"/>
      <c r="AV168" s="35"/>
      <c r="AW168" s="35"/>
      <c r="AX168" s="35"/>
      <c r="AY168" s="35"/>
      <c r="AZ168" s="35"/>
      <c r="BA168" s="35"/>
      <c r="BB168" s="35"/>
      <c r="BC168" s="35"/>
      <c r="BD168" s="35"/>
      <c r="BE168" s="35"/>
      <c r="BF168" s="35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35"/>
      <c r="BU168" s="35"/>
      <c r="BV168" s="35"/>
      <c r="BW168" s="35"/>
      <c r="BX168" s="35"/>
      <c r="BY168" s="35"/>
      <c r="BZ168" s="35"/>
      <c r="CA168" s="35"/>
      <c r="CB168" s="35"/>
      <c r="CC168" s="35"/>
      <c r="CD168" s="35"/>
      <c r="CE168" s="35"/>
      <c r="CF168" s="35"/>
      <c r="CG168" s="35"/>
      <c r="CH168" s="35"/>
      <c r="CI168" s="35"/>
      <c r="CJ168" s="35"/>
      <c r="CK168" s="35"/>
      <c r="CL168" s="35"/>
      <c r="CM168" s="35"/>
      <c r="CN168" s="35"/>
      <c r="CO168" s="35"/>
      <c r="CP168" s="35"/>
      <c r="CQ168" s="35"/>
      <c r="CR168" s="35"/>
      <c r="CS168" s="35"/>
      <c r="CT168" s="36"/>
      <c r="CU168" s="35"/>
      <c r="CV168" s="35"/>
      <c r="CW168" s="35"/>
      <c r="CX168" s="35"/>
      <c r="CY168" s="35"/>
      <c r="CZ168" s="36"/>
      <c r="DA168" s="36"/>
      <c r="DB168" s="35"/>
      <c r="DC168" s="35"/>
      <c r="DD168" s="35"/>
      <c r="DE168" s="35"/>
      <c r="DF168" s="35"/>
      <c r="DG168" s="35"/>
      <c r="DH168" s="35"/>
      <c r="DI168" s="35"/>
      <c r="DJ168" s="35"/>
      <c r="DK168" s="35"/>
      <c r="DL168" s="35"/>
      <c r="DM168" s="35"/>
      <c r="DN168" s="35"/>
      <c r="DO168" s="35"/>
      <c r="DP168" s="35"/>
      <c r="DQ168" s="35"/>
      <c r="DR168" s="35"/>
      <c r="DS168" s="35"/>
      <c r="DT168" s="35"/>
      <c r="DU168" s="35"/>
      <c r="DV168" s="35"/>
      <c r="DW168" s="35"/>
      <c r="DX168" s="35"/>
      <c r="DY168" s="35"/>
      <c r="DZ168" s="36"/>
      <c r="EA168" s="35"/>
      <c r="EB168" s="35"/>
      <c r="EC168" s="35"/>
      <c r="ED168" s="35"/>
      <c r="EE168" s="35"/>
      <c r="EF168" s="35"/>
      <c r="EG168" s="35"/>
      <c r="EH168" s="35"/>
      <c r="EI168" s="35"/>
      <c r="EJ168" s="35"/>
      <c r="EK168" s="35"/>
      <c r="EL168" s="35"/>
      <c r="EM168" s="35"/>
      <c r="EN168" s="35"/>
      <c r="EO168" s="35"/>
      <c r="EP168" s="35"/>
      <c r="EQ168" s="35"/>
      <c r="ER168" s="35"/>
      <c r="ES168" s="35"/>
      <c r="ET168" s="35"/>
      <c r="EU168" s="35"/>
      <c r="EV168" s="35"/>
      <c r="EW168" s="35"/>
      <c r="EX168" s="35"/>
      <c r="EY168" s="36"/>
      <c r="EZ168" s="35"/>
      <c r="FA168" s="35"/>
      <c r="FB168" s="35"/>
      <c r="FC168" s="35"/>
      <c r="FD168" s="35"/>
      <c r="FE168" s="35"/>
      <c r="FF168" s="35"/>
      <c r="FG168" s="35"/>
      <c r="FH168" s="35"/>
      <c r="FI168" s="35"/>
      <c r="FJ168" s="35"/>
      <c r="FK168" s="35"/>
      <c r="FL168" s="35"/>
      <c r="FM168" s="35"/>
      <c r="FN168" s="35"/>
      <c r="FO168" s="35"/>
      <c r="FP168" s="35"/>
      <c r="FQ168" s="52"/>
      <c r="FR168" s="8"/>
      <c r="FS168" s="9" t="s">
        <v>13</v>
      </c>
      <c r="FT168" s="9" t="str">
        <f t="shared" si="3664"/>
        <v>6. SFCR Development &amp; Dry Run 6.1 Preparation</v>
      </c>
    </row>
    <row r="169" spans="1:176" s="9" customFormat="1" ht="12" hidden="1" customHeight="1" outlineLevel="1">
      <c r="A169" s="125" t="s">
        <v>50</v>
      </c>
      <c r="B169" s="123"/>
      <c r="C169" s="124" t="str">
        <f t="shared" si="3515"/>
        <v>0 days</v>
      </c>
      <c r="D169" s="13" t="str">
        <f>A164&amp;" "&amp;A165</f>
        <v>6. SFCR Development &amp; Dry Run 6.1 Preparation</v>
      </c>
      <c r="E169" s="51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5"/>
      <c r="AK169" s="35"/>
      <c r="AL169" s="36"/>
      <c r="AM169" s="36"/>
      <c r="AN169" s="36"/>
      <c r="AO169" s="36"/>
      <c r="AP169" s="36"/>
      <c r="AQ169" s="36"/>
      <c r="AR169" s="36"/>
      <c r="AS169" s="35"/>
      <c r="AT169" s="35"/>
      <c r="AU169" s="35"/>
      <c r="AV169" s="35"/>
      <c r="AW169" s="35"/>
      <c r="AX169" s="35"/>
      <c r="AY169" s="35"/>
      <c r="AZ169" s="35"/>
      <c r="BA169" s="35"/>
      <c r="BB169" s="35"/>
      <c r="BC169" s="35"/>
      <c r="BD169" s="35"/>
      <c r="BE169" s="35"/>
      <c r="BF169" s="35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35"/>
      <c r="BU169" s="35"/>
      <c r="BV169" s="35"/>
      <c r="BW169" s="35"/>
      <c r="BX169" s="35"/>
      <c r="BY169" s="35"/>
      <c r="BZ169" s="35"/>
      <c r="CA169" s="35"/>
      <c r="CB169" s="35"/>
      <c r="CC169" s="35"/>
      <c r="CD169" s="35"/>
      <c r="CE169" s="35"/>
      <c r="CF169" s="35"/>
      <c r="CG169" s="35"/>
      <c r="CH169" s="35"/>
      <c r="CI169" s="35"/>
      <c r="CJ169" s="35"/>
      <c r="CK169" s="35"/>
      <c r="CL169" s="35"/>
      <c r="CM169" s="35"/>
      <c r="CN169" s="35"/>
      <c r="CO169" s="35"/>
      <c r="CP169" s="35"/>
      <c r="CQ169" s="35"/>
      <c r="CR169" s="35"/>
      <c r="CS169" s="35"/>
      <c r="CT169" s="36"/>
      <c r="CU169" s="35"/>
      <c r="CV169" s="35"/>
      <c r="CW169" s="35"/>
      <c r="CX169" s="35"/>
      <c r="CY169" s="35"/>
      <c r="CZ169" s="36"/>
      <c r="DA169" s="36"/>
      <c r="DB169" s="35"/>
      <c r="DC169" s="35"/>
      <c r="DD169" s="35"/>
      <c r="DE169" s="35"/>
      <c r="DF169" s="35"/>
      <c r="DG169" s="35"/>
      <c r="DH169" s="35"/>
      <c r="DI169" s="35"/>
      <c r="DJ169" s="35"/>
      <c r="DK169" s="35"/>
      <c r="DL169" s="35"/>
      <c r="DM169" s="35"/>
      <c r="DN169" s="35"/>
      <c r="DO169" s="35"/>
      <c r="DP169" s="35"/>
      <c r="DQ169" s="35"/>
      <c r="DR169" s="35"/>
      <c r="DS169" s="35"/>
      <c r="DT169" s="35"/>
      <c r="DU169" s="35"/>
      <c r="DV169" s="35"/>
      <c r="DW169" s="35"/>
      <c r="DX169" s="35"/>
      <c r="DY169" s="35"/>
      <c r="DZ169" s="36"/>
      <c r="EA169" s="35"/>
      <c r="EB169" s="35"/>
      <c r="EC169" s="35"/>
      <c r="ED169" s="35"/>
      <c r="EE169" s="35"/>
      <c r="EF169" s="35"/>
      <c r="EG169" s="35"/>
      <c r="EH169" s="35"/>
      <c r="EI169" s="35"/>
      <c r="EJ169" s="35"/>
      <c r="EK169" s="35"/>
      <c r="EL169" s="35"/>
      <c r="EM169" s="35"/>
      <c r="EN169" s="35"/>
      <c r="EO169" s="35"/>
      <c r="EP169" s="35"/>
      <c r="EQ169" s="35"/>
      <c r="ER169" s="35"/>
      <c r="ES169" s="35"/>
      <c r="ET169" s="35"/>
      <c r="EU169" s="35"/>
      <c r="EV169" s="35"/>
      <c r="EW169" s="35"/>
      <c r="EX169" s="35"/>
      <c r="EY169" s="36"/>
      <c r="EZ169" s="35"/>
      <c r="FA169" s="35"/>
      <c r="FB169" s="35"/>
      <c r="FC169" s="35"/>
      <c r="FD169" s="35"/>
      <c r="FE169" s="35"/>
      <c r="FF169" s="35"/>
      <c r="FG169" s="35"/>
      <c r="FH169" s="35"/>
      <c r="FI169" s="35"/>
      <c r="FJ169" s="35"/>
      <c r="FK169" s="35"/>
      <c r="FL169" s="35"/>
      <c r="FM169" s="35"/>
      <c r="FN169" s="35"/>
      <c r="FO169" s="35"/>
      <c r="FP169" s="35"/>
      <c r="FQ169" s="52"/>
      <c r="FR169" s="8"/>
      <c r="FS169" s="9" t="s">
        <v>13</v>
      </c>
      <c r="FT169" s="9" t="str">
        <f t="shared" si="3664"/>
        <v>6. SFCR Development &amp; Dry Run 6.1 Preparation</v>
      </c>
    </row>
    <row r="170" spans="1:176" s="9" customFormat="1" ht="12" hidden="1" customHeight="1" outlineLevel="1">
      <c r="A170" s="126" t="s">
        <v>50</v>
      </c>
      <c r="B170" s="123"/>
      <c r="C170" s="124" t="str">
        <f t="shared" si="3515"/>
        <v>0 days</v>
      </c>
      <c r="D170" s="13" t="str">
        <f>A164&amp;" "&amp;A165</f>
        <v>6. SFCR Development &amp; Dry Run 6.1 Preparation</v>
      </c>
      <c r="E170" s="51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5"/>
      <c r="AK170" s="35"/>
      <c r="AL170" s="36"/>
      <c r="AM170" s="36"/>
      <c r="AN170" s="36"/>
      <c r="AO170" s="36"/>
      <c r="AP170" s="36"/>
      <c r="AQ170" s="36"/>
      <c r="AR170" s="36"/>
      <c r="AS170" s="35"/>
      <c r="AT170" s="35"/>
      <c r="AU170" s="35"/>
      <c r="AV170" s="35"/>
      <c r="AW170" s="35"/>
      <c r="AX170" s="35"/>
      <c r="AY170" s="35"/>
      <c r="AZ170" s="35"/>
      <c r="BA170" s="35"/>
      <c r="BB170" s="35"/>
      <c r="BC170" s="35"/>
      <c r="BD170" s="35"/>
      <c r="BE170" s="35"/>
      <c r="BF170" s="35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35"/>
      <c r="BU170" s="35"/>
      <c r="BV170" s="35"/>
      <c r="BW170" s="35"/>
      <c r="BX170" s="35"/>
      <c r="BY170" s="35"/>
      <c r="BZ170" s="35"/>
      <c r="CA170" s="35"/>
      <c r="CB170" s="35"/>
      <c r="CC170" s="35"/>
      <c r="CD170" s="35"/>
      <c r="CE170" s="35"/>
      <c r="CF170" s="35"/>
      <c r="CG170" s="35"/>
      <c r="CH170" s="35"/>
      <c r="CI170" s="35"/>
      <c r="CJ170" s="35"/>
      <c r="CK170" s="35"/>
      <c r="CL170" s="35"/>
      <c r="CM170" s="35"/>
      <c r="CN170" s="35"/>
      <c r="CO170" s="35"/>
      <c r="CP170" s="35"/>
      <c r="CQ170" s="35"/>
      <c r="CR170" s="35"/>
      <c r="CS170" s="35"/>
      <c r="CT170" s="36"/>
      <c r="CU170" s="35"/>
      <c r="CV170" s="35"/>
      <c r="CW170" s="35"/>
      <c r="CX170" s="35"/>
      <c r="CY170" s="35"/>
      <c r="CZ170" s="36"/>
      <c r="DA170" s="36"/>
      <c r="DB170" s="35"/>
      <c r="DC170" s="35"/>
      <c r="DD170" s="35"/>
      <c r="DE170" s="35"/>
      <c r="DF170" s="35"/>
      <c r="DG170" s="35"/>
      <c r="DH170" s="35"/>
      <c r="DI170" s="35"/>
      <c r="DJ170" s="35"/>
      <c r="DK170" s="35"/>
      <c r="DL170" s="35"/>
      <c r="DM170" s="35"/>
      <c r="DN170" s="35"/>
      <c r="DO170" s="35"/>
      <c r="DP170" s="35"/>
      <c r="DQ170" s="35"/>
      <c r="DR170" s="35"/>
      <c r="DS170" s="35"/>
      <c r="DT170" s="35"/>
      <c r="DU170" s="35"/>
      <c r="DV170" s="35"/>
      <c r="DW170" s="35"/>
      <c r="DX170" s="35"/>
      <c r="DY170" s="35"/>
      <c r="DZ170" s="36"/>
      <c r="EA170" s="35"/>
      <c r="EB170" s="35"/>
      <c r="EC170" s="35"/>
      <c r="ED170" s="35"/>
      <c r="EE170" s="35"/>
      <c r="EF170" s="35"/>
      <c r="EG170" s="35"/>
      <c r="EH170" s="35"/>
      <c r="EI170" s="35"/>
      <c r="EJ170" s="35"/>
      <c r="EK170" s="35"/>
      <c r="EL170" s="35"/>
      <c r="EM170" s="35"/>
      <c r="EN170" s="35"/>
      <c r="EO170" s="35"/>
      <c r="EP170" s="35"/>
      <c r="EQ170" s="35"/>
      <c r="ER170" s="35"/>
      <c r="ES170" s="35"/>
      <c r="ET170" s="35"/>
      <c r="EU170" s="35"/>
      <c r="EV170" s="35"/>
      <c r="EW170" s="35"/>
      <c r="EX170" s="35"/>
      <c r="EY170" s="36"/>
      <c r="EZ170" s="35"/>
      <c r="FA170" s="35"/>
      <c r="FB170" s="35"/>
      <c r="FC170" s="35"/>
      <c r="FD170" s="35"/>
      <c r="FE170" s="35"/>
      <c r="FF170" s="35"/>
      <c r="FG170" s="35"/>
      <c r="FH170" s="35"/>
      <c r="FI170" s="35"/>
      <c r="FJ170" s="35"/>
      <c r="FK170" s="35"/>
      <c r="FL170" s="35"/>
      <c r="FM170" s="35"/>
      <c r="FN170" s="35"/>
      <c r="FO170" s="35"/>
      <c r="FP170" s="35"/>
      <c r="FQ170" s="52"/>
      <c r="FR170" s="8"/>
      <c r="FS170" s="9" t="s">
        <v>13</v>
      </c>
      <c r="FT170" s="9" t="str">
        <f t="shared" si="3664"/>
        <v>6. SFCR Development &amp; Dry Run 6.1 Preparation</v>
      </c>
    </row>
    <row r="171" spans="1:176" s="9" customFormat="1" ht="12" customHeight="1" collapsed="1">
      <c r="A171" s="119" t="s">
        <v>87</v>
      </c>
      <c r="B171" s="127"/>
      <c r="C171" s="128" t="str">
        <f t="shared" si="3515"/>
        <v>6 days</v>
      </c>
      <c r="D171" s="37"/>
      <c r="E171" s="91" t="str">
        <f t="shared" ref="E171" si="4280">IF(SUBTOTAL(9,E172:E176)&gt;0,SUBTOTAL(9,E172:E176),"")</f>
        <v/>
      </c>
      <c r="F171" s="34" t="str">
        <f t="shared" ref="F171" si="4281">IF(SUBTOTAL(9,F172:F176)&gt;0,SUBTOTAL(9,F172:F176),"")</f>
        <v/>
      </c>
      <c r="G171" s="34" t="str">
        <f t="shared" ref="G171" si="4282">IF(SUBTOTAL(9,G172:G176)&gt;0,SUBTOTAL(9,G172:G176),"")</f>
        <v/>
      </c>
      <c r="H171" s="34" t="str">
        <f t="shared" ref="H171" si="4283">IF(SUBTOTAL(9,H172:H176)&gt;0,SUBTOTAL(9,H172:H176),"")</f>
        <v/>
      </c>
      <c r="I171" s="34" t="str">
        <f t="shared" ref="I171" si="4284">IF(SUBTOTAL(9,I172:I176)&gt;0,SUBTOTAL(9,I172:I176),"")</f>
        <v/>
      </c>
      <c r="J171" s="34" t="str">
        <f t="shared" ref="J171" si="4285">IF(SUBTOTAL(9,J172:J176)&gt;0,SUBTOTAL(9,J172:J176),"")</f>
        <v/>
      </c>
      <c r="K171" s="34" t="str">
        <f t="shared" ref="K171" si="4286">IF(SUBTOTAL(9,K172:K176)&gt;0,SUBTOTAL(9,K172:K176),"")</f>
        <v/>
      </c>
      <c r="L171" s="34" t="str">
        <f t="shared" ref="L171" si="4287">IF(SUBTOTAL(9,L172:L176)&gt;0,SUBTOTAL(9,L172:L176),"")</f>
        <v/>
      </c>
      <c r="M171" s="34" t="str">
        <f t="shared" ref="M171" si="4288">IF(SUBTOTAL(9,M172:M176)&gt;0,SUBTOTAL(9,M172:M176),"")</f>
        <v/>
      </c>
      <c r="N171" s="34" t="str">
        <f t="shared" ref="N171" si="4289">IF(SUBTOTAL(9,N172:N176)&gt;0,SUBTOTAL(9,N172:N176),"")</f>
        <v/>
      </c>
      <c r="O171" s="34" t="str">
        <f t="shared" ref="O171" si="4290">IF(SUBTOTAL(9,O172:O176)&gt;0,SUBTOTAL(9,O172:O176),"")</f>
        <v/>
      </c>
      <c r="P171" s="34" t="str">
        <f t="shared" ref="P171" si="4291">IF(SUBTOTAL(9,P172:P176)&gt;0,SUBTOTAL(9,P172:P176),"")</f>
        <v/>
      </c>
      <c r="Q171" s="34" t="str">
        <f t="shared" ref="Q171" si="4292">IF(SUBTOTAL(9,Q172:Q176)&gt;0,SUBTOTAL(9,Q172:Q176),"")</f>
        <v/>
      </c>
      <c r="R171" s="34" t="str">
        <f t="shared" ref="R171" si="4293">IF(SUBTOTAL(9,R172:R176)&gt;0,SUBTOTAL(9,R172:R176),"")</f>
        <v/>
      </c>
      <c r="S171" s="34" t="str">
        <f t="shared" ref="S171" si="4294">IF(SUBTOTAL(9,S172:S176)&gt;0,SUBTOTAL(9,S172:S176),"")</f>
        <v/>
      </c>
      <c r="T171" s="34" t="str">
        <f t="shared" ref="T171" si="4295">IF(SUBTOTAL(9,T172:T176)&gt;0,SUBTOTAL(9,T172:T176),"")</f>
        <v/>
      </c>
      <c r="U171" s="34" t="str">
        <f t="shared" ref="U171" si="4296">IF(SUBTOTAL(9,U172:U176)&gt;0,SUBTOTAL(9,U172:U176),"")</f>
        <v/>
      </c>
      <c r="V171" s="34" t="str">
        <f t="shared" ref="V171" si="4297">IF(SUBTOTAL(9,V172:V176)&gt;0,SUBTOTAL(9,V172:V176),"")</f>
        <v/>
      </c>
      <c r="W171" s="34" t="str">
        <f t="shared" ref="W171" si="4298">IF(SUBTOTAL(9,W172:W176)&gt;0,SUBTOTAL(9,W172:W176),"")</f>
        <v/>
      </c>
      <c r="X171" s="34" t="str">
        <f t="shared" ref="X171" si="4299">IF(SUBTOTAL(9,X172:X176)&gt;0,SUBTOTAL(9,X172:X176),"")</f>
        <v/>
      </c>
      <c r="Y171" s="34" t="str">
        <f t="shared" ref="Y171" si="4300">IF(SUBTOTAL(9,Y172:Y176)&gt;0,SUBTOTAL(9,Y172:Y176),"")</f>
        <v/>
      </c>
      <c r="Z171" s="34" t="str">
        <f t="shared" ref="Z171" si="4301">IF(SUBTOTAL(9,Z172:Z176)&gt;0,SUBTOTAL(9,Z172:Z176),"")</f>
        <v/>
      </c>
      <c r="AA171" s="34" t="str">
        <f t="shared" ref="AA171" si="4302">IF(SUBTOTAL(9,AA172:AA176)&gt;0,SUBTOTAL(9,AA172:AA176),"")</f>
        <v/>
      </c>
      <c r="AB171" s="34" t="str">
        <f t="shared" ref="AB171" si="4303">IF(SUBTOTAL(9,AB172:AB176)&gt;0,SUBTOTAL(9,AB172:AB176),"")</f>
        <v/>
      </c>
      <c r="AC171" s="34" t="str">
        <f t="shared" ref="AC171" si="4304">IF(SUBTOTAL(9,AC172:AC176)&gt;0,SUBTOTAL(9,AC172:AC176),"")</f>
        <v/>
      </c>
      <c r="AD171" s="34" t="str">
        <f t="shared" ref="AD171" si="4305">IF(SUBTOTAL(9,AD172:AD176)&gt;0,SUBTOTAL(9,AD172:AD176),"")</f>
        <v/>
      </c>
      <c r="AE171" s="34" t="str">
        <f t="shared" ref="AE171" si="4306">IF(SUBTOTAL(9,AE172:AE176)&gt;0,SUBTOTAL(9,AE172:AE176),"")</f>
        <v/>
      </c>
      <c r="AF171" s="34" t="str">
        <f t="shared" ref="AF171" si="4307">IF(SUBTOTAL(9,AF172:AF176)&gt;0,SUBTOTAL(9,AF172:AF176),"")</f>
        <v/>
      </c>
      <c r="AG171" s="34" t="str">
        <f t="shared" ref="AG171" si="4308">IF(SUBTOTAL(9,AG172:AG176)&gt;0,SUBTOTAL(9,AG172:AG176),"")</f>
        <v/>
      </c>
      <c r="AH171" s="34" t="str">
        <f t="shared" ref="AH171" si="4309">IF(SUBTOTAL(9,AH172:AH176)&gt;0,SUBTOTAL(9,AH172:AH176),"")</f>
        <v/>
      </c>
      <c r="AI171" s="34" t="str">
        <f t="shared" ref="AI171" si="4310">IF(SUBTOTAL(9,AI172:AI176)&gt;0,SUBTOTAL(9,AI172:AI176),"")</f>
        <v/>
      </c>
      <c r="AJ171" s="34" t="str">
        <f t="shared" ref="AJ171" si="4311">IF(SUBTOTAL(9,AJ172:AJ176)&gt;0,SUBTOTAL(9,AJ172:AJ176),"")</f>
        <v/>
      </c>
      <c r="AK171" s="34" t="str">
        <f t="shared" ref="AK171" si="4312">IF(SUBTOTAL(9,AK172:AK176)&gt;0,SUBTOTAL(9,AK172:AK176),"")</f>
        <v/>
      </c>
      <c r="AL171" s="33" t="str">
        <f t="shared" ref="AL171" si="4313">IF(SUBTOTAL(9,AL172:AL176)&gt;0,SUBTOTAL(9,AL172:AL176),"")</f>
        <v/>
      </c>
      <c r="AM171" s="33" t="str">
        <f t="shared" ref="AM171" si="4314">IF(SUBTOTAL(9,AM172:AM176)&gt;0,SUBTOTAL(9,AM172:AM176),"")</f>
        <v/>
      </c>
      <c r="AN171" s="33" t="str">
        <f t="shared" ref="AN171" si="4315">IF(SUBTOTAL(9,AN172:AN176)&gt;0,SUBTOTAL(9,AN172:AN176),"")</f>
        <v/>
      </c>
      <c r="AO171" s="33" t="str">
        <f t="shared" ref="AO171" si="4316">IF(SUBTOTAL(9,AO172:AO176)&gt;0,SUBTOTAL(9,AO172:AO176),"")</f>
        <v/>
      </c>
      <c r="AP171" s="33" t="str">
        <f t="shared" ref="AP171" si="4317">IF(SUBTOTAL(9,AP172:AP176)&gt;0,SUBTOTAL(9,AP172:AP176),"")</f>
        <v/>
      </c>
      <c r="AQ171" s="33" t="str">
        <f t="shared" ref="AQ171" si="4318">IF(SUBTOTAL(9,AQ172:AQ176)&gt;0,SUBTOTAL(9,AQ172:AQ176),"")</f>
        <v/>
      </c>
      <c r="AR171" s="33" t="str">
        <f t="shared" ref="AR171" si="4319">IF(SUBTOTAL(9,AR172:AR176)&gt;0,SUBTOTAL(9,AR172:AR176),"")</f>
        <v/>
      </c>
      <c r="AS171" s="34" t="str">
        <f t="shared" ref="AS171" si="4320">IF(SUBTOTAL(9,AS172:AS176)&gt;0,SUBTOTAL(9,AS172:AS176),"")</f>
        <v/>
      </c>
      <c r="AT171" s="34" t="str">
        <f t="shared" ref="AT171" si="4321">IF(SUBTOTAL(9,AT172:AT176)&gt;0,SUBTOTAL(9,AT172:AT176),"")</f>
        <v/>
      </c>
      <c r="AU171" s="34" t="str">
        <f t="shared" ref="AU171" si="4322">IF(SUBTOTAL(9,AU172:AU176)&gt;0,SUBTOTAL(9,AU172:AU176),"")</f>
        <v/>
      </c>
      <c r="AV171" s="34" t="str">
        <f t="shared" ref="AV171" si="4323">IF(SUBTOTAL(9,AV172:AV176)&gt;0,SUBTOTAL(9,AV172:AV176),"")</f>
        <v/>
      </c>
      <c r="AW171" s="34" t="str">
        <f t="shared" ref="AW171" si="4324">IF(SUBTOTAL(9,AW172:AW176)&gt;0,SUBTOTAL(9,AW172:AW176),"")</f>
        <v/>
      </c>
      <c r="AX171" s="34" t="str">
        <f t="shared" ref="AX171" si="4325">IF(SUBTOTAL(9,AX172:AX176)&gt;0,SUBTOTAL(9,AX172:AX176),"")</f>
        <v/>
      </c>
      <c r="AY171" s="34" t="str">
        <f t="shared" ref="AY171" si="4326">IF(SUBTOTAL(9,AY172:AY176)&gt;0,SUBTOTAL(9,AY172:AY176),"")</f>
        <v/>
      </c>
      <c r="AZ171" s="34" t="str">
        <f t="shared" ref="AZ171" si="4327">IF(SUBTOTAL(9,AZ172:AZ176)&gt;0,SUBTOTAL(9,AZ172:AZ176),"")</f>
        <v/>
      </c>
      <c r="BA171" s="34">
        <f>IF(SUBTOTAL(9,BA172:BA176)&gt;0,SUBTOTAL(9,BA172:BA176),"")</f>
        <v>0.5</v>
      </c>
      <c r="BB171" s="34" t="str">
        <f t="shared" ref="BB171" si="4328">IF(SUBTOTAL(9,BB172:BB176)&gt;0,SUBTOTAL(9,BB172:BB176),"")</f>
        <v/>
      </c>
      <c r="BC171" s="34" t="str">
        <f t="shared" ref="BC171" si="4329">IF(SUBTOTAL(9,BC172:BC176)&gt;0,SUBTOTAL(9,BC172:BC176),"")</f>
        <v/>
      </c>
      <c r="BD171" s="34" t="str">
        <f t="shared" ref="BD171" si="4330">IF(SUBTOTAL(9,BD172:BD176)&gt;0,SUBTOTAL(9,BD172:BD176),"")</f>
        <v/>
      </c>
      <c r="BE171" s="34" t="str">
        <f t="shared" ref="BE171" si="4331">IF(SUBTOTAL(9,BE172:BE176)&gt;0,SUBTOTAL(9,BE172:BE176),"")</f>
        <v/>
      </c>
      <c r="BF171" s="34">
        <f t="shared" ref="BF171" si="4332">IF(SUBTOTAL(9,BF172:BF176)&gt;0,SUBTOTAL(9,BF172:BF176),"")</f>
        <v>0.5</v>
      </c>
      <c r="BG171" s="34" t="str">
        <f t="shared" ref="BG171" si="4333">IF(SUBTOTAL(9,BG172:BG176)&gt;0,SUBTOTAL(9,BG172:BG176),"")</f>
        <v/>
      </c>
      <c r="BH171" s="34" t="str">
        <f t="shared" ref="BH171" si="4334">IF(SUBTOTAL(9,BH172:BH176)&gt;0,SUBTOTAL(9,BH172:BH176),"")</f>
        <v/>
      </c>
      <c r="BI171" s="34" t="str">
        <f t="shared" ref="BI171" si="4335">IF(SUBTOTAL(9,BI172:BI176)&gt;0,SUBTOTAL(9,BI172:BI176),"")</f>
        <v/>
      </c>
      <c r="BJ171" s="34" t="str">
        <f t="shared" ref="BJ171" si="4336">IF(SUBTOTAL(9,BJ172:BJ176)&gt;0,SUBTOTAL(9,BJ172:BJ176),"")</f>
        <v/>
      </c>
      <c r="BK171" s="34">
        <f t="shared" ref="BK171" si="4337">IF(SUBTOTAL(9,BK172:BK176)&gt;0,SUBTOTAL(9,BK172:BK176),"")</f>
        <v>0.5</v>
      </c>
      <c r="BL171" s="34" t="str">
        <f t="shared" ref="BL171" si="4338">IF(SUBTOTAL(9,BL172:BL176)&gt;0,SUBTOTAL(9,BL172:BL176),"")</f>
        <v/>
      </c>
      <c r="BM171" s="34" t="str">
        <f t="shared" ref="BM171" si="4339">IF(SUBTOTAL(9,BM172:BM176)&gt;0,SUBTOTAL(9,BM172:BM176),"")</f>
        <v/>
      </c>
      <c r="BN171" s="34" t="str">
        <f t="shared" ref="BN171" si="4340">IF(SUBTOTAL(9,BN172:BN176)&gt;0,SUBTOTAL(9,BN172:BN176),"")</f>
        <v/>
      </c>
      <c r="BO171" s="34" t="str">
        <f t="shared" ref="BO171" si="4341">IF(SUBTOTAL(9,BO172:BO176)&gt;0,SUBTOTAL(9,BO172:BO176),"")</f>
        <v/>
      </c>
      <c r="BP171" s="34">
        <f t="shared" ref="BP171" si="4342">IF(SUBTOTAL(9,BP172:BP176)&gt;0,SUBTOTAL(9,BP172:BP176),"")</f>
        <v>0.5</v>
      </c>
      <c r="BQ171" s="34" t="str">
        <f t="shared" ref="BQ171" si="4343">IF(SUBTOTAL(9,BQ172:BQ176)&gt;0,SUBTOTAL(9,BQ172:BQ176),"")</f>
        <v/>
      </c>
      <c r="BR171" s="34" t="str">
        <f t="shared" ref="BR171" si="4344">IF(SUBTOTAL(9,BR172:BR176)&gt;0,SUBTOTAL(9,BR172:BR176),"")</f>
        <v/>
      </c>
      <c r="BS171" s="34" t="str">
        <f t="shared" ref="BS171" si="4345">IF(SUBTOTAL(9,BS172:BS176)&gt;0,SUBTOTAL(9,BS172:BS176),"")</f>
        <v/>
      </c>
      <c r="BT171" s="34" t="str">
        <f t="shared" ref="BT171" si="4346">IF(SUBTOTAL(9,BT172:BT176)&gt;0,SUBTOTAL(9,BT172:BT176),"")</f>
        <v/>
      </c>
      <c r="BU171" s="34">
        <f t="shared" ref="BU171" si="4347">IF(SUBTOTAL(9,BU172:BU176)&gt;0,SUBTOTAL(9,BU172:BU176),"")</f>
        <v>0.5</v>
      </c>
      <c r="BV171" s="34">
        <f t="shared" ref="BV171" si="4348">IF(SUBTOTAL(9,BV172:BV176)&gt;0,SUBTOTAL(9,BV172:BV176),"")</f>
        <v>1</v>
      </c>
      <c r="BW171" s="34">
        <f t="shared" ref="BW171" si="4349">IF(SUBTOTAL(9,BW172:BW176)&gt;0,SUBTOTAL(9,BW172:BW176),"")</f>
        <v>1</v>
      </c>
      <c r="BX171" s="34">
        <f t="shared" ref="BX171" si="4350">IF(SUBTOTAL(9,BX172:BX176)&gt;0,SUBTOTAL(9,BX172:BX176),"")</f>
        <v>1</v>
      </c>
      <c r="BY171" s="34" t="str">
        <f t="shared" ref="BY171" si="4351">IF(SUBTOTAL(9,BY172:BY176)&gt;0,SUBTOTAL(9,BY172:BY176),"")</f>
        <v/>
      </c>
      <c r="BZ171" s="34" t="str">
        <f t="shared" ref="BZ171" si="4352">IF(SUBTOTAL(9,BZ172:BZ176)&gt;0,SUBTOTAL(9,BZ172:BZ176),"")</f>
        <v/>
      </c>
      <c r="CA171" s="34" t="str">
        <f t="shared" ref="CA171" si="4353">IF(SUBTOTAL(9,CA172:CA176)&gt;0,SUBTOTAL(9,CA172:CA176),"")</f>
        <v/>
      </c>
      <c r="CB171" s="34" t="str">
        <f t="shared" ref="CB171" si="4354">IF(SUBTOTAL(9,CB172:CB176)&gt;0,SUBTOTAL(9,CB172:CB176),"")</f>
        <v/>
      </c>
      <c r="CC171" s="34" t="str">
        <f t="shared" ref="CC171" si="4355">IF(SUBTOTAL(9,CC172:CC176)&gt;0,SUBTOTAL(9,CC172:CC176),"")</f>
        <v/>
      </c>
      <c r="CD171" s="34" t="str">
        <f t="shared" ref="CD171" si="4356">IF(SUBTOTAL(9,CD172:CD176)&gt;0,SUBTOTAL(9,CD172:CD176),"")</f>
        <v/>
      </c>
      <c r="CE171" s="34" t="str">
        <f t="shared" ref="CE171" si="4357">IF(SUBTOTAL(9,CE172:CE176)&gt;0,SUBTOTAL(9,CE172:CE176),"")</f>
        <v/>
      </c>
      <c r="CF171" s="34" t="str">
        <f t="shared" ref="CF171:CG171" si="4358">IF(SUBTOTAL(9,CF172:CF176)&gt;0,SUBTOTAL(9,CF172:CF176),"")</f>
        <v/>
      </c>
      <c r="CG171" s="34" t="str">
        <f t="shared" si="4358"/>
        <v/>
      </c>
      <c r="CH171" s="34" t="str">
        <f t="shared" ref="CH171" si="4359">IF(SUBTOTAL(9,CH172:CH176)&gt;0,SUBTOTAL(9,CH172:CH176),"")</f>
        <v/>
      </c>
      <c r="CI171" s="34" t="str">
        <f t="shared" ref="CI171" si="4360">IF(SUBTOTAL(9,CI172:CI176)&gt;0,SUBTOTAL(9,CI172:CI176),"")</f>
        <v/>
      </c>
      <c r="CJ171" s="34" t="str">
        <f t="shared" ref="CJ171" si="4361">IF(SUBTOTAL(9,CJ172:CJ176)&gt;0,SUBTOTAL(9,CJ172:CJ176),"")</f>
        <v/>
      </c>
      <c r="CK171" s="34" t="str">
        <f t="shared" ref="CK171" si="4362">IF(SUBTOTAL(9,CK172:CK176)&gt;0,SUBTOTAL(9,CK172:CK176),"")</f>
        <v/>
      </c>
      <c r="CL171" s="34" t="str">
        <f t="shared" ref="CL171" si="4363">IF(SUBTOTAL(9,CL172:CL176)&gt;0,SUBTOTAL(9,CL172:CL176),"")</f>
        <v/>
      </c>
      <c r="CM171" s="34" t="str">
        <f t="shared" ref="CM171" si="4364">IF(SUBTOTAL(9,CM172:CM176)&gt;0,SUBTOTAL(9,CM172:CM176),"")</f>
        <v/>
      </c>
      <c r="CN171" s="34" t="str">
        <f t="shared" ref="CN171" si="4365">IF(SUBTOTAL(9,CN172:CN176)&gt;0,SUBTOTAL(9,CN172:CN176),"")</f>
        <v/>
      </c>
      <c r="CO171" s="34" t="str">
        <f t="shared" ref="CO171" si="4366">IF(SUBTOTAL(9,CO172:CO176)&gt;0,SUBTOTAL(9,CO172:CO176),"")</f>
        <v/>
      </c>
      <c r="CP171" s="34" t="str">
        <f t="shared" ref="CP171" si="4367">IF(SUBTOTAL(9,CP172:CP176)&gt;0,SUBTOTAL(9,CP172:CP176),"")</f>
        <v/>
      </c>
      <c r="CQ171" s="34" t="str">
        <f t="shared" ref="CQ171" si="4368">IF(SUBTOTAL(9,CQ172:CQ176)&gt;0,SUBTOTAL(9,CQ172:CQ176),"")</f>
        <v/>
      </c>
      <c r="CR171" s="34" t="str">
        <f t="shared" ref="CR171" si="4369">IF(SUBTOTAL(9,CR172:CR176)&gt;0,SUBTOTAL(9,CR172:CR176),"")</f>
        <v/>
      </c>
      <c r="CS171" s="34" t="str">
        <f t="shared" ref="CS171" si="4370">IF(SUBTOTAL(9,CS172:CS176)&gt;0,SUBTOTAL(9,CS172:CS176),"")</f>
        <v/>
      </c>
      <c r="CT171" s="33" t="str">
        <f t="shared" ref="CT171" si="4371">IF(SUBTOTAL(9,CT172:CT176)&gt;0,SUBTOTAL(9,CT172:CT176),"")</f>
        <v/>
      </c>
      <c r="CU171" s="34" t="str">
        <f t="shared" ref="CU171" si="4372">IF(SUBTOTAL(9,CU172:CU176)&gt;0,SUBTOTAL(9,CU172:CU176),"")</f>
        <v/>
      </c>
      <c r="CV171" s="34" t="str">
        <f t="shared" ref="CV171" si="4373">IF(SUBTOTAL(9,CV172:CV176)&gt;0,SUBTOTAL(9,CV172:CV176),"")</f>
        <v/>
      </c>
      <c r="CW171" s="34" t="str">
        <f t="shared" ref="CW171" si="4374">IF(SUBTOTAL(9,CW172:CW176)&gt;0,SUBTOTAL(9,CW172:CW176),"")</f>
        <v/>
      </c>
      <c r="CX171" s="34" t="str">
        <f t="shared" ref="CX171" si="4375">IF(SUBTOTAL(9,CX172:CX176)&gt;0,SUBTOTAL(9,CX172:CX176),"")</f>
        <v/>
      </c>
      <c r="CY171" s="34" t="str">
        <f t="shared" ref="CY171" si="4376">IF(SUBTOTAL(9,CY172:CY176)&gt;0,SUBTOTAL(9,CY172:CY176),"")</f>
        <v/>
      </c>
      <c r="CZ171" s="33" t="str">
        <f t="shared" ref="CZ171" si="4377">IF(SUBTOTAL(9,CZ172:CZ176)&gt;0,SUBTOTAL(9,CZ172:CZ176),"")</f>
        <v/>
      </c>
      <c r="DA171" s="33" t="str">
        <f t="shared" ref="DA171" si="4378">IF(SUBTOTAL(9,DA172:DA176)&gt;0,SUBTOTAL(9,DA172:DA176),"")</f>
        <v/>
      </c>
      <c r="DB171" s="34" t="str">
        <f t="shared" ref="DB171" si="4379">IF(SUBTOTAL(9,DB172:DB176)&gt;0,SUBTOTAL(9,DB172:DB176),"")</f>
        <v/>
      </c>
      <c r="DC171" s="34" t="str">
        <f t="shared" ref="DC171" si="4380">IF(SUBTOTAL(9,DC172:DC176)&gt;0,SUBTOTAL(9,DC172:DC176),"")</f>
        <v/>
      </c>
      <c r="DD171" s="34" t="str">
        <f t="shared" ref="DD171" si="4381">IF(SUBTOTAL(9,DD172:DD176)&gt;0,SUBTOTAL(9,DD172:DD176),"")</f>
        <v/>
      </c>
      <c r="DE171" s="34" t="str">
        <f t="shared" ref="DE171" si="4382">IF(SUBTOTAL(9,DE172:DE176)&gt;0,SUBTOTAL(9,DE172:DE176),"")</f>
        <v/>
      </c>
      <c r="DF171" s="34" t="str">
        <f t="shared" ref="DF171" si="4383">IF(SUBTOTAL(9,DF172:DF176)&gt;0,SUBTOTAL(9,DF172:DF176),"")</f>
        <v/>
      </c>
      <c r="DG171" s="34" t="str">
        <f t="shared" ref="DG171" si="4384">IF(SUBTOTAL(9,DG172:DG176)&gt;0,SUBTOTAL(9,DG172:DG176),"")</f>
        <v/>
      </c>
      <c r="DH171" s="34" t="str">
        <f t="shared" ref="DH171" si="4385">IF(SUBTOTAL(9,DH172:DH176)&gt;0,SUBTOTAL(9,DH172:DH176),"")</f>
        <v/>
      </c>
      <c r="DI171" s="34" t="str">
        <f t="shared" ref="DI171" si="4386">IF(SUBTOTAL(9,DI172:DI176)&gt;0,SUBTOTAL(9,DI172:DI176),"")</f>
        <v/>
      </c>
      <c r="DJ171" s="34" t="str">
        <f t="shared" ref="DJ171" si="4387">IF(SUBTOTAL(9,DJ172:DJ176)&gt;0,SUBTOTAL(9,DJ172:DJ176),"")</f>
        <v/>
      </c>
      <c r="DK171" s="34" t="str">
        <f t="shared" ref="DK171" si="4388">IF(SUBTOTAL(9,DK172:DK176)&gt;0,SUBTOTAL(9,DK172:DK176),"")</f>
        <v/>
      </c>
      <c r="DL171" s="34" t="str">
        <f t="shared" ref="DL171" si="4389">IF(SUBTOTAL(9,DL172:DL176)&gt;0,SUBTOTAL(9,DL172:DL176),"")</f>
        <v/>
      </c>
      <c r="DM171" s="34" t="str">
        <f t="shared" ref="DM171" si="4390">IF(SUBTOTAL(9,DM172:DM176)&gt;0,SUBTOTAL(9,DM172:DM176),"")</f>
        <v/>
      </c>
      <c r="DN171" s="34" t="str">
        <f t="shared" ref="DN171" si="4391">IF(SUBTOTAL(9,DN172:DN176)&gt;0,SUBTOTAL(9,DN172:DN176),"")</f>
        <v/>
      </c>
      <c r="DO171" s="34" t="str">
        <f t="shared" ref="DO171" si="4392">IF(SUBTOTAL(9,DO172:DO176)&gt;0,SUBTOTAL(9,DO172:DO176),"")</f>
        <v/>
      </c>
      <c r="DP171" s="34" t="str">
        <f t="shared" ref="DP171" si="4393">IF(SUBTOTAL(9,DP172:DP176)&gt;0,SUBTOTAL(9,DP172:DP176),"")</f>
        <v/>
      </c>
      <c r="DQ171" s="34" t="str">
        <f t="shared" ref="DQ171" si="4394">IF(SUBTOTAL(9,DQ172:DQ176)&gt;0,SUBTOTAL(9,DQ172:DQ176),"")</f>
        <v/>
      </c>
      <c r="DR171" s="34" t="str">
        <f t="shared" ref="DR171" si="4395">IF(SUBTOTAL(9,DR172:DR176)&gt;0,SUBTOTAL(9,DR172:DR176),"")</f>
        <v/>
      </c>
      <c r="DS171" s="34" t="str">
        <f t="shared" ref="DS171" si="4396">IF(SUBTOTAL(9,DS172:DS176)&gt;0,SUBTOTAL(9,DS172:DS176),"")</f>
        <v/>
      </c>
      <c r="DT171" s="34" t="str">
        <f t="shared" ref="DT171" si="4397">IF(SUBTOTAL(9,DT172:DT176)&gt;0,SUBTOTAL(9,DT172:DT176),"")</f>
        <v/>
      </c>
      <c r="DU171" s="34" t="str">
        <f t="shared" ref="DU171" si="4398">IF(SUBTOTAL(9,DU172:DU176)&gt;0,SUBTOTAL(9,DU172:DU176),"")</f>
        <v/>
      </c>
      <c r="DV171" s="34" t="str">
        <f t="shared" ref="DV171" si="4399">IF(SUBTOTAL(9,DV172:DV176)&gt;0,SUBTOTAL(9,DV172:DV176),"")</f>
        <v/>
      </c>
      <c r="DW171" s="34" t="str">
        <f t="shared" ref="DW171" si="4400">IF(SUBTOTAL(9,DW172:DW176)&gt;0,SUBTOTAL(9,DW172:DW176),"")</f>
        <v/>
      </c>
      <c r="DX171" s="34" t="str">
        <f t="shared" ref="DX171" si="4401">IF(SUBTOTAL(9,DX172:DX176)&gt;0,SUBTOTAL(9,DX172:DX176),"")</f>
        <v/>
      </c>
      <c r="DY171" s="34" t="str">
        <f t="shared" ref="DY171" si="4402">IF(SUBTOTAL(9,DY172:DY176)&gt;0,SUBTOTAL(9,DY172:DY176),"")</f>
        <v/>
      </c>
      <c r="DZ171" s="33" t="str">
        <f t="shared" ref="DZ171" si="4403">IF(SUBTOTAL(9,DZ172:DZ176)&gt;0,SUBTOTAL(9,DZ172:DZ176),"")</f>
        <v/>
      </c>
      <c r="EA171" s="34" t="str">
        <f t="shared" ref="EA171" si="4404">IF(SUBTOTAL(9,EA172:EA176)&gt;0,SUBTOTAL(9,EA172:EA176),"")</f>
        <v/>
      </c>
      <c r="EB171" s="34" t="str">
        <f t="shared" ref="EB171" si="4405">IF(SUBTOTAL(9,EB172:EB176)&gt;0,SUBTOTAL(9,EB172:EB176),"")</f>
        <v/>
      </c>
      <c r="EC171" s="34" t="str">
        <f t="shared" ref="EC171" si="4406">IF(SUBTOTAL(9,EC172:EC176)&gt;0,SUBTOTAL(9,EC172:EC176),"")</f>
        <v/>
      </c>
      <c r="ED171" s="34" t="str">
        <f t="shared" ref="ED171" si="4407">IF(SUBTOTAL(9,ED172:ED176)&gt;0,SUBTOTAL(9,ED172:ED176),"")</f>
        <v/>
      </c>
      <c r="EE171" s="34" t="str">
        <f t="shared" ref="EE171" si="4408">IF(SUBTOTAL(9,EE172:EE176)&gt;0,SUBTOTAL(9,EE172:EE176),"")</f>
        <v/>
      </c>
      <c r="EF171" s="34" t="str">
        <f t="shared" ref="EF171" si="4409">IF(SUBTOTAL(9,EF172:EF176)&gt;0,SUBTOTAL(9,EF172:EF176),"")</f>
        <v/>
      </c>
      <c r="EG171" s="34" t="str">
        <f t="shared" ref="EG171" si="4410">IF(SUBTOTAL(9,EG172:EG176)&gt;0,SUBTOTAL(9,EG172:EG176),"")</f>
        <v/>
      </c>
      <c r="EH171" s="34" t="str">
        <f t="shared" ref="EH171" si="4411">IF(SUBTOTAL(9,EH172:EH176)&gt;0,SUBTOTAL(9,EH172:EH176),"")</f>
        <v/>
      </c>
      <c r="EI171" s="34" t="str">
        <f t="shared" ref="EI171" si="4412">IF(SUBTOTAL(9,EI172:EI176)&gt;0,SUBTOTAL(9,EI172:EI176),"")</f>
        <v/>
      </c>
      <c r="EJ171" s="34" t="str">
        <f t="shared" ref="EJ171" si="4413">IF(SUBTOTAL(9,EJ172:EJ176)&gt;0,SUBTOTAL(9,EJ172:EJ176),"")</f>
        <v/>
      </c>
      <c r="EK171" s="34" t="str">
        <f t="shared" ref="EK171" si="4414">IF(SUBTOTAL(9,EK172:EK176)&gt;0,SUBTOTAL(9,EK172:EK176),"")</f>
        <v/>
      </c>
      <c r="EL171" s="34" t="str">
        <f t="shared" ref="EL171" si="4415">IF(SUBTOTAL(9,EL172:EL176)&gt;0,SUBTOTAL(9,EL172:EL176),"")</f>
        <v/>
      </c>
      <c r="EM171" s="34" t="str">
        <f t="shared" ref="EM171" si="4416">IF(SUBTOTAL(9,EM172:EM176)&gt;0,SUBTOTAL(9,EM172:EM176),"")</f>
        <v/>
      </c>
      <c r="EN171" s="34" t="str">
        <f t="shared" ref="EN171" si="4417">IF(SUBTOTAL(9,EN172:EN176)&gt;0,SUBTOTAL(9,EN172:EN176),"")</f>
        <v/>
      </c>
      <c r="EO171" s="34" t="str">
        <f t="shared" ref="EO171" si="4418">IF(SUBTOTAL(9,EO172:EO176)&gt;0,SUBTOTAL(9,EO172:EO176),"")</f>
        <v/>
      </c>
      <c r="EP171" s="34" t="str">
        <f t="shared" ref="EP171" si="4419">IF(SUBTOTAL(9,EP172:EP176)&gt;0,SUBTOTAL(9,EP172:EP176),"")</f>
        <v/>
      </c>
      <c r="EQ171" s="34" t="str">
        <f t="shared" ref="EQ171" si="4420">IF(SUBTOTAL(9,EQ172:EQ176)&gt;0,SUBTOTAL(9,EQ172:EQ176),"")</f>
        <v/>
      </c>
      <c r="ER171" s="34" t="str">
        <f t="shared" ref="ER171" si="4421">IF(SUBTOTAL(9,ER172:ER176)&gt;0,SUBTOTAL(9,ER172:ER176),"")</f>
        <v/>
      </c>
      <c r="ES171" s="34" t="str">
        <f t="shared" ref="ES171" si="4422">IF(SUBTOTAL(9,ES172:ES176)&gt;0,SUBTOTAL(9,ES172:ES176),"")</f>
        <v/>
      </c>
      <c r="ET171" s="34" t="str">
        <f t="shared" ref="ET171" si="4423">IF(SUBTOTAL(9,ET172:ET176)&gt;0,SUBTOTAL(9,ET172:ET176),"")</f>
        <v/>
      </c>
      <c r="EU171" s="34" t="str">
        <f t="shared" ref="EU171" si="4424">IF(SUBTOTAL(9,EU172:EU176)&gt;0,SUBTOTAL(9,EU172:EU176),"")</f>
        <v/>
      </c>
      <c r="EV171" s="34" t="str">
        <f t="shared" ref="EV171" si="4425">IF(SUBTOTAL(9,EV172:EV176)&gt;0,SUBTOTAL(9,EV172:EV176),"")</f>
        <v/>
      </c>
      <c r="EW171" s="34" t="str">
        <f t="shared" ref="EW171" si="4426">IF(SUBTOTAL(9,EW172:EW176)&gt;0,SUBTOTAL(9,EW172:EW176),"")</f>
        <v/>
      </c>
      <c r="EX171" s="34" t="str">
        <f t="shared" ref="EX171" si="4427">IF(SUBTOTAL(9,EX172:EX176)&gt;0,SUBTOTAL(9,EX172:EX176),"")</f>
        <v/>
      </c>
      <c r="EY171" s="33" t="str">
        <f t="shared" ref="EY171" si="4428">IF(SUBTOTAL(9,EY172:EY176)&gt;0,SUBTOTAL(9,EY172:EY176),"")</f>
        <v/>
      </c>
      <c r="EZ171" s="34" t="str">
        <f t="shared" ref="EZ171" si="4429">IF(SUBTOTAL(9,EZ172:EZ176)&gt;0,SUBTOTAL(9,EZ172:EZ176),"")</f>
        <v/>
      </c>
      <c r="FA171" s="34" t="str">
        <f t="shared" ref="FA171" si="4430">IF(SUBTOTAL(9,FA172:FA176)&gt;0,SUBTOTAL(9,FA172:FA176),"")</f>
        <v/>
      </c>
      <c r="FB171" s="34" t="str">
        <f t="shared" ref="FB171" si="4431">IF(SUBTOTAL(9,FB172:FB176)&gt;0,SUBTOTAL(9,FB172:FB176),"")</f>
        <v/>
      </c>
      <c r="FC171" s="34" t="str">
        <f t="shared" ref="FC171" si="4432">IF(SUBTOTAL(9,FC172:FC176)&gt;0,SUBTOTAL(9,FC172:FC176),"")</f>
        <v/>
      </c>
      <c r="FD171" s="34" t="str">
        <f t="shared" ref="FD171" si="4433">IF(SUBTOTAL(9,FD172:FD176)&gt;0,SUBTOTAL(9,FD172:FD176),"")</f>
        <v/>
      </c>
      <c r="FE171" s="34" t="str">
        <f t="shared" ref="FE171" si="4434">IF(SUBTOTAL(9,FE172:FE176)&gt;0,SUBTOTAL(9,FE172:FE176),"")</f>
        <v/>
      </c>
      <c r="FF171" s="34" t="str">
        <f t="shared" ref="FF171" si="4435">IF(SUBTOTAL(9,FF172:FF176)&gt;0,SUBTOTAL(9,FF172:FF176),"")</f>
        <v/>
      </c>
      <c r="FG171" s="34" t="str">
        <f t="shared" ref="FG171" si="4436">IF(SUBTOTAL(9,FG172:FG176)&gt;0,SUBTOTAL(9,FG172:FG176),"")</f>
        <v/>
      </c>
      <c r="FH171" s="34" t="str">
        <f t="shared" ref="FH171" si="4437">IF(SUBTOTAL(9,FH172:FH176)&gt;0,SUBTOTAL(9,FH172:FH176),"")</f>
        <v/>
      </c>
      <c r="FI171" s="34" t="str">
        <f t="shared" ref="FI171" si="4438">IF(SUBTOTAL(9,FI172:FI176)&gt;0,SUBTOTAL(9,FI172:FI176),"")</f>
        <v/>
      </c>
      <c r="FJ171" s="34" t="str">
        <f t="shared" ref="FJ171" si="4439">IF(SUBTOTAL(9,FJ172:FJ176)&gt;0,SUBTOTAL(9,FJ172:FJ176),"")</f>
        <v/>
      </c>
      <c r="FK171" s="34" t="str">
        <f t="shared" ref="FK171" si="4440">IF(SUBTOTAL(9,FK172:FK176)&gt;0,SUBTOTAL(9,FK172:FK176),"")</f>
        <v/>
      </c>
      <c r="FL171" s="34" t="str">
        <f t="shared" ref="FL171" si="4441">IF(SUBTOTAL(9,FL172:FL176)&gt;0,SUBTOTAL(9,FL172:FL176),"")</f>
        <v/>
      </c>
      <c r="FM171" s="34" t="str">
        <f t="shared" ref="FM171" si="4442">IF(SUBTOTAL(9,FM172:FM176)&gt;0,SUBTOTAL(9,FM172:FM176),"")</f>
        <v/>
      </c>
      <c r="FN171" s="34" t="str">
        <f t="shared" ref="FN171" si="4443">IF(SUBTOTAL(9,FN172:FN176)&gt;0,SUBTOTAL(9,FN172:FN176),"")</f>
        <v/>
      </c>
      <c r="FO171" s="34" t="str">
        <f t="shared" ref="FO171" si="4444">IF(SUBTOTAL(9,FO172:FO176)&gt;0,SUBTOTAL(9,FO172:FO176),"")</f>
        <v/>
      </c>
      <c r="FP171" s="34" t="str">
        <f t="shared" ref="FP171" si="4445">IF(SUBTOTAL(9,FP172:FP176)&gt;0,SUBTOTAL(9,FP172:FP176),"")</f>
        <v/>
      </c>
      <c r="FQ171" s="92" t="str">
        <f t="shared" ref="FQ171" si="4446">IF(SUBTOTAL(9,FQ172:FQ176)&gt;0,SUBTOTAL(9,FQ172:FQ176),"")</f>
        <v/>
      </c>
      <c r="FR171" s="8"/>
      <c r="FS171" s="9" t="s">
        <v>131</v>
      </c>
      <c r="FT171" s="9" t="str">
        <f t="shared" si="3664"/>
        <v/>
      </c>
    </row>
    <row r="172" spans="1:176" s="9" customFormat="1" ht="12" hidden="1" customHeight="1" outlineLevel="1">
      <c r="A172" s="129" t="s">
        <v>4</v>
      </c>
      <c r="B172" s="130" t="s">
        <v>10</v>
      </c>
      <c r="C172" s="131" t="str">
        <f t="shared" si="3515"/>
        <v>6 days</v>
      </c>
      <c r="D172" s="101" t="str">
        <f>A164&amp;" "&amp;A171</f>
        <v>6. SFCR Development &amp; Dry Run 6.2 Review</v>
      </c>
      <c r="E172" s="51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5"/>
      <c r="AK172" s="35"/>
      <c r="AL172" s="36"/>
      <c r="AM172" s="36"/>
      <c r="AN172" s="36"/>
      <c r="AO172" s="36"/>
      <c r="AP172" s="36"/>
      <c r="AQ172" s="36"/>
      <c r="AR172" s="36"/>
      <c r="AS172" s="35"/>
      <c r="AT172" s="35"/>
      <c r="AU172" s="35"/>
      <c r="AV172" s="35"/>
      <c r="AW172" s="35"/>
      <c r="AX172" s="35"/>
      <c r="AY172" s="35"/>
      <c r="AZ172" s="35"/>
      <c r="BA172" s="35">
        <v>0.5</v>
      </c>
      <c r="BB172" s="35"/>
      <c r="BC172" s="35"/>
      <c r="BD172" s="35"/>
      <c r="BE172" s="35"/>
      <c r="BF172" s="35">
        <v>0.5</v>
      </c>
      <c r="BG172" s="35"/>
      <c r="BH172" s="35"/>
      <c r="BI172" s="35"/>
      <c r="BJ172" s="35"/>
      <c r="BK172" s="35">
        <v>0.5</v>
      </c>
      <c r="BL172" s="35"/>
      <c r="BM172" s="35"/>
      <c r="BN172" s="35"/>
      <c r="BO172" s="35"/>
      <c r="BP172" s="35">
        <v>0.5</v>
      </c>
      <c r="BQ172" s="35"/>
      <c r="BR172" s="35"/>
      <c r="BS172" s="35"/>
      <c r="BT172" s="35"/>
      <c r="BU172" s="35">
        <v>0.5</v>
      </c>
      <c r="BV172" s="35">
        <v>1</v>
      </c>
      <c r="BW172" s="35">
        <v>1</v>
      </c>
      <c r="BX172" s="35">
        <v>1</v>
      </c>
      <c r="BY172" s="35"/>
      <c r="BZ172" s="35"/>
      <c r="CA172" s="35"/>
      <c r="CB172" s="35"/>
      <c r="CC172" s="35"/>
      <c r="CD172" s="35"/>
      <c r="CE172" s="35"/>
      <c r="CF172" s="35"/>
      <c r="CG172" s="35"/>
      <c r="CH172" s="35"/>
      <c r="CI172" s="35"/>
      <c r="CJ172" s="35"/>
      <c r="CK172" s="35"/>
      <c r="CL172" s="35"/>
      <c r="CM172" s="35"/>
      <c r="CN172" s="35"/>
      <c r="CO172" s="35"/>
      <c r="CP172" s="35"/>
      <c r="CQ172" s="35"/>
      <c r="CR172" s="35"/>
      <c r="CS172" s="35"/>
      <c r="CT172" s="36"/>
      <c r="CU172" s="35"/>
      <c r="CV172" s="35"/>
      <c r="CW172" s="35"/>
      <c r="CX172" s="35"/>
      <c r="CY172" s="35"/>
      <c r="CZ172" s="36"/>
      <c r="DA172" s="36"/>
      <c r="DB172" s="35"/>
      <c r="DC172" s="35"/>
      <c r="DD172" s="35"/>
      <c r="DE172" s="35"/>
      <c r="DF172" s="35"/>
      <c r="DG172" s="35"/>
      <c r="DH172" s="35"/>
      <c r="DI172" s="35"/>
      <c r="DJ172" s="35"/>
      <c r="DK172" s="35"/>
      <c r="DL172" s="35"/>
      <c r="DM172" s="35"/>
      <c r="DN172" s="35"/>
      <c r="DO172" s="35"/>
      <c r="DP172" s="35"/>
      <c r="DQ172" s="35"/>
      <c r="DR172" s="35"/>
      <c r="DS172" s="35"/>
      <c r="DT172" s="35"/>
      <c r="DU172" s="35"/>
      <c r="DV172" s="35"/>
      <c r="DW172" s="35"/>
      <c r="DX172" s="35"/>
      <c r="DY172" s="35"/>
      <c r="DZ172" s="36"/>
      <c r="EA172" s="35"/>
      <c r="EB172" s="35"/>
      <c r="EC172" s="35"/>
      <c r="ED172" s="35"/>
      <c r="EE172" s="35"/>
      <c r="EF172" s="35"/>
      <c r="EG172" s="35"/>
      <c r="EH172" s="35"/>
      <c r="EI172" s="35"/>
      <c r="EJ172" s="35"/>
      <c r="EK172" s="35"/>
      <c r="EL172" s="35"/>
      <c r="EM172" s="35"/>
      <c r="EN172" s="35"/>
      <c r="EO172" s="35"/>
      <c r="EP172" s="35"/>
      <c r="EQ172" s="35"/>
      <c r="ER172" s="35"/>
      <c r="ES172" s="35"/>
      <c r="ET172" s="35"/>
      <c r="EU172" s="35"/>
      <c r="EV172" s="35"/>
      <c r="EW172" s="35"/>
      <c r="EX172" s="35"/>
      <c r="EY172" s="36"/>
      <c r="EZ172" s="35"/>
      <c r="FA172" s="35"/>
      <c r="FB172" s="35"/>
      <c r="FC172" s="35"/>
      <c r="FD172" s="35"/>
      <c r="FE172" s="35"/>
      <c r="FF172" s="35"/>
      <c r="FG172" s="35"/>
      <c r="FH172" s="35"/>
      <c r="FI172" s="35"/>
      <c r="FJ172" s="35"/>
      <c r="FK172" s="35"/>
      <c r="FL172" s="35"/>
      <c r="FM172" s="35"/>
      <c r="FN172" s="35"/>
      <c r="FO172" s="35"/>
      <c r="FP172" s="35"/>
      <c r="FQ172" s="52"/>
      <c r="FR172" s="8"/>
      <c r="FS172" s="9" t="s">
        <v>13</v>
      </c>
      <c r="FT172" s="9" t="str">
        <f t="shared" si="3664"/>
        <v>6. SFCR Development &amp; Dry Run 6.2 ReviewGlenn Kirk</v>
      </c>
    </row>
    <row r="173" spans="1:176" s="9" customFormat="1" ht="12" hidden="1" customHeight="1" outlineLevel="1">
      <c r="A173" s="122"/>
      <c r="B173" s="123"/>
      <c r="C173" s="124" t="str">
        <f t="shared" si="3515"/>
        <v>0 days</v>
      </c>
      <c r="D173" s="13" t="str">
        <f>A164&amp;" "&amp;A171</f>
        <v>6. SFCR Development &amp; Dry Run 6.2 Review</v>
      </c>
      <c r="E173" s="51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5"/>
      <c r="AK173" s="35"/>
      <c r="AL173" s="36"/>
      <c r="AM173" s="36"/>
      <c r="AN173" s="36"/>
      <c r="AO173" s="36"/>
      <c r="AP173" s="36"/>
      <c r="AQ173" s="36"/>
      <c r="AR173" s="36"/>
      <c r="AS173" s="35"/>
      <c r="AT173" s="35"/>
      <c r="AU173" s="35"/>
      <c r="AV173" s="35"/>
      <c r="AW173" s="35"/>
      <c r="AX173" s="35"/>
      <c r="AY173" s="35"/>
      <c r="AZ173" s="35"/>
      <c r="BA173" s="35"/>
      <c r="BB173" s="35"/>
      <c r="BC173" s="35"/>
      <c r="BD173" s="35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35"/>
      <c r="BU173" s="35"/>
      <c r="BV173" s="35"/>
      <c r="BW173" s="35"/>
      <c r="BX173" s="35"/>
      <c r="BY173" s="35"/>
      <c r="BZ173" s="35"/>
      <c r="CA173" s="35"/>
      <c r="CB173" s="35"/>
      <c r="CC173" s="35"/>
      <c r="CD173" s="35"/>
      <c r="CE173" s="35"/>
      <c r="CF173" s="35"/>
      <c r="CG173" s="35"/>
      <c r="CH173" s="35"/>
      <c r="CI173" s="35"/>
      <c r="CJ173" s="35"/>
      <c r="CK173" s="35"/>
      <c r="CL173" s="35"/>
      <c r="CM173" s="35"/>
      <c r="CN173" s="35"/>
      <c r="CO173" s="35"/>
      <c r="CP173" s="35"/>
      <c r="CQ173" s="35"/>
      <c r="CR173" s="35"/>
      <c r="CS173" s="35"/>
      <c r="CT173" s="36"/>
      <c r="CU173" s="35"/>
      <c r="CV173" s="35"/>
      <c r="CW173" s="35"/>
      <c r="CX173" s="35"/>
      <c r="CY173" s="35"/>
      <c r="CZ173" s="36"/>
      <c r="DA173" s="36"/>
      <c r="DB173" s="35"/>
      <c r="DC173" s="35"/>
      <c r="DD173" s="35"/>
      <c r="DE173" s="35"/>
      <c r="DF173" s="35"/>
      <c r="DG173" s="35"/>
      <c r="DH173" s="35"/>
      <c r="DI173" s="35"/>
      <c r="DJ173" s="35"/>
      <c r="DK173" s="35"/>
      <c r="DL173" s="35"/>
      <c r="DM173" s="35"/>
      <c r="DN173" s="35"/>
      <c r="DO173" s="35"/>
      <c r="DP173" s="35"/>
      <c r="DQ173" s="35"/>
      <c r="DR173" s="35"/>
      <c r="DS173" s="35"/>
      <c r="DT173" s="35"/>
      <c r="DU173" s="35"/>
      <c r="DV173" s="35"/>
      <c r="DW173" s="35"/>
      <c r="DX173" s="35"/>
      <c r="DY173" s="35"/>
      <c r="DZ173" s="36"/>
      <c r="EA173" s="35"/>
      <c r="EB173" s="35"/>
      <c r="EC173" s="35"/>
      <c r="ED173" s="35"/>
      <c r="EE173" s="35"/>
      <c r="EF173" s="35"/>
      <c r="EG173" s="35"/>
      <c r="EH173" s="35"/>
      <c r="EI173" s="35"/>
      <c r="EJ173" s="35"/>
      <c r="EK173" s="35"/>
      <c r="EL173" s="35"/>
      <c r="EM173" s="35"/>
      <c r="EN173" s="35"/>
      <c r="EO173" s="35"/>
      <c r="EP173" s="35"/>
      <c r="EQ173" s="35"/>
      <c r="ER173" s="35"/>
      <c r="ES173" s="35"/>
      <c r="ET173" s="35"/>
      <c r="EU173" s="35"/>
      <c r="EV173" s="35"/>
      <c r="EW173" s="35"/>
      <c r="EX173" s="35"/>
      <c r="EY173" s="36"/>
      <c r="EZ173" s="35"/>
      <c r="FA173" s="35"/>
      <c r="FB173" s="35"/>
      <c r="FC173" s="35"/>
      <c r="FD173" s="35"/>
      <c r="FE173" s="35"/>
      <c r="FF173" s="35"/>
      <c r="FG173" s="35"/>
      <c r="FH173" s="35"/>
      <c r="FI173" s="35"/>
      <c r="FJ173" s="35"/>
      <c r="FK173" s="35"/>
      <c r="FL173" s="35"/>
      <c r="FM173" s="35"/>
      <c r="FN173" s="35"/>
      <c r="FO173" s="35"/>
      <c r="FP173" s="35"/>
      <c r="FQ173" s="52"/>
      <c r="FR173" s="8"/>
      <c r="FS173" s="9" t="s">
        <v>13</v>
      </c>
      <c r="FT173" s="9" t="str">
        <f t="shared" si="3664"/>
        <v>6. SFCR Development &amp; Dry Run 6.2 Review</v>
      </c>
    </row>
    <row r="174" spans="1:176" s="9" customFormat="1" ht="12" hidden="1" customHeight="1" outlineLevel="1">
      <c r="A174" s="125" t="s">
        <v>50</v>
      </c>
      <c r="B174" s="123"/>
      <c r="C174" s="124" t="str">
        <f t="shared" si="3515"/>
        <v>0 days</v>
      </c>
      <c r="D174" s="13" t="str">
        <f>A164&amp;" "&amp;A171</f>
        <v>6. SFCR Development &amp; Dry Run 6.2 Review</v>
      </c>
      <c r="E174" s="51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5"/>
      <c r="AK174" s="35"/>
      <c r="AL174" s="36"/>
      <c r="AM174" s="36"/>
      <c r="AN174" s="36"/>
      <c r="AO174" s="36"/>
      <c r="AP174" s="36"/>
      <c r="AQ174" s="36"/>
      <c r="AR174" s="36"/>
      <c r="AS174" s="35"/>
      <c r="AT174" s="35"/>
      <c r="AU174" s="35"/>
      <c r="AV174" s="35"/>
      <c r="AW174" s="35"/>
      <c r="AX174" s="35"/>
      <c r="AY174" s="35"/>
      <c r="AZ174" s="35"/>
      <c r="BA174" s="35"/>
      <c r="BB174" s="35"/>
      <c r="BC174" s="35"/>
      <c r="BD174" s="35"/>
      <c r="BE174" s="35"/>
      <c r="BF174" s="35"/>
      <c r="BG174" s="35"/>
      <c r="BH174" s="35"/>
      <c r="BI174" s="35"/>
      <c r="BJ174" s="35"/>
      <c r="BK174" s="35"/>
      <c r="BL174" s="35"/>
      <c r="BM174" s="35"/>
      <c r="BN174" s="35"/>
      <c r="BO174" s="35"/>
      <c r="BP174" s="35"/>
      <c r="BQ174" s="35"/>
      <c r="BR174" s="35"/>
      <c r="BS174" s="35"/>
      <c r="BT174" s="35"/>
      <c r="BU174" s="35"/>
      <c r="BV174" s="35"/>
      <c r="BW174" s="35"/>
      <c r="BX174" s="35"/>
      <c r="BY174" s="35"/>
      <c r="BZ174" s="35"/>
      <c r="CA174" s="35"/>
      <c r="CB174" s="35"/>
      <c r="CC174" s="35"/>
      <c r="CD174" s="35"/>
      <c r="CE174" s="35"/>
      <c r="CF174" s="35"/>
      <c r="CG174" s="35"/>
      <c r="CH174" s="35"/>
      <c r="CI174" s="35"/>
      <c r="CJ174" s="35"/>
      <c r="CK174" s="35"/>
      <c r="CL174" s="35"/>
      <c r="CM174" s="35"/>
      <c r="CN174" s="35"/>
      <c r="CO174" s="35"/>
      <c r="CP174" s="35"/>
      <c r="CQ174" s="35"/>
      <c r="CR174" s="35"/>
      <c r="CS174" s="35"/>
      <c r="CT174" s="36"/>
      <c r="CU174" s="35"/>
      <c r="CV174" s="35"/>
      <c r="CW174" s="35"/>
      <c r="CX174" s="35"/>
      <c r="CY174" s="35"/>
      <c r="CZ174" s="36"/>
      <c r="DA174" s="36"/>
      <c r="DB174" s="35"/>
      <c r="DC174" s="35"/>
      <c r="DD174" s="35"/>
      <c r="DE174" s="35"/>
      <c r="DF174" s="35"/>
      <c r="DG174" s="35"/>
      <c r="DH174" s="35"/>
      <c r="DI174" s="35"/>
      <c r="DJ174" s="35"/>
      <c r="DK174" s="35"/>
      <c r="DL174" s="35"/>
      <c r="DM174" s="35"/>
      <c r="DN174" s="35"/>
      <c r="DO174" s="35"/>
      <c r="DP174" s="35"/>
      <c r="DQ174" s="35"/>
      <c r="DR174" s="35"/>
      <c r="DS174" s="35"/>
      <c r="DT174" s="35"/>
      <c r="DU174" s="35"/>
      <c r="DV174" s="35"/>
      <c r="DW174" s="35"/>
      <c r="DX174" s="35"/>
      <c r="DY174" s="35"/>
      <c r="DZ174" s="36"/>
      <c r="EA174" s="35"/>
      <c r="EB174" s="35"/>
      <c r="EC174" s="35"/>
      <c r="ED174" s="35"/>
      <c r="EE174" s="35"/>
      <c r="EF174" s="35"/>
      <c r="EG174" s="35"/>
      <c r="EH174" s="35"/>
      <c r="EI174" s="35"/>
      <c r="EJ174" s="35"/>
      <c r="EK174" s="35"/>
      <c r="EL174" s="35"/>
      <c r="EM174" s="35"/>
      <c r="EN174" s="35"/>
      <c r="EO174" s="35"/>
      <c r="EP174" s="35"/>
      <c r="EQ174" s="35"/>
      <c r="ER174" s="35"/>
      <c r="ES174" s="35"/>
      <c r="ET174" s="35"/>
      <c r="EU174" s="35"/>
      <c r="EV174" s="35"/>
      <c r="EW174" s="35"/>
      <c r="EX174" s="35"/>
      <c r="EY174" s="36"/>
      <c r="EZ174" s="35"/>
      <c r="FA174" s="35"/>
      <c r="FB174" s="35"/>
      <c r="FC174" s="35"/>
      <c r="FD174" s="35"/>
      <c r="FE174" s="35"/>
      <c r="FF174" s="35"/>
      <c r="FG174" s="35"/>
      <c r="FH174" s="35"/>
      <c r="FI174" s="35"/>
      <c r="FJ174" s="35"/>
      <c r="FK174" s="35"/>
      <c r="FL174" s="35"/>
      <c r="FM174" s="35"/>
      <c r="FN174" s="35"/>
      <c r="FO174" s="35"/>
      <c r="FP174" s="35"/>
      <c r="FQ174" s="52"/>
      <c r="FR174" s="8"/>
      <c r="FS174" s="9" t="s">
        <v>13</v>
      </c>
      <c r="FT174" s="9" t="str">
        <f t="shared" si="3664"/>
        <v>6. SFCR Development &amp; Dry Run 6.2 Review</v>
      </c>
    </row>
    <row r="175" spans="1:176" s="9" customFormat="1" ht="12" hidden="1" customHeight="1" outlineLevel="1">
      <c r="A175" s="125" t="s">
        <v>50</v>
      </c>
      <c r="B175" s="123"/>
      <c r="C175" s="124" t="str">
        <f t="shared" si="3515"/>
        <v>0 days</v>
      </c>
      <c r="D175" s="13" t="str">
        <f>A164&amp;" "&amp;A171</f>
        <v>6. SFCR Development &amp; Dry Run 6.2 Review</v>
      </c>
      <c r="E175" s="51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5"/>
      <c r="AK175" s="35"/>
      <c r="AL175" s="36"/>
      <c r="AM175" s="36"/>
      <c r="AN175" s="36"/>
      <c r="AO175" s="36"/>
      <c r="AP175" s="36"/>
      <c r="AQ175" s="36"/>
      <c r="AR175" s="36"/>
      <c r="AS175" s="35"/>
      <c r="AT175" s="35"/>
      <c r="AU175" s="35"/>
      <c r="AV175" s="35"/>
      <c r="AW175" s="35"/>
      <c r="AX175" s="35"/>
      <c r="AY175" s="35"/>
      <c r="AZ175" s="35"/>
      <c r="BA175" s="35"/>
      <c r="BB175" s="35"/>
      <c r="BC175" s="35"/>
      <c r="BD175" s="35"/>
      <c r="BE175" s="35"/>
      <c r="BF175" s="35"/>
      <c r="BG175" s="35"/>
      <c r="BH175" s="35"/>
      <c r="BI175" s="35"/>
      <c r="BJ175" s="35"/>
      <c r="BK175" s="35"/>
      <c r="BL175" s="35"/>
      <c r="BM175" s="35"/>
      <c r="BN175" s="35"/>
      <c r="BO175" s="35"/>
      <c r="BP175" s="35"/>
      <c r="BQ175" s="35"/>
      <c r="BR175" s="35"/>
      <c r="BS175" s="35"/>
      <c r="BT175" s="35"/>
      <c r="BU175" s="35"/>
      <c r="BV175" s="35"/>
      <c r="BW175" s="35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6"/>
      <c r="CU175" s="35"/>
      <c r="CV175" s="35"/>
      <c r="CW175" s="35"/>
      <c r="CX175" s="35"/>
      <c r="CY175" s="35"/>
      <c r="CZ175" s="36"/>
      <c r="DA175" s="36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35"/>
      <c r="DS175" s="35"/>
      <c r="DT175" s="35"/>
      <c r="DU175" s="35"/>
      <c r="DV175" s="35"/>
      <c r="DW175" s="35"/>
      <c r="DX175" s="35"/>
      <c r="DY175" s="35"/>
      <c r="DZ175" s="36"/>
      <c r="EA175" s="35"/>
      <c r="EB175" s="35"/>
      <c r="EC175" s="35"/>
      <c r="ED175" s="35"/>
      <c r="EE175" s="35"/>
      <c r="EF175" s="35"/>
      <c r="EG175" s="35"/>
      <c r="EH175" s="35"/>
      <c r="EI175" s="35"/>
      <c r="EJ175" s="35"/>
      <c r="EK175" s="35"/>
      <c r="EL175" s="35"/>
      <c r="EM175" s="35"/>
      <c r="EN175" s="35"/>
      <c r="EO175" s="35"/>
      <c r="EP175" s="35"/>
      <c r="EQ175" s="35"/>
      <c r="ER175" s="35"/>
      <c r="ES175" s="35"/>
      <c r="ET175" s="35"/>
      <c r="EU175" s="35"/>
      <c r="EV175" s="35"/>
      <c r="EW175" s="35"/>
      <c r="EX175" s="35"/>
      <c r="EY175" s="36"/>
      <c r="EZ175" s="35"/>
      <c r="FA175" s="35"/>
      <c r="FB175" s="35"/>
      <c r="FC175" s="35"/>
      <c r="FD175" s="35"/>
      <c r="FE175" s="35"/>
      <c r="FF175" s="35"/>
      <c r="FG175" s="35"/>
      <c r="FH175" s="35"/>
      <c r="FI175" s="35"/>
      <c r="FJ175" s="35"/>
      <c r="FK175" s="35"/>
      <c r="FL175" s="35"/>
      <c r="FM175" s="35"/>
      <c r="FN175" s="35"/>
      <c r="FO175" s="35"/>
      <c r="FP175" s="35"/>
      <c r="FQ175" s="52"/>
      <c r="FR175" s="8"/>
      <c r="FS175" s="9" t="s">
        <v>13</v>
      </c>
      <c r="FT175" s="9" t="str">
        <f t="shared" si="3664"/>
        <v>6. SFCR Development &amp; Dry Run 6.2 Review</v>
      </c>
    </row>
    <row r="176" spans="1:176" s="9" customFormat="1" ht="12" hidden="1" customHeight="1" outlineLevel="1">
      <c r="A176" s="126" t="s">
        <v>50</v>
      </c>
      <c r="B176" s="123"/>
      <c r="C176" s="124" t="str">
        <f t="shared" si="3515"/>
        <v>0 days</v>
      </c>
      <c r="D176" s="13" t="str">
        <f>A164&amp;" "&amp;A171</f>
        <v>6. SFCR Development &amp; Dry Run 6.2 Review</v>
      </c>
      <c r="E176" s="51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5"/>
      <c r="AK176" s="35"/>
      <c r="AL176" s="36"/>
      <c r="AM176" s="36"/>
      <c r="AN176" s="36"/>
      <c r="AO176" s="36"/>
      <c r="AP176" s="36"/>
      <c r="AQ176" s="36"/>
      <c r="AR176" s="36"/>
      <c r="AS176" s="35"/>
      <c r="AT176" s="35"/>
      <c r="AU176" s="35"/>
      <c r="AV176" s="35"/>
      <c r="AW176" s="35"/>
      <c r="AX176" s="35"/>
      <c r="AY176" s="35"/>
      <c r="AZ176" s="35"/>
      <c r="BA176" s="35"/>
      <c r="BB176" s="35"/>
      <c r="BC176" s="35"/>
      <c r="BD176" s="35"/>
      <c r="BE176" s="35"/>
      <c r="BF176" s="35"/>
      <c r="BG176" s="35"/>
      <c r="BH176" s="35"/>
      <c r="BI176" s="35"/>
      <c r="BJ176" s="35"/>
      <c r="BK176" s="35"/>
      <c r="BL176" s="35"/>
      <c r="BM176" s="35"/>
      <c r="BN176" s="35"/>
      <c r="BO176" s="35"/>
      <c r="BP176" s="35"/>
      <c r="BQ176" s="35"/>
      <c r="BR176" s="35"/>
      <c r="BS176" s="35"/>
      <c r="BT176" s="35"/>
      <c r="BU176" s="35"/>
      <c r="BV176" s="35"/>
      <c r="BW176" s="35"/>
      <c r="BX176" s="35"/>
      <c r="BY176" s="35"/>
      <c r="BZ176" s="35"/>
      <c r="CA176" s="35"/>
      <c r="CB176" s="35"/>
      <c r="CC176" s="35"/>
      <c r="CD176" s="35"/>
      <c r="CE176" s="35"/>
      <c r="CF176" s="35"/>
      <c r="CG176" s="35"/>
      <c r="CH176" s="35"/>
      <c r="CI176" s="35"/>
      <c r="CJ176" s="35"/>
      <c r="CK176" s="35"/>
      <c r="CL176" s="35"/>
      <c r="CM176" s="35"/>
      <c r="CN176" s="35"/>
      <c r="CO176" s="35"/>
      <c r="CP176" s="35"/>
      <c r="CQ176" s="35"/>
      <c r="CR176" s="35"/>
      <c r="CS176" s="35"/>
      <c r="CT176" s="36"/>
      <c r="CU176" s="35"/>
      <c r="CV176" s="35"/>
      <c r="CW176" s="35"/>
      <c r="CX176" s="35"/>
      <c r="CY176" s="35"/>
      <c r="CZ176" s="36"/>
      <c r="DA176" s="36"/>
      <c r="DB176" s="35"/>
      <c r="DC176" s="35"/>
      <c r="DD176" s="35"/>
      <c r="DE176" s="35"/>
      <c r="DF176" s="35"/>
      <c r="DG176" s="35"/>
      <c r="DH176" s="35"/>
      <c r="DI176" s="35"/>
      <c r="DJ176" s="35"/>
      <c r="DK176" s="35"/>
      <c r="DL176" s="35"/>
      <c r="DM176" s="35"/>
      <c r="DN176" s="35"/>
      <c r="DO176" s="35"/>
      <c r="DP176" s="35"/>
      <c r="DQ176" s="35"/>
      <c r="DR176" s="35"/>
      <c r="DS176" s="35"/>
      <c r="DT176" s="35"/>
      <c r="DU176" s="35"/>
      <c r="DV176" s="35"/>
      <c r="DW176" s="35"/>
      <c r="DX176" s="35"/>
      <c r="DY176" s="35"/>
      <c r="DZ176" s="36"/>
      <c r="EA176" s="35"/>
      <c r="EB176" s="35"/>
      <c r="EC176" s="35"/>
      <c r="ED176" s="35"/>
      <c r="EE176" s="35"/>
      <c r="EF176" s="35"/>
      <c r="EG176" s="35"/>
      <c r="EH176" s="35"/>
      <c r="EI176" s="35"/>
      <c r="EJ176" s="35"/>
      <c r="EK176" s="35"/>
      <c r="EL176" s="35"/>
      <c r="EM176" s="35"/>
      <c r="EN176" s="35"/>
      <c r="EO176" s="35"/>
      <c r="EP176" s="35"/>
      <c r="EQ176" s="35"/>
      <c r="ER176" s="35"/>
      <c r="ES176" s="35"/>
      <c r="ET176" s="35"/>
      <c r="EU176" s="35"/>
      <c r="EV176" s="35"/>
      <c r="EW176" s="35"/>
      <c r="EX176" s="35"/>
      <c r="EY176" s="36"/>
      <c r="EZ176" s="35"/>
      <c r="FA176" s="35"/>
      <c r="FB176" s="35"/>
      <c r="FC176" s="35"/>
      <c r="FD176" s="35"/>
      <c r="FE176" s="35"/>
      <c r="FF176" s="35"/>
      <c r="FG176" s="35"/>
      <c r="FH176" s="35"/>
      <c r="FI176" s="35"/>
      <c r="FJ176" s="35"/>
      <c r="FK176" s="35"/>
      <c r="FL176" s="35"/>
      <c r="FM176" s="35"/>
      <c r="FN176" s="35"/>
      <c r="FO176" s="35"/>
      <c r="FP176" s="35"/>
      <c r="FQ176" s="52"/>
      <c r="FR176" s="8"/>
      <c r="FS176" s="9" t="s">
        <v>13</v>
      </c>
      <c r="FT176" s="9" t="str">
        <f t="shared" si="3664"/>
        <v>6. SFCR Development &amp; Dry Run 6.2 Review</v>
      </c>
    </row>
    <row r="177" spans="1:176" s="9" customFormat="1" ht="12" customHeight="1" collapsed="1">
      <c r="A177" s="119" t="s">
        <v>85</v>
      </c>
      <c r="B177" s="127"/>
      <c r="C177" s="128" t="str">
        <f t="shared" si="3515"/>
        <v>2 days</v>
      </c>
      <c r="D177" s="37"/>
      <c r="E177" s="91" t="str">
        <f t="shared" ref="E177" si="4447">IF(SUBTOTAL(9,E178:E182)&gt;0,SUBTOTAL(9,E178:E182),"")</f>
        <v/>
      </c>
      <c r="F177" s="34" t="str">
        <f t="shared" ref="F177" si="4448">IF(SUBTOTAL(9,F178:F182)&gt;0,SUBTOTAL(9,F178:F182),"")</f>
        <v/>
      </c>
      <c r="G177" s="34" t="str">
        <f t="shared" ref="G177" si="4449">IF(SUBTOTAL(9,G178:G182)&gt;0,SUBTOTAL(9,G178:G182),"")</f>
        <v/>
      </c>
      <c r="H177" s="34" t="str">
        <f t="shared" ref="H177" si="4450">IF(SUBTOTAL(9,H178:H182)&gt;0,SUBTOTAL(9,H178:H182),"")</f>
        <v/>
      </c>
      <c r="I177" s="34" t="str">
        <f t="shared" ref="I177" si="4451">IF(SUBTOTAL(9,I178:I182)&gt;0,SUBTOTAL(9,I178:I182),"")</f>
        <v/>
      </c>
      <c r="J177" s="34" t="str">
        <f t="shared" ref="J177" si="4452">IF(SUBTOTAL(9,J178:J182)&gt;0,SUBTOTAL(9,J178:J182),"")</f>
        <v/>
      </c>
      <c r="K177" s="34" t="str">
        <f t="shared" ref="K177" si="4453">IF(SUBTOTAL(9,K178:K182)&gt;0,SUBTOTAL(9,K178:K182),"")</f>
        <v/>
      </c>
      <c r="L177" s="34" t="str">
        <f t="shared" ref="L177" si="4454">IF(SUBTOTAL(9,L178:L182)&gt;0,SUBTOTAL(9,L178:L182),"")</f>
        <v/>
      </c>
      <c r="M177" s="34" t="str">
        <f t="shared" ref="M177" si="4455">IF(SUBTOTAL(9,M178:M182)&gt;0,SUBTOTAL(9,M178:M182),"")</f>
        <v/>
      </c>
      <c r="N177" s="34" t="str">
        <f t="shared" ref="N177" si="4456">IF(SUBTOTAL(9,N178:N182)&gt;0,SUBTOTAL(9,N178:N182),"")</f>
        <v/>
      </c>
      <c r="O177" s="34" t="str">
        <f t="shared" ref="O177" si="4457">IF(SUBTOTAL(9,O178:O182)&gt;0,SUBTOTAL(9,O178:O182),"")</f>
        <v/>
      </c>
      <c r="P177" s="34" t="str">
        <f t="shared" ref="P177" si="4458">IF(SUBTOTAL(9,P178:P182)&gt;0,SUBTOTAL(9,P178:P182),"")</f>
        <v/>
      </c>
      <c r="Q177" s="34" t="str">
        <f t="shared" ref="Q177" si="4459">IF(SUBTOTAL(9,Q178:Q182)&gt;0,SUBTOTAL(9,Q178:Q182),"")</f>
        <v/>
      </c>
      <c r="R177" s="34" t="str">
        <f t="shared" ref="R177" si="4460">IF(SUBTOTAL(9,R178:R182)&gt;0,SUBTOTAL(9,R178:R182),"")</f>
        <v/>
      </c>
      <c r="S177" s="34" t="str">
        <f t="shared" ref="S177" si="4461">IF(SUBTOTAL(9,S178:S182)&gt;0,SUBTOTAL(9,S178:S182),"")</f>
        <v/>
      </c>
      <c r="T177" s="34" t="str">
        <f t="shared" ref="T177" si="4462">IF(SUBTOTAL(9,T178:T182)&gt;0,SUBTOTAL(9,T178:T182),"")</f>
        <v/>
      </c>
      <c r="U177" s="34" t="str">
        <f t="shared" ref="U177" si="4463">IF(SUBTOTAL(9,U178:U182)&gt;0,SUBTOTAL(9,U178:U182),"")</f>
        <v/>
      </c>
      <c r="V177" s="34" t="str">
        <f t="shared" ref="V177" si="4464">IF(SUBTOTAL(9,V178:V182)&gt;0,SUBTOTAL(9,V178:V182),"")</f>
        <v/>
      </c>
      <c r="W177" s="34" t="str">
        <f t="shared" ref="W177" si="4465">IF(SUBTOTAL(9,W178:W182)&gt;0,SUBTOTAL(9,W178:W182),"")</f>
        <v/>
      </c>
      <c r="X177" s="34" t="str">
        <f t="shared" ref="X177" si="4466">IF(SUBTOTAL(9,X178:X182)&gt;0,SUBTOTAL(9,X178:X182),"")</f>
        <v/>
      </c>
      <c r="Y177" s="34" t="str">
        <f t="shared" ref="Y177" si="4467">IF(SUBTOTAL(9,Y178:Y182)&gt;0,SUBTOTAL(9,Y178:Y182),"")</f>
        <v/>
      </c>
      <c r="Z177" s="34" t="str">
        <f t="shared" ref="Z177" si="4468">IF(SUBTOTAL(9,Z178:Z182)&gt;0,SUBTOTAL(9,Z178:Z182),"")</f>
        <v/>
      </c>
      <c r="AA177" s="34" t="str">
        <f t="shared" ref="AA177" si="4469">IF(SUBTOTAL(9,AA178:AA182)&gt;0,SUBTOTAL(9,AA178:AA182),"")</f>
        <v/>
      </c>
      <c r="AB177" s="34" t="str">
        <f t="shared" ref="AB177" si="4470">IF(SUBTOTAL(9,AB178:AB182)&gt;0,SUBTOTAL(9,AB178:AB182),"")</f>
        <v/>
      </c>
      <c r="AC177" s="34" t="str">
        <f t="shared" ref="AC177" si="4471">IF(SUBTOTAL(9,AC178:AC182)&gt;0,SUBTOTAL(9,AC178:AC182),"")</f>
        <v/>
      </c>
      <c r="AD177" s="34" t="str">
        <f t="shared" ref="AD177" si="4472">IF(SUBTOTAL(9,AD178:AD182)&gt;0,SUBTOTAL(9,AD178:AD182),"")</f>
        <v/>
      </c>
      <c r="AE177" s="34" t="str">
        <f t="shared" ref="AE177" si="4473">IF(SUBTOTAL(9,AE178:AE182)&gt;0,SUBTOTAL(9,AE178:AE182),"")</f>
        <v/>
      </c>
      <c r="AF177" s="34" t="str">
        <f t="shared" ref="AF177" si="4474">IF(SUBTOTAL(9,AF178:AF182)&gt;0,SUBTOTAL(9,AF178:AF182),"")</f>
        <v/>
      </c>
      <c r="AG177" s="34" t="str">
        <f t="shared" ref="AG177" si="4475">IF(SUBTOTAL(9,AG178:AG182)&gt;0,SUBTOTAL(9,AG178:AG182),"")</f>
        <v/>
      </c>
      <c r="AH177" s="34" t="str">
        <f t="shared" ref="AH177" si="4476">IF(SUBTOTAL(9,AH178:AH182)&gt;0,SUBTOTAL(9,AH178:AH182),"")</f>
        <v/>
      </c>
      <c r="AI177" s="34" t="str">
        <f t="shared" ref="AI177" si="4477">IF(SUBTOTAL(9,AI178:AI182)&gt;0,SUBTOTAL(9,AI178:AI182),"")</f>
        <v/>
      </c>
      <c r="AJ177" s="34" t="str">
        <f t="shared" ref="AJ177" si="4478">IF(SUBTOTAL(9,AJ178:AJ182)&gt;0,SUBTOTAL(9,AJ178:AJ182),"")</f>
        <v/>
      </c>
      <c r="AK177" s="34" t="str">
        <f t="shared" ref="AK177" si="4479">IF(SUBTOTAL(9,AK178:AK182)&gt;0,SUBTOTAL(9,AK178:AK182),"")</f>
        <v/>
      </c>
      <c r="AL177" s="33" t="str">
        <f t="shared" ref="AL177" si="4480">IF(SUBTOTAL(9,AL178:AL182)&gt;0,SUBTOTAL(9,AL178:AL182),"")</f>
        <v/>
      </c>
      <c r="AM177" s="33" t="str">
        <f t="shared" ref="AM177" si="4481">IF(SUBTOTAL(9,AM178:AM182)&gt;0,SUBTOTAL(9,AM178:AM182),"")</f>
        <v/>
      </c>
      <c r="AN177" s="33" t="str">
        <f t="shared" ref="AN177" si="4482">IF(SUBTOTAL(9,AN178:AN182)&gt;0,SUBTOTAL(9,AN178:AN182),"")</f>
        <v/>
      </c>
      <c r="AO177" s="33" t="str">
        <f t="shared" ref="AO177" si="4483">IF(SUBTOTAL(9,AO178:AO182)&gt;0,SUBTOTAL(9,AO178:AO182),"")</f>
        <v/>
      </c>
      <c r="AP177" s="33" t="str">
        <f t="shared" ref="AP177" si="4484">IF(SUBTOTAL(9,AP178:AP182)&gt;0,SUBTOTAL(9,AP178:AP182),"")</f>
        <v/>
      </c>
      <c r="AQ177" s="33" t="str">
        <f t="shared" ref="AQ177" si="4485">IF(SUBTOTAL(9,AQ178:AQ182)&gt;0,SUBTOTAL(9,AQ178:AQ182),"")</f>
        <v/>
      </c>
      <c r="AR177" s="33" t="str">
        <f t="shared" ref="AR177" si="4486">IF(SUBTOTAL(9,AR178:AR182)&gt;0,SUBTOTAL(9,AR178:AR182),"")</f>
        <v/>
      </c>
      <c r="AS177" s="34" t="str">
        <f t="shared" ref="AS177" si="4487">IF(SUBTOTAL(9,AS178:AS182)&gt;0,SUBTOTAL(9,AS178:AS182),"")</f>
        <v/>
      </c>
      <c r="AT177" s="34" t="str">
        <f t="shared" ref="AT177" si="4488">IF(SUBTOTAL(9,AT178:AT182)&gt;0,SUBTOTAL(9,AT178:AT182),"")</f>
        <v/>
      </c>
      <c r="AU177" s="34" t="str">
        <f t="shared" ref="AU177" si="4489">IF(SUBTOTAL(9,AU178:AU182)&gt;0,SUBTOTAL(9,AU178:AU182),"")</f>
        <v/>
      </c>
      <c r="AV177" s="34" t="str">
        <f t="shared" ref="AV177" si="4490">IF(SUBTOTAL(9,AV178:AV182)&gt;0,SUBTOTAL(9,AV178:AV182),"")</f>
        <v/>
      </c>
      <c r="AW177" s="34" t="str">
        <f t="shared" ref="AW177" si="4491">IF(SUBTOTAL(9,AW178:AW182)&gt;0,SUBTOTAL(9,AW178:AW182),"")</f>
        <v/>
      </c>
      <c r="AX177" s="34" t="str">
        <f t="shared" ref="AX177" si="4492">IF(SUBTOTAL(9,AX178:AX182)&gt;0,SUBTOTAL(9,AX178:AX182),"")</f>
        <v/>
      </c>
      <c r="AY177" s="34" t="str">
        <f t="shared" ref="AY177" si="4493">IF(SUBTOTAL(9,AY178:AY182)&gt;0,SUBTOTAL(9,AY178:AY182),"")</f>
        <v/>
      </c>
      <c r="AZ177" s="34" t="str">
        <f t="shared" ref="AZ177" si="4494">IF(SUBTOTAL(9,AZ178:AZ182)&gt;0,SUBTOTAL(9,AZ178:AZ182),"")</f>
        <v/>
      </c>
      <c r="BA177" s="34" t="str">
        <f t="shared" ref="BA177" si="4495">IF(SUBTOTAL(9,BA178:BA182)&gt;0,SUBTOTAL(9,BA178:BA182),"")</f>
        <v/>
      </c>
      <c r="BB177" s="34">
        <f t="shared" ref="BB177" si="4496">IF(SUBTOTAL(9,BB178:BB182)&gt;0,SUBTOTAL(9,BB178:BB182),"")</f>
        <v>0.5</v>
      </c>
      <c r="BC177" s="34" t="str">
        <f t="shared" ref="BC177" si="4497">IF(SUBTOTAL(9,BC178:BC182)&gt;0,SUBTOTAL(9,BC178:BC182),"")</f>
        <v/>
      </c>
      <c r="BD177" s="34" t="str">
        <f t="shared" ref="BD177" si="4498">IF(SUBTOTAL(9,BD178:BD182)&gt;0,SUBTOTAL(9,BD178:BD182),"")</f>
        <v/>
      </c>
      <c r="BE177" s="34" t="str">
        <f t="shared" ref="BE177" si="4499">IF(SUBTOTAL(9,BE178:BE182)&gt;0,SUBTOTAL(9,BE178:BE182),"")</f>
        <v/>
      </c>
      <c r="BF177" s="34" t="str">
        <f t="shared" ref="BF177" si="4500">IF(SUBTOTAL(9,BF178:BF182)&gt;0,SUBTOTAL(9,BF178:BF182),"")</f>
        <v/>
      </c>
      <c r="BG177" s="34">
        <f t="shared" ref="BG177" si="4501">IF(SUBTOTAL(9,BG178:BG182)&gt;0,SUBTOTAL(9,BG178:BG182),"")</f>
        <v>0.5</v>
      </c>
      <c r="BH177" s="34" t="str">
        <f t="shared" ref="BH177" si="4502">IF(SUBTOTAL(9,BH178:BH182)&gt;0,SUBTOTAL(9,BH178:BH182),"")</f>
        <v/>
      </c>
      <c r="BI177" s="34" t="str">
        <f t="shared" ref="BI177" si="4503">IF(SUBTOTAL(9,BI178:BI182)&gt;0,SUBTOTAL(9,BI178:BI182),"")</f>
        <v/>
      </c>
      <c r="BJ177" s="34" t="str">
        <f t="shared" ref="BJ177" si="4504">IF(SUBTOTAL(9,BJ178:BJ182)&gt;0,SUBTOTAL(9,BJ178:BJ182),"")</f>
        <v/>
      </c>
      <c r="BK177" s="34" t="str">
        <f t="shared" ref="BK177" si="4505">IF(SUBTOTAL(9,BK178:BK182)&gt;0,SUBTOTAL(9,BK178:BK182),"")</f>
        <v/>
      </c>
      <c r="BL177" s="34">
        <f t="shared" ref="BL177" si="4506">IF(SUBTOTAL(9,BL178:BL182)&gt;0,SUBTOTAL(9,BL178:BL182),"")</f>
        <v>0.5</v>
      </c>
      <c r="BM177" s="34" t="str">
        <f t="shared" ref="BM177" si="4507">IF(SUBTOTAL(9,BM178:BM182)&gt;0,SUBTOTAL(9,BM178:BM182),"")</f>
        <v/>
      </c>
      <c r="BN177" s="34" t="str">
        <f t="shared" ref="BN177" si="4508">IF(SUBTOTAL(9,BN178:BN182)&gt;0,SUBTOTAL(9,BN178:BN182),"")</f>
        <v/>
      </c>
      <c r="BO177" s="34" t="str">
        <f t="shared" ref="BO177" si="4509">IF(SUBTOTAL(9,BO178:BO182)&gt;0,SUBTOTAL(9,BO178:BO182),"")</f>
        <v/>
      </c>
      <c r="BP177" s="34" t="str">
        <f t="shared" ref="BP177" si="4510">IF(SUBTOTAL(9,BP178:BP182)&gt;0,SUBTOTAL(9,BP178:BP182),"")</f>
        <v/>
      </c>
      <c r="BQ177" s="34">
        <f t="shared" ref="BQ177" si="4511">IF(SUBTOTAL(9,BQ178:BQ182)&gt;0,SUBTOTAL(9,BQ178:BQ182),"")</f>
        <v>0.5</v>
      </c>
      <c r="BR177" s="34" t="str">
        <f t="shared" ref="BR177" si="4512">IF(SUBTOTAL(9,BR178:BR182)&gt;0,SUBTOTAL(9,BR178:BR182),"")</f>
        <v/>
      </c>
      <c r="BS177" s="34" t="str">
        <f t="shared" ref="BS177" si="4513">IF(SUBTOTAL(9,BS178:BS182)&gt;0,SUBTOTAL(9,BS178:BS182),"")</f>
        <v/>
      </c>
      <c r="BT177" s="34" t="str">
        <f t="shared" ref="BT177" si="4514">IF(SUBTOTAL(9,BT178:BT182)&gt;0,SUBTOTAL(9,BT178:BT182),"")</f>
        <v/>
      </c>
      <c r="BU177" s="34" t="str">
        <f t="shared" ref="BU177" si="4515">IF(SUBTOTAL(9,BU178:BU182)&gt;0,SUBTOTAL(9,BU178:BU182),"")</f>
        <v/>
      </c>
      <c r="BV177" s="34" t="str">
        <f t="shared" ref="BV177" si="4516">IF(SUBTOTAL(9,BV178:BV182)&gt;0,SUBTOTAL(9,BV178:BV182),"")</f>
        <v/>
      </c>
      <c r="BW177" s="34" t="str">
        <f t="shared" ref="BW177" si="4517">IF(SUBTOTAL(9,BW178:BW182)&gt;0,SUBTOTAL(9,BW178:BW182),"")</f>
        <v/>
      </c>
      <c r="BX177" s="34" t="str">
        <f t="shared" ref="BX177" si="4518">IF(SUBTOTAL(9,BX178:BX182)&gt;0,SUBTOTAL(9,BX178:BX182),"")</f>
        <v/>
      </c>
      <c r="BY177" s="34" t="str">
        <f t="shared" ref="BY177" si="4519">IF(SUBTOTAL(9,BY178:BY182)&gt;0,SUBTOTAL(9,BY178:BY182),"")</f>
        <v/>
      </c>
      <c r="BZ177" s="34" t="str">
        <f t="shared" ref="BZ177" si="4520">IF(SUBTOTAL(9,BZ178:BZ182)&gt;0,SUBTOTAL(9,BZ178:BZ182),"")</f>
        <v/>
      </c>
      <c r="CA177" s="34" t="str">
        <f t="shared" ref="CA177" si="4521">IF(SUBTOTAL(9,CA178:CA182)&gt;0,SUBTOTAL(9,CA178:CA182),"")</f>
        <v/>
      </c>
      <c r="CB177" s="34" t="str">
        <f t="shared" ref="CB177" si="4522">IF(SUBTOTAL(9,CB178:CB182)&gt;0,SUBTOTAL(9,CB178:CB182),"")</f>
        <v/>
      </c>
      <c r="CC177" s="34" t="str">
        <f t="shared" ref="CC177" si="4523">IF(SUBTOTAL(9,CC178:CC182)&gt;0,SUBTOTAL(9,CC178:CC182),"")</f>
        <v/>
      </c>
      <c r="CD177" s="34" t="str">
        <f t="shared" ref="CD177" si="4524">IF(SUBTOTAL(9,CD178:CD182)&gt;0,SUBTOTAL(9,CD178:CD182),"")</f>
        <v/>
      </c>
      <c r="CE177" s="34" t="str">
        <f t="shared" ref="CE177" si="4525">IF(SUBTOTAL(9,CE178:CE182)&gt;0,SUBTOTAL(9,CE178:CE182),"")</f>
        <v/>
      </c>
      <c r="CF177" s="34" t="str">
        <f t="shared" ref="CF177:CG177" si="4526">IF(SUBTOTAL(9,CF178:CF182)&gt;0,SUBTOTAL(9,CF178:CF182),"")</f>
        <v/>
      </c>
      <c r="CG177" s="34" t="str">
        <f t="shared" si="4526"/>
        <v/>
      </c>
      <c r="CH177" s="34" t="str">
        <f t="shared" ref="CH177" si="4527">IF(SUBTOTAL(9,CH178:CH182)&gt;0,SUBTOTAL(9,CH178:CH182),"")</f>
        <v/>
      </c>
      <c r="CI177" s="34" t="str">
        <f t="shared" ref="CI177" si="4528">IF(SUBTOTAL(9,CI178:CI182)&gt;0,SUBTOTAL(9,CI178:CI182),"")</f>
        <v/>
      </c>
      <c r="CJ177" s="34" t="str">
        <f t="shared" ref="CJ177" si="4529">IF(SUBTOTAL(9,CJ178:CJ182)&gt;0,SUBTOTAL(9,CJ178:CJ182),"")</f>
        <v/>
      </c>
      <c r="CK177" s="34" t="str">
        <f t="shared" ref="CK177" si="4530">IF(SUBTOTAL(9,CK178:CK182)&gt;0,SUBTOTAL(9,CK178:CK182),"")</f>
        <v/>
      </c>
      <c r="CL177" s="34" t="str">
        <f t="shared" ref="CL177" si="4531">IF(SUBTOTAL(9,CL178:CL182)&gt;0,SUBTOTAL(9,CL178:CL182),"")</f>
        <v/>
      </c>
      <c r="CM177" s="34" t="str">
        <f t="shared" ref="CM177" si="4532">IF(SUBTOTAL(9,CM178:CM182)&gt;0,SUBTOTAL(9,CM178:CM182),"")</f>
        <v/>
      </c>
      <c r="CN177" s="34" t="str">
        <f t="shared" ref="CN177" si="4533">IF(SUBTOTAL(9,CN178:CN182)&gt;0,SUBTOTAL(9,CN178:CN182),"")</f>
        <v/>
      </c>
      <c r="CO177" s="34" t="str">
        <f t="shared" ref="CO177" si="4534">IF(SUBTOTAL(9,CO178:CO182)&gt;0,SUBTOTAL(9,CO178:CO182),"")</f>
        <v/>
      </c>
      <c r="CP177" s="34" t="str">
        <f t="shared" ref="CP177" si="4535">IF(SUBTOTAL(9,CP178:CP182)&gt;0,SUBTOTAL(9,CP178:CP182),"")</f>
        <v/>
      </c>
      <c r="CQ177" s="34" t="str">
        <f t="shared" ref="CQ177" si="4536">IF(SUBTOTAL(9,CQ178:CQ182)&gt;0,SUBTOTAL(9,CQ178:CQ182),"")</f>
        <v/>
      </c>
      <c r="CR177" s="34" t="str">
        <f t="shared" ref="CR177" si="4537">IF(SUBTOTAL(9,CR178:CR182)&gt;0,SUBTOTAL(9,CR178:CR182),"")</f>
        <v/>
      </c>
      <c r="CS177" s="34" t="str">
        <f t="shared" ref="CS177" si="4538">IF(SUBTOTAL(9,CS178:CS182)&gt;0,SUBTOTAL(9,CS178:CS182),"")</f>
        <v/>
      </c>
      <c r="CT177" s="33" t="str">
        <f t="shared" ref="CT177" si="4539">IF(SUBTOTAL(9,CT178:CT182)&gt;0,SUBTOTAL(9,CT178:CT182),"")</f>
        <v/>
      </c>
      <c r="CU177" s="34" t="str">
        <f t="shared" ref="CU177" si="4540">IF(SUBTOTAL(9,CU178:CU182)&gt;0,SUBTOTAL(9,CU178:CU182),"")</f>
        <v/>
      </c>
      <c r="CV177" s="34" t="str">
        <f t="shared" ref="CV177" si="4541">IF(SUBTOTAL(9,CV178:CV182)&gt;0,SUBTOTAL(9,CV178:CV182),"")</f>
        <v/>
      </c>
      <c r="CW177" s="34" t="str">
        <f t="shared" ref="CW177" si="4542">IF(SUBTOTAL(9,CW178:CW182)&gt;0,SUBTOTAL(9,CW178:CW182),"")</f>
        <v/>
      </c>
      <c r="CX177" s="34" t="str">
        <f t="shared" ref="CX177" si="4543">IF(SUBTOTAL(9,CX178:CX182)&gt;0,SUBTOTAL(9,CX178:CX182),"")</f>
        <v/>
      </c>
      <c r="CY177" s="34" t="str">
        <f t="shared" ref="CY177" si="4544">IF(SUBTOTAL(9,CY178:CY182)&gt;0,SUBTOTAL(9,CY178:CY182),"")</f>
        <v/>
      </c>
      <c r="CZ177" s="33" t="str">
        <f t="shared" ref="CZ177" si="4545">IF(SUBTOTAL(9,CZ178:CZ182)&gt;0,SUBTOTAL(9,CZ178:CZ182),"")</f>
        <v/>
      </c>
      <c r="DA177" s="33" t="str">
        <f t="shared" ref="DA177" si="4546">IF(SUBTOTAL(9,DA178:DA182)&gt;0,SUBTOTAL(9,DA178:DA182),"")</f>
        <v/>
      </c>
      <c r="DB177" s="34" t="str">
        <f t="shared" ref="DB177" si="4547">IF(SUBTOTAL(9,DB178:DB182)&gt;0,SUBTOTAL(9,DB178:DB182),"")</f>
        <v/>
      </c>
      <c r="DC177" s="34" t="str">
        <f t="shared" ref="DC177" si="4548">IF(SUBTOTAL(9,DC178:DC182)&gt;0,SUBTOTAL(9,DC178:DC182),"")</f>
        <v/>
      </c>
      <c r="DD177" s="34" t="str">
        <f t="shared" ref="DD177" si="4549">IF(SUBTOTAL(9,DD178:DD182)&gt;0,SUBTOTAL(9,DD178:DD182),"")</f>
        <v/>
      </c>
      <c r="DE177" s="34" t="str">
        <f t="shared" ref="DE177" si="4550">IF(SUBTOTAL(9,DE178:DE182)&gt;0,SUBTOTAL(9,DE178:DE182),"")</f>
        <v/>
      </c>
      <c r="DF177" s="34" t="str">
        <f t="shared" ref="DF177" si="4551">IF(SUBTOTAL(9,DF178:DF182)&gt;0,SUBTOTAL(9,DF178:DF182),"")</f>
        <v/>
      </c>
      <c r="DG177" s="34" t="str">
        <f t="shared" ref="DG177" si="4552">IF(SUBTOTAL(9,DG178:DG182)&gt;0,SUBTOTAL(9,DG178:DG182),"")</f>
        <v/>
      </c>
      <c r="DH177" s="34" t="str">
        <f t="shared" ref="DH177" si="4553">IF(SUBTOTAL(9,DH178:DH182)&gt;0,SUBTOTAL(9,DH178:DH182),"")</f>
        <v/>
      </c>
      <c r="DI177" s="34" t="str">
        <f t="shared" ref="DI177" si="4554">IF(SUBTOTAL(9,DI178:DI182)&gt;0,SUBTOTAL(9,DI178:DI182),"")</f>
        <v/>
      </c>
      <c r="DJ177" s="34" t="str">
        <f t="shared" ref="DJ177" si="4555">IF(SUBTOTAL(9,DJ178:DJ182)&gt;0,SUBTOTAL(9,DJ178:DJ182),"")</f>
        <v/>
      </c>
      <c r="DK177" s="34" t="str">
        <f t="shared" ref="DK177" si="4556">IF(SUBTOTAL(9,DK178:DK182)&gt;0,SUBTOTAL(9,DK178:DK182),"")</f>
        <v/>
      </c>
      <c r="DL177" s="34" t="str">
        <f t="shared" ref="DL177" si="4557">IF(SUBTOTAL(9,DL178:DL182)&gt;0,SUBTOTAL(9,DL178:DL182),"")</f>
        <v/>
      </c>
      <c r="DM177" s="34" t="str">
        <f t="shared" ref="DM177" si="4558">IF(SUBTOTAL(9,DM178:DM182)&gt;0,SUBTOTAL(9,DM178:DM182),"")</f>
        <v/>
      </c>
      <c r="DN177" s="34" t="str">
        <f t="shared" ref="DN177" si="4559">IF(SUBTOTAL(9,DN178:DN182)&gt;0,SUBTOTAL(9,DN178:DN182),"")</f>
        <v/>
      </c>
      <c r="DO177" s="34" t="str">
        <f t="shared" ref="DO177" si="4560">IF(SUBTOTAL(9,DO178:DO182)&gt;0,SUBTOTAL(9,DO178:DO182),"")</f>
        <v/>
      </c>
      <c r="DP177" s="34" t="str">
        <f t="shared" ref="DP177" si="4561">IF(SUBTOTAL(9,DP178:DP182)&gt;0,SUBTOTAL(9,DP178:DP182),"")</f>
        <v/>
      </c>
      <c r="DQ177" s="34" t="str">
        <f t="shared" ref="DQ177" si="4562">IF(SUBTOTAL(9,DQ178:DQ182)&gt;0,SUBTOTAL(9,DQ178:DQ182),"")</f>
        <v/>
      </c>
      <c r="DR177" s="34" t="str">
        <f t="shared" ref="DR177" si="4563">IF(SUBTOTAL(9,DR178:DR182)&gt;0,SUBTOTAL(9,DR178:DR182),"")</f>
        <v/>
      </c>
      <c r="DS177" s="34" t="str">
        <f t="shared" ref="DS177" si="4564">IF(SUBTOTAL(9,DS178:DS182)&gt;0,SUBTOTAL(9,DS178:DS182),"")</f>
        <v/>
      </c>
      <c r="DT177" s="34" t="str">
        <f t="shared" ref="DT177" si="4565">IF(SUBTOTAL(9,DT178:DT182)&gt;0,SUBTOTAL(9,DT178:DT182),"")</f>
        <v/>
      </c>
      <c r="DU177" s="34" t="str">
        <f t="shared" ref="DU177" si="4566">IF(SUBTOTAL(9,DU178:DU182)&gt;0,SUBTOTAL(9,DU178:DU182),"")</f>
        <v/>
      </c>
      <c r="DV177" s="34" t="str">
        <f t="shared" ref="DV177" si="4567">IF(SUBTOTAL(9,DV178:DV182)&gt;0,SUBTOTAL(9,DV178:DV182),"")</f>
        <v/>
      </c>
      <c r="DW177" s="34" t="str">
        <f t="shared" ref="DW177" si="4568">IF(SUBTOTAL(9,DW178:DW182)&gt;0,SUBTOTAL(9,DW178:DW182),"")</f>
        <v/>
      </c>
      <c r="DX177" s="34" t="str">
        <f t="shared" ref="DX177" si="4569">IF(SUBTOTAL(9,DX178:DX182)&gt;0,SUBTOTAL(9,DX178:DX182),"")</f>
        <v/>
      </c>
      <c r="DY177" s="34" t="str">
        <f t="shared" ref="DY177" si="4570">IF(SUBTOTAL(9,DY178:DY182)&gt;0,SUBTOTAL(9,DY178:DY182),"")</f>
        <v/>
      </c>
      <c r="DZ177" s="33" t="str">
        <f t="shared" ref="DZ177" si="4571">IF(SUBTOTAL(9,DZ178:DZ182)&gt;0,SUBTOTAL(9,DZ178:DZ182),"")</f>
        <v/>
      </c>
      <c r="EA177" s="34" t="str">
        <f t="shared" ref="EA177" si="4572">IF(SUBTOTAL(9,EA178:EA182)&gt;0,SUBTOTAL(9,EA178:EA182),"")</f>
        <v/>
      </c>
      <c r="EB177" s="34" t="str">
        <f t="shared" ref="EB177" si="4573">IF(SUBTOTAL(9,EB178:EB182)&gt;0,SUBTOTAL(9,EB178:EB182),"")</f>
        <v/>
      </c>
      <c r="EC177" s="34" t="str">
        <f t="shared" ref="EC177" si="4574">IF(SUBTOTAL(9,EC178:EC182)&gt;0,SUBTOTAL(9,EC178:EC182),"")</f>
        <v/>
      </c>
      <c r="ED177" s="34" t="str">
        <f t="shared" ref="ED177" si="4575">IF(SUBTOTAL(9,ED178:ED182)&gt;0,SUBTOTAL(9,ED178:ED182),"")</f>
        <v/>
      </c>
      <c r="EE177" s="34" t="str">
        <f t="shared" ref="EE177" si="4576">IF(SUBTOTAL(9,EE178:EE182)&gt;0,SUBTOTAL(9,EE178:EE182),"")</f>
        <v/>
      </c>
      <c r="EF177" s="34" t="str">
        <f t="shared" ref="EF177" si="4577">IF(SUBTOTAL(9,EF178:EF182)&gt;0,SUBTOTAL(9,EF178:EF182),"")</f>
        <v/>
      </c>
      <c r="EG177" s="34" t="str">
        <f t="shared" ref="EG177" si="4578">IF(SUBTOTAL(9,EG178:EG182)&gt;0,SUBTOTAL(9,EG178:EG182),"")</f>
        <v/>
      </c>
      <c r="EH177" s="34" t="str">
        <f t="shared" ref="EH177" si="4579">IF(SUBTOTAL(9,EH178:EH182)&gt;0,SUBTOTAL(9,EH178:EH182),"")</f>
        <v/>
      </c>
      <c r="EI177" s="34" t="str">
        <f t="shared" ref="EI177" si="4580">IF(SUBTOTAL(9,EI178:EI182)&gt;0,SUBTOTAL(9,EI178:EI182),"")</f>
        <v/>
      </c>
      <c r="EJ177" s="34" t="str">
        <f t="shared" ref="EJ177" si="4581">IF(SUBTOTAL(9,EJ178:EJ182)&gt;0,SUBTOTAL(9,EJ178:EJ182),"")</f>
        <v/>
      </c>
      <c r="EK177" s="34" t="str">
        <f t="shared" ref="EK177" si="4582">IF(SUBTOTAL(9,EK178:EK182)&gt;0,SUBTOTAL(9,EK178:EK182),"")</f>
        <v/>
      </c>
      <c r="EL177" s="34" t="str">
        <f t="shared" ref="EL177" si="4583">IF(SUBTOTAL(9,EL178:EL182)&gt;0,SUBTOTAL(9,EL178:EL182),"")</f>
        <v/>
      </c>
      <c r="EM177" s="34" t="str">
        <f t="shared" ref="EM177" si="4584">IF(SUBTOTAL(9,EM178:EM182)&gt;0,SUBTOTAL(9,EM178:EM182),"")</f>
        <v/>
      </c>
      <c r="EN177" s="34" t="str">
        <f t="shared" ref="EN177" si="4585">IF(SUBTOTAL(9,EN178:EN182)&gt;0,SUBTOTAL(9,EN178:EN182),"")</f>
        <v/>
      </c>
      <c r="EO177" s="34" t="str">
        <f t="shared" ref="EO177" si="4586">IF(SUBTOTAL(9,EO178:EO182)&gt;0,SUBTOTAL(9,EO178:EO182),"")</f>
        <v/>
      </c>
      <c r="EP177" s="34" t="str">
        <f t="shared" ref="EP177" si="4587">IF(SUBTOTAL(9,EP178:EP182)&gt;0,SUBTOTAL(9,EP178:EP182),"")</f>
        <v/>
      </c>
      <c r="EQ177" s="34" t="str">
        <f t="shared" ref="EQ177" si="4588">IF(SUBTOTAL(9,EQ178:EQ182)&gt;0,SUBTOTAL(9,EQ178:EQ182),"")</f>
        <v/>
      </c>
      <c r="ER177" s="34" t="str">
        <f t="shared" ref="ER177" si="4589">IF(SUBTOTAL(9,ER178:ER182)&gt;0,SUBTOTAL(9,ER178:ER182),"")</f>
        <v/>
      </c>
      <c r="ES177" s="34" t="str">
        <f t="shared" ref="ES177" si="4590">IF(SUBTOTAL(9,ES178:ES182)&gt;0,SUBTOTAL(9,ES178:ES182),"")</f>
        <v/>
      </c>
      <c r="ET177" s="34" t="str">
        <f t="shared" ref="ET177" si="4591">IF(SUBTOTAL(9,ET178:ET182)&gt;0,SUBTOTAL(9,ET178:ET182),"")</f>
        <v/>
      </c>
      <c r="EU177" s="34" t="str">
        <f t="shared" ref="EU177" si="4592">IF(SUBTOTAL(9,EU178:EU182)&gt;0,SUBTOTAL(9,EU178:EU182),"")</f>
        <v/>
      </c>
      <c r="EV177" s="34" t="str">
        <f t="shared" ref="EV177" si="4593">IF(SUBTOTAL(9,EV178:EV182)&gt;0,SUBTOTAL(9,EV178:EV182),"")</f>
        <v/>
      </c>
      <c r="EW177" s="34" t="str">
        <f t="shared" ref="EW177" si="4594">IF(SUBTOTAL(9,EW178:EW182)&gt;0,SUBTOTAL(9,EW178:EW182),"")</f>
        <v/>
      </c>
      <c r="EX177" s="34" t="str">
        <f t="shared" ref="EX177" si="4595">IF(SUBTOTAL(9,EX178:EX182)&gt;0,SUBTOTAL(9,EX178:EX182),"")</f>
        <v/>
      </c>
      <c r="EY177" s="33" t="str">
        <f t="shared" ref="EY177" si="4596">IF(SUBTOTAL(9,EY178:EY182)&gt;0,SUBTOTAL(9,EY178:EY182),"")</f>
        <v/>
      </c>
      <c r="EZ177" s="34" t="str">
        <f t="shared" ref="EZ177" si="4597">IF(SUBTOTAL(9,EZ178:EZ182)&gt;0,SUBTOTAL(9,EZ178:EZ182),"")</f>
        <v/>
      </c>
      <c r="FA177" s="34" t="str">
        <f t="shared" ref="FA177" si="4598">IF(SUBTOTAL(9,FA178:FA182)&gt;0,SUBTOTAL(9,FA178:FA182),"")</f>
        <v/>
      </c>
      <c r="FB177" s="34" t="str">
        <f t="shared" ref="FB177" si="4599">IF(SUBTOTAL(9,FB178:FB182)&gt;0,SUBTOTAL(9,FB178:FB182),"")</f>
        <v/>
      </c>
      <c r="FC177" s="34" t="str">
        <f t="shared" ref="FC177" si="4600">IF(SUBTOTAL(9,FC178:FC182)&gt;0,SUBTOTAL(9,FC178:FC182),"")</f>
        <v/>
      </c>
      <c r="FD177" s="34" t="str">
        <f t="shared" ref="FD177" si="4601">IF(SUBTOTAL(9,FD178:FD182)&gt;0,SUBTOTAL(9,FD178:FD182),"")</f>
        <v/>
      </c>
      <c r="FE177" s="34" t="str">
        <f t="shared" ref="FE177" si="4602">IF(SUBTOTAL(9,FE178:FE182)&gt;0,SUBTOTAL(9,FE178:FE182),"")</f>
        <v/>
      </c>
      <c r="FF177" s="34" t="str">
        <f t="shared" ref="FF177" si="4603">IF(SUBTOTAL(9,FF178:FF182)&gt;0,SUBTOTAL(9,FF178:FF182),"")</f>
        <v/>
      </c>
      <c r="FG177" s="34" t="str">
        <f t="shared" ref="FG177" si="4604">IF(SUBTOTAL(9,FG178:FG182)&gt;0,SUBTOTAL(9,FG178:FG182),"")</f>
        <v/>
      </c>
      <c r="FH177" s="34" t="str">
        <f t="shared" ref="FH177" si="4605">IF(SUBTOTAL(9,FH178:FH182)&gt;0,SUBTOTAL(9,FH178:FH182),"")</f>
        <v/>
      </c>
      <c r="FI177" s="34" t="str">
        <f t="shared" ref="FI177" si="4606">IF(SUBTOTAL(9,FI178:FI182)&gt;0,SUBTOTAL(9,FI178:FI182),"")</f>
        <v/>
      </c>
      <c r="FJ177" s="34" t="str">
        <f t="shared" ref="FJ177" si="4607">IF(SUBTOTAL(9,FJ178:FJ182)&gt;0,SUBTOTAL(9,FJ178:FJ182),"")</f>
        <v/>
      </c>
      <c r="FK177" s="34" t="str">
        <f t="shared" ref="FK177" si="4608">IF(SUBTOTAL(9,FK178:FK182)&gt;0,SUBTOTAL(9,FK178:FK182),"")</f>
        <v/>
      </c>
      <c r="FL177" s="34" t="str">
        <f t="shared" ref="FL177" si="4609">IF(SUBTOTAL(9,FL178:FL182)&gt;0,SUBTOTAL(9,FL178:FL182),"")</f>
        <v/>
      </c>
      <c r="FM177" s="34" t="str">
        <f t="shared" ref="FM177" si="4610">IF(SUBTOTAL(9,FM178:FM182)&gt;0,SUBTOTAL(9,FM178:FM182),"")</f>
        <v/>
      </c>
      <c r="FN177" s="34" t="str">
        <f t="shared" ref="FN177" si="4611">IF(SUBTOTAL(9,FN178:FN182)&gt;0,SUBTOTAL(9,FN178:FN182),"")</f>
        <v/>
      </c>
      <c r="FO177" s="34" t="str">
        <f t="shared" ref="FO177" si="4612">IF(SUBTOTAL(9,FO178:FO182)&gt;0,SUBTOTAL(9,FO178:FO182),"")</f>
        <v/>
      </c>
      <c r="FP177" s="34" t="str">
        <f t="shared" ref="FP177" si="4613">IF(SUBTOTAL(9,FP178:FP182)&gt;0,SUBTOTAL(9,FP178:FP182),"")</f>
        <v/>
      </c>
      <c r="FQ177" s="92" t="str">
        <f t="shared" ref="FQ177" si="4614">IF(SUBTOTAL(9,FQ178:FQ182)&gt;0,SUBTOTAL(9,FQ178:FQ182),"")</f>
        <v/>
      </c>
      <c r="FR177" s="8"/>
      <c r="FS177" s="9" t="s">
        <v>131</v>
      </c>
      <c r="FT177" s="9" t="str">
        <f t="shared" si="3664"/>
        <v/>
      </c>
    </row>
    <row r="178" spans="1:176" s="9" customFormat="1" ht="12" hidden="1" customHeight="1" outlineLevel="1">
      <c r="A178" s="129" t="s">
        <v>4</v>
      </c>
      <c r="B178" s="130" t="str">
        <f>B172</f>
        <v>Glenn Kirk</v>
      </c>
      <c r="C178" s="131" t="str">
        <f t="shared" si="3515"/>
        <v>2 days</v>
      </c>
      <c r="D178" s="101" t="str">
        <f>A164&amp;" "&amp;A177</f>
        <v>6. SFCR Development &amp; Dry Run 6.3 Supervision</v>
      </c>
      <c r="E178" s="51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5"/>
      <c r="AK178" s="35"/>
      <c r="AL178" s="36"/>
      <c r="AM178" s="36"/>
      <c r="AN178" s="36"/>
      <c r="AO178" s="36"/>
      <c r="AP178" s="36"/>
      <c r="AQ178" s="36"/>
      <c r="AR178" s="36"/>
      <c r="AS178" s="35"/>
      <c r="AT178" s="35"/>
      <c r="AU178" s="35"/>
      <c r="AV178" s="35"/>
      <c r="AW178" s="35"/>
      <c r="AX178" s="35"/>
      <c r="AY178" s="35"/>
      <c r="AZ178" s="35"/>
      <c r="BA178" s="35"/>
      <c r="BB178" s="35">
        <v>0.5</v>
      </c>
      <c r="BC178" s="35"/>
      <c r="BD178" s="35"/>
      <c r="BE178" s="35"/>
      <c r="BF178" s="35"/>
      <c r="BG178" s="35">
        <v>0.5</v>
      </c>
      <c r="BH178" s="35"/>
      <c r="BI178" s="35"/>
      <c r="BJ178" s="35"/>
      <c r="BK178" s="35"/>
      <c r="BL178" s="35">
        <v>0.5</v>
      </c>
      <c r="BM178" s="35"/>
      <c r="BN178" s="35"/>
      <c r="BO178" s="35"/>
      <c r="BP178" s="35"/>
      <c r="BQ178" s="35">
        <v>0.5</v>
      </c>
      <c r="BR178" s="35"/>
      <c r="BS178" s="35"/>
      <c r="BT178" s="35"/>
      <c r="BU178" s="35"/>
      <c r="BV178" s="35"/>
      <c r="BW178" s="35"/>
      <c r="BX178" s="35"/>
      <c r="BY178" s="35"/>
      <c r="BZ178" s="35"/>
      <c r="CA178" s="35"/>
      <c r="CB178" s="35"/>
      <c r="CC178" s="35"/>
      <c r="CD178" s="35"/>
      <c r="CE178" s="35"/>
      <c r="CF178" s="35"/>
      <c r="CG178" s="35"/>
      <c r="CH178" s="35"/>
      <c r="CI178" s="35"/>
      <c r="CJ178" s="35"/>
      <c r="CK178" s="35"/>
      <c r="CL178" s="35"/>
      <c r="CM178" s="35"/>
      <c r="CN178" s="35"/>
      <c r="CO178" s="35"/>
      <c r="CP178" s="35"/>
      <c r="CQ178" s="35"/>
      <c r="CR178" s="35"/>
      <c r="CS178" s="35"/>
      <c r="CT178" s="36"/>
      <c r="CU178" s="35"/>
      <c r="CV178" s="35"/>
      <c r="CW178" s="35"/>
      <c r="CX178" s="35"/>
      <c r="CY178" s="35"/>
      <c r="CZ178" s="36"/>
      <c r="DA178" s="36"/>
      <c r="DB178" s="35"/>
      <c r="DC178" s="35"/>
      <c r="DD178" s="35"/>
      <c r="DE178" s="35"/>
      <c r="DF178" s="35"/>
      <c r="DG178" s="35"/>
      <c r="DH178" s="35"/>
      <c r="DI178" s="35"/>
      <c r="DJ178" s="35"/>
      <c r="DK178" s="35"/>
      <c r="DL178" s="35"/>
      <c r="DM178" s="35"/>
      <c r="DN178" s="35"/>
      <c r="DO178" s="35"/>
      <c r="DP178" s="35"/>
      <c r="DQ178" s="35"/>
      <c r="DR178" s="35"/>
      <c r="DS178" s="35"/>
      <c r="DT178" s="35"/>
      <c r="DU178" s="35"/>
      <c r="DV178" s="35"/>
      <c r="DW178" s="35"/>
      <c r="DX178" s="35"/>
      <c r="DY178" s="35"/>
      <c r="DZ178" s="36"/>
      <c r="EA178" s="35"/>
      <c r="EB178" s="35"/>
      <c r="EC178" s="35"/>
      <c r="ED178" s="35"/>
      <c r="EE178" s="35"/>
      <c r="EF178" s="35"/>
      <c r="EG178" s="35"/>
      <c r="EH178" s="35"/>
      <c r="EI178" s="35"/>
      <c r="EJ178" s="35"/>
      <c r="EK178" s="35"/>
      <c r="EL178" s="35"/>
      <c r="EM178" s="35"/>
      <c r="EN178" s="35"/>
      <c r="EO178" s="35"/>
      <c r="EP178" s="35"/>
      <c r="EQ178" s="35"/>
      <c r="ER178" s="35"/>
      <c r="ES178" s="35"/>
      <c r="ET178" s="35"/>
      <c r="EU178" s="35"/>
      <c r="EV178" s="35"/>
      <c r="EW178" s="35"/>
      <c r="EX178" s="35"/>
      <c r="EY178" s="36"/>
      <c r="EZ178" s="35"/>
      <c r="FA178" s="35"/>
      <c r="FB178" s="35"/>
      <c r="FC178" s="35"/>
      <c r="FD178" s="35"/>
      <c r="FE178" s="35"/>
      <c r="FF178" s="35"/>
      <c r="FG178" s="35"/>
      <c r="FH178" s="35"/>
      <c r="FI178" s="35"/>
      <c r="FJ178" s="35"/>
      <c r="FK178" s="35"/>
      <c r="FL178" s="35"/>
      <c r="FM178" s="35"/>
      <c r="FN178" s="35"/>
      <c r="FO178" s="35"/>
      <c r="FP178" s="35"/>
      <c r="FQ178" s="52"/>
      <c r="FR178" s="8"/>
      <c r="FS178" s="9" t="s">
        <v>13</v>
      </c>
      <c r="FT178" s="9" t="str">
        <f t="shared" si="3664"/>
        <v>6. SFCR Development &amp; Dry Run 6.3 SupervisionGlenn Kirk</v>
      </c>
    </row>
    <row r="179" spans="1:176" s="9" customFormat="1" ht="12" hidden="1" customHeight="1" outlineLevel="1">
      <c r="A179" s="122"/>
      <c r="B179" s="123"/>
      <c r="C179" s="124" t="str">
        <f t="shared" si="3515"/>
        <v>0 days</v>
      </c>
      <c r="D179" s="13" t="str">
        <f>A164&amp;" "&amp;A177</f>
        <v>6. SFCR Development &amp; Dry Run 6.3 Supervision</v>
      </c>
      <c r="E179" s="51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5"/>
      <c r="AK179" s="35"/>
      <c r="AL179" s="36"/>
      <c r="AM179" s="36"/>
      <c r="AN179" s="36"/>
      <c r="AO179" s="36"/>
      <c r="AP179" s="36"/>
      <c r="AQ179" s="36"/>
      <c r="AR179" s="36"/>
      <c r="AS179" s="35"/>
      <c r="AT179" s="35"/>
      <c r="AU179" s="35"/>
      <c r="AV179" s="35"/>
      <c r="AW179" s="35"/>
      <c r="AX179" s="35"/>
      <c r="AY179" s="35"/>
      <c r="AZ179" s="35"/>
      <c r="BA179" s="35"/>
      <c r="BB179" s="35"/>
      <c r="BC179" s="35"/>
      <c r="BD179" s="35"/>
      <c r="BE179" s="35"/>
      <c r="BF179" s="35"/>
      <c r="BG179" s="35"/>
      <c r="BH179" s="35"/>
      <c r="BI179" s="35"/>
      <c r="BJ179" s="35"/>
      <c r="BK179" s="35"/>
      <c r="BL179" s="35"/>
      <c r="BM179" s="35"/>
      <c r="BN179" s="35"/>
      <c r="BO179" s="35"/>
      <c r="BP179" s="35"/>
      <c r="BQ179" s="35"/>
      <c r="BR179" s="35"/>
      <c r="BS179" s="35"/>
      <c r="BT179" s="35"/>
      <c r="BU179" s="35"/>
      <c r="BV179" s="35"/>
      <c r="BW179" s="35"/>
      <c r="BX179" s="35"/>
      <c r="BY179" s="35"/>
      <c r="BZ179" s="35"/>
      <c r="CA179" s="35"/>
      <c r="CB179" s="35"/>
      <c r="CC179" s="35"/>
      <c r="CD179" s="35"/>
      <c r="CE179" s="35"/>
      <c r="CF179" s="35"/>
      <c r="CG179" s="35"/>
      <c r="CH179" s="35"/>
      <c r="CI179" s="35"/>
      <c r="CJ179" s="35"/>
      <c r="CK179" s="35"/>
      <c r="CL179" s="35"/>
      <c r="CM179" s="35"/>
      <c r="CN179" s="35"/>
      <c r="CO179" s="35"/>
      <c r="CP179" s="35"/>
      <c r="CQ179" s="35"/>
      <c r="CR179" s="35"/>
      <c r="CS179" s="35"/>
      <c r="CT179" s="36"/>
      <c r="CU179" s="35"/>
      <c r="CV179" s="35"/>
      <c r="CW179" s="35"/>
      <c r="CX179" s="35"/>
      <c r="CY179" s="35"/>
      <c r="CZ179" s="36"/>
      <c r="DA179" s="36"/>
      <c r="DB179" s="35"/>
      <c r="DC179" s="35"/>
      <c r="DD179" s="35"/>
      <c r="DE179" s="35"/>
      <c r="DF179" s="35"/>
      <c r="DG179" s="35"/>
      <c r="DH179" s="35"/>
      <c r="DI179" s="35"/>
      <c r="DJ179" s="35"/>
      <c r="DK179" s="35"/>
      <c r="DL179" s="35"/>
      <c r="DM179" s="35"/>
      <c r="DN179" s="35"/>
      <c r="DO179" s="35"/>
      <c r="DP179" s="35"/>
      <c r="DQ179" s="35"/>
      <c r="DR179" s="35"/>
      <c r="DS179" s="35"/>
      <c r="DT179" s="35"/>
      <c r="DU179" s="35"/>
      <c r="DV179" s="35"/>
      <c r="DW179" s="35"/>
      <c r="DX179" s="35"/>
      <c r="DY179" s="35"/>
      <c r="DZ179" s="36"/>
      <c r="EA179" s="35"/>
      <c r="EB179" s="35"/>
      <c r="EC179" s="35"/>
      <c r="ED179" s="35"/>
      <c r="EE179" s="35"/>
      <c r="EF179" s="35"/>
      <c r="EG179" s="35"/>
      <c r="EH179" s="35"/>
      <c r="EI179" s="35"/>
      <c r="EJ179" s="35"/>
      <c r="EK179" s="35"/>
      <c r="EL179" s="35"/>
      <c r="EM179" s="35"/>
      <c r="EN179" s="35"/>
      <c r="EO179" s="35"/>
      <c r="EP179" s="35"/>
      <c r="EQ179" s="35"/>
      <c r="ER179" s="35"/>
      <c r="ES179" s="35"/>
      <c r="ET179" s="35"/>
      <c r="EU179" s="35"/>
      <c r="EV179" s="35"/>
      <c r="EW179" s="35"/>
      <c r="EX179" s="35"/>
      <c r="EY179" s="36"/>
      <c r="EZ179" s="35"/>
      <c r="FA179" s="35"/>
      <c r="FB179" s="35"/>
      <c r="FC179" s="35"/>
      <c r="FD179" s="35"/>
      <c r="FE179" s="35"/>
      <c r="FF179" s="35"/>
      <c r="FG179" s="35"/>
      <c r="FH179" s="35"/>
      <c r="FI179" s="35"/>
      <c r="FJ179" s="35"/>
      <c r="FK179" s="35"/>
      <c r="FL179" s="35"/>
      <c r="FM179" s="35"/>
      <c r="FN179" s="35"/>
      <c r="FO179" s="35"/>
      <c r="FP179" s="35"/>
      <c r="FQ179" s="52"/>
      <c r="FR179" s="8"/>
      <c r="FS179" s="9" t="s">
        <v>13</v>
      </c>
      <c r="FT179" s="9" t="str">
        <f t="shared" si="3664"/>
        <v>6. SFCR Development &amp; Dry Run 6.3 Supervision</v>
      </c>
    </row>
    <row r="180" spans="1:176" s="9" customFormat="1" ht="12" hidden="1" customHeight="1" outlineLevel="1">
      <c r="A180" s="125" t="s">
        <v>50</v>
      </c>
      <c r="B180" s="123"/>
      <c r="C180" s="124" t="str">
        <f t="shared" si="3515"/>
        <v>0 days</v>
      </c>
      <c r="D180" s="13" t="str">
        <f>A164&amp;" "&amp;A177</f>
        <v>6. SFCR Development &amp; Dry Run 6.3 Supervision</v>
      </c>
      <c r="E180" s="51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5"/>
      <c r="AK180" s="35"/>
      <c r="AL180" s="36"/>
      <c r="AM180" s="36"/>
      <c r="AN180" s="36"/>
      <c r="AO180" s="36"/>
      <c r="AP180" s="36"/>
      <c r="AQ180" s="36"/>
      <c r="AR180" s="36"/>
      <c r="AS180" s="35"/>
      <c r="AT180" s="35"/>
      <c r="AU180" s="35"/>
      <c r="AV180" s="35"/>
      <c r="AW180" s="35"/>
      <c r="AX180" s="35"/>
      <c r="AY180" s="35"/>
      <c r="AZ180" s="35"/>
      <c r="BA180" s="35"/>
      <c r="BB180" s="35"/>
      <c r="BC180" s="35"/>
      <c r="BD180" s="35"/>
      <c r="BE180" s="35"/>
      <c r="BF180" s="35"/>
      <c r="BG180" s="35"/>
      <c r="BH180" s="35"/>
      <c r="BI180" s="35"/>
      <c r="BJ180" s="35"/>
      <c r="BK180" s="35"/>
      <c r="BL180" s="35"/>
      <c r="BM180" s="35"/>
      <c r="BN180" s="35"/>
      <c r="BO180" s="35"/>
      <c r="BP180" s="35"/>
      <c r="BQ180" s="35"/>
      <c r="BR180" s="35"/>
      <c r="BS180" s="35"/>
      <c r="BT180" s="35"/>
      <c r="BU180" s="35"/>
      <c r="BV180" s="35"/>
      <c r="BW180" s="35"/>
      <c r="BX180" s="35"/>
      <c r="BY180" s="35"/>
      <c r="BZ180" s="35"/>
      <c r="CA180" s="35"/>
      <c r="CB180" s="35"/>
      <c r="CC180" s="35"/>
      <c r="CD180" s="35"/>
      <c r="CE180" s="35"/>
      <c r="CF180" s="35"/>
      <c r="CG180" s="35"/>
      <c r="CH180" s="35"/>
      <c r="CI180" s="35"/>
      <c r="CJ180" s="35"/>
      <c r="CK180" s="35"/>
      <c r="CL180" s="35"/>
      <c r="CM180" s="35"/>
      <c r="CN180" s="35"/>
      <c r="CO180" s="35"/>
      <c r="CP180" s="35"/>
      <c r="CQ180" s="35"/>
      <c r="CR180" s="35"/>
      <c r="CS180" s="35"/>
      <c r="CT180" s="36"/>
      <c r="CU180" s="35"/>
      <c r="CV180" s="35"/>
      <c r="CW180" s="35"/>
      <c r="CX180" s="35"/>
      <c r="CY180" s="35"/>
      <c r="CZ180" s="36"/>
      <c r="DA180" s="36"/>
      <c r="DB180" s="35"/>
      <c r="DC180" s="35"/>
      <c r="DD180" s="35"/>
      <c r="DE180" s="35"/>
      <c r="DF180" s="35"/>
      <c r="DG180" s="35"/>
      <c r="DH180" s="35"/>
      <c r="DI180" s="35"/>
      <c r="DJ180" s="35"/>
      <c r="DK180" s="35"/>
      <c r="DL180" s="35"/>
      <c r="DM180" s="35"/>
      <c r="DN180" s="35"/>
      <c r="DO180" s="35"/>
      <c r="DP180" s="35"/>
      <c r="DQ180" s="35"/>
      <c r="DR180" s="35"/>
      <c r="DS180" s="35"/>
      <c r="DT180" s="35"/>
      <c r="DU180" s="35"/>
      <c r="DV180" s="35"/>
      <c r="DW180" s="35"/>
      <c r="DX180" s="35"/>
      <c r="DY180" s="35"/>
      <c r="DZ180" s="36"/>
      <c r="EA180" s="35"/>
      <c r="EB180" s="35"/>
      <c r="EC180" s="35"/>
      <c r="ED180" s="35"/>
      <c r="EE180" s="35"/>
      <c r="EF180" s="35"/>
      <c r="EG180" s="35"/>
      <c r="EH180" s="35"/>
      <c r="EI180" s="35"/>
      <c r="EJ180" s="35"/>
      <c r="EK180" s="35"/>
      <c r="EL180" s="35"/>
      <c r="EM180" s="35"/>
      <c r="EN180" s="35"/>
      <c r="EO180" s="35"/>
      <c r="EP180" s="35"/>
      <c r="EQ180" s="35"/>
      <c r="ER180" s="35"/>
      <c r="ES180" s="35"/>
      <c r="ET180" s="35"/>
      <c r="EU180" s="35"/>
      <c r="EV180" s="35"/>
      <c r="EW180" s="35"/>
      <c r="EX180" s="35"/>
      <c r="EY180" s="36"/>
      <c r="EZ180" s="35"/>
      <c r="FA180" s="35"/>
      <c r="FB180" s="35"/>
      <c r="FC180" s="35"/>
      <c r="FD180" s="35"/>
      <c r="FE180" s="35"/>
      <c r="FF180" s="35"/>
      <c r="FG180" s="35"/>
      <c r="FH180" s="35"/>
      <c r="FI180" s="35"/>
      <c r="FJ180" s="35"/>
      <c r="FK180" s="35"/>
      <c r="FL180" s="35"/>
      <c r="FM180" s="35"/>
      <c r="FN180" s="35"/>
      <c r="FO180" s="35"/>
      <c r="FP180" s="35"/>
      <c r="FQ180" s="52"/>
      <c r="FR180" s="8"/>
      <c r="FS180" s="9" t="s">
        <v>13</v>
      </c>
      <c r="FT180" s="9" t="str">
        <f t="shared" si="3664"/>
        <v>6. SFCR Development &amp; Dry Run 6.3 Supervision</v>
      </c>
    </row>
    <row r="181" spans="1:176" s="9" customFormat="1" ht="12" hidden="1" customHeight="1" outlineLevel="1">
      <c r="A181" s="125" t="s">
        <v>50</v>
      </c>
      <c r="B181" s="123"/>
      <c r="C181" s="124" t="str">
        <f t="shared" si="3515"/>
        <v>0 days</v>
      </c>
      <c r="D181" s="13" t="str">
        <f>A164&amp;" "&amp;A177</f>
        <v>6. SFCR Development &amp; Dry Run 6.3 Supervision</v>
      </c>
      <c r="E181" s="51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5"/>
      <c r="AK181" s="35"/>
      <c r="AL181" s="36"/>
      <c r="AM181" s="36"/>
      <c r="AN181" s="36"/>
      <c r="AO181" s="36"/>
      <c r="AP181" s="36"/>
      <c r="AQ181" s="36"/>
      <c r="AR181" s="36"/>
      <c r="AS181" s="35"/>
      <c r="AT181" s="35"/>
      <c r="AU181" s="35"/>
      <c r="AV181" s="35"/>
      <c r="AW181" s="35"/>
      <c r="AX181" s="35"/>
      <c r="AY181" s="35"/>
      <c r="AZ181" s="35"/>
      <c r="BA181" s="35"/>
      <c r="BB181" s="35"/>
      <c r="BC181" s="35"/>
      <c r="BD181" s="35"/>
      <c r="BE181" s="35"/>
      <c r="BF181" s="35"/>
      <c r="BG181" s="35"/>
      <c r="BH181" s="35"/>
      <c r="BI181" s="35"/>
      <c r="BJ181" s="35"/>
      <c r="BK181" s="35"/>
      <c r="BL181" s="35"/>
      <c r="BM181" s="35"/>
      <c r="BN181" s="35"/>
      <c r="BO181" s="35"/>
      <c r="BP181" s="35"/>
      <c r="BQ181" s="35"/>
      <c r="BR181" s="35"/>
      <c r="BS181" s="35"/>
      <c r="BT181" s="35"/>
      <c r="BU181" s="35"/>
      <c r="BV181" s="35"/>
      <c r="BW181" s="35"/>
      <c r="BX181" s="35"/>
      <c r="BY181" s="35"/>
      <c r="BZ181" s="35"/>
      <c r="CA181" s="35"/>
      <c r="CB181" s="35"/>
      <c r="CC181" s="35"/>
      <c r="CD181" s="35"/>
      <c r="CE181" s="35"/>
      <c r="CF181" s="35"/>
      <c r="CG181" s="35"/>
      <c r="CH181" s="35"/>
      <c r="CI181" s="35"/>
      <c r="CJ181" s="35"/>
      <c r="CK181" s="35"/>
      <c r="CL181" s="35"/>
      <c r="CM181" s="35"/>
      <c r="CN181" s="35"/>
      <c r="CO181" s="35"/>
      <c r="CP181" s="35"/>
      <c r="CQ181" s="35"/>
      <c r="CR181" s="35"/>
      <c r="CS181" s="35"/>
      <c r="CT181" s="36"/>
      <c r="CU181" s="35"/>
      <c r="CV181" s="35"/>
      <c r="CW181" s="35"/>
      <c r="CX181" s="35"/>
      <c r="CY181" s="35"/>
      <c r="CZ181" s="36"/>
      <c r="DA181" s="36"/>
      <c r="DB181" s="35"/>
      <c r="DC181" s="35"/>
      <c r="DD181" s="35"/>
      <c r="DE181" s="35"/>
      <c r="DF181" s="35"/>
      <c r="DG181" s="35"/>
      <c r="DH181" s="35"/>
      <c r="DI181" s="35"/>
      <c r="DJ181" s="35"/>
      <c r="DK181" s="35"/>
      <c r="DL181" s="35"/>
      <c r="DM181" s="35"/>
      <c r="DN181" s="35"/>
      <c r="DO181" s="35"/>
      <c r="DP181" s="35"/>
      <c r="DQ181" s="35"/>
      <c r="DR181" s="35"/>
      <c r="DS181" s="35"/>
      <c r="DT181" s="35"/>
      <c r="DU181" s="35"/>
      <c r="DV181" s="35"/>
      <c r="DW181" s="35"/>
      <c r="DX181" s="35"/>
      <c r="DY181" s="35"/>
      <c r="DZ181" s="36"/>
      <c r="EA181" s="35"/>
      <c r="EB181" s="35"/>
      <c r="EC181" s="35"/>
      <c r="ED181" s="35"/>
      <c r="EE181" s="35"/>
      <c r="EF181" s="35"/>
      <c r="EG181" s="35"/>
      <c r="EH181" s="35"/>
      <c r="EI181" s="35"/>
      <c r="EJ181" s="35"/>
      <c r="EK181" s="35"/>
      <c r="EL181" s="35"/>
      <c r="EM181" s="35"/>
      <c r="EN181" s="35"/>
      <c r="EO181" s="35"/>
      <c r="EP181" s="35"/>
      <c r="EQ181" s="35"/>
      <c r="ER181" s="35"/>
      <c r="ES181" s="35"/>
      <c r="ET181" s="35"/>
      <c r="EU181" s="35"/>
      <c r="EV181" s="35"/>
      <c r="EW181" s="35"/>
      <c r="EX181" s="35"/>
      <c r="EY181" s="36"/>
      <c r="EZ181" s="35"/>
      <c r="FA181" s="35"/>
      <c r="FB181" s="35"/>
      <c r="FC181" s="35"/>
      <c r="FD181" s="35"/>
      <c r="FE181" s="35"/>
      <c r="FF181" s="35"/>
      <c r="FG181" s="35"/>
      <c r="FH181" s="35"/>
      <c r="FI181" s="35"/>
      <c r="FJ181" s="35"/>
      <c r="FK181" s="35"/>
      <c r="FL181" s="35"/>
      <c r="FM181" s="35"/>
      <c r="FN181" s="35"/>
      <c r="FO181" s="35"/>
      <c r="FP181" s="35"/>
      <c r="FQ181" s="52"/>
      <c r="FR181" s="8"/>
      <c r="FS181" s="9" t="s">
        <v>13</v>
      </c>
      <c r="FT181" s="9" t="str">
        <f t="shared" si="3664"/>
        <v>6. SFCR Development &amp; Dry Run 6.3 Supervision</v>
      </c>
    </row>
    <row r="182" spans="1:176" s="9" customFormat="1" ht="12" hidden="1" customHeight="1" outlineLevel="1">
      <c r="A182" s="126" t="s">
        <v>50</v>
      </c>
      <c r="B182" s="123"/>
      <c r="C182" s="124" t="str">
        <f t="shared" si="3515"/>
        <v>0 days</v>
      </c>
      <c r="D182" s="13" t="str">
        <f>A164&amp;" "&amp;A177</f>
        <v>6. SFCR Development &amp; Dry Run 6.3 Supervision</v>
      </c>
      <c r="E182" s="51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5"/>
      <c r="AK182" s="35"/>
      <c r="AL182" s="36"/>
      <c r="AM182" s="36"/>
      <c r="AN182" s="36"/>
      <c r="AO182" s="36"/>
      <c r="AP182" s="36"/>
      <c r="AQ182" s="36"/>
      <c r="AR182" s="36"/>
      <c r="AS182" s="35"/>
      <c r="AT182" s="35"/>
      <c r="AU182" s="35"/>
      <c r="AV182" s="35"/>
      <c r="AW182" s="35"/>
      <c r="AX182" s="35"/>
      <c r="AY182" s="35"/>
      <c r="AZ182" s="35"/>
      <c r="BA182" s="35"/>
      <c r="BB182" s="35"/>
      <c r="BC182" s="35"/>
      <c r="BD182" s="35"/>
      <c r="BE182" s="35"/>
      <c r="BF182" s="35"/>
      <c r="BG182" s="35"/>
      <c r="BH182" s="35"/>
      <c r="BI182" s="35"/>
      <c r="BJ182" s="35"/>
      <c r="BK182" s="35"/>
      <c r="BL182" s="35"/>
      <c r="BM182" s="35"/>
      <c r="BN182" s="35"/>
      <c r="BO182" s="35"/>
      <c r="BP182" s="35"/>
      <c r="BQ182" s="35"/>
      <c r="BR182" s="35"/>
      <c r="BS182" s="35"/>
      <c r="BT182" s="35"/>
      <c r="BU182" s="35"/>
      <c r="BV182" s="35"/>
      <c r="BW182" s="35"/>
      <c r="BX182" s="35"/>
      <c r="BY182" s="35"/>
      <c r="BZ182" s="35"/>
      <c r="CA182" s="35"/>
      <c r="CB182" s="35"/>
      <c r="CC182" s="35"/>
      <c r="CD182" s="35"/>
      <c r="CE182" s="35"/>
      <c r="CF182" s="35"/>
      <c r="CG182" s="35"/>
      <c r="CH182" s="35"/>
      <c r="CI182" s="35"/>
      <c r="CJ182" s="35"/>
      <c r="CK182" s="35"/>
      <c r="CL182" s="35"/>
      <c r="CM182" s="35"/>
      <c r="CN182" s="35"/>
      <c r="CO182" s="35"/>
      <c r="CP182" s="35"/>
      <c r="CQ182" s="35"/>
      <c r="CR182" s="35"/>
      <c r="CS182" s="35"/>
      <c r="CT182" s="36"/>
      <c r="CU182" s="35"/>
      <c r="CV182" s="35"/>
      <c r="CW182" s="35"/>
      <c r="CX182" s="35"/>
      <c r="CY182" s="35"/>
      <c r="CZ182" s="36"/>
      <c r="DA182" s="36"/>
      <c r="DB182" s="35"/>
      <c r="DC182" s="35"/>
      <c r="DD182" s="35"/>
      <c r="DE182" s="35"/>
      <c r="DF182" s="35"/>
      <c r="DG182" s="35"/>
      <c r="DH182" s="35"/>
      <c r="DI182" s="35"/>
      <c r="DJ182" s="35"/>
      <c r="DK182" s="35"/>
      <c r="DL182" s="35"/>
      <c r="DM182" s="35"/>
      <c r="DN182" s="35"/>
      <c r="DO182" s="35"/>
      <c r="DP182" s="35"/>
      <c r="DQ182" s="35"/>
      <c r="DR182" s="35"/>
      <c r="DS182" s="35"/>
      <c r="DT182" s="35"/>
      <c r="DU182" s="35"/>
      <c r="DV182" s="35"/>
      <c r="DW182" s="35"/>
      <c r="DX182" s="35"/>
      <c r="DY182" s="35"/>
      <c r="DZ182" s="36"/>
      <c r="EA182" s="35"/>
      <c r="EB182" s="35"/>
      <c r="EC182" s="35"/>
      <c r="ED182" s="35"/>
      <c r="EE182" s="35"/>
      <c r="EF182" s="35"/>
      <c r="EG182" s="35"/>
      <c r="EH182" s="35"/>
      <c r="EI182" s="35"/>
      <c r="EJ182" s="35"/>
      <c r="EK182" s="35"/>
      <c r="EL182" s="35"/>
      <c r="EM182" s="35"/>
      <c r="EN182" s="35"/>
      <c r="EO182" s="35"/>
      <c r="EP182" s="35"/>
      <c r="EQ182" s="35"/>
      <c r="ER182" s="35"/>
      <c r="ES182" s="35"/>
      <c r="ET182" s="35"/>
      <c r="EU182" s="35"/>
      <c r="EV182" s="35"/>
      <c r="EW182" s="35"/>
      <c r="EX182" s="35"/>
      <c r="EY182" s="36"/>
      <c r="EZ182" s="35"/>
      <c r="FA182" s="35"/>
      <c r="FB182" s="35"/>
      <c r="FC182" s="35"/>
      <c r="FD182" s="35"/>
      <c r="FE182" s="35"/>
      <c r="FF182" s="35"/>
      <c r="FG182" s="35"/>
      <c r="FH182" s="35"/>
      <c r="FI182" s="35"/>
      <c r="FJ182" s="35"/>
      <c r="FK182" s="35"/>
      <c r="FL182" s="35"/>
      <c r="FM182" s="35"/>
      <c r="FN182" s="35"/>
      <c r="FO182" s="35"/>
      <c r="FP182" s="35"/>
      <c r="FQ182" s="52"/>
      <c r="FR182" s="8"/>
      <c r="FS182" s="9" t="s">
        <v>13</v>
      </c>
      <c r="FT182" s="9" t="str">
        <f t="shared" si="3664"/>
        <v>6. SFCR Development &amp; Dry Run 6.3 Supervision</v>
      </c>
    </row>
    <row r="183" spans="1:176" s="9" customFormat="1" ht="12" customHeight="1" collapsed="1">
      <c r="A183" s="119" t="s">
        <v>86</v>
      </c>
      <c r="B183" s="127"/>
      <c r="C183" s="121" t="str">
        <f t="shared" si="3515"/>
        <v>3 days</v>
      </c>
      <c r="D183" s="27"/>
      <c r="E183" s="91" t="str">
        <f t="shared" ref="E183" si="4615">IF(SUBTOTAL(9,E184:E188)&gt;0,SUBTOTAL(9,E184:E188),"")</f>
        <v/>
      </c>
      <c r="F183" s="34" t="str">
        <f t="shared" ref="F183" si="4616">IF(SUBTOTAL(9,F184:F188)&gt;0,SUBTOTAL(9,F184:F188),"")</f>
        <v/>
      </c>
      <c r="G183" s="34" t="str">
        <f t="shared" ref="G183" si="4617">IF(SUBTOTAL(9,G184:G188)&gt;0,SUBTOTAL(9,G184:G188),"")</f>
        <v/>
      </c>
      <c r="H183" s="34" t="str">
        <f t="shared" ref="H183" si="4618">IF(SUBTOTAL(9,H184:H188)&gt;0,SUBTOTAL(9,H184:H188),"")</f>
        <v/>
      </c>
      <c r="I183" s="34" t="str">
        <f t="shared" ref="I183" si="4619">IF(SUBTOTAL(9,I184:I188)&gt;0,SUBTOTAL(9,I184:I188),"")</f>
        <v/>
      </c>
      <c r="J183" s="34" t="str">
        <f t="shared" ref="J183" si="4620">IF(SUBTOTAL(9,J184:J188)&gt;0,SUBTOTAL(9,J184:J188),"")</f>
        <v/>
      </c>
      <c r="K183" s="34" t="str">
        <f t="shared" ref="K183" si="4621">IF(SUBTOTAL(9,K184:K188)&gt;0,SUBTOTAL(9,K184:K188),"")</f>
        <v/>
      </c>
      <c r="L183" s="34" t="str">
        <f t="shared" ref="L183" si="4622">IF(SUBTOTAL(9,L184:L188)&gt;0,SUBTOTAL(9,L184:L188),"")</f>
        <v/>
      </c>
      <c r="M183" s="34" t="str">
        <f t="shared" ref="M183" si="4623">IF(SUBTOTAL(9,M184:M188)&gt;0,SUBTOTAL(9,M184:M188),"")</f>
        <v/>
      </c>
      <c r="N183" s="34" t="str">
        <f t="shared" ref="N183" si="4624">IF(SUBTOTAL(9,N184:N188)&gt;0,SUBTOTAL(9,N184:N188),"")</f>
        <v/>
      </c>
      <c r="O183" s="34" t="str">
        <f t="shared" ref="O183" si="4625">IF(SUBTOTAL(9,O184:O188)&gt;0,SUBTOTAL(9,O184:O188),"")</f>
        <v/>
      </c>
      <c r="P183" s="34" t="str">
        <f t="shared" ref="P183" si="4626">IF(SUBTOTAL(9,P184:P188)&gt;0,SUBTOTAL(9,P184:P188),"")</f>
        <v/>
      </c>
      <c r="Q183" s="34" t="str">
        <f t="shared" ref="Q183" si="4627">IF(SUBTOTAL(9,Q184:Q188)&gt;0,SUBTOTAL(9,Q184:Q188),"")</f>
        <v/>
      </c>
      <c r="R183" s="34" t="str">
        <f t="shared" ref="R183" si="4628">IF(SUBTOTAL(9,R184:R188)&gt;0,SUBTOTAL(9,R184:R188),"")</f>
        <v/>
      </c>
      <c r="S183" s="34" t="str">
        <f t="shared" ref="S183" si="4629">IF(SUBTOTAL(9,S184:S188)&gt;0,SUBTOTAL(9,S184:S188),"")</f>
        <v/>
      </c>
      <c r="T183" s="34" t="str">
        <f t="shared" ref="T183" si="4630">IF(SUBTOTAL(9,T184:T188)&gt;0,SUBTOTAL(9,T184:T188),"")</f>
        <v/>
      </c>
      <c r="U183" s="34" t="str">
        <f t="shared" ref="U183" si="4631">IF(SUBTOTAL(9,U184:U188)&gt;0,SUBTOTAL(9,U184:U188),"")</f>
        <v/>
      </c>
      <c r="V183" s="34" t="str">
        <f t="shared" ref="V183" si="4632">IF(SUBTOTAL(9,V184:V188)&gt;0,SUBTOTAL(9,V184:V188),"")</f>
        <v/>
      </c>
      <c r="W183" s="34" t="str">
        <f t="shared" ref="W183" si="4633">IF(SUBTOTAL(9,W184:W188)&gt;0,SUBTOTAL(9,W184:W188),"")</f>
        <v/>
      </c>
      <c r="X183" s="34" t="str">
        <f t="shared" ref="X183" si="4634">IF(SUBTOTAL(9,X184:X188)&gt;0,SUBTOTAL(9,X184:X188),"")</f>
        <v/>
      </c>
      <c r="Y183" s="34" t="str">
        <f t="shared" ref="Y183" si="4635">IF(SUBTOTAL(9,Y184:Y188)&gt;0,SUBTOTAL(9,Y184:Y188),"")</f>
        <v/>
      </c>
      <c r="Z183" s="34" t="str">
        <f t="shared" ref="Z183" si="4636">IF(SUBTOTAL(9,Z184:Z188)&gt;0,SUBTOTAL(9,Z184:Z188),"")</f>
        <v/>
      </c>
      <c r="AA183" s="34" t="str">
        <f t="shared" ref="AA183" si="4637">IF(SUBTOTAL(9,AA184:AA188)&gt;0,SUBTOTAL(9,AA184:AA188),"")</f>
        <v/>
      </c>
      <c r="AB183" s="34" t="str">
        <f t="shared" ref="AB183" si="4638">IF(SUBTOTAL(9,AB184:AB188)&gt;0,SUBTOTAL(9,AB184:AB188),"")</f>
        <v/>
      </c>
      <c r="AC183" s="34" t="str">
        <f t="shared" ref="AC183" si="4639">IF(SUBTOTAL(9,AC184:AC188)&gt;0,SUBTOTAL(9,AC184:AC188),"")</f>
        <v/>
      </c>
      <c r="AD183" s="34" t="str">
        <f t="shared" ref="AD183" si="4640">IF(SUBTOTAL(9,AD184:AD188)&gt;0,SUBTOTAL(9,AD184:AD188),"")</f>
        <v/>
      </c>
      <c r="AE183" s="34" t="str">
        <f t="shared" ref="AE183" si="4641">IF(SUBTOTAL(9,AE184:AE188)&gt;0,SUBTOTAL(9,AE184:AE188),"")</f>
        <v/>
      </c>
      <c r="AF183" s="34" t="str">
        <f t="shared" ref="AF183" si="4642">IF(SUBTOTAL(9,AF184:AF188)&gt;0,SUBTOTAL(9,AF184:AF188),"")</f>
        <v/>
      </c>
      <c r="AG183" s="34" t="str">
        <f t="shared" ref="AG183" si="4643">IF(SUBTOTAL(9,AG184:AG188)&gt;0,SUBTOTAL(9,AG184:AG188),"")</f>
        <v/>
      </c>
      <c r="AH183" s="34" t="str">
        <f t="shared" ref="AH183" si="4644">IF(SUBTOTAL(9,AH184:AH188)&gt;0,SUBTOTAL(9,AH184:AH188),"")</f>
        <v/>
      </c>
      <c r="AI183" s="34" t="str">
        <f t="shared" ref="AI183" si="4645">IF(SUBTOTAL(9,AI184:AI188)&gt;0,SUBTOTAL(9,AI184:AI188),"")</f>
        <v/>
      </c>
      <c r="AJ183" s="34" t="str">
        <f t="shared" ref="AJ183" si="4646">IF(SUBTOTAL(9,AJ184:AJ188)&gt;0,SUBTOTAL(9,AJ184:AJ188),"")</f>
        <v/>
      </c>
      <c r="AK183" s="34" t="str">
        <f t="shared" ref="AK183" si="4647">IF(SUBTOTAL(9,AK184:AK188)&gt;0,SUBTOTAL(9,AK184:AK188),"")</f>
        <v/>
      </c>
      <c r="AL183" s="33" t="str">
        <f t="shared" ref="AL183" si="4648">IF(SUBTOTAL(9,AL184:AL188)&gt;0,SUBTOTAL(9,AL184:AL188),"")</f>
        <v/>
      </c>
      <c r="AM183" s="33" t="str">
        <f t="shared" ref="AM183" si="4649">IF(SUBTOTAL(9,AM184:AM188)&gt;0,SUBTOTAL(9,AM184:AM188),"")</f>
        <v/>
      </c>
      <c r="AN183" s="33" t="str">
        <f t="shared" ref="AN183" si="4650">IF(SUBTOTAL(9,AN184:AN188)&gt;0,SUBTOTAL(9,AN184:AN188),"")</f>
        <v/>
      </c>
      <c r="AO183" s="33" t="str">
        <f t="shared" ref="AO183" si="4651">IF(SUBTOTAL(9,AO184:AO188)&gt;0,SUBTOTAL(9,AO184:AO188),"")</f>
        <v/>
      </c>
      <c r="AP183" s="33" t="str">
        <f t="shared" ref="AP183" si="4652">IF(SUBTOTAL(9,AP184:AP188)&gt;0,SUBTOTAL(9,AP184:AP188),"")</f>
        <v/>
      </c>
      <c r="AQ183" s="33" t="str">
        <f t="shared" ref="AQ183" si="4653">IF(SUBTOTAL(9,AQ184:AQ188)&gt;0,SUBTOTAL(9,AQ184:AQ188),"")</f>
        <v/>
      </c>
      <c r="AR183" s="33" t="str">
        <f t="shared" ref="AR183" si="4654">IF(SUBTOTAL(9,AR184:AR188)&gt;0,SUBTOTAL(9,AR184:AR188),"")</f>
        <v/>
      </c>
      <c r="AS183" s="34" t="str">
        <f t="shared" ref="AS183" si="4655">IF(SUBTOTAL(9,AS184:AS188)&gt;0,SUBTOTAL(9,AS184:AS188),"")</f>
        <v/>
      </c>
      <c r="AT183" s="34" t="str">
        <f t="shared" ref="AT183" si="4656">IF(SUBTOTAL(9,AT184:AT188)&gt;0,SUBTOTAL(9,AT184:AT188),"")</f>
        <v/>
      </c>
      <c r="AU183" s="34" t="str">
        <f t="shared" ref="AU183" si="4657">IF(SUBTOTAL(9,AU184:AU188)&gt;0,SUBTOTAL(9,AU184:AU188),"")</f>
        <v/>
      </c>
      <c r="AV183" s="34" t="str">
        <f t="shared" ref="AV183" si="4658">IF(SUBTOTAL(9,AV184:AV188)&gt;0,SUBTOTAL(9,AV184:AV188),"")</f>
        <v/>
      </c>
      <c r="AW183" s="34" t="str">
        <f t="shared" ref="AW183" si="4659">IF(SUBTOTAL(9,AW184:AW188)&gt;0,SUBTOTAL(9,AW184:AW188),"")</f>
        <v/>
      </c>
      <c r="AX183" s="34" t="str">
        <f t="shared" ref="AX183" si="4660">IF(SUBTOTAL(9,AX184:AX188)&gt;0,SUBTOTAL(9,AX184:AX188),"")</f>
        <v/>
      </c>
      <c r="AY183" s="34" t="str">
        <f t="shared" ref="AY183" si="4661">IF(SUBTOTAL(9,AY184:AY188)&gt;0,SUBTOTAL(9,AY184:AY188),"")</f>
        <v/>
      </c>
      <c r="AZ183" s="34" t="str">
        <f t="shared" ref="AZ183" si="4662">IF(SUBTOTAL(9,AZ184:AZ188)&gt;0,SUBTOTAL(9,AZ184:AZ188),"")</f>
        <v/>
      </c>
      <c r="BA183" s="34" t="str">
        <f t="shared" ref="BA183" si="4663">IF(SUBTOTAL(9,BA184:BA188)&gt;0,SUBTOTAL(9,BA184:BA188),"")</f>
        <v/>
      </c>
      <c r="BB183" s="34" t="str">
        <f t="shared" ref="BB183" si="4664">IF(SUBTOTAL(9,BB184:BB188)&gt;0,SUBTOTAL(9,BB184:BB188),"")</f>
        <v/>
      </c>
      <c r="BC183" s="34" t="str">
        <f t="shared" ref="BC183" si="4665">IF(SUBTOTAL(9,BC184:BC188)&gt;0,SUBTOTAL(9,BC184:BC188),"")</f>
        <v/>
      </c>
      <c r="BD183" s="34" t="str">
        <f t="shared" ref="BD183" si="4666">IF(SUBTOTAL(9,BD184:BD188)&gt;0,SUBTOTAL(9,BD184:BD188),"")</f>
        <v/>
      </c>
      <c r="BE183" s="34" t="str">
        <f t="shared" ref="BE183" si="4667">IF(SUBTOTAL(9,BE184:BE188)&gt;0,SUBTOTAL(9,BE184:BE188),"")</f>
        <v/>
      </c>
      <c r="BF183" s="34" t="str">
        <f t="shared" ref="BF183" si="4668">IF(SUBTOTAL(9,BF184:BF188)&gt;0,SUBTOTAL(9,BF184:BF188),"")</f>
        <v/>
      </c>
      <c r="BG183" s="34" t="str">
        <f t="shared" ref="BG183" si="4669">IF(SUBTOTAL(9,BG184:BG188)&gt;0,SUBTOTAL(9,BG184:BG188),"")</f>
        <v/>
      </c>
      <c r="BH183" s="34" t="str">
        <f t="shared" ref="BH183" si="4670">IF(SUBTOTAL(9,BH184:BH188)&gt;0,SUBTOTAL(9,BH184:BH188),"")</f>
        <v/>
      </c>
      <c r="BI183" s="34" t="str">
        <f t="shared" ref="BI183" si="4671">IF(SUBTOTAL(9,BI184:BI188)&gt;0,SUBTOTAL(9,BI184:BI188),"")</f>
        <v/>
      </c>
      <c r="BJ183" s="34" t="str">
        <f t="shared" ref="BJ183" si="4672">IF(SUBTOTAL(9,BJ184:BJ188)&gt;0,SUBTOTAL(9,BJ184:BJ188),"")</f>
        <v/>
      </c>
      <c r="BK183" s="34" t="str">
        <f t="shared" ref="BK183" si="4673">IF(SUBTOTAL(9,BK184:BK188)&gt;0,SUBTOTAL(9,BK184:BK188),"")</f>
        <v/>
      </c>
      <c r="BL183" s="34" t="str">
        <f t="shared" ref="BL183" si="4674">IF(SUBTOTAL(9,BL184:BL188)&gt;0,SUBTOTAL(9,BL184:BL188),"")</f>
        <v/>
      </c>
      <c r="BM183" s="34" t="str">
        <f t="shared" ref="BM183" si="4675">IF(SUBTOTAL(9,BM184:BM188)&gt;0,SUBTOTAL(9,BM184:BM188),"")</f>
        <v/>
      </c>
      <c r="BN183" s="34" t="str">
        <f t="shared" ref="BN183" si="4676">IF(SUBTOTAL(9,BN184:BN188)&gt;0,SUBTOTAL(9,BN184:BN188),"")</f>
        <v/>
      </c>
      <c r="BO183" s="34" t="str">
        <f t="shared" ref="BO183" si="4677">IF(SUBTOTAL(9,BO184:BO188)&gt;0,SUBTOTAL(9,BO184:BO188),"")</f>
        <v/>
      </c>
      <c r="BP183" s="34" t="str">
        <f t="shared" ref="BP183" si="4678">IF(SUBTOTAL(9,BP184:BP188)&gt;0,SUBTOTAL(9,BP184:BP188),"")</f>
        <v/>
      </c>
      <c r="BQ183" s="34" t="str">
        <f t="shared" ref="BQ183" si="4679">IF(SUBTOTAL(9,BQ184:BQ188)&gt;0,SUBTOTAL(9,BQ184:BQ188),"")</f>
        <v/>
      </c>
      <c r="BR183" s="34" t="str">
        <f t="shared" ref="BR183" si="4680">IF(SUBTOTAL(9,BR184:BR188)&gt;0,SUBTOTAL(9,BR184:BR188),"")</f>
        <v/>
      </c>
      <c r="BS183" s="34" t="str">
        <f t="shared" ref="BS183" si="4681">IF(SUBTOTAL(9,BS184:BS188)&gt;0,SUBTOTAL(9,BS184:BS188),"")</f>
        <v/>
      </c>
      <c r="BT183" s="34" t="str">
        <f t="shared" ref="BT183" si="4682">IF(SUBTOTAL(9,BT184:BT188)&gt;0,SUBTOTAL(9,BT184:BT188),"")</f>
        <v/>
      </c>
      <c r="BU183" s="34" t="str">
        <f t="shared" ref="BU183" si="4683">IF(SUBTOTAL(9,BU184:BU188)&gt;0,SUBTOTAL(9,BU184:BU188),"")</f>
        <v/>
      </c>
      <c r="BV183" s="34" t="str">
        <f t="shared" ref="BV183" si="4684">IF(SUBTOTAL(9,BV184:BV188)&gt;0,SUBTOTAL(9,BV184:BV188),"")</f>
        <v/>
      </c>
      <c r="BW183" s="34" t="str">
        <f t="shared" ref="BW183" si="4685">IF(SUBTOTAL(9,BW184:BW188)&gt;0,SUBTOTAL(9,BW184:BW188),"")</f>
        <v/>
      </c>
      <c r="BX183" s="34" t="str">
        <f t="shared" ref="BX183" si="4686">IF(SUBTOTAL(9,BX184:BX188)&gt;0,SUBTOTAL(9,BX184:BX188),"")</f>
        <v/>
      </c>
      <c r="BY183" s="34">
        <f t="shared" ref="BY183" si="4687">IF(SUBTOTAL(9,BY184:BY188)&gt;0,SUBTOTAL(9,BY184:BY188),"")</f>
        <v>1</v>
      </c>
      <c r="BZ183" s="34">
        <f t="shared" ref="BZ183" si="4688">IF(SUBTOTAL(9,BZ184:BZ188)&gt;0,SUBTOTAL(9,BZ184:BZ188),"")</f>
        <v>1.5</v>
      </c>
      <c r="CA183" s="34" t="str">
        <f t="shared" ref="CA183" si="4689">IF(SUBTOTAL(9,CA184:CA188)&gt;0,SUBTOTAL(9,CA184:CA188),"")</f>
        <v/>
      </c>
      <c r="CB183" s="34" t="str">
        <f t="shared" ref="CB183" si="4690">IF(SUBTOTAL(9,CB184:CB188)&gt;0,SUBTOTAL(9,CB184:CB188),"")</f>
        <v/>
      </c>
      <c r="CC183" s="34" t="str">
        <f t="shared" ref="CC183" si="4691">IF(SUBTOTAL(9,CC184:CC188)&gt;0,SUBTOTAL(9,CC184:CC188),"")</f>
        <v/>
      </c>
      <c r="CD183" s="34" t="str">
        <f t="shared" ref="CD183" si="4692">IF(SUBTOTAL(9,CD184:CD188)&gt;0,SUBTOTAL(9,CD184:CD188),"")</f>
        <v/>
      </c>
      <c r="CE183" s="34" t="str">
        <f t="shared" ref="CE183" si="4693">IF(SUBTOTAL(9,CE184:CE188)&gt;0,SUBTOTAL(9,CE184:CE188),"")</f>
        <v/>
      </c>
      <c r="CF183" s="34" t="str">
        <f t="shared" ref="CF183:CG183" si="4694">IF(SUBTOTAL(9,CF184:CF188)&gt;0,SUBTOTAL(9,CF184:CF188),"")</f>
        <v/>
      </c>
      <c r="CG183" s="34" t="str">
        <f t="shared" si="4694"/>
        <v/>
      </c>
      <c r="CH183" s="34" t="str">
        <f t="shared" ref="CH183" si="4695">IF(SUBTOTAL(9,CH184:CH188)&gt;0,SUBTOTAL(9,CH184:CH188),"")</f>
        <v/>
      </c>
      <c r="CI183" s="34" t="str">
        <f t="shared" ref="CI183" si="4696">IF(SUBTOTAL(9,CI184:CI188)&gt;0,SUBTOTAL(9,CI184:CI188),"")</f>
        <v/>
      </c>
      <c r="CJ183" s="34" t="str">
        <f t="shared" ref="CJ183" si="4697">IF(SUBTOTAL(9,CJ184:CJ188)&gt;0,SUBTOTAL(9,CJ184:CJ188),"")</f>
        <v/>
      </c>
      <c r="CK183" s="34" t="str">
        <f t="shared" ref="CK183" si="4698">IF(SUBTOTAL(9,CK184:CK188)&gt;0,SUBTOTAL(9,CK184:CK188),"")</f>
        <v/>
      </c>
      <c r="CL183" s="34" t="str">
        <f t="shared" ref="CL183" si="4699">IF(SUBTOTAL(9,CL184:CL188)&gt;0,SUBTOTAL(9,CL184:CL188),"")</f>
        <v/>
      </c>
      <c r="CM183" s="34" t="str">
        <f t="shared" ref="CM183" si="4700">IF(SUBTOTAL(9,CM184:CM188)&gt;0,SUBTOTAL(9,CM184:CM188),"")</f>
        <v/>
      </c>
      <c r="CN183" s="34" t="str">
        <f t="shared" ref="CN183" si="4701">IF(SUBTOTAL(9,CN184:CN188)&gt;0,SUBTOTAL(9,CN184:CN188),"")</f>
        <v/>
      </c>
      <c r="CO183" s="34" t="str">
        <f t="shared" ref="CO183" si="4702">IF(SUBTOTAL(9,CO184:CO188)&gt;0,SUBTOTAL(9,CO184:CO188),"")</f>
        <v/>
      </c>
      <c r="CP183" s="34" t="str">
        <f t="shared" ref="CP183" si="4703">IF(SUBTOTAL(9,CP184:CP188)&gt;0,SUBTOTAL(9,CP184:CP188),"")</f>
        <v/>
      </c>
      <c r="CQ183" s="34" t="str">
        <f t="shared" ref="CQ183" si="4704">IF(SUBTOTAL(9,CQ184:CQ188)&gt;0,SUBTOTAL(9,CQ184:CQ188),"")</f>
        <v/>
      </c>
      <c r="CR183" s="34" t="str">
        <f t="shared" ref="CR183" si="4705">IF(SUBTOTAL(9,CR184:CR188)&gt;0,SUBTOTAL(9,CR184:CR188),"")</f>
        <v/>
      </c>
      <c r="CS183" s="34" t="str">
        <f t="shared" ref="CS183" si="4706">IF(SUBTOTAL(9,CS184:CS188)&gt;0,SUBTOTAL(9,CS184:CS188),"")</f>
        <v/>
      </c>
      <c r="CT183" s="33" t="str">
        <f t="shared" ref="CT183" si="4707">IF(SUBTOTAL(9,CT184:CT188)&gt;0,SUBTOTAL(9,CT184:CT188),"")</f>
        <v/>
      </c>
      <c r="CU183" s="34" t="str">
        <f t="shared" ref="CU183" si="4708">IF(SUBTOTAL(9,CU184:CU188)&gt;0,SUBTOTAL(9,CU184:CU188),"")</f>
        <v/>
      </c>
      <c r="CV183" s="34" t="str">
        <f t="shared" ref="CV183" si="4709">IF(SUBTOTAL(9,CV184:CV188)&gt;0,SUBTOTAL(9,CV184:CV188),"")</f>
        <v/>
      </c>
      <c r="CW183" s="34" t="str">
        <f t="shared" ref="CW183" si="4710">IF(SUBTOTAL(9,CW184:CW188)&gt;0,SUBTOTAL(9,CW184:CW188),"")</f>
        <v/>
      </c>
      <c r="CX183" s="34" t="str">
        <f t="shared" ref="CX183" si="4711">IF(SUBTOTAL(9,CX184:CX188)&gt;0,SUBTOTAL(9,CX184:CX188),"")</f>
        <v/>
      </c>
      <c r="CY183" s="34" t="str">
        <f t="shared" ref="CY183" si="4712">IF(SUBTOTAL(9,CY184:CY188)&gt;0,SUBTOTAL(9,CY184:CY188),"")</f>
        <v/>
      </c>
      <c r="CZ183" s="33" t="str">
        <f t="shared" ref="CZ183" si="4713">IF(SUBTOTAL(9,CZ184:CZ188)&gt;0,SUBTOTAL(9,CZ184:CZ188),"")</f>
        <v/>
      </c>
      <c r="DA183" s="33" t="str">
        <f t="shared" ref="DA183" si="4714">IF(SUBTOTAL(9,DA184:DA188)&gt;0,SUBTOTAL(9,DA184:DA188),"")</f>
        <v/>
      </c>
      <c r="DB183" s="34" t="str">
        <f t="shared" ref="DB183" si="4715">IF(SUBTOTAL(9,DB184:DB188)&gt;0,SUBTOTAL(9,DB184:DB188),"")</f>
        <v/>
      </c>
      <c r="DC183" s="34" t="str">
        <f t="shared" ref="DC183" si="4716">IF(SUBTOTAL(9,DC184:DC188)&gt;0,SUBTOTAL(9,DC184:DC188),"")</f>
        <v/>
      </c>
      <c r="DD183" s="34" t="str">
        <f t="shared" ref="DD183" si="4717">IF(SUBTOTAL(9,DD184:DD188)&gt;0,SUBTOTAL(9,DD184:DD188),"")</f>
        <v/>
      </c>
      <c r="DE183" s="34" t="str">
        <f t="shared" ref="DE183" si="4718">IF(SUBTOTAL(9,DE184:DE188)&gt;0,SUBTOTAL(9,DE184:DE188),"")</f>
        <v/>
      </c>
      <c r="DF183" s="34" t="str">
        <f t="shared" ref="DF183" si="4719">IF(SUBTOTAL(9,DF184:DF188)&gt;0,SUBTOTAL(9,DF184:DF188),"")</f>
        <v/>
      </c>
      <c r="DG183" s="34" t="str">
        <f t="shared" ref="DG183" si="4720">IF(SUBTOTAL(9,DG184:DG188)&gt;0,SUBTOTAL(9,DG184:DG188),"")</f>
        <v/>
      </c>
      <c r="DH183" s="34" t="str">
        <f t="shared" ref="DH183" si="4721">IF(SUBTOTAL(9,DH184:DH188)&gt;0,SUBTOTAL(9,DH184:DH188),"")</f>
        <v/>
      </c>
      <c r="DI183" s="34" t="str">
        <f t="shared" ref="DI183" si="4722">IF(SUBTOTAL(9,DI184:DI188)&gt;0,SUBTOTAL(9,DI184:DI188),"")</f>
        <v/>
      </c>
      <c r="DJ183" s="34" t="str">
        <f t="shared" ref="DJ183" si="4723">IF(SUBTOTAL(9,DJ184:DJ188)&gt;0,SUBTOTAL(9,DJ184:DJ188),"")</f>
        <v/>
      </c>
      <c r="DK183" s="34" t="str">
        <f t="shared" ref="DK183" si="4724">IF(SUBTOTAL(9,DK184:DK188)&gt;0,SUBTOTAL(9,DK184:DK188),"")</f>
        <v/>
      </c>
      <c r="DL183" s="34" t="str">
        <f t="shared" ref="DL183" si="4725">IF(SUBTOTAL(9,DL184:DL188)&gt;0,SUBTOTAL(9,DL184:DL188),"")</f>
        <v/>
      </c>
      <c r="DM183" s="34" t="str">
        <f t="shared" ref="DM183" si="4726">IF(SUBTOTAL(9,DM184:DM188)&gt;0,SUBTOTAL(9,DM184:DM188),"")</f>
        <v/>
      </c>
      <c r="DN183" s="34" t="str">
        <f t="shared" ref="DN183" si="4727">IF(SUBTOTAL(9,DN184:DN188)&gt;0,SUBTOTAL(9,DN184:DN188),"")</f>
        <v/>
      </c>
      <c r="DO183" s="34" t="str">
        <f t="shared" ref="DO183" si="4728">IF(SUBTOTAL(9,DO184:DO188)&gt;0,SUBTOTAL(9,DO184:DO188),"")</f>
        <v/>
      </c>
      <c r="DP183" s="34" t="str">
        <f t="shared" ref="DP183" si="4729">IF(SUBTOTAL(9,DP184:DP188)&gt;0,SUBTOTAL(9,DP184:DP188),"")</f>
        <v/>
      </c>
      <c r="DQ183" s="34" t="str">
        <f t="shared" ref="DQ183" si="4730">IF(SUBTOTAL(9,DQ184:DQ188)&gt;0,SUBTOTAL(9,DQ184:DQ188),"")</f>
        <v/>
      </c>
      <c r="DR183" s="34" t="str">
        <f t="shared" ref="DR183" si="4731">IF(SUBTOTAL(9,DR184:DR188)&gt;0,SUBTOTAL(9,DR184:DR188),"")</f>
        <v/>
      </c>
      <c r="DS183" s="34" t="str">
        <f t="shared" ref="DS183" si="4732">IF(SUBTOTAL(9,DS184:DS188)&gt;0,SUBTOTAL(9,DS184:DS188),"")</f>
        <v/>
      </c>
      <c r="DT183" s="34" t="str">
        <f t="shared" ref="DT183" si="4733">IF(SUBTOTAL(9,DT184:DT188)&gt;0,SUBTOTAL(9,DT184:DT188),"")</f>
        <v/>
      </c>
      <c r="DU183" s="34" t="str">
        <f t="shared" ref="DU183" si="4734">IF(SUBTOTAL(9,DU184:DU188)&gt;0,SUBTOTAL(9,DU184:DU188),"")</f>
        <v/>
      </c>
      <c r="DV183" s="34" t="str">
        <f t="shared" ref="DV183" si="4735">IF(SUBTOTAL(9,DV184:DV188)&gt;0,SUBTOTAL(9,DV184:DV188),"")</f>
        <v/>
      </c>
      <c r="DW183" s="34" t="str">
        <f t="shared" ref="DW183" si="4736">IF(SUBTOTAL(9,DW184:DW188)&gt;0,SUBTOTAL(9,DW184:DW188),"")</f>
        <v/>
      </c>
      <c r="DX183" s="34" t="str">
        <f t="shared" ref="DX183" si="4737">IF(SUBTOTAL(9,DX184:DX188)&gt;0,SUBTOTAL(9,DX184:DX188),"")</f>
        <v/>
      </c>
      <c r="DY183" s="34" t="str">
        <f t="shared" ref="DY183" si="4738">IF(SUBTOTAL(9,DY184:DY188)&gt;0,SUBTOTAL(9,DY184:DY188),"")</f>
        <v/>
      </c>
      <c r="DZ183" s="33" t="str">
        <f t="shared" ref="DZ183" si="4739">IF(SUBTOTAL(9,DZ184:DZ188)&gt;0,SUBTOTAL(9,DZ184:DZ188),"")</f>
        <v/>
      </c>
      <c r="EA183" s="34" t="str">
        <f t="shared" ref="EA183" si="4740">IF(SUBTOTAL(9,EA184:EA188)&gt;0,SUBTOTAL(9,EA184:EA188),"")</f>
        <v/>
      </c>
      <c r="EB183" s="34" t="str">
        <f t="shared" ref="EB183" si="4741">IF(SUBTOTAL(9,EB184:EB188)&gt;0,SUBTOTAL(9,EB184:EB188),"")</f>
        <v/>
      </c>
      <c r="EC183" s="34" t="str">
        <f t="shared" ref="EC183" si="4742">IF(SUBTOTAL(9,EC184:EC188)&gt;0,SUBTOTAL(9,EC184:EC188),"")</f>
        <v/>
      </c>
      <c r="ED183" s="34" t="str">
        <f t="shared" ref="ED183" si="4743">IF(SUBTOTAL(9,ED184:ED188)&gt;0,SUBTOTAL(9,ED184:ED188),"")</f>
        <v/>
      </c>
      <c r="EE183" s="34" t="str">
        <f t="shared" ref="EE183" si="4744">IF(SUBTOTAL(9,EE184:EE188)&gt;0,SUBTOTAL(9,EE184:EE188),"")</f>
        <v/>
      </c>
      <c r="EF183" s="34" t="str">
        <f t="shared" ref="EF183" si="4745">IF(SUBTOTAL(9,EF184:EF188)&gt;0,SUBTOTAL(9,EF184:EF188),"")</f>
        <v/>
      </c>
      <c r="EG183" s="34" t="str">
        <f t="shared" ref="EG183" si="4746">IF(SUBTOTAL(9,EG184:EG188)&gt;0,SUBTOTAL(9,EG184:EG188),"")</f>
        <v/>
      </c>
      <c r="EH183" s="34" t="str">
        <f t="shared" ref="EH183" si="4747">IF(SUBTOTAL(9,EH184:EH188)&gt;0,SUBTOTAL(9,EH184:EH188),"")</f>
        <v/>
      </c>
      <c r="EI183" s="34" t="str">
        <f t="shared" ref="EI183" si="4748">IF(SUBTOTAL(9,EI184:EI188)&gt;0,SUBTOTAL(9,EI184:EI188),"")</f>
        <v/>
      </c>
      <c r="EJ183" s="34" t="str">
        <f t="shared" ref="EJ183" si="4749">IF(SUBTOTAL(9,EJ184:EJ188)&gt;0,SUBTOTAL(9,EJ184:EJ188),"")</f>
        <v/>
      </c>
      <c r="EK183" s="34" t="str">
        <f t="shared" ref="EK183" si="4750">IF(SUBTOTAL(9,EK184:EK188)&gt;0,SUBTOTAL(9,EK184:EK188),"")</f>
        <v/>
      </c>
      <c r="EL183" s="34" t="str">
        <f t="shared" ref="EL183" si="4751">IF(SUBTOTAL(9,EL184:EL188)&gt;0,SUBTOTAL(9,EL184:EL188),"")</f>
        <v/>
      </c>
      <c r="EM183" s="34" t="str">
        <f t="shared" ref="EM183" si="4752">IF(SUBTOTAL(9,EM184:EM188)&gt;0,SUBTOTAL(9,EM184:EM188),"")</f>
        <v/>
      </c>
      <c r="EN183" s="34" t="str">
        <f t="shared" ref="EN183" si="4753">IF(SUBTOTAL(9,EN184:EN188)&gt;0,SUBTOTAL(9,EN184:EN188),"")</f>
        <v/>
      </c>
      <c r="EO183" s="34" t="str">
        <f t="shared" ref="EO183" si="4754">IF(SUBTOTAL(9,EO184:EO188)&gt;0,SUBTOTAL(9,EO184:EO188),"")</f>
        <v/>
      </c>
      <c r="EP183" s="34" t="str">
        <f t="shared" ref="EP183" si="4755">IF(SUBTOTAL(9,EP184:EP188)&gt;0,SUBTOTAL(9,EP184:EP188),"")</f>
        <v/>
      </c>
      <c r="EQ183" s="34" t="str">
        <f t="shared" ref="EQ183" si="4756">IF(SUBTOTAL(9,EQ184:EQ188)&gt;0,SUBTOTAL(9,EQ184:EQ188),"")</f>
        <v/>
      </c>
      <c r="ER183" s="34" t="str">
        <f t="shared" ref="ER183" si="4757">IF(SUBTOTAL(9,ER184:ER188)&gt;0,SUBTOTAL(9,ER184:ER188),"")</f>
        <v/>
      </c>
      <c r="ES183" s="34" t="str">
        <f t="shared" ref="ES183" si="4758">IF(SUBTOTAL(9,ES184:ES188)&gt;0,SUBTOTAL(9,ES184:ES188),"")</f>
        <v/>
      </c>
      <c r="ET183" s="34" t="str">
        <f t="shared" ref="ET183" si="4759">IF(SUBTOTAL(9,ET184:ET188)&gt;0,SUBTOTAL(9,ET184:ET188),"")</f>
        <v/>
      </c>
      <c r="EU183" s="34" t="str">
        <f t="shared" ref="EU183" si="4760">IF(SUBTOTAL(9,EU184:EU188)&gt;0,SUBTOTAL(9,EU184:EU188),"")</f>
        <v/>
      </c>
      <c r="EV183" s="34" t="str">
        <f t="shared" ref="EV183" si="4761">IF(SUBTOTAL(9,EV184:EV188)&gt;0,SUBTOTAL(9,EV184:EV188),"")</f>
        <v/>
      </c>
      <c r="EW183" s="34" t="str">
        <f t="shared" ref="EW183" si="4762">IF(SUBTOTAL(9,EW184:EW188)&gt;0,SUBTOTAL(9,EW184:EW188),"")</f>
        <v/>
      </c>
      <c r="EX183" s="34" t="str">
        <f t="shared" ref="EX183" si="4763">IF(SUBTOTAL(9,EX184:EX188)&gt;0,SUBTOTAL(9,EX184:EX188),"")</f>
        <v/>
      </c>
      <c r="EY183" s="33" t="str">
        <f t="shared" ref="EY183" si="4764">IF(SUBTOTAL(9,EY184:EY188)&gt;0,SUBTOTAL(9,EY184:EY188),"")</f>
        <v/>
      </c>
      <c r="EZ183" s="34" t="str">
        <f t="shared" ref="EZ183" si="4765">IF(SUBTOTAL(9,EZ184:EZ188)&gt;0,SUBTOTAL(9,EZ184:EZ188),"")</f>
        <v/>
      </c>
      <c r="FA183" s="34" t="str">
        <f t="shared" ref="FA183" si="4766">IF(SUBTOTAL(9,FA184:FA188)&gt;0,SUBTOTAL(9,FA184:FA188),"")</f>
        <v/>
      </c>
      <c r="FB183" s="34" t="str">
        <f t="shared" ref="FB183" si="4767">IF(SUBTOTAL(9,FB184:FB188)&gt;0,SUBTOTAL(9,FB184:FB188),"")</f>
        <v/>
      </c>
      <c r="FC183" s="34" t="str">
        <f t="shared" ref="FC183" si="4768">IF(SUBTOTAL(9,FC184:FC188)&gt;0,SUBTOTAL(9,FC184:FC188),"")</f>
        <v/>
      </c>
      <c r="FD183" s="34" t="str">
        <f t="shared" ref="FD183" si="4769">IF(SUBTOTAL(9,FD184:FD188)&gt;0,SUBTOTAL(9,FD184:FD188),"")</f>
        <v/>
      </c>
      <c r="FE183" s="34" t="str">
        <f t="shared" ref="FE183" si="4770">IF(SUBTOTAL(9,FE184:FE188)&gt;0,SUBTOTAL(9,FE184:FE188),"")</f>
        <v/>
      </c>
      <c r="FF183" s="34" t="str">
        <f t="shared" ref="FF183" si="4771">IF(SUBTOTAL(9,FF184:FF188)&gt;0,SUBTOTAL(9,FF184:FF188),"")</f>
        <v/>
      </c>
      <c r="FG183" s="34" t="str">
        <f t="shared" ref="FG183" si="4772">IF(SUBTOTAL(9,FG184:FG188)&gt;0,SUBTOTAL(9,FG184:FG188),"")</f>
        <v/>
      </c>
      <c r="FH183" s="34" t="str">
        <f t="shared" ref="FH183" si="4773">IF(SUBTOTAL(9,FH184:FH188)&gt;0,SUBTOTAL(9,FH184:FH188),"")</f>
        <v/>
      </c>
      <c r="FI183" s="34" t="str">
        <f t="shared" ref="FI183" si="4774">IF(SUBTOTAL(9,FI184:FI188)&gt;0,SUBTOTAL(9,FI184:FI188),"")</f>
        <v/>
      </c>
      <c r="FJ183" s="34" t="str">
        <f t="shared" ref="FJ183" si="4775">IF(SUBTOTAL(9,FJ184:FJ188)&gt;0,SUBTOTAL(9,FJ184:FJ188),"")</f>
        <v/>
      </c>
      <c r="FK183" s="34" t="str">
        <f t="shared" ref="FK183" si="4776">IF(SUBTOTAL(9,FK184:FK188)&gt;0,SUBTOTAL(9,FK184:FK188),"")</f>
        <v/>
      </c>
      <c r="FL183" s="34" t="str">
        <f t="shared" ref="FL183" si="4777">IF(SUBTOTAL(9,FL184:FL188)&gt;0,SUBTOTAL(9,FL184:FL188),"")</f>
        <v/>
      </c>
      <c r="FM183" s="34" t="str">
        <f t="shared" ref="FM183" si="4778">IF(SUBTOTAL(9,FM184:FM188)&gt;0,SUBTOTAL(9,FM184:FM188),"")</f>
        <v/>
      </c>
      <c r="FN183" s="34" t="str">
        <f t="shared" ref="FN183" si="4779">IF(SUBTOTAL(9,FN184:FN188)&gt;0,SUBTOTAL(9,FN184:FN188),"")</f>
        <v/>
      </c>
      <c r="FO183" s="34" t="str">
        <f t="shared" ref="FO183" si="4780">IF(SUBTOTAL(9,FO184:FO188)&gt;0,SUBTOTAL(9,FO184:FO188),"")</f>
        <v/>
      </c>
      <c r="FP183" s="34" t="str">
        <f t="shared" ref="FP183" si="4781">IF(SUBTOTAL(9,FP184:FP188)&gt;0,SUBTOTAL(9,FP184:FP188),"")</f>
        <v/>
      </c>
      <c r="FQ183" s="92" t="str">
        <f t="shared" ref="FQ183" si="4782">IF(SUBTOTAL(9,FQ184:FQ188)&gt;0,SUBTOTAL(9,FQ184:FQ188),"")</f>
        <v/>
      </c>
      <c r="FR183" s="8"/>
      <c r="FS183" s="9" t="s">
        <v>131</v>
      </c>
      <c r="FT183" s="9" t="str">
        <f t="shared" si="3664"/>
        <v/>
      </c>
    </row>
    <row r="184" spans="1:176" s="9" customFormat="1" ht="12" hidden="1" customHeight="1" outlineLevel="1">
      <c r="A184" s="122" t="s">
        <v>4</v>
      </c>
      <c r="B184" s="123" t="s">
        <v>6</v>
      </c>
      <c r="C184" s="124" t="str">
        <f t="shared" si="3515"/>
        <v>2 days</v>
      </c>
      <c r="D184" s="13" t="str">
        <f>A164&amp;" "&amp;A183</f>
        <v>6. SFCR Development &amp; Dry Run 6.4 Sign-off</v>
      </c>
      <c r="E184" s="51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5"/>
      <c r="AK184" s="35"/>
      <c r="AL184" s="36"/>
      <c r="AM184" s="36"/>
      <c r="AN184" s="36"/>
      <c r="AO184" s="36"/>
      <c r="AP184" s="36"/>
      <c r="AQ184" s="36"/>
      <c r="AR184" s="36"/>
      <c r="AS184" s="35"/>
      <c r="AT184" s="35"/>
      <c r="AU184" s="35"/>
      <c r="AV184" s="35"/>
      <c r="AW184" s="35"/>
      <c r="AX184" s="35"/>
      <c r="AY184" s="35"/>
      <c r="AZ184" s="35"/>
      <c r="BA184" s="35"/>
      <c r="BB184" s="35"/>
      <c r="BC184" s="35"/>
      <c r="BD184" s="35"/>
      <c r="BE184" s="35"/>
      <c r="BF184" s="35"/>
      <c r="BG184" s="35"/>
      <c r="BH184" s="35"/>
      <c r="BI184" s="35"/>
      <c r="BJ184" s="35"/>
      <c r="BK184" s="35"/>
      <c r="BL184" s="35"/>
      <c r="BM184" s="35"/>
      <c r="BN184" s="35"/>
      <c r="BO184" s="35"/>
      <c r="BP184" s="35"/>
      <c r="BQ184" s="35"/>
      <c r="BR184" s="35"/>
      <c r="BS184" s="35"/>
      <c r="BT184" s="35"/>
      <c r="BU184" s="35"/>
      <c r="BV184" s="35"/>
      <c r="BW184" s="35"/>
      <c r="BX184" s="35"/>
      <c r="BY184" s="35">
        <v>1</v>
      </c>
      <c r="BZ184" s="35">
        <v>1</v>
      </c>
      <c r="CA184" s="35"/>
      <c r="CB184" s="35"/>
      <c r="CC184" s="35"/>
      <c r="CD184" s="35"/>
      <c r="CE184" s="35"/>
      <c r="CF184" s="35"/>
      <c r="CG184" s="35"/>
      <c r="CH184" s="35"/>
      <c r="CI184" s="35"/>
      <c r="CJ184" s="35"/>
      <c r="CK184" s="35"/>
      <c r="CL184" s="35"/>
      <c r="CM184" s="35"/>
      <c r="CN184" s="35"/>
      <c r="CO184" s="35"/>
      <c r="CP184" s="35"/>
      <c r="CQ184" s="35"/>
      <c r="CR184" s="35"/>
      <c r="CS184" s="35"/>
      <c r="CT184" s="36"/>
      <c r="CU184" s="35"/>
      <c r="CV184" s="35"/>
      <c r="CW184" s="35"/>
      <c r="CX184" s="35"/>
      <c r="CY184" s="35"/>
      <c r="CZ184" s="36"/>
      <c r="DA184" s="36"/>
      <c r="DB184" s="35"/>
      <c r="DC184" s="35"/>
      <c r="DD184" s="35"/>
      <c r="DE184" s="35"/>
      <c r="DF184" s="35"/>
      <c r="DG184" s="35"/>
      <c r="DH184" s="35"/>
      <c r="DI184" s="35"/>
      <c r="DJ184" s="35"/>
      <c r="DK184" s="35"/>
      <c r="DL184" s="35"/>
      <c r="DM184" s="35"/>
      <c r="DN184" s="35"/>
      <c r="DO184" s="35"/>
      <c r="DP184" s="35"/>
      <c r="DQ184" s="35"/>
      <c r="DR184" s="35"/>
      <c r="DS184" s="35"/>
      <c r="DT184" s="35"/>
      <c r="DU184" s="35"/>
      <c r="DV184" s="35"/>
      <c r="DW184" s="35"/>
      <c r="DX184" s="35"/>
      <c r="DY184" s="35"/>
      <c r="DZ184" s="36"/>
      <c r="EA184" s="35"/>
      <c r="EB184" s="35"/>
      <c r="EC184" s="35"/>
      <c r="ED184" s="35"/>
      <c r="EE184" s="35"/>
      <c r="EF184" s="35"/>
      <c r="EG184" s="35"/>
      <c r="EH184" s="35"/>
      <c r="EI184" s="35"/>
      <c r="EJ184" s="35"/>
      <c r="EK184" s="35"/>
      <c r="EL184" s="35"/>
      <c r="EM184" s="35"/>
      <c r="EN184" s="35"/>
      <c r="EO184" s="35"/>
      <c r="EP184" s="35"/>
      <c r="EQ184" s="35"/>
      <c r="ER184" s="35"/>
      <c r="ES184" s="35"/>
      <c r="ET184" s="35"/>
      <c r="EU184" s="35"/>
      <c r="EV184" s="35"/>
      <c r="EW184" s="35"/>
      <c r="EX184" s="35"/>
      <c r="EY184" s="36"/>
      <c r="EZ184" s="35"/>
      <c r="FA184" s="35"/>
      <c r="FB184" s="35"/>
      <c r="FC184" s="35"/>
      <c r="FD184" s="35"/>
      <c r="FE184" s="35"/>
      <c r="FF184" s="35"/>
      <c r="FG184" s="35"/>
      <c r="FH184" s="35"/>
      <c r="FI184" s="35"/>
      <c r="FJ184" s="35"/>
      <c r="FK184" s="35"/>
      <c r="FL184" s="35"/>
      <c r="FM184" s="35"/>
      <c r="FN184" s="35"/>
      <c r="FO184" s="35"/>
      <c r="FP184" s="35"/>
      <c r="FQ184" s="52"/>
      <c r="FR184" s="8"/>
      <c r="FS184" s="9" t="s">
        <v>13</v>
      </c>
      <c r="FT184" s="9" t="str">
        <f t="shared" si="3664"/>
        <v>6. SFCR Development &amp; Dry Run 6.4 Sign-offPeter Sherry</v>
      </c>
    </row>
    <row r="185" spans="1:176" s="9" customFormat="1" ht="12" hidden="1" customHeight="1" outlineLevel="1">
      <c r="A185" s="122" t="s">
        <v>4</v>
      </c>
      <c r="B185" s="123" t="s">
        <v>5</v>
      </c>
      <c r="C185" s="124" t="str">
        <f t="shared" si="3515"/>
        <v>1 days</v>
      </c>
      <c r="D185" s="13" t="str">
        <f>A164&amp;" "&amp;A183</f>
        <v>6. SFCR Development &amp; Dry Run 6.4 Sign-off</v>
      </c>
      <c r="E185" s="51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5"/>
      <c r="AK185" s="35"/>
      <c r="AL185" s="36"/>
      <c r="AM185" s="36"/>
      <c r="AN185" s="36"/>
      <c r="AO185" s="36"/>
      <c r="AP185" s="36"/>
      <c r="AQ185" s="36"/>
      <c r="AR185" s="36"/>
      <c r="AS185" s="35"/>
      <c r="AT185" s="35"/>
      <c r="AU185" s="35"/>
      <c r="AV185" s="35"/>
      <c r="AW185" s="35"/>
      <c r="AX185" s="35"/>
      <c r="AY185" s="35"/>
      <c r="AZ185" s="35"/>
      <c r="BA185" s="35"/>
      <c r="BB185" s="35"/>
      <c r="BC185" s="35"/>
      <c r="BD185" s="35"/>
      <c r="BE185" s="35"/>
      <c r="BF185" s="35"/>
      <c r="BG185" s="35"/>
      <c r="BH185" s="35"/>
      <c r="BI185" s="35"/>
      <c r="BJ185" s="35"/>
      <c r="BK185" s="35"/>
      <c r="BL185" s="35"/>
      <c r="BM185" s="35"/>
      <c r="BN185" s="35"/>
      <c r="BO185" s="35"/>
      <c r="BP185" s="35"/>
      <c r="BQ185" s="35"/>
      <c r="BR185" s="35"/>
      <c r="BS185" s="35"/>
      <c r="BT185" s="35"/>
      <c r="BU185" s="35"/>
      <c r="BV185" s="35"/>
      <c r="BW185" s="35"/>
      <c r="BX185" s="35"/>
      <c r="BY185" s="35"/>
      <c r="BZ185" s="35">
        <v>0.5</v>
      </c>
      <c r="CA185" s="35"/>
      <c r="CB185" s="35"/>
      <c r="CC185" s="35"/>
      <c r="CD185" s="35"/>
      <c r="CE185" s="35"/>
      <c r="CF185" s="35"/>
      <c r="CG185" s="35"/>
      <c r="CH185" s="35"/>
      <c r="CI185" s="35"/>
      <c r="CJ185" s="35"/>
      <c r="CK185" s="35"/>
      <c r="CL185" s="35"/>
      <c r="CM185" s="35"/>
      <c r="CN185" s="35"/>
      <c r="CO185" s="35"/>
      <c r="CP185" s="35"/>
      <c r="CQ185" s="35"/>
      <c r="CR185" s="35"/>
      <c r="CS185" s="35"/>
      <c r="CT185" s="36"/>
      <c r="CU185" s="35"/>
      <c r="CV185" s="35"/>
      <c r="CW185" s="35"/>
      <c r="CX185" s="35"/>
      <c r="CY185" s="35"/>
      <c r="CZ185" s="36"/>
      <c r="DA185" s="36"/>
      <c r="DB185" s="35"/>
      <c r="DC185" s="35"/>
      <c r="DD185" s="35"/>
      <c r="DE185" s="35"/>
      <c r="DF185" s="35"/>
      <c r="DG185" s="35"/>
      <c r="DH185" s="35"/>
      <c r="DI185" s="35"/>
      <c r="DJ185" s="35"/>
      <c r="DK185" s="35"/>
      <c r="DL185" s="35"/>
      <c r="DM185" s="35"/>
      <c r="DN185" s="35"/>
      <c r="DO185" s="35"/>
      <c r="DP185" s="35"/>
      <c r="DQ185" s="35"/>
      <c r="DR185" s="35"/>
      <c r="DS185" s="35"/>
      <c r="DT185" s="35"/>
      <c r="DU185" s="35"/>
      <c r="DV185" s="35"/>
      <c r="DW185" s="35"/>
      <c r="DX185" s="35"/>
      <c r="DY185" s="35"/>
      <c r="DZ185" s="36"/>
      <c r="EA185" s="35"/>
      <c r="EB185" s="35"/>
      <c r="EC185" s="35"/>
      <c r="ED185" s="35"/>
      <c r="EE185" s="35"/>
      <c r="EF185" s="35"/>
      <c r="EG185" s="35"/>
      <c r="EH185" s="35"/>
      <c r="EI185" s="35"/>
      <c r="EJ185" s="35"/>
      <c r="EK185" s="35"/>
      <c r="EL185" s="35"/>
      <c r="EM185" s="35"/>
      <c r="EN185" s="35"/>
      <c r="EO185" s="35"/>
      <c r="EP185" s="35"/>
      <c r="EQ185" s="35"/>
      <c r="ER185" s="35"/>
      <c r="ES185" s="35"/>
      <c r="ET185" s="35"/>
      <c r="EU185" s="35"/>
      <c r="EV185" s="35"/>
      <c r="EW185" s="35"/>
      <c r="EX185" s="35"/>
      <c r="EY185" s="36"/>
      <c r="EZ185" s="35"/>
      <c r="FA185" s="35"/>
      <c r="FB185" s="35"/>
      <c r="FC185" s="35"/>
      <c r="FD185" s="35"/>
      <c r="FE185" s="35"/>
      <c r="FF185" s="35"/>
      <c r="FG185" s="35"/>
      <c r="FH185" s="35"/>
      <c r="FI185" s="35"/>
      <c r="FJ185" s="35"/>
      <c r="FK185" s="35"/>
      <c r="FL185" s="35"/>
      <c r="FM185" s="35"/>
      <c r="FN185" s="35"/>
      <c r="FO185" s="35"/>
      <c r="FP185" s="35"/>
      <c r="FQ185" s="52"/>
      <c r="FR185" s="8"/>
      <c r="FS185" s="9" t="s">
        <v>13</v>
      </c>
      <c r="FT185" s="9" t="str">
        <f t="shared" si="3664"/>
        <v>6. SFCR Development &amp; Dry Run 6.4 Sign-offKerry McConnell</v>
      </c>
    </row>
    <row r="186" spans="1:176" s="9" customFormat="1" ht="12" hidden="1" customHeight="1" outlineLevel="1">
      <c r="A186" s="125" t="s">
        <v>50</v>
      </c>
      <c r="B186" s="123"/>
      <c r="C186" s="124" t="str">
        <f t="shared" si="3515"/>
        <v>0 days</v>
      </c>
      <c r="D186" s="13" t="str">
        <f>A164&amp;" "&amp;A183</f>
        <v>6. SFCR Development &amp; Dry Run 6.4 Sign-off</v>
      </c>
      <c r="E186" s="51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5"/>
      <c r="AK186" s="35"/>
      <c r="AL186" s="36"/>
      <c r="AM186" s="36"/>
      <c r="AN186" s="36"/>
      <c r="AO186" s="36"/>
      <c r="AP186" s="36"/>
      <c r="AQ186" s="36"/>
      <c r="AR186" s="36"/>
      <c r="AS186" s="35"/>
      <c r="AT186" s="35"/>
      <c r="AU186" s="35"/>
      <c r="AV186" s="35"/>
      <c r="AW186" s="35"/>
      <c r="AX186" s="35"/>
      <c r="AY186" s="35"/>
      <c r="AZ186" s="35"/>
      <c r="BA186" s="35"/>
      <c r="BB186" s="35"/>
      <c r="BC186" s="35"/>
      <c r="BD186" s="35"/>
      <c r="BE186" s="35"/>
      <c r="BF186" s="35"/>
      <c r="BG186" s="35"/>
      <c r="BH186" s="35"/>
      <c r="BI186" s="35"/>
      <c r="BJ186" s="35"/>
      <c r="BK186" s="35"/>
      <c r="BL186" s="35"/>
      <c r="BM186" s="35"/>
      <c r="BN186" s="35"/>
      <c r="BO186" s="35"/>
      <c r="BP186" s="35"/>
      <c r="BQ186" s="35"/>
      <c r="BR186" s="35"/>
      <c r="BS186" s="35"/>
      <c r="BT186" s="35"/>
      <c r="BU186" s="35"/>
      <c r="BV186" s="35"/>
      <c r="BW186" s="35"/>
      <c r="BX186" s="35"/>
      <c r="BY186" s="35"/>
      <c r="BZ186" s="35"/>
      <c r="CA186" s="35"/>
      <c r="CB186" s="35"/>
      <c r="CC186" s="35"/>
      <c r="CD186" s="35"/>
      <c r="CE186" s="35"/>
      <c r="CF186" s="35"/>
      <c r="CG186" s="35"/>
      <c r="CH186" s="35"/>
      <c r="CI186" s="35"/>
      <c r="CJ186" s="35"/>
      <c r="CK186" s="35"/>
      <c r="CL186" s="35"/>
      <c r="CM186" s="35"/>
      <c r="CN186" s="35"/>
      <c r="CO186" s="35"/>
      <c r="CP186" s="35"/>
      <c r="CQ186" s="35"/>
      <c r="CR186" s="35"/>
      <c r="CS186" s="35"/>
      <c r="CT186" s="36"/>
      <c r="CU186" s="35"/>
      <c r="CV186" s="35"/>
      <c r="CW186" s="35"/>
      <c r="CX186" s="35"/>
      <c r="CY186" s="35"/>
      <c r="CZ186" s="36"/>
      <c r="DA186" s="36"/>
      <c r="DB186" s="35"/>
      <c r="DC186" s="35"/>
      <c r="DD186" s="35"/>
      <c r="DE186" s="35"/>
      <c r="DF186" s="35"/>
      <c r="DG186" s="35"/>
      <c r="DH186" s="35"/>
      <c r="DI186" s="35"/>
      <c r="DJ186" s="35"/>
      <c r="DK186" s="35"/>
      <c r="DL186" s="35"/>
      <c r="DM186" s="35"/>
      <c r="DN186" s="35"/>
      <c r="DO186" s="35"/>
      <c r="DP186" s="35"/>
      <c r="DQ186" s="35"/>
      <c r="DR186" s="35"/>
      <c r="DS186" s="35"/>
      <c r="DT186" s="35"/>
      <c r="DU186" s="35"/>
      <c r="DV186" s="35"/>
      <c r="DW186" s="35"/>
      <c r="DX186" s="35"/>
      <c r="DY186" s="35"/>
      <c r="DZ186" s="36"/>
      <c r="EA186" s="35"/>
      <c r="EB186" s="35"/>
      <c r="EC186" s="35"/>
      <c r="ED186" s="35"/>
      <c r="EE186" s="35"/>
      <c r="EF186" s="35"/>
      <c r="EG186" s="35"/>
      <c r="EH186" s="35"/>
      <c r="EI186" s="35"/>
      <c r="EJ186" s="35"/>
      <c r="EK186" s="35"/>
      <c r="EL186" s="35"/>
      <c r="EM186" s="35"/>
      <c r="EN186" s="35"/>
      <c r="EO186" s="35"/>
      <c r="EP186" s="35"/>
      <c r="EQ186" s="35"/>
      <c r="ER186" s="35"/>
      <c r="ES186" s="35"/>
      <c r="ET186" s="35"/>
      <c r="EU186" s="35"/>
      <c r="EV186" s="35"/>
      <c r="EW186" s="35"/>
      <c r="EX186" s="35"/>
      <c r="EY186" s="36"/>
      <c r="EZ186" s="35"/>
      <c r="FA186" s="35"/>
      <c r="FB186" s="35"/>
      <c r="FC186" s="35"/>
      <c r="FD186" s="35"/>
      <c r="FE186" s="35"/>
      <c r="FF186" s="35"/>
      <c r="FG186" s="35"/>
      <c r="FH186" s="35"/>
      <c r="FI186" s="35"/>
      <c r="FJ186" s="35"/>
      <c r="FK186" s="35"/>
      <c r="FL186" s="35"/>
      <c r="FM186" s="35"/>
      <c r="FN186" s="35"/>
      <c r="FO186" s="35"/>
      <c r="FP186" s="35"/>
      <c r="FQ186" s="52"/>
      <c r="FR186" s="8"/>
      <c r="FS186" s="9" t="s">
        <v>13</v>
      </c>
      <c r="FT186" s="9" t="str">
        <f t="shared" si="3664"/>
        <v>6. SFCR Development &amp; Dry Run 6.4 Sign-off</v>
      </c>
    </row>
    <row r="187" spans="1:176" s="9" customFormat="1" ht="12" hidden="1" customHeight="1" outlineLevel="1">
      <c r="A187" s="125" t="s">
        <v>50</v>
      </c>
      <c r="B187" s="123"/>
      <c r="C187" s="124" t="str">
        <f t="shared" si="3515"/>
        <v>0 days</v>
      </c>
      <c r="D187" s="13" t="str">
        <f>A164&amp;" "&amp;A183</f>
        <v>6. SFCR Development &amp; Dry Run 6.4 Sign-off</v>
      </c>
      <c r="E187" s="51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5"/>
      <c r="AK187" s="35"/>
      <c r="AL187" s="36"/>
      <c r="AM187" s="36"/>
      <c r="AN187" s="36"/>
      <c r="AO187" s="36"/>
      <c r="AP187" s="36"/>
      <c r="AQ187" s="36"/>
      <c r="AR187" s="36"/>
      <c r="AS187" s="35"/>
      <c r="AT187" s="35"/>
      <c r="AU187" s="35"/>
      <c r="AV187" s="35"/>
      <c r="AW187" s="35"/>
      <c r="AX187" s="35"/>
      <c r="AY187" s="35"/>
      <c r="AZ187" s="35"/>
      <c r="BA187" s="35"/>
      <c r="BB187" s="35"/>
      <c r="BC187" s="35"/>
      <c r="BD187" s="35"/>
      <c r="BE187" s="35"/>
      <c r="BF187" s="35"/>
      <c r="BG187" s="35"/>
      <c r="BH187" s="35"/>
      <c r="BI187" s="35"/>
      <c r="BJ187" s="35"/>
      <c r="BK187" s="35"/>
      <c r="BL187" s="35"/>
      <c r="BM187" s="35"/>
      <c r="BN187" s="35"/>
      <c r="BO187" s="35"/>
      <c r="BP187" s="35"/>
      <c r="BQ187" s="35"/>
      <c r="BR187" s="35"/>
      <c r="BS187" s="35"/>
      <c r="BT187" s="35"/>
      <c r="BU187" s="35"/>
      <c r="BV187" s="35"/>
      <c r="BW187" s="35"/>
      <c r="BX187" s="35"/>
      <c r="BY187" s="35"/>
      <c r="BZ187" s="35"/>
      <c r="CA187" s="35"/>
      <c r="CB187" s="35"/>
      <c r="CC187" s="35"/>
      <c r="CD187" s="35"/>
      <c r="CE187" s="35"/>
      <c r="CF187" s="35"/>
      <c r="CG187" s="35"/>
      <c r="CH187" s="35"/>
      <c r="CI187" s="35"/>
      <c r="CJ187" s="35"/>
      <c r="CK187" s="35"/>
      <c r="CL187" s="35"/>
      <c r="CM187" s="35"/>
      <c r="CN187" s="35"/>
      <c r="CO187" s="35"/>
      <c r="CP187" s="35"/>
      <c r="CQ187" s="35"/>
      <c r="CR187" s="35"/>
      <c r="CS187" s="35"/>
      <c r="CT187" s="36"/>
      <c r="CU187" s="35"/>
      <c r="CV187" s="35"/>
      <c r="CW187" s="35"/>
      <c r="CX187" s="35"/>
      <c r="CY187" s="35"/>
      <c r="CZ187" s="36"/>
      <c r="DA187" s="36"/>
      <c r="DB187" s="35"/>
      <c r="DC187" s="35"/>
      <c r="DD187" s="35"/>
      <c r="DE187" s="35"/>
      <c r="DF187" s="35"/>
      <c r="DG187" s="35"/>
      <c r="DH187" s="35"/>
      <c r="DI187" s="35"/>
      <c r="DJ187" s="35"/>
      <c r="DK187" s="35"/>
      <c r="DL187" s="35"/>
      <c r="DM187" s="35"/>
      <c r="DN187" s="35"/>
      <c r="DO187" s="35"/>
      <c r="DP187" s="35"/>
      <c r="DQ187" s="35"/>
      <c r="DR187" s="35"/>
      <c r="DS187" s="35"/>
      <c r="DT187" s="35"/>
      <c r="DU187" s="35"/>
      <c r="DV187" s="35"/>
      <c r="DW187" s="35"/>
      <c r="DX187" s="35"/>
      <c r="DY187" s="35"/>
      <c r="DZ187" s="36"/>
      <c r="EA187" s="35"/>
      <c r="EB187" s="35"/>
      <c r="EC187" s="35"/>
      <c r="ED187" s="35"/>
      <c r="EE187" s="35"/>
      <c r="EF187" s="35"/>
      <c r="EG187" s="35"/>
      <c r="EH187" s="35"/>
      <c r="EI187" s="35"/>
      <c r="EJ187" s="35"/>
      <c r="EK187" s="35"/>
      <c r="EL187" s="35"/>
      <c r="EM187" s="35"/>
      <c r="EN187" s="35"/>
      <c r="EO187" s="35"/>
      <c r="EP187" s="35"/>
      <c r="EQ187" s="35"/>
      <c r="ER187" s="35"/>
      <c r="ES187" s="35"/>
      <c r="ET187" s="35"/>
      <c r="EU187" s="35"/>
      <c r="EV187" s="35"/>
      <c r="EW187" s="35"/>
      <c r="EX187" s="35"/>
      <c r="EY187" s="36"/>
      <c r="EZ187" s="35"/>
      <c r="FA187" s="35"/>
      <c r="FB187" s="35"/>
      <c r="FC187" s="35"/>
      <c r="FD187" s="35"/>
      <c r="FE187" s="35"/>
      <c r="FF187" s="35"/>
      <c r="FG187" s="35"/>
      <c r="FH187" s="35"/>
      <c r="FI187" s="35"/>
      <c r="FJ187" s="35"/>
      <c r="FK187" s="35"/>
      <c r="FL187" s="35"/>
      <c r="FM187" s="35"/>
      <c r="FN187" s="35"/>
      <c r="FO187" s="35"/>
      <c r="FP187" s="35"/>
      <c r="FQ187" s="52"/>
      <c r="FR187" s="8"/>
      <c r="FS187" s="9" t="s">
        <v>13</v>
      </c>
      <c r="FT187" s="9" t="str">
        <f t="shared" si="3664"/>
        <v>6. SFCR Development &amp; Dry Run 6.4 Sign-off</v>
      </c>
    </row>
    <row r="188" spans="1:176" s="9" customFormat="1" ht="12" hidden="1" customHeight="1" outlineLevel="1">
      <c r="A188" s="126" t="s">
        <v>50</v>
      </c>
      <c r="B188" s="123"/>
      <c r="C188" s="124" t="str">
        <f t="shared" si="3515"/>
        <v>0 days</v>
      </c>
      <c r="D188" s="13" t="str">
        <f>A164&amp;" "&amp;A183</f>
        <v>6. SFCR Development &amp; Dry Run 6.4 Sign-off</v>
      </c>
      <c r="E188" s="51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5"/>
      <c r="AK188" s="35"/>
      <c r="AL188" s="36"/>
      <c r="AM188" s="36"/>
      <c r="AN188" s="36"/>
      <c r="AO188" s="36"/>
      <c r="AP188" s="36"/>
      <c r="AQ188" s="36"/>
      <c r="AR188" s="36"/>
      <c r="AS188" s="35"/>
      <c r="AT188" s="35"/>
      <c r="AU188" s="35"/>
      <c r="AV188" s="35"/>
      <c r="AW188" s="35"/>
      <c r="AX188" s="35"/>
      <c r="AY188" s="35"/>
      <c r="AZ188" s="35"/>
      <c r="BA188" s="35"/>
      <c r="BB188" s="35"/>
      <c r="BC188" s="35"/>
      <c r="BD188" s="35"/>
      <c r="BE188" s="35"/>
      <c r="BF188" s="35"/>
      <c r="BG188" s="35"/>
      <c r="BH188" s="35"/>
      <c r="BI188" s="35"/>
      <c r="BJ188" s="35"/>
      <c r="BK188" s="35"/>
      <c r="BL188" s="35"/>
      <c r="BM188" s="35"/>
      <c r="BN188" s="35"/>
      <c r="BO188" s="35"/>
      <c r="BP188" s="35"/>
      <c r="BQ188" s="35"/>
      <c r="BR188" s="35"/>
      <c r="BS188" s="35"/>
      <c r="BT188" s="35"/>
      <c r="BU188" s="35"/>
      <c r="BV188" s="35"/>
      <c r="BW188" s="35"/>
      <c r="BX188" s="35"/>
      <c r="BY188" s="35"/>
      <c r="BZ188" s="35"/>
      <c r="CA188" s="35"/>
      <c r="CB188" s="35"/>
      <c r="CC188" s="35"/>
      <c r="CD188" s="35"/>
      <c r="CE188" s="35"/>
      <c r="CF188" s="35"/>
      <c r="CG188" s="35"/>
      <c r="CH188" s="35"/>
      <c r="CI188" s="35"/>
      <c r="CJ188" s="35"/>
      <c r="CK188" s="35"/>
      <c r="CL188" s="35"/>
      <c r="CM188" s="35"/>
      <c r="CN188" s="35"/>
      <c r="CO188" s="35"/>
      <c r="CP188" s="35"/>
      <c r="CQ188" s="35"/>
      <c r="CR188" s="35"/>
      <c r="CS188" s="35"/>
      <c r="CT188" s="36"/>
      <c r="CU188" s="35"/>
      <c r="CV188" s="35"/>
      <c r="CW188" s="35"/>
      <c r="CX188" s="35"/>
      <c r="CY188" s="35"/>
      <c r="CZ188" s="36"/>
      <c r="DA188" s="36"/>
      <c r="DB188" s="35"/>
      <c r="DC188" s="35"/>
      <c r="DD188" s="35"/>
      <c r="DE188" s="35"/>
      <c r="DF188" s="35"/>
      <c r="DG188" s="35"/>
      <c r="DH188" s="35"/>
      <c r="DI188" s="35"/>
      <c r="DJ188" s="35"/>
      <c r="DK188" s="35"/>
      <c r="DL188" s="35"/>
      <c r="DM188" s="35"/>
      <c r="DN188" s="35"/>
      <c r="DO188" s="35"/>
      <c r="DP188" s="35"/>
      <c r="DQ188" s="35"/>
      <c r="DR188" s="35"/>
      <c r="DS188" s="35"/>
      <c r="DT188" s="35"/>
      <c r="DU188" s="35"/>
      <c r="DV188" s="35"/>
      <c r="DW188" s="35"/>
      <c r="DX188" s="35"/>
      <c r="DY188" s="35"/>
      <c r="DZ188" s="36"/>
      <c r="EA188" s="35"/>
      <c r="EB188" s="35"/>
      <c r="EC188" s="35"/>
      <c r="ED188" s="35"/>
      <c r="EE188" s="35"/>
      <c r="EF188" s="35"/>
      <c r="EG188" s="35"/>
      <c r="EH188" s="35"/>
      <c r="EI188" s="35"/>
      <c r="EJ188" s="35"/>
      <c r="EK188" s="35"/>
      <c r="EL188" s="35"/>
      <c r="EM188" s="35"/>
      <c r="EN188" s="35"/>
      <c r="EO188" s="35"/>
      <c r="EP188" s="35"/>
      <c r="EQ188" s="35"/>
      <c r="ER188" s="35"/>
      <c r="ES188" s="35"/>
      <c r="ET188" s="35"/>
      <c r="EU188" s="35"/>
      <c r="EV188" s="35"/>
      <c r="EW188" s="35"/>
      <c r="EX188" s="35"/>
      <c r="EY188" s="36"/>
      <c r="EZ188" s="35"/>
      <c r="FA188" s="35"/>
      <c r="FB188" s="35"/>
      <c r="FC188" s="35"/>
      <c r="FD188" s="35"/>
      <c r="FE188" s="35"/>
      <c r="FF188" s="35"/>
      <c r="FG188" s="35"/>
      <c r="FH188" s="35"/>
      <c r="FI188" s="35"/>
      <c r="FJ188" s="35"/>
      <c r="FK188" s="35"/>
      <c r="FL188" s="35"/>
      <c r="FM188" s="35"/>
      <c r="FN188" s="35"/>
      <c r="FO188" s="35"/>
      <c r="FP188" s="35"/>
      <c r="FQ188" s="52"/>
      <c r="FR188" s="8"/>
      <c r="FS188" s="9" t="s">
        <v>13</v>
      </c>
      <c r="FT188" s="9" t="str">
        <f t="shared" si="3664"/>
        <v>6. SFCR Development &amp; Dry Run 6.4 Sign-off</v>
      </c>
    </row>
    <row r="189" spans="1:176" s="9" customFormat="1" ht="12" customHeight="1" collapsed="1">
      <c r="A189" s="119" t="s">
        <v>88</v>
      </c>
      <c r="B189" s="127"/>
      <c r="C189" s="121" t="str">
        <f t="shared" si="3515"/>
        <v>5 days</v>
      </c>
      <c r="D189" s="27"/>
      <c r="E189" s="91" t="str">
        <f t="shared" ref="E189" si="4783">IF(SUBTOTAL(9,E190:E194)&gt;0,SUBTOTAL(9,E190:E194),"")</f>
        <v/>
      </c>
      <c r="F189" s="34" t="str">
        <f t="shared" ref="F189" si="4784">IF(SUBTOTAL(9,F190:F194)&gt;0,SUBTOTAL(9,F190:F194),"")</f>
        <v/>
      </c>
      <c r="G189" s="34" t="str">
        <f t="shared" ref="G189" si="4785">IF(SUBTOTAL(9,G190:G194)&gt;0,SUBTOTAL(9,G190:G194),"")</f>
        <v/>
      </c>
      <c r="H189" s="34" t="str">
        <f t="shared" ref="H189" si="4786">IF(SUBTOTAL(9,H190:H194)&gt;0,SUBTOTAL(9,H190:H194),"")</f>
        <v/>
      </c>
      <c r="I189" s="34" t="str">
        <f t="shared" ref="I189" si="4787">IF(SUBTOTAL(9,I190:I194)&gt;0,SUBTOTAL(9,I190:I194),"")</f>
        <v/>
      </c>
      <c r="J189" s="34" t="str">
        <f t="shared" ref="J189" si="4788">IF(SUBTOTAL(9,J190:J194)&gt;0,SUBTOTAL(9,J190:J194),"")</f>
        <v/>
      </c>
      <c r="K189" s="34" t="str">
        <f t="shared" ref="K189" si="4789">IF(SUBTOTAL(9,K190:K194)&gt;0,SUBTOTAL(9,K190:K194),"")</f>
        <v/>
      </c>
      <c r="L189" s="34" t="str">
        <f t="shared" ref="L189" si="4790">IF(SUBTOTAL(9,L190:L194)&gt;0,SUBTOTAL(9,L190:L194),"")</f>
        <v/>
      </c>
      <c r="M189" s="34" t="str">
        <f t="shared" ref="M189" si="4791">IF(SUBTOTAL(9,M190:M194)&gt;0,SUBTOTAL(9,M190:M194),"")</f>
        <v/>
      </c>
      <c r="N189" s="34" t="str">
        <f t="shared" ref="N189" si="4792">IF(SUBTOTAL(9,N190:N194)&gt;0,SUBTOTAL(9,N190:N194),"")</f>
        <v/>
      </c>
      <c r="O189" s="34" t="str">
        <f t="shared" ref="O189" si="4793">IF(SUBTOTAL(9,O190:O194)&gt;0,SUBTOTAL(9,O190:O194),"")</f>
        <v/>
      </c>
      <c r="P189" s="34" t="str">
        <f t="shared" ref="P189" si="4794">IF(SUBTOTAL(9,P190:P194)&gt;0,SUBTOTAL(9,P190:P194),"")</f>
        <v/>
      </c>
      <c r="Q189" s="34" t="str">
        <f t="shared" ref="Q189" si="4795">IF(SUBTOTAL(9,Q190:Q194)&gt;0,SUBTOTAL(9,Q190:Q194),"")</f>
        <v/>
      </c>
      <c r="R189" s="34" t="str">
        <f t="shared" ref="R189" si="4796">IF(SUBTOTAL(9,R190:R194)&gt;0,SUBTOTAL(9,R190:R194),"")</f>
        <v/>
      </c>
      <c r="S189" s="34" t="str">
        <f t="shared" ref="S189" si="4797">IF(SUBTOTAL(9,S190:S194)&gt;0,SUBTOTAL(9,S190:S194),"")</f>
        <v/>
      </c>
      <c r="T189" s="34" t="str">
        <f t="shared" ref="T189" si="4798">IF(SUBTOTAL(9,T190:T194)&gt;0,SUBTOTAL(9,T190:T194),"")</f>
        <v/>
      </c>
      <c r="U189" s="34" t="str">
        <f t="shared" ref="U189" si="4799">IF(SUBTOTAL(9,U190:U194)&gt;0,SUBTOTAL(9,U190:U194),"")</f>
        <v/>
      </c>
      <c r="V189" s="34" t="str">
        <f t="shared" ref="V189" si="4800">IF(SUBTOTAL(9,V190:V194)&gt;0,SUBTOTAL(9,V190:V194),"")</f>
        <v/>
      </c>
      <c r="W189" s="34" t="str">
        <f t="shared" ref="W189" si="4801">IF(SUBTOTAL(9,W190:W194)&gt;0,SUBTOTAL(9,W190:W194),"")</f>
        <v/>
      </c>
      <c r="X189" s="34" t="str">
        <f t="shared" ref="X189" si="4802">IF(SUBTOTAL(9,X190:X194)&gt;0,SUBTOTAL(9,X190:X194),"")</f>
        <v/>
      </c>
      <c r="Y189" s="34" t="str">
        <f t="shared" ref="Y189" si="4803">IF(SUBTOTAL(9,Y190:Y194)&gt;0,SUBTOTAL(9,Y190:Y194),"")</f>
        <v/>
      </c>
      <c r="Z189" s="34" t="str">
        <f t="shared" ref="Z189" si="4804">IF(SUBTOTAL(9,Z190:Z194)&gt;0,SUBTOTAL(9,Z190:Z194),"")</f>
        <v/>
      </c>
      <c r="AA189" s="34" t="str">
        <f t="shared" ref="AA189" si="4805">IF(SUBTOTAL(9,AA190:AA194)&gt;0,SUBTOTAL(9,AA190:AA194),"")</f>
        <v/>
      </c>
      <c r="AB189" s="34" t="str">
        <f t="shared" ref="AB189" si="4806">IF(SUBTOTAL(9,AB190:AB194)&gt;0,SUBTOTAL(9,AB190:AB194),"")</f>
        <v/>
      </c>
      <c r="AC189" s="34" t="str">
        <f t="shared" ref="AC189" si="4807">IF(SUBTOTAL(9,AC190:AC194)&gt;0,SUBTOTAL(9,AC190:AC194),"")</f>
        <v/>
      </c>
      <c r="AD189" s="34" t="str">
        <f t="shared" ref="AD189" si="4808">IF(SUBTOTAL(9,AD190:AD194)&gt;0,SUBTOTAL(9,AD190:AD194),"")</f>
        <v/>
      </c>
      <c r="AE189" s="34" t="str">
        <f t="shared" ref="AE189" si="4809">IF(SUBTOTAL(9,AE190:AE194)&gt;0,SUBTOTAL(9,AE190:AE194),"")</f>
        <v/>
      </c>
      <c r="AF189" s="34" t="str">
        <f t="shared" ref="AF189" si="4810">IF(SUBTOTAL(9,AF190:AF194)&gt;0,SUBTOTAL(9,AF190:AF194),"")</f>
        <v/>
      </c>
      <c r="AG189" s="34" t="str">
        <f t="shared" ref="AG189" si="4811">IF(SUBTOTAL(9,AG190:AG194)&gt;0,SUBTOTAL(9,AG190:AG194),"")</f>
        <v/>
      </c>
      <c r="AH189" s="34" t="str">
        <f t="shared" ref="AH189" si="4812">IF(SUBTOTAL(9,AH190:AH194)&gt;0,SUBTOTAL(9,AH190:AH194),"")</f>
        <v/>
      </c>
      <c r="AI189" s="34" t="str">
        <f t="shared" ref="AI189" si="4813">IF(SUBTOTAL(9,AI190:AI194)&gt;0,SUBTOTAL(9,AI190:AI194),"")</f>
        <v/>
      </c>
      <c r="AJ189" s="34" t="str">
        <f t="shared" ref="AJ189" si="4814">IF(SUBTOTAL(9,AJ190:AJ194)&gt;0,SUBTOTAL(9,AJ190:AJ194),"")</f>
        <v/>
      </c>
      <c r="AK189" s="34" t="str">
        <f t="shared" ref="AK189" si="4815">IF(SUBTOTAL(9,AK190:AK194)&gt;0,SUBTOTAL(9,AK190:AK194),"")</f>
        <v/>
      </c>
      <c r="AL189" s="33" t="str">
        <f t="shared" ref="AL189" si="4816">IF(SUBTOTAL(9,AL190:AL194)&gt;0,SUBTOTAL(9,AL190:AL194),"")</f>
        <v/>
      </c>
      <c r="AM189" s="33" t="str">
        <f t="shared" ref="AM189" si="4817">IF(SUBTOTAL(9,AM190:AM194)&gt;0,SUBTOTAL(9,AM190:AM194),"")</f>
        <v/>
      </c>
      <c r="AN189" s="33" t="str">
        <f t="shared" ref="AN189" si="4818">IF(SUBTOTAL(9,AN190:AN194)&gt;0,SUBTOTAL(9,AN190:AN194),"")</f>
        <v/>
      </c>
      <c r="AO189" s="33" t="str">
        <f t="shared" ref="AO189" si="4819">IF(SUBTOTAL(9,AO190:AO194)&gt;0,SUBTOTAL(9,AO190:AO194),"")</f>
        <v/>
      </c>
      <c r="AP189" s="33" t="str">
        <f t="shared" ref="AP189" si="4820">IF(SUBTOTAL(9,AP190:AP194)&gt;0,SUBTOTAL(9,AP190:AP194),"")</f>
        <v/>
      </c>
      <c r="AQ189" s="33" t="str">
        <f t="shared" ref="AQ189" si="4821">IF(SUBTOTAL(9,AQ190:AQ194)&gt;0,SUBTOTAL(9,AQ190:AQ194),"")</f>
        <v/>
      </c>
      <c r="AR189" s="33" t="str">
        <f t="shared" ref="AR189" si="4822">IF(SUBTOTAL(9,AR190:AR194)&gt;0,SUBTOTAL(9,AR190:AR194),"")</f>
        <v/>
      </c>
      <c r="AS189" s="34" t="str">
        <f t="shared" ref="AS189" si="4823">IF(SUBTOTAL(9,AS190:AS194)&gt;0,SUBTOTAL(9,AS190:AS194),"")</f>
        <v/>
      </c>
      <c r="AT189" s="34" t="str">
        <f t="shared" ref="AT189" si="4824">IF(SUBTOTAL(9,AT190:AT194)&gt;0,SUBTOTAL(9,AT190:AT194),"")</f>
        <v/>
      </c>
      <c r="AU189" s="34" t="str">
        <f t="shared" ref="AU189" si="4825">IF(SUBTOTAL(9,AU190:AU194)&gt;0,SUBTOTAL(9,AU190:AU194),"")</f>
        <v/>
      </c>
      <c r="AV189" s="34" t="str">
        <f t="shared" ref="AV189" si="4826">IF(SUBTOTAL(9,AV190:AV194)&gt;0,SUBTOTAL(9,AV190:AV194),"")</f>
        <v/>
      </c>
      <c r="AW189" s="34" t="str">
        <f t="shared" ref="AW189" si="4827">IF(SUBTOTAL(9,AW190:AW194)&gt;0,SUBTOTAL(9,AW190:AW194),"")</f>
        <v/>
      </c>
      <c r="AX189" s="34" t="str">
        <f t="shared" ref="AX189" si="4828">IF(SUBTOTAL(9,AX190:AX194)&gt;0,SUBTOTAL(9,AX190:AX194),"")</f>
        <v/>
      </c>
      <c r="AY189" s="34" t="str">
        <f t="shared" ref="AY189" si="4829">IF(SUBTOTAL(9,AY190:AY194)&gt;0,SUBTOTAL(9,AY190:AY194),"")</f>
        <v/>
      </c>
      <c r="AZ189" s="34" t="str">
        <f t="shared" ref="AZ189" si="4830">IF(SUBTOTAL(9,AZ190:AZ194)&gt;0,SUBTOTAL(9,AZ190:AZ194),"")</f>
        <v/>
      </c>
      <c r="BA189" s="34" t="str">
        <f t="shared" ref="BA189" si="4831">IF(SUBTOTAL(9,BA190:BA194)&gt;0,SUBTOTAL(9,BA190:BA194),"")</f>
        <v/>
      </c>
      <c r="BB189" s="34" t="str">
        <f t="shared" ref="BB189" si="4832">IF(SUBTOTAL(9,BB190:BB194)&gt;0,SUBTOTAL(9,BB190:BB194),"")</f>
        <v/>
      </c>
      <c r="BC189" s="34" t="str">
        <f t="shared" ref="BC189" si="4833">IF(SUBTOTAL(9,BC190:BC194)&gt;0,SUBTOTAL(9,BC190:BC194),"")</f>
        <v/>
      </c>
      <c r="BD189" s="34" t="str">
        <f t="shared" ref="BD189" si="4834">IF(SUBTOTAL(9,BD190:BD194)&gt;0,SUBTOTAL(9,BD190:BD194),"")</f>
        <v/>
      </c>
      <c r="BE189" s="34" t="str">
        <f t="shared" ref="BE189" si="4835">IF(SUBTOTAL(9,BE190:BE194)&gt;0,SUBTOTAL(9,BE190:BE194),"")</f>
        <v/>
      </c>
      <c r="BF189" s="34" t="str">
        <f t="shared" ref="BF189" si="4836">IF(SUBTOTAL(9,BF190:BF194)&gt;0,SUBTOTAL(9,BF190:BF194),"")</f>
        <v/>
      </c>
      <c r="BG189" s="34" t="str">
        <f t="shared" ref="BG189" si="4837">IF(SUBTOTAL(9,BG190:BG194)&gt;0,SUBTOTAL(9,BG190:BG194),"")</f>
        <v/>
      </c>
      <c r="BH189" s="34" t="str">
        <f t="shared" ref="BH189" si="4838">IF(SUBTOTAL(9,BH190:BH194)&gt;0,SUBTOTAL(9,BH190:BH194),"")</f>
        <v/>
      </c>
      <c r="BI189" s="34" t="str">
        <f t="shared" ref="BI189" si="4839">IF(SUBTOTAL(9,BI190:BI194)&gt;0,SUBTOTAL(9,BI190:BI194),"")</f>
        <v/>
      </c>
      <c r="BJ189" s="34" t="str">
        <f t="shared" ref="BJ189" si="4840">IF(SUBTOTAL(9,BJ190:BJ194)&gt;0,SUBTOTAL(9,BJ190:BJ194),"")</f>
        <v/>
      </c>
      <c r="BK189" s="34" t="str">
        <f t="shared" ref="BK189" si="4841">IF(SUBTOTAL(9,BK190:BK194)&gt;0,SUBTOTAL(9,BK190:BK194),"")</f>
        <v/>
      </c>
      <c r="BL189" s="34" t="str">
        <f t="shared" ref="BL189" si="4842">IF(SUBTOTAL(9,BL190:BL194)&gt;0,SUBTOTAL(9,BL190:BL194),"")</f>
        <v/>
      </c>
      <c r="BM189" s="34">
        <f t="shared" ref="BM189" si="4843">IF(SUBTOTAL(9,BM190:BM194)&gt;0,SUBTOTAL(9,BM190:BM194),"")</f>
        <v>0.5</v>
      </c>
      <c r="BN189" s="34">
        <f t="shared" ref="BN189" si="4844">IF(SUBTOTAL(9,BN190:BN194)&gt;0,SUBTOTAL(9,BN190:BN194),"")</f>
        <v>0.5</v>
      </c>
      <c r="BO189" s="34">
        <f t="shared" ref="BO189" si="4845">IF(SUBTOTAL(9,BO190:BO194)&gt;0,SUBTOTAL(9,BO190:BO194),"")</f>
        <v>0.5</v>
      </c>
      <c r="BP189" s="34">
        <f t="shared" ref="BP189" si="4846">IF(SUBTOTAL(9,BP190:BP194)&gt;0,SUBTOTAL(9,BP190:BP194),"")</f>
        <v>0.5</v>
      </c>
      <c r="BQ189" s="34">
        <f t="shared" ref="BQ189" si="4847">IF(SUBTOTAL(9,BQ190:BQ194)&gt;0,SUBTOTAL(9,BQ190:BQ194),"")</f>
        <v>0.5</v>
      </c>
      <c r="BR189" s="34">
        <f t="shared" ref="BR189" si="4848">IF(SUBTOTAL(9,BR190:BR194)&gt;0,SUBTOTAL(9,BR190:BR194),"")</f>
        <v>0.5</v>
      </c>
      <c r="BS189" s="34">
        <f t="shared" ref="BS189" si="4849">IF(SUBTOTAL(9,BS190:BS194)&gt;0,SUBTOTAL(9,BS190:BS194),"")</f>
        <v>0.5</v>
      </c>
      <c r="BT189" s="34">
        <f t="shared" ref="BT189" si="4850">IF(SUBTOTAL(9,BT190:BT194)&gt;0,SUBTOTAL(9,BT190:BT194),"")</f>
        <v>0.5</v>
      </c>
      <c r="BU189" s="34">
        <f t="shared" ref="BU189" si="4851">IF(SUBTOTAL(9,BU190:BU194)&gt;0,SUBTOTAL(9,BU190:BU194),"")</f>
        <v>0.5</v>
      </c>
      <c r="BV189" s="34">
        <f t="shared" ref="BV189" si="4852">IF(SUBTOTAL(9,BV190:BV194)&gt;0,SUBTOTAL(9,BV190:BV194),"")</f>
        <v>0.5</v>
      </c>
      <c r="BW189" s="34" t="str">
        <f t="shared" ref="BW189" si="4853">IF(SUBTOTAL(9,BW190:BW194)&gt;0,SUBTOTAL(9,BW190:BW194),"")</f>
        <v/>
      </c>
      <c r="BX189" s="34" t="str">
        <f t="shared" ref="BX189" si="4854">IF(SUBTOTAL(9,BX190:BX194)&gt;0,SUBTOTAL(9,BX190:BX194),"")</f>
        <v/>
      </c>
      <c r="BY189" s="34" t="str">
        <f t="shared" ref="BY189" si="4855">IF(SUBTOTAL(9,BY190:BY194)&gt;0,SUBTOTAL(9,BY190:BY194),"")</f>
        <v/>
      </c>
      <c r="BZ189" s="34" t="str">
        <f t="shared" ref="BZ189" si="4856">IF(SUBTOTAL(9,BZ190:BZ194)&gt;0,SUBTOTAL(9,BZ190:BZ194),"")</f>
        <v/>
      </c>
      <c r="CA189" s="34" t="str">
        <f t="shared" ref="CA189" si="4857">IF(SUBTOTAL(9,CA190:CA194)&gt;0,SUBTOTAL(9,CA190:CA194),"")</f>
        <v/>
      </c>
      <c r="CB189" s="34" t="str">
        <f t="shared" ref="CB189" si="4858">IF(SUBTOTAL(9,CB190:CB194)&gt;0,SUBTOTAL(9,CB190:CB194),"")</f>
        <v/>
      </c>
      <c r="CC189" s="34" t="str">
        <f t="shared" ref="CC189" si="4859">IF(SUBTOTAL(9,CC190:CC194)&gt;0,SUBTOTAL(9,CC190:CC194),"")</f>
        <v/>
      </c>
      <c r="CD189" s="34" t="str">
        <f t="shared" ref="CD189" si="4860">IF(SUBTOTAL(9,CD190:CD194)&gt;0,SUBTOTAL(9,CD190:CD194),"")</f>
        <v/>
      </c>
      <c r="CE189" s="34" t="str">
        <f t="shared" ref="CE189" si="4861">IF(SUBTOTAL(9,CE190:CE194)&gt;0,SUBTOTAL(9,CE190:CE194),"")</f>
        <v/>
      </c>
      <c r="CF189" s="34" t="str">
        <f t="shared" ref="CF189:CG189" si="4862">IF(SUBTOTAL(9,CF190:CF194)&gt;0,SUBTOTAL(9,CF190:CF194),"")</f>
        <v/>
      </c>
      <c r="CG189" s="34" t="str">
        <f t="shared" si="4862"/>
        <v/>
      </c>
      <c r="CH189" s="34" t="str">
        <f t="shared" ref="CH189" si="4863">IF(SUBTOTAL(9,CH190:CH194)&gt;0,SUBTOTAL(9,CH190:CH194),"")</f>
        <v/>
      </c>
      <c r="CI189" s="34" t="str">
        <f t="shared" ref="CI189" si="4864">IF(SUBTOTAL(9,CI190:CI194)&gt;0,SUBTOTAL(9,CI190:CI194),"")</f>
        <v/>
      </c>
      <c r="CJ189" s="34" t="str">
        <f t="shared" ref="CJ189" si="4865">IF(SUBTOTAL(9,CJ190:CJ194)&gt;0,SUBTOTAL(9,CJ190:CJ194),"")</f>
        <v/>
      </c>
      <c r="CK189" s="34" t="str">
        <f t="shared" ref="CK189" si="4866">IF(SUBTOTAL(9,CK190:CK194)&gt;0,SUBTOTAL(9,CK190:CK194),"")</f>
        <v/>
      </c>
      <c r="CL189" s="34" t="str">
        <f t="shared" ref="CL189" si="4867">IF(SUBTOTAL(9,CL190:CL194)&gt;0,SUBTOTAL(9,CL190:CL194),"")</f>
        <v/>
      </c>
      <c r="CM189" s="34" t="str">
        <f t="shared" ref="CM189" si="4868">IF(SUBTOTAL(9,CM190:CM194)&gt;0,SUBTOTAL(9,CM190:CM194),"")</f>
        <v/>
      </c>
      <c r="CN189" s="34" t="str">
        <f t="shared" ref="CN189" si="4869">IF(SUBTOTAL(9,CN190:CN194)&gt;0,SUBTOTAL(9,CN190:CN194),"")</f>
        <v/>
      </c>
      <c r="CO189" s="34" t="str">
        <f t="shared" ref="CO189" si="4870">IF(SUBTOTAL(9,CO190:CO194)&gt;0,SUBTOTAL(9,CO190:CO194),"")</f>
        <v/>
      </c>
      <c r="CP189" s="34" t="str">
        <f t="shared" ref="CP189" si="4871">IF(SUBTOTAL(9,CP190:CP194)&gt;0,SUBTOTAL(9,CP190:CP194),"")</f>
        <v/>
      </c>
      <c r="CQ189" s="34" t="str">
        <f t="shared" ref="CQ189" si="4872">IF(SUBTOTAL(9,CQ190:CQ194)&gt;0,SUBTOTAL(9,CQ190:CQ194),"")</f>
        <v/>
      </c>
      <c r="CR189" s="34" t="str">
        <f t="shared" ref="CR189" si="4873">IF(SUBTOTAL(9,CR190:CR194)&gt;0,SUBTOTAL(9,CR190:CR194),"")</f>
        <v/>
      </c>
      <c r="CS189" s="34" t="str">
        <f t="shared" ref="CS189" si="4874">IF(SUBTOTAL(9,CS190:CS194)&gt;0,SUBTOTAL(9,CS190:CS194),"")</f>
        <v/>
      </c>
      <c r="CT189" s="33" t="str">
        <f t="shared" ref="CT189" si="4875">IF(SUBTOTAL(9,CT190:CT194)&gt;0,SUBTOTAL(9,CT190:CT194),"")</f>
        <v/>
      </c>
      <c r="CU189" s="34" t="str">
        <f t="shared" ref="CU189" si="4876">IF(SUBTOTAL(9,CU190:CU194)&gt;0,SUBTOTAL(9,CU190:CU194),"")</f>
        <v/>
      </c>
      <c r="CV189" s="34" t="str">
        <f t="shared" ref="CV189" si="4877">IF(SUBTOTAL(9,CV190:CV194)&gt;0,SUBTOTAL(9,CV190:CV194),"")</f>
        <v/>
      </c>
      <c r="CW189" s="34" t="str">
        <f t="shared" ref="CW189" si="4878">IF(SUBTOTAL(9,CW190:CW194)&gt;0,SUBTOTAL(9,CW190:CW194),"")</f>
        <v/>
      </c>
      <c r="CX189" s="34" t="str">
        <f t="shared" ref="CX189" si="4879">IF(SUBTOTAL(9,CX190:CX194)&gt;0,SUBTOTAL(9,CX190:CX194),"")</f>
        <v/>
      </c>
      <c r="CY189" s="34" t="str">
        <f t="shared" ref="CY189" si="4880">IF(SUBTOTAL(9,CY190:CY194)&gt;0,SUBTOTAL(9,CY190:CY194),"")</f>
        <v/>
      </c>
      <c r="CZ189" s="33" t="str">
        <f t="shared" ref="CZ189" si="4881">IF(SUBTOTAL(9,CZ190:CZ194)&gt;0,SUBTOTAL(9,CZ190:CZ194),"")</f>
        <v/>
      </c>
      <c r="DA189" s="33" t="str">
        <f t="shared" ref="DA189" si="4882">IF(SUBTOTAL(9,DA190:DA194)&gt;0,SUBTOTAL(9,DA190:DA194),"")</f>
        <v/>
      </c>
      <c r="DB189" s="34" t="str">
        <f t="shared" ref="DB189" si="4883">IF(SUBTOTAL(9,DB190:DB194)&gt;0,SUBTOTAL(9,DB190:DB194),"")</f>
        <v/>
      </c>
      <c r="DC189" s="34" t="str">
        <f t="shared" ref="DC189" si="4884">IF(SUBTOTAL(9,DC190:DC194)&gt;0,SUBTOTAL(9,DC190:DC194),"")</f>
        <v/>
      </c>
      <c r="DD189" s="34" t="str">
        <f t="shared" ref="DD189" si="4885">IF(SUBTOTAL(9,DD190:DD194)&gt;0,SUBTOTAL(9,DD190:DD194),"")</f>
        <v/>
      </c>
      <c r="DE189" s="34" t="str">
        <f t="shared" ref="DE189" si="4886">IF(SUBTOTAL(9,DE190:DE194)&gt;0,SUBTOTAL(9,DE190:DE194),"")</f>
        <v/>
      </c>
      <c r="DF189" s="34" t="str">
        <f t="shared" ref="DF189" si="4887">IF(SUBTOTAL(9,DF190:DF194)&gt;0,SUBTOTAL(9,DF190:DF194),"")</f>
        <v/>
      </c>
      <c r="DG189" s="34" t="str">
        <f t="shared" ref="DG189" si="4888">IF(SUBTOTAL(9,DG190:DG194)&gt;0,SUBTOTAL(9,DG190:DG194),"")</f>
        <v/>
      </c>
      <c r="DH189" s="34" t="str">
        <f t="shared" ref="DH189" si="4889">IF(SUBTOTAL(9,DH190:DH194)&gt;0,SUBTOTAL(9,DH190:DH194),"")</f>
        <v/>
      </c>
      <c r="DI189" s="34" t="str">
        <f t="shared" ref="DI189" si="4890">IF(SUBTOTAL(9,DI190:DI194)&gt;0,SUBTOTAL(9,DI190:DI194),"")</f>
        <v/>
      </c>
      <c r="DJ189" s="34" t="str">
        <f t="shared" ref="DJ189" si="4891">IF(SUBTOTAL(9,DJ190:DJ194)&gt;0,SUBTOTAL(9,DJ190:DJ194),"")</f>
        <v/>
      </c>
      <c r="DK189" s="34" t="str">
        <f t="shared" ref="DK189" si="4892">IF(SUBTOTAL(9,DK190:DK194)&gt;0,SUBTOTAL(9,DK190:DK194),"")</f>
        <v/>
      </c>
      <c r="DL189" s="34" t="str">
        <f t="shared" ref="DL189" si="4893">IF(SUBTOTAL(9,DL190:DL194)&gt;0,SUBTOTAL(9,DL190:DL194),"")</f>
        <v/>
      </c>
      <c r="DM189" s="34" t="str">
        <f t="shared" ref="DM189" si="4894">IF(SUBTOTAL(9,DM190:DM194)&gt;0,SUBTOTAL(9,DM190:DM194),"")</f>
        <v/>
      </c>
      <c r="DN189" s="34" t="str">
        <f t="shared" ref="DN189" si="4895">IF(SUBTOTAL(9,DN190:DN194)&gt;0,SUBTOTAL(9,DN190:DN194),"")</f>
        <v/>
      </c>
      <c r="DO189" s="34" t="str">
        <f t="shared" ref="DO189" si="4896">IF(SUBTOTAL(9,DO190:DO194)&gt;0,SUBTOTAL(9,DO190:DO194),"")</f>
        <v/>
      </c>
      <c r="DP189" s="34" t="str">
        <f t="shared" ref="DP189" si="4897">IF(SUBTOTAL(9,DP190:DP194)&gt;0,SUBTOTAL(9,DP190:DP194),"")</f>
        <v/>
      </c>
      <c r="DQ189" s="34" t="str">
        <f t="shared" ref="DQ189" si="4898">IF(SUBTOTAL(9,DQ190:DQ194)&gt;0,SUBTOTAL(9,DQ190:DQ194),"")</f>
        <v/>
      </c>
      <c r="DR189" s="34" t="str">
        <f t="shared" ref="DR189" si="4899">IF(SUBTOTAL(9,DR190:DR194)&gt;0,SUBTOTAL(9,DR190:DR194),"")</f>
        <v/>
      </c>
      <c r="DS189" s="34" t="str">
        <f t="shared" ref="DS189" si="4900">IF(SUBTOTAL(9,DS190:DS194)&gt;0,SUBTOTAL(9,DS190:DS194),"")</f>
        <v/>
      </c>
      <c r="DT189" s="34" t="str">
        <f t="shared" ref="DT189" si="4901">IF(SUBTOTAL(9,DT190:DT194)&gt;0,SUBTOTAL(9,DT190:DT194),"")</f>
        <v/>
      </c>
      <c r="DU189" s="34" t="str">
        <f t="shared" ref="DU189" si="4902">IF(SUBTOTAL(9,DU190:DU194)&gt;0,SUBTOTAL(9,DU190:DU194),"")</f>
        <v/>
      </c>
      <c r="DV189" s="34" t="str">
        <f t="shared" ref="DV189" si="4903">IF(SUBTOTAL(9,DV190:DV194)&gt;0,SUBTOTAL(9,DV190:DV194),"")</f>
        <v/>
      </c>
      <c r="DW189" s="34" t="str">
        <f t="shared" ref="DW189" si="4904">IF(SUBTOTAL(9,DW190:DW194)&gt;0,SUBTOTAL(9,DW190:DW194),"")</f>
        <v/>
      </c>
      <c r="DX189" s="34" t="str">
        <f t="shared" ref="DX189" si="4905">IF(SUBTOTAL(9,DX190:DX194)&gt;0,SUBTOTAL(9,DX190:DX194),"")</f>
        <v/>
      </c>
      <c r="DY189" s="34" t="str">
        <f t="shared" ref="DY189" si="4906">IF(SUBTOTAL(9,DY190:DY194)&gt;0,SUBTOTAL(9,DY190:DY194),"")</f>
        <v/>
      </c>
      <c r="DZ189" s="33" t="str">
        <f t="shared" ref="DZ189" si="4907">IF(SUBTOTAL(9,DZ190:DZ194)&gt;0,SUBTOTAL(9,DZ190:DZ194),"")</f>
        <v/>
      </c>
      <c r="EA189" s="34" t="str">
        <f t="shared" ref="EA189" si="4908">IF(SUBTOTAL(9,EA190:EA194)&gt;0,SUBTOTAL(9,EA190:EA194),"")</f>
        <v/>
      </c>
      <c r="EB189" s="34" t="str">
        <f t="shared" ref="EB189" si="4909">IF(SUBTOTAL(9,EB190:EB194)&gt;0,SUBTOTAL(9,EB190:EB194),"")</f>
        <v/>
      </c>
      <c r="EC189" s="34" t="str">
        <f t="shared" ref="EC189" si="4910">IF(SUBTOTAL(9,EC190:EC194)&gt;0,SUBTOTAL(9,EC190:EC194),"")</f>
        <v/>
      </c>
      <c r="ED189" s="34" t="str">
        <f t="shared" ref="ED189" si="4911">IF(SUBTOTAL(9,ED190:ED194)&gt;0,SUBTOTAL(9,ED190:ED194),"")</f>
        <v/>
      </c>
      <c r="EE189" s="34" t="str">
        <f t="shared" ref="EE189" si="4912">IF(SUBTOTAL(9,EE190:EE194)&gt;0,SUBTOTAL(9,EE190:EE194),"")</f>
        <v/>
      </c>
      <c r="EF189" s="34" t="str">
        <f t="shared" ref="EF189" si="4913">IF(SUBTOTAL(9,EF190:EF194)&gt;0,SUBTOTAL(9,EF190:EF194),"")</f>
        <v/>
      </c>
      <c r="EG189" s="34" t="str">
        <f t="shared" ref="EG189" si="4914">IF(SUBTOTAL(9,EG190:EG194)&gt;0,SUBTOTAL(9,EG190:EG194),"")</f>
        <v/>
      </c>
      <c r="EH189" s="34" t="str">
        <f t="shared" ref="EH189" si="4915">IF(SUBTOTAL(9,EH190:EH194)&gt;0,SUBTOTAL(9,EH190:EH194),"")</f>
        <v/>
      </c>
      <c r="EI189" s="34" t="str">
        <f t="shared" ref="EI189" si="4916">IF(SUBTOTAL(9,EI190:EI194)&gt;0,SUBTOTAL(9,EI190:EI194),"")</f>
        <v/>
      </c>
      <c r="EJ189" s="34" t="str">
        <f t="shared" ref="EJ189" si="4917">IF(SUBTOTAL(9,EJ190:EJ194)&gt;0,SUBTOTAL(9,EJ190:EJ194),"")</f>
        <v/>
      </c>
      <c r="EK189" s="34" t="str">
        <f t="shared" ref="EK189" si="4918">IF(SUBTOTAL(9,EK190:EK194)&gt;0,SUBTOTAL(9,EK190:EK194),"")</f>
        <v/>
      </c>
      <c r="EL189" s="34" t="str">
        <f t="shared" ref="EL189" si="4919">IF(SUBTOTAL(9,EL190:EL194)&gt;0,SUBTOTAL(9,EL190:EL194),"")</f>
        <v/>
      </c>
      <c r="EM189" s="34" t="str">
        <f t="shared" ref="EM189" si="4920">IF(SUBTOTAL(9,EM190:EM194)&gt;0,SUBTOTAL(9,EM190:EM194),"")</f>
        <v/>
      </c>
      <c r="EN189" s="34" t="str">
        <f t="shared" ref="EN189" si="4921">IF(SUBTOTAL(9,EN190:EN194)&gt;0,SUBTOTAL(9,EN190:EN194),"")</f>
        <v/>
      </c>
      <c r="EO189" s="34" t="str">
        <f t="shared" ref="EO189" si="4922">IF(SUBTOTAL(9,EO190:EO194)&gt;0,SUBTOTAL(9,EO190:EO194),"")</f>
        <v/>
      </c>
      <c r="EP189" s="34" t="str">
        <f t="shared" ref="EP189" si="4923">IF(SUBTOTAL(9,EP190:EP194)&gt;0,SUBTOTAL(9,EP190:EP194),"")</f>
        <v/>
      </c>
      <c r="EQ189" s="34" t="str">
        <f t="shared" ref="EQ189" si="4924">IF(SUBTOTAL(9,EQ190:EQ194)&gt;0,SUBTOTAL(9,EQ190:EQ194),"")</f>
        <v/>
      </c>
      <c r="ER189" s="34" t="str">
        <f t="shared" ref="ER189" si="4925">IF(SUBTOTAL(9,ER190:ER194)&gt;0,SUBTOTAL(9,ER190:ER194),"")</f>
        <v/>
      </c>
      <c r="ES189" s="34" t="str">
        <f t="shared" ref="ES189" si="4926">IF(SUBTOTAL(9,ES190:ES194)&gt;0,SUBTOTAL(9,ES190:ES194),"")</f>
        <v/>
      </c>
      <c r="ET189" s="34" t="str">
        <f t="shared" ref="ET189" si="4927">IF(SUBTOTAL(9,ET190:ET194)&gt;0,SUBTOTAL(9,ET190:ET194),"")</f>
        <v/>
      </c>
      <c r="EU189" s="34" t="str">
        <f t="shared" ref="EU189" si="4928">IF(SUBTOTAL(9,EU190:EU194)&gt;0,SUBTOTAL(9,EU190:EU194),"")</f>
        <v/>
      </c>
      <c r="EV189" s="34" t="str">
        <f t="shared" ref="EV189" si="4929">IF(SUBTOTAL(9,EV190:EV194)&gt;0,SUBTOTAL(9,EV190:EV194),"")</f>
        <v/>
      </c>
      <c r="EW189" s="34" t="str">
        <f t="shared" ref="EW189" si="4930">IF(SUBTOTAL(9,EW190:EW194)&gt;0,SUBTOTAL(9,EW190:EW194),"")</f>
        <v/>
      </c>
      <c r="EX189" s="34" t="str">
        <f t="shared" ref="EX189" si="4931">IF(SUBTOTAL(9,EX190:EX194)&gt;0,SUBTOTAL(9,EX190:EX194),"")</f>
        <v/>
      </c>
      <c r="EY189" s="33" t="str">
        <f t="shared" ref="EY189" si="4932">IF(SUBTOTAL(9,EY190:EY194)&gt;0,SUBTOTAL(9,EY190:EY194),"")</f>
        <v/>
      </c>
      <c r="EZ189" s="34" t="str">
        <f t="shared" ref="EZ189" si="4933">IF(SUBTOTAL(9,EZ190:EZ194)&gt;0,SUBTOTAL(9,EZ190:EZ194),"")</f>
        <v/>
      </c>
      <c r="FA189" s="34" t="str">
        <f t="shared" ref="FA189" si="4934">IF(SUBTOTAL(9,FA190:FA194)&gt;0,SUBTOTAL(9,FA190:FA194),"")</f>
        <v/>
      </c>
      <c r="FB189" s="34" t="str">
        <f t="shared" ref="FB189" si="4935">IF(SUBTOTAL(9,FB190:FB194)&gt;0,SUBTOTAL(9,FB190:FB194),"")</f>
        <v/>
      </c>
      <c r="FC189" s="34" t="str">
        <f t="shared" ref="FC189" si="4936">IF(SUBTOTAL(9,FC190:FC194)&gt;0,SUBTOTAL(9,FC190:FC194),"")</f>
        <v/>
      </c>
      <c r="FD189" s="34" t="str">
        <f t="shared" ref="FD189" si="4937">IF(SUBTOTAL(9,FD190:FD194)&gt;0,SUBTOTAL(9,FD190:FD194),"")</f>
        <v/>
      </c>
      <c r="FE189" s="34" t="str">
        <f t="shared" ref="FE189" si="4938">IF(SUBTOTAL(9,FE190:FE194)&gt;0,SUBTOTAL(9,FE190:FE194),"")</f>
        <v/>
      </c>
      <c r="FF189" s="34" t="str">
        <f t="shared" ref="FF189" si="4939">IF(SUBTOTAL(9,FF190:FF194)&gt;0,SUBTOTAL(9,FF190:FF194),"")</f>
        <v/>
      </c>
      <c r="FG189" s="34" t="str">
        <f t="shared" ref="FG189" si="4940">IF(SUBTOTAL(9,FG190:FG194)&gt;0,SUBTOTAL(9,FG190:FG194),"")</f>
        <v/>
      </c>
      <c r="FH189" s="34" t="str">
        <f t="shared" ref="FH189" si="4941">IF(SUBTOTAL(9,FH190:FH194)&gt;0,SUBTOTAL(9,FH190:FH194),"")</f>
        <v/>
      </c>
      <c r="FI189" s="34" t="str">
        <f t="shared" ref="FI189" si="4942">IF(SUBTOTAL(9,FI190:FI194)&gt;0,SUBTOTAL(9,FI190:FI194),"")</f>
        <v/>
      </c>
      <c r="FJ189" s="34" t="str">
        <f t="shared" ref="FJ189" si="4943">IF(SUBTOTAL(9,FJ190:FJ194)&gt;0,SUBTOTAL(9,FJ190:FJ194),"")</f>
        <v/>
      </c>
      <c r="FK189" s="34" t="str">
        <f t="shared" ref="FK189" si="4944">IF(SUBTOTAL(9,FK190:FK194)&gt;0,SUBTOTAL(9,FK190:FK194),"")</f>
        <v/>
      </c>
      <c r="FL189" s="34" t="str">
        <f t="shared" ref="FL189" si="4945">IF(SUBTOTAL(9,FL190:FL194)&gt;0,SUBTOTAL(9,FL190:FL194),"")</f>
        <v/>
      </c>
      <c r="FM189" s="34" t="str">
        <f t="shared" ref="FM189" si="4946">IF(SUBTOTAL(9,FM190:FM194)&gt;0,SUBTOTAL(9,FM190:FM194),"")</f>
        <v/>
      </c>
      <c r="FN189" s="34" t="str">
        <f t="shared" ref="FN189" si="4947">IF(SUBTOTAL(9,FN190:FN194)&gt;0,SUBTOTAL(9,FN190:FN194),"")</f>
        <v/>
      </c>
      <c r="FO189" s="34" t="str">
        <f t="shared" ref="FO189" si="4948">IF(SUBTOTAL(9,FO190:FO194)&gt;0,SUBTOTAL(9,FO190:FO194),"")</f>
        <v/>
      </c>
      <c r="FP189" s="34" t="str">
        <f t="shared" ref="FP189" si="4949">IF(SUBTOTAL(9,FP190:FP194)&gt;0,SUBTOTAL(9,FP190:FP194),"")</f>
        <v/>
      </c>
      <c r="FQ189" s="92" t="str">
        <f t="shared" ref="FQ189" si="4950">IF(SUBTOTAL(9,FQ190:FQ194)&gt;0,SUBTOTAL(9,FQ190:FQ194),"")</f>
        <v/>
      </c>
      <c r="FR189" s="8"/>
      <c r="FS189" s="9" t="s">
        <v>131</v>
      </c>
      <c r="FT189" s="9" t="str">
        <f t="shared" si="3664"/>
        <v/>
      </c>
    </row>
    <row r="190" spans="1:176" s="9" customFormat="1" ht="12" hidden="1" customHeight="1" outlineLevel="1">
      <c r="A190" s="122" t="s">
        <v>4</v>
      </c>
      <c r="B190" s="123" t="s">
        <v>17</v>
      </c>
      <c r="C190" s="124" t="str">
        <f t="shared" si="3515"/>
        <v>5 days</v>
      </c>
      <c r="D190" s="13" t="str">
        <f>A164&amp;" "&amp;A189</f>
        <v>6. SFCR Development &amp; Dry Run 6.5 Co-ordination</v>
      </c>
      <c r="E190" s="51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5"/>
      <c r="AK190" s="35"/>
      <c r="AL190" s="36"/>
      <c r="AM190" s="36"/>
      <c r="AN190" s="36"/>
      <c r="AO190" s="36"/>
      <c r="AP190" s="36"/>
      <c r="AQ190" s="36"/>
      <c r="AR190" s="36"/>
      <c r="AS190" s="35"/>
      <c r="AT190" s="35"/>
      <c r="AU190" s="35"/>
      <c r="AV190" s="35"/>
      <c r="AW190" s="35"/>
      <c r="AX190" s="35"/>
      <c r="AY190" s="35"/>
      <c r="AZ190" s="35"/>
      <c r="BA190" s="35"/>
      <c r="BB190" s="35"/>
      <c r="BC190" s="35"/>
      <c r="BD190" s="35"/>
      <c r="BE190" s="35"/>
      <c r="BF190" s="35"/>
      <c r="BG190" s="35"/>
      <c r="BH190" s="35"/>
      <c r="BI190" s="35"/>
      <c r="BJ190" s="35"/>
      <c r="BK190" s="35"/>
      <c r="BL190" s="35"/>
      <c r="BM190" s="35">
        <v>0.5</v>
      </c>
      <c r="BN190" s="35">
        <v>0.5</v>
      </c>
      <c r="BO190" s="35">
        <v>0.5</v>
      </c>
      <c r="BP190" s="35">
        <v>0.5</v>
      </c>
      <c r="BQ190" s="35">
        <v>0.5</v>
      </c>
      <c r="BR190" s="35">
        <v>0.5</v>
      </c>
      <c r="BS190" s="35">
        <v>0.5</v>
      </c>
      <c r="BT190" s="35">
        <v>0.5</v>
      </c>
      <c r="BU190" s="35">
        <v>0.5</v>
      </c>
      <c r="BV190" s="35">
        <v>0.5</v>
      </c>
      <c r="BW190" s="35"/>
      <c r="BX190" s="35"/>
      <c r="BY190" s="35"/>
      <c r="BZ190" s="35"/>
      <c r="CA190" s="35"/>
      <c r="CB190" s="35"/>
      <c r="CC190" s="35"/>
      <c r="CD190" s="35"/>
      <c r="CE190" s="35"/>
      <c r="CF190" s="35"/>
      <c r="CG190" s="35"/>
      <c r="CH190" s="35"/>
      <c r="CI190" s="35"/>
      <c r="CJ190" s="35"/>
      <c r="CK190" s="35"/>
      <c r="CL190" s="35"/>
      <c r="CM190" s="35"/>
      <c r="CN190" s="35"/>
      <c r="CO190" s="35"/>
      <c r="CP190" s="35"/>
      <c r="CQ190" s="35"/>
      <c r="CR190" s="35"/>
      <c r="CS190" s="35"/>
      <c r="CT190" s="36"/>
      <c r="CU190" s="35"/>
      <c r="CV190" s="35"/>
      <c r="CW190" s="35"/>
      <c r="CX190" s="35"/>
      <c r="CY190" s="35"/>
      <c r="CZ190" s="36"/>
      <c r="DA190" s="36"/>
      <c r="DB190" s="35"/>
      <c r="DC190" s="35"/>
      <c r="DD190" s="35"/>
      <c r="DE190" s="35"/>
      <c r="DF190" s="35"/>
      <c r="DG190" s="35"/>
      <c r="DH190" s="35"/>
      <c r="DI190" s="35"/>
      <c r="DJ190" s="35"/>
      <c r="DK190" s="35"/>
      <c r="DL190" s="35"/>
      <c r="DM190" s="35"/>
      <c r="DN190" s="35"/>
      <c r="DO190" s="35"/>
      <c r="DP190" s="35"/>
      <c r="DQ190" s="35"/>
      <c r="DR190" s="35"/>
      <c r="DS190" s="35"/>
      <c r="DT190" s="35"/>
      <c r="DU190" s="35"/>
      <c r="DV190" s="35"/>
      <c r="DW190" s="35"/>
      <c r="DX190" s="35"/>
      <c r="DY190" s="35"/>
      <c r="DZ190" s="36"/>
      <c r="EA190" s="35"/>
      <c r="EB190" s="35"/>
      <c r="EC190" s="35"/>
      <c r="ED190" s="35"/>
      <c r="EE190" s="35"/>
      <c r="EF190" s="35"/>
      <c r="EG190" s="35"/>
      <c r="EH190" s="35"/>
      <c r="EI190" s="35"/>
      <c r="EJ190" s="35"/>
      <c r="EK190" s="35"/>
      <c r="EL190" s="35"/>
      <c r="EM190" s="35"/>
      <c r="EN190" s="35"/>
      <c r="EO190" s="35"/>
      <c r="EP190" s="35"/>
      <c r="EQ190" s="35"/>
      <c r="ER190" s="35"/>
      <c r="ES190" s="35"/>
      <c r="ET190" s="35"/>
      <c r="EU190" s="35"/>
      <c r="EV190" s="35"/>
      <c r="EW190" s="35"/>
      <c r="EX190" s="35"/>
      <c r="EY190" s="36"/>
      <c r="EZ190" s="35"/>
      <c r="FA190" s="35"/>
      <c r="FB190" s="35"/>
      <c r="FC190" s="35"/>
      <c r="FD190" s="35"/>
      <c r="FE190" s="35"/>
      <c r="FF190" s="35"/>
      <c r="FG190" s="35"/>
      <c r="FH190" s="35"/>
      <c r="FI190" s="35"/>
      <c r="FJ190" s="35"/>
      <c r="FK190" s="35"/>
      <c r="FL190" s="35"/>
      <c r="FM190" s="35"/>
      <c r="FN190" s="35"/>
      <c r="FO190" s="35"/>
      <c r="FP190" s="35"/>
      <c r="FQ190" s="52"/>
      <c r="FR190" s="8"/>
      <c r="FS190" s="9" t="s">
        <v>13</v>
      </c>
      <c r="FT190" s="9" t="str">
        <f t="shared" si="3664"/>
        <v>6. SFCR Development &amp; Dry Run 6.5 Co-ordinationSenior Accountant</v>
      </c>
    </row>
    <row r="191" spans="1:176" s="9" customFormat="1" ht="12" hidden="1" customHeight="1" outlineLevel="1">
      <c r="A191" s="122"/>
      <c r="B191" s="123"/>
      <c r="C191" s="124" t="str">
        <f t="shared" si="3515"/>
        <v>0 days</v>
      </c>
      <c r="D191" s="13" t="str">
        <f>A164&amp;" "&amp;A189</f>
        <v>6. SFCR Development &amp; Dry Run 6.5 Co-ordination</v>
      </c>
      <c r="E191" s="51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5"/>
      <c r="AK191" s="35"/>
      <c r="AL191" s="36"/>
      <c r="AM191" s="36"/>
      <c r="AN191" s="36"/>
      <c r="AO191" s="36"/>
      <c r="AP191" s="36"/>
      <c r="AQ191" s="36"/>
      <c r="AR191" s="36"/>
      <c r="AS191" s="35"/>
      <c r="AT191" s="35"/>
      <c r="AU191" s="35"/>
      <c r="AV191" s="35"/>
      <c r="AW191" s="35"/>
      <c r="AX191" s="35"/>
      <c r="AY191" s="35"/>
      <c r="AZ191" s="35"/>
      <c r="BA191" s="35"/>
      <c r="BB191" s="35"/>
      <c r="BC191" s="35"/>
      <c r="BD191" s="35"/>
      <c r="BE191" s="35"/>
      <c r="BF191" s="35"/>
      <c r="BG191" s="35"/>
      <c r="BH191" s="35"/>
      <c r="BI191" s="35"/>
      <c r="BJ191" s="35"/>
      <c r="BK191" s="35"/>
      <c r="BL191" s="35"/>
      <c r="BM191" s="35"/>
      <c r="BN191" s="35"/>
      <c r="BO191" s="35"/>
      <c r="BP191" s="35"/>
      <c r="BQ191" s="35"/>
      <c r="BR191" s="35"/>
      <c r="BS191" s="35"/>
      <c r="BT191" s="35"/>
      <c r="BU191" s="35"/>
      <c r="BV191" s="35"/>
      <c r="BW191" s="35"/>
      <c r="BX191" s="35"/>
      <c r="BY191" s="35"/>
      <c r="BZ191" s="35"/>
      <c r="CA191" s="35"/>
      <c r="CB191" s="35"/>
      <c r="CC191" s="35"/>
      <c r="CD191" s="35"/>
      <c r="CE191" s="35"/>
      <c r="CF191" s="35"/>
      <c r="CG191" s="35"/>
      <c r="CH191" s="35"/>
      <c r="CI191" s="35"/>
      <c r="CJ191" s="35"/>
      <c r="CK191" s="35"/>
      <c r="CL191" s="35"/>
      <c r="CM191" s="35"/>
      <c r="CN191" s="35"/>
      <c r="CO191" s="35"/>
      <c r="CP191" s="35"/>
      <c r="CQ191" s="35"/>
      <c r="CR191" s="35"/>
      <c r="CS191" s="35"/>
      <c r="CT191" s="36"/>
      <c r="CU191" s="35"/>
      <c r="CV191" s="35"/>
      <c r="CW191" s="35"/>
      <c r="CX191" s="35"/>
      <c r="CY191" s="35"/>
      <c r="CZ191" s="36"/>
      <c r="DA191" s="36"/>
      <c r="DB191" s="35"/>
      <c r="DC191" s="35"/>
      <c r="DD191" s="35"/>
      <c r="DE191" s="35"/>
      <c r="DF191" s="35"/>
      <c r="DG191" s="35"/>
      <c r="DH191" s="35"/>
      <c r="DI191" s="35"/>
      <c r="DJ191" s="35"/>
      <c r="DK191" s="35"/>
      <c r="DL191" s="35"/>
      <c r="DM191" s="35"/>
      <c r="DN191" s="35"/>
      <c r="DO191" s="35"/>
      <c r="DP191" s="35"/>
      <c r="DQ191" s="35"/>
      <c r="DR191" s="35"/>
      <c r="DS191" s="35"/>
      <c r="DT191" s="35"/>
      <c r="DU191" s="35"/>
      <c r="DV191" s="35"/>
      <c r="DW191" s="35"/>
      <c r="DX191" s="35"/>
      <c r="DY191" s="35"/>
      <c r="DZ191" s="36"/>
      <c r="EA191" s="35"/>
      <c r="EB191" s="35"/>
      <c r="EC191" s="35"/>
      <c r="ED191" s="35"/>
      <c r="EE191" s="35"/>
      <c r="EF191" s="35"/>
      <c r="EG191" s="35"/>
      <c r="EH191" s="35"/>
      <c r="EI191" s="35"/>
      <c r="EJ191" s="35"/>
      <c r="EK191" s="35"/>
      <c r="EL191" s="35"/>
      <c r="EM191" s="35"/>
      <c r="EN191" s="35"/>
      <c r="EO191" s="35"/>
      <c r="EP191" s="35"/>
      <c r="EQ191" s="35"/>
      <c r="ER191" s="35"/>
      <c r="ES191" s="35"/>
      <c r="ET191" s="35"/>
      <c r="EU191" s="35"/>
      <c r="EV191" s="35"/>
      <c r="EW191" s="35"/>
      <c r="EX191" s="35"/>
      <c r="EY191" s="36"/>
      <c r="EZ191" s="35"/>
      <c r="FA191" s="35"/>
      <c r="FB191" s="35"/>
      <c r="FC191" s="35"/>
      <c r="FD191" s="35"/>
      <c r="FE191" s="35"/>
      <c r="FF191" s="35"/>
      <c r="FG191" s="35"/>
      <c r="FH191" s="35"/>
      <c r="FI191" s="35"/>
      <c r="FJ191" s="35"/>
      <c r="FK191" s="35"/>
      <c r="FL191" s="35"/>
      <c r="FM191" s="35"/>
      <c r="FN191" s="35"/>
      <c r="FO191" s="35"/>
      <c r="FP191" s="35"/>
      <c r="FQ191" s="52"/>
      <c r="FR191" s="8"/>
      <c r="FS191" s="9" t="s">
        <v>13</v>
      </c>
      <c r="FT191" s="9" t="str">
        <f t="shared" si="3664"/>
        <v>6. SFCR Development &amp; Dry Run 6.5 Co-ordination</v>
      </c>
    </row>
    <row r="192" spans="1:176" s="9" customFormat="1" ht="12" hidden="1" customHeight="1" outlineLevel="1">
      <c r="A192" s="125" t="s">
        <v>50</v>
      </c>
      <c r="B192" s="123"/>
      <c r="C192" s="124" t="str">
        <f t="shared" si="3515"/>
        <v>0 days</v>
      </c>
      <c r="D192" s="13" t="str">
        <f>A164&amp;" "&amp;A189</f>
        <v>6. SFCR Development &amp; Dry Run 6.5 Co-ordination</v>
      </c>
      <c r="E192" s="51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5"/>
      <c r="AK192" s="35"/>
      <c r="AL192" s="36"/>
      <c r="AM192" s="36"/>
      <c r="AN192" s="36"/>
      <c r="AO192" s="36"/>
      <c r="AP192" s="36"/>
      <c r="AQ192" s="36"/>
      <c r="AR192" s="36"/>
      <c r="AS192" s="35"/>
      <c r="AT192" s="35"/>
      <c r="AU192" s="35"/>
      <c r="AV192" s="35"/>
      <c r="AW192" s="35"/>
      <c r="AX192" s="35"/>
      <c r="AY192" s="35"/>
      <c r="AZ192" s="35"/>
      <c r="BA192" s="35"/>
      <c r="BB192" s="35"/>
      <c r="BC192" s="35"/>
      <c r="BD192" s="35"/>
      <c r="BE192" s="35"/>
      <c r="BF192" s="35"/>
      <c r="BG192" s="35"/>
      <c r="BH192" s="35"/>
      <c r="BI192" s="35"/>
      <c r="BJ192" s="35"/>
      <c r="BK192" s="35"/>
      <c r="BL192" s="35"/>
      <c r="BM192" s="35"/>
      <c r="BN192" s="35"/>
      <c r="BO192" s="35"/>
      <c r="BP192" s="35"/>
      <c r="BQ192" s="35"/>
      <c r="BR192" s="35"/>
      <c r="BS192" s="35"/>
      <c r="BT192" s="35"/>
      <c r="BU192" s="35"/>
      <c r="BV192" s="35"/>
      <c r="BW192" s="35"/>
      <c r="BX192" s="35"/>
      <c r="BY192" s="35"/>
      <c r="BZ192" s="35"/>
      <c r="CA192" s="35"/>
      <c r="CB192" s="35"/>
      <c r="CC192" s="35"/>
      <c r="CD192" s="35"/>
      <c r="CE192" s="35"/>
      <c r="CF192" s="35"/>
      <c r="CG192" s="35"/>
      <c r="CH192" s="35"/>
      <c r="CI192" s="35"/>
      <c r="CJ192" s="35"/>
      <c r="CK192" s="35"/>
      <c r="CL192" s="35"/>
      <c r="CM192" s="35"/>
      <c r="CN192" s="35"/>
      <c r="CO192" s="35"/>
      <c r="CP192" s="35"/>
      <c r="CQ192" s="35"/>
      <c r="CR192" s="35"/>
      <c r="CS192" s="35"/>
      <c r="CT192" s="36"/>
      <c r="CU192" s="35"/>
      <c r="CV192" s="35"/>
      <c r="CW192" s="35"/>
      <c r="CX192" s="35"/>
      <c r="CY192" s="35"/>
      <c r="CZ192" s="36"/>
      <c r="DA192" s="36"/>
      <c r="DB192" s="35"/>
      <c r="DC192" s="35"/>
      <c r="DD192" s="35"/>
      <c r="DE192" s="35"/>
      <c r="DF192" s="35"/>
      <c r="DG192" s="35"/>
      <c r="DH192" s="35"/>
      <c r="DI192" s="35"/>
      <c r="DJ192" s="35"/>
      <c r="DK192" s="35"/>
      <c r="DL192" s="35"/>
      <c r="DM192" s="35"/>
      <c r="DN192" s="35"/>
      <c r="DO192" s="35"/>
      <c r="DP192" s="35"/>
      <c r="DQ192" s="35"/>
      <c r="DR192" s="35"/>
      <c r="DS192" s="35"/>
      <c r="DT192" s="35"/>
      <c r="DU192" s="35"/>
      <c r="DV192" s="35"/>
      <c r="DW192" s="35"/>
      <c r="DX192" s="35"/>
      <c r="DY192" s="35"/>
      <c r="DZ192" s="36"/>
      <c r="EA192" s="35"/>
      <c r="EB192" s="35"/>
      <c r="EC192" s="35"/>
      <c r="ED192" s="35"/>
      <c r="EE192" s="35"/>
      <c r="EF192" s="35"/>
      <c r="EG192" s="35"/>
      <c r="EH192" s="35"/>
      <c r="EI192" s="35"/>
      <c r="EJ192" s="35"/>
      <c r="EK192" s="35"/>
      <c r="EL192" s="35"/>
      <c r="EM192" s="35"/>
      <c r="EN192" s="35"/>
      <c r="EO192" s="35"/>
      <c r="EP192" s="35"/>
      <c r="EQ192" s="35"/>
      <c r="ER192" s="35"/>
      <c r="ES192" s="35"/>
      <c r="ET192" s="35"/>
      <c r="EU192" s="35"/>
      <c r="EV192" s="35"/>
      <c r="EW192" s="35"/>
      <c r="EX192" s="35"/>
      <c r="EY192" s="36"/>
      <c r="EZ192" s="35"/>
      <c r="FA192" s="35"/>
      <c r="FB192" s="35"/>
      <c r="FC192" s="35"/>
      <c r="FD192" s="35"/>
      <c r="FE192" s="35"/>
      <c r="FF192" s="35"/>
      <c r="FG192" s="35"/>
      <c r="FH192" s="35"/>
      <c r="FI192" s="35"/>
      <c r="FJ192" s="35"/>
      <c r="FK192" s="35"/>
      <c r="FL192" s="35"/>
      <c r="FM192" s="35"/>
      <c r="FN192" s="35"/>
      <c r="FO192" s="35"/>
      <c r="FP192" s="35"/>
      <c r="FQ192" s="52"/>
      <c r="FR192" s="8"/>
      <c r="FS192" s="9" t="s">
        <v>13</v>
      </c>
      <c r="FT192" s="9" t="str">
        <f t="shared" si="3664"/>
        <v>6. SFCR Development &amp; Dry Run 6.5 Co-ordination</v>
      </c>
    </row>
    <row r="193" spans="1:176" s="9" customFormat="1" ht="12" hidden="1" customHeight="1" outlineLevel="1">
      <c r="A193" s="125" t="s">
        <v>50</v>
      </c>
      <c r="B193" s="123"/>
      <c r="C193" s="124" t="str">
        <f t="shared" si="3515"/>
        <v>0 days</v>
      </c>
      <c r="D193" s="13" t="str">
        <f>A164&amp;" "&amp;A189</f>
        <v>6. SFCR Development &amp; Dry Run 6.5 Co-ordination</v>
      </c>
      <c r="E193" s="51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5"/>
      <c r="AK193" s="35"/>
      <c r="AL193" s="36"/>
      <c r="AM193" s="36"/>
      <c r="AN193" s="36"/>
      <c r="AO193" s="36"/>
      <c r="AP193" s="36"/>
      <c r="AQ193" s="36"/>
      <c r="AR193" s="36"/>
      <c r="AS193" s="35"/>
      <c r="AT193" s="35"/>
      <c r="AU193" s="35"/>
      <c r="AV193" s="35"/>
      <c r="AW193" s="35"/>
      <c r="AX193" s="35"/>
      <c r="AY193" s="35"/>
      <c r="AZ193" s="35"/>
      <c r="BA193" s="35"/>
      <c r="BB193" s="35"/>
      <c r="BC193" s="35"/>
      <c r="BD193" s="35"/>
      <c r="BE193" s="35"/>
      <c r="BF193" s="35"/>
      <c r="BG193" s="35"/>
      <c r="BH193" s="35"/>
      <c r="BI193" s="35"/>
      <c r="BJ193" s="35"/>
      <c r="BK193" s="35"/>
      <c r="BL193" s="35"/>
      <c r="BM193" s="35"/>
      <c r="BN193" s="35"/>
      <c r="BO193" s="35"/>
      <c r="BP193" s="35"/>
      <c r="BQ193" s="35"/>
      <c r="BR193" s="35"/>
      <c r="BS193" s="35"/>
      <c r="BT193" s="35"/>
      <c r="BU193" s="35"/>
      <c r="BV193" s="35"/>
      <c r="BW193" s="35"/>
      <c r="BX193" s="35"/>
      <c r="BY193" s="35"/>
      <c r="BZ193" s="35"/>
      <c r="CA193" s="35"/>
      <c r="CB193" s="35"/>
      <c r="CC193" s="35"/>
      <c r="CD193" s="35"/>
      <c r="CE193" s="35"/>
      <c r="CF193" s="35"/>
      <c r="CG193" s="35"/>
      <c r="CH193" s="35"/>
      <c r="CI193" s="35"/>
      <c r="CJ193" s="35"/>
      <c r="CK193" s="35"/>
      <c r="CL193" s="35"/>
      <c r="CM193" s="35"/>
      <c r="CN193" s="35"/>
      <c r="CO193" s="35"/>
      <c r="CP193" s="35"/>
      <c r="CQ193" s="35"/>
      <c r="CR193" s="35"/>
      <c r="CS193" s="35"/>
      <c r="CT193" s="36"/>
      <c r="CU193" s="35"/>
      <c r="CV193" s="35"/>
      <c r="CW193" s="35"/>
      <c r="CX193" s="35"/>
      <c r="CY193" s="35"/>
      <c r="CZ193" s="36"/>
      <c r="DA193" s="36"/>
      <c r="DB193" s="35"/>
      <c r="DC193" s="35"/>
      <c r="DD193" s="35"/>
      <c r="DE193" s="35"/>
      <c r="DF193" s="35"/>
      <c r="DG193" s="35"/>
      <c r="DH193" s="35"/>
      <c r="DI193" s="35"/>
      <c r="DJ193" s="35"/>
      <c r="DK193" s="35"/>
      <c r="DL193" s="35"/>
      <c r="DM193" s="35"/>
      <c r="DN193" s="35"/>
      <c r="DO193" s="35"/>
      <c r="DP193" s="35"/>
      <c r="DQ193" s="35"/>
      <c r="DR193" s="35"/>
      <c r="DS193" s="35"/>
      <c r="DT193" s="35"/>
      <c r="DU193" s="35"/>
      <c r="DV193" s="35"/>
      <c r="DW193" s="35"/>
      <c r="DX193" s="35"/>
      <c r="DY193" s="35"/>
      <c r="DZ193" s="36"/>
      <c r="EA193" s="35"/>
      <c r="EB193" s="35"/>
      <c r="EC193" s="35"/>
      <c r="ED193" s="35"/>
      <c r="EE193" s="35"/>
      <c r="EF193" s="35"/>
      <c r="EG193" s="35"/>
      <c r="EH193" s="35"/>
      <c r="EI193" s="35"/>
      <c r="EJ193" s="35"/>
      <c r="EK193" s="35"/>
      <c r="EL193" s="35"/>
      <c r="EM193" s="35"/>
      <c r="EN193" s="35"/>
      <c r="EO193" s="35"/>
      <c r="EP193" s="35"/>
      <c r="EQ193" s="35"/>
      <c r="ER193" s="35"/>
      <c r="ES193" s="35"/>
      <c r="ET193" s="35"/>
      <c r="EU193" s="35"/>
      <c r="EV193" s="35"/>
      <c r="EW193" s="35"/>
      <c r="EX193" s="35"/>
      <c r="EY193" s="36"/>
      <c r="EZ193" s="35"/>
      <c r="FA193" s="35"/>
      <c r="FB193" s="35"/>
      <c r="FC193" s="35"/>
      <c r="FD193" s="35"/>
      <c r="FE193" s="35"/>
      <c r="FF193" s="35"/>
      <c r="FG193" s="35"/>
      <c r="FH193" s="35"/>
      <c r="FI193" s="35"/>
      <c r="FJ193" s="35"/>
      <c r="FK193" s="35"/>
      <c r="FL193" s="35"/>
      <c r="FM193" s="35"/>
      <c r="FN193" s="35"/>
      <c r="FO193" s="35"/>
      <c r="FP193" s="35"/>
      <c r="FQ193" s="52"/>
      <c r="FR193" s="8"/>
      <c r="FS193" s="9" t="s">
        <v>13</v>
      </c>
      <c r="FT193" s="9" t="str">
        <f t="shared" si="3664"/>
        <v>6. SFCR Development &amp; Dry Run 6.5 Co-ordination</v>
      </c>
    </row>
    <row r="194" spans="1:176" s="9" customFormat="1" ht="12" hidden="1" customHeight="1" outlineLevel="1">
      <c r="A194" s="125" t="s">
        <v>50</v>
      </c>
      <c r="B194" s="123"/>
      <c r="C194" s="124" t="str">
        <f t="shared" si="3515"/>
        <v>0 days</v>
      </c>
      <c r="D194" s="13" t="str">
        <f>A164&amp;" "&amp;A189</f>
        <v>6. SFCR Development &amp; Dry Run 6.5 Co-ordination</v>
      </c>
      <c r="E194" s="51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5"/>
      <c r="AK194" s="35"/>
      <c r="AL194" s="36"/>
      <c r="AM194" s="36"/>
      <c r="AN194" s="36"/>
      <c r="AO194" s="36"/>
      <c r="AP194" s="36"/>
      <c r="AQ194" s="36"/>
      <c r="AR194" s="36"/>
      <c r="AS194" s="35"/>
      <c r="AT194" s="35"/>
      <c r="AU194" s="35"/>
      <c r="AV194" s="35"/>
      <c r="AW194" s="35"/>
      <c r="AX194" s="35"/>
      <c r="AY194" s="35"/>
      <c r="AZ194" s="35"/>
      <c r="BA194" s="35"/>
      <c r="BB194" s="35"/>
      <c r="BC194" s="35"/>
      <c r="BD194" s="35"/>
      <c r="BE194" s="35"/>
      <c r="BF194" s="35"/>
      <c r="BG194" s="35"/>
      <c r="BH194" s="35"/>
      <c r="BI194" s="35"/>
      <c r="BJ194" s="35"/>
      <c r="BK194" s="35"/>
      <c r="BL194" s="35"/>
      <c r="BM194" s="35"/>
      <c r="BN194" s="35"/>
      <c r="BO194" s="35"/>
      <c r="BP194" s="35"/>
      <c r="BQ194" s="35"/>
      <c r="BR194" s="35"/>
      <c r="BS194" s="35"/>
      <c r="BT194" s="35"/>
      <c r="BU194" s="35"/>
      <c r="BV194" s="35"/>
      <c r="BW194" s="35"/>
      <c r="BX194" s="35"/>
      <c r="BY194" s="35"/>
      <c r="BZ194" s="35"/>
      <c r="CA194" s="35"/>
      <c r="CB194" s="35"/>
      <c r="CC194" s="35"/>
      <c r="CD194" s="35"/>
      <c r="CE194" s="35"/>
      <c r="CF194" s="35"/>
      <c r="CG194" s="35"/>
      <c r="CH194" s="35"/>
      <c r="CI194" s="35"/>
      <c r="CJ194" s="35"/>
      <c r="CK194" s="35"/>
      <c r="CL194" s="35"/>
      <c r="CM194" s="35"/>
      <c r="CN194" s="35"/>
      <c r="CO194" s="35"/>
      <c r="CP194" s="35"/>
      <c r="CQ194" s="35"/>
      <c r="CR194" s="35"/>
      <c r="CS194" s="35"/>
      <c r="CT194" s="36"/>
      <c r="CU194" s="35"/>
      <c r="CV194" s="35"/>
      <c r="CW194" s="35"/>
      <c r="CX194" s="35"/>
      <c r="CY194" s="35"/>
      <c r="CZ194" s="36"/>
      <c r="DA194" s="36"/>
      <c r="DB194" s="35"/>
      <c r="DC194" s="35"/>
      <c r="DD194" s="35"/>
      <c r="DE194" s="35"/>
      <c r="DF194" s="35"/>
      <c r="DG194" s="35"/>
      <c r="DH194" s="35"/>
      <c r="DI194" s="35"/>
      <c r="DJ194" s="35"/>
      <c r="DK194" s="35"/>
      <c r="DL194" s="35"/>
      <c r="DM194" s="35"/>
      <c r="DN194" s="35"/>
      <c r="DO194" s="35"/>
      <c r="DP194" s="35"/>
      <c r="DQ194" s="35"/>
      <c r="DR194" s="35"/>
      <c r="DS194" s="35"/>
      <c r="DT194" s="35"/>
      <c r="DU194" s="35"/>
      <c r="DV194" s="35"/>
      <c r="DW194" s="35"/>
      <c r="DX194" s="35"/>
      <c r="DY194" s="35"/>
      <c r="DZ194" s="36"/>
      <c r="EA194" s="35"/>
      <c r="EB194" s="35"/>
      <c r="EC194" s="35"/>
      <c r="ED194" s="35"/>
      <c r="EE194" s="35"/>
      <c r="EF194" s="35"/>
      <c r="EG194" s="35"/>
      <c r="EH194" s="35"/>
      <c r="EI194" s="35"/>
      <c r="EJ194" s="35"/>
      <c r="EK194" s="35"/>
      <c r="EL194" s="35"/>
      <c r="EM194" s="35"/>
      <c r="EN194" s="35"/>
      <c r="EO194" s="35"/>
      <c r="EP194" s="35"/>
      <c r="EQ194" s="35"/>
      <c r="ER194" s="35"/>
      <c r="ES194" s="35"/>
      <c r="ET194" s="35"/>
      <c r="EU194" s="35"/>
      <c r="EV194" s="35"/>
      <c r="EW194" s="35"/>
      <c r="EX194" s="35"/>
      <c r="EY194" s="36"/>
      <c r="EZ194" s="35"/>
      <c r="FA194" s="35"/>
      <c r="FB194" s="35"/>
      <c r="FC194" s="35"/>
      <c r="FD194" s="35"/>
      <c r="FE194" s="35"/>
      <c r="FF194" s="35"/>
      <c r="FG194" s="35"/>
      <c r="FH194" s="35"/>
      <c r="FI194" s="35"/>
      <c r="FJ194" s="35"/>
      <c r="FK194" s="35"/>
      <c r="FL194" s="35"/>
      <c r="FM194" s="35"/>
      <c r="FN194" s="35"/>
      <c r="FO194" s="35"/>
      <c r="FP194" s="35"/>
      <c r="FQ194" s="52"/>
      <c r="FR194" s="8"/>
      <c r="FS194" s="9" t="s">
        <v>13</v>
      </c>
      <c r="FT194" s="9" t="str">
        <f t="shared" si="3664"/>
        <v>6. SFCR Development &amp; Dry Run 6.5 Co-ordination</v>
      </c>
    </row>
    <row r="195" spans="1:176" s="9" customFormat="1" ht="12" customHeight="1" collapsed="1">
      <c r="A195" s="116" t="s">
        <v>83</v>
      </c>
      <c r="B195" s="132"/>
      <c r="C195" s="118" t="str">
        <f t="shared" si="3515"/>
        <v>55 days</v>
      </c>
      <c r="D195" s="26"/>
      <c r="E195" s="89" t="str">
        <f t="shared" ref="E195:AK195" si="4951">IF(SUBTOTAL(9,E197:E201,E203:E207,E209:E213,E215:E219,E221:E225)&gt;0,SUBTOTAL(9,E197:E201,E203:E207,E209:E213,E215:E219,E221:E225),"")</f>
        <v/>
      </c>
      <c r="F195" s="32" t="str">
        <f t="shared" si="4951"/>
        <v/>
      </c>
      <c r="G195" s="32" t="str">
        <f t="shared" si="4951"/>
        <v/>
      </c>
      <c r="H195" s="32" t="str">
        <f t="shared" si="4951"/>
        <v/>
      </c>
      <c r="I195" s="32" t="str">
        <f t="shared" si="4951"/>
        <v/>
      </c>
      <c r="J195" s="32" t="str">
        <f t="shared" si="4951"/>
        <v/>
      </c>
      <c r="K195" s="32" t="str">
        <f t="shared" si="4951"/>
        <v/>
      </c>
      <c r="L195" s="32" t="str">
        <f t="shared" si="4951"/>
        <v/>
      </c>
      <c r="M195" s="32" t="str">
        <f t="shared" si="4951"/>
        <v/>
      </c>
      <c r="N195" s="32" t="str">
        <f t="shared" si="4951"/>
        <v/>
      </c>
      <c r="O195" s="32" t="str">
        <f t="shared" si="4951"/>
        <v/>
      </c>
      <c r="P195" s="32" t="str">
        <f t="shared" si="4951"/>
        <v/>
      </c>
      <c r="Q195" s="32" t="str">
        <f t="shared" si="4951"/>
        <v/>
      </c>
      <c r="R195" s="32" t="str">
        <f t="shared" si="4951"/>
        <v/>
      </c>
      <c r="S195" s="32" t="str">
        <f t="shared" si="4951"/>
        <v/>
      </c>
      <c r="T195" s="32" t="str">
        <f t="shared" si="4951"/>
        <v/>
      </c>
      <c r="U195" s="32" t="str">
        <f t="shared" si="4951"/>
        <v/>
      </c>
      <c r="V195" s="32" t="str">
        <f t="shared" si="4951"/>
        <v/>
      </c>
      <c r="W195" s="32" t="str">
        <f t="shared" si="4951"/>
        <v/>
      </c>
      <c r="X195" s="32" t="str">
        <f t="shared" si="4951"/>
        <v/>
      </c>
      <c r="Y195" s="32" t="str">
        <f t="shared" si="4951"/>
        <v/>
      </c>
      <c r="Z195" s="32" t="str">
        <f t="shared" si="4951"/>
        <v/>
      </c>
      <c r="AA195" s="32" t="str">
        <f t="shared" si="4951"/>
        <v/>
      </c>
      <c r="AB195" s="32" t="str">
        <f t="shared" si="4951"/>
        <v/>
      </c>
      <c r="AC195" s="32" t="str">
        <f t="shared" si="4951"/>
        <v/>
      </c>
      <c r="AD195" s="32" t="str">
        <f t="shared" si="4951"/>
        <v/>
      </c>
      <c r="AE195" s="32" t="str">
        <f t="shared" si="4951"/>
        <v/>
      </c>
      <c r="AF195" s="32" t="str">
        <f t="shared" si="4951"/>
        <v/>
      </c>
      <c r="AG195" s="32" t="str">
        <f t="shared" si="4951"/>
        <v/>
      </c>
      <c r="AH195" s="32" t="str">
        <f t="shared" si="4951"/>
        <v/>
      </c>
      <c r="AI195" s="32" t="str">
        <f t="shared" si="4951"/>
        <v/>
      </c>
      <c r="AJ195" s="32" t="str">
        <f t="shared" si="4951"/>
        <v/>
      </c>
      <c r="AK195" s="32" t="str">
        <f t="shared" si="4951"/>
        <v/>
      </c>
      <c r="AL195" s="33" t="str">
        <f>IF(SUBTOTAL(9,AL197:AL201,AL203:AL207,AL209:AL213,AL215:AL219,AL221:AL225)&gt;0,SUBTOTAL(9,AL197:AL201,AL203:AL207,AL209:AL213,AL215:AL219,AL221:AL225),"")</f>
        <v/>
      </c>
      <c r="AM195" s="33" t="str">
        <f t="shared" ref="AM195:CX195" si="4952">IF(SUBTOTAL(9,AM197:AM201,AM203:AM207,AM209:AM213,AM215:AM219,AM221:AM225)&gt;0,SUBTOTAL(9,AM197:AM201,AM203:AM207,AM209:AM213,AM215:AM219,AM221:AM225),"")</f>
        <v/>
      </c>
      <c r="AN195" s="33" t="str">
        <f t="shared" si="4952"/>
        <v/>
      </c>
      <c r="AO195" s="33" t="str">
        <f t="shared" si="4952"/>
        <v/>
      </c>
      <c r="AP195" s="33" t="str">
        <f t="shared" si="4952"/>
        <v/>
      </c>
      <c r="AQ195" s="33" t="str">
        <f t="shared" si="4952"/>
        <v/>
      </c>
      <c r="AR195" s="33" t="str">
        <f t="shared" si="4952"/>
        <v/>
      </c>
      <c r="AS195" s="32" t="str">
        <f t="shared" si="4952"/>
        <v/>
      </c>
      <c r="AT195" s="32" t="str">
        <f t="shared" si="4952"/>
        <v/>
      </c>
      <c r="AU195" s="32" t="str">
        <f t="shared" si="4952"/>
        <v/>
      </c>
      <c r="AV195" s="32" t="str">
        <f t="shared" si="4952"/>
        <v/>
      </c>
      <c r="AW195" s="32" t="str">
        <f t="shared" si="4952"/>
        <v/>
      </c>
      <c r="AX195" s="32" t="str">
        <f t="shared" si="4952"/>
        <v/>
      </c>
      <c r="AY195" s="32" t="str">
        <f t="shared" si="4952"/>
        <v/>
      </c>
      <c r="AZ195" s="32" t="str">
        <f t="shared" si="4952"/>
        <v/>
      </c>
      <c r="BA195" s="32" t="str">
        <f t="shared" si="4952"/>
        <v/>
      </c>
      <c r="BB195" s="32" t="str">
        <f t="shared" si="4952"/>
        <v/>
      </c>
      <c r="BC195" s="32" t="str">
        <f t="shared" si="4952"/>
        <v/>
      </c>
      <c r="BD195" s="32" t="str">
        <f t="shared" si="4952"/>
        <v/>
      </c>
      <c r="BE195" s="32" t="str">
        <f t="shared" si="4952"/>
        <v/>
      </c>
      <c r="BF195" s="32" t="str">
        <f t="shared" si="4952"/>
        <v/>
      </c>
      <c r="BG195" s="32" t="str">
        <f t="shared" si="4952"/>
        <v/>
      </c>
      <c r="BH195" s="32" t="str">
        <f t="shared" si="4952"/>
        <v/>
      </c>
      <c r="BI195" s="32" t="str">
        <f t="shared" si="4952"/>
        <v/>
      </c>
      <c r="BJ195" s="32" t="str">
        <f t="shared" si="4952"/>
        <v/>
      </c>
      <c r="BK195" s="32" t="str">
        <f t="shared" si="4952"/>
        <v/>
      </c>
      <c r="BL195" s="32" t="str">
        <f t="shared" si="4952"/>
        <v/>
      </c>
      <c r="BM195" s="32" t="str">
        <f t="shared" si="4952"/>
        <v/>
      </c>
      <c r="BN195" s="32" t="str">
        <f t="shared" si="4952"/>
        <v/>
      </c>
      <c r="BO195" s="32" t="str">
        <f t="shared" si="4952"/>
        <v/>
      </c>
      <c r="BP195" s="32" t="str">
        <f t="shared" si="4952"/>
        <v/>
      </c>
      <c r="BQ195" s="32" t="str">
        <f t="shared" si="4952"/>
        <v/>
      </c>
      <c r="BR195" s="32" t="str">
        <f t="shared" si="4952"/>
        <v/>
      </c>
      <c r="BS195" s="32" t="str">
        <f t="shared" si="4952"/>
        <v/>
      </c>
      <c r="BT195" s="32" t="str">
        <f t="shared" si="4952"/>
        <v/>
      </c>
      <c r="BU195" s="32" t="str">
        <f t="shared" si="4952"/>
        <v/>
      </c>
      <c r="BV195" s="32" t="str">
        <f t="shared" si="4952"/>
        <v/>
      </c>
      <c r="BW195" s="32">
        <f>IF(SUBTOTAL(9,BW197:BW201,BW203:BW207,BW209:BW213,BW215:BW219,BW221:BW225)&gt;0,SUBTOTAL(9,BW197:BW201,BW203:BW207,BW209:BW213,BW215:BW219,BW221:BW225),"")</f>
        <v>1</v>
      </c>
      <c r="BX195" s="32">
        <f>IF(SUBTOTAL(9,BX197:BX201,BX203:BX207,BX209:BX213,BX215:BX219,BX221:BX225)&gt;0,SUBTOTAL(9,BX197:BX201,BX203:BX207,BX209:BX213,BX215:BX219,BX221:BX225),"")</f>
        <v>1</v>
      </c>
      <c r="BY195" s="32">
        <f>IF(SUBTOTAL(9,BY197:BY201,BY203:BY207,BY209:BY213,BY215:BY219,BY221:BY225)&gt;0,SUBTOTAL(9,BY197:BY201,BY203:BY207,BY209:BY213,BY215:BY219,BY221:BY225),"")</f>
        <v>1</v>
      </c>
      <c r="BZ195" s="32">
        <f>IF(SUBTOTAL(9,BZ197:BZ201,BZ203:BZ207,BZ209:BZ213,BZ215:BZ219,BZ221:BZ225)&gt;0,SUBTOTAL(9,BZ197:BZ201,BZ203:BZ207,BZ209:BZ213,BZ215:BZ219,BZ221:BZ225),"")</f>
        <v>1</v>
      </c>
      <c r="CA195" s="32">
        <f>IF(SUBTOTAL(9,CA197:CA201,CA203:CA207,CA209:CA213,CA215:CA219,CA221:CA225)&gt;0,SUBTOTAL(9,CA197:CA201,CA203:CA207,CA209:CA213,CA215:CA219,CA221:CA225),"")</f>
        <v>1</v>
      </c>
      <c r="CB195" s="32">
        <f t="shared" si="4952"/>
        <v>2</v>
      </c>
      <c r="CC195" s="32">
        <f t="shared" si="4952"/>
        <v>2</v>
      </c>
      <c r="CD195" s="32">
        <f t="shared" si="4952"/>
        <v>2.25</v>
      </c>
      <c r="CE195" s="32">
        <f t="shared" si="4952"/>
        <v>2.25</v>
      </c>
      <c r="CF195" s="32">
        <f t="shared" si="4952"/>
        <v>2</v>
      </c>
      <c r="CG195" s="32">
        <f t="shared" ref="CG195" si="4953">IF(SUBTOTAL(9,CG197:CG201,CG203:CG207,CG209:CG213,CG215:CG219,CG221:CG225)&gt;0,SUBTOTAL(9,CG197:CG201,CG203:CG207,CG209:CG213,CG215:CG219,CG221:CG225),"")</f>
        <v>1</v>
      </c>
      <c r="CH195" s="32">
        <f t="shared" si="4952"/>
        <v>1</v>
      </c>
      <c r="CI195" s="32">
        <f t="shared" si="4952"/>
        <v>1.25</v>
      </c>
      <c r="CJ195" s="32">
        <f t="shared" si="4952"/>
        <v>1.25</v>
      </c>
      <c r="CK195" s="32">
        <f t="shared" si="4952"/>
        <v>1</v>
      </c>
      <c r="CL195" s="32">
        <f>IF(SUBTOTAL(9,CL197:CL201,CL203:CL207,CL209:CL213,CL215:CL219,CL221:CL225)&gt;0,SUBTOTAL(9,CL197:CL201,CL203:CL207,CL209:CL213,CL215:CL219,CL221:CL225),"")</f>
        <v>2</v>
      </c>
      <c r="CM195" s="32">
        <f>IF(SUBTOTAL(9,CM197:CM201,CM203:CM207,CM209:CM213,CM215:CM219,CM221:CM225)&gt;0,SUBTOTAL(9,CM197:CM201,CM203:CM207,CM209:CM213,CM215:CM219,CM221:CM225),"")</f>
        <v>2</v>
      </c>
      <c r="CN195" s="32">
        <f>IF(SUBTOTAL(9,CN197:CN201,CN203:CN207,CN209:CN213,CN215:CN219,CN221:CN225)&gt;0,SUBTOTAL(9,CN197:CN201,CN203:CN207,CN209:CN213,CN215:CN219,CN221:CN225),"")</f>
        <v>2</v>
      </c>
      <c r="CO195" s="32">
        <f>IF(SUBTOTAL(9,CO197:CO201,CO203:CO207,CO209:CO213,CO215:CO219,CO221:CO225)&gt;0,SUBTOTAL(9,CO197:CO201,CO203:CO207,CO209:CO213,CO215:CO219,CO221:CO225),"")</f>
        <v>1</v>
      </c>
      <c r="CP195" s="32">
        <f>IF(SUBTOTAL(9,CP197:CP201,CP203:CP207,CP209:CP213,CP215:CP219,CP221:CP225)&gt;0,SUBTOTAL(9,CP197:CP201,CP203:CP207,CP209:CP213,CP215:CP219,CP221:CP225),"")</f>
        <v>1</v>
      </c>
      <c r="CQ195" s="32">
        <f t="shared" si="4952"/>
        <v>1</v>
      </c>
      <c r="CR195" s="32">
        <f t="shared" si="4952"/>
        <v>1.5</v>
      </c>
      <c r="CS195" s="32">
        <f t="shared" si="4952"/>
        <v>2</v>
      </c>
      <c r="CT195" s="33" t="str">
        <f t="shared" si="4952"/>
        <v/>
      </c>
      <c r="CU195" s="32">
        <f t="shared" si="4952"/>
        <v>2</v>
      </c>
      <c r="CV195" s="32">
        <f t="shared" si="4952"/>
        <v>2</v>
      </c>
      <c r="CW195" s="32">
        <f t="shared" si="4952"/>
        <v>2</v>
      </c>
      <c r="CX195" s="32">
        <f t="shared" si="4952"/>
        <v>2.5</v>
      </c>
      <c r="CY195" s="32">
        <f t="shared" ref="CY195:FJ195" si="4954">IF(SUBTOTAL(9,CY197:CY201,CY203:CY207,CY209:CY213,CY215:CY219,CY221:CY225)&gt;0,SUBTOTAL(9,CY197:CY201,CY203:CY207,CY209:CY213,CY215:CY219,CY221:CY225),"")</f>
        <v>3</v>
      </c>
      <c r="CZ195" s="33" t="str">
        <f t="shared" si="4954"/>
        <v/>
      </c>
      <c r="DA195" s="33" t="str">
        <f t="shared" si="4954"/>
        <v/>
      </c>
      <c r="DB195" s="32">
        <f t="shared" si="4954"/>
        <v>1</v>
      </c>
      <c r="DC195" s="32">
        <f t="shared" si="4954"/>
        <v>1</v>
      </c>
      <c r="DD195" s="32">
        <f>IF(SUBTOTAL(9,DD197:DD201,DD203:DD207,DD209:DD213,DD215:DD219,DD221:DD225)&gt;0,SUBTOTAL(9,DD197:DD201,DD203:DD207,DD209:DD213,DD215:DD219,DD221:DD225),"")</f>
        <v>1</v>
      </c>
      <c r="DE195" s="32">
        <f>IF(SUBTOTAL(9,DE197:DE201,DE203:DE207,DE209:DE213,DE215:DE219,DE221:DE225)&gt;0,SUBTOTAL(9,DE197:DE201,DE203:DE207,DE209:DE213,DE215:DE219,DE221:DE225),"")</f>
        <v>2</v>
      </c>
      <c r="DF195" s="32">
        <f>IF(SUBTOTAL(9,DF197:DF201,DF203:DF207,DF209:DF213,DF215:DF219,DF221:DF225)&gt;0,SUBTOTAL(9,DF197:DF201,DF203:DF207,DF209:DF213,DF215:DF219,DF221:DF225),"")</f>
        <v>2</v>
      </c>
      <c r="DG195" s="32">
        <f>IF(SUBTOTAL(9,DG197:DG201,DG203:DG207,DG209:DG213,DG215:DG219,DG221:DG225)&gt;0,SUBTOTAL(9,DG197:DG201,DG203:DG207,DG209:DG213,DG215:DG219,DG221:DG225),"")</f>
        <v>1</v>
      </c>
      <c r="DH195" s="32">
        <f>IF(SUBTOTAL(9,DH197:DH201,DH203:DH207,DH209:DH213,DH215:DH219,DH221:DH225)&gt;0,SUBTOTAL(9,DH197:DH201,DH203:DH207,DH209:DH213,DH215:DH219,DH221:DH225),"")</f>
        <v>1.5</v>
      </c>
      <c r="DI195" s="32" t="str">
        <f t="shared" si="4954"/>
        <v/>
      </c>
      <c r="DJ195" s="32" t="str">
        <f t="shared" si="4954"/>
        <v/>
      </c>
      <c r="DK195" s="32" t="str">
        <f t="shared" si="4954"/>
        <v/>
      </c>
      <c r="DL195" s="32" t="str">
        <f t="shared" si="4954"/>
        <v/>
      </c>
      <c r="DM195" s="32" t="str">
        <f t="shared" si="4954"/>
        <v/>
      </c>
      <c r="DN195" s="32" t="str">
        <f t="shared" si="4954"/>
        <v/>
      </c>
      <c r="DO195" s="32" t="str">
        <f t="shared" si="4954"/>
        <v/>
      </c>
      <c r="DP195" s="32" t="str">
        <f t="shared" si="4954"/>
        <v/>
      </c>
      <c r="DQ195" s="32" t="str">
        <f t="shared" si="4954"/>
        <v/>
      </c>
      <c r="DR195" s="32" t="str">
        <f t="shared" si="4954"/>
        <v/>
      </c>
      <c r="DS195" s="32" t="str">
        <f t="shared" si="4954"/>
        <v/>
      </c>
      <c r="DT195" s="32" t="str">
        <f t="shared" si="4954"/>
        <v/>
      </c>
      <c r="DU195" s="32" t="str">
        <f t="shared" si="4954"/>
        <v/>
      </c>
      <c r="DV195" s="32" t="str">
        <f t="shared" si="4954"/>
        <v/>
      </c>
      <c r="DW195" s="32" t="str">
        <f t="shared" si="4954"/>
        <v/>
      </c>
      <c r="DX195" s="32" t="str">
        <f t="shared" si="4954"/>
        <v/>
      </c>
      <c r="DY195" s="32" t="str">
        <f t="shared" si="4954"/>
        <v/>
      </c>
      <c r="DZ195" s="33" t="str">
        <f t="shared" si="4954"/>
        <v/>
      </c>
      <c r="EA195" s="32" t="str">
        <f t="shared" si="4954"/>
        <v/>
      </c>
      <c r="EB195" s="32" t="str">
        <f t="shared" si="4954"/>
        <v/>
      </c>
      <c r="EC195" s="32" t="str">
        <f t="shared" si="4954"/>
        <v/>
      </c>
      <c r="ED195" s="32" t="str">
        <f t="shared" si="4954"/>
        <v/>
      </c>
      <c r="EE195" s="32" t="str">
        <f t="shared" si="4954"/>
        <v/>
      </c>
      <c r="EF195" s="32" t="str">
        <f t="shared" si="4954"/>
        <v/>
      </c>
      <c r="EG195" s="32" t="str">
        <f t="shared" si="4954"/>
        <v/>
      </c>
      <c r="EH195" s="32" t="str">
        <f t="shared" si="4954"/>
        <v/>
      </c>
      <c r="EI195" s="32" t="str">
        <f t="shared" si="4954"/>
        <v/>
      </c>
      <c r="EJ195" s="32" t="str">
        <f t="shared" si="4954"/>
        <v/>
      </c>
      <c r="EK195" s="32" t="str">
        <f t="shared" si="4954"/>
        <v/>
      </c>
      <c r="EL195" s="32" t="str">
        <f t="shared" si="4954"/>
        <v/>
      </c>
      <c r="EM195" s="32" t="str">
        <f t="shared" si="4954"/>
        <v/>
      </c>
      <c r="EN195" s="32" t="str">
        <f t="shared" si="4954"/>
        <v/>
      </c>
      <c r="EO195" s="32" t="str">
        <f t="shared" si="4954"/>
        <v/>
      </c>
      <c r="EP195" s="32" t="str">
        <f t="shared" si="4954"/>
        <v/>
      </c>
      <c r="EQ195" s="32" t="str">
        <f t="shared" si="4954"/>
        <v/>
      </c>
      <c r="ER195" s="32" t="str">
        <f t="shared" si="4954"/>
        <v/>
      </c>
      <c r="ES195" s="32" t="str">
        <f t="shared" si="4954"/>
        <v/>
      </c>
      <c r="ET195" s="32" t="str">
        <f t="shared" si="4954"/>
        <v/>
      </c>
      <c r="EU195" s="32" t="str">
        <f t="shared" si="4954"/>
        <v/>
      </c>
      <c r="EV195" s="32" t="str">
        <f t="shared" si="4954"/>
        <v/>
      </c>
      <c r="EW195" s="32" t="str">
        <f t="shared" si="4954"/>
        <v/>
      </c>
      <c r="EX195" s="32" t="str">
        <f t="shared" si="4954"/>
        <v/>
      </c>
      <c r="EY195" s="33" t="str">
        <f t="shared" si="4954"/>
        <v/>
      </c>
      <c r="EZ195" s="32" t="str">
        <f t="shared" si="4954"/>
        <v/>
      </c>
      <c r="FA195" s="32" t="str">
        <f t="shared" si="4954"/>
        <v/>
      </c>
      <c r="FB195" s="32" t="str">
        <f t="shared" si="4954"/>
        <v/>
      </c>
      <c r="FC195" s="32" t="str">
        <f t="shared" si="4954"/>
        <v/>
      </c>
      <c r="FD195" s="32" t="str">
        <f t="shared" si="4954"/>
        <v/>
      </c>
      <c r="FE195" s="32" t="str">
        <f t="shared" si="4954"/>
        <v/>
      </c>
      <c r="FF195" s="32" t="str">
        <f t="shared" si="4954"/>
        <v/>
      </c>
      <c r="FG195" s="32" t="str">
        <f t="shared" si="4954"/>
        <v/>
      </c>
      <c r="FH195" s="32" t="str">
        <f t="shared" si="4954"/>
        <v/>
      </c>
      <c r="FI195" s="32" t="str">
        <f t="shared" si="4954"/>
        <v/>
      </c>
      <c r="FJ195" s="32" t="str">
        <f t="shared" si="4954"/>
        <v/>
      </c>
      <c r="FK195" s="32" t="str">
        <f t="shared" ref="FK195:FQ195" si="4955">IF(SUBTOTAL(9,FK197:FK201,FK203:FK207,FK209:FK213,FK215:FK219,FK221:FK225)&gt;0,SUBTOTAL(9,FK197:FK201,FK203:FK207,FK209:FK213,FK215:FK219,FK221:FK225),"")</f>
        <v/>
      </c>
      <c r="FL195" s="32" t="str">
        <f t="shared" si="4955"/>
        <v/>
      </c>
      <c r="FM195" s="32" t="str">
        <f t="shared" si="4955"/>
        <v/>
      </c>
      <c r="FN195" s="32" t="str">
        <f t="shared" si="4955"/>
        <v/>
      </c>
      <c r="FO195" s="32" t="str">
        <f t="shared" si="4955"/>
        <v/>
      </c>
      <c r="FP195" s="32" t="str">
        <f t="shared" si="4955"/>
        <v/>
      </c>
      <c r="FQ195" s="90" t="str">
        <f t="shared" si="4955"/>
        <v/>
      </c>
      <c r="FR195" s="8"/>
      <c r="FS195" s="9" t="s">
        <v>131</v>
      </c>
      <c r="FT195" s="9" t="str">
        <f t="shared" si="3664"/>
        <v/>
      </c>
    </row>
    <row r="196" spans="1:176" s="9" customFormat="1" ht="12" customHeight="1">
      <c r="A196" s="119" t="s">
        <v>89</v>
      </c>
      <c r="B196" s="127"/>
      <c r="C196" s="121" t="str">
        <f t="shared" si="3515"/>
        <v>39 days</v>
      </c>
      <c r="D196" s="27"/>
      <c r="E196" s="91" t="str">
        <f t="shared" ref="E196" si="4956">IF(SUBTOTAL(9,E197:E201)&gt;0,SUBTOTAL(9,E197:E201),"")</f>
        <v/>
      </c>
      <c r="F196" s="34" t="str">
        <f t="shared" ref="F196" si="4957">IF(SUBTOTAL(9,F197:F201)&gt;0,SUBTOTAL(9,F197:F201),"")</f>
        <v/>
      </c>
      <c r="G196" s="34" t="str">
        <f t="shared" ref="G196" si="4958">IF(SUBTOTAL(9,G197:G201)&gt;0,SUBTOTAL(9,G197:G201),"")</f>
        <v/>
      </c>
      <c r="H196" s="34" t="str">
        <f t="shared" ref="H196" si="4959">IF(SUBTOTAL(9,H197:H201)&gt;0,SUBTOTAL(9,H197:H201),"")</f>
        <v/>
      </c>
      <c r="I196" s="34" t="str">
        <f t="shared" ref="I196" si="4960">IF(SUBTOTAL(9,I197:I201)&gt;0,SUBTOTAL(9,I197:I201),"")</f>
        <v/>
      </c>
      <c r="J196" s="34" t="str">
        <f t="shared" ref="J196" si="4961">IF(SUBTOTAL(9,J197:J201)&gt;0,SUBTOTAL(9,J197:J201),"")</f>
        <v/>
      </c>
      <c r="K196" s="34" t="str">
        <f t="shared" ref="K196" si="4962">IF(SUBTOTAL(9,K197:K201)&gt;0,SUBTOTAL(9,K197:K201),"")</f>
        <v/>
      </c>
      <c r="L196" s="34" t="str">
        <f t="shared" ref="L196" si="4963">IF(SUBTOTAL(9,L197:L201)&gt;0,SUBTOTAL(9,L197:L201),"")</f>
        <v/>
      </c>
      <c r="M196" s="34" t="str">
        <f t="shared" ref="M196" si="4964">IF(SUBTOTAL(9,M197:M201)&gt;0,SUBTOTAL(9,M197:M201),"")</f>
        <v/>
      </c>
      <c r="N196" s="34" t="str">
        <f t="shared" ref="N196" si="4965">IF(SUBTOTAL(9,N197:N201)&gt;0,SUBTOTAL(9,N197:N201),"")</f>
        <v/>
      </c>
      <c r="O196" s="34" t="str">
        <f t="shared" ref="O196" si="4966">IF(SUBTOTAL(9,O197:O201)&gt;0,SUBTOTAL(9,O197:O201),"")</f>
        <v/>
      </c>
      <c r="P196" s="34" t="str">
        <f t="shared" ref="P196" si="4967">IF(SUBTOTAL(9,P197:P201)&gt;0,SUBTOTAL(9,P197:P201),"")</f>
        <v/>
      </c>
      <c r="Q196" s="34" t="str">
        <f t="shared" ref="Q196" si="4968">IF(SUBTOTAL(9,Q197:Q201)&gt;0,SUBTOTAL(9,Q197:Q201),"")</f>
        <v/>
      </c>
      <c r="R196" s="34" t="str">
        <f t="shared" ref="R196" si="4969">IF(SUBTOTAL(9,R197:R201)&gt;0,SUBTOTAL(9,R197:R201),"")</f>
        <v/>
      </c>
      <c r="S196" s="34" t="str">
        <f t="shared" ref="S196" si="4970">IF(SUBTOTAL(9,S197:S201)&gt;0,SUBTOTAL(9,S197:S201),"")</f>
        <v/>
      </c>
      <c r="T196" s="34" t="str">
        <f t="shared" ref="T196" si="4971">IF(SUBTOTAL(9,T197:T201)&gt;0,SUBTOTAL(9,T197:T201),"")</f>
        <v/>
      </c>
      <c r="U196" s="34" t="str">
        <f t="shared" ref="U196" si="4972">IF(SUBTOTAL(9,U197:U201)&gt;0,SUBTOTAL(9,U197:U201),"")</f>
        <v/>
      </c>
      <c r="V196" s="34" t="str">
        <f t="shared" ref="V196" si="4973">IF(SUBTOTAL(9,V197:V201)&gt;0,SUBTOTAL(9,V197:V201),"")</f>
        <v/>
      </c>
      <c r="W196" s="34" t="str">
        <f t="shared" ref="W196" si="4974">IF(SUBTOTAL(9,W197:W201)&gt;0,SUBTOTAL(9,W197:W201),"")</f>
        <v/>
      </c>
      <c r="X196" s="34" t="str">
        <f t="shared" ref="X196" si="4975">IF(SUBTOTAL(9,X197:X201)&gt;0,SUBTOTAL(9,X197:X201),"")</f>
        <v/>
      </c>
      <c r="Y196" s="34" t="str">
        <f t="shared" ref="Y196" si="4976">IF(SUBTOTAL(9,Y197:Y201)&gt;0,SUBTOTAL(9,Y197:Y201),"")</f>
        <v/>
      </c>
      <c r="Z196" s="34" t="str">
        <f t="shared" ref="Z196" si="4977">IF(SUBTOTAL(9,Z197:Z201)&gt;0,SUBTOTAL(9,Z197:Z201),"")</f>
        <v/>
      </c>
      <c r="AA196" s="34" t="str">
        <f t="shared" ref="AA196" si="4978">IF(SUBTOTAL(9,AA197:AA201)&gt;0,SUBTOTAL(9,AA197:AA201),"")</f>
        <v/>
      </c>
      <c r="AB196" s="34" t="str">
        <f t="shared" ref="AB196" si="4979">IF(SUBTOTAL(9,AB197:AB201)&gt;0,SUBTOTAL(9,AB197:AB201),"")</f>
        <v/>
      </c>
      <c r="AC196" s="34" t="str">
        <f t="shared" ref="AC196" si="4980">IF(SUBTOTAL(9,AC197:AC201)&gt;0,SUBTOTAL(9,AC197:AC201),"")</f>
        <v/>
      </c>
      <c r="AD196" s="34" t="str">
        <f t="shared" ref="AD196" si="4981">IF(SUBTOTAL(9,AD197:AD201)&gt;0,SUBTOTAL(9,AD197:AD201),"")</f>
        <v/>
      </c>
      <c r="AE196" s="34" t="str">
        <f t="shared" ref="AE196" si="4982">IF(SUBTOTAL(9,AE197:AE201)&gt;0,SUBTOTAL(9,AE197:AE201),"")</f>
        <v/>
      </c>
      <c r="AF196" s="34" t="str">
        <f t="shared" ref="AF196" si="4983">IF(SUBTOTAL(9,AF197:AF201)&gt;0,SUBTOTAL(9,AF197:AF201),"")</f>
        <v/>
      </c>
      <c r="AG196" s="34" t="str">
        <f t="shared" ref="AG196" si="4984">IF(SUBTOTAL(9,AG197:AG201)&gt;0,SUBTOTAL(9,AG197:AG201),"")</f>
        <v/>
      </c>
      <c r="AH196" s="34" t="str">
        <f t="shared" ref="AH196" si="4985">IF(SUBTOTAL(9,AH197:AH201)&gt;0,SUBTOTAL(9,AH197:AH201),"")</f>
        <v/>
      </c>
      <c r="AI196" s="34" t="str">
        <f t="shared" ref="AI196" si="4986">IF(SUBTOTAL(9,AI197:AI201)&gt;0,SUBTOTAL(9,AI197:AI201),"")</f>
        <v/>
      </c>
      <c r="AJ196" s="34" t="str">
        <f t="shared" ref="AJ196" si="4987">IF(SUBTOTAL(9,AJ197:AJ201)&gt;0,SUBTOTAL(9,AJ197:AJ201),"")</f>
        <v/>
      </c>
      <c r="AK196" s="34" t="str">
        <f t="shared" ref="AK196" si="4988">IF(SUBTOTAL(9,AK197:AK201)&gt;0,SUBTOTAL(9,AK197:AK201),"")</f>
        <v/>
      </c>
      <c r="AL196" s="33" t="str">
        <f t="shared" ref="AL196" si="4989">IF(SUBTOTAL(9,AL197:AL201)&gt;0,SUBTOTAL(9,AL197:AL201),"")</f>
        <v/>
      </c>
      <c r="AM196" s="33" t="str">
        <f t="shared" ref="AM196" si="4990">IF(SUBTOTAL(9,AM197:AM201)&gt;0,SUBTOTAL(9,AM197:AM201),"")</f>
        <v/>
      </c>
      <c r="AN196" s="33" t="str">
        <f t="shared" ref="AN196" si="4991">IF(SUBTOTAL(9,AN197:AN201)&gt;0,SUBTOTAL(9,AN197:AN201),"")</f>
        <v/>
      </c>
      <c r="AO196" s="33" t="str">
        <f t="shared" ref="AO196" si="4992">IF(SUBTOTAL(9,AO197:AO201)&gt;0,SUBTOTAL(9,AO197:AO201),"")</f>
        <v/>
      </c>
      <c r="AP196" s="33" t="str">
        <f t="shared" ref="AP196" si="4993">IF(SUBTOTAL(9,AP197:AP201)&gt;0,SUBTOTAL(9,AP197:AP201),"")</f>
        <v/>
      </c>
      <c r="AQ196" s="33" t="str">
        <f t="shared" ref="AQ196" si="4994">IF(SUBTOTAL(9,AQ197:AQ201)&gt;0,SUBTOTAL(9,AQ197:AQ201),"")</f>
        <v/>
      </c>
      <c r="AR196" s="33" t="str">
        <f t="shared" ref="AR196" si="4995">IF(SUBTOTAL(9,AR197:AR201)&gt;0,SUBTOTAL(9,AR197:AR201),"")</f>
        <v/>
      </c>
      <c r="AS196" s="34" t="str">
        <f t="shared" ref="AS196" si="4996">IF(SUBTOTAL(9,AS197:AS201)&gt;0,SUBTOTAL(9,AS197:AS201),"")</f>
        <v/>
      </c>
      <c r="AT196" s="34" t="str">
        <f t="shared" ref="AT196" si="4997">IF(SUBTOTAL(9,AT197:AT201)&gt;0,SUBTOTAL(9,AT197:AT201),"")</f>
        <v/>
      </c>
      <c r="AU196" s="34" t="str">
        <f t="shared" ref="AU196" si="4998">IF(SUBTOTAL(9,AU197:AU201)&gt;0,SUBTOTAL(9,AU197:AU201),"")</f>
        <v/>
      </c>
      <c r="AV196" s="34" t="str">
        <f t="shared" ref="AV196" si="4999">IF(SUBTOTAL(9,AV197:AV201)&gt;0,SUBTOTAL(9,AV197:AV201),"")</f>
        <v/>
      </c>
      <c r="AW196" s="34" t="str">
        <f t="shared" ref="AW196" si="5000">IF(SUBTOTAL(9,AW197:AW201)&gt;0,SUBTOTAL(9,AW197:AW201),"")</f>
        <v/>
      </c>
      <c r="AX196" s="34" t="str">
        <f t="shared" ref="AX196" si="5001">IF(SUBTOTAL(9,AX197:AX201)&gt;0,SUBTOTAL(9,AX197:AX201),"")</f>
        <v/>
      </c>
      <c r="AY196" s="34" t="str">
        <f t="shared" ref="AY196" si="5002">IF(SUBTOTAL(9,AY197:AY201)&gt;0,SUBTOTAL(9,AY197:AY201),"")</f>
        <v/>
      </c>
      <c r="AZ196" s="34" t="str">
        <f t="shared" ref="AZ196" si="5003">IF(SUBTOTAL(9,AZ197:AZ201)&gt;0,SUBTOTAL(9,AZ197:AZ201),"")</f>
        <v/>
      </c>
      <c r="BA196" s="34" t="str">
        <f t="shared" ref="BA196" si="5004">IF(SUBTOTAL(9,BA197:BA201)&gt;0,SUBTOTAL(9,BA197:BA201),"")</f>
        <v/>
      </c>
      <c r="BB196" s="34" t="str">
        <f t="shared" ref="BB196" si="5005">IF(SUBTOTAL(9,BB197:BB201)&gt;0,SUBTOTAL(9,BB197:BB201),"")</f>
        <v/>
      </c>
      <c r="BC196" s="34" t="str">
        <f t="shared" ref="BC196" si="5006">IF(SUBTOTAL(9,BC197:BC201)&gt;0,SUBTOTAL(9,BC197:BC201),"")</f>
        <v/>
      </c>
      <c r="BD196" s="34" t="str">
        <f t="shared" ref="BD196" si="5007">IF(SUBTOTAL(9,BD197:BD201)&gt;0,SUBTOTAL(9,BD197:BD201),"")</f>
        <v/>
      </c>
      <c r="BE196" s="34" t="str">
        <f t="shared" ref="BE196" si="5008">IF(SUBTOTAL(9,BE197:BE201)&gt;0,SUBTOTAL(9,BE197:BE201),"")</f>
        <v/>
      </c>
      <c r="BF196" s="34" t="str">
        <f t="shared" ref="BF196" si="5009">IF(SUBTOTAL(9,BF197:BF201)&gt;0,SUBTOTAL(9,BF197:BF201),"")</f>
        <v/>
      </c>
      <c r="BG196" s="34" t="str">
        <f t="shared" ref="BG196" si="5010">IF(SUBTOTAL(9,BG197:BG201)&gt;0,SUBTOTAL(9,BG197:BG201),"")</f>
        <v/>
      </c>
      <c r="BH196" s="34" t="str">
        <f t="shared" ref="BH196" si="5011">IF(SUBTOTAL(9,BH197:BH201)&gt;0,SUBTOTAL(9,BH197:BH201),"")</f>
        <v/>
      </c>
      <c r="BI196" s="34" t="str">
        <f t="shared" ref="BI196" si="5012">IF(SUBTOTAL(9,BI197:BI201)&gt;0,SUBTOTAL(9,BI197:BI201),"")</f>
        <v/>
      </c>
      <c r="BJ196" s="34" t="str">
        <f t="shared" ref="BJ196" si="5013">IF(SUBTOTAL(9,BJ197:BJ201)&gt;0,SUBTOTAL(9,BJ197:BJ201),"")</f>
        <v/>
      </c>
      <c r="BK196" s="34" t="str">
        <f t="shared" ref="BK196" si="5014">IF(SUBTOTAL(9,BK197:BK201)&gt;0,SUBTOTAL(9,BK197:BK201),"")</f>
        <v/>
      </c>
      <c r="BL196" s="34" t="str">
        <f t="shared" ref="BL196" si="5015">IF(SUBTOTAL(9,BL197:BL201)&gt;0,SUBTOTAL(9,BL197:BL201),"")</f>
        <v/>
      </c>
      <c r="BM196" s="34" t="str">
        <f t="shared" ref="BM196" si="5016">IF(SUBTOTAL(9,BM197:BM201)&gt;0,SUBTOTAL(9,BM197:BM201),"")</f>
        <v/>
      </c>
      <c r="BN196" s="34" t="str">
        <f t="shared" ref="BN196" si="5017">IF(SUBTOTAL(9,BN197:BN201)&gt;0,SUBTOTAL(9,BN197:BN201),"")</f>
        <v/>
      </c>
      <c r="BO196" s="34" t="str">
        <f t="shared" ref="BO196" si="5018">IF(SUBTOTAL(9,BO197:BO201)&gt;0,SUBTOTAL(9,BO197:BO201),"")</f>
        <v/>
      </c>
      <c r="BP196" s="34" t="str">
        <f t="shared" ref="BP196" si="5019">IF(SUBTOTAL(9,BP197:BP201)&gt;0,SUBTOTAL(9,BP197:BP201),"")</f>
        <v/>
      </c>
      <c r="BQ196" s="34" t="str">
        <f t="shared" ref="BQ196" si="5020">IF(SUBTOTAL(9,BQ197:BQ201)&gt;0,SUBTOTAL(9,BQ197:BQ201),"")</f>
        <v/>
      </c>
      <c r="BR196" s="34" t="str">
        <f t="shared" ref="BR196" si="5021">IF(SUBTOTAL(9,BR197:BR201)&gt;0,SUBTOTAL(9,BR197:BR201),"")</f>
        <v/>
      </c>
      <c r="BS196" s="34" t="str">
        <f t="shared" ref="BS196" si="5022">IF(SUBTOTAL(9,BS197:BS201)&gt;0,SUBTOTAL(9,BS197:BS201),"")</f>
        <v/>
      </c>
      <c r="BT196" s="34" t="str">
        <f t="shared" ref="BT196" si="5023">IF(SUBTOTAL(9,BT197:BT201)&gt;0,SUBTOTAL(9,BT197:BT201),"")</f>
        <v/>
      </c>
      <c r="BU196" s="34" t="str">
        <f t="shared" ref="BU196" si="5024">IF(SUBTOTAL(9,BU197:BU201)&gt;0,SUBTOTAL(9,BU197:BU201),"")</f>
        <v/>
      </c>
      <c r="BV196" s="34" t="str">
        <f t="shared" ref="BV196" si="5025">IF(SUBTOTAL(9,BV197:BV201)&gt;0,SUBTOTAL(9,BV197:BV201),"")</f>
        <v/>
      </c>
      <c r="BW196" s="34">
        <f>IF(SUBTOTAL(9,BW197:BW201)&gt;0,SUBTOTAL(9,BW197:BW201),"")</f>
        <v>1</v>
      </c>
      <c r="BX196" s="34">
        <f>IF(SUBTOTAL(9,BX197:BX201)&gt;0,SUBTOTAL(9,BX197:BX201),"")</f>
        <v>1</v>
      </c>
      <c r="BY196" s="34">
        <f>IF(SUBTOTAL(9,BY197:BY201)&gt;0,SUBTOTAL(9,BY197:BY201),"")</f>
        <v>1</v>
      </c>
      <c r="BZ196" s="34">
        <f>IF(SUBTOTAL(9,BZ197:BZ201)&gt;0,SUBTOTAL(9,BZ197:BZ201),"")</f>
        <v>1</v>
      </c>
      <c r="CA196" s="34">
        <f>IF(SUBTOTAL(9,CA197:CA201)&gt;0,SUBTOTAL(9,CA197:CA201),"")</f>
        <v>1</v>
      </c>
      <c r="CB196" s="34">
        <f t="shared" ref="CB196" si="5026">IF(SUBTOTAL(9,CB197:CB201)&gt;0,SUBTOTAL(9,CB197:CB201),"")</f>
        <v>1.5</v>
      </c>
      <c r="CC196" s="34">
        <f t="shared" ref="CC196" si="5027">IF(SUBTOTAL(9,CC197:CC201)&gt;0,SUBTOTAL(9,CC197:CC201),"")</f>
        <v>2</v>
      </c>
      <c r="CD196" s="34">
        <f t="shared" ref="CD196" si="5028">IF(SUBTOTAL(9,CD197:CD201)&gt;0,SUBTOTAL(9,CD197:CD201),"")</f>
        <v>2</v>
      </c>
      <c r="CE196" s="34">
        <f t="shared" ref="CE196" si="5029">IF(SUBTOTAL(9,CE197:CE201)&gt;0,SUBTOTAL(9,CE197:CE201),"")</f>
        <v>1.5</v>
      </c>
      <c r="CF196" s="34">
        <f t="shared" ref="CF196:CG196" si="5030">IF(SUBTOTAL(9,CF197:CF201)&gt;0,SUBTOTAL(9,CF197:CF201),"")</f>
        <v>2</v>
      </c>
      <c r="CG196" s="34">
        <f t="shared" si="5030"/>
        <v>1</v>
      </c>
      <c r="CH196" s="34">
        <f t="shared" ref="CH196" si="5031">IF(SUBTOTAL(9,CH197:CH201)&gt;0,SUBTOTAL(9,CH197:CH201),"")</f>
        <v>0.5</v>
      </c>
      <c r="CI196" s="34">
        <f t="shared" ref="CI196" si="5032">IF(SUBTOTAL(9,CI197:CI201)&gt;0,SUBTOTAL(9,CI197:CI201),"")</f>
        <v>1</v>
      </c>
      <c r="CJ196" s="34">
        <f t="shared" ref="CJ196" si="5033">IF(SUBTOTAL(9,CJ197:CJ201)&gt;0,SUBTOTAL(9,CJ197:CJ201),"")</f>
        <v>1</v>
      </c>
      <c r="CK196" s="34">
        <f t="shared" ref="CK196" si="5034">IF(SUBTOTAL(9,CK197:CK201)&gt;0,SUBTOTAL(9,CK197:CK201),"")</f>
        <v>0.5</v>
      </c>
      <c r="CL196" s="34">
        <f>IF(SUBTOTAL(9,CL197:CL201)&gt;0,SUBTOTAL(9,CL197:CL201),"")</f>
        <v>2</v>
      </c>
      <c r="CM196" s="34">
        <f>IF(SUBTOTAL(9,CM197:CM201)&gt;0,SUBTOTAL(9,CM197:CM201),"")</f>
        <v>2</v>
      </c>
      <c r="CN196" s="34">
        <f>IF(SUBTOTAL(9,CN197:CN201)&gt;0,SUBTOTAL(9,CN197:CN201),"")</f>
        <v>1.5</v>
      </c>
      <c r="CO196" s="34">
        <f>IF(SUBTOTAL(9,CO197:CO201)&gt;0,SUBTOTAL(9,CO197:CO201),"")</f>
        <v>1</v>
      </c>
      <c r="CP196" s="34">
        <f>IF(SUBTOTAL(9,CP197:CP201)&gt;0,SUBTOTAL(9,CP197:CP201),"")</f>
        <v>1</v>
      </c>
      <c r="CQ196" s="34">
        <f t="shared" ref="CQ196" si="5035">IF(SUBTOTAL(9,CQ197:CQ201)&gt;0,SUBTOTAL(9,CQ197:CQ201),"")</f>
        <v>1</v>
      </c>
      <c r="CR196" s="34">
        <f t="shared" ref="CR196" si="5036">IF(SUBTOTAL(9,CR197:CR201)&gt;0,SUBTOTAL(9,CR197:CR201),"")</f>
        <v>1</v>
      </c>
      <c r="CS196" s="34">
        <f t="shared" ref="CS196" si="5037">IF(SUBTOTAL(9,CS197:CS201)&gt;0,SUBTOTAL(9,CS197:CS201),"")</f>
        <v>1</v>
      </c>
      <c r="CT196" s="33" t="str">
        <f t="shared" ref="CT196" si="5038">IF(SUBTOTAL(9,CT197:CT201)&gt;0,SUBTOTAL(9,CT197:CT201),"")</f>
        <v/>
      </c>
      <c r="CU196" s="34">
        <f t="shared" ref="CU196" si="5039">IF(SUBTOTAL(9,CU197:CU201)&gt;0,SUBTOTAL(9,CU197:CU201),"")</f>
        <v>1.5</v>
      </c>
      <c r="CV196" s="34">
        <f t="shared" ref="CV196" si="5040">IF(SUBTOTAL(9,CV197:CV201)&gt;0,SUBTOTAL(9,CV197:CV201),"")</f>
        <v>1.5</v>
      </c>
      <c r="CW196" s="34">
        <f t="shared" ref="CW196" si="5041">IF(SUBTOTAL(9,CW197:CW201)&gt;0,SUBTOTAL(9,CW197:CW201),"")</f>
        <v>1.5</v>
      </c>
      <c r="CX196" s="34">
        <f t="shared" ref="CX196" si="5042">IF(SUBTOTAL(9,CX197:CX201)&gt;0,SUBTOTAL(9,CX197:CX201),"")</f>
        <v>1.5</v>
      </c>
      <c r="CY196" s="34">
        <f t="shared" ref="CY196" si="5043">IF(SUBTOTAL(9,CY197:CY201)&gt;0,SUBTOTAL(9,CY197:CY201),"")</f>
        <v>1.5</v>
      </c>
      <c r="CZ196" s="33" t="str">
        <f t="shared" ref="CZ196" si="5044">IF(SUBTOTAL(9,CZ197:CZ201)&gt;0,SUBTOTAL(9,CZ197:CZ201),"")</f>
        <v/>
      </c>
      <c r="DA196" s="33" t="str">
        <f t="shared" ref="DA196" si="5045">IF(SUBTOTAL(9,DA197:DA201)&gt;0,SUBTOTAL(9,DA197:DA201),"")</f>
        <v/>
      </c>
      <c r="DB196" s="34">
        <f t="shared" ref="DB196" si="5046">IF(SUBTOTAL(9,DB197:DB201)&gt;0,SUBTOTAL(9,DB197:DB201),"")</f>
        <v>0.5</v>
      </c>
      <c r="DC196" s="34">
        <f t="shared" ref="DC196" si="5047">IF(SUBTOTAL(9,DC197:DC201)&gt;0,SUBTOTAL(9,DC197:DC201),"")</f>
        <v>0.5</v>
      </c>
      <c r="DD196" s="34">
        <f t="shared" ref="DD196" si="5048">IF(SUBTOTAL(9,DD197:DD201)&gt;0,SUBTOTAL(9,DD197:DD201),"")</f>
        <v>0.5</v>
      </c>
      <c r="DE196" s="34">
        <f t="shared" ref="DE196" si="5049">IF(SUBTOTAL(9,DE197:DE201)&gt;0,SUBTOTAL(9,DE197:DE201),"")</f>
        <v>0.5</v>
      </c>
      <c r="DF196" s="34">
        <f t="shared" ref="DF196" si="5050">IF(SUBTOTAL(9,DF197:DF201)&gt;0,SUBTOTAL(9,DF197:DF201),"")</f>
        <v>0.5</v>
      </c>
      <c r="DG196" s="34" t="str">
        <f t="shared" ref="DG196" si="5051">IF(SUBTOTAL(9,DG197:DG201)&gt;0,SUBTOTAL(9,DG197:DG201),"")</f>
        <v/>
      </c>
      <c r="DH196" s="34" t="str">
        <f t="shared" ref="DH196" si="5052">IF(SUBTOTAL(9,DH197:DH201)&gt;0,SUBTOTAL(9,DH197:DH201),"")</f>
        <v/>
      </c>
      <c r="DI196" s="34" t="str">
        <f t="shared" ref="DI196" si="5053">IF(SUBTOTAL(9,DI197:DI201)&gt;0,SUBTOTAL(9,DI197:DI201),"")</f>
        <v/>
      </c>
      <c r="DJ196" s="34" t="str">
        <f t="shared" ref="DJ196" si="5054">IF(SUBTOTAL(9,DJ197:DJ201)&gt;0,SUBTOTAL(9,DJ197:DJ201),"")</f>
        <v/>
      </c>
      <c r="DK196" s="34" t="str">
        <f t="shared" ref="DK196" si="5055">IF(SUBTOTAL(9,DK197:DK201)&gt;0,SUBTOTAL(9,DK197:DK201),"")</f>
        <v/>
      </c>
      <c r="DL196" s="34" t="str">
        <f t="shared" ref="DL196" si="5056">IF(SUBTOTAL(9,DL197:DL201)&gt;0,SUBTOTAL(9,DL197:DL201),"")</f>
        <v/>
      </c>
      <c r="DM196" s="34" t="str">
        <f t="shared" ref="DM196" si="5057">IF(SUBTOTAL(9,DM197:DM201)&gt;0,SUBTOTAL(9,DM197:DM201),"")</f>
        <v/>
      </c>
      <c r="DN196" s="34" t="str">
        <f t="shared" ref="DN196" si="5058">IF(SUBTOTAL(9,DN197:DN201)&gt;0,SUBTOTAL(9,DN197:DN201),"")</f>
        <v/>
      </c>
      <c r="DO196" s="34" t="str">
        <f t="shared" ref="DO196" si="5059">IF(SUBTOTAL(9,DO197:DO201)&gt;0,SUBTOTAL(9,DO197:DO201),"")</f>
        <v/>
      </c>
      <c r="DP196" s="34" t="str">
        <f t="shared" ref="DP196" si="5060">IF(SUBTOTAL(9,DP197:DP201)&gt;0,SUBTOTAL(9,DP197:DP201),"")</f>
        <v/>
      </c>
      <c r="DQ196" s="34" t="str">
        <f t="shared" ref="DQ196" si="5061">IF(SUBTOTAL(9,DQ197:DQ201)&gt;0,SUBTOTAL(9,DQ197:DQ201),"")</f>
        <v/>
      </c>
      <c r="DR196" s="34" t="str">
        <f t="shared" ref="DR196" si="5062">IF(SUBTOTAL(9,DR197:DR201)&gt;0,SUBTOTAL(9,DR197:DR201),"")</f>
        <v/>
      </c>
      <c r="DS196" s="34" t="str">
        <f t="shared" ref="DS196" si="5063">IF(SUBTOTAL(9,DS197:DS201)&gt;0,SUBTOTAL(9,DS197:DS201),"")</f>
        <v/>
      </c>
      <c r="DT196" s="34" t="str">
        <f t="shared" ref="DT196" si="5064">IF(SUBTOTAL(9,DT197:DT201)&gt;0,SUBTOTAL(9,DT197:DT201),"")</f>
        <v/>
      </c>
      <c r="DU196" s="34" t="str">
        <f t="shared" ref="DU196" si="5065">IF(SUBTOTAL(9,DU197:DU201)&gt;0,SUBTOTAL(9,DU197:DU201),"")</f>
        <v/>
      </c>
      <c r="DV196" s="34" t="str">
        <f t="shared" ref="DV196" si="5066">IF(SUBTOTAL(9,DV197:DV201)&gt;0,SUBTOTAL(9,DV197:DV201),"")</f>
        <v/>
      </c>
      <c r="DW196" s="34" t="str">
        <f t="shared" ref="DW196" si="5067">IF(SUBTOTAL(9,DW197:DW201)&gt;0,SUBTOTAL(9,DW197:DW201),"")</f>
        <v/>
      </c>
      <c r="DX196" s="34" t="str">
        <f t="shared" ref="DX196" si="5068">IF(SUBTOTAL(9,DX197:DX201)&gt;0,SUBTOTAL(9,DX197:DX201),"")</f>
        <v/>
      </c>
      <c r="DY196" s="34" t="str">
        <f t="shared" ref="DY196" si="5069">IF(SUBTOTAL(9,DY197:DY201)&gt;0,SUBTOTAL(9,DY197:DY201),"")</f>
        <v/>
      </c>
      <c r="DZ196" s="33" t="str">
        <f t="shared" ref="DZ196" si="5070">IF(SUBTOTAL(9,DZ197:DZ201)&gt;0,SUBTOTAL(9,DZ197:DZ201),"")</f>
        <v/>
      </c>
      <c r="EA196" s="34" t="str">
        <f t="shared" ref="EA196" si="5071">IF(SUBTOTAL(9,EA197:EA201)&gt;0,SUBTOTAL(9,EA197:EA201),"")</f>
        <v/>
      </c>
      <c r="EB196" s="34" t="str">
        <f t="shared" ref="EB196" si="5072">IF(SUBTOTAL(9,EB197:EB201)&gt;0,SUBTOTAL(9,EB197:EB201),"")</f>
        <v/>
      </c>
      <c r="EC196" s="34" t="str">
        <f t="shared" ref="EC196" si="5073">IF(SUBTOTAL(9,EC197:EC201)&gt;0,SUBTOTAL(9,EC197:EC201),"")</f>
        <v/>
      </c>
      <c r="ED196" s="34" t="str">
        <f t="shared" ref="ED196" si="5074">IF(SUBTOTAL(9,ED197:ED201)&gt;0,SUBTOTAL(9,ED197:ED201),"")</f>
        <v/>
      </c>
      <c r="EE196" s="34" t="str">
        <f t="shared" ref="EE196" si="5075">IF(SUBTOTAL(9,EE197:EE201)&gt;0,SUBTOTAL(9,EE197:EE201),"")</f>
        <v/>
      </c>
      <c r="EF196" s="34" t="str">
        <f t="shared" ref="EF196" si="5076">IF(SUBTOTAL(9,EF197:EF201)&gt;0,SUBTOTAL(9,EF197:EF201),"")</f>
        <v/>
      </c>
      <c r="EG196" s="34" t="str">
        <f t="shared" ref="EG196" si="5077">IF(SUBTOTAL(9,EG197:EG201)&gt;0,SUBTOTAL(9,EG197:EG201),"")</f>
        <v/>
      </c>
      <c r="EH196" s="34" t="str">
        <f t="shared" ref="EH196" si="5078">IF(SUBTOTAL(9,EH197:EH201)&gt;0,SUBTOTAL(9,EH197:EH201),"")</f>
        <v/>
      </c>
      <c r="EI196" s="34" t="str">
        <f t="shared" ref="EI196" si="5079">IF(SUBTOTAL(9,EI197:EI201)&gt;0,SUBTOTAL(9,EI197:EI201),"")</f>
        <v/>
      </c>
      <c r="EJ196" s="34" t="str">
        <f t="shared" ref="EJ196" si="5080">IF(SUBTOTAL(9,EJ197:EJ201)&gt;0,SUBTOTAL(9,EJ197:EJ201),"")</f>
        <v/>
      </c>
      <c r="EK196" s="34" t="str">
        <f t="shared" ref="EK196" si="5081">IF(SUBTOTAL(9,EK197:EK201)&gt;0,SUBTOTAL(9,EK197:EK201),"")</f>
        <v/>
      </c>
      <c r="EL196" s="34" t="str">
        <f t="shared" ref="EL196" si="5082">IF(SUBTOTAL(9,EL197:EL201)&gt;0,SUBTOTAL(9,EL197:EL201),"")</f>
        <v/>
      </c>
      <c r="EM196" s="34" t="str">
        <f t="shared" ref="EM196" si="5083">IF(SUBTOTAL(9,EM197:EM201)&gt;0,SUBTOTAL(9,EM197:EM201),"")</f>
        <v/>
      </c>
      <c r="EN196" s="34" t="str">
        <f t="shared" ref="EN196" si="5084">IF(SUBTOTAL(9,EN197:EN201)&gt;0,SUBTOTAL(9,EN197:EN201),"")</f>
        <v/>
      </c>
      <c r="EO196" s="34" t="str">
        <f t="shared" ref="EO196" si="5085">IF(SUBTOTAL(9,EO197:EO201)&gt;0,SUBTOTAL(9,EO197:EO201),"")</f>
        <v/>
      </c>
      <c r="EP196" s="34" t="str">
        <f t="shared" ref="EP196" si="5086">IF(SUBTOTAL(9,EP197:EP201)&gt;0,SUBTOTAL(9,EP197:EP201),"")</f>
        <v/>
      </c>
      <c r="EQ196" s="34" t="str">
        <f t="shared" ref="EQ196" si="5087">IF(SUBTOTAL(9,EQ197:EQ201)&gt;0,SUBTOTAL(9,EQ197:EQ201),"")</f>
        <v/>
      </c>
      <c r="ER196" s="34" t="str">
        <f t="shared" ref="ER196" si="5088">IF(SUBTOTAL(9,ER197:ER201)&gt;0,SUBTOTAL(9,ER197:ER201),"")</f>
        <v/>
      </c>
      <c r="ES196" s="34" t="str">
        <f t="shared" ref="ES196" si="5089">IF(SUBTOTAL(9,ES197:ES201)&gt;0,SUBTOTAL(9,ES197:ES201),"")</f>
        <v/>
      </c>
      <c r="ET196" s="34" t="str">
        <f t="shared" ref="ET196" si="5090">IF(SUBTOTAL(9,ET197:ET201)&gt;0,SUBTOTAL(9,ET197:ET201),"")</f>
        <v/>
      </c>
      <c r="EU196" s="34" t="str">
        <f t="shared" ref="EU196" si="5091">IF(SUBTOTAL(9,EU197:EU201)&gt;0,SUBTOTAL(9,EU197:EU201),"")</f>
        <v/>
      </c>
      <c r="EV196" s="34" t="str">
        <f t="shared" ref="EV196" si="5092">IF(SUBTOTAL(9,EV197:EV201)&gt;0,SUBTOTAL(9,EV197:EV201),"")</f>
        <v/>
      </c>
      <c r="EW196" s="34" t="str">
        <f t="shared" ref="EW196" si="5093">IF(SUBTOTAL(9,EW197:EW201)&gt;0,SUBTOTAL(9,EW197:EW201),"")</f>
        <v/>
      </c>
      <c r="EX196" s="34" t="str">
        <f t="shared" ref="EX196" si="5094">IF(SUBTOTAL(9,EX197:EX201)&gt;0,SUBTOTAL(9,EX197:EX201),"")</f>
        <v/>
      </c>
      <c r="EY196" s="33" t="str">
        <f t="shared" ref="EY196" si="5095">IF(SUBTOTAL(9,EY197:EY201)&gt;0,SUBTOTAL(9,EY197:EY201),"")</f>
        <v/>
      </c>
      <c r="EZ196" s="34" t="str">
        <f t="shared" ref="EZ196" si="5096">IF(SUBTOTAL(9,EZ197:EZ201)&gt;0,SUBTOTAL(9,EZ197:EZ201),"")</f>
        <v/>
      </c>
      <c r="FA196" s="34" t="str">
        <f t="shared" ref="FA196" si="5097">IF(SUBTOTAL(9,FA197:FA201)&gt;0,SUBTOTAL(9,FA197:FA201),"")</f>
        <v/>
      </c>
      <c r="FB196" s="34" t="str">
        <f t="shared" ref="FB196" si="5098">IF(SUBTOTAL(9,FB197:FB201)&gt;0,SUBTOTAL(9,FB197:FB201),"")</f>
        <v/>
      </c>
      <c r="FC196" s="34" t="str">
        <f t="shared" ref="FC196" si="5099">IF(SUBTOTAL(9,FC197:FC201)&gt;0,SUBTOTAL(9,FC197:FC201),"")</f>
        <v/>
      </c>
      <c r="FD196" s="34" t="str">
        <f t="shared" ref="FD196" si="5100">IF(SUBTOTAL(9,FD197:FD201)&gt;0,SUBTOTAL(9,FD197:FD201),"")</f>
        <v/>
      </c>
      <c r="FE196" s="34" t="str">
        <f t="shared" ref="FE196" si="5101">IF(SUBTOTAL(9,FE197:FE201)&gt;0,SUBTOTAL(9,FE197:FE201),"")</f>
        <v/>
      </c>
      <c r="FF196" s="34" t="str">
        <f t="shared" ref="FF196" si="5102">IF(SUBTOTAL(9,FF197:FF201)&gt;0,SUBTOTAL(9,FF197:FF201),"")</f>
        <v/>
      </c>
      <c r="FG196" s="34" t="str">
        <f t="shared" ref="FG196" si="5103">IF(SUBTOTAL(9,FG197:FG201)&gt;0,SUBTOTAL(9,FG197:FG201),"")</f>
        <v/>
      </c>
      <c r="FH196" s="34" t="str">
        <f t="shared" ref="FH196" si="5104">IF(SUBTOTAL(9,FH197:FH201)&gt;0,SUBTOTAL(9,FH197:FH201),"")</f>
        <v/>
      </c>
      <c r="FI196" s="34" t="str">
        <f t="shared" ref="FI196" si="5105">IF(SUBTOTAL(9,FI197:FI201)&gt;0,SUBTOTAL(9,FI197:FI201),"")</f>
        <v/>
      </c>
      <c r="FJ196" s="34" t="str">
        <f t="shared" ref="FJ196" si="5106">IF(SUBTOTAL(9,FJ197:FJ201)&gt;0,SUBTOTAL(9,FJ197:FJ201),"")</f>
        <v/>
      </c>
      <c r="FK196" s="34" t="str">
        <f t="shared" ref="FK196" si="5107">IF(SUBTOTAL(9,FK197:FK201)&gt;0,SUBTOTAL(9,FK197:FK201),"")</f>
        <v/>
      </c>
      <c r="FL196" s="34" t="str">
        <f t="shared" ref="FL196" si="5108">IF(SUBTOTAL(9,FL197:FL201)&gt;0,SUBTOTAL(9,FL197:FL201),"")</f>
        <v/>
      </c>
      <c r="FM196" s="34" t="str">
        <f t="shared" ref="FM196" si="5109">IF(SUBTOTAL(9,FM197:FM201)&gt;0,SUBTOTAL(9,FM197:FM201),"")</f>
        <v/>
      </c>
      <c r="FN196" s="34" t="str">
        <f t="shared" ref="FN196" si="5110">IF(SUBTOTAL(9,FN197:FN201)&gt;0,SUBTOTAL(9,FN197:FN201),"")</f>
        <v/>
      </c>
      <c r="FO196" s="34" t="str">
        <f t="shared" ref="FO196" si="5111">IF(SUBTOTAL(9,FO197:FO201)&gt;0,SUBTOTAL(9,FO197:FO201),"")</f>
        <v/>
      </c>
      <c r="FP196" s="34" t="str">
        <f t="shared" ref="FP196" si="5112">IF(SUBTOTAL(9,FP197:FP201)&gt;0,SUBTOTAL(9,FP197:FP201),"")</f>
        <v/>
      </c>
      <c r="FQ196" s="92" t="str">
        <f t="shared" ref="FQ196" si="5113">IF(SUBTOTAL(9,FQ197:FQ201)&gt;0,SUBTOTAL(9,FQ197:FQ201),"")</f>
        <v/>
      </c>
      <c r="FR196" s="8"/>
      <c r="FS196" s="9" t="s">
        <v>131</v>
      </c>
      <c r="FT196" s="9" t="str">
        <f t="shared" si="3664"/>
        <v/>
      </c>
    </row>
    <row r="197" spans="1:176" s="9" customFormat="1" ht="12" hidden="1" customHeight="1" outlineLevel="1">
      <c r="A197" s="122" t="s">
        <v>4</v>
      </c>
      <c r="B197" s="123" t="s">
        <v>16</v>
      </c>
      <c r="C197" s="124" t="str">
        <f t="shared" si="3515"/>
        <v>23 days</v>
      </c>
      <c r="D197" s="13" t="str">
        <f>A195&amp;" "&amp;A196</f>
        <v>7. RSR Development &amp; Dry Run 7.1 Preparation</v>
      </c>
      <c r="E197" s="51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5"/>
      <c r="AK197" s="35"/>
      <c r="AL197" s="36"/>
      <c r="AM197" s="36"/>
      <c r="AN197" s="36"/>
      <c r="AO197" s="36"/>
      <c r="AP197" s="36"/>
      <c r="AQ197" s="36"/>
      <c r="AR197" s="36"/>
      <c r="AS197" s="35"/>
      <c r="AT197" s="35"/>
      <c r="AU197" s="35"/>
      <c r="AV197" s="35"/>
      <c r="AW197" s="35"/>
      <c r="AX197" s="35"/>
      <c r="AY197" s="35"/>
      <c r="AZ197" s="35"/>
      <c r="BA197" s="35"/>
      <c r="BB197" s="35"/>
      <c r="BC197" s="35"/>
      <c r="BD197" s="35"/>
      <c r="BE197" s="35"/>
      <c r="BF197" s="35"/>
      <c r="BG197" s="35"/>
      <c r="BH197" s="35"/>
      <c r="BI197" s="35"/>
      <c r="BJ197" s="35"/>
      <c r="BK197" s="35"/>
      <c r="BL197" s="35"/>
      <c r="BM197" s="35"/>
      <c r="BN197" s="35"/>
      <c r="BO197" s="35"/>
      <c r="BP197" s="35"/>
      <c r="BQ197" s="35"/>
      <c r="BR197" s="35"/>
      <c r="BS197" s="35"/>
      <c r="BT197" s="35"/>
      <c r="BU197" s="35"/>
      <c r="BV197" s="35"/>
      <c r="BW197" s="35">
        <v>1</v>
      </c>
      <c r="BX197" s="35">
        <v>1</v>
      </c>
      <c r="BY197" s="35">
        <v>1</v>
      </c>
      <c r="BZ197" s="35">
        <v>1</v>
      </c>
      <c r="CA197" s="35">
        <v>1</v>
      </c>
      <c r="CB197" s="35">
        <v>1</v>
      </c>
      <c r="CC197" s="35">
        <v>1</v>
      </c>
      <c r="CD197" s="35">
        <v>1</v>
      </c>
      <c r="CE197" s="35">
        <v>1</v>
      </c>
      <c r="CF197" s="35">
        <v>1</v>
      </c>
      <c r="CG197" s="93"/>
      <c r="CH197" s="93"/>
      <c r="CI197" s="93"/>
      <c r="CJ197" s="93"/>
      <c r="CK197" s="93"/>
      <c r="CL197" s="35">
        <v>1</v>
      </c>
      <c r="CM197" s="35">
        <v>1</v>
      </c>
      <c r="CN197" s="35">
        <v>1</v>
      </c>
      <c r="CO197" s="35">
        <v>1</v>
      </c>
      <c r="CP197" s="35">
        <v>1</v>
      </c>
      <c r="CQ197" s="35">
        <v>1</v>
      </c>
      <c r="CR197" s="35">
        <v>1</v>
      </c>
      <c r="CS197" s="35">
        <v>1</v>
      </c>
      <c r="CT197" s="36"/>
      <c r="CU197" s="35">
        <v>1</v>
      </c>
      <c r="CV197" s="35">
        <v>1</v>
      </c>
      <c r="CW197" s="35">
        <v>1</v>
      </c>
      <c r="CX197" s="35">
        <v>1</v>
      </c>
      <c r="CY197" s="35">
        <v>1</v>
      </c>
      <c r="CZ197" s="36"/>
      <c r="DA197" s="36"/>
      <c r="DB197" s="35"/>
      <c r="DC197" s="35"/>
      <c r="DD197" s="35"/>
      <c r="DE197" s="35"/>
      <c r="DF197" s="35"/>
      <c r="DG197" s="35"/>
      <c r="DH197" s="35"/>
      <c r="DI197" s="35"/>
      <c r="DJ197" s="35"/>
      <c r="DK197" s="35"/>
      <c r="DL197" s="35"/>
      <c r="DM197" s="35"/>
      <c r="DN197" s="35"/>
      <c r="DO197" s="35"/>
      <c r="DP197" s="35"/>
      <c r="DQ197" s="35"/>
      <c r="DR197" s="35"/>
      <c r="DS197" s="35"/>
      <c r="DT197" s="35"/>
      <c r="DU197" s="35"/>
      <c r="DV197" s="35"/>
      <c r="DW197" s="35"/>
      <c r="DX197" s="35"/>
      <c r="DY197" s="35"/>
      <c r="DZ197" s="36"/>
      <c r="EA197" s="35"/>
      <c r="EB197" s="35"/>
      <c r="EC197" s="35"/>
      <c r="ED197" s="35"/>
      <c r="EE197" s="35"/>
      <c r="EF197" s="35"/>
      <c r="EG197" s="35"/>
      <c r="EH197" s="35"/>
      <c r="EI197" s="35"/>
      <c r="EJ197" s="35"/>
      <c r="EK197" s="35"/>
      <c r="EL197" s="35"/>
      <c r="EM197" s="35"/>
      <c r="EN197" s="35"/>
      <c r="EO197" s="35"/>
      <c r="EP197" s="35"/>
      <c r="EQ197" s="35"/>
      <c r="ER197" s="35"/>
      <c r="ES197" s="35"/>
      <c r="ET197" s="35"/>
      <c r="EU197" s="35"/>
      <c r="EV197" s="35"/>
      <c r="EW197" s="35"/>
      <c r="EX197" s="35"/>
      <c r="EY197" s="36"/>
      <c r="EZ197" s="35"/>
      <c r="FA197" s="35"/>
      <c r="FB197" s="35"/>
      <c r="FC197" s="35"/>
      <c r="FD197" s="35"/>
      <c r="FE197" s="35"/>
      <c r="FF197" s="35"/>
      <c r="FG197" s="35"/>
      <c r="FH197" s="35"/>
      <c r="FI197" s="35"/>
      <c r="FJ197" s="35"/>
      <c r="FK197" s="35"/>
      <c r="FL197" s="35"/>
      <c r="FM197" s="35"/>
      <c r="FN197" s="35"/>
      <c r="FO197" s="35"/>
      <c r="FP197" s="35"/>
      <c r="FQ197" s="52"/>
      <c r="FR197" s="8"/>
      <c r="FS197" s="9" t="s">
        <v>13</v>
      </c>
      <c r="FT197" s="9" t="str">
        <f t="shared" si="3664"/>
        <v>7. RSR Development &amp; Dry Run 7.1 PreparationJunior Accountant</v>
      </c>
    </row>
    <row r="198" spans="1:176" s="9" customFormat="1" ht="12" hidden="1" customHeight="1" outlineLevel="1">
      <c r="A198" s="122" t="s">
        <v>4</v>
      </c>
      <c r="B198" s="123" t="s">
        <v>17</v>
      </c>
      <c r="C198" s="124" t="str">
        <f t="shared" si="3515"/>
        <v>16 days</v>
      </c>
      <c r="D198" s="13" t="str">
        <f>A195&amp;" "&amp;A196</f>
        <v>7. RSR Development &amp; Dry Run 7.1 Preparation</v>
      </c>
      <c r="E198" s="51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5"/>
      <c r="AK198" s="35"/>
      <c r="AL198" s="36"/>
      <c r="AM198" s="36"/>
      <c r="AN198" s="36"/>
      <c r="AO198" s="36"/>
      <c r="AP198" s="36"/>
      <c r="AQ198" s="36"/>
      <c r="AR198" s="36"/>
      <c r="AS198" s="35"/>
      <c r="AT198" s="35"/>
      <c r="AU198" s="35"/>
      <c r="AV198" s="35"/>
      <c r="AW198" s="35"/>
      <c r="AX198" s="35"/>
      <c r="AY198" s="35"/>
      <c r="AZ198" s="35"/>
      <c r="BA198" s="35"/>
      <c r="BB198" s="35"/>
      <c r="BC198" s="35"/>
      <c r="BD198" s="35"/>
      <c r="BE198" s="35"/>
      <c r="BF198" s="35"/>
      <c r="BG198" s="35"/>
      <c r="BH198" s="35"/>
      <c r="BI198" s="35"/>
      <c r="BJ198" s="35"/>
      <c r="BK198" s="35"/>
      <c r="BL198" s="35"/>
      <c r="BM198" s="35"/>
      <c r="BN198" s="35"/>
      <c r="BO198" s="35"/>
      <c r="BP198" s="35"/>
      <c r="BQ198" s="35"/>
      <c r="BR198" s="35"/>
      <c r="BS198" s="35"/>
      <c r="BT198" s="35"/>
      <c r="BU198" s="35"/>
      <c r="BV198" s="35"/>
      <c r="BW198" s="35"/>
      <c r="BX198" s="35"/>
      <c r="BY198" s="35"/>
      <c r="BZ198" s="35"/>
      <c r="CA198" s="35"/>
      <c r="CB198" s="35">
        <v>0.5</v>
      </c>
      <c r="CC198" s="35">
        <v>1</v>
      </c>
      <c r="CD198" s="35">
        <v>1</v>
      </c>
      <c r="CE198" s="35">
        <v>0.5</v>
      </c>
      <c r="CF198" s="35">
        <v>1</v>
      </c>
      <c r="CG198" s="35">
        <v>1</v>
      </c>
      <c r="CH198" s="35">
        <v>0.5</v>
      </c>
      <c r="CI198" s="35">
        <v>1</v>
      </c>
      <c r="CJ198" s="35">
        <v>1</v>
      </c>
      <c r="CK198" s="35">
        <v>0.5</v>
      </c>
      <c r="CL198" s="35">
        <v>1</v>
      </c>
      <c r="CM198" s="35">
        <v>1</v>
      </c>
      <c r="CN198" s="35">
        <v>0.5</v>
      </c>
      <c r="CO198" s="93"/>
      <c r="CP198" s="93"/>
      <c r="CQ198" s="93"/>
      <c r="CR198" s="93"/>
      <c r="CS198" s="93"/>
      <c r="CT198" s="36"/>
      <c r="CU198" s="35">
        <v>0.5</v>
      </c>
      <c r="CV198" s="35">
        <v>0.5</v>
      </c>
      <c r="CW198" s="35">
        <v>0.5</v>
      </c>
      <c r="CX198" s="35">
        <v>0.5</v>
      </c>
      <c r="CY198" s="35">
        <v>0.5</v>
      </c>
      <c r="CZ198" s="36"/>
      <c r="DA198" s="36"/>
      <c r="DB198" s="35">
        <v>0.5</v>
      </c>
      <c r="DC198" s="35">
        <v>0.5</v>
      </c>
      <c r="DD198" s="35">
        <v>0.5</v>
      </c>
      <c r="DE198" s="35">
        <v>0.5</v>
      </c>
      <c r="DF198" s="35">
        <v>0.5</v>
      </c>
      <c r="DG198" s="35"/>
      <c r="DH198" s="35"/>
      <c r="DI198" s="35"/>
      <c r="DJ198" s="35"/>
      <c r="DK198" s="35"/>
      <c r="DL198" s="35"/>
      <c r="DM198" s="35"/>
      <c r="DN198" s="35"/>
      <c r="DO198" s="35"/>
      <c r="DP198" s="35"/>
      <c r="DQ198" s="35"/>
      <c r="DR198" s="35"/>
      <c r="DS198" s="35"/>
      <c r="DT198" s="35"/>
      <c r="DU198" s="35"/>
      <c r="DV198" s="35"/>
      <c r="DW198" s="35"/>
      <c r="DX198" s="35"/>
      <c r="DY198" s="35"/>
      <c r="DZ198" s="36"/>
      <c r="EA198" s="35"/>
      <c r="EB198" s="35"/>
      <c r="EC198" s="35"/>
      <c r="ED198" s="35"/>
      <c r="EE198" s="35"/>
      <c r="EF198" s="35"/>
      <c r="EG198" s="35"/>
      <c r="EH198" s="35"/>
      <c r="EI198" s="35"/>
      <c r="EJ198" s="35"/>
      <c r="EK198" s="35"/>
      <c r="EL198" s="35"/>
      <c r="EM198" s="35"/>
      <c r="EN198" s="35"/>
      <c r="EO198" s="35"/>
      <c r="EP198" s="35"/>
      <c r="EQ198" s="35"/>
      <c r="ER198" s="35"/>
      <c r="ES198" s="35"/>
      <c r="ET198" s="35"/>
      <c r="EU198" s="35"/>
      <c r="EV198" s="35"/>
      <c r="EW198" s="35"/>
      <c r="EX198" s="35"/>
      <c r="EY198" s="36"/>
      <c r="EZ198" s="35"/>
      <c r="FA198" s="35"/>
      <c r="FB198" s="35"/>
      <c r="FC198" s="35"/>
      <c r="FD198" s="35"/>
      <c r="FE198" s="35"/>
      <c r="FF198" s="35"/>
      <c r="FG198" s="35"/>
      <c r="FH198" s="35"/>
      <c r="FI198" s="35"/>
      <c r="FJ198" s="35"/>
      <c r="FK198" s="35"/>
      <c r="FL198" s="35"/>
      <c r="FM198" s="35"/>
      <c r="FN198" s="35"/>
      <c r="FO198" s="35"/>
      <c r="FP198" s="35"/>
      <c r="FQ198" s="52"/>
      <c r="FR198" s="8"/>
      <c r="FS198" s="9" t="s">
        <v>13</v>
      </c>
      <c r="FT198" s="9" t="str">
        <f t="shared" si="3664"/>
        <v>7. RSR Development &amp; Dry Run 7.1 PreparationSenior Accountant</v>
      </c>
    </row>
    <row r="199" spans="1:176" s="9" customFormat="1" ht="12" hidden="1" customHeight="1" outlineLevel="1">
      <c r="A199" s="125" t="s">
        <v>50</v>
      </c>
      <c r="B199" s="123"/>
      <c r="C199" s="124" t="str">
        <f t="shared" si="3515"/>
        <v>0 days</v>
      </c>
      <c r="D199" s="13" t="str">
        <f>A195&amp;" "&amp;A196</f>
        <v>7. RSR Development &amp; Dry Run 7.1 Preparation</v>
      </c>
      <c r="E199" s="51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5"/>
      <c r="AK199" s="35"/>
      <c r="AL199" s="36"/>
      <c r="AM199" s="36"/>
      <c r="AN199" s="36"/>
      <c r="AO199" s="36"/>
      <c r="AP199" s="36"/>
      <c r="AQ199" s="36"/>
      <c r="AR199" s="36"/>
      <c r="AS199" s="35"/>
      <c r="AT199" s="35"/>
      <c r="AU199" s="35"/>
      <c r="AV199" s="35"/>
      <c r="AW199" s="35"/>
      <c r="AX199" s="35"/>
      <c r="AY199" s="35"/>
      <c r="AZ199" s="35"/>
      <c r="BA199" s="35"/>
      <c r="BB199" s="35"/>
      <c r="BC199" s="35"/>
      <c r="BD199" s="35"/>
      <c r="BE199" s="35"/>
      <c r="BF199" s="35"/>
      <c r="BG199" s="35"/>
      <c r="BH199" s="35"/>
      <c r="BI199" s="35"/>
      <c r="BJ199" s="35"/>
      <c r="BK199" s="35"/>
      <c r="BL199" s="35"/>
      <c r="BM199" s="35"/>
      <c r="BN199" s="35"/>
      <c r="BO199" s="35"/>
      <c r="BP199" s="35"/>
      <c r="BQ199" s="35"/>
      <c r="BR199" s="35"/>
      <c r="BS199" s="35"/>
      <c r="BT199" s="35"/>
      <c r="BU199" s="35"/>
      <c r="BV199" s="35"/>
      <c r="BW199" s="35"/>
      <c r="BX199" s="35"/>
      <c r="BY199" s="35"/>
      <c r="BZ199" s="35"/>
      <c r="CA199" s="35"/>
      <c r="CB199" s="35"/>
      <c r="CC199" s="35"/>
      <c r="CD199" s="35"/>
      <c r="CE199" s="35"/>
      <c r="CF199" s="35"/>
      <c r="CG199" s="35"/>
      <c r="CH199" s="35"/>
      <c r="CI199" s="35"/>
      <c r="CJ199" s="35"/>
      <c r="CK199" s="35"/>
      <c r="CL199" s="35"/>
      <c r="CM199" s="35"/>
      <c r="CN199" s="35"/>
      <c r="CO199" s="35"/>
      <c r="CP199" s="35"/>
      <c r="CQ199" s="35"/>
      <c r="CR199" s="35"/>
      <c r="CS199" s="35"/>
      <c r="CT199" s="36"/>
      <c r="CU199" s="35"/>
      <c r="CV199" s="35"/>
      <c r="CW199" s="35"/>
      <c r="CX199" s="35"/>
      <c r="CY199" s="35"/>
      <c r="CZ199" s="36"/>
      <c r="DA199" s="36"/>
      <c r="DB199" s="35"/>
      <c r="DC199" s="35"/>
      <c r="DD199" s="35"/>
      <c r="DE199" s="35"/>
      <c r="DF199" s="35"/>
      <c r="DG199" s="35"/>
      <c r="DH199" s="35"/>
      <c r="DI199" s="35"/>
      <c r="DJ199" s="35"/>
      <c r="DK199" s="35"/>
      <c r="DL199" s="35"/>
      <c r="DM199" s="35"/>
      <c r="DN199" s="35"/>
      <c r="DO199" s="35"/>
      <c r="DP199" s="35"/>
      <c r="DQ199" s="35"/>
      <c r="DR199" s="35"/>
      <c r="DS199" s="35"/>
      <c r="DT199" s="35"/>
      <c r="DU199" s="35"/>
      <c r="DV199" s="35"/>
      <c r="DW199" s="35"/>
      <c r="DX199" s="35"/>
      <c r="DY199" s="35"/>
      <c r="DZ199" s="36"/>
      <c r="EA199" s="35"/>
      <c r="EB199" s="35"/>
      <c r="EC199" s="35"/>
      <c r="ED199" s="35"/>
      <c r="EE199" s="35"/>
      <c r="EF199" s="35"/>
      <c r="EG199" s="35"/>
      <c r="EH199" s="35"/>
      <c r="EI199" s="35"/>
      <c r="EJ199" s="35"/>
      <c r="EK199" s="35"/>
      <c r="EL199" s="35"/>
      <c r="EM199" s="35"/>
      <c r="EN199" s="35"/>
      <c r="EO199" s="35"/>
      <c r="EP199" s="35"/>
      <c r="EQ199" s="35"/>
      <c r="ER199" s="35"/>
      <c r="ES199" s="35"/>
      <c r="ET199" s="35"/>
      <c r="EU199" s="35"/>
      <c r="EV199" s="35"/>
      <c r="EW199" s="35"/>
      <c r="EX199" s="35"/>
      <c r="EY199" s="36"/>
      <c r="EZ199" s="35"/>
      <c r="FA199" s="35"/>
      <c r="FB199" s="35"/>
      <c r="FC199" s="35"/>
      <c r="FD199" s="35"/>
      <c r="FE199" s="35"/>
      <c r="FF199" s="35"/>
      <c r="FG199" s="35"/>
      <c r="FH199" s="35"/>
      <c r="FI199" s="35"/>
      <c r="FJ199" s="35"/>
      <c r="FK199" s="35"/>
      <c r="FL199" s="35"/>
      <c r="FM199" s="35"/>
      <c r="FN199" s="35"/>
      <c r="FO199" s="35"/>
      <c r="FP199" s="35"/>
      <c r="FQ199" s="52"/>
      <c r="FR199" s="8"/>
      <c r="FS199" s="9" t="s">
        <v>13</v>
      </c>
      <c r="FT199" s="9" t="str">
        <f t="shared" si="3664"/>
        <v>7. RSR Development &amp; Dry Run 7.1 Preparation</v>
      </c>
    </row>
    <row r="200" spans="1:176" s="9" customFormat="1" ht="12" hidden="1" customHeight="1" outlineLevel="1">
      <c r="A200" s="125" t="s">
        <v>50</v>
      </c>
      <c r="B200" s="123"/>
      <c r="C200" s="124" t="str">
        <f t="shared" si="3515"/>
        <v>0 days</v>
      </c>
      <c r="D200" s="13" t="str">
        <f>A195&amp;" "&amp;A196</f>
        <v>7. RSR Development &amp; Dry Run 7.1 Preparation</v>
      </c>
      <c r="E200" s="51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5"/>
      <c r="AK200" s="35"/>
      <c r="AL200" s="36"/>
      <c r="AM200" s="36"/>
      <c r="AN200" s="36"/>
      <c r="AO200" s="36"/>
      <c r="AP200" s="36"/>
      <c r="AQ200" s="36"/>
      <c r="AR200" s="36"/>
      <c r="AS200" s="35"/>
      <c r="AT200" s="35"/>
      <c r="AU200" s="35"/>
      <c r="AV200" s="35"/>
      <c r="AW200" s="35"/>
      <c r="AX200" s="35"/>
      <c r="AY200" s="35"/>
      <c r="AZ200" s="35"/>
      <c r="BA200" s="35"/>
      <c r="BB200" s="35"/>
      <c r="BC200" s="35"/>
      <c r="BD200" s="35"/>
      <c r="BE200" s="35"/>
      <c r="BF200" s="35"/>
      <c r="BG200" s="35"/>
      <c r="BH200" s="35"/>
      <c r="BI200" s="35"/>
      <c r="BJ200" s="35"/>
      <c r="BK200" s="35"/>
      <c r="BL200" s="35"/>
      <c r="BM200" s="35"/>
      <c r="BN200" s="35"/>
      <c r="BO200" s="35"/>
      <c r="BP200" s="35"/>
      <c r="BQ200" s="35"/>
      <c r="BR200" s="35"/>
      <c r="BS200" s="35"/>
      <c r="BT200" s="35"/>
      <c r="BU200" s="35"/>
      <c r="BV200" s="35"/>
      <c r="BW200" s="35"/>
      <c r="BX200" s="35"/>
      <c r="BY200" s="35"/>
      <c r="BZ200" s="35"/>
      <c r="CA200" s="35"/>
      <c r="CB200" s="35"/>
      <c r="CC200" s="35"/>
      <c r="CD200" s="35"/>
      <c r="CE200" s="35"/>
      <c r="CF200" s="35"/>
      <c r="CG200" s="35"/>
      <c r="CH200" s="35"/>
      <c r="CI200" s="35"/>
      <c r="CJ200" s="35"/>
      <c r="CK200" s="35"/>
      <c r="CL200" s="35"/>
      <c r="CM200" s="35"/>
      <c r="CN200" s="35"/>
      <c r="CO200" s="35"/>
      <c r="CP200" s="35"/>
      <c r="CQ200" s="35"/>
      <c r="CR200" s="35"/>
      <c r="CS200" s="35"/>
      <c r="CT200" s="36"/>
      <c r="CU200" s="35"/>
      <c r="CV200" s="35"/>
      <c r="CW200" s="35"/>
      <c r="CX200" s="35"/>
      <c r="CY200" s="35"/>
      <c r="CZ200" s="36"/>
      <c r="DA200" s="36"/>
      <c r="DB200" s="35"/>
      <c r="DC200" s="35"/>
      <c r="DD200" s="35"/>
      <c r="DE200" s="35"/>
      <c r="DF200" s="35"/>
      <c r="DG200" s="35"/>
      <c r="DH200" s="35"/>
      <c r="DI200" s="35"/>
      <c r="DJ200" s="35"/>
      <c r="DK200" s="35"/>
      <c r="DL200" s="35"/>
      <c r="DM200" s="35"/>
      <c r="DN200" s="35"/>
      <c r="DO200" s="35"/>
      <c r="DP200" s="35"/>
      <c r="DQ200" s="35"/>
      <c r="DR200" s="35"/>
      <c r="DS200" s="35"/>
      <c r="DT200" s="35"/>
      <c r="DU200" s="35"/>
      <c r="DV200" s="35"/>
      <c r="DW200" s="35"/>
      <c r="DX200" s="35"/>
      <c r="DY200" s="35"/>
      <c r="DZ200" s="36"/>
      <c r="EA200" s="35"/>
      <c r="EB200" s="35"/>
      <c r="EC200" s="35"/>
      <c r="ED200" s="35"/>
      <c r="EE200" s="35"/>
      <c r="EF200" s="35"/>
      <c r="EG200" s="35"/>
      <c r="EH200" s="35"/>
      <c r="EI200" s="35"/>
      <c r="EJ200" s="35"/>
      <c r="EK200" s="35"/>
      <c r="EL200" s="35"/>
      <c r="EM200" s="35"/>
      <c r="EN200" s="35"/>
      <c r="EO200" s="35"/>
      <c r="EP200" s="35"/>
      <c r="EQ200" s="35"/>
      <c r="ER200" s="35"/>
      <c r="ES200" s="35"/>
      <c r="ET200" s="35"/>
      <c r="EU200" s="35"/>
      <c r="EV200" s="35"/>
      <c r="EW200" s="35"/>
      <c r="EX200" s="35"/>
      <c r="EY200" s="36"/>
      <c r="EZ200" s="35"/>
      <c r="FA200" s="35"/>
      <c r="FB200" s="35"/>
      <c r="FC200" s="35"/>
      <c r="FD200" s="35"/>
      <c r="FE200" s="35"/>
      <c r="FF200" s="35"/>
      <c r="FG200" s="35"/>
      <c r="FH200" s="35"/>
      <c r="FI200" s="35"/>
      <c r="FJ200" s="35"/>
      <c r="FK200" s="35"/>
      <c r="FL200" s="35"/>
      <c r="FM200" s="35"/>
      <c r="FN200" s="35"/>
      <c r="FO200" s="35"/>
      <c r="FP200" s="35"/>
      <c r="FQ200" s="52"/>
      <c r="FR200" s="8"/>
      <c r="FS200" s="9" t="s">
        <v>13</v>
      </c>
      <c r="FT200" s="9" t="str">
        <f t="shared" si="3664"/>
        <v>7. RSR Development &amp; Dry Run 7.1 Preparation</v>
      </c>
    </row>
    <row r="201" spans="1:176" s="9" customFormat="1" ht="12" hidden="1" customHeight="1" outlineLevel="1">
      <c r="A201" s="126" t="s">
        <v>50</v>
      </c>
      <c r="B201" s="123"/>
      <c r="C201" s="124" t="str">
        <f t="shared" ref="C201:C264" si="5114">ROUND(SUM(E201:FQ201),0) &amp; " days"</f>
        <v>0 days</v>
      </c>
      <c r="D201" s="13" t="str">
        <f>A195&amp;" "&amp;A196</f>
        <v>7. RSR Development &amp; Dry Run 7.1 Preparation</v>
      </c>
      <c r="E201" s="51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5"/>
      <c r="AK201" s="35"/>
      <c r="AL201" s="36"/>
      <c r="AM201" s="36"/>
      <c r="AN201" s="36"/>
      <c r="AO201" s="36"/>
      <c r="AP201" s="36"/>
      <c r="AQ201" s="36"/>
      <c r="AR201" s="36"/>
      <c r="AS201" s="35"/>
      <c r="AT201" s="35"/>
      <c r="AU201" s="35"/>
      <c r="AV201" s="35"/>
      <c r="AW201" s="35"/>
      <c r="AX201" s="35"/>
      <c r="AY201" s="35"/>
      <c r="AZ201" s="35"/>
      <c r="BA201" s="35"/>
      <c r="BB201" s="35"/>
      <c r="BC201" s="35"/>
      <c r="BD201" s="35"/>
      <c r="BE201" s="35"/>
      <c r="BF201" s="35"/>
      <c r="BG201" s="35"/>
      <c r="BH201" s="35"/>
      <c r="BI201" s="35"/>
      <c r="BJ201" s="35"/>
      <c r="BK201" s="35"/>
      <c r="BL201" s="35"/>
      <c r="BM201" s="35"/>
      <c r="BN201" s="35"/>
      <c r="BO201" s="35"/>
      <c r="BP201" s="35"/>
      <c r="BQ201" s="35"/>
      <c r="BR201" s="35"/>
      <c r="BS201" s="35"/>
      <c r="BT201" s="35"/>
      <c r="BU201" s="35"/>
      <c r="BV201" s="35"/>
      <c r="BW201" s="35"/>
      <c r="BX201" s="35"/>
      <c r="BY201" s="35"/>
      <c r="BZ201" s="35"/>
      <c r="CA201" s="35"/>
      <c r="CB201" s="35"/>
      <c r="CC201" s="35"/>
      <c r="CD201" s="35"/>
      <c r="CE201" s="35"/>
      <c r="CF201" s="35"/>
      <c r="CG201" s="35"/>
      <c r="CH201" s="35"/>
      <c r="CI201" s="35"/>
      <c r="CJ201" s="35"/>
      <c r="CK201" s="35"/>
      <c r="CL201" s="35"/>
      <c r="CM201" s="35"/>
      <c r="CN201" s="35"/>
      <c r="CO201" s="35"/>
      <c r="CP201" s="35"/>
      <c r="CQ201" s="35"/>
      <c r="CR201" s="35"/>
      <c r="CS201" s="35"/>
      <c r="CT201" s="36"/>
      <c r="CU201" s="35"/>
      <c r="CV201" s="35"/>
      <c r="CW201" s="35"/>
      <c r="CX201" s="35"/>
      <c r="CY201" s="35"/>
      <c r="CZ201" s="36"/>
      <c r="DA201" s="36"/>
      <c r="DB201" s="35"/>
      <c r="DC201" s="35"/>
      <c r="DD201" s="35"/>
      <c r="DE201" s="35"/>
      <c r="DF201" s="35"/>
      <c r="DG201" s="35"/>
      <c r="DH201" s="35"/>
      <c r="DI201" s="35"/>
      <c r="DJ201" s="35"/>
      <c r="DK201" s="35"/>
      <c r="DL201" s="35"/>
      <c r="DM201" s="35"/>
      <c r="DN201" s="35"/>
      <c r="DO201" s="35"/>
      <c r="DP201" s="35"/>
      <c r="DQ201" s="35"/>
      <c r="DR201" s="35"/>
      <c r="DS201" s="35"/>
      <c r="DT201" s="35"/>
      <c r="DU201" s="35"/>
      <c r="DV201" s="35"/>
      <c r="DW201" s="35"/>
      <c r="DX201" s="35"/>
      <c r="DY201" s="35"/>
      <c r="DZ201" s="36"/>
      <c r="EA201" s="35"/>
      <c r="EB201" s="35"/>
      <c r="EC201" s="35"/>
      <c r="ED201" s="35"/>
      <c r="EE201" s="35"/>
      <c r="EF201" s="35"/>
      <c r="EG201" s="35"/>
      <c r="EH201" s="35"/>
      <c r="EI201" s="35"/>
      <c r="EJ201" s="35"/>
      <c r="EK201" s="35"/>
      <c r="EL201" s="35"/>
      <c r="EM201" s="35"/>
      <c r="EN201" s="35"/>
      <c r="EO201" s="35"/>
      <c r="EP201" s="35"/>
      <c r="EQ201" s="35"/>
      <c r="ER201" s="35"/>
      <c r="ES201" s="35"/>
      <c r="ET201" s="35"/>
      <c r="EU201" s="35"/>
      <c r="EV201" s="35"/>
      <c r="EW201" s="35"/>
      <c r="EX201" s="35"/>
      <c r="EY201" s="36"/>
      <c r="EZ201" s="35"/>
      <c r="FA201" s="35"/>
      <c r="FB201" s="35"/>
      <c r="FC201" s="35"/>
      <c r="FD201" s="35"/>
      <c r="FE201" s="35"/>
      <c r="FF201" s="35"/>
      <c r="FG201" s="35"/>
      <c r="FH201" s="35"/>
      <c r="FI201" s="35"/>
      <c r="FJ201" s="35"/>
      <c r="FK201" s="35"/>
      <c r="FL201" s="35"/>
      <c r="FM201" s="35"/>
      <c r="FN201" s="35"/>
      <c r="FO201" s="35"/>
      <c r="FP201" s="35"/>
      <c r="FQ201" s="52"/>
      <c r="FR201" s="8"/>
      <c r="FS201" s="9" t="s">
        <v>13</v>
      </c>
      <c r="FT201" s="9" t="str">
        <f t="shared" si="3664"/>
        <v>7. RSR Development &amp; Dry Run 7.1 Preparation</v>
      </c>
    </row>
    <row r="202" spans="1:176" s="9" customFormat="1" ht="12" customHeight="1" collapsed="1">
      <c r="A202" s="119" t="s">
        <v>90</v>
      </c>
      <c r="B202" s="127"/>
      <c r="C202" s="121" t="str">
        <f t="shared" si="5114"/>
        <v>4 days</v>
      </c>
      <c r="D202" s="38"/>
      <c r="E202" s="91" t="str">
        <f t="shared" ref="E202" si="5115">IF(SUBTOTAL(9,E203:E207)&gt;0,SUBTOTAL(9,E203:E207),"")</f>
        <v/>
      </c>
      <c r="F202" s="34" t="str">
        <f t="shared" ref="F202" si="5116">IF(SUBTOTAL(9,F203:F207)&gt;0,SUBTOTAL(9,F203:F207),"")</f>
        <v/>
      </c>
      <c r="G202" s="34" t="str">
        <f t="shared" ref="G202" si="5117">IF(SUBTOTAL(9,G203:G207)&gt;0,SUBTOTAL(9,G203:G207),"")</f>
        <v/>
      </c>
      <c r="H202" s="34" t="str">
        <f t="shared" ref="H202" si="5118">IF(SUBTOTAL(9,H203:H207)&gt;0,SUBTOTAL(9,H203:H207),"")</f>
        <v/>
      </c>
      <c r="I202" s="34" t="str">
        <f t="shared" ref="I202" si="5119">IF(SUBTOTAL(9,I203:I207)&gt;0,SUBTOTAL(9,I203:I207),"")</f>
        <v/>
      </c>
      <c r="J202" s="34" t="str">
        <f t="shared" ref="J202" si="5120">IF(SUBTOTAL(9,J203:J207)&gt;0,SUBTOTAL(9,J203:J207),"")</f>
        <v/>
      </c>
      <c r="K202" s="34" t="str">
        <f t="shared" ref="K202" si="5121">IF(SUBTOTAL(9,K203:K207)&gt;0,SUBTOTAL(9,K203:K207),"")</f>
        <v/>
      </c>
      <c r="L202" s="34" t="str">
        <f t="shared" ref="L202" si="5122">IF(SUBTOTAL(9,L203:L207)&gt;0,SUBTOTAL(9,L203:L207),"")</f>
        <v/>
      </c>
      <c r="M202" s="34" t="str">
        <f t="shared" ref="M202" si="5123">IF(SUBTOTAL(9,M203:M207)&gt;0,SUBTOTAL(9,M203:M207),"")</f>
        <v/>
      </c>
      <c r="N202" s="34" t="str">
        <f t="shared" ref="N202" si="5124">IF(SUBTOTAL(9,N203:N207)&gt;0,SUBTOTAL(9,N203:N207),"")</f>
        <v/>
      </c>
      <c r="O202" s="34" t="str">
        <f t="shared" ref="O202" si="5125">IF(SUBTOTAL(9,O203:O207)&gt;0,SUBTOTAL(9,O203:O207),"")</f>
        <v/>
      </c>
      <c r="P202" s="34" t="str">
        <f t="shared" ref="P202" si="5126">IF(SUBTOTAL(9,P203:P207)&gt;0,SUBTOTAL(9,P203:P207),"")</f>
        <v/>
      </c>
      <c r="Q202" s="34" t="str">
        <f t="shared" ref="Q202" si="5127">IF(SUBTOTAL(9,Q203:Q207)&gt;0,SUBTOTAL(9,Q203:Q207),"")</f>
        <v/>
      </c>
      <c r="R202" s="34" t="str">
        <f t="shared" ref="R202" si="5128">IF(SUBTOTAL(9,R203:R207)&gt;0,SUBTOTAL(9,R203:R207),"")</f>
        <v/>
      </c>
      <c r="S202" s="34" t="str">
        <f t="shared" ref="S202" si="5129">IF(SUBTOTAL(9,S203:S207)&gt;0,SUBTOTAL(9,S203:S207),"")</f>
        <v/>
      </c>
      <c r="T202" s="34" t="str">
        <f t="shared" ref="T202" si="5130">IF(SUBTOTAL(9,T203:T207)&gt;0,SUBTOTAL(9,T203:T207),"")</f>
        <v/>
      </c>
      <c r="U202" s="34" t="str">
        <f t="shared" ref="U202" si="5131">IF(SUBTOTAL(9,U203:U207)&gt;0,SUBTOTAL(9,U203:U207),"")</f>
        <v/>
      </c>
      <c r="V202" s="34" t="str">
        <f t="shared" ref="V202" si="5132">IF(SUBTOTAL(9,V203:V207)&gt;0,SUBTOTAL(9,V203:V207),"")</f>
        <v/>
      </c>
      <c r="W202" s="34" t="str">
        <f t="shared" ref="W202" si="5133">IF(SUBTOTAL(9,W203:W207)&gt;0,SUBTOTAL(9,W203:W207),"")</f>
        <v/>
      </c>
      <c r="X202" s="34" t="str">
        <f t="shared" ref="X202" si="5134">IF(SUBTOTAL(9,X203:X207)&gt;0,SUBTOTAL(9,X203:X207),"")</f>
        <v/>
      </c>
      <c r="Y202" s="34" t="str">
        <f t="shared" ref="Y202" si="5135">IF(SUBTOTAL(9,Y203:Y207)&gt;0,SUBTOTAL(9,Y203:Y207),"")</f>
        <v/>
      </c>
      <c r="Z202" s="34" t="str">
        <f t="shared" ref="Z202" si="5136">IF(SUBTOTAL(9,Z203:Z207)&gt;0,SUBTOTAL(9,Z203:Z207),"")</f>
        <v/>
      </c>
      <c r="AA202" s="34" t="str">
        <f t="shared" ref="AA202" si="5137">IF(SUBTOTAL(9,AA203:AA207)&gt;0,SUBTOTAL(9,AA203:AA207),"")</f>
        <v/>
      </c>
      <c r="AB202" s="34" t="str">
        <f t="shared" ref="AB202" si="5138">IF(SUBTOTAL(9,AB203:AB207)&gt;0,SUBTOTAL(9,AB203:AB207),"")</f>
        <v/>
      </c>
      <c r="AC202" s="34" t="str">
        <f t="shared" ref="AC202" si="5139">IF(SUBTOTAL(9,AC203:AC207)&gt;0,SUBTOTAL(9,AC203:AC207),"")</f>
        <v/>
      </c>
      <c r="AD202" s="34" t="str">
        <f t="shared" ref="AD202" si="5140">IF(SUBTOTAL(9,AD203:AD207)&gt;0,SUBTOTAL(9,AD203:AD207),"")</f>
        <v/>
      </c>
      <c r="AE202" s="34" t="str">
        <f t="shared" ref="AE202" si="5141">IF(SUBTOTAL(9,AE203:AE207)&gt;0,SUBTOTAL(9,AE203:AE207),"")</f>
        <v/>
      </c>
      <c r="AF202" s="34" t="str">
        <f t="shared" ref="AF202" si="5142">IF(SUBTOTAL(9,AF203:AF207)&gt;0,SUBTOTAL(9,AF203:AF207),"")</f>
        <v/>
      </c>
      <c r="AG202" s="34" t="str">
        <f t="shared" ref="AG202" si="5143">IF(SUBTOTAL(9,AG203:AG207)&gt;0,SUBTOTAL(9,AG203:AG207),"")</f>
        <v/>
      </c>
      <c r="AH202" s="34" t="str">
        <f t="shared" ref="AH202" si="5144">IF(SUBTOTAL(9,AH203:AH207)&gt;0,SUBTOTAL(9,AH203:AH207),"")</f>
        <v/>
      </c>
      <c r="AI202" s="34" t="str">
        <f t="shared" ref="AI202" si="5145">IF(SUBTOTAL(9,AI203:AI207)&gt;0,SUBTOTAL(9,AI203:AI207),"")</f>
        <v/>
      </c>
      <c r="AJ202" s="34" t="str">
        <f t="shared" ref="AJ202" si="5146">IF(SUBTOTAL(9,AJ203:AJ207)&gt;0,SUBTOTAL(9,AJ203:AJ207),"")</f>
        <v/>
      </c>
      <c r="AK202" s="34" t="str">
        <f t="shared" ref="AK202" si="5147">IF(SUBTOTAL(9,AK203:AK207)&gt;0,SUBTOTAL(9,AK203:AK207),"")</f>
        <v/>
      </c>
      <c r="AL202" s="33" t="str">
        <f t="shared" ref="AL202" si="5148">IF(SUBTOTAL(9,AL203:AL207)&gt;0,SUBTOTAL(9,AL203:AL207),"")</f>
        <v/>
      </c>
      <c r="AM202" s="33" t="str">
        <f t="shared" ref="AM202" si="5149">IF(SUBTOTAL(9,AM203:AM207)&gt;0,SUBTOTAL(9,AM203:AM207),"")</f>
        <v/>
      </c>
      <c r="AN202" s="33" t="str">
        <f t="shared" ref="AN202" si="5150">IF(SUBTOTAL(9,AN203:AN207)&gt;0,SUBTOTAL(9,AN203:AN207),"")</f>
        <v/>
      </c>
      <c r="AO202" s="33" t="str">
        <f t="shared" ref="AO202" si="5151">IF(SUBTOTAL(9,AO203:AO207)&gt;0,SUBTOTAL(9,AO203:AO207),"")</f>
        <v/>
      </c>
      <c r="AP202" s="33" t="str">
        <f t="shared" ref="AP202" si="5152">IF(SUBTOTAL(9,AP203:AP207)&gt;0,SUBTOTAL(9,AP203:AP207),"")</f>
        <v/>
      </c>
      <c r="AQ202" s="33" t="str">
        <f t="shared" ref="AQ202" si="5153">IF(SUBTOTAL(9,AQ203:AQ207)&gt;0,SUBTOTAL(9,AQ203:AQ207),"")</f>
        <v/>
      </c>
      <c r="AR202" s="33" t="str">
        <f t="shared" ref="AR202" si="5154">IF(SUBTOTAL(9,AR203:AR207)&gt;0,SUBTOTAL(9,AR203:AR207),"")</f>
        <v/>
      </c>
      <c r="AS202" s="34" t="str">
        <f t="shared" ref="AS202" si="5155">IF(SUBTOTAL(9,AS203:AS207)&gt;0,SUBTOTAL(9,AS203:AS207),"")</f>
        <v/>
      </c>
      <c r="AT202" s="34" t="str">
        <f t="shared" ref="AT202" si="5156">IF(SUBTOTAL(9,AT203:AT207)&gt;0,SUBTOTAL(9,AT203:AT207),"")</f>
        <v/>
      </c>
      <c r="AU202" s="34" t="str">
        <f t="shared" ref="AU202" si="5157">IF(SUBTOTAL(9,AU203:AU207)&gt;0,SUBTOTAL(9,AU203:AU207),"")</f>
        <v/>
      </c>
      <c r="AV202" s="34" t="str">
        <f t="shared" ref="AV202" si="5158">IF(SUBTOTAL(9,AV203:AV207)&gt;0,SUBTOTAL(9,AV203:AV207),"")</f>
        <v/>
      </c>
      <c r="AW202" s="34" t="str">
        <f t="shared" ref="AW202" si="5159">IF(SUBTOTAL(9,AW203:AW207)&gt;0,SUBTOTAL(9,AW203:AW207),"")</f>
        <v/>
      </c>
      <c r="AX202" s="34" t="str">
        <f t="shared" ref="AX202" si="5160">IF(SUBTOTAL(9,AX203:AX207)&gt;0,SUBTOTAL(9,AX203:AX207),"")</f>
        <v/>
      </c>
      <c r="AY202" s="34" t="str">
        <f t="shared" ref="AY202" si="5161">IF(SUBTOTAL(9,AY203:AY207)&gt;0,SUBTOTAL(9,AY203:AY207),"")</f>
        <v/>
      </c>
      <c r="AZ202" s="34" t="str">
        <f t="shared" ref="AZ202" si="5162">IF(SUBTOTAL(9,AZ203:AZ207)&gt;0,SUBTOTAL(9,AZ203:AZ207),"")</f>
        <v/>
      </c>
      <c r="BA202" s="34" t="str">
        <f t="shared" ref="BA202" si="5163">IF(SUBTOTAL(9,BA203:BA207)&gt;0,SUBTOTAL(9,BA203:BA207),"")</f>
        <v/>
      </c>
      <c r="BB202" s="34" t="str">
        <f t="shared" ref="BB202" si="5164">IF(SUBTOTAL(9,BB203:BB207)&gt;0,SUBTOTAL(9,BB203:BB207),"")</f>
        <v/>
      </c>
      <c r="BC202" s="34" t="str">
        <f t="shared" ref="BC202" si="5165">IF(SUBTOTAL(9,BC203:BC207)&gt;0,SUBTOTAL(9,BC203:BC207),"")</f>
        <v/>
      </c>
      <c r="BD202" s="34" t="str">
        <f t="shared" ref="BD202" si="5166">IF(SUBTOTAL(9,BD203:BD207)&gt;0,SUBTOTAL(9,BD203:BD207),"")</f>
        <v/>
      </c>
      <c r="BE202" s="34" t="str">
        <f t="shared" ref="BE202" si="5167">IF(SUBTOTAL(9,BE203:BE207)&gt;0,SUBTOTAL(9,BE203:BE207),"")</f>
        <v/>
      </c>
      <c r="BF202" s="34" t="str">
        <f t="shared" ref="BF202" si="5168">IF(SUBTOTAL(9,BF203:BF207)&gt;0,SUBTOTAL(9,BF203:BF207),"")</f>
        <v/>
      </c>
      <c r="BG202" s="34" t="str">
        <f t="shared" ref="BG202" si="5169">IF(SUBTOTAL(9,BG203:BG207)&gt;0,SUBTOTAL(9,BG203:BG207),"")</f>
        <v/>
      </c>
      <c r="BH202" s="34" t="str">
        <f t="shared" ref="BH202" si="5170">IF(SUBTOTAL(9,BH203:BH207)&gt;0,SUBTOTAL(9,BH203:BH207),"")</f>
        <v/>
      </c>
      <c r="BI202" s="34" t="str">
        <f t="shared" ref="BI202" si="5171">IF(SUBTOTAL(9,BI203:BI207)&gt;0,SUBTOTAL(9,BI203:BI207),"")</f>
        <v/>
      </c>
      <c r="BJ202" s="34" t="str">
        <f t="shared" ref="BJ202" si="5172">IF(SUBTOTAL(9,BJ203:BJ207)&gt;0,SUBTOTAL(9,BJ203:BJ207),"")</f>
        <v/>
      </c>
      <c r="BK202" s="34" t="str">
        <f t="shared" ref="BK202" si="5173">IF(SUBTOTAL(9,BK203:BK207)&gt;0,SUBTOTAL(9,BK203:BK207),"")</f>
        <v/>
      </c>
      <c r="BL202" s="34" t="str">
        <f t="shared" ref="BL202" si="5174">IF(SUBTOTAL(9,BL203:BL207)&gt;0,SUBTOTAL(9,BL203:BL207),"")</f>
        <v/>
      </c>
      <c r="BM202" s="34" t="str">
        <f t="shared" ref="BM202" si="5175">IF(SUBTOTAL(9,BM203:BM207)&gt;0,SUBTOTAL(9,BM203:BM207),"")</f>
        <v/>
      </c>
      <c r="BN202" s="34" t="str">
        <f t="shared" ref="BN202" si="5176">IF(SUBTOTAL(9,BN203:BN207)&gt;0,SUBTOTAL(9,BN203:BN207),"")</f>
        <v/>
      </c>
      <c r="BO202" s="34" t="str">
        <f t="shared" ref="BO202" si="5177">IF(SUBTOTAL(9,BO203:BO207)&gt;0,SUBTOTAL(9,BO203:BO207),"")</f>
        <v/>
      </c>
      <c r="BP202" s="34" t="str">
        <f t="shared" ref="BP202" si="5178">IF(SUBTOTAL(9,BP203:BP207)&gt;0,SUBTOTAL(9,BP203:BP207),"")</f>
        <v/>
      </c>
      <c r="BQ202" s="34" t="str">
        <f t="shared" ref="BQ202" si="5179">IF(SUBTOTAL(9,BQ203:BQ207)&gt;0,SUBTOTAL(9,BQ203:BQ207),"")</f>
        <v/>
      </c>
      <c r="BR202" s="34" t="str">
        <f t="shared" ref="BR202" si="5180">IF(SUBTOTAL(9,BR203:BR207)&gt;0,SUBTOTAL(9,BR203:BR207),"")</f>
        <v/>
      </c>
      <c r="BS202" s="34" t="str">
        <f t="shared" ref="BS202" si="5181">IF(SUBTOTAL(9,BS203:BS207)&gt;0,SUBTOTAL(9,BS203:BS207),"")</f>
        <v/>
      </c>
      <c r="BT202" s="34" t="str">
        <f t="shared" ref="BT202" si="5182">IF(SUBTOTAL(9,BT203:BT207)&gt;0,SUBTOTAL(9,BT203:BT207),"")</f>
        <v/>
      </c>
      <c r="BU202" s="34" t="str">
        <f t="shared" ref="BU202" si="5183">IF(SUBTOTAL(9,BU203:BU207)&gt;0,SUBTOTAL(9,BU203:BU207),"")</f>
        <v/>
      </c>
      <c r="BV202" s="34" t="str">
        <f t="shared" ref="BV202" si="5184">IF(SUBTOTAL(9,BV203:BV207)&gt;0,SUBTOTAL(9,BV203:BV207),"")</f>
        <v/>
      </c>
      <c r="BW202" s="34" t="str">
        <f t="shared" ref="BW202" si="5185">IF(SUBTOTAL(9,BW203:BW207)&gt;0,SUBTOTAL(9,BW203:BW207),"")</f>
        <v/>
      </c>
      <c r="BX202" s="34" t="str">
        <f t="shared" ref="BX202" si="5186">IF(SUBTOTAL(9,BX203:BX207)&gt;0,SUBTOTAL(9,BX203:BX207),"")</f>
        <v/>
      </c>
      <c r="BY202" s="34" t="str">
        <f t="shared" ref="BY202" si="5187">IF(SUBTOTAL(9,BY203:BY207)&gt;0,SUBTOTAL(9,BY203:BY207),"")</f>
        <v/>
      </c>
      <c r="BZ202" s="34" t="str">
        <f t="shared" ref="BZ202" si="5188">IF(SUBTOTAL(9,BZ203:BZ207)&gt;0,SUBTOTAL(9,BZ203:BZ207),"")</f>
        <v/>
      </c>
      <c r="CA202" s="34" t="str">
        <f t="shared" ref="CA202:DC202" si="5189">IF(SUBTOTAL(9,CA203:CA207)&gt;0,SUBTOTAL(9,CA203:CA207),"")</f>
        <v/>
      </c>
      <c r="CB202" s="34" t="str">
        <f t="shared" si="5189"/>
        <v/>
      </c>
      <c r="CC202" s="34" t="str">
        <f t="shared" si="5189"/>
        <v/>
      </c>
      <c r="CD202" s="34">
        <f t="shared" si="5189"/>
        <v>0.25</v>
      </c>
      <c r="CE202" s="34" t="str">
        <f t="shared" si="5189"/>
        <v/>
      </c>
      <c r="CF202" s="34" t="str">
        <f t="shared" si="5189"/>
        <v/>
      </c>
      <c r="CG202" s="34" t="str">
        <f t="shared" si="5189"/>
        <v/>
      </c>
      <c r="CH202" s="34" t="str">
        <f t="shared" si="5189"/>
        <v/>
      </c>
      <c r="CI202" s="34">
        <f t="shared" si="5189"/>
        <v>0.25</v>
      </c>
      <c r="CJ202" s="34" t="str">
        <f t="shared" si="5189"/>
        <v/>
      </c>
      <c r="CK202" s="34" t="str">
        <f t="shared" si="5189"/>
        <v/>
      </c>
      <c r="CL202" s="34" t="str">
        <f t="shared" si="5189"/>
        <v/>
      </c>
      <c r="CM202" s="34" t="str">
        <f t="shared" si="5189"/>
        <v/>
      </c>
      <c r="CN202" s="34" t="str">
        <f t="shared" si="5189"/>
        <v/>
      </c>
      <c r="CO202" s="34" t="str">
        <f t="shared" si="5189"/>
        <v/>
      </c>
      <c r="CP202" s="34" t="str">
        <f t="shared" si="5189"/>
        <v/>
      </c>
      <c r="CQ202" s="34" t="str">
        <f t="shared" si="5189"/>
        <v/>
      </c>
      <c r="CR202" s="34">
        <f t="shared" si="5189"/>
        <v>0.5</v>
      </c>
      <c r="CS202" s="34" t="str">
        <f t="shared" si="5189"/>
        <v/>
      </c>
      <c r="CT202" s="33" t="str">
        <f t="shared" si="5189"/>
        <v/>
      </c>
      <c r="CU202" s="34" t="str">
        <f t="shared" si="5189"/>
        <v/>
      </c>
      <c r="CV202" s="34" t="str">
        <f t="shared" si="5189"/>
        <v/>
      </c>
      <c r="CW202" s="34" t="str">
        <f t="shared" si="5189"/>
        <v/>
      </c>
      <c r="CX202" s="34">
        <f t="shared" si="5189"/>
        <v>0.5</v>
      </c>
      <c r="CY202" s="34">
        <f t="shared" si="5189"/>
        <v>1</v>
      </c>
      <c r="CZ202" s="33" t="str">
        <f t="shared" si="5189"/>
        <v/>
      </c>
      <c r="DA202" s="33" t="str">
        <f t="shared" si="5189"/>
        <v/>
      </c>
      <c r="DB202" s="34" t="str">
        <f t="shared" si="5189"/>
        <v/>
      </c>
      <c r="DC202" s="34" t="str">
        <f t="shared" si="5189"/>
        <v/>
      </c>
      <c r="DD202" s="34" t="str">
        <f t="shared" ref="DD202" si="5190">IF(SUBTOTAL(9,DD203:DD207)&gt;0,SUBTOTAL(9,DD203:DD207),"")</f>
        <v/>
      </c>
      <c r="DE202" s="34">
        <f>IF(SUBTOTAL(9,DE203:DE207)&gt;0,SUBTOTAL(9,DE203:DE207),"")</f>
        <v>1</v>
      </c>
      <c r="DF202" s="34">
        <f>IF(SUBTOTAL(9,DF203:DF207)&gt;0,SUBTOTAL(9,DF203:DF207),"")</f>
        <v>0.5</v>
      </c>
      <c r="DG202" s="34" t="str">
        <f t="shared" ref="DG202" si="5191">IF(SUBTOTAL(9,DG203:DG207)&gt;0,SUBTOTAL(9,DG203:DG207),"")</f>
        <v/>
      </c>
      <c r="DH202" s="34" t="str">
        <f t="shared" ref="DH202" si="5192">IF(SUBTOTAL(9,DH203:DH207)&gt;0,SUBTOTAL(9,DH203:DH207),"")</f>
        <v/>
      </c>
      <c r="DI202" s="34" t="str">
        <f t="shared" ref="DI202" si="5193">IF(SUBTOTAL(9,DI203:DI207)&gt;0,SUBTOTAL(9,DI203:DI207),"")</f>
        <v/>
      </c>
      <c r="DJ202" s="34" t="str">
        <f t="shared" ref="DJ202" si="5194">IF(SUBTOTAL(9,DJ203:DJ207)&gt;0,SUBTOTAL(9,DJ203:DJ207),"")</f>
        <v/>
      </c>
      <c r="DK202" s="34" t="str">
        <f t="shared" ref="DK202" si="5195">IF(SUBTOTAL(9,DK203:DK207)&gt;0,SUBTOTAL(9,DK203:DK207),"")</f>
        <v/>
      </c>
      <c r="DL202" s="34" t="str">
        <f t="shared" ref="DL202" si="5196">IF(SUBTOTAL(9,DL203:DL207)&gt;0,SUBTOTAL(9,DL203:DL207),"")</f>
        <v/>
      </c>
      <c r="DM202" s="34" t="str">
        <f t="shared" ref="DM202" si="5197">IF(SUBTOTAL(9,DM203:DM207)&gt;0,SUBTOTAL(9,DM203:DM207),"")</f>
        <v/>
      </c>
      <c r="DN202" s="34" t="str">
        <f t="shared" ref="DN202" si="5198">IF(SUBTOTAL(9,DN203:DN207)&gt;0,SUBTOTAL(9,DN203:DN207),"")</f>
        <v/>
      </c>
      <c r="DO202" s="34" t="str">
        <f t="shared" ref="DO202" si="5199">IF(SUBTOTAL(9,DO203:DO207)&gt;0,SUBTOTAL(9,DO203:DO207),"")</f>
        <v/>
      </c>
      <c r="DP202" s="34" t="str">
        <f t="shared" ref="DP202" si="5200">IF(SUBTOTAL(9,DP203:DP207)&gt;0,SUBTOTAL(9,DP203:DP207),"")</f>
        <v/>
      </c>
      <c r="DQ202" s="34" t="str">
        <f t="shared" ref="DQ202" si="5201">IF(SUBTOTAL(9,DQ203:DQ207)&gt;0,SUBTOTAL(9,DQ203:DQ207),"")</f>
        <v/>
      </c>
      <c r="DR202" s="34" t="str">
        <f t="shared" ref="DR202" si="5202">IF(SUBTOTAL(9,DR203:DR207)&gt;0,SUBTOTAL(9,DR203:DR207),"")</f>
        <v/>
      </c>
      <c r="DS202" s="34" t="str">
        <f t="shared" ref="DS202" si="5203">IF(SUBTOTAL(9,DS203:DS207)&gt;0,SUBTOTAL(9,DS203:DS207),"")</f>
        <v/>
      </c>
      <c r="DT202" s="34" t="str">
        <f t="shared" ref="DT202" si="5204">IF(SUBTOTAL(9,DT203:DT207)&gt;0,SUBTOTAL(9,DT203:DT207),"")</f>
        <v/>
      </c>
      <c r="DU202" s="34" t="str">
        <f t="shared" ref="DU202" si="5205">IF(SUBTOTAL(9,DU203:DU207)&gt;0,SUBTOTAL(9,DU203:DU207),"")</f>
        <v/>
      </c>
      <c r="DV202" s="34" t="str">
        <f t="shared" ref="DV202" si="5206">IF(SUBTOTAL(9,DV203:DV207)&gt;0,SUBTOTAL(9,DV203:DV207),"")</f>
        <v/>
      </c>
      <c r="DW202" s="34" t="str">
        <f t="shared" ref="DW202" si="5207">IF(SUBTOTAL(9,DW203:DW207)&gt;0,SUBTOTAL(9,DW203:DW207),"")</f>
        <v/>
      </c>
      <c r="DX202" s="34" t="str">
        <f t="shared" ref="DX202" si="5208">IF(SUBTOTAL(9,DX203:DX207)&gt;0,SUBTOTAL(9,DX203:DX207),"")</f>
        <v/>
      </c>
      <c r="DY202" s="34" t="str">
        <f t="shared" ref="DY202" si="5209">IF(SUBTOTAL(9,DY203:DY207)&gt;0,SUBTOTAL(9,DY203:DY207),"")</f>
        <v/>
      </c>
      <c r="DZ202" s="33" t="str">
        <f t="shared" ref="DZ202" si="5210">IF(SUBTOTAL(9,DZ203:DZ207)&gt;0,SUBTOTAL(9,DZ203:DZ207),"")</f>
        <v/>
      </c>
      <c r="EA202" s="34" t="str">
        <f t="shared" ref="EA202" si="5211">IF(SUBTOTAL(9,EA203:EA207)&gt;0,SUBTOTAL(9,EA203:EA207),"")</f>
        <v/>
      </c>
      <c r="EB202" s="34" t="str">
        <f t="shared" ref="EB202" si="5212">IF(SUBTOTAL(9,EB203:EB207)&gt;0,SUBTOTAL(9,EB203:EB207),"")</f>
        <v/>
      </c>
      <c r="EC202" s="34" t="str">
        <f t="shared" ref="EC202" si="5213">IF(SUBTOTAL(9,EC203:EC207)&gt;0,SUBTOTAL(9,EC203:EC207),"")</f>
        <v/>
      </c>
      <c r="ED202" s="34" t="str">
        <f t="shared" ref="ED202" si="5214">IF(SUBTOTAL(9,ED203:ED207)&gt;0,SUBTOTAL(9,ED203:ED207),"")</f>
        <v/>
      </c>
      <c r="EE202" s="34" t="str">
        <f t="shared" ref="EE202" si="5215">IF(SUBTOTAL(9,EE203:EE207)&gt;0,SUBTOTAL(9,EE203:EE207),"")</f>
        <v/>
      </c>
      <c r="EF202" s="34" t="str">
        <f t="shared" ref="EF202" si="5216">IF(SUBTOTAL(9,EF203:EF207)&gt;0,SUBTOTAL(9,EF203:EF207),"")</f>
        <v/>
      </c>
      <c r="EG202" s="34" t="str">
        <f t="shared" ref="EG202" si="5217">IF(SUBTOTAL(9,EG203:EG207)&gt;0,SUBTOTAL(9,EG203:EG207),"")</f>
        <v/>
      </c>
      <c r="EH202" s="34" t="str">
        <f t="shared" ref="EH202" si="5218">IF(SUBTOTAL(9,EH203:EH207)&gt;0,SUBTOTAL(9,EH203:EH207),"")</f>
        <v/>
      </c>
      <c r="EI202" s="34" t="str">
        <f t="shared" ref="EI202" si="5219">IF(SUBTOTAL(9,EI203:EI207)&gt;0,SUBTOTAL(9,EI203:EI207),"")</f>
        <v/>
      </c>
      <c r="EJ202" s="34" t="str">
        <f t="shared" ref="EJ202" si="5220">IF(SUBTOTAL(9,EJ203:EJ207)&gt;0,SUBTOTAL(9,EJ203:EJ207),"")</f>
        <v/>
      </c>
      <c r="EK202" s="34" t="str">
        <f t="shared" ref="EK202" si="5221">IF(SUBTOTAL(9,EK203:EK207)&gt;0,SUBTOTAL(9,EK203:EK207),"")</f>
        <v/>
      </c>
      <c r="EL202" s="34" t="str">
        <f t="shared" ref="EL202" si="5222">IF(SUBTOTAL(9,EL203:EL207)&gt;0,SUBTOTAL(9,EL203:EL207),"")</f>
        <v/>
      </c>
      <c r="EM202" s="34" t="str">
        <f t="shared" ref="EM202" si="5223">IF(SUBTOTAL(9,EM203:EM207)&gt;0,SUBTOTAL(9,EM203:EM207),"")</f>
        <v/>
      </c>
      <c r="EN202" s="34" t="str">
        <f t="shared" ref="EN202" si="5224">IF(SUBTOTAL(9,EN203:EN207)&gt;0,SUBTOTAL(9,EN203:EN207),"")</f>
        <v/>
      </c>
      <c r="EO202" s="34" t="str">
        <f t="shared" ref="EO202" si="5225">IF(SUBTOTAL(9,EO203:EO207)&gt;0,SUBTOTAL(9,EO203:EO207),"")</f>
        <v/>
      </c>
      <c r="EP202" s="34" t="str">
        <f t="shared" ref="EP202" si="5226">IF(SUBTOTAL(9,EP203:EP207)&gt;0,SUBTOTAL(9,EP203:EP207),"")</f>
        <v/>
      </c>
      <c r="EQ202" s="34" t="str">
        <f t="shared" ref="EQ202" si="5227">IF(SUBTOTAL(9,EQ203:EQ207)&gt;0,SUBTOTAL(9,EQ203:EQ207),"")</f>
        <v/>
      </c>
      <c r="ER202" s="34" t="str">
        <f t="shared" ref="ER202" si="5228">IF(SUBTOTAL(9,ER203:ER207)&gt;0,SUBTOTAL(9,ER203:ER207),"")</f>
        <v/>
      </c>
      <c r="ES202" s="34" t="str">
        <f t="shared" ref="ES202" si="5229">IF(SUBTOTAL(9,ES203:ES207)&gt;0,SUBTOTAL(9,ES203:ES207),"")</f>
        <v/>
      </c>
      <c r="ET202" s="34" t="str">
        <f t="shared" ref="ET202" si="5230">IF(SUBTOTAL(9,ET203:ET207)&gt;0,SUBTOTAL(9,ET203:ET207),"")</f>
        <v/>
      </c>
      <c r="EU202" s="34" t="str">
        <f t="shared" ref="EU202" si="5231">IF(SUBTOTAL(9,EU203:EU207)&gt;0,SUBTOTAL(9,EU203:EU207),"")</f>
        <v/>
      </c>
      <c r="EV202" s="34" t="str">
        <f t="shared" ref="EV202" si="5232">IF(SUBTOTAL(9,EV203:EV207)&gt;0,SUBTOTAL(9,EV203:EV207),"")</f>
        <v/>
      </c>
      <c r="EW202" s="34" t="str">
        <f t="shared" ref="EW202" si="5233">IF(SUBTOTAL(9,EW203:EW207)&gt;0,SUBTOTAL(9,EW203:EW207),"")</f>
        <v/>
      </c>
      <c r="EX202" s="34" t="str">
        <f t="shared" ref="EX202" si="5234">IF(SUBTOTAL(9,EX203:EX207)&gt;0,SUBTOTAL(9,EX203:EX207),"")</f>
        <v/>
      </c>
      <c r="EY202" s="33" t="str">
        <f t="shared" ref="EY202" si="5235">IF(SUBTOTAL(9,EY203:EY207)&gt;0,SUBTOTAL(9,EY203:EY207),"")</f>
        <v/>
      </c>
      <c r="EZ202" s="34" t="str">
        <f t="shared" ref="EZ202" si="5236">IF(SUBTOTAL(9,EZ203:EZ207)&gt;0,SUBTOTAL(9,EZ203:EZ207),"")</f>
        <v/>
      </c>
      <c r="FA202" s="34" t="str">
        <f t="shared" ref="FA202" si="5237">IF(SUBTOTAL(9,FA203:FA207)&gt;0,SUBTOTAL(9,FA203:FA207),"")</f>
        <v/>
      </c>
      <c r="FB202" s="34" t="str">
        <f t="shared" ref="FB202" si="5238">IF(SUBTOTAL(9,FB203:FB207)&gt;0,SUBTOTAL(9,FB203:FB207),"")</f>
        <v/>
      </c>
      <c r="FC202" s="34" t="str">
        <f t="shared" ref="FC202" si="5239">IF(SUBTOTAL(9,FC203:FC207)&gt;0,SUBTOTAL(9,FC203:FC207),"")</f>
        <v/>
      </c>
      <c r="FD202" s="34" t="str">
        <f t="shared" ref="FD202" si="5240">IF(SUBTOTAL(9,FD203:FD207)&gt;0,SUBTOTAL(9,FD203:FD207),"")</f>
        <v/>
      </c>
      <c r="FE202" s="34" t="str">
        <f t="shared" ref="FE202" si="5241">IF(SUBTOTAL(9,FE203:FE207)&gt;0,SUBTOTAL(9,FE203:FE207),"")</f>
        <v/>
      </c>
      <c r="FF202" s="34" t="str">
        <f t="shared" ref="FF202" si="5242">IF(SUBTOTAL(9,FF203:FF207)&gt;0,SUBTOTAL(9,FF203:FF207),"")</f>
        <v/>
      </c>
      <c r="FG202" s="34" t="str">
        <f t="shared" ref="FG202" si="5243">IF(SUBTOTAL(9,FG203:FG207)&gt;0,SUBTOTAL(9,FG203:FG207),"")</f>
        <v/>
      </c>
      <c r="FH202" s="34" t="str">
        <f t="shared" ref="FH202" si="5244">IF(SUBTOTAL(9,FH203:FH207)&gt;0,SUBTOTAL(9,FH203:FH207),"")</f>
        <v/>
      </c>
      <c r="FI202" s="34" t="str">
        <f t="shared" ref="FI202" si="5245">IF(SUBTOTAL(9,FI203:FI207)&gt;0,SUBTOTAL(9,FI203:FI207),"")</f>
        <v/>
      </c>
      <c r="FJ202" s="34" t="str">
        <f t="shared" ref="FJ202" si="5246">IF(SUBTOTAL(9,FJ203:FJ207)&gt;0,SUBTOTAL(9,FJ203:FJ207),"")</f>
        <v/>
      </c>
      <c r="FK202" s="34" t="str">
        <f t="shared" ref="FK202" si="5247">IF(SUBTOTAL(9,FK203:FK207)&gt;0,SUBTOTAL(9,FK203:FK207),"")</f>
        <v/>
      </c>
      <c r="FL202" s="34" t="str">
        <f t="shared" ref="FL202" si="5248">IF(SUBTOTAL(9,FL203:FL207)&gt;0,SUBTOTAL(9,FL203:FL207),"")</f>
        <v/>
      </c>
      <c r="FM202" s="34" t="str">
        <f t="shared" ref="FM202" si="5249">IF(SUBTOTAL(9,FM203:FM207)&gt;0,SUBTOTAL(9,FM203:FM207),"")</f>
        <v/>
      </c>
      <c r="FN202" s="34" t="str">
        <f t="shared" ref="FN202" si="5250">IF(SUBTOTAL(9,FN203:FN207)&gt;0,SUBTOTAL(9,FN203:FN207),"")</f>
        <v/>
      </c>
      <c r="FO202" s="34" t="str">
        <f t="shared" ref="FO202" si="5251">IF(SUBTOTAL(9,FO203:FO207)&gt;0,SUBTOTAL(9,FO203:FO207),"")</f>
        <v/>
      </c>
      <c r="FP202" s="34" t="str">
        <f t="shared" ref="FP202" si="5252">IF(SUBTOTAL(9,FP203:FP207)&gt;0,SUBTOTAL(9,FP203:FP207),"")</f>
        <v/>
      </c>
      <c r="FQ202" s="92" t="str">
        <f t="shared" ref="FQ202" si="5253">IF(SUBTOTAL(9,FQ203:FQ207)&gt;0,SUBTOTAL(9,FQ203:FQ207),"")</f>
        <v/>
      </c>
      <c r="FR202" s="8"/>
      <c r="FS202" s="9" t="s">
        <v>131</v>
      </c>
      <c r="FT202" s="9" t="str">
        <f t="shared" si="3664"/>
        <v/>
      </c>
    </row>
    <row r="203" spans="1:176" s="9" customFormat="1" ht="12" hidden="1" customHeight="1" outlineLevel="1">
      <c r="A203" s="129" t="s">
        <v>4</v>
      </c>
      <c r="B203" s="130" t="s">
        <v>10</v>
      </c>
      <c r="C203" s="131" t="str">
        <f t="shared" si="5114"/>
        <v>4 days</v>
      </c>
      <c r="D203" s="101" t="str">
        <f>A195&amp;" "&amp;A202</f>
        <v>7. RSR Development &amp; Dry Run 7.2 Review</v>
      </c>
      <c r="E203" s="51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5"/>
      <c r="AE203" s="35"/>
      <c r="AF203" s="35"/>
      <c r="AG203" s="35"/>
      <c r="AH203" s="35"/>
      <c r="AI203" s="35"/>
      <c r="AJ203" s="35"/>
      <c r="AK203" s="35"/>
      <c r="AL203" s="36"/>
      <c r="AM203" s="36"/>
      <c r="AN203" s="36"/>
      <c r="AO203" s="36"/>
      <c r="AP203" s="36"/>
      <c r="AQ203" s="36"/>
      <c r="AR203" s="36"/>
      <c r="AS203" s="35"/>
      <c r="AT203" s="35"/>
      <c r="AU203" s="35"/>
      <c r="AV203" s="35"/>
      <c r="AW203" s="35"/>
      <c r="AX203" s="35"/>
      <c r="AY203" s="35"/>
      <c r="AZ203" s="35"/>
      <c r="BA203" s="35"/>
      <c r="BB203" s="35"/>
      <c r="BC203" s="35"/>
      <c r="BD203" s="35"/>
      <c r="BE203" s="35"/>
      <c r="BF203" s="35"/>
      <c r="BG203" s="35"/>
      <c r="BH203" s="35"/>
      <c r="BI203" s="35"/>
      <c r="BJ203" s="35"/>
      <c r="BK203" s="35"/>
      <c r="BL203" s="35"/>
      <c r="BM203" s="35"/>
      <c r="BN203" s="35"/>
      <c r="BO203" s="35"/>
      <c r="BP203" s="35"/>
      <c r="BQ203" s="35"/>
      <c r="BR203" s="35"/>
      <c r="BS203" s="35"/>
      <c r="BT203" s="35"/>
      <c r="BU203" s="35"/>
      <c r="BV203" s="35"/>
      <c r="BW203" s="35"/>
      <c r="BX203" s="35"/>
      <c r="BY203" s="35"/>
      <c r="BZ203" s="35"/>
      <c r="CA203" s="35"/>
      <c r="CB203" s="35"/>
      <c r="CC203" s="35"/>
      <c r="CD203" s="35">
        <v>0.25</v>
      </c>
      <c r="CE203" s="35"/>
      <c r="CF203" s="35"/>
      <c r="CG203" s="35"/>
      <c r="CH203" s="35"/>
      <c r="CI203" s="35">
        <v>0.25</v>
      </c>
      <c r="CJ203" s="35"/>
      <c r="CK203" s="35"/>
      <c r="CL203" s="35"/>
      <c r="CM203" s="35"/>
      <c r="CN203" s="35"/>
      <c r="CO203" s="35"/>
      <c r="CP203" s="35"/>
      <c r="CQ203" s="35"/>
      <c r="CR203" s="35">
        <v>0.5</v>
      </c>
      <c r="CS203" s="35"/>
      <c r="CT203" s="36"/>
      <c r="CU203" s="35"/>
      <c r="CV203" s="35"/>
      <c r="CW203" s="35"/>
      <c r="CX203" s="35">
        <v>0.5</v>
      </c>
      <c r="CY203" s="35">
        <v>1</v>
      </c>
      <c r="CZ203" s="36"/>
      <c r="DA203" s="36"/>
      <c r="DB203" s="93"/>
      <c r="DC203" s="93"/>
      <c r="DD203" s="35"/>
      <c r="DE203" s="35">
        <v>1</v>
      </c>
      <c r="DF203" s="35">
        <v>0.5</v>
      </c>
      <c r="DG203" s="35"/>
      <c r="DH203" s="35"/>
      <c r="DI203" s="35"/>
      <c r="DJ203" s="35"/>
      <c r="DK203" s="35"/>
      <c r="DL203" s="35"/>
      <c r="DM203" s="35"/>
      <c r="DN203" s="35"/>
      <c r="DO203" s="35"/>
      <c r="DP203" s="35"/>
      <c r="DQ203" s="35"/>
      <c r="DR203" s="35"/>
      <c r="DS203" s="35"/>
      <c r="DT203" s="35"/>
      <c r="DU203" s="35"/>
      <c r="DV203" s="35"/>
      <c r="DW203" s="35"/>
      <c r="DX203" s="35"/>
      <c r="DY203" s="35"/>
      <c r="DZ203" s="36"/>
      <c r="EA203" s="35"/>
      <c r="EB203" s="35"/>
      <c r="EC203" s="35"/>
      <c r="ED203" s="35"/>
      <c r="EE203" s="35"/>
      <c r="EF203" s="35"/>
      <c r="EG203" s="35"/>
      <c r="EH203" s="35"/>
      <c r="EI203" s="35"/>
      <c r="EJ203" s="35"/>
      <c r="EK203" s="35"/>
      <c r="EL203" s="35"/>
      <c r="EM203" s="35"/>
      <c r="EN203" s="35"/>
      <c r="EO203" s="35"/>
      <c r="EP203" s="35"/>
      <c r="EQ203" s="35"/>
      <c r="ER203" s="35"/>
      <c r="ES203" s="35"/>
      <c r="ET203" s="35"/>
      <c r="EU203" s="35"/>
      <c r="EV203" s="35"/>
      <c r="EW203" s="35"/>
      <c r="EX203" s="35"/>
      <c r="EY203" s="36"/>
      <c r="EZ203" s="35"/>
      <c r="FA203" s="35"/>
      <c r="FB203" s="35"/>
      <c r="FC203" s="35"/>
      <c r="FD203" s="35"/>
      <c r="FE203" s="35"/>
      <c r="FF203" s="35"/>
      <c r="FG203" s="35"/>
      <c r="FH203" s="35"/>
      <c r="FI203" s="35"/>
      <c r="FJ203" s="35"/>
      <c r="FK203" s="35"/>
      <c r="FL203" s="35"/>
      <c r="FM203" s="35"/>
      <c r="FN203" s="35"/>
      <c r="FO203" s="35"/>
      <c r="FP203" s="35"/>
      <c r="FQ203" s="52"/>
      <c r="FR203" s="8"/>
      <c r="FS203" s="9" t="s">
        <v>13</v>
      </c>
      <c r="FT203" s="9" t="str">
        <f t="shared" si="3664"/>
        <v>7. RSR Development &amp; Dry Run 7.2 ReviewGlenn Kirk</v>
      </c>
    </row>
    <row r="204" spans="1:176" s="9" customFormat="1" ht="12" hidden="1" customHeight="1" outlineLevel="1">
      <c r="A204" s="122"/>
      <c r="B204" s="123"/>
      <c r="C204" s="124" t="str">
        <f t="shared" si="5114"/>
        <v>0 days</v>
      </c>
      <c r="D204" s="13" t="str">
        <f>A195&amp;" "&amp;A202</f>
        <v>7. RSR Development &amp; Dry Run 7.2 Review</v>
      </c>
      <c r="E204" s="51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5"/>
      <c r="AE204" s="35"/>
      <c r="AF204" s="35"/>
      <c r="AG204" s="35"/>
      <c r="AH204" s="35"/>
      <c r="AI204" s="35"/>
      <c r="AJ204" s="35"/>
      <c r="AK204" s="35"/>
      <c r="AL204" s="36"/>
      <c r="AM204" s="36"/>
      <c r="AN204" s="36"/>
      <c r="AO204" s="36"/>
      <c r="AP204" s="36"/>
      <c r="AQ204" s="36"/>
      <c r="AR204" s="36"/>
      <c r="AS204" s="35"/>
      <c r="AT204" s="35"/>
      <c r="AU204" s="35"/>
      <c r="AV204" s="35"/>
      <c r="AW204" s="35"/>
      <c r="AX204" s="35"/>
      <c r="AY204" s="35"/>
      <c r="AZ204" s="35"/>
      <c r="BA204" s="35"/>
      <c r="BB204" s="35"/>
      <c r="BC204" s="35"/>
      <c r="BD204" s="35"/>
      <c r="BE204" s="35"/>
      <c r="BF204" s="35"/>
      <c r="BG204" s="35"/>
      <c r="BH204" s="35"/>
      <c r="BI204" s="35"/>
      <c r="BJ204" s="35"/>
      <c r="BK204" s="35"/>
      <c r="BL204" s="35"/>
      <c r="BM204" s="35"/>
      <c r="BN204" s="35"/>
      <c r="BO204" s="35"/>
      <c r="BP204" s="35"/>
      <c r="BQ204" s="35"/>
      <c r="BR204" s="35"/>
      <c r="BS204" s="35"/>
      <c r="BT204" s="35"/>
      <c r="BU204" s="35"/>
      <c r="BV204" s="35"/>
      <c r="BW204" s="35"/>
      <c r="BX204" s="35"/>
      <c r="BY204" s="35"/>
      <c r="BZ204" s="35"/>
      <c r="CA204" s="35"/>
      <c r="CB204" s="35"/>
      <c r="CC204" s="35"/>
      <c r="CD204" s="35"/>
      <c r="CE204" s="35"/>
      <c r="CF204" s="35"/>
      <c r="CG204" s="35"/>
      <c r="CH204" s="35"/>
      <c r="CI204" s="35"/>
      <c r="CJ204" s="35"/>
      <c r="CK204" s="35"/>
      <c r="CL204" s="35"/>
      <c r="CM204" s="35"/>
      <c r="CN204" s="35"/>
      <c r="CO204" s="35"/>
      <c r="CP204" s="35"/>
      <c r="CQ204" s="35"/>
      <c r="CR204" s="35"/>
      <c r="CS204" s="35"/>
      <c r="CT204" s="36"/>
      <c r="CU204" s="35"/>
      <c r="CV204" s="35"/>
      <c r="CW204" s="35"/>
      <c r="CX204" s="35"/>
      <c r="CY204" s="35"/>
      <c r="CZ204" s="36"/>
      <c r="DA204" s="36"/>
      <c r="DB204" s="35"/>
      <c r="DC204" s="35"/>
      <c r="DD204" s="35"/>
      <c r="DE204" s="35"/>
      <c r="DF204" s="35"/>
      <c r="DG204" s="35"/>
      <c r="DH204" s="35"/>
      <c r="DI204" s="35"/>
      <c r="DJ204" s="35"/>
      <c r="DK204" s="35"/>
      <c r="DL204" s="35"/>
      <c r="DM204" s="35"/>
      <c r="DN204" s="35"/>
      <c r="DO204" s="35"/>
      <c r="DP204" s="35"/>
      <c r="DQ204" s="35"/>
      <c r="DR204" s="35"/>
      <c r="DS204" s="35"/>
      <c r="DT204" s="35"/>
      <c r="DU204" s="35"/>
      <c r="DV204" s="35"/>
      <c r="DW204" s="35"/>
      <c r="DX204" s="35"/>
      <c r="DY204" s="35"/>
      <c r="DZ204" s="36"/>
      <c r="EA204" s="35"/>
      <c r="EB204" s="35"/>
      <c r="EC204" s="35"/>
      <c r="ED204" s="35"/>
      <c r="EE204" s="35"/>
      <c r="EF204" s="35"/>
      <c r="EG204" s="35"/>
      <c r="EH204" s="35"/>
      <c r="EI204" s="35"/>
      <c r="EJ204" s="35"/>
      <c r="EK204" s="35"/>
      <c r="EL204" s="35"/>
      <c r="EM204" s="35"/>
      <c r="EN204" s="35"/>
      <c r="EO204" s="35"/>
      <c r="EP204" s="35"/>
      <c r="EQ204" s="35"/>
      <c r="ER204" s="35"/>
      <c r="ES204" s="35"/>
      <c r="ET204" s="35"/>
      <c r="EU204" s="35"/>
      <c r="EV204" s="35"/>
      <c r="EW204" s="35"/>
      <c r="EX204" s="35"/>
      <c r="EY204" s="36"/>
      <c r="EZ204" s="35"/>
      <c r="FA204" s="35"/>
      <c r="FB204" s="35"/>
      <c r="FC204" s="35"/>
      <c r="FD204" s="35"/>
      <c r="FE204" s="35"/>
      <c r="FF204" s="35"/>
      <c r="FG204" s="35"/>
      <c r="FH204" s="35"/>
      <c r="FI204" s="35"/>
      <c r="FJ204" s="35"/>
      <c r="FK204" s="35"/>
      <c r="FL204" s="35"/>
      <c r="FM204" s="35"/>
      <c r="FN204" s="35"/>
      <c r="FO204" s="35"/>
      <c r="FP204" s="35"/>
      <c r="FQ204" s="52"/>
      <c r="FR204" s="8"/>
      <c r="FS204" s="9" t="s">
        <v>13</v>
      </c>
      <c r="FT204" s="9" t="str">
        <f t="shared" ref="FT204:FT267" si="5254">CONCATENATE(D204,B204)</f>
        <v>7. RSR Development &amp; Dry Run 7.2 Review</v>
      </c>
    </row>
    <row r="205" spans="1:176" s="9" customFormat="1" ht="12" hidden="1" customHeight="1" outlineLevel="1">
      <c r="A205" s="125" t="s">
        <v>50</v>
      </c>
      <c r="B205" s="123"/>
      <c r="C205" s="124" t="str">
        <f t="shared" si="5114"/>
        <v>0 days</v>
      </c>
      <c r="D205" s="13" t="str">
        <f>A195&amp;" "&amp;A202</f>
        <v>7. RSR Development &amp; Dry Run 7.2 Review</v>
      </c>
      <c r="E205" s="51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A205" s="35"/>
      <c r="AB205" s="35"/>
      <c r="AC205" s="35"/>
      <c r="AD205" s="35"/>
      <c r="AE205" s="35"/>
      <c r="AF205" s="35"/>
      <c r="AG205" s="35"/>
      <c r="AH205" s="35"/>
      <c r="AI205" s="35"/>
      <c r="AJ205" s="35"/>
      <c r="AK205" s="35"/>
      <c r="AL205" s="36"/>
      <c r="AM205" s="36"/>
      <c r="AN205" s="36"/>
      <c r="AO205" s="36"/>
      <c r="AP205" s="36"/>
      <c r="AQ205" s="36"/>
      <c r="AR205" s="36"/>
      <c r="AS205" s="35"/>
      <c r="AT205" s="35"/>
      <c r="AU205" s="35"/>
      <c r="AV205" s="35"/>
      <c r="AW205" s="35"/>
      <c r="AX205" s="35"/>
      <c r="AY205" s="35"/>
      <c r="AZ205" s="35"/>
      <c r="BA205" s="35"/>
      <c r="BB205" s="35"/>
      <c r="BC205" s="35"/>
      <c r="BD205" s="35"/>
      <c r="BE205" s="35"/>
      <c r="BF205" s="35"/>
      <c r="BG205" s="35"/>
      <c r="BH205" s="35"/>
      <c r="BI205" s="35"/>
      <c r="BJ205" s="35"/>
      <c r="BK205" s="35"/>
      <c r="BL205" s="35"/>
      <c r="BM205" s="35"/>
      <c r="BN205" s="35"/>
      <c r="BO205" s="35"/>
      <c r="BP205" s="35"/>
      <c r="BQ205" s="35"/>
      <c r="BR205" s="35"/>
      <c r="BS205" s="35"/>
      <c r="BT205" s="35"/>
      <c r="BU205" s="35"/>
      <c r="BV205" s="35"/>
      <c r="BW205" s="35"/>
      <c r="BX205" s="35"/>
      <c r="BY205" s="35"/>
      <c r="BZ205" s="35"/>
      <c r="CA205" s="35"/>
      <c r="CB205" s="35"/>
      <c r="CC205" s="35"/>
      <c r="CD205" s="35"/>
      <c r="CE205" s="35"/>
      <c r="CF205" s="35"/>
      <c r="CG205" s="35"/>
      <c r="CH205" s="35"/>
      <c r="CI205" s="35"/>
      <c r="CJ205" s="35"/>
      <c r="CK205" s="35"/>
      <c r="CL205" s="35"/>
      <c r="CM205" s="35"/>
      <c r="CN205" s="35"/>
      <c r="CO205" s="35"/>
      <c r="CP205" s="35"/>
      <c r="CQ205" s="35"/>
      <c r="CR205" s="35"/>
      <c r="CS205" s="35"/>
      <c r="CT205" s="36"/>
      <c r="CU205" s="35"/>
      <c r="CV205" s="35"/>
      <c r="CW205" s="35"/>
      <c r="CX205" s="35"/>
      <c r="CY205" s="35"/>
      <c r="CZ205" s="36"/>
      <c r="DA205" s="36"/>
      <c r="DB205" s="35"/>
      <c r="DC205" s="35"/>
      <c r="DD205" s="35"/>
      <c r="DE205" s="35"/>
      <c r="DF205" s="35"/>
      <c r="DG205" s="35"/>
      <c r="DH205" s="35"/>
      <c r="DI205" s="35"/>
      <c r="DJ205" s="35"/>
      <c r="DK205" s="35"/>
      <c r="DL205" s="35"/>
      <c r="DM205" s="35"/>
      <c r="DN205" s="35"/>
      <c r="DO205" s="35"/>
      <c r="DP205" s="35"/>
      <c r="DQ205" s="35"/>
      <c r="DR205" s="35"/>
      <c r="DS205" s="35"/>
      <c r="DT205" s="35"/>
      <c r="DU205" s="35"/>
      <c r="DV205" s="35"/>
      <c r="DW205" s="35"/>
      <c r="DX205" s="35"/>
      <c r="DY205" s="35"/>
      <c r="DZ205" s="36"/>
      <c r="EA205" s="35"/>
      <c r="EB205" s="35"/>
      <c r="EC205" s="35"/>
      <c r="ED205" s="35"/>
      <c r="EE205" s="35"/>
      <c r="EF205" s="35"/>
      <c r="EG205" s="35"/>
      <c r="EH205" s="35"/>
      <c r="EI205" s="35"/>
      <c r="EJ205" s="35"/>
      <c r="EK205" s="35"/>
      <c r="EL205" s="35"/>
      <c r="EM205" s="35"/>
      <c r="EN205" s="35"/>
      <c r="EO205" s="35"/>
      <c r="EP205" s="35"/>
      <c r="EQ205" s="35"/>
      <c r="ER205" s="35"/>
      <c r="ES205" s="35"/>
      <c r="ET205" s="35"/>
      <c r="EU205" s="35"/>
      <c r="EV205" s="35"/>
      <c r="EW205" s="35"/>
      <c r="EX205" s="35"/>
      <c r="EY205" s="36"/>
      <c r="EZ205" s="35"/>
      <c r="FA205" s="35"/>
      <c r="FB205" s="35"/>
      <c r="FC205" s="35"/>
      <c r="FD205" s="35"/>
      <c r="FE205" s="35"/>
      <c r="FF205" s="35"/>
      <c r="FG205" s="35"/>
      <c r="FH205" s="35"/>
      <c r="FI205" s="35"/>
      <c r="FJ205" s="35"/>
      <c r="FK205" s="35"/>
      <c r="FL205" s="35"/>
      <c r="FM205" s="35"/>
      <c r="FN205" s="35"/>
      <c r="FO205" s="35"/>
      <c r="FP205" s="35"/>
      <c r="FQ205" s="52"/>
      <c r="FR205" s="8"/>
      <c r="FS205" s="9" t="s">
        <v>13</v>
      </c>
      <c r="FT205" s="9" t="str">
        <f t="shared" si="5254"/>
        <v>7. RSR Development &amp; Dry Run 7.2 Review</v>
      </c>
    </row>
    <row r="206" spans="1:176" s="9" customFormat="1" ht="12" hidden="1" customHeight="1" outlineLevel="1">
      <c r="A206" s="125" t="s">
        <v>50</v>
      </c>
      <c r="B206" s="123"/>
      <c r="C206" s="124" t="str">
        <f t="shared" si="5114"/>
        <v>0 days</v>
      </c>
      <c r="D206" s="13" t="str">
        <f>A195&amp;" "&amp;A202</f>
        <v>7. RSR Development &amp; Dry Run 7.2 Review</v>
      </c>
      <c r="E206" s="51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R206" s="35"/>
      <c r="S206" s="35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5"/>
      <c r="AE206" s="35"/>
      <c r="AF206" s="35"/>
      <c r="AG206" s="35"/>
      <c r="AH206" s="35"/>
      <c r="AI206" s="35"/>
      <c r="AJ206" s="35"/>
      <c r="AK206" s="35"/>
      <c r="AL206" s="36"/>
      <c r="AM206" s="36"/>
      <c r="AN206" s="36"/>
      <c r="AO206" s="36"/>
      <c r="AP206" s="36"/>
      <c r="AQ206" s="36"/>
      <c r="AR206" s="36"/>
      <c r="AS206" s="35"/>
      <c r="AT206" s="35"/>
      <c r="AU206" s="35"/>
      <c r="AV206" s="35"/>
      <c r="AW206" s="35"/>
      <c r="AX206" s="35"/>
      <c r="AY206" s="35"/>
      <c r="AZ206" s="35"/>
      <c r="BA206" s="35"/>
      <c r="BB206" s="35"/>
      <c r="BC206" s="35"/>
      <c r="BD206" s="35"/>
      <c r="BE206" s="35"/>
      <c r="BF206" s="35"/>
      <c r="BG206" s="35"/>
      <c r="BH206" s="35"/>
      <c r="BI206" s="35"/>
      <c r="BJ206" s="35"/>
      <c r="BK206" s="35"/>
      <c r="BL206" s="35"/>
      <c r="BM206" s="35"/>
      <c r="BN206" s="35"/>
      <c r="BO206" s="35"/>
      <c r="BP206" s="35"/>
      <c r="BQ206" s="35"/>
      <c r="BR206" s="35"/>
      <c r="BS206" s="35"/>
      <c r="BT206" s="35"/>
      <c r="BU206" s="35"/>
      <c r="BV206" s="35"/>
      <c r="BW206" s="35"/>
      <c r="BX206" s="35"/>
      <c r="BY206" s="35"/>
      <c r="BZ206" s="35"/>
      <c r="CA206" s="35"/>
      <c r="CB206" s="35"/>
      <c r="CC206" s="35"/>
      <c r="CD206" s="35"/>
      <c r="CE206" s="35"/>
      <c r="CF206" s="35"/>
      <c r="CG206" s="35"/>
      <c r="CH206" s="35"/>
      <c r="CI206" s="35"/>
      <c r="CJ206" s="35"/>
      <c r="CK206" s="35"/>
      <c r="CL206" s="35"/>
      <c r="CM206" s="35"/>
      <c r="CN206" s="35"/>
      <c r="CO206" s="35"/>
      <c r="CP206" s="35"/>
      <c r="CQ206" s="35"/>
      <c r="CR206" s="35"/>
      <c r="CS206" s="35"/>
      <c r="CT206" s="36"/>
      <c r="CU206" s="35"/>
      <c r="CV206" s="35"/>
      <c r="CW206" s="35"/>
      <c r="CX206" s="35"/>
      <c r="CY206" s="35"/>
      <c r="CZ206" s="36"/>
      <c r="DA206" s="36"/>
      <c r="DB206" s="35"/>
      <c r="DC206" s="35"/>
      <c r="DD206" s="35"/>
      <c r="DE206" s="35"/>
      <c r="DF206" s="35"/>
      <c r="DG206" s="35"/>
      <c r="DH206" s="35"/>
      <c r="DI206" s="35"/>
      <c r="DJ206" s="35"/>
      <c r="DK206" s="35"/>
      <c r="DL206" s="35"/>
      <c r="DM206" s="35"/>
      <c r="DN206" s="35"/>
      <c r="DO206" s="35"/>
      <c r="DP206" s="35"/>
      <c r="DQ206" s="35"/>
      <c r="DR206" s="35"/>
      <c r="DS206" s="35"/>
      <c r="DT206" s="35"/>
      <c r="DU206" s="35"/>
      <c r="DV206" s="35"/>
      <c r="DW206" s="35"/>
      <c r="DX206" s="35"/>
      <c r="DY206" s="35"/>
      <c r="DZ206" s="36"/>
      <c r="EA206" s="35"/>
      <c r="EB206" s="35"/>
      <c r="EC206" s="35"/>
      <c r="ED206" s="35"/>
      <c r="EE206" s="35"/>
      <c r="EF206" s="35"/>
      <c r="EG206" s="35"/>
      <c r="EH206" s="35"/>
      <c r="EI206" s="35"/>
      <c r="EJ206" s="35"/>
      <c r="EK206" s="35"/>
      <c r="EL206" s="35"/>
      <c r="EM206" s="35"/>
      <c r="EN206" s="35"/>
      <c r="EO206" s="35"/>
      <c r="EP206" s="35"/>
      <c r="EQ206" s="35"/>
      <c r="ER206" s="35"/>
      <c r="ES206" s="35"/>
      <c r="ET206" s="35"/>
      <c r="EU206" s="35"/>
      <c r="EV206" s="35"/>
      <c r="EW206" s="35"/>
      <c r="EX206" s="35"/>
      <c r="EY206" s="36"/>
      <c r="EZ206" s="35"/>
      <c r="FA206" s="35"/>
      <c r="FB206" s="35"/>
      <c r="FC206" s="35"/>
      <c r="FD206" s="35"/>
      <c r="FE206" s="35"/>
      <c r="FF206" s="35"/>
      <c r="FG206" s="35"/>
      <c r="FH206" s="35"/>
      <c r="FI206" s="35"/>
      <c r="FJ206" s="35"/>
      <c r="FK206" s="35"/>
      <c r="FL206" s="35"/>
      <c r="FM206" s="35"/>
      <c r="FN206" s="35"/>
      <c r="FO206" s="35"/>
      <c r="FP206" s="35"/>
      <c r="FQ206" s="52"/>
      <c r="FR206" s="8"/>
      <c r="FS206" s="9" t="s">
        <v>13</v>
      </c>
      <c r="FT206" s="9" t="str">
        <f t="shared" si="5254"/>
        <v>7. RSR Development &amp; Dry Run 7.2 Review</v>
      </c>
    </row>
    <row r="207" spans="1:176" s="9" customFormat="1" ht="12" hidden="1" customHeight="1" outlineLevel="1">
      <c r="A207" s="126" t="s">
        <v>50</v>
      </c>
      <c r="B207" s="123"/>
      <c r="C207" s="135" t="str">
        <f t="shared" si="5114"/>
        <v>0 days</v>
      </c>
      <c r="D207" s="12" t="str">
        <f>A195&amp;" "&amp;A202</f>
        <v>7. RSR Development &amp; Dry Run 7.2 Review</v>
      </c>
      <c r="E207" s="51"/>
      <c r="F207" s="35"/>
      <c r="G207" s="35"/>
      <c r="H207" s="35"/>
      <c r="I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5"/>
      <c r="AE207" s="35"/>
      <c r="AF207" s="35"/>
      <c r="AG207" s="35"/>
      <c r="AH207" s="35"/>
      <c r="AI207" s="35"/>
      <c r="AJ207" s="35"/>
      <c r="AK207" s="35"/>
      <c r="AL207" s="36"/>
      <c r="AM207" s="36"/>
      <c r="AN207" s="36"/>
      <c r="AO207" s="36"/>
      <c r="AP207" s="36"/>
      <c r="AQ207" s="36"/>
      <c r="AR207" s="36"/>
      <c r="AS207" s="35"/>
      <c r="AT207" s="35"/>
      <c r="AU207" s="35"/>
      <c r="AV207" s="35"/>
      <c r="AW207" s="35"/>
      <c r="AX207" s="35"/>
      <c r="AY207" s="35"/>
      <c r="AZ207" s="35"/>
      <c r="BA207" s="35"/>
      <c r="BB207" s="35"/>
      <c r="BC207" s="35"/>
      <c r="BD207" s="35"/>
      <c r="BE207" s="35"/>
      <c r="BF207" s="35"/>
      <c r="BG207" s="35"/>
      <c r="BH207" s="35"/>
      <c r="BI207" s="35"/>
      <c r="BJ207" s="35"/>
      <c r="BK207" s="35"/>
      <c r="BL207" s="35"/>
      <c r="BM207" s="35"/>
      <c r="BN207" s="35"/>
      <c r="BO207" s="35"/>
      <c r="BP207" s="35"/>
      <c r="BQ207" s="35"/>
      <c r="BR207" s="35"/>
      <c r="BS207" s="35"/>
      <c r="BT207" s="35"/>
      <c r="BU207" s="35"/>
      <c r="BV207" s="35"/>
      <c r="BW207" s="35"/>
      <c r="BX207" s="35"/>
      <c r="BY207" s="35"/>
      <c r="BZ207" s="35"/>
      <c r="CA207" s="35"/>
      <c r="CB207" s="35"/>
      <c r="CC207" s="35"/>
      <c r="CD207" s="35"/>
      <c r="CE207" s="35"/>
      <c r="CF207" s="35"/>
      <c r="CG207" s="35"/>
      <c r="CH207" s="35"/>
      <c r="CI207" s="35"/>
      <c r="CJ207" s="35"/>
      <c r="CK207" s="35"/>
      <c r="CL207" s="35"/>
      <c r="CM207" s="35"/>
      <c r="CN207" s="35"/>
      <c r="CO207" s="35"/>
      <c r="CP207" s="35"/>
      <c r="CQ207" s="35"/>
      <c r="CR207" s="35"/>
      <c r="CS207" s="35"/>
      <c r="CT207" s="36"/>
      <c r="CU207" s="35"/>
      <c r="CV207" s="35"/>
      <c r="CW207" s="35"/>
      <c r="CX207" s="35"/>
      <c r="CY207" s="35"/>
      <c r="CZ207" s="36"/>
      <c r="DA207" s="36"/>
      <c r="DB207" s="35"/>
      <c r="DC207" s="35"/>
      <c r="DD207" s="35"/>
      <c r="DE207" s="35"/>
      <c r="DF207" s="35"/>
      <c r="DG207" s="35"/>
      <c r="DH207" s="35"/>
      <c r="DI207" s="35"/>
      <c r="DJ207" s="35"/>
      <c r="DK207" s="35"/>
      <c r="DL207" s="35"/>
      <c r="DM207" s="35"/>
      <c r="DN207" s="35"/>
      <c r="DO207" s="35"/>
      <c r="DP207" s="35"/>
      <c r="DQ207" s="35"/>
      <c r="DR207" s="35"/>
      <c r="DS207" s="35"/>
      <c r="DT207" s="35"/>
      <c r="DU207" s="35"/>
      <c r="DV207" s="35"/>
      <c r="DW207" s="35"/>
      <c r="DX207" s="35"/>
      <c r="DY207" s="35"/>
      <c r="DZ207" s="36"/>
      <c r="EA207" s="35"/>
      <c r="EB207" s="35"/>
      <c r="EC207" s="35"/>
      <c r="ED207" s="35"/>
      <c r="EE207" s="35"/>
      <c r="EF207" s="35"/>
      <c r="EG207" s="35"/>
      <c r="EH207" s="35"/>
      <c r="EI207" s="35"/>
      <c r="EJ207" s="35"/>
      <c r="EK207" s="35"/>
      <c r="EL207" s="35"/>
      <c r="EM207" s="35"/>
      <c r="EN207" s="35"/>
      <c r="EO207" s="35"/>
      <c r="EP207" s="35"/>
      <c r="EQ207" s="35"/>
      <c r="ER207" s="35"/>
      <c r="ES207" s="35"/>
      <c r="ET207" s="35"/>
      <c r="EU207" s="35"/>
      <c r="EV207" s="35"/>
      <c r="EW207" s="35"/>
      <c r="EX207" s="35"/>
      <c r="EY207" s="36"/>
      <c r="EZ207" s="35"/>
      <c r="FA207" s="35"/>
      <c r="FB207" s="35"/>
      <c r="FC207" s="35"/>
      <c r="FD207" s="35"/>
      <c r="FE207" s="35"/>
      <c r="FF207" s="35"/>
      <c r="FG207" s="35"/>
      <c r="FH207" s="35"/>
      <c r="FI207" s="35"/>
      <c r="FJ207" s="35"/>
      <c r="FK207" s="35"/>
      <c r="FL207" s="35"/>
      <c r="FM207" s="35"/>
      <c r="FN207" s="35"/>
      <c r="FO207" s="35"/>
      <c r="FP207" s="35"/>
      <c r="FQ207" s="52"/>
      <c r="FR207" s="8"/>
      <c r="FS207" s="9" t="s">
        <v>13</v>
      </c>
      <c r="FT207" s="9" t="str">
        <f t="shared" si="5254"/>
        <v>7. RSR Development &amp; Dry Run 7.2 Review</v>
      </c>
    </row>
    <row r="208" spans="1:176" s="9" customFormat="1" ht="12" customHeight="1" collapsed="1">
      <c r="A208" s="119" t="s">
        <v>91</v>
      </c>
      <c r="B208" s="127"/>
      <c r="C208" s="121" t="str">
        <f t="shared" si="5114"/>
        <v>2 days</v>
      </c>
      <c r="D208" s="140"/>
      <c r="E208" s="91" t="str">
        <f t="shared" ref="E208" si="5255">IF(SUBTOTAL(9,E209:E213)&gt;0,SUBTOTAL(9,E209:E213),"")</f>
        <v/>
      </c>
      <c r="F208" s="34" t="str">
        <f t="shared" ref="F208" si="5256">IF(SUBTOTAL(9,F209:F213)&gt;0,SUBTOTAL(9,F209:F213),"")</f>
        <v/>
      </c>
      <c r="G208" s="34" t="str">
        <f t="shared" ref="G208" si="5257">IF(SUBTOTAL(9,G209:G213)&gt;0,SUBTOTAL(9,G209:G213),"")</f>
        <v/>
      </c>
      <c r="H208" s="34" t="str">
        <f t="shared" ref="H208" si="5258">IF(SUBTOTAL(9,H209:H213)&gt;0,SUBTOTAL(9,H209:H213),"")</f>
        <v/>
      </c>
      <c r="I208" s="34" t="str">
        <f t="shared" ref="I208" si="5259">IF(SUBTOTAL(9,I209:I213)&gt;0,SUBTOTAL(9,I209:I213),"")</f>
        <v/>
      </c>
      <c r="J208" s="34" t="str">
        <f t="shared" ref="J208" si="5260">IF(SUBTOTAL(9,J209:J213)&gt;0,SUBTOTAL(9,J209:J213),"")</f>
        <v/>
      </c>
      <c r="K208" s="34" t="str">
        <f t="shared" ref="K208" si="5261">IF(SUBTOTAL(9,K209:K213)&gt;0,SUBTOTAL(9,K209:K213),"")</f>
        <v/>
      </c>
      <c r="L208" s="34" t="str">
        <f t="shared" ref="L208" si="5262">IF(SUBTOTAL(9,L209:L213)&gt;0,SUBTOTAL(9,L209:L213),"")</f>
        <v/>
      </c>
      <c r="M208" s="34" t="str">
        <f t="shared" ref="M208" si="5263">IF(SUBTOTAL(9,M209:M213)&gt;0,SUBTOTAL(9,M209:M213),"")</f>
        <v/>
      </c>
      <c r="N208" s="34" t="str">
        <f t="shared" ref="N208" si="5264">IF(SUBTOTAL(9,N209:N213)&gt;0,SUBTOTAL(9,N209:N213),"")</f>
        <v/>
      </c>
      <c r="O208" s="34" t="str">
        <f t="shared" ref="O208" si="5265">IF(SUBTOTAL(9,O209:O213)&gt;0,SUBTOTAL(9,O209:O213),"")</f>
        <v/>
      </c>
      <c r="P208" s="34" t="str">
        <f t="shared" ref="P208" si="5266">IF(SUBTOTAL(9,P209:P213)&gt;0,SUBTOTAL(9,P209:P213),"")</f>
        <v/>
      </c>
      <c r="Q208" s="34" t="str">
        <f t="shared" ref="Q208" si="5267">IF(SUBTOTAL(9,Q209:Q213)&gt;0,SUBTOTAL(9,Q209:Q213),"")</f>
        <v/>
      </c>
      <c r="R208" s="34" t="str">
        <f t="shared" ref="R208" si="5268">IF(SUBTOTAL(9,R209:R213)&gt;0,SUBTOTAL(9,R209:R213),"")</f>
        <v/>
      </c>
      <c r="S208" s="34" t="str">
        <f t="shared" ref="S208" si="5269">IF(SUBTOTAL(9,S209:S213)&gt;0,SUBTOTAL(9,S209:S213),"")</f>
        <v/>
      </c>
      <c r="T208" s="34" t="str">
        <f t="shared" ref="T208" si="5270">IF(SUBTOTAL(9,T209:T213)&gt;0,SUBTOTAL(9,T209:T213),"")</f>
        <v/>
      </c>
      <c r="U208" s="34" t="str">
        <f t="shared" ref="U208" si="5271">IF(SUBTOTAL(9,U209:U213)&gt;0,SUBTOTAL(9,U209:U213),"")</f>
        <v/>
      </c>
      <c r="V208" s="34" t="str">
        <f t="shared" ref="V208" si="5272">IF(SUBTOTAL(9,V209:V213)&gt;0,SUBTOTAL(9,V209:V213),"")</f>
        <v/>
      </c>
      <c r="W208" s="34" t="str">
        <f t="shared" ref="W208" si="5273">IF(SUBTOTAL(9,W209:W213)&gt;0,SUBTOTAL(9,W209:W213),"")</f>
        <v/>
      </c>
      <c r="X208" s="34" t="str">
        <f t="shared" ref="X208" si="5274">IF(SUBTOTAL(9,X209:X213)&gt;0,SUBTOTAL(9,X209:X213),"")</f>
        <v/>
      </c>
      <c r="Y208" s="34" t="str">
        <f t="shared" ref="Y208" si="5275">IF(SUBTOTAL(9,Y209:Y213)&gt;0,SUBTOTAL(9,Y209:Y213),"")</f>
        <v/>
      </c>
      <c r="Z208" s="34" t="str">
        <f t="shared" ref="Z208" si="5276">IF(SUBTOTAL(9,Z209:Z213)&gt;0,SUBTOTAL(9,Z209:Z213),"")</f>
        <v/>
      </c>
      <c r="AA208" s="34" t="str">
        <f t="shared" ref="AA208" si="5277">IF(SUBTOTAL(9,AA209:AA213)&gt;0,SUBTOTAL(9,AA209:AA213),"")</f>
        <v/>
      </c>
      <c r="AB208" s="34" t="str">
        <f t="shared" ref="AB208" si="5278">IF(SUBTOTAL(9,AB209:AB213)&gt;0,SUBTOTAL(9,AB209:AB213),"")</f>
        <v/>
      </c>
      <c r="AC208" s="34" t="str">
        <f t="shared" ref="AC208" si="5279">IF(SUBTOTAL(9,AC209:AC213)&gt;0,SUBTOTAL(9,AC209:AC213),"")</f>
        <v/>
      </c>
      <c r="AD208" s="34" t="str">
        <f t="shared" ref="AD208" si="5280">IF(SUBTOTAL(9,AD209:AD213)&gt;0,SUBTOTAL(9,AD209:AD213),"")</f>
        <v/>
      </c>
      <c r="AE208" s="34" t="str">
        <f t="shared" ref="AE208" si="5281">IF(SUBTOTAL(9,AE209:AE213)&gt;0,SUBTOTAL(9,AE209:AE213),"")</f>
        <v/>
      </c>
      <c r="AF208" s="34" t="str">
        <f t="shared" ref="AF208" si="5282">IF(SUBTOTAL(9,AF209:AF213)&gt;0,SUBTOTAL(9,AF209:AF213),"")</f>
        <v/>
      </c>
      <c r="AG208" s="34" t="str">
        <f t="shared" ref="AG208" si="5283">IF(SUBTOTAL(9,AG209:AG213)&gt;0,SUBTOTAL(9,AG209:AG213),"")</f>
        <v/>
      </c>
      <c r="AH208" s="34" t="str">
        <f t="shared" ref="AH208" si="5284">IF(SUBTOTAL(9,AH209:AH213)&gt;0,SUBTOTAL(9,AH209:AH213),"")</f>
        <v/>
      </c>
      <c r="AI208" s="34" t="str">
        <f t="shared" ref="AI208" si="5285">IF(SUBTOTAL(9,AI209:AI213)&gt;0,SUBTOTAL(9,AI209:AI213),"")</f>
        <v/>
      </c>
      <c r="AJ208" s="34" t="str">
        <f t="shared" ref="AJ208" si="5286">IF(SUBTOTAL(9,AJ209:AJ213)&gt;0,SUBTOTAL(9,AJ209:AJ213),"")</f>
        <v/>
      </c>
      <c r="AK208" s="34" t="str">
        <f t="shared" ref="AK208" si="5287">IF(SUBTOTAL(9,AK209:AK213)&gt;0,SUBTOTAL(9,AK209:AK213),"")</f>
        <v/>
      </c>
      <c r="AL208" s="33" t="str">
        <f t="shared" ref="AL208" si="5288">IF(SUBTOTAL(9,AL209:AL213)&gt;0,SUBTOTAL(9,AL209:AL213),"")</f>
        <v/>
      </c>
      <c r="AM208" s="33" t="str">
        <f t="shared" ref="AM208" si="5289">IF(SUBTOTAL(9,AM209:AM213)&gt;0,SUBTOTAL(9,AM209:AM213),"")</f>
        <v/>
      </c>
      <c r="AN208" s="33" t="str">
        <f t="shared" ref="AN208" si="5290">IF(SUBTOTAL(9,AN209:AN213)&gt;0,SUBTOTAL(9,AN209:AN213),"")</f>
        <v/>
      </c>
      <c r="AO208" s="33" t="str">
        <f t="shared" ref="AO208" si="5291">IF(SUBTOTAL(9,AO209:AO213)&gt;0,SUBTOTAL(9,AO209:AO213),"")</f>
        <v/>
      </c>
      <c r="AP208" s="33" t="str">
        <f t="shared" ref="AP208" si="5292">IF(SUBTOTAL(9,AP209:AP213)&gt;0,SUBTOTAL(9,AP209:AP213),"")</f>
        <v/>
      </c>
      <c r="AQ208" s="33" t="str">
        <f t="shared" ref="AQ208" si="5293">IF(SUBTOTAL(9,AQ209:AQ213)&gt;0,SUBTOTAL(9,AQ209:AQ213),"")</f>
        <v/>
      </c>
      <c r="AR208" s="33" t="str">
        <f t="shared" ref="AR208" si="5294">IF(SUBTOTAL(9,AR209:AR213)&gt;0,SUBTOTAL(9,AR209:AR213),"")</f>
        <v/>
      </c>
      <c r="AS208" s="34" t="str">
        <f t="shared" ref="AS208" si="5295">IF(SUBTOTAL(9,AS209:AS213)&gt;0,SUBTOTAL(9,AS209:AS213),"")</f>
        <v/>
      </c>
      <c r="AT208" s="34" t="str">
        <f t="shared" ref="AT208" si="5296">IF(SUBTOTAL(9,AT209:AT213)&gt;0,SUBTOTAL(9,AT209:AT213),"")</f>
        <v/>
      </c>
      <c r="AU208" s="34" t="str">
        <f t="shared" ref="AU208" si="5297">IF(SUBTOTAL(9,AU209:AU213)&gt;0,SUBTOTAL(9,AU209:AU213),"")</f>
        <v/>
      </c>
      <c r="AV208" s="34" t="str">
        <f t="shared" ref="AV208" si="5298">IF(SUBTOTAL(9,AV209:AV213)&gt;0,SUBTOTAL(9,AV209:AV213),"")</f>
        <v/>
      </c>
      <c r="AW208" s="34" t="str">
        <f t="shared" ref="AW208" si="5299">IF(SUBTOTAL(9,AW209:AW213)&gt;0,SUBTOTAL(9,AW209:AW213),"")</f>
        <v/>
      </c>
      <c r="AX208" s="34" t="str">
        <f t="shared" ref="AX208" si="5300">IF(SUBTOTAL(9,AX209:AX213)&gt;0,SUBTOTAL(9,AX209:AX213),"")</f>
        <v/>
      </c>
      <c r="AY208" s="34" t="str">
        <f t="shared" ref="AY208" si="5301">IF(SUBTOTAL(9,AY209:AY213)&gt;0,SUBTOTAL(9,AY209:AY213),"")</f>
        <v/>
      </c>
      <c r="AZ208" s="34" t="str">
        <f t="shared" ref="AZ208" si="5302">IF(SUBTOTAL(9,AZ209:AZ213)&gt;0,SUBTOTAL(9,AZ209:AZ213),"")</f>
        <v/>
      </c>
      <c r="BA208" s="34" t="str">
        <f t="shared" ref="BA208" si="5303">IF(SUBTOTAL(9,BA209:BA213)&gt;0,SUBTOTAL(9,BA209:BA213),"")</f>
        <v/>
      </c>
      <c r="BB208" s="34" t="str">
        <f t="shared" ref="BB208" si="5304">IF(SUBTOTAL(9,BB209:BB213)&gt;0,SUBTOTAL(9,BB209:BB213),"")</f>
        <v/>
      </c>
      <c r="BC208" s="34" t="str">
        <f t="shared" ref="BC208" si="5305">IF(SUBTOTAL(9,BC209:BC213)&gt;0,SUBTOTAL(9,BC209:BC213),"")</f>
        <v/>
      </c>
      <c r="BD208" s="34" t="str">
        <f t="shared" ref="BD208" si="5306">IF(SUBTOTAL(9,BD209:BD213)&gt;0,SUBTOTAL(9,BD209:BD213),"")</f>
        <v/>
      </c>
      <c r="BE208" s="34" t="str">
        <f t="shared" ref="BE208" si="5307">IF(SUBTOTAL(9,BE209:BE213)&gt;0,SUBTOTAL(9,BE209:BE213),"")</f>
        <v/>
      </c>
      <c r="BF208" s="34" t="str">
        <f t="shared" ref="BF208" si="5308">IF(SUBTOTAL(9,BF209:BF213)&gt;0,SUBTOTAL(9,BF209:BF213),"")</f>
        <v/>
      </c>
      <c r="BG208" s="34" t="str">
        <f t="shared" ref="BG208" si="5309">IF(SUBTOTAL(9,BG209:BG213)&gt;0,SUBTOTAL(9,BG209:BG213),"")</f>
        <v/>
      </c>
      <c r="BH208" s="34" t="str">
        <f t="shared" ref="BH208" si="5310">IF(SUBTOTAL(9,BH209:BH213)&gt;0,SUBTOTAL(9,BH209:BH213),"")</f>
        <v/>
      </c>
      <c r="BI208" s="34" t="str">
        <f t="shared" ref="BI208" si="5311">IF(SUBTOTAL(9,BI209:BI213)&gt;0,SUBTOTAL(9,BI209:BI213),"")</f>
        <v/>
      </c>
      <c r="BJ208" s="34" t="str">
        <f t="shared" ref="BJ208" si="5312">IF(SUBTOTAL(9,BJ209:BJ213)&gt;0,SUBTOTAL(9,BJ209:BJ213),"")</f>
        <v/>
      </c>
      <c r="BK208" s="34" t="str">
        <f t="shared" ref="BK208" si="5313">IF(SUBTOTAL(9,BK209:BK213)&gt;0,SUBTOTAL(9,BK209:BK213),"")</f>
        <v/>
      </c>
      <c r="BL208" s="34" t="str">
        <f t="shared" ref="BL208" si="5314">IF(SUBTOTAL(9,BL209:BL213)&gt;0,SUBTOTAL(9,BL209:BL213),"")</f>
        <v/>
      </c>
      <c r="BM208" s="34" t="str">
        <f t="shared" ref="BM208" si="5315">IF(SUBTOTAL(9,BM209:BM213)&gt;0,SUBTOTAL(9,BM209:BM213),"")</f>
        <v/>
      </c>
      <c r="BN208" s="34" t="str">
        <f t="shared" ref="BN208" si="5316">IF(SUBTOTAL(9,BN209:BN213)&gt;0,SUBTOTAL(9,BN209:BN213),"")</f>
        <v/>
      </c>
      <c r="BO208" s="34" t="str">
        <f t="shared" ref="BO208" si="5317">IF(SUBTOTAL(9,BO209:BO213)&gt;0,SUBTOTAL(9,BO209:BO213),"")</f>
        <v/>
      </c>
      <c r="BP208" s="34" t="str">
        <f t="shared" ref="BP208" si="5318">IF(SUBTOTAL(9,BP209:BP213)&gt;0,SUBTOTAL(9,BP209:BP213),"")</f>
        <v/>
      </c>
      <c r="BQ208" s="34" t="str">
        <f t="shared" ref="BQ208" si="5319">IF(SUBTOTAL(9,BQ209:BQ213)&gt;0,SUBTOTAL(9,BQ209:BQ213),"")</f>
        <v/>
      </c>
      <c r="BR208" s="34" t="str">
        <f t="shared" ref="BR208" si="5320">IF(SUBTOTAL(9,BR209:BR213)&gt;0,SUBTOTAL(9,BR209:BR213),"")</f>
        <v/>
      </c>
      <c r="BS208" s="34" t="str">
        <f t="shared" ref="BS208" si="5321">IF(SUBTOTAL(9,BS209:BS213)&gt;0,SUBTOTAL(9,BS209:BS213),"")</f>
        <v/>
      </c>
      <c r="BT208" s="34" t="str">
        <f t="shared" ref="BT208" si="5322">IF(SUBTOTAL(9,BT209:BT213)&gt;0,SUBTOTAL(9,BT209:BT213),"")</f>
        <v/>
      </c>
      <c r="BU208" s="34" t="str">
        <f t="shared" ref="BU208" si="5323">IF(SUBTOTAL(9,BU209:BU213)&gt;0,SUBTOTAL(9,BU209:BU213),"")</f>
        <v/>
      </c>
      <c r="BV208" s="34" t="str">
        <f t="shared" ref="BV208" si="5324">IF(SUBTOTAL(9,BV209:BV213)&gt;0,SUBTOTAL(9,BV209:BV213),"")</f>
        <v/>
      </c>
      <c r="BW208" s="34" t="str">
        <f t="shared" ref="BW208" si="5325">IF(SUBTOTAL(9,BW209:BW213)&gt;0,SUBTOTAL(9,BW209:BW213),"")</f>
        <v/>
      </c>
      <c r="BX208" s="34" t="str">
        <f t="shared" ref="BX208" si="5326">IF(SUBTOTAL(9,BX209:BX213)&gt;0,SUBTOTAL(9,BX209:BX213),"")</f>
        <v/>
      </c>
      <c r="BY208" s="34" t="str">
        <f t="shared" ref="BY208" si="5327">IF(SUBTOTAL(9,BY209:BY213)&gt;0,SUBTOTAL(9,BY209:BY213),"")</f>
        <v/>
      </c>
      <c r="BZ208" s="34" t="str">
        <f t="shared" ref="BZ208" si="5328">IF(SUBTOTAL(9,BZ209:BZ213)&gt;0,SUBTOTAL(9,BZ209:BZ213),"")</f>
        <v/>
      </c>
      <c r="CA208" s="34" t="str">
        <f t="shared" ref="CA208:DC208" si="5329">IF(SUBTOTAL(9,CA209:CA213)&gt;0,SUBTOTAL(9,CA209:CA213),"")</f>
        <v/>
      </c>
      <c r="CB208" s="34" t="str">
        <f t="shared" si="5329"/>
        <v/>
      </c>
      <c r="CC208" s="34" t="str">
        <f t="shared" si="5329"/>
        <v/>
      </c>
      <c r="CD208" s="34" t="str">
        <f t="shared" si="5329"/>
        <v/>
      </c>
      <c r="CE208" s="34">
        <f t="shared" si="5329"/>
        <v>0.25</v>
      </c>
      <c r="CF208" s="34" t="str">
        <f t="shared" si="5329"/>
        <v/>
      </c>
      <c r="CG208" s="34" t="str">
        <f t="shared" si="5329"/>
        <v/>
      </c>
      <c r="CH208" s="34" t="str">
        <f t="shared" si="5329"/>
        <v/>
      </c>
      <c r="CI208" s="34" t="str">
        <f t="shared" si="5329"/>
        <v/>
      </c>
      <c r="CJ208" s="34">
        <f t="shared" si="5329"/>
        <v>0.25</v>
      </c>
      <c r="CK208" s="34" t="str">
        <f t="shared" si="5329"/>
        <v/>
      </c>
      <c r="CL208" s="34" t="str">
        <f t="shared" si="5329"/>
        <v/>
      </c>
      <c r="CM208" s="34" t="str">
        <f t="shared" si="5329"/>
        <v/>
      </c>
      <c r="CN208" s="34" t="str">
        <f t="shared" si="5329"/>
        <v/>
      </c>
      <c r="CO208" s="34" t="str">
        <f t="shared" si="5329"/>
        <v/>
      </c>
      <c r="CP208" s="34" t="str">
        <f t="shared" si="5329"/>
        <v/>
      </c>
      <c r="CQ208" s="34" t="str">
        <f t="shared" si="5329"/>
        <v/>
      </c>
      <c r="CR208" s="34" t="str">
        <f t="shared" si="5329"/>
        <v/>
      </c>
      <c r="CS208" s="34">
        <f t="shared" si="5329"/>
        <v>1</v>
      </c>
      <c r="CT208" s="33" t="str">
        <f t="shared" si="5329"/>
        <v/>
      </c>
      <c r="CU208" s="34" t="str">
        <f t="shared" si="5329"/>
        <v/>
      </c>
      <c r="CV208" s="34" t="str">
        <f t="shared" si="5329"/>
        <v/>
      </c>
      <c r="CW208" s="34" t="str">
        <f t="shared" si="5329"/>
        <v/>
      </c>
      <c r="CX208" s="34" t="str">
        <f t="shared" si="5329"/>
        <v/>
      </c>
      <c r="CY208" s="34" t="str">
        <f t="shared" si="5329"/>
        <v/>
      </c>
      <c r="CZ208" s="33" t="str">
        <f t="shared" si="5329"/>
        <v/>
      </c>
      <c r="DA208" s="33" t="str">
        <f t="shared" si="5329"/>
        <v/>
      </c>
      <c r="DB208" s="34" t="str">
        <f t="shared" si="5329"/>
        <v/>
      </c>
      <c r="DC208" s="34" t="str">
        <f t="shared" si="5329"/>
        <v/>
      </c>
      <c r="DD208" s="34" t="str">
        <f t="shared" ref="DD208" si="5330">IF(SUBTOTAL(9,DD209:DD213)&gt;0,SUBTOTAL(9,DD209:DD213),"")</f>
        <v/>
      </c>
      <c r="DE208" s="34" t="str">
        <f t="shared" ref="DE208" si="5331">IF(SUBTOTAL(9,DE209:DE213)&gt;0,SUBTOTAL(9,DE209:DE213),"")</f>
        <v/>
      </c>
      <c r="DF208" s="34">
        <f t="shared" ref="DF208" si="5332">IF(SUBTOTAL(9,DF209:DF213)&gt;0,SUBTOTAL(9,DF209:DF213),"")</f>
        <v>0.5</v>
      </c>
      <c r="DG208" s="34" t="str">
        <f t="shared" ref="DG208" si="5333">IF(SUBTOTAL(9,DG209:DG213)&gt;0,SUBTOTAL(9,DG209:DG213),"")</f>
        <v/>
      </c>
      <c r="DH208" s="34" t="str">
        <f t="shared" ref="DH208" si="5334">IF(SUBTOTAL(9,DH209:DH213)&gt;0,SUBTOTAL(9,DH209:DH213),"")</f>
        <v/>
      </c>
      <c r="DI208" s="34" t="str">
        <f t="shared" ref="DI208" si="5335">IF(SUBTOTAL(9,DI209:DI213)&gt;0,SUBTOTAL(9,DI209:DI213),"")</f>
        <v/>
      </c>
      <c r="DJ208" s="34" t="str">
        <f t="shared" ref="DJ208" si="5336">IF(SUBTOTAL(9,DJ209:DJ213)&gt;0,SUBTOTAL(9,DJ209:DJ213),"")</f>
        <v/>
      </c>
      <c r="DK208" s="34" t="str">
        <f t="shared" ref="DK208" si="5337">IF(SUBTOTAL(9,DK209:DK213)&gt;0,SUBTOTAL(9,DK209:DK213),"")</f>
        <v/>
      </c>
      <c r="DL208" s="34" t="str">
        <f t="shared" ref="DL208" si="5338">IF(SUBTOTAL(9,DL209:DL213)&gt;0,SUBTOTAL(9,DL209:DL213),"")</f>
        <v/>
      </c>
      <c r="DM208" s="34" t="str">
        <f t="shared" ref="DM208" si="5339">IF(SUBTOTAL(9,DM209:DM213)&gt;0,SUBTOTAL(9,DM209:DM213),"")</f>
        <v/>
      </c>
      <c r="DN208" s="34" t="str">
        <f t="shared" ref="DN208" si="5340">IF(SUBTOTAL(9,DN209:DN213)&gt;0,SUBTOTAL(9,DN209:DN213),"")</f>
        <v/>
      </c>
      <c r="DO208" s="34" t="str">
        <f t="shared" ref="DO208" si="5341">IF(SUBTOTAL(9,DO209:DO213)&gt;0,SUBTOTAL(9,DO209:DO213),"")</f>
        <v/>
      </c>
      <c r="DP208" s="34" t="str">
        <f t="shared" ref="DP208" si="5342">IF(SUBTOTAL(9,DP209:DP213)&gt;0,SUBTOTAL(9,DP209:DP213),"")</f>
        <v/>
      </c>
      <c r="DQ208" s="34" t="str">
        <f t="shared" ref="DQ208" si="5343">IF(SUBTOTAL(9,DQ209:DQ213)&gt;0,SUBTOTAL(9,DQ209:DQ213),"")</f>
        <v/>
      </c>
      <c r="DR208" s="34" t="str">
        <f t="shared" ref="DR208" si="5344">IF(SUBTOTAL(9,DR209:DR213)&gt;0,SUBTOTAL(9,DR209:DR213),"")</f>
        <v/>
      </c>
      <c r="DS208" s="34" t="str">
        <f t="shared" ref="DS208" si="5345">IF(SUBTOTAL(9,DS209:DS213)&gt;0,SUBTOTAL(9,DS209:DS213),"")</f>
        <v/>
      </c>
      <c r="DT208" s="34" t="str">
        <f t="shared" ref="DT208" si="5346">IF(SUBTOTAL(9,DT209:DT213)&gt;0,SUBTOTAL(9,DT209:DT213),"")</f>
        <v/>
      </c>
      <c r="DU208" s="34" t="str">
        <f t="shared" ref="DU208" si="5347">IF(SUBTOTAL(9,DU209:DU213)&gt;0,SUBTOTAL(9,DU209:DU213),"")</f>
        <v/>
      </c>
      <c r="DV208" s="34" t="str">
        <f t="shared" ref="DV208" si="5348">IF(SUBTOTAL(9,DV209:DV213)&gt;0,SUBTOTAL(9,DV209:DV213),"")</f>
        <v/>
      </c>
      <c r="DW208" s="34" t="str">
        <f t="shared" ref="DW208" si="5349">IF(SUBTOTAL(9,DW209:DW213)&gt;0,SUBTOTAL(9,DW209:DW213),"")</f>
        <v/>
      </c>
      <c r="DX208" s="34" t="str">
        <f t="shared" ref="DX208" si="5350">IF(SUBTOTAL(9,DX209:DX213)&gt;0,SUBTOTAL(9,DX209:DX213),"")</f>
        <v/>
      </c>
      <c r="DY208" s="34" t="str">
        <f t="shared" ref="DY208" si="5351">IF(SUBTOTAL(9,DY209:DY213)&gt;0,SUBTOTAL(9,DY209:DY213),"")</f>
        <v/>
      </c>
      <c r="DZ208" s="33" t="str">
        <f t="shared" ref="DZ208" si="5352">IF(SUBTOTAL(9,DZ209:DZ213)&gt;0,SUBTOTAL(9,DZ209:DZ213),"")</f>
        <v/>
      </c>
      <c r="EA208" s="34" t="str">
        <f t="shared" ref="EA208" si="5353">IF(SUBTOTAL(9,EA209:EA213)&gt;0,SUBTOTAL(9,EA209:EA213),"")</f>
        <v/>
      </c>
      <c r="EB208" s="34" t="str">
        <f t="shared" ref="EB208" si="5354">IF(SUBTOTAL(9,EB209:EB213)&gt;0,SUBTOTAL(9,EB209:EB213),"")</f>
        <v/>
      </c>
      <c r="EC208" s="34" t="str">
        <f t="shared" ref="EC208" si="5355">IF(SUBTOTAL(9,EC209:EC213)&gt;0,SUBTOTAL(9,EC209:EC213),"")</f>
        <v/>
      </c>
      <c r="ED208" s="34" t="str">
        <f t="shared" ref="ED208" si="5356">IF(SUBTOTAL(9,ED209:ED213)&gt;0,SUBTOTAL(9,ED209:ED213),"")</f>
        <v/>
      </c>
      <c r="EE208" s="34" t="str">
        <f t="shared" ref="EE208" si="5357">IF(SUBTOTAL(9,EE209:EE213)&gt;0,SUBTOTAL(9,EE209:EE213),"")</f>
        <v/>
      </c>
      <c r="EF208" s="34" t="str">
        <f t="shared" ref="EF208" si="5358">IF(SUBTOTAL(9,EF209:EF213)&gt;0,SUBTOTAL(9,EF209:EF213),"")</f>
        <v/>
      </c>
      <c r="EG208" s="34" t="str">
        <f t="shared" ref="EG208" si="5359">IF(SUBTOTAL(9,EG209:EG213)&gt;0,SUBTOTAL(9,EG209:EG213),"")</f>
        <v/>
      </c>
      <c r="EH208" s="34" t="str">
        <f t="shared" ref="EH208" si="5360">IF(SUBTOTAL(9,EH209:EH213)&gt;0,SUBTOTAL(9,EH209:EH213),"")</f>
        <v/>
      </c>
      <c r="EI208" s="34" t="str">
        <f t="shared" ref="EI208" si="5361">IF(SUBTOTAL(9,EI209:EI213)&gt;0,SUBTOTAL(9,EI209:EI213),"")</f>
        <v/>
      </c>
      <c r="EJ208" s="34" t="str">
        <f t="shared" ref="EJ208" si="5362">IF(SUBTOTAL(9,EJ209:EJ213)&gt;0,SUBTOTAL(9,EJ209:EJ213),"")</f>
        <v/>
      </c>
      <c r="EK208" s="34" t="str">
        <f t="shared" ref="EK208" si="5363">IF(SUBTOTAL(9,EK209:EK213)&gt;0,SUBTOTAL(9,EK209:EK213),"")</f>
        <v/>
      </c>
      <c r="EL208" s="34" t="str">
        <f t="shared" ref="EL208" si="5364">IF(SUBTOTAL(9,EL209:EL213)&gt;0,SUBTOTAL(9,EL209:EL213),"")</f>
        <v/>
      </c>
      <c r="EM208" s="34" t="str">
        <f t="shared" ref="EM208" si="5365">IF(SUBTOTAL(9,EM209:EM213)&gt;0,SUBTOTAL(9,EM209:EM213),"")</f>
        <v/>
      </c>
      <c r="EN208" s="34" t="str">
        <f t="shared" ref="EN208" si="5366">IF(SUBTOTAL(9,EN209:EN213)&gt;0,SUBTOTAL(9,EN209:EN213),"")</f>
        <v/>
      </c>
      <c r="EO208" s="34" t="str">
        <f t="shared" ref="EO208" si="5367">IF(SUBTOTAL(9,EO209:EO213)&gt;0,SUBTOTAL(9,EO209:EO213),"")</f>
        <v/>
      </c>
      <c r="EP208" s="34" t="str">
        <f t="shared" ref="EP208" si="5368">IF(SUBTOTAL(9,EP209:EP213)&gt;0,SUBTOTAL(9,EP209:EP213),"")</f>
        <v/>
      </c>
      <c r="EQ208" s="34" t="str">
        <f t="shared" ref="EQ208" si="5369">IF(SUBTOTAL(9,EQ209:EQ213)&gt;0,SUBTOTAL(9,EQ209:EQ213),"")</f>
        <v/>
      </c>
      <c r="ER208" s="34" t="str">
        <f t="shared" ref="ER208" si="5370">IF(SUBTOTAL(9,ER209:ER213)&gt;0,SUBTOTAL(9,ER209:ER213),"")</f>
        <v/>
      </c>
      <c r="ES208" s="34" t="str">
        <f t="shared" ref="ES208" si="5371">IF(SUBTOTAL(9,ES209:ES213)&gt;0,SUBTOTAL(9,ES209:ES213),"")</f>
        <v/>
      </c>
      <c r="ET208" s="34" t="str">
        <f t="shared" ref="ET208" si="5372">IF(SUBTOTAL(9,ET209:ET213)&gt;0,SUBTOTAL(9,ET209:ET213),"")</f>
        <v/>
      </c>
      <c r="EU208" s="34" t="str">
        <f t="shared" ref="EU208" si="5373">IF(SUBTOTAL(9,EU209:EU213)&gt;0,SUBTOTAL(9,EU209:EU213),"")</f>
        <v/>
      </c>
      <c r="EV208" s="34" t="str">
        <f t="shared" ref="EV208" si="5374">IF(SUBTOTAL(9,EV209:EV213)&gt;0,SUBTOTAL(9,EV209:EV213),"")</f>
        <v/>
      </c>
      <c r="EW208" s="34" t="str">
        <f t="shared" ref="EW208" si="5375">IF(SUBTOTAL(9,EW209:EW213)&gt;0,SUBTOTAL(9,EW209:EW213),"")</f>
        <v/>
      </c>
      <c r="EX208" s="34" t="str">
        <f t="shared" ref="EX208" si="5376">IF(SUBTOTAL(9,EX209:EX213)&gt;0,SUBTOTAL(9,EX209:EX213),"")</f>
        <v/>
      </c>
      <c r="EY208" s="33" t="str">
        <f t="shared" ref="EY208" si="5377">IF(SUBTOTAL(9,EY209:EY213)&gt;0,SUBTOTAL(9,EY209:EY213),"")</f>
        <v/>
      </c>
      <c r="EZ208" s="34" t="str">
        <f t="shared" ref="EZ208" si="5378">IF(SUBTOTAL(9,EZ209:EZ213)&gt;0,SUBTOTAL(9,EZ209:EZ213),"")</f>
        <v/>
      </c>
      <c r="FA208" s="34" t="str">
        <f t="shared" ref="FA208" si="5379">IF(SUBTOTAL(9,FA209:FA213)&gt;0,SUBTOTAL(9,FA209:FA213),"")</f>
        <v/>
      </c>
      <c r="FB208" s="34" t="str">
        <f t="shared" ref="FB208" si="5380">IF(SUBTOTAL(9,FB209:FB213)&gt;0,SUBTOTAL(9,FB209:FB213),"")</f>
        <v/>
      </c>
      <c r="FC208" s="34" t="str">
        <f t="shared" ref="FC208" si="5381">IF(SUBTOTAL(9,FC209:FC213)&gt;0,SUBTOTAL(9,FC209:FC213),"")</f>
        <v/>
      </c>
      <c r="FD208" s="34" t="str">
        <f t="shared" ref="FD208" si="5382">IF(SUBTOTAL(9,FD209:FD213)&gt;0,SUBTOTAL(9,FD209:FD213),"")</f>
        <v/>
      </c>
      <c r="FE208" s="34" t="str">
        <f t="shared" ref="FE208" si="5383">IF(SUBTOTAL(9,FE209:FE213)&gt;0,SUBTOTAL(9,FE209:FE213),"")</f>
        <v/>
      </c>
      <c r="FF208" s="34" t="str">
        <f t="shared" ref="FF208" si="5384">IF(SUBTOTAL(9,FF209:FF213)&gt;0,SUBTOTAL(9,FF209:FF213),"")</f>
        <v/>
      </c>
      <c r="FG208" s="34" t="str">
        <f t="shared" ref="FG208" si="5385">IF(SUBTOTAL(9,FG209:FG213)&gt;0,SUBTOTAL(9,FG209:FG213),"")</f>
        <v/>
      </c>
      <c r="FH208" s="34" t="str">
        <f t="shared" ref="FH208" si="5386">IF(SUBTOTAL(9,FH209:FH213)&gt;0,SUBTOTAL(9,FH209:FH213),"")</f>
        <v/>
      </c>
      <c r="FI208" s="34" t="str">
        <f t="shared" ref="FI208" si="5387">IF(SUBTOTAL(9,FI209:FI213)&gt;0,SUBTOTAL(9,FI209:FI213),"")</f>
        <v/>
      </c>
      <c r="FJ208" s="34" t="str">
        <f t="shared" ref="FJ208" si="5388">IF(SUBTOTAL(9,FJ209:FJ213)&gt;0,SUBTOTAL(9,FJ209:FJ213),"")</f>
        <v/>
      </c>
      <c r="FK208" s="34" t="str">
        <f t="shared" ref="FK208" si="5389">IF(SUBTOTAL(9,FK209:FK213)&gt;0,SUBTOTAL(9,FK209:FK213),"")</f>
        <v/>
      </c>
      <c r="FL208" s="34" t="str">
        <f t="shared" ref="FL208" si="5390">IF(SUBTOTAL(9,FL209:FL213)&gt;0,SUBTOTAL(9,FL209:FL213),"")</f>
        <v/>
      </c>
      <c r="FM208" s="34" t="str">
        <f t="shared" ref="FM208" si="5391">IF(SUBTOTAL(9,FM209:FM213)&gt;0,SUBTOTAL(9,FM209:FM213),"")</f>
        <v/>
      </c>
      <c r="FN208" s="34" t="str">
        <f t="shared" ref="FN208" si="5392">IF(SUBTOTAL(9,FN209:FN213)&gt;0,SUBTOTAL(9,FN209:FN213),"")</f>
        <v/>
      </c>
      <c r="FO208" s="34" t="str">
        <f t="shared" ref="FO208" si="5393">IF(SUBTOTAL(9,FO209:FO213)&gt;0,SUBTOTAL(9,FO209:FO213),"")</f>
        <v/>
      </c>
      <c r="FP208" s="34" t="str">
        <f t="shared" ref="FP208" si="5394">IF(SUBTOTAL(9,FP209:FP213)&gt;0,SUBTOTAL(9,FP209:FP213),"")</f>
        <v/>
      </c>
      <c r="FQ208" s="92" t="str">
        <f t="shared" ref="FQ208" si="5395">IF(SUBTOTAL(9,FQ209:FQ213)&gt;0,SUBTOTAL(9,FQ209:FQ213),"")</f>
        <v/>
      </c>
      <c r="FR208" s="8"/>
      <c r="FS208" s="9" t="s">
        <v>131</v>
      </c>
      <c r="FT208" s="9" t="str">
        <f t="shared" si="5254"/>
        <v/>
      </c>
    </row>
    <row r="209" spans="1:176" s="9" customFormat="1" ht="12" hidden="1" customHeight="1" outlineLevel="1">
      <c r="A209" s="129" t="s">
        <v>4</v>
      </c>
      <c r="B209" s="130" t="str">
        <f>B203</f>
        <v>Glenn Kirk</v>
      </c>
      <c r="C209" s="131" t="str">
        <f t="shared" si="5114"/>
        <v>2 days</v>
      </c>
      <c r="D209" s="101" t="str">
        <f>A195&amp;" "&amp;A208</f>
        <v>7. RSR Development &amp; Dry Run 7.3 Supervision</v>
      </c>
      <c r="E209" s="51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5"/>
      <c r="AE209" s="35"/>
      <c r="AF209" s="35"/>
      <c r="AG209" s="35"/>
      <c r="AH209" s="35"/>
      <c r="AI209" s="35"/>
      <c r="AJ209" s="35"/>
      <c r="AK209" s="35"/>
      <c r="AL209" s="36"/>
      <c r="AM209" s="36"/>
      <c r="AN209" s="36"/>
      <c r="AO209" s="36"/>
      <c r="AP209" s="36"/>
      <c r="AQ209" s="36"/>
      <c r="AR209" s="36"/>
      <c r="AS209" s="35"/>
      <c r="AT209" s="35"/>
      <c r="AU209" s="35"/>
      <c r="AV209" s="35"/>
      <c r="AW209" s="35"/>
      <c r="AX209" s="35"/>
      <c r="AY209" s="35"/>
      <c r="AZ209" s="35"/>
      <c r="BA209" s="35"/>
      <c r="BB209" s="35"/>
      <c r="BC209" s="35"/>
      <c r="BD209" s="35"/>
      <c r="BE209" s="35"/>
      <c r="BF209" s="35"/>
      <c r="BG209" s="35"/>
      <c r="BH209" s="35"/>
      <c r="BI209" s="35"/>
      <c r="BJ209" s="35"/>
      <c r="BK209" s="35"/>
      <c r="BL209" s="35"/>
      <c r="BM209" s="35"/>
      <c r="BN209" s="35"/>
      <c r="BO209" s="35"/>
      <c r="BP209" s="35"/>
      <c r="BQ209" s="35"/>
      <c r="BR209" s="35"/>
      <c r="BS209" s="35"/>
      <c r="BT209" s="35"/>
      <c r="BU209" s="35"/>
      <c r="BV209" s="35"/>
      <c r="BW209" s="35"/>
      <c r="BX209" s="35"/>
      <c r="BY209" s="35"/>
      <c r="BZ209" s="35"/>
      <c r="CA209" s="35"/>
      <c r="CB209" s="35"/>
      <c r="CC209" s="35"/>
      <c r="CD209" s="35"/>
      <c r="CE209" s="35">
        <v>0.25</v>
      </c>
      <c r="CF209" s="35"/>
      <c r="CG209" s="35"/>
      <c r="CH209" s="35"/>
      <c r="CI209" s="35"/>
      <c r="CJ209" s="35">
        <v>0.25</v>
      </c>
      <c r="CK209" s="35"/>
      <c r="CL209" s="35"/>
      <c r="CM209" s="35"/>
      <c r="CN209" s="35"/>
      <c r="CO209" s="35"/>
      <c r="CP209" s="35"/>
      <c r="CQ209" s="35"/>
      <c r="CR209" s="35"/>
      <c r="CS209" s="35">
        <v>1</v>
      </c>
      <c r="CT209" s="36"/>
      <c r="CU209" s="35"/>
      <c r="CV209" s="35"/>
      <c r="CW209" s="35"/>
      <c r="CX209" s="35"/>
      <c r="CY209" s="35"/>
      <c r="CZ209" s="36"/>
      <c r="DA209" s="36"/>
      <c r="DB209" s="35"/>
      <c r="DC209" s="35"/>
      <c r="DD209" s="35"/>
      <c r="DE209" s="35"/>
      <c r="DF209" s="35">
        <v>0.5</v>
      </c>
      <c r="DG209" s="35"/>
      <c r="DH209" s="35"/>
      <c r="DI209" s="35"/>
      <c r="DJ209" s="35"/>
      <c r="DK209" s="35"/>
      <c r="DL209" s="35"/>
      <c r="DM209" s="35"/>
      <c r="DN209" s="35"/>
      <c r="DO209" s="35"/>
      <c r="DP209" s="35"/>
      <c r="DQ209" s="35"/>
      <c r="DR209" s="35"/>
      <c r="DS209" s="35"/>
      <c r="DT209" s="35"/>
      <c r="DU209" s="35"/>
      <c r="DV209" s="35"/>
      <c r="DW209" s="35"/>
      <c r="DX209" s="35"/>
      <c r="DY209" s="35"/>
      <c r="DZ209" s="36"/>
      <c r="EA209" s="35"/>
      <c r="EB209" s="35"/>
      <c r="EC209" s="35"/>
      <c r="ED209" s="35"/>
      <c r="EE209" s="35"/>
      <c r="EF209" s="35"/>
      <c r="EG209" s="35"/>
      <c r="EH209" s="35"/>
      <c r="EI209" s="35"/>
      <c r="EJ209" s="35"/>
      <c r="EK209" s="35"/>
      <c r="EL209" s="35"/>
      <c r="EM209" s="35"/>
      <c r="EN209" s="35"/>
      <c r="EO209" s="35"/>
      <c r="EP209" s="35"/>
      <c r="EQ209" s="35"/>
      <c r="ER209" s="35"/>
      <c r="ES209" s="35"/>
      <c r="ET209" s="35"/>
      <c r="EU209" s="35"/>
      <c r="EV209" s="35"/>
      <c r="EW209" s="35"/>
      <c r="EX209" s="35"/>
      <c r="EY209" s="36"/>
      <c r="EZ209" s="35"/>
      <c r="FA209" s="35"/>
      <c r="FB209" s="35"/>
      <c r="FC209" s="35"/>
      <c r="FD209" s="35"/>
      <c r="FE209" s="35"/>
      <c r="FF209" s="35"/>
      <c r="FG209" s="35"/>
      <c r="FH209" s="35"/>
      <c r="FI209" s="35"/>
      <c r="FJ209" s="35"/>
      <c r="FK209" s="35"/>
      <c r="FL209" s="35"/>
      <c r="FM209" s="35"/>
      <c r="FN209" s="35"/>
      <c r="FO209" s="35"/>
      <c r="FP209" s="35"/>
      <c r="FQ209" s="52"/>
      <c r="FR209" s="8"/>
      <c r="FS209" s="9" t="s">
        <v>13</v>
      </c>
      <c r="FT209" s="9" t="str">
        <f t="shared" si="5254"/>
        <v>7. RSR Development &amp; Dry Run 7.3 SupervisionGlenn Kirk</v>
      </c>
    </row>
    <row r="210" spans="1:176" s="9" customFormat="1" ht="12" hidden="1" customHeight="1" outlineLevel="1">
      <c r="A210" s="122"/>
      <c r="B210" s="123"/>
      <c r="C210" s="124" t="str">
        <f t="shared" si="5114"/>
        <v>0 days</v>
      </c>
      <c r="D210" s="13" t="str">
        <f>A195&amp;" "&amp;A208</f>
        <v>7. RSR Development &amp; Dry Run 7.3 Supervision</v>
      </c>
      <c r="E210" s="51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5"/>
      <c r="AE210" s="35"/>
      <c r="AF210" s="35"/>
      <c r="AG210" s="35"/>
      <c r="AH210" s="35"/>
      <c r="AI210" s="35"/>
      <c r="AJ210" s="35"/>
      <c r="AK210" s="35"/>
      <c r="AL210" s="36"/>
      <c r="AM210" s="36"/>
      <c r="AN210" s="36"/>
      <c r="AO210" s="36"/>
      <c r="AP210" s="36"/>
      <c r="AQ210" s="36"/>
      <c r="AR210" s="36"/>
      <c r="AS210" s="35"/>
      <c r="AT210" s="35"/>
      <c r="AU210" s="35"/>
      <c r="AV210" s="35"/>
      <c r="AW210" s="35"/>
      <c r="AX210" s="35"/>
      <c r="AY210" s="35"/>
      <c r="AZ210" s="35"/>
      <c r="BA210" s="35"/>
      <c r="BB210" s="35"/>
      <c r="BC210" s="35"/>
      <c r="BD210" s="35"/>
      <c r="BE210" s="35"/>
      <c r="BF210" s="35"/>
      <c r="BG210" s="35"/>
      <c r="BH210" s="35"/>
      <c r="BI210" s="35"/>
      <c r="BJ210" s="35"/>
      <c r="BK210" s="35"/>
      <c r="BL210" s="35"/>
      <c r="BM210" s="35"/>
      <c r="BN210" s="35"/>
      <c r="BO210" s="35"/>
      <c r="BP210" s="35"/>
      <c r="BQ210" s="35"/>
      <c r="BR210" s="35"/>
      <c r="BS210" s="35"/>
      <c r="BT210" s="35"/>
      <c r="BU210" s="35"/>
      <c r="BV210" s="35"/>
      <c r="BW210" s="35"/>
      <c r="BX210" s="35"/>
      <c r="BY210" s="35"/>
      <c r="BZ210" s="35"/>
      <c r="CA210" s="35"/>
      <c r="CB210" s="35"/>
      <c r="CC210" s="35"/>
      <c r="CD210" s="35"/>
      <c r="CE210" s="35"/>
      <c r="CF210" s="35"/>
      <c r="CG210" s="35"/>
      <c r="CH210" s="35"/>
      <c r="CI210" s="35"/>
      <c r="CJ210" s="35"/>
      <c r="CK210" s="35"/>
      <c r="CL210" s="35"/>
      <c r="CM210" s="35"/>
      <c r="CN210" s="35"/>
      <c r="CO210" s="35"/>
      <c r="CP210" s="35"/>
      <c r="CQ210" s="35"/>
      <c r="CR210" s="35"/>
      <c r="CS210" s="35"/>
      <c r="CT210" s="36"/>
      <c r="CU210" s="35"/>
      <c r="CV210" s="35"/>
      <c r="CW210" s="35"/>
      <c r="CX210" s="35"/>
      <c r="CY210" s="35"/>
      <c r="CZ210" s="36"/>
      <c r="DA210" s="36"/>
      <c r="DB210" s="35"/>
      <c r="DC210" s="35"/>
      <c r="DD210" s="35"/>
      <c r="DE210" s="35"/>
      <c r="DF210" s="35"/>
      <c r="DG210" s="35"/>
      <c r="DH210" s="35"/>
      <c r="DI210" s="35"/>
      <c r="DJ210" s="35"/>
      <c r="DK210" s="35"/>
      <c r="DL210" s="35"/>
      <c r="DM210" s="35"/>
      <c r="DN210" s="35"/>
      <c r="DO210" s="35"/>
      <c r="DP210" s="35"/>
      <c r="DQ210" s="35"/>
      <c r="DR210" s="35"/>
      <c r="DS210" s="35"/>
      <c r="DT210" s="35"/>
      <c r="DU210" s="35"/>
      <c r="DV210" s="35"/>
      <c r="DW210" s="35"/>
      <c r="DX210" s="35"/>
      <c r="DY210" s="35"/>
      <c r="DZ210" s="36"/>
      <c r="EA210" s="35"/>
      <c r="EB210" s="35"/>
      <c r="EC210" s="35"/>
      <c r="ED210" s="35"/>
      <c r="EE210" s="35"/>
      <c r="EF210" s="35"/>
      <c r="EG210" s="35"/>
      <c r="EH210" s="35"/>
      <c r="EI210" s="35"/>
      <c r="EJ210" s="35"/>
      <c r="EK210" s="35"/>
      <c r="EL210" s="35"/>
      <c r="EM210" s="35"/>
      <c r="EN210" s="35"/>
      <c r="EO210" s="35"/>
      <c r="EP210" s="35"/>
      <c r="EQ210" s="35"/>
      <c r="ER210" s="35"/>
      <c r="ES210" s="35"/>
      <c r="ET210" s="35"/>
      <c r="EU210" s="35"/>
      <c r="EV210" s="35"/>
      <c r="EW210" s="35"/>
      <c r="EX210" s="35"/>
      <c r="EY210" s="36"/>
      <c r="EZ210" s="35"/>
      <c r="FA210" s="35"/>
      <c r="FB210" s="35"/>
      <c r="FC210" s="35"/>
      <c r="FD210" s="35"/>
      <c r="FE210" s="35"/>
      <c r="FF210" s="35"/>
      <c r="FG210" s="35"/>
      <c r="FH210" s="35"/>
      <c r="FI210" s="35"/>
      <c r="FJ210" s="35"/>
      <c r="FK210" s="35"/>
      <c r="FL210" s="35"/>
      <c r="FM210" s="35"/>
      <c r="FN210" s="35"/>
      <c r="FO210" s="35"/>
      <c r="FP210" s="35"/>
      <c r="FQ210" s="52"/>
      <c r="FR210" s="8"/>
      <c r="FS210" s="9" t="s">
        <v>13</v>
      </c>
      <c r="FT210" s="9" t="str">
        <f t="shared" si="5254"/>
        <v>7. RSR Development &amp; Dry Run 7.3 Supervision</v>
      </c>
    </row>
    <row r="211" spans="1:176" s="9" customFormat="1" ht="12" hidden="1" customHeight="1" outlineLevel="1">
      <c r="A211" s="125" t="s">
        <v>50</v>
      </c>
      <c r="B211" s="123"/>
      <c r="C211" s="124" t="str">
        <f t="shared" si="5114"/>
        <v>0 days</v>
      </c>
      <c r="D211" s="13" t="str">
        <f>A195&amp;" "&amp;A208</f>
        <v>7. RSR Development &amp; Dry Run 7.3 Supervision</v>
      </c>
      <c r="E211" s="51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5"/>
      <c r="AE211" s="35"/>
      <c r="AF211" s="35"/>
      <c r="AG211" s="35"/>
      <c r="AH211" s="35"/>
      <c r="AI211" s="35"/>
      <c r="AJ211" s="35"/>
      <c r="AK211" s="35"/>
      <c r="AL211" s="36"/>
      <c r="AM211" s="36"/>
      <c r="AN211" s="36"/>
      <c r="AO211" s="36"/>
      <c r="AP211" s="36"/>
      <c r="AQ211" s="36"/>
      <c r="AR211" s="36"/>
      <c r="AS211" s="35"/>
      <c r="AT211" s="35"/>
      <c r="AU211" s="35"/>
      <c r="AV211" s="35"/>
      <c r="AW211" s="35"/>
      <c r="AX211" s="35"/>
      <c r="AY211" s="35"/>
      <c r="AZ211" s="35"/>
      <c r="BA211" s="35"/>
      <c r="BB211" s="35"/>
      <c r="BC211" s="35"/>
      <c r="BD211" s="35"/>
      <c r="BE211" s="35"/>
      <c r="BF211" s="35"/>
      <c r="BG211" s="35"/>
      <c r="BH211" s="35"/>
      <c r="BI211" s="35"/>
      <c r="BJ211" s="35"/>
      <c r="BK211" s="35"/>
      <c r="BL211" s="35"/>
      <c r="BM211" s="35"/>
      <c r="BN211" s="35"/>
      <c r="BO211" s="35"/>
      <c r="BP211" s="35"/>
      <c r="BQ211" s="35"/>
      <c r="BR211" s="35"/>
      <c r="BS211" s="35"/>
      <c r="BT211" s="35"/>
      <c r="BU211" s="35"/>
      <c r="BV211" s="35"/>
      <c r="BW211" s="35"/>
      <c r="BX211" s="35"/>
      <c r="BY211" s="35"/>
      <c r="BZ211" s="35"/>
      <c r="CA211" s="35"/>
      <c r="CB211" s="35"/>
      <c r="CC211" s="35"/>
      <c r="CD211" s="35"/>
      <c r="CE211" s="35"/>
      <c r="CF211" s="35"/>
      <c r="CG211" s="35"/>
      <c r="CH211" s="35"/>
      <c r="CI211" s="35"/>
      <c r="CJ211" s="35"/>
      <c r="CK211" s="35"/>
      <c r="CL211" s="35"/>
      <c r="CM211" s="35"/>
      <c r="CN211" s="35"/>
      <c r="CO211" s="35"/>
      <c r="CP211" s="35"/>
      <c r="CQ211" s="35"/>
      <c r="CR211" s="35"/>
      <c r="CS211" s="35"/>
      <c r="CT211" s="36"/>
      <c r="CU211" s="35"/>
      <c r="CV211" s="35"/>
      <c r="CW211" s="35"/>
      <c r="CX211" s="35"/>
      <c r="CY211" s="35"/>
      <c r="CZ211" s="36"/>
      <c r="DA211" s="36"/>
      <c r="DB211" s="35"/>
      <c r="DC211" s="35"/>
      <c r="DD211" s="35"/>
      <c r="DE211" s="35"/>
      <c r="DF211" s="35"/>
      <c r="DG211" s="35"/>
      <c r="DH211" s="35"/>
      <c r="DI211" s="35"/>
      <c r="DJ211" s="35"/>
      <c r="DK211" s="35"/>
      <c r="DL211" s="35"/>
      <c r="DM211" s="35"/>
      <c r="DN211" s="35"/>
      <c r="DO211" s="35"/>
      <c r="DP211" s="35"/>
      <c r="DQ211" s="35"/>
      <c r="DR211" s="35"/>
      <c r="DS211" s="35"/>
      <c r="DT211" s="35"/>
      <c r="DU211" s="35"/>
      <c r="DV211" s="35"/>
      <c r="DW211" s="35"/>
      <c r="DX211" s="35"/>
      <c r="DY211" s="35"/>
      <c r="DZ211" s="36"/>
      <c r="EA211" s="35"/>
      <c r="EB211" s="35"/>
      <c r="EC211" s="35"/>
      <c r="ED211" s="35"/>
      <c r="EE211" s="35"/>
      <c r="EF211" s="35"/>
      <c r="EG211" s="35"/>
      <c r="EH211" s="35"/>
      <c r="EI211" s="35"/>
      <c r="EJ211" s="35"/>
      <c r="EK211" s="35"/>
      <c r="EL211" s="35"/>
      <c r="EM211" s="35"/>
      <c r="EN211" s="35"/>
      <c r="EO211" s="35"/>
      <c r="EP211" s="35"/>
      <c r="EQ211" s="35"/>
      <c r="ER211" s="35"/>
      <c r="ES211" s="35"/>
      <c r="ET211" s="35"/>
      <c r="EU211" s="35"/>
      <c r="EV211" s="35"/>
      <c r="EW211" s="35"/>
      <c r="EX211" s="35"/>
      <c r="EY211" s="36"/>
      <c r="EZ211" s="35"/>
      <c r="FA211" s="35"/>
      <c r="FB211" s="35"/>
      <c r="FC211" s="35"/>
      <c r="FD211" s="35"/>
      <c r="FE211" s="35"/>
      <c r="FF211" s="35"/>
      <c r="FG211" s="35"/>
      <c r="FH211" s="35"/>
      <c r="FI211" s="35"/>
      <c r="FJ211" s="35"/>
      <c r="FK211" s="35"/>
      <c r="FL211" s="35"/>
      <c r="FM211" s="35"/>
      <c r="FN211" s="35"/>
      <c r="FO211" s="35"/>
      <c r="FP211" s="35"/>
      <c r="FQ211" s="52"/>
      <c r="FR211" s="8"/>
      <c r="FS211" s="9" t="s">
        <v>13</v>
      </c>
      <c r="FT211" s="9" t="str">
        <f t="shared" si="5254"/>
        <v>7. RSR Development &amp; Dry Run 7.3 Supervision</v>
      </c>
    </row>
    <row r="212" spans="1:176" s="9" customFormat="1" ht="12" hidden="1" customHeight="1" outlineLevel="1">
      <c r="A212" s="125" t="s">
        <v>50</v>
      </c>
      <c r="B212" s="123"/>
      <c r="C212" s="124" t="str">
        <f t="shared" si="5114"/>
        <v>0 days</v>
      </c>
      <c r="D212" s="13" t="str">
        <f>A195&amp;" "&amp;A208</f>
        <v>7. RSR Development &amp; Dry Run 7.3 Supervision</v>
      </c>
      <c r="E212" s="51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5"/>
      <c r="AE212" s="35"/>
      <c r="AF212" s="35"/>
      <c r="AG212" s="35"/>
      <c r="AH212" s="35"/>
      <c r="AI212" s="35"/>
      <c r="AJ212" s="35"/>
      <c r="AK212" s="35"/>
      <c r="AL212" s="36"/>
      <c r="AM212" s="36"/>
      <c r="AN212" s="36"/>
      <c r="AO212" s="36"/>
      <c r="AP212" s="36"/>
      <c r="AQ212" s="36"/>
      <c r="AR212" s="36"/>
      <c r="AS212" s="35"/>
      <c r="AT212" s="35"/>
      <c r="AU212" s="35"/>
      <c r="AV212" s="35"/>
      <c r="AW212" s="35"/>
      <c r="AX212" s="35"/>
      <c r="AY212" s="35"/>
      <c r="AZ212" s="35"/>
      <c r="BA212" s="35"/>
      <c r="BB212" s="35"/>
      <c r="BC212" s="35"/>
      <c r="BD212" s="35"/>
      <c r="BE212" s="35"/>
      <c r="BF212" s="35"/>
      <c r="BG212" s="35"/>
      <c r="BH212" s="35"/>
      <c r="BI212" s="35"/>
      <c r="BJ212" s="35"/>
      <c r="BK212" s="35"/>
      <c r="BL212" s="35"/>
      <c r="BM212" s="35"/>
      <c r="BN212" s="35"/>
      <c r="BO212" s="35"/>
      <c r="BP212" s="35"/>
      <c r="BQ212" s="35"/>
      <c r="BR212" s="35"/>
      <c r="BS212" s="35"/>
      <c r="BT212" s="35"/>
      <c r="BU212" s="35"/>
      <c r="BV212" s="35"/>
      <c r="BW212" s="35"/>
      <c r="BX212" s="35"/>
      <c r="BY212" s="35"/>
      <c r="BZ212" s="35"/>
      <c r="CA212" s="35"/>
      <c r="CB212" s="35"/>
      <c r="CC212" s="35"/>
      <c r="CD212" s="35"/>
      <c r="CE212" s="35"/>
      <c r="CF212" s="35"/>
      <c r="CG212" s="35"/>
      <c r="CH212" s="35"/>
      <c r="CI212" s="35"/>
      <c r="CJ212" s="35"/>
      <c r="CK212" s="35"/>
      <c r="CL212" s="35"/>
      <c r="CM212" s="35"/>
      <c r="CN212" s="35"/>
      <c r="CO212" s="35"/>
      <c r="CP212" s="35"/>
      <c r="CQ212" s="35"/>
      <c r="CR212" s="35"/>
      <c r="CS212" s="35"/>
      <c r="CT212" s="36"/>
      <c r="CU212" s="35"/>
      <c r="CV212" s="35"/>
      <c r="CW212" s="35"/>
      <c r="CX212" s="35"/>
      <c r="CY212" s="35"/>
      <c r="CZ212" s="36"/>
      <c r="DA212" s="36"/>
      <c r="DB212" s="35"/>
      <c r="DC212" s="35"/>
      <c r="DD212" s="35"/>
      <c r="DE212" s="35"/>
      <c r="DF212" s="35"/>
      <c r="DG212" s="35"/>
      <c r="DH212" s="35"/>
      <c r="DI212" s="35"/>
      <c r="DJ212" s="35"/>
      <c r="DK212" s="35"/>
      <c r="DL212" s="35"/>
      <c r="DM212" s="35"/>
      <c r="DN212" s="35"/>
      <c r="DO212" s="35"/>
      <c r="DP212" s="35"/>
      <c r="DQ212" s="35"/>
      <c r="DR212" s="35"/>
      <c r="DS212" s="35"/>
      <c r="DT212" s="35"/>
      <c r="DU212" s="35"/>
      <c r="DV212" s="35"/>
      <c r="DW212" s="35"/>
      <c r="DX212" s="35"/>
      <c r="DY212" s="35"/>
      <c r="DZ212" s="36"/>
      <c r="EA212" s="35"/>
      <c r="EB212" s="35"/>
      <c r="EC212" s="35"/>
      <c r="ED212" s="35"/>
      <c r="EE212" s="35"/>
      <c r="EF212" s="35"/>
      <c r="EG212" s="35"/>
      <c r="EH212" s="35"/>
      <c r="EI212" s="35"/>
      <c r="EJ212" s="35"/>
      <c r="EK212" s="35"/>
      <c r="EL212" s="35"/>
      <c r="EM212" s="35"/>
      <c r="EN212" s="35"/>
      <c r="EO212" s="35"/>
      <c r="EP212" s="35"/>
      <c r="EQ212" s="35"/>
      <c r="ER212" s="35"/>
      <c r="ES212" s="35"/>
      <c r="ET212" s="35"/>
      <c r="EU212" s="35"/>
      <c r="EV212" s="35"/>
      <c r="EW212" s="35"/>
      <c r="EX212" s="35"/>
      <c r="EY212" s="36"/>
      <c r="EZ212" s="35"/>
      <c r="FA212" s="35"/>
      <c r="FB212" s="35"/>
      <c r="FC212" s="35"/>
      <c r="FD212" s="35"/>
      <c r="FE212" s="35"/>
      <c r="FF212" s="35"/>
      <c r="FG212" s="35"/>
      <c r="FH212" s="35"/>
      <c r="FI212" s="35"/>
      <c r="FJ212" s="35"/>
      <c r="FK212" s="35"/>
      <c r="FL212" s="35"/>
      <c r="FM212" s="35"/>
      <c r="FN212" s="35"/>
      <c r="FO212" s="35"/>
      <c r="FP212" s="35"/>
      <c r="FQ212" s="52"/>
      <c r="FR212" s="8"/>
      <c r="FS212" s="9" t="s">
        <v>13</v>
      </c>
      <c r="FT212" s="9" t="str">
        <f t="shared" si="5254"/>
        <v>7. RSR Development &amp; Dry Run 7.3 Supervision</v>
      </c>
    </row>
    <row r="213" spans="1:176" s="9" customFormat="1" ht="12" hidden="1" customHeight="1" outlineLevel="1">
      <c r="A213" s="126" t="s">
        <v>50</v>
      </c>
      <c r="B213" s="123"/>
      <c r="C213" s="124" t="str">
        <f t="shared" si="5114"/>
        <v>0 days</v>
      </c>
      <c r="D213" s="13" t="str">
        <f>A195&amp;" "&amp;A208</f>
        <v>7. RSR Development &amp; Dry Run 7.3 Supervision</v>
      </c>
      <c r="E213" s="51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5"/>
      <c r="AE213" s="35"/>
      <c r="AF213" s="35"/>
      <c r="AG213" s="35"/>
      <c r="AH213" s="35"/>
      <c r="AI213" s="35"/>
      <c r="AJ213" s="35"/>
      <c r="AK213" s="35"/>
      <c r="AL213" s="36"/>
      <c r="AM213" s="36"/>
      <c r="AN213" s="36"/>
      <c r="AO213" s="36"/>
      <c r="AP213" s="36"/>
      <c r="AQ213" s="36"/>
      <c r="AR213" s="36"/>
      <c r="AS213" s="35"/>
      <c r="AT213" s="35"/>
      <c r="AU213" s="35"/>
      <c r="AV213" s="35"/>
      <c r="AW213" s="35"/>
      <c r="AX213" s="35"/>
      <c r="AY213" s="35"/>
      <c r="AZ213" s="35"/>
      <c r="BA213" s="35"/>
      <c r="BB213" s="35"/>
      <c r="BC213" s="35"/>
      <c r="BD213" s="35"/>
      <c r="BE213" s="35"/>
      <c r="BF213" s="35"/>
      <c r="BG213" s="35"/>
      <c r="BH213" s="35"/>
      <c r="BI213" s="35"/>
      <c r="BJ213" s="35"/>
      <c r="BK213" s="35"/>
      <c r="BL213" s="35"/>
      <c r="BM213" s="35"/>
      <c r="BN213" s="35"/>
      <c r="BO213" s="35"/>
      <c r="BP213" s="35"/>
      <c r="BQ213" s="35"/>
      <c r="BR213" s="35"/>
      <c r="BS213" s="35"/>
      <c r="BT213" s="35"/>
      <c r="BU213" s="35"/>
      <c r="BV213" s="35"/>
      <c r="BW213" s="35"/>
      <c r="BX213" s="35"/>
      <c r="BY213" s="35"/>
      <c r="BZ213" s="35"/>
      <c r="CA213" s="35"/>
      <c r="CB213" s="35"/>
      <c r="CC213" s="35"/>
      <c r="CD213" s="35"/>
      <c r="CE213" s="35"/>
      <c r="CF213" s="35"/>
      <c r="CG213" s="35"/>
      <c r="CH213" s="35"/>
      <c r="CI213" s="35"/>
      <c r="CJ213" s="35"/>
      <c r="CK213" s="35"/>
      <c r="CL213" s="35"/>
      <c r="CM213" s="35"/>
      <c r="CN213" s="35"/>
      <c r="CO213" s="35"/>
      <c r="CP213" s="35"/>
      <c r="CQ213" s="35"/>
      <c r="CR213" s="35"/>
      <c r="CS213" s="35"/>
      <c r="CT213" s="36"/>
      <c r="CU213" s="35"/>
      <c r="CV213" s="35"/>
      <c r="CW213" s="35"/>
      <c r="CX213" s="35"/>
      <c r="CY213" s="35"/>
      <c r="CZ213" s="36"/>
      <c r="DA213" s="36"/>
      <c r="DB213" s="35"/>
      <c r="DC213" s="35"/>
      <c r="DD213" s="35"/>
      <c r="DE213" s="35"/>
      <c r="DF213" s="35"/>
      <c r="DG213" s="35"/>
      <c r="DH213" s="35"/>
      <c r="DI213" s="35"/>
      <c r="DJ213" s="35"/>
      <c r="DK213" s="35"/>
      <c r="DL213" s="35"/>
      <c r="DM213" s="35"/>
      <c r="DN213" s="35"/>
      <c r="DO213" s="35"/>
      <c r="DP213" s="35"/>
      <c r="DQ213" s="35"/>
      <c r="DR213" s="35"/>
      <c r="DS213" s="35"/>
      <c r="DT213" s="35"/>
      <c r="DU213" s="35"/>
      <c r="DV213" s="35"/>
      <c r="DW213" s="35"/>
      <c r="DX213" s="35"/>
      <c r="DY213" s="35"/>
      <c r="DZ213" s="36"/>
      <c r="EA213" s="35"/>
      <c r="EB213" s="35"/>
      <c r="EC213" s="35"/>
      <c r="ED213" s="35"/>
      <c r="EE213" s="35"/>
      <c r="EF213" s="35"/>
      <c r="EG213" s="35"/>
      <c r="EH213" s="35"/>
      <c r="EI213" s="35"/>
      <c r="EJ213" s="35"/>
      <c r="EK213" s="35"/>
      <c r="EL213" s="35"/>
      <c r="EM213" s="35"/>
      <c r="EN213" s="35"/>
      <c r="EO213" s="35"/>
      <c r="EP213" s="35"/>
      <c r="EQ213" s="35"/>
      <c r="ER213" s="35"/>
      <c r="ES213" s="35"/>
      <c r="ET213" s="35"/>
      <c r="EU213" s="35"/>
      <c r="EV213" s="35"/>
      <c r="EW213" s="35"/>
      <c r="EX213" s="35"/>
      <c r="EY213" s="36"/>
      <c r="EZ213" s="35"/>
      <c r="FA213" s="35"/>
      <c r="FB213" s="35"/>
      <c r="FC213" s="35"/>
      <c r="FD213" s="35"/>
      <c r="FE213" s="35"/>
      <c r="FF213" s="35"/>
      <c r="FG213" s="35"/>
      <c r="FH213" s="35"/>
      <c r="FI213" s="35"/>
      <c r="FJ213" s="35"/>
      <c r="FK213" s="35"/>
      <c r="FL213" s="35"/>
      <c r="FM213" s="35"/>
      <c r="FN213" s="35"/>
      <c r="FO213" s="35"/>
      <c r="FP213" s="35"/>
      <c r="FQ213" s="52"/>
      <c r="FR213" s="8"/>
      <c r="FS213" s="9" t="s">
        <v>13</v>
      </c>
      <c r="FT213" s="9" t="str">
        <f t="shared" si="5254"/>
        <v>7. RSR Development &amp; Dry Run 7.3 Supervision</v>
      </c>
    </row>
    <row r="214" spans="1:176" s="9" customFormat="1" ht="12" customHeight="1" collapsed="1">
      <c r="A214" s="119" t="s">
        <v>92</v>
      </c>
      <c r="B214" s="127"/>
      <c r="C214" s="136" t="str">
        <f t="shared" si="5114"/>
        <v>3 days</v>
      </c>
      <c r="D214" s="39"/>
      <c r="E214" s="91" t="str">
        <f t="shared" ref="E214" si="5396">IF(SUBTOTAL(9,E215:E219)&gt;0,SUBTOTAL(9,E215:E219),"")</f>
        <v/>
      </c>
      <c r="F214" s="34" t="str">
        <f t="shared" ref="F214" si="5397">IF(SUBTOTAL(9,F215:F219)&gt;0,SUBTOTAL(9,F215:F219),"")</f>
        <v/>
      </c>
      <c r="G214" s="34" t="str">
        <f t="shared" ref="G214" si="5398">IF(SUBTOTAL(9,G215:G219)&gt;0,SUBTOTAL(9,G215:G219),"")</f>
        <v/>
      </c>
      <c r="H214" s="34" t="str">
        <f t="shared" ref="H214" si="5399">IF(SUBTOTAL(9,H215:H219)&gt;0,SUBTOTAL(9,H215:H219),"")</f>
        <v/>
      </c>
      <c r="I214" s="34" t="str">
        <f t="shared" ref="I214" si="5400">IF(SUBTOTAL(9,I215:I219)&gt;0,SUBTOTAL(9,I215:I219),"")</f>
        <v/>
      </c>
      <c r="J214" s="34" t="str">
        <f t="shared" ref="J214" si="5401">IF(SUBTOTAL(9,J215:J219)&gt;0,SUBTOTAL(9,J215:J219),"")</f>
        <v/>
      </c>
      <c r="K214" s="34" t="str">
        <f t="shared" ref="K214" si="5402">IF(SUBTOTAL(9,K215:K219)&gt;0,SUBTOTAL(9,K215:K219),"")</f>
        <v/>
      </c>
      <c r="L214" s="34" t="str">
        <f t="shared" ref="L214" si="5403">IF(SUBTOTAL(9,L215:L219)&gt;0,SUBTOTAL(9,L215:L219),"")</f>
        <v/>
      </c>
      <c r="M214" s="34" t="str">
        <f t="shared" ref="M214" si="5404">IF(SUBTOTAL(9,M215:M219)&gt;0,SUBTOTAL(9,M215:M219),"")</f>
        <v/>
      </c>
      <c r="N214" s="34" t="str">
        <f t="shared" ref="N214" si="5405">IF(SUBTOTAL(9,N215:N219)&gt;0,SUBTOTAL(9,N215:N219),"")</f>
        <v/>
      </c>
      <c r="O214" s="34" t="str">
        <f t="shared" ref="O214" si="5406">IF(SUBTOTAL(9,O215:O219)&gt;0,SUBTOTAL(9,O215:O219),"")</f>
        <v/>
      </c>
      <c r="P214" s="34" t="str">
        <f t="shared" ref="P214" si="5407">IF(SUBTOTAL(9,P215:P219)&gt;0,SUBTOTAL(9,P215:P219),"")</f>
        <v/>
      </c>
      <c r="Q214" s="34" t="str">
        <f t="shared" ref="Q214" si="5408">IF(SUBTOTAL(9,Q215:Q219)&gt;0,SUBTOTAL(9,Q215:Q219),"")</f>
        <v/>
      </c>
      <c r="R214" s="34" t="str">
        <f t="shared" ref="R214" si="5409">IF(SUBTOTAL(9,R215:R219)&gt;0,SUBTOTAL(9,R215:R219),"")</f>
        <v/>
      </c>
      <c r="S214" s="34" t="str">
        <f t="shared" ref="S214" si="5410">IF(SUBTOTAL(9,S215:S219)&gt;0,SUBTOTAL(9,S215:S219),"")</f>
        <v/>
      </c>
      <c r="T214" s="34" t="str">
        <f t="shared" ref="T214" si="5411">IF(SUBTOTAL(9,T215:T219)&gt;0,SUBTOTAL(9,T215:T219),"")</f>
        <v/>
      </c>
      <c r="U214" s="34" t="str">
        <f t="shared" ref="U214" si="5412">IF(SUBTOTAL(9,U215:U219)&gt;0,SUBTOTAL(9,U215:U219),"")</f>
        <v/>
      </c>
      <c r="V214" s="34" t="str">
        <f t="shared" ref="V214" si="5413">IF(SUBTOTAL(9,V215:V219)&gt;0,SUBTOTAL(9,V215:V219),"")</f>
        <v/>
      </c>
      <c r="W214" s="34" t="str">
        <f t="shared" ref="W214" si="5414">IF(SUBTOTAL(9,W215:W219)&gt;0,SUBTOTAL(9,W215:W219),"")</f>
        <v/>
      </c>
      <c r="X214" s="34" t="str">
        <f t="shared" ref="X214" si="5415">IF(SUBTOTAL(9,X215:X219)&gt;0,SUBTOTAL(9,X215:X219),"")</f>
        <v/>
      </c>
      <c r="Y214" s="34" t="str">
        <f t="shared" ref="Y214" si="5416">IF(SUBTOTAL(9,Y215:Y219)&gt;0,SUBTOTAL(9,Y215:Y219),"")</f>
        <v/>
      </c>
      <c r="Z214" s="34" t="str">
        <f t="shared" ref="Z214" si="5417">IF(SUBTOTAL(9,Z215:Z219)&gt;0,SUBTOTAL(9,Z215:Z219),"")</f>
        <v/>
      </c>
      <c r="AA214" s="34" t="str">
        <f t="shared" ref="AA214" si="5418">IF(SUBTOTAL(9,AA215:AA219)&gt;0,SUBTOTAL(9,AA215:AA219),"")</f>
        <v/>
      </c>
      <c r="AB214" s="34" t="str">
        <f t="shared" ref="AB214" si="5419">IF(SUBTOTAL(9,AB215:AB219)&gt;0,SUBTOTAL(9,AB215:AB219),"")</f>
        <v/>
      </c>
      <c r="AC214" s="34" t="str">
        <f t="shared" ref="AC214" si="5420">IF(SUBTOTAL(9,AC215:AC219)&gt;0,SUBTOTAL(9,AC215:AC219),"")</f>
        <v/>
      </c>
      <c r="AD214" s="34" t="str">
        <f t="shared" ref="AD214" si="5421">IF(SUBTOTAL(9,AD215:AD219)&gt;0,SUBTOTAL(9,AD215:AD219),"")</f>
        <v/>
      </c>
      <c r="AE214" s="34" t="str">
        <f t="shared" ref="AE214" si="5422">IF(SUBTOTAL(9,AE215:AE219)&gt;0,SUBTOTAL(9,AE215:AE219),"")</f>
        <v/>
      </c>
      <c r="AF214" s="34" t="str">
        <f t="shared" ref="AF214" si="5423">IF(SUBTOTAL(9,AF215:AF219)&gt;0,SUBTOTAL(9,AF215:AF219),"")</f>
        <v/>
      </c>
      <c r="AG214" s="34" t="str">
        <f t="shared" ref="AG214" si="5424">IF(SUBTOTAL(9,AG215:AG219)&gt;0,SUBTOTAL(9,AG215:AG219),"")</f>
        <v/>
      </c>
      <c r="AH214" s="34" t="str">
        <f t="shared" ref="AH214" si="5425">IF(SUBTOTAL(9,AH215:AH219)&gt;0,SUBTOTAL(9,AH215:AH219),"")</f>
        <v/>
      </c>
      <c r="AI214" s="34" t="str">
        <f t="shared" ref="AI214" si="5426">IF(SUBTOTAL(9,AI215:AI219)&gt;0,SUBTOTAL(9,AI215:AI219),"")</f>
        <v/>
      </c>
      <c r="AJ214" s="34" t="str">
        <f t="shared" ref="AJ214" si="5427">IF(SUBTOTAL(9,AJ215:AJ219)&gt;0,SUBTOTAL(9,AJ215:AJ219),"")</f>
        <v/>
      </c>
      <c r="AK214" s="34" t="str">
        <f t="shared" ref="AK214" si="5428">IF(SUBTOTAL(9,AK215:AK219)&gt;0,SUBTOTAL(9,AK215:AK219),"")</f>
        <v/>
      </c>
      <c r="AL214" s="33" t="str">
        <f t="shared" ref="AL214" si="5429">IF(SUBTOTAL(9,AL215:AL219)&gt;0,SUBTOTAL(9,AL215:AL219),"")</f>
        <v/>
      </c>
      <c r="AM214" s="33" t="str">
        <f t="shared" ref="AM214" si="5430">IF(SUBTOTAL(9,AM215:AM219)&gt;0,SUBTOTAL(9,AM215:AM219),"")</f>
        <v/>
      </c>
      <c r="AN214" s="33" t="str">
        <f t="shared" ref="AN214" si="5431">IF(SUBTOTAL(9,AN215:AN219)&gt;0,SUBTOTAL(9,AN215:AN219),"")</f>
        <v/>
      </c>
      <c r="AO214" s="33" t="str">
        <f t="shared" ref="AO214" si="5432">IF(SUBTOTAL(9,AO215:AO219)&gt;0,SUBTOTAL(9,AO215:AO219),"")</f>
        <v/>
      </c>
      <c r="AP214" s="33" t="str">
        <f t="shared" ref="AP214" si="5433">IF(SUBTOTAL(9,AP215:AP219)&gt;0,SUBTOTAL(9,AP215:AP219),"")</f>
        <v/>
      </c>
      <c r="AQ214" s="33" t="str">
        <f t="shared" ref="AQ214" si="5434">IF(SUBTOTAL(9,AQ215:AQ219)&gt;0,SUBTOTAL(9,AQ215:AQ219),"")</f>
        <v/>
      </c>
      <c r="AR214" s="33" t="str">
        <f t="shared" ref="AR214" si="5435">IF(SUBTOTAL(9,AR215:AR219)&gt;0,SUBTOTAL(9,AR215:AR219),"")</f>
        <v/>
      </c>
      <c r="AS214" s="34" t="str">
        <f t="shared" ref="AS214" si="5436">IF(SUBTOTAL(9,AS215:AS219)&gt;0,SUBTOTAL(9,AS215:AS219),"")</f>
        <v/>
      </c>
      <c r="AT214" s="34" t="str">
        <f t="shared" ref="AT214" si="5437">IF(SUBTOTAL(9,AT215:AT219)&gt;0,SUBTOTAL(9,AT215:AT219),"")</f>
        <v/>
      </c>
      <c r="AU214" s="34" t="str">
        <f t="shared" ref="AU214" si="5438">IF(SUBTOTAL(9,AU215:AU219)&gt;0,SUBTOTAL(9,AU215:AU219),"")</f>
        <v/>
      </c>
      <c r="AV214" s="34" t="str">
        <f t="shared" ref="AV214" si="5439">IF(SUBTOTAL(9,AV215:AV219)&gt;0,SUBTOTAL(9,AV215:AV219),"")</f>
        <v/>
      </c>
      <c r="AW214" s="34" t="str">
        <f t="shared" ref="AW214" si="5440">IF(SUBTOTAL(9,AW215:AW219)&gt;0,SUBTOTAL(9,AW215:AW219),"")</f>
        <v/>
      </c>
      <c r="AX214" s="34" t="str">
        <f t="shared" ref="AX214" si="5441">IF(SUBTOTAL(9,AX215:AX219)&gt;0,SUBTOTAL(9,AX215:AX219),"")</f>
        <v/>
      </c>
      <c r="AY214" s="34" t="str">
        <f t="shared" ref="AY214" si="5442">IF(SUBTOTAL(9,AY215:AY219)&gt;0,SUBTOTAL(9,AY215:AY219),"")</f>
        <v/>
      </c>
      <c r="AZ214" s="34" t="str">
        <f t="shared" ref="AZ214" si="5443">IF(SUBTOTAL(9,AZ215:AZ219)&gt;0,SUBTOTAL(9,AZ215:AZ219),"")</f>
        <v/>
      </c>
      <c r="BA214" s="34" t="str">
        <f t="shared" ref="BA214" si="5444">IF(SUBTOTAL(9,BA215:BA219)&gt;0,SUBTOTAL(9,BA215:BA219),"")</f>
        <v/>
      </c>
      <c r="BB214" s="34" t="str">
        <f t="shared" ref="BB214" si="5445">IF(SUBTOTAL(9,BB215:BB219)&gt;0,SUBTOTAL(9,BB215:BB219),"")</f>
        <v/>
      </c>
      <c r="BC214" s="34" t="str">
        <f t="shared" ref="BC214" si="5446">IF(SUBTOTAL(9,BC215:BC219)&gt;0,SUBTOTAL(9,BC215:BC219),"")</f>
        <v/>
      </c>
      <c r="BD214" s="34" t="str">
        <f t="shared" ref="BD214" si="5447">IF(SUBTOTAL(9,BD215:BD219)&gt;0,SUBTOTAL(9,BD215:BD219),"")</f>
        <v/>
      </c>
      <c r="BE214" s="34" t="str">
        <f t="shared" ref="BE214" si="5448">IF(SUBTOTAL(9,BE215:BE219)&gt;0,SUBTOTAL(9,BE215:BE219),"")</f>
        <v/>
      </c>
      <c r="BF214" s="34" t="str">
        <f t="shared" ref="BF214" si="5449">IF(SUBTOTAL(9,BF215:BF219)&gt;0,SUBTOTAL(9,BF215:BF219),"")</f>
        <v/>
      </c>
      <c r="BG214" s="34" t="str">
        <f t="shared" ref="BG214" si="5450">IF(SUBTOTAL(9,BG215:BG219)&gt;0,SUBTOTAL(9,BG215:BG219),"")</f>
        <v/>
      </c>
      <c r="BH214" s="34" t="str">
        <f t="shared" ref="BH214" si="5451">IF(SUBTOTAL(9,BH215:BH219)&gt;0,SUBTOTAL(9,BH215:BH219),"")</f>
        <v/>
      </c>
      <c r="BI214" s="34" t="str">
        <f t="shared" ref="BI214" si="5452">IF(SUBTOTAL(9,BI215:BI219)&gt;0,SUBTOTAL(9,BI215:BI219),"")</f>
        <v/>
      </c>
      <c r="BJ214" s="34" t="str">
        <f t="shared" ref="BJ214" si="5453">IF(SUBTOTAL(9,BJ215:BJ219)&gt;0,SUBTOTAL(9,BJ215:BJ219),"")</f>
        <v/>
      </c>
      <c r="BK214" s="34" t="str">
        <f t="shared" ref="BK214" si="5454">IF(SUBTOTAL(9,BK215:BK219)&gt;0,SUBTOTAL(9,BK215:BK219),"")</f>
        <v/>
      </c>
      <c r="BL214" s="34" t="str">
        <f t="shared" ref="BL214" si="5455">IF(SUBTOTAL(9,BL215:BL219)&gt;0,SUBTOTAL(9,BL215:BL219),"")</f>
        <v/>
      </c>
      <c r="BM214" s="34" t="str">
        <f t="shared" ref="BM214" si="5456">IF(SUBTOTAL(9,BM215:BM219)&gt;0,SUBTOTAL(9,BM215:BM219),"")</f>
        <v/>
      </c>
      <c r="BN214" s="34" t="str">
        <f t="shared" ref="BN214" si="5457">IF(SUBTOTAL(9,BN215:BN219)&gt;0,SUBTOTAL(9,BN215:BN219),"")</f>
        <v/>
      </c>
      <c r="BO214" s="34" t="str">
        <f t="shared" ref="BO214" si="5458">IF(SUBTOTAL(9,BO215:BO219)&gt;0,SUBTOTAL(9,BO215:BO219),"")</f>
        <v/>
      </c>
      <c r="BP214" s="34" t="str">
        <f t="shared" ref="BP214" si="5459">IF(SUBTOTAL(9,BP215:BP219)&gt;0,SUBTOTAL(9,BP215:BP219),"")</f>
        <v/>
      </c>
      <c r="BQ214" s="34" t="str">
        <f t="shared" ref="BQ214" si="5460">IF(SUBTOTAL(9,BQ215:BQ219)&gt;0,SUBTOTAL(9,BQ215:BQ219),"")</f>
        <v/>
      </c>
      <c r="BR214" s="34" t="str">
        <f t="shared" ref="BR214" si="5461">IF(SUBTOTAL(9,BR215:BR219)&gt;0,SUBTOTAL(9,BR215:BR219),"")</f>
        <v/>
      </c>
      <c r="BS214" s="34" t="str">
        <f t="shared" ref="BS214" si="5462">IF(SUBTOTAL(9,BS215:BS219)&gt;0,SUBTOTAL(9,BS215:BS219),"")</f>
        <v/>
      </c>
      <c r="BT214" s="34" t="str">
        <f t="shared" ref="BT214" si="5463">IF(SUBTOTAL(9,BT215:BT219)&gt;0,SUBTOTAL(9,BT215:BT219),"")</f>
        <v/>
      </c>
      <c r="BU214" s="34" t="str">
        <f t="shared" ref="BU214" si="5464">IF(SUBTOTAL(9,BU215:BU219)&gt;0,SUBTOTAL(9,BU215:BU219),"")</f>
        <v/>
      </c>
      <c r="BV214" s="34" t="str">
        <f t="shared" ref="BV214" si="5465">IF(SUBTOTAL(9,BV215:BV219)&gt;0,SUBTOTAL(9,BV215:BV219),"")</f>
        <v/>
      </c>
      <c r="BW214" s="34" t="str">
        <f t="shared" ref="BW214" si="5466">IF(SUBTOTAL(9,BW215:BW219)&gt;0,SUBTOTAL(9,BW215:BW219),"")</f>
        <v/>
      </c>
      <c r="BX214" s="34" t="str">
        <f t="shared" ref="BX214" si="5467">IF(SUBTOTAL(9,BX215:BX219)&gt;0,SUBTOTAL(9,BX215:BX219),"")</f>
        <v/>
      </c>
      <c r="BY214" s="34" t="str">
        <f t="shared" ref="BY214" si="5468">IF(SUBTOTAL(9,BY215:BY219)&gt;0,SUBTOTAL(9,BY215:BY219),"")</f>
        <v/>
      </c>
      <c r="BZ214" s="34" t="str">
        <f t="shared" ref="BZ214" si="5469">IF(SUBTOTAL(9,BZ215:BZ219)&gt;0,SUBTOTAL(9,BZ215:BZ219),"")</f>
        <v/>
      </c>
      <c r="CA214" s="34" t="str">
        <f t="shared" ref="CA214:DC214" si="5470">IF(SUBTOTAL(9,CA215:CA219)&gt;0,SUBTOTAL(9,CA215:CA219),"")</f>
        <v/>
      </c>
      <c r="CB214" s="34" t="str">
        <f t="shared" si="5470"/>
        <v/>
      </c>
      <c r="CC214" s="34" t="str">
        <f t="shared" si="5470"/>
        <v/>
      </c>
      <c r="CD214" s="34" t="str">
        <f t="shared" si="5470"/>
        <v/>
      </c>
      <c r="CE214" s="34" t="str">
        <f t="shared" si="5470"/>
        <v/>
      </c>
      <c r="CF214" s="34" t="str">
        <f t="shared" si="5470"/>
        <v/>
      </c>
      <c r="CG214" s="34" t="str">
        <f t="shared" si="5470"/>
        <v/>
      </c>
      <c r="CH214" s="34" t="str">
        <f t="shared" si="5470"/>
        <v/>
      </c>
      <c r="CI214" s="34" t="str">
        <f t="shared" si="5470"/>
        <v/>
      </c>
      <c r="CJ214" s="34" t="str">
        <f t="shared" si="5470"/>
        <v/>
      </c>
      <c r="CK214" s="34" t="str">
        <f t="shared" si="5470"/>
        <v/>
      </c>
      <c r="CL214" s="34" t="str">
        <f t="shared" si="5470"/>
        <v/>
      </c>
      <c r="CM214" s="34" t="str">
        <f t="shared" si="5470"/>
        <v/>
      </c>
      <c r="CN214" s="34" t="str">
        <f t="shared" si="5470"/>
        <v/>
      </c>
      <c r="CO214" s="34" t="str">
        <f t="shared" si="5470"/>
        <v/>
      </c>
      <c r="CP214" s="34" t="str">
        <f t="shared" si="5470"/>
        <v/>
      </c>
      <c r="CQ214" s="34" t="str">
        <f t="shared" si="5470"/>
        <v/>
      </c>
      <c r="CR214" s="34" t="str">
        <f t="shared" si="5470"/>
        <v/>
      </c>
      <c r="CS214" s="34" t="str">
        <f t="shared" si="5470"/>
        <v/>
      </c>
      <c r="CT214" s="33" t="str">
        <f t="shared" si="5470"/>
        <v/>
      </c>
      <c r="CU214" s="34" t="str">
        <f t="shared" si="5470"/>
        <v/>
      </c>
      <c r="CV214" s="34" t="str">
        <f t="shared" si="5470"/>
        <v/>
      </c>
      <c r="CW214" s="34" t="str">
        <f t="shared" si="5470"/>
        <v/>
      </c>
      <c r="CX214" s="34" t="str">
        <f t="shared" si="5470"/>
        <v/>
      </c>
      <c r="CY214" s="34" t="str">
        <f t="shared" si="5470"/>
        <v/>
      </c>
      <c r="CZ214" s="33" t="str">
        <f t="shared" si="5470"/>
        <v/>
      </c>
      <c r="DA214" s="33" t="str">
        <f t="shared" si="5470"/>
        <v/>
      </c>
      <c r="DB214" s="34" t="str">
        <f t="shared" si="5470"/>
        <v/>
      </c>
      <c r="DC214" s="34" t="str">
        <f t="shared" si="5470"/>
        <v/>
      </c>
      <c r="DD214" s="34" t="str">
        <f>IF(SUBTOTAL(9,DD215:DD219)&gt;0,SUBTOTAL(9,DD215:DD219),"")</f>
        <v/>
      </c>
      <c r="DE214" s="34" t="str">
        <f t="shared" ref="DE214" si="5471">IF(SUBTOTAL(9,DE215:DE219)&gt;0,SUBTOTAL(9,DE215:DE219),"")</f>
        <v/>
      </c>
      <c r="DF214" s="34" t="str">
        <f t="shared" ref="DF214" si="5472">IF(SUBTOTAL(9,DF215:DF219)&gt;0,SUBTOTAL(9,DF215:DF219),"")</f>
        <v/>
      </c>
      <c r="DG214" s="34">
        <f>IF(SUBTOTAL(9,DG215:DG219)&gt;0,SUBTOTAL(9,DG215:DG219),"")</f>
        <v>1</v>
      </c>
      <c r="DH214" s="34">
        <f>IF(SUBTOTAL(9,DH215:DH219)&gt;0,SUBTOTAL(9,DH215:DH219),"")</f>
        <v>1.5</v>
      </c>
      <c r="DI214" s="34" t="str">
        <f t="shared" ref="DI214" si="5473">IF(SUBTOTAL(9,DI215:DI219)&gt;0,SUBTOTAL(9,DI215:DI219),"")</f>
        <v/>
      </c>
      <c r="DJ214" s="34" t="str">
        <f t="shared" ref="DJ214" si="5474">IF(SUBTOTAL(9,DJ215:DJ219)&gt;0,SUBTOTAL(9,DJ215:DJ219),"")</f>
        <v/>
      </c>
      <c r="DK214" s="34" t="str">
        <f t="shared" ref="DK214" si="5475">IF(SUBTOTAL(9,DK215:DK219)&gt;0,SUBTOTAL(9,DK215:DK219),"")</f>
        <v/>
      </c>
      <c r="DL214" s="34" t="str">
        <f t="shared" ref="DL214" si="5476">IF(SUBTOTAL(9,DL215:DL219)&gt;0,SUBTOTAL(9,DL215:DL219),"")</f>
        <v/>
      </c>
      <c r="DM214" s="34" t="str">
        <f t="shared" ref="DM214" si="5477">IF(SUBTOTAL(9,DM215:DM219)&gt;0,SUBTOTAL(9,DM215:DM219),"")</f>
        <v/>
      </c>
      <c r="DN214" s="34" t="str">
        <f t="shared" ref="DN214" si="5478">IF(SUBTOTAL(9,DN215:DN219)&gt;0,SUBTOTAL(9,DN215:DN219),"")</f>
        <v/>
      </c>
      <c r="DO214" s="34" t="str">
        <f t="shared" ref="DO214" si="5479">IF(SUBTOTAL(9,DO215:DO219)&gt;0,SUBTOTAL(9,DO215:DO219),"")</f>
        <v/>
      </c>
      <c r="DP214" s="34" t="str">
        <f t="shared" ref="DP214" si="5480">IF(SUBTOTAL(9,DP215:DP219)&gt;0,SUBTOTAL(9,DP215:DP219),"")</f>
        <v/>
      </c>
      <c r="DQ214" s="34" t="str">
        <f t="shared" ref="DQ214" si="5481">IF(SUBTOTAL(9,DQ215:DQ219)&gt;0,SUBTOTAL(9,DQ215:DQ219),"")</f>
        <v/>
      </c>
      <c r="DR214" s="34" t="str">
        <f t="shared" ref="DR214" si="5482">IF(SUBTOTAL(9,DR215:DR219)&gt;0,SUBTOTAL(9,DR215:DR219),"")</f>
        <v/>
      </c>
      <c r="DS214" s="34" t="str">
        <f t="shared" ref="DS214" si="5483">IF(SUBTOTAL(9,DS215:DS219)&gt;0,SUBTOTAL(9,DS215:DS219),"")</f>
        <v/>
      </c>
      <c r="DT214" s="34" t="str">
        <f t="shared" ref="DT214" si="5484">IF(SUBTOTAL(9,DT215:DT219)&gt;0,SUBTOTAL(9,DT215:DT219),"")</f>
        <v/>
      </c>
      <c r="DU214" s="34" t="str">
        <f t="shared" ref="DU214" si="5485">IF(SUBTOTAL(9,DU215:DU219)&gt;0,SUBTOTAL(9,DU215:DU219),"")</f>
        <v/>
      </c>
      <c r="DV214" s="34" t="str">
        <f t="shared" ref="DV214" si="5486">IF(SUBTOTAL(9,DV215:DV219)&gt;0,SUBTOTAL(9,DV215:DV219),"")</f>
        <v/>
      </c>
      <c r="DW214" s="34" t="str">
        <f t="shared" ref="DW214" si="5487">IF(SUBTOTAL(9,DW215:DW219)&gt;0,SUBTOTAL(9,DW215:DW219),"")</f>
        <v/>
      </c>
      <c r="DX214" s="34" t="str">
        <f t="shared" ref="DX214" si="5488">IF(SUBTOTAL(9,DX215:DX219)&gt;0,SUBTOTAL(9,DX215:DX219),"")</f>
        <v/>
      </c>
      <c r="DY214" s="34" t="str">
        <f t="shared" ref="DY214" si="5489">IF(SUBTOTAL(9,DY215:DY219)&gt;0,SUBTOTAL(9,DY215:DY219),"")</f>
        <v/>
      </c>
      <c r="DZ214" s="33" t="str">
        <f t="shared" ref="DZ214" si="5490">IF(SUBTOTAL(9,DZ215:DZ219)&gt;0,SUBTOTAL(9,DZ215:DZ219),"")</f>
        <v/>
      </c>
      <c r="EA214" s="34" t="str">
        <f t="shared" ref="EA214" si="5491">IF(SUBTOTAL(9,EA215:EA219)&gt;0,SUBTOTAL(9,EA215:EA219),"")</f>
        <v/>
      </c>
      <c r="EB214" s="34" t="str">
        <f t="shared" ref="EB214" si="5492">IF(SUBTOTAL(9,EB215:EB219)&gt;0,SUBTOTAL(9,EB215:EB219),"")</f>
        <v/>
      </c>
      <c r="EC214" s="34" t="str">
        <f t="shared" ref="EC214" si="5493">IF(SUBTOTAL(9,EC215:EC219)&gt;0,SUBTOTAL(9,EC215:EC219),"")</f>
        <v/>
      </c>
      <c r="ED214" s="34" t="str">
        <f t="shared" ref="ED214" si="5494">IF(SUBTOTAL(9,ED215:ED219)&gt;0,SUBTOTAL(9,ED215:ED219),"")</f>
        <v/>
      </c>
      <c r="EE214" s="34" t="str">
        <f t="shared" ref="EE214" si="5495">IF(SUBTOTAL(9,EE215:EE219)&gt;0,SUBTOTAL(9,EE215:EE219),"")</f>
        <v/>
      </c>
      <c r="EF214" s="34" t="str">
        <f t="shared" ref="EF214" si="5496">IF(SUBTOTAL(9,EF215:EF219)&gt;0,SUBTOTAL(9,EF215:EF219),"")</f>
        <v/>
      </c>
      <c r="EG214" s="34" t="str">
        <f t="shared" ref="EG214" si="5497">IF(SUBTOTAL(9,EG215:EG219)&gt;0,SUBTOTAL(9,EG215:EG219),"")</f>
        <v/>
      </c>
      <c r="EH214" s="34" t="str">
        <f t="shared" ref="EH214" si="5498">IF(SUBTOTAL(9,EH215:EH219)&gt;0,SUBTOTAL(9,EH215:EH219),"")</f>
        <v/>
      </c>
      <c r="EI214" s="34" t="str">
        <f t="shared" ref="EI214" si="5499">IF(SUBTOTAL(9,EI215:EI219)&gt;0,SUBTOTAL(9,EI215:EI219),"")</f>
        <v/>
      </c>
      <c r="EJ214" s="34" t="str">
        <f t="shared" ref="EJ214" si="5500">IF(SUBTOTAL(9,EJ215:EJ219)&gt;0,SUBTOTAL(9,EJ215:EJ219),"")</f>
        <v/>
      </c>
      <c r="EK214" s="34" t="str">
        <f t="shared" ref="EK214" si="5501">IF(SUBTOTAL(9,EK215:EK219)&gt;0,SUBTOTAL(9,EK215:EK219),"")</f>
        <v/>
      </c>
      <c r="EL214" s="34" t="str">
        <f t="shared" ref="EL214" si="5502">IF(SUBTOTAL(9,EL215:EL219)&gt;0,SUBTOTAL(9,EL215:EL219),"")</f>
        <v/>
      </c>
      <c r="EM214" s="34" t="str">
        <f t="shared" ref="EM214" si="5503">IF(SUBTOTAL(9,EM215:EM219)&gt;0,SUBTOTAL(9,EM215:EM219),"")</f>
        <v/>
      </c>
      <c r="EN214" s="34" t="str">
        <f t="shared" ref="EN214" si="5504">IF(SUBTOTAL(9,EN215:EN219)&gt;0,SUBTOTAL(9,EN215:EN219),"")</f>
        <v/>
      </c>
      <c r="EO214" s="34" t="str">
        <f t="shared" ref="EO214" si="5505">IF(SUBTOTAL(9,EO215:EO219)&gt;0,SUBTOTAL(9,EO215:EO219),"")</f>
        <v/>
      </c>
      <c r="EP214" s="34" t="str">
        <f t="shared" ref="EP214" si="5506">IF(SUBTOTAL(9,EP215:EP219)&gt;0,SUBTOTAL(9,EP215:EP219),"")</f>
        <v/>
      </c>
      <c r="EQ214" s="34" t="str">
        <f t="shared" ref="EQ214" si="5507">IF(SUBTOTAL(9,EQ215:EQ219)&gt;0,SUBTOTAL(9,EQ215:EQ219),"")</f>
        <v/>
      </c>
      <c r="ER214" s="34" t="str">
        <f t="shared" ref="ER214" si="5508">IF(SUBTOTAL(9,ER215:ER219)&gt;0,SUBTOTAL(9,ER215:ER219),"")</f>
        <v/>
      </c>
      <c r="ES214" s="34" t="str">
        <f t="shared" ref="ES214" si="5509">IF(SUBTOTAL(9,ES215:ES219)&gt;0,SUBTOTAL(9,ES215:ES219),"")</f>
        <v/>
      </c>
      <c r="ET214" s="34" t="str">
        <f t="shared" ref="ET214" si="5510">IF(SUBTOTAL(9,ET215:ET219)&gt;0,SUBTOTAL(9,ET215:ET219),"")</f>
        <v/>
      </c>
      <c r="EU214" s="34" t="str">
        <f t="shared" ref="EU214" si="5511">IF(SUBTOTAL(9,EU215:EU219)&gt;0,SUBTOTAL(9,EU215:EU219),"")</f>
        <v/>
      </c>
      <c r="EV214" s="34" t="str">
        <f t="shared" ref="EV214" si="5512">IF(SUBTOTAL(9,EV215:EV219)&gt;0,SUBTOTAL(9,EV215:EV219),"")</f>
        <v/>
      </c>
      <c r="EW214" s="34" t="str">
        <f t="shared" ref="EW214" si="5513">IF(SUBTOTAL(9,EW215:EW219)&gt;0,SUBTOTAL(9,EW215:EW219),"")</f>
        <v/>
      </c>
      <c r="EX214" s="34" t="str">
        <f t="shared" ref="EX214" si="5514">IF(SUBTOTAL(9,EX215:EX219)&gt;0,SUBTOTAL(9,EX215:EX219),"")</f>
        <v/>
      </c>
      <c r="EY214" s="33" t="str">
        <f t="shared" ref="EY214" si="5515">IF(SUBTOTAL(9,EY215:EY219)&gt;0,SUBTOTAL(9,EY215:EY219),"")</f>
        <v/>
      </c>
      <c r="EZ214" s="34" t="str">
        <f t="shared" ref="EZ214" si="5516">IF(SUBTOTAL(9,EZ215:EZ219)&gt;0,SUBTOTAL(9,EZ215:EZ219),"")</f>
        <v/>
      </c>
      <c r="FA214" s="34" t="str">
        <f t="shared" ref="FA214" si="5517">IF(SUBTOTAL(9,FA215:FA219)&gt;0,SUBTOTAL(9,FA215:FA219),"")</f>
        <v/>
      </c>
      <c r="FB214" s="34" t="str">
        <f t="shared" ref="FB214" si="5518">IF(SUBTOTAL(9,FB215:FB219)&gt;0,SUBTOTAL(9,FB215:FB219),"")</f>
        <v/>
      </c>
      <c r="FC214" s="34" t="str">
        <f t="shared" ref="FC214" si="5519">IF(SUBTOTAL(9,FC215:FC219)&gt;0,SUBTOTAL(9,FC215:FC219),"")</f>
        <v/>
      </c>
      <c r="FD214" s="34" t="str">
        <f t="shared" ref="FD214" si="5520">IF(SUBTOTAL(9,FD215:FD219)&gt;0,SUBTOTAL(9,FD215:FD219),"")</f>
        <v/>
      </c>
      <c r="FE214" s="34" t="str">
        <f t="shared" ref="FE214" si="5521">IF(SUBTOTAL(9,FE215:FE219)&gt;0,SUBTOTAL(9,FE215:FE219),"")</f>
        <v/>
      </c>
      <c r="FF214" s="34" t="str">
        <f t="shared" ref="FF214" si="5522">IF(SUBTOTAL(9,FF215:FF219)&gt;0,SUBTOTAL(9,FF215:FF219),"")</f>
        <v/>
      </c>
      <c r="FG214" s="34" t="str">
        <f t="shared" ref="FG214" si="5523">IF(SUBTOTAL(9,FG215:FG219)&gt;0,SUBTOTAL(9,FG215:FG219),"")</f>
        <v/>
      </c>
      <c r="FH214" s="34" t="str">
        <f t="shared" ref="FH214" si="5524">IF(SUBTOTAL(9,FH215:FH219)&gt;0,SUBTOTAL(9,FH215:FH219),"")</f>
        <v/>
      </c>
      <c r="FI214" s="34" t="str">
        <f t="shared" ref="FI214" si="5525">IF(SUBTOTAL(9,FI215:FI219)&gt;0,SUBTOTAL(9,FI215:FI219),"")</f>
        <v/>
      </c>
      <c r="FJ214" s="34" t="str">
        <f t="shared" ref="FJ214" si="5526">IF(SUBTOTAL(9,FJ215:FJ219)&gt;0,SUBTOTAL(9,FJ215:FJ219),"")</f>
        <v/>
      </c>
      <c r="FK214" s="34" t="str">
        <f t="shared" ref="FK214" si="5527">IF(SUBTOTAL(9,FK215:FK219)&gt;0,SUBTOTAL(9,FK215:FK219),"")</f>
        <v/>
      </c>
      <c r="FL214" s="34" t="str">
        <f t="shared" ref="FL214" si="5528">IF(SUBTOTAL(9,FL215:FL219)&gt;0,SUBTOTAL(9,FL215:FL219),"")</f>
        <v/>
      </c>
      <c r="FM214" s="34" t="str">
        <f t="shared" ref="FM214" si="5529">IF(SUBTOTAL(9,FM215:FM219)&gt;0,SUBTOTAL(9,FM215:FM219),"")</f>
        <v/>
      </c>
      <c r="FN214" s="34" t="str">
        <f t="shared" ref="FN214" si="5530">IF(SUBTOTAL(9,FN215:FN219)&gt;0,SUBTOTAL(9,FN215:FN219),"")</f>
        <v/>
      </c>
      <c r="FO214" s="34" t="str">
        <f t="shared" ref="FO214" si="5531">IF(SUBTOTAL(9,FO215:FO219)&gt;0,SUBTOTAL(9,FO215:FO219),"")</f>
        <v/>
      </c>
      <c r="FP214" s="34" t="str">
        <f t="shared" ref="FP214" si="5532">IF(SUBTOTAL(9,FP215:FP219)&gt;0,SUBTOTAL(9,FP215:FP219),"")</f>
        <v/>
      </c>
      <c r="FQ214" s="92" t="str">
        <f t="shared" ref="FQ214" si="5533">IF(SUBTOTAL(9,FQ215:FQ219)&gt;0,SUBTOTAL(9,FQ215:FQ219),"")</f>
        <v/>
      </c>
      <c r="FR214" s="8"/>
      <c r="FS214" s="9" t="s">
        <v>131</v>
      </c>
      <c r="FT214" s="9" t="str">
        <f t="shared" si="5254"/>
        <v/>
      </c>
    </row>
    <row r="215" spans="1:176" s="9" customFormat="1" ht="12" hidden="1" customHeight="1" outlineLevel="1">
      <c r="A215" s="122" t="s">
        <v>4</v>
      </c>
      <c r="B215" s="123" t="s">
        <v>6</v>
      </c>
      <c r="C215" s="124" t="str">
        <f t="shared" si="5114"/>
        <v>2 days</v>
      </c>
      <c r="D215" s="13" t="str">
        <f>A195&amp;" "&amp;A214</f>
        <v>7. RSR Development &amp; Dry Run 7.4 Sign-off</v>
      </c>
      <c r="E215" s="51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5"/>
      <c r="AE215" s="35"/>
      <c r="AF215" s="35"/>
      <c r="AG215" s="35"/>
      <c r="AH215" s="35"/>
      <c r="AI215" s="35"/>
      <c r="AJ215" s="35"/>
      <c r="AK215" s="35"/>
      <c r="AL215" s="36"/>
      <c r="AM215" s="36"/>
      <c r="AN215" s="36"/>
      <c r="AO215" s="36"/>
      <c r="AP215" s="36"/>
      <c r="AQ215" s="36"/>
      <c r="AR215" s="36"/>
      <c r="AS215" s="35"/>
      <c r="AT215" s="35"/>
      <c r="AU215" s="35"/>
      <c r="AV215" s="35"/>
      <c r="AW215" s="35"/>
      <c r="AX215" s="35"/>
      <c r="AY215" s="35"/>
      <c r="AZ215" s="35"/>
      <c r="BA215" s="35"/>
      <c r="BB215" s="35"/>
      <c r="BC215" s="35"/>
      <c r="BD215" s="35"/>
      <c r="BE215" s="35"/>
      <c r="BF215" s="35"/>
      <c r="BG215" s="35"/>
      <c r="BH215" s="35"/>
      <c r="BI215" s="35"/>
      <c r="BJ215" s="35"/>
      <c r="BK215" s="35"/>
      <c r="BL215" s="35"/>
      <c r="BM215" s="35"/>
      <c r="BN215" s="35"/>
      <c r="BO215" s="35"/>
      <c r="BP215" s="35"/>
      <c r="BQ215" s="35"/>
      <c r="BR215" s="35"/>
      <c r="BS215" s="35"/>
      <c r="BT215" s="35"/>
      <c r="BU215" s="35"/>
      <c r="BV215" s="35"/>
      <c r="BW215" s="35"/>
      <c r="BX215" s="35"/>
      <c r="BY215" s="35"/>
      <c r="BZ215" s="35"/>
      <c r="CA215" s="35"/>
      <c r="CB215" s="35"/>
      <c r="CC215" s="35"/>
      <c r="CD215" s="35"/>
      <c r="CE215" s="35"/>
      <c r="CF215" s="35"/>
      <c r="CG215" s="35"/>
      <c r="CH215" s="35"/>
      <c r="CI215" s="35"/>
      <c r="CJ215" s="35"/>
      <c r="CK215" s="35"/>
      <c r="CL215" s="35"/>
      <c r="CM215" s="35"/>
      <c r="CN215" s="35"/>
      <c r="CO215" s="35"/>
      <c r="CP215" s="35"/>
      <c r="CQ215" s="35"/>
      <c r="CR215" s="35"/>
      <c r="CS215" s="35"/>
      <c r="CT215" s="36"/>
      <c r="CU215" s="35"/>
      <c r="CV215" s="35"/>
      <c r="CW215" s="35"/>
      <c r="CX215" s="35"/>
      <c r="CY215" s="35"/>
      <c r="CZ215" s="36"/>
      <c r="DA215" s="36"/>
      <c r="DB215" s="94"/>
      <c r="DC215" s="93"/>
      <c r="DD215" s="93"/>
      <c r="DE215" s="35"/>
      <c r="DF215" s="35"/>
      <c r="DG215" s="35">
        <v>1</v>
      </c>
      <c r="DH215" s="35">
        <v>1</v>
      </c>
      <c r="DI215" s="35"/>
      <c r="DJ215" s="35"/>
      <c r="DK215" s="35"/>
      <c r="DL215" s="35"/>
      <c r="DM215" s="35"/>
      <c r="DN215" s="35"/>
      <c r="DO215" s="35"/>
      <c r="DP215" s="35"/>
      <c r="DQ215" s="35"/>
      <c r="DR215" s="35"/>
      <c r="DS215" s="35"/>
      <c r="DT215" s="35"/>
      <c r="DU215" s="35"/>
      <c r="DV215" s="35"/>
      <c r="DW215" s="35"/>
      <c r="DX215" s="35"/>
      <c r="DY215" s="35"/>
      <c r="DZ215" s="36"/>
      <c r="EA215" s="35"/>
      <c r="EB215" s="35"/>
      <c r="EC215" s="35"/>
      <c r="ED215" s="35"/>
      <c r="EE215" s="35"/>
      <c r="EF215" s="35"/>
      <c r="EG215" s="35"/>
      <c r="EH215" s="35"/>
      <c r="EI215" s="35"/>
      <c r="EJ215" s="35"/>
      <c r="EK215" s="35"/>
      <c r="EL215" s="35"/>
      <c r="EM215" s="35"/>
      <c r="EN215" s="35"/>
      <c r="EO215" s="35"/>
      <c r="EP215" s="35"/>
      <c r="EQ215" s="35"/>
      <c r="ER215" s="35"/>
      <c r="ES215" s="35"/>
      <c r="ET215" s="35"/>
      <c r="EU215" s="35"/>
      <c r="EV215" s="35"/>
      <c r="EW215" s="35"/>
      <c r="EX215" s="35"/>
      <c r="EY215" s="36"/>
      <c r="EZ215" s="35"/>
      <c r="FA215" s="35"/>
      <c r="FB215" s="35"/>
      <c r="FC215" s="35"/>
      <c r="FD215" s="35"/>
      <c r="FE215" s="35"/>
      <c r="FF215" s="35"/>
      <c r="FG215" s="35"/>
      <c r="FH215" s="35"/>
      <c r="FI215" s="35"/>
      <c r="FJ215" s="35"/>
      <c r="FK215" s="35"/>
      <c r="FL215" s="35"/>
      <c r="FM215" s="35"/>
      <c r="FN215" s="35"/>
      <c r="FO215" s="35"/>
      <c r="FP215" s="35"/>
      <c r="FQ215" s="52"/>
      <c r="FR215" s="8"/>
      <c r="FS215" s="9" t="s">
        <v>13</v>
      </c>
      <c r="FT215" s="9" t="str">
        <f t="shared" si="5254"/>
        <v>7. RSR Development &amp; Dry Run 7.4 Sign-offPeter Sherry</v>
      </c>
    </row>
    <row r="216" spans="1:176" s="9" customFormat="1" ht="12" hidden="1" customHeight="1" outlineLevel="1">
      <c r="A216" s="122" t="s">
        <v>4</v>
      </c>
      <c r="B216" s="123" t="s">
        <v>5</v>
      </c>
      <c r="C216" s="124" t="str">
        <f t="shared" si="5114"/>
        <v>1 days</v>
      </c>
      <c r="D216" s="13" t="str">
        <f>A195&amp;" "&amp;A214</f>
        <v>7. RSR Development &amp; Dry Run 7.4 Sign-off</v>
      </c>
      <c r="E216" s="51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5"/>
      <c r="AE216" s="35"/>
      <c r="AF216" s="35"/>
      <c r="AG216" s="35"/>
      <c r="AH216" s="35"/>
      <c r="AI216" s="35"/>
      <c r="AJ216" s="35"/>
      <c r="AK216" s="35"/>
      <c r="AL216" s="36"/>
      <c r="AM216" s="36"/>
      <c r="AN216" s="36"/>
      <c r="AO216" s="36"/>
      <c r="AP216" s="36"/>
      <c r="AQ216" s="36"/>
      <c r="AR216" s="36"/>
      <c r="AS216" s="35"/>
      <c r="AT216" s="35"/>
      <c r="AU216" s="35"/>
      <c r="AV216" s="35"/>
      <c r="AW216" s="35"/>
      <c r="AX216" s="35"/>
      <c r="AY216" s="35"/>
      <c r="AZ216" s="35"/>
      <c r="BA216" s="35"/>
      <c r="BB216" s="35"/>
      <c r="BC216" s="35"/>
      <c r="BD216" s="35"/>
      <c r="BE216" s="35"/>
      <c r="BF216" s="35"/>
      <c r="BG216" s="35"/>
      <c r="BH216" s="35"/>
      <c r="BI216" s="35"/>
      <c r="BJ216" s="35"/>
      <c r="BK216" s="35"/>
      <c r="BL216" s="35"/>
      <c r="BM216" s="35"/>
      <c r="BN216" s="35"/>
      <c r="BO216" s="35"/>
      <c r="BP216" s="35"/>
      <c r="BQ216" s="35"/>
      <c r="BR216" s="35"/>
      <c r="BS216" s="35"/>
      <c r="BT216" s="35"/>
      <c r="BU216" s="35"/>
      <c r="BV216" s="35"/>
      <c r="BW216" s="35"/>
      <c r="BX216" s="35"/>
      <c r="BY216" s="35"/>
      <c r="BZ216" s="35"/>
      <c r="CA216" s="35"/>
      <c r="CB216" s="35"/>
      <c r="CC216" s="35"/>
      <c r="CD216" s="35"/>
      <c r="CE216" s="35"/>
      <c r="CF216" s="35"/>
      <c r="CG216" s="35"/>
      <c r="CH216" s="35"/>
      <c r="CI216" s="35"/>
      <c r="CJ216" s="35"/>
      <c r="CK216" s="35"/>
      <c r="CL216" s="35"/>
      <c r="CM216" s="35"/>
      <c r="CN216" s="35"/>
      <c r="CO216" s="35"/>
      <c r="CP216" s="35"/>
      <c r="CQ216" s="35"/>
      <c r="CR216" s="35"/>
      <c r="CS216" s="35"/>
      <c r="CT216" s="36"/>
      <c r="CU216" s="35"/>
      <c r="CV216" s="35"/>
      <c r="CW216" s="35"/>
      <c r="CX216" s="35"/>
      <c r="CY216" s="35"/>
      <c r="CZ216" s="36"/>
      <c r="DA216" s="36"/>
      <c r="DB216" s="94"/>
      <c r="DC216" s="93"/>
      <c r="DD216" s="93"/>
      <c r="DE216" s="35"/>
      <c r="DF216" s="35"/>
      <c r="DG216" s="35"/>
      <c r="DH216" s="35">
        <v>0.5</v>
      </c>
      <c r="DI216" s="35"/>
      <c r="DJ216" s="35"/>
      <c r="DK216" s="35"/>
      <c r="DL216" s="35"/>
      <c r="DM216" s="35"/>
      <c r="DN216" s="35"/>
      <c r="DO216" s="35"/>
      <c r="DP216" s="35"/>
      <c r="DQ216" s="35"/>
      <c r="DR216" s="35"/>
      <c r="DS216" s="35"/>
      <c r="DT216" s="35"/>
      <c r="DU216" s="35"/>
      <c r="DV216" s="35"/>
      <c r="DW216" s="35"/>
      <c r="DX216" s="35"/>
      <c r="DY216" s="35"/>
      <c r="DZ216" s="36"/>
      <c r="EA216" s="35"/>
      <c r="EB216" s="35"/>
      <c r="EC216" s="35"/>
      <c r="ED216" s="35"/>
      <c r="EE216" s="35"/>
      <c r="EF216" s="35"/>
      <c r="EG216" s="35"/>
      <c r="EH216" s="35"/>
      <c r="EI216" s="35"/>
      <c r="EJ216" s="35"/>
      <c r="EK216" s="35"/>
      <c r="EL216" s="35"/>
      <c r="EM216" s="35"/>
      <c r="EN216" s="35"/>
      <c r="EO216" s="35"/>
      <c r="EP216" s="35"/>
      <c r="EQ216" s="35"/>
      <c r="ER216" s="35"/>
      <c r="ES216" s="35"/>
      <c r="ET216" s="35"/>
      <c r="EU216" s="35"/>
      <c r="EV216" s="35"/>
      <c r="EW216" s="35"/>
      <c r="EX216" s="35"/>
      <c r="EY216" s="36"/>
      <c r="EZ216" s="35"/>
      <c r="FA216" s="35"/>
      <c r="FB216" s="35"/>
      <c r="FC216" s="35"/>
      <c r="FD216" s="35"/>
      <c r="FE216" s="35"/>
      <c r="FF216" s="35"/>
      <c r="FG216" s="35"/>
      <c r="FH216" s="35"/>
      <c r="FI216" s="35"/>
      <c r="FJ216" s="35"/>
      <c r="FK216" s="35"/>
      <c r="FL216" s="35"/>
      <c r="FM216" s="35"/>
      <c r="FN216" s="35"/>
      <c r="FO216" s="35"/>
      <c r="FP216" s="35"/>
      <c r="FQ216" s="52"/>
      <c r="FR216" s="8"/>
      <c r="FS216" s="9" t="s">
        <v>13</v>
      </c>
      <c r="FT216" s="9" t="str">
        <f t="shared" si="5254"/>
        <v>7. RSR Development &amp; Dry Run 7.4 Sign-offKerry McConnell</v>
      </c>
    </row>
    <row r="217" spans="1:176" s="9" customFormat="1" ht="12" hidden="1" customHeight="1" outlineLevel="1">
      <c r="A217" s="125" t="s">
        <v>50</v>
      </c>
      <c r="B217" s="123"/>
      <c r="C217" s="124" t="str">
        <f t="shared" si="5114"/>
        <v>0 days</v>
      </c>
      <c r="D217" s="13" t="str">
        <f>A195&amp;" "&amp;A214</f>
        <v>7. RSR Development &amp; Dry Run 7.4 Sign-off</v>
      </c>
      <c r="E217" s="51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5"/>
      <c r="AE217" s="35"/>
      <c r="AF217" s="35"/>
      <c r="AG217" s="35"/>
      <c r="AH217" s="35"/>
      <c r="AI217" s="35"/>
      <c r="AJ217" s="35"/>
      <c r="AK217" s="35"/>
      <c r="AL217" s="36"/>
      <c r="AM217" s="36"/>
      <c r="AN217" s="36"/>
      <c r="AO217" s="36"/>
      <c r="AP217" s="36"/>
      <c r="AQ217" s="36"/>
      <c r="AR217" s="36"/>
      <c r="AS217" s="35"/>
      <c r="AT217" s="35"/>
      <c r="AU217" s="35"/>
      <c r="AV217" s="35"/>
      <c r="AW217" s="35"/>
      <c r="AX217" s="35"/>
      <c r="AY217" s="35"/>
      <c r="AZ217" s="35"/>
      <c r="BA217" s="35"/>
      <c r="BB217" s="35"/>
      <c r="BC217" s="35"/>
      <c r="BD217" s="35"/>
      <c r="BE217" s="35"/>
      <c r="BF217" s="35"/>
      <c r="BG217" s="35"/>
      <c r="BH217" s="35"/>
      <c r="BI217" s="35"/>
      <c r="BJ217" s="35"/>
      <c r="BK217" s="35"/>
      <c r="BL217" s="35"/>
      <c r="BM217" s="35"/>
      <c r="BN217" s="35"/>
      <c r="BO217" s="35"/>
      <c r="BP217" s="35"/>
      <c r="BQ217" s="35"/>
      <c r="BR217" s="35"/>
      <c r="BS217" s="35"/>
      <c r="BT217" s="35"/>
      <c r="BU217" s="35"/>
      <c r="BV217" s="35"/>
      <c r="BW217" s="35"/>
      <c r="BX217" s="35"/>
      <c r="BY217" s="35"/>
      <c r="BZ217" s="35"/>
      <c r="CA217" s="35"/>
      <c r="CB217" s="35"/>
      <c r="CC217" s="35"/>
      <c r="CD217" s="35"/>
      <c r="CE217" s="35"/>
      <c r="CF217" s="35"/>
      <c r="CG217" s="35"/>
      <c r="CH217" s="35"/>
      <c r="CI217" s="35"/>
      <c r="CJ217" s="35"/>
      <c r="CK217" s="35"/>
      <c r="CL217" s="35"/>
      <c r="CM217" s="35"/>
      <c r="CN217" s="35"/>
      <c r="CO217" s="35"/>
      <c r="CP217" s="35"/>
      <c r="CQ217" s="35"/>
      <c r="CR217" s="35"/>
      <c r="CS217" s="35"/>
      <c r="CT217" s="36"/>
      <c r="CU217" s="35"/>
      <c r="CV217" s="35"/>
      <c r="CW217" s="35"/>
      <c r="CX217" s="35"/>
      <c r="CY217" s="35"/>
      <c r="CZ217" s="36"/>
      <c r="DA217" s="36"/>
      <c r="DB217" s="35"/>
      <c r="DC217" s="35"/>
      <c r="DD217" s="35"/>
      <c r="DE217" s="35"/>
      <c r="DF217" s="35"/>
      <c r="DG217" s="35"/>
      <c r="DH217" s="35"/>
      <c r="DI217" s="35"/>
      <c r="DJ217" s="35"/>
      <c r="DK217" s="35"/>
      <c r="DL217" s="35"/>
      <c r="DM217" s="35"/>
      <c r="DN217" s="35"/>
      <c r="DO217" s="35"/>
      <c r="DP217" s="35"/>
      <c r="DQ217" s="35"/>
      <c r="DR217" s="35"/>
      <c r="DS217" s="35"/>
      <c r="DT217" s="35"/>
      <c r="DU217" s="35"/>
      <c r="DV217" s="35"/>
      <c r="DW217" s="35"/>
      <c r="DX217" s="35"/>
      <c r="DY217" s="35"/>
      <c r="DZ217" s="36"/>
      <c r="EA217" s="35"/>
      <c r="EB217" s="35"/>
      <c r="EC217" s="35"/>
      <c r="ED217" s="35"/>
      <c r="EE217" s="35"/>
      <c r="EF217" s="35"/>
      <c r="EG217" s="35"/>
      <c r="EH217" s="35"/>
      <c r="EI217" s="35"/>
      <c r="EJ217" s="35"/>
      <c r="EK217" s="35"/>
      <c r="EL217" s="35"/>
      <c r="EM217" s="35"/>
      <c r="EN217" s="35"/>
      <c r="EO217" s="35"/>
      <c r="EP217" s="35"/>
      <c r="EQ217" s="35"/>
      <c r="ER217" s="35"/>
      <c r="ES217" s="35"/>
      <c r="ET217" s="35"/>
      <c r="EU217" s="35"/>
      <c r="EV217" s="35"/>
      <c r="EW217" s="35"/>
      <c r="EX217" s="35"/>
      <c r="EY217" s="36"/>
      <c r="EZ217" s="35"/>
      <c r="FA217" s="35"/>
      <c r="FB217" s="35"/>
      <c r="FC217" s="35"/>
      <c r="FD217" s="35"/>
      <c r="FE217" s="35"/>
      <c r="FF217" s="35"/>
      <c r="FG217" s="35"/>
      <c r="FH217" s="35"/>
      <c r="FI217" s="35"/>
      <c r="FJ217" s="35"/>
      <c r="FK217" s="35"/>
      <c r="FL217" s="35"/>
      <c r="FM217" s="35"/>
      <c r="FN217" s="35"/>
      <c r="FO217" s="35"/>
      <c r="FP217" s="35"/>
      <c r="FQ217" s="52"/>
      <c r="FR217" s="8"/>
      <c r="FS217" s="9" t="s">
        <v>13</v>
      </c>
      <c r="FT217" s="9" t="str">
        <f t="shared" si="5254"/>
        <v>7. RSR Development &amp; Dry Run 7.4 Sign-off</v>
      </c>
    </row>
    <row r="218" spans="1:176" s="9" customFormat="1" ht="12" hidden="1" customHeight="1" outlineLevel="1">
      <c r="A218" s="125" t="s">
        <v>50</v>
      </c>
      <c r="B218" s="123"/>
      <c r="C218" s="124" t="str">
        <f t="shared" si="5114"/>
        <v>0 days</v>
      </c>
      <c r="D218" s="13" t="str">
        <f>A195&amp;" "&amp;A214</f>
        <v>7. RSR Development &amp; Dry Run 7.4 Sign-off</v>
      </c>
      <c r="E218" s="51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5"/>
      <c r="AE218" s="35"/>
      <c r="AF218" s="35"/>
      <c r="AG218" s="35"/>
      <c r="AH218" s="35"/>
      <c r="AI218" s="35"/>
      <c r="AJ218" s="35"/>
      <c r="AK218" s="35"/>
      <c r="AL218" s="36"/>
      <c r="AM218" s="36"/>
      <c r="AN218" s="36"/>
      <c r="AO218" s="36"/>
      <c r="AP218" s="36"/>
      <c r="AQ218" s="36"/>
      <c r="AR218" s="36"/>
      <c r="AS218" s="35"/>
      <c r="AT218" s="35"/>
      <c r="AU218" s="35"/>
      <c r="AV218" s="35"/>
      <c r="AW218" s="35"/>
      <c r="AX218" s="35"/>
      <c r="AY218" s="35"/>
      <c r="AZ218" s="35"/>
      <c r="BA218" s="35"/>
      <c r="BB218" s="35"/>
      <c r="BC218" s="35"/>
      <c r="BD218" s="35"/>
      <c r="BE218" s="35"/>
      <c r="BF218" s="35"/>
      <c r="BG218" s="35"/>
      <c r="BH218" s="35"/>
      <c r="BI218" s="35"/>
      <c r="BJ218" s="35"/>
      <c r="BK218" s="35"/>
      <c r="BL218" s="35"/>
      <c r="BM218" s="35"/>
      <c r="BN218" s="35"/>
      <c r="BO218" s="35"/>
      <c r="BP218" s="35"/>
      <c r="BQ218" s="35"/>
      <c r="BR218" s="35"/>
      <c r="BS218" s="35"/>
      <c r="BT218" s="35"/>
      <c r="BU218" s="35"/>
      <c r="BV218" s="35"/>
      <c r="BW218" s="35"/>
      <c r="BX218" s="35"/>
      <c r="BY218" s="35"/>
      <c r="BZ218" s="35"/>
      <c r="CA218" s="35"/>
      <c r="CB218" s="35"/>
      <c r="CC218" s="35"/>
      <c r="CD218" s="35"/>
      <c r="CE218" s="35"/>
      <c r="CF218" s="35"/>
      <c r="CG218" s="35"/>
      <c r="CH218" s="35"/>
      <c r="CI218" s="35"/>
      <c r="CJ218" s="35"/>
      <c r="CK218" s="35"/>
      <c r="CL218" s="35"/>
      <c r="CM218" s="35"/>
      <c r="CN218" s="35"/>
      <c r="CO218" s="35"/>
      <c r="CP218" s="35"/>
      <c r="CQ218" s="35"/>
      <c r="CR218" s="35"/>
      <c r="CS218" s="35"/>
      <c r="CT218" s="36"/>
      <c r="CU218" s="35"/>
      <c r="CV218" s="35"/>
      <c r="CW218" s="35"/>
      <c r="CX218" s="35"/>
      <c r="CY218" s="35"/>
      <c r="CZ218" s="36"/>
      <c r="DA218" s="36"/>
      <c r="DB218" s="35"/>
      <c r="DC218" s="35"/>
      <c r="DD218" s="35"/>
      <c r="DE218" s="35"/>
      <c r="DF218" s="35"/>
      <c r="DG218" s="35"/>
      <c r="DH218" s="35"/>
      <c r="DI218" s="35"/>
      <c r="DJ218" s="35"/>
      <c r="DK218" s="35"/>
      <c r="DL218" s="35"/>
      <c r="DM218" s="35"/>
      <c r="DN218" s="35"/>
      <c r="DO218" s="35"/>
      <c r="DP218" s="35"/>
      <c r="DQ218" s="35"/>
      <c r="DR218" s="35"/>
      <c r="DS218" s="35"/>
      <c r="DT218" s="35"/>
      <c r="DU218" s="35"/>
      <c r="DV218" s="35"/>
      <c r="DW218" s="35"/>
      <c r="DX218" s="35"/>
      <c r="DY218" s="35"/>
      <c r="DZ218" s="36"/>
      <c r="EA218" s="35"/>
      <c r="EB218" s="35"/>
      <c r="EC218" s="35"/>
      <c r="ED218" s="35"/>
      <c r="EE218" s="35"/>
      <c r="EF218" s="35"/>
      <c r="EG218" s="35"/>
      <c r="EH218" s="35"/>
      <c r="EI218" s="35"/>
      <c r="EJ218" s="35"/>
      <c r="EK218" s="35"/>
      <c r="EL218" s="35"/>
      <c r="EM218" s="35"/>
      <c r="EN218" s="35"/>
      <c r="EO218" s="35"/>
      <c r="EP218" s="35"/>
      <c r="EQ218" s="35"/>
      <c r="ER218" s="35"/>
      <c r="ES218" s="35"/>
      <c r="ET218" s="35"/>
      <c r="EU218" s="35"/>
      <c r="EV218" s="35"/>
      <c r="EW218" s="35"/>
      <c r="EX218" s="35"/>
      <c r="EY218" s="36"/>
      <c r="EZ218" s="35"/>
      <c r="FA218" s="35"/>
      <c r="FB218" s="35"/>
      <c r="FC218" s="35"/>
      <c r="FD218" s="35"/>
      <c r="FE218" s="35"/>
      <c r="FF218" s="35"/>
      <c r="FG218" s="35"/>
      <c r="FH218" s="35"/>
      <c r="FI218" s="35"/>
      <c r="FJ218" s="35"/>
      <c r="FK218" s="35"/>
      <c r="FL218" s="35"/>
      <c r="FM218" s="35"/>
      <c r="FN218" s="35"/>
      <c r="FO218" s="35"/>
      <c r="FP218" s="35"/>
      <c r="FQ218" s="52"/>
      <c r="FR218" s="8"/>
      <c r="FS218" s="9" t="s">
        <v>13</v>
      </c>
      <c r="FT218" s="9" t="str">
        <f t="shared" si="5254"/>
        <v>7. RSR Development &amp; Dry Run 7.4 Sign-off</v>
      </c>
    </row>
    <row r="219" spans="1:176" s="9" customFormat="1" ht="12" hidden="1" customHeight="1" outlineLevel="1">
      <c r="A219" s="126" t="s">
        <v>50</v>
      </c>
      <c r="B219" s="123"/>
      <c r="C219" s="124" t="str">
        <f t="shared" si="5114"/>
        <v>0 days</v>
      </c>
      <c r="D219" s="13" t="str">
        <f>A195&amp;" "&amp;A214</f>
        <v>7. RSR Development &amp; Dry Run 7.4 Sign-off</v>
      </c>
      <c r="E219" s="51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5"/>
      <c r="AE219" s="35"/>
      <c r="AF219" s="35"/>
      <c r="AG219" s="35"/>
      <c r="AH219" s="35"/>
      <c r="AI219" s="35"/>
      <c r="AJ219" s="35"/>
      <c r="AK219" s="35"/>
      <c r="AL219" s="36"/>
      <c r="AM219" s="36"/>
      <c r="AN219" s="36"/>
      <c r="AO219" s="36"/>
      <c r="AP219" s="36"/>
      <c r="AQ219" s="36"/>
      <c r="AR219" s="36"/>
      <c r="AS219" s="35"/>
      <c r="AT219" s="35"/>
      <c r="AU219" s="35"/>
      <c r="AV219" s="35"/>
      <c r="AW219" s="35"/>
      <c r="AX219" s="35"/>
      <c r="AY219" s="35"/>
      <c r="AZ219" s="35"/>
      <c r="BA219" s="35"/>
      <c r="BB219" s="35"/>
      <c r="BC219" s="35"/>
      <c r="BD219" s="35"/>
      <c r="BE219" s="35"/>
      <c r="BF219" s="35"/>
      <c r="BG219" s="35"/>
      <c r="BH219" s="35"/>
      <c r="BI219" s="35"/>
      <c r="BJ219" s="35"/>
      <c r="BK219" s="35"/>
      <c r="BL219" s="35"/>
      <c r="BM219" s="35"/>
      <c r="BN219" s="35"/>
      <c r="BO219" s="35"/>
      <c r="BP219" s="35"/>
      <c r="BQ219" s="35"/>
      <c r="BR219" s="35"/>
      <c r="BS219" s="35"/>
      <c r="BT219" s="35"/>
      <c r="BU219" s="35"/>
      <c r="BV219" s="35"/>
      <c r="BW219" s="35"/>
      <c r="BX219" s="35"/>
      <c r="BY219" s="35"/>
      <c r="BZ219" s="35"/>
      <c r="CA219" s="35"/>
      <c r="CB219" s="35"/>
      <c r="CC219" s="35"/>
      <c r="CD219" s="35"/>
      <c r="CE219" s="35"/>
      <c r="CF219" s="35"/>
      <c r="CG219" s="35"/>
      <c r="CH219" s="35"/>
      <c r="CI219" s="35"/>
      <c r="CJ219" s="35"/>
      <c r="CK219" s="35"/>
      <c r="CL219" s="35"/>
      <c r="CM219" s="35"/>
      <c r="CN219" s="35"/>
      <c r="CO219" s="35"/>
      <c r="CP219" s="35"/>
      <c r="CQ219" s="35"/>
      <c r="CR219" s="35"/>
      <c r="CS219" s="35"/>
      <c r="CT219" s="36"/>
      <c r="CU219" s="35"/>
      <c r="CV219" s="35"/>
      <c r="CW219" s="35"/>
      <c r="CX219" s="35"/>
      <c r="CY219" s="35"/>
      <c r="CZ219" s="36"/>
      <c r="DA219" s="36"/>
      <c r="DB219" s="35"/>
      <c r="DC219" s="35"/>
      <c r="DD219" s="35"/>
      <c r="DE219" s="35"/>
      <c r="DF219" s="35"/>
      <c r="DG219" s="35"/>
      <c r="DH219" s="35"/>
      <c r="DI219" s="35"/>
      <c r="DJ219" s="35"/>
      <c r="DK219" s="35"/>
      <c r="DL219" s="35"/>
      <c r="DM219" s="35"/>
      <c r="DN219" s="35"/>
      <c r="DO219" s="35"/>
      <c r="DP219" s="35"/>
      <c r="DQ219" s="35"/>
      <c r="DR219" s="35"/>
      <c r="DS219" s="35"/>
      <c r="DT219" s="35"/>
      <c r="DU219" s="35"/>
      <c r="DV219" s="35"/>
      <c r="DW219" s="35"/>
      <c r="DX219" s="35"/>
      <c r="DY219" s="35"/>
      <c r="DZ219" s="36"/>
      <c r="EA219" s="35"/>
      <c r="EB219" s="35"/>
      <c r="EC219" s="35"/>
      <c r="ED219" s="35"/>
      <c r="EE219" s="35"/>
      <c r="EF219" s="35"/>
      <c r="EG219" s="35"/>
      <c r="EH219" s="35"/>
      <c r="EI219" s="35"/>
      <c r="EJ219" s="35"/>
      <c r="EK219" s="35"/>
      <c r="EL219" s="35"/>
      <c r="EM219" s="35"/>
      <c r="EN219" s="35"/>
      <c r="EO219" s="35"/>
      <c r="EP219" s="35"/>
      <c r="EQ219" s="35"/>
      <c r="ER219" s="35"/>
      <c r="ES219" s="35"/>
      <c r="ET219" s="35"/>
      <c r="EU219" s="35"/>
      <c r="EV219" s="35"/>
      <c r="EW219" s="35"/>
      <c r="EX219" s="35"/>
      <c r="EY219" s="36"/>
      <c r="EZ219" s="35"/>
      <c r="FA219" s="35"/>
      <c r="FB219" s="35"/>
      <c r="FC219" s="35"/>
      <c r="FD219" s="35"/>
      <c r="FE219" s="35"/>
      <c r="FF219" s="35"/>
      <c r="FG219" s="35"/>
      <c r="FH219" s="35"/>
      <c r="FI219" s="35"/>
      <c r="FJ219" s="35"/>
      <c r="FK219" s="35"/>
      <c r="FL219" s="35"/>
      <c r="FM219" s="35"/>
      <c r="FN219" s="35"/>
      <c r="FO219" s="35"/>
      <c r="FP219" s="35"/>
      <c r="FQ219" s="52"/>
      <c r="FR219" s="8"/>
      <c r="FS219" s="9" t="s">
        <v>13</v>
      </c>
      <c r="FT219" s="9" t="str">
        <f t="shared" si="5254"/>
        <v>7. RSR Development &amp; Dry Run 7.4 Sign-off</v>
      </c>
    </row>
    <row r="220" spans="1:176" s="9" customFormat="1" ht="12" customHeight="1" collapsed="1">
      <c r="A220" s="119" t="s">
        <v>93</v>
      </c>
      <c r="B220" s="127"/>
      <c r="C220" s="136" t="str">
        <f t="shared" si="5114"/>
        <v>8 days</v>
      </c>
      <c r="D220" s="39"/>
      <c r="E220" s="91" t="str">
        <f t="shared" ref="E220" si="5534">IF(SUBTOTAL(9,E221:E225)&gt;0,SUBTOTAL(9,E221:E225),"")</f>
        <v/>
      </c>
      <c r="F220" s="34" t="str">
        <f t="shared" ref="F220" si="5535">IF(SUBTOTAL(9,F221:F225)&gt;0,SUBTOTAL(9,F221:F225),"")</f>
        <v/>
      </c>
      <c r="G220" s="34" t="str">
        <f t="shared" ref="G220" si="5536">IF(SUBTOTAL(9,G221:G225)&gt;0,SUBTOTAL(9,G221:G225),"")</f>
        <v/>
      </c>
      <c r="H220" s="34" t="str">
        <f t="shared" ref="H220" si="5537">IF(SUBTOTAL(9,H221:H225)&gt;0,SUBTOTAL(9,H221:H225),"")</f>
        <v/>
      </c>
      <c r="I220" s="34" t="str">
        <f t="shared" ref="I220" si="5538">IF(SUBTOTAL(9,I221:I225)&gt;0,SUBTOTAL(9,I221:I225),"")</f>
        <v/>
      </c>
      <c r="J220" s="34" t="str">
        <f t="shared" ref="J220" si="5539">IF(SUBTOTAL(9,J221:J225)&gt;0,SUBTOTAL(9,J221:J225),"")</f>
        <v/>
      </c>
      <c r="K220" s="34" t="str">
        <f t="shared" ref="K220" si="5540">IF(SUBTOTAL(9,K221:K225)&gt;0,SUBTOTAL(9,K221:K225),"")</f>
        <v/>
      </c>
      <c r="L220" s="34" t="str">
        <f t="shared" ref="L220" si="5541">IF(SUBTOTAL(9,L221:L225)&gt;0,SUBTOTAL(9,L221:L225),"")</f>
        <v/>
      </c>
      <c r="M220" s="34" t="str">
        <f t="shared" ref="M220" si="5542">IF(SUBTOTAL(9,M221:M225)&gt;0,SUBTOTAL(9,M221:M225),"")</f>
        <v/>
      </c>
      <c r="N220" s="34" t="str">
        <f t="shared" ref="N220" si="5543">IF(SUBTOTAL(9,N221:N225)&gt;0,SUBTOTAL(9,N221:N225),"")</f>
        <v/>
      </c>
      <c r="O220" s="34" t="str">
        <f t="shared" ref="O220" si="5544">IF(SUBTOTAL(9,O221:O225)&gt;0,SUBTOTAL(9,O221:O225),"")</f>
        <v/>
      </c>
      <c r="P220" s="34" t="str">
        <f t="shared" ref="P220" si="5545">IF(SUBTOTAL(9,P221:P225)&gt;0,SUBTOTAL(9,P221:P225),"")</f>
        <v/>
      </c>
      <c r="Q220" s="34" t="str">
        <f t="shared" ref="Q220" si="5546">IF(SUBTOTAL(9,Q221:Q225)&gt;0,SUBTOTAL(9,Q221:Q225),"")</f>
        <v/>
      </c>
      <c r="R220" s="34" t="str">
        <f t="shared" ref="R220" si="5547">IF(SUBTOTAL(9,R221:R225)&gt;0,SUBTOTAL(9,R221:R225),"")</f>
        <v/>
      </c>
      <c r="S220" s="34" t="str">
        <f t="shared" ref="S220" si="5548">IF(SUBTOTAL(9,S221:S225)&gt;0,SUBTOTAL(9,S221:S225),"")</f>
        <v/>
      </c>
      <c r="T220" s="34" t="str">
        <f t="shared" ref="T220" si="5549">IF(SUBTOTAL(9,T221:T225)&gt;0,SUBTOTAL(9,T221:T225),"")</f>
        <v/>
      </c>
      <c r="U220" s="34" t="str">
        <f t="shared" ref="U220" si="5550">IF(SUBTOTAL(9,U221:U225)&gt;0,SUBTOTAL(9,U221:U225),"")</f>
        <v/>
      </c>
      <c r="V220" s="34" t="str">
        <f t="shared" ref="V220" si="5551">IF(SUBTOTAL(9,V221:V225)&gt;0,SUBTOTAL(9,V221:V225),"")</f>
        <v/>
      </c>
      <c r="W220" s="34" t="str">
        <f t="shared" ref="W220" si="5552">IF(SUBTOTAL(9,W221:W225)&gt;0,SUBTOTAL(9,W221:W225),"")</f>
        <v/>
      </c>
      <c r="X220" s="34" t="str">
        <f t="shared" ref="X220" si="5553">IF(SUBTOTAL(9,X221:X225)&gt;0,SUBTOTAL(9,X221:X225),"")</f>
        <v/>
      </c>
      <c r="Y220" s="34" t="str">
        <f t="shared" ref="Y220" si="5554">IF(SUBTOTAL(9,Y221:Y225)&gt;0,SUBTOTAL(9,Y221:Y225),"")</f>
        <v/>
      </c>
      <c r="Z220" s="34" t="str">
        <f t="shared" ref="Z220" si="5555">IF(SUBTOTAL(9,Z221:Z225)&gt;0,SUBTOTAL(9,Z221:Z225),"")</f>
        <v/>
      </c>
      <c r="AA220" s="34" t="str">
        <f t="shared" ref="AA220" si="5556">IF(SUBTOTAL(9,AA221:AA225)&gt;0,SUBTOTAL(9,AA221:AA225),"")</f>
        <v/>
      </c>
      <c r="AB220" s="34" t="str">
        <f t="shared" ref="AB220" si="5557">IF(SUBTOTAL(9,AB221:AB225)&gt;0,SUBTOTAL(9,AB221:AB225),"")</f>
        <v/>
      </c>
      <c r="AC220" s="34" t="str">
        <f t="shared" ref="AC220" si="5558">IF(SUBTOTAL(9,AC221:AC225)&gt;0,SUBTOTAL(9,AC221:AC225),"")</f>
        <v/>
      </c>
      <c r="AD220" s="34" t="str">
        <f t="shared" ref="AD220" si="5559">IF(SUBTOTAL(9,AD221:AD225)&gt;0,SUBTOTAL(9,AD221:AD225),"")</f>
        <v/>
      </c>
      <c r="AE220" s="34" t="str">
        <f t="shared" ref="AE220" si="5560">IF(SUBTOTAL(9,AE221:AE225)&gt;0,SUBTOTAL(9,AE221:AE225),"")</f>
        <v/>
      </c>
      <c r="AF220" s="34" t="str">
        <f t="shared" ref="AF220" si="5561">IF(SUBTOTAL(9,AF221:AF225)&gt;0,SUBTOTAL(9,AF221:AF225),"")</f>
        <v/>
      </c>
      <c r="AG220" s="34" t="str">
        <f t="shared" ref="AG220" si="5562">IF(SUBTOTAL(9,AG221:AG225)&gt;0,SUBTOTAL(9,AG221:AG225),"")</f>
        <v/>
      </c>
      <c r="AH220" s="34" t="str">
        <f t="shared" ref="AH220" si="5563">IF(SUBTOTAL(9,AH221:AH225)&gt;0,SUBTOTAL(9,AH221:AH225),"")</f>
        <v/>
      </c>
      <c r="AI220" s="34" t="str">
        <f t="shared" ref="AI220" si="5564">IF(SUBTOTAL(9,AI221:AI225)&gt;0,SUBTOTAL(9,AI221:AI225),"")</f>
        <v/>
      </c>
      <c r="AJ220" s="34" t="str">
        <f t="shared" ref="AJ220" si="5565">IF(SUBTOTAL(9,AJ221:AJ225)&gt;0,SUBTOTAL(9,AJ221:AJ225),"")</f>
        <v/>
      </c>
      <c r="AK220" s="34" t="str">
        <f t="shared" ref="AK220" si="5566">IF(SUBTOTAL(9,AK221:AK225)&gt;0,SUBTOTAL(9,AK221:AK225),"")</f>
        <v/>
      </c>
      <c r="AL220" s="33" t="str">
        <f t="shared" ref="AL220" si="5567">IF(SUBTOTAL(9,AL221:AL225)&gt;0,SUBTOTAL(9,AL221:AL225),"")</f>
        <v/>
      </c>
      <c r="AM220" s="33" t="str">
        <f t="shared" ref="AM220" si="5568">IF(SUBTOTAL(9,AM221:AM225)&gt;0,SUBTOTAL(9,AM221:AM225),"")</f>
        <v/>
      </c>
      <c r="AN220" s="33" t="str">
        <f t="shared" ref="AN220" si="5569">IF(SUBTOTAL(9,AN221:AN225)&gt;0,SUBTOTAL(9,AN221:AN225),"")</f>
        <v/>
      </c>
      <c r="AO220" s="33" t="str">
        <f t="shared" ref="AO220" si="5570">IF(SUBTOTAL(9,AO221:AO225)&gt;0,SUBTOTAL(9,AO221:AO225),"")</f>
        <v/>
      </c>
      <c r="AP220" s="33" t="str">
        <f t="shared" ref="AP220" si="5571">IF(SUBTOTAL(9,AP221:AP225)&gt;0,SUBTOTAL(9,AP221:AP225),"")</f>
        <v/>
      </c>
      <c r="AQ220" s="33" t="str">
        <f t="shared" ref="AQ220" si="5572">IF(SUBTOTAL(9,AQ221:AQ225)&gt;0,SUBTOTAL(9,AQ221:AQ225),"")</f>
        <v/>
      </c>
      <c r="AR220" s="33" t="str">
        <f t="shared" ref="AR220" si="5573">IF(SUBTOTAL(9,AR221:AR225)&gt;0,SUBTOTAL(9,AR221:AR225),"")</f>
        <v/>
      </c>
      <c r="AS220" s="34" t="str">
        <f t="shared" ref="AS220" si="5574">IF(SUBTOTAL(9,AS221:AS225)&gt;0,SUBTOTAL(9,AS221:AS225),"")</f>
        <v/>
      </c>
      <c r="AT220" s="34" t="str">
        <f t="shared" ref="AT220" si="5575">IF(SUBTOTAL(9,AT221:AT225)&gt;0,SUBTOTAL(9,AT221:AT225),"")</f>
        <v/>
      </c>
      <c r="AU220" s="34" t="str">
        <f t="shared" ref="AU220" si="5576">IF(SUBTOTAL(9,AU221:AU225)&gt;0,SUBTOTAL(9,AU221:AU225),"")</f>
        <v/>
      </c>
      <c r="AV220" s="34" t="str">
        <f t="shared" ref="AV220" si="5577">IF(SUBTOTAL(9,AV221:AV225)&gt;0,SUBTOTAL(9,AV221:AV225),"")</f>
        <v/>
      </c>
      <c r="AW220" s="34" t="str">
        <f t="shared" ref="AW220" si="5578">IF(SUBTOTAL(9,AW221:AW225)&gt;0,SUBTOTAL(9,AW221:AW225),"")</f>
        <v/>
      </c>
      <c r="AX220" s="34" t="str">
        <f t="shared" ref="AX220" si="5579">IF(SUBTOTAL(9,AX221:AX225)&gt;0,SUBTOTAL(9,AX221:AX225),"")</f>
        <v/>
      </c>
      <c r="AY220" s="34" t="str">
        <f t="shared" ref="AY220" si="5580">IF(SUBTOTAL(9,AY221:AY225)&gt;0,SUBTOTAL(9,AY221:AY225),"")</f>
        <v/>
      </c>
      <c r="AZ220" s="34" t="str">
        <f t="shared" ref="AZ220" si="5581">IF(SUBTOTAL(9,AZ221:AZ225)&gt;0,SUBTOTAL(9,AZ221:AZ225),"")</f>
        <v/>
      </c>
      <c r="BA220" s="34" t="str">
        <f t="shared" ref="BA220" si="5582">IF(SUBTOTAL(9,BA221:BA225)&gt;0,SUBTOTAL(9,BA221:BA225),"")</f>
        <v/>
      </c>
      <c r="BB220" s="34" t="str">
        <f t="shared" ref="BB220" si="5583">IF(SUBTOTAL(9,BB221:BB225)&gt;0,SUBTOTAL(9,BB221:BB225),"")</f>
        <v/>
      </c>
      <c r="BC220" s="34" t="str">
        <f t="shared" ref="BC220" si="5584">IF(SUBTOTAL(9,BC221:BC225)&gt;0,SUBTOTAL(9,BC221:BC225),"")</f>
        <v/>
      </c>
      <c r="BD220" s="34" t="str">
        <f t="shared" ref="BD220" si="5585">IF(SUBTOTAL(9,BD221:BD225)&gt;0,SUBTOTAL(9,BD221:BD225),"")</f>
        <v/>
      </c>
      <c r="BE220" s="34" t="str">
        <f t="shared" ref="BE220" si="5586">IF(SUBTOTAL(9,BE221:BE225)&gt;0,SUBTOTAL(9,BE221:BE225),"")</f>
        <v/>
      </c>
      <c r="BF220" s="34" t="str">
        <f t="shared" ref="BF220" si="5587">IF(SUBTOTAL(9,BF221:BF225)&gt;0,SUBTOTAL(9,BF221:BF225),"")</f>
        <v/>
      </c>
      <c r="BG220" s="34" t="str">
        <f t="shared" ref="BG220" si="5588">IF(SUBTOTAL(9,BG221:BG225)&gt;0,SUBTOTAL(9,BG221:BG225),"")</f>
        <v/>
      </c>
      <c r="BH220" s="34" t="str">
        <f t="shared" ref="BH220" si="5589">IF(SUBTOTAL(9,BH221:BH225)&gt;0,SUBTOTAL(9,BH221:BH225),"")</f>
        <v/>
      </c>
      <c r="BI220" s="34" t="str">
        <f t="shared" ref="BI220" si="5590">IF(SUBTOTAL(9,BI221:BI225)&gt;0,SUBTOTAL(9,BI221:BI225),"")</f>
        <v/>
      </c>
      <c r="BJ220" s="34" t="str">
        <f t="shared" ref="BJ220" si="5591">IF(SUBTOTAL(9,BJ221:BJ225)&gt;0,SUBTOTAL(9,BJ221:BJ225),"")</f>
        <v/>
      </c>
      <c r="BK220" s="34" t="str">
        <f t="shared" ref="BK220" si="5592">IF(SUBTOTAL(9,BK221:BK225)&gt;0,SUBTOTAL(9,BK221:BK225),"")</f>
        <v/>
      </c>
      <c r="BL220" s="34" t="str">
        <f t="shared" ref="BL220" si="5593">IF(SUBTOTAL(9,BL221:BL225)&gt;0,SUBTOTAL(9,BL221:BL225),"")</f>
        <v/>
      </c>
      <c r="BM220" s="34" t="str">
        <f t="shared" ref="BM220" si="5594">IF(SUBTOTAL(9,BM221:BM225)&gt;0,SUBTOTAL(9,BM221:BM225),"")</f>
        <v/>
      </c>
      <c r="BN220" s="34" t="str">
        <f t="shared" ref="BN220" si="5595">IF(SUBTOTAL(9,BN221:BN225)&gt;0,SUBTOTAL(9,BN221:BN225),"")</f>
        <v/>
      </c>
      <c r="BO220" s="34" t="str">
        <f t="shared" ref="BO220" si="5596">IF(SUBTOTAL(9,BO221:BO225)&gt;0,SUBTOTAL(9,BO221:BO225),"")</f>
        <v/>
      </c>
      <c r="BP220" s="34" t="str">
        <f t="shared" ref="BP220" si="5597">IF(SUBTOTAL(9,BP221:BP225)&gt;0,SUBTOTAL(9,BP221:BP225),"")</f>
        <v/>
      </c>
      <c r="BQ220" s="34" t="str">
        <f t="shared" ref="BQ220" si="5598">IF(SUBTOTAL(9,BQ221:BQ225)&gt;0,SUBTOTAL(9,BQ221:BQ225),"")</f>
        <v/>
      </c>
      <c r="BR220" s="34" t="str">
        <f t="shared" ref="BR220" si="5599">IF(SUBTOTAL(9,BR221:BR225)&gt;0,SUBTOTAL(9,BR221:BR225),"")</f>
        <v/>
      </c>
      <c r="BS220" s="34" t="str">
        <f t="shared" ref="BS220" si="5600">IF(SUBTOTAL(9,BS221:BS225)&gt;0,SUBTOTAL(9,BS221:BS225),"")</f>
        <v/>
      </c>
      <c r="BT220" s="34" t="str">
        <f t="shared" ref="BT220" si="5601">IF(SUBTOTAL(9,BT221:BT225)&gt;0,SUBTOTAL(9,BT221:BT225),"")</f>
        <v/>
      </c>
      <c r="BU220" s="34" t="str">
        <f t="shared" ref="BU220" si="5602">IF(SUBTOTAL(9,BU221:BU225)&gt;0,SUBTOTAL(9,BU221:BU225),"")</f>
        <v/>
      </c>
      <c r="BV220" s="34" t="str">
        <f t="shared" ref="BV220" si="5603">IF(SUBTOTAL(9,BV221:BV225)&gt;0,SUBTOTAL(9,BV221:BV225),"")</f>
        <v/>
      </c>
      <c r="BW220" s="34" t="str">
        <f t="shared" ref="BW220" si="5604">IF(SUBTOTAL(9,BW221:BW225)&gt;0,SUBTOTAL(9,BW221:BW225),"")</f>
        <v/>
      </c>
      <c r="BX220" s="34" t="str">
        <f t="shared" ref="BX220" si="5605">IF(SUBTOTAL(9,BX221:BX225)&gt;0,SUBTOTAL(9,BX221:BX225),"")</f>
        <v/>
      </c>
      <c r="BY220" s="34" t="str">
        <f t="shared" ref="BY220" si="5606">IF(SUBTOTAL(9,BY221:BY225)&gt;0,SUBTOTAL(9,BY221:BY225),"")</f>
        <v/>
      </c>
      <c r="BZ220" s="34" t="str">
        <f t="shared" ref="BZ220" si="5607">IF(SUBTOTAL(9,BZ221:BZ225)&gt;0,SUBTOTAL(9,BZ221:BZ225),"")</f>
        <v/>
      </c>
      <c r="CA220" s="34" t="str">
        <f t="shared" ref="CA220:DC220" si="5608">IF(SUBTOTAL(9,CA221:CA225)&gt;0,SUBTOTAL(9,CA221:CA225),"")</f>
        <v/>
      </c>
      <c r="CB220" s="34">
        <f t="shared" si="5608"/>
        <v>0.5</v>
      </c>
      <c r="CC220" s="34" t="str">
        <f t="shared" si="5608"/>
        <v/>
      </c>
      <c r="CD220" s="34" t="str">
        <f t="shared" si="5608"/>
        <v/>
      </c>
      <c r="CE220" s="34">
        <f t="shared" si="5608"/>
        <v>0.5</v>
      </c>
      <c r="CF220" s="34" t="str">
        <f t="shared" si="5608"/>
        <v/>
      </c>
      <c r="CG220" s="34" t="str">
        <f t="shared" si="5608"/>
        <v/>
      </c>
      <c r="CH220" s="34">
        <f t="shared" si="5608"/>
        <v>0.5</v>
      </c>
      <c r="CI220" s="34" t="str">
        <f t="shared" si="5608"/>
        <v/>
      </c>
      <c r="CJ220" s="34" t="str">
        <f t="shared" si="5608"/>
        <v/>
      </c>
      <c r="CK220" s="34">
        <f t="shared" si="5608"/>
        <v>0.5</v>
      </c>
      <c r="CL220" s="34" t="str">
        <f t="shared" si="5608"/>
        <v/>
      </c>
      <c r="CM220" s="34" t="str">
        <f t="shared" si="5608"/>
        <v/>
      </c>
      <c r="CN220" s="34">
        <f t="shared" si="5608"/>
        <v>0.5</v>
      </c>
      <c r="CO220" s="34" t="str">
        <f t="shared" si="5608"/>
        <v/>
      </c>
      <c r="CP220" s="34" t="str">
        <f t="shared" si="5608"/>
        <v/>
      </c>
      <c r="CQ220" s="34" t="str">
        <f t="shared" si="5608"/>
        <v/>
      </c>
      <c r="CR220" s="34" t="str">
        <f t="shared" si="5608"/>
        <v/>
      </c>
      <c r="CS220" s="34" t="str">
        <f t="shared" si="5608"/>
        <v/>
      </c>
      <c r="CT220" s="33" t="str">
        <f t="shared" si="5608"/>
        <v/>
      </c>
      <c r="CU220" s="34">
        <f t="shared" si="5608"/>
        <v>0.5</v>
      </c>
      <c r="CV220" s="34">
        <f t="shared" si="5608"/>
        <v>0.5</v>
      </c>
      <c r="CW220" s="34">
        <f t="shared" si="5608"/>
        <v>0.5</v>
      </c>
      <c r="CX220" s="34">
        <f t="shared" si="5608"/>
        <v>0.5</v>
      </c>
      <c r="CY220" s="34">
        <f t="shared" si="5608"/>
        <v>0.5</v>
      </c>
      <c r="CZ220" s="33" t="str">
        <f t="shared" si="5608"/>
        <v/>
      </c>
      <c r="DA220" s="33" t="str">
        <f t="shared" si="5608"/>
        <v/>
      </c>
      <c r="DB220" s="34">
        <f t="shared" si="5608"/>
        <v>0.5</v>
      </c>
      <c r="DC220" s="34">
        <f t="shared" si="5608"/>
        <v>0.5</v>
      </c>
      <c r="DD220" s="34">
        <f t="shared" ref="DD220" si="5609">IF(SUBTOTAL(9,DD221:DD225)&gt;0,SUBTOTAL(9,DD221:DD225),"")</f>
        <v>0.5</v>
      </c>
      <c r="DE220" s="34">
        <f t="shared" ref="DE220" si="5610">IF(SUBTOTAL(9,DE221:DE225)&gt;0,SUBTOTAL(9,DE221:DE225),"")</f>
        <v>0.5</v>
      </c>
      <c r="DF220" s="34">
        <f t="shared" ref="DF220" si="5611">IF(SUBTOTAL(9,DF221:DF225)&gt;0,SUBTOTAL(9,DF221:DF225),"")</f>
        <v>0.5</v>
      </c>
      <c r="DG220" s="34" t="str">
        <f t="shared" ref="DG220" si="5612">IF(SUBTOTAL(9,DG221:DG225)&gt;0,SUBTOTAL(9,DG221:DG225),"")</f>
        <v/>
      </c>
      <c r="DH220" s="34" t="str">
        <f t="shared" ref="DH220" si="5613">IF(SUBTOTAL(9,DH221:DH225)&gt;0,SUBTOTAL(9,DH221:DH225),"")</f>
        <v/>
      </c>
      <c r="DI220" s="34" t="str">
        <f t="shared" ref="DI220" si="5614">IF(SUBTOTAL(9,DI221:DI225)&gt;0,SUBTOTAL(9,DI221:DI225),"")</f>
        <v/>
      </c>
      <c r="DJ220" s="34" t="str">
        <f t="shared" ref="DJ220" si="5615">IF(SUBTOTAL(9,DJ221:DJ225)&gt;0,SUBTOTAL(9,DJ221:DJ225),"")</f>
        <v/>
      </c>
      <c r="DK220" s="34" t="str">
        <f t="shared" ref="DK220" si="5616">IF(SUBTOTAL(9,DK221:DK225)&gt;0,SUBTOTAL(9,DK221:DK225),"")</f>
        <v/>
      </c>
      <c r="DL220" s="34" t="str">
        <f t="shared" ref="DL220" si="5617">IF(SUBTOTAL(9,DL221:DL225)&gt;0,SUBTOTAL(9,DL221:DL225),"")</f>
        <v/>
      </c>
      <c r="DM220" s="34" t="str">
        <f t="shared" ref="DM220" si="5618">IF(SUBTOTAL(9,DM221:DM225)&gt;0,SUBTOTAL(9,DM221:DM225),"")</f>
        <v/>
      </c>
      <c r="DN220" s="34" t="str">
        <f t="shared" ref="DN220" si="5619">IF(SUBTOTAL(9,DN221:DN225)&gt;0,SUBTOTAL(9,DN221:DN225),"")</f>
        <v/>
      </c>
      <c r="DO220" s="34" t="str">
        <f t="shared" ref="DO220" si="5620">IF(SUBTOTAL(9,DO221:DO225)&gt;0,SUBTOTAL(9,DO221:DO225),"")</f>
        <v/>
      </c>
      <c r="DP220" s="34" t="str">
        <f t="shared" ref="DP220" si="5621">IF(SUBTOTAL(9,DP221:DP225)&gt;0,SUBTOTAL(9,DP221:DP225),"")</f>
        <v/>
      </c>
      <c r="DQ220" s="34" t="str">
        <f t="shared" ref="DQ220" si="5622">IF(SUBTOTAL(9,DQ221:DQ225)&gt;0,SUBTOTAL(9,DQ221:DQ225),"")</f>
        <v/>
      </c>
      <c r="DR220" s="34" t="str">
        <f t="shared" ref="DR220" si="5623">IF(SUBTOTAL(9,DR221:DR225)&gt;0,SUBTOTAL(9,DR221:DR225),"")</f>
        <v/>
      </c>
      <c r="DS220" s="34" t="str">
        <f t="shared" ref="DS220" si="5624">IF(SUBTOTAL(9,DS221:DS225)&gt;0,SUBTOTAL(9,DS221:DS225),"")</f>
        <v/>
      </c>
      <c r="DT220" s="34" t="str">
        <f t="shared" ref="DT220" si="5625">IF(SUBTOTAL(9,DT221:DT225)&gt;0,SUBTOTAL(9,DT221:DT225),"")</f>
        <v/>
      </c>
      <c r="DU220" s="34" t="str">
        <f t="shared" ref="DU220" si="5626">IF(SUBTOTAL(9,DU221:DU225)&gt;0,SUBTOTAL(9,DU221:DU225),"")</f>
        <v/>
      </c>
      <c r="DV220" s="34" t="str">
        <f t="shared" ref="DV220" si="5627">IF(SUBTOTAL(9,DV221:DV225)&gt;0,SUBTOTAL(9,DV221:DV225),"")</f>
        <v/>
      </c>
      <c r="DW220" s="34" t="str">
        <f t="shared" ref="DW220" si="5628">IF(SUBTOTAL(9,DW221:DW225)&gt;0,SUBTOTAL(9,DW221:DW225),"")</f>
        <v/>
      </c>
      <c r="DX220" s="34" t="str">
        <f t="shared" ref="DX220" si="5629">IF(SUBTOTAL(9,DX221:DX225)&gt;0,SUBTOTAL(9,DX221:DX225),"")</f>
        <v/>
      </c>
      <c r="DY220" s="34" t="str">
        <f t="shared" ref="DY220" si="5630">IF(SUBTOTAL(9,DY221:DY225)&gt;0,SUBTOTAL(9,DY221:DY225),"")</f>
        <v/>
      </c>
      <c r="DZ220" s="33" t="str">
        <f t="shared" ref="DZ220" si="5631">IF(SUBTOTAL(9,DZ221:DZ225)&gt;0,SUBTOTAL(9,DZ221:DZ225),"")</f>
        <v/>
      </c>
      <c r="EA220" s="34" t="str">
        <f t="shared" ref="EA220" si="5632">IF(SUBTOTAL(9,EA221:EA225)&gt;0,SUBTOTAL(9,EA221:EA225),"")</f>
        <v/>
      </c>
      <c r="EB220" s="34" t="str">
        <f t="shared" ref="EB220" si="5633">IF(SUBTOTAL(9,EB221:EB225)&gt;0,SUBTOTAL(9,EB221:EB225),"")</f>
        <v/>
      </c>
      <c r="EC220" s="34" t="str">
        <f t="shared" ref="EC220" si="5634">IF(SUBTOTAL(9,EC221:EC225)&gt;0,SUBTOTAL(9,EC221:EC225),"")</f>
        <v/>
      </c>
      <c r="ED220" s="34" t="str">
        <f t="shared" ref="ED220" si="5635">IF(SUBTOTAL(9,ED221:ED225)&gt;0,SUBTOTAL(9,ED221:ED225),"")</f>
        <v/>
      </c>
      <c r="EE220" s="34" t="str">
        <f t="shared" ref="EE220" si="5636">IF(SUBTOTAL(9,EE221:EE225)&gt;0,SUBTOTAL(9,EE221:EE225),"")</f>
        <v/>
      </c>
      <c r="EF220" s="34" t="str">
        <f t="shared" ref="EF220" si="5637">IF(SUBTOTAL(9,EF221:EF225)&gt;0,SUBTOTAL(9,EF221:EF225),"")</f>
        <v/>
      </c>
      <c r="EG220" s="34" t="str">
        <f t="shared" ref="EG220" si="5638">IF(SUBTOTAL(9,EG221:EG225)&gt;0,SUBTOTAL(9,EG221:EG225),"")</f>
        <v/>
      </c>
      <c r="EH220" s="34" t="str">
        <f t="shared" ref="EH220" si="5639">IF(SUBTOTAL(9,EH221:EH225)&gt;0,SUBTOTAL(9,EH221:EH225),"")</f>
        <v/>
      </c>
      <c r="EI220" s="34" t="str">
        <f t="shared" ref="EI220" si="5640">IF(SUBTOTAL(9,EI221:EI225)&gt;0,SUBTOTAL(9,EI221:EI225),"")</f>
        <v/>
      </c>
      <c r="EJ220" s="34" t="str">
        <f t="shared" ref="EJ220" si="5641">IF(SUBTOTAL(9,EJ221:EJ225)&gt;0,SUBTOTAL(9,EJ221:EJ225),"")</f>
        <v/>
      </c>
      <c r="EK220" s="34" t="str">
        <f t="shared" ref="EK220" si="5642">IF(SUBTOTAL(9,EK221:EK225)&gt;0,SUBTOTAL(9,EK221:EK225),"")</f>
        <v/>
      </c>
      <c r="EL220" s="34" t="str">
        <f t="shared" ref="EL220" si="5643">IF(SUBTOTAL(9,EL221:EL225)&gt;0,SUBTOTAL(9,EL221:EL225),"")</f>
        <v/>
      </c>
      <c r="EM220" s="34" t="str">
        <f t="shared" ref="EM220" si="5644">IF(SUBTOTAL(9,EM221:EM225)&gt;0,SUBTOTAL(9,EM221:EM225),"")</f>
        <v/>
      </c>
      <c r="EN220" s="34" t="str">
        <f t="shared" ref="EN220" si="5645">IF(SUBTOTAL(9,EN221:EN225)&gt;0,SUBTOTAL(9,EN221:EN225),"")</f>
        <v/>
      </c>
      <c r="EO220" s="34" t="str">
        <f t="shared" ref="EO220" si="5646">IF(SUBTOTAL(9,EO221:EO225)&gt;0,SUBTOTAL(9,EO221:EO225),"")</f>
        <v/>
      </c>
      <c r="EP220" s="34" t="str">
        <f t="shared" ref="EP220" si="5647">IF(SUBTOTAL(9,EP221:EP225)&gt;0,SUBTOTAL(9,EP221:EP225),"")</f>
        <v/>
      </c>
      <c r="EQ220" s="34" t="str">
        <f t="shared" ref="EQ220" si="5648">IF(SUBTOTAL(9,EQ221:EQ225)&gt;0,SUBTOTAL(9,EQ221:EQ225),"")</f>
        <v/>
      </c>
      <c r="ER220" s="34" t="str">
        <f t="shared" ref="ER220" si="5649">IF(SUBTOTAL(9,ER221:ER225)&gt;0,SUBTOTAL(9,ER221:ER225),"")</f>
        <v/>
      </c>
      <c r="ES220" s="34" t="str">
        <f t="shared" ref="ES220" si="5650">IF(SUBTOTAL(9,ES221:ES225)&gt;0,SUBTOTAL(9,ES221:ES225),"")</f>
        <v/>
      </c>
      <c r="ET220" s="34" t="str">
        <f t="shared" ref="ET220" si="5651">IF(SUBTOTAL(9,ET221:ET225)&gt;0,SUBTOTAL(9,ET221:ET225),"")</f>
        <v/>
      </c>
      <c r="EU220" s="34" t="str">
        <f t="shared" ref="EU220" si="5652">IF(SUBTOTAL(9,EU221:EU225)&gt;0,SUBTOTAL(9,EU221:EU225),"")</f>
        <v/>
      </c>
      <c r="EV220" s="34" t="str">
        <f t="shared" ref="EV220" si="5653">IF(SUBTOTAL(9,EV221:EV225)&gt;0,SUBTOTAL(9,EV221:EV225),"")</f>
        <v/>
      </c>
      <c r="EW220" s="34" t="str">
        <f t="shared" ref="EW220" si="5654">IF(SUBTOTAL(9,EW221:EW225)&gt;0,SUBTOTAL(9,EW221:EW225),"")</f>
        <v/>
      </c>
      <c r="EX220" s="34" t="str">
        <f t="shared" ref="EX220" si="5655">IF(SUBTOTAL(9,EX221:EX225)&gt;0,SUBTOTAL(9,EX221:EX225),"")</f>
        <v/>
      </c>
      <c r="EY220" s="33" t="str">
        <f t="shared" ref="EY220" si="5656">IF(SUBTOTAL(9,EY221:EY225)&gt;0,SUBTOTAL(9,EY221:EY225),"")</f>
        <v/>
      </c>
      <c r="EZ220" s="34" t="str">
        <f t="shared" ref="EZ220" si="5657">IF(SUBTOTAL(9,EZ221:EZ225)&gt;0,SUBTOTAL(9,EZ221:EZ225),"")</f>
        <v/>
      </c>
      <c r="FA220" s="34" t="str">
        <f t="shared" ref="FA220" si="5658">IF(SUBTOTAL(9,FA221:FA225)&gt;0,SUBTOTAL(9,FA221:FA225),"")</f>
        <v/>
      </c>
      <c r="FB220" s="34" t="str">
        <f t="shared" ref="FB220" si="5659">IF(SUBTOTAL(9,FB221:FB225)&gt;0,SUBTOTAL(9,FB221:FB225),"")</f>
        <v/>
      </c>
      <c r="FC220" s="34" t="str">
        <f t="shared" ref="FC220" si="5660">IF(SUBTOTAL(9,FC221:FC225)&gt;0,SUBTOTAL(9,FC221:FC225),"")</f>
        <v/>
      </c>
      <c r="FD220" s="34" t="str">
        <f t="shared" ref="FD220" si="5661">IF(SUBTOTAL(9,FD221:FD225)&gt;0,SUBTOTAL(9,FD221:FD225),"")</f>
        <v/>
      </c>
      <c r="FE220" s="34" t="str">
        <f t="shared" ref="FE220" si="5662">IF(SUBTOTAL(9,FE221:FE225)&gt;0,SUBTOTAL(9,FE221:FE225),"")</f>
        <v/>
      </c>
      <c r="FF220" s="34" t="str">
        <f t="shared" ref="FF220" si="5663">IF(SUBTOTAL(9,FF221:FF225)&gt;0,SUBTOTAL(9,FF221:FF225),"")</f>
        <v/>
      </c>
      <c r="FG220" s="34" t="str">
        <f t="shared" ref="FG220" si="5664">IF(SUBTOTAL(9,FG221:FG225)&gt;0,SUBTOTAL(9,FG221:FG225),"")</f>
        <v/>
      </c>
      <c r="FH220" s="34" t="str">
        <f t="shared" ref="FH220" si="5665">IF(SUBTOTAL(9,FH221:FH225)&gt;0,SUBTOTAL(9,FH221:FH225),"")</f>
        <v/>
      </c>
      <c r="FI220" s="34" t="str">
        <f t="shared" ref="FI220" si="5666">IF(SUBTOTAL(9,FI221:FI225)&gt;0,SUBTOTAL(9,FI221:FI225),"")</f>
        <v/>
      </c>
      <c r="FJ220" s="34" t="str">
        <f t="shared" ref="FJ220" si="5667">IF(SUBTOTAL(9,FJ221:FJ225)&gt;0,SUBTOTAL(9,FJ221:FJ225),"")</f>
        <v/>
      </c>
      <c r="FK220" s="34" t="str">
        <f t="shared" ref="FK220" si="5668">IF(SUBTOTAL(9,FK221:FK225)&gt;0,SUBTOTAL(9,FK221:FK225),"")</f>
        <v/>
      </c>
      <c r="FL220" s="34" t="str">
        <f t="shared" ref="FL220" si="5669">IF(SUBTOTAL(9,FL221:FL225)&gt;0,SUBTOTAL(9,FL221:FL225),"")</f>
        <v/>
      </c>
      <c r="FM220" s="34" t="str">
        <f t="shared" ref="FM220" si="5670">IF(SUBTOTAL(9,FM221:FM225)&gt;0,SUBTOTAL(9,FM221:FM225),"")</f>
        <v/>
      </c>
      <c r="FN220" s="34" t="str">
        <f t="shared" ref="FN220" si="5671">IF(SUBTOTAL(9,FN221:FN225)&gt;0,SUBTOTAL(9,FN221:FN225),"")</f>
        <v/>
      </c>
      <c r="FO220" s="34" t="str">
        <f t="shared" ref="FO220" si="5672">IF(SUBTOTAL(9,FO221:FO225)&gt;0,SUBTOTAL(9,FO221:FO225),"")</f>
        <v/>
      </c>
      <c r="FP220" s="34" t="str">
        <f t="shared" ref="FP220" si="5673">IF(SUBTOTAL(9,FP221:FP225)&gt;0,SUBTOTAL(9,FP221:FP225),"")</f>
        <v/>
      </c>
      <c r="FQ220" s="92" t="str">
        <f t="shared" ref="FQ220" si="5674">IF(SUBTOTAL(9,FQ221:FQ225)&gt;0,SUBTOTAL(9,FQ221:FQ225),"")</f>
        <v/>
      </c>
      <c r="FR220" s="8"/>
      <c r="FS220" s="9" t="s">
        <v>131</v>
      </c>
      <c r="FT220" s="9" t="str">
        <f t="shared" si="5254"/>
        <v/>
      </c>
    </row>
    <row r="221" spans="1:176" s="9" customFormat="1" ht="12" hidden="1" customHeight="1" outlineLevel="1">
      <c r="A221" s="122" t="s">
        <v>4</v>
      </c>
      <c r="B221" s="123" t="s">
        <v>17</v>
      </c>
      <c r="C221" s="124" t="str">
        <f t="shared" si="5114"/>
        <v>8 days</v>
      </c>
      <c r="D221" s="13" t="str">
        <f>A195&amp;" "&amp;A220</f>
        <v>7. RSR Development &amp; Dry Run 7.5 Co-ordination</v>
      </c>
      <c r="E221" s="51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  <c r="AG221" s="35"/>
      <c r="AH221" s="35"/>
      <c r="AI221" s="35"/>
      <c r="AJ221" s="35"/>
      <c r="AK221" s="35"/>
      <c r="AL221" s="36"/>
      <c r="AM221" s="36"/>
      <c r="AN221" s="36"/>
      <c r="AO221" s="36"/>
      <c r="AP221" s="36"/>
      <c r="AQ221" s="36"/>
      <c r="AR221" s="36"/>
      <c r="AS221" s="35"/>
      <c r="AT221" s="35"/>
      <c r="AU221" s="35"/>
      <c r="AV221" s="35"/>
      <c r="AW221" s="35"/>
      <c r="AX221" s="35"/>
      <c r="AY221" s="35"/>
      <c r="AZ221" s="35"/>
      <c r="BA221" s="35"/>
      <c r="BB221" s="35"/>
      <c r="BC221" s="35"/>
      <c r="BD221" s="35"/>
      <c r="BE221" s="35"/>
      <c r="BF221" s="35"/>
      <c r="BG221" s="35"/>
      <c r="BH221" s="35"/>
      <c r="BI221" s="35"/>
      <c r="BJ221" s="35"/>
      <c r="BK221" s="35"/>
      <c r="BL221" s="35"/>
      <c r="BM221" s="35"/>
      <c r="BN221" s="35"/>
      <c r="BO221" s="35"/>
      <c r="BP221" s="35"/>
      <c r="BQ221" s="35"/>
      <c r="BR221" s="35"/>
      <c r="BS221" s="35"/>
      <c r="BT221" s="35"/>
      <c r="BU221" s="35"/>
      <c r="BV221" s="35"/>
      <c r="BW221" s="35"/>
      <c r="BX221" s="35"/>
      <c r="BY221" s="35"/>
      <c r="BZ221" s="35"/>
      <c r="CA221" s="35"/>
      <c r="CB221" s="35">
        <v>0.5</v>
      </c>
      <c r="CC221" s="35"/>
      <c r="CD221" s="35"/>
      <c r="CE221" s="35">
        <v>0.5</v>
      </c>
      <c r="CF221" s="35"/>
      <c r="CG221" s="35"/>
      <c r="CH221" s="35">
        <v>0.5</v>
      </c>
      <c r="CI221" s="35"/>
      <c r="CJ221" s="35"/>
      <c r="CK221" s="35">
        <v>0.5</v>
      </c>
      <c r="CL221" s="35"/>
      <c r="CM221" s="35"/>
      <c r="CN221" s="35">
        <v>0.5</v>
      </c>
      <c r="CO221" s="35"/>
      <c r="CP221" s="35"/>
      <c r="CQ221" s="35"/>
      <c r="CR221" s="35"/>
      <c r="CS221" s="35"/>
      <c r="CT221" s="36"/>
      <c r="CU221" s="35">
        <v>0.5</v>
      </c>
      <c r="CV221" s="35">
        <v>0.5</v>
      </c>
      <c r="CW221" s="35">
        <v>0.5</v>
      </c>
      <c r="CX221" s="35">
        <v>0.5</v>
      </c>
      <c r="CY221" s="35">
        <v>0.5</v>
      </c>
      <c r="CZ221" s="36"/>
      <c r="DA221" s="36"/>
      <c r="DB221" s="35">
        <v>0.5</v>
      </c>
      <c r="DC221" s="35">
        <v>0.5</v>
      </c>
      <c r="DD221" s="35">
        <v>0.5</v>
      </c>
      <c r="DE221" s="35">
        <v>0.5</v>
      </c>
      <c r="DF221" s="35">
        <v>0.5</v>
      </c>
      <c r="DG221" s="35"/>
      <c r="DH221" s="35"/>
      <c r="DI221" s="35"/>
      <c r="DJ221" s="35"/>
      <c r="DK221" s="35"/>
      <c r="DL221" s="35"/>
      <c r="DM221" s="35"/>
      <c r="DN221" s="35"/>
      <c r="DO221" s="35"/>
      <c r="DP221" s="35"/>
      <c r="DQ221" s="35"/>
      <c r="DR221" s="35"/>
      <c r="DS221" s="35"/>
      <c r="DT221" s="35"/>
      <c r="DU221" s="35"/>
      <c r="DV221" s="35"/>
      <c r="DW221" s="35"/>
      <c r="DX221" s="35"/>
      <c r="DY221" s="35"/>
      <c r="DZ221" s="36"/>
      <c r="EA221" s="35"/>
      <c r="EB221" s="35"/>
      <c r="EC221" s="35"/>
      <c r="ED221" s="35"/>
      <c r="EE221" s="35"/>
      <c r="EF221" s="35"/>
      <c r="EG221" s="35"/>
      <c r="EH221" s="35"/>
      <c r="EI221" s="35"/>
      <c r="EJ221" s="35"/>
      <c r="EK221" s="35"/>
      <c r="EL221" s="35"/>
      <c r="EM221" s="35"/>
      <c r="EN221" s="35"/>
      <c r="EO221" s="35"/>
      <c r="EP221" s="35"/>
      <c r="EQ221" s="35"/>
      <c r="ER221" s="35"/>
      <c r="ES221" s="35"/>
      <c r="ET221" s="35"/>
      <c r="EU221" s="35"/>
      <c r="EV221" s="35"/>
      <c r="EW221" s="35"/>
      <c r="EX221" s="35"/>
      <c r="EY221" s="36"/>
      <c r="EZ221" s="35"/>
      <c r="FA221" s="35"/>
      <c r="FB221" s="35"/>
      <c r="FC221" s="35"/>
      <c r="FD221" s="35"/>
      <c r="FE221" s="35"/>
      <c r="FF221" s="35"/>
      <c r="FG221" s="35"/>
      <c r="FH221" s="35"/>
      <c r="FI221" s="35"/>
      <c r="FJ221" s="35"/>
      <c r="FK221" s="35"/>
      <c r="FL221" s="35"/>
      <c r="FM221" s="35"/>
      <c r="FN221" s="35"/>
      <c r="FO221" s="35"/>
      <c r="FP221" s="35"/>
      <c r="FQ221" s="52"/>
      <c r="FR221" s="8"/>
      <c r="FS221" s="9" t="s">
        <v>13</v>
      </c>
      <c r="FT221" s="9" t="str">
        <f t="shared" si="5254"/>
        <v>7. RSR Development &amp; Dry Run 7.5 Co-ordinationSenior Accountant</v>
      </c>
    </row>
    <row r="222" spans="1:176" s="9" customFormat="1" ht="12" hidden="1" customHeight="1" outlineLevel="1">
      <c r="A222" s="122"/>
      <c r="B222" s="123"/>
      <c r="C222" s="124" t="str">
        <f t="shared" si="5114"/>
        <v>0 days</v>
      </c>
      <c r="D222" s="13" t="str">
        <f>A195&amp;" "&amp;A220</f>
        <v>7. RSR Development &amp; Dry Run 7.5 Co-ordination</v>
      </c>
      <c r="E222" s="51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5"/>
      <c r="AE222" s="35"/>
      <c r="AF222" s="35"/>
      <c r="AG222" s="35"/>
      <c r="AH222" s="35"/>
      <c r="AI222" s="35"/>
      <c r="AJ222" s="35"/>
      <c r="AK222" s="35"/>
      <c r="AL222" s="36"/>
      <c r="AM222" s="36"/>
      <c r="AN222" s="36"/>
      <c r="AO222" s="36"/>
      <c r="AP222" s="36"/>
      <c r="AQ222" s="36"/>
      <c r="AR222" s="36"/>
      <c r="AS222" s="35"/>
      <c r="AT222" s="35"/>
      <c r="AU222" s="35"/>
      <c r="AV222" s="35"/>
      <c r="AW222" s="35"/>
      <c r="AX222" s="35"/>
      <c r="AY222" s="35"/>
      <c r="AZ222" s="35"/>
      <c r="BA222" s="35"/>
      <c r="BB222" s="35"/>
      <c r="BC222" s="35"/>
      <c r="BD222" s="35"/>
      <c r="BE222" s="35"/>
      <c r="BF222" s="35"/>
      <c r="BG222" s="35"/>
      <c r="BH222" s="35"/>
      <c r="BI222" s="35"/>
      <c r="BJ222" s="35"/>
      <c r="BK222" s="35"/>
      <c r="BL222" s="35"/>
      <c r="BM222" s="35"/>
      <c r="BN222" s="35"/>
      <c r="BO222" s="35"/>
      <c r="BP222" s="35"/>
      <c r="BQ222" s="35"/>
      <c r="BR222" s="35"/>
      <c r="BS222" s="35"/>
      <c r="BT222" s="35"/>
      <c r="BU222" s="35"/>
      <c r="BV222" s="35"/>
      <c r="BW222" s="35"/>
      <c r="BX222" s="35"/>
      <c r="BY222" s="35"/>
      <c r="BZ222" s="35"/>
      <c r="CA222" s="35"/>
      <c r="CB222" s="35"/>
      <c r="CC222" s="35"/>
      <c r="CD222" s="35"/>
      <c r="CE222" s="35"/>
      <c r="CF222" s="35"/>
      <c r="CG222" s="35"/>
      <c r="CH222" s="35"/>
      <c r="CI222" s="35"/>
      <c r="CJ222" s="35"/>
      <c r="CK222" s="35"/>
      <c r="CL222" s="35"/>
      <c r="CM222" s="35"/>
      <c r="CN222" s="35"/>
      <c r="CO222" s="35"/>
      <c r="CP222" s="35"/>
      <c r="CQ222" s="35"/>
      <c r="CR222" s="35"/>
      <c r="CS222" s="35"/>
      <c r="CT222" s="36"/>
      <c r="CU222" s="35"/>
      <c r="CV222" s="35"/>
      <c r="CW222" s="35"/>
      <c r="CX222" s="35"/>
      <c r="CY222" s="35"/>
      <c r="CZ222" s="36"/>
      <c r="DA222" s="36"/>
      <c r="DB222" s="35"/>
      <c r="DC222" s="35"/>
      <c r="DD222" s="35"/>
      <c r="DE222" s="35"/>
      <c r="DF222" s="35"/>
      <c r="DG222" s="35"/>
      <c r="DH222" s="35"/>
      <c r="DI222" s="35"/>
      <c r="DJ222" s="35"/>
      <c r="DK222" s="35"/>
      <c r="DL222" s="35"/>
      <c r="DM222" s="35"/>
      <c r="DN222" s="35"/>
      <c r="DO222" s="35"/>
      <c r="DP222" s="35"/>
      <c r="DQ222" s="35"/>
      <c r="DR222" s="35"/>
      <c r="DS222" s="35"/>
      <c r="DT222" s="35"/>
      <c r="DU222" s="35"/>
      <c r="DV222" s="35"/>
      <c r="DW222" s="35"/>
      <c r="DX222" s="35"/>
      <c r="DY222" s="35"/>
      <c r="DZ222" s="36"/>
      <c r="EA222" s="35"/>
      <c r="EB222" s="35"/>
      <c r="EC222" s="35"/>
      <c r="ED222" s="35"/>
      <c r="EE222" s="35"/>
      <c r="EF222" s="35"/>
      <c r="EG222" s="35"/>
      <c r="EH222" s="35"/>
      <c r="EI222" s="35"/>
      <c r="EJ222" s="35"/>
      <c r="EK222" s="35"/>
      <c r="EL222" s="35"/>
      <c r="EM222" s="35"/>
      <c r="EN222" s="35"/>
      <c r="EO222" s="35"/>
      <c r="EP222" s="35"/>
      <c r="EQ222" s="35"/>
      <c r="ER222" s="35"/>
      <c r="ES222" s="35"/>
      <c r="ET222" s="35"/>
      <c r="EU222" s="35"/>
      <c r="EV222" s="35"/>
      <c r="EW222" s="35"/>
      <c r="EX222" s="35"/>
      <c r="EY222" s="36"/>
      <c r="EZ222" s="35"/>
      <c r="FA222" s="35"/>
      <c r="FB222" s="35"/>
      <c r="FC222" s="35"/>
      <c r="FD222" s="35"/>
      <c r="FE222" s="35"/>
      <c r="FF222" s="35"/>
      <c r="FG222" s="35"/>
      <c r="FH222" s="35"/>
      <c r="FI222" s="35"/>
      <c r="FJ222" s="35"/>
      <c r="FK222" s="35"/>
      <c r="FL222" s="35"/>
      <c r="FM222" s="35"/>
      <c r="FN222" s="35"/>
      <c r="FO222" s="35"/>
      <c r="FP222" s="35"/>
      <c r="FQ222" s="52"/>
      <c r="FR222" s="8"/>
      <c r="FS222" s="9" t="s">
        <v>13</v>
      </c>
      <c r="FT222" s="9" t="str">
        <f t="shared" si="5254"/>
        <v>7. RSR Development &amp; Dry Run 7.5 Co-ordination</v>
      </c>
    </row>
    <row r="223" spans="1:176" s="9" customFormat="1" ht="12" hidden="1" customHeight="1" outlineLevel="1">
      <c r="A223" s="125" t="s">
        <v>50</v>
      </c>
      <c r="B223" s="123"/>
      <c r="C223" s="124" t="str">
        <f t="shared" si="5114"/>
        <v>0 days</v>
      </c>
      <c r="D223" s="13" t="str">
        <f>A195&amp;" "&amp;A220</f>
        <v>7. RSR Development &amp; Dry Run 7.5 Co-ordination</v>
      </c>
      <c r="E223" s="51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5"/>
      <c r="AE223" s="35"/>
      <c r="AF223" s="35"/>
      <c r="AG223" s="35"/>
      <c r="AH223" s="35"/>
      <c r="AI223" s="35"/>
      <c r="AJ223" s="35"/>
      <c r="AK223" s="35"/>
      <c r="AL223" s="36"/>
      <c r="AM223" s="36"/>
      <c r="AN223" s="36"/>
      <c r="AO223" s="36"/>
      <c r="AP223" s="36"/>
      <c r="AQ223" s="36"/>
      <c r="AR223" s="36"/>
      <c r="AS223" s="35"/>
      <c r="AT223" s="35"/>
      <c r="AU223" s="35"/>
      <c r="AV223" s="35"/>
      <c r="AW223" s="35"/>
      <c r="AX223" s="35"/>
      <c r="AY223" s="35"/>
      <c r="AZ223" s="35"/>
      <c r="BA223" s="35"/>
      <c r="BB223" s="35"/>
      <c r="BC223" s="35"/>
      <c r="BD223" s="35"/>
      <c r="BE223" s="35"/>
      <c r="BF223" s="35"/>
      <c r="BG223" s="35"/>
      <c r="BH223" s="35"/>
      <c r="BI223" s="35"/>
      <c r="BJ223" s="35"/>
      <c r="BK223" s="35"/>
      <c r="BL223" s="35"/>
      <c r="BM223" s="35"/>
      <c r="BN223" s="35"/>
      <c r="BO223" s="35"/>
      <c r="BP223" s="35"/>
      <c r="BQ223" s="35"/>
      <c r="BR223" s="35"/>
      <c r="BS223" s="35"/>
      <c r="BT223" s="35"/>
      <c r="BU223" s="35"/>
      <c r="BV223" s="35"/>
      <c r="BW223" s="35"/>
      <c r="BX223" s="35"/>
      <c r="BY223" s="35"/>
      <c r="BZ223" s="35"/>
      <c r="CA223" s="35"/>
      <c r="CB223" s="35"/>
      <c r="CC223" s="35"/>
      <c r="CD223" s="35"/>
      <c r="CE223" s="35"/>
      <c r="CF223" s="35"/>
      <c r="CG223" s="35"/>
      <c r="CH223" s="35"/>
      <c r="CI223" s="35"/>
      <c r="CJ223" s="35"/>
      <c r="CK223" s="35"/>
      <c r="CL223" s="35"/>
      <c r="CM223" s="35"/>
      <c r="CN223" s="35"/>
      <c r="CO223" s="35"/>
      <c r="CP223" s="35"/>
      <c r="CQ223" s="35"/>
      <c r="CR223" s="35"/>
      <c r="CS223" s="35"/>
      <c r="CT223" s="36"/>
      <c r="CU223" s="35"/>
      <c r="CV223" s="35"/>
      <c r="CW223" s="35"/>
      <c r="CX223" s="35"/>
      <c r="CY223" s="35"/>
      <c r="CZ223" s="36"/>
      <c r="DA223" s="36"/>
      <c r="DB223" s="35"/>
      <c r="DC223" s="35"/>
      <c r="DD223" s="35"/>
      <c r="DE223" s="35"/>
      <c r="DF223" s="35"/>
      <c r="DG223" s="35"/>
      <c r="DH223" s="35"/>
      <c r="DI223" s="35"/>
      <c r="DJ223" s="35"/>
      <c r="DK223" s="35"/>
      <c r="DL223" s="35"/>
      <c r="DM223" s="35"/>
      <c r="DN223" s="35"/>
      <c r="DO223" s="35"/>
      <c r="DP223" s="35"/>
      <c r="DQ223" s="35"/>
      <c r="DR223" s="35"/>
      <c r="DS223" s="35"/>
      <c r="DT223" s="35"/>
      <c r="DU223" s="35"/>
      <c r="DV223" s="35"/>
      <c r="DW223" s="35"/>
      <c r="DX223" s="35"/>
      <c r="DY223" s="35"/>
      <c r="DZ223" s="36"/>
      <c r="EA223" s="35"/>
      <c r="EB223" s="35"/>
      <c r="EC223" s="35"/>
      <c r="ED223" s="35"/>
      <c r="EE223" s="35"/>
      <c r="EF223" s="35"/>
      <c r="EG223" s="35"/>
      <c r="EH223" s="35"/>
      <c r="EI223" s="35"/>
      <c r="EJ223" s="35"/>
      <c r="EK223" s="35"/>
      <c r="EL223" s="35"/>
      <c r="EM223" s="35"/>
      <c r="EN223" s="35"/>
      <c r="EO223" s="35"/>
      <c r="EP223" s="35"/>
      <c r="EQ223" s="35"/>
      <c r="ER223" s="35"/>
      <c r="ES223" s="35"/>
      <c r="ET223" s="35"/>
      <c r="EU223" s="35"/>
      <c r="EV223" s="35"/>
      <c r="EW223" s="35"/>
      <c r="EX223" s="35"/>
      <c r="EY223" s="36"/>
      <c r="EZ223" s="35"/>
      <c r="FA223" s="35"/>
      <c r="FB223" s="35"/>
      <c r="FC223" s="35"/>
      <c r="FD223" s="35"/>
      <c r="FE223" s="35"/>
      <c r="FF223" s="35"/>
      <c r="FG223" s="35"/>
      <c r="FH223" s="35"/>
      <c r="FI223" s="35"/>
      <c r="FJ223" s="35"/>
      <c r="FK223" s="35"/>
      <c r="FL223" s="35"/>
      <c r="FM223" s="35"/>
      <c r="FN223" s="35"/>
      <c r="FO223" s="35"/>
      <c r="FP223" s="35"/>
      <c r="FQ223" s="52"/>
      <c r="FR223" s="8"/>
      <c r="FS223" s="9" t="s">
        <v>13</v>
      </c>
      <c r="FT223" s="9" t="str">
        <f t="shared" si="5254"/>
        <v>7. RSR Development &amp; Dry Run 7.5 Co-ordination</v>
      </c>
    </row>
    <row r="224" spans="1:176" s="9" customFormat="1" ht="12" hidden="1" customHeight="1" outlineLevel="1">
      <c r="A224" s="125" t="s">
        <v>50</v>
      </c>
      <c r="B224" s="123"/>
      <c r="C224" s="124" t="str">
        <f t="shared" si="5114"/>
        <v>0 days</v>
      </c>
      <c r="D224" s="13" t="str">
        <f>A195&amp;" "&amp;A220</f>
        <v>7. RSR Development &amp; Dry Run 7.5 Co-ordination</v>
      </c>
      <c r="E224" s="51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5"/>
      <c r="AE224" s="35"/>
      <c r="AF224" s="35"/>
      <c r="AG224" s="35"/>
      <c r="AH224" s="35"/>
      <c r="AI224" s="35"/>
      <c r="AJ224" s="35"/>
      <c r="AK224" s="35"/>
      <c r="AL224" s="36"/>
      <c r="AM224" s="36"/>
      <c r="AN224" s="36"/>
      <c r="AO224" s="36"/>
      <c r="AP224" s="36"/>
      <c r="AQ224" s="36"/>
      <c r="AR224" s="36"/>
      <c r="AS224" s="35"/>
      <c r="AT224" s="35"/>
      <c r="AU224" s="35"/>
      <c r="AV224" s="35"/>
      <c r="AW224" s="35"/>
      <c r="AX224" s="35"/>
      <c r="AY224" s="35"/>
      <c r="AZ224" s="35"/>
      <c r="BA224" s="35"/>
      <c r="BB224" s="35"/>
      <c r="BC224" s="35"/>
      <c r="BD224" s="35"/>
      <c r="BE224" s="35"/>
      <c r="BF224" s="35"/>
      <c r="BG224" s="35"/>
      <c r="BH224" s="35"/>
      <c r="BI224" s="35"/>
      <c r="BJ224" s="35"/>
      <c r="BK224" s="35"/>
      <c r="BL224" s="35"/>
      <c r="BM224" s="35"/>
      <c r="BN224" s="35"/>
      <c r="BO224" s="35"/>
      <c r="BP224" s="35"/>
      <c r="BQ224" s="35"/>
      <c r="BR224" s="35"/>
      <c r="BS224" s="35"/>
      <c r="BT224" s="35"/>
      <c r="BU224" s="35"/>
      <c r="BV224" s="35"/>
      <c r="BW224" s="35"/>
      <c r="BX224" s="35"/>
      <c r="BY224" s="35"/>
      <c r="BZ224" s="35"/>
      <c r="CA224" s="35"/>
      <c r="CB224" s="35"/>
      <c r="CC224" s="35"/>
      <c r="CD224" s="35"/>
      <c r="CE224" s="35"/>
      <c r="CF224" s="35"/>
      <c r="CG224" s="35"/>
      <c r="CH224" s="35"/>
      <c r="CI224" s="35"/>
      <c r="CJ224" s="35"/>
      <c r="CK224" s="35"/>
      <c r="CL224" s="35"/>
      <c r="CM224" s="35"/>
      <c r="CN224" s="35"/>
      <c r="CO224" s="35"/>
      <c r="CP224" s="35"/>
      <c r="CQ224" s="35"/>
      <c r="CR224" s="35"/>
      <c r="CS224" s="35"/>
      <c r="CT224" s="36"/>
      <c r="CU224" s="35"/>
      <c r="CV224" s="35"/>
      <c r="CW224" s="35"/>
      <c r="CX224" s="35"/>
      <c r="CY224" s="35"/>
      <c r="CZ224" s="36"/>
      <c r="DA224" s="36"/>
      <c r="DB224" s="35"/>
      <c r="DC224" s="35"/>
      <c r="DD224" s="35"/>
      <c r="DE224" s="35"/>
      <c r="DF224" s="35"/>
      <c r="DG224" s="35"/>
      <c r="DH224" s="35"/>
      <c r="DI224" s="35"/>
      <c r="DJ224" s="35"/>
      <c r="DK224" s="35"/>
      <c r="DL224" s="35"/>
      <c r="DM224" s="35"/>
      <c r="DN224" s="35"/>
      <c r="DO224" s="35"/>
      <c r="DP224" s="35"/>
      <c r="DQ224" s="35"/>
      <c r="DR224" s="35"/>
      <c r="DS224" s="35"/>
      <c r="DT224" s="35"/>
      <c r="DU224" s="35"/>
      <c r="DV224" s="35"/>
      <c r="DW224" s="35"/>
      <c r="DX224" s="35"/>
      <c r="DY224" s="35"/>
      <c r="DZ224" s="36"/>
      <c r="EA224" s="35"/>
      <c r="EB224" s="35"/>
      <c r="EC224" s="35"/>
      <c r="ED224" s="35"/>
      <c r="EE224" s="35"/>
      <c r="EF224" s="35"/>
      <c r="EG224" s="35"/>
      <c r="EH224" s="35"/>
      <c r="EI224" s="35"/>
      <c r="EJ224" s="35"/>
      <c r="EK224" s="35"/>
      <c r="EL224" s="35"/>
      <c r="EM224" s="35"/>
      <c r="EN224" s="35"/>
      <c r="EO224" s="35"/>
      <c r="EP224" s="35"/>
      <c r="EQ224" s="35"/>
      <c r="ER224" s="35"/>
      <c r="ES224" s="35"/>
      <c r="ET224" s="35"/>
      <c r="EU224" s="35"/>
      <c r="EV224" s="35"/>
      <c r="EW224" s="35"/>
      <c r="EX224" s="35"/>
      <c r="EY224" s="36"/>
      <c r="EZ224" s="35"/>
      <c r="FA224" s="35"/>
      <c r="FB224" s="35"/>
      <c r="FC224" s="35"/>
      <c r="FD224" s="35"/>
      <c r="FE224" s="35"/>
      <c r="FF224" s="35"/>
      <c r="FG224" s="35"/>
      <c r="FH224" s="35"/>
      <c r="FI224" s="35"/>
      <c r="FJ224" s="35"/>
      <c r="FK224" s="35"/>
      <c r="FL224" s="35"/>
      <c r="FM224" s="35"/>
      <c r="FN224" s="35"/>
      <c r="FO224" s="35"/>
      <c r="FP224" s="35"/>
      <c r="FQ224" s="52"/>
      <c r="FR224" s="8"/>
      <c r="FS224" s="9" t="s">
        <v>13</v>
      </c>
      <c r="FT224" s="9" t="str">
        <f t="shared" si="5254"/>
        <v>7. RSR Development &amp; Dry Run 7.5 Co-ordination</v>
      </c>
    </row>
    <row r="225" spans="1:176" s="9" customFormat="1" ht="12" hidden="1" customHeight="1" outlineLevel="1">
      <c r="A225" s="125" t="s">
        <v>50</v>
      </c>
      <c r="B225" s="123"/>
      <c r="C225" s="124" t="str">
        <f t="shared" si="5114"/>
        <v>0 days</v>
      </c>
      <c r="D225" s="13" t="str">
        <f>A195&amp;" "&amp;A220</f>
        <v>7. RSR Development &amp; Dry Run 7.5 Co-ordination</v>
      </c>
      <c r="E225" s="51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5"/>
      <c r="AE225" s="35"/>
      <c r="AF225" s="35"/>
      <c r="AG225" s="35"/>
      <c r="AH225" s="35"/>
      <c r="AI225" s="35"/>
      <c r="AJ225" s="35"/>
      <c r="AK225" s="35"/>
      <c r="AL225" s="36"/>
      <c r="AM225" s="36"/>
      <c r="AN225" s="36"/>
      <c r="AO225" s="36"/>
      <c r="AP225" s="36"/>
      <c r="AQ225" s="36"/>
      <c r="AR225" s="36"/>
      <c r="AS225" s="35"/>
      <c r="AT225" s="35"/>
      <c r="AU225" s="35"/>
      <c r="AV225" s="35"/>
      <c r="AW225" s="35"/>
      <c r="AX225" s="35"/>
      <c r="AY225" s="35"/>
      <c r="AZ225" s="35"/>
      <c r="BA225" s="35"/>
      <c r="BB225" s="35"/>
      <c r="BC225" s="35"/>
      <c r="BD225" s="35"/>
      <c r="BE225" s="35"/>
      <c r="BF225" s="35"/>
      <c r="BG225" s="35"/>
      <c r="BH225" s="35"/>
      <c r="BI225" s="35"/>
      <c r="BJ225" s="35"/>
      <c r="BK225" s="35"/>
      <c r="BL225" s="35"/>
      <c r="BM225" s="35"/>
      <c r="BN225" s="35"/>
      <c r="BO225" s="35"/>
      <c r="BP225" s="35"/>
      <c r="BQ225" s="35"/>
      <c r="BR225" s="35"/>
      <c r="BS225" s="35"/>
      <c r="BT225" s="35"/>
      <c r="BU225" s="35"/>
      <c r="BV225" s="35"/>
      <c r="BW225" s="35"/>
      <c r="BX225" s="35"/>
      <c r="BY225" s="35"/>
      <c r="BZ225" s="35"/>
      <c r="CA225" s="35"/>
      <c r="CB225" s="35"/>
      <c r="CC225" s="35"/>
      <c r="CD225" s="35"/>
      <c r="CE225" s="35"/>
      <c r="CF225" s="35"/>
      <c r="CG225" s="35"/>
      <c r="CH225" s="35"/>
      <c r="CI225" s="35"/>
      <c r="CJ225" s="35"/>
      <c r="CK225" s="35"/>
      <c r="CL225" s="35"/>
      <c r="CM225" s="35"/>
      <c r="CN225" s="35"/>
      <c r="CO225" s="35"/>
      <c r="CP225" s="35"/>
      <c r="CQ225" s="35"/>
      <c r="CR225" s="35"/>
      <c r="CS225" s="35"/>
      <c r="CT225" s="36"/>
      <c r="CU225" s="35"/>
      <c r="CV225" s="35"/>
      <c r="CW225" s="35"/>
      <c r="CX225" s="35"/>
      <c r="CY225" s="35"/>
      <c r="CZ225" s="36"/>
      <c r="DA225" s="36"/>
      <c r="DB225" s="35"/>
      <c r="DC225" s="35"/>
      <c r="DD225" s="35"/>
      <c r="DE225" s="35"/>
      <c r="DF225" s="35"/>
      <c r="DG225" s="35"/>
      <c r="DH225" s="35"/>
      <c r="DI225" s="35"/>
      <c r="DJ225" s="35"/>
      <c r="DK225" s="35"/>
      <c r="DL225" s="35"/>
      <c r="DM225" s="35"/>
      <c r="DN225" s="35"/>
      <c r="DO225" s="35"/>
      <c r="DP225" s="35"/>
      <c r="DQ225" s="35"/>
      <c r="DR225" s="35"/>
      <c r="DS225" s="35"/>
      <c r="DT225" s="35"/>
      <c r="DU225" s="35"/>
      <c r="DV225" s="35"/>
      <c r="DW225" s="35"/>
      <c r="DX225" s="35"/>
      <c r="DY225" s="35"/>
      <c r="DZ225" s="36"/>
      <c r="EA225" s="35"/>
      <c r="EB225" s="35"/>
      <c r="EC225" s="35"/>
      <c r="ED225" s="35"/>
      <c r="EE225" s="35"/>
      <c r="EF225" s="35"/>
      <c r="EG225" s="35"/>
      <c r="EH225" s="35"/>
      <c r="EI225" s="35"/>
      <c r="EJ225" s="35"/>
      <c r="EK225" s="35"/>
      <c r="EL225" s="35"/>
      <c r="EM225" s="35"/>
      <c r="EN225" s="35"/>
      <c r="EO225" s="35"/>
      <c r="EP225" s="35"/>
      <c r="EQ225" s="35"/>
      <c r="ER225" s="35"/>
      <c r="ES225" s="35"/>
      <c r="ET225" s="35"/>
      <c r="EU225" s="35"/>
      <c r="EV225" s="35"/>
      <c r="EW225" s="35"/>
      <c r="EX225" s="35"/>
      <c r="EY225" s="36"/>
      <c r="EZ225" s="35"/>
      <c r="FA225" s="35"/>
      <c r="FB225" s="35"/>
      <c r="FC225" s="35"/>
      <c r="FD225" s="35"/>
      <c r="FE225" s="35"/>
      <c r="FF225" s="35"/>
      <c r="FG225" s="35"/>
      <c r="FH225" s="35"/>
      <c r="FI225" s="35"/>
      <c r="FJ225" s="35"/>
      <c r="FK225" s="35"/>
      <c r="FL225" s="35"/>
      <c r="FM225" s="35"/>
      <c r="FN225" s="35"/>
      <c r="FO225" s="35"/>
      <c r="FP225" s="35"/>
      <c r="FQ225" s="52"/>
      <c r="FR225" s="8"/>
      <c r="FS225" s="9" t="s">
        <v>13</v>
      </c>
      <c r="FT225" s="9" t="str">
        <f t="shared" si="5254"/>
        <v>7. RSR Development &amp; Dry Run 7.5 Co-ordination</v>
      </c>
    </row>
    <row r="226" spans="1:176" s="9" customFormat="1" ht="12" customHeight="1" collapsed="1">
      <c r="A226" s="116" t="s">
        <v>76</v>
      </c>
      <c r="B226" s="132"/>
      <c r="C226" s="137" t="str">
        <f t="shared" si="5114"/>
        <v>36 days</v>
      </c>
      <c r="D226" s="40"/>
      <c r="E226" s="89" t="str">
        <f t="shared" ref="E226:AK226" si="5675">IF(SUBTOTAL(9,E228:E232,E234:E238,E240:E244,E246:E250,E252:E256)&gt;0,SUBTOTAL(9,E228:E232,E234:E238,E240:E244,E246:E250,E252:E256),"")</f>
        <v/>
      </c>
      <c r="F226" s="32" t="str">
        <f t="shared" si="5675"/>
        <v/>
      </c>
      <c r="G226" s="32" t="str">
        <f t="shared" si="5675"/>
        <v/>
      </c>
      <c r="H226" s="32" t="str">
        <f t="shared" si="5675"/>
        <v/>
      </c>
      <c r="I226" s="32" t="str">
        <f t="shared" si="5675"/>
        <v/>
      </c>
      <c r="J226" s="32" t="str">
        <f t="shared" si="5675"/>
        <v/>
      </c>
      <c r="K226" s="32" t="str">
        <f t="shared" si="5675"/>
        <v/>
      </c>
      <c r="L226" s="32" t="str">
        <f t="shared" si="5675"/>
        <v/>
      </c>
      <c r="M226" s="32" t="str">
        <f t="shared" si="5675"/>
        <v/>
      </c>
      <c r="N226" s="32" t="str">
        <f t="shared" si="5675"/>
        <v/>
      </c>
      <c r="O226" s="32" t="str">
        <f t="shared" si="5675"/>
        <v/>
      </c>
      <c r="P226" s="32" t="str">
        <f t="shared" si="5675"/>
        <v/>
      </c>
      <c r="Q226" s="32" t="str">
        <f t="shared" si="5675"/>
        <v/>
      </c>
      <c r="R226" s="32" t="str">
        <f t="shared" si="5675"/>
        <v/>
      </c>
      <c r="S226" s="32" t="str">
        <f t="shared" si="5675"/>
        <v/>
      </c>
      <c r="T226" s="32" t="str">
        <f t="shared" si="5675"/>
        <v/>
      </c>
      <c r="U226" s="32">
        <f t="shared" si="5675"/>
        <v>2</v>
      </c>
      <c r="V226" s="32">
        <f t="shared" si="5675"/>
        <v>2</v>
      </c>
      <c r="W226" s="32">
        <f t="shared" si="5675"/>
        <v>1.5</v>
      </c>
      <c r="X226" s="32">
        <f t="shared" si="5675"/>
        <v>1.5</v>
      </c>
      <c r="Y226" s="32">
        <f t="shared" si="5675"/>
        <v>0.25</v>
      </c>
      <c r="Z226" s="32">
        <f t="shared" si="5675"/>
        <v>1.5</v>
      </c>
      <c r="AA226" s="32">
        <f t="shared" si="5675"/>
        <v>1.5</v>
      </c>
      <c r="AB226" s="32">
        <f t="shared" si="5675"/>
        <v>2</v>
      </c>
      <c r="AC226" s="32">
        <f t="shared" si="5675"/>
        <v>2.25</v>
      </c>
      <c r="AD226" s="32" t="str">
        <f t="shared" si="5675"/>
        <v/>
      </c>
      <c r="AE226" s="32" t="str">
        <f t="shared" si="5675"/>
        <v/>
      </c>
      <c r="AF226" s="32" t="str">
        <f t="shared" si="5675"/>
        <v/>
      </c>
      <c r="AG226" s="32" t="str">
        <f t="shared" si="5675"/>
        <v/>
      </c>
      <c r="AH226" s="32" t="str">
        <f t="shared" si="5675"/>
        <v/>
      </c>
      <c r="AI226" s="32" t="str">
        <f t="shared" si="5675"/>
        <v/>
      </c>
      <c r="AJ226" s="32">
        <f t="shared" si="5675"/>
        <v>2</v>
      </c>
      <c r="AK226" s="32">
        <f t="shared" si="5675"/>
        <v>2.5</v>
      </c>
      <c r="AL226" s="33" t="str">
        <f>IF(SUBTOTAL(9,AL228:AL232,AL234:AL238,AL240:AL244,AL246:AL250,AL252:AL256)&gt;0,SUBTOTAL(9,AL228:AL232,AL234:AL238,AL240:AL244,AL246:AL250,AL252:AL256),"")</f>
        <v/>
      </c>
      <c r="AM226" s="33" t="str">
        <f t="shared" ref="AM226:CX226" si="5676">IF(SUBTOTAL(9,AM228:AM232,AM234:AM238,AM240:AM244,AM246:AM250,AM252:AM256)&gt;0,SUBTOTAL(9,AM228:AM232,AM234:AM238,AM240:AM244,AM246:AM250,AM252:AM256),"")</f>
        <v/>
      </c>
      <c r="AN226" s="33" t="str">
        <f t="shared" si="5676"/>
        <v/>
      </c>
      <c r="AO226" s="33" t="str">
        <f t="shared" si="5676"/>
        <v/>
      </c>
      <c r="AP226" s="33" t="str">
        <f t="shared" si="5676"/>
        <v/>
      </c>
      <c r="AQ226" s="33" t="str">
        <f t="shared" si="5676"/>
        <v/>
      </c>
      <c r="AR226" s="33" t="str">
        <f t="shared" si="5676"/>
        <v/>
      </c>
      <c r="AS226" s="32" t="str">
        <f t="shared" si="5676"/>
        <v/>
      </c>
      <c r="AT226" s="32" t="str">
        <f t="shared" si="5676"/>
        <v/>
      </c>
      <c r="AU226" s="32" t="str">
        <f t="shared" si="5676"/>
        <v/>
      </c>
      <c r="AV226" s="32">
        <f t="shared" si="5676"/>
        <v>1</v>
      </c>
      <c r="AW226" s="32">
        <f t="shared" si="5676"/>
        <v>1</v>
      </c>
      <c r="AX226" s="32">
        <f t="shared" si="5676"/>
        <v>1.5</v>
      </c>
      <c r="AY226" s="32" t="str">
        <f t="shared" si="5676"/>
        <v/>
      </c>
      <c r="AZ226" s="32" t="str">
        <f t="shared" si="5676"/>
        <v/>
      </c>
      <c r="BA226" s="32" t="str">
        <f t="shared" si="5676"/>
        <v/>
      </c>
      <c r="BB226" s="32" t="str">
        <f t="shared" si="5676"/>
        <v/>
      </c>
      <c r="BC226" s="32" t="str">
        <f t="shared" si="5676"/>
        <v/>
      </c>
      <c r="BD226" s="32" t="str">
        <f t="shared" si="5676"/>
        <v/>
      </c>
      <c r="BE226" s="32" t="str">
        <f t="shared" si="5676"/>
        <v/>
      </c>
      <c r="BF226" s="32" t="str">
        <f t="shared" si="5676"/>
        <v/>
      </c>
      <c r="BG226" s="32" t="str">
        <f t="shared" si="5676"/>
        <v/>
      </c>
      <c r="BH226" s="32" t="str">
        <f t="shared" si="5676"/>
        <v/>
      </c>
      <c r="BI226" s="32" t="str">
        <f t="shared" si="5676"/>
        <v/>
      </c>
      <c r="BJ226" s="32" t="str">
        <f t="shared" si="5676"/>
        <v/>
      </c>
      <c r="BK226" s="32" t="str">
        <f t="shared" si="5676"/>
        <v/>
      </c>
      <c r="BL226" s="32" t="str">
        <f t="shared" si="5676"/>
        <v/>
      </c>
      <c r="BM226" s="32" t="str">
        <f t="shared" si="5676"/>
        <v/>
      </c>
      <c r="BN226" s="32" t="str">
        <f t="shared" si="5676"/>
        <v/>
      </c>
      <c r="BO226" s="32" t="str">
        <f t="shared" si="5676"/>
        <v/>
      </c>
      <c r="BP226" s="32" t="str">
        <f t="shared" si="5676"/>
        <v/>
      </c>
      <c r="BQ226" s="32" t="str">
        <f t="shared" si="5676"/>
        <v/>
      </c>
      <c r="BR226" s="32" t="str">
        <f t="shared" si="5676"/>
        <v/>
      </c>
      <c r="BS226" s="32" t="str">
        <f t="shared" si="5676"/>
        <v/>
      </c>
      <c r="BT226" s="32" t="str">
        <f t="shared" si="5676"/>
        <v/>
      </c>
      <c r="BU226" s="32" t="str">
        <f t="shared" si="5676"/>
        <v/>
      </c>
      <c r="BV226" s="32" t="str">
        <f t="shared" si="5676"/>
        <v/>
      </c>
      <c r="BW226" s="32">
        <f t="shared" si="5676"/>
        <v>1</v>
      </c>
      <c r="BX226" s="32">
        <f t="shared" si="5676"/>
        <v>1</v>
      </c>
      <c r="BY226" s="32">
        <f t="shared" si="5676"/>
        <v>1</v>
      </c>
      <c r="BZ226" s="32">
        <f t="shared" si="5676"/>
        <v>1</v>
      </c>
      <c r="CA226" s="32">
        <f t="shared" si="5676"/>
        <v>1.5</v>
      </c>
      <c r="CB226" s="32" t="str">
        <f t="shared" si="5676"/>
        <v/>
      </c>
      <c r="CC226" s="32" t="str">
        <f t="shared" si="5676"/>
        <v/>
      </c>
      <c r="CD226" s="32" t="str">
        <f t="shared" si="5676"/>
        <v/>
      </c>
      <c r="CE226" s="32" t="str">
        <f t="shared" si="5676"/>
        <v/>
      </c>
      <c r="CF226" s="32" t="str">
        <f t="shared" si="5676"/>
        <v/>
      </c>
      <c r="CG226" s="32" t="str">
        <f t="shared" si="5676"/>
        <v/>
      </c>
      <c r="CH226" s="32" t="str">
        <f t="shared" si="5676"/>
        <v/>
      </c>
      <c r="CI226" s="32" t="str">
        <f t="shared" si="5676"/>
        <v/>
      </c>
      <c r="CJ226" s="32" t="str">
        <f t="shared" si="5676"/>
        <v/>
      </c>
      <c r="CK226" s="32" t="str">
        <f t="shared" si="5676"/>
        <v/>
      </c>
      <c r="CL226" s="32" t="str">
        <f t="shared" si="5676"/>
        <v/>
      </c>
      <c r="CM226" s="32" t="str">
        <f t="shared" si="5676"/>
        <v/>
      </c>
      <c r="CN226" s="32" t="str">
        <f t="shared" si="5676"/>
        <v/>
      </c>
      <c r="CO226" s="32" t="str">
        <f t="shared" si="5676"/>
        <v/>
      </c>
      <c r="CP226" s="32" t="str">
        <f t="shared" si="5676"/>
        <v/>
      </c>
      <c r="CQ226" s="32" t="str">
        <f t="shared" si="5676"/>
        <v/>
      </c>
      <c r="CR226" s="32" t="str">
        <f t="shared" si="5676"/>
        <v/>
      </c>
      <c r="CS226" s="32" t="str">
        <f t="shared" si="5676"/>
        <v/>
      </c>
      <c r="CT226" s="33" t="str">
        <f t="shared" si="5676"/>
        <v/>
      </c>
      <c r="CU226" s="32" t="str">
        <f t="shared" si="5676"/>
        <v/>
      </c>
      <c r="CV226" s="32" t="str">
        <f t="shared" si="5676"/>
        <v/>
      </c>
      <c r="CW226" s="32" t="str">
        <f t="shared" si="5676"/>
        <v/>
      </c>
      <c r="CX226" s="32" t="str">
        <f t="shared" si="5676"/>
        <v/>
      </c>
      <c r="CY226" s="32" t="str">
        <f t="shared" ref="CY226:DC226" si="5677">IF(SUBTOTAL(9,CY228:CY232,CY234:CY238,CY240:CY244,CY246:CY250,CY252:CY256)&gt;0,SUBTOTAL(9,CY228:CY232,CY234:CY238,CY240:CY244,CY246:CY250,CY252:CY256),"")</f>
        <v/>
      </c>
      <c r="CZ226" s="33" t="str">
        <f t="shared" si="5677"/>
        <v/>
      </c>
      <c r="DA226" s="33" t="str">
        <f t="shared" si="5677"/>
        <v/>
      </c>
      <c r="DB226" s="32" t="str">
        <f t="shared" si="5677"/>
        <v/>
      </c>
      <c r="DC226" s="32" t="str">
        <f t="shared" si="5677"/>
        <v/>
      </c>
      <c r="DD226" s="32" t="str">
        <f t="shared" ref="DD226:FJ226" si="5678">IF(SUBTOTAL(9,DD228:DD232,DD234:DD238,DD240:DD244,DD246:DD250,DD252:DD256)&gt;0,SUBTOTAL(9,DD228:DD232,DD234:DD238,DD240:DD244,DD246:DD250,DD252:DD256),"")</f>
        <v/>
      </c>
      <c r="DE226" s="32" t="str">
        <f t="shared" si="5678"/>
        <v/>
      </c>
      <c r="DF226" s="32">
        <f t="shared" ref="DF226:DO226" si="5679">IF(SUBTOTAL(9,DF228:DF232,DF234:DF238,DF240:DF244,DF246:DF250,DF252:DF256)&gt;0,SUBTOTAL(9,DF228:DF232,DF234:DF238,DF240:DF244,DF246:DF250,DF252:DF256),"")</f>
        <v>1</v>
      </c>
      <c r="DG226" s="32">
        <f t="shared" si="5679"/>
        <v>1</v>
      </c>
      <c r="DH226" s="32">
        <f t="shared" si="5679"/>
        <v>1</v>
      </c>
      <c r="DI226" s="32">
        <f t="shared" si="5679"/>
        <v>1</v>
      </c>
      <c r="DJ226" s="32">
        <f t="shared" si="5679"/>
        <v>2.5</v>
      </c>
      <c r="DK226" s="32" t="str">
        <f t="shared" si="5679"/>
        <v/>
      </c>
      <c r="DL226" s="32" t="str">
        <f t="shared" si="5679"/>
        <v/>
      </c>
      <c r="DM226" s="32" t="str">
        <f t="shared" si="5679"/>
        <v/>
      </c>
      <c r="DN226" s="32" t="str">
        <f t="shared" si="5679"/>
        <v/>
      </c>
      <c r="DO226" s="32" t="str">
        <f t="shared" si="5679"/>
        <v/>
      </c>
      <c r="DP226" s="32" t="str">
        <f t="shared" si="5678"/>
        <v/>
      </c>
      <c r="DQ226" s="32" t="str">
        <f t="shared" si="5678"/>
        <v/>
      </c>
      <c r="DR226" s="32" t="str">
        <f t="shared" si="5678"/>
        <v/>
      </c>
      <c r="DS226" s="32" t="str">
        <f t="shared" si="5678"/>
        <v/>
      </c>
      <c r="DT226" s="32" t="str">
        <f t="shared" si="5678"/>
        <v/>
      </c>
      <c r="DU226" s="32" t="str">
        <f t="shared" si="5678"/>
        <v/>
      </c>
      <c r="DV226" s="32" t="str">
        <f t="shared" si="5678"/>
        <v/>
      </c>
      <c r="DW226" s="32" t="str">
        <f t="shared" si="5678"/>
        <v/>
      </c>
      <c r="DX226" s="32">
        <f t="shared" si="5678"/>
        <v>1</v>
      </c>
      <c r="DY226" s="32">
        <f t="shared" si="5678"/>
        <v>0.5</v>
      </c>
      <c r="DZ226" s="33" t="str">
        <f t="shared" si="5678"/>
        <v/>
      </c>
      <c r="EA226" s="32" t="str">
        <f t="shared" si="5678"/>
        <v/>
      </c>
      <c r="EB226" s="32" t="str">
        <f t="shared" si="5678"/>
        <v/>
      </c>
      <c r="EC226" s="32" t="str">
        <f t="shared" si="5678"/>
        <v/>
      </c>
      <c r="ED226" s="32" t="str">
        <f t="shared" si="5678"/>
        <v/>
      </c>
      <c r="EE226" s="32" t="str">
        <f t="shared" si="5678"/>
        <v/>
      </c>
      <c r="EF226" s="32" t="str">
        <f t="shared" si="5678"/>
        <v/>
      </c>
      <c r="EG226" s="32" t="str">
        <f t="shared" si="5678"/>
        <v/>
      </c>
      <c r="EH226" s="32" t="str">
        <f t="shared" si="5678"/>
        <v/>
      </c>
      <c r="EI226" s="32" t="str">
        <f t="shared" si="5678"/>
        <v/>
      </c>
      <c r="EJ226" s="32" t="str">
        <f t="shared" si="5678"/>
        <v/>
      </c>
      <c r="EK226" s="32" t="str">
        <f t="shared" si="5678"/>
        <v/>
      </c>
      <c r="EL226" s="32" t="str">
        <f t="shared" si="5678"/>
        <v/>
      </c>
      <c r="EM226" s="32" t="str">
        <f t="shared" si="5678"/>
        <v/>
      </c>
      <c r="EN226" s="32" t="str">
        <f t="shared" si="5678"/>
        <v/>
      </c>
      <c r="EO226" s="32" t="str">
        <f t="shared" si="5678"/>
        <v/>
      </c>
      <c r="EP226" s="32" t="str">
        <f t="shared" si="5678"/>
        <v/>
      </c>
      <c r="EQ226" s="32" t="str">
        <f t="shared" si="5678"/>
        <v/>
      </c>
      <c r="ER226" s="32" t="str">
        <f t="shared" si="5678"/>
        <v/>
      </c>
      <c r="ES226" s="32" t="str">
        <f t="shared" si="5678"/>
        <v/>
      </c>
      <c r="ET226" s="32" t="str">
        <f t="shared" si="5678"/>
        <v/>
      </c>
      <c r="EU226" s="32" t="str">
        <f t="shared" si="5678"/>
        <v/>
      </c>
      <c r="EV226" s="32" t="str">
        <f t="shared" si="5678"/>
        <v/>
      </c>
      <c r="EW226" s="32" t="str">
        <f t="shared" si="5678"/>
        <v/>
      </c>
      <c r="EX226" s="32" t="str">
        <f t="shared" si="5678"/>
        <v/>
      </c>
      <c r="EY226" s="33" t="str">
        <f t="shared" si="5678"/>
        <v/>
      </c>
      <c r="EZ226" s="32" t="str">
        <f t="shared" si="5678"/>
        <v/>
      </c>
      <c r="FA226" s="32" t="str">
        <f t="shared" si="5678"/>
        <v/>
      </c>
      <c r="FB226" s="32" t="str">
        <f t="shared" si="5678"/>
        <v/>
      </c>
      <c r="FC226" s="32" t="str">
        <f t="shared" si="5678"/>
        <v/>
      </c>
      <c r="FD226" s="32" t="str">
        <f t="shared" si="5678"/>
        <v/>
      </c>
      <c r="FE226" s="32" t="str">
        <f t="shared" si="5678"/>
        <v/>
      </c>
      <c r="FF226" s="32" t="str">
        <f t="shared" si="5678"/>
        <v/>
      </c>
      <c r="FG226" s="32" t="str">
        <f t="shared" si="5678"/>
        <v/>
      </c>
      <c r="FH226" s="32" t="str">
        <f t="shared" si="5678"/>
        <v/>
      </c>
      <c r="FI226" s="32" t="str">
        <f t="shared" si="5678"/>
        <v/>
      </c>
      <c r="FJ226" s="32" t="str">
        <f t="shared" si="5678"/>
        <v/>
      </c>
      <c r="FK226" s="32" t="str">
        <f t="shared" ref="FK226:FQ226" si="5680">IF(SUBTOTAL(9,FK228:FK232,FK234:FK238,FK240:FK244,FK246:FK250,FK252:FK256)&gt;0,SUBTOTAL(9,FK228:FK232,FK234:FK238,FK240:FK244,FK246:FK250,FK252:FK256),"")</f>
        <v/>
      </c>
      <c r="FL226" s="32" t="str">
        <f t="shared" si="5680"/>
        <v/>
      </c>
      <c r="FM226" s="32" t="str">
        <f t="shared" si="5680"/>
        <v/>
      </c>
      <c r="FN226" s="32" t="str">
        <f t="shared" si="5680"/>
        <v/>
      </c>
      <c r="FO226" s="32" t="str">
        <f t="shared" si="5680"/>
        <v/>
      </c>
      <c r="FP226" s="32" t="str">
        <f t="shared" si="5680"/>
        <v/>
      </c>
      <c r="FQ226" s="90" t="str">
        <f t="shared" si="5680"/>
        <v/>
      </c>
      <c r="FR226" s="8"/>
      <c r="FS226" s="9" t="s">
        <v>131</v>
      </c>
      <c r="FT226" s="9" t="str">
        <f t="shared" si="5254"/>
        <v/>
      </c>
    </row>
    <row r="227" spans="1:176" s="9" customFormat="1" ht="12" customHeight="1">
      <c r="A227" s="119" t="s">
        <v>96</v>
      </c>
      <c r="B227" s="127"/>
      <c r="C227" s="121" t="str">
        <f t="shared" si="5114"/>
        <v>18 days</v>
      </c>
      <c r="D227" s="27"/>
      <c r="E227" s="91" t="str">
        <f t="shared" ref="E227" si="5681">IF(SUBTOTAL(9,E228:E232)&gt;0,SUBTOTAL(9,E228:E232),"")</f>
        <v/>
      </c>
      <c r="F227" s="34" t="str">
        <f t="shared" ref="F227" si="5682">IF(SUBTOTAL(9,F228:F232)&gt;0,SUBTOTAL(9,F228:F232),"")</f>
        <v/>
      </c>
      <c r="G227" s="34" t="str">
        <f t="shared" ref="G227" si="5683">IF(SUBTOTAL(9,G228:G232)&gt;0,SUBTOTAL(9,G228:G232),"")</f>
        <v/>
      </c>
      <c r="H227" s="34" t="str">
        <f t="shared" ref="H227" si="5684">IF(SUBTOTAL(9,H228:H232)&gt;0,SUBTOTAL(9,H228:H232),"")</f>
        <v/>
      </c>
      <c r="I227" s="34" t="str">
        <f t="shared" ref="I227" si="5685">IF(SUBTOTAL(9,I228:I232)&gt;0,SUBTOTAL(9,I228:I232),"")</f>
        <v/>
      </c>
      <c r="J227" s="34" t="str">
        <f t="shared" ref="J227" si="5686">IF(SUBTOTAL(9,J228:J232)&gt;0,SUBTOTAL(9,J228:J232),"")</f>
        <v/>
      </c>
      <c r="K227" s="34" t="str">
        <f t="shared" ref="K227" si="5687">IF(SUBTOTAL(9,K228:K232)&gt;0,SUBTOTAL(9,K228:K232),"")</f>
        <v/>
      </c>
      <c r="L227" s="34" t="str">
        <f t="shared" ref="L227" si="5688">IF(SUBTOTAL(9,L228:L232)&gt;0,SUBTOTAL(9,L228:L232),"")</f>
        <v/>
      </c>
      <c r="M227" s="34" t="str">
        <f t="shared" ref="M227" si="5689">IF(SUBTOTAL(9,M228:M232)&gt;0,SUBTOTAL(9,M228:M232),"")</f>
        <v/>
      </c>
      <c r="N227" s="34" t="str">
        <f t="shared" ref="N227" si="5690">IF(SUBTOTAL(9,N228:N232)&gt;0,SUBTOTAL(9,N228:N232),"")</f>
        <v/>
      </c>
      <c r="O227" s="34" t="str">
        <f t="shared" ref="O227" si="5691">IF(SUBTOTAL(9,O228:O232)&gt;0,SUBTOTAL(9,O228:O232),"")</f>
        <v/>
      </c>
      <c r="P227" s="34" t="str">
        <f t="shared" ref="P227" si="5692">IF(SUBTOTAL(9,P228:P232)&gt;0,SUBTOTAL(9,P228:P232),"")</f>
        <v/>
      </c>
      <c r="Q227" s="34" t="str">
        <f t="shared" ref="Q227" si="5693">IF(SUBTOTAL(9,Q228:Q232)&gt;0,SUBTOTAL(9,Q228:Q232),"")</f>
        <v/>
      </c>
      <c r="R227" s="34" t="str">
        <f t="shared" ref="R227" si="5694">IF(SUBTOTAL(9,R228:R232)&gt;0,SUBTOTAL(9,R228:R232),"")</f>
        <v/>
      </c>
      <c r="S227" s="34" t="str">
        <f t="shared" ref="S227" si="5695">IF(SUBTOTAL(9,S228:S232)&gt;0,SUBTOTAL(9,S228:S232),"")</f>
        <v/>
      </c>
      <c r="T227" s="34" t="str">
        <f t="shared" ref="T227" si="5696">IF(SUBTOTAL(9,T228:T232)&gt;0,SUBTOTAL(9,T228:T232),"")</f>
        <v/>
      </c>
      <c r="U227" s="34">
        <f t="shared" ref="U227" si="5697">IF(SUBTOTAL(9,U228:U232)&gt;0,SUBTOTAL(9,U228:U232),"")</f>
        <v>1</v>
      </c>
      <c r="V227" s="34">
        <f t="shared" ref="V227" si="5698">IF(SUBTOTAL(9,V228:V232)&gt;0,SUBTOTAL(9,V228:V232),"")</f>
        <v>1</v>
      </c>
      <c r="W227" s="34">
        <f t="shared" ref="W227" si="5699">IF(SUBTOTAL(9,W228:W232)&gt;0,SUBTOTAL(9,W228:W232),"")</f>
        <v>1</v>
      </c>
      <c r="X227" s="34">
        <f t="shared" ref="X227" si="5700">IF(SUBTOTAL(9,X228:X232)&gt;0,SUBTOTAL(9,X228:X232),"")</f>
        <v>1</v>
      </c>
      <c r="Y227" s="34" t="str">
        <f t="shared" ref="Y227" si="5701">IF(SUBTOTAL(9,Y228:Y232)&gt;0,SUBTOTAL(9,Y228:Y232),"")</f>
        <v/>
      </c>
      <c r="Z227" s="34">
        <f t="shared" ref="Z227" si="5702">IF(SUBTOTAL(9,Z228:Z232)&gt;0,SUBTOTAL(9,Z228:Z232),"")</f>
        <v>1</v>
      </c>
      <c r="AA227" s="34">
        <f t="shared" ref="AA227" si="5703">IF(SUBTOTAL(9,AA228:AA232)&gt;0,SUBTOTAL(9,AA228:AA232),"")</f>
        <v>1</v>
      </c>
      <c r="AB227" s="34">
        <f t="shared" ref="AB227" si="5704">IF(SUBTOTAL(9,AB228:AB232)&gt;0,SUBTOTAL(9,AB228:AB232),"")</f>
        <v>1</v>
      </c>
      <c r="AC227" s="34">
        <f t="shared" ref="AC227" si="5705">IF(SUBTOTAL(9,AC228:AC232)&gt;0,SUBTOTAL(9,AC228:AC232),"")</f>
        <v>1</v>
      </c>
      <c r="AD227" s="34" t="str">
        <f t="shared" ref="AD227" si="5706">IF(SUBTOTAL(9,AD228:AD232)&gt;0,SUBTOTAL(9,AD228:AD232),"")</f>
        <v/>
      </c>
      <c r="AE227" s="34" t="str">
        <f t="shared" ref="AE227" si="5707">IF(SUBTOTAL(9,AE228:AE232)&gt;0,SUBTOTAL(9,AE228:AE232),"")</f>
        <v/>
      </c>
      <c r="AF227" s="34" t="str">
        <f t="shared" ref="AF227" si="5708">IF(SUBTOTAL(9,AF228:AF232)&gt;0,SUBTOTAL(9,AF228:AF232),"")</f>
        <v/>
      </c>
      <c r="AG227" s="34" t="str">
        <f t="shared" ref="AG227" si="5709">IF(SUBTOTAL(9,AG228:AG232)&gt;0,SUBTOTAL(9,AG228:AG232),"")</f>
        <v/>
      </c>
      <c r="AH227" s="34" t="str">
        <f t="shared" ref="AH227" si="5710">IF(SUBTOTAL(9,AH228:AH232)&gt;0,SUBTOTAL(9,AH228:AH232),"")</f>
        <v/>
      </c>
      <c r="AI227" s="34" t="str">
        <f t="shared" ref="AI227" si="5711">IF(SUBTOTAL(9,AI228:AI232)&gt;0,SUBTOTAL(9,AI228:AI232),"")</f>
        <v/>
      </c>
      <c r="AJ227" s="34">
        <f t="shared" ref="AJ227" si="5712">IF(SUBTOTAL(9,AJ228:AJ232)&gt;0,SUBTOTAL(9,AJ228:AJ232),"")</f>
        <v>1</v>
      </c>
      <c r="AK227" s="34">
        <f t="shared" ref="AK227" si="5713">IF(SUBTOTAL(9,AK228:AK232)&gt;0,SUBTOTAL(9,AK228:AK232),"")</f>
        <v>1</v>
      </c>
      <c r="AL227" s="33" t="str">
        <f t="shared" ref="AL227" si="5714">IF(SUBTOTAL(9,AL228:AL232)&gt;0,SUBTOTAL(9,AL228:AL232),"")</f>
        <v/>
      </c>
      <c r="AM227" s="33" t="str">
        <f t="shared" ref="AM227" si="5715">IF(SUBTOTAL(9,AM228:AM232)&gt;0,SUBTOTAL(9,AM228:AM232),"")</f>
        <v/>
      </c>
      <c r="AN227" s="33" t="str">
        <f t="shared" ref="AN227" si="5716">IF(SUBTOTAL(9,AN228:AN232)&gt;0,SUBTOTAL(9,AN228:AN232),"")</f>
        <v/>
      </c>
      <c r="AO227" s="33" t="str">
        <f t="shared" ref="AO227" si="5717">IF(SUBTOTAL(9,AO228:AO232)&gt;0,SUBTOTAL(9,AO228:AO232),"")</f>
        <v/>
      </c>
      <c r="AP227" s="33" t="str">
        <f t="shared" ref="AP227" si="5718">IF(SUBTOTAL(9,AP228:AP232)&gt;0,SUBTOTAL(9,AP228:AP232),"")</f>
        <v/>
      </c>
      <c r="AQ227" s="33" t="str">
        <f t="shared" ref="AQ227" si="5719">IF(SUBTOTAL(9,AQ228:AQ232)&gt;0,SUBTOTAL(9,AQ228:AQ232),"")</f>
        <v/>
      </c>
      <c r="AR227" s="33" t="str">
        <f t="shared" ref="AR227" si="5720">IF(SUBTOTAL(9,AR228:AR232)&gt;0,SUBTOTAL(9,AR228:AR232),"")</f>
        <v/>
      </c>
      <c r="AS227" s="34" t="str">
        <f t="shared" ref="AS227" si="5721">IF(SUBTOTAL(9,AS228:AS232)&gt;0,SUBTOTAL(9,AS228:AS232),"")</f>
        <v/>
      </c>
      <c r="AT227" s="34" t="str">
        <f t="shared" ref="AT227" si="5722">IF(SUBTOTAL(9,AT228:AT232)&gt;0,SUBTOTAL(9,AT228:AT232),"")</f>
        <v/>
      </c>
      <c r="AU227" s="34" t="str">
        <f t="shared" ref="AU227" si="5723">IF(SUBTOTAL(9,AU228:AU232)&gt;0,SUBTOTAL(9,AU228:AU232),"")</f>
        <v/>
      </c>
      <c r="AV227" s="34">
        <f t="shared" ref="AV227" si="5724">IF(SUBTOTAL(9,AV228:AV232)&gt;0,SUBTOTAL(9,AV228:AV232),"")</f>
        <v>1</v>
      </c>
      <c r="AW227" s="34">
        <f t="shared" ref="AW227" si="5725">IF(SUBTOTAL(9,AW228:AW232)&gt;0,SUBTOTAL(9,AW228:AW232),"")</f>
        <v>1</v>
      </c>
      <c r="AX227" s="34">
        <f t="shared" ref="AX227" si="5726">IF(SUBTOTAL(9,AX228:AX232)&gt;0,SUBTOTAL(9,AX228:AX232),"")</f>
        <v>1</v>
      </c>
      <c r="AY227" s="34" t="str">
        <f t="shared" ref="AY227" si="5727">IF(SUBTOTAL(9,AY228:AY232)&gt;0,SUBTOTAL(9,AY228:AY232),"")</f>
        <v/>
      </c>
      <c r="AZ227" s="34" t="str">
        <f t="shared" ref="AZ227" si="5728">IF(SUBTOTAL(9,AZ228:AZ232)&gt;0,SUBTOTAL(9,AZ228:AZ232),"")</f>
        <v/>
      </c>
      <c r="BA227" s="34" t="str">
        <f t="shared" ref="BA227" si="5729">IF(SUBTOTAL(9,BA228:BA232)&gt;0,SUBTOTAL(9,BA228:BA232),"")</f>
        <v/>
      </c>
      <c r="BB227" s="34" t="str">
        <f t="shared" ref="BB227" si="5730">IF(SUBTOTAL(9,BB228:BB232)&gt;0,SUBTOTAL(9,BB228:BB232),"")</f>
        <v/>
      </c>
      <c r="BC227" s="34" t="str">
        <f t="shared" ref="BC227" si="5731">IF(SUBTOTAL(9,BC228:BC232)&gt;0,SUBTOTAL(9,BC228:BC232),"")</f>
        <v/>
      </c>
      <c r="BD227" s="34" t="str">
        <f t="shared" ref="BD227" si="5732">IF(SUBTOTAL(9,BD228:BD232)&gt;0,SUBTOTAL(9,BD228:BD232),"")</f>
        <v/>
      </c>
      <c r="BE227" s="34" t="str">
        <f t="shared" ref="BE227" si="5733">IF(SUBTOTAL(9,BE228:BE232)&gt;0,SUBTOTAL(9,BE228:BE232),"")</f>
        <v/>
      </c>
      <c r="BF227" s="34" t="str">
        <f t="shared" ref="BF227" si="5734">IF(SUBTOTAL(9,BF228:BF232)&gt;0,SUBTOTAL(9,BF228:BF232),"")</f>
        <v/>
      </c>
      <c r="BG227" s="34" t="str">
        <f t="shared" ref="BG227" si="5735">IF(SUBTOTAL(9,BG228:BG232)&gt;0,SUBTOTAL(9,BG228:BG232),"")</f>
        <v/>
      </c>
      <c r="BH227" s="34" t="str">
        <f t="shared" ref="BH227" si="5736">IF(SUBTOTAL(9,BH228:BH232)&gt;0,SUBTOTAL(9,BH228:BH232),"")</f>
        <v/>
      </c>
      <c r="BI227" s="34" t="str">
        <f t="shared" ref="BI227" si="5737">IF(SUBTOTAL(9,BI228:BI232)&gt;0,SUBTOTAL(9,BI228:BI232),"")</f>
        <v/>
      </c>
      <c r="BJ227" s="34" t="str">
        <f t="shared" ref="BJ227" si="5738">IF(SUBTOTAL(9,BJ228:BJ232)&gt;0,SUBTOTAL(9,BJ228:BJ232),"")</f>
        <v/>
      </c>
      <c r="BK227" s="34" t="str">
        <f t="shared" ref="BK227" si="5739">IF(SUBTOTAL(9,BK228:BK232)&gt;0,SUBTOTAL(9,BK228:BK232),"")</f>
        <v/>
      </c>
      <c r="BL227" s="34" t="str">
        <f t="shared" ref="BL227" si="5740">IF(SUBTOTAL(9,BL228:BL232)&gt;0,SUBTOTAL(9,BL228:BL232),"")</f>
        <v/>
      </c>
      <c r="BM227" s="34" t="str">
        <f t="shared" ref="BM227" si="5741">IF(SUBTOTAL(9,BM228:BM232)&gt;0,SUBTOTAL(9,BM228:BM232),"")</f>
        <v/>
      </c>
      <c r="BN227" s="34" t="str">
        <f t="shared" ref="BN227" si="5742">IF(SUBTOTAL(9,BN228:BN232)&gt;0,SUBTOTAL(9,BN228:BN232),"")</f>
        <v/>
      </c>
      <c r="BO227" s="34" t="str">
        <f t="shared" ref="BO227" si="5743">IF(SUBTOTAL(9,BO228:BO232)&gt;0,SUBTOTAL(9,BO228:BO232),"")</f>
        <v/>
      </c>
      <c r="BP227" s="34" t="str">
        <f t="shared" ref="BP227" si="5744">IF(SUBTOTAL(9,BP228:BP232)&gt;0,SUBTOTAL(9,BP228:BP232),"")</f>
        <v/>
      </c>
      <c r="BQ227" s="34" t="str">
        <f t="shared" ref="BQ227" si="5745">IF(SUBTOTAL(9,BQ228:BQ232)&gt;0,SUBTOTAL(9,BQ228:BQ232),"")</f>
        <v/>
      </c>
      <c r="BR227" s="34" t="str">
        <f t="shared" ref="BR227" si="5746">IF(SUBTOTAL(9,BR228:BR232)&gt;0,SUBTOTAL(9,BR228:BR232),"")</f>
        <v/>
      </c>
      <c r="BS227" s="34" t="str">
        <f t="shared" ref="BS227" si="5747">IF(SUBTOTAL(9,BS228:BS232)&gt;0,SUBTOTAL(9,BS228:BS232),"")</f>
        <v/>
      </c>
      <c r="BT227" s="34" t="str">
        <f t="shared" ref="BT227" si="5748">IF(SUBTOTAL(9,BT228:BT232)&gt;0,SUBTOTAL(9,BT228:BT232),"")</f>
        <v/>
      </c>
      <c r="BU227" s="34" t="str">
        <f t="shared" ref="BU227" si="5749">IF(SUBTOTAL(9,BU228:BU232)&gt;0,SUBTOTAL(9,BU228:BU232),"")</f>
        <v/>
      </c>
      <c r="BV227" s="34" t="str">
        <f t="shared" ref="BV227" si="5750">IF(SUBTOTAL(9,BV228:BV232)&gt;0,SUBTOTAL(9,BV228:BV232),"")</f>
        <v/>
      </c>
      <c r="BW227" s="34">
        <f t="shared" ref="BW227" si="5751">IF(SUBTOTAL(9,BW228:BW232)&gt;0,SUBTOTAL(9,BW228:BW232),"")</f>
        <v>1</v>
      </c>
      <c r="BX227" s="34">
        <f t="shared" ref="BX227" si="5752">IF(SUBTOTAL(9,BX228:BX232)&gt;0,SUBTOTAL(9,BX228:BX232),"")</f>
        <v>1</v>
      </c>
      <c r="BY227" s="34">
        <f t="shared" ref="BY227" si="5753">IF(SUBTOTAL(9,BY228:BY232)&gt;0,SUBTOTAL(9,BY228:BY232),"")</f>
        <v>1</v>
      </c>
      <c r="BZ227" s="34">
        <f t="shared" ref="BZ227" si="5754">IF(SUBTOTAL(9,BZ228:BZ232)&gt;0,SUBTOTAL(9,BZ228:BZ232),"")</f>
        <v>1</v>
      </c>
      <c r="CA227" s="34">
        <f t="shared" ref="CA227" si="5755">IF(SUBTOTAL(9,CA228:CA232)&gt;0,SUBTOTAL(9,CA228:CA232),"")</f>
        <v>1</v>
      </c>
      <c r="CB227" s="34" t="str">
        <f t="shared" ref="CB227" si="5756">IF(SUBTOTAL(9,CB228:CB232)&gt;0,SUBTOTAL(9,CB228:CB232),"")</f>
        <v/>
      </c>
      <c r="CC227" s="34" t="str">
        <f t="shared" ref="CC227" si="5757">IF(SUBTOTAL(9,CC228:CC232)&gt;0,SUBTOTAL(9,CC228:CC232),"")</f>
        <v/>
      </c>
      <c r="CD227" s="34" t="str">
        <f t="shared" ref="CD227" si="5758">IF(SUBTOTAL(9,CD228:CD232)&gt;0,SUBTOTAL(9,CD228:CD232),"")</f>
        <v/>
      </c>
      <c r="CE227" s="34" t="str">
        <f t="shared" ref="CE227" si="5759">IF(SUBTOTAL(9,CE228:CE232)&gt;0,SUBTOTAL(9,CE228:CE232),"")</f>
        <v/>
      </c>
      <c r="CF227" s="34" t="str">
        <f t="shared" ref="CF227:CG227" si="5760">IF(SUBTOTAL(9,CF228:CF232)&gt;0,SUBTOTAL(9,CF228:CF232),"")</f>
        <v/>
      </c>
      <c r="CG227" s="34" t="str">
        <f t="shared" si="5760"/>
        <v/>
      </c>
      <c r="CH227" s="34" t="str">
        <f t="shared" ref="CH227" si="5761">IF(SUBTOTAL(9,CH228:CH232)&gt;0,SUBTOTAL(9,CH228:CH232),"")</f>
        <v/>
      </c>
      <c r="CI227" s="34" t="str">
        <f t="shared" ref="CI227" si="5762">IF(SUBTOTAL(9,CI228:CI232)&gt;0,SUBTOTAL(9,CI228:CI232),"")</f>
        <v/>
      </c>
      <c r="CJ227" s="34" t="str">
        <f t="shared" ref="CJ227" si="5763">IF(SUBTOTAL(9,CJ228:CJ232)&gt;0,SUBTOTAL(9,CJ228:CJ232),"")</f>
        <v/>
      </c>
      <c r="CK227" s="34" t="str">
        <f t="shared" ref="CK227" si="5764">IF(SUBTOTAL(9,CK228:CK232)&gt;0,SUBTOTAL(9,CK228:CK232),"")</f>
        <v/>
      </c>
      <c r="CL227" s="34" t="str">
        <f t="shared" ref="CL227" si="5765">IF(SUBTOTAL(9,CL228:CL232)&gt;0,SUBTOTAL(9,CL228:CL232),"")</f>
        <v/>
      </c>
      <c r="CM227" s="34" t="str">
        <f t="shared" ref="CM227" si="5766">IF(SUBTOTAL(9,CM228:CM232)&gt;0,SUBTOTAL(9,CM228:CM232),"")</f>
        <v/>
      </c>
      <c r="CN227" s="34" t="str">
        <f t="shared" ref="CN227" si="5767">IF(SUBTOTAL(9,CN228:CN232)&gt;0,SUBTOTAL(9,CN228:CN232),"")</f>
        <v/>
      </c>
      <c r="CO227" s="34" t="str">
        <f t="shared" ref="CO227" si="5768">IF(SUBTOTAL(9,CO228:CO232)&gt;0,SUBTOTAL(9,CO228:CO232),"")</f>
        <v/>
      </c>
      <c r="CP227" s="34" t="str">
        <f t="shared" ref="CP227" si="5769">IF(SUBTOTAL(9,CP228:CP232)&gt;0,SUBTOTAL(9,CP228:CP232),"")</f>
        <v/>
      </c>
      <c r="CQ227" s="34" t="str">
        <f t="shared" ref="CQ227" si="5770">IF(SUBTOTAL(9,CQ228:CQ232)&gt;0,SUBTOTAL(9,CQ228:CQ232),"")</f>
        <v/>
      </c>
      <c r="CR227" s="34" t="str">
        <f t="shared" ref="CR227" si="5771">IF(SUBTOTAL(9,CR228:CR232)&gt;0,SUBTOTAL(9,CR228:CR232),"")</f>
        <v/>
      </c>
      <c r="CS227" s="34" t="str">
        <f t="shared" ref="CS227" si="5772">IF(SUBTOTAL(9,CS228:CS232)&gt;0,SUBTOTAL(9,CS228:CS232),"")</f>
        <v/>
      </c>
      <c r="CT227" s="33" t="str">
        <f t="shared" ref="CT227" si="5773">IF(SUBTOTAL(9,CT228:CT232)&gt;0,SUBTOTAL(9,CT228:CT232),"")</f>
        <v/>
      </c>
      <c r="CU227" s="34" t="str">
        <f t="shared" ref="CU227" si="5774">IF(SUBTOTAL(9,CU228:CU232)&gt;0,SUBTOTAL(9,CU228:CU232),"")</f>
        <v/>
      </c>
      <c r="CV227" s="34" t="str">
        <f t="shared" ref="CV227" si="5775">IF(SUBTOTAL(9,CV228:CV232)&gt;0,SUBTOTAL(9,CV228:CV232),"")</f>
        <v/>
      </c>
      <c r="CW227" s="34" t="str">
        <f t="shared" ref="CW227" si="5776">IF(SUBTOTAL(9,CW228:CW232)&gt;0,SUBTOTAL(9,CW228:CW232),"")</f>
        <v/>
      </c>
      <c r="CX227" s="34" t="str">
        <f t="shared" ref="CX227" si="5777">IF(SUBTOTAL(9,CX228:CX232)&gt;0,SUBTOTAL(9,CX228:CX232),"")</f>
        <v/>
      </c>
      <c r="CY227" s="34" t="str">
        <f t="shared" ref="CY227" si="5778">IF(SUBTOTAL(9,CY228:CY232)&gt;0,SUBTOTAL(9,CY228:CY232),"")</f>
        <v/>
      </c>
      <c r="CZ227" s="33" t="str">
        <f t="shared" ref="CZ227" si="5779">IF(SUBTOTAL(9,CZ228:CZ232)&gt;0,SUBTOTAL(9,CZ228:CZ232),"")</f>
        <v/>
      </c>
      <c r="DA227" s="33" t="str">
        <f t="shared" ref="DA227" si="5780">IF(SUBTOTAL(9,DA228:DA232)&gt;0,SUBTOTAL(9,DA228:DA232),"")</f>
        <v/>
      </c>
      <c r="DB227" s="34" t="str">
        <f t="shared" ref="DB227" si="5781">IF(SUBTOTAL(9,DB228:DB232)&gt;0,SUBTOTAL(9,DB228:DB232),"")</f>
        <v/>
      </c>
      <c r="DC227" s="34" t="str">
        <f t="shared" ref="DC227" si="5782">IF(SUBTOTAL(9,DC228:DC232)&gt;0,SUBTOTAL(9,DC228:DC232),"")</f>
        <v/>
      </c>
      <c r="DD227" s="34" t="str">
        <f t="shared" ref="DD227" si="5783">IF(SUBTOTAL(9,DD228:DD232)&gt;0,SUBTOTAL(9,DD228:DD232),"")</f>
        <v/>
      </c>
      <c r="DE227" s="34" t="str">
        <f t="shared" ref="DE227" si="5784">IF(SUBTOTAL(9,DE228:DE232)&gt;0,SUBTOTAL(9,DE228:DE232),"")</f>
        <v/>
      </c>
      <c r="DF227" s="34" t="str">
        <f t="shared" ref="DF227" si="5785">IF(SUBTOTAL(9,DF228:DF232)&gt;0,SUBTOTAL(9,DF228:DF232),"")</f>
        <v/>
      </c>
      <c r="DG227" s="34" t="str">
        <f t="shared" ref="DG227" si="5786">IF(SUBTOTAL(9,DG228:DG232)&gt;0,SUBTOTAL(9,DG228:DG232),"")</f>
        <v/>
      </c>
      <c r="DH227" s="34" t="str">
        <f t="shared" ref="DH227" si="5787">IF(SUBTOTAL(9,DH228:DH232)&gt;0,SUBTOTAL(9,DH228:DH232),"")</f>
        <v/>
      </c>
      <c r="DI227" s="34" t="str">
        <f t="shared" ref="DI227" si="5788">IF(SUBTOTAL(9,DI228:DI232)&gt;0,SUBTOTAL(9,DI228:DI232),"")</f>
        <v/>
      </c>
      <c r="DJ227" s="34" t="str">
        <f t="shared" ref="DJ227" si="5789">IF(SUBTOTAL(9,DJ228:DJ232)&gt;0,SUBTOTAL(9,DJ228:DJ232),"")</f>
        <v/>
      </c>
      <c r="DK227" s="34" t="str">
        <f t="shared" ref="DK227" si="5790">IF(SUBTOTAL(9,DK228:DK232)&gt;0,SUBTOTAL(9,DK228:DK232),"")</f>
        <v/>
      </c>
      <c r="DL227" s="34" t="str">
        <f t="shared" ref="DL227" si="5791">IF(SUBTOTAL(9,DL228:DL232)&gt;0,SUBTOTAL(9,DL228:DL232),"")</f>
        <v/>
      </c>
      <c r="DM227" s="34" t="str">
        <f t="shared" ref="DM227" si="5792">IF(SUBTOTAL(9,DM228:DM232)&gt;0,SUBTOTAL(9,DM228:DM232),"")</f>
        <v/>
      </c>
      <c r="DN227" s="34" t="str">
        <f t="shared" ref="DN227" si="5793">IF(SUBTOTAL(9,DN228:DN232)&gt;0,SUBTOTAL(9,DN228:DN232),"")</f>
        <v/>
      </c>
      <c r="DO227" s="34" t="str">
        <f t="shared" ref="DO227" si="5794">IF(SUBTOTAL(9,DO228:DO232)&gt;0,SUBTOTAL(9,DO228:DO232),"")</f>
        <v/>
      </c>
      <c r="DP227" s="34" t="str">
        <f t="shared" ref="DP227" si="5795">IF(SUBTOTAL(9,DP228:DP232)&gt;0,SUBTOTAL(9,DP228:DP232),"")</f>
        <v/>
      </c>
      <c r="DQ227" s="34" t="str">
        <f t="shared" ref="DQ227" si="5796">IF(SUBTOTAL(9,DQ228:DQ232)&gt;0,SUBTOTAL(9,DQ228:DQ232),"")</f>
        <v/>
      </c>
      <c r="DR227" s="34" t="str">
        <f t="shared" ref="DR227" si="5797">IF(SUBTOTAL(9,DR228:DR232)&gt;0,SUBTOTAL(9,DR228:DR232),"")</f>
        <v/>
      </c>
      <c r="DS227" s="34" t="str">
        <f t="shared" ref="DS227" si="5798">IF(SUBTOTAL(9,DS228:DS232)&gt;0,SUBTOTAL(9,DS228:DS232),"")</f>
        <v/>
      </c>
      <c r="DT227" s="34" t="str">
        <f t="shared" ref="DT227" si="5799">IF(SUBTOTAL(9,DT228:DT232)&gt;0,SUBTOTAL(9,DT228:DT232),"")</f>
        <v/>
      </c>
      <c r="DU227" s="34" t="str">
        <f t="shared" ref="DU227" si="5800">IF(SUBTOTAL(9,DU228:DU232)&gt;0,SUBTOTAL(9,DU228:DU232),"")</f>
        <v/>
      </c>
      <c r="DV227" s="34" t="str">
        <f t="shared" ref="DV227" si="5801">IF(SUBTOTAL(9,DV228:DV232)&gt;0,SUBTOTAL(9,DV228:DV232),"")</f>
        <v/>
      </c>
      <c r="DW227" s="34" t="str">
        <f t="shared" ref="DW227" si="5802">IF(SUBTOTAL(9,DW228:DW232)&gt;0,SUBTOTAL(9,DW228:DW232),"")</f>
        <v/>
      </c>
      <c r="DX227" s="34" t="str">
        <f t="shared" ref="DX227" si="5803">IF(SUBTOTAL(9,DX228:DX232)&gt;0,SUBTOTAL(9,DX228:DX232),"")</f>
        <v/>
      </c>
      <c r="DY227" s="34" t="str">
        <f t="shared" ref="DY227" si="5804">IF(SUBTOTAL(9,DY228:DY232)&gt;0,SUBTOTAL(9,DY228:DY232),"")</f>
        <v/>
      </c>
      <c r="DZ227" s="33" t="str">
        <f t="shared" ref="DZ227" si="5805">IF(SUBTOTAL(9,DZ228:DZ232)&gt;0,SUBTOTAL(9,DZ228:DZ232),"")</f>
        <v/>
      </c>
      <c r="EA227" s="34" t="str">
        <f t="shared" ref="EA227" si="5806">IF(SUBTOTAL(9,EA228:EA232)&gt;0,SUBTOTAL(9,EA228:EA232),"")</f>
        <v/>
      </c>
      <c r="EB227" s="34" t="str">
        <f t="shared" ref="EB227" si="5807">IF(SUBTOTAL(9,EB228:EB232)&gt;0,SUBTOTAL(9,EB228:EB232),"")</f>
        <v/>
      </c>
      <c r="EC227" s="34" t="str">
        <f t="shared" ref="EC227" si="5808">IF(SUBTOTAL(9,EC228:EC232)&gt;0,SUBTOTAL(9,EC228:EC232),"")</f>
        <v/>
      </c>
      <c r="ED227" s="34" t="str">
        <f t="shared" ref="ED227" si="5809">IF(SUBTOTAL(9,ED228:ED232)&gt;0,SUBTOTAL(9,ED228:ED232),"")</f>
        <v/>
      </c>
      <c r="EE227" s="34" t="str">
        <f t="shared" ref="EE227" si="5810">IF(SUBTOTAL(9,EE228:EE232)&gt;0,SUBTOTAL(9,EE228:EE232),"")</f>
        <v/>
      </c>
      <c r="EF227" s="34" t="str">
        <f t="shared" ref="EF227" si="5811">IF(SUBTOTAL(9,EF228:EF232)&gt;0,SUBTOTAL(9,EF228:EF232),"")</f>
        <v/>
      </c>
      <c r="EG227" s="34" t="str">
        <f t="shared" ref="EG227" si="5812">IF(SUBTOTAL(9,EG228:EG232)&gt;0,SUBTOTAL(9,EG228:EG232),"")</f>
        <v/>
      </c>
      <c r="EH227" s="34" t="str">
        <f t="shared" ref="EH227" si="5813">IF(SUBTOTAL(9,EH228:EH232)&gt;0,SUBTOTAL(9,EH228:EH232),"")</f>
        <v/>
      </c>
      <c r="EI227" s="34" t="str">
        <f t="shared" ref="EI227" si="5814">IF(SUBTOTAL(9,EI228:EI232)&gt;0,SUBTOTAL(9,EI228:EI232),"")</f>
        <v/>
      </c>
      <c r="EJ227" s="34" t="str">
        <f t="shared" ref="EJ227" si="5815">IF(SUBTOTAL(9,EJ228:EJ232)&gt;0,SUBTOTAL(9,EJ228:EJ232),"")</f>
        <v/>
      </c>
      <c r="EK227" s="34" t="str">
        <f t="shared" ref="EK227" si="5816">IF(SUBTOTAL(9,EK228:EK232)&gt;0,SUBTOTAL(9,EK228:EK232),"")</f>
        <v/>
      </c>
      <c r="EL227" s="34" t="str">
        <f t="shared" ref="EL227" si="5817">IF(SUBTOTAL(9,EL228:EL232)&gt;0,SUBTOTAL(9,EL228:EL232),"")</f>
        <v/>
      </c>
      <c r="EM227" s="34" t="str">
        <f t="shared" ref="EM227" si="5818">IF(SUBTOTAL(9,EM228:EM232)&gt;0,SUBTOTAL(9,EM228:EM232),"")</f>
        <v/>
      </c>
      <c r="EN227" s="34" t="str">
        <f t="shared" ref="EN227" si="5819">IF(SUBTOTAL(9,EN228:EN232)&gt;0,SUBTOTAL(9,EN228:EN232),"")</f>
        <v/>
      </c>
      <c r="EO227" s="34" t="str">
        <f t="shared" ref="EO227" si="5820">IF(SUBTOTAL(9,EO228:EO232)&gt;0,SUBTOTAL(9,EO228:EO232),"")</f>
        <v/>
      </c>
      <c r="EP227" s="34" t="str">
        <f t="shared" ref="EP227" si="5821">IF(SUBTOTAL(9,EP228:EP232)&gt;0,SUBTOTAL(9,EP228:EP232),"")</f>
        <v/>
      </c>
      <c r="EQ227" s="34" t="str">
        <f t="shared" ref="EQ227" si="5822">IF(SUBTOTAL(9,EQ228:EQ232)&gt;0,SUBTOTAL(9,EQ228:EQ232),"")</f>
        <v/>
      </c>
      <c r="ER227" s="34" t="str">
        <f t="shared" ref="ER227" si="5823">IF(SUBTOTAL(9,ER228:ER232)&gt;0,SUBTOTAL(9,ER228:ER232),"")</f>
        <v/>
      </c>
      <c r="ES227" s="34" t="str">
        <f t="shared" ref="ES227" si="5824">IF(SUBTOTAL(9,ES228:ES232)&gt;0,SUBTOTAL(9,ES228:ES232),"")</f>
        <v/>
      </c>
      <c r="ET227" s="34" t="str">
        <f t="shared" ref="ET227" si="5825">IF(SUBTOTAL(9,ET228:ET232)&gt;0,SUBTOTAL(9,ET228:ET232),"")</f>
        <v/>
      </c>
      <c r="EU227" s="34" t="str">
        <f t="shared" ref="EU227" si="5826">IF(SUBTOTAL(9,EU228:EU232)&gt;0,SUBTOTAL(9,EU228:EU232),"")</f>
        <v/>
      </c>
      <c r="EV227" s="34" t="str">
        <f t="shared" ref="EV227" si="5827">IF(SUBTOTAL(9,EV228:EV232)&gt;0,SUBTOTAL(9,EV228:EV232),"")</f>
        <v/>
      </c>
      <c r="EW227" s="34" t="str">
        <f t="shared" ref="EW227" si="5828">IF(SUBTOTAL(9,EW228:EW232)&gt;0,SUBTOTAL(9,EW228:EW232),"")</f>
        <v/>
      </c>
      <c r="EX227" s="34" t="str">
        <f t="shared" ref="EX227" si="5829">IF(SUBTOTAL(9,EX228:EX232)&gt;0,SUBTOTAL(9,EX228:EX232),"")</f>
        <v/>
      </c>
      <c r="EY227" s="33" t="str">
        <f t="shared" ref="EY227" si="5830">IF(SUBTOTAL(9,EY228:EY232)&gt;0,SUBTOTAL(9,EY228:EY232),"")</f>
        <v/>
      </c>
      <c r="EZ227" s="34" t="str">
        <f t="shared" ref="EZ227" si="5831">IF(SUBTOTAL(9,EZ228:EZ232)&gt;0,SUBTOTAL(9,EZ228:EZ232),"")</f>
        <v/>
      </c>
      <c r="FA227" s="34" t="str">
        <f t="shared" ref="FA227" si="5832">IF(SUBTOTAL(9,FA228:FA232)&gt;0,SUBTOTAL(9,FA228:FA232),"")</f>
        <v/>
      </c>
      <c r="FB227" s="34" t="str">
        <f t="shared" ref="FB227" si="5833">IF(SUBTOTAL(9,FB228:FB232)&gt;0,SUBTOTAL(9,FB228:FB232),"")</f>
        <v/>
      </c>
      <c r="FC227" s="34" t="str">
        <f t="shared" ref="FC227" si="5834">IF(SUBTOTAL(9,FC228:FC232)&gt;0,SUBTOTAL(9,FC228:FC232),"")</f>
        <v/>
      </c>
      <c r="FD227" s="34" t="str">
        <f t="shared" ref="FD227" si="5835">IF(SUBTOTAL(9,FD228:FD232)&gt;0,SUBTOTAL(9,FD228:FD232),"")</f>
        <v/>
      </c>
      <c r="FE227" s="34" t="str">
        <f t="shared" ref="FE227" si="5836">IF(SUBTOTAL(9,FE228:FE232)&gt;0,SUBTOTAL(9,FE228:FE232),"")</f>
        <v/>
      </c>
      <c r="FF227" s="34" t="str">
        <f t="shared" ref="FF227" si="5837">IF(SUBTOTAL(9,FF228:FF232)&gt;0,SUBTOTAL(9,FF228:FF232),"")</f>
        <v/>
      </c>
      <c r="FG227" s="34" t="str">
        <f t="shared" ref="FG227" si="5838">IF(SUBTOTAL(9,FG228:FG232)&gt;0,SUBTOTAL(9,FG228:FG232),"")</f>
        <v/>
      </c>
      <c r="FH227" s="34" t="str">
        <f t="shared" ref="FH227" si="5839">IF(SUBTOTAL(9,FH228:FH232)&gt;0,SUBTOTAL(9,FH228:FH232),"")</f>
        <v/>
      </c>
      <c r="FI227" s="34" t="str">
        <f t="shared" ref="FI227" si="5840">IF(SUBTOTAL(9,FI228:FI232)&gt;0,SUBTOTAL(9,FI228:FI232),"")</f>
        <v/>
      </c>
      <c r="FJ227" s="34" t="str">
        <f t="shared" ref="FJ227" si="5841">IF(SUBTOTAL(9,FJ228:FJ232)&gt;0,SUBTOTAL(9,FJ228:FJ232),"")</f>
        <v/>
      </c>
      <c r="FK227" s="34" t="str">
        <f t="shared" ref="FK227" si="5842">IF(SUBTOTAL(9,FK228:FK232)&gt;0,SUBTOTAL(9,FK228:FK232),"")</f>
        <v/>
      </c>
      <c r="FL227" s="34" t="str">
        <f t="shared" ref="FL227" si="5843">IF(SUBTOTAL(9,FL228:FL232)&gt;0,SUBTOTAL(9,FL228:FL232),"")</f>
        <v/>
      </c>
      <c r="FM227" s="34" t="str">
        <f t="shared" ref="FM227" si="5844">IF(SUBTOTAL(9,FM228:FM232)&gt;0,SUBTOTAL(9,FM228:FM232),"")</f>
        <v/>
      </c>
      <c r="FN227" s="34" t="str">
        <f t="shared" ref="FN227" si="5845">IF(SUBTOTAL(9,FN228:FN232)&gt;0,SUBTOTAL(9,FN228:FN232),"")</f>
        <v/>
      </c>
      <c r="FO227" s="34" t="str">
        <f t="shared" ref="FO227" si="5846">IF(SUBTOTAL(9,FO228:FO232)&gt;0,SUBTOTAL(9,FO228:FO232),"")</f>
        <v/>
      </c>
      <c r="FP227" s="34" t="str">
        <f t="shared" ref="FP227" si="5847">IF(SUBTOTAL(9,FP228:FP232)&gt;0,SUBTOTAL(9,FP228:FP232),"")</f>
        <v/>
      </c>
      <c r="FQ227" s="92" t="str">
        <f t="shared" ref="FQ227" si="5848">IF(SUBTOTAL(9,FQ228:FQ232)&gt;0,SUBTOTAL(9,FQ228:FQ232),"")</f>
        <v/>
      </c>
      <c r="FR227" s="8"/>
      <c r="FS227" s="9" t="s">
        <v>131</v>
      </c>
      <c r="FT227" s="9" t="str">
        <f t="shared" si="5254"/>
        <v/>
      </c>
    </row>
    <row r="228" spans="1:176" s="9" customFormat="1" ht="12" hidden="1" customHeight="1" outlineLevel="1">
      <c r="A228" s="122" t="s">
        <v>4</v>
      </c>
      <c r="B228" s="123" t="s">
        <v>17</v>
      </c>
      <c r="C228" s="124" t="str">
        <f t="shared" si="5114"/>
        <v>18 days</v>
      </c>
      <c r="D228" s="13" t="str">
        <f>A226&amp;" "&amp;A227</f>
        <v>8. NSTs/ECB Development &amp; Reporting 8.1 Development</v>
      </c>
      <c r="E228" s="51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>
        <v>1</v>
      </c>
      <c r="V228" s="35">
        <v>1</v>
      </c>
      <c r="W228" s="35">
        <v>1</v>
      </c>
      <c r="X228" s="35">
        <v>1</v>
      </c>
      <c r="Y228" s="35"/>
      <c r="Z228" s="35">
        <v>1</v>
      </c>
      <c r="AA228" s="35">
        <v>1</v>
      </c>
      <c r="AB228" s="35">
        <v>1</v>
      </c>
      <c r="AC228" s="35">
        <v>1</v>
      </c>
      <c r="AD228" s="35"/>
      <c r="AE228" s="35"/>
      <c r="AF228" s="35"/>
      <c r="AG228" s="35"/>
      <c r="AH228" s="35"/>
      <c r="AI228" s="35"/>
      <c r="AJ228" s="35">
        <v>1</v>
      </c>
      <c r="AK228" s="35">
        <v>1</v>
      </c>
      <c r="AL228" s="36"/>
      <c r="AM228" s="36"/>
      <c r="AN228" s="36"/>
      <c r="AO228" s="36"/>
      <c r="AP228" s="36"/>
      <c r="AQ228" s="36"/>
      <c r="AR228" s="36"/>
      <c r="AS228" s="35"/>
      <c r="AT228" s="35"/>
      <c r="AU228" s="35"/>
      <c r="AV228" s="35">
        <v>1</v>
      </c>
      <c r="AW228" s="35">
        <v>1</v>
      </c>
      <c r="AX228" s="35">
        <v>1</v>
      </c>
      <c r="AY228" s="35"/>
      <c r="AZ228" s="35"/>
      <c r="BA228" s="35"/>
      <c r="BB228" s="35"/>
      <c r="BC228" s="35"/>
      <c r="BD228" s="35"/>
      <c r="BE228" s="35"/>
      <c r="BF228" s="35"/>
      <c r="BG228" s="35"/>
      <c r="BH228" s="35"/>
      <c r="BI228" s="35"/>
      <c r="BJ228" s="35"/>
      <c r="BK228" s="35"/>
      <c r="BL228" s="35"/>
      <c r="BM228" s="35"/>
      <c r="BN228" s="35"/>
      <c r="BO228" s="35"/>
      <c r="BP228" s="35"/>
      <c r="BQ228" s="35"/>
      <c r="BR228" s="35"/>
      <c r="BS228" s="35"/>
      <c r="BT228" s="35"/>
      <c r="BU228" s="35"/>
      <c r="BV228" s="35"/>
      <c r="BW228" s="35">
        <v>1</v>
      </c>
      <c r="BX228" s="35">
        <v>1</v>
      </c>
      <c r="BY228" s="35">
        <v>1</v>
      </c>
      <c r="BZ228" s="35">
        <v>1</v>
      </c>
      <c r="CA228" s="35">
        <v>1</v>
      </c>
      <c r="CB228" s="35"/>
      <c r="CC228" s="35"/>
      <c r="CD228" s="35"/>
      <c r="CE228" s="35"/>
      <c r="CF228" s="35"/>
      <c r="CG228" s="35"/>
      <c r="CH228" s="35"/>
      <c r="CI228" s="35"/>
      <c r="CJ228" s="35"/>
      <c r="CK228" s="35"/>
      <c r="CL228" s="35"/>
      <c r="CM228" s="35"/>
      <c r="CN228" s="35"/>
      <c r="CO228" s="35"/>
      <c r="CP228" s="35"/>
      <c r="CQ228" s="35"/>
      <c r="CR228" s="35"/>
      <c r="CS228" s="35"/>
      <c r="CT228" s="36"/>
      <c r="CU228" s="35"/>
      <c r="CV228" s="35"/>
      <c r="CW228" s="35"/>
      <c r="CX228" s="35"/>
      <c r="CY228" s="35"/>
      <c r="CZ228" s="36"/>
      <c r="DA228" s="36"/>
      <c r="DB228" s="35"/>
      <c r="DC228" s="35"/>
      <c r="DD228" s="35"/>
      <c r="DE228" s="35"/>
      <c r="DF228" s="35"/>
      <c r="DG228" s="35"/>
      <c r="DH228" s="35"/>
      <c r="DI228" s="35"/>
      <c r="DJ228" s="35"/>
      <c r="DK228" s="35"/>
      <c r="DL228" s="35"/>
      <c r="DM228" s="35"/>
      <c r="DN228" s="35"/>
      <c r="DO228" s="35"/>
      <c r="DP228" s="35"/>
      <c r="DQ228" s="35"/>
      <c r="DR228" s="35"/>
      <c r="DS228" s="35"/>
      <c r="DT228" s="35"/>
      <c r="DU228" s="35"/>
      <c r="DV228" s="35"/>
      <c r="DW228" s="35"/>
      <c r="DX228" s="35"/>
      <c r="DY228" s="35"/>
      <c r="DZ228" s="36"/>
      <c r="EA228" s="35"/>
      <c r="EB228" s="35"/>
      <c r="EC228" s="35"/>
      <c r="ED228" s="35"/>
      <c r="EE228" s="35"/>
      <c r="EF228" s="35"/>
      <c r="EG228" s="35"/>
      <c r="EH228" s="35"/>
      <c r="EI228" s="35"/>
      <c r="EJ228" s="35"/>
      <c r="EK228" s="35"/>
      <c r="EL228" s="35"/>
      <c r="EM228" s="35"/>
      <c r="EN228" s="35"/>
      <c r="EO228" s="35"/>
      <c r="EP228" s="35"/>
      <c r="EQ228" s="35"/>
      <c r="ER228" s="35"/>
      <c r="ES228" s="35"/>
      <c r="ET228" s="35"/>
      <c r="EU228" s="35"/>
      <c r="EV228" s="35"/>
      <c r="EW228" s="35"/>
      <c r="EX228" s="35"/>
      <c r="EY228" s="36"/>
      <c r="EZ228" s="35"/>
      <c r="FA228" s="35"/>
      <c r="FB228" s="35"/>
      <c r="FC228" s="35"/>
      <c r="FD228" s="35"/>
      <c r="FE228" s="35"/>
      <c r="FF228" s="35"/>
      <c r="FG228" s="35"/>
      <c r="FH228" s="35"/>
      <c r="FI228" s="35"/>
      <c r="FJ228" s="35"/>
      <c r="FK228" s="35"/>
      <c r="FL228" s="35"/>
      <c r="FM228" s="35"/>
      <c r="FN228" s="35"/>
      <c r="FO228" s="35"/>
      <c r="FP228" s="35"/>
      <c r="FQ228" s="52"/>
      <c r="FR228" s="8"/>
      <c r="FS228" s="9" t="s">
        <v>13</v>
      </c>
      <c r="FT228" s="9" t="str">
        <f t="shared" si="5254"/>
        <v>8. NSTs/ECB Development &amp; Reporting 8.1 DevelopmentSenior Accountant</v>
      </c>
    </row>
    <row r="229" spans="1:176" s="9" customFormat="1" ht="12" hidden="1" customHeight="1" outlineLevel="1">
      <c r="A229" s="122"/>
      <c r="B229" s="123"/>
      <c r="C229" s="124" t="str">
        <f t="shared" si="5114"/>
        <v>0 days</v>
      </c>
      <c r="D229" s="13" t="str">
        <f>A226&amp;" "&amp;A227</f>
        <v>8. NSTs/ECB Development &amp; Reporting 8.1 Development</v>
      </c>
      <c r="E229" s="51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E229" s="35"/>
      <c r="AF229" s="35"/>
      <c r="AG229" s="35"/>
      <c r="AH229" s="35"/>
      <c r="AI229" s="35"/>
      <c r="AJ229" s="35"/>
      <c r="AK229" s="35"/>
      <c r="AL229" s="36"/>
      <c r="AM229" s="36"/>
      <c r="AN229" s="36"/>
      <c r="AO229" s="36"/>
      <c r="AP229" s="36"/>
      <c r="AQ229" s="36"/>
      <c r="AR229" s="36"/>
      <c r="AS229" s="35"/>
      <c r="AT229" s="35"/>
      <c r="AU229" s="35"/>
      <c r="AV229" s="35"/>
      <c r="AW229" s="35"/>
      <c r="AX229" s="35"/>
      <c r="AY229" s="35"/>
      <c r="AZ229" s="35"/>
      <c r="BA229" s="35"/>
      <c r="BB229" s="35"/>
      <c r="BC229" s="35"/>
      <c r="BD229" s="35"/>
      <c r="BE229" s="35"/>
      <c r="BF229" s="35"/>
      <c r="BG229" s="35"/>
      <c r="BH229" s="35"/>
      <c r="BI229" s="35"/>
      <c r="BJ229" s="35"/>
      <c r="BK229" s="35"/>
      <c r="BL229" s="35"/>
      <c r="BM229" s="35"/>
      <c r="BN229" s="35"/>
      <c r="BO229" s="35"/>
      <c r="BP229" s="35"/>
      <c r="BQ229" s="35"/>
      <c r="BR229" s="35"/>
      <c r="BS229" s="35"/>
      <c r="BT229" s="35"/>
      <c r="BU229" s="35"/>
      <c r="BV229" s="35"/>
      <c r="BW229" s="35"/>
      <c r="BX229" s="35"/>
      <c r="BY229" s="35"/>
      <c r="BZ229" s="35"/>
      <c r="CA229" s="35"/>
      <c r="CB229" s="35"/>
      <c r="CC229" s="35"/>
      <c r="CD229" s="35"/>
      <c r="CE229" s="35"/>
      <c r="CF229" s="35"/>
      <c r="CG229" s="35"/>
      <c r="CH229" s="35"/>
      <c r="CI229" s="35"/>
      <c r="CJ229" s="35"/>
      <c r="CK229" s="35"/>
      <c r="CL229" s="35"/>
      <c r="CM229" s="35"/>
      <c r="CN229" s="35"/>
      <c r="CO229" s="35"/>
      <c r="CP229" s="35"/>
      <c r="CQ229" s="35"/>
      <c r="CR229" s="35"/>
      <c r="CS229" s="35"/>
      <c r="CT229" s="36"/>
      <c r="CU229" s="35"/>
      <c r="CV229" s="35"/>
      <c r="CW229" s="35"/>
      <c r="CX229" s="35"/>
      <c r="CY229" s="35"/>
      <c r="CZ229" s="36"/>
      <c r="DA229" s="36"/>
      <c r="DB229" s="35"/>
      <c r="DC229" s="35"/>
      <c r="DD229" s="35"/>
      <c r="DE229" s="35"/>
      <c r="DF229" s="35"/>
      <c r="DG229" s="35"/>
      <c r="DH229" s="35"/>
      <c r="DI229" s="35"/>
      <c r="DJ229" s="35"/>
      <c r="DK229" s="35"/>
      <c r="DL229" s="35"/>
      <c r="DM229" s="35"/>
      <c r="DN229" s="35"/>
      <c r="DO229" s="35"/>
      <c r="DP229" s="35"/>
      <c r="DQ229" s="35"/>
      <c r="DR229" s="35"/>
      <c r="DS229" s="35"/>
      <c r="DT229" s="35"/>
      <c r="DU229" s="35"/>
      <c r="DV229" s="35"/>
      <c r="DW229" s="35"/>
      <c r="DX229" s="35"/>
      <c r="DY229" s="35"/>
      <c r="DZ229" s="36"/>
      <c r="EA229" s="35"/>
      <c r="EB229" s="35"/>
      <c r="EC229" s="35"/>
      <c r="ED229" s="35"/>
      <c r="EE229" s="35"/>
      <c r="EF229" s="35"/>
      <c r="EG229" s="35"/>
      <c r="EH229" s="35"/>
      <c r="EI229" s="35"/>
      <c r="EJ229" s="35"/>
      <c r="EK229" s="35"/>
      <c r="EL229" s="35"/>
      <c r="EM229" s="35"/>
      <c r="EN229" s="35"/>
      <c r="EO229" s="35"/>
      <c r="EP229" s="35"/>
      <c r="EQ229" s="35"/>
      <c r="ER229" s="35"/>
      <c r="ES229" s="35"/>
      <c r="ET229" s="35"/>
      <c r="EU229" s="35"/>
      <c r="EV229" s="35"/>
      <c r="EW229" s="35"/>
      <c r="EX229" s="35"/>
      <c r="EY229" s="36"/>
      <c r="EZ229" s="35"/>
      <c r="FA229" s="35"/>
      <c r="FB229" s="35"/>
      <c r="FC229" s="35"/>
      <c r="FD229" s="35"/>
      <c r="FE229" s="35"/>
      <c r="FF229" s="35"/>
      <c r="FG229" s="35"/>
      <c r="FH229" s="35"/>
      <c r="FI229" s="35"/>
      <c r="FJ229" s="35"/>
      <c r="FK229" s="35"/>
      <c r="FL229" s="35"/>
      <c r="FM229" s="35"/>
      <c r="FN229" s="35"/>
      <c r="FO229" s="35"/>
      <c r="FP229" s="35"/>
      <c r="FQ229" s="52"/>
      <c r="FR229" s="8"/>
      <c r="FS229" s="9" t="s">
        <v>13</v>
      </c>
      <c r="FT229" s="9" t="str">
        <f t="shared" si="5254"/>
        <v>8. NSTs/ECB Development &amp; Reporting 8.1 Development</v>
      </c>
    </row>
    <row r="230" spans="1:176" s="9" customFormat="1" ht="12" hidden="1" customHeight="1" outlineLevel="1">
      <c r="A230" s="125" t="s">
        <v>50</v>
      </c>
      <c r="B230" s="123"/>
      <c r="C230" s="124" t="str">
        <f t="shared" si="5114"/>
        <v>0 days</v>
      </c>
      <c r="D230" s="13" t="str">
        <f>A226&amp;" "&amp;A227</f>
        <v>8. NSTs/ECB Development &amp; Reporting 8.1 Development</v>
      </c>
      <c r="E230" s="51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E230" s="35"/>
      <c r="AF230" s="35"/>
      <c r="AG230" s="35"/>
      <c r="AH230" s="35"/>
      <c r="AI230" s="35"/>
      <c r="AJ230" s="35"/>
      <c r="AK230" s="35"/>
      <c r="AL230" s="36"/>
      <c r="AM230" s="36"/>
      <c r="AN230" s="36"/>
      <c r="AO230" s="36"/>
      <c r="AP230" s="36"/>
      <c r="AQ230" s="36"/>
      <c r="AR230" s="36"/>
      <c r="AS230" s="35"/>
      <c r="AT230" s="35"/>
      <c r="AU230" s="35"/>
      <c r="AV230" s="35"/>
      <c r="AW230" s="35"/>
      <c r="AX230" s="35"/>
      <c r="AY230" s="35"/>
      <c r="AZ230" s="35"/>
      <c r="BA230" s="35"/>
      <c r="BB230" s="35"/>
      <c r="BC230" s="35"/>
      <c r="BD230" s="35"/>
      <c r="BE230" s="35"/>
      <c r="BF230" s="35"/>
      <c r="BG230" s="35"/>
      <c r="BH230" s="35"/>
      <c r="BI230" s="35"/>
      <c r="BJ230" s="35"/>
      <c r="BK230" s="35"/>
      <c r="BL230" s="35"/>
      <c r="BM230" s="35"/>
      <c r="BN230" s="35"/>
      <c r="BO230" s="35"/>
      <c r="BP230" s="35"/>
      <c r="BQ230" s="35"/>
      <c r="BR230" s="35"/>
      <c r="BS230" s="35"/>
      <c r="BT230" s="35"/>
      <c r="BU230" s="35"/>
      <c r="BV230" s="35"/>
      <c r="BW230" s="35"/>
      <c r="BX230" s="35"/>
      <c r="BY230" s="35"/>
      <c r="BZ230" s="35"/>
      <c r="CA230" s="35"/>
      <c r="CB230" s="35"/>
      <c r="CC230" s="35"/>
      <c r="CD230" s="35"/>
      <c r="CE230" s="35"/>
      <c r="CF230" s="35"/>
      <c r="CG230" s="35"/>
      <c r="CH230" s="35"/>
      <c r="CI230" s="35"/>
      <c r="CJ230" s="35"/>
      <c r="CK230" s="35"/>
      <c r="CL230" s="35"/>
      <c r="CM230" s="35"/>
      <c r="CN230" s="35"/>
      <c r="CO230" s="35"/>
      <c r="CP230" s="35"/>
      <c r="CQ230" s="35"/>
      <c r="CR230" s="35"/>
      <c r="CS230" s="35"/>
      <c r="CT230" s="36"/>
      <c r="CU230" s="35"/>
      <c r="CV230" s="35"/>
      <c r="CW230" s="35"/>
      <c r="CX230" s="35"/>
      <c r="CY230" s="35"/>
      <c r="CZ230" s="36"/>
      <c r="DA230" s="36"/>
      <c r="DB230" s="35"/>
      <c r="DC230" s="35"/>
      <c r="DD230" s="35"/>
      <c r="DE230" s="35"/>
      <c r="DF230" s="35"/>
      <c r="DG230" s="35"/>
      <c r="DH230" s="35"/>
      <c r="DI230" s="35"/>
      <c r="DJ230" s="35"/>
      <c r="DK230" s="35"/>
      <c r="DL230" s="35"/>
      <c r="DM230" s="35"/>
      <c r="DN230" s="35"/>
      <c r="DO230" s="35"/>
      <c r="DP230" s="35"/>
      <c r="DQ230" s="35"/>
      <c r="DR230" s="35"/>
      <c r="DS230" s="35"/>
      <c r="DT230" s="35"/>
      <c r="DU230" s="35"/>
      <c r="DV230" s="35"/>
      <c r="DW230" s="35"/>
      <c r="DX230" s="35"/>
      <c r="DY230" s="35"/>
      <c r="DZ230" s="36"/>
      <c r="EA230" s="35"/>
      <c r="EB230" s="35"/>
      <c r="EC230" s="35"/>
      <c r="ED230" s="35"/>
      <c r="EE230" s="35"/>
      <c r="EF230" s="35"/>
      <c r="EG230" s="35"/>
      <c r="EH230" s="35"/>
      <c r="EI230" s="35"/>
      <c r="EJ230" s="35"/>
      <c r="EK230" s="35"/>
      <c r="EL230" s="35"/>
      <c r="EM230" s="35"/>
      <c r="EN230" s="35"/>
      <c r="EO230" s="35"/>
      <c r="EP230" s="35"/>
      <c r="EQ230" s="35"/>
      <c r="ER230" s="35"/>
      <c r="ES230" s="35"/>
      <c r="ET230" s="35"/>
      <c r="EU230" s="35"/>
      <c r="EV230" s="35"/>
      <c r="EW230" s="35"/>
      <c r="EX230" s="35"/>
      <c r="EY230" s="36"/>
      <c r="EZ230" s="35"/>
      <c r="FA230" s="35"/>
      <c r="FB230" s="35"/>
      <c r="FC230" s="35"/>
      <c r="FD230" s="35"/>
      <c r="FE230" s="35"/>
      <c r="FF230" s="35"/>
      <c r="FG230" s="35"/>
      <c r="FH230" s="35"/>
      <c r="FI230" s="35"/>
      <c r="FJ230" s="35"/>
      <c r="FK230" s="35"/>
      <c r="FL230" s="35"/>
      <c r="FM230" s="35"/>
      <c r="FN230" s="35"/>
      <c r="FO230" s="35"/>
      <c r="FP230" s="35"/>
      <c r="FQ230" s="52"/>
      <c r="FR230" s="8"/>
      <c r="FS230" s="9" t="s">
        <v>13</v>
      </c>
      <c r="FT230" s="9" t="str">
        <f t="shared" si="5254"/>
        <v>8. NSTs/ECB Development &amp; Reporting 8.1 Development</v>
      </c>
    </row>
    <row r="231" spans="1:176" s="9" customFormat="1" ht="12" hidden="1" customHeight="1" outlineLevel="1">
      <c r="A231" s="125" t="s">
        <v>50</v>
      </c>
      <c r="B231" s="123"/>
      <c r="C231" s="124" t="str">
        <f t="shared" si="5114"/>
        <v>0 days</v>
      </c>
      <c r="D231" s="13" t="str">
        <f>A226&amp;" "&amp;A227</f>
        <v>8. NSTs/ECB Development &amp; Reporting 8.1 Development</v>
      </c>
      <c r="E231" s="51"/>
      <c r="F231" s="35"/>
      <c r="G231" s="35"/>
      <c r="H231" s="35"/>
      <c r="I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5"/>
      <c r="AE231" s="35"/>
      <c r="AF231" s="35"/>
      <c r="AG231" s="35"/>
      <c r="AH231" s="35"/>
      <c r="AI231" s="35"/>
      <c r="AJ231" s="35"/>
      <c r="AK231" s="35"/>
      <c r="AL231" s="36"/>
      <c r="AM231" s="36"/>
      <c r="AN231" s="36"/>
      <c r="AO231" s="36"/>
      <c r="AP231" s="36"/>
      <c r="AQ231" s="36"/>
      <c r="AR231" s="36"/>
      <c r="AS231" s="35"/>
      <c r="AT231" s="35"/>
      <c r="AU231" s="35"/>
      <c r="AV231" s="35"/>
      <c r="AW231" s="35"/>
      <c r="AX231" s="35"/>
      <c r="AY231" s="35"/>
      <c r="AZ231" s="35"/>
      <c r="BA231" s="35"/>
      <c r="BB231" s="35"/>
      <c r="BC231" s="35"/>
      <c r="BD231" s="35"/>
      <c r="BE231" s="35"/>
      <c r="BF231" s="35"/>
      <c r="BG231" s="35"/>
      <c r="BH231" s="35"/>
      <c r="BI231" s="35"/>
      <c r="BJ231" s="35"/>
      <c r="BK231" s="35"/>
      <c r="BL231" s="35"/>
      <c r="BM231" s="35"/>
      <c r="BN231" s="35"/>
      <c r="BO231" s="35"/>
      <c r="BP231" s="35"/>
      <c r="BQ231" s="35"/>
      <c r="BR231" s="35"/>
      <c r="BS231" s="35"/>
      <c r="BT231" s="35"/>
      <c r="BU231" s="35"/>
      <c r="BV231" s="35"/>
      <c r="BW231" s="35"/>
      <c r="BX231" s="35"/>
      <c r="BY231" s="35"/>
      <c r="BZ231" s="35"/>
      <c r="CA231" s="35"/>
      <c r="CB231" s="35"/>
      <c r="CC231" s="35"/>
      <c r="CD231" s="35"/>
      <c r="CE231" s="35"/>
      <c r="CF231" s="35"/>
      <c r="CG231" s="35"/>
      <c r="CH231" s="35"/>
      <c r="CI231" s="35"/>
      <c r="CJ231" s="35"/>
      <c r="CK231" s="35"/>
      <c r="CL231" s="35"/>
      <c r="CM231" s="35"/>
      <c r="CN231" s="35"/>
      <c r="CO231" s="35"/>
      <c r="CP231" s="35"/>
      <c r="CQ231" s="35"/>
      <c r="CR231" s="35"/>
      <c r="CS231" s="35"/>
      <c r="CT231" s="36"/>
      <c r="CU231" s="35"/>
      <c r="CV231" s="35"/>
      <c r="CW231" s="35"/>
      <c r="CX231" s="35"/>
      <c r="CY231" s="35"/>
      <c r="CZ231" s="36"/>
      <c r="DA231" s="36"/>
      <c r="DB231" s="35"/>
      <c r="DC231" s="35"/>
      <c r="DD231" s="35"/>
      <c r="DE231" s="35"/>
      <c r="DF231" s="35"/>
      <c r="DG231" s="35"/>
      <c r="DH231" s="35"/>
      <c r="DI231" s="35"/>
      <c r="DJ231" s="35"/>
      <c r="DK231" s="35"/>
      <c r="DL231" s="35"/>
      <c r="DM231" s="35"/>
      <c r="DN231" s="35"/>
      <c r="DO231" s="35"/>
      <c r="DP231" s="35"/>
      <c r="DQ231" s="35"/>
      <c r="DR231" s="35"/>
      <c r="DS231" s="35"/>
      <c r="DT231" s="35"/>
      <c r="DU231" s="35"/>
      <c r="DV231" s="35"/>
      <c r="DW231" s="35"/>
      <c r="DX231" s="35"/>
      <c r="DY231" s="35"/>
      <c r="DZ231" s="36"/>
      <c r="EA231" s="35"/>
      <c r="EB231" s="35"/>
      <c r="EC231" s="35"/>
      <c r="ED231" s="35"/>
      <c r="EE231" s="35"/>
      <c r="EF231" s="35"/>
      <c r="EG231" s="35"/>
      <c r="EH231" s="35"/>
      <c r="EI231" s="35"/>
      <c r="EJ231" s="35"/>
      <c r="EK231" s="35"/>
      <c r="EL231" s="35"/>
      <c r="EM231" s="35"/>
      <c r="EN231" s="35"/>
      <c r="EO231" s="35"/>
      <c r="EP231" s="35"/>
      <c r="EQ231" s="35"/>
      <c r="ER231" s="35"/>
      <c r="ES231" s="35"/>
      <c r="ET231" s="35"/>
      <c r="EU231" s="35"/>
      <c r="EV231" s="35"/>
      <c r="EW231" s="35"/>
      <c r="EX231" s="35"/>
      <c r="EY231" s="36"/>
      <c r="EZ231" s="35"/>
      <c r="FA231" s="35"/>
      <c r="FB231" s="35"/>
      <c r="FC231" s="35"/>
      <c r="FD231" s="35"/>
      <c r="FE231" s="35"/>
      <c r="FF231" s="35"/>
      <c r="FG231" s="35"/>
      <c r="FH231" s="35"/>
      <c r="FI231" s="35"/>
      <c r="FJ231" s="35"/>
      <c r="FK231" s="35"/>
      <c r="FL231" s="35"/>
      <c r="FM231" s="35"/>
      <c r="FN231" s="35"/>
      <c r="FO231" s="35"/>
      <c r="FP231" s="35"/>
      <c r="FQ231" s="52"/>
      <c r="FR231" s="8"/>
      <c r="FS231" s="9" t="s">
        <v>13</v>
      </c>
      <c r="FT231" s="9" t="str">
        <f t="shared" si="5254"/>
        <v>8. NSTs/ECB Development &amp; Reporting 8.1 Development</v>
      </c>
    </row>
    <row r="232" spans="1:176" s="9" customFormat="1" ht="12" hidden="1" customHeight="1" outlineLevel="1">
      <c r="A232" s="126" t="s">
        <v>50</v>
      </c>
      <c r="B232" s="123"/>
      <c r="C232" s="124" t="str">
        <f t="shared" si="5114"/>
        <v>0 days</v>
      </c>
      <c r="D232" s="13" t="str">
        <f>A226&amp;" "&amp;A227</f>
        <v>8. NSTs/ECB Development &amp; Reporting 8.1 Development</v>
      </c>
      <c r="E232" s="51"/>
      <c r="F232" s="35"/>
      <c r="G232" s="35"/>
      <c r="H232" s="35"/>
      <c r="I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5"/>
      <c r="AE232" s="35"/>
      <c r="AF232" s="35"/>
      <c r="AG232" s="35"/>
      <c r="AH232" s="35"/>
      <c r="AI232" s="35"/>
      <c r="AJ232" s="35"/>
      <c r="AK232" s="35"/>
      <c r="AL232" s="36"/>
      <c r="AM232" s="36"/>
      <c r="AN232" s="36"/>
      <c r="AO232" s="36"/>
      <c r="AP232" s="36"/>
      <c r="AQ232" s="36"/>
      <c r="AR232" s="36"/>
      <c r="AS232" s="35"/>
      <c r="AT232" s="35"/>
      <c r="AU232" s="35"/>
      <c r="AV232" s="35"/>
      <c r="AW232" s="35"/>
      <c r="AX232" s="35"/>
      <c r="AY232" s="35"/>
      <c r="AZ232" s="35"/>
      <c r="BA232" s="35"/>
      <c r="BB232" s="35"/>
      <c r="BC232" s="35"/>
      <c r="BD232" s="35"/>
      <c r="BE232" s="35"/>
      <c r="BF232" s="35"/>
      <c r="BG232" s="35"/>
      <c r="BH232" s="35"/>
      <c r="BI232" s="35"/>
      <c r="BJ232" s="35"/>
      <c r="BK232" s="35"/>
      <c r="BL232" s="35"/>
      <c r="BM232" s="35"/>
      <c r="BN232" s="35"/>
      <c r="BO232" s="35"/>
      <c r="BP232" s="35"/>
      <c r="BQ232" s="35"/>
      <c r="BR232" s="35"/>
      <c r="BS232" s="35"/>
      <c r="BT232" s="35"/>
      <c r="BU232" s="35"/>
      <c r="BV232" s="35"/>
      <c r="BW232" s="35"/>
      <c r="BX232" s="35"/>
      <c r="BY232" s="35"/>
      <c r="BZ232" s="35"/>
      <c r="CA232" s="35"/>
      <c r="CB232" s="35"/>
      <c r="CC232" s="35"/>
      <c r="CD232" s="35"/>
      <c r="CE232" s="35"/>
      <c r="CF232" s="35"/>
      <c r="CG232" s="35"/>
      <c r="CH232" s="35"/>
      <c r="CI232" s="35"/>
      <c r="CJ232" s="35"/>
      <c r="CK232" s="35"/>
      <c r="CL232" s="35"/>
      <c r="CM232" s="35"/>
      <c r="CN232" s="35"/>
      <c r="CO232" s="35"/>
      <c r="CP232" s="35"/>
      <c r="CQ232" s="35"/>
      <c r="CR232" s="35"/>
      <c r="CS232" s="35"/>
      <c r="CT232" s="36"/>
      <c r="CU232" s="35"/>
      <c r="CV232" s="35"/>
      <c r="CW232" s="35"/>
      <c r="CX232" s="35"/>
      <c r="CY232" s="35"/>
      <c r="CZ232" s="36"/>
      <c r="DA232" s="36"/>
      <c r="DB232" s="35"/>
      <c r="DC232" s="35"/>
      <c r="DD232" s="35"/>
      <c r="DE232" s="35"/>
      <c r="DF232" s="35"/>
      <c r="DG232" s="35"/>
      <c r="DH232" s="35"/>
      <c r="DI232" s="35"/>
      <c r="DJ232" s="35"/>
      <c r="DK232" s="35"/>
      <c r="DL232" s="35"/>
      <c r="DM232" s="35"/>
      <c r="DN232" s="35"/>
      <c r="DO232" s="35"/>
      <c r="DP232" s="35"/>
      <c r="DQ232" s="35"/>
      <c r="DR232" s="35"/>
      <c r="DS232" s="35"/>
      <c r="DT232" s="35"/>
      <c r="DU232" s="35"/>
      <c r="DV232" s="35"/>
      <c r="DW232" s="35"/>
      <c r="DX232" s="35"/>
      <c r="DY232" s="35"/>
      <c r="DZ232" s="36"/>
      <c r="EA232" s="35"/>
      <c r="EB232" s="35"/>
      <c r="EC232" s="35"/>
      <c r="ED232" s="35"/>
      <c r="EE232" s="35"/>
      <c r="EF232" s="35"/>
      <c r="EG232" s="35"/>
      <c r="EH232" s="35"/>
      <c r="EI232" s="35"/>
      <c r="EJ232" s="35"/>
      <c r="EK232" s="35"/>
      <c r="EL232" s="35"/>
      <c r="EM232" s="35"/>
      <c r="EN232" s="35"/>
      <c r="EO232" s="35"/>
      <c r="EP232" s="35"/>
      <c r="EQ232" s="35"/>
      <c r="ER232" s="35"/>
      <c r="ES232" s="35"/>
      <c r="ET232" s="35"/>
      <c r="EU232" s="35"/>
      <c r="EV232" s="35"/>
      <c r="EW232" s="35"/>
      <c r="EX232" s="35"/>
      <c r="EY232" s="36"/>
      <c r="EZ232" s="35"/>
      <c r="FA232" s="35"/>
      <c r="FB232" s="35"/>
      <c r="FC232" s="35"/>
      <c r="FD232" s="35"/>
      <c r="FE232" s="35"/>
      <c r="FF232" s="35"/>
      <c r="FG232" s="35"/>
      <c r="FH232" s="35"/>
      <c r="FI232" s="35"/>
      <c r="FJ232" s="35"/>
      <c r="FK232" s="35"/>
      <c r="FL232" s="35"/>
      <c r="FM232" s="35"/>
      <c r="FN232" s="35"/>
      <c r="FO232" s="35"/>
      <c r="FP232" s="35"/>
      <c r="FQ232" s="52"/>
      <c r="FR232" s="8"/>
      <c r="FS232" s="9" t="s">
        <v>13</v>
      </c>
      <c r="FT232" s="9" t="str">
        <f t="shared" si="5254"/>
        <v>8. NSTs/ECB Development &amp; Reporting 8.1 Development</v>
      </c>
    </row>
    <row r="233" spans="1:176" s="9" customFormat="1" ht="12" customHeight="1" collapsed="1">
      <c r="A233" s="119" t="s">
        <v>97</v>
      </c>
      <c r="B233" s="127"/>
      <c r="C233" s="121" t="str">
        <f t="shared" si="5114"/>
        <v>5 days</v>
      </c>
      <c r="D233" s="27"/>
      <c r="E233" s="91" t="str">
        <f t="shared" ref="E233" si="5849">IF(SUBTOTAL(9,E234:E238)&gt;0,SUBTOTAL(9,E234:E238),"")</f>
        <v/>
      </c>
      <c r="F233" s="34" t="str">
        <f t="shared" ref="F233" si="5850">IF(SUBTOTAL(9,F234:F238)&gt;0,SUBTOTAL(9,F234:F238),"")</f>
        <v/>
      </c>
      <c r="G233" s="34" t="str">
        <f t="shared" ref="G233" si="5851">IF(SUBTOTAL(9,G234:G238)&gt;0,SUBTOTAL(9,G234:G238),"")</f>
        <v/>
      </c>
      <c r="H233" s="34" t="str">
        <f t="shared" ref="H233" si="5852">IF(SUBTOTAL(9,H234:H238)&gt;0,SUBTOTAL(9,H234:H238),"")</f>
        <v/>
      </c>
      <c r="I233" s="34" t="str">
        <f t="shared" ref="I233" si="5853">IF(SUBTOTAL(9,I234:I238)&gt;0,SUBTOTAL(9,I234:I238),"")</f>
        <v/>
      </c>
      <c r="J233" s="34" t="str">
        <f t="shared" ref="J233" si="5854">IF(SUBTOTAL(9,J234:J238)&gt;0,SUBTOTAL(9,J234:J238),"")</f>
        <v/>
      </c>
      <c r="K233" s="34" t="str">
        <f t="shared" ref="K233" si="5855">IF(SUBTOTAL(9,K234:K238)&gt;0,SUBTOTAL(9,K234:K238),"")</f>
        <v/>
      </c>
      <c r="L233" s="34" t="str">
        <f t="shared" ref="L233" si="5856">IF(SUBTOTAL(9,L234:L238)&gt;0,SUBTOTAL(9,L234:L238),"")</f>
        <v/>
      </c>
      <c r="M233" s="34" t="str">
        <f t="shared" ref="M233" si="5857">IF(SUBTOTAL(9,M234:M238)&gt;0,SUBTOTAL(9,M234:M238),"")</f>
        <v/>
      </c>
      <c r="N233" s="34" t="str">
        <f t="shared" ref="N233" si="5858">IF(SUBTOTAL(9,N234:N238)&gt;0,SUBTOTAL(9,N234:N238),"")</f>
        <v/>
      </c>
      <c r="O233" s="34" t="str">
        <f t="shared" ref="O233" si="5859">IF(SUBTOTAL(9,O234:O238)&gt;0,SUBTOTAL(9,O234:O238),"")</f>
        <v/>
      </c>
      <c r="P233" s="34" t="str">
        <f t="shared" ref="P233" si="5860">IF(SUBTOTAL(9,P234:P238)&gt;0,SUBTOTAL(9,P234:P238),"")</f>
        <v/>
      </c>
      <c r="Q233" s="34" t="str">
        <f t="shared" ref="Q233" si="5861">IF(SUBTOTAL(9,Q234:Q238)&gt;0,SUBTOTAL(9,Q234:Q238),"")</f>
        <v/>
      </c>
      <c r="R233" s="34" t="str">
        <f t="shared" ref="R233" si="5862">IF(SUBTOTAL(9,R234:R238)&gt;0,SUBTOTAL(9,R234:R238),"")</f>
        <v/>
      </c>
      <c r="S233" s="34" t="str">
        <f t="shared" ref="S233" si="5863">IF(SUBTOTAL(9,S234:S238)&gt;0,SUBTOTAL(9,S234:S238),"")</f>
        <v/>
      </c>
      <c r="T233" s="34" t="str">
        <f t="shared" ref="T233" si="5864">IF(SUBTOTAL(9,T234:T238)&gt;0,SUBTOTAL(9,T234:T238),"")</f>
        <v/>
      </c>
      <c r="U233" s="34" t="str">
        <f t="shared" ref="U233" si="5865">IF(SUBTOTAL(9,U234:U238)&gt;0,SUBTOTAL(9,U234:U238),"")</f>
        <v/>
      </c>
      <c r="V233" s="34" t="str">
        <f t="shared" ref="V233" si="5866">IF(SUBTOTAL(9,V234:V238)&gt;0,SUBTOTAL(9,V234:V238),"")</f>
        <v/>
      </c>
      <c r="W233" s="34" t="str">
        <f t="shared" ref="W233" si="5867">IF(SUBTOTAL(9,W234:W238)&gt;0,SUBTOTAL(9,W234:W238),"")</f>
        <v/>
      </c>
      <c r="X233" s="34" t="str">
        <f t="shared" ref="X233" si="5868">IF(SUBTOTAL(9,X234:X238)&gt;0,SUBTOTAL(9,X234:X238),"")</f>
        <v/>
      </c>
      <c r="Y233" s="34" t="str">
        <f t="shared" ref="Y233" si="5869">IF(SUBTOTAL(9,Y234:Y238)&gt;0,SUBTOTAL(9,Y234:Y238),"")</f>
        <v/>
      </c>
      <c r="Z233" s="34" t="str">
        <f t="shared" ref="Z233" si="5870">IF(SUBTOTAL(9,Z234:Z238)&gt;0,SUBTOTAL(9,Z234:Z238),"")</f>
        <v/>
      </c>
      <c r="AA233" s="34" t="str">
        <f t="shared" ref="AA233" si="5871">IF(SUBTOTAL(9,AA234:AA238)&gt;0,SUBTOTAL(9,AA234:AA238),"")</f>
        <v/>
      </c>
      <c r="AB233" s="34" t="str">
        <f t="shared" ref="AB233" si="5872">IF(SUBTOTAL(9,AB234:AB238)&gt;0,SUBTOTAL(9,AB234:AB238),"")</f>
        <v/>
      </c>
      <c r="AC233" s="34" t="str">
        <f t="shared" ref="AC233" si="5873">IF(SUBTOTAL(9,AC234:AC238)&gt;0,SUBTOTAL(9,AC234:AC238),"")</f>
        <v/>
      </c>
      <c r="AD233" s="34" t="str">
        <f t="shared" ref="AD233" si="5874">IF(SUBTOTAL(9,AD234:AD238)&gt;0,SUBTOTAL(9,AD234:AD238),"")</f>
        <v/>
      </c>
      <c r="AE233" s="34" t="str">
        <f t="shared" ref="AE233" si="5875">IF(SUBTOTAL(9,AE234:AE238)&gt;0,SUBTOTAL(9,AE234:AE238),"")</f>
        <v/>
      </c>
      <c r="AF233" s="34" t="str">
        <f t="shared" ref="AF233" si="5876">IF(SUBTOTAL(9,AF234:AF238)&gt;0,SUBTOTAL(9,AF234:AF238),"")</f>
        <v/>
      </c>
      <c r="AG233" s="34" t="str">
        <f t="shared" ref="AG233" si="5877">IF(SUBTOTAL(9,AG234:AG238)&gt;0,SUBTOTAL(9,AG234:AG238),"")</f>
        <v/>
      </c>
      <c r="AH233" s="34" t="str">
        <f t="shared" ref="AH233" si="5878">IF(SUBTOTAL(9,AH234:AH238)&gt;0,SUBTOTAL(9,AH234:AH238),"")</f>
        <v/>
      </c>
      <c r="AI233" s="34" t="str">
        <f t="shared" ref="AI233" si="5879">IF(SUBTOTAL(9,AI234:AI238)&gt;0,SUBTOTAL(9,AI234:AI238),"")</f>
        <v/>
      </c>
      <c r="AJ233" s="34" t="str">
        <f t="shared" ref="AJ233" si="5880">IF(SUBTOTAL(9,AJ234:AJ238)&gt;0,SUBTOTAL(9,AJ234:AJ238),"")</f>
        <v/>
      </c>
      <c r="AK233" s="34" t="str">
        <f t="shared" ref="AK233" si="5881">IF(SUBTOTAL(9,AK234:AK238)&gt;0,SUBTOTAL(9,AK234:AK238),"")</f>
        <v/>
      </c>
      <c r="AL233" s="33" t="str">
        <f t="shared" ref="AL233" si="5882">IF(SUBTOTAL(9,AL234:AL238)&gt;0,SUBTOTAL(9,AL234:AL238),"")</f>
        <v/>
      </c>
      <c r="AM233" s="33" t="str">
        <f t="shared" ref="AM233" si="5883">IF(SUBTOTAL(9,AM234:AM238)&gt;0,SUBTOTAL(9,AM234:AM238),"")</f>
        <v/>
      </c>
      <c r="AN233" s="33" t="str">
        <f t="shared" ref="AN233" si="5884">IF(SUBTOTAL(9,AN234:AN238)&gt;0,SUBTOTAL(9,AN234:AN238),"")</f>
        <v/>
      </c>
      <c r="AO233" s="33" t="str">
        <f t="shared" ref="AO233" si="5885">IF(SUBTOTAL(9,AO234:AO238)&gt;0,SUBTOTAL(9,AO234:AO238),"")</f>
        <v/>
      </c>
      <c r="AP233" s="33" t="str">
        <f t="shared" ref="AP233" si="5886">IF(SUBTOTAL(9,AP234:AP238)&gt;0,SUBTOTAL(9,AP234:AP238),"")</f>
        <v/>
      </c>
      <c r="AQ233" s="33" t="str">
        <f t="shared" ref="AQ233" si="5887">IF(SUBTOTAL(9,AQ234:AQ238)&gt;0,SUBTOTAL(9,AQ234:AQ238),"")</f>
        <v/>
      </c>
      <c r="AR233" s="33" t="str">
        <f t="shared" ref="AR233" si="5888">IF(SUBTOTAL(9,AR234:AR238)&gt;0,SUBTOTAL(9,AR234:AR238),"")</f>
        <v/>
      </c>
      <c r="AS233" s="34" t="str">
        <f t="shared" ref="AS233" si="5889">IF(SUBTOTAL(9,AS234:AS238)&gt;0,SUBTOTAL(9,AS234:AS238),"")</f>
        <v/>
      </c>
      <c r="AT233" s="34" t="str">
        <f t="shared" ref="AT233" si="5890">IF(SUBTOTAL(9,AT234:AT238)&gt;0,SUBTOTAL(9,AT234:AT238),"")</f>
        <v/>
      </c>
      <c r="AU233" s="34" t="str">
        <f t="shared" ref="AU233" si="5891">IF(SUBTOTAL(9,AU234:AU238)&gt;0,SUBTOTAL(9,AU234:AU238),"")</f>
        <v/>
      </c>
      <c r="AV233" s="34" t="str">
        <f t="shared" ref="AV233" si="5892">IF(SUBTOTAL(9,AV234:AV238)&gt;0,SUBTOTAL(9,AV234:AV238),"")</f>
        <v/>
      </c>
      <c r="AW233" s="34" t="str">
        <f t="shared" ref="AW233" si="5893">IF(SUBTOTAL(9,AW234:AW238)&gt;0,SUBTOTAL(9,AW234:AW238),"")</f>
        <v/>
      </c>
      <c r="AX233" s="34" t="str">
        <f t="shared" ref="AX233" si="5894">IF(SUBTOTAL(9,AX234:AX238)&gt;0,SUBTOTAL(9,AX234:AX238),"")</f>
        <v/>
      </c>
      <c r="AY233" s="34" t="str">
        <f t="shared" ref="AY233" si="5895">IF(SUBTOTAL(9,AY234:AY238)&gt;0,SUBTOTAL(9,AY234:AY238),"")</f>
        <v/>
      </c>
      <c r="AZ233" s="34" t="str">
        <f t="shared" ref="AZ233" si="5896">IF(SUBTOTAL(9,AZ234:AZ238)&gt;0,SUBTOTAL(9,AZ234:AZ238),"")</f>
        <v/>
      </c>
      <c r="BA233" s="34" t="str">
        <f t="shared" ref="BA233" si="5897">IF(SUBTOTAL(9,BA234:BA238)&gt;0,SUBTOTAL(9,BA234:BA238),"")</f>
        <v/>
      </c>
      <c r="BB233" s="34" t="str">
        <f t="shared" ref="BB233" si="5898">IF(SUBTOTAL(9,BB234:BB238)&gt;0,SUBTOTAL(9,BB234:BB238),"")</f>
        <v/>
      </c>
      <c r="BC233" s="34" t="str">
        <f t="shared" ref="BC233" si="5899">IF(SUBTOTAL(9,BC234:BC238)&gt;0,SUBTOTAL(9,BC234:BC238),"")</f>
        <v/>
      </c>
      <c r="BD233" s="34" t="str">
        <f t="shared" ref="BD233" si="5900">IF(SUBTOTAL(9,BD234:BD238)&gt;0,SUBTOTAL(9,BD234:BD238),"")</f>
        <v/>
      </c>
      <c r="BE233" s="34" t="str">
        <f t="shared" ref="BE233" si="5901">IF(SUBTOTAL(9,BE234:BE238)&gt;0,SUBTOTAL(9,BE234:BE238),"")</f>
        <v/>
      </c>
      <c r="BF233" s="34" t="str">
        <f t="shared" ref="BF233" si="5902">IF(SUBTOTAL(9,BF234:BF238)&gt;0,SUBTOTAL(9,BF234:BF238),"")</f>
        <v/>
      </c>
      <c r="BG233" s="34" t="str">
        <f t="shared" ref="BG233" si="5903">IF(SUBTOTAL(9,BG234:BG238)&gt;0,SUBTOTAL(9,BG234:BG238),"")</f>
        <v/>
      </c>
      <c r="BH233" s="34" t="str">
        <f t="shared" ref="BH233" si="5904">IF(SUBTOTAL(9,BH234:BH238)&gt;0,SUBTOTAL(9,BH234:BH238),"")</f>
        <v/>
      </c>
      <c r="BI233" s="34" t="str">
        <f t="shared" ref="BI233" si="5905">IF(SUBTOTAL(9,BI234:BI238)&gt;0,SUBTOTAL(9,BI234:BI238),"")</f>
        <v/>
      </c>
      <c r="BJ233" s="34" t="str">
        <f t="shared" ref="BJ233" si="5906">IF(SUBTOTAL(9,BJ234:BJ238)&gt;0,SUBTOTAL(9,BJ234:BJ238),"")</f>
        <v/>
      </c>
      <c r="BK233" s="34" t="str">
        <f t="shared" ref="BK233" si="5907">IF(SUBTOTAL(9,BK234:BK238)&gt;0,SUBTOTAL(9,BK234:BK238),"")</f>
        <v/>
      </c>
      <c r="BL233" s="34" t="str">
        <f t="shared" ref="BL233" si="5908">IF(SUBTOTAL(9,BL234:BL238)&gt;0,SUBTOTAL(9,BL234:BL238),"")</f>
        <v/>
      </c>
      <c r="BM233" s="34" t="str">
        <f t="shared" ref="BM233" si="5909">IF(SUBTOTAL(9,BM234:BM238)&gt;0,SUBTOTAL(9,BM234:BM238),"")</f>
        <v/>
      </c>
      <c r="BN233" s="34" t="str">
        <f t="shared" ref="BN233" si="5910">IF(SUBTOTAL(9,BN234:BN238)&gt;0,SUBTOTAL(9,BN234:BN238),"")</f>
        <v/>
      </c>
      <c r="BO233" s="34" t="str">
        <f t="shared" ref="BO233" si="5911">IF(SUBTOTAL(9,BO234:BO238)&gt;0,SUBTOTAL(9,BO234:BO238),"")</f>
        <v/>
      </c>
      <c r="BP233" s="34" t="str">
        <f t="shared" ref="BP233" si="5912">IF(SUBTOTAL(9,BP234:BP238)&gt;0,SUBTOTAL(9,BP234:BP238),"")</f>
        <v/>
      </c>
      <c r="BQ233" s="34" t="str">
        <f t="shared" ref="BQ233" si="5913">IF(SUBTOTAL(9,BQ234:BQ238)&gt;0,SUBTOTAL(9,BQ234:BQ238),"")</f>
        <v/>
      </c>
      <c r="BR233" s="34" t="str">
        <f t="shared" ref="BR233" si="5914">IF(SUBTOTAL(9,BR234:BR238)&gt;0,SUBTOTAL(9,BR234:BR238),"")</f>
        <v/>
      </c>
      <c r="BS233" s="34" t="str">
        <f t="shared" ref="BS233" si="5915">IF(SUBTOTAL(9,BS234:BS238)&gt;0,SUBTOTAL(9,BS234:BS238),"")</f>
        <v/>
      </c>
      <c r="BT233" s="34" t="str">
        <f t="shared" ref="BT233" si="5916">IF(SUBTOTAL(9,BT234:BT238)&gt;0,SUBTOTAL(9,BT234:BT238),"")</f>
        <v/>
      </c>
      <c r="BU233" s="34" t="str">
        <f t="shared" ref="BU233" si="5917">IF(SUBTOTAL(9,BU234:BU238)&gt;0,SUBTOTAL(9,BU234:BU238),"")</f>
        <v/>
      </c>
      <c r="BV233" s="34" t="str">
        <f t="shared" ref="BV233" si="5918">IF(SUBTOTAL(9,BV234:BV238)&gt;0,SUBTOTAL(9,BV234:BV238),"")</f>
        <v/>
      </c>
      <c r="BW233" s="34" t="str">
        <f t="shared" ref="BW233" si="5919">IF(SUBTOTAL(9,BW234:BW238)&gt;0,SUBTOTAL(9,BW234:BW238),"")</f>
        <v/>
      </c>
      <c r="BX233" s="34" t="str">
        <f t="shared" ref="BX233" si="5920">IF(SUBTOTAL(9,BX234:BX238)&gt;0,SUBTOTAL(9,BX234:BX238),"")</f>
        <v/>
      </c>
      <c r="BY233" s="34" t="str">
        <f t="shared" ref="BY233" si="5921">IF(SUBTOTAL(9,BY234:BY238)&gt;0,SUBTOTAL(9,BY234:BY238),"")</f>
        <v/>
      </c>
      <c r="BZ233" s="34" t="str">
        <f t="shared" ref="BZ233" si="5922">IF(SUBTOTAL(9,BZ234:BZ238)&gt;0,SUBTOTAL(9,BZ234:BZ238),"")</f>
        <v/>
      </c>
      <c r="CA233" s="34" t="str">
        <f t="shared" ref="CA233" si="5923">IF(SUBTOTAL(9,CA234:CA238)&gt;0,SUBTOTAL(9,CA234:CA238),"")</f>
        <v/>
      </c>
      <c r="CB233" s="34" t="str">
        <f t="shared" ref="CB233" si="5924">IF(SUBTOTAL(9,CB234:CB238)&gt;0,SUBTOTAL(9,CB234:CB238),"")</f>
        <v/>
      </c>
      <c r="CC233" s="34" t="str">
        <f t="shared" ref="CC233" si="5925">IF(SUBTOTAL(9,CC234:CC238)&gt;0,SUBTOTAL(9,CC234:CC238),"")</f>
        <v/>
      </c>
      <c r="CD233" s="34" t="str">
        <f t="shared" ref="CD233" si="5926">IF(SUBTOTAL(9,CD234:CD238)&gt;0,SUBTOTAL(9,CD234:CD238),"")</f>
        <v/>
      </c>
      <c r="CE233" s="34" t="str">
        <f t="shared" ref="CE233" si="5927">IF(SUBTOTAL(9,CE234:CE238)&gt;0,SUBTOTAL(9,CE234:CE238),"")</f>
        <v/>
      </c>
      <c r="CF233" s="34" t="str">
        <f t="shared" ref="CF233:CG233" si="5928">IF(SUBTOTAL(9,CF234:CF238)&gt;0,SUBTOTAL(9,CF234:CF238),"")</f>
        <v/>
      </c>
      <c r="CG233" s="34" t="str">
        <f t="shared" si="5928"/>
        <v/>
      </c>
      <c r="CH233" s="34" t="str">
        <f t="shared" ref="CH233" si="5929">IF(SUBTOTAL(9,CH234:CH238)&gt;0,SUBTOTAL(9,CH234:CH238),"")</f>
        <v/>
      </c>
      <c r="CI233" s="34" t="str">
        <f t="shared" ref="CI233" si="5930">IF(SUBTOTAL(9,CI234:CI238)&gt;0,SUBTOTAL(9,CI234:CI238),"")</f>
        <v/>
      </c>
      <c r="CJ233" s="34" t="str">
        <f t="shared" ref="CJ233" si="5931">IF(SUBTOTAL(9,CJ234:CJ238)&gt;0,SUBTOTAL(9,CJ234:CJ238),"")</f>
        <v/>
      </c>
      <c r="CK233" s="34" t="str">
        <f t="shared" ref="CK233" si="5932">IF(SUBTOTAL(9,CK234:CK238)&gt;0,SUBTOTAL(9,CK234:CK238),"")</f>
        <v/>
      </c>
      <c r="CL233" s="34" t="str">
        <f t="shared" ref="CL233" si="5933">IF(SUBTOTAL(9,CL234:CL238)&gt;0,SUBTOTAL(9,CL234:CL238),"")</f>
        <v/>
      </c>
      <c r="CM233" s="34" t="str">
        <f t="shared" ref="CM233" si="5934">IF(SUBTOTAL(9,CM234:CM238)&gt;0,SUBTOTAL(9,CM234:CM238),"")</f>
        <v/>
      </c>
      <c r="CN233" s="34" t="str">
        <f t="shared" ref="CN233" si="5935">IF(SUBTOTAL(9,CN234:CN238)&gt;0,SUBTOTAL(9,CN234:CN238),"")</f>
        <v/>
      </c>
      <c r="CO233" s="34" t="str">
        <f t="shared" ref="CO233" si="5936">IF(SUBTOTAL(9,CO234:CO238)&gt;0,SUBTOTAL(9,CO234:CO238),"")</f>
        <v/>
      </c>
      <c r="CP233" s="34" t="str">
        <f t="shared" ref="CP233" si="5937">IF(SUBTOTAL(9,CP234:CP238)&gt;0,SUBTOTAL(9,CP234:CP238),"")</f>
        <v/>
      </c>
      <c r="CQ233" s="34" t="str">
        <f t="shared" ref="CQ233" si="5938">IF(SUBTOTAL(9,CQ234:CQ238)&gt;0,SUBTOTAL(9,CQ234:CQ238),"")</f>
        <v/>
      </c>
      <c r="CR233" s="34" t="str">
        <f t="shared" ref="CR233" si="5939">IF(SUBTOTAL(9,CR234:CR238)&gt;0,SUBTOTAL(9,CR234:CR238),"")</f>
        <v/>
      </c>
      <c r="CS233" s="34" t="str">
        <f t="shared" ref="CS233" si="5940">IF(SUBTOTAL(9,CS234:CS238)&gt;0,SUBTOTAL(9,CS234:CS238),"")</f>
        <v/>
      </c>
      <c r="CT233" s="33" t="str">
        <f t="shared" ref="CT233" si="5941">IF(SUBTOTAL(9,CT234:CT238)&gt;0,SUBTOTAL(9,CT234:CT238),"")</f>
        <v/>
      </c>
      <c r="CU233" s="34" t="str">
        <f t="shared" ref="CU233" si="5942">IF(SUBTOTAL(9,CU234:CU238)&gt;0,SUBTOTAL(9,CU234:CU238),"")</f>
        <v/>
      </c>
      <c r="CV233" s="34" t="str">
        <f t="shared" ref="CV233" si="5943">IF(SUBTOTAL(9,CV234:CV238)&gt;0,SUBTOTAL(9,CV234:CV238),"")</f>
        <v/>
      </c>
      <c r="CW233" s="34" t="str">
        <f t="shared" ref="CW233" si="5944">IF(SUBTOTAL(9,CW234:CW238)&gt;0,SUBTOTAL(9,CW234:CW238),"")</f>
        <v/>
      </c>
      <c r="CX233" s="34" t="str">
        <f t="shared" ref="CX233" si="5945">IF(SUBTOTAL(9,CX234:CX238)&gt;0,SUBTOTAL(9,CX234:CX238),"")</f>
        <v/>
      </c>
      <c r="CY233" s="34" t="str">
        <f t="shared" ref="CY233" si="5946">IF(SUBTOTAL(9,CY234:CY238)&gt;0,SUBTOTAL(9,CY234:CY238),"")</f>
        <v/>
      </c>
      <c r="CZ233" s="33" t="str">
        <f t="shared" ref="CZ233" si="5947">IF(SUBTOTAL(9,CZ234:CZ238)&gt;0,SUBTOTAL(9,CZ234:CZ238),"")</f>
        <v/>
      </c>
      <c r="DA233" s="33" t="str">
        <f t="shared" ref="DA233" si="5948">IF(SUBTOTAL(9,DA234:DA238)&gt;0,SUBTOTAL(9,DA234:DA238),"")</f>
        <v/>
      </c>
      <c r="DB233" s="34" t="str">
        <f t="shared" ref="DB233" si="5949">IF(SUBTOTAL(9,DB234:DB238)&gt;0,SUBTOTAL(9,DB234:DB238),"")</f>
        <v/>
      </c>
      <c r="DC233" s="34" t="str">
        <f t="shared" ref="DC233" si="5950">IF(SUBTOTAL(9,DC234:DC238)&gt;0,SUBTOTAL(9,DC234:DC238),"")</f>
        <v/>
      </c>
      <c r="DD233" s="34" t="str">
        <f t="shared" ref="DD233" si="5951">IF(SUBTOTAL(9,DD234:DD238)&gt;0,SUBTOTAL(9,DD234:DD238),"")</f>
        <v/>
      </c>
      <c r="DE233" s="34" t="str">
        <f t="shared" ref="DE233" si="5952">IF(SUBTOTAL(9,DE234:DE238)&gt;0,SUBTOTAL(9,DE234:DE238),"")</f>
        <v/>
      </c>
      <c r="DF233" s="34">
        <f t="shared" ref="DF233:DO233" si="5953">IF(SUBTOTAL(9,DF234:DF238)&gt;0,SUBTOTAL(9,DF234:DF238),"")</f>
        <v>1</v>
      </c>
      <c r="DG233" s="34">
        <f t="shared" si="5953"/>
        <v>1</v>
      </c>
      <c r="DH233" s="34">
        <f t="shared" si="5953"/>
        <v>1</v>
      </c>
      <c r="DI233" s="34">
        <f t="shared" si="5953"/>
        <v>1</v>
      </c>
      <c r="DJ233" s="34">
        <f t="shared" si="5953"/>
        <v>1</v>
      </c>
      <c r="DK233" s="34" t="str">
        <f t="shared" si="5953"/>
        <v/>
      </c>
      <c r="DL233" s="34" t="str">
        <f t="shared" si="5953"/>
        <v/>
      </c>
      <c r="DM233" s="34" t="str">
        <f t="shared" si="5953"/>
        <v/>
      </c>
      <c r="DN233" s="34" t="str">
        <f t="shared" si="5953"/>
        <v/>
      </c>
      <c r="DO233" s="34" t="str">
        <f t="shared" si="5953"/>
        <v/>
      </c>
      <c r="DP233" s="34" t="str">
        <f t="shared" ref="DP233" si="5954">IF(SUBTOTAL(9,DP234:DP238)&gt;0,SUBTOTAL(9,DP234:DP238),"")</f>
        <v/>
      </c>
      <c r="DQ233" s="34" t="str">
        <f t="shared" ref="DQ233" si="5955">IF(SUBTOTAL(9,DQ234:DQ238)&gt;0,SUBTOTAL(9,DQ234:DQ238),"")</f>
        <v/>
      </c>
      <c r="DR233" s="34" t="str">
        <f t="shared" ref="DR233" si="5956">IF(SUBTOTAL(9,DR234:DR238)&gt;0,SUBTOTAL(9,DR234:DR238),"")</f>
        <v/>
      </c>
      <c r="DS233" s="34" t="str">
        <f t="shared" ref="DS233" si="5957">IF(SUBTOTAL(9,DS234:DS238)&gt;0,SUBTOTAL(9,DS234:DS238),"")</f>
        <v/>
      </c>
      <c r="DT233" s="34" t="str">
        <f t="shared" ref="DT233" si="5958">IF(SUBTOTAL(9,DT234:DT238)&gt;0,SUBTOTAL(9,DT234:DT238),"")</f>
        <v/>
      </c>
      <c r="DU233" s="34" t="str">
        <f t="shared" ref="DU233" si="5959">IF(SUBTOTAL(9,DU234:DU238)&gt;0,SUBTOTAL(9,DU234:DU238),"")</f>
        <v/>
      </c>
      <c r="DV233" s="34" t="str">
        <f t="shared" ref="DV233" si="5960">IF(SUBTOTAL(9,DV234:DV238)&gt;0,SUBTOTAL(9,DV234:DV238),"")</f>
        <v/>
      </c>
      <c r="DW233" s="34" t="str">
        <f t="shared" ref="DW233" si="5961">IF(SUBTOTAL(9,DW234:DW238)&gt;0,SUBTOTAL(9,DW234:DW238),"")</f>
        <v/>
      </c>
      <c r="DX233" s="34" t="str">
        <f t="shared" ref="DX233" si="5962">IF(SUBTOTAL(9,DX234:DX238)&gt;0,SUBTOTAL(9,DX234:DX238),"")</f>
        <v/>
      </c>
      <c r="DY233" s="34" t="str">
        <f t="shared" ref="DY233" si="5963">IF(SUBTOTAL(9,DY234:DY238)&gt;0,SUBTOTAL(9,DY234:DY238),"")</f>
        <v/>
      </c>
      <c r="DZ233" s="33" t="str">
        <f t="shared" ref="DZ233" si="5964">IF(SUBTOTAL(9,DZ234:DZ238)&gt;0,SUBTOTAL(9,DZ234:DZ238),"")</f>
        <v/>
      </c>
      <c r="EA233" s="34" t="str">
        <f t="shared" ref="EA233" si="5965">IF(SUBTOTAL(9,EA234:EA238)&gt;0,SUBTOTAL(9,EA234:EA238),"")</f>
        <v/>
      </c>
      <c r="EB233" s="34" t="str">
        <f t="shared" ref="EB233" si="5966">IF(SUBTOTAL(9,EB234:EB238)&gt;0,SUBTOTAL(9,EB234:EB238),"")</f>
        <v/>
      </c>
      <c r="EC233" s="34" t="str">
        <f t="shared" ref="EC233" si="5967">IF(SUBTOTAL(9,EC234:EC238)&gt;0,SUBTOTAL(9,EC234:EC238),"")</f>
        <v/>
      </c>
      <c r="ED233" s="34" t="str">
        <f t="shared" ref="ED233" si="5968">IF(SUBTOTAL(9,ED234:ED238)&gt;0,SUBTOTAL(9,ED234:ED238),"")</f>
        <v/>
      </c>
      <c r="EE233" s="34" t="str">
        <f t="shared" ref="EE233" si="5969">IF(SUBTOTAL(9,EE234:EE238)&gt;0,SUBTOTAL(9,EE234:EE238),"")</f>
        <v/>
      </c>
      <c r="EF233" s="34" t="str">
        <f t="shared" ref="EF233" si="5970">IF(SUBTOTAL(9,EF234:EF238)&gt;0,SUBTOTAL(9,EF234:EF238),"")</f>
        <v/>
      </c>
      <c r="EG233" s="34" t="str">
        <f t="shared" ref="EG233" si="5971">IF(SUBTOTAL(9,EG234:EG238)&gt;0,SUBTOTAL(9,EG234:EG238),"")</f>
        <v/>
      </c>
      <c r="EH233" s="34" t="str">
        <f t="shared" ref="EH233" si="5972">IF(SUBTOTAL(9,EH234:EH238)&gt;0,SUBTOTAL(9,EH234:EH238),"")</f>
        <v/>
      </c>
      <c r="EI233" s="34" t="str">
        <f t="shared" ref="EI233" si="5973">IF(SUBTOTAL(9,EI234:EI238)&gt;0,SUBTOTAL(9,EI234:EI238),"")</f>
        <v/>
      </c>
      <c r="EJ233" s="34" t="str">
        <f t="shared" ref="EJ233" si="5974">IF(SUBTOTAL(9,EJ234:EJ238)&gt;0,SUBTOTAL(9,EJ234:EJ238),"")</f>
        <v/>
      </c>
      <c r="EK233" s="34" t="str">
        <f t="shared" ref="EK233" si="5975">IF(SUBTOTAL(9,EK234:EK238)&gt;0,SUBTOTAL(9,EK234:EK238),"")</f>
        <v/>
      </c>
      <c r="EL233" s="34" t="str">
        <f t="shared" ref="EL233" si="5976">IF(SUBTOTAL(9,EL234:EL238)&gt;0,SUBTOTAL(9,EL234:EL238),"")</f>
        <v/>
      </c>
      <c r="EM233" s="34" t="str">
        <f t="shared" ref="EM233" si="5977">IF(SUBTOTAL(9,EM234:EM238)&gt;0,SUBTOTAL(9,EM234:EM238),"")</f>
        <v/>
      </c>
      <c r="EN233" s="34" t="str">
        <f t="shared" ref="EN233" si="5978">IF(SUBTOTAL(9,EN234:EN238)&gt;0,SUBTOTAL(9,EN234:EN238),"")</f>
        <v/>
      </c>
      <c r="EO233" s="34" t="str">
        <f t="shared" ref="EO233" si="5979">IF(SUBTOTAL(9,EO234:EO238)&gt;0,SUBTOTAL(9,EO234:EO238),"")</f>
        <v/>
      </c>
      <c r="EP233" s="34" t="str">
        <f t="shared" ref="EP233" si="5980">IF(SUBTOTAL(9,EP234:EP238)&gt;0,SUBTOTAL(9,EP234:EP238),"")</f>
        <v/>
      </c>
      <c r="EQ233" s="34" t="str">
        <f t="shared" ref="EQ233" si="5981">IF(SUBTOTAL(9,EQ234:EQ238)&gt;0,SUBTOTAL(9,EQ234:EQ238),"")</f>
        <v/>
      </c>
      <c r="ER233" s="34" t="str">
        <f t="shared" ref="ER233" si="5982">IF(SUBTOTAL(9,ER234:ER238)&gt;0,SUBTOTAL(9,ER234:ER238),"")</f>
        <v/>
      </c>
      <c r="ES233" s="34" t="str">
        <f t="shared" ref="ES233" si="5983">IF(SUBTOTAL(9,ES234:ES238)&gt;0,SUBTOTAL(9,ES234:ES238),"")</f>
        <v/>
      </c>
      <c r="ET233" s="34" t="str">
        <f t="shared" ref="ET233" si="5984">IF(SUBTOTAL(9,ET234:ET238)&gt;0,SUBTOTAL(9,ET234:ET238),"")</f>
        <v/>
      </c>
      <c r="EU233" s="34" t="str">
        <f t="shared" ref="EU233" si="5985">IF(SUBTOTAL(9,EU234:EU238)&gt;0,SUBTOTAL(9,EU234:EU238),"")</f>
        <v/>
      </c>
      <c r="EV233" s="34" t="str">
        <f t="shared" ref="EV233" si="5986">IF(SUBTOTAL(9,EV234:EV238)&gt;0,SUBTOTAL(9,EV234:EV238),"")</f>
        <v/>
      </c>
      <c r="EW233" s="34" t="str">
        <f t="shared" ref="EW233" si="5987">IF(SUBTOTAL(9,EW234:EW238)&gt;0,SUBTOTAL(9,EW234:EW238),"")</f>
        <v/>
      </c>
      <c r="EX233" s="34" t="str">
        <f t="shared" ref="EX233" si="5988">IF(SUBTOTAL(9,EX234:EX238)&gt;0,SUBTOTAL(9,EX234:EX238),"")</f>
        <v/>
      </c>
      <c r="EY233" s="33" t="str">
        <f t="shared" ref="EY233" si="5989">IF(SUBTOTAL(9,EY234:EY238)&gt;0,SUBTOTAL(9,EY234:EY238),"")</f>
        <v/>
      </c>
      <c r="EZ233" s="34" t="str">
        <f t="shared" ref="EZ233" si="5990">IF(SUBTOTAL(9,EZ234:EZ238)&gt;0,SUBTOTAL(9,EZ234:EZ238),"")</f>
        <v/>
      </c>
      <c r="FA233" s="34" t="str">
        <f t="shared" ref="FA233" si="5991">IF(SUBTOTAL(9,FA234:FA238)&gt;0,SUBTOTAL(9,FA234:FA238),"")</f>
        <v/>
      </c>
      <c r="FB233" s="34" t="str">
        <f t="shared" ref="FB233" si="5992">IF(SUBTOTAL(9,FB234:FB238)&gt;0,SUBTOTAL(9,FB234:FB238),"")</f>
        <v/>
      </c>
      <c r="FC233" s="34" t="str">
        <f t="shared" ref="FC233" si="5993">IF(SUBTOTAL(9,FC234:FC238)&gt;0,SUBTOTAL(9,FC234:FC238),"")</f>
        <v/>
      </c>
      <c r="FD233" s="34" t="str">
        <f t="shared" ref="FD233" si="5994">IF(SUBTOTAL(9,FD234:FD238)&gt;0,SUBTOTAL(9,FD234:FD238),"")</f>
        <v/>
      </c>
      <c r="FE233" s="34" t="str">
        <f t="shared" ref="FE233" si="5995">IF(SUBTOTAL(9,FE234:FE238)&gt;0,SUBTOTAL(9,FE234:FE238),"")</f>
        <v/>
      </c>
      <c r="FF233" s="34" t="str">
        <f t="shared" ref="FF233" si="5996">IF(SUBTOTAL(9,FF234:FF238)&gt;0,SUBTOTAL(9,FF234:FF238),"")</f>
        <v/>
      </c>
      <c r="FG233" s="34" t="str">
        <f t="shared" ref="FG233" si="5997">IF(SUBTOTAL(9,FG234:FG238)&gt;0,SUBTOTAL(9,FG234:FG238),"")</f>
        <v/>
      </c>
      <c r="FH233" s="34" t="str">
        <f t="shared" ref="FH233" si="5998">IF(SUBTOTAL(9,FH234:FH238)&gt;0,SUBTOTAL(9,FH234:FH238),"")</f>
        <v/>
      </c>
      <c r="FI233" s="34" t="str">
        <f t="shared" ref="FI233" si="5999">IF(SUBTOTAL(9,FI234:FI238)&gt;0,SUBTOTAL(9,FI234:FI238),"")</f>
        <v/>
      </c>
      <c r="FJ233" s="34" t="str">
        <f t="shared" ref="FJ233" si="6000">IF(SUBTOTAL(9,FJ234:FJ238)&gt;0,SUBTOTAL(9,FJ234:FJ238),"")</f>
        <v/>
      </c>
      <c r="FK233" s="34" t="str">
        <f t="shared" ref="FK233" si="6001">IF(SUBTOTAL(9,FK234:FK238)&gt;0,SUBTOTAL(9,FK234:FK238),"")</f>
        <v/>
      </c>
      <c r="FL233" s="34" t="str">
        <f t="shared" ref="FL233" si="6002">IF(SUBTOTAL(9,FL234:FL238)&gt;0,SUBTOTAL(9,FL234:FL238),"")</f>
        <v/>
      </c>
      <c r="FM233" s="34" t="str">
        <f t="shared" ref="FM233" si="6003">IF(SUBTOTAL(9,FM234:FM238)&gt;0,SUBTOTAL(9,FM234:FM238),"")</f>
        <v/>
      </c>
      <c r="FN233" s="34" t="str">
        <f t="shared" ref="FN233" si="6004">IF(SUBTOTAL(9,FN234:FN238)&gt;0,SUBTOTAL(9,FN234:FN238),"")</f>
        <v/>
      </c>
      <c r="FO233" s="34" t="str">
        <f t="shared" ref="FO233" si="6005">IF(SUBTOTAL(9,FO234:FO238)&gt;0,SUBTOTAL(9,FO234:FO238),"")</f>
        <v/>
      </c>
      <c r="FP233" s="34" t="str">
        <f t="shared" ref="FP233" si="6006">IF(SUBTOTAL(9,FP234:FP238)&gt;0,SUBTOTAL(9,FP234:FP238),"")</f>
        <v/>
      </c>
      <c r="FQ233" s="92" t="str">
        <f t="shared" ref="FQ233" si="6007">IF(SUBTOTAL(9,FQ234:FQ238)&gt;0,SUBTOTAL(9,FQ234:FQ238),"")</f>
        <v/>
      </c>
      <c r="FR233" s="8"/>
      <c r="FS233" s="9" t="s">
        <v>131</v>
      </c>
      <c r="FT233" s="9" t="str">
        <f t="shared" si="5254"/>
        <v/>
      </c>
    </row>
    <row r="234" spans="1:176" s="9" customFormat="1" ht="12" hidden="1" customHeight="1" outlineLevel="1">
      <c r="A234" s="122" t="s">
        <v>4</v>
      </c>
      <c r="B234" s="123" t="s">
        <v>16</v>
      </c>
      <c r="C234" s="124" t="str">
        <f t="shared" si="5114"/>
        <v>5 days</v>
      </c>
      <c r="D234" s="13" t="str">
        <f>A226&amp;" "&amp;A233</f>
        <v>8. NSTs/ECB Development &amp; Reporting 8.2 Preparation</v>
      </c>
      <c r="E234" s="51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E234" s="35"/>
      <c r="AF234" s="35"/>
      <c r="AG234" s="35"/>
      <c r="AH234" s="35"/>
      <c r="AI234" s="35"/>
      <c r="AJ234" s="35"/>
      <c r="AK234" s="35"/>
      <c r="AL234" s="36"/>
      <c r="AM234" s="36"/>
      <c r="AN234" s="36"/>
      <c r="AO234" s="36"/>
      <c r="AP234" s="36"/>
      <c r="AQ234" s="36"/>
      <c r="AR234" s="36"/>
      <c r="AS234" s="35"/>
      <c r="AT234" s="35"/>
      <c r="AU234" s="35"/>
      <c r="AV234" s="35"/>
      <c r="AW234" s="35"/>
      <c r="AX234" s="35"/>
      <c r="AY234" s="35"/>
      <c r="AZ234" s="35"/>
      <c r="BA234" s="35"/>
      <c r="BB234" s="35"/>
      <c r="BC234" s="35"/>
      <c r="BD234" s="35"/>
      <c r="BE234" s="35"/>
      <c r="BF234" s="35"/>
      <c r="BG234" s="35"/>
      <c r="BH234" s="35"/>
      <c r="BI234" s="35"/>
      <c r="BJ234" s="35"/>
      <c r="BK234" s="35"/>
      <c r="BL234" s="35"/>
      <c r="BM234" s="35"/>
      <c r="BN234" s="35"/>
      <c r="BO234" s="35"/>
      <c r="BP234" s="35"/>
      <c r="BQ234" s="35"/>
      <c r="BR234" s="35"/>
      <c r="BS234" s="35"/>
      <c r="BT234" s="35"/>
      <c r="BU234" s="35"/>
      <c r="BV234" s="35"/>
      <c r="BW234" s="35"/>
      <c r="BX234" s="35"/>
      <c r="BY234" s="35"/>
      <c r="BZ234" s="35"/>
      <c r="CA234" s="35"/>
      <c r="CB234" s="35"/>
      <c r="CC234" s="35"/>
      <c r="CD234" s="35"/>
      <c r="CE234" s="35"/>
      <c r="CF234" s="35"/>
      <c r="CG234" s="35"/>
      <c r="CH234" s="35"/>
      <c r="CI234" s="35"/>
      <c r="CJ234" s="35"/>
      <c r="CK234" s="35"/>
      <c r="CL234" s="35"/>
      <c r="CM234" s="35"/>
      <c r="CN234" s="35"/>
      <c r="CO234" s="35"/>
      <c r="CP234" s="35"/>
      <c r="CQ234" s="35"/>
      <c r="CR234" s="35"/>
      <c r="CS234" s="35"/>
      <c r="CT234" s="36"/>
      <c r="CU234" s="35"/>
      <c r="CV234" s="35"/>
      <c r="CW234" s="35"/>
      <c r="CX234" s="35"/>
      <c r="CY234" s="35"/>
      <c r="CZ234" s="36"/>
      <c r="DA234" s="36"/>
      <c r="DB234" s="35"/>
      <c r="DC234" s="35"/>
      <c r="DD234" s="35"/>
      <c r="DE234" s="35"/>
      <c r="DF234" s="35">
        <v>1</v>
      </c>
      <c r="DG234" s="35">
        <v>1</v>
      </c>
      <c r="DH234" s="35">
        <v>1</v>
      </c>
      <c r="DI234" s="35">
        <v>1</v>
      </c>
      <c r="DJ234" s="35">
        <v>1</v>
      </c>
      <c r="DK234" s="93"/>
      <c r="DL234" s="93"/>
      <c r="DM234" s="93"/>
      <c r="DN234" s="93"/>
      <c r="DO234" s="93"/>
      <c r="DP234" s="35"/>
      <c r="DQ234" s="35"/>
      <c r="DR234" s="35"/>
      <c r="DS234" s="93"/>
      <c r="DT234" s="93"/>
      <c r="DU234" s="93"/>
      <c r="DV234" s="93"/>
      <c r="DW234" s="93"/>
      <c r="DX234" s="35"/>
      <c r="DY234" s="35"/>
      <c r="DZ234" s="36"/>
      <c r="EA234" s="35"/>
      <c r="EB234" s="35"/>
      <c r="EC234" s="35"/>
      <c r="ED234" s="35"/>
      <c r="EE234" s="35"/>
      <c r="EF234" s="35"/>
      <c r="EG234" s="35"/>
      <c r="EH234" s="35"/>
      <c r="EI234" s="35"/>
      <c r="EJ234" s="35"/>
      <c r="EK234" s="35"/>
      <c r="EL234" s="35"/>
      <c r="EM234" s="35"/>
      <c r="EN234" s="35"/>
      <c r="EO234" s="35"/>
      <c r="EP234" s="35"/>
      <c r="EQ234" s="35"/>
      <c r="ER234" s="35"/>
      <c r="ES234" s="35"/>
      <c r="ET234" s="35"/>
      <c r="EU234" s="35"/>
      <c r="EV234" s="35"/>
      <c r="EW234" s="35"/>
      <c r="EX234" s="35"/>
      <c r="EY234" s="36"/>
      <c r="EZ234" s="35"/>
      <c r="FA234" s="35"/>
      <c r="FB234" s="35"/>
      <c r="FC234" s="35"/>
      <c r="FD234" s="35"/>
      <c r="FE234" s="35"/>
      <c r="FF234" s="35"/>
      <c r="FG234" s="35"/>
      <c r="FH234" s="35"/>
      <c r="FI234" s="35"/>
      <c r="FJ234" s="35"/>
      <c r="FK234" s="35"/>
      <c r="FL234" s="35"/>
      <c r="FM234" s="35"/>
      <c r="FN234" s="35"/>
      <c r="FO234" s="35"/>
      <c r="FP234" s="35"/>
      <c r="FQ234" s="52"/>
      <c r="FR234" s="8"/>
      <c r="FS234" s="9" t="s">
        <v>13</v>
      </c>
      <c r="FT234" s="9" t="str">
        <f t="shared" si="5254"/>
        <v>8. NSTs/ECB Development &amp; Reporting 8.2 PreparationJunior Accountant</v>
      </c>
    </row>
    <row r="235" spans="1:176" s="9" customFormat="1" ht="12" hidden="1" customHeight="1" outlineLevel="1">
      <c r="A235" s="122"/>
      <c r="B235" s="123"/>
      <c r="C235" s="124" t="str">
        <f t="shared" si="5114"/>
        <v>0 days</v>
      </c>
      <c r="D235" s="13" t="str">
        <f>A226&amp;" "&amp;A233</f>
        <v>8. NSTs/ECB Development &amp; Reporting 8.2 Preparation</v>
      </c>
      <c r="E235" s="51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E235" s="35"/>
      <c r="AF235" s="35"/>
      <c r="AG235" s="35"/>
      <c r="AH235" s="35"/>
      <c r="AI235" s="35"/>
      <c r="AJ235" s="35"/>
      <c r="AK235" s="35"/>
      <c r="AL235" s="36"/>
      <c r="AM235" s="36"/>
      <c r="AN235" s="36"/>
      <c r="AO235" s="36"/>
      <c r="AP235" s="36"/>
      <c r="AQ235" s="36"/>
      <c r="AR235" s="36"/>
      <c r="AS235" s="35"/>
      <c r="AT235" s="35"/>
      <c r="AU235" s="35"/>
      <c r="AV235" s="35"/>
      <c r="AW235" s="35"/>
      <c r="AX235" s="35"/>
      <c r="AY235" s="35"/>
      <c r="AZ235" s="35"/>
      <c r="BA235" s="35"/>
      <c r="BB235" s="35"/>
      <c r="BC235" s="35"/>
      <c r="BD235" s="35"/>
      <c r="BE235" s="35"/>
      <c r="BF235" s="35"/>
      <c r="BG235" s="35"/>
      <c r="BH235" s="35"/>
      <c r="BI235" s="35"/>
      <c r="BJ235" s="35"/>
      <c r="BK235" s="35"/>
      <c r="BL235" s="35"/>
      <c r="BM235" s="35"/>
      <c r="BN235" s="35"/>
      <c r="BO235" s="35"/>
      <c r="BP235" s="35"/>
      <c r="BQ235" s="35"/>
      <c r="BR235" s="35"/>
      <c r="BS235" s="35"/>
      <c r="BT235" s="35"/>
      <c r="BU235" s="35"/>
      <c r="BV235" s="35"/>
      <c r="BW235" s="35"/>
      <c r="BX235" s="35"/>
      <c r="BY235" s="35"/>
      <c r="BZ235" s="35"/>
      <c r="CA235" s="35"/>
      <c r="CB235" s="35"/>
      <c r="CC235" s="35"/>
      <c r="CD235" s="35"/>
      <c r="CE235" s="35"/>
      <c r="CF235" s="35"/>
      <c r="CG235" s="35"/>
      <c r="CH235" s="35"/>
      <c r="CI235" s="35"/>
      <c r="CJ235" s="35"/>
      <c r="CK235" s="35"/>
      <c r="CL235" s="35"/>
      <c r="CM235" s="35"/>
      <c r="CN235" s="35"/>
      <c r="CO235" s="35"/>
      <c r="CP235" s="35"/>
      <c r="CQ235" s="35"/>
      <c r="CR235" s="35"/>
      <c r="CS235" s="35"/>
      <c r="CT235" s="36"/>
      <c r="CU235" s="35"/>
      <c r="CV235" s="35"/>
      <c r="CW235" s="35"/>
      <c r="CX235" s="35"/>
      <c r="CY235" s="35"/>
      <c r="CZ235" s="36"/>
      <c r="DA235" s="36"/>
      <c r="DB235" s="35"/>
      <c r="DC235" s="35"/>
      <c r="DD235" s="35"/>
      <c r="DE235" s="35"/>
      <c r="DF235" s="35"/>
      <c r="DG235" s="35"/>
      <c r="DH235" s="35"/>
      <c r="DI235" s="35"/>
      <c r="DJ235" s="35"/>
      <c r="DK235" s="35"/>
      <c r="DL235" s="35"/>
      <c r="DM235" s="35"/>
      <c r="DN235" s="35"/>
      <c r="DO235" s="35"/>
      <c r="DP235" s="35"/>
      <c r="DQ235" s="35"/>
      <c r="DR235" s="35"/>
      <c r="DS235" s="35"/>
      <c r="DT235" s="35"/>
      <c r="DU235" s="35"/>
      <c r="DV235" s="35"/>
      <c r="DW235" s="35"/>
      <c r="DX235" s="35"/>
      <c r="DY235" s="35"/>
      <c r="DZ235" s="36"/>
      <c r="EA235" s="35"/>
      <c r="EB235" s="35"/>
      <c r="EC235" s="35"/>
      <c r="ED235" s="35"/>
      <c r="EE235" s="35"/>
      <c r="EF235" s="35"/>
      <c r="EG235" s="35"/>
      <c r="EH235" s="35"/>
      <c r="EI235" s="35"/>
      <c r="EJ235" s="35"/>
      <c r="EK235" s="35"/>
      <c r="EL235" s="35"/>
      <c r="EM235" s="35"/>
      <c r="EN235" s="35"/>
      <c r="EO235" s="35"/>
      <c r="EP235" s="35"/>
      <c r="EQ235" s="35"/>
      <c r="ER235" s="35"/>
      <c r="ES235" s="35"/>
      <c r="ET235" s="35"/>
      <c r="EU235" s="35"/>
      <c r="EV235" s="35"/>
      <c r="EW235" s="35"/>
      <c r="EX235" s="35"/>
      <c r="EY235" s="36"/>
      <c r="EZ235" s="35"/>
      <c r="FA235" s="35"/>
      <c r="FB235" s="35"/>
      <c r="FC235" s="35"/>
      <c r="FD235" s="35"/>
      <c r="FE235" s="35"/>
      <c r="FF235" s="35"/>
      <c r="FG235" s="35"/>
      <c r="FH235" s="35"/>
      <c r="FI235" s="35"/>
      <c r="FJ235" s="35"/>
      <c r="FK235" s="35"/>
      <c r="FL235" s="35"/>
      <c r="FM235" s="35"/>
      <c r="FN235" s="35"/>
      <c r="FO235" s="35"/>
      <c r="FP235" s="35"/>
      <c r="FQ235" s="52"/>
      <c r="FR235" s="8"/>
      <c r="FS235" s="9" t="s">
        <v>13</v>
      </c>
      <c r="FT235" s="9" t="str">
        <f t="shared" si="5254"/>
        <v>8. NSTs/ECB Development &amp; Reporting 8.2 Preparation</v>
      </c>
    </row>
    <row r="236" spans="1:176" s="9" customFormat="1" ht="12" hidden="1" customHeight="1" outlineLevel="1">
      <c r="A236" s="125" t="s">
        <v>50</v>
      </c>
      <c r="B236" s="123"/>
      <c r="C236" s="124" t="str">
        <f t="shared" si="5114"/>
        <v>0 days</v>
      </c>
      <c r="D236" s="13" t="str">
        <f>A226&amp;" "&amp;A233</f>
        <v>8. NSTs/ECB Development &amp; Reporting 8.2 Preparation</v>
      </c>
      <c r="E236" s="51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E236" s="35"/>
      <c r="AF236" s="35"/>
      <c r="AG236" s="35"/>
      <c r="AH236" s="35"/>
      <c r="AI236" s="35"/>
      <c r="AJ236" s="35"/>
      <c r="AK236" s="35"/>
      <c r="AL236" s="36"/>
      <c r="AM236" s="36"/>
      <c r="AN236" s="36"/>
      <c r="AO236" s="36"/>
      <c r="AP236" s="36"/>
      <c r="AQ236" s="36"/>
      <c r="AR236" s="36"/>
      <c r="AS236" s="35"/>
      <c r="AT236" s="35"/>
      <c r="AU236" s="35"/>
      <c r="AV236" s="35"/>
      <c r="AW236" s="35"/>
      <c r="AX236" s="35"/>
      <c r="AY236" s="35"/>
      <c r="AZ236" s="35"/>
      <c r="BA236" s="35"/>
      <c r="BB236" s="35"/>
      <c r="BC236" s="35"/>
      <c r="BD236" s="35"/>
      <c r="BE236" s="35"/>
      <c r="BF236" s="35"/>
      <c r="BG236" s="35"/>
      <c r="BH236" s="35"/>
      <c r="BI236" s="35"/>
      <c r="BJ236" s="35"/>
      <c r="BK236" s="35"/>
      <c r="BL236" s="35"/>
      <c r="BM236" s="35"/>
      <c r="BN236" s="35"/>
      <c r="BO236" s="35"/>
      <c r="BP236" s="35"/>
      <c r="BQ236" s="35"/>
      <c r="BR236" s="35"/>
      <c r="BS236" s="35"/>
      <c r="BT236" s="35"/>
      <c r="BU236" s="35"/>
      <c r="BV236" s="35"/>
      <c r="BW236" s="35"/>
      <c r="BX236" s="35"/>
      <c r="BY236" s="35"/>
      <c r="BZ236" s="35"/>
      <c r="CA236" s="35"/>
      <c r="CB236" s="35"/>
      <c r="CC236" s="35"/>
      <c r="CD236" s="35"/>
      <c r="CE236" s="35"/>
      <c r="CF236" s="35"/>
      <c r="CG236" s="35"/>
      <c r="CH236" s="35"/>
      <c r="CI236" s="35"/>
      <c r="CJ236" s="35"/>
      <c r="CK236" s="35"/>
      <c r="CL236" s="35"/>
      <c r="CM236" s="35"/>
      <c r="CN236" s="35"/>
      <c r="CO236" s="35"/>
      <c r="CP236" s="35"/>
      <c r="CQ236" s="35"/>
      <c r="CR236" s="35"/>
      <c r="CS236" s="35"/>
      <c r="CT236" s="36"/>
      <c r="CU236" s="35"/>
      <c r="CV236" s="35"/>
      <c r="CW236" s="35"/>
      <c r="CX236" s="35"/>
      <c r="CY236" s="35"/>
      <c r="CZ236" s="36"/>
      <c r="DA236" s="36"/>
      <c r="DB236" s="35"/>
      <c r="DC236" s="35"/>
      <c r="DD236" s="35"/>
      <c r="DE236" s="35"/>
      <c r="DF236" s="35"/>
      <c r="DG236" s="35"/>
      <c r="DH236" s="35"/>
      <c r="DI236" s="35"/>
      <c r="DJ236" s="35"/>
      <c r="DK236" s="35"/>
      <c r="DL236" s="35"/>
      <c r="DM236" s="35"/>
      <c r="DN236" s="35"/>
      <c r="DO236" s="35"/>
      <c r="DP236" s="35"/>
      <c r="DQ236" s="35"/>
      <c r="DR236" s="35"/>
      <c r="DS236" s="35"/>
      <c r="DT236" s="35"/>
      <c r="DU236" s="35"/>
      <c r="DV236" s="35"/>
      <c r="DW236" s="35"/>
      <c r="DX236" s="35"/>
      <c r="DY236" s="35"/>
      <c r="DZ236" s="36"/>
      <c r="EA236" s="35"/>
      <c r="EB236" s="35"/>
      <c r="EC236" s="35"/>
      <c r="ED236" s="35"/>
      <c r="EE236" s="35"/>
      <c r="EF236" s="35"/>
      <c r="EG236" s="35"/>
      <c r="EH236" s="35"/>
      <c r="EI236" s="35"/>
      <c r="EJ236" s="35"/>
      <c r="EK236" s="35"/>
      <c r="EL236" s="35"/>
      <c r="EM236" s="35"/>
      <c r="EN236" s="35"/>
      <c r="EO236" s="35"/>
      <c r="EP236" s="35"/>
      <c r="EQ236" s="35"/>
      <c r="ER236" s="35"/>
      <c r="ES236" s="35"/>
      <c r="ET236" s="35"/>
      <c r="EU236" s="35"/>
      <c r="EV236" s="35"/>
      <c r="EW236" s="35"/>
      <c r="EX236" s="35"/>
      <c r="EY236" s="36"/>
      <c r="EZ236" s="35"/>
      <c r="FA236" s="35"/>
      <c r="FB236" s="35"/>
      <c r="FC236" s="35"/>
      <c r="FD236" s="35"/>
      <c r="FE236" s="35"/>
      <c r="FF236" s="35"/>
      <c r="FG236" s="35"/>
      <c r="FH236" s="35"/>
      <c r="FI236" s="35"/>
      <c r="FJ236" s="35"/>
      <c r="FK236" s="35"/>
      <c r="FL236" s="35"/>
      <c r="FM236" s="35"/>
      <c r="FN236" s="35"/>
      <c r="FO236" s="35"/>
      <c r="FP236" s="35"/>
      <c r="FQ236" s="52"/>
      <c r="FR236" s="8"/>
      <c r="FS236" s="9" t="s">
        <v>13</v>
      </c>
      <c r="FT236" s="9" t="str">
        <f t="shared" si="5254"/>
        <v>8. NSTs/ECB Development &amp; Reporting 8.2 Preparation</v>
      </c>
    </row>
    <row r="237" spans="1:176" s="9" customFormat="1" ht="12" hidden="1" customHeight="1" outlineLevel="1">
      <c r="A237" s="125" t="s">
        <v>50</v>
      </c>
      <c r="B237" s="123"/>
      <c r="C237" s="124" t="str">
        <f t="shared" si="5114"/>
        <v>0 days</v>
      </c>
      <c r="D237" s="13" t="str">
        <f>A226&amp;" "&amp;A233</f>
        <v>8. NSTs/ECB Development &amp; Reporting 8.2 Preparation</v>
      </c>
      <c r="E237" s="51"/>
      <c r="F237" s="35"/>
      <c r="G237" s="35"/>
      <c r="H237" s="35"/>
      <c r="I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E237" s="35"/>
      <c r="AF237" s="35"/>
      <c r="AG237" s="35"/>
      <c r="AH237" s="35"/>
      <c r="AI237" s="35"/>
      <c r="AJ237" s="35"/>
      <c r="AK237" s="35"/>
      <c r="AL237" s="36"/>
      <c r="AM237" s="36"/>
      <c r="AN237" s="36"/>
      <c r="AO237" s="36"/>
      <c r="AP237" s="36"/>
      <c r="AQ237" s="36"/>
      <c r="AR237" s="36"/>
      <c r="AS237" s="35"/>
      <c r="AT237" s="35"/>
      <c r="AU237" s="35"/>
      <c r="AV237" s="35"/>
      <c r="AW237" s="35"/>
      <c r="AX237" s="35"/>
      <c r="AY237" s="35"/>
      <c r="AZ237" s="35"/>
      <c r="BA237" s="35"/>
      <c r="BB237" s="35"/>
      <c r="BC237" s="35"/>
      <c r="BD237" s="35"/>
      <c r="BE237" s="35"/>
      <c r="BF237" s="35"/>
      <c r="BG237" s="35"/>
      <c r="BH237" s="35"/>
      <c r="BI237" s="35"/>
      <c r="BJ237" s="35"/>
      <c r="BK237" s="35"/>
      <c r="BL237" s="35"/>
      <c r="BM237" s="35"/>
      <c r="BN237" s="35"/>
      <c r="BO237" s="35"/>
      <c r="BP237" s="35"/>
      <c r="BQ237" s="35"/>
      <c r="BR237" s="35"/>
      <c r="BS237" s="35"/>
      <c r="BT237" s="35"/>
      <c r="BU237" s="35"/>
      <c r="BV237" s="35"/>
      <c r="BW237" s="35"/>
      <c r="BX237" s="35"/>
      <c r="BY237" s="35"/>
      <c r="BZ237" s="35"/>
      <c r="CA237" s="35"/>
      <c r="CB237" s="35"/>
      <c r="CC237" s="35"/>
      <c r="CD237" s="35"/>
      <c r="CE237" s="35"/>
      <c r="CF237" s="35"/>
      <c r="CG237" s="35"/>
      <c r="CH237" s="35"/>
      <c r="CI237" s="35"/>
      <c r="CJ237" s="35"/>
      <c r="CK237" s="35"/>
      <c r="CL237" s="35"/>
      <c r="CM237" s="35"/>
      <c r="CN237" s="35"/>
      <c r="CO237" s="35"/>
      <c r="CP237" s="35"/>
      <c r="CQ237" s="35"/>
      <c r="CR237" s="35"/>
      <c r="CS237" s="35"/>
      <c r="CT237" s="36"/>
      <c r="CU237" s="35"/>
      <c r="CV237" s="35"/>
      <c r="CW237" s="35"/>
      <c r="CX237" s="35"/>
      <c r="CY237" s="35"/>
      <c r="CZ237" s="36"/>
      <c r="DA237" s="36"/>
      <c r="DB237" s="35"/>
      <c r="DC237" s="35"/>
      <c r="DD237" s="35"/>
      <c r="DE237" s="35"/>
      <c r="DF237" s="35"/>
      <c r="DG237" s="35"/>
      <c r="DH237" s="35"/>
      <c r="DI237" s="35"/>
      <c r="DJ237" s="35"/>
      <c r="DK237" s="35"/>
      <c r="DL237" s="35"/>
      <c r="DM237" s="35"/>
      <c r="DN237" s="35"/>
      <c r="DO237" s="35"/>
      <c r="DP237" s="35"/>
      <c r="DQ237" s="35"/>
      <c r="DR237" s="35"/>
      <c r="DS237" s="35"/>
      <c r="DT237" s="35"/>
      <c r="DU237" s="35"/>
      <c r="DV237" s="35"/>
      <c r="DW237" s="35"/>
      <c r="DX237" s="35"/>
      <c r="DY237" s="35"/>
      <c r="DZ237" s="36"/>
      <c r="EA237" s="35"/>
      <c r="EB237" s="35"/>
      <c r="EC237" s="35"/>
      <c r="ED237" s="35"/>
      <c r="EE237" s="35"/>
      <c r="EF237" s="35"/>
      <c r="EG237" s="35"/>
      <c r="EH237" s="35"/>
      <c r="EI237" s="35"/>
      <c r="EJ237" s="35"/>
      <c r="EK237" s="35"/>
      <c r="EL237" s="35"/>
      <c r="EM237" s="35"/>
      <c r="EN237" s="35"/>
      <c r="EO237" s="35"/>
      <c r="EP237" s="35"/>
      <c r="EQ237" s="35"/>
      <c r="ER237" s="35"/>
      <c r="ES237" s="35"/>
      <c r="ET237" s="35"/>
      <c r="EU237" s="35"/>
      <c r="EV237" s="35"/>
      <c r="EW237" s="35"/>
      <c r="EX237" s="35"/>
      <c r="EY237" s="36"/>
      <c r="EZ237" s="35"/>
      <c r="FA237" s="35"/>
      <c r="FB237" s="35"/>
      <c r="FC237" s="35"/>
      <c r="FD237" s="35"/>
      <c r="FE237" s="35"/>
      <c r="FF237" s="35"/>
      <c r="FG237" s="35"/>
      <c r="FH237" s="35"/>
      <c r="FI237" s="35"/>
      <c r="FJ237" s="35"/>
      <c r="FK237" s="35"/>
      <c r="FL237" s="35"/>
      <c r="FM237" s="35"/>
      <c r="FN237" s="35"/>
      <c r="FO237" s="35"/>
      <c r="FP237" s="35"/>
      <c r="FQ237" s="52"/>
      <c r="FR237" s="8"/>
      <c r="FS237" s="9" t="s">
        <v>13</v>
      </c>
      <c r="FT237" s="9" t="str">
        <f t="shared" si="5254"/>
        <v>8. NSTs/ECB Development &amp; Reporting 8.2 Preparation</v>
      </c>
    </row>
    <row r="238" spans="1:176" s="9" customFormat="1" ht="12" hidden="1" customHeight="1" outlineLevel="1">
      <c r="A238" s="126" t="s">
        <v>50</v>
      </c>
      <c r="B238" s="123"/>
      <c r="C238" s="124" t="str">
        <f t="shared" si="5114"/>
        <v>0 days</v>
      </c>
      <c r="D238" s="13" t="str">
        <f>A226&amp;" "&amp;A233</f>
        <v>8. NSTs/ECB Development &amp; Reporting 8.2 Preparation</v>
      </c>
      <c r="E238" s="51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E238" s="35"/>
      <c r="AF238" s="35"/>
      <c r="AG238" s="35"/>
      <c r="AH238" s="35"/>
      <c r="AI238" s="35"/>
      <c r="AJ238" s="35"/>
      <c r="AK238" s="35"/>
      <c r="AL238" s="36"/>
      <c r="AM238" s="36"/>
      <c r="AN238" s="36"/>
      <c r="AO238" s="36"/>
      <c r="AP238" s="36"/>
      <c r="AQ238" s="36"/>
      <c r="AR238" s="36"/>
      <c r="AS238" s="35"/>
      <c r="AT238" s="35"/>
      <c r="AU238" s="35"/>
      <c r="AV238" s="35"/>
      <c r="AW238" s="35"/>
      <c r="AX238" s="35"/>
      <c r="AY238" s="35"/>
      <c r="AZ238" s="35"/>
      <c r="BA238" s="35"/>
      <c r="BB238" s="35"/>
      <c r="BC238" s="35"/>
      <c r="BD238" s="35"/>
      <c r="BE238" s="35"/>
      <c r="BF238" s="35"/>
      <c r="BG238" s="35"/>
      <c r="BH238" s="35"/>
      <c r="BI238" s="35"/>
      <c r="BJ238" s="35"/>
      <c r="BK238" s="35"/>
      <c r="BL238" s="35"/>
      <c r="BM238" s="35"/>
      <c r="BN238" s="35"/>
      <c r="BO238" s="35"/>
      <c r="BP238" s="35"/>
      <c r="BQ238" s="35"/>
      <c r="BR238" s="35"/>
      <c r="BS238" s="35"/>
      <c r="BT238" s="35"/>
      <c r="BU238" s="35"/>
      <c r="BV238" s="35"/>
      <c r="BW238" s="35"/>
      <c r="BX238" s="35"/>
      <c r="BY238" s="35"/>
      <c r="BZ238" s="35"/>
      <c r="CA238" s="35"/>
      <c r="CB238" s="35"/>
      <c r="CC238" s="35"/>
      <c r="CD238" s="35"/>
      <c r="CE238" s="35"/>
      <c r="CF238" s="35"/>
      <c r="CG238" s="35"/>
      <c r="CH238" s="35"/>
      <c r="CI238" s="35"/>
      <c r="CJ238" s="35"/>
      <c r="CK238" s="35"/>
      <c r="CL238" s="35"/>
      <c r="CM238" s="35"/>
      <c r="CN238" s="35"/>
      <c r="CO238" s="35"/>
      <c r="CP238" s="35"/>
      <c r="CQ238" s="35"/>
      <c r="CR238" s="35"/>
      <c r="CS238" s="35"/>
      <c r="CT238" s="36"/>
      <c r="CU238" s="35"/>
      <c r="CV238" s="35"/>
      <c r="CW238" s="35"/>
      <c r="CX238" s="35"/>
      <c r="CY238" s="35"/>
      <c r="CZ238" s="36"/>
      <c r="DA238" s="36"/>
      <c r="DB238" s="35"/>
      <c r="DC238" s="35"/>
      <c r="DD238" s="35"/>
      <c r="DE238" s="35"/>
      <c r="DF238" s="35"/>
      <c r="DG238" s="35"/>
      <c r="DH238" s="35"/>
      <c r="DI238" s="35"/>
      <c r="DJ238" s="35"/>
      <c r="DK238" s="35"/>
      <c r="DL238" s="35"/>
      <c r="DM238" s="35"/>
      <c r="DN238" s="35"/>
      <c r="DO238" s="35"/>
      <c r="DP238" s="35"/>
      <c r="DQ238" s="35"/>
      <c r="DR238" s="35"/>
      <c r="DS238" s="35"/>
      <c r="DT238" s="35"/>
      <c r="DU238" s="35"/>
      <c r="DV238" s="35"/>
      <c r="DW238" s="35"/>
      <c r="DX238" s="35"/>
      <c r="DY238" s="35"/>
      <c r="DZ238" s="36"/>
      <c r="EA238" s="35"/>
      <c r="EB238" s="35"/>
      <c r="EC238" s="35"/>
      <c r="ED238" s="35"/>
      <c r="EE238" s="35"/>
      <c r="EF238" s="35"/>
      <c r="EG238" s="35"/>
      <c r="EH238" s="35"/>
      <c r="EI238" s="35"/>
      <c r="EJ238" s="35"/>
      <c r="EK238" s="35"/>
      <c r="EL238" s="35"/>
      <c r="EM238" s="35"/>
      <c r="EN238" s="35"/>
      <c r="EO238" s="35"/>
      <c r="EP238" s="35"/>
      <c r="EQ238" s="35"/>
      <c r="ER238" s="35"/>
      <c r="ES238" s="35"/>
      <c r="ET238" s="35"/>
      <c r="EU238" s="35"/>
      <c r="EV238" s="35"/>
      <c r="EW238" s="35"/>
      <c r="EX238" s="35"/>
      <c r="EY238" s="36"/>
      <c r="EZ238" s="35"/>
      <c r="FA238" s="35"/>
      <c r="FB238" s="35"/>
      <c r="FC238" s="35"/>
      <c r="FD238" s="35"/>
      <c r="FE238" s="35"/>
      <c r="FF238" s="35"/>
      <c r="FG238" s="35"/>
      <c r="FH238" s="35"/>
      <c r="FI238" s="35"/>
      <c r="FJ238" s="35"/>
      <c r="FK238" s="35"/>
      <c r="FL238" s="35"/>
      <c r="FM238" s="35"/>
      <c r="FN238" s="35"/>
      <c r="FO238" s="35"/>
      <c r="FP238" s="35"/>
      <c r="FQ238" s="52"/>
      <c r="FR238" s="8"/>
      <c r="FS238" s="9" t="s">
        <v>13</v>
      </c>
      <c r="FT238" s="9" t="str">
        <f t="shared" si="5254"/>
        <v>8. NSTs/ECB Development &amp; Reporting 8.2 Preparation</v>
      </c>
    </row>
    <row r="239" spans="1:176" s="9" customFormat="1" ht="12" customHeight="1" collapsed="1">
      <c r="A239" s="119" t="s">
        <v>94</v>
      </c>
      <c r="B239" s="127"/>
      <c r="C239" s="121" t="str">
        <f t="shared" si="5114"/>
        <v>4 days</v>
      </c>
      <c r="D239" s="27"/>
      <c r="E239" s="91" t="str">
        <f t="shared" ref="E239:BP239" si="6008">IF(SUBTOTAL(9,E240:E244)&gt;0,SUBTOTAL(9,E240:E244),"")</f>
        <v/>
      </c>
      <c r="F239" s="34" t="str">
        <f t="shared" si="6008"/>
        <v/>
      </c>
      <c r="G239" s="34" t="str">
        <f t="shared" si="6008"/>
        <v/>
      </c>
      <c r="H239" s="34" t="str">
        <f t="shared" si="6008"/>
        <v/>
      </c>
      <c r="I239" s="34" t="str">
        <f t="shared" si="6008"/>
        <v/>
      </c>
      <c r="J239" s="34" t="str">
        <f t="shared" si="6008"/>
        <v/>
      </c>
      <c r="K239" s="34" t="str">
        <f t="shared" si="6008"/>
        <v/>
      </c>
      <c r="L239" s="34" t="str">
        <f t="shared" si="6008"/>
        <v/>
      </c>
      <c r="M239" s="34" t="str">
        <f t="shared" si="6008"/>
        <v/>
      </c>
      <c r="N239" s="34" t="str">
        <f t="shared" si="6008"/>
        <v/>
      </c>
      <c r="O239" s="34" t="str">
        <f t="shared" si="6008"/>
        <v/>
      </c>
      <c r="P239" s="34" t="str">
        <f t="shared" si="6008"/>
        <v/>
      </c>
      <c r="Q239" s="34" t="str">
        <f t="shared" si="6008"/>
        <v/>
      </c>
      <c r="R239" s="34" t="str">
        <f t="shared" si="6008"/>
        <v/>
      </c>
      <c r="S239" s="34" t="str">
        <f t="shared" si="6008"/>
        <v/>
      </c>
      <c r="T239" s="34" t="str">
        <f t="shared" si="6008"/>
        <v/>
      </c>
      <c r="U239" s="34" t="str">
        <f t="shared" si="6008"/>
        <v/>
      </c>
      <c r="V239" s="34" t="str">
        <f t="shared" si="6008"/>
        <v/>
      </c>
      <c r="W239" s="34" t="str">
        <f t="shared" si="6008"/>
        <v/>
      </c>
      <c r="X239" s="34" t="str">
        <f t="shared" si="6008"/>
        <v/>
      </c>
      <c r="Y239" s="34">
        <f t="shared" si="6008"/>
        <v>0.25</v>
      </c>
      <c r="Z239" s="34" t="str">
        <f t="shared" si="6008"/>
        <v/>
      </c>
      <c r="AA239" s="34" t="str">
        <f t="shared" si="6008"/>
        <v/>
      </c>
      <c r="AB239" s="34" t="str">
        <f t="shared" si="6008"/>
        <v/>
      </c>
      <c r="AC239" s="34">
        <f t="shared" si="6008"/>
        <v>0.25</v>
      </c>
      <c r="AD239" s="34" t="str">
        <f t="shared" si="6008"/>
        <v/>
      </c>
      <c r="AE239" s="34" t="str">
        <f t="shared" si="6008"/>
        <v/>
      </c>
      <c r="AF239" s="34" t="str">
        <f t="shared" si="6008"/>
        <v/>
      </c>
      <c r="AG239" s="34" t="str">
        <f t="shared" si="6008"/>
        <v/>
      </c>
      <c r="AH239" s="34" t="str">
        <f t="shared" si="6008"/>
        <v/>
      </c>
      <c r="AI239" s="34" t="str">
        <f t="shared" si="6008"/>
        <v/>
      </c>
      <c r="AJ239" s="34" t="str">
        <f t="shared" si="6008"/>
        <v/>
      </c>
      <c r="AK239" s="34">
        <f t="shared" si="6008"/>
        <v>0.5</v>
      </c>
      <c r="AL239" s="33" t="str">
        <f t="shared" si="6008"/>
        <v/>
      </c>
      <c r="AM239" s="33" t="str">
        <f t="shared" si="6008"/>
        <v/>
      </c>
      <c r="AN239" s="33" t="str">
        <f t="shared" si="6008"/>
        <v/>
      </c>
      <c r="AO239" s="33" t="str">
        <f t="shared" si="6008"/>
        <v/>
      </c>
      <c r="AP239" s="33" t="str">
        <f t="shared" si="6008"/>
        <v/>
      </c>
      <c r="AQ239" s="33" t="str">
        <f t="shared" si="6008"/>
        <v/>
      </c>
      <c r="AR239" s="33" t="str">
        <f t="shared" si="6008"/>
        <v/>
      </c>
      <c r="AS239" s="34" t="str">
        <f t="shared" si="6008"/>
        <v/>
      </c>
      <c r="AT239" s="34" t="str">
        <f t="shared" si="6008"/>
        <v/>
      </c>
      <c r="AU239" s="34" t="str">
        <f t="shared" si="6008"/>
        <v/>
      </c>
      <c r="AV239" s="34" t="str">
        <f t="shared" si="6008"/>
        <v/>
      </c>
      <c r="AW239" s="34" t="str">
        <f t="shared" si="6008"/>
        <v/>
      </c>
      <c r="AX239" s="34">
        <f t="shared" si="6008"/>
        <v>0.5</v>
      </c>
      <c r="AY239" s="34" t="str">
        <f t="shared" si="6008"/>
        <v/>
      </c>
      <c r="AZ239" s="34" t="str">
        <f t="shared" si="6008"/>
        <v/>
      </c>
      <c r="BA239" s="34" t="str">
        <f t="shared" si="6008"/>
        <v/>
      </c>
      <c r="BB239" s="34" t="str">
        <f t="shared" si="6008"/>
        <v/>
      </c>
      <c r="BC239" s="34" t="str">
        <f t="shared" si="6008"/>
        <v/>
      </c>
      <c r="BD239" s="34" t="str">
        <f t="shared" si="6008"/>
        <v/>
      </c>
      <c r="BE239" s="34" t="str">
        <f t="shared" si="6008"/>
        <v/>
      </c>
      <c r="BF239" s="34" t="str">
        <f t="shared" si="6008"/>
        <v/>
      </c>
      <c r="BG239" s="34" t="str">
        <f t="shared" si="6008"/>
        <v/>
      </c>
      <c r="BH239" s="34" t="str">
        <f t="shared" si="6008"/>
        <v/>
      </c>
      <c r="BI239" s="34" t="str">
        <f t="shared" si="6008"/>
        <v/>
      </c>
      <c r="BJ239" s="34" t="str">
        <f t="shared" si="6008"/>
        <v/>
      </c>
      <c r="BK239" s="34" t="str">
        <f t="shared" si="6008"/>
        <v/>
      </c>
      <c r="BL239" s="34" t="str">
        <f t="shared" si="6008"/>
        <v/>
      </c>
      <c r="BM239" s="34" t="str">
        <f t="shared" si="6008"/>
        <v/>
      </c>
      <c r="BN239" s="34" t="str">
        <f t="shared" si="6008"/>
        <v/>
      </c>
      <c r="BO239" s="34" t="str">
        <f t="shared" si="6008"/>
        <v/>
      </c>
      <c r="BP239" s="34" t="str">
        <f t="shared" si="6008"/>
        <v/>
      </c>
      <c r="BQ239" s="34" t="str">
        <f t="shared" ref="BQ239:EB239" si="6009">IF(SUBTOTAL(9,BQ240:BQ244)&gt;0,SUBTOTAL(9,BQ240:BQ244),"")</f>
        <v/>
      </c>
      <c r="BR239" s="34" t="str">
        <f t="shared" si="6009"/>
        <v/>
      </c>
      <c r="BS239" s="34" t="str">
        <f t="shared" si="6009"/>
        <v/>
      </c>
      <c r="BT239" s="34" t="str">
        <f t="shared" si="6009"/>
        <v/>
      </c>
      <c r="BU239" s="34" t="str">
        <f t="shared" si="6009"/>
        <v/>
      </c>
      <c r="BV239" s="34" t="str">
        <f t="shared" si="6009"/>
        <v/>
      </c>
      <c r="BW239" s="34" t="str">
        <f t="shared" si="6009"/>
        <v/>
      </c>
      <c r="BX239" s="34" t="str">
        <f t="shared" si="6009"/>
        <v/>
      </c>
      <c r="BY239" s="34" t="str">
        <f t="shared" si="6009"/>
        <v/>
      </c>
      <c r="BZ239" s="34" t="str">
        <f t="shared" si="6009"/>
        <v/>
      </c>
      <c r="CA239" s="34">
        <f t="shared" si="6009"/>
        <v>0.5</v>
      </c>
      <c r="CB239" s="34" t="str">
        <f t="shared" si="6009"/>
        <v/>
      </c>
      <c r="CC239" s="34" t="str">
        <f t="shared" si="6009"/>
        <v/>
      </c>
      <c r="CD239" s="34" t="str">
        <f t="shared" si="6009"/>
        <v/>
      </c>
      <c r="CE239" s="34" t="str">
        <f t="shared" si="6009"/>
        <v/>
      </c>
      <c r="CF239" s="34" t="str">
        <f t="shared" si="6009"/>
        <v/>
      </c>
      <c r="CG239" s="34" t="str">
        <f t="shared" si="6009"/>
        <v/>
      </c>
      <c r="CH239" s="34" t="str">
        <f t="shared" si="6009"/>
        <v/>
      </c>
      <c r="CI239" s="34" t="str">
        <f t="shared" si="6009"/>
        <v/>
      </c>
      <c r="CJ239" s="34" t="str">
        <f t="shared" si="6009"/>
        <v/>
      </c>
      <c r="CK239" s="34" t="str">
        <f t="shared" si="6009"/>
        <v/>
      </c>
      <c r="CL239" s="34" t="str">
        <f t="shared" si="6009"/>
        <v/>
      </c>
      <c r="CM239" s="34" t="str">
        <f t="shared" si="6009"/>
        <v/>
      </c>
      <c r="CN239" s="34" t="str">
        <f t="shared" si="6009"/>
        <v/>
      </c>
      <c r="CO239" s="34" t="str">
        <f t="shared" si="6009"/>
        <v/>
      </c>
      <c r="CP239" s="34" t="str">
        <f t="shared" si="6009"/>
        <v/>
      </c>
      <c r="CQ239" s="34" t="str">
        <f t="shared" si="6009"/>
        <v/>
      </c>
      <c r="CR239" s="34" t="str">
        <f t="shared" si="6009"/>
        <v/>
      </c>
      <c r="CS239" s="34" t="str">
        <f t="shared" si="6009"/>
        <v/>
      </c>
      <c r="CT239" s="33" t="str">
        <f t="shared" si="6009"/>
        <v/>
      </c>
      <c r="CU239" s="34" t="str">
        <f t="shared" si="6009"/>
        <v/>
      </c>
      <c r="CV239" s="34" t="str">
        <f t="shared" si="6009"/>
        <v/>
      </c>
      <c r="CW239" s="34" t="str">
        <f t="shared" si="6009"/>
        <v/>
      </c>
      <c r="CX239" s="34" t="str">
        <f t="shared" si="6009"/>
        <v/>
      </c>
      <c r="CY239" s="34" t="str">
        <f t="shared" si="6009"/>
        <v/>
      </c>
      <c r="CZ239" s="33" t="str">
        <f t="shared" si="6009"/>
        <v/>
      </c>
      <c r="DA239" s="33" t="str">
        <f t="shared" si="6009"/>
        <v/>
      </c>
      <c r="DB239" s="34" t="str">
        <f t="shared" si="6009"/>
        <v/>
      </c>
      <c r="DC239" s="34" t="str">
        <f t="shared" si="6009"/>
        <v/>
      </c>
      <c r="DD239" s="34" t="str">
        <f t="shared" si="6009"/>
        <v/>
      </c>
      <c r="DE239" s="34" t="str">
        <f t="shared" si="6009"/>
        <v/>
      </c>
      <c r="DF239" s="34" t="str">
        <f t="shared" si="6009"/>
        <v/>
      </c>
      <c r="DG239" s="34" t="str">
        <f t="shared" si="6009"/>
        <v/>
      </c>
      <c r="DH239" s="34" t="str">
        <f t="shared" si="6009"/>
        <v/>
      </c>
      <c r="DI239" s="34" t="str">
        <f t="shared" si="6009"/>
        <v/>
      </c>
      <c r="DJ239" s="34">
        <f>IF(SUBTOTAL(9,DJ240:DJ244)&gt;0,SUBTOTAL(9,DJ240:DJ244),"")</f>
        <v>1.5</v>
      </c>
      <c r="DK239" s="34" t="str">
        <f t="shared" si="6009"/>
        <v/>
      </c>
      <c r="DL239" s="34" t="str">
        <f t="shared" si="6009"/>
        <v/>
      </c>
      <c r="DM239" s="34" t="str">
        <f t="shared" si="6009"/>
        <v/>
      </c>
      <c r="DN239" s="34" t="str">
        <f t="shared" si="6009"/>
        <v/>
      </c>
      <c r="DO239" s="34" t="str">
        <f t="shared" si="6009"/>
        <v/>
      </c>
      <c r="DP239" s="34" t="str">
        <f t="shared" si="6009"/>
        <v/>
      </c>
      <c r="DQ239" s="34" t="str">
        <f t="shared" si="6009"/>
        <v/>
      </c>
      <c r="DR239" s="34" t="str">
        <f t="shared" si="6009"/>
        <v/>
      </c>
      <c r="DS239" s="34" t="str">
        <f t="shared" si="6009"/>
        <v/>
      </c>
      <c r="DT239" s="34" t="str">
        <f t="shared" si="6009"/>
        <v/>
      </c>
      <c r="DU239" s="34" t="str">
        <f t="shared" si="6009"/>
        <v/>
      </c>
      <c r="DV239" s="34" t="str">
        <f t="shared" si="6009"/>
        <v/>
      </c>
      <c r="DW239" s="34" t="str">
        <f t="shared" si="6009"/>
        <v/>
      </c>
      <c r="DX239" s="34" t="str">
        <f t="shared" si="6009"/>
        <v/>
      </c>
      <c r="DY239" s="34" t="str">
        <f t="shared" si="6009"/>
        <v/>
      </c>
      <c r="DZ239" s="33" t="str">
        <f t="shared" si="6009"/>
        <v/>
      </c>
      <c r="EA239" s="34" t="str">
        <f t="shared" si="6009"/>
        <v/>
      </c>
      <c r="EB239" s="34" t="str">
        <f t="shared" si="6009"/>
        <v/>
      </c>
      <c r="EC239" s="34" t="str">
        <f t="shared" ref="EC239:FQ239" si="6010">IF(SUBTOTAL(9,EC240:EC244)&gt;0,SUBTOTAL(9,EC240:EC244),"")</f>
        <v/>
      </c>
      <c r="ED239" s="34" t="str">
        <f t="shared" si="6010"/>
        <v/>
      </c>
      <c r="EE239" s="34" t="str">
        <f t="shared" si="6010"/>
        <v/>
      </c>
      <c r="EF239" s="34" t="str">
        <f t="shared" si="6010"/>
        <v/>
      </c>
      <c r="EG239" s="34" t="str">
        <f t="shared" si="6010"/>
        <v/>
      </c>
      <c r="EH239" s="34" t="str">
        <f t="shared" si="6010"/>
        <v/>
      </c>
      <c r="EI239" s="34" t="str">
        <f t="shared" si="6010"/>
        <v/>
      </c>
      <c r="EJ239" s="34" t="str">
        <f t="shared" si="6010"/>
        <v/>
      </c>
      <c r="EK239" s="34" t="str">
        <f t="shared" si="6010"/>
        <v/>
      </c>
      <c r="EL239" s="34" t="str">
        <f t="shared" si="6010"/>
        <v/>
      </c>
      <c r="EM239" s="34" t="str">
        <f t="shared" si="6010"/>
        <v/>
      </c>
      <c r="EN239" s="34" t="str">
        <f t="shared" si="6010"/>
        <v/>
      </c>
      <c r="EO239" s="34" t="str">
        <f t="shared" si="6010"/>
        <v/>
      </c>
      <c r="EP239" s="34" t="str">
        <f t="shared" si="6010"/>
        <v/>
      </c>
      <c r="EQ239" s="34" t="str">
        <f t="shared" si="6010"/>
        <v/>
      </c>
      <c r="ER239" s="34" t="str">
        <f t="shared" si="6010"/>
        <v/>
      </c>
      <c r="ES239" s="34" t="str">
        <f t="shared" si="6010"/>
        <v/>
      </c>
      <c r="ET239" s="34" t="str">
        <f t="shared" si="6010"/>
        <v/>
      </c>
      <c r="EU239" s="34" t="str">
        <f t="shared" si="6010"/>
        <v/>
      </c>
      <c r="EV239" s="34" t="str">
        <f t="shared" si="6010"/>
        <v/>
      </c>
      <c r="EW239" s="34" t="str">
        <f t="shared" si="6010"/>
        <v/>
      </c>
      <c r="EX239" s="34" t="str">
        <f t="shared" si="6010"/>
        <v/>
      </c>
      <c r="EY239" s="33" t="str">
        <f t="shared" si="6010"/>
        <v/>
      </c>
      <c r="EZ239" s="34" t="str">
        <f t="shared" si="6010"/>
        <v/>
      </c>
      <c r="FA239" s="34" t="str">
        <f t="shared" si="6010"/>
        <v/>
      </c>
      <c r="FB239" s="34" t="str">
        <f t="shared" si="6010"/>
        <v/>
      </c>
      <c r="FC239" s="34" t="str">
        <f t="shared" si="6010"/>
        <v/>
      </c>
      <c r="FD239" s="34" t="str">
        <f t="shared" si="6010"/>
        <v/>
      </c>
      <c r="FE239" s="34" t="str">
        <f t="shared" si="6010"/>
        <v/>
      </c>
      <c r="FF239" s="34" t="str">
        <f t="shared" si="6010"/>
        <v/>
      </c>
      <c r="FG239" s="34" t="str">
        <f t="shared" si="6010"/>
        <v/>
      </c>
      <c r="FH239" s="34" t="str">
        <f t="shared" si="6010"/>
        <v/>
      </c>
      <c r="FI239" s="34" t="str">
        <f t="shared" si="6010"/>
        <v/>
      </c>
      <c r="FJ239" s="34" t="str">
        <f t="shared" si="6010"/>
        <v/>
      </c>
      <c r="FK239" s="34" t="str">
        <f t="shared" si="6010"/>
        <v/>
      </c>
      <c r="FL239" s="34" t="str">
        <f t="shared" si="6010"/>
        <v/>
      </c>
      <c r="FM239" s="34" t="str">
        <f t="shared" si="6010"/>
        <v/>
      </c>
      <c r="FN239" s="34" t="str">
        <f t="shared" si="6010"/>
        <v/>
      </c>
      <c r="FO239" s="34" t="str">
        <f t="shared" si="6010"/>
        <v/>
      </c>
      <c r="FP239" s="34" t="str">
        <f t="shared" si="6010"/>
        <v/>
      </c>
      <c r="FQ239" s="92" t="str">
        <f t="shared" si="6010"/>
        <v/>
      </c>
      <c r="FR239" s="8"/>
      <c r="FS239" s="9" t="s">
        <v>131</v>
      </c>
      <c r="FT239" s="9" t="str">
        <f t="shared" si="5254"/>
        <v/>
      </c>
    </row>
    <row r="240" spans="1:176" s="9" customFormat="1" ht="12" hidden="1" customHeight="1" outlineLevel="1">
      <c r="A240" s="122" t="s">
        <v>4</v>
      </c>
      <c r="B240" s="123" t="s">
        <v>17</v>
      </c>
      <c r="C240" s="124" t="str">
        <f t="shared" si="5114"/>
        <v>1 days</v>
      </c>
      <c r="D240" s="13" t="str">
        <f>A226&amp;" "&amp;A239</f>
        <v>8. NSTs/ECB Development &amp; Reporting 8.2 Review</v>
      </c>
      <c r="E240" s="51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E240" s="35"/>
      <c r="AF240" s="35"/>
      <c r="AG240" s="35"/>
      <c r="AH240" s="35"/>
      <c r="AI240" s="35"/>
      <c r="AJ240" s="35"/>
      <c r="AK240" s="35"/>
      <c r="AL240" s="36"/>
      <c r="AM240" s="36"/>
      <c r="AN240" s="36"/>
      <c r="AO240" s="36"/>
      <c r="AP240" s="36"/>
      <c r="AQ240" s="36"/>
      <c r="AR240" s="36"/>
      <c r="AS240" s="35"/>
      <c r="AT240" s="35"/>
      <c r="AU240" s="35"/>
      <c r="AV240" s="35"/>
      <c r="AW240" s="35"/>
      <c r="AX240" s="35"/>
      <c r="AY240" s="35"/>
      <c r="AZ240" s="35"/>
      <c r="BA240" s="35"/>
      <c r="BB240" s="35"/>
      <c r="BC240" s="35"/>
      <c r="BD240" s="35"/>
      <c r="BE240" s="35"/>
      <c r="BF240" s="35"/>
      <c r="BG240" s="35"/>
      <c r="BH240" s="35"/>
      <c r="BI240" s="35"/>
      <c r="BJ240" s="35"/>
      <c r="BK240" s="35"/>
      <c r="BL240" s="35"/>
      <c r="BM240" s="35"/>
      <c r="BN240" s="35"/>
      <c r="BO240" s="35"/>
      <c r="BP240" s="35"/>
      <c r="BQ240" s="35"/>
      <c r="BR240" s="35"/>
      <c r="BS240" s="35"/>
      <c r="BT240" s="35"/>
      <c r="BU240" s="35"/>
      <c r="BV240" s="35"/>
      <c r="BW240" s="35"/>
      <c r="BX240" s="35"/>
      <c r="BY240" s="35"/>
      <c r="BZ240" s="35"/>
      <c r="CA240" s="35"/>
      <c r="CB240" s="35"/>
      <c r="CC240" s="35"/>
      <c r="CD240" s="35"/>
      <c r="CE240" s="35"/>
      <c r="CF240" s="35"/>
      <c r="CG240" s="35"/>
      <c r="CH240" s="35"/>
      <c r="CI240" s="35"/>
      <c r="CJ240" s="35"/>
      <c r="CK240" s="35"/>
      <c r="CL240" s="35"/>
      <c r="CM240" s="35"/>
      <c r="CN240" s="35"/>
      <c r="CO240" s="35"/>
      <c r="CP240" s="35"/>
      <c r="CQ240" s="35"/>
      <c r="CR240" s="35"/>
      <c r="CS240" s="35"/>
      <c r="CT240" s="36"/>
      <c r="CU240" s="35"/>
      <c r="CV240" s="35"/>
      <c r="CW240" s="35"/>
      <c r="CX240" s="35"/>
      <c r="CY240" s="35"/>
      <c r="CZ240" s="36"/>
      <c r="DA240" s="36"/>
      <c r="DB240" s="35"/>
      <c r="DC240" s="35"/>
      <c r="DD240" s="35"/>
      <c r="DE240" s="35"/>
      <c r="DF240" s="35"/>
      <c r="DG240" s="35"/>
      <c r="DH240" s="35"/>
      <c r="DI240" s="35"/>
      <c r="DJ240" s="35">
        <v>1</v>
      </c>
      <c r="DK240" s="35"/>
      <c r="DL240" s="35"/>
      <c r="DM240" s="35"/>
      <c r="DN240" s="35"/>
      <c r="DO240" s="35"/>
      <c r="DP240" s="35"/>
      <c r="DQ240" s="35"/>
      <c r="DR240" s="35"/>
      <c r="DS240" s="35"/>
      <c r="DT240" s="35"/>
      <c r="DU240" s="35"/>
      <c r="DV240" s="35"/>
      <c r="DW240" s="93"/>
      <c r="DX240" s="35"/>
      <c r="DY240" s="35"/>
      <c r="DZ240" s="36"/>
      <c r="EA240" s="35"/>
      <c r="EB240" s="35"/>
      <c r="EC240" s="35"/>
      <c r="ED240" s="35"/>
      <c r="EE240" s="35"/>
      <c r="EF240" s="35"/>
      <c r="EG240" s="35"/>
      <c r="EH240" s="35"/>
      <c r="EI240" s="35"/>
      <c r="EJ240" s="35"/>
      <c r="EK240" s="35"/>
      <c r="EL240" s="35"/>
      <c r="EM240" s="35"/>
      <c r="EN240" s="35"/>
      <c r="EO240" s="35"/>
      <c r="EP240" s="35"/>
      <c r="EQ240" s="35"/>
      <c r="ER240" s="35"/>
      <c r="ES240" s="35"/>
      <c r="ET240" s="35"/>
      <c r="EU240" s="35"/>
      <c r="EV240" s="35"/>
      <c r="EW240" s="35"/>
      <c r="EX240" s="35"/>
      <c r="EY240" s="36"/>
      <c r="EZ240" s="35"/>
      <c r="FA240" s="35"/>
      <c r="FB240" s="35"/>
      <c r="FC240" s="35"/>
      <c r="FD240" s="35"/>
      <c r="FE240" s="35"/>
      <c r="FF240" s="35"/>
      <c r="FG240" s="35"/>
      <c r="FH240" s="35"/>
      <c r="FI240" s="35"/>
      <c r="FJ240" s="35"/>
      <c r="FK240" s="35"/>
      <c r="FL240" s="35"/>
      <c r="FM240" s="35"/>
      <c r="FN240" s="35"/>
      <c r="FO240" s="35"/>
      <c r="FP240" s="35"/>
      <c r="FQ240" s="52"/>
      <c r="FR240" s="8"/>
      <c r="FS240" s="9" t="s">
        <v>13</v>
      </c>
      <c r="FT240" s="9" t="str">
        <f t="shared" si="5254"/>
        <v>8. NSTs/ECB Development &amp; Reporting 8.2 ReviewSenior Accountant</v>
      </c>
    </row>
    <row r="241" spans="1:176" s="9" customFormat="1" ht="12" hidden="1" customHeight="1" outlineLevel="1">
      <c r="A241" s="129" t="s">
        <v>4</v>
      </c>
      <c r="B241" s="130" t="s">
        <v>10</v>
      </c>
      <c r="C241" s="131" t="str">
        <f t="shared" si="5114"/>
        <v>3 days</v>
      </c>
      <c r="D241" s="101" t="str">
        <f>A226&amp;" "&amp;A239</f>
        <v>8. NSTs/ECB Development &amp; Reporting 8.2 Review</v>
      </c>
      <c r="E241" s="51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>
        <v>0.25</v>
      </c>
      <c r="Z241" s="35"/>
      <c r="AA241" s="35"/>
      <c r="AB241" s="35"/>
      <c r="AC241" s="35">
        <v>0.25</v>
      </c>
      <c r="AD241" s="35"/>
      <c r="AE241" s="35"/>
      <c r="AF241" s="35"/>
      <c r="AG241" s="35"/>
      <c r="AH241" s="35"/>
      <c r="AI241" s="35"/>
      <c r="AJ241" s="35"/>
      <c r="AK241" s="35">
        <v>0.5</v>
      </c>
      <c r="AL241" s="36"/>
      <c r="AM241" s="36"/>
      <c r="AN241" s="36"/>
      <c r="AO241" s="36"/>
      <c r="AP241" s="36"/>
      <c r="AQ241" s="36"/>
      <c r="AR241" s="36"/>
      <c r="AS241" s="35"/>
      <c r="AT241" s="35"/>
      <c r="AU241" s="35"/>
      <c r="AV241" s="35"/>
      <c r="AW241" s="35"/>
      <c r="AX241" s="35">
        <v>0.5</v>
      </c>
      <c r="AY241" s="35"/>
      <c r="AZ241" s="35"/>
      <c r="BA241" s="35"/>
      <c r="BB241" s="35"/>
      <c r="BC241" s="35"/>
      <c r="BD241" s="35"/>
      <c r="BE241" s="35"/>
      <c r="BF241" s="35"/>
      <c r="BG241" s="35"/>
      <c r="BH241" s="35"/>
      <c r="BI241" s="35"/>
      <c r="BJ241" s="35"/>
      <c r="BK241" s="35"/>
      <c r="BL241" s="35"/>
      <c r="BM241" s="35"/>
      <c r="BN241" s="35"/>
      <c r="BO241" s="35"/>
      <c r="BP241" s="35"/>
      <c r="BQ241" s="35"/>
      <c r="BR241" s="35"/>
      <c r="BS241" s="35"/>
      <c r="BT241" s="35"/>
      <c r="BU241" s="35"/>
      <c r="BV241" s="35"/>
      <c r="BW241" s="35"/>
      <c r="BX241" s="35"/>
      <c r="BY241" s="35"/>
      <c r="BZ241" s="35"/>
      <c r="CA241" s="35">
        <v>0.5</v>
      </c>
      <c r="CB241" s="35"/>
      <c r="CC241" s="35"/>
      <c r="CD241" s="35"/>
      <c r="CE241" s="35"/>
      <c r="CF241" s="35"/>
      <c r="CG241" s="35"/>
      <c r="CH241" s="35"/>
      <c r="CI241" s="35"/>
      <c r="CJ241" s="35"/>
      <c r="CK241" s="35"/>
      <c r="CL241" s="35"/>
      <c r="CM241" s="35"/>
      <c r="CN241" s="35"/>
      <c r="CO241" s="35"/>
      <c r="CP241" s="35"/>
      <c r="CQ241" s="35"/>
      <c r="CR241" s="35"/>
      <c r="CS241" s="35"/>
      <c r="CT241" s="36"/>
      <c r="CU241" s="35"/>
      <c r="CV241" s="35"/>
      <c r="CW241" s="35"/>
      <c r="CX241" s="35"/>
      <c r="CY241" s="35"/>
      <c r="CZ241" s="36"/>
      <c r="DA241" s="36"/>
      <c r="DB241" s="35"/>
      <c r="DC241" s="35"/>
      <c r="DD241" s="35"/>
      <c r="DE241" s="35"/>
      <c r="DF241" s="35"/>
      <c r="DG241" s="35"/>
      <c r="DH241" s="35"/>
      <c r="DI241" s="35"/>
      <c r="DJ241" s="35">
        <v>0.5</v>
      </c>
      <c r="DK241" s="35"/>
      <c r="DL241" s="35"/>
      <c r="DM241" s="35"/>
      <c r="DN241" s="35"/>
      <c r="DO241" s="35"/>
      <c r="DP241" s="35"/>
      <c r="DQ241" s="35"/>
      <c r="DR241" s="35"/>
      <c r="DS241" s="35"/>
      <c r="DT241" s="35"/>
      <c r="DU241" s="35"/>
      <c r="DV241" s="35"/>
      <c r="DW241" s="93"/>
      <c r="DX241" s="35"/>
      <c r="DY241" s="35"/>
      <c r="DZ241" s="36"/>
      <c r="EA241" s="35"/>
      <c r="EB241" s="35"/>
      <c r="EC241" s="35"/>
      <c r="ED241" s="35"/>
      <c r="EE241" s="35"/>
      <c r="EF241" s="35"/>
      <c r="EG241" s="35"/>
      <c r="EH241" s="35"/>
      <c r="EI241" s="35"/>
      <c r="EJ241" s="35"/>
      <c r="EK241" s="35"/>
      <c r="EL241" s="35"/>
      <c r="EM241" s="35"/>
      <c r="EN241" s="35"/>
      <c r="EO241" s="35"/>
      <c r="EP241" s="35"/>
      <c r="EQ241" s="35"/>
      <c r="ER241" s="35"/>
      <c r="ES241" s="35"/>
      <c r="ET241" s="35"/>
      <c r="EU241" s="35"/>
      <c r="EV241" s="35"/>
      <c r="EW241" s="35"/>
      <c r="EX241" s="35"/>
      <c r="EY241" s="36"/>
      <c r="EZ241" s="35"/>
      <c r="FA241" s="35"/>
      <c r="FB241" s="35"/>
      <c r="FC241" s="35"/>
      <c r="FD241" s="35"/>
      <c r="FE241" s="35"/>
      <c r="FF241" s="35"/>
      <c r="FG241" s="35"/>
      <c r="FH241" s="35"/>
      <c r="FI241" s="35"/>
      <c r="FJ241" s="35"/>
      <c r="FK241" s="35"/>
      <c r="FL241" s="35"/>
      <c r="FM241" s="35"/>
      <c r="FN241" s="35"/>
      <c r="FO241" s="35"/>
      <c r="FP241" s="35"/>
      <c r="FQ241" s="52"/>
      <c r="FR241" s="8"/>
      <c r="FS241" s="9" t="s">
        <v>13</v>
      </c>
      <c r="FT241" s="9" t="str">
        <f t="shared" si="5254"/>
        <v>8. NSTs/ECB Development &amp; Reporting 8.2 ReviewGlenn Kirk</v>
      </c>
    </row>
    <row r="242" spans="1:176" s="9" customFormat="1" ht="12" hidden="1" customHeight="1" outlineLevel="1">
      <c r="A242" s="125" t="s">
        <v>50</v>
      </c>
      <c r="B242" s="123"/>
      <c r="C242" s="124" t="str">
        <f t="shared" si="5114"/>
        <v>0 days</v>
      </c>
      <c r="D242" s="13" t="str">
        <f>A226&amp;" "&amp;A239</f>
        <v>8. NSTs/ECB Development &amp; Reporting 8.2 Review</v>
      </c>
      <c r="E242" s="51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E242" s="35"/>
      <c r="AF242" s="35"/>
      <c r="AG242" s="35"/>
      <c r="AH242" s="35"/>
      <c r="AI242" s="35"/>
      <c r="AJ242" s="35"/>
      <c r="AK242" s="35"/>
      <c r="AL242" s="36"/>
      <c r="AM242" s="36"/>
      <c r="AN242" s="36"/>
      <c r="AO242" s="36"/>
      <c r="AP242" s="36"/>
      <c r="AQ242" s="36"/>
      <c r="AR242" s="36"/>
      <c r="AS242" s="35"/>
      <c r="AT242" s="35"/>
      <c r="AU242" s="35"/>
      <c r="AV242" s="35"/>
      <c r="AW242" s="35"/>
      <c r="AX242" s="35"/>
      <c r="AY242" s="35"/>
      <c r="AZ242" s="35"/>
      <c r="BA242" s="35"/>
      <c r="BB242" s="35"/>
      <c r="BC242" s="35"/>
      <c r="BD242" s="35"/>
      <c r="BE242" s="35"/>
      <c r="BF242" s="35"/>
      <c r="BG242" s="35"/>
      <c r="BH242" s="35"/>
      <c r="BI242" s="35"/>
      <c r="BJ242" s="35"/>
      <c r="BK242" s="35"/>
      <c r="BL242" s="35"/>
      <c r="BM242" s="35"/>
      <c r="BN242" s="35"/>
      <c r="BO242" s="35"/>
      <c r="BP242" s="35"/>
      <c r="BQ242" s="35"/>
      <c r="BR242" s="35"/>
      <c r="BS242" s="35"/>
      <c r="BT242" s="35"/>
      <c r="BU242" s="35"/>
      <c r="BV242" s="35"/>
      <c r="BW242" s="35"/>
      <c r="BX242" s="35"/>
      <c r="BY242" s="35"/>
      <c r="BZ242" s="35"/>
      <c r="CA242" s="35"/>
      <c r="CB242" s="35"/>
      <c r="CC242" s="35"/>
      <c r="CD242" s="35"/>
      <c r="CE242" s="35"/>
      <c r="CF242" s="35"/>
      <c r="CG242" s="35"/>
      <c r="CH242" s="35"/>
      <c r="CI242" s="35"/>
      <c r="CJ242" s="35"/>
      <c r="CK242" s="35"/>
      <c r="CL242" s="35"/>
      <c r="CM242" s="35"/>
      <c r="CN242" s="35"/>
      <c r="CO242" s="35"/>
      <c r="CP242" s="35"/>
      <c r="CQ242" s="35"/>
      <c r="CR242" s="35"/>
      <c r="CS242" s="35"/>
      <c r="CT242" s="36"/>
      <c r="CU242" s="35"/>
      <c r="CV242" s="35"/>
      <c r="CW242" s="35"/>
      <c r="CX242" s="35"/>
      <c r="CY242" s="35"/>
      <c r="CZ242" s="36"/>
      <c r="DA242" s="36"/>
      <c r="DB242" s="35"/>
      <c r="DC242" s="35"/>
      <c r="DD242" s="35"/>
      <c r="DE242" s="35"/>
      <c r="DF242" s="35"/>
      <c r="DG242" s="35"/>
      <c r="DH242" s="35"/>
      <c r="DI242" s="35"/>
      <c r="DJ242" s="35"/>
      <c r="DK242" s="35"/>
      <c r="DL242" s="35"/>
      <c r="DM242" s="35"/>
      <c r="DN242" s="35"/>
      <c r="DO242" s="35"/>
      <c r="DP242" s="35"/>
      <c r="DQ242" s="35"/>
      <c r="DR242" s="35"/>
      <c r="DS242" s="35"/>
      <c r="DT242" s="35"/>
      <c r="DU242" s="35"/>
      <c r="DV242" s="35"/>
      <c r="DW242" s="35"/>
      <c r="DX242" s="35"/>
      <c r="DY242" s="35"/>
      <c r="DZ242" s="36"/>
      <c r="EA242" s="35"/>
      <c r="EB242" s="35"/>
      <c r="EC242" s="35"/>
      <c r="ED242" s="35"/>
      <c r="EE242" s="35"/>
      <c r="EF242" s="35"/>
      <c r="EG242" s="35"/>
      <c r="EH242" s="35"/>
      <c r="EI242" s="35"/>
      <c r="EJ242" s="35"/>
      <c r="EK242" s="35"/>
      <c r="EL242" s="35"/>
      <c r="EM242" s="35"/>
      <c r="EN242" s="35"/>
      <c r="EO242" s="35"/>
      <c r="EP242" s="35"/>
      <c r="EQ242" s="35"/>
      <c r="ER242" s="35"/>
      <c r="ES242" s="35"/>
      <c r="ET242" s="35"/>
      <c r="EU242" s="35"/>
      <c r="EV242" s="35"/>
      <c r="EW242" s="35"/>
      <c r="EX242" s="35"/>
      <c r="EY242" s="36"/>
      <c r="EZ242" s="35"/>
      <c r="FA242" s="35"/>
      <c r="FB242" s="35"/>
      <c r="FC242" s="35"/>
      <c r="FD242" s="35"/>
      <c r="FE242" s="35"/>
      <c r="FF242" s="35"/>
      <c r="FG242" s="35"/>
      <c r="FH242" s="35"/>
      <c r="FI242" s="35"/>
      <c r="FJ242" s="35"/>
      <c r="FK242" s="35"/>
      <c r="FL242" s="35"/>
      <c r="FM242" s="35"/>
      <c r="FN242" s="35"/>
      <c r="FO242" s="35"/>
      <c r="FP242" s="35"/>
      <c r="FQ242" s="52"/>
      <c r="FR242" s="8"/>
      <c r="FS242" s="9" t="s">
        <v>13</v>
      </c>
      <c r="FT242" s="9" t="str">
        <f t="shared" si="5254"/>
        <v>8. NSTs/ECB Development &amp; Reporting 8.2 Review</v>
      </c>
    </row>
    <row r="243" spans="1:176" s="9" customFormat="1" ht="12" hidden="1" customHeight="1" outlineLevel="1">
      <c r="A243" s="125" t="s">
        <v>50</v>
      </c>
      <c r="B243" s="123"/>
      <c r="C243" s="124" t="str">
        <f t="shared" si="5114"/>
        <v>0 days</v>
      </c>
      <c r="D243" s="13" t="str">
        <f>A226&amp;" "&amp;A239</f>
        <v>8. NSTs/ECB Development &amp; Reporting 8.2 Review</v>
      </c>
      <c r="E243" s="51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E243" s="35"/>
      <c r="AF243" s="35"/>
      <c r="AG243" s="35"/>
      <c r="AH243" s="35"/>
      <c r="AI243" s="35"/>
      <c r="AJ243" s="35"/>
      <c r="AK243" s="35"/>
      <c r="AL243" s="36"/>
      <c r="AM243" s="36"/>
      <c r="AN243" s="36"/>
      <c r="AO243" s="36"/>
      <c r="AP243" s="36"/>
      <c r="AQ243" s="36"/>
      <c r="AR243" s="36"/>
      <c r="AS243" s="35"/>
      <c r="AT243" s="35"/>
      <c r="AU243" s="35"/>
      <c r="AV243" s="35"/>
      <c r="AW243" s="35"/>
      <c r="AX243" s="35"/>
      <c r="AY243" s="35"/>
      <c r="AZ243" s="35"/>
      <c r="BA243" s="35"/>
      <c r="BB243" s="35"/>
      <c r="BC243" s="35"/>
      <c r="BD243" s="35"/>
      <c r="BE243" s="35"/>
      <c r="BF243" s="35"/>
      <c r="BG243" s="35"/>
      <c r="BH243" s="35"/>
      <c r="BI243" s="35"/>
      <c r="BJ243" s="35"/>
      <c r="BK243" s="35"/>
      <c r="BL243" s="35"/>
      <c r="BM243" s="35"/>
      <c r="BN243" s="35"/>
      <c r="BO243" s="35"/>
      <c r="BP243" s="35"/>
      <c r="BQ243" s="35"/>
      <c r="BR243" s="35"/>
      <c r="BS243" s="35"/>
      <c r="BT243" s="35"/>
      <c r="BU243" s="35"/>
      <c r="BV243" s="35"/>
      <c r="BW243" s="35"/>
      <c r="BX243" s="35"/>
      <c r="BY243" s="35"/>
      <c r="BZ243" s="35"/>
      <c r="CA243" s="35"/>
      <c r="CB243" s="35"/>
      <c r="CC243" s="35"/>
      <c r="CD243" s="35"/>
      <c r="CE243" s="35"/>
      <c r="CF243" s="35"/>
      <c r="CG243" s="35"/>
      <c r="CH243" s="35"/>
      <c r="CI243" s="35"/>
      <c r="CJ243" s="35"/>
      <c r="CK243" s="35"/>
      <c r="CL243" s="35"/>
      <c r="CM243" s="35"/>
      <c r="CN243" s="35"/>
      <c r="CO243" s="35"/>
      <c r="CP243" s="35"/>
      <c r="CQ243" s="35"/>
      <c r="CR243" s="35"/>
      <c r="CS243" s="35"/>
      <c r="CT243" s="36"/>
      <c r="CU243" s="35"/>
      <c r="CV243" s="35"/>
      <c r="CW243" s="35"/>
      <c r="CX243" s="35"/>
      <c r="CY243" s="35"/>
      <c r="CZ243" s="36"/>
      <c r="DA243" s="36"/>
      <c r="DB243" s="35"/>
      <c r="DC243" s="35"/>
      <c r="DD243" s="35"/>
      <c r="DE243" s="35"/>
      <c r="DF243" s="35"/>
      <c r="DG243" s="35"/>
      <c r="DH243" s="35"/>
      <c r="DI243" s="35"/>
      <c r="DJ243" s="35"/>
      <c r="DK243" s="35"/>
      <c r="DL243" s="35"/>
      <c r="DM243" s="35"/>
      <c r="DN243" s="35"/>
      <c r="DO243" s="35"/>
      <c r="DP243" s="35"/>
      <c r="DQ243" s="35"/>
      <c r="DR243" s="35"/>
      <c r="DS243" s="35"/>
      <c r="DT243" s="35"/>
      <c r="DU243" s="35"/>
      <c r="DV243" s="35"/>
      <c r="DW243" s="35"/>
      <c r="DX243" s="35"/>
      <c r="DY243" s="35"/>
      <c r="DZ243" s="36"/>
      <c r="EA243" s="35"/>
      <c r="EB243" s="35"/>
      <c r="EC243" s="35"/>
      <c r="ED243" s="35"/>
      <c r="EE243" s="35"/>
      <c r="EF243" s="35"/>
      <c r="EG243" s="35"/>
      <c r="EH243" s="35"/>
      <c r="EI243" s="35"/>
      <c r="EJ243" s="35"/>
      <c r="EK243" s="35"/>
      <c r="EL243" s="35"/>
      <c r="EM243" s="35"/>
      <c r="EN243" s="35"/>
      <c r="EO243" s="35"/>
      <c r="EP243" s="35"/>
      <c r="EQ243" s="35"/>
      <c r="ER243" s="35"/>
      <c r="ES243" s="35"/>
      <c r="ET243" s="35"/>
      <c r="EU243" s="35"/>
      <c r="EV243" s="35"/>
      <c r="EW243" s="35"/>
      <c r="EX243" s="35"/>
      <c r="EY243" s="36"/>
      <c r="EZ243" s="35"/>
      <c r="FA243" s="35"/>
      <c r="FB243" s="35"/>
      <c r="FC243" s="35"/>
      <c r="FD243" s="35"/>
      <c r="FE243" s="35"/>
      <c r="FF243" s="35"/>
      <c r="FG243" s="35"/>
      <c r="FH243" s="35"/>
      <c r="FI243" s="35"/>
      <c r="FJ243" s="35"/>
      <c r="FK243" s="35"/>
      <c r="FL243" s="35"/>
      <c r="FM243" s="35"/>
      <c r="FN243" s="35"/>
      <c r="FO243" s="35"/>
      <c r="FP243" s="35"/>
      <c r="FQ243" s="52"/>
      <c r="FR243" s="8"/>
      <c r="FS243" s="9" t="s">
        <v>13</v>
      </c>
      <c r="FT243" s="9" t="str">
        <f t="shared" si="5254"/>
        <v>8. NSTs/ECB Development &amp; Reporting 8.2 Review</v>
      </c>
    </row>
    <row r="244" spans="1:176" s="9" customFormat="1" ht="12" hidden="1" customHeight="1" outlineLevel="1">
      <c r="A244" s="126" t="s">
        <v>50</v>
      </c>
      <c r="B244" s="123"/>
      <c r="C244" s="124" t="str">
        <f t="shared" si="5114"/>
        <v>0 days</v>
      </c>
      <c r="D244" s="13" t="str">
        <f>A226&amp;" "&amp;A239</f>
        <v>8. NSTs/ECB Development &amp; Reporting 8.2 Review</v>
      </c>
      <c r="E244" s="51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5"/>
      <c r="AE244" s="35"/>
      <c r="AF244" s="35"/>
      <c r="AG244" s="35"/>
      <c r="AH244" s="35"/>
      <c r="AI244" s="35"/>
      <c r="AJ244" s="35"/>
      <c r="AK244" s="35"/>
      <c r="AL244" s="36"/>
      <c r="AM244" s="36"/>
      <c r="AN244" s="36"/>
      <c r="AO244" s="36"/>
      <c r="AP244" s="36"/>
      <c r="AQ244" s="36"/>
      <c r="AR244" s="36"/>
      <c r="AS244" s="35"/>
      <c r="AT244" s="35"/>
      <c r="AU244" s="35"/>
      <c r="AV244" s="35"/>
      <c r="AW244" s="35"/>
      <c r="AX244" s="35"/>
      <c r="AY244" s="35"/>
      <c r="AZ244" s="35"/>
      <c r="BA244" s="35"/>
      <c r="BB244" s="35"/>
      <c r="BC244" s="35"/>
      <c r="BD244" s="35"/>
      <c r="BE244" s="35"/>
      <c r="BF244" s="35"/>
      <c r="BG244" s="35"/>
      <c r="BH244" s="35"/>
      <c r="BI244" s="35"/>
      <c r="BJ244" s="35"/>
      <c r="BK244" s="35"/>
      <c r="BL244" s="35"/>
      <c r="BM244" s="35"/>
      <c r="BN244" s="35"/>
      <c r="BO244" s="35"/>
      <c r="BP244" s="35"/>
      <c r="BQ244" s="35"/>
      <c r="BR244" s="35"/>
      <c r="BS244" s="35"/>
      <c r="BT244" s="35"/>
      <c r="BU244" s="35"/>
      <c r="BV244" s="35"/>
      <c r="BW244" s="35"/>
      <c r="BX244" s="35"/>
      <c r="BY244" s="35"/>
      <c r="BZ244" s="35"/>
      <c r="CA244" s="35"/>
      <c r="CB244" s="35"/>
      <c r="CC244" s="35"/>
      <c r="CD244" s="35"/>
      <c r="CE244" s="35"/>
      <c r="CF244" s="35"/>
      <c r="CG244" s="35"/>
      <c r="CH244" s="35"/>
      <c r="CI244" s="35"/>
      <c r="CJ244" s="35"/>
      <c r="CK244" s="35"/>
      <c r="CL244" s="35"/>
      <c r="CM244" s="35"/>
      <c r="CN244" s="35"/>
      <c r="CO244" s="35"/>
      <c r="CP244" s="35"/>
      <c r="CQ244" s="35"/>
      <c r="CR244" s="35"/>
      <c r="CS244" s="35"/>
      <c r="CT244" s="36"/>
      <c r="CU244" s="35"/>
      <c r="CV244" s="35"/>
      <c r="CW244" s="35"/>
      <c r="CX244" s="35"/>
      <c r="CY244" s="35"/>
      <c r="CZ244" s="36"/>
      <c r="DA244" s="36"/>
      <c r="DB244" s="35"/>
      <c r="DC244" s="35"/>
      <c r="DD244" s="35"/>
      <c r="DE244" s="35"/>
      <c r="DF244" s="35"/>
      <c r="DG244" s="35"/>
      <c r="DH244" s="35"/>
      <c r="DI244" s="35"/>
      <c r="DJ244" s="35"/>
      <c r="DK244" s="35"/>
      <c r="DL244" s="35"/>
      <c r="DM244" s="35"/>
      <c r="DN244" s="35"/>
      <c r="DO244" s="35"/>
      <c r="DP244" s="35"/>
      <c r="DQ244" s="35"/>
      <c r="DR244" s="35"/>
      <c r="DS244" s="35"/>
      <c r="DT244" s="35"/>
      <c r="DU244" s="35"/>
      <c r="DV244" s="35"/>
      <c r="DW244" s="35"/>
      <c r="DX244" s="35"/>
      <c r="DY244" s="35"/>
      <c r="DZ244" s="36"/>
      <c r="EA244" s="35"/>
      <c r="EB244" s="35"/>
      <c r="EC244" s="35"/>
      <c r="ED244" s="35"/>
      <c r="EE244" s="35"/>
      <c r="EF244" s="35"/>
      <c r="EG244" s="35"/>
      <c r="EH244" s="35"/>
      <c r="EI244" s="35"/>
      <c r="EJ244" s="35"/>
      <c r="EK244" s="35"/>
      <c r="EL244" s="35"/>
      <c r="EM244" s="35"/>
      <c r="EN244" s="35"/>
      <c r="EO244" s="35"/>
      <c r="EP244" s="35"/>
      <c r="EQ244" s="35"/>
      <c r="ER244" s="35"/>
      <c r="ES244" s="35"/>
      <c r="ET244" s="35"/>
      <c r="EU244" s="35"/>
      <c r="EV244" s="35"/>
      <c r="EW244" s="35"/>
      <c r="EX244" s="35"/>
      <c r="EY244" s="36"/>
      <c r="EZ244" s="35"/>
      <c r="FA244" s="35"/>
      <c r="FB244" s="35"/>
      <c r="FC244" s="35"/>
      <c r="FD244" s="35"/>
      <c r="FE244" s="35"/>
      <c r="FF244" s="35"/>
      <c r="FG244" s="35"/>
      <c r="FH244" s="35"/>
      <c r="FI244" s="35"/>
      <c r="FJ244" s="35"/>
      <c r="FK244" s="35"/>
      <c r="FL244" s="35"/>
      <c r="FM244" s="35"/>
      <c r="FN244" s="35"/>
      <c r="FO244" s="35"/>
      <c r="FP244" s="35"/>
      <c r="FQ244" s="52"/>
      <c r="FR244" s="8"/>
      <c r="FS244" s="9" t="s">
        <v>13</v>
      </c>
      <c r="FT244" s="9" t="str">
        <f t="shared" si="5254"/>
        <v>8. NSTs/ECB Development &amp; Reporting 8.2 Review</v>
      </c>
    </row>
    <row r="245" spans="1:176" s="9" customFormat="1" ht="12" customHeight="1" collapsed="1">
      <c r="A245" s="119" t="s">
        <v>95</v>
      </c>
      <c r="B245" s="127"/>
      <c r="C245" s="121" t="str">
        <f t="shared" si="5114"/>
        <v>1 days</v>
      </c>
      <c r="D245" s="27"/>
      <c r="E245" s="91" t="str">
        <f t="shared" ref="E245" si="6011">IF(SUBTOTAL(9,E246:E250)&gt;0,SUBTOTAL(9,E246:E250),"")</f>
        <v/>
      </c>
      <c r="F245" s="34" t="str">
        <f t="shared" ref="F245" si="6012">IF(SUBTOTAL(9,F246:F250)&gt;0,SUBTOTAL(9,F246:F250),"")</f>
        <v/>
      </c>
      <c r="G245" s="34" t="str">
        <f t="shared" ref="G245" si="6013">IF(SUBTOTAL(9,G246:G250)&gt;0,SUBTOTAL(9,G246:G250),"")</f>
        <v/>
      </c>
      <c r="H245" s="34" t="str">
        <f t="shared" ref="H245" si="6014">IF(SUBTOTAL(9,H246:H250)&gt;0,SUBTOTAL(9,H246:H250),"")</f>
        <v/>
      </c>
      <c r="I245" s="34" t="str">
        <f t="shared" ref="I245" si="6015">IF(SUBTOTAL(9,I246:I250)&gt;0,SUBTOTAL(9,I246:I250),"")</f>
        <v/>
      </c>
      <c r="J245" s="34" t="str">
        <f t="shared" ref="J245" si="6016">IF(SUBTOTAL(9,J246:J250)&gt;0,SUBTOTAL(9,J246:J250),"")</f>
        <v/>
      </c>
      <c r="K245" s="34" t="str">
        <f t="shared" ref="K245" si="6017">IF(SUBTOTAL(9,K246:K250)&gt;0,SUBTOTAL(9,K246:K250),"")</f>
        <v/>
      </c>
      <c r="L245" s="34" t="str">
        <f t="shared" ref="L245" si="6018">IF(SUBTOTAL(9,L246:L250)&gt;0,SUBTOTAL(9,L246:L250),"")</f>
        <v/>
      </c>
      <c r="M245" s="34" t="str">
        <f t="shared" ref="M245" si="6019">IF(SUBTOTAL(9,M246:M250)&gt;0,SUBTOTAL(9,M246:M250),"")</f>
        <v/>
      </c>
      <c r="N245" s="34" t="str">
        <f t="shared" ref="N245" si="6020">IF(SUBTOTAL(9,N246:N250)&gt;0,SUBTOTAL(9,N246:N250),"")</f>
        <v/>
      </c>
      <c r="O245" s="34" t="str">
        <f t="shared" ref="O245" si="6021">IF(SUBTOTAL(9,O246:O250)&gt;0,SUBTOTAL(9,O246:O250),"")</f>
        <v/>
      </c>
      <c r="P245" s="34" t="str">
        <f t="shared" ref="P245" si="6022">IF(SUBTOTAL(9,P246:P250)&gt;0,SUBTOTAL(9,P246:P250),"")</f>
        <v/>
      </c>
      <c r="Q245" s="34" t="str">
        <f t="shared" ref="Q245" si="6023">IF(SUBTOTAL(9,Q246:Q250)&gt;0,SUBTOTAL(9,Q246:Q250),"")</f>
        <v/>
      </c>
      <c r="R245" s="34" t="str">
        <f t="shared" ref="R245" si="6024">IF(SUBTOTAL(9,R246:R250)&gt;0,SUBTOTAL(9,R246:R250),"")</f>
        <v/>
      </c>
      <c r="S245" s="34" t="str">
        <f t="shared" ref="S245" si="6025">IF(SUBTOTAL(9,S246:S250)&gt;0,SUBTOTAL(9,S246:S250),"")</f>
        <v/>
      </c>
      <c r="T245" s="34" t="str">
        <f t="shared" ref="T245" si="6026">IF(SUBTOTAL(9,T246:T250)&gt;0,SUBTOTAL(9,T246:T250),"")</f>
        <v/>
      </c>
      <c r="U245" s="34" t="str">
        <f t="shared" ref="U245" si="6027">IF(SUBTOTAL(9,U246:U250)&gt;0,SUBTOTAL(9,U246:U250),"")</f>
        <v/>
      </c>
      <c r="V245" s="34" t="str">
        <f t="shared" ref="V245" si="6028">IF(SUBTOTAL(9,V246:V250)&gt;0,SUBTOTAL(9,V246:V250),"")</f>
        <v/>
      </c>
      <c r="W245" s="34" t="str">
        <f t="shared" ref="W245" si="6029">IF(SUBTOTAL(9,W246:W250)&gt;0,SUBTOTAL(9,W246:W250),"")</f>
        <v/>
      </c>
      <c r="X245" s="34" t="str">
        <f t="shared" ref="X245" si="6030">IF(SUBTOTAL(9,X246:X250)&gt;0,SUBTOTAL(9,X246:X250),"")</f>
        <v/>
      </c>
      <c r="Y245" s="34" t="str">
        <f t="shared" ref="Y245" si="6031">IF(SUBTOTAL(9,Y246:Y250)&gt;0,SUBTOTAL(9,Y246:Y250),"")</f>
        <v/>
      </c>
      <c r="Z245" s="34" t="str">
        <f t="shared" ref="Z245" si="6032">IF(SUBTOTAL(9,Z246:Z250)&gt;0,SUBTOTAL(9,Z246:Z250),"")</f>
        <v/>
      </c>
      <c r="AA245" s="34" t="str">
        <f t="shared" ref="AA245" si="6033">IF(SUBTOTAL(9,AA246:AA250)&gt;0,SUBTOTAL(9,AA246:AA250),"")</f>
        <v/>
      </c>
      <c r="AB245" s="34" t="str">
        <f t="shared" ref="AB245" si="6034">IF(SUBTOTAL(9,AB246:AB250)&gt;0,SUBTOTAL(9,AB246:AB250),"")</f>
        <v/>
      </c>
      <c r="AC245" s="34" t="str">
        <f t="shared" ref="AC245" si="6035">IF(SUBTOTAL(9,AC246:AC250)&gt;0,SUBTOTAL(9,AC246:AC250),"")</f>
        <v/>
      </c>
      <c r="AD245" s="34" t="str">
        <f t="shared" ref="AD245" si="6036">IF(SUBTOTAL(9,AD246:AD250)&gt;0,SUBTOTAL(9,AD246:AD250),"")</f>
        <v/>
      </c>
      <c r="AE245" s="34" t="str">
        <f t="shared" ref="AE245" si="6037">IF(SUBTOTAL(9,AE246:AE250)&gt;0,SUBTOTAL(9,AE246:AE250),"")</f>
        <v/>
      </c>
      <c r="AF245" s="34" t="str">
        <f t="shared" ref="AF245" si="6038">IF(SUBTOTAL(9,AF246:AF250)&gt;0,SUBTOTAL(9,AF246:AF250),"")</f>
        <v/>
      </c>
      <c r="AG245" s="34" t="str">
        <f t="shared" ref="AG245" si="6039">IF(SUBTOTAL(9,AG246:AG250)&gt;0,SUBTOTAL(9,AG246:AG250),"")</f>
        <v/>
      </c>
      <c r="AH245" s="34" t="str">
        <f t="shared" ref="AH245" si="6040">IF(SUBTOTAL(9,AH246:AH250)&gt;0,SUBTOTAL(9,AH246:AH250),"")</f>
        <v/>
      </c>
      <c r="AI245" s="34" t="str">
        <f t="shared" ref="AI245" si="6041">IF(SUBTOTAL(9,AI246:AI250)&gt;0,SUBTOTAL(9,AI246:AI250),"")</f>
        <v/>
      </c>
      <c r="AJ245" s="34" t="str">
        <f t="shared" ref="AJ245" si="6042">IF(SUBTOTAL(9,AJ246:AJ250)&gt;0,SUBTOTAL(9,AJ246:AJ250),"")</f>
        <v/>
      </c>
      <c r="AK245" s="34" t="str">
        <f t="shared" ref="AK245" si="6043">IF(SUBTOTAL(9,AK246:AK250)&gt;0,SUBTOTAL(9,AK246:AK250),"")</f>
        <v/>
      </c>
      <c r="AL245" s="33" t="str">
        <f t="shared" ref="AL245" si="6044">IF(SUBTOTAL(9,AL246:AL250)&gt;0,SUBTOTAL(9,AL246:AL250),"")</f>
        <v/>
      </c>
      <c r="AM245" s="33" t="str">
        <f t="shared" ref="AM245" si="6045">IF(SUBTOTAL(9,AM246:AM250)&gt;0,SUBTOTAL(9,AM246:AM250),"")</f>
        <v/>
      </c>
      <c r="AN245" s="33" t="str">
        <f t="shared" ref="AN245" si="6046">IF(SUBTOTAL(9,AN246:AN250)&gt;0,SUBTOTAL(9,AN246:AN250),"")</f>
        <v/>
      </c>
      <c r="AO245" s="33" t="str">
        <f t="shared" ref="AO245" si="6047">IF(SUBTOTAL(9,AO246:AO250)&gt;0,SUBTOTAL(9,AO246:AO250),"")</f>
        <v/>
      </c>
      <c r="AP245" s="33" t="str">
        <f t="shared" ref="AP245" si="6048">IF(SUBTOTAL(9,AP246:AP250)&gt;0,SUBTOTAL(9,AP246:AP250),"")</f>
        <v/>
      </c>
      <c r="AQ245" s="33" t="str">
        <f t="shared" ref="AQ245" si="6049">IF(SUBTOTAL(9,AQ246:AQ250)&gt;0,SUBTOTAL(9,AQ246:AQ250),"")</f>
        <v/>
      </c>
      <c r="AR245" s="33" t="str">
        <f t="shared" ref="AR245" si="6050">IF(SUBTOTAL(9,AR246:AR250)&gt;0,SUBTOTAL(9,AR246:AR250),"")</f>
        <v/>
      </c>
      <c r="AS245" s="34" t="str">
        <f t="shared" ref="AS245" si="6051">IF(SUBTOTAL(9,AS246:AS250)&gt;0,SUBTOTAL(9,AS246:AS250),"")</f>
        <v/>
      </c>
      <c r="AT245" s="34" t="str">
        <f t="shared" ref="AT245" si="6052">IF(SUBTOTAL(9,AT246:AT250)&gt;0,SUBTOTAL(9,AT246:AT250),"")</f>
        <v/>
      </c>
      <c r="AU245" s="34" t="str">
        <f t="shared" ref="AU245" si="6053">IF(SUBTOTAL(9,AU246:AU250)&gt;0,SUBTOTAL(9,AU246:AU250),"")</f>
        <v/>
      </c>
      <c r="AV245" s="34" t="str">
        <f t="shared" ref="AV245" si="6054">IF(SUBTOTAL(9,AV246:AV250)&gt;0,SUBTOTAL(9,AV246:AV250),"")</f>
        <v/>
      </c>
      <c r="AW245" s="34" t="str">
        <f t="shared" ref="AW245" si="6055">IF(SUBTOTAL(9,AW246:AW250)&gt;0,SUBTOTAL(9,AW246:AW250),"")</f>
        <v/>
      </c>
      <c r="AX245" s="34" t="str">
        <f t="shared" ref="AX245" si="6056">IF(SUBTOTAL(9,AX246:AX250)&gt;0,SUBTOTAL(9,AX246:AX250),"")</f>
        <v/>
      </c>
      <c r="AY245" s="34" t="str">
        <f t="shared" ref="AY245" si="6057">IF(SUBTOTAL(9,AY246:AY250)&gt;0,SUBTOTAL(9,AY246:AY250),"")</f>
        <v/>
      </c>
      <c r="AZ245" s="34" t="str">
        <f t="shared" ref="AZ245" si="6058">IF(SUBTOTAL(9,AZ246:AZ250)&gt;0,SUBTOTAL(9,AZ246:AZ250),"")</f>
        <v/>
      </c>
      <c r="BA245" s="34" t="str">
        <f t="shared" ref="BA245" si="6059">IF(SUBTOTAL(9,BA246:BA250)&gt;0,SUBTOTAL(9,BA246:BA250),"")</f>
        <v/>
      </c>
      <c r="BB245" s="34" t="str">
        <f t="shared" ref="BB245" si="6060">IF(SUBTOTAL(9,BB246:BB250)&gt;0,SUBTOTAL(9,BB246:BB250),"")</f>
        <v/>
      </c>
      <c r="BC245" s="34" t="str">
        <f t="shared" ref="BC245" si="6061">IF(SUBTOTAL(9,BC246:BC250)&gt;0,SUBTOTAL(9,BC246:BC250),"")</f>
        <v/>
      </c>
      <c r="BD245" s="34" t="str">
        <f t="shared" ref="BD245" si="6062">IF(SUBTOTAL(9,BD246:BD250)&gt;0,SUBTOTAL(9,BD246:BD250),"")</f>
        <v/>
      </c>
      <c r="BE245" s="34" t="str">
        <f t="shared" ref="BE245" si="6063">IF(SUBTOTAL(9,BE246:BE250)&gt;0,SUBTOTAL(9,BE246:BE250),"")</f>
        <v/>
      </c>
      <c r="BF245" s="34" t="str">
        <f t="shared" ref="BF245" si="6064">IF(SUBTOTAL(9,BF246:BF250)&gt;0,SUBTOTAL(9,BF246:BF250),"")</f>
        <v/>
      </c>
      <c r="BG245" s="34" t="str">
        <f t="shared" ref="BG245" si="6065">IF(SUBTOTAL(9,BG246:BG250)&gt;0,SUBTOTAL(9,BG246:BG250),"")</f>
        <v/>
      </c>
      <c r="BH245" s="34" t="str">
        <f t="shared" ref="BH245" si="6066">IF(SUBTOTAL(9,BH246:BH250)&gt;0,SUBTOTAL(9,BH246:BH250),"")</f>
        <v/>
      </c>
      <c r="BI245" s="34" t="str">
        <f t="shared" ref="BI245" si="6067">IF(SUBTOTAL(9,BI246:BI250)&gt;0,SUBTOTAL(9,BI246:BI250),"")</f>
        <v/>
      </c>
      <c r="BJ245" s="34" t="str">
        <f t="shared" ref="BJ245" si="6068">IF(SUBTOTAL(9,BJ246:BJ250)&gt;0,SUBTOTAL(9,BJ246:BJ250),"")</f>
        <v/>
      </c>
      <c r="BK245" s="34" t="str">
        <f t="shared" ref="BK245" si="6069">IF(SUBTOTAL(9,BK246:BK250)&gt;0,SUBTOTAL(9,BK246:BK250),"")</f>
        <v/>
      </c>
      <c r="BL245" s="34" t="str">
        <f t="shared" ref="BL245" si="6070">IF(SUBTOTAL(9,BL246:BL250)&gt;0,SUBTOTAL(9,BL246:BL250),"")</f>
        <v/>
      </c>
      <c r="BM245" s="34" t="str">
        <f t="shared" ref="BM245" si="6071">IF(SUBTOTAL(9,BM246:BM250)&gt;0,SUBTOTAL(9,BM246:BM250),"")</f>
        <v/>
      </c>
      <c r="BN245" s="34" t="str">
        <f t="shared" ref="BN245" si="6072">IF(SUBTOTAL(9,BN246:BN250)&gt;0,SUBTOTAL(9,BN246:BN250),"")</f>
        <v/>
      </c>
      <c r="BO245" s="34" t="str">
        <f t="shared" ref="BO245" si="6073">IF(SUBTOTAL(9,BO246:BO250)&gt;0,SUBTOTAL(9,BO246:BO250),"")</f>
        <v/>
      </c>
      <c r="BP245" s="34" t="str">
        <f t="shared" ref="BP245" si="6074">IF(SUBTOTAL(9,BP246:BP250)&gt;0,SUBTOTAL(9,BP246:BP250),"")</f>
        <v/>
      </c>
      <c r="BQ245" s="34" t="str">
        <f t="shared" ref="BQ245" si="6075">IF(SUBTOTAL(9,BQ246:BQ250)&gt;0,SUBTOTAL(9,BQ246:BQ250),"")</f>
        <v/>
      </c>
      <c r="BR245" s="34" t="str">
        <f t="shared" ref="BR245" si="6076">IF(SUBTOTAL(9,BR246:BR250)&gt;0,SUBTOTAL(9,BR246:BR250),"")</f>
        <v/>
      </c>
      <c r="BS245" s="34" t="str">
        <f t="shared" ref="BS245" si="6077">IF(SUBTOTAL(9,BS246:BS250)&gt;0,SUBTOTAL(9,BS246:BS250),"")</f>
        <v/>
      </c>
      <c r="BT245" s="34" t="str">
        <f t="shared" ref="BT245" si="6078">IF(SUBTOTAL(9,BT246:BT250)&gt;0,SUBTOTAL(9,BT246:BT250),"")</f>
        <v/>
      </c>
      <c r="BU245" s="34" t="str">
        <f t="shared" ref="BU245" si="6079">IF(SUBTOTAL(9,BU246:BU250)&gt;0,SUBTOTAL(9,BU246:BU250),"")</f>
        <v/>
      </c>
      <c r="BV245" s="34" t="str">
        <f t="shared" ref="BV245" si="6080">IF(SUBTOTAL(9,BV246:BV250)&gt;0,SUBTOTAL(9,BV246:BV250),"")</f>
        <v/>
      </c>
      <c r="BW245" s="34" t="str">
        <f t="shared" ref="BW245" si="6081">IF(SUBTOTAL(9,BW246:BW250)&gt;0,SUBTOTAL(9,BW246:BW250),"")</f>
        <v/>
      </c>
      <c r="BX245" s="34" t="str">
        <f t="shared" ref="BX245" si="6082">IF(SUBTOTAL(9,BX246:BX250)&gt;0,SUBTOTAL(9,BX246:BX250),"")</f>
        <v/>
      </c>
      <c r="BY245" s="34" t="str">
        <f t="shared" ref="BY245" si="6083">IF(SUBTOTAL(9,BY246:BY250)&gt;0,SUBTOTAL(9,BY246:BY250),"")</f>
        <v/>
      </c>
      <c r="BZ245" s="34" t="str">
        <f t="shared" ref="BZ245" si="6084">IF(SUBTOTAL(9,BZ246:BZ250)&gt;0,SUBTOTAL(9,BZ246:BZ250),"")</f>
        <v/>
      </c>
      <c r="CA245" s="34" t="str">
        <f t="shared" ref="CA245" si="6085">IF(SUBTOTAL(9,CA246:CA250)&gt;0,SUBTOTAL(9,CA246:CA250),"")</f>
        <v/>
      </c>
      <c r="CB245" s="34" t="str">
        <f t="shared" ref="CB245" si="6086">IF(SUBTOTAL(9,CB246:CB250)&gt;0,SUBTOTAL(9,CB246:CB250),"")</f>
        <v/>
      </c>
      <c r="CC245" s="34" t="str">
        <f t="shared" ref="CC245" si="6087">IF(SUBTOTAL(9,CC246:CC250)&gt;0,SUBTOTAL(9,CC246:CC250),"")</f>
        <v/>
      </c>
      <c r="CD245" s="34" t="str">
        <f t="shared" ref="CD245" si="6088">IF(SUBTOTAL(9,CD246:CD250)&gt;0,SUBTOTAL(9,CD246:CD250),"")</f>
        <v/>
      </c>
      <c r="CE245" s="34" t="str">
        <f t="shared" ref="CE245" si="6089">IF(SUBTOTAL(9,CE246:CE250)&gt;0,SUBTOTAL(9,CE246:CE250),"")</f>
        <v/>
      </c>
      <c r="CF245" s="34" t="str">
        <f t="shared" ref="CF245:CG245" si="6090">IF(SUBTOTAL(9,CF246:CF250)&gt;0,SUBTOTAL(9,CF246:CF250),"")</f>
        <v/>
      </c>
      <c r="CG245" s="34" t="str">
        <f t="shared" si="6090"/>
        <v/>
      </c>
      <c r="CH245" s="34" t="str">
        <f t="shared" ref="CH245" si="6091">IF(SUBTOTAL(9,CH246:CH250)&gt;0,SUBTOTAL(9,CH246:CH250),"")</f>
        <v/>
      </c>
      <c r="CI245" s="34" t="str">
        <f t="shared" ref="CI245" si="6092">IF(SUBTOTAL(9,CI246:CI250)&gt;0,SUBTOTAL(9,CI246:CI250),"")</f>
        <v/>
      </c>
      <c r="CJ245" s="34" t="str">
        <f t="shared" ref="CJ245" si="6093">IF(SUBTOTAL(9,CJ246:CJ250)&gt;0,SUBTOTAL(9,CJ246:CJ250),"")</f>
        <v/>
      </c>
      <c r="CK245" s="34" t="str">
        <f t="shared" ref="CK245" si="6094">IF(SUBTOTAL(9,CK246:CK250)&gt;0,SUBTOTAL(9,CK246:CK250),"")</f>
        <v/>
      </c>
      <c r="CL245" s="34" t="str">
        <f t="shared" ref="CL245" si="6095">IF(SUBTOTAL(9,CL246:CL250)&gt;0,SUBTOTAL(9,CL246:CL250),"")</f>
        <v/>
      </c>
      <c r="CM245" s="34" t="str">
        <f t="shared" ref="CM245" si="6096">IF(SUBTOTAL(9,CM246:CM250)&gt;0,SUBTOTAL(9,CM246:CM250),"")</f>
        <v/>
      </c>
      <c r="CN245" s="34" t="str">
        <f t="shared" ref="CN245" si="6097">IF(SUBTOTAL(9,CN246:CN250)&gt;0,SUBTOTAL(9,CN246:CN250),"")</f>
        <v/>
      </c>
      <c r="CO245" s="34" t="str">
        <f t="shared" ref="CO245" si="6098">IF(SUBTOTAL(9,CO246:CO250)&gt;0,SUBTOTAL(9,CO246:CO250),"")</f>
        <v/>
      </c>
      <c r="CP245" s="34" t="str">
        <f t="shared" ref="CP245" si="6099">IF(SUBTOTAL(9,CP246:CP250)&gt;0,SUBTOTAL(9,CP246:CP250),"")</f>
        <v/>
      </c>
      <c r="CQ245" s="34" t="str">
        <f t="shared" ref="CQ245" si="6100">IF(SUBTOTAL(9,CQ246:CQ250)&gt;0,SUBTOTAL(9,CQ246:CQ250),"")</f>
        <v/>
      </c>
      <c r="CR245" s="34" t="str">
        <f t="shared" ref="CR245" si="6101">IF(SUBTOTAL(9,CR246:CR250)&gt;0,SUBTOTAL(9,CR246:CR250),"")</f>
        <v/>
      </c>
      <c r="CS245" s="34" t="str">
        <f t="shared" ref="CS245" si="6102">IF(SUBTOTAL(9,CS246:CS250)&gt;0,SUBTOTAL(9,CS246:CS250),"")</f>
        <v/>
      </c>
      <c r="CT245" s="33" t="str">
        <f t="shared" ref="CT245" si="6103">IF(SUBTOTAL(9,CT246:CT250)&gt;0,SUBTOTAL(9,CT246:CT250),"")</f>
        <v/>
      </c>
      <c r="CU245" s="34" t="str">
        <f t="shared" ref="CU245" si="6104">IF(SUBTOTAL(9,CU246:CU250)&gt;0,SUBTOTAL(9,CU246:CU250),"")</f>
        <v/>
      </c>
      <c r="CV245" s="34" t="str">
        <f t="shared" ref="CV245" si="6105">IF(SUBTOTAL(9,CV246:CV250)&gt;0,SUBTOTAL(9,CV246:CV250),"")</f>
        <v/>
      </c>
      <c r="CW245" s="34" t="str">
        <f t="shared" ref="CW245" si="6106">IF(SUBTOTAL(9,CW246:CW250)&gt;0,SUBTOTAL(9,CW246:CW250),"")</f>
        <v/>
      </c>
      <c r="CX245" s="34" t="str">
        <f t="shared" ref="CX245" si="6107">IF(SUBTOTAL(9,CX246:CX250)&gt;0,SUBTOTAL(9,CX246:CX250),"")</f>
        <v/>
      </c>
      <c r="CY245" s="34" t="str">
        <f t="shared" ref="CY245" si="6108">IF(SUBTOTAL(9,CY246:CY250)&gt;0,SUBTOTAL(9,CY246:CY250),"")</f>
        <v/>
      </c>
      <c r="CZ245" s="33" t="str">
        <f t="shared" ref="CZ245" si="6109">IF(SUBTOTAL(9,CZ246:CZ250)&gt;0,SUBTOTAL(9,CZ246:CZ250),"")</f>
        <v/>
      </c>
      <c r="DA245" s="33" t="str">
        <f t="shared" ref="DA245" si="6110">IF(SUBTOTAL(9,DA246:DA250)&gt;0,SUBTOTAL(9,DA246:DA250),"")</f>
        <v/>
      </c>
      <c r="DB245" s="34" t="str">
        <f t="shared" ref="DB245" si="6111">IF(SUBTOTAL(9,DB246:DB250)&gt;0,SUBTOTAL(9,DB246:DB250),"")</f>
        <v/>
      </c>
      <c r="DC245" s="34" t="str">
        <f t="shared" ref="DC245" si="6112">IF(SUBTOTAL(9,DC246:DC250)&gt;0,SUBTOTAL(9,DC246:DC250),"")</f>
        <v/>
      </c>
      <c r="DD245" s="34" t="str">
        <f t="shared" ref="DD245" si="6113">IF(SUBTOTAL(9,DD246:DD250)&gt;0,SUBTOTAL(9,DD246:DD250),"")</f>
        <v/>
      </c>
      <c r="DE245" s="34" t="str">
        <f t="shared" ref="DE245" si="6114">IF(SUBTOTAL(9,DE246:DE250)&gt;0,SUBTOTAL(9,DE246:DE250),"")</f>
        <v/>
      </c>
      <c r="DF245" s="34" t="str">
        <f t="shared" ref="DF245" si="6115">IF(SUBTOTAL(9,DF246:DF250)&gt;0,SUBTOTAL(9,DF246:DF250),"")</f>
        <v/>
      </c>
      <c r="DG245" s="34" t="str">
        <f t="shared" ref="DG245" si="6116">IF(SUBTOTAL(9,DG246:DG250)&gt;0,SUBTOTAL(9,DG246:DG250),"")</f>
        <v/>
      </c>
      <c r="DH245" s="34" t="str">
        <f t="shared" ref="DH245" si="6117">IF(SUBTOTAL(9,DH246:DH250)&gt;0,SUBTOTAL(9,DH246:DH250),"")</f>
        <v/>
      </c>
      <c r="DI245" s="34" t="str">
        <f t="shared" ref="DI245" si="6118">IF(SUBTOTAL(9,DI246:DI250)&gt;0,SUBTOTAL(9,DI246:DI250),"")</f>
        <v/>
      </c>
      <c r="DJ245" s="34" t="str">
        <f t="shared" ref="DJ245" si="6119">IF(SUBTOTAL(9,DJ246:DJ250)&gt;0,SUBTOTAL(9,DJ246:DJ250),"")</f>
        <v/>
      </c>
      <c r="DK245" s="34" t="str">
        <f t="shared" ref="DK245" si="6120">IF(SUBTOTAL(9,DK246:DK250)&gt;0,SUBTOTAL(9,DK246:DK250),"")</f>
        <v/>
      </c>
      <c r="DL245" s="34" t="str">
        <f t="shared" ref="DL245" si="6121">IF(SUBTOTAL(9,DL246:DL250)&gt;0,SUBTOTAL(9,DL246:DL250),"")</f>
        <v/>
      </c>
      <c r="DM245" s="34" t="str">
        <f t="shared" ref="DM245" si="6122">IF(SUBTOTAL(9,DM246:DM250)&gt;0,SUBTOTAL(9,DM246:DM250),"")</f>
        <v/>
      </c>
      <c r="DN245" s="34" t="str">
        <f t="shared" ref="DN245" si="6123">IF(SUBTOTAL(9,DN246:DN250)&gt;0,SUBTOTAL(9,DN246:DN250),"")</f>
        <v/>
      </c>
      <c r="DO245" s="34" t="str">
        <f t="shared" ref="DO245" si="6124">IF(SUBTOTAL(9,DO246:DO250)&gt;0,SUBTOTAL(9,DO246:DO250),"")</f>
        <v/>
      </c>
      <c r="DP245" s="34" t="str">
        <f t="shared" ref="DP245" si="6125">IF(SUBTOTAL(9,DP246:DP250)&gt;0,SUBTOTAL(9,DP246:DP250),"")</f>
        <v/>
      </c>
      <c r="DQ245" s="34" t="str">
        <f t="shared" ref="DQ245" si="6126">IF(SUBTOTAL(9,DQ246:DQ250)&gt;0,SUBTOTAL(9,DQ246:DQ250),"")</f>
        <v/>
      </c>
      <c r="DR245" s="34" t="str">
        <f t="shared" ref="DR245" si="6127">IF(SUBTOTAL(9,DR246:DR250)&gt;0,SUBTOTAL(9,DR246:DR250),"")</f>
        <v/>
      </c>
      <c r="DS245" s="34" t="str">
        <f t="shared" ref="DS245" si="6128">IF(SUBTOTAL(9,DS246:DS250)&gt;0,SUBTOTAL(9,DS246:DS250),"")</f>
        <v/>
      </c>
      <c r="DT245" s="34" t="str">
        <f t="shared" ref="DT245" si="6129">IF(SUBTOTAL(9,DT246:DT250)&gt;0,SUBTOTAL(9,DT246:DT250),"")</f>
        <v/>
      </c>
      <c r="DU245" s="34" t="str">
        <f t="shared" ref="DU245" si="6130">IF(SUBTOTAL(9,DU246:DU250)&gt;0,SUBTOTAL(9,DU246:DU250),"")</f>
        <v/>
      </c>
      <c r="DV245" s="34" t="str">
        <f t="shared" ref="DV245" si="6131">IF(SUBTOTAL(9,DV246:DV250)&gt;0,SUBTOTAL(9,DV246:DV250),"")</f>
        <v/>
      </c>
      <c r="DW245" s="34" t="str">
        <f t="shared" ref="DW245" si="6132">IF(SUBTOTAL(9,DW246:DW250)&gt;0,SUBTOTAL(9,DW246:DW250),"")</f>
        <v/>
      </c>
      <c r="DX245" s="34">
        <f t="shared" ref="DX245" si="6133">IF(SUBTOTAL(9,DX246:DX250)&gt;0,SUBTOTAL(9,DX246:DX250),"")</f>
        <v>1</v>
      </c>
      <c r="DY245" s="34" t="str">
        <f t="shared" ref="DY245" si="6134">IF(SUBTOTAL(9,DY246:DY250)&gt;0,SUBTOTAL(9,DY246:DY250),"")</f>
        <v/>
      </c>
      <c r="DZ245" s="33" t="str">
        <f t="shared" ref="DZ245" si="6135">IF(SUBTOTAL(9,DZ246:DZ250)&gt;0,SUBTOTAL(9,DZ246:DZ250),"")</f>
        <v/>
      </c>
      <c r="EA245" s="34" t="str">
        <f t="shared" ref="EA245" si="6136">IF(SUBTOTAL(9,EA246:EA250)&gt;0,SUBTOTAL(9,EA246:EA250),"")</f>
        <v/>
      </c>
      <c r="EB245" s="34" t="str">
        <f t="shared" ref="EB245" si="6137">IF(SUBTOTAL(9,EB246:EB250)&gt;0,SUBTOTAL(9,EB246:EB250),"")</f>
        <v/>
      </c>
      <c r="EC245" s="34" t="str">
        <f t="shared" ref="EC245" si="6138">IF(SUBTOTAL(9,EC246:EC250)&gt;0,SUBTOTAL(9,EC246:EC250),"")</f>
        <v/>
      </c>
      <c r="ED245" s="34" t="str">
        <f t="shared" ref="ED245" si="6139">IF(SUBTOTAL(9,ED246:ED250)&gt;0,SUBTOTAL(9,ED246:ED250),"")</f>
        <v/>
      </c>
      <c r="EE245" s="34" t="str">
        <f t="shared" ref="EE245" si="6140">IF(SUBTOTAL(9,EE246:EE250)&gt;0,SUBTOTAL(9,EE246:EE250),"")</f>
        <v/>
      </c>
      <c r="EF245" s="34" t="str">
        <f t="shared" ref="EF245" si="6141">IF(SUBTOTAL(9,EF246:EF250)&gt;0,SUBTOTAL(9,EF246:EF250),"")</f>
        <v/>
      </c>
      <c r="EG245" s="34" t="str">
        <f t="shared" ref="EG245" si="6142">IF(SUBTOTAL(9,EG246:EG250)&gt;0,SUBTOTAL(9,EG246:EG250),"")</f>
        <v/>
      </c>
      <c r="EH245" s="34" t="str">
        <f t="shared" ref="EH245" si="6143">IF(SUBTOTAL(9,EH246:EH250)&gt;0,SUBTOTAL(9,EH246:EH250),"")</f>
        <v/>
      </c>
      <c r="EI245" s="34" t="str">
        <f t="shared" ref="EI245" si="6144">IF(SUBTOTAL(9,EI246:EI250)&gt;0,SUBTOTAL(9,EI246:EI250),"")</f>
        <v/>
      </c>
      <c r="EJ245" s="34" t="str">
        <f t="shared" ref="EJ245" si="6145">IF(SUBTOTAL(9,EJ246:EJ250)&gt;0,SUBTOTAL(9,EJ246:EJ250),"")</f>
        <v/>
      </c>
      <c r="EK245" s="34" t="str">
        <f t="shared" ref="EK245" si="6146">IF(SUBTOTAL(9,EK246:EK250)&gt;0,SUBTOTAL(9,EK246:EK250),"")</f>
        <v/>
      </c>
      <c r="EL245" s="34" t="str">
        <f t="shared" ref="EL245" si="6147">IF(SUBTOTAL(9,EL246:EL250)&gt;0,SUBTOTAL(9,EL246:EL250),"")</f>
        <v/>
      </c>
      <c r="EM245" s="34" t="str">
        <f t="shared" ref="EM245" si="6148">IF(SUBTOTAL(9,EM246:EM250)&gt;0,SUBTOTAL(9,EM246:EM250),"")</f>
        <v/>
      </c>
      <c r="EN245" s="34" t="str">
        <f t="shared" ref="EN245" si="6149">IF(SUBTOTAL(9,EN246:EN250)&gt;0,SUBTOTAL(9,EN246:EN250),"")</f>
        <v/>
      </c>
      <c r="EO245" s="34" t="str">
        <f t="shared" ref="EO245" si="6150">IF(SUBTOTAL(9,EO246:EO250)&gt;0,SUBTOTAL(9,EO246:EO250),"")</f>
        <v/>
      </c>
      <c r="EP245" s="34" t="str">
        <f t="shared" ref="EP245" si="6151">IF(SUBTOTAL(9,EP246:EP250)&gt;0,SUBTOTAL(9,EP246:EP250),"")</f>
        <v/>
      </c>
      <c r="EQ245" s="34" t="str">
        <f t="shared" ref="EQ245" si="6152">IF(SUBTOTAL(9,EQ246:EQ250)&gt;0,SUBTOTAL(9,EQ246:EQ250),"")</f>
        <v/>
      </c>
      <c r="ER245" s="34" t="str">
        <f t="shared" ref="ER245" si="6153">IF(SUBTOTAL(9,ER246:ER250)&gt;0,SUBTOTAL(9,ER246:ER250),"")</f>
        <v/>
      </c>
      <c r="ES245" s="34" t="str">
        <f t="shared" ref="ES245" si="6154">IF(SUBTOTAL(9,ES246:ES250)&gt;0,SUBTOTAL(9,ES246:ES250),"")</f>
        <v/>
      </c>
      <c r="ET245" s="34" t="str">
        <f t="shared" ref="ET245" si="6155">IF(SUBTOTAL(9,ET246:ET250)&gt;0,SUBTOTAL(9,ET246:ET250),"")</f>
        <v/>
      </c>
      <c r="EU245" s="34" t="str">
        <f t="shared" ref="EU245" si="6156">IF(SUBTOTAL(9,EU246:EU250)&gt;0,SUBTOTAL(9,EU246:EU250),"")</f>
        <v/>
      </c>
      <c r="EV245" s="34" t="str">
        <f t="shared" ref="EV245" si="6157">IF(SUBTOTAL(9,EV246:EV250)&gt;0,SUBTOTAL(9,EV246:EV250),"")</f>
        <v/>
      </c>
      <c r="EW245" s="34" t="str">
        <f t="shared" ref="EW245" si="6158">IF(SUBTOTAL(9,EW246:EW250)&gt;0,SUBTOTAL(9,EW246:EW250),"")</f>
        <v/>
      </c>
      <c r="EX245" s="34" t="str">
        <f t="shared" ref="EX245" si="6159">IF(SUBTOTAL(9,EX246:EX250)&gt;0,SUBTOTAL(9,EX246:EX250),"")</f>
        <v/>
      </c>
      <c r="EY245" s="33" t="str">
        <f t="shared" ref="EY245" si="6160">IF(SUBTOTAL(9,EY246:EY250)&gt;0,SUBTOTAL(9,EY246:EY250),"")</f>
        <v/>
      </c>
      <c r="EZ245" s="34" t="str">
        <f t="shared" ref="EZ245" si="6161">IF(SUBTOTAL(9,EZ246:EZ250)&gt;0,SUBTOTAL(9,EZ246:EZ250),"")</f>
        <v/>
      </c>
      <c r="FA245" s="34" t="str">
        <f t="shared" ref="FA245" si="6162">IF(SUBTOTAL(9,FA246:FA250)&gt;0,SUBTOTAL(9,FA246:FA250),"")</f>
        <v/>
      </c>
      <c r="FB245" s="34" t="str">
        <f t="shared" ref="FB245" si="6163">IF(SUBTOTAL(9,FB246:FB250)&gt;0,SUBTOTAL(9,FB246:FB250),"")</f>
        <v/>
      </c>
      <c r="FC245" s="34" t="str">
        <f t="shared" ref="FC245" si="6164">IF(SUBTOTAL(9,FC246:FC250)&gt;0,SUBTOTAL(9,FC246:FC250),"")</f>
        <v/>
      </c>
      <c r="FD245" s="34" t="str">
        <f t="shared" ref="FD245" si="6165">IF(SUBTOTAL(9,FD246:FD250)&gt;0,SUBTOTAL(9,FD246:FD250),"")</f>
        <v/>
      </c>
      <c r="FE245" s="34" t="str">
        <f t="shared" ref="FE245" si="6166">IF(SUBTOTAL(9,FE246:FE250)&gt;0,SUBTOTAL(9,FE246:FE250),"")</f>
        <v/>
      </c>
      <c r="FF245" s="34" t="str">
        <f t="shared" ref="FF245" si="6167">IF(SUBTOTAL(9,FF246:FF250)&gt;0,SUBTOTAL(9,FF246:FF250),"")</f>
        <v/>
      </c>
      <c r="FG245" s="34" t="str">
        <f t="shared" ref="FG245" si="6168">IF(SUBTOTAL(9,FG246:FG250)&gt;0,SUBTOTAL(9,FG246:FG250),"")</f>
        <v/>
      </c>
      <c r="FH245" s="34" t="str">
        <f t="shared" ref="FH245" si="6169">IF(SUBTOTAL(9,FH246:FH250)&gt;0,SUBTOTAL(9,FH246:FH250),"")</f>
        <v/>
      </c>
      <c r="FI245" s="34" t="str">
        <f t="shared" ref="FI245" si="6170">IF(SUBTOTAL(9,FI246:FI250)&gt;0,SUBTOTAL(9,FI246:FI250),"")</f>
        <v/>
      </c>
      <c r="FJ245" s="34" t="str">
        <f t="shared" ref="FJ245" si="6171">IF(SUBTOTAL(9,FJ246:FJ250)&gt;0,SUBTOTAL(9,FJ246:FJ250),"")</f>
        <v/>
      </c>
      <c r="FK245" s="34" t="str">
        <f t="shared" ref="FK245" si="6172">IF(SUBTOTAL(9,FK246:FK250)&gt;0,SUBTOTAL(9,FK246:FK250),"")</f>
        <v/>
      </c>
      <c r="FL245" s="34" t="str">
        <f t="shared" ref="FL245" si="6173">IF(SUBTOTAL(9,FL246:FL250)&gt;0,SUBTOTAL(9,FL246:FL250),"")</f>
        <v/>
      </c>
      <c r="FM245" s="34" t="str">
        <f t="shared" ref="FM245" si="6174">IF(SUBTOTAL(9,FM246:FM250)&gt;0,SUBTOTAL(9,FM246:FM250),"")</f>
        <v/>
      </c>
      <c r="FN245" s="34" t="str">
        <f t="shared" ref="FN245" si="6175">IF(SUBTOTAL(9,FN246:FN250)&gt;0,SUBTOTAL(9,FN246:FN250),"")</f>
        <v/>
      </c>
      <c r="FO245" s="34" t="str">
        <f t="shared" ref="FO245" si="6176">IF(SUBTOTAL(9,FO246:FO250)&gt;0,SUBTOTAL(9,FO246:FO250),"")</f>
        <v/>
      </c>
      <c r="FP245" s="34" t="str">
        <f t="shared" ref="FP245" si="6177">IF(SUBTOTAL(9,FP246:FP250)&gt;0,SUBTOTAL(9,FP246:FP250),"")</f>
        <v/>
      </c>
      <c r="FQ245" s="92" t="str">
        <f t="shared" ref="FQ245" si="6178">IF(SUBTOTAL(9,FQ246:FQ250)&gt;0,SUBTOTAL(9,FQ246:FQ250),"")</f>
        <v/>
      </c>
      <c r="FR245" s="8"/>
      <c r="FS245" s="9" t="s">
        <v>131</v>
      </c>
      <c r="FT245" s="9" t="str">
        <f t="shared" si="5254"/>
        <v/>
      </c>
    </row>
    <row r="246" spans="1:176" s="9" customFormat="1" ht="12" hidden="1" customHeight="1" outlineLevel="1">
      <c r="A246" s="122" t="s">
        <v>4</v>
      </c>
      <c r="B246" s="123" t="s">
        <v>6</v>
      </c>
      <c r="C246" s="124" t="str">
        <f t="shared" si="5114"/>
        <v>1 days</v>
      </c>
      <c r="D246" s="13" t="str">
        <f>A226&amp;" "&amp;A245</f>
        <v>8. NSTs/ECB Development &amp; Reporting 8.4 Sign-off</v>
      </c>
      <c r="E246" s="51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5"/>
      <c r="AE246" s="35"/>
      <c r="AF246" s="35"/>
      <c r="AG246" s="35"/>
      <c r="AH246" s="35"/>
      <c r="AI246" s="35"/>
      <c r="AJ246" s="35"/>
      <c r="AK246" s="35"/>
      <c r="AL246" s="36"/>
      <c r="AM246" s="36"/>
      <c r="AN246" s="36"/>
      <c r="AO246" s="36"/>
      <c r="AP246" s="36"/>
      <c r="AQ246" s="36"/>
      <c r="AR246" s="36"/>
      <c r="AS246" s="35"/>
      <c r="AT246" s="35"/>
      <c r="AU246" s="35"/>
      <c r="AV246" s="35"/>
      <c r="AW246" s="35"/>
      <c r="AX246" s="35"/>
      <c r="AY246" s="35"/>
      <c r="AZ246" s="35"/>
      <c r="BA246" s="35"/>
      <c r="BB246" s="35"/>
      <c r="BC246" s="35"/>
      <c r="BD246" s="35"/>
      <c r="BE246" s="35"/>
      <c r="BF246" s="35"/>
      <c r="BG246" s="35"/>
      <c r="BH246" s="35"/>
      <c r="BI246" s="35"/>
      <c r="BJ246" s="35"/>
      <c r="BK246" s="35"/>
      <c r="BL246" s="35"/>
      <c r="BM246" s="35"/>
      <c r="BN246" s="35"/>
      <c r="BO246" s="35"/>
      <c r="BP246" s="35"/>
      <c r="BQ246" s="35"/>
      <c r="BR246" s="35"/>
      <c r="BS246" s="35"/>
      <c r="BT246" s="35"/>
      <c r="BU246" s="35"/>
      <c r="BV246" s="35"/>
      <c r="BW246" s="35"/>
      <c r="BX246" s="35"/>
      <c r="BY246" s="35"/>
      <c r="BZ246" s="35"/>
      <c r="CA246" s="35"/>
      <c r="CB246" s="35"/>
      <c r="CC246" s="35"/>
      <c r="CD246" s="35"/>
      <c r="CE246" s="35"/>
      <c r="CF246" s="35"/>
      <c r="CG246" s="35"/>
      <c r="CH246" s="35"/>
      <c r="CI246" s="35"/>
      <c r="CJ246" s="35"/>
      <c r="CK246" s="35"/>
      <c r="CL246" s="35"/>
      <c r="CM246" s="35"/>
      <c r="CN246" s="35"/>
      <c r="CO246" s="35"/>
      <c r="CP246" s="35"/>
      <c r="CQ246" s="35"/>
      <c r="CR246" s="35"/>
      <c r="CS246" s="35"/>
      <c r="CT246" s="36"/>
      <c r="CU246" s="35"/>
      <c r="CV246" s="35"/>
      <c r="CW246" s="35"/>
      <c r="CX246" s="35"/>
      <c r="CY246" s="35"/>
      <c r="CZ246" s="36"/>
      <c r="DA246" s="36"/>
      <c r="DB246" s="35"/>
      <c r="DC246" s="35"/>
      <c r="DD246" s="35"/>
      <c r="DE246" s="35"/>
      <c r="DF246" s="35"/>
      <c r="DG246" s="35"/>
      <c r="DH246" s="35"/>
      <c r="DI246" s="35"/>
      <c r="DJ246" s="35"/>
      <c r="DK246" s="35"/>
      <c r="DL246" s="35"/>
      <c r="DM246" s="35"/>
      <c r="DN246" s="35"/>
      <c r="DO246" s="35"/>
      <c r="DP246" s="35"/>
      <c r="DQ246" s="35"/>
      <c r="DR246" s="35"/>
      <c r="DS246" s="35"/>
      <c r="DT246" s="35"/>
      <c r="DU246" s="35"/>
      <c r="DV246" s="35"/>
      <c r="DW246" s="35"/>
      <c r="DX246" s="35">
        <v>0.5</v>
      </c>
      <c r="DY246" s="35"/>
      <c r="DZ246" s="36"/>
      <c r="EA246" s="35"/>
      <c r="EB246" s="35"/>
      <c r="EC246" s="35"/>
      <c r="ED246" s="35"/>
      <c r="EE246" s="35"/>
      <c r="EF246" s="35"/>
      <c r="EG246" s="35"/>
      <c r="EH246" s="35"/>
      <c r="EI246" s="35"/>
      <c r="EJ246" s="35"/>
      <c r="EK246" s="35"/>
      <c r="EL246" s="35"/>
      <c r="EM246" s="35"/>
      <c r="EN246" s="35"/>
      <c r="EO246" s="35"/>
      <c r="EP246" s="35"/>
      <c r="EQ246" s="35"/>
      <c r="ER246" s="35"/>
      <c r="ES246" s="35"/>
      <c r="ET246" s="35"/>
      <c r="EU246" s="35"/>
      <c r="EV246" s="35"/>
      <c r="EW246" s="35"/>
      <c r="EX246" s="35"/>
      <c r="EY246" s="36"/>
      <c r="EZ246" s="35"/>
      <c r="FA246" s="35"/>
      <c r="FB246" s="35"/>
      <c r="FC246" s="35"/>
      <c r="FD246" s="35"/>
      <c r="FE246" s="35"/>
      <c r="FF246" s="35"/>
      <c r="FG246" s="35"/>
      <c r="FH246" s="35"/>
      <c r="FI246" s="35"/>
      <c r="FJ246" s="35"/>
      <c r="FK246" s="35"/>
      <c r="FL246" s="35"/>
      <c r="FM246" s="35"/>
      <c r="FN246" s="35"/>
      <c r="FO246" s="35"/>
      <c r="FP246" s="35"/>
      <c r="FQ246" s="52"/>
      <c r="FR246" s="8"/>
      <c r="FS246" s="9" t="s">
        <v>13</v>
      </c>
      <c r="FT246" s="9" t="str">
        <f t="shared" si="5254"/>
        <v>8. NSTs/ECB Development &amp; Reporting 8.4 Sign-offPeter Sherry</v>
      </c>
    </row>
    <row r="247" spans="1:176" s="9" customFormat="1" ht="12" hidden="1" customHeight="1" outlineLevel="1">
      <c r="A247" s="122" t="s">
        <v>4</v>
      </c>
      <c r="B247" s="123" t="s">
        <v>5</v>
      </c>
      <c r="C247" s="124" t="str">
        <f t="shared" si="5114"/>
        <v>1 days</v>
      </c>
      <c r="D247" s="13" t="str">
        <f>A226&amp;" "&amp;A245</f>
        <v>8. NSTs/ECB Development &amp; Reporting 8.4 Sign-off</v>
      </c>
      <c r="E247" s="51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5"/>
      <c r="AE247" s="35"/>
      <c r="AF247" s="35"/>
      <c r="AG247" s="35"/>
      <c r="AH247" s="35"/>
      <c r="AI247" s="35"/>
      <c r="AJ247" s="35"/>
      <c r="AK247" s="35"/>
      <c r="AL247" s="36"/>
      <c r="AM247" s="36"/>
      <c r="AN247" s="36"/>
      <c r="AO247" s="36"/>
      <c r="AP247" s="36"/>
      <c r="AQ247" s="36"/>
      <c r="AR247" s="36"/>
      <c r="AS247" s="35"/>
      <c r="AT247" s="35"/>
      <c r="AU247" s="35"/>
      <c r="AV247" s="35"/>
      <c r="AW247" s="35"/>
      <c r="AX247" s="35"/>
      <c r="AY247" s="35"/>
      <c r="AZ247" s="35"/>
      <c r="BA247" s="35"/>
      <c r="BB247" s="35"/>
      <c r="BC247" s="35"/>
      <c r="BD247" s="35"/>
      <c r="BE247" s="35"/>
      <c r="BF247" s="35"/>
      <c r="BG247" s="35"/>
      <c r="BH247" s="35"/>
      <c r="BI247" s="35"/>
      <c r="BJ247" s="35"/>
      <c r="BK247" s="35"/>
      <c r="BL247" s="35"/>
      <c r="BM247" s="35"/>
      <c r="BN247" s="35"/>
      <c r="BO247" s="35"/>
      <c r="BP247" s="35"/>
      <c r="BQ247" s="35"/>
      <c r="BR247" s="35"/>
      <c r="BS247" s="35"/>
      <c r="BT247" s="35"/>
      <c r="BU247" s="35"/>
      <c r="BV247" s="35"/>
      <c r="BW247" s="35"/>
      <c r="BX247" s="35"/>
      <c r="BY247" s="35"/>
      <c r="BZ247" s="35"/>
      <c r="CA247" s="35"/>
      <c r="CB247" s="35"/>
      <c r="CC247" s="35"/>
      <c r="CD247" s="35"/>
      <c r="CE247" s="35"/>
      <c r="CF247" s="35"/>
      <c r="CG247" s="35"/>
      <c r="CH247" s="35"/>
      <c r="CI247" s="35"/>
      <c r="CJ247" s="35"/>
      <c r="CK247" s="35"/>
      <c r="CL247" s="35"/>
      <c r="CM247" s="35"/>
      <c r="CN247" s="35"/>
      <c r="CO247" s="35"/>
      <c r="CP247" s="35"/>
      <c r="CQ247" s="35"/>
      <c r="CR247" s="35"/>
      <c r="CS247" s="35"/>
      <c r="CT247" s="36"/>
      <c r="CU247" s="35"/>
      <c r="CV247" s="35"/>
      <c r="CW247" s="35"/>
      <c r="CX247" s="35"/>
      <c r="CY247" s="35"/>
      <c r="CZ247" s="36"/>
      <c r="DA247" s="36"/>
      <c r="DB247" s="35"/>
      <c r="DC247" s="35"/>
      <c r="DD247" s="35"/>
      <c r="DE247" s="35"/>
      <c r="DF247" s="35"/>
      <c r="DG247" s="35"/>
      <c r="DH247" s="35"/>
      <c r="DI247" s="35"/>
      <c r="DJ247" s="35"/>
      <c r="DK247" s="35"/>
      <c r="DL247" s="35"/>
      <c r="DM247" s="35"/>
      <c r="DN247" s="35"/>
      <c r="DO247" s="35"/>
      <c r="DP247" s="35"/>
      <c r="DQ247" s="35"/>
      <c r="DR247" s="35"/>
      <c r="DS247" s="35"/>
      <c r="DT247" s="35"/>
      <c r="DU247" s="35"/>
      <c r="DV247" s="35"/>
      <c r="DW247" s="35"/>
      <c r="DX247" s="35">
        <v>0.5</v>
      </c>
      <c r="DY247" s="35"/>
      <c r="DZ247" s="36"/>
      <c r="EA247" s="35"/>
      <c r="EB247" s="35"/>
      <c r="EC247" s="35"/>
      <c r="ED247" s="35"/>
      <c r="EE247" s="35"/>
      <c r="EF247" s="35"/>
      <c r="EG247" s="35"/>
      <c r="EH247" s="35"/>
      <c r="EI247" s="35"/>
      <c r="EJ247" s="35"/>
      <c r="EK247" s="35"/>
      <c r="EL247" s="35"/>
      <c r="EM247" s="35"/>
      <c r="EN247" s="35"/>
      <c r="EO247" s="35"/>
      <c r="EP247" s="35"/>
      <c r="EQ247" s="35"/>
      <c r="ER247" s="35"/>
      <c r="ES247" s="35"/>
      <c r="ET247" s="35"/>
      <c r="EU247" s="35"/>
      <c r="EV247" s="35"/>
      <c r="EW247" s="35"/>
      <c r="EX247" s="35"/>
      <c r="EY247" s="36"/>
      <c r="EZ247" s="35"/>
      <c r="FA247" s="35"/>
      <c r="FB247" s="35"/>
      <c r="FC247" s="35"/>
      <c r="FD247" s="35"/>
      <c r="FE247" s="35"/>
      <c r="FF247" s="35"/>
      <c r="FG247" s="35"/>
      <c r="FH247" s="35"/>
      <c r="FI247" s="35"/>
      <c r="FJ247" s="35"/>
      <c r="FK247" s="35"/>
      <c r="FL247" s="35"/>
      <c r="FM247" s="35"/>
      <c r="FN247" s="35"/>
      <c r="FO247" s="35"/>
      <c r="FP247" s="35"/>
      <c r="FQ247" s="52"/>
      <c r="FR247" s="8"/>
      <c r="FS247" s="9" t="s">
        <v>13</v>
      </c>
      <c r="FT247" s="9" t="str">
        <f t="shared" si="5254"/>
        <v>8. NSTs/ECB Development &amp; Reporting 8.4 Sign-offKerry McConnell</v>
      </c>
    </row>
    <row r="248" spans="1:176" s="9" customFormat="1" ht="12" hidden="1" customHeight="1" outlineLevel="1">
      <c r="A248" s="125" t="s">
        <v>50</v>
      </c>
      <c r="B248" s="123"/>
      <c r="C248" s="124" t="str">
        <f t="shared" si="5114"/>
        <v>0 days</v>
      </c>
      <c r="D248" s="13" t="str">
        <f>A226&amp;" "&amp;A245</f>
        <v>8. NSTs/ECB Development &amp; Reporting 8.4 Sign-off</v>
      </c>
      <c r="E248" s="51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5"/>
      <c r="AE248" s="35"/>
      <c r="AF248" s="35"/>
      <c r="AG248" s="35"/>
      <c r="AH248" s="35"/>
      <c r="AI248" s="35"/>
      <c r="AJ248" s="35"/>
      <c r="AK248" s="35"/>
      <c r="AL248" s="36"/>
      <c r="AM248" s="36"/>
      <c r="AN248" s="36"/>
      <c r="AO248" s="36"/>
      <c r="AP248" s="36"/>
      <c r="AQ248" s="36"/>
      <c r="AR248" s="36"/>
      <c r="AS248" s="35"/>
      <c r="AT248" s="35"/>
      <c r="AU248" s="35"/>
      <c r="AV248" s="35"/>
      <c r="AW248" s="35"/>
      <c r="AX248" s="35"/>
      <c r="AY248" s="35"/>
      <c r="AZ248" s="35"/>
      <c r="BA248" s="35"/>
      <c r="BB248" s="35"/>
      <c r="BC248" s="35"/>
      <c r="BD248" s="35"/>
      <c r="BE248" s="35"/>
      <c r="BF248" s="35"/>
      <c r="BG248" s="35"/>
      <c r="BH248" s="35"/>
      <c r="BI248" s="35"/>
      <c r="BJ248" s="35"/>
      <c r="BK248" s="35"/>
      <c r="BL248" s="35"/>
      <c r="BM248" s="35"/>
      <c r="BN248" s="35"/>
      <c r="BO248" s="35"/>
      <c r="BP248" s="35"/>
      <c r="BQ248" s="35"/>
      <c r="BR248" s="35"/>
      <c r="BS248" s="35"/>
      <c r="BT248" s="35"/>
      <c r="BU248" s="35"/>
      <c r="BV248" s="35"/>
      <c r="BW248" s="35"/>
      <c r="BX248" s="35"/>
      <c r="BY248" s="35"/>
      <c r="BZ248" s="35"/>
      <c r="CA248" s="35"/>
      <c r="CB248" s="35"/>
      <c r="CC248" s="35"/>
      <c r="CD248" s="35"/>
      <c r="CE248" s="35"/>
      <c r="CF248" s="35"/>
      <c r="CG248" s="35"/>
      <c r="CH248" s="35"/>
      <c r="CI248" s="35"/>
      <c r="CJ248" s="35"/>
      <c r="CK248" s="35"/>
      <c r="CL248" s="35"/>
      <c r="CM248" s="35"/>
      <c r="CN248" s="35"/>
      <c r="CO248" s="35"/>
      <c r="CP248" s="35"/>
      <c r="CQ248" s="35"/>
      <c r="CR248" s="35"/>
      <c r="CS248" s="35"/>
      <c r="CT248" s="36"/>
      <c r="CU248" s="35"/>
      <c r="CV248" s="35"/>
      <c r="CW248" s="35"/>
      <c r="CX248" s="35"/>
      <c r="CY248" s="35"/>
      <c r="CZ248" s="36"/>
      <c r="DA248" s="36"/>
      <c r="DB248" s="35"/>
      <c r="DC248" s="35"/>
      <c r="DD248" s="35"/>
      <c r="DE248" s="35"/>
      <c r="DF248" s="35"/>
      <c r="DG248" s="35"/>
      <c r="DH248" s="35"/>
      <c r="DI248" s="35"/>
      <c r="DJ248" s="35"/>
      <c r="DK248" s="35"/>
      <c r="DL248" s="35"/>
      <c r="DM248" s="35"/>
      <c r="DN248" s="35"/>
      <c r="DO248" s="35"/>
      <c r="DP248" s="35"/>
      <c r="DQ248" s="35"/>
      <c r="DR248" s="35"/>
      <c r="DS248" s="35"/>
      <c r="DT248" s="35"/>
      <c r="DU248" s="35"/>
      <c r="DV248" s="35"/>
      <c r="DW248" s="35"/>
      <c r="DX248" s="35"/>
      <c r="DY248" s="35"/>
      <c r="DZ248" s="36"/>
      <c r="EA248" s="35"/>
      <c r="EB248" s="35"/>
      <c r="EC248" s="35"/>
      <c r="ED248" s="35"/>
      <c r="EE248" s="35"/>
      <c r="EF248" s="35"/>
      <c r="EG248" s="35"/>
      <c r="EH248" s="35"/>
      <c r="EI248" s="35"/>
      <c r="EJ248" s="35"/>
      <c r="EK248" s="35"/>
      <c r="EL248" s="35"/>
      <c r="EM248" s="35"/>
      <c r="EN248" s="35"/>
      <c r="EO248" s="35"/>
      <c r="EP248" s="35"/>
      <c r="EQ248" s="35"/>
      <c r="ER248" s="35"/>
      <c r="ES248" s="35"/>
      <c r="ET248" s="35"/>
      <c r="EU248" s="35"/>
      <c r="EV248" s="35"/>
      <c r="EW248" s="35"/>
      <c r="EX248" s="35"/>
      <c r="EY248" s="36"/>
      <c r="EZ248" s="35"/>
      <c r="FA248" s="35"/>
      <c r="FB248" s="35"/>
      <c r="FC248" s="35"/>
      <c r="FD248" s="35"/>
      <c r="FE248" s="35"/>
      <c r="FF248" s="35"/>
      <c r="FG248" s="35"/>
      <c r="FH248" s="35"/>
      <c r="FI248" s="35"/>
      <c r="FJ248" s="35"/>
      <c r="FK248" s="35"/>
      <c r="FL248" s="35"/>
      <c r="FM248" s="35"/>
      <c r="FN248" s="35"/>
      <c r="FO248" s="35"/>
      <c r="FP248" s="35"/>
      <c r="FQ248" s="52"/>
      <c r="FR248" s="8"/>
      <c r="FS248" s="9" t="s">
        <v>13</v>
      </c>
      <c r="FT248" s="9" t="str">
        <f t="shared" si="5254"/>
        <v>8. NSTs/ECB Development &amp; Reporting 8.4 Sign-off</v>
      </c>
    </row>
    <row r="249" spans="1:176" s="9" customFormat="1" ht="12" hidden="1" customHeight="1" outlineLevel="1">
      <c r="A249" s="125" t="s">
        <v>50</v>
      </c>
      <c r="B249" s="123"/>
      <c r="C249" s="124" t="str">
        <f t="shared" si="5114"/>
        <v>0 days</v>
      </c>
      <c r="D249" s="13" t="str">
        <f>A226&amp;" "&amp;A245</f>
        <v>8. NSTs/ECB Development &amp; Reporting 8.4 Sign-off</v>
      </c>
      <c r="E249" s="51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5"/>
      <c r="AE249" s="35"/>
      <c r="AF249" s="35"/>
      <c r="AG249" s="35"/>
      <c r="AH249" s="35"/>
      <c r="AI249" s="35"/>
      <c r="AJ249" s="35"/>
      <c r="AK249" s="35"/>
      <c r="AL249" s="36"/>
      <c r="AM249" s="36"/>
      <c r="AN249" s="36"/>
      <c r="AO249" s="36"/>
      <c r="AP249" s="36"/>
      <c r="AQ249" s="36"/>
      <c r="AR249" s="36"/>
      <c r="AS249" s="35"/>
      <c r="AT249" s="35"/>
      <c r="AU249" s="35"/>
      <c r="AV249" s="35"/>
      <c r="AW249" s="35"/>
      <c r="AX249" s="35"/>
      <c r="AY249" s="35"/>
      <c r="AZ249" s="35"/>
      <c r="BA249" s="35"/>
      <c r="BB249" s="35"/>
      <c r="BC249" s="35"/>
      <c r="BD249" s="35"/>
      <c r="BE249" s="35"/>
      <c r="BF249" s="35"/>
      <c r="BG249" s="35"/>
      <c r="BH249" s="35"/>
      <c r="BI249" s="35"/>
      <c r="BJ249" s="35"/>
      <c r="BK249" s="35"/>
      <c r="BL249" s="35"/>
      <c r="BM249" s="35"/>
      <c r="BN249" s="35"/>
      <c r="BO249" s="35"/>
      <c r="BP249" s="35"/>
      <c r="BQ249" s="35"/>
      <c r="BR249" s="35"/>
      <c r="BS249" s="35"/>
      <c r="BT249" s="35"/>
      <c r="BU249" s="35"/>
      <c r="BV249" s="35"/>
      <c r="BW249" s="35"/>
      <c r="BX249" s="35"/>
      <c r="BY249" s="35"/>
      <c r="BZ249" s="35"/>
      <c r="CA249" s="35"/>
      <c r="CB249" s="35"/>
      <c r="CC249" s="35"/>
      <c r="CD249" s="35"/>
      <c r="CE249" s="35"/>
      <c r="CF249" s="35"/>
      <c r="CG249" s="35"/>
      <c r="CH249" s="35"/>
      <c r="CI249" s="35"/>
      <c r="CJ249" s="35"/>
      <c r="CK249" s="35"/>
      <c r="CL249" s="35"/>
      <c r="CM249" s="35"/>
      <c r="CN249" s="35"/>
      <c r="CO249" s="35"/>
      <c r="CP249" s="35"/>
      <c r="CQ249" s="35"/>
      <c r="CR249" s="35"/>
      <c r="CS249" s="35"/>
      <c r="CT249" s="36"/>
      <c r="CU249" s="35"/>
      <c r="CV249" s="35"/>
      <c r="CW249" s="35"/>
      <c r="CX249" s="35"/>
      <c r="CY249" s="35"/>
      <c r="CZ249" s="36"/>
      <c r="DA249" s="36"/>
      <c r="DB249" s="35"/>
      <c r="DC249" s="35"/>
      <c r="DD249" s="35"/>
      <c r="DE249" s="35"/>
      <c r="DF249" s="35"/>
      <c r="DG249" s="35"/>
      <c r="DH249" s="35"/>
      <c r="DI249" s="35"/>
      <c r="DJ249" s="35"/>
      <c r="DK249" s="35"/>
      <c r="DL249" s="35"/>
      <c r="DM249" s="35"/>
      <c r="DN249" s="35"/>
      <c r="DO249" s="35"/>
      <c r="DP249" s="35"/>
      <c r="DQ249" s="35"/>
      <c r="DR249" s="35"/>
      <c r="DS249" s="35"/>
      <c r="DT249" s="35"/>
      <c r="DU249" s="35"/>
      <c r="DV249" s="35"/>
      <c r="DW249" s="35"/>
      <c r="DX249" s="35"/>
      <c r="DY249" s="35"/>
      <c r="DZ249" s="36"/>
      <c r="EA249" s="35"/>
      <c r="EB249" s="35"/>
      <c r="EC249" s="35"/>
      <c r="ED249" s="35"/>
      <c r="EE249" s="35"/>
      <c r="EF249" s="35"/>
      <c r="EG249" s="35"/>
      <c r="EH249" s="35"/>
      <c r="EI249" s="35"/>
      <c r="EJ249" s="35"/>
      <c r="EK249" s="35"/>
      <c r="EL249" s="35"/>
      <c r="EM249" s="35"/>
      <c r="EN249" s="35"/>
      <c r="EO249" s="35"/>
      <c r="EP249" s="35"/>
      <c r="EQ249" s="35"/>
      <c r="ER249" s="35"/>
      <c r="ES249" s="35"/>
      <c r="ET249" s="35"/>
      <c r="EU249" s="35"/>
      <c r="EV249" s="35"/>
      <c r="EW249" s="35"/>
      <c r="EX249" s="35"/>
      <c r="EY249" s="36"/>
      <c r="EZ249" s="35"/>
      <c r="FA249" s="35"/>
      <c r="FB249" s="35"/>
      <c r="FC249" s="35"/>
      <c r="FD249" s="35"/>
      <c r="FE249" s="35"/>
      <c r="FF249" s="35"/>
      <c r="FG249" s="35"/>
      <c r="FH249" s="35"/>
      <c r="FI249" s="35"/>
      <c r="FJ249" s="35"/>
      <c r="FK249" s="35"/>
      <c r="FL249" s="35"/>
      <c r="FM249" s="35"/>
      <c r="FN249" s="35"/>
      <c r="FO249" s="35"/>
      <c r="FP249" s="35"/>
      <c r="FQ249" s="52"/>
      <c r="FR249" s="8"/>
      <c r="FS249" s="9" t="s">
        <v>13</v>
      </c>
      <c r="FT249" s="9" t="str">
        <f t="shared" si="5254"/>
        <v>8. NSTs/ECB Development &amp; Reporting 8.4 Sign-off</v>
      </c>
    </row>
    <row r="250" spans="1:176" s="9" customFormat="1" ht="12" hidden="1" customHeight="1" outlineLevel="1">
      <c r="A250" s="126" t="s">
        <v>50</v>
      </c>
      <c r="B250" s="123"/>
      <c r="C250" s="124" t="str">
        <f t="shared" si="5114"/>
        <v>0 days</v>
      </c>
      <c r="D250" s="13" t="str">
        <f>A226&amp;" "&amp;A245</f>
        <v>8. NSTs/ECB Development &amp; Reporting 8.4 Sign-off</v>
      </c>
      <c r="E250" s="51"/>
      <c r="F250" s="35"/>
      <c r="G250" s="35"/>
      <c r="H250" s="35"/>
      <c r="I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5"/>
      <c r="AE250" s="35"/>
      <c r="AF250" s="35"/>
      <c r="AG250" s="35"/>
      <c r="AH250" s="35"/>
      <c r="AI250" s="35"/>
      <c r="AJ250" s="35"/>
      <c r="AK250" s="35"/>
      <c r="AL250" s="36"/>
      <c r="AM250" s="36"/>
      <c r="AN250" s="36"/>
      <c r="AO250" s="36"/>
      <c r="AP250" s="36"/>
      <c r="AQ250" s="36"/>
      <c r="AR250" s="36"/>
      <c r="AS250" s="35"/>
      <c r="AT250" s="35"/>
      <c r="AU250" s="35"/>
      <c r="AV250" s="35"/>
      <c r="AW250" s="35"/>
      <c r="AX250" s="35"/>
      <c r="AY250" s="35"/>
      <c r="AZ250" s="35"/>
      <c r="BA250" s="35"/>
      <c r="BB250" s="35"/>
      <c r="BC250" s="35"/>
      <c r="BD250" s="35"/>
      <c r="BE250" s="35"/>
      <c r="BF250" s="35"/>
      <c r="BG250" s="35"/>
      <c r="BH250" s="35"/>
      <c r="BI250" s="35"/>
      <c r="BJ250" s="35"/>
      <c r="BK250" s="35"/>
      <c r="BL250" s="35"/>
      <c r="BM250" s="35"/>
      <c r="BN250" s="35"/>
      <c r="BO250" s="35"/>
      <c r="BP250" s="35"/>
      <c r="BQ250" s="35"/>
      <c r="BR250" s="35"/>
      <c r="BS250" s="35"/>
      <c r="BT250" s="35"/>
      <c r="BU250" s="35"/>
      <c r="BV250" s="35"/>
      <c r="BW250" s="35"/>
      <c r="BX250" s="35"/>
      <c r="BY250" s="35"/>
      <c r="BZ250" s="35"/>
      <c r="CA250" s="35"/>
      <c r="CB250" s="35"/>
      <c r="CC250" s="35"/>
      <c r="CD250" s="35"/>
      <c r="CE250" s="35"/>
      <c r="CF250" s="35"/>
      <c r="CG250" s="35"/>
      <c r="CH250" s="35"/>
      <c r="CI250" s="35"/>
      <c r="CJ250" s="35"/>
      <c r="CK250" s="35"/>
      <c r="CL250" s="35"/>
      <c r="CM250" s="35"/>
      <c r="CN250" s="35"/>
      <c r="CO250" s="35"/>
      <c r="CP250" s="35"/>
      <c r="CQ250" s="35"/>
      <c r="CR250" s="35"/>
      <c r="CS250" s="35"/>
      <c r="CT250" s="36"/>
      <c r="CU250" s="35"/>
      <c r="CV250" s="35"/>
      <c r="CW250" s="35"/>
      <c r="CX250" s="35"/>
      <c r="CY250" s="35"/>
      <c r="CZ250" s="36"/>
      <c r="DA250" s="36"/>
      <c r="DB250" s="35"/>
      <c r="DC250" s="35"/>
      <c r="DD250" s="35"/>
      <c r="DE250" s="35"/>
      <c r="DF250" s="35"/>
      <c r="DG250" s="35"/>
      <c r="DH250" s="35"/>
      <c r="DI250" s="35"/>
      <c r="DJ250" s="35"/>
      <c r="DK250" s="35"/>
      <c r="DL250" s="35"/>
      <c r="DM250" s="35"/>
      <c r="DN250" s="35"/>
      <c r="DO250" s="35"/>
      <c r="DP250" s="35"/>
      <c r="DQ250" s="35"/>
      <c r="DR250" s="35"/>
      <c r="DS250" s="35"/>
      <c r="DT250" s="35"/>
      <c r="DU250" s="35"/>
      <c r="DV250" s="35"/>
      <c r="DW250" s="35"/>
      <c r="DX250" s="35"/>
      <c r="DY250" s="35"/>
      <c r="DZ250" s="36"/>
      <c r="EA250" s="35"/>
      <c r="EB250" s="35"/>
      <c r="EC250" s="35"/>
      <c r="ED250" s="35"/>
      <c r="EE250" s="35"/>
      <c r="EF250" s="35"/>
      <c r="EG250" s="35"/>
      <c r="EH250" s="35"/>
      <c r="EI250" s="35"/>
      <c r="EJ250" s="35"/>
      <c r="EK250" s="35"/>
      <c r="EL250" s="35"/>
      <c r="EM250" s="35"/>
      <c r="EN250" s="35"/>
      <c r="EO250" s="35"/>
      <c r="EP250" s="35"/>
      <c r="EQ250" s="35"/>
      <c r="ER250" s="35"/>
      <c r="ES250" s="35"/>
      <c r="ET250" s="35"/>
      <c r="EU250" s="35"/>
      <c r="EV250" s="35"/>
      <c r="EW250" s="35"/>
      <c r="EX250" s="35"/>
      <c r="EY250" s="36"/>
      <c r="EZ250" s="35"/>
      <c r="FA250" s="35"/>
      <c r="FB250" s="35"/>
      <c r="FC250" s="35"/>
      <c r="FD250" s="35"/>
      <c r="FE250" s="35"/>
      <c r="FF250" s="35"/>
      <c r="FG250" s="35"/>
      <c r="FH250" s="35"/>
      <c r="FI250" s="35"/>
      <c r="FJ250" s="35"/>
      <c r="FK250" s="35"/>
      <c r="FL250" s="35"/>
      <c r="FM250" s="35"/>
      <c r="FN250" s="35"/>
      <c r="FO250" s="35"/>
      <c r="FP250" s="35"/>
      <c r="FQ250" s="52"/>
      <c r="FR250" s="8"/>
      <c r="FS250" s="9" t="s">
        <v>13</v>
      </c>
      <c r="FT250" s="9" t="str">
        <f t="shared" si="5254"/>
        <v>8. NSTs/ECB Development &amp; Reporting 8.4 Sign-off</v>
      </c>
    </row>
    <row r="251" spans="1:176" s="9" customFormat="1" ht="12" customHeight="1" collapsed="1">
      <c r="A251" s="119" t="s">
        <v>98</v>
      </c>
      <c r="B251" s="127"/>
      <c r="C251" s="121" t="str">
        <f t="shared" si="5114"/>
        <v>9 days</v>
      </c>
      <c r="D251" s="27"/>
      <c r="E251" s="91" t="str">
        <f t="shared" ref="E251" si="6179">IF(SUBTOTAL(9,E252:E256)&gt;0,SUBTOTAL(9,E252:E256),"")</f>
        <v/>
      </c>
      <c r="F251" s="34" t="str">
        <f t="shared" ref="F251" si="6180">IF(SUBTOTAL(9,F252:F256)&gt;0,SUBTOTAL(9,F252:F256),"")</f>
        <v/>
      </c>
      <c r="G251" s="34" t="str">
        <f t="shared" ref="G251" si="6181">IF(SUBTOTAL(9,G252:G256)&gt;0,SUBTOTAL(9,G252:G256),"")</f>
        <v/>
      </c>
      <c r="H251" s="34" t="str">
        <f t="shared" ref="H251" si="6182">IF(SUBTOTAL(9,H252:H256)&gt;0,SUBTOTAL(9,H252:H256),"")</f>
        <v/>
      </c>
      <c r="I251" s="34" t="str">
        <f t="shared" ref="I251" si="6183">IF(SUBTOTAL(9,I252:I256)&gt;0,SUBTOTAL(9,I252:I256),"")</f>
        <v/>
      </c>
      <c r="J251" s="34" t="str">
        <f t="shared" ref="J251" si="6184">IF(SUBTOTAL(9,J252:J256)&gt;0,SUBTOTAL(9,J252:J256),"")</f>
        <v/>
      </c>
      <c r="K251" s="34" t="str">
        <f t="shared" ref="K251" si="6185">IF(SUBTOTAL(9,K252:K256)&gt;0,SUBTOTAL(9,K252:K256),"")</f>
        <v/>
      </c>
      <c r="L251" s="34" t="str">
        <f t="shared" ref="L251" si="6186">IF(SUBTOTAL(9,L252:L256)&gt;0,SUBTOTAL(9,L252:L256),"")</f>
        <v/>
      </c>
      <c r="M251" s="34" t="str">
        <f t="shared" ref="M251" si="6187">IF(SUBTOTAL(9,M252:M256)&gt;0,SUBTOTAL(9,M252:M256),"")</f>
        <v/>
      </c>
      <c r="N251" s="34" t="str">
        <f t="shared" ref="N251" si="6188">IF(SUBTOTAL(9,N252:N256)&gt;0,SUBTOTAL(9,N252:N256),"")</f>
        <v/>
      </c>
      <c r="O251" s="34" t="str">
        <f t="shared" ref="O251" si="6189">IF(SUBTOTAL(9,O252:O256)&gt;0,SUBTOTAL(9,O252:O256),"")</f>
        <v/>
      </c>
      <c r="P251" s="34" t="str">
        <f t="shared" ref="P251" si="6190">IF(SUBTOTAL(9,P252:P256)&gt;0,SUBTOTAL(9,P252:P256),"")</f>
        <v/>
      </c>
      <c r="Q251" s="34" t="str">
        <f t="shared" ref="Q251" si="6191">IF(SUBTOTAL(9,Q252:Q256)&gt;0,SUBTOTAL(9,Q252:Q256),"")</f>
        <v/>
      </c>
      <c r="R251" s="34" t="str">
        <f t="shared" ref="R251" si="6192">IF(SUBTOTAL(9,R252:R256)&gt;0,SUBTOTAL(9,R252:R256),"")</f>
        <v/>
      </c>
      <c r="S251" s="34" t="str">
        <f t="shared" ref="S251" si="6193">IF(SUBTOTAL(9,S252:S256)&gt;0,SUBTOTAL(9,S252:S256),"")</f>
        <v/>
      </c>
      <c r="T251" s="34" t="str">
        <f t="shared" ref="T251" si="6194">IF(SUBTOTAL(9,T252:T256)&gt;0,SUBTOTAL(9,T252:T256),"")</f>
        <v/>
      </c>
      <c r="U251" s="34">
        <f t="shared" ref="U251" si="6195">IF(SUBTOTAL(9,U252:U256)&gt;0,SUBTOTAL(9,U252:U256),"")</f>
        <v>1</v>
      </c>
      <c r="V251" s="34">
        <f t="shared" ref="V251" si="6196">IF(SUBTOTAL(9,V252:V256)&gt;0,SUBTOTAL(9,V252:V256),"")</f>
        <v>1</v>
      </c>
      <c r="W251" s="34">
        <f t="shared" ref="W251" si="6197">IF(SUBTOTAL(9,W252:W256)&gt;0,SUBTOTAL(9,W252:W256),"")</f>
        <v>0.5</v>
      </c>
      <c r="X251" s="34">
        <f t="shared" ref="X251" si="6198">IF(SUBTOTAL(9,X252:X256)&gt;0,SUBTOTAL(9,X252:X256),"")</f>
        <v>0.5</v>
      </c>
      <c r="Y251" s="34" t="str">
        <f t="shared" ref="Y251" si="6199">IF(SUBTOTAL(9,Y252:Y256)&gt;0,SUBTOTAL(9,Y252:Y256),"")</f>
        <v/>
      </c>
      <c r="Z251" s="34">
        <f t="shared" ref="Z251" si="6200">IF(SUBTOTAL(9,Z252:Z256)&gt;0,SUBTOTAL(9,Z252:Z256),"")</f>
        <v>0.5</v>
      </c>
      <c r="AA251" s="34">
        <f t="shared" ref="AA251" si="6201">IF(SUBTOTAL(9,AA252:AA256)&gt;0,SUBTOTAL(9,AA252:AA256),"")</f>
        <v>0.5</v>
      </c>
      <c r="AB251" s="34">
        <f t="shared" ref="AB251" si="6202">IF(SUBTOTAL(9,AB252:AB256)&gt;0,SUBTOTAL(9,AB252:AB256),"")</f>
        <v>1</v>
      </c>
      <c r="AC251" s="34">
        <f t="shared" ref="AC251" si="6203">IF(SUBTOTAL(9,AC252:AC256)&gt;0,SUBTOTAL(9,AC252:AC256),"")</f>
        <v>1</v>
      </c>
      <c r="AD251" s="34" t="str">
        <f t="shared" ref="AD251" si="6204">IF(SUBTOTAL(9,AD252:AD256)&gt;0,SUBTOTAL(9,AD252:AD256),"")</f>
        <v/>
      </c>
      <c r="AE251" s="34" t="str">
        <f t="shared" ref="AE251" si="6205">IF(SUBTOTAL(9,AE252:AE256)&gt;0,SUBTOTAL(9,AE252:AE256),"")</f>
        <v/>
      </c>
      <c r="AF251" s="34" t="str">
        <f t="shared" ref="AF251" si="6206">IF(SUBTOTAL(9,AF252:AF256)&gt;0,SUBTOTAL(9,AF252:AF256),"")</f>
        <v/>
      </c>
      <c r="AG251" s="34" t="str">
        <f t="shared" ref="AG251" si="6207">IF(SUBTOTAL(9,AG252:AG256)&gt;0,SUBTOTAL(9,AG252:AG256),"")</f>
        <v/>
      </c>
      <c r="AH251" s="34" t="str">
        <f t="shared" ref="AH251" si="6208">IF(SUBTOTAL(9,AH252:AH256)&gt;0,SUBTOTAL(9,AH252:AH256),"")</f>
        <v/>
      </c>
      <c r="AI251" s="34" t="str">
        <f t="shared" ref="AI251" si="6209">IF(SUBTOTAL(9,AI252:AI256)&gt;0,SUBTOTAL(9,AI252:AI256),"")</f>
        <v/>
      </c>
      <c r="AJ251" s="34">
        <f t="shared" ref="AJ251" si="6210">IF(SUBTOTAL(9,AJ252:AJ256)&gt;0,SUBTOTAL(9,AJ252:AJ256),"")</f>
        <v>1</v>
      </c>
      <c r="AK251" s="34">
        <f t="shared" ref="AK251" si="6211">IF(SUBTOTAL(9,AK252:AK256)&gt;0,SUBTOTAL(9,AK252:AK256),"")</f>
        <v>1</v>
      </c>
      <c r="AL251" s="33" t="str">
        <f t="shared" ref="AL251" si="6212">IF(SUBTOTAL(9,AL252:AL256)&gt;0,SUBTOTAL(9,AL252:AL256),"")</f>
        <v/>
      </c>
      <c r="AM251" s="33" t="str">
        <f t="shared" ref="AM251" si="6213">IF(SUBTOTAL(9,AM252:AM256)&gt;0,SUBTOTAL(9,AM252:AM256),"")</f>
        <v/>
      </c>
      <c r="AN251" s="33" t="str">
        <f t="shared" ref="AN251" si="6214">IF(SUBTOTAL(9,AN252:AN256)&gt;0,SUBTOTAL(9,AN252:AN256),"")</f>
        <v/>
      </c>
      <c r="AO251" s="33" t="str">
        <f t="shared" ref="AO251" si="6215">IF(SUBTOTAL(9,AO252:AO256)&gt;0,SUBTOTAL(9,AO252:AO256),"")</f>
        <v/>
      </c>
      <c r="AP251" s="33" t="str">
        <f t="shared" ref="AP251" si="6216">IF(SUBTOTAL(9,AP252:AP256)&gt;0,SUBTOTAL(9,AP252:AP256),"")</f>
        <v/>
      </c>
      <c r="AQ251" s="33" t="str">
        <f t="shared" ref="AQ251" si="6217">IF(SUBTOTAL(9,AQ252:AQ256)&gt;0,SUBTOTAL(9,AQ252:AQ256),"")</f>
        <v/>
      </c>
      <c r="AR251" s="33" t="str">
        <f t="shared" ref="AR251" si="6218">IF(SUBTOTAL(9,AR252:AR256)&gt;0,SUBTOTAL(9,AR252:AR256),"")</f>
        <v/>
      </c>
      <c r="AS251" s="34" t="str">
        <f t="shared" ref="AS251" si="6219">IF(SUBTOTAL(9,AS252:AS256)&gt;0,SUBTOTAL(9,AS252:AS256),"")</f>
        <v/>
      </c>
      <c r="AT251" s="34" t="str">
        <f t="shared" ref="AT251" si="6220">IF(SUBTOTAL(9,AT252:AT256)&gt;0,SUBTOTAL(9,AT252:AT256),"")</f>
        <v/>
      </c>
      <c r="AU251" s="34" t="str">
        <f t="shared" ref="AU251" si="6221">IF(SUBTOTAL(9,AU252:AU256)&gt;0,SUBTOTAL(9,AU252:AU256),"")</f>
        <v/>
      </c>
      <c r="AV251" s="34" t="str">
        <f t="shared" ref="AV251" si="6222">IF(SUBTOTAL(9,AV252:AV256)&gt;0,SUBTOTAL(9,AV252:AV256),"")</f>
        <v/>
      </c>
      <c r="AW251" s="34" t="str">
        <f t="shared" ref="AW251" si="6223">IF(SUBTOTAL(9,AW252:AW256)&gt;0,SUBTOTAL(9,AW252:AW256),"")</f>
        <v/>
      </c>
      <c r="AX251" s="34" t="str">
        <f t="shared" ref="AX251" si="6224">IF(SUBTOTAL(9,AX252:AX256)&gt;0,SUBTOTAL(9,AX252:AX256),"")</f>
        <v/>
      </c>
      <c r="AY251" s="34" t="str">
        <f t="shared" ref="AY251" si="6225">IF(SUBTOTAL(9,AY252:AY256)&gt;0,SUBTOTAL(9,AY252:AY256),"")</f>
        <v/>
      </c>
      <c r="AZ251" s="34" t="str">
        <f t="shared" ref="AZ251" si="6226">IF(SUBTOTAL(9,AZ252:AZ256)&gt;0,SUBTOTAL(9,AZ252:AZ256),"")</f>
        <v/>
      </c>
      <c r="BA251" s="34" t="str">
        <f t="shared" ref="BA251" si="6227">IF(SUBTOTAL(9,BA252:BA256)&gt;0,SUBTOTAL(9,BA252:BA256),"")</f>
        <v/>
      </c>
      <c r="BB251" s="34" t="str">
        <f t="shared" ref="BB251" si="6228">IF(SUBTOTAL(9,BB252:BB256)&gt;0,SUBTOTAL(9,BB252:BB256),"")</f>
        <v/>
      </c>
      <c r="BC251" s="34" t="str">
        <f t="shared" ref="BC251" si="6229">IF(SUBTOTAL(9,BC252:BC256)&gt;0,SUBTOTAL(9,BC252:BC256),"")</f>
        <v/>
      </c>
      <c r="BD251" s="34" t="str">
        <f t="shared" ref="BD251" si="6230">IF(SUBTOTAL(9,BD252:BD256)&gt;0,SUBTOTAL(9,BD252:BD256),"")</f>
        <v/>
      </c>
      <c r="BE251" s="34" t="str">
        <f t="shared" ref="BE251" si="6231">IF(SUBTOTAL(9,BE252:BE256)&gt;0,SUBTOTAL(9,BE252:BE256),"")</f>
        <v/>
      </c>
      <c r="BF251" s="34" t="str">
        <f t="shared" ref="BF251" si="6232">IF(SUBTOTAL(9,BF252:BF256)&gt;0,SUBTOTAL(9,BF252:BF256),"")</f>
        <v/>
      </c>
      <c r="BG251" s="34" t="str">
        <f t="shared" ref="BG251" si="6233">IF(SUBTOTAL(9,BG252:BG256)&gt;0,SUBTOTAL(9,BG252:BG256),"")</f>
        <v/>
      </c>
      <c r="BH251" s="34" t="str">
        <f t="shared" ref="BH251" si="6234">IF(SUBTOTAL(9,BH252:BH256)&gt;0,SUBTOTAL(9,BH252:BH256),"")</f>
        <v/>
      </c>
      <c r="BI251" s="34" t="str">
        <f t="shared" ref="BI251" si="6235">IF(SUBTOTAL(9,BI252:BI256)&gt;0,SUBTOTAL(9,BI252:BI256),"")</f>
        <v/>
      </c>
      <c r="BJ251" s="34" t="str">
        <f t="shared" ref="BJ251" si="6236">IF(SUBTOTAL(9,BJ252:BJ256)&gt;0,SUBTOTAL(9,BJ252:BJ256),"")</f>
        <v/>
      </c>
      <c r="BK251" s="34" t="str">
        <f t="shared" ref="BK251" si="6237">IF(SUBTOTAL(9,BK252:BK256)&gt;0,SUBTOTAL(9,BK252:BK256),"")</f>
        <v/>
      </c>
      <c r="BL251" s="34" t="str">
        <f t="shared" ref="BL251" si="6238">IF(SUBTOTAL(9,BL252:BL256)&gt;0,SUBTOTAL(9,BL252:BL256),"")</f>
        <v/>
      </c>
      <c r="BM251" s="34" t="str">
        <f t="shared" ref="BM251" si="6239">IF(SUBTOTAL(9,BM252:BM256)&gt;0,SUBTOTAL(9,BM252:BM256),"")</f>
        <v/>
      </c>
      <c r="BN251" s="34" t="str">
        <f t="shared" ref="BN251" si="6240">IF(SUBTOTAL(9,BN252:BN256)&gt;0,SUBTOTAL(9,BN252:BN256),"")</f>
        <v/>
      </c>
      <c r="BO251" s="34" t="str">
        <f t="shared" ref="BO251" si="6241">IF(SUBTOTAL(9,BO252:BO256)&gt;0,SUBTOTAL(9,BO252:BO256),"")</f>
        <v/>
      </c>
      <c r="BP251" s="34" t="str">
        <f t="shared" ref="BP251" si="6242">IF(SUBTOTAL(9,BP252:BP256)&gt;0,SUBTOTAL(9,BP252:BP256),"")</f>
        <v/>
      </c>
      <c r="BQ251" s="34" t="str">
        <f t="shared" ref="BQ251" si="6243">IF(SUBTOTAL(9,BQ252:BQ256)&gt;0,SUBTOTAL(9,BQ252:BQ256),"")</f>
        <v/>
      </c>
      <c r="BR251" s="34" t="str">
        <f t="shared" ref="BR251" si="6244">IF(SUBTOTAL(9,BR252:BR256)&gt;0,SUBTOTAL(9,BR252:BR256),"")</f>
        <v/>
      </c>
      <c r="BS251" s="34" t="str">
        <f t="shared" ref="BS251" si="6245">IF(SUBTOTAL(9,BS252:BS256)&gt;0,SUBTOTAL(9,BS252:BS256),"")</f>
        <v/>
      </c>
      <c r="BT251" s="34" t="str">
        <f t="shared" ref="BT251" si="6246">IF(SUBTOTAL(9,BT252:BT256)&gt;0,SUBTOTAL(9,BT252:BT256),"")</f>
        <v/>
      </c>
      <c r="BU251" s="34" t="str">
        <f t="shared" ref="BU251" si="6247">IF(SUBTOTAL(9,BU252:BU256)&gt;0,SUBTOTAL(9,BU252:BU256),"")</f>
        <v/>
      </c>
      <c r="BV251" s="34" t="str">
        <f t="shared" ref="BV251" si="6248">IF(SUBTOTAL(9,BV252:BV256)&gt;0,SUBTOTAL(9,BV252:BV256),"")</f>
        <v/>
      </c>
      <c r="BW251" s="34" t="str">
        <f t="shared" ref="BW251" si="6249">IF(SUBTOTAL(9,BW252:BW256)&gt;0,SUBTOTAL(9,BW252:BW256),"")</f>
        <v/>
      </c>
      <c r="BX251" s="34" t="str">
        <f t="shared" ref="BX251" si="6250">IF(SUBTOTAL(9,BX252:BX256)&gt;0,SUBTOTAL(9,BX252:BX256),"")</f>
        <v/>
      </c>
      <c r="BY251" s="34" t="str">
        <f t="shared" ref="BY251" si="6251">IF(SUBTOTAL(9,BY252:BY256)&gt;0,SUBTOTAL(9,BY252:BY256),"")</f>
        <v/>
      </c>
      <c r="BZ251" s="34" t="str">
        <f t="shared" ref="BZ251" si="6252">IF(SUBTOTAL(9,BZ252:BZ256)&gt;0,SUBTOTAL(9,BZ252:BZ256),"")</f>
        <v/>
      </c>
      <c r="CA251" s="34" t="str">
        <f t="shared" ref="CA251" si="6253">IF(SUBTOTAL(9,CA252:CA256)&gt;0,SUBTOTAL(9,CA252:CA256),"")</f>
        <v/>
      </c>
      <c r="CB251" s="34" t="str">
        <f t="shared" ref="CB251" si="6254">IF(SUBTOTAL(9,CB252:CB256)&gt;0,SUBTOTAL(9,CB252:CB256),"")</f>
        <v/>
      </c>
      <c r="CC251" s="34" t="str">
        <f t="shared" ref="CC251" si="6255">IF(SUBTOTAL(9,CC252:CC256)&gt;0,SUBTOTAL(9,CC252:CC256),"")</f>
        <v/>
      </c>
      <c r="CD251" s="34" t="str">
        <f t="shared" ref="CD251" si="6256">IF(SUBTOTAL(9,CD252:CD256)&gt;0,SUBTOTAL(9,CD252:CD256),"")</f>
        <v/>
      </c>
      <c r="CE251" s="34" t="str">
        <f t="shared" ref="CE251" si="6257">IF(SUBTOTAL(9,CE252:CE256)&gt;0,SUBTOTAL(9,CE252:CE256),"")</f>
        <v/>
      </c>
      <c r="CF251" s="34" t="str">
        <f t="shared" ref="CF251:CG251" si="6258">IF(SUBTOTAL(9,CF252:CF256)&gt;0,SUBTOTAL(9,CF252:CF256),"")</f>
        <v/>
      </c>
      <c r="CG251" s="34" t="str">
        <f t="shared" si="6258"/>
        <v/>
      </c>
      <c r="CH251" s="34" t="str">
        <f t="shared" ref="CH251" si="6259">IF(SUBTOTAL(9,CH252:CH256)&gt;0,SUBTOTAL(9,CH252:CH256),"")</f>
        <v/>
      </c>
      <c r="CI251" s="34" t="str">
        <f t="shared" ref="CI251" si="6260">IF(SUBTOTAL(9,CI252:CI256)&gt;0,SUBTOTAL(9,CI252:CI256),"")</f>
        <v/>
      </c>
      <c r="CJ251" s="34" t="str">
        <f t="shared" ref="CJ251" si="6261">IF(SUBTOTAL(9,CJ252:CJ256)&gt;0,SUBTOTAL(9,CJ252:CJ256),"")</f>
        <v/>
      </c>
      <c r="CK251" s="34" t="str">
        <f t="shared" ref="CK251" si="6262">IF(SUBTOTAL(9,CK252:CK256)&gt;0,SUBTOTAL(9,CK252:CK256),"")</f>
        <v/>
      </c>
      <c r="CL251" s="34" t="str">
        <f t="shared" ref="CL251" si="6263">IF(SUBTOTAL(9,CL252:CL256)&gt;0,SUBTOTAL(9,CL252:CL256),"")</f>
        <v/>
      </c>
      <c r="CM251" s="34" t="str">
        <f t="shared" ref="CM251" si="6264">IF(SUBTOTAL(9,CM252:CM256)&gt;0,SUBTOTAL(9,CM252:CM256),"")</f>
        <v/>
      </c>
      <c r="CN251" s="34" t="str">
        <f t="shared" ref="CN251" si="6265">IF(SUBTOTAL(9,CN252:CN256)&gt;0,SUBTOTAL(9,CN252:CN256),"")</f>
        <v/>
      </c>
      <c r="CO251" s="34" t="str">
        <f t="shared" ref="CO251" si="6266">IF(SUBTOTAL(9,CO252:CO256)&gt;0,SUBTOTAL(9,CO252:CO256),"")</f>
        <v/>
      </c>
      <c r="CP251" s="34" t="str">
        <f t="shared" ref="CP251" si="6267">IF(SUBTOTAL(9,CP252:CP256)&gt;0,SUBTOTAL(9,CP252:CP256),"")</f>
        <v/>
      </c>
      <c r="CQ251" s="34" t="str">
        <f t="shared" ref="CQ251" si="6268">IF(SUBTOTAL(9,CQ252:CQ256)&gt;0,SUBTOTAL(9,CQ252:CQ256),"")</f>
        <v/>
      </c>
      <c r="CR251" s="34" t="str">
        <f t="shared" ref="CR251" si="6269">IF(SUBTOTAL(9,CR252:CR256)&gt;0,SUBTOTAL(9,CR252:CR256),"")</f>
        <v/>
      </c>
      <c r="CS251" s="34" t="str">
        <f t="shared" ref="CS251" si="6270">IF(SUBTOTAL(9,CS252:CS256)&gt;0,SUBTOTAL(9,CS252:CS256),"")</f>
        <v/>
      </c>
      <c r="CT251" s="33" t="str">
        <f t="shared" ref="CT251" si="6271">IF(SUBTOTAL(9,CT252:CT256)&gt;0,SUBTOTAL(9,CT252:CT256),"")</f>
        <v/>
      </c>
      <c r="CU251" s="34" t="str">
        <f t="shared" ref="CU251" si="6272">IF(SUBTOTAL(9,CU252:CU256)&gt;0,SUBTOTAL(9,CU252:CU256),"")</f>
        <v/>
      </c>
      <c r="CV251" s="34" t="str">
        <f t="shared" ref="CV251" si="6273">IF(SUBTOTAL(9,CV252:CV256)&gt;0,SUBTOTAL(9,CV252:CV256),"")</f>
        <v/>
      </c>
      <c r="CW251" s="34" t="str">
        <f t="shared" ref="CW251" si="6274">IF(SUBTOTAL(9,CW252:CW256)&gt;0,SUBTOTAL(9,CW252:CW256),"")</f>
        <v/>
      </c>
      <c r="CX251" s="34" t="str">
        <f t="shared" ref="CX251" si="6275">IF(SUBTOTAL(9,CX252:CX256)&gt;0,SUBTOTAL(9,CX252:CX256),"")</f>
        <v/>
      </c>
      <c r="CY251" s="34" t="str">
        <f t="shared" ref="CY251" si="6276">IF(SUBTOTAL(9,CY252:CY256)&gt;0,SUBTOTAL(9,CY252:CY256),"")</f>
        <v/>
      </c>
      <c r="CZ251" s="33" t="str">
        <f t="shared" ref="CZ251" si="6277">IF(SUBTOTAL(9,CZ252:CZ256)&gt;0,SUBTOTAL(9,CZ252:CZ256),"")</f>
        <v/>
      </c>
      <c r="DA251" s="33" t="str">
        <f t="shared" ref="DA251" si="6278">IF(SUBTOTAL(9,DA252:DA256)&gt;0,SUBTOTAL(9,DA252:DA256),"")</f>
        <v/>
      </c>
      <c r="DB251" s="34" t="str">
        <f t="shared" ref="DB251" si="6279">IF(SUBTOTAL(9,DB252:DB256)&gt;0,SUBTOTAL(9,DB252:DB256),"")</f>
        <v/>
      </c>
      <c r="DC251" s="34" t="str">
        <f t="shared" ref="DC251" si="6280">IF(SUBTOTAL(9,DC252:DC256)&gt;0,SUBTOTAL(9,DC252:DC256),"")</f>
        <v/>
      </c>
      <c r="DD251" s="34" t="str">
        <f t="shared" ref="DD251" si="6281">IF(SUBTOTAL(9,DD252:DD256)&gt;0,SUBTOTAL(9,DD252:DD256),"")</f>
        <v/>
      </c>
      <c r="DE251" s="34" t="str">
        <f t="shared" ref="DE251" si="6282">IF(SUBTOTAL(9,DE252:DE256)&gt;0,SUBTOTAL(9,DE252:DE256),"")</f>
        <v/>
      </c>
      <c r="DF251" s="34" t="str">
        <f t="shared" ref="DF251" si="6283">IF(SUBTOTAL(9,DF252:DF256)&gt;0,SUBTOTAL(9,DF252:DF256),"")</f>
        <v/>
      </c>
      <c r="DG251" s="34" t="str">
        <f t="shared" ref="DG251" si="6284">IF(SUBTOTAL(9,DG252:DG256)&gt;0,SUBTOTAL(9,DG252:DG256),"")</f>
        <v/>
      </c>
      <c r="DH251" s="34" t="str">
        <f t="shared" ref="DH251" si="6285">IF(SUBTOTAL(9,DH252:DH256)&gt;0,SUBTOTAL(9,DH252:DH256),"")</f>
        <v/>
      </c>
      <c r="DI251" s="34" t="str">
        <f t="shared" ref="DI251" si="6286">IF(SUBTOTAL(9,DI252:DI256)&gt;0,SUBTOTAL(9,DI252:DI256),"")</f>
        <v/>
      </c>
      <c r="DJ251" s="34" t="str">
        <f t="shared" ref="DJ251" si="6287">IF(SUBTOTAL(9,DJ252:DJ256)&gt;0,SUBTOTAL(9,DJ252:DJ256),"")</f>
        <v/>
      </c>
      <c r="DK251" s="34" t="str">
        <f t="shared" ref="DK251" si="6288">IF(SUBTOTAL(9,DK252:DK256)&gt;0,SUBTOTAL(9,DK252:DK256),"")</f>
        <v/>
      </c>
      <c r="DL251" s="34" t="str">
        <f t="shared" ref="DL251" si="6289">IF(SUBTOTAL(9,DL252:DL256)&gt;0,SUBTOTAL(9,DL252:DL256),"")</f>
        <v/>
      </c>
      <c r="DM251" s="34" t="str">
        <f t="shared" ref="DM251" si="6290">IF(SUBTOTAL(9,DM252:DM256)&gt;0,SUBTOTAL(9,DM252:DM256),"")</f>
        <v/>
      </c>
      <c r="DN251" s="34" t="str">
        <f t="shared" ref="DN251" si="6291">IF(SUBTOTAL(9,DN252:DN256)&gt;0,SUBTOTAL(9,DN252:DN256),"")</f>
        <v/>
      </c>
      <c r="DO251" s="34" t="str">
        <f t="shared" ref="DO251" si="6292">IF(SUBTOTAL(9,DO252:DO256)&gt;0,SUBTOTAL(9,DO252:DO256),"")</f>
        <v/>
      </c>
      <c r="DP251" s="34" t="str">
        <f t="shared" ref="DP251" si="6293">IF(SUBTOTAL(9,DP252:DP256)&gt;0,SUBTOTAL(9,DP252:DP256),"")</f>
        <v/>
      </c>
      <c r="DQ251" s="34" t="str">
        <f t="shared" ref="DQ251" si="6294">IF(SUBTOTAL(9,DQ252:DQ256)&gt;0,SUBTOTAL(9,DQ252:DQ256),"")</f>
        <v/>
      </c>
      <c r="DR251" s="34" t="str">
        <f t="shared" ref="DR251" si="6295">IF(SUBTOTAL(9,DR252:DR256)&gt;0,SUBTOTAL(9,DR252:DR256),"")</f>
        <v/>
      </c>
      <c r="DS251" s="34" t="str">
        <f t="shared" ref="DS251" si="6296">IF(SUBTOTAL(9,DS252:DS256)&gt;0,SUBTOTAL(9,DS252:DS256),"")</f>
        <v/>
      </c>
      <c r="DT251" s="34" t="str">
        <f t="shared" ref="DT251" si="6297">IF(SUBTOTAL(9,DT252:DT256)&gt;0,SUBTOTAL(9,DT252:DT256),"")</f>
        <v/>
      </c>
      <c r="DU251" s="34" t="str">
        <f t="shared" ref="DU251" si="6298">IF(SUBTOTAL(9,DU252:DU256)&gt;0,SUBTOTAL(9,DU252:DU256),"")</f>
        <v/>
      </c>
      <c r="DV251" s="34" t="str">
        <f t="shared" ref="DV251" si="6299">IF(SUBTOTAL(9,DV252:DV256)&gt;0,SUBTOTAL(9,DV252:DV256),"")</f>
        <v/>
      </c>
      <c r="DW251" s="34" t="str">
        <f t="shared" ref="DW251" si="6300">IF(SUBTOTAL(9,DW252:DW256)&gt;0,SUBTOTAL(9,DW252:DW256),"")</f>
        <v/>
      </c>
      <c r="DX251" s="34" t="str">
        <f t="shared" ref="DX251" si="6301">IF(SUBTOTAL(9,DX252:DX256)&gt;0,SUBTOTAL(9,DX252:DX256),"")</f>
        <v/>
      </c>
      <c r="DY251" s="34">
        <f t="shared" ref="DY251" si="6302">IF(SUBTOTAL(9,DY252:DY256)&gt;0,SUBTOTAL(9,DY252:DY256),"")</f>
        <v>0.5</v>
      </c>
      <c r="DZ251" s="33" t="str">
        <f t="shared" ref="DZ251" si="6303">IF(SUBTOTAL(9,DZ252:DZ256)&gt;0,SUBTOTAL(9,DZ252:DZ256),"")</f>
        <v/>
      </c>
      <c r="EA251" s="34" t="str">
        <f t="shared" ref="EA251" si="6304">IF(SUBTOTAL(9,EA252:EA256)&gt;0,SUBTOTAL(9,EA252:EA256),"")</f>
        <v/>
      </c>
      <c r="EB251" s="34" t="str">
        <f t="shared" ref="EB251" si="6305">IF(SUBTOTAL(9,EB252:EB256)&gt;0,SUBTOTAL(9,EB252:EB256),"")</f>
        <v/>
      </c>
      <c r="EC251" s="34" t="str">
        <f t="shared" ref="EC251" si="6306">IF(SUBTOTAL(9,EC252:EC256)&gt;0,SUBTOTAL(9,EC252:EC256),"")</f>
        <v/>
      </c>
      <c r="ED251" s="34" t="str">
        <f t="shared" ref="ED251" si="6307">IF(SUBTOTAL(9,ED252:ED256)&gt;0,SUBTOTAL(9,ED252:ED256),"")</f>
        <v/>
      </c>
      <c r="EE251" s="34" t="str">
        <f t="shared" ref="EE251" si="6308">IF(SUBTOTAL(9,EE252:EE256)&gt;0,SUBTOTAL(9,EE252:EE256),"")</f>
        <v/>
      </c>
      <c r="EF251" s="34" t="str">
        <f t="shared" ref="EF251" si="6309">IF(SUBTOTAL(9,EF252:EF256)&gt;0,SUBTOTAL(9,EF252:EF256),"")</f>
        <v/>
      </c>
      <c r="EG251" s="34" t="str">
        <f t="shared" ref="EG251" si="6310">IF(SUBTOTAL(9,EG252:EG256)&gt;0,SUBTOTAL(9,EG252:EG256),"")</f>
        <v/>
      </c>
      <c r="EH251" s="34" t="str">
        <f t="shared" ref="EH251" si="6311">IF(SUBTOTAL(9,EH252:EH256)&gt;0,SUBTOTAL(9,EH252:EH256),"")</f>
        <v/>
      </c>
      <c r="EI251" s="34" t="str">
        <f t="shared" ref="EI251" si="6312">IF(SUBTOTAL(9,EI252:EI256)&gt;0,SUBTOTAL(9,EI252:EI256),"")</f>
        <v/>
      </c>
      <c r="EJ251" s="34" t="str">
        <f t="shared" ref="EJ251" si="6313">IF(SUBTOTAL(9,EJ252:EJ256)&gt;0,SUBTOTAL(9,EJ252:EJ256),"")</f>
        <v/>
      </c>
      <c r="EK251" s="34" t="str">
        <f t="shared" ref="EK251" si="6314">IF(SUBTOTAL(9,EK252:EK256)&gt;0,SUBTOTAL(9,EK252:EK256),"")</f>
        <v/>
      </c>
      <c r="EL251" s="34" t="str">
        <f t="shared" ref="EL251" si="6315">IF(SUBTOTAL(9,EL252:EL256)&gt;0,SUBTOTAL(9,EL252:EL256),"")</f>
        <v/>
      </c>
      <c r="EM251" s="34" t="str">
        <f t="shared" ref="EM251" si="6316">IF(SUBTOTAL(9,EM252:EM256)&gt;0,SUBTOTAL(9,EM252:EM256),"")</f>
        <v/>
      </c>
      <c r="EN251" s="34" t="str">
        <f t="shared" ref="EN251" si="6317">IF(SUBTOTAL(9,EN252:EN256)&gt;0,SUBTOTAL(9,EN252:EN256),"")</f>
        <v/>
      </c>
      <c r="EO251" s="34" t="str">
        <f t="shared" ref="EO251" si="6318">IF(SUBTOTAL(9,EO252:EO256)&gt;0,SUBTOTAL(9,EO252:EO256),"")</f>
        <v/>
      </c>
      <c r="EP251" s="34" t="str">
        <f t="shared" ref="EP251" si="6319">IF(SUBTOTAL(9,EP252:EP256)&gt;0,SUBTOTAL(9,EP252:EP256),"")</f>
        <v/>
      </c>
      <c r="EQ251" s="34" t="str">
        <f t="shared" ref="EQ251" si="6320">IF(SUBTOTAL(9,EQ252:EQ256)&gt;0,SUBTOTAL(9,EQ252:EQ256),"")</f>
        <v/>
      </c>
      <c r="ER251" s="34" t="str">
        <f t="shared" ref="ER251" si="6321">IF(SUBTOTAL(9,ER252:ER256)&gt;0,SUBTOTAL(9,ER252:ER256),"")</f>
        <v/>
      </c>
      <c r="ES251" s="34" t="str">
        <f t="shared" ref="ES251" si="6322">IF(SUBTOTAL(9,ES252:ES256)&gt;0,SUBTOTAL(9,ES252:ES256),"")</f>
        <v/>
      </c>
      <c r="ET251" s="34" t="str">
        <f t="shared" ref="ET251" si="6323">IF(SUBTOTAL(9,ET252:ET256)&gt;0,SUBTOTAL(9,ET252:ET256),"")</f>
        <v/>
      </c>
      <c r="EU251" s="34" t="str">
        <f t="shared" ref="EU251" si="6324">IF(SUBTOTAL(9,EU252:EU256)&gt;0,SUBTOTAL(9,EU252:EU256),"")</f>
        <v/>
      </c>
      <c r="EV251" s="34" t="str">
        <f t="shared" ref="EV251" si="6325">IF(SUBTOTAL(9,EV252:EV256)&gt;0,SUBTOTAL(9,EV252:EV256),"")</f>
        <v/>
      </c>
      <c r="EW251" s="34" t="str">
        <f t="shared" ref="EW251" si="6326">IF(SUBTOTAL(9,EW252:EW256)&gt;0,SUBTOTAL(9,EW252:EW256),"")</f>
        <v/>
      </c>
      <c r="EX251" s="34" t="str">
        <f t="shared" ref="EX251" si="6327">IF(SUBTOTAL(9,EX252:EX256)&gt;0,SUBTOTAL(9,EX252:EX256),"")</f>
        <v/>
      </c>
      <c r="EY251" s="33" t="str">
        <f t="shared" ref="EY251" si="6328">IF(SUBTOTAL(9,EY252:EY256)&gt;0,SUBTOTAL(9,EY252:EY256),"")</f>
        <v/>
      </c>
      <c r="EZ251" s="34" t="str">
        <f t="shared" ref="EZ251" si="6329">IF(SUBTOTAL(9,EZ252:EZ256)&gt;0,SUBTOTAL(9,EZ252:EZ256),"")</f>
        <v/>
      </c>
      <c r="FA251" s="34" t="str">
        <f t="shared" ref="FA251" si="6330">IF(SUBTOTAL(9,FA252:FA256)&gt;0,SUBTOTAL(9,FA252:FA256),"")</f>
        <v/>
      </c>
      <c r="FB251" s="34" t="str">
        <f t="shared" ref="FB251" si="6331">IF(SUBTOTAL(9,FB252:FB256)&gt;0,SUBTOTAL(9,FB252:FB256),"")</f>
        <v/>
      </c>
      <c r="FC251" s="34" t="str">
        <f t="shared" ref="FC251" si="6332">IF(SUBTOTAL(9,FC252:FC256)&gt;0,SUBTOTAL(9,FC252:FC256),"")</f>
        <v/>
      </c>
      <c r="FD251" s="34" t="str">
        <f t="shared" ref="FD251" si="6333">IF(SUBTOTAL(9,FD252:FD256)&gt;0,SUBTOTAL(9,FD252:FD256),"")</f>
        <v/>
      </c>
      <c r="FE251" s="34" t="str">
        <f t="shared" ref="FE251" si="6334">IF(SUBTOTAL(9,FE252:FE256)&gt;0,SUBTOTAL(9,FE252:FE256),"")</f>
        <v/>
      </c>
      <c r="FF251" s="34" t="str">
        <f t="shared" ref="FF251" si="6335">IF(SUBTOTAL(9,FF252:FF256)&gt;0,SUBTOTAL(9,FF252:FF256),"")</f>
        <v/>
      </c>
      <c r="FG251" s="34" t="str">
        <f t="shared" ref="FG251" si="6336">IF(SUBTOTAL(9,FG252:FG256)&gt;0,SUBTOTAL(9,FG252:FG256),"")</f>
        <v/>
      </c>
      <c r="FH251" s="34" t="str">
        <f t="shared" ref="FH251" si="6337">IF(SUBTOTAL(9,FH252:FH256)&gt;0,SUBTOTAL(9,FH252:FH256),"")</f>
        <v/>
      </c>
      <c r="FI251" s="34" t="str">
        <f t="shared" ref="FI251" si="6338">IF(SUBTOTAL(9,FI252:FI256)&gt;0,SUBTOTAL(9,FI252:FI256),"")</f>
        <v/>
      </c>
      <c r="FJ251" s="34" t="str">
        <f t="shared" ref="FJ251" si="6339">IF(SUBTOTAL(9,FJ252:FJ256)&gt;0,SUBTOTAL(9,FJ252:FJ256),"")</f>
        <v/>
      </c>
      <c r="FK251" s="34" t="str">
        <f t="shared" ref="FK251" si="6340">IF(SUBTOTAL(9,FK252:FK256)&gt;0,SUBTOTAL(9,FK252:FK256),"")</f>
        <v/>
      </c>
      <c r="FL251" s="34" t="str">
        <f t="shared" ref="FL251" si="6341">IF(SUBTOTAL(9,FL252:FL256)&gt;0,SUBTOTAL(9,FL252:FL256),"")</f>
        <v/>
      </c>
      <c r="FM251" s="34" t="str">
        <f t="shared" ref="FM251" si="6342">IF(SUBTOTAL(9,FM252:FM256)&gt;0,SUBTOTAL(9,FM252:FM256),"")</f>
        <v/>
      </c>
      <c r="FN251" s="34" t="str">
        <f t="shared" ref="FN251" si="6343">IF(SUBTOTAL(9,FN252:FN256)&gt;0,SUBTOTAL(9,FN252:FN256),"")</f>
        <v/>
      </c>
      <c r="FO251" s="34" t="str">
        <f t="shared" ref="FO251" si="6344">IF(SUBTOTAL(9,FO252:FO256)&gt;0,SUBTOTAL(9,FO252:FO256),"")</f>
        <v/>
      </c>
      <c r="FP251" s="34" t="str">
        <f t="shared" ref="FP251" si="6345">IF(SUBTOTAL(9,FP252:FP256)&gt;0,SUBTOTAL(9,FP252:FP256),"")</f>
        <v/>
      </c>
      <c r="FQ251" s="92" t="str">
        <f t="shared" ref="FQ251" si="6346">IF(SUBTOTAL(9,FQ252:FQ256)&gt;0,SUBTOTAL(9,FQ252:FQ256),"")</f>
        <v/>
      </c>
      <c r="FR251" s="8"/>
      <c r="FS251" s="9" t="s">
        <v>131</v>
      </c>
      <c r="FT251" s="9" t="str">
        <f t="shared" si="5254"/>
        <v/>
      </c>
    </row>
    <row r="252" spans="1:176" s="9" customFormat="1" ht="12" hidden="1" customHeight="1" outlineLevel="1">
      <c r="A252" s="122" t="s">
        <v>4</v>
      </c>
      <c r="B252" s="123" t="s">
        <v>18</v>
      </c>
      <c r="C252" s="124" t="str">
        <f t="shared" si="5114"/>
        <v>9 days</v>
      </c>
      <c r="D252" s="13" t="str">
        <f>A226&amp;" "&amp;A251</f>
        <v>8. NSTs/ECB Development &amp; Reporting 8.5 Technical Support</v>
      </c>
      <c r="E252" s="51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>
        <v>1</v>
      </c>
      <c r="V252" s="35">
        <v>1</v>
      </c>
      <c r="W252" s="35">
        <v>0.5</v>
      </c>
      <c r="X252" s="35">
        <v>0.5</v>
      </c>
      <c r="Y252" s="35"/>
      <c r="Z252" s="35">
        <v>0.5</v>
      </c>
      <c r="AA252" s="35">
        <v>0.5</v>
      </c>
      <c r="AB252" s="35">
        <v>1</v>
      </c>
      <c r="AC252" s="35">
        <v>1</v>
      </c>
      <c r="AD252" s="35"/>
      <c r="AE252" s="35"/>
      <c r="AF252" s="35"/>
      <c r="AG252" s="35"/>
      <c r="AH252" s="35"/>
      <c r="AI252" s="35"/>
      <c r="AJ252" s="35">
        <v>1</v>
      </c>
      <c r="AK252" s="35">
        <v>1</v>
      </c>
      <c r="AL252" s="36"/>
      <c r="AM252" s="36"/>
      <c r="AN252" s="36"/>
      <c r="AO252" s="36"/>
      <c r="AP252" s="36"/>
      <c r="AQ252" s="36"/>
      <c r="AR252" s="36"/>
      <c r="AS252" s="35"/>
      <c r="AT252" s="35"/>
      <c r="AU252" s="35"/>
      <c r="AV252" s="35"/>
      <c r="AW252" s="35"/>
      <c r="AX252" s="35"/>
      <c r="AY252" s="35"/>
      <c r="AZ252" s="35"/>
      <c r="BA252" s="35"/>
      <c r="BB252" s="35"/>
      <c r="BC252" s="35"/>
      <c r="BD252" s="35"/>
      <c r="BE252" s="35"/>
      <c r="BF252" s="35"/>
      <c r="BG252" s="35"/>
      <c r="BH252" s="35"/>
      <c r="BI252" s="35"/>
      <c r="BJ252" s="35"/>
      <c r="BK252" s="35"/>
      <c r="BL252" s="35"/>
      <c r="BM252" s="35"/>
      <c r="BN252" s="35"/>
      <c r="BO252" s="35"/>
      <c r="BP252" s="35"/>
      <c r="BQ252" s="35"/>
      <c r="BR252" s="35"/>
      <c r="BS252" s="35"/>
      <c r="BT252" s="35"/>
      <c r="BU252" s="35"/>
      <c r="BV252" s="35"/>
      <c r="BW252" s="35"/>
      <c r="BX252" s="35"/>
      <c r="BY252" s="35"/>
      <c r="BZ252" s="35"/>
      <c r="CA252" s="35"/>
      <c r="CB252" s="35"/>
      <c r="CC252" s="35"/>
      <c r="CD252" s="35"/>
      <c r="CE252" s="35"/>
      <c r="CF252" s="35"/>
      <c r="CG252" s="35"/>
      <c r="CH252" s="35"/>
      <c r="CI252" s="35"/>
      <c r="CJ252" s="35"/>
      <c r="CK252" s="35"/>
      <c r="CL252" s="35"/>
      <c r="CM252" s="35"/>
      <c r="CN252" s="35"/>
      <c r="CO252" s="35"/>
      <c r="CP252" s="35"/>
      <c r="CQ252" s="35"/>
      <c r="CR252" s="35"/>
      <c r="CS252" s="35"/>
      <c r="CT252" s="36"/>
      <c r="CU252" s="35"/>
      <c r="CV252" s="35"/>
      <c r="CW252" s="35"/>
      <c r="CX252" s="35"/>
      <c r="CY252" s="35"/>
      <c r="CZ252" s="36"/>
      <c r="DA252" s="36"/>
      <c r="DB252" s="35"/>
      <c r="DC252" s="35"/>
      <c r="DD252" s="35"/>
      <c r="DE252" s="35"/>
      <c r="DF252" s="35"/>
      <c r="DG252" s="35"/>
      <c r="DH252" s="35"/>
      <c r="DI252" s="35"/>
      <c r="DJ252" s="35"/>
      <c r="DK252" s="35"/>
      <c r="DL252" s="35"/>
      <c r="DM252" s="35"/>
      <c r="DN252" s="35"/>
      <c r="DO252" s="35"/>
      <c r="DP252" s="35"/>
      <c r="DQ252" s="35"/>
      <c r="DR252" s="35"/>
      <c r="DS252" s="35"/>
      <c r="DT252" s="35"/>
      <c r="DU252" s="35"/>
      <c r="DV252" s="35"/>
      <c r="DW252" s="35"/>
      <c r="DX252" s="35"/>
      <c r="DY252" s="35">
        <v>0.5</v>
      </c>
      <c r="DZ252" s="36"/>
      <c r="EA252" s="35"/>
      <c r="EB252" s="35"/>
      <c r="EC252" s="35"/>
      <c r="ED252" s="35"/>
      <c r="EE252" s="35"/>
      <c r="EF252" s="35"/>
      <c r="EG252" s="35"/>
      <c r="EH252" s="35"/>
      <c r="EI252" s="35"/>
      <c r="EJ252" s="35"/>
      <c r="EK252" s="35"/>
      <c r="EL252" s="35"/>
      <c r="EM252" s="35"/>
      <c r="EN252" s="35"/>
      <c r="EO252" s="35"/>
      <c r="EP252" s="35"/>
      <c r="EQ252" s="35"/>
      <c r="ER252" s="35"/>
      <c r="ES252" s="35"/>
      <c r="ET252" s="35"/>
      <c r="EU252" s="35"/>
      <c r="EV252" s="35"/>
      <c r="EW252" s="35"/>
      <c r="EX252" s="35"/>
      <c r="EY252" s="36"/>
      <c r="EZ252" s="35"/>
      <c r="FA252" s="35"/>
      <c r="FB252" s="35"/>
      <c r="FC252" s="35"/>
      <c r="FD252" s="35"/>
      <c r="FE252" s="35"/>
      <c r="FF252" s="35"/>
      <c r="FG252" s="35"/>
      <c r="FH252" s="35"/>
      <c r="FI252" s="35"/>
      <c r="FJ252" s="35"/>
      <c r="FK252" s="35"/>
      <c r="FL252" s="35"/>
      <c r="FM252" s="35"/>
      <c r="FN252" s="35"/>
      <c r="FO252" s="35"/>
      <c r="FP252" s="35"/>
      <c r="FQ252" s="52"/>
      <c r="FR252" s="8"/>
      <c r="FS252" s="9" t="s">
        <v>13</v>
      </c>
      <c r="FT252" s="9" t="str">
        <f t="shared" si="5254"/>
        <v>8. NSTs/ECB Development &amp; Reporting 8.5 Technical SupportTM1 Analyst</v>
      </c>
    </row>
    <row r="253" spans="1:176" s="9" customFormat="1" ht="12" hidden="1" customHeight="1" outlineLevel="1">
      <c r="A253" s="122"/>
      <c r="B253" s="123"/>
      <c r="C253" s="124" t="str">
        <f t="shared" si="5114"/>
        <v>0 days</v>
      </c>
      <c r="D253" s="13" t="str">
        <f>A226&amp;" "&amp;A251</f>
        <v>8. NSTs/ECB Development &amp; Reporting 8.5 Technical Support</v>
      </c>
      <c r="E253" s="51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5"/>
      <c r="AE253" s="35"/>
      <c r="AF253" s="35"/>
      <c r="AG253" s="35"/>
      <c r="AH253" s="35"/>
      <c r="AI253" s="35"/>
      <c r="AJ253" s="35"/>
      <c r="AK253" s="35"/>
      <c r="AL253" s="36"/>
      <c r="AM253" s="36"/>
      <c r="AN253" s="36"/>
      <c r="AO253" s="36"/>
      <c r="AP253" s="36"/>
      <c r="AQ253" s="36"/>
      <c r="AR253" s="36"/>
      <c r="AS253" s="35"/>
      <c r="AT253" s="35"/>
      <c r="AU253" s="35"/>
      <c r="AV253" s="35"/>
      <c r="AW253" s="35"/>
      <c r="AX253" s="35"/>
      <c r="AY253" s="35"/>
      <c r="AZ253" s="35"/>
      <c r="BA253" s="35"/>
      <c r="BB253" s="35"/>
      <c r="BC253" s="35"/>
      <c r="BD253" s="35"/>
      <c r="BE253" s="35"/>
      <c r="BF253" s="35"/>
      <c r="BG253" s="35"/>
      <c r="BH253" s="35"/>
      <c r="BI253" s="35"/>
      <c r="BJ253" s="35"/>
      <c r="BK253" s="35"/>
      <c r="BL253" s="35"/>
      <c r="BM253" s="35"/>
      <c r="BN253" s="35"/>
      <c r="BO253" s="35"/>
      <c r="BP253" s="35"/>
      <c r="BQ253" s="35"/>
      <c r="BR253" s="35"/>
      <c r="BS253" s="35"/>
      <c r="BT253" s="35"/>
      <c r="BU253" s="35"/>
      <c r="BV253" s="35"/>
      <c r="BW253" s="35"/>
      <c r="BX253" s="35"/>
      <c r="BY253" s="35"/>
      <c r="BZ253" s="35"/>
      <c r="CA253" s="35"/>
      <c r="CB253" s="35"/>
      <c r="CC253" s="35"/>
      <c r="CD253" s="35"/>
      <c r="CE253" s="35"/>
      <c r="CF253" s="35"/>
      <c r="CG253" s="35"/>
      <c r="CH253" s="35"/>
      <c r="CI253" s="35"/>
      <c r="CJ253" s="35"/>
      <c r="CK253" s="35"/>
      <c r="CL253" s="35"/>
      <c r="CM253" s="35"/>
      <c r="CN253" s="35"/>
      <c r="CO253" s="35"/>
      <c r="CP253" s="35"/>
      <c r="CQ253" s="35"/>
      <c r="CR253" s="35"/>
      <c r="CS253" s="35"/>
      <c r="CT253" s="36"/>
      <c r="CU253" s="35"/>
      <c r="CV253" s="35"/>
      <c r="CW253" s="35"/>
      <c r="CX253" s="35"/>
      <c r="CY253" s="35"/>
      <c r="CZ253" s="36"/>
      <c r="DA253" s="36"/>
      <c r="DB253" s="35"/>
      <c r="DC253" s="35"/>
      <c r="DD253" s="35"/>
      <c r="DE253" s="35"/>
      <c r="DF253" s="35"/>
      <c r="DG253" s="35"/>
      <c r="DH253" s="35"/>
      <c r="DI253" s="35"/>
      <c r="DJ253" s="35"/>
      <c r="DK253" s="35"/>
      <c r="DL253" s="35"/>
      <c r="DM253" s="35"/>
      <c r="DN253" s="35"/>
      <c r="DO253" s="35"/>
      <c r="DP253" s="35"/>
      <c r="DQ253" s="35"/>
      <c r="DR253" s="35"/>
      <c r="DS253" s="35"/>
      <c r="DT253" s="35"/>
      <c r="DU253" s="35"/>
      <c r="DV253" s="35"/>
      <c r="DW253" s="35"/>
      <c r="DX253" s="35"/>
      <c r="DY253" s="35"/>
      <c r="DZ253" s="36"/>
      <c r="EA253" s="35"/>
      <c r="EB253" s="35"/>
      <c r="EC253" s="35"/>
      <c r="ED253" s="35"/>
      <c r="EE253" s="35"/>
      <c r="EF253" s="35"/>
      <c r="EG253" s="35"/>
      <c r="EH253" s="35"/>
      <c r="EI253" s="35"/>
      <c r="EJ253" s="35"/>
      <c r="EK253" s="35"/>
      <c r="EL253" s="35"/>
      <c r="EM253" s="35"/>
      <c r="EN253" s="35"/>
      <c r="EO253" s="35"/>
      <c r="EP253" s="35"/>
      <c r="EQ253" s="35"/>
      <c r="ER253" s="35"/>
      <c r="ES253" s="35"/>
      <c r="ET253" s="35"/>
      <c r="EU253" s="35"/>
      <c r="EV253" s="35"/>
      <c r="EW253" s="35"/>
      <c r="EX253" s="35"/>
      <c r="EY253" s="36"/>
      <c r="EZ253" s="35"/>
      <c r="FA253" s="35"/>
      <c r="FB253" s="35"/>
      <c r="FC253" s="35"/>
      <c r="FD253" s="35"/>
      <c r="FE253" s="35"/>
      <c r="FF253" s="35"/>
      <c r="FG253" s="35"/>
      <c r="FH253" s="35"/>
      <c r="FI253" s="35"/>
      <c r="FJ253" s="35"/>
      <c r="FK253" s="35"/>
      <c r="FL253" s="35"/>
      <c r="FM253" s="35"/>
      <c r="FN253" s="35"/>
      <c r="FO253" s="35"/>
      <c r="FP253" s="35"/>
      <c r="FQ253" s="52"/>
      <c r="FR253" s="8"/>
      <c r="FS253" s="9" t="s">
        <v>13</v>
      </c>
      <c r="FT253" s="9" t="str">
        <f t="shared" si="5254"/>
        <v>8. NSTs/ECB Development &amp; Reporting 8.5 Technical Support</v>
      </c>
    </row>
    <row r="254" spans="1:176" s="9" customFormat="1" ht="12" hidden="1" customHeight="1" outlineLevel="1">
      <c r="A254" s="125" t="s">
        <v>50</v>
      </c>
      <c r="B254" s="123"/>
      <c r="C254" s="124" t="str">
        <f t="shared" si="5114"/>
        <v>0 days</v>
      </c>
      <c r="D254" s="13" t="str">
        <f>A226&amp;" "&amp;A251</f>
        <v>8. NSTs/ECB Development &amp; Reporting 8.5 Technical Support</v>
      </c>
      <c r="E254" s="51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5"/>
      <c r="AE254" s="35"/>
      <c r="AF254" s="35"/>
      <c r="AG254" s="35"/>
      <c r="AH254" s="35"/>
      <c r="AI254" s="35"/>
      <c r="AJ254" s="35"/>
      <c r="AK254" s="35"/>
      <c r="AL254" s="36"/>
      <c r="AM254" s="36"/>
      <c r="AN254" s="36"/>
      <c r="AO254" s="36"/>
      <c r="AP254" s="36"/>
      <c r="AQ254" s="36"/>
      <c r="AR254" s="36"/>
      <c r="AS254" s="35"/>
      <c r="AT254" s="35"/>
      <c r="AU254" s="35"/>
      <c r="AV254" s="35"/>
      <c r="AW254" s="35"/>
      <c r="AX254" s="35"/>
      <c r="AY254" s="35"/>
      <c r="AZ254" s="35"/>
      <c r="BA254" s="35"/>
      <c r="BB254" s="35"/>
      <c r="BC254" s="35"/>
      <c r="BD254" s="35"/>
      <c r="BE254" s="35"/>
      <c r="BF254" s="35"/>
      <c r="BG254" s="35"/>
      <c r="BH254" s="35"/>
      <c r="BI254" s="35"/>
      <c r="BJ254" s="35"/>
      <c r="BK254" s="35"/>
      <c r="BL254" s="35"/>
      <c r="BM254" s="35"/>
      <c r="BN254" s="35"/>
      <c r="BO254" s="35"/>
      <c r="BP254" s="35"/>
      <c r="BQ254" s="35"/>
      <c r="BR254" s="35"/>
      <c r="BS254" s="35"/>
      <c r="BT254" s="35"/>
      <c r="BU254" s="35"/>
      <c r="BV254" s="35"/>
      <c r="BW254" s="35"/>
      <c r="BX254" s="35"/>
      <c r="BY254" s="35"/>
      <c r="BZ254" s="35"/>
      <c r="CA254" s="35"/>
      <c r="CB254" s="35"/>
      <c r="CC254" s="35"/>
      <c r="CD254" s="35"/>
      <c r="CE254" s="35"/>
      <c r="CF254" s="35"/>
      <c r="CG254" s="35"/>
      <c r="CH254" s="35"/>
      <c r="CI254" s="35"/>
      <c r="CJ254" s="35"/>
      <c r="CK254" s="35"/>
      <c r="CL254" s="35"/>
      <c r="CM254" s="35"/>
      <c r="CN254" s="35"/>
      <c r="CO254" s="35"/>
      <c r="CP254" s="35"/>
      <c r="CQ254" s="35"/>
      <c r="CR254" s="35"/>
      <c r="CS254" s="35"/>
      <c r="CT254" s="36"/>
      <c r="CU254" s="35"/>
      <c r="CV254" s="35"/>
      <c r="CW254" s="35"/>
      <c r="CX254" s="35"/>
      <c r="CY254" s="35"/>
      <c r="CZ254" s="36"/>
      <c r="DA254" s="36"/>
      <c r="DB254" s="35"/>
      <c r="DC254" s="35"/>
      <c r="DD254" s="35"/>
      <c r="DE254" s="35"/>
      <c r="DF254" s="35"/>
      <c r="DG254" s="35"/>
      <c r="DH254" s="35"/>
      <c r="DI254" s="35"/>
      <c r="DJ254" s="35"/>
      <c r="DK254" s="35"/>
      <c r="DL254" s="35"/>
      <c r="DM254" s="35"/>
      <c r="DN254" s="35"/>
      <c r="DO254" s="35"/>
      <c r="DP254" s="35"/>
      <c r="DQ254" s="35"/>
      <c r="DR254" s="35"/>
      <c r="DS254" s="35"/>
      <c r="DT254" s="35"/>
      <c r="DU254" s="35"/>
      <c r="DV254" s="35"/>
      <c r="DW254" s="35"/>
      <c r="DX254" s="35"/>
      <c r="DY254" s="35"/>
      <c r="DZ254" s="36"/>
      <c r="EA254" s="35"/>
      <c r="EB254" s="35"/>
      <c r="EC254" s="35"/>
      <c r="ED254" s="35"/>
      <c r="EE254" s="35"/>
      <c r="EF254" s="35"/>
      <c r="EG254" s="35"/>
      <c r="EH254" s="35"/>
      <c r="EI254" s="35"/>
      <c r="EJ254" s="35"/>
      <c r="EK254" s="35"/>
      <c r="EL254" s="35"/>
      <c r="EM254" s="35"/>
      <c r="EN254" s="35"/>
      <c r="EO254" s="35"/>
      <c r="EP254" s="35"/>
      <c r="EQ254" s="35"/>
      <c r="ER254" s="35"/>
      <c r="ES254" s="35"/>
      <c r="ET254" s="35"/>
      <c r="EU254" s="35"/>
      <c r="EV254" s="35"/>
      <c r="EW254" s="35"/>
      <c r="EX254" s="35"/>
      <c r="EY254" s="36"/>
      <c r="EZ254" s="35"/>
      <c r="FA254" s="35"/>
      <c r="FB254" s="35"/>
      <c r="FC254" s="35"/>
      <c r="FD254" s="35"/>
      <c r="FE254" s="35"/>
      <c r="FF254" s="35"/>
      <c r="FG254" s="35"/>
      <c r="FH254" s="35"/>
      <c r="FI254" s="35"/>
      <c r="FJ254" s="35"/>
      <c r="FK254" s="35"/>
      <c r="FL254" s="35"/>
      <c r="FM254" s="35"/>
      <c r="FN254" s="35"/>
      <c r="FO254" s="35"/>
      <c r="FP254" s="35"/>
      <c r="FQ254" s="52"/>
      <c r="FR254" s="8"/>
      <c r="FS254" s="9" t="s">
        <v>13</v>
      </c>
      <c r="FT254" s="9" t="str">
        <f t="shared" si="5254"/>
        <v>8. NSTs/ECB Development &amp; Reporting 8.5 Technical Support</v>
      </c>
    </row>
    <row r="255" spans="1:176" s="9" customFormat="1" ht="12" hidden="1" customHeight="1" outlineLevel="1">
      <c r="A255" s="125" t="s">
        <v>50</v>
      </c>
      <c r="B255" s="123"/>
      <c r="C255" s="124" t="str">
        <f t="shared" si="5114"/>
        <v>0 days</v>
      </c>
      <c r="D255" s="13" t="str">
        <f>A226&amp;" "&amp;A251</f>
        <v>8. NSTs/ECB Development &amp; Reporting 8.5 Technical Support</v>
      </c>
      <c r="E255" s="51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5"/>
      <c r="AE255" s="35"/>
      <c r="AF255" s="35"/>
      <c r="AG255" s="35"/>
      <c r="AH255" s="35"/>
      <c r="AI255" s="35"/>
      <c r="AJ255" s="35"/>
      <c r="AK255" s="35"/>
      <c r="AL255" s="36"/>
      <c r="AM255" s="36"/>
      <c r="AN255" s="36"/>
      <c r="AO255" s="36"/>
      <c r="AP255" s="36"/>
      <c r="AQ255" s="36"/>
      <c r="AR255" s="36"/>
      <c r="AS255" s="35"/>
      <c r="AT255" s="35"/>
      <c r="AU255" s="35"/>
      <c r="AV255" s="35"/>
      <c r="AW255" s="35"/>
      <c r="AX255" s="35"/>
      <c r="AY255" s="35"/>
      <c r="AZ255" s="35"/>
      <c r="BA255" s="35"/>
      <c r="BB255" s="35"/>
      <c r="BC255" s="35"/>
      <c r="BD255" s="35"/>
      <c r="BE255" s="35"/>
      <c r="BF255" s="35"/>
      <c r="BG255" s="35"/>
      <c r="BH255" s="35"/>
      <c r="BI255" s="35"/>
      <c r="BJ255" s="35"/>
      <c r="BK255" s="35"/>
      <c r="BL255" s="35"/>
      <c r="BM255" s="35"/>
      <c r="BN255" s="35"/>
      <c r="BO255" s="35"/>
      <c r="BP255" s="35"/>
      <c r="BQ255" s="35"/>
      <c r="BR255" s="35"/>
      <c r="BS255" s="35"/>
      <c r="BT255" s="35"/>
      <c r="BU255" s="35"/>
      <c r="BV255" s="35"/>
      <c r="BW255" s="35"/>
      <c r="BX255" s="35"/>
      <c r="BY255" s="35"/>
      <c r="BZ255" s="35"/>
      <c r="CA255" s="35"/>
      <c r="CB255" s="35"/>
      <c r="CC255" s="35"/>
      <c r="CD255" s="35"/>
      <c r="CE255" s="35"/>
      <c r="CF255" s="35"/>
      <c r="CG255" s="35"/>
      <c r="CH255" s="35"/>
      <c r="CI255" s="35"/>
      <c r="CJ255" s="35"/>
      <c r="CK255" s="35"/>
      <c r="CL255" s="35"/>
      <c r="CM255" s="35"/>
      <c r="CN255" s="35"/>
      <c r="CO255" s="35"/>
      <c r="CP255" s="35"/>
      <c r="CQ255" s="35"/>
      <c r="CR255" s="35"/>
      <c r="CS255" s="35"/>
      <c r="CT255" s="36"/>
      <c r="CU255" s="35"/>
      <c r="CV255" s="35"/>
      <c r="CW255" s="35"/>
      <c r="CX255" s="35"/>
      <c r="CY255" s="35"/>
      <c r="CZ255" s="36"/>
      <c r="DA255" s="36"/>
      <c r="DB255" s="35"/>
      <c r="DC255" s="35"/>
      <c r="DD255" s="35"/>
      <c r="DE255" s="35"/>
      <c r="DF255" s="35"/>
      <c r="DG255" s="35"/>
      <c r="DH255" s="35"/>
      <c r="DI255" s="35"/>
      <c r="DJ255" s="35"/>
      <c r="DK255" s="35"/>
      <c r="DL255" s="35"/>
      <c r="DM255" s="35"/>
      <c r="DN255" s="35"/>
      <c r="DO255" s="35"/>
      <c r="DP255" s="35"/>
      <c r="DQ255" s="35"/>
      <c r="DR255" s="35"/>
      <c r="DS255" s="35"/>
      <c r="DT255" s="35"/>
      <c r="DU255" s="35"/>
      <c r="DV255" s="35"/>
      <c r="DW255" s="35"/>
      <c r="DX255" s="35"/>
      <c r="DY255" s="35"/>
      <c r="DZ255" s="36"/>
      <c r="EA255" s="35"/>
      <c r="EB255" s="35"/>
      <c r="EC255" s="35"/>
      <c r="ED255" s="35"/>
      <c r="EE255" s="35"/>
      <c r="EF255" s="35"/>
      <c r="EG255" s="35"/>
      <c r="EH255" s="35"/>
      <c r="EI255" s="35"/>
      <c r="EJ255" s="35"/>
      <c r="EK255" s="35"/>
      <c r="EL255" s="35"/>
      <c r="EM255" s="35"/>
      <c r="EN255" s="35"/>
      <c r="EO255" s="35"/>
      <c r="EP255" s="35"/>
      <c r="EQ255" s="35"/>
      <c r="ER255" s="35"/>
      <c r="ES255" s="35"/>
      <c r="ET255" s="35"/>
      <c r="EU255" s="35"/>
      <c r="EV255" s="35"/>
      <c r="EW255" s="35"/>
      <c r="EX255" s="35"/>
      <c r="EY255" s="36"/>
      <c r="EZ255" s="35"/>
      <c r="FA255" s="35"/>
      <c r="FB255" s="35"/>
      <c r="FC255" s="35"/>
      <c r="FD255" s="35"/>
      <c r="FE255" s="35"/>
      <c r="FF255" s="35"/>
      <c r="FG255" s="35"/>
      <c r="FH255" s="35"/>
      <c r="FI255" s="35"/>
      <c r="FJ255" s="35"/>
      <c r="FK255" s="35"/>
      <c r="FL255" s="35"/>
      <c r="FM255" s="35"/>
      <c r="FN255" s="35"/>
      <c r="FO255" s="35"/>
      <c r="FP255" s="35"/>
      <c r="FQ255" s="52"/>
      <c r="FR255" s="8"/>
      <c r="FS255" s="9" t="s">
        <v>13</v>
      </c>
      <c r="FT255" s="9" t="str">
        <f t="shared" si="5254"/>
        <v>8. NSTs/ECB Development &amp; Reporting 8.5 Technical Support</v>
      </c>
    </row>
    <row r="256" spans="1:176" s="9" customFormat="1" ht="12" hidden="1" customHeight="1" outlineLevel="1">
      <c r="A256" s="125" t="s">
        <v>50</v>
      </c>
      <c r="B256" s="123"/>
      <c r="C256" s="124" t="str">
        <f t="shared" si="5114"/>
        <v>0 days</v>
      </c>
      <c r="D256" s="13" t="str">
        <f>A226&amp;" "&amp;A251</f>
        <v>8. NSTs/ECB Development &amp; Reporting 8.5 Technical Support</v>
      </c>
      <c r="E256" s="51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5"/>
      <c r="AE256" s="35"/>
      <c r="AF256" s="35"/>
      <c r="AG256" s="35"/>
      <c r="AH256" s="35"/>
      <c r="AI256" s="35"/>
      <c r="AJ256" s="35"/>
      <c r="AK256" s="35"/>
      <c r="AL256" s="36"/>
      <c r="AM256" s="36"/>
      <c r="AN256" s="36"/>
      <c r="AO256" s="36"/>
      <c r="AP256" s="36"/>
      <c r="AQ256" s="36"/>
      <c r="AR256" s="36"/>
      <c r="AS256" s="35"/>
      <c r="AT256" s="35"/>
      <c r="AU256" s="35"/>
      <c r="AV256" s="35"/>
      <c r="AW256" s="35"/>
      <c r="AX256" s="35"/>
      <c r="AY256" s="35"/>
      <c r="AZ256" s="35"/>
      <c r="BA256" s="35"/>
      <c r="BB256" s="35"/>
      <c r="BC256" s="35"/>
      <c r="BD256" s="35"/>
      <c r="BE256" s="35"/>
      <c r="BF256" s="35"/>
      <c r="BG256" s="35"/>
      <c r="BH256" s="35"/>
      <c r="BI256" s="35"/>
      <c r="BJ256" s="35"/>
      <c r="BK256" s="35"/>
      <c r="BL256" s="35"/>
      <c r="BM256" s="35"/>
      <c r="BN256" s="35"/>
      <c r="BO256" s="35"/>
      <c r="BP256" s="35"/>
      <c r="BQ256" s="35"/>
      <c r="BR256" s="35"/>
      <c r="BS256" s="35"/>
      <c r="BT256" s="35"/>
      <c r="BU256" s="35"/>
      <c r="BV256" s="35"/>
      <c r="BW256" s="35"/>
      <c r="BX256" s="35"/>
      <c r="BY256" s="35"/>
      <c r="BZ256" s="35"/>
      <c r="CA256" s="35"/>
      <c r="CB256" s="35"/>
      <c r="CC256" s="35"/>
      <c r="CD256" s="35"/>
      <c r="CE256" s="35"/>
      <c r="CF256" s="35"/>
      <c r="CG256" s="35"/>
      <c r="CH256" s="35"/>
      <c r="CI256" s="35"/>
      <c r="CJ256" s="35"/>
      <c r="CK256" s="35"/>
      <c r="CL256" s="35"/>
      <c r="CM256" s="35"/>
      <c r="CN256" s="35"/>
      <c r="CO256" s="35"/>
      <c r="CP256" s="35"/>
      <c r="CQ256" s="35"/>
      <c r="CR256" s="35"/>
      <c r="CS256" s="35"/>
      <c r="CT256" s="36"/>
      <c r="CU256" s="35"/>
      <c r="CV256" s="35"/>
      <c r="CW256" s="35"/>
      <c r="CX256" s="35"/>
      <c r="CY256" s="35"/>
      <c r="CZ256" s="36"/>
      <c r="DA256" s="36"/>
      <c r="DB256" s="35"/>
      <c r="DC256" s="35"/>
      <c r="DD256" s="35"/>
      <c r="DE256" s="35"/>
      <c r="DF256" s="35"/>
      <c r="DG256" s="35"/>
      <c r="DH256" s="35"/>
      <c r="DI256" s="35"/>
      <c r="DJ256" s="35"/>
      <c r="DK256" s="35"/>
      <c r="DL256" s="35"/>
      <c r="DM256" s="35"/>
      <c r="DN256" s="35"/>
      <c r="DO256" s="35"/>
      <c r="DP256" s="35"/>
      <c r="DQ256" s="35"/>
      <c r="DR256" s="35"/>
      <c r="DS256" s="35"/>
      <c r="DT256" s="35"/>
      <c r="DU256" s="35"/>
      <c r="DV256" s="35"/>
      <c r="DW256" s="35"/>
      <c r="DX256" s="35"/>
      <c r="DY256" s="35"/>
      <c r="DZ256" s="36"/>
      <c r="EA256" s="35"/>
      <c r="EB256" s="35"/>
      <c r="EC256" s="35"/>
      <c r="ED256" s="35"/>
      <c r="EE256" s="35"/>
      <c r="EF256" s="35"/>
      <c r="EG256" s="35"/>
      <c r="EH256" s="35"/>
      <c r="EI256" s="35"/>
      <c r="EJ256" s="35"/>
      <c r="EK256" s="35"/>
      <c r="EL256" s="35"/>
      <c r="EM256" s="35"/>
      <c r="EN256" s="35"/>
      <c r="EO256" s="35"/>
      <c r="EP256" s="35"/>
      <c r="EQ256" s="35"/>
      <c r="ER256" s="35"/>
      <c r="ES256" s="35"/>
      <c r="ET256" s="35"/>
      <c r="EU256" s="35"/>
      <c r="EV256" s="35"/>
      <c r="EW256" s="35"/>
      <c r="EX256" s="35"/>
      <c r="EY256" s="36"/>
      <c r="EZ256" s="35"/>
      <c r="FA256" s="35"/>
      <c r="FB256" s="35"/>
      <c r="FC256" s="35"/>
      <c r="FD256" s="35"/>
      <c r="FE256" s="35"/>
      <c r="FF256" s="35"/>
      <c r="FG256" s="35"/>
      <c r="FH256" s="35"/>
      <c r="FI256" s="35"/>
      <c r="FJ256" s="35"/>
      <c r="FK256" s="35"/>
      <c r="FL256" s="35"/>
      <c r="FM256" s="35"/>
      <c r="FN256" s="35"/>
      <c r="FO256" s="35"/>
      <c r="FP256" s="35"/>
      <c r="FQ256" s="52"/>
      <c r="FR256" s="8"/>
      <c r="FS256" s="9" t="s">
        <v>13</v>
      </c>
      <c r="FT256" s="9" t="str">
        <f t="shared" si="5254"/>
        <v>8. NSTs/ECB Development &amp; Reporting 8.5 Technical Support</v>
      </c>
    </row>
    <row r="257" spans="1:176" s="9" customFormat="1" ht="12" customHeight="1" collapsed="1">
      <c r="A257" s="116" t="s">
        <v>100</v>
      </c>
      <c r="B257" s="132"/>
      <c r="C257" s="118" t="str">
        <f t="shared" si="5114"/>
        <v>82 days</v>
      </c>
      <c r="D257" s="26"/>
      <c r="E257" s="95">
        <f>IF(SUBTOTAL(9,E259,E263,E261)&gt;0,SUBTOTAL(9,E259,E263,E261),"")</f>
        <v>1</v>
      </c>
      <c r="F257" s="41">
        <f t="shared" ref="F257:BQ257" si="6347">IF(SUBTOTAL(9,F259,F263,F261)&gt;0,SUBTOTAL(9,F259,F263,F261),"")</f>
        <v>1</v>
      </c>
      <c r="G257" s="41">
        <f t="shared" si="6347"/>
        <v>1</v>
      </c>
      <c r="H257" s="41">
        <f t="shared" si="6347"/>
        <v>1</v>
      </c>
      <c r="I257" s="41">
        <f t="shared" si="6347"/>
        <v>1</v>
      </c>
      <c r="J257" s="41">
        <f t="shared" si="6347"/>
        <v>1</v>
      </c>
      <c r="K257" s="41">
        <f t="shared" si="6347"/>
        <v>1</v>
      </c>
      <c r="L257" s="41">
        <f t="shared" si="6347"/>
        <v>1</v>
      </c>
      <c r="M257" s="41">
        <f t="shared" si="6347"/>
        <v>1</v>
      </c>
      <c r="N257" s="41">
        <f t="shared" si="6347"/>
        <v>1</v>
      </c>
      <c r="O257" s="41">
        <f t="shared" si="6347"/>
        <v>1</v>
      </c>
      <c r="P257" s="41">
        <f t="shared" si="6347"/>
        <v>1</v>
      </c>
      <c r="Q257" s="41">
        <f t="shared" si="6347"/>
        <v>1</v>
      </c>
      <c r="R257" s="41">
        <f t="shared" si="6347"/>
        <v>1</v>
      </c>
      <c r="S257" s="41">
        <f t="shared" si="6347"/>
        <v>1</v>
      </c>
      <c r="T257" s="41">
        <f t="shared" si="6347"/>
        <v>1</v>
      </c>
      <c r="U257" s="41" t="str">
        <f t="shared" si="6347"/>
        <v/>
      </c>
      <c r="V257" s="41" t="str">
        <f t="shared" si="6347"/>
        <v/>
      </c>
      <c r="W257" s="41" t="str">
        <f t="shared" si="6347"/>
        <v/>
      </c>
      <c r="X257" s="41" t="str">
        <f t="shared" si="6347"/>
        <v/>
      </c>
      <c r="Y257" s="41" t="str">
        <f t="shared" si="6347"/>
        <v/>
      </c>
      <c r="Z257" s="41" t="str">
        <f t="shared" si="6347"/>
        <v/>
      </c>
      <c r="AA257" s="41" t="str">
        <f t="shared" si="6347"/>
        <v/>
      </c>
      <c r="AB257" s="41" t="str">
        <f t="shared" si="6347"/>
        <v/>
      </c>
      <c r="AC257" s="41" t="str">
        <f t="shared" si="6347"/>
        <v/>
      </c>
      <c r="AD257" s="41">
        <f t="shared" si="6347"/>
        <v>1</v>
      </c>
      <c r="AE257" s="41">
        <f t="shared" si="6347"/>
        <v>1</v>
      </c>
      <c r="AF257" s="41">
        <f t="shared" si="6347"/>
        <v>1</v>
      </c>
      <c r="AG257" s="41">
        <f t="shared" si="6347"/>
        <v>1</v>
      </c>
      <c r="AH257" s="41">
        <f t="shared" si="6347"/>
        <v>1</v>
      </c>
      <c r="AI257" s="41">
        <f t="shared" si="6347"/>
        <v>1</v>
      </c>
      <c r="AJ257" s="41" t="str">
        <f t="shared" si="6347"/>
        <v/>
      </c>
      <c r="AK257" s="41" t="str">
        <f t="shared" si="6347"/>
        <v/>
      </c>
      <c r="AL257" s="33" t="str">
        <f>IF(SUBTOTAL(9,AL259,AL263,AL261)&gt;0,SUBTOTAL(9,AL259,AL263,AL261),"")</f>
        <v/>
      </c>
      <c r="AM257" s="33" t="str">
        <f t="shared" si="6347"/>
        <v/>
      </c>
      <c r="AN257" s="33" t="str">
        <f t="shared" si="6347"/>
        <v/>
      </c>
      <c r="AO257" s="33" t="str">
        <f t="shared" si="6347"/>
        <v/>
      </c>
      <c r="AP257" s="33" t="str">
        <f t="shared" si="6347"/>
        <v/>
      </c>
      <c r="AQ257" s="33" t="str">
        <f t="shared" si="6347"/>
        <v/>
      </c>
      <c r="AR257" s="33" t="str">
        <f t="shared" si="6347"/>
        <v/>
      </c>
      <c r="AS257" s="41">
        <f t="shared" si="6347"/>
        <v>1</v>
      </c>
      <c r="AT257" s="41">
        <f t="shared" si="6347"/>
        <v>1</v>
      </c>
      <c r="AU257" s="41">
        <f t="shared" si="6347"/>
        <v>1</v>
      </c>
      <c r="AV257" s="41">
        <f t="shared" si="6347"/>
        <v>1</v>
      </c>
      <c r="AW257" s="41">
        <f t="shared" si="6347"/>
        <v>1</v>
      </c>
      <c r="AX257" s="41">
        <f t="shared" si="6347"/>
        <v>1</v>
      </c>
      <c r="AY257" s="41" t="str">
        <f t="shared" si="6347"/>
        <v/>
      </c>
      <c r="AZ257" s="41" t="str">
        <f t="shared" si="6347"/>
        <v/>
      </c>
      <c r="BA257" s="41" t="str">
        <f t="shared" si="6347"/>
        <v/>
      </c>
      <c r="BB257" s="41" t="str">
        <f t="shared" si="6347"/>
        <v/>
      </c>
      <c r="BC257" s="41" t="str">
        <f t="shared" si="6347"/>
        <v/>
      </c>
      <c r="BD257" s="41" t="str">
        <f t="shared" si="6347"/>
        <v/>
      </c>
      <c r="BE257" s="41" t="str">
        <f t="shared" si="6347"/>
        <v/>
      </c>
      <c r="BF257" s="41" t="str">
        <f t="shared" si="6347"/>
        <v/>
      </c>
      <c r="BG257" s="41" t="str">
        <f t="shared" si="6347"/>
        <v/>
      </c>
      <c r="BH257" s="41" t="str">
        <f t="shared" si="6347"/>
        <v/>
      </c>
      <c r="BI257" s="41" t="str">
        <f t="shared" si="6347"/>
        <v/>
      </c>
      <c r="BJ257" s="41" t="str">
        <f t="shared" si="6347"/>
        <v/>
      </c>
      <c r="BK257" s="41" t="str">
        <f t="shared" si="6347"/>
        <v/>
      </c>
      <c r="BL257" s="41" t="str">
        <f t="shared" si="6347"/>
        <v/>
      </c>
      <c r="BM257" s="41">
        <f t="shared" si="6347"/>
        <v>1</v>
      </c>
      <c r="BN257" s="41">
        <f t="shared" si="6347"/>
        <v>1</v>
      </c>
      <c r="BO257" s="41">
        <f t="shared" si="6347"/>
        <v>1</v>
      </c>
      <c r="BP257" s="41">
        <f t="shared" si="6347"/>
        <v>1</v>
      </c>
      <c r="BQ257" s="41">
        <f t="shared" si="6347"/>
        <v>1</v>
      </c>
      <c r="BR257" s="41">
        <f t="shared" ref="BR257:EC257" si="6348">IF(SUBTOTAL(9,BR259,BR263,BR261)&gt;0,SUBTOTAL(9,BR259,BR263,BR261),"")</f>
        <v>1</v>
      </c>
      <c r="BS257" s="41">
        <f t="shared" si="6348"/>
        <v>1</v>
      </c>
      <c r="BT257" s="41">
        <f t="shared" si="6348"/>
        <v>1</v>
      </c>
      <c r="BU257" s="41">
        <f t="shared" si="6348"/>
        <v>1</v>
      </c>
      <c r="BV257" s="41">
        <f t="shared" si="6348"/>
        <v>1</v>
      </c>
      <c r="BW257" s="41" t="str">
        <f t="shared" si="6348"/>
        <v/>
      </c>
      <c r="BX257" s="41">
        <f t="shared" si="6348"/>
        <v>1</v>
      </c>
      <c r="BY257" s="41">
        <f t="shared" si="6348"/>
        <v>1</v>
      </c>
      <c r="BZ257" s="41">
        <f t="shared" si="6348"/>
        <v>1</v>
      </c>
      <c r="CA257" s="41">
        <f t="shared" si="6348"/>
        <v>1</v>
      </c>
      <c r="CB257" s="41">
        <f t="shared" si="6348"/>
        <v>1</v>
      </c>
      <c r="CC257" s="41">
        <f t="shared" si="6348"/>
        <v>1</v>
      </c>
      <c r="CD257" s="41">
        <f t="shared" si="6348"/>
        <v>1</v>
      </c>
      <c r="CE257" s="41" t="str">
        <f t="shared" si="6348"/>
        <v/>
      </c>
      <c r="CF257" s="41" t="str">
        <f t="shared" si="6348"/>
        <v/>
      </c>
      <c r="CG257" s="41" t="str">
        <f t="shared" si="6348"/>
        <v/>
      </c>
      <c r="CH257" s="41" t="str">
        <f t="shared" si="6348"/>
        <v/>
      </c>
      <c r="CI257" s="41" t="str">
        <f t="shared" si="6348"/>
        <v/>
      </c>
      <c r="CJ257" s="41" t="str">
        <f t="shared" si="6348"/>
        <v/>
      </c>
      <c r="CK257" s="41" t="str">
        <f t="shared" si="6348"/>
        <v/>
      </c>
      <c r="CL257" s="41" t="str">
        <f t="shared" si="6348"/>
        <v/>
      </c>
      <c r="CM257" s="41" t="str">
        <f t="shared" si="6348"/>
        <v/>
      </c>
      <c r="CN257" s="41" t="str">
        <f t="shared" si="6348"/>
        <v/>
      </c>
      <c r="CO257" s="41" t="str">
        <f t="shared" si="6348"/>
        <v/>
      </c>
      <c r="CP257" s="41" t="str">
        <f t="shared" si="6348"/>
        <v/>
      </c>
      <c r="CQ257" s="41" t="str">
        <f t="shared" si="6348"/>
        <v/>
      </c>
      <c r="CR257" s="41" t="str">
        <f t="shared" si="6348"/>
        <v/>
      </c>
      <c r="CS257" s="41" t="str">
        <f t="shared" si="6348"/>
        <v/>
      </c>
      <c r="CT257" s="33" t="str">
        <f t="shared" si="6348"/>
        <v/>
      </c>
      <c r="CU257" s="41" t="str">
        <f t="shared" si="6348"/>
        <v/>
      </c>
      <c r="CV257" s="41" t="str">
        <f t="shared" si="6348"/>
        <v/>
      </c>
      <c r="CW257" s="41" t="str">
        <f t="shared" si="6348"/>
        <v/>
      </c>
      <c r="CX257" s="41" t="str">
        <f t="shared" si="6348"/>
        <v/>
      </c>
      <c r="CY257" s="41" t="str">
        <f t="shared" si="6348"/>
        <v/>
      </c>
      <c r="CZ257" s="33" t="str">
        <f t="shared" si="6348"/>
        <v/>
      </c>
      <c r="DA257" s="33" t="str">
        <f t="shared" si="6348"/>
        <v/>
      </c>
      <c r="DB257" s="41">
        <f t="shared" si="6348"/>
        <v>1</v>
      </c>
      <c r="DC257" s="41">
        <f t="shared" si="6348"/>
        <v>1</v>
      </c>
      <c r="DD257" s="41">
        <f t="shared" si="6348"/>
        <v>1</v>
      </c>
      <c r="DE257" s="41">
        <f t="shared" si="6348"/>
        <v>1</v>
      </c>
      <c r="DF257" s="41">
        <f t="shared" si="6348"/>
        <v>1</v>
      </c>
      <c r="DG257" s="41">
        <f t="shared" si="6348"/>
        <v>1</v>
      </c>
      <c r="DH257" s="41">
        <f t="shared" si="6348"/>
        <v>1</v>
      </c>
      <c r="DI257" s="41">
        <f t="shared" si="6348"/>
        <v>1</v>
      </c>
      <c r="DJ257" s="41">
        <f t="shared" si="6348"/>
        <v>1</v>
      </c>
      <c r="DK257" s="41">
        <f t="shared" si="6348"/>
        <v>1</v>
      </c>
      <c r="DL257" s="41">
        <f t="shared" si="6348"/>
        <v>1</v>
      </c>
      <c r="DM257" s="41">
        <f t="shared" si="6348"/>
        <v>1</v>
      </c>
      <c r="DN257" s="41">
        <f t="shared" si="6348"/>
        <v>0.5</v>
      </c>
      <c r="DO257" s="41">
        <f t="shared" si="6348"/>
        <v>0.5</v>
      </c>
      <c r="DP257" s="41">
        <f t="shared" si="6348"/>
        <v>1</v>
      </c>
      <c r="DQ257" s="41">
        <f t="shared" si="6348"/>
        <v>1</v>
      </c>
      <c r="DR257" s="41">
        <f t="shared" si="6348"/>
        <v>1</v>
      </c>
      <c r="DS257" s="41">
        <f t="shared" si="6348"/>
        <v>1</v>
      </c>
      <c r="DT257" s="41">
        <f t="shared" si="6348"/>
        <v>0.5</v>
      </c>
      <c r="DU257" s="41">
        <f t="shared" si="6348"/>
        <v>1</v>
      </c>
      <c r="DV257" s="41">
        <f t="shared" si="6348"/>
        <v>1</v>
      </c>
      <c r="DW257" s="41">
        <f t="shared" si="6348"/>
        <v>1</v>
      </c>
      <c r="DX257" s="41">
        <f t="shared" si="6348"/>
        <v>1</v>
      </c>
      <c r="DY257" s="41">
        <f t="shared" si="6348"/>
        <v>0.5</v>
      </c>
      <c r="DZ257" s="33" t="str">
        <f t="shared" si="6348"/>
        <v/>
      </c>
      <c r="EA257" s="41" t="str">
        <f t="shared" si="6348"/>
        <v/>
      </c>
      <c r="EB257" s="41" t="str">
        <f t="shared" si="6348"/>
        <v/>
      </c>
      <c r="EC257" s="41" t="str">
        <f t="shared" si="6348"/>
        <v/>
      </c>
      <c r="ED257" s="41" t="str">
        <f t="shared" ref="ED257:FQ257" si="6349">IF(SUBTOTAL(9,ED259,ED263,ED261)&gt;0,SUBTOTAL(9,ED259,ED263,ED261),"")</f>
        <v/>
      </c>
      <c r="EE257" s="41" t="str">
        <f t="shared" si="6349"/>
        <v/>
      </c>
      <c r="EF257" s="41">
        <f t="shared" si="6349"/>
        <v>1</v>
      </c>
      <c r="EG257" s="41">
        <f t="shared" si="6349"/>
        <v>1</v>
      </c>
      <c r="EH257" s="41">
        <f t="shared" si="6349"/>
        <v>1</v>
      </c>
      <c r="EI257" s="41">
        <f t="shared" si="6349"/>
        <v>1</v>
      </c>
      <c r="EJ257" s="41">
        <f t="shared" si="6349"/>
        <v>1</v>
      </c>
      <c r="EK257" s="41">
        <f t="shared" si="6349"/>
        <v>1</v>
      </c>
      <c r="EL257" s="41">
        <f t="shared" si="6349"/>
        <v>1</v>
      </c>
      <c r="EM257" s="41">
        <f t="shared" si="6349"/>
        <v>1</v>
      </c>
      <c r="EN257" s="41">
        <f t="shared" si="6349"/>
        <v>1</v>
      </c>
      <c r="EO257" s="41">
        <f t="shared" si="6349"/>
        <v>0.5</v>
      </c>
      <c r="EP257" s="41">
        <f t="shared" si="6349"/>
        <v>1</v>
      </c>
      <c r="EQ257" s="41">
        <f t="shared" si="6349"/>
        <v>1</v>
      </c>
      <c r="ER257" s="41">
        <f t="shared" si="6349"/>
        <v>1</v>
      </c>
      <c r="ES257" s="41">
        <f t="shared" si="6349"/>
        <v>1</v>
      </c>
      <c r="ET257" s="41">
        <f t="shared" si="6349"/>
        <v>1</v>
      </c>
      <c r="EU257" s="41" t="str">
        <f t="shared" si="6349"/>
        <v/>
      </c>
      <c r="EV257" s="41" t="str">
        <f t="shared" si="6349"/>
        <v/>
      </c>
      <c r="EW257" s="41" t="str">
        <f t="shared" si="6349"/>
        <v/>
      </c>
      <c r="EX257" s="41" t="str">
        <f t="shared" si="6349"/>
        <v/>
      </c>
      <c r="EY257" s="33" t="str">
        <f t="shared" si="6349"/>
        <v/>
      </c>
      <c r="EZ257" s="41" t="str">
        <f t="shared" si="6349"/>
        <v/>
      </c>
      <c r="FA257" s="41" t="str">
        <f t="shared" si="6349"/>
        <v/>
      </c>
      <c r="FB257" s="41" t="str">
        <f t="shared" si="6349"/>
        <v/>
      </c>
      <c r="FC257" s="41" t="str">
        <f t="shared" si="6349"/>
        <v/>
      </c>
      <c r="FD257" s="41" t="str">
        <f t="shared" si="6349"/>
        <v/>
      </c>
      <c r="FE257" s="41" t="str">
        <f t="shared" si="6349"/>
        <v/>
      </c>
      <c r="FF257" s="41" t="str">
        <f t="shared" si="6349"/>
        <v/>
      </c>
      <c r="FG257" s="41" t="str">
        <f t="shared" si="6349"/>
        <v/>
      </c>
      <c r="FH257" s="41" t="str">
        <f t="shared" si="6349"/>
        <v/>
      </c>
      <c r="FI257" s="41" t="str">
        <f t="shared" si="6349"/>
        <v/>
      </c>
      <c r="FJ257" s="41" t="str">
        <f t="shared" si="6349"/>
        <v/>
      </c>
      <c r="FK257" s="41" t="str">
        <f t="shared" si="6349"/>
        <v/>
      </c>
      <c r="FL257" s="41" t="str">
        <f t="shared" si="6349"/>
        <v/>
      </c>
      <c r="FM257" s="41" t="str">
        <f t="shared" si="6349"/>
        <v/>
      </c>
      <c r="FN257" s="41" t="str">
        <f t="shared" si="6349"/>
        <v/>
      </c>
      <c r="FO257" s="41" t="str">
        <f t="shared" si="6349"/>
        <v/>
      </c>
      <c r="FP257" s="41" t="str">
        <f t="shared" si="6349"/>
        <v/>
      </c>
      <c r="FQ257" s="96" t="str">
        <f t="shared" si="6349"/>
        <v/>
      </c>
      <c r="FR257" s="8"/>
      <c r="FS257" s="9" t="s">
        <v>131</v>
      </c>
      <c r="FT257" s="9" t="str">
        <f t="shared" si="5254"/>
        <v/>
      </c>
    </row>
    <row r="258" spans="1:176" s="9" customFormat="1" ht="12" customHeight="1">
      <c r="A258" s="119" t="s">
        <v>120</v>
      </c>
      <c r="B258" s="127"/>
      <c r="C258" s="121" t="str">
        <f t="shared" si="5114"/>
        <v>31 days</v>
      </c>
      <c r="D258" s="27"/>
      <c r="E258" s="91">
        <f>IF(SUBTOTAL(9,E259:E259)&gt;0,SUBTOTAL(9,E259:E259),"")</f>
        <v>0.5</v>
      </c>
      <c r="F258" s="34">
        <f t="shared" ref="F258:AE258" si="6350">IF(SUBTOTAL(9,F259:F259)&gt;0,SUBTOTAL(9,F259:F259),"")</f>
        <v>0.5</v>
      </c>
      <c r="G258" s="34">
        <f t="shared" si="6350"/>
        <v>0.5</v>
      </c>
      <c r="H258" s="34">
        <f t="shared" si="6350"/>
        <v>0.5</v>
      </c>
      <c r="I258" s="34">
        <f t="shared" si="6350"/>
        <v>0.5</v>
      </c>
      <c r="J258" s="34">
        <f t="shared" si="6350"/>
        <v>0.5</v>
      </c>
      <c r="K258" s="34">
        <f t="shared" si="6350"/>
        <v>0.5</v>
      </c>
      <c r="L258" s="34">
        <f t="shared" si="6350"/>
        <v>0.5</v>
      </c>
      <c r="M258" s="34">
        <f t="shared" si="6350"/>
        <v>0.5</v>
      </c>
      <c r="N258" s="34">
        <f t="shared" si="6350"/>
        <v>0.5</v>
      </c>
      <c r="O258" s="34">
        <f t="shared" si="6350"/>
        <v>0.5</v>
      </c>
      <c r="P258" s="34">
        <f t="shared" si="6350"/>
        <v>0.5</v>
      </c>
      <c r="Q258" s="34">
        <f t="shared" si="6350"/>
        <v>0.5</v>
      </c>
      <c r="R258" s="34">
        <f t="shared" si="6350"/>
        <v>0.5</v>
      </c>
      <c r="S258" s="34">
        <f t="shared" si="6350"/>
        <v>0.5</v>
      </c>
      <c r="T258" s="34" t="str">
        <f t="shared" si="6350"/>
        <v/>
      </c>
      <c r="U258" s="34" t="str">
        <f t="shared" si="6350"/>
        <v/>
      </c>
      <c r="V258" s="34" t="str">
        <f t="shared" si="6350"/>
        <v/>
      </c>
      <c r="W258" s="34" t="str">
        <f t="shared" si="6350"/>
        <v/>
      </c>
      <c r="X258" s="34" t="str">
        <f t="shared" si="6350"/>
        <v/>
      </c>
      <c r="Y258" s="34" t="str">
        <f t="shared" si="6350"/>
        <v/>
      </c>
      <c r="Z258" s="34" t="str">
        <f t="shared" si="6350"/>
        <v/>
      </c>
      <c r="AA258" s="34" t="str">
        <f t="shared" si="6350"/>
        <v/>
      </c>
      <c r="AB258" s="34" t="str">
        <f t="shared" si="6350"/>
        <v/>
      </c>
      <c r="AC258" s="34" t="str">
        <f t="shared" si="6350"/>
        <v/>
      </c>
      <c r="AD258" s="34" t="str">
        <f t="shared" si="6350"/>
        <v/>
      </c>
      <c r="AE258" s="34" t="str">
        <f t="shared" si="6350"/>
        <v/>
      </c>
      <c r="AF258" s="34" t="str">
        <f t="shared" ref="AF258:BK258" si="6351">IF(SUBTOTAL(9,AF259:AF259)&gt;0,SUBTOTAL(9,AF259:AF259),"")</f>
        <v/>
      </c>
      <c r="AG258" s="34" t="str">
        <f t="shared" si="6351"/>
        <v/>
      </c>
      <c r="AH258" s="34" t="str">
        <f t="shared" si="6351"/>
        <v/>
      </c>
      <c r="AI258" s="34" t="str">
        <f t="shared" si="6351"/>
        <v/>
      </c>
      <c r="AJ258" s="34" t="str">
        <f t="shared" si="6351"/>
        <v/>
      </c>
      <c r="AK258" s="34" t="str">
        <f t="shared" si="6351"/>
        <v/>
      </c>
      <c r="AL258" s="33" t="str">
        <f t="shared" si="6351"/>
        <v/>
      </c>
      <c r="AM258" s="33" t="str">
        <f t="shared" si="6351"/>
        <v/>
      </c>
      <c r="AN258" s="33" t="str">
        <f t="shared" si="6351"/>
        <v/>
      </c>
      <c r="AO258" s="33" t="str">
        <f t="shared" si="6351"/>
        <v/>
      </c>
      <c r="AP258" s="33" t="str">
        <f t="shared" si="6351"/>
        <v/>
      </c>
      <c r="AQ258" s="33" t="str">
        <f t="shared" si="6351"/>
        <v/>
      </c>
      <c r="AR258" s="33" t="str">
        <f t="shared" si="6351"/>
        <v/>
      </c>
      <c r="AS258" s="34" t="str">
        <f t="shared" si="6351"/>
        <v/>
      </c>
      <c r="AT258" s="34" t="str">
        <f t="shared" si="6351"/>
        <v/>
      </c>
      <c r="AU258" s="34" t="str">
        <f t="shared" si="6351"/>
        <v/>
      </c>
      <c r="AV258" s="34" t="str">
        <f t="shared" si="6351"/>
        <v/>
      </c>
      <c r="AW258" s="34" t="str">
        <f t="shared" si="6351"/>
        <v/>
      </c>
      <c r="AX258" s="34" t="str">
        <f t="shared" si="6351"/>
        <v/>
      </c>
      <c r="AY258" s="34" t="str">
        <f t="shared" si="6351"/>
        <v/>
      </c>
      <c r="AZ258" s="34" t="str">
        <f t="shared" si="6351"/>
        <v/>
      </c>
      <c r="BA258" s="34" t="str">
        <f t="shared" si="6351"/>
        <v/>
      </c>
      <c r="BB258" s="34" t="str">
        <f t="shared" si="6351"/>
        <v/>
      </c>
      <c r="BC258" s="34" t="str">
        <f t="shared" si="6351"/>
        <v/>
      </c>
      <c r="BD258" s="34" t="str">
        <f t="shared" si="6351"/>
        <v/>
      </c>
      <c r="BE258" s="34" t="str">
        <f t="shared" si="6351"/>
        <v/>
      </c>
      <c r="BF258" s="34" t="str">
        <f t="shared" si="6351"/>
        <v/>
      </c>
      <c r="BG258" s="34" t="str">
        <f t="shared" si="6351"/>
        <v/>
      </c>
      <c r="BH258" s="34" t="str">
        <f t="shared" si="6351"/>
        <v/>
      </c>
      <c r="BI258" s="34" t="str">
        <f t="shared" si="6351"/>
        <v/>
      </c>
      <c r="BJ258" s="34" t="str">
        <f t="shared" si="6351"/>
        <v/>
      </c>
      <c r="BK258" s="34" t="str">
        <f t="shared" si="6351"/>
        <v/>
      </c>
      <c r="BL258" s="34" t="str">
        <f t="shared" ref="BL258:CQ258" si="6352">IF(SUBTOTAL(9,BL259:BL259)&gt;0,SUBTOTAL(9,BL259:BL259),"")</f>
        <v/>
      </c>
      <c r="BM258" s="34">
        <f t="shared" si="6352"/>
        <v>0.5</v>
      </c>
      <c r="BN258" s="34">
        <f t="shared" si="6352"/>
        <v>0.5</v>
      </c>
      <c r="BO258" s="34">
        <f t="shared" si="6352"/>
        <v>0.5</v>
      </c>
      <c r="BP258" s="34">
        <f t="shared" si="6352"/>
        <v>0.5</v>
      </c>
      <c r="BQ258" s="34">
        <f t="shared" si="6352"/>
        <v>0.5</v>
      </c>
      <c r="BR258" s="34">
        <f t="shared" si="6352"/>
        <v>0.5</v>
      </c>
      <c r="BS258" s="34">
        <f t="shared" si="6352"/>
        <v>0.5</v>
      </c>
      <c r="BT258" s="34">
        <f t="shared" si="6352"/>
        <v>0.5</v>
      </c>
      <c r="BU258" s="34">
        <f t="shared" si="6352"/>
        <v>0.5</v>
      </c>
      <c r="BV258" s="34">
        <f t="shared" si="6352"/>
        <v>0.5</v>
      </c>
      <c r="BW258" s="34" t="str">
        <f t="shared" si="6352"/>
        <v/>
      </c>
      <c r="BX258" s="34">
        <f t="shared" si="6352"/>
        <v>0.5</v>
      </c>
      <c r="BY258" s="34">
        <f t="shared" si="6352"/>
        <v>0.5</v>
      </c>
      <c r="BZ258" s="34">
        <f t="shared" si="6352"/>
        <v>0.5</v>
      </c>
      <c r="CA258" s="34">
        <f t="shared" si="6352"/>
        <v>0.5</v>
      </c>
      <c r="CB258" s="34">
        <f t="shared" si="6352"/>
        <v>0.5</v>
      </c>
      <c r="CC258" s="34">
        <f t="shared" si="6352"/>
        <v>0.5</v>
      </c>
      <c r="CD258" s="34">
        <f t="shared" si="6352"/>
        <v>0.5</v>
      </c>
      <c r="CE258" s="34" t="str">
        <f t="shared" si="6352"/>
        <v/>
      </c>
      <c r="CF258" s="34" t="str">
        <f t="shared" si="6352"/>
        <v/>
      </c>
      <c r="CG258" s="34" t="str">
        <f t="shared" si="6352"/>
        <v/>
      </c>
      <c r="CH258" s="34" t="str">
        <f t="shared" si="6352"/>
        <v/>
      </c>
      <c r="CI258" s="34" t="str">
        <f t="shared" si="6352"/>
        <v/>
      </c>
      <c r="CJ258" s="34" t="str">
        <f t="shared" si="6352"/>
        <v/>
      </c>
      <c r="CK258" s="34" t="str">
        <f t="shared" si="6352"/>
        <v/>
      </c>
      <c r="CL258" s="34" t="str">
        <f t="shared" si="6352"/>
        <v/>
      </c>
      <c r="CM258" s="34" t="str">
        <f t="shared" si="6352"/>
        <v/>
      </c>
      <c r="CN258" s="34" t="str">
        <f t="shared" si="6352"/>
        <v/>
      </c>
      <c r="CO258" s="34" t="str">
        <f t="shared" si="6352"/>
        <v/>
      </c>
      <c r="CP258" s="34" t="str">
        <f t="shared" si="6352"/>
        <v/>
      </c>
      <c r="CQ258" s="34" t="str">
        <f t="shared" si="6352"/>
        <v/>
      </c>
      <c r="CR258" s="34" t="str">
        <f t="shared" ref="CR258:DW258" si="6353">IF(SUBTOTAL(9,CR259:CR259)&gt;0,SUBTOTAL(9,CR259:CR259),"")</f>
        <v/>
      </c>
      <c r="CS258" s="34" t="str">
        <f t="shared" si="6353"/>
        <v/>
      </c>
      <c r="CT258" s="33" t="str">
        <f t="shared" si="6353"/>
        <v/>
      </c>
      <c r="CU258" s="34" t="str">
        <f t="shared" si="6353"/>
        <v/>
      </c>
      <c r="CV258" s="34" t="str">
        <f t="shared" si="6353"/>
        <v/>
      </c>
      <c r="CW258" s="34" t="str">
        <f t="shared" si="6353"/>
        <v/>
      </c>
      <c r="CX258" s="34" t="str">
        <f t="shared" si="6353"/>
        <v/>
      </c>
      <c r="CY258" s="34" t="str">
        <f t="shared" si="6353"/>
        <v/>
      </c>
      <c r="CZ258" s="33" t="str">
        <f t="shared" si="6353"/>
        <v/>
      </c>
      <c r="DA258" s="33" t="str">
        <f t="shared" si="6353"/>
        <v/>
      </c>
      <c r="DB258" s="34" t="str">
        <f t="shared" si="6353"/>
        <v/>
      </c>
      <c r="DC258" s="34" t="str">
        <f t="shared" si="6353"/>
        <v/>
      </c>
      <c r="DD258" s="34" t="str">
        <f t="shared" si="6353"/>
        <v/>
      </c>
      <c r="DE258" s="34" t="str">
        <f t="shared" si="6353"/>
        <v/>
      </c>
      <c r="DF258" s="34" t="str">
        <f t="shared" si="6353"/>
        <v/>
      </c>
      <c r="DG258" s="34" t="str">
        <f t="shared" si="6353"/>
        <v/>
      </c>
      <c r="DH258" s="34" t="str">
        <f t="shared" si="6353"/>
        <v/>
      </c>
      <c r="DI258" s="34" t="str">
        <f t="shared" si="6353"/>
        <v/>
      </c>
      <c r="DJ258" s="34" t="str">
        <f t="shared" si="6353"/>
        <v/>
      </c>
      <c r="DK258" s="34" t="str">
        <f t="shared" si="6353"/>
        <v/>
      </c>
      <c r="DL258" s="34" t="str">
        <f t="shared" si="6353"/>
        <v/>
      </c>
      <c r="DM258" s="34" t="str">
        <f t="shared" si="6353"/>
        <v/>
      </c>
      <c r="DN258" s="34" t="str">
        <f t="shared" si="6353"/>
        <v/>
      </c>
      <c r="DO258" s="34" t="str">
        <f t="shared" si="6353"/>
        <v/>
      </c>
      <c r="DP258" s="34" t="str">
        <f t="shared" si="6353"/>
        <v/>
      </c>
      <c r="DQ258" s="34" t="str">
        <f t="shared" si="6353"/>
        <v/>
      </c>
      <c r="DR258" s="34" t="str">
        <f t="shared" si="6353"/>
        <v/>
      </c>
      <c r="DS258" s="34" t="str">
        <f t="shared" si="6353"/>
        <v/>
      </c>
      <c r="DT258" s="34" t="str">
        <f t="shared" si="6353"/>
        <v/>
      </c>
      <c r="DU258" s="34" t="str">
        <f t="shared" si="6353"/>
        <v/>
      </c>
      <c r="DV258" s="34" t="str">
        <f t="shared" si="6353"/>
        <v/>
      </c>
      <c r="DW258" s="34" t="str">
        <f t="shared" si="6353"/>
        <v/>
      </c>
      <c r="DX258" s="34" t="str">
        <f t="shared" ref="DX258:FC258" si="6354">IF(SUBTOTAL(9,DX259:DX259)&gt;0,SUBTOTAL(9,DX259:DX259),"")</f>
        <v/>
      </c>
      <c r="DY258" s="34" t="str">
        <f t="shared" si="6354"/>
        <v/>
      </c>
      <c r="DZ258" s="33" t="str">
        <f t="shared" si="6354"/>
        <v/>
      </c>
      <c r="EA258" s="34" t="str">
        <f t="shared" si="6354"/>
        <v/>
      </c>
      <c r="EB258" s="34" t="str">
        <f t="shared" si="6354"/>
        <v/>
      </c>
      <c r="EC258" s="34" t="str">
        <f t="shared" si="6354"/>
        <v/>
      </c>
      <c r="ED258" s="34" t="str">
        <f t="shared" si="6354"/>
        <v/>
      </c>
      <c r="EE258" s="34" t="str">
        <f t="shared" si="6354"/>
        <v/>
      </c>
      <c r="EF258" s="34">
        <f t="shared" si="6354"/>
        <v>1</v>
      </c>
      <c r="EG258" s="34">
        <f t="shared" si="6354"/>
        <v>1</v>
      </c>
      <c r="EH258" s="34">
        <f t="shared" si="6354"/>
        <v>1</v>
      </c>
      <c r="EI258" s="34">
        <f t="shared" si="6354"/>
        <v>1</v>
      </c>
      <c r="EJ258" s="34">
        <f t="shared" si="6354"/>
        <v>1</v>
      </c>
      <c r="EK258" s="34">
        <f t="shared" si="6354"/>
        <v>1</v>
      </c>
      <c r="EL258" s="34">
        <f t="shared" si="6354"/>
        <v>1</v>
      </c>
      <c r="EM258" s="34">
        <f t="shared" si="6354"/>
        <v>1</v>
      </c>
      <c r="EN258" s="34">
        <f t="shared" si="6354"/>
        <v>1</v>
      </c>
      <c r="EO258" s="34">
        <f t="shared" si="6354"/>
        <v>0.5</v>
      </c>
      <c r="EP258" s="34">
        <f t="shared" si="6354"/>
        <v>1</v>
      </c>
      <c r="EQ258" s="34">
        <f t="shared" si="6354"/>
        <v>1</v>
      </c>
      <c r="ER258" s="34">
        <f t="shared" si="6354"/>
        <v>1</v>
      </c>
      <c r="ES258" s="34">
        <f t="shared" si="6354"/>
        <v>1</v>
      </c>
      <c r="ET258" s="34">
        <f t="shared" si="6354"/>
        <v>1</v>
      </c>
      <c r="EU258" s="34" t="str">
        <f t="shared" si="6354"/>
        <v/>
      </c>
      <c r="EV258" s="34" t="str">
        <f t="shared" si="6354"/>
        <v/>
      </c>
      <c r="EW258" s="34" t="str">
        <f t="shared" si="6354"/>
        <v/>
      </c>
      <c r="EX258" s="34" t="str">
        <f t="shared" si="6354"/>
        <v/>
      </c>
      <c r="EY258" s="33" t="str">
        <f t="shared" si="6354"/>
        <v/>
      </c>
      <c r="EZ258" s="34" t="str">
        <f t="shared" si="6354"/>
        <v/>
      </c>
      <c r="FA258" s="34" t="str">
        <f t="shared" si="6354"/>
        <v/>
      </c>
      <c r="FB258" s="34" t="str">
        <f t="shared" si="6354"/>
        <v/>
      </c>
      <c r="FC258" s="34" t="str">
        <f t="shared" si="6354"/>
        <v/>
      </c>
      <c r="FD258" s="34" t="str">
        <f t="shared" ref="FD258:FQ258" si="6355">IF(SUBTOTAL(9,FD259:FD259)&gt;0,SUBTOTAL(9,FD259:FD259),"")</f>
        <v/>
      </c>
      <c r="FE258" s="34" t="str">
        <f t="shared" si="6355"/>
        <v/>
      </c>
      <c r="FF258" s="34" t="str">
        <f t="shared" si="6355"/>
        <v/>
      </c>
      <c r="FG258" s="34" t="str">
        <f t="shared" si="6355"/>
        <v/>
      </c>
      <c r="FH258" s="34" t="str">
        <f t="shared" si="6355"/>
        <v/>
      </c>
      <c r="FI258" s="34" t="str">
        <f t="shared" si="6355"/>
        <v/>
      </c>
      <c r="FJ258" s="34" t="str">
        <f t="shared" si="6355"/>
        <v/>
      </c>
      <c r="FK258" s="34" t="str">
        <f t="shared" si="6355"/>
        <v/>
      </c>
      <c r="FL258" s="34" t="str">
        <f t="shared" si="6355"/>
        <v/>
      </c>
      <c r="FM258" s="34" t="str">
        <f t="shared" si="6355"/>
        <v/>
      </c>
      <c r="FN258" s="34" t="str">
        <f t="shared" si="6355"/>
        <v/>
      </c>
      <c r="FO258" s="34" t="str">
        <f t="shared" si="6355"/>
        <v/>
      </c>
      <c r="FP258" s="34" t="str">
        <f t="shared" si="6355"/>
        <v/>
      </c>
      <c r="FQ258" s="92" t="str">
        <f t="shared" si="6355"/>
        <v/>
      </c>
      <c r="FR258" s="8"/>
      <c r="FS258" s="9" t="s">
        <v>131</v>
      </c>
      <c r="FT258" s="9" t="str">
        <f t="shared" si="5254"/>
        <v/>
      </c>
    </row>
    <row r="259" spans="1:176" s="9" customFormat="1" ht="12" hidden="1" customHeight="1" outlineLevel="1">
      <c r="A259" s="122" t="s">
        <v>4</v>
      </c>
      <c r="B259" s="123" t="s">
        <v>18</v>
      </c>
      <c r="C259" s="124" t="str">
        <f t="shared" si="5114"/>
        <v>31 days</v>
      </c>
      <c r="D259" s="13" t="str">
        <f>A257&amp;" "&amp;A258</f>
        <v>9. Technical Support 9.1 UAT</v>
      </c>
      <c r="E259" s="51">
        <v>0.5</v>
      </c>
      <c r="F259" s="35">
        <v>0.5</v>
      </c>
      <c r="G259" s="35">
        <v>0.5</v>
      </c>
      <c r="H259" s="35">
        <v>0.5</v>
      </c>
      <c r="I259" s="35">
        <v>0.5</v>
      </c>
      <c r="J259" s="35">
        <v>0.5</v>
      </c>
      <c r="K259" s="35">
        <v>0.5</v>
      </c>
      <c r="L259" s="35">
        <v>0.5</v>
      </c>
      <c r="M259" s="35">
        <v>0.5</v>
      </c>
      <c r="N259" s="35">
        <v>0.5</v>
      </c>
      <c r="O259" s="35">
        <v>0.5</v>
      </c>
      <c r="P259" s="35">
        <v>0.5</v>
      </c>
      <c r="Q259" s="35">
        <v>0.5</v>
      </c>
      <c r="R259" s="35">
        <v>0.5</v>
      </c>
      <c r="S259" s="35">
        <v>0.5</v>
      </c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5"/>
      <c r="AE259" s="35"/>
      <c r="AF259" s="35"/>
      <c r="AG259" s="35"/>
      <c r="AH259" s="35"/>
      <c r="AI259" s="35"/>
      <c r="AJ259" s="35"/>
      <c r="AK259" s="35"/>
      <c r="AL259" s="36"/>
      <c r="AM259" s="36"/>
      <c r="AN259" s="36"/>
      <c r="AO259" s="36"/>
      <c r="AP259" s="36"/>
      <c r="AQ259" s="36"/>
      <c r="AR259" s="36"/>
      <c r="AS259" s="35"/>
      <c r="AT259" s="35"/>
      <c r="AU259" s="35"/>
      <c r="AV259" s="35"/>
      <c r="AW259" s="35"/>
      <c r="AX259" s="35"/>
      <c r="AY259" s="35"/>
      <c r="AZ259" s="35"/>
      <c r="BA259" s="35"/>
      <c r="BB259" s="35"/>
      <c r="BC259" s="35"/>
      <c r="BD259" s="35"/>
      <c r="BE259" s="35"/>
      <c r="BF259" s="35"/>
      <c r="BG259" s="35"/>
      <c r="BH259" s="35"/>
      <c r="BI259" s="35"/>
      <c r="BJ259" s="35"/>
      <c r="BK259" s="35"/>
      <c r="BL259" s="35"/>
      <c r="BM259" s="35">
        <v>0.5</v>
      </c>
      <c r="BN259" s="35">
        <v>0.5</v>
      </c>
      <c r="BO259" s="35">
        <v>0.5</v>
      </c>
      <c r="BP259" s="35">
        <v>0.5</v>
      </c>
      <c r="BQ259" s="35">
        <v>0.5</v>
      </c>
      <c r="BR259" s="35">
        <v>0.5</v>
      </c>
      <c r="BS259" s="35">
        <v>0.5</v>
      </c>
      <c r="BT259" s="35">
        <v>0.5</v>
      </c>
      <c r="BU259" s="35">
        <v>0.5</v>
      </c>
      <c r="BV259" s="35">
        <v>0.5</v>
      </c>
      <c r="BW259" s="35"/>
      <c r="BX259" s="35">
        <v>0.5</v>
      </c>
      <c r="BY259" s="35">
        <v>0.5</v>
      </c>
      <c r="BZ259" s="35">
        <v>0.5</v>
      </c>
      <c r="CA259" s="35">
        <v>0.5</v>
      </c>
      <c r="CB259" s="35">
        <v>0.5</v>
      </c>
      <c r="CC259" s="35">
        <v>0.5</v>
      </c>
      <c r="CD259" s="35">
        <v>0.5</v>
      </c>
      <c r="CE259" s="94"/>
      <c r="CF259" s="94"/>
      <c r="CG259" s="94"/>
      <c r="CH259" s="94"/>
      <c r="CI259" s="94"/>
      <c r="CJ259" s="94"/>
      <c r="CK259" s="94"/>
      <c r="CL259" s="35"/>
      <c r="CM259" s="35"/>
      <c r="CN259" s="35"/>
      <c r="CO259" s="35"/>
      <c r="CP259" s="35"/>
      <c r="CQ259" s="35"/>
      <c r="CR259" s="35"/>
      <c r="CS259" s="35"/>
      <c r="CT259" s="36"/>
      <c r="CU259" s="35"/>
      <c r="CV259" s="35"/>
      <c r="CW259" s="35"/>
      <c r="CX259" s="35"/>
      <c r="CY259" s="35"/>
      <c r="CZ259" s="36"/>
      <c r="DA259" s="36"/>
      <c r="DB259" s="35"/>
      <c r="DC259" s="35"/>
      <c r="DD259" s="35"/>
      <c r="DE259" s="35"/>
      <c r="DF259" s="35"/>
      <c r="DG259" s="35"/>
      <c r="DH259" s="35"/>
      <c r="DI259" s="35"/>
      <c r="DJ259" s="35"/>
      <c r="DK259" s="35"/>
      <c r="DL259" s="35"/>
      <c r="DM259" s="35"/>
      <c r="DN259" s="35"/>
      <c r="DO259" s="35"/>
      <c r="DP259" s="35"/>
      <c r="DQ259" s="35"/>
      <c r="DR259" s="35"/>
      <c r="DS259" s="35"/>
      <c r="DT259" s="35"/>
      <c r="DU259" s="35"/>
      <c r="DV259" s="35"/>
      <c r="DW259" s="35"/>
      <c r="DX259" s="35"/>
      <c r="DY259" s="35"/>
      <c r="DZ259" s="36"/>
      <c r="EA259" s="35"/>
      <c r="EB259" s="35"/>
      <c r="EC259" s="35"/>
      <c r="ED259" s="35"/>
      <c r="EE259" s="35"/>
      <c r="EF259" s="35">
        <v>1</v>
      </c>
      <c r="EG259" s="35">
        <v>1</v>
      </c>
      <c r="EH259" s="35">
        <v>1</v>
      </c>
      <c r="EI259" s="35">
        <v>1</v>
      </c>
      <c r="EJ259" s="35">
        <v>1</v>
      </c>
      <c r="EK259" s="35">
        <v>1</v>
      </c>
      <c r="EL259" s="35">
        <v>1</v>
      </c>
      <c r="EM259" s="35">
        <v>1</v>
      </c>
      <c r="EN259" s="35">
        <v>1</v>
      </c>
      <c r="EO259" s="35">
        <v>0.5</v>
      </c>
      <c r="EP259" s="35">
        <v>1</v>
      </c>
      <c r="EQ259" s="35">
        <v>1</v>
      </c>
      <c r="ER259" s="35">
        <v>1</v>
      </c>
      <c r="ES259" s="35">
        <v>1</v>
      </c>
      <c r="ET259" s="35">
        <v>1</v>
      </c>
      <c r="EU259" s="35"/>
      <c r="EV259" s="35"/>
      <c r="EW259" s="35"/>
      <c r="EX259" s="35"/>
      <c r="EY259" s="36"/>
      <c r="EZ259" s="35"/>
      <c r="FA259" s="35"/>
      <c r="FB259" s="35"/>
      <c r="FC259" s="35"/>
      <c r="FD259" s="35"/>
      <c r="FE259" s="35"/>
      <c r="FF259" s="35"/>
      <c r="FG259" s="35"/>
      <c r="FH259" s="35"/>
      <c r="FI259" s="35"/>
      <c r="FJ259" s="35"/>
      <c r="FK259" s="35"/>
      <c r="FL259" s="35"/>
      <c r="FM259" s="35"/>
      <c r="FN259" s="35"/>
      <c r="FO259" s="35"/>
      <c r="FP259" s="35"/>
      <c r="FQ259" s="52"/>
      <c r="FR259" s="8"/>
      <c r="FS259" s="9" t="s">
        <v>13</v>
      </c>
      <c r="FT259" s="9" t="str">
        <f t="shared" si="5254"/>
        <v>9. Technical Support 9.1 UATTM1 Analyst</v>
      </c>
    </row>
    <row r="260" spans="1:176" s="9" customFormat="1" ht="12" customHeight="1" collapsed="1">
      <c r="A260" s="119" t="s">
        <v>121</v>
      </c>
      <c r="B260" s="127"/>
      <c r="C260" s="121" t="str">
        <f t="shared" si="5114"/>
        <v>38 days</v>
      </c>
      <c r="D260" s="27"/>
      <c r="E260" s="91">
        <f>IF(SUBTOTAL(9,E261)&gt;0,SUBTOTAL(9,E261),"")</f>
        <v>0.5</v>
      </c>
      <c r="F260" s="34">
        <f t="shared" ref="F260:BQ260" si="6356">IF(SUBTOTAL(9,F261)&gt;0,SUBTOTAL(9,F261),"")</f>
        <v>0.5</v>
      </c>
      <c r="G260" s="34">
        <f t="shared" si="6356"/>
        <v>0.5</v>
      </c>
      <c r="H260" s="34">
        <f t="shared" si="6356"/>
        <v>0.5</v>
      </c>
      <c r="I260" s="34">
        <f t="shared" si="6356"/>
        <v>0.5</v>
      </c>
      <c r="J260" s="34">
        <f t="shared" si="6356"/>
        <v>0.5</v>
      </c>
      <c r="K260" s="34">
        <f t="shared" si="6356"/>
        <v>0.5</v>
      </c>
      <c r="L260" s="34">
        <f t="shared" si="6356"/>
        <v>0.5</v>
      </c>
      <c r="M260" s="34">
        <f t="shared" si="6356"/>
        <v>0.5</v>
      </c>
      <c r="N260" s="34">
        <f t="shared" si="6356"/>
        <v>0.5</v>
      </c>
      <c r="O260" s="34">
        <f t="shared" si="6356"/>
        <v>0.5</v>
      </c>
      <c r="P260" s="34">
        <f t="shared" si="6356"/>
        <v>0.5</v>
      </c>
      <c r="Q260" s="34">
        <f t="shared" si="6356"/>
        <v>0.5</v>
      </c>
      <c r="R260" s="34">
        <f t="shared" si="6356"/>
        <v>0.5</v>
      </c>
      <c r="S260" s="34">
        <f t="shared" si="6356"/>
        <v>0.5</v>
      </c>
      <c r="T260" s="34" t="str">
        <f t="shared" si="6356"/>
        <v/>
      </c>
      <c r="U260" s="34" t="str">
        <f t="shared" si="6356"/>
        <v/>
      </c>
      <c r="V260" s="34" t="str">
        <f t="shared" si="6356"/>
        <v/>
      </c>
      <c r="W260" s="34" t="str">
        <f t="shared" si="6356"/>
        <v/>
      </c>
      <c r="X260" s="34" t="str">
        <f t="shared" si="6356"/>
        <v/>
      </c>
      <c r="Y260" s="34" t="str">
        <f t="shared" si="6356"/>
        <v/>
      </c>
      <c r="Z260" s="34" t="str">
        <f t="shared" si="6356"/>
        <v/>
      </c>
      <c r="AA260" s="34" t="str">
        <f t="shared" si="6356"/>
        <v/>
      </c>
      <c r="AB260" s="34" t="str">
        <f t="shared" si="6356"/>
        <v/>
      </c>
      <c r="AC260" s="34" t="str">
        <f t="shared" si="6356"/>
        <v/>
      </c>
      <c r="AD260" s="34" t="str">
        <f t="shared" si="6356"/>
        <v/>
      </c>
      <c r="AE260" s="34" t="str">
        <f t="shared" si="6356"/>
        <v/>
      </c>
      <c r="AF260" s="34" t="str">
        <f t="shared" si="6356"/>
        <v/>
      </c>
      <c r="AG260" s="34" t="str">
        <f t="shared" si="6356"/>
        <v/>
      </c>
      <c r="AH260" s="34" t="str">
        <f t="shared" si="6356"/>
        <v/>
      </c>
      <c r="AI260" s="34" t="str">
        <f t="shared" si="6356"/>
        <v/>
      </c>
      <c r="AJ260" s="34" t="str">
        <f t="shared" si="6356"/>
        <v/>
      </c>
      <c r="AK260" s="34" t="str">
        <f t="shared" si="6356"/>
        <v/>
      </c>
      <c r="AL260" s="33" t="str">
        <f t="shared" si="6356"/>
        <v/>
      </c>
      <c r="AM260" s="33" t="str">
        <f t="shared" si="6356"/>
        <v/>
      </c>
      <c r="AN260" s="33" t="str">
        <f t="shared" si="6356"/>
        <v/>
      </c>
      <c r="AO260" s="33" t="str">
        <f t="shared" si="6356"/>
        <v/>
      </c>
      <c r="AP260" s="33" t="str">
        <f t="shared" si="6356"/>
        <v/>
      </c>
      <c r="AQ260" s="33" t="str">
        <f t="shared" si="6356"/>
        <v/>
      </c>
      <c r="AR260" s="33" t="str">
        <f t="shared" si="6356"/>
        <v/>
      </c>
      <c r="AS260" s="34" t="str">
        <f t="shared" si="6356"/>
        <v/>
      </c>
      <c r="AT260" s="34" t="str">
        <f t="shared" si="6356"/>
        <v/>
      </c>
      <c r="AU260" s="34" t="str">
        <f t="shared" si="6356"/>
        <v/>
      </c>
      <c r="AV260" s="34" t="str">
        <f t="shared" si="6356"/>
        <v/>
      </c>
      <c r="AW260" s="34" t="str">
        <f t="shared" si="6356"/>
        <v/>
      </c>
      <c r="AX260" s="34" t="str">
        <f t="shared" si="6356"/>
        <v/>
      </c>
      <c r="AY260" s="34" t="str">
        <f t="shared" si="6356"/>
        <v/>
      </c>
      <c r="AZ260" s="34" t="str">
        <f t="shared" si="6356"/>
        <v/>
      </c>
      <c r="BA260" s="34" t="str">
        <f t="shared" si="6356"/>
        <v/>
      </c>
      <c r="BB260" s="34" t="str">
        <f t="shared" si="6356"/>
        <v/>
      </c>
      <c r="BC260" s="34" t="str">
        <f t="shared" si="6356"/>
        <v/>
      </c>
      <c r="BD260" s="34" t="str">
        <f t="shared" si="6356"/>
        <v/>
      </c>
      <c r="BE260" s="34" t="str">
        <f t="shared" si="6356"/>
        <v/>
      </c>
      <c r="BF260" s="34" t="str">
        <f t="shared" si="6356"/>
        <v/>
      </c>
      <c r="BG260" s="34" t="str">
        <f t="shared" si="6356"/>
        <v/>
      </c>
      <c r="BH260" s="34" t="str">
        <f t="shared" si="6356"/>
        <v/>
      </c>
      <c r="BI260" s="34" t="str">
        <f t="shared" si="6356"/>
        <v/>
      </c>
      <c r="BJ260" s="34" t="str">
        <f t="shared" si="6356"/>
        <v/>
      </c>
      <c r="BK260" s="34" t="str">
        <f t="shared" si="6356"/>
        <v/>
      </c>
      <c r="BL260" s="34" t="str">
        <f t="shared" si="6356"/>
        <v/>
      </c>
      <c r="BM260" s="34">
        <f t="shared" si="6356"/>
        <v>0.5</v>
      </c>
      <c r="BN260" s="34">
        <f t="shared" si="6356"/>
        <v>0.5</v>
      </c>
      <c r="BO260" s="34">
        <f t="shared" si="6356"/>
        <v>0.5</v>
      </c>
      <c r="BP260" s="34">
        <f t="shared" si="6356"/>
        <v>0.5</v>
      </c>
      <c r="BQ260" s="34">
        <f t="shared" si="6356"/>
        <v>0.5</v>
      </c>
      <c r="BR260" s="34">
        <f t="shared" ref="BR260:EC260" si="6357">IF(SUBTOTAL(9,BR261)&gt;0,SUBTOTAL(9,BR261),"")</f>
        <v>0.5</v>
      </c>
      <c r="BS260" s="34">
        <f t="shared" si="6357"/>
        <v>0.5</v>
      </c>
      <c r="BT260" s="34">
        <f t="shared" si="6357"/>
        <v>0.5</v>
      </c>
      <c r="BU260" s="34">
        <f t="shared" si="6357"/>
        <v>0.5</v>
      </c>
      <c r="BV260" s="34">
        <f t="shared" si="6357"/>
        <v>0.5</v>
      </c>
      <c r="BW260" s="34" t="str">
        <f t="shared" si="6357"/>
        <v/>
      </c>
      <c r="BX260" s="34">
        <f t="shared" si="6357"/>
        <v>0.5</v>
      </c>
      <c r="BY260" s="34">
        <f t="shared" si="6357"/>
        <v>0.5</v>
      </c>
      <c r="BZ260" s="34">
        <f t="shared" si="6357"/>
        <v>0.5</v>
      </c>
      <c r="CA260" s="34">
        <f t="shared" si="6357"/>
        <v>0.5</v>
      </c>
      <c r="CB260" s="34">
        <f t="shared" si="6357"/>
        <v>0.5</v>
      </c>
      <c r="CC260" s="34">
        <f t="shared" si="6357"/>
        <v>0.5</v>
      </c>
      <c r="CD260" s="34">
        <f t="shared" si="6357"/>
        <v>0.5</v>
      </c>
      <c r="CE260" s="34" t="str">
        <f t="shared" si="6357"/>
        <v/>
      </c>
      <c r="CF260" s="34" t="str">
        <f t="shared" si="6357"/>
        <v/>
      </c>
      <c r="CG260" s="34" t="str">
        <f t="shared" si="6357"/>
        <v/>
      </c>
      <c r="CH260" s="34" t="str">
        <f t="shared" si="6357"/>
        <v/>
      </c>
      <c r="CI260" s="34" t="str">
        <f t="shared" si="6357"/>
        <v/>
      </c>
      <c r="CJ260" s="34" t="str">
        <f t="shared" si="6357"/>
        <v/>
      </c>
      <c r="CK260" s="34" t="str">
        <f t="shared" si="6357"/>
        <v/>
      </c>
      <c r="CL260" s="34" t="str">
        <f t="shared" si="6357"/>
        <v/>
      </c>
      <c r="CM260" s="34" t="str">
        <f t="shared" si="6357"/>
        <v/>
      </c>
      <c r="CN260" s="34" t="str">
        <f t="shared" si="6357"/>
        <v/>
      </c>
      <c r="CO260" s="34" t="str">
        <f t="shared" si="6357"/>
        <v/>
      </c>
      <c r="CP260" s="34" t="str">
        <f t="shared" si="6357"/>
        <v/>
      </c>
      <c r="CQ260" s="34" t="str">
        <f t="shared" si="6357"/>
        <v/>
      </c>
      <c r="CR260" s="34" t="str">
        <f t="shared" si="6357"/>
        <v/>
      </c>
      <c r="CS260" s="34" t="str">
        <f t="shared" si="6357"/>
        <v/>
      </c>
      <c r="CT260" s="33" t="str">
        <f t="shared" si="6357"/>
        <v/>
      </c>
      <c r="CU260" s="34" t="str">
        <f t="shared" si="6357"/>
        <v/>
      </c>
      <c r="CV260" s="34" t="str">
        <f t="shared" si="6357"/>
        <v/>
      </c>
      <c r="CW260" s="34" t="str">
        <f t="shared" si="6357"/>
        <v/>
      </c>
      <c r="CX260" s="34" t="str">
        <f t="shared" si="6357"/>
        <v/>
      </c>
      <c r="CY260" s="34" t="str">
        <f t="shared" si="6357"/>
        <v/>
      </c>
      <c r="CZ260" s="33" t="str">
        <f t="shared" si="6357"/>
        <v/>
      </c>
      <c r="DA260" s="33" t="str">
        <f t="shared" si="6357"/>
        <v/>
      </c>
      <c r="DB260" s="34">
        <f t="shared" si="6357"/>
        <v>1</v>
      </c>
      <c r="DC260" s="34">
        <f t="shared" si="6357"/>
        <v>1</v>
      </c>
      <c r="DD260" s="34">
        <f t="shared" si="6357"/>
        <v>1</v>
      </c>
      <c r="DE260" s="34">
        <f t="shared" si="6357"/>
        <v>1</v>
      </c>
      <c r="DF260" s="34">
        <f t="shared" si="6357"/>
        <v>1</v>
      </c>
      <c r="DG260" s="34">
        <f t="shared" si="6357"/>
        <v>1</v>
      </c>
      <c r="DH260" s="34">
        <f t="shared" si="6357"/>
        <v>1</v>
      </c>
      <c r="DI260" s="34">
        <f t="shared" si="6357"/>
        <v>1</v>
      </c>
      <c r="DJ260" s="34">
        <f t="shared" si="6357"/>
        <v>1</v>
      </c>
      <c r="DK260" s="34">
        <f t="shared" si="6357"/>
        <v>1</v>
      </c>
      <c r="DL260" s="34">
        <f t="shared" si="6357"/>
        <v>1</v>
      </c>
      <c r="DM260" s="34">
        <f t="shared" si="6357"/>
        <v>1</v>
      </c>
      <c r="DN260" s="34">
        <f t="shared" si="6357"/>
        <v>0.5</v>
      </c>
      <c r="DO260" s="34">
        <f t="shared" si="6357"/>
        <v>0.5</v>
      </c>
      <c r="DP260" s="34">
        <f t="shared" si="6357"/>
        <v>1</v>
      </c>
      <c r="DQ260" s="34">
        <f t="shared" si="6357"/>
        <v>1</v>
      </c>
      <c r="DR260" s="34">
        <f t="shared" si="6357"/>
        <v>1</v>
      </c>
      <c r="DS260" s="34">
        <f t="shared" si="6357"/>
        <v>1</v>
      </c>
      <c r="DT260" s="34">
        <f t="shared" si="6357"/>
        <v>0.5</v>
      </c>
      <c r="DU260" s="34">
        <f t="shared" si="6357"/>
        <v>1</v>
      </c>
      <c r="DV260" s="34">
        <f t="shared" si="6357"/>
        <v>1</v>
      </c>
      <c r="DW260" s="34">
        <f t="shared" si="6357"/>
        <v>1</v>
      </c>
      <c r="DX260" s="34">
        <f t="shared" si="6357"/>
        <v>1</v>
      </c>
      <c r="DY260" s="34">
        <f t="shared" si="6357"/>
        <v>0.5</v>
      </c>
      <c r="DZ260" s="33" t="str">
        <f t="shared" si="6357"/>
        <v/>
      </c>
      <c r="EA260" s="34" t="str">
        <f t="shared" si="6357"/>
        <v/>
      </c>
      <c r="EB260" s="34" t="str">
        <f t="shared" si="6357"/>
        <v/>
      </c>
      <c r="EC260" s="34" t="str">
        <f t="shared" si="6357"/>
        <v/>
      </c>
      <c r="ED260" s="34" t="str">
        <f t="shared" ref="ED260:FQ260" si="6358">IF(SUBTOTAL(9,ED261)&gt;0,SUBTOTAL(9,ED261),"")</f>
        <v/>
      </c>
      <c r="EE260" s="34" t="str">
        <f t="shared" si="6358"/>
        <v/>
      </c>
      <c r="EF260" s="34" t="str">
        <f t="shared" si="6358"/>
        <v/>
      </c>
      <c r="EG260" s="34" t="str">
        <f t="shared" si="6358"/>
        <v/>
      </c>
      <c r="EH260" s="34" t="str">
        <f t="shared" si="6358"/>
        <v/>
      </c>
      <c r="EI260" s="34" t="str">
        <f t="shared" si="6358"/>
        <v/>
      </c>
      <c r="EJ260" s="34" t="str">
        <f t="shared" si="6358"/>
        <v/>
      </c>
      <c r="EK260" s="34" t="str">
        <f t="shared" si="6358"/>
        <v/>
      </c>
      <c r="EL260" s="34" t="str">
        <f t="shared" si="6358"/>
        <v/>
      </c>
      <c r="EM260" s="34" t="str">
        <f t="shared" si="6358"/>
        <v/>
      </c>
      <c r="EN260" s="34" t="str">
        <f t="shared" si="6358"/>
        <v/>
      </c>
      <c r="EO260" s="34" t="str">
        <f t="shared" si="6358"/>
        <v/>
      </c>
      <c r="EP260" s="34" t="str">
        <f t="shared" si="6358"/>
        <v/>
      </c>
      <c r="EQ260" s="34" t="str">
        <f t="shared" si="6358"/>
        <v/>
      </c>
      <c r="ER260" s="34" t="str">
        <f t="shared" si="6358"/>
        <v/>
      </c>
      <c r="ES260" s="34" t="str">
        <f t="shared" si="6358"/>
        <v/>
      </c>
      <c r="ET260" s="34" t="str">
        <f t="shared" si="6358"/>
        <v/>
      </c>
      <c r="EU260" s="34" t="str">
        <f t="shared" si="6358"/>
        <v/>
      </c>
      <c r="EV260" s="34" t="str">
        <f t="shared" si="6358"/>
        <v/>
      </c>
      <c r="EW260" s="34" t="str">
        <f t="shared" si="6358"/>
        <v/>
      </c>
      <c r="EX260" s="34" t="str">
        <f t="shared" si="6358"/>
        <v/>
      </c>
      <c r="EY260" s="33" t="str">
        <f t="shared" si="6358"/>
        <v/>
      </c>
      <c r="EZ260" s="34" t="str">
        <f t="shared" si="6358"/>
        <v/>
      </c>
      <c r="FA260" s="34" t="str">
        <f t="shared" si="6358"/>
        <v/>
      </c>
      <c r="FB260" s="34" t="str">
        <f t="shared" si="6358"/>
        <v/>
      </c>
      <c r="FC260" s="34" t="str">
        <f t="shared" si="6358"/>
        <v/>
      </c>
      <c r="FD260" s="34" t="str">
        <f t="shared" si="6358"/>
        <v/>
      </c>
      <c r="FE260" s="34" t="str">
        <f t="shared" si="6358"/>
        <v/>
      </c>
      <c r="FF260" s="34" t="str">
        <f t="shared" si="6358"/>
        <v/>
      </c>
      <c r="FG260" s="34" t="str">
        <f t="shared" si="6358"/>
        <v/>
      </c>
      <c r="FH260" s="34" t="str">
        <f t="shared" si="6358"/>
        <v/>
      </c>
      <c r="FI260" s="34" t="str">
        <f t="shared" si="6358"/>
        <v/>
      </c>
      <c r="FJ260" s="34" t="str">
        <f t="shared" si="6358"/>
        <v/>
      </c>
      <c r="FK260" s="34" t="str">
        <f t="shared" si="6358"/>
        <v/>
      </c>
      <c r="FL260" s="34" t="str">
        <f t="shared" si="6358"/>
        <v/>
      </c>
      <c r="FM260" s="34" t="str">
        <f t="shared" si="6358"/>
        <v/>
      </c>
      <c r="FN260" s="34" t="str">
        <f t="shared" si="6358"/>
        <v/>
      </c>
      <c r="FO260" s="34" t="str">
        <f t="shared" si="6358"/>
        <v/>
      </c>
      <c r="FP260" s="34" t="str">
        <f t="shared" si="6358"/>
        <v/>
      </c>
      <c r="FQ260" s="92" t="str">
        <f t="shared" si="6358"/>
        <v/>
      </c>
      <c r="FR260" s="8"/>
      <c r="FS260" s="9" t="s">
        <v>131</v>
      </c>
      <c r="FT260" s="9" t="str">
        <f t="shared" si="5254"/>
        <v/>
      </c>
    </row>
    <row r="261" spans="1:176" s="9" customFormat="1" ht="12" hidden="1" customHeight="1" outlineLevel="1">
      <c r="A261" s="122" t="s">
        <v>4</v>
      </c>
      <c r="B261" s="123" t="s">
        <v>18</v>
      </c>
      <c r="C261" s="124" t="str">
        <f t="shared" si="5114"/>
        <v>38 days</v>
      </c>
      <c r="D261" s="13" t="str">
        <f>A257&amp;" "&amp;A260</f>
        <v>9. Technical Support 9.2 CBI Uploads</v>
      </c>
      <c r="E261" s="51">
        <v>0.5</v>
      </c>
      <c r="F261" s="35">
        <v>0.5</v>
      </c>
      <c r="G261" s="35">
        <v>0.5</v>
      </c>
      <c r="H261" s="35">
        <v>0.5</v>
      </c>
      <c r="I261" s="35">
        <v>0.5</v>
      </c>
      <c r="J261" s="35">
        <v>0.5</v>
      </c>
      <c r="K261" s="35">
        <v>0.5</v>
      </c>
      <c r="L261" s="35">
        <v>0.5</v>
      </c>
      <c r="M261" s="35">
        <v>0.5</v>
      </c>
      <c r="N261" s="35">
        <v>0.5</v>
      </c>
      <c r="O261" s="35">
        <v>0.5</v>
      </c>
      <c r="P261" s="35">
        <v>0.5</v>
      </c>
      <c r="Q261" s="35">
        <v>0.5</v>
      </c>
      <c r="R261" s="35">
        <v>0.5</v>
      </c>
      <c r="S261" s="35">
        <v>0.5</v>
      </c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5"/>
      <c r="AE261" s="35"/>
      <c r="AF261" s="35"/>
      <c r="AG261" s="35"/>
      <c r="AH261" s="35"/>
      <c r="AI261" s="35"/>
      <c r="AJ261" s="35"/>
      <c r="AK261" s="35"/>
      <c r="AL261" s="36"/>
      <c r="AM261" s="36"/>
      <c r="AN261" s="36"/>
      <c r="AO261" s="36"/>
      <c r="AP261" s="36"/>
      <c r="AQ261" s="36"/>
      <c r="AR261" s="36"/>
      <c r="AS261" s="35"/>
      <c r="AT261" s="35"/>
      <c r="AU261" s="35"/>
      <c r="AV261" s="35"/>
      <c r="AW261" s="35"/>
      <c r="AX261" s="35"/>
      <c r="AY261" s="35"/>
      <c r="AZ261" s="35"/>
      <c r="BA261" s="35"/>
      <c r="BB261" s="35"/>
      <c r="BC261" s="35"/>
      <c r="BD261" s="35"/>
      <c r="BE261" s="35"/>
      <c r="BF261" s="35"/>
      <c r="BG261" s="35"/>
      <c r="BH261" s="35"/>
      <c r="BI261" s="35"/>
      <c r="BJ261" s="35"/>
      <c r="BK261" s="35"/>
      <c r="BL261" s="35"/>
      <c r="BM261" s="35">
        <v>0.5</v>
      </c>
      <c r="BN261" s="35">
        <v>0.5</v>
      </c>
      <c r="BO261" s="35">
        <v>0.5</v>
      </c>
      <c r="BP261" s="35">
        <v>0.5</v>
      </c>
      <c r="BQ261" s="35">
        <v>0.5</v>
      </c>
      <c r="BR261" s="35">
        <v>0.5</v>
      </c>
      <c r="BS261" s="35">
        <v>0.5</v>
      </c>
      <c r="BT261" s="35">
        <v>0.5</v>
      </c>
      <c r="BU261" s="35">
        <v>0.5</v>
      </c>
      <c r="BV261" s="35">
        <v>0.5</v>
      </c>
      <c r="BW261" s="35"/>
      <c r="BX261" s="35">
        <v>0.5</v>
      </c>
      <c r="BY261" s="35">
        <v>0.5</v>
      </c>
      <c r="BZ261" s="35">
        <v>0.5</v>
      </c>
      <c r="CA261" s="35">
        <v>0.5</v>
      </c>
      <c r="CB261" s="35">
        <v>0.5</v>
      </c>
      <c r="CC261" s="35">
        <v>0.5</v>
      </c>
      <c r="CD261" s="35">
        <v>0.5</v>
      </c>
      <c r="CE261" s="35"/>
      <c r="CF261" s="35"/>
      <c r="CG261" s="35"/>
      <c r="CH261" s="35"/>
      <c r="CI261" s="35"/>
      <c r="CJ261" s="35"/>
      <c r="CK261" s="35"/>
      <c r="CL261" s="35"/>
      <c r="CM261" s="35"/>
      <c r="CN261" s="35"/>
      <c r="CO261" s="35"/>
      <c r="CP261" s="35"/>
      <c r="CQ261" s="35"/>
      <c r="CR261" s="35"/>
      <c r="CS261" s="35"/>
      <c r="CT261" s="36"/>
      <c r="CU261" s="35"/>
      <c r="CV261" s="35"/>
      <c r="CW261" s="35"/>
      <c r="CX261" s="35"/>
      <c r="CY261" s="35"/>
      <c r="CZ261" s="36"/>
      <c r="DA261" s="36"/>
      <c r="DB261" s="35">
        <v>1</v>
      </c>
      <c r="DC261" s="35">
        <v>1</v>
      </c>
      <c r="DD261" s="35">
        <v>1</v>
      </c>
      <c r="DE261" s="35">
        <v>1</v>
      </c>
      <c r="DF261" s="35">
        <v>1</v>
      </c>
      <c r="DG261" s="35">
        <v>1</v>
      </c>
      <c r="DH261" s="35">
        <v>1</v>
      </c>
      <c r="DI261" s="35">
        <v>1</v>
      </c>
      <c r="DJ261" s="35">
        <v>1</v>
      </c>
      <c r="DK261" s="35">
        <v>1</v>
      </c>
      <c r="DL261" s="35">
        <v>1</v>
      </c>
      <c r="DM261" s="35">
        <v>1</v>
      </c>
      <c r="DN261" s="35">
        <v>0.5</v>
      </c>
      <c r="DO261" s="35">
        <v>0.5</v>
      </c>
      <c r="DP261" s="35">
        <v>1</v>
      </c>
      <c r="DQ261" s="35">
        <v>1</v>
      </c>
      <c r="DR261" s="35">
        <v>1</v>
      </c>
      <c r="DS261" s="35">
        <v>1</v>
      </c>
      <c r="DT261" s="35">
        <v>0.5</v>
      </c>
      <c r="DU261" s="35">
        <v>1</v>
      </c>
      <c r="DV261" s="35">
        <v>1</v>
      </c>
      <c r="DW261" s="35">
        <v>1</v>
      </c>
      <c r="DX261" s="35">
        <v>1</v>
      </c>
      <c r="DY261" s="35">
        <v>0.5</v>
      </c>
      <c r="DZ261" s="36"/>
      <c r="EA261" s="35"/>
      <c r="EB261" s="35"/>
      <c r="EC261" s="35"/>
      <c r="ED261" s="35"/>
      <c r="EE261" s="35"/>
      <c r="EF261" s="35"/>
      <c r="EG261" s="35"/>
      <c r="EH261" s="35"/>
      <c r="EI261" s="35"/>
      <c r="EJ261" s="35"/>
      <c r="EK261" s="35"/>
      <c r="EL261" s="35"/>
      <c r="EM261" s="35"/>
      <c r="EN261" s="35"/>
      <c r="EO261" s="35"/>
      <c r="EP261" s="35"/>
      <c r="EQ261" s="35"/>
      <c r="ER261" s="35"/>
      <c r="ES261" s="35"/>
      <c r="ET261" s="35"/>
      <c r="EU261" s="35"/>
      <c r="EV261" s="35"/>
      <c r="EW261" s="35"/>
      <c r="EX261" s="35"/>
      <c r="EY261" s="36"/>
      <c r="EZ261" s="35"/>
      <c r="FA261" s="35"/>
      <c r="FB261" s="35"/>
      <c r="FC261" s="35"/>
      <c r="FD261" s="35"/>
      <c r="FE261" s="35"/>
      <c r="FF261" s="35"/>
      <c r="FG261" s="35"/>
      <c r="FH261" s="35"/>
      <c r="FI261" s="35"/>
      <c r="FJ261" s="35"/>
      <c r="FK261" s="35"/>
      <c r="FL261" s="35"/>
      <c r="FM261" s="35"/>
      <c r="FN261" s="35"/>
      <c r="FO261" s="35"/>
      <c r="FP261" s="35"/>
      <c r="FQ261" s="52"/>
      <c r="FR261" s="8"/>
      <c r="FS261" s="9" t="s">
        <v>13</v>
      </c>
      <c r="FT261" s="9" t="str">
        <f t="shared" si="5254"/>
        <v>9. Technical Support 9.2 CBI UploadsTM1 Analyst</v>
      </c>
    </row>
    <row r="262" spans="1:176" s="9" customFormat="1" ht="12" customHeight="1" collapsed="1">
      <c r="A262" s="119" t="s">
        <v>122</v>
      </c>
      <c r="B262" s="127"/>
      <c r="C262" s="121" t="str">
        <f t="shared" si="5114"/>
        <v>13 days</v>
      </c>
      <c r="D262" s="27"/>
      <c r="E262" s="91" t="str">
        <f>IF(SUBTOTAL(9,E263)&gt;0,SUBTOTAL(9,E263),"")</f>
        <v/>
      </c>
      <c r="F262" s="34" t="str">
        <f t="shared" ref="F262:BQ262" si="6359">IF(SUBTOTAL(9,F263)&gt;0,SUBTOTAL(9,F263),"")</f>
        <v/>
      </c>
      <c r="G262" s="34" t="str">
        <f t="shared" si="6359"/>
        <v/>
      </c>
      <c r="H262" s="34" t="str">
        <f t="shared" si="6359"/>
        <v/>
      </c>
      <c r="I262" s="34" t="str">
        <f t="shared" si="6359"/>
        <v/>
      </c>
      <c r="J262" s="34" t="str">
        <f t="shared" si="6359"/>
        <v/>
      </c>
      <c r="K262" s="34" t="str">
        <f t="shared" si="6359"/>
        <v/>
      </c>
      <c r="L262" s="34" t="str">
        <f t="shared" si="6359"/>
        <v/>
      </c>
      <c r="M262" s="34" t="str">
        <f t="shared" si="6359"/>
        <v/>
      </c>
      <c r="N262" s="34" t="str">
        <f t="shared" si="6359"/>
        <v/>
      </c>
      <c r="O262" s="34" t="str">
        <f t="shared" si="6359"/>
        <v/>
      </c>
      <c r="P262" s="34" t="str">
        <f t="shared" si="6359"/>
        <v/>
      </c>
      <c r="Q262" s="34" t="str">
        <f t="shared" si="6359"/>
        <v/>
      </c>
      <c r="R262" s="34" t="str">
        <f t="shared" si="6359"/>
        <v/>
      </c>
      <c r="S262" s="34" t="str">
        <f t="shared" si="6359"/>
        <v/>
      </c>
      <c r="T262" s="34">
        <f t="shared" si="6359"/>
        <v>1</v>
      </c>
      <c r="U262" s="34" t="str">
        <f t="shared" si="6359"/>
        <v/>
      </c>
      <c r="V262" s="34" t="str">
        <f t="shared" si="6359"/>
        <v/>
      </c>
      <c r="W262" s="34" t="str">
        <f t="shared" si="6359"/>
        <v/>
      </c>
      <c r="X262" s="34" t="str">
        <f t="shared" si="6359"/>
        <v/>
      </c>
      <c r="Y262" s="34" t="str">
        <f t="shared" si="6359"/>
        <v/>
      </c>
      <c r="Z262" s="34" t="str">
        <f t="shared" si="6359"/>
        <v/>
      </c>
      <c r="AA262" s="34" t="str">
        <f t="shared" si="6359"/>
        <v/>
      </c>
      <c r="AB262" s="34" t="str">
        <f t="shared" si="6359"/>
        <v/>
      </c>
      <c r="AC262" s="34" t="str">
        <f t="shared" si="6359"/>
        <v/>
      </c>
      <c r="AD262" s="34">
        <f t="shared" si="6359"/>
        <v>1</v>
      </c>
      <c r="AE262" s="34">
        <f t="shared" si="6359"/>
        <v>1</v>
      </c>
      <c r="AF262" s="34">
        <f t="shared" si="6359"/>
        <v>1</v>
      </c>
      <c r="AG262" s="34">
        <f t="shared" si="6359"/>
        <v>1</v>
      </c>
      <c r="AH262" s="34">
        <f t="shared" si="6359"/>
        <v>1</v>
      </c>
      <c r="AI262" s="34">
        <f t="shared" si="6359"/>
        <v>1</v>
      </c>
      <c r="AJ262" s="34" t="str">
        <f t="shared" si="6359"/>
        <v/>
      </c>
      <c r="AK262" s="34" t="str">
        <f t="shared" si="6359"/>
        <v/>
      </c>
      <c r="AL262" s="33" t="str">
        <f t="shared" si="6359"/>
        <v/>
      </c>
      <c r="AM262" s="33" t="str">
        <f t="shared" si="6359"/>
        <v/>
      </c>
      <c r="AN262" s="33" t="str">
        <f t="shared" si="6359"/>
        <v/>
      </c>
      <c r="AO262" s="33" t="str">
        <f t="shared" si="6359"/>
        <v/>
      </c>
      <c r="AP262" s="33" t="str">
        <f t="shared" si="6359"/>
        <v/>
      </c>
      <c r="AQ262" s="33" t="str">
        <f t="shared" si="6359"/>
        <v/>
      </c>
      <c r="AR262" s="33" t="str">
        <f t="shared" si="6359"/>
        <v/>
      </c>
      <c r="AS262" s="34">
        <f t="shared" si="6359"/>
        <v>1</v>
      </c>
      <c r="AT262" s="34">
        <f t="shared" si="6359"/>
        <v>1</v>
      </c>
      <c r="AU262" s="34">
        <f t="shared" si="6359"/>
        <v>1</v>
      </c>
      <c r="AV262" s="34">
        <f t="shared" si="6359"/>
        <v>1</v>
      </c>
      <c r="AW262" s="34">
        <f t="shared" si="6359"/>
        <v>1</v>
      </c>
      <c r="AX262" s="34">
        <f t="shared" si="6359"/>
        <v>1</v>
      </c>
      <c r="AY262" s="34" t="str">
        <f t="shared" si="6359"/>
        <v/>
      </c>
      <c r="AZ262" s="34" t="str">
        <f t="shared" si="6359"/>
        <v/>
      </c>
      <c r="BA262" s="34" t="str">
        <f t="shared" si="6359"/>
        <v/>
      </c>
      <c r="BB262" s="34" t="str">
        <f t="shared" si="6359"/>
        <v/>
      </c>
      <c r="BC262" s="34" t="str">
        <f t="shared" si="6359"/>
        <v/>
      </c>
      <c r="BD262" s="34" t="str">
        <f t="shared" si="6359"/>
        <v/>
      </c>
      <c r="BE262" s="34" t="str">
        <f t="shared" si="6359"/>
        <v/>
      </c>
      <c r="BF262" s="34" t="str">
        <f t="shared" si="6359"/>
        <v/>
      </c>
      <c r="BG262" s="34" t="str">
        <f t="shared" si="6359"/>
        <v/>
      </c>
      <c r="BH262" s="34" t="str">
        <f t="shared" si="6359"/>
        <v/>
      </c>
      <c r="BI262" s="34" t="str">
        <f t="shared" si="6359"/>
        <v/>
      </c>
      <c r="BJ262" s="34" t="str">
        <f t="shared" si="6359"/>
        <v/>
      </c>
      <c r="BK262" s="34" t="str">
        <f t="shared" si="6359"/>
        <v/>
      </c>
      <c r="BL262" s="34" t="str">
        <f t="shared" si="6359"/>
        <v/>
      </c>
      <c r="BM262" s="34" t="str">
        <f t="shared" si="6359"/>
        <v/>
      </c>
      <c r="BN262" s="34" t="str">
        <f t="shared" si="6359"/>
        <v/>
      </c>
      <c r="BO262" s="34" t="str">
        <f t="shared" si="6359"/>
        <v/>
      </c>
      <c r="BP262" s="34" t="str">
        <f t="shared" si="6359"/>
        <v/>
      </c>
      <c r="BQ262" s="34" t="str">
        <f t="shared" si="6359"/>
        <v/>
      </c>
      <c r="BR262" s="34" t="str">
        <f t="shared" ref="BR262:EC262" si="6360">IF(SUBTOTAL(9,BR263)&gt;0,SUBTOTAL(9,BR263),"")</f>
        <v/>
      </c>
      <c r="BS262" s="34" t="str">
        <f t="shared" si="6360"/>
        <v/>
      </c>
      <c r="BT262" s="34" t="str">
        <f t="shared" si="6360"/>
        <v/>
      </c>
      <c r="BU262" s="34" t="str">
        <f t="shared" si="6360"/>
        <v/>
      </c>
      <c r="BV262" s="34" t="str">
        <f t="shared" si="6360"/>
        <v/>
      </c>
      <c r="BW262" s="34" t="str">
        <f t="shared" si="6360"/>
        <v/>
      </c>
      <c r="BX262" s="34" t="str">
        <f t="shared" si="6360"/>
        <v/>
      </c>
      <c r="BY262" s="34" t="str">
        <f t="shared" si="6360"/>
        <v/>
      </c>
      <c r="BZ262" s="34" t="str">
        <f t="shared" si="6360"/>
        <v/>
      </c>
      <c r="CA262" s="34" t="str">
        <f t="shared" si="6360"/>
        <v/>
      </c>
      <c r="CB262" s="34" t="str">
        <f t="shared" si="6360"/>
        <v/>
      </c>
      <c r="CC262" s="34" t="str">
        <f t="shared" si="6360"/>
        <v/>
      </c>
      <c r="CD262" s="34" t="str">
        <f t="shared" si="6360"/>
        <v/>
      </c>
      <c r="CE262" s="34" t="str">
        <f t="shared" si="6360"/>
        <v/>
      </c>
      <c r="CF262" s="34" t="str">
        <f t="shared" si="6360"/>
        <v/>
      </c>
      <c r="CG262" s="34" t="str">
        <f t="shared" si="6360"/>
        <v/>
      </c>
      <c r="CH262" s="34" t="str">
        <f t="shared" si="6360"/>
        <v/>
      </c>
      <c r="CI262" s="34" t="str">
        <f t="shared" si="6360"/>
        <v/>
      </c>
      <c r="CJ262" s="34" t="str">
        <f t="shared" si="6360"/>
        <v/>
      </c>
      <c r="CK262" s="34" t="str">
        <f t="shared" si="6360"/>
        <v/>
      </c>
      <c r="CL262" s="34" t="str">
        <f t="shared" si="6360"/>
        <v/>
      </c>
      <c r="CM262" s="34" t="str">
        <f t="shared" si="6360"/>
        <v/>
      </c>
      <c r="CN262" s="34" t="str">
        <f t="shared" si="6360"/>
        <v/>
      </c>
      <c r="CO262" s="34" t="str">
        <f t="shared" si="6360"/>
        <v/>
      </c>
      <c r="CP262" s="34" t="str">
        <f t="shared" si="6360"/>
        <v/>
      </c>
      <c r="CQ262" s="34" t="str">
        <f t="shared" si="6360"/>
        <v/>
      </c>
      <c r="CR262" s="34" t="str">
        <f t="shared" si="6360"/>
        <v/>
      </c>
      <c r="CS262" s="34" t="str">
        <f t="shared" si="6360"/>
        <v/>
      </c>
      <c r="CT262" s="33" t="str">
        <f t="shared" si="6360"/>
        <v/>
      </c>
      <c r="CU262" s="34" t="str">
        <f t="shared" si="6360"/>
        <v/>
      </c>
      <c r="CV262" s="34" t="str">
        <f t="shared" si="6360"/>
        <v/>
      </c>
      <c r="CW262" s="34" t="str">
        <f t="shared" si="6360"/>
        <v/>
      </c>
      <c r="CX262" s="34" t="str">
        <f t="shared" si="6360"/>
        <v/>
      </c>
      <c r="CY262" s="34" t="str">
        <f t="shared" si="6360"/>
        <v/>
      </c>
      <c r="CZ262" s="33" t="str">
        <f t="shared" si="6360"/>
        <v/>
      </c>
      <c r="DA262" s="33" t="str">
        <f t="shared" si="6360"/>
        <v/>
      </c>
      <c r="DB262" s="34" t="str">
        <f t="shared" si="6360"/>
        <v/>
      </c>
      <c r="DC262" s="34" t="str">
        <f t="shared" si="6360"/>
        <v/>
      </c>
      <c r="DD262" s="34" t="str">
        <f t="shared" si="6360"/>
        <v/>
      </c>
      <c r="DE262" s="34" t="str">
        <f t="shared" si="6360"/>
        <v/>
      </c>
      <c r="DF262" s="34" t="str">
        <f t="shared" si="6360"/>
        <v/>
      </c>
      <c r="DG262" s="34" t="str">
        <f t="shared" si="6360"/>
        <v/>
      </c>
      <c r="DH262" s="34" t="str">
        <f t="shared" si="6360"/>
        <v/>
      </c>
      <c r="DI262" s="34" t="str">
        <f t="shared" si="6360"/>
        <v/>
      </c>
      <c r="DJ262" s="34" t="str">
        <f t="shared" si="6360"/>
        <v/>
      </c>
      <c r="DK262" s="34" t="str">
        <f t="shared" si="6360"/>
        <v/>
      </c>
      <c r="DL262" s="34" t="str">
        <f t="shared" si="6360"/>
        <v/>
      </c>
      <c r="DM262" s="34" t="str">
        <f t="shared" si="6360"/>
        <v/>
      </c>
      <c r="DN262" s="34" t="str">
        <f t="shared" si="6360"/>
        <v/>
      </c>
      <c r="DO262" s="34" t="str">
        <f t="shared" si="6360"/>
        <v/>
      </c>
      <c r="DP262" s="34" t="str">
        <f t="shared" si="6360"/>
        <v/>
      </c>
      <c r="DQ262" s="34" t="str">
        <f t="shared" si="6360"/>
        <v/>
      </c>
      <c r="DR262" s="34" t="str">
        <f t="shared" si="6360"/>
        <v/>
      </c>
      <c r="DS262" s="34" t="str">
        <f t="shared" si="6360"/>
        <v/>
      </c>
      <c r="DT262" s="34" t="str">
        <f t="shared" si="6360"/>
        <v/>
      </c>
      <c r="DU262" s="34" t="str">
        <f t="shared" si="6360"/>
        <v/>
      </c>
      <c r="DV262" s="34" t="str">
        <f t="shared" si="6360"/>
        <v/>
      </c>
      <c r="DW262" s="34" t="str">
        <f t="shared" si="6360"/>
        <v/>
      </c>
      <c r="DX262" s="34" t="str">
        <f t="shared" si="6360"/>
        <v/>
      </c>
      <c r="DY262" s="34" t="str">
        <f t="shared" si="6360"/>
        <v/>
      </c>
      <c r="DZ262" s="33" t="str">
        <f t="shared" si="6360"/>
        <v/>
      </c>
      <c r="EA262" s="34" t="str">
        <f t="shared" si="6360"/>
        <v/>
      </c>
      <c r="EB262" s="34" t="str">
        <f t="shared" si="6360"/>
        <v/>
      </c>
      <c r="EC262" s="34" t="str">
        <f t="shared" si="6360"/>
        <v/>
      </c>
      <c r="ED262" s="34" t="str">
        <f t="shared" ref="ED262:FQ262" si="6361">IF(SUBTOTAL(9,ED263)&gt;0,SUBTOTAL(9,ED263),"")</f>
        <v/>
      </c>
      <c r="EE262" s="34" t="str">
        <f t="shared" si="6361"/>
        <v/>
      </c>
      <c r="EF262" s="34" t="str">
        <f t="shared" si="6361"/>
        <v/>
      </c>
      <c r="EG262" s="34" t="str">
        <f t="shared" si="6361"/>
        <v/>
      </c>
      <c r="EH262" s="34" t="str">
        <f t="shared" si="6361"/>
        <v/>
      </c>
      <c r="EI262" s="34" t="str">
        <f t="shared" si="6361"/>
        <v/>
      </c>
      <c r="EJ262" s="34" t="str">
        <f t="shared" si="6361"/>
        <v/>
      </c>
      <c r="EK262" s="34" t="str">
        <f t="shared" si="6361"/>
        <v/>
      </c>
      <c r="EL262" s="34" t="str">
        <f t="shared" si="6361"/>
        <v/>
      </c>
      <c r="EM262" s="34" t="str">
        <f t="shared" si="6361"/>
        <v/>
      </c>
      <c r="EN262" s="34" t="str">
        <f t="shared" si="6361"/>
        <v/>
      </c>
      <c r="EO262" s="34" t="str">
        <f t="shared" si="6361"/>
        <v/>
      </c>
      <c r="EP262" s="34" t="str">
        <f t="shared" si="6361"/>
        <v/>
      </c>
      <c r="EQ262" s="34" t="str">
        <f t="shared" si="6361"/>
        <v/>
      </c>
      <c r="ER262" s="34" t="str">
        <f t="shared" si="6361"/>
        <v/>
      </c>
      <c r="ES262" s="34" t="str">
        <f t="shared" si="6361"/>
        <v/>
      </c>
      <c r="ET262" s="34" t="str">
        <f t="shared" si="6361"/>
        <v/>
      </c>
      <c r="EU262" s="34" t="str">
        <f t="shared" si="6361"/>
        <v/>
      </c>
      <c r="EV262" s="34" t="str">
        <f t="shared" si="6361"/>
        <v/>
      </c>
      <c r="EW262" s="34" t="str">
        <f t="shared" si="6361"/>
        <v/>
      </c>
      <c r="EX262" s="34" t="str">
        <f t="shared" si="6361"/>
        <v/>
      </c>
      <c r="EY262" s="33" t="str">
        <f t="shared" si="6361"/>
        <v/>
      </c>
      <c r="EZ262" s="34" t="str">
        <f t="shared" si="6361"/>
        <v/>
      </c>
      <c r="FA262" s="34" t="str">
        <f t="shared" si="6361"/>
        <v/>
      </c>
      <c r="FB262" s="34" t="str">
        <f t="shared" si="6361"/>
        <v/>
      </c>
      <c r="FC262" s="34" t="str">
        <f t="shared" si="6361"/>
        <v/>
      </c>
      <c r="FD262" s="34" t="str">
        <f t="shared" si="6361"/>
        <v/>
      </c>
      <c r="FE262" s="34" t="str">
        <f t="shared" si="6361"/>
        <v/>
      </c>
      <c r="FF262" s="34" t="str">
        <f t="shared" si="6361"/>
        <v/>
      </c>
      <c r="FG262" s="34" t="str">
        <f t="shared" si="6361"/>
        <v/>
      </c>
      <c r="FH262" s="34" t="str">
        <f t="shared" si="6361"/>
        <v/>
      </c>
      <c r="FI262" s="34" t="str">
        <f t="shared" si="6361"/>
        <v/>
      </c>
      <c r="FJ262" s="34" t="str">
        <f t="shared" si="6361"/>
        <v/>
      </c>
      <c r="FK262" s="34" t="str">
        <f t="shared" si="6361"/>
        <v/>
      </c>
      <c r="FL262" s="34" t="str">
        <f t="shared" si="6361"/>
        <v/>
      </c>
      <c r="FM262" s="34" t="str">
        <f t="shared" si="6361"/>
        <v/>
      </c>
      <c r="FN262" s="34" t="str">
        <f t="shared" si="6361"/>
        <v/>
      </c>
      <c r="FO262" s="34" t="str">
        <f t="shared" si="6361"/>
        <v/>
      </c>
      <c r="FP262" s="34" t="str">
        <f t="shared" si="6361"/>
        <v/>
      </c>
      <c r="FQ262" s="92" t="str">
        <f t="shared" si="6361"/>
        <v/>
      </c>
      <c r="FR262" s="8"/>
      <c r="FS262" s="9" t="s">
        <v>131</v>
      </c>
      <c r="FT262" s="9" t="str">
        <f t="shared" si="5254"/>
        <v/>
      </c>
    </row>
    <row r="263" spans="1:176" s="9" customFormat="1" ht="12" hidden="1" customHeight="1" outlineLevel="1">
      <c r="A263" s="122" t="s">
        <v>4</v>
      </c>
      <c r="B263" s="123" t="s">
        <v>18</v>
      </c>
      <c r="C263" s="124" t="str">
        <f t="shared" si="5114"/>
        <v>13 days</v>
      </c>
      <c r="D263" s="12" t="str">
        <f>A257&amp;" "&amp;A262</f>
        <v>9. Technical Support 9.3 TM1 Mapping Requirements</v>
      </c>
      <c r="E263" s="51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>
        <v>1</v>
      </c>
      <c r="U263" s="35"/>
      <c r="V263" s="35"/>
      <c r="W263" s="35"/>
      <c r="X263" s="35"/>
      <c r="Y263" s="35"/>
      <c r="Z263" s="35"/>
      <c r="AA263" s="35"/>
      <c r="AB263" s="35"/>
      <c r="AC263" s="35"/>
      <c r="AD263" s="35">
        <v>1</v>
      </c>
      <c r="AE263" s="35">
        <v>1</v>
      </c>
      <c r="AF263" s="35">
        <v>1</v>
      </c>
      <c r="AG263" s="35">
        <v>1</v>
      </c>
      <c r="AH263" s="35">
        <v>1</v>
      </c>
      <c r="AI263" s="35">
        <v>1</v>
      </c>
      <c r="AJ263" s="35"/>
      <c r="AK263" s="35"/>
      <c r="AL263" s="36"/>
      <c r="AM263" s="36"/>
      <c r="AN263" s="36"/>
      <c r="AO263" s="36"/>
      <c r="AP263" s="36"/>
      <c r="AQ263" s="36"/>
      <c r="AR263" s="36"/>
      <c r="AS263" s="35">
        <v>1</v>
      </c>
      <c r="AT263" s="35">
        <v>1</v>
      </c>
      <c r="AU263" s="35">
        <v>1</v>
      </c>
      <c r="AV263" s="35">
        <v>1</v>
      </c>
      <c r="AW263" s="35">
        <v>1</v>
      </c>
      <c r="AX263" s="35">
        <v>1</v>
      </c>
      <c r="AY263" s="35"/>
      <c r="AZ263" s="35"/>
      <c r="BA263" s="35"/>
      <c r="BB263" s="35"/>
      <c r="BC263" s="35"/>
      <c r="BD263" s="35"/>
      <c r="BE263" s="35"/>
      <c r="BF263" s="35"/>
      <c r="BG263" s="35"/>
      <c r="BH263" s="35"/>
      <c r="BI263" s="35"/>
      <c r="BJ263" s="35"/>
      <c r="BK263" s="35"/>
      <c r="BL263" s="35"/>
      <c r="BM263" s="35"/>
      <c r="BN263" s="35"/>
      <c r="BO263" s="35"/>
      <c r="BP263" s="35"/>
      <c r="BQ263" s="35"/>
      <c r="BR263" s="35"/>
      <c r="BS263" s="35"/>
      <c r="BT263" s="35"/>
      <c r="BU263" s="35"/>
      <c r="BV263" s="35"/>
      <c r="BW263" s="35"/>
      <c r="BX263" s="35"/>
      <c r="BY263" s="35"/>
      <c r="BZ263" s="35"/>
      <c r="CA263" s="35"/>
      <c r="CB263" s="35"/>
      <c r="CC263" s="35"/>
      <c r="CD263" s="35"/>
      <c r="CE263" s="35"/>
      <c r="CF263" s="35"/>
      <c r="CG263" s="35"/>
      <c r="CH263" s="35"/>
      <c r="CI263" s="35"/>
      <c r="CJ263" s="35"/>
      <c r="CK263" s="35"/>
      <c r="CL263" s="35"/>
      <c r="CM263" s="35"/>
      <c r="CN263" s="35"/>
      <c r="CO263" s="35"/>
      <c r="CP263" s="35"/>
      <c r="CQ263" s="35"/>
      <c r="CR263" s="35"/>
      <c r="CS263" s="35"/>
      <c r="CT263" s="36"/>
      <c r="CU263" s="35"/>
      <c r="CV263" s="35"/>
      <c r="CW263" s="35"/>
      <c r="CX263" s="35"/>
      <c r="CY263" s="35"/>
      <c r="CZ263" s="36"/>
      <c r="DA263" s="36"/>
      <c r="DB263" s="35"/>
      <c r="DC263" s="35"/>
      <c r="DD263" s="35"/>
      <c r="DE263" s="35"/>
      <c r="DF263" s="35"/>
      <c r="DG263" s="35"/>
      <c r="DH263" s="35"/>
      <c r="DI263" s="35"/>
      <c r="DJ263" s="35"/>
      <c r="DK263" s="35"/>
      <c r="DL263" s="35"/>
      <c r="DM263" s="35"/>
      <c r="DN263" s="35"/>
      <c r="DO263" s="35"/>
      <c r="DP263" s="35"/>
      <c r="DQ263" s="35"/>
      <c r="DR263" s="35"/>
      <c r="DS263" s="35"/>
      <c r="DT263" s="35"/>
      <c r="DU263" s="35"/>
      <c r="DV263" s="35"/>
      <c r="DW263" s="35"/>
      <c r="DX263" s="35"/>
      <c r="DY263" s="35"/>
      <c r="DZ263" s="36"/>
      <c r="EA263" s="35"/>
      <c r="EB263" s="35"/>
      <c r="EC263" s="35"/>
      <c r="ED263" s="35"/>
      <c r="EE263" s="35"/>
      <c r="EF263" s="35"/>
      <c r="EG263" s="35"/>
      <c r="EH263" s="35"/>
      <c r="EI263" s="35"/>
      <c r="EJ263" s="35"/>
      <c r="EK263" s="35"/>
      <c r="EL263" s="35"/>
      <c r="EM263" s="35"/>
      <c r="EN263" s="35"/>
      <c r="EO263" s="35"/>
      <c r="EP263" s="35"/>
      <c r="EQ263" s="35"/>
      <c r="ER263" s="35"/>
      <c r="ES263" s="35"/>
      <c r="ET263" s="35"/>
      <c r="EU263" s="35"/>
      <c r="EV263" s="35"/>
      <c r="EW263" s="35"/>
      <c r="EX263" s="35"/>
      <c r="EY263" s="36"/>
      <c r="EZ263" s="35"/>
      <c r="FA263" s="35"/>
      <c r="FB263" s="35"/>
      <c r="FC263" s="35"/>
      <c r="FD263" s="35"/>
      <c r="FE263" s="35"/>
      <c r="FF263" s="35"/>
      <c r="FG263" s="35"/>
      <c r="FH263" s="35"/>
      <c r="FI263" s="35"/>
      <c r="FJ263" s="35"/>
      <c r="FK263" s="35"/>
      <c r="FL263" s="35"/>
      <c r="FM263" s="35"/>
      <c r="FN263" s="35"/>
      <c r="FO263" s="35"/>
      <c r="FP263" s="35"/>
      <c r="FQ263" s="52"/>
      <c r="FR263" s="8"/>
      <c r="FS263" s="9" t="s">
        <v>13</v>
      </c>
      <c r="FT263" s="9" t="str">
        <f t="shared" si="5254"/>
        <v>9. Technical Support 9.3 TM1 Mapping RequirementsTM1 Analyst</v>
      </c>
    </row>
    <row r="264" spans="1:176" s="9" customFormat="1" ht="12" customHeight="1" collapsed="1">
      <c r="A264" s="116" t="s">
        <v>123</v>
      </c>
      <c r="B264" s="132"/>
      <c r="C264" s="118" t="str">
        <f t="shared" si="5114"/>
        <v>126 days</v>
      </c>
      <c r="D264" s="26"/>
      <c r="E264" s="95" t="str">
        <f>IF(SUBTOTAL(9,E266:E270,E272:E276,E278:E282,E284:E288,E290:E294,E296:E300,E302:E306,E308:E312)&gt;0,SUBTOTAL(9,E266:E270,E272:E276,E278:E282,E284:E288,E290:E294,E296:E300,E302:E306,E308:E312),"")</f>
        <v/>
      </c>
      <c r="F264" s="41" t="str">
        <f t="shared" ref="F264:BQ264" si="6362">IF(SUBTOTAL(9,F266:F270,F272:F276,F278:F282,F284:F288,F290:F294,F296:F300,F302:F306,F308:F312)&gt;0,SUBTOTAL(9,F266:F270,F272:F276,F278:F282,F284:F288,F290:F294,F296:F300,F302:F306,F308:F312),"")</f>
        <v/>
      </c>
      <c r="G264" s="41" t="str">
        <f t="shared" si="6362"/>
        <v/>
      </c>
      <c r="H264" s="41" t="str">
        <f t="shared" si="6362"/>
        <v/>
      </c>
      <c r="I264" s="41" t="str">
        <f t="shared" si="6362"/>
        <v/>
      </c>
      <c r="J264" s="41" t="str">
        <f t="shared" si="6362"/>
        <v/>
      </c>
      <c r="K264" s="41" t="str">
        <f t="shared" si="6362"/>
        <v/>
      </c>
      <c r="L264" s="41" t="str">
        <f t="shared" si="6362"/>
        <v/>
      </c>
      <c r="M264" s="41" t="str">
        <f t="shared" si="6362"/>
        <v/>
      </c>
      <c r="N264" s="41" t="str">
        <f t="shared" si="6362"/>
        <v/>
      </c>
      <c r="O264" s="41" t="str">
        <f t="shared" si="6362"/>
        <v/>
      </c>
      <c r="P264" s="41" t="str">
        <f t="shared" si="6362"/>
        <v/>
      </c>
      <c r="Q264" s="41" t="str">
        <f t="shared" si="6362"/>
        <v/>
      </c>
      <c r="R264" s="41" t="str">
        <f t="shared" si="6362"/>
        <v/>
      </c>
      <c r="S264" s="41" t="str">
        <f t="shared" si="6362"/>
        <v/>
      </c>
      <c r="T264" s="41" t="str">
        <f t="shared" si="6362"/>
        <v/>
      </c>
      <c r="U264" s="41" t="str">
        <f t="shared" si="6362"/>
        <v/>
      </c>
      <c r="V264" s="41" t="str">
        <f t="shared" si="6362"/>
        <v/>
      </c>
      <c r="W264" s="41" t="str">
        <f t="shared" si="6362"/>
        <v/>
      </c>
      <c r="X264" s="41" t="str">
        <f t="shared" si="6362"/>
        <v/>
      </c>
      <c r="Y264" s="41" t="str">
        <f t="shared" si="6362"/>
        <v/>
      </c>
      <c r="Z264" s="41" t="str">
        <f t="shared" si="6362"/>
        <v/>
      </c>
      <c r="AA264" s="41" t="str">
        <f t="shared" si="6362"/>
        <v/>
      </c>
      <c r="AB264" s="41" t="str">
        <f t="shared" si="6362"/>
        <v/>
      </c>
      <c r="AC264" s="41" t="str">
        <f t="shared" si="6362"/>
        <v/>
      </c>
      <c r="AD264" s="41" t="str">
        <f t="shared" si="6362"/>
        <v/>
      </c>
      <c r="AE264" s="41" t="str">
        <f t="shared" si="6362"/>
        <v/>
      </c>
      <c r="AF264" s="41" t="str">
        <f t="shared" si="6362"/>
        <v/>
      </c>
      <c r="AG264" s="41" t="str">
        <f t="shared" si="6362"/>
        <v/>
      </c>
      <c r="AH264" s="41" t="str">
        <f t="shared" si="6362"/>
        <v/>
      </c>
      <c r="AI264" s="41" t="str">
        <f t="shared" si="6362"/>
        <v/>
      </c>
      <c r="AJ264" s="41" t="str">
        <f t="shared" si="6362"/>
        <v/>
      </c>
      <c r="AK264" s="41" t="str">
        <f t="shared" si="6362"/>
        <v/>
      </c>
      <c r="AL264" s="33" t="str">
        <f t="shared" si="6362"/>
        <v/>
      </c>
      <c r="AM264" s="33" t="str">
        <f t="shared" si="6362"/>
        <v/>
      </c>
      <c r="AN264" s="33" t="str">
        <f t="shared" si="6362"/>
        <v/>
      </c>
      <c r="AO264" s="33" t="str">
        <f t="shared" si="6362"/>
        <v/>
      </c>
      <c r="AP264" s="33" t="str">
        <f t="shared" si="6362"/>
        <v/>
      </c>
      <c r="AQ264" s="33" t="str">
        <f t="shared" si="6362"/>
        <v/>
      </c>
      <c r="AR264" s="33" t="str">
        <f t="shared" si="6362"/>
        <v/>
      </c>
      <c r="AS264" s="41" t="str">
        <f t="shared" si="6362"/>
        <v/>
      </c>
      <c r="AT264" s="41" t="str">
        <f t="shared" si="6362"/>
        <v/>
      </c>
      <c r="AU264" s="41" t="str">
        <f t="shared" si="6362"/>
        <v/>
      </c>
      <c r="AV264" s="41" t="str">
        <f t="shared" si="6362"/>
        <v/>
      </c>
      <c r="AW264" s="41" t="str">
        <f t="shared" si="6362"/>
        <v/>
      </c>
      <c r="AX264" s="41" t="str">
        <f t="shared" si="6362"/>
        <v/>
      </c>
      <c r="AY264" s="41" t="str">
        <f t="shared" si="6362"/>
        <v/>
      </c>
      <c r="AZ264" s="41" t="str">
        <f t="shared" si="6362"/>
        <v/>
      </c>
      <c r="BA264" s="41" t="str">
        <f t="shared" si="6362"/>
        <v/>
      </c>
      <c r="BB264" s="41" t="str">
        <f t="shared" si="6362"/>
        <v/>
      </c>
      <c r="BC264" s="41" t="str">
        <f t="shared" si="6362"/>
        <v/>
      </c>
      <c r="BD264" s="41" t="str">
        <f t="shared" si="6362"/>
        <v/>
      </c>
      <c r="BE264" s="41" t="str">
        <f t="shared" si="6362"/>
        <v/>
      </c>
      <c r="BF264" s="41" t="str">
        <f t="shared" si="6362"/>
        <v/>
      </c>
      <c r="BG264" s="41" t="str">
        <f t="shared" si="6362"/>
        <v/>
      </c>
      <c r="BH264" s="41" t="str">
        <f t="shared" si="6362"/>
        <v/>
      </c>
      <c r="BI264" s="41" t="str">
        <f t="shared" si="6362"/>
        <v/>
      </c>
      <c r="BJ264" s="41" t="str">
        <f t="shared" si="6362"/>
        <v/>
      </c>
      <c r="BK264" s="41" t="str">
        <f t="shared" si="6362"/>
        <v/>
      </c>
      <c r="BL264" s="41" t="str">
        <f t="shared" si="6362"/>
        <v/>
      </c>
      <c r="BM264" s="41" t="str">
        <f t="shared" si="6362"/>
        <v/>
      </c>
      <c r="BN264" s="41" t="str">
        <f t="shared" si="6362"/>
        <v/>
      </c>
      <c r="BO264" s="41" t="str">
        <f t="shared" si="6362"/>
        <v/>
      </c>
      <c r="BP264" s="41" t="str">
        <f t="shared" si="6362"/>
        <v/>
      </c>
      <c r="BQ264" s="41" t="str">
        <f t="shared" si="6362"/>
        <v/>
      </c>
      <c r="BR264" s="41" t="str">
        <f t="shared" ref="BR264:EC264" si="6363">IF(SUBTOTAL(9,BR266:BR270,BR272:BR276,BR278:BR282,BR284:BR288,BR290:BR294,BR296:BR300,BR302:BR306,BR308:BR312)&gt;0,SUBTOTAL(9,BR266:BR270,BR272:BR276,BR278:BR282,BR284:BR288,BR290:BR294,BR296:BR300,BR302:BR306,BR308:BR312),"")</f>
        <v/>
      </c>
      <c r="BS264" s="41" t="str">
        <f t="shared" si="6363"/>
        <v/>
      </c>
      <c r="BT264" s="41" t="str">
        <f t="shared" si="6363"/>
        <v/>
      </c>
      <c r="BU264" s="41" t="str">
        <f t="shared" si="6363"/>
        <v/>
      </c>
      <c r="BV264" s="41" t="str">
        <f t="shared" si="6363"/>
        <v/>
      </c>
      <c r="BW264" s="41" t="str">
        <f t="shared" si="6363"/>
        <v/>
      </c>
      <c r="BX264" s="41" t="str">
        <f t="shared" si="6363"/>
        <v/>
      </c>
      <c r="BY264" s="41" t="str">
        <f t="shared" si="6363"/>
        <v/>
      </c>
      <c r="BZ264" s="41" t="str">
        <f t="shared" si="6363"/>
        <v/>
      </c>
      <c r="CA264" s="41" t="str">
        <f t="shared" si="6363"/>
        <v/>
      </c>
      <c r="CB264" s="41" t="str">
        <f t="shared" si="6363"/>
        <v/>
      </c>
      <c r="CC264" s="41" t="str">
        <f t="shared" si="6363"/>
        <v/>
      </c>
      <c r="CD264" s="41" t="str">
        <f t="shared" si="6363"/>
        <v/>
      </c>
      <c r="CE264" s="41" t="str">
        <f t="shared" si="6363"/>
        <v/>
      </c>
      <c r="CF264" s="41" t="str">
        <f t="shared" si="6363"/>
        <v/>
      </c>
      <c r="CG264" s="41" t="str">
        <f t="shared" si="6363"/>
        <v/>
      </c>
      <c r="CH264" s="41" t="str">
        <f t="shared" si="6363"/>
        <v/>
      </c>
      <c r="CI264" s="41" t="str">
        <f t="shared" si="6363"/>
        <v/>
      </c>
      <c r="CJ264" s="41" t="str">
        <f t="shared" si="6363"/>
        <v/>
      </c>
      <c r="CK264" s="41" t="str">
        <f t="shared" si="6363"/>
        <v/>
      </c>
      <c r="CL264" s="41" t="str">
        <f t="shared" si="6363"/>
        <v/>
      </c>
      <c r="CM264" s="41" t="str">
        <f t="shared" si="6363"/>
        <v/>
      </c>
      <c r="CN264" s="41" t="str">
        <f t="shared" si="6363"/>
        <v/>
      </c>
      <c r="CO264" s="41" t="str">
        <f t="shared" si="6363"/>
        <v/>
      </c>
      <c r="CP264" s="41" t="str">
        <f t="shared" si="6363"/>
        <v/>
      </c>
      <c r="CQ264" s="41" t="str">
        <f t="shared" si="6363"/>
        <v/>
      </c>
      <c r="CR264" s="41" t="str">
        <f t="shared" si="6363"/>
        <v/>
      </c>
      <c r="CS264" s="41" t="str">
        <f t="shared" si="6363"/>
        <v/>
      </c>
      <c r="CT264" s="33" t="str">
        <f t="shared" si="6363"/>
        <v/>
      </c>
      <c r="CU264" s="41" t="str">
        <f t="shared" si="6363"/>
        <v/>
      </c>
      <c r="CV264" s="41" t="str">
        <f t="shared" si="6363"/>
        <v/>
      </c>
      <c r="CW264" s="41" t="str">
        <f t="shared" si="6363"/>
        <v/>
      </c>
      <c r="CX264" s="41" t="str">
        <f t="shared" si="6363"/>
        <v/>
      </c>
      <c r="CY264" s="41" t="str">
        <f t="shared" si="6363"/>
        <v/>
      </c>
      <c r="CZ264" s="33" t="str">
        <f t="shared" si="6363"/>
        <v/>
      </c>
      <c r="DA264" s="33" t="str">
        <f t="shared" si="6363"/>
        <v/>
      </c>
      <c r="DB264" s="41" t="str">
        <f t="shared" si="6363"/>
        <v/>
      </c>
      <c r="DC264" s="41" t="str">
        <f t="shared" si="6363"/>
        <v/>
      </c>
      <c r="DD264" s="41" t="str">
        <f t="shared" si="6363"/>
        <v/>
      </c>
      <c r="DE264" s="41" t="str">
        <f t="shared" si="6363"/>
        <v/>
      </c>
      <c r="DF264" s="41" t="str">
        <f t="shared" si="6363"/>
        <v/>
      </c>
      <c r="DG264" s="41" t="str">
        <f t="shared" si="6363"/>
        <v/>
      </c>
      <c r="DH264" s="41" t="str">
        <f t="shared" si="6363"/>
        <v/>
      </c>
      <c r="DI264" s="41" t="str">
        <f t="shared" si="6363"/>
        <v/>
      </c>
      <c r="DJ264" s="41" t="str">
        <f t="shared" si="6363"/>
        <v/>
      </c>
      <c r="DK264" s="41" t="str">
        <f t="shared" si="6363"/>
        <v/>
      </c>
      <c r="DL264" s="41" t="str">
        <f t="shared" si="6363"/>
        <v/>
      </c>
      <c r="DM264" s="41" t="str">
        <f t="shared" si="6363"/>
        <v/>
      </c>
      <c r="DN264" s="41" t="str">
        <f t="shared" si="6363"/>
        <v/>
      </c>
      <c r="DO264" s="41" t="str">
        <f t="shared" si="6363"/>
        <v/>
      </c>
      <c r="DP264" s="41" t="str">
        <f t="shared" si="6363"/>
        <v/>
      </c>
      <c r="DQ264" s="41" t="str">
        <f t="shared" si="6363"/>
        <v/>
      </c>
      <c r="DR264" s="41" t="str">
        <f t="shared" si="6363"/>
        <v/>
      </c>
      <c r="DS264" s="41" t="str">
        <f t="shared" si="6363"/>
        <v/>
      </c>
      <c r="DT264" s="41" t="str">
        <f t="shared" si="6363"/>
        <v/>
      </c>
      <c r="DU264" s="41" t="str">
        <f t="shared" si="6363"/>
        <v/>
      </c>
      <c r="DV264" s="41" t="str">
        <f t="shared" si="6363"/>
        <v/>
      </c>
      <c r="DW264" s="41" t="str">
        <f t="shared" si="6363"/>
        <v/>
      </c>
      <c r="DX264" s="41">
        <f t="shared" si="6363"/>
        <v>2</v>
      </c>
      <c r="DY264" s="41">
        <f t="shared" si="6363"/>
        <v>2</v>
      </c>
      <c r="DZ264" s="33" t="str">
        <f t="shared" si="6363"/>
        <v/>
      </c>
      <c r="EA264" s="41">
        <f t="shared" si="6363"/>
        <v>3</v>
      </c>
      <c r="EB264" s="41">
        <f t="shared" si="6363"/>
        <v>3</v>
      </c>
      <c r="EC264" s="41">
        <f t="shared" si="6363"/>
        <v>3</v>
      </c>
      <c r="ED264" s="41">
        <f t="shared" ref="ED264:FQ264" si="6364">IF(SUBTOTAL(9,ED266:ED270,ED272:ED276,ED278:ED282,ED284:ED288,ED290:ED294,ED296:ED300,ED302:ED306,ED308:ED312)&gt;0,SUBTOTAL(9,ED266:ED270,ED272:ED276,ED278:ED282,ED284:ED288,ED290:ED294,ED296:ED300,ED302:ED306,ED308:ED312),"")</f>
        <v>3</v>
      </c>
      <c r="EE264" s="41">
        <f t="shared" si="6364"/>
        <v>3</v>
      </c>
      <c r="EF264" s="41">
        <f t="shared" si="6364"/>
        <v>2</v>
      </c>
      <c r="EG264" s="41">
        <f t="shared" si="6364"/>
        <v>3</v>
      </c>
      <c r="EH264" s="41">
        <f t="shared" si="6364"/>
        <v>3</v>
      </c>
      <c r="EI264" s="41">
        <f t="shared" si="6364"/>
        <v>3</v>
      </c>
      <c r="EJ264" s="41">
        <f t="shared" si="6364"/>
        <v>3</v>
      </c>
      <c r="EK264" s="41">
        <f>IF(SUBTOTAL(9,EK266:EK270,EK272:EK276,EK278:EK282,EK284:EK288,EK290:EK294,EK296:EK300,EK302:EK306,EK308:EK312)&gt;0,SUBTOTAL(9,EK266:EK270,EK272:EK276,EK278:EK282,EK284:EK288,EK290:EK294,EK296:EK300,EK302:EK306,EK308:EK312),"")</f>
        <v>3.5</v>
      </c>
      <c r="EL264" s="41">
        <f>IF(SUBTOTAL(9,EL266:EL270,EL272:EL276,EL278:EL282,EL284:EL288,EL290:EL294,EL296:EL300,EL302:EL306,EL308:EL312)&gt;0,SUBTOTAL(9,EL266:EL270,EL272:EL276,EL278:EL282,EL284:EL288,EL290:EL294,EL296:EL300,EL302:EL306,EL308:EL312),"")</f>
        <v>3.5</v>
      </c>
      <c r="EM264" s="41">
        <f>IF(SUBTOTAL(9,EM266:EM270,EM272:EM276,EM278:EM282,EM284:EM288,EM290:EM294,EM296:EM300,EM302:EM306,EM308:EM312)&gt;0,SUBTOTAL(9,EM266:EM270,EM272:EM276,EM278:EM282,EM284:EM288,EM290:EM294,EM296:EM300,EM302:EM306,EM308:EM312),"")</f>
        <v>3</v>
      </c>
      <c r="EN264" s="41">
        <f>IF(SUBTOTAL(9,EN266:EN270,EN272:EN276,EN278:EN282,EN284:EN288,EN290:EN294,EN296:EN300,EN302:EN306,EN308:EN312)&gt;0,SUBTOTAL(9,EN266:EN270,EN272:EN276,EN278:EN282,EN284:EN288,EN290:EN294,EN296:EN300,EN302:EN306,EN308:EN312),"")</f>
        <v>2</v>
      </c>
      <c r="EO264" s="41">
        <f>IF(SUBTOTAL(9,EO266:EO270,EO272:EO276,EO278:EO282,EO284:EO288,EO290:EO294,EO296:EO300,EO302:EO306,EO308:EO312)&gt;0,SUBTOTAL(9,EO266:EO270,EO272:EO276,EO278:EO282,EO284:EO288,EO290:EO294,EO296:EO300,EO302:EO306,EO308:EO312),"")</f>
        <v>3</v>
      </c>
      <c r="EP264" s="41">
        <f t="shared" si="6364"/>
        <v>3</v>
      </c>
      <c r="EQ264" s="41">
        <f t="shared" si="6364"/>
        <v>3</v>
      </c>
      <c r="ER264" s="41">
        <f t="shared" ref="ER264:FK264" si="6365">IF(SUBTOTAL(9,ER266:ER270,ER272:ER276,ER278:ER282,ER284:ER288,ER290:ER294,ER296:ER300,ER302:ER306,ER308:ER312)&gt;0,SUBTOTAL(9,ER266:ER270,ER272:ER276,ER278:ER282,ER284:ER288,ER290:ER294,ER296:ER300,ER302:ER306,ER308:ER312),"")</f>
        <v>3</v>
      </c>
      <c r="ES264" s="41">
        <f t="shared" si="6365"/>
        <v>3</v>
      </c>
      <c r="ET264" s="41">
        <f t="shared" si="6365"/>
        <v>2</v>
      </c>
      <c r="EU264" s="41">
        <f t="shared" si="6365"/>
        <v>4</v>
      </c>
      <c r="EV264" s="41">
        <f t="shared" si="6365"/>
        <v>4</v>
      </c>
      <c r="EW264" s="41">
        <f t="shared" si="6365"/>
        <v>4.5</v>
      </c>
      <c r="EX264" s="41">
        <f t="shared" si="6365"/>
        <v>3.5</v>
      </c>
      <c r="EY264" s="33" t="str">
        <f t="shared" si="6365"/>
        <v/>
      </c>
      <c r="EZ264" s="41">
        <f t="shared" si="6365"/>
        <v>3</v>
      </c>
      <c r="FA264" s="41">
        <f t="shared" si="6365"/>
        <v>3</v>
      </c>
      <c r="FB264" s="41">
        <f t="shared" si="6365"/>
        <v>3.5</v>
      </c>
      <c r="FC264" s="41">
        <f t="shared" si="6365"/>
        <v>3.5</v>
      </c>
      <c r="FD264" s="41">
        <f t="shared" si="6365"/>
        <v>3</v>
      </c>
      <c r="FE264" s="41">
        <f t="shared" si="6365"/>
        <v>3.5</v>
      </c>
      <c r="FF264" s="41">
        <f t="shared" si="6365"/>
        <v>3.5</v>
      </c>
      <c r="FG264" s="41">
        <f t="shared" si="6365"/>
        <v>3</v>
      </c>
      <c r="FH264" s="41">
        <f t="shared" si="6365"/>
        <v>4</v>
      </c>
      <c r="FI264" s="41">
        <f t="shared" si="6365"/>
        <v>4</v>
      </c>
      <c r="FJ264" s="41">
        <f t="shared" si="6365"/>
        <v>4</v>
      </c>
      <c r="FK264" s="41">
        <f t="shared" si="6365"/>
        <v>2.5</v>
      </c>
      <c r="FL264" s="41">
        <f t="shared" si="6364"/>
        <v>2.5</v>
      </c>
      <c r="FM264" s="41">
        <f t="shared" si="6364"/>
        <v>1</v>
      </c>
      <c r="FN264" s="41">
        <f t="shared" si="6364"/>
        <v>1</v>
      </c>
      <c r="FO264" s="41">
        <f t="shared" si="6364"/>
        <v>1</v>
      </c>
      <c r="FP264" s="41">
        <f t="shared" si="6364"/>
        <v>1</v>
      </c>
      <c r="FQ264" s="96">
        <f t="shared" si="6364"/>
        <v>1</v>
      </c>
      <c r="FR264" s="8"/>
      <c r="FS264" s="9" t="s">
        <v>131</v>
      </c>
      <c r="FT264" s="9" t="str">
        <f t="shared" si="5254"/>
        <v/>
      </c>
    </row>
    <row r="265" spans="1:176" s="9" customFormat="1" ht="12" customHeight="1">
      <c r="A265" s="119" t="s">
        <v>124</v>
      </c>
      <c r="B265" s="127"/>
      <c r="C265" s="121" t="str">
        <f t="shared" ref="C265:C315" si="6366">ROUND(SUM(E265:FQ265),0) &amp; " days"</f>
        <v>22 days</v>
      </c>
      <c r="D265" s="27"/>
      <c r="E265" s="91" t="str">
        <f t="shared" ref="E265:BP265" si="6367">IF(SUBTOTAL(9,E266:E270)&gt;0,SUBTOTAL(9,E266:E270),"")</f>
        <v/>
      </c>
      <c r="F265" s="34" t="str">
        <f>IF(SUBTOTAL(9,F266:F270)&gt;0,SUBTOTAL(9,F266:F270),"")</f>
        <v/>
      </c>
      <c r="G265" s="34" t="str">
        <f t="shared" si="6367"/>
        <v/>
      </c>
      <c r="H265" s="34" t="str">
        <f t="shared" si="6367"/>
        <v/>
      </c>
      <c r="I265" s="34" t="str">
        <f t="shared" si="6367"/>
        <v/>
      </c>
      <c r="J265" s="34" t="str">
        <f t="shared" si="6367"/>
        <v/>
      </c>
      <c r="K265" s="34" t="str">
        <f t="shared" si="6367"/>
        <v/>
      </c>
      <c r="L265" s="34" t="str">
        <f t="shared" si="6367"/>
        <v/>
      </c>
      <c r="M265" s="34" t="str">
        <f t="shared" si="6367"/>
        <v/>
      </c>
      <c r="N265" s="34" t="str">
        <f t="shared" si="6367"/>
        <v/>
      </c>
      <c r="O265" s="34" t="str">
        <f t="shared" si="6367"/>
        <v/>
      </c>
      <c r="P265" s="34" t="str">
        <f t="shared" si="6367"/>
        <v/>
      </c>
      <c r="Q265" s="34" t="str">
        <f t="shared" si="6367"/>
        <v/>
      </c>
      <c r="R265" s="34" t="str">
        <f t="shared" si="6367"/>
        <v/>
      </c>
      <c r="S265" s="34" t="str">
        <f t="shared" si="6367"/>
        <v/>
      </c>
      <c r="T265" s="34" t="str">
        <f t="shared" si="6367"/>
        <v/>
      </c>
      <c r="U265" s="34" t="str">
        <f t="shared" si="6367"/>
        <v/>
      </c>
      <c r="V265" s="34" t="str">
        <f t="shared" si="6367"/>
        <v/>
      </c>
      <c r="W265" s="34" t="str">
        <f t="shared" si="6367"/>
        <v/>
      </c>
      <c r="X265" s="34" t="str">
        <f t="shared" si="6367"/>
        <v/>
      </c>
      <c r="Y265" s="34" t="str">
        <f t="shared" si="6367"/>
        <v/>
      </c>
      <c r="Z265" s="34" t="str">
        <f t="shared" si="6367"/>
        <v/>
      </c>
      <c r="AA265" s="34" t="str">
        <f t="shared" si="6367"/>
        <v/>
      </c>
      <c r="AB265" s="34" t="str">
        <f t="shared" si="6367"/>
        <v/>
      </c>
      <c r="AC265" s="34" t="str">
        <f t="shared" si="6367"/>
        <v/>
      </c>
      <c r="AD265" s="34" t="str">
        <f t="shared" si="6367"/>
        <v/>
      </c>
      <c r="AE265" s="34" t="str">
        <f t="shared" si="6367"/>
        <v/>
      </c>
      <c r="AF265" s="34" t="str">
        <f t="shared" si="6367"/>
        <v/>
      </c>
      <c r="AG265" s="34" t="str">
        <f t="shared" si="6367"/>
        <v/>
      </c>
      <c r="AH265" s="34" t="str">
        <f t="shared" si="6367"/>
        <v/>
      </c>
      <c r="AI265" s="34" t="str">
        <f t="shared" si="6367"/>
        <v/>
      </c>
      <c r="AJ265" s="34" t="str">
        <f t="shared" si="6367"/>
        <v/>
      </c>
      <c r="AK265" s="34" t="str">
        <f t="shared" si="6367"/>
        <v/>
      </c>
      <c r="AL265" s="33" t="str">
        <f t="shared" si="6367"/>
        <v/>
      </c>
      <c r="AM265" s="33" t="str">
        <f t="shared" si="6367"/>
        <v/>
      </c>
      <c r="AN265" s="33" t="str">
        <f t="shared" si="6367"/>
        <v/>
      </c>
      <c r="AO265" s="33" t="str">
        <f t="shared" si="6367"/>
        <v/>
      </c>
      <c r="AP265" s="33" t="str">
        <f t="shared" si="6367"/>
        <v/>
      </c>
      <c r="AQ265" s="33" t="str">
        <f t="shared" si="6367"/>
        <v/>
      </c>
      <c r="AR265" s="33" t="str">
        <f t="shared" si="6367"/>
        <v/>
      </c>
      <c r="AS265" s="34" t="str">
        <f t="shared" si="6367"/>
        <v/>
      </c>
      <c r="AT265" s="34" t="str">
        <f t="shared" si="6367"/>
        <v/>
      </c>
      <c r="AU265" s="34" t="str">
        <f t="shared" si="6367"/>
        <v/>
      </c>
      <c r="AV265" s="34" t="str">
        <f t="shared" si="6367"/>
        <v/>
      </c>
      <c r="AW265" s="34" t="str">
        <f t="shared" si="6367"/>
        <v/>
      </c>
      <c r="AX265" s="34" t="str">
        <f t="shared" si="6367"/>
        <v/>
      </c>
      <c r="AY265" s="34" t="str">
        <f t="shared" si="6367"/>
        <v/>
      </c>
      <c r="AZ265" s="34" t="str">
        <f t="shared" si="6367"/>
        <v/>
      </c>
      <c r="BA265" s="34" t="str">
        <f t="shared" si="6367"/>
        <v/>
      </c>
      <c r="BB265" s="34" t="str">
        <f t="shared" si="6367"/>
        <v/>
      </c>
      <c r="BC265" s="34" t="str">
        <f t="shared" si="6367"/>
        <v/>
      </c>
      <c r="BD265" s="34" t="str">
        <f t="shared" si="6367"/>
        <v/>
      </c>
      <c r="BE265" s="34" t="str">
        <f t="shared" si="6367"/>
        <v/>
      </c>
      <c r="BF265" s="34" t="str">
        <f t="shared" si="6367"/>
        <v/>
      </c>
      <c r="BG265" s="34" t="str">
        <f t="shared" si="6367"/>
        <v/>
      </c>
      <c r="BH265" s="34" t="str">
        <f t="shared" si="6367"/>
        <v/>
      </c>
      <c r="BI265" s="34" t="str">
        <f t="shared" si="6367"/>
        <v/>
      </c>
      <c r="BJ265" s="34" t="str">
        <f t="shared" si="6367"/>
        <v/>
      </c>
      <c r="BK265" s="34" t="str">
        <f t="shared" si="6367"/>
        <v/>
      </c>
      <c r="BL265" s="34" t="str">
        <f t="shared" si="6367"/>
        <v/>
      </c>
      <c r="BM265" s="34" t="str">
        <f t="shared" si="6367"/>
        <v/>
      </c>
      <c r="BN265" s="34" t="str">
        <f t="shared" si="6367"/>
        <v/>
      </c>
      <c r="BO265" s="34" t="str">
        <f t="shared" si="6367"/>
        <v/>
      </c>
      <c r="BP265" s="34" t="str">
        <f t="shared" si="6367"/>
        <v/>
      </c>
      <c r="BQ265" s="34" t="str">
        <f t="shared" ref="BQ265:EB265" si="6368">IF(SUBTOTAL(9,BQ266:BQ270)&gt;0,SUBTOTAL(9,BQ266:BQ270),"")</f>
        <v/>
      </c>
      <c r="BR265" s="34" t="str">
        <f t="shared" si="6368"/>
        <v/>
      </c>
      <c r="BS265" s="34" t="str">
        <f t="shared" si="6368"/>
        <v/>
      </c>
      <c r="BT265" s="34" t="str">
        <f t="shared" si="6368"/>
        <v/>
      </c>
      <c r="BU265" s="34" t="str">
        <f t="shared" si="6368"/>
        <v/>
      </c>
      <c r="BV265" s="34" t="str">
        <f t="shared" si="6368"/>
        <v/>
      </c>
      <c r="BW265" s="34" t="str">
        <f t="shared" si="6368"/>
        <v/>
      </c>
      <c r="BX265" s="34" t="str">
        <f t="shared" si="6368"/>
        <v/>
      </c>
      <c r="BY265" s="34" t="str">
        <f t="shared" si="6368"/>
        <v/>
      </c>
      <c r="BZ265" s="34" t="str">
        <f t="shared" si="6368"/>
        <v/>
      </c>
      <c r="CA265" s="34" t="str">
        <f t="shared" si="6368"/>
        <v/>
      </c>
      <c r="CB265" s="34" t="str">
        <f t="shared" si="6368"/>
        <v/>
      </c>
      <c r="CC265" s="34" t="str">
        <f t="shared" si="6368"/>
        <v/>
      </c>
      <c r="CD265" s="34" t="str">
        <f t="shared" si="6368"/>
        <v/>
      </c>
      <c r="CE265" s="34" t="str">
        <f t="shared" si="6368"/>
        <v/>
      </c>
      <c r="CF265" s="34" t="str">
        <f t="shared" si="6368"/>
        <v/>
      </c>
      <c r="CG265" s="34" t="str">
        <f t="shared" si="6368"/>
        <v/>
      </c>
      <c r="CH265" s="34" t="str">
        <f t="shared" si="6368"/>
        <v/>
      </c>
      <c r="CI265" s="34" t="str">
        <f t="shared" si="6368"/>
        <v/>
      </c>
      <c r="CJ265" s="34" t="str">
        <f t="shared" si="6368"/>
        <v/>
      </c>
      <c r="CK265" s="34" t="str">
        <f t="shared" si="6368"/>
        <v/>
      </c>
      <c r="CL265" s="34" t="str">
        <f t="shared" si="6368"/>
        <v/>
      </c>
      <c r="CM265" s="34" t="str">
        <f t="shared" si="6368"/>
        <v/>
      </c>
      <c r="CN265" s="34" t="str">
        <f t="shared" si="6368"/>
        <v/>
      </c>
      <c r="CO265" s="34" t="str">
        <f t="shared" si="6368"/>
        <v/>
      </c>
      <c r="CP265" s="34" t="str">
        <f t="shared" si="6368"/>
        <v/>
      </c>
      <c r="CQ265" s="34" t="str">
        <f t="shared" si="6368"/>
        <v/>
      </c>
      <c r="CR265" s="34" t="str">
        <f t="shared" si="6368"/>
        <v/>
      </c>
      <c r="CS265" s="34" t="str">
        <f t="shared" si="6368"/>
        <v/>
      </c>
      <c r="CT265" s="33" t="str">
        <f t="shared" si="6368"/>
        <v/>
      </c>
      <c r="CU265" s="34" t="str">
        <f t="shared" si="6368"/>
        <v/>
      </c>
      <c r="CV265" s="34" t="str">
        <f t="shared" si="6368"/>
        <v/>
      </c>
      <c r="CW265" s="34" t="str">
        <f t="shared" si="6368"/>
        <v/>
      </c>
      <c r="CX265" s="34" t="str">
        <f t="shared" si="6368"/>
        <v/>
      </c>
      <c r="CY265" s="34" t="str">
        <f t="shared" si="6368"/>
        <v/>
      </c>
      <c r="CZ265" s="33" t="str">
        <f t="shared" si="6368"/>
        <v/>
      </c>
      <c r="DA265" s="33" t="str">
        <f t="shared" si="6368"/>
        <v/>
      </c>
      <c r="DB265" s="34" t="str">
        <f t="shared" si="6368"/>
        <v/>
      </c>
      <c r="DC265" s="34" t="str">
        <f t="shared" si="6368"/>
        <v/>
      </c>
      <c r="DD265" s="34" t="str">
        <f t="shared" si="6368"/>
        <v/>
      </c>
      <c r="DE265" s="34" t="str">
        <f t="shared" si="6368"/>
        <v/>
      </c>
      <c r="DF265" s="34" t="str">
        <f t="shared" si="6368"/>
        <v/>
      </c>
      <c r="DG265" s="34" t="str">
        <f t="shared" si="6368"/>
        <v/>
      </c>
      <c r="DH265" s="34" t="str">
        <f t="shared" si="6368"/>
        <v/>
      </c>
      <c r="DI265" s="34" t="str">
        <f t="shared" si="6368"/>
        <v/>
      </c>
      <c r="DJ265" s="34" t="str">
        <f t="shared" si="6368"/>
        <v/>
      </c>
      <c r="DK265" s="34" t="str">
        <f t="shared" si="6368"/>
        <v/>
      </c>
      <c r="DL265" s="34" t="str">
        <f t="shared" si="6368"/>
        <v/>
      </c>
      <c r="DM265" s="34" t="str">
        <f t="shared" si="6368"/>
        <v/>
      </c>
      <c r="DN265" s="34" t="str">
        <f t="shared" si="6368"/>
        <v/>
      </c>
      <c r="DO265" s="34" t="str">
        <f t="shared" si="6368"/>
        <v/>
      </c>
      <c r="DP265" s="34" t="str">
        <f t="shared" si="6368"/>
        <v/>
      </c>
      <c r="DQ265" s="34" t="str">
        <f t="shared" si="6368"/>
        <v/>
      </c>
      <c r="DR265" s="34" t="str">
        <f t="shared" si="6368"/>
        <v/>
      </c>
      <c r="DS265" s="34" t="str">
        <f t="shared" si="6368"/>
        <v/>
      </c>
      <c r="DT265" s="34" t="str">
        <f t="shared" si="6368"/>
        <v/>
      </c>
      <c r="DU265" s="34" t="str">
        <f t="shared" si="6368"/>
        <v/>
      </c>
      <c r="DV265" s="34" t="str">
        <f t="shared" si="6368"/>
        <v/>
      </c>
      <c r="DW265" s="34" t="str">
        <f t="shared" si="6368"/>
        <v/>
      </c>
      <c r="DX265" s="34">
        <f t="shared" si="6368"/>
        <v>2</v>
      </c>
      <c r="DY265" s="34">
        <f t="shared" si="6368"/>
        <v>2</v>
      </c>
      <c r="DZ265" s="33" t="str">
        <f t="shared" si="6368"/>
        <v/>
      </c>
      <c r="EA265" s="34">
        <f t="shared" si="6368"/>
        <v>3</v>
      </c>
      <c r="EB265" s="34">
        <f t="shared" si="6368"/>
        <v>3</v>
      </c>
      <c r="EC265" s="34">
        <f t="shared" ref="EC265:FQ265" si="6369">IF(SUBTOTAL(9,EC266:EC270)&gt;0,SUBTOTAL(9,EC266:EC270),"")</f>
        <v>3</v>
      </c>
      <c r="ED265" s="34">
        <f t="shared" si="6369"/>
        <v>2</v>
      </c>
      <c r="EE265" s="34">
        <f t="shared" si="6369"/>
        <v>2</v>
      </c>
      <c r="EF265" s="34">
        <f t="shared" si="6369"/>
        <v>1</v>
      </c>
      <c r="EG265" s="34">
        <f t="shared" si="6369"/>
        <v>1</v>
      </c>
      <c r="EH265" s="34">
        <f t="shared" si="6369"/>
        <v>1</v>
      </c>
      <c r="EI265" s="34" t="str">
        <f t="shared" si="6369"/>
        <v/>
      </c>
      <c r="EJ265" s="34">
        <f t="shared" si="6369"/>
        <v>1</v>
      </c>
      <c r="EK265" s="34">
        <f t="shared" si="6369"/>
        <v>1</v>
      </c>
      <c r="EL265" s="34" t="str">
        <f t="shared" si="6369"/>
        <v/>
      </c>
      <c r="EM265" s="34" t="str">
        <f t="shared" si="6369"/>
        <v/>
      </c>
      <c r="EN265" s="34" t="str">
        <f t="shared" si="6369"/>
        <v/>
      </c>
      <c r="EO265" s="34" t="str">
        <f t="shared" si="6369"/>
        <v/>
      </c>
      <c r="EP265" s="34" t="str">
        <f t="shared" si="6369"/>
        <v/>
      </c>
      <c r="EQ265" s="34" t="str">
        <f t="shared" si="6369"/>
        <v/>
      </c>
      <c r="ER265" s="34" t="str">
        <f t="shared" si="6369"/>
        <v/>
      </c>
      <c r="ES265" s="34" t="str">
        <f t="shared" si="6369"/>
        <v/>
      </c>
      <c r="ET265" s="34" t="str">
        <f t="shared" si="6369"/>
        <v/>
      </c>
      <c r="EU265" s="34" t="str">
        <f t="shared" si="6369"/>
        <v/>
      </c>
      <c r="EV265" s="34" t="str">
        <f t="shared" si="6369"/>
        <v/>
      </c>
      <c r="EW265" s="34" t="str">
        <f t="shared" si="6369"/>
        <v/>
      </c>
      <c r="EX265" s="34" t="str">
        <f t="shared" si="6369"/>
        <v/>
      </c>
      <c r="EY265" s="33" t="str">
        <f t="shared" si="6369"/>
        <v/>
      </c>
      <c r="EZ265" s="34" t="str">
        <f t="shared" si="6369"/>
        <v/>
      </c>
      <c r="FA265" s="34" t="str">
        <f t="shared" si="6369"/>
        <v/>
      </c>
      <c r="FB265" s="34" t="str">
        <f t="shared" si="6369"/>
        <v/>
      </c>
      <c r="FC265" s="34" t="str">
        <f t="shared" si="6369"/>
        <v/>
      </c>
      <c r="FD265" s="34" t="str">
        <f t="shared" si="6369"/>
        <v/>
      </c>
      <c r="FE265" s="34" t="str">
        <f t="shared" si="6369"/>
        <v/>
      </c>
      <c r="FF265" s="34" t="str">
        <f t="shared" si="6369"/>
        <v/>
      </c>
      <c r="FG265" s="34" t="str">
        <f t="shared" si="6369"/>
        <v/>
      </c>
      <c r="FH265" s="34" t="str">
        <f t="shared" si="6369"/>
        <v/>
      </c>
      <c r="FI265" s="34" t="str">
        <f t="shared" si="6369"/>
        <v/>
      </c>
      <c r="FJ265" s="34" t="str">
        <f t="shared" si="6369"/>
        <v/>
      </c>
      <c r="FK265" s="34" t="str">
        <f t="shared" si="6369"/>
        <v/>
      </c>
      <c r="FL265" s="34" t="str">
        <f t="shared" si="6369"/>
        <v/>
      </c>
      <c r="FM265" s="34" t="str">
        <f t="shared" si="6369"/>
        <v/>
      </c>
      <c r="FN265" s="34" t="str">
        <f t="shared" si="6369"/>
        <v/>
      </c>
      <c r="FO265" s="34" t="str">
        <f t="shared" si="6369"/>
        <v/>
      </c>
      <c r="FP265" s="34" t="str">
        <f t="shared" si="6369"/>
        <v/>
      </c>
      <c r="FQ265" s="92" t="str">
        <f t="shared" si="6369"/>
        <v/>
      </c>
      <c r="FR265" s="8"/>
      <c r="FS265" s="9" t="s">
        <v>131</v>
      </c>
      <c r="FT265" s="9" t="str">
        <f t="shared" si="5254"/>
        <v/>
      </c>
    </row>
    <row r="266" spans="1:176" s="9" customFormat="1" ht="12" hidden="1" customHeight="1" outlineLevel="1">
      <c r="A266" s="125" t="s">
        <v>4</v>
      </c>
      <c r="B266" s="123" t="s">
        <v>16</v>
      </c>
      <c r="C266" s="124" t="str">
        <f t="shared" si="6366"/>
        <v>5 days</v>
      </c>
      <c r="D266" s="13" t="str">
        <f>$A$264&amp;" "&amp;$A265</f>
        <v>10. BAU Transition 10.1 Opening Balances</v>
      </c>
      <c r="E266" s="51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5"/>
      <c r="AE266" s="35"/>
      <c r="AF266" s="35"/>
      <c r="AG266" s="35"/>
      <c r="AH266" s="35"/>
      <c r="AI266" s="35"/>
      <c r="AJ266" s="35"/>
      <c r="AK266" s="35"/>
      <c r="AL266" s="36"/>
      <c r="AM266" s="36"/>
      <c r="AN266" s="36"/>
      <c r="AO266" s="36"/>
      <c r="AP266" s="36"/>
      <c r="AQ266" s="36"/>
      <c r="AR266" s="36"/>
      <c r="AS266" s="35"/>
      <c r="AT266" s="35"/>
      <c r="AU266" s="35"/>
      <c r="AV266" s="35"/>
      <c r="AW266" s="35"/>
      <c r="AX266" s="35"/>
      <c r="AY266" s="35"/>
      <c r="AZ266" s="35"/>
      <c r="BA266" s="35"/>
      <c r="BB266" s="35"/>
      <c r="BC266" s="35"/>
      <c r="BD266" s="35"/>
      <c r="BE266" s="35"/>
      <c r="BF266" s="35"/>
      <c r="BG266" s="35"/>
      <c r="BH266" s="35"/>
      <c r="BI266" s="35"/>
      <c r="BJ266" s="35"/>
      <c r="BK266" s="35"/>
      <c r="BL266" s="35"/>
      <c r="BM266" s="35"/>
      <c r="BN266" s="35"/>
      <c r="BO266" s="35"/>
      <c r="BP266" s="35"/>
      <c r="BQ266" s="35"/>
      <c r="BR266" s="35"/>
      <c r="BS266" s="35"/>
      <c r="BT266" s="35"/>
      <c r="BU266" s="35"/>
      <c r="BV266" s="35"/>
      <c r="BW266" s="35"/>
      <c r="BX266" s="35"/>
      <c r="BY266" s="35"/>
      <c r="BZ266" s="35"/>
      <c r="CA266" s="35"/>
      <c r="CB266" s="35"/>
      <c r="CC266" s="35"/>
      <c r="CD266" s="35"/>
      <c r="CE266" s="35"/>
      <c r="CF266" s="35"/>
      <c r="CG266" s="35"/>
      <c r="CH266" s="35"/>
      <c r="CI266" s="35"/>
      <c r="CJ266" s="35"/>
      <c r="CK266" s="35"/>
      <c r="CL266" s="35"/>
      <c r="CM266" s="35"/>
      <c r="CN266" s="35"/>
      <c r="CO266" s="35"/>
      <c r="CP266" s="35"/>
      <c r="CQ266" s="35"/>
      <c r="CR266" s="35"/>
      <c r="CS266" s="35"/>
      <c r="CT266" s="36"/>
      <c r="CU266" s="35"/>
      <c r="CV266" s="35"/>
      <c r="CW266" s="35"/>
      <c r="CX266" s="35"/>
      <c r="CY266" s="35"/>
      <c r="CZ266" s="36"/>
      <c r="DA266" s="36"/>
      <c r="DB266" s="35"/>
      <c r="DC266" s="35"/>
      <c r="DD266" s="35"/>
      <c r="DE266" s="35"/>
      <c r="DF266" s="35"/>
      <c r="DG266" s="35"/>
      <c r="DH266" s="35"/>
      <c r="DI266" s="35"/>
      <c r="DJ266" s="35"/>
      <c r="DK266" s="35"/>
      <c r="DL266" s="35"/>
      <c r="DM266" s="35"/>
      <c r="DN266" s="35"/>
      <c r="DO266" s="35"/>
      <c r="DP266" s="35"/>
      <c r="DQ266" s="35"/>
      <c r="DR266" s="35"/>
      <c r="DS266" s="35"/>
      <c r="DT266" s="35"/>
      <c r="DU266" s="35"/>
      <c r="DV266" s="35"/>
      <c r="DW266" s="35"/>
      <c r="DX266" s="35">
        <v>1</v>
      </c>
      <c r="DY266" s="35">
        <v>1</v>
      </c>
      <c r="DZ266" s="36"/>
      <c r="EA266" s="35">
        <v>1</v>
      </c>
      <c r="EB266" s="35">
        <v>1</v>
      </c>
      <c r="EC266" s="35">
        <v>1</v>
      </c>
      <c r="ED266" s="35"/>
      <c r="EE266" s="35"/>
      <c r="EF266" s="35"/>
      <c r="EG266" s="35"/>
      <c r="EH266" s="35"/>
      <c r="EI266" s="35"/>
      <c r="EJ266" s="35"/>
      <c r="EK266" s="35"/>
      <c r="EL266" s="35"/>
      <c r="EM266" s="35"/>
      <c r="EN266" s="35"/>
      <c r="EO266" s="35"/>
      <c r="EP266" s="35"/>
      <c r="EQ266" s="35"/>
      <c r="ER266" s="35"/>
      <c r="ES266" s="35"/>
      <c r="ET266" s="35"/>
      <c r="EU266" s="35"/>
      <c r="EV266" s="35"/>
      <c r="EW266" s="35"/>
      <c r="EX266" s="35"/>
      <c r="EY266" s="36"/>
      <c r="EZ266" s="35"/>
      <c r="FA266" s="35"/>
      <c r="FB266" s="35"/>
      <c r="FC266" s="35"/>
      <c r="FD266" s="35"/>
      <c r="FE266" s="35"/>
      <c r="FF266" s="35"/>
      <c r="FG266" s="35"/>
      <c r="FH266" s="35"/>
      <c r="FI266" s="35"/>
      <c r="FJ266" s="35"/>
      <c r="FK266" s="35"/>
      <c r="FL266" s="35"/>
      <c r="FM266" s="35"/>
      <c r="FN266" s="35"/>
      <c r="FO266" s="35"/>
      <c r="FP266" s="35"/>
      <c r="FQ266" s="52"/>
      <c r="FR266" s="8"/>
      <c r="FS266" s="9" t="s">
        <v>13</v>
      </c>
      <c r="FT266" s="9" t="str">
        <f t="shared" si="5254"/>
        <v>10. BAU Transition 10.1 Opening BalancesJunior Accountant</v>
      </c>
    </row>
    <row r="267" spans="1:176" s="9" customFormat="1" ht="12" hidden="1" customHeight="1" outlineLevel="1">
      <c r="A267" s="125" t="s">
        <v>4</v>
      </c>
      <c r="B267" s="123" t="s">
        <v>17</v>
      </c>
      <c r="C267" s="124" t="str">
        <f t="shared" si="6366"/>
        <v>8 days</v>
      </c>
      <c r="D267" s="13" t="str">
        <f>$A$264&amp;" "&amp;$A265</f>
        <v>10. BAU Transition 10.1 Opening Balances</v>
      </c>
      <c r="E267" s="51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5"/>
      <c r="AE267" s="35"/>
      <c r="AF267" s="35"/>
      <c r="AG267" s="35"/>
      <c r="AH267" s="35"/>
      <c r="AI267" s="35"/>
      <c r="AJ267" s="35"/>
      <c r="AK267" s="35"/>
      <c r="AL267" s="36"/>
      <c r="AM267" s="36"/>
      <c r="AN267" s="36"/>
      <c r="AO267" s="36"/>
      <c r="AP267" s="36"/>
      <c r="AQ267" s="36"/>
      <c r="AR267" s="36"/>
      <c r="AS267" s="35"/>
      <c r="AT267" s="35"/>
      <c r="AU267" s="35"/>
      <c r="AV267" s="35"/>
      <c r="AW267" s="35"/>
      <c r="AX267" s="35"/>
      <c r="AY267" s="35"/>
      <c r="AZ267" s="35"/>
      <c r="BA267" s="35"/>
      <c r="BB267" s="35"/>
      <c r="BC267" s="35"/>
      <c r="BD267" s="35"/>
      <c r="BE267" s="35"/>
      <c r="BF267" s="35"/>
      <c r="BG267" s="35"/>
      <c r="BH267" s="35"/>
      <c r="BI267" s="35"/>
      <c r="BJ267" s="35"/>
      <c r="BK267" s="35"/>
      <c r="BL267" s="35"/>
      <c r="BM267" s="35"/>
      <c r="BN267" s="35"/>
      <c r="BO267" s="35"/>
      <c r="BP267" s="35"/>
      <c r="BQ267" s="35"/>
      <c r="BR267" s="35"/>
      <c r="BS267" s="35"/>
      <c r="BT267" s="35"/>
      <c r="BU267" s="35"/>
      <c r="BV267" s="35"/>
      <c r="BW267" s="35"/>
      <c r="BX267" s="35"/>
      <c r="BY267" s="35"/>
      <c r="BZ267" s="35"/>
      <c r="CA267" s="35"/>
      <c r="CB267" s="35"/>
      <c r="CC267" s="35"/>
      <c r="CD267" s="35"/>
      <c r="CE267" s="35"/>
      <c r="CF267" s="35"/>
      <c r="CG267" s="35"/>
      <c r="CH267" s="35"/>
      <c r="CI267" s="35"/>
      <c r="CJ267" s="35"/>
      <c r="CK267" s="35"/>
      <c r="CL267" s="35"/>
      <c r="CM267" s="35"/>
      <c r="CN267" s="35"/>
      <c r="CO267" s="35"/>
      <c r="CP267" s="35"/>
      <c r="CQ267" s="35"/>
      <c r="CR267" s="35"/>
      <c r="CS267" s="35"/>
      <c r="CT267" s="36"/>
      <c r="CU267" s="35"/>
      <c r="CV267" s="35"/>
      <c r="CW267" s="35"/>
      <c r="CX267" s="35"/>
      <c r="CY267" s="35"/>
      <c r="CZ267" s="36"/>
      <c r="DA267" s="36"/>
      <c r="DB267" s="35"/>
      <c r="DC267" s="35"/>
      <c r="DD267" s="35"/>
      <c r="DE267" s="35"/>
      <c r="DF267" s="35"/>
      <c r="DG267" s="35"/>
      <c r="DH267" s="35"/>
      <c r="DI267" s="35"/>
      <c r="DJ267" s="35"/>
      <c r="DK267" s="35"/>
      <c r="DL267" s="35"/>
      <c r="DM267" s="35"/>
      <c r="DN267" s="35"/>
      <c r="DO267" s="35"/>
      <c r="DP267" s="35"/>
      <c r="DQ267" s="35"/>
      <c r="DR267" s="35"/>
      <c r="DS267" s="35"/>
      <c r="DT267" s="35"/>
      <c r="DU267" s="35"/>
      <c r="DV267" s="35"/>
      <c r="DW267" s="35"/>
      <c r="DX267" s="35">
        <v>1</v>
      </c>
      <c r="DY267" s="35">
        <v>1</v>
      </c>
      <c r="DZ267" s="36"/>
      <c r="EA267" s="35">
        <v>1</v>
      </c>
      <c r="EB267" s="35">
        <v>1</v>
      </c>
      <c r="EC267" s="35">
        <v>1</v>
      </c>
      <c r="ED267" s="35">
        <v>1</v>
      </c>
      <c r="EE267" s="35">
        <v>1</v>
      </c>
      <c r="EF267" s="35">
        <v>1</v>
      </c>
      <c r="EG267" s="35"/>
      <c r="EH267" s="35"/>
      <c r="EI267" s="35"/>
      <c r="EJ267" s="35"/>
      <c r="EK267" s="35"/>
      <c r="EL267" s="35"/>
      <c r="EM267" s="35"/>
      <c r="EN267" s="35"/>
      <c r="EO267" s="35"/>
      <c r="EP267" s="35"/>
      <c r="EQ267" s="35"/>
      <c r="ER267" s="35"/>
      <c r="ES267" s="35"/>
      <c r="ET267" s="35"/>
      <c r="EU267" s="35"/>
      <c r="EV267" s="35"/>
      <c r="EW267" s="35"/>
      <c r="EX267" s="35"/>
      <c r="EY267" s="36"/>
      <c r="EZ267" s="35"/>
      <c r="FA267" s="35"/>
      <c r="FB267" s="35"/>
      <c r="FC267" s="35"/>
      <c r="FD267" s="35"/>
      <c r="FE267" s="35"/>
      <c r="FF267" s="35"/>
      <c r="FG267" s="35"/>
      <c r="FH267" s="35"/>
      <c r="FI267" s="35"/>
      <c r="FJ267" s="35"/>
      <c r="FK267" s="35"/>
      <c r="FL267" s="35"/>
      <c r="FM267" s="35"/>
      <c r="FN267" s="35"/>
      <c r="FO267" s="35"/>
      <c r="FP267" s="35"/>
      <c r="FQ267" s="52"/>
      <c r="FR267" s="8"/>
      <c r="FS267" s="9" t="s">
        <v>13</v>
      </c>
      <c r="FT267" s="9" t="str">
        <f t="shared" si="5254"/>
        <v>10. BAU Transition 10.1 Opening BalancesSenior Accountant</v>
      </c>
    </row>
    <row r="268" spans="1:176" s="9" customFormat="1" ht="12" hidden="1" customHeight="1" outlineLevel="1">
      <c r="A268" s="125" t="s">
        <v>4</v>
      </c>
      <c r="B268" s="130" t="s">
        <v>10</v>
      </c>
      <c r="C268" s="131" t="str">
        <f t="shared" si="6366"/>
        <v>4 days</v>
      </c>
      <c r="D268" s="101" t="str">
        <f>$A$264&amp;" "&amp;$A265</f>
        <v>10. BAU Transition 10.1 Opening Balances</v>
      </c>
      <c r="E268" s="51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5"/>
      <c r="AE268" s="35"/>
      <c r="AF268" s="35"/>
      <c r="AG268" s="35"/>
      <c r="AH268" s="35"/>
      <c r="AI268" s="35"/>
      <c r="AJ268" s="35"/>
      <c r="AK268" s="35"/>
      <c r="AL268" s="36"/>
      <c r="AM268" s="36"/>
      <c r="AN268" s="36"/>
      <c r="AO268" s="36"/>
      <c r="AP268" s="36"/>
      <c r="AQ268" s="36"/>
      <c r="AR268" s="36"/>
      <c r="AS268" s="35"/>
      <c r="AT268" s="35"/>
      <c r="AU268" s="35"/>
      <c r="AV268" s="35"/>
      <c r="AW268" s="35"/>
      <c r="AX268" s="35"/>
      <c r="AY268" s="35"/>
      <c r="AZ268" s="35"/>
      <c r="BA268" s="35"/>
      <c r="BB268" s="35"/>
      <c r="BC268" s="35"/>
      <c r="BD268" s="35"/>
      <c r="BE268" s="35"/>
      <c r="BF268" s="35"/>
      <c r="BG268" s="35"/>
      <c r="BH268" s="35"/>
      <c r="BI268" s="35"/>
      <c r="BJ268" s="35"/>
      <c r="BK268" s="35"/>
      <c r="BL268" s="35"/>
      <c r="BM268" s="35"/>
      <c r="BN268" s="35"/>
      <c r="BO268" s="35"/>
      <c r="BP268" s="35"/>
      <c r="BQ268" s="35"/>
      <c r="BR268" s="35"/>
      <c r="BS268" s="35"/>
      <c r="BT268" s="35"/>
      <c r="BU268" s="35"/>
      <c r="BV268" s="35"/>
      <c r="BW268" s="35"/>
      <c r="BX268" s="35"/>
      <c r="BY268" s="35"/>
      <c r="BZ268" s="35"/>
      <c r="CA268" s="35"/>
      <c r="CB268" s="35"/>
      <c r="CC268" s="35"/>
      <c r="CD268" s="35"/>
      <c r="CE268" s="35"/>
      <c r="CF268" s="35"/>
      <c r="CG268" s="35"/>
      <c r="CH268" s="35"/>
      <c r="CI268" s="35"/>
      <c r="CJ268" s="35"/>
      <c r="CK268" s="35"/>
      <c r="CL268" s="35"/>
      <c r="CM268" s="35"/>
      <c r="CN268" s="35"/>
      <c r="CO268" s="35"/>
      <c r="CP268" s="35"/>
      <c r="CQ268" s="35"/>
      <c r="CR268" s="35"/>
      <c r="CS268" s="35"/>
      <c r="CT268" s="36"/>
      <c r="CU268" s="35"/>
      <c r="CV268" s="35"/>
      <c r="CW268" s="35"/>
      <c r="CX268" s="35"/>
      <c r="CY268" s="35"/>
      <c r="CZ268" s="36"/>
      <c r="DA268" s="36"/>
      <c r="DB268" s="35"/>
      <c r="DC268" s="35"/>
      <c r="DD268" s="35"/>
      <c r="DE268" s="35"/>
      <c r="DF268" s="35"/>
      <c r="DG268" s="35"/>
      <c r="DH268" s="35"/>
      <c r="DI268" s="35"/>
      <c r="DJ268" s="35"/>
      <c r="DK268" s="35"/>
      <c r="DL268" s="35"/>
      <c r="DM268" s="35"/>
      <c r="DN268" s="35"/>
      <c r="DO268" s="35"/>
      <c r="DP268" s="35"/>
      <c r="DQ268" s="35"/>
      <c r="DR268" s="35"/>
      <c r="DS268" s="35"/>
      <c r="DT268" s="35"/>
      <c r="DU268" s="35"/>
      <c r="DV268" s="35"/>
      <c r="DW268" s="35"/>
      <c r="DX268" s="35"/>
      <c r="DY268" s="35"/>
      <c r="DZ268" s="36"/>
      <c r="EA268" s="35"/>
      <c r="EB268" s="93"/>
      <c r="EC268" s="93"/>
      <c r="ED268" s="93"/>
      <c r="EE268" s="93"/>
      <c r="EF268" s="93"/>
      <c r="EG268" s="35">
        <v>1</v>
      </c>
      <c r="EH268" s="35">
        <v>1</v>
      </c>
      <c r="EI268" s="35"/>
      <c r="EJ268" s="35">
        <v>1</v>
      </c>
      <c r="EK268" s="35">
        <v>1</v>
      </c>
      <c r="EL268" s="35"/>
      <c r="EM268" s="35"/>
      <c r="EN268" s="35"/>
      <c r="EO268" s="35"/>
      <c r="EP268" s="35"/>
      <c r="EQ268" s="35"/>
      <c r="ER268" s="35"/>
      <c r="ES268" s="35"/>
      <c r="ET268" s="35"/>
      <c r="EU268" s="35"/>
      <c r="EV268" s="35"/>
      <c r="EW268" s="35"/>
      <c r="EX268" s="35"/>
      <c r="EY268" s="36"/>
      <c r="EZ268" s="35"/>
      <c r="FA268" s="35"/>
      <c r="FB268" s="35"/>
      <c r="FC268" s="35"/>
      <c r="FD268" s="35"/>
      <c r="FE268" s="35"/>
      <c r="FF268" s="35"/>
      <c r="FG268" s="35"/>
      <c r="FH268" s="35"/>
      <c r="FI268" s="35"/>
      <c r="FJ268" s="35"/>
      <c r="FK268" s="35"/>
      <c r="FL268" s="35"/>
      <c r="FM268" s="35"/>
      <c r="FN268" s="35"/>
      <c r="FO268" s="35"/>
      <c r="FP268" s="35"/>
      <c r="FQ268" s="52"/>
      <c r="FR268" s="8"/>
      <c r="FS268" s="9" t="s">
        <v>13</v>
      </c>
      <c r="FT268" s="9" t="str">
        <f t="shared" ref="FT268:FT331" si="6370">CONCATENATE(D268,B268)</f>
        <v>10. BAU Transition 10.1 Opening BalancesGlenn Kirk</v>
      </c>
    </row>
    <row r="269" spans="1:176" s="9" customFormat="1" ht="12" hidden="1" customHeight="1" outlineLevel="1">
      <c r="A269" s="125" t="s">
        <v>4</v>
      </c>
      <c r="B269" s="123" t="s">
        <v>18</v>
      </c>
      <c r="C269" s="124" t="str">
        <f t="shared" si="6366"/>
        <v>5 days</v>
      </c>
      <c r="D269" s="13" t="str">
        <f>$A$264&amp;" "&amp;$A265</f>
        <v>10. BAU Transition 10.1 Opening Balances</v>
      </c>
      <c r="E269" s="51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5"/>
      <c r="AE269" s="35"/>
      <c r="AF269" s="35"/>
      <c r="AG269" s="35"/>
      <c r="AH269" s="35"/>
      <c r="AI269" s="35"/>
      <c r="AJ269" s="35"/>
      <c r="AK269" s="35"/>
      <c r="AL269" s="36"/>
      <c r="AM269" s="36"/>
      <c r="AN269" s="36"/>
      <c r="AO269" s="36"/>
      <c r="AP269" s="36"/>
      <c r="AQ269" s="36"/>
      <c r="AR269" s="36"/>
      <c r="AS269" s="35"/>
      <c r="AT269" s="35"/>
      <c r="AU269" s="35"/>
      <c r="AV269" s="35"/>
      <c r="AW269" s="35"/>
      <c r="AX269" s="35"/>
      <c r="AY269" s="35"/>
      <c r="AZ269" s="35"/>
      <c r="BA269" s="35"/>
      <c r="BB269" s="35"/>
      <c r="BC269" s="35"/>
      <c r="BD269" s="35"/>
      <c r="BE269" s="35"/>
      <c r="BF269" s="35"/>
      <c r="BG269" s="35"/>
      <c r="BH269" s="35"/>
      <c r="BI269" s="35"/>
      <c r="BJ269" s="35"/>
      <c r="BK269" s="35"/>
      <c r="BL269" s="35"/>
      <c r="BM269" s="35"/>
      <c r="BN269" s="35"/>
      <c r="BO269" s="35"/>
      <c r="BP269" s="35"/>
      <c r="BQ269" s="35"/>
      <c r="BR269" s="35"/>
      <c r="BS269" s="35"/>
      <c r="BT269" s="35"/>
      <c r="BU269" s="35"/>
      <c r="BV269" s="35"/>
      <c r="BW269" s="35"/>
      <c r="BX269" s="35"/>
      <c r="BY269" s="35"/>
      <c r="BZ269" s="35"/>
      <c r="CA269" s="35"/>
      <c r="CB269" s="35"/>
      <c r="CC269" s="35"/>
      <c r="CD269" s="35"/>
      <c r="CE269" s="35"/>
      <c r="CF269" s="35"/>
      <c r="CG269" s="35"/>
      <c r="CH269" s="35"/>
      <c r="CI269" s="35"/>
      <c r="CJ269" s="35"/>
      <c r="CK269" s="35"/>
      <c r="CL269" s="35"/>
      <c r="CM269" s="35"/>
      <c r="CN269" s="35"/>
      <c r="CO269" s="35"/>
      <c r="CP269" s="35"/>
      <c r="CQ269" s="35"/>
      <c r="CR269" s="35"/>
      <c r="CS269" s="35"/>
      <c r="CT269" s="36"/>
      <c r="CU269" s="35"/>
      <c r="CV269" s="35"/>
      <c r="CW269" s="35"/>
      <c r="CX269" s="35"/>
      <c r="CY269" s="35"/>
      <c r="CZ269" s="36"/>
      <c r="DA269" s="36"/>
      <c r="DB269" s="35"/>
      <c r="DC269" s="35"/>
      <c r="DD269" s="35"/>
      <c r="DE269" s="35"/>
      <c r="DF269" s="35"/>
      <c r="DG269" s="35"/>
      <c r="DH269" s="35"/>
      <c r="DI269" s="35"/>
      <c r="DJ269" s="35"/>
      <c r="DK269" s="35"/>
      <c r="DL269" s="35"/>
      <c r="DM269" s="35"/>
      <c r="DN269" s="35"/>
      <c r="DO269" s="35"/>
      <c r="DP269" s="35"/>
      <c r="DQ269" s="35"/>
      <c r="DR269" s="35"/>
      <c r="DS269" s="35"/>
      <c r="DT269" s="35"/>
      <c r="DU269" s="35"/>
      <c r="DV269" s="35"/>
      <c r="DW269" s="35"/>
      <c r="DX269" s="35"/>
      <c r="DY269" s="35"/>
      <c r="DZ269" s="36"/>
      <c r="EA269" s="35">
        <v>1</v>
      </c>
      <c r="EB269" s="35">
        <v>1</v>
      </c>
      <c r="EC269" s="35">
        <v>1</v>
      </c>
      <c r="ED269" s="35">
        <v>1</v>
      </c>
      <c r="EE269" s="35">
        <v>1</v>
      </c>
      <c r="EF269" s="35"/>
      <c r="EG269" s="35"/>
      <c r="EH269" s="35"/>
      <c r="EI269" s="35"/>
      <c r="EJ269" s="35"/>
      <c r="EK269" s="35"/>
      <c r="EL269" s="35"/>
      <c r="EM269" s="35"/>
      <c r="EN269" s="35"/>
      <c r="EO269" s="35"/>
      <c r="EP269" s="35"/>
      <c r="EQ269" s="35"/>
      <c r="ER269" s="35"/>
      <c r="ES269" s="35"/>
      <c r="ET269" s="35"/>
      <c r="EU269" s="35"/>
      <c r="EV269" s="35"/>
      <c r="EW269" s="35"/>
      <c r="EX269" s="35"/>
      <c r="EY269" s="36"/>
      <c r="EZ269" s="35"/>
      <c r="FA269" s="35"/>
      <c r="FB269" s="35"/>
      <c r="FC269" s="35"/>
      <c r="FD269" s="35"/>
      <c r="FE269" s="35"/>
      <c r="FF269" s="35"/>
      <c r="FG269" s="35"/>
      <c r="FH269" s="35"/>
      <c r="FI269" s="35"/>
      <c r="FJ269" s="35"/>
      <c r="FK269" s="35"/>
      <c r="FL269" s="35"/>
      <c r="FM269" s="35"/>
      <c r="FN269" s="35"/>
      <c r="FO269" s="35"/>
      <c r="FP269" s="35"/>
      <c r="FQ269" s="52"/>
      <c r="FR269" s="8"/>
      <c r="FS269" s="9" t="s">
        <v>13</v>
      </c>
      <c r="FT269" s="9" t="str">
        <f t="shared" si="6370"/>
        <v>10. BAU Transition 10.1 Opening BalancesTM1 Analyst</v>
      </c>
    </row>
    <row r="270" spans="1:176" s="9" customFormat="1" ht="12" hidden="1" customHeight="1" outlineLevel="1">
      <c r="A270" s="125"/>
      <c r="B270" s="123"/>
      <c r="C270" s="124" t="str">
        <f t="shared" si="6366"/>
        <v>0 days</v>
      </c>
      <c r="D270" s="13" t="str">
        <f>$A$264&amp;" "&amp;$A265</f>
        <v>10. BAU Transition 10.1 Opening Balances</v>
      </c>
      <c r="E270" s="51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5"/>
      <c r="AE270" s="35"/>
      <c r="AF270" s="35"/>
      <c r="AG270" s="35"/>
      <c r="AH270" s="35"/>
      <c r="AI270" s="35"/>
      <c r="AJ270" s="35"/>
      <c r="AK270" s="35"/>
      <c r="AL270" s="36"/>
      <c r="AM270" s="36"/>
      <c r="AN270" s="36"/>
      <c r="AO270" s="36"/>
      <c r="AP270" s="36"/>
      <c r="AQ270" s="36"/>
      <c r="AR270" s="36"/>
      <c r="AS270" s="35"/>
      <c r="AT270" s="35"/>
      <c r="AU270" s="35"/>
      <c r="AV270" s="35"/>
      <c r="AW270" s="35"/>
      <c r="AX270" s="35"/>
      <c r="AY270" s="35"/>
      <c r="AZ270" s="35"/>
      <c r="BA270" s="35"/>
      <c r="BB270" s="35"/>
      <c r="BC270" s="35"/>
      <c r="BD270" s="35"/>
      <c r="BE270" s="35"/>
      <c r="BF270" s="35"/>
      <c r="BG270" s="35"/>
      <c r="BH270" s="35"/>
      <c r="BI270" s="35"/>
      <c r="BJ270" s="35"/>
      <c r="BK270" s="35"/>
      <c r="BL270" s="35"/>
      <c r="BM270" s="35"/>
      <c r="BN270" s="35"/>
      <c r="BO270" s="35"/>
      <c r="BP270" s="35"/>
      <c r="BQ270" s="35"/>
      <c r="BR270" s="35"/>
      <c r="BS270" s="35"/>
      <c r="BT270" s="35"/>
      <c r="BU270" s="35"/>
      <c r="BV270" s="35"/>
      <c r="BW270" s="35"/>
      <c r="BX270" s="35"/>
      <c r="BY270" s="35"/>
      <c r="BZ270" s="35"/>
      <c r="CA270" s="35"/>
      <c r="CB270" s="35"/>
      <c r="CC270" s="35"/>
      <c r="CD270" s="35"/>
      <c r="CE270" s="35"/>
      <c r="CF270" s="35"/>
      <c r="CG270" s="35"/>
      <c r="CH270" s="35"/>
      <c r="CI270" s="35"/>
      <c r="CJ270" s="35"/>
      <c r="CK270" s="35"/>
      <c r="CL270" s="35"/>
      <c r="CM270" s="35"/>
      <c r="CN270" s="35"/>
      <c r="CO270" s="35"/>
      <c r="CP270" s="35"/>
      <c r="CQ270" s="35"/>
      <c r="CR270" s="35"/>
      <c r="CS270" s="35"/>
      <c r="CT270" s="36"/>
      <c r="CU270" s="35"/>
      <c r="CV270" s="35"/>
      <c r="CW270" s="35"/>
      <c r="CX270" s="35"/>
      <c r="CY270" s="35"/>
      <c r="CZ270" s="36"/>
      <c r="DA270" s="36"/>
      <c r="DB270" s="35"/>
      <c r="DC270" s="35"/>
      <c r="DD270" s="35"/>
      <c r="DE270" s="35"/>
      <c r="DF270" s="35"/>
      <c r="DG270" s="35"/>
      <c r="DH270" s="35"/>
      <c r="DI270" s="35"/>
      <c r="DJ270" s="35"/>
      <c r="DK270" s="35"/>
      <c r="DL270" s="35"/>
      <c r="DM270" s="35"/>
      <c r="DN270" s="35"/>
      <c r="DO270" s="35"/>
      <c r="DP270" s="35"/>
      <c r="DQ270" s="35"/>
      <c r="DR270" s="35"/>
      <c r="DS270" s="35"/>
      <c r="DT270" s="35"/>
      <c r="DU270" s="35"/>
      <c r="DV270" s="35"/>
      <c r="DW270" s="35"/>
      <c r="DX270" s="35"/>
      <c r="DY270" s="35"/>
      <c r="DZ270" s="36"/>
      <c r="EA270" s="35"/>
      <c r="EB270" s="35"/>
      <c r="EC270" s="35"/>
      <c r="ED270" s="35"/>
      <c r="EE270" s="35"/>
      <c r="EF270" s="35"/>
      <c r="EG270" s="35"/>
      <c r="EH270" s="35"/>
      <c r="EI270" s="35"/>
      <c r="EJ270" s="35"/>
      <c r="EK270" s="35"/>
      <c r="EL270" s="35"/>
      <c r="EM270" s="35"/>
      <c r="EN270" s="35"/>
      <c r="EO270" s="35"/>
      <c r="EP270" s="35"/>
      <c r="EQ270" s="35"/>
      <c r="ER270" s="35"/>
      <c r="ES270" s="35"/>
      <c r="ET270" s="35"/>
      <c r="EU270" s="35"/>
      <c r="EV270" s="35"/>
      <c r="EW270" s="35"/>
      <c r="EX270" s="35"/>
      <c r="EY270" s="36"/>
      <c r="EZ270" s="35"/>
      <c r="FA270" s="35"/>
      <c r="FB270" s="35"/>
      <c r="FC270" s="35"/>
      <c r="FD270" s="35"/>
      <c r="FE270" s="35"/>
      <c r="FF270" s="35"/>
      <c r="FG270" s="35"/>
      <c r="FH270" s="35"/>
      <c r="FI270" s="35"/>
      <c r="FJ270" s="35"/>
      <c r="FK270" s="35"/>
      <c r="FL270" s="35"/>
      <c r="FM270" s="35"/>
      <c r="FN270" s="35"/>
      <c r="FO270" s="35"/>
      <c r="FP270" s="35"/>
      <c r="FQ270" s="52"/>
      <c r="FR270" s="8"/>
      <c r="FS270" s="9" t="s">
        <v>13</v>
      </c>
      <c r="FT270" s="9" t="str">
        <f t="shared" si="6370"/>
        <v>10. BAU Transition 10.1 Opening Balances</v>
      </c>
    </row>
    <row r="271" spans="1:176" s="9" customFormat="1" ht="12" customHeight="1" collapsed="1">
      <c r="A271" s="119" t="s">
        <v>125</v>
      </c>
      <c r="B271" s="127"/>
      <c r="C271" s="121" t="str">
        <f t="shared" si="6366"/>
        <v>21 days</v>
      </c>
      <c r="D271" s="27"/>
      <c r="E271" s="91" t="str">
        <f t="shared" ref="E271:BP271" si="6371">IF(SUBTOTAL(9,E272:E276)&gt;0,SUBTOTAL(9,E272:E276),"")</f>
        <v/>
      </c>
      <c r="F271" s="34" t="str">
        <f>IF(SUBTOTAL(9,F272:F276)&gt;0,SUBTOTAL(9,F272:F276),"")</f>
        <v/>
      </c>
      <c r="G271" s="34" t="str">
        <f t="shared" si="6371"/>
        <v/>
      </c>
      <c r="H271" s="34" t="str">
        <f t="shared" si="6371"/>
        <v/>
      </c>
      <c r="I271" s="34" t="str">
        <f t="shared" si="6371"/>
        <v/>
      </c>
      <c r="J271" s="34" t="str">
        <f t="shared" si="6371"/>
        <v/>
      </c>
      <c r="K271" s="34" t="str">
        <f t="shared" si="6371"/>
        <v/>
      </c>
      <c r="L271" s="34" t="str">
        <f t="shared" si="6371"/>
        <v/>
      </c>
      <c r="M271" s="34" t="str">
        <f t="shared" si="6371"/>
        <v/>
      </c>
      <c r="N271" s="34" t="str">
        <f t="shared" si="6371"/>
        <v/>
      </c>
      <c r="O271" s="34" t="str">
        <f t="shared" si="6371"/>
        <v/>
      </c>
      <c r="P271" s="34" t="str">
        <f t="shared" si="6371"/>
        <v/>
      </c>
      <c r="Q271" s="34" t="str">
        <f t="shared" si="6371"/>
        <v/>
      </c>
      <c r="R271" s="34" t="str">
        <f t="shared" si="6371"/>
        <v/>
      </c>
      <c r="S271" s="34" t="str">
        <f t="shared" si="6371"/>
        <v/>
      </c>
      <c r="T271" s="34" t="str">
        <f t="shared" si="6371"/>
        <v/>
      </c>
      <c r="U271" s="34" t="str">
        <f t="shared" si="6371"/>
        <v/>
      </c>
      <c r="V271" s="34" t="str">
        <f t="shared" si="6371"/>
        <v/>
      </c>
      <c r="W271" s="34" t="str">
        <f t="shared" si="6371"/>
        <v/>
      </c>
      <c r="X271" s="34" t="str">
        <f t="shared" si="6371"/>
        <v/>
      </c>
      <c r="Y271" s="34" t="str">
        <f t="shared" si="6371"/>
        <v/>
      </c>
      <c r="Z271" s="34" t="str">
        <f t="shared" si="6371"/>
        <v/>
      </c>
      <c r="AA271" s="34" t="str">
        <f t="shared" si="6371"/>
        <v/>
      </c>
      <c r="AB271" s="34" t="str">
        <f t="shared" si="6371"/>
        <v/>
      </c>
      <c r="AC271" s="34" t="str">
        <f t="shared" si="6371"/>
        <v/>
      </c>
      <c r="AD271" s="34" t="str">
        <f t="shared" si="6371"/>
        <v/>
      </c>
      <c r="AE271" s="34" t="str">
        <f t="shared" si="6371"/>
        <v/>
      </c>
      <c r="AF271" s="34" t="str">
        <f t="shared" si="6371"/>
        <v/>
      </c>
      <c r="AG271" s="34" t="str">
        <f t="shared" si="6371"/>
        <v/>
      </c>
      <c r="AH271" s="34" t="str">
        <f t="shared" si="6371"/>
        <v/>
      </c>
      <c r="AI271" s="34" t="str">
        <f t="shared" si="6371"/>
        <v/>
      </c>
      <c r="AJ271" s="34" t="str">
        <f t="shared" si="6371"/>
        <v/>
      </c>
      <c r="AK271" s="34" t="str">
        <f t="shared" si="6371"/>
        <v/>
      </c>
      <c r="AL271" s="33" t="str">
        <f t="shared" si="6371"/>
        <v/>
      </c>
      <c r="AM271" s="33" t="str">
        <f t="shared" si="6371"/>
        <v/>
      </c>
      <c r="AN271" s="33" t="str">
        <f t="shared" si="6371"/>
        <v/>
      </c>
      <c r="AO271" s="33" t="str">
        <f t="shared" si="6371"/>
        <v/>
      </c>
      <c r="AP271" s="33" t="str">
        <f t="shared" si="6371"/>
        <v/>
      </c>
      <c r="AQ271" s="33" t="str">
        <f t="shared" si="6371"/>
        <v/>
      </c>
      <c r="AR271" s="33" t="str">
        <f t="shared" si="6371"/>
        <v/>
      </c>
      <c r="AS271" s="34" t="str">
        <f t="shared" si="6371"/>
        <v/>
      </c>
      <c r="AT271" s="34" t="str">
        <f t="shared" si="6371"/>
        <v/>
      </c>
      <c r="AU271" s="34" t="str">
        <f t="shared" si="6371"/>
        <v/>
      </c>
      <c r="AV271" s="34" t="str">
        <f t="shared" si="6371"/>
        <v/>
      </c>
      <c r="AW271" s="34" t="str">
        <f t="shared" si="6371"/>
        <v/>
      </c>
      <c r="AX271" s="34" t="str">
        <f t="shared" si="6371"/>
        <v/>
      </c>
      <c r="AY271" s="34" t="str">
        <f t="shared" si="6371"/>
        <v/>
      </c>
      <c r="AZ271" s="34" t="str">
        <f t="shared" si="6371"/>
        <v/>
      </c>
      <c r="BA271" s="34" t="str">
        <f t="shared" si="6371"/>
        <v/>
      </c>
      <c r="BB271" s="34" t="str">
        <f t="shared" si="6371"/>
        <v/>
      </c>
      <c r="BC271" s="34" t="str">
        <f t="shared" si="6371"/>
        <v/>
      </c>
      <c r="BD271" s="34" t="str">
        <f t="shared" si="6371"/>
        <v/>
      </c>
      <c r="BE271" s="34" t="str">
        <f t="shared" si="6371"/>
        <v/>
      </c>
      <c r="BF271" s="34" t="str">
        <f t="shared" si="6371"/>
        <v/>
      </c>
      <c r="BG271" s="34" t="str">
        <f t="shared" si="6371"/>
        <v/>
      </c>
      <c r="BH271" s="34" t="str">
        <f t="shared" si="6371"/>
        <v/>
      </c>
      <c r="BI271" s="34" t="str">
        <f t="shared" si="6371"/>
        <v/>
      </c>
      <c r="BJ271" s="34" t="str">
        <f t="shared" si="6371"/>
        <v/>
      </c>
      <c r="BK271" s="34" t="str">
        <f t="shared" si="6371"/>
        <v/>
      </c>
      <c r="BL271" s="34" t="str">
        <f t="shared" si="6371"/>
        <v/>
      </c>
      <c r="BM271" s="34" t="str">
        <f t="shared" si="6371"/>
        <v/>
      </c>
      <c r="BN271" s="34" t="str">
        <f t="shared" si="6371"/>
        <v/>
      </c>
      <c r="BO271" s="34" t="str">
        <f t="shared" si="6371"/>
        <v/>
      </c>
      <c r="BP271" s="34" t="str">
        <f t="shared" si="6371"/>
        <v/>
      </c>
      <c r="BQ271" s="34" t="str">
        <f t="shared" ref="BQ271:EB271" si="6372">IF(SUBTOTAL(9,BQ272:BQ276)&gt;0,SUBTOTAL(9,BQ272:BQ276),"")</f>
        <v/>
      </c>
      <c r="BR271" s="34" t="str">
        <f t="shared" si="6372"/>
        <v/>
      </c>
      <c r="BS271" s="34" t="str">
        <f t="shared" si="6372"/>
        <v/>
      </c>
      <c r="BT271" s="34" t="str">
        <f t="shared" si="6372"/>
        <v/>
      </c>
      <c r="BU271" s="34" t="str">
        <f t="shared" si="6372"/>
        <v/>
      </c>
      <c r="BV271" s="34" t="str">
        <f t="shared" si="6372"/>
        <v/>
      </c>
      <c r="BW271" s="34" t="str">
        <f t="shared" si="6372"/>
        <v/>
      </c>
      <c r="BX271" s="34" t="str">
        <f t="shared" si="6372"/>
        <v/>
      </c>
      <c r="BY271" s="34" t="str">
        <f t="shared" si="6372"/>
        <v/>
      </c>
      <c r="BZ271" s="34" t="str">
        <f t="shared" si="6372"/>
        <v/>
      </c>
      <c r="CA271" s="34" t="str">
        <f t="shared" si="6372"/>
        <v/>
      </c>
      <c r="CB271" s="34" t="str">
        <f t="shared" si="6372"/>
        <v/>
      </c>
      <c r="CC271" s="34" t="str">
        <f t="shared" si="6372"/>
        <v/>
      </c>
      <c r="CD271" s="34" t="str">
        <f t="shared" si="6372"/>
        <v/>
      </c>
      <c r="CE271" s="34" t="str">
        <f t="shared" si="6372"/>
        <v/>
      </c>
      <c r="CF271" s="34" t="str">
        <f t="shared" si="6372"/>
        <v/>
      </c>
      <c r="CG271" s="34" t="str">
        <f t="shared" si="6372"/>
        <v/>
      </c>
      <c r="CH271" s="34" t="str">
        <f t="shared" si="6372"/>
        <v/>
      </c>
      <c r="CI271" s="34" t="str">
        <f t="shared" si="6372"/>
        <v/>
      </c>
      <c r="CJ271" s="34" t="str">
        <f t="shared" si="6372"/>
        <v/>
      </c>
      <c r="CK271" s="34" t="str">
        <f t="shared" si="6372"/>
        <v/>
      </c>
      <c r="CL271" s="34" t="str">
        <f t="shared" si="6372"/>
        <v/>
      </c>
      <c r="CM271" s="34" t="str">
        <f t="shared" si="6372"/>
        <v/>
      </c>
      <c r="CN271" s="34" t="str">
        <f t="shared" si="6372"/>
        <v/>
      </c>
      <c r="CO271" s="34" t="str">
        <f t="shared" si="6372"/>
        <v/>
      </c>
      <c r="CP271" s="34" t="str">
        <f t="shared" si="6372"/>
        <v/>
      </c>
      <c r="CQ271" s="34" t="str">
        <f t="shared" si="6372"/>
        <v/>
      </c>
      <c r="CR271" s="34" t="str">
        <f t="shared" si="6372"/>
        <v/>
      </c>
      <c r="CS271" s="34" t="str">
        <f t="shared" si="6372"/>
        <v/>
      </c>
      <c r="CT271" s="33" t="str">
        <f t="shared" si="6372"/>
        <v/>
      </c>
      <c r="CU271" s="34" t="str">
        <f t="shared" si="6372"/>
        <v/>
      </c>
      <c r="CV271" s="34" t="str">
        <f t="shared" si="6372"/>
        <v/>
      </c>
      <c r="CW271" s="34" t="str">
        <f t="shared" si="6372"/>
        <v/>
      </c>
      <c r="CX271" s="34" t="str">
        <f t="shared" si="6372"/>
        <v/>
      </c>
      <c r="CY271" s="34" t="str">
        <f t="shared" si="6372"/>
        <v/>
      </c>
      <c r="CZ271" s="33" t="str">
        <f t="shared" si="6372"/>
        <v/>
      </c>
      <c r="DA271" s="33" t="str">
        <f t="shared" si="6372"/>
        <v/>
      </c>
      <c r="DB271" s="34" t="str">
        <f t="shared" si="6372"/>
        <v/>
      </c>
      <c r="DC271" s="34" t="str">
        <f t="shared" si="6372"/>
        <v/>
      </c>
      <c r="DD271" s="34" t="str">
        <f t="shared" si="6372"/>
        <v/>
      </c>
      <c r="DE271" s="34" t="str">
        <f t="shared" si="6372"/>
        <v/>
      </c>
      <c r="DF271" s="34" t="str">
        <f t="shared" si="6372"/>
        <v/>
      </c>
      <c r="DG271" s="34" t="str">
        <f t="shared" si="6372"/>
        <v/>
      </c>
      <c r="DH271" s="34" t="str">
        <f t="shared" si="6372"/>
        <v/>
      </c>
      <c r="DI271" s="34" t="str">
        <f t="shared" si="6372"/>
        <v/>
      </c>
      <c r="DJ271" s="34" t="str">
        <f t="shared" si="6372"/>
        <v/>
      </c>
      <c r="DK271" s="34" t="str">
        <f t="shared" si="6372"/>
        <v/>
      </c>
      <c r="DL271" s="34" t="str">
        <f t="shared" si="6372"/>
        <v/>
      </c>
      <c r="DM271" s="34" t="str">
        <f t="shared" si="6372"/>
        <v/>
      </c>
      <c r="DN271" s="34" t="str">
        <f t="shared" si="6372"/>
        <v/>
      </c>
      <c r="DO271" s="34" t="str">
        <f t="shared" si="6372"/>
        <v/>
      </c>
      <c r="DP271" s="34" t="str">
        <f t="shared" si="6372"/>
        <v/>
      </c>
      <c r="DQ271" s="34" t="str">
        <f t="shared" si="6372"/>
        <v/>
      </c>
      <c r="DR271" s="34" t="str">
        <f t="shared" si="6372"/>
        <v/>
      </c>
      <c r="DS271" s="34" t="str">
        <f t="shared" si="6372"/>
        <v/>
      </c>
      <c r="DT271" s="34" t="str">
        <f t="shared" si="6372"/>
        <v/>
      </c>
      <c r="DU271" s="34" t="str">
        <f t="shared" si="6372"/>
        <v/>
      </c>
      <c r="DV271" s="34" t="str">
        <f t="shared" si="6372"/>
        <v/>
      </c>
      <c r="DW271" s="34" t="str">
        <f t="shared" si="6372"/>
        <v/>
      </c>
      <c r="DX271" s="34" t="str">
        <f t="shared" si="6372"/>
        <v/>
      </c>
      <c r="DY271" s="34" t="str">
        <f t="shared" si="6372"/>
        <v/>
      </c>
      <c r="DZ271" s="33" t="str">
        <f t="shared" si="6372"/>
        <v/>
      </c>
      <c r="EA271" s="34" t="str">
        <f t="shared" si="6372"/>
        <v/>
      </c>
      <c r="EB271" s="34" t="str">
        <f t="shared" si="6372"/>
        <v/>
      </c>
      <c r="EC271" s="34" t="str">
        <f t="shared" ref="EC271:FQ271" si="6373">IF(SUBTOTAL(9,EC272:EC276)&gt;0,SUBTOTAL(9,EC272:EC276),"")</f>
        <v/>
      </c>
      <c r="ED271" s="34">
        <f t="shared" si="6373"/>
        <v>1</v>
      </c>
      <c r="EE271" s="34">
        <f t="shared" si="6373"/>
        <v>1</v>
      </c>
      <c r="EF271" s="34">
        <f t="shared" si="6373"/>
        <v>1</v>
      </c>
      <c r="EG271" s="34">
        <f t="shared" si="6373"/>
        <v>2</v>
      </c>
      <c r="EH271" s="34">
        <f t="shared" si="6373"/>
        <v>2</v>
      </c>
      <c r="EI271" s="34">
        <f t="shared" si="6373"/>
        <v>3</v>
      </c>
      <c r="EJ271" s="34">
        <f t="shared" si="6373"/>
        <v>2</v>
      </c>
      <c r="EK271" s="34">
        <f t="shared" si="6373"/>
        <v>1.5</v>
      </c>
      <c r="EL271" s="34">
        <f t="shared" si="6373"/>
        <v>2.5</v>
      </c>
      <c r="EM271" s="34">
        <f t="shared" si="6373"/>
        <v>1</v>
      </c>
      <c r="EN271" s="34" t="str">
        <f t="shared" si="6373"/>
        <v/>
      </c>
      <c r="EO271" s="34" t="str">
        <f t="shared" si="6373"/>
        <v/>
      </c>
      <c r="EP271" s="34" t="str">
        <f t="shared" si="6373"/>
        <v/>
      </c>
      <c r="EQ271" s="34" t="str">
        <f t="shared" si="6373"/>
        <v/>
      </c>
      <c r="ER271" s="34" t="str">
        <f t="shared" si="6373"/>
        <v/>
      </c>
      <c r="ES271" s="34" t="str">
        <f t="shared" si="6373"/>
        <v/>
      </c>
      <c r="ET271" s="34" t="str">
        <f t="shared" si="6373"/>
        <v/>
      </c>
      <c r="EU271" s="34">
        <f t="shared" si="6373"/>
        <v>1</v>
      </c>
      <c r="EV271" s="34">
        <f t="shared" si="6373"/>
        <v>1</v>
      </c>
      <c r="EW271" s="34">
        <f t="shared" si="6373"/>
        <v>1</v>
      </c>
      <c r="EX271" s="34">
        <f t="shared" si="6373"/>
        <v>1</v>
      </c>
      <c r="EY271" s="33" t="str">
        <f t="shared" si="6373"/>
        <v/>
      </c>
      <c r="EZ271" s="34" t="str">
        <f t="shared" si="6373"/>
        <v/>
      </c>
      <c r="FA271" s="34" t="str">
        <f t="shared" si="6373"/>
        <v/>
      </c>
      <c r="FB271" s="34" t="str">
        <f t="shared" si="6373"/>
        <v/>
      </c>
      <c r="FC271" s="34" t="str">
        <f t="shared" si="6373"/>
        <v/>
      </c>
      <c r="FD271" s="34" t="str">
        <f t="shared" si="6373"/>
        <v/>
      </c>
      <c r="FE271" s="34" t="str">
        <f t="shared" si="6373"/>
        <v/>
      </c>
      <c r="FF271" s="34" t="str">
        <f t="shared" si="6373"/>
        <v/>
      </c>
      <c r="FG271" s="34" t="str">
        <f t="shared" si="6373"/>
        <v/>
      </c>
      <c r="FH271" s="34" t="str">
        <f t="shared" si="6373"/>
        <v/>
      </c>
      <c r="FI271" s="34" t="str">
        <f t="shared" si="6373"/>
        <v/>
      </c>
      <c r="FJ271" s="34" t="str">
        <f t="shared" si="6373"/>
        <v/>
      </c>
      <c r="FK271" s="34" t="str">
        <f t="shared" si="6373"/>
        <v/>
      </c>
      <c r="FL271" s="34" t="str">
        <f t="shared" si="6373"/>
        <v/>
      </c>
      <c r="FM271" s="34" t="str">
        <f t="shared" si="6373"/>
        <v/>
      </c>
      <c r="FN271" s="34" t="str">
        <f t="shared" si="6373"/>
        <v/>
      </c>
      <c r="FO271" s="34" t="str">
        <f t="shared" si="6373"/>
        <v/>
      </c>
      <c r="FP271" s="34" t="str">
        <f t="shared" si="6373"/>
        <v/>
      </c>
      <c r="FQ271" s="92" t="str">
        <f t="shared" si="6373"/>
        <v/>
      </c>
      <c r="FR271" s="8"/>
      <c r="FS271" s="9" t="s">
        <v>131</v>
      </c>
      <c r="FT271" s="9" t="str">
        <f t="shared" si="6370"/>
        <v/>
      </c>
    </row>
    <row r="272" spans="1:176" s="9" customFormat="1" ht="12" hidden="1" customHeight="1" outlineLevel="1">
      <c r="A272" s="125" t="s">
        <v>4</v>
      </c>
      <c r="B272" s="123" t="s">
        <v>16</v>
      </c>
      <c r="C272" s="124" t="str">
        <f t="shared" si="6366"/>
        <v>7 days</v>
      </c>
      <c r="D272" s="13" t="str">
        <f>$A$264&amp;" "&amp;$A271</f>
        <v xml:space="preserve">10. BAU Transition 10.2 Quarterly Reporting (QRTs) </v>
      </c>
      <c r="E272" s="51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S272" s="35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5"/>
      <c r="AE272" s="35"/>
      <c r="AF272" s="35"/>
      <c r="AG272" s="35"/>
      <c r="AH272" s="35"/>
      <c r="AI272" s="35"/>
      <c r="AJ272" s="35"/>
      <c r="AK272" s="35"/>
      <c r="AL272" s="36"/>
      <c r="AM272" s="36"/>
      <c r="AN272" s="36"/>
      <c r="AO272" s="36"/>
      <c r="AP272" s="36"/>
      <c r="AQ272" s="36"/>
      <c r="AR272" s="36"/>
      <c r="AS272" s="35"/>
      <c r="AT272" s="35"/>
      <c r="AU272" s="35"/>
      <c r="AV272" s="35"/>
      <c r="AW272" s="35"/>
      <c r="AX272" s="35"/>
      <c r="AY272" s="35"/>
      <c r="AZ272" s="35"/>
      <c r="BA272" s="35"/>
      <c r="BB272" s="35"/>
      <c r="BC272" s="35"/>
      <c r="BD272" s="35"/>
      <c r="BE272" s="35"/>
      <c r="BF272" s="35"/>
      <c r="BG272" s="35"/>
      <c r="BH272" s="35"/>
      <c r="BI272" s="35"/>
      <c r="BJ272" s="35"/>
      <c r="BK272" s="35"/>
      <c r="BL272" s="35"/>
      <c r="BM272" s="35"/>
      <c r="BN272" s="35"/>
      <c r="BO272" s="35"/>
      <c r="BP272" s="35"/>
      <c r="BQ272" s="35"/>
      <c r="BR272" s="35"/>
      <c r="BS272" s="35"/>
      <c r="BT272" s="35"/>
      <c r="BU272" s="35"/>
      <c r="BV272" s="35"/>
      <c r="BW272" s="35"/>
      <c r="BX272" s="35"/>
      <c r="BY272" s="35"/>
      <c r="BZ272" s="35"/>
      <c r="CA272" s="35"/>
      <c r="CB272" s="35"/>
      <c r="CC272" s="35"/>
      <c r="CD272" s="35"/>
      <c r="CE272" s="35"/>
      <c r="CF272" s="35"/>
      <c r="CG272" s="35"/>
      <c r="CH272" s="35"/>
      <c r="CI272" s="35"/>
      <c r="CJ272" s="35"/>
      <c r="CK272" s="35"/>
      <c r="CL272" s="35"/>
      <c r="CM272" s="35"/>
      <c r="CN272" s="35"/>
      <c r="CO272" s="35"/>
      <c r="CP272" s="35"/>
      <c r="CQ272" s="35"/>
      <c r="CR272" s="35"/>
      <c r="CS272" s="35"/>
      <c r="CT272" s="36"/>
      <c r="CU272" s="35"/>
      <c r="CV272" s="35"/>
      <c r="CW272" s="35"/>
      <c r="CX272" s="35"/>
      <c r="CY272" s="35"/>
      <c r="CZ272" s="36"/>
      <c r="DA272" s="36"/>
      <c r="DB272" s="35"/>
      <c r="DC272" s="35"/>
      <c r="DD272" s="35"/>
      <c r="DE272" s="35"/>
      <c r="DF272" s="35"/>
      <c r="DG272" s="35"/>
      <c r="DH272" s="35"/>
      <c r="DI272" s="35"/>
      <c r="DJ272" s="35"/>
      <c r="DK272" s="35"/>
      <c r="DL272" s="35"/>
      <c r="DM272" s="35"/>
      <c r="DN272" s="35"/>
      <c r="DO272" s="35"/>
      <c r="DP272" s="35"/>
      <c r="DQ272" s="35"/>
      <c r="DR272" s="35"/>
      <c r="DS272" s="35"/>
      <c r="DT272" s="35"/>
      <c r="DU272" s="35"/>
      <c r="DV272" s="35"/>
      <c r="DW272" s="35"/>
      <c r="DX272" s="35"/>
      <c r="DY272" s="35"/>
      <c r="DZ272" s="36"/>
      <c r="EA272" s="35"/>
      <c r="EB272" s="35"/>
      <c r="EC272" s="35"/>
      <c r="ED272" s="35">
        <v>1</v>
      </c>
      <c r="EE272" s="35">
        <v>1</v>
      </c>
      <c r="EF272" s="35">
        <v>1</v>
      </c>
      <c r="EG272" s="35">
        <v>1</v>
      </c>
      <c r="EH272" s="35">
        <v>1</v>
      </c>
      <c r="EI272" s="35">
        <v>1</v>
      </c>
      <c r="EJ272" s="35">
        <v>1</v>
      </c>
      <c r="EK272" s="35"/>
      <c r="EL272" s="35"/>
      <c r="EM272" s="35"/>
      <c r="EN272" s="35"/>
      <c r="EO272" s="35"/>
      <c r="EP272" s="35"/>
      <c r="EQ272" s="35"/>
      <c r="ER272" s="35"/>
      <c r="ES272" s="35"/>
      <c r="ET272" s="35"/>
      <c r="EU272" s="35"/>
      <c r="EV272" s="35"/>
      <c r="EW272" s="35"/>
      <c r="EX272" s="35"/>
      <c r="EY272" s="36"/>
      <c r="EZ272" s="35"/>
      <c r="FA272" s="35"/>
      <c r="FB272" s="35"/>
      <c r="FC272" s="35"/>
      <c r="FD272" s="35"/>
      <c r="FE272" s="35"/>
      <c r="FF272" s="35"/>
      <c r="FG272" s="35"/>
      <c r="FH272" s="35"/>
      <c r="FI272" s="35"/>
      <c r="FJ272" s="35"/>
      <c r="FK272" s="35"/>
      <c r="FL272" s="35"/>
      <c r="FM272" s="35"/>
      <c r="FN272" s="35"/>
      <c r="FO272" s="35"/>
      <c r="FP272" s="35"/>
      <c r="FQ272" s="52"/>
      <c r="FR272" s="8"/>
      <c r="FS272" s="9" t="s">
        <v>13</v>
      </c>
      <c r="FT272" s="9" t="str">
        <f t="shared" si="6370"/>
        <v>10. BAU Transition 10.2 Quarterly Reporting (QRTs) Junior Accountant</v>
      </c>
    </row>
    <row r="273" spans="1:176" s="9" customFormat="1" ht="12" hidden="1" customHeight="1" outlineLevel="1">
      <c r="A273" s="125" t="s">
        <v>4</v>
      </c>
      <c r="B273" s="123" t="s">
        <v>17</v>
      </c>
      <c r="C273" s="124" t="str">
        <f t="shared" si="6366"/>
        <v>7 days</v>
      </c>
      <c r="D273" s="13" t="str">
        <f>$A$264&amp;" "&amp;$A271</f>
        <v xml:space="preserve">10. BAU Transition 10.2 Quarterly Reporting (QRTs) </v>
      </c>
      <c r="E273" s="51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5"/>
      <c r="AE273" s="35"/>
      <c r="AF273" s="35"/>
      <c r="AG273" s="35"/>
      <c r="AH273" s="35"/>
      <c r="AI273" s="35"/>
      <c r="AJ273" s="35"/>
      <c r="AK273" s="35"/>
      <c r="AL273" s="36"/>
      <c r="AM273" s="36"/>
      <c r="AN273" s="36"/>
      <c r="AO273" s="36"/>
      <c r="AP273" s="36"/>
      <c r="AQ273" s="36"/>
      <c r="AR273" s="36"/>
      <c r="AS273" s="35"/>
      <c r="AT273" s="35"/>
      <c r="AU273" s="35"/>
      <c r="AV273" s="35"/>
      <c r="AW273" s="35"/>
      <c r="AX273" s="35"/>
      <c r="AY273" s="35"/>
      <c r="AZ273" s="35"/>
      <c r="BA273" s="35"/>
      <c r="BB273" s="35"/>
      <c r="BC273" s="35"/>
      <c r="BD273" s="35"/>
      <c r="BE273" s="35"/>
      <c r="BF273" s="35"/>
      <c r="BG273" s="35"/>
      <c r="BH273" s="35"/>
      <c r="BI273" s="35"/>
      <c r="BJ273" s="35"/>
      <c r="BK273" s="35"/>
      <c r="BL273" s="35"/>
      <c r="BM273" s="35"/>
      <c r="BN273" s="35"/>
      <c r="BO273" s="35"/>
      <c r="BP273" s="35"/>
      <c r="BQ273" s="35"/>
      <c r="BR273" s="35"/>
      <c r="BS273" s="35"/>
      <c r="BT273" s="35"/>
      <c r="BU273" s="35"/>
      <c r="BV273" s="35"/>
      <c r="BW273" s="35"/>
      <c r="BX273" s="35"/>
      <c r="BY273" s="35"/>
      <c r="BZ273" s="35"/>
      <c r="CA273" s="35"/>
      <c r="CB273" s="35"/>
      <c r="CC273" s="35"/>
      <c r="CD273" s="35"/>
      <c r="CE273" s="35"/>
      <c r="CF273" s="35"/>
      <c r="CG273" s="35"/>
      <c r="CH273" s="35"/>
      <c r="CI273" s="35"/>
      <c r="CJ273" s="35"/>
      <c r="CK273" s="35"/>
      <c r="CL273" s="35"/>
      <c r="CM273" s="35"/>
      <c r="CN273" s="35"/>
      <c r="CO273" s="35"/>
      <c r="CP273" s="35"/>
      <c r="CQ273" s="35"/>
      <c r="CR273" s="35"/>
      <c r="CS273" s="35"/>
      <c r="CT273" s="36"/>
      <c r="CU273" s="35"/>
      <c r="CV273" s="35"/>
      <c r="CW273" s="35"/>
      <c r="CX273" s="35"/>
      <c r="CY273" s="35"/>
      <c r="CZ273" s="36"/>
      <c r="DA273" s="36"/>
      <c r="DB273" s="35"/>
      <c r="DC273" s="35"/>
      <c r="DD273" s="35"/>
      <c r="DE273" s="35"/>
      <c r="DF273" s="35"/>
      <c r="DG273" s="35"/>
      <c r="DH273" s="35"/>
      <c r="DI273" s="35"/>
      <c r="DJ273" s="35"/>
      <c r="DK273" s="35"/>
      <c r="DL273" s="35"/>
      <c r="DM273" s="35"/>
      <c r="DN273" s="35"/>
      <c r="DO273" s="35"/>
      <c r="DP273" s="35"/>
      <c r="DQ273" s="35"/>
      <c r="DR273" s="35"/>
      <c r="DS273" s="35"/>
      <c r="DT273" s="35"/>
      <c r="DU273" s="35"/>
      <c r="DV273" s="35"/>
      <c r="DW273" s="35"/>
      <c r="DX273" s="35"/>
      <c r="DY273" s="35"/>
      <c r="DZ273" s="36"/>
      <c r="EA273" s="35"/>
      <c r="EB273" s="35"/>
      <c r="EC273" s="35"/>
      <c r="ED273" s="35"/>
      <c r="EE273" s="93"/>
      <c r="EF273" s="93"/>
      <c r="EG273" s="35">
        <v>1</v>
      </c>
      <c r="EH273" s="35">
        <v>1</v>
      </c>
      <c r="EI273" s="35">
        <v>1</v>
      </c>
      <c r="EJ273" s="35">
        <v>1</v>
      </c>
      <c r="EK273" s="35">
        <v>1</v>
      </c>
      <c r="EL273" s="35">
        <v>1</v>
      </c>
      <c r="EM273" s="35">
        <v>1</v>
      </c>
      <c r="EN273" s="35"/>
      <c r="EO273" s="35"/>
      <c r="EP273" s="35"/>
      <c r="EQ273" s="35"/>
      <c r="ER273" s="35"/>
      <c r="ES273" s="35"/>
      <c r="ET273" s="35"/>
      <c r="EU273" s="35"/>
      <c r="EV273" s="35"/>
      <c r="EW273" s="35"/>
      <c r="EX273" s="35"/>
      <c r="EY273" s="36"/>
      <c r="EZ273" s="35"/>
      <c r="FA273" s="35"/>
      <c r="FB273" s="35"/>
      <c r="FC273" s="35"/>
      <c r="FD273" s="35"/>
      <c r="FE273" s="35"/>
      <c r="FF273" s="35"/>
      <c r="FG273" s="35"/>
      <c r="FH273" s="35"/>
      <c r="FI273" s="35"/>
      <c r="FJ273" s="35"/>
      <c r="FK273" s="35"/>
      <c r="FL273" s="35"/>
      <c r="FM273" s="35"/>
      <c r="FN273" s="35"/>
      <c r="FO273" s="35"/>
      <c r="FP273" s="35"/>
      <c r="FQ273" s="52"/>
      <c r="FR273" s="8"/>
      <c r="FS273" s="9" t="s">
        <v>13</v>
      </c>
      <c r="FT273" s="9" t="str">
        <f t="shared" si="6370"/>
        <v>10. BAU Transition 10.2 Quarterly Reporting (QRTs) Senior Accountant</v>
      </c>
    </row>
    <row r="274" spans="1:176" s="9" customFormat="1" ht="12" hidden="1" customHeight="1" outlineLevel="1">
      <c r="A274" s="125" t="s">
        <v>4</v>
      </c>
      <c r="B274" s="130" t="s">
        <v>10</v>
      </c>
      <c r="C274" s="131" t="str">
        <f t="shared" si="6366"/>
        <v>2 days</v>
      </c>
      <c r="D274" s="101" t="str">
        <f>$A$264&amp;" "&amp;$A271</f>
        <v xml:space="preserve">10. BAU Transition 10.2 Quarterly Reporting (QRTs) </v>
      </c>
      <c r="E274" s="51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5"/>
      <c r="AE274" s="35"/>
      <c r="AF274" s="35"/>
      <c r="AG274" s="35"/>
      <c r="AH274" s="35"/>
      <c r="AI274" s="35"/>
      <c r="AJ274" s="35"/>
      <c r="AK274" s="35"/>
      <c r="AL274" s="36"/>
      <c r="AM274" s="36"/>
      <c r="AN274" s="36"/>
      <c r="AO274" s="36"/>
      <c r="AP274" s="36"/>
      <c r="AQ274" s="36"/>
      <c r="AR274" s="36"/>
      <c r="AS274" s="35"/>
      <c r="AT274" s="35"/>
      <c r="AU274" s="35"/>
      <c r="AV274" s="35"/>
      <c r="AW274" s="35"/>
      <c r="AX274" s="35"/>
      <c r="AY274" s="35"/>
      <c r="AZ274" s="35"/>
      <c r="BA274" s="35"/>
      <c r="BB274" s="35"/>
      <c r="BC274" s="35"/>
      <c r="BD274" s="35"/>
      <c r="BE274" s="35"/>
      <c r="BF274" s="35"/>
      <c r="BG274" s="35"/>
      <c r="BH274" s="35"/>
      <c r="BI274" s="35"/>
      <c r="BJ274" s="35"/>
      <c r="BK274" s="35"/>
      <c r="BL274" s="35"/>
      <c r="BM274" s="35"/>
      <c r="BN274" s="35"/>
      <c r="BO274" s="35"/>
      <c r="BP274" s="35"/>
      <c r="BQ274" s="35"/>
      <c r="BR274" s="35"/>
      <c r="BS274" s="35"/>
      <c r="BT274" s="35"/>
      <c r="BU274" s="35"/>
      <c r="BV274" s="35"/>
      <c r="BW274" s="35"/>
      <c r="BX274" s="35"/>
      <c r="BY274" s="35"/>
      <c r="BZ274" s="35"/>
      <c r="CA274" s="35"/>
      <c r="CB274" s="35"/>
      <c r="CC274" s="35"/>
      <c r="CD274" s="35"/>
      <c r="CE274" s="35"/>
      <c r="CF274" s="35"/>
      <c r="CG274" s="35"/>
      <c r="CH274" s="35"/>
      <c r="CI274" s="35"/>
      <c r="CJ274" s="35"/>
      <c r="CK274" s="35"/>
      <c r="CL274" s="35"/>
      <c r="CM274" s="35"/>
      <c r="CN274" s="35"/>
      <c r="CO274" s="35"/>
      <c r="CP274" s="35"/>
      <c r="CQ274" s="35"/>
      <c r="CR274" s="35"/>
      <c r="CS274" s="35"/>
      <c r="CT274" s="36"/>
      <c r="CU274" s="35"/>
      <c r="CV274" s="35"/>
      <c r="CW274" s="35"/>
      <c r="CX274" s="35"/>
      <c r="CY274" s="35"/>
      <c r="CZ274" s="36"/>
      <c r="DA274" s="36"/>
      <c r="DB274" s="35"/>
      <c r="DC274" s="35"/>
      <c r="DD274" s="35"/>
      <c r="DE274" s="35"/>
      <c r="DF274" s="35"/>
      <c r="DG274" s="35"/>
      <c r="DH274" s="35"/>
      <c r="DI274" s="35"/>
      <c r="DJ274" s="35"/>
      <c r="DK274" s="35"/>
      <c r="DL274" s="35"/>
      <c r="DM274" s="35"/>
      <c r="DN274" s="35"/>
      <c r="DO274" s="35"/>
      <c r="DP274" s="35"/>
      <c r="DQ274" s="35"/>
      <c r="DR274" s="35"/>
      <c r="DS274" s="35"/>
      <c r="DT274" s="35"/>
      <c r="DU274" s="35"/>
      <c r="DV274" s="35"/>
      <c r="DW274" s="35"/>
      <c r="DX274" s="35"/>
      <c r="DY274" s="35"/>
      <c r="DZ274" s="36"/>
      <c r="EA274" s="35"/>
      <c r="EB274" s="35"/>
      <c r="EC274" s="35"/>
      <c r="ED274" s="35"/>
      <c r="EE274" s="35"/>
      <c r="EF274" s="35"/>
      <c r="EG274" s="35"/>
      <c r="EH274" s="35"/>
      <c r="EI274" s="35">
        <v>1</v>
      </c>
      <c r="EJ274" s="35"/>
      <c r="EK274" s="35"/>
      <c r="EL274" s="35">
        <v>1</v>
      </c>
      <c r="EM274" s="35"/>
      <c r="EN274" s="35"/>
      <c r="EO274" s="35"/>
      <c r="EP274" s="35"/>
      <c r="EQ274" s="35"/>
      <c r="ER274" s="35"/>
      <c r="ES274" s="35"/>
      <c r="ET274" s="35"/>
      <c r="EU274" s="35"/>
      <c r="EV274" s="35"/>
      <c r="EW274" s="35"/>
      <c r="EX274" s="35"/>
      <c r="EY274" s="36"/>
      <c r="EZ274" s="35"/>
      <c r="FA274" s="35"/>
      <c r="FB274" s="35"/>
      <c r="FC274" s="35"/>
      <c r="FD274" s="35"/>
      <c r="FE274" s="35"/>
      <c r="FF274" s="35"/>
      <c r="FG274" s="35"/>
      <c r="FH274" s="35"/>
      <c r="FI274" s="35"/>
      <c r="FJ274" s="35"/>
      <c r="FK274" s="35"/>
      <c r="FL274" s="35"/>
      <c r="FM274" s="35"/>
      <c r="FN274" s="35"/>
      <c r="FO274" s="35"/>
      <c r="FP274" s="35"/>
      <c r="FQ274" s="52"/>
      <c r="FR274" s="8"/>
      <c r="FS274" s="9" t="s">
        <v>13</v>
      </c>
      <c r="FT274" s="9" t="str">
        <f t="shared" si="6370"/>
        <v>10. BAU Transition 10.2 Quarterly Reporting (QRTs) Glenn Kirk</v>
      </c>
    </row>
    <row r="275" spans="1:176" s="9" customFormat="1" ht="12" hidden="1" customHeight="1" outlineLevel="1">
      <c r="A275" s="125" t="s">
        <v>4</v>
      </c>
      <c r="B275" s="123" t="s">
        <v>6</v>
      </c>
      <c r="C275" s="124" t="str">
        <f t="shared" si="6366"/>
        <v>1 days</v>
      </c>
      <c r="D275" s="13" t="str">
        <f>$A$264&amp;" "&amp;$A271</f>
        <v xml:space="preserve">10. BAU Transition 10.2 Quarterly Reporting (QRTs) </v>
      </c>
      <c r="E275" s="51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5"/>
      <c r="AE275" s="35"/>
      <c r="AF275" s="35"/>
      <c r="AG275" s="35"/>
      <c r="AH275" s="35"/>
      <c r="AI275" s="35"/>
      <c r="AJ275" s="35"/>
      <c r="AK275" s="35"/>
      <c r="AL275" s="36"/>
      <c r="AM275" s="36"/>
      <c r="AN275" s="36"/>
      <c r="AO275" s="36"/>
      <c r="AP275" s="36"/>
      <c r="AQ275" s="36"/>
      <c r="AR275" s="36"/>
      <c r="AS275" s="35"/>
      <c r="AT275" s="35"/>
      <c r="AU275" s="35"/>
      <c r="AV275" s="35"/>
      <c r="AW275" s="35"/>
      <c r="AX275" s="35"/>
      <c r="AY275" s="35"/>
      <c r="AZ275" s="35"/>
      <c r="BA275" s="35"/>
      <c r="BB275" s="35"/>
      <c r="BC275" s="35"/>
      <c r="BD275" s="35"/>
      <c r="BE275" s="35"/>
      <c r="BF275" s="35"/>
      <c r="BG275" s="35"/>
      <c r="BH275" s="35"/>
      <c r="BI275" s="35"/>
      <c r="BJ275" s="35"/>
      <c r="BK275" s="35"/>
      <c r="BL275" s="35"/>
      <c r="BM275" s="35"/>
      <c r="BN275" s="35"/>
      <c r="BO275" s="35"/>
      <c r="BP275" s="35"/>
      <c r="BQ275" s="35"/>
      <c r="BR275" s="35"/>
      <c r="BS275" s="35"/>
      <c r="BT275" s="35"/>
      <c r="BU275" s="35"/>
      <c r="BV275" s="35"/>
      <c r="BW275" s="35"/>
      <c r="BX275" s="35"/>
      <c r="BY275" s="35"/>
      <c r="BZ275" s="35"/>
      <c r="CA275" s="35"/>
      <c r="CB275" s="35"/>
      <c r="CC275" s="35"/>
      <c r="CD275" s="35"/>
      <c r="CE275" s="35"/>
      <c r="CF275" s="35"/>
      <c r="CG275" s="35"/>
      <c r="CH275" s="35"/>
      <c r="CI275" s="35"/>
      <c r="CJ275" s="35"/>
      <c r="CK275" s="35"/>
      <c r="CL275" s="35"/>
      <c r="CM275" s="35"/>
      <c r="CN275" s="35"/>
      <c r="CO275" s="35"/>
      <c r="CP275" s="35"/>
      <c r="CQ275" s="35"/>
      <c r="CR275" s="35"/>
      <c r="CS275" s="35"/>
      <c r="CT275" s="36"/>
      <c r="CU275" s="35"/>
      <c r="CV275" s="35"/>
      <c r="CW275" s="35"/>
      <c r="CX275" s="35"/>
      <c r="CY275" s="35"/>
      <c r="CZ275" s="36"/>
      <c r="DA275" s="36"/>
      <c r="DB275" s="35"/>
      <c r="DC275" s="35"/>
      <c r="DD275" s="35"/>
      <c r="DE275" s="35"/>
      <c r="DF275" s="35"/>
      <c r="DG275" s="35"/>
      <c r="DH275" s="35"/>
      <c r="DI275" s="35"/>
      <c r="DJ275" s="35"/>
      <c r="DK275" s="35"/>
      <c r="DL275" s="35"/>
      <c r="DM275" s="35"/>
      <c r="DN275" s="35"/>
      <c r="DO275" s="35"/>
      <c r="DP275" s="35"/>
      <c r="DQ275" s="35"/>
      <c r="DR275" s="35"/>
      <c r="DS275" s="35"/>
      <c r="DT275" s="35"/>
      <c r="DU275" s="35"/>
      <c r="DV275" s="35"/>
      <c r="DW275" s="35"/>
      <c r="DX275" s="35"/>
      <c r="DY275" s="35"/>
      <c r="DZ275" s="36"/>
      <c r="EA275" s="35"/>
      <c r="EB275" s="35"/>
      <c r="EC275" s="35"/>
      <c r="ED275" s="35"/>
      <c r="EE275" s="35"/>
      <c r="EF275" s="35"/>
      <c r="EG275" s="35"/>
      <c r="EH275" s="35"/>
      <c r="EI275" s="35"/>
      <c r="EJ275" s="35"/>
      <c r="EK275" s="35">
        <v>0.5</v>
      </c>
      <c r="EL275" s="35">
        <v>0.5</v>
      </c>
      <c r="EM275" s="35"/>
      <c r="EN275" s="35"/>
      <c r="EO275" s="35"/>
      <c r="EP275" s="35"/>
      <c r="EQ275" s="35"/>
      <c r="ER275" s="35"/>
      <c r="ES275" s="35"/>
      <c r="ET275" s="35"/>
      <c r="EU275" s="35"/>
      <c r="EV275" s="35"/>
      <c r="EW275" s="35"/>
      <c r="EX275" s="35"/>
      <c r="EY275" s="36"/>
      <c r="EZ275" s="35"/>
      <c r="FA275" s="35"/>
      <c r="FB275" s="35"/>
      <c r="FC275" s="35"/>
      <c r="FD275" s="35"/>
      <c r="FE275" s="35"/>
      <c r="FF275" s="35"/>
      <c r="FG275" s="35"/>
      <c r="FH275" s="35"/>
      <c r="FI275" s="35"/>
      <c r="FJ275" s="35"/>
      <c r="FK275" s="35"/>
      <c r="FL275" s="35"/>
      <c r="FM275" s="35"/>
      <c r="FN275" s="35"/>
      <c r="FO275" s="35"/>
      <c r="FP275" s="35"/>
      <c r="FQ275" s="52"/>
      <c r="FR275" s="8"/>
      <c r="FS275" s="9" t="s">
        <v>13</v>
      </c>
      <c r="FT275" s="9" t="str">
        <f t="shared" si="6370"/>
        <v>10. BAU Transition 10.2 Quarterly Reporting (QRTs) Peter Sherry</v>
      </c>
    </row>
    <row r="276" spans="1:176" s="9" customFormat="1" ht="12" hidden="1" customHeight="1" outlineLevel="1">
      <c r="A276" s="125" t="s">
        <v>4</v>
      </c>
      <c r="B276" s="123" t="s">
        <v>18</v>
      </c>
      <c r="C276" s="124" t="str">
        <f t="shared" si="6366"/>
        <v>4 days</v>
      </c>
      <c r="D276" s="13" t="str">
        <f>$A$264&amp;" "&amp;$A271</f>
        <v xml:space="preserve">10. BAU Transition 10.2 Quarterly Reporting (QRTs) </v>
      </c>
      <c r="E276" s="51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5"/>
      <c r="AE276" s="35"/>
      <c r="AF276" s="35"/>
      <c r="AG276" s="35"/>
      <c r="AH276" s="35"/>
      <c r="AI276" s="35"/>
      <c r="AJ276" s="35"/>
      <c r="AK276" s="35"/>
      <c r="AL276" s="36"/>
      <c r="AM276" s="36"/>
      <c r="AN276" s="36"/>
      <c r="AO276" s="36"/>
      <c r="AP276" s="36"/>
      <c r="AQ276" s="36"/>
      <c r="AR276" s="36"/>
      <c r="AS276" s="35"/>
      <c r="AT276" s="35"/>
      <c r="AU276" s="35"/>
      <c r="AV276" s="35"/>
      <c r="AW276" s="35"/>
      <c r="AX276" s="35"/>
      <c r="AY276" s="35"/>
      <c r="AZ276" s="35"/>
      <c r="BA276" s="35"/>
      <c r="BB276" s="35"/>
      <c r="BC276" s="35"/>
      <c r="BD276" s="35"/>
      <c r="BE276" s="35"/>
      <c r="BF276" s="35"/>
      <c r="BG276" s="35"/>
      <c r="BH276" s="35"/>
      <c r="BI276" s="35"/>
      <c r="BJ276" s="35"/>
      <c r="BK276" s="35"/>
      <c r="BL276" s="35"/>
      <c r="BM276" s="35"/>
      <c r="BN276" s="35"/>
      <c r="BO276" s="35"/>
      <c r="BP276" s="35"/>
      <c r="BQ276" s="35"/>
      <c r="BR276" s="35"/>
      <c r="BS276" s="35"/>
      <c r="BT276" s="35"/>
      <c r="BU276" s="35"/>
      <c r="BV276" s="35"/>
      <c r="BW276" s="35"/>
      <c r="BX276" s="35"/>
      <c r="BY276" s="35"/>
      <c r="BZ276" s="35"/>
      <c r="CA276" s="35"/>
      <c r="CB276" s="35"/>
      <c r="CC276" s="35"/>
      <c r="CD276" s="35"/>
      <c r="CE276" s="35"/>
      <c r="CF276" s="35"/>
      <c r="CG276" s="35"/>
      <c r="CH276" s="35"/>
      <c r="CI276" s="35"/>
      <c r="CJ276" s="35"/>
      <c r="CK276" s="35"/>
      <c r="CL276" s="35"/>
      <c r="CM276" s="35"/>
      <c r="CN276" s="35"/>
      <c r="CO276" s="35"/>
      <c r="CP276" s="35"/>
      <c r="CQ276" s="35"/>
      <c r="CR276" s="35"/>
      <c r="CS276" s="35"/>
      <c r="CT276" s="36"/>
      <c r="CU276" s="35"/>
      <c r="CV276" s="35"/>
      <c r="CW276" s="35"/>
      <c r="CX276" s="35"/>
      <c r="CY276" s="35"/>
      <c r="CZ276" s="36"/>
      <c r="DA276" s="36"/>
      <c r="DB276" s="35"/>
      <c r="DC276" s="35"/>
      <c r="DD276" s="35"/>
      <c r="DE276" s="35"/>
      <c r="DF276" s="35"/>
      <c r="DG276" s="35"/>
      <c r="DH276" s="35"/>
      <c r="DI276" s="35"/>
      <c r="DJ276" s="35"/>
      <c r="DK276" s="35"/>
      <c r="DL276" s="35"/>
      <c r="DM276" s="35"/>
      <c r="DN276" s="35"/>
      <c r="DO276" s="35"/>
      <c r="DP276" s="35"/>
      <c r="DQ276" s="35"/>
      <c r="DR276" s="35"/>
      <c r="DS276" s="35"/>
      <c r="DT276" s="35"/>
      <c r="DU276" s="35"/>
      <c r="DV276" s="35"/>
      <c r="DW276" s="35"/>
      <c r="DX276" s="35"/>
      <c r="DY276" s="35"/>
      <c r="DZ276" s="36"/>
      <c r="EA276" s="35"/>
      <c r="EB276" s="35"/>
      <c r="EC276" s="35"/>
      <c r="ED276" s="35"/>
      <c r="EE276" s="35"/>
      <c r="EF276" s="35"/>
      <c r="EG276" s="35"/>
      <c r="EH276" s="35"/>
      <c r="EI276" s="35"/>
      <c r="EJ276" s="35"/>
      <c r="EK276" s="35"/>
      <c r="EL276" s="35"/>
      <c r="EM276" s="35"/>
      <c r="EN276" s="35"/>
      <c r="EO276" s="35"/>
      <c r="EP276" s="35"/>
      <c r="EQ276" s="35"/>
      <c r="ER276" s="35"/>
      <c r="ES276" s="35"/>
      <c r="ET276" s="35"/>
      <c r="EU276" s="35">
        <v>1</v>
      </c>
      <c r="EV276" s="35">
        <v>1</v>
      </c>
      <c r="EW276" s="35">
        <v>1</v>
      </c>
      <c r="EX276" s="35">
        <v>1</v>
      </c>
      <c r="EY276" s="36"/>
      <c r="EZ276" s="35"/>
      <c r="FA276" s="35"/>
      <c r="FB276" s="35"/>
      <c r="FC276" s="35"/>
      <c r="FD276" s="35"/>
      <c r="FE276" s="35"/>
      <c r="FF276" s="35"/>
      <c r="FG276" s="35"/>
      <c r="FH276" s="35"/>
      <c r="FI276" s="35"/>
      <c r="FJ276" s="35"/>
      <c r="FK276" s="35"/>
      <c r="FL276" s="35"/>
      <c r="FM276" s="35"/>
      <c r="FN276" s="35"/>
      <c r="FO276" s="35"/>
      <c r="FP276" s="35"/>
      <c r="FQ276" s="52"/>
      <c r="FR276" s="8"/>
      <c r="FS276" s="9" t="s">
        <v>13</v>
      </c>
      <c r="FT276" s="9" t="str">
        <f t="shared" si="6370"/>
        <v>10. BAU Transition 10.2 Quarterly Reporting (QRTs) TM1 Analyst</v>
      </c>
    </row>
    <row r="277" spans="1:176" s="9" customFormat="1" ht="12" customHeight="1" collapsed="1">
      <c r="A277" s="119" t="s">
        <v>126</v>
      </c>
      <c r="B277" s="127"/>
      <c r="C277" s="121" t="str">
        <f t="shared" si="6366"/>
        <v>0 days</v>
      </c>
      <c r="D277" s="27"/>
      <c r="E277" s="91" t="str">
        <f t="shared" ref="E277:BP277" si="6374">IF(SUBTOTAL(9,E278:E282)&gt;0,SUBTOTAL(9,E278:E282),"")</f>
        <v/>
      </c>
      <c r="F277" s="34" t="str">
        <f>IF(SUBTOTAL(9,F278:F282)&gt;0,SUBTOTAL(9,F278:F282),"")</f>
        <v/>
      </c>
      <c r="G277" s="34" t="str">
        <f t="shared" si="6374"/>
        <v/>
      </c>
      <c r="H277" s="34" t="str">
        <f t="shared" si="6374"/>
        <v/>
      </c>
      <c r="I277" s="34" t="str">
        <f t="shared" si="6374"/>
        <v/>
      </c>
      <c r="J277" s="34" t="str">
        <f t="shared" si="6374"/>
        <v/>
      </c>
      <c r="K277" s="34" t="str">
        <f t="shared" si="6374"/>
        <v/>
      </c>
      <c r="L277" s="34" t="str">
        <f t="shared" si="6374"/>
        <v/>
      </c>
      <c r="M277" s="34" t="str">
        <f t="shared" si="6374"/>
        <v/>
      </c>
      <c r="N277" s="34" t="str">
        <f t="shared" si="6374"/>
        <v/>
      </c>
      <c r="O277" s="34" t="str">
        <f t="shared" si="6374"/>
        <v/>
      </c>
      <c r="P277" s="34" t="str">
        <f t="shared" si="6374"/>
        <v/>
      </c>
      <c r="Q277" s="34" t="str">
        <f t="shared" si="6374"/>
        <v/>
      </c>
      <c r="R277" s="34" t="str">
        <f t="shared" si="6374"/>
        <v/>
      </c>
      <c r="S277" s="34" t="str">
        <f t="shared" si="6374"/>
        <v/>
      </c>
      <c r="T277" s="34" t="str">
        <f t="shared" si="6374"/>
        <v/>
      </c>
      <c r="U277" s="34" t="str">
        <f t="shared" si="6374"/>
        <v/>
      </c>
      <c r="V277" s="34" t="str">
        <f t="shared" si="6374"/>
        <v/>
      </c>
      <c r="W277" s="34" t="str">
        <f t="shared" si="6374"/>
        <v/>
      </c>
      <c r="X277" s="34" t="str">
        <f t="shared" si="6374"/>
        <v/>
      </c>
      <c r="Y277" s="34" t="str">
        <f t="shared" si="6374"/>
        <v/>
      </c>
      <c r="Z277" s="34" t="str">
        <f t="shared" si="6374"/>
        <v/>
      </c>
      <c r="AA277" s="34" t="str">
        <f t="shared" si="6374"/>
        <v/>
      </c>
      <c r="AB277" s="34" t="str">
        <f t="shared" si="6374"/>
        <v/>
      </c>
      <c r="AC277" s="34" t="str">
        <f t="shared" si="6374"/>
        <v/>
      </c>
      <c r="AD277" s="34" t="str">
        <f t="shared" si="6374"/>
        <v/>
      </c>
      <c r="AE277" s="34" t="str">
        <f t="shared" si="6374"/>
        <v/>
      </c>
      <c r="AF277" s="34" t="str">
        <f t="shared" si="6374"/>
        <v/>
      </c>
      <c r="AG277" s="34" t="str">
        <f t="shared" si="6374"/>
        <v/>
      </c>
      <c r="AH277" s="34" t="str">
        <f t="shared" si="6374"/>
        <v/>
      </c>
      <c r="AI277" s="34" t="str">
        <f t="shared" si="6374"/>
        <v/>
      </c>
      <c r="AJ277" s="34" t="str">
        <f t="shared" si="6374"/>
        <v/>
      </c>
      <c r="AK277" s="34" t="str">
        <f t="shared" si="6374"/>
        <v/>
      </c>
      <c r="AL277" s="33" t="str">
        <f t="shared" si="6374"/>
        <v/>
      </c>
      <c r="AM277" s="33" t="str">
        <f t="shared" si="6374"/>
        <v/>
      </c>
      <c r="AN277" s="33" t="str">
        <f t="shared" si="6374"/>
        <v/>
      </c>
      <c r="AO277" s="33" t="str">
        <f t="shared" si="6374"/>
        <v/>
      </c>
      <c r="AP277" s="33" t="str">
        <f t="shared" si="6374"/>
        <v/>
      </c>
      <c r="AQ277" s="33" t="str">
        <f t="shared" si="6374"/>
        <v/>
      </c>
      <c r="AR277" s="33" t="str">
        <f t="shared" si="6374"/>
        <v/>
      </c>
      <c r="AS277" s="34" t="str">
        <f t="shared" si="6374"/>
        <v/>
      </c>
      <c r="AT277" s="34" t="str">
        <f t="shared" si="6374"/>
        <v/>
      </c>
      <c r="AU277" s="34" t="str">
        <f t="shared" si="6374"/>
        <v/>
      </c>
      <c r="AV277" s="34" t="str">
        <f t="shared" si="6374"/>
        <v/>
      </c>
      <c r="AW277" s="34" t="str">
        <f t="shared" si="6374"/>
        <v/>
      </c>
      <c r="AX277" s="34" t="str">
        <f t="shared" si="6374"/>
        <v/>
      </c>
      <c r="AY277" s="34" t="str">
        <f t="shared" si="6374"/>
        <v/>
      </c>
      <c r="AZ277" s="34" t="str">
        <f t="shared" si="6374"/>
        <v/>
      </c>
      <c r="BA277" s="34" t="str">
        <f t="shared" si="6374"/>
        <v/>
      </c>
      <c r="BB277" s="34" t="str">
        <f t="shared" si="6374"/>
        <v/>
      </c>
      <c r="BC277" s="34" t="str">
        <f t="shared" si="6374"/>
        <v/>
      </c>
      <c r="BD277" s="34" t="str">
        <f t="shared" si="6374"/>
        <v/>
      </c>
      <c r="BE277" s="34" t="str">
        <f t="shared" si="6374"/>
        <v/>
      </c>
      <c r="BF277" s="34" t="str">
        <f t="shared" si="6374"/>
        <v/>
      </c>
      <c r="BG277" s="34" t="str">
        <f t="shared" si="6374"/>
        <v/>
      </c>
      <c r="BH277" s="34" t="str">
        <f t="shared" si="6374"/>
        <v/>
      </c>
      <c r="BI277" s="34" t="str">
        <f t="shared" si="6374"/>
        <v/>
      </c>
      <c r="BJ277" s="34" t="str">
        <f t="shared" si="6374"/>
        <v/>
      </c>
      <c r="BK277" s="34" t="str">
        <f t="shared" si="6374"/>
        <v/>
      </c>
      <c r="BL277" s="34" t="str">
        <f t="shared" si="6374"/>
        <v/>
      </c>
      <c r="BM277" s="34" t="str">
        <f t="shared" si="6374"/>
        <v/>
      </c>
      <c r="BN277" s="34" t="str">
        <f t="shared" si="6374"/>
        <v/>
      </c>
      <c r="BO277" s="34" t="str">
        <f t="shared" si="6374"/>
        <v/>
      </c>
      <c r="BP277" s="34" t="str">
        <f t="shared" si="6374"/>
        <v/>
      </c>
      <c r="BQ277" s="34" t="str">
        <f t="shared" ref="BQ277:EB277" si="6375">IF(SUBTOTAL(9,BQ278:BQ282)&gt;0,SUBTOTAL(9,BQ278:BQ282),"")</f>
        <v/>
      </c>
      <c r="BR277" s="34" t="str">
        <f t="shared" si="6375"/>
        <v/>
      </c>
      <c r="BS277" s="34" t="str">
        <f t="shared" si="6375"/>
        <v/>
      </c>
      <c r="BT277" s="34" t="str">
        <f t="shared" si="6375"/>
        <v/>
      </c>
      <c r="BU277" s="34" t="str">
        <f t="shared" si="6375"/>
        <v/>
      </c>
      <c r="BV277" s="34" t="str">
        <f t="shared" si="6375"/>
        <v/>
      </c>
      <c r="BW277" s="34" t="str">
        <f t="shared" si="6375"/>
        <v/>
      </c>
      <c r="BX277" s="34" t="str">
        <f t="shared" si="6375"/>
        <v/>
      </c>
      <c r="BY277" s="34" t="str">
        <f t="shared" si="6375"/>
        <v/>
      </c>
      <c r="BZ277" s="34" t="str">
        <f t="shared" si="6375"/>
        <v/>
      </c>
      <c r="CA277" s="34" t="str">
        <f t="shared" si="6375"/>
        <v/>
      </c>
      <c r="CB277" s="34" t="str">
        <f t="shared" si="6375"/>
        <v/>
      </c>
      <c r="CC277" s="34" t="str">
        <f t="shared" si="6375"/>
        <v/>
      </c>
      <c r="CD277" s="34" t="str">
        <f t="shared" si="6375"/>
        <v/>
      </c>
      <c r="CE277" s="34" t="str">
        <f t="shared" si="6375"/>
        <v/>
      </c>
      <c r="CF277" s="34" t="str">
        <f t="shared" si="6375"/>
        <v/>
      </c>
      <c r="CG277" s="34" t="str">
        <f t="shared" si="6375"/>
        <v/>
      </c>
      <c r="CH277" s="34" t="str">
        <f t="shared" si="6375"/>
        <v/>
      </c>
      <c r="CI277" s="34" t="str">
        <f t="shared" si="6375"/>
        <v/>
      </c>
      <c r="CJ277" s="34" t="str">
        <f t="shared" si="6375"/>
        <v/>
      </c>
      <c r="CK277" s="34" t="str">
        <f t="shared" si="6375"/>
        <v/>
      </c>
      <c r="CL277" s="34" t="str">
        <f t="shared" si="6375"/>
        <v/>
      </c>
      <c r="CM277" s="34" t="str">
        <f t="shared" si="6375"/>
        <v/>
      </c>
      <c r="CN277" s="34" t="str">
        <f t="shared" si="6375"/>
        <v/>
      </c>
      <c r="CO277" s="34" t="str">
        <f t="shared" si="6375"/>
        <v/>
      </c>
      <c r="CP277" s="34" t="str">
        <f t="shared" si="6375"/>
        <v/>
      </c>
      <c r="CQ277" s="34" t="str">
        <f t="shared" si="6375"/>
        <v/>
      </c>
      <c r="CR277" s="34" t="str">
        <f t="shared" si="6375"/>
        <v/>
      </c>
      <c r="CS277" s="34" t="str">
        <f t="shared" si="6375"/>
        <v/>
      </c>
      <c r="CT277" s="33" t="str">
        <f t="shared" si="6375"/>
        <v/>
      </c>
      <c r="CU277" s="34" t="str">
        <f t="shared" si="6375"/>
        <v/>
      </c>
      <c r="CV277" s="34" t="str">
        <f t="shared" si="6375"/>
        <v/>
      </c>
      <c r="CW277" s="34" t="str">
        <f t="shared" si="6375"/>
        <v/>
      </c>
      <c r="CX277" s="34" t="str">
        <f t="shared" si="6375"/>
        <v/>
      </c>
      <c r="CY277" s="34" t="str">
        <f t="shared" si="6375"/>
        <v/>
      </c>
      <c r="CZ277" s="33" t="str">
        <f t="shared" si="6375"/>
        <v/>
      </c>
      <c r="DA277" s="33" t="str">
        <f t="shared" si="6375"/>
        <v/>
      </c>
      <c r="DB277" s="34" t="str">
        <f t="shared" si="6375"/>
        <v/>
      </c>
      <c r="DC277" s="34" t="str">
        <f t="shared" si="6375"/>
        <v/>
      </c>
      <c r="DD277" s="34" t="str">
        <f t="shared" si="6375"/>
        <v/>
      </c>
      <c r="DE277" s="34" t="str">
        <f t="shared" si="6375"/>
        <v/>
      </c>
      <c r="DF277" s="34" t="str">
        <f t="shared" si="6375"/>
        <v/>
      </c>
      <c r="DG277" s="34" t="str">
        <f t="shared" si="6375"/>
        <v/>
      </c>
      <c r="DH277" s="34" t="str">
        <f t="shared" si="6375"/>
        <v/>
      </c>
      <c r="DI277" s="34" t="str">
        <f t="shared" si="6375"/>
        <v/>
      </c>
      <c r="DJ277" s="34" t="str">
        <f t="shared" si="6375"/>
        <v/>
      </c>
      <c r="DK277" s="34" t="str">
        <f t="shared" si="6375"/>
        <v/>
      </c>
      <c r="DL277" s="34" t="str">
        <f t="shared" si="6375"/>
        <v/>
      </c>
      <c r="DM277" s="34" t="str">
        <f t="shared" si="6375"/>
        <v/>
      </c>
      <c r="DN277" s="34" t="str">
        <f t="shared" si="6375"/>
        <v/>
      </c>
      <c r="DO277" s="34" t="str">
        <f t="shared" si="6375"/>
        <v/>
      </c>
      <c r="DP277" s="34" t="str">
        <f t="shared" si="6375"/>
        <v/>
      </c>
      <c r="DQ277" s="34" t="str">
        <f t="shared" si="6375"/>
        <v/>
      </c>
      <c r="DR277" s="34" t="str">
        <f t="shared" si="6375"/>
        <v/>
      </c>
      <c r="DS277" s="34" t="str">
        <f t="shared" si="6375"/>
        <v/>
      </c>
      <c r="DT277" s="34" t="str">
        <f t="shared" si="6375"/>
        <v/>
      </c>
      <c r="DU277" s="34" t="str">
        <f t="shared" si="6375"/>
        <v/>
      </c>
      <c r="DV277" s="34" t="str">
        <f t="shared" si="6375"/>
        <v/>
      </c>
      <c r="DW277" s="34" t="str">
        <f t="shared" si="6375"/>
        <v/>
      </c>
      <c r="DX277" s="34" t="str">
        <f t="shared" si="6375"/>
        <v/>
      </c>
      <c r="DY277" s="34" t="str">
        <f t="shared" si="6375"/>
        <v/>
      </c>
      <c r="DZ277" s="33" t="str">
        <f t="shared" si="6375"/>
        <v/>
      </c>
      <c r="EA277" s="34" t="str">
        <f t="shared" si="6375"/>
        <v/>
      </c>
      <c r="EB277" s="34" t="str">
        <f t="shared" si="6375"/>
        <v/>
      </c>
      <c r="EC277" s="34" t="str">
        <f t="shared" ref="EC277:FQ277" si="6376">IF(SUBTOTAL(9,EC278:EC282)&gt;0,SUBTOTAL(9,EC278:EC282),"")</f>
        <v/>
      </c>
      <c r="ED277" s="34" t="str">
        <f t="shared" si="6376"/>
        <v/>
      </c>
      <c r="EE277" s="34" t="str">
        <f t="shared" si="6376"/>
        <v/>
      </c>
      <c r="EF277" s="34" t="str">
        <f t="shared" si="6376"/>
        <v/>
      </c>
      <c r="EG277" s="34" t="str">
        <f t="shared" si="6376"/>
        <v/>
      </c>
      <c r="EH277" s="34" t="str">
        <f t="shared" si="6376"/>
        <v/>
      </c>
      <c r="EI277" s="34" t="str">
        <f t="shared" si="6376"/>
        <v/>
      </c>
      <c r="EJ277" s="34" t="str">
        <f t="shared" si="6376"/>
        <v/>
      </c>
      <c r="EK277" s="34" t="str">
        <f t="shared" si="6376"/>
        <v/>
      </c>
      <c r="EL277" s="34" t="str">
        <f t="shared" si="6376"/>
        <v/>
      </c>
      <c r="EM277" s="34" t="str">
        <f t="shared" si="6376"/>
        <v/>
      </c>
      <c r="EN277" s="34" t="str">
        <f t="shared" si="6376"/>
        <v/>
      </c>
      <c r="EO277" s="34" t="str">
        <f t="shared" si="6376"/>
        <v/>
      </c>
      <c r="EP277" s="34" t="str">
        <f t="shared" si="6376"/>
        <v/>
      </c>
      <c r="EQ277" s="34" t="str">
        <f t="shared" si="6376"/>
        <v/>
      </c>
      <c r="ER277" s="34" t="str">
        <f t="shared" si="6376"/>
        <v/>
      </c>
      <c r="ES277" s="34" t="str">
        <f t="shared" si="6376"/>
        <v/>
      </c>
      <c r="ET277" s="34" t="str">
        <f t="shared" si="6376"/>
        <v/>
      </c>
      <c r="EU277" s="34" t="str">
        <f t="shared" si="6376"/>
        <v/>
      </c>
      <c r="EV277" s="34" t="str">
        <f t="shared" si="6376"/>
        <v/>
      </c>
      <c r="EW277" s="34" t="str">
        <f t="shared" si="6376"/>
        <v/>
      </c>
      <c r="EX277" s="34" t="str">
        <f t="shared" si="6376"/>
        <v/>
      </c>
      <c r="EY277" s="33" t="str">
        <f t="shared" si="6376"/>
        <v/>
      </c>
      <c r="EZ277" s="34" t="str">
        <f t="shared" si="6376"/>
        <v/>
      </c>
      <c r="FA277" s="34" t="str">
        <f t="shared" si="6376"/>
        <v/>
      </c>
      <c r="FB277" s="34" t="str">
        <f t="shared" si="6376"/>
        <v/>
      </c>
      <c r="FC277" s="34" t="str">
        <f t="shared" si="6376"/>
        <v/>
      </c>
      <c r="FD277" s="34" t="str">
        <f t="shared" si="6376"/>
        <v/>
      </c>
      <c r="FE277" s="34" t="str">
        <f t="shared" si="6376"/>
        <v/>
      </c>
      <c r="FF277" s="34" t="str">
        <f t="shared" si="6376"/>
        <v/>
      </c>
      <c r="FG277" s="34" t="str">
        <f t="shared" si="6376"/>
        <v/>
      </c>
      <c r="FH277" s="34" t="str">
        <f t="shared" si="6376"/>
        <v/>
      </c>
      <c r="FI277" s="34" t="str">
        <f t="shared" si="6376"/>
        <v/>
      </c>
      <c r="FJ277" s="34" t="str">
        <f t="shared" si="6376"/>
        <v/>
      </c>
      <c r="FK277" s="34" t="str">
        <f t="shared" si="6376"/>
        <v/>
      </c>
      <c r="FL277" s="34" t="str">
        <f t="shared" si="6376"/>
        <v/>
      </c>
      <c r="FM277" s="34" t="str">
        <f t="shared" si="6376"/>
        <v/>
      </c>
      <c r="FN277" s="34" t="str">
        <f t="shared" si="6376"/>
        <v/>
      </c>
      <c r="FO277" s="34" t="str">
        <f t="shared" si="6376"/>
        <v/>
      </c>
      <c r="FP277" s="34" t="str">
        <f t="shared" si="6376"/>
        <v/>
      </c>
      <c r="FQ277" s="92" t="str">
        <f t="shared" si="6376"/>
        <v/>
      </c>
      <c r="FR277" s="8"/>
      <c r="FS277" s="9" t="s">
        <v>131</v>
      </c>
      <c r="FT277" s="9" t="str">
        <f t="shared" si="6370"/>
        <v/>
      </c>
    </row>
    <row r="278" spans="1:176" s="9" customFormat="1" ht="12" hidden="1" customHeight="1" outlineLevel="1">
      <c r="A278" s="125" t="s">
        <v>4</v>
      </c>
      <c r="B278" s="123" t="s">
        <v>16</v>
      </c>
      <c r="C278" s="124" t="str">
        <f t="shared" si="6366"/>
        <v>0 days</v>
      </c>
      <c r="D278" s="13" t="str">
        <f>$A$264&amp;" "&amp;$A277</f>
        <v>10. BAU Transition 10.3 Quarterly Process Documentation</v>
      </c>
      <c r="E278" s="51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5"/>
      <c r="AE278" s="35"/>
      <c r="AF278" s="35"/>
      <c r="AG278" s="35"/>
      <c r="AH278" s="35"/>
      <c r="AI278" s="35"/>
      <c r="AJ278" s="35"/>
      <c r="AK278" s="35"/>
      <c r="AL278" s="36"/>
      <c r="AM278" s="36"/>
      <c r="AN278" s="36"/>
      <c r="AO278" s="36"/>
      <c r="AP278" s="36"/>
      <c r="AQ278" s="36"/>
      <c r="AR278" s="36"/>
      <c r="AS278" s="35"/>
      <c r="AT278" s="35"/>
      <c r="AU278" s="35"/>
      <c r="AV278" s="35"/>
      <c r="AW278" s="35"/>
      <c r="AX278" s="35"/>
      <c r="AY278" s="35"/>
      <c r="AZ278" s="35"/>
      <c r="BA278" s="35"/>
      <c r="BB278" s="35"/>
      <c r="BC278" s="35"/>
      <c r="BD278" s="35"/>
      <c r="BE278" s="35"/>
      <c r="BF278" s="35"/>
      <c r="BG278" s="35"/>
      <c r="BH278" s="35"/>
      <c r="BI278" s="35"/>
      <c r="BJ278" s="35"/>
      <c r="BK278" s="35"/>
      <c r="BL278" s="35"/>
      <c r="BM278" s="35"/>
      <c r="BN278" s="35"/>
      <c r="BO278" s="35"/>
      <c r="BP278" s="35"/>
      <c r="BQ278" s="35"/>
      <c r="BR278" s="35"/>
      <c r="BS278" s="35"/>
      <c r="BT278" s="35"/>
      <c r="BU278" s="35"/>
      <c r="BV278" s="35"/>
      <c r="BW278" s="35"/>
      <c r="BX278" s="35"/>
      <c r="BY278" s="35"/>
      <c r="BZ278" s="35"/>
      <c r="CA278" s="35"/>
      <c r="CB278" s="35"/>
      <c r="CC278" s="35"/>
      <c r="CD278" s="35"/>
      <c r="CE278" s="35"/>
      <c r="CF278" s="35"/>
      <c r="CG278" s="35"/>
      <c r="CH278" s="35"/>
      <c r="CI278" s="35"/>
      <c r="CJ278" s="35"/>
      <c r="CK278" s="35"/>
      <c r="CL278" s="35"/>
      <c r="CM278" s="35"/>
      <c r="CN278" s="35"/>
      <c r="CO278" s="35"/>
      <c r="CP278" s="35"/>
      <c r="CQ278" s="35"/>
      <c r="CR278" s="35"/>
      <c r="CS278" s="35"/>
      <c r="CT278" s="36"/>
      <c r="CU278" s="35"/>
      <c r="CV278" s="35"/>
      <c r="CW278" s="35"/>
      <c r="CX278" s="35"/>
      <c r="CY278" s="35"/>
      <c r="CZ278" s="36"/>
      <c r="DA278" s="36"/>
      <c r="DB278" s="35"/>
      <c r="DC278" s="35"/>
      <c r="DD278" s="35"/>
      <c r="DE278" s="35"/>
      <c r="DF278" s="35"/>
      <c r="DG278" s="35"/>
      <c r="DH278" s="35"/>
      <c r="DI278" s="35"/>
      <c r="DJ278" s="35"/>
      <c r="DK278" s="35"/>
      <c r="DL278" s="35"/>
      <c r="DM278" s="35"/>
      <c r="DN278" s="35"/>
      <c r="DO278" s="35"/>
      <c r="DP278" s="35"/>
      <c r="DQ278" s="35"/>
      <c r="DR278" s="35"/>
      <c r="DS278" s="35"/>
      <c r="DT278" s="35"/>
      <c r="DU278" s="35"/>
      <c r="DV278" s="35"/>
      <c r="DW278" s="35"/>
      <c r="DX278" s="35"/>
      <c r="DY278" s="35"/>
      <c r="DZ278" s="36"/>
      <c r="EA278" s="35"/>
      <c r="EB278" s="35"/>
      <c r="EC278" s="35"/>
      <c r="ED278" s="35"/>
      <c r="EE278" s="35"/>
      <c r="EF278" s="35"/>
      <c r="EG278" s="35"/>
      <c r="EH278" s="35"/>
      <c r="EI278" s="35"/>
      <c r="EJ278" s="35"/>
      <c r="EK278" s="35"/>
      <c r="EL278" s="35"/>
      <c r="EM278" s="35"/>
      <c r="EN278" s="35"/>
      <c r="EO278" s="35"/>
      <c r="EP278" s="35"/>
      <c r="EQ278" s="35"/>
      <c r="ER278" s="35"/>
      <c r="ES278" s="35"/>
      <c r="ET278" s="35"/>
      <c r="EU278" s="35"/>
      <c r="EV278" s="35"/>
      <c r="EW278" s="35"/>
      <c r="EX278" s="35"/>
      <c r="EY278" s="36"/>
      <c r="EZ278" s="35"/>
      <c r="FA278" s="35"/>
      <c r="FB278" s="35"/>
      <c r="FC278" s="35"/>
      <c r="FD278" s="35"/>
      <c r="FE278" s="35"/>
      <c r="FF278" s="35"/>
      <c r="FG278" s="35"/>
      <c r="FH278" s="35"/>
      <c r="FI278" s="35"/>
      <c r="FJ278" s="35"/>
      <c r="FK278" s="35"/>
      <c r="FL278" s="35"/>
      <c r="FM278" s="35"/>
      <c r="FN278" s="35"/>
      <c r="FO278" s="35"/>
      <c r="FP278" s="35"/>
      <c r="FQ278" s="52"/>
      <c r="FR278" s="8"/>
      <c r="FS278" s="9" t="s">
        <v>13</v>
      </c>
      <c r="FT278" s="9" t="str">
        <f t="shared" si="6370"/>
        <v>10. BAU Transition 10.3 Quarterly Process DocumentationJunior Accountant</v>
      </c>
    </row>
    <row r="279" spans="1:176" s="9" customFormat="1" ht="12" hidden="1" customHeight="1" outlineLevel="1">
      <c r="A279" s="125" t="s">
        <v>4</v>
      </c>
      <c r="B279" s="123" t="s">
        <v>17</v>
      </c>
      <c r="C279" s="124" t="str">
        <f t="shared" si="6366"/>
        <v>0 days</v>
      </c>
      <c r="D279" s="13" t="str">
        <f>$A$264&amp;" "&amp;$A277</f>
        <v>10. BAU Transition 10.3 Quarterly Process Documentation</v>
      </c>
      <c r="E279" s="51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5"/>
      <c r="AE279" s="35"/>
      <c r="AF279" s="35"/>
      <c r="AG279" s="35"/>
      <c r="AH279" s="35"/>
      <c r="AI279" s="35"/>
      <c r="AJ279" s="35"/>
      <c r="AK279" s="35"/>
      <c r="AL279" s="36"/>
      <c r="AM279" s="36"/>
      <c r="AN279" s="36"/>
      <c r="AO279" s="36"/>
      <c r="AP279" s="36"/>
      <c r="AQ279" s="36"/>
      <c r="AR279" s="36"/>
      <c r="AS279" s="35"/>
      <c r="AT279" s="35"/>
      <c r="AU279" s="35"/>
      <c r="AV279" s="35"/>
      <c r="AW279" s="35"/>
      <c r="AX279" s="35"/>
      <c r="AY279" s="35"/>
      <c r="AZ279" s="35"/>
      <c r="BA279" s="35"/>
      <c r="BB279" s="35"/>
      <c r="BC279" s="35"/>
      <c r="BD279" s="35"/>
      <c r="BE279" s="35"/>
      <c r="BF279" s="35"/>
      <c r="BG279" s="35"/>
      <c r="BH279" s="35"/>
      <c r="BI279" s="35"/>
      <c r="BJ279" s="35"/>
      <c r="BK279" s="35"/>
      <c r="BL279" s="35"/>
      <c r="BM279" s="35"/>
      <c r="BN279" s="35"/>
      <c r="BO279" s="35"/>
      <c r="BP279" s="35"/>
      <c r="BQ279" s="35"/>
      <c r="BR279" s="35"/>
      <c r="BS279" s="35"/>
      <c r="BT279" s="35"/>
      <c r="BU279" s="35"/>
      <c r="BV279" s="35"/>
      <c r="BW279" s="35"/>
      <c r="BX279" s="35"/>
      <c r="BY279" s="35"/>
      <c r="BZ279" s="35"/>
      <c r="CA279" s="35"/>
      <c r="CB279" s="35"/>
      <c r="CC279" s="35"/>
      <c r="CD279" s="35"/>
      <c r="CE279" s="35"/>
      <c r="CF279" s="35"/>
      <c r="CG279" s="35"/>
      <c r="CH279" s="35"/>
      <c r="CI279" s="35"/>
      <c r="CJ279" s="35"/>
      <c r="CK279" s="35"/>
      <c r="CL279" s="35"/>
      <c r="CM279" s="35"/>
      <c r="CN279" s="35"/>
      <c r="CO279" s="35"/>
      <c r="CP279" s="35"/>
      <c r="CQ279" s="35"/>
      <c r="CR279" s="35"/>
      <c r="CS279" s="35"/>
      <c r="CT279" s="36"/>
      <c r="CU279" s="35"/>
      <c r="CV279" s="35"/>
      <c r="CW279" s="35"/>
      <c r="CX279" s="35"/>
      <c r="CY279" s="35"/>
      <c r="CZ279" s="36"/>
      <c r="DA279" s="36"/>
      <c r="DB279" s="35"/>
      <c r="DC279" s="35"/>
      <c r="DD279" s="35"/>
      <c r="DE279" s="35"/>
      <c r="DF279" s="35"/>
      <c r="DG279" s="35"/>
      <c r="DH279" s="35"/>
      <c r="DI279" s="35"/>
      <c r="DJ279" s="35"/>
      <c r="DK279" s="35"/>
      <c r="DL279" s="35"/>
      <c r="DM279" s="35"/>
      <c r="DN279" s="35"/>
      <c r="DO279" s="35"/>
      <c r="DP279" s="35"/>
      <c r="DQ279" s="35"/>
      <c r="DR279" s="35"/>
      <c r="DS279" s="35"/>
      <c r="DT279" s="35"/>
      <c r="DU279" s="35"/>
      <c r="DV279" s="35"/>
      <c r="DW279" s="35"/>
      <c r="DX279" s="35"/>
      <c r="DY279" s="35"/>
      <c r="DZ279" s="36"/>
      <c r="EA279" s="35"/>
      <c r="EB279" s="35"/>
      <c r="EC279" s="35"/>
      <c r="ED279" s="35"/>
      <c r="EE279" s="35"/>
      <c r="EF279" s="35"/>
      <c r="EG279" s="35"/>
      <c r="EH279" s="35"/>
      <c r="EI279" s="93"/>
      <c r="EJ279" s="93"/>
      <c r="EK279" s="35"/>
      <c r="EL279" s="35"/>
      <c r="EM279" s="35"/>
      <c r="EN279" s="35"/>
      <c r="EO279" s="35"/>
      <c r="EP279" s="35"/>
      <c r="EQ279" s="35"/>
      <c r="ER279" s="35"/>
      <c r="ES279" s="35"/>
      <c r="ET279" s="35"/>
      <c r="EU279" s="35"/>
      <c r="EV279" s="35"/>
      <c r="EW279" s="35"/>
      <c r="EX279" s="35"/>
      <c r="EY279" s="36"/>
      <c r="EZ279" s="35"/>
      <c r="FA279" s="35"/>
      <c r="FB279" s="35"/>
      <c r="FC279" s="35"/>
      <c r="FD279" s="35"/>
      <c r="FE279" s="35"/>
      <c r="FF279" s="35"/>
      <c r="FG279" s="35"/>
      <c r="FH279" s="35"/>
      <c r="FI279" s="35"/>
      <c r="FJ279" s="35"/>
      <c r="FK279" s="35"/>
      <c r="FL279" s="35"/>
      <c r="FM279" s="35"/>
      <c r="FN279" s="35"/>
      <c r="FO279" s="35"/>
      <c r="FP279" s="35"/>
      <c r="FQ279" s="52"/>
      <c r="FR279" s="8"/>
      <c r="FS279" s="9" t="s">
        <v>13</v>
      </c>
      <c r="FT279" s="9" t="str">
        <f t="shared" si="6370"/>
        <v>10. BAU Transition 10.3 Quarterly Process DocumentationSenior Accountant</v>
      </c>
    </row>
    <row r="280" spans="1:176" s="9" customFormat="1" ht="12" hidden="1" customHeight="1" outlineLevel="1">
      <c r="A280" s="125" t="s">
        <v>4</v>
      </c>
      <c r="B280" s="130" t="s">
        <v>10</v>
      </c>
      <c r="C280" s="131" t="str">
        <f t="shared" si="6366"/>
        <v>0 days</v>
      </c>
      <c r="D280" s="101" t="str">
        <f>$A$264&amp;" "&amp;$A277</f>
        <v>10. BAU Transition 10.3 Quarterly Process Documentation</v>
      </c>
      <c r="E280" s="51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5"/>
      <c r="AE280" s="35"/>
      <c r="AF280" s="35"/>
      <c r="AG280" s="35"/>
      <c r="AH280" s="35"/>
      <c r="AI280" s="35"/>
      <c r="AJ280" s="35"/>
      <c r="AK280" s="35"/>
      <c r="AL280" s="36"/>
      <c r="AM280" s="36"/>
      <c r="AN280" s="36"/>
      <c r="AO280" s="36"/>
      <c r="AP280" s="36"/>
      <c r="AQ280" s="36"/>
      <c r="AR280" s="36"/>
      <c r="AS280" s="35"/>
      <c r="AT280" s="35"/>
      <c r="AU280" s="35"/>
      <c r="AV280" s="35"/>
      <c r="AW280" s="35"/>
      <c r="AX280" s="35"/>
      <c r="AY280" s="35"/>
      <c r="AZ280" s="35"/>
      <c r="BA280" s="35"/>
      <c r="BB280" s="35"/>
      <c r="BC280" s="35"/>
      <c r="BD280" s="35"/>
      <c r="BE280" s="35"/>
      <c r="BF280" s="35"/>
      <c r="BG280" s="35"/>
      <c r="BH280" s="35"/>
      <c r="BI280" s="35"/>
      <c r="BJ280" s="35"/>
      <c r="BK280" s="35"/>
      <c r="BL280" s="35"/>
      <c r="BM280" s="35"/>
      <c r="BN280" s="35"/>
      <c r="BO280" s="35"/>
      <c r="BP280" s="35"/>
      <c r="BQ280" s="35"/>
      <c r="BR280" s="35"/>
      <c r="BS280" s="35"/>
      <c r="BT280" s="35"/>
      <c r="BU280" s="35"/>
      <c r="BV280" s="35"/>
      <c r="BW280" s="35"/>
      <c r="BX280" s="35"/>
      <c r="BY280" s="35"/>
      <c r="BZ280" s="35"/>
      <c r="CA280" s="35"/>
      <c r="CB280" s="35"/>
      <c r="CC280" s="35"/>
      <c r="CD280" s="35"/>
      <c r="CE280" s="35"/>
      <c r="CF280" s="35"/>
      <c r="CG280" s="35"/>
      <c r="CH280" s="35"/>
      <c r="CI280" s="35"/>
      <c r="CJ280" s="35"/>
      <c r="CK280" s="35"/>
      <c r="CL280" s="35"/>
      <c r="CM280" s="35"/>
      <c r="CN280" s="35"/>
      <c r="CO280" s="35"/>
      <c r="CP280" s="35"/>
      <c r="CQ280" s="35"/>
      <c r="CR280" s="35"/>
      <c r="CS280" s="35"/>
      <c r="CT280" s="36"/>
      <c r="CU280" s="35"/>
      <c r="CV280" s="35"/>
      <c r="CW280" s="35"/>
      <c r="CX280" s="35"/>
      <c r="CY280" s="35"/>
      <c r="CZ280" s="36"/>
      <c r="DA280" s="36"/>
      <c r="DB280" s="35"/>
      <c r="DC280" s="35"/>
      <c r="DD280" s="35"/>
      <c r="DE280" s="35"/>
      <c r="DF280" s="35"/>
      <c r="DG280" s="35"/>
      <c r="DH280" s="35"/>
      <c r="DI280" s="35"/>
      <c r="DJ280" s="35"/>
      <c r="DK280" s="35"/>
      <c r="DL280" s="35"/>
      <c r="DM280" s="35"/>
      <c r="DN280" s="35"/>
      <c r="DO280" s="35"/>
      <c r="DP280" s="35"/>
      <c r="DQ280" s="35"/>
      <c r="DR280" s="35"/>
      <c r="DS280" s="35"/>
      <c r="DT280" s="35"/>
      <c r="DU280" s="35"/>
      <c r="DV280" s="35"/>
      <c r="DW280" s="35"/>
      <c r="DX280" s="35"/>
      <c r="DY280" s="35"/>
      <c r="DZ280" s="36"/>
      <c r="EA280" s="35"/>
      <c r="EB280" s="35"/>
      <c r="EC280" s="35"/>
      <c r="ED280" s="35"/>
      <c r="EE280" s="35"/>
      <c r="EF280" s="35"/>
      <c r="EG280" s="35"/>
      <c r="EH280" s="35"/>
      <c r="EI280" s="35"/>
      <c r="EJ280" s="35"/>
      <c r="EK280" s="35"/>
      <c r="EL280" s="35"/>
      <c r="EM280" s="35"/>
      <c r="EN280" s="35"/>
      <c r="EO280" s="35"/>
      <c r="EP280" s="35"/>
      <c r="EQ280" s="35"/>
      <c r="ER280" s="35"/>
      <c r="ES280" s="35"/>
      <c r="ET280" s="35"/>
      <c r="EU280" s="35"/>
      <c r="EV280" s="35"/>
      <c r="EW280" s="35"/>
      <c r="EX280" s="35"/>
      <c r="EY280" s="36"/>
      <c r="EZ280" s="35"/>
      <c r="FA280" s="35"/>
      <c r="FB280" s="35"/>
      <c r="FC280" s="35"/>
      <c r="FD280" s="35"/>
      <c r="FE280" s="35"/>
      <c r="FF280" s="35"/>
      <c r="FG280" s="35"/>
      <c r="FH280" s="35"/>
      <c r="FI280" s="35"/>
      <c r="FJ280" s="35"/>
      <c r="FK280" s="35"/>
      <c r="FL280" s="35"/>
      <c r="FM280" s="35"/>
      <c r="FN280" s="35"/>
      <c r="FO280" s="35"/>
      <c r="FP280" s="35"/>
      <c r="FQ280" s="52"/>
      <c r="FR280" s="8"/>
      <c r="FS280" s="9" t="s">
        <v>13</v>
      </c>
      <c r="FT280" s="9" t="str">
        <f t="shared" si="6370"/>
        <v>10. BAU Transition 10.3 Quarterly Process DocumentationGlenn Kirk</v>
      </c>
    </row>
    <row r="281" spans="1:176" s="9" customFormat="1" ht="12" hidden="1" customHeight="1" outlineLevel="1">
      <c r="A281" s="125"/>
      <c r="B281" s="123" t="s">
        <v>6</v>
      </c>
      <c r="C281" s="124" t="str">
        <f t="shared" si="6366"/>
        <v>0 days</v>
      </c>
      <c r="D281" s="13" t="str">
        <f>$A$264&amp;" "&amp;$A277</f>
        <v>10. BAU Transition 10.3 Quarterly Process Documentation</v>
      </c>
      <c r="E281" s="51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5"/>
      <c r="AE281" s="35"/>
      <c r="AF281" s="35"/>
      <c r="AG281" s="35"/>
      <c r="AH281" s="35"/>
      <c r="AI281" s="35"/>
      <c r="AJ281" s="35"/>
      <c r="AK281" s="35"/>
      <c r="AL281" s="36"/>
      <c r="AM281" s="36"/>
      <c r="AN281" s="36"/>
      <c r="AO281" s="36"/>
      <c r="AP281" s="36"/>
      <c r="AQ281" s="36"/>
      <c r="AR281" s="36"/>
      <c r="AS281" s="35"/>
      <c r="AT281" s="35"/>
      <c r="AU281" s="35"/>
      <c r="AV281" s="35"/>
      <c r="AW281" s="35"/>
      <c r="AX281" s="35"/>
      <c r="AY281" s="35"/>
      <c r="AZ281" s="35"/>
      <c r="BA281" s="35"/>
      <c r="BB281" s="35"/>
      <c r="BC281" s="35"/>
      <c r="BD281" s="35"/>
      <c r="BE281" s="35"/>
      <c r="BF281" s="35"/>
      <c r="BG281" s="35"/>
      <c r="BH281" s="35"/>
      <c r="BI281" s="35"/>
      <c r="BJ281" s="35"/>
      <c r="BK281" s="35"/>
      <c r="BL281" s="35"/>
      <c r="BM281" s="35"/>
      <c r="BN281" s="35"/>
      <c r="BO281" s="35"/>
      <c r="BP281" s="35"/>
      <c r="BQ281" s="35"/>
      <c r="BR281" s="35"/>
      <c r="BS281" s="35"/>
      <c r="BT281" s="35"/>
      <c r="BU281" s="35"/>
      <c r="BV281" s="35"/>
      <c r="BW281" s="35"/>
      <c r="BX281" s="35"/>
      <c r="BY281" s="35"/>
      <c r="BZ281" s="35"/>
      <c r="CA281" s="35"/>
      <c r="CB281" s="35"/>
      <c r="CC281" s="35"/>
      <c r="CD281" s="35"/>
      <c r="CE281" s="35"/>
      <c r="CF281" s="35"/>
      <c r="CG281" s="35"/>
      <c r="CH281" s="35"/>
      <c r="CI281" s="35"/>
      <c r="CJ281" s="35"/>
      <c r="CK281" s="35"/>
      <c r="CL281" s="35"/>
      <c r="CM281" s="35"/>
      <c r="CN281" s="35"/>
      <c r="CO281" s="35"/>
      <c r="CP281" s="35"/>
      <c r="CQ281" s="35"/>
      <c r="CR281" s="35"/>
      <c r="CS281" s="35"/>
      <c r="CT281" s="36"/>
      <c r="CU281" s="35"/>
      <c r="CV281" s="35"/>
      <c r="CW281" s="35"/>
      <c r="CX281" s="35"/>
      <c r="CY281" s="35"/>
      <c r="CZ281" s="36"/>
      <c r="DA281" s="36"/>
      <c r="DB281" s="35"/>
      <c r="DC281" s="35"/>
      <c r="DD281" s="35"/>
      <c r="DE281" s="35"/>
      <c r="DF281" s="35"/>
      <c r="DG281" s="35"/>
      <c r="DH281" s="35"/>
      <c r="DI281" s="35"/>
      <c r="DJ281" s="35"/>
      <c r="DK281" s="35"/>
      <c r="DL281" s="35"/>
      <c r="DM281" s="35"/>
      <c r="DN281" s="35"/>
      <c r="DO281" s="35"/>
      <c r="DP281" s="35"/>
      <c r="DQ281" s="35"/>
      <c r="DR281" s="35"/>
      <c r="DS281" s="35"/>
      <c r="DT281" s="35"/>
      <c r="DU281" s="35"/>
      <c r="DV281" s="35"/>
      <c r="DW281" s="35"/>
      <c r="DX281" s="35"/>
      <c r="DY281" s="35"/>
      <c r="DZ281" s="36"/>
      <c r="EA281" s="35"/>
      <c r="EB281" s="35"/>
      <c r="EC281" s="35"/>
      <c r="ED281" s="35"/>
      <c r="EE281" s="35"/>
      <c r="EF281" s="35"/>
      <c r="EG281" s="35"/>
      <c r="EH281" s="35"/>
      <c r="EI281" s="35"/>
      <c r="EJ281" s="35"/>
      <c r="EK281" s="35"/>
      <c r="EL281" s="35"/>
      <c r="EM281" s="35"/>
      <c r="EN281" s="35"/>
      <c r="EO281" s="35"/>
      <c r="EP281" s="35"/>
      <c r="EQ281" s="35"/>
      <c r="ER281" s="35"/>
      <c r="ES281" s="35"/>
      <c r="ET281" s="35"/>
      <c r="EU281" s="35"/>
      <c r="EV281" s="35"/>
      <c r="EW281" s="35"/>
      <c r="EX281" s="35"/>
      <c r="EY281" s="36"/>
      <c r="EZ281" s="35"/>
      <c r="FA281" s="35"/>
      <c r="FB281" s="35"/>
      <c r="FC281" s="35"/>
      <c r="FD281" s="35"/>
      <c r="FE281" s="35"/>
      <c r="FF281" s="35"/>
      <c r="FG281" s="35"/>
      <c r="FH281" s="35"/>
      <c r="FI281" s="35"/>
      <c r="FJ281" s="35"/>
      <c r="FK281" s="35"/>
      <c r="FL281" s="35"/>
      <c r="FM281" s="35"/>
      <c r="FN281" s="35"/>
      <c r="FO281" s="35"/>
      <c r="FP281" s="35"/>
      <c r="FQ281" s="52"/>
      <c r="FR281" s="8"/>
      <c r="FS281" s="9" t="s">
        <v>13</v>
      </c>
      <c r="FT281" s="9" t="str">
        <f t="shared" si="6370"/>
        <v>10. BAU Transition 10.3 Quarterly Process DocumentationPeter Sherry</v>
      </c>
    </row>
    <row r="282" spans="1:176" s="9" customFormat="1" ht="12" hidden="1" customHeight="1" outlineLevel="1">
      <c r="A282" s="125"/>
      <c r="B282" s="123"/>
      <c r="C282" s="124" t="str">
        <f t="shared" si="6366"/>
        <v>0 days</v>
      </c>
      <c r="D282" s="13" t="str">
        <f>$A$264&amp;" "&amp;$A277</f>
        <v>10. BAU Transition 10.3 Quarterly Process Documentation</v>
      </c>
      <c r="E282" s="51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D282" s="35"/>
      <c r="AE282" s="35"/>
      <c r="AF282" s="35"/>
      <c r="AG282" s="35"/>
      <c r="AH282" s="35"/>
      <c r="AI282" s="35"/>
      <c r="AJ282" s="35"/>
      <c r="AK282" s="35"/>
      <c r="AL282" s="36"/>
      <c r="AM282" s="36"/>
      <c r="AN282" s="36"/>
      <c r="AO282" s="36"/>
      <c r="AP282" s="36"/>
      <c r="AQ282" s="36"/>
      <c r="AR282" s="36"/>
      <c r="AS282" s="35"/>
      <c r="AT282" s="35"/>
      <c r="AU282" s="35"/>
      <c r="AV282" s="35"/>
      <c r="AW282" s="35"/>
      <c r="AX282" s="35"/>
      <c r="AY282" s="35"/>
      <c r="AZ282" s="35"/>
      <c r="BA282" s="35"/>
      <c r="BB282" s="35"/>
      <c r="BC282" s="35"/>
      <c r="BD282" s="35"/>
      <c r="BE282" s="35"/>
      <c r="BF282" s="35"/>
      <c r="BG282" s="35"/>
      <c r="BH282" s="35"/>
      <c r="BI282" s="35"/>
      <c r="BJ282" s="35"/>
      <c r="BK282" s="35"/>
      <c r="BL282" s="35"/>
      <c r="BM282" s="35"/>
      <c r="BN282" s="35"/>
      <c r="BO282" s="35"/>
      <c r="BP282" s="35"/>
      <c r="BQ282" s="35"/>
      <c r="BR282" s="35"/>
      <c r="BS282" s="35"/>
      <c r="BT282" s="35"/>
      <c r="BU282" s="35"/>
      <c r="BV282" s="35"/>
      <c r="BW282" s="35"/>
      <c r="BX282" s="35"/>
      <c r="BY282" s="35"/>
      <c r="BZ282" s="35"/>
      <c r="CA282" s="35"/>
      <c r="CB282" s="35"/>
      <c r="CC282" s="35"/>
      <c r="CD282" s="35"/>
      <c r="CE282" s="35"/>
      <c r="CF282" s="35"/>
      <c r="CG282" s="35"/>
      <c r="CH282" s="35"/>
      <c r="CI282" s="35"/>
      <c r="CJ282" s="35"/>
      <c r="CK282" s="35"/>
      <c r="CL282" s="35"/>
      <c r="CM282" s="35"/>
      <c r="CN282" s="35"/>
      <c r="CO282" s="35"/>
      <c r="CP282" s="35"/>
      <c r="CQ282" s="35"/>
      <c r="CR282" s="35"/>
      <c r="CS282" s="35"/>
      <c r="CT282" s="36"/>
      <c r="CU282" s="35"/>
      <c r="CV282" s="35"/>
      <c r="CW282" s="35"/>
      <c r="CX282" s="35"/>
      <c r="CY282" s="35"/>
      <c r="CZ282" s="36"/>
      <c r="DA282" s="36"/>
      <c r="DB282" s="35"/>
      <c r="DC282" s="35"/>
      <c r="DD282" s="35"/>
      <c r="DE282" s="35"/>
      <c r="DF282" s="35"/>
      <c r="DG282" s="35"/>
      <c r="DH282" s="35"/>
      <c r="DI282" s="35"/>
      <c r="DJ282" s="35"/>
      <c r="DK282" s="35"/>
      <c r="DL282" s="35"/>
      <c r="DM282" s="35"/>
      <c r="DN282" s="35"/>
      <c r="DO282" s="35"/>
      <c r="DP282" s="35"/>
      <c r="DQ282" s="35"/>
      <c r="DR282" s="35"/>
      <c r="DS282" s="35"/>
      <c r="DT282" s="35"/>
      <c r="DU282" s="35"/>
      <c r="DV282" s="35"/>
      <c r="DW282" s="35"/>
      <c r="DX282" s="35"/>
      <c r="DY282" s="35"/>
      <c r="DZ282" s="36"/>
      <c r="EA282" s="35"/>
      <c r="EB282" s="35"/>
      <c r="EC282" s="35"/>
      <c r="ED282" s="35"/>
      <c r="EE282" s="35"/>
      <c r="EF282" s="35"/>
      <c r="EG282" s="35"/>
      <c r="EH282" s="35"/>
      <c r="EI282" s="35"/>
      <c r="EJ282" s="35"/>
      <c r="EK282" s="35"/>
      <c r="EL282" s="35"/>
      <c r="EM282" s="35"/>
      <c r="EN282" s="35"/>
      <c r="EO282" s="35"/>
      <c r="EP282" s="35"/>
      <c r="EQ282" s="35"/>
      <c r="ER282" s="35"/>
      <c r="ES282" s="35"/>
      <c r="ET282" s="35"/>
      <c r="EU282" s="35"/>
      <c r="EV282" s="35"/>
      <c r="EW282" s="35"/>
      <c r="EX282" s="35"/>
      <c r="EY282" s="36"/>
      <c r="EZ282" s="35"/>
      <c r="FA282" s="35"/>
      <c r="FB282" s="35"/>
      <c r="FC282" s="35"/>
      <c r="FD282" s="35"/>
      <c r="FE282" s="35"/>
      <c r="FF282" s="35"/>
      <c r="FG282" s="35"/>
      <c r="FH282" s="35"/>
      <c r="FI282" s="35"/>
      <c r="FJ282" s="35"/>
      <c r="FK282" s="35"/>
      <c r="FL282" s="35"/>
      <c r="FM282" s="35"/>
      <c r="FN282" s="35"/>
      <c r="FO282" s="35"/>
      <c r="FP282" s="35"/>
      <c r="FQ282" s="52"/>
      <c r="FR282" s="8"/>
      <c r="FS282" s="9" t="s">
        <v>13</v>
      </c>
      <c r="FT282" s="9" t="str">
        <f t="shared" si="6370"/>
        <v>10. BAU Transition 10.3 Quarterly Process Documentation</v>
      </c>
    </row>
    <row r="283" spans="1:176" s="9" customFormat="1" ht="12" customHeight="1" collapsed="1">
      <c r="A283" s="119" t="s">
        <v>127</v>
      </c>
      <c r="B283" s="127"/>
      <c r="C283" s="121" t="str">
        <f t="shared" si="6366"/>
        <v>23 days</v>
      </c>
      <c r="D283" s="27"/>
      <c r="E283" s="91" t="str">
        <f t="shared" ref="E283:BP283" si="6377">IF(SUBTOTAL(9,E284:E288)&gt;0,SUBTOTAL(9,E284:E288),"")</f>
        <v/>
      </c>
      <c r="F283" s="34" t="str">
        <f>IF(SUBTOTAL(9,F284:F288)&gt;0,SUBTOTAL(9,F284:F288),"")</f>
        <v/>
      </c>
      <c r="G283" s="34" t="str">
        <f t="shared" si="6377"/>
        <v/>
      </c>
      <c r="H283" s="34" t="str">
        <f t="shared" si="6377"/>
        <v/>
      </c>
      <c r="I283" s="34" t="str">
        <f t="shared" si="6377"/>
        <v/>
      </c>
      <c r="J283" s="34" t="str">
        <f t="shared" si="6377"/>
        <v/>
      </c>
      <c r="K283" s="34" t="str">
        <f t="shared" si="6377"/>
        <v/>
      </c>
      <c r="L283" s="34" t="str">
        <f t="shared" si="6377"/>
        <v/>
      </c>
      <c r="M283" s="34" t="str">
        <f t="shared" si="6377"/>
        <v/>
      </c>
      <c r="N283" s="34" t="str">
        <f t="shared" si="6377"/>
        <v/>
      </c>
      <c r="O283" s="34" t="str">
        <f t="shared" si="6377"/>
        <v/>
      </c>
      <c r="P283" s="34" t="str">
        <f t="shared" si="6377"/>
        <v/>
      </c>
      <c r="Q283" s="34" t="str">
        <f t="shared" si="6377"/>
        <v/>
      </c>
      <c r="R283" s="34" t="str">
        <f t="shared" si="6377"/>
        <v/>
      </c>
      <c r="S283" s="34" t="str">
        <f t="shared" si="6377"/>
        <v/>
      </c>
      <c r="T283" s="34" t="str">
        <f t="shared" si="6377"/>
        <v/>
      </c>
      <c r="U283" s="34" t="str">
        <f t="shared" si="6377"/>
        <v/>
      </c>
      <c r="V283" s="34" t="str">
        <f t="shared" si="6377"/>
        <v/>
      </c>
      <c r="W283" s="34" t="str">
        <f t="shared" si="6377"/>
        <v/>
      </c>
      <c r="X283" s="34" t="str">
        <f t="shared" si="6377"/>
        <v/>
      </c>
      <c r="Y283" s="34" t="str">
        <f t="shared" si="6377"/>
        <v/>
      </c>
      <c r="Z283" s="34" t="str">
        <f t="shared" si="6377"/>
        <v/>
      </c>
      <c r="AA283" s="34" t="str">
        <f t="shared" si="6377"/>
        <v/>
      </c>
      <c r="AB283" s="34" t="str">
        <f t="shared" si="6377"/>
        <v/>
      </c>
      <c r="AC283" s="34" t="str">
        <f t="shared" si="6377"/>
        <v/>
      </c>
      <c r="AD283" s="34" t="str">
        <f t="shared" si="6377"/>
        <v/>
      </c>
      <c r="AE283" s="34" t="str">
        <f t="shared" si="6377"/>
        <v/>
      </c>
      <c r="AF283" s="34" t="str">
        <f t="shared" si="6377"/>
        <v/>
      </c>
      <c r="AG283" s="34" t="str">
        <f t="shared" si="6377"/>
        <v/>
      </c>
      <c r="AH283" s="34" t="str">
        <f t="shared" si="6377"/>
        <v/>
      </c>
      <c r="AI283" s="34" t="str">
        <f t="shared" si="6377"/>
        <v/>
      </c>
      <c r="AJ283" s="34" t="str">
        <f t="shared" si="6377"/>
        <v/>
      </c>
      <c r="AK283" s="34" t="str">
        <f t="shared" si="6377"/>
        <v/>
      </c>
      <c r="AL283" s="33" t="str">
        <f t="shared" si="6377"/>
        <v/>
      </c>
      <c r="AM283" s="33" t="str">
        <f t="shared" si="6377"/>
        <v/>
      </c>
      <c r="AN283" s="33" t="str">
        <f t="shared" si="6377"/>
        <v/>
      </c>
      <c r="AO283" s="33" t="str">
        <f t="shared" si="6377"/>
        <v/>
      </c>
      <c r="AP283" s="33" t="str">
        <f t="shared" si="6377"/>
        <v/>
      </c>
      <c r="AQ283" s="33" t="str">
        <f t="shared" si="6377"/>
        <v/>
      </c>
      <c r="AR283" s="33" t="str">
        <f t="shared" si="6377"/>
        <v/>
      </c>
      <c r="AS283" s="34" t="str">
        <f t="shared" si="6377"/>
        <v/>
      </c>
      <c r="AT283" s="34" t="str">
        <f t="shared" si="6377"/>
        <v/>
      </c>
      <c r="AU283" s="34" t="str">
        <f t="shared" si="6377"/>
        <v/>
      </c>
      <c r="AV283" s="34" t="str">
        <f t="shared" si="6377"/>
        <v/>
      </c>
      <c r="AW283" s="34" t="str">
        <f t="shared" si="6377"/>
        <v/>
      </c>
      <c r="AX283" s="34" t="str">
        <f t="shared" si="6377"/>
        <v/>
      </c>
      <c r="AY283" s="34" t="str">
        <f t="shared" si="6377"/>
        <v/>
      </c>
      <c r="AZ283" s="34" t="str">
        <f t="shared" si="6377"/>
        <v/>
      </c>
      <c r="BA283" s="34" t="str">
        <f t="shared" si="6377"/>
        <v/>
      </c>
      <c r="BB283" s="34" t="str">
        <f t="shared" si="6377"/>
        <v/>
      </c>
      <c r="BC283" s="34" t="str">
        <f t="shared" si="6377"/>
        <v/>
      </c>
      <c r="BD283" s="34" t="str">
        <f t="shared" si="6377"/>
        <v/>
      </c>
      <c r="BE283" s="34" t="str">
        <f t="shared" si="6377"/>
        <v/>
      </c>
      <c r="BF283" s="34" t="str">
        <f t="shared" si="6377"/>
        <v/>
      </c>
      <c r="BG283" s="34" t="str">
        <f t="shared" si="6377"/>
        <v/>
      </c>
      <c r="BH283" s="34" t="str">
        <f t="shared" si="6377"/>
        <v/>
      </c>
      <c r="BI283" s="34" t="str">
        <f t="shared" si="6377"/>
        <v/>
      </c>
      <c r="BJ283" s="34" t="str">
        <f t="shared" si="6377"/>
        <v/>
      </c>
      <c r="BK283" s="34" t="str">
        <f t="shared" si="6377"/>
        <v/>
      </c>
      <c r="BL283" s="34" t="str">
        <f t="shared" si="6377"/>
        <v/>
      </c>
      <c r="BM283" s="34" t="str">
        <f t="shared" si="6377"/>
        <v/>
      </c>
      <c r="BN283" s="34" t="str">
        <f t="shared" si="6377"/>
        <v/>
      </c>
      <c r="BO283" s="34" t="str">
        <f t="shared" si="6377"/>
        <v/>
      </c>
      <c r="BP283" s="34" t="str">
        <f t="shared" si="6377"/>
        <v/>
      </c>
      <c r="BQ283" s="34" t="str">
        <f t="shared" ref="BQ283:EB283" si="6378">IF(SUBTOTAL(9,BQ284:BQ288)&gt;0,SUBTOTAL(9,BQ284:BQ288),"")</f>
        <v/>
      </c>
      <c r="BR283" s="34" t="str">
        <f t="shared" si="6378"/>
        <v/>
      </c>
      <c r="BS283" s="34" t="str">
        <f t="shared" si="6378"/>
        <v/>
      </c>
      <c r="BT283" s="34" t="str">
        <f t="shared" si="6378"/>
        <v/>
      </c>
      <c r="BU283" s="34" t="str">
        <f t="shared" si="6378"/>
        <v/>
      </c>
      <c r="BV283" s="34" t="str">
        <f t="shared" si="6378"/>
        <v/>
      </c>
      <c r="BW283" s="34" t="str">
        <f t="shared" si="6378"/>
        <v/>
      </c>
      <c r="BX283" s="34" t="str">
        <f t="shared" si="6378"/>
        <v/>
      </c>
      <c r="BY283" s="34" t="str">
        <f t="shared" si="6378"/>
        <v/>
      </c>
      <c r="BZ283" s="34" t="str">
        <f t="shared" si="6378"/>
        <v/>
      </c>
      <c r="CA283" s="34" t="str">
        <f t="shared" si="6378"/>
        <v/>
      </c>
      <c r="CB283" s="34" t="str">
        <f t="shared" si="6378"/>
        <v/>
      </c>
      <c r="CC283" s="34" t="str">
        <f t="shared" si="6378"/>
        <v/>
      </c>
      <c r="CD283" s="34" t="str">
        <f t="shared" si="6378"/>
        <v/>
      </c>
      <c r="CE283" s="34" t="str">
        <f t="shared" si="6378"/>
        <v/>
      </c>
      <c r="CF283" s="34" t="str">
        <f t="shared" si="6378"/>
        <v/>
      </c>
      <c r="CG283" s="34" t="str">
        <f t="shared" si="6378"/>
        <v/>
      </c>
      <c r="CH283" s="34" t="str">
        <f t="shared" si="6378"/>
        <v/>
      </c>
      <c r="CI283" s="34" t="str">
        <f t="shared" si="6378"/>
        <v/>
      </c>
      <c r="CJ283" s="34" t="str">
        <f t="shared" si="6378"/>
        <v/>
      </c>
      <c r="CK283" s="34" t="str">
        <f t="shared" si="6378"/>
        <v/>
      </c>
      <c r="CL283" s="34" t="str">
        <f t="shared" si="6378"/>
        <v/>
      </c>
      <c r="CM283" s="34" t="str">
        <f t="shared" si="6378"/>
        <v/>
      </c>
      <c r="CN283" s="34" t="str">
        <f t="shared" si="6378"/>
        <v/>
      </c>
      <c r="CO283" s="34" t="str">
        <f t="shared" si="6378"/>
        <v/>
      </c>
      <c r="CP283" s="34" t="str">
        <f t="shared" si="6378"/>
        <v/>
      </c>
      <c r="CQ283" s="34" t="str">
        <f t="shared" si="6378"/>
        <v/>
      </c>
      <c r="CR283" s="34" t="str">
        <f t="shared" si="6378"/>
        <v/>
      </c>
      <c r="CS283" s="34" t="str">
        <f t="shared" si="6378"/>
        <v/>
      </c>
      <c r="CT283" s="33" t="str">
        <f t="shared" si="6378"/>
        <v/>
      </c>
      <c r="CU283" s="34" t="str">
        <f t="shared" si="6378"/>
        <v/>
      </c>
      <c r="CV283" s="34" t="str">
        <f t="shared" si="6378"/>
        <v/>
      </c>
      <c r="CW283" s="34" t="str">
        <f t="shared" si="6378"/>
        <v/>
      </c>
      <c r="CX283" s="34" t="str">
        <f t="shared" si="6378"/>
        <v/>
      </c>
      <c r="CY283" s="34" t="str">
        <f t="shared" si="6378"/>
        <v/>
      </c>
      <c r="CZ283" s="33" t="str">
        <f t="shared" si="6378"/>
        <v/>
      </c>
      <c r="DA283" s="33" t="str">
        <f t="shared" si="6378"/>
        <v/>
      </c>
      <c r="DB283" s="34" t="str">
        <f t="shared" si="6378"/>
        <v/>
      </c>
      <c r="DC283" s="34" t="str">
        <f t="shared" si="6378"/>
        <v/>
      </c>
      <c r="DD283" s="34" t="str">
        <f t="shared" si="6378"/>
        <v/>
      </c>
      <c r="DE283" s="34" t="str">
        <f t="shared" si="6378"/>
        <v/>
      </c>
      <c r="DF283" s="34" t="str">
        <f t="shared" si="6378"/>
        <v/>
      </c>
      <c r="DG283" s="34" t="str">
        <f t="shared" si="6378"/>
        <v/>
      </c>
      <c r="DH283" s="34" t="str">
        <f t="shared" si="6378"/>
        <v/>
      </c>
      <c r="DI283" s="34" t="str">
        <f t="shared" si="6378"/>
        <v/>
      </c>
      <c r="DJ283" s="34" t="str">
        <f t="shared" si="6378"/>
        <v/>
      </c>
      <c r="DK283" s="34" t="str">
        <f t="shared" si="6378"/>
        <v/>
      </c>
      <c r="DL283" s="34" t="str">
        <f t="shared" si="6378"/>
        <v/>
      </c>
      <c r="DM283" s="34" t="str">
        <f t="shared" si="6378"/>
        <v/>
      </c>
      <c r="DN283" s="34" t="str">
        <f t="shared" si="6378"/>
        <v/>
      </c>
      <c r="DO283" s="34" t="str">
        <f t="shared" si="6378"/>
        <v/>
      </c>
      <c r="DP283" s="34" t="str">
        <f t="shared" si="6378"/>
        <v/>
      </c>
      <c r="DQ283" s="34" t="str">
        <f t="shared" si="6378"/>
        <v/>
      </c>
      <c r="DR283" s="34" t="str">
        <f t="shared" si="6378"/>
        <v/>
      </c>
      <c r="DS283" s="34" t="str">
        <f t="shared" si="6378"/>
        <v/>
      </c>
      <c r="DT283" s="34" t="str">
        <f t="shared" si="6378"/>
        <v/>
      </c>
      <c r="DU283" s="34" t="str">
        <f t="shared" si="6378"/>
        <v/>
      </c>
      <c r="DV283" s="34" t="str">
        <f t="shared" si="6378"/>
        <v/>
      </c>
      <c r="DW283" s="34" t="str">
        <f t="shared" si="6378"/>
        <v/>
      </c>
      <c r="DX283" s="34" t="str">
        <f t="shared" si="6378"/>
        <v/>
      </c>
      <c r="DY283" s="34" t="str">
        <f t="shared" si="6378"/>
        <v/>
      </c>
      <c r="DZ283" s="33" t="str">
        <f t="shared" si="6378"/>
        <v/>
      </c>
      <c r="EA283" s="34" t="str">
        <f t="shared" si="6378"/>
        <v/>
      </c>
      <c r="EB283" s="34" t="str">
        <f t="shared" si="6378"/>
        <v/>
      </c>
      <c r="EC283" s="34" t="str">
        <f t="shared" ref="EC283:FQ283" si="6379">IF(SUBTOTAL(9,EC284:EC288)&gt;0,SUBTOTAL(9,EC284:EC288),"")</f>
        <v/>
      </c>
      <c r="ED283" s="34" t="str">
        <f t="shared" si="6379"/>
        <v/>
      </c>
      <c r="EE283" s="34" t="str">
        <f t="shared" si="6379"/>
        <v/>
      </c>
      <c r="EF283" s="34" t="str">
        <f t="shared" si="6379"/>
        <v/>
      </c>
      <c r="EG283" s="34" t="str">
        <f t="shared" si="6379"/>
        <v/>
      </c>
      <c r="EH283" s="34" t="str">
        <f t="shared" si="6379"/>
        <v/>
      </c>
      <c r="EI283" s="34" t="str">
        <f t="shared" si="6379"/>
        <v/>
      </c>
      <c r="EJ283" s="34" t="str">
        <f t="shared" si="6379"/>
        <v/>
      </c>
      <c r="EK283" s="34">
        <f>IF(SUBTOTAL(9,EK284:EK288)&gt;0,SUBTOTAL(9,EK284:EK288),"")</f>
        <v>1</v>
      </c>
      <c r="EL283" s="34">
        <f>IF(SUBTOTAL(9,EL284:EL288)&gt;0,SUBTOTAL(9,EL284:EL288),"")</f>
        <v>1</v>
      </c>
      <c r="EM283" s="34">
        <f>IF(SUBTOTAL(9,EM284:EM288)&gt;0,SUBTOTAL(9,EM284:EM288),"")</f>
        <v>2</v>
      </c>
      <c r="EN283" s="34">
        <f>IF(SUBTOTAL(9,EN284:EN288)&gt;0,SUBTOTAL(9,EN284:EN288),"")</f>
        <v>2</v>
      </c>
      <c r="EO283" s="34">
        <f>IF(SUBTOTAL(9,EO284:EO288)&gt;0,SUBTOTAL(9,EO284:EO288),"")</f>
        <v>3</v>
      </c>
      <c r="EP283" s="34">
        <f t="shared" si="6379"/>
        <v>3</v>
      </c>
      <c r="EQ283" s="34">
        <f t="shared" si="6379"/>
        <v>3</v>
      </c>
      <c r="ER283" s="34">
        <f t="shared" si="6379"/>
        <v>2</v>
      </c>
      <c r="ES283" s="34">
        <f t="shared" si="6379"/>
        <v>2</v>
      </c>
      <c r="ET283" s="34">
        <f t="shared" si="6379"/>
        <v>1</v>
      </c>
      <c r="EU283" s="34">
        <f t="shared" si="6379"/>
        <v>1</v>
      </c>
      <c r="EV283" s="34">
        <f t="shared" si="6379"/>
        <v>1</v>
      </c>
      <c r="EW283" s="34">
        <f t="shared" si="6379"/>
        <v>0.5</v>
      </c>
      <c r="EX283" s="34">
        <f t="shared" si="6379"/>
        <v>0.5</v>
      </c>
      <c r="EY283" s="33" t="str">
        <f t="shared" si="6379"/>
        <v/>
      </c>
      <c r="EZ283" s="34" t="str">
        <f t="shared" si="6379"/>
        <v/>
      </c>
      <c r="FA283" s="34" t="str">
        <f t="shared" si="6379"/>
        <v/>
      </c>
      <c r="FB283" s="34" t="str">
        <f t="shared" si="6379"/>
        <v/>
      </c>
      <c r="FC283" s="34" t="str">
        <f t="shared" si="6379"/>
        <v/>
      </c>
      <c r="FD283" s="34" t="str">
        <f t="shared" si="6379"/>
        <v/>
      </c>
      <c r="FE283" s="34" t="str">
        <f t="shared" si="6379"/>
        <v/>
      </c>
      <c r="FF283" s="34" t="str">
        <f t="shared" si="6379"/>
        <v/>
      </c>
      <c r="FG283" s="34" t="str">
        <f t="shared" si="6379"/>
        <v/>
      </c>
      <c r="FH283" s="34" t="str">
        <f t="shared" si="6379"/>
        <v/>
      </c>
      <c r="FI283" s="34" t="str">
        <f t="shared" si="6379"/>
        <v/>
      </c>
      <c r="FJ283" s="34" t="str">
        <f t="shared" si="6379"/>
        <v/>
      </c>
      <c r="FK283" s="34" t="str">
        <f t="shared" si="6379"/>
        <v/>
      </c>
      <c r="FL283" s="34" t="str">
        <f t="shared" si="6379"/>
        <v/>
      </c>
      <c r="FM283" s="34" t="str">
        <f t="shared" si="6379"/>
        <v/>
      </c>
      <c r="FN283" s="34" t="str">
        <f t="shared" si="6379"/>
        <v/>
      </c>
      <c r="FO283" s="34" t="str">
        <f t="shared" si="6379"/>
        <v/>
      </c>
      <c r="FP283" s="34" t="str">
        <f t="shared" si="6379"/>
        <v/>
      </c>
      <c r="FQ283" s="92" t="str">
        <f t="shared" si="6379"/>
        <v/>
      </c>
      <c r="FR283" s="8"/>
      <c r="FS283" s="9" t="s">
        <v>131</v>
      </c>
      <c r="FT283" s="9" t="str">
        <f t="shared" si="6370"/>
        <v/>
      </c>
    </row>
    <row r="284" spans="1:176" s="9" customFormat="1" ht="12" hidden="1" customHeight="1" outlineLevel="1">
      <c r="A284" s="125" t="s">
        <v>4</v>
      </c>
      <c r="B284" s="123" t="s">
        <v>16</v>
      </c>
      <c r="C284" s="124" t="str">
        <f t="shared" si="6366"/>
        <v>7 days</v>
      </c>
      <c r="D284" s="13" t="str">
        <f>$A$264&amp;" "&amp;$A283</f>
        <v xml:space="preserve">10. BAU Transition 10.4 Annual Reporting (QRTs) </v>
      </c>
      <c r="E284" s="51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D284" s="35"/>
      <c r="AE284" s="35"/>
      <c r="AF284" s="35"/>
      <c r="AG284" s="35"/>
      <c r="AH284" s="35"/>
      <c r="AI284" s="35"/>
      <c r="AJ284" s="35"/>
      <c r="AK284" s="35"/>
      <c r="AL284" s="36"/>
      <c r="AM284" s="36"/>
      <c r="AN284" s="36"/>
      <c r="AO284" s="36"/>
      <c r="AP284" s="36"/>
      <c r="AQ284" s="36"/>
      <c r="AR284" s="36"/>
      <c r="AS284" s="35"/>
      <c r="AT284" s="35"/>
      <c r="AU284" s="35"/>
      <c r="AV284" s="35"/>
      <c r="AW284" s="35"/>
      <c r="AX284" s="35"/>
      <c r="AY284" s="35"/>
      <c r="AZ284" s="35"/>
      <c r="BA284" s="35"/>
      <c r="BB284" s="35"/>
      <c r="BC284" s="35"/>
      <c r="BD284" s="35"/>
      <c r="BE284" s="35"/>
      <c r="BF284" s="35"/>
      <c r="BG284" s="35"/>
      <c r="BH284" s="35"/>
      <c r="BI284" s="35"/>
      <c r="BJ284" s="35"/>
      <c r="BK284" s="35"/>
      <c r="BL284" s="35"/>
      <c r="BM284" s="35"/>
      <c r="BN284" s="35"/>
      <c r="BO284" s="35"/>
      <c r="BP284" s="35"/>
      <c r="BQ284" s="35"/>
      <c r="BR284" s="35"/>
      <c r="BS284" s="35"/>
      <c r="BT284" s="35"/>
      <c r="BU284" s="35"/>
      <c r="BV284" s="35"/>
      <c r="BW284" s="35"/>
      <c r="BX284" s="35"/>
      <c r="BY284" s="35"/>
      <c r="BZ284" s="35"/>
      <c r="CA284" s="35"/>
      <c r="CB284" s="35"/>
      <c r="CC284" s="35"/>
      <c r="CD284" s="35"/>
      <c r="CE284" s="35"/>
      <c r="CF284" s="35"/>
      <c r="CG284" s="35"/>
      <c r="CH284" s="35"/>
      <c r="CI284" s="35"/>
      <c r="CJ284" s="35"/>
      <c r="CK284" s="35"/>
      <c r="CL284" s="35"/>
      <c r="CM284" s="35"/>
      <c r="CN284" s="35"/>
      <c r="CO284" s="35"/>
      <c r="CP284" s="35"/>
      <c r="CQ284" s="35"/>
      <c r="CR284" s="35"/>
      <c r="CS284" s="35"/>
      <c r="CT284" s="36"/>
      <c r="CU284" s="35"/>
      <c r="CV284" s="35"/>
      <c r="CW284" s="35"/>
      <c r="CX284" s="35"/>
      <c r="CY284" s="35"/>
      <c r="CZ284" s="36"/>
      <c r="DA284" s="36"/>
      <c r="DB284" s="35"/>
      <c r="DC284" s="35"/>
      <c r="DD284" s="35"/>
      <c r="DE284" s="35"/>
      <c r="DF284" s="35"/>
      <c r="DG284" s="35"/>
      <c r="DH284" s="35"/>
      <c r="DI284" s="35"/>
      <c r="DJ284" s="35"/>
      <c r="DK284" s="35"/>
      <c r="DL284" s="35"/>
      <c r="DM284" s="35"/>
      <c r="DN284" s="35"/>
      <c r="DO284" s="35"/>
      <c r="DP284" s="35"/>
      <c r="DQ284" s="35"/>
      <c r="DR284" s="35"/>
      <c r="DS284" s="35"/>
      <c r="DT284" s="35"/>
      <c r="DU284" s="35"/>
      <c r="DV284" s="35"/>
      <c r="DW284" s="35"/>
      <c r="DX284" s="35"/>
      <c r="DY284" s="35"/>
      <c r="DZ284" s="36"/>
      <c r="EA284" s="35"/>
      <c r="EB284" s="35"/>
      <c r="EC284" s="35"/>
      <c r="ED284" s="35"/>
      <c r="EE284" s="35"/>
      <c r="EF284" s="35"/>
      <c r="EG284" s="35"/>
      <c r="EH284" s="35"/>
      <c r="EI284" s="35"/>
      <c r="EJ284" s="35"/>
      <c r="EK284" s="35">
        <v>1</v>
      </c>
      <c r="EL284" s="35">
        <v>1</v>
      </c>
      <c r="EM284" s="35">
        <v>1</v>
      </c>
      <c r="EN284" s="35">
        <v>1</v>
      </c>
      <c r="EO284" s="35">
        <v>1</v>
      </c>
      <c r="EP284" s="35">
        <v>1</v>
      </c>
      <c r="EQ284" s="35">
        <v>1</v>
      </c>
      <c r="ER284" s="35"/>
      <c r="ES284" s="35"/>
      <c r="ET284" s="93"/>
      <c r="EU284" s="93"/>
      <c r="EV284" s="93"/>
      <c r="EW284" s="93"/>
      <c r="EX284" s="93"/>
      <c r="EY284" s="36"/>
      <c r="EZ284" s="35"/>
      <c r="FA284" s="35"/>
      <c r="FB284" s="35"/>
      <c r="FC284" s="35"/>
      <c r="FD284" s="35"/>
      <c r="FE284" s="35"/>
      <c r="FF284" s="35"/>
      <c r="FG284" s="35"/>
      <c r="FH284" s="35"/>
      <c r="FI284" s="35"/>
      <c r="FJ284" s="35"/>
      <c r="FK284" s="35"/>
      <c r="FL284" s="35"/>
      <c r="FM284" s="35"/>
      <c r="FN284" s="35"/>
      <c r="FO284" s="35"/>
      <c r="FP284" s="35"/>
      <c r="FQ284" s="52"/>
      <c r="FR284" s="8"/>
      <c r="FS284" s="9" t="s">
        <v>13</v>
      </c>
      <c r="FT284" s="9" t="str">
        <f t="shared" si="6370"/>
        <v>10. BAU Transition 10.4 Annual Reporting (QRTs) Junior Accountant</v>
      </c>
    </row>
    <row r="285" spans="1:176" s="9" customFormat="1" ht="12" hidden="1" customHeight="1" outlineLevel="1">
      <c r="A285" s="125" t="s">
        <v>4</v>
      </c>
      <c r="B285" s="123" t="s">
        <v>17</v>
      </c>
      <c r="C285" s="124" t="str">
        <f t="shared" si="6366"/>
        <v>6 days</v>
      </c>
      <c r="D285" s="13" t="str">
        <f>$A$264&amp;" "&amp;$A283</f>
        <v xml:space="preserve">10. BAU Transition 10.4 Annual Reporting (QRTs) </v>
      </c>
      <c r="E285" s="51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D285" s="35"/>
      <c r="AE285" s="35"/>
      <c r="AF285" s="35"/>
      <c r="AG285" s="35"/>
      <c r="AH285" s="35"/>
      <c r="AI285" s="35"/>
      <c r="AJ285" s="35"/>
      <c r="AK285" s="35"/>
      <c r="AL285" s="36"/>
      <c r="AM285" s="36"/>
      <c r="AN285" s="36"/>
      <c r="AO285" s="36"/>
      <c r="AP285" s="36"/>
      <c r="AQ285" s="36"/>
      <c r="AR285" s="36"/>
      <c r="AS285" s="35"/>
      <c r="AT285" s="35"/>
      <c r="AU285" s="35"/>
      <c r="AV285" s="35"/>
      <c r="AW285" s="35"/>
      <c r="AX285" s="35"/>
      <c r="AY285" s="35"/>
      <c r="AZ285" s="35"/>
      <c r="BA285" s="35"/>
      <c r="BB285" s="35"/>
      <c r="BC285" s="35"/>
      <c r="BD285" s="35"/>
      <c r="BE285" s="35"/>
      <c r="BF285" s="35"/>
      <c r="BG285" s="35"/>
      <c r="BH285" s="35"/>
      <c r="BI285" s="35"/>
      <c r="BJ285" s="35"/>
      <c r="BK285" s="35"/>
      <c r="BL285" s="35"/>
      <c r="BM285" s="35"/>
      <c r="BN285" s="35"/>
      <c r="BO285" s="35"/>
      <c r="BP285" s="35"/>
      <c r="BQ285" s="35"/>
      <c r="BR285" s="35"/>
      <c r="BS285" s="35"/>
      <c r="BT285" s="35"/>
      <c r="BU285" s="35"/>
      <c r="BV285" s="35"/>
      <c r="BW285" s="35"/>
      <c r="BX285" s="35"/>
      <c r="BY285" s="35"/>
      <c r="BZ285" s="35"/>
      <c r="CA285" s="35"/>
      <c r="CB285" s="35"/>
      <c r="CC285" s="35"/>
      <c r="CD285" s="35"/>
      <c r="CE285" s="35"/>
      <c r="CF285" s="35"/>
      <c r="CG285" s="35"/>
      <c r="CH285" s="35"/>
      <c r="CI285" s="35"/>
      <c r="CJ285" s="35"/>
      <c r="CK285" s="35"/>
      <c r="CL285" s="35"/>
      <c r="CM285" s="35"/>
      <c r="CN285" s="35"/>
      <c r="CO285" s="35"/>
      <c r="CP285" s="35"/>
      <c r="CQ285" s="35"/>
      <c r="CR285" s="35"/>
      <c r="CS285" s="35"/>
      <c r="CT285" s="36"/>
      <c r="CU285" s="35"/>
      <c r="CV285" s="35"/>
      <c r="CW285" s="35"/>
      <c r="CX285" s="35"/>
      <c r="CY285" s="35"/>
      <c r="CZ285" s="36"/>
      <c r="DA285" s="36"/>
      <c r="DB285" s="35"/>
      <c r="DC285" s="35"/>
      <c r="DD285" s="35"/>
      <c r="DE285" s="35"/>
      <c r="DF285" s="35"/>
      <c r="DG285" s="35"/>
      <c r="DH285" s="35"/>
      <c r="DI285" s="35"/>
      <c r="DJ285" s="35"/>
      <c r="DK285" s="35"/>
      <c r="DL285" s="35"/>
      <c r="DM285" s="35"/>
      <c r="DN285" s="35"/>
      <c r="DO285" s="35"/>
      <c r="DP285" s="35"/>
      <c r="DQ285" s="35"/>
      <c r="DR285" s="35"/>
      <c r="DS285" s="35"/>
      <c r="DT285" s="35"/>
      <c r="DU285" s="35"/>
      <c r="DV285" s="35"/>
      <c r="DW285" s="35"/>
      <c r="DX285" s="35"/>
      <c r="DY285" s="35"/>
      <c r="DZ285" s="36"/>
      <c r="EA285" s="35"/>
      <c r="EB285" s="35"/>
      <c r="EC285" s="35"/>
      <c r="ED285" s="35"/>
      <c r="EE285" s="35"/>
      <c r="EF285" s="35"/>
      <c r="EG285" s="35"/>
      <c r="EH285" s="35"/>
      <c r="EI285" s="35"/>
      <c r="EJ285" s="35"/>
      <c r="EK285" s="35"/>
      <c r="EL285" s="35"/>
      <c r="EM285" s="35"/>
      <c r="EN285" s="35">
        <v>1</v>
      </c>
      <c r="EO285" s="35">
        <v>1</v>
      </c>
      <c r="EP285" s="35">
        <v>1</v>
      </c>
      <c r="EQ285" s="35">
        <v>1</v>
      </c>
      <c r="ER285" s="35">
        <v>1</v>
      </c>
      <c r="ES285" s="35">
        <v>1</v>
      </c>
      <c r="ET285" s="93"/>
      <c r="EU285" s="93"/>
      <c r="EV285" s="93"/>
      <c r="EW285" s="93"/>
      <c r="EX285" s="93"/>
      <c r="EY285" s="36"/>
      <c r="EZ285" s="35"/>
      <c r="FA285" s="35"/>
      <c r="FB285" s="35"/>
      <c r="FC285" s="35"/>
      <c r="FD285" s="35"/>
      <c r="FE285" s="35"/>
      <c r="FF285" s="35"/>
      <c r="FG285" s="35"/>
      <c r="FH285" s="35"/>
      <c r="FI285" s="35"/>
      <c r="FJ285" s="35"/>
      <c r="FK285" s="35"/>
      <c r="FL285" s="35"/>
      <c r="FM285" s="35"/>
      <c r="FN285" s="35"/>
      <c r="FO285" s="35"/>
      <c r="FP285" s="35"/>
      <c r="FQ285" s="52"/>
      <c r="FR285" s="8"/>
      <c r="FS285" s="9" t="s">
        <v>13</v>
      </c>
      <c r="FT285" s="9" t="str">
        <f t="shared" si="6370"/>
        <v>10. BAU Transition 10.4 Annual Reporting (QRTs) Senior Accountant</v>
      </c>
    </row>
    <row r="286" spans="1:176" s="9" customFormat="1" ht="12" hidden="1" customHeight="1" outlineLevel="1">
      <c r="A286" s="125" t="s">
        <v>4</v>
      </c>
      <c r="B286" s="130" t="s">
        <v>10</v>
      </c>
      <c r="C286" s="131" t="str">
        <f t="shared" si="6366"/>
        <v>9 days</v>
      </c>
      <c r="D286" s="101" t="str">
        <f>$A$264&amp;" "&amp;$A283</f>
        <v xml:space="preserve">10. BAU Transition 10.4 Annual Reporting (QRTs) </v>
      </c>
      <c r="E286" s="51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D286" s="35"/>
      <c r="AE286" s="35"/>
      <c r="AF286" s="35"/>
      <c r="AG286" s="35"/>
      <c r="AH286" s="35"/>
      <c r="AI286" s="35"/>
      <c r="AJ286" s="35"/>
      <c r="AK286" s="35"/>
      <c r="AL286" s="36"/>
      <c r="AM286" s="36"/>
      <c r="AN286" s="36"/>
      <c r="AO286" s="36"/>
      <c r="AP286" s="36"/>
      <c r="AQ286" s="36"/>
      <c r="AR286" s="36"/>
      <c r="AS286" s="35"/>
      <c r="AT286" s="35"/>
      <c r="AU286" s="35"/>
      <c r="AV286" s="35"/>
      <c r="AW286" s="35"/>
      <c r="AX286" s="35"/>
      <c r="AY286" s="35"/>
      <c r="AZ286" s="35"/>
      <c r="BA286" s="35"/>
      <c r="BB286" s="35"/>
      <c r="BC286" s="35"/>
      <c r="BD286" s="35"/>
      <c r="BE286" s="35"/>
      <c r="BF286" s="35"/>
      <c r="BG286" s="35"/>
      <c r="BH286" s="35"/>
      <c r="BI286" s="35"/>
      <c r="BJ286" s="35"/>
      <c r="BK286" s="35"/>
      <c r="BL286" s="35"/>
      <c r="BM286" s="35"/>
      <c r="BN286" s="35"/>
      <c r="BO286" s="35"/>
      <c r="BP286" s="35"/>
      <c r="BQ286" s="35"/>
      <c r="BR286" s="35"/>
      <c r="BS286" s="35"/>
      <c r="BT286" s="35"/>
      <c r="BU286" s="35"/>
      <c r="BV286" s="35"/>
      <c r="BW286" s="35"/>
      <c r="BX286" s="35"/>
      <c r="BY286" s="35"/>
      <c r="BZ286" s="35"/>
      <c r="CA286" s="35"/>
      <c r="CB286" s="35"/>
      <c r="CC286" s="35"/>
      <c r="CD286" s="35"/>
      <c r="CE286" s="35"/>
      <c r="CF286" s="35"/>
      <c r="CG286" s="35"/>
      <c r="CH286" s="35"/>
      <c r="CI286" s="35"/>
      <c r="CJ286" s="35"/>
      <c r="CK286" s="35"/>
      <c r="CL286" s="35"/>
      <c r="CM286" s="35"/>
      <c r="CN286" s="35"/>
      <c r="CO286" s="35"/>
      <c r="CP286" s="35"/>
      <c r="CQ286" s="35"/>
      <c r="CR286" s="35"/>
      <c r="CS286" s="35"/>
      <c r="CT286" s="36"/>
      <c r="CU286" s="35"/>
      <c r="CV286" s="35"/>
      <c r="CW286" s="35"/>
      <c r="CX286" s="35"/>
      <c r="CY286" s="35"/>
      <c r="CZ286" s="36"/>
      <c r="DA286" s="36"/>
      <c r="DB286" s="35"/>
      <c r="DC286" s="35"/>
      <c r="DD286" s="35"/>
      <c r="DE286" s="35"/>
      <c r="DF286" s="35"/>
      <c r="DG286" s="35"/>
      <c r="DH286" s="35"/>
      <c r="DI286" s="35"/>
      <c r="DJ286" s="35"/>
      <c r="DK286" s="35"/>
      <c r="DL286" s="35"/>
      <c r="DM286" s="35"/>
      <c r="DN286" s="35"/>
      <c r="DO286" s="35"/>
      <c r="DP286" s="35"/>
      <c r="DQ286" s="35"/>
      <c r="DR286" s="35"/>
      <c r="DS286" s="35"/>
      <c r="DT286" s="35"/>
      <c r="DU286" s="35"/>
      <c r="DV286" s="35"/>
      <c r="DW286" s="35"/>
      <c r="DX286" s="35"/>
      <c r="DY286" s="35"/>
      <c r="DZ286" s="36"/>
      <c r="EA286" s="35"/>
      <c r="EB286" s="35"/>
      <c r="EC286" s="35"/>
      <c r="ED286" s="35"/>
      <c r="EE286" s="35"/>
      <c r="EF286" s="35"/>
      <c r="EG286" s="35"/>
      <c r="EH286" s="35"/>
      <c r="EI286" s="35"/>
      <c r="EJ286" s="35"/>
      <c r="EK286" s="35"/>
      <c r="EL286" s="35"/>
      <c r="EM286" s="35">
        <v>1</v>
      </c>
      <c r="EN286" s="35"/>
      <c r="EO286" s="35">
        <v>1</v>
      </c>
      <c r="EP286" s="35">
        <v>1</v>
      </c>
      <c r="EQ286" s="35">
        <v>1</v>
      </c>
      <c r="ER286" s="35">
        <v>1</v>
      </c>
      <c r="ES286" s="35">
        <v>1</v>
      </c>
      <c r="ET286" s="35">
        <v>1</v>
      </c>
      <c r="EU286" s="35">
        <v>1</v>
      </c>
      <c r="EV286" s="35">
        <v>1</v>
      </c>
      <c r="EW286" s="93"/>
      <c r="EX286" s="93"/>
      <c r="EY286" s="36"/>
      <c r="EZ286" s="35"/>
      <c r="FA286" s="35"/>
      <c r="FB286" s="35"/>
      <c r="FC286" s="35"/>
      <c r="FD286" s="35"/>
      <c r="FE286" s="35"/>
      <c r="FF286" s="35"/>
      <c r="FG286" s="35"/>
      <c r="FH286" s="35"/>
      <c r="FI286" s="35"/>
      <c r="FJ286" s="35"/>
      <c r="FK286" s="35"/>
      <c r="FL286" s="35"/>
      <c r="FM286" s="35"/>
      <c r="FN286" s="35"/>
      <c r="FO286" s="35"/>
      <c r="FP286" s="35"/>
      <c r="FQ286" s="52"/>
      <c r="FR286" s="8"/>
      <c r="FS286" s="9" t="s">
        <v>13</v>
      </c>
      <c r="FT286" s="9" t="str">
        <f t="shared" si="6370"/>
        <v>10. BAU Transition 10.4 Annual Reporting (QRTs) Glenn Kirk</v>
      </c>
    </row>
    <row r="287" spans="1:176" s="9" customFormat="1" ht="12" hidden="1" customHeight="1" outlineLevel="1">
      <c r="A287" s="125" t="s">
        <v>4</v>
      </c>
      <c r="B287" s="123" t="s">
        <v>6</v>
      </c>
      <c r="C287" s="124" t="str">
        <f t="shared" si="6366"/>
        <v>1 days</v>
      </c>
      <c r="D287" s="13" t="str">
        <f>$A$264&amp;" "&amp;$A283</f>
        <v xml:space="preserve">10. BAU Transition 10.4 Annual Reporting (QRTs) </v>
      </c>
      <c r="E287" s="51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D287" s="35"/>
      <c r="AE287" s="35"/>
      <c r="AF287" s="35"/>
      <c r="AG287" s="35"/>
      <c r="AH287" s="35"/>
      <c r="AI287" s="35"/>
      <c r="AJ287" s="35"/>
      <c r="AK287" s="35"/>
      <c r="AL287" s="36"/>
      <c r="AM287" s="36"/>
      <c r="AN287" s="36"/>
      <c r="AO287" s="36"/>
      <c r="AP287" s="36"/>
      <c r="AQ287" s="36"/>
      <c r="AR287" s="36"/>
      <c r="AS287" s="35"/>
      <c r="AT287" s="35"/>
      <c r="AU287" s="35"/>
      <c r="AV287" s="35"/>
      <c r="AW287" s="35"/>
      <c r="AX287" s="35"/>
      <c r="AY287" s="35"/>
      <c r="AZ287" s="35"/>
      <c r="BA287" s="35"/>
      <c r="BB287" s="35"/>
      <c r="BC287" s="35"/>
      <c r="BD287" s="35"/>
      <c r="BE287" s="35"/>
      <c r="BF287" s="35"/>
      <c r="BG287" s="35"/>
      <c r="BH287" s="35"/>
      <c r="BI287" s="35"/>
      <c r="BJ287" s="35"/>
      <c r="BK287" s="35"/>
      <c r="BL287" s="35"/>
      <c r="BM287" s="35"/>
      <c r="BN287" s="35"/>
      <c r="BO287" s="35"/>
      <c r="BP287" s="35"/>
      <c r="BQ287" s="35"/>
      <c r="BR287" s="35"/>
      <c r="BS287" s="35"/>
      <c r="BT287" s="35"/>
      <c r="BU287" s="35"/>
      <c r="BV287" s="35"/>
      <c r="BW287" s="35"/>
      <c r="BX287" s="35"/>
      <c r="BY287" s="35"/>
      <c r="BZ287" s="35"/>
      <c r="CA287" s="35"/>
      <c r="CB287" s="35"/>
      <c r="CC287" s="35"/>
      <c r="CD287" s="35"/>
      <c r="CE287" s="35"/>
      <c r="CF287" s="35"/>
      <c r="CG287" s="35"/>
      <c r="CH287" s="35"/>
      <c r="CI287" s="35"/>
      <c r="CJ287" s="35"/>
      <c r="CK287" s="35"/>
      <c r="CL287" s="35"/>
      <c r="CM287" s="35"/>
      <c r="CN287" s="35"/>
      <c r="CO287" s="35"/>
      <c r="CP287" s="35"/>
      <c r="CQ287" s="35"/>
      <c r="CR287" s="35"/>
      <c r="CS287" s="35"/>
      <c r="CT287" s="36"/>
      <c r="CU287" s="35"/>
      <c r="CV287" s="35"/>
      <c r="CW287" s="35"/>
      <c r="CX287" s="35"/>
      <c r="CY287" s="35"/>
      <c r="CZ287" s="36"/>
      <c r="DA287" s="36"/>
      <c r="DB287" s="35"/>
      <c r="DC287" s="35"/>
      <c r="DD287" s="35"/>
      <c r="DE287" s="35"/>
      <c r="DF287" s="35"/>
      <c r="DG287" s="35"/>
      <c r="DH287" s="35"/>
      <c r="DI287" s="35"/>
      <c r="DJ287" s="35"/>
      <c r="DK287" s="35"/>
      <c r="DL287" s="35"/>
      <c r="DM287" s="35"/>
      <c r="DN287" s="35"/>
      <c r="DO287" s="35"/>
      <c r="DP287" s="35"/>
      <c r="DQ287" s="35"/>
      <c r="DR287" s="35"/>
      <c r="DS287" s="35"/>
      <c r="DT287" s="35"/>
      <c r="DU287" s="35"/>
      <c r="DV287" s="35"/>
      <c r="DW287" s="35"/>
      <c r="DX287" s="35"/>
      <c r="DY287" s="35"/>
      <c r="DZ287" s="36"/>
      <c r="EA287" s="35"/>
      <c r="EB287" s="35"/>
      <c r="EC287" s="35"/>
      <c r="ED287" s="35"/>
      <c r="EE287" s="35"/>
      <c r="EF287" s="35"/>
      <c r="EG287" s="35"/>
      <c r="EH287" s="35"/>
      <c r="EI287" s="35"/>
      <c r="EJ287" s="35"/>
      <c r="EK287" s="35"/>
      <c r="EL287" s="35"/>
      <c r="EM287" s="35"/>
      <c r="EN287" s="35"/>
      <c r="EO287" s="35"/>
      <c r="EP287" s="35"/>
      <c r="EQ287" s="35"/>
      <c r="ER287" s="93"/>
      <c r="ES287" s="93"/>
      <c r="ET287" s="93"/>
      <c r="EU287" s="93"/>
      <c r="EV287" s="93"/>
      <c r="EW287" s="35">
        <v>0.5</v>
      </c>
      <c r="EX287" s="35">
        <v>0.5</v>
      </c>
      <c r="EY287" s="36"/>
      <c r="EZ287" s="35"/>
      <c r="FA287" s="35"/>
      <c r="FB287" s="35"/>
      <c r="FC287" s="35"/>
      <c r="FD287" s="35"/>
      <c r="FE287" s="35"/>
      <c r="FF287" s="35"/>
      <c r="FG287" s="35"/>
      <c r="FH287" s="35"/>
      <c r="FI287" s="35"/>
      <c r="FJ287" s="35"/>
      <c r="FK287" s="35"/>
      <c r="FL287" s="35"/>
      <c r="FM287" s="35"/>
      <c r="FN287" s="35"/>
      <c r="FO287" s="35"/>
      <c r="FP287" s="35"/>
      <c r="FQ287" s="52"/>
      <c r="FR287" s="8"/>
      <c r="FS287" s="9" t="s">
        <v>13</v>
      </c>
      <c r="FT287" s="9" t="str">
        <f t="shared" si="6370"/>
        <v>10. BAU Transition 10.4 Annual Reporting (QRTs) Peter Sherry</v>
      </c>
    </row>
    <row r="288" spans="1:176" s="9" customFormat="1" ht="12" hidden="1" customHeight="1" outlineLevel="1">
      <c r="A288" s="125" t="s">
        <v>4</v>
      </c>
      <c r="B288" s="123" t="s">
        <v>18</v>
      </c>
      <c r="C288" s="124" t="str">
        <f t="shared" si="6366"/>
        <v>0 days</v>
      </c>
      <c r="D288" s="13" t="str">
        <f>$A$264&amp;" "&amp;$A283</f>
        <v xml:space="preserve">10. BAU Transition 10.4 Annual Reporting (QRTs) </v>
      </c>
      <c r="E288" s="51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D288" s="35"/>
      <c r="AE288" s="35"/>
      <c r="AF288" s="35"/>
      <c r="AG288" s="35"/>
      <c r="AH288" s="35"/>
      <c r="AI288" s="35"/>
      <c r="AJ288" s="35"/>
      <c r="AK288" s="35"/>
      <c r="AL288" s="36"/>
      <c r="AM288" s="36"/>
      <c r="AN288" s="36"/>
      <c r="AO288" s="36"/>
      <c r="AP288" s="36"/>
      <c r="AQ288" s="36"/>
      <c r="AR288" s="36"/>
      <c r="AS288" s="35"/>
      <c r="AT288" s="35"/>
      <c r="AU288" s="35"/>
      <c r="AV288" s="35"/>
      <c r="AW288" s="35"/>
      <c r="AX288" s="35"/>
      <c r="AY288" s="35"/>
      <c r="AZ288" s="35"/>
      <c r="BA288" s="35"/>
      <c r="BB288" s="35"/>
      <c r="BC288" s="35"/>
      <c r="BD288" s="35"/>
      <c r="BE288" s="35"/>
      <c r="BF288" s="35"/>
      <c r="BG288" s="35"/>
      <c r="BH288" s="35"/>
      <c r="BI288" s="35"/>
      <c r="BJ288" s="35"/>
      <c r="BK288" s="35"/>
      <c r="BL288" s="35"/>
      <c r="BM288" s="35"/>
      <c r="BN288" s="35"/>
      <c r="BO288" s="35"/>
      <c r="BP288" s="35"/>
      <c r="BQ288" s="35"/>
      <c r="BR288" s="35"/>
      <c r="BS288" s="35"/>
      <c r="BT288" s="35"/>
      <c r="BU288" s="35"/>
      <c r="BV288" s="35"/>
      <c r="BW288" s="35"/>
      <c r="BX288" s="35"/>
      <c r="BY288" s="35"/>
      <c r="BZ288" s="35"/>
      <c r="CA288" s="35"/>
      <c r="CB288" s="35"/>
      <c r="CC288" s="35"/>
      <c r="CD288" s="35"/>
      <c r="CE288" s="35"/>
      <c r="CF288" s="35"/>
      <c r="CG288" s="35"/>
      <c r="CH288" s="35"/>
      <c r="CI288" s="35"/>
      <c r="CJ288" s="35"/>
      <c r="CK288" s="35"/>
      <c r="CL288" s="35"/>
      <c r="CM288" s="35"/>
      <c r="CN288" s="35"/>
      <c r="CO288" s="35"/>
      <c r="CP288" s="35"/>
      <c r="CQ288" s="35"/>
      <c r="CR288" s="35"/>
      <c r="CS288" s="35"/>
      <c r="CT288" s="36"/>
      <c r="CU288" s="35"/>
      <c r="CV288" s="35"/>
      <c r="CW288" s="35"/>
      <c r="CX288" s="35"/>
      <c r="CY288" s="35"/>
      <c r="CZ288" s="36"/>
      <c r="DA288" s="36"/>
      <c r="DB288" s="35"/>
      <c r="DC288" s="35"/>
      <c r="DD288" s="35"/>
      <c r="DE288" s="35"/>
      <c r="DF288" s="35"/>
      <c r="DG288" s="35"/>
      <c r="DH288" s="35"/>
      <c r="DI288" s="35"/>
      <c r="DJ288" s="35"/>
      <c r="DK288" s="35"/>
      <c r="DL288" s="35"/>
      <c r="DM288" s="35"/>
      <c r="DN288" s="35"/>
      <c r="DO288" s="35"/>
      <c r="DP288" s="35"/>
      <c r="DQ288" s="35"/>
      <c r="DR288" s="35"/>
      <c r="DS288" s="35"/>
      <c r="DT288" s="35"/>
      <c r="DU288" s="35"/>
      <c r="DV288" s="35"/>
      <c r="DW288" s="35"/>
      <c r="DX288" s="35"/>
      <c r="DY288" s="35"/>
      <c r="DZ288" s="36"/>
      <c r="EA288" s="35"/>
      <c r="EB288" s="35"/>
      <c r="EC288" s="35"/>
      <c r="ED288" s="35"/>
      <c r="EE288" s="35"/>
      <c r="EF288" s="35"/>
      <c r="EG288" s="35"/>
      <c r="EH288" s="35"/>
      <c r="EI288" s="35"/>
      <c r="EJ288" s="35"/>
      <c r="EK288" s="35"/>
      <c r="EL288" s="35"/>
      <c r="EM288" s="35"/>
      <c r="EN288" s="35"/>
      <c r="EO288" s="35"/>
      <c r="EP288" s="35"/>
      <c r="EQ288" s="35"/>
      <c r="ER288" s="35"/>
      <c r="ES288" s="35"/>
      <c r="ET288" s="35"/>
      <c r="EU288" s="35"/>
      <c r="EV288" s="35"/>
      <c r="EW288" s="35"/>
      <c r="EX288" s="35"/>
      <c r="EY288" s="36"/>
      <c r="EZ288" s="35"/>
      <c r="FA288" s="35"/>
      <c r="FB288" s="35"/>
      <c r="FC288" s="35"/>
      <c r="FD288" s="35"/>
      <c r="FE288" s="35"/>
      <c r="FF288" s="35"/>
      <c r="FG288" s="35"/>
      <c r="FH288" s="35"/>
      <c r="FI288" s="35"/>
      <c r="FJ288" s="35"/>
      <c r="FK288" s="35"/>
      <c r="FL288" s="35"/>
      <c r="FM288" s="35"/>
      <c r="FN288" s="35"/>
      <c r="FO288" s="35"/>
      <c r="FP288" s="35"/>
      <c r="FQ288" s="52"/>
      <c r="FR288" s="8"/>
      <c r="FS288" s="9" t="s">
        <v>13</v>
      </c>
      <c r="FT288" s="9" t="str">
        <f t="shared" si="6370"/>
        <v>10. BAU Transition 10.4 Annual Reporting (QRTs) TM1 Analyst</v>
      </c>
    </row>
    <row r="289" spans="1:176" s="9" customFormat="1" ht="12" customHeight="1" collapsed="1">
      <c r="A289" s="119" t="s">
        <v>128</v>
      </c>
      <c r="B289" s="127"/>
      <c r="C289" s="121" t="str">
        <f t="shared" si="6366"/>
        <v>0 days</v>
      </c>
      <c r="D289" s="27"/>
      <c r="E289" s="91" t="str">
        <f t="shared" ref="E289:BP289" si="6380">IF(SUBTOTAL(9,E290:E294)&gt;0,SUBTOTAL(9,E290:E294),"")</f>
        <v/>
      </c>
      <c r="F289" s="34" t="str">
        <f>IF(SUBTOTAL(9,F290:F294)&gt;0,SUBTOTAL(9,F290:F294),"")</f>
        <v/>
      </c>
      <c r="G289" s="34" t="str">
        <f t="shared" si="6380"/>
        <v/>
      </c>
      <c r="H289" s="34" t="str">
        <f t="shared" si="6380"/>
        <v/>
      </c>
      <c r="I289" s="34" t="str">
        <f t="shared" si="6380"/>
        <v/>
      </c>
      <c r="J289" s="34" t="str">
        <f t="shared" si="6380"/>
        <v/>
      </c>
      <c r="K289" s="34" t="str">
        <f t="shared" si="6380"/>
        <v/>
      </c>
      <c r="L289" s="34" t="str">
        <f t="shared" si="6380"/>
        <v/>
      </c>
      <c r="M289" s="34" t="str">
        <f t="shared" si="6380"/>
        <v/>
      </c>
      <c r="N289" s="34" t="str">
        <f t="shared" si="6380"/>
        <v/>
      </c>
      <c r="O289" s="34" t="str">
        <f t="shared" si="6380"/>
        <v/>
      </c>
      <c r="P289" s="34" t="str">
        <f t="shared" si="6380"/>
        <v/>
      </c>
      <c r="Q289" s="34" t="str">
        <f t="shared" si="6380"/>
        <v/>
      </c>
      <c r="R289" s="34" t="str">
        <f t="shared" si="6380"/>
        <v/>
      </c>
      <c r="S289" s="34" t="str">
        <f t="shared" si="6380"/>
        <v/>
      </c>
      <c r="T289" s="34" t="str">
        <f t="shared" si="6380"/>
        <v/>
      </c>
      <c r="U289" s="34" t="str">
        <f t="shared" si="6380"/>
        <v/>
      </c>
      <c r="V289" s="34" t="str">
        <f t="shared" si="6380"/>
        <v/>
      </c>
      <c r="W289" s="34" t="str">
        <f t="shared" si="6380"/>
        <v/>
      </c>
      <c r="X289" s="34" t="str">
        <f t="shared" si="6380"/>
        <v/>
      </c>
      <c r="Y289" s="34" t="str">
        <f t="shared" si="6380"/>
        <v/>
      </c>
      <c r="Z289" s="34" t="str">
        <f t="shared" si="6380"/>
        <v/>
      </c>
      <c r="AA289" s="34" t="str">
        <f t="shared" si="6380"/>
        <v/>
      </c>
      <c r="AB289" s="34" t="str">
        <f t="shared" si="6380"/>
        <v/>
      </c>
      <c r="AC289" s="34" t="str">
        <f t="shared" si="6380"/>
        <v/>
      </c>
      <c r="AD289" s="34" t="str">
        <f t="shared" si="6380"/>
        <v/>
      </c>
      <c r="AE289" s="34" t="str">
        <f t="shared" si="6380"/>
        <v/>
      </c>
      <c r="AF289" s="34" t="str">
        <f t="shared" si="6380"/>
        <v/>
      </c>
      <c r="AG289" s="34" t="str">
        <f t="shared" si="6380"/>
        <v/>
      </c>
      <c r="AH289" s="34" t="str">
        <f t="shared" si="6380"/>
        <v/>
      </c>
      <c r="AI289" s="34" t="str">
        <f t="shared" si="6380"/>
        <v/>
      </c>
      <c r="AJ289" s="34" t="str">
        <f t="shared" si="6380"/>
        <v/>
      </c>
      <c r="AK289" s="34" t="str">
        <f t="shared" si="6380"/>
        <v/>
      </c>
      <c r="AL289" s="33" t="str">
        <f t="shared" si="6380"/>
        <v/>
      </c>
      <c r="AM289" s="33" t="str">
        <f t="shared" si="6380"/>
        <v/>
      </c>
      <c r="AN289" s="33" t="str">
        <f t="shared" si="6380"/>
        <v/>
      </c>
      <c r="AO289" s="33" t="str">
        <f t="shared" si="6380"/>
        <v/>
      </c>
      <c r="AP289" s="33" t="str">
        <f t="shared" si="6380"/>
        <v/>
      </c>
      <c r="AQ289" s="33" t="str">
        <f t="shared" si="6380"/>
        <v/>
      </c>
      <c r="AR289" s="33" t="str">
        <f t="shared" si="6380"/>
        <v/>
      </c>
      <c r="AS289" s="34" t="str">
        <f t="shared" si="6380"/>
        <v/>
      </c>
      <c r="AT289" s="34" t="str">
        <f t="shared" si="6380"/>
        <v/>
      </c>
      <c r="AU289" s="34" t="str">
        <f t="shared" si="6380"/>
        <v/>
      </c>
      <c r="AV289" s="34" t="str">
        <f t="shared" si="6380"/>
        <v/>
      </c>
      <c r="AW289" s="34" t="str">
        <f t="shared" si="6380"/>
        <v/>
      </c>
      <c r="AX289" s="34" t="str">
        <f t="shared" si="6380"/>
        <v/>
      </c>
      <c r="AY289" s="34" t="str">
        <f t="shared" si="6380"/>
        <v/>
      </c>
      <c r="AZ289" s="34" t="str">
        <f t="shared" si="6380"/>
        <v/>
      </c>
      <c r="BA289" s="34" t="str">
        <f t="shared" si="6380"/>
        <v/>
      </c>
      <c r="BB289" s="34" t="str">
        <f t="shared" si="6380"/>
        <v/>
      </c>
      <c r="BC289" s="34" t="str">
        <f t="shared" si="6380"/>
        <v/>
      </c>
      <c r="BD289" s="34" t="str">
        <f t="shared" si="6380"/>
        <v/>
      </c>
      <c r="BE289" s="34" t="str">
        <f t="shared" si="6380"/>
        <v/>
      </c>
      <c r="BF289" s="34" t="str">
        <f t="shared" si="6380"/>
        <v/>
      </c>
      <c r="BG289" s="34" t="str">
        <f t="shared" si="6380"/>
        <v/>
      </c>
      <c r="BH289" s="34" t="str">
        <f t="shared" si="6380"/>
        <v/>
      </c>
      <c r="BI289" s="34" t="str">
        <f t="shared" si="6380"/>
        <v/>
      </c>
      <c r="BJ289" s="34" t="str">
        <f t="shared" si="6380"/>
        <v/>
      </c>
      <c r="BK289" s="34" t="str">
        <f t="shared" si="6380"/>
        <v/>
      </c>
      <c r="BL289" s="34" t="str">
        <f t="shared" si="6380"/>
        <v/>
      </c>
      <c r="BM289" s="34" t="str">
        <f t="shared" si="6380"/>
        <v/>
      </c>
      <c r="BN289" s="34" t="str">
        <f t="shared" si="6380"/>
        <v/>
      </c>
      <c r="BO289" s="34" t="str">
        <f t="shared" si="6380"/>
        <v/>
      </c>
      <c r="BP289" s="34" t="str">
        <f t="shared" si="6380"/>
        <v/>
      </c>
      <c r="BQ289" s="34" t="str">
        <f t="shared" ref="BQ289:EB289" si="6381">IF(SUBTOTAL(9,BQ290:BQ294)&gt;0,SUBTOTAL(9,BQ290:BQ294),"")</f>
        <v/>
      </c>
      <c r="BR289" s="34" t="str">
        <f t="shared" si="6381"/>
        <v/>
      </c>
      <c r="BS289" s="34" t="str">
        <f t="shared" si="6381"/>
        <v/>
      </c>
      <c r="BT289" s="34" t="str">
        <f t="shared" si="6381"/>
        <v/>
      </c>
      <c r="BU289" s="34" t="str">
        <f t="shared" si="6381"/>
        <v/>
      </c>
      <c r="BV289" s="34" t="str">
        <f t="shared" si="6381"/>
        <v/>
      </c>
      <c r="BW289" s="34" t="str">
        <f t="shared" si="6381"/>
        <v/>
      </c>
      <c r="BX289" s="34" t="str">
        <f t="shared" si="6381"/>
        <v/>
      </c>
      <c r="BY289" s="34" t="str">
        <f t="shared" si="6381"/>
        <v/>
      </c>
      <c r="BZ289" s="34" t="str">
        <f t="shared" si="6381"/>
        <v/>
      </c>
      <c r="CA289" s="34" t="str">
        <f t="shared" si="6381"/>
        <v/>
      </c>
      <c r="CB289" s="34" t="str">
        <f t="shared" si="6381"/>
        <v/>
      </c>
      <c r="CC289" s="34" t="str">
        <f t="shared" si="6381"/>
        <v/>
      </c>
      <c r="CD289" s="34" t="str">
        <f t="shared" si="6381"/>
        <v/>
      </c>
      <c r="CE289" s="34" t="str">
        <f t="shared" si="6381"/>
        <v/>
      </c>
      <c r="CF289" s="34" t="str">
        <f t="shared" si="6381"/>
        <v/>
      </c>
      <c r="CG289" s="34" t="str">
        <f t="shared" si="6381"/>
        <v/>
      </c>
      <c r="CH289" s="34" t="str">
        <f t="shared" si="6381"/>
        <v/>
      </c>
      <c r="CI289" s="34" t="str">
        <f t="shared" si="6381"/>
        <v/>
      </c>
      <c r="CJ289" s="34" t="str">
        <f t="shared" si="6381"/>
        <v/>
      </c>
      <c r="CK289" s="34" t="str">
        <f t="shared" si="6381"/>
        <v/>
      </c>
      <c r="CL289" s="34" t="str">
        <f t="shared" si="6381"/>
        <v/>
      </c>
      <c r="CM289" s="34" t="str">
        <f t="shared" si="6381"/>
        <v/>
      </c>
      <c r="CN289" s="34" t="str">
        <f t="shared" si="6381"/>
        <v/>
      </c>
      <c r="CO289" s="34" t="str">
        <f t="shared" si="6381"/>
        <v/>
      </c>
      <c r="CP289" s="34" t="str">
        <f t="shared" si="6381"/>
        <v/>
      </c>
      <c r="CQ289" s="34" t="str">
        <f t="shared" si="6381"/>
        <v/>
      </c>
      <c r="CR289" s="34" t="str">
        <f t="shared" si="6381"/>
        <v/>
      </c>
      <c r="CS289" s="34" t="str">
        <f t="shared" si="6381"/>
        <v/>
      </c>
      <c r="CT289" s="33" t="str">
        <f t="shared" si="6381"/>
        <v/>
      </c>
      <c r="CU289" s="34" t="str">
        <f t="shared" si="6381"/>
        <v/>
      </c>
      <c r="CV289" s="34" t="str">
        <f t="shared" si="6381"/>
        <v/>
      </c>
      <c r="CW289" s="34" t="str">
        <f t="shared" si="6381"/>
        <v/>
      </c>
      <c r="CX289" s="34" t="str">
        <f t="shared" si="6381"/>
        <v/>
      </c>
      <c r="CY289" s="34" t="str">
        <f t="shared" si="6381"/>
        <v/>
      </c>
      <c r="CZ289" s="33" t="str">
        <f t="shared" si="6381"/>
        <v/>
      </c>
      <c r="DA289" s="33" t="str">
        <f t="shared" si="6381"/>
        <v/>
      </c>
      <c r="DB289" s="34" t="str">
        <f t="shared" si="6381"/>
        <v/>
      </c>
      <c r="DC289" s="34" t="str">
        <f t="shared" si="6381"/>
        <v/>
      </c>
      <c r="DD289" s="34" t="str">
        <f t="shared" si="6381"/>
        <v/>
      </c>
      <c r="DE289" s="34" t="str">
        <f t="shared" si="6381"/>
        <v/>
      </c>
      <c r="DF289" s="34" t="str">
        <f t="shared" si="6381"/>
        <v/>
      </c>
      <c r="DG289" s="34" t="str">
        <f t="shared" si="6381"/>
        <v/>
      </c>
      <c r="DH289" s="34" t="str">
        <f t="shared" si="6381"/>
        <v/>
      </c>
      <c r="DI289" s="34" t="str">
        <f t="shared" si="6381"/>
        <v/>
      </c>
      <c r="DJ289" s="34" t="str">
        <f t="shared" si="6381"/>
        <v/>
      </c>
      <c r="DK289" s="34" t="str">
        <f t="shared" si="6381"/>
        <v/>
      </c>
      <c r="DL289" s="34" t="str">
        <f t="shared" si="6381"/>
        <v/>
      </c>
      <c r="DM289" s="34" t="str">
        <f t="shared" si="6381"/>
        <v/>
      </c>
      <c r="DN289" s="34" t="str">
        <f t="shared" si="6381"/>
        <v/>
      </c>
      <c r="DO289" s="34" t="str">
        <f t="shared" si="6381"/>
        <v/>
      </c>
      <c r="DP289" s="34" t="str">
        <f t="shared" si="6381"/>
        <v/>
      </c>
      <c r="DQ289" s="34" t="str">
        <f t="shared" si="6381"/>
        <v/>
      </c>
      <c r="DR289" s="34" t="str">
        <f t="shared" si="6381"/>
        <v/>
      </c>
      <c r="DS289" s="34" t="str">
        <f t="shared" si="6381"/>
        <v/>
      </c>
      <c r="DT289" s="34" t="str">
        <f t="shared" si="6381"/>
        <v/>
      </c>
      <c r="DU289" s="34" t="str">
        <f t="shared" si="6381"/>
        <v/>
      </c>
      <c r="DV289" s="34" t="str">
        <f t="shared" si="6381"/>
        <v/>
      </c>
      <c r="DW289" s="34" t="str">
        <f t="shared" si="6381"/>
        <v/>
      </c>
      <c r="DX289" s="34" t="str">
        <f t="shared" si="6381"/>
        <v/>
      </c>
      <c r="DY289" s="34" t="str">
        <f t="shared" si="6381"/>
        <v/>
      </c>
      <c r="DZ289" s="33" t="str">
        <f t="shared" si="6381"/>
        <v/>
      </c>
      <c r="EA289" s="34" t="str">
        <f t="shared" si="6381"/>
        <v/>
      </c>
      <c r="EB289" s="34" t="str">
        <f t="shared" si="6381"/>
        <v/>
      </c>
      <c r="EC289" s="34" t="str">
        <f t="shared" ref="EC289:FQ289" si="6382">IF(SUBTOTAL(9,EC290:EC294)&gt;0,SUBTOTAL(9,EC290:EC294),"")</f>
        <v/>
      </c>
      <c r="ED289" s="34" t="str">
        <f t="shared" si="6382"/>
        <v/>
      </c>
      <c r="EE289" s="34" t="str">
        <f t="shared" si="6382"/>
        <v/>
      </c>
      <c r="EF289" s="34" t="str">
        <f t="shared" si="6382"/>
        <v/>
      </c>
      <c r="EG289" s="34" t="str">
        <f t="shared" si="6382"/>
        <v/>
      </c>
      <c r="EH289" s="34" t="str">
        <f t="shared" si="6382"/>
        <v/>
      </c>
      <c r="EI289" s="34" t="str">
        <f t="shared" si="6382"/>
        <v/>
      </c>
      <c r="EJ289" s="34" t="str">
        <f t="shared" si="6382"/>
        <v/>
      </c>
      <c r="EK289" s="34" t="str">
        <f t="shared" si="6382"/>
        <v/>
      </c>
      <c r="EL289" s="34" t="str">
        <f t="shared" si="6382"/>
        <v/>
      </c>
      <c r="EM289" s="34" t="str">
        <f t="shared" si="6382"/>
        <v/>
      </c>
      <c r="EN289" s="34" t="str">
        <f t="shared" si="6382"/>
        <v/>
      </c>
      <c r="EO289" s="34" t="str">
        <f t="shared" si="6382"/>
        <v/>
      </c>
      <c r="EP289" s="34" t="str">
        <f t="shared" si="6382"/>
        <v/>
      </c>
      <c r="EQ289" s="34" t="str">
        <f t="shared" si="6382"/>
        <v/>
      </c>
      <c r="ER289" s="34" t="str">
        <f t="shared" si="6382"/>
        <v/>
      </c>
      <c r="ES289" s="34" t="str">
        <f t="shared" si="6382"/>
        <v/>
      </c>
      <c r="ET289" s="34" t="str">
        <f t="shared" si="6382"/>
        <v/>
      </c>
      <c r="EU289" s="34" t="str">
        <f t="shared" si="6382"/>
        <v/>
      </c>
      <c r="EV289" s="34" t="str">
        <f t="shared" si="6382"/>
        <v/>
      </c>
      <c r="EW289" s="34" t="str">
        <f t="shared" si="6382"/>
        <v/>
      </c>
      <c r="EX289" s="34" t="str">
        <f t="shared" si="6382"/>
        <v/>
      </c>
      <c r="EY289" s="33" t="str">
        <f t="shared" si="6382"/>
        <v/>
      </c>
      <c r="EZ289" s="34" t="str">
        <f t="shared" si="6382"/>
        <v/>
      </c>
      <c r="FA289" s="34" t="str">
        <f t="shared" si="6382"/>
        <v/>
      </c>
      <c r="FB289" s="34" t="str">
        <f t="shared" si="6382"/>
        <v/>
      </c>
      <c r="FC289" s="34" t="str">
        <f t="shared" si="6382"/>
        <v/>
      </c>
      <c r="FD289" s="34" t="str">
        <f t="shared" si="6382"/>
        <v/>
      </c>
      <c r="FE289" s="34" t="str">
        <f t="shared" si="6382"/>
        <v/>
      </c>
      <c r="FF289" s="34" t="str">
        <f t="shared" si="6382"/>
        <v/>
      </c>
      <c r="FG289" s="34" t="str">
        <f t="shared" si="6382"/>
        <v/>
      </c>
      <c r="FH289" s="34" t="str">
        <f t="shared" si="6382"/>
        <v/>
      </c>
      <c r="FI289" s="34" t="str">
        <f t="shared" si="6382"/>
        <v/>
      </c>
      <c r="FJ289" s="34" t="str">
        <f t="shared" si="6382"/>
        <v/>
      </c>
      <c r="FK289" s="34" t="str">
        <f t="shared" si="6382"/>
        <v/>
      </c>
      <c r="FL289" s="34" t="str">
        <f t="shared" si="6382"/>
        <v/>
      </c>
      <c r="FM289" s="34" t="str">
        <f t="shared" si="6382"/>
        <v/>
      </c>
      <c r="FN289" s="34" t="str">
        <f t="shared" si="6382"/>
        <v/>
      </c>
      <c r="FO289" s="34" t="str">
        <f t="shared" si="6382"/>
        <v/>
      </c>
      <c r="FP289" s="34" t="str">
        <f t="shared" si="6382"/>
        <v/>
      </c>
      <c r="FQ289" s="92" t="str">
        <f t="shared" si="6382"/>
        <v/>
      </c>
      <c r="FR289" s="8"/>
      <c r="FS289" s="9" t="s">
        <v>131</v>
      </c>
      <c r="FT289" s="9" t="str">
        <f t="shared" si="6370"/>
        <v/>
      </c>
    </row>
    <row r="290" spans="1:176" s="9" customFormat="1" ht="12" hidden="1" customHeight="1" outlineLevel="1">
      <c r="A290" s="125" t="s">
        <v>4</v>
      </c>
      <c r="B290" s="123" t="s">
        <v>16</v>
      </c>
      <c r="C290" s="124" t="str">
        <f t="shared" si="6366"/>
        <v>0 days</v>
      </c>
      <c r="D290" s="13" t="str">
        <f>$A$264&amp;" "&amp;$A289</f>
        <v>10. BAU Transition 10.5 Annual Process Documentation</v>
      </c>
      <c r="E290" s="51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D290" s="35"/>
      <c r="AE290" s="35"/>
      <c r="AF290" s="35"/>
      <c r="AG290" s="35"/>
      <c r="AH290" s="35"/>
      <c r="AI290" s="35"/>
      <c r="AJ290" s="35"/>
      <c r="AK290" s="35"/>
      <c r="AL290" s="36"/>
      <c r="AM290" s="36"/>
      <c r="AN290" s="36"/>
      <c r="AO290" s="36"/>
      <c r="AP290" s="36"/>
      <c r="AQ290" s="36"/>
      <c r="AR290" s="36"/>
      <c r="AS290" s="35"/>
      <c r="AT290" s="35"/>
      <c r="AU290" s="35"/>
      <c r="AV290" s="35"/>
      <c r="AW290" s="35"/>
      <c r="AX290" s="35"/>
      <c r="AY290" s="35"/>
      <c r="AZ290" s="35"/>
      <c r="BA290" s="35"/>
      <c r="BB290" s="35"/>
      <c r="BC290" s="35"/>
      <c r="BD290" s="35"/>
      <c r="BE290" s="35"/>
      <c r="BF290" s="35"/>
      <c r="BG290" s="35"/>
      <c r="BH290" s="35"/>
      <c r="BI290" s="35"/>
      <c r="BJ290" s="35"/>
      <c r="BK290" s="35"/>
      <c r="BL290" s="35"/>
      <c r="BM290" s="35"/>
      <c r="BN290" s="35"/>
      <c r="BO290" s="35"/>
      <c r="BP290" s="35"/>
      <c r="BQ290" s="35"/>
      <c r="BR290" s="35"/>
      <c r="BS290" s="35"/>
      <c r="BT290" s="35"/>
      <c r="BU290" s="35"/>
      <c r="BV290" s="35"/>
      <c r="BW290" s="35"/>
      <c r="BX290" s="35"/>
      <c r="BY290" s="35"/>
      <c r="BZ290" s="35"/>
      <c r="CA290" s="35"/>
      <c r="CB290" s="35"/>
      <c r="CC290" s="35"/>
      <c r="CD290" s="35"/>
      <c r="CE290" s="35"/>
      <c r="CF290" s="35"/>
      <c r="CG290" s="35"/>
      <c r="CH290" s="35"/>
      <c r="CI290" s="35"/>
      <c r="CJ290" s="35"/>
      <c r="CK290" s="35"/>
      <c r="CL290" s="35"/>
      <c r="CM290" s="35"/>
      <c r="CN290" s="35"/>
      <c r="CO290" s="35"/>
      <c r="CP290" s="35"/>
      <c r="CQ290" s="35"/>
      <c r="CR290" s="35"/>
      <c r="CS290" s="35"/>
      <c r="CT290" s="36"/>
      <c r="CU290" s="35"/>
      <c r="CV290" s="35"/>
      <c r="CW290" s="35"/>
      <c r="CX290" s="35"/>
      <c r="CY290" s="35"/>
      <c r="CZ290" s="36"/>
      <c r="DA290" s="36"/>
      <c r="DB290" s="35"/>
      <c r="DC290" s="35"/>
      <c r="DD290" s="35"/>
      <c r="DE290" s="35"/>
      <c r="DF290" s="35"/>
      <c r="DG290" s="35"/>
      <c r="DH290" s="35"/>
      <c r="DI290" s="35"/>
      <c r="DJ290" s="35"/>
      <c r="DK290" s="35"/>
      <c r="DL290" s="35"/>
      <c r="DM290" s="35"/>
      <c r="DN290" s="35"/>
      <c r="DO290" s="35"/>
      <c r="DP290" s="35"/>
      <c r="DQ290" s="35"/>
      <c r="DR290" s="35"/>
      <c r="DS290" s="35"/>
      <c r="DT290" s="35"/>
      <c r="DU290" s="35"/>
      <c r="DV290" s="35"/>
      <c r="DW290" s="35"/>
      <c r="DX290" s="35"/>
      <c r="DY290" s="35"/>
      <c r="DZ290" s="36"/>
      <c r="EA290" s="35"/>
      <c r="EB290" s="35"/>
      <c r="EC290" s="35"/>
      <c r="ED290" s="35"/>
      <c r="EE290" s="35"/>
      <c r="EF290" s="35"/>
      <c r="EG290" s="35"/>
      <c r="EH290" s="35"/>
      <c r="EI290" s="35"/>
      <c r="EJ290" s="35"/>
      <c r="EK290" s="35"/>
      <c r="EL290" s="35"/>
      <c r="EM290" s="35"/>
      <c r="EN290" s="35"/>
      <c r="EO290" s="35"/>
      <c r="EP290" s="35"/>
      <c r="EQ290" s="35"/>
      <c r="ER290" s="35"/>
      <c r="ES290" s="35"/>
      <c r="ET290" s="35"/>
      <c r="EU290" s="35"/>
      <c r="EV290" s="35"/>
      <c r="EW290" s="35"/>
      <c r="EX290" s="35"/>
      <c r="EY290" s="36"/>
      <c r="EZ290" s="35"/>
      <c r="FA290" s="35"/>
      <c r="FB290" s="35"/>
      <c r="FC290" s="35"/>
      <c r="FD290" s="35"/>
      <c r="FE290" s="35"/>
      <c r="FF290" s="35"/>
      <c r="FG290" s="35"/>
      <c r="FH290" s="35"/>
      <c r="FI290" s="35"/>
      <c r="FJ290" s="35"/>
      <c r="FK290" s="35"/>
      <c r="FL290" s="35"/>
      <c r="FM290" s="35"/>
      <c r="FN290" s="35"/>
      <c r="FO290" s="35"/>
      <c r="FP290" s="35"/>
      <c r="FQ290" s="52"/>
      <c r="FR290" s="8"/>
      <c r="FS290" s="9" t="s">
        <v>13</v>
      </c>
      <c r="FT290" s="9" t="str">
        <f t="shared" si="6370"/>
        <v>10. BAU Transition 10.5 Annual Process DocumentationJunior Accountant</v>
      </c>
    </row>
    <row r="291" spans="1:176" s="9" customFormat="1" ht="12" hidden="1" customHeight="1" outlineLevel="1">
      <c r="A291" s="125" t="s">
        <v>4</v>
      </c>
      <c r="B291" s="123" t="s">
        <v>17</v>
      </c>
      <c r="C291" s="124" t="str">
        <f t="shared" si="6366"/>
        <v>0 days</v>
      </c>
      <c r="D291" s="13" t="str">
        <f>$A$264&amp;" "&amp;$A289</f>
        <v>10. BAU Transition 10.5 Annual Process Documentation</v>
      </c>
      <c r="E291" s="51"/>
      <c r="F291" s="35"/>
      <c r="G291" s="35"/>
      <c r="H291" s="35"/>
      <c r="I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D291" s="35"/>
      <c r="AE291" s="35"/>
      <c r="AF291" s="35"/>
      <c r="AG291" s="35"/>
      <c r="AH291" s="35"/>
      <c r="AI291" s="35"/>
      <c r="AJ291" s="35"/>
      <c r="AK291" s="35"/>
      <c r="AL291" s="36"/>
      <c r="AM291" s="36"/>
      <c r="AN291" s="36"/>
      <c r="AO291" s="36"/>
      <c r="AP291" s="36"/>
      <c r="AQ291" s="36"/>
      <c r="AR291" s="36"/>
      <c r="AS291" s="35"/>
      <c r="AT291" s="35"/>
      <c r="AU291" s="35"/>
      <c r="AV291" s="35"/>
      <c r="AW291" s="35"/>
      <c r="AX291" s="35"/>
      <c r="AY291" s="35"/>
      <c r="AZ291" s="35"/>
      <c r="BA291" s="35"/>
      <c r="BB291" s="35"/>
      <c r="BC291" s="35"/>
      <c r="BD291" s="35"/>
      <c r="BE291" s="35"/>
      <c r="BF291" s="35"/>
      <c r="BG291" s="35"/>
      <c r="BH291" s="35"/>
      <c r="BI291" s="35"/>
      <c r="BJ291" s="35"/>
      <c r="BK291" s="35"/>
      <c r="BL291" s="35"/>
      <c r="BM291" s="35"/>
      <c r="BN291" s="35"/>
      <c r="BO291" s="35"/>
      <c r="BP291" s="35"/>
      <c r="BQ291" s="35"/>
      <c r="BR291" s="35"/>
      <c r="BS291" s="35"/>
      <c r="BT291" s="35"/>
      <c r="BU291" s="35"/>
      <c r="BV291" s="35"/>
      <c r="BW291" s="35"/>
      <c r="BX291" s="35"/>
      <c r="BY291" s="35"/>
      <c r="BZ291" s="35"/>
      <c r="CA291" s="35"/>
      <c r="CB291" s="35"/>
      <c r="CC291" s="35"/>
      <c r="CD291" s="35"/>
      <c r="CE291" s="35"/>
      <c r="CF291" s="35"/>
      <c r="CG291" s="35"/>
      <c r="CH291" s="35"/>
      <c r="CI291" s="35"/>
      <c r="CJ291" s="35"/>
      <c r="CK291" s="35"/>
      <c r="CL291" s="35"/>
      <c r="CM291" s="35"/>
      <c r="CN291" s="35"/>
      <c r="CO291" s="35"/>
      <c r="CP291" s="35"/>
      <c r="CQ291" s="35"/>
      <c r="CR291" s="35"/>
      <c r="CS291" s="35"/>
      <c r="CT291" s="36"/>
      <c r="CU291" s="35"/>
      <c r="CV291" s="35"/>
      <c r="CW291" s="35"/>
      <c r="CX291" s="35"/>
      <c r="CY291" s="35"/>
      <c r="CZ291" s="36"/>
      <c r="DA291" s="36"/>
      <c r="DB291" s="35"/>
      <c r="DC291" s="35"/>
      <c r="DD291" s="35"/>
      <c r="DE291" s="35"/>
      <c r="DF291" s="35"/>
      <c r="DG291" s="35"/>
      <c r="DH291" s="35"/>
      <c r="DI291" s="35"/>
      <c r="DJ291" s="35"/>
      <c r="DK291" s="35"/>
      <c r="DL291" s="35"/>
      <c r="DM291" s="35"/>
      <c r="DN291" s="35"/>
      <c r="DO291" s="35"/>
      <c r="DP291" s="35"/>
      <c r="DQ291" s="35"/>
      <c r="DR291" s="35"/>
      <c r="DS291" s="35"/>
      <c r="DT291" s="35"/>
      <c r="DU291" s="35"/>
      <c r="DV291" s="35"/>
      <c r="DW291" s="35"/>
      <c r="DX291" s="35"/>
      <c r="DY291" s="35"/>
      <c r="DZ291" s="36"/>
      <c r="EA291" s="35"/>
      <c r="EB291" s="35"/>
      <c r="EC291" s="35"/>
      <c r="ED291" s="35"/>
      <c r="EE291" s="35"/>
      <c r="EF291" s="35"/>
      <c r="EG291" s="35"/>
      <c r="EH291" s="35"/>
      <c r="EI291" s="35"/>
      <c r="EJ291" s="35"/>
      <c r="EK291" s="35"/>
      <c r="EL291" s="35"/>
      <c r="EM291" s="35"/>
      <c r="EN291" s="35"/>
      <c r="EO291" s="35"/>
      <c r="EP291" s="35"/>
      <c r="EQ291" s="35"/>
      <c r="ER291" s="35"/>
      <c r="ES291" s="35"/>
      <c r="ET291" s="35"/>
      <c r="EU291" s="35"/>
      <c r="EV291" s="35"/>
      <c r="EW291" s="35"/>
      <c r="EX291" s="35"/>
      <c r="EY291" s="36"/>
      <c r="EZ291" s="35"/>
      <c r="FA291" s="35"/>
      <c r="FB291" s="35"/>
      <c r="FC291" s="35"/>
      <c r="FD291" s="35"/>
      <c r="FE291" s="35"/>
      <c r="FF291" s="35"/>
      <c r="FG291" s="35"/>
      <c r="FH291" s="35"/>
      <c r="FI291" s="35"/>
      <c r="FJ291" s="35"/>
      <c r="FK291" s="35"/>
      <c r="FL291" s="35"/>
      <c r="FM291" s="35"/>
      <c r="FN291" s="35"/>
      <c r="FO291" s="35"/>
      <c r="FP291" s="35"/>
      <c r="FQ291" s="52"/>
      <c r="FR291" s="8"/>
      <c r="FS291" s="9" t="s">
        <v>13</v>
      </c>
      <c r="FT291" s="9" t="str">
        <f t="shared" si="6370"/>
        <v>10. BAU Transition 10.5 Annual Process DocumentationSenior Accountant</v>
      </c>
    </row>
    <row r="292" spans="1:176" s="9" customFormat="1" ht="12" hidden="1" customHeight="1" outlineLevel="1">
      <c r="A292" s="125" t="s">
        <v>4</v>
      </c>
      <c r="B292" s="130" t="s">
        <v>10</v>
      </c>
      <c r="C292" s="131" t="str">
        <f t="shared" si="6366"/>
        <v>0 days</v>
      </c>
      <c r="D292" s="101" t="str">
        <f>$A$264&amp;" "&amp;$A289</f>
        <v>10. BAU Transition 10.5 Annual Process Documentation</v>
      </c>
      <c r="E292" s="51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D292" s="35"/>
      <c r="AE292" s="35"/>
      <c r="AF292" s="35"/>
      <c r="AG292" s="35"/>
      <c r="AH292" s="35"/>
      <c r="AI292" s="35"/>
      <c r="AJ292" s="35"/>
      <c r="AK292" s="35"/>
      <c r="AL292" s="36"/>
      <c r="AM292" s="36"/>
      <c r="AN292" s="36"/>
      <c r="AO292" s="36"/>
      <c r="AP292" s="36"/>
      <c r="AQ292" s="36"/>
      <c r="AR292" s="36"/>
      <c r="AS292" s="35"/>
      <c r="AT292" s="35"/>
      <c r="AU292" s="35"/>
      <c r="AV292" s="35"/>
      <c r="AW292" s="35"/>
      <c r="AX292" s="35"/>
      <c r="AY292" s="35"/>
      <c r="AZ292" s="35"/>
      <c r="BA292" s="35"/>
      <c r="BB292" s="35"/>
      <c r="BC292" s="35"/>
      <c r="BD292" s="35"/>
      <c r="BE292" s="35"/>
      <c r="BF292" s="35"/>
      <c r="BG292" s="35"/>
      <c r="BH292" s="35"/>
      <c r="BI292" s="35"/>
      <c r="BJ292" s="35"/>
      <c r="BK292" s="35"/>
      <c r="BL292" s="35"/>
      <c r="BM292" s="35"/>
      <c r="BN292" s="35"/>
      <c r="BO292" s="35"/>
      <c r="BP292" s="35"/>
      <c r="BQ292" s="35"/>
      <c r="BR292" s="35"/>
      <c r="BS292" s="35"/>
      <c r="BT292" s="35"/>
      <c r="BU292" s="35"/>
      <c r="BV292" s="35"/>
      <c r="BW292" s="35"/>
      <c r="BX292" s="35"/>
      <c r="BY292" s="35"/>
      <c r="BZ292" s="35"/>
      <c r="CA292" s="35"/>
      <c r="CB292" s="35"/>
      <c r="CC292" s="35"/>
      <c r="CD292" s="35"/>
      <c r="CE292" s="35"/>
      <c r="CF292" s="35"/>
      <c r="CG292" s="35"/>
      <c r="CH292" s="35"/>
      <c r="CI292" s="35"/>
      <c r="CJ292" s="35"/>
      <c r="CK292" s="35"/>
      <c r="CL292" s="35"/>
      <c r="CM292" s="35"/>
      <c r="CN292" s="35"/>
      <c r="CO292" s="35"/>
      <c r="CP292" s="35"/>
      <c r="CQ292" s="35"/>
      <c r="CR292" s="35"/>
      <c r="CS292" s="35"/>
      <c r="CT292" s="36"/>
      <c r="CU292" s="35"/>
      <c r="CV292" s="35"/>
      <c r="CW292" s="35"/>
      <c r="CX292" s="35"/>
      <c r="CY292" s="35"/>
      <c r="CZ292" s="36"/>
      <c r="DA292" s="36"/>
      <c r="DB292" s="35"/>
      <c r="DC292" s="35"/>
      <c r="DD292" s="35"/>
      <c r="DE292" s="35"/>
      <c r="DF292" s="35"/>
      <c r="DG292" s="35"/>
      <c r="DH292" s="35"/>
      <c r="DI292" s="35"/>
      <c r="DJ292" s="35"/>
      <c r="DK292" s="35"/>
      <c r="DL292" s="35"/>
      <c r="DM292" s="35"/>
      <c r="DN292" s="35"/>
      <c r="DO292" s="35"/>
      <c r="DP292" s="35"/>
      <c r="DQ292" s="35"/>
      <c r="DR292" s="35"/>
      <c r="DS292" s="35"/>
      <c r="DT292" s="35"/>
      <c r="DU292" s="35"/>
      <c r="DV292" s="35"/>
      <c r="DW292" s="35"/>
      <c r="DX292" s="35"/>
      <c r="DY292" s="35"/>
      <c r="DZ292" s="36"/>
      <c r="EA292" s="35"/>
      <c r="EB292" s="35"/>
      <c r="EC292" s="35"/>
      <c r="ED292" s="35"/>
      <c r="EE292" s="35"/>
      <c r="EF292" s="35"/>
      <c r="EG292" s="35"/>
      <c r="EH292" s="35"/>
      <c r="EI292" s="35"/>
      <c r="EJ292" s="35"/>
      <c r="EK292" s="35"/>
      <c r="EL292" s="35"/>
      <c r="EM292" s="35"/>
      <c r="EN292" s="35"/>
      <c r="EO292" s="35"/>
      <c r="EP292" s="35"/>
      <c r="EQ292" s="35"/>
      <c r="ER292" s="35"/>
      <c r="ES292" s="35"/>
      <c r="ET292" s="35"/>
      <c r="EU292" s="35"/>
      <c r="EV292" s="35"/>
      <c r="EW292" s="35"/>
      <c r="EX292" s="35"/>
      <c r="EY292" s="36"/>
      <c r="EZ292" s="35"/>
      <c r="FA292" s="35"/>
      <c r="FB292" s="35"/>
      <c r="FC292" s="35"/>
      <c r="FD292" s="35"/>
      <c r="FE292" s="35"/>
      <c r="FF292" s="35"/>
      <c r="FG292" s="35"/>
      <c r="FH292" s="35"/>
      <c r="FI292" s="35"/>
      <c r="FJ292" s="35"/>
      <c r="FK292" s="35"/>
      <c r="FL292" s="35"/>
      <c r="FM292" s="35"/>
      <c r="FN292" s="35"/>
      <c r="FO292" s="35"/>
      <c r="FP292" s="35"/>
      <c r="FQ292" s="52"/>
      <c r="FR292" s="8"/>
      <c r="FS292" s="9" t="s">
        <v>13</v>
      </c>
      <c r="FT292" s="9" t="str">
        <f t="shared" si="6370"/>
        <v>10. BAU Transition 10.5 Annual Process DocumentationGlenn Kirk</v>
      </c>
    </row>
    <row r="293" spans="1:176" s="9" customFormat="1" ht="12" hidden="1" customHeight="1" outlineLevel="1">
      <c r="A293" s="125"/>
      <c r="B293" s="123"/>
      <c r="C293" s="124" t="str">
        <f t="shared" si="6366"/>
        <v>0 days</v>
      </c>
      <c r="D293" s="13" t="str">
        <f>$A$264&amp;" "&amp;$A289</f>
        <v>10. BAU Transition 10.5 Annual Process Documentation</v>
      </c>
      <c r="E293" s="51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D293" s="35"/>
      <c r="AE293" s="35"/>
      <c r="AF293" s="35"/>
      <c r="AG293" s="35"/>
      <c r="AH293" s="35"/>
      <c r="AI293" s="35"/>
      <c r="AJ293" s="35"/>
      <c r="AK293" s="35"/>
      <c r="AL293" s="36"/>
      <c r="AM293" s="36"/>
      <c r="AN293" s="36"/>
      <c r="AO293" s="36"/>
      <c r="AP293" s="36"/>
      <c r="AQ293" s="36"/>
      <c r="AR293" s="36"/>
      <c r="AS293" s="35"/>
      <c r="AT293" s="35"/>
      <c r="AU293" s="35"/>
      <c r="AV293" s="35"/>
      <c r="AW293" s="35"/>
      <c r="AX293" s="35"/>
      <c r="AY293" s="35"/>
      <c r="AZ293" s="35"/>
      <c r="BA293" s="35"/>
      <c r="BB293" s="35"/>
      <c r="BC293" s="35"/>
      <c r="BD293" s="35"/>
      <c r="BE293" s="35"/>
      <c r="BF293" s="35"/>
      <c r="BG293" s="35"/>
      <c r="BH293" s="35"/>
      <c r="BI293" s="35"/>
      <c r="BJ293" s="35"/>
      <c r="BK293" s="35"/>
      <c r="BL293" s="35"/>
      <c r="BM293" s="35"/>
      <c r="BN293" s="35"/>
      <c r="BO293" s="35"/>
      <c r="BP293" s="35"/>
      <c r="BQ293" s="35"/>
      <c r="BR293" s="35"/>
      <c r="BS293" s="35"/>
      <c r="BT293" s="35"/>
      <c r="BU293" s="35"/>
      <c r="BV293" s="35"/>
      <c r="BW293" s="35"/>
      <c r="BX293" s="35"/>
      <c r="BY293" s="35"/>
      <c r="BZ293" s="35"/>
      <c r="CA293" s="35"/>
      <c r="CB293" s="35"/>
      <c r="CC293" s="35"/>
      <c r="CD293" s="35"/>
      <c r="CE293" s="35"/>
      <c r="CF293" s="35"/>
      <c r="CG293" s="35"/>
      <c r="CH293" s="35"/>
      <c r="CI293" s="35"/>
      <c r="CJ293" s="35"/>
      <c r="CK293" s="35"/>
      <c r="CL293" s="35"/>
      <c r="CM293" s="35"/>
      <c r="CN293" s="35"/>
      <c r="CO293" s="35"/>
      <c r="CP293" s="35"/>
      <c r="CQ293" s="35"/>
      <c r="CR293" s="35"/>
      <c r="CS293" s="35"/>
      <c r="CT293" s="36"/>
      <c r="CU293" s="35"/>
      <c r="CV293" s="35"/>
      <c r="CW293" s="35"/>
      <c r="CX293" s="35"/>
      <c r="CY293" s="35"/>
      <c r="CZ293" s="36"/>
      <c r="DA293" s="36"/>
      <c r="DB293" s="35"/>
      <c r="DC293" s="35"/>
      <c r="DD293" s="35"/>
      <c r="DE293" s="35"/>
      <c r="DF293" s="35"/>
      <c r="DG293" s="35"/>
      <c r="DH293" s="35"/>
      <c r="DI293" s="35"/>
      <c r="DJ293" s="35"/>
      <c r="DK293" s="35"/>
      <c r="DL293" s="35"/>
      <c r="DM293" s="35"/>
      <c r="DN293" s="35"/>
      <c r="DO293" s="35"/>
      <c r="DP293" s="35"/>
      <c r="DQ293" s="35"/>
      <c r="DR293" s="35"/>
      <c r="DS293" s="35"/>
      <c r="DT293" s="35"/>
      <c r="DU293" s="35"/>
      <c r="DV293" s="35"/>
      <c r="DW293" s="35"/>
      <c r="DX293" s="35"/>
      <c r="DY293" s="35"/>
      <c r="DZ293" s="36"/>
      <c r="EA293" s="35"/>
      <c r="EB293" s="35"/>
      <c r="EC293" s="35"/>
      <c r="ED293" s="35"/>
      <c r="EE293" s="35"/>
      <c r="EF293" s="35"/>
      <c r="EG293" s="35"/>
      <c r="EH293" s="35"/>
      <c r="EI293" s="35"/>
      <c r="EJ293" s="35"/>
      <c r="EK293" s="35"/>
      <c r="EL293" s="35"/>
      <c r="EM293" s="35"/>
      <c r="EN293" s="35"/>
      <c r="EO293" s="35"/>
      <c r="EP293" s="35"/>
      <c r="EQ293" s="35"/>
      <c r="ER293" s="35"/>
      <c r="ES293" s="35"/>
      <c r="ET293" s="35"/>
      <c r="EU293" s="35"/>
      <c r="EV293" s="35"/>
      <c r="EW293" s="35"/>
      <c r="EX293" s="35"/>
      <c r="EY293" s="36"/>
      <c r="EZ293" s="35"/>
      <c r="FA293" s="35"/>
      <c r="FB293" s="35"/>
      <c r="FC293" s="35"/>
      <c r="FD293" s="35"/>
      <c r="FE293" s="35"/>
      <c r="FF293" s="35"/>
      <c r="FG293" s="35"/>
      <c r="FH293" s="35"/>
      <c r="FI293" s="35"/>
      <c r="FJ293" s="35"/>
      <c r="FK293" s="35"/>
      <c r="FL293" s="35"/>
      <c r="FM293" s="35"/>
      <c r="FN293" s="35"/>
      <c r="FO293" s="35"/>
      <c r="FP293" s="35"/>
      <c r="FQ293" s="52"/>
      <c r="FR293" s="8"/>
      <c r="FS293" s="9" t="s">
        <v>13</v>
      </c>
      <c r="FT293" s="9" t="str">
        <f t="shared" si="6370"/>
        <v>10. BAU Transition 10.5 Annual Process Documentation</v>
      </c>
    </row>
    <row r="294" spans="1:176" s="9" customFormat="1" ht="12" hidden="1" customHeight="1" outlineLevel="1">
      <c r="A294" s="125"/>
      <c r="B294" s="123"/>
      <c r="C294" s="124" t="str">
        <f t="shared" si="6366"/>
        <v>0 days</v>
      </c>
      <c r="D294" s="13" t="str">
        <f>$A$264&amp;" "&amp;$A289</f>
        <v>10. BAU Transition 10.5 Annual Process Documentation</v>
      </c>
      <c r="E294" s="51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D294" s="35"/>
      <c r="AE294" s="35"/>
      <c r="AF294" s="35"/>
      <c r="AG294" s="35"/>
      <c r="AH294" s="35"/>
      <c r="AI294" s="35"/>
      <c r="AJ294" s="35"/>
      <c r="AK294" s="35"/>
      <c r="AL294" s="36"/>
      <c r="AM294" s="36"/>
      <c r="AN294" s="36"/>
      <c r="AO294" s="36"/>
      <c r="AP294" s="36"/>
      <c r="AQ294" s="36"/>
      <c r="AR294" s="36"/>
      <c r="AS294" s="35"/>
      <c r="AT294" s="35"/>
      <c r="AU294" s="35"/>
      <c r="AV294" s="35"/>
      <c r="AW294" s="35"/>
      <c r="AX294" s="35"/>
      <c r="AY294" s="35"/>
      <c r="AZ294" s="35"/>
      <c r="BA294" s="35"/>
      <c r="BB294" s="35"/>
      <c r="BC294" s="35"/>
      <c r="BD294" s="35"/>
      <c r="BE294" s="35"/>
      <c r="BF294" s="35"/>
      <c r="BG294" s="35"/>
      <c r="BH294" s="35"/>
      <c r="BI294" s="35"/>
      <c r="BJ294" s="35"/>
      <c r="BK294" s="35"/>
      <c r="BL294" s="35"/>
      <c r="BM294" s="35"/>
      <c r="BN294" s="35"/>
      <c r="BO294" s="35"/>
      <c r="BP294" s="35"/>
      <c r="BQ294" s="35"/>
      <c r="BR294" s="35"/>
      <c r="BS294" s="35"/>
      <c r="BT294" s="35"/>
      <c r="BU294" s="35"/>
      <c r="BV294" s="35"/>
      <c r="BW294" s="35"/>
      <c r="BX294" s="35"/>
      <c r="BY294" s="35"/>
      <c r="BZ294" s="35"/>
      <c r="CA294" s="35"/>
      <c r="CB294" s="35"/>
      <c r="CC294" s="35"/>
      <c r="CD294" s="35"/>
      <c r="CE294" s="35"/>
      <c r="CF294" s="35"/>
      <c r="CG294" s="35"/>
      <c r="CH294" s="35"/>
      <c r="CI294" s="35"/>
      <c r="CJ294" s="35"/>
      <c r="CK294" s="35"/>
      <c r="CL294" s="35"/>
      <c r="CM294" s="35"/>
      <c r="CN294" s="35"/>
      <c r="CO294" s="35"/>
      <c r="CP294" s="35"/>
      <c r="CQ294" s="35"/>
      <c r="CR294" s="35"/>
      <c r="CS294" s="35"/>
      <c r="CT294" s="36"/>
      <c r="CU294" s="35"/>
      <c r="CV294" s="35"/>
      <c r="CW294" s="35"/>
      <c r="CX294" s="35"/>
      <c r="CY294" s="35"/>
      <c r="CZ294" s="36"/>
      <c r="DA294" s="36"/>
      <c r="DB294" s="35"/>
      <c r="DC294" s="35"/>
      <c r="DD294" s="35"/>
      <c r="DE294" s="35"/>
      <c r="DF294" s="35"/>
      <c r="DG294" s="35"/>
      <c r="DH294" s="35"/>
      <c r="DI294" s="35"/>
      <c r="DJ294" s="35"/>
      <c r="DK294" s="35"/>
      <c r="DL294" s="35"/>
      <c r="DM294" s="35"/>
      <c r="DN294" s="35"/>
      <c r="DO294" s="35"/>
      <c r="DP294" s="35"/>
      <c r="DQ294" s="35"/>
      <c r="DR294" s="35"/>
      <c r="DS294" s="35"/>
      <c r="DT294" s="35"/>
      <c r="DU294" s="35"/>
      <c r="DV294" s="35"/>
      <c r="DW294" s="35"/>
      <c r="DX294" s="35"/>
      <c r="DY294" s="35"/>
      <c r="DZ294" s="36"/>
      <c r="EA294" s="35"/>
      <c r="EB294" s="35"/>
      <c r="EC294" s="35"/>
      <c r="ED294" s="35"/>
      <c r="EE294" s="35"/>
      <c r="EF294" s="35"/>
      <c r="EG294" s="35"/>
      <c r="EH294" s="35"/>
      <c r="EI294" s="35"/>
      <c r="EJ294" s="35"/>
      <c r="EK294" s="35"/>
      <c r="EL294" s="35"/>
      <c r="EM294" s="35"/>
      <c r="EN294" s="35"/>
      <c r="EO294" s="35"/>
      <c r="EP294" s="35"/>
      <c r="EQ294" s="35"/>
      <c r="ER294" s="35"/>
      <c r="ES294" s="35"/>
      <c r="ET294" s="35"/>
      <c r="EU294" s="35"/>
      <c r="EV294" s="35"/>
      <c r="EW294" s="35"/>
      <c r="EX294" s="35"/>
      <c r="EY294" s="36"/>
      <c r="EZ294" s="35"/>
      <c r="FA294" s="35"/>
      <c r="FB294" s="35"/>
      <c r="FC294" s="35"/>
      <c r="FD294" s="35"/>
      <c r="FE294" s="35"/>
      <c r="FF294" s="35"/>
      <c r="FG294" s="35"/>
      <c r="FH294" s="35"/>
      <c r="FI294" s="35"/>
      <c r="FJ294" s="35"/>
      <c r="FK294" s="35"/>
      <c r="FL294" s="35"/>
      <c r="FM294" s="35"/>
      <c r="FN294" s="35"/>
      <c r="FO294" s="35"/>
      <c r="FP294" s="35"/>
      <c r="FQ294" s="52"/>
      <c r="FR294" s="8"/>
      <c r="FS294" s="9" t="s">
        <v>13</v>
      </c>
      <c r="FT294" s="9" t="str">
        <f t="shared" si="6370"/>
        <v>10. BAU Transition 10.5 Annual Process Documentation</v>
      </c>
    </row>
    <row r="295" spans="1:176" s="9" customFormat="1" ht="12" customHeight="1" collapsed="1">
      <c r="A295" s="119" t="s">
        <v>129</v>
      </c>
      <c r="B295" s="127"/>
      <c r="C295" s="121" t="str">
        <f t="shared" si="6366"/>
        <v>20 days</v>
      </c>
      <c r="D295" s="27"/>
      <c r="E295" s="91" t="str">
        <f t="shared" ref="E295:BP295" si="6383">IF(SUBTOTAL(9,E296:E300)&gt;0,SUBTOTAL(9,E296:E300),"")</f>
        <v/>
      </c>
      <c r="F295" s="34" t="str">
        <f>IF(SUBTOTAL(9,F296:F300)&gt;0,SUBTOTAL(9,F296:F300),"")</f>
        <v/>
      </c>
      <c r="G295" s="34" t="str">
        <f t="shared" si="6383"/>
        <v/>
      </c>
      <c r="H295" s="34" t="str">
        <f t="shared" si="6383"/>
        <v/>
      </c>
      <c r="I295" s="34" t="str">
        <f t="shared" si="6383"/>
        <v/>
      </c>
      <c r="J295" s="34" t="str">
        <f t="shared" si="6383"/>
        <v/>
      </c>
      <c r="K295" s="34" t="str">
        <f t="shared" si="6383"/>
        <v/>
      </c>
      <c r="L295" s="34" t="str">
        <f t="shared" si="6383"/>
        <v/>
      </c>
      <c r="M295" s="34" t="str">
        <f t="shared" si="6383"/>
        <v/>
      </c>
      <c r="N295" s="34" t="str">
        <f t="shared" si="6383"/>
        <v/>
      </c>
      <c r="O295" s="34" t="str">
        <f t="shared" si="6383"/>
        <v/>
      </c>
      <c r="P295" s="34" t="str">
        <f t="shared" si="6383"/>
        <v/>
      </c>
      <c r="Q295" s="34" t="str">
        <f t="shared" si="6383"/>
        <v/>
      </c>
      <c r="R295" s="34" t="str">
        <f t="shared" si="6383"/>
        <v/>
      </c>
      <c r="S295" s="34" t="str">
        <f t="shared" si="6383"/>
        <v/>
      </c>
      <c r="T295" s="34" t="str">
        <f t="shared" si="6383"/>
        <v/>
      </c>
      <c r="U295" s="34" t="str">
        <f t="shared" si="6383"/>
        <v/>
      </c>
      <c r="V295" s="34" t="str">
        <f t="shared" si="6383"/>
        <v/>
      </c>
      <c r="W295" s="34" t="str">
        <f t="shared" si="6383"/>
        <v/>
      </c>
      <c r="X295" s="34" t="str">
        <f t="shared" si="6383"/>
        <v/>
      </c>
      <c r="Y295" s="34" t="str">
        <f t="shared" si="6383"/>
        <v/>
      </c>
      <c r="Z295" s="34" t="str">
        <f t="shared" si="6383"/>
        <v/>
      </c>
      <c r="AA295" s="34" t="str">
        <f t="shared" si="6383"/>
        <v/>
      </c>
      <c r="AB295" s="34" t="str">
        <f t="shared" si="6383"/>
        <v/>
      </c>
      <c r="AC295" s="34" t="str">
        <f t="shared" si="6383"/>
        <v/>
      </c>
      <c r="AD295" s="34" t="str">
        <f t="shared" si="6383"/>
        <v/>
      </c>
      <c r="AE295" s="34" t="str">
        <f t="shared" si="6383"/>
        <v/>
      </c>
      <c r="AF295" s="34" t="str">
        <f t="shared" si="6383"/>
        <v/>
      </c>
      <c r="AG295" s="34" t="str">
        <f t="shared" si="6383"/>
        <v/>
      </c>
      <c r="AH295" s="34" t="str">
        <f t="shared" si="6383"/>
        <v/>
      </c>
      <c r="AI295" s="34" t="str">
        <f t="shared" si="6383"/>
        <v/>
      </c>
      <c r="AJ295" s="34" t="str">
        <f t="shared" si="6383"/>
        <v/>
      </c>
      <c r="AK295" s="34" t="str">
        <f t="shared" si="6383"/>
        <v/>
      </c>
      <c r="AL295" s="33" t="str">
        <f t="shared" si="6383"/>
        <v/>
      </c>
      <c r="AM295" s="33" t="str">
        <f t="shared" si="6383"/>
        <v/>
      </c>
      <c r="AN295" s="33" t="str">
        <f t="shared" si="6383"/>
        <v/>
      </c>
      <c r="AO295" s="33" t="str">
        <f t="shared" si="6383"/>
        <v/>
      </c>
      <c r="AP295" s="33" t="str">
        <f t="shared" si="6383"/>
        <v/>
      </c>
      <c r="AQ295" s="33" t="str">
        <f t="shared" si="6383"/>
        <v/>
      </c>
      <c r="AR295" s="33" t="str">
        <f t="shared" si="6383"/>
        <v/>
      </c>
      <c r="AS295" s="34" t="str">
        <f t="shared" si="6383"/>
        <v/>
      </c>
      <c r="AT295" s="34" t="str">
        <f t="shared" si="6383"/>
        <v/>
      </c>
      <c r="AU295" s="34" t="str">
        <f t="shared" si="6383"/>
        <v/>
      </c>
      <c r="AV295" s="34" t="str">
        <f t="shared" si="6383"/>
        <v/>
      </c>
      <c r="AW295" s="34" t="str">
        <f t="shared" si="6383"/>
        <v/>
      </c>
      <c r="AX295" s="34" t="str">
        <f t="shared" si="6383"/>
        <v/>
      </c>
      <c r="AY295" s="34" t="str">
        <f t="shared" si="6383"/>
        <v/>
      </c>
      <c r="AZ295" s="34" t="str">
        <f t="shared" si="6383"/>
        <v/>
      </c>
      <c r="BA295" s="34" t="str">
        <f t="shared" si="6383"/>
        <v/>
      </c>
      <c r="BB295" s="34" t="str">
        <f t="shared" si="6383"/>
        <v/>
      </c>
      <c r="BC295" s="34" t="str">
        <f t="shared" si="6383"/>
        <v/>
      </c>
      <c r="BD295" s="34" t="str">
        <f t="shared" si="6383"/>
        <v/>
      </c>
      <c r="BE295" s="34" t="str">
        <f t="shared" si="6383"/>
        <v/>
      </c>
      <c r="BF295" s="34" t="str">
        <f t="shared" si="6383"/>
        <v/>
      </c>
      <c r="BG295" s="34" t="str">
        <f t="shared" si="6383"/>
        <v/>
      </c>
      <c r="BH295" s="34" t="str">
        <f t="shared" si="6383"/>
        <v/>
      </c>
      <c r="BI295" s="34" t="str">
        <f t="shared" si="6383"/>
        <v/>
      </c>
      <c r="BJ295" s="34" t="str">
        <f t="shared" si="6383"/>
        <v/>
      </c>
      <c r="BK295" s="34" t="str">
        <f t="shared" si="6383"/>
        <v/>
      </c>
      <c r="BL295" s="34" t="str">
        <f t="shared" si="6383"/>
        <v/>
      </c>
      <c r="BM295" s="34" t="str">
        <f t="shared" si="6383"/>
        <v/>
      </c>
      <c r="BN295" s="34" t="str">
        <f t="shared" si="6383"/>
        <v/>
      </c>
      <c r="BO295" s="34" t="str">
        <f t="shared" si="6383"/>
        <v/>
      </c>
      <c r="BP295" s="34" t="str">
        <f t="shared" si="6383"/>
        <v/>
      </c>
      <c r="BQ295" s="34" t="str">
        <f t="shared" ref="BQ295:EB295" si="6384">IF(SUBTOTAL(9,BQ296:BQ300)&gt;0,SUBTOTAL(9,BQ296:BQ300),"")</f>
        <v/>
      </c>
      <c r="BR295" s="34" t="str">
        <f t="shared" si="6384"/>
        <v/>
      </c>
      <c r="BS295" s="34" t="str">
        <f t="shared" si="6384"/>
        <v/>
      </c>
      <c r="BT295" s="34" t="str">
        <f t="shared" si="6384"/>
        <v/>
      </c>
      <c r="BU295" s="34" t="str">
        <f t="shared" si="6384"/>
        <v/>
      </c>
      <c r="BV295" s="34" t="str">
        <f t="shared" si="6384"/>
        <v/>
      </c>
      <c r="BW295" s="34" t="str">
        <f t="shared" si="6384"/>
        <v/>
      </c>
      <c r="BX295" s="34" t="str">
        <f t="shared" si="6384"/>
        <v/>
      </c>
      <c r="BY295" s="34" t="str">
        <f t="shared" si="6384"/>
        <v/>
      </c>
      <c r="BZ295" s="34" t="str">
        <f t="shared" si="6384"/>
        <v/>
      </c>
      <c r="CA295" s="34" t="str">
        <f t="shared" si="6384"/>
        <v/>
      </c>
      <c r="CB295" s="34" t="str">
        <f t="shared" si="6384"/>
        <v/>
      </c>
      <c r="CC295" s="34" t="str">
        <f t="shared" si="6384"/>
        <v/>
      </c>
      <c r="CD295" s="34" t="str">
        <f t="shared" si="6384"/>
        <v/>
      </c>
      <c r="CE295" s="34" t="str">
        <f t="shared" si="6384"/>
        <v/>
      </c>
      <c r="CF295" s="34" t="str">
        <f t="shared" si="6384"/>
        <v/>
      </c>
      <c r="CG295" s="34" t="str">
        <f t="shared" si="6384"/>
        <v/>
      </c>
      <c r="CH295" s="34" t="str">
        <f t="shared" si="6384"/>
        <v/>
      </c>
      <c r="CI295" s="34" t="str">
        <f t="shared" si="6384"/>
        <v/>
      </c>
      <c r="CJ295" s="34" t="str">
        <f t="shared" si="6384"/>
        <v/>
      </c>
      <c r="CK295" s="34" t="str">
        <f t="shared" si="6384"/>
        <v/>
      </c>
      <c r="CL295" s="34" t="str">
        <f t="shared" si="6384"/>
        <v/>
      </c>
      <c r="CM295" s="34" t="str">
        <f t="shared" si="6384"/>
        <v/>
      </c>
      <c r="CN295" s="34" t="str">
        <f t="shared" si="6384"/>
        <v/>
      </c>
      <c r="CO295" s="34" t="str">
        <f t="shared" si="6384"/>
        <v/>
      </c>
      <c r="CP295" s="34" t="str">
        <f t="shared" si="6384"/>
        <v/>
      </c>
      <c r="CQ295" s="34" t="str">
        <f t="shared" si="6384"/>
        <v/>
      </c>
      <c r="CR295" s="34" t="str">
        <f t="shared" si="6384"/>
        <v/>
      </c>
      <c r="CS295" s="34" t="str">
        <f t="shared" si="6384"/>
        <v/>
      </c>
      <c r="CT295" s="33" t="str">
        <f t="shared" si="6384"/>
        <v/>
      </c>
      <c r="CU295" s="34" t="str">
        <f t="shared" si="6384"/>
        <v/>
      </c>
      <c r="CV295" s="34" t="str">
        <f t="shared" si="6384"/>
        <v/>
      </c>
      <c r="CW295" s="34" t="str">
        <f t="shared" si="6384"/>
        <v/>
      </c>
      <c r="CX295" s="34" t="str">
        <f t="shared" si="6384"/>
        <v/>
      </c>
      <c r="CY295" s="34" t="str">
        <f t="shared" si="6384"/>
        <v/>
      </c>
      <c r="CZ295" s="33" t="str">
        <f t="shared" si="6384"/>
        <v/>
      </c>
      <c r="DA295" s="33" t="str">
        <f t="shared" si="6384"/>
        <v/>
      </c>
      <c r="DB295" s="34" t="str">
        <f t="shared" si="6384"/>
        <v/>
      </c>
      <c r="DC295" s="34" t="str">
        <f t="shared" si="6384"/>
        <v/>
      </c>
      <c r="DD295" s="34" t="str">
        <f t="shared" si="6384"/>
        <v/>
      </c>
      <c r="DE295" s="34" t="str">
        <f t="shared" si="6384"/>
        <v/>
      </c>
      <c r="DF295" s="34" t="str">
        <f t="shared" si="6384"/>
        <v/>
      </c>
      <c r="DG295" s="34" t="str">
        <f t="shared" si="6384"/>
        <v/>
      </c>
      <c r="DH295" s="34" t="str">
        <f t="shared" si="6384"/>
        <v/>
      </c>
      <c r="DI295" s="34" t="str">
        <f t="shared" si="6384"/>
        <v/>
      </c>
      <c r="DJ295" s="34" t="str">
        <f t="shared" si="6384"/>
        <v/>
      </c>
      <c r="DK295" s="34" t="str">
        <f t="shared" si="6384"/>
        <v/>
      </c>
      <c r="DL295" s="34" t="str">
        <f t="shared" si="6384"/>
        <v/>
      </c>
      <c r="DM295" s="34" t="str">
        <f t="shared" si="6384"/>
        <v/>
      </c>
      <c r="DN295" s="34" t="str">
        <f t="shared" si="6384"/>
        <v/>
      </c>
      <c r="DO295" s="34" t="str">
        <f t="shared" si="6384"/>
        <v/>
      </c>
      <c r="DP295" s="34" t="str">
        <f t="shared" si="6384"/>
        <v/>
      </c>
      <c r="DQ295" s="34" t="str">
        <f t="shared" si="6384"/>
        <v/>
      </c>
      <c r="DR295" s="34" t="str">
        <f t="shared" si="6384"/>
        <v/>
      </c>
      <c r="DS295" s="34" t="str">
        <f t="shared" si="6384"/>
        <v/>
      </c>
      <c r="DT295" s="34" t="str">
        <f t="shared" si="6384"/>
        <v/>
      </c>
      <c r="DU295" s="34" t="str">
        <f t="shared" si="6384"/>
        <v/>
      </c>
      <c r="DV295" s="34" t="str">
        <f t="shared" si="6384"/>
        <v/>
      </c>
      <c r="DW295" s="34" t="str">
        <f t="shared" si="6384"/>
        <v/>
      </c>
      <c r="DX295" s="34" t="str">
        <f t="shared" si="6384"/>
        <v/>
      </c>
      <c r="DY295" s="34" t="str">
        <f t="shared" si="6384"/>
        <v/>
      </c>
      <c r="DZ295" s="33" t="str">
        <f t="shared" si="6384"/>
        <v/>
      </c>
      <c r="EA295" s="34" t="str">
        <f t="shared" si="6384"/>
        <v/>
      </c>
      <c r="EB295" s="34" t="str">
        <f t="shared" si="6384"/>
        <v/>
      </c>
      <c r="EC295" s="34" t="str">
        <f t="shared" ref="EC295:FQ295" si="6385">IF(SUBTOTAL(9,EC296:EC300)&gt;0,SUBTOTAL(9,EC296:EC300),"")</f>
        <v/>
      </c>
      <c r="ED295" s="34" t="str">
        <f t="shared" si="6385"/>
        <v/>
      </c>
      <c r="EE295" s="34" t="str">
        <f t="shared" si="6385"/>
        <v/>
      </c>
      <c r="EF295" s="34" t="str">
        <f t="shared" si="6385"/>
        <v/>
      </c>
      <c r="EG295" s="34" t="str">
        <f t="shared" si="6385"/>
        <v/>
      </c>
      <c r="EH295" s="34" t="str">
        <f t="shared" si="6385"/>
        <v/>
      </c>
      <c r="EI295" s="34" t="str">
        <f t="shared" si="6385"/>
        <v/>
      </c>
      <c r="EJ295" s="34" t="str">
        <f t="shared" si="6385"/>
        <v/>
      </c>
      <c r="EK295" s="34" t="str">
        <f t="shared" si="6385"/>
        <v/>
      </c>
      <c r="EL295" s="34" t="str">
        <f t="shared" si="6385"/>
        <v/>
      </c>
      <c r="EM295" s="34" t="str">
        <f t="shared" si="6385"/>
        <v/>
      </c>
      <c r="EN295" s="34" t="str">
        <f t="shared" si="6385"/>
        <v/>
      </c>
      <c r="EO295" s="34" t="str">
        <f t="shared" si="6385"/>
        <v/>
      </c>
      <c r="EP295" s="34" t="str">
        <f t="shared" si="6385"/>
        <v/>
      </c>
      <c r="EQ295" s="34" t="str">
        <f t="shared" si="6385"/>
        <v/>
      </c>
      <c r="ER295" s="34">
        <f t="shared" ref="ER295:FB295" si="6386">IF(SUBTOTAL(9,ER296:ER300)&gt;0,SUBTOTAL(9,ER296:ER300),"")</f>
        <v>1</v>
      </c>
      <c r="ES295" s="34">
        <f t="shared" si="6386"/>
        <v>1</v>
      </c>
      <c r="ET295" s="34">
        <f t="shared" si="6386"/>
        <v>1</v>
      </c>
      <c r="EU295" s="34">
        <f t="shared" si="6386"/>
        <v>2</v>
      </c>
      <c r="EV295" s="34">
        <f t="shared" si="6386"/>
        <v>2</v>
      </c>
      <c r="EW295" s="34">
        <f t="shared" si="6386"/>
        <v>3</v>
      </c>
      <c r="EX295" s="34">
        <f t="shared" si="6386"/>
        <v>1</v>
      </c>
      <c r="EY295" s="33" t="str">
        <f t="shared" si="6386"/>
        <v/>
      </c>
      <c r="EZ295" s="34">
        <f t="shared" si="6386"/>
        <v>2</v>
      </c>
      <c r="FA295" s="34">
        <f t="shared" si="6386"/>
        <v>2</v>
      </c>
      <c r="FB295" s="34">
        <f t="shared" si="6386"/>
        <v>2.5</v>
      </c>
      <c r="FC295" s="34">
        <f t="shared" si="6385"/>
        <v>2.5</v>
      </c>
      <c r="FD295" s="34" t="str">
        <f t="shared" si="6385"/>
        <v/>
      </c>
      <c r="FE295" s="34" t="str">
        <f t="shared" si="6385"/>
        <v/>
      </c>
      <c r="FF295" s="34" t="str">
        <f t="shared" si="6385"/>
        <v/>
      </c>
      <c r="FG295" s="34" t="str">
        <f t="shared" si="6385"/>
        <v/>
      </c>
      <c r="FH295" s="34" t="str">
        <f t="shared" si="6385"/>
        <v/>
      </c>
      <c r="FI295" s="34" t="str">
        <f>IF(SUBTOTAL(9,FI296:FI300)&gt;0,SUBTOTAL(9,FI296:FI300),"")</f>
        <v/>
      </c>
      <c r="FJ295" s="34" t="str">
        <f>IF(SUBTOTAL(9,FJ296:FJ300)&gt;0,SUBTOTAL(9,FJ296:FJ300),"")</f>
        <v/>
      </c>
      <c r="FK295" s="34" t="str">
        <f>IF(SUBTOTAL(9,FK296:FK300)&gt;0,SUBTOTAL(9,FK296:FK300),"")</f>
        <v/>
      </c>
      <c r="FL295" s="34" t="str">
        <f t="shared" si="6385"/>
        <v/>
      </c>
      <c r="FM295" s="34" t="str">
        <f t="shared" si="6385"/>
        <v/>
      </c>
      <c r="FN295" s="34" t="str">
        <f t="shared" si="6385"/>
        <v/>
      </c>
      <c r="FO295" s="34" t="str">
        <f t="shared" si="6385"/>
        <v/>
      </c>
      <c r="FP295" s="34" t="str">
        <f t="shared" si="6385"/>
        <v/>
      </c>
      <c r="FQ295" s="92" t="str">
        <f t="shared" si="6385"/>
        <v/>
      </c>
      <c r="FR295" s="8"/>
      <c r="FS295" s="9" t="s">
        <v>131</v>
      </c>
      <c r="FT295" s="9" t="str">
        <f t="shared" si="6370"/>
        <v/>
      </c>
    </row>
    <row r="296" spans="1:176" s="9" customFormat="1" ht="12" hidden="1" customHeight="1" outlineLevel="1">
      <c r="A296" s="125" t="s">
        <v>4</v>
      </c>
      <c r="B296" s="123" t="s">
        <v>16</v>
      </c>
      <c r="C296" s="124" t="str">
        <f t="shared" si="6366"/>
        <v>6 days</v>
      </c>
      <c r="D296" s="13" t="str">
        <f>$A$264&amp;" "&amp;$A295</f>
        <v>10. BAU Transition 10.6 SFCR Development &amp; Dry Run</v>
      </c>
      <c r="E296" s="51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D296" s="35"/>
      <c r="AE296" s="35"/>
      <c r="AF296" s="35"/>
      <c r="AG296" s="35"/>
      <c r="AH296" s="35"/>
      <c r="AI296" s="35"/>
      <c r="AJ296" s="35"/>
      <c r="AK296" s="35"/>
      <c r="AL296" s="36"/>
      <c r="AM296" s="36"/>
      <c r="AN296" s="36"/>
      <c r="AO296" s="36"/>
      <c r="AP296" s="36"/>
      <c r="AQ296" s="36"/>
      <c r="AR296" s="36"/>
      <c r="AS296" s="35"/>
      <c r="AT296" s="35"/>
      <c r="AU296" s="35"/>
      <c r="AV296" s="35"/>
      <c r="AW296" s="35"/>
      <c r="AX296" s="35"/>
      <c r="AY296" s="35"/>
      <c r="AZ296" s="35"/>
      <c r="BA296" s="35"/>
      <c r="BB296" s="35"/>
      <c r="BC296" s="35"/>
      <c r="BD296" s="35"/>
      <c r="BE296" s="35"/>
      <c r="BF296" s="35"/>
      <c r="BG296" s="35"/>
      <c r="BH296" s="35"/>
      <c r="BI296" s="35"/>
      <c r="BJ296" s="35"/>
      <c r="BK296" s="35"/>
      <c r="BL296" s="35"/>
      <c r="BM296" s="35"/>
      <c r="BN296" s="35"/>
      <c r="BO296" s="35"/>
      <c r="BP296" s="35"/>
      <c r="BQ296" s="35"/>
      <c r="BR296" s="35"/>
      <c r="BS296" s="35"/>
      <c r="BT296" s="35"/>
      <c r="BU296" s="35"/>
      <c r="BV296" s="35"/>
      <c r="BW296" s="35"/>
      <c r="BX296" s="35"/>
      <c r="BY296" s="35"/>
      <c r="BZ296" s="35"/>
      <c r="CA296" s="35"/>
      <c r="CB296" s="35"/>
      <c r="CC296" s="35"/>
      <c r="CD296" s="35"/>
      <c r="CE296" s="35"/>
      <c r="CF296" s="35"/>
      <c r="CG296" s="35"/>
      <c r="CH296" s="35"/>
      <c r="CI296" s="35"/>
      <c r="CJ296" s="35"/>
      <c r="CK296" s="35"/>
      <c r="CL296" s="35"/>
      <c r="CM296" s="35"/>
      <c r="CN296" s="35"/>
      <c r="CO296" s="35"/>
      <c r="CP296" s="35"/>
      <c r="CQ296" s="35"/>
      <c r="CR296" s="35"/>
      <c r="CS296" s="35"/>
      <c r="CT296" s="36"/>
      <c r="CU296" s="35"/>
      <c r="CV296" s="35"/>
      <c r="CW296" s="35"/>
      <c r="CX296" s="35"/>
      <c r="CY296" s="35"/>
      <c r="CZ296" s="36"/>
      <c r="DA296" s="36"/>
      <c r="DB296" s="35"/>
      <c r="DC296" s="35"/>
      <c r="DD296" s="35"/>
      <c r="DE296" s="35"/>
      <c r="DF296" s="35"/>
      <c r="DG296" s="35"/>
      <c r="DH296" s="35"/>
      <c r="DI296" s="35"/>
      <c r="DJ296" s="35"/>
      <c r="DK296" s="35"/>
      <c r="DL296" s="35"/>
      <c r="DM296" s="35"/>
      <c r="DN296" s="35"/>
      <c r="DO296" s="35"/>
      <c r="DP296" s="35"/>
      <c r="DQ296" s="35"/>
      <c r="DR296" s="35"/>
      <c r="DS296" s="35"/>
      <c r="DT296" s="35"/>
      <c r="DU296" s="35"/>
      <c r="DV296" s="35"/>
      <c r="DW296" s="35"/>
      <c r="DX296" s="35"/>
      <c r="DY296" s="35"/>
      <c r="DZ296" s="36"/>
      <c r="EA296" s="35"/>
      <c r="EB296" s="35"/>
      <c r="EC296" s="35"/>
      <c r="ED296" s="35"/>
      <c r="EE296" s="35"/>
      <c r="EF296" s="35"/>
      <c r="EG296" s="35"/>
      <c r="EH296" s="35"/>
      <c r="EI296" s="35"/>
      <c r="EJ296" s="35"/>
      <c r="EK296" s="35"/>
      <c r="EL296" s="35"/>
      <c r="EM296" s="35"/>
      <c r="EN296" s="35"/>
      <c r="EO296" s="35"/>
      <c r="EP296" s="35"/>
      <c r="EQ296" s="35"/>
      <c r="ER296" s="35">
        <v>1</v>
      </c>
      <c r="ES296" s="35">
        <v>1</v>
      </c>
      <c r="ET296" s="35">
        <v>1</v>
      </c>
      <c r="EU296" s="35">
        <v>1</v>
      </c>
      <c r="EV296" s="35">
        <v>1</v>
      </c>
      <c r="EW296" s="35">
        <v>1</v>
      </c>
      <c r="EX296" s="35"/>
      <c r="EY296" s="36"/>
      <c r="EZ296" s="35"/>
      <c r="FA296" s="35"/>
      <c r="FB296" s="93"/>
      <c r="FC296" s="93"/>
      <c r="FD296" s="93"/>
      <c r="FE296" s="93"/>
      <c r="FF296" s="93"/>
      <c r="FG296" s="93"/>
      <c r="FH296" s="93"/>
      <c r="FI296" s="93"/>
      <c r="FJ296" s="93"/>
      <c r="FK296" s="93"/>
      <c r="FL296" s="93"/>
      <c r="FM296" s="35"/>
      <c r="FN296" s="35"/>
      <c r="FO296" s="35"/>
      <c r="FP296" s="35"/>
      <c r="FQ296" s="52"/>
      <c r="FR296" s="8"/>
      <c r="FS296" s="9" t="s">
        <v>13</v>
      </c>
      <c r="FT296" s="9" t="str">
        <f t="shared" si="6370"/>
        <v>10. BAU Transition 10.6 SFCR Development &amp; Dry RunJunior Accountant</v>
      </c>
    </row>
    <row r="297" spans="1:176" s="9" customFormat="1" ht="12" hidden="1" customHeight="1" outlineLevel="1">
      <c r="A297" s="125" t="s">
        <v>4</v>
      </c>
      <c r="B297" s="123" t="s">
        <v>17</v>
      </c>
      <c r="C297" s="124" t="str">
        <f t="shared" si="6366"/>
        <v>7 days</v>
      </c>
      <c r="D297" s="13" t="str">
        <f>$A$264&amp;" "&amp;$A295</f>
        <v>10. BAU Transition 10.6 SFCR Development &amp; Dry Run</v>
      </c>
      <c r="E297" s="51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D297" s="35"/>
      <c r="AE297" s="35"/>
      <c r="AF297" s="35"/>
      <c r="AG297" s="35"/>
      <c r="AH297" s="35"/>
      <c r="AI297" s="35"/>
      <c r="AJ297" s="35"/>
      <c r="AK297" s="35"/>
      <c r="AL297" s="36"/>
      <c r="AM297" s="36"/>
      <c r="AN297" s="36"/>
      <c r="AO297" s="36"/>
      <c r="AP297" s="36"/>
      <c r="AQ297" s="36"/>
      <c r="AR297" s="36"/>
      <c r="AS297" s="35"/>
      <c r="AT297" s="35"/>
      <c r="AU297" s="35"/>
      <c r="AV297" s="35"/>
      <c r="AW297" s="35"/>
      <c r="AX297" s="35"/>
      <c r="AY297" s="35"/>
      <c r="AZ297" s="35"/>
      <c r="BA297" s="35"/>
      <c r="BB297" s="35"/>
      <c r="BC297" s="35"/>
      <c r="BD297" s="35"/>
      <c r="BE297" s="35"/>
      <c r="BF297" s="35"/>
      <c r="BG297" s="35"/>
      <c r="BH297" s="35"/>
      <c r="BI297" s="35"/>
      <c r="BJ297" s="35"/>
      <c r="BK297" s="35"/>
      <c r="BL297" s="35"/>
      <c r="BM297" s="35"/>
      <c r="BN297" s="35"/>
      <c r="BO297" s="35"/>
      <c r="BP297" s="35"/>
      <c r="BQ297" s="35"/>
      <c r="BR297" s="35"/>
      <c r="BS297" s="35"/>
      <c r="BT297" s="35"/>
      <c r="BU297" s="35"/>
      <c r="BV297" s="35"/>
      <c r="BW297" s="35"/>
      <c r="BX297" s="35"/>
      <c r="BY297" s="35"/>
      <c r="BZ297" s="35"/>
      <c r="CA297" s="35"/>
      <c r="CB297" s="35"/>
      <c r="CC297" s="35"/>
      <c r="CD297" s="35"/>
      <c r="CE297" s="35"/>
      <c r="CF297" s="35"/>
      <c r="CG297" s="35"/>
      <c r="CH297" s="35"/>
      <c r="CI297" s="35"/>
      <c r="CJ297" s="35"/>
      <c r="CK297" s="35"/>
      <c r="CL297" s="35"/>
      <c r="CM297" s="35"/>
      <c r="CN297" s="35"/>
      <c r="CO297" s="35"/>
      <c r="CP297" s="35"/>
      <c r="CQ297" s="35"/>
      <c r="CR297" s="35"/>
      <c r="CS297" s="35"/>
      <c r="CT297" s="36"/>
      <c r="CU297" s="35"/>
      <c r="CV297" s="35"/>
      <c r="CW297" s="35"/>
      <c r="CX297" s="35"/>
      <c r="CY297" s="35"/>
      <c r="CZ297" s="36"/>
      <c r="DA297" s="36"/>
      <c r="DB297" s="35"/>
      <c r="DC297" s="35"/>
      <c r="DD297" s="35"/>
      <c r="DE297" s="35"/>
      <c r="DF297" s="35"/>
      <c r="DG297" s="35"/>
      <c r="DH297" s="35"/>
      <c r="DI297" s="35"/>
      <c r="DJ297" s="35"/>
      <c r="DK297" s="35"/>
      <c r="DL297" s="35"/>
      <c r="DM297" s="35"/>
      <c r="DN297" s="35"/>
      <c r="DO297" s="35"/>
      <c r="DP297" s="35"/>
      <c r="DQ297" s="35"/>
      <c r="DR297" s="35"/>
      <c r="DS297" s="35"/>
      <c r="DT297" s="35"/>
      <c r="DU297" s="35"/>
      <c r="DV297" s="35"/>
      <c r="DW297" s="35"/>
      <c r="DX297" s="35"/>
      <c r="DY297" s="35"/>
      <c r="DZ297" s="36"/>
      <c r="EA297" s="35"/>
      <c r="EB297" s="35"/>
      <c r="EC297" s="35"/>
      <c r="ED297" s="35"/>
      <c r="EE297" s="35"/>
      <c r="EF297" s="35"/>
      <c r="EG297" s="35"/>
      <c r="EH297" s="35"/>
      <c r="EI297" s="35"/>
      <c r="EJ297" s="35"/>
      <c r="EK297" s="35"/>
      <c r="EL297" s="35"/>
      <c r="EM297" s="35"/>
      <c r="EN297" s="35"/>
      <c r="EO297" s="35"/>
      <c r="EP297" s="35"/>
      <c r="EQ297" s="35"/>
      <c r="ER297" s="93"/>
      <c r="ES297" s="93"/>
      <c r="ET297" s="35"/>
      <c r="EU297" s="35">
        <v>1</v>
      </c>
      <c r="EV297" s="35">
        <v>1</v>
      </c>
      <c r="EW297" s="35">
        <v>1</v>
      </c>
      <c r="EX297" s="93"/>
      <c r="EY297" s="62"/>
      <c r="EZ297" s="35">
        <v>1</v>
      </c>
      <c r="FA297" s="35">
        <v>1</v>
      </c>
      <c r="FB297" s="35">
        <v>1</v>
      </c>
      <c r="FC297" s="35">
        <v>1</v>
      </c>
      <c r="FD297" s="93"/>
      <c r="FE297" s="93"/>
      <c r="FF297" s="93"/>
      <c r="FG297" s="93"/>
      <c r="FH297" s="93"/>
      <c r="FI297" s="93"/>
      <c r="FJ297" s="93"/>
      <c r="FK297" s="93"/>
      <c r="FL297" s="93"/>
      <c r="FM297" s="35"/>
      <c r="FN297" s="35"/>
      <c r="FO297" s="35"/>
      <c r="FP297" s="35"/>
      <c r="FQ297" s="52"/>
      <c r="FR297" s="8"/>
      <c r="FS297" s="9" t="s">
        <v>13</v>
      </c>
      <c r="FT297" s="9" t="str">
        <f t="shared" si="6370"/>
        <v>10. BAU Transition 10.6 SFCR Development &amp; Dry RunSenior Accountant</v>
      </c>
    </row>
    <row r="298" spans="1:176" s="9" customFormat="1" ht="12" hidden="1" customHeight="1" outlineLevel="1">
      <c r="A298" s="125" t="s">
        <v>4</v>
      </c>
      <c r="B298" s="130" t="s">
        <v>10</v>
      </c>
      <c r="C298" s="131" t="str">
        <f t="shared" si="6366"/>
        <v>6 days</v>
      </c>
      <c r="D298" s="101" t="str">
        <f>$A$264&amp;" "&amp;$A295</f>
        <v>10. BAU Transition 10.6 SFCR Development &amp; Dry Run</v>
      </c>
      <c r="E298" s="51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D298" s="35"/>
      <c r="AE298" s="35"/>
      <c r="AF298" s="35"/>
      <c r="AG298" s="35"/>
      <c r="AH298" s="35"/>
      <c r="AI298" s="35"/>
      <c r="AJ298" s="35"/>
      <c r="AK298" s="35"/>
      <c r="AL298" s="36"/>
      <c r="AM298" s="36"/>
      <c r="AN298" s="36"/>
      <c r="AO298" s="36"/>
      <c r="AP298" s="36"/>
      <c r="AQ298" s="36"/>
      <c r="AR298" s="36"/>
      <c r="AS298" s="35"/>
      <c r="AT298" s="35"/>
      <c r="AU298" s="35"/>
      <c r="AV298" s="35"/>
      <c r="AW298" s="35"/>
      <c r="AX298" s="35"/>
      <c r="AY298" s="35"/>
      <c r="AZ298" s="35"/>
      <c r="BA298" s="35"/>
      <c r="BB298" s="35"/>
      <c r="BC298" s="35"/>
      <c r="BD298" s="35"/>
      <c r="BE298" s="35"/>
      <c r="BF298" s="35"/>
      <c r="BG298" s="35"/>
      <c r="BH298" s="35"/>
      <c r="BI298" s="35"/>
      <c r="BJ298" s="35"/>
      <c r="BK298" s="35"/>
      <c r="BL298" s="35"/>
      <c r="BM298" s="35"/>
      <c r="BN298" s="35"/>
      <c r="BO298" s="35"/>
      <c r="BP298" s="35"/>
      <c r="BQ298" s="35"/>
      <c r="BR298" s="35"/>
      <c r="BS298" s="35"/>
      <c r="BT298" s="35"/>
      <c r="BU298" s="35"/>
      <c r="BV298" s="35"/>
      <c r="BW298" s="35"/>
      <c r="BX298" s="35"/>
      <c r="BY298" s="35"/>
      <c r="BZ298" s="35"/>
      <c r="CA298" s="35"/>
      <c r="CB298" s="35"/>
      <c r="CC298" s="35"/>
      <c r="CD298" s="35"/>
      <c r="CE298" s="35"/>
      <c r="CF298" s="35"/>
      <c r="CG298" s="35"/>
      <c r="CH298" s="35"/>
      <c r="CI298" s="35"/>
      <c r="CJ298" s="35"/>
      <c r="CK298" s="35"/>
      <c r="CL298" s="35"/>
      <c r="CM298" s="35"/>
      <c r="CN298" s="35"/>
      <c r="CO298" s="35"/>
      <c r="CP298" s="35"/>
      <c r="CQ298" s="35"/>
      <c r="CR298" s="35"/>
      <c r="CS298" s="35"/>
      <c r="CT298" s="36"/>
      <c r="CU298" s="35"/>
      <c r="CV298" s="35"/>
      <c r="CW298" s="35"/>
      <c r="CX298" s="35"/>
      <c r="CY298" s="35"/>
      <c r="CZ298" s="36"/>
      <c r="DA298" s="36"/>
      <c r="DB298" s="35"/>
      <c r="DC298" s="35"/>
      <c r="DD298" s="35"/>
      <c r="DE298" s="35"/>
      <c r="DF298" s="35"/>
      <c r="DG298" s="35"/>
      <c r="DH298" s="35"/>
      <c r="DI298" s="35"/>
      <c r="DJ298" s="35"/>
      <c r="DK298" s="35"/>
      <c r="DL298" s="35"/>
      <c r="DM298" s="35"/>
      <c r="DN298" s="35"/>
      <c r="DO298" s="35"/>
      <c r="DP298" s="35"/>
      <c r="DQ298" s="35"/>
      <c r="DR298" s="35"/>
      <c r="DS298" s="35"/>
      <c r="DT298" s="35"/>
      <c r="DU298" s="35"/>
      <c r="DV298" s="35"/>
      <c r="DW298" s="35"/>
      <c r="DX298" s="35"/>
      <c r="DY298" s="35"/>
      <c r="DZ298" s="36"/>
      <c r="EA298" s="35"/>
      <c r="EB298" s="35"/>
      <c r="EC298" s="35"/>
      <c r="ED298" s="35"/>
      <c r="EE298" s="35"/>
      <c r="EF298" s="35"/>
      <c r="EG298" s="35"/>
      <c r="EH298" s="35"/>
      <c r="EI298" s="35"/>
      <c r="EJ298" s="35"/>
      <c r="EK298" s="35"/>
      <c r="EL298" s="35"/>
      <c r="EM298" s="35"/>
      <c r="EN298" s="35"/>
      <c r="EO298" s="35"/>
      <c r="EP298" s="35"/>
      <c r="EQ298" s="35"/>
      <c r="ER298" s="93"/>
      <c r="ES298" s="93"/>
      <c r="ET298" s="35"/>
      <c r="EU298" s="35"/>
      <c r="EV298" s="35"/>
      <c r="EW298" s="35">
        <v>1</v>
      </c>
      <c r="EX298" s="35">
        <v>1</v>
      </c>
      <c r="EY298" s="62"/>
      <c r="EZ298" s="35">
        <v>1</v>
      </c>
      <c r="FA298" s="35">
        <v>1</v>
      </c>
      <c r="FB298" s="35">
        <v>1</v>
      </c>
      <c r="FC298" s="35">
        <v>1</v>
      </c>
      <c r="FD298" s="93"/>
      <c r="FE298" s="93"/>
      <c r="FF298" s="93"/>
      <c r="FG298" s="93"/>
      <c r="FH298" s="93"/>
      <c r="FI298" s="93"/>
      <c r="FJ298" s="93"/>
      <c r="FK298" s="93"/>
      <c r="FL298" s="93"/>
      <c r="FM298" s="35"/>
      <c r="FN298" s="35"/>
      <c r="FO298" s="35"/>
      <c r="FP298" s="35"/>
      <c r="FQ298" s="52"/>
      <c r="FR298" s="8"/>
      <c r="FS298" s="9" t="s">
        <v>13</v>
      </c>
      <c r="FT298" s="9" t="str">
        <f t="shared" si="6370"/>
        <v>10. BAU Transition 10.6 SFCR Development &amp; Dry RunGlenn Kirk</v>
      </c>
    </row>
    <row r="299" spans="1:176" s="9" customFormat="1" ht="12" hidden="1" customHeight="1" outlineLevel="1">
      <c r="A299" s="125" t="s">
        <v>4</v>
      </c>
      <c r="B299" s="123" t="s">
        <v>6</v>
      </c>
      <c r="C299" s="124" t="str">
        <f t="shared" si="6366"/>
        <v>1 days</v>
      </c>
      <c r="D299" s="13" t="str">
        <f>$A$264&amp;" "&amp;$A295</f>
        <v>10. BAU Transition 10.6 SFCR Development &amp; Dry Run</v>
      </c>
      <c r="E299" s="51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D299" s="35"/>
      <c r="AE299" s="35"/>
      <c r="AF299" s="35"/>
      <c r="AG299" s="35"/>
      <c r="AH299" s="35"/>
      <c r="AI299" s="35"/>
      <c r="AJ299" s="35"/>
      <c r="AK299" s="35"/>
      <c r="AL299" s="36"/>
      <c r="AM299" s="36"/>
      <c r="AN299" s="36"/>
      <c r="AO299" s="36"/>
      <c r="AP299" s="36"/>
      <c r="AQ299" s="36"/>
      <c r="AR299" s="36"/>
      <c r="AS299" s="35"/>
      <c r="AT299" s="35"/>
      <c r="AU299" s="35"/>
      <c r="AV299" s="35"/>
      <c r="AW299" s="35"/>
      <c r="AX299" s="35"/>
      <c r="AY299" s="35"/>
      <c r="AZ299" s="35"/>
      <c r="BA299" s="35"/>
      <c r="BB299" s="35"/>
      <c r="BC299" s="35"/>
      <c r="BD299" s="35"/>
      <c r="BE299" s="35"/>
      <c r="BF299" s="35"/>
      <c r="BG299" s="35"/>
      <c r="BH299" s="35"/>
      <c r="BI299" s="35"/>
      <c r="BJ299" s="35"/>
      <c r="BK299" s="35"/>
      <c r="BL299" s="35"/>
      <c r="BM299" s="35"/>
      <c r="BN299" s="35"/>
      <c r="BO299" s="35"/>
      <c r="BP299" s="35"/>
      <c r="BQ299" s="35"/>
      <c r="BR299" s="35"/>
      <c r="BS299" s="35"/>
      <c r="BT299" s="35"/>
      <c r="BU299" s="35"/>
      <c r="BV299" s="35"/>
      <c r="BW299" s="35"/>
      <c r="BX299" s="35"/>
      <c r="BY299" s="35"/>
      <c r="BZ299" s="35"/>
      <c r="CA299" s="35"/>
      <c r="CB299" s="35"/>
      <c r="CC299" s="35"/>
      <c r="CD299" s="35"/>
      <c r="CE299" s="35"/>
      <c r="CF299" s="35"/>
      <c r="CG299" s="35"/>
      <c r="CH299" s="35"/>
      <c r="CI299" s="35"/>
      <c r="CJ299" s="35"/>
      <c r="CK299" s="35"/>
      <c r="CL299" s="35"/>
      <c r="CM299" s="35"/>
      <c r="CN299" s="35"/>
      <c r="CO299" s="35"/>
      <c r="CP299" s="35"/>
      <c r="CQ299" s="35"/>
      <c r="CR299" s="35"/>
      <c r="CS299" s="35"/>
      <c r="CT299" s="36"/>
      <c r="CU299" s="35"/>
      <c r="CV299" s="35"/>
      <c r="CW299" s="35"/>
      <c r="CX299" s="35"/>
      <c r="CY299" s="35"/>
      <c r="CZ299" s="36"/>
      <c r="DA299" s="36"/>
      <c r="DB299" s="35"/>
      <c r="DC299" s="35"/>
      <c r="DD299" s="35"/>
      <c r="DE299" s="35"/>
      <c r="DF299" s="35"/>
      <c r="DG299" s="35"/>
      <c r="DH299" s="35"/>
      <c r="DI299" s="35"/>
      <c r="DJ299" s="35"/>
      <c r="DK299" s="35"/>
      <c r="DL299" s="35"/>
      <c r="DM299" s="35"/>
      <c r="DN299" s="35"/>
      <c r="DO299" s="35"/>
      <c r="DP299" s="35"/>
      <c r="DQ299" s="35"/>
      <c r="DR299" s="35"/>
      <c r="DS299" s="35"/>
      <c r="DT299" s="35"/>
      <c r="DU299" s="35"/>
      <c r="DV299" s="35"/>
      <c r="DW299" s="35"/>
      <c r="DX299" s="35"/>
      <c r="DY299" s="35"/>
      <c r="DZ299" s="36"/>
      <c r="EA299" s="35"/>
      <c r="EB299" s="35"/>
      <c r="EC299" s="35"/>
      <c r="ED299" s="35"/>
      <c r="EE299" s="35"/>
      <c r="EF299" s="35"/>
      <c r="EG299" s="35"/>
      <c r="EH299" s="35"/>
      <c r="EI299" s="35"/>
      <c r="EJ299" s="35"/>
      <c r="EK299" s="35"/>
      <c r="EL299" s="35"/>
      <c r="EM299" s="35"/>
      <c r="EN299" s="35"/>
      <c r="EO299" s="35"/>
      <c r="EP299" s="35"/>
      <c r="EQ299" s="35"/>
      <c r="ER299" s="35"/>
      <c r="ES299" s="35"/>
      <c r="ET299" s="35"/>
      <c r="EU299" s="35"/>
      <c r="EV299" s="35"/>
      <c r="EW299" s="35"/>
      <c r="EX299" s="93"/>
      <c r="EY299" s="62"/>
      <c r="EZ299" s="35"/>
      <c r="FA299" s="35"/>
      <c r="FB299" s="35">
        <v>0.5</v>
      </c>
      <c r="FC299" s="35">
        <v>0.5</v>
      </c>
      <c r="FD299" s="93"/>
      <c r="FE299" s="93"/>
      <c r="FF299" s="93"/>
      <c r="FG299" s="93"/>
      <c r="FH299" s="93"/>
      <c r="FI299" s="93"/>
      <c r="FJ299" s="35"/>
      <c r="FK299" s="35"/>
      <c r="FL299" s="35"/>
      <c r="FM299" s="35"/>
      <c r="FN299" s="35"/>
      <c r="FO299" s="35"/>
      <c r="FP299" s="35"/>
      <c r="FQ299" s="52"/>
      <c r="FR299" s="8"/>
      <c r="FS299" s="9" t="s">
        <v>13</v>
      </c>
      <c r="FT299" s="9" t="str">
        <f t="shared" si="6370"/>
        <v>10. BAU Transition 10.6 SFCR Development &amp; Dry RunPeter Sherry</v>
      </c>
    </row>
    <row r="300" spans="1:176" s="9" customFormat="1" ht="12" hidden="1" customHeight="1" outlineLevel="1">
      <c r="A300" s="125"/>
      <c r="B300" s="123"/>
      <c r="C300" s="124" t="str">
        <f t="shared" si="6366"/>
        <v>0 days</v>
      </c>
      <c r="D300" s="13" t="str">
        <f>$A$264&amp;" "&amp;$A295</f>
        <v>10. BAU Transition 10.6 SFCR Development &amp; Dry Run</v>
      </c>
      <c r="E300" s="51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D300" s="35"/>
      <c r="AE300" s="35"/>
      <c r="AF300" s="35"/>
      <c r="AG300" s="35"/>
      <c r="AH300" s="35"/>
      <c r="AI300" s="35"/>
      <c r="AJ300" s="35"/>
      <c r="AK300" s="35"/>
      <c r="AL300" s="36"/>
      <c r="AM300" s="36"/>
      <c r="AN300" s="36"/>
      <c r="AO300" s="36"/>
      <c r="AP300" s="36"/>
      <c r="AQ300" s="36"/>
      <c r="AR300" s="36"/>
      <c r="AS300" s="35"/>
      <c r="AT300" s="35"/>
      <c r="AU300" s="35"/>
      <c r="AV300" s="35"/>
      <c r="AW300" s="35"/>
      <c r="AX300" s="35"/>
      <c r="AY300" s="35"/>
      <c r="AZ300" s="35"/>
      <c r="BA300" s="35"/>
      <c r="BB300" s="35"/>
      <c r="BC300" s="35"/>
      <c r="BD300" s="35"/>
      <c r="BE300" s="35"/>
      <c r="BF300" s="35"/>
      <c r="BG300" s="35"/>
      <c r="BH300" s="35"/>
      <c r="BI300" s="35"/>
      <c r="BJ300" s="35"/>
      <c r="BK300" s="35"/>
      <c r="BL300" s="35"/>
      <c r="BM300" s="35"/>
      <c r="BN300" s="35"/>
      <c r="BO300" s="35"/>
      <c r="BP300" s="35"/>
      <c r="BQ300" s="35"/>
      <c r="BR300" s="35"/>
      <c r="BS300" s="35"/>
      <c r="BT300" s="35"/>
      <c r="BU300" s="35"/>
      <c r="BV300" s="35"/>
      <c r="BW300" s="35"/>
      <c r="BX300" s="35"/>
      <c r="BY300" s="35"/>
      <c r="BZ300" s="35"/>
      <c r="CA300" s="35"/>
      <c r="CB300" s="35"/>
      <c r="CC300" s="35"/>
      <c r="CD300" s="35"/>
      <c r="CE300" s="35"/>
      <c r="CF300" s="35"/>
      <c r="CG300" s="35"/>
      <c r="CH300" s="35"/>
      <c r="CI300" s="35"/>
      <c r="CJ300" s="35"/>
      <c r="CK300" s="35"/>
      <c r="CL300" s="35"/>
      <c r="CM300" s="35"/>
      <c r="CN300" s="35"/>
      <c r="CO300" s="35"/>
      <c r="CP300" s="35"/>
      <c r="CQ300" s="35"/>
      <c r="CR300" s="35"/>
      <c r="CS300" s="35"/>
      <c r="CT300" s="36"/>
      <c r="CU300" s="35"/>
      <c r="CV300" s="35"/>
      <c r="CW300" s="35"/>
      <c r="CX300" s="35"/>
      <c r="CY300" s="35"/>
      <c r="CZ300" s="36"/>
      <c r="DA300" s="36"/>
      <c r="DB300" s="35"/>
      <c r="DC300" s="35"/>
      <c r="DD300" s="35"/>
      <c r="DE300" s="35"/>
      <c r="DF300" s="35"/>
      <c r="DG300" s="35"/>
      <c r="DH300" s="35"/>
      <c r="DI300" s="35"/>
      <c r="DJ300" s="35"/>
      <c r="DK300" s="35"/>
      <c r="DL300" s="35"/>
      <c r="DM300" s="35"/>
      <c r="DN300" s="35"/>
      <c r="DO300" s="35"/>
      <c r="DP300" s="35"/>
      <c r="DQ300" s="35"/>
      <c r="DR300" s="35"/>
      <c r="DS300" s="35"/>
      <c r="DT300" s="35"/>
      <c r="DU300" s="35"/>
      <c r="DV300" s="35"/>
      <c r="DW300" s="35"/>
      <c r="DX300" s="35"/>
      <c r="DY300" s="35"/>
      <c r="DZ300" s="36"/>
      <c r="EA300" s="35"/>
      <c r="EB300" s="35"/>
      <c r="EC300" s="35"/>
      <c r="ED300" s="35"/>
      <c r="EE300" s="35"/>
      <c r="EF300" s="35"/>
      <c r="EG300" s="35"/>
      <c r="EH300" s="35"/>
      <c r="EI300" s="35"/>
      <c r="EJ300" s="35"/>
      <c r="EK300" s="35"/>
      <c r="EL300" s="35"/>
      <c r="EM300" s="35"/>
      <c r="EN300" s="35"/>
      <c r="EO300" s="35"/>
      <c r="EP300" s="35"/>
      <c r="EQ300" s="35"/>
      <c r="ER300" s="35"/>
      <c r="ES300" s="35"/>
      <c r="ET300" s="35"/>
      <c r="EU300" s="35"/>
      <c r="EV300" s="35"/>
      <c r="EW300" s="35"/>
      <c r="EX300" s="35"/>
      <c r="EY300" s="36"/>
      <c r="EZ300" s="35"/>
      <c r="FA300" s="35"/>
      <c r="FB300" s="35"/>
      <c r="FC300" s="35"/>
      <c r="FD300" s="35"/>
      <c r="FE300" s="35"/>
      <c r="FF300" s="35"/>
      <c r="FG300" s="35"/>
      <c r="FH300" s="35"/>
      <c r="FI300" s="35"/>
      <c r="FJ300" s="35"/>
      <c r="FK300" s="35"/>
      <c r="FL300" s="35"/>
      <c r="FM300" s="35"/>
      <c r="FN300" s="35"/>
      <c r="FO300" s="35"/>
      <c r="FP300" s="35"/>
      <c r="FQ300" s="52"/>
      <c r="FR300" s="8"/>
      <c r="FS300" s="9" t="s">
        <v>13</v>
      </c>
      <c r="FT300" s="9" t="str">
        <f t="shared" si="6370"/>
        <v>10. BAU Transition 10.6 SFCR Development &amp; Dry Run</v>
      </c>
    </row>
    <row r="301" spans="1:176" s="9" customFormat="1" ht="12" customHeight="1" collapsed="1">
      <c r="A301" s="119" t="s">
        <v>130</v>
      </c>
      <c r="B301" s="127"/>
      <c r="C301" s="121" t="str">
        <f t="shared" si="6366"/>
        <v>14 days</v>
      </c>
      <c r="D301" s="27"/>
      <c r="E301" s="91" t="str">
        <f t="shared" ref="E301:BP301" si="6387">IF(SUBTOTAL(9,E302:E306)&gt;0,SUBTOTAL(9,E302:E306),"")</f>
        <v/>
      </c>
      <c r="F301" s="34" t="str">
        <f>IF(SUBTOTAL(9,F302:F306)&gt;0,SUBTOTAL(9,F302:F306),"")</f>
        <v/>
      </c>
      <c r="G301" s="34" t="str">
        <f t="shared" si="6387"/>
        <v/>
      </c>
      <c r="H301" s="34" t="str">
        <f t="shared" si="6387"/>
        <v/>
      </c>
      <c r="I301" s="34" t="str">
        <f t="shared" si="6387"/>
        <v/>
      </c>
      <c r="J301" s="34" t="str">
        <f t="shared" si="6387"/>
        <v/>
      </c>
      <c r="K301" s="34" t="str">
        <f t="shared" si="6387"/>
        <v/>
      </c>
      <c r="L301" s="34" t="str">
        <f t="shared" si="6387"/>
        <v/>
      </c>
      <c r="M301" s="34" t="str">
        <f t="shared" si="6387"/>
        <v/>
      </c>
      <c r="N301" s="34" t="str">
        <f t="shared" si="6387"/>
        <v/>
      </c>
      <c r="O301" s="34" t="str">
        <f t="shared" si="6387"/>
        <v/>
      </c>
      <c r="P301" s="34" t="str">
        <f t="shared" si="6387"/>
        <v/>
      </c>
      <c r="Q301" s="34" t="str">
        <f t="shared" si="6387"/>
        <v/>
      </c>
      <c r="R301" s="34" t="str">
        <f t="shared" si="6387"/>
        <v/>
      </c>
      <c r="S301" s="34" t="str">
        <f t="shared" si="6387"/>
        <v/>
      </c>
      <c r="T301" s="34" t="str">
        <f t="shared" si="6387"/>
        <v/>
      </c>
      <c r="U301" s="34" t="str">
        <f t="shared" si="6387"/>
        <v/>
      </c>
      <c r="V301" s="34" t="str">
        <f t="shared" si="6387"/>
        <v/>
      </c>
      <c r="W301" s="34" t="str">
        <f t="shared" si="6387"/>
        <v/>
      </c>
      <c r="X301" s="34" t="str">
        <f t="shared" si="6387"/>
        <v/>
      </c>
      <c r="Y301" s="34" t="str">
        <f t="shared" si="6387"/>
        <v/>
      </c>
      <c r="Z301" s="34" t="str">
        <f t="shared" si="6387"/>
        <v/>
      </c>
      <c r="AA301" s="34" t="str">
        <f t="shared" si="6387"/>
        <v/>
      </c>
      <c r="AB301" s="34" t="str">
        <f t="shared" si="6387"/>
        <v/>
      </c>
      <c r="AC301" s="34" t="str">
        <f t="shared" si="6387"/>
        <v/>
      </c>
      <c r="AD301" s="34" t="str">
        <f t="shared" si="6387"/>
        <v/>
      </c>
      <c r="AE301" s="34" t="str">
        <f t="shared" si="6387"/>
        <v/>
      </c>
      <c r="AF301" s="34" t="str">
        <f t="shared" si="6387"/>
        <v/>
      </c>
      <c r="AG301" s="34" t="str">
        <f t="shared" si="6387"/>
        <v/>
      </c>
      <c r="AH301" s="34" t="str">
        <f t="shared" si="6387"/>
        <v/>
      </c>
      <c r="AI301" s="34" t="str">
        <f t="shared" si="6387"/>
        <v/>
      </c>
      <c r="AJ301" s="34" t="str">
        <f t="shared" si="6387"/>
        <v/>
      </c>
      <c r="AK301" s="34" t="str">
        <f t="shared" si="6387"/>
        <v/>
      </c>
      <c r="AL301" s="33" t="str">
        <f t="shared" si="6387"/>
        <v/>
      </c>
      <c r="AM301" s="33" t="str">
        <f t="shared" si="6387"/>
        <v/>
      </c>
      <c r="AN301" s="33" t="str">
        <f t="shared" si="6387"/>
        <v/>
      </c>
      <c r="AO301" s="33" t="str">
        <f t="shared" si="6387"/>
        <v/>
      </c>
      <c r="AP301" s="33" t="str">
        <f t="shared" si="6387"/>
        <v/>
      </c>
      <c r="AQ301" s="33" t="str">
        <f t="shared" si="6387"/>
        <v/>
      </c>
      <c r="AR301" s="33" t="str">
        <f t="shared" si="6387"/>
        <v/>
      </c>
      <c r="AS301" s="34" t="str">
        <f t="shared" si="6387"/>
        <v/>
      </c>
      <c r="AT301" s="34" t="str">
        <f t="shared" si="6387"/>
        <v/>
      </c>
      <c r="AU301" s="34" t="str">
        <f t="shared" si="6387"/>
        <v/>
      </c>
      <c r="AV301" s="34" t="str">
        <f t="shared" si="6387"/>
        <v/>
      </c>
      <c r="AW301" s="34" t="str">
        <f t="shared" si="6387"/>
        <v/>
      </c>
      <c r="AX301" s="34" t="str">
        <f t="shared" si="6387"/>
        <v/>
      </c>
      <c r="AY301" s="34" t="str">
        <f t="shared" si="6387"/>
        <v/>
      </c>
      <c r="AZ301" s="34" t="str">
        <f t="shared" si="6387"/>
        <v/>
      </c>
      <c r="BA301" s="34" t="str">
        <f t="shared" si="6387"/>
        <v/>
      </c>
      <c r="BB301" s="34" t="str">
        <f t="shared" si="6387"/>
        <v/>
      </c>
      <c r="BC301" s="34" t="str">
        <f t="shared" si="6387"/>
        <v/>
      </c>
      <c r="BD301" s="34" t="str">
        <f t="shared" si="6387"/>
        <v/>
      </c>
      <c r="BE301" s="34" t="str">
        <f t="shared" si="6387"/>
        <v/>
      </c>
      <c r="BF301" s="34" t="str">
        <f t="shared" si="6387"/>
        <v/>
      </c>
      <c r="BG301" s="34" t="str">
        <f t="shared" si="6387"/>
        <v/>
      </c>
      <c r="BH301" s="34" t="str">
        <f t="shared" si="6387"/>
        <v/>
      </c>
      <c r="BI301" s="34" t="str">
        <f t="shared" si="6387"/>
        <v/>
      </c>
      <c r="BJ301" s="34" t="str">
        <f t="shared" si="6387"/>
        <v/>
      </c>
      <c r="BK301" s="34" t="str">
        <f t="shared" si="6387"/>
        <v/>
      </c>
      <c r="BL301" s="34" t="str">
        <f t="shared" si="6387"/>
        <v/>
      </c>
      <c r="BM301" s="34" t="str">
        <f t="shared" si="6387"/>
        <v/>
      </c>
      <c r="BN301" s="34" t="str">
        <f t="shared" si="6387"/>
        <v/>
      </c>
      <c r="BO301" s="34" t="str">
        <f t="shared" si="6387"/>
        <v/>
      </c>
      <c r="BP301" s="34" t="str">
        <f t="shared" si="6387"/>
        <v/>
      </c>
      <c r="BQ301" s="34" t="str">
        <f t="shared" ref="BQ301:EB301" si="6388">IF(SUBTOTAL(9,BQ302:BQ306)&gt;0,SUBTOTAL(9,BQ302:BQ306),"")</f>
        <v/>
      </c>
      <c r="BR301" s="34" t="str">
        <f t="shared" si="6388"/>
        <v/>
      </c>
      <c r="BS301" s="34" t="str">
        <f t="shared" si="6388"/>
        <v/>
      </c>
      <c r="BT301" s="34" t="str">
        <f t="shared" si="6388"/>
        <v/>
      </c>
      <c r="BU301" s="34" t="str">
        <f t="shared" si="6388"/>
        <v/>
      </c>
      <c r="BV301" s="34" t="str">
        <f t="shared" si="6388"/>
        <v/>
      </c>
      <c r="BW301" s="34" t="str">
        <f t="shared" si="6388"/>
        <v/>
      </c>
      <c r="BX301" s="34" t="str">
        <f t="shared" si="6388"/>
        <v/>
      </c>
      <c r="BY301" s="34" t="str">
        <f t="shared" si="6388"/>
        <v/>
      </c>
      <c r="BZ301" s="34" t="str">
        <f t="shared" si="6388"/>
        <v/>
      </c>
      <c r="CA301" s="34" t="str">
        <f t="shared" si="6388"/>
        <v/>
      </c>
      <c r="CB301" s="34" t="str">
        <f t="shared" si="6388"/>
        <v/>
      </c>
      <c r="CC301" s="34" t="str">
        <f t="shared" si="6388"/>
        <v/>
      </c>
      <c r="CD301" s="34" t="str">
        <f t="shared" si="6388"/>
        <v/>
      </c>
      <c r="CE301" s="34" t="str">
        <f t="shared" si="6388"/>
        <v/>
      </c>
      <c r="CF301" s="34" t="str">
        <f t="shared" si="6388"/>
        <v/>
      </c>
      <c r="CG301" s="34" t="str">
        <f t="shared" si="6388"/>
        <v/>
      </c>
      <c r="CH301" s="34" t="str">
        <f t="shared" si="6388"/>
        <v/>
      </c>
      <c r="CI301" s="34" t="str">
        <f t="shared" si="6388"/>
        <v/>
      </c>
      <c r="CJ301" s="34" t="str">
        <f t="shared" si="6388"/>
        <v/>
      </c>
      <c r="CK301" s="34" t="str">
        <f t="shared" si="6388"/>
        <v/>
      </c>
      <c r="CL301" s="34" t="str">
        <f t="shared" si="6388"/>
        <v/>
      </c>
      <c r="CM301" s="34" t="str">
        <f t="shared" si="6388"/>
        <v/>
      </c>
      <c r="CN301" s="34" t="str">
        <f t="shared" si="6388"/>
        <v/>
      </c>
      <c r="CO301" s="34" t="str">
        <f t="shared" si="6388"/>
        <v/>
      </c>
      <c r="CP301" s="34" t="str">
        <f t="shared" si="6388"/>
        <v/>
      </c>
      <c r="CQ301" s="34" t="str">
        <f t="shared" si="6388"/>
        <v/>
      </c>
      <c r="CR301" s="34" t="str">
        <f t="shared" si="6388"/>
        <v/>
      </c>
      <c r="CS301" s="34" t="str">
        <f t="shared" si="6388"/>
        <v/>
      </c>
      <c r="CT301" s="33" t="str">
        <f t="shared" si="6388"/>
        <v/>
      </c>
      <c r="CU301" s="34" t="str">
        <f t="shared" si="6388"/>
        <v/>
      </c>
      <c r="CV301" s="34" t="str">
        <f t="shared" si="6388"/>
        <v/>
      </c>
      <c r="CW301" s="34" t="str">
        <f t="shared" si="6388"/>
        <v/>
      </c>
      <c r="CX301" s="34" t="str">
        <f t="shared" si="6388"/>
        <v/>
      </c>
      <c r="CY301" s="34" t="str">
        <f t="shared" si="6388"/>
        <v/>
      </c>
      <c r="CZ301" s="33" t="str">
        <f t="shared" si="6388"/>
        <v/>
      </c>
      <c r="DA301" s="33" t="str">
        <f t="shared" si="6388"/>
        <v/>
      </c>
      <c r="DB301" s="34" t="str">
        <f t="shared" si="6388"/>
        <v/>
      </c>
      <c r="DC301" s="34" t="str">
        <f t="shared" si="6388"/>
        <v/>
      </c>
      <c r="DD301" s="34" t="str">
        <f t="shared" si="6388"/>
        <v/>
      </c>
      <c r="DE301" s="34" t="str">
        <f t="shared" si="6388"/>
        <v/>
      </c>
      <c r="DF301" s="34" t="str">
        <f t="shared" si="6388"/>
        <v/>
      </c>
      <c r="DG301" s="34" t="str">
        <f t="shared" si="6388"/>
        <v/>
      </c>
      <c r="DH301" s="34" t="str">
        <f t="shared" si="6388"/>
        <v/>
      </c>
      <c r="DI301" s="34" t="str">
        <f t="shared" si="6388"/>
        <v/>
      </c>
      <c r="DJ301" s="34" t="str">
        <f t="shared" si="6388"/>
        <v/>
      </c>
      <c r="DK301" s="34" t="str">
        <f t="shared" si="6388"/>
        <v/>
      </c>
      <c r="DL301" s="34" t="str">
        <f t="shared" si="6388"/>
        <v/>
      </c>
      <c r="DM301" s="34" t="str">
        <f t="shared" si="6388"/>
        <v/>
      </c>
      <c r="DN301" s="34" t="str">
        <f t="shared" si="6388"/>
        <v/>
      </c>
      <c r="DO301" s="34" t="str">
        <f t="shared" si="6388"/>
        <v/>
      </c>
      <c r="DP301" s="34" t="str">
        <f t="shared" si="6388"/>
        <v/>
      </c>
      <c r="DQ301" s="34" t="str">
        <f t="shared" si="6388"/>
        <v/>
      </c>
      <c r="DR301" s="34" t="str">
        <f t="shared" si="6388"/>
        <v/>
      </c>
      <c r="DS301" s="34" t="str">
        <f t="shared" si="6388"/>
        <v/>
      </c>
      <c r="DT301" s="34" t="str">
        <f t="shared" si="6388"/>
        <v/>
      </c>
      <c r="DU301" s="34" t="str">
        <f t="shared" si="6388"/>
        <v/>
      </c>
      <c r="DV301" s="34" t="str">
        <f t="shared" si="6388"/>
        <v/>
      </c>
      <c r="DW301" s="34" t="str">
        <f t="shared" si="6388"/>
        <v/>
      </c>
      <c r="DX301" s="34" t="str">
        <f t="shared" si="6388"/>
        <v/>
      </c>
      <c r="DY301" s="34" t="str">
        <f t="shared" si="6388"/>
        <v/>
      </c>
      <c r="DZ301" s="33" t="str">
        <f t="shared" si="6388"/>
        <v/>
      </c>
      <c r="EA301" s="34" t="str">
        <f t="shared" si="6388"/>
        <v/>
      </c>
      <c r="EB301" s="34" t="str">
        <f t="shared" si="6388"/>
        <v/>
      </c>
      <c r="EC301" s="34" t="str">
        <f t="shared" ref="EC301:FQ301" si="6389">IF(SUBTOTAL(9,EC302:EC306)&gt;0,SUBTOTAL(9,EC302:EC306),"")</f>
        <v/>
      </c>
      <c r="ED301" s="34" t="str">
        <f t="shared" si="6389"/>
        <v/>
      </c>
      <c r="EE301" s="34" t="str">
        <f t="shared" si="6389"/>
        <v/>
      </c>
      <c r="EF301" s="34" t="str">
        <f t="shared" si="6389"/>
        <v/>
      </c>
      <c r="EG301" s="34" t="str">
        <f t="shared" si="6389"/>
        <v/>
      </c>
      <c r="EH301" s="34" t="str">
        <f t="shared" si="6389"/>
        <v/>
      </c>
      <c r="EI301" s="34" t="str">
        <f t="shared" si="6389"/>
        <v/>
      </c>
      <c r="EJ301" s="34" t="str">
        <f t="shared" si="6389"/>
        <v/>
      </c>
      <c r="EK301" s="34" t="str">
        <f t="shared" si="6389"/>
        <v/>
      </c>
      <c r="EL301" s="34" t="str">
        <f t="shared" si="6389"/>
        <v/>
      </c>
      <c r="EM301" s="34" t="str">
        <f t="shared" si="6389"/>
        <v/>
      </c>
      <c r="EN301" s="34" t="str">
        <f t="shared" si="6389"/>
        <v/>
      </c>
      <c r="EO301" s="34" t="str">
        <f t="shared" si="6389"/>
        <v/>
      </c>
      <c r="EP301" s="34" t="str">
        <f t="shared" si="6389"/>
        <v/>
      </c>
      <c r="EQ301" s="34" t="str">
        <f t="shared" si="6389"/>
        <v/>
      </c>
      <c r="ER301" s="34" t="str">
        <f t="shared" si="6389"/>
        <v/>
      </c>
      <c r="ES301" s="34" t="str">
        <f t="shared" si="6389"/>
        <v/>
      </c>
      <c r="ET301" s="34" t="str">
        <f t="shared" si="6389"/>
        <v/>
      </c>
      <c r="EU301" s="34" t="str">
        <f t="shared" si="6389"/>
        <v/>
      </c>
      <c r="EV301" s="34" t="str">
        <f t="shared" si="6389"/>
        <v/>
      </c>
      <c r="EW301" s="34" t="str">
        <f t="shared" si="6389"/>
        <v/>
      </c>
      <c r="EX301" s="34">
        <f>IF(SUBTOTAL(9,EX302:EX306)&gt;0,SUBTOTAL(9,EX302:EX306),"")</f>
        <v>1</v>
      </c>
      <c r="EY301" s="33" t="str">
        <f t="shared" si="6389"/>
        <v/>
      </c>
      <c r="EZ301" s="34">
        <f t="shared" ref="EZ301:FH301" si="6390">IF(SUBTOTAL(9,EZ302:EZ306)&gt;0,SUBTOTAL(9,EZ302:EZ306),"")</f>
        <v>1</v>
      </c>
      <c r="FA301" s="34">
        <f t="shared" si="6390"/>
        <v>1</v>
      </c>
      <c r="FB301" s="34">
        <f t="shared" si="6390"/>
        <v>1</v>
      </c>
      <c r="FC301" s="34">
        <f t="shared" si="6390"/>
        <v>1</v>
      </c>
      <c r="FD301" s="34">
        <f t="shared" si="6390"/>
        <v>3</v>
      </c>
      <c r="FE301" s="34">
        <f t="shared" si="6390"/>
        <v>2.5</v>
      </c>
      <c r="FF301" s="34">
        <f t="shared" si="6390"/>
        <v>2.5</v>
      </c>
      <c r="FG301" s="34">
        <f t="shared" si="6390"/>
        <v>1</v>
      </c>
      <c r="FH301" s="34" t="str">
        <f t="shared" si="6390"/>
        <v/>
      </c>
      <c r="FI301" s="34" t="str">
        <f t="shared" si="6389"/>
        <v/>
      </c>
      <c r="FJ301" s="34" t="str">
        <f t="shared" si="6389"/>
        <v/>
      </c>
      <c r="FK301" s="34" t="str">
        <f t="shared" si="6389"/>
        <v/>
      </c>
      <c r="FL301" s="34" t="str">
        <f t="shared" si="6389"/>
        <v/>
      </c>
      <c r="FM301" s="34" t="str">
        <f t="shared" si="6389"/>
        <v/>
      </c>
      <c r="FN301" s="34" t="str">
        <f t="shared" si="6389"/>
        <v/>
      </c>
      <c r="FO301" s="34" t="str">
        <f t="shared" si="6389"/>
        <v/>
      </c>
      <c r="FP301" s="34" t="str">
        <f t="shared" si="6389"/>
        <v/>
      </c>
      <c r="FQ301" s="92" t="str">
        <f t="shared" si="6389"/>
        <v/>
      </c>
      <c r="FR301" s="8"/>
      <c r="FS301" s="9" t="s">
        <v>131</v>
      </c>
      <c r="FT301" s="9" t="str">
        <f t="shared" si="6370"/>
        <v/>
      </c>
    </row>
    <row r="302" spans="1:176" s="9" customFormat="1" ht="12" hidden="1" customHeight="1" outlineLevel="1">
      <c r="A302" s="125" t="s">
        <v>4</v>
      </c>
      <c r="B302" s="123" t="s">
        <v>16</v>
      </c>
      <c r="C302" s="124" t="str">
        <f t="shared" si="6366"/>
        <v>6 days</v>
      </c>
      <c r="D302" s="13" t="str">
        <f>$A$264&amp;" "&amp;$A301</f>
        <v>10. BAU Transition 10.7 RSR Development &amp; Dry Run</v>
      </c>
      <c r="E302" s="51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D302" s="35"/>
      <c r="AE302" s="35"/>
      <c r="AF302" s="35"/>
      <c r="AG302" s="35"/>
      <c r="AH302" s="35"/>
      <c r="AI302" s="35"/>
      <c r="AJ302" s="35"/>
      <c r="AK302" s="35"/>
      <c r="AL302" s="36"/>
      <c r="AM302" s="36"/>
      <c r="AN302" s="36"/>
      <c r="AO302" s="36"/>
      <c r="AP302" s="36"/>
      <c r="AQ302" s="36"/>
      <c r="AR302" s="36"/>
      <c r="AS302" s="35"/>
      <c r="AT302" s="35"/>
      <c r="AU302" s="35"/>
      <c r="AV302" s="35"/>
      <c r="AW302" s="35"/>
      <c r="AX302" s="35"/>
      <c r="AY302" s="35"/>
      <c r="AZ302" s="35"/>
      <c r="BA302" s="35"/>
      <c r="BB302" s="35"/>
      <c r="BC302" s="35"/>
      <c r="BD302" s="35"/>
      <c r="BE302" s="35"/>
      <c r="BF302" s="35"/>
      <c r="BG302" s="35"/>
      <c r="BH302" s="35"/>
      <c r="BI302" s="35"/>
      <c r="BJ302" s="35"/>
      <c r="BK302" s="35"/>
      <c r="BL302" s="35"/>
      <c r="BM302" s="35"/>
      <c r="BN302" s="35"/>
      <c r="BO302" s="35"/>
      <c r="BP302" s="35"/>
      <c r="BQ302" s="35"/>
      <c r="BR302" s="35"/>
      <c r="BS302" s="35"/>
      <c r="BT302" s="35"/>
      <c r="BU302" s="35"/>
      <c r="BV302" s="35"/>
      <c r="BW302" s="35"/>
      <c r="BX302" s="35"/>
      <c r="BY302" s="35"/>
      <c r="BZ302" s="35"/>
      <c r="CA302" s="35"/>
      <c r="CB302" s="35"/>
      <c r="CC302" s="35"/>
      <c r="CD302" s="35"/>
      <c r="CE302" s="35"/>
      <c r="CF302" s="35"/>
      <c r="CG302" s="35"/>
      <c r="CH302" s="35"/>
      <c r="CI302" s="35"/>
      <c r="CJ302" s="35"/>
      <c r="CK302" s="35"/>
      <c r="CL302" s="35"/>
      <c r="CM302" s="35"/>
      <c r="CN302" s="35"/>
      <c r="CO302" s="35"/>
      <c r="CP302" s="35"/>
      <c r="CQ302" s="35"/>
      <c r="CR302" s="35"/>
      <c r="CS302" s="35"/>
      <c r="CT302" s="36"/>
      <c r="CU302" s="35"/>
      <c r="CV302" s="35"/>
      <c r="CW302" s="35"/>
      <c r="CX302" s="35"/>
      <c r="CY302" s="35"/>
      <c r="CZ302" s="36"/>
      <c r="DA302" s="36"/>
      <c r="DB302" s="35"/>
      <c r="DC302" s="35"/>
      <c r="DD302" s="35"/>
      <c r="DE302" s="35"/>
      <c r="DF302" s="35"/>
      <c r="DG302" s="35"/>
      <c r="DH302" s="35"/>
      <c r="DI302" s="35"/>
      <c r="DJ302" s="35"/>
      <c r="DK302" s="35"/>
      <c r="DL302" s="35"/>
      <c r="DM302" s="35"/>
      <c r="DN302" s="35"/>
      <c r="DO302" s="35"/>
      <c r="DP302" s="35"/>
      <c r="DQ302" s="35"/>
      <c r="DR302" s="35"/>
      <c r="DS302" s="35"/>
      <c r="DT302" s="35"/>
      <c r="DU302" s="35"/>
      <c r="DV302" s="35"/>
      <c r="DW302" s="35"/>
      <c r="DX302" s="35"/>
      <c r="DY302" s="35"/>
      <c r="DZ302" s="36"/>
      <c r="EA302" s="35"/>
      <c r="EB302" s="35"/>
      <c r="EC302" s="35"/>
      <c r="ED302" s="35"/>
      <c r="EE302" s="35"/>
      <c r="EF302" s="35"/>
      <c r="EG302" s="35"/>
      <c r="EH302" s="35"/>
      <c r="EI302" s="35"/>
      <c r="EJ302" s="35"/>
      <c r="EK302" s="35"/>
      <c r="EL302" s="35"/>
      <c r="EM302" s="35"/>
      <c r="EN302" s="35"/>
      <c r="EO302" s="35"/>
      <c r="EP302" s="35"/>
      <c r="EQ302" s="35"/>
      <c r="ER302" s="35"/>
      <c r="ES302" s="35"/>
      <c r="ET302" s="35"/>
      <c r="EU302" s="35"/>
      <c r="EV302" s="35"/>
      <c r="EW302" s="35"/>
      <c r="EX302" s="35">
        <v>1</v>
      </c>
      <c r="EY302" s="36"/>
      <c r="EZ302" s="35">
        <v>1</v>
      </c>
      <c r="FA302" s="35">
        <v>1</v>
      </c>
      <c r="FB302" s="35">
        <v>1</v>
      </c>
      <c r="FC302" s="35">
        <v>1</v>
      </c>
      <c r="FD302" s="35">
        <v>1</v>
      </c>
      <c r="FE302" s="35"/>
      <c r="FF302" s="93"/>
      <c r="FG302" s="93"/>
      <c r="FH302" s="93"/>
      <c r="FI302" s="93"/>
      <c r="FJ302" s="93"/>
      <c r="FK302" s="93"/>
      <c r="FL302" s="93"/>
      <c r="FM302" s="93"/>
      <c r="FN302" s="93"/>
      <c r="FO302" s="93"/>
      <c r="FP302" s="35"/>
      <c r="FQ302" s="52"/>
      <c r="FR302" s="8"/>
      <c r="FS302" s="9" t="s">
        <v>13</v>
      </c>
      <c r="FT302" s="9" t="str">
        <f t="shared" si="6370"/>
        <v>10. BAU Transition 10.7 RSR Development &amp; Dry RunJunior Accountant</v>
      </c>
    </row>
    <row r="303" spans="1:176" s="9" customFormat="1" ht="12" hidden="1" customHeight="1" outlineLevel="1">
      <c r="A303" s="125" t="s">
        <v>4</v>
      </c>
      <c r="B303" s="123" t="s">
        <v>17</v>
      </c>
      <c r="C303" s="124" t="str">
        <f t="shared" si="6366"/>
        <v>3 days</v>
      </c>
      <c r="D303" s="13" t="str">
        <f>$A$264&amp;" "&amp;$A301</f>
        <v>10. BAU Transition 10.7 RSR Development &amp; Dry Run</v>
      </c>
      <c r="E303" s="51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D303" s="35"/>
      <c r="AE303" s="35"/>
      <c r="AF303" s="35"/>
      <c r="AG303" s="35"/>
      <c r="AH303" s="35"/>
      <c r="AI303" s="35"/>
      <c r="AJ303" s="35"/>
      <c r="AK303" s="35"/>
      <c r="AL303" s="36"/>
      <c r="AM303" s="36"/>
      <c r="AN303" s="36"/>
      <c r="AO303" s="36"/>
      <c r="AP303" s="36"/>
      <c r="AQ303" s="36"/>
      <c r="AR303" s="36"/>
      <c r="AS303" s="35"/>
      <c r="AT303" s="35"/>
      <c r="AU303" s="35"/>
      <c r="AV303" s="35"/>
      <c r="AW303" s="35"/>
      <c r="AX303" s="35"/>
      <c r="AY303" s="35"/>
      <c r="AZ303" s="35"/>
      <c r="BA303" s="35"/>
      <c r="BB303" s="35"/>
      <c r="BC303" s="35"/>
      <c r="BD303" s="35"/>
      <c r="BE303" s="35"/>
      <c r="BF303" s="35"/>
      <c r="BG303" s="35"/>
      <c r="BH303" s="35"/>
      <c r="BI303" s="35"/>
      <c r="BJ303" s="35"/>
      <c r="BK303" s="35"/>
      <c r="BL303" s="35"/>
      <c r="BM303" s="35"/>
      <c r="BN303" s="35"/>
      <c r="BO303" s="35"/>
      <c r="BP303" s="35"/>
      <c r="BQ303" s="35"/>
      <c r="BR303" s="35"/>
      <c r="BS303" s="35"/>
      <c r="BT303" s="35"/>
      <c r="BU303" s="35"/>
      <c r="BV303" s="35"/>
      <c r="BW303" s="35"/>
      <c r="BX303" s="35"/>
      <c r="BY303" s="35"/>
      <c r="BZ303" s="35"/>
      <c r="CA303" s="35"/>
      <c r="CB303" s="35"/>
      <c r="CC303" s="35"/>
      <c r="CD303" s="35"/>
      <c r="CE303" s="35"/>
      <c r="CF303" s="35"/>
      <c r="CG303" s="35"/>
      <c r="CH303" s="35"/>
      <c r="CI303" s="35"/>
      <c r="CJ303" s="35"/>
      <c r="CK303" s="35"/>
      <c r="CL303" s="35"/>
      <c r="CM303" s="35"/>
      <c r="CN303" s="35"/>
      <c r="CO303" s="35"/>
      <c r="CP303" s="35"/>
      <c r="CQ303" s="35"/>
      <c r="CR303" s="35"/>
      <c r="CS303" s="35"/>
      <c r="CT303" s="36"/>
      <c r="CU303" s="35"/>
      <c r="CV303" s="35"/>
      <c r="CW303" s="35"/>
      <c r="CX303" s="35"/>
      <c r="CY303" s="35"/>
      <c r="CZ303" s="36"/>
      <c r="DA303" s="36"/>
      <c r="DB303" s="35"/>
      <c r="DC303" s="35"/>
      <c r="DD303" s="35"/>
      <c r="DE303" s="35"/>
      <c r="DF303" s="35"/>
      <c r="DG303" s="35"/>
      <c r="DH303" s="35"/>
      <c r="DI303" s="35"/>
      <c r="DJ303" s="35"/>
      <c r="DK303" s="35"/>
      <c r="DL303" s="35"/>
      <c r="DM303" s="35"/>
      <c r="DN303" s="35"/>
      <c r="DO303" s="35"/>
      <c r="DP303" s="35"/>
      <c r="DQ303" s="35"/>
      <c r="DR303" s="35"/>
      <c r="DS303" s="35"/>
      <c r="DT303" s="35"/>
      <c r="DU303" s="35"/>
      <c r="DV303" s="35"/>
      <c r="DW303" s="35"/>
      <c r="DX303" s="35"/>
      <c r="DY303" s="35"/>
      <c r="DZ303" s="36"/>
      <c r="EA303" s="35"/>
      <c r="EB303" s="35"/>
      <c r="EC303" s="35"/>
      <c r="ED303" s="35"/>
      <c r="EE303" s="35"/>
      <c r="EF303" s="35"/>
      <c r="EG303" s="35"/>
      <c r="EH303" s="35"/>
      <c r="EI303" s="35"/>
      <c r="EJ303" s="35"/>
      <c r="EK303" s="35"/>
      <c r="EL303" s="35"/>
      <c r="EM303" s="35"/>
      <c r="EN303" s="35"/>
      <c r="EO303" s="35"/>
      <c r="EP303" s="35"/>
      <c r="EQ303" s="35"/>
      <c r="ER303" s="35"/>
      <c r="ES303" s="35"/>
      <c r="ET303" s="35"/>
      <c r="EU303" s="35"/>
      <c r="EV303" s="35"/>
      <c r="EW303" s="35"/>
      <c r="EX303" s="35"/>
      <c r="EY303" s="36"/>
      <c r="EZ303" s="35"/>
      <c r="FA303" s="35"/>
      <c r="FB303" s="35"/>
      <c r="FC303" s="93"/>
      <c r="FD303" s="35">
        <v>1</v>
      </c>
      <c r="FE303" s="35">
        <v>1</v>
      </c>
      <c r="FF303" s="35">
        <v>1</v>
      </c>
      <c r="FG303" s="93"/>
      <c r="FH303" s="93"/>
      <c r="FI303" s="93"/>
      <c r="FJ303" s="93"/>
      <c r="FK303" s="93"/>
      <c r="FL303" s="93"/>
      <c r="FM303" s="93"/>
      <c r="FN303" s="93"/>
      <c r="FO303" s="93"/>
      <c r="FP303" s="35"/>
      <c r="FQ303" s="52"/>
      <c r="FR303" s="8"/>
      <c r="FS303" s="9" t="s">
        <v>13</v>
      </c>
      <c r="FT303" s="9" t="str">
        <f t="shared" si="6370"/>
        <v>10. BAU Transition 10.7 RSR Development &amp; Dry RunSenior Accountant</v>
      </c>
    </row>
    <row r="304" spans="1:176" s="9" customFormat="1" ht="12" hidden="1" customHeight="1" outlineLevel="1">
      <c r="A304" s="125" t="s">
        <v>4</v>
      </c>
      <c r="B304" s="130" t="s">
        <v>10</v>
      </c>
      <c r="C304" s="131" t="str">
        <f t="shared" si="6366"/>
        <v>4 days</v>
      </c>
      <c r="D304" s="101" t="str">
        <f>$A$264&amp;" "&amp;$A301</f>
        <v>10. BAU Transition 10.7 RSR Development &amp; Dry Run</v>
      </c>
      <c r="E304" s="51"/>
      <c r="F304" s="35"/>
      <c r="G304" s="35"/>
      <c r="H304" s="35"/>
      <c r="I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A304" s="35"/>
      <c r="AB304" s="35"/>
      <c r="AC304" s="35"/>
      <c r="AD304" s="35"/>
      <c r="AE304" s="35"/>
      <c r="AF304" s="35"/>
      <c r="AG304" s="35"/>
      <c r="AH304" s="35"/>
      <c r="AI304" s="35"/>
      <c r="AJ304" s="35"/>
      <c r="AK304" s="35"/>
      <c r="AL304" s="36"/>
      <c r="AM304" s="36"/>
      <c r="AN304" s="36"/>
      <c r="AO304" s="36"/>
      <c r="AP304" s="36"/>
      <c r="AQ304" s="36"/>
      <c r="AR304" s="36"/>
      <c r="AS304" s="35"/>
      <c r="AT304" s="35"/>
      <c r="AU304" s="35"/>
      <c r="AV304" s="35"/>
      <c r="AW304" s="35"/>
      <c r="AX304" s="35"/>
      <c r="AY304" s="35"/>
      <c r="AZ304" s="35"/>
      <c r="BA304" s="35"/>
      <c r="BB304" s="35"/>
      <c r="BC304" s="35"/>
      <c r="BD304" s="35"/>
      <c r="BE304" s="35"/>
      <c r="BF304" s="35"/>
      <c r="BG304" s="35"/>
      <c r="BH304" s="35"/>
      <c r="BI304" s="35"/>
      <c r="BJ304" s="35"/>
      <c r="BK304" s="35"/>
      <c r="BL304" s="35"/>
      <c r="BM304" s="35"/>
      <c r="BN304" s="35"/>
      <c r="BO304" s="35"/>
      <c r="BP304" s="35"/>
      <c r="BQ304" s="35"/>
      <c r="BR304" s="35"/>
      <c r="BS304" s="35"/>
      <c r="BT304" s="35"/>
      <c r="BU304" s="35"/>
      <c r="BV304" s="35"/>
      <c r="BW304" s="35"/>
      <c r="BX304" s="35"/>
      <c r="BY304" s="35"/>
      <c r="BZ304" s="35"/>
      <c r="CA304" s="35"/>
      <c r="CB304" s="35"/>
      <c r="CC304" s="35"/>
      <c r="CD304" s="35"/>
      <c r="CE304" s="35"/>
      <c r="CF304" s="35"/>
      <c r="CG304" s="35"/>
      <c r="CH304" s="35"/>
      <c r="CI304" s="35"/>
      <c r="CJ304" s="35"/>
      <c r="CK304" s="35"/>
      <c r="CL304" s="35"/>
      <c r="CM304" s="35"/>
      <c r="CN304" s="35"/>
      <c r="CO304" s="35"/>
      <c r="CP304" s="35"/>
      <c r="CQ304" s="35"/>
      <c r="CR304" s="35"/>
      <c r="CS304" s="35"/>
      <c r="CT304" s="36"/>
      <c r="CU304" s="35"/>
      <c r="CV304" s="35"/>
      <c r="CW304" s="35"/>
      <c r="CX304" s="35"/>
      <c r="CY304" s="35"/>
      <c r="CZ304" s="36"/>
      <c r="DA304" s="36"/>
      <c r="DB304" s="35"/>
      <c r="DC304" s="35"/>
      <c r="DD304" s="35"/>
      <c r="DE304" s="35"/>
      <c r="DF304" s="35"/>
      <c r="DG304" s="35"/>
      <c r="DH304" s="35"/>
      <c r="DI304" s="35"/>
      <c r="DJ304" s="35"/>
      <c r="DK304" s="35"/>
      <c r="DL304" s="35"/>
      <c r="DM304" s="35"/>
      <c r="DN304" s="35"/>
      <c r="DO304" s="35"/>
      <c r="DP304" s="35"/>
      <c r="DQ304" s="35"/>
      <c r="DR304" s="35"/>
      <c r="DS304" s="35"/>
      <c r="DT304" s="35"/>
      <c r="DU304" s="35"/>
      <c r="DV304" s="35"/>
      <c r="DW304" s="35"/>
      <c r="DX304" s="35"/>
      <c r="DY304" s="35"/>
      <c r="DZ304" s="36"/>
      <c r="EA304" s="35"/>
      <c r="EB304" s="35"/>
      <c r="EC304" s="35"/>
      <c r="ED304" s="35"/>
      <c r="EE304" s="35"/>
      <c r="EF304" s="35"/>
      <c r="EG304" s="35"/>
      <c r="EH304" s="35"/>
      <c r="EI304" s="35"/>
      <c r="EJ304" s="35"/>
      <c r="EK304" s="35"/>
      <c r="EL304" s="35"/>
      <c r="EM304" s="35"/>
      <c r="EN304" s="35"/>
      <c r="EO304" s="35"/>
      <c r="EP304" s="35"/>
      <c r="EQ304" s="35"/>
      <c r="ER304" s="35"/>
      <c r="ES304" s="35"/>
      <c r="ET304" s="35"/>
      <c r="EU304" s="35"/>
      <c r="EV304" s="35"/>
      <c r="EW304" s="35"/>
      <c r="EX304" s="35"/>
      <c r="EY304" s="36"/>
      <c r="EZ304" s="35"/>
      <c r="FA304" s="35"/>
      <c r="FB304" s="35"/>
      <c r="FC304" s="93"/>
      <c r="FD304" s="35">
        <v>1</v>
      </c>
      <c r="FE304" s="35">
        <v>1</v>
      </c>
      <c r="FF304" s="35">
        <v>1</v>
      </c>
      <c r="FG304" s="35">
        <v>1</v>
      </c>
      <c r="FH304" s="93"/>
      <c r="FI304" s="93"/>
      <c r="FJ304" s="93"/>
      <c r="FK304" s="93"/>
      <c r="FL304" s="93"/>
      <c r="FM304" s="93"/>
      <c r="FN304" s="93"/>
      <c r="FO304" s="93"/>
      <c r="FP304" s="35"/>
      <c r="FQ304" s="52"/>
      <c r="FR304" s="8"/>
      <c r="FS304" s="9" t="s">
        <v>13</v>
      </c>
      <c r="FT304" s="9" t="str">
        <f t="shared" si="6370"/>
        <v>10. BAU Transition 10.7 RSR Development &amp; Dry RunGlenn Kirk</v>
      </c>
    </row>
    <row r="305" spans="1:176" s="9" customFormat="1" ht="12" hidden="1" customHeight="1" outlineLevel="1">
      <c r="A305" s="125" t="s">
        <v>4</v>
      </c>
      <c r="B305" s="123" t="s">
        <v>6</v>
      </c>
      <c r="C305" s="124" t="str">
        <f t="shared" si="6366"/>
        <v>1 days</v>
      </c>
      <c r="D305" s="13" t="str">
        <f>$A$264&amp;" "&amp;$A301</f>
        <v>10. BAU Transition 10.7 RSR Development &amp; Dry Run</v>
      </c>
      <c r="E305" s="51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D305" s="35"/>
      <c r="AE305" s="35"/>
      <c r="AF305" s="35"/>
      <c r="AG305" s="35"/>
      <c r="AH305" s="35"/>
      <c r="AI305" s="35"/>
      <c r="AJ305" s="35"/>
      <c r="AK305" s="35"/>
      <c r="AL305" s="36"/>
      <c r="AM305" s="36"/>
      <c r="AN305" s="36"/>
      <c r="AO305" s="36"/>
      <c r="AP305" s="36"/>
      <c r="AQ305" s="36"/>
      <c r="AR305" s="36"/>
      <c r="AS305" s="35"/>
      <c r="AT305" s="35"/>
      <c r="AU305" s="35"/>
      <c r="AV305" s="35"/>
      <c r="AW305" s="35"/>
      <c r="AX305" s="35"/>
      <c r="AY305" s="35"/>
      <c r="AZ305" s="35"/>
      <c r="BA305" s="35"/>
      <c r="BB305" s="35"/>
      <c r="BC305" s="35"/>
      <c r="BD305" s="35"/>
      <c r="BE305" s="35"/>
      <c r="BF305" s="35"/>
      <c r="BG305" s="35"/>
      <c r="BH305" s="35"/>
      <c r="BI305" s="35"/>
      <c r="BJ305" s="35"/>
      <c r="BK305" s="35"/>
      <c r="BL305" s="35"/>
      <c r="BM305" s="35"/>
      <c r="BN305" s="35"/>
      <c r="BO305" s="35"/>
      <c r="BP305" s="35"/>
      <c r="BQ305" s="35"/>
      <c r="BR305" s="35"/>
      <c r="BS305" s="35"/>
      <c r="BT305" s="35"/>
      <c r="BU305" s="35"/>
      <c r="BV305" s="35"/>
      <c r="BW305" s="35"/>
      <c r="BX305" s="35"/>
      <c r="BY305" s="35"/>
      <c r="BZ305" s="35"/>
      <c r="CA305" s="35"/>
      <c r="CB305" s="35"/>
      <c r="CC305" s="35"/>
      <c r="CD305" s="35"/>
      <c r="CE305" s="35"/>
      <c r="CF305" s="35"/>
      <c r="CG305" s="35"/>
      <c r="CH305" s="35"/>
      <c r="CI305" s="35"/>
      <c r="CJ305" s="35"/>
      <c r="CK305" s="35"/>
      <c r="CL305" s="35"/>
      <c r="CM305" s="35"/>
      <c r="CN305" s="35"/>
      <c r="CO305" s="35"/>
      <c r="CP305" s="35"/>
      <c r="CQ305" s="35"/>
      <c r="CR305" s="35"/>
      <c r="CS305" s="35"/>
      <c r="CT305" s="36"/>
      <c r="CU305" s="35"/>
      <c r="CV305" s="35"/>
      <c r="CW305" s="35"/>
      <c r="CX305" s="35"/>
      <c r="CY305" s="35"/>
      <c r="CZ305" s="36"/>
      <c r="DA305" s="36"/>
      <c r="DB305" s="35"/>
      <c r="DC305" s="35"/>
      <c r="DD305" s="35"/>
      <c r="DE305" s="35"/>
      <c r="DF305" s="35"/>
      <c r="DG305" s="35"/>
      <c r="DH305" s="35"/>
      <c r="DI305" s="35"/>
      <c r="DJ305" s="35"/>
      <c r="DK305" s="35"/>
      <c r="DL305" s="35"/>
      <c r="DM305" s="35"/>
      <c r="DN305" s="35"/>
      <c r="DO305" s="35"/>
      <c r="DP305" s="35"/>
      <c r="DQ305" s="35"/>
      <c r="DR305" s="35"/>
      <c r="DS305" s="35"/>
      <c r="DT305" s="35"/>
      <c r="DU305" s="35"/>
      <c r="DV305" s="35"/>
      <c r="DW305" s="35"/>
      <c r="DX305" s="35"/>
      <c r="DY305" s="35"/>
      <c r="DZ305" s="36"/>
      <c r="EA305" s="35"/>
      <c r="EB305" s="35"/>
      <c r="EC305" s="35"/>
      <c r="ED305" s="35"/>
      <c r="EE305" s="35"/>
      <c r="EF305" s="35"/>
      <c r="EG305" s="35"/>
      <c r="EH305" s="35"/>
      <c r="EI305" s="35"/>
      <c r="EJ305" s="35"/>
      <c r="EK305" s="35"/>
      <c r="EL305" s="35"/>
      <c r="EM305" s="35"/>
      <c r="EN305" s="35"/>
      <c r="EO305" s="35"/>
      <c r="EP305" s="35"/>
      <c r="EQ305" s="35"/>
      <c r="ER305" s="35"/>
      <c r="ES305" s="35"/>
      <c r="ET305" s="35"/>
      <c r="EU305" s="35"/>
      <c r="EV305" s="35"/>
      <c r="EW305" s="35"/>
      <c r="EX305" s="35"/>
      <c r="EY305" s="36"/>
      <c r="EZ305" s="35"/>
      <c r="FA305" s="35"/>
      <c r="FB305" s="35"/>
      <c r="FC305" s="93"/>
      <c r="FD305" s="35"/>
      <c r="FE305" s="35">
        <v>0.5</v>
      </c>
      <c r="FF305" s="35">
        <v>0.5</v>
      </c>
      <c r="FG305" s="93"/>
      <c r="FH305" s="93"/>
      <c r="FI305" s="93"/>
      <c r="FJ305" s="93"/>
      <c r="FK305" s="93"/>
      <c r="FL305" s="93"/>
      <c r="FM305" s="93"/>
      <c r="FN305" s="93"/>
      <c r="FO305" s="93"/>
      <c r="FP305" s="35"/>
      <c r="FQ305" s="52"/>
      <c r="FR305" s="8"/>
      <c r="FS305" s="9" t="s">
        <v>13</v>
      </c>
      <c r="FT305" s="9" t="str">
        <f t="shared" si="6370"/>
        <v>10. BAU Transition 10.7 RSR Development &amp; Dry RunPeter Sherry</v>
      </c>
    </row>
    <row r="306" spans="1:176" s="9" customFormat="1" ht="12" hidden="1" customHeight="1" outlineLevel="1">
      <c r="A306" s="125"/>
      <c r="B306" s="123"/>
      <c r="C306" s="124" t="str">
        <f t="shared" si="6366"/>
        <v>0 days</v>
      </c>
      <c r="D306" s="13" t="str">
        <f>$A$264&amp;" "&amp;$A301</f>
        <v>10. BAU Transition 10.7 RSR Development &amp; Dry Run</v>
      </c>
      <c r="E306" s="51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D306" s="35"/>
      <c r="AE306" s="35"/>
      <c r="AF306" s="35"/>
      <c r="AG306" s="35"/>
      <c r="AH306" s="35"/>
      <c r="AI306" s="35"/>
      <c r="AJ306" s="35"/>
      <c r="AK306" s="35"/>
      <c r="AL306" s="36"/>
      <c r="AM306" s="36"/>
      <c r="AN306" s="36"/>
      <c r="AO306" s="36"/>
      <c r="AP306" s="36"/>
      <c r="AQ306" s="36"/>
      <c r="AR306" s="36"/>
      <c r="AS306" s="35"/>
      <c r="AT306" s="35"/>
      <c r="AU306" s="35"/>
      <c r="AV306" s="35"/>
      <c r="AW306" s="35"/>
      <c r="AX306" s="35"/>
      <c r="AY306" s="35"/>
      <c r="AZ306" s="35"/>
      <c r="BA306" s="35"/>
      <c r="BB306" s="35"/>
      <c r="BC306" s="35"/>
      <c r="BD306" s="35"/>
      <c r="BE306" s="35"/>
      <c r="BF306" s="35"/>
      <c r="BG306" s="35"/>
      <c r="BH306" s="35"/>
      <c r="BI306" s="35"/>
      <c r="BJ306" s="35"/>
      <c r="BK306" s="35"/>
      <c r="BL306" s="35"/>
      <c r="BM306" s="35"/>
      <c r="BN306" s="35"/>
      <c r="BO306" s="35"/>
      <c r="BP306" s="35"/>
      <c r="BQ306" s="35"/>
      <c r="BR306" s="35"/>
      <c r="BS306" s="35"/>
      <c r="BT306" s="35"/>
      <c r="BU306" s="35"/>
      <c r="BV306" s="35"/>
      <c r="BW306" s="35"/>
      <c r="BX306" s="35"/>
      <c r="BY306" s="35"/>
      <c r="BZ306" s="35"/>
      <c r="CA306" s="35"/>
      <c r="CB306" s="35"/>
      <c r="CC306" s="35"/>
      <c r="CD306" s="35"/>
      <c r="CE306" s="35"/>
      <c r="CF306" s="35"/>
      <c r="CG306" s="35"/>
      <c r="CH306" s="35"/>
      <c r="CI306" s="35"/>
      <c r="CJ306" s="35"/>
      <c r="CK306" s="35"/>
      <c r="CL306" s="35"/>
      <c r="CM306" s="35"/>
      <c r="CN306" s="35"/>
      <c r="CO306" s="35"/>
      <c r="CP306" s="35"/>
      <c r="CQ306" s="35"/>
      <c r="CR306" s="35"/>
      <c r="CS306" s="35"/>
      <c r="CT306" s="36"/>
      <c r="CU306" s="35"/>
      <c r="CV306" s="35"/>
      <c r="CW306" s="35"/>
      <c r="CX306" s="35"/>
      <c r="CY306" s="35"/>
      <c r="CZ306" s="36"/>
      <c r="DA306" s="36"/>
      <c r="DB306" s="35"/>
      <c r="DC306" s="35"/>
      <c r="DD306" s="35"/>
      <c r="DE306" s="35"/>
      <c r="DF306" s="35"/>
      <c r="DG306" s="35"/>
      <c r="DH306" s="35"/>
      <c r="DI306" s="35"/>
      <c r="DJ306" s="35"/>
      <c r="DK306" s="35"/>
      <c r="DL306" s="35"/>
      <c r="DM306" s="35"/>
      <c r="DN306" s="35"/>
      <c r="DO306" s="35"/>
      <c r="DP306" s="35"/>
      <c r="DQ306" s="35"/>
      <c r="DR306" s="35"/>
      <c r="DS306" s="35"/>
      <c r="DT306" s="35"/>
      <c r="DU306" s="35"/>
      <c r="DV306" s="35"/>
      <c r="DW306" s="35"/>
      <c r="DX306" s="35"/>
      <c r="DY306" s="35"/>
      <c r="DZ306" s="36"/>
      <c r="EA306" s="35"/>
      <c r="EB306" s="35"/>
      <c r="EC306" s="35"/>
      <c r="ED306" s="35"/>
      <c r="EE306" s="35"/>
      <c r="EF306" s="35"/>
      <c r="EG306" s="35"/>
      <c r="EH306" s="35"/>
      <c r="EI306" s="35"/>
      <c r="EJ306" s="35"/>
      <c r="EK306" s="35"/>
      <c r="EL306" s="35"/>
      <c r="EM306" s="35"/>
      <c r="EN306" s="35"/>
      <c r="EO306" s="35"/>
      <c r="EP306" s="35"/>
      <c r="EQ306" s="35"/>
      <c r="ER306" s="35"/>
      <c r="ES306" s="35"/>
      <c r="ET306" s="35"/>
      <c r="EU306" s="35"/>
      <c r="EV306" s="35"/>
      <c r="EW306" s="35"/>
      <c r="EX306" s="35"/>
      <c r="EY306" s="36"/>
      <c r="EZ306" s="35"/>
      <c r="FA306" s="35"/>
      <c r="FB306" s="35"/>
      <c r="FC306" s="35"/>
      <c r="FD306" s="35"/>
      <c r="FE306" s="35"/>
      <c r="FF306" s="35"/>
      <c r="FG306" s="35"/>
      <c r="FH306" s="35"/>
      <c r="FI306" s="35"/>
      <c r="FJ306" s="35"/>
      <c r="FK306" s="35"/>
      <c r="FL306" s="35"/>
      <c r="FM306" s="35"/>
      <c r="FN306" s="35"/>
      <c r="FO306" s="35"/>
      <c r="FP306" s="35"/>
      <c r="FQ306" s="52"/>
      <c r="FR306" s="8"/>
      <c r="FS306" s="9" t="s">
        <v>13</v>
      </c>
      <c r="FT306" s="9" t="str">
        <f t="shared" si="6370"/>
        <v>10. BAU Transition 10.7 RSR Development &amp; Dry Run</v>
      </c>
    </row>
    <row r="307" spans="1:176" s="9" customFormat="1" ht="12" customHeight="1" collapsed="1">
      <c r="A307" s="119" t="s">
        <v>132</v>
      </c>
      <c r="B307" s="127"/>
      <c r="C307" s="121" t="str">
        <f t="shared" si="6366"/>
        <v>26 days</v>
      </c>
      <c r="D307" s="27"/>
      <c r="E307" s="91" t="str">
        <f t="shared" ref="E307:BP307" si="6391">IF(SUBTOTAL(9,E308:E312)&gt;0,SUBTOTAL(9,E308:E312),"")</f>
        <v/>
      </c>
      <c r="F307" s="34" t="str">
        <f>IF(SUBTOTAL(9,F308:F312)&gt;0,SUBTOTAL(9,F308:F312),"")</f>
        <v/>
      </c>
      <c r="G307" s="34" t="str">
        <f t="shared" si="6391"/>
        <v/>
      </c>
      <c r="H307" s="34" t="str">
        <f t="shared" si="6391"/>
        <v/>
      </c>
      <c r="I307" s="34" t="str">
        <f t="shared" si="6391"/>
        <v/>
      </c>
      <c r="J307" s="34" t="str">
        <f t="shared" si="6391"/>
        <v/>
      </c>
      <c r="K307" s="34" t="str">
        <f t="shared" si="6391"/>
        <v/>
      </c>
      <c r="L307" s="34" t="str">
        <f t="shared" si="6391"/>
        <v/>
      </c>
      <c r="M307" s="34" t="str">
        <f t="shared" si="6391"/>
        <v/>
      </c>
      <c r="N307" s="34" t="str">
        <f t="shared" si="6391"/>
        <v/>
      </c>
      <c r="O307" s="34" t="str">
        <f t="shared" si="6391"/>
        <v/>
      </c>
      <c r="P307" s="34" t="str">
        <f t="shared" si="6391"/>
        <v/>
      </c>
      <c r="Q307" s="34" t="str">
        <f t="shared" si="6391"/>
        <v/>
      </c>
      <c r="R307" s="34" t="str">
        <f t="shared" si="6391"/>
        <v/>
      </c>
      <c r="S307" s="34" t="str">
        <f t="shared" si="6391"/>
        <v/>
      </c>
      <c r="T307" s="34" t="str">
        <f t="shared" si="6391"/>
        <v/>
      </c>
      <c r="U307" s="34" t="str">
        <f t="shared" si="6391"/>
        <v/>
      </c>
      <c r="V307" s="34" t="str">
        <f t="shared" si="6391"/>
        <v/>
      </c>
      <c r="W307" s="34" t="str">
        <f t="shared" si="6391"/>
        <v/>
      </c>
      <c r="X307" s="34" t="str">
        <f t="shared" si="6391"/>
        <v/>
      </c>
      <c r="Y307" s="34" t="str">
        <f t="shared" si="6391"/>
        <v/>
      </c>
      <c r="Z307" s="34" t="str">
        <f t="shared" si="6391"/>
        <v/>
      </c>
      <c r="AA307" s="34" t="str">
        <f t="shared" si="6391"/>
        <v/>
      </c>
      <c r="AB307" s="34" t="str">
        <f t="shared" si="6391"/>
        <v/>
      </c>
      <c r="AC307" s="34" t="str">
        <f t="shared" si="6391"/>
        <v/>
      </c>
      <c r="AD307" s="34" t="str">
        <f t="shared" si="6391"/>
        <v/>
      </c>
      <c r="AE307" s="34" t="str">
        <f t="shared" si="6391"/>
        <v/>
      </c>
      <c r="AF307" s="34" t="str">
        <f t="shared" si="6391"/>
        <v/>
      </c>
      <c r="AG307" s="34" t="str">
        <f t="shared" si="6391"/>
        <v/>
      </c>
      <c r="AH307" s="34" t="str">
        <f t="shared" si="6391"/>
        <v/>
      </c>
      <c r="AI307" s="34" t="str">
        <f t="shared" si="6391"/>
        <v/>
      </c>
      <c r="AJ307" s="34" t="str">
        <f t="shared" si="6391"/>
        <v/>
      </c>
      <c r="AK307" s="34" t="str">
        <f t="shared" si="6391"/>
        <v/>
      </c>
      <c r="AL307" s="33" t="str">
        <f t="shared" si="6391"/>
        <v/>
      </c>
      <c r="AM307" s="33" t="str">
        <f t="shared" si="6391"/>
        <v/>
      </c>
      <c r="AN307" s="33" t="str">
        <f t="shared" si="6391"/>
        <v/>
      </c>
      <c r="AO307" s="33" t="str">
        <f t="shared" si="6391"/>
        <v/>
      </c>
      <c r="AP307" s="33" t="str">
        <f t="shared" si="6391"/>
        <v/>
      </c>
      <c r="AQ307" s="33" t="str">
        <f t="shared" si="6391"/>
        <v/>
      </c>
      <c r="AR307" s="33" t="str">
        <f t="shared" si="6391"/>
        <v/>
      </c>
      <c r="AS307" s="34" t="str">
        <f t="shared" si="6391"/>
        <v/>
      </c>
      <c r="AT307" s="34" t="str">
        <f t="shared" si="6391"/>
        <v/>
      </c>
      <c r="AU307" s="34" t="str">
        <f t="shared" si="6391"/>
        <v/>
      </c>
      <c r="AV307" s="34" t="str">
        <f t="shared" si="6391"/>
        <v/>
      </c>
      <c r="AW307" s="34" t="str">
        <f t="shared" si="6391"/>
        <v/>
      </c>
      <c r="AX307" s="34" t="str">
        <f t="shared" si="6391"/>
        <v/>
      </c>
      <c r="AY307" s="34" t="str">
        <f t="shared" si="6391"/>
        <v/>
      </c>
      <c r="AZ307" s="34" t="str">
        <f t="shared" si="6391"/>
        <v/>
      </c>
      <c r="BA307" s="34" t="str">
        <f t="shared" si="6391"/>
        <v/>
      </c>
      <c r="BB307" s="34" t="str">
        <f t="shared" si="6391"/>
        <v/>
      </c>
      <c r="BC307" s="34" t="str">
        <f t="shared" si="6391"/>
        <v/>
      </c>
      <c r="BD307" s="34" t="str">
        <f t="shared" si="6391"/>
        <v/>
      </c>
      <c r="BE307" s="34" t="str">
        <f t="shared" si="6391"/>
        <v/>
      </c>
      <c r="BF307" s="34" t="str">
        <f t="shared" si="6391"/>
        <v/>
      </c>
      <c r="BG307" s="34" t="str">
        <f t="shared" si="6391"/>
        <v/>
      </c>
      <c r="BH307" s="34" t="str">
        <f t="shared" si="6391"/>
        <v/>
      </c>
      <c r="BI307" s="34" t="str">
        <f t="shared" si="6391"/>
        <v/>
      </c>
      <c r="BJ307" s="34" t="str">
        <f t="shared" si="6391"/>
        <v/>
      </c>
      <c r="BK307" s="34" t="str">
        <f t="shared" si="6391"/>
        <v/>
      </c>
      <c r="BL307" s="34" t="str">
        <f t="shared" si="6391"/>
        <v/>
      </c>
      <c r="BM307" s="34" t="str">
        <f t="shared" si="6391"/>
        <v/>
      </c>
      <c r="BN307" s="34" t="str">
        <f t="shared" si="6391"/>
        <v/>
      </c>
      <c r="BO307" s="34" t="str">
        <f t="shared" si="6391"/>
        <v/>
      </c>
      <c r="BP307" s="34" t="str">
        <f t="shared" si="6391"/>
        <v/>
      </c>
      <c r="BQ307" s="34" t="str">
        <f t="shared" ref="BQ307:EB307" si="6392">IF(SUBTOTAL(9,BQ308:BQ312)&gt;0,SUBTOTAL(9,BQ308:BQ312),"")</f>
        <v/>
      </c>
      <c r="BR307" s="34" t="str">
        <f t="shared" si="6392"/>
        <v/>
      </c>
      <c r="BS307" s="34" t="str">
        <f t="shared" si="6392"/>
        <v/>
      </c>
      <c r="BT307" s="34" t="str">
        <f t="shared" si="6392"/>
        <v/>
      </c>
      <c r="BU307" s="34" t="str">
        <f t="shared" si="6392"/>
        <v/>
      </c>
      <c r="BV307" s="34" t="str">
        <f t="shared" si="6392"/>
        <v/>
      </c>
      <c r="BW307" s="34" t="str">
        <f t="shared" si="6392"/>
        <v/>
      </c>
      <c r="BX307" s="34" t="str">
        <f t="shared" si="6392"/>
        <v/>
      </c>
      <c r="BY307" s="34" t="str">
        <f t="shared" si="6392"/>
        <v/>
      </c>
      <c r="BZ307" s="34" t="str">
        <f t="shared" si="6392"/>
        <v/>
      </c>
      <c r="CA307" s="34" t="str">
        <f t="shared" si="6392"/>
        <v/>
      </c>
      <c r="CB307" s="34" t="str">
        <f t="shared" si="6392"/>
        <v/>
      </c>
      <c r="CC307" s="34" t="str">
        <f t="shared" si="6392"/>
        <v/>
      </c>
      <c r="CD307" s="34" t="str">
        <f t="shared" si="6392"/>
        <v/>
      </c>
      <c r="CE307" s="34" t="str">
        <f t="shared" si="6392"/>
        <v/>
      </c>
      <c r="CF307" s="34" t="str">
        <f t="shared" si="6392"/>
        <v/>
      </c>
      <c r="CG307" s="34" t="str">
        <f t="shared" si="6392"/>
        <v/>
      </c>
      <c r="CH307" s="34" t="str">
        <f t="shared" si="6392"/>
        <v/>
      </c>
      <c r="CI307" s="34" t="str">
        <f t="shared" si="6392"/>
        <v/>
      </c>
      <c r="CJ307" s="34" t="str">
        <f t="shared" si="6392"/>
        <v/>
      </c>
      <c r="CK307" s="34" t="str">
        <f t="shared" si="6392"/>
        <v/>
      </c>
      <c r="CL307" s="34" t="str">
        <f t="shared" si="6392"/>
        <v/>
      </c>
      <c r="CM307" s="34" t="str">
        <f t="shared" si="6392"/>
        <v/>
      </c>
      <c r="CN307" s="34" t="str">
        <f t="shared" si="6392"/>
        <v/>
      </c>
      <c r="CO307" s="34" t="str">
        <f t="shared" si="6392"/>
        <v/>
      </c>
      <c r="CP307" s="34" t="str">
        <f t="shared" si="6392"/>
        <v/>
      </c>
      <c r="CQ307" s="34" t="str">
        <f t="shared" si="6392"/>
        <v/>
      </c>
      <c r="CR307" s="34" t="str">
        <f t="shared" si="6392"/>
        <v/>
      </c>
      <c r="CS307" s="34" t="str">
        <f t="shared" si="6392"/>
        <v/>
      </c>
      <c r="CT307" s="33" t="str">
        <f t="shared" si="6392"/>
        <v/>
      </c>
      <c r="CU307" s="34" t="str">
        <f t="shared" si="6392"/>
        <v/>
      </c>
      <c r="CV307" s="34" t="str">
        <f t="shared" si="6392"/>
        <v/>
      </c>
      <c r="CW307" s="34" t="str">
        <f t="shared" si="6392"/>
        <v/>
      </c>
      <c r="CX307" s="34" t="str">
        <f t="shared" si="6392"/>
        <v/>
      </c>
      <c r="CY307" s="34" t="str">
        <f t="shared" si="6392"/>
        <v/>
      </c>
      <c r="CZ307" s="33" t="str">
        <f t="shared" si="6392"/>
        <v/>
      </c>
      <c r="DA307" s="33" t="str">
        <f t="shared" si="6392"/>
        <v/>
      </c>
      <c r="DB307" s="34" t="str">
        <f t="shared" si="6392"/>
        <v/>
      </c>
      <c r="DC307" s="34" t="str">
        <f t="shared" si="6392"/>
        <v/>
      </c>
      <c r="DD307" s="34" t="str">
        <f t="shared" si="6392"/>
        <v/>
      </c>
      <c r="DE307" s="34" t="str">
        <f t="shared" si="6392"/>
        <v/>
      </c>
      <c r="DF307" s="34" t="str">
        <f t="shared" si="6392"/>
        <v/>
      </c>
      <c r="DG307" s="34" t="str">
        <f t="shared" si="6392"/>
        <v/>
      </c>
      <c r="DH307" s="34" t="str">
        <f t="shared" si="6392"/>
        <v/>
      </c>
      <c r="DI307" s="34" t="str">
        <f t="shared" si="6392"/>
        <v/>
      </c>
      <c r="DJ307" s="34" t="str">
        <f t="shared" si="6392"/>
        <v/>
      </c>
      <c r="DK307" s="34" t="str">
        <f t="shared" si="6392"/>
        <v/>
      </c>
      <c r="DL307" s="34" t="str">
        <f t="shared" si="6392"/>
        <v/>
      </c>
      <c r="DM307" s="34" t="str">
        <f t="shared" si="6392"/>
        <v/>
      </c>
      <c r="DN307" s="34" t="str">
        <f t="shared" si="6392"/>
        <v/>
      </c>
      <c r="DO307" s="34" t="str">
        <f t="shared" si="6392"/>
        <v/>
      </c>
      <c r="DP307" s="34" t="str">
        <f t="shared" si="6392"/>
        <v/>
      </c>
      <c r="DQ307" s="34" t="str">
        <f t="shared" si="6392"/>
        <v/>
      </c>
      <c r="DR307" s="34" t="str">
        <f t="shared" si="6392"/>
        <v/>
      </c>
      <c r="DS307" s="34" t="str">
        <f t="shared" si="6392"/>
        <v/>
      </c>
      <c r="DT307" s="34" t="str">
        <f t="shared" si="6392"/>
        <v/>
      </c>
      <c r="DU307" s="34" t="str">
        <f t="shared" si="6392"/>
        <v/>
      </c>
      <c r="DV307" s="34" t="str">
        <f t="shared" si="6392"/>
        <v/>
      </c>
      <c r="DW307" s="34" t="str">
        <f t="shared" si="6392"/>
        <v/>
      </c>
      <c r="DX307" s="34" t="str">
        <f t="shared" si="6392"/>
        <v/>
      </c>
      <c r="DY307" s="34" t="str">
        <f t="shared" si="6392"/>
        <v/>
      </c>
      <c r="DZ307" s="33" t="str">
        <f t="shared" si="6392"/>
        <v/>
      </c>
      <c r="EA307" s="34" t="str">
        <f t="shared" si="6392"/>
        <v/>
      </c>
      <c r="EB307" s="34" t="str">
        <f t="shared" si="6392"/>
        <v/>
      </c>
      <c r="EC307" s="34" t="str">
        <f t="shared" ref="EC307:FQ307" si="6393">IF(SUBTOTAL(9,EC308:EC312)&gt;0,SUBTOTAL(9,EC308:EC312),"")</f>
        <v/>
      </c>
      <c r="ED307" s="34" t="str">
        <f t="shared" si="6393"/>
        <v/>
      </c>
      <c r="EE307" s="34" t="str">
        <f t="shared" si="6393"/>
        <v/>
      </c>
      <c r="EF307" s="34" t="str">
        <f t="shared" si="6393"/>
        <v/>
      </c>
      <c r="EG307" s="34" t="str">
        <f t="shared" si="6393"/>
        <v/>
      </c>
      <c r="EH307" s="34" t="str">
        <f t="shared" si="6393"/>
        <v/>
      </c>
      <c r="EI307" s="34" t="str">
        <f t="shared" si="6393"/>
        <v/>
      </c>
      <c r="EJ307" s="34" t="str">
        <f t="shared" si="6393"/>
        <v/>
      </c>
      <c r="EK307" s="34" t="str">
        <f t="shared" si="6393"/>
        <v/>
      </c>
      <c r="EL307" s="34" t="str">
        <f t="shared" si="6393"/>
        <v/>
      </c>
      <c r="EM307" s="34" t="str">
        <f t="shared" si="6393"/>
        <v/>
      </c>
      <c r="EN307" s="34" t="str">
        <f t="shared" si="6393"/>
        <v/>
      </c>
      <c r="EO307" s="34" t="str">
        <f t="shared" si="6393"/>
        <v/>
      </c>
      <c r="EP307" s="34" t="str">
        <f t="shared" si="6393"/>
        <v/>
      </c>
      <c r="EQ307" s="34" t="str">
        <f t="shared" si="6393"/>
        <v/>
      </c>
      <c r="ER307" s="34" t="str">
        <f t="shared" si="6393"/>
        <v/>
      </c>
      <c r="ES307" s="34" t="str">
        <f t="shared" si="6393"/>
        <v/>
      </c>
      <c r="ET307" s="34" t="str">
        <f t="shared" si="6393"/>
        <v/>
      </c>
      <c r="EU307" s="34" t="str">
        <f t="shared" si="6393"/>
        <v/>
      </c>
      <c r="EV307" s="34" t="str">
        <f t="shared" si="6393"/>
        <v/>
      </c>
      <c r="EW307" s="34" t="str">
        <f t="shared" si="6393"/>
        <v/>
      </c>
      <c r="EX307" s="34" t="str">
        <f t="shared" si="6393"/>
        <v/>
      </c>
      <c r="EY307" s="33" t="str">
        <f t="shared" si="6393"/>
        <v/>
      </c>
      <c r="EZ307" s="34" t="str">
        <f t="shared" si="6393"/>
        <v/>
      </c>
      <c r="FA307" s="34" t="str">
        <f t="shared" si="6393"/>
        <v/>
      </c>
      <c r="FB307" s="34" t="str">
        <f t="shared" si="6393"/>
        <v/>
      </c>
      <c r="FC307" s="34" t="str">
        <f t="shared" si="6393"/>
        <v/>
      </c>
      <c r="FD307" s="34" t="str">
        <f t="shared" si="6393"/>
        <v/>
      </c>
      <c r="FE307" s="34">
        <f>IF(SUBTOTAL(9,FE308:FE312)&gt;0,SUBTOTAL(9,FE308:FE312),"")</f>
        <v>1</v>
      </c>
      <c r="FF307" s="34">
        <f>IF(SUBTOTAL(9,FF308:FF312)&gt;0,SUBTOTAL(9,FF308:FF312),"")</f>
        <v>1</v>
      </c>
      <c r="FG307" s="34">
        <f>IF(SUBTOTAL(9,FG308:FG312)&gt;0,SUBTOTAL(9,FG308:FG312),"")</f>
        <v>2</v>
      </c>
      <c r="FH307" s="34">
        <f>IF(SUBTOTAL(9,FH308:FH312)&gt;0,SUBTOTAL(9,FH308:FH312),"")</f>
        <v>4</v>
      </c>
      <c r="FI307" s="34">
        <f t="shared" si="6393"/>
        <v>4</v>
      </c>
      <c r="FJ307" s="34">
        <f t="shared" si="6393"/>
        <v>4</v>
      </c>
      <c r="FK307" s="34">
        <f t="shared" si="6393"/>
        <v>2.5</v>
      </c>
      <c r="FL307" s="34">
        <f t="shared" si="6393"/>
        <v>2.5</v>
      </c>
      <c r="FM307" s="34">
        <f t="shared" si="6393"/>
        <v>1</v>
      </c>
      <c r="FN307" s="34">
        <f t="shared" si="6393"/>
        <v>1</v>
      </c>
      <c r="FO307" s="34">
        <f t="shared" si="6393"/>
        <v>1</v>
      </c>
      <c r="FP307" s="34">
        <f t="shared" si="6393"/>
        <v>1</v>
      </c>
      <c r="FQ307" s="92">
        <f t="shared" si="6393"/>
        <v>1</v>
      </c>
      <c r="FR307" s="8"/>
      <c r="FS307" s="9" t="s">
        <v>131</v>
      </c>
      <c r="FT307" s="9" t="str">
        <f t="shared" si="6370"/>
        <v/>
      </c>
    </row>
    <row r="308" spans="1:176" s="9" customFormat="1" ht="12" hidden="1" customHeight="1" outlineLevel="1">
      <c r="A308" s="125" t="s">
        <v>4</v>
      </c>
      <c r="B308" s="123" t="s">
        <v>16</v>
      </c>
      <c r="C308" s="124" t="str">
        <f t="shared" si="6366"/>
        <v>6 days</v>
      </c>
      <c r="D308" s="13" t="str">
        <f>$A$264&amp;" "&amp;$A307</f>
        <v xml:space="preserve">10. BAU Transition 10.8 NSTs/ECB Development &amp; Reporting </v>
      </c>
      <c r="E308" s="51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D308" s="35"/>
      <c r="AE308" s="35"/>
      <c r="AF308" s="35"/>
      <c r="AG308" s="35"/>
      <c r="AH308" s="35"/>
      <c r="AI308" s="35"/>
      <c r="AJ308" s="35"/>
      <c r="AK308" s="35"/>
      <c r="AL308" s="36"/>
      <c r="AM308" s="36"/>
      <c r="AN308" s="36"/>
      <c r="AO308" s="36"/>
      <c r="AP308" s="36"/>
      <c r="AQ308" s="36"/>
      <c r="AR308" s="36"/>
      <c r="AS308" s="35"/>
      <c r="AT308" s="35"/>
      <c r="AU308" s="35"/>
      <c r="AV308" s="35"/>
      <c r="AW308" s="35"/>
      <c r="AX308" s="35"/>
      <c r="AY308" s="35"/>
      <c r="AZ308" s="35"/>
      <c r="BA308" s="35"/>
      <c r="BB308" s="35"/>
      <c r="BC308" s="35"/>
      <c r="BD308" s="35"/>
      <c r="BE308" s="35"/>
      <c r="BF308" s="35"/>
      <c r="BG308" s="35"/>
      <c r="BH308" s="35"/>
      <c r="BI308" s="35"/>
      <c r="BJ308" s="35"/>
      <c r="BK308" s="35"/>
      <c r="BL308" s="35"/>
      <c r="BM308" s="35"/>
      <c r="BN308" s="35"/>
      <c r="BO308" s="35"/>
      <c r="BP308" s="35"/>
      <c r="BQ308" s="35"/>
      <c r="BR308" s="35"/>
      <c r="BS308" s="35"/>
      <c r="BT308" s="35"/>
      <c r="BU308" s="35"/>
      <c r="BV308" s="35"/>
      <c r="BW308" s="35"/>
      <c r="BX308" s="35"/>
      <c r="BY308" s="35"/>
      <c r="BZ308" s="35"/>
      <c r="CA308" s="35"/>
      <c r="CB308" s="35"/>
      <c r="CC308" s="35"/>
      <c r="CD308" s="35"/>
      <c r="CE308" s="35"/>
      <c r="CF308" s="35"/>
      <c r="CG308" s="35"/>
      <c r="CH308" s="35"/>
      <c r="CI308" s="35"/>
      <c r="CJ308" s="35"/>
      <c r="CK308" s="35"/>
      <c r="CL308" s="35"/>
      <c r="CM308" s="35"/>
      <c r="CN308" s="35"/>
      <c r="CO308" s="35"/>
      <c r="CP308" s="35"/>
      <c r="CQ308" s="35"/>
      <c r="CR308" s="35"/>
      <c r="CS308" s="35"/>
      <c r="CT308" s="36"/>
      <c r="CU308" s="35"/>
      <c r="CV308" s="35"/>
      <c r="CW308" s="35"/>
      <c r="CX308" s="35"/>
      <c r="CY308" s="35"/>
      <c r="CZ308" s="36"/>
      <c r="DA308" s="36"/>
      <c r="DB308" s="35"/>
      <c r="DC308" s="35"/>
      <c r="DD308" s="35"/>
      <c r="DE308" s="35"/>
      <c r="DF308" s="35"/>
      <c r="DG308" s="35"/>
      <c r="DH308" s="35"/>
      <c r="DI308" s="35"/>
      <c r="DJ308" s="35"/>
      <c r="DK308" s="35"/>
      <c r="DL308" s="35"/>
      <c r="DM308" s="35"/>
      <c r="DN308" s="35"/>
      <c r="DO308" s="35"/>
      <c r="DP308" s="35"/>
      <c r="DQ308" s="35"/>
      <c r="DR308" s="35"/>
      <c r="DS308" s="35"/>
      <c r="DT308" s="35"/>
      <c r="DU308" s="35"/>
      <c r="DV308" s="35"/>
      <c r="DW308" s="35"/>
      <c r="DX308" s="35"/>
      <c r="DY308" s="35"/>
      <c r="DZ308" s="36"/>
      <c r="EA308" s="35"/>
      <c r="EB308" s="35"/>
      <c r="EC308" s="35"/>
      <c r="ED308" s="35"/>
      <c r="EE308" s="35"/>
      <c r="EF308" s="35"/>
      <c r="EG308" s="35"/>
      <c r="EH308" s="35"/>
      <c r="EI308" s="35"/>
      <c r="EJ308" s="35"/>
      <c r="EK308" s="35"/>
      <c r="EL308" s="35"/>
      <c r="EM308" s="35"/>
      <c r="EN308" s="35"/>
      <c r="EO308" s="35"/>
      <c r="EP308" s="35"/>
      <c r="EQ308" s="35"/>
      <c r="ER308" s="35"/>
      <c r="ES308" s="35"/>
      <c r="ET308" s="35"/>
      <c r="EU308" s="35"/>
      <c r="EV308" s="35"/>
      <c r="EW308" s="35"/>
      <c r="EX308" s="35"/>
      <c r="EY308" s="36"/>
      <c r="EZ308" s="35"/>
      <c r="FA308" s="35"/>
      <c r="FB308" s="35"/>
      <c r="FC308" s="35"/>
      <c r="FD308" s="35"/>
      <c r="FE308" s="35">
        <v>1</v>
      </c>
      <c r="FF308" s="35">
        <v>1</v>
      </c>
      <c r="FG308" s="35">
        <v>1</v>
      </c>
      <c r="FH308" s="35">
        <v>1</v>
      </c>
      <c r="FI308" s="35">
        <v>1</v>
      </c>
      <c r="FJ308" s="35">
        <v>1</v>
      </c>
      <c r="FK308" s="35"/>
      <c r="FL308" s="35"/>
      <c r="FM308" s="35"/>
      <c r="FN308" s="93"/>
      <c r="FO308" s="93"/>
      <c r="FP308" s="93"/>
      <c r="FQ308" s="97"/>
      <c r="FR308" s="8"/>
      <c r="FS308" s="9" t="s">
        <v>13</v>
      </c>
      <c r="FT308" s="9" t="str">
        <f t="shared" si="6370"/>
        <v>10. BAU Transition 10.8 NSTs/ECB Development &amp; Reporting Junior Accountant</v>
      </c>
    </row>
    <row r="309" spans="1:176" s="9" customFormat="1" ht="12" hidden="1" customHeight="1" outlineLevel="1">
      <c r="A309" s="125" t="s">
        <v>4</v>
      </c>
      <c r="B309" s="123" t="s">
        <v>17</v>
      </c>
      <c r="C309" s="124" t="str">
        <f t="shared" si="6366"/>
        <v>6 days</v>
      </c>
      <c r="D309" s="13" t="str">
        <f>$A$264&amp;" "&amp;$A307</f>
        <v xml:space="preserve">10. BAU Transition 10.8 NSTs/ECB Development &amp; Reporting </v>
      </c>
      <c r="E309" s="51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D309" s="35"/>
      <c r="AE309" s="35"/>
      <c r="AF309" s="35"/>
      <c r="AG309" s="35"/>
      <c r="AH309" s="35"/>
      <c r="AI309" s="35"/>
      <c r="AJ309" s="35"/>
      <c r="AK309" s="35"/>
      <c r="AL309" s="36"/>
      <c r="AM309" s="36"/>
      <c r="AN309" s="36"/>
      <c r="AO309" s="36"/>
      <c r="AP309" s="36"/>
      <c r="AQ309" s="36"/>
      <c r="AR309" s="36"/>
      <c r="AS309" s="35"/>
      <c r="AT309" s="35"/>
      <c r="AU309" s="35"/>
      <c r="AV309" s="35"/>
      <c r="AW309" s="35"/>
      <c r="AX309" s="35"/>
      <c r="AY309" s="35"/>
      <c r="AZ309" s="35"/>
      <c r="BA309" s="35"/>
      <c r="BB309" s="35"/>
      <c r="BC309" s="35"/>
      <c r="BD309" s="35"/>
      <c r="BE309" s="35"/>
      <c r="BF309" s="35"/>
      <c r="BG309" s="35"/>
      <c r="BH309" s="35"/>
      <c r="BI309" s="35"/>
      <c r="BJ309" s="35"/>
      <c r="BK309" s="35"/>
      <c r="BL309" s="35"/>
      <c r="BM309" s="35"/>
      <c r="BN309" s="35"/>
      <c r="BO309" s="35"/>
      <c r="BP309" s="35"/>
      <c r="BQ309" s="35"/>
      <c r="BR309" s="35"/>
      <c r="BS309" s="35"/>
      <c r="BT309" s="35"/>
      <c r="BU309" s="35"/>
      <c r="BV309" s="35"/>
      <c r="BW309" s="35"/>
      <c r="BX309" s="35"/>
      <c r="BY309" s="35"/>
      <c r="BZ309" s="35"/>
      <c r="CA309" s="35"/>
      <c r="CB309" s="35"/>
      <c r="CC309" s="35"/>
      <c r="CD309" s="35"/>
      <c r="CE309" s="35"/>
      <c r="CF309" s="35"/>
      <c r="CG309" s="35"/>
      <c r="CH309" s="35"/>
      <c r="CI309" s="35"/>
      <c r="CJ309" s="35"/>
      <c r="CK309" s="35"/>
      <c r="CL309" s="35"/>
      <c r="CM309" s="35"/>
      <c r="CN309" s="35"/>
      <c r="CO309" s="35"/>
      <c r="CP309" s="35"/>
      <c r="CQ309" s="35"/>
      <c r="CR309" s="35"/>
      <c r="CS309" s="35"/>
      <c r="CT309" s="36"/>
      <c r="CU309" s="35"/>
      <c r="CV309" s="35"/>
      <c r="CW309" s="35"/>
      <c r="CX309" s="35"/>
      <c r="CY309" s="35"/>
      <c r="CZ309" s="36"/>
      <c r="DA309" s="36"/>
      <c r="DB309" s="35"/>
      <c r="DC309" s="35"/>
      <c r="DD309" s="35"/>
      <c r="DE309" s="35"/>
      <c r="DF309" s="35"/>
      <c r="DG309" s="35"/>
      <c r="DH309" s="35"/>
      <c r="DI309" s="35"/>
      <c r="DJ309" s="35"/>
      <c r="DK309" s="35"/>
      <c r="DL309" s="35"/>
      <c r="DM309" s="35"/>
      <c r="DN309" s="35"/>
      <c r="DO309" s="35"/>
      <c r="DP309" s="35"/>
      <c r="DQ309" s="35"/>
      <c r="DR309" s="35"/>
      <c r="DS309" s="35"/>
      <c r="DT309" s="35"/>
      <c r="DU309" s="35"/>
      <c r="DV309" s="35"/>
      <c r="DW309" s="35"/>
      <c r="DX309" s="35"/>
      <c r="DY309" s="35"/>
      <c r="DZ309" s="36"/>
      <c r="EA309" s="35"/>
      <c r="EB309" s="35"/>
      <c r="EC309" s="35"/>
      <c r="ED309" s="35"/>
      <c r="EE309" s="35"/>
      <c r="EF309" s="35"/>
      <c r="EG309" s="35"/>
      <c r="EH309" s="35"/>
      <c r="EI309" s="35"/>
      <c r="EJ309" s="35"/>
      <c r="EK309" s="35"/>
      <c r="EL309" s="35"/>
      <c r="EM309" s="35"/>
      <c r="EN309" s="35"/>
      <c r="EO309" s="35"/>
      <c r="EP309" s="35"/>
      <c r="EQ309" s="35"/>
      <c r="ER309" s="35"/>
      <c r="ES309" s="35"/>
      <c r="ET309" s="35"/>
      <c r="EU309" s="35"/>
      <c r="EV309" s="35"/>
      <c r="EW309" s="35"/>
      <c r="EX309" s="35"/>
      <c r="EY309" s="36"/>
      <c r="EZ309" s="35"/>
      <c r="FA309" s="35"/>
      <c r="FB309" s="35"/>
      <c r="FC309" s="35"/>
      <c r="FD309" s="35"/>
      <c r="FE309" s="35"/>
      <c r="FF309" s="35"/>
      <c r="FG309" s="35">
        <v>1</v>
      </c>
      <c r="FH309" s="35">
        <v>1</v>
      </c>
      <c r="FI309" s="35">
        <v>1</v>
      </c>
      <c r="FJ309" s="35">
        <v>1</v>
      </c>
      <c r="FK309" s="35">
        <v>1</v>
      </c>
      <c r="FL309" s="35">
        <v>1</v>
      </c>
      <c r="FM309" s="93"/>
      <c r="FN309" s="93"/>
      <c r="FO309" s="93"/>
      <c r="FP309" s="93"/>
      <c r="FQ309" s="97"/>
      <c r="FR309" s="8"/>
      <c r="FS309" s="9" t="s">
        <v>13</v>
      </c>
      <c r="FT309" s="9" t="str">
        <f t="shared" si="6370"/>
        <v>10. BAU Transition 10.8 NSTs/ECB Development &amp; Reporting Senior Accountant</v>
      </c>
    </row>
    <row r="310" spans="1:176" s="9" customFormat="1" ht="12" hidden="1" customHeight="1" outlineLevel="1">
      <c r="A310" s="125" t="s">
        <v>4</v>
      </c>
      <c r="B310" s="130" t="s">
        <v>10</v>
      </c>
      <c r="C310" s="131" t="str">
        <f t="shared" si="6366"/>
        <v>10 days</v>
      </c>
      <c r="D310" s="101" t="str">
        <f>$A$264&amp;" "&amp;$A307</f>
        <v xml:space="preserve">10. BAU Transition 10.8 NSTs/ECB Development &amp; Reporting </v>
      </c>
      <c r="E310" s="51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A310" s="35"/>
      <c r="AB310" s="35"/>
      <c r="AC310" s="35"/>
      <c r="AD310" s="35"/>
      <c r="AE310" s="35"/>
      <c r="AF310" s="35"/>
      <c r="AG310" s="35"/>
      <c r="AH310" s="35"/>
      <c r="AI310" s="35"/>
      <c r="AJ310" s="35"/>
      <c r="AK310" s="35"/>
      <c r="AL310" s="36"/>
      <c r="AM310" s="36"/>
      <c r="AN310" s="36"/>
      <c r="AO310" s="36"/>
      <c r="AP310" s="36"/>
      <c r="AQ310" s="36"/>
      <c r="AR310" s="36"/>
      <c r="AS310" s="35"/>
      <c r="AT310" s="35"/>
      <c r="AU310" s="35"/>
      <c r="AV310" s="35"/>
      <c r="AW310" s="35"/>
      <c r="AX310" s="35"/>
      <c r="AY310" s="35"/>
      <c r="AZ310" s="35"/>
      <c r="BA310" s="35"/>
      <c r="BB310" s="35"/>
      <c r="BC310" s="35"/>
      <c r="BD310" s="35"/>
      <c r="BE310" s="35"/>
      <c r="BF310" s="35"/>
      <c r="BG310" s="35"/>
      <c r="BH310" s="35"/>
      <c r="BI310" s="35"/>
      <c r="BJ310" s="35"/>
      <c r="BK310" s="35"/>
      <c r="BL310" s="35"/>
      <c r="BM310" s="35"/>
      <c r="BN310" s="35"/>
      <c r="BO310" s="35"/>
      <c r="BP310" s="35"/>
      <c r="BQ310" s="35"/>
      <c r="BR310" s="35"/>
      <c r="BS310" s="35"/>
      <c r="BT310" s="35"/>
      <c r="BU310" s="35"/>
      <c r="BV310" s="35"/>
      <c r="BW310" s="35"/>
      <c r="BX310" s="35"/>
      <c r="BY310" s="35"/>
      <c r="BZ310" s="35"/>
      <c r="CA310" s="35"/>
      <c r="CB310" s="35"/>
      <c r="CC310" s="35"/>
      <c r="CD310" s="35"/>
      <c r="CE310" s="35"/>
      <c r="CF310" s="35"/>
      <c r="CG310" s="35"/>
      <c r="CH310" s="35"/>
      <c r="CI310" s="35"/>
      <c r="CJ310" s="35"/>
      <c r="CK310" s="35"/>
      <c r="CL310" s="35"/>
      <c r="CM310" s="35"/>
      <c r="CN310" s="35"/>
      <c r="CO310" s="35"/>
      <c r="CP310" s="35"/>
      <c r="CQ310" s="35"/>
      <c r="CR310" s="35"/>
      <c r="CS310" s="35"/>
      <c r="CT310" s="36"/>
      <c r="CU310" s="35"/>
      <c r="CV310" s="35"/>
      <c r="CW310" s="35"/>
      <c r="CX310" s="35"/>
      <c r="CY310" s="35"/>
      <c r="CZ310" s="36"/>
      <c r="DA310" s="36"/>
      <c r="DB310" s="35"/>
      <c r="DC310" s="35"/>
      <c r="DD310" s="35"/>
      <c r="DE310" s="35"/>
      <c r="DF310" s="35"/>
      <c r="DG310" s="35"/>
      <c r="DH310" s="35"/>
      <c r="DI310" s="35"/>
      <c r="DJ310" s="35"/>
      <c r="DK310" s="35"/>
      <c r="DL310" s="35"/>
      <c r="DM310" s="35"/>
      <c r="DN310" s="35"/>
      <c r="DO310" s="35"/>
      <c r="DP310" s="35"/>
      <c r="DQ310" s="35"/>
      <c r="DR310" s="35"/>
      <c r="DS310" s="35"/>
      <c r="DT310" s="35"/>
      <c r="DU310" s="35"/>
      <c r="DV310" s="35"/>
      <c r="DW310" s="35"/>
      <c r="DX310" s="35"/>
      <c r="DY310" s="35"/>
      <c r="DZ310" s="36"/>
      <c r="EA310" s="35"/>
      <c r="EB310" s="35"/>
      <c r="EC310" s="35"/>
      <c r="ED310" s="35"/>
      <c r="EE310" s="35"/>
      <c r="EF310" s="35"/>
      <c r="EG310" s="35"/>
      <c r="EH310" s="35"/>
      <c r="EI310" s="35"/>
      <c r="EJ310" s="35"/>
      <c r="EK310" s="35"/>
      <c r="EL310" s="35"/>
      <c r="EM310" s="35"/>
      <c r="EN310" s="35"/>
      <c r="EO310" s="35"/>
      <c r="EP310" s="35"/>
      <c r="EQ310" s="35"/>
      <c r="ER310" s="35"/>
      <c r="ES310" s="35"/>
      <c r="ET310" s="35"/>
      <c r="EU310" s="35"/>
      <c r="EV310" s="35"/>
      <c r="EW310" s="35"/>
      <c r="EX310" s="35"/>
      <c r="EY310" s="36"/>
      <c r="EZ310" s="35"/>
      <c r="FA310" s="35"/>
      <c r="FB310" s="35"/>
      <c r="FC310" s="35"/>
      <c r="FD310" s="35"/>
      <c r="FE310" s="35"/>
      <c r="FF310" s="35"/>
      <c r="FG310" s="35"/>
      <c r="FH310" s="35">
        <v>1</v>
      </c>
      <c r="FI310" s="35">
        <v>1</v>
      </c>
      <c r="FJ310" s="35">
        <v>1</v>
      </c>
      <c r="FK310" s="35">
        <v>1</v>
      </c>
      <c r="FL310" s="35">
        <v>1</v>
      </c>
      <c r="FM310" s="35">
        <v>1</v>
      </c>
      <c r="FN310" s="35">
        <v>1</v>
      </c>
      <c r="FO310" s="35">
        <v>1</v>
      </c>
      <c r="FP310" s="35">
        <v>1</v>
      </c>
      <c r="FQ310" s="52">
        <v>1</v>
      </c>
      <c r="FR310" s="8"/>
      <c r="FS310" s="9" t="s">
        <v>13</v>
      </c>
      <c r="FT310" s="9" t="str">
        <f t="shared" si="6370"/>
        <v>10. BAU Transition 10.8 NSTs/ECB Development &amp; Reporting Glenn Kirk</v>
      </c>
    </row>
    <row r="311" spans="1:176" s="9" customFormat="1" ht="12" hidden="1" customHeight="1" outlineLevel="1">
      <c r="A311" s="125" t="s">
        <v>4</v>
      </c>
      <c r="B311" s="123" t="s">
        <v>6</v>
      </c>
      <c r="C311" s="124" t="str">
        <f t="shared" si="6366"/>
        <v>1 days</v>
      </c>
      <c r="D311" s="13" t="str">
        <f>$A$264&amp;" "&amp;$A307</f>
        <v xml:space="preserve">10. BAU Transition 10.8 NSTs/ECB Development &amp; Reporting </v>
      </c>
      <c r="E311" s="51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A311" s="35"/>
      <c r="AB311" s="35"/>
      <c r="AC311" s="35"/>
      <c r="AD311" s="35"/>
      <c r="AE311" s="35"/>
      <c r="AF311" s="35"/>
      <c r="AG311" s="35"/>
      <c r="AH311" s="35"/>
      <c r="AI311" s="35"/>
      <c r="AJ311" s="35"/>
      <c r="AK311" s="35"/>
      <c r="AL311" s="36"/>
      <c r="AM311" s="36"/>
      <c r="AN311" s="36"/>
      <c r="AO311" s="36"/>
      <c r="AP311" s="36"/>
      <c r="AQ311" s="36"/>
      <c r="AR311" s="36"/>
      <c r="AS311" s="35"/>
      <c r="AT311" s="35"/>
      <c r="AU311" s="35"/>
      <c r="AV311" s="35"/>
      <c r="AW311" s="35"/>
      <c r="AX311" s="35"/>
      <c r="AY311" s="35"/>
      <c r="AZ311" s="35"/>
      <c r="BA311" s="35"/>
      <c r="BB311" s="35"/>
      <c r="BC311" s="35"/>
      <c r="BD311" s="35"/>
      <c r="BE311" s="35"/>
      <c r="BF311" s="35"/>
      <c r="BG311" s="35"/>
      <c r="BH311" s="35"/>
      <c r="BI311" s="35"/>
      <c r="BJ311" s="35"/>
      <c r="BK311" s="35"/>
      <c r="BL311" s="35"/>
      <c r="BM311" s="35"/>
      <c r="BN311" s="35"/>
      <c r="BO311" s="35"/>
      <c r="BP311" s="35"/>
      <c r="BQ311" s="35"/>
      <c r="BR311" s="35"/>
      <c r="BS311" s="35"/>
      <c r="BT311" s="35"/>
      <c r="BU311" s="35"/>
      <c r="BV311" s="35"/>
      <c r="BW311" s="35"/>
      <c r="BX311" s="35"/>
      <c r="BY311" s="35"/>
      <c r="BZ311" s="35"/>
      <c r="CA311" s="35"/>
      <c r="CB311" s="35"/>
      <c r="CC311" s="35"/>
      <c r="CD311" s="35"/>
      <c r="CE311" s="35"/>
      <c r="CF311" s="35"/>
      <c r="CG311" s="35"/>
      <c r="CH311" s="35"/>
      <c r="CI311" s="35"/>
      <c r="CJ311" s="35"/>
      <c r="CK311" s="35"/>
      <c r="CL311" s="35"/>
      <c r="CM311" s="35"/>
      <c r="CN311" s="35"/>
      <c r="CO311" s="35"/>
      <c r="CP311" s="35"/>
      <c r="CQ311" s="35"/>
      <c r="CR311" s="35"/>
      <c r="CS311" s="35"/>
      <c r="CT311" s="36"/>
      <c r="CU311" s="35"/>
      <c r="CV311" s="35"/>
      <c r="CW311" s="35"/>
      <c r="CX311" s="35"/>
      <c r="CY311" s="35"/>
      <c r="CZ311" s="36"/>
      <c r="DA311" s="36"/>
      <c r="DB311" s="35"/>
      <c r="DC311" s="35"/>
      <c r="DD311" s="35"/>
      <c r="DE311" s="35"/>
      <c r="DF311" s="35"/>
      <c r="DG311" s="35"/>
      <c r="DH311" s="35"/>
      <c r="DI311" s="35"/>
      <c r="DJ311" s="35"/>
      <c r="DK311" s="35"/>
      <c r="DL311" s="35"/>
      <c r="DM311" s="35"/>
      <c r="DN311" s="35"/>
      <c r="DO311" s="35"/>
      <c r="DP311" s="35"/>
      <c r="DQ311" s="35"/>
      <c r="DR311" s="35"/>
      <c r="DS311" s="35"/>
      <c r="DT311" s="35"/>
      <c r="DU311" s="35"/>
      <c r="DV311" s="35"/>
      <c r="DW311" s="35"/>
      <c r="DX311" s="35"/>
      <c r="DY311" s="35"/>
      <c r="DZ311" s="36"/>
      <c r="EA311" s="35"/>
      <c r="EB311" s="35"/>
      <c r="EC311" s="35"/>
      <c r="ED311" s="35"/>
      <c r="EE311" s="35"/>
      <c r="EF311" s="35"/>
      <c r="EG311" s="35"/>
      <c r="EH311" s="35"/>
      <c r="EI311" s="35"/>
      <c r="EJ311" s="35"/>
      <c r="EK311" s="35"/>
      <c r="EL311" s="35"/>
      <c r="EM311" s="35"/>
      <c r="EN311" s="35"/>
      <c r="EO311" s="35"/>
      <c r="EP311" s="35"/>
      <c r="EQ311" s="35"/>
      <c r="ER311" s="35"/>
      <c r="ES311" s="35"/>
      <c r="ET311" s="35"/>
      <c r="EU311" s="35"/>
      <c r="EV311" s="35"/>
      <c r="EW311" s="35"/>
      <c r="EX311" s="35"/>
      <c r="EY311" s="36"/>
      <c r="EZ311" s="35"/>
      <c r="FA311" s="35"/>
      <c r="FB311" s="35"/>
      <c r="FC311" s="35"/>
      <c r="FD311" s="35"/>
      <c r="FE311" s="35"/>
      <c r="FF311" s="35"/>
      <c r="FG311" s="35"/>
      <c r="FH311" s="35"/>
      <c r="FI311" s="35"/>
      <c r="FJ311" s="35"/>
      <c r="FK311" s="35">
        <v>0.5</v>
      </c>
      <c r="FL311" s="35">
        <v>0.5</v>
      </c>
      <c r="FM311" s="93"/>
      <c r="FN311" s="93"/>
      <c r="FO311" s="93"/>
      <c r="FP311" s="93"/>
      <c r="FQ311" s="97"/>
      <c r="FR311" s="8"/>
      <c r="FS311" s="9" t="s">
        <v>13</v>
      </c>
      <c r="FT311" s="9" t="str">
        <f t="shared" si="6370"/>
        <v>10. BAU Transition 10.8 NSTs/ECB Development &amp; Reporting Peter Sherry</v>
      </c>
    </row>
    <row r="312" spans="1:176" s="9" customFormat="1" ht="12" hidden="1" customHeight="1" outlineLevel="1">
      <c r="A312" s="125" t="s">
        <v>4</v>
      </c>
      <c r="B312" s="123" t="s">
        <v>18</v>
      </c>
      <c r="C312" s="124" t="str">
        <f t="shared" si="6366"/>
        <v>3 days</v>
      </c>
      <c r="D312" s="13" t="str">
        <f>$A$264&amp;" "&amp;$A307</f>
        <v xml:space="preserve">10. BAU Transition 10.8 NSTs/ECB Development &amp; Reporting </v>
      </c>
      <c r="E312" s="51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A312" s="35"/>
      <c r="AB312" s="35"/>
      <c r="AC312" s="35"/>
      <c r="AD312" s="35"/>
      <c r="AE312" s="35"/>
      <c r="AF312" s="35"/>
      <c r="AG312" s="35"/>
      <c r="AH312" s="35"/>
      <c r="AI312" s="35"/>
      <c r="AJ312" s="35"/>
      <c r="AK312" s="35"/>
      <c r="AL312" s="36"/>
      <c r="AM312" s="36"/>
      <c r="AN312" s="36"/>
      <c r="AO312" s="36"/>
      <c r="AP312" s="36"/>
      <c r="AQ312" s="36"/>
      <c r="AR312" s="36"/>
      <c r="AS312" s="35"/>
      <c r="AT312" s="35"/>
      <c r="AU312" s="35"/>
      <c r="AV312" s="35"/>
      <c r="AW312" s="35"/>
      <c r="AX312" s="35"/>
      <c r="AY312" s="35"/>
      <c r="AZ312" s="35"/>
      <c r="BA312" s="35"/>
      <c r="BB312" s="35"/>
      <c r="BC312" s="35"/>
      <c r="BD312" s="35"/>
      <c r="BE312" s="35"/>
      <c r="BF312" s="35"/>
      <c r="BG312" s="35"/>
      <c r="BH312" s="35"/>
      <c r="BI312" s="35"/>
      <c r="BJ312" s="35"/>
      <c r="BK312" s="35"/>
      <c r="BL312" s="35"/>
      <c r="BM312" s="35"/>
      <c r="BN312" s="35"/>
      <c r="BO312" s="35"/>
      <c r="BP312" s="35"/>
      <c r="BQ312" s="35"/>
      <c r="BR312" s="35"/>
      <c r="BS312" s="35"/>
      <c r="BT312" s="35"/>
      <c r="BU312" s="35"/>
      <c r="BV312" s="35"/>
      <c r="BW312" s="35"/>
      <c r="BX312" s="35"/>
      <c r="BY312" s="35"/>
      <c r="BZ312" s="35"/>
      <c r="CA312" s="35"/>
      <c r="CB312" s="35"/>
      <c r="CC312" s="35"/>
      <c r="CD312" s="35"/>
      <c r="CE312" s="35"/>
      <c r="CF312" s="35"/>
      <c r="CG312" s="35"/>
      <c r="CH312" s="35"/>
      <c r="CI312" s="35"/>
      <c r="CJ312" s="35"/>
      <c r="CK312" s="35"/>
      <c r="CL312" s="35"/>
      <c r="CM312" s="35"/>
      <c r="CN312" s="35"/>
      <c r="CO312" s="35"/>
      <c r="CP312" s="35"/>
      <c r="CQ312" s="35"/>
      <c r="CR312" s="35"/>
      <c r="CS312" s="35"/>
      <c r="CT312" s="36"/>
      <c r="CU312" s="35"/>
      <c r="CV312" s="35"/>
      <c r="CW312" s="35"/>
      <c r="CX312" s="35"/>
      <c r="CY312" s="35"/>
      <c r="CZ312" s="36"/>
      <c r="DA312" s="36"/>
      <c r="DB312" s="35"/>
      <c r="DC312" s="35"/>
      <c r="DD312" s="35"/>
      <c r="DE312" s="35"/>
      <c r="DF312" s="35"/>
      <c r="DG312" s="35"/>
      <c r="DH312" s="35"/>
      <c r="DI312" s="35"/>
      <c r="DJ312" s="35"/>
      <c r="DK312" s="35"/>
      <c r="DL312" s="35"/>
      <c r="DM312" s="35"/>
      <c r="DN312" s="35"/>
      <c r="DO312" s="35"/>
      <c r="DP312" s="35"/>
      <c r="DQ312" s="35"/>
      <c r="DR312" s="35"/>
      <c r="DS312" s="35"/>
      <c r="DT312" s="35"/>
      <c r="DU312" s="35"/>
      <c r="DV312" s="35"/>
      <c r="DW312" s="35"/>
      <c r="DX312" s="35"/>
      <c r="DY312" s="35"/>
      <c r="DZ312" s="36"/>
      <c r="EA312" s="35"/>
      <c r="EB312" s="35"/>
      <c r="EC312" s="35"/>
      <c r="ED312" s="35"/>
      <c r="EE312" s="35"/>
      <c r="EF312" s="35"/>
      <c r="EG312" s="35"/>
      <c r="EH312" s="35"/>
      <c r="EI312" s="35"/>
      <c r="EJ312" s="35"/>
      <c r="EK312" s="35"/>
      <c r="EL312" s="35"/>
      <c r="EM312" s="35"/>
      <c r="EN312" s="35"/>
      <c r="EO312" s="35"/>
      <c r="EP312" s="35"/>
      <c r="EQ312" s="35"/>
      <c r="ER312" s="35"/>
      <c r="ES312" s="35"/>
      <c r="ET312" s="35"/>
      <c r="EU312" s="35"/>
      <c r="EV312" s="35"/>
      <c r="EW312" s="35"/>
      <c r="EX312" s="35"/>
      <c r="EY312" s="36"/>
      <c r="EZ312" s="35"/>
      <c r="FA312" s="35"/>
      <c r="FB312" s="35"/>
      <c r="FC312" s="35"/>
      <c r="FD312" s="35"/>
      <c r="FE312" s="35"/>
      <c r="FF312" s="35"/>
      <c r="FG312" s="35"/>
      <c r="FH312" s="35">
        <v>1</v>
      </c>
      <c r="FI312" s="35">
        <v>1</v>
      </c>
      <c r="FJ312" s="35">
        <v>1</v>
      </c>
      <c r="FK312" s="35"/>
      <c r="FL312" s="35"/>
      <c r="FM312" s="35"/>
      <c r="FN312" s="35"/>
      <c r="FO312" s="35"/>
      <c r="FP312" s="35"/>
      <c r="FQ312" s="52"/>
      <c r="FR312" s="8"/>
      <c r="FS312" s="9" t="s">
        <v>13</v>
      </c>
      <c r="FT312" s="9" t="str">
        <f t="shared" si="6370"/>
        <v>10. BAU Transition 10.8 NSTs/ECB Development &amp; Reporting TM1 Analyst</v>
      </c>
    </row>
    <row r="313" spans="1:176" ht="12" customHeight="1" collapsed="1">
      <c r="A313" s="116" t="s">
        <v>101</v>
      </c>
      <c r="B313" s="132"/>
      <c r="C313" s="118" t="str">
        <f t="shared" si="6366"/>
        <v>21 days</v>
      </c>
      <c r="D313" s="26"/>
      <c r="E313" s="89">
        <f>IF(SUBTOTAL(9,E315:E317,E319:E321)&gt;0,SUBTOTAL(9,E315:E317,E319:E321),"")</f>
        <v>0.9</v>
      </c>
      <c r="F313" s="32">
        <f t="shared" ref="F313:AL313" si="6394">IF(SUBTOTAL(9,F315:F317,F319:F321)&gt;0,SUBTOTAL(9,F315:F317,F319:F321),"")</f>
        <v>0.9</v>
      </c>
      <c r="G313" s="32">
        <f t="shared" si="6394"/>
        <v>0.9</v>
      </c>
      <c r="H313" s="32">
        <f t="shared" si="6394"/>
        <v>0.9</v>
      </c>
      <c r="I313" s="32">
        <f t="shared" si="6394"/>
        <v>0.9</v>
      </c>
      <c r="J313" s="32">
        <f t="shared" si="6394"/>
        <v>0.5</v>
      </c>
      <c r="K313" s="32">
        <f t="shared" si="6394"/>
        <v>0.5</v>
      </c>
      <c r="L313" s="32">
        <f t="shared" si="6394"/>
        <v>0.5</v>
      </c>
      <c r="M313" s="32">
        <f t="shared" si="6394"/>
        <v>0.5</v>
      </c>
      <c r="N313" s="32">
        <f t="shared" si="6394"/>
        <v>0.5</v>
      </c>
      <c r="O313" s="32">
        <f t="shared" si="6394"/>
        <v>0.5</v>
      </c>
      <c r="P313" s="32">
        <f t="shared" si="6394"/>
        <v>0.75</v>
      </c>
      <c r="Q313" s="32" t="str">
        <f t="shared" si="6394"/>
        <v/>
      </c>
      <c r="R313" s="32" t="str">
        <f t="shared" si="6394"/>
        <v/>
      </c>
      <c r="S313" s="32">
        <f t="shared" si="6394"/>
        <v>0.75</v>
      </c>
      <c r="T313" s="32" t="str">
        <f t="shared" si="6394"/>
        <v/>
      </c>
      <c r="U313" s="32">
        <f t="shared" si="6394"/>
        <v>0.5</v>
      </c>
      <c r="V313" s="32">
        <f t="shared" si="6394"/>
        <v>0.5</v>
      </c>
      <c r="W313" s="32">
        <f t="shared" si="6394"/>
        <v>0.5</v>
      </c>
      <c r="X313" s="32">
        <f t="shared" si="6394"/>
        <v>0.5</v>
      </c>
      <c r="Y313" s="32">
        <f t="shared" si="6394"/>
        <v>0.4</v>
      </c>
      <c r="Z313" s="32">
        <f t="shared" si="6394"/>
        <v>0.35</v>
      </c>
      <c r="AA313" s="32">
        <f t="shared" si="6394"/>
        <v>0.65</v>
      </c>
      <c r="AB313" s="32">
        <f t="shared" si="6394"/>
        <v>0.65</v>
      </c>
      <c r="AC313" s="32">
        <f t="shared" si="6394"/>
        <v>0.45</v>
      </c>
      <c r="AD313" s="32">
        <f t="shared" si="6394"/>
        <v>0.7</v>
      </c>
      <c r="AE313" s="32">
        <f t="shared" si="6394"/>
        <v>0.25</v>
      </c>
      <c r="AF313" s="32">
        <f t="shared" si="6394"/>
        <v>0.45</v>
      </c>
      <c r="AG313" s="32">
        <f t="shared" si="6394"/>
        <v>0.55000000000000004</v>
      </c>
      <c r="AH313" s="32">
        <f t="shared" si="6394"/>
        <v>0.5</v>
      </c>
      <c r="AI313" s="32" t="str">
        <f t="shared" si="6394"/>
        <v/>
      </c>
      <c r="AJ313" s="32" t="str">
        <f t="shared" si="6394"/>
        <v/>
      </c>
      <c r="AK313" s="32" t="str">
        <f t="shared" si="6394"/>
        <v/>
      </c>
      <c r="AL313" s="33" t="str">
        <f t="shared" si="6394"/>
        <v/>
      </c>
      <c r="AM313" s="33" t="str">
        <f t="shared" ref="AM313:AR313" si="6395">IF(SUBTOTAL(9,AM315:AM316,AM319:AM320)&gt;0,SUBTOTAL(9,AM315:AM316,AM319:AM320),"")</f>
        <v/>
      </c>
      <c r="AN313" s="33" t="str">
        <f t="shared" si="6395"/>
        <v/>
      </c>
      <c r="AO313" s="33" t="str">
        <f t="shared" si="6395"/>
        <v/>
      </c>
      <c r="AP313" s="33" t="str">
        <f t="shared" si="6395"/>
        <v/>
      </c>
      <c r="AQ313" s="33" t="str">
        <f t="shared" si="6395"/>
        <v/>
      </c>
      <c r="AR313" s="33" t="str">
        <f t="shared" si="6395"/>
        <v/>
      </c>
      <c r="AS313" s="32">
        <f>IF(SUBTOTAL(9,AS315:AS317,AS319:AS321)&gt;0,SUBTOTAL(9,AS315:AS317,AS319:AS321),"")</f>
        <v>0.3</v>
      </c>
      <c r="AT313" s="32">
        <f t="shared" ref="AT313:DE313" si="6396">IF(SUBTOTAL(9,AT315:AT317,AT319:AT321)&gt;0,SUBTOTAL(9,AT315:AT317,AT319:AT321),"")</f>
        <v>0.6</v>
      </c>
      <c r="AU313" s="32">
        <f t="shared" si="6396"/>
        <v>0.3</v>
      </c>
      <c r="AV313" s="32" t="str">
        <f t="shared" si="6396"/>
        <v/>
      </c>
      <c r="AW313" s="32">
        <f t="shared" si="6396"/>
        <v>0.45</v>
      </c>
      <c r="AX313" s="32">
        <f t="shared" si="6396"/>
        <v>0.3</v>
      </c>
      <c r="AY313" s="32">
        <f t="shared" si="6396"/>
        <v>0.65</v>
      </c>
      <c r="AZ313" s="32">
        <f t="shared" si="6396"/>
        <v>0.8</v>
      </c>
      <c r="BA313" s="32">
        <f t="shared" si="6396"/>
        <v>0.4</v>
      </c>
      <c r="BB313" s="32" t="str">
        <f t="shared" si="6396"/>
        <v/>
      </c>
      <c r="BC313" s="32">
        <f t="shared" si="6396"/>
        <v>0.3</v>
      </c>
      <c r="BD313" s="32">
        <f t="shared" si="6396"/>
        <v>0.4</v>
      </c>
      <c r="BE313" s="32" t="str">
        <f t="shared" si="6396"/>
        <v/>
      </c>
      <c r="BF313" s="32" t="str">
        <f t="shared" si="6396"/>
        <v/>
      </c>
      <c r="BG313" s="32" t="str">
        <f t="shared" si="6396"/>
        <v/>
      </c>
      <c r="BH313" s="32">
        <f t="shared" si="6396"/>
        <v>0.15</v>
      </c>
      <c r="BI313" s="32">
        <f t="shared" si="6396"/>
        <v>0.5</v>
      </c>
      <c r="BJ313" s="32">
        <f t="shared" si="6396"/>
        <v>0.1</v>
      </c>
      <c r="BK313" s="32">
        <f t="shared" si="6396"/>
        <v>0.25</v>
      </c>
      <c r="BL313" s="32" t="str">
        <f t="shared" si="6396"/>
        <v/>
      </c>
      <c r="BM313" s="32" t="str">
        <f t="shared" si="6396"/>
        <v/>
      </c>
      <c r="BN313" s="32" t="str">
        <f t="shared" si="6396"/>
        <v/>
      </c>
      <c r="BO313" s="32" t="str">
        <f t="shared" si="6396"/>
        <v/>
      </c>
      <c r="BP313" s="32" t="str">
        <f t="shared" si="6396"/>
        <v/>
      </c>
      <c r="BQ313" s="32" t="str">
        <f t="shared" si="6396"/>
        <v/>
      </c>
      <c r="BR313" s="32" t="str">
        <f t="shared" si="6396"/>
        <v/>
      </c>
      <c r="BS313" s="32" t="str">
        <f t="shared" si="6396"/>
        <v/>
      </c>
      <c r="BT313" s="32" t="str">
        <f t="shared" si="6396"/>
        <v/>
      </c>
      <c r="BU313" s="32" t="str">
        <f t="shared" si="6396"/>
        <v/>
      </c>
      <c r="BV313" s="32" t="str">
        <f t="shared" si="6396"/>
        <v/>
      </c>
      <c r="BW313" s="32" t="str">
        <f t="shared" si="6396"/>
        <v/>
      </c>
      <c r="BX313" s="32" t="str">
        <f t="shared" si="6396"/>
        <v/>
      </c>
      <c r="BY313" s="32" t="str">
        <f t="shared" si="6396"/>
        <v/>
      </c>
      <c r="BZ313" s="32" t="str">
        <f t="shared" si="6396"/>
        <v/>
      </c>
      <c r="CA313" s="32" t="str">
        <f t="shared" si="6396"/>
        <v/>
      </c>
      <c r="CB313" s="32" t="str">
        <f t="shared" si="6396"/>
        <v/>
      </c>
      <c r="CC313" s="32" t="str">
        <f t="shared" si="6396"/>
        <v/>
      </c>
      <c r="CD313" s="32" t="str">
        <f t="shared" si="6396"/>
        <v/>
      </c>
      <c r="CE313" s="32" t="str">
        <f t="shared" si="6396"/>
        <v/>
      </c>
      <c r="CF313" s="32" t="str">
        <f t="shared" si="6396"/>
        <v/>
      </c>
      <c r="CG313" s="32" t="str">
        <f t="shared" si="6396"/>
        <v/>
      </c>
      <c r="CH313" s="32" t="str">
        <f t="shared" si="6396"/>
        <v/>
      </c>
      <c r="CI313" s="32" t="str">
        <f t="shared" si="6396"/>
        <v/>
      </c>
      <c r="CJ313" s="32" t="str">
        <f t="shared" si="6396"/>
        <v/>
      </c>
      <c r="CK313" s="32" t="str">
        <f t="shared" si="6396"/>
        <v/>
      </c>
      <c r="CL313" s="32" t="str">
        <f t="shared" si="6396"/>
        <v/>
      </c>
      <c r="CM313" s="32" t="str">
        <f t="shared" si="6396"/>
        <v/>
      </c>
      <c r="CN313" s="32" t="str">
        <f t="shared" si="6396"/>
        <v/>
      </c>
      <c r="CO313" s="32" t="str">
        <f t="shared" si="6396"/>
        <v/>
      </c>
      <c r="CP313" s="32" t="str">
        <f t="shared" si="6396"/>
        <v/>
      </c>
      <c r="CQ313" s="32" t="str">
        <f t="shared" si="6396"/>
        <v/>
      </c>
      <c r="CR313" s="32" t="str">
        <f t="shared" si="6396"/>
        <v/>
      </c>
      <c r="CS313" s="32" t="str">
        <f t="shared" si="6396"/>
        <v/>
      </c>
      <c r="CT313" s="33" t="str">
        <f t="shared" si="6396"/>
        <v/>
      </c>
      <c r="CU313" s="32" t="str">
        <f t="shared" si="6396"/>
        <v/>
      </c>
      <c r="CV313" s="32" t="str">
        <f t="shared" si="6396"/>
        <v/>
      </c>
      <c r="CW313" s="32" t="str">
        <f t="shared" si="6396"/>
        <v/>
      </c>
      <c r="CX313" s="32" t="str">
        <f t="shared" si="6396"/>
        <v/>
      </c>
      <c r="CY313" s="32" t="str">
        <f t="shared" si="6396"/>
        <v/>
      </c>
      <c r="CZ313" s="33" t="str">
        <f t="shared" si="6396"/>
        <v/>
      </c>
      <c r="DA313" s="33" t="str">
        <f t="shared" si="6396"/>
        <v/>
      </c>
      <c r="DB313" s="32" t="str">
        <f t="shared" si="6396"/>
        <v/>
      </c>
      <c r="DC313" s="32" t="str">
        <f t="shared" si="6396"/>
        <v/>
      </c>
      <c r="DD313" s="32" t="str">
        <f t="shared" si="6396"/>
        <v/>
      </c>
      <c r="DE313" s="32" t="str">
        <f t="shared" si="6396"/>
        <v/>
      </c>
      <c r="DF313" s="32" t="str">
        <f t="shared" ref="DF313:FQ313" si="6397">IF(SUBTOTAL(9,DF315:DF317,DF319:DF321)&gt;0,SUBTOTAL(9,DF315:DF317,DF319:DF321),"")</f>
        <v/>
      </c>
      <c r="DG313" s="32" t="str">
        <f t="shared" si="6397"/>
        <v/>
      </c>
      <c r="DH313" s="32" t="str">
        <f t="shared" si="6397"/>
        <v/>
      </c>
      <c r="DI313" s="32" t="str">
        <f t="shared" si="6397"/>
        <v/>
      </c>
      <c r="DJ313" s="32" t="str">
        <f t="shared" si="6397"/>
        <v/>
      </c>
      <c r="DK313" s="32" t="str">
        <f t="shared" si="6397"/>
        <v/>
      </c>
      <c r="DL313" s="32" t="str">
        <f t="shared" si="6397"/>
        <v/>
      </c>
      <c r="DM313" s="32" t="str">
        <f t="shared" si="6397"/>
        <v/>
      </c>
      <c r="DN313" s="32" t="str">
        <f t="shared" si="6397"/>
        <v/>
      </c>
      <c r="DO313" s="32" t="str">
        <f t="shared" si="6397"/>
        <v/>
      </c>
      <c r="DP313" s="32" t="str">
        <f t="shared" si="6397"/>
        <v/>
      </c>
      <c r="DQ313" s="32" t="str">
        <f t="shared" si="6397"/>
        <v/>
      </c>
      <c r="DR313" s="32" t="str">
        <f t="shared" si="6397"/>
        <v/>
      </c>
      <c r="DS313" s="32" t="str">
        <f t="shared" si="6397"/>
        <v/>
      </c>
      <c r="DT313" s="32" t="str">
        <f t="shared" si="6397"/>
        <v/>
      </c>
      <c r="DU313" s="32" t="str">
        <f t="shared" si="6397"/>
        <v/>
      </c>
      <c r="DV313" s="32" t="str">
        <f t="shared" si="6397"/>
        <v/>
      </c>
      <c r="DW313" s="32" t="str">
        <f t="shared" si="6397"/>
        <v/>
      </c>
      <c r="DX313" s="32" t="str">
        <f t="shared" si="6397"/>
        <v/>
      </c>
      <c r="DY313" s="32" t="str">
        <f t="shared" si="6397"/>
        <v/>
      </c>
      <c r="DZ313" s="33" t="str">
        <f t="shared" si="6397"/>
        <v/>
      </c>
      <c r="EA313" s="32" t="str">
        <f t="shared" si="6397"/>
        <v/>
      </c>
      <c r="EB313" s="32" t="str">
        <f t="shared" si="6397"/>
        <v/>
      </c>
      <c r="EC313" s="32" t="str">
        <f t="shared" si="6397"/>
        <v/>
      </c>
      <c r="ED313" s="32" t="str">
        <f t="shared" si="6397"/>
        <v/>
      </c>
      <c r="EE313" s="32" t="str">
        <f t="shared" si="6397"/>
        <v/>
      </c>
      <c r="EF313" s="32" t="str">
        <f t="shared" si="6397"/>
        <v/>
      </c>
      <c r="EG313" s="32" t="str">
        <f t="shared" si="6397"/>
        <v/>
      </c>
      <c r="EH313" s="32" t="str">
        <f t="shared" si="6397"/>
        <v/>
      </c>
      <c r="EI313" s="32" t="str">
        <f t="shared" si="6397"/>
        <v/>
      </c>
      <c r="EJ313" s="32" t="str">
        <f t="shared" si="6397"/>
        <v/>
      </c>
      <c r="EK313" s="32" t="str">
        <f t="shared" si="6397"/>
        <v/>
      </c>
      <c r="EL313" s="32" t="str">
        <f t="shared" si="6397"/>
        <v/>
      </c>
      <c r="EM313" s="32" t="str">
        <f t="shared" si="6397"/>
        <v/>
      </c>
      <c r="EN313" s="32" t="str">
        <f t="shared" si="6397"/>
        <v/>
      </c>
      <c r="EO313" s="32" t="str">
        <f t="shared" si="6397"/>
        <v/>
      </c>
      <c r="EP313" s="32" t="str">
        <f t="shared" si="6397"/>
        <v/>
      </c>
      <c r="EQ313" s="32" t="str">
        <f t="shared" si="6397"/>
        <v/>
      </c>
      <c r="ER313" s="32" t="str">
        <f t="shared" si="6397"/>
        <v/>
      </c>
      <c r="ES313" s="32" t="str">
        <f t="shared" si="6397"/>
        <v/>
      </c>
      <c r="ET313" s="32" t="str">
        <f t="shared" si="6397"/>
        <v/>
      </c>
      <c r="EU313" s="32" t="str">
        <f t="shared" si="6397"/>
        <v/>
      </c>
      <c r="EV313" s="32" t="str">
        <f t="shared" si="6397"/>
        <v/>
      </c>
      <c r="EW313" s="32" t="str">
        <f t="shared" si="6397"/>
        <v/>
      </c>
      <c r="EX313" s="32" t="str">
        <f t="shared" si="6397"/>
        <v/>
      </c>
      <c r="EY313" s="33" t="str">
        <f t="shared" si="6397"/>
        <v/>
      </c>
      <c r="EZ313" s="32" t="str">
        <f t="shared" si="6397"/>
        <v/>
      </c>
      <c r="FA313" s="32" t="str">
        <f t="shared" si="6397"/>
        <v/>
      </c>
      <c r="FB313" s="32" t="str">
        <f t="shared" si="6397"/>
        <v/>
      </c>
      <c r="FC313" s="32" t="str">
        <f t="shared" si="6397"/>
        <v/>
      </c>
      <c r="FD313" s="32" t="str">
        <f t="shared" si="6397"/>
        <v/>
      </c>
      <c r="FE313" s="32" t="str">
        <f t="shared" si="6397"/>
        <v/>
      </c>
      <c r="FF313" s="32" t="str">
        <f t="shared" si="6397"/>
        <v/>
      </c>
      <c r="FG313" s="32" t="str">
        <f t="shared" si="6397"/>
        <v/>
      </c>
      <c r="FH313" s="32" t="str">
        <f t="shared" si="6397"/>
        <v/>
      </c>
      <c r="FI313" s="32" t="str">
        <f t="shared" si="6397"/>
        <v/>
      </c>
      <c r="FJ313" s="32" t="str">
        <f t="shared" si="6397"/>
        <v/>
      </c>
      <c r="FK313" s="32" t="str">
        <f t="shared" si="6397"/>
        <v/>
      </c>
      <c r="FL313" s="32" t="str">
        <f t="shared" si="6397"/>
        <v/>
      </c>
      <c r="FM313" s="32" t="str">
        <f t="shared" si="6397"/>
        <v/>
      </c>
      <c r="FN313" s="32" t="str">
        <f t="shared" si="6397"/>
        <v/>
      </c>
      <c r="FO313" s="32" t="str">
        <f t="shared" si="6397"/>
        <v/>
      </c>
      <c r="FP313" s="32" t="str">
        <f t="shared" si="6397"/>
        <v/>
      </c>
      <c r="FQ313" s="90" t="str">
        <f t="shared" si="6397"/>
        <v/>
      </c>
      <c r="FS313" s="9" t="s">
        <v>131</v>
      </c>
      <c r="FT313" s="9" t="str">
        <f t="shared" si="6370"/>
        <v/>
      </c>
    </row>
    <row r="314" spans="1:176" ht="12" customHeight="1">
      <c r="A314" s="119" t="s">
        <v>102</v>
      </c>
      <c r="B314" s="127"/>
      <c r="C314" s="128" t="str">
        <f t="shared" si="6366"/>
        <v>16 days</v>
      </c>
      <c r="D314" s="37"/>
      <c r="E314" s="91">
        <f t="shared" ref="E314:BL314" si="6398">IF(SUBTOTAL(9,E315:E317)&gt;0,SUBTOTAL(9,E315:E317),"")</f>
        <v>0.9</v>
      </c>
      <c r="F314" s="34">
        <f t="shared" si="6398"/>
        <v>0.9</v>
      </c>
      <c r="G314" s="34">
        <f t="shared" si="6398"/>
        <v>0.9</v>
      </c>
      <c r="H314" s="34">
        <f t="shared" si="6398"/>
        <v>0.9</v>
      </c>
      <c r="I314" s="34">
        <f t="shared" si="6398"/>
        <v>0.9</v>
      </c>
      <c r="J314" s="34">
        <f t="shared" si="6398"/>
        <v>0.5</v>
      </c>
      <c r="K314" s="34">
        <f t="shared" si="6398"/>
        <v>0.5</v>
      </c>
      <c r="L314" s="34">
        <f t="shared" si="6398"/>
        <v>0.5</v>
      </c>
      <c r="M314" s="34">
        <f t="shared" si="6398"/>
        <v>0.5</v>
      </c>
      <c r="N314" s="34">
        <f t="shared" si="6398"/>
        <v>0.5</v>
      </c>
      <c r="O314" s="34">
        <f t="shared" si="6398"/>
        <v>0.5</v>
      </c>
      <c r="P314" s="34">
        <f t="shared" si="6398"/>
        <v>0.75</v>
      </c>
      <c r="Q314" s="34" t="str">
        <f t="shared" si="6398"/>
        <v/>
      </c>
      <c r="R314" s="34" t="str">
        <f t="shared" si="6398"/>
        <v/>
      </c>
      <c r="S314" s="34">
        <f t="shared" si="6398"/>
        <v>0.75</v>
      </c>
      <c r="T314" s="34" t="str">
        <f t="shared" si="6398"/>
        <v/>
      </c>
      <c r="U314" s="34">
        <f t="shared" si="6398"/>
        <v>0.5</v>
      </c>
      <c r="V314" s="34">
        <f t="shared" si="6398"/>
        <v>0.5</v>
      </c>
      <c r="W314" s="34">
        <f t="shared" si="6398"/>
        <v>0.5</v>
      </c>
      <c r="X314" s="34">
        <f t="shared" si="6398"/>
        <v>0.5</v>
      </c>
      <c r="Y314" s="34">
        <f t="shared" si="6398"/>
        <v>0.4</v>
      </c>
      <c r="Z314" s="34">
        <f t="shared" si="6398"/>
        <v>0.35</v>
      </c>
      <c r="AA314" s="34">
        <f t="shared" si="6398"/>
        <v>0.65</v>
      </c>
      <c r="AB314" s="34">
        <f t="shared" si="6398"/>
        <v>0.65</v>
      </c>
      <c r="AC314" s="34">
        <f t="shared" si="6398"/>
        <v>0.45</v>
      </c>
      <c r="AD314" s="34">
        <f t="shared" si="6398"/>
        <v>0.7</v>
      </c>
      <c r="AE314" s="34">
        <f t="shared" si="6398"/>
        <v>0.25</v>
      </c>
      <c r="AF314" s="34">
        <f t="shared" si="6398"/>
        <v>0.45</v>
      </c>
      <c r="AG314" s="34">
        <f t="shared" si="6398"/>
        <v>0.55000000000000004</v>
      </c>
      <c r="AH314" s="34">
        <f t="shared" si="6398"/>
        <v>0.5</v>
      </c>
      <c r="AI314" s="34" t="str">
        <f t="shared" si="6398"/>
        <v/>
      </c>
      <c r="AJ314" s="34" t="str">
        <f t="shared" si="6398"/>
        <v/>
      </c>
      <c r="AK314" s="34" t="str">
        <f t="shared" si="6398"/>
        <v/>
      </c>
      <c r="AL314" s="33" t="str">
        <f t="shared" si="6398"/>
        <v/>
      </c>
      <c r="AM314" s="33" t="str">
        <f t="shared" si="6398"/>
        <v/>
      </c>
      <c r="AN314" s="33" t="str">
        <f t="shared" si="6398"/>
        <v/>
      </c>
      <c r="AO314" s="33" t="str">
        <f t="shared" si="6398"/>
        <v/>
      </c>
      <c r="AP314" s="33" t="str">
        <f t="shared" si="6398"/>
        <v/>
      </c>
      <c r="AQ314" s="33" t="str">
        <f t="shared" si="6398"/>
        <v/>
      </c>
      <c r="AR314" s="33" t="str">
        <f t="shared" si="6398"/>
        <v/>
      </c>
      <c r="AS314" s="34" t="str">
        <f t="shared" si="6398"/>
        <v/>
      </c>
      <c r="AT314" s="34" t="str">
        <f t="shared" si="6398"/>
        <v/>
      </c>
      <c r="AU314" s="34" t="str">
        <f t="shared" si="6398"/>
        <v/>
      </c>
      <c r="AV314" s="34" t="str">
        <f t="shared" si="6398"/>
        <v/>
      </c>
      <c r="AW314" s="34" t="str">
        <f t="shared" si="6398"/>
        <v/>
      </c>
      <c r="AX314" s="34" t="str">
        <f t="shared" si="6398"/>
        <v/>
      </c>
      <c r="AY314" s="34" t="str">
        <f t="shared" si="6398"/>
        <v/>
      </c>
      <c r="AZ314" s="34" t="str">
        <f t="shared" si="6398"/>
        <v/>
      </c>
      <c r="BA314" s="34" t="str">
        <f t="shared" si="6398"/>
        <v/>
      </c>
      <c r="BB314" s="34" t="str">
        <f t="shared" si="6398"/>
        <v/>
      </c>
      <c r="BC314" s="34" t="str">
        <f t="shared" si="6398"/>
        <v/>
      </c>
      <c r="BD314" s="34" t="str">
        <f t="shared" si="6398"/>
        <v/>
      </c>
      <c r="BE314" s="34" t="str">
        <f t="shared" si="6398"/>
        <v/>
      </c>
      <c r="BF314" s="34" t="str">
        <f t="shared" si="6398"/>
        <v/>
      </c>
      <c r="BG314" s="34" t="str">
        <f t="shared" si="6398"/>
        <v/>
      </c>
      <c r="BH314" s="34" t="str">
        <f t="shared" si="6398"/>
        <v/>
      </c>
      <c r="BI314" s="34" t="str">
        <f t="shared" si="6398"/>
        <v/>
      </c>
      <c r="BJ314" s="34" t="str">
        <f t="shared" si="6398"/>
        <v/>
      </c>
      <c r="BK314" s="34" t="str">
        <f t="shared" si="6398"/>
        <v/>
      </c>
      <c r="BL314" s="34" t="str">
        <f t="shared" si="6398"/>
        <v/>
      </c>
      <c r="BM314" s="34" t="str">
        <f t="shared" ref="BM314:DX314" si="6399">IF(SUBTOTAL(9,BM315:BM317)&gt;0,SUBTOTAL(9,BM315:BM317),"")</f>
        <v/>
      </c>
      <c r="BN314" s="34" t="str">
        <f t="shared" si="6399"/>
        <v/>
      </c>
      <c r="BO314" s="34" t="str">
        <f t="shared" si="6399"/>
        <v/>
      </c>
      <c r="BP314" s="34" t="str">
        <f t="shared" si="6399"/>
        <v/>
      </c>
      <c r="BQ314" s="34" t="str">
        <f t="shared" si="6399"/>
        <v/>
      </c>
      <c r="BR314" s="34" t="str">
        <f t="shared" si="6399"/>
        <v/>
      </c>
      <c r="BS314" s="34" t="str">
        <f t="shared" si="6399"/>
        <v/>
      </c>
      <c r="BT314" s="34" t="str">
        <f t="shared" si="6399"/>
        <v/>
      </c>
      <c r="BU314" s="34" t="str">
        <f t="shared" si="6399"/>
        <v/>
      </c>
      <c r="BV314" s="34" t="str">
        <f t="shared" si="6399"/>
        <v/>
      </c>
      <c r="BW314" s="34" t="str">
        <f t="shared" si="6399"/>
        <v/>
      </c>
      <c r="BX314" s="34" t="str">
        <f t="shared" si="6399"/>
        <v/>
      </c>
      <c r="BY314" s="34" t="str">
        <f t="shared" si="6399"/>
        <v/>
      </c>
      <c r="BZ314" s="34" t="str">
        <f t="shared" si="6399"/>
        <v/>
      </c>
      <c r="CA314" s="34" t="str">
        <f t="shared" si="6399"/>
        <v/>
      </c>
      <c r="CB314" s="34" t="str">
        <f t="shared" si="6399"/>
        <v/>
      </c>
      <c r="CC314" s="34" t="str">
        <f t="shared" si="6399"/>
        <v/>
      </c>
      <c r="CD314" s="34" t="str">
        <f t="shared" si="6399"/>
        <v/>
      </c>
      <c r="CE314" s="34" t="str">
        <f t="shared" si="6399"/>
        <v/>
      </c>
      <c r="CF314" s="34" t="str">
        <f t="shared" si="6399"/>
        <v/>
      </c>
      <c r="CG314" s="34" t="str">
        <f t="shared" si="6399"/>
        <v/>
      </c>
      <c r="CH314" s="34" t="str">
        <f t="shared" si="6399"/>
        <v/>
      </c>
      <c r="CI314" s="34" t="str">
        <f t="shared" si="6399"/>
        <v/>
      </c>
      <c r="CJ314" s="34" t="str">
        <f t="shared" si="6399"/>
        <v/>
      </c>
      <c r="CK314" s="34" t="str">
        <f t="shared" si="6399"/>
        <v/>
      </c>
      <c r="CL314" s="34" t="str">
        <f t="shared" si="6399"/>
        <v/>
      </c>
      <c r="CM314" s="34" t="str">
        <f t="shared" si="6399"/>
        <v/>
      </c>
      <c r="CN314" s="34" t="str">
        <f t="shared" si="6399"/>
        <v/>
      </c>
      <c r="CO314" s="34" t="str">
        <f t="shared" si="6399"/>
        <v/>
      </c>
      <c r="CP314" s="34" t="str">
        <f t="shared" si="6399"/>
        <v/>
      </c>
      <c r="CQ314" s="34" t="str">
        <f t="shared" si="6399"/>
        <v/>
      </c>
      <c r="CR314" s="34" t="str">
        <f t="shared" si="6399"/>
        <v/>
      </c>
      <c r="CS314" s="34" t="str">
        <f t="shared" si="6399"/>
        <v/>
      </c>
      <c r="CT314" s="33" t="str">
        <f t="shared" si="6399"/>
        <v/>
      </c>
      <c r="CU314" s="34" t="str">
        <f t="shared" si="6399"/>
        <v/>
      </c>
      <c r="CV314" s="34" t="str">
        <f t="shared" si="6399"/>
        <v/>
      </c>
      <c r="CW314" s="34" t="str">
        <f t="shared" si="6399"/>
        <v/>
      </c>
      <c r="CX314" s="34" t="str">
        <f t="shared" si="6399"/>
        <v/>
      </c>
      <c r="CY314" s="34" t="str">
        <f t="shared" si="6399"/>
        <v/>
      </c>
      <c r="CZ314" s="33" t="str">
        <f t="shared" si="6399"/>
        <v/>
      </c>
      <c r="DA314" s="33" t="str">
        <f t="shared" si="6399"/>
        <v/>
      </c>
      <c r="DB314" s="34" t="str">
        <f t="shared" si="6399"/>
        <v/>
      </c>
      <c r="DC314" s="34" t="str">
        <f t="shared" si="6399"/>
        <v/>
      </c>
      <c r="DD314" s="34" t="str">
        <f t="shared" si="6399"/>
        <v/>
      </c>
      <c r="DE314" s="34" t="str">
        <f t="shared" si="6399"/>
        <v/>
      </c>
      <c r="DF314" s="34" t="str">
        <f t="shared" si="6399"/>
        <v/>
      </c>
      <c r="DG314" s="34" t="str">
        <f t="shared" si="6399"/>
        <v/>
      </c>
      <c r="DH314" s="34" t="str">
        <f t="shared" si="6399"/>
        <v/>
      </c>
      <c r="DI314" s="34" t="str">
        <f t="shared" si="6399"/>
        <v/>
      </c>
      <c r="DJ314" s="34" t="str">
        <f t="shared" si="6399"/>
        <v/>
      </c>
      <c r="DK314" s="34" t="str">
        <f t="shared" si="6399"/>
        <v/>
      </c>
      <c r="DL314" s="34" t="str">
        <f t="shared" si="6399"/>
        <v/>
      </c>
      <c r="DM314" s="34" t="str">
        <f t="shared" si="6399"/>
        <v/>
      </c>
      <c r="DN314" s="34" t="str">
        <f t="shared" si="6399"/>
        <v/>
      </c>
      <c r="DO314" s="34" t="str">
        <f t="shared" si="6399"/>
        <v/>
      </c>
      <c r="DP314" s="34" t="str">
        <f t="shared" si="6399"/>
        <v/>
      </c>
      <c r="DQ314" s="34" t="str">
        <f t="shared" si="6399"/>
        <v/>
      </c>
      <c r="DR314" s="34" t="str">
        <f t="shared" si="6399"/>
        <v/>
      </c>
      <c r="DS314" s="34" t="str">
        <f t="shared" si="6399"/>
        <v/>
      </c>
      <c r="DT314" s="34" t="str">
        <f t="shared" si="6399"/>
        <v/>
      </c>
      <c r="DU314" s="34" t="str">
        <f t="shared" si="6399"/>
        <v/>
      </c>
      <c r="DV314" s="34" t="str">
        <f t="shared" si="6399"/>
        <v/>
      </c>
      <c r="DW314" s="34" t="str">
        <f t="shared" si="6399"/>
        <v/>
      </c>
      <c r="DX314" s="34" t="str">
        <f t="shared" si="6399"/>
        <v/>
      </c>
      <c r="DY314" s="34" t="str">
        <f t="shared" ref="DY314:FQ314" si="6400">IF(SUBTOTAL(9,DY315:DY317)&gt;0,SUBTOTAL(9,DY315:DY317),"")</f>
        <v/>
      </c>
      <c r="DZ314" s="33" t="str">
        <f t="shared" si="6400"/>
        <v/>
      </c>
      <c r="EA314" s="34" t="str">
        <f t="shared" si="6400"/>
        <v/>
      </c>
      <c r="EB314" s="34" t="str">
        <f t="shared" si="6400"/>
        <v/>
      </c>
      <c r="EC314" s="34" t="str">
        <f t="shared" si="6400"/>
        <v/>
      </c>
      <c r="ED314" s="34" t="str">
        <f t="shared" si="6400"/>
        <v/>
      </c>
      <c r="EE314" s="34" t="str">
        <f t="shared" si="6400"/>
        <v/>
      </c>
      <c r="EF314" s="34" t="str">
        <f t="shared" si="6400"/>
        <v/>
      </c>
      <c r="EG314" s="34" t="str">
        <f t="shared" si="6400"/>
        <v/>
      </c>
      <c r="EH314" s="34" t="str">
        <f t="shared" si="6400"/>
        <v/>
      </c>
      <c r="EI314" s="34" t="str">
        <f t="shared" si="6400"/>
        <v/>
      </c>
      <c r="EJ314" s="34" t="str">
        <f t="shared" si="6400"/>
        <v/>
      </c>
      <c r="EK314" s="34" t="str">
        <f t="shared" si="6400"/>
        <v/>
      </c>
      <c r="EL314" s="34" t="str">
        <f t="shared" si="6400"/>
        <v/>
      </c>
      <c r="EM314" s="34" t="str">
        <f t="shared" si="6400"/>
        <v/>
      </c>
      <c r="EN314" s="34" t="str">
        <f t="shared" si="6400"/>
        <v/>
      </c>
      <c r="EO314" s="34" t="str">
        <f t="shared" si="6400"/>
        <v/>
      </c>
      <c r="EP314" s="34" t="str">
        <f t="shared" si="6400"/>
        <v/>
      </c>
      <c r="EQ314" s="34" t="str">
        <f t="shared" si="6400"/>
        <v/>
      </c>
      <c r="ER314" s="34" t="str">
        <f t="shared" si="6400"/>
        <v/>
      </c>
      <c r="ES314" s="34" t="str">
        <f t="shared" si="6400"/>
        <v/>
      </c>
      <c r="ET314" s="34" t="str">
        <f t="shared" si="6400"/>
        <v/>
      </c>
      <c r="EU314" s="34" t="str">
        <f t="shared" si="6400"/>
        <v/>
      </c>
      <c r="EV314" s="34" t="str">
        <f t="shared" si="6400"/>
        <v/>
      </c>
      <c r="EW314" s="34" t="str">
        <f t="shared" si="6400"/>
        <v/>
      </c>
      <c r="EX314" s="34" t="str">
        <f t="shared" si="6400"/>
        <v/>
      </c>
      <c r="EY314" s="33" t="str">
        <f t="shared" si="6400"/>
        <v/>
      </c>
      <c r="EZ314" s="34" t="str">
        <f t="shared" si="6400"/>
        <v/>
      </c>
      <c r="FA314" s="34" t="str">
        <f t="shared" si="6400"/>
        <v/>
      </c>
      <c r="FB314" s="34" t="str">
        <f t="shared" si="6400"/>
        <v/>
      </c>
      <c r="FC314" s="34" t="str">
        <f t="shared" si="6400"/>
        <v/>
      </c>
      <c r="FD314" s="34" t="str">
        <f t="shared" si="6400"/>
        <v/>
      </c>
      <c r="FE314" s="34" t="str">
        <f t="shared" si="6400"/>
        <v/>
      </c>
      <c r="FF314" s="34" t="str">
        <f t="shared" si="6400"/>
        <v/>
      </c>
      <c r="FG314" s="34" t="str">
        <f t="shared" si="6400"/>
        <v/>
      </c>
      <c r="FH314" s="34" t="str">
        <f t="shared" si="6400"/>
        <v/>
      </c>
      <c r="FI314" s="34" t="str">
        <f t="shared" si="6400"/>
        <v/>
      </c>
      <c r="FJ314" s="34" t="str">
        <f t="shared" si="6400"/>
        <v/>
      </c>
      <c r="FK314" s="34" t="str">
        <f t="shared" si="6400"/>
        <v/>
      </c>
      <c r="FL314" s="34" t="str">
        <f t="shared" si="6400"/>
        <v/>
      </c>
      <c r="FM314" s="34" t="str">
        <f t="shared" si="6400"/>
        <v/>
      </c>
      <c r="FN314" s="34" t="str">
        <f t="shared" si="6400"/>
        <v/>
      </c>
      <c r="FO314" s="34" t="str">
        <f t="shared" si="6400"/>
        <v/>
      </c>
      <c r="FP314" s="34" t="str">
        <f t="shared" si="6400"/>
        <v/>
      </c>
      <c r="FQ314" s="92" t="str">
        <f t="shared" si="6400"/>
        <v/>
      </c>
      <c r="FS314" s="9" t="s">
        <v>131</v>
      </c>
      <c r="FT314" s="9" t="str">
        <f t="shared" si="6370"/>
        <v/>
      </c>
    </row>
    <row r="315" spans="1:176" ht="12" hidden="1" customHeight="1" outlineLevel="1">
      <c r="A315" s="129" t="s">
        <v>4</v>
      </c>
      <c r="B315" s="130" t="s">
        <v>10</v>
      </c>
      <c r="C315" s="131" t="str">
        <f t="shared" si="6366"/>
        <v>16 days</v>
      </c>
      <c r="D315" s="101" t="str">
        <f>A313&amp;" "&amp;A314</f>
        <v>10. SAP 10.1 SAP Go Live - FSCP Readiness</v>
      </c>
      <c r="E315" s="51">
        <v>0.9</v>
      </c>
      <c r="F315" s="35">
        <v>0.9</v>
      </c>
      <c r="G315" s="35">
        <v>0.9</v>
      </c>
      <c r="H315" s="35">
        <v>0.9</v>
      </c>
      <c r="I315" s="35">
        <v>0.9</v>
      </c>
      <c r="J315" s="35">
        <v>0.5</v>
      </c>
      <c r="K315" s="35">
        <v>0.5</v>
      </c>
      <c r="L315" s="35">
        <v>0.5</v>
      </c>
      <c r="M315" s="35">
        <v>0.5</v>
      </c>
      <c r="N315" s="35">
        <v>0.5</v>
      </c>
      <c r="O315" s="35">
        <v>0.5</v>
      </c>
      <c r="P315" s="35">
        <v>0.75</v>
      </c>
      <c r="Q315" s="35"/>
      <c r="R315" s="35"/>
      <c r="S315" s="35">
        <v>0.75</v>
      </c>
      <c r="T315" s="35"/>
      <c r="U315" s="35">
        <v>0.5</v>
      </c>
      <c r="V315" s="35">
        <v>0.5</v>
      </c>
      <c r="W315" s="35">
        <v>0.5</v>
      </c>
      <c r="X315" s="35">
        <v>0.5</v>
      </c>
      <c r="Y315" s="35">
        <v>0.4</v>
      </c>
      <c r="Z315" s="35">
        <v>0.35</v>
      </c>
      <c r="AA315" s="35">
        <v>0.65</v>
      </c>
      <c r="AB315" s="35">
        <v>0.65</v>
      </c>
      <c r="AC315" s="35">
        <v>0.45</v>
      </c>
      <c r="AD315" s="35">
        <v>0.7</v>
      </c>
      <c r="AE315" s="35">
        <v>0.25</v>
      </c>
      <c r="AF315" s="35">
        <v>0.45</v>
      </c>
      <c r="AG315" s="35">
        <v>0.55000000000000004</v>
      </c>
      <c r="AH315" s="35">
        <v>0.5</v>
      </c>
      <c r="AI315" s="35"/>
      <c r="AJ315" s="35"/>
      <c r="AK315" s="35"/>
      <c r="AL315" s="36"/>
      <c r="AM315" s="36"/>
      <c r="AN315" s="36"/>
      <c r="AO315" s="36"/>
      <c r="AP315" s="36"/>
      <c r="AQ315" s="36"/>
      <c r="AR315" s="36"/>
      <c r="AS315" s="35"/>
      <c r="AT315" s="35"/>
      <c r="AU315" s="35"/>
      <c r="AV315" s="35"/>
      <c r="AW315" s="35"/>
      <c r="AX315" s="35"/>
      <c r="AY315" s="35"/>
      <c r="AZ315" s="35"/>
      <c r="BA315" s="35"/>
      <c r="BB315" s="35"/>
      <c r="BC315" s="35"/>
      <c r="BD315" s="35"/>
      <c r="BE315" s="35"/>
      <c r="BF315" s="35"/>
      <c r="BG315" s="35"/>
      <c r="BH315" s="35"/>
      <c r="BI315" s="35"/>
      <c r="BJ315" s="35"/>
      <c r="BK315" s="35"/>
      <c r="BL315" s="35"/>
      <c r="BM315" s="35"/>
      <c r="BN315" s="35"/>
      <c r="BO315" s="35"/>
      <c r="BP315" s="35"/>
      <c r="BQ315" s="35"/>
      <c r="BR315" s="35"/>
      <c r="BS315" s="35"/>
      <c r="BT315" s="35"/>
      <c r="BU315" s="35"/>
      <c r="BV315" s="35"/>
      <c r="BW315" s="35"/>
      <c r="BX315" s="35"/>
      <c r="BY315" s="35"/>
      <c r="BZ315" s="35"/>
      <c r="CA315" s="35"/>
      <c r="CB315" s="35"/>
      <c r="CC315" s="35"/>
      <c r="CD315" s="35"/>
      <c r="CE315" s="35"/>
      <c r="CF315" s="35"/>
      <c r="CG315" s="35"/>
      <c r="CH315" s="35"/>
      <c r="CI315" s="35"/>
      <c r="CJ315" s="35"/>
      <c r="CK315" s="35"/>
      <c r="CL315" s="35"/>
      <c r="CM315" s="35"/>
      <c r="CN315" s="35"/>
      <c r="CO315" s="35"/>
      <c r="CP315" s="35"/>
      <c r="CQ315" s="35"/>
      <c r="CR315" s="35"/>
      <c r="CS315" s="35"/>
      <c r="CT315" s="36"/>
      <c r="CU315" s="35"/>
      <c r="CV315" s="35"/>
      <c r="CW315" s="35"/>
      <c r="CX315" s="35"/>
      <c r="CY315" s="35"/>
      <c r="CZ315" s="36"/>
      <c r="DA315" s="36"/>
      <c r="DB315" s="35"/>
      <c r="DC315" s="35"/>
      <c r="DD315" s="35"/>
      <c r="DE315" s="35"/>
      <c r="DF315" s="35"/>
      <c r="DG315" s="35"/>
      <c r="DH315" s="35"/>
      <c r="DI315" s="35"/>
      <c r="DJ315" s="35"/>
      <c r="DK315" s="35"/>
      <c r="DL315" s="35"/>
      <c r="DM315" s="35"/>
      <c r="DN315" s="35"/>
      <c r="DO315" s="35"/>
      <c r="DP315" s="35"/>
      <c r="DQ315" s="35"/>
      <c r="DR315" s="35"/>
      <c r="DS315" s="35"/>
      <c r="DT315" s="35"/>
      <c r="DU315" s="35"/>
      <c r="DV315" s="35"/>
      <c r="DW315" s="35"/>
      <c r="DX315" s="35"/>
      <c r="DY315" s="35"/>
      <c r="DZ315" s="36"/>
      <c r="EA315" s="35"/>
      <c r="EB315" s="35"/>
      <c r="EC315" s="35"/>
      <c r="ED315" s="35"/>
      <c r="EE315" s="35"/>
      <c r="EF315" s="35"/>
      <c r="EG315" s="35"/>
      <c r="EH315" s="35"/>
      <c r="EI315" s="35"/>
      <c r="EJ315" s="35"/>
      <c r="EK315" s="35"/>
      <c r="EL315" s="35"/>
      <c r="EM315" s="35"/>
      <c r="EN315" s="35"/>
      <c r="EO315" s="35"/>
      <c r="EP315" s="35"/>
      <c r="EQ315" s="35"/>
      <c r="ER315" s="35"/>
      <c r="ES315" s="35"/>
      <c r="ET315" s="35"/>
      <c r="EU315" s="35"/>
      <c r="EV315" s="35"/>
      <c r="EW315" s="35"/>
      <c r="EX315" s="35"/>
      <c r="EY315" s="36"/>
      <c r="EZ315" s="35"/>
      <c r="FA315" s="35"/>
      <c r="FB315" s="35"/>
      <c r="FC315" s="35"/>
      <c r="FD315" s="35"/>
      <c r="FE315" s="35"/>
      <c r="FF315" s="35"/>
      <c r="FG315" s="35"/>
      <c r="FH315" s="35"/>
      <c r="FI315" s="35"/>
      <c r="FJ315" s="35"/>
      <c r="FK315" s="35"/>
      <c r="FL315" s="35"/>
      <c r="FM315" s="35"/>
      <c r="FN315" s="35"/>
      <c r="FO315" s="35"/>
      <c r="FP315" s="35"/>
      <c r="FQ315" s="52"/>
      <c r="FS315" s="9" t="s">
        <v>13</v>
      </c>
      <c r="FT315" s="9" t="str">
        <f t="shared" si="6370"/>
        <v>10. SAP 10.1 SAP Go Live - FSCP ReadinessGlenn Kirk</v>
      </c>
    </row>
    <row r="316" spans="1:176" ht="12" hidden="1" customHeight="1" outlineLevel="1">
      <c r="A316" s="122"/>
      <c r="B316" s="123"/>
      <c r="C316" s="131" t="str">
        <f t="shared" ref="C316:C317" si="6401">ROUND(SUM(E316:FQ316),0) &amp; " days"</f>
        <v>0 days</v>
      </c>
      <c r="D316" s="13" t="str">
        <f>A313&amp;" "&amp;A314</f>
        <v>10. SAP 10.1 SAP Go Live - FSCP Readiness</v>
      </c>
      <c r="E316" s="51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D316" s="35"/>
      <c r="AE316" s="35"/>
      <c r="AF316" s="35"/>
      <c r="AG316" s="35"/>
      <c r="AH316" s="35"/>
      <c r="AI316" s="35"/>
      <c r="AJ316" s="35"/>
      <c r="AK316" s="35"/>
      <c r="AL316" s="36"/>
      <c r="AM316" s="36"/>
      <c r="AN316" s="36"/>
      <c r="AO316" s="36"/>
      <c r="AP316" s="36"/>
      <c r="AQ316" s="36"/>
      <c r="AR316" s="36"/>
      <c r="AS316" s="35"/>
      <c r="AT316" s="35"/>
      <c r="AU316" s="35"/>
      <c r="AV316" s="35"/>
      <c r="AW316" s="35"/>
      <c r="AX316" s="35"/>
      <c r="AY316" s="35"/>
      <c r="AZ316" s="35"/>
      <c r="BA316" s="35"/>
      <c r="BB316" s="35"/>
      <c r="BC316" s="35"/>
      <c r="BD316" s="35"/>
      <c r="BE316" s="35"/>
      <c r="BF316" s="35"/>
      <c r="BG316" s="35"/>
      <c r="BH316" s="35"/>
      <c r="BI316" s="35"/>
      <c r="BJ316" s="35"/>
      <c r="BK316" s="35"/>
      <c r="BL316" s="35"/>
      <c r="BM316" s="35"/>
      <c r="BN316" s="35"/>
      <c r="BO316" s="35"/>
      <c r="BP316" s="35"/>
      <c r="BQ316" s="35"/>
      <c r="BR316" s="35"/>
      <c r="BS316" s="35"/>
      <c r="BT316" s="35"/>
      <c r="BU316" s="35"/>
      <c r="BV316" s="35"/>
      <c r="BW316" s="35"/>
      <c r="BX316" s="35"/>
      <c r="BY316" s="35"/>
      <c r="BZ316" s="35"/>
      <c r="CA316" s="35"/>
      <c r="CB316" s="35"/>
      <c r="CC316" s="35"/>
      <c r="CD316" s="35"/>
      <c r="CE316" s="35"/>
      <c r="CF316" s="35"/>
      <c r="CG316" s="35"/>
      <c r="CH316" s="35"/>
      <c r="CI316" s="35"/>
      <c r="CJ316" s="35"/>
      <c r="CK316" s="35"/>
      <c r="CL316" s="35"/>
      <c r="CM316" s="35"/>
      <c r="CN316" s="35"/>
      <c r="CO316" s="35"/>
      <c r="CP316" s="35"/>
      <c r="CQ316" s="35"/>
      <c r="CR316" s="35"/>
      <c r="CS316" s="35"/>
      <c r="CT316" s="36"/>
      <c r="CU316" s="35"/>
      <c r="CV316" s="35"/>
      <c r="CW316" s="35"/>
      <c r="CX316" s="35"/>
      <c r="CY316" s="35"/>
      <c r="CZ316" s="36"/>
      <c r="DA316" s="36"/>
      <c r="DB316" s="35"/>
      <c r="DC316" s="35"/>
      <c r="DD316" s="35"/>
      <c r="DE316" s="35"/>
      <c r="DF316" s="35"/>
      <c r="DG316" s="35"/>
      <c r="DH316" s="35"/>
      <c r="DI316" s="35"/>
      <c r="DJ316" s="35"/>
      <c r="DK316" s="35"/>
      <c r="DL316" s="35"/>
      <c r="DM316" s="35"/>
      <c r="DN316" s="35"/>
      <c r="DO316" s="35"/>
      <c r="DP316" s="35"/>
      <c r="DQ316" s="35"/>
      <c r="DR316" s="35"/>
      <c r="DS316" s="35"/>
      <c r="DT316" s="35"/>
      <c r="DU316" s="35"/>
      <c r="DV316" s="35"/>
      <c r="DW316" s="35"/>
      <c r="DX316" s="35"/>
      <c r="DY316" s="35"/>
      <c r="DZ316" s="36"/>
      <c r="EA316" s="35"/>
      <c r="EB316" s="35"/>
      <c r="EC316" s="35"/>
      <c r="ED316" s="35"/>
      <c r="EE316" s="35"/>
      <c r="EF316" s="35"/>
      <c r="EG316" s="35"/>
      <c r="EH316" s="35"/>
      <c r="EI316" s="35"/>
      <c r="EJ316" s="35"/>
      <c r="EK316" s="35"/>
      <c r="EL316" s="35"/>
      <c r="EM316" s="35"/>
      <c r="EN316" s="35"/>
      <c r="EO316" s="35"/>
      <c r="EP316" s="35"/>
      <c r="EQ316" s="35"/>
      <c r="ER316" s="35"/>
      <c r="ES316" s="35"/>
      <c r="ET316" s="35"/>
      <c r="EU316" s="35"/>
      <c r="EV316" s="35"/>
      <c r="EW316" s="35"/>
      <c r="EX316" s="35"/>
      <c r="EY316" s="36"/>
      <c r="EZ316" s="35"/>
      <c r="FA316" s="35"/>
      <c r="FB316" s="35"/>
      <c r="FC316" s="35"/>
      <c r="FD316" s="35"/>
      <c r="FE316" s="35"/>
      <c r="FF316" s="35"/>
      <c r="FG316" s="35"/>
      <c r="FH316" s="35"/>
      <c r="FI316" s="35"/>
      <c r="FJ316" s="35"/>
      <c r="FK316" s="35"/>
      <c r="FL316" s="35"/>
      <c r="FM316" s="35"/>
      <c r="FN316" s="35"/>
      <c r="FO316" s="35"/>
      <c r="FP316" s="35"/>
      <c r="FQ316" s="52"/>
      <c r="FS316" s="9" t="s">
        <v>13</v>
      </c>
      <c r="FT316" s="9" t="str">
        <f t="shared" si="6370"/>
        <v>10. SAP 10.1 SAP Go Live - FSCP Readiness</v>
      </c>
    </row>
    <row r="317" spans="1:176" ht="12" hidden="1" customHeight="1" outlineLevel="1">
      <c r="A317" s="122"/>
      <c r="B317" s="123"/>
      <c r="C317" s="131" t="str">
        <f t="shared" si="6401"/>
        <v>0 days</v>
      </c>
      <c r="D317" s="13"/>
      <c r="E317" s="51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D317" s="35"/>
      <c r="AE317" s="35"/>
      <c r="AF317" s="35"/>
      <c r="AG317" s="35"/>
      <c r="AH317" s="35"/>
      <c r="AI317" s="35"/>
      <c r="AJ317" s="35"/>
      <c r="AK317" s="35"/>
      <c r="AL317" s="36"/>
      <c r="AM317" s="36"/>
      <c r="AN317" s="36"/>
      <c r="AO317" s="36"/>
      <c r="AP317" s="36"/>
      <c r="AQ317" s="36"/>
      <c r="AR317" s="36"/>
      <c r="AS317" s="35"/>
      <c r="AT317" s="35"/>
      <c r="AU317" s="35"/>
      <c r="AV317" s="35"/>
      <c r="AW317" s="35"/>
      <c r="AX317" s="35"/>
      <c r="AY317" s="35"/>
      <c r="AZ317" s="35"/>
      <c r="BA317" s="35"/>
      <c r="BB317" s="35"/>
      <c r="BC317" s="35"/>
      <c r="BD317" s="35"/>
      <c r="BE317" s="35"/>
      <c r="BF317" s="35"/>
      <c r="BG317" s="35"/>
      <c r="BH317" s="35"/>
      <c r="BI317" s="35"/>
      <c r="BJ317" s="35"/>
      <c r="BK317" s="35"/>
      <c r="BL317" s="35"/>
      <c r="BM317" s="35"/>
      <c r="BN317" s="35"/>
      <c r="BO317" s="35"/>
      <c r="BP317" s="35"/>
      <c r="BQ317" s="35"/>
      <c r="BR317" s="35"/>
      <c r="BS317" s="35"/>
      <c r="BT317" s="35"/>
      <c r="BU317" s="35"/>
      <c r="BV317" s="35"/>
      <c r="BW317" s="35"/>
      <c r="BX317" s="35"/>
      <c r="BY317" s="35"/>
      <c r="BZ317" s="35"/>
      <c r="CA317" s="35"/>
      <c r="CB317" s="35"/>
      <c r="CC317" s="35"/>
      <c r="CD317" s="35"/>
      <c r="CE317" s="35"/>
      <c r="CF317" s="35"/>
      <c r="CG317" s="35"/>
      <c r="CH317" s="35"/>
      <c r="CI317" s="35"/>
      <c r="CJ317" s="35"/>
      <c r="CK317" s="35"/>
      <c r="CL317" s="35"/>
      <c r="CM317" s="35"/>
      <c r="CN317" s="35"/>
      <c r="CO317" s="35"/>
      <c r="CP317" s="35"/>
      <c r="CQ317" s="35"/>
      <c r="CR317" s="35"/>
      <c r="CS317" s="35"/>
      <c r="CT317" s="36"/>
      <c r="CU317" s="35"/>
      <c r="CV317" s="35"/>
      <c r="CW317" s="35"/>
      <c r="CX317" s="35"/>
      <c r="CY317" s="35"/>
      <c r="CZ317" s="36"/>
      <c r="DA317" s="36"/>
      <c r="DB317" s="35"/>
      <c r="DC317" s="35"/>
      <c r="DD317" s="35"/>
      <c r="DE317" s="35"/>
      <c r="DF317" s="35"/>
      <c r="DG317" s="35"/>
      <c r="DH317" s="35"/>
      <c r="DI317" s="35"/>
      <c r="DJ317" s="35"/>
      <c r="DK317" s="35"/>
      <c r="DL317" s="35"/>
      <c r="DM317" s="35"/>
      <c r="DN317" s="35"/>
      <c r="DO317" s="35"/>
      <c r="DP317" s="35"/>
      <c r="DQ317" s="35"/>
      <c r="DR317" s="35"/>
      <c r="DS317" s="35"/>
      <c r="DT317" s="35"/>
      <c r="DU317" s="35"/>
      <c r="DV317" s="35"/>
      <c r="DW317" s="35"/>
      <c r="DX317" s="35"/>
      <c r="DY317" s="35"/>
      <c r="DZ317" s="36"/>
      <c r="EA317" s="35"/>
      <c r="EB317" s="35"/>
      <c r="EC317" s="35"/>
      <c r="ED317" s="35"/>
      <c r="EE317" s="35"/>
      <c r="EF317" s="35"/>
      <c r="EG317" s="35"/>
      <c r="EH317" s="35"/>
      <c r="EI317" s="35"/>
      <c r="EJ317" s="35"/>
      <c r="EK317" s="35"/>
      <c r="EL317" s="35"/>
      <c r="EM317" s="35"/>
      <c r="EN317" s="35"/>
      <c r="EO317" s="35"/>
      <c r="EP317" s="35"/>
      <c r="EQ317" s="35"/>
      <c r="ER317" s="35"/>
      <c r="ES317" s="35"/>
      <c r="ET317" s="35"/>
      <c r="EU317" s="35"/>
      <c r="EV317" s="35"/>
      <c r="EW317" s="35"/>
      <c r="EX317" s="35"/>
      <c r="EY317" s="36"/>
      <c r="EZ317" s="35"/>
      <c r="FA317" s="35"/>
      <c r="FB317" s="35"/>
      <c r="FC317" s="35"/>
      <c r="FD317" s="35"/>
      <c r="FE317" s="35"/>
      <c r="FF317" s="35"/>
      <c r="FG317" s="35"/>
      <c r="FH317" s="35"/>
      <c r="FI317" s="35"/>
      <c r="FJ317" s="35"/>
      <c r="FK317" s="35"/>
      <c r="FL317" s="35"/>
      <c r="FM317" s="35"/>
      <c r="FN317" s="35"/>
      <c r="FO317" s="35"/>
      <c r="FP317" s="35"/>
      <c r="FQ317" s="52"/>
      <c r="FS317" s="9" t="s">
        <v>13</v>
      </c>
      <c r="FT317" s="9" t="str">
        <f t="shared" si="6370"/>
        <v/>
      </c>
    </row>
    <row r="318" spans="1:176" ht="12" customHeight="1" collapsed="1">
      <c r="A318" s="119" t="s">
        <v>103</v>
      </c>
      <c r="B318" s="127"/>
      <c r="C318" s="128" t="str">
        <f>ROUND(SUM(E318:FQ318),0) &amp; " days"</f>
        <v>6 days</v>
      </c>
      <c r="D318" s="37"/>
      <c r="E318" s="91" t="str">
        <f t="shared" ref="E318:BL318" si="6402">IF(SUBTOTAL(9,E319:E321)&gt;0,SUBTOTAL(9,E319:E321),"")</f>
        <v/>
      </c>
      <c r="F318" s="34" t="str">
        <f t="shared" si="6402"/>
        <v/>
      </c>
      <c r="G318" s="34" t="str">
        <f t="shared" si="6402"/>
        <v/>
      </c>
      <c r="H318" s="34" t="str">
        <f t="shared" si="6402"/>
        <v/>
      </c>
      <c r="I318" s="34" t="str">
        <f t="shared" si="6402"/>
        <v/>
      </c>
      <c r="J318" s="34" t="str">
        <f t="shared" si="6402"/>
        <v/>
      </c>
      <c r="K318" s="34" t="str">
        <f t="shared" si="6402"/>
        <v/>
      </c>
      <c r="L318" s="34" t="str">
        <f t="shared" si="6402"/>
        <v/>
      </c>
      <c r="M318" s="34" t="str">
        <f t="shared" si="6402"/>
        <v/>
      </c>
      <c r="N318" s="34" t="str">
        <f t="shared" si="6402"/>
        <v/>
      </c>
      <c r="O318" s="34" t="str">
        <f t="shared" si="6402"/>
        <v/>
      </c>
      <c r="P318" s="34" t="str">
        <f t="shared" si="6402"/>
        <v/>
      </c>
      <c r="Q318" s="34" t="str">
        <f t="shared" si="6402"/>
        <v/>
      </c>
      <c r="R318" s="34" t="str">
        <f t="shared" si="6402"/>
        <v/>
      </c>
      <c r="S318" s="34" t="str">
        <f t="shared" si="6402"/>
        <v/>
      </c>
      <c r="T318" s="34" t="str">
        <f t="shared" si="6402"/>
        <v/>
      </c>
      <c r="U318" s="34" t="str">
        <f t="shared" si="6402"/>
        <v/>
      </c>
      <c r="V318" s="34" t="str">
        <f t="shared" si="6402"/>
        <v/>
      </c>
      <c r="W318" s="34" t="str">
        <f t="shared" si="6402"/>
        <v/>
      </c>
      <c r="X318" s="34" t="str">
        <f t="shared" si="6402"/>
        <v/>
      </c>
      <c r="Y318" s="34" t="str">
        <f t="shared" si="6402"/>
        <v/>
      </c>
      <c r="Z318" s="34" t="str">
        <f t="shared" si="6402"/>
        <v/>
      </c>
      <c r="AA318" s="34" t="str">
        <f t="shared" si="6402"/>
        <v/>
      </c>
      <c r="AB318" s="34" t="str">
        <f t="shared" si="6402"/>
        <v/>
      </c>
      <c r="AC318" s="34" t="str">
        <f t="shared" si="6402"/>
        <v/>
      </c>
      <c r="AD318" s="34" t="str">
        <f t="shared" si="6402"/>
        <v/>
      </c>
      <c r="AE318" s="34" t="str">
        <f t="shared" si="6402"/>
        <v/>
      </c>
      <c r="AF318" s="34" t="str">
        <f t="shared" si="6402"/>
        <v/>
      </c>
      <c r="AG318" s="34" t="str">
        <f t="shared" si="6402"/>
        <v/>
      </c>
      <c r="AH318" s="34" t="str">
        <f t="shared" si="6402"/>
        <v/>
      </c>
      <c r="AI318" s="34" t="str">
        <f t="shared" si="6402"/>
        <v/>
      </c>
      <c r="AJ318" s="34" t="str">
        <f t="shared" si="6402"/>
        <v/>
      </c>
      <c r="AK318" s="34" t="str">
        <f t="shared" si="6402"/>
        <v/>
      </c>
      <c r="AL318" s="33" t="str">
        <f t="shared" si="6402"/>
        <v/>
      </c>
      <c r="AM318" s="33" t="str">
        <f t="shared" si="6402"/>
        <v/>
      </c>
      <c r="AN318" s="33" t="str">
        <f t="shared" si="6402"/>
        <v/>
      </c>
      <c r="AO318" s="33" t="str">
        <f t="shared" si="6402"/>
        <v/>
      </c>
      <c r="AP318" s="33" t="str">
        <f t="shared" si="6402"/>
        <v/>
      </c>
      <c r="AQ318" s="33" t="str">
        <f t="shared" si="6402"/>
        <v/>
      </c>
      <c r="AR318" s="33" t="str">
        <f t="shared" si="6402"/>
        <v/>
      </c>
      <c r="AS318" s="34">
        <f t="shared" si="6402"/>
        <v>0.3</v>
      </c>
      <c r="AT318" s="34">
        <f t="shared" si="6402"/>
        <v>0.6</v>
      </c>
      <c r="AU318" s="34">
        <f t="shared" si="6402"/>
        <v>0.3</v>
      </c>
      <c r="AV318" s="34" t="str">
        <f t="shared" si="6402"/>
        <v/>
      </c>
      <c r="AW318" s="34">
        <f t="shared" si="6402"/>
        <v>0.45</v>
      </c>
      <c r="AX318" s="34">
        <f t="shared" si="6402"/>
        <v>0.3</v>
      </c>
      <c r="AY318" s="34">
        <f t="shared" si="6402"/>
        <v>0.65</v>
      </c>
      <c r="AZ318" s="34">
        <f t="shared" si="6402"/>
        <v>0.8</v>
      </c>
      <c r="BA318" s="34">
        <f t="shared" si="6402"/>
        <v>0.4</v>
      </c>
      <c r="BB318" s="34" t="str">
        <f t="shared" si="6402"/>
        <v/>
      </c>
      <c r="BC318" s="34">
        <f t="shared" si="6402"/>
        <v>0.3</v>
      </c>
      <c r="BD318" s="34">
        <f t="shared" si="6402"/>
        <v>0.4</v>
      </c>
      <c r="BE318" s="34" t="str">
        <f t="shared" si="6402"/>
        <v/>
      </c>
      <c r="BF318" s="34" t="str">
        <f t="shared" si="6402"/>
        <v/>
      </c>
      <c r="BG318" s="34" t="str">
        <f t="shared" si="6402"/>
        <v/>
      </c>
      <c r="BH318" s="34">
        <f t="shared" si="6402"/>
        <v>0.15</v>
      </c>
      <c r="BI318" s="34">
        <f t="shared" si="6402"/>
        <v>0.5</v>
      </c>
      <c r="BJ318" s="34">
        <f t="shared" si="6402"/>
        <v>0.1</v>
      </c>
      <c r="BK318" s="34">
        <f t="shared" si="6402"/>
        <v>0.25</v>
      </c>
      <c r="BL318" s="34" t="str">
        <f t="shared" si="6402"/>
        <v/>
      </c>
      <c r="BM318" s="34" t="str">
        <f t="shared" ref="BM318:DX318" si="6403">IF(SUBTOTAL(9,BM319:BM321)&gt;0,SUBTOTAL(9,BM319:BM321),"")</f>
        <v/>
      </c>
      <c r="BN318" s="34" t="str">
        <f t="shared" si="6403"/>
        <v/>
      </c>
      <c r="BO318" s="34" t="str">
        <f t="shared" si="6403"/>
        <v/>
      </c>
      <c r="BP318" s="34" t="str">
        <f t="shared" si="6403"/>
        <v/>
      </c>
      <c r="BQ318" s="34" t="str">
        <f t="shared" si="6403"/>
        <v/>
      </c>
      <c r="BR318" s="34" t="str">
        <f t="shared" si="6403"/>
        <v/>
      </c>
      <c r="BS318" s="34" t="str">
        <f t="shared" si="6403"/>
        <v/>
      </c>
      <c r="BT318" s="34" t="str">
        <f t="shared" si="6403"/>
        <v/>
      </c>
      <c r="BU318" s="34" t="str">
        <f t="shared" si="6403"/>
        <v/>
      </c>
      <c r="BV318" s="34" t="str">
        <f t="shared" si="6403"/>
        <v/>
      </c>
      <c r="BW318" s="34" t="str">
        <f t="shared" si="6403"/>
        <v/>
      </c>
      <c r="BX318" s="34" t="str">
        <f t="shared" si="6403"/>
        <v/>
      </c>
      <c r="BY318" s="34" t="str">
        <f t="shared" si="6403"/>
        <v/>
      </c>
      <c r="BZ318" s="34" t="str">
        <f t="shared" si="6403"/>
        <v/>
      </c>
      <c r="CA318" s="34" t="str">
        <f t="shared" si="6403"/>
        <v/>
      </c>
      <c r="CB318" s="34" t="str">
        <f t="shared" si="6403"/>
        <v/>
      </c>
      <c r="CC318" s="34" t="str">
        <f t="shared" si="6403"/>
        <v/>
      </c>
      <c r="CD318" s="34" t="str">
        <f t="shared" si="6403"/>
        <v/>
      </c>
      <c r="CE318" s="34" t="str">
        <f t="shared" si="6403"/>
        <v/>
      </c>
      <c r="CF318" s="34" t="str">
        <f t="shared" si="6403"/>
        <v/>
      </c>
      <c r="CG318" s="34" t="str">
        <f t="shared" si="6403"/>
        <v/>
      </c>
      <c r="CH318" s="34" t="str">
        <f t="shared" si="6403"/>
        <v/>
      </c>
      <c r="CI318" s="34" t="str">
        <f t="shared" si="6403"/>
        <v/>
      </c>
      <c r="CJ318" s="34" t="str">
        <f t="shared" si="6403"/>
        <v/>
      </c>
      <c r="CK318" s="34" t="str">
        <f t="shared" si="6403"/>
        <v/>
      </c>
      <c r="CL318" s="34" t="str">
        <f t="shared" si="6403"/>
        <v/>
      </c>
      <c r="CM318" s="34" t="str">
        <f t="shared" si="6403"/>
        <v/>
      </c>
      <c r="CN318" s="34" t="str">
        <f t="shared" si="6403"/>
        <v/>
      </c>
      <c r="CO318" s="34" t="str">
        <f t="shared" si="6403"/>
        <v/>
      </c>
      <c r="CP318" s="34" t="str">
        <f t="shared" si="6403"/>
        <v/>
      </c>
      <c r="CQ318" s="34" t="str">
        <f t="shared" si="6403"/>
        <v/>
      </c>
      <c r="CR318" s="34" t="str">
        <f t="shared" si="6403"/>
        <v/>
      </c>
      <c r="CS318" s="34" t="str">
        <f t="shared" si="6403"/>
        <v/>
      </c>
      <c r="CT318" s="33" t="str">
        <f t="shared" si="6403"/>
        <v/>
      </c>
      <c r="CU318" s="34" t="str">
        <f t="shared" si="6403"/>
        <v/>
      </c>
      <c r="CV318" s="34" t="str">
        <f t="shared" si="6403"/>
        <v/>
      </c>
      <c r="CW318" s="34" t="str">
        <f t="shared" si="6403"/>
        <v/>
      </c>
      <c r="CX318" s="34" t="str">
        <f t="shared" si="6403"/>
        <v/>
      </c>
      <c r="CY318" s="34" t="str">
        <f t="shared" si="6403"/>
        <v/>
      </c>
      <c r="CZ318" s="33" t="str">
        <f t="shared" si="6403"/>
        <v/>
      </c>
      <c r="DA318" s="33" t="str">
        <f t="shared" si="6403"/>
        <v/>
      </c>
      <c r="DB318" s="34" t="str">
        <f t="shared" si="6403"/>
        <v/>
      </c>
      <c r="DC318" s="34" t="str">
        <f t="shared" si="6403"/>
        <v/>
      </c>
      <c r="DD318" s="34" t="str">
        <f t="shared" si="6403"/>
        <v/>
      </c>
      <c r="DE318" s="34" t="str">
        <f t="shared" si="6403"/>
        <v/>
      </c>
      <c r="DF318" s="34" t="str">
        <f t="shared" si="6403"/>
        <v/>
      </c>
      <c r="DG318" s="34" t="str">
        <f t="shared" si="6403"/>
        <v/>
      </c>
      <c r="DH318" s="34" t="str">
        <f t="shared" si="6403"/>
        <v/>
      </c>
      <c r="DI318" s="34" t="str">
        <f t="shared" si="6403"/>
        <v/>
      </c>
      <c r="DJ318" s="34" t="str">
        <f t="shared" si="6403"/>
        <v/>
      </c>
      <c r="DK318" s="34" t="str">
        <f t="shared" si="6403"/>
        <v/>
      </c>
      <c r="DL318" s="34" t="str">
        <f t="shared" si="6403"/>
        <v/>
      </c>
      <c r="DM318" s="34" t="str">
        <f t="shared" si="6403"/>
        <v/>
      </c>
      <c r="DN318" s="34" t="str">
        <f t="shared" si="6403"/>
        <v/>
      </c>
      <c r="DO318" s="34" t="str">
        <f t="shared" si="6403"/>
        <v/>
      </c>
      <c r="DP318" s="34" t="str">
        <f t="shared" si="6403"/>
        <v/>
      </c>
      <c r="DQ318" s="34" t="str">
        <f t="shared" si="6403"/>
        <v/>
      </c>
      <c r="DR318" s="34" t="str">
        <f t="shared" si="6403"/>
        <v/>
      </c>
      <c r="DS318" s="34" t="str">
        <f t="shared" si="6403"/>
        <v/>
      </c>
      <c r="DT318" s="34" t="str">
        <f t="shared" si="6403"/>
        <v/>
      </c>
      <c r="DU318" s="34" t="str">
        <f t="shared" si="6403"/>
        <v/>
      </c>
      <c r="DV318" s="34" t="str">
        <f t="shared" si="6403"/>
        <v/>
      </c>
      <c r="DW318" s="34" t="str">
        <f t="shared" si="6403"/>
        <v/>
      </c>
      <c r="DX318" s="34" t="str">
        <f t="shared" si="6403"/>
        <v/>
      </c>
      <c r="DY318" s="34" t="str">
        <f t="shared" ref="DY318:FQ318" si="6404">IF(SUBTOTAL(9,DY319:DY321)&gt;0,SUBTOTAL(9,DY319:DY321),"")</f>
        <v/>
      </c>
      <c r="DZ318" s="33" t="str">
        <f t="shared" si="6404"/>
        <v/>
      </c>
      <c r="EA318" s="34" t="str">
        <f t="shared" si="6404"/>
        <v/>
      </c>
      <c r="EB318" s="34" t="str">
        <f t="shared" si="6404"/>
        <v/>
      </c>
      <c r="EC318" s="34" t="str">
        <f t="shared" si="6404"/>
        <v/>
      </c>
      <c r="ED318" s="34" t="str">
        <f t="shared" si="6404"/>
        <v/>
      </c>
      <c r="EE318" s="34" t="str">
        <f t="shared" si="6404"/>
        <v/>
      </c>
      <c r="EF318" s="34" t="str">
        <f t="shared" si="6404"/>
        <v/>
      </c>
      <c r="EG318" s="34" t="str">
        <f t="shared" si="6404"/>
        <v/>
      </c>
      <c r="EH318" s="34" t="str">
        <f t="shared" si="6404"/>
        <v/>
      </c>
      <c r="EI318" s="34" t="str">
        <f t="shared" si="6404"/>
        <v/>
      </c>
      <c r="EJ318" s="34" t="str">
        <f t="shared" si="6404"/>
        <v/>
      </c>
      <c r="EK318" s="34" t="str">
        <f t="shared" si="6404"/>
        <v/>
      </c>
      <c r="EL318" s="34" t="str">
        <f t="shared" si="6404"/>
        <v/>
      </c>
      <c r="EM318" s="34" t="str">
        <f t="shared" si="6404"/>
        <v/>
      </c>
      <c r="EN318" s="34" t="str">
        <f t="shared" si="6404"/>
        <v/>
      </c>
      <c r="EO318" s="34" t="str">
        <f t="shared" si="6404"/>
        <v/>
      </c>
      <c r="EP318" s="34" t="str">
        <f t="shared" si="6404"/>
        <v/>
      </c>
      <c r="EQ318" s="34" t="str">
        <f t="shared" si="6404"/>
        <v/>
      </c>
      <c r="ER318" s="34" t="str">
        <f t="shared" si="6404"/>
        <v/>
      </c>
      <c r="ES318" s="34" t="str">
        <f t="shared" si="6404"/>
        <v/>
      </c>
      <c r="ET318" s="34" t="str">
        <f t="shared" si="6404"/>
        <v/>
      </c>
      <c r="EU318" s="34" t="str">
        <f t="shared" si="6404"/>
        <v/>
      </c>
      <c r="EV318" s="34" t="str">
        <f t="shared" si="6404"/>
        <v/>
      </c>
      <c r="EW318" s="34" t="str">
        <f t="shared" si="6404"/>
        <v/>
      </c>
      <c r="EX318" s="34" t="str">
        <f t="shared" si="6404"/>
        <v/>
      </c>
      <c r="EY318" s="33" t="str">
        <f t="shared" si="6404"/>
        <v/>
      </c>
      <c r="EZ318" s="34" t="str">
        <f t="shared" si="6404"/>
        <v/>
      </c>
      <c r="FA318" s="34" t="str">
        <f t="shared" si="6404"/>
        <v/>
      </c>
      <c r="FB318" s="34" t="str">
        <f t="shared" si="6404"/>
        <v/>
      </c>
      <c r="FC318" s="34" t="str">
        <f t="shared" si="6404"/>
        <v/>
      </c>
      <c r="FD318" s="34" t="str">
        <f t="shared" si="6404"/>
        <v/>
      </c>
      <c r="FE318" s="34" t="str">
        <f t="shared" si="6404"/>
        <v/>
      </c>
      <c r="FF318" s="34" t="str">
        <f t="shared" si="6404"/>
        <v/>
      </c>
      <c r="FG318" s="34" t="str">
        <f t="shared" si="6404"/>
        <v/>
      </c>
      <c r="FH318" s="34" t="str">
        <f t="shared" si="6404"/>
        <v/>
      </c>
      <c r="FI318" s="34" t="str">
        <f t="shared" si="6404"/>
        <v/>
      </c>
      <c r="FJ318" s="34" t="str">
        <f t="shared" si="6404"/>
        <v/>
      </c>
      <c r="FK318" s="34" t="str">
        <f t="shared" si="6404"/>
        <v/>
      </c>
      <c r="FL318" s="34" t="str">
        <f t="shared" si="6404"/>
        <v/>
      </c>
      <c r="FM318" s="34" t="str">
        <f t="shared" si="6404"/>
        <v/>
      </c>
      <c r="FN318" s="34" t="str">
        <f t="shared" si="6404"/>
        <v/>
      </c>
      <c r="FO318" s="34" t="str">
        <f t="shared" si="6404"/>
        <v/>
      </c>
      <c r="FP318" s="34" t="str">
        <f t="shared" si="6404"/>
        <v/>
      </c>
      <c r="FQ318" s="92" t="str">
        <f t="shared" si="6404"/>
        <v/>
      </c>
      <c r="FS318" s="9" t="s">
        <v>131</v>
      </c>
      <c r="FT318" s="9" t="str">
        <f t="shared" si="6370"/>
        <v/>
      </c>
    </row>
    <row r="319" spans="1:176" ht="12" hidden="1" customHeight="1" outlineLevel="1">
      <c r="A319" s="122" t="s">
        <v>188</v>
      </c>
      <c r="B319" s="130" t="s">
        <v>10</v>
      </c>
      <c r="C319" s="131" t="str">
        <f>ROUND(SUM(E319:FQ319),0) &amp; " days"</f>
        <v>6 days</v>
      </c>
      <c r="D319" s="101" t="str">
        <f>A313&amp;" "&amp;A318</f>
        <v>10. SAP 10.2 SAP Go Live - 123 / NI cut over</v>
      </c>
      <c r="E319" s="51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A319" s="35"/>
      <c r="AB319" s="35"/>
      <c r="AC319" s="35"/>
      <c r="AD319" s="35"/>
      <c r="AE319" s="35"/>
      <c r="AF319" s="35"/>
      <c r="AG319" s="35"/>
      <c r="AH319" s="35"/>
      <c r="AI319" s="35"/>
      <c r="AJ319" s="35"/>
      <c r="AK319" s="35"/>
      <c r="AL319" s="36"/>
      <c r="AM319" s="36"/>
      <c r="AN319" s="36"/>
      <c r="AO319" s="36"/>
      <c r="AP319" s="36"/>
      <c r="AQ319" s="36"/>
      <c r="AR319" s="36"/>
      <c r="AS319" s="35">
        <v>0.3</v>
      </c>
      <c r="AT319" s="35">
        <v>0.6</v>
      </c>
      <c r="AU319" s="35">
        <v>0.3</v>
      </c>
      <c r="AV319" s="35"/>
      <c r="AW319" s="35">
        <v>0.45</v>
      </c>
      <c r="AX319" s="35">
        <v>0.3</v>
      </c>
      <c r="AY319" s="35">
        <v>0.65</v>
      </c>
      <c r="AZ319" s="35">
        <v>0.8</v>
      </c>
      <c r="BA319" s="35">
        <v>0.4</v>
      </c>
      <c r="BB319" s="35"/>
      <c r="BC319" s="35">
        <v>0.3</v>
      </c>
      <c r="BD319" s="35">
        <v>0.4</v>
      </c>
      <c r="BE319" s="35"/>
      <c r="BF319" s="35"/>
      <c r="BG319" s="35"/>
      <c r="BH319" s="35">
        <v>0.15</v>
      </c>
      <c r="BI319" s="35">
        <v>0.5</v>
      </c>
      <c r="BJ319" s="35">
        <v>0.1</v>
      </c>
      <c r="BK319" s="35">
        <v>0.25</v>
      </c>
      <c r="BL319" s="35"/>
      <c r="BM319" s="35"/>
      <c r="BN319" s="35"/>
      <c r="BO319" s="35"/>
      <c r="BP319" s="35"/>
      <c r="BQ319" s="35"/>
      <c r="BR319" s="35"/>
      <c r="BS319" s="35"/>
      <c r="BT319" s="35"/>
      <c r="BU319" s="35"/>
      <c r="BV319" s="35"/>
      <c r="BW319" s="35"/>
      <c r="BX319" s="35"/>
      <c r="BY319" s="35"/>
      <c r="BZ319" s="35"/>
      <c r="CA319" s="35"/>
      <c r="CB319" s="35"/>
      <c r="CC319" s="35"/>
      <c r="CD319" s="35"/>
      <c r="CE319" s="35"/>
      <c r="CF319" s="35"/>
      <c r="CG319" s="35"/>
      <c r="CH319" s="35"/>
      <c r="CI319" s="35"/>
      <c r="CJ319" s="35"/>
      <c r="CK319" s="35"/>
      <c r="CL319" s="35"/>
      <c r="CM319" s="35"/>
      <c r="CN319" s="35"/>
      <c r="CO319" s="35"/>
      <c r="CP319" s="35"/>
      <c r="CQ319" s="35"/>
      <c r="CR319" s="35"/>
      <c r="CS319" s="35"/>
      <c r="CT319" s="36"/>
      <c r="CU319" s="35"/>
      <c r="CV319" s="35"/>
      <c r="CW319" s="35"/>
      <c r="CX319" s="35"/>
      <c r="CY319" s="35"/>
      <c r="CZ319" s="36"/>
      <c r="DA319" s="36"/>
      <c r="DB319" s="35"/>
      <c r="DC319" s="35"/>
      <c r="DD319" s="35"/>
      <c r="DE319" s="35"/>
      <c r="DF319" s="35"/>
      <c r="DG319" s="35"/>
      <c r="DH319" s="35"/>
      <c r="DI319" s="35"/>
      <c r="DJ319" s="35"/>
      <c r="DK319" s="35"/>
      <c r="DL319" s="35"/>
      <c r="DM319" s="35"/>
      <c r="DN319" s="35"/>
      <c r="DO319" s="35"/>
      <c r="DP319" s="35"/>
      <c r="DQ319" s="35"/>
      <c r="DR319" s="35"/>
      <c r="DS319" s="35"/>
      <c r="DT319" s="35"/>
      <c r="DU319" s="35"/>
      <c r="DV319" s="35"/>
      <c r="DW319" s="35"/>
      <c r="DX319" s="35"/>
      <c r="DY319" s="35"/>
      <c r="DZ319" s="36"/>
      <c r="EA319" s="35"/>
      <c r="EB319" s="35"/>
      <c r="EC319" s="35"/>
      <c r="ED319" s="35"/>
      <c r="EE319" s="35"/>
      <c r="EF319" s="35"/>
      <c r="EG319" s="35"/>
      <c r="EH319" s="35"/>
      <c r="EI319" s="35"/>
      <c r="EJ319" s="35"/>
      <c r="EK319" s="35"/>
      <c r="EL319" s="35"/>
      <c r="EM319" s="35"/>
      <c r="EN319" s="35"/>
      <c r="EO319" s="35"/>
      <c r="EP319" s="35"/>
      <c r="EQ319" s="35"/>
      <c r="ER319" s="35"/>
      <c r="ES319" s="35"/>
      <c r="ET319" s="35"/>
      <c r="EU319" s="35"/>
      <c r="EV319" s="35"/>
      <c r="EW319" s="35"/>
      <c r="EX319" s="35"/>
      <c r="EY319" s="36"/>
      <c r="EZ319" s="35"/>
      <c r="FA319" s="35"/>
      <c r="FB319" s="35"/>
      <c r="FC319" s="35"/>
      <c r="FD319" s="35"/>
      <c r="FE319" s="35"/>
      <c r="FF319" s="35"/>
      <c r="FG319" s="35"/>
      <c r="FH319" s="35"/>
      <c r="FI319" s="35"/>
      <c r="FJ319" s="35"/>
      <c r="FK319" s="35"/>
      <c r="FL319" s="35"/>
      <c r="FM319" s="35"/>
      <c r="FN319" s="35"/>
      <c r="FO319" s="35"/>
      <c r="FP319" s="35"/>
      <c r="FQ319" s="52"/>
      <c r="FS319" s="9" t="s">
        <v>13</v>
      </c>
      <c r="FT319" s="9" t="str">
        <f t="shared" si="6370"/>
        <v>10. SAP 10.2 SAP Go Live - 123 / NI cut overGlenn Kirk</v>
      </c>
    </row>
    <row r="320" spans="1:176" ht="12" hidden="1" customHeight="1" outlineLevel="1">
      <c r="A320" s="122"/>
      <c r="B320" s="123"/>
      <c r="C320" s="131" t="str">
        <f t="shared" ref="C320:C321" si="6405">ROUND(SUM(E320:FQ320),0) &amp; " days"</f>
        <v>0 days</v>
      </c>
      <c r="D320" s="13" t="str">
        <f>A313&amp;" "&amp;A318</f>
        <v>10. SAP 10.2 SAP Go Live - 123 / NI cut over</v>
      </c>
      <c r="E320" s="51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D320" s="35"/>
      <c r="AE320" s="35"/>
      <c r="AF320" s="35"/>
      <c r="AG320" s="35"/>
      <c r="AH320" s="35"/>
      <c r="AI320" s="35"/>
      <c r="AJ320" s="35"/>
      <c r="AK320" s="35"/>
      <c r="AL320" s="36"/>
      <c r="AM320" s="36"/>
      <c r="AN320" s="36"/>
      <c r="AO320" s="36"/>
      <c r="AP320" s="36"/>
      <c r="AQ320" s="36"/>
      <c r="AR320" s="36"/>
      <c r="AS320" s="35"/>
      <c r="AT320" s="35"/>
      <c r="AU320" s="35"/>
      <c r="AV320" s="35"/>
      <c r="AW320" s="35"/>
      <c r="AX320" s="35"/>
      <c r="AY320" s="35"/>
      <c r="AZ320" s="35"/>
      <c r="BA320" s="35"/>
      <c r="BB320" s="35"/>
      <c r="BC320" s="35"/>
      <c r="BD320" s="35"/>
      <c r="BE320" s="35"/>
      <c r="BF320" s="35"/>
      <c r="BG320" s="35"/>
      <c r="BH320" s="35"/>
      <c r="BI320" s="35"/>
      <c r="BJ320" s="35"/>
      <c r="BK320" s="35"/>
      <c r="BL320" s="35"/>
      <c r="BM320" s="35"/>
      <c r="BN320" s="35"/>
      <c r="BO320" s="35"/>
      <c r="BP320" s="35"/>
      <c r="BQ320" s="35"/>
      <c r="BR320" s="35"/>
      <c r="BS320" s="35"/>
      <c r="BT320" s="35"/>
      <c r="BU320" s="35"/>
      <c r="BV320" s="35"/>
      <c r="BW320" s="35"/>
      <c r="BX320" s="35"/>
      <c r="BY320" s="35"/>
      <c r="BZ320" s="35"/>
      <c r="CA320" s="35"/>
      <c r="CB320" s="35"/>
      <c r="CC320" s="35"/>
      <c r="CD320" s="35"/>
      <c r="CE320" s="35"/>
      <c r="CF320" s="35"/>
      <c r="CG320" s="35"/>
      <c r="CH320" s="35"/>
      <c r="CI320" s="35"/>
      <c r="CJ320" s="35"/>
      <c r="CK320" s="35"/>
      <c r="CL320" s="35"/>
      <c r="CM320" s="35"/>
      <c r="CN320" s="35"/>
      <c r="CO320" s="35"/>
      <c r="CP320" s="35"/>
      <c r="CQ320" s="35"/>
      <c r="CR320" s="35"/>
      <c r="CS320" s="35"/>
      <c r="CT320" s="36"/>
      <c r="CU320" s="35"/>
      <c r="CV320" s="35"/>
      <c r="CW320" s="35"/>
      <c r="CX320" s="35"/>
      <c r="CY320" s="35"/>
      <c r="CZ320" s="36"/>
      <c r="DA320" s="36"/>
      <c r="DB320" s="35"/>
      <c r="DC320" s="35"/>
      <c r="DD320" s="35"/>
      <c r="DE320" s="35"/>
      <c r="DF320" s="35"/>
      <c r="DG320" s="35"/>
      <c r="DH320" s="35"/>
      <c r="DI320" s="35"/>
      <c r="DJ320" s="35"/>
      <c r="DK320" s="35"/>
      <c r="DL320" s="35"/>
      <c r="DM320" s="35"/>
      <c r="DN320" s="35"/>
      <c r="DO320" s="35"/>
      <c r="DP320" s="35"/>
      <c r="DQ320" s="35"/>
      <c r="DR320" s="35"/>
      <c r="DS320" s="35"/>
      <c r="DT320" s="35"/>
      <c r="DU320" s="35"/>
      <c r="DV320" s="35"/>
      <c r="DW320" s="35"/>
      <c r="DX320" s="35"/>
      <c r="DY320" s="35"/>
      <c r="DZ320" s="36"/>
      <c r="EA320" s="35"/>
      <c r="EB320" s="35"/>
      <c r="EC320" s="35"/>
      <c r="ED320" s="35"/>
      <c r="EE320" s="35"/>
      <c r="EF320" s="35"/>
      <c r="EG320" s="35"/>
      <c r="EH320" s="35"/>
      <c r="EI320" s="35"/>
      <c r="EJ320" s="35"/>
      <c r="EK320" s="35"/>
      <c r="EL320" s="35"/>
      <c r="EM320" s="35"/>
      <c r="EN320" s="35"/>
      <c r="EO320" s="35"/>
      <c r="EP320" s="35"/>
      <c r="EQ320" s="35"/>
      <c r="ER320" s="35"/>
      <c r="ES320" s="35"/>
      <c r="ET320" s="35"/>
      <c r="EU320" s="35"/>
      <c r="EV320" s="35"/>
      <c r="EW320" s="35"/>
      <c r="EX320" s="35"/>
      <c r="EY320" s="36"/>
      <c r="EZ320" s="35"/>
      <c r="FA320" s="35"/>
      <c r="FB320" s="35"/>
      <c r="FC320" s="35"/>
      <c r="FD320" s="35"/>
      <c r="FE320" s="35"/>
      <c r="FF320" s="35"/>
      <c r="FG320" s="35"/>
      <c r="FH320" s="35"/>
      <c r="FI320" s="35"/>
      <c r="FJ320" s="35"/>
      <c r="FK320" s="35"/>
      <c r="FL320" s="35"/>
      <c r="FM320" s="35"/>
      <c r="FN320" s="35"/>
      <c r="FO320" s="35"/>
      <c r="FP320" s="35"/>
      <c r="FQ320" s="52"/>
      <c r="FS320" s="9" t="s">
        <v>13</v>
      </c>
      <c r="FT320" s="9" t="str">
        <f t="shared" si="6370"/>
        <v>10. SAP 10.2 SAP Go Live - 123 / NI cut over</v>
      </c>
    </row>
    <row r="321" spans="1:176" ht="12" hidden="1" customHeight="1" outlineLevel="1">
      <c r="A321" s="122"/>
      <c r="B321" s="123"/>
      <c r="C321" s="131" t="str">
        <f t="shared" si="6405"/>
        <v>0 days</v>
      </c>
      <c r="D321" s="13"/>
      <c r="E321" s="51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D321" s="35"/>
      <c r="AE321" s="35"/>
      <c r="AF321" s="35"/>
      <c r="AG321" s="35"/>
      <c r="AH321" s="35"/>
      <c r="AI321" s="35"/>
      <c r="AJ321" s="35"/>
      <c r="AK321" s="35"/>
      <c r="AL321" s="36"/>
      <c r="AM321" s="36"/>
      <c r="AN321" s="36"/>
      <c r="AO321" s="36"/>
      <c r="AP321" s="36"/>
      <c r="AQ321" s="36"/>
      <c r="AR321" s="36"/>
      <c r="AS321" s="35"/>
      <c r="AT321" s="35"/>
      <c r="AU321" s="35"/>
      <c r="AV321" s="35"/>
      <c r="AW321" s="35"/>
      <c r="AX321" s="35"/>
      <c r="AY321" s="35"/>
      <c r="AZ321" s="35"/>
      <c r="BA321" s="35"/>
      <c r="BB321" s="35"/>
      <c r="BC321" s="35"/>
      <c r="BD321" s="35"/>
      <c r="BE321" s="35"/>
      <c r="BF321" s="35"/>
      <c r="BG321" s="35"/>
      <c r="BH321" s="35"/>
      <c r="BI321" s="35"/>
      <c r="BJ321" s="35"/>
      <c r="BK321" s="35"/>
      <c r="BL321" s="35"/>
      <c r="BM321" s="35"/>
      <c r="BN321" s="35"/>
      <c r="BO321" s="35"/>
      <c r="BP321" s="35"/>
      <c r="BQ321" s="35"/>
      <c r="BR321" s="35"/>
      <c r="BS321" s="35"/>
      <c r="BT321" s="35"/>
      <c r="BU321" s="35"/>
      <c r="BV321" s="35"/>
      <c r="BW321" s="35"/>
      <c r="BX321" s="35"/>
      <c r="BY321" s="35"/>
      <c r="BZ321" s="35"/>
      <c r="CA321" s="35"/>
      <c r="CB321" s="35"/>
      <c r="CC321" s="35"/>
      <c r="CD321" s="35"/>
      <c r="CE321" s="35"/>
      <c r="CF321" s="35"/>
      <c r="CG321" s="35"/>
      <c r="CH321" s="35"/>
      <c r="CI321" s="35"/>
      <c r="CJ321" s="35"/>
      <c r="CK321" s="35"/>
      <c r="CL321" s="35"/>
      <c r="CM321" s="35"/>
      <c r="CN321" s="35"/>
      <c r="CO321" s="35"/>
      <c r="CP321" s="35"/>
      <c r="CQ321" s="35"/>
      <c r="CR321" s="35"/>
      <c r="CS321" s="35"/>
      <c r="CT321" s="36"/>
      <c r="CU321" s="35"/>
      <c r="CV321" s="35"/>
      <c r="CW321" s="35"/>
      <c r="CX321" s="35"/>
      <c r="CY321" s="35"/>
      <c r="CZ321" s="36"/>
      <c r="DA321" s="36"/>
      <c r="DB321" s="35"/>
      <c r="DC321" s="35"/>
      <c r="DD321" s="35"/>
      <c r="DE321" s="35"/>
      <c r="DF321" s="35"/>
      <c r="DG321" s="35"/>
      <c r="DH321" s="35"/>
      <c r="DI321" s="35"/>
      <c r="DJ321" s="35"/>
      <c r="DK321" s="35"/>
      <c r="DL321" s="35"/>
      <c r="DM321" s="35"/>
      <c r="DN321" s="35"/>
      <c r="DO321" s="35"/>
      <c r="DP321" s="35"/>
      <c r="DQ321" s="35"/>
      <c r="DR321" s="35"/>
      <c r="DS321" s="35"/>
      <c r="DT321" s="35"/>
      <c r="DU321" s="35"/>
      <c r="DV321" s="35"/>
      <c r="DW321" s="35"/>
      <c r="DX321" s="35"/>
      <c r="DY321" s="35"/>
      <c r="DZ321" s="36"/>
      <c r="EA321" s="35"/>
      <c r="EB321" s="35"/>
      <c r="EC321" s="35"/>
      <c r="ED321" s="35"/>
      <c r="EE321" s="35"/>
      <c r="EF321" s="35"/>
      <c r="EG321" s="35"/>
      <c r="EH321" s="35"/>
      <c r="EI321" s="35"/>
      <c r="EJ321" s="35"/>
      <c r="EK321" s="35"/>
      <c r="EL321" s="35"/>
      <c r="EM321" s="35"/>
      <c r="EN321" s="35"/>
      <c r="EO321" s="35"/>
      <c r="EP321" s="35"/>
      <c r="EQ321" s="35"/>
      <c r="ER321" s="35"/>
      <c r="ES321" s="35"/>
      <c r="ET321" s="35"/>
      <c r="EU321" s="35"/>
      <c r="EV321" s="35"/>
      <c r="EW321" s="35"/>
      <c r="EX321" s="35"/>
      <c r="EY321" s="36"/>
      <c r="EZ321" s="35"/>
      <c r="FA321" s="35"/>
      <c r="FB321" s="35"/>
      <c r="FC321" s="35"/>
      <c r="FD321" s="35"/>
      <c r="FE321" s="35"/>
      <c r="FF321" s="35"/>
      <c r="FG321" s="35"/>
      <c r="FH321" s="35"/>
      <c r="FI321" s="35"/>
      <c r="FJ321" s="35"/>
      <c r="FK321" s="35"/>
      <c r="FL321" s="35"/>
      <c r="FM321" s="35"/>
      <c r="FN321" s="35"/>
      <c r="FO321" s="35"/>
      <c r="FP321" s="35"/>
      <c r="FQ321" s="52"/>
      <c r="FS321" s="9" t="s">
        <v>13</v>
      </c>
      <c r="FT321" s="9" t="str">
        <f t="shared" si="6370"/>
        <v/>
      </c>
    </row>
    <row r="322" spans="1:176" ht="12" customHeight="1" collapsed="1">
      <c r="A322" s="116" t="s">
        <v>104</v>
      </c>
      <c r="B322" s="132"/>
      <c r="C322" s="118" t="str">
        <f t="shared" ref="C322:C330" si="6406">ROUND(SUM(E322:FQ322),0) &amp; " days"</f>
        <v>6 days</v>
      </c>
      <c r="D322" s="26"/>
      <c r="E322" s="89" t="str">
        <f t="shared" ref="E322:AE322" si="6407">IF(SUBTOTAL(9,E324:E325,E327:E328)&gt;0,SUBTOTAL(9,E324:E325,E327:E328),"")</f>
        <v/>
      </c>
      <c r="F322" s="32" t="str">
        <f t="shared" si="6407"/>
        <v/>
      </c>
      <c r="G322" s="32" t="str">
        <f t="shared" si="6407"/>
        <v/>
      </c>
      <c r="H322" s="32" t="str">
        <f t="shared" si="6407"/>
        <v/>
      </c>
      <c r="I322" s="32" t="str">
        <f t="shared" si="6407"/>
        <v/>
      </c>
      <c r="J322" s="32">
        <f t="shared" si="6407"/>
        <v>0.5</v>
      </c>
      <c r="K322" s="32">
        <f t="shared" si="6407"/>
        <v>0.5</v>
      </c>
      <c r="L322" s="32">
        <f t="shared" si="6407"/>
        <v>0.5</v>
      </c>
      <c r="M322" s="32">
        <f t="shared" si="6407"/>
        <v>0.5</v>
      </c>
      <c r="N322" s="32">
        <f t="shared" si="6407"/>
        <v>0.5</v>
      </c>
      <c r="O322" s="32">
        <f t="shared" si="6407"/>
        <v>0.5</v>
      </c>
      <c r="P322" s="32">
        <f t="shared" si="6407"/>
        <v>0.25</v>
      </c>
      <c r="Q322" s="32" t="str">
        <f t="shared" si="6407"/>
        <v/>
      </c>
      <c r="R322" s="32" t="str">
        <f t="shared" si="6407"/>
        <v/>
      </c>
      <c r="S322" s="32">
        <f t="shared" si="6407"/>
        <v>0.25</v>
      </c>
      <c r="T322" s="32" t="str">
        <f t="shared" si="6407"/>
        <v/>
      </c>
      <c r="U322" s="32">
        <f t="shared" si="6407"/>
        <v>0.5</v>
      </c>
      <c r="V322" s="32">
        <f t="shared" si="6407"/>
        <v>0.5</v>
      </c>
      <c r="W322" s="32">
        <f t="shared" si="6407"/>
        <v>0.5</v>
      </c>
      <c r="X322" s="32">
        <f t="shared" si="6407"/>
        <v>0.5</v>
      </c>
      <c r="Y322" s="32">
        <f t="shared" si="6407"/>
        <v>0.05</v>
      </c>
      <c r="Z322" s="32">
        <f t="shared" si="6407"/>
        <v>0.1</v>
      </c>
      <c r="AA322" s="32">
        <f t="shared" si="6407"/>
        <v>0.05</v>
      </c>
      <c r="AB322" s="32">
        <f t="shared" si="6407"/>
        <v>0.05</v>
      </c>
      <c r="AC322" s="32" t="str">
        <f t="shared" si="6407"/>
        <v/>
      </c>
      <c r="AD322" s="32" t="str">
        <f t="shared" si="6407"/>
        <v/>
      </c>
      <c r="AE322" s="32" t="str">
        <f t="shared" si="6407"/>
        <v/>
      </c>
      <c r="AF322" s="32" t="str">
        <f t="shared" ref="AF322:BK322" si="6408">IF(SUBTOTAL(9,AF324:AF325,AF327:AF328)&gt;0,SUBTOTAL(9,AF324:AF325,AF327:AF328),"")</f>
        <v/>
      </c>
      <c r="AG322" s="32" t="str">
        <f t="shared" si="6408"/>
        <v/>
      </c>
      <c r="AH322" s="32" t="str">
        <f t="shared" si="6408"/>
        <v/>
      </c>
      <c r="AI322" s="32" t="str">
        <f t="shared" si="6408"/>
        <v/>
      </c>
      <c r="AJ322" s="32" t="str">
        <f t="shared" si="6408"/>
        <v/>
      </c>
      <c r="AK322" s="32" t="str">
        <f t="shared" si="6408"/>
        <v/>
      </c>
      <c r="AL322" s="33" t="str">
        <f t="shared" si="6408"/>
        <v/>
      </c>
      <c r="AM322" s="33" t="str">
        <f t="shared" si="6408"/>
        <v/>
      </c>
      <c r="AN322" s="33" t="str">
        <f t="shared" si="6408"/>
        <v/>
      </c>
      <c r="AO322" s="33" t="str">
        <f t="shared" si="6408"/>
        <v/>
      </c>
      <c r="AP322" s="33" t="str">
        <f t="shared" si="6408"/>
        <v/>
      </c>
      <c r="AQ322" s="33" t="str">
        <f t="shared" si="6408"/>
        <v/>
      </c>
      <c r="AR322" s="33" t="str">
        <f t="shared" si="6408"/>
        <v/>
      </c>
      <c r="AS322" s="32" t="str">
        <f t="shared" si="6408"/>
        <v/>
      </c>
      <c r="AT322" s="32" t="str">
        <f t="shared" si="6408"/>
        <v/>
      </c>
      <c r="AU322" s="32" t="str">
        <f t="shared" si="6408"/>
        <v/>
      </c>
      <c r="AV322" s="32" t="str">
        <f t="shared" si="6408"/>
        <v/>
      </c>
      <c r="AW322" s="32" t="str">
        <f t="shared" si="6408"/>
        <v/>
      </c>
      <c r="AX322" s="32" t="str">
        <f t="shared" si="6408"/>
        <v/>
      </c>
      <c r="AY322" s="32" t="str">
        <f t="shared" si="6408"/>
        <v/>
      </c>
      <c r="AZ322" s="32" t="str">
        <f t="shared" si="6408"/>
        <v/>
      </c>
      <c r="BA322" s="32" t="str">
        <f t="shared" si="6408"/>
        <v/>
      </c>
      <c r="BB322" s="32" t="str">
        <f t="shared" si="6408"/>
        <v/>
      </c>
      <c r="BC322" s="32" t="str">
        <f t="shared" si="6408"/>
        <v/>
      </c>
      <c r="BD322" s="32" t="str">
        <f t="shared" si="6408"/>
        <v/>
      </c>
      <c r="BE322" s="32" t="str">
        <f t="shared" si="6408"/>
        <v/>
      </c>
      <c r="BF322" s="32" t="str">
        <f t="shared" si="6408"/>
        <v/>
      </c>
      <c r="BG322" s="32" t="str">
        <f t="shared" si="6408"/>
        <v/>
      </c>
      <c r="BH322" s="32" t="str">
        <f t="shared" si="6408"/>
        <v/>
      </c>
      <c r="BI322" s="32" t="str">
        <f t="shared" si="6408"/>
        <v/>
      </c>
      <c r="BJ322" s="32" t="str">
        <f t="shared" si="6408"/>
        <v/>
      </c>
      <c r="BK322" s="32" t="str">
        <f t="shared" si="6408"/>
        <v/>
      </c>
      <c r="BL322" s="32" t="str">
        <f t="shared" ref="BL322:CQ322" si="6409">IF(SUBTOTAL(9,BL324:BL325,BL327:BL328)&gt;0,SUBTOTAL(9,BL324:BL325,BL327:BL328),"")</f>
        <v/>
      </c>
      <c r="BM322" s="32" t="str">
        <f t="shared" si="6409"/>
        <v/>
      </c>
      <c r="BN322" s="32" t="str">
        <f t="shared" si="6409"/>
        <v/>
      </c>
      <c r="BO322" s="32" t="str">
        <f t="shared" si="6409"/>
        <v/>
      </c>
      <c r="BP322" s="32" t="str">
        <f t="shared" si="6409"/>
        <v/>
      </c>
      <c r="BQ322" s="32" t="str">
        <f t="shared" si="6409"/>
        <v/>
      </c>
      <c r="BR322" s="32" t="str">
        <f t="shared" si="6409"/>
        <v/>
      </c>
      <c r="BS322" s="32" t="str">
        <f t="shared" si="6409"/>
        <v/>
      </c>
      <c r="BT322" s="32" t="str">
        <f t="shared" si="6409"/>
        <v/>
      </c>
      <c r="BU322" s="32" t="str">
        <f t="shared" si="6409"/>
        <v/>
      </c>
      <c r="BV322" s="32" t="str">
        <f t="shared" si="6409"/>
        <v/>
      </c>
      <c r="BW322" s="32" t="str">
        <f t="shared" si="6409"/>
        <v/>
      </c>
      <c r="BX322" s="32" t="str">
        <f t="shared" si="6409"/>
        <v/>
      </c>
      <c r="BY322" s="32" t="str">
        <f t="shared" si="6409"/>
        <v/>
      </c>
      <c r="BZ322" s="32" t="str">
        <f t="shared" si="6409"/>
        <v/>
      </c>
      <c r="CA322" s="32" t="str">
        <f t="shared" si="6409"/>
        <v/>
      </c>
      <c r="CB322" s="32" t="str">
        <f t="shared" si="6409"/>
        <v/>
      </c>
      <c r="CC322" s="32" t="str">
        <f t="shared" si="6409"/>
        <v/>
      </c>
      <c r="CD322" s="32" t="str">
        <f t="shared" si="6409"/>
        <v/>
      </c>
      <c r="CE322" s="32" t="str">
        <f t="shared" si="6409"/>
        <v/>
      </c>
      <c r="CF322" s="32" t="str">
        <f t="shared" si="6409"/>
        <v/>
      </c>
      <c r="CG322" s="32" t="str">
        <f t="shared" si="6409"/>
        <v/>
      </c>
      <c r="CH322" s="32" t="str">
        <f t="shared" si="6409"/>
        <v/>
      </c>
      <c r="CI322" s="32" t="str">
        <f t="shared" si="6409"/>
        <v/>
      </c>
      <c r="CJ322" s="32" t="str">
        <f t="shared" si="6409"/>
        <v/>
      </c>
      <c r="CK322" s="32" t="str">
        <f t="shared" si="6409"/>
        <v/>
      </c>
      <c r="CL322" s="32" t="str">
        <f t="shared" si="6409"/>
        <v/>
      </c>
      <c r="CM322" s="32" t="str">
        <f t="shared" si="6409"/>
        <v/>
      </c>
      <c r="CN322" s="32" t="str">
        <f t="shared" si="6409"/>
        <v/>
      </c>
      <c r="CO322" s="32" t="str">
        <f t="shared" si="6409"/>
        <v/>
      </c>
      <c r="CP322" s="32" t="str">
        <f t="shared" si="6409"/>
        <v/>
      </c>
      <c r="CQ322" s="32" t="str">
        <f t="shared" si="6409"/>
        <v/>
      </c>
      <c r="CR322" s="32" t="str">
        <f t="shared" ref="CR322:DW322" si="6410">IF(SUBTOTAL(9,CR324:CR325,CR327:CR328)&gt;0,SUBTOTAL(9,CR324:CR325,CR327:CR328),"")</f>
        <v/>
      </c>
      <c r="CS322" s="32" t="str">
        <f t="shared" si="6410"/>
        <v/>
      </c>
      <c r="CT322" s="33" t="str">
        <f t="shared" si="6410"/>
        <v/>
      </c>
      <c r="CU322" s="32" t="str">
        <f t="shared" si="6410"/>
        <v/>
      </c>
      <c r="CV322" s="32" t="str">
        <f t="shared" si="6410"/>
        <v/>
      </c>
      <c r="CW322" s="32" t="str">
        <f t="shared" si="6410"/>
        <v/>
      </c>
      <c r="CX322" s="32" t="str">
        <f t="shared" si="6410"/>
        <v/>
      </c>
      <c r="CY322" s="32" t="str">
        <f t="shared" si="6410"/>
        <v/>
      </c>
      <c r="CZ322" s="33" t="str">
        <f t="shared" si="6410"/>
        <v/>
      </c>
      <c r="DA322" s="33" t="str">
        <f t="shared" si="6410"/>
        <v/>
      </c>
      <c r="DB322" s="32" t="str">
        <f t="shared" si="6410"/>
        <v/>
      </c>
      <c r="DC322" s="32" t="str">
        <f t="shared" si="6410"/>
        <v/>
      </c>
      <c r="DD322" s="32" t="str">
        <f t="shared" si="6410"/>
        <v/>
      </c>
      <c r="DE322" s="32" t="str">
        <f t="shared" si="6410"/>
        <v/>
      </c>
      <c r="DF322" s="32" t="str">
        <f t="shared" si="6410"/>
        <v/>
      </c>
      <c r="DG322" s="32" t="str">
        <f t="shared" si="6410"/>
        <v/>
      </c>
      <c r="DH322" s="32" t="str">
        <f t="shared" si="6410"/>
        <v/>
      </c>
      <c r="DI322" s="32" t="str">
        <f t="shared" si="6410"/>
        <v/>
      </c>
      <c r="DJ322" s="32" t="str">
        <f t="shared" si="6410"/>
        <v/>
      </c>
      <c r="DK322" s="32" t="str">
        <f t="shared" si="6410"/>
        <v/>
      </c>
      <c r="DL322" s="32" t="str">
        <f t="shared" si="6410"/>
        <v/>
      </c>
      <c r="DM322" s="32" t="str">
        <f t="shared" si="6410"/>
        <v/>
      </c>
      <c r="DN322" s="32" t="str">
        <f t="shared" si="6410"/>
        <v/>
      </c>
      <c r="DO322" s="32" t="str">
        <f t="shared" si="6410"/>
        <v/>
      </c>
      <c r="DP322" s="32" t="str">
        <f t="shared" si="6410"/>
        <v/>
      </c>
      <c r="DQ322" s="32" t="str">
        <f t="shared" si="6410"/>
        <v/>
      </c>
      <c r="DR322" s="32" t="str">
        <f t="shared" si="6410"/>
        <v/>
      </c>
      <c r="DS322" s="32" t="str">
        <f t="shared" si="6410"/>
        <v/>
      </c>
      <c r="DT322" s="32" t="str">
        <f t="shared" si="6410"/>
        <v/>
      </c>
      <c r="DU322" s="32" t="str">
        <f t="shared" si="6410"/>
        <v/>
      </c>
      <c r="DV322" s="32" t="str">
        <f t="shared" si="6410"/>
        <v/>
      </c>
      <c r="DW322" s="32" t="str">
        <f t="shared" si="6410"/>
        <v/>
      </c>
      <c r="DX322" s="32" t="str">
        <f t="shared" ref="DX322:FC322" si="6411">IF(SUBTOTAL(9,DX324:DX325,DX327:DX328)&gt;0,SUBTOTAL(9,DX324:DX325,DX327:DX328),"")</f>
        <v/>
      </c>
      <c r="DY322" s="32" t="str">
        <f t="shared" si="6411"/>
        <v/>
      </c>
      <c r="DZ322" s="33" t="str">
        <f t="shared" si="6411"/>
        <v/>
      </c>
      <c r="EA322" s="32" t="str">
        <f t="shared" si="6411"/>
        <v/>
      </c>
      <c r="EB322" s="32" t="str">
        <f t="shared" si="6411"/>
        <v/>
      </c>
      <c r="EC322" s="32" t="str">
        <f t="shared" si="6411"/>
        <v/>
      </c>
      <c r="ED322" s="32" t="str">
        <f t="shared" si="6411"/>
        <v/>
      </c>
      <c r="EE322" s="32" t="str">
        <f t="shared" si="6411"/>
        <v/>
      </c>
      <c r="EF322" s="32" t="str">
        <f t="shared" si="6411"/>
        <v/>
      </c>
      <c r="EG322" s="32" t="str">
        <f t="shared" si="6411"/>
        <v/>
      </c>
      <c r="EH322" s="32" t="str">
        <f t="shared" si="6411"/>
        <v/>
      </c>
      <c r="EI322" s="32" t="str">
        <f t="shared" si="6411"/>
        <v/>
      </c>
      <c r="EJ322" s="32" t="str">
        <f t="shared" si="6411"/>
        <v/>
      </c>
      <c r="EK322" s="32" t="str">
        <f t="shared" si="6411"/>
        <v/>
      </c>
      <c r="EL322" s="32" t="str">
        <f t="shared" si="6411"/>
        <v/>
      </c>
      <c r="EM322" s="32" t="str">
        <f t="shared" si="6411"/>
        <v/>
      </c>
      <c r="EN322" s="32" t="str">
        <f t="shared" si="6411"/>
        <v/>
      </c>
      <c r="EO322" s="32" t="str">
        <f t="shared" si="6411"/>
        <v/>
      </c>
      <c r="EP322" s="32" t="str">
        <f t="shared" si="6411"/>
        <v/>
      </c>
      <c r="EQ322" s="32" t="str">
        <f t="shared" si="6411"/>
        <v/>
      </c>
      <c r="ER322" s="32" t="str">
        <f t="shared" si="6411"/>
        <v/>
      </c>
      <c r="ES322" s="32" t="str">
        <f t="shared" si="6411"/>
        <v/>
      </c>
      <c r="ET322" s="32" t="str">
        <f t="shared" si="6411"/>
        <v/>
      </c>
      <c r="EU322" s="32" t="str">
        <f t="shared" si="6411"/>
        <v/>
      </c>
      <c r="EV322" s="32" t="str">
        <f t="shared" si="6411"/>
        <v/>
      </c>
      <c r="EW322" s="32" t="str">
        <f t="shared" si="6411"/>
        <v/>
      </c>
      <c r="EX322" s="32" t="str">
        <f t="shared" si="6411"/>
        <v/>
      </c>
      <c r="EY322" s="33" t="str">
        <f t="shared" si="6411"/>
        <v/>
      </c>
      <c r="EZ322" s="32" t="str">
        <f t="shared" si="6411"/>
        <v/>
      </c>
      <c r="FA322" s="32" t="str">
        <f t="shared" si="6411"/>
        <v/>
      </c>
      <c r="FB322" s="32" t="str">
        <f t="shared" si="6411"/>
        <v/>
      </c>
      <c r="FC322" s="32" t="str">
        <f t="shared" si="6411"/>
        <v/>
      </c>
      <c r="FD322" s="32" t="str">
        <f t="shared" ref="FD322:FQ322" si="6412">IF(SUBTOTAL(9,FD324:FD325,FD327:FD328)&gt;0,SUBTOTAL(9,FD324:FD325,FD327:FD328),"")</f>
        <v/>
      </c>
      <c r="FE322" s="32" t="str">
        <f t="shared" si="6412"/>
        <v/>
      </c>
      <c r="FF322" s="32" t="str">
        <f t="shared" si="6412"/>
        <v/>
      </c>
      <c r="FG322" s="32" t="str">
        <f t="shared" si="6412"/>
        <v/>
      </c>
      <c r="FH322" s="32" t="str">
        <f t="shared" si="6412"/>
        <v/>
      </c>
      <c r="FI322" s="32" t="str">
        <f t="shared" si="6412"/>
        <v/>
      </c>
      <c r="FJ322" s="32" t="str">
        <f t="shared" si="6412"/>
        <v/>
      </c>
      <c r="FK322" s="32" t="str">
        <f t="shared" si="6412"/>
        <v/>
      </c>
      <c r="FL322" s="32" t="str">
        <f t="shared" si="6412"/>
        <v/>
      </c>
      <c r="FM322" s="32" t="str">
        <f t="shared" si="6412"/>
        <v/>
      </c>
      <c r="FN322" s="32" t="str">
        <f t="shared" si="6412"/>
        <v/>
      </c>
      <c r="FO322" s="32" t="str">
        <f t="shared" si="6412"/>
        <v/>
      </c>
      <c r="FP322" s="32" t="str">
        <f t="shared" si="6412"/>
        <v/>
      </c>
      <c r="FQ322" s="90" t="str">
        <f t="shared" si="6412"/>
        <v/>
      </c>
      <c r="FS322" s="9" t="s">
        <v>131</v>
      </c>
      <c r="FT322" s="9" t="str">
        <f t="shared" si="6370"/>
        <v/>
      </c>
    </row>
    <row r="323" spans="1:176" ht="12" customHeight="1">
      <c r="A323" s="119" t="s">
        <v>105</v>
      </c>
      <c r="B323" s="127"/>
      <c r="C323" s="128" t="str">
        <f t="shared" si="6406"/>
        <v>1 days</v>
      </c>
      <c r="D323" s="37"/>
      <c r="E323" s="91" t="str">
        <f t="shared" ref="E323:AE323" si="6413">IF(SUBTOTAL(9,E324:E325)&gt;0,SUBTOTAL(9,E324:E325),"")</f>
        <v/>
      </c>
      <c r="F323" s="34" t="str">
        <f t="shared" si="6413"/>
        <v/>
      </c>
      <c r="G323" s="34" t="str">
        <f t="shared" si="6413"/>
        <v/>
      </c>
      <c r="H323" s="34" t="str">
        <f t="shared" si="6413"/>
        <v/>
      </c>
      <c r="I323" s="34" t="str">
        <f t="shared" si="6413"/>
        <v/>
      </c>
      <c r="J323" s="34">
        <f t="shared" si="6413"/>
        <v>0.1</v>
      </c>
      <c r="K323" s="34">
        <f t="shared" si="6413"/>
        <v>0.1</v>
      </c>
      <c r="L323" s="34">
        <f t="shared" si="6413"/>
        <v>0.1</v>
      </c>
      <c r="M323" s="34">
        <f t="shared" si="6413"/>
        <v>0.1</v>
      </c>
      <c r="N323" s="34">
        <f t="shared" si="6413"/>
        <v>0.1</v>
      </c>
      <c r="O323" s="34">
        <f t="shared" si="6413"/>
        <v>0.1</v>
      </c>
      <c r="P323" s="34">
        <f t="shared" si="6413"/>
        <v>0.2</v>
      </c>
      <c r="Q323" s="34" t="str">
        <f t="shared" si="6413"/>
        <v/>
      </c>
      <c r="R323" s="34" t="str">
        <f t="shared" si="6413"/>
        <v/>
      </c>
      <c r="S323" s="34">
        <f t="shared" si="6413"/>
        <v>0.05</v>
      </c>
      <c r="T323" s="34" t="str">
        <f t="shared" si="6413"/>
        <v/>
      </c>
      <c r="U323" s="34">
        <f t="shared" si="6413"/>
        <v>0.05</v>
      </c>
      <c r="V323" s="34">
        <f t="shared" si="6413"/>
        <v>0.1</v>
      </c>
      <c r="W323" s="34">
        <f t="shared" si="6413"/>
        <v>0.05</v>
      </c>
      <c r="X323" s="34">
        <f t="shared" si="6413"/>
        <v>0.15</v>
      </c>
      <c r="Y323" s="34" t="str">
        <f t="shared" si="6413"/>
        <v/>
      </c>
      <c r="Z323" s="34" t="str">
        <f t="shared" si="6413"/>
        <v/>
      </c>
      <c r="AA323" s="34" t="str">
        <f t="shared" si="6413"/>
        <v/>
      </c>
      <c r="AB323" s="34" t="str">
        <f t="shared" si="6413"/>
        <v/>
      </c>
      <c r="AC323" s="34" t="str">
        <f t="shared" si="6413"/>
        <v/>
      </c>
      <c r="AD323" s="34" t="str">
        <f t="shared" si="6413"/>
        <v/>
      </c>
      <c r="AE323" s="34" t="str">
        <f t="shared" si="6413"/>
        <v/>
      </c>
      <c r="AF323" s="34" t="str">
        <f t="shared" ref="AF323:BK323" si="6414">IF(SUBTOTAL(9,AF324:AF325)&gt;0,SUBTOTAL(9,AF324:AF325),"")</f>
        <v/>
      </c>
      <c r="AG323" s="34" t="str">
        <f t="shared" si="6414"/>
        <v/>
      </c>
      <c r="AH323" s="34" t="str">
        <f t="shared" si="6414"/>
        <v/>
      </c>
      <c r="AI323" s="34" t="str">
        <f t="shared" si="6414"/>
        <v/>
      </c>
      <c r="AJ323" s="34" t="str">
        <f t="shared" si="6414"/>
        <v/>
      </c>
      <c r="AK323" s="34" t="str">
        <f t="shared" si="6414"/>
        <v/>
      </c>
      <c r="AL323" s="33" t="str">
        <f t="shared" si="6414"/>
        <v/>
      </c>
      <c r="AM323" s="33" t="str">
        <f t="shared" si="6414"/>
        <v/>
      </c>
      <c r="AN323" s="33" t="str">
        <f t="shared" si="6414"/>
        <v/>
      </c>
      <c r="AO323" s="33" t="str">
        <f t="shared" si="6414"/>
        <v/>
      </c>
      <c r="AP323" s="33" t="str">
        <f t="shared" si="6414"/>
        <v/>
      </c>
      <c r="AQ323" s="33" t="str">
        <f t="shared" si="6414"/>
        <v/>
      </c>
      <c r="AR323" s="33" t="str">
        <f t="shared" si="6414"/>
        <v/>
      </c>
      <c r="AS323" s="34" t="str">
        <f t="shared" si="6414"/>
        <v/>
      </c>
      <c r="AT323" s="34" t="str">
        <f t="shared" si="6414"/>
        <v/>
      </c>
      <c r="AU323" s="34" t="str">
        <f t="shared" si="6414"/>
        <v/>
      </c>
      <c r="AV323" s="34" t="str">
        <f t="shared" si="6414"/>
        <v/>
      </c>
      <c r="AW323" s="34" t="str">
        <f t="shared" si="6414"/>
        <v/>
      </c>
      <c r="AX323" s="34" t="str">
        <f t="shared" si="6414"/>
        <v/>
      </c>
      <c r="AY323" s="34" t="str">
        <f t="shared" si="6414"/>
        <v/>
      </c>
      <c r="AZ323" s="34" t="str">
        <f t="shared" si="6414"/>
        <v/>
      </c>
      <c r="BA323" s="34" t="str">
        <f t="shared" si="6414"/>
        <v/>
      </c>
      <c r="BB323" s="34" t="str">
        <f t="shared" si="6414"/>
        <v/>
      </c>
      <c r="BC323" s="34" t="str">
        <f t="shared" si="6414"/>
        <v/>
      </c>
      <c r="BD323" s="34" t="str">
        <f t="shared" si="6414"/>
        <v/>
      </c>
      <c r="BE323" s="34" t="str">
        <f t="shared" si="6414"/>
        <v/>
      </c>
      <c r="BF323" s="34" t="str">
        <f t="shared" si="6414"/>
        <v/>
      </c>
      <c r="BG323" s="34" t="str">
        <f t="shared" si="6414"/>
        <v/>
      </c>
      <c r="BH323" s="34" t="str">
        <f t="shared" si="6414"/>
        <v/>
      </c>
      <c r="BI323" s="34" t="str">
        <f t="shared" si="6414"/>
        <v/>
      </c>
      <c r="BJ323" s="34" t="str">
        <f t="shared" si="6414"/>
        <v/>
      </c>
      <c r="BK323" s="34" t="str">
        <f t="shared" si="6414"/>
        <v/>
      </c>
      <c r="BL323" s="34" t="str">
        <f t="shared" ref="BL323:CQ323" si="6415">IF(SUBTOTAL(9,BL324:BL325)&gt;0,SUBTOTAL(9,BL324:BL325),"")</f>
        <v/>
      </c>
      <c r="BM323" s="34" t="str">
        <f t="shared" si="6415"/>
        <v/>
      </c>
      <c r="BN323" s="34" t="str">
        <f t="shared" si="6415"/>
        <v/>
      </c>
      <c r="BO323" s="34" t="str">
        <f t="shared" si="6415"/>
        <v/>
      </c>
      <c r="BP323" s="34" t="str">
        <f t="shared" si="6415"/>
        <v/>
      </c>
      <c r="BQ323" s="34" t="str">
        <f t="shared" si="6415"/>
        <v/>
      </c>
      <c r="BR323" s="34" t="str">
        <f t="shared" si="6415"/>
        <v/>
      </c>
      <c r="BS323" s="34" t="str">
        <f t="shared" si="6415"/>
        <v/>
      </c>
      <c r="BT323" s="34" t="str">
        <f t="shared" si="6415"/>
        <v/>
      </c>
      <c r="BU323" s="34" t="str">
        <f t="shared" si="6415"/>
        <v/>
      </c>
      <c r="BV323" s="34" t="str">
        <f t="shared" si="6415"/>
        <v/>
      </c>
      <c r="BW323" s="34" t="str">
        <f t="shared" si="6415"/>
        <v/>
      </c>
      <c r="BX323" s="34" t="str">
        <f t="shared" si="6415"/>
        <v/>
      </c>
      <c r="BY323" s="34" t="str">
        <f t="shared" si="6415"/>
        <v/>
      </c>
      <c r="BZ323" s="34" t="str">
        <f t="shared" si="6415"/>
        <v/>
      </c>
      <c r="CA323" s="34" t="str">
        <f t="shared" si="6415"/>
        <v/>
      </c>
      <c r="CB323" s="34" t="str">
        <f t="shared" si="6415"/>
        <v/>
      </c>
      <c r="CC323" s="34" t="str">
        <f t="shared" si="6415"/>
        <v/>
      </c>
      <c r="CD323" s="34" t="str">
        <f t="shared" si="6415"/>
        <v/>
      </c>
      <c r="CE323" s="34" t="str">
        <f t="shared" si="6415"/>
        <v/>
      </c>
      <c r="CF323" s="34" t="str">
        <f t="shared" si="6415"/>
        <v/>
      </c>
      <c r="CG323" s="34" t="str">
        <f t="shared" si="6415"/>
        <v/>
      </c>
      <c r="CH323" s="34" t="str">
        <f t="shared" si="6415"/>
        <v/>
      </c>
      <c r="CI323" s="34" t="str">
        <f t="shared" si="6415"/>
        <v/>
      </c>
      <c r="CJ323" s="34" t="str">
        <f t="shared" si="6415"/>
        <v/>
      </c>
      <c r="CK323" s="34" t="str">
        <f t="shared" si="6415"/>
        <v/>
      </c>
      <c r="CL323" s="34" t="str">
        <f t="shared" si="6415"/>
        <v/>
      </c>
      <c r="CM323" s="34" t="str">
        <f t="shared" si="6415"/>
        <v/>
      </c>
      <c r="CN323" s="34" t="str">
        <f t="shared" si="6415"/>
        <v/>
      </c>
      <c r="CO323" s="34" t="str">
        <f t="shared" si="6415"/>
        <v/>
      </c>
      <c r="CP323" s="34" t="str">
        <f t="shared" si="6415"/>
        <v/>
      </c>
      <c r="CQ323" s="34" t="str">
        <f t="shared" si="6415"/>
        <v/>
      </c>
      <c r="CR323" s="34" t="str">
        <f t="shared" ref="CR323:DW323" si="6416">IF(SUBTOTAL(9,CR324:CR325)&gt;0,SUBTOTAL(9,CR324:CR325),"")</f>
        <v/>
      </c>
      <c r="CS323" s="34" t="str">
        <f t="shared" si="6416"/>
        <v/>
      </c>
      <c r="CT323" s="33" t="str">
        <f t="shared" si="6416"/>
        <v/>
      </c>
      <c r="CU323" s="34" t="str">
        <f t="shared" si="6416"/>
        <v/>
      </c>
      <c r="CV323" s="34" t="str">
        <f t="shared" si="6416"/>
        <v/>
      </c>
      <c r="CW323" s="34" t="str">
        <f t="shared" si="6416"/>
        <v/>
      </c>
      <c r="CX323" s="34" t="str">
        <f t="shared" si="6416"/>
        <v/>
      </c>
      <c r="CY323" s="34" t="str">
        <f t="shared" si="6416"/>
        <v/>
      </c>
      <c r="CZ323" s="33" t="str">
        <f t="shared" si="6416"/>
        <v/>
      </c>
      <c r="DA323" s="33" t="str">
        <f t="shared" si="6416"/>
        <v/>
      </c>
      <c r="DB323" s="34" t="str">
        <f t="shared" si="6416"/>
        <v/>
      </c>
      <c r="DC323" s="34" t="str">
        <f t="shared" si="6416"/>
        <v/>
      </c>
      <c r="DD323" s="34" t="str">
        <f t="shared" si="6416"/>
        <v/>
      </c>
      <c r="DE323" s="34" t="str">
        <f t="shared" si="6416"/>
        <v/>
      </c>
      <c r="DF323" s="34" t="str">
        <f t="shared" si="6416"/>
        <v/>
      </c>
      <c r="DG323" s="34" t="str">
        <f t="shared" si="6416"/>
        <v/>
      </c>
      <c r="DH323" s="34" t="str">
        <f t="shared" si="6416"/>
        <v/>
      </c>
      <c r="DI323" s="34" t="str">
        <f t="shared" si="6416"/>
        <v/>
      </c>
      <c r="DJ323" s="34" t="str">
        <f t="shared" si="6416"/>
        <v/>
      </c>
      <c r="DK323" s="34" t="str">
        <f t="shared" si="6416"/>
        <v/>
      </c>
      <c r="DL323" s="34" t="str">
        <f t="shared" si="6416"/>
        <v/>
      </c>
      <c r="DM323" s="34" t="str">
        <f t="shared" si="6416"/>
        <v/>
      </c>
      <c r="DN323" s="34" t="str">
        <f t="shared" si="6416"/>
        <v/>
      </c>
      <c r="DO323" s="34" t="str">
        <f t="shared" si="6416"/>
        <v/>
      </c>
      <c r="DP323" s="34" t="str">
        <f t="shared" si="6416"/>
        <v/>
      </c>
      <c r="DQ323" s="34" t="str">
        <f t="shared" si="6416"/>
        <v/>
      </c>
      <c r="DR323" s="34" t="str">
        <f t="shared" si="6416"/>
        <v/>
      </c>
      <c r="DS323" s="34" t="str">
        <f t="shared" si="6416"/>
        <v/>
      </c>
      <c r="DT323" s="34" t="str">
        <f t="shared" si="6416"/>
        <v/>
      </c>
      <c r="DU323" s="34" t="str">
        <f t="shared" si="6416"/>
        <v/>
      </c>
      <c r="DV323" s="34" t="str">
        <f t="shared" si="6416"/>
        <v/>
      </c>
      <c r="DW323" s="34" t="str">
        <f t="shared" si="6416"/>
        <v/>
      </c>
      <c r="DX323" s="34" t="str">
        <f t="shared" ref="DX323:FC323" si="6417">IF(SUBTOTAL(9,DX324:DX325)&gt;0,SUBTOTAL(9,DX324:DX325),"")</f>
        <v/>
      </c>
      <c r="DY323" s="34" t="str">
        <f t="shared" si="6417"/>
        <v/>
      </c>
      <c r="DZ323" s="33" t="str">
        <f t="shared" si="6417"/>
        <v/>
      </c>
      <c r="EA323" s="34" t="str">
        <f t="shared" si="6417"/>
        <v/>
      </c>
      <c r="EB323" s="34" t="str">
        <f t="shared" si="6417"/>
        <v/>
      </c>
      <c r="EC323" s="34" t="str">
        <f t="shared" si="6417"/>
        <v/>
      </c>
      <c r="ED323" s="34" t="str">
        <f t="shared" si="6417"/>
        <v/>
      </c>
      <c r="EE323" s="34" t="str">
        <f t="shared" si="6417"/>
        <v/>
      </c>
      <c r="EF323" s="34" t="str">
        <f t="shared" si="6417"/>
        <v/>
      </c>
      <c r="EG323" s="34" t="str">
        <f t="shared" si="6417"/>
        <v/>
      </c>
      <c r="EH323" s="34" t="str">
        <f t="shared" si="6417"/>
        <v/>
      </c>
      <c r="EI323" s="34" t="str">
        <f t="shared" si="6417"/>
        <v/>
      </c>
      <c r="EJ323" s="34" t="str">
        <f t="shared" si="6417"/>
        <v/>
      </c>
      <c r="EK323" s="34" t="str">
        <f t="shared" si="6417"/>
        <v/>
      </c>
      <c r="EL323" s="34" t="str">
        <f t="shared" si="6417"/>
        <v/>
      </c>
      <c r="EM323" s="34" t="str">
        <f t="shared" si="6417"/>
        <v/>
      </c>
      <c r="EN323" s="34" t="str">
        <f t="shared" si="6417"/>
        <v/>
      </c>
      <c r="EO323" s="34" t="str">
        <f t="shared" si="6417"/>
        <v/>
      </c>
      <c r="EP323" s="34" t="str">
        <f t="shared" si="6417"/>
        <v/>
      </c>
      <c r="EQ323" s="34" t="str">
        <f t="shared" si="6417"/>
        <v/>
      </c>
      <c r="ER323" s="34" t="str">
        <f t="shared" si="6417"/>
        <v/>
      </c>
      <c r="ES323" s="34" t="str">
        <f t="shared" si="6417"/>
        <v/>
      </c>
      <c r="ET323" s="34" t="str">
        <f t="shared" si="6417"/>
        <v/>
      </c>
      <c r="EU323" s="34" t="str">
        <f t="shared" si="6417"/>
        <v/>
      </c>
      <c r="EV323" s="34" t="str">
        <f t="shared" si="6417"/>
        <v/>
      </c>
      <c r="EW323" s="34" t="str">
        <f t="shared" si="6417"/>
        <v/>
      </c>
      <c r="EX323" s="34" t="str">
        <f t="shared" si="6417"/>
        <v/>
      </c>
      <c r="EY323" s="33" t="str">
        <f t="shared" si="6417"/>
        <v/>
      </c>
      <c r="EZ323" s="34" t="str">
        <f t="shared" si="6417"/>
        <v/>
      </c>
      <c r="FA323" s="34" t="str">
        <f t="shared" si="6417"/>
        <v/>
      </c>
      <c r="FB323" s="34" t="str">
        <f t="shared" si="6417"/>
        <v/>
      </c>
      <c r="FC323" s="34" t="str">
        <f t="shared" si="6417"/>
        <v/>
      </c>
      <c r="FD323" s="34" t="str">
        <f t="shared" ref="FD323:FQ323" si="6418">IF(SUBTOTAL(9,FD324:FD325)&gt;0,SUBTOTAL(9,FD324:FD325),"")</f>
        <v/>
      </c>
      <c r="FE323" s="34" t="str">
        <f t="shared" si="6418"/>
        <v/>
      </c>
      <c r="FF323" s="34" t="str">
        <f t="shared" si="6418"/>
        <v/>
      </c>
      <c r="FG323" s="34" t="str">
        <f t="shared" si="6418"/>
        <v/>
      </c>
      <c r="FH323" s="34" t="str">
        <f t="shared" si="6418"/>
        <v/>
      </c>
      <c r="FI323" s="34" t="str">
        <f t="shared" si="6418"/>
        <v/>
      </c>
      <c r="FJ323" s="34" t="str">
        <f t="shared" si="6418"/>
        <v/>
      </c>
      <c r="FK323" s="34" t="str">
        <f t="shared" si="6418"/>
        <v/>
      </c>
      <c r="FL323" s="34" t="str">
        <f t="shared" si="6418"/>
        <v/>
      </c>
      <c r="FM323" s="34" t="str">
        <f t="shared" si="6418"/>
        <v/>
      </c>
      <c r="FN323" s="34" t="str">
        <f t="shared" si="6418"/>
        <v/>
      </c>
      <c r="FO323" s="34" t="str">
        <f t="shared" si="6418"/>
        <v/>
      </c>
      <c r="FP323" s="34" t="str">
        <f t="shared" si="6418"/>
        <v/>
      </c>
      <c r="FQ323" s="92" t="str">
        <f t="shared" si="6418"/>
        <v/>
      </c>
      <c r="FS323" s="9" t="s">
        <v>131</v>
      </c>
      <c r="FT323" s="9" t="str">
        <f t="shared" si="6370"/>
        <v/>
      </c>
    </row>
    <row r="324" spans="1:176" ht="12" hidden="1" customHeight="1" outlineLevel="1">
      <c r="A324" s="122" t="s">
        <v>188</v>
      </c>
      <c r="B324" s="130" t="s">
        <v>10</v>
      </c>
      <c r="C324" s="131" t="str">
        <f t="shared" si="6406"/>
        <v>1 days</v>
      </c>
      <c r="D324" s="101" t="str">
        <f>A322&amp;" "&amp;A323</f>
        <v>11. FDS Release 3 11.1 FDS Release 3 - HDL - SIS  SII Test</v>
      </c>
      <c r="E324" s="51"/>
      <c r="F324" s="35"/>
      <c r="G324" s="35"/>
      <c r="H324" s="35"/>
      <c r="I324" s="35"/>
      <c r="J324" s="35">
        <v>0.1</v>
      </c>
      <c r="K324" s="35">
        <v>0.1</v>
      </c>
      <c r="L324" s="35">
        <v>0.1</v>
      </c>
      <c r="M324" s="35">
        <v>0.1</v>
      </c>
      <c r="N324" s="35">
        <v>0.1</v>
      </c>
      <c r="O324" s="35">
        <v>0.1</v>
      </c>
      <c r="P324" s="35">
        <v>0.2</v>
      </c>
      <c r="Q324" s="35"/>
      <c r="R324" s="35"/>
      <c r="S324" s="35">
        <v>0.05</v>
      </c>
      <c r="T324" s="35"/>
      <c r="U324" s="35">
        <v>0.05</v>
      </c>
      <c r="V324" s="35">
        <v>0.1</v>
      </c>
      <c r="W324" s="35">
        <v>0.05</v>
      </c>
      <c r="X324" s="35">
        <v>0.15</v>
      </c>
      <c r="Y324" s="35"/>
      <c r="Z324" s="35"/>
      <c r="AA324" s="35"/>
      <c r="AB324" s="35"/>
      <c r="AC324" s="35"/>
      <c r="AD324" s="35"/>
      <c r="AE324" s="35"/>
      <c r="AF324" s="35"/>
      <c r="AG324" s="35"/>
      <c r="AH324" s="35"/>
      <c r="AI324" s="35"/>
      <c r="AJ324" s="35"/>
      <c r="AK324" s="35"/>
      <c r="AL324" s="36"/>
      <c r="AM324" s="36"/>
      <c r="AN324" s="36"/>
      <c r="AO324" s="36"/>
      <c r="AP324" s="36"/>
      <c r="AQ324" s="36"/>
      <c r="AR324" s="36"/>
      <c r="AS324" s="35"/>
      <c r="AT324" s="35"/>
      <c r="AU324" s="35"/>
      <c r="AV324" s="35"/>
      <c r="AW324" s="35"/>
      <c r="AX324" s="35"/>
      <c r="AY324" s="35"/>
      <c r="AZ324" s="35"/>
      <c r="BA324" s="35"/>
      <c r="BB324" s="35"/>
      <c r="BC324" s="35"/>
      <c r="BD324" s="35"/>
      <c r="BE324" s="35"/>
      <c r="BF324" s="35"/>
      <c r="BG324" s="35"/>
      <c r="BH324" s="35"/>
      <c r="BI324" s="35"/>
      <c r="BJ324" s="35"/>
      <c r="BK324" s="35"/>
      <c r="BL324" s="35"/>
      <c r="BM324" s="35"/>
      <c r="BN324" s="35"/>
      <c r="BO324" s="35"/>
      <c r="BP324" s="35"/>
      <c r="BQ324" s="35"/>
      <c r="BR324" s="35"/>
      <c r="BS324" s="35"/>
      <c r="BT324" s="35"/>
      <c r="BU324" s="35"/>
      <c r="BV324" s="35"/>
      <c r="BW324" s="35"/>
      <c r="BX324" s="35"/>
      <c r="BY324" s="35"/>
      <c r="BZ324" s="35"/>
      <c r="CA324" s="35"/>
      <c r="CB324" s="35"/>
      <c r="CC324" s="35"/>
      <c r="CD324" s="35"/>
      <c r="CE324" s="35"/>
      <c r="CF324" s="35"/>
      <c r="CG324" s="35"/>
      <c r="CH324" s="35"/>
      <c r="CI324" s="35"/>
      <c r="CJ324" s="35"/>
      <c r="CK324" s="35"/>
      <c r="CL324" s="35"/>
      <c r="CM324" s="35"/>
      <c r="CN324" s="35"/>
      <c r="CO324" s="35"/>
      <c r="CP324" s="35"/>
      <c r="CQ324" s="35"/>
      <c r="CR324" s="35"/>
      <c r="CS324" s="35"/>
      <c r="CT324" s="36"/>
      <c r="CU324" s="35"/>
      <c r="CV324" s="35"/>
      <c r="CW324" s="35"/>
      <c r="CX324" s="35"/>
      <c r="CY324" s="35"/>
      <c r="CZ324" s="36"/>
      <c r="DA324" s="36"/>
      <c r="DB324" s="35"/>
      <c r="DC324" s="35"/>
      <c r="DD324" s="35"/>
      <c r="DE324" s="35"/>
      <c r="DF324" s="35"/>
      <c r="DG324" s="35"/>
      <c r="DH324" s="35"/>
      <c r="DI324" s="35"/>
      <c r="DJ324" s="35"/>
      <c r="DK324" s="35"/>
      <c r="DL324" s="35"/>
      <c r="DM324" s="35"/>
      <c r="DN324" s="35"/>
      <c r="DO324" s="35"/>
      <c r="DP324" s="35"/>
      <c r="DQ324" s="35"/>
      <c r="DR324" s="35"/>
      <c r="DS324" s="35"/>
      <c r="DT324" s="35"/>
      <c r="DU324" s="35"/>
      <c r="DV324" s="35"/>
      <c r="DW324" s="35"/>
      <c r="DX324" s="35"/>
      <c r="DY324" s="35"/>
      <c r="DZ324" s="36"/>
      <c r="EA324" s="35"/>
      <c r="EB324" s="35"/>
      <c r="EC324" s="35"/>
      <c r="ED324" s="35"/>
      <c r="EE324" s="35"/>
      <c r="EF324" s="35"/>
      <c r="EG324" s="35"/>
      <c r="EH324" s="35"/>
      <c r="EI324" s="35"/>
      <c r="EJ324" s="35"/>
      <c r="EK324" s="35"/>
      <c r="EL324" s="35"/>
      <c r="EM324" s="35"/>
      <c r="EN324" s="35"/>
      <c r="EO324" s="35"/>
      <c r="EP324" s="35"/>
      <c r="EQ324" s="35"/>
      <c r="ER324" s="35"/>
      <c r="ES324" s="35"/>
      <c r="ET324" s="35"/>
      <c r="EU324" s="35"/>
      <c r="EV324" s="35"/>
      <c r="EW324" s="35"/>
      <c r="EX324" s="35"/>
      <c r="EY324" s="36"/>
      <c r="EZ324" s="35"/>
      <c r="FA324" s="35"/>
      <c r="FB324" s="35"/>
      <c r="FC324" s="35"/>
      <c r="FD324" s="35"/>
      <c r="FE324" s="35"/>
      <c r="FF324" s="35"/>
      <c r="FG324" s="35"/>
      <c r="FH324" s="35"/>
      <c r="FI324" s="35"/>
      <c r="FJ324" s="35"/>
      <c r="FK324" s="35"/>
      <c r="FL324" s="35"/>
      <c r="FM324" s="35"/>
      <c r="FN324" s="35"/>
      <c r="FO324" s="35"/>
      <c r="FP324" s="35"/>
      <c r="FQ324" s="52"/>
      <c r="FS324" s="9" t="s">
        <v>13</v>
      </c>
      <c r="FT324" s="9" t="str">
        <f t="shared" si="6370"/>
        <v>11. FDS Release 3 11.1 FDS Release 3 - HDL - SIS  SII TestGlenn Kirk</v>
      </c>
    </row>
    <row r="325" spans="1:176" ht="12" hidden="1" customHeight="1" outlineLevel="1">
      <c r="A325" s="122"/>
      <c r="B325" s="123"/>
      <c r="C325" s="131" t="str">
        <f t="shared" si="6406"/>
        <v>0 days</v>
      </c>
      <c r="D325" s="11" t="str">
        <f>A322&amp;" "&amp;A323</f>
        <v>11. FDS Release 3 11.1 FDS Release 3 - HDL - SIS  SII Test</v>
      </c>
      <c r="E325" s="51"/>
      <c r="F325" s="35"/>
      <c r="G325" s="35"/>
      <c r="H325" s="35"/>
      <c r="I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D325" s="35"/>
      <c r="AE325" s="35"/>
      <c r="AF325" s="35"/>
      <c r="AG325" s="35"/>
      <c r="AH325" s="35"/>
      <c r="AI325" s="35"/>
      <c r="AJ325" s="35"/>
      <c r="AK325" s="35"/>
      <c r="AL325" s="36"/>
      <c r="AM325" s="36"/>
      <c r="AN325" s="36"/>
      <c r="AO325" s="36"/>
      <c r="AP325" s="36"/>
      <c r="AQ325" s="36"/>
      <c r="AR325" s="36"/>
      <c r="AS325" s="35"/>
      <c r="AT325" s="35"/>
      <c r="AU325" s="35"/>
      <c r="AV325" s="35"/>
      <c r="AW325" s="35"/>
      <c r="AX325" s="35"/>
      <c r="AY325" s="35"/>
      <c r="AZ325" s="35"/>
      <c r="BA325" s="35"/>
      <c r="BB325" s="35"/>
      <c r="BC325" s="35"/>
      <c r="BD325" s="35"/>
      <c r="BE325" s="35"/>
      <c r="BF325" s="35"/>
      <c r="BG325" s="35"/>
      <c r="BH325" s="35"/>
      <c r="BI325" s="35"/>
      <c r="BJ325" s="35"/>
      <c r="BK325" s="35"/>
      <c r="BL325" s="35"/>
      <c r="BM325" s="35"/>
      <c r="BN325" s="35"/>
      <c r="BO325" s="35"/>
      <c r="BP325" s="35"/>
      <c r="BQ325" s="35"/>
      <c r="BR325" s="35"/>
      <c r="BS325" s="35"/>
      <c r="BT325" s="35"/>
      <c r="BU325" s="35"/>
      <c r="BV325" s="35"/>
      <c r="BW325" s="35"/>
      <c r="BX325" s="35"/>
      <c r="BY325" s="35"/>
      <c r="BZ325" s="35"/>
      <c r="CA325" s="35"/>
      <c r="CB325" s="35"/>
      <c r="CC325" s="35"/>
      <c r="CD325" s="35"/>
      <c r="CE325" s="35"/>
      <c r="CF325" s="35"/>
      <c r="CG325" s="35"/>
      <c r="CH325" s="35"/>
      <c r="CI325" s="35"/>
      <c r="CJ325" s="35"/>
      <c r="CK325" s="35"/>
      <c r="CL325" s="35"/>
      <c r="CM325" s="35"/>
      <c r="CN325" s="35"/>
      <c r="CO325" s="35"/>
      <c r="CP325" s="35"/>
      <c r="CQ325" s="35"/>
      <c r="CR325" s="35"/>
      <c r="CS325" s="35"/>
      <c r="CT325" s="36"/>
      <c r="CU325" s="35"/>
      <c r="CV325" s="35"/>
      <c r="CW325" s="35"/>
      <c r="CX325" s="35"/>
      <c r="CY325" s="35"/>
      <c r="CZ325" s="36"/>
      <c r="DA325" s="36"/>
      <c r="DB325" s="35"/>
      <c r="DC325" s="35"/>
      <c r="DD325" s="35"/>
      <c r="DE325" s="35"/>
      <c r="DF325" s="35"/>
      <c r="DG325" s="35"/>
      <c r="DH325" s="35"/>
      <c r="DI325" s="35"/>
      <c r="DJ325" s="35"/>
      <c r="DK325" s="35"/>
      <c r="DL325" s="35"/>
      <c r="DM325" s="35"/>
      <c r="DN325" s="35"/>
      <c r="DO325" s="35"/>
      <c r="DP325" s="35"/>
      <c r="DQ325" s="35"/>
      <c r="DR325" s="35"/>
      <c r="DS325" s="35"/>
      <c r="DT325" s="35"/>
      <c r="DU325" s="35"/>
      <c r="DV325" s="35"/>
      <c r="DW325" s="35"/>
      <c r="DX325" s="35"/>
      <c r="DY325" s="35"/>
      <c r="DZ325" s="36"/>
      <c r="EA325" s="35"/>
      <c r="EB325" s="35"/>
      <c r="EC325" s="35"/>
      <c r="ED325" s="35"/>
      <c r="EE325" s="35"/>
      <c r="EF325" s="35"/>
      <c r="EG325" s="35"/>
      <c r="EH325" s="35"/>
      <c r="EI325" s="35"/>
      <c r="EJ325" s="35"/>
      <c r="EK325" s="35"/>
      <c r="EL325" s="35"/>
      <c r="EM325" s="35"/>
      <c r="EN325" s="35"/>
      <c r="EO325" s="35"/>
      <c r="EP325" s="35"/>
      <c r="EQ325" s="35"/>
      <c r="ER325" s="35"/>
      <c r="ES325" s="35"/>
      <c r="ET325" s="35"/>
      <c r="EU325" s="35"/>
      <c r="EV325" s="35"/>
      <c r="EW325" s="35"/>
      <c r="EX325" s="35"/>
      <c r="EY325" s="36"/>
      <c r="EZ325" s="35"/>
      <c r="FA325" s="35"/>
      <c r="FB325" s="35"/>
      <c r="FC325" s="35"/>
      <c r="FD325" s="35"/>
      <c r="FE325" s="35"/>
      <c r="FF325" s="35"/>
      <c r="FG325" s="35"/>
      <c r="FH325" s="35"/>
      <c r="FI325" s="35"/>
      <c r="FJ325" s="35"/>
      <c r="FK325" s="35"/>
      <c r="FL325" s="35"/>
      <c r="FM325" s="35"/>
      <c r="FN325" s="35"/>
      <c r="FO325" s="35"/>
      <c r="FP325" s="35"/>
      <c r="FQ325" s="52"/>
      <c r="FS325" s="9" t="s">
        <v>13</v>
      </c>
      <c r="FT325" s="9" t="str">
        <f t="shared" si="6370"/>
        <v>11. FDS Release 3 11.1 FDS Release 3 - HDL - SIS  SII Test</v>
      </c>
    </row>
    <row r="326" spans="1:176" ht="12" customHeight="1" collapsed="1">
      <c r="A326" s="119" t="s">
        <v>106</v>
      </c>
      <c r="B326" s="127"/>
      <c r="C326" s="128" t="str">
        <f t="shared" si="6406"/>
        <v>5 days</v>
      </c>
      <c r="D326" s="37"/>
      <c r="E326" s="91" t="str">
        <f t="shared" ref="E326:AE326" si="6419">IF(SUBTOTAL(9,E327:E328)&gt;0,SUBTOTAL(9,E327:E328),"")</f>
        <v/>
      </c>
      <c r="F326" s="34" t="str">
        <f t="shared" si="6419"/>
        <v/>
      </c>
      <c r="G326" s="34" t="str">
        <f t="shared" si="6419"/>
        <v/>
      </c>
      <c r="H326" s="34" t="str">
        <f t="shared" si="6419"/>
        <v/>
      </c>
      <c r="I326" s="34" t="str">
        <f t="shared" si="6419"/>
        <v/>
      </c>
      <c r="J326" s="34">
        <f t="shared" si="6419"/>
        <v>0.4</v>
      </c>
      <c r="K326" s="34">
        <f t="shared" si="6419"/>
        <v>0.4</v>
      </c>
      <c r="L326" s="34">
        <f t="shared" si="6419"/>
        <v>0.4</v>
      </c>
      <c r="M326" s="34">
        <f t="shared" si="6419"/>
        <v>0.4</v>
      </c>
      <c r="N326" s="34">
        <f t="shared" si="6419"/>
        <v>0.4</v>
      </c>
      <c r="O326" s="34">
        <f t="shared" si="6419"/>
        <v>0.4</v>
      </c>
      <c r="P326" s="34">
        <f t="shared" si="6419"/>
        <v>0.05</v>
      </c>
      <c r="Q326" s="34" t="str">
        <f t="shared" si="6419"/>
        <v/>
      </c>
      <c r="R326" s="34" t="str">
        <f t="shared" si="6419"/>
        <v/>
      </c>
      <c r="S326" s="34">
        <f t="shared" si="6419"/>
        <v>0.2</v>
      </c>
      <c r="T326" s="34" t="str">
        <f t="shared" si="6419"/>
        <v/>
      </c>
      <c r="U326" s="34">
        <f t="shared" si="6419"/>
        <v>0.45</v>
      </c>
      <c r="V326" s="34">
        <f t="shared" si="6419"/>
        <v>0.4</v>
      </c>
      <c r="W326" s="34">
        <f t="shared" si="6419"/>
        <v>0.45</v>
      </c>
      <c r="X326" s="34">
        <f t="shared" si="6419"/>
        <v>0.35</v>
      </c>
      <c r="Y326" s="34">
        <f t="shared" si="6419"/>
        <v>0.05</v>
      </c>
      <c r="Z326" s="34">
        <f t="shared" si="6419"/>
        <v>0.1</v>
      </c>
      <c r="AA326" s="34">
        <f t="shared" si="6419"/>
        <v>0.05</v>
      </c>
      <c r="AB326" s="34">
        <f t="shared" si="6419"/>
        <v>0.05</v>
      </c>
      <c r="AC326" s="34" t="str">
        <f t="shared" si="6419"/>
        <v/>
      </c>
      <c r="AD326" s="34" t="str">
        <f t="shared" si="6419"/>
        <v/>
      </c>
      <c r="AE326" s="34" t="str">
        <f t="shared" si="6419"/>
        <v/>
      </c>
      <c r="AF326" s="34" t="str">
        <f t="shared" ref="AF326:BK326" si="6420">IF(SUBTOTAL(9,AF327:AF328)&gt;0,SUBTOTAL(9,AF327:AF328),"")</f>
        <v/>
      </c>
      <c r="AG326" s="34" t="str">
        <f t="shared" si="6420"/>
        <v/>
      </c>
      <c r="AH326" s="34" t="str">
        <f t="shared" si="6420"/>
        <v/>
      </c>
      <c r="AI326" s="34" t="str">
        <f t="shared" si="6420"/>
        <v/>
      </c>
      <c r="AJ326" s="34" t="str">
        <f t="shared" si="6420"/>
        <v/>
      </c>
      <c r="AK326" s="34" t="str">
        <f t="shared" si="6420"/>
        <v/>
      </c>
      <c r="AL326" s="33" t="str">
        <f t="shared" si="6420"/>
        <v/>
      </c>
      <c r="AM326" s="33" t="str">
        <f t="shared" si="6420"/>
        <v/>
      </c>
      <c r="AN326" s="33" t="str">
        <f t="shared" si="6420"/>
        <v/>
      </c>
      <c r="AO326" s="33" t="str">
        <f t="shared" si="6420"/>
        <v/>
      </c>
      <c r="AP326" s="33" t="str">
        <f t="shared" si="6420"/>
        <v/>
      </c>
      <c r="AQ326" s="33" t="str">
        <f t="shared" si="6420"/>
        <v/>
      </c>
      <c r="AR326" s="33" t="str">
        <f t="shared" si="6420"/>
        <v/>
      </c>
      <c r="AS326" s="34" t="str">
        <f t="shared" si="6420"/>
        <v/>
      </c>
      <c r="AT326" s="34" t="str">
        <f t="shared" si="6420"/>
        <v/>
      </c>
      <c r="AU326" s="34" t="str">
        <f t="shared" si="6420"/>
        <v/>
      </c>
      <c r="AV326" s="34" t="str">
        <f t="shared" si="6420"/>
        <v/>
      </c>
      <c r="AW326" s="34" t="str">
        <f t="shared" si="6420"/>
        <v/>
      </c>
      <c r="AX326" s="34" t="str">
        <f t="shared" si="6420"/>
        <v/>
      </c>
      <c r="AY326" s="34" t="str">
        <f t="shared" si="6420"/>
        <v/>
      </c>
      <c r="AZ326" s="34" t="str">
        <f t="shared" si="6420"/>
        <v/>
      </c>
      <c r="BA326" s="34" t="str">
        <f t="shared" si="6420"/>
        <v/>
      </c>
      <c r="BB326" s="34" t="str">
        <f t="shared" si="6420"/>
        <v/>
      </c>
      <c r="BC326" s="34" t="str">
        <f t="shared" si="6420"/>
        <v/>
      </c>
      <c r="BD326" s="34" t="str">
        <f t="shared" si="6420"/>
        <v/>
      </c>
      <c r="BE326" s="34" t="str">
        <f t="shared" si="6420"/>
        <v/>
      </c>
      <c r="BF326" s="34" t="str">
        <f t="shared" si="6420"/>
        <v/>
      </c>
      <c r="BG326" s="34" t="str">
        <f t="shared" si="6420"/>
        <v/>
      </c>
      <c r="BH326" s="34" t="str">
        <f t="shared" si="6420"/>
        <v/>
      </c>
      <c r="BI326" s="34" t="str">
        <f t="shared" si="6420"/>
        <v/>
      </c>
      <c r="BJ326" s="34" t="str">
        <f t="shared" si="6420"/>
        <v/>
      </c>
      <c r="BK326" s="34" t="str">
        <f t="shared" si="6420"/>
        <v/>
      </c>
      <c r="BL326" s="34" t="str">
        <f t="shared" ref="BL326:CQ326" si="6421">IF(SUBTOTAL(9,BL327:BL328)&gt;0,SUBTOTAL(9,BL327:BL328),"")</f>
        <v/>
      </c>
      <c r="BM326" s="34" t="str">
        <f t="shared" si="6421"/>
        <v/>
      </c>
      <c r="BN326" s="34" t="str">
        <f t="shared" si="6421"/>
        <v/>
      </c>
      <c r="BO326" s="34" t="str">
        <f t="shared" si="6421"/>
        <v/>
      </c>
      <c r="BP326" s="34" t="str">
        <f t="shared" si="6421"/>
        <v/>
      </c>
      <c r="BQ326" s="34" t="str">
        <f t="shared" si="6421"/>
        <v/>
      </c>
      <c r="BR326" s="34" t="str">
        <f t="shared" si="6421"/>
        <v/>
      </c>
      <c r="BS326" s="34" t="str">
        <f t="shared" si="6421"/>
        <v/>
      </c>
      <c r="BT326" s="34" t="str">
        <f t="shared" si="6421"/>
        <v/>
      </c>
      <c r="BU326" s="34" t="str">
        <f t="shared" si="6421"/>
        <v/>
      </c>
      <c r="BV326" s="34" t="str">
        <f t="shared" si="6421"/>
        <v/>
      </c>
      <c r="BW326" s="34" t="str">
        <f t="shared" si="6421"/>
        <v/>
      </c>
      <c r="BX326" s="34" t="str">
        <f t="shared" si="6421"/>
        <v/>
      </c>
      <c r="BY326" s="34" t="str">
        <f t="shared" si="6421"/>
        <v/>
      </c>
      <c r="BZ326" s="34" t="str">
        <f t="shared" si="6421"/>
        <v/>
      </c>
      <c r="CA326" s="34" t="str">
        <f t="shared" si="6421"/>
        <v/>
      </c>
      <c r="CB326" s="34" t="str">
        <f t="shared" si="6421"/>
        <v/>
      </c>
      <c r="CC326" s="34" t="str">
        <f t="shared" si="6421"/>
        <v/>
      </c>
      <c r="CD326" s="34" t="str">
        <f t="shared" si="6421"/>
        <v/>
      </c>
      <c r="CE326" s="34" t="str">
        <f t="shared" si="6421"/>
        <v/>
      </c>
      <c r="CF326" s="34" t="str">
        <f t="shared" si="6421"/>
        <v/>
      </c>
      <c r="CG326" s="34" t="str">
        <f t="shared" si="6421"/>
        <v/>
      </c>
      <c r="CH326" s="34" t="str">
        <f t="shared" si="6421"/>
        <v/>
      </c>
      <c r="CI326" s="34" t="str">
        <f t="shared" si="6421"/>
        <v/>
      </c>
      <c r="CJ326" s="34" t="str">
        <f t="shared" si="6421"/>
        <v/>
      </c>
      <c r="CK326" s="34" t="str">
        <f t="shared" si="6421"/>
        <v/>
      </c>
      <c r="CL326" s="34" t="str">
        <f t="shared" si="6421"/>
        <v/>
      </c>
      <c r="CM326" s="34" t="str">
        <f t="shared" si="6421"/>
        <v/>
      </c>
      <c r="CN326" s="34" t="str">
        <f t="shared" si="6421"/>
        <v/>
      </c>
      <c r="CO326" s="34" t="str">
        <f t="shared" si="6421"/>
        <v/>
      </c>
      <c r="CP326" s="34" t="str">
        <f t="shared" si="6421"/>
        <v/>
      </c>
      <c r="CQ326" s="34" t="str">
        <f t="shared" si="6421"/>
        <v/>
      </c>
      <c r="CR326" s="34" t="str">
        <f t="shared" ref="CR326:DW326" si="6422">IF(SUBTOTAL(9,CR327:CR328)&gt;0,SUBTOTAL(9,CR327:CR328),"")</f>
        <v/>
      </c>
      <c r="CS326" s="34" t="str">
        <f t="shared" si="6422"/>
        <v/>
      </c>
      <c r="CT326" s="33" t="str">
        <f t="shared" si="6422"/>
        <v/>
      </c>
      <c r="CU326" s="34" t="str">
        <f t="shared" si="6422"/>
        <v/>
      </c>
      <c r="CV326" s="34" t="str">
        <f t="shared" si="6422"/>
        <v/>
      </c>
      <c r="CW326" s="34" t="str">
        <f t="shared" si="6422"/>
        <v/>
      </c>
      <c r="CX326" s="34" t="str">
        <f t="shared" si="6422"/>
        <v/>
      </c>
      <c r="CY326" s="34" t="str">
        <f t="shared" si="6422"/>
        <v/>
      </c>
      <c r="CZ326" s="33" t="str">
        <f t="shared" si="6422"/>
        <v/>
      </c>
      <c r="DA326" s="33" t="str">
        <f t="shared" si="6422"/>
        <v/>
      </c>
      <c r="DB326" s="34" t="str">
        <f t="shared" si="6422"/>
        <v/>
      </c>
      <c r="DC326" s="34" t="str">
        <f t="shared" si="6422"/>
        <v/>
      </c>
      <c r="DD326" s="34" t="str">
        <f t="shared" si="6422"/>
        <v/>
      </c>
      <c r="DE326" s="34" t="str">
        <f t="shared" si="6422"/>
        <v/>
      </c>
      <c r="DF326" s="34" t="str">
        <f t="shared" si="6422"/>
        <v/>
      </c>
      <c r="DG326" s="34" t="str">
        <f t="shared" si="6422"/>
        <v/>
      </c>
      <c r="DH326" s="34" t="str">
        <f t="shared" si="6422"/>
        <v/>
      </c>
      <c r="DI326" s="34" t="str">
        <f t="shared" si="6422"/>
        <v/>
      </c>
      <c r="DJ326" s="34" t="str">
        <f t="shared" si="6422"/>
        <v/>
      </c>
      <c r="DK326" s="34" t="str">
        <f t="shared" si="6422"/>
        <v/>
      </c>
      <c r="DL326" s="34" t="str">
        <f t="shared" si="6422"/>
        <v/>
      </c>
      <c r="DM326" s="34" t="str">
        <f t="shared" si="6422"/>
        <v/>
      </c>
      <c r="DN326" s="34" t="str">
        <f t="shared" si="6422"/>
        <v/>
      </c>
      <c r="DO326" s="34" t="str">
        <f t="shared" si="6422"/>
        <v/>
      </c>
      <c r="DP326" s="34" t="str">
        <f t="shared" si="6422"/>
        <v/>
      </c>
      <c r="DQ326" s="34" t="str">
        <f t="shared" si="6422"/>
        <v/>
      </c>
      <c r="DR326" s="34" t="str">
        <f t="shared" si="6422"/>
        <v/>
      </c>
      <c r="DS326" s="34" t="str">
        <f t="shared" si="6422"/>
        <v/>
      </c>
      <c r="DT326" s="34" t="str">
        <f t="shared" si="6422"/>
        <v/>
      </c>
      <c r="DU326" s="34" t="str">
        <f t="shared" si="6422"/>
        <v/>
      </c>
      <c r="DV326" s="34" t="str">
        <f t="shared" si="6422"/>
        <v/>
      </c>
      <c r="DW326" s="34" t="str">
        <f t="shared" si="6422"/>
        <v/>
      </c>
      <c r="DX326" s="34" t="str">
        <f t="shared" ref="DX326:FC326" si="6423">IF(SUBTOTAL(9,DX327:DX328)&gt;0,SUBTOTAL(9,DX327:DX328),"")</f>
        <v/>
      </c>
      <c r="DY326" s="34" t="str">
        <f t="shared" si="6423"/>
        <v/>
      </c>
      <c r="DZ326" s="33" t="str">
        <f t="shared" si="6423"/>
        <v/>
      </c>
      <c r="EA326" s="34" t="str">
        <f t="shared" si="6423"/>
        <v/>
      </c>
      <c r="EB326" s="34" t="str">
        <f t="shared" si="6423"/>
        <v/>
      </c>
      <c r="EC326" s="34" t="str">
        <f t="shared" si="6423"/>
        <v/>
      </c>
      <c r="ED326" s="34" t="str">
        <f t="shared" si="6423"/>
        <v/>
      </c>
      <c r="EE326" s="34" t="str">
        <f t="shared" si="6423"/>
        <v/>
      </c>
      <c r="EF326" s="34" t="str">
        <f t="shared" si="6423"/>
        <v/>
      </c>
      <c r="EG326" s="34" t="str">
        <f t="shared" si="6423"/>
        <v/>
      </c>
      <c r="EH326" s="34" t="str">
        <f t="shared" si="6423"/>
        <v/>
      </c>
      <c r="EI326" s="34" t="str">
        <f t="shared" si="6423"/>
        <v/>
      </c>
      <c r="EJ326" s="34" t="str">
        <f t="shared" si="6423"/>
        <v/>
      </c>
      <c r="EK326" s="34" t="str">
        <f t="shared" si="6423"/>
        <v/>
      </c>
      <c r="EL326" s="34" t="str">
        <f t="shared" si="6423"/>
        <v/>
      </c>
      <c r="EM326" s="34" t="str">
        <f t="shared" si="6423"/>
        <v/>
      </c>
      <c r="EN326" s="34" t="str">
        <f t="shared" si="6423"/>
        <v/>
      </c>
      <c r="EO326" s="34" t="str">
        <f t="shared" si="6423"/>
        <v/>
      </c>
      <c r="EP326" s="34" t="str">
        <f t="shared" si="6423"/>
        <v/>
      </c>
      <c r="EQ326" s="34" t="str">
        <f t="shared" si="6423"/>
        <v/>
      </c>
      <c r="ER326" s="34" t="str">
        <f t="shared" si="6423"/>
        <v/>
      </c>
      <c r="ES326" s="34" t="str">
        <f t="shared" si="6423"/>
        <v/>
      </c>
      <c r="ET326" s="34" t="str">
        <f t="shared" si="6423"/>
        <v/>
      </c>
      <c r="EU326" s="34" t="str">
        <f t="shared" si="6423"/>
        <v/>
      </c>
      <c r="EV326" s="34" t="str">
        <f t="shared" si="6423"/>
        <v/>
      </c>
      <c r="EW326" s="34" t="str">
        <f t="shared" si="6423"/>
        <v/>
      </c>
      <c r="EX326" s="34" t="str">
        <f t="shared" si="6423"/>
        <v/>
      </c>
      <c r="EY326" s="33" t="str">
        <f t="shared" si="6423"/>
        <v/>
      </c>
      <c r="EZ326" s="34" t="str">
        <f t="shared" si="6423"/>
        <v/>
      </c>
      <c r="FA326" s="34" t="str">
        <f t="shared" si="6423"/>
        <v/>
      </c>
      <c r="FB326" s="34" t="str">
        <f t="shared" si="6423"/>
        <v/>
      </c>
      <c r="FC326" s="34" t="str">
        <f t="shared" si="6423"/>
        <v/>
      </c>
      <c r="FD326" s="34" t="str">
        <f t="shared" ref="FD326:FQ326" si="6424">IF(SUBTOTAL(9,FD327:FD328)&gt;0,SUBTOTAL(9,FD327:FD328),"")</f>
        <v/>
      </c>
      <c r="FE326" s="34" t="str">
        <f t="shared" si="6424"/>
        <v/>
      </c>
      <c r="FF326" s="34" t="str">
        <f t="shared" si="6424"/>
        <v/>
      </c>
      <c r="FG326" s="34" t="str">
        <f t="shared" si="6424"/>
        <v/>
      </c>
      <c r="FH326" s="34" t="str">
        <f t="shared" si="6424"/>
        <v/>
      </c>
      <c r="FI326" s="34" t="str">
        <f t="shared" si="6424"/>
        <v/>
      </c>
      <c r="FJ326" s="34" t="str">
        <f t="shared" si="6424"/>
        <v/>
      </c>
      <c r="FK326" s="34" t="str">
        <f t="shared" si="6424"/>
        <v/>
      </c>
      <c r="FL326" s="34" t="str">
        <f t="shared" si="6424"/>
        <v/>
      </c>
      <c r="FM326" s="34" t="str">
        <f t="shared" si="6424"/>
        <v/>
      </c>
      <c r="FN326" s="34" t="str">
        <f t="shared" si="6424"/>
        <v/>
      </c>
      <c r="FO326" s="34" t="str">
        <f t="shared" si="6424"/>
        <v/>
      </c>
      <c r="FP326" s="34" t="str">
        <f t="shared" si="6424"/>
        <v/>
      </c>
      <c r="FQ326" s="92" t="str">
        <f t="shared" si="6424"/>
        <v/>
      </c>
      <c r="FS326" s="9" t="s">
        <v>131</v>
      </c>
      <c r="FT326" s="9" t="str">
        <f t="shared" si="6370"/>
        <v/>
      </c>
    </row>
    <row r="327" spans="1:176" ht="12" hidden="1" customHeight="1" outlineLevel="1">
      <c r="A327" s="122" t="s">
        <v>188</v>
      </c>
      <c r="B327" s="130" t="s">
        <v>10</v>
      </c>
      <c r="C327" s="131" t="str">
        <f t="shared" si="6406"/>
        <v>5 days</v>
      </c>
      <c r="D327" s="101" t="str">
        <f>A322&amp;" "&amp;A326</f>
        <v xml:space="preserve">11. FDS Release 3 11.2 FDS Release 3 - UAT / Ops models / PGLS </v>
      </c>
      <c r="E327" s="51"/>
      <c r="F327" s="35"/>
      <c r="G327" s="35"/>
      <c r="H327" s="35"/>
      <c r="I327" s="35"/>
      <c r="J327" s="35">
        <v>0.4</v>
      </c>
      <c r="K327" s="35">
        <v>0.4</v>
      </c>
      <c r="L327" s="35">
        <v>0.4</v>
      </c>
      <c r="M327" s="35">
        <v>0.4</v>
      </c>
      <c r="N327" s="35">
        <v>0.4</v>
      </c>
      <c r="O327" s="35">
        <v>0.4</v>
      </c>
      <c r="P327" s="35">
        <v>0.05</v>
      </c>
      <c r="Q327" s="35"/>
      <c r="R327" s="35"/>
      <c r="S327" s="35">
        <v>0.2</v>
      </c>
      <c r="T327" s="35"/>
      <c r="U327" s="35">
        <v>0.45</v>
      </c>
      <c r="V327" s="35">
        <v>0.4</v>
      </c>
      <c r="W327" s="35">
        <v>0.45</v>
      </c>
      <c r="X327" s="35">
        <v>0.35</v>
      </c>
      <c r="Y327" s="35">
        <v>0.05</v>
      </c>
      <c r="Z327" s="35">
        <v>0.1</v>
      </c>
      <c r="AA327" s="35">
        <v>0.05</v>
      </c>
      <c r="AB327" s="35">
        <v>0.05</v>
      </c>
      <c r="AC327" s="35"/>
      <c r="AD327" s="35"/>
      <c r="AE327" s="35"/>
      <c r="AF327" s="35"/>
      <c r="AG327" s="35"/>
      <c r="AH327" s="35"/>
      <c r="AI327" s="35"/>
      <c r="AJ327" s="35"/>
      <c r="AK327" s="35"/>
      <c r="AL327" s="36"/>
      <c r="AM327" s="36"/>
      <c r="AN327" s="36"/>
      <c r="AO327" s="36"/>
      <c r="AP327" s="36"/>
      <c r="AQ327" s="36"/>
      <c r="AR327" s="36"/>
      <c r="AS327" s="35"/>
      <c r="AT327" s="35"/>
      <c r="AU327" s="35"/>
      <c r="AV327" s="35"/>
      <c r="AW327" s="35"/>
      <c r="AX327" s="35"/>
      <c r="AY327" s="35"/>
      <c r="AZ327" s="35"/>
      <c r="BA327" s="35"/>
      <c r="BB327" s="35"/>
      <c r="BC327" s="35"/>
      <c r="BD327" s="35"/>
      <c r="BE327" s="35"/>
      <c r="BF327" s="35"/>
      <c r="BG327" s="35"/>
      <c r="BH327" s="35"/>
      <c r="BI327" s="35"/>
      <c r="BJ327" s="35"/>
      <c r="BK327" s="35"/>
      <c r="BL327" s="35"/>
      <c r="BM327" s="35"/>
      <c r="BN327" s="35"/>
      <c r="BO327" s="35"/>
      <c r="BP327" s="35"/>
      <c r="BQ327" s="35"/>
      <c r="BR327" s="35"/>
      <c r="BS327" s="35"/>
      <c r="BT327" s="35"/>
      <c r="BU327" s="35"/>
      <c r="BV327" s="35"/>
      <c r="BW327" s="35"/>
      <c r="BX327" s="35"/>
      <c r="BY327" s="35"/>
      <c r="BZ327" s="35"/>
      <c r="CA327" s="35"/>
      <c r="CB327" s="35"/>
      <c r="CC327" s="35"/>
      <c r="CD327" s="35"/>
      <c r="CE327" s="35"/>
      <c r="CF327" s="35"/>
      <c r="CG327" s="35"/>
      <c r="CH327" s="35"/>
      <c r="CI327" s="35"/>
      <c r="CJ327" s="35"/>
      <c r="CK327" s="35"/>
      <c r="CL327" s="35"/>
      <c r="CM327" s="35"/>
      <c r="CN327" s="35"/>
      <c r="CO327" s="35"/>
      <c r="CP327" s="35"/>
      <c r="CQ327" s="35"/>
      <c r="CR327" s="35"/>
      <c r="CS327" s="35"/>
      <c r="CT327" s="36"/>
      <c r="CU327" s="35"/>
      <c r="CV327" s="35"/>
      <c r="CW327" s="35"/>
      <c r="CX327" s="35"/>
      <c r="CY327" s="35"/>
      <c r="CZ327" s="36"/>
      <c r="DA327" s="36"/>
      <c r="DB327" s="35"/>
      <c r="DC327" s="35"/>
      <c r="DD327" s="35"/>
      <c r="DE327" s="35"/>
      <c r="DF327" s="35"/>
      <c r="DG327" s="35"/>
      <c r="DH327" s="35"/>
      <c r="DI327" s="35"/>
      <c r="DJ327" s="35"/>
      <c r="DK327" s="35"/>
      <c r="DL327" s="35"/>
      <c r="DM327" s="35"/>
      <c r="DN327" s="35"/>
      <c r="DO327" s="35"/>
      <c r="DP327" s="35"/>
      <c r="DQ327" s="35"/>
      <c r="DR327" s="35"/>
      <c r="DS327" s="35"/>
      <c r="DT327" s="35"/>
      <c r="DU327" s="35"/>
      <c r="DV327" s="35"/>
      <c r="DW327" s="35"/>
      <c r="DX327" s="35"/>
      <c r="DY327" s="35"/>
      <c r="DZ327" s="36"/>
      <c r="EA327" s="35"/>
      <c r="EB327" s="35"/>
      <c r="EC327" s="35"/>
      <c r="ED327" s="35"/>
      <c r="EE327" s="35"/>
      <c r="EF327" s="35"/>
      <c r="EG327" s="35"/>
      <c r="EH327" s="35"/>
      <c r="EI327" s="35"/>
      <c r="EJ327" s="35"/>
      <c r="EK327" s="35"/>
      <c r="EL327" s="35"/>
      <c r="EM327" s="35"/>
      <c r="EN327" s="35"/>
      <c r="EO327" s="35"/>
      <c r="EP327" s="35"/>
      <c r="EQ327" s="35"/>
      <c r="ER327" s="35"/>
      <c r="ES327" s="35"/>
      <c r="ET327" s="35"/>
      <c r="EU327" s="35"/>
      <c r="EV327" s="35"/>
      <c r="EW327" s="35"/>
      <c r="EX327" s="35"/>
      <c r="EY327" s="36"/>
      <c r="EZ327" s="35"/>
      <c r="FA327" s="35"/>
      <c r="FB327" s="35"/>
      <c r="FC327" s="35"/>
      <c r="FD327" s="35"/>
      <c r="FE327" s="35"/>
      <c r="FF327" s="35"/>
      <c r="FG327" s="35"/>
      <c r="FH327" s="35"/>
      <c r="FI327" s="35"/>
      <c r="FJ327" s="35"/>
      <c r="FK327" s="35"/>
      <c r="FL327" s="35"/>
      <c r="FM327" s="35"/>
      <c r="FN327" s="35"/>
      <c r="FO327" s="35"/>
      <c r="FP327" s="35"/>
      <c r="FQ327" s="52"/>
      <c r="FS327" s="9" t="s">
        <v>13</v>
      </c>
      <c r="FT327" s="9" t="str">
        <f t="shared" si="6370"/>
        <v>11. FDS Release 3 11.2 FDS Release 3 - UAT / Ops models / PGLS Glenn Kirk</v>
      </c>
    </row>
    <row r="328" spans="1:176" ht="12" hidden="1" customHeight="1" outlineLevel="1">
      <c r="A328" s="122"/>
      <c r="B328" s="123"/>
      <c r="C328" s="124" t="str">
        <f t="shared" si="6406"/>
        <v>0 days</v>
      </c>
      <c r="D328" s="11" t="str">
        <f>A322&amp;" "&amp;A326</f>
        <v xml:space="preserve">11. FDS Release 3 11.2 FDS Release 3 - UAT / Ops models / PGLS </v>
      </c>
      <c r="E328" s="51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D328" s="35"/>
      <c r="AE328" s="35"/>
      <c r="AF328" s="35"/>
      <c r="AG328" s="35"/>
      <c r="AH328" s="35"/>
      <c r="AI328" s="35"/>
      <c r="AJ328" s="35"/>
      <c r="AK328" s="35"/>
      <c r="AL328" s="36"/>
      <c r="AM328" s="36"/>
      <c r="AN328" s="36"/>
      <c r="AO328" s="36"/>
      <c r="AP328" s="36"/>
      <c r="AQ328" s="36"/>
      <c r="AR328" s="36"/>
      <c r="AS328" s="35"/>
      <c r="AT328" s="35"/>
      <c r="AU328" s="35"/>
      <c r="AV328" s="35"/>
      <c r="AW328" s="35"/>
      <c r="AX328" s="35"/>
      <c r="AY328" s="35"/>
      <c r="AZ328" s="35"/>
      <c r="BA328" s="35"/>
      <c r="BB328" s="35"/>
      <c r="BC328" s="35"/>
      <c r="BD328" s="35"/>
      <c r="BE328" s="35"/>
      <c r="BF328" s="35"/>
      <c r="BG328" s="35"/>
      <c r="BH328" s="35"/>
      <c r="BI328" s="35"/>
      <c r="BJ328" s="35"/>
      <c r="BK328" s="35"/>
      <c r="BL328" s="35"/>
      <c r="BM328" s="35"/>
      <c r="BN328" s="35"/>
      <c r="BO328" s="35"/>
      <c r="BP328" s="35"/>
      <c r="BQ328" s="35"/>
      <c r="BR328" s="35"/>
      <c r="BS328" s="35"/>
      <c r="BT328" s="35"/>
      <c r="BU328" s="35"/>
      <c r="BV328" s="35"/>
      <c r="BW328" s="35"/>
      <c r="BX328" s="35"/>
      <c r="BY328" s="35"/>
      <c r="BZ328" s="35"/>
      <c r="CA328" s="35"/>
      <c r="CB328" s="35"/>
      <c r="CC328" s="35"/>
      <c r="CD328" s="35"/>
      <c r="CE328" s="35"/>
      <c r="CF328" s="35"/>
      <c r="CG328" s="35"/>
      <c r="CH328" s="35"/>
      <c r="CI328" s="35"/>
      <c r="CJ328" s="35"/>
      <c r="CK328" s="35"/>
      <c r="CL328" s="35"/>
      <c r="CM328" s="35"/>
      <c r="CN328" s="35"/>
      <c r="CO328" s="35"/>
      <c r="CP328" s="35"/>
      <c r="CQ328" s="35"/>
      <c r="CR328" s="35"/>
      <c r="CS328" s="35"/>
      <c r="CT328" s="36"/>
      <c r="CU328" s="35"/>
      <c r="CV328" s="35"/>
      <c r="CW328" s="35"/>
      <c r="CX328" s="35"/>
      <c r="CY328" s="35"/>
      <c r="CZ328" s="36"/>
      <c r="DA328" s="36"/>
      <c r="DB328" s="35"/>
      <c r="DC328" s="35"/>
      <c r="DD328" s="35"/>
      <c r="DE328" s="35"/>
      <c r="DF328" s="35"/>
      <c r="DG328" s="35"/>
      <c r="DH328" s="35"/>
      <c r="DI328" s="35"/>
      <c r="DJ328" s="35"/>
      <c r="DK328" s="35"/>
      <c r="DL328" s="35"/>
      <c r="DM328" s="35"/>
      <c r="DN328" s="35"/>
      <c r="DO328" s="35"/>
      <c r="DP328" s="35"/>
      <c r="DQ328" s="35"/>
      <c r="DR328" s="35"/>
      <c r="DS328" s="35"/>
      <c r="DT328" s="35"/>
      <c r="DU328" s="35"/>
      <c r="DV328" s="35"/>
      <c r="DW328" s="35"/>
      <c r="DX328" s="35"/>
      <c r="DY328" s="35"/>
      <c r="DZ328" s="36"/>
      <c r="EA328" s="35"/>
      <c r="EB328" s="35"/>
      <c r="EC328" s="35"/>
      <c r="ED328" s="35"/>
      <c r="EE328" s="35"/>
      <c r="EF328" s="35"/>
      <c r="EG328" s="35"/>
      <c r="EH328" s="35"/>
      <c r="EI328" s="35"/>
      <c r="EJ328" s="35"/>
      <c r="EK328" s="35"/>
      <c r="EL328" s="35"/>
      <c r="EM328" s="35"/>
      <c r="EN328" s="35"/>
      <c r="EO328" s="35"/>
      <c r="EP328" s="35"/>
      <c r="EQ328" s="35"/>
      <c r="ER328" s="35"/>
      <c r="ES328" s="35"/>
      <c r="ET328" s="35"/>
      <c r="EU328" s="35"/>
      <c r="EV328" s="35"/>
      <c r="EW328" s="35"/>
      <c r="EX328" s="35"/>
      <c r="EY328" s="36"/>
      <c r="EZ328" s="35"/>
      <c r="FA328" s="35"/>
      <c r="FB328" s="35"/>
      <c r="FC328" s="35"/>
      <c r="FD328" s="35"/>
      <c r="FE328" s="35"/>
      <c r="FF328" s="35"/>
      <c r="FG328" s="35"/>
      <c r="FH328" s="35"/>
      <c r="FI328" s="35"/>
      <c r="FJ328" s="35"/>
      <c r="FK328" s="35"/>
      <c r="FL328" s="35"/>
      <c r="FM328" s="35"/>
      <c r="FN328" s="35"/>
      <c r="FO328" s="35"/>
      <c r="FP328" s="35"/>
      <c r="FQ328" s="52"/>
      <c r="FS328" s="9" t="s">
        <v>13</v>
      </c>
      <c r="FT328" s="9" t="str">
        <f t="shared" si="6370"/>
        <v xml:space="preserve">11. FDS Release 3 11.2 FDS Release 3 - UAT / Ops models / PGLS </v>
      </c>
    </row>
    <row r="329" spans="1:176" ht="12" customHeight="1" collapsed="1">
      <c r="A329" s="116" t="s">
        <v>107</v>
      </c>
      <c r="B329" s="132"/>
      <c r="C329" s="118" t="str">
        <f t="shared" si="6406"/>
        <v>65 days</v>
      </c>
      <c r="D329" s="26"/>
      <c r="E329" s="89">
        <f t="shared" ref="E329:BL329" si="6425">IF(SUBTOTAL(9,E331:E335,E337:E341,E343:E347,E349:E353,E355:E359,E361:E365,E367:E371,E373:E377,E379:E383,E385:E389,E391:E395,E397:E401)&gt;0,SUBTOTAL(9,E331:E335,E337:E341,E343:E347,E349:E353,E355:E359,E361:E365,E367:E371,E373:E377,E379:E383,E385:E389,E391:E395,E397:E401),"")</f>
        <v>0.1</v>
      </c>
      <c r="F329" s="32">
        <f t="shared" si="6425"/>
        <v>0.1</v>
      </c>
      <c r="G329" s="32">
        <f t="shared" si="6425"/>
        <v>0.1</v>
      </c>
      <c r="H329" s="32">
        <f t="shared" si="6425"/>
        <v>0.1</v>
      </c>
      <c r="I329" s="32">
        <f t="shared" si="6425"/>
        <v>0.1</v>
      </c>
      <c r="J329" s="32" t="str">
        <f t="shared" si="6425"/>
        <v/>
      </c>
      <c r="K329" s="32" t="str">
        <f t="shared" si="6425"/>
        <v/>
      </c>
      <c r="L329" s="32" t="str">
        <f t="shared" si="6425"/>
        <v/>
      </c>
      <c r="M329" s="32" t="str">
        <f t="shared" si="6425"/>
        <v/>
      </c>
      <c r="N329" s="32" t="str">
        <f t="shared" si="6425"/>
        <v/>
      </c>
      <c r="O329" s="32" t="str">
        <f t="shared" si="6425"/>
        <v/>
      </c>
      <c r="P329" s="32" t="str">
        <f t="shared" si="6425"/>
        <v/>
      </c>
      <c r="Q329" s="32" t="str">
        <f t="shared" si="6425"/>
        <v/>
      </c>
      <c r="R329" s="32" t="str">
        <f t="shared" si="6425"/>
        <v/>
      </c>
      <c r="S329" s="32" t="str">
        <f t="shared" si="6425"/>
        <v/>
      </c>
      <c r="T329" s="32" t="str">
        <f t="shared" si="6425"/>
        <v/>
      </c>
      <c r="U329" s="32" t="str">
        <f t="shared" si="6425"/>
        <v/>
      </c>
      <c r="V329" s="32" t="str">
        <f t="shared" si="6425"/>
        <v/>
      </c>
      <c r="W329" s="32" t="str">
        <f t="shared" si="6425"/>
        <v/>
      </c>
      <c r="X329" s="32" t="str">
        <f t="shared" si="6425"/>
        <v/>
      </c>
      <c r="Y329" s="32">
        <f t="shared" si="6425"/>
        <v>0.30000000000000004</v>
      </c>
      <c r="Z329" s="32">
        <f t="shared" si="6425"/>
        <v>0.30000000000000004</v>
      </c>
      <c r="AA329" s="32">
        <f t="shared" si="6425"/>
        <v>0.30000000000000004</v>
      </c>
      <c r="AB329" s="32">
        <f t="shared" si="6425"/>
        <v>0.30000000000000004</v>
      </c>
      <c r="AC329" s="32">
        <f t="shared" si="6425"/>
        <v>0.30000000000000004</v>
      </c>
      <c r="AD329" s="32">
        <f t="shared" si="6425"/>
        <v>0.30000000000000004</v>
      </c>
      <c r="AE329" s="32">
        <f t="shared" si="6425"/>
        <v>0.75</v>
      </c>
      <c r="AF329" s="32">
        <f t="shared" si="6425"/>
        <v>0.55000000000000004</v>
      </c>
      <c r="AG329" s="32">
        <f t="shared" si="6425"/>
        <v>0.45</v>
      </c>
      <c r="AH329" s="32">
        <f t="shared" si="6425"/>
        <v>0.5</v>
      </c>
      <c r="AI329" s="32">
        <f t="shared" si="6425"/>
        <v>0.5</v>
      </c>
      <c r="AJ329" s="32">
        <f t="shared" si="6425"/>
        <v>1</v>
      </c>
      <c r="AK329" s="32">
        <f t="shared" si="6425"/>
        <v>0.5</v>
      </c>
      <c r="AL329" s="33" t="str">
        <f t="shared" si="6425"/>
        <v/>
      </c>
      <c r="AM329" s="33" t="str">
        <f t="shared" si="6425"/>
        <v/>
      </c>
      <c r="AN329" s="33" t="str">
        <f t="shared" si="6425"/>
        <v/>
      </c>
      <c r="AO329" s="33" t="str">
        <f t="shared" si="6425"/>
        <v/>
      </c>
      <c r="AP329" s="33" t="str">
        <f t="shared" si="6425"/>
        <v/>
      </c>
      <c r="AQ329" s="33" t="str">
        <f t="shared" si="6425"/>
        <v/>
      </c>
      <c r="AR329" s="33" t="str">
        <f t="shared" si="6425"/>
        <v/>
      </c>
      <c r="AS329" s="32">
        <f t="shared" si="6425"/>
        <v>0.7</v>
      </c>
      <c r="AT329" s="32">
        <f t="shared" si="6425"/>
        <v>0.15</v>
      </c>
      <c r="AU329" s="32">
        <f t="shared" si="6425"/>
        <v>0.2</v>
      </c>
      <c r="AV329" s="32" t="str">
        <f t="shared" si="6425"/>
        <v/>
      </c>
      <c r="AW329" s="32">
        <f t="shared" si="6425"/>
        <v>0.55000000000000004</v>
      </c>
      <c r="AX329" s="32">
        <f t="shared" si="6425"/>
        <v>0.2</v>
      </c>
      <c r="AY329" s="32">
        <f t="shared" si="6425"/>
        <v>0.35</v>
      </c>
      <c r="AZ329" s="32">
        <f t="shared" si="6425"/>
        <v>0.2</v>
      </c>
      <c r="BA329" s="32">
        <f t="shared" si="6425"/>
        <v>0.1</v>
      </c>
      <c r="BB329" s="32" t="str">
        <f t="shared" si="6425"/>
        <v/>
      </c>
      <c r="BC329" s="32">
        <f t="shared" si="6425"/>
        <v>0.2</v>
      </c>
      <c r="BD329" s="32">
        <f t="shared" si="6425"/>
        <v>0.1</v>
      </c>
      <c r="BE329" s="32">
        <f t="shared" si="6425"/>
        <v>0.5</v>
      </c>
      <c r="BF329" s="32" t="str">
        <f t="shared" si="6425"/>
        <v/>
      </c>
      <c r="BG329" s="32" t="str">
        <f t="shared" si="6425"/>
        <v/>
      </c>
      <c r="BH329" s="32">
        <f t="shared" si="6425"/>
        <v>0.60000000000000009</v>
      </c>
      <c r="BI329" s="32">
        <f t="shared" si="6425"/>
        <v>0.25</v>
      </c>
      <c r="BJ329" s="32">
        <f t="shared" si="6425"/>
        <v>0.65</v>
      </c>
      <c r="BK329" s="32" t="str">
        <f t="shared" si="6425"/>
        <v/>
      </c>
      <c r="BL329" s="32" t="str">
        <f t="shared" si="6425"/>
        <v/>
      </c>
      <c r="BM329" s="32">
        <f t="shared" ref="BM329:DX329" si="6426">IF(SUBTOTAL(9,BM331:BM335,BM337:BM341,BM343:BM347,BM349:BM353,BM355:BM359,BM361:BM365,BM367:BM371,BM373:BM377,BM379:BM383,BM385:BM389,BM391:BM395,BM397:BM401)&gt;0,SUBTOTAL(9,BM331:BM335,BM337:BM341,BM343:BM347,BM349:BM353,BM355:BM359,BM361:BM365,BM367:BM371,BM373:BM377,BM379:BM383,BM385:BM389,BM391:BM395,BM397:BM401),"")</f>
        <v>1</v>
      </c>
      <c r="BN329" s="32">
        <f t="shared" si="6426"/>
        <v>1</v>
      </c>
      <c r="BO329" s="32">
        <f t="shared" si="6426"/>
        <v>1</v>
      </c>
      <c r="BP329" s="32">
        <f t="shared" si="6426"/>
        <v>0.5</v>
      </c>
      <c r="BQ329" s="32">
        <f t="shared" si="6426"/>
        <v>0.5</v>
      </c>
      <c r="BR329" s="32">
        <f t="shared" si="6426"/>
        <v>1</v>
      </c>
      <c r="BS329" s="32">
        <f t="shared" si="6426"/>
        <v>1</v>
      </c>
      <c r="BT329" s="32">
        <f t="shared" si="6426"/>
        <v>1</v>
      </c>
      <c r="BU329" s="32">
        <f t="shared" si="6426"/>
        <v>0.5</v>
      </c>
      <c r="BV329" s="32" t="str">
        <f t="shared" si="6426"/>
        <v/>
      </c>
      <c r="BW329" s="32" t="str">
        <f t="shared" si="6426"/>
        <v/>
      </c>
      <c r="BX329" s="32" t="str">
        <f t="shared" si="6426"/>
        <v/>
      </c>
      <c r="BY329" s="32">
        <f t="shared" si="6426"/>
        <v>1</v>
      </c>
      <c r="BZ329" s="32">
        <f t="shared" si="6426"/>
        <v>1</v>
      </c>
      <c r="CA329" s="32">
        <f t="shared" si="6426"/>
        <v>0.5</v>
      </c>
      <c r="CB329" s="32">
        <f t="shared" si="6426"/>
        <v>1</v>
      </c>
      <c r="CC329" s="32">
        <f t="shared" si="6426"/>
        <v>1</v>
      </c>
      <c r="CD329" s="32">
        <f t="shared" si="6426"/>
        <v>0.75</v>
      </c>
      <c r="CE329" s="32">
        <f t="shared" si="6426"/>
        <v>0.75</v>
      </c>
      <c r="CF329" s="32">
        <f t="shared" si="6426"/>
        <v>1</v>
      </c>
      <c r="CG329" s="32">
        <f t="shared" si="6426"/>
        <v>1</v>
      </c>
      <c r="CH329" s="32">
        <f t="shared" si="6426"/>
        <v>1</v>
      </c>
      <c r="CI329" s="32">
        <f t="shared" si="6426"/>
        <v>0.75</v>
      </c>
      <c r="CJ329" s="32">
        <f t="shared" si="6426"/>
        <v>0.75</v>
      </c>
      <c r="CK329" s="32">
        <f t="shared" si="6426"/>
        <v>1</v>
      </c>
      <c r="CL329" s="32">
        <f t="shared" si="6426"/>
        <v>1</v>
      </c>
      <c r="CM329" s="32">
        <f t="shared" si="6426"/>
        <v>1</v>
      </c>
      <c r="CN329" s="32">
        <f t="shared" si="6426"/>
        <v>1</v>
      </c>
      <c r="CO329" s="32">
        <f t="shared" si="6426"/>
        <v>1</v>
      </c>
      <c r="CP329" s="32">
        <f t="shared" si="6426"/>
        <v>1</v>
      </c>
      <c r="CQ329" s="32">
        <f t="shared" si="6426"/>
        <v>1</v>
      </c>
      <c r="CR329" s="32">
        <f t="shared" si="6426"/>
        <v>0.5</v>
      </c>
      <c r="CS329" s="32" t="str">
        <f t="shared" si="6426"/>
        <v/>
      </c>
      <c r="CT329" s="33" t="str">
        <f t="shared" si="6426"/>
        <v/>
      </c>
      <c r="CU329" s="32">
        <f t="shared" si="6426"/>
        <v>1</v>
      </c>
      <c r="CV329" s="32">
        <f t="shared" si="6426"/>
        <v>1</v>
      </c>
      <c r="CW329" s="32">
        <f t="shared" si="6426"/>
        <v>1</v>
      </c>
      <c r="CX329" s="32" t="str">
        <f t="shared" si="6426"/>
        <v/>
      </c>
      <c r="CY329" s="32" t="str">
        <f t="shared" si="6426"/>
        <v/>
      </c>
      <c r="CZ329" s="33" t="str">
        <f t="shared" si="6426"/>
        <v/>
      </c>
      <c r="DA329" s="33" t="str">
        <f t="shared" si="6426"/>
        <v/>
      </c>
      <c r="DB329" s="32">
        <f t="shared" si="6426"/>
        <v>0.5</v>
      </c>
      <c r="DC329" s="32">
        <f>IF(SUBTOTAL(9,DC331:DC335,DC337:DC341,DC343:DC347,DC349:DC353,DC355:DC359,DC361:DC365,DC367:DC371,DC373:DC377,DC379:DC383,DC385:DC389,DC391:DC395,DC397:DC401)&gt;0,SUBTOTAL(9,DC331:DC335,DC337:DC341,DC343:DC347,DC349:DC353,DC355:DC359,DC361:DC365,DC367:DC371,DC373:DC377,DC379:DC383,DC385:DC389,DC391:DC395,DC397:DC401),"")</f>
        <v>1</v>
      </c>
      <c r="DD329" s="32">
        <f>IF(SUBTOTAL(9,DD331:DD335,DD337:DD341,DD343:DD347,DD349:DD353,DD355:DD359,DD361:DD365,DD367:DD371,DD373:DD377,DD379:DD383,DD385:DD389,DD391:DD395,DD397:DD401)&gt;0,SUBTOTAL(9,DD331:DD335,DD337:DD341,DD343:DD347,DD349:DD353,DD355:DD359,DD361:DD365,DD367:DD371,DD373:DD377,DD379:DD383,DD385:DD389,DD391:DD395,DD397:DD401),"")</f>
        <v>1</v>
      </c>
      <c r="DE329" s="32" t="str">
        <f>IF(SUBTOTAL(9,DE331:DE335,DE337:DE341,DE343:DE347,DE349:DE353,DE355:DE359,DE361:DE365,DE367:DE371,DE373:DE377,DE379:DE383,DE385:DE389,DE391:DE395,DE397:DE401)&gt;0,SUBTOTAL(9,DE331:DE335,DE337:DE341,DE343:DE347,DE349:DE353,DE355:DE359,DE361:DE365,DE367:DE371,DE373:DE377,DE379:DE383,DE385:DE389,DE391:DE395,DE397:DE401),"")</f>
        <v/>
      </c>
      <c r="DF329" s="32" t="str">
        <f t="shared" si="6426"/>
        <v/>
      </c>
      <c r="DG329" s="32">
        <f t="shared" si="6426"/>
        <v>1</v>
      </c>
      <c r="DH329" s="32">
        <f t="shared" si="6426"/>
        <v>1</v>
      </c>
      <c r="DI329" s="32">
        <f t="shared" si="6426"/>
        <v>1</v>
      </c>
      <c r="DJ329" s="32">
        <f t="shared" si="6426"/>
        <v>0.5</v>
      </c>
      <c r="DK329" s="32">
        <f t="shared" si="6426"/>
        <v>1</v>
      </c>
      <c r="DL329" s="32">
        <f t="shared" si="6426"/>
        <v>1</v>
      </c>
      <c r="DM329" s="32">
        <f t="shared" si="6426"/>
        <v>1</v>
      </c>
      <c r="DN329" s="32">
        <f t="shared" si="6426"/>
        <v>0.5</v>
      </c>
      <c r="DO329" s="32">
        <f t="shared" si="6426"/>
        <v>1</v>
      </c>
      <c r="DP329" s="32">
        <f t="shared" si="6426"/>
        <v>1</v>
      </c>
      <c r="DQ329" s="32">
        <f t="shared" si="6426"/>
        <v>1</v>
      </c>
      <c r="DR329" s="32">
        <f t="shared" si="6426"/>
        <v>0.5</v>
      </c>
      <c r="DS329" s="32">
        <f t="shared" si="6426"/>
        <v>0.5</v>
      </c>
      <c r="DT329" s="32">
        <f t="shared" si="6426"/>
        <v>0.5</v>
      </c>
      <c r="DU329" s="32">
        <f t="shared" si="6426"/>
        <v>1</v>
      </c>
      <c r="DV329" s="32">
        <f t="shared" si="6426"/>
        <v>1</v>
      </c>
      <c r="DW329" s="32">
        <f t="shared" si="6426"/>
        <v>1</v>
      </c>
      <c r="DX329" s="32">
        <f t="shared" si="6426"/>
        <v>1</v>
      </c>
      <c r="DY329" s="32">
        <f>IF(SUBTOTAL(9,DY331:DY335,DY337:DY341,DY343:DY347,DY349:DY353,DY355:DY359,DY361:DY365,DY367:DY371,DY373:DY377,DY379:DY383,DY385:DY389,DY391:DY395,DY397:DY401)&gt;0,SUBTOTAL(9,DY331:DY335,DY337:DY341,DY343:DY347,DY349:DY353,DY355:DY359,DY361:DY365,DY367:DY371,DY373:DY377,DY379:DY383,DY385:DY389,DY391:DY395,DY397:DY401),"")</f>
        <v>1</v>
      </c>
      <c r="DZ329" s="33" t="str">
        <f t="shared" ref="DZ329:FQ329" si="6427">IF(SUBTOTAL(9,DZ331:DZ335,DZ337:DZ341,DZ343:DZ347,DZ349:DZ353,DZ355:DZ359,DZ361:DZ365,DZ367:DZ371,DZ373:DZ377,DZ379:DZ383,DZ385:DZ389,DZ391:DZ395,DZ397:DZ401)&gt;0,SUBTOTAL(9,DZ331:DZ335,DZ337:DZ341,DZ343:DZ347,DZ349:DZ353,DZ355:DZ359,DZ361:DZ365,DZ367:DZ371,DZ373:DZ377,DZ379:DZ383,DZ385:DZ389,DZ391:DZ395,DZ397:DZ401),"")</f>
        <v/>
      </c>
      <c r="EA329" s="32">
        <f t="shared" si="6427"/>
        <v>1</v>
      </c>
      <c r="EB329" s="32">
        <f t="shared" si="6427"/>
        <v>1</v>
      </c>
      <c r="EC329" s="32">
        <f t="shared" si="6427"/>
        <v>1</v>
      </c>
      <c r="ED329" s="32">
        <f t="shared" si="6427"/>
        <v>1</v>
      </c>
      <c r="EE329" s="32">
        <f t="shared" si="6427"/>
        <v>1</v>
      </c>
      <c r="EF329" s="32">
        <f>IF(SUBTOTAL(9,EF331:EF335,EF337:EF341,EF343:EF347,EF349:EF353,EF355:EF359,EF361:EF365,EF367:EF371,EF373:EF377,EF379:EF383,EF385:EF389,EF391:EF395,EF397:EF401)&gt;0,SUBTOTAL(9,EF331:EF335,EF337:EF341,EF343:EF347,EF349:EF353,EF355:EF359,EF361:EF365,EF367:EF371,EF373:EF377,EF379:EF383,EF385:EF389,EF391:EF395,EF397:EF401),"")</f>
        <v>1</v>
      </c>
      <c r="EG329" s="32" t="str">
        <f t="shared" si="6427"/>
        <v/>
      </c>
      <c r="EH329" s="32" t="str">
        <f t="shared" si="6427"/>
        <v/>
      </c>
      <c r="EI329" s="32" t="str">
        <f t="shared" si="6427"/>
        <v/>
      </c>
      <c r="EJ329" s="32" t="str">
        <f t="shared" si="6427"/>
        <v/>
      </c>
      <c r="EK329" s="32" t="str">
        <f t="shared" si="6427"/>
        <v/>
      </c>
      <c r="EL329" s="32" t="str">
        <f t="shared" si="6427"/>
        <v/>
      </c>
      <c r="EM329" s="32" t="str">
        <f t="shared" si="6427"/>
        <v/>
      </c>
      <c r="EN329" s="32" t="str">
        <f t="shared" si="6427"/>
        <v/>
      </c>
      <c r="EO329" s="32" t="str">
        <f t="shared" si="6427"/>
        <v/>
      </c>
      <c r="EP329" s="32" t="str">
        <f t="shared" si="6427"/>
        <v/>
      </c>
      <c r="EQ329" s="32" t="str">
        <f t="shared" si="6427"/>
        <v/>
      </c>
      <c r="ER329" s="32" t="str">
        <f t="shared" si="6427"/>
        <v/>
      </c>
      <c r="ES329" s="32" t="str">
        <f t="shared" si="6427"/>
        <v/>
      </c>
      <c r="ET329" s="32" t="str">
        <f t="shared" si="6427"/>
        <v/>
      </c>
      <c r="EU329" s="32" t="str">
        <f t="shared" si="6427"/>
        <v/>
      </c>
      <c r="EV329" s="32" t="str">
        <f t="shared" si="6427"/>
        <v/>
      </c>
      <c r="EW329" s="32" t="str">
        <f t="shared" si="6427"/>
        <v/>
      </c>
      <c r="EX329" s="32" t="str">
        <f t="shared" si="6427"/>
        <v/>
      </c>
      <c r="EY329" s="33" t="str">
        <f t="shared" si="6427"/>
        <v/>
      </c>
      <c r="EZ329" s="32" t="str">
        <f t="shared" si="6427"/>
        <v/>
      </c>
      <c r="FA329" s="32" t="str">
        <f t="shared" si="6427"/>
        <v/>
      </c>
      <c r="FB329" s="32" t="str">
        <f t="shared" si="6427"/>
        <v/>
      </c>
      <c r="FC329" s="32" t="str">
        <f t="shared" si="6427"/>
        <v/>
      </c>
      <c r="FD329" s="32" t="str">
        <f t="shared" si="6427"/>
        <v/>
      </c>
      <c r="FE329" s="32" t="str">
        <f t="shared" si="6427"/>
        <v/>
      </c>
      <c r="FF329" s="32" t="str">
        <f t="shared" si="6427"/>
        <v/>
      </c>
      <c r="FG329" s="32" t="str">
        <f t="shared" si="6427"/>
        <v/>
      </c>
      <c r="FH329" s="32" t="str">
        <f t="shared" si="6427"/>
        <v/>
      </c>
      <c r="FI329" s="32" t="str">
        <f t="shared" si="6427"/>
        <v/>
      </c>
      <c r="FJ329" s="32" t="str">
        <f t="shared" si="6427"/>
        <v/>
      </c>
      <c r="FK329" s="32" t="str">
        <f t="shared" si="6427"/>
        <v/>
      </c>
      <c r="FL329" s="32" t="str">
        <f t="shared" si="6427"/>
        <v/>
      </c>
      <c r="FM329" s="32" t="str">
        <f t="shared" si="6427"/>
        <v/>
      </c>
      <c r="FN329" s="32" t="str">
        <f t="shared" si="6427"/>
        <v/>
      </c>
      <c r="FO329" s="32" t="str">
        <f t="shared" si="6427"/>
        <v/>
      </c>
      <c r="FP329" s="32" t="str">
        <f t="shared" si="6427"/>
        <v/>
      </c>
      <c r="FQ329" s="90" t="str">
        <f t="shared" si="6427"/>
        <v/>
      </c>
      <c r="FS329" s="9" t="s">
        <v>131</v>
      </c>
      <c r="FT329" s="9" t="str">
        <f t="shared" si="6370"/>
        <v/>
      </c>
    </row>
    <row r="330" spans="1:176" ht="12" customHeight="1">
      <c r="A330" s="119" t="s">
        <v>108</v>
      </c>
      <c r="B330" s="127"/>
      <c r="C330" s="128" t="str">
        <f t="shared" si="6406"/>
        <v>0 days</v>
      </c>
      <c r="D330" s="27"/>
      <c r="E330" s="91" t="str">
        <f t="shared" ref="E330" si="6428">IF(SUBTOTAL(9,E331:E335)&gt;0,SUBTOTAL(9,E331:E335),"")</f>
        <v/>
      </c>
      <c r="F330" s="34" t="str">
        <f t="shared" ref="F330" si="6429">IF(SUBTOTAL(9,F331:F335)&gt;0,SUBTOTAL(9,F331:F335),"")</f>
        <v/>
      </c>
      <c r="G330" s="34" t="str">
        <f t="shared" ref="G330" si="6430">IF(SUBTOTAL(9,G331:G335)&gt;0,SUBTOTAL(9,G331:G335),"")</f>
        <v/>
      </c>
      <c r="H330" s="34" t="str">
        <f t="shared" ref="H330" si="6431">IF(SUBTOTAL(9,H331:H335)&gt;0,SUBTOTAL(9,H331:H335),"")</f>
        <v/>
      </c>
      <c r="I330" s="34" t="str">
        <f t="shared" ref="I330" si="6432">IF(SUBTOTAL(9,I331:I335)&gt;0,SUBTOTAL(9,I331:I335),"")</f>
        <v/>
      </c>
      <c r="J330" s="34" t="str">
        <f t="shared" ref="J330" si="6433">IF(SUBTOTAL(9,J331:J335)&gt;0,SUBTOTAL(9,J331:J335),"")</f>
        <v/>
      </c>
      <c r="K330" s="34" t="str">
        <f t="shared" ref="K330" si="6434">IF(SUBTOTAL(9,K331:K335)&gt;0,SUBTOTAL(9,K331:K335),"")</f>
        <v/>
      </c>
      <c r="L330" s="34" t="str">
        <f t="shared" ref="L330" si="6435">IF(SUBTOTAL(9,L331:L335)&gt;0,SUBTOTAL(9,L331:L335),"")</f>
        <v/>
      </c>
      <c r="M330" s="34" t="str">
        <f t="shared" ref="M330" si="6436">IF(SUBTOTAL(9,M331:M335)&gt;0,SUBTOTAL(9,M331:M335),"")</f>
        <v/>
      </c>
      <c r="N330" s="34" t="str">
        <f t="shared" ref="N330" si="6437">IF(SUBTOTAL(9,N331:N335)&gt;0,SUBTOTAL(9,N331:N335),"")</f>
        <v/>
      </c>
      <c r="O330" s="34" t="str">
        <f t="shared" ref="O330" si="6438">IF(SUBTOTAL(9,O331:O335)&gt;0,SUBTOTAL(9,O331:O335),"")</f>
        <v/>
      </c>
      <c r="P330" s="34" t="str">
        <f t="shared" ref="P330" si="6439">IF(SUBTOTAL(9,P331:P335)&gt;0,SUBTOTAL(9,P331:P335),"")</f>
        <v/>
      </c>
      <c r="Q330" s="34" t="str">
        <f t="shared" ref="Q330" si="6440">IF(SUBTOTAL(9,Q331:Q335)&gt;0,SUBTOTAL(9,Q331:Q335),"")</f>
        <v/>
      </c>
      <c r="R330" s="34" t="str">
        <f t="shared" ref="R330" si="6441">IF(SUBTOTAL(9,R331:R335)&gt;0,SUBTOTAL(9,R331:R335),"")</f>
        <v/>
      </c>
      <c r="S330" s="34" t="str">
        <f t="shared" ref="S330" si="6442">IF(SUBTOTAL(9,S331:S335)&gt;0,SUBTOTAL(9,S331:S335),"")</f>
        <v/>
      </c>
      <c r="T330" s="34" t="str">
        <f t="shared" ref="T330" si="6443">IF(SUBTOTAL(9,T331:T335)&gt;0,SUBTOTAL(9,T331:T335),"")</f>
        <v/>
      </c>
      <c r="U330" s="34" t="str">
        <f t="shared" ref="U330" si="6444">IF(SUBTOTAL(9,U331:U335)&gt;0,SUBTOTAL(9,U331:U335),"")</f>
        <v/>
      </c>
      <c r="V330" s="34" t="str">
        <f t="shared" ref="V330" si="6445">IF(SUBTOTAL(9,V331:V335)&gt;0,SUBTOTAL(9,V331:V335),"")</f>
        <v/>
      </c>
      <c r="W330" s="34" t="str">
        <f t="shared" ref="W330" si="6446">IF(SUBTOTAL(9,W331:W335)&gt;0,SUBTOTAL(9,W331:W335),"")</f>
        <v/>
      </c>
      <c r="X330" s="34" t="str">
        <f t="shared" ref="X330" si="6447">IF(SUBTOTAL(9,X331:X335)&gt;0,SUBTOTAL(9,X331:X335),"")</f>
        <v/>
      </c>
      <c r="Y330" s="34" t="str">
        <f t="shared" ref="Y330" si="6448">IF(SUBTOTAL(9,Y331:Y335)&gt;0,SUBTOTAL(9,Y331:Y335),"")</f>
        <v/>
      </c>
      <c r="Z330" s="34" t="str">
        <f t="shared" ref="Z330" si="6449">IF(SUBTOTAL(9,Z331:Z335)&gt;0,SUBTOTAL(9,Z331:Z335),"")</f>
        <v/>
      </c>
      <c r="AA330" s="34" t="str">
        <f t="shared" ref="AA330" si="6450">IF(SUBTOTAL(9,AA331:AA335)&gt;0,SUBTOTAL(9,AA331:AA335),"")</f>
        <v/>
      </c>
      <c r="AB330" s="34" t="str">
        <f t="shared" ref="AB330" si="6451">IF(SUBTOTAL(9,AB331:AB335)&gt;0,SUBTOTAL(9,AB331:AB335),"")</f>
        <v/>
      </c>
      <c r="AC330" s="34" t="str">
        <f t="shared" ref="AC330" si="6452">IF(SUBTOTAL(9,AC331:AC335)&gt;0,SUBTOTAL(9,AC331:AC335),"")</f>
        <v/>
      </c>
      <c r="AD330" s="34" t="str">
        <f t="shared" ref="AD330" si="6453">IF(SUBTOTAL(9,AD331:AD335)&gt;0,SUBTOTAL(9,AD331:AD335),"")</f>
        <v/>
      </c>
      <c r="AE330" s="34" t="str">
        <f t="shared" ref="AE330" si="6454">IF(SUBTOTAL(9,AE331:AE335)&gt;0,SUBTOTAL(9,AE331:AE335),"")</f>
        <v/>
      </c>
      <c r="AF330" s="34" t="str">
        <f t="shared" ref="AF330" si="6455">IF(SUBTOTAL(9,AF331:AF335)&gt;0,SUBTOTAL(9,AF331:AF335),"")</f>
        <v/>
      </c>
      <c r="AG330" s="34" t="str">
        <f t="shared" ref="AG330" si="6456">IF(SUBTOTAL(9,AG331:AG335)&gt;0,SUBTOTAL(9,AG331:AG335),"")</f>
        <v/>
      </c>
      <c r="AH330" s="34" t="str">
        <f t="shared" ref="AH330" si="6457">IF(SUBTOTAL(9,AH331:AH335)&gt;0,SUBTOTAL(9,AH331:AH335),"")</f>
        <v/>
      </c>
      <c r="AI330" s="34" t="str">
        <f t="shared" ref="AI330" si="6458">IF(SUBTOTAL(9,AI331:AI335)&gt;0,SUBTOTAL(9,AI331:AI335),"")</f>
        <v/>
      </c>
      <c r="AJ330" s="34" t="str">
        <f t="shared" ref="AJ330" si="6459">IF(SUBTOTAL(9,AJ331:AJ335)&gt;0,SUBTOTAL(9,AJ331:AJ335),"")</f>
        <v/>
      </c>
      <c r="AK330" s="34" t="str">
        <f t="shared" ref="AK330" si="6460">IF(SUBTOTAL(9,AK331:AK335)&gt;0,SUBTOTAL(9,AK331:AK335),"")</f>
        <v/>
      </c>
      <c r="AL330" s="33" t="str">
        <f t="shared" ref="AL330" si="6461">IF(SUBTOTAL(9,AL331:AL335)&gt;0,SUBTOTAL(9,AL331:AL335),"")</f>
        <v/>
      </c>
      <c r="AM330" s="33" t="str">
        <f t="shared" ref="AM330" si="6462">IF(SUBTOTAL(9,AM331:AM335)&gt;0,SUBTOTAL(9,AM331:AM335),"")</f>
        <v/>
      </c>
      <c r="AN330" s="33" t="str">
        <f t="shared" ref="AN330" si="6463">IF(SUBTOTAL(9,AN331:AN335)&gt;0,SUBTOTAL(9,AN331:AN335),"")</f>
        <v/>
      </c>
      <c r="AO330" s="33" t="str">
        <f t="shared" ref="AO330" si="6464">IF(SUBTOTAL(9,AO331:AO335)&gt;0,SUBTOTAL(9,AO331:AO335),"")</f>
        <v/>
      </c>
      <c r="AP330" s="33" t="str">
        <f t="shared" ref="AP330" si="6465">IF(SUBTOTAL(9,AP331:AP335)&gt;0,SUBTOTAL(9,AP331:AP335),"")</f>
        <v/>
      </c>
      <c r="AQ330" s="33" t="str">
        <f t="shared" ref="AQ330" si="6466">IF(SUBTOTAL(9,AQ331:AQ335)&gt;0,SUBTOTAL(9,AQ331:AQ335),"")</f>
        <v/>
      </c>
      <c r="AR330" s="33" t="str">
        <f t="shared" ref="AR330" si="6467">IF(SUBTOTAL(9,AR331:AR335)&gt;0,SUBTOTAL(9,AR331:AR335),"")</f>
        <v/>
      </c>
      <c r="AS330" s="34" t="str">
        <f t="shared" ref="AS330" si="6468">IF(SUBTOTAL(9,AS331:AS335)&gt;0,SUBTOTAL(9,AS331:AS335),"")</f>
        <v/>
      </c>
      <c r="AT330" s="34" t="str">
        <f t="shared" ref="AT330" si="6469">IF(SUBTOTAL(9,AT331:AT335)&gt;0,SUBTOTAL(9,AT331:AT335),"")</f>
        <v/>
      </c>
      <c r="AU330" s="34" t="str">
        <f t="shared" ref="AU330" si="6470">IF(SUBTOTAL(9,AU331:AU335)&gt;0,SUBTOTAL(9,AU331:AU335),"")</f>
        <v/>
      </c>
      <c r="AV330" s="34" t="str">
        <f t="shared" ref="AV330" si="6471">IF(SUBTOTAL(9,AV331:AV335)&gt;0,SUBTOTAL(9,AV331:AV335),"")</f>
        <v/>
      </c>
      <c r="AW330" s="34" t="str">
        <f t="shared" ref="AW330" si="6472">IF(SUBTOTAL(9,AW331:AW335)&gt;0,SUBTOTAL(9,AW331:AW335),"")</f>
        <v/>
      </c>
      <c r="AX330" s="34" t="str">
        <f t="shared" ref="AX330" si="6473">IF(SUBTOTAL(9,AX331:AX335)&gt;0,SUBTOTAL(9,AX331:AX335),"")</f>
        <v/>
      </c>
      <c r="AY330" s="34" t="str">
        <f t="shared" ref="AY330" si="6474">IF(SUBTOTAL(9,AY331:AY335)&gt;0,SUBTOTAL(9,AY331:AY335),"")</f>
        <v/>
      </c>
      <c r="AZ330" s="34" t="str">
        <f t="shared" ref="AZ330" si="6475">IF(SUBTOTAL(9,AZ331:AZ335)&gt;0,SUBTOTAL(9,AZ331:AZ335),"")</f>
        <v/>
      </c>
      <c r="BA330" s="34" t="str">
        <f t="shared" ref="BA330" si="6476">IF(SUBTOTAL(9,BA331:BA335)&gt;0,SUBTOTAL(9,BA331:BA335),"")</f>
        <v/>
      </c>
      <c r="BB330" s="34" t="str">
        <f t="shared" ref="BB330" si="6477">IF(SUBTOTAL(9,BB331:BB335)&gt;0,SUBTOTAL(9,BB331:BB335),"")</f>
        <v/>
      </c>
      <c r="BC330" s="34" t="str">
        <f t="shared" ref="BC330" si="6478">IF(SUBTOTAL(9,BC331:BC335)&gt;0,SUBTOTAL(9,BC331:BC335),"")</f>
        <v/>
      </c>
      <c r="BD330" s="34" t="str">
        <f t="shared" ref="BD330" si="6479">IF(SUBTOTAL(9,BD331:BD335)&gt;0,SUBTOTAL(9,BD331:BD335),"")</f>
        <v/>
      </c>
      <c r="BE330" s="34" t="str">
        <f t="shared" ref="BE330" si="6480">IF(SUBTOTAL(9,BE331:BE335)&gt;0,SUBTOTAL(9,BE331:BE335),"")</f>
        <v/>
      </c>
      <c r="BF330" s="34" t="str">
        <f t="shared" ref="BF330" si="6481">IF(SUBTOTAL(9,BF331:BF335)&gt;0,SUBTOTAL(9,BF331:BF335),"")</f>
        <v/>
      </c>
      <c r="BG330" s="34" t="str">
        <f t="shared" ref="BG330" si="6482">IF(SUBTOTAL(9,BG331:BG335)&gt;0,SUBTOTAL(9,BG331:BG335),"")</f>
        <v/>
      </c>
      <c r="BH330" s="34" t="str">
        <f t="shared" ref="BH330" si="6483">IF(SUBTOTAL(9,BH331:BH335)&gt;0,SUBTOTAL(9,BH331:BH335),"")</f>
        <v/>
      </c>
      <c r="BI330" s="34" t="str">
        <f t="shared" ref="BI330" si="6484">IF(SUBTOTAL(9,BI331:BI335)&gt;0,SUBTOTAL(9,BI331:BI335),"")</f>
        <v/>
      </c>
      <c r="BJ330" s="34" t="str">
        <f t="shared" ref="BJ330" si="6485">IF(SUBTOTAL(9,BJ331:BJ335)&gt;0,SUBTOTAL(9,BJ331:BJ335),"")</f>
        <v/>
      </c>
      <c r="BK330" s="34" t="str">
        <f t="shared" ref="BK330" si="6486">IF(SUBTOTAL(9,BK331:BK335)&gt;0,SUBTOTAL(9,BK331:BK335),"")</f>
        <v/>
      </c>
      <c r="BL330" s="34" t="str">
        <f t="shared" ref="BL330" si="6487">IF(SUBTOTAL(9,BL331:BL335)&gt;0,SUBTOTAL(9,BL331:BL335),"")</f>
        <v/>
      </c>
      <c r="BM330" s="34" t="str">
        <f t="shared" ref="BM330" si="6488">IF(SUBTOTAL(9,BM331:BM335)&gt;0,SUBTOTAL(9,BM331:BM335),"")</f>
        <v/>
      </c>
      <c r="BN330" s="34" t="str">
        <f t="shared" ref="BN330" si="6489">IF(SUBTOTAL(9,BN331:BN335)&gt;0,SUBTOTAL(9,BN331:BN335),"")</f>
        <v/>
      </c>
      <c r="BO330" s="34" t="str">
        <f t="shared" ref="BO330" si="6490">IF(SUBTOTAL(9,BO331:BO335)&gt;0,SUBTOTAL(9,BO331:BO335),"")</f>
        <v/>
      </c>
      <c r="BP330" s="34" t="str">
        <f t="shared" ref="BP330" si="6491">IF(SUBTOTAL(9,BP331:BP335)&gt;0,SUBTOTAL(9,BP331:BP335),"")</f>
        <v/>
      </c>
      <c r="BQ330" s="34" t="str">
        <f t="shared" ref="BQ330" si="6492">IF(SUBTOTAL(9,BQ331:BQ335)&gt;0,SUBTOTAL(9,BQ331:BQ335),"")</f>
        <v/>
      </c>
      <c r="BR330" s="34" t="str">
        <f t="shared" ref="BR330" si="6493">IF(SUBTOTAL(9,BR331:BR335)&gt;0,SUBTOTAL(9,BR331:BR335),"")</f>
        <v/>
      </c>
      <c r="BS330" s="34" t="str">
        <f t="shared" ref="BS330" si="6494">IF(SUBTOTAL(9,BS331:BS335)&gt;0,SUBTOTAL(9,BS331:BS335),"")</f>
        <v/>
      </c>
      <c r="BT330" s="34" t="str">
        <f t="shared" ref="BT330" si="6495">IF(SUBTOTAL(9,BT331:BT335)&gt;0,SUBTOTAL(9,BT331:BT335),"")</f>
        <v/>
      </c>
      <c r="BU330" s="34" t="str">
        <f t="shared" ref="BU330" si="6496">IF(SUBTOTAL(9,BU331:BU335)&gt;0,SUBTOTAL(9,BU331:BU335),"")</f>
        <v/>
      </c>
      <c r="BV330" s="34" t="str">
        <f t="shared" ref="BV330" si="6497">IF(SUBTOTAL(9,BV331:BV335)&gt;0,SUBTOTAL(9,BV331:BV335),"")</f>
        <v/>
      </c>
      <c r="BW330" s="34" t="str">
        <f t="shared" ref="BW330" si="6498">IF(SUBTOTAL(9,BW331:BW335)&gt;0,SUBTOTAL(9,BW331:BW335),"")</f>
        <v/>
      </c>
      <c r="BX330" s="34" t="str">
        <f t="shared" ref="BX330" si="6499">IF(SUBTOTAL(9,BX331:BX335)&gt;0,SUBTOTAL(9,BX331:BX335),"")</f>
        <v/>
      </c>
      <c r="BY330" s="34" t="str">
        <f t="shared" ref="BY330" si="6500">IF(SUBTOTAL(9,BY331:BY335)&gt;0,SUBTOTAL(9,BY331:BY335),"")</f>
        <v/>
      </c>
      <c r="BZ330" s="34" t="str">
        <f t="shared" ref="BZ330" si="6501">IF(SUBTOTAL(9,BZ331:BZ335)&gt;0,SUBTOTAL(9,BZ331:BZ335),"")</f>
        <v/>
      </c>
      <c r="CA330" s="34" t="str">
        <f t="shared" ref="CA330" si="6502">IF(SUBTOTAL(9,CA331:CA335)&gt;0,SUBTOTAL(9,CA331:CA335),"")</f>
        <v/>
      </c>
      <c r="CB330" s="34" t="str">
        <f t="shared" ref="CB330" si="6503">IF(SUBTOTAL(9,CB331:CB335)&gt;0,SUBTOTAL(9,CB331:CB335),"")</f>
        <v/>
      </c>
      <c r="CC330" s="34" t="str">
        <f t="shared" ref="CC330" si="6504">IF(SUBTOTAL(9,CC331:CC335)&gt;0,SUBTOTAL(9,CC331:CC335),"")</f>
        <v/>
      </c>
      <c r="CD330" s="34" t="str">
        <f t="shared" ref="CD330" si="6505">IF(SUBTOTAL(9,CD331:CD335)&gt;0,SUBTOTAL(9,CD331:CD335),"")</f>
        <v/>
      </c>
      <c r="CE330" s="34" t="str">
        <f t="shared" ref="CE330" si="6506">IF(SUBTOTAL(9,CE331:CE335)&gt;0,SUBTOTAL(9,CE331:CE335),"")</f>
        <v/>
      </c>
      <c r="CF330" s="34" t="str">
        <f t="shared" ref="CF330:CG330" si="6507">IF(SUBTOTAL(9,CF331:CF335)&gt;0,SUBTOTAL(9,CF331:CF335),"")</f>
        <v/>
      </c>
      <c r="CG330" s="34" t="str">
        <f t="shared" si="6507"/>
        <v/>
      </c>
      <c r="CH330" s="34" t="str">
        <f t="shared" ref="CH330" si="6508">IF(SUBTOTAL(9,CH331:CH335)&gt;0,SUBTOTAL(9,CH331:CH335),"")</f>
        <v/>
      </c>
      <c r="CI330" s="34" t="str">
        <f t="shared" ref="CI330" si="6509">IF(SUBTOTAL(9,CI331:CI335)&gt;0,SUBTOTAL(9,CI331:CI335),"")</f>
        <v/>
      </c>
      <c r="CJ330" s="34" t="str">
        <f t="shared" ref="CJ330" si="6510">IF(SUBTOTAL(9,CJ331:CJ335)&gt;0,SUBTOTAL(9,CJ331:CJ335),"")</f>
        <v/>
      </c>
      <c r="CK330" s="34" t="str">
        <f t="shared" ref="CK330" si="6511">IF(SUBTOTAL(9,CK331:CK335)&gt;0,SUBTOTAL(9,CK331:CK335),"")</f>
        <v/>
      </c>
      <c r="CL330" s="34" t="str">
        <f t="shared" ref="CL330" si="6512">IF(SUBTOTAL(9,CL331:CL335)&gt;0,SUBTOTAL(9,CL331:CL335),"")</f>
        <v/>
      </c>
      <c r="CM330" s="34" t="str">
        <f t="shared" ref="CM330" si="6513">IF(SUBTOTAL(9,CM331:CM335)&gt;0,SUBTOTAL(9,CM331:CM335),"")</f>
        <v/>
      </c>
      <c r="CN330" s="34" t="str">
        <f t="shared" ref="CN330" si="6514">IF(SUBTOTAL(9,CN331:CN335)&gt;0,SUBTOTAL(9,CN331:CN335),"")</f>
        <v/>
      </c>
      <c r="CO330" s="34" t="str">
        <f t="shared" ref="CO330" si="6515">IF(SUBTOTAL(9,CO331:CO335)&gt;0,SUBTOTAL(9,CO331:CO335),"")</f>
        <v/>
      </c>
      <c r="CP330" s="34" t="str">
        <f t="shared" ref="CP330" si="6516">IF(SUBTOTAL(9,CP331:CP335)&gt;0,SUBTOTAL(9,CP331:CP335),"")</f>
        <v/>
      </c>
      <c r="CQ330" s="34" t="str">
        <f t="shared" ref="CQ330" si="6517">IF(SUBTOTAL(9,CQ331:CQ335)&gt;0,SUBTOTAL(9,CQ331:CQ335),"")</f>
        <v/>
      </c>
      <c r="CR330" s="34" t="str">
        <f t="shared" ref="CR330" si="6518">IF(SUBTOTAL(9,CR331:CR335)&gt;0,SUBTOTAL(9,CR331:CR335),"")</f>
        <v/>
      </c>
      <c r="CS330" s="34" t="str">
        <f t="shared" ref="CS330" si="6519">IF(SUBTOTAL(9,CS331:CS335)&gt;0,SUBTOTAL(9,CS331:CS335),"")</f>
        <v/>
      </c>
      <c r="CT330" s="33" t="str">
        <f t="shared" ref="CT330" si="6520">IF(SUBTOTAL(9,CT331:CT335)&gt;0,SUBTOTAL(9,CT331:CT335),"")</f>
        <v/>
      </c>
      <c r="CU330" s="34" t="str">
        <f t="shared" ref="CU330" si="6521">IF(SUBTOTAL(9,CU331:CU335)&gt;0,SUBTOTAL(9,CU331:CU335),"")</f>
        <v/>
      </c>
      <c r="CV330" s="34" t="str">
        <f t="shared" ref="CV330" si="6522">IF(SUBTOTAL(9,CV331:CV335)&gt;0,SUBTOTAL(9,CV331:CV335),"")</f>
        <v/>
      </c>
      <c r="CW330" s="34" t="str">
        <f t="shared" ref="CW330" si="6523">IF(SUBTOTAL(9,CW331:CW335)&gt;0,SUBTOTAL(9,CW331:CW335),"")</f>
        <v/>
      </c>
      <c r="CX330" s="34" t="str">
        <f t="shared" ref="CX330" si="6524">IF(SUBTOTAL(9,CX331:CX335)&gt;0,SUBTOTAL(9,CX331:CX335),"")</f>
        <v/>
      </c>
      <c r="CY330" s="34" t="str">
        <f t="shared" ref="CY330" si="6525">IF(SUBTOTAL(9,CY331:CY335)&gt;0,SUBTOTAL(9,CY331:CY335),"")</f>
        <v/>
      </c>
      <c r="CZ330" s="33" t="str">
        <f t="shared" ref="CZ330" si="6526">IF(SUBTOTAL(9,CZ331:CZ335)&gt;0,SUBTOTAL(9,CZ331:CZ335),"")</f>
        <v/>
      </c>
      <c r="DA330" s="33" t="str">
        <f t="shared" ref="DA330" si="6527">IF(SUBTOTAL(9,DA331:DA335)&gt;0,SUBTOTAL(9,DA331:DA335),"")</f>
        <v/>
      </c>
      <c r="DB330" s="34" t="str">
        <f t="shared" ref="DB330" si="6528">IF(SUBTOTAL(9,DB331:DB335)&gt;0,SUBTOTAL(9,DB331:DB335),"")</f>
        <v/>
      </c>
      <c r="DC330" s="34" t="str">
        <f t="shared" ref="DC330" si="6529">IF(SUBTOTAL(9,DC331:DC335)&gt;0,SUBTOTAL(9,DC331:DC335),"")</f>
        <v/>
      </c>
      <c r="DD330" s="34" t="str">
        <f t="shared" ref="DD330" si="6530">IF(SUBTOTAL(9,DD331:DD335)&gt;0,SUBTOTAL(9,DD331:DD335),"")</f>
        <v/>
      </c>
      <c r="DE330" s="34" t="str">
        <f t="shared" ref="DE330" si="6531">IF(SUBTOTAL(9,DE331:DE335)&gt;0,SUBTOTAL(9,DE331:DE335),"")</f>
        <v/>
      </c>
      <c r="DF330" s="34" t="str">
        <f t="shared" ref="DF330" si="6532">IF(SUBTOTAL(9,DF331:DF335)&gt;0,SUBTOTAL(9,DF331:DF335),"")</f>
        <v/>
      </c>
      <c r="DG330" s="34" t="str">
        <f t="shared" ref="DG330" si="6533">IF(SUBTOTAL(9,DG331:DG335)&gt;0,SUBTOTAL(9,DG331:DG335),"")</f>
        <v/>
      </c>
      <c r="DH330" s="34" t="str">
        <f t="shared" ref="DH330" si="6534">IF(SUBTOTAL(9,DH331:DH335)&gt;0,SUBTOTAL(9,DH331:DH335),"")</f>
        <v/>
      </c>
      <c r="DI330" s="34" t="str">
        <f t="shared" ref="DI330" si="6535">IF(SUBTOTAL(9,DI331:DI335)&gt;0,SUBTOTAL(9,DI331:DI335),"")</f>
        <v/>
      </c>
      <c r="DJ330" s="34" t="str">
        <f t="shared" ref="DJ330" si="6536">IF(SUBTOTAL(9,DJ331:DJ335)&gt;0,SUBTOTAL(9,DJ331:DJ335),"")</f>
        <v/>
      </c>
      <c r="DK330" s="34" t="str">
        <f t="shared" ref="DK330" si="6537">IF(SUBTOTAL(9,DK331:DK335)&gt;0,SUBTOTAL(9,DK331:DK335),"")</f>
        <v/>
      </c>
      <c r="DL330" s="34" t="str">
        <f t="shared" ref="DL330" si="6538">IF(SUBTOTAL(9,DL331:DL335)&gt;0,SUBTOTAL(9,DL331:DL335),"")</f>
        <v/>
      </c>
      <c r="DM330" s="34" t="str">
        <f t="shared" ref="DM330" si="6539">IF(SUBTOTAL(9,DM331:DM335)&gt;0,SUBTOTAL(9,DM331:DM335),"")</f>
        <v/>
      </c>
      <c r="DN330" s="34" t="str">
        <f t="shared" ref="DN330" si="6540">IF(SUBTOTAL(9,DN331:DN335)&gt;0,SUBTOTAL(9,DN331:DN335),"")</f>
        <v/>
      </c>
      <c r="DO330" s="34" t="str">
        <f t="shared" ref="DO330" si="6541">IF(SUBTOTAL(9,DO331:DO335)&gt;0,SUBTOTAL(9,DO331:DO335),"")</f>
        <v/>
      </c>
      <c r="DP330" s="34" t="str">
        <f t="shared" ref="DP330" si="6542">IF(SUBTOTAL(9,DP331:DP335)&gt;0,SUBTOTAL(9,DP331:DP335),"")</f>
        <v/>
      </c>
      <c r="DQ330" s="34" t="str">
        <f t="shared" ref="DQ330" si="6543">IF(SUBTOTAL(9,DQ331:DQ335)&gt;0,SUBTOTAL(9,DQ331:DQ335),"")</f>
        <v/>
      </c>
      <c r="DR330" s="34" t="str">
        <f t="shared" ref="DR330" si="6544">IF(SUBTOTAL(9,DR331:DR335)&gt;0,SUBTOTAL(9,DR331:DR335),"")</f>
        <v/>
      </c>
      <c r="DS330" s="34" t="str">
        <f t="shared" ref="DS330" si="6545">IF(SUBTOTAL(9,DS331:DS335)&gt;0,SUBTOTAL(9,DS331:DS335),"")</f>
        <v/>
      </c>
      <c r="DT330" s="34" t="str">
        <f t="shared" ref="DT330" si="6546">IF(SUBTOTAL(9,DT331:DT335)&gt;0,SUBTOTAL(9,DT331:DT335),"")</f>
        <v/>
      </c>
      <c r="DU330" s="34" t="str">
        <f t="shared" ref="DU330" si="6547">IF(SUBTOTAL(9,DU331:DU335)&gt;0,SUBTOTAL(9,DU331:DU335),"")</f>
        <v/>
      </c>
      <c r="DV330" s="34" t="str">
        <f t="shared" ref="DV330" si="6548">IF(SUBTOTAL(9,DV331:DV335)&gt;0,SUBTOTAL(9,DV331:DV335),"")</f>
        <v/>
      </c>
      <c r="DW330" s="34" t="str">
        <f t="shared" ref="DW330" si="6549">IF(SUBTOTAL(9,DW331:DW335)&gt;0,SUBTOTAL(9,DW331:DW335),"")</f>
        <v/>
      </c>
      <c r="DX330" s="34" t="str">
        <f t="shared" ref="DX330" si="6550">IF(SUBTOTAL(9,DX331:DX335)&gt;0,SUBTOTAL(9,DX331:DX335),"")</f>
        <v/>
      </c>
      <c r="DY330" s="34" t="str">
        <f t="shared" ref="DY330" si="6551">IF(SUBTOTAL(9,DY331:DY335)&gt;0,SUBTOTAL(9,DY331:DY335),"")</f>
        <v/>
      </c>
      <c r="DZ330" s="33" t="str">
        <f t="shared" ref="DZ330" si="6552">IF(SUBTOTAL(9,DZ331:DZ335)&gt;0,SUBTOTAL(9,DZ331:DZ335),"")</f>
        <v/>
      </c>
      <c r="EA330" s="34" t="str">
        <f t="shared" ref="EA330" si="6553">IF(SUBTOTAL(9,EA331:EA335)&gt;0,SUBTOTAL(9,EA331:EA335),"")</f>
        <v/>
      </c>
      <c r="EB330" s="34" t="str">
        <f t="shared" ref="EB330" si="6554">IF(SUBTOTAL(9,EB331:EB335)&gt;0,SUBTOTAL(9,EB331:EB335),"")</f>
        <v/>
      </c>
      <c r="EC330" s="34" t="str">
        <f t="shared" ref="EC330" si="6555">IF(SUBTOTAL(9,EC331:EC335)&gt;0,SUBTOTAL(9,EC331:EC335),"")</f>
        <v/>
      </c>
      <c r="ED330" s="34" t="str">
        <f t="shared" ref="ED330" si="6556">IF(SUBTOTAL(9,ED331:ED335)&gt;0,SUBTOTAL(9,ED331:ED335),"")</f>
        <v/>
      </c>
      <c r="EE330" s="34" t="str">
        <f t="shared" ref="EE330" si="6557">IF(SUBTOTAL(9,EE331:EE335)&gt;0,SUBTOTAL(9,EE331:EE335),"")</f>
        <v/>
      </c>
      <c r="EF330" s="34" t="str">
        <f t="shared" ref="EF330" si="6558">IF(SUBTOTAL(9,EF331:EF335)&gt;0,SUBTOTAL(9,EF331:EF335),"")</f>
        <v/>
      </c>
      <c r="EG330" s="34" t="str">
        <f t="shared" ref="EG330" si="6559">IF(SUBTOTAL(9,EG331:EG335)&gt;0,SUBTOTAL(9,EG331:EG335),"")</f>
        <v/>
      </c>
      <c r="EH330" s="34" t="str">
        <f t="shared" ref="EH330" si="6560">IF(SUBTOTAL(9,EH331:EH335)&gt;0,SUBTOTAL(9,EH331:EH335),"")</f>
        <v/>
      </c>
      <c r="EI330" s="34" t="str">
        <f t="shared" ref="EI330" si="6561">IF(SUBTOTAL(9,EI331:EI335)&gt;0,SUBTOTAL(9,EI331:EI335),"")</f>
        <v/>
      </c>
      <c r="EJ330" s="34" t="str">
        <f t="shared" ref="EJ330" si="6562">IF(SUBTOTAL(9,EJ331:EJ335)&gt;0,SUBTOTAL(9,EJ331:EJ335),"")</f>
        <v/>
      </c>
      <c r="EK330" s="34" t="str">
        <f t="shared" ref="EK330" si="6563">IF(SUBTOTAL(9,EK331:EK335)&gt;0,SUBTOTAL(9,EK331:EK335),"")</f>
        <v/>
      </c>
      <c r="EL330" s="34" t="str">
        <f t="shared" ref="EL330" si="6564">IF(SUBTOTAL(9,EL331:EL335)&gt;0,SUBTOTAL(9,EL331:EL335),"")</f>
        <v/>
      </c>
      <c r="EM330" s="34" t="str">
        <f t="shared" ref="EM330" si="6565">IF(SUBTOTAL(9,EM331:EM335)&gt;0,SUBTOTAL(9,EM331:EM335),"")</f>
        <v/>
      </c>
      <c r="EN330" s="34" t="str">
        <f t="shared" ref="EN330" si="6566">IF(SUBTOTAL(9,EN331:EN335)&gt;0,SUBTOTAL(9,EN331:EN335),"")</f>
        <v/>
      </c>
      <c r="EO330" s="34" t="str">
        <f t="shared" ref="EO330" si="6567">IF(SUBTOTAL(9,EO331:EO335)&gt;0,SUBTOTAL(9,EO331:EO335),"")</f>
        <v/>
      </c>
      <c r="EP330" s="34" t="str">
        <f t="shared" ref="EP330" si="6568">IF(SUBTOTAL(9,EP331:EP335)&gt;0,SUBTOTAL(9,EP331:EP335),"")</f>
        <v/>
      </c>
      <c r="EQ330" s="34" t="str">
        <f t="shared" ref="EQ330" si="6569">IF(SUBTOTAL(9,EQ331:EQ335)&gt;0,SUBTOTAL(9,EQ331:EQ335),"")</f>
        <v/>
      </c>
      <c r="ER330" s="34" t="str">
        <f t="shared" ref="ER330" si="6570">IF(SUBTOTAL(9,ER331:ER335)&gt;0,SUBTOTAL(9,ER331:ER335),"")</f>
        <v/>
      </c>
      <c r="ES330" s="34" t="str">
        <f t="shared" ref="ES330" si="6571">IF(SUBTOTAL(9,ES331:ES335)&gt;0,SUBTOTAL(9,ES331:ES335),"")</f>
        <v/>
      </c>
      <c r="ET330" s="34" t="str">
        <f t="shared" ref="ET330" si="6572">IF(SUBTOTAL(9,ET331:ET335)&gt;0,SUBTOTAL(9,ET331:ET335),"")</f>
        <v/>
      </c>
      <c r="EU330" s="34" t="str">
        <f t="shared" ref="EU330" si="6573">IF(SUBTOTAL(9,EU331:EU335)&gt;0,SUBTOTAL(9,EU331:EU335),"")</f>
        <v/>
      </c>
      <c r="EV330" s="34" t="str">
        <f t="shared" ref="EV330" si="6574">IF(SUBTOTAL(9,EV331:EV335)&gt;0,SUBTOTAL(9,EV331:EV335),"")</f>
        <v/>
      </c>
      <c r="EW330" s="34" t="str">
        <f t="shared" ref="EW330" si="6575">IF(SUBTOTAL(9,EW331:EW335)&gt;0,SUBTOTAL(9,EW331:EW335),"")</f>
        <v/>
      </c>
      <c r="EX330" s="34" t="str">
        <f t="shared" ref="EX330" si="6576">IF(SUBTOTAL(9,EX331:EX335)&gt;0,SUBTOTAL(9,EX331:EX335),"")</f>
        <v/>
      </c>
      <c r="EY330" s="33" t="str">
        <f t="shared" ref="EY330" si="6577">IF(SUBTOTAL(9,EY331:EY335)&gt;0,SUBTOTAL(9,EY331:EY335),"")</f>
        <v/>
      </c>
      <c r="EZ330" s="34" t="str">
        <f t="shared" ref="EZ330" si="6578">IF(SUBTOTAL(9,EZ331:EZ335)&gt;0,SUBTOTAL(9,EZ331:EZ335),"")</f>
        <v/>
      </c>
      <c r="FA330" s="34" t="str">
        <f t="shared" ref="FA330" si="6579">IF(SUBTOTAL(9,FA331:FA335)&gt;0,SUBTOTAL(9,FA331:FA335),"")</f>
        <v/>
      </c>
      <c r="FB330" s="34" t="str">
        <f t="shared" ref="FB330" si="6580">IF(SUBTOTAL(9,FB331:FB335)&gt;0,SUBTOTAL(9,FB331:FB335),"")</f>
        <v/>
      </c>
      <c r="FC330" s="34" t="str">
        <f t="shared" ref="FC330" si="6581">IF(SUBTOTAL(9,FC331:FC335)&gt;0,SUBTOTAL(9,FC331:FC335),"")</f>
        <v/>
      </c>
      <c r="FD330" s="34" t="str">
        <f t="shared" ref="FD330" si="6582">IF(SUBTOTAL(9,FD331:FD335)&gt;0,SUBTOTAL(9,FD331:FD335),"")</f>
        <v/>
      </c>
      <c r="FE330" s="34" t="str">
        <f t="shared" ref="FE330" si="6583">IF(SUBTOTAL(9,FE331:FE335)&gt;0,SUBTOTAL(9,FE331:FE335),"")</f>
        <v/>
      </c>
      <c r="FF330" s="34" t="str">
        <f t="shared" ref="FF330" si="6584">IF(SUBTOTAL(9,FF331:FF335)&gt;0,SUBTOTAL(9,FF331:FF335),"")</f>
        <v/>
      </c>
      <c r="FG330" s="34" t="str">
        <f t="shared" ref="FG330" si="6585">IF(SUBTOTAL(9,FG331:FG335)&gt;0,SUBTOTAL(9,FG331:FG335),"")</f>
        <v/>
      </c>
      <c r="FH330" s="34" t="str">
        <f t="shared" ref="FH330" si="6586">IF(SUBTOTAL(9,FH331:FH335)&gt;0,SUBTOTAL(9,FH331:FH335),"")</f>
        <v/>
      </c>
      <c r="FI330" s="34" t="str">
        <f t="shared" ref="FI330" si="6587">IF(SUBTOTAL(9,FI331:FI335)&gt;0,SUBTOTAL(9,FI331:FI335),"")</f>
        <v/>
      </c>
      <c r="FJ330" s="34" t="str">
        <f t="shared" ref="FJ330" si="6588">IF(SUBTOTAL(9,FJ331:FJ335)&gt;0,SUBTOTAL(9,FJ331:FJ335),"")</f>
        <v/>
      </c>
      <c r="FK330" s="34" t="str">
        <f t="shared" ref="FK330" si="6589">IF(SUBTOTAL(9,FK331:FK335)&gt;0,SUBTOTAL(9,FK331:FK335),"")</f>
        <v/>
      </c>
      <c r="FL330" s="34" t="str">
        <f t="shared" ref="FL330" si="6590">IF(SUBTOTAL(9,FL331:FL335)&gt;0,SUBTOTAL(9,FL331:FL335),"")</f>
        <v/>
      </c>
      <c r="FM330" s="34" t="str">
        <f t="shared" ref="FM330" si="6591">IF(SUBTOTAL(9,FM331:FM335)&gt;0,SUBTOTAL(9,FM331:FM335),"")</f>
        <v/>
      </c>
      <c r="FN330" s="34" t="str">
        <f t="shared" ref="FN330" si="6592">IF(SUBTOTAL(9,FN331:FN335)&gt;0,SUBTOTAL(9,FN331:FN335),"")</f>
        <v/>
      </c>
      <c r="FO330" s="34" t="str">
        <f t="shared" ref="FO330" si="6593">IF(SUBTOTAL(9,FO331:FO335)&gt;0,SUBTOTAL(9,FO331:FO335),"")</f>
        <v/>
      </c>
      <c r="FP330" s="34" t="str">
        <f t="shared" ref="FP330" si="6594">IF(SUBTOTAL(9,FP331:FP335)&gt;0,SUBTOTAL(9,FP331:FP335),"")</f>
        <v/>
      </c>
      <c r="FQ330" s="92" t="str">
        <f t="shared" ref="FQ330" si="6595">IF(SUBTOTAL(9,FQ331:FQ335)&gt;0,SUBTOTAL(9,FQ331:FQ335),"")</f>
        <v/>
      </c>
      <c r="FS330" s="9" t="s">
        <v>131</v>
      </c>
      <c r="FT330" s="9" t="str">
        <f t="shared" si="6370"/>
        <v/>
      </c>
    </row>
    <row r="331" spans="1:176" ht="12" hidden="1" customHeight="1" outlineLevel="1">
      <c r="A331" s="122"/>
      <c r="B331" s="123"/>
      <c r="C331" s="131" t="str">
        <f t="shared" ref="C331:C335" si="6596">ROUND(SUM(E331:FQ331),0) &amp; " days"</f>
        <v>0 days</v>
      </c>
      <c r="D331" s="141" t="str">
        <f>A329&amp;" "&amp;A330</f>
        <v>12. FDS Release 4 12.1 FDS Release 4 - Ireland LOB changes for Claims HDL</v>
      </c>
      <c r="E331" s="51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D331" s="35"/>
      <c r="AE331" s="35"/>
      <c r="AF331" s="35"/>
      <c r="AG331" s="35"/>
      <c r="AH331" s="35"/>
      <c r="AI331" s="35"/>
      <c r="AJ331" s="35"/>
      <c r="AK331" s="35"/>
      <c r="AL331" s="36"/>
      <c r="AM331" s="36"/>
      <c r="AN331" s="36"/>
      <c r="AO331" s="36"/>
      <c r="AP331" s="36"/>
      <c r="AQ331" s="36"/>
      <c r="AR331" s="36"/>
      <c r="AS331" s="35"/>
      <c r="AT331" s="35"/>
      <c r="AU331" s="35"/>
      <c r="AV331" s="35"/>
      <c r="AW331" s="35"/>
      <c r="AX331" s="35"/>
      <c r="AY331" s="35"/>
      <c r="AZ331" s="35"/>
      <c r="BA331" s="35"/>
      <c r="BB331" s="35"/>
      <c r="BC331" s="35"/>
      <c r="BD331" s="35"/>
      <c r="BE331" s="35"/>
      <c r="BF331" s="35"/>
      <c r="BG331" s="35"/>
      <c r="BH331" s="35"/>
      <c r="BI331" s="35"/>
      <c r="BJ331" s="35"/>
      <c r="BK331" s="35"/>
      <c r="BL331" s="35"/>
      <c r="BM331" s="35"/>
      <c r="BN331" s="35"/>
      <c r="BO331" s="35"/>
      <c r="BP331" s="35"/>
      <c r="BQ331" s="35"/>
      <c r="BR331" s="35"/>
      <c r="BS331" s="35"/>
      <c r="BT331" s="35"/>
      <c r="BU331" s="35"/>
      <c r="BV331" s="35"/>
      <c r="BW331" s="35"/>
      <c r="BX331" s="35"/>
      <c r="BY331" s="35"/>
      <c r="BZ331" s="35"/>
      <c r="CA331" s="35"/>
      <c r="CB331" s="35"/>
      <c r="CC331" s="35"/>
      <c r="CD331" s="35"/>
      <c r="CE331" s="35"/>
      <c r="CF331" s="35"/>
      <c r="CG331" s="35"/>
      <c r="CH331" s="35"/>
      <c r="CI331" s="35"/>
      <c r="CJ331" s="35"/>
      <c r="CK331" s="35"/>
      <c r="CL331" s="35"/>
      <c r="CM331" s="35"/>
      <c r="CN331" s="35"/>
      <c r="CO331" s="35"/>
      <c r="CP331" s="35"/>
      <c r="CQ331" s="35"/>
      <c r="CR331" s="35"/>
      <c r="CS331" s="35"/>
      <c r="CT331" s="36"/>
      <c r="CU331" s="35"/>
      <c r="CV331" s="35"/>
      <c r="CW331" s="35"/>
      <c r="CX331" s="35"/>
      <c r="CY331" s="35"/>
      <c r="CZ331" s="36"/>
      <c r="DA331" s="36"/>
      <c r="DB331" s="35"/>
      <c r="DC331" s="35"/>
      <c r="DD331" s="35"/>
      <c r="DE331" s="35"/>
      <c r="DF331" s="35"/>
      <c r="DG331" s="35"/>
      <c r="DH331" s="35"/>
      <c r="DI331" s="35"/>
      <c r="DJ331" s="35"/>
      <c r="DK331" s="35"/>
      <c r="DL331" s="35"/>
      <c r="DM331" s="35"/>
      <c r="DN331" s="35"/>
      <c r="DO331" s="35"/>
      <c r="DP331" s="35"/>
      <c r="DQ331" s="35"/>
      <c r="DR331" s="35"/>
      <c r="DS331" s="35"/>
      <c r="DT331" s="35"/>
      <c r="DU331" s="35"/>
      <c r="DV331" s="35"/>
      <c r="DW331" s="35"/>
      <c r="DX331" s="35"/>
      <c r="DY331" s="35"/>
      <c r="DZ331" s="36"/>
      <c r="EA331" s="35"/>
      <c r="EB331" s="35"/>
      <c r="EC331" s="35"/>
      <c r="ED331" s="35"/>
      <c r="EE331" s="35"/>
      <c r="EF331" s="35"/>
      <c r="EG331" s="35"/>
      <c r="EH331" s="35"/>
      <c r="EI331" s="35"/>
      <c r="EJ331" s="35"/>
      <c r="EK331" s="35"/>
      <c r="EL331" s="35"/>
      <c r="EM331" s="35"/>
      <c r="EN331" s="35"/>
      <c r="EO331" s="35"/>
      <c r="EP331" s="35"/>
      <c r="EQ331" s="35"/>
      <c r="ER331" s="35"/>
      <c r="ES331" s="35"/>
      <c r="ET331" s="35"/>
      <c r="EU331" s="35"/>
      <c r="EV331" s="35"/>
      <c r="EW331" s="35"/>
      <c r="EX331" s="35"/>
      <c r="EY331" s="36"/>
      <c r="EZ331" s="35"/>
      <c r="FA331" s="35"/>
      <c r="FB331" s="35"/>
      <c r="FC331" s="35"/>
      <c r="FD331" s="35"/>
      <c r="FE331" s="35"/>
      <c r="FF331" s="35"/>
      <c r="FG331" s="35"/>
      <c r="FH331" s="35"/>
      <c r="FI331" s="35"/>
      <c r="FJ331" s="35"/>
      <c r="FK331" s="35"/>
      <c r="FL331" s="35"/>
      <c r="FM331" s="35"/>
      <c r="FN331" s="35"/>
      <c r="FO331" s="35"/>
      <c r="FP331" s="35"/>
      <c r="FQ331" s="52"/>
      <c r="FS331" s="9" t="s">
        <v>13</v>
      </c>
      <c r="FT331" s="9" t="str">
        <f t="shared" si="6370"/>
        <v>12. FDS Release 4 12.1 FDS Release 4 - Ireland LOB changes for Claims HDL</v>
      </c>
    </row>
    <row r="332" spans="1:176" ht="12" hidden="1" customHeight="1" outlineLevel="1">
      <c r="A332" s="122"/>
      <c r="B332" s="123"/>
      <c r="C332" s="131" t="str">
        <f t="shared" si="6596"/>
        <v>0 days</v>
      </c>
      <c r="D332" s="141" t="str">
        <f>A329&amp;" "&amp;A330</f>
        <v>12. FDS Release 4 12.1 FDS Release 4 - Ireland LOB changes for Claims HDL</v>
      </c>
      <c r="E332" s="51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D332" s="35"/>
      <c r="AE332" s="35"/>
      <c r="AF332" s="35"/>
      <c r="AG332" s="35"/>
      <c r="AH332" s="35"/>
      <c r="AI332" s="35"/>
      <c r="AJ332" s="35"/>
      <c r="AK332" s="35"/>
      <c r="AL332" s="36"/>
      <c r="AM332" s="36"/>
      <c r="AN332" s="36"/>
      <c r="AO332" s="36"/>
      <c r="AP332" s="36"/>
      <c r="AQ332" s="36"/>
      <c r="AR332" s="36"/>
      <c r="AS332" s="35"/>
      <c r="AT332" s="35"/>
      <c r="AU332" s="35"/>
      <c r="AV332" s="35"/>
      <c r="AW332" s="35"/>
      <c r="AX332" s="35"/>
      <c r="AY332" s="35"/>
      <c r="AZ332" s="35"/>
      <c r="BA332" s="35"/>
      <c r="BB332" s="35"/>
      <c r="BC332" s="35"/>
      <c r="BD332" s="35"/>
      <c r="BE332" s="35"/>
      <c r="BF332" s="35"/>
      <c r="BG332" s="35"/>
      <c r="BH332" s="35"/>
      <c r="BI332" s="35"/>
      <c r="BJ332" s="35"/>
      <c r="BK332" s="35"/>
      <c r="BL332" s="35"/>
      <c r="BM332" s="35"/>
      <c r="BN332" s="35"/>
      <c r="BO332" s="35"/>
      <c r="BP332" s="35"/>
      <c r="BQ332" s="35"/>
      <c r="BR332" s="35"/>
      <c r="BS332" s="35"/>
      <c r="BT332" s="35"/>
      <c r="BU332" s="35"/>
      <c r="BV332" s="35"/>
      <c r="BW332" s="35"/>
      <c r="BX332" s="35"/>
      <c r="BY332" s="35"/>
      <c r="BZ332" s="35"/>
      <c r="CA332" s="35"/>
      <c r="CB332" s="35"/>
      <c r="CC332" s="35"/>
      <c r="CD332" s="35"/>
      <c r="CE332" s="35"/>
      <c r="CF332" s="35"/>
      <c r="CG332" s="35"/>
      <c r="CH332" s="35"/>
      <c r="CI332" s="35"/>
      <c r="CJ332" s="35"/>
      <c r="CK332" s="35"/>
      <c r="CL332" s="35"/>
      <c r="CM332" s="35"/>
      <c r="CN332" s="35"/>
      <c r="CO332" s="35"/>
      <c r="CP332" s="35"/>
      <c r="CQ332" s="35"/>
      <c r="CR332" s="35"/>
      <c r="CS332" s="35"/>
      <c r="CT332" s="36"/>
      <c r="CU332" s="35"/>
      <c r="CV332" s="35"/>
      <c r="CW332" s="35"/>
      <c r="CX332" s="35"/>
      <c r="CY332" s="35"/>
      <c r="CZ332" s="36"/>
      <c r="DA332" s="36"/>
      <c r="DB332" s="35"/>
      <c r="DC332" s="35"/>
      <c r="DD332" s="35"/>
      <c r="DE332" s="35"/>
      <c r="DF332" s="35"/>
      <c r="DG332" s="35"/>
      <c r="DH332" s="35"/>
      <c r="DI332" s="35"/>
      <c r="DJ332" s="35"/>
      <c r="DK332" s="35"/>
      <c r="DL332" s="35"/>
      <c r="DM332" s="35"/>
      <c r="DN332" s="35"/>
      <c r="DO332" s="35"/>
      <c r="DP332" s="35"/>
      <c r="DQ332" s="35"/>
      <c r="DR332" s="35"/>
      <c r="DS332" s="35"/>
      <c r="DT332" s="35"/>
      <c r="DU332" s="35"/>
      <c r="DV332" s="35"/>
      <c r="DW332" s="35"/>
      <c r="DX332" s="35"/>
      <c r="DY332" s="35"/>
      <c r="DZ332" s="36"/>
      <c r="EA332" s="35"/>
      <c r="EB332" s="35"/>
      <c r="EC332" s="35"/>
      <c r="ED332" s="35"/>
      <c r="EE332" s="35"/>
      <c r="EF332" s="35"/>
      <c r="EG332" s="35"/>
      <c r="EH332" s="35"/>
      <c r="EI332" s="35"/>
      <c r="EJ332" s="35"/>
      <c r="EK332" s="35"/>
      <c r="EL332" s="35"/>
      <c r="EM332" s="35"/>
      <c r="EN332" s="35"/>
      <c r="EO332" s="35"/>
      <c r="EP332" s="35"/>
      <c r="EQ332" s="35"/>
      <c r="ER332" s="35"/>
      <c r="ES332" s="35"/>
      <c r="ET332" s="35"/>
      <c r="EU332" s="35"/>
      <c r="EV332" s="35"/>
      <c r="EW332" s="35"/>
      <c r="EX332" s="35"/>
      <c r="EY332" s="36"/>
      <c r="EZ332" s="35"/>
      <c r="FA332" s="35"/>
      <c r="FB332" s="35"/>
      <c r="FC332" s="35"/>
      <c r="FD332" s="35"/>
      <c r="FE332" s="35"/>
      <c r="FF332" s="35"/>
      <c r="FG332" s="35"/>
      <c r="FH332" s="35"/>
      <c r="FI332" s="35"/>
      <c r="FJ332" s="35"/>
      <c r="FK332" s="35"/>
      <c r="FL332" s="35"/>
      <c r="FM332" s="35"/>
      <c r="FN332" s="35"/>
      <c r="FO332" s="35"/>
      <c r="FP332" s="35"/>
      <c r="FQ332" s="52"/>
      <c r="FS332" s="9" t="s">
        <v>13</v>
      </c>
      <c r="FT332" s="9" t="str">
        <f t="shared" ref="FT332:FT395" si="6597">CONCATENATE(D332,B332)</f>
        <v>12. FDS Release 4 12.1 FDS Release 4 - Ireland LOB changes for Claims HDL</v>
      </c>
    </row>
    <row r="333" spans="1:176" ht="12" hidden="1" customHeight="1" outlineLevel="1">
      <c r="A333" s="122"/>
      <c r="B333" s="123"/>
      <c r="C333" s="131" t="str">
        <f t="shared" si="6596"/>
        <v>0 days</v>
      </c>
      <c r="D333" s="141" t="str">
        <f>A329&amp;" "&amp;A330</f>
        <v>12. FDS Release 4 12.1 FDS Release 4 - Ireland LOB changes for Claims HDL</v>
      </c>
      <c r="E333" s="51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D333" s="35"/>
      <c r="AE333" s="35"/>
      <c r="AF333" s="35"/>
      <c r="AG333" s="35"/>
      <c r="AH333" s="35"/>
      <c r="AI333" s="35"/>
      <c r="AJ333" s="35"/>
      <c r="AK333" s="35"/>
      <c r="AL333" s="36"/>
      <c r="AM333" s="36"/>
      <c r="AN333" s="36"/>
      <c r="AO333" s="36"/>
      <c r="AP333" s="36"/>
      <c r="AQ333" s="36"/>
      <c r="AR333" s="36"/>
      <c r="AS333" s="35"/>
      <c r="AT333" s="35"/>
      <c r="AU333" s="35"/>
      <c r="AV333" s="35"/>
      <c r="AW333" s="35"/>
      <c r="AX333" s="35"/>
      <c r="AY333" s="35"/>
      <c r="AZ333" s="35"/>
      <c r="BA333" s="35"/>
      <c r="BB333" s="35"/>
      <c r="BC333" s="35"/>
      <c r="BD333" s="35"/>
      <c r="BE333" s="35"/>
      <c r="BF333" s="35"/>
      <c r="BG333" s="35"/>
      <c r="BH333" s="35"/>
      <c r="BI333" s="35"/>
      <c r="BJ333" s="35"/>
      <c r="BK333" s="35"/>
      <c r="BL333" s="35"/>
      <c r="BM333" s="35"/>
      <c r="BN333" s="35"/>
      <c r="BO333" s="35"/>
      <c r="BP333" s="35"/>
      <c r="BQ333" s="35"/>
      <c r="BR333" s="35"/>
      <c r="BS333" s="35"/>
      <c r="BT333" s="35"/>
      <c r="BU333" s="35"/>
      <c r="BV333" s="35"/>
      <c r="BW333" s="35"/>
      <c r="BX333" s="35"/>
      <c r="BY333" s="35"/>
      <c r="BZ333" s="35"/>
      <c r="CA333" s="35"/>
      <c r="CB333" s="35"/>
      <c r="CC333" s="35"/>
      <c r="CD333" s="35"/>
      <c r="CE333" s="35"/>
      <c r="CF333" s="35"/>
      <c r="CG333" s="35"/>
      <c r="CH333" s="35"/>
      <c r="CI333" s="35"/>
      <c r="CJ333" s="35"/>
      <c r="CK333" s="35"/>
      <c r="CL333" s="35"/>
      <c r="CM333" s="35"/>
      <c r="CN333" s="35"/>
      <c r="CO333" s="35"/>
      <c r="CP333" s="35"/>
      <c r="CQ333" s="35"/>
      <c r="CR333" s="35"/>
      <c r="CS333" s="35"/>
      <c r="CT333" s="36"/>
      <c r="CU333" s="35"/>
      <c r="CV333" s="35"/>
      <c r="CW333" s="35"/>
      <c r="CX333" s="35"/>
      <c r="CY333" s="35"/>
      <c r="CZ333" s="36"/>
      <c r="DA333" s="36"/>
      <c r="DB333" s="35"/>
      <c r="DC333" s="35"/>
      <c r="DD333" s="35"/>
      <c r="DE333" s="35"/>
      <c r="DF333" s="35"/>
      <c r="DG333" s="35"/>
      <c r="DH333" s="35"/>
      <c r="DI333" s="35"/>
      <c r="DJ333" s="35"/>
      <c r="DK333" s="35"/>
      <c r="DL333" s="35"/>
      <c r="DM333" s="35"/>
      <c r="DN333" s="35"/>
      <c r="DO333" s="35"/>
      <c r="DP333" s="35"/>
      <c r="DQ333" s="35"/>
      <c r="DR333" s="35"/>
      <c r="DS333" s="35"/>
      <c r="DT333" s="35"/>
      <c r="DU333" s="35"/>
      <c r="DV333" s="35"/>
      <c r="DW333" s="35"/>
      <c r="DX333" s="35"/>
      <c r="DY333" s="35"/>
      <c r="DZ333" s="36"/>
      <c r="EA333" s="35"/>
      <c r="EB333" s="35"/>
      <c r="EC333" s="35"/>
      <c r="ED333" s="35"/>
      <c r="EE333" s="35"/>
      <c r="EF333" s="35"/>
      <c r="EG333" s="35"/>
      <c r="EH333" s="35"/>
      <c r="EI333" s="35"/>
      <c r="EJ333" s="35"/>
      <c r="EK333" s="35"/>
      <c r="EL333" s="35"/>
      <c r="EM333" s="35"/>
      <c r="EN333" s="35"/>
      <c r="EO333" s="35"/>
      <c r="EP333" s="35"/>
      <c r="EQ333" s="35"/>
      <c r="ER333" s="35"/>
      <c r="ES333" s="35"/>
      <c r="ET333" s="35"/>
      <c r="EU333" s="35"/>
      <c r="EV333" s="35"/>
      <c r="EW333" s="35"/>
      <c r="EX333" s="35"/>
      <c r="EY333" s="36"/>
      <c r="EZ333" s="35"/>
      <c r="FA333" s="35"/>
      <c r="FB333" s="35"/>
      <c r="FC333" s="35"/>
      <c r="FD333" s="35"/>
      <c r="FE333" s="35"/>
      <c r="FF333" s="35"/>
      <c r="FG333" s="35"/>
      <c r="FH333" s="35"/>
      <c r="FI333" s="35"/>
      <c r="FJ333" s="35"/>
      <c r="FK333" s="35"/>
      <c r="FL333" s="35"/>
      <c r="FM333" s="35"/>
      <c r="FN333" s="35"/>
      <c r="FO333" s="35"/>
      <c r="FP333" s="35"/>
      <c r="FQ333" s="52"/>
      <c r="FS333" s="9" t="s">
        <v>13</v>
      </c>
      <c r="FT333" s="9" t="str">
        <f t="shared" si="6597"/>
        <v>12. FDS Release 4 12.1 FDS Release 4 - Ireland LOB changes for Claims HDL</v>
      </c>
    </row>
    <row r="334" spans="1:176" ht="12" hidden="1" customHeight="1" outlineLevel="1">
      <c r="A334" s="122"/>
      <c r="B334" s="123"/>
      <c r="C334" s="131" t="str">
        <f t="shared" si="6596"/>
        <v>0 days</v>
      </c>
      <c r="D334" s="141" t="str">
        <f>A329&amp;" "&amp;A330</f>
        <v>12. FDS Release 4 12.1 FDS Release 4 - Ireland LOB changes for Claims HDL</v>
      </c>
      <c r="E334" s="51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D334" s="35"/>
      <c r="AE334" s="35"/>
      <c r="AF334" s="35"/>
      <c r="AG334" s="35"/>
      <c r="AH334" s="35"/>
      <c r="AI334" s="35"/>
      <c r="AJ334" s="35"/>
      <c r="AK334" s="35"/>
      <c r="AL334" s="36"/>
      <c r="AM334" s="36"/>
      <c r="AN334" s="36"/>
      <c r="AO334" s="36"/>
      <c r="AP334" s="36"/>
      <c r="AQ334" s="36"/>
      <c r="AR334" s="36"/>
      <c r="AS334" s="35"/>
      <c r="AT334" s="35"/>
      <c r="AU334" s="35"/>
      <c r="AV334" s="35"/>
      <c r="AW334" s="35"/>
      <c r="AX334" s="35"/>
      <c r="AY334" s="35"/>
      <c r="AZ334" s="35"/>
      <c r="BA334" s="35"/>
      <c r="BB334" s="35"/>
      <c r="BC334" s="35"/>
      <c r="BD334" s="35"/>
      <c r="BE334" s="35"/>
      <c r="BF334" s="35"/>
      <c r="BG334" s="35"/>
      <c r="BH334" s="35"/>
      <c r="BI334" s="35"/>
      <c r="BJ334" s="35"/>
      <c r="BK334" s="35"/>
      <c r="BL334" s="35"/>
      <c r="BM334" s="35"/>
      <c r="BN334" s="35"/>
      <c r="BO334" s="35"/>
      <c r="BP334" s="35"/>
      <c r="BQ334" s="35"/>
      <c r="BR334" s="35"/>
      <c r="BS334" s="35"/>
      <c r="BT334" s="35"/>
      <c r="BU334" s="35"/>
      <c r="BV334" s="35"/>
      <c r="BW334" s="35"/>
      <c r="BX334" s="35"/>
      <c r="BY334" s="35"/>
      <c r="BZ334" s="35"/>
      <c r="CA334" s="35"/>
      <c r="CB334" s="35"/>
      <c r="CC334" s="35"/>
      <c r="CD334" s="35"/>
      <c r="CE334" s="35"/>
      <c r="CF334" s="35"/>
      <c r="CG334" s="35"/>
      <c r="CH334" s="35"/>
      <c r="CI334" s="35"/>
      <c r="CJ334" s="35"/>
      <c r="CK334" s="35"/>
      <c r="CL334" s="35"/>
      <c r="CM334" s="35"/>
      <c r="CN334" s="35"/>
      <c r="CO334" s="35"/>
      <c r="CP334" s="35"/>
      <c r="CQ334" s="35"/>
      <c r="CR334" s="35"/>
      <c r="CS334" s="35"/>
      <c r="CT334" s="36"/>
      <c r="CU334" s="35"/>
      <c r="CV334" s="35"/>
      <c r="CW334" s="35"/>
      <c r="CX334" s="35"/>
      <c r="CY334" s="35"/>
      <c r="CZ334" s="36"/>
      <c r="DA334" s="36"/>
      <c r="DB334" s="35"/>
      <c r="DC334" s="35"/>
      <c r="DD334" s="35"/>
      <c r="DE334" s="35"/>
      <c r="DF334" s="35"/>
      <c r="DG334" s="35"/>
      <c r="DH334" s="35"/>
      <c r="DI334" s="35"/>
      <c r="DJ334" s="35"/>
      <c r="DK334" s="35"/>
      <c r="DL334" s="35"/>
      <c r="DM334" s="35"/>
      <c r="DN334" s="35"/>
      <c r="DO334" s="35"/>
      <c r="DP334" s="35"/>
      <c r="DQ334" s="35"/>
      <c r="DR334" s="35"/>
      <c r="DS334" s="35"/>
      <c r="DT334" s="35"/>
      <c r="DU334" s="35"/>
      <c r="DV334" s="35"/>
      <c r="DW334" s="35"/>
      <c r="DX334" s="35"/>
      <c r="DY334" s="35"/>
      <c r="DZ334" s="36"/>
      <c r="EA334" s="35"/>
      <c r="EB334" s="35"/>
      <c r="EC334" s="35"/>
      <c r="ED334" s="35"/>
      <c r="EE334" s="35"/>
      <c r="EF334" s="35"/>
      <c r="EG334" s="35"/>
      <c r="EH334" s="35"/>
      <c r="EI334" s="35"/>
      <c r="EJ334" s="35"/>
      <c r="EK334" s="35"/>
      <c r="EL334" s="35"/>
      <c r="EM334" s="35"/>
      <c r="EN334" s="35"/>
      <c r="EO334" s="35"/>
      <c r="EP334" s="35"/>
      <c r="EQ334" s="35"/>
      <c r="ER334" s="35"/>
      <c r="ES334" s="35"/>
      <c r="ET334" s="35"/>
      <c r="EU334" s="35"/>
      <c r="EV334" s="35"/>
      <c r="EW334" s="35"/>
      <c r="EX334" s="35"/>
      <c r="EY334" s="36"/>
      <c r="EZ334" s="35"/>
      <c r="FA334" s="35"/>
      <c r="FB334" s="35"/>
      <c r="FC334" s="35"/>
      <c r="FD334" s="35"/>
      <c r="FE334" s="35"/>
      <c r="FF334" s="35"/>
      <c r="FG334" s="35"/>
      <c r="FH334" s="35"/>
      <c r="FI334" s="35"/>
      <c r="FJ334" s="35"/>
      <c r="FK334" s="35"/>
      <c r="FL334" s="35"/>
      <c r="FM334" s="35"/>
      <c r="FN334" s="35"/>
      <c r="FO334" s="35"/>
      <c r="FP334" s="35"/>
      <c r="FQ334" s="52"/>
      <c r="FS334" s="9" t="s">
        <v>13</v>
      </c>
      <c r="FT334" s="9" t="str">
        <f t="shared" si="6597"/>
        <v>12. FDS Release 4 12.1 FDS Release 4 - Ireland LOB changes for Claims HDL</v>
      </c>
    </row>
    <row r="335" spans="1:176" ht="12" hidden="1" customHeight="1" outlineLevel="1">
      <c r="A335" s="122"/>
      <c r="B335" s="123"/>
      <c r="C335" s="131" t="str">
        <f t="shared" si="6596"/>
        <v>0 days</v>
      </c>
      <c r="D335" s="141" t="str">
        <f>A329&amp;" "&amp;A330</f>
        <v>12. FDS Release 4 12.1 FDS Release 4 - Ireland LOB changes for Claims HDL</v>
      </c>
      <c r="E335" s="51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D335" s="35"/>
      <c r="AE335" s="35"/>
      <c r="AF335" s="35"/>
      <c r="AG335" s="35"/>
      <c r="AH335" s="35"/>
      <c r="AI335" s="35"/>
      <c r="AJ335" s="35"/>
      <c r="AK335" s="35"/>
      <c r="AL335" s="36"/>
      <c r="AM335" s="36"/>
      <c r="AN335" s="36"/>
      <c r="AO335" s="36"/>
      <c r="AP335" s="36"/>
      <c r="AQ335" s="36"/>
      <c r="AR335" s="36"/>
      <c r="AS335" s="35"/>
      <c r="AT335" s="35"/>
      <c r="AU335" s="35"/>
      <c r="AV335" s="35"/>
      <c r="AW335" s="35"/>
      <c r="AX335" s="35"/>
      <c r="AY335" s="35"/>
      <c r="AZ335" s="35"/>
      <c r="BA335" s="35"/>
      <c r="BB335" s="35"/>
      <c r="BC335" s="35"/>
      <c r="BD335" s="35"/>
      <c r="BE335" s="35"/>
      <c r="BF335" s="35"/>
      <c r="BG335" s="35"/>
      <c r="BH335" s="35"/>
      <c r="BI335" s="35"/>
      <c r="BJ335" s="35"/>
      <c r="BK335" s="35"/>
      <c r="BL335" s="35"/>
      <c r="BM335" s="35"/>
      <c r="BN335" s="35"/>
      <c r="BO335" s="35"/>
      <c r="BP335" s="35"/>
      <c r="BQ335" s="35"/>
      <c r="BR335" s="35"/>
      <c r="BS335" s="35"/>
      <c r="BT335" s="35"/>
      <c r="BU335" s="35"/>
      <c r="BV335" s="35"/>
      <c r="BW335" s="35"/>
      <c r="BX335" s="35"/>
      <c r="BY335" s="35"/>
      <c r="BZ335" s="35"/>
      <c r="CA335" s="35"/>
      <c r="CB335" s="35"/>
      <c r="CC335" s="35"/>
      <c r="CD335" s="35"/>
      <c r="CE335" s="35"/>
      <c r="CF335" s="35"/>
      <c r="CG335" s="35"/>
      <c r="CH335" s="35"/>
      <c r="CI335" s="35"/>
      <c r="CJ335" s="35"/>
      <c r="CK335" s="35"/>
      <c r="CL335" s="35"/>
      <c r="CM335" s="35"/>
      <c r="CN335" s="35"/>
      <c r="CO335" s="35"/>
      <c r="CP335" s="35"/>
      <c r="CQ335" s="35"/>
      <c r="CR335" s="35"/>
      <c r="CS335" s="35"/>
      <c r="CT335" s="36"/>
      <c r="CU335" s="35"/>
      <c r="CV335" s="35"/>
      <c r="CW335" s="35"/>
      <c r="CX335" s="35"/>
      <c r="CY335" s="35"/>
      <c r="CZ335" s="36"/>
      <c r="DA335" s="36"/>
      <c r="DB335" s="35"/>
      <c r="DC335" s="35"/>
      <c r="DD335" s="35"/>
      <c r="DE335" s="35"/>
      <c r="DF335" s="35"/>
      <c r="DG335" s="35"/>
      <c r="DH335" s="35"/>
      <c r="DI335" s="35"/>
      <c r="DJ335" s="35"/>
      <c r="DK335" s="35"/>
      <c r="DL335" s="35"/>
      <c r="DM335" s="35"/>
      <c r="DN335" s="35"/>
      <c r="DO335" s="35"/>
      <c r="DP335" s="35"/>
      <c r="DQ335" s="35"/>
      <c r="DR335" s="35"/>
      <c r="DS335" s="35"/>
      <c r="DT335" s="35"/>
      <c r="DU335" s="35"/>
      <c r="DV335" s="35"/>
      <c r="DW335" s="35"/>
      <c r="DX335" s="35"/>
      <c r="DY335" s="35"/>
      <c r="DZ335" s="36"/>
      <c r="EA335" s="35"/>
      <c r="EB335" s="35"/>
      <c r="EC335" s="35"/>
      <c r="ED335" s="35"/>
      <c r="EE335" s="35"/>
      <c r="EF335" s="35"/>
      <c r="EG335" s="35"/>
      <c r="EH335" s="35"/>
      <c r="EI335" s="35"/>
      <c r="EJ335" s="35"/>
      <c r="EK335" s="35"/>
      <c r="EL335" s="35"/>
      <c r="EM335" s="35"/>
      <c r="EN335" s="35"/>
      <c r="EO335" s="35"/>
      <c r="EP335" s="35"/>
      <c r="EQ335" s="35"/>
      <c r="ER335" s="35"/>
      <c r="ES335" s="35"/>
      <c r="ET335" s="35"/>
      <c r="EU335" s="35"/>
      <c r="EV335" s="35"/>
      <c r="EW335" s="35"/>
      <c r="EX335" s="35"/>
      <c r="EY335" s="36"/>
      <c r="EZ335" s="35"/>
      <c r="FA335" s="35"/>
      <c r="FB335" s="35"/>
      <c r="FC335" s="35"/>
      <c r="FD335" s="35"/>
      <c r="FE335" s="35"/>
      <c r="FF335" s="35"/>
      <c r="FG335" s="35"/>
      <c r="FH335" s="35"/>
      <c r="FI335" s="35"/>
      <c r="FJ335" s="35"/>
      <c r="FK335" s="35"/>
      <c r="FL335" s="35"/>
      <c r="FM335" s="35"/>
      <c r="FN335" s="35"/>
      <c r="FO335" s="35"/>
      <c r="FP335" s="35"/>
      <c r="FQ335" s="52"/>
      <c r="FS335" s="9" t="s">
        <v>13</v>
      </c>
      <c r="FT335" s="9" t="str">
        <f t="shared" si="6597"/>
        <v>12. FDS Release 4 12.1 FDS Release 4 - Ireland LOB changes for Claims HDL</v>
      </c>
    </row>
    <row r="336" spans="1:176" ht="12" customHeight="1" collapsed="1">
      <c r="A336" s="119" t="s">
        <v>109</v>
      </c>
      <c r="B336" s="127"/>
      <c r="C336" s="128" t="str">
        <f>ROUND(SUM(E336:FQ336),0) &amp; " days"</f>
        <v>0 days</v>
      </c>
      <c r="D336" s="27"/>
      <c r="E336" s="91" t="str">
        <f t="shared" ref="E336" si="6598">IF(SUBTOTAL(9,E337:E341)&gt;0,SUBTOTAL(9,E337:E341),"")</f>
        <v/>
      </c>
      <c r="F336" s="34" t="str">
        <f t="shared" ref="F336" si="6599">IF(SUBTOTAL(9,F337:F341)&gt;0,SUBTOTAL(9,F337:F341),"")</f>
        <v/>
      </c>
      <c r="G336" s="34" t="str">
        <f t="shared" ref="G336" si="6600">IF(SUBTOTAL(9,G337:G341)&gt;0,SUBTOTAL(9,G337:G341),"")</f>
        <v/>
      </c>
      <c r="H336" s="34" t="str">
        <f t="shared" ref="H336" si="6601">IF(SUBTOTAL(9,H337:H341)&gt;0,SUBTOTAL(9,H337:H341),"")</f>
        <v/>
      </c>
      <c r="I336" s="34" t="str">
        <f t="shared" ref="I336" si="6602">IF(SUBTOTAL(9,I337:I341)&gt;0,SUBTOTAL(9,I337:I341),"")</f>
        <v/>
      </c>
      <c r="J336" s="34" t="str">
        <f t="shared" ref="J336" si="6603">IF(SUBTOTAL(9,J337:J341)&gt;0,SUBTOTAL(9,J337:J341),"")</f>
        <v/>
      </c>
      <c r="K336" s="34" t="str">
        <f t="shared" ref="K336" si="6604">IF(SUBTOTAL(9,K337:K341)&gt;0,SUBTOTAL(9,K337:K341),"")</f>
        <v/>
      </c>
      <c r="L336" s="34" t="str">
        <f t="shared" ref="L336" si="6605">IF(SUBTOTAL(9,L337:L341)&gt;0,SUBTOTAL(9,L337:L341),"")</f>
        <v/>
      </c>
      <c r="M336" s="34" t="str">
        <f t="shared" ref="M336" si="6606">IF(SUBTOTAL(9,M337:M341)&gt;0,SUBTOTAL(9,M337:M341),"")</f>
        <v/>
      </c>
      <c r="N336" s="34" t="str">
        <f t="shared" ref="N336" si="6607">IF(SUBTOTAL(9,N337:N341)&gt;0,SUBTOTAL(9,N337:N341),"")</f>
        <v/>
      </c>
      <c r="O336" s="34" t="str">
        <f t="shared" ref="O336" si="6608">IF(SUBTOTAL(9,O337:O341)&gt;0,SUBTOTAL(9,O337:O341),"")</f>
        <v/>
      </c>
      <c r="P336" s="34" t="str">
        <f t="shared" ref="P336" si="6609">IF(SUBTOTAL(9,P337:P341)&gt;0,SUBTOTAL(9,P337:P341),"")</f>
        <v/>
      </c>
      <c r="Q336" s="34" t="str">
        <f t="shared" ref="Q336" si="6610">IF(SUBTOTAL(9,Q337:Q341)&gt;0,SUBTOTAL(9,Q337:Q341),"")</f>
        <v/>
      </c>
      <c r="R336" s="34" t="str">
        <f t="shared" ref="R336" si="6611">IF(SUBTOTAL(9,R337:R341)&gt;0,SUBTOTAL(9,R337:R341),"")</f>
        <v/>
      </c>
      <c r="S336" s="34" t="str">
        <f t="shared" ref="S336" si="6612">IF(SUBTOTAL(9,S337:S341)&gt;0,SUBTOTAL(9,S337:S341),"")</f>
        <v/>
      </c>
      <c r="T336" s="34" t="str">
        <f t="shared" ref="T336" si="6613">IF(SUBTOTAL(9,T337:T341)&gt;0,SUBTOTAL(9,T337:T341),"")</f>
        <v/>
      </c>
      <c r="U336" s="34" t="str">
        <f t="shared" ref="U336" si="6614">IF(SUBTOTAL(9,U337:U341)&gt;0,SUBTOTAL(9,U337:U341),"")</f>
        <v/>
      </c>
      <c r="V336" s="34" t="str">
        <f t="shared" ref="V336" si="6615">IF(SUBTOTAL(9,V337:V341)&gt;0,SUBTOTAL(9,V337:V341),"")</f>
        <v/>
      </c>
      <c r="W336" s="34" t="str">
        <f t="shared" ref="W336" si="6616">IF(SUBTOTAL(9,W337:W341)&gt;0,SUBTOTAL(9,W337:W341),"")</f>
        <v/>
      </c>
      <c r="X336" s="34" t="str">
        <f t="shared" ref="X336" si="6617">IF(SUBTOTAL(9,X337:X341)&gt;0,SUBTOTAL(9,X337:X341),"")</f>
        <v/>
      </c>
      <c r="Y336" s="34" t="str">
        <f t="shared" ref="Y336" si="6618">IF(SUBTOTAL(9,Y337:Y341)&gt;0,SUBTOTAL(9,Y337:Y341),"")</f>
        <v/>
      </c>
      <c r="Z336" s="34" t="str">
        <f t="shared" ref="Z336" si="6619">IF(SUBTOTAL(9,Z337:Z341)&gt;0,SUBTOTAL(9,Z337:Z341),"")</f>
        <v/>
      </c>
      <c r="AA336" s="34" t="str">
        <f t="shared" ref="AA336" si="6620">IF(SUBTOTAL(9,AA337:AA341)&gt;0,SUBTOTAL(9,AA337:AA341),"")</f>
        <v/>
      </c>
      <c r="AB336" s="34" t="str">
        <f t="shared" ref="AB336" si="6621">IF(SUBTOTAL(9,AB337:AB341)&gt;0,SUBTOTAL(9,AB337:AB341),"")</f>
        <v/>
      </c>
      <c r="AC336" s="34" t="str">
        <f t="shared" ref="AC336" si="6622">IF(SUBTOTAL(9,AC337:AC341)&gt;0,SUBTOTAL(9,AC337:AC341),"")</f>
        <v/>
      </c>
      <c r="AD336" s="34" t="str">
        <f t="shared" ref="AD336" si="6623">IF(SUBTOTAL(9,AD337:AD341)&gt;0,SUBTOTAL(9,AD337:AD341),"")</f>
        <v/>
      </c>
      <c r="AE336" s="34" t="str">
        <f t="shared" ref="AE336" si="6624">IF(SUBTOTAL(9,AE337:AE341)&gt;0,SUBTOTAL(9,AE337:AE341),"")</f>
        <v/>
      </c>
      <c r="AF336" s="34" t="str">
        <f t="shared" ref="AF336" si="6625">IF(SUBTOTAL(9,AF337:AF341)&gt;0,SUBTOTAL(9,AF337:AF341),"")</f>
        <v/>
      </c>
      <c r="AG336" s="34" t="str">
        <f t="shared" ref="AG336" si="6626">IF(SUBTOTAL(9,AG337:AG341)&gt;0,SUBTOTAL(9,AG337:AG341),"")</f>
        <v/>
      </c>
      <c r="AH336" s="34" t="str">
        <f t="shared" ref="AH336" si="6627">IF(SUBTOTAL(9,AH337:AH341)&gt;0,SUBTOTAL(9,AH337:AH341),"")</f>
        <v/>
      </c>
      <c r="AI336" s="34" t="str">
        <f t="shared" ref="AI336" si="6628">IF(SUBTOTAL(9,AI337:AI341)&gt;0,SUBTOTAL(9,AI337:AI341),"")</f>
        <v/>
      </c>
      <c r="AJ336" s="34" t="str">
        <f t="shared" ref="AJ336" si="6629">IF(SUBTOTAL(9,AJ337:AJ341)&gt;0,SUBTOTAL(9,AJ337:AJ341),"")</f>
        <v/>
      </c>
      <c r="AK336" s="34" t="str">
        <f t="shared" ref="AK336" si="6630">IF(SUBTOTAL(9,AK337:AK341)&gt;0,SUBTOTAL(9,AK337:AK341),"")</f>
        <v/>
      </c>
      <c r="AL336" s="33" t="str">
        <f t="shared" ref="AL336" si="6631">IF(SUBTOTAL(9,AL337:AL341)&gt;0,SUBTOTAL(9,AL337:AL341),"")</f>
        <v/>
      </c>
      <c r="AM336" s="33" t="str">
        <f t="shared" ref="AM336" si="6632">IF(SUBTOTAL(9,AM337:AM341)&gt;0,SUBTOTAL(9,AM337:AM341),"")</f>
        <v/>
      </c>
      <c r="AN336" s="33" t="str">
        <f t="shared" ref="AN336" si="6633">IF(SUBTOTAL(9,AN337:AN341)&gt;0,SUBTOTAL(9,AN337:AN341),"")</f>
        <v/>
      </c>
      <c r="AO336" s="33" t="str">
        <f t="shared" ref="AO336" si="6634">IF(SUBTOTAL(9,AO337:AO341)&gt;0,SUBTOTAL(9,AO337:AO341),"")</f>
        <v/>
      </c>
      <c r="AP336" s="33" t="str">
        <f t="shared" ref="AP336" si="6635">IF(SUBTOTAL(9,AP337:AP341)&gt;0,SUBTOTAL(9,AP337:AP341),"")</f>
        <v/>
      </c>
      <c r="AQ336" s="33" t="str">
        <f t="shared" ref="AQ336" si="6636">IF(SUBTOTAL(9,AQ337:AQ341)&gt;0,SUBTOTAL(9,AQ337:AQ341),"")</f>
        <v/>
      </c>
      <c r="AR336" s="33" t="str">
        <f t="shared" ref="AR336" si="6637">IF(SUBTOTAL(9,AR337:AR341)&gt;0,SUBTOTAL(9,AR337:AR341),"")</f>
        <v/>
      </c>
      <c r="AS336" s="34" t="str">
        <f t="shared" ref="AS336" si="6638">IF(SUBTOTAL(9,AS337:AS341)&gt;0,SUBTOTAL(9,AS337:AS341),"")</f>
        <v/>
      </c>
      <c r="AT336" s="34" t="str">
        <f t="shared" ref="AT336" si="6639">IF(SUBTOTAL(9,AT337:AT341)&gt;0,SUBTOTAL(9,AT337:AT341),"")</f>
        <v/>
      </c>
      <c r="AU336" s="34" t="str">
        <f t="shared" ref="AU336" si="6640">IF(SUBTOTAL(9,AU337:AU341)&gt;0,SUBTOTAL(9,AU337:AU341),"")</f>
        <v/>
      </c>
      <c r="AV336" s="34" t="str">
        <f t="shared" ref="AV336" si="6641">IF(SUBTOTAL(9,AV337:AV341)&gt;0,SUBTOTAL(9,AV337:AV341),"")</f>
        <v/>
      </c>
      <c r="AW336" s="34" t="str">
        <f t="shared" ref="AW336" si="6642">IF(SUBTOTAL(9,AW337:AW341)&gt;0,SUBTOTAL(9,AW337:AW341),"")</f>
        <v/>
      </c>
      <c r="AX336" s="34" t="str">
        <f t="shared" ref="AX336" si="6643">IF(SUBTOTAL(9,AX337:AX341)&gt;0,SUBTOTAL(9,AX337:AX341),"")</f>
        <v/>
      </c>
      <c r="AY336" s="34" t="str">
        <f t="shared" ref="AY336" si="6644">IF(SUBTOTAL(9,AY337:AY341)&gt;0,SUBTOTAL(9,AY337:AY341),"")</f>
        <v/>
      </c>
      <c r="AZ336" s="34" t="str">
        <f t="shared" ref="AZ336" si="6645">IF(SUBTOTAL(9,AZ337:AZ341)&gt;0,SUBTOTAL(9,AZ337:AZ341),"")</f>
        <v/>
      </c>
      <c r="BA336" s="34" t="str">
        <f t="shared" ref="BA336" si="6646">IF(SUBTOTAL(9,BA337:BA341)&gt;0,SUBTOTAL(9,BA337:BA341),"")</f>
        <v/>
      </c>
      <c r="BB336" s="34" t="str">
        <f t="shared" ref="BB336" si="6647">IF(SUBTOTAL(9,BB337:BB341)&gt;0,SUBTOTAL(9,BB337:BB341),"")</f>
        <v/>
      </c>
      <c r="BC336" s="34" t="str">
        <f t="shared" ref="BC336" si="6648">IF(SUBTOTAL(9,BC337:BC341)&gt;0,SUBTOTAL(9,BC337:BC341),"")</f>
        <v/>
      </c>
      <c r="BD336" s="34" t="str">
        <f t="shared" ref="BD336" si="6649">IF(SUBTOTAL(9,BD337:BD341)&gt;0,SUBTOTAL(9,BD337:BD341),"")</f>
        <v/>
      </c>
      <c r="BE336" s="34" t="str">
        <f t="shared" ref="BE336" si="6650">IF(SUBTOTAL(9,BE337:BE341)&gt;0,SUBTOTAL(9,BE337:BE341),"")</f>
        <v/>
      </c>
      <c r="BF336" s="34" t="str">
        <f t="shared" ref="BF336" si="6651">IF(SUBTOTAL(9,BF337:BF341)&gt;0,SUBTOTAL(9,BF337:BF341),"")</f>
        <v/>
      </c>
      <c r="BG336" s="34" t="str">
        <f t="shared" ref="BG336" si="6652">IF(SUBTOTAL(9,BG337:BG341)&gt;0,SUBTOTAL(9,BG337:BG341),"")</f>
        <v/>
      </c>
      <c r="BH336" s="34" t="str">
        <f t="shared" ref="BH336" si="6653">IF(SUBTOTAL(9,BH337:BH341)&gt;0,SUBTOTAL(9,BH337:BH341),"")</f>
        <v/>
      </c>
      <c r="BI336" s="34" t="str">
        <f t="shared" ref="BI336" si="6654">IF(SUBTOTAL(9,BI337:BI341)&gt;0,SUBTOTAL(9,BI337:BI341),"")</f>
        <v/>
      </c>
      <c r="BJ336" s="34" t="str">
        <f t="shared" ref="BJ336" si="6655">IF(SUBTOTAL(9,BJ337:BJ341)&gt;0,SUBTOTAL(9,BJ337:BJ341),"")</f>
        <v/>
      </c>
      <c r="BK336" s="34" t="str">
        <f t="shared" ref="BK336" si="6656">IF(SUBTOTAL(9,BK337:BK341)&gt;0,SUBTOTAL(9,BK337:BK341),"")</f>
        <v/>
      </c>
      <c r="BL336" s="34" t="str">
        <f t="shared" ref="BL336" si="6657">IF(SUBTOTAL(9,BL337:BL341)&gt;0,SUBTOTAL(9,BL337:BL341),"")</f>
        <v/>
      </c>
      <c r="BM336" s="34" t="str">
        <f t="shared" ref="BM336" si="6658">IF(SUBTOTAL(9,BM337:BM341)&gt;0,SUBTOTAL(9,BM337:BM341),"")</f>
        <v/>
      </c>
      <c r="BN336" s="34" t="str">
        <f t="shared" ref="BN336" si="6659">IF(SUBTOTAL(9,BN337:BN341)&gt;0,SUBTOTAL(9,BN337:BN341),"")</f>
        <v/>
      </c>
      <c r="BO336" s="34" t="str">
        <f t="shared" ref="BO336" si="6660">IF(SUBTOTAL(9,BO337:BO341)&gt;0,SUBTOTAL(9,BO337:BO341),"")</f>
        <v/>
      </c>
      <c r="BP336" s="34" t="str">
        <f t="shared" ref="BP336" si="6661">IF(SUBTOTAL(9,BP337:BP341)&gt;0,SUBTOTAL(9,BP337:BP341),"")</f>
        <v/>
      </c>
      <c r="BQ336" s="34" t="str">
        <f t="shared" ref="BQ336" si="6662">IF(SUBTOTAL(9,BQ337:BQ341)&gt;0,SUBTOTAL(9,BQ337:BQ341),"")</f>
        <v/>
      </c>
      <c r="BR336" s="34" t="str">
        <f t="shared" ref="BR336" si="6663">IF(SUBTOTAL(9,BR337:BR341)&gt;0,SUBTOTAL(9,BR337:BR341),"")</f>
        <v/>
      </c>
      <c r="BS336" s="34" t="str">
        <f t="shared" ref="BS336" si="6664">IF(SUBTOTAL(9,BS337:BS341)&gt;0,SUBTOTAL(9,BS337:BS341),"")</f>
        <v/>
      </c>
      <c r="BT336" s="34" t="str">
        <f t="shared" ref="BT336" si="6665">IF(SUBTOTAL(9,BT337:BT341)&gt;0,SUBTOTAL(9,BT337:BT341),"")</f>
        <v/>
      </c>
      <c r="BU336" s="34" t="str">
        <f t="shared" ref="BU336" si="6666">IF(SUBTOTAL(9,BU337:BU341)&gt;0,SUBTOTAL(9,BU337:BU341),"")</f>
        <v/>
      </c>
      <c r="BV336" s="34" t="str">
        <f t="shared" ref="BV336" si="6667">IF(SUBTOTAL(9,BV337:BV341)&gt;0,SUBTOTAL(9,BV337:BV341),"")</f>
        <v/>
      </c>
      <c r="BW336" s="34" t="str">
        <f t="shared" ref="BW336" si="6668">IF(SUBTOTAL(9,BW337:BW341)&gt;0,SUBTOTAL(9,BW337:BW341),"")</f>
        <v/>
      </c>
      <c r="BX336" s="34" t="str">
        <f t="shared" ref="BX336" si="6669">IF(SUBTOTAL(9,BX337:BX341)&gt;0,SUBTOTAL(9,BX337:BX341),"")</f>
        <v/>
      </c>
      <c r="BY336" s="34" t="str">
        <f t="shared" ref="BY336" si="6670">IF(SUBTOTAL(9,BY337:BY341)&gt;0,SUBTOTAL(9,BY337:BY341),"")</f>
        <v/>
      </c>
      <c r="BZ336" s="34" t="str">
        <f t="shared" ref="BZ336" si="6671">IF(SUBTOTAL(9,BZ337:BZ341)&gt;0,SUBTOTAL(9,BZ337:BZ341),"")</f>
        <v/>
      </c>
      <c r="CA336" s="34" t="str">
        <f t="shared" ref="CA336" si="6672">IF(SUBTOTAL(9,CA337:CA341)&gt;0,SUBTOTAL(9,CA337:CA341),"")</f>
        <v/>
      </c>
      <c r="CB336" s="34" t="str">
        <f t="shared" ref="CB336" si="6673">IF(SUBTOTAL(9,CB337:CB341)&gt;0,SUBTOTAL(9,CB337:CB341),"")</f>
        <v/>
      </c>
      <c r="CC336" s="34" t="str">
        <f t="shared" ref="CC336" si="6674">IF(SUBTOTAL(9,CC337:CC341)&gt;0,SUBTOTAL(9,CC337:CC341),"")</f>
        <v/>
      </c>
      <c r="CD336" s="34" t="str">
        <f t="shared" ref="CD336" si="6675">IF(SUBTOTAL(9,CD337:CD341)&gt;0,SUBTOTAL(9,CD337:CD341),"")</f>
        <v/>
      </c>
      <c r="CE336" s="34" t="str">
        <f t="shared" ref="CE336" si="6676">IF(SUBTOTAL(9,CE337:CE341)&gt;0,SUBTOTAL(9,CE337:CE341),"")</f>
        <v/>
      </c>
      <c r="CF336" s="34" t="str">
        <f t="shared" ref="CF336:CG336" si="6677">IF(SUBTOTAL(9,CF337:CF341)&gt;0,SUBTOTAL(9,CF337:CF341),"")</f>
        <v/>
      </c>
      <c r="CG336" s="34" t="str">
        <f t="shared" si="6677"/>
        <v/>
      </c>
      <c r="CH336" s="34" t="str">
        <f t="shared" ref="CH336" si="6678">IF(SUBTOTAL(9,CH337:CH341)&gt;0,SUBTOTAL(9,CH337:CH341),"")</f>
        <v/>
      </c>
      <c r="CI336" s="34" t="str">
        <f t="shared" ref="CI336" si="6679">IF(SUBTOTAL(9,CI337:CI341)&gt;0,SUBTOTAL(9,CI337:CI341),"")</f>
        <v/>
      </c>
      <c r="CJ336" s="34" t="str">
        <f t="shared" ref="CJ336" si="6680">IF(SUBTOTAL(9,CJ337:CJ341)&gt;0,SUBTOTAL(9,CJ337:CJ341),"")</f>
        <v/>
      </c>
      <c r="CK336" s="34" t="str">
        <f t="shared" ref="CK336" si="6681">IF(SUBTOTAL(9,CK337:CK341)&gt;0,SUBTOTAL(9,CK337:CK341),"")</f>
        <v/>
      </c>
      <c r="CL336" s="34" t="str">
        <f t="shared" ref="CL336" si="6682">IF(SUBTOTAL(9,CL337:CL341)&gt;0,SUBTOTAL(9,CL337:CL341),"")</f>
        <v/>
      </c>
      <c r="CM336" s="34" t="str">
        <f t="shared" ref="CM336" si="6683">IF(SUBTOTAL(9,CM337:CM341)&gt;0,SUBTOTAL(9,CM337:CM341),"")</f>
        <v/>
      </c>
      <c r="CN336" s="34" t="str">
        <f t="shared" ref="CN336" si="6684">IF(SUBTOTAL(9,CN337:CN341)&gt;0,SUBTOTAL(9,CN337:CN341),"")</f>
        <v/>
      </c>
      <c r="CO336" s="34" t="str">
        <f t="shared" ref="CO336" si="6685">IF(SUBTOTAL(9,CO337:CO341)&gt;0,SUBTOTAL(9,CO337:CO341),"")</f>
        <v/>
      </c>
      <c r="CP336" s="34" t="str">
        <f t="shared" ref="CP336" si="6686">IF(SUBTOTAL(9,CP337:CP341)&gt;0,SUBTOTAL(9,CP337:CP341),"")</f>
        <v/>
      </c>
      <c r="CQ336" s="34" t="str">
        <f t="shared" ref="CQ336" si="6687">IF(SUBTOTAL(9,CQ337:CQ341)&gt;0,SUBTOTAL(9,CQ337:CQ341),"")</f>
        <v/>
      </c>
      <c r="CR336" s="34" t="str">
        <f t="shared" ref="CR336" si="6688">IF(SUBTOTAL(9,CR337:CR341)&gt;0,SUBTOTAL(9,CR337:CR341),"")</f>
        <v/>
      </c>
      <c r="CS336" s="34" t="str">
        <f t="shared" ref="CS336" si="6689">IF(SUBTOTAL(9,CS337:CS341)&gt;0,SUBTOTAL(9,CS337:CS341),"")</f>
        <v/>
      </c>
      <c r="CT336" s="33" t="str">
        <f t="shared" ref="CT336" si="6690">IF(SUBTOTAL(9,CT337:CT341)&gt;0,SUBTOTAL(9,CT337:CT341),"")</f>
        <v/>
      </c>
      <c r="CU336" s="34" t="str">
        <f t="shared" ref="CU336" si="6691">IF(SUBTOTAL(9,CU337:CU341)&gt;0,SUBTOTAL(9,CU337:CU341),"")</f>
        <v/>
      </c>
      <c r="CV336" s="34" t="str">
        <f t="shared" ref="CV336" si="6692">IF(SUBTOTAL(9,CV337:CV341)&gt;0,SUBTOTAL(9,CV337:CV341),"")</f>
        <v/>
      </c>
      <c r="CW336" s="34" t="str">
        <f t="shared" ref="CW336" si="6693">IF(SUBTOTAL(9,CW337:CW341)&gt;0,SUBTOTAL(9,CW337:CW341),"")</f>
        <v/>
      </c>
      <c r="CX336" s="34" t="str">
        <f t="shared" ref="CX336" si="6694">IF(SUBTOTAL(9,CX337:CX341)&gt;0,SUBTOTAL(9,CX337:CX341),"")</f>
        <v/>
      </c>
      <c r="CY336" s="34" t="str">
        <f t="shared" ref="CY336" si="6695">IF(SUBTOTAL(9,CY337:CY341)&gt;0,SUBTOTAL(9,CY337:CY341),"")</f>
        <v/>
      </c>
      <c r="CZ336" s="33" t="str">
        <f t="shared" ref="CZ336" si="6696">IF(SUBTOTAL(9,CZ337:CZ341)&gt;0,SUBTOTAL(9,CZ337:CZ341),"")</f>
        <v/>
      </c>
      <c r="DA336" s="33" t="str">
        <f t="shared" ref="DA336" si="6697">IF(SUBTOTAL(9,DA337:DA341)&gt;0,SUBTOTAL(9,DA337:DA341),"")</f>
        <v/>
      </c>
      <c r="DB336" s="34" t="str">
        <f t="shared" ref="DB336" si="6698">IF(SUBTOTAL(9,DB337:DB341)&gt;0,SUBTOTAL(9,DB337:DB341),"")</f>
        <v/>
      </c>
      <c r="DC336" s="34" t="str">
        <f t="shared" ref="DC336" si="6699">IF(SUBTOTAL(9,DC337:DC341)&gt;0,SUBTOTAL(9,DC337:DC341),"")</f>
        <v/>
      </c>
      <c r="DD336" s="34" t="str">
        <f t="shared" ref="DD336" si="6700">IF(SUBTOTAL(9,DD337:DD341)&gt;0,SUBTOTAL(9,DD337:DD341),"")</f>
        <v/>
      </c>
      <c r="DE336" s="34" t="str">
        <f t="shared" ref="DE336" si="6701">IF(SUBTOTAL(9,DE337:DE341)&gt;0,SUBTOTAL(9,DE337:DE341),"")</f>
        <v/>
      </c>
      <c r="DF336" s="34" t="str">
        <f t="shared" ref="DF336" si="6702">IF(SUBTOTAL(9,DF337:DF341)&gt;0,SUBTOTAL(9,DF337:DF341),"")</f>
        <v/>
      </c>
      <c r="DG336" s="34" t="str">
        <f t="shared" ref="DG336" si="6703">IF(SUBTOTAL(9,DG337:DG341)&gt;0,SUBTOTAL(9,DG337:DG341),"")</f>
        <v/>
      </c>
      <c r="DH336" s="34" t="str">
        <f t="shared" ref="DH336" si="6704">IF(SUBTOTAL(9,DH337:DH341)&gt;0,SUBTOTAL(9,DH337:DH341),"")</f>
        <v/>
      </c>
      <c r="DI336" s="34" t="str">
        <f t="shared" ref="DI336" si="6705">IF(SUBTOTAL(9,DI337:DI341)&gt;0,SUBTOTAL(9,DI337:DI341),"")</f>
        <v/>
      </c>
      <c r="DJ336" s="34" t="str">
        <f t="shared" ref="DJ336" si="6706">IF(SUBTOTAL(9,DJ337:DJ341)&gt;0,SUBTOTAL(9,DJ337:DJ341),"")</f>
        <v/>
      </c>
      <c r="DK336" s="34" t="str">
        <f t="shared" ref="DK336" si="6707">IF(SUBTOTAL(9,DK337:DK341)&gt;0,SUBTOTAL(9,DK337:DK341),"")</f>
        <v/>
      </c>
      <c r="DL336" s="34" t="str">
        <f t="shared" ref="DL336" si="6708">IF(SUBTOTAL(9,DL337:DL341)&gt;0,SUBTOTAL(9,DL337:DL341),"")</f>
        <v/>
      </c>
      <c r="DM336" s="34" t="str">
        <f t="shared" ref="DM336" si="6709">IF(SUBTOTAL(9,DM337:DM341)&gt;0,SUBTOTAL(9,DM337:DM341),"")</f>
        <v/>
      </c>
      <c r="DN336" s="34" t="str">
        <f t="shared" ref="DN336" si="6710">IF(SUBTOTAL(9,DN337:DN341)&gt;0,SUBTOTAL(9,DN337:DN341),"")</f>
        <v/>
      </c>
      <c r="DO336" s="34" t="str">
        <f t="shared" ref="DO336" si="6711">IF(SUBTOTAL(9,DO337:DO341)&gt;0,SUBTOTAL(9,DO337:DO341),"")</f>
        <v/>
      </c>
      <c r="DP336" s="34" t="str">
        <f t="shared" ref="DP336" si="6712">IF(SUBTOTAL(9,DP337:DP341)&gt;0,SUBTOTAL(9,DP337:DP341),"")</f>
        <v/>
      </c>
      <c r="DQ336" s="34" t="str">
        <f t="shared" ref="DQ336" si="6713">IF(SUBTOTAL(9,DQ337:DQ341)&gt;0,SUBTOTAL(9,DQ337:DQ341),"")</f>
        <v/>
      </c>
      <c r="DR336" s="34" t="str">
        <f t="shared" ref="DR336" si="6714">IF(SUBTOTAL(9,DR337:DR341)&gt;0,SUBTOTAL(9,DR337:DR341),"")</f>
        <v/>
      </c>
      <c r="DS336" s="34" t="str">
        <f t="shared" ref="DS336" si="6715">IF(SUBTOTAL(9,DS337:DS341)&gt;0,SUBTOTAL(9,DS337:DS341),"")</f>
        <v/>
      </c>
      <c r="DT336" s="34" t="str">
        <f t="shared" ref="DT336" si="6716">IF(SUBTOTAL(9,DT337:DT341)&gt;0,SUBTOTAL(9,DT337:DT341),"")</f>
        <v/>
      </c>
      <c r="DU336" s="34" t="str">
        <f t="shared" ref="DU336" si="6717">IF(SUBTOTAL(9,DU337:DU341)&gt;0,SUBTOTAL(9,DU337:DU341),"")</f>
        <v/>
      </c>
      <c r="DV336" s="34" t="str">
        <f t="shared" ref="DV336" si="6718">IF(SUBTOTAL(9,DV337:DV341)&gt;0,SUBTOTAL(9,DV337:DV341),"")</f>
        <v/>
      </c>
      <c r="DW336" s="34" t="str">
        <f t="shared" ref="DW336" si="6719">IF(SUBTOTAL(9,DW337:DW341)&gt;0,SUBTOTAL(9,DW337:DW341),"")</f>
        <v/>
      </c>
      <c r="DX336" s="34" t="str">
        <f t="shared" ref="DX336" si="6720">IF(SUBTOTAL(9,DX337:DX341)&gt;0,SUBTOTAL(9,DX337:DX341),"")</f>
        <v/>
      </c>
      <c r="DY336" s="34" t="str">
        <f t="shared" ref="DY336" si="6721">IF(SUBTOTAL(9,DY337:DY341)&gt;0,SUBTOTAL(9,DY337:DY341),"")</f>
        <v/>
      </c>
      <c r="DZ336" s="33" t="str">
        <f t="shared" ref="DZ336" si="6722">IF(SUBTOTAL(9,DZ337:DZ341)&gt;0,SUBTOTAL(9,DZ337:DZ341),"")</f>
        <v/>
      </c>
      <c r="EA336" s="34" t="str">
        <f t="shared" ref="EA336" si="6723">IF(SUBTOTAL(9,EA337:EA341)&gt;0,SUBTOTAL(9,EA337:EA341),"")</f>
        <v/>
      </c>
      <c r="EB336" s="34" t="str">
        <f t="shared" ref="EB336" si="6724">IF(SUBTOTAL(9,EB337:EB341)&gt;0,SUBTOTAL(9,EB337:EB341),"")</f>
        <v/>
      </c>
      <c r="EC336" s="34" t="str">
        <f t="shared" ref="EC336" si="6725">IF(SUBTOTAL(9,EC337:EC341)&gt;0,SUBTOTAL(9,EC337:EC341),"")</f>
        <v/>
      </c>
      <c r="ED336" s="34" t="str">
        <f t="shared" ref="ED336" si="6726">IF(SUBTOTAL(9,ED337:ED341)&gt;0,SUBTOTAL(9,ED337:ED341),"")</f>
        <v/>
      </c>
      <c r="EE336" s="34" t="str">
        <f t="shared" ref="EE336" si="6727">IF(SUBTOTAL(9,EE337:EE341)&gt;0,SUBTOTAL(9,EE337:EE341),"")</f>
        <v/>
      </c>
      <c r="EF336" s="34" t="str">
        <f t="shared" ref="EF336" si="6728">IF(SUBTOTAL(9,EF337:EF341)&gt;0,SUBTOTAL(9,EF337:EF341),"")</f>
        <v/>
      </c>
      <c r="EG336" s="34" t="str">
        <f t="shared" ref="EG336" si="6729">IF(SUBTOTAL(9,EG337:EG341)&gt;0,SUBTOTAL(9,EG337:EG341),"")</f>
        <v/>
      </c>
      <c r="EH336" s="34" t="str">
        <f t="shared" ref="EH336" si="6730">IF(SUBTOTAL(9,EH337:EH341)&gt;0,SUBTOTAL(9,EH337:EH341),"")</f>
        <v/>
      </c>
      <c r="EI336" s="34" t="str">
        <f t="shared" ref="EI336" si="6731">IF(SUBTOTAL(9,EI337:EI341)&gt;0,SUBTOTAL(9,EI337:EI341),"")</f>
        <v/>
      </c>
      <c r="EJ336" s="34" t="str">
        <f t="shared" ref="EJ336" si="6732">IF(SUBTOTAL(9,EJ337:EJ341)&gt;0,SUBTOTAL(9,EJ337:EJ341),"")</f>
        <v/>
      </c>
      <c r="EK336" s="34" t="str">
        <f t="shared" ref="EK336" si="6733">IF(SUBTOTAL(9,EK337:EK341)&gt;0,SUBTOTAL(9,EK337:EK341),"")</f>
        <v/>
      </c>
      <c r="EL336" s="34" t="str">
        <f t="shared" ref="EL336" si="6734">IF(SUBTOTAL(9,EL337:EL341)&gt;0,SUBTOTAL(9,EL337:EL341),"")</f>
        <v/>
      </c>
      <c r="EM336" s="34" t="str">
        <f t="shared" ref="EM336" si="6735">IF(SUBTOTAL(9,EM337:EM341)&gt;0,SUBTOTAL(9,EM337:EM341),"")</f>
        <v/>
      </c>
      <c r="EN336" s="34" t="str">
        <f t="shared" ref="EN336" si="6736">IF(SUBTOTAL(9,EN337:EN341)&gt;0,SUBTOTAL(9,EN337:EN341),"")</f>
        <v/>
      </c>
      <c r="EO336" s="34" t="str">
        <f t="shared" ref="EO336" si="6737">IF(SUBTOTAL(9,EO337:EO341)&gt;0,SUBTOTAL(9,EO337:EO341),"")</f>
        <v/>
      </c>
      <c r="EP336" s="34" t="str">
        <f t="shared" ref="EP336" si="6738">IF(SUBTOTAL(9,EP337:EP341)&gt;0,SUBTOTAL(9,EP337:EP341),"")</f>
        <v/>
      </c>
      <c r="EQ336" s="34" t="str">
        <f t="shared" ref="EQ336" si="6739">IF(SUBTOTAL(9,EQ337:EQ341)&gt;0,SUBTOTAL(9,EQ337:EQ341),"")</f>
        <v/>
      </c>
      <c r="ER336" s="34" t="str">
        <f t="shared" ref="ER336" si="6740">IF(SUBTOTAL(9,ER337:ER341)&gt;0,SUBTOTAL(9,ER337:ER341),"")</f>
        <v/>
      </c>
      <c r="ES336" s="34" t="str">
        <f t="shared" ref="ES336" si="6741">IF(SUBTOTAL(9,ES337:ES341)&gt;0,SUBTOTAL(9,ES337:ES341),"")</f>
        <v/>
      </c>
      <c r="ET336" s="34" t="str">
        <f t="shared" ref="ET336" si="6742">IF(SUBTOTAL(9,ET337:ET341)&gt;0,SUBTOTAL(9,ET337:ET341),"")</f>
        <v/>
      </c>
      <c r="EU336" s="34" t="str">
        <f t="shared" ref="EU336" si="6743">IF(SUBTOTAL(9,EU337:EU341)&gt;0,SUBTOTAL(9,EU337:EU341),"")</f>
        <v/>
      </c>
      <c r="EV336" s="34" t="str">
        <f t="shared" ref="EV336" si="6744">IF(SUBTOTAL(9,EV337:EV341)&gt;0,SUBTOTAL(9,EV337:EV341),"")</f>
        <v/>
      </c>
      <c r="EW336" s="34" t="str">
        <f t="shared" ref="EW336" si="6745">IF(SUBTOTAL(9,EW337:EW341)&gt;0,SUBTOTAL(9,EW337:EW341),"")</f>
        <v/>
      </c>
      <c r="EX336" s="34" t="str">
        <f t="shared" ref="EX336" si="6746">IF(SUBTOTAL(9,EX337:EX341)&gt;0,SUBTOTAL(9,EX337:EX341),"")</f>
        <v/>
      </c>
      <c r="EY336" s="33" t="str">
        <f t="shared" ref="EY336" si="6747">IF(SUBTOTAL(9,EY337:EY341)&gt;0,SUBTOTAL(9,EY337:EY341),"")</f>
        <v/>
      </c>
      <c r="EZ336" s="34" t="str">
        <f t="shared" ref="EZ336" si="6748">IF(SUBTOTAL(9,EZ337:EZ341)&gt;0,SUBTOTAL(9,EZ337:EZ341),"")</f>
        <v/>
      </c>
      <c r="FA336" s="34" t="str">
        <f t="shared" ref="FA336" si="6749">IF(SUBTOTAL(9,FA337:FA341)&gt;0,SUBTOTAL(9,FA337:FA341),"")</f>
        <v/>
      </c>
      <c r="FB336" s="34" t="str">
        <f t="shared" ref="FB336" si="6750">IF(SUBTOTAL(9,FB337:FB341)&gt;0,SUBTOTAL(9,FB337:FB341),"")</f>
        <v/>
      </c>
      <c r="FC336" s="34" t="str">
        <f t="shared" ref="FC336" si="6751">IF(SUBTOTAL(9,FC337:FC341)&gt;0,SUBTOTAL(9,FC337:FC341),"")</f>
        <v/>
      </c>
      <c r="FD336" s="34" t="str">
        <f t="shared" ref="FD336" si="6752">IF(SUBTOTAL(9,FD337:FD341)&gt;0,SUBTOTAL(9,FD337:FD341),"")</f>
        <v/>
      </c>
      <c r="FE336" s="34" t="str">
        <f t="shared" ref="FE336" si="6753">IF(SUBTOTAL(9,FE337:FE341)&gt;0,SUBTOTAL(9,FE337:FE341),"")</f>
        <v/>
      </c>
      <c r="FF336" s="34" t="str">
        <f t="shared" ref="FF336" si="6754">IF(SUBTOTAL(9,FF337:FF341)&gt;0,SUBTOTAL(9,FF337:FF341),"")</f>
        <v/>
      </c>
      <c r="FG336" s="34" t="str">
        <f t="shared" ref="FG336" si="6755">IF(SUBTOTAL(9,FG337:FG341)&gt;0,SUBTOTAL(9,FG337:FG341),"")</f>
        <v/>
      </c>
      <c r="FH336" s="34" t="str">
        <f t="shared" ref="FH336" si="6756">IF(SUBTOTAL(9,FH337:FH341)&gt;0,SUBTOTAL(9,FH337:FH341),"")</f>
        <v/>
      </c>
      <c r="FI336" s="34" t="str">
        <f t="shared" ref="FI336" si="6757">IF(SUBTOTAL(9,FI337:FI341)&gt;0,SUBTOTAL(9,FI337:FI341),"")</f>
        <v/>
      </c>
      <c r="FJ336" s="34" t="str">
        <f t="shared" ref="FJ336" si="6758">IF(SUBTOTAL(9,FJ337:FJ341)&gt;0,SUBTOTAL(9,FJ337:FJ341),"")</f>
        <v/>
      </c>
      <c r="FK336" s="34" t="str">
        <f t="shared" ref="FK336" si="6759">IF(SUBTOTAL(9,FK337:FK341)&gt;0,SUBTOTAL(9,FK337:FK341),"")</f>
        <v/>
      </c>
      <c r="FL336" s="34" t="str">
        <f t="shared" ref="FL336" si="6760">IF(SUBTOTAL(9,FL337:FL341)&gt;0,SUBTOTAL(9,FL337:FL341),"")</f>
        <v/>
      </c>
      <c r="FM336" s="34" t="str">
        <f t="shared" ref="FM336" si="6761">IF(SUBTOTAL(9,FM337:FM341)&gt;0,SUBTOTAL(9,FM337:FM341),"")</f>
        <v/>
      </c>
      <c r="FN336" s="34" t="str">
        <f t="shared" ref="FN336" si="6762">IF(SUBTOTAL(9,FN337:FN341)&gt;0,SUBTOTAL(9,FN337:FN341),"")</f>
        <v/>
      </c>
      <c r="FO336" s="34" t="str">
        <f t="shared" ref="FO336" si="6763">IF(SUBTOTAL(9,FO337:FO341)&gt;0,SUBTOTAL(9,FO337:FO341),"")</f>
        <v/>
      </c>
      <c r="FP336" s="34" t="str">
        <f t="shared" ref="FP336" si="6764">IF(SUBTOTAL(9,FP337:FP341)&gt;0,SUBTOTAL(9,FP337:FP341),"")</f>
        <v/>
      </c>
      <c r="FQ336" s="92" t="str">
        <f t="shared" ref="FQ336" si="6765">IF(SUBTOTAL(9,FQ337:FQ341)&gt;0,SUBTOTAL(9,FQ337:FQ341),"")</f>
        <v/>
      </c>
      <c r="FS336" s="9" t="s">
        <v>131</v>
      </c>
      <c r="FT336" s="9" t="str">
        <f t="shared" si="6597"/>
        <v/>
      </c>
    </row>
    <row r="337" spans="1:176" ht="12" hidden="1" customHeight="1" outlineLevel="1">
      <c r="A337" s="122"/>
      <c r="B337" s="123"/>
      <c r="C337" s="131" t="str">
        <f t="shared" ref="C337:C341" si="6766">ROUND(SUM(E337:FQ337),0) &amp; " days"</f>
        <v>0 days</v>
      </c>
      <c r="D337" s="141" t="str">
        <f>A329&amp;" "&amp;A336</f>
        <v>12. FDS Release 4 12.2 FDS Release 4 - Business Familiarisation with RDS/CDS/Sandpit</v>
      </c>
      <c r="E337" s="51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R337" s="35"/>
      <c r="S337" s="35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D337" s="35"/>
      <c r="AE337" s="35"/>
      <c r="AF337" s="35"/>
      <c r="AG337" s="35"/>
      <c r="AH337" s="35"/>
      <c r="AI337" s="35"/>
      <c r="AJ337" s="35"/>
      <c r="AK337" s="35"/>
      <c r="AL337" s="36"/>
      <c r="AM337" s="36"/>
      <c r="AN337" s="36"/>
      <c r="AO337" s="36"/>
      <c r="AP337" s="36"/>
      <c r="AQ337" s="36"/>
      <c r="AR337" s="36"/>
      <c r="AS337" s="35"/>
      <c r="AT337" s="35"/>
      <c r="AU337" s="35"/>
      <c r="AV337" s="35"/>
      <c r="AW337" s="35"/>
      <c r="AX337" s="35"/>
      <c r="AY337" s="35"/>
      <c r="AZ337" s="35"/>
      <c r="BA337" s="35"/>
      <c r="BB337" s="35"/>
      <c r="BC337" s="35"/>
      <c r="BD337" s="35"/>
      <c r="BE337" s="35"/>
      <c r="BF337" s="35"/>
      <c r="BG337" s="35"/>
      <c r="BH337" s="35"/>
      <c r="BI337" s="35"/>
      <c r="BJ337" s="35"/>
      <c r="BK337" s="35"/>
      <c r="BL337" s="35"/>
      <c r="BM337" s="35"/>
      <c r="BN337" s="35"/>
      <c r="BO337" s="35"/>
      <c r="BP337" s="35"/>
      <c r="BQ337" s="35"/>
      <c r="BR337" s="35"/>
      <c r="BS337" s="35"/>
      <c r="BT337" s="35"/>
      <c r="BU337" s="35"/>
      <c r="BV337" s="35"/>
      <c r="BW337" s="35"/>
      <c r="BX337" s="35"/>
      <c r="BY337" s="35"/>
      <c r="BZ337" s="35"/>
      <c r="CA337" s="35"/>
      <c r="CB337" s="35"/>
      <c r="CC337" s="35"/>
      <c r="CD337" s="35"/>
      <c r="CE337" s="35"/>
      <c r="CF337" s="35"/>
      <c r="CG337" s="35"/>
      <c r="CH337" s="35"/>
      <c r="CI337" s="35"/>
      <c r="CJ337" s="35"/>
      <c r="CK337" s="35"/>
      <c r="CL337" s="35"/>
      <c r="CM337" s="35"/>
      <c r="CN337" s="35"/>
      <c r="CO337" s="35"/>
      <c r="CP337" s="35"/>
      <c r="CQ337" s="35"/>
      <c r="CR337" s="35"/>
      <c r="CS337" s="35"/>
      <c r="CT337" s="36"/>
      <c r="CU337" s="35"/>
      <c r="CV337" s="35"/>
      <c r="CW337" s="35"/>
      <c r="CX337" s="35"/>
      <c r="CY337" s="35"/>
      <c r="CZ337" s="36"/>
      <c r="DA337" s="36"/>
      <c r="DB337" s="35"/>
      <c r="DC337" s="35"/>
      <c r="DD337" s="35"/>
      <c r="DE337" s="35"/>
      <c r="DF337" s="35"/>
      <c r="DG337" s="35"/>
      <c r="DH337" s="35"/>
      <c r="DI337" s="35"/>
      <c r="DJ337" s="35"/>
      <c r="DK337" s="35"/>
      <c r="DL337" s="35"/>
      <c r="DM337" s="35"/>
      <c r="DN337" s="35"/>
      <c r="DO337" s="35"/>
      <c r="DP337" s="35"/>
      <c r="DQ337" s="35"/>
      <c r="DR337" s="35"/>
      <c r="DS337" s="35"/>
      <c r="DT337" s="35"/>
      <c r="DU337" s="35"/>
      <c r="DV337" s="35"/>
      <c r="DW337" s="35"/>
      <c r="DX337" s="35"/>
      <c r="DY337" s="35"/>
      <c r="DZ337" s="36"/>
      <c r="EA337" s="35"/>
      <c r="EB337" s="35"/>
      <c r="EC337" s="35"/>
      <c r="ED337" s="35"/>
      <c r="EE337" s="35"/>
      <c r="EF337" s="35"/>
      <c r="EG337" s="35"/>
      <c r="EH337" s="35"/>
      <c r="EI337" s="35"/>
      <c r="EJ337" s="35"/>
      <c r="EK337" s="35"/>
      <c r="EL337" s="35"/>
      <c r="EM337" s="35"/>
      <c r="EN337" s="35"/>
      <c r="EO337" s="35"/>
      <c r="EP337" s="35"/>
      <c r="EQ337" s="35"/>
      <c r="ER337" s="35"/>
      <c r="ES337" s="35"/>
      <c r="ET337" s="35"/>
      <c r="EU337" s="35"/>
      <c r="EV337" s="35"/>
      <c r="EW337" s="35"/>
      <c r="EX337" s="35"/>
      <c r="EY337" s="36"/>
      <c r="EZ337" s="35"/>
      <c r="FA337" s="35"/>
      <c r="FB337" s="35"/>
      <c r="FC337" s="35"/>
      <c r="FD337" s="35"/>
      <c r="FE337" s="35"/>
      <c r="FF337" s="35"/>
      <c r="FG337" s="35"/>
      <c r="FH337" s="35"/>
      <c r="FI337" s="35"/>
      <c r="FJ337" s="35"/>
      <c r="FK337" s="35"/>
      <c r="FL337" s="35"/>
      <c r="FM337" s="35"/>
      <c r="FN337" s="35"/>
      <c r="FO337" s="35"/>
      <c r="FP337" s="35"/>
      <c r="FQ337" s="52"/>
      <c r="FS337" s="9" t="s">
        <v>13</v>
      </c>
      <c r="FT337" s="9" t="str">
        <f t="shared" si="6597"/>
        <v>12. FDS Release 4 12.2 FDS Release 4 - Business Familiarisation with RDS/CDS/Sandpit</v>
      </c>
    </row>
    <row r="338" spans="1:176" ht="12" hidden="1" customHeight="1" outlineLevel="1">
      <c r="A338" s="122"/>
      <c r="B338" s="123"/>
      <c r="C338" s="131" t="str">
        <f t="shared" si="6766"/>
        <v>0 days</v>
      </c>
      <c r="D338" s="141" t="str">
        <f>A329&amp;" "&amp;A336</f>
        <v>12. FDS Release 4 12.2 FDS Release 4 - Business Familiarisation with RDS/CDS/Sandpit</v>
      </c>
      <c r="E338" s="51"/>
      <c r="F338" s="35"/>
      <c r="G338" s="35"/>
      <c r="H338" s="35"/>
      <c r="I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D338" s="35"/>
      <c r="AE338" s="35"/>
      <c r="AF338" s="35"/>
      <c r="AG338" s="35"/>
      <c r="AH338" s="35"/>
      <c r="AI338" s="35"/>
      <c r="AJ338" s="35"/>
      <c r="AK338" s="35"/>
      <c r="AL338" s="36"/>
      <c r="AM338" s="36"/>
      <c r="AN338" s="36"/>
      <c r="AO338" s="36"/>
      <c r="AP338" s="36"/>
      <c r="AQ338" s="36"/>
      <c r="AR338" s="36"/>
      <c r="AS338" s="35"/>
      <c r="AT338" s="35"/>
      <c r="AU338" s="35"/>
      <c r="AV338" s="35"/>
      <c r="AW338" s="35"/>
      <c r="AX338" s="35"/>
      <c r="AY338" s="35"/>
      <c r="AZ338" s="35"/>
      <c r="BA338" s="35"/>
      <c r="BB338" s="35"/>
      <c r="BC338" s="35"/>
      <c r="BD338" s="35"/>
      <c r="BE338" s="35"/>
      <c r="BF338" s="35"/>
      <c r="BG338" s="35"/>
      <c r="BH338" s="35"/>
      <c r="BI338" s="35"/>
      <c r="BJ338" s="35"/>
      <c r="BK338" s="35"/>
      <c r="BL338" s="35"/>
      <c r="BM338" s="35"/>
      <c r="BN338" s="35"/>
      <c r="BO338" s="35"/>
      <c r="BP338" s="35"/>
      <c r="BQ338" s="35"/>
      <c r="BR338" s="35"/>
      <c r="BS338" s="35"/>
      <c r="BT338" s="35"/>
      <c r="BU338" s="35"/>
      <c r="BV338" s="35"/>
      <c r="BW338" s="35"/>
      <c r="BX338" s="35"/>
      <c r="BY338" s="35"/>
      <c r="BZ338" s="35"/>
      <c r="CA338" s="35"/>
      <c r="CB338" s="35"/>
      <c r="CC338" s="35"/>
      <c r="CD338" s="35"/>
      <c r="CE338" s="35"/>
      <c r="CF338" s="35"/>
      <c r="CG338" s="35"/>
      <c r="CH338" s="35"/>
      <c r="CI338" s="35"/>
      <c r="CJ338" s="35"/>
      <c r="CK338" s="35"/>
      <c r="CL338" s="35"/>
      <c r="CM338" s="35"/>
      <c r="CN338" s="35"/>
      <c r="CO338" s="35"/>
      <c r="CP338" s="35"/>
      <c r="CQ338" s="35"/>
      <c r="CR338" s="35"/>
      <c r="CS338" s="35"/>
      <c r="CT338" s="36"/>
      <c r="CU338" s="35"/>
      <c r="CV338" s="35"/>
      <c r="CW338" s="35"/>
      <c r="CX338" s="35"/>
      <c r="CY338" s="35"/>
      <c r="CZ338" s="36"/>
      <c r="DA338" s="36"/>
      <c r="DB338" s="35"/>
      <c r="DC338" s="35"/>
      <c r="DD338" s="35"/>
      <c r="DE338" s="35"/>
      <c r="DF338" s="35"/>
      <c r="DG338" s="35"/>
      <c r="DH338" s="35"/>
      <c r="DI338" s="35"/>
      <c r="DJ338" s="35"/>
      <c r="DK338" s="35"/>
      <c r="DL338" s="35"/>
      <c r="DM338" s="35"/>
      <c r="DN338" s="35"/>
      <c r="DO338" s="35"/>
      <c r="DP338" s="35"/>
      <c r="DQ338" s="35"/>
      <c r="DR338" s="35"/>
      <c r="DS338" s="35"/>
      <c r="DT338" s="35"/>
      <c r="DU338" s="35"/>
      <c r="DV338" s="35"/>
      <c r="DW338" s="35"/>
      <c r="DX338" s="35"/>
      <c r="DY338" s="35"/>
      <c r="DZ338" s="36"/>
      <c r="EA338" s="35"/>
      <c r="EB338" s="35"/>
      <c r="EC338" s="35"/>
      <c r="ED338" s="35"/>
      <c r="EE338" s="35"/>
      <c r="EF338" s="35"/>
      <c r="EG338" s="35"/>
      <c r="EH338" s="35"/>
      <c r="EI338" s="35"/>
      <c r="EJ338" s="35"/>
      <c r="EK338" s="35"/>
      <c r="EL338" s="35"/>
      <c r="EM338" s="35"/>
      <c r="EN338" s="35"/>
      <c r="EO338" s="35"/>
      <c r="EP338" s="35"/>
      <c r="EQ338" s="35"/>
      <c r="ER338" s="35"/>
      <c r="ES338" s="35"/>
      <c r="ET338" s="35"/>
      <c r="EU338" s="35"/>
      <c r="EV338" s="35"/>
      <c r="EW338" s="35"/>
      <c r="EX338" s="35"/>
      <c r="EY338" s="36"/>
      <c r="EZ338" s="35"/>
      <c r="FA338" s="35"/>
      <c r="FB338" s="35"/>
      <c r="FC338" s="35"/>
      <c r="FD338" s="35"/>
      <c r="FE338" s="35"/>
      <c r="FF338" s="35"/>
      <c r="FG338" s="35"/>
      <c r="FH338" s="35"/>
      <c r="FI338" s="35"/>
      <c r="FJ338" s="35"/>
      <c r="FK338" s="35"/>
      <c r="FL338" s="35"/>
      <c r="FM338" s="35"/>
      <c r="FN338" s="35"/>
      <c r="FO338" s="35"/>
      <c r="FP338" s="35"/>
      <c r="FQ338" s="52"/>
      <c r="FS338" s="9" t="s">
        <v>13</v>
      </c>
      <c r="FT338" s="9" t="str">
        <f t="shared" si="6597"/>
        <v>12. FDS Release 4 12.2 FDS Release 4 - Business Familiarisation with RDS/CDS/Sandpit</v>
      </c>
    </row>
    <row r="339" spans="1:176" ht="12" hidden="1" customHeight="1" outlineLevel="1">
      <c r="A339" s="122"/>
      <c r="B339" s="123"/>
      <c r="C339" s="131" t="str">
        <f t="shared" si="6766"/>
        <v>0 days</v>
      </c>
      <c r="D339" s="141" t="str">
        <f>A329&amp;" "&amp;A336</f>
        <v>12. FDS Release 4 12.2 FDS Release 4 - Business Familiarisation with RDS/CDS/Sandpit</v>
      </c>
      <c r="E339" s="51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D339" s="35"/>
      <c r="AE339" s="35"/>
      <c r="AF339" s="35"/>
      <c r="AG339" s="35"/>
      <c r="AH339" s="35"/>
      <c r="AI339" s="35"/>
      <c r="AJ339" s="35"/>
      <c r="AK339" s="35"/>
      <c r="AL339" s="36"/>
      <c r="AM339" s="36"/>
      <c r="AN339" s="36"/>
      <c r="AO339" s="36"/>
      <c r="AP339" s="36"/>
      <c r="AQ339" s="36"/>
      <c r="AR339" s="36"/>
      <c r="AS339" s="35"/>
      <c r="AT339" s="35"/>
      <c r="AU339" s="35"/>
      <c r="AV339" s="35"/>
      <c r="AW339" s="35"/>
      <c r="AX339" s="35"/>
      <c r="AY339" s="35"/>
      <c r="AZ339" s="35"/>
      <c r="BA339" s="35"/>
      <c r="BB339" s="35"/>
      <c r="BC339" s="35"/>
      <c r="BD339" s="35"/>
      <c r="BE339" s="35"/>
      <c r="BF339" s="35"/>
      <c r="BG339" s="35"/>
      <c r="BH339" s="35"/>
      <c r="BI339" s="35"/>
      <c r="BJ339" s="35"/>
      <c r="BK339" s="35"/>
      <c r="BL339" s="35"/>
      <c r="BM339" s="35"/>
      <c r="BN339" s="35"/>
      <c r="BO339" s="35"/>
      <c r="BP339" s="35"/>
      <c r="BQ339" s="35"/>
      <c r="BR339" s="35"/>
      <c r="BS339" s="35"/>
      <c r="BT339" s="35"/>
      <c r="BU339" s="35"/>
      <c r="BV339" s="35"/>
      <c r="BW339" s="35"/>
      <c r="BX339" s="35"/>
      <c r="BY339" s="35"/>
      <c r="BZ339" s="35"/>
      <c r="CA339" s="35"/>
      <c r="CB339" s="35"/>
      <c r="CC339" s="35"/>
      <c r="CD339" s="35"/>
      <c r="CE339" s="35"/>
      <c r="CF339" s="35"/>
      <c r="CG339" s="35"/>
      <c r="CH339" s="35"/>
      <c r="CI339" s="35"/>
      <c r="CJ339" s="35"/>
      <c r="CK339" s="35"/>
      <c r="CL339" s="35"/>
      <c r="CM339" s="35"/>
      <c r="CN339" s="35"/>
      <c r="CO339" s="35"/>
      <c r="CP339" s="35"/>
      <c r="CQ339" s="35"/>
      <c r="CR339" s="35"/>
      <c r="CS339" s="35"/>
      <c r="CT339" s="36"/>
      <c r="CU339" s="35"/>
      <c r="CV339" s="35"/>
      <c r="CW339" s="35"/>
      <c r="CX339" s="35"/>
      <c r="CY339" s="35"/>
      <c r="CZ339" s="36"/>
      <c r="DA339" s="36"/>
      <c r="DB339" s="35"/>
      <c r="DC339" s="35"/>
      <c r="DD339" s="35"/>
      <c r="DE339" s="35"/>
      <c r="DF339" s="35"/>
      <c r="DG339" s="35"/>
      <c r="DH339" s="35"/>
      <c r="DI339" s="35"/>
      <c r="DJ339" s="35"/>
      <c r="DK339" s="35"/>
      <c r="DL339" s="35"/>
      <c r="DM339" s="35"/>
      <c r="DN339" s="35"/>
      <c r="DO339" s="35"/>
      <c r="DP339" s="35"/>
      <c r="DQ339" s="35"/>
      <c r="DR339" s="35"/>
      <c r="DS339" s="35"/>
      <c r="DT339" s="35"/>
      <c r="DU339" s="35"/>
      <c r="DV339" s="35"/>
      <c r="DW339" s="35"/>
      <c r="DX339" s="35"/>
      <c r="DY339" s="35"/>
      <c r="DZ339" s="36"/>
      <c r="EA339" s="35"/>
      <c r="EB339" s="35"/>
      <c r="EC339" s="35"/>
      <c r="ED339" s="35"/>
      <c r="EE339" s="35"/>
      <c r="EF339" s="35"/>
      <c r="EG339" s="35"/>
      <c r="EH339" s="35"/>
      <c r="EI339" s="35"/>
      <c r="EJ339" s="35"/>
      <c r="EK339" s="35"/>
      <c r="EL339" s="35"/>
      <c r="EM339" s="35"/>
      <c r="EN339" s="35"/>
      <c r="EO339" s="35"/>
      <c r="EP339" s="35"/>
      <c r="EQ339" s="35"/>
      <c r="ER339" s="35"/>
      <c r="ES339" s="35"/>
      <c r="ET339" s="35"/>
      <c r="EU339" s="35"/>
      <c r="EV339" s="35"/>
      <c r="EW339" s="35"/>
      <c r="EX339" s="35"/>
      <c r="EY339" s="36"/>
      <c r="EZ339" s="35"/>
      <c r="FA339" s="35"/>
      <c r="FB339" s="35"/>
      <c r="FC339" s="35"/>
      <c r="FD339" s="35"/>
      <c r="FE339" s="35"/>
      <c r="FF339" s="35"/>
      <c r="FG339" s="35"/>
      <c r="FH339" s="35"/>
      <c r="FI339" s="35"/>
      <c r="FJ339" s="35"/>
      <c r="FK339" s="35"/>
      <c r="FL339" s="35"/>
      <c r="FM339" s="35"/>
      <c r="FN339" s="35"/>
      <c r="FO339" s="35"/>
      <c r="FP339" s="35"/>
      <c r="FQ339" s="52"/>
      <c r="FS339" s="9" t="s">
        <v>13</v>
      </c>
      <c r="FT339" s="9" t="str">
        <f t="shared" si="6597"/>
        <v>12. FDS Release 4 12.2 FDS Release 4 - Business Familiarisation with RDS/CDS/Sandpit</v>
      </c>
    </row>
    <row r="340" spans="1:176" ht="12" hidden="1" customHeight="1" outlineLevel="1">
      <c r="A340" s="122"/>
      <c r="B340" s="123"/>
      <c r="C340" s="131" t="str">
        <f t="shared" si="6766"/>
        <v>0 days</v>
      </c>
      <c r="D340" s="141" t="str">
        <f>A329&amp;" "&amp;A336</f>
        <v>12. FDS Release 4 12.2 FDS Release 4 - Business Familiarisation with RDS/CDS/Sandpit</v>
      </c>
      <c r="E340" s="51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D340" s="35"/>
      <c r="AE340" s="35"/>
      <c r="AF340" s="35"/>
      <c r="AG340" s="35"/>
      <c r="AH340" s="35"/>
      <c r="AI340" s="35"/>
      <c r="AJ340" s="35"/>
      <c r="AK340" s="35"/>
      <c r="AL340" s="36"/>
      <c r="AM340" s="36"/>
      <c r="AN340" s="36"/>
      <c r="AO340" s="36"/>
      <c r="AP340" s="36"/>
      <c r="AQ340" s="36"/>
      <c r="AR340" s="36"/>
      <c r="AS340" s="35"/>
      <c r="AT340" s="35"/>
      <c r="AU340" s="35"/>
      <c r="AV340" s="35"/>
      <c r="AW340" s="35"/>
      <c r="AX340" s="35"/>
      <c r="AY340" s="35"/>
      <c r="AZ340" s="35"/>
      <c r="BA340" s="35"/>
      <c r="BB340" s="35"/>
      <c r="BC340" s="35"/>
      <c r="BD340" s="35"/>
      <c r="BE340" s="35"/>
      <c r="BF340" s="35"/>
      <c r="BG340" s="35"/>
      <c r="BH340" s="35"/>
      <c r="BI340" s="35"/>
      <c r="BJ340" s="35"/>
      <c r="BK340" s="35"/>
      <c r="BL340" s="35"/>
      <c r="BM340" s="35"/>
      <c r="BN340" s="35"/>
      <c r="BO340" s="35"/>
      <c r="BP340" s="35"/>
      <c r="BQ340" s="35"/>
      <c r="BR340" s="35"/>
      <c r="BS340" s="35"/>
      <c r="BT340" s="35"/>
      <c r="BU340" s="35"/>
      <c r="BV340" s="35"/>
      <c r="BW340" s="35"/>
      <c r="BX340" s="35"/>
      <c r="BY340" s="35"/>
      <c r="BZ340" s="35"/>
      <c r="CA340" s="35"/>
      <c r="CB340" s="35"/>
      <c r="CC340" s="35"/>
      <c r="CD340" s="35"/>
      <c r="CE340" s="35"/>
      <c r="CF340" s="35"/>
      <c r="CG340" s="35"/>
      <c r="CH340" s="35"/>
      <c r="CI340" s="35"/>
      <c r="CJ340" s="35"/>
      <c r="CK340" s="35"/>
      <c r="CL340" s="35"/>
      <c r="CM340" s="35"/>
      <c r="CN340" s="35"/>
      <c r="CO340" s="35"/>
      <c r="CP340" s="35"/>
      <c r="CQ340" s="35"/>
      <c r="CR340" s="35"/>
      <c r="CS340" s="35"/>
      <c r="CT340" s="36"/>
      <c r="CU340" s="35"/>
      <c r="CV340" s="35"/>
      <c r="CW340" s="35"/>
      <c r="CX340" s="35"/>
      <c r="CY340" s="35"/>
      <c r="CZ340" s="36"/>
      <c r="DA340" s="36"/>
      <c r="DB340" s="35"/>
      <c r="DC340" s="35"/>
      <c r="DD340" s="35"/>
      <c r="DE340" s="35"/>
      <c r="DF340" s="35"/>
      <c r="DG340" s="35"/>
      <c r="DH340" s="35"/>
      <c r="DI340" s="35"/>
      <c r="DJ340" s="35"/>
      <c r="DK340" s="35"/>
      <c r="DL340" s="35"/>
      <c r="DM340" s="35"/>
      <c r="DN340" s="35"/>
      <c r="DO340" s="35"/>
      <c r="DP340" s="35"/>
      <c r="DQ340" s="35"/>
      <c r="DR340" s="35"/>
      <c r="DS340" s="35"/>
      <c r="DT340" s="35"/>
      <c r="DU340" s="35"/>
      <c r="DV340" s="35"/>
      <c r="DW340" s="35"/>
      <c r="DX340" s="35"/>
      <c r="DY340" s="35"/>
      <c r="DZ340" s="36"/>
      <c r="EA340" s="35"/>
      <c r="EB340" s="35"/>
      <c r="EC340" s="35"/>
      <c r="ED340" s="35"/>
      <c r="EE340" s="35"/>
      <c r="EF340" s="35"/>
      <c r="EG340" s="35"/>
      <c r="EH340" s="35"/>
      <c r="EI340" s="35"/>
      <c r="EJ340" s="35"/>
      <c r="EK340" s="35"/>
      <c r="EL340" s="35"/>
      <c r="EM340" s="35"/>
      <c r="EN340" s="35"/>
      <c r="EO340" s="35"/>
      <c r="EP340" s="35"/>
      <c r="EQ340" s="35"/>
      <c r="ER340" s="35"/>
      <c r="ES340" s="35"/>
      <c r="ET340" s="35"/>
      <c r="EU340" s="35"/>
      <c r="EV340" s="35"/>
      <c r="EW340" s="35"/>
      <c r="EX340" s="35"/>
      <c r="EY340" s="36"/>
      <c r="EZ340" s="35"/>
      <c r="FA340" s="35"/>
      <c r="FB340" s="35"/>
      <c r="FC340" s="35"/>
      <c r="FD340" s="35"/>
      <c r="FE340" s="35"/>
      <c r="FF340" s="35"/>
      <c r="FG340" s="35"/>
      <c r="FH340" s="35"/>
      <c r="FI340" s="35"/>
      <c r="FJ340" s="35"/>
      <c r="FK340" s="35"/>
      <c r="FL340" s="35"/>
      <c r="FM340" s="35"/>
      <c r="FN340" s="35"/>
      <c r="FO340" s="35"/>
      <c r="FP340" s="35"/>
      <c r="FQ340" s="52"/>
      <c r="FS340" s="9" t="s">
        <v>13</v>
      </c>
      <c r="FT340" s="9" t="str">
        <f t="shared" si="6597"/>
        <v>12. FDS Release 4 12.2 FDS Release 4 - Business Familiarisation with RDS/CDS/Sandpit</v>
      </c>
    </row>
    <row r="341" spans="1:176" ht="12" hidden="1" customHeight="1" outlineLevel="1">
      <c r="A341" s="122"/>
      <c r="B341" s="123"/>
      <c r="C341" s="131" t="str">
        <f t="shared" si="6766"/>
        <v>0 days</v>
      </c>
      <c r="D341" s="141" t="str">
        <f>A329&amp;" "&amp;A336</f>
        <v>12. FDS Release 4 12.2 FDS Release 4 - Business Familiarisation with RDS/CDS/Sandpit</v>
      </c>
      <c r="E341" s="51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D341" s="35"/>
      <c r="AE341" s="35"/>
      <c r="AF341" s="35"/>
      <c r="AG341" s="35"/>
      <c r="AH341" s="35"/>
      <c r="AI341" s="35"/>
      <c r="AJ341" s="35"/>
      <c r="AK341" s="35"/>
      <c r="AL341" s="36"/>
      <c r="AM341" s="36"/>
      <c r="AN341" s="36"/>
      <c r="AO341" s="36"/>
      <c r="AP341" s="36"/>
      <c r="AQ341" s="36"/>
      <c r="AR341" s="36"/>
      <c r="AS341" s="35"/>
      <c r="AT341" s="35"/>
      <c r="AU341" s="35"/>
      <c r="AV341" s="35"/>
      <c r="AW341" s="35"/>
      <c r="AX341" s="35"/>
      <c r="AY341" s="35"/>
      <c r="AZ341" s="35"/>
      <c r="BA341" s="35"/>
      <c r="BB341" s="35"/>
      <c r="BC341" s="35"/>
      <c r="BD341" s="35"/>
      <c r="BE341" s="35"/>
      <c r="BF341" s="35"/>
      <c r="BG341" s="35"/>
      <c r="BH341" s="35"/>
      <c r="BI341" s="35"/>
      <c r="BJ341" s="35"/>
      <c r="BK341" s="35"/>
      <c r="BL341" s="35"/>
      <c r="BM341" s="35"/>
      <c r="BN341" s="35"/>
      <c r="BO341" s="35"/>
      <c r="BP341" s="35"/>
      <c r="BQ341" s="35"/>
      <c r="BR341" s="35"/>
      <c r="BS341" s="35"/>
      <c r="BT341" s="35"/>
      <c r="BU341" s="35"/>
      <c r="BV341" s="35"/>
      <c r="BW341" s="35"/>
      <c r="BX341" s="35"/>
      <c r="BY341" s="35"/>
      <c r="BZ341" s="35"/>
      <c r="CA341" s="35"/>
      <c r="CB341" s="35"/>
      <c r="CC341" s="35"/>
      <c r="CD341" s="35"/>
      <c r="CE341" s="35"/>
      <c r="CF341" s="35"/>
      <c r="CG341" s="35"/>
      <c r="CH341" s="35"/>
      <c r="CI341" s="35"/>
      <c r="CJ341" s="35"/>
      <c r="CK341" s="35"/>
      <c r="CL341" s="35"/>
      <c r="CM341" s="35"/>
      <c r="CN341" s="35"/>
      <c r="CO341" s="35"/>
      <c r="CP341" s="35"/>
      <c r="CQ341" s="35"/>
      <c r="CR341" s="35"/>
      <c r="CS341" s="35"/>
      <c r="CT341" s="36"/>
      <c r="CU341" s="35"/>
      <c r="CV341" s="35"/>
      <c r="CW341" s="35"/>
      <c r="CX341" s="35"/>
      <c r="CY341" s="35"/>
      <c r="CZ341" s="36"/>
      <c r="DA341" s="36"/>
      <c r="DB341" s="35"/>
      <c r="DC341" s="35"/>
      <c r="DD341" s="35"/>
      <c r="DE341" s="35"/>
      <c r="DF341" s="35"/>
      <c r="DG341" s="35"/>
      <c r="DH341" s="35"/>
      <c r="DI341" s="35"/>
      <c r="DJ341" s="35"/>
      <c r="DK341" s="35"/>
      <c r="DL341" s="35"/>
      <c r="DM341" s="35"/>
      <c r="DN341" s="35"/>
      <c r="DO341" s="35"/>
      <c r="DP341" s="35"/>
      <c r="DQ341" s="35"/>
      <c r="DR341" s="35"/>
      <c r="DS341" s="35"/>
      <c r="DT341" s="35"/>
      <c r="DU341" s="35"/>
      <c r="DV341" s="35"/>
      <c r="DW341" s="35"/>
      <c r="DX341" s="35"/>
      <c r="DY341" s="35"/>
      <c r="DZ341" s="36"/>
      <c r="EA341" s="35"/>
      <c r="EB341" s="35"/>
      <c r="EC341" s="35"/>
      <c r="ED341" s="35"/>
      <c r="EE341" s="35"/>
      <c r="EF341" s="35"/>
      <c r="EG341" s="35"/>
      <c r="EH341" s="35"/>
      <c r="EI341" s="35"/>
      <c r="EJ341" s="35"/>
      <c r="EK341" s="35"/>
      <c r="EL341" s="35"/>
      <c r="EM341" s="35"/>
      <c r="EN341" s="35"/>
      <c r="EO341" s="35"/>
      <c r="EP341" s="35"/>
      <c r="EQ341" s="35"/>
      <c r="ER341" s="35"/>
      <c r="ES341" s="35"/>
      <c r="ET341" s="35"/>
      <c r="EU341" s="35"/>
      <c r="EV341" s="35"/>
      <c r="EW341" s="35"/>
      <c r="EX341" s="35"/>
      <c r="EY341" s="36"/>
      <c r="EZ341" s="35"/>
      <c r="FA341" s="35"/>
      <c r="FB341" s="35"/>
      <c r="FC341" s="35"/>
      <c r="FD341" s="35"/>
      <c r="FE341" s="35"/>
      <c r="FF341" s="35"/>
      <c r="FG341" s="35"/>
      <c r="FH341" s="35"/>
      <c r="FI341" s="35"/>
      <c r="FJ341" s="35"/>
      <c r="FK341" s="35"/>
      <c r="FL341" s="35"/>
      <c r="FM341" s="35"/>
      <c r="FN341" s="35"/>
      <c r="FO341" s="35"/>
      <c r="FP341" s="35"/>
      <c r="FQ341" s="52"/>
      <c r="FS341" s="9" t="s">
        <v>13</v>
      </c>
      <c r="FT341" s="9" t="str">
        <f t="shared" si="6597"/>
        <v>12. FDS Release 4 12.2 FDS Release 4 - Business Familiarisation with RDS/CDS/Sandpit</v>
      </c>
    </row>
    <row r="342" spans="1:176" ht="12" customHeight="1" collapsed="1">
      <c r="A342" s="119" t="s">
        <v>110</v>
      </c>
      <c r="B342" s="127"/>
      <c r="C342" s="128" t="str">
        <f>ROUND(SUM(E342:FQ342),0) &amp; " days"</f>
        <v>1 days</v>
      </c>
      <c r="D342" s="37"/>
      <c r="E342" s="91">
        <f t="shared" ref="E342" si="6767">IF(SUBTOTAL(9,E343:E347)&gt;0,SUBTOTAL(9,E343:E347),"")</f>
        <v>0.1</v>
      </c>
      <c r="F342" s="34">
        <f t="shared" ref="F342" si="6768">IF(SUBTOTAL(9,F343:F347)&gt;0,SUBTOTAL(9,F343:F347),"")</f>
        <v>0.1</v>
      </c>
      <c r="G342" s="34">
        <f t="shared" ref="G342" si="6769">IF(SUBTOTAL(9,G343:G347)&gt;0,SUBTOTAL(9,G343:G347),"")</f>
        <v>0.1</v>
      </c>
      <c r="H342" s="34">
        <f t="shared" ref="H342" si="6770">IF(SUBTOTAL(9,H343:H347)&gt;0,SUBTOTAL(9,H343:H347),"")</f>
        <v>0.1</v>
      </c>
      <c r="I342" s="34">
        <f t="shared" ref="I342" si="6771">IF(SUBTOTAL(9,I343:I347)&gt;0,SUBTOTAL(9,I343:I347),"")</f>
        <v>0.1</v>
      </c>
      <c r="J342" s="34" t="str">
        <f t="shared" ref="J342" si="6772">IF(SUBTOTAL(9,J343:J347)&gt;0,SUBTOTAL(9,J343:J347),"")</f>
        <v/>
      </c>
      <c r="K342" s="34" t="str">
        <f t="shared" ref="K342" si="6773">IF(SUBTOTAL(9,K343:K347)&gt;0,SUBTOTAL(9,K343:K347),"")</f>
        <v/>
      </c>
      <c r="L342" s="34" t="str">
        <f t="shared" ref="L342" si="6774">IF(SUBTOTAL(9,L343:L347)&gt;0,SUBTOTAL(9,L343:L347),"")</f>
        <v/>
      </c>
      <c r="M342" s="34" t="str">
        <f t="shared" ref="M342" si="6775">IF(SUBTOTAL(9,M343:M347)&gt;0,SUBTOTAL(9,M343:M347),"")</f>
        <v/>
      </c>
      <c r="N342" s="34" t="str">
        <f t="shared" ref="N342" si="6776">IF(SUBTOTAL(9,N343:N347)&gt;0,SUBTOTAL(9,N343:N347),"")</f>
        <v/>
      </c>
      <c r="O342" s="34" t="str">
        <f t="shared" ref="O342" si="6777">IF(SUBTOTAL(9,O343:O347)&gt;0,SUBTOTAL(9,O343:O347),"")</f>
        <v/>
      </c>
      <c r="P342" s="34" t="str">
        <f t="shared" ref="P342" si="6778">IF(SUBTOTAL(9,P343:P347)&gt;0,SUBTOTAL(9,P343:P347),"")</f>
        <v/>
      </c>
      <c r="Q342" s="34" t="str">
        <f t="shared" ref="Q342" si="6779">IF(SUBTOTAL(9,Q343:Q347)&gt;0,SUBTOTAL(9,Q343:Q347),"")</f>
        <v/>
      </c>
      <c r="R342" s="34" t="str">
        <f t="shared" ref="R342" si="6780">IF(SUBTOTAL(9,R343:R347)&gt;0,SUBTOTAL(9,R343:R347),"")</f>
        <v/>
      </c>
      <c r="S342" s="34" t="str">
        <f t="shared" ref="S342" si="6781">IF(SUBTOTAL(9,S343:S347)&gt;0,SUBTOTAL(9,S343:S347),"")</f>
        <v/>
      </c>
      <c r="T342" s="34" t="str">
        <f t="shared" ref="T342" si="6782">IF(SUBTOTAL(9,T343:T347)&gt;0,SUBTOTAL(9,T343:T347),"")</f>
        <v/>
      </c>
      <c r="U342" s="34" t="str">
        <f t="shared" ref="U342" si="6783">IF(SUBTOTAL(9,U343:U347)&gt;0,SUBTOTAL(9,U343:U347),"")</f>
        <v/>
      </c>
      <c r="V342" s="34" t="str">
        <f t="shared" ref="V342" si="6784">IF(SUBTOTAL(9,V343:V347)&gt;0,SUBTOTAL(9,V343:V347),"")</f>
        <v/>
      </c>
      <c r="W342" s="34" t="str">
        <f t="shared" ref="W342" si="6785">IF(SUBTOTAL(9,W343:W347)&gt;0,SUBTOTAL(9,W343:W347),"")</f>
        <v/>
      </c>
      <c r="X342" s="34" t="str">
        <f t="shared" ref="X342" si="6786">IF(SUBTOTAL(9,X343:X347)&gt;0,SUBTOTAL(9,X343:X347),"")</f>
        <v/>
      </c>
      <c r="Y342" s="34" t="str">
        <f t="shared" ref="Y342" si="6787">IF(SUBTOTAL(9,Y343:Y347)&gt;0,SUBTOTAL(9,Y343:Y347),"")</f>
        <v/>
      </c>
      <c r="Z342" s="34" t="str">
        <f t="shared" ref="Z342" si="6788">IF(SUBTOTAL(9,Z343:Z347)&gt;0,SUBTOTAL(9,Z343:Z347),"")</f>
        <v/>
      </c>
      <c r="AA342" s="34" t="str">
        <f t="shared" ref="AA342" si="6789">IF(SUBTOTAL(9,AA343:AA347)&gt;0,SUBTOTAL(9,AA343:AA347),"")</f>
        <v/>
      </c>
      <c r="AB342" s="34" t="str">
        <f t="shared" ref="AB342" si="6790">IF(SUBTOTAL(9,AB343:AB347)&gt;0,SUBTOTAL(9,AB343:AB347),"")</f>
        <v/>
      </c>
      <c r="AC342" s="34" t="str">
        <f t="shared" ref="AC342" si="6791">IF(SUBTOTAL(9,AC343:AC347)&gt;0,SUBTOTAL(9,AC343:AC347),"")</f>
        <v/>
      </c>
      <c r="AD342" s="34" t="str">
        <f t="shared" ref="AD342" si="6792">IF(SUBTOTAL(9,AD343:AD347)&gt;0,SUBTOTAL(9,AD343:AD347),"")</f>
        <v/>
      </c>
      <c r="AE342" s="34" t="str">
        <f t="shared" ref="AE342" si="6793">IF(SUBTOTAL(9,AE343:AE347)&gt;0,SUBTOTAL(9,AE343:AE347),"")</f>
        <v/>
      </c>
      <c r="AF342" s="34" t="str">
        <f t="shared" ref="AF342" si="6794">IF(SUBTOTAL(9,AF343:AF347)&gt;0,SUBTOTAL(9,AF343:AF347),"")</f>
        <v/>
      </c>
      <c r="AG342" s="34" t="str">
        <f t="shared" ref="AG342" si="6795">IF(SUBTOTAL(9,AG343:AG347)&gt;0,SUBTOTAL(9,AG343:AG347),"")</f>
        <v/>
      </c>
      <c r="AH342" s="34" t="str">
        <f t="shared" ref="AH342" si="6796">IF(SUBTOTAL(9,AH343:AH347)&gt;0,SUBTOTAL(9,AH343:AH347),"")</f>
        <v/>
      </c>
      <c r="AI342" s="34" t="str">
        <f t="shared" ref="AI342" si="6797">IF(SUBTOTAL(9,AI343:AI347)&gt;0,SUBTOTAL(9,AI343:AI347),"")</f>
        <v/>
      </c>
      <c r="AJ342" s="34" t="str">
        <f t="shared" ref="AJ342" si="6798">IF(SUBTOTAL(9,AJ343:AJ347)&gt;0,SUBTOTAL(9,AJ343:AJ347),"")</f>
        <v/>
      </c>
      <c r="AK342" s="34" t="str">
        <f t="shared" ref="AK342" si="6799">IF(SUBTOTAL(9,AK343:AK347)&gt;0,SUBTOTAL(9,AK343:AK347),"")</f>
        <v/>
      </c>
      <c r="AL342" s="33" t="str">
        <f t="shared" ref="AL342" si="6800">IF(SUBTOTAL(9,AL343:AL347)&gt;0,SUBTOTAL(9,AL343:AL347),"")</f>
        <v/>
      </c>
      <c r="AM342" s="33" t="str">
        <f t="shared" ref="AM342" si="6801">IF(SUBTOTAL(9,AM343:AM347)&gt;0,SUBTOTAL(9,AM343:AM347),"")</f>
        <v/>
      </c>
      <c r="AN342" s="33" t="str">
        <f t="shared" ref="AN342" si="6802">IF(SUBTOTAL(9,AN343:AN347)&gt;0,SUBTOTAL(9,AN343:AN347),"")</f>
        <v/>
      </c>
      <c r="AO342" s="33" t="str">
        <f t="shared" ref="AO342" si="6803">IF(SUBTOTAL(9,AO343:AO347)&gt;0,SUBTOTAL(9,AO343:AO347),"")</f>
        <v/>
      </c>
      <c r="AP342" s="33" t="str">
        <f t="shared" ref="AP342" si="6804">IF(SUBTOTAL(9,AP343:AP347)&gt;0,SUBTOTAL(9,AP343:AP347),"")</f>
        <v/>
      </c>
      <c r="AQ342" s="33" t="str">
        <f t="shared" ref="AQ342" si="6805">IF(SUBTOTAL(9,AQ343:AQ347)&gt;0,SUBTOTAL(9,AQ343:AQ347),"")</f>
        <v/>
      </c>
      <c r="AR342" s="33" t="str">
        <f t="shared" ref="AR342" si="6806">IF(SUBTOTAL(9,AR343:AR347)&gt;0,SUBTOTAL(9,AR343:AR347),"")</f>
        <v/>
      </c>
      <c r="AS342" s="34" t="str">
        <f t="shared" ref="AS342" si="6807">IF(SUBTOTAL(9,AS343:AS347)&gt;0,SUBTOTAL(9,AS343:AS347),"")</f>
        <v/>
      </c>
      <c r="AT342" s="34" t="str">
        <f t="shared" ref="AT342" si="6808">IF(SUBTOTAL(9,AT343:AT347)&gt;0,SUBTOTAL(9,AT343:AT347),"")</f>
        <v/>
      </c>
      <c r="AU342" s="34" t="str">
        <f t="shared" ref="AU342" si="6809">IF(SUBTOTAL(9,AU343:AU347)&gt;0,SUBTOTAL(9,AU343:AU347),"")</f>
        <v/>
      </c>
      <c r="AV342" s="34" t="str">
        <f t="shared" ref="AV342" si="6810">IF(SUBTOTAL(9,AV343:AV347)&gt;0,SUBTOTAL(9,AV343:AV347),"")</f>
        <v/>
      </c>
      <c r="AW342" s="34" t="str">
        <f t="shared" ref="AW342" si="6811">IF(SUBTOTAL(9,AW343:AW347)&gt;0,SUBTOTAL(9,AW343:AW347),"")</f>
        <v/>
      </c>
      <c r="AX342" s="34" t="str">
        <f t="shared" ref="AX342" si="6812">IF(SUBTOTAL(9,AX343:AX347)&gt;0,SUBTOTAL(9,AX343:AX347),"")</f>
        <v/>
      </c>
      <c r="AY342" s="34" t="str">
        <f t="shared" ref="AY342" si="6813">IF(SUBTOTAL(9,AY343:AY347)&gt;0,SUBTOTAL(9,AY343:AY347),"")</f>
        <v/>
      </c>
      <c r="AZ342" s="34" t="str">
        <f t="shared" ref="AZ342" si="6814">IF(SUBTOTAL(9,AZ343:AZ347)&gt;0,SUBTOTAL(9,AZ343:AZ347),"")</f>
        <v/>
      </c>
      <c r="BA342" s="34" t="str">
        <f t="shared" ref="BA342" si="6815">IF(SUBTOTAL(9,BA343:BA347)&gt;0,SUBTOTAL(9,BA343:BA347),"")</f>
        <v/>
      </c>
      <c r="BB342" s="34" t="str">
        <f t="shared" ref="BB342" si="6816">IF(SUBTOTAL(9,BB343:BB347)&gt;0,SUBTOTAL(9,BB343:BB347),"")</f>
        <v/>
      </c>
      <c r="BC342" s="34" t="str">
        <f t="shared" ref="BC342" si="6817">IF(SUBTOTAL(9,BC343:BC347)&gt;0,SUBTOTAL(9,BC343:BC347),"")</f>
        <v/>
      </c>
      <c r="BD342" s="34" t="str">
        <f t="shared" ref="BD342" si="6818">IF(SUBTOTAL(9,BD343:BD347)&gt;0,SUBTOTAL(9,BD343:BD347),"")</f>
        <v/>
      </c>
      <c r="BE342" s="34" t="str">
        <f t="shared" ref="BE342" si="6819">IF(SUBTOTAL(9,BE343:BE347)&gt;0,SUBTOTAL(9,BE343:BE347),"")</f>
        <v/>
      </c>
      <c r="BF342" s="34" t="str">
        <f t="shared" ref="BF342" si="6820">IF(SUBTOTAL(9,BF343:BF347)&gt;0,SUBTOTAL(9,BF343:BF347),"")</f>
        <v/>
      </c>
      <c r="BG342" s="34" t="str">
        <f t="shared" ref="BG342" si="6821">IF(SUBTOTAL(9,BG343:BG347)&gt;0,SUBTOTAL(9,BG343:BG347),"")</f>
        <v/>
      </c>
      <c r="BH342" s="34" t="str">
        <f t="shared" ref="BH342" si="6822">IF(SUBTOTAL(9,BH343:BH347)&gt;0,SUBTOTAL(9,BH343:BH347),"")</f>
        <v/>
      </c>
      <c r="BI342" s="34" t="str">
        <f t="shared" ref="BI342" si="6823">IF(SUBTOTAL(9,BI343:BI347)&gt;0,SUBTOTAL(9,BI343:BI347),"")</f>
        <v/>
      </c>
      <c r="BJ342" s="34" t="str">
        <f t="shared" ref="BJ342" si="6824">IF(SUBTOTAL(9,BJ343:BJ347)&gt;0,SUBTOTAL(9,BJ343:BJ347),"")</f>
        <v/>
      </c>
      <c r="BK342" s="34" t="str">
        <f t="shared" ref="BK342" si="6825">IF(SUBTOTAL(9,BK343:BK347)&gt;0,SUBTOTAL(9,BK343:BK347),"")</f>
        <v/>
      </c>
      <c r="BL342" s="34" t="str">
        <f t="shared" ref="BL342" si="6826">IF(SUBTOTAL(9,BL343:BL347)&gt;0,SUBTOTAL(9,BL343:BL347),"")</f>
        <v/>
      </c>
      <c r="BM342" s="34" t="str">
        <f t="shared" ref="BM342" si="6827">IF(SUBTOTAL(9,BM343:BM347)&gt;0,SUBTOTAL(9,BM343:BM347),"")</f>
        <v/>
      </c>
      <c r="BN342" s="34" t="str">
        <f t="shared" ref="BN342" si="6828">IF(SUBTOTAL(9,BN343:BN347)&gt;0,SUBTOTAL(9,BN343:BN347),"")</f>
        <v/>
      </c>
      <c r="BO342" s="34" t="str">
        <f t="shared" ref="BO342" si="6829">IF(SUBTOTAL(9,BO343:BO347)&gt;0,SUBTOTAL(9,BO343:BO347),"")</f>
        <v/>
      </c>
      <c r="BP342" s="34" t="str">
        <f t="shared" ref="BP342" si="6830">IF(SUBTOTAL(9,BP343:BP347)&gt;0,SUBTOTAL(9,BP343:BP347),"")</f>
        <v/>
      </c>
      <c r="BQ342" s="34" t="str">
        <f t="shared" ref="BQ342" si="6831">IF(SUBTOTAL(9,BQ343:BQ347)&gt;0,SUBTOTAL(9,BQ343:BQ347),"")</f>
        <v/>
      </c>
      <c r="BR342" s="34" t="str">
        <f t="shared" ref="BR342" si="6832">IF(SUBTOTAL(9,BR343:BR347)&gt;0,SUBTOTAL(9,BR343:BR347),"")</f>
        <v/>
      </c>
      <c r="BS342" s="34" t="str">
        <f t="shared" ref="BS342" si="6833">IF(SUBTOTAL(9,BS343:BS347)&gt;0,SUBTOTAL(9,BS343:BS347),"")</f>
        <v/>
      </c>
      <c r="BT342" s="34" t="str">
        <f t="shared" ref="BT342" si="6834">IF(SUBTOTAL(9,BT343:BT347)&gt;0,SUBTOTAL(9,BT343:BT347),"")</f>
        <v/>
      </c>
      <c r="BU342" s="34" t="str">
        <f t="shared" ref="BU342" si="6835">IF(SUBTOTAL(9,BU343:BU347)&gt;0,SUBTOTAL(9,BU343:BU347),"")</f>
        <v/>
      </c>
      <c r="BV342" s="34" t="str">
        <f t="shared" ref="BV342" si="6836">IF(SUBTOTAL(9,BV343:BV347)&gt;0,SUBTOTAL(9,BV343:BV347),"")</f>
        <v/>
      </c>
      <c r="BW342" s="34" t="str">
        <f t="shared" ref="BW342" si="6837">IF(SUBTOTAL(9,BW343:BW347)&gt;0,SUBTOTAL(9,BW343:BW347),"")</f>
        <v/>
      </c>
      <c r="BX342" s="34" t="str">
        <f t="shared" ref="BX342" si="6838">IF(SUBTOTAL(9,BX343:BX347)&gt;0,SUBTOTAL(9,BX343:BX347),"")</f>
        <v/>
      </c>
      <c r="BY342" s="34" t="str">
        <f t="shared" ref="BY342" si="6839">IF(SUBTOTAL(9,BY343:BY347)&gt;0,SUBTOTAL(9,BY343:BY347),"")</f>
        <v/>
      </c>
      <c r="BZ342" s="34" t="str">
        <f t="shared" ref="BZ342" si="6840">IF(SUBTOTAL(9,BZ343:BZ347)&gt;0,SUBTOTAL(9,BZ343:BZ347),"")</f>
        <v/>
      </c>
      <c r="CA342" s="34" t="str">
        <f t="shared" ref="CA342" si="6841">IF(SUBTOTAL(9,CA343:CA347)&gt;0,SUBTOTAL(9,CA343:CA347),"")</f>
        <v/>
      </c>
      <c r="CB342" s="34" t="str">
        <f t="shared" ref="CB342" si="6842">IF(SUBTOTAL(9,CB343:CB347)&gt;0,SUBTOTAL(9,CB343:CB347),"")</f>
        <v/>
      </c>
      <c r="CC342" s="34" t="str">
        <f t="shared" ref="CC342" si="6843">IF(SUBTOTAL(9,CC343:CC347)&gt;0,SUBTOTAL(9,CC343:CC347),"")</f>
        <v/>
      </c>
      <c r="CD342" s="34" t="str">
        <f t="shared" ref="CD342" si="6844">IF(SUBTOTAL(9,CD343:CD347)&gt;0,SUBTOTAL(9,CD343:CD347),"")</f>
        <v/>
      </c>
      <c r="CE342" s="34" t="str">
        <f t="shared" ref="CE342" si="6845">IF(SUBTOTAL(9,CE343:CE347)&gt;0,SUBTOTAL(9,CE343:CE347),"")</f>
        <v/>
      </c>
      <c r="CF342" s="34" t="str">
        <f t="shared" ref="CF342:CG342" si="6846">IF(SUBTOTAL(9,CF343:CF347)&gt;0,SUBTOTAL(9,CF343:CF347),"")</f>
        <v/>
      </c>
      <c r="CG342" s="34" t="str">
        <f t="shared" si="6846"/>
        <v/>
      </c>
      <c r="CH342" s="34" t="str">
        <f t="shared" ref="CH342" si="6847">IF(SUBTOTAL(9,CH343:CH347)&gt;0,SUBTOTAL(9,CH343:CH347),"")</f>
        <v/>
      </c>
      <c r="CI342" s="34" t="str">
        <f t="shared" ref="CI342" si="6848">IF(SUBTOTAL(9,CI343:CI347)&gt;0,SUBTOTAL(9,CI343:CI347),"")</f>
        <v/>
      </c>
      <c r="CJ342" s="34" t="str">
        <f t="shared" ref="CJ342" si="6849">IF(SUBTOTAL(9,CJ343:CJ347)&gt;0,SUBTOTAL(9,CJ343:CJ347),"")</f>
        <v/>
      </c>
      <c r="CK342" s="34" t="str">
        <f t="shared" ref="CK342" si="6850">IF(SUBTOTAL(9,CK343:CK347)&gt;0,SUBTOTAL(9,CK343:CK347),"")</f>
        <v/>
      </c>
      <c r="CL342" s="34" t="str">
        <f t="shared" ref="CL342" si="6851">IF(SUBTOTAL(9,CL343:CL347)&gt;0,SUBTOTAL(9,CL343:CL347),"")</f>
        <v/>
      </c>
      <c r="CM342" s="34" t="str">
        <f t="shared" ref="CM342" si="6852">IF(SUBTOTAL(9,CM343:CM347)&gt;0,SUBTOTAL(9,CM343:CM347),"")</f>
        <v/>
      </c>
      <c r="CN342" s="34" t="str">
        <f t="shared" ref="CN342" si="6853">IF(SUBTOTAL(9,CN343:CN347)&gt;0,SUBTOTAL(9,CN343:CN347),"")</f>
        <v/>
      </c>
      <c r="CO342" s="34" t="str">
        <f t="shared" ref="CO342" si="6854">IF(SUBTOTAL(9,CO343:CO347)&gt;0,SUBTOTAL(9,CO343:CO347),"")</f>
        <v/>
      </c>
      <c r="CP342" s="34" t="str">
        <f t="shared" ref="CP342" si="6855">IF(SUBTOTAL(9,CP343:CP347)&gt;0,SUBTOTAL(9,CP343:CP347),"")</f>
        <v/>
      </c>
      <c r="CQ342" s="34" t="str">
        <f t="shared" ref="CQ342" si="6856">IF(SUBTOTAL(9,CQ343:CQ347)&gt;0,SUBTOTAL(9,CQ343:CQ347),"")</f>
        <v/>
      </c>
      <c r="CR342" s="34" t="str">
        <f t="shared" ref="CR342" si="6857">IF(SUBTOTAL(9,CR343:CR347)&gt;0,SUBTOTAL(9,CR343:CR347),"")</f>
        <v/>
      </c>
      <c r="CS342" s="34" t="str">
        <f t="shared" ref="CS342" si="6858">IF(SUBTOTAL(9,CS343:CS347)&gt;0,SUBTOTAL(9,CS343:CS347),"")</f>
        <v/>
      </c>
      <c r="CT342" s="33" t="str">
        <f t="shared" ref="CT342" si="6859">IF(SUBTOTAL(9,CT343:CT347)&gt;0,SUBTOTAL(9,CT343:CT347),"")</f>
        <v/>
      </c>
      <c r="CU342" s="34" t="str">
        <f t="shared" ref="CU342" si="6860">IF(SUBTOTAL(9,CU343:CU347)&gt;0,SUBTOTAL(9,CU343:CU347),"")</f>
        <v/>
      </c>
      <c r="CV342" s="34" t="str">
        <f t="shared" ref="CV342" si="6861">IF(SUBTOTAL(9,CV343:CV347)&gt;0,SUBTOTAL(9,CV343:CV347),"")</f>
        <v/>
      </c>
      <c r="CW342" s="34" t="str">
        <f t="shared" ref="CW342" si="6862">IF(SUBTOTAL(9,CW343:CW347)&gt;0,SUBTOTAL(9,CW343:CW347),"")</f>
        <v/>
      </c>
      <c r="CX342" s="34" t="str">
        <f t="shared" ref="CX342" si="6863">IF(SUBTOTAL(9,CX343:CX347)&gt;0,SUBTOTAL(9,CX343:CX347),"")</f>
        <v/>
      </c>
      <c r="CY342" s="34" t="str">
        <f t="shared" ref="CY342" si="6864">IF(SUBTOTAL(9,CY343:CY347)&gt;0,SUBTOTAL(9,CY343:CY347),"")</f>
        <v/>
      </c>
      <c r="CZ342" s="33" t="str">
        <f t="shared" ref="CZ342" si="6865">IF(SUBTOTAL(9,CZ343:CZ347)&gt;0,SUBTOTAL(9,CZ343:CZ347),"")</f>
        <v/>
      </c>
      <c r="DA342" s="33" t="str">
        <f t="shared" ref="DA342" si="6866">IF(SUBTOTAL(9,DA343:DA347)&gt;0,SUBTOTAL(9,DA343:DA347),"")</f>
        <v/>
      </c>
      <c r="DB342" s="34" t="str">
        <f t="shared" ref="DB342" si="6867">IF(SUBTOTAL(9,DB343:DB347)&gt;0,SUBTOTAL(9,DB343:DB347),"")</f>
        <v/>
      </c>
      <c r="DC342" s="34" t="str">
        <f t="shared" ref="DC342" si="6868">IF(SUBTOTAL(9,DC343:DC347)&gt;0,SUBTOTAL(9,DC343:DC347),"")</f>
        <v/>
      </c>
      <c r="DD342" s="34" t="str">
        <f t="shared" ref="DD342" si="6869">IF(SUBTOTAL(9,DD343:DD347)&gt;0,SUBTOTAL(9,DD343:DD347),"")</f>
        <v/>
      </c>
      <c r="DE342" s="34" t="str">
        <f t="shared" ref="DE342" si="6870">IF(SUBTOTAL(9,DE343:DE347)&gt;0,SUBTOTAL(9,DE343:DE347),"")</f>
        <v/>
      </c>
      <c r="DF342" s="34" t="str">
        <f t="shared" ref="DF342" si="6871">IF(SUBTOTAL(9,DF343:DF347)&gt;0,SUBTOTAL(9,DF343:DF347),"")</f>
        <v/>
      </c>
      <c r="DG342" s="34" t="str">
        <f t="shared" ref="DG342" si="6872">IF(SUBTOTAL(9,DG343:DG347)&gt;0,SUBTOTAL(9,DG343:DG347),"")</f>
        <v/>
      </c>
      <c r="DH342" s="34" t="str">
        <f t="shared" ref="DH342" si="6873">IF(SUBTOTAL(9,DH343:DH347)&gt;0,SUBTOTAL(9,DH343:DH347),"")</f>
        <v/>
      </c>
      <c r="DI342" s="34" t="str">
        <f t="shared" ref="DI342" si="6874">IF(SUBTOTAL(9,DI343:DI347)&gt;0,SUBTOTAL(9,DI343:DI347),"")</f>
        <v/>
      </c>
      <c r="DJ342" s="34" t="str">
        <f t="shared" ref="DJ342" si="6875">IF(SUBTOTAL(9,DJ343:DJ347)&gt;0,SUBTOTAL(9,DJ343:DJ347),"")</f>
        <v/>
      </c>
      <c r="DK342" s="34" t="str">
        <f t="shared" ref="DK342" si="6876">IF(SUBTOTAL(9,DK343:DK347)&gt;0,SUBTOTAL(9,DK343:DK347),"")</f>
        <v/>
      </c>
      <c r="DL342" s="34" t="str">
        <f t="shared" ref="DL342" si="6877">IF(SUBTOTAL(9,DL343:DL347)&gt;0,SUBTOTAL(9,DL343:DL347),"")</f>
        <v/>
      </c>
      <c r="DM342" s="34" t="str">
        <f t="shared" ref="DM342" si="6878">IF(SUBTOTAL(9,DM343:DM347)&gt;0,SUBTOTAL(9,DM343:DM347),"")</f>
        <v/>
      </c>
      <c r="DN342" s="34" t="str">
        <f t="shared" ref="DN342" si="6879">IF(SUBTOTAL(9,DN343:DN347)&gt;0,SUBTOTAL(9,DN343:DN347),"")</f>
        <v/>
      </c>
      <c r="DO342" s="34" t="str">
        <f t="shared" ref="DO342" si="6880">IF(SUBTOTAL(9,DO343:DO347)&gt;0,SUBTOTAL(9,DO343:DO347),"")</f>
        <v/>
      </c>
      <c r="DP342" s="34" t="str">
        <f t="shared" ref="DP342" si="6881">IF(SUBTOTAL(9,DP343:DP347)&gt;0,SUBTOTAL(9,DP343:DP347),"")</f>
        <v/>
      </c>
      <c r="DQ342" s="34" t="str">
        <f t="shared" ref="DQ342" si="6882">IF(SUBTOTAL(9,DQ343:DQ347)&gt;0,SUBTOTAL(9,DQ343:DQ347),"")</f>
        <v/>
      </c>
      <c r="DR342" s="34" t="str">
        <f t="shared" ref="DR342" si="6883">IF(SUBTOTAL(9,DR343:DR347)&gt;0,SUBTOTAL(9,DR343:DR347),"")</f>
        <v/>
      </c>
      <c r="DS342" s="34" t="str">
        <f t="shared" ref="DS342" si="6884">IF(SUBTOTAL(9,DS343:DS347)&gt;0,SUBTOTAL(9,DS343:DS347),"")</f>
        <v/>
      </c>
      <c r="DT342" s="34" t="str">
        <f t="shared" ref="DT342" si="6885">IF(SUBTOTAL(9,DT343:DT347)&gt;0,SUBTOTAL(9,DT343:DT347),"")</f>
        <v/>
      </c>
      <c r="DU342" s="34" t="str">
        <f t="shared" ref="DU342" si="6886">IF(SUBTOTAL(9,DU343:DU347)&gt;0,SUBTOTAL(9,DU343:DU347),"")</f>
        <v/>
      </c>
      <c r="DV342" s="34" t="str">
        <f t="shared" ref="DV342" si="6887">IF(SUBTOTAL(9,DV343:DV347)&gt;0,SUBTOTAL(9,DV343:DV347),"")</f>
        <v/>
      </c>
      <c r="DW342" s="34" t="str">
        <f t="shared" ref="DW342" si="6888">IF(SUBTOTAL(9,DW343:DW347)&gt;0,SUBTOTAL(9,DW343:DW347),"")</f>
        <v/>
      </c>
      <c r="DX342" s="34" t="str">
        <f t="shared" ref="DX342" si="6889">IF(SUBTOTAL(9,DX343:DX347)&gt;0,SUBTOTAL(9,DX343:DX347),"")</f>
        <v/>
      </c>
      <c r="DY342" s="34" t="str">
        <f t="shared" ref="DY342" si="6890">IF(SUBTOTAL(9,DY343:DY347)&gt;0,SUBTOTAL(9,DY343:DY347),"")</f>
        <v/>
      </c>
      <c r="DZ342" s="33" t="str">
        <f t="shared" ref="DZ342" si="6891">IF(SUBTOTAL(9,DZ343:DZ347)&gt;0,SUBTOTAL(9,DZ343:DZ347),"")</f>
        <v/>
      </c>
      <c r="EA342" s="34" t="str">
        <f t="shared" ref="EA342" si="6892">IF(SUBTOTAL(9,EA343:EA347)&gt;0,SUBTOTAL(9,EA343:EA347),"")</f>
        <v/>
      </c>
      <c r="EB342" s="34" t="str">
        <f t="shared" ref="EB342" si="6893">IF(SUBTOTAL(9,EB343:EB347)&gt;0,SUBTOTAL(9,EB343:EB347),"")</f>
        <v/>
      </c>
      <c r="EC342" s="34" t="str">
        <f t="shared" ref="EC342" si="6894">IF(SUBTOTAL(9,EC343:EC347)&gt;0,SUBTOTAL(9,EC343:EC347),"")</f>
        <v/>
      </c>
      <c r="ED342" s="34" t="str">
        <f t="shared" ref="ED342" si="6895">IF(SUBTOTAL(9,ED343:ED347)&gt;0,SUBTOTAL(9,ED343:ED347),"")</f>
        <v/>
      </c>
      <c r="EE342" s="34" t="str">
        <f t="shared" ref="EE342" si="6896">IF(SUBTOTAL(9,EE343:EE347)&gt;0,SUBTOTAL(9,EE343:EE347),"")</f>
        <v/>
      </c>
      <c r="EF342" s="34" t="str">
        <f t="shared" ref="EF342" si="6897">IF(SUBTOTAL(9,EF343:EF347)&gt;0,SUBTOTAL(9,EF343:EF347),"")</f>
        <v/>
      </c>
      <c r="EG342" s="34" t="str">
        <f t="shared" ref="EG342" si="6898">IF(SUBTOTAL(9,EG343:EG347)&gt;0,SUBTOTAL(9,EG343:EG347),"")</f>
        <v/>
      </c>
      <c r="EH342" s="34" t="str">
        <f t="shared" ref="EH342" si="6899">IF(SUBTOTAL(9,EH343:EH347)&gt;0,SUBTOTAL(9,EH343:EH347),"")</f>
        <v/>
      </c>
      <c r="EI342" s="34" t="str">
        <f t="shared" ref="EI342" si="6900">IF(SUBTOTAL(9,EI343:EI347)&gt;0,SUBTOTAL(9,EI343:EI347),"")</f>
        <v/>
      </c>
      <c r="EJ342" s="34" t="str">
        <f t="shared" ref="EJ342" si="6901">IF(SUBTOTAL(9,EJ343:EJ347)&gt;0,SUBTOTAL(9,EJ343:EJ347),"")</f>
        <v/>
      </c>
      <c r="EK342" s="34" t="str">
        <f t="shared" ref="EK342" si="6902">IF(SUBTOTAL(9,EK343:EK347)&gt;0,SUBTOTAL(9,EK343:EK347),"")</f>
        <v/>
      </c>
      <c r="EL342" s="34" t="str">
        <f t="shared" ref="EL342" si="6903">IF(SUBTOTAL(9,EL343:EL347)&gt;0,SUBTOTAL(9,EL343:EL347),"")</f>
        <v/>
      </c>
      <c r="EM342" s="34" t="str">
        <f t="shared" ref="EM342" si="6904">IF(SUBTOTAL(9,EM343:EM347)&gt;0,SUBTOTAL(9,EM343:EM347),"")</f>
        <v/>
      </c>
      <c r="EN342" s="34" t="str">
        <f t="shared" ref="EN342" si="6905">IF(SUBTOTAL(9,EN343:EN347)&gt;0,SUBTOTAL(9,EN343:EN347),"")</f>
        <v/>
      </c>
      <c r="EO342" s="34" t="str">
        <f t="shared" ref="EO342" si="6906">IF(SUBTOTAL(9,EO343:EO347)&gt;0,SUBTOTAL(9,EO343:EO347),"")</f>
        <v/>
      </c>
      <c r="EP342" s="34" t="str">
        <f t="shared" ref="EP342" si="6907">IF(SUBTOTAL(9,EP343:EP347)&gt;0,SUBTOTAL(9,EP343:EP347),"")</f>
        <v/>
      </c>
      <c r="EQ342" s="34" t="str">
        <f t="shared" ref="EQ342" si="6908">IF(SUBTOTAL(9,EQ343:EQ347)&gt;0,SUBTOTAL(9,EQ343:EQ347),"")</f>
        <v/>
      </c>
      <c r="ER342" s="34" t="str">
        <f t="shared" ref="ER342" si="6909">IF(SUBTOTAL(9,ER343:ER347)&gt;0,SUBTOTAL(9,ER343:ER347),"")</f>
        <v/>
      </c>
      <c r="ES342" s="34" t="str">
        <f t="shared" ref="ES342" si="6910">IF(SUBTOTAL(9,ES343:ES347)&gt;0,SUBTOTAL(9,ES343:ES347),"")</f>
        <v/>
      </c>
      <c r="ET342" s="34" t="str">
        <f t="shared" ref="ET342" si="6911">IF(SUBTOTAL(9,ET343:ET347)&gt;0,SUBTOTAL(9,ET343:ET347),"")</f>
        <v/>
      </c>
      <c r="EU342" s="34" t="str">
        <f t="shared" ref="EU342" si="6912">IF(SUBTOTAL(9,EU343:EU347)&gt;0,SUBTOTAL(9,EU343:EU347),"")</f>
        <v/>
      </c>
      <c r="EV342" s="34" t="str">
        <f t="shared" ref="EV342" si="6913">IF(SUBTOTAL(9,EV343:EV347)&gt;0,SUBTOTAL(9,EV343:EV347),"")</f>
        <v/>
      </c>
      <c r="EW342" s="34" t="str">
        <f t="shared" ref="EW342" si="6914">IF(SUBTOTAL(9,EW343:EW347)&gt;0,SUBTOTAL(9,EW343:EW347),"")</f>
        <v/>
      </c>
      <c r="EX342" s="34" t="str">
        <f t="shared" ref="EX342" si="6915">IF(SUBTOTAL(9,EX343:EX347)&gt;0,SUBTOTAL(9,EX343:EX347),"")</f>
        <v/>
      </c>
      <c r="EY342" s="33" t="str">
        <f t="shared" ref="EY342" si="6916">IF(SUBTOTAL(9,EY343:EY347)&gt;0,SUBTOTAL(9,EY343:EY347),"")</f>
        <v/>
      </c>
      <c r="EZ342" s="34" t="str">
        <f t="shared" ref="EZ342" si="6917">IF(SUBTOTAL(9,EZ343:EZ347)&gt;0,SUBTOTAL(9,EZ343:EZ347),"")</f>
        <v/>
      </c>
      <c r="FA342" s="34" t="str">
        <f t="shared" ref="FA342" si="6918">IF(SUBTOTAL(9,FA343:FA347)&gt;0,SUBTOTAL(9,FA343:FA347),"")</f>
        <v/>
      </c>
      <c r="FB342" s="34" t="str">
        <f t="shared" ref="FB342" si="6919">IF(SUBTOTAL(9,FB343:FB347)&gt;0,SUBTOTAL(9,FB343:FB347),"")</f>
        <v/>
      </c>
      <c r="FC342" s="34" t="str">
        <f t="shared" ref="FC342" si="6920">IF(SUBTOTAL(9,FC343:FC347)&gt;0,SUBTOTAL(9,FC343:FC347),"")</f>
        <v/>
      </c>
      <c r="FD342" s="34" t="str">
        <f t="shared" ref="FD342" si="6921">IF(SUBTOTAL(9,FD343:FD347)&gt;0,SUBTOTAL(9,FD343:FD347),"")</f>
        <v/>
      </c>
      <c r="FE342" s="34" t="str">
        <f t="shared" ref="FE342" si="6922">IF(SUBTOTAL(9,FE343:FE347)&gt;0,SUBTOTAL(9,FE343:FE347),"")</f>
        <v/>
      </c>
      <c r="FF342" s="34" t="str">
        <f t="shared" ref="FF342" si="6923">IF(SUBTOTAL(9,FF343:FF347)&gt;0,SUBTOTAL(9,FF343:FF347),"")</f>
        <v/>
      </c>
      <c r="FG342" s="34" t="str">
        <f t="shared" ref="FG342" si="6924">IF(SUBTOTAL(9,FG343:FG347)&gt;0,SUBTOTAL(9,FG343:FG347),"")</f>
        <v/>
      </c>
      <c r="FH342" s="34" t="str">
        <f t="shared" ref="FH342" si="6925">IF(SUBTOTAL(9,FH343:FH347)&gt;0,SUBTOTAL(9,FH343:FH347),"")</f>
        <v/>
      </c>
      <c r="FI342" s="34" t="str">
        <f t="shared" ref="FI342" si="6926">IF(SUBTOTAL(9,FI343:FI347)&gt;0,SUBTOTAL(9,FI343:FI347),"")</f>
        <v/>
      </c>
      <c r="FJ342" s="34" t="str">
        <f t="shared" ref="FJ342" si="6927">IF(SUBTOTAL(9,FJ343:FJ347)&gt;0,SUBTOTAL(9,FJ343:FJ347),"")</f>
        <v/>
      </c>
      <c r="FK342" s="34" t="str">
        <f t="shared" ref="FK342" si="6928">IF(SUBTOTAL(9,FK343:FK347)&gt;0,SUBTOTAL(9,FK343:FK347),"")</f>
        <v/>
      </c>
      <c r="FL342" s="34" t="str">
        <f t="shared" ref="FL342" si="6929">IF(SUBTOTAL(9,FL343:FL347)&gt;0,SUBTOTAL(9,FL343:FL347),"")</f>
        <v/>
      </c>
      <c r="FM342" s="34" t="str">
        <f t="shared" ref="FM342" si="6930">IF(SUBTOTAL(9,FM343:FM347)&gt;0,SUBTOTAL(9,FM343:FM347),"")</f>
        <v/>
      </c>
      <c r="FN342" s="34" t="str">
        <f t="shared" ref="FN342" si="6931">IF(SUBTOTAL(9,FN343:FN347)&gt;0,SUBTOTAL(9,FN343:FN347),"")</f>
        <v/>
      </c>
      <c r="FO342" s="34" t="str">
        <f t="shared" ref="FO342" si="6932">IF(SUBTOTAL(9,FO343:FO347)&gt;0,SUBTOTAL(9,FO343:FO347),"")</f>
        <v/>
      </c>
      <c r="FP342" s="34" t="str">
        <f t="shared" ref="FP342" si="6933">IF(SUBTOTAL(9,FP343:FP347)&gt;0,SUBTOTAL(9,FP343:FP347),"")</f>
        <v/>
      </c>
      <c r="FQ342" s="92" t="str">
        <f t="shared" ref="FQ342" si="6934">IF(SUBTOTAL(9,FQ343:FQ347)&gt;0,SUBTOTAL(9,FQ343:FQ347),"")</f>
        <v/>
      </c>
      <c r="FS342" s="9" t="s">
        <v>131</v>
      </c>
      <c r="FT342" s="9" t="str">
        <f t="shared" si="6597"/>
        <v/>
      </c>
    </row>
    <row r="343" spans="1:176" ht="12" hidden="1" customHeight="1" outlineLevel="1">
      <c r="A343" s="122" t="s">
        <v>188</v>
      </c>
      <c r="B343" s="130" t="s">
        <v>10</v>
      </c>
      <c r="C343" s="131" t="str">
        <f t="shared" ref="C343:C347" si="6935">ROUND(SUM(E343:FQ343),0) &amp; " days"</f>
        <v>1 days</v>
      </c>
      <c r="D343" s="101" t="str">
        <f>A329&amp;" "&amp;A342</f>
        <v xml:space="preserve">12. FDS Release 4 12.3 FDS Release 4 - Ireland TDS/ADS UAT </v>
      </c>
      <c r="E343" s="51">
        <v>0.1</v>
      </c>
      <c r="F343" s="35">
        <v>0.1</v>
      </c>
      <c r="G343" s="35">
        <v>0.1</v>
      </c>
      <c r="H343" s="35">
        <v>0.1</v>
      </c>
      <c r="I343" s="35">
        <v>0.1</v>
      </c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D343" s="35"/>
      <c r="AE343" s="35"/>
      <c r="AF343" s="35"/>
      <c r="AG343" s="35"/>
      <c r="AH343" s="35"/>
      <c r="AI343" s="35"/>
      <c r="AJ343" s="35"/>
      <c r="AK343" s="35"/>
      <c r="AL343" s="36"/>
      <c r="AM343" s="36"/>
      <c r="AN343" s="36"/>
      <c r="AO343" s="36"/>
      <c r="AP343" s="36"/>
      <c r="AQ343" s="36"/>
      <c r="AR343" s="36"/>
      <c r="AS343" s="35"/>
      <c r="AT343" s="35"/>
      <c r="AU343" s="35"/>
      <c r="AV343" s="35"/>
      <c r="AW343" s="35"/>
      <c r="AX343" s="35"/>
      <c r="AY343" s="35"/>
      <c r="AZ343" s="35"/>
      <c r="BA343" s="35"/>
      <c r="BB343" s="35"/>
      <c r="BC343" s="35"/>
      <c r="BD343" s="35"/>
      <c r="BE343" s="35"/>
      <c r="BF343" s="35"/>
      <c r="BG343" s="35"/>
      <c r="BH343" s="35"/>
      <c r="BI343" s="35"/>
      <c r="BJ343" s="35"/>
      <c r="BK343" s="35"/>
      <c r="BL343" s="35"/>
      <c r="BM343" s="35"/>
      <c r="BN343" s="35"/>
      <c r="BO343" s="35"/>
      <c r="BP343" s="35"/>
      <c r="BQ343" s="35"/>
      <c r="BR343" s="35"/>
      <c r="BS343" s="35"/>
      <c r="BT343" s="35"/>
      <c r="BU343" s="35"/>
      <c r="BV343" s="35"/>
      <c r="BW343" s="35"/>
      <c r="BX343" s="35"/>
      <c r="BY343" s="35"/>
      <c r="BZ343" s="35"/>
      <c r="CA343" s="35"/>
      <c r="CB343" s="35"/>
      <c r="CC343" s="35"/>
      <c r="CD343" s="35"/>
      <c r="CE343" s="35"/>
      <c r="CF343" s="35"/>
      <c r="CG343" s="35"/>
      <c r="CH343" s="35"/>
      <c r="CI343" s="35"/>
      <c r="CJ343" s="35"/>
      <c r="CK343" s="35"/>
      <c r="CL343" s="35"/>
      <c r="CM343" s="35"/>
      <c r="CN343" s="35"/>
      <c r="CO343" s="35"/>
      <c r="CP343" s="35"/>
      <c r="CQ343" s="35"/>
      <c r="CR343" s="35"/>
      <c r="CS343" s="35"/>
      <c r="CT343" s="36"/>
      <c r="CU343" s="35"/>
      <c r="CV343" s="35"/>
      <c r="CW343" s="35"/>
      <c r="CX343" s="35"/>
      <c r="CY343" s="35"/>
      <c r="CZ343" s="36"/>
      <c r="DA343" s="36"/>
      <c r="DB343" s="35"/>
      <c r="DC343" s="35"/>
      <c r="DD343" s="35"/>
      <c r="DE343" s="35"/>
      <c r="DF343" s="35"/>
      <c r="DG343" s="35"/>
      <c r="DH343" s="35"/>
      <c r="DI343" s="35"/>
      <c r="DJ343" s="35"/>
      <c r="DK343" s="35"/>
      <c r="DL343" s="35"/>
      <c r="DM343" s="35"/>
      <c r="DN343" s="35"/>
      <c r="DO343" s="35"/>
      <c r="DP343" s="35"/>
      <c r="DQ343" s="35"/>
      <c r="DR343" s="35"/>
      <c r="DS343" s="35"/>
      <c r="DT343" s="35"/>
      <c r="DU343" s="35"/>
      <c r="DV343" s="35"/>
      <c r="DW343" s="35"/>
      <c r="DX343" s="35"/>
      <c r="DY343" s="35"/>
      <c r="DZ343" s="36"/>
      <c r="EA343" s="35"/>
      <c r="EB343" s="35"/>
      <c r="EC343" s="35"/>
      <c r="ED343" s="35"/>
      <c r="EE343" s="35"/>
      <c r="EF343" s="35"/>
      <c r="EG343" s="35"/>
      <c r="EH343" s="35"/>
      <c r="EI343" s="35"/>
      <c r="EJ343" s="35"/>
      <c r="EK343" s="35"/>
      <c r="EL343" s="35"/>
      <c r="EM343" s="35"/>
      <c r="EN343" s="35"/>
      <c r="EO343" s="35"/>
      <c r="EP343" s="35"/>
      <c r="EQ343" s="35"/>
      <c r="ER343" s="35"/>
      <c r="ES343" s="35"/>
      <c r="ET343" s="35"/>
      <c r="EU343" s="35"/>
      <c r="EV343" s="35"/>
      <c r="EW343" s="35"/>
      <c r="EX343" s="35"/>
      <c r="EY343" s="36"/>
      <c r="EZ343" s="35"/>
      <c r="FA343" s="35"/>
      <c r="FB343" s="35"/>
      <c r="FC343" s="35"/>
      <c r="FD343" s="35"/>
      <c r="FE343" s="35"/>
      <c r="FF343" s="35"/>
      <c r="FG343" s="35"/>
      <c r="FH343" s="35"/>
      <c r="FI343" s="35"/>
      <c r="FJ343" s="35"/>
      <c r="FK343" s="35"/>
      <c r="FL343" s="35"/>
      <c r="FM343" s="35"/>
      <c r="FN343" s="35"/>
      <c r="FO343" s="35"/>
      <c r="FP343" s="35"/>
      <c r="FQ343" s="52"/>
      <c r="FS343" s="9" t="s">
        <v>13</v>
      </c>
      <c r="FT343" s="9" t="str">
        <f t="shared" si="6597"/>
        <v>12. FDS Release 4 12.3 FDS Release 4 - Ireland TDS/ADS UAT Glenn Kirk</v>
      </c>
    </row>
    <row r="344" spans="1:176" ht="12" hidden="1" customHeight="1" outlineLevel="1">
      <c r="A344" s="122"/>
      <c r="B344" s="123"/>
      <c r="C344" s="131" t="str">
        <f t="shared" si="6935"/>
        <v>0 days</v>
      </c>
      <c r="D344" s="13" t="str">
        <f>A329&amp;" "&amp;A342</f>
        <v xml:space="preserve">12. FDS Release 4 12.3 FDS Release 4 - Ireland TDS/ADS UAT </v>
      </c>
      <c r="E344" s="51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D344" s="35"/>
      <c r="AE344" s="35"/>
      <c r="AF344" s="35"/>
      <c r="AG344" s="35"/>
      <c r="AH344" s="35"/>
      <c r="AI344" s="35"/>
      <c r="AJ344" s="35"/>
      <c r="AK344" s="35"/>
      <c r="AL344" s="36"/>
      <c r="AM344" s="36"/>
      <c r="AN344" s="36"/>
      <c r="AO344" s="36"/>
      <c r="AP344" s="36"/>
      <c r="AQ344" s="36"/>
      <c r="AR344" s="36"/>
      <c r="AS344" s="35"/>
      <c r="AT344" s="35"/>
      <c r="AU344" s="35"/>
      <c r="AV344" s="35"/>
      <c r="AW344" s="35"/>
      <c r="AX344" s="35"/>
      <c r="AY344" s="35"/>
      <c r="AZ344" s="35"/>
      <c r="BA344" s="35"/>
      <c r="BB344" s="35"/>
      <c r="BC344" s="35"/>
      <c r="BD344" s="35"/>
      <c r="BE344" s="35"/>
      <c r="BF344" s="35"/>
      <c r="BG344" s="35"/>
      <c r="BH344" s="35"/>
      <c r="BI344" s="35"/>
      <c r="BJ344" s="35"/>
      <c r="BK344" s="35"/>
      <c r="BL344" s="35"/>
      <c r="BM344" s="35"/>
      <c r="BN344" s="35"/>
      <c r="BO344" s="35"/>
      <c r="BP344" s="35"/>
      <c r="BQ344" s="35"/>
      <c r="BR344" s="35"/>
      <c r="BS344" s="35"/>
      <c r="BT344" s="35"/>
      <c r="BU344" s="35"/>
      <c r="BV344" s="35"/>
      <c r="BW344" s="35"/>
      <c r="BX344" s="35"/>
      <c r="BY344" s="35"/>
      <c r="BZ344" s="35"/>
      <c r="CA344" s="35"/>
      <c r="CB344" s="35"/>
      <c r="CC344" s="35"/>
      <c r="CD344" s="35"/>
      <c r="CE344" s="35"/>
      <c r="CF344" s="35"/>
      <c r="CG344" s="35"/>
      <c r="CH344" s="35"/>
      <c r="CI344" s="35"/>
      <c r="CJ344" s="35"/>
      <c r="CK344" s="35"/>
      <c r="CL344" s="35"/>
      <c r="CM344" s="35"/>
      <c r="CN344" s="35"/>
      <c r="CO344" s="35"/>
      <c r="CP344" s="35"/>
      <c r="CQ344" s="35"/>
      <c r="CR344" s="35"/>
      <c r="CS344" s="35"/>
      <c r="CT344" s="36"/>
      <c r="CU344" s="35"/>
      <c r="CV344" s="35"/>
      <c r="CW344" s="35"/>
      <c r="CX344" s="35"/>
      <c r="CY344" s="35"/>
      <c r="CZ344" s="36"/>
      <c r="DA344" s="36"/>
      <c r="DB344" s="35"/>
      <c r="DC344" s="35"/>
      <c r="DD344" s="35"/>
      <c r="DE344" s="35"/>
      <c r="DF344" s="35"/>
      <c r="DG344" s="35"/>
      <c r="DH344" s="35"/>
      <c r="DI344" s="35"/>
      <c r="DJ344" s="35"/>
      <c r="DK344" s="35"/>
      <c r="DL344" s="35"/>
      <c r="DM344" s="35"/>
      <c r="DN344" s="35"/>
      <c r="DO344" s="35"/>
      <c r="DP344" s="35"/>
      <c r="DQ344" s="35"/>
      <c r="DR344" s="35"/>
      <c r="DS344" s="35"/>
      <c r="DT344" s="35"/>
      <c r="DU344" s="35"/>
      <c r="DV344" s="35"/>
      <c r="DW344" s="35"/>
      <c r="DX344" s="35"/>
      <c r="DY344" s="35"/>
      <c r="DZ344" s="36"/>
      <c r="EA344" s="35"/>
      <c r="EB344" s="35"/>
      <c r="EC344" s="35"/>
      <c r="ED344" s="35"/>
      <c r="EE344" s="35"/>
      <c r="EF344" s="35"/>
      <c r="EG344" s="35"/>
      <c r="EH344" s="35"/>
      <c r="EI344" s="35"/>
      <c r="EJ344" s="35"/>
      <c r="EK344" s="35"/>
      <c r="EL344" s="35"/>
      <c r="EM344" s="35"/>
      <c r="EN344" s="35"/>
      <c r="EO344" s="35"/>
      <c r="EP344" s="35"/>
      <c r="EQ344" s="35"/>
      <c r="ER344" s="35"/>
      <c r="ES344" s="35"/>
      <c r="ET344" s="35"/>
      <c r="EU344" s="35"/>
      <c r="EV344" s="35"/>
      <c r="EW344" s="35"/>
      <c r="EX344" s="35"/>
      <c r="EY344" s="36"/>
      <c r="EZ344" s="35"/>
      <c r="FA344" s="35"/>
      <c r="FB344" s="35"/>
      <c r="FC344" s="35"/>
      <c r="FD344" s="35"/>
      <c r="FE344" s="35"/>
      <c r="FF344" s="35"/>
      <c r="FG344" s="35"/>
      <c r="FH344" s="35"/>
      <c r="FI344" s="35"/>
      <c r="FJ344" s="35"/>
      <c r="FK344" s="35"/>
      <c r="FL344" s="35"/>
      <c r="FM344" s="35"/>
      <c r="FN344" s="35"/>
      <c r="FO344" s="35"/>
      <c r="FP344" s="35"/>
      <c r="FQ344" s="52"/>
      <c r="FS344" s="9" t="s">
        <v>13</v>
      </c>
      <c r="FT344" s="9" t="str">
        <f t="shared" si="6597"/>
        <v xml:space="preserve">12. FDS Release 4 12.3 FDS Release 4 - Ireland TDS/ADS UAT </v>
      </c>
    </row>
    <row r="345" spans="1:176" ht="12" hidden="1" customHeight="1" outlineLevel="1">
      <c r="A345" s="122"/>
      <c r="B345" s="123"/>
      <c r="C345" s="131" t="str">
        <f t="shared" si="6935"/>
        <v>0 days</v>
      </c>
      <c r="D345" s="13" t="str">
        <f>A329&amp;" "&amp;A342</f>
        <v xml:space="preserve">12. FDS Release 4 12.3 FDS Release 4 - Ireland TDS/ADS UAT </v>
      </c>
      <c r="E345" s="51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D345" s="35"/>
      <c r="AE345" s="35"/>
      <c r="AF345" s="35"/>
      <c r="AG345" s="35"/>
      <c r="AH345" s="35"/>
      <c r="AI345" s="35"/>
      <c r="AJ345" s="35"/>
      <c r="AK345" s="35"/>
      <c r="AL345" s="36"/>
      <c r="AM345" s="36"/>
      <c r="AN345" s="36"/>
      <c r="AO345" s="36"/>
      <c r="AP345" s="36"/>
      <c r="AQ345" s="36"/>
      <c r="AR345" s="36"/>
      <c r="AS345" s="35"/>
      <c r="AT345" s="35"/>
      <c r="AU345" s="35"/>
      <c r="AV345" s="35"/>
      <c r="AW345" s="35"/>
      <c r="AX345" s="35"/>
      <c r="AY345" s="35"/>
      <c r="AZ345" s="35"/>
      <c r="BA345" s="35"/>
      <c r="BB345" s="35"/>
      <c r="BC345" s="35"/>
      <c r="BD345" s="35"/>
      <c r="BE345" s="35"/>
      <c r="BF345" s="35"/>
      <c r="BG345" s="35"/>
      <c r="BH345" s="35"/>
      <c r="BI345" s="35"/>
      <c r="BJ345" s="35"/>
      <c r="BK345" s="35"/>
      <c r="BL345" s="35"/>
      <c r="BM345" s="35"/>
      <c r="BN345" s="35"/>
      <c r="BO345" s="35"/>
      <c r="BP345" s="35"/>
      <c r="BQ345" s="35"/>
      <c r="BR345" s="35"/>
      <c r="BS345" s="35"/>
      <c r="BT345" s="35"/>
      <c r="BU345" s="35"/>
      <c r="BV345" s="35"/>
      <c r="BW345" s="35"/>
      <c r="BX345" s="35"/>
      <c r="BY345" s="35"/>
      <c r="BZ345" s="35"/>
      <c r="CA345" s="35"/>
      <c r="CB345" s="35"/>
      <c r="CC345" s="35"/>
      <c r="CD345" s="35"/>
      <c r="CE345" s="35"/>
      <c r="CF345" s="35"/>
      <c r="CG345" s="35"/>
      <c r="CH345" s="35"/>
      <c r="CI345" s="35"/>
      <c r="CJ345" s="35"/>
      <c r="CK345" s="35"/>
      <c r="CL345" s="35"/>
      <c r="CM345" s="35"/>
      <c r="CN345" s="35"/>
      <c r="CO345" s="35"/>
      <c r="CP345" s="35"/>
      <c r="CQ345" s="35"/>
      <c r="CR345" s="35"/>
      <c r="CS345" s="35"/>
      <c r="CT345" s="36"/>
      <c r="CU345" s="35"/>
      <c r="CV345" s="35"/>
      <c r="CW345" s="35"/>
      <c r="CX345" s="35"/>
      <c r="CY345" s="35"/>
      <c r="CZ345" s="36"/>
      <c r="DA345" s="36"/>
      <c r="DB345" s="35"/>
      <c r="DC345" s="35"/>
      <c r="DD345" s="35"/>
      <c r="DE345" s="35"/>
      <c r="DF345" s="35"/>
      <c r="DG345" s="35"/>
      <c r="DH345" s="35"/>
      <c r="DI345" s="35"/>
      <c r="DJ345" s="35"/>
      <c r="DK345" s="35"/>
      <c r="DL345" s="35"/>
      <c r="DM345" s="35"/>
      <c r="DN345" s="35"/>
      <c r="DO345" s="35"/>
      <c r="DP345" s="35"/>
      <c r="DQ345" s="35"/>
      <c r="DR345" s="35"/>
      <c r="DS345" s="35"/>
      <c r="DT345" s="35"/>
      <c r="DU345" s="35"/>
      <c r="DV345" s="35"/>
      <c r="DW345" s="35"/>
      <c r="DX345" s="35"/>
      <c r="DY345" s="35"/>
      <c r="DZ345" s="36"/>
      <c r="EA345" s="35"/>
      <c r="EB345" s="35"/>
      <c r="EC345" s="35"/>
      <c r="ED345" s="35"/>
      <c r="EE345" s="35"/>
      <c r="EF345" s="35"/>
      <c r="EG345" s="35"/>
      <c r="EH345" s="35"/>
      <c r="EI345" s="35"/>
      <c r="EJ345" s="35"/>
      <c r="EK345" s="35"/>
      <c r="EL345" s="35"/>
      <c r="EM345" s="35"/>
      <c r="EN345" s="35"/>
      <c r="EO345" s="35"/>
      <c r="EP345" s="35"/>
      <c r="EQ345" s="35"/>
      <c r="ER345" s="35"/>
      <c r="ES345" s="35"/>
      <c r="ET345" s="35"/>
      <c r="EU345" s="35"/>
      <c r="EV345" s="35"/>
      <c r="EW345" s="35"/>
      <c r="EX345" s="35"/>
      <c r="EY345" s="36"/>
      <c r="EZ345" s="35"/>
      <c r="FA345" s="35"/>
      <c r="FB345" s="35"/>
      <c r="FC345" s="35"/>
      <c r="FD345" s="35"/>
      <c r="FE345" s="35"/>
      <c r="FF345" s="35"/>
      <c r="FG345" s="35"/>
      <c r="FH345" s="35"/>
      <c r="FI345" s="35"/>
      <c r="FJ345" s="35"/>
      <c r="FK345" s="35"/>
      <c r="FL345" s="35"/>
      <c r="FM345" s="35"/>
      <c r="FN345" s="35"/>
      <c r="FO345" s="35"/>
      <c r="FP345" s="35"/>
      <c r="FQ345" s="52"/>
      <c r="FS345" s="9" t="s">
        <v>13</v>
      </c>
      <c r="FT345" s="9" t="str">
        <f t="shared" si="6597"/>
        <v xml:space="preserve">12. FDS Release 4 12.3 FDS Release 4 - Ireland TDS/ADS UAT </v>
      </c>
    </row>
    <row r="346" spans="1:176" ht="12" hidden="1" customHeight="1" outlineLevel="1">
      <c r="A346" s="122"/>
      <c r="B346" s="123"/>
      <c r="C346" s="131" t="str">
        <f t="shared" si="6935"/>
        <v>0 days</v>
      </c>
      <c r="D346" s="13" t="str">
        <f>A329&amp;" "&amp;A342</f>
        <v xml:space="preserve">12. FDS Release 4 12.3 FDS Release 4 - Ireland TDS/ADS UAT </v>
      </c>
      <c r="E346" s="51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D346" s="35"/>
      <c r="AE346" s="35"/>
      <c r="AF346" s="35"/>
      <c r="AG346" s="35"/>
      <c r="AH346" s="35"/>
      <c r="AI346" s="35"/>
      <c r="AJ346" s="35"/>
      <c r="AK346" s="35"/>
      <c r="AL346" s="36"/>
      <c r="AM346" s="36"/>
      <c r="AN346" s="36"/>
      <c r="AO346" s="36"/>
      <c r="AP346" s="36"/>
      <c r="AQ346" s="36"/>
      <c r="AR346" s="36"/>
      <c r="AS346" s="35"/>
      <c r="AT346" s="35"/>
      <c r="AU346" s="35"/>
      <c r="AV346" s="35"/>
      <c r="AW346" s="35"/>
      <c r="AX346" s="35"/>
      <c r="AY346" s="35"/>
      <c r="AZ346" s="35"/>
      <c r="BA346" s="35"/>
      <c r="BB346" s="35"/>
      <c r="BC346" s="35"/>
      <c r="BD346" s="35"/>
      <c r="BE346" s="35"/>
      <c r="BF346" s="35"/>
      <c r="BG346" s="35"/>
      <c r="BH346" s="35"/>
      <c r="BI346" s="35"/>
      <c r="BJ346" s="35"/>
      <c r="BK346" s="35"/>
      <c r="BL346" s="35"/>
      <c r="BM346" s="35"/>
      <c r="BN346" s="35"/>
      <c r="BO346" s="35"/>
      <c r="BP346" s="35"/>
      <c r="BQ346" s="35"/>
      <c r="BR346" s="35"/>
      <c r="BS346" s="35"/>
      <c r="BT346" s="35"/>
      <c r="BU346" s="35"/>
      <c r="BV346" s="35"/>
      <c r="BW346" s="35"/>
      <c r="BX346" s="35"/>
      <c r="BY346" s="35"/>
      <c r="BZ346" s="35"/>
      <c r="CA346" s="35"/>
      <c r="CB346" s="35"/>
      <c r="CC346" s="35"/>
      <c r="CD346" s="35"/>
      <c r="CE346" s="35"/>
      <c r="CF346" s="35"/>
      <c r="CG346" s="35"/>
      <c r="CH346" s="35"/>
      <c r="CI346" s="35"/>
      <c r="CJ346" s="35"/>
      <c r="CK346" s="35"/>
      <c r="CL346" s="35"/>
      <c r="CM346" s="35"/>
      <c r="CN346" s="35"/>
      <c r="CO346" s="35"/>
      <c r="CP346" s="35"/>
      <c r="CQ346" s="35"/>
      <c r="CR346" s="35"/>
      <c r="CS346" s="35"/>
      <c r="CT346" s="36"/>
      <c r="CU346" s="35"/>
      <c r="CV346" s="35"/>
      <c r="CW346" s="35"/>
      <c r="CX346" s="35"/>
      <c r="CY346" s="35"/>
      <c r="CZ346" s="36"/>
      <c r="DA346" s="36"/>
      <c r="DB346" s="35"/>
      <c r="DC346" s="35"/>
      <c r="DD346" s="35"/>
      <c r="DE346" s="35"/>
      <c r="DF346" s="35"/>
      <c r="DG346" s="35"/>
      <c r="DH346" s="35"/>
      <c r="DI346" s="35"/>
      <c r="DJ346" s="35"/>
      <c r="DK346" s="35"/>
      <c r="DL346" s="35"/>
      <c r="DM346" s="35"/>
      <c r="DN346" s="35"/>
      <c r="DO346" s="35"/>
      <c r="DP346" s="35"/>
      <c r="DQ346" s="35"/>
      <c r="DR346" s="35"/>
      <c r="DS346" s="35"/>
      <c r="DT346" s="35"/>
      <c r="DU346" s="35"/>
      <c r="DV346" s="35"/>
      <c r="DW346" s="35"/>
      <c r="DX346" s="35"/>
      <c r="DY346" s="35"/>
      <c r="DZ346" s="36"/>
      <c r="EA346" s="35"/>
      <c r="EB346" s="35"/>
      <c r="EC346" s="35"/>
      <c r="ED346" s="35"/>
      <c r="EE346" s="35"/>
      <c r="EF346" s="35"/>
      <c r="EG346" s="35"/>
      <c r="EH346" s="35"/>
      <c r="EI346" s="35"/>
      <c r="EJ346" s="35"/>
      <c r="EK346" s="35"/>
      <c r="EL346" s="35"/>
      <c r="EM346" s="35"/>
      <c r="EN346" s="35"/>
      <c r="EO346" s="35"/>
      <c r="EP346" s="35"/>
      <c r="EQ346" s="35"/>
      <c r="ER346" s="35"/>
      <c r="ES346" s="35"/>
      <c r="ET346" s="35"/>
      <c r="EU346" s="35"/>
      <c r="EV346" s="35"/>
      <c r="EW346" s="35"/>
      <c r="EX346" s="35"/>
      <c r="EY346" s="36"/>
      <c r="EZ346" s="35"/>
      <c r="FA346" s="35"/>
      <c r="FB346" s="35"/>
      <c r="FC346" s="35"/>
      <c r="FD346" s="35"/>
      <c r="FE346" s="35"/>
      <c r="FF346" s="35"/>
      <c r="FG346" s="35"/>
      <c r="FH346" s="35"/>
      <c r="FI346" s="35"/>
      <c r="FJ346" s="35"/>
      <c r="FK346" s="35"/>
      <c r="FL346" s="35"/>
      <c r="FM346" s="35"/>
      <c r="FN346" s="35"/>
      <c r="FO346" s="35"/>
      <c r="FP346" s="35"/>
      <c r="FQ346" s="52"/>
      <c r="FS346" s="9" t="s">
        <v>13</v>
      </c>
      <c r="FT346" s="9" t="str">
        <f t="shared" si="6597"/>
        <v xml:space="preserve">12. FDS Release 4 12.3 FDS Release 4 - Ireland TDS/ADS UAT </v>
      </c>
    </row>
    <row r="347" spans="1:176" ht="12" hidden="1" customHeight="1" outlineLevel="1">
      <c r="A347" s="122"/>
      <c r="B347" s="123"/>
      <c r="C347" s="131" t="str">
        <f t="shared" si="6935"/>
        <v>0 days</v>
      </c>
      <c r="D347" s="13" t="str">
        <f>A329&amp;" "&amp;A342</f>
        <v xml:space="preserve">12. FDS Release 4 12.3 FDS Release 4 - Ireland TDS/ADS UAT </v>
      </c>
      <c r="E347" s="51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D347" s="35"/>
      <c r="AE347" s="35"/>
      <c r="AF347" s="35"/>
      <c r="AG347" s="35"/>
      <c r="AH347" s="35"/>
      <c r="AI347" s="35"/>
      <c r="AJ347" s="35"/>
      <c r="AK347" s="35"/>
      <c r="AL347" s="36"/>
      <c r="AM347" s="36"/>
      <c r="AN347" s="36"/>
      <c r="AO347" s="36"/>
      <c r="AP347" s="36"/>
      <c r="AQ347" s="36"/>
      <c r="AR347" s="36"/>
      <c r="AS347" s="35"/>
      <c r="AT347" s="35"/>
      <c r="AU347" s="35"/>
      <c r="AV347" s="35"/>
      <c r="AW347" s="35"/>
      <c r="AX347" s="35"/>
      <c r="AY347" s="35"/>
      <c r="AZ347" s="35"/>
      <c r="BA347" s="35"/>
      <c r="BB347" s="35"/>
      <c r="BC347" s="35"/>
      <c r="BD347" s="35"/>
      <c r="BE347" s="35"/>
      <c r="BF347" s="35"/>
      <c r="BG347" s="35"/>
      <c r="BH347" s="35"/>
      <c r="BI347" s="35"/>
      <c r="BJ347" s="35"/>
      <c r="BK347" s="35"/>
      <c r="BL347" s="35"/>
      <c r="BM347" s="35"/>
      <c r="BN347" s="35"/>
      <c r="BO347" s="35"/>
      <c r="BP347" s="35"/>
      <c r="BQ347" s="35"/>
      <c r="BR347" s="35"/>
      <c r="BS347" s="35"/>
      <c r="BT347" s="35"/>
      <c r="BU347" s="35"/>
      <c r="BV347" s="35"/>
      <c r="BW347" s="35"/>
      <c r="BX347" s="35"/>
      <c r="BY347" s="35"/>
      <c r="BZ347" s="35"/>
      <c r="CA347" s="35"/>
      <c r="CB347" s="35"/>
      <c r="CC347" s="35"/>
      <c r="CD347" s="35"/>
      <c r="CE347" s="35"/>
      <c r="CF347" s="35"/>
      <c r="CG347" s="35"/>
      <c r="CH347" s="35"/>
      <c r="CI347" s="35"/>
      <c r="CJ347" s="35"/>
      <c r="CK347" s="35"/>
      <c r="CL347" s="35"/>
      <c r="CM347" s="35"/>
      <c r="CN347" s="35"/>
      <c r="CO347" s="35"/>
      <c r="CP347" s="35"/>
      <c r="CQ347" s="35"/>
      <c r="CR347" s="35"/>
      <c r="CS347" s="35"/>
      <c r="CT347" s="36"/>
      <c r="CU347" s="35"/>
      <c r="CV347" s="35"/>
      <c r="CW347" s="35"/>
      <c r="CX347" s="35"/>
      <c r="CY347" s="35"/>
      <c r="CZ347" s="36"/>
      <c r="DA347" s="36"/>
      <c r="DB347" s="35"/>
      <c r="DC347" s="35"/>
      <c r="DD347" s="35"/>
      <c r="DE347" s="35"/>
      <c r="DF347" s="35"/>
      <c r="DG347" s="35"/>
      <c r="DH347" s="35"/>
      <c r="DI347" s="35"/>
      <c r="DJ347" s="35"/>
      <c r="DK347" s="35"/>
      <c r="DL347" s="35"/>
      <c r="DM347" s="35"/>
      <c r="DN347" s="35"/>
      <c r="DO347" s="35"/>
      <c r="DP347" s="35"/>
      <c r="DQ347" s="35"/>
      <c r="DR347" s="35"/>
      <c r="DS347" s="35"/>
      <c r="DT347" s="35"/>
      <c r="DU347" s="35"/>
      <c r="DV347" s="35"/>
      <c r="DW347" s="35"/>
      <c r="DX347" s="35"/>
      <c r="DY347" s="35"/>
      <c r="DZ347" s="36"/>
      <c r="EA347" s="35"/>
      <c r="EB347" s="35"/>
      <c r="EC347" s="35"/>
      <c r="ED347" s="35"/>
      <c r="EE347" s="35"/>
      <c r="EF347" s="35"/>
      <c r="EG347" s="35"/>
      <c r="EH347" s="35"/>
      <c r="EI347" s="35"/>
      <c r="EJ347" s="35"/>
      <c r="EK347" s="35"/>
      <c r="EL347" s="35"/>
      <c r="EM347" s="35"/>
      <c r="EN347" s="35"/>
      <c r="EO347" s="35"/>
      <c r="EP347" s="35"/>
      <c r="EQ347" s="35"/>
      <c r="ER347" s="35"/>
      <c r="ES347" s="35"/>
      <c r="ET347" s="35"/>
      <c r="EU347" s="35"/>
      <c r="EV347" s="35"/>
      <c r="EW347" s="35"/>
      <c r="EX347" s="35"/>
      <c r="EY347" s="36"/>
      <c r="EZ347" s="35"/>
      <c r="FA347" s="35"/>
      <c r="FB347" s="35"/>
      <c r="FC347" s="35"/>
      <c r="FD347" s="35"/>
      <c r="FE347" s="35"/>
      <c r="FF347" s="35"/>
      <c r="FG347" s="35"/>
      <c r="FH347" s="35"/>
      <c r="FI347" s="35"/>
      <c r="FJ347" s="35"/>
      <c r="FK347" s="35"/>
      <c r="FL347" s="35"/>
      <c r="FM347" s="35"/>
      <c r="FN347" s="35"/>
      <c r="FO347" s="35"/>
      <c r="FP347" s="35"/>
      <c r="FQ347" s="52"/>
      <c r="FS347" s="9" t="s">
        <v>13</v>
      </c>
      <c r="FT347" s="9" t="str">
        <f t="shared" si="6597"/>
        <v xml:space="preserve">12. FDS Release 4 12.3 FDS Release 4 - Ireland TDS/ADS UAT </v>
      </c>
    </row>
    <row r="348" spans="1:176" ht="12" customHeight="1" collapsed="1">
      <c r="A348" s="119" t="s">
        <v>111</v>
      </c>
      <c r="B348" s="127"/>
      <c r="C348" s="128" t="str">
        <f>ROUND(SUM(E348:FQ348),0) &amp; " days"</f>
        <v>1 days</v>
      </c>
      <c r="D348" s="27"/>
      <c r="E348" s="91" t="str">
        <f t="shared" ref="E348" si="6936">IF(SUBTOTAL(9,E349:E353)&gt;0,SUBTOTAL(9,E349:E353),"")</f>
        <v/>
      </c>
      <c r="F348" s="34" t="str">
        <f t="shared" ref="F348" si="6937">IF(SUBTOTAL(9,F349:F353)&gt;0,SUBTOTAL(9,F349:F353),"")</f>
        <v/>
      </c>
      <c r="G348" s="34" t="str">
        <f t="shared" ref="G348" si="6938">IF(SUBTOTAL(9,G349:G353)&gt;0,SUBTOTAL(9,G349:G353),"")</f>
        <v/>
      </c>
      <c r="H348" s="34" t="str">
        <f t="shared" ref="H348" si="6939">IF(SUBTOTAL(9,H349:H353)&gt;0,SUBTOTAL(9,H349:H353),"")</f>
        <v/>
      </c>
      <c r="I348" s="34" t="str">
        <f t="shared" ref="I348" si="6940">IF(SUBTOTAL(9,I349:I353)&gt;0,SUBTOTAL(9,I349:I353),"")</f>
        <v/>
      </c>
      <c r="J348" s="34" t="str">
        <f t="shared" ref="J348" si="6941">IF(SUBTOTAL(9,J349:J353)&gt;0,SUBTOTAL(9,J349:J353),"")</f>
        <v/>
      </c>
      <c r="K348" s="34" t="str">
        <f t="shared" ref="K348" si="6942">IF(SUBTOTAL(9,K349:K353)&gt;0,SUBTOTAL(9,K349:K353),"")</f>
        <v/>
      </c>
      <c r="L348" s="34" t="str">
        <f t="shared" ref="L348" si="6943">IF(SUBTOTAL(9,L349:L353)&gt;0,SUBTOTAL(9,L349:L353),"")</f>
        <v/>
      </c>
      <c r="M348" s="34" t="str">
        <f t="shared" ref="M348" si="6944">IF(SUBTOTAL(9,M349:M353)&gt;0,SUBTOTAL(9,M349:M353),"")</f>
        <v/>
      </c>
      <c r="N348" s="34" t="str">
        <f t="shared" ref="N348" si="6945">IF(SUBTOTAL(9,N349:N353)&gt;0,SUBTOTAL(9,N349:N353),"")</f>
        <v/>
      </c>
      <c r="O348" s="34" t="str">
        <f t="shared" ref="O348" si="6946">IF(SUBTOTAL(9,O349:O353)&gt;0,SUBTOTAL(9,O349:O353),"")</f>
        <v/>
      </c>
      <c r="P348" s="34" t="str">
        <f t="shared" ref="P348" si="6947">IF(SUBTOTAL(9,P349:P353)&gt;0,SUBTOTAL(9,P349:P353),"")</f>
        <v/>
      </c>
      <c r="Q348" s="34" t="str">
        <f t="shared" ref="Q348" si="6948">IF(SUBTOTAL(9,Q349:Q353)&gt;0,SUBTOTAL(9,Q349:Q353),"")</f>
        <v/>
      </c>
      <c r="R348" s="34" t="str">
        <f t="shared" ref="R348" si="6949">IF(SUBTOTAL(9,R349:R353)&gt;0,SUBTOTAL(9,R349:R353),"")</f>
        <v/>
      </c>
      <c r="S348" s="34" t="str">
        <f t="shared" ref="S348" si="6950">IF(SUBTOTAL(9,S349:S353)&gt;0,SUBTOTAL(9,S349:S353),"")</f>
        <v/>
      </c>
      <c r="T348" s="34" t="str">
        <f t="shared" ref="T348" si="6951">IF(SUBTOTAL(9,T349:T353)&gt;0,SUBTOTAL(9,T349:T353),"")</f>
        <v/>
      </c>
      <c r="U348" s="34" t="str">
        <f t="shared" ref="U348" si="6952">IF(SUBTOTAL(9,U349:U353)&gt;0,SUBTOTAL(9,U349:U353),"")</f>
        <v/>
      </c>
      <c r="V348" s="34" t="str">
        <f t="shared" ref="V348" si="6953">IF(SUBTOTAL(9,V349:V353)&gt;0,SUBTOTAL(9,V349:V353),"")</f>
        <v/>
      </c>
      <c r="W348" s="34" t="str">
        <f t="shared" ref="W348" si="6954">IF(SUBTOTAL(9,W349:W353)&gt;0,SUBTOTAL(9,W349:W353),"")</f>
        <v/>
      </c>
      <c r="X348" s="34" t="str">
        <f t="shared" ref="X348" si="6955">IF(SUBTOTAL(9,X349:X353)&gt;0,SUBTOTAL(9,X349:X353),"")</f>
        <v/>
      </c>
      <c r="Y348" s="34" t="str">
        <f t="shared" ref="Y348" si="6956">IF(SUBTOTAL(9,Y349:Y353)&gt;0,SUBTOTAL(9,Y349:Y353),"")</f>
        <v/>
      </c>
      <c r="Z348" s="34" t="str">
        <f t="shared" ref="Z348" si="6957">IF(SUBTOTAL(9,Z349:Z353)&gt;0,SUBTOTAL(9,Z349:Z353),"")</f>
        <v/>
      </c>
      <c r="AA348" s="34" t="str">
        <f t="shared" ref="AA348" si="6958">IF(SUBTOTAL(9,AA349:AA353)&gt;0,SUBTOTAL(9,AA349:AA353),"")</f>
        <v/>
      </c>
      <c r="AB348" s="34" t="str">
        <f t="shared" ref="AB348" si="6959">IF(SUBTOTAL(9,AB349:AB353)&gt;0,SUBTOTAL(9,AB349:AB353),"")</f>
        <v/>
      </c>
      <c r="AC348" s="34" t="str">
        <f t="shared" ref="AC348" si="6960">IF(SUBTOTAL(9,AC349:AC353)&gt;0,SUBTOTAL(9,AC349:AC353),"")</f>
        <v/>
      </c>
      <c r="AD348" s="34" t="str">
        <f t="shared" ref="AD348" si="6961">IF(SUBTOTAL(9,AD349:AD353)&gt;0,SUBTOTAL(9,AD349:AD353),"")</f>
        <v/>
      </c>
      <c r="AE348" s="34" t="str">
        <f t="shared" ref="AE348" si="6962">IF(SUBTOTAL(9,AE349:AE353)&gt;0,SUBTOTAL(9,AE349:AE353),"")</f>
        <v/>
      </c>
      <c r="AF348" s="34" t="str">
        <f t="shared" ref="AF348" si="6963">IF(SUBTOTAL(9,AF349:AF353)&gt;0,SUBTOTAL(9,AF349:AF353),"")</f>
        <v/>
      </c>
      <c r="AG348" s="34" t="str">
        <f t="shared" ref="AG348" si="6964">IF(SUBTOTAL(9,AG349:AG353)&gt;0,SUBTOTAL(9,AG349:AG353),"")</f>
        <v/>
      </c>
      <c r="AH348" s="34" t="str">
        <f t="shared" ref="AH348" si="6965">IF(SUBTOTAL(9,AH349:AH353)&gt;0,SUBTOTAL(9,AH349:AH353),"")</f>
        <v/>
      </c>
      <c r="AI348" s="34" t="str">
        <f t="shared" ref="AI348" si="6966">IF(SUBTOTAL(9,AI349:AI353)&gt;0,SUBTOTAL(9,AI349:AI353),"")</f>
        <v/>
      </c>
      <c r="AJ348" s="34" t="str">
        <f t="shared" ref="AJ348" si="6967">IF(SUBTOTAL(9,AJ349:AJ353)&gt;0,SUBTOTAL(9,AJ349:AJ353),"")</f>
        <v/>
      </c>
      <c r="AK348" s="34" t="str">
        <f t="shared" ref="AK348" si="6968">IF(SUBTOTAL(9,AK349:AK353)&gt;0,SUBTOTAL(9,AK349:AK353),"")</f>
        <v/>
      </c>
      <c r="AL348" s="33" t="str">
        <f t="shared" ref="AL348" si="6969">IF(SUBTOTAL(9,AL349:AL353)&gt;0,SUBTOTAL(9,AL349:AL353),"")</f>
        <v/>
      </c>
      <c r="AM348" s="33" t="str">
        <f t="shared" ref="AM348" si="6970">IF(SUBTOTAL(9,AM349:AM353)&gt;0,SUBTOTAL(9,AM349:AM353),"")</f>
        <v/>
      </c>
      <c r="AN348" s="33" t="str">
        <f t="shared" ref="AN348" si="6971">IF(SUBTOTAL(9,AN349:AN353)&gt;0,SUBTOTAL(9,AN349:AN353),"")</f>
        <v/>
      </c>
      <c r="AO348" s="33" t="str">
        <f t="shared" ref="AO348" si="6972">IF(SUBTOTAL(9,AO349:AO353)&gt;0,SUBTOTAL(9,AO349:AO353),"")</f>
        <v/>
      </c>
      <c r="AP348" s="33" t="str">
        <f t="shared" ref="AP348" si="6973">IF(SUBTOTAL(9,AP349:AP353)&gt;0,SUBTOTAL(9,AP349:AP353),"")</f>
        <v/>
      </c>
      <c r="AQ348" s="33" t="str">
        <f t="shared" ref="AQ348" si="6974">IF(SUBTOTAL(9,AQ349:AQ353)&gt;0,SUBTOTAL(9,AQ349:AQ353),"")</f>
        <v/>
      </c>
      <c r="AR348" s="33" t="str">
        <f t="shared" ref="AR348" si="6975">IF(SUBTOTAL(9,AR349:AR353)&gt;0,SUBTOTAL(9,AR349:AR353),"")</f>
        <v/>
      </c>
      <c r="AS348" s="34">
        <f t="shared" ref="AS348" si="6976">IF(SUBTOTAL(9,AS349:AS353)&gt;0,SUBTOTAL(9,AS349:AS353),"")</f>
        <v>0.2</v>
      </c>
      <c r="AT348" s="34" t="str">
        <f t="shared" ref="AT348" si="6977">IF(SUBTOTAL(9,AT349:AT353)&gt;0,SUBTOTAL(9,AT349:AT353),"")</f>
        <v/>
      </c>
      <c r="AU348" s="34" t="str">
        <f t="shared" ref="AU348" si="6978">IF(SUBTOTAL(9,AU349:AU353)&gt;0,SUBTOTAL(9,AU349:AU353),"")</f>
        <v/>
      </c>
      <c r="AV348" s="34" t="str">
        <f t="shared" ref="AV348" si="6979">IF(SUBTOTAL(9,AV349:AV353)&gt;0,SUBTOTAL(9,AV349:AV353),"")</f>
        <v/>
      </c>
      <c r="AW348" s="34" t="str">
        <f t="shared" ref="AW348" si="6980">IF(SUBTOTAL(9,AW349:AW353)&gt;0,SUBTOTAL(9,AW349:AW353),"")</f>
        <v/>
      </c>
      <c r="AX348" s="34" t="str">
        <f t="shared" ref="AX348" si="6981">IF(SUBTOTAL(9,AX349:AX353)&gt;0,SUBTOTAL(9,AX349:AX353),"")</f>
        <v/>
      </c>
      <c r="AY348" s="34" t="str">
        <f t="shared" ref="AY348" si="6982">IF(SUBTOTAL(9,AY349:AY353)&gt;0,SUBTOTAL(9,AY349:AY353),"")</f>
        <v/>
      </c>
      <c r="AZ348" s="34" t="str">
        <f t="shared" ref="AZ348" si="6983">IF(SUBTOTAL(9,AZ349:AZ353)&gt;0,SUBTOTAL(9,AZ349:AZ353),"")</f>
        <v/>
      </c>
      <c r="BA348" s="34" t="str">
        <f t="shared" ref="BA348" si="6984">IF(SUBTOTAL(9,BA349:BA353)&gt;0,SUBTOTAL(9,BA349:BA353),"")</f>
        <v/>
      </c>
      <c r="BB348" s="34" t="str">
        <f t="shared" ref="BB348" si="6985">IF(SUBTOTAL(9,BB349:BB353)&gt;0,SUBTOTAL(9,BB349:BB353),"")</f>
        <v/>
      </c>
      <c r="BC348" s="34">
        <f t="shared" ref="BC348" si="6986">IF(SUBTOTAL(9,BC349:BC353)&gt;0,SUBTOTAL(9,BC349:BC353),"")</f>
        <v>0.2</v>
      </c>
      <c r="BD348" s="34" t="str">
        <f t="shared" ref="BD348" si="6987">IF(SUBTOTAL(9,BD349:BD353)&gt;0,SUBTOTAL(9,BD349:BD353),"")</f>
        <v/>
      </c>
      <c r="BE348" s="34">
        <f t="shared" ref="BE348" si="6988">IF(SUBTOTAL(9,BE349:BE353)&gt;0,SUBTOTAL(9,BE349:BE353),"")</f>
        <v>0.2</v>
      </c>
      <c r="BF348" s="34" t="str">
        <f t="shared" ref="BF348" si="6989">IF(SUBTOTAL(9,BF349:BF353)&gt;0,SUBTOTAL(9,BF349:BF353),"")</f>
        <v/>
      </c>
      <c r="BG348" s="34" t="str">
        <f t="shared" ref="BG348" si="6990">IF(SUBTOTAL(9,BG349:BG353)&gt;0,SUBTOTAL(9,BG349:BG353),"")</f>
        <v/>
      </c>
      <c r="BH348" s="34">
        <f t="shared" ref="BH348" si="6991">IF(SUBTOTAL(9,BH349:BH353)&gt;0,SUBTOTAL(9,BH349:BH353),"")</f>
        <v>0.2</v>
      </c>
      <c r="BI348" s="34">
        <f t="shared" ref="BI348" si="6992">IF(SUBTOTAL(9,BI349:BI353)&gt;0,SUBTOTAL(9,BI349:BI353),"")</f>
        <v>0.1</v>
      </c>
      <c r="BJ348" s="34">
        <f t="shared" ref="BJ348" si="6993">IF(SUBTOTAL(9,BJ349:BJ353)&gt;0,SUBTOTAL(9,BJ349:BJ353),"")</f>
        <v>0.5</v>
      </c>
      <c r="BK348" s="34" t="str">
        <f t="shared" ref="BK348" si="6994">IF(SUBTOTAL(9,BK349:BK353)&gt;0,SUBTOTAL(9,BK349:BK353),"")</f>
        <v/>
      </c>
      <c r="BL348" s="34" t="str">
        <f t="shared" ref="BL348" si="6995">IF(SUBTOTAL(9,BL349:BL353)&gt;0,SUBTOTAL(9,BL349:BL353),"")</f>
        <v/>
      </c>
      <c r="BM348" s="34" t="str">
        <f t="shared" ref="BM348" si="6996">IF(SUBTOTAL(9,BM349:BM353)&gt;0,SUBTOTAL(9,BM349:BM353),"")</f>
        <v/>
      </c>
      <c r="BN348" s="34" t="str">
        <f t="shared" ref="BN348" si="6997">IF(SUBTOTAL(9,BN349:BN353)&gt;0,SUBTOTAL(9,BN349:BN353),"")</f>
        <v/>
      </c>
      <c r="BO348" s="34" t="str">
        <f t="shared" ref="BO348" si="6998">IF(SUBTOTAL(9,BO349:BO353)&gt;0,SUBTOTAL(9,BO349:BO353),"")</f>
        <v/>
      </c>
      <c r="BP348" s="34" t="str">
        <f t="shared" ref="BP348" si="6999">IF(SUBTOTAL(9,BP349:BP353)&gt;0,SUBTOTAL(9,BP349:BP353),"")</f>
        <v/>
      </c>
      <c r="BQ348" s="34" t="str">
        <f t="shared" ref="BQ348" si="7000">IF(SUBTOTAL(9,BQ349:BQ353)&gt;0,SUBTOTAL(9,BQ349:BQ353),"")</f>
        <v/>
      </c>
      <c r="BR348" s="34" t="str">
        <f t="shared" ref="BR348" si="7001">IF(SUBTOTAL(9,BR349:BR353)&gt;0,SUBTOTAL(9,BR349:BR353),"")</f>
        <v/>
      </c>
      <c r="BS348" s="34" t="str">
        <f t="shared" ref="BS348" si="7002">IF(SUBTOTAL(9,BS349:BS353)&gt;0,SUBTOTAL(9,BS349:BS353),"")</f>
        <v/>
      </c>
      <c r="BT348" s="34" t="str">
        <f t="shared" ref="BT348" si="7003">IF(SUBTOTAL(9,BT349:BT353)&gt;0,SUBTOTAL(9,BT349:BT353),"")</f>
        <v/>
      </c>
      <c r="BU348" s="34" t="str">
        <f t="shared" ref="BU348" si="7004">IF(SUBTOTAL(9,BU349:BU353)&gt;0,SUBTOTAL(9,BU349:BU353),"")</f>
        <v/>
      </c>
      <c r="BV348" s="34" t="str">
        <f t="shared" ref="BV348" si="7005">IF(SUBTOTAL(9,BV349:BV353)&gt;0,SUBTOTAL(9,BV349:BV353),"")</f>
        <v/>
      </c>
      <c r="BW348" s="34" t="str">
        <f t="shared" ref="BW348" si="7006">IF(SUBTOTAL(9,BW349:BW353)&gt;0,SUBTOTAL(9,BW349:BW353),"")</f>
        <v/>
      </c>
      <c r="BX348" s="34" t="str">
        <f t="shared" ref="BX348" si="7007">IF(SUBTOTAL(9,BX349:BX353)&gt;0,SUBTOTAL(9,BX349:BX353),"")</f>
        <v/>
      </c>
      <c r="BY348" s="34" t="str">
        <f t="shared" ref="BY348" si="7008">IF(SUBTOTAL(9,BY349:BY353)&gt;0,SUBTOTAL(9,BY349:BY353),"")</f>
        <v/>
      </c>
      <c r="BZ348" s="34" t="str">
        <f t="shared" ref="BZ348" si="7009">IF(SUBTOTAL(9,BZ349:BZ353)&gt;0,SUBTOTAL(9,BZ349:BZ353),"")</f>
        <v/>
      </c>
      <c r="CA348" s="34" t="str">
        <f t="shared" ref="CA348" si="7010">IF(SUBTOTAL(9,CA349:CA353)&gt;0,SUBTOTAL(9,CA349:CA353),"")</f>
        <v/>
      </c>
      <c r="CB348" s="34" t="str">
        <f t="shared" ref="CB348" si="7011">IF(SUBTOTAL(9,CB349:CB353)&gt;0,SUBTOTAL(9,CB349:CB353),"")</f>
        <v/>
      </c>
      <c r="CC348" s="34" t="str">
        <f t="shared" ref="CC348" si="7012">IF(SUBTOTAL(9,CC349:CC353)&gt;0,SUBTOTAL(9,CC349:CC353),"")</f>
        <v/>
      </c>
      <c r="CD348" s="34" t="str">
        <f t="shared" ref="CD348" si="7013">IF(SUBTOTAL(9,CD349:CD353)&gt;0,SUBTOTAL(9,CD349:CD353),"")</f>
        <v/>
      </c>
      <c r="CE348" s="34" t="str">
        <f t="shared" ref="CE348" si="7014">IF(SUBTOTAL(9,CE349:CE353)&gt;0,SUBTOTAL(9,CE349:CE353),"")</f>
        <v/>
      </c>
      <c r="CF348" s="34" t="str">
        <f t="shared" ref="CF348:CG348" si="7015">IF(SUBTOTAL(9,CF349:CF353)&gt;0,SUBTOTAL(9,CF349:CF353),"")</f>
        <v/>
      </c>
      <c r="CG348" s="34" t="str">
        <f t="shared" si="7015"/>
        <v/>
      </c>
      <c r="CH348" s="34" t="str">
        <f t="shared" ref="CH348" si="7016">IF(SUBTOTAL(9,CH349:CH353)&gt;0,SUBTOTAL(9,CH349:CH353),"")</f>
        <v/>
      </c>
      <c r="CI348" s="34" t="str">
        <f t="shared" ref="CI348" si="7017">IF(SUBTOTAL(9,CI349:CI353)&gt;0,SUBTOTAL(9,CI349:CI353),"")</f>
        <v/>
      </c>
      <c r="CJ348" s="34" t="str">
        <f t="shared" ref="CJ348" si="7018">IF(SUBTOTAL(9,CJ349:CJ353)&gt;0,SUBTOTAL(9,CJ349:CJ353),"")</f>
        <v/>
      </c>
      <c r="CK348" s="34" t="str">
        <f t="shared" ref="CK348" si="7019">IF(SUBTOTAL(9,CK349:CK353)&gt;0,SUBTOTAL(9,CK349:CK353),"")</f>
        <v/>
      </c>
      <c r="CL348" s="34" t="str">
        <f t="shared" ref="CL348" si="7020">IF(SUBTOTAL(9,CL349:CL353)&gt;0,SUBTOTAL(9,CL349:CL353),"")</f>
        <v/>
      </c>
      <c r="CM348" s="34" t="str">
        <f t="shared" ref="CM348" si="7021">IF(SUBTOTAL(9,CM349:CM353)&gt;0,SUBTOTAL(9,CM349:CM353),"")</f>
        <v/>
      </c>
      <c r="CN348" s="34" t="str">
        <f t="shared" ref="CN348" si="7022">IF(SUBTOTAL(9,CN349:CN353)&gt;0,SUBTOTAL(9,CN349:CN353),"")</f>
        <v/>
      </c>
      <c r="CO348" s="34" t="str">
        <f t="shared" ref="CO348" si="7023">IF(SUBTOTAL(9,CO349:CO353)&gt;0,SUBTOTAL(9,CO349:CO353),"")</f>
        <v/>
      </c>
      <c r="CP348" s="34" t="str">
        <f t="shared" ref="CP348" si="7024">IF(SUBTOTAL(9,CP349:CP353)&gt;0,SUBTOTAL(9,CP349:CP353),"")</f>
        <v/>
      </c>
      <c r="CQ348" s="34" t="str">
        <f t="shared" ref="CQ348" si="7025">IF(SUBTOTAL(9,CQ349:CQ353)&gt;0,SUBTOTAL(9,CQ349:CQ353),"")</f>
        <v/>
      </c>
      <c r="CR348" s="34" t="str">
        <f t="shared" ref="CR348" si="7026">IF(SUBTOTAL(9,CR349:CR353)&gt;0,SUBTOTAL(9,CR349:CR353),"")</f>
        <v/>
      </c>
      <c r="CS348" s="34" t="str">
        <f t="shared" ref="CS348" si="7027">IF(SUBTOTAL(9,CS349:CS353)&gt;0,SUBTOTAL(9,CS349:CS353),"")</f>
        <v/>
      </c>
      <c r="CT348" s="33" t="str">
        <f t="shared" ref="CT348" si="7028">IF(SUBTOTAL(9,CT349:CT353)&gt;0,SUBTOTAL(9,CT349:CT353),"")</f>
        <v/>
      </c>
      <c r="CU348" s="34" t="str">
        <f t="shared" ref="CU348" si="7029">IF(SUBTOTAL(9,CU349:CU353)&gt;0,SUBTOTAL(9,CU349:CU353),"")</f>
        <v/>
      </c>
      <c r="CV348" s="34" t="str">
        <f t="shared" ref="CV348" si="7030">IF(SUBTOTAL(9,CV349:CV353)&gt;0,SUBTOTAL(9,CV349:CV353),"")</f>
        <v/>
      </c>
      <c r="CW348" s="34" t="str">
        <f t="shared" ref="CW348" si="7031">IF(SUBTOTAL(9,CW349:CW353)&gt;0,SUBTOTAL(9,CW349:CW353),"")</f>
        <v/>
      </c>
      <c r="CX348" s="34" t="str">
        <f t="shared" ref="CX348" si="7032">IF(SUBTOTAL(9,CX349:CX353)&gt;0,SUBTOTAL(9,CX349:CX353),"")</f>
        <v/>
      </c>
      <c r="CY348" s="34" t="str">
        <f t="shared" ref="CY348" si="7033">IF(SUBTOTAL(9,CY349:CY353)&gt;0,SUBTOTAL(9,CY349:CY353),"")</f>
        <v/>
      </c>
      <c r="CZ348" s="33" t="str">
        <f t="shared" ref="CZ348" si="7034">IF(SUBTOTAL(9,CZ349:CZ353)&gt;0,SUBTOTAL(9,CZ349:CZ353),"")</f>
        <v/>
      </c>
      <c r="DA348" s="33" t="str">
        <f t="shared" ref="DA348" si="7035">IF(SUBTOTAL(9,DA349:DA353)&gt;0,SUBTOTAL(9,DA349:DA353),"")</f>
        <v/>
      </c>
      <c r="DB348" s="34" t="str">
        <f t="shared" ref="DB348" si="7036">IF(SUBTOTAL(9,DB349:DB353)&gt;0,SUBTOTAL(9,DB349:DB353),"")</f>
        <v/>
      </c>
      <c r="DC348" s="34" t="str">
        <f t="shared" ref="DC348" si="7037">IF(SUBTOTAL(9,DC349:DC353)&gt;0,SUBTOTAL(9,DC349:DC353),"")</f>
        <v/>
      </c>
      <c r="DD348" s="34" t="str">
        <f t="shared" ref="DD348" si="7038">IF(SUBTOTAL(9,DD349:DD353)&gt;0,SUBTOTAL(9,DD349:DD353),"")</f>
        <v/>
      </c>
      <c r="DE348" s="34" t="str">
        <f t="shared" ref="DE348" si="7039">IF(SUBTOTAL(9,DE349:DE353)&gt;0,SUBTOTAL(9,DE349:DE353),"")</f>
        <v/>
      </c>
      <c r="DF348" s="34" t="str">
        <f t="shared" ref="DF348" si="7040">IF(SUBTOTAL(9,DF349:DF353)&gt;0,SUBTOTAL(9,DF349:DF353),"")</f>
        <v/>
      </c>
      <c r="DG348" s="34" t="str">
        <f t="shared" ref="DG348" si="7041">IF(SUBTOTAL(9,DG349:DG353)&gt;0,SUBTOTAL(9,DG349:DG353),"")</f>
        <v/>
      </c>
      <c r="DH348" s="34" t="str">
        <f t="shared" ref="DH348" si="7042">IF(SUBTOTAL(9,DH349:DH353)&gt;0,SUBTOTAL(9,DH349:DH353),"")</f>
        <v/>
      </c>
      <c r="DI348" s="34" t="str">
        <f t="shared" ref="DI348" si="7043">IF(SUBTOTAL(9,DI349:DI353)&gt;0,SUBTOTAL(9,DI349:DI353),"")</f>
        <v/>
      </c>
      <c r="DJ348" s="34" t="str">
        <f t="shared" ref="DJ348" si="7044">IF(SUBTOTAL(9,DJ349:DJ353)&gt;0,SUBTOTAL(9,DJ349:DJ353),"")</f>
        <v/>
      </c>
      <c r="DK348" s="34" t="str">
        <f t="shared" ref="DK348" si="7045">IF(SUBTOTAL(9,DK349:DK353)&gt;0,SUBTOTAL(9,DK349:DK353),"")</f>
        <v/>
      </c>
      <c r="DL348" s="34" t="str">
        <f t="shared" ref="DL348" si="7046">IF(SUBTOTAL(9,DL349:DL353)&gt;0,SUBTOTAL(9,DL349:DL353),"")</f>
        <v/>
      </c>
      <c r="DM348" s="34" t="str">
        <f t="shared" ref="DM348" si="7047">IF(SUBTOTAL(9,DM349:DM353)&gt;0,SUBTOTAL(9,DM349:DM353),"")</f>
        <v/>
      </c>
      <c r="DN348" s="34" t="str">
        <f t="shared" ref="DN348" si="7048">IF(SUBTOTAL(9,DN349:DN353)&gt;0,SUBTOTAL(9,DN349:DN353),"")</f>
        <v/>
      </c>
      <c r="DO348" s="34" t="str">
        <f t="shared" ref="DO348" si="7049">IF(SUBTOTAL(9,DO349:DO353)&gt;0,SUBTOTAL(9,DO349:DO353),"")</f>
        <v/>
      </c>
      <c r="DP348" s="34" t="str">
        <f t="shared" ref="DP348" si="7050">IF(SUBTOTAL(9,DP349:DP353)&gt;0,SUBTOTAL(9,DP349:DP353),"")</f>
        <v/>
      </c>
      <c r="DQ348" s="34" t="str">
        <f t="shared" ref="DQ348" si="7051">IF(SUBTOTAL(9,DQ349:DQ353)&gt;0,SUBTOTAL(9,DQ349:DQ353),"")</f>
        <v/>
      </c>
      <c r="DR348" s="34" t="str">
        <f t="shared" ref="DR348" si="7052">IF(SUBTOTAL(9,DR349:DR353)&gt;0,SUBTOTAL(9,DR349:DR353),"")</f>
        <v/>
      </c>
      <c r="DS348" s="34" t="str">
        <f t="shared" ref="DS348" si="7053">IF(SUBTOTAL(9,DS349:DS353)&gt;0,SUBTOTAL(9,DS349:DS353),"")</f>
        <v/>
      </c>
      <c r="DT348" s="34" t="str">
        <f t="shared" ref="DT348" si="7054">IF(SUBTOTAL(9,DT349:DT353)&gt;0,SUBTOTAL(9,DT349:DT353),"")</f>
        <v/>
      </c>
      <c r="DU348" s="34" t="str">
        <f t="shared" ref="DU348" si="7055">IF(SUBTOTAL(9,DU349:DU353)&gt;0,SUBTOTAL(9,DU349:DU353),"")</f>
        <v/>
      </c>
      <c r="DV348" s="34" t="str">
        <f t="shared" ref="DV348" si="7056">IF(SUBTOTAL(9,DV349:DV353)&gt;0,SUBTOTAL(9,DV349:DV353),"")</f>
        <v/>
      </c>
      <c r="DW348" s="34" t="str">
        <f t="shared" ref="DW348" si="7057">IF(SUBTOTAL(9,DW349:DW353)&gt;0,SUBTOTAL(9,DW349:DW353),"")</f>
        <v/>
      </c>
      <c r="DX348" s="34" t="str">
        <f t="shared" ref="DX348" si="7058">IF(SUBTOTAL(9,DX349:DX353)&gt;0,SUBTOTAL(9,DX349:DX353),"")</f>
        <v/>
      </c>
      <c r="DY348" s="34" t="str">
        <f t="shared" ref="DY348" si="7059">IF(SUBTOTAL(9,DY349:DY353)&gt;0,SUBTOTAL(9,DY349:DY353),"")</f>
        <v/>
      </c>
      <c r="DZ348" s="33" t="str">
        <f t="shared" ref="DZ348" si="7060">IF(SUBTOTAL(9,DZ349:DZ353)&gt;0,SUBTOTAL(9,DZ349:DZ353),"")</f>
        <v/>
      </c>
      <c r="EA348" s="34" t="str">
        <f t="shared" ref="EA348" si="7061">IF(SUBTOTAL(9,EA349:EA353)&gt;0,SUBTOTAL(9,EA349:EA353),"")</f>
        <v/>
      </c>
      <c r="EB348" s="34" t="str">
        <f t="shared" ref="EB348" si="7062">IF(SUBTOTAL(9,EB349:EB353)&gt;0,SUBTOTAL(9,EB349:EB353),"")</f>
        <v/>
      </c>
      <c r="EC348" s="34" t="str">
        <f t="shared" ref="EC348" si="7063">IF(SUBTOTAL(9,EC349:EC353)&gt;0,SUBTOTAL(9,EC349:EC353),"")</f>
        <v/>
      </c>
      <c r="ED348" s="34" t="str">
        <f t="shared" ref="ED348" si="7064">IF(SUBTOTAL(9,ED349:ED353)&gt;0,SUBTOTAL(9,ED349:ED353),"")</f>
        <v/>
      </c>
      <c r="EE348" s="34" t="str">
        <f t="shared" ref="EE348" si="7065">IF(SUBTOTAL(9,EE349:EE353)&gt;0,SUBTOTAL(9,EE349:EE353),"")</f>
        <v/>
      </c>
      <c r="EF348" s="34" t="str">
        <f t="shared" ref="EF348" si="7066">IF(SUBTOTAL(9,EF349:EF353)&gt;0,SUBTOTAL(9,EF349:EF353),"")</f>
        <v/>
      </c>
      <c r="EG348" s="34" t="str">
        <f t="shared" ref="EG348" si="7067">IF(SUBTOTAL(9,EG349:EG353)&gt;0,SUBTOTAL(9,EG349:EG353),"")</f>
        <v/>
      </c>
      <c r="EH348" s="34" t="str">
        <f t="shared" ref="EH348" si="7068">IF(SUBTOTAL(9,EH349:EH353)&gt;0,SUBTOTAL(9,EH349:EH353),"")</f>
        <v/>
      </c>
      <c r="EI348" s="34" t="str">
        <f t="shared" ref="EI348" si="7069">IF(SUBTOTAL(9,EI349:EI353)&gt;0,SUBTOTAL(9,EI349:EI353),"")</f>
        <v/>
      </c>
      <c r="EJ348" s="34" t="str">
        <f t="shared" ref="EJ348" si="7070">IF(SUBTOTAL(9,EJ349:EJ353)&gt;0,SUBTOTAL(9,EJ349:EJ353),"")</f>
        <v/>
      </c>
      <c r="EK348" s="34" t="str">
        <f t="shared" ref="EK348" si="7071">IF(SUBTOTAL(9,EK349:EK353)&gt;0,SUBTOTAL(9,EK349:EK353),"")</f>
        <v/>
      </c>
      <c r="EL348" s="34" t="str">
        <f t="shared" ref="EL348" si="7072">IF(SUBTOTAL(9,EL349:EL353)&gt;0,SUBTOTAL(9,EL349:EL353),"")</f>
        <v/>
      </c>
      <c r="EM348" s="34" t="str">
        <f t="shared" ref="EM348" si="7073">IF(SUBTOTAL(9,EM349:EM353)&gt;0,SUBTOTAL(9,EM349:EM353),"")</f>
        <v/>
      </c>
      <c r="EN348" s="34" t="str">
        <f t="shared" ref="EN348" si="7074">IF(SUBTOTAL(9,EN349:EN353)&gt;0,SUBTOTAL(9,EN349:EN353),"")</f>
        <v/>
      </c>
      <c r="EO348" s="34" t="str">
        <f t="shared" ref="EO348" si="7075">IF(SUBTOTAL(9,EO349:EO353)&gt;0,SUBTOTAL(9,EO349:EO353),"")</f>
        <v/>
      </c>
      <c r="EP348" s="34" t="str">
        <f t="shared" ref="EP348" si="7076">IF(SUBTOTAL(9,EP349:EP353)&gt;0,SUBTOTAL(9,EP349:EP353),"")</f>
        <v/>
      </c>
      <c r="EQ348" s="34" t="str">
        <f t="shared" ref="EQ348" si="7077">IF(SUBTOTAL(9,EQ349:EQ353)&gt;0,SUBTOTAL(9,EQ349:EQ353),"")</f>
        <v/>
      </c>
      <c r="ER348" s="34" t="str">
        <f t="shared" ref="ER348" si="7078">IF(SUBTOTAL(9,ER349:ER353)&gt;0,SUBTOTAL(9,ER349:ER353),"")</f>
        <v/>
      </c>
      <c r="ES348" s="34" t="str">
        <f t="shared" ref="ES348" si="7079">IF(SUBTOTAL(9,ES349:ES353)&gt;0,SUBTOTAL(9,ES349:ES353),"")</f>
        <v/>
      </c>
      <c r="ET348" s="34" t="str">
        <f t="shared" ref="ET348" si="7080">IF(SUBTOTAL(9,ET349:ET353)&gt;0,SUBTOTAL(9,ET349:ET353),"")</f>
        <v/>
      </c>
      <c r="EU348" s="34" t="str">
        <f t="shared" ref="EU348" si="7081">IF(SUBTOTAL(9,EU349:EU353)&gt;0,SUBTOTAL(9,EU349:EU353),"")</f>
        <v/>
      </c>
      <c r="EV348" s="34" t="str">
        <f t="shared" ref="EV348" si="7082">IF(SUBTOTAL(9,EV349:EV353)&gt;0,SUBTOTAL(9,EV349:EV353),"")</f>
        <v/>
      </c>
      <c r="EW348" s="34" t="str">
        <f t="shared" ref="EW348" si="7083">IF(SUBTOTAL(9,EW349:EW353)&gt;0,SUBTOTAL(9,EW349:EW353),"")</f>
        <v/>
      </c>
      <c r="EX348" s="34" t="str">
        <f t="shared" ref="EX348" si="7084">IF(SUBTOTAL(9,EX349:EX353)&gt;0,SUBTOTAL(9,EX349:EX353),"")</f>
        <v/>
      </c>
      <c r="EY348" s="33" t="str">
        <f t="shared" ref="EY348" si="7085">IF(SUBTOTAL(9,EY349:EY353)&gt;0,SUBTOTAL(9,EY349:EY353),"")</f>
        <v/>
      </c>
      <c r="EZ348" s="34" t="str">
        <f t="shared" ref="EZ348" si="7086">IF(SUBTOTAL(9,EZ349:EZ353)&gt;0,SUBTOTAL(9,EZ349:EZ353),"")</f>
        <v/>
      </c>
      <c r="FA348" s="34" t="str">
        <f t="shared" ref="FA348" si="7087">IF(SUBTOTAL(9,FA349:FA353)&gt;0,SUBTOTAL(9,FA349:FA353),"")</f>
        <v/>
      </c>
      <c r="FB348" s="34" t="str">
        <f t="shared" ref="FB348" si="7088">IF(SUBTOTAL(9,FB349:FB353)&gt;0,SUBTOTAL(9,FB349:FB353),"")</f>
        <v/>
      </c>
      <c r="FC348" s="34" t="str">
        <f t="shared" ref="FC348" si="7089">IF(SUBTOTAL(9,FC349:FC353)&gt;0,SUBTOTAL(9,FC349:FC353),"")</f>
        <v/>
      </c>
      <c r="FD348" s="34" t="str">
        <f t="shared" ref="FD348" si="7090">IF(SUBTOTAL(9,FD349:FD353)&gt;0,SUBTOTAL(9,FD349:FD353),"")</f>
        <v/>
      </c>
      <c r="FE348" s="34" t="str">
        <f t="shared" ref="FE348" si="7091">IF(SUBTOTAL(9,FE349:FE353)&gt;0,SUBTOTAL(9,FE349:FE353),"")</f>
        <v/>
      </c>
      <c r="FF348" s="34" t="str">
        <f t="shared" ref="FF348" si="7092">IF(SUBTOTAL(9,FF349:FF353)&gt;0,SUBTOTAL(9,FF349:FF353),"")</f>
        <v/>
      </c>
      <c r="FG348" s="34" t="str">
        <f t="shared" ref="FG348" si="7093">IF(SUBTOTAL(9,FG349:FG353)&gt;0,SUBTOTAL(9,FG349:FG353),"")</f>
        <v/>
      </c>
      <c r="FH348" s="34" t="str">
        <f t="shared" ref="FH348" si="7094">IF(SUBTOTAL(9,FH349:FH353)&gt;0,SUBTOTAL(9,FH349:FH353),"")</f>
        <v/>
      </c>
      <c r="FI348" s="34" t="str">
        <f t="shared" ref="FI348" si="7095">IF(SUBTOTAL(9,FI349:FI353)&gt;0,SUBTOTAL(9,FI349:FI353),"")</f>
        <v/>
      </c>
      <c r="FJ348" s="34" t="str">
        <f t="shared" ref="FJ348" si="7096">IF(SUBTOTAL(9,FJ349:FJ353)&gt;0,SUBTOTAL(9,FJ349:FJ353),"")</f>
        <v/>
      </c>
      <c r="FK348" s="34" t="str">
        <f t="shared" ref="FK348" si="7097">IF(SUBTOTAL(9,FK349:FK353)&gt;0,SUBTOTAL(9,FK349:FK353),"")</f>
        <v/>
      </c>
      <c r="FL348" s="34" t="str">
        <f t="shared" ref="FL348" si="7098">IF(SUBTOTAL(9,FL349:FL353)&gt;0,SUBTOTAL(9,FL349:FL353),"")</f>
        <v/>
      </c>
      <c r="FM348" s="34" t="str">
        <f t="shared" ref="FM348" si="7099">IF(SUBTOTAL(9,FM349:FM353)&gt;0,SUBTOTAL(9,FM349:FM353),"")</f>
        <v/>
      </c>
      <c r="FN348" s="34" t="str">
        <f t="shared" ref="FN348" si="7100">IF(SUBTOTAL(9,FN349:FN353)&gt;0,SUBTOTAL(9,FN349:FN353),"")</f>
        <v/>
      </c>
      <c r="FO348" s="34" t="str">
        <f t="shared" ref="FO348" si="7101">IF(SUBTOTAL(9,FO349:FO353)&gt;0,SUBTOTAL(9,FO349:FO353),"")</f>
        <v/>
      </c>
      <c r="FP348" s="34" t="str">
        <f t="shared" ref="FP348" si="7102">IF(SUBTOTAL(9,FP349:FP353)&gt;0,SUBTOTAL(9,FP349:FP353),"")</f>
        <v/>
      </c>
      <c r="FQ348" s="92" t="str">
        <f t="shared" ref="FQ348" si="7103">IF(SUBTOTAL(9,FQ349:FQ353)&gt;0,SUBTOTAL(9,FQ349:FQ353),"")</f>
        <v/>
      </c>
      <c r="FS348" s="9" t="s">
        <v>131</v>
      </c>
      <c r="FT348" s="9" t="str">
        <f t="shared" si="6597"/>
        <v/>
      </c>
    </row>
    <row r="349" spans="1:176" ht="12" hidden="1" customHeight="1" outlineLevel="1">
      <c r="A349" s="122" t="s">
        <v>188</v>
      </c>
      <c r="B349" s="130" t="s">
        <v>10</v>
      </c>
      <c r="C349" s="131" t="str">
        <f t="shared" ref="C349:C353" si="7104">ROUND(SUM(E349:FQ349),0) &amp; " days"</f>
        <v>1 days</v>
      </c>
      <c r="D349" s="141" t="str">
        <f>A329&amp;" "&amp;A348</f>
        <v>12. FDS Release 4 12.4 FDS Release 4 - Business Validate TDS/ADS data</v>
      </c>
      <c r="E349" s="51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D349" s="35"/>
      <c r="AE349" s="35"/>
      <c r="AF349" s="35"/>
      <c r="AG349" s="35"/>
      <c r="AH349" s="35"/>
      <c r="AI349" s="35"/>
      <c r="AJ349" s="35"/>
      <c r="AK349" s="35"/>
      <c r="AL349" s="36"/>
      <c r="AM349" s="36"/>
      <c r="AN349" s="36"/>
      <c r="AO349" s="36"/>
      <c r="AP349" s="36"/>
      <c r="AQ349" s="36"/>
      <c r="AR349" s="36"/>
      <c r="AS349" s="35">
        <v>0.2</v>
      </c>
      <c r="AT349" s="35"/>
      <c r="AU349" s="35"/>
      <c r="AV349" s="35"/>
      <c r="AW349" s="35"/>
      <c r="AX349" s="35"/>
      <c r="AY349" s="35"/>
      <c r="AZ349" s="35"/>
      <c r="BA349" s="35"/>
      <c r="BB349" s="35"/>
      <c r="BC349" s="35">
        <v>0.2</v>
      </c>
      <c r="BD349" s="35"/>
      <c r="BE349" s="35">
        <v>0.2</v>
      </c>
      <c r="BF349" s="35"/>
      <c r="BG349" s="35"/>
      <c r="BH349" s="35">
        <v>0.2</v>
      </c>
      <c r="BI349" s="35">
        <v>0.1</v>
      </c>
      <c r="BJ349" s="35">
        <v>0.5</v>
      </c>
      <c r="BK349" s="35"/>
      <c r="BL349" s="35"/>
      <c r="BM349" s="35"/>
      <c r="BN349" s="35"/>
      <c r="BO349" s="35"/>
      <c r="BP349" s="35"/>
      <c r="BQ349" s="35"/>
      <c r="BR349" s="35"/>
      <c r="BS349" s="35"/>
      <c r="BT349" s="35"/>
      <c r="BU349" s="35"/>
      <c r="BV349" s="35"/>
      <c r="BW349" s="35"/>
      <c r="BX349" s="35"/>
      <c r="BY349" s="35"/>
      <c r="BZ349" s="35"/>
      <c r="CA349" s="35"/>
      <c r="CB349" s="35"/>
      <c r="CC349" s="35"/>
      <c r="CD349" s="35"/>
      <c r="CE349" s="35"/>
      <c r="CF349" s="35"/>
      <c r="CG349" s="35"/>
      <c r="CH349" s="35"/>
      <c r="CI349" s="35"/>
      <c r="CJ349" s="35"/>
      <c r="CK349" s="35"/>
      <c r="CL349" s="35"/>
      <c r="CM349" s="35"/>
      <c r="CN349" s="35"/>
      <c r="CO349" s="35"/>
      <c r="CP349" s="35"/>
      <c r="CQ349" s="35"/>
      <c r="CR349" s="35"/>
      <c r="CS349" s="35"/>
      <c r="CT349" s="36"/>
      <c r="CU349" s="35"/>
      <c r="CV349" s="35"/>
      <c r="CW349" s="35"/>
      <c r="CX349" s="35"/>
      <c r="CY349" s="35"/>
      <c r="CZ349" s="36"/>
      <c r="DA349" s="36"/>
      <c r="DB349" s="35"/>
      <c r="DC349" s="35"/>
      <c r="DD349" s="35"/>
      <c r="DE349" s="35"/>
      <c r="DF349" s="35"/>
      <c r="DG349" s="35"/>
      <c r="DH349" s="35"/>
      <c r="DI349" s="35"/>
      <c r="DJ349" s="35"/>
      <c r="DK349" s="35"/>
      <c r="DL349" s="35"/>
      <c r="DM349" s="35"/>
      <c r="DN349" s="35"/>
      <c r="DO349" s="35"/>
      <c r="DP349" s="35"/>
      <c r="DQ349" s="35"/>
      <c r="DR349" s="35"/>
      <c r="DS349" s="35"/>
      <c r="DT349" s="35"/>
      <c r="DU349" s="35"/>
      <c r="DV349" s="35"/>
      <c r="DW349" s="35"/>
      <c r="DX349" s="35"/>
      <c r="DY349" s="35"/>
      <c r="DZ349" s="36"/>
      <c r="EA349" s="35"/>
      <c r="EB349" s="35"/>
      <c r="EC349" s="35"/>
      <c r="ED349" s="35"/>
      <c r="EE349" s="35"/>
      <c r="EF349" s="35"/>
      <c r="EG349" s="35"/>
      <c r="EH349" s="35"/>
      <c r="EI349" s="35"/>
      <c r="EJ349" s="35"/>
      <c r="EK349" s="35"/>
      <c r="EL349" s="35"/>
      <c r="EM349" s="35"/>
      <c r="EN349" s="35"/>
      <c r="EO349" s="35"/>
      <c r="EP349" s="35"/>
      <c r="EQ349" s="35"/>
      <c r="ER349" s="35"/>
      <c r="ES349" s="35"/>
      <c r="ET349" s="35"/>
      <c r="EU349" s="35"/>
      <c r="EV349" s="35"/>
      <c r="EW349" s="35"/>
      <c r="EX349" s="35"/>
      <c r="EY349" s="36"/>
      <c r="EZ349" s="35"/>
      <c r="FA349" s="35"/>
      <c r="FB349" s="35"/>
      <c r="FC349" s="35"/>
      <c r="FD349" s="35"/>
      <c r="FE349" s="35"/>
      <c r="FF349" s="35"/>
      <c r="FG349" s="35"/>
      <c r="FH349" s="35"/>
      <c r="FI349" s="35"/>
      <c r="FJ349" s="35"/>
      <c r="FK349" s="35"/>
      <c r="FL349" s="35"/>
      <c r="FM349" s="35"/>
      <c r="FN349" s="35"/>
      <c r="FO349" s="35"/>
      <c r="FP349" s="35"/>
      <c r="FQ349" s="52"/>
      <c r="FS349" s="9" t="s">
        <v>13</v>
      </c>
      <c r="FT349" s="9" t="str">
        <f t="shared" si="6597"/>
        <v>12. FDS Release 4 12.4 FDS Release 4 - Business Validate TDS/ADS dataGlenn Kirk</v>
      </c>
    </row>
    <row r="350" spans="1:176" ht="12" hidden="1" customHeight="1" outlineLevel="1">
      <c r="A350" s="122"/>
      <c r="B350" s="123"/>
      <c r="C350" s="131" t="str">
        <f t="shared" si="7104"/>
        <v>0 days</v>
      </c>
      <c r="D350" s="141" t="str">
        <f>A329&amp;" "&amp;A348</f>
        <v>12. FDS Release 4 12.4 FDS Release 4 - Business Validate TDS/ADS data</v>
      </c>
      <c r="E350" s="51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D350" s="35"/>
      <c r="AE350" s="35"/>
      <c r="AF350" s="35"/>
      <c r="AG350" s="35"/>
      <c r="AH350" s="35"/>
      <c r="AI350" s="35"/>
      <c r="AJ350" s="35"/>
      <c r="AK350" s="35"/>
      <c r="AL350" s="36"/>
      <c r="AM350" s="36"/>
      <c r="AN350" s="36"/>
      <c r="AO350" s="36"/>
      <c r="AP350" s="36"/>
      <c r="AQ350" s="36"/>
      <c r="AR350" s="36"/>
      <c r="AS350" s="35"/>
      <c r="AT350" s="35"/>
      <c r="AU350" s="35"/>
      <c r="AV350" s="35"/>
      <c r="AW350" s="35"/>
      <c r="AX350" s="35"/>
      <c r="AY350" s="35"/>
      <c r="AZ350" s="35"/>
      <c r="BA350" s="35"/>
      <c r="BB350" s="35"/>
      <c r="BC350" s="35"/>
      <c r="BD350" s="35"/>
      <c r="BE350" s="35"/>
      <c r="BF350" s="35"/>
      <c r="BG350" s="35"/>
      <c r="BH350" s="35"/>
      <c r="BI350" s="35"/>
      <c r="BJ350" s="35"/>
      <c r="BK350" s="35"/>
      <c r="BL350" s="35"/>
      <c r="BM350" s="35"/>
      <c r="BN350" s="35"/>
      <c r="BO350" s="35"/>
      <c r="BP350" s="35"/>
      <c r="BQ350" s="35"/>
      <c r="BR350" s="35"/>
      <c r="BS350" s="35"/>
      <c r="BT350" s="35"/>
      <c r="BU350" s="35"/>
      <c r="BV350" s="35"/>
      <c r="BW350" s="35"/>
      <c r="BX350" s="35"/>
      <c r="BY350" s="35"/>
      <c r="BZ350" s="35"/>
      <c r="CA350" s="35"/>
      <c r="CB350" s="35"/>
      <c r="CC350" s="35"/>
      <c r="CD350" s="35"/>
      <c r="CE350" s="35"/>
      <c r="CF350" s="35"/>
      <c r="CG350" s="35"/>
      <c r="CH350" s="35"/>
      <c r="CI350" s="35"/>
      <c r="CJ350" s="35"/>
      <c r="CK350" s="35"/>
      <c r="CL350" s="35"/>
      <c r="CM350" s="35"/>
      <c r="CN350" s="35"/>
      <c r="CO350" s="35"/>
      <c r="CP350" s="35"/>
      <c r="CQ350" s="35"/>
      <c r="CR350" s="35"/>
      <c r="CS350" s="35"/>
      <c r="CT350" s="36"/>
      <c r="CU350" s="35"/>
      <c r="CV350" s="35"/>
      <c r="CW350" s="35"/>
      <c r="CX350" s="35"/>
      <c r="CY350" s="35"/>
      <c r="CZ350" s="36"/>
      <c r="DA350" s="36"/>
      <c r="DB350" s="35"/>
      <c r="DC350" s="35"/>
      <c r="DD350" s="35"/>
      <c r="DE350" s="35"/>
      <c r="DF350" s="35"/>
      <c r="DG350" s="35"/>
      <c r="DH350" s="35"/>
      <c r="DI350" s="35"/>
      <c r="DJ350" s="35"/>
      <c r="DK350" s="35"/>
      <c r="DL350" s="35"/>
      <c r="DM350" s="35"/>
      <c r="DN350" s="35"/>
      <c r="DO350" s="35"/>
      <c r="DP350" s="35"/>
      <c r="DQ350" s="35"/>
      <c r="DR350" s="35"/>
      <c r="DS350" s="35"/>
      <c r="DT350" s="35"/>
      <c r="DU350" s="35"/>
      <c r="DV350" s="35"/>
      <c r="DW350" s="35"/>
      <c r="DX350" s="35"/>
      <c r="DY350" s="35"/>
      <c r="DZ350" s="36"/>
      <c r="EA350" s="35"/>
      <c r="EB350" s="35"/>
      <c r="EC350" s="35"/>
      <c r="ED350" s="35"/>
      <c r="EE350" s="35"/>
      <c r="EF350" s="35"/>
      <c r="EG350" s="35"/>
      <c r="EH350" s="35"/>
      <c r="EI350" s="35"/>
      <c r="EJ350" s="35"/>
      <c r="EK350" s="35"/>
      <c r="EL350" s="35"/>
      <c r="EM350" s="35"/>
      <c r="EN350" s="35"/>
      <c r="EO350" s="35"/>
      <c r="EP350" s="35"/>
      <c r="EQ350" s="35"/>
      <c r="ER350" s="35"/>
      <c r="ES350" s="35"/>
      <c r="ET350" s="35"/>
      <c r="EU350" s="35"/>
      <c r="EV350" s="35"/>
      <c r="EW350" s="35"/>
      <c r="EX350" s="35"/>
      <c r="EY350" s="36"/>
      <c r="EZ350" s="35"/>
      <c r="FA350" s="35"/>
      <c r="FB350" s="35"/>
      <c r="FC350" s="35"/>
      <c r="FD350" s="35"/>
      <c r="FE350" s="35"/>
      <c r="FF350" s="35"/>
      <c r="FG350" s="35"/>
      <c r="FH350" s="35"/>
      <c r="FI350" s="35"/>
      <c r="FJ350" s="35"/>
      <c r="FK350" s="35"/>
      <c r="FL350" s="35"/>
      <c r="FM350" s="35"/>
      <c r="FN350" s="35"/>
      <c r="FO350" s="35"/>
      <c r="FP350" s="35"/>
      <c r="FQ350" s="52"/>
      <c r="FS350" s="9" t="s">
        <v>13</v>
      </c>
      <c r="FT350" s="9" t="str">
        <f t="shared" si="6597"/>
        <v>12. FDS Release 4 12.4 FDS Release 4 - Business Validate TDS/ADS data</v>
      </c>
    </row>
    <row r="351" spans="1:176" ht="12" hidden="1" customHeight="1" outlineLevel="1">
      <c r="A351" s="122"/>
      <c r="B351" s="123"/>
      <c r="C351" s="131" t="str">
        <f t="shared" si="7104"/>
        <v>0 days</v>
      </c>
      <c r="D351" s="141" t="str">
        <f>A329&amp;" "&amp;A348</f>
        <v>12. FDS Release 4 12.4 FDS Release 4 - Business Validate TDS/ADS data</v>
      </c>
      <c r="E351" s="51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A351" s="35"/>
      <c r="AB351" s="35"/>
      <c r="AC351" s="35"/>
      <c r="AD351" s="35"/>
      <c r="AE351" s="35"/>
      <c r="AF351" s="35"/>
      <c r="AG351" s="35"/>
      <c r="AH351" s="35"/>
      <c r="AI351" s="35"/>
      <c r="AJ351" s="35"/>
      <c r="AK351" s="35"/>
      <c r="AL351" s="36"/>
      <c r="AM351" s="36"/>
      <c r="AN351" s="36"/>
      <c r="AO351" s="36"/>
      <c r="AP351" s="36"/>
      <c r="AQ351" s="36"/>
      <c r="AR351" s="36"/>
      <c r="AS351" s="35"/>
      <c r="AT351" s="35"/>
      <c r="AU351" s="35"/>
      <c r="AV351" s="35"/>
      <c r="AW351" s="35"/>
      <c r="AX351" s="35"/>
      <c r="AY351" s="35"/>
      <c r="AZ351" s="35"/>
      <c r="BA351" s="35"/>
      <c r="BB351" s="35"/>
      <c r="BC351" s="35"/>
      <c r="BD351" s="35"/>
      <c r="BE351" s="35"/>
      <c r="BF351" s="35"/>
      <c r="BG351" s="35"/>
      <c r="BH351" s="35"/>
      <c r="BI351" s="35"/>
      <c r="BJ351" s="35"/>
      <c r="BK351" s="35"/>
      <c r="BL351" s="35"/>
      <c r="BM351" s="35"/>
      <c r="BN351" s="35"/>
      <c r="BO351" s="35"/>
      <c r="BP351" s="35"/>
      <c r="BQ351" s="35"/>
      <c r="BR351" s="35"/>
      <c r="BS351" s="35"/>
      <c r="BT351" s="35"/>
      <c r="BU351" s="35"/>
      <c r="BV351" s="35"/>
      <c r="BW351" s="35"/>
      <c r="BX351" s="35"/>
      <c r="BY351" s="35"/>
      <c r="BZ351" s="35"/>
      <c r="CA351" s="35"/>
      <c r="CB351" s="35"/>
      <c r="CC351" s="35"/>
      <c r="CD351" s="35"/>
      <c r="CE351" s="35"/>
      <c r="CF351" s="35"/>
      <c r="CG351" s="35"/>
      <c r="CH351" s="35"/>
      <c r="CI351" s="35"/>
      <c r="CJ351" s="35"/>
      <c r="CK351" s="35"/>
      <c r="CL351" s="35"/>
      <c r="CM351" s="35"/>
      <c r="CN351" s="35"/>
      <c r="CO351" s="35"/>
      <c r="CP351" s="35"/>
      <c r="CQ351" s="35"/>
      <c r="CR351" s="35"/>
      <c r="CS351" s="35"/>
      <c r="CT351" s="36"/>
      <c r="CU351" s="35"/>
      <c r="CV351" s="35"/>
      <c r="CW351" s="35"/>
      <c r="CX351" s="35"/>
      <c r="CY351" s="35"/>
      <c r="CZ351" s="36"/>
      <c r="DA351" s="36"/>
      <c r="DB351" s="35"/>
      <c r="DC351" s="35"/>
      <c r="DD351" s="35"/>
      <c r="DE351" s="35"/>
      <c r="DF351" s="35"/>
      <c r="DG351" s="35"/>
      <c r="DH351" s="35"/>
      <c r="DI351" s="35"/>
      <c r="DJ351" s="35"/>
      <c r="DK351" s="35"/>
      <c r="DL351" s="35"/>
      <c r="DM351" s="35"/>
      <c r="DN351" s="35"/>
      <c r="DO351" s="35"/>
      <c r="DP351" s="35"/>
      <c r="DQ351" s="35"/>
      <c r="DR351" s="35"/>
      <c r="DS351" s="35"/>
      <c r="DT351" s="35"/>
      <c r="DU351" s="35"/>
      <c r="DV351" s="35"/>
      <c r="DW351" s="35"/>
      <c r="DX351" s="35"/>
      <c r="DY351" s="35"/>
      <c r="DZ351" s="36"/>
      <c r="EA351" s="35"/>
      <c r="EB351" s="35"/>
      <c r="EC351" s="35"/>
      <c r="ED351" s="35"/>
      <c r="EE351" s="35"/>
      <c r="EF351" s="35"/>
      <c r="EG351" s="35"/>
      <c r="EH351" s="35"/>
      <c r="EI351" s="35"/>
      <c r="EJ351" s="35"/>
      <c r="EK351" s="35"/>
      <c r="EL351" s="35"/>
      <c r="EM351" s="35"/>
      <c r="EN351" s="35"/>
      <c r="EO351" s="35"/>
      <c r="EP351" s="35"/>
      <c r="EQ351" s="35"/>
      <c r="ER351" s="35"/>
      <c r="ES351" s="35"/>
      <c r="ET351" s="35"/>
      <c r="EU351" s="35"/>
      <c r="EV351" s="35"/>
      <c r="EW351" s="35"/>
      <c r="EX351" s="35"/>
      <c r="EY351" s="36"/>
      <c r="EZ351" s="35"/>
      <c r="FA351" s="35"/>
      <c r="FB351" s="35"/>
      <c r="FC351" s="35"/>
      <c r="FD351" s="35"/>
      <c r="FE351" s="35"/>
      <c r="FF351" s="35"/>
      <c r="FG351" s="35"/>
      <c r="FH351" s="35"/>
      <c r="FI351" s="35"/>
      <c r="FJ351" s="35"/>
      <c r="FK351" s="35"/>
      <c r="FL351" s="35"/>
      <c r="FM351" s="35"/>
      <c r="FN351" s="35"/>
      <c r="FO351" s="35"/>
      <c r="FP351" s="35"/>
      <c r="FQ351" s="52"/>
      <c r="FS351" s="9" t="s">
        <v>13</v>
      </c>
      <c r="FT351" s="9" t="str">
        <f t="shared" si="6597"/>
        <v>12. FDS Release 4 12.4 FDS Release 4 - Business Validate TDS/ADS data</v>
      </c>
    </row>
    <row r="352" spans="1:176" ht="12" hidden="1" customHeight="1" outlineLevel="1">
      <c r="A352" s="122"/>
      <c r="B352" s="123"/>
      <c r="C352" s="131" t="str">
        <f t="shared" si="7104"/>
        <v>0 days</v>
      </c>
      <c r="D352" s="141" t="str">
        <f>A329&amp;" "&amp;A348</f>
        <v>12. FDS Release 4 12.4 FDS Release 4 - Business Validate TDS/ADS data</v>
      </c>
      <c r="E352" s="51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D352" s="35"/>
      <c r="AE352" s="35"/>
      <c r="AF352" s="35"/>
      <c r="AG352" s="35"/>
      <c r="AH352" s="35"/>
      <c r="AI352" s="35"/>
      <c r="AJ352" s="35"/>
      <c r="AK352" s="35"/>
      <c r="AL352" s="36"/>
      <c r="AM352" s="36"/>
      <c r="AN352" s="36"/>
      <c r="AO352" s="36"/>
      <c r="AP352" s="36"/>
      <c r="AQ352" s="36"/>
      <c r="AR352" s="36"/>
      <c r="AS352" s="35"/>
      <c r="AT352" s="35"/>
      <c r="AU352" s="35"/>
      <c r="AV352" s="35"/>
      <c r="AW352" s="35"/>
      <c r="AX352" s="35"/>
      <c r="AY352" s="35"/>
      <c r="AZ352" s="35"/>
      <c r="BA352" s="35"/>
      <c r="BB352" s="35"/>
      <c r="BC352" s="35"/>
      <c r="BD352" s="35"/>
      <c r="BE352" s="35"/>
      <c r="BF352" s="35"/>
      <c r="BG352" s="35"/>
      <c r="BH352" s="35"/>
      <c r="BI352" s="35"/>
      <c r="BJ352" s="35"/>
      <c r="BK352" s="35"/>
      <c r="BL352" s="35"/>
      <c r="BM352" s="35"/>
      <c r="BN352" s="35"/>
      <c r="BO352" s="35"/>
      <c r="BP352" s="35"/>
      <c r="BQ352" s="35"/>
      <c r="BR352" s="35"/>
      <c r="BS352" s="35"/>
      <c r="BT352" s="35"/>
      <c r="BU352" s="35"/>
      <c r="BV352" s="35"/>
      <c r="BW352" s="35"/>
      <c r="BX352" s="35"/>
      <c r="BY352" s="35"/>
      <c r="BZ352" s="35"/>
      <c r="CA352" s="35"/>
      <c r="CB352" s="35"/>
      <c r="CC352" s="35"/>
      <c r="CD352" s="35"/>
      <c r="CE352" s="35"/>
      <c r="CF352" s="35"/>
      <c r="CG352" s="35"/>
      <c r="CH352" s="35"/>
      <c r="CI352" s="35"/>
      <c r="CJ352" s="35"/>
      <c r="CK352" s="35"/>
      <c r="CL352" s="35"/>
      <c r="CM352" s="35"/>
      <c r="CN352" s="35"/>
      <c r="CO352" s="35"/>
      <c r="CP352" s="35"/>
      <c r="CQ352" s="35"/>
      <c r="CR352" s="35"/>
      <c r="CS352" s="35"/>
      <c r="CT352" s="36"/>
      <c r="CU352" s="35"/>
      <c r="CV352" s="35"/>
      <c r="CW352" s="35"/>
      <c r="CX352" s="35"/>
      <c r="CY352" s="35"/>
      <c r="CZ352" s="36"/>
      <c r="DA352" s="36"/>
      <c r="DB352" s="35"/>
      <c r="DC352" s="35"/>
      <c r="DD352" s="35"/>
      <c r="DE352" s="35"/>
      <c r="DF352" s="35"/>
      <c r="DG352" s="35"/>
      <c r="DH352" s="35"/>
      <c r="DI352" s="35"/>
      <c r="DJ352" s="35"/>
      <c r="DK352" s="35"/>
      <c r="DL352" s="35"/>
      <c r="DM352" s="35"/>
      <c r="DN352" s="35"/>
      <c r="DO352" s="35"/>
      <c r="DP352" s="35"/>
      <c r="DQ352" s="35"/>
      <c r="DR352" s="35"/>
      <c r="DS352" s="35"/>
      <c r="DT352" s="35"/>
      <c r="DU352" s="35"/>
      <c r="DV352" s="35"/>
      <c r="DW352" s="35"/>
      <c r="DX352" s="35"/>
      <c r="DY352" s="35"/>
      <c r="DZ352" s="36"/>
      <c r="EA352" s="35"/>
      <c r="EB352" s="35"/>
      <c r="EC352" s="35"/>
      <c r="ED352" s="35"/>
      <c r="EE352" s="35"/>
      <c r="EF352" s="35"/>
      <c r="EG352" s="35"/>
      <c r="EH352" s="35"/>
      <c r="EI352" s="35"/>
      <c r="EJ352" s="35"/>
      <c r="EK352" s="35"/>
      <c r="EL352" s="35"/>
      <c r="EM352" s="35"/>
      <c r="EN352" s="35"/>
      <c r="EO352" s="35"/>
      <c r="EP352" s="35"/>
      <c r="EQ352" s="35"/>
      <c r="ER352" s="35"/>
      <c r="ES352" s="35"/>
      <c r="ET352" s="35"/>
      <c r="EU352" s="35"/>
      <c r="EV352" s="35"/>
      <c r="EW352" s="35"/>
      <c r="EX352" s="35"/>
      <c r="EY352" s="36"/>
      <c r="EZ352" s="35"/>
      <c r="FA352" s="35"/>
      <c r="FB352" s="35"/>
      <c r="FC352" s="35"/>
      <c r="FD352" s="35"/>
      <c r="FE352" s="35"/>
      <c r="FF352" s="35"/>
      <c r="FG352" s="35"/>
      <c r="FH352" s="35"/>
      <c r="FI352" s="35"/>
      <c r="FJ352" s="35"/>
      <c r="FK352" s="35"/>
      <c r="FL352" s="35"/>
      <c r="FM352" s="35"/>
      <c r="FN352" s="35"/>
      <c r="FO352" s="35"/>
      <c r="FP352" s="35"/>
      <c r="FQ352" s="52"/>
      <c r="FS352" s="9" t="s">
        <v>13</v>
      </c>
      <c r="FT352" s="9" t="str">
        <f t="shared" si="6597"/>
        <v>12. FDS Release 4 12.4 FDS Release 4 - Business Validate TDS/ADS data</v>
      </c>
    </row>
    <row r="353" spans="1:176" ht="12" hidden="1" customHeight="1" outlineLevel="1">
      <c r="A353" s="122"/>
      <c r="B353" s="123"/>
      <c r="C353" s="131" t="str">
        <f t="shared" si="7104"/>
        <v>0 days</v>
      </c>
      <c r="D353" s="141" t="str">
        <f>A329&amp;" "&amp;A348</f>
        <v>12. FDS Release 4 12.4 FDS Release 4 - Business Validate TDS/ADS data</v>
      </c>
      <c r="E353" s="51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D353" s="35"/>
      <c r="AE353" s="35"/>
      <c r="AF353" s="35"/>
      <c r="AG353" s="35"/>
      <c r="AH353" s="35"/>
      <c r="AI353" s="35"/>
      <c r="AJ353" s="35"/>
      <c r="AK353" s="35"/>
      <c r="AL353" s="36"/>
      <c r="AM353" s="36"/>
      <c r="AN353" s="36"/>
      <c r="AO353" s="36"/>
      <c r="AP353" s="36"/>
      <c r="AQ353" s="36"/>
      <c r="AR353" s="36"/>
      <c r="AS353" s="35"/>
      <c r="AT353" s="35"/>
      <c r="AU353" s="35"/>
      <c r="AV353" s="35"/>
      <c r="AW353" s="35"/>
      <c r="AX353" s="35"/>
      <c r="AY353" s="35"/>
      <c r="AZ353" s="35"/>
      <c r="BA353" s="35"/>
      <c r="BB353" s="35"/>
      <c r="BC353" s="35"/>
      <c r="BD353" s="35"/>
      <c r="BE353" s="35"/>
      <c r="BF353" s="35"/>
      <c r="BG353" s="35"/>
      <c r="BH353" s="35"/>
      <c r="BI353" s="35"/>
      <c r="BJ353" s="35"/>
      <c r="BK353" s="35"/>
      <c r="BL353" s="35"/>
      <c r="BM353" s="35"/>
      <c r="BN353" s="35"/>
      <c r="BO353" s="35"/>
      <c r="BP353" s="35"/>
      <c r="BQ353" s="35"/>
      <c r="BR353" s="35"/>
      <c r="BS353" s="35"/>
      <c r="BT353" s="35"/>
      <c r="BU353" s="35"/>
      <c r="BV353" s="35"/>
      <c r="BW353" s="35"/>
      <c r="BX353" s="35"/>
      <c r="BY353" s="35"/>
      <c r="BZ353" s="35"/>
      <c r="CA353" s="35"/>
      <c r="CB353" s="35"/>
      <c r="CC353" s="35"/>
      <c r="CD353" s="35"/>
      <c r="CE353" s="35"/>
      <c r="CF353" s="35"/>
      <c r="CG353" s="35"/>
      <c r="CH353" s="35"/>
      <c r="CI353" s="35"/>
      <c r="CJ353" s="35"/>
      <c r="CK353" s="35"/>
      <c r="CL353" s="35"/>
      <c r="CM353" s="35"/>
      <c r="CN353" s="35"/>
      <c r="CO353" s="35"/>
      <c r="CP353" s="35"/>
      <c r="CQ353" s="35"/>
      <c r="CR353" s="35"/>
      <c r="CS353" s="35"/>
      <c r="CT353" s="36"/>
      <c r="CU353" s="35"/>
      <c r="CV353" s="35"/>
      <c r="CW353" s="35"/>
      <c r="CX353" s="35"/>
      <c r="CY353" s="35"/>
      <c r="CZ353" s="36"/>
      <c r="DA353" s="36"/>
      <c r="DB353" s="35"/>
      <c r="DC353" s="35"/>
      <c r="DD353" s="35"/>
      <c r="DE353" s="35"/>
      <c r="DF353" s="35"/>
      <c r="DG353" s="35"/>
      <c r="DH353" s="35"/>
      <c r="DI353" s="35"/>
      <c r="DJ353" s="35"/>
      <c r="DK353" s="35"/>
      <c r="DL353" s="35"/>
      <c r="DM353" s="35"/>
      <c r="DN353" s="35"/>
      <c r="DO353" s="35"/>
      <c r="DP353" s="35"/>
      <c r="DQ353" s="35"/>
      <c r="DR353" s="35"/>
      <c r="DS353" s="35"/>
      <c r="DT353" s="35"/>
      <c r="DU353" s="35"/>
      <c r="DV353" s="35"/>
      <c r="DW353" s="35"/>
      <c r="DX353" s="35"/>
      <c r="DY353" s="35"/>
      <c r="DZ353" s="36"/>
      <c r="EA353" s="35"/>
      <c r="EB353" s="35"/>
      <c r="EC353" s="35"/>
      <c r="ED353" s="35"/>
      <c r="EE353" s="35"/>
      <c r="EF353" s="35"/>
      <c r="EG353" s="35"/>
      <c r="EH353" s="35"/>
      <c r="EI353" s="35"/>
      <c r="EJ353" s="35"/>
      <c r="EK353" s="35"/>
      <c r="EL353" s="35"/>
      <c r="EM353" s="35"/>
      <c r="EN353" s="35"/>
      <c r="EO353" s="35"/>
      <c r="EP353" s="35"/>
      <c r="EQ353" s="35"/>
      <c r="ER353" s="35"/>
      <c r="ES353" s="35"/>
      <c r="ET353" s="35"/>
      <c r="EU353" s="35"/>
      <c r="EV353" s="35"/>
      <c r="EW353" s="35"/>
      <c r="EX353" s="35"/>
      <c r="EY353" s="36"/>
      <c r="EZ353" s="35"/>
      <c r="FA353" s="35"/>
      <c r="FB353" s="35"/>
      <c r="FC353" s="35"/>
      <c r="FD353" s="35"/>
      <c r="FE353" s="35"/>
      <c r="FF353" s="35"/>
      <c r="FG353" s="35"/>
      <c r="FH353" s="35"/>
      <c r="FI353" s="35"/>
      <c r="FJ353" s="35"/>
      <c r="FK353" s="35"/>
      <c r="FL353" s="35"/>
      <c r="FM353" s="35"/>
      <c r="FN353" s="35"/>
      <c r="FO353" s="35"/>
      <c r="FP353" s="35"/>
      <c r="FQ353" s="52"/>
      <c r="FS353" s="9" t="s">
        <v>13</v>
      </c>
      <c r="FT353" s="9" t="str">
        <f t="shared" si="6597"/>
        <v>12. FDS Release 4 12.4 FDS Release 4 - Business Validate TDS/ADS data</v>
      </c>
    </row>
    <row r="354" spans="1:176" ht="12" customHeight="1" collapsed="1">
      <c r="A354" s="119" t="s">
        <v>112</v>
      </c>
      <c r="B354" s="127"/>
      <c r="C354" s="128" t="str">
        <f>ROUND(SUM(E354:FQ354),0) &amp; " days"</f>
        <v>2 days</v>
      </c>
      <c r="D354" s="37"/>
      <c r="E354" s="91" t="str">
        <f t="shared" ref="E354" si="7105">IF(SUBTOTAL(9,E355:E359)&gt;0,SUBTOTAL(9,E355:E359),"")</f>
        <v/>
      </c>
      <c r="F354" s="34" t="str">
        <f t="shared" ref="F354" si="7106">IF(SUBTOTAL(9,F355:F359)&gt;0,SUBTOTAL(9,F355:F359),"")</f>
        <v/>
      </c>
      <c r="G354" s="34" t="str">
        <f t="shared" ref="G354" si="7107">IF(SUBTOTAL(9,G355:G359)&gt;0,SUBTOTAL(9,G355:G359),"")</f>
        <v/>
      </c>
      <c r="H354" s="34" t="str">
        <f t="shared" ref="H354" si="7108">IF(SUBTOTAL(9,H355:H359)&gt;0,SUBTOTAL(9,H355:H359),"")</f>
        <v/>
      </c>
      <c r="I354" s="34" t="str">
        <f t="shared" ref="I354" si="7109">IF(SUBTOTAL(9,I355:I359)&gt;0,SUBTOTAL(9,I355:I359),"")</f>
        <v/>
      </c>
      <c r="J354" s="34" t="str">
        <f t="shared" ref="J354" si="7110">IF(SUBTOTAL(9,J355:J359)&gt;0,SUBTOTAL(9,J355:J359),"")</f>
        <v/>
      </c>
      <c r="K354" s="34" t="str">
        <f t="shared" ref="K354" si="7111">IF(SUBTOTAL(9,K355:K359)&gt;0,SUBTOTAL(9,K355:K359),"")</f>
        <v/>
      </c>
      <c r="L354" s="34" t="str">
        <f t="shared" ref="L354" si="7112">IF(SUBTOTAL(9,L355:L359)&gt;0,SUBTOTAL(9,L355:L359),"")</f>
        <v/>
      </c>
      <c r="M354" s="34" t="str">
        <f t="shared" ref="M354" si="7113">IF(SUBTOTAL(9,M355:M359)&gt;0,SUBTOTAL(9,M355:M359),"")</f>
        <v/>
      </c>
      <c r="N354" s="34" t="str">
        <f t="shared" ref="N354" si="7114">IF(SUBTOTAL(9,N355:N359)&gt;0,SUBTOTAL(9,N355:N359),"")</f>
        <v/>
      </c>
      <c r="O354" s="34" t="str">
        <f t="shared" ref="O354" si="7115">IF(SUBTOTAL(9,O355:O359)&gt;0,SUBTOTAL(9,O355:O359),"")</f>
        <v/>
      </c>
      <c r="P354" s="34" t="str">
        <f t="shared" ref="P354" si="7116">IF(SUBTOTAL(9,P355:P359)&gt;0,SUBTOTAL(9,P355:P359),"")</f>
        <v/>
      </c>
      <c r="Q354" s="34" t="str">
        <f t="shared" ref="Q354" si="7117">IF(SUBTOTAL(9,Q355:Q359)&gt;0,SUBTOTAL(9,Q355:Q359),"")</f>
        <v/>
      </c>
      <c r="R354" s="34" t="str">
        <f t="shared" ref="R354" si="7118">IF(SUBTOTAL(9,R355:R359)&gt;0,SUBTOTAL(9,R355:R359),"")</f>
        <v/>
      </c>
      <c r="S354" s="34" t="str">
        <f t="shared" ref="S354" si="7119">IF(SUBTOTAL(9,S355:S359)&gt;0,SUBTOTAL(9,S355:S359),"")</f>
        <v/>
      </c>
      <c r="T354" s="34" t="str">
        <f t="shared" ref="T354" si="7120">IF(SUBTOTAL(9,T355:T359)&gt;0,SUBTOTAL(9,T355:T359),"")</f>
        <v/>
      </c>
      <c r="U354" s="34" t="str">
        <f t="shared" ref="U354" si="7121">IF(SUBTOTAL(9,U355:U359)&gt;0,SUBTOTAL(9,U355:U359),"")</f>
        <v/>
      </c>
      <c r="V354" s="34" t="str">
        <f t="shared" ref="V354" si="7122">IF(SUBTOTAL(9,V355:V359)&gt;0,SUBTOTAL(9,V355:V359),"")</f>
        <v/>
      </c>
      <c r="W354" s="34" t="str">
        <f t="shared" ref="W354" si="7123">IF(SUBTOTAL(9,W355:W359)&gt;0,SUBTOTAL(9,W355:W359),"")</f>
        <v/>
      </c>
      <c r="X354" s="34" t="str">
        <f t="shared" ref="X354" si="7124">IF(SUBTOTAL(9,X355:X359)&gt;0,SUBTOTAL(9,X355:X359),"")</f>
        <v/>
      </c>
      <c r="Y354" s="34">
        <f t="shared" ref="Y354" si="7125">IF(SUBTOTAL(9,Y355:Y359)&gt;0,SUBTOTAL(9,Y355:Y359),"")</f>
        <v>0.2</v>
      </c>
      <c r="Z354" s="34">
        <f t="shared" ref="Z354" si="7126">IF(SUBTOTAL(9,Z355:Z359)&gt;0,SUBTOTAL(9,Z355:Z359),"")</f>
        <v>0.2</v>
      </c>
      <c r="AA354" s="34">
        <f t="shared" ref="AA354" si="7127">IF(SUBTOTAL(9,AA355:AA359)&gt;0,SUBTOTAL(9,AA355:AA359),"")</f>
        <v>0.2</v>
      </c>
      <c r="AB354" s="34">
        <f t="shared" ref="AB354" si="7128">IF(SUBTOTAL(9,AB355:AB359)&gt;0,SUBTOTAL(9,AB355:AB359),"")</f>
        <v>0.2</v>
      </c>
      <c r="AC354" s="34">
        <f t="shared" ref="AC354" si="7129">IF(SUBTOTAL(9,AC355:AC359)&gt;0,SUBTOTAL(9,AC355:AC359),"")</f>
        <v>0.2</v>
      </c>
      <c r="AD354" s="34">
        <f t="shared" ref="AD354" si="7130">IF(SUBTOTAL(9,AD355:AD359)&gt;0,SUBTOTAL(9,AD355:AD359),"")</f>
        <v>0.2</v>
      </c>
      <c r="AE354" s="34">
        <f t="shared" ref="AE354" si="7131">IF(SUBTOTAL(9,AE355:AE359)&gt;0,SUBTOTAL(9,AE355:AE359),"")</f>
        <v>0.2</v>
      </c>
      <c r="AF354" s="34">
        <f t="shared" ref="AF354" si="7132">IF(SUBTOTAL(9,AF355:AF359)&gt;0,SUBTOTAL(9,AF355:AF359),"")</f>
        <v>0.2</v>
      </c>
      <c r="AG354" s="34">
        <f t="shared" ref="AG354" si="7133">IF(SUBTOTAL(9,AG355:AG359)&gt;0,SUBTOTAL(9,AG355:AG359),"")</f>
        <v>0.2</v>
      </c>
      <c r="AH354" s="34">
        <f t="shared" ref="AH354" si="7134">IF(SUBTOTAL(9,AH355:AH359)&gt;0,SUBTOTAL(9,AH355:AH359),"")</f>
        <v>0.2</v>
      </c>
      <c r="AI354" s="34" t="str">
        <f t="shared" ref="AI354" si="7135">IF(SUBTOTAL(9,AI355:AI359)&gt;0,SUBTOTAL(9,AI355:AI359),"")</f>
        <v/>
      </c>
      <c r="AJ354" s="34" t="str">
        <f t="shared" ref="AJ354" si="7136">IF(SUBTOTAL(9,AJ355:AJ359)&gt;0,SUBTOTAL(9,AJ355:AJ359),"")</f>
        <v/>
      </c>
      <c r="AK354" s="34" t="str">
        <f t="shared" ref="AK354" si="7137">IF(SUBTOTAL(9,AK355:AK359)&gt;0,SUBTOTAL(9,AK355:AK359),"")</f>
        <v/>
      </c>
      <c r="AL354" s="33" t="str">
        <f t="shared" ref="AL354" si="7138">IF(SUBTOTAL(9,AL355:AL359)&gt;0,SUBTOTAL(9,AL355:AL359),"")</f>
        <v/>
      </c>
      <c r="AM354" s="33" t="str">
        <f t="shared" ref="AM354" si="7139">IF(SUBTOTAL(9,AM355:AM359)&gt;0,SUBTOTAL(9,AM355:AM359),"")</f>
        <v/>
      </c>
      <c r="AN354" s="33" t="str">
        <f t="shared" ref="AN354" si="7140">IF(SUBTOTAL(9,AN355:AN359)&gt;0,SUBTOTAL(9,AN355:AN359),"")</f>
        <v/>
      </c>
      <c r="AO354" s="33" t="str">
        <f t="shared" ref="AO354" si="7141">IF(SUBTOTAL(9,AO355:AO359)&gt;0,SUBTOTAL(9,AO355:AO359),"")</f>
        <v/>
      </c>
      <c r="AP354" s="33" t="str">
        <f t="shared" ref="AP354" si="7142">IF(SUBTOTAL(9,AP355:AP359)&gt;0,SUBTOTAL(9,AP355:AP359),"")</f>
        <v/>
      </c>
      <c r="AQ354" s="33" t="str">
        <f t="shared" ref="AQ354" si="7143">IF(SUBTOTAL(9,AQ355:AQ359)&gt;0,SUBTOTAL(9,AQ355:AQ359),"")</f>
        <v/>
      </c>
      <c r="AR354" s="33" t="str">
        <f t="shared" ref="AR354" si="7144">IF(SUBTOTAL(9,AR355:AR359)&gt;0,SUBTOTAL(9,AR355:AR359),"")</f>
        <v/>
      </c>
      <c r="AS354" s="34" t="str">
        <f t="shared" ref="AS354" si="7145">IF(SUBTOTAL(9,AS355:AS359)&gt;0,SUBTOTAL(9,AS355:AS359),"")</f>
        <v/>
      </c>
      <c r="AT354" s="34" t="str">
        <f t="shared" ref="AT354" si="7146">IF(SUBTOTAL(9,AT355:AT359)&gt;0,SUBTOTAL(9,AT355:AT359),"")</f>
        <v/>
      </c>
      <c r="AU354" s="34" t="str">
        <f t="shared" ref="AU354" si="7147">IF(SUBTOTAL(9,AU355:AU359)&gt;0,SUBTOTAL(9,AU355:AU359),"")</f>
        <v/>
      </c>
      <c r="AV354" s="34" t="str">
        <f t="shared" ref="AV354" si="7148">IF(SUBTOTAL(9,AV355:AV359)&gt;0,SUBTOTAL(9,AV355:AV359),"")</f>
        <v/>
      </c>
      <c r="AW354" s="34" t="str">
        <f t="shared" ref="AW354" si="7149">IF(SUBTOTAL(9,AW355:AW359)&gt;0,SUBTOTAL(9,AW355:AW359),"")</f>
        <v/>
      </c>
      <c r="AX354" s="34" t="str">
        <f t="shared" ref="AX354" si="7150">IF(SUBTOTAL(9,AX355:AX359)&gt;0,SUBTOTAL(9,AX355:AX359),"")</f>
        <v/>
      </c>
      <c r="AY354" s="34" t="str">
        <f t="shared" ref="AY354" si="7151">IF(SUBTOTAL(9,AY355:AY359)&gt;0,SUBTOTAL(9,AY355:AY359),"")</f>
        <v/>
      </c>
      <c r="AZ354" s="34" t="str">
        <f t="shared" ref="AZ354" si="7152">IF(SUBTOTAL(9,AZ355:AZ359)&gt;0,SUBTOTAL(9,AZ355:AZ359),"")</f>
        <v/>
      </c>
      <c r="BA354" s="34" t="str">
        <f t="shared" ref="BA354" si="7153">IF(SUBTOTAL(9,BA355:BA359)&gt;0,SUBTOTAL(9,BA355:BA359),"")</f>
        <v/>
      </c>
      <c r="BB354" s="34" t="str">
        <f t="shared" ref="BB354" si="7154">IF(SUBTOTAL(9,BB355:BB359)&gt;0,SUBTOTAL(9,BB355:BB359),"")</f>
        <v/>
      </c>
      <c r="BC354" s="34" t="str">
        <f t="shared" ref="BC354" si="7155">IF(SUBTOTAL(9,BC355:BC359)&gt;0,SUBTOTAL(9,BC355:BC359),"")</f>
        <v/>
      </c>
      <c r="BD354" s="34" t="str">
        <f t="shared" ref="BD354" si="7156">IF(SUBTOTAL(9,BD355:BD359)&gt;0,SUBTOTAL(9,BD355:BD359),"")</f>
        <v/>
      </c>
      <c r="BE354" s="34" t="str">
        <f t="shared" ref="BE354" si="7157">IF(SUBTOTAL(9,BE355:BE359)&gt;0,SUBTOTAL(9,BE355:BE359),"")</f>
        <v/>
      </c>
      <c r="BF354" s="34" t="str">
        <f t="shared" ref="BF354" si="7158">IF(SUBTOTAL(9,BF355:BF359)&gt;0,SUBTOTAL(9,BF355:BF359),"")</f>
        <v/>
      </c>
      <c r="BG354" s="34" t="str">
        <f t="shared" ref="BG354" si="7159">IF(SUBTOTAL(9,BG355:BG359)&gt;0,SUBTOTAL(9,BG355:BG359),"")</f>
        <v/>
      </c>
      <c r="BH354" s="34" t="str">
        <f t="shared" ref="BH354" si="7160">IF(SUBTOTAL(9,BH355:BH359)&gt;0,SUBTOTAL(9,BH355:BH359),"")</f>
        <v/>
      </c>
      <c r="BI354" s="34" t="str">
        <f t="shared" ref="BI354" si="7161">IF(SUBTOTAL(9,BI355:BI359)&gt;0,SUBTOTAL(9,BI355:BI359),"")</f>
        <v/>
      </c>
      <c r="BJ354" s="34" t="str">
        <f t="shared" ref="BJ354" si="7162">IF(SUBTOTAL(9,BJ355:BJ359)&gt;0,SUBTOTAL(9,BJ355:BJ359),"")</f>
        <v/>
      </c>
      <c r="BK354" s="34" t="str">
        <f t="shared" ref="BK354" si="7163">IF(SUBTOTAL(9,BK355:BK359)&gt;0,SUBTOTAL(9,BK355:BK359),"")</f>
        <v/>
      </c>
      <c r="BL354" s="34" t="str">
        <f t="shared" ref="BL354" si="7164">IF(SUBTOTAL(9,BL355:BL359)&gt;0,SUBTOTAL(9,BL355:BL359),"")</f>
        <v/>
      </c>
      <c r="BM354" s="34" t="str">
        <f t="shared" ref="BM354" si="7165">IF(SUBTOTAL(9,BM355:BM359)&gt;0,SUBTOTAL(9,BM355:BM359),"")</f>
        <v/>
      </c>
      <c r="BN354" s="34" t="str">
        <f t="shared" ref="BN354" si="7166">IF(SUBTOTAL(9,BN355:BN359)&gt;0,SUBTOTAL(9,BN355:BN359),"")</f>
        <v/>
      </c>
      <c r="BO354" s="34" t="str">
        <f t="shared" ref="BO354" si="7167">IF(SUBTOTAL(9,BO355:BO359)&gt;0,SUBTOTAL(9,BO355:BO359),"")</f>
        <v/>
      </c>
      <c r="BP354" s="34" t="str">
        <f t="shared" ref="BP354" si="7168">IF(SUBTOTAL(9,BP355:BP359)&gt;0,SUBTOTAL(9,BP355:BP359),"")</f>
        <v/>
      </c>
      <c r="BQ354" s="34" t="str">
        <f t="shared" ref="BQ354" si="7169">IF(SUBTOTAL(9,BQ355:BQ359)&gt;0,SUBTOTAL(9,BQ355:BQ359),"")</f>
        <v/>
      </c>
      <c r="BR354" s="34" t="str">
        <f t="shared" ref="BR354" si="7170">IF(SUBTOTAL(9,BR355:BR359)&gt;0,SUBTOTAL(9,BR355:BR359),"")</f>
        <v/>
      </c>
      <c r="BS354" s="34" t="str">
        <f t="shared" ref="BS354" si="7171">IF(SUBTOTAL(9,BS355:BS359)&gt;0,SUBTOTAL(9,BS355:BS359),"")</f>
        <v/>
      </c>
      <c r="BT354" s="34" t="str">
        <f t="shared" ref="BT354" si="7172">IF(SUBTOTAL(9,BT355:BT359)&gt;0,SUBTOTAL(9,BT355:BT359),"")</f>
        <v/>
      </c>
      <c r="BU354" s="34" t="str">
        <f t="shared" ref="BU354" si="7173">IF(SUBTOTAL(9,BU355:BU359)&gt;0,SUBTOTAL(9,BU355:BU359),"")</f>
        <v/>
      </c>
      <c r="BV354" s="34" t="str">
        <f t="shared" ref="BV354" si="7174">IF(SUBTOTAL(9,BV355:BV359)&gt;0,SUBTOTAL(9,BV355:BV359),"")</f>
        <v/>
      </c>
      <c r="BW354" s="34" t="str">
        <f t="shared" ref="BW354" si="7175">IF(SUBTOTAL(9,BW355:BW359)&gt;0,SUBTOTAL(9,BW355:BW359),"")</f>
        <v/>
      </c>
      <c r="BX354" s="34" t="str">
        <f t="shared" ref="BX354" si="7176">IF(SUBTOTAL(9,BX355:BX359)&gt;0,SUBTOTAL(9,BX355:BX359),"")</f>
        <v/>
      </c>
      <c r="BY354" s="34" t="str">
        <f t="shared" ref="BY354" si="7177">IF(SUBTOTAL(9,BY355:BY359)&gt;0,SUBTOTAL(9,BY355:BY359),"")</f>
        <v/>
      </c>
      <c r="BZ354" s="34" t="str">
        <f t="shared" ref="BZ354" si="7178">IF(SUBTOTAL(9,BZ355:BZ359)&gt;0,SUBTOTAL(9,BZ355:BZ359),"")</f>
        <v/>
      </c>
      <c r="CA354" s="34" t="str">
        <f t="shared" ref="CA354" si="7179">IF(SUBTOTAL(9,CA355:CA359)&gt;0,SUBTOTAL(9,CA355:CA359),"")</f>
        <v/>
      </c>
      <c r="CB354" s="34" t="str">
        <f t="shared" ref="CB354" si="7180">IF(SUBTOTAL(9,CB355:CB359)&gt;0,SUBTOTAL(9,CB355:CB359),"")</f>
        <v/>
      </c>
      <c r="CC354" s="34" t="str">
        <f t="shared" ref="CC354" si="7181">IF(SUBTOTAL(9,CC355:CC359)&gt;0,SUBTOTAL(9,CC355:CC359),"")</f>
        <v/>
      </c>
      <c r="CD354" s="34" t="str">
        <f t="shared" ref="CD354" si="7182">IF(SUBTOTAL(9,CD355:CD359)&gt;0,SUBTOTAL(9,CD355:CD359),"")</f>
        <v/>
      </c>
      <c r="CE354" s="34" t="str">
        <f t="shared" ref="CE354" si="7183">IF(SUBTOTAL(9,CE355:CE359)&gt;0,SUBTOTAL(9,CE355:CE359),"")</f>
        <v/>
      </c>
      <c r="CF354" s="34" t="str">
        <f t="shared" ref="CF354:CG354" si="7184">IF(SUBTOTAL(9,CF355:CF359)&gt;0,SUBTOTAL(9,CF355:CF359),"")</f>
        <v/>
      </c>
      <c r="CG354" s="34" t="str">
        <f t="shared" si="7184"/>
        <v/>
      </c>
      <c r="CH354" s="34" t="str">
        <f t="shared" ref="CH354" si="7185">IF(SUBTOTAL(9,CH355:CH359)&gt;0,SUBTOTAL(9,CH355:CH359),"")</f>
        <v/>
      </c>
      <c r="CI354" s="34" t="str">
        <f t="shared" ref="CI354" si="7186">IF(SUBTOTAL(9,CI355:CI359)&gt;0,SUBTOTAL(9,CI355:CI359),"")</f>
        <v/>
      </c>
      <c r="CJ354" s="34" t="str">
        <f t="shared" ref="CJ354" si="7187">IF(SUBTOTAL(9,CJ355:CJ359)&gt;0,SUBTOTAL(9,CJ355:CJ359),"")</f>
        <v/>
      </c>
      <c r="CK354" s="34" t="str">
        <f t="shared" ref="CK354" si="7188">IF(SUBTOTAL(9,CK355:CK359)&gt;0,SUBTOTAL(9,CK355:CK359),"")</f>
        <v/>
      </c>
      <c r="CL354" s="34" t="str">
        <f t="shared" ref="CL354" si="7189">IF(SUBTOTAL(9,CL355:CL359)&gt;0,SUBTOTAL(9,CL355:CL359),"")</f>
        <v/>
      </c>
      <c r="CM354" s="34" t="str">
        <f t="shared" ref="CM354" si="7190">IF(SUBTOTAL(9,CM355:CM359)&gt;0,SUBTOTAL(9,CM355:CM359),"")</f>
        <v/>
      </c>
      <c r="CN354" s="34" t="str">
        <f t="shared" ref="CN354" si="7191">IF(SUBTOTAL(9,CN355:CN359)&gt;0,SUBTOTAL(9,CN355:CN359),"")</f>
        <v/>
      </c>
      <c r="CO354" s="34" t="str">
        <f t="shared" ref="CO354" si="7192">IF(SUBTOTAL(9,CO355:CO359)&gt;0,SUBTOTAL(9,CO355:CO359),"")</f>
        <v/>
      </c>
      <c r="CP354" s="34" t="str">
        <f t="shared" ref="CP354" si="7193">IF(SUBTOTAL(9,CP355:CP359)&gt;0,SUBTOTAL(9,CP355:CP359),"")</f>
        <v/>
      </c>
      <c r="CQ354" s="34" t="str">
        <f t="shared" ref="CQ354" si="7194">IF(SUBTOTAL(9,CQ355:CQ359)&gt;0,SUBTOTAL(9,CQ355:CQ359),"")</f>
        <v/>
      </c>
      <c r="CR354" s="34" t="str">
        <f t="shared" ref="CR354" si="7195">IF(SUBTOTAL(9,CR355:CR359)&gt;0,SUBTOTAL(9,CR355:CR359),"")</f>
        <v/>
      </c>
      <c r="CS354" s="34" t="str">
        <f t="shared" ref="CS354" si="7196">IF(SUBTOTAL(9,CS355:CS359)&gt;0,SUBTOTAL(9,CS355:CS359),"")</f>
        <v/>
      </c>
      <c r="CT354" s="33" t="str">
        <f t="shared" ref="CT354" si="7197">IF(SUBTOTAL(9,CT355:CT359)&gt;0,SUBTOTAL(9,CT355:CT359),"")</f>
        <v/>
      </c>
      <c r="CU354" s="34" t="str">
        <f t="shared" ref="CU354" si="7198">IF(SUBTOTAL(9,CU355:CU359)&gt;0,SUBTOTAL(9,CU355:CU359),"")</f>
        <v/>
      </c>
      <c r="CV354" s="34" t="str">
        <f t="shared" ref="CV354" si="7199">IF(SUBTOTAL(9,CV355:CV359)&gt;0,SUBTOTAL(9,CV355:CV359),"")</f>
        <v/>
      </c>
      <c r="CW354" s="34" t="str">
        <f t="shared" ref="CW354" si="7200">IF(SUBTOTAL(9,CW355:CW359)&gt;0,SUBTOTAL(9,CW355:CW359),"")</f>
        <v/>
      </c>
      <c r="CX354" s="34" t="str">
        <f t="shared" ref="CX354" si="7201">IF(SUBTOTAL(9,CX355:CX359)&gt;0,SUBTOTAL(9,CX355:CX359),"")</f>
        <v/>
      </c>
      <c r="CY354" s="34" t="str">
        <f t="shared" ref="CY354" si="7202">IF(SUBTOTAL(9,CY355:CY359)&gt;0,SUBTOTAL(9,CY355:CY359),"")</f>
        <v/>
      </c>
      <c r="CZ354" s="33" t="str">
        <f t="shared" ref="CZ354" si="7203">IF(SUBTOTAL(9,CZ355:CZ359)&gt;0,SUBTOTAL(9,CZ355:CZ359),"")</f>
        <v/>
      </c>
      <c r="DA354" s="33" t="str">
        <f t="shared" ref="DA354" si="7204">IF(SUBTOTAL(9,DA355:DA359)&gt;0,SUBTOTAL(9,DA355:DA359),"")</f>
        <v/>
      </c>
      <c r="DB354" s="34" t="str">
        <f t="shared" ref="DB354" si="7205">IF(SUBTOTAL(9,DB355:DB359)&gt;0,SUBTOTAL(9,DB355:DB359),"")</f>
        <v/>
      </c>
      <c r="DC354" s="34" t="str">
        <f t="shared" ref="DC354" si="7206">IF(SUBTOTAL(9,DC355:DC359)&gt;0,SUBTOTAL(9,DC355:DC359),"")</f>
        <v/>
      </c>
      <c r="DD354" s="34" t="str">
        <f t="shared" ref="DD354" si="7207">IF(SUBTOTAL(9,DD355:DD359)&gt;0,SUBTOTAL(9,DD355:DD359),"")</f>
        <v/>
      </c>
      <c r="DE354" s="34" t="str">
        <f t="shared" ref="DE354" si="7208">IF(SUBTOTAL(9,DE355:DE359)&gt;0,SUBTOTAL(9,DE355:DE359),"")</f>
        <v/>
      </c>
      <c r="DF354" s="34" t="str">
        <f t="shared" ref="DF354" si="7209">IF(SUBTOTAL(9,DF355:DF359)&gt;0,SUBTOTAL(9,DF355:DF359),"")</f>
        <v/>
      </c>
      <c r="DG354" s="34" t="str">
        <f t="shared" ref="DG354" si="7210">IF(SUBTOTAL(9,DG355:DG359)&gt;0,SUBTOTAL(9,DG355:DG359),"")</f>
        <v/>
      </c>
      <c r="DH354" s="34" t="str">
        <f t="shared" ref="DH354" si="7211">IF(SUBTOTAL(9,DH355:DH359)&gt;0,SUBTOTAL(9,DH355:DH359),"")</f>
        <v/>
      </c>
      <c r="DI354" s="34" t="str">
        <f t="shared" ref="DI354" si="7212">IF(SUBTOTAL(9,DI355:DI359)&gt;0,SUBTOTAL(9,DI355:DI359),"")</f>
        <v/>
      </c>
      <c r="DJ354" s="34" t="str">
        <f t="shared" ref="DJ354" si="7213">IF(SUBTOTAL(9,DJ355:DJ359)&gt;0,SUBTOTAL(9,DJ355:DJ359),"")</f>
        <v/>
      </c>
      <c r="DK354" s="34" t="str">
        <f t="shared" ref="DK354" si="7214">IF(SUBTOTAL(9,DK355:DK359)&gt;0,SUBTOTAL(9,DK355:DK359),"")</f>
        <v/>
      </c>
      <c r="DL354" s="34" t="str">
        <f t="shared" ref="DL354" si="7215">IF(SUBTOTAL(9,DL355:DL359)&gt;0,SUBTOTAL(9,DL355:DL359),"")</f>
        <v/>
      </c>
      <c r="DM354" s="34" t="str">
        <f t="shared" ref="DM354" si="7216">IF(SUBTOTAL(9,DM355:DM359)&gt;0,SUBTOTAL(9,DM355:DM359),"")</f>
        <v/>
      </c>
      <c r="DN354" s="34" t="str">
        <f t="shared" ref="DN354" si="7217">IF(SUBTOTAL(9,DN355:DN359)&gt;0,SUBTOTAL(9,DN355:DN359),"")</f>
        <v/>
      </c>
      <c r="DO354" s="34" t="str">
        <f t="shared" ref="DO354" si="7218">IF(SUBTOTAL(9,DO355:DO359)&gt;0,SUBTOTAL(9,DO355:DO359),"")</f>
        <v/>
      </c>
      <c r="DP354" s="34" t="str">
        <f t="shared" ref="DP354" si="7219">IF(SUBTOTAL(9,DP355:DP359)&gt;0,SUBTOTAL(9,DP355:DP359),"")</f>
        <v/>
      </c>
      <c r="DQ354" s="34" t="str">
        <f t="shared" ref="DQ354" si="7220">IF(SUBTOTAL(9,DQ355:DQ359)&gt;0,SUBTOTAL(9,DQ355:DQ359),"")</f>
        <v/>
      </c>
      <c r="DR354" s="34" t="str">
        <f t="shared" ref="DR354" si="7221">IF(SUBTOTAL(9,DR355:DR359)&gt;0,SUBTOTAL(9,DR355:DR359),"")</f>
        <v/>
      </c>
      <c r="DS354" s="34" t="str">
        <f t="shared" ref="DS354" si="7222">IF(SUBTOTAL(9,DS355:DS359)&gt;0,SUBTOTAL(9,DS355:DS359),"")</f>
        <v/>
      </c>
      <c r="DT354" s="34" t="str">
        <f t="shared" ref="DT354" si="7223">IF(SUBTOTAL(9,DT355:DT359)&gt;0,SUBTOTAL(9,DT355:DT359),"")</f>
        <v/>
      </c>
      <c r="DU354" s="34" t="str">
        <f t="shared" ref="DU354" si="7224">IF(SUBTOTAL(9,DU355:DU359)&gt;0,SUBTOTAL(9,DU355:DU359),"")</f>
        <v/>
      </c>
      <c r="DV354" s="34" t="str">
        <f t="shared" ref="DV354" si="7225">IF(SUBTOTAL(9,DV355:DV359)&gt;0,SUBTOTAL(9,DV355:DV359),"")</f>
        <v/>
      </c>
      <c r="DW354" s="34" t="str">
        <f t="shared" ref="DW354" si="7226">IF(SUBTOTAL(9,DW355:DW359)&gt;0,SUBTOTAL(9,DW355:DW359),"")</f>
        <v/>
      </c>
      <c r="DX354" s="34" t="str">
        <f t="shared" ref="DX354" si="7227">IF(SUBTOTAL(9,DX355:DX359)&gt;0,SUBTOTAL(9,DX355:DX359),"")</f>
        <v/>
      </c>
      <c r="DY354" s="34" t="str">
        <f t="shared" ref="DY354" si="7228">IF(SUBTOTAL(9,DY355:DY359)&gt;0,SUBTOTAL(9,DY355:DY359),"")</f>
        <v/>
      </c>
      <c r="DZ354" s="33" t="str">
        <f t="shared" ref="DZ354" si="7229">IF(SUBTOTAL(9,DZ355:DZ359)&gt;0,SUBTOTAL(9,DZ355:DZ359),"")</f>
        <v/>
      </c>
      <c r="EA354" s="34" t="str">
        <f t="shared" ref="EA354" si="7230">IF(SUBTOTAL(9,EA355:EA359)&gt;0,SUBTOTAL(9,EA355:EA359),"")</f>
        <v/>
      </c>
      <c r="EB354" s="34" t="str">
        <f t="shared" ref="EB354" si="7231">IF(SUBTOTAL(9,EB355:EB359)&gt;0,SUBTOTAL(9,EB355:EB359),"")</f>
        <v/>
      </c>
      <c r="EC354" s="34" t="str">
        <f t="shared" ref="EC354" si="7232">IF(SUBTOTAL(9,EC355:EC359)&gt;0,SUBTOTAL(9,EC355:EC359),"")</f>
        <v/>
      </c>
      <c r="ED354" s="34" t="str">
        <f t="shared" ref="ED354" si="7233">IF(SUBTOTAL(9,ED355:ED359)&gt;0,SUBTOTAL(9,ED355:ED359),"")</f>
        <v/>
      </c>
      <c r="EE354" s="34" t="str">
        <f t="shared" ref="EE354" si="7234">IF(SUBTOTAL(9,EE355:EE359)&gt;0,SUBTOTAL(9,EE355:EE359),"")</f>
        <v/>
      </c>
      <c r="EF354" s="34" t="str">
        <f t="shared" ref="EF354" si="7235">IF(SUBTOTAL(9,EF355:EF359)&gt;0,SUBTOTAL(9,EF355:EF359),"")</f>
        <v/>
      </c>
      <c r="EG354" s="34" t="str">
        <f t="shared" ref="EG354" si="7236">IF(SUBTOTAL(9,EG355:EG359)&gt;0,SUBTOTAL(9,EG355:EG359),"")</f>
        <v/>
      </c>
      <c r="EH354" s="34" t="str">
        <f t="shared" ref="EH354" si="7237">IF(SUBTOTAL(9,EH355:EH359)&gt;0,SUBTOTAL(9,EH355:EH359),"")</f>
        <v/>
      </c>
      <c r="EI354" s="34" t="str">
        <f t="shared" ref="EI354" si="7238">IF(SUBTOTAL(9,EI355:EI359)&gt;0,SUBTOTAL(9,EI355:EI359),"")</f>
        <v/>
      </c>
      <c r="EJ354" s="34" t="str">
        <f t="shared" ref="EJ354" si="7239">IF(SUBTOTAL(9,EJ355:EJ359)&gt;0,SUBTOTAL(9,EJ355:EJ359),"")</f>
        <v/>
      </c>
      <c r="EK354" s="34" t="str">
        <f t="shared" ref="EK354" si="7240">IF(SUBTOTAL(9,EK355:EK359)&gt;0,SUBTOTAL(9,EK355:EK359),"")</f>
        <v/>
      </c>
      <c r="EL354" s="34" t="str">
        <f t="shared" ref="EL354" si="7241">IF(SUBTOTAL(9,EL355:EL359)&gt;0,SUBTOTAL(9,EL355:EL359),"")</f>
        <v/>
      </c>
      <c r="EM354" s="34" t="str">
        <f t="shared" ref="EM354" si="7242">IF(SUBTOTAL(9,EM355:EM359)&gt;0,SUBTOTAL(9,EM355:EM359),"")</f>
        <v/>
      </c>
      <c r="EN354" s="34" t="str">
        <f t="shared" ref="EN354" si="7243">IF(SUBTOTAL(9,EN355:EN359)&gt;0,SUBTOTAL(9,EN355:EN359),"")</f>
        <v/>
      </c>
      <c r="EO354" s="34" t="str">
        <f t="shared" ref="EO354" si="7244">IF(SUBTOTAL(9,EO355:EO359)&gt;0,SUBTOTAL(9,EO355:EO359),"")</f>
        <v/>
      </c>
      <c r="EP354" s="34" t="str">
        <f t="shared" ref="EP354" si="7245">IF(SUBTOTAL(9,EP355:EP359)&gt;0,SUBTOTAL(9,EP355:EP359),"")</f>
        <v/>
      </c>
      <c r="EQ354" s="34" t="str">
        <f t="shared" ref="EQ354" si="7246">IF(SUBTOTAL(9,EQ355:EQ359)&gt;0,SUBTOTAL(9,EQ355:EQ359),"")</f>
        <v/>
      </c>
      <c r="ER354" s="34" t="str">
        <f t="shared" ref="ER354" si="7247">IF(SUBTOTAL(9,ER355:ER359)&gt;0,SUBTOTAL(9,ER355:ER359),"")</f>
        <v/>
      </c>
      <c r="ES354" s="34" t="str">
        <f t="shared" ref="ES354" si="7248">IF(SUBTOTAL(9,ES355:ES359)&gt;0,SUBTOTAL(9,ES355:ES359),"")</f>
        <v/>
      </c>
      <c r="ET354" s="34" t="str">
        <f t="shared" ref="ET354" si="7249">IF(SUBTOTAL(9,ET355:ET359)&gt;0,SUBTOTAL(9,ET355:ET359),"")</f>
        <v/>
      </c>
      <c r="EU354" s="34" t="str">
        <f t="shared" ref="EU354" si="7250">IF(SUBTOTAL(9,EU355:EU359)&gt;0,SUBTOTAL(9,EU355:EU359),"")</f>
        <v/>
      </c>
      <c r="EV354" s="34" t="str">
        <f t="shared" ref="EV354" si="7251">IF(SUBTOTAL(9,EV355:EV359)&gt;0,SUBTOTAL(9,EV355:EV359),"")</f>
        <v/>
      </c>
      <c r="EW354" s="34" t="str">
        <f t="shared" ref="EW354" si="7252">IF(SUBTOTAL(9,EW355:EW359)&gt;0,SUBTOTAL(9,EW355:EW359),"")</f>
        <v/>
      </c>
      <c r="EX354" s="34" t="str">
        <f t="shared" ref="EX354" si="7253">IF(SUBTOTAL(9,EX355:EX359)&gt;0,SUBTOTAL(9,EX355:EX359),"")</f>
        <v/>
      </c>
      <c r="EY354" s="33" t="str">
        <f t="shared" ref="EY354" si="7254">IF(SUBTOTAL(9,EY355:EY359)&gt;0,SUBTOTAL(9,EY355:EY359),"")</f>
        <v/>
      </c>
      <c r="EZ354" s="34" t="str">
        <f t="shared" ref="EZ354" si="7255">IF(SUBTOTAL(9,EZ355:EZ359)&gt;0,SUBTOTAL(9,EZ355:EZ359),"")</f>
        <v/>
      </c>
      <c r="FA354" s="34" t="str">
        <f t="shared" ref="FA354" si="7256">IF(SUBTOTAL(9,FA355:FA359)&gt;0,SUBTOTAL(9,FA355:FA359),"")</f>
        <v/>
      </c>
      <c r="FB354" s="34" t="str">
        <f t="shared" ref="FB354" si="7257">IF(SUBTOTAL(9,FB355:FB359)&gt;0,SUBTOTAL(9,FB355:FB359),"")</f>
        <v/>
      </c>
      <c r="FC354" s="34" t="str">
        <f t="shared" ref="FC354" si="7258">IF(SUBTOTAL(9,FC355:FC359)&gt;0,SUBTOTAL(9,FC355:FC359),"")</f>
        <v/>
      </c>
      <c r="FD354" s="34" t="str">
        <f t="shared" ref="FD354" si="7259">IF(SUBTOTAL(9,FD355:FD359)&gt;0,SUBTOTAL(9,FD355:FD359),"")</f>
        <v/>
      </c>
      <c r="FE354" s="34" t="str">
        <f t="shared" ref="FE354" si="7260">IF(SUBTOTAL(9,FE355:FE359)&gt;0,SUBTOTAL(9,FE355:FE359),"")</f>
        <v/>
      </c>
      <c r="FF354" s="34" t="str">
        <f t="shared" ref="FF354" si="7261">IF(SUBTOTAL(9,FF355:FF359)&gt;0,SUBTOTAL(9,FF355:FF359),"")</f>
        <v/>
      </c>
      <c r="FG354" s="34" t="str">
        <f t="shared" ref="FG354" si="7262">IF(SUBTOTAL(9,FG355:FG359)&gt;0,SUBTOTAL(9,FG355:FG359),"")</f>
        <v/>
      </c>
      <c r="FH354" s="34" t="str">
        <f t="shared" ref="FH354" si="7263">IF(SUBTOTAL(9,FH355:FH359)&gt;0,SUBTOTAL(9,FH355:FH359),"")</f>
        <v/>
      </c>
      <c r="FI354" s="34" t="str">
        <f t="shared" ref="FI354" si="7264">IF(SUBTOTAL(9,FI355:FI359)&gt;0,SUBTOTAL(9,FI355:FI359),"")</f>
        <v/>
      </c>
      <c r="FJ354" s="34" t="str">
        <f t="shared" ref="FJ354" si="7265">IF(SUBTOTAL(9,FJ355:FJ359)&gt;0,SUBTOTAL(9,FJ355:FJ359),"")</f>
        <v/>
      </c>
      <c r="FK354" s="34" t="str">
        <f t="shared" ref="FK354" si="7266">IF(SUBTOTAL(9,FK355:FK359)&gt;0,SUBTOTAL(9,FK355:FK359),"")</f>
        <v/>
      </c>
      <c r="FL354" s="34" t="str">
        <f t="shared" ref="FL354" si="7267">IF(SUBTOTAL(9,FL355:FL359)&gt;0,SUBTOTAL(9,FL355:FL359),"")</f>
        <v/>
      </c>
      <c r="FM354" s="34" t="str">
        <f t="shared" ref="FM354" si="7268">IF(SUBTOTAL(9,FM355:FM359)&gt;0,SUBTOTAL(9,FM355:FM359),"")</f>
        <v/>
      </c>
      <c r="FN354" s="34" t="str">
        <f t="shared" ref="FN354" si="7269">IF(SUBTOTAL(9,FN355:FN359)&gt;0,SUBTOTAL(9,FN355:FN359),"")</f>
        <v/>
      </c>
      <c r="FO354" s="34" t="str">
        <f t="shared" ref="FO354" si="7270">IF(SUBTOTAL(9,FO355:FO359)&gt;0,SUBTOTAL(9,FO355:FO359),"")</f>
        <v/>
      </c>
      <c r="FP354" s="34" t="str">
        <f t="shared" ref="FP354" si="7271">IF(SUBTOTAL(9,FP355:FP359)&gt;0,SUBTOTAL(9,FP355:FP359),"")</f>
        <v/>
      </c>
      <c r="FQ354" s="92" t="str">
        <f t="shared" ref="FQ354" si="7272">IF(SUBTOTAL(9,FQ355:FQ359)&gt;0,SUBTOTAL(9,FQ355:FQ359),"")</f>
        <v/>
      </c>
      <c r="FS354" s="9" t="s">
        <v>131</v>
      </c>
      <c r="FT354" s="9" t="str">
        <f t="shared" si="6597"/>
        <v/>
      </c>
    </row>
    <row r="355" spans="1:176" ht="12" hidden="1" customHeight="1" outlineLevel="1">
      <c r="A355" s="122" t="s">
        <v>188</v>
      </c>
      <c r="B355" s="130" t="s">
        <v>10</v>
      </c>
      <c r="C355" s="131" t="str">
        <f t="shared" ref="C355:C359" si="7273">ROUND(SUM(E355:FQ355),0) &amp; " days"</f>
        <v>2 days</v>
      </c>
      <c r="D355" s="101" t="str">
        <f>A$329&amp;" "&amp;A354</f>
        <v>12. FDS Release 4 12.5 FDS Release 4 - Ireland BAT prep</v>
      </c>
      <c r="E355" s="51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U355" s="35"/>
      <c r="V355" s="35"/>
      <c r="W355" s="35"/>
      <c r="X355" s="35"/>
      <c r="Y355" s="35">
        <v>0.2</v>
      </c>
      <c r="Z355" s="35">
        <v>0.2</v>
      </c>
      <c r="AA355" s="35">
        <v>0.2</v>
      </c>
      <c r="AB355" s="35">
        <v>0.2</v>
      </c>
      <c r="AC355" s="35">
        <v>0.2</v>
      </c>
      <c r="AD355" s="35">
        <v>0.2</v>
      </c>
      <c r="AE355" s="35">
        <v>0.2</v>
      </c>
      <c r="AF355" s="35">
        <v>0.2</v>
      </c>
      <c r="AG355" s="35">
        <v>0.2</v>
      </c>
      <c r="AH355" s="35">
        <v>0.2</v>
      </c>
      <c r="AI355" s="35"/>
      <c r="AJ355" s="35"/>
      <c r="AK355" s="35"/>
      <c r="AL355" s="36"/>
      <c r="AM355" s="36"/>
      <c r="AN355" s="36"/>
      <c r="AO355" s="36"/>
      <c r="AP355" s="36"/>
      <c r="AQ355" s="36"/>
      <c r="AR355" s="36"/>
      <c r="AS355" s="35"/>
      <c r="AT355" s="35"/>
      <c r="AU355" s="35"/>
      <c r="AV355" s="35"/>
      <c r="AW355" s="35"/>
      <c r="AX355" s="35"/>
      <c r="AY355" s="35"/>
      <c r="AZ355" s="35"/>
      <c r="BA355" s="35"/>
      <c r="BB355" s="35"/>
      <c r="BC355" s="35"/>
      <c r="BD355" s="35"/>
      <c r="BE355" s="35"/>
      <c r="BF355" s="35"/>
      <c r="BG355" s="35"/>
      <c r="BH355" s="35"/>
      <c r="BI355" s="35"/>
      <c r="BJ355" s="35"/>
      <c r="BK355" s="35"/>
      <c r="BL355" s="35"/>
      <c r="BM355" s="35"/>
      <c r="BN355" s="35"/>
      <c r="BO355" s="35"/>
      <c r="BP355" s="35"/>
      <c r="BQ355" s="35"/>
      <c r="BR355" s="35"/>
      <c r="BS355" s="35"/>
      <c r="BT355" s="35"/>
      <c r="BU355" s="35"/>
      <c r="BV355" s="35"/>
      <c r="BW355" s="35"/>
      <c r="BX355" s="35"/>
      <c r="BY355" s="35"/>
      <c r="BZ355" s="35"/>
      <c r="CA355" s="35"/>
      <c r="CB355" s="35"/>
      <c r="CC355" s="35"/>
      <c r="CD355" s="35"/>
      <c r="CE355" s="35"/>
      <c r="CF355" s="35"/>
      <c r="CG355" s="35"/>
      <c r="CH355" s="35"/>
      <c r="CI355" s="35"/>
      <c r="CJ355" s="35"/>
      <c r="CK355" s="35"/>
      <c r="CL355" s="35"/>
      <c r="CM355" s="35"/>
      <c r="CN355" s="35"/>
      <c r="CO355" s="35"/>
      <c r="CP355" s="35"/>
      <c r="CQ355" s="35"/>
      <c r="CR355" s="35"/>
      <c r="CS355" s="35"/>
      <c r="CT355" s="36"/>
      <c r="CU355" s="35"/>
      <c r="CV355" s="35"/>
      <c r="CW355" s="35"/>
      <c r="CX355" s="35"/>
      <c r="CY355" s="35"/>
      <c r="CZ355" s="36"/>
      <c r="DA355" s="36"/>
      <c r="DB355" s="35"/>
      <c r="DC355" s="35"/>
      <c r="DD355" s="35"/>
      <c r="DE355" s="35"/>
      <c r="DF355" s="35"/>
      <c r="DG355" s="35"/>
      <c r="DH355" s="35"/>
      <c r="DI355" s="35"/>
      <c r="DJ355" s="35"/>
      <c r="DK355" s="35"/>
      <c r="DL355" s="35"/>
      <c r="DM355" s="35"/>
      <c r="DN355" s="35"/>
      <c r="DO355" s="35"/>
      <c r="DP355" s="35"/>
      <c r="DQ355" s="35"/>
      <c r="DR355" s="35"/>
      <c r="DS355" s="35"/>
      <c r="DT355" s="35"/>
      <c r="DU355" s="35"/>
      <c r="DV355" s="35"/>
      <c r="DW355" s="35"/>
      <c r="DX355" s="35"/>
      <c r="DY355" s="35"/>
      <c r="DZ355" s="36"/>
      <c r="EA355" s="35"/>
      <c r="EB355" s="35"/>
      <c r="EC355" s="35"/>
      <c r="ED355" s="35"/>
      <c r="EE355" s="35"/>
      <c r="EF355" s="35"/>
      <c r="EG355" s="35"/>
      <c r="EH355" s="35"/>
      <c r="EI355" s="35"/>
      <c r="EJ355" s="35"/>
      <c r="EK355" s="35"/>
      <c r="EL355" s="35"/>
      <c r="EM355" s="35"/>
      <c r="EN355" s="35"/>
      <c r="EO355" s="35"/>
      <c r="EP355" s="35"/>
      <c r="EQ355" s="35"/>
      <c r="ER355" s="35"/>
      <c r="ES355" s="35"/>
      <c r="ET355" s="35"/>
      <c r="EU355" s="35"/>
      <c r="EV355" s="35"/>
      <c r="EW355" s="35"/>
      <c r="EX355" s="35"/>
      <c r="EY355" s="36"/>
      <c r="EZ355" s="35"/>
      <c r="FA355" s="35"/>
      <c r="FB355" s="35"/>
      <c r="FC355" s="35"/>
      <c r="FD355" s="35"/>
      <c r="FE355" s="35"/>
      <c r="FF355" s="35"/>
      <c r="FG355" s="35"/>
      <c r="FH355" s="35"/>
      <c r="FI355" s="35"/>
      <c r="FJ355" s="35"/>
      <c r="FK355" s="35"/>
      <c r="FL355" s="35"/>
      <c r="FM355" s="35"/>
      <c r="FN355" s="35"/>
      <c r="FO355" s="35"/>
      <c r="FP355" s="35"/>
      <c r="FQ355" s="52"/>
      <c r="FS355" s="9" t="s">
        <v>13</v>
      </c>
      <c r="FT355" s="9" t="str">
        <f t="shared" si="6597"/>
        <v>12. FDS Release 4 12.5 FDS Release 4 - Ireland BAT prepGlenn Kirk</v>
      </c>
    </row>
    <row r="356" spans="1:176" ht="12" hidden="1" customHeight="1" outlineLevel="1">
      <c r="A356" s="122"/>
      <c r="B356" s="123"/>
      <c r="C356" s="131" t="str">
        <f t="shared" si="7273"/>
        <v>0 days</v>
      </c>
      <c r="D356" s="13" t="str">
        <f>A$329&amp;" "&amp;A354</f>
        <v>12. FDS Release 4 12.5 FDS Release 4 - Ireland BAT prep</v>
      </c>
      <c r="E356" s="51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D356" s="35"/>
      <c r="AE356" s="35"/>
      <c r="AF356" s="35"/>
      <c r="AG356" s="35"/>
      <c r="AH356" s="35"/>
      <c r="AI356" s="35"/>
      <c r="AJ356" s="35"/>
      <c r="AK356" s="35"/>
      <c r="AL356" s="36"/>
      <c r="AM356" s="36"/>
      <c r="AN356" s="36"/>
      <c r="AO356" s="36"/>
      <c r="AP356" s="36"/>
      <c r="AQ356" s="36"/>
      <c r="AR356" s="36"/>
      <c r="AS356" s="35"/>
      <c r="AT356" s="35"/>
      <c r="AU356" s="35"/>
      <c r="AV356" s="35"/>
      <c r="AW356" s="35"/>
      <c r="AX356" s="35"/>
      <c r="AY356" s="35"/>
      <c r="AZ356" s="35"/>
      <c r="BA356" s="35"/>
      <c r="BB356" s="35"/>
      <c r="BC356" s="35"/>
      <c r="BD356" s="35"/>
      <c r="BE356" s="35"/>
      <c r="BF356" s="35"/>
      <c r="BG356" s="35"/>
      <c r="BH356" s="35"/>
      <c r="BI356" s="35"/>
      <c r="BJ356" s="35"/>
      <c r="BK356" s="35"/>
      <c r="BL356" s="35"/>
      <c r="BM356" s="35"/>
      <c r="BN356" s="35"/>
      <c r="BO356" s="35"/>
      <c r="BP356" s="35"/>
      <c r="BQ356" s="35"/>
      <c r="BR356" s="35"/>
      <c r="BS356" s="35"/>
      <c r="BT356" s="35"/>
      <c r="BU356" s="35"/>
      <c r="BV356" s="35"/>
      <c r="BW356" s="35"/>
      <c r="BX356" s="35"/>
      <c r="BY356" s="35"/>
      <c r="BZ356" s="35"/>
      <c r="CA356" s="35"/>
      <c r="CB356" s="35"/>
      <c r="CC356" s="35"/>
      <c r="CD356" s="35"/>
      <c r="CE356" s="35"/>
      <c r="CF356" s="35"/>
      <c r="CG356" s="35"/>
      <c r="CH356" s="35"/>
      <c r="CI356" s="35"/>
      <c r="CJ356" s="35"/>
      <c r="CK356" s="35"/>
      <c r="CL356" s="35"/>
      <c r="CM356" s="35"/>
      <c r="CN356" s="35"/>
      <c r="CO356" s="35"/>
      <c r="CP356" s="35"/>
      <c r="CQ356" s="35"/>
      <c r="CR356" s="35"/>
      <c r="CS356" s="35"/>
      <c r="CT356" s="36"/>
      <c r="CU356" s="35"/>
      <c r="CV356" s="35"/>
      <c r="CW356" s="35"/>
      <c r="CX356" s="35"/>
      <c r="CY356" s="35"/>
      <c r="CZ356" s="36"/>
      <c r="DA356" s="36"/>
      <c r="DB356" s="35"/>
      <c r="DC356" s="35"/>
      <c r="DD356" s="35"/>
      <c r="DE356" s="35"/>
      <c r="DF356" s="35"/>
      <c r="DG356" s="35"/>
      <c r="DH356" s="35"/>
      <c r="DI356" s="35"/>
      <c r="DJ356" s="35"/>
      <c r="DK356" s="35"/>
      <c r="DL356" s="35"/>
      <c r="DM356" s="35"/>
      <c r="DN356" s="35"/>
      <c r="DO356" s="35"/>
      <c r="DP356" s="35"/>
      <c r="DQ356" s="35"/>
      <c r="DR356" s="35"/>
      <c r="DS356" s="35"/>
      <c r="DT356" s="35"/>
      <c r="DU356" s="35"/>
      <c r="DV356" s="35"/>
      <c r="DW356" s="35"/>
      <c r="DX356" s="35"/>
      <c r="DY356" s="35"/>
      <c r="DZ356" s="36"/>
      <c r="EA356" s="35"/>
      <c r="EB356" s="35"/>
      <c r="EC356" s="35"/>
      <c r="ED356" s="35"/>
      <c r="EE356" s="35"/>
      <c r="EF356" s="35"/>
      <c r="EG356" s="35"/>
      <c r="EH356" s="35"/>
      <c r="EI356" s="35"/>
      <c r="EJ356" s="35"/>
      <c r="EK356" s="35"/>
      <c r="EL356" s="35"/>
      <c r="EM356" s="35"/>
      <c r="EN356" s="35"/>
      <c r="EO356" s="35"/>
      <c r="EP356" s="35"/>
      <c r="EQ356" s="35"/>
      <c r="ER356" s="35"/>
      <c r="ES356" s="35"/>
      <c r="ET356" s="35"/>
      <c r="EU356" s="35"/>
      <c r="EV356" s="35"/>
      <c r="EW356" s="35"/>
      <c r="EX356" s="35"/>
      <c r="EY356" s="36"/>
      <c r="EZ356" s="35"/>
      <c r="FA356" s="35"/>
      <c r="FB356" s="35"/>
      <c r="FC356" s="35"/>
      <c r="FD356" s="35"/>
      <c r="FE356" s="35"/>
      <c r="FF356" s="35"/>
      <c r="FG356" s="35"/>
      <c r="FH356" s="35"/>
      <c r="FI356" s="35"/>
      <c r="FJ356" s="35"/>
      <c r="FK356" s="35"/>
      <c r="FL356" s="35"/>
      <c r="FM356" s="35"/>
      <c r="FN356" s="35"/>
      <c r="FO356" s="35"/>
      <c r="FP356" s="35"/>
      <c r="FQ356" s="52"/>
      <c r="FS356" s="9" t="s">
        <v>13</v>
      </c>
      <c r="FT356" s="9" t="str">
        <f t="shared" si="6597"/>
        <v>12. FDS Release 4 12.5 FDS Release 4 - Ireland BAT prep</v>
      </c>
    </row>
    <row r="357" spans="1:176" ht="12" hidden="1" customHeight="1" outlineLevel="1">
      <c r="A357" s="122"/>
      <c r="B357" s="123"/>
      <c r="C357" s="131" t="str">
        <f t="shared" si="7273"/>
        <v>0 days</v>
      </c>
      <c r="D357" s="13" t="str">
        <f>A$329&amp;" "&amp;A354</f>
        <v>12. FDS Release 4 12.5 FDS Release 4 - Ireland BAT prep</v>
      </c>
      <c r="E357" s="51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D357" s="35"/>
      <c r="AE357" s="35"/>
      <c r="AF357" s="35"/>
      <c r="AG357" s="35"/>
      <c r="AH357" s="35"/>
      <c r="AI357" s="35"/>
      <c r="AJ357" s="35"/>
      <c r="AK357" s="35"/>
      <c r="AL357" s="36"/>
      <c r="AM357" s="36"/>
      <c r="AN357" s="36"/>
      <c r="AO357" s="36"/>
      <c r="AP357" s="36"/>
      <c r="AQ357" s="36"/>
      <c r="AR357" s="36"/>
      <c r="AS357" s="35"/>
      <c r="AT357" s="35"/>
      <c r="AU357" s="35"/>
      <c r="AV357" s="35"/>
      <c r="AW357" s="35"/>
      <c r="AX357" s="35"/>
      <c r="AY357" s="35"/>
      <c r="AZ357" s="35"/>
      <c r="BA357" s="35"/>
      <c r="BB357" s="35"/>
      <c r="BC357" s="35"/>
      <c r="BD357" s="35"/>
      <c r="BE357" s="35"/>
      <c r="BF357" s="35"/>
      <c r="BG357" s="35"/>
      <c r="BH357" s="35"/>
      <c r="BI357" s="35"/>
      <c r="BJ357" s="35"/>
      <c r="BK357" s="35"/>
      <c r="BL357" s="35"/>
      <c r="BM357" s="35"/>
      <c r="BN357" s="35"/>
      <c r="BO357" s="35"/>
      <c r="BP357" s="35"/>
      <c r="BQ357" s="35"/>
      <c r="BR357" s="35"/>
      <c r="BS357" s="35"/>
      <c r="BT357" s="35"/>
      <c r="BU357" s="35"/>
      <c r="BV357" s="35"/>
      <c r="BW357" s="35"/>
      <c r="BX357" s="35"/>
      <c r="BY357" s="35"/>
      <c r="BZ357" s="35"/>
      <c r="CA357" s="35"/>
      <c r="CB357" s="35"/>
      <c r="CC357" s="35"/>
      <c r="CD357" s="35"/>
      <c r="CE357" s="35"/>
      <c r="CF357" s="35"/>
      <c r="CG357" s="35"/>
      <c r="CH357" s="35"/>
      <c r="CI357" s="35"/>
      <c r="CJ357" s="35"/>
      <c r="CK357" s="35"/>
      <c r="CL357" s="35"/>
      <c r="CM357" s="35"/>
      <c r="CN357" s="35"/>
      <c r="CO357" s="35"/>
      <c r="CP357" s="35"/>
      <c r="CQ357" s="35"/>
      <c r="CR357" s="35"/>
      <c r="CS357" s="35"/>
      <c r="CT357" s="36"/>
      <c r="CU357" s="35"/>
      <c r="CV357" s="35"/>
      <c r="CW357" s="35"/>
      <c r="CX357" s="35"/>
      <c r="CY357" s="35"/>
      <c r="CZ357" s="36"/>
      <c r="DA357" s="36"/>
      <c r="DB357" s="35"/>
      <c r="DC357" s="35"/>
      <c r="DD357" s="35"/>
      <c r="DE357" s="35"/>
      <c r="DF357" s="35"/>
      <c r="DG357" s="35"/>
      <c r="DH357" s="35"/>
      <c r="DI357" s="35"/>
      <c r="DJ357" s="35"/>
      <c r="DK357" s="35"/>
      <c r="DL357" s="35"/>
      <c r="DM357" s="35"/>
      <c r="DN357" s="35"/>
      <c r="DO357" s="35"/>
      <c r="DP357" s="35"/>
      <c r="DQ357" s="35"/>
      <c r="DR357" s="35"/>
      <c r="DS357" s="35"/>
      <c r="DT357" s="35"/>
      <c r="DU357" s="35"/>
      <c r="DV357" s="35"/>
      <c r="DW357" s="35"/>
      <c r="DX357" s="35"/>
      <c r="DY357" s="35"/>
      <c r="DZ357" s="36"/>
      <c r="EA357" s="35"/>
      <c r="EB357" s="35"/>
      <c r="EC357" s="35"/>
      <c r="ED357" s="35"/>
      <c r="EE357" s="35"/>
      <c r="EF357" s="35"/>
      <c r="EG357" s="35"/>
      <c r="EH357" s="35"/>
      <c r="EI357" s="35"/>
      <c r="EJ357" s="35"/>
      <c r="EK357" s="35"/>
      <c r="EL357" s="35"/>
      <c r="EM357" s="35"/>
      <c r="EN357" s="35"/>
      <c r="EO357" s="35"/>
      <c r="EP357" s="35"/>
      <c r="EQ357" s="35"/>
      <c r="ER357" s="35"/>
      <c r="ES357" s="35"/>
      <c r="ET357" s="35"/>
      <c r="EU357" s="35"/>
      <c r="EV357" s="35"/>
      <c r="EW357" s="35"/>
      <c r="EX357" s="35"/>
      <c r="EY357" s="36"/>
      <c r="EZ357" s="35"/>
      <c r="FA357" s="35"/>
      <c r="FB357" s="35"/>
      <c r="FC357" s="35"/>
      <c r="FD357" s="35"/>
      <c r="FE357" s="35"/>
      <c r="FF357" s="35"/>
      <c r="FG357" s="35"/>
      <c r="FH357" s="35"/>
      <c r="FI357" s="35"/>
      <c r="FJ357" s="35"/>
      <c r="FK357" s="35"/>
      <c r="FL357" s="35"/>
      <c r="FM357" s="35"/>
      <c r="FN357" s="35"/>
      <c r="FO357" s="35"/>
      <c r="FP357" s="35"/>
      <c r="FQ357" s="52"/>
      <c r="FS357" s="9" t="s">
        <v>13</v>
      </c>
      <c r="FT357" s="9" t="str">
        <f t="shared" si="6597"/>
        <v>12. FDS Release 4 12.5 FDS Release 4 - Ireland BAT prep</v>
      </c>
    </row>
    <row r="358" spans="1:176" ht="12" hidden="1" customHeight="1" outlineLevel="1">
      <c r="A358" s="122"/>
      <c r="B358" s="123"/>
      <c r="C358" s="131" t="str">
        <f t="shared" si="7273"/>
        <v>0 days</v>
      </c>
      <c r="D358" s="13" t="str">
        <f>A$329&amp;" "&amp;A354</f>
        <v>12. FDS Release 4 12.5 FDS Release 4 - Ireland BAT prep</v>
      </c>
      <c r="E358" s="51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D358" s="35"/>
      <c r="AE358" s="35"/>
      <c r="AF358" s="35"/>
      <c r="AG358" s="35"/>
      <c r="AH358" s="35"/>
      <c r="AI358" s="35"/>
      <c r="AJ358" s="35"/>
      <c r="AK358" s="35"/>
      <c r="AL358" s="36"/>
      <c r="AM358" s="36"/>
      <c r="AN358" s="36"/>
      <c r="AO358" s="36"/>
      <c r="AP358" s="36"/>
      <c r="AQ358" s="36"/>
      <c r="AR358" s="36"/>
      <c r="AS358" s="35"/>
      <c r="AT358" s="35"/>
      <c r="AU358" s="35"/>
      <c r="AV358" s="35"/>
      <c r="AW358" s="35"/>
      <c r="AX358" s="35"/>
      <c r="AY358" s="35"/>
      <c r="AZ358" s="35"/>
      <c r="BA358" s="35"/>
      <c r="BB358" s="35"/>
      <c r="BC358" s="35"/>
      <c r="BD358" s="35"/>
      <c r="BE358" s="35"/>
      <c r="BF358" s="35"/>
      <c r="BG358" s="35"/>
      <c r="BH358" s="35"/>
      <c r="BI358" s="35"/>
      <c r="BJ358" s="35"/>
      <c r="BK358" s="35"/>
      <c r="BL358" s="35"/>
      <c r="BM358" s="35"/>
      <c r="BN358" s="35"/>
      <c r="BO358" s="35"/>
      <c r="BP358" s="35"/>
      <c r="BQ358" s="35"/>
      <c r="BR358" s="35"/>
      <c r="BS358" s="35"/>
      <c r="BT358" s="35"/>
      <c r="BU358" s="35"/>
      <c r="BV358" s="35"/>
      <c r="BW358" s="35"/>
      <c r="BX358" s="35"/>
      <c r="BY358" s="35"/>
      <c r="BZ358" s="35"/>
      <c r="CA358" s="35"/>
      <c r="CB358" s="35"/>
      <c r="CC358" s="35"/>
      <c r="CD358" s="35"/>
      <c r="CE358" s="35"/>
      <c r="CF358" s="35"/>
      <c r="CG358" s="35"/>
      <c r="CH358" s="35"/>
      <c r="CI358" s="35"/>
      <c r="CJ358" s="35"/>
      <c r="CK358" s="35"/>
      <c r="CL358" s="35"/>
      <c r="CM358" s="35"/>
      <c r="CN358" s="35"/>
      <c r="CO358" s="35"/>
      <c r="CP358" s="35"/>
      <c r="CQ358" s="35"/>
      <c r="CR358" s="35"/>
      <c r="CS358" s="35"/>
      <c r="CT358" s="36"/>
      <c r="CU358" s="35"/>
      <c r="CV358" s="35"/>
      <c r="CW358" s="35"/>
      <c r="CX358" s="35"/>
      <c r="CY358" s="35"/>
      <c r="CZ358" s="36"/>
      <c r="DA358" s="36"/>
      <c r="DB358" s="35"/>
      <c r="DC358" s="35"/>
      <c r="DD358" s="35"/>
      <c r="DE358" s="35"/>
      <c r="DF358" s="35"/>
      <c r="DG358" s="35"/>
      <c r="DH358" s="35"/>
      <c r="DI358" s="35"/>
      <c r="DJ358" s="35"/>
      <c r="DK358" s="35"/>
      <c r="DL358" s="35"/>
      <c r="DM358" s="35"/>
      <c r="DN358" s="35"/>
      <c r="DO358" s="35"/>
      <c r="DP358" s="35"/>
      <c r="DQ358" s="35"/>
      <c r="DR358" s="35"/>
      <c r="DS358" s="35"/>
      <c r="DT358" s="35"/>
      <c r="DU358" s="35"/>
      <c r="DV358" s="35"/>
      <c r="DW358" s="35"/>
      <c r="DX358" s="35"/>
      <c r="DY358" s="35"/>
      <c r="DZ358" s="36"/>
      <c r="EA358" s="35"/>
      <c r="EB358" s="35"/>
      <c r="EC358" s="35"/>
      <c r="ED358" s="35"/>
      <c r="EE358" s="35"/>
      <c r="EF358" s="35"/>
      <c r="EG358" s="35"/>
      <c r="EH358" s="35"/>
      <c r="EI358" s="35"/>
      <c r="EJ358" s="35"/>
      <c r="EK358" s="35"/>
      <c r="EL358" s="35"/>
      <c r="EM358" s="35"/>
      <c r="EN358" s="35"/>
      <c r="EO358" s="35"/>
      <c r="EP358" s="35"/>
      <c r="EQ358" s="35"/>
      <c r="ER358" s="35"/>
      <c r="ES358" s="35"/>
      <c r="ET358" s="35"/>
      <c r="EU358" s="35"/>
      <c r="EV358" s="35"/>
      <c r="EW358" s="35"/>
      <c r="EX358" s="35"/>
      <c r="EY358" s="36"/>
      <c r="EZ358" s="35"/>
      <c r="FA358" s="35"/>
      <c r="FB358" s="35"/>
      <c r="FC358" s="35"/>
      <c r="FD358" s="35"/>
      <c r="FE358" s="35"/>
      <c r="FF358" s="35"/>
      <c r="FG358" s="35"/>
      <c r="FH358" s="35"/>
      <c r="FI358" s="35"/>
      <c r="FJ358" s="35"/>
      <c r="FK358" s="35"/>
      <c r="FL358" s="35"/>
      <c r="FM358" s="35"/>
      <c r="FN358" s="35"/>
      <c r="FO358" s="35"/>
      <c r="FP358" s="35"/>
      <c r="FQ358" s="52"/>
      <c r="FS358" s="9" t="s">
        <v>13</v>
      </c>
      <c r="FT358" s="9" t="str">
        <f t="shared" si="6597"/>
        <v>12. FDS Release 4 12.5 FDS Release 4 - Ireland BAT prep</v>
      </c>
    </row>
    <row r="359" spans="1:176" ht="12" hidden="1" customHeight="1" outlineLevel="1">
      <c r="A359" s="122"/>
      <c r="B359" s="123"/>
      <c r="C359" s="131" t="str">
        <f t="shared" si="7273"/>
        <v>0 days</v>
      </c>
      <c r="D359" s="13" t="str">
        <f>A$329&amp;" "&amp;A354</f>
        <v>12. FDS Release 4 12.5 FDS Release 4 - Ireland BAT prep</v>
      </c>
      <c r="E359" s="51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D359" s="35"/>
      <c r="AE359" s="35"/>
      <c r="AF359" s="35"/>
      <c r="AG359" s="35"/>
      <c r="AH359" s="35"/>
      <c r="AI359" s="35"/>
      <c r="AJ359" s="35"/>
      <c r="AK359" s="35"/>
      <c r="AL359" s="36"/>
      <c r="AM359" s="36"/>
      <c r="AN359" s="36"/>
      <c r="AO359" s="36"/>
      <c r="AP359" s="36"/>
      <c r="AQ359" s="36"/>
      <c r="AR359" s="36"/>
      <c r="AS359" s="35"/>
      <c r="AT359" s="35"/>
      <c r="AU359" s="35"/>
      <c r="AV359" s="35"/>
      <c r="AW359" s="35"/>
      <c r="AX359" s="35"/>
      <c r="AY359" s="35"/>
      <c r="AZ359" s="35"/>
      <c r="BA359" s="35"/>
      <c r="BB359" s="35"/>
      <c r="BC359" s="35"/>
      <c r="BD359" s="35"/>
      <c r="BE359" s="35"/>
      <c r="BF359" s="35"/>
      <c r="BG359" s="35"/>
      <c r="BH359" s="35"/>
      <c r="BI359" s="35"/>
      <c r="BJ359" s="35"/>
      <c r="BK359" s="35"/>
      <c r="BL359" s="35"/>
      <c r="BM359" s="35"/>
      <c r="BN359" s="35"/>
      <c r="BO359" s="35"/>
      <c r="BP359" s="35"/>
      <c r="BQ359" s="35"/>
      <c r="BR359" s="35"/>
      <c r="BS359" s="35"/>
      <c r="BT359" s="35"/>
      <c r="BU359" s="35"/>
      <c r="BV359" s="35"/>
      <c r="BW359" s="35"/>
      <c r="BX359" s="35"/>
      <c r="BY359" s="35"/>
      <c r="BZ359" s="35"/>
      <c r="CA359" s="35"/>
      <c r="CB359" s="35"/>
      <c r="CC359" s="35"/>
      <c r="CD359" s="35"/>
      <c r="CE359" s="35"/>
      <c r="CF359" s="35"/>
      <c r="CG359" s="35"/>
      <c r="CH359" s="35"/>
      <c r="CI359" s="35"/>
      <c r="CJ359" s="35"/>
      <c r="CK359" s="35"/>
      <c r="CL359" s="35"/>
      <c r="CM359" s="35"/>
      <c r="CN359" s="35"/>
      <c r="CO359" s="35"/>
      <c r="CP359" s="35"/>
      <c r="CQ359" s="35"/>
      <c r="CR359" s="35"/>
      <c r="CS359" s="35"/>
      <c r="CT359" s="36"/>
      <c r="CU359" s="35"/>
      <c r="CV359" s="35"/>
      <c r="CW359" s="35"/>
      <c r="CX359" s="35"/>
      <c r="CY359" s="35"/>
      <c r="CZ359" s="36"/>
      <c r="DA359" s="36"/>
      <c r="DB359" s="35"/>
      <c r="DC359" s="35"/>
      <c r="DD359" s="35"/>
      <c r="DE359" s="35"/>
      <c r="DF359" s="35"/>
      <c r="DG359" s="35"/>
      <c r="DH359" s="35"/>
      <c r="DI359" s="35"/>
      <c r="DJ359" s="35"/>
      <c r="DK359" s="35"/>
      <c r="DL359" s="35"/>
      <c r="DM359" s="35"/>
      <c r="DN359" s="35"/>
      <c r="DO359" s="35"/>
      <c r="DP359" s="35"/>
      <c r="DQ359" s="35"/>
      <c r="DR359" s="35"/>
      <c r="DS359" s="35"/>
      <c r="DT359" s="35"/>
      <c r="DU359" s="35"/>
      <c r="DV359" s="35"/>
      <c r="DW359" s="35"/>
      <c r="DX359" s="35"/>
      <c r="DY359" s="35"/>
      <c r="DZ359" s="36"/>
      <c r="EA359" s="35"/>
      <c r="EB359" s="35"/>
      <c r="EC359" s="35"/>
      <c r="ED359" s="35"/>
      <c r="EE359" s="35"/>
      <c r="EF359" s="35"/>
      <c r="EG359" s="35"/>
      <c r="EH359" s="35"/>
      <c r="EI359" s="35"/>
      <c r="EJ359" s="35"/>
      <c r="EK359" s="35"/>
      <c r="EL359" s="35"/>
      <c r="EM359" s="35"/>
      <c r="EN359" s="35"/>
      <c r="EO359" s="35"/>
      <c r="EP359" s="35"/>
      <c r="EQ359" s="35"/>
      <c r="ER359" s="35"/>
      <c r="ES359" s="35"/>
      <c r="ET359" s="35"/>
      <c r="EU359" s="35"/>
      <c r="EV359" s="35"/>
      <c r="EW359" s="35"/>
      <c r="EX359" s="35"/>
      <c r="EY359" s="36"/>
      <c r="EZ359" s="35"/>
      <c r="FA359" s="35"/>
      <c r="FB359" s="35"/>
      <c r="FC359" s="35"/>
      <c r="FD359" s="35"/>
      <c r="FE359" s="35"/>
      <c r="FF359" s="35"/>
      <c r="FG359" s="35"/>
      <c r="FH359" s="35"/>
      <c r="FI359" s="35"/>
      <c r="FJ359" s="35"/>
      <c r="FK359" s="35"/>
      <c r="FL359" s="35"/>
      <c r="FM359" s="35"/>
      <c r="FN359" s="35"/>
      <c r="FO359" s="35"/>
      <c r="FP359" s="35"/>
      <c r="FQ359" s="52"/>
      <c r="FS359" s="9" t="s">
        <v>13</v>
      </c>
      <c r="FT359" s="9" t="str">
        <f t="shared" si="6597"/>
        <v>12. FDS Release 4 12.5 FDS Release 4 - Ireland BAT prep</v>
      </c>
    </row>
    <row r="360" spans="1:176" ht="12" customHeight="1" collapsed="1">
      <c r="A360" s="119" t="s">
        <v>113</v>
      </c>
      <c r="B360" s="127"/>
      <c r="C360" s="128" t="str">
        <f>ROUND(SUM(E360:FQ360),0) &amp; " days"</f>
        <v>13 days</v>
      </c>
      <c r="D360" s="37"/>
      <c r="E360" s="91" t="str">
        <f t="shared" ref="E360:BP360" si="7274">IF(SUBTOTAL(9,E361:E365)&gt;0,SUBTOTAL(9,E361:E365),"")</f>
        <v/>
      </c>
      <c r="F360" s="34" t="str">
        <f t="shared" si="7274"/>
        <v/>
      </c>
      <c r="G360" s="34" t="str">
        <f t="shared" si="7274"/>
        <v/>
      </c>
      <c r="H360" s="34" t="str">
        <f t="shared" si="7274"/>
        <v/>
      </c>
      <c r="I360" s="34" t="str">
        <f t="shared" si="7274"/>
        <v/>
      </c>
      <c r="J360" s="34" t="str">
        <f t="shared" si="7274"/>
        <v/>
      </c>
      <c r="K360" s="34" t="str">
        <f t="shared" si="7274"/>
        <v/>
      </c>
      <c r="L360" s="34" t="str">
        <f t="shared" si="7274"/>
        <v/>
      </c>
      <c r="M360" s="34" t="str">
        <f t="shared" si="7274"/>
        <v/>
      </c>
      <c r="N360" s="34" t="str">
        <f t="shared" si="7274"/>
        <v/>
      </c>
      <c r="O360" s="34" t="str">
        <f t="shared" si="7274"/>
        <v/>
      </c>
      <c r="P360" s="34" t="str">
        <f t="shared" si="7274"/>
        <v/>
      </c>
      <c r="Q360" s="34" t="str">
        <f t="shared" si="7274"/>
        <v/>
      </c>
      <c r="R360" s="34" t="str">
        <f t="shared" si="7274"/>
        <v/>
      </c>
      <c r="S360" s="34" t="str">
        <f t="shared" si="7274"/>
        <v/>
      </c>
      <c r="T360" s="34" t="str">
        <f t="shared" si="7274"/>
        <v/>
      </c>
      <c r="U360" s="34" t="str">
        <f t="shared" si="7274"/>
        <v/>
      </c>
      <c r="V360" s="34" t="str">
        <f t="shared" si="7274"/>
        <v/>
      </c>
      <c r="W360" s="34" t="str">
        <f t="shared" si="7274"/>
        <v/>
      </c>
      <c r="X360" s="34" t="str">
        <f t="shared" si="7274"/>
        <v/>
      </c>
      <c r="Y360" s="34" t="str">
        <f t="shared" si="7274"/>
        <v/>
      </c>
      <c r="Z360" s="34" t="str">
        <f t="shared" si="7274"/>
        <v/>
      </c>
      <c r="AA360" s="34" t="str">
        <f t="shared" si="7274"/>
        <v/>
      </c>
      <c r="AB360" s="34" t="str">
        <f t="shared" si="7274"/>
        <v/>
      </c>
      <c r="AC360" s="34" t="str">
        <f t="shared" si="7274"/>
        <v/>
      </c>
      <c r="AD360" s="34" t="str">
        <f t="shared" si="7274"/>
        <v/>
      </c>
      <c r="AE360" s="34" t="str">
        <f t="shared" si="7274"/>
        <v/>
      </c>
      <c r="AF360" s="34" t="str">
        <f t="shared" si="7274"/>
        <v/>
      </c>
      <c r="AG360" s="34" t="str">
        <f t="shared" si="7274"/>
        <v/>
      </c>
      <c r="AH360" s="34" t="str">
        <f t="shared" si="7274"/>
        <v/>
      </c>
      <c r="AI360" s="34" t="str">
        <f t="shared" si="7274"/>
        <v/>
      </c>
      <c r="AJ360" s="34" t="str">
        <f t="shared" si="7274"/>
        <v/>
      </c>
      <c r="AK360" s="34" t="str">
        <f t="shared" si="7274"/>
        <v/>
      </c>
      <c r="AL360" s="33" t="str">
        <f t="shared" si="7274"/>
        <v/>
      </c>
      <c r="AM360" s="33" t="str">
        <f t="shared" si="7274"/>
        <v/>
      </c>
      <c r="AN360" s="33" t="str">
        <f t="shared" si="7274"/>
        <v/>
      </c>
      <c r="AO360" s="33" t="str">
        <f t="shared" si="7274"/>
        <v/>
      </c>
      <c r="AP360" s="33" t="str">
        <f t="shared" si="7274"/>
        <v/>
      </c>
      <c r="AQ360" s="33" t="str">
        <f t="shared" si="7274"/>
        <v/>
      </c>
      <c r="AR360" s="33" t="str">
        <f t="shared" si="7274"/>
        <v/>
      </c>
      <c r="AS360" s="34" t="str">
        <f t="shared" si="7274"/>
        <v/>
      </c>
      <c r="AT360" s="34" t="str">
        <f t="shared" si="7274"/>
        <v/>
      </c>
      <c r="AU360" s="34" t="str">
        <f t="shared" si="7274"/>
        <v/>
      </c>
      <c r="AV360" s="34" t="str">
        <f t="shared" si="7274"/>
        <v/>
      </c>
      <c r="AW360" s="34" t="str">
        <f t="shared" si="7274"/>
        <v/>
      </c>
      <c r="AX360" s="34" t="str">
        <f t="shared" si="7274"/>
        <v/>
      </c>
      <c r="AY360" s="34" t="str">
        <f t="shared" si="7274"/>
        <v/>
      </c>
      <c r="AZ360" s="34" t="str">
        <f t="shared" si="7274"/>
        <v/>
      </c>
      <c r="BA360" s="34" t="str">
        <f t="shared" si="7274"/>
        <v/>
      </c>
      <c r="BB360" s="34" t="str">
        <f t="shared" si="7274"/>
        <v/>
      </c>
      <c r="BC360" s="34" t="str">
        <f t="shared" si="7274"/>
        <v/>
      </c>
      <c r="BD360" s="34" t="str">
        <f t="shared" si="7274"/>
        <v/>
      </c>
      <c r="BE360" s="34" t="str">
        <f t="shared" si="7274"/>
        <v/>
      </c>
      <c r="BF360" s="34" t="str">
        <f t="shared" si="7274"/>
        <v/>
      </c>
      <c r="BG360" s="34" t="str">
        <f t="shared" si="7274"/>
        <v/>
      </c>
      <c r="BH360" s="34" t="str">
        <f t="shared" si="7274"/>
        <v/>
      </c>
      <c r="BI360" s="34" t="str">
        <f t="shared" si="7274"/>
        <v/>
      </c>
      <c r="BJ360" s="34" t="str">
        <f t="shared" si="7274"/>
        <v/>
      </c>
      <c r="BK360" s="34" t="str">
        <f t="shared" si="7274"/>
        <v/>
      </c>
      <c r="BL360" s="34" t="str">
        <f t="shared" si="7274"/>
        <v/>
      </c>
      <c r="BM360" s="34">
        <f t="shared" si="7274"/>
        <v>1</v>
      </c>
      <c r="BN360" s="34">
        <f t="shared" si="7274"/>
        <v>1</v>
      </c>
      <c r="BO360" s="34">
        <f t="shared" si="7274"/>
        <v>1</v>
      </c>
      <c r="BP360" s="34">
        <f t="shared" si="7274"/>
        <v>0.5</v>
      </c>
      <c r="BQ360" s="34">
        <f t="shared" ref="BQ360:EB360" si="7275">IF(SUBTOTAL(9,BQ361:BQ365)&gt;0,SUBTOTAL(9,BQ361:BQ365),"")</f>
        <v>0.5</v>
      </c>
      <c r="BR360" s="34">
        <f t="shared" si="7275"/>
        <v>1</v>
      </c>
      <c r="BS360" s="34">
        <f t="shared" si="7275"/>
        <v>1</v>
      </c>
      <c r="BT360" s="34">
        <f t="shared" si="7275"/>
        <v>1</v>
      </c>
      <c r="BU360" s="34">
        <f t="shared" si="7275"/>
        <v>0.5</v>
      </c>
      <c r="BV360" s="34" t="str">
        <f t="shared" si="7275"/>
        <v/>
      </c>
      <c r="BW360" s="34" t="str">
        <f t="shared" si="7275"/>
        <v/>
      </c>
      <c r="BX360" s="34" t="str">
        <f t="shared" si="7275"/>
        <v/>
      </c>
      <c r="BY360" s="34">
        <f t="shared" si="7275"/>
        <v>1</v>
      </c>
      <c r="BZ360" s="34">
        <f t="shared" si="7275"/>
        <v>1</v>
      </c>
      <c r="CA360" s="34">
        <f t="shared" si="7275"/>
        <v>0.5</v>
      </c>
      <c r="CB360" s="34">
        <f t="shared" si="7275"/>
        <v>0.5</v>
      </c>
      <c r="CC360" s="34">
        <f t="shared" si="7275"/>
        <v>0.5</v>
      </c>
      <c r="CD360" s="34">
        <f t="shared" si="7275"/>
        <v>0.5</v>
      </c>
      <c r="CE360" s="34">
        <f t="shared" si="7275"/>
        <v>0.5</v>
      </c>
      <c r="CF360" s="34">
        <f t="shared" si="7275"/>
        <v>1</v>
      </c>
      <c r="CG360" s="34" t="str">
        <f t="shared" si="7275"/>
        <v/>
      </c>
      <c r="CH360" s="34" t="str">
        <f t="shared" si="7275"/>
        <v/>
      </c>
      <c r="CI360" s="34" t="str">
        <f t="shared" si="7275"/>
        <v/>
      </c>
      <c r="CJ360" s="34" t="str">
        <f t="shared" si="7275"/>
        <v/>
      </c>
      <c r="CK360" s="34" t="str">
        <f t="shared" si="7275"/>
        <v/>
      </c>
      <c r="CL360" s="34" t="str">
        <f t="shared" si="7275"/>
        <v/>
      </c>
      <c r="CM360" s="34" t="str">
        <f t="shared" si="7275"/>
        <v/>
      </c>
      <c r="CN360" s="34" t="str">
        <f t="shared" si="7275"/>
        <v/>
      </c>
      <c r="CO360" s="34" t="str">
        <f t="shared" si="7275"/>
        <v/>
      </c>
      <c r="CP360" s="34" t="str">
        <f t="shared" si="7275"/>
        <v/>
      </c>
      <c r="CQ360" s="34" t="str">
        <f t="shared" si="7275"/>
        <v/>
      </c>
      <c r="CR360" s="34" t="str">
        <f t="shared" si="7275"/>
        <v/>
      </c>
      <c r="CS360" s="34" t="str">
        <f t="shared" si="7275"/>
        <v/>
      </c>
      <c r="CT360" s="33" t="str">
        <f t="shared" si="7275"/>
        <v/>
      </c>
      <c r="CU360" s="34" t="str">
        <f t="shared" si="7275"/>
        <v/>
      </c>
      <c r="CV360" s="34" t="str">
        <f t="shared" si="7275"/>
        <v/>
      </c>
      <c r="CW360" s="34" t="str">
        <f t="shared" si="7275"/>
        <v/>
      </c>
      <c r="CX360" s="34" t="str">
        <f t="shared" si="7275"/>
        <v/>
      </c>
      <c r="CY360" s="34" t="str">
        <f t="shared" si="7275"/>
        <v/>
      </c>
      <c r="CZ360" s="33" t="str">
        <f t="shared" si="7275"/>
        <v/>
      </c>
      <c r="DA360" s="33" t="str">
        <f t="shared" si="7275"/>
        <v/>
      </c>
      <c r="DB360" s="34" t="str">
        <f t="shared" si="7275"/>
        <v/>
      </c>
      <c r="DC360" s="34" t="str">
        <f t="shared" si="7275"/>
        <v/>
      </c>
      <c r="DD360" s="34" t="str">
        <f t="shared" si="7275"/>
        <v/>
      </c>
      <c r="DE360" s="34" t="str">
        <f t="shared" si="7275"/>
        <v/>
      </c>
      <c r="DF360" s="34" t="str">
        <f t="shared" si="7275"/>
        <v/>
      </c>
      <c r="DG360" s="34" t="str">
        <f t="shared" si="7275"/>
        <v/>
      </c>
      <c r="DH360" s="34" t="str">
        <f t="shared" si="7275"/>
        <v/>
      </c>
      <c r="DI360" s="34" t="str">
        <f t="shared" si="7275"/>
        <v/>
      </c>
      <c r="DJ360" s="34" t="str">
        <f t="shared" si="7275"/>
        <v/>
      </c>
      <c r="DK360" s="34" t="str">
        <f t="shared" si="7275"/>
        <v/>
      </c>
      <c r="DL360" s="34" t="str">
        <f t="shared" si="7275"/>
        <v/>
      </c>
      <c r="DM360" s="34" t="str">
        <f t="shared" si="7275"/>
        <v/>
      </c>
      <c r="DN360" s="34" t="str">
        <f t="shared" si="7275"/>
        <v/>
      </c>
      <c r="DO360" s="34" t="str">
        <f t="shared" si="7275"/>
        <v/>
      </c>
      <c r="DP360" s="34" t="str">
        <f t="shared" si="7275"/>
        <v/>
      </c>
      <c r="DQ360" s="34" t="str">
        <f t="shared" si="7275"/>
        <v/>
      </c>
      <c r="DR360" s="34" t="str">
        <f t="shared" si="7275"/>
        <v/>
      </c>
      <c r="DS360" s="34" t="str">
        <f t="shared" si="7275"/>
        <v/>
      </c>
      <c r="DT360" s="34" t="str">
        <f t="shared" si="7275"/>
        <v/>
      </c>
      <c r="DU360" s="34" t="str">
        <f t="shared" si="7275"/>
        <v/>
      </c>
      <c r="DV360" s="34" t="str">
        <f t="shared" si="7275"/>
        <v/>
      </c>
      <c r="DW360" s="34" t="str">
        <f t="shared" si="7275"/>
        <v/>
      </c>
      <c r="DX360" s="34" t="str">
        <f t="shared" si="7275"/>
        <v/>
      </c>
      <c r="DY360" s="34" t="str">
        <f t="shared" si="7275"/>
        <v/>
      </c>
      <c r="DZ360" s="33" t="str">
        <f t="shared" si="7275"/>
        <v/>
      </c>
      <c r="EA360" s="34" t="str">
        <f t="shared" si="7275"/>
        <v/>
      </c>
      <c r="EB360" s="34" t="str">
        <f t="shared" si="7275"/>
        <v/>
      </c>
      <c r="EC360" s="34" t="str">
        <f t="shared" ref="EC360:FQ360" si="7276">IF(SUBTOTAL(9,EC361:EC365)&gt;0,SUBTOTAL(9,EC361:EC365),"")</f>
        <v/>
      </c>
      <c r="ED360" s="34" t="str">
        <f t="shared" si="7276"/>
        <v/>
      </c>
      <c r="EE360" s="34" t="str">
        <f t="shared" si="7276"/>
        <v/>
      </c>
      <c r="EF360" s="34" t="str">
        <f t="shared" si="7276"/>
        <v/>
      </c>
      <c r="EG360" s="34" t="str">
        <f t="shared" si="7276"/>
        <v/>
      </c>
      <c r="EH360" s="34" t="str">
        <f t="shared" si="7276"/>
        <v/>
      </c>
      <c r="EI360" s="34" t="str">
        <f t="shared" si="7276"/>
        <v/>
      </c>
      <c r="EJ360" s="34" t="str">
        <f t="shared" si="7276"/>
        <v/>
      </c>
      <c r="EK360" s="34" t="str">
        <f t="shared" si="7276"/>
        <v/>
      </c>
      <c r="EL360" s="34" t="str">
        <f t="shared" si="7276"/>
        <v/>
      </c>
      <c r="EM360" s="34" t="str">
        <f t="shared" si="7276"/>
        <v/>
      </c>
      <c r="EN360" s="34" t="str">
        <f t="shared" si="7276"/>
        <v/>
      </c>
      <c r="EO360" s="34" t="str">
        <f t="shared" si="7276"/>
        <v/>
      </c>
      <c r="EP360" s="34" t="str">
        <f t="shared" si="7276"/>
        <v/>
      </c>
      <c r="EQ360" s="34" t="str">
        <f t="shared" si="7276"/>
        <v/>
      </c>
      <c r="ER360" s="34" t="str">
        <f t="shared" si="7276"/>
        <v/>
      </c>
      <c r="ES360" s="34" t="str">
        <f t="shared" si="7276"/>
        <v/>
      </c>
      <c r="ET360" s="34" t="str">
        <f t="shared" si="7276"/>
        <v/>
      </c>
      <c r="EU360" s="34" t="str">
        <f t="shared" si="7276"/>
        <v/>
      </c>
      <c r="EV360" s="34" t="str">
        <f t="shared" si="7276"/>
        <v/>
      </c>
      <c r="EW360" s="34" t="str">
        <f t="shared" si="7276"/>
        <v/>
      </c>
      <c r="EX360" s="34" t="str">
        <f t="shared" si="7276"/>
        <v/>
      </c>
      <c r="EY360" s="33" t="str">
        <f t="shared" si="7276"/>
        <v/>
      </c>
      <c r="EZ360" s="34" t="str">
        <f t="shared" si="7276"/>
        <v/>
      </c>
      <c r="FA360" s="34" t="str">
        <f t="shared" si="7276"/>
        <v/>
      </c>
      <c r="FB360" s="34" t="str">
        <f t="shared" si="7276"/>
        <v/>
      </c>
      <c r="FC360" s="34" t="str">
        <f t="shared" si="7276"/>
        <v/>
      </c>
      <c r="FD360" s="34" t="str">
        <f t="shared" si="7276"/>
        <v/>
      </c>
      <c r="FE360" s="34" t="str">
        <f t="shared" si="7276"/>
        <v/>
      </c>
      <c r="FF360" s="34" t="str">
        <f t="shared" si="7276"/>
        <v/>
      </c>
      <c r="FG360" s="34" t="str">
        <f t="shared" si="7276"/>
        <v/>
      </c>
      <c r="FH360" s="34" t="str">
        <f t="shared" si="7276"/>
        <v/>
      </c>
      <c r="FI360" s="34" t="str">
        <f t="shared" si="7276"/>
        <v/>
      </c>
      <c r="FJ360" s="34" t="str">
        <f t="shared" si="7276"/>
        <v/>
      </c>
      <c r="FK360" s="34" t="str">
        <f t="shared" si="7276"/>
        <v/>
      </c>
      <c r="FL360" s="34" t="str">
        <f t="shared" si="7276"/>
        <v/>
      </c>
      <c r="FM360" s="34" t="str">
        <f t="shared" si="7276"/>
        <v/>
      </c>
      <c r="FN360" s="34" t="str">
        <f t="shared" si="7276"/>
        <v/>
      </c>
      <c r="FO360" s="34" t="str">
        <f t="shared" si="7276"/>
        <v/>
      </c>
      <c r="FP360" s="34" t="str">
        <f t="shared" si="7276"/>
        <v/>
      </c>
      <c r="FQ360" s="92" t="str">
        <f t="shared" si="7276"/>
        <v/>
      </c>
      <c r="FS360" s="9" t="s">
        <v>131</v>
      </c>
      <c r="FT360" s="9" t="str">
        <f t="shared" si="6597"/>
        <v/>
      </c>
    </row>
    <row r="361" spans="1:176" ht="12" hidden="1" customHeight="1" outlineLevel="1">
      <c r="A361" s="122" t="s">
        <v>188</v>
      </c>
      <c r="B361" s="130" t="s">
        <v>10</v>
      </c>
      <c r="C361" s="131" t="str">
        <f t="shared" ref="C361:C365" si="7277">ROUND(SUM(E361:FQ361),0) &amp; " days"</f>
        <v>13 days</v>
      </c>
      <c r="D361" s="101" t="str">
        <f>A$329&amp;" "&amp;A360</f>
        <v>12. FDS Release 4 12.6 FDS Release 4 - Ireland BAT</v>
      </c>
      <c r="E361" s="51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D361" s="35"/>
      <c r="AE361" s="35"/>
      <c r="AF361" s="35"/>
      <c r="AG361" s="35"/>
      <c r="AH361" s="35"/>
      <c r="AI361" s="35"/>
      <c r="AJ361" s="35"/>
      <c r="AK361" s="35"/>
      <c r="AL361" s="36"/>
      <c r="AM361" s="36"/>
      <c r="AN361" s="36"/>
      <c r="AO361" s="36"/>
      <c r="AP361" s="36"/>
      <c r="AQ361" s="36"/>
      <c r="AR361" s="36"/>
      <c r="AS361" s="35"/>
      <c r="AT361" s="35"/>
      <c r="AU361" s="35"/>
      <c r="AV361" s="35"/>
      <c r="AW361" s="35"/>
      <c r="AX361" s="35"/>
      <c r="AY361" s="35"/>
      <c r="AZ361" s="35"/>
      <c r="BA361" s="35"/>
      <c r="BB361" s="35"/>
      <c r="BC361" s="35"/>
      <c r="BD361" s="35"/>
      <c r="BE361" s="35"/>
      <c r="BF361" s="35"/>
      <c r="BG361" s="35"/>
      <c r="BH361" s="35"/>
      <c r="BI361" s="35"/>
      <c r="BJ361" s="35"/>
      <c r="BK361" s="35"/>
      <c r="BL361" s="35"/>
      <c r="BM361" s="35">
        <v>1</v>
      </c>
      <c r="BN361" s="35">
        <v>1</v>
      </c>
      <c r="BO361" s="35">
        <v>1</v>
      </c>
      <c r="BP361" s="35">
        <v>0.5</v>
      </c>
      <c r="BQ361" s="35">
        <v>0.5</v>
      </c>
      <c r="BR361" s="35">
        <v>1</v>
      </c>
      <c r="BS361" s="35">
        <v>1</v>
      </c>
      <c r="BT361" s="35">
        <v>1</v>
      </c>
      <c r="BU361" s="35">
        <v>0.5</v>
      </c>
      <c r="BV361" s="35"/>
      <c r="BW361" s="35"/>
      <c r="BX361" s="35"/>
      <c r="BY361" s="35">
        <v>1</v>
      </c>
      <c r="BZ361" s="35">
        <v>1</v>
      </c>
      <c r="CA361" s="35">
        <v>0.5</v>
      </c>
      <c r="CB361" s="35">
        <v>0.5</v>
      </c>
      <c r="CC361" s="35">
        <v>0.5</v>
      </c>
      <c r="CD361" s="35">
        <v>0.5</v>
      </c>
      <c r="CE361" s="35">
        <v>0.5</v>
      </c>
      <c r="CF361" s="35">
        <v>1</v>
      </c>
      <c r="CG361" s="35"/>
      <c r="CH361" s="35"/>
      <c r="CI361" s="35"/>
      <c r="CJ361" s="35"/>
      <c r="CK361" s="35"/>
      <c r="CL361" s="35"/>
      <c r="CM361" s="35"/>
      <c r="CN361" s="35"/>
      <c r="CO361" s="35"/>
      <c r="CP361" s="35"/>
      <c r="CQ361" s="35"/>
      <c r="CR361" s="35"/>
      <c r="CS361" s="35"/>
      <c r="CT361" s="36"/>
      <c r="CU361" s="35"/>
      <c r="CV361" s="35"/>
      <c r="CW361" s="35"/>
      <c r="CX361" s="35"/>
      <c r="CY361" s="35"/>
      <c r="CZ361" s="36"/>
      <c r="DA361" s="36"/>
      <c r="DB361" s="35"/>
      <c r="DC361" s="35"/>
      <c r="DD361" s="35"/>
      <c r="DE361" s="35"/>
      <c r="DF361" s="35"/>
      <c r="DG361" s="35"/>
      <c r="DH361" s="35"/>
      <c r="DI361" s="35"/>
      <c r="DJ361" s="35"/>
      <c r="DK361" s="35"/>
      <c r="DL361" s="35"/>
      <c r="DM361" s="35"/>
      <c r="DN361" s="35"/>
      <c r="DO361" s="35"/>
      <c r="DP361" s="35"/>
      <c r="DQ361" s="35"/>
      <c r="DR361" s="35"/>
      <c r="DS361" s="35"/>
      <c r="DT361" s="35"/>
      <c r="DU361" s="35"/>
      <c r="DV361" s="35"/>
      <c r="DW361" s="35"/>
      <c r="DX361" s="35"/>
      <c r="DY361" s="35"/>
      <c r="DZ361" s="36"/>
      <c r="EA361" s="35"/>
      <c r="EB361" s="35"/>
      <c r="EC361" s="35"/>
      <c r="ED361" s="35"/>
      <c r="EE361" s="35"/>
      <c r="EF361" s="35"/>
      <c r="EG361" s="35"/>
      <c r="EH361" s="35"/>
      <c r="EI361" s="35"/>
      <c r="EJ361" s="35"/>
      <c r="EK361" s="35"/>
      <c r="EL361" s="35"/>
      <c r="EM361" s="35"/>
      <c r="EN361" s="35"/>
      <c r="EO361" s="35"/>
      <c r="EP361" s="35"/>
      <c r="EQ361" s="35"/>
      <c r="ER361" s="35"/>
      <c r="ES361" s="35"/>
      <c r="ET361" s="35"/>
      <c r="EU361" s="35"/>
      <c r="EV361" s="35"/>
      <c r="EW361" s="35"/>
      <c r="EX361" s="35"/>
      <c r="EY361" s="36"/>
      <c r="EZ361" s="35"/>
      <c r="FA361" s="35"/>
      <c r="FB361" s="35"/>
      <c r="FC361" s="35"/>
      <c r="FD361" s="35"/>
      <c r="FE361" s="35"/>
      <c r="FF361" s="35"/>
      <c r="FG361" s="35"/>
      <c r="FH361" s="35"/>
      <c r="FI361" s="35"/>
      <c r="FJ361" s="35"/>
      <c r="FK361" s="35"/>
      <c r="FL361" s="35"/>
      <c r="FM361" s="35"/>
      <c r="FN361" s="35"/>
      <c r="FO361" s="35"/>
      <c r="FP361" s="35"/>
      <c r="FQ361" s="52"/>
      <c r="FS361" s="9" t="s">
        <v>13</v>
      </c>
      <c r="FT361" s="9" t="str">
        <f t="shared" si="6597"/>
        <v>12. FDS Release 4 12.6 FDS Release 4 - Ireland BATGlenn Kirk</v>
      </c>
    </row>
    <row r="362" spans="1:176" ht="12" hidden="1" customHeight="1" outlineLevel="1">
      <c r="A362" s="122"/>
      <c r="B362" s="123"/>
      <c r="C362" s="131" t="str">
        <f t="shared" si="7277"/>
        <v>0 days</v>
      </c>
      <c r="D362" s="13" t="str">
        <f>A$329&amp;" "&amp;A360</f>
        <v>12. FDS Release 4 12.6 FDS Release 4 - Ireland BAT</v>
      </c>
      <c r="E362" s="51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D362" s="35"/>
      <c r="AE362" s="35"/>
      <c r="AF362" s="35"/>
      <c r="AG362" s="35"/>
      <c r="AH362" s="35"/>
      <c r="AI362" s="35"/>
      <c r="AJ362" s="35"/>
      <c r="AK362" s="35"/>
      <c r="AL362" s="36"/>
      <c r="AM362" s="36"/>
      <c r="AN362" s="36"/>
      <c r="AO362" s="36"/>
      <c r="AP362" s="36"/>
      <c r="AQ362" s="36"/>
      <c r="AR362" s="36"/>
      <c r="AS362" s="35"/>
      <c r="AT362" s="35"/>
      <c r="AU362" s="35"/>
      <c r="AV362" s="35"/>
      <c r="AW362" s="35"/>
      <c r="AX362" s="35"/>
      <c r="AY362" s="35"/>
      <c r="AZ362" s="35"/>
      <c r="BA362" s="35"/>
      <c r="BB362" s="35"/>
      <c r="BC362" s="35"/>
      <c r="BD362" s="35"/>
      <c r="BE362" s="35"/>
      <c r="BF362" s="35"/>
      <c r="BG362" s="35"/>
      <c r="BH362" s="35"/>
      <c r="BI362" s="35"/>
      <c r="BJ362" s="35"/>
      <c r="BK362" s="35"/>
      <c r="BL362" s="35"/>
      <c r="BM362" s="35"/>
      <c r="BN362" s="35"/>
      <c r="BO362" s="35"/>
      <c r="BP362" s="35"/>
      <c r="BQ362" s="35"/>
      <c r="BR362" s="35"/>
      <c r="BS362" s="35"/>
      <c r="BT362" s="35"/>
      <c r="BU362" s="35"/>
      <c r="BV362" s="35"/>
      <c r="BW362" s="35"/>
      <c r="BX362" s="35"/>
      <c r="BY362" s="35"/>
      <c r="BZ362" s="35"/>
      <c r="CA362" s="35"/>
      <c r="CB362" s="35"/>
      <c r="CC362" s="35"/>
      <c r="CD362" s="35"/>
      <c r="CE362" s="35"/>
      <c r="CF362" s="35"/>
      <c r="CG362" s="35"/>
      <c r="CH362" s="35"/>
      <c r="CI362" s="35"/>
      <c r="CJ362" s="35"/>
      <c r="CK362" s="35"/>
      <c r="CL362" s="35"/>
      <c r="CM362" s="35"/>
      <c r="CN362" s="35"/>
      <c r="CO362" s="35"/>
      <c r="CP362" s="35"/>
      <c r="CQ362" s="35"/>
      <c r="CR362" s="35"/>
      <c r="CS362" s="35"/>
      <c r="CT362" s="36"/>
      <c r="CU362" s="35"/>
      <c r="CV362" s="35"/>
      <c r="CW362" s="35"/>
      <c r="CX362" s="35"/>
      <c r="CY362" s="35"/>
      <c r="CZ362" s="36"/>
      <c r="DA362" s="36"/>
      <c r="DB362" s="35"/>
      <c r="DC362" s="35"/>
      <c r="DD362" s="35"/>
      <c r="DE362" s="35"/>
      <c r="DF362" s="35"/>
      <c r="DG362" s="35"/>
      <c r="DH362" s="35"/>
      <c r="DI362" s="35"/>
      <c r="DJ362" s="35"/>
      <c r="DK362" s="35"/>
      <c r="DL362" s="35"/>
      <c r="DM362" s="35"/>
      <c r="DN362" s="35"/>
      <c r="DO362" s="35"/>
      <c r="DP362" s="35"/>
      <c r="DQ362" s="35"/>
      <c r="DR362" s="35"/>
      <c r="DS362" s="35"/>
      <c r="DT362" s="35"/>
      <c r="DU362" s="35"/>
      <c r="DV362" s="35"/>
      <c r="DW362" s="35"/>
      <c r="DX362" s="35"/>
      <c r="DY362" s="35"/>
      <c r="DZ362" s="36"/>
      <c r="EA362" s="35"/>
      <c r="EB362" s="35"/>
      <c r="EC362" s="35"/>
      <c r="ED362" s="35"/>
      <c r="EE362" s="35"/>
      <c r="EF362" s="35"/>
      <c r="EG362" s="35"/>
      <c r="EH362" s="35"/>
      <c r="EI362" s="35"/>
      <c r="EJ362" s="35"/>
      <c r="EK362" s="35"/>
      <c r="EL362" s="35"/>
      <c r="EM362" s="35"/>
      <c r="EN362" s="35"/>
      <c r="EO362" s="35"/>
      <c r="EP362" s="35"/>
      <c r="EQ362" s="35"/>
      <c r="ER362" s="35"/>
      <c r="ES362" s="35"/>
      <c r="ET362" s="35"/>
      <c r="EU362" s="35"/>
      <c r="EV362" s="35"/>
      <c r="EW362" s="35"/>
      <c r="EX362" s="35"/>
      <c r="EY362" s="36"/>
      <c r="EZ362" s="35"/>
      <c r="FA362" s="35"/>
      <c r="FB362" s="35"/>
      <c r="FC362" s="35"/>
      <c r="FD362" s="35"/>
      <c r="FE362" s="35"/>
      <c r="FF362" s="35"/>
      <c r="FG362" s="35"/>
      <c r="FH362" s="35"/>
      <c r="FI362" s="35"/>
      <c r="FJ362" s="35"/>
      <c r="FK362" s="35"/>
      <c r="FL362" s="35"/>
      <c r="FM362" s="35"/>
      <c r="FN362" s="35"/>
      <c r="FO362" s="35"/>
      <c r="FP362" s="35"/>
      <c r="FQ362" s="52"/>
      <c r="FS362" s="9" t="s">
        <v>13</v>
      </c>
      <c r="FT362" s="9" t="str">
        <f t="shared" si="6597"/>
        <v>12. FDS Release 4 12.6 FDS Release 4 - Ireland BAT</v>
      </c>
    </row>
    <row r="363" spans="1:176" ht="12" hidden="1" customHeight="1" outlineLevel="1">
      <c r="A363" s="122"/>
      <c r="B363" s="123"/>
      <c r="C363" s="131" t="str">
        <f t="shared" si="7277"/>
        <v>0 days</v>
      </c>
      <c r="D363" s="13" t="str">
        <f>A$329&amp;" "&amp;A360</f>
        <v>12. FDS Release 4 12.6 FDS Release 4 - Ireland BAT</v>
      </c>
      <c r="E363" s="51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D363" s="35"/>
      <c r="AE363" s="35"/>
      <c r="AF363" s="35"/>
      <c r="AG363" s="35"/>
      <c r="AH363" s="35"/>
      <c r="AI363" s="35"/>
      <c r="AJ363" s="35"/>
      <c r="AK363" s="35"/>
      <c r="AL363" s="36"/>
      <c r="AM363" s="36"/>
      <c r="AN363" s="36"/>
      <c r="AO363" s="36"/>
      <c r="AP363" s="36"/>
      <c r="AQ363" s="36"/>
      <c r="AR363" s="36"/>
      <c r="AS363" s="35"/>
      <c r="AT363" s="35"/>
      <c r="AU363" s="35"/>
      <c r="AV363" s="35"/>
      <c r="AW363" s="35"/>
      <c r="AX363" s="35"/>
      <c r="AY363" s="35"/>
      <c r="AZ363" s="35"/>
      <c r="BA363" s="35"/>
      <c r="BB363" s="35"/>
      <c r="BC363" s="35"/>
      <c r="BD363" s="35"/>
      <c r="BE363" s="35"/>
      <c r="BF363" s="35"/>
      <c r="BG363" s="35"/>
      <c r="BH363" s="35"/>
      <c r="BI363" s="35"/>
      <c r="BJ363" s="35"/>
      <c r="BK363" s="35"/>
      <c r="BL363" s="35"/>
      <c r="BM363" s="35"/>
      <c r="BN363" s="35"/>
      <c r="BO363" s="35"/>
      <c r="BP363" s="35"/>
      <c r="BQ363" s="35"/>
      <c r="BR363" s="35"/>
      <c r="BS363" s="35"/>
      <c r="BT363" s="35"/>
      <c r="BU363" s="35"/>
      <c r="BV363" s="35"/>
      <c r="BW363" s="35"/>
      <c r="BX363" s="35"/>
      <c r="BY363" s="35"/>
      <c r="BZ363" s="35"/>
      <c r="CA363" s="35"/>
      <c r="CB363" s="35"/>
      <c r="CC363" s="35"/>
      <c r="CD363" s="35"/>
      <c r="CE363" s="35"/>
      <c r="CF363" s="35"/>
      <c r="CG363" s="35"/>
      <c r="CH363" s="35"/>
      <c r="CI363" s="35"/>
      <c r="CJ363" s="35"/>
      <c r="CK363" s="35"/>
      <c r="CL363" s="35"/>
      <c r="CM363" s="35"/>
      <c r="CN363" s="35"/>
      <c r="CO363" s="35"/>
      <c r="CP363" s="35"/>
      <c r="CQ363" s="35"/>
      <c r="CR363" s="35"/>
      <c r="CS363" s="35"/>
      <c r="CT363" s="36"/>
      <c r="CU363" s="35"/>
      <c r="CV363" s="35"/>
      <c r="CW363" s="35"/>
      <c r="CX363" s="35"/>
      <c r="CY363" s="35"/>
      <c r="CZ363" s="36"/>
      <c r="DA363" s="36"/>
      <c r="DB363" s="35"/>
      <c r="DC363" s="35"/>
      <c r="DD363" s="35"/>
      <c r="DE363" s="35"/>
      <c r="DF363" s="35"/>
      <c r="DG363" s="35"/>
      <c r="DH363" s="35"/>
      <c r="DI363" s="35"/>
      <c r="DJ363" s="35"/>
      <c r="DK363" s="35"/>
      <c r="DL363" s="35"/>
      <c r="DM363" s="35"/>
      <c r="DN363" s="35"/>
      <c r="DO363" s="35"/>
      <c r="DP363" s="35"/>
      <c r="DQ363" s="35"/>
      <c r="DR363" s="35"/>
      <c r="DS363" s="35"/>
      <c r="DT363" s="35"/>
      <c r="DU363" s="35"/>
      <c r="DV363" s="35"/>
      <c r="DW363" s="35"/>
      <c r="DX363" s="35"/>
      <c r="DY363" s="35"/>
      <c r="DZ363" s="36"/>
      <c r="EA363" s="35"/>
      <c r="EB363" s="35"/>
      <c r="EC363" s="35"/>
      <c r="ED363" s="35"/>
      <c r="EE363" s="35"/>
      <c r="EF363" s="35"/>
      <c r="EG363" s="35"/>
      <c r="EH363" s="35"/>
      <c r="EI363" s="35"/>
      <c r="EJ363" s="35"/>
      <c r="EK363" s="35"/>
      <c r="EL363" s="35"/>
      <c r="EM363" s="35"/>
      <c r="EN363" s="35"/>
      <c r="EO363" s="35"/>
      <c r="EP363" s="35"/>
      <c r="EQ363" s="35"/>
      <c r="ER363" s="35"/>
      <c r="ES363" s="35"/>
      <c r="ET363" s="35"/>
      <c r="EU363" s="35"/>
      <c r="EV363" s="35"/>
      <c r="EW363" s="35"/>
      <c r="EX363" s="35"/>
      <c r="EY363" s="36"/>
      <c r="EZ363" s="35"/>
      <c r="FA363" s="35"/>
      <c r="FB363" s="35"/>
      <c r="FC363" s="35"/>
      <c r="FD363" s="35"/>
      <c r="FE363" s="35"/>
      <c r="FF363" s="35"/>
      <c r="FG363" s="35"/>
      <c r="FH363" s="35"/>
      <c r="FI363" s="35"/>
      <c r="FJ363" s="35"/>
      <c r="FK363" s="35"/>
      <c r="FL363" s="35"/>
      <c r="FM363" s="35"/>
      <c r="FN363" s="35"/>
      <c r="FO363" s="35"/>
      <c r="FP363" s="35"/>
      <c r="FQ363" s="52"/>
      <c r="FS363" s="9" t="s">
        <v>13</v>
      </c>
      <c r="FT363" s="9" t="str">
        <f t="shared" si="6597"/>
        <v>12. FDS Release 4 12.6 FDS Release 4 - Ireland BAT</v>
      </c>
    </row>
    <row r="364" spans="1:176" ht="12" hidden="1" customHeight="1" outlineLevel="1">
      <c r="A364" s="122"/>
      <c r="B364" s="123"/>
      <c r="C364" s="131" t="str">
        <f t="shared" si="7277"/>
        <v>0 days</v>
      </c>
      <c r="D364" s="13" t="str">
        <f>A$329&amp;" "&amp;A360</f>
        <v>12. FDS Release 4 12.6 FDS Release 4 - Ireland BAT</v>
      </c>
      <c r="E364" s="51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D364" s="35"/>
      <c r="AE364" s="35"/>
      <c r="AF364" s="35"/>
      <c r="AG364" s="35"/>
      <c r="AH364" s="35"/>
      <c r="AI364" s="35"/>
      <c r="AJ364" s="35"/>
      <c r="AK364" s="35"/>
      <c r="AL364" s="36"/>
      <c r="AM364" s="36"/>
      <c r="AN364" s="36"/>
      <c r="AO364" s="36"/>
      <c r="AP364" s="36"/>
      <c r="AQ364" s="36"/>
      <c r="AR364" s="36"/>
      <c r="AS364" s="35"/>
      <c r="AT364" s="35"/>
      <c r="AU364" s="35"/>
      <c r="AV364" s="35"/>
      <c r="AW364" s="35"/>
      <c r="AX364" s="35"/>
      <c r="AY364" s="35"/>
      <c r="AZ364" s="35"/>
      <c r="BA364" s="35"/>
      <c r="BB364" s="35"/>
      <c r="BC364" s="35"/>
      <c r="BD364" s="35"/>
      <c r="BE364" s="35"/>
      <c r="BF364" s="35"/>
      <c r="BG364" s="35"/>
      <c r="BH364" s="35"/>
      <c r="BI364" s="35"/>
      <c r="BJ364" s="35"/>
      <c r="BK364" s="35"/>
      <c r="BL364" s="35"/>
      <c r="BM364" s="35"/>
      <c r="BN364" s="35"/>
      <c r="BO364" s="35"/>
      <c r="BP364" s="35"/>
      <c r="BQ364" s="35"/>
      <c r="BR364" s="35"/>
      <c r="BS364" s="35"/>
      <c r="BT364" s="35"/>
      <c r="BU364" s="35"/>
      <c r="BV364" s="35"/>
      <c r="BW364" s="35"/>
      <c r="BX364" s="35"/>
      <c r="BY364" s="35"/>
      <c r="BZ364" s="35"/>
      <c r="CA364" s="35"/>
      <c r="CB364" s="35"/>
      <c r="CC364" s="35"/>
      <c r="CD364" s="35"/>
      <c r="CE364" s="35"/>
      <c r="CF364" s="35"/>
      <c r="CG364" s="35"/>
      <c r="CH364" s="35"/>
      <c r="CI364" s="35"/>
      <c r="CJ364" s="35"/>
      <c r="CK364" s="35"/>
      <c r="CL364" s="35"/>
      <c r="CM364" s="35"/>
      <c r="CN364" s="35"/>
      <c r="CO364" s="35"/>
      <c r="CP364" s="35"/>
      <c r="CQ364" s="35"/>
      <c r="CR364" s="35"/>
      <c r="CS364" s="35"/>
      <c r="CT364" s="36"/>
      <c r="CU364" s="35"/>
      <c r="CV364" s="35"/>
      <c r="CW364" s="35"/>
      <c r="CX364" s="35"/>
      <c r="CY364" s="35"/>
      <c r="CZ364" s="36"/>
      <c r="DA364" s="36"/>
      <c r="DB364" s="35"/>
      <c r="DC364" s="35"/>
      <c r="DD364" s="35"/>
      <c r="DE364" s="35"/>
      <c r="DF364" s="35"/>
      <c r="DG364" s="35"/>
      <c r="DH364" s="35"/>
      <c r="DI364" s="35"/>
      <c r="DJ364" s="35"/>
      <c r="DK364" s="35"/>
      <c r="DL364" s="35"/>
      <c r="DM364" s="35"/>
      <c r="DN364" s="35"/>
      <c r="DO364" s="35"/>
      <c r="DP364" s="35"/>
      <c r="DQ364" s="35"/>
      <c r="DR364" s="35"/>
      <c r="DS364" s="35"/>
      <c r="DT364" s="35"/>
      <c r="DU364" s="35"/>
      <c r="DV364" s="35"/>
      <c r="DW364" s="35"/>
      <c r="DX364" s="35"/>
      <c r="DY364" s="35"/>
      <c r="DZ364" s="36"/>
      <c r="EA364" s="35"/>
      <c r="EB364" s="35"/>
      <c r="EC364" s="35"/>
      <c r="ED364" s="35"/>
      <c r="EE364" s="35"/>
      <c r="EF364" s="35"/>
      <c r="EG364" s="35"/>
      <c r="EH364" s="35"/>
      <c r="EI364" s="35"/>
      <c r="EJ364" s="35"/>
      <c r="EK364" s="35"/>
      <c r="EL364" s="35"/>
      <c r="EM364" s="35"/>
      <c r="EN364" s="35"/>
      <c r="EO364" s="35"/>
      <c r="EP364" s="35"/>
      <c r="EQ364" s="35"/>
      <c r="ER364" s="35"/>
      <c r="ES364" s="35"/>
      <c r="ET364" s="35"/>
      <c r="EU364" s="35"/>
      <c r="EV364" s="35"/>
      <c r="EW364" s="35"/>
      <c r="EX364" s="35"/>
      <c r="EY364" s="36"/>
      <c r="EZ364" s="35"/>
      <c r="FA364" s="35"/>
      <c r="FB364" s="35"/>
      <c r="FC364" s="35"/>
      <c r="FD364" s="35"/>
      <c r="FE364" s="35"/>
      <c r="FF364" s="35"/>
      <c r="FG364" s="35"/>
      <c r="FH364" s="35"/>
      <c r="FI364" s="35"/>
      <c r="FJ364" s="35"/>
      <c r="FK364" s="35"/>
      <c r="FL364" s="35"/>
      <c r="FM364" s="35"/>
      <c r="FN364" s="35"/>
      <c r="FO364" s="35"/>
      <c r="FP364" s="35"/>
      <c r="FQ364" s="52"/>
      <c r="FS364" s="9" t="s">
        <v>13</v>
      </c>
      <c r="FT364" s="9" t="str">
        <f t="shared" si="6597"/>
        <v>12. FDS Release 4 12.6 FDS Release 4 - Ireland BAT</v>
      </c>
    </row>
    <row r="365" spans="1:176" ht="12" hidden="1" customHeight="1" outlineLevel="1">
      <c r="A365" s="122"/>
      <c r="B365" s="123"/>
      <c r="C365" s="131" t="str">
        <f t="shared" si="7277"/>
        <v>0 days</v>
      </c>
      <c r="D365" s="13" t="str">
        <f>A$329&amp;" "&amp;A360</f>
        <v>12. FDS Release 4 12.6 FDS Release 4 - Ireland BAT</v>
      </c>
      <c r="E365" s="51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D365" s="35"/>
      <c r="AE365" s="35"/>
      <c r="AF365" s="35"/>
      <c r="AG365" s="35"/>
      <c r="AH365" s="35"/>
      <c r="AI365" s="35"/>
      <c r="AJ365" s="35"/>
      <c r="AK365" s="35"/>
      <c r="AL365" s="36"/>
      <c r="AM365" s="36"/>
      <c r="AN365" s="36"/>
      <c r="AO365" s="36"/>
      <c r="AP365" s="36"/>
      <c r="AQ365" s="36"/>
      <c r="AR365" s="36"/>
      <c r="AS365" s="35"/>
      <c r="AT365" s="35"/>
      <c r="AU365" s="35"/>
      <c r="AV365" s="35"/>
      <c r="AW365" s="35"/>
      <c r="AX365" s="35"/>
      <c r="AY365" s="35"/>
      <c r="AZ365" s="35"/>
      <c r="BA365" s="35"/>
      <c r="BB365" s="35"/>
      <c r="BC365" s="35"/>
      <c r="BD365" s="35"/>
      <c r="BE365" s="35"/>
      <c r="BF365" s="35"/>
      <c r="BG365" s="35"/>
      <c r="BH365" s="35"/>
      <c r="BI365" s="35"/>
      <c r="BJ365" s="35"/>
      <c r="BK365" s="35"/>
      <c r="BL365" s="35"/>
      <c r="BM365" s="35"/>
      <c r="BN365" s="35"/>
      <c r="BO365" s="35"/>
      <c r="BP365" s="35"/>
      <c r="BQ365" s="35"/>
      <c r="BR365" s="35"/>
      <c r="BS365" s="35"/>
      <c r="BT365" s="35"/>
      <c r="BU365" s="35"/>
      <c r="BV365" s="35"/>
      <c r="BW365" s="35"/>
      <c r="BX365" s="35"/>
      <c r="BY365" s="35"/>
      <c r="BZ365" s="35"/>
      <c r="CA365" s="35"/>
      <c r="CB365" s="35"/>
      <c r="CC365" s="35"/>
      <c r="CD365" s="35"/>
      <c r="CE365" s="35"/>
      <c r="CF365" s="35"/>
      <c r="CG365" s="35"/>
      <c r="CH365" s="35"/>
      <c r="CI365" s="35"/>
      <c r="CJ365" s="35"/>
      <c r="CK365" s="35"/>
      <c r="CL365" s="35"/>
      <c r="CM365" s="35"/>
      <c r="CN365" s="35"/>
      <c r="CO365" s="35"/>
      <c r="CP365" s="35"/>
      <c r="CQ365" s="35"/>
      <c r="CR365" s="35"/>
      <c r="CS365" s="35"/>
      <c r="CT365" s="36"/>
      <c r="CU365" s="35"/>
      <c r="CV365" s="35"/>
      <c r="CW365" s="35"/>
      <c r="CX365" s="35"/>
      <c r="CY365" s="35"/>
      <c r="CZ365" s="36"/>
      <c r="DA365" s="36"/>
      <c r="DB365" s="35"/>
      <c r="DC365" s="35"/>
      <c r="DD365" s="35"/>
      <c r="DE365" s="35"/>
      <c r="DF365" s="35"/>
      <c r="DG365" s="35"/>
      <c r="DH365" s="35"/>
      <c r="DI365" s="35"/>
      <c r="DJ365" s="35"/>
      <c r="DK365" s="35"/>
      <c r="DL365" s="35"/>
      <c r="DM365" s="35"/>
      <c r="DN365" s="35"/>
      <c r="DO365" s="35"/>
      <c r="DP365" s="35"/>
      <c r="DQ365" s="35"/>
      <c r="DR365" s="35"/>
      <c r="DS365" s="35"/>
      <c r="DT365" s="35"/>
      <c r="DU365" s="35"/>
      <c r="DV365" s="35"/>
      <c r="DW365" s="35"/>
      <c r="DX365" s="35"/>
      <c r="DY365" s="35"/>
      <c r="DZ365" s="36"/>
      <c r="EA365" s="35"/>
      <c r="EB365" s="35"/>
      <c r="EC365" s="35"/>
      <c r="ED365" s="35"/>
      <c r="EE365" s="35"/>
      <c r="EF365" s="35"/>
      <c r="EG365" s="35"/>
      <c r="EH365" s="35"/>
      <c r="EI365" s="35"/>
      <c r="EJ365" s="35"/>
      <c r="EK365" s="35"/>
      <c r="EL365" s="35"/>
      <c r="EM365" s="35"/>
      <c r="EN365" s="35"/>
      <c r="EO365" s="35"/>
      <c r="EP365" s="35"/>
      <c r="EQ365" s="35"/>
      <c r="ER365" s="35"/>
      <c r="ES365" s="35"/>
      <c r="ET365" s="35"/>
      <c r="EU365" s="35"/>
      <c r="EV365" s="35"/>
      <c r="EW365" s="35"/>
      <c r="EX365" s="35"/>
      <c r="EY365" s="36"/>
      <c r="EZ365" s="35"/>
      <c r="FA365" s="35"/>
      <c r="FB365" s="35"/>
      <c r="FC365" s="35"/>
      <c r="FD365" s="35"/>
      <c r="FE365" s="35"/>
      <c r="FF365" s="35"/>
      <c r="FG365" s="35"/>
      <c r="FH365" s="35"/>
      <c r="FI365" s="35"/>
      <c r="FJ365" s="35"/>
      <c r="FK365" s="35"/>
      <c r="FL365" s="35"/>
      <c r="FM365" s="35"/>
      <c r="FN365" s="35"/>
      <c r="FO365" s="35"/>
      <c r="FP365" s="35"/>
      <c r="FQ365" s="52"/>
      <c r="FS365" s="9" t="s">
        <v>13</v>
      </c>
      <c r="FT365" s="9" t="str">
        <f t="shared" si="6597"/>
        <v>12. FDS Release 4 12.6 FDS Release 4 - Ireland BAT</v>
      </c>
    </row>
    <row r="366" spans="1:176" ht="12" customHeight="1" collapsed="1">
      <c r="A366" s="119" t="s">
        <v>114</v>
      </c>
      <c r="B366" s="127"/>
      <c r="C366" s="128" t="str">
        <f>ROUND(SUM(E366:FQ366),0) &amp; " days"</f>
        <v>4 days</v>
      </c>
      <c r="D366" s="37"/>
      <c r="E366" s="91" t="str">
        <f t="shared" ref="E366:BP366" si="7278">IF(SUBTOTAL(9,E367:E371)&gt;0,SUBTOTAL(9,E367:E371),"")</f>
        <v/>
      </c>
      <c r="F366" s="34" t="str">
        <f t="shared" si="7278"/>
        <v/>
      </c>
      <c r="G366" s="34" t="str">
        <f t="shared" si="7278"/>
        <v/>
      </c>
      <c r="H366" s="34" t="str">
        <f t="shared" si="7278"/>
        <v/>
      </c>
      <c r="I366" s="34" t="str">
        <f t="shared" si="7278"/>
        <v/>
      </c>
      <c r="J366" s="34" t="str">
        <f t="shared" si="7278"/>
        <v/>
      </c>
      <c r="K366" s="34" t="str">
        <f t="shared" si="7278"/>
        <v/>
      </c>
      <c r="L366" s="34" t="str">
        <f t="shared" si="7278"/>
        <v/>
      </c>
      <c r="M366" s="34" t="str">
        <f t="shared" si="7278"/>
        <v/>
      </c>
      <c r="N366" s="34" t="str">
        <f t="shared" si="7278"/>
        <v/>
      </c>
      <c r="O366" s="34" t="str">
        <f t="shared" si="7278"/>
        <v/>
      </c>
      <c r="P366" s="34" t="str">
        <f t="shared" si="7278"/>
        <v/>
      </c>
      <c r="Q366" s="34" t="str">
        <f t="shared" si="7278"/>
        <v/>
      </c>
      <c r="R366" s="34" t="str">
        <f t="shared" si="7278"/>
        <v/>
      </c>
      <c r="S366" s="34" t="str">
        <f t="shared" si="7278"/>
        <v/>
      </c>
      <c r="T366" s="34" t="str">
        <f t="shared" si="7278"/>
        <v/>
      </c>
      <c r="U366" s="34" t="str">
        <f t="shared" si="7278"/>
        <v/>
      </c>
      <c r="V366" s="34" t="str">
        <f t="shared" si="7278"/>
        <v/>
      </c>
      <c r="W366" s="34" t="str">
        <f t="shared" si="7278"/>
        <v/>
      </c>
      <c r="X366" s="34" t="str">
        <f t="shared" si="7278"/>
        <v/>
      </c>
      <c r="Y366" s="34">
        <f t="shared" si="7278"/>
        <v>0.1</v>
      </c>
      <c r="Z366" s="34">
        <f t="shared" si="7278"/>
        <v>0.1</v>
      </c>
      <c r="AA366" s="34">
        <f t="shared" si="7278"/>
        <v>0.1</v>
      </c>
      <c r="AB366" s="34">
        <f t="shared" si="7278"/>
        <v>0.1</v>
      </c>
      <c r="AC366" s="34">
        <f t="shared" si="7278"/>
        <v>0.1</v>
      </c>
      <c r="AD366" s="34">
        <f t="shared" si="7278"/>
        <v>0.1</v>
      </c>
      <c r="AE366" s="34">
        <f t="shared" si="7278"/>
        <v>0.55000000000000004</v>
      </c>
      <c r="AF366" s="34">
        <f t="shared" si="7278"/>
        <v>0.35</v>
      </c>
      <c r="AG366" s="34">
        <f t="shared" si="7278"/>
        <v>0.25</v>
      </c>
      <c r="AH366" s="34">
        <f t="shared" si="7278"/>
        <v>0.3</v>
      </c>
      <c r="AI366" s="34">
        <f t="shared" si="7278"/>
        <v>0.5</v>
      </c>
      <c r="AJ366" s="34">
        <f t="shared" si="7278"/>
        <v>1</v>
      </c>
      <c r="AK366" s="34">
        <f t="shared" si="7278"/>
        <v>0.5</v>
      </c>
      <c r="AL366" s="33" t="str">
        <f t="shared" si="7278"/>
        <v/>
      </c>
      <c r="AM366" s="33" t="str">
        <f t="shared" si="7278"/>
        <v/>
      </c>
      <c r="AN366" s="33" t="str">
        <f t="shared" si="7278"/>
        <v/>
      </c>
      <c r="AO366" s="33" t="str">
        <f t="shared" si="7278"/>
        <v/>
      </c>
      <c r="AP366" s="33" t="str">
        <f t="shared" si="7278"/>
        <v/>
      </c>
      <c r="AQ366" s="33" t="str">
        <f t="shared" si="7278"/>
        <v/>
      </c>
      <c r="AR366" s="33" t="str">
        <f t="shared" si="7278"/>
        <v/>
      </c>
      <c r="AS366" s="34" t="str">
        <f t="shared" si="7278"/>
        <v/>
      </c>
      <c r="AT366" s="34" t="str">
        <f t="shared" si="7278"/>
        <v/>
      </c>
      <c r="AU366" s="34" t="str">
        <f t="shared" si="7278"/>
        <v/>
      </c>
      <c r="AV366" s="34" t="str">
        <f t="shared" si="7278"/>
        <v/>
      </c>
      <c r="AW366" s="34" t="str">
        <f t="shared" si="7278"/>
        <v/>
      </c>
      <c r="AX366" s="34" t="str">
        <f t="shared" si="7278"/>
        <v/>
      </c>
      <c r="AY366" s="34" t="str">
        <f t="shared" si="7278"/>
        <v/>
      </c>
      <c r="AZ366" s="34" t="str">
        <f t="shared" si="7278"/>
        <v/>
      </c>
      <c r="BA366" s="34" t="str">
        <f t="shared" si="7278"/>
        <v/>
      </c>
      <c r="BB366" s="34" t="str">
        <f t="shared" si="7278"/>
        <v/>
      </c>
      <c r="BC366" s="34" t="str">
        <f t="shared" si="7278"/>
        <v/>
      </c>
      <c r="BD366" s="34" t="str">
        <f t="shared" si="7278"/>
        <v/>
      </c>
      <c r="BE366" s="34" t="str">
        <f t="shared" si="7278"/>
        <v/>
      </c>
      <c r="BF366" s="34" t="str">
        <f t="shared" si="7278"/>
        <v/>
      </c>
      <c r="BG366" s="34" t="str">
        <f t="shared" si="7278"/>
        <v/>
      </c>
      <c r="BH366" s="34" t="str">
        <f t="shared" si="7278"/>
        <v/>
      </c>
      <c r="BI366" s="34" t="str">
        <f t="shared" si="7278"/>
        <v/>
      </c>
      <c r="BJ366" s="34" t="str">
        <f t="shared" si="7278"/>
        <v/>
      </c>
      <c r="BK366" s="34" t="str">
        <f t="shared" si="7278"/>
        <v/>
      </c>
      <c r="BL366" s="34" t="str">
        <f t="shared" si="7278"/>
        <v/>
      </c>
      <c r="BM366" s="34" t="str">
        <f t="shared" si="7278"/>
        <v/>
      </c>
      <c r="BN366" s="34" t="str">
        <f t="shared" si="7278"/>
        <v/>
      </c>
      <c r="BO366" s="34" t="str">
        <f t="shared" si="7278"/>
        <v/>
      </c>
      <c r="BP366" s="34" t="str">
        <f t="shared" si="7278"/>
        <v/>
      </c>
      <c r="BQ366" s="34" t="str">
        <f t="shared" ref="BQ366:EB366" si="7279">IF(SUBTOTAL(9,BQ367:BQ371)&gt;0,SUBTOTAL(9,BQ367:BQ371),"")</f>
        <v/>
      </c>
      <c r="BR366" s="34" t="str">
        <f t="shared" si="7279"/>
        <v/>
      </c>
      <c r="BS366" s="34" t="str">
        <f t="shared" si="7279"/>
        <v/>
      </c>
      <c r="BT366" s="34" t="str">
        <f t="shared" si="7279"/>
        <v/>
      </c>
      <c r="BU366" s="34" t="str">
        <f t="shared" si="7279"/>
        <v/>
      </c>
      <c r="BV366" s="34" t="str">
        <f t="shared" si="7279"/>
        <v/>
      </c>
      <c r="BW366" s="34" t="str">
        <f t="shared" si="7279"/>
        <v/>
      </c>
      <c r="BX366" s="34" t="str">
        <f t="shared" si="7279"/>
        <v/>
      </c>
      <c r="BY366" s="34" t="str">
        <f t="shared" si="7279"/>
        <v/>
      </c>
      <c r="BZ366" s="34" t="str">
        <f t="shared" si="7279"/>
        <v/>
      </c>
      <c r="CA366" s="34" t="str">
        <f t="shared" si="7279"/>
        <v/>
      </c>
      <c r="CB366" s="34" t="str">
        <f t="shared" si="7279"/>
        <v/>
      </c>
      <c r="CC366" s="34" t="str">
        <f t="shared" si="7279"/>
        <v/>
      </c>
      <c r="CD366" s="34" t="str">
        <f t="shared" si="7279"/>
        <v/>
      </c>
      <c r="CE366" s="34" t="str">
        <f t="shared" si="7279"/>
        <v/>
      </c>
      <c r="CF366" s="34" t="str">
        <f t="shared" si="7279"/>
        <v/>
      </c>
      <c r="CG366" s="34" t="str">
        <f t="shared" si="7279"/>
        <v/>
      </c>
      <c r="CH366" s="34" t="str">
        <f t="shared" si="7279"/>
        <v/>
      </c>
      <c r="CI366" s="34" t="str">
        <f t="shared" si="7279"/>
        <v/>
      </c>
      <c r="CJ366" s="34" t="str">
        <f t="shared" si="7279"/>
        <v/>
      </c>
      <c r="CK366" s="34" t="str">
        <f t="shared" si="7279"/>
        <v/>
      </c>
      <c r="CL366" s="34" t="str">
        <f t="shared" si="7279"/>
        <v/>
      </c>
      <c r="CM366" s="34" t="str">
        <f t="shared" si="7279"/>
        <v/>
      </c>
      <c r="CN366" s="34" t="str">
        <f t="shared" si="7279"/>
        <v/>
      </c>
      <c r="CO366" s="34" t="str">
        <f t="shared" si="7279"/>
        <v/>
      </c>
      <c r="CP366" s="34" t="str">
        <f t="shared" si="7279"/>
        <v/>
      </c>
      <c r="CQ366" s="34" t="str">
        <f t="shared" si="7279"/>
        <v/>
      </c>
      <c r="CR366" s="34" t="str">
        <f t="shared" si="7279"/>
        <v/>
      </c>
      <c r="CS366" s="34" t="str">
        <f t="shared" si="7279"/>
        <v/>
      </c>
      <c r="CT366" s="33" t="str">
        <f t="shared" si="7279"/>
        <v/>
      </c>
      <c r="CU366" s="34" t="str">
        <f t="shared" si="7279"/>
        <v/>
      </c>
      <c r="CV366" s="34" t="str">
        <f t="shared" si="7279"/>
        <v/>
      </c>
      <c r="CW366" s="34" t="str">
        <f t="shared" si="7279"/>
        <v/>
      </c>
      <c r="CX366" s="34" t="str">
        <f t="shared" si="7279"/>
        <v/>
      </c>
      <c r="CY366" s="34" t="str">
        <f t="shared" si="7279"/>
        <v/>
      </c>
      <c r="CZ366" s="33" t="str">
        <f t="shared" si="7279"/>
        <v/>
      </c>
      <c r="DA366" s="33" t="str">
        <f t="shared" si="7279"/>
        <v/>
      </c>
      <c r="DB366" s="34" t="str">
        <f t="shared" si="7279"/>
        <v/>
      </c>
      <c r="DC366" s="34" t="str">
        <f t="shared" si="7279"/>
        <v/>
      </c>
      <c r="DD366" s="34" t="str">
        <f t="shared" si="7279"/>
        <v/>
      </c>
      <c r="DE366" s="34" t="str">
        <f t="shared" si="7279"/>
        <v/>
      </c>
      <c r="DF366" s="34" t="str">
        <f t="shared" si="7279"/>
        <v/>
      </c>
      <c r="DG366" s="34" t="str">
        <f t="shared" si="7279"/>
        <v/>
      </c>
      <c r="DH366" s="34" t="str">
        <f t="shared" si="7279"/>
        <v/>
      </c>
      <c r="DI366" s="34" t="str">
        <f t="shared" si="7279"/>
        <v/>
      </c>
      <c r="DJ366" s="34" t="str">
        <f t="shared" si="7279"/>
        <v/>
      </c>
      <c r="DK366" s="34" t="str">
        <f t="shared" si="7279"/>
        <v/>
      </c>
      <c r="DL366" s="34" t="str">
        <f t="shared" si="7279"/>
        <v/>
      </c>
      <c r="DM366" s="34" t="str">
        <f t="shared" si="7279"/>
        <v/>
      </c>
      <c r="DN366" s="34" t="str">
        <f t="shared" si="7279"/>
        <v/>
      </c>
      <c r="DO366" s="34" t="str">
        <f t="shared" si="7279"/>
        <v/>
      </c>
      <c r="DP366" s="34" t="str">
        <f t="shared" si="7279"/>
        <v/>
      </c>
      <c r="DQ366" s="34" t="str">
        <f t="shared" si="7279"/>
        <v/>
      </c>
      <c r="DR366" s="34" t="str">
        <f t="shared" si="7279"/>
        <v/>
      </c>
      <c r="DS366" s="34" t="str">
        <f t="shared" si="7279"/>
        <v/>
      </c>
      <c r="DT366" s="34" t="str">
        <f t="shared" si="7279"/>
        <v/>
      </c>
      <c r="DU366" s="34" t="str">
        <f t="shared" si="7279"/>
        <v/>
      </c>
      <c r="DV366" s="34" t="str">
        <f t="shared" si="7279"/>
        <v/>
      </c>
      <c r="DW366" s="34" t="str">
        <f t="shared" si="7279"/>
        <v/>
      </c>
      <c r="DX366" s="34" t="str">
        <f t="shared" si="7279"/>
        <v/>
      </c>
      <c r="DY366" s="34" t="str">
        <f t="shared" si="7279"/>
        <v/>
      </c>
      <c r="DZ366" s="33" t="str">
        <f t="shared" si="7279"/>
        <v/>
      </c>
      <c r="EA366" s="34" t="str">
        <f t="shared" si="7279"/>
        <v/>
      </c>
      <c r="EB366" s="34" t="str">
        <f t="shared" si="7279"/>
        <v/>
      </c>
      <c r="EC366" s="34" t="str">
        <f t="shared" ref="EC366:FQ366" si="7280">IF(SUBTOTAL(9,EC367:EC371)&gt;0,SUBTOTAL(9,EC367:EC371),"")</f>
        <v/>
      </c>
      <c r="ED366" s="34" t="str">
        <f t="shared" si="7280"/>
        <v/>
      </c>
      <c r="EE366" s="34" t="str">
        <f t="shared" si="7280"/>
        <v/>
      </c>
      <c r="EF366" s="34" t="str">
        <f t="shared" si="7280"/>
        <v/>
      </c>
      <c r="EG366" s="34" t="str">
        <f t="shared" si="7280"/>
        <v/>
      </c>
      <c r="EH366" s="34" t="str">
        <f t="shared" si="7280"/>
        <v/>
      </c>
      <c r="EI366" s="34" t="str">
        <f t="shared" si="7280"/>
        <v/>
      </c>
      <c r="EJ366" s="34" t="str">
        <f t="shared" si="7280"/>
        <v/>
      </c>
      <c r="EK366" s="34" t="str">
        <f t="shared" si="7280"/>
        <v/>
      </c>
      <c r="EL366" s="34" t="str">
        <f t="shared" si="7280"/>
        <v/>
      </c>
      <c r="EM366" s="34" t="str">
        <f t="shared" si="7280"/>
        <v/>
      </c>
      <c r="EN366" s="34" t="str">
        <f t="shared" si="7280"/>
        <v/>
      </c>
      <c r="EO366" s="34" t="str">
        <f t="shared" si="7280"/>
        <v/>
      </c>
      <c r="EP366" s="34" t="str">
        <f t="shared" si="7280"/>
        <v/>
      </c>
      <c r="EQ366" s="34" t="str">
        <f t="shared" si="7280"/>
        <v/>
      </c>
      <c r="ER366" s="34" t="str">
        <f t="shared" si="7280"/>
        <v/>
      </c>
      <c r="ES366" s="34" t="str">
        <f t="shared" si="7280"/>
        <v/>
      </c>
      <c r="ET366" s="34" t="str">
        <f t="shared" si="7280"/>
        <v/>
      </c>
      <c r="EU366" s="34" t="str">
        <f t="shared" si="7280"/>
        <v/>
      </c>
      <c r="EV366" s="34" t="str">
        <f t="shared" si="7280"/>
        <v/>
      </c>
      <c r="EW366" s="34" t="str">
        <f t="shared" si="7280"/>
        <v/>
      </c>
      <c r="EX366" s="34" t="str">
        <f t="shared" si="7280"/>
        <v/>
      </c>
      <c r="EY366" s="33" t="str">
        <f t="shared" si="7280"/>
        <v/>
      </c>
      <c r="EZ366" s="34" t="str">
        <f t="shared" si="7280"/>
        <v/>
      </c>
      <c r="FA366" s="34" t="str">
        <f t="shared" si="7280"/>
        <v/>
      </c>
      <c r="FB366" s="34" t="str">
        <f t="shared" si="7280"/>
        <v/>
      </c>
      <c r="FC366" s="34" t="str">
        <f t="shared" si="7280"/>
        <v/>
      </c>
      <c r="FD366" s="34" t="str">
        <f t="shared" si="7280"/>
        <v/>
      </c>
      <c r="FE366" s="34" t="str">
        <f t="shared" si="7280"/>
        <v/>
      </c>
      <c r="FF366" s="34" t="str">
        <f t="shared" si="7280"/>
        <v/>
      </c>
      <c r="FG366" s="34" t="str">
        <f t="shared" si="7280"/>
        <v/>
      </c>
      <c r="FH366" s="34" t="str">
        <f t="shared" si="7280"/>
        <v/>
      </c>
      <c r="FI366" s="34" t="str">
        <f t="shared" si="7280"/>
        <v/>
      </c>
      <c r="FJ366" s="34" t="str">
        <f t="shared" si="7280"/>
        <v/>
      </c>
      <c r="FK366" s="34" t="str">
        <f t="shared" si="7280"/>
        <v/>
      </c>
      <c r="FL366" s="34" t="str">
        <f t="shared" si="7280"/>
        <v/>
      </c>
      <c r="FM366" s="34" t="str">
        <f t="shared" si="7280"/>
        <v/>
      </c>
      <c r="FN366" s="34" t="str">
        <f t="shared" si="7280"/>
        <v/>
      </c>
      <c r="FO366" s="34" t="str">
        <f t="shared" si="7280"/>
        <v/>
      </c>
      <c r="FP366" s="34" t="str">
        <f t="shared" si="7280"/>
        <v/>
      </c>
      <c r="FQ366" s="92" t="str">
        <f t="shared" si="7280"/>
        <v/>
      </c>
      <c r="FS366" s="9" t="s">
        <v>131</v>
      </c>
      <c r="FT366" s="9" t="str">
        <f t="shared" si="6597"/>
        <v/>
      </c>
    </row>
    <row r="367" spans="1:176" ht="12" hidden="1" customHeight="1" outlineLevel="1">
      <c r="A367" s="122" t="s">
        <v>188</v>
      </c>
      <c r="B367" s="130" t="s">
        <v>10</v>
      </c>
      <c r="C367" s="131" t="str">
        <f t="shared" ref="C367:C371" si="7281">ROUND(SUM(E367:FQ367),0) &amp; " days"</f>
        <v>4 days</v>
      </c>
      <c r="D367" s="101" t="str">
        <f>A$329&amp;" "&amp;A366</f>
        <v xml:space="preserve">12. FDS Release 4 12.7 FDS Release 4 - UK &amp; Ireland CRs UAT </v>
      </c>
      <c r="E367" s="51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>
        <v>0.1</v>
      </c>
      <c r="Z367" s="35">
        <v>0.1</v>
      </c>
      <c r="AA367" s="35">
        <v>0.1</v>
      </c>
      <c r="AB367" s="35">
        <v>0.1</v>
      </c>
      <c r="AC367" s="35">
        <v>0.1</v>
      </c>
      <c r="AD367" s="35">
        <v>0.1</v>
      </c>
      <c r="AE367" s="35">
        <v>0.55000000000000004</v>
      </c>
      <c r="AF367" s="35">
        <v>0.35</v>
      </c>
      <c r="AG367" s="35">
        <v>0.25</v>
      </c>
      <c r="AH367" s="35">
        <v>0.3</v>
      </c>
      <c r="AI367" s="35">
        <v>0.5</v>
      </c>
      <c r="AJ367" s="35">
        <v>1</v>
      </c>
      <c r="AK367" s="35">
        <v>0.5</v>
      </c>
      <c r="AL367" s="36"/>
      <c r="AM367" s="36"/>
      <c r="AN367" s="36"/>
      <c r="AO367" s="36"/>
      <c r="AP367" s="36"/>
      <c r="AQ367" s="36"/>
      <c r="AR367" s="36"/>
      <c r="AS367" s="35"/>
      <c r="AT367" s="35"/>
      <c r="AU367" s="35"/>
      <c r="AV367" s="35"/>
      <c r="AW367" s="35"/>
      <c r="AX367" s="35"/>
      <c r="AY367" s="35"/>
      <c r="AZ367" s="35"/>
      <c r="BA367" s="35"/>
      <c r="BB367" s="35"/>
      <c r="BC367" s="35"/>
      <c r="BD367" s="35"/>
      <c r="BE367" s="35"/>
      <c r="BF367" s="35"/>
      <c r="BG367" s="35"/>
      <c r="BH367" s="35"/>
      <c r="BI367" s="35"/>
      <c r="BJ367" s="35"/>
      <c r="BK367" s="35"/>
      <c r="BL367" s="35"/>
      <c r="BM367" s="35"/>
      <c r="BN367" s="35"/>
      <c r="BO367" s="35"/>
      <c r="BP367" s="35"/>
      <c r="BQ367" s="35"/>
      <c r="BR367" s="35"/>
      <c r="BS367" s="35"/>
      <c r="BT367" s="35"/>
      <c r="BU367" s="35"/>
      <c r="BV367" s="35"/>
      <c r="BW367" s="35"/>
      <c r="BX367" s="35"/>
      <c r="BY367" s="35"/>
      <c r="BZ367" s="35"/>
      <c r="CA367" s="35"/>
      <c r="CB367" s="35"/>
      <c r="CC367" s="35"/>
      <c r="CD367" s="35"/>
      <c r="CE367" s="35"/>
      <c r="CF367" s="35"/>
      <c r="CG367" s="35"/>
      <c r="CH367" s="35"/>
      <c r="CI367" s="35"/>
      <c r="CJ367" s="35"/>
      <c r="CK367" s="35"/>
      <c r="CL367" s="35"/>
      <c r="CM367" s="35"/>
      <c r="CN367" s="35"/>
      <c r="CO367" s="35"/>
      <c r="CP367" s="35"/>
      <c r="CQ367" s="35"/>
      <c r="CR367" s="35"/>
      <c r="CS367" s="35"/>
      <c r="CT367" s="36"/>
      <c r="CU367" s="35"/>
      <c r="CV367" s="35"/>
      <c r="CW367" s="35"/>
      <c r="CX367" s="35"/>
      <c r="CY367" s="35"/>
      <c r="CZ367" s="36"/>
      <c r="DA367" s="36"/>
      <c r="DB367" s="35"/>
      <c r="DC367" s="35"/>
      <c r="DD367" s="35"/>
      <c r="DE367" s="35"/>
      <c r="DF367" s="35"/>
      <c r="DG367" s="35"/>
      <c r="DH367" s="35"/>
      <c r="DI367" s="35"/>
      <c r="DJ367" s="35"/>
      <c r="DK367" s="35"/>
      <c r="DL367" s="35"/>
      <c r="DM367" s="35"/>
      <c r="DN367" s="35"/>
      <c r="DO367" s="35"/>
      <c r="DP367" s="35"/>
      <c r="DQ367" s="35"/>
      <c r="DR367" s="35"/>
      <c r="DS367" s="35"/>
      <c r="DT367" s="35"/>
      <c r="DU367" s="35"/>
      <c r="DV367" s="35"/>
      <c r="DW367" s="35"/>
      <c r="DX367" s="35"/>
      <c r="DY367" s="35"/>
      <c r="DZ367" s="36"/>
      <c r="EA367" s="35"/>
      <c r="EB367" s="35"/>
      <c r="EC367" s="35"/>
      <c r="ED367" s="35"/>
      <c r="EE367" s="35"/>
      <c r="EF367" s="35"/>
      <c r="EG367" s="35"/>
      <c r="EH367" s="35"/>
      <c r="EI367" s="35"/>
      <c r="EJ367" s="35"/>
      <c r="EK367" s="35"/>
      <c r="EL367" s="35"/>
      <c r="EM367" s="35"/>
      <c r="EN367" s="35"/>
      <c r="EO367" s="35"/>
      <c r="EP367" s="35"/>
      <c r="EQ367" s="35"/>
      <c r="ER367" s="35"/>
      <c r="ES367" s="35"/>
      <c r="ET367" s="35"/>
      <c r="EU367" s="35"/>
      <c r="EV367" s="35"/>
      <c r="EW367" s="35"/>
      <c r="EX367" s="35"/>
      <c r="EY367" s="36"/>
      <c r="EZ367" s="35"/>
      <c r="FA367" s="35"/>
      <c r="FB367" s="35"/>
      <c r="FC367" s="35"/>
      <c r="FD367" s="35"/>
      <c r="FE367" s="35"/>
      <c r="FF367" s="35"/>
      <c r="FG367" s="35"/>
      <c r="FH367" s="35"/>
      <c r="FI367" s="35"/>
      <c r="FJ367" s="35"/>
      <c r="FK367" s="35"/>
      <c r="FL367" s="35"/>
      <c r="FM367" s="35"/>
      <c r="FN367" s="35"/>
      <c r="FO367" s="35"/>
      <c r="FP367" s="35"/>
      <c r="FQ367" s="52"/>
      <c r="FS367" s="9" t="s">
        <v>13</v>
      </c>
      <c r="FT367" s="9" t="str">
        <f t="shared" si="6597"/>
        <v>12. FDS Release 4 12.7 FDS Release 4 - UK &amp; Ireland CRs UAT Glenn Kirk</v>
      </c>
    </row>
    <row r="368" spans="1:176" ht="12" hidden="1" customHeight="1" outlineLevel="1">
      <c r="A368" s="122"/>
      <c r="B368" s="123"/>
      <c r="C368" s="131" t="str">
        <f t="shared" si="7281"/>
        <v>0 days</v>
      </c>
      <c r="D368" s="13" t="str">
        <f>A$329&amp;" "&amp;A366</f>
        <v xml:space="preserve">12. FDS Release 4 12.7 FDS Release 4 - UK &amp; Ireland CRs UAT </v>
      </c>
      <c r="E368" s="51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  <c r="AL368" s="36"/>
      <c r="AM368" s="36"/>
      <c r="AN368" s="36"/>
      <c r="AO368" s="36"/>
      <c r="AP368" s="36"/>
      <c r="AQ368" s="36"/>
      <c r="AR368" s="36"/>
      <c r="AS368" s="35"/>
      <c r="AT368" s="35"/>
      <c r="AU368" s="35"/>
      <c r="AV368" s="35"/>
      <c r="AW368" s="35"/>
      <c r="AX368" s="35"/>
      <c r="AY368" s="35"/>
      <c r="AZ368" s="35"/>
      <c r="BA368" s="35"/>
      <c r="BB368" s="35"/>
      <c r="BC368" s="35"/>
      <c r="BD368" s="35"/>
      <c r="BE368" s="35"/>
      <c r="BF368" s="35"/>
      <c r="BG368" s="35"/>
      <c r="BH368" s="35"/>
      <c r="BI368" s="35"/>
      <c r="BJ368" s="35"/>
      <c r="BK368" s="35"/>
      <c r="BL368" s="35"/>
      <c r="BM368" s="35"/>
      <c r="BN368" s="35"/>
      <c r="BO368" s="35"/>
      <c r="BP368" s="35"/>
      <c r="BQ368" s="35"/>
      <c r="BR368" s="35"/>
      <c r="BS368" s="35"/>
      <c r="BT368" s="35"/>
      <c r="BU368" s="35"/>
      <c r="BV368" s="35"/>
      <c r="BW368" s="35"/>
      <c r="BX368" s="35"/>
      <c r="BY368" s="35"/>
      <c r="BZ368" s="35"/>
      <c r="CA368" s="35"/>
      <c r="CB368" s="35"/>
      <c r="CC368" s="35"/>
      <c r="CD368" s="35"/>
      <c r="CE368" s="35"/>
      <c r="CF368" s="35"/>
      <c r="CG368" s="35"/>
      <c r="CH368" s="35"/>
      <c r="CI368" s="35"/>
      <c r="CJ368" s="35"/>
      <c r="CK368" s="35"/>
      <c r="CL368" s="35"/>
      <c r="CM368" s="35"/>
      <c r="CN368" s="35"/>
      <c r="CO368" s="35"/>
      <c r="CP368" s="35"/>
      <c r="CQ368" s="35"/>
      <c r="CR368" s="35"/>
      <c r="CS368" s="35"/>
      <c r="CT368" s="36"/>
      <c r="CU368" s="35"/>
      <c r="CV368" s="35"/>
      <c r="CW368" s="35"/>
      <c r="CX368" s="35"/>
      <c r="CY368" s="35"/>
      <c r="CZ368" s="36"/>
      <c r="DA368" s="36"/>
      <c r="DB368" s="35"/>
      <c r="DC368" s="35"/>
      <c r="DD368" s="35"/>
      <c r="DE368" s="35"/>
      <c r="DF368" s="35"/>
      <c r="DG368" s="35"/>
      <c r="DH368" s="35"/>
      <c r="DI368" s="35"/>
      <c r="DJ368" s="35"/>
      <c r="DK368" s="35"/>
      <c r="DL368" s="35"/>
      <c r="DM368" s="35"/>
      <c r="DN368" s="35"/>
      <c r="DO368" s="35"/>
      <c r="DP368" s="35"/>
      <c r="DQ368" s="35"/>
      <c r="DR368" s="35"/>
      <c r="DS368" s="35"/>
      <c r="DT368" s="35"/>
      <c r="DU368" s="35"/>
      <c r="DV368" s="35"/>
      <c r="DW368" s="35"/>
      <c r="DX368" s="35"/>
      <c r="DY368" s="35"/>
      <c r="DZ368" s="36"/>
      <c r="EA368" s="35"/>
      <c r="EB368" s="35"/>
      <c r="EC368" s="35"/>
      <c r="ED368" s="35"/>
      <c r="EE368" s="35"/>
      <c r="EF368" s="35"/>
      <c r="EG368" s="35"/>
      <c r="EH368" s="35"/>
      <c r="EI368" s="35"/>
      <c r="EJ368" s="35"/>
      <c r="EK368" s="35"/>
      <c r="EL368" s="35"/>
      <c r="EM368" s="35"/>
      <c r="EN368" s="35"/>
      <c r="EO368" s="35"/>
      <c r="EP368" s="35"/>
      <c r="EQ368" s="35"/>
      <c r="ER368" s="35"/>
      <c r="ES368" s="35"/>
      <c r="ET368" s="35"/>
      <c r="EU368" s="35"/>
      <c r="EV368" s="35"/>
      <c r="EW368" s="35"/>
      <c r="EX368" s="35"/>
      <c r="EY368" s="36"/>
      <c r="EZ368" s="35"/>
      <c r="FA368" s="35"/>
      <c r="FB368" s="35"/>
      <c r="FC368" s="35"/>
      <c r="FD368" s="35"/>
      <c r="FE368" s="35"/>
      <c r="FF368" s="35"/>
      <c r="FG368" s="35"/>
      <c r="FH368" s="35"/>
      <c r="FI368" s="35"/>
      <c r="FJ368" s="35"/>
      <c r="FK368" s="35"/>
      <c r="FL368" s="35"/>
      <c r="FM368" s="35"/>
      <c r="FN368" s="35"/>
      <c r="FO368" s="35"/>
      <c r="FP368" s="35"/>
      <c r="FQ368" s="52"/>
      <c r="FS368" s="9" t="s">
        <v>13</v>
      </c>
      <c r="FT368" s="9" t="str">
        <f t="shared" si="6597"/>
        <v xml:space="preserve">12. FDS Release 4 12.7 FDS Release 4 - UK &amp; Ireland CRs UAT </v>
      </c>
    </row>
    <row r="369" spans="1:176" ht="12" hidden="1" customHeight="1" outlineLevel="1">
      <c r="A369" s="122"/>
      <c r="B369" s="123"/>
      <c r="C369" s="131" t="str">
        <f t="shared" si="7281"/>
        <v>0 days</v>
      </c>
      <c r="D369" s="13" t="str">
        <f>A$329&amp;" "&amp;A366</f>
        <v xml:space="preserve">12. FDS Release 4 12.7 FDS Release 4 - UK &amp; Ireland CRs UAT </v>
      </c>
      <c r="E369" s="51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  <c r="AL369" s="36"/>
      <c r="AM369" s="36"/>
      <c r="AN369" s="36"/>
      <c r="AO369" s="36"/>
      <c r="AP369" s="36"/>
      <c r="AQ369" s="36"/>
      <c r="AR369" s="36"/>
      <c r="AS369" s="35"/>
      <c r="AT369" s="35"/>
      <c r="AU369" s="35"/>
      <c r="AV369" s="35"/>
      <c r="AW369" s="35"/>
      <c r="AX369" s="35"/>
      <c r="AY369" s="35"/>
      <c r="AZ369" s="35"/>
      <c r="BA369" s="35"/>
      <c r="BB369" s="35"/>
      <c r="BC369" s="35"/>
      <c r="BD369" s="35"/>
      <c r="BE369" s="35"/>
      <c r="BF369" s="35"/>
      <c r="BG369" s="35"/>
      <c r="BH369" s="35"/>
      <c r="BI369" s="35"/>
      <c r="BJ369" s="35"/>
      <c r="BK369" s="35"/>
      <c r="BL369" s="35"/>
      <c r="BM369" s="35"/>
      <c r="BN369" s="35"/>
      <c r="BO369" s="35"/>
      <c r="BP369" s="35"/>
      <c r="BQ369" s="35"/>
      <c r="BR369" s="35"/>
      <c r="BS369" s="35"/>
      <c r="BT369" s="35"/>
      <c r="BU369" s="35"/>
      <c r="BV369" s="35"/>
      <c r="BW369" s="35"/>
      <c r="BX369" s="35"/>
      <c r="BY369" s="35"/>
      <c r="BZ369" s="35"/>
      <c r="CA369" s="35"/>
      <c r="CB369" s="35"/>
      <c r="CC369" s="35"/>
      <c r="CD369" s="35"/>
      <c r="CE369" s="35"/>
      <c r="CF369" s="35"/>
      <c r="CG369" s="35"/>
      <c r="CH369" s="35"/>
      <c r="CI369" s="35"/>
      <c r="CJ369" s="35"/>
      <c r="CK369" s="35"/>
      <c r="CL369" s="35"/>
      <c r="CM369" s="35"/>
      <c r="CN369" s="35"/>
      <c r="CO369" s="35"/>
      <c r="CP369" s="35"/>
      <c r="CQ369" s="35"/>
      <c r="CR369" s="35"/>
      <c r="CS369" s="35"/>
      <c r="CT369" s="36"/>
      <c r="CU369" s="35"/>
      <c r="CV369" s="35"/>
      <c r="CW369" s="35"/>
      <c r="CX369" s="35"/>
      <c r="CY369" s="35"/>
      <c r="CZ369" s="36"/>
      <c r="DA369" s="36"/>
      <c r="DB369" s="35"/>
      <c r="DC369" s="35"/>
      <c r="DD369" s="35"/>
      <c r="DE369" s="35"/>
      <c r="DF369" s="35"/>
      <c r="DG369" s="35"/>
      <c r="DH369" s="35"/>
      <c r="DI369" s="35"/>
      <c r="DJ369" s="35"/>
      <c r="DK369" s="35"/>
      <c r="DL369" s="35"/>
      <c r="DM369" s="35"/>
      <c r="DN369" s="35"/>
      <c r="DO369" s="35"/>
      <c r="DP369" s="35"/>
      <c r="DQ369" s="35"/>
      <c r="DR369" s="35"/>
      <c r="DS369" s="35"/>
      <c r="DT369" s="35"/>
      <c r="DU369" s="35"/>
      <c r="DV369" s="35"/>
      <c r="DW369" s="35"/>
      <c r="DX369" s="35"/>
      <c r="DY369" s="35"/>
      <c r="DZ369" s="36"/>
      <c r="EA369" s="35"/>
      <c r="EB369" s="35"/>
      <c r="EC369" s="35"/>
      <c r="ED369" s="35"/>
      <c r="EE369" s="35"/>
      <c r="EF369" s="35"/>
      <c r="EG369" s="35"/>
      <c r="EH369" s="35"/>
      <c r="EI369" s="35"/>
      <c r="EJ369" s="35"/>
      <c r="EK369" s="35"/>
      <c r="EL369" s="35"/>
      <c r="EM369" s="35"/>
      <c r="EN369" s="35"/>
      <c r="EO369" s="35"/>
      <c r="EP369" s="35"/>
      <c r="EQ369" s="35"/>
      <c r="ER369" s="35"/>
      <c r="ES369" s="35"/>
      <c r="ET369" s="35"/>
      <c r="EU369" s="35"/>
      <c r="EV369" s="35"/>
      <c r="EW369" s="35"/>
      <c r="EX369" s="35"/>
      <c r="EY369" s="36"/>
      <c r="EZ369" s="35"/>
      <c r="FA369" s="35"/>
      <c r="FB369" s="35"/>
      <c r="FC369" s="35"/>
      <c r="FD369" s="35"/>
      <c r="FE369" s="35"/>
      <c r="FF369" s="35"/>
      <c r="FG369" s="35"/>
      <c r="FH369" s="35"/>
      <c r="FI369" s="35"/>
      <c r="FJ369" s="35"/>
      <c r="FK369" s="35"/>
      <c r="FL369" s="35"/>
      <c r="FM369" s="35"/>
      <c r="FN369" s="35"/>
      <c r="FO369" s="35"/>
      <c r="FP369" s="35"/>
      <c r="FQ369" s="52"/>
      <c r="FS369" s="9" t="s">
        <v>13</v>
      </c>
      <c r="FT369" s="9" t="str">
        <f t="shared" si="6597"/>
        <v xml:space="preserve">12. FDS Release 4 12.7 FDS Release 4 - UK &amp; Ireland CRs UAT </v>
      </c>
    </row>
    <row r="370" spans="1:176" ht="12" hidden="1" customHeight="1" outlineLevel="1">
      <c r="A370" s="122"/>
      <c r="B370" s="123"/>
      <c r="C370" s="131" t="str">
        <f t="shared" si="7281"/>
        <v>0 days</v>
      </c>
      <c r="D370" s="13" t="str">
        <f>A$329&amp;" "&amp;A366</f>
        <v xml:space="preserve">12. FDS Release 4 12.7 FDS Release 4 - UK &amp; Ireland CRs UAT </v>
      </c>
      <c r="E370" s="51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  <c r="AL370" s="36"/>
      <c r="AM370" s="36"/>
      <c r="AN370" s="36"/>
      <c r="AO370" s="36"/>
      <c r="AP370" s="36"/>
      <c r="AQ370" s="36"/>
      <c r="AR370" s="36"/>
      <c r="AS370" s="35"/>
      <c r="AT370" s="35"/>
      <c r="AU370" s="35"/>
      <c r="AV370" s="35"/>
      <c r="AW370" s="35"/>
      <c r="AX370" s="35"/>
      <c r="AY370" s="35"/>
      <c r="AZ370" s="35"/>
      <c r="BA370" s="35"/>
      <c r="BB370" s="35"/>
      <c r="BC370" s="35"/>
      <c r="BD370" s="35"/>
      <c r="BE370" s="35"/>
      <c r="BF370" s="35"/>
      <c r="BG370" s="35"/>
      <c r="BH370" s="35"/>
      <c r="BI370" s="35"/>
      <c r="BJ370" s="35"/>
      <c r="BK370" s="35"/>
      <c r="BL370" s="35"/>
      <c r="BM370" s="35"/>
      <c r="BN370" s="35"/>
      <c r="BO370" s="35"/>
      <c r="BP370" s="35"/>
      <c r="BQ370" s="35"/>
      <c r="BR370" s="35"/>
      <c r="BS370" s="35"/>
      <c r="BT370" s="35"/>
      <c r="BU370" s="35"/>
      <c r="BV370" s="35"/>
      <c r="BW370" s="35"/>
      <c r="BX370" s="35"/>
      <c r="BY370" s="35"/>
      <c r="BZ370" s="35"/>
      <c r="CA370" s="35"/>
      <c r="CB370" s="35"/>
      <c r="CC370" s="35"/>
      <c r="CD370" s="35"/>
      <c r="CE370" s="35"/>
      <c r="CF370" s="35"/>
      <c r="CG370" s="35"/>
      <c r="CH370" s="35"/>
      <c r="CI370" s="35"/>
      <c r="CJ370" s="35"/>
      <c r="CK370" s="35"/>
      <c r="CL370" s="35"/>
      <c r="CM370" s="35"/>
      <c r="CN370" s="35"/>
      <c r="CO370" s="35"/>
      <c r="CP370" s="35"/>
      <c r="CQ370" s="35"/>
      <c r="CR370" s="35"/>
      <c r="CS370" s="35"/>
      <c r="CT370" s="36"/>
      <c r="CU370" s="35"/>
      <c r="CV370" s="35"/>
      <c r="CW370" s="35"/>
      <c r="CX370" s="35"/>
      <c r="CY370" s="35"/>
      <c r="CZ370" s="36"/>
      <c r="DA370" s="36"/>
      <c r="DB370" s="35"/>
      <c r="DC370" s="35"/>
      <c r="DD370" s="35"/>
      <c r="DE370" s="35"/>
      <c r="DF370" s="35"/>
      <c r="DG370" s="35"/>
      <c r="DH370" s="35"/>
      <c r="DI370" s="35"/>
      <c r="DJ370" s="35"/>
      <c r="DK370" s="35"/>
      <c r="DL370" s="35"/>
      <c r="DM370" s="35"/>
      <c r="DN370" s="35"/>
      <c r="DO370" s="35"/>
      <c r="DP370" s="35"/>
      <c r="DQ370" s="35"/>
      <c r="DR370" s="35"/>
      <c r="DS370" s="35"/>
      <c r="DT370" s="35"/>
      <c r="DU370" s="35"/>
      <c r="DV370" s="35"/>
      <c r="DW370" s="35"/>
      <c r="DX370" s="35"/>
      <c r="DY370" s="35"/>
      <c r="DZ370" s="36"/>
      <c r="EA370" s="35"/>
      <c r="EB370" s="35"/>
      <c r="EC370" s="35"/>
      <c r="ED370" s="35"/>
      <c r="EE370" s="35"/>
      <c r="EF370" s="35"/>
      <c r="EG370" s="35"/>
      <c r="EH370" s="35"/>
      <c r="EI370" s="35"/>
      <c r="EJ370" s="35"/>
      <c r="EK370" s="35"/>
      <c r="EL370" s="35"/>
      <c r="EM370" s="35"/>
      <c r="EN370" s="35"/>
      <c r="EO370" s="35"/>
      <c r="EP370" s="35"/>
      <c r="EQ370" s="35"/>
      <c r="ER370" s="35"/>
      <c r="ES370" s="35"/>
      <c r="ET370" s="35"/>
      <c r="EU370" s="35"/>
      <c r="EV370" s="35"/>
      <c r="EW370" s="35"/>
      <c r="EX370" s="35"/>
      <c r="EY370" s="36"/>
      <c r="EZ370" s="35"/>
      <c r="FA370" s="35"/>
      <c r="FB370" s="35"/>
      <c r="FC370" s="35"/>
      <c r="FD370" s="35"/>
      <c r="FE370" s="35"/>
      <c r="FF370" s="35"/>
      <c r="FG370" s="35"/>
      <c r="FH370" s="35"/>
      <c r="FI370" s="35"/>
      <c r="FJ370" s="35"/>
      <c r="FK370" s="35"/>
      <c r="FL370" s="35"/>
      <c r="FM370" s="35"/>
      <c r="FN370" s="35"/>
      <c r="FO370" s="35"/>
      <c r="FP370" s="35"/>
      <c r="FQ370" s="52"/>
      <c r="FS370" s="9" t="s">
        <v>13</v>
      </c>
      <c r="FT370" s="9" t="str">
        <f t="shared" si="6597"/>
        <v xml:space="preserve">12. FDS Release 4 12.7 FDS Release 4 - UK &amp; Ireland CRs UAT </v>
      </c>
    </row>
    <row r="371" spans="1:176" ht="12" hidden="1" customHeight="1" outlineLevel="1">
      <c r="A371" s="122"/>
      <c r="B371" s="123"/>
      <c r="C371" s="131" t="str">
        <f t="shared" si="7281"/>
        <v>0 days</v>
      </c>
      <c r="D371" s="13" t="str">
        <f>A$329&amp;" "&amp;A366</f>
        <v xml:space="preserve">12. FDS Release 4 12.7 FDS Release 4 - UK &amp; Ireland CRs UAT </v>
      </c>
      <c r="E371" s="51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  <c r="AL371" s="36"/>
      <c r="AM371" s="36"/>
      <c r="AN371" s="36"/>
      <c r="AO371" s="36"/>
      <c r="AP371" s="36"/>
      <c r="AQ371" s="36"/>
      <c r="AR371" s="36"/>
      <c r="AS371" s="35"/>
      <c r="AT371" s="35"/>
      <c r="AU371" s="35"/>
      <c r="AV371" s="35"/>
      <c r="AW371" s="35"/>
      <c r="AX371" s="35"/>
      <c r="AY371" s="35"/>
      <c r="AZ371" s="35"/>
      <c r="BA371" s="35"/>
      <c r="BB371" s="35"/>
      <c r="BC371" s="35"/>
      <c r="BD371" s="35"/>
      <c r="BE371" s="35"/>
      <c r="BF371" s="35"/>
      <c r="BG371" s="35"/>
      <c r="BH371" s="35"/>
      <c r="BI371" s="35"/>
      <c r="BJ371" s="35"/>
      <c r="BK371" s="35"/>
      <c r="BL371" s="35"/>
      <c r="BM371" s="35"/>
      <c r="BN371" s="35"/>
      <c r="BO371" s="35"/>
      <c r="BP371" s="35"/>
      <c r="BQ371" s="35"/>
      <c r="BR371" s="35"/>
      <c r="BS371" s="35"/>
      <c r="BT371" s="35"/>
      <c r="BU371" s="35"/>
      <c r="BV371" s="35"/>
      <c r="BW371" s="35"/>
      <c r="BX371" s="35"/>
      <c r="BY371" s="35"/>
      <c r="BZ371" s="35"/>
      <c r="CA371" s="35"/>
      <c r="CB371" s="35"/>
      <c r="CC371" s="35"/>
      <c r="CD371" s="35"/>
      <c r="CE371" s="35"/>
      <c r="CF371" s="35"/>
      <c r="CG371" s="35"/>
      <c r="CH371" s="35"/>
      <c r="CI371" s="35"/>
      <c r="CJ371" s="35"/>
      <c r="CK371" s="35"/>
      <c r="CL371" s="35"/>
      <c r="CM371" s="35"/>
      <c r="CN371" s="35"/>
      <c r="CO371" s="35"/>
      <c r="CP371" s="35"/>
      <c r="CQ371" s="35"/>
      <c r="CR371" s="35"/>
      <c r="CS371" s="35"/>
      <c r="CT371" s="36"/>
      <c r="CU371" s="35"/>
      <c r="CV371" s="35"/>
      <c r="CW371" s="35"/>
      <c r="CX371" s="35"/>
      <c r="CY371" s="35"/>
      <c r="CZ371" s="36"/>
      <c r="DA371" s="36"/>
      <c r="DB371" s="35"/>
      <c r="DC371" s="35"/>
      <c r="DD371" s="35"/>
      <c r="DE371" s="35"/>
      <c r="DF371" s="35"/>
      <c r="DG371" s="35"/>
      <c r="DH371" s="35"/>
      <c r="DI371" s="35"/>
      <c r="DJ371" s="35"/>
      <c r="DK371" s="35"/>
      <c r="DL371" s="35"/>
      <c r="DM371" s="35"/>
      <c r="DN371" s="35"/>
      <c r="DO371" s="35"/>
      <c r="DP371" s="35"/>
      <c r="DQ371" s="35"/>
      <c r="DR371" s="35"/>
      <c r="DS371" s="35"/>
      <c r="DT371" s="35"/>
      <c r="DU371" s="35"/>
      <c r="DV371" s="35"/>
      <c r="DW371" s="35"/>
      <c r="DX371" s="35"/>
      <c r="DY371" s="35"/>
      <c r="DZ371" s="36"/>
      <c r="EA371" s="35"/>
      <c r="EB371" s="35"/>
      <c r="EC371" s="35"/>
      <c r="ED371" s="35"/>
      <c r="EE371" s="35"/>
      <c r="EF371" s="35"/>
      <c r="EG371" s="35"/>
      <c r="EH371" s="35"/>
      <c r="EI371" s="35"/>
      <c r="EJ371" s="35"/>
      <c r="EK371" s="35"/>
      <c r="EL371" s="35"/>
      <c r="EM371" s="35"/>
      <c r="EN371" s="35"/>
      <c r="EO371" s="35"/>
      <c r="EP371" s="35"/>
      <c r="EQ371" s="35"/>
      <c r="ER371" s="35"/>
      <c r="ES371" s="35"/>
      <c r="ET371" s="35"/>
      <c r="EU371" s="35"/>
      <c r="EV371" s="35"/>
      <c r="EW371" s="35"/>
      <c r="EX371" s="35"/>
      <c r="EY371" s="36"/>
      <c r="EZ371" s="35"/>
      <c r="FA371" s="35"/>
      <c r="FB371" s="35"/>
      <c r="FC371" s="35"/>
      <c r="FD371" s="35"/>
      <c r="FE371" s="35"/>
      <c r="FF371" s="35"/>
      <c r="FG371" s="35"/>
      <c r="FH371" s="35"/>
      <c r="FI371" s="35"/>
      <c r="FJ371" s="35"/>
      <c r="FK371" s="35"/>
      <c r="FL371" s="35"/>
      <c r="FM371" s="35"/>
      <c r="FN371" s="35"/>
      <c r="FO371" s="35"/>
      <c r="FP371" s="35"/>
      <c r="FQ371" s="52"/>
      <c r="FS371" s="9" t="s">
        <v>13</v>
      </c>
      <c r="FT371" s="9" t="str">
        <f t="shared" si="6597"/>
        <v xml:space="preserve">12. FDS Release 4 12.7 FDS Release 4 - UK &amp; Ireland CRs UAT </v>
      </c>
    </row>
    <row r="372" spans="1:176" ht="12" customHeight="1" collapsed="1">
      <c r="A372" s="119" t="s">
        <v>115</v>
      </c>
      <c r="B372" s="127"/>
      <c r="C372" s="128" t="str">
        <f>ROUND(SUM(E372:FQ372),0) &amp; " days"</f>
        <v>3 days</v>
      </c>
      <c r="D372" s="37"/>
      <c r="E372" s="91" t="str">
        <f t="shared" ref="E372:BP372" si="7282">IF(SUBTOTAL(9,E373:E377)&gt;0,SUBTOTAL(9,E373:E377),"")</f>
        <v/>
      </c>
      <c r="F372" s="34" t="str">
        <f t="shared" si="7282"/>
        <v/>
      </c>
      <c r="G372" s="34" t="str">
        <f t="shared" si="7282"/>
        <v/>
      </c>
      <c r="H372" s="34" t="str">
        <f t="shared" si="7282"/>
        <v/>
      </c>
      <c r="I372" s="34" t="str">
        <f t="shared" si="7282"/>
        <v/>
      </c>
      <c r="J372" s="34" t="str">
        <f t="shared" si="7282"/>
        <v/>
      </c>
      <c r="K372" s="34" t="str">
        <f t="shared" si="7282"/>
        <v/>
      </c>
      <c r="L372" s="34" t="str">
        <f t="shared" si="7282"/>
        <v/>
      </c>
      <c r="M372" s="34" t="str">
        <f t="shared" si="7282"/>
        <v/>
      </c>
      <c r="N372" s="34" t="str">
        <f t="shared" si="7282"/>
        <v/>
      </c>
      <c r="O372" s="34" t="str">
        <f t="shared" si="7282"/>
        <v/>
      </c>
      <c r="P372" s="34" t="str">
        <f t="shared" si="7282"/>
        <v/>
      </c>
      <c r="Q372" s="34" t="str">
        <f t="shared" si="7282"/>
        <v/>
      </c>
      <c r="R372" s="34" t="str">
        <f t="shared" si="7282"/>
        <v/>
      </c>
      <c r="S372" s="34" t="str">
        <f t="shared" si="7282"/>
        <v/>
      </c>
      <c r="T372" s="34" t="str">
        <f t="shared" si="7282"/>
        <v/>
      </c>
      <c r="U372" s="34" t="str">
        <f t="shared" si="7282"/>
        <v/>
      </c>
      <c r="V372" s="34" t="str">
        <f t="shared" si="7282"/>
        <v/>
      </c>
      <c r="W372" s="34" t="str">
        <f t="shared" si="7282"/>
        <v/>
      </c>
      <c r="X372" s="34" t="str">
        <f t="shared" si="7282"/>
        <v/>
      </c>
      <c r="Y372" s="34" t="str">
        <f t="shared" si="7282"/>
        <v/>
      </c>
      <c r="Z372" s="34" t="str">
        <f t="shared" si="7282"/>
        <v/>
      </c>
      <c r="AA372" s="34" t="str">
        <f t="shared" si="7282"/>
        <v/>
      </c>
      <c r="AB372" s="34" t="str">
        <f t="shared" si="7282"/>
        <v/>
      </c>
      <c r="AC372" s="34" t="str">
        <f t="shared" si="7282"/>
        <v/>
      </c>
      <c r="AD372" s="34" t="str">
        <f t="shared" si="7282"/>
        <v/>
      </c>
      <c r="AE372" s="34" t="str">
        <f t="shared" si="7282"/>
        <v/>
      </c>
      <c r="AF372" s="34" t="str">
        <f t="shared" si="7282"/>
        <v/>
      </c>
      <c r="AG372" s="34" t="str">
        <f t="shared" si="7282"/>
        <v/>
      </c>
      <c r="AH372" s="34" t="str">
        <f t="shared" si="7282"/>
        <v/>
      </c>
      <c r="AI372" s="34" t="str">
        <f t="shared" si="7282"/>
        <v/>
      </c>
      <c r="AJ372" s="34" t="str">
        <f t="shared" si="7282"/>
        <v/>
      </c>
      <c r="AK372" s="34" t="str">
        <f t="shared" si="7282"/>
        <v/>
      </c>
      <c r="AL372" s="33" t="str">
        <f t="shared" si="7282"/>
        <v/>
      </c>
      <c r="AM372" s="33" t="str">
        <f t="shared" si="7282"/>
        <v/>
      </c>
      <c r="AN372" s="33" t="str">
        <f t="shared" si="7282"/>
        <v/>
      </c>
      <c r="AO372" s="33" t="str">
        <f t="shared" si="7282"/>
        <v/>
      </c>
      <c r="AP372" s="33" t="str">
        <f t="shared" si="7282"/>
        <v/>
      </c>
      <c r="AQ372" s="33" t="str">
        <f t="shared" si="7282"/>
        <v/>
      </c>
      <c r="AR372" s="33" t="str">
        <f t="shared" si="7282"/>
        <v/>
      </c>
      <c r="AS372" s="34">
        <f t="shared" si="7282"/>
        <v>0.5</v>
      </c>
      <c r="AT372" s="34">
        <f t="shared" si="7282"/>
        <v>0.15</v>
      </c>
      <c r="AU372" s="34">
        <f t="shared" si="7282"/>
        <v>0.2</v>
      </c>
      <c r="AV372" s="34" t="str">
        <f t="shared" si="7282"/>
        <v/>
      </c>
      <c r="AW372" s="34">
        <f t="shared" si="7282"/>
        <v>0.55000000000000004</v>
      </c>
      <c r="AX372" s="34">
        <f t="shared" si="7282"/>
        <v>0.2</v>
      </c>
      <c r="AY372" s="34">
        <f t="shared" si="7282"/>
        <v>0.35</v>
      </c>
      <c r="AZ372" s="34">
        <f t="shared" si="7282"/>
        <v>0.2</v>
      </c>
      <c r="BA372" s="34">
        <f t="shared" si="7282"/>
        <v>0.1</v>
      </c>
      <c r="BB372" s="34" t="str">
        <f t="shared" si="7282"/>
        <v/>
      </c>
      <c r="BC372" s="34" t="str">
        <f t="shared" si="7282"/>
        <v/>
      </c>
      <c r="BD372" s="34">
        <f t="shared" si="7282"/>
        <v>0.1</v>
      </c>
      <c r="BE372" s="34">
        <f t="shared" si="7282"/>
        <v>0.3</v>
      </c>
      <c r="BF372" s="34" t="str">
        <f t="shared" si="7282"/>
        <v/>
      </c>
      <c r="BG372" s="34" t="str">
        <f t="shared" si="7282"/>
        <v/>
      </c>
      <c r="BH372" s="34" t="str">
        <f t="shared" si="7282"/>
        <v/>
      </c>
      <c r="BI372" s="34" t="str">
        <f t="shared" si="7282"/>
        <v/>
      </c>
      <c r="BJ372" s="34" t="str">
        <f t="shared" si="7282"/>
        <v/>
      </c>
      <c r="BK372" s="34" t="str">
        <f t="shared" si="7282"/>
        <v/>
      </c>
      <c r="BL372" s="34" t="str">
        <f t="shared" si="7282"/>
        <v/>
      </c>
      <c r="BM372" s="34" t="str">
        <f t="shared" si="7282"/>
        <v/>
      </c>
      <c r="BN372" s="34" t="str">
        <f t="shared" si="7282"/>
        <v/>
      </c>
      <c r="BO372" s="34" t="str">
        <f t="shared" si="7282"/>
        <v/>
      </c>
      <c r="BP372" s="34" t="str">
        <f t="shared" si="7282"/>
        <v/>
      </c>
      <c r="BQ372" s="34" t="str">
        <f t="shared" ref="BQ372:EB372" si="7283">IF(SUBTOTAL(9,BQ373:BQ377)&gt;0,SUBTOTAL(9,BQ373:BQ377),"")</f>
        <v/>
      </c>
      <c r="BR372" s="34" t="str">
        <f t="shared" si="7283"/>
        <v/>
      </c>
      <c r="BS372" s="34" t="str">
        <f t="shared" si="7283"/>
        <v/>
      </c>
      <c r="BT372" s="34" t="str">
        <f t="shared" si="7283"/>
        <v/>
      </c>
      <c r="BU372" s="34" t="str">
        <f t="shared" si="7283"/>
        <v/>
      </c>
      <c r="BV372" s="34" t="str">
        <f t="shared" si="7283"/>
        <v/>
      </c>
      <c r="BW372" s="34" t="str">
        <f t="shared" si="7283"/>
        <v/>
      </c>
      <c r="BX372" s="34" t="str">
        <f t="shared" si="7283"/>
        <v/>
      </c>
      <c r="BY372" s="34" t="str">
        <f t="shared" si="7283"/>
        <v/>
      </c>
      <c r="BZ372" s="34" t="str">
        <f t="shared" si="7283"/>
        <v/>
      </c>
      <c r="CA372" s="34" t="str">
        <f t="shared" si="7283"/>
        <v/>
      </c>
      <c r="CB372" s="34" t="str">
        <f t="shared" si="7283"/>
        <v/>
      </c>
      <c r="CC372" s="34" t="str">
        <f t="shared" si="7283"/>
        <v/>
      </c>
      <c r="CD372" s="34" t="str">
        <f t="shared" si="7283"/>
        <v/>
      </c>
      <c r="CE372" s="34" t="str">
        <f t="shared" si="7283"/>
        <v/>
      </c>
      <c r="CF372" s="34" t="str">
        <f t="shared" si="7283"/>
        <v/>
      </c>
      <c r="CG372" s="34" t="str">
        <f t="shared" si="7283"/>
        <v/>
      </c>
      <c r="CH372" s="34" t="str">
        <f t="shared" si="7283"/>
        <v/>
      </c>
      <c r="CI372" s="34" t="str">
        <f t="shared" si="7283"/>
        <v/>
      </c>
      <c r="CJ372" s="34" t="str">
        <f t="shared" si="7283"/>
        <v/>
      </c>
      <c r="CK372" s="34" t="str">
        <f t="shared" si="7283"/>
        <v/>
      </c>
      <c r="CL372" s="34" t="str">
        <f t="shared" si="7283"/>
        <v/>
      </c>
      <c r="CM372" s="34" t="str">
        <f t="shared" si="7283"/>
        <v/>
      </c>
      <c r="CN372" s="34" t="str">
        <f t="shared" si="7283"/>
        <v/>
      </c>
      <c r="CO372" s="34" t="str">
        <f t="shared" si="7283"/>
        <v/>
      </c>
      <c r="CP372" s="34" t="str">
        <f t="shared" si="7283"/>
        <v/>
      </c>
      <c r="CQ372" s="34" t="str">
        <f t="shared" si="7283"/>
        <v/>
      </c>
      <c r="CR372" s="34" t="str">
        <f t="shared" si="7283"/>
        <v/>
      </c>
      <c r="CS372" s="34" t="str">
        <f t="shared" si="7283"/>
        <v/>
      </c>
      <c r="CT372" s="33" t="str">
        <f t="shared" si="7283"/>
        <v/>
      </c>
      <c r="CU372" s="34" t="str">
        <f t="shared" si="7283"/>
        <v/>
      </c>
      <c r="CV372" s="34" t="str">
        <f t="shared" si="7283"/>
        <v/>
      </c>
      <c r="CW372" s="34" t="str">
        <f t="shared" si="7283"/>
        <v/>
      </c>
      <c r="CX372" s="34" t="str">
        <f t="shared" si="7283"/>
        <v/>
      </c>
      <c r="CY372" s="34" t="str">
        <f t="shared" si="7283"/>
        <v/>
      </c>
      <c r="CZ372" s="33" t="str">
        <f t="shared" si="7283"/>
        <v/>
      </c>
      <c r="DA372" s="33" t="str">
        <f t="shared" si="7283"/>
        <v/>
      </c>
      <c r="DB372" s="34" t="str">
        <f t="shared" si="7283"/>
        <v/>
      </c>
      <c r="DC372" s="34" t="str">
        <f t="shared" si="7283"/>
        <v/>
      </c>
      <c r="DD372" s="34" t="str">
        <f t="shared" si="7283"/>
        <v/>
      </c>
      <c r="DE372" s="34" t="str">
        <f t="shared" si="7283"/>
        <v/>
      </c>
      <c r="DF372" s="34" t="str">
        <f t="shared" si="7283"/>
        <v/>
      </c>
      <c r="DG372" s="34" t="str">
        <f t="shared" si="7283"/>
        <v/>
      </c>
      <c r="DH372" s="34" t="str">
        <f t="shared" si="7283"/>
        <v/>
      </c>
      <c r="DI372" s="34" t="str">
        <f t="shared" si="7283"/>
        <v/>
      </c>
      <c r="DJ372" s="34" t="str">
        <f t="shared" si="7283"/>
        <v/>
      </c>
      <c r="DK372" s="34" t="str">
        <f t="shared" si="7283"/>
        <v/>
      </c>
      <c r="DL372" s="34" t="str">
        <f t="shared" si="7283"/>
        <v/>
      </c>
      <c r="DM372" s="34" t="str">
        <f t="shared" si="7283"/>
        <v/>
      </c>
      <c r="DN372" s="34" t="str">
        <f t="shared" si="7283"/>
        <v/>
      </c>
      <c r="DO372" s="34" t="str">
        <f t="shared" si="7283"/>
        <v/>
      </c>
      <c r="DP372" s="34" t="str">
        <f t="shared" si="7283"/>
        <v/>
      </c>
      <c r="DQ372" s="34" t="str">
        <f t="shared" si="7283"/>
        <v/>
      </c>
      <c r="DR372" s="34" t="str">
        <f t="shared" si="7283"/>
        <v/>
      </c>
      <c r="DS372" s="34" t="str">
        <f t="shared" si="7283"/>
        <v/>
      </c>
      <c r="DT372" s="34" t="str">
        <f t="shared" si="7283"/>
        <v/>
      </c>
      <c r="DU372" s="34" t="str">
        <f t="shared" si="7283"/>
        <v/>
      </c>
      <c r="DV372" s="34" t="str">
        <f t="shared" si="7283"/>
        <v/>
      </c>
      <c r="DW372" s="34" t="str">
        <f t="shared" si="7283"/>
        <v/>
      </c>
      <c r="DX372" s="34" t="str">
        <f t="shared" si="7283"/>
        <v/>
      </c>
      <c r="DY372" s="34" t="str">
        <f t="shared" si="7283"/>
        <v/>
      </c>
      <c r="DZ372" s="33" t="str">
        <f t="shared" si="7283"/>
        <v/>
      </c>
      <c r="EA372" s="34" t="str">
        <f t="shared" si="7283"/>
        <v/>
      </c>
      <c r="EB372" s="34" t="str">
        <f t="shared" si="7283"/>
        <v/>
      </c>
      <c r="EC372" s="34" t="str">
        <f t="shared" ref="EC372:FQ372" si="7284">IF(SUBTOTAL(9,EC373:EC377)&gt;0,SUBTOTAL(9,EC373:EC377),"")</f>
        <v/>
      </c>
      <c r="ED372" s="34" t="str">
        <f t="shared" si="7284"/>
        <v/>
      </c>
      <c r="EE372" s="34" t="str">
        <f t="shared" si="7284"/>
        <v/>
      </c>
      <c r="EF372" s="34" t="str">
        <f t="shared" si="7284"/>
        <v/>
      </c>
      <c r="EG372" s="34" t="str">
        <f t="shared" si="7284"/>
        <v/>
      </c>
      <c r="EH372" s="34" t="str">
        <f t="shared" si="7284"/>
        <v/>
      </c>
      <c r="EI372" s="34" t="str">
        <f t="shared" si="7284"/>
        <v/>
      </c>
      <c r="EJ372" s="34" t="str">
        <f t="shared" si="7284"/>
        <v/>
      </c>
      <c r="EK372" s="34" t="str">
        <f t="shared" si="7284"/>
        <v/>
      </c>
      <c r="EL372" s="34" t="str">
        <f t="shared" si="7284"/>
        <v/>
      </c>
      <c r="EM372" s="34" t="str">
        <f t="shared" si="7284"/>
        <v/>
      </c>
      <c r="EN372" s="34" t="str">
        <f t="shared" si="7284"/>
        <v/>
      </c>
      <c r="EO372" s="34" t="str">
        <f t="shared" si="7284"/>
        <v/>
      </c>
      <c r="EP372" s="34" t="str">
        <f t="shared" si="7284"/>
        <v/>
      </c>
      <c r="EQ372" s="34" t="str">
        <f t="shared" si="7284"/>
        <v/>
      </c>
      <c r="ER372" s="34" t="str">
        <f t="shared" si="7284"/>
        <v/>
      </c>
      <c r="ES372" s="34" t="str">
        <f t="shared" si="7284"/>
        <v/>
      </c>
      <c r="ET372" s="34" t="str">
        <f t="shared" si="7284"/>
        <v/>
      </c>
      <c r="EU372" s="34" t="str">
        <f t="shared" si="7284"/>
        <v/>
      </c>
      <c r="EV372" s="34" t="str">
        <f t="shared" si="7284"/>
        <v/>
      </c>
      <c r="EW372" s="34" t="str">
        <f t="shared" si="7284"/>
        <v/>
      </c>
      <c r="EX372" s="34" t="str">
        <f t="shared" si="7284"/>
        <v/>
      </c>
      <c r="EY372" s="33" t="str">
        <f t="shared" si="7284"/>
        <v/>
      </c>
      <c r="EZ372" s="34" t="str">
        <f t="shared" si="7284"/>
        <v/>
      </c>
      <c r="FA372" s="34" t="str">
        <f t="shared" si="7284"/>
        <v/>
      </c>
      <c r="FB372" s="34" t="str">
        <f t="shared" si="7284"/>
        <v/>
      </c>
      <c r="FC372" s="34" t="str">
        <f t="shared" si="7284"/>
        <v/>
      </c>
      <c r="FD372" s="34" t="str">
        <f t="shared" si="7284"/>
        <v/>
      </c>
      <c r="FE372" s="34" t="str">
        <f t="shared" si="7284"/>
        <v/>
      </c>
      <c r="FF372" s="34" t="str">
        <f t="shared" si="7284"/>
        <v/>
      </c>
      <c r="FG372" s="34" t="str">
        <f t="shared" si="7284"/>
        <v/>
      </c>
      <c r="FH372" s="34" t="str">
        <f t="shared" si="7284"/>
        <v/>
      </c>
      <c r="FI372" s="34" t="str">
        <f t="shared" si="7284"/>
        <v/>
      </c>
      <c r="FJ372" s="34" t="str">
        <f t="shared" si="7284"/>
        <v/>
      </c>
      <c r="FK372" s="34" t="str">
        <f t="shared" si="7284"/>
        <v/>
      </c>
      <c r="FL372" s="34" t="str">
        <f t="shared" si="7284"/>
        <v/>
      </c>
      <c r="FM372" s="34" t="str">
        <f t="shared" si="7284"/>
        <v/>
      </c>
      <c r="FN372" s="34" t="str">
        <f t="shared" si="7284"/>
        <v/>
      </c>
      <c r="FO372" s="34" t="str">
        <f t="shared" si="7284"/>
        <v/>
      </c>
      <c r="FP372" s="34" t="str">
        <f t="shared" si="7284"/>
        <v/>
      </c>
      <c r="FQ372" s="92" t="str">
        <f t="shared" si="7284"/>
        <v/>
      </c>
      <c r="FS372" s="9" t="s">
        <v>131</v>
      </c>
      <c r="FT372" s="9" t="str">
        <f t="shared" si="6597"/>
        <v/>
      </c>
    </row>
    <row r="373" spans="1:176" ht="12" hidden="1" customHeight="1" outlineLevel="1">
      <c r="A373" s="122" t="s">
        <v>188</v>
      </c>
      <c r="B373" s="130" t="s">
        <v>10</v>
      </c>
      <c r="C373" s="131" t="str">
        <f t="shared" ref="C373:C377" si="7285">ROUND(SUM(E373:FQ373),0) &amp; " days"</f>
        <v>3 days</v>
      </c>
      <c r="D373" s="101" t="str">
        <f>A$329&amp;" "&amp;A372</f>
        <v>12. FDS Release 4 12.8 FDS Release 4 - UK &amp; IRE Regression testing</v>
      </c>
      <c r="E373" s="51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  <c r="AL373" s="36"/>
      <c r="AM373" s="36"/>
      <c r="AN373" s="36"/>
      <c r="AO373" s="36"/>
      <c r="AP373" s="36"/>
      <c r="AQ373" s="36"/>
      <c r="AR373" s="36"/>
      <c r="AS373" s="35">
        <v>0.5</v>
      </c>
      <c r="AT373" s="35">
        <v>0.15</v>
      </c>
      <c r="AU373" s="35">
        <v>0.2</v>
      </c>
      <c r="AV373" s="35"/>
      <c r="AW373" s="35">
        <v>0.55000000000000004</v>
      </c>
      <c r="AX373" s="35">
        <v>0.2</v>
      </c>
      <c r="AY373" s="35">
        <v>0.35</v>
      </c>
      <c r="AZ373" s="35">
        <v>0.2</v>
      </c>
      <c r="BA373" s="35">
        <v>0.1</v>
      </c>
      <c r="BB373" s="35"/>
      <c r="BC373" s="35"/>
      <c r="BD373" s="35">
        <v>0.1</v>
      </c>
      <c r="BE373" s="35">
        <v>0.3</v>
      </c>
      <c r="BF373" s="35"/>
      <c r="BG373" s="35"/>
      <c r="BH373" s="35"/>
      <c r="BI373" s="35"/>
      <c r="BJ373" s="35"/>
      <c r="BK373" s="35"/>
      <c r="BL373" s="35"/>
      <c r="BM373" s="35"/>
      <c r="BN373" s="35"/>
      <c r="BO373" s="35"/>
      <c r="BP373" s="35"/>
      <c r="BQ373" s="35"/>
      <c r="BR373" s="35"/>
      <c r="BS373" s="35"/>
      <c r="BT373" s="35"/>
      <c r="BU373" s="35"/>
      <c r="BV373" s="35"/>
      <c r="BW373" s="35"/>
      <c r="BX373" s="35"/>
      <c r="BY373" s="35"/>
      <c r="BZ373" s="35"/>
      <c r="CA373" s="35"/>
      <c r="CB373" s="35"/>
      <c r="CC373" s="35"/>
      <c r="CD373" s="35"/>
      <c r="CE373" s="35"/>
      <c r="CF373" s="35"/>
      <c r="CG373" s="35"/>
      <c r="CH373" s="35"/>
      <c r="CI373" s="35"/>
      <c r="CJ373" s="35"/>
      <c r="CK373" s="35"/>
      <c r="CL373" s="35"/>
      <c r="CM373" s="35"/>
      <c r="CN373" s="35"/>
      <c r="CO373" s="35"/>
      <c r="CP373" s="35"/>
      <c r="CQ373" s="35"/>
      <c r="CR373" s="35"/>
      <c r="CS373" s="35"/>
      <c r="CT373" s="36"/>
      <c r="CU373" s="35"/>
      <c r="CV373" s="35"/>
      <c r="CW373" s="35"/>
      <c r="CX373" s="35"/>
      <c r="CY373" s="35"/>
      <c r="CZ373" s="36"/>
      <c r="DA373" s="36"/>
      <c r="DB373" s="35"/>
      <c r="DC373" s="35"/>
      <c r="DD373" s="35"/>
      <c r="DE373" s="35"/>
      <c r="DF373" s="35"/>
      <c r="DG373" s="35"/>
      <c r="DH373" s="35"/>
      <c r="DI373" s="35"/>
      <c r="DJ373" s="35"/>
      <c r="DK373" s="35"/>
      <c r="DL373" s="35"/>
      <c r="DM373" s="35"/>
      <c r="DN373" s="35"/>
      <c r="DO373" s="35"/>
      <c r="DP373" s="35"/>
      <c r="DQ373" s="35"/>
      <c r="DR373" s="35"/>
      <c r="DS373" s="35"/>
      <c r="DT373" s="35"/>
      <c r="DU373" s="35"/>
      <c r="DV373" s="35"/>
      <c r="DW373" s="35"/>
      <c r="DX373" s="35"/>
      <c r="DY373" s="35"/>
      <c r="DZ373" s="36"/>
      <c r="EA373" s="35"/>
      <c r="EB373" s="35"/>
      <c r="EC373" s="35"/>
      <c r="ED373" s="35"/>
      <c r="EE373" s="35"/>
      <c r="EF373" s="35"/>
      <c r="EG373" s="35"/>
      <c r="EH373" s="35"/>
      <c r="EI373" s="35"/>
      <c r="EJ373" s="35"/>
      <c r="EK373" s="35"/>
      <c r="EL373" s="35"/>
      <c r="EM373" s="35"/>
      <c r="EN373" s="35"/>
      <c r="EO373" s="35"/>
      <c r="EP373" s="35"/>
      <c r="EQ373" s="35"/>
      <c r="ER373" s="35"/>
      <c r="ES373" s="35"/>
      <c r="ET373" s="35"/>
      <c r="EU373" s="35"/>
      <c r="EV373" s="35"/>
      <c r="EW373" s="35"/>
      <c r="EX373" s="35"/>
      <c r="EY373" s="36"/>
      <c r="EZ373" s="35"/>
      <c r="FA373" s="35"/>
      <c r="FB373" s="35"/>
      <c r="FC373" s="35"/>
      <c r="FD373" s="35"/>
      <c r="FE373" s="35"/>
      <c r="FF373" s="35"/>
      <c r="FG373" s="35"/>
      <c r="FH373" s="35"/>
      <c r="FI373" s="35"/>
      <c r="FJ373" s="35"/>
      <c r="FK373" s="35"/>
      <c r="FL373" s="35"/>
      <c r="FM373" s="35"/>
      <c r="FN373" s="35"/>
      <c r="FO373" s="35"/>
      <c r="FP373" s="35"/>
      <c r="FQ373" s="52"/>
      <c r="FS373" s="9" t="s">
        <v>13</v>
      </c>
      <c r="FT373" s="9" t="str">
        <f t="shared" si="6597"/>
        <v>12. FDS Release 4 12.8 FDS Release 4 - UK &amp; IRE Regression testingGlenn Kirk</v>
      </c>
    </row>
    <row r="374" spans="1:176" ht="12" hidden="1" customHeight="1" outlineLevel="1">
      <c r="A374" s="122"/>
      <c r="B374" s="123"/>
      <c r="C374" s="131" t="str">
        <f t="shared" si="7285"/>
        <v>0 days</v>
      </c>
      <c r="D374" s="13" t="str">
        <f>A$329&amp;" "&amp;A372</f>
        <v>12. FDS Release 4 12.8 FDS Release 4 - UK &amp; IRE Regression testing</v>
      </c>
      <c r="E374" s="51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  <c r="AL374" s="36"/>
      <c r="AM374" s="36"/>
      <c r="AN374" s="36"/>
      <c r="AO374" s="36"/>
      <c r="AP374" s="36"/>
      <c r="AQ374" s="36"/>
      <c r="AR374" s="36"/>
      <c r="AS374" s="35"/>
      <c r="AT374" s="35"/>
      <c r="AU374" s="35"/>
      <c r="AV374" s="35"/>
      <c r="AW374" s="35"/>
      <c r="AX374" s="35"/>
      <c r="AY374" s="35"/>
      <c r="AZ374" s="35"/>
      <c r="BA374" s="35"/>
      <c r="BB374" s="35"/>
      <c r="BC374" s="35"/>
      <c r="BD374" s="35"/>
      <c r="BE374" s="35"/>
      <c r="BF374" s="35"/>
      <c r="BG374" s="35"/>
      <c r="BH374" s="35"/>
      <c r="BI374" s="35"/>
      <c r="BJ374" s="35"/>
      <c r="BK374" s="35"/>
      <c r="BL374" s="35"/>
      <c r="BM374" s="35"/>
      <c r="BN374" s="35"/>
      <c r="BO374" s="35"/>
      <c r="BP374" s="35"/>
      <c r="BQ374" s="35"/>
      <c r="BR374" s="35"/>
      <c r="BS374" s="35"/>
      <c r="BT374" s="35"/>
      <c r="BU374" s="35"/>
      <c r="BV374" s="35"/>
      <c r="BW374" s="35"/>
      <c r="BX374" s="35"/>
      <c r="BY374" s="35"/>
      <c r="BZ374" s="35"/>
      <c r="CA374" s="35"/>
      <c r="CB374" s="35"/>
      <c r="CC374" s="35"/>
      <c r="CD374" s="35"/>
      <c r="CE374" s="35"/>
      <c r="CF374" s="35"/>
      <c r="CG374" s="35"/>
      <c r="CH374" s="35"/>
      <c r="CI374" s="35"/>
      <c r="CJ374" s="35"/>
      <c r="CK374" s="35"/>
      <c r="CL374" s="35"/>
      <c r="CM374" s="35"/>
      <c r="CN374" s="35"/>
      <c r="CO374" s="35"/>
      <c r="CP374" s="35"/>
      <c r="CQ374" s="35"/>
      <c r="CR374" s="35"/>
      <c r="CS374" s="35"/>
      <c r="CT374" s="36"/>
      <c r="CU374" s="35"/>
      <c r="CV374" s="35"/>
      <c r="CW374" s="35"/>
      <c r="CX374" s="35"/>
      <c r="CY374" s="35"/>
      <c r="CZ374" s="36"/>
      <c r="DA374" s="36"/>
      <c r="DB374" s="35"/>
      <c r="DC374" s="35"/>
      <c r="DD374" s="35"/>
      <c r="DE374" s="35"/>
      <c r="DF374" s="35"/>
      <c r="DG374" s="35"/>
      <c r="DH374" s="35"/>
      <c r="DI374" s="35"/>
      <c r="DJ374" s="35"/>
      <c r="DK374" s="35"/>
      <c r="DL374" s="35"/>
      <c r="DM374" s="35"/>
      <c r="DN374" s="35"/>
      <c r="DO374" s="35"/>
      <c r="DP374" s="35"/>
      <c r="DQ374" s="35"/>
      <c r="DR374" s="35"/>
      <c r="DS374" s="35"/>
      <c r="DT374" s="35"/>
      <c r="DU374" s="35"/>
      <c r="DV374" s="35"/>
      <c r="DW374" s="35"/>
      <c r="DX374" s="35"/>
      <c r="DY374" s="35"/>
      <c r="DZ374" s="36"/>
      <c r="EA374" s="35"/>
      <c r="EB374" s="35"/>
      <c r="EC374" s="35"/>
      <c r="ED374" s="35"/>
      <c r="EE374" s="35"/>
      <c r="EF374" s="35"/>
      <c r="EG374" s="35"/>
      <c r="EH374" s="35"/>
      <c r="EI374" s="35"/>
      <c r="EJ374" s="35"/>
      <c r="EK374" s="35"/>
      <c r="EL374" s="35"/>
      <c r="EM374" s="35"/>
      <c r="EN374" s="35"/>
      <c r="EO374" s="35"/>
      <c r="EP374" s="35"/>
      <c r="EQ374" s="35"/>
      <c r="ER374" s="35"/>
      <c r="ES374" s="35"/>
      <c r="ET374" s="35"/>
      <c r="EU374" s="35"/>
      <c r="EV374" s="35"/>
      <c r="EW374" s="35"/>
      <c r="EX374" s="35"/>
      <c r="EY374" s="36"/>
      <c r="EZ374" s="35"/>
      <c r="FA374" s="35"/>
      <c r="FB374" s="35"/>
      <c r="FC374" s="35"/>
      <c r="FD374" s="35"/>
      <c r="FE374" s="35"/>
      <c r="FF374" s="35"/>
      <c r="FG374" s="35"/>
      <c r="FH374" s="35"/>
      <c r="FI374" s="35"/>
      <c r="FJ374" s="35"/>
      <c r="FK374" s="35"/>
      <c r="FL374" s="35"/>
      <c r="FM374" s="35"/>
      <c r="FN374" s="35"/>
      <c r="FO374" s="35"/>
      <c r="FP374" s="35"/>
      <c r="FQ374" s="52"/>
      <c r="FS374" s="9" t="s">
        <v>13</v>
      </c>
      <c r="FT374" s="9" t="str">
        <f t="shared" si="6597"/>
        <v>12. FDS Release 4 12.8 FDS Release 4 - UK &amp; IRE Regression testing</v>
      </c>
    </row>
    <row r="375" spans="1:176" ht="12" hidden="1" customHeight="1" outlineLevel="1">
      <c r="A375" s="122"/>
      <c r="B375" s="123"/>
      <c r="C375" s="131" t="str">
        <f t="shared" si="7285"/>
        <v>0 days</v>
      </c>
      <c r="D375" s="13" t="str">
        <f>A$329&amp;" "&amp;A372</f>
        <v>12. FDS Release 4 12.8 FDS Release 4 - UK &amp; IRE Regression testing</v>
      </c>
      <c r="E375" s="51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  <c r="AL375" s="36"/>
      <c r="AM375" s="36"/>
      <c r="AN375" s="36"/>
      <c r="AO375" s="36"/>
      <c r="AP375" s="36"/>
      <c r="AQ375" s="36"/>
      <c r="AR375" s="36"/>
      <c r="AS375" s="35"/>
      <c r="AT375" s="35"/>
      <c r="AU375" s="35"/>
      <c r="AV375" s="35"/>
      <c r="AW375" s="35"/>
      <c r="AX375" s="35"/>
      <c r="AY375" s="35"/>
      <c r="AZ375" s="35"/>
      <c r="BA375" s="35"/>
      <c r="BB375" s="35"/>
      <c r="BC375" s="35"/>
      <c r="BD375" s="35"/>
      <c r="BE375" s="35"/>
      <c r="BF375" s="35"/>
      <c r="BG375" s="35"/>
      <c r="BH375" s="35"/>
      <c r="BI375" s="35"/>
      <c r="BJ375" s="35"/>
      <c r="BK375" s="35"/>
      <c r="BL375" s="35"/>
      <c r="BM375" s="35"/>
      <c r="BN375" s="35"/>
      <c r="BO375" s="35"/>
      <c r="BP375" s="35"/>
      <c r="BQ375" s="35"/>
      <c r="BR375" s="35"/>
      <c r="BS375" s="35"/>
      <c r="BT375" s="35"/>
      <c r="BU375" s="35"/>
      <c r="BV375" s="35"/>
      <c r="BW375" s="35"/>
      <c r="BX375" s="35"/>
      <c r="BY375" s="35"/>
      <c r="BZ375" s="35"/>
      <c r="CA375" s="35"/>
      <c r="CB375" s="35"/>
      <c r="CC375" s="35"/>
      <c r="CD375" s="35"/>
      <c r="CE375" s="35"/>
      <c r="CF375" s="35"/>
      <c r="CG375" s="35"/>
      <c r="CH375" s="35"/>
      <c r="CI375" s="35"/>
      <c r="CJ375" s="35"/>
      <c r="CK375" s="35"/>
      <c r="CL375" s="35"/>
      <c r="CM375" s="35"/>
      <c r="CN375" s="35"/>
      <c r="CO375" s="35"/>
      <c r="CP375" s="35"/>
      <c r="CQ375" s="35"/>
      <c r="CR375" s="35"/>
      <c r="CS375" s="35"/>
      <c r="CT375" s="36"/>
      <c r="CU375" s="35"/>
      <c r="CV375" s="35"/>
      <c r="CW375" s="35"/>
      <c r="CX375" s="35"/>
      <c r="CY375" s="35"/>
      <c r="CZ375" s="36"/>
      <c r="DA375" s="36"/>
      <c r="DB375" s="35"/>
      <c r="DC375" s="35"/>
      <c r="DD375" s="35"/>
      <c r="DE375" s="35"/>
      <c r="DF375" s="35"/>
      <c r="DG375" s="35"/>
      <c r="DH375" s="35"/>
      <c r="DI375" s="35"/>
      <c r="DJ375" s="35"/>
      <c r="DK375" s="35"/>
      <c r="DL375" s="35"/>
      <c r="DM375" s="35"/>
      <c r="DN375" s="35"/>
      <c r="DO375" s="35"/>
      <c r="DP375" s="35"/>
      <c r="DQ375" s="35"/>
      <c r="DR375" s="35"/>
      <c r="DS375" s="35"/>
      <c r="DT375" s="35"/>
      <c r="DU375" s="35"/>
      <c r="DV375" s="35"/>
      <c r="DW375" s="35"/>
      <c r="DX375" s="35"/>
      <c r="DY375" s="35"/>
      <c r="DZ375" s="36"/>
      <c r="EA375" s="35"/>
      <c r="EB375" s="35"/>
      <c r="EC375" s="35"/>
      <c r="ED375" s="35"/>
      <c r="EE375" s="35"/>
      <c r="EF375" s="35"/>
      <c r="EG375" s="35"/>
      <c r="EH375" s="35"/>
      <c r="EI375" s="35"/>
      <c r="EJ375" s="35"/>
      <c r="EK375" s="35"/>
      <c r="EL375" s="35"/>
      <c r="EM375" s="35"/>
      <c r="EN375" s="35"/>
      <c r="EO375" s="35"/>
      <c r="EP375" s="35"/>
      <c r="EQ375" s="35"/>
      <c r="ER375" s="35"/>
      <c r="ES375" s="35"/>
      <c r="ET375" s="35"/>
      <c r="EU375" s="35"/>
      <c r="EV375" s="35"/>
      <c r="EW375" s="35"/>
      <c r="EX375" s="35"/>
      <c r="EY375" s="36"/>
      <c r="EZ375" s="35"/>
      <c r="FA375" s="35"/>
      <c r="FB375" s="35"/>
      <c r="FC375" s="35"/>
      <c r="FD375" s="35"/>
      <c r="FE375" s="35"/>
      <c r="FF375" s="35"/>
      <c r="FG375" s="35"/>
      <c r="FH375" s="35"/>
      <c r="FI375" s="35"/>
      <c r="FJ375" s="35"/>
      <c r="FK375" s="35"/>
      <c r="FL375" s="35"/>
      <c r="FM375" s="35"/>
      <c r="FN375" s="35"/>
      <c r="FO375" s="35"/>
      <c r="FP375" s="35"/>
      <c r="FQ375" s="52"/>
      <c r="FS375" s="9" t="s">
        <v>13</v>
      </c>
      <c r="FT375" s="9" t="str">
        <f t="shared" si="6597"/>
        <v>12. FDS Release 4 12.8 FDS Release 4 - UK &amp; IRE Regression testing</v>
      </c>
    </row>
    <row r="376" spans="1:176" ht="12" hidden="1" customHeight="1" outlineLevel="1">
      <c r="A376" s="122"/>
      <c r="B376" s="123"/>
      <c r="C376" s="131" t="str">
        <f t="shared" si="7285"/>
        <v>0 days</v>
      </c>
      <c r="D376" s="13" t="str">
        <f>A$329&amp;" "&amp;A372</f>
        <v>12. FDS Release 4 12.8 FDS Release 4 - UK &amp; IRE Regression testing</v>
      </c>
      <c r="E376" s="51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  <c r="AL376" s="36"/>
      <c r="AM376" s="36"/>
      <c r="AN376" s="36"/>
      <c r="AO376" s="36"/>
      <c r="AP376" s="36"/>
      <c r="AQ376" s="36"/>
      <c r="AR376" s="36"/>
      <c r="AS376" s="35"/>
      <c r="AT376" s="35"/>
      <c r="AU376" s="35"/>
      <c r="AV376" s="35"/>
      <c r="AW376" s="35"/>
      <c r="AX376" s="35"/>
      <c r="AY376" s="35"/>
      <c r="AZ376" s="35"/>
      <c r="BA376" s="35"/>
      <c r="BB376" s="35"/>
      <c r="BC376" s="35"/>
      <c r="BD376" s="35"/>
      <c r="BE376" s="35"/>
      <c r="BF376" s="35"/>
      <c r="BG376" s="35"/>
      <c r="BH376" s="35"/>
      <c r="BI376" s="35"/>
      <c r="BJ376" s="35"/>
      <c r="BK376" s="35"/>
      <c r="BL376" s="35"/>
      <c r="BM376" s="35"/>
      <c r="BN376" s="35"/>
      <c r="BO376" s="35"/>
      <c r="BP376" s="35"/>
      <c r="BQ376" s="35"/>
      <c r="BR376" s="35"/>
      <c r="BS376" s="35"/>
      <c r="BT376" s="35"/>
      <c r="BU376" s="35"/>
      <c r="BV376" s="35"/>
      <c r="BW376" s="35"/>
      <c r="BX376" s="35"/>
      <c r="BY376" s="35"/>
      <c r="BZ376" s="35"/>
      <c r="CA376" s="35"/>
      <c r="CB376" s="35"/>
      <c r="CC376" s="35"/>
      <c r="CD376" s="35"/>
      <c r="CE376" s="35"/>
      <c r="CF376" s="35"/>
      <c r="CG376" s="35"/>
      <c r="CH376" s="35"/>
      <c r="CI376" s="35"/>
      <c r="CJ376" s="35"/>
      <c r="CK376" s="35"/>
      <c r="CL376" s="35"/>
      <c r="CM376" s="35"/>
      <c r="CN376" s="35"/>
      <c r="CO376" s="35"/>
      <c r="CP376" s="35"/>
      <c r="CQ376" s="35"/>
      <c r="CR376" s="35"/>
      <c r="CS376" s="35"/>
      <c r="CT376" s="36"/>
      <c r="CU376" s="35"/>
      <c r="CV376" s="35"/>
      <c r="CW376" s="35"/>
      <c r="CX376" s="35"/>
      <c r="CY376" s="35"/>
      <c r="CZ376" s="36"/>
      <c r="DA376" s="36"/>
      <c r="DB376" s="35"/>
      <c r="DC376" s="35"/>
      <c r="DD376" s="35"/>
      <c r="DE376" s="35"/>
      <c r="DF376" s="35"/>
      <c r="DG376" s="35"/>
      <c r="DH376" s="35"/>
      <c r="DI376" s="35"/>
      <c r="DJ376" s="35"/>
      <c r="DK376" s="35"/>
      <c r="DL376" s="35"/>
      <c r="DM376" s="35"/>
      <c r="DN376" s="35"/>
      <c r="DO376" s="35"/>
      <c r="DP376" s="35"/>
      <c r="DQ376" s="35"/>
      <c r="DR376" s="35"/>
      <c r="DS376" s="35"/>
      <c r="DT376" s="35"/>
      <c r="DU376" s="35"/>
      <c r="DV376" s="35"/>
      <c r="DW376" s="35"/>
      <c r="DX376" s="35"/>
      <c r="DY376" s="35"/>
      <c r="DZ376" s="36"/>
      <c r="EA376" s="35"/>
      <c r="EB376" s="35"/>
      <c r="EC376" s="35"/>
      <c r="ED376" s="35"/>
      <c r="EE376" s="35"/>
      <c r="EF376" s="35"/>
      <c r="EG376" s="35"/>
      <c r="EH376" s="35"/>
      <c r="EI376" s="35"/>
      <c r="EJ376" s="35"/>
      <c r="EK376" s="35"/>
      <c r="EL376" s="35"/>
      <c r="EM376" s="35"/>
      <c r="EN376" s="35"/>
      <c r="EO376" s="35"/>
      <c r="EP376" s="35"/>
      <c r="EQ376" s="35"/>
      <c r="ER376" s="35"/>
      <c r="ES376" s="35"/>
      <c r="ET376" s="35"/>
      <c r="EU376" s="35"/>
      <c r="EV376" s="35"/>
      <c r="EW376" s="35"/>
      <c r="EX376" s="35"/>
      <c r="EY376" s="36"/>
      <c r="EZ376" s="35"/>
      <c r="FA376" s="35"/>
      <c r="FB376" s="35"/>
      <c r="FC376" s="35"/>
      <c r="FD376" s="35"/>
      <c r="FE376" s="35"/>
      <c r="FF376" s="35"/>
      <c r="FG376" s="35"/>
      <c r="FH376" s="35"/>
      <c r="FI376" s="35"/>
      <c r="FJ376" s="35"/>
      <c r="FK376" s="35"/>
      <c r="FL376" s="35"/>
      <c r="FM376" s="35"/>
      <c r="FN376" s="35"/>
      <c r="FO376" s="35"/>
      <c r="FP376" s="35"/>
      <c r="FQ376" s="52"/>
      <c r="FS376" s="9" t="s">
        <v>13</v>
      </c>
      <c r="FT376" s="9" t="str">
        <f t="shared" si="6597"/>
        <v>12. FDS Release 4 12.8 FDS Release 4 - UK &amp; IRE Regression testing</v>
      </c>
    </row>
    <row r="377" spans="1:176" ht="12" hidden="1" customHeight="1" outlineLevel="1">
      <c r="A377" s="122"/>
      <c r="B377" s="123"/>
      <c r="C377" s="131" t="str">
        <f t="shared" si="7285"/>
        <v>0 days</v>
      </c>
      <c r="D377" s="13" t="str">
        <f>A$329&amp;" "&amp;A372</f>
        <v>12. FDS Release 4 12.8 FDS Release 4 - UK &amp; IRE Regression testing</v>
      </c>
      <c r="E377" s="51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  <c r="AL377" s="36"/>
      <c r="AM377" s="36"/>
      <c r="AN377" s="36"/>
      <c r="AO377" s="36"/>
      <c r="AP377" s="36"/>
      <c r="AQ377" s="36"/>
      <c r="AR377" s="36"/>
      <c r="AS377" s="35"/>
      <c r="AT377" s="35"/>
      <c r="AU377" s="35"/>
      <c r="AV377" s="35"/>
      <c r="AW377" s="35"/>
      <c r="AX377" s="35"/>
      <c r="AY377" s="35"/>
      <c r="AZ377" s="35"/>
      <c r="BA377" s="35"/>
      <c r="BB377" s="35"/>
      <c r="BC377" s="35"/>
      <c r="BD377" s="35"/>
      <c r="BE377" s="35"/>
      <c r="BF377" s="35"/>
      <c r="BG377" s="35"/>
      <c r="BH377" s="35"/>
      <c r="BI377" s="35"/>
      <c r="BJ377" s="35"/>
      <c r="BK377" s="35"/>
      <c r="BL377" s="35"/>
      <c r="BM377" s="35"/>
      <c r="BN377" s="35"/>
      <c r="BO377" s="35"/>
      <c r="BP377" s="35"/>
      <c r="BQ377" s="35"/>
      <c r="BR377" s="35"/>
      <c r="BS377" s="35"/>
      <c r="BT377" s="35"/>
      <c r="BU377" s="35"/>
      <c r="BV377" s="35"/>
      <c r="BW377" s="35"/>
      <c r="BX377" s="35"/>
      <c r="BY377" s="35"/>
      <c r="BZ377" s="35"/>
      <c r="CA377" s="35"/>
      <c r="CB377" s="35"/>
      <c r="CC377" s="35"/>
      <c r="CD377" s="35"/>
      <c r="CE377" s="35"/>
      <c r="CF377" s="35"/>
      <c r="CG377" s="35"/>
      <c r="CH377" s="35"/>
      <c r="CI377" s="35"/>
      <c r="CJ377" s="35"/>
      <c r="CK377" s="35"/>
      <c r="CL377" s="35"/>
      <c r="CM377" s="35"/>
      <c r="CN377" s="35"/>
      <c r="CO377" s="35"/>
      <c r="CP377" s="35"/>
      <c r="CQ377" s="35"/>
      <c r="CR377" s="35"/>
      <c r="CS377" s="35"/>
      <c r="CT377" s="36"/>
      <c r="CU377" s="35"/>
      <c r="CV377" s="35"/>
      <c r="CW377" s="35"/>
      <c r="CX377" s="35"/>
      <c r="CY377" s="35"/>
      <c r="CZ377" s="36"/>
      <c r="DA377" s="36"/>
      <c r="DB377" s="35"/>
      <c r="DC377" s="35"/>
      <c r="DD377" s="35"/>
      <c r="DE377" s="35"/>
      <c r="DF377" s="35"/>
      <c r="DG377" s="35"/>
      <c r="DH377" s="35"/>
      <c r="DI377" s="35"/>
      <c r="DJ377" s="35"/>
      <c r="DK377" s="35"/>
      <c r="DL377" s="35"/>
      <c r="DM377" s="35"/>
      <c r="DN377" s="35"/>
      <c r="DO377" s="35"/>
      <c r="DP377" s="35"/>
      <c r="DQ377" s="35"/>
      <c r="DR377" s="35"/>
      <c r="DS377" s="35"/>
      <c r="DT377" s="35"/>
      <c r="DU377" s="35"/>
      <c r="DV377" s="35"/>
      <c r="DW377" s="35"/>
      <c r="DX377" s="35"/>
      <c r="DY377" s="35"/>
      <c r="DZ377" s="36"/>
      <c r="EA377" s="35"/>
      <c r="EB377" s="35"/>
      <c r="EC377" s="35"/>
      <c r="ED377" s="35"/>
      <c r="EE377" s="35"/>
      <c r="EF377" s="35"/>
      <c r="EG377" s="35"/>
      <c r="EH377" s="35"/>
      <c r="EI377" s="35"/>
      <c r="EJ377" s="35"/>
      <c r="EK377" s="35"/>
      <c r="EL377" s="35"/>
      <c r="EM377" s="35"/>
      <c r="EN377" s="35"/>
      <c r="EO377" s="35"/>
      <c r="EP377" s="35"/>
      <c r="EQ377" s="35"/>
      <c r="ER377" s="35"/>
      <c r="ES377" s="35"/>
      <c r="ET377" s="35"/>
      <c r="EU377" s="35"/>
      <c r="EV377" s="35"/>
      <c r="EW377" s="35"/>
      <c r="EX377" s="35"/>
      <c r="EY377" s="36"/>
      <c r="EZ377" s="35"/>
      <c r="FA377" s="35"/>
      <c r="FB377" s="35"/>
      <c r="FC377" s="35"/>
      <c r="FD377" s="35"/>
      <c r="FE377" s="35"/>
      <c r="FF377" s="35"/>
      <c r="FG377" s="35"/>
      <c r="FH377" s="35"/>
      <c r="FI377" s="35"/>
      <c r="FJ377" s="35"/>
      <c r="FK377" s="35"/>
      <c r="FL377" s="35"/>
      <c r="FM377" s="35"/>
      <c r="FN377" s="35"/>
      <c r="FO377" s="35"/>
      <c r="FP377" s="35"/>
      <c r="FQ377" s="52"/>
      <c r="FS377" s="9" t="s">
        <v>13</v>
      </c>
      <c r="FT377" s="9" t="str">
        <f t="shared" si="6597"/>
        <v>12. FDS Release 4 12.8 FDS Release 4 - UK &amp; IRE Regression testing</v>
      </c>
    </row>
    <row r="378" spans="1:176" ht="12" customHeight="1" collapsed="1">
      <c r="A378" s="119" t="s">
        <v>116</v>
      </c>
      <c r="B378" s="127"/>
      <c r="C378" s="128" t="str">
        <f>ROUND(SUM(E378:FQ378),0) &amp; " days"</f>
        <v>1 days</v>
      </c>
      <c r="D378" s="37"/>
      <c r="E378" s="91" t="str">
        <f t="shared" ref="E378:BP378" si="7286">IF(SUBTOTAL(9,E379:E383)&gt;0,SUBTOTAL(9,E379:E383),"")</f>
        <v/>
      </c>
      <c r="F378" s="34" t="str">
        <f t="shared" si="7286"/>
        <v/>
      </c>
      <c r="G378" s="34" t="str">
        <f t="shared" si="7286"/>
        <v/>
      </c>
      <c r="H378" s="34" t="str">
        <f t="shared" si="7286"/>
        <v/>
      </c>
      <c r="I378" s="34" t="str">
        <f t="shared" si="7286"/>
        <v/>
      </c>
      <c r="J378" s="34" t="str">
        <f t="shared" si="7286"/>
        <v/>
      </c>
      <c r="K378" s="34" t="str">
        <f t="shared" si="7286"/>
        <v/>
      </c>
      <c r="L378" s="34" t="str">
        <f t="shared" si="7286"/>
        <v/>
      </c>
      <c r="M378" s="34" t="str">
        <f t="shared" si="7286"/>
        <v/>
      </c>
      <c r="N378" s="34" t="str">
        <f t="shared" si="7286"/>
        <v/>
      </c>
      <c r="O378" s="34" t="str">
        <f t="shared" si="7286"/>
        <v/>
      </c>
      <c r="P378" s="34" t="str">
        <f t="shared" si="7286"/>
        <v/>
      </c>
      <c r="Q378" s="34" t="str">
        <f t="shared" si="7286"/>
        <v/>
      </c>
      <c r="R378" s="34" t="str">
        <f t="shared" si="7286"/>
        <v/>
      </c>
      <c r="S378" s="34" t="str">
        <f t="shared" si="7286"/>
        <v/>
      </c>
      <c r="T378" s="34" t="str">
        <f t="shared" si="7286"/>
        <v/>
      </c>
      <c r="U378" s="34" t="str">
        <f t="shared" si="7286"/>
        <v/>
      </c>
      <c r="V378" s="34" t="str">
        <f t="shared" si="7286"/>
        <v/>
      </c>
      <c r="W378" s="34" t="str">
        <f t="shared" si="7286"/>
        <v/>
      </c>
      <c r="X378" s="34" t="str">
        <f t="shared" si="7286"/>
        <v/>
      </c>
      <c r="Y378" s="34" t="str">
        <f t="shared" si="7286"/>
        <v/>
      </c>
      <c r="Z378" s="34" t="str">
        <f t="shared" si="7286"/>
        <v/>
      </c>
      <c r="AA378" s="34" t="str">
        <f t="shared" si="7286"/>
        <v/>
      </c>
      <c r="AB378" s="34" t="str">
        <f t="shared" si="7286"/>
        <v/>
      </c>
      <c r="AC378" s="34" t="str">
        <f t="shared" si="7286"/>
        <v/>
      </c>
      <c r="AD378" s="34" t="str">
        <f t="shared" si="7286"/>
        <v/>
      </c>
      <c r="AE378" s="34" t="str">
        <f t="shared" si="7286"/>
        <v/>
      </c>
      <c r="AF378" s="34" t="str">
        <f t="shared" si="7286"/>
        <v/>
      </c>
      <c r="AG378" s="34" t="str">
        <f t="shared" si="7286"/>
        <v/>
      </c>
      <c r="AH378" s="34" t="str">
        <f t="shared" si="7286"/>
        <v/>
      </c>
      <c r="AI378" s="34" t="str">
        <f t="shared" si="7286"/>
        <v/>
      </c>
      <c r="AJ378" s="34" t="str">
        <f t="shared" si="7286"/>
        <v/>
      </c>
      <c r="AK378" s="34" t="str">
        <f t="shared" si="7286"/>
        <v/>
      </c>
      <c r="AL378" s="33" t="str">
        <f t="shared" si="7286"/>
        <v/>
      </c>
      <c r="AM378" s="33" t="str">
        <f t="shared" si="7286"/>
        <v/>
      </c>
      <c r="AN378" s="33" t="str">
        <f t="shared" si="7286"/>
        <v/>
      </c>
      <c r="AO378" s="33" t="str">
        <f t="shared" si="7286"/>
        <v/>
      </c>
      <c r="AP378" s="33" t="str">
        <f t="shared" si="7286"/>
        <v/>
      </c>
      <c r="AQ378" s="33" t="str">
        <f t="shared" si="7286"/>
        <v/>
      </c>
      <c r="AR378" s="33" t="str">
        <f t="shared" si="7286"/>
        <v/>
      </c>
      <c r="AS378" s="34" t="str">
        <f t="shared" si="7286"/>
        <v/>
      </c>
      <c r="AT378" s="34" t="str">
        <f t="shared" si="7286"/>
        <v/>
      </c>
      <c r="AU378" s="34" t="str">
        <f t="shared" si="7286"/>
        <v/>
      </c>
      <c r="AV378" s="34" t="str">
        <f t="shared" si="7286"/>
        <v/>
      </c>
      <c r="AW378" s="34" t="str">
        <f t="shared" si="7286"/>
        <v/>
      </c>
      <c r="AX378" s="34" t="str">
        <f t="shared" si="7286"/>
        <v/>
      </c>
      <c r="AY378" s="34" t="str">
        <f t="shared" si="7286"/>
        <v/>
      </c>
      <c r="AZ378" s="34" t="str">
        <f t="shared" si="7286"/>
        <v/>
      </c>
      <c r="BA378" s="34" t="str">
        <f t="shared" si="7286"/>
        <v/>
      </c>
      <c r="BB378" s="34" t="str">
        <f t="shared" si="7286"/>
        <v/>
      </c>
      <c r="BC378" s="34" t="str">
        <f t="shared" si="7286"/>
        <v/>
      </c>
      <c r="BD378" s="34" t="str">
        <f t="shared" si="7286"/>
        <v/>
      </c>
      <c r="BE378" s="34" t="str">
        <f t="shared" si="7286"/>
        <v/>
      </c>
      <c r="BF378" s="34" t="str">
        <f t="shared" si="7286"/>
        <v/>
      </c>
      <c r="BG378" s="34" t="str">
        <f t="shared" si="7286"/>
        <v/>
      </c>
      <c r="BH378" s="34">
        <f t="shared" si="7286"/>
        <v>0.4</v>
      </c>
      <c r="BI378" s="34">
        <f t="shared" si="7286"/>
        <v>0.15</v>
      </c>
      <c r="BJ378" s="34">
        <f t="shared" si="7286"/>
        <v>0.15</v>
      </c>
      <c r="BK378" s="34" t="str">
        <f t="shared" si="7286"/>
        <v/>
      </c>
      <c r="BL378" s="34" t="str">
        <f t="shared" si="7286"/>
        <v/>
      </c>
      <c r="BM378" s="34" t="str">
        <f t="shared" si="7286"/>
        <v/>
      </c>
      <c r="BN378" s="34" t="str">
        <f t="shared" si="7286"/>
        <v/>
      </c>
      <c r="BO378" s="34" t="str">
        <f t="shared" si="7286"/>
        <v/>
      </c>
      <c r="BP378" s="34" t="str">
        <f t="shared" si="7286"/>
        <v/>
      </c>
      <c r="BQ378" s="34" t="str">
        <f t="shared" ref="BQ378:EB378" si="7287">IF(SUBTOTAL(9,BQ379:BQ383)&gt;0,SUBTOTAL(9,BQ379:BQ383),"")</f>
        <v/>
      </c>
      <c r="BR378" s="34" t="str">
        <f t="shared" si="7287"/>
        <v/>
      </c>
      <c r="BS378" s="34" t="str">
        <f t="shared" si="7287"/>
        <v/>
      </c>
      <c r="BT378" s="34" t="str">
        <f t="shared" si="7287"/>
        <v/>
      </c>
      <c r="BU378" s="34" t="str">
        <f t="shared" si="7287"/>
        <v/>
      </c>
      <c r="BV378" s="34" t="str">
        <f t="shared" si="7287"/>
        <v/>
      </c>
      <c r="BW378" s="34" t="str">
        <f t="shared" si="7287"/>
        <v/>
      </c>
      <c r="BX378" s="34" t="str">
        <f t="shared" si="7287"/>
        <v/>
      </c>
      <c r="BY378" s="34" t="str">
        <f t="shared" si="7287"/>
        <v/>
      </c>
      <c r="BZ378" s="34" t="str">
        <f t="shared" si="7287"/>
        <v/>
      </c>
      <c r="CA378" s="34" t="str">
        <f t="shared" si="7287"/>
        <v/>
      </c>
      <c r="CB378" s="34" t="str">
        <f t="shared" si="7287"/>
        <v/>
      </c>
      <c r="CC378" s="34" t="str">
        <f t="shared" si="7287"/>
        <v/>
      </c>
      <c r="CD378" s="34" t="str">
        <f t="shared" si="7287"/>
        <v/>
      </c>
      <c r="CE378" s="34" t="str">
        <f t="shared" si="7287"/>
        <v/>
      </c>
      <c r="CF378" s="34" t="str">
        <f t="shared" si="7287"/>
        <v/>
      </c>
      <c r="CG378" s="34" t="str">
        <f t="shared" si="7287"/>
        <v/>
      </c>
      <c r="CH378" s="34" t="str">
        <f t="shared" si="7287"/>
        <v/>
      </c>
      <c r="CI378" s="34" t="str">
        <f t="shared" si="7287"/>
        <v/>
      </c>
      <c r="CJ378" s="34" t="str">
        <f t="shared" si="7287"/>
        <v/>
      </c>
      <c r="CK378" s="34" t="str">
        <f t="shared" si="7287"/>
        <v/>
      </c>
      <c r="CL378" s="34" t="str">
        <f t="shared" si="7287"/>
        <v/>
      </c>
      <c r="CM378" s="34" t="str">
        <f t="shared" si="7287"/>
        <v/>
      </c>
      <c r="CN378" s="34" t="str">
        <f t="shared" si="7287"/>
        <v/>
      </c>
      <c r="CO378" s="34" t="str">
        <f t="shared" si="7287"/>
        <v/>
      </c>
      <c r="CP378" s="34" t="str">
        <f t="shared" si="7287"/>
        <v/>
      </c>
      <c r="CQ378" s="34" t="str">
        <f t="shared" si="7287"/>
        <v/>
      </c>
      <c r="CR378" s="34" t="str">
        <f t="shared" si="7287"/>
        <v/>
      </c>
      <c r="CS378" s="34" t="str">
        <f t="shared" si="7287"/>
        <v/>
      </c>
      <c r="CT378" s="33" t="str">
        <f t="shared" si="7287"/>
        <v/>
      </c>
      <c r="CU378" s="34" t="str">
        <f t="shared" si="7287"/>
        <v/>
      </c>
      <c r="CV378" s="34" t="str">
        <f t="shared" si="7287"/>
        <v/>
      </c>
      <c r="CW378" s="34" t="str">
        <f t="shared" si="7287"/>
        <v/>
      </c>
      <c r="CX378" s="34" t="str">
        <f t="shared" si="7287"/>
        <v/>
      </c>
      <c r="CY378" s="34" t="str">
        <f t="shared" si="7287"/>
        <v/>
      </c>
      <c r="CZ378" s="33" t="str">
        <f t="shared" si="7287"/>
        <v/>
      </c>
      <c r="DA378" s="33" t="str">
        <f t="shared" si="7287"/>
        <v/>
      </c>
      <c r="DB378" s="34" t="str">
        <f t="shared" si="7287"/>
        <v/>
      </c>
      <c r="DC378" s="34" t="str">
        <f t="shared" si="7287"/>
        <v/>
      </c>
      <c r="DD378" s="34" t="str">
        <f t="shared" si="7287"/>
        <v/>
      </c>
      <c r="DE378" s="34" t="str">
        <f t="shared" si="7287"/>
        <v/>
      </c>
      <c r="DF378" s="34" t="str">
        <f t="shared" si="7287"/>
        <v/>
      </c>
      <c r="DG378" s="34" t="str">
        <f t="shared" si="7287"/>
        <v/>
      </c>
      <c r="DH378" s="34" t="str">
        <f t="shared" si="7287"/>
        <v/>
      </c>
      <c r="DI378" s="34" t="str">
        <f t="shared" si="7287"/>
        <v/>
      </c>
      <c r="DJ378" s="34" t="str">
        <f t="shared" si="7287"/>
        <v/>
      </c>
      <c r="DK378" s="34" t="str">
        <f t="shared" si="7287"/>
        <v/>
      </c>
      <c r="DL378" s="34" t="str">
        <f t="shared" si="7287"/>
        <v/>
      </c>
      <c r="DM378" s="34" t="str">
        <f t="shared" si="7287"/>
        <v/>
      </c>
      <c r="DN378" s="34" t="str">
        <f t="shared" si="7287"/>
        <v/>
      </c>
      <c r="DO378" s="34" t="str">
        <f t="shared" si="7287"/>
        <v/>
      </c>
      <c r="DP378" s="34" t="str">
        <f t="shared" si="7287"/>
        <v/>
      </c>
      <c r="DQ378" s="34" t="str">
        <f t="shared" si="7287"/>
        <v/>
      </c>
      <c r="DR378" s="34" t="str">
        <f t="shared" si="7287"/>
        <v/>
      </c>
      <c r="DS378" s="34" t="str">
        <f t="shared" si="7287"/>
        <v/>
      </c>
      <c r="DT378" s="34" t="str">
        <f t="shared" si="7287"/>
        <v/>
      </c>
      <c r="DU378" s="34" t="str">
        <f t="shared" si="7287"/>
        <v/>
      </c>
      <c r="DV378" s="34" t="str">
        <f t="shared" si="7287"/>
        <v/>
      </c>
      <c r="DW378" s="34" t="str">
        <f t="shared" si="7287"/>
        <v/>
      </c>
      <c r="DX378" s="34" t="str">
        <f t="shared" si="7287"/>
        <v/>
      </c>
      <c r="DY378" s="34" t="str">
        <f t="shared" si="7287"/>
        <v/>
      </c>
      <c r="DZ378" s="33" t="str">
        <f t="shared" si="7287"/>
        <v/>
      </c>
      <c r="EA378" s="34" t="str">
        <f t="shared" si="7287"/>
        <v/>
      </c>
      <c r="EB378" s="34" t="str">
        <f t="shared" si="7287"/>
        <v/>
      </c>
      <c r="EC378" s="34" t="str">
        <f t="shared" ref="EC378:FQ378" si="7288">IF(SUBTOTAL(9,EC379:EC383)&gt;0,SUBTOTAL(9,EC379:EC383),"")</f>
        <v/>
      </c>
      <c r="ED378" s="34" t="str">
        <f t="shared" si="7288"/>
        <v/>
      </c>
      <c r="EE378" s="34" t="str">
        <f t="shared" si="7288"/>
        <v/>
      </c>
      <c r="EF378" s="34" t="str">
        <f t="shared" si="7288"/>
        <v/>
      </c>
      <c r="EG378" s="34" t="str">
        <f t="shared" si="7288"/>
        <v/>
      </c>
      <c r="EH378" s="34" t="str">
        <f t="shared" si="7288"/>
        <v/>
      </c>
      <c r="EI378" s="34" t="str">
        <f t="shared" si="7288"/>
        <v/>
      </c>
      <c r="EJ378" s="34" t="str">
        <f t="shared" si="7288"/>
        <v/>
      </c>
      <c r="EK378" s="34" t="str">
        <f t="shared" si="7288"/>
        <v/>
      </c>
      <c r="EL378" s="34" t="str">
        <f t="shared" si="7288"/>
        <v/>
      </c>
      <c r="EM378" s="34" t="str">
        <f t="shared" si="7288"/>
        <v/>
      </c>
      <c r="EN378" s="34" t="str">
        <f t="shared" si="7288"/>
        <v/>
      </c>
      <c r="EO378" s="34" t="str">
        <f t="shared" si="7288"/>
        <v/>
      </c>
      <c r="EP378" s="34" t="str">
        <f t="shared" si="7288"/>
        <v/>
      </c>
      <c r="EQ378" s="34" t="str">
        <f t="shared" si="7288"/>
        <v/>
      </c>
      <c r="ER378" s="34" t="str">
        <f t="shared" si="7288"/>
        <v/>
      </c>
      <c r="ES378" s="34" t="str">
        <f t="shared" si="7288"/>
        <v/>
      </c>
      <c r="ET378" s="34" t="str">
        <f t="shared" si="7288"/>
        <v/>
      </c>
      <c r="EU378" s="34" t="str">
        <f t="shared" si="7288"/>
        <v/>
      </c>
      <c r="EV378" s="34" t="str">
        <f t="shared" si="7288"/>
        <v/>
      </c>
      <c r="EW378" s="34" t="str">
        <f t="shared" si="7288"/>
        <v/>
      </c>
      <c r="EX378" s="34" t="str">
        <f t="shared" si="7288"/>
        <v/>
      </c>
      <c r="EY378" s="33" t="str">
        <f t="shared" si="7288"/>
        <v/>
      </c>
      <c r="EZ378" s="34" t="str">
        <f t="shared" si="7288"/>
        <v/>
      </c>
      <c r="FA378" s="34" t="str">
        <f t="shared" si="7288"/>
        <v/>
      </c>
      <c r="FB378" s="34" t="str">
        <f t="shared" si="7288"/>
        <v/>
      </c>
      <c r="FC378" s="34" t="str">
        <f t="shared" si="7288"/>
        <v/>
      </c>
      <c r="FD378" s="34" t="str">
        <f t="shared" si="7288"/>
        <v/>
      </c>
      <c r="FE378" s="34" t="str">
        <f t="shared" si="7288"/>
        <v/>
      </c>
      <c r="FF378" s="34" t="str">
        <f t="shared" si="7288"/>
        <v/>
      </c>
      <c r="FG378" s="34" t="str">
        <f t="shared" si="7288"/>
        <v/>
      </c>
      <c r="FH378" s="34" t="str">
        <f t="shared" si="7288"/>
        <v/>
      </c>
      <c r="FI378" s="34" t="str">
        <f t="shared" si="7288"/>
        <v/>
      </c>
      <c r="FJ378" s="34" t="str">
        <f t="shared" si="7288"/>
        <v/>
      </c>
      <c r="FK378" s="34" t="str">
        <f t="shared" si="7288"/>
        <v/>
      </c>
      <c r="FL378" s="34" t="str">
        <f t="shared" si="7288"/>
        <v/>
      </c>
      <c r="FM378" s="34" t="str">
        <f t="shared" si="7288"/>
        <v/>
      </c>
      <c r="FN378" s="34" t="str">
        <f t="shared" si="7288"/>
        <v/>
      </c>
      <c r="FO378" s="34" t="str">
        <f t="shared" si="7288"/>
        <v/>
      </c>
      <c r="FP378" s="34" t="str">
        <f t="shared" si="7288"/>
        <v/>
      </c>
      <c r="FQ378" s="92" t="str">
        <f t="shared" si="7288"/>
        <v/>
      </c>
      <c r="FS378" s="9" t="s">
        <v>131</v>
      </c>
      <c r="FT378" s="9" t="str">
        <f t="shared" si="6597"/>
        <v/>
      </c>
    </row>
    <row r="379" spans="1:176" ht="12" hidden="1" customHeight="1" outlineLevel="1">
      <c r="A379" s="122" t="s">
        <v>188</v>
      </c>
      <c r="B379" s="130" t="s">
        <v>10</v>
      </c>
      <c r="C379" s="131" t="str">
        <f t="shared" ref="C379:C383" si="7289">ROUND(SUM(E379:FQ379),0) &amp; " days"</f>
        <v>1 days</v>
      </c>
      <c r="D379" s="101" t="str">
        <f>A$329&amp;" "&amp;A378</f>
        <v xml:space="preserve">12. FDS Release 4 12.9 FDS Release 4 - Sign off for go live </v>
      </c>
      <c r="E379" s="51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  <c r="AL379" s="36"/>
      <c r="AM379" s="36"/>
      <c r="AN379" s="36"/>
      <c r="AO379" s="36"/>
      <c r="AP379" s="36"/>
      <c r="AQ379" s="36"/>
      <c r="AR379" s="36"/>
      <c r="AS379" s="35"/>
      <c r="AT379" s="35"/>
      <c r="AU379" s="35"/>
      <c r="AV379" s="35"/>
      <c r="AW379" s="35"/>
      <c r="AX379" s="35"/>
      <c r="AY379" s="35"/>
      <c r="AZ379" s="35"/>
      <c r="BA379" s="35"/>
      <c r="BB379" s="35"/>
      <c r="BC379" s="35"/>
      <c r="BD379" s="35"/>
      <c r="BE379" s="35"/>
      <c r="BF379" s="35"/>
      <c r="BG379" s="35"/>
      <c r="BH379" s="35">
        <v>0.4</v>
      </c>
      <c r="BI379" s="35">
        <v>0.15</v>
      </c>
      <c r="BJ379" s="35">
        <v>0.15</v>
      </c>
      <c r="BK379" s="35"/>
      <c r="BL379" s="35"/>
      <c r="BM379" s="35"/>
      <c r="BN379" s="35"/>
      <c r="BO379" s="35"/>
      <c r="BP379" s="35"/>
      <c r="BQ379" s="35"/>
      <c r="BR379" s="35"/>
      <c r="BS379" s="35"/>
      <c r="BT379" s="35"/>
      <c r="BU379" s="35"/>
      <c r="BV379" s="35"/>
      <c r="BW379" s="35"/>
      <c r="BX379" s="35"/>
      <c r="BY379" s="35"/>
      <c r="BZ379" s="35"/>
      <c r="CA379" s="35"/>
      <c r="CB379" s="35"/>
      <c r="CC379" s="35"/>
      <c r="CD379" s="35"/>
      <c r="CE379" s="35"/>
      <c r="CF379" s="35"/>
      <c r="CG379" s="35"/>
      <c r="CH379" s="35"/>
      <c r="CI379" s="35"/>
      <c r="CJ379" s="35"/>
      <c r="CK379" s="35"/>
      <c r="CL379" s="35"/>
      <c r="CM379" s="35"/>
      <c r="CN379" s="35"/>
      <c r="CO379" s="35"/>
      <c r="CP379" s="35"/>
      <c r="CQ379" s="35"/>
      <c r="CR379" s="35"/>
      <c r="CS379" s="35"/>
      <c r="CT379" s="36"/>
      <c r="CU379" s="35"/>
      <c r="CV379" s="35"/>
      <c r="CW379" s="35"/>
      <c r="CX379" s="35"/>
      <c r="CY379" s="35"/>
      <c r="CZ379" s="36"/>
      <c r="DA379" s="36"/>
      <c r="DB379" s="35"/>
      <c r="DC379" s="35"/>
      <c r="DD379" s="35"/>
      <c r="DE379" s="35"/>
      <c r="DF379" s="35"/>
      <c r="DG379" s="35"/>
      <c r="DH379" s="35"/>
      <c r="DI379" s="35"/>
      <c r="DJ379" s="35"/>
      <c r="DK379" s="35"/>
      <c r="DL379" s="35"/>
      <c r="DM379" s="35"/>
      <c r="DN379" s="35"/>
      <c r="DO379" s="35"/>
      <c r="DP379" s="35"/>
      <c r="DQ379" s="35"/>
      <c r="DR379" s="35"/>
      <c r="DS379" s="35"/>
      <c r="DT379" s="35"/>
      <c r="DU379" s="35"/>
      <c r="DV379" s="35"/>
      <c r="DW379" s="35"/>
      <c r="DX379" s="35"/>
      <c r="DY379" s="35"/>
      <c r="DZ379" s="36"/>
      <c r="EA379" s="35"/>
      <c r="EB379" s="35"/>
      <c r="EC379" s="35"/>
      <c r="ED379" s="35"/>
      <c r="EE379" s="35"/>
      <c r="EF379" s="35"/>
      <c r="EG379" s="35"/>
      <c r="EH379" s="35"/>
      <c r="EI379" s="35"/>
      <c r="EJ379" s="35"/>
      <c r="EK379" s="35"/>
      <c r="EL379" s="35"/>
      <c r="EM379" s="35"/>
      <c r="EN379" s="35"/>
      <c r="EO379" s="35"/>
      <c r="EP379" s="35"/>
      <c r="EQ379" s="35"/>
      <c r="ER379" s="35"/>
      <c r="ES379" s="35"/>
      <c r="ET379" s="35"/>
      <c r="EU379" s="35"/>
      <c r="EV379" s="35"/>
      <c r="EW379" s="35"/>
      <c r="EX379" s="35"/>
      <c r="EY379" s="36"/>
      <c r="EZ379" s="35"/>
      <c r="FA379" s="35"/>
      <c r="FB379" s="35"/>
      <c r="FC379" s="35"/>
      <c r="FD379" s="35"/>
      <c r="FE379" s="35"/>
      <c r="FF379" s="35"/>
      <c r="FG379" s="35"/>
      <c r="FH379" s="35"/>
      <c r="FI379" s="35"/>
      <c r="FJ379" s="35"/>
      <c r="FK379" s="35"/>
      <c r="FL379" s="35"/>
      <c r="FM379" s="35"/>
      <c r="FN379" s="35"/>
      <c r="FO379" s="35"/>
      <c r="FP379" s="35"/>
      <c r="FQ379" s="52"/>
      <c r="FS379" s="9" t="s">
        <v>13</v>
      </c>
      <c r="FT379" s="9" t="str">
        <f t="shared" si="6597"/>
        <v>12. FDS Release 4 12.9 FDS Release 4 - Sign off for go live Glenn Kirk</v>
      </c>
    </row>
    <row r="380" spans="1:176" ht="12" hidden="1" customHeight="1" outlineLevel="1">
      <c r="A380" s="122"/>
      <c r="B380" s="123"/>
      <c r="C380" s="131" t="str">
        <f t="shared" si="7289"/>
        <v>0 days</v>
      </c>
      <c r="D380" s="13" t="str">
        <f>A$329&amp;" "&amp;A378</f>
        <v xml:space="preserve">12. FDS Release 4 12.9 FDS Release 4 - Sign off for go live </v>
      </c>
      <c r="E380" s="51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  <c r="AL380" s="36"/>
      <c r="AM380" s="36"/>
      <c r="AN380" s="36"/>
      <c r="AO380" s="36"/>
      <c r="AP380" s="36"/>
      <c r="AQ380" s="36"/>
      <c r="AR380" s="36"/>
      <c r="AS380" s="35"/>
      <c r="AT380" s="35"/>
      <c r="AU380" s="35"/>
      <c r="AV380" s="35"/>
      <c r="AW380" s="35"/>
      <c r="AX380" s="35"/>
      <c r="AY380" s="35"/>
      <c r="AZ380" s="35"/>
      <c r="BA380" s="35"/>
      <c r="BB380" s="35"/>
      <c r="BC380" s="35"/>
      <c r="BD380" s="35"/>
      <c r="BE380" s="35"/>
      <c r="BF380" s="35"/>
      <c r="BG380" s="35"/>
      <c r="BH380" s="35"/>
      <c r="BI380" s="35"/>
      <c r="BJ380" s="35"/>
      <c r="BK380" s="35"/>
      <c r="BL380" s="35"/>
      <c r="BM380" s="35"/>
      <c r="BN380" s="35"/>
      <c r="BO380" s="35"/>
      <c r="BP380" s="35"/>
      <c r="BQ380" s="35"/>
      <c r="BR380" s="35"/>
      <c r="BS380" s="35"/>
      <c r="BT380" s="35"/>
      <c r="BU380" s="35"/>
      <c r="BV380" s="35"/>
      <c r="BW380" s="35"/>
      <c r="BX380" s="35"/>
      <c r="BY380" s="35"/>
      <c r="BZ380" s="35"/>
      <c r="CA380" s="35"/>
      <c r="CB380" s="35"/>
      <c r="CC380" s="35"/>
      <c r="CD380" s="35"/>
      <c r="CE380" s="35"/>
      <c r="CF380" s="35"/>
      <c r="CG380" s="35"/>
      <c r="CH380" s="35"/>
      <c r="CI380" s="35"/>
      <c r="CJ380" s="35"/>
      <c r="CK380" s="35"/>
      <c r="CL380" s="35"/>
      <c r="CM380" s="35"/>
      <c r="CN380" s="35"/>
      <c r="CO380" s="35"/>
      <c r="CP380" s="35"/>
      <c r="CQ380" s="35"/>
      <c r="CR380" s="35"/>
      <c r="CS380" s="35"/>
      <c r="CT380" s="36"/>
      <c r="CU380" s="35"/>
      <c r="CV380" s="35"/>
      <c r="CW380" s="35"/>
      <c r="CX380" s="35"/>
      <c r="CY380" s="35"/>
      <c r="CZ380" s="36"/>
      <c r="DA380" s="36"/>
      <c r="DB380" s="35"/>
      <c r="DC380" s="35"/>
      <c r="DD380" s="35"/>
      <c r="DE380" s="35"/>
      <c r="DF380" s="35"/>
      <c r="DG380" s="35"/>
      <c r="DH380" s="35"/>
      <c r="DI380" s="35"/>
      <c r="DJ380" s="35"/>
      <c r="DK380" s="35"/>
      <c r="DL380" s="35"/>
      <c r="DM380" s="35"/>
      <c r="DN380" s="35"/>
      <c r="DO380" s="35"/>
      <c r="DP380" s="35"/>
      <c r="DQ380" s="35"/>
      <c r="DR380" s="35"/>
      <c r="DS380" s="35"/>
      <c r="DT380" s="35"/>
      <c r="DU380" s="35"/>
      <c r="DV380" s="35"/>
      <c r="DW380" s="35"/>
      <c r="DX380" s="35"/>
      <c r="DY380" s="35"/>
      <c r="DZ380" s="36"/>
      <c r="EA380" s="35"/>
      <c r="EB380" s="35"/>
      <c r="EC380" s="35"/>
      <c r="ED380" s="35"/>
      <c r="EE380" s="35"/>
      <c r="EF380" s="35"/>
      <c r="EG380" s="35"/>
      <c r="EH380" s="35"/>
      <c r="EI380" s="35"/>
      <c r="EJ380" s="35"/>
      <c r="EK380" s="35"/>
      <c r="EL380" s="35"/>
      <c r="EM380" s="35"/>
      <c r="EN380" s="35"/>
      <c r="EO380" s="35"/>
      <c r="EP380" s="35"/>
      <c r="EQ380" s="35"/>
      <c r="ER380" s="35"/>
      <c r="ES380" s="35"/>
      <c r="ET380" s="35"/>
      <c r="EU380" s="35"/>
      <c r="EV380" s="35"/>
      <c r="EW380" s="35"/>
      <c r="EX380" s="35"/>
      <c r="EY380" s="36"/>
      <c r="EZ380" s="35"/>
      <c r="FA380" s="35"/>
      <c r="FB380" s="35"/>
      <c r="FC380" s="35"/>
      <c r="FD380" s="35"/>
      <c r="FE380" s="35"/>
      <c r="FF380" s="35"/>
      <c r="FG380" s="35"/>
      <c r="FH380" s="35"/>
      <c r="FI380" s="35"/>
      <c r="FJ380" s="35"/>
      <c r="FK380" s="35"/>
      <c r="FL380" s="35"/>
      <c r="FM380" s="35"/>
      <c r="FN380" s="35"/>
      <c r="FO380" s="35"/>
      <c r="FP380" s="35"/>
      <c r="FQ380" s="52"/>
      <c r="FS380" s="9" t="s">
        <v>13</v>
      </c>
      <c r="FT380" s="9" t="str">
        <f t="shared" si="6597"/>
        <v xml:space="preserve">12. FDS Release 4 12.9 FDS Release 4 - Sign off for go live </v>
      </c>
    </row>
    <row r="381" spans="1:176" ht="12" hidden="1" customHeight="1" outlineLevel="1">
      <c r="A381" s="122"/>
      <c r="B381" s="123"/>
      <c r="C381" s="131" t="str">
        <f t="shared" si="7289"/>
        <v>0 days</v>
      </c>
      <c r="D381" s="13" t="str">
        <f>A$329&amp;" "&amp;A378</f>
        <v xml:space="preserve">12. FDS Release 4 12.9 FDS Release 4 - Sign off for go live </v>
      </c>
      <c r="E381" s="51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  <c r="AL381" s="36"/>
      <c r="AM381" s="36"/>
      <c r="AN381" s="36"/>
      <c r="AO381" s="36"/>
      <c r="AP381" s="36"/>
      <c r="AQ381" s="36"/>
      <c r="AR381" s="36"/>
      <c r="AS381" s="35"/>
      <c r="AT381" s="35"/>
      <c r="AU381" s="35"/>
      <c r="AV381" s="35"/>
      <c r="AW381" s="35"/>
      <c r="AX381" s="35"/>
      <c r="AY381" s="35"/>
      <c r="AZ381" s="35"/>
      <c r="BA381" s="35"/>
      <c r="BB381" s="35"/>
      <c r="BC381" s="35"/>
      <c r="BD381" s="35"/>
      <c r="BE381" s="35"/>
      <c r="BF381" s="35"/>
      <c r="BG381" s="35"/>
      <c r="BH381" s="35"/>
      <c r="BI381" s="35"/>
      <c r="BJ381" s="35"/>
      <c r="BK381" s="35"/>
      <c r="BL381" s="35"/>
      <c r="BM381" s="35"/>
      <c r="BN381" s="35"/>
      <c r="BO381" s="35"/>
      <c r="BP381" s="35"/>
      <c r="BQ381" s="35"/>
      <c r="BR381" s="35"/>
      <c r="BS381" s="35"/>
      <c r="BT381" s="35"/>
      <c r="BU381" s="35"/>
      <c r="BV381" s="35"/>
      <c r="BW381" s="35"/>
      <c r="BX381" s="35"/>
      <c r="BY381" s="35"/>
      <c r="BZ381" s="35"/>
      <c r="CA381" s="35"/>
      <c r="CB381" s="35"/>
      <c r="CC381" s="35"/>
      <c r="CD381" s="35"/>
      <c r="CE381" s="35"/>
      <c r="CF381" s="35"/>
      <c r="CG381" s="35"/>
      <c r="CH381" s="35"/>
      <c r="CI381" s="35"/>
      <c r="CJ381" s="35"/>
      <c r="CK381" s="35"/>
      <c r="CL381" s="35"/>
      <c r="CM381" s="35"/>
      <c r="CN381" s="35"/>
      <c r="CO381" s="35"/>
      <c r="CP381" s="35"/>
      <c r="CQ381" s="35"/>
      <c r="CR381" s="35"/>
      <c r="CS381" s="35"/>
      <c r="CT381" s="36"/>
      <c r="CU381" s="35"/>
      <c r="CV381" s="35"/>
      <c r="CW381" s="35"/>
      <c r="CX381" s="35"/>
      <c r="CY381" s="35"/>
      <c r="CZ381" s="36"/>
      <c r="DA381" s="36"/>
      <c r="DB381" s="35"/>
      <c r="DC381" s="35"/>
      <c r="DD381" s="35"/>
      <c r="DE381" s="35"/>
      <c r="DF381" s="35"/>
      <c r="DG381" s="35"/>
      <c r="DH381" s="35"/>
      <c r="DI381" s="35"/>
      <c r="DJ381" s="35"/>
      <c r="DK381" s="35"/>
      <c r="DL381" s="35"/>
      <c r="DM381" s="35"/>
      <c r="DN381" s="35"/>
      <c r="DO381" s="35"/>
      <c r="DP381" s="35"/>
      <c r="DQ381" s="35"/>
      <c r="DR381" s="35"/>
      <c r="DS381" s="35"/>
      <c r="DT381" s="35"/>
      <c r="DU381" s="35"/>
      <c r="DV381" s="35"/>
      <c r="DW381" s="35"/>
      <c r="DX381" s="35"/>
      <c r="DY381" s="35"/>
      <c r="DZ381" s="36"/>
      <c r="EA381" s="35"/>
      <c r="EB381" s="35"/>
      <c r="EC381" s="35"/>
      <c r="ED381" s="35"/>
      <c r="EE381" s="35"/>
      <c r="EF381" s="35"/>
      <c r="EG381" s="35"/>
      <c r="EH381" s="35"/>
      <c r="EI381" s="35"/>
      <c r="EJ381" s="35"/>
      <c r="EK381" s="35"/>
      <c r="EL381" s="35"/>
      <c r="EM381" s="35"/>
      <c r="EN381" s="35"/>
      <c r="EO381" s="35"/>
      <c r="EP381" s="35"/>
      <c r="EQ381" s="35"/>
      <c r="ER381" s="35"/>
      <c r="ES381" s="35"/>
      <c r="ET381" s="35"/>
      <c r="EU381" s="35"/>
      <c r="EV381" s="35"/>
      <c r="EW381" s="35"/>
      <c r="EX381" s="35"/>
      <c r="EY381" s="36"/>
      <c r="EZ381" s="35"/>
      <c r="FA381" s="35"/>
      <c r="FB381" s="35"/>
      <c r="FC381" s="35"/>
      <c r="FD381" s="35"/>
      <c r="FE381" s="35"/>
      <c r="FF381" s="35"/>
      <c r="FG381" s="35"/>
      <c r="FH381" s="35"/>
      <c r="FI381" s="35"/>
      <c r="FJ381" s="35"/>
      <c r="FK381" s="35"/>
      <c r="FL381" s="35"/>
      <c r="FM381" s="35"/>
      <c r="FN381" s="35"/>
      <c r="FO381" s="35"/>
      <c r="FP381" s="35"/>
      <c r="FQ381" s="52"/>
      <c r="FS381" s="9" t="s">
        <v>13</v>
      </c>
      <c r="FT381" s="9" t="str">
        <f t="shared" si="6597"/>
        <v xml:space="preserve">12. FDS Release 4 12.9 FDS Release 4 - Sign off for go live </v>
      </c>
    </row>
    <row r="382" spans="1:176" ht="12" hidden="1" customHeight="1" outlineLevel="1">
      <c r="A382" s="122"/>
      <c r="B382" s="123"/>
      <c r="C382" s="131" t="str">
        <f t="shared" si="7289"/>
        <v>0 days</v>
      </c>
      <c r="D382" s="13" t="str">
        <f>A$329&amp;" "&amp;A378</f>
        <v xml:space="preserve">12. FDS Release 4 12.9 FDS Release 4 - Sign off for go live </v>
      </c>
      <c r="E382" s="51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  <c r="AL382" s="36"/>
      <c r="AM382" s="36"/>
      <c r="AN382" s="36"/>
      <c r="AO382" s="36"/>
      <c r="AP382" s="36"/>
      <c r="AQ382" s="36"/>
      <c r="AR382" s="36"/>
      <c r="AS382" s="35"/>
      <c r="AT382" s="35"/>
      <c r="AU382" s="35"/>
      <c r="AV382" s="35"/>
      <c r="AW382" s="35"/>
      <c r="AX382" s="35"/>
      <c r="AY382" s="35"/>
      <c r="AZ382" s="35"/>
      <c r="BA382" s="35"/>
      <c r="BB382" s="35"/>
      <c r="BC382" s="35"/>
      <c r="BD382" s="35"/>
      <c r="BE382" s="35"/>
      <c r="BF382" s="35"/>
      <c r="BG382" s="35"/>
      <c r="BH382" s="35"/>
      <c r="BI382" s="35"/>
      <c r="BJ382" s="35"/>
      <c r="BK382" s="35"/>
      <c r="BL382" s="35"/>
      <c r="BM382" s="35"/>
      <c r="BN382" s="35"/>
      <c r="BO382" s="35"/>
      <c r="BP382" s="35"/>
      <c r="BQ382" s="35"/>
      <c r="BR382" s="35"/>
      <c r="BS382" s="35"/>
      <c r="BT382" s="35"/>
      <c r="BU382" s="35"/>
      <c r="BV382" s="35"/>
      <c r="BW382" s="35"/>
      <c r="BX382" s="35"/>
      <c r="BY382" s="35"/>
      <c r="BZ382" s="35"/>
      <c r="CA382" s="35"/>
      <c r="CB382" s="35"/>
      <c r="CC382" s="35"/>
      <c r="CD382" s="35"/>
      <c r="CE382" s="35"/>
      <c r="CF382" s="35"/>
      <c r="CG382" s="35"/>
      <c r="CH382" s="35"/>
      <c r="CI382" s="35"/>
      <c r="CJ382" s="35"/>
      <c r="CK382" s="35"/>
      <c r="CL382" s="35"/>
      <c r="CM382" s="35"/>
      <c r="CN382" s="35"/>
      <c r="CO382" s="35"/>
      <c r="CP382" s="35"/>
      <c r="CQ382" s="35"/>
      <c r="CR382" s="35"/>
      <c r="CS382" s="35"/>
      <c r="CT382" s="36"/>
      <c r="CU382" s="35"/>
      <c r="CV382" s="35"/>
      <c r="CW382" s="35"/>
      <c r="CX382" s="35"/>
      <c r="CY382" s="35"/>
      <c r="CZ382" s="36"/>
      <c r="DA382" s="36"/>
      <c r="DB382" s="35"/>
      <c r="DC382" s="35"/>
      <c r="DD382" s="35"/>
      <c r="DE382" s="35"/>
      <c r="DF382" s="35"/>
      <c r="DG382" s="35"/>
      <c r="DH382" s="35"/>
      <c r="DI382" s="35"/>
      <c r="DJ382" s="35"/>
      <c r="DK382" s="35"/>
      <c r="DL382" s="35"/>
      <c r="DM382" s="35"/>
      <c r="DN382" s="35"/>
      <c r="DO382" s="35"/>
      <c r="DP382" s="35"/>
      <c r="DQ382" s="35"/>
      <c r="DR382" s="35"/>
      <c r="DS382" s="35"/>
      <c r="DT382" s="35"/>
      <c r="DU382" s="35"/>
      <c r="DV382" s="35"/>
      <c r="DW382" s="35"/>
      <c r="DX382" s="35"/>
      <c r="DY382" s="35"/>
      <c r="DZ382" s="36"/>
      <c r="EA382" s="35"/>
      <c r="EB382" s="35"/>
      <c r="EC382" s="35"/>
      <c r="ED382" s="35"/>
      <c r="EE382" s="35"/>
      <c r="EF382" s="35"/>
      <c r="EG382" s="35"/>
      <c r="EH382" s="35"/>
      <c r="EI382" s="35"/>
      <c r="EJ382" s="35"/>
      <c r="EK382" s="35"/>
      <c r="EL382" s="35"/>
      <c r="EM382" s="35"/>
      <c r="EN382" s="35"/>
      <c r="EO382" s="35"/>
      <c r="EP382" s="35"/>
      <c r="EQ382" s="35"/>
      <c r="ER382" s="35"/>
      <c r="ES382" s="35"/>
      <c r="ET382" s="35"/>
      <c r="EU382" s="35"/>
      <c r="EV382" s="35"/>
      <c r="EW382" s="35"/>
      <c r="EX382" s="35"/>
      <c r="EY382" s="36"/>
      <c r="EZ382" s="35"/>
      <c r="FA382" s="35"/>
      <c r="FB382" s="35"/>
      <c r="FC382" s="35"/>
      <c r="FD382" s="35"/>
      <c r="FE382" s="35"/>
      <c r="FF382" s="35"/>
      <c r="FG382" s="35"/>
      <c r="FH382" s="35"/>
      <c r="FI382" s="35"/>
      <c r="FJ382" s="35"/>
      <c r="FK382" s="35"/>
      <c r="FL382" s="35"/>
      <c r="FM382" s="35"/>
      <c r="FN382" s="35"/>
      <c r="FO382" s="35"/>
      <c r="FP382" s="35"/>
      <c r="FQ382" s="52"/>
      <c r="FS382" s="9" t="s">
        <v>13</v>
      </c>
      <c r="FT382" s="9" t="str">
        <f t="shared" si="6597"/>
        <v xml:space="preserve">12. FDS Release 4 12.9 FDS Release 4 - Sign off for go live </v>
      </c>
    </row>
    <row r="383" spans="1:176" ht="12" hidden="1" customHeight="1" outlineLevel="1">
      <c r="A383" s="122"/>
      <c r="B383" s="123"/>
      <c r="C383" s="131" t="str">
        <f t="shared" si="7289"/>
        <v>0 days</v>
      </c>
      <c r="D383" s="13" t="str">
        <f>A$329&amp;" "&amp;A378</f>
        <v xml:space="preserve">12. FDS Release 4 12.9 FDS Release 4 - Sign off for go live </v>
      </c>
      <c r="E383" s="51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  <c r="AL383" s="36"/>
      <c r="AM383" s="36"/>
      <c r="AN383" s="36"/>
      <c r="AO383" s="36"/>
      <c r="AP383" s="36"/>
      <c r="AQ383" s="36"/>
      <c r="AR383" s="36"/>
      <c r="AS383" s="35"/>
      <c r="AT383" s="35"/>
      <c r="AU383" s="35"/>
      <c r="AV383" s="35"/>
      <c r="AW383" s="35"/>
      <c r="AX383" s="35"/>
      <c r="AY383" s="35"/>
      <c r="AZ383" s="35"/>
      <c r="BA383" s="35"/>
      <c r="BB383" s="35"/>
      <c r="BC383" s="35"/>
      <c r="BD383" s="35"/>
      <c r="BE383" s="35"/>
      <c r="BF383" s="35"/>
      <c r="BG383" s="35"/>
      <c r="BH383" s="35"/>
      <c r="BI383" s="35"/>
      <c r="BJ383" s="35"/>
      <c r="BK383" s="35"/>
      <c r="BL383" s="35"/>
      <c r="BM383" s="35"/>
      <c r="BN383" s="35"/>
      <c r="BO383" s="35"/>
      <c r="BP383" s="35"/>
      <c r="BQ383" s="35"/>
      <c r="BR383" s="35"/>
      <c r="BS383" s="35"/>
      <c r="BT383" s="35"/>
      <c r="BU383" s="35"/>
      <c r="BV383" s="35"/>
      <c r="BW383" s="35"/>
      <c r="BX383" s="35"/>
      <c r="BY383" s="35"/>
      <c r="BZ383" s="35"/>
      <c r="CA383" s="35"/>
      <c r="CB383" s="35"/>
      <c r="CC383" s="35"/>
      <c r="CD383" s="35"/>
      <c r="CE383" s="35"/>
      <c r="CF383" s="35"/>
      <c r="CG383" s="35"/>
      <c r="CH383" s="35"/>
      <c r="CI383" s="35"/>
      <c r="CJ383" s="35"/>
      <c r="CK383" s="35"/>
      <c r="CL383" s="35"/>
      <c r="CM383" s="35"/>
      <c r="CN383" s="35"/>
      <c r="CO383" s="35"/>
      <c r="CP383" s="35"/>
      <c r="CQ383" s="35"/>
      <c r="CR383" s="35"/>
      <c r="CS383" s="35"/>
      <c r="CT383" s="36"/>
      <c r="CU383" s="35"/>
      <c r="CV383" s="35"/>
      <c r="CW383" s="35"/>
      <c r="CX383" s="35"/>
      <c r="CY383" s="35"/>
      <c r="CZ383" s="36"/>
      <c r="DA383" s="36"/>
      <c r="DB383" s="35"/>
      <c r="DC383" s="35"/>
      <c r="DD383" s="35"/>
      <c r="DE383" s="35"/>
      <c r="DF383" s="35"/>
      <c r="DG383" s="35"/>
      <c r="DH383" s="35"/>
      <c r="DI383" s="35"/>
      <c r="DJ383" s="35"/>
      <c r="DK383" s="35"/>
      <c r="DL383" s="35"/>
      <c r="DM383" s="35"/>
      <c r="DN383" s="35"/>
      <c r="DO383" s="35"/>
      <c r="DP383" s="35"/>
      <c r="DQ383" s="35"/>
      <c r="DR383" s="35"/>
      <c r="DS383" s="35"/>
      <c r="DT383" s="35"/>
      <c r="DU383" s="35"/>
      <c r="DV383" s="35"/>
      <c r="DW383" s="35"/>
      <c r="DX383" s="35"/>
      <c r="DY383" s="35"/>
      <c r="DZ383" s="36"/>
      <c r="EA383" s="35"/>
      <c r="EB383" s="35"/>
      <c r="EC383" s="35"/>
      <c r="ED383" s="35"/>
      <c r="EE383" s="35"/>
      <c r="EF383" s="35"/>
      <c r="EG383" s="35"/>
      <c r="EH383" s="35"/>
      <c r="EI383" s="35"/>
      <c r="EJ383" s="35"/>
      <c r="EK383" s="35"/>
      <c r="EL383" s="35"/>
      <c r="EM383" s="35"/>
      <c r="EN383" s="35"/>
      <c r="EO383" s="35"/>
      <c r="EP383" s="35"/>
      <c r="EQ383" s="35"/>
      <c r="ER383" s="35"/>
      <c r="ES383" s="35"/>
      <c r="ET383" s="35"/>
      <c r="EU383" s="35"/>
      <c r="EV383" s="35"/>
      <c r="EW383" s="35"/>
      <c r="EX383" s="35"/>
      <c r="EY383" s="36"/>
      <c r="EZ383" s="35"/>
      <c r="FA383" s="35"/>
      <c r="FB383" s="35"/>
      <c r="FC383" s="35"/>
      <c r="FD383" s="35"/>
      <c r="FE383" s="35"/>
      <c r="FF383" s="35"/>
      <c r="FG383" s="35"/>
      <c r="FH383" s="35"/>
      <c r="FI383" s="35"/>
      <c r="FJ383" s="35"/>
      <c r="FK383" s="35"/>
      <c r="FL383" s="35"/>
      <c r="FM383" s="35"/>
      <c r="FN383" s="35"/>
      <c r="FO383" s="35"/>
      <c r="FP383" s="35"/>
      <c r="FQ383" s="52"/>
      <c r="FS383" s="9" t="s">
        <v>13</v>
      </c>
      <c r="FT383" s="9" t="str">
        <f t="shared" si="6597"/>
        <v xml:space="preserve">12. FDS Release 4 12.9 FDS Release 4 - Sign off for go live </v>
      </c>
    </row>
    <row r="384" spans="1:176" ht="12" customHeight="1" collapsed="1">
      <c r="A384" s="119" t="s">
        <v>117</v>
      </c>
      <c r="B384" s="127"/>
      <c r="C384" s="128" t="str">
        <f>ROUND(SUM(E384:FQ384),0) &amp; " days"</f>
        <v>10 days</v>
      </c>
      <c r="D384" s="37"/>
      <c r="E384" s="91" t="str">
        <f t="shared" ref="E384:BP384" si="7290">IF(SUBTOTAL(9,E385:E389)&gt;0,SUBTOTAL(9,E385:E389),"")</f>
        <v/>
      </c>
      <c r="F384" s="34" t="str">
        <f t="shared" si="7290"/>
        <v/>
      </c>
      <c r="G384" s="34" t="str">
        <f t="shared" si="7290"/>
        <v/>
      </c>
      <c r="H384" s="34" t="str">
        <f t="shared" si="7290"/>
        <v/>
      </c>
      <c r="I384" s="34" t="str">
        <f t="shared" si="7290"/>
        <v/>
      </c>
      <c r="J384" s="34" t="str">
        <f t="shared" si="7290"/>
        <v/>
      </c>
      <c r="K384" s="34" t="str">
        <f t="shared" si="7290"/>
        <v/>
      </c>
      <c r="L384" s="34" t="str">
        <f t="shared" si="7290"/>
        <v/>
      </c>
      <c r="M384" s="34" t="str">
        <f t="shared" si="7290"/>
        <v/>
      </c>
      <c r="N384" s="34" t="str">
        <f t="shared" si="7290"/>
        <v/>
      </c>
      <c r="O384" s="34" t="str">
        <f t="shared" si="7290"/>
        <v/>
      </c>
      <c r="P384" s="34" t="str">
        <f t="shared" si="7290"/>
        <v/>
      </c>
      <c r="Q384" s="34" t="str">
        <f t="shared" si="7290"/>
        <v/>
      </c>
      <c r="R384" s="34" t="str">
        <f t="shared" si="7290"/>
        <v/>
      </c>
      <c r="S384" s="34" t="str">
        <f t="shared" si="7290"/>
        <v/>
      </c>
      <c r="T384" s="34" t="str">
        <f t="shared" si="7290"/>
        <v/>
      </c>
      <c r="U384" s="34" t="str">
        <f t="shared" si="7290"/>
        <v/>
      </c>
      <c r="V384" s="34" t="str">
        <f t="shared" si="7290"/>
        <v/>
      </c>
      <c r="W384" s="34" t="str">
        <f t="shared" si="7290"/>
        <v/>
      </c>
      <c r="X384" s="34" t="str">
        <f t="shared" si="7290"/>
        <v/>
      </c>
      <c r="Y384" s="34" t="str">
        <f t="shared" si="7290"/>
        <v/>
      </c>
      <c r="Z384" s="34" t="str">
        <f t="shared" si="7290"/>
        <v/>
      </c>
      <c r="AA384" s="34" t="str">
        <f t="shared" si="7290"/>
        <v/>
      </c>
      <c r="AB384" s="34" t="str">
        <f t="shared" si="7290"/>
        <v/>
      </c>
      <c r="AC384" s="34" t="str">
        <f t="shared" si="7290"/>
        <v/>
      </c>
      <c r="AD384" s="34" t="str">
        <f t="shared" si="7290"/>
        <v/>
      </c>
      <c r="AE384" s="34" t="str">
        <f t="shared" si="7290"/>
        <v/>
      </c>
      <c r="AF384" s="34" t="str">
        <f t="shared" si="7290"/>
        <v/>
      </c>
      <c r="AG384" s="34" t="str">
        <f t="shared" si="7290"/>
        <v/>
      </c>
      <c r="AH384" s="34" t="str">
        <f t="shared" si="7290"/>
        <v/>
      </c>
      <c r="AI384" s="34" t="str">
        <f t="shared" si="7290"/>
        <v/>
      </c>
      <c r="AJ384" s="34" t="str">
        <f t="shared" si="7290"/>
        <v/>
      </c>
      <c r="AK384" s="34" t="str">
        <f t="shared" si="7290"/>
        <v/>
      </c>
      <c r="AL384" s="33" t="str">
        <f t="shared" si="7290"/>
        <v/>
      </c>
      <c r="AM384" s="33" t="str">
        <f t="shared" si="7290"/>
        <v/>
      </c>
      <c r="AN384" s="33" t="str">
        <f t="shared" si="7290"/>
        <v/>
      </c>
      <c r="AO384" s="33" t="str">
        <f t="shared" si="7290"/>
        <v/>
      </c>
      <c r="AP384" s="33" t="str">
        <f t="shared" si="7290"/>
        <v/>
      </c>
      <c r="AQ384" s="33" t="str">
        <f t="shared" si="7290"/>
        <v/>
      </c>
      <c r="AR384" s="33" t="str">
        <f t="shared" si="7290"/>
        <v/>
      </c>
      <c r="AS384" s="34" t="str">
        <f t="shared" si="7290"/>
        <v/>
      </c>
      <c r="AT384" s="34" t="str">
        <f t="shared" si="7290"/>
        <v/>
      </c>
      <c r="AU384" s="34" t="str">
        <f t="shared" si="7290"/>
        <v/>
      </c>
      <c r="AV384" s="34" t="str">
        <f t="shared" si="7290"/>
        <v/>
      </c>
      <c r="AW384" s="34" t="str">
        <f t="shared" si="7290"/>
        <v/>
      </c>
      <c r="AX384" s="34" t="str">
        <f t="shared" si="7290"/>
        <v/>
      </c>
      <c r="AY384" s="34" t="str">
        <f t="shared" si="7290"/>
        <v/>
      </c>
      <c r="AZ384" s="34" t="str">
        <f t="shared" si="7290"/>
        <v/>
      </c>
      <c r="BA384" s="34" t="str">
        <f t="shared" si="7290"/>
        <v/>
      </c>
      <c r="BB384" s="34" t="str">
        <f t="shared" si="7290"/>
        <v/>
      </c>
      <c r="BC384" s="34" t="str">
        <f t="shared" si="7290"/>
        <v/>
      </c>
      <c r="BD384" s="34" t="str">
        <f t="shared" si="7290"/>
        <v/>
      </c>
      <c r="BE384" s="34" t="str">
        <f t="shared" si="7290"/>
        <v/>
      </c>
      <c r="BF384" s="34" t="str">
        <f t="shared" si="7290"/>
        <v/>
      </c>
      <c r="BG384" s="34" t="str">
        <f t="shared" si="7290"/>
        <v/>
      </c>
      <c r="BH384" s="34" t="str">
        <f t="shared" si="7290"/>
        <v/>
      </c>
      <c r="BI384" s="34" t="str">
        <f t="shared" si="7290"/>
        <v/>
      </c>
      <c r="BJ384" s="34" t="str">
        <f t="shared" si="7290"/>
        <v/>
      </c>
      <c r="BK384" s="34" t="str">
        <f t="shared" si="7290"/>
        <v/>
      </c>
      <c r="BL384" s="34" t="str">
        <f t="shared" si="7290"/>
        <v/>
      </c>
      <c r="BM384" s="34" t="str">
        <f t="shared" si="7290"/>
        <v/>
      </c>
      <c r="BN384" s="34" t="str">
        <f t="shared" si="7290"/>
        <v/>
      </c>
      <c r="BO384" s="34" t="str">
        <f t="shared" si="7290"/>
        <v/>
      </c>
      <c r="BP384" s="34" t="str">
        <f t="shared" si="7290"/>
        <v/>
      </c>
      <c r="BQ384" s="34" t="str">
        <f t="shared" ref="BQ384:EB384" si="7291">IF(SUBTOTAL(9,BQ385:BQ389)&gt;0,SUBTOTAL(9,BQ385:BQ389),"")</f>
        <v/>
      </c>
      <c r="BR384" s="34" t="str">
        <f t="shared" si="7291"/>
        <v/>
      </c>
      <c r="BS384" s="34" t="str">
        <f t="shared" si="7291"/>
        <v/>
      </c>
      <c r="BT384" s="34" t="str">
        <f t="shared" si="7291"/>
        <v/>
      </c>
      <c r="BU384" s="34" t="str">
        <f t="shared" si="7291"/>
        <v/>
      </c>
      <c r="BV384" s="34" t="str">
        <f t="shared" si="7291"/>
        <v/>
      </c>
      <c r="BW384" s="34" t="str">
        <f t="shared" si="7291"/>
        <v/>
      </c>
      <c r="BX384" s="34" t="str">
        <f t="shared" si="7291"/>
        <v/>
      </c>
      <c r="BY384" s="34" t="str">
        <f t="shared" si="7291"/>
        <v/>
      </c>
      <c r="BZ384" s="34" t="str">
        <f t="shared" si="7291"/>
        <v/>
      </c>
      <c r="CA384" s="34" t="str">
        <f t="shared" si="7291"/>
        <v/>
      </c>
      <c r="CB384" s="34">
        <f t="shared" si="7291"/>
        <v>0.5</v>
      </c>
      <c r="CC384" s="34">
        <f t="shared" si="7291"/>
        <v>0.5</v>
      </c>
      <c r="CD384" s="34">
        <f t="shared" si="7291"/>
        <v>0.25</v>
      </c>
      <c r="CE384" s="34">
        <f t="shared" si="7291"/>
        <v>0.25</v>
      </c>
      <c r="CF384" s="34" t="str">
        <f t="shared" si="7291"/>
        <v/>
      </c>
      <c r="CG384" s="34">
        <f t="shared" si="7291"/>
        <v>1</v>
      </c>
      <c r="CH384" s="34">
        <f t="shared" si="7291"/>
        <v>1</v>
      </c>
      <c r="CI384" s="34">
        <f t="shared" si="7291"/>
        <v>0.75</v>
      </c>
      <c r="CJ384" s="34">
        <f t="shared" si="7291"/>
        <v>0.75</v>
      </c>
      <c r="CK384" s="34">
        <f t="shared" si="7291"/>
        <v>1</v>
      </c>
      <c r="CL384" s="34">
        <f t="shared" si="7291"/>
        <v>0.4</v>
      </c>
      <c r="CM384" s="34">
        <f t="shared" si="7291"/>
        <v>0.4</v>
      </c>
      <c r="CN384" s="34">
        <f t="shared" si="7291"/>
        <v>0.4</v>
      </c>
      <c r="CO384" s="34">
        <f t="shared" si="7291"/>
        <v>0.4</v>
      </c>
      <c r="CP384" s="34">
        <f t="shared" si="7291"/>
        <v>0.4</v>
      </c>
      <c r="CQ384" s="34">
        <f t="shared" si="7291"/>
        <v>0.2</v>
      </c>
      <c r="CR384" s="34" t="str">
        <f t="shared" si="7291"/>
        <v/>
      </c>
      <c r="CS384" s="34" t="str">
        <f t="shared" si="7291"/>
        <v/>
      </c>
      <c r="CT384" s="33" t="str">
        <f t="shared" si="7291"/>
        <v/>
      </c>
      <c r="CU384" s="34">
        <f t="shared" si="7291"/>
        <v>0.4</v>
      </c>
      <c r="CV384" s="34">
        <f t="shared" si="7291"/>
        <v>0.4</v>
      </c>
      <c r="CW384" s="34">
        <f t="shared" si="7291"/>
        <v>0.2</v>
      </c>
      <c r="CX384" s="34" t="str">
        <f t="shared" si="7291"/>
        <v/>
      </c>
      <c r="CY384" s="34" t="str">
        <f t="shared" si="7291"/>
        <v/>
      </c>
      <c r="CZ384" s="33" t="str">
        <f t="shared" si="7291"/>
        <v/>
      </c>
      <c r="DA384" s="33" t="str">
        <f t="shared" si="7291"/>
        <v/>
      </c>
      <c r="DB384" s="34" t="str">
        <f t="shared" si="7291"/>
        <v/>
      </c>
      <c r="DC384" s="34">
        <f>IF(SUBTOTAL(9,DC385:DC389)&gt;0,SUBTOTAL(9,DC385:DC389),"")</f>
        <v>0.5</v>
      </c>
      <c r="DD384" s="34">
        <f>IF(SUBTOTAL(9,DD385:DD389)&gt;0,SUBTOTAL(9,DD385:DD389),"")</f>
        <v>0.3</v>
      </c>
      <c r="DE384" s="34" t="str">
        <f>IF(SUBTOTAL(9,DE385:DE389)&gt;0,SUBTOTAL(9,DE385:DE389),"")</f>
        <v/>
      </c>
      <c r="DF384" s="34" t="str">
        <f t="shared" si="7291"/>
        <v/>
      </c>
      <c r="DG384" s="34" t="str">
        <f t="shared" si="7291"/>
        <v/>
      </c>
      <c r="DH384" s="34" t="str">
        <f t="shared" si="7291"/>
        <v/>
      </c>
      <c r="DI384" s="34" t="str">
        <f t="shared" si="7291"/>
        <v/>
      </c>
      <c r="DJ384" s="34" t="str">
        <f t="shared" si="7291"/>
        <v/>
      </c>
      <c r="DK384" s="34" t="str">
        <f t="shared" si="7291"/>
        <v/>
      </c>
      <c r="DL384" s="34" t="str">
        <f t="shared" si="7291"/>
        <v/>
      </c>
      <c r="DM384" s="34" t="str">
        <f t="shared" si="7291"/>
        <v/>
      </c>
      <c r="DN384" s="34" t="str">
        <f t="shared" si="7291"/>
        <v/>
      </c>
      <c r="DO384" s="34" t="str">
        <f t="shared" si="7291"/>
        <v/>
      </c>
      <c r="DP384" s="34" t="str">
        <f t="shared" si="7291"/>
        <v/>
      </c>
      <c r="DQ384" s="34" t="str">
        <f t="shared" si="7291"/>
        <v/>
      </c>
      <c r="DR384" s="34" t="str">
        <f t="shared" si="7291"/>
        <v/>
      </c>
      <c r="DS384" s="34" t="str">
        <f t="shared" si="7291"/>
        <v/>
      </c>
      <c r="DT384" s="34" t="str">
        <f t="shared" si="7291"/>
        <v/>
      </c>
      <c r="DU384" s="34" t="str">
        <f t="shared" si="7291"/>
        <v/>
      </c>
      <c r="DV384" s="34" t="str">
        <f t="shared" si="7291"/>
        <v/>
      </c>
      <c r="DW384" s="34" t="str">
        <f t="shared" si="7291"/>
        <v/>
      </c>
      <c r="DX384" s="34" t="str">
        <f t="shared" si="7291"/>
        <v/>
      </c>
      <c r="DY384" s="34" t="str">
        <f t="shared" si="7291"/>
        <v/>
      </c>
      <c r="DZ384" s="33" t="str">
        <f t="shared" si="7291"/>
        <v/>
      </c>
      <c r="EA384" s="34" t="str">
        <f t="shared" si="7291"/>
        <v/>
      </c>
      <c r="EB384" s="34" t="str">
        <f t="shared" si="7291"/>
        <v/>
      </c>
      <c r="EC384" s="34" t="str">
        <f t="shared" ref="EC384:FQ384" si="7292">IF(SUBTOTAL(9,EC385:EC389)&gt;0,SUBTOTAL(9,EC385:EC389),"")</f>
        <v/>
      </c>
      <c r="ED384" s="34" t="str">
        <f t="shared" si="7292"/>
        <v/>
      </c>
      <c r="EE384" s="34" t="str">
        <f t="shared" si="7292"/>
        <v/>
      </c>
      <c r="EF384" s="34" t="str">
        <f t="shared" si="7292"/>
        <v/>
      </c>
      <c r="EG384" s="34" t="str">
        <f t="shared" si="7292"/>
        <v/>
      </c>
      <c r="EH384" s="34" t="str">
        <f t="shared" si="7292"/>
        <v/>
      </c>
      <c r="EI384" s="34" t="str">
        <f t="shared" si="7292"/>
        <v/>
      </c>
      <c r="EJ384" s="34" t="str">
        <f t="shared" si="7292"/>
        <v/>
      </c>
      <c r="EK384" s="34" t="str">
        <f t="shared" si="7292"/>
        <v/>
      </c>
      <c r="EL384" s="34" t="str">
        <f t="shared" si="7292"/>
        <v/>
      </c>
      <c r="EM384" s="34" t="str">
        <f t="shared" si="7292"/>
        <v/>
      </c>
      <c r="EN384" s="34" t="str">
        <f t="shared" si="7292"/>
        <v/>
      </c>
      <c r="EO384" s="34" t="str">
        <f t="shared" si="7292"/>
        <v/>
      </c>
      <c r="EP384" s="34" t="str">
        <f t="shared" si="7292"/>
        <v/>
      </c>
      <c r="EQ384" s="34" t="str">
        <f t="shared" si="7292"/>
        <v/>
      </c>
      <c r="ER384" s="34" t="str">
        <f t="shared" si="7292"/>
        <v/>
      </c>
      <c r="ES384" s="34" t="str">
        <f t="shared" si="7292"/>
        <v/>
      </c>
      <c r="ET384" s="34" t="str">
        <f t="shared" si="7292"/>
        <v/>
      </c>
      <c r="EU384" s="34" t="str">
        <f t="shared" si="7292"/>
        <v/>
      </c>
      <c r="EV384" s="34" t="str">
        <f t="shared" si="7292"/>
        <v/>
      </c>
      <c r="EW384" s="34" t="str">
        <f t="shared" si="7292"/>
        <v/>
      </c>
      <c r="EX384" s="34" t="str">
        <f t="shared" si="7292"/>
        <v/>
      </c>
      <c r="EY384" s="33" t="str">
        <f t="shared" si="7292"/>
        <v/>
      </c>
      <c r="EZ384" s="34" t="str">
        <f t="shared" si="7292"/>
        <v/>
      </c>
      <c r="FA384" s="34" t="str">
        <f t="shared" si="7292"/>
        <v/>
      </c>
      <c r="FB384" s="34" t="str">
        <f t="shared" si="7292"/>
        <v/>
      </c>
      <c r="FC384" s="34" t="str">
        <f t="shared" si="7292"/>
        <v/>
      </c>
      <c r="FD384" s="34" t="str">
        <f t="shared" si="7292"/>
        <v/>
      </c>
      <c r="FE384" s="34" t="str">
        <f t="shared" si="7292"/>
        <v/>
      </c>
      <c r="FF384" s="34" t="str">
        <f t="shared" si="7292"/>
        <v/>
      </c>
      <c r="FG384" s="34" t="str">
        <f t="shared" si="7292"/>
        <v/>
      </c>
      <c r="FH384" s="34" t="str">
        <f t="shared" si="7292"/>
        <v/>
      </c>
      <c r="FI384" s="34" t="str">
        <f t="shared" si="7292"/>
        <v/>
      </c>
      <c r="FJ384" s="34" t="str">
        <f t="shared" si="7292"/>
        <v/>
      </c>
      <c r="FK384" s="34" t="str">
        <f t="shared" si="7292"/>
        <v/>
      </c>
      <c r="FL384" s="34" t="str">
        <f t="shared" si="7292"/>
        <v/>
      </c>
      <c r="FM384" s="34" t="str">
        <f t="shared" si="7292"/>
        <v/>
      </c>
      <c r="FN384" s="34" t="str">
        <f t="shared" si="7292"/>
        <v/>
      </c>
      <c r="FO384" s="34" t="str">
        <f t="shared" si="7292"/>
        <v/>
      </c>
      <c r="FP384" s="34" t="str">
        <f t="shared" si="7292"/>
        <v/>
      </c>
      <c r="FQ384" s="92" t="str">
        <f t="shared" si="7292"/>
        <v/>
      </c>
      <c r="FS384" s="9" t="s">
        <v>131</v>
      </c>
      <c r="FT384" s="9" t="str">
        <f t="shared" si="6597"/>
        <v/>
      </c>
    </row>
    <row r="385" spans="1:176" ht="12" hidden="1" customHeight="1" outlineLevel="1">
      <c r="A385" s="122" t="s">
        <v>188</v>
      </c>
      <c r="B385" s="130" t="s">
        <v>10</v>
      </c>
      <c r="C385" s="131" t="str">
        <f t="shared" ref="C385:C389" si="7293">ROUND(SUM(E385:FQ385),0) &amp; " days"</f>
        <v>10 days</v>
      </c>
      <c r="D385" s="101" t="str">
        <f>A$329&amp;" "&amp;A384</f>
        <v>12. FDS Release 4 12.10 FDS Release 4 - PGLS support</v>
      </c>
      <c r="E385" s="51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  <c r="AL385" s="36"/>
      <c r="AM385" s="36"/>
      <c r="AN385" s="36"/>
      <c r="AO385" s="36"/>
      <c r="AP385" s="36"/>
      <c r="AQ385" s="36"/>
      <c r="AR385" s="36"/>
      <c r="AS385" s="35"/>
      <c r="AT385" s="35"/>
      <c r="AU385" s="35"/>
      <c r="AV385" s="35"/>
      <c r="AW385" s="35"/>
      <c r="AX385" s="35"/>
      <c r="AY385" s="35"/>
      <c r="AZ385" s="35"/>
      <c r="BA385" s="35"/>
      <c r="BB385" s="35"/>
      <c r="BC385" s="35"/>
      <c r="BD385" s="35"/>
      <c r="BE385" s="35"/>
      <c r="BF385" s="35"/>
      <c r="BG385" s="35"/>
      <c r="BH385" s="35"/>
      <c r="BI385" s="35"/>
      <c r="BJ385" s="35"/>
      <c r="BK385" s="35"/>
      <c r="BL385" s="35"/>
      <c r="BM385" s="35"/>
      <c r="BN385" s="35"/>
      <c r="BO385" s="35"/>
      <c r="BP385" s="35"/>
      <c r="BQ385" s="35"/>
      <c r="BR385" s="35"/>
      <c r="BS385" s="35"/>
      <c r="BT385" s="35"/>
      <c r="BU385" s="35"/>
      <c r="BV385" s="35"/>
      <c r="BW385" s="35"/>
      <c r="BX385" s="35"/>
      <c r="BY385" s="35"/>
      <c r="BZ385" s="35"/>
      <c r="CA385" s="35"/>
      <c r="CB385" s="35">
        <v>0.5</v>
      </c>
      <c r="CC385" s="35">
        <v>0.5</v>
      </c>
      <c r="CD385" s="35">
        <v>0.25</v>
      </c>
      <c r="CE385" s="35">
        <v>0.25</v>
      </c>
      <c r="CF385" s="35"/>
      <c r="CG385" s="35">
        <v>1</v>
      </c>
      <c r="CH385" s="35">
        <v>1</v>
      </c>
      <c r="CI385" s="35">
        <v>0.75</v>
      </c>
      <c r="CJ385" s="35">
        <v>0.75</v>
      </c>
      <c r="CK385" s="35">
        <v>1</v>
      </c>
      <c r="CL385" s="35">
        <v>0.4</v>
      </c>
      <c r="CM385" s="35">
        <v>0.4</v>
      </c>
      <c r="CN385" s="35">
        <v>0.4</v>
      </c>
      <c r="CO385" s="35">
        <v>0.4</v>
      </c>
      <c r="CP385" s="35">
        <v>0.4</v>
      </c>
      <c r="CQ385" s="35">
        <v>0.2</v>
      </c>
      <c r="CR385" s="35"/>
      <c r="CS385" s="35"/>
      <c r="CT385" s="36"/>
      <c r="CU385" s="35">
        <v>0.4</v>
      </c>
      <c r="CV385" s="35">
        <v>0.4</v>
      </c>
      <c r="CW385" s="35">
        <v>0.2</v>
      </c>
      <c r="CX385" s="35"/>
      <c r="CY385" s="35"/>
      <c r="CZ385" s="36"/>
      <c r="DA385" s="36"/>
      <c r="DB385" s="35"/>
      <c r="DC385" s="35">
        <v>0.5</v>
      </c>
      <c r="DD385" s="35">
        <v>0.3</v>
      </c>
      <c r="DE385" s="98"/>
      <c r="DF385" s="35"/>
      <c r="DG385" s="35"/>
      <c r="DH385" s="35"/>
      <c r="DI385" s="35"/>
      <c r="DJ385" s="35"/>
      <c r="DK385" s="35"/>
      <c r="DL385" s="35"/>
      <c r="DM385" s="35"/>
      <c r="DN385" s="35"/>
      <c r="DO385" s="35"/>
      <c r="DP385" s="35"/>
      <c r="DQ385" s="35"/>
      <c r="DR385" s="35"/>
      <c r="DS385" s="35"/>
      <c r="DT385" s="35"/>
      <c r="DU385" s="35"/>
      <c r="DV385" s="35"/>
      <c r="DW385" s="35"/>
      <c r="DX385" s="35"/>
      <c r="DY385" s="35"/>
      <c r="DZ385" s="36"/>
      <c r="EA385" s="35"/>
      <c r="EB385" s="35"/>
      <c r="EC385" s="35"/>
      <c r="ED385" s="35"/>
      <c r="EE385" s="35"/>
      <c r="EF385" s="35"/>
      <c r="EG385" s="35"/>
      <c r="EH385" s="35"/>
      <c r="EI385" s="35"/>
      <c r="EJ385" s="35"/>
      <c r="EK385" s="35"/>
      <c r="EL385" s="35"/>
      <c r="EM385" s="35"/>
      <c r="EN385" s="35"/>
      <c r="EO385" s="35"/>
      <c r="EP385" s="35"/>
      <c r="EQ385" s="35"/>
      <c r="ER385" s="35"/>
      <c r="ES385" s="35"/>
      <c r="ET385" s="35"/>
      <c r="EU385" s="35"/>
      <c r="EV385" s="35"/>
      <c r="EW385" s="35"/>
      <c r="EX385" s="35"/>
      <c r="EY385" s="36"/>
      <c r="EZ385" s="35"/>
      <c r="FA385" s="35"/>
      <c r="FB385" s="35"/>
      <c r="FC385" s="35"/>
      <c r="FD385" s="35"/>
      <c r="FE385" s="35"/>
      <c r="FF385" s="35"/>
      <c r="FG385" s="35"/>
      <c r="FH385" s="35"/>
      <c r="FI385" s="35"/>
      <c r="FJ385" s="35"/>
      <c r="FK385" s="35"/>
      <c r="FL385" s="35"/>
      <c r="FM385" s="35"/>
      <c r="FN385" s="35"/>
      <c r="FO385" s="35"/>
      <c r="FP385" s="35"/>
      <c r="FQ385" s="52"/>
      <c r="FS385" s="9" t="s">
        <v>13</v>
      </c>
      <c r="FT385" s="9" t="str">
        <f t="shared" si="6597"/>
        <v>12. FDS Release 4 12.10 FDS Release 4 - PGLS supportGlenn Kirk</v>
      </c>
    </row>
    <row r="386" spans="1:176" ht="12" hidden="1" customHeight="1" outlineLevel="1">
      <c r="A386" s="122"/>
      <c r="B386" s="123"/>
      <c r="C386" s="131" t="str">
        <f t="shared" si="7293"/>
        <v>0 days</v>
      </c>
      <c r="D386" s="13" t="str">
        <f>A$329&amp;" "&amp;A384</f>
        <v>12. FDS Release 4 12.10 FDS Release 4 - PGLS support</v>
      </c>
      <c r="E386" s="51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  <c r="AL386" s="36"/>
      <c r="AM386" s="36"/>
      <c r="AN386" s="36"/>
      <c r="AO386" s="36"/>
      <c r="AP386" s="36"/>
      <c r="AQ386" s="36"/>
      <c r="AR386" s="36"/>
      <c r="AS386" s="35"/>
      <c r="AT386" s="35"/>
      <c r="AU386" s="35"/>
      <c r="AV386" s="35"/>
      <c r="AW386" s="35"/>
      <c r="AX386" s="35"/>
      <c r="AY386" s="35"/>
      <c r="AZ386" s="35"/>
      <c r="BA386" s="35"/>
      <c r="BB386" s="35"/>
      <c r="BC386" s="35"/>
      <c r="BD386" s="35"/>
      <c r="BE386" s="35"/>
      <c r="BF386" s="35"/>
      <c r="BG386" s="35"/>
      <c r="BH386" s="35"/>
      <c r="BI386" s="35"/>
      <c r="BJ386" s="35"/>
      <c r="BK386" s="35"/>
      <c r="BL386" s="35"/>
      <c r="BM386" s="35"/>
      <c r="BN386" s="35"/>
      <c r="BO386" s="35"/>
      <c r="BP386" s="35"/>
      <c r="BQ386" s="35"/>
      <c r="BR386" s="35"/>
      <c r="BS386" s="35"/>
      <c r="BT386" s="35"/>
      <c r="BU386" s="35"/>
      <c r="BV386" s="35"/>
      <c r="BW386" s="35"/>
      <c r="BX386" s="35"/>
      <c r="BY386" s="35"/>
      <c r="BZ386" s="35"/>
      <c r="CA386" s="35"/>
      <c r="CB386" s="35"/>
      <c r="CC386" s="35"/>
      <c r="CD386" s="35"/>
      <c r="CE386" s="35"/>
      <c r="CF386" s="35"/>
      <c r="CG386" s="35"/>
      <c r="CH386" s="35"/>
      <c r="CI386" s="35"/>
      <c r="CJ386" s="35"/>
      <c r="CK386" s="35"/>
      <c r="CL386" s="35"/>
      <c r="CM386" s="35"/>
      <c r="CN386" s="35"/>
      <c r="CO386" s="35"/>
      <c r="CP386" s="35"/>
      <c r="CQ386" s="35"/>
      <c r="CR386" s="35"/>
      <c r="CS386" s="35"/>
      <c r="CT386" s="36"/>
      <c r="CU386" s="35"/>
      <c r="CV386" s="35"/>
      <c r="CW386" s="35"/>
      <c r="CX386" s="35"/>
      <c r="CY386" s="35"/>
      <c r="CZ386" s="36"/>
      <c r="DA386" s="36"/>
      <c r="DB386" s="35"/>
      <c r="DC386" s="35"/>
      <c r="DD386" s="35"/>
      <c r="DE386" s="35"/>
      <c r="DF386" s="35"/>
      <c r="DG386" s="35"/>
      <c r="DH386" s="35"/>
      <c r="DI386" s="35"/>
      <c r="DJ386" s="35"/>
      <c r="DK386" s="35"/>
      <c r="DL386" s="35"/>
      <c r="DM386" s="35"/>
      <c r="DN386" s="35"/>
      <c r="DO386" s="35"/>
      <c r="DP386" s="35"/>
      <c r="DQ386" s="35"/>
      <c r="DR386" s="35"/>
      <c r="DS386" s="35"/>
      <c r="DT386" s="35"/>
      <c r="DU386" s="35"/>
      <c r="DV386" s="35"/>
      <c r="DW386" s="35"/>
      <c r="DX386" s="35"/>
      <c r="DY386" s="35"/>
      <c r="DZ386" s="36"/>
      <c r="EA386" s="35"/>
      <c r="EB386" s="35"/>
      <c r="EC386" s="35"/>
      <c r="ED386" s="35"/>
      <c r="EE386" s="35"/>
      <c r="EF386" s="35"/>
      <c r="EG386" s="35"/>
      <c r="EH386" s="35"/>
      <c r="EI386" s="35"/>
      <c r="EJ386" s="35"/>
      <c r="EK386" s="35"/>
      <c r="EL386" s="35"/>
      <c r="EM386" s="35"/>
      <c r="EN386" s="35"/>
      <c r="EO386" s="35"/>
      <c r="EP386" s="35"/>
      <c r="EQ386" s="35"/>
      <c r="ER386" s="35"/>
      <c r="ES386" s="35"/>
      <c r="ET386" s="35"/>
      <c r="EU386" s="35"/>
      <c r="EV386" s="35"/>
      <c r="EW386" s="35"/>
      <c r="EX386" s="35"/>
      <c r="EY386" s="36"/>
      <c r="EZ386" s="35"/>
      <c r="FA386" s="35"/>
      <c r="FB386" s="35"/>
      <c r="FC386" s="35"/>
      <c r="FD386" s="35"/>
      <c r="FE386" s="35"/>
      <c r="FF386" s="35"/>
      <c r="FG386" s="35"/>
      <c r="FH386" s="35"/>
      <c r="FI386" s="35"/>
      <c r="FJ386" s="35"/>
      <c r="FK386" s="35"/>
      <c r="FL386" s="35"/>
      <c r="FM386" s="35"/>
      <c r="FN386" s="35"/>
      <c r="FO386" s="35"/>
      <c r="FP386" s="35"/>
      <c r="FQ386" s="52"/>
      <c r="FS386" s="9" t="s">
        <v>13</v>
      </c>
      <c r="FT386" s="9" t="str">
        <f t="shared" si="6597"/>
        <v>12. FDS Release 4 12.10 FDS Release 4 - PGLS support</v>
      </c>
    </row>
    <row r="387" spans="1:176" ht="12" hidden="1" customHeight="1" outlineLevel="1">
      <c r="A387" s="122"/>
      <c r="B387" s="123"/>
      <c r="C387" s="131" t="str">
        <f t="shared" si="7293"/>
        <v>0 days</v>
      </c>
      <c r="D387" s="13" t="str">
        <f>A$329&amp;" "&amp;A384</f>
        <v>12. FDS Release 4 12.10 FDS Release 4 - PGLS support</v>
      </c>
      <c r="E387" s="51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  <c r="AL387" s="36"/>
      <c r="AM387" s="36"/>
      <c r="AN387" s="36"/>
      <c r="AO387" s="36"/>
      <c r="AP387" s="36"/>
      <c r="AQ387" s="36"/>
      <c r="AR387" s="36"/>
      <c r="AS387" s="35"/>
      <c r="AT387" s="35"/>
      <c r="AU387" s="35"/>
      <c r="AV387" s="35"/>
      <c r="AW387" s="35"/>
      <c r="AX387" s="35"/>
      <c r="AY387" s="35"/>
      <c r="AZ387" s="35"/>
      <c r="BA387" s="35"/>
      <c r="BB387" s="35"/>
      <c r="BC387" s="35"/>
      <c r="BD387" s="35"/>
      <c r="BE387" s="35"/>
      <c r="BF387" s="35"/>
      <c r="BG387" s="35"/>
      <c r="BH387" s="35"/>
      <c r="BI387" s="35"/>
      <c r="BJ387" s="35"/>
      <c r="BK387" s="35"/>
      <c r="BL387" s="35"/>
      <c r="BM387" s="35"/>
      <c r="BN387" s="35"/>
      <c r="BO387" s="35"/>
      <c r="BP387" s="35"/>
      <c r="BQ387" s="35"/>
      <c r="BR387" s="35"/>
      <c r="BS387" s="35"/>
      <c r="BT387" s="35"/>
      <c r="BU387" s="35"/>
      <c r="BV387" s="35"/>
      <c r="BW387" s="35"/>
      <c r="BX387" s="35"/>
      <c r="BY387" s="35"/>
      <c r="BZ387" s="35"/>
      <c r="CA387" s="35"/>
      <c r="CB387" s="35"/>
      <c r="CC387" s="35"/>
      <c r="CD387" s="35"/>
      <c r="CE387" s="35"/>
      <c r="CF387" s="35"/>
      <c r="CG387" s="35"/>
      <c r="CH387" s="35"/>
      <c r="CI387" s="35"/>
      <c r="CJ387" s="35"/>
      <c r="CK387" s="35"/>
      <c r="CL387" s="35"/>
      <c r="CM387" s="35"/>
      <c r="CN387" s="35"/>
      <c r="CO387" s="35"/>
      <c r="CP387" s="35"/>
      <c r="CQ387" s="35"/>
      <c r="CR387" s="35"/>
      <c r="CS387" s="35"/>
      <c r="CT387" s="36"/>
      <c r="CU387" s="35"/>
      <c r="CV387" s="35"/>
      <c r="CW387" s="35"/>
      <c r="CX387" s="35"/>
      <c r="CY387" s="35"/>
      <c r="CZ387" s="36"/>
      <c r="DA387" s="36"/>
      <c r="DB387" s="35"/>
      <c r="DC387" s="35"/>
      <c r="DD387" s="35"/>
      <c r="DE387" s="35"/>
      <c r="DF387" s="35"/>
      <c r="DG387" s="35"/>
      <c r="DH387" s="35"/>
      <c r="DI387" s="35"/>
      <c r="DJ387" s="35"/>
      <c r="DK387" s="35"/>
      <c r="DL387" s="35"/>
      <c r="DM387" s="35"/>
      <c r="DN387" s="35"/>
      <c r="DO387" s="35"/>
      <c r="DP387" s="35"/>
      <c r="DQ387" s="35"/>
      <c r="DR387" s="35"/>
      <c r="DS387" s="35"/>
      <c r="DT387" s="35"/>
      <c r="DU387" s="35"/>
      <c r="DV387" s="35"/>
      <c r="DW387" s="35"/>
      <c r="DX387" s="35"/>
      <c r="DY387" s="35"/>
      <c r="DZ387" s="36"/>
      <c r="EA387" s="35"/>
      <c r="EB387" s="35"/>
      <c r="EC387" s="35"/>
      <c r="ED387" s="35"/>
      <c r="EE387" s="35"/>
      <c r="EF387" s="35"/>
      <c r="EG387" s="35"/>
      <c r="EH387" s="35"/>
      <c r="EI387" s="35"/>
      <c r="EJ387" s="35"/>
      <c r="EK387" s="35"/>
      <c r="EL387" s="35"/>
      <c r="EM387" s="35"/>
      <c r="EN387" s="35"/>
      <c r="EO387" s="35"/>
      <c r="EP387" s="35"/>
      <c r="EQ387" s="35"/>
      <c r="ER387" s="35"/>
      <c r="ES387" s="35"/>
      <c r="ET387" s="35"/>
      <c r="EU387" s="35"/>
      <c r="EV387" s="35"/>
      <c r="EW387" s="35"/>
      <c r="EX387" s="35"/>
      <c r="EY387" s="36"/>
      <c r="EZ387" s="35"/>
      <c r="FA387" s="35"/>
      <c r="FB387" s="35"/>
      <c r="FC387" s="35"/>
      <c r="FD387" s="35"/>
      <c r="FE387" s="35"/>
      <c r="FF387" s="35"/>
      <c r="FG387" s="35"/>
      <c r="FH387" s="35"/>
      <c r="FI387" s="35"/>
      <c r="FJ387" s="35"/>
      <c r="FK387" s="35"/>
      <c r="FL387" s="35"/>
      <c r="FM387" s="35"/>
      <c r="FN387" s="35"/>
      <c r="FO387" s="35"/>
      <c r="FP387" s="35"/>
      <c r="FQ387" s="52"/>
      <c r="FS387" s="9" t="s">
        <v>13</v>
      </c>
      <c r="FT387" s="9" t="str">
        <f t="shared" si="6597"/>
        <v>12. FDS Release 4 12.10 FDS Release 4 - PGLS support</v>
      </c>
    </row>
    <row r="388" spans="1:176" ht="12" hidden="1" customHeight="1" outlineLevel="1">
      <c r="A388" s="122"/>
      <c r="B388" s="123"/>
      <c r="C388" s="131" t="str">
        <f t="shared" si="7293"/>
        <v>0 days</v>
      </c>
      <c r="D388" s="13" t="str">
        <f>A$329&amp;" "&amp;A384</f>
        <v>12. FDS Release 4 12.10 FDS Release 4 - PGLS support</v>
      </c>
      <c r="E388" s="51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  <c r="AL388" s="36"/>
      <c r="AM388" s="36"/>
      <c r="AN388" s="36"/>
      <c r="AO388" s="36"/>
      <c r="AP388" s="36"/>
      <c r="AQ388" s="36"/>
      <c r="AR388" s="36"/>
      <c r="AS388" s="35"/>
      <c r="AT388" s="35"/>
      <c r="AU388" s="35"/>
      <c r="AV388" s="35"/>
      <c r="AW388" s="35"/>
      <c r="AX388" s="35"/>
      <c r="AY388" s="35"/>
      <c r="AZ388" s="35"/>
      <c r="BA388" s="35"/>
      <c r="BB388" s="35"/>
      <c r="BC388" s="35"/>
      <c r="BD388" s="35"/>
      <c r="BE388" s="35"/>
      <c r="BF388" s="35"/>
      <c r="BG388" s="35"/>
      <c r="BH388" s="35"/>
      <c r="BI388" s="35"/>
      <c r="BJ388" s="35"/>
      <c r="BK388" s="35"/>
      <c r="BL388" s="35"/>
      <c r="BM388" s="35"/>
      <c r="BN388" s="35"/>
      <c r="BO388" s="35"/>
      <c r="BP388" s="35"/>
      <c r="BQ388" s="35"/>
      <c r="BR388" s="35"/>
      <c r="BS388" s="35"/>
      <c r="BT388" s="35"/>
      <c r="BU388" s="35"/>
      <c r="BV388" s="35"/>
      <c r="BW388" s="35"/>
      <c r="BX388" s="35"/>
      <c r="BY388" s="35"/>
      <c r="BZ388" s="35"/>
      <c r="CA388" s="35"/>
      <c r="CB388" s="35"/>
      <c r="CC388" s="35"/>
      <c r="CD388" s="35"/>
      <c r="CE388" s="35"/>
      <c r="CF388" s="35"/>
      <c r="CG388" s="35"/>
      <c r="CH388" s="35"/>
      <c r="CI388" s="35"/>
      <c r="CJ388" s="35"/>
      <c r="CK388" s="35"/>
      <c r="CL388" s="35"/>
      <c r="CM388" s="35"/>
      <c r="CN388" s="35"/>
      <c r="CO388" s="35"/>
      <c r="CP388" s="35"/>
      <c r="CQ388" s="35"/>
      <c r="CR388" s="35"/>
      <c r="CS388" s="35"/>
      <c r="CT388" s="36"/>
      <c r="CU388" s="35"/>
      <c r="CV388" s="35"/>
      <c r="CW388" s="35"/>
      <c r="CX388" s="35"/>
      <c r="CY388" s="35"/>
      <c r="CZ388" s="36"/>
      <c r="DA388" s="36"/>
      <c r="DB388" s="35"/>
      <c r="DC388" s="35"/>
      <c r="DD388" s="35"/>
      <c r="DE388" s="35"/>
      <c r="DF388" s="35"/>
      <c r="DG388" s="35"/>
      <c r="DH388" s="35"/>
      <c r="DI388" s="35"/>
      <c r="DJ388" s="35"/>
      <c r="DK388" s="35"/>
      <c r="DL388" s="35"/>
      <c r="DM388" s="35"/>
      <c r="DN388" s="35"/>
      <c r="DO388" s="35"/>
      <c r="DP388" s="35"/>
      <c r="DQ388" s="35"/>
      <c r="DR388" s="35"/>
      <c r="DS388" s="35"/>
      <c r="DT388" s="35"/>
      <c r="DU388" s="35"/>
      <c r="DV388" s="35"/>
      <c r="DW388" s="35"/>
      <c r="DX388" s="35"/>
      <c r="DY388" s="35"/>
      <c r="DZ388" s="36"/>
      <c r="EA388" s="35"/>
      <c r="EB388" s="35"/>
      <c r="EC388" s="35"/>
      <c r="ED388" s="35"/>
      <c r="EE388" s="35"/>
      <c r="EF388" s="35"/>
      <c r="EG388" s="35"/>
      <c r="EH388" s="35"/>
      <c r="EI388" s="35"/>
      <c r="EJ388" s="35"/>
      <c r="EK388" s="35"/>
      <c r="EL388" s="35"/>
      <c r="EM388" s="35"/>
      <c r="EN388" s="35"/>
      <c r="EO388" s="35"/>
      <c r="EP388" s="35"/>
      <c r="EQ388" s="35"/>
      <c r="ER388" s="35"/>
      <c r="ES388" s="35"/>
      <c r="ET388" s="35"/>
      <c r="EU388" s="35"/>
      <c r="EV388" s="35"/>
      <c r="EW388" s="35"/>
      <c r="EX388" s="35"/>
      <c r="EY388" s="36"/>
      <c r="EZ388" s="35"/>
      <c r="FA388" s="35"/>
      <c r="FB388" s="35"/>
      <c r="FC388" s="35"/>
      <c r="FD388" s="35"/>
      <c r="FE388" s="35"/>
      <c r="FF388" s="35"/>
      <c r="FG388" s="35"/>
      <c r="FH388" s="35"/>
      <c r="FI388" s="35"/>
      <c r="FJ388" s="35"/>
      <c r="FK388" s="35"/>
      <c r="FL388" s="35"/>
      <c r="FM388" s="35"/>
      <c r="FN388" s="35"/>
      <c r="FO388" s="35"/>
      <c r="FP388" s="35"/>
      <c r="FQ388" s="52"/>
      <c r="FS388" s="9" t="s">
        <v>13</v>
      </c>
      <c r="FT388" s="9" t="str">
        <f t="shared" si="6597"/>
        <v>12. FDS Release 4 12.10 FDS Release 4 - PGLS support</v>
      </c>
    </row>
    <row r="389" spans="1:176" ht="12" hidden="1" customHeight="1" outlineLevel="1">
      <c r="A389" s="122"/>
      <c r="B389" s="123"/>
      <c r="C389" s="131" t="str">
        <f t="shared" si="7293"/>
        <v>0 days</v>
      </c>
      <c r="D389" s="13" t="str">
        <f>A$329&amp;" "&amp;A384</f>
        <v>12. FDS Release 4 12.10 FDS Release 4 - PGLS support</v>
      </c>
      <c r="E389" s="51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  <c r="AL389" s="36"/>
      <c r="AM389" s="36"/>
      <c r="AN389" s="36"/>
      <c r="AO389" s="36"/>
      <c r="AP389" s="36"/>
      <c r="AQ389" s="36"/>
      <c r="AR389" s="36"/>
      <c r="AS389" s="35"/>
      <c r="AT389" s="35"/>
      <c r="AU389" s="35"/>
      <c r="AV389" s="35"/>
      <c r="AW389" s="35"/>
      <c r="AX389" s="35"/>
      <c r="AY389" s="35"/>
      <c r="AZ389" s="35"/>
      <c r="BA389" s="35"/>
      <c r="BB389" s="35"/>
      <c r="BC389" s="35"/>
      <c r="BD389" s="35"/>
      <c r="BE389" s="35"/>
      <c r="BF389" s="35"/>
      <c r="BG389" s="35"/>
      <c r="BH389" s="35"/>
      <c r="BI389" s="35"/>
      <c r="BJ389" s="35"/>
      <c r="BK389" s="35"/>
      <c r="BL389" s="35"/>
      <c r="BM389" s="35"/>
      <c r="BN389" s="35"/>
      <c r="BO389" s="35"/>
      <c r="BP389" s="35"/>
      <c r="BQ389" s="35"/>
      <c r="BR389" s="35"/>
      <c r="BS389" s="35"/>
      <c r="BT389" s="35"/>
      <c r="BU389" s="35"/>
      <c r="BV389" s="35"/>
      <c r="BW389" s="35"/>
      <c r="BX389" s="35"/>
      <c r="BY389" s="35"/>
      <c r="BZ389" s="35"/>
      <c r="CA389" s="35"/>
      <c r="CB389" s="35"/>
      <c r="CC389" s="35"/>
      <c r="CD389" s="35"/>
      <c r="CE389" s="35"/>
      <c r="CF389" s="35"/>
      <c r="CG389" s="35"/>
      <c r="CH389" s="35"/>
      <c r="CI389" s="35"/>
      <c r="CJ389" s="35"/>
      <c r="CK389" s="35"/>
      <c r="CL389" s="35"/>
      <c r="CM389" s="35"/>
      <c r="CN389" s="35"/>
      <c r="CO389" s="35"/>
      <c r="CP389" s="35"/>
      <c r="CQ389" s="35"/>
      <c r="CR389" s="35"/>
      <c r="CS389" s="35"/>
      <c r="CT389" s="36"/>
      <c r="CU389" s="35"/>
      <c r="CV389" s="35"/>
      <c r="CW389" s="35"/>
      <c r="CX389" s="35"/>
      <c r="CY389" s="35"/>
      <c r="CZ389" s="36"/>
      <c r="DA389" s="36"/>
      <c r="DB389" s="35"/>
      <c r="DC389" s="35"/>
      <c r="DD389" s="35"/>
      <c r="DE389" s="35"/>
      <c r="DF389" s="35"/>
      <c r="DG389" s="35"/>
      <c r="DH389" s="35"/>
      <c r="DI389" s="35"/>
      <c r="DJ389" s="35"/>
      <c r="DK389" s="35"/>
      <c r="DL389" s="35"/>
      <c r="DM389" s="35"/>
      <c r="DN389" s="35"/>
      <c r="DO389" s="35"/>
      <c r="DP389" s="35"/>
      <c r="DQ389" s="35"/>
      <c r="DR389" s="35"/>
      <c r="DS389" s="35"/>
      <c r="DT389" s="35"/>
      <c r="DU389" s="35"/>
      <c r="DV389" s="35"/>
      <c r="DW389" s="35"/>
      <c r="DX389" s="35"/>
      <c r="DY389" s="35"/>
      <c r="DZ389" s="36"/>
      <c r="EA389" s="35"/>
      <c r="EB389" s="35"/>
      <c r="EC389" s="35"/>
      <c r="ED389" s="35"/>
      <c r="EE389" s="35"/>
      <c r="EF389" s="35"/>
      <c r="EG389" s="35"/>
      <c r="EH389" s="35"/>
      <c r="EI389" s="35"/>
      <c r="EJ389" s="35"/>
      <c r="EK389" s="35"/>
      <c r="EL389" s="35"/>
      <c r="EM389" s="35"/>
      <c r="EN389" s="35"/>
      <c r="EO389" s="35"/>
      <c r="EP389" s="35"/>
      <c r="EQ389" s="35"/>
      <c r="ER389" s="35"/>
      <c r="ES389" s="35"/>
      <c r="ET389" s="35"/>
      <c r="EU389" s="35"/>
      <c r="EV389" s="35"/>
      <c r="EW389" s="35"/>
      <c r="EX389" s="35"/>
      <c r="EY389" s="36"/>
      <c r="EZ389" s="35"/>
      <c r="FA389" s="35"/>
      <c r="FB389" s="35"/>
      <c r="FC389" s="35"/>
      <c r="FD389" s="35"/>
      <c r="FE389" s="35"/>
      <c r="FF389" s="35"/>
      <c r="FG389" s="35"/>
      <c r="FH389" s="35"/>
      <c r="FI389" s="35"/>
      <c r="FJ389" s="35"/>
      <c r="FK389" s="35"/>
      <c r="FL389" s="35"/>
      <c r="FM389" s="35"/>
      <c r="FN389" s="35"/>
      <c r="FO389" s="35"/>
      <c r="FP389" s="35"/>
      <c r="FQ389" s="52"/>
      <c r="FS389" s="9" t="s">
        <v>13</v>
      </c>
      <c r="FT389" s="9" t="str">
        <f t="shared" si="6597"/>
        <v>12. FDS Release 4 12.10 FDS Release 4 - PGLS support</v>
      </c>
    </row>
    <row r="390" spans="1:176" ht="12" customHeight="1" collapsed="1">
      <c r="A390" s="119" t="s">
        <v>118</v>
      </c>
      <c r="B390" s="127"/>
      <c r="C390" s="128" t="str">
        <f>ROUND(SUM(E390:FQ390),0) &amp; " days"</f>
        <v>14 days</v>
      </c>
      <c r="D390" s="37"/>
      <c r="E390" s="91" t="str">
        <f t="shared" ref="E390:BP390" si="7294">IF(SUBTOTAL(9,E391:E395)&gt;0,SUBTOTAL(9,E391:E395),"")</f>
        <v/>
      </c>
      <c r="F390" s="34" t="str">
        <f t="shared" si="7294"/>
        <v/>
      </c>
      <c r="G390" s="34" t="str">
        <f t="shared" si="7294"/>
        <v/>
      </c>
      <c r="H390" s="34" t="str">
        <f t="shared" si="7294"/>
        <v/>
      </c>
      <c r="I390" s="34" t="str">
        <f t="shared" si="7294"/>
        <v/>
      </c>
      <c r="J390" s="34" t="str">
        <f t="shared" si="7294"/>
        <v/>
      </c>
      <c r="K390" s="34" t="str">
        <f t="shared" si="7294"/>
        <v/>
      </c>
      <c r="L390" s="34" t="str">
        <f t="shared" si="7294"/>
        <v/>
      </c>
      <c r="M390" s="34" t="str">
        <f t="shared" si="7294"/>
        <v/>
      </c>
      <c r="N390" s="34" t="str">
        <f t="shared" si="7294"/>
        <v/>
      </c>
      <c r="O390" s="34" t="str">
        <f t="shared" si="7294"/>
        <v/>
      </c>
      <c r="P390" s="34" t="str">
        <f t="shared" si="7294"/>
        <v/>
      </c>
      <c r="Q390" s="34" t="str">
        <f t="shared" si="7294"/>
        <v/>
      </c>
      <c r="R390" s="34" t="str">
        <f t="shared" si="7294"/>
        <v/>
      </c>
      <c r="S390" s="34" t="str">
        <f t="shared" si="7294"/>
        <v/>
      </c>
      <c r="T390" s="34" t="str">
        <f t="shared" si="7294"/>
        <v/>
      </c>
      <c r="U390" s="34" t="str">
        <f t="shared" si="7294"/>
        <v/>
      </c>
      <c r="V390" s="34" t="str">
        <f t="shared" si="7294"/>
        <v/>
      </c>
      <c r="W390" s="34" t="str">
        <f t="shared" si="7294"/>
        <v/>
      </c>
      <c r="X390" s="34" t="str">
        <f t="shared" si="7294"/>
        <v/>
      </c>
      <c r="Y390" s="34" t="str">
        <f t="shared" si="7294"/>
        <v/>
      </c>
      <c r="Z390" s="34" t="str">
        <f t="shared" si="7294"/>
        <v/>
      </c>
      <c r="AA390" s="34" t="str">
        <f t="shared" si="7294"/>
        <v/>
      </c>
      <c r="AB390" s="34" t="str">
        <f t="shared" si="7294"/>
        <v/>
      </c>
      <c r="AC390" s="34" t="str">
        <f t="shared" si="7294"/>
        <v/>
      </c>
      <c r="AD390" s="34" t="str">
        <f t="shared" si="7294"/>
        <v/>
      </c>
      <c r="AE390" s="34" t="str">
        <f t="shared" si="7294"/>
        <v/>
      </c>
      <c r="AF390" s="34" t="str">
        <f t="shared" si="7294"/>
        <v/>
      </c>
      <c r="AG390" s="34" t="str">
        <f t="shared" si="7294"/>
        <v/>
      </c>
      <c r="AH390" s="34" t="str">
        <f t="shared" si="7294"/>
        <v/>
      </c>
      <c r="AI390" s="34" t="str">
        <f t="shared" si="7294"/>
        <v/>
      </c>
      <c r="AJ390" s="34" t="str">
        <f t="shared" si="7294"/>
        <v/>
      </c>
      <c r="AK390" s="34" t="str">
        <f t="shared" si="7294"/>
        <v/>
      </c>
      <c r="AL390" s="33" t="str">
        <f t="shared" si="7294"/>
        <v/>
      </c>
      <c r="AM390" s="33" t="str">
        <f t="shared" si="7294"/>
        <v/>
      </c>
      <c r="AN390" s="33" t="str">
        <f t="shared" si="7294"/>
        <v/>
      </c>
      <c r="AO390" s="33" t="str">
        <f t="shared" si="7294"/>
        <v/>
      </c>
      <c r="AP390" s="33" t="str">
        <f t="shared" si="7294"/>
        <v/>
      </c>
      <c r="AQ390" s="33" t="str">
        <f t="shared" si="7294"/>
        <v/>
      </c>
      <c r="AR390" s="33" t="str">
        <f t="shared" si="7294"/>
        <v/>
      </c>
      <c r="AS390" s="34" t="str">
        <f t="shared" si="7294"/>
        <v/>
      </c>
      <c r="AT390" s="34" t="str">
        <f t="shared" si="7294"/>
        <v/>
      </c>
      <c r="AU390" s="34" t="str">
        <f t="shared" si="7294"/>
        <v/>
      </c>
      <c r="AV390" s="34" t="str">
        <f t="shared" si="7294"/>
        <v/>
      </c>
      <c r="AW390" s="34" t="str">
        <f t="shared" si="7294"/>
        <v/>
      </c>
      <c r="AX390" s="34" t="str">
        <f t="shared" si="7294"/>
        <v/>
      </c>
      <c r="AY390" s="34" t="str">
        <f t="shared" si="7294"/>
        <v/>
      </c>
      <c r="AZ390" s="34" t="str">
        <f t="shared" si="7294"/>
        <v/>
      </c>
      <c r="BA390" s="34" t="str">
        <f t="shared" si="7294"/>
        <v/>
      </c>
      <c r="BB390" s="34" t="str">
        <f t="shared" si="7294"/>
        <v/>
      </c>
      <c r="BC390" s="34" t="str">
        <f t="shared" si="7294"/>
        <v/>
      </c>
      <c r="BD390" s="34" t="str">
        <f t="shared" si="7294"/>
        <v/>
      </c>
      <c r="BE390" s="34" t="str">
        <f t="shared" si="7294"/>
        <v/>
      </c>
      <c r="BF390" s="34" t="str">
        <f t="shared" si="7294"/>
        <v/>
      </c>
      <c r="BG390" s="34" t="str">
        <f t="shared" si="7294"/>
        <v/>
      </c>
      <c r="BH390" s="34" t="str">
        <f t="shared" si="7294"/>
        <v/>
      </c>
      <c r="BI390" s="34" t="str">
        <f t="shared" si="7294"/>
        <v/>
      </c>
      <c r="BJ390" s="34" t="str">
        <f t="shared" si="7294"/>
        <v/>
      </c>
      <c r="BK390" s="34" t="str">
        <f t="shared" si="7294"/>
        <v/>
      </c>
      <c r="BL390" s="34" t="str">
        <f t="shared" si="7294"/>
        <v/>
      </c>
      <c r="BM390" s="34" t="str">
        <f t="shared" si="7294"/>
        <v/>
      </c>
      <c r="BN390" s="34" t="str">
        <f t="shared" si="7294"/>
        <v/>
      </c>
      <c r="BO390" s="34" t="str">
        <f t="shared" si="7294"/>
        <v/>
      </c>
      <c r="BP390" s="34" t="str">
        <f t="shared" si="7294"/>
        <v/>
      </c>
      <c r="BQ390" s="34" t="str">
        <f t="shared" ref="BQ390:EB390" si="7295">IF(SUBTOTAL(9,BQ391:BQ395)&gt;0,SUBTOTAL(9,BQ391:BQ395),"")</f>
        <v/>
      </c>
      <c r="BR390" s="34" t="str">
        <f t="shared" si="7295"/>
        <v/>
      </c>
      <c r="BS390" s="34" t="str">
        <f t="shared" si="7295"/>
        <v/>
      </c>
      <c r="BT390" s="34" t="str">
        <f t="shared" si="7295"/>
        <v/>
      </c>
      <c r="BU390" s="34" t="str">
        <f t="shared" si="7295"/>
        <v/>
      </c>
      <c r="BV390" s="34" t="str">
        <f t="shared" si="7295"/>
        <v/>
      </c>
      <c r="BW390" s="34" t="str">
        <f t="shared" si="7295"/>
        <v/>
      </c>
      <c r="BX390" s="34" t="str">
        <f t="shared" si="7295"/>
        <v/>
      </c>
      <c r="BY390" s="34" t="str">
        <f t="shared" si="7295"/>
        <v/>
      </c>
      <c r="BZ390" s="34" t="str">
        <f t="shared" si="7295"/>
        <v/>
      </c>
      <c r="CA390" s="34" t="str">
        <f t="shared" si="7295"/>
        <v/>
      </c>
      <c r="CB390" s="34" t="str">
        <f t="shared" si="7295"/>
        <v/>
      </c>
      <c r="CC390" s="34" t="str">
        <f t="shared" si="7295"/>
        <v/>
      </c>
      <c r="CD390" s="34" t="str">
        <f t="shared" si="7295"/>
        <v/>
      </c>
      <c r="CE390" s="34" t="str">
        <f t="shared" si="7295"/>
        <v/>
      </c>
      <c r="CF390" s="34" t="str">
        <f t="shared" si="7295"/>
        <v/>
      </c>
      <c r="CG390" s="34" t="str">
        <f t="shared" si="7295"/>
        <v/>
      </c>
      <c r="CH390" s="34" t="str">
        <f t="shared" si="7295"/>
        <v/>
      </c>
      <c r="CI390" s="34" t="str">
        <f t="shared" si="7295"/>
        <v/>
      </c>
      <c r="CJ390" s="34" t="str">
        <f t="shared" si="7295"/>
        <v/>
      </c>
      <c r="CK390" s="34" t="str">
        <f t="shared" si="7295"/>
        <v/>
      </c>
      <c r="CL390" s="34">
        <f t="shared" si="7295"/>
        <v>0.6</v>
      </c>
      <c r="CM390" s="34">
        <f t="shared" si="7295"/>
        <v>0.6</v>
      </c>
      <c r="CN390" s="34">
        <f t="shared" si="7295"/>
        <v>0.6</v>
      </c>
      <c r="CO390" s="34">
        <f t="shared" si="7295"/>
        <v>0.6</v>
      </c>
      <c r="CP390" s="34">
        <f t="shared" si="7295"/>
        <v>0.6</v>
      </c>
      <c r="CQ390" s="34">
        <f t="shared" si="7295"/>
        <v>0.8</v>
      </c>
      <c r="CR390" s="34">
        <f t="shared" si="7295"/>
        <v>0.5</v>
      </c>
      <c r="CS390" s="34" t="str">
        <f t="shared" si="7295"/>
        <v/>
      </c>
      <c r="CT390" s="33" t="str">
        <f t="shared" si="7295"/>
        <v/>
      </c>
      <c r="CU390" s="34">
        <f t="shared" si="7295"/>
        <v>0.6</v>
      </c>
      <c r="CV390" s="34">
        <f t="shared" si="7295"/>
        <v>0.6</v>
      </c>
      <c r="CW390" s="34">
        <f t="shared" si="7295"/>
        <v>0.8</v>
      </c>
      <c r="CX390" s="34" t="str">
        <f t="shared" si="7295"/>
        <v/>
      </c>
      <c r="CY390" s="34" t="str">
        <f t="shared" si="7295"/>
        <v/>
      </c>
      <c r="CZ390" s="33" t="str">
        <f t="shared" si="7295"/>
        <v/>
      </c>
      <c r="DA390" s="33" t="str">
        <f t="shared" si="7295"/>
        <v/>
      </c>
      <c r="DB390" s="34">
        <f t="shared" si="7295"/>
        <v>0.5</v>
      </c>
      <c r="DC390" s="34">
        <f>IF(SUBTOTAL(9,DC391:DC395)&gt;0,SUBTOTAL(9,DC391:DC395),"")</f>
        <v>0.5</v>
      </c>
      <c r="DD390" s="34">
        <f>IF(SUBTOTAL(9,DD391:DD395)&gt;0,SUBTOTAL(9,DD391:DD395),"")</f>
        <v>0.7</v>
      </c>
      <c r="DE390" s="34" t="str">
        <f>IF(SUBTOTAL(9,DE391:DE395)&gt;0,SUBTOTAL(9,DE391:DE395),"")</f>
        <v/>
      </c>
      <c r="DF390" s="34" t="str">
        <f t="shared" si="7295"/>
        <v/>
      </c>
      <c r="DG390" s="34" t="str">
        <f t="shared" si="7295"/>
        <v/>
      </c>
      <c r="DH390" s="34" t="str">
        <f t="shared" si="7295"/>
        <v/>
      </c>
      <c r="DI390" s="34" t="str">
        <f t="shared" si="7295"/>
        <v/>
      </c>
      <c r="DJ390" s="34" t="str">
        <f t="shared" si="7295"/>
        <v/>
      </c>
      <c r="DK390" s="34" t="str">
        <f t="shared" si="7295"/>
        <v/>
      </c>
      <c r="DL390" s="34" t="str">
        <f t="shared" si="7295"/>
        <v/>
      </c>
      <c r="DM390" s="34" t="str">
        <f t="shared" si="7295"/>
        <v/>
      </c>
      <c r="DN390" s="34" t="str">
        <f t="shared" si="7295"/>
        <v/>
      </c>
      <c r="DO390" s="34" t="str">
        <f t="shared" si="7295"/>
        <v/>
      </c>
      <c r="DP390" s="34" t="str">
        <f t="shared" si="7295"/>
        <v/>
      </c>
      <c r="DQ390" s="34" t="str">
        <f t="shared" si="7295"/>
        <v/>
      </c>
      <c r="DR390" s="34" t="str">
        <f t="shared" si="7295"/>
        <v/>
      </c>
      <c r="DS390" s="34" t="str">
        <f t="shared" si="7295"/>
        <v/>
      </c>
      <c r="DT390" s="34" t="str">
        <f t="shared" si="7295"/>
        <v/>
      </c>
      <c r="DU390" s="34" t="str">
        <f t="shared" si="7295"/>
        <v/>
      </c>
      <c r="DV390" s="34" t="str">
        <f t="shared" si="7295"/>
        <v/>
      </c>
      <c r="DW390" s="34" t="str">
        <f t="shared" si="7295"/>
        <v/>
      </c>
      <c r="DX390" s="34" t="str">
        <f t="shared" si="7295"/>
        <v/>
      </c>
      <c r="DY390" s="34" t="str">
        <f t="shared" si="7295"/>
        <v/>
      </c>
      <c r="DZ390" s="33" t="str">
        <f t="shared" si="7295"/>
        <v/>
      </c>
      <c r="EA390" s="34">
        <f t="shared" si="7295"/>
        <v>1</v>
      </c>
      <c r="EB390" s="34">
        <f t="shared" si="7295"/>
        <v>1</v>
      </c>
      <c r="EC390" s="34">
        <f t="shared" ref="EC390:FQ390" si="7296">IF(SUBTOTAL(9,EC391:EC395)&gt;0,SUBTOTAL(9,EC391:EC395),"")</f>
        <v>1</v>
      </c>
      <c r="ED390" s="34">
        <f t="shared" si="7296"/>
        <v>1</v>
      </c>
      <c r="EE390" s="34">
        <f t="shared" si="7296"/>
        <v>1</v>
      </c>
      <c r="EF390" s="34">
        <f>IF(SUBTOTAL(9,EF391:EF395)&gt;0,SUBTOTAL(9,EF391:EF395),"")</f>
        <v>1</v>
      </c>
      <c r="EG390" s="34" t="str">
        <f t="shared" si="7296"/>
        <v/>
      </c>
      <c r="EH390" s="34" t="str">
        <f t="shared" si="7296"/>
        <v/>
      </c>
      <c r="EI390" s="34" t="str">
        <f t="shared" si="7296"/>
        <v/>
      </c>
      <c r="EJ390" s="34" t="str">
        <f t="shared" si="7296"/>
        <v/>
      </c>
      <c r="EK390" s="34" t="str">
        <f t="shared" si="7296"/>
        <v/>
      </c>
      <c r="EL390" s="34" t="str">
        <f t="shared" si="7296"/>
        <v/>
      </c>
      <c r="EM390" s="34" t="str">
        <f t="shared" si="7296"/>
        <v/>
      </c>
      <c r="EN390" s="34" t="str">
        <f t="shared" si="7296"/>
        <v/>
      </c>
      <c r="EO390" s="34" t="str">
        <f t="shared" si="7296"/>
        <v/>
      </c>
      <c r="EP390" s="34" t="str">
        <f t="shared" si="7296"/>
        <v/>
      </c>
      <c r="EQ390" s="34" t="str">
        <f t="shared" si="7296"/>
        <v/>
      </c>
      <c r="ER390" s="34" t="str">
        <f t="shared" si="7296"/>
        <v/>
      </c>
      <c r="ES390" s="34" t="str">
        <f t="shared" si="7296"/>
        <v/>
      </c>
      <c r="ET390" s="34" t="str">
        <f t="shared" si="7296"/>
        <v/>
      </c>
      <c r="EU390" s="34" t="str">
        <f t="shared" si="7296"/>
        <v/>
      </c>
      <c r="EV390" s="34" t="str">
        <f t="shared" si="7296"/>
        <v/>
      </c>
      <c r="EW390" s="34" t="str">
        <f t="shared" si="7296"/>
        <v/>
      </c>
      <c r="EX390" s="34" t="str">
        <f t="shared" si="7296"/>
        <v/>
      </c>
      <c r="EY390" s="33" t="str">
        <f t="shared" si="7296"/>
        <v/>
      </c>
      <c r="EZ390" s="34" t="str">
        <f t="shared" si="7296"/>
        <v/>
      </c>
      <c r="FA390" s="34" t="str">
        <f t="shared" si="7296"/>
        <v/>
      </c>
      <c r="FB390" s="34" t="str">
        <f t="shared" si="7296"/>
        <v/>
      </c>
      <c r="FC390" s="34" t="str">
        <f t="shared" si="7296"/>
        <v/>
      </c>
      <c r="FD390" s="34" t="str">
        <f t="shared" si="7296"/>
        <v/>
      </c>
      <c r="FE390" s="34" t="str">
        <f t="shared" si="7296"/>
        <v/>
      </c>
      <c r="FF390" s="34" t="str">
        <f t="shared" si="7296"/>
        <v/>
      </c>
      <c r="FG390" s="34" t="str">
        <f t="shared" si="7296"/>
        <v/>
      </c>
      <c r="FH390" s="34" t="str">
        <f t="shared" si="7296"/>
        <v/>
      </c>
      <c r="FI390" s="34" t="str">
        <f t="shared" si="7296"/>
        <v/>
      </c>
      <c r="FJ390" s="34" t="str">
        <f t="shared" si="7296"/>
        <v/>
      </c>
      <c r="FK390" s="34" t="str">
        <f t="shared" si="7296"/>
        <v/>
      </c>
      <c r="FL390" s="34" t="str">
        <f t="shared" si="7296"/>
        <v/>
      </c>
      <c r="FM390" s="34" t="str">
        <f t="shared" si="7296"/>
        <v/>
      </c>
      <c r="FN390" s="34" t="str">
        <f t="shared" si="7296"/>
        <v/>
      </c>
      <c r="FO390" s="34" t="str">
        <f t="shared" si="7296"/>
        <v/>
      </c>
      <c r="FP390" s="34" t="str">
        <f t="shared" si="7296"/>
        <v/>
      </c>
      <c r="FQ390" s="92" t="str">
        <f t="shared" si="7296"/>
        <v/>
      </c>
      <c r="FS390" s="9" t="s">
        <v>131</v>
      </c>
      <c r="FT390" s="9" t="str">
        <f t="shared" si="6597"/>
        <v/>
      </c>
    </row>
    <row r="391" spans="1:176" ht="12" hidden="1" customHeight="1" outlineLevel="1">
      <c r="A391" s="122" t="s">
        <v>188</v>
      </c>
      <c r="B391" s="130" t="s">
        <v>10</v>
      </c>
      <c r="C391" s="131" t="str">
        <f t="shared" ref="C391:C395" si="7297">ROUND(SUM(E391:FQ391),0) &amp; " days"</f>
        <v>14 days</v>
      </c>
      <c r="D391" s="101" t="str">
        <f>A$329&amp;" "&amp;A390</f>
        <v>12. FDS Release 4 12.11 FDS Release 4 - Handover to BAU</v>
      </c>
      <c r="E391" s="51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  <c r="AL391" s="36"/>
      <c r="AM391" s="36"/>
      <c r="AN391" s="36"/>
      <c r="AO391" s="36"/>
      <c r="AP391" s="36"/>
      <c r="AQ391" s="36"/>
      <c r="AR391" s="36"/>
      <c r="AS391" s="35"/>
      <c r="AT391" s="35"/>
      <c r="AU391" s="35"/>
      <c r="AV391" s="35"/>
      <c r="AW391" s="35"/>
      <c r="AX391" s="35"/>
      <c r="AY391" s="35"/>
      <c r="AZ391" s="35"/>
      <c r="BA391" s="35"/>
      <c r="BB391" s="35"/>
      <c r="BC391" s="35"/>
      <c r="BD391" s="35"/>
      <c r="BE391" s="35"/>
      <c r="BF391" s="35"/>
      <c r="BG391" s="35"/>
      <c r="BH391" s="35"/>
      <c r="BI391" s="35"/>
      <c r="BJ391" s="35"/>
      <c r="BK391" s="35"/>
      <c r="BL391" s="35"/>
      <c r="BM391" s="35"/>
      <c r="BN391" s="35"/>
      <c r="BO391" s="35"/>
      <c r="BP391" s="35"/>
      <c r="BQ391" s="35"/>
      <c r="BR391" s="35"/>
      <c r="BS391" s="35"/>
      <c r="BT391" s="35"/>
      <c r="BU391" s="35"/>
      <c r="BV391" s="35"/>
      <c r="BW391" s="35"/>
      <c r="BX391" s="35"/>
      <c r="BY391" s="35"/>
      <c r="BZ391" s="35"/>
      <c r="CA391" s="35"/>
      <c r="CB391" s="35"/>
      <c r="CC391" s="35"/>
      <c r="CD391" s="35"/>
      <c r="CE391" s="35"/>
      <c r="CF391" s="35"/>
      <c r="CG391" s="35"/>
      <c r="CH391" s="35"/>
      <c r="CI391" s="35"/>
      <c r="CJ391" s="35"/>
      <c r="CK391" s="35"/>
      <c r="CL391" s="35">
        <v>0.6</v>
      </c>
      <c r="CM391" s="35">
        <v>0.6</v>
      </c>
      <c r="CN391" s="35">
        <v>0.6</v>
      </c>
      <c r="CO391" s="35">
        <v>0.6</v>
      </c>
      <c r="CP391" s="35">
        <v>0.6</v>
      </c>
      <c r="CQ391" s="35">
        <v>0.8</v>
      </c>
      <c r="CR391" s="35">
        <v>0.5</v>
      </c>
      <c r="CS391" s="35"/>
      <c r="CT391" s="36"/>
      <c r="CU391" s="35">
        <v>0.6</v>
      </c>
      <c r="CV391" s="35">
        <v>0.6</v>
      </c>
      <c r="CW391" s="35">
        <v>0.8</v>
      </c>
      <c r="CX391" s="35"/>
      <c r="CY391" s="35"/>
      <c r="CZ391" s="36"/>
      <c r="DA391" s="36"/>
      <c r="DB391" s="35">
        <v>0.5</v>
      </c>
      <c r="DC391" s="35">
        <v>0.5</v>
      </c>
      <c r="DD391" s="35">
        <v>0.7</v>
      </c>
      <c r="DE391" s="35"/>
      <c r="DF391" s="35"/>
      <c r="DG391" s="35"/>
      <c r="DH391" s="35"/>
      <c r="DI391" s="35"/>
      <c r="DJ391" s="35"/>
      <c r="DK391" s="35"/>
      <c r="DL391" s="35"/>
      <c r="DM391" s="35"/>
      <c r="DN391" s="35"/>
      <c r="DO391" s="35"/>
      <c r="DP391" s="35"/>
      <c r="DQ391" s="35"/>
      <c r="DR391" s="35"/>
      <c r="DS391" s="35"/>
      <c r="DT391" s="35"/>
      <c r="DU391" s="35"/>
      <c r="DV391" s="35"/>
      <c r="DW391" s="35"/>
      <c r="DX391" s="35"/>
      <c r="DY391" s="35"/>
      <c r="DZ391" s="36"/>
      <c r="EA391" s="35">
        <v>1</v>
      </c>
      <c r="EB391" s="35">
        <v>1</v>
      </c>
      <c r="EC391" s="35">
        <v>1</v>
      </c>
      <c r="ED391" s="35">
        <v>1</v>
      </c>
      <c r="EE391" s="35">
        <v>1</v>
      </c>
      <c r="EF391" s="35">
        <v>1</v>
      </c>
      <c r="EG391" s="98"/>
      <c r="EH391" s="35"/>
      <c r="EI391" s="35"/>
      <c r="EJ391" s="35"/>
      <c r="EK391" s="35"/>
      <c r="EL391" s="35"/>
      <c r="EM391" s="35"/>
      <c r="EN391" s="35"/>
      <c r="EO391" s="35"/>
      <c r="EP391" s="35"/>
      <c r="EQ391" s="35"/>
      <c r="ER391" s="35"/>
      <c r="ES391" s="35"/>
      <c r="ET391" s="35"/>
      <c r="EU391" s="35"/>
      <c r="EV391" s="35"/>
      <c r="EW391" s="35"/>
      <c r="EX391" s="35"/>
      <c r="EY391" s="36"/>
      <c r="EZ391" s="35"/>
      <c r="FA391" s="35"/>
      <c r="FB391" s="35"/>
      <c r="FC391" s="35"/>
      <c r="FD391" s="35"/>
      <c r="FE391" s="35"/>
      <c r="FF391" s="35"/>
      <c r="FG391" s="35"/>
      <c r="FH391" s="35"/>
      <c r="FI391" s="35"/>
      <c r="FJ391" s="35"/>
      <c r="FK391" s="35"/>
      <c r="FL391" s="35"/>
      <c r="FM391" s="35"/>
      <c r="FN391" s="35"/>
      <c r="FO391" s="35"/>
      <c r="FP391" s="35"/>
      <c r="FQ391" s="52"/>
      <c r="FS391" s="9" t="s">
        <v>13</v>
      </c>
      <c r="FT391" s="9" t="str">
        <f t="shared" si="6597"/>
        <v>12. FDS Release 4 12.11 FDS Release 4 - Handover to BAUGlenn Kirk</v>
      </c>
    </row>
    <row r="392" spans="1:176" ht="12" hidden="1" customHeight="1" outlineLevel="1">
      <c r="A392" s="122"/>
      <c r="B392" s="123"/>
      <c r="C392" s="131" t="str">
        <f t="shared" si="7297"/>
        <v>0 days</v>
      </c>
      <c r="D392" s="13" t="str">
        <f>A$329&amp;" "&amp;A390</f>
        <v>12. FDS Release 4 12.11 FDS Release 4 - Handover to BAU</v>
      </c>
      <c r="E392" s="51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/>
      <c r="AL392" s="36"/>
      <c r="AM392" s="36"/>
      <c r="AN392" s="36"/>
      <c r="AO392" s="36"/>
      <c r="AP392" s="36"/>
      <c r="AQ392" s="36"/>
      <c r="AR392" s="36"/>
      <c r="AS392" s="35"/>
      <c r="AT392" s="35"/>
      <c r="AU392" s="35"/>
      <c r="AV392" s="35"/>
      <c r="AW392" s="35"/>
      <c r="AX392" s="35"/>
      <c r="AY392" s="35"/>
      <c r="AZ392" s="35"/>
      <c r="BA392" s="35"/>
      <c r="BB392" s="35"/>
      <c r="BC392" s="35"/>
      <c r="BD392" s="35"/>
      <c r="BE392" s="35"/>
      <c r="BF392" s="35"/>
      <c r="BG392" s="35"/>
      <c r="BH392" s="35"/>
      <c r="BI392" s="35"/>
      <c r="BJ392" s="35"/>
      <c r="BK392" s="35"/>
      <c r="BL392" s="35"/>
      <c r="BM392" s="35"/>
      <c r="BN392" s="35"/>
      <c r="BO392" s="35"/>
      <c r="BP392" s="35"/>
      <c r="BQ392" s="35"/>
      <c r="BR392" s="35"/>
      <c r="BS392" s="35"/>
      <c r="BT392" s="35"/>
      <c r="BU392" s="35"/>
      <c r="BV392" s="35"/>
      <c r="BW392" s="35"/>
      <c r="BX392" s="35"/>
      <c r="BY392" s="35"/>
      <c r="BZ392" s="35"/>
      <c r="CA392" s="35"/>
      <c r="CB392" s="35"/>
      <c r="CC392" s="35"/>
      <c r="CD392" s="35"/>
      <c r="CE392" s="35"/>
      <c r="CF392" s="35"/>
      <c r="CG392" s="35"/>
      <c r="CH392" s="35"/>
      <c r="CI392" s="35"/>
      <c r="CJ392" s="35"/>
      <c r="CK392" s="35"/>
      <c r="CL392" s="35"/>
      <c r="CM392" s="35"/>
      <c r="CN392" s="35"/>
      <c r="CO392" s="35"/>
      <c r="CP392" s="35"/>
      <c r="CQ392" s="35"/>
      <c r="CR392" s="35"/>
      <c r="CS392" s="35"/>
      <c r="CT392" s="36"/>
      <c r="CU392" s="35"/>
      <c r="CV392" s="35"/>
      <c r="CW392" s="35"/>
      <c r="CX392" s="35"/>
      <c r="CY392" s="35"/>
      <c r="CZ392" s="36"/>
      <c r="DA392" s="36"/>
      <c r="DB392" s="35"/>
      <c r="DC392" s="35"/>
      <c r="DD392" s="35"/>
      <c r="DE392" s="35"/>
      <c r="DF392" s="35"/>
      <c r="DG392" s="35"/>
      <c r="DH392" s="35"/>
      <c r="DI392" s="35"/>
      <c r="DJ392" s="35"/>
      <c r="DK392" s="35"/>
      <c r="DL392" s="35"/>
      <c r="DM392" s="35"/>
      <c r="DN392" s="35"/>
      <c r="DO392" s="35"/>
      <c r="DP392" s="35"/>
      <c r="DQ392" s="35"/>
      <c r="DR392" s="35"/>
      <c r="DS392" s="35"/>
      <c r="DT392" s="35"/>
      <c r="DU392" s="35"/>
      <c r="DV392" s="35"/>
      <c r="DW392" s="35"/>
      <c r="DX392" s="35"/>
      <c r="DY392" s="35"/>
      <c r="DZ392" s="36"/>
      <c r="EA392" s="35"/>
      <c r="EB392" s="35"/>
      <c r="EC392" s="35"/>
      <c r="ED392" s="35"/>
      <c r="EE392" s="35"/>
      <c r="EF392" s="35"/>
      <c r="EG392" s="35"/>
      <c r="EH392" s="35"/>
      <c r="EI392" s="35"/>
      <c r="EJ392" s="35"/>
      <c r="EK392" s="35"/>
      <c r="EL392" s="35"/>
      <c r="EM392" s="35"/>
      <c r="EN392" s="35"/>
      <c r="EO392" s="35"/>
      <c r="EP392" s="35"/>
      <c r="EQ392" s="35"/>
      <c r="ER392" s="35"/>
      <c r="ES392" s="35"/>
      <c r="ET392" s="35"/>
      <c r="EU392" s="35"/>
      <c r="EV392" s="35"/>
      <c r="EW392" s="35"/>
      <c r="EX392" s="35"/>
      <c r="EY392" s="36"/>
      <c r="EZ392" s="35"/>
      <c r="FA392" s="35"/>
      <c r="FB392" s="35"/>
      <c r="FC392" s="35"/>
      <c r="FD392" s="35"/>
      <c r="FE392" s="35"/>
      <c r="FF392" s="35"/>
      <c r="FG392" s="35"/>
      <c r="FH392" s="35"/>
      <c r="FI392" s="35"/>
      <c r="FJ392" s="35"/>
      <c r="FK392" s="35"/>
      <c r="FL392" s="35"/>
      <c r="FM392" s="35"/>
      <c r="FN392" s="35"/>
      <c r="FO392" s="35"/>
      <c r="FP392" s="35"/>
      <c r="FQ392" s="52"/>
      <c r="FS392" s="9" t="s">
        <v>13</v>
      </c>
      <c r="FT392" s="9" t="str">
        <f t="shared" si="6597"/>
        <v>12. FDS Release 4 12.11 FDS Release 4 - Handover to BAU</v>
      </c>
    </row>
    <row r="393" spans="1:176" ht="12" hidden="1" customHeight="1" outlineLevel="1">
      <c r="A393" s="122"/>
      <c r="B393" s="123"/>
      <c r="C393" s="131" t="str">
        <f t="shared" si="7297"/>
        <v>0 days</v>
      </c>
      <c r="D393" s="13" t="str">
        <f>A$329&amp;" "&amp;A390</f>
        <v>12. FDS Release 4 12.11 FDS Release 4 - Handover to BAU</v>
      </c>
      <c r="E393" s="51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/>
      <c r="AL393" s="36"/>
      <c r="AM393" s="36"/>
      <c r="AN393" s="36"/>
      <c r="AO393" s="36"/>
      <c r="AP393" s="36"/>
      <c r="AQ393" s="36"/>
      <c r="AR393" s="36"/>
      <c r="AS393" s="35"/>
      <c r="AT393" s="35"/>
      <c r="AU393" s="35"/>
      <c r="AV393" s="35"/>
      <c r="AW393" s="35"/>
      <c r="AX393" s="35"/>
      <c r="AY393" s="35"/>
      <c r="AZ393" s="35"/>
      <c r="BA393" s="35"/>
      <c r="BB393" s="35"/>
      <c r="BC393" s="35"/>
      <c r="BD393" s="35"/>
      <c r="BE393" s="35"/>
      <c r="BF393" s="35"/>
      <c r="BG393" s="35"/>
      <c r="BH393" s="35"/>
      <c r="BI393" s="35"/>
      <c r="BJ393" s="35"/>
      <c r="BK393" s="35"/>
      <c r="BL393" s="35"/>
      <c r="BM393" s="35"/>
      <c r="BN393" s="35"/>
      <c r="BO393" s="35"/>
      <c r="BP393" s="35"/>
      <c r="BQ393" s="35"/>
      <c r="BR393" s="35"/>
      <c r="BS393" s="35"/>
      <c r="BT393" s="35"/>
      <c r="BU393" s="35"/>
      <c r="BV393" s="35"/>
      <c r="BW393" s="35"/>
      <c r="BX393" s="35"/>
      <c r="BY393" s="35"/>
      <c r="BZ393" s="35"/>
      <c r="CA393" s="35"/>
      <c r="CB393" s="35"/>
      <c r="CC393" s="35"/>
      <c r="CD393" s="35"/>
      <c r="CE393" s="35"/>
      <c r="CF393" s="35"/>
      <c r="CG393" s="35"/>
      <c r="CH393" s="35"/>
      <c r="CI393" s="35"/>
      <c r="CJ393" s="35"/>
      <c r="CK393" s="35"/>
      <c r="CL393" s="35"/>
      <c r="CM393" s="35"/>
      <c r="CN393" s="35"/>
      <c r="CO393" s="35"/>
      <c r="CP393" s="35"/>
      <c r="CQ393" s="35"/>
      <c r="CR393" s="35"/>
      <c r="CS393" s="35"/>
      <c r="CT393" s="36"/>
      <c r="CU393" s="35"/>
      <c r="CV393" s="35"/>
      <c r="CW393" s="35"/>
      <c r="CX393" s="35"/>
      <c r="CY393" s="35"/>
      <c r="CZ393" s="36"/>
      <c r="DA393" s="36"/>
      <c r="DB393" s="35"/>
      <c r="DC393" s="35"/>
      <c r="DD393" s="35"/>
      <c r="DE393" s="35"/>
      <c r="DF393" s="35"/>
      <c r="DG393" s="35"/>
      <c r="DH393" s="35"/>
      <c r="DI393" s="35"/>
      <c r="DJ393" s="35"/>
      <c r="DK393" s="35"/>
      <c r="DL393" s="35"/>
      <c r="DM393" s="35"/>
      <c r="DN393" s="35"/>
      <c r="DO393" s="35"/>
      <c r="DP393" s="35"/>
      <c r="DQ393" s="35"/>
      <c r="DR393" s="35"/>
      <c r="DS393" s="35"/>
      <c r="DT393" s="35"/>
      <c r="DU393" s="35"/>
      <c r="DV393" s="35"/>
      <c r="DW393" s="35"/>
      <c r="DX393" s="35"/>
      <c r="DY393" s="35"/>
      <c r="DZ393" s="36"/>
      <c r="EA393" s="35"/>
      <c r="EB393" s="35"/>
      <c r="EC393" s="35"/>
      <c r="ED393" s="35"/>
      <c r="EE393" s="35"/>
      <c r="EF393" s="35"/>
      <c r="EG393" s="35"/>
      <c r="EH393" s="35"/>
      <c r="EI393" s="35"/>
      <c r="EJ393" s="35"/>
      <c r="EK393" s="35"/>
      <c r="EL393" s="35"/>
      <c r="EM393" s="35"/>
      <c r="EN393" s="35"/>
      <c r="EO393" s="35"/>
      <c r="EP393" s="35"/>
      <c r="EQ393" s="35"/>
      <c r="ER393" s="35"/>
      <c r="ES393" s="35"/>
      <c r="ET393" s="35"/>
      <c r="EU393" s="35"/>
      <c r="EV393" s="35"/>
      <c r="EW393" s="35"/>
      <c r="EX393" s="35"/>
      <c r="EY393" s="36"/>
      <c r="EZ393" s="35"/>
      <c r="FA393" s="35"/>
      <c r="FB393" s="35"/>
      <c r="FC393" s="35"/>
      <c r="FD393" s="35"/>
      <c r="FE393" s="35"/>
      <c r="FF393" s="35"/>
      <c r="FG393" s="35"/>
      <c r="FH393" s="35"/>
      <c r="FI393" s="35"/>
      <c r="FJ393" s="35"/>
      <c r="FK393" s="35"/>
      <c r="FL393" s="35"/>
      <c r="FM393" s="35"/>
      <c r="FN393" s="35"/>
      <c r="FO393" s="35"/>
      <c r="FP393" s="35"/>
      <c r="FQ393" s="52"/>
      <c r="FS393" s="9" t="s">
        <v>13</v>
      </c>
      <c r="FT393" s="9" t="str">
        <f t="shared" si="6597"/>
        <v>12. FDS Release 4 12.11 FDS Release 4 - Handover to BAU</v>
      </c>
    </row>
    <row r="394" spans="1:176" ht="12" hidden="1" customHeight="1" outlineLevel="1">
      <c r="A394" s="122"/>
      <c r="B394" s="123"/>
      <c r="C394" s="131" t="str">
        <f t="shared" si="7297"/>
        <v>0 days</v>
      </c>
      <c r="D394" s="13" t="str">
        <f>A$329&amp;" "&amp;A390</f>
        <v>12. FDS Release 4 12.11 FDS Release 4 - Handover to BAU</v>
      </c>
      <c r="E394" s="51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  <c r="AL394" s="36"/>
      <c r="AM394" s="36"/>
      <c r="AN394" s="36"/>
      <c r="AO394" s="36"/>
      <c r="AP394" s="36"/>
      <c r="AQ394" s="36"/>
      <c r="AR394" s="36"/>
      <c r="AS394" s="35"/>
      <c r="AT394" s="35"/>
      <c r="AU394" s="35"/>
      <c r="AV394" s="35"/>
      <c r="AW394" s="35"/>
      <c r="AX394" s="35"/>
      <c r="AY394" s="35"/>
      <c r="AZ394" s="35"/>
      <c r="BA394" s="35"/>
      <c r="BB394" s="35"/>
      <c r="BC394" s="35"/>
      <c r="BD394" s="35"/>
      <c r="BE394" s="35"/>
      <c r="BF394" s="35"/>
      <c r="BG394" s="35"/>
      <c r="BH394" s="35"/>
      <c r="BI394" s="35"/>
      <c r="BJ394" s="35"/>
      <c r="BK394" s="35"/>
      <c r="BL394" s="35"/>
      <c r="BM394" s="35"/>
      <c r="BN394" s="35"/>
      <c r="BO394" s="35"/>
      <c r="BP394" s="35"/>
      <c r="BQ394" s="35"/>
      <c r="BR394" s="35"/>
      <c r="BS394" s="35"/>
      <c r="BT394" s="35"/>
      <c r="BU394" s="35"/>
      <c r="BV394" s="35"/>
      <c r="BW394" s="35"/>
      <c r="BX394" s="35"/>
      <c r="BY394" s="35"/>
      <c r="BZ394" s="35"/>
      <c r="CA394" s="35"/>
      <c r="CB394" s="35"/>
      <c r="CC394" s="35"/>
      <c r="CD394" s="35"/>
      <c r="CE394" s="35"/>
      <c r="CF394" s="35"/>
      <c r="CG394" s="35"/>
      <c r="CH394" s="35"/>
      <c r="CI394" s="35"/>
      <c r="CJ394" s="35"/>
      <c r="CK394" s="35"/>
      <c r="CL394" s="35"/>
      <c r="CM394" s="35"/>
      <c r="CN394" s="35"/>
      <c r="CO394" s="35"/>
      <c r="CP394" s="35"/>
      <c r="CQ394" s="35"/>
      <c r="CR394" s="35"/>
      <c r="CS394" s="35"/>
      <c r="CT394" s="36"/>
      <c r="CU394" s="35"/>
      <c r="CV394" s="35"/>
      <c r="CW394" s="35"/>
      <c r="CX394" s="35"/>
      <c r="CY394" s="35"/>
      <c r="CZ394" s="36"/>
      <c r="DA394" s="36"/>
      <c r="DB394" s="35"/>
      <c r="DC394" s="35"/>
      <c r="DD394" s="35"/>
      <c r="DE394" s="35"/>
      <c r="DF394" s="35"/>
      <c r="DG394" s="35"/>
      <c r="DH394" s="35"/>
      <c r="DI394" s="35"/>
      <c r="DJ394" s="35"/>
      <c r="DK394" s="35"/>
      <c r="DL394" s="35"/>
      <c r="DM394" s="35"/>
      <c r="DN394" s="35"/>
      <c r="DO394" s="35"/>
      <c r="DP394" s="35"/>
      <c r="DQ394" s="35"/>
      <c r="DR394" s="35"/>
      <c r="DS394" s="35"/>
      <c r="DT394" s="35"/>
      <c r="DU394" s="35"/>
      <c r="DV394" s="35"/>
      <c r="DW394" s="35"/>
      <c r="DX394" s="35"/>
      <c r="DY394" s="35"/>
      <c r="DZ394" s="36"/>
      <c r="EA394" s="35"/>
      <c r="EB394" s="35"/>
      <c r="EC394" s="35"/>
      <c r="ED394" s="35"/>
      <c r="EE394" s="35"/>
      <c r="EF394" s="35"/>
      <c r="EG394" s="35"/>
      <c r="EH394" s="35"/>
      <c r="EI394" s="35"/>
      <c r="EJ394" s="35"/>
      <c r="EK394" s="35"/>
      <c r="EL394" s="35"/>
      <c r="EM394" s="35"/>
      <c r="EN394" s="35"/>
      <c r="EO394" s="35"/>
      <c r="EP394" s="35"/>
      <c r="EQ394" s="35"/>
      <c r="ER394" s="35"/>
      <c r="ES394" s="35"/>
      <c r="ET394" s="35"/>
      <c r="EU394" s="35"/>
      <c r="EV394" s="35"/>
      <c r="EW394" s="35"/>
      <c r="EX394" s="35"/>
      <c r="EY394" s="36"/>
      <c r="EZ394" s="35"/>
      <c r="FA394" s="35"/>
      <c r="FB394" s="35"/>
      <c r="FC394" s="35"/>
      <c r="FD394" s="35"/>
      <c r="FE394" s="35"/>
      <c r="FF394" s="35"/>
      <c r="FG394" s="35"/>
      <c r="FH394" s="35"/>
      <c r="FI394" s="35"/>
      <c r="FJ394" s="35"/>
      <c r="FK394" s="35"/>
      <c r="FL394" s="35"/>
      <c r="FM394" s="35"/>
      <c r="FN394" s="35"/>
      <c r="FO394" s="35"/>
      <c r="FP394" s="35"/>
      <c r="FQ394" s="52"/>
      <c r="FS394" s="9" t="s">
        <v>13</v>
      </c>
      <c r="FT394" s="9" t="str">
        <f t="shared" si="6597"/>
        <v>12. FDS Release 4 12.11 FDS Release 4 - Handover to BAU</v>
      </c>
    </row>
    <row r="395" spans="1:176" ht="12" hidden="1" customHeight="1" outlineLevel="1">
      <c r="A395" s="122"/>
      <c r="B395" s="123"/>
      <c r="C395" s="131" t="str">
        <f t="shared" si="7297"/>
        <v>0 days</v>
      </c>
      <c r="D395" s="13" t="str">
        <f>A$329&amp;" "&amp;A390</f>
        <v>12. FDS Release 4 12.11 FDS Release 4 - Handover to BAU</v>
      </c>
      <c r="E395" s="51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  <c r="AL395" s="36"/>
      <c r="AM395" s="36"/>
      <c r="AN395" s="36"/>
      <c r="AO395" s="36"/>
      <c r="AP395" s="36"/>
      <c r="AQ395" s="36"/>
      <c r="AR395" s="36"/>
      <c r="AS395" s="35"/>
      <c r="AT395" s="35"/>
      <c r="AU395" s="35"/>
      <c r="AV395" s="35"/>
      <c r="AW395" s="35"/>
      <c r="AX395" s="35"/>
      <c r="AY395" s="35"/>
      <c r="AZ395" s="35"/>
      <c r="BA395" s="35"/>
      <c r="BB395" s="35"/>
      <c r="BC395" s="35"/>
      <c r="BD395" s="35"/>
      <c r="BE395" s="35"/>
      <c r="BF395" s="35"/>
      <c r="BG395" s="35"/>
      <c r="BH395" s="35"/>
      <c r="BI395" s="35"/>
      <c r="BJ395" s="35"/>
      <c r="BK395" s="35"/>
      <c r="BL395" s="35"/>
      <c r="BM395" s="35"/>
      <c r="BN395" s="35"/>
      <c r="BO395" s="35"/>
      <c r="BP395" s="35"/>
      <c r="BQ395" s="35"/>
      <c r="BR395" s="35"/>
      <c r="BS395" s="35"/>
      <c r="BT395" s="35"/>
      <c r="BU395" s="35"/>
      <c r="BV395" s="35"/>
      <c r="BW395" s="35"/>
      <c r="BX395" s="35"/>
      <c r="BY395" s="35"/>
      <c r="BZ395" s="35"/>
      <c r="CA395" s="35"/>
      <c r="CB395" s="35"/>
      <c r="CC395" s="35"/>
      <c r="CD395" s="35"/>
      <c r="CE395" s="35"/>
      <c r="CF395" s="35"/>
      <c r="CG395" s="35"/>
      <c r="CH395" s="35"/>
      <c r="CI395" s="35"/>
      <c r="CJ395" s="35"/>
      <c r="CK395" s="35"/>
      <c r="CL395" s="35"/>
      <c r="CM395" s="35"/>
      <c r="CN395" s="35"/>
      <c r="CO395" s="35"/>
      <c r="CP395" s="35"/>
      <c r="CQ395" s="35"/>
      <c r="CR395" s="35"/>
      <c r="CS395" s="35"/>
      <c r="CT395" s="36"/>
      <c r="CU395" s="35"/>
      <c r="CV395" s="35"/>
      <c r="CW395" s="35"/>
      <c r="CX395" s="35"/>
      <c r="CY395" s="35"/>
      <c r="CZ395" s="36"/>
      <c r="DA395" s="36"/>
      <c r="DB395" s="35"/>
      <c r="DC395" s="35"/>
      <c r="DD395" s="35"/>
      <c r="DE395" s="35"/>
      <c r="DF395" s="35"/>
      <c r="DG395" s="35"/>
      <c r="DH395" s="35"/>
      <c r="DI395" s="35"/>
      <c r="DJ395" s="35"/>
      <c r="DK395" s="35"/>
      <c r="DL395" s="35"/>
      <c r="DM395" s="35"/>
      <c r="DN395" s="35"/>
      <c r="DO395" s="35"/>
      <c r="DP395" s="35"/>
      <c r="DQ395" s="35"/>
      <c r="DR395" s="35"/>
      <c r="DS395" s="35"/>
      <c r="DT395" s="35"/>
      <c r="DU395" s="35"/>
      <c r="DV395" s="35"/>
      <c r="DW395" s="35"/>
      <c r="DX395" s="35"/>
      <c r="DY395" s="35"/>
      <c r="DZ395" s="36"/>
      <c r="EA395" s="35"/>
      <c r="EB395" s="35"/>
      <c r="EC395" s="35"/>
      <c r="ED395" s="35"/>
      <c r="EE395" s="35"/>
      <c r="EF395" s="35"/>
      <c r="EG395" s="35"/>
      <c r="EH395" s="35"/>
      <c r="EI395" s="35"/>
      <c r="EJ395" s="35"/>
      <c r="EK395" s="35"/>
      <c r="EL395" s="35"/>
      <c r="EM395" s="35"/>
      <c r="EN395" s="35"/>
      <c r="EO395" s="35"/>
      <c r="EP395" s="35"/>
      <c r="EQ395" s="35"/>
      <c r="ER395" s="35"/>
      <c r="ES395" s="35"/>
      <c r="ET395" s="35"/>
      <c r="EU395" s="35"/>
      <c r="EV395" s="35"/>
      <c r="EW395" s="35"/>
      <c r="EX395" s="35"/>
      <c r="EY395" s="36"/>
      <c r="EZ395" s="35"/>
      <c r="FA395" s="35"/>
      <c r="FB395" s="35"/>
      <c r="FC395" s="35"/>
      <c r="FD395" s="35"/>
      <c r="FE395" s="35"/>
      <c r="FF395" s="35"/>
      <c r="FG395" s="35"/>
      <c r="FH395" s="35"/>
      <c r="FI395" s="35"/>
      <c r="FJ395" s="35"/>
      <c r="FK395" s="35"/>
      <c r="FL395" s="35"/>
      <c r="FM395" s="35"/>
      <c r="FN395" s="35"/>
      <c r="FO395" s="35"/>
      <c r="FP395" s="35"/>
      <c r="FQ395" s="52"/>
      <c r="FS395" s="9" t="s">
        <v>13</v>
      </c>
      <c r="FT395" s="9" t="str">
        <f t="shared" si="6597"/>
        <v>12. FDS Release 4 12.11 FDS Release 4 - Handover to BAU</v>
      </c>
    </row>
    <row r="396" spans="1:176" ht="12" customHeight="1" collapsed="1">
      <c r="A396" s="119" t="s">
        <v>119</v>
      </c>
      <c r="B396" s="127"/>
      <c r="C396" s="121" t="str">
        <f>ROUND(SUM(E396:FQ396),0) &amp; " days"</f>
        <v>17 days</v>
      </c>
      <c r="D396" s="27"/>
      <c r="E396" s="91" t="str">
        <f t="shared" ref="E396:BP396" si="7298">IF(SUBTOTAL(9,E397:E401)&gt;0,SUBTOTAL(9,E397:E401),"")</f>
        <v/>
      </c>
      <c r="F396" s="34" t="str">
        <f t="shared" si="7298"/>
        <v/>
      </c>
      <c r="G396" s="34" t="str">
        <f t="shared" si="7298"/>
        <v/>
      </c>
      <c r="H396" s="34" t="str">
        <f t="shared" si="7298"/>
        <v/>
      </c>
      <c r="I396" s="34" t="str">
        <f t="shared" si="7298"/>
        <v/>
      </c>
      <c r="J396" s="34" t="str">
        <f t="shared" si="7298"/>
        <v/>
      </c>
      <c r="K396" s="34" t="str">
        <f t="shared" si="7298"/>
        <v/>
      </c>
      <c r="L396" s="34" t="str">
        <f t="shared" si="7298"/>
        <v/>
      </c>
      <c r="M396" s="34" t="str">
        <f t="shared" si="7298"/>
        <v/>
      </c>
      <c r="N396" s="34" t="str">
        <f t="shared" si="7298"/>
        <v/>
      </c>
      <c r="O396" s="34" t="str">
        <f t="shared" si="7298"/>
        <v/>
      </c>
      <c r="P396" s="34" t="str">
        <f t="shared" si="7298"/>
        <v/>
      </c>
      <c r="Q396" s="34" t="str">
        <f t="shared" si="7298"/>
        <v/>
      </c>
      <c r="R396" s="34" t="str">
        <f t="shared" si="7298"/>
        <v/>
      </c>
      <c r="S396" s="34" t="str">
        <f t="shared" si="7298"/>
        <v/>
      </c>
      <c r="T396" s="34" t="str">
        <f t="shared" si="7298"/>
        <v/>
      </c>
      <c r="U396" s="34" t="str">
        <f t="shared" si="7298"/>
        <v/>
      </c>
      <c r="V396" s="34" t="str">
        <f t="shared" si="7298"/>
        <v/>
      </c>
      <c r="W396" s="34" t="str">
        <f t="shared" si="7298"/>
        <v/>
      </c>
      <c r="X396" s="34" t="str">
        <f t="shared" si="7298"/>
        <v/>
      </c>
      <c r="Y396" s="34" t="str">
        <f t="shared" si="7298"/>
        <v/>
      </c>
      <c r="Z396" s="34" t="str">
        <f t="shared" si="7298"/>
        <v/>
      </c>
      <c r="AA396" s="34" t="str">
        <f t="shared" si="7298"/>
        <v/>
      </c>
      <c r="AB396" s="34" t="str">
        <f t="shared" si="7298"/>
        <v/>
      </c>
      <c r="AC396" s="34" t="str">
        <f t="shared" si="7298"/>
        <v/>
      </c>
      <c r="AD396" s="34" t="str">
        <f t="shared" si="7298"/>
        <v/>
      </c>
      <c r="AE396" s="34" t="str">
        <f t="shared" si="7298"/>
        <v/>
      </c>
      <c r="AF396" s="34" t="str">
        <f t="shared" si="7298"/>
        <v/>
      </c>
      <c r="AG396" s="34" t="str">
        <f t="shared" si="7298"/>
        <v/>
      </c>
      <c r="AH396" s="34" t="str">
        <f t="shared" si="7298"/>
        <v/>
      </c>
      <c r="AI396" s="34" t="str">
        <f t="shared" si="7298"/>
        <v/>
      </c>
      <c r="AJ396" s="34" t="str">
        <f t="shared" si="7298"/>
        <v/>
      </c>
      <c r="AK396" s="34" t="str">
        <f t="shared" si="7298"/>
        <v/>
      </c>
      <c r="AL396" s="33" t="str">
        <f t="shared" si="7298"/>
        <v/>
      </c>
      <c r="AM396" s="33" t="str">
        <f t="shared" si="7298"/>
        <v/>
      </c>
      <c r="AN396" s="33" t="str">
        <f t="shared" si="7298"/>
        <v/>
      </c>
      <c r="AO396" s="33" t="str">
        <f t="shared" si="7298"/>
        <v/>
      </c>
      <c r="AP396" s="33" t="str">
        <f t="shared" si="7298"/>
        <v/>
      </c>
      <c r="AQ396" s="33" t="str">
        <f t="shared" si="7298"/>
        <v/>
      </c>
      <c r="AR396" s="33" t="str">
        <f t="shared" si="7298"/>
        <v/>
      </c>
      <c r="AS396" s="34" t="str">
        <f t="shared" si="7298"/>
        <v/>
      </c>
      <c r="AT396" s="34" t="str">
        <f t="shared" si="7298"/>
        <v/>
      </c>
      <c r="AU396" s="34" t="str">
        <f t="shared" si="7298"/>
        <v/>
      </c>
      <c r="AV396" s="34" t="str">
        <f t="shared" si="7298"/>
        <v/>
      </c>
      <c r="AW396" s="34" t="str">
        <f t="shared" si="7298"/>
        <v/>
      </c>
      <c r="AX396" s="34" t="str">
        <f t="shared" si="7298"/>
        <v/>
      </c>
      <c r="AY396" s="34" t="str">
        <f t="shared" si="7298"/>
        <v/>
      </c>
      <c r="AZ396" s="34" t="str">
        <f t="shared" si="7298"/>
        <v/>
      </c>
      <c r="BA396" s="34" t="str">
        <f t="shared" si="7298"/>
        <v/>
      </c>
      <c r="BB396" s="34" t="str">
        <f t="shared" si="7298"/>
        <v/>
      </c>
      <c r="BC396" s="34" t="str">
        <f t="shared" si="7298"/>
        <v/>
      </c>
      <c r="BD396" s="34" t="str">
        <f t="shared" si="7298"/>
        <v/>
      </c>
      <c r="BE396" s="34" t="str">
        <f t="shared" si="7298"/>
        <v/>
      </c>
      <c r="BF396" s="34" t="str">
        <f t="shared" si="7298"/>
        <v/>
      </c>
      <c r="BG396" s="34" t="str">
        <f t="shared" si="7298"/>
        <v/>
      </c>
      <c r="BH396" s="34" t="str">
        <f t="shared" si="7298"/>
        <v/>
      </c>
      <c r="BI396" s="34" t="str">
        <f t="shared" si="7298"/>
        <v/>
      </c>
      <c r="BJ396" s="34" t="str">
        <f t="shared" si="7298"/>
        <v/>
      </c>
      <c r="BK396" s="34" t="str">
        <f t="shared" si="7298"/>
        <v/>
      </c>
      <c r="BL396" s="34" t="str">
        <f t="shared" si="7298"/>
        <v/>
      </c>
      <c r="BM396" s="34" t="str">
        <f t="shared" si="7298"/>
        <v/>
      </c>
      <c r="BN396" s="34" t="str">
        <f t="shared" si="7298"/>
        <v/>
      </c>
      <c r="BO396" s="34" t="str">
        <f t="shared" si="7298"/>
        <v/>
      </c>
      <c r="BP396" s="34" t="str">
        <f t="shared" si="7298"/>
        <v/>
      </c>
      <c r="BQ396" s="34" t="str">
        <f t="shared" ref="BQ396:EB396" si="7299">IF(SUBTOTAL(9,BQ397:BQ401)&gt;0,SUBTOTAL(9,BQ397:BQ401),"")</f>
        <v/>
      </c>
      <c r="BR396" s="34" t="str">
        <f t="shared" si="7299"/>
        <v/>
      </c>
      <c r="BS396" s="34" t="str">
        <f t="shared" si="7299"/>
        <v/>
      </c>
      <c r="BT396" s="34" t="str">
        <f t="shared" si="7299"/>
        <v/>
      </c>
      <c r="BU396" s="34" t="str">
        <f t="shared" si="7299"/>
        <v/>
      </c>
      <c r="BV396" s="34" t="str">
        <f t="shared" si="7299"/>
        <v/>
      </c>
      <c r="BW396" s="34" t="str">
        <f t="shared" si="7299"/>
        <v/>
      </c>
      <c r="BX396" s="34" t="str">
        <f t="shared" si="7299"/>
        <v/>
      </c>
      <c r="BY396" s="34" t="str">
        <f t="shared" si="7299"/>
        <v/>
      </c>
      <c r="BZ396" s="34" t="str">
        <f t="shared" si="7299"/>
        <v/>
      </c>
      <c r="CA396" s="34" t="str">
        <f t="shared" si="7299"/>
        <v/>
      </c>
      <c r="CB396" s="34" t="str">
        <f t="shared" si="7299"/>
        <v/>
      </c>
      <c r="CC396" s="34" t="str">
        <f t="shared" si="7299"/>
        <v/>
      </c>
      <c r="CD396" s="34" t="str">
        <f t="shared" si="7299"/>
        <v/>
      </c>
      <c r="CE396" s="34" t="str">
        <f t="shared" si="7299"/>
        <v/>
      </c>
      <c r="CF396" s="34" t="str">
        <f t="shared" si="7299"/>
        <v/>
      </c>
      <c r="CG396" s="34" t="str">
        <f t="shared" si="7299"/>
        <v/>
      </c>
      <c r="CH396" s="34" t="str">
        <f t="shared" si="7299"/>
        <v/>
      </c>
      <c r="CI396" s="34" t="str">
        <f t="shared" si="7299"/>
        <v/>
      </c>
      <c r="CJ396" s="34" t="str">
        <f t="shared" si="7299"/>
        <v/>
      </c>
      <c r="CK396" s="34" t="str">
        <f t="shared" si="7299"/>
        <v/>
      </c>
      <c r="CL396" s="34" t="str">
        <f t="shared" si="7299"/>
        <v/>
      </c>
      <c r="CM396" s="34" t="str">
        <f t="shared" si="7299"/>
        <v/>
      </c>
      <c r="CN396" s="34" t="str">
        <f t="shared" si="7299"/>
        <v/>
      </c>
      <c r="CO396" s="34" t="str">
        <f t="shared" si="7299"/>
        <v/>
      </c>
      <c r="CP396" s="34" t="str">
        <f t="shared" si="7299"/>
        <v/>
      </c>
      <c r="CQ396" s="34" t="str">
        <f t="shared" si="7299"/>
        <v/>
      </c>
      <c r="CR396" s="34" t="str">
        <f t="shared" si="7299"/>
        <v/>
      </c>
      <c r="CS396" s="34" t="str">
        <f t="shared" si="7299"/>
        <v/>
      </c>
      <c r="CT396" s="33" t="str">
        <f t="shared" si="7299"/>
        <v/>
      </c>
      <c r="CU396" s="34" t="str">
        <f t="shared" si="7299"/>
        <v/>
      </c>
      <c r="CV396" s="34" t="str">
        <f t="shared" si="7299"/>
        <v/>
      </c>
      <c r="CW396" s="34" t="str">
        <f t="shared" si="7299"/>
        <v/>
      </c>
      <c r="CX396" s="34" t="str">
        <f t="shared" si="7299"/>
        <v/>
      </c>
      <c r="CY396" s="34" t="str">
        <f t="shared" si="7299"/>
        <v/>
      </c>
      <c r="CZ396" s="33" t="str">
        <f t="shared" si="7299"/>
        <v/>
      </c>
      <c r="DA396" s="33" t="str">
        <f t="shared" si="7299"/>
        <v/>
      </c>
      <c r="DB396" s="34" t="str">
        <f t="shared" si="7299"/>
        <v/>
      </c>
      <c r="DC396" s="34" t="str">
        <f t="shared" si="7299"/>
        <v/>
      </c>
      <c r="DD396" s="34" t="str">
        <f t="shared" si="7299"/>
        <v/>
      </c>
      <c r="DE396" s="34" t="str">
        <f t="shared" si="7299"/>
        <v/>
      </c>
      <c r="DF396" s="34" t="str">
        <f t="shared" si="7299"/>
        <v/>
      </c>
      <c r="DG396" s="34">
        <f t="shared" si="7299"/>
        <v>1</v>
      </c>
      <c r="DH396" s="34">
        <f t="shared" si="7299"/>
        <v>1</v>
      </c>
      <c r="DI396" s="34">
        <f t="shared" si="7299"/>
        <v>1</v>
      </c>
      <c r="DJ396" s="34">
        <f t="shared" si="7299"/>
        <v>0.5</v>
      </c>
      <c r="DK396" s="34">
        <f t="shared" si="7299"/>
        <v>1</v>
      </c>
      <c r="DL396" s="34">
        <f t="shared" si="7299"/>
        <v>1</v>
      </c>
      <c r="DM396" s="34">
        <f t="shared" si="7299"/>
        <v>1</v>
      </c>
      <c r="DN396" s="34">
        <f t="shared" si="7299"/>
        <v>0.5</v>
      </c>
      <c r="DO396" s="34">
        <f t="shared" si="7299"/>
        <v>1</v>
      </c>
      <c r="DP396" s="34">
        <f t="shared" si="7299"/>
        <v>1</v>
      </c>
      <c r="DQ396" s="34">
        <f t="shared" si="7299"/>
        <v>1</v>
      </c>
      <c r="DR396" s="34">
        <f t="shared" si="7299"/>
        <v>0.5</v>
      </c>
      <c r="DS396" s="34">
        <f t="shared" si="7299"/>
        <v>0.5</v>
      </c>
      <c r="DT396" s="34">
        <f t="shared" si="7299"/>
        <v>0.5</v>
      </c>
      <c r="DU396" s="34">
        <f t="shared" si="7299"/>
        <v>1</v>
      </c>
      <c r="DV396" s="34">
        <f t="shared" si="7299"/>
        <v>1</v>
      </c>
      <c r="DW396" s="34">
        <f t="shared" si="7299"/>
        <v>1</v>
      </c>
      <c r="DX396" s="34">
        <f t="shared" si="7299"/>
        <v>1</v>
      </c>
      <c r="DY396" s="34">
        <f t="shared" si="7299"/>
        <v>1</v>
      </c>
      <c r="DZ396" s="33" t="str">
        <f t="shared" si="7299"/>
        <v/>
      </c>
      <c r="EA396" s="34" t="str">
        <f t="shared" si="7299"/>
        <v/>
      </c>
      <c r="EB396" s="34" t="str">
        <f t="shared" si="7299"/>
        <v/>
      </c>
      <c r="EC396" s="34" t="str">
        <f t="shared" ref="EC396:FQ396" si="7300">IF(SUBTOTAL(9,EC397:EC401)&gt;0,SUBTOTAL(9,EC397:EC401),"")</f>
        <v/>
      </c>
      <c r="ED396" s="34" t="str">
        <f t="shared" si="7300"/>
        <v/>
      </c>
      <c r="EE396" s="34" t="str">
        <f t="shared" si="7300"/>
        <v/>
      </c>
      <c r="EF396" s="34" t="str">
        <f t="shared" si="7300"/>
        <v/>
      </c>
      <c r="EG396" s="34" t="str">
        <f t="shared" si="7300"/>
        <v/>
      </c>
      <c r="EH396" s="34" t="str">
        <f t="shared" si="7300"/>
        <v/>
      </c>
      <c r="EI396" s="34" t="str">
        <f t="shared" si="7300"/>
        <v/>
      </c>
      <c r="EJ396" s="34" t="str">
        <f t="shared" si="7300"/>
        <v/>
      </c>
      <c r="EK396" s="34" t="str">
        <f t="shared" si="7300"/>
        <v/>
      </c>
      <c r="EL396" s="34" t="str">
        <f t="shared" si="7300"/>
        <v/>
      </c>
      <c r="EM396" s="34" t="str">
        <f t="shared" si="7300"/>
        <v/>
      </c>
      <c r="EN396" s="34" t="str">
        <f t="shared" si="7300"/>
        <v/>
      </c>
      <c r="EO396" s="34" t="str">
        <f t="shared" si="7300"/>
        <v/>
      </c>
      <c r="EP396" s="34" t="str">
        <f t="shared" si="7300"/>
        <v/>
      </c>
      <c r="EQ396" s="34" t="str">
        <f t="shared" si="7300"/>
        <v/>
      </c>
      <c r="ER396" s="34" t="str">
        <f t="shared" si="7300"/>
        <v/>
      </c>
      <c r="ES396" s="34" t="str">
        <f t="shared" si="7300"/>
        <v/>
      </c>
      <c r="ET396" s="34" t="str">
        <f t="shared" si="7300"/>
        <v/>
      </c>
      <c r="EU396" s="34" t="str">
        <f t="shared" si="7300"/>
        <v/>
      </c>
      <c r="EV396" s="34" t="str">
        <f t="shared" si="7300"/>
        <v/>
      </c>
      <c r="EW396" s="34" t="str">
        <f t="shared" si="7300"/>
        <v/>
      </c>
      <c r="EX396" s="34" t="str">
        <f t="shared" si="7300"/>
        <v/>
      </c>
      <c r="EY396" s="33" t="str">
        <f t="shared" si="7300"/>
        <v/>
      </c>
      <c r="EZ396" s="34" t="str">
        <f t="shared" si="7300"/>
        <v/>
      </c>
      <c r="FA396" s="34" t="str">
        <f t="shared" si="7300"/>
        <v/>
      </c>
      <c r="FB396" s="34" t="str">
        <f t="shared" si="7300"/>
        <v/>
      </c>
      <c r="FC396" s="34" t="str">
        <f t="shared" si="7300"/>
        <v/>
      </c>
      <c r="FD396" s="34" t="str">
        <f t="shared" si="7300"/>
        <v/>
      </c>
      <c r="FE396" s="34" t="str">
        <f t="shared" si="7300"/>
        <v/>
      </c>
      <c r="FF396" s="34" t="str">
        <f t="shared" si="7300"/>
        <v/>
      </c>
      <c r="FG396" s="34" t="str">
        <f t="shared" si="7300"/>
        <v/>
      </c>
      <c r="FH396" s="34" t="str">
        <f t="shared" si="7300"/>
        <v/>
      </c>
      <c r="FI396" s="34" t="str">
        <f t="shared" si="7300"/>
        <v/>
      </c>
      <c r="FJ396" s="34" t="str">
        <f t="shared" si="7300"/>
        <v/>
      </c>
      <c r="FK396" s="34" t="str">
        <f t="shared" si="7300"/>
        <v/>
      </c>
      <c r="FL396" s="34" t="str">
        <f t="shared" si="7300"/>
        <v/>
      </c>
      <c r="FM396" s="34" t="str">
        <f t="shared" si="7300"/>
        <v/>
      </c>
      <c r="FN396" s="34" t="str">
        <f t="shared" si="7300"/>
        <v/>
      </c>
      <c r="FO396" s="34" t="str">
        <f t="shared" si="7300"/>
        <v/>
      </c>
      <c r="FP396" s="34" t="str">
        <f t="shared" si="7300"/>
        <v/>
      </c>
      <c r="FQ396" s="92" t="str">
        <f t="shared" si="7300"/>
        <v/>
      </c>
      <c r="FS396" s="9" t="s">
        <v>131</v>
      </c>
      <c r="FT396" s="9" t="str">
        <f t="shared" ref="FT396:FT401" si="7301">CONCATENATE(D396,B396)</f>
        <v/>
      </c>
    </row>
    <row r="397" spans="1:176" ht="12" hidden="1" customHeight="1" outlineLevel="1">
      <c r="A397" s="10" t="s">
        <v>188</v>
      </c>
      <c r="B397" s="99" t="s">
        <v>10</v>
      </c>
      <c r="C397" s="100" t="str">
        <f t="shared" ref="C397:C401" si="7302">ROUND(SUM(E397:FQ397),0) &amp; " days"</f>
        <v>17 days</v>
      </c>
      <c r="D397" s="141" t="str">
        <f>A$329&amp;" "&amp;A396</f>
        <v xml:space="preserve">12. FDS Release 4 12.12 FDS Release 4 - Ireland E2E Dry Run (inc Annual) </v>
      </c>
      <c r="E397" s="51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  <c r="AL397" s="36"/>
      <c r="AM397" s="36"/>
      <c r="AN397" s="36"/>
      <c r="AO397" s="36"/>
      <c r="AP397" s="36"/>
      <c r="AQ397" s="36"/>
      <c r="AR397" s="36"/>
      <c r="AS397" s="35"/>
      <c r="AT397" s="35"/>
      <c r="AU397" s="35"/>
      <c r="AV397" s="35"/>
      <c r="AW397" s="35"/>
      <c r="AX397" s="35"/>
      <c r="AY397" s="35"/>
      <c r="AZ397" s="35"/>
      <c r="BA397" s="35"/>
      <c r="BB397" s="35"/>
      <c r="BC397" s="35"/>
      <c r="BD397" s="35"/>
      <c r="BE397" s="35"/>
      <c r="BF397" s="35"/>
      <c r="BG397" s="35"/>
      <c r="BH397" s="35"/>
      <c r="BI397" s="35"/>
      <c r="BJ397" s="35"/>
      <c r="BK397" s="35"/>
      <c r="BL397" s="35"/>
      <c r="BM397" s="35"/>
      <c r="BN397" s="35"/>
      <c r="BO397" s="35"/>
      <c r="BP397" s="35"/>
      <c r="BQ397" s="35"/>
      <c r="BR397" s="35"/>
      <c r="BS397" s="35"/>
      <c r="BT397" s="35"/>
      <c r="BU397" s="35"/>
      <c r="BV397" s="35"/>
      <c r="BW397" s="35"/>
      <c r="BX397" s="35"/>
      <c r="BY397" s="35"/>
      <c r="BZ397" s="35"/>
      <c r="CA397" s="35"/>
      <c r="CB397" s="35"/>
      <c r="CC397" s="35"/>
      <c r="CD397" s="35"/>
      <c r="CE397" s="35"/>
      <c r="CF397" s="35"/>
      <c r="CG397" s="35"/>
      <c r="CH397" s="35"/>
      <c r="CI397" s="35"/>
      <c r="CJ397" s="35"/>
      <c r="CK397" s="35"/>
      <c r="CL397" s="35"/>
      <c r="CM397" s="35"/>
      <c r="CN397" s="35"/>
      <c r="CO397" s="35"/>
      <c r="CP397" s="35"/>
      <c r="CQ397" s="35"/>
      <c r="CR397" s="35"/>
      <c r="CS397" s="35"/>
      <c r="CT397" s="36"/>
      <c r="CU397" s="35"/>
      <c r="CV397" s="35"/>
      <c r="CW397" s="35"/>
      <c r="CX397" s="35"/>
      <c r="CY397" s="35"/>
      <c r="CZ397" s="36"/>
      <c r="DA397" s="36"/>
      <c r="DB397" s="35"/>
      <c r="DC397" s="35"/>
      <c r="DD397" s="35"/>
      <c r="DE397" s="35"/>
      <c r="DF397" s="35"/>
      <c r="DG397" s="35">
        <v>1</v>
      </c>
      <c r="DH397" s="35">
        <v>1</v>
      </c>
      <c r="DI397" s="35">
        <v>1</v>
      </c>
      <c r="DJ397" s="35">
        <v>0.5</v>
      </c>
      <c r="DK397" s="35">
        <v>1</v>
      </c>
      <c r="DL397" s="35">
        <v>1</v>
      </c>
      <c r="DM397" s="35">
        <v>1</v>
      </c>
      <c r="DN397" s="35">
        <v>0.5</v>
      </c>
      <c r="DO397" s="35">
        <v>1</v>
      </c>
      <c r="DP397" s="35">
        <v>1</v>
      </c>
      <c r="DQ397" s="35">
        <v>1</v>
      </c>
      <c r="DR397" s="35">
        <v>0.5</v>
      </c>
      <c r="DS397" s="35">
        <v>0.5</v>
      </c>
      <c r="DT397" s="35">
        <v>0.5</v>
      </c>
      <c r="DU397" s="35">
        <v>1</v>
      </c>
      <c r="DV397" s="35">
        <v>1</v>
      </c>
      <c r="DW397" s="35">
        <v>1</v>
      </c>
      <c r="DX397" s="35">
        <v>1</v>
      </c>
      <c r="DY397" s="35">
        <v>1</v>
      </c>
      <c r="DZ397" s="36"/>
      <c r="EA397" s="35"/>
      <c r="EB397" s="35"/>
      <c r="EC397" s="35"/>
      <c r="ED397" s="35"/>
      <c r="EE397" s="35"/>
      <c r="EF397" s="35"/>
      <c r="EG397" s="35"/>
      <c r="EH397" s="35"/>
      <c r="EI397" s="35"/>
      <c r="EJ397" s="35"/>
      <c r="EK397" s="35"/>
      <c r="EL397" s="35"/>
      <c r="EM397" s="35"/>
      <c r="EN397" s="35"/>
      <c r="EO397" s="35"/>
      <c r="EP397" s="35"/>
      <c r="EQ397" s="35"/>
      <c r="ER397" s="35"/>
      <c r="ES397" s="35"/>
      <c r="ET397" s="35"/>
      <c r="EU397" s="35"/>
      <c r="EV397" s="35"/>
      <c r="EW397" s="35"/>
      <c r="EX397" s="35"/>
      <c r="EY397" s="36"/>
      <c r="EZ397" s="35"/>
      <c r="FA397" s="35"/>
      <c r="FB397" s="35"/>
      <c r="FC397" s="35"/>
      <c r="FD397" s="35"/>
      <c r="FE397" s="35"/>
      <c r="FF397" s="35"/>
      <c r="FG397" s="35"/>
      <c r="FH397" s="35"/>
      <c r="FI397" s="35"/>
      <c r="FJ397" s="35"/>
      <c r="FK397" s="35"/>
      <c r="FL397" s="35"/>
      <c r="FM397" s="35"/>
      <c r="FN397" s="35"/>
      <c r="FO397" s="35"/>
      <c r="FP397" s="35"/>
      <c r="FQ397" s="52"/>
      <c r="FS397" s="9" t="s">
        <v>13</v>
      </c>
      <c r="FT397" s="9" t="str">
        <f t="shared" si="7301"/>
        <v>12. FDS Release 4 12.12 FDS Release 4 - Ireland E2E Dry Run (inc Annual) Glenn Kirk</v>
      </c>
    </row>
    <row r="398" spans="1:176" ht="12" hidden="1" customHeight="1" outlineLevel="1">
      <c r="A398" s="10"/>
      <c r="B398" s="11"/>
      <c r="C398" s="100" t="str">
        <f t="shared" si="7302"/>
        <v>0 days</v>
      </c>
      <c r="D398" s="141" t="str">
        <f>A$329&amp;" "&amp;A396</f>
        <v xml:space="preserve">12. FDS Release 4 12.12 FDS Release 4 - Ireland E2E Dry Run (inc Annual) </v>
      </c>
      <c r="E398" s="51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  <c r="AL398" s="36"/>
      <c r="AM398" s="36"/>
      <c r="AN398" s="36"/>
      <c r="AO398" s="36"/>
      <c r="AP398" s="36"/>
      <c r="AQ398" s="36"/>
      <c r="AR398" s="36"/>
      <c r="AS398" s="35"/>
      <c r="AT398" s="35"/>
      <c r="AU398" s="35"/>
      <c r="AV398" s="35"/>
      <c r="AW398" s="35"/>
      <c r="AX398" s="35"/>
      <c r="AY398" s="35"/>
      <c r="AZ398" s="35"/>
      <c r="BA398" s="35"/>
      <c r="BB398" s="35"/>
      <c r="BC398" s="35"/>
      <c r="BD398" s="35"/>
      <c r="BE398" s="35"/>
      <c r="BF398" s="35"/>
      <c r="BG398" s="35"/>
      <c r="BH398" s="35"/>
      <c r="BI398" s="35"/>
      <c r="BJ398" s="35"/>
      <c r="BK398" s="35"/>
      <c r="BL398" s="35"/>
      <c r="BM398" s="35"/>
      <c r="BN398" s="35"/>
      <c r="BO398" s="35"/>
      <c r="BP398" s="35"/>
      <c r="BQ398" s="35"/>
      <c r="BR398" s="35"/>
      <c r="BS398" s="35"/>
      <c r="BT398" s="35"/>
      <c r="BU398" s="35"/>
      <c r="BV398" s="35"/>
      <c r="BW398" s="35"/>
      <c r="BX398" s="35"/>
      <c r="BY398" s="35"/>
      <c r="BZ398" s="35"/>
      <c r="CA398" s="35"/>
      <c r="CB398" s="35"/>
      <c r="CC398" s="35"/>
      <c r="CD398" s="35"/>
      <c r="CE398" s="35"/>
      <c r="CF398" s="35"/>
      <c r="CG398" s="35"/>
      <c r="CH398" s="35"/>
      <c r="CI398" s="35"/>
      <c r="CJ398" s="35"/>
      <c r="CK398" s="35"/>
      <c r="CL398" s="35"/>
      <c r="CM398" s="35"/>
      <c r="CN398" s="35"/>
      <c r="CO398" s="35"/>
      <c r="CP398" s="35"/>
      <c r="CQ398" s="35"/>
      <c r="CR398" s="35"/>
      <c r="CS398" s="35"/>
      <c r="CT398" s="36"/>
      <c r="CU398" s="35"/>
      <c r="CV398" s="35"/>
      <c r="CW398" s="35"/>
      <c r="CX398" s="35"/>
      <c r="CY398" s="35"/>
      <c r="CZ398" s="36"/>
      <c r="DA398" s="36"/>
      <c r="DB398" s="35"/>
      <c r="DC398" s="35"/>
      <c r="DD398" s="35"/>
      <c r="DE398" s="35"/>
      <c r="DF398" s="35"/>
      <c r="DG398" s="35"/>
      <c r="DH398" s="35"/>
      <c r="DI398" s="35"/>
      <c r="DJ398" s="35"/>
      <c r="DK398" s="35"/>
      <c r="DL398" s="35"/>
      <c r="DM398" s="35"/>
      <c r="DN398" s="35"/>
      <c r="DO398" s="35"/>
      <c r="DP398" s="35"/>
      <c r="DQ398" s="35"/>
      <c r="DR398" s="35"/>
      <c r="DS398" s="35"/>
      <c r="DT398" s="35"/>
      <c r="DU398" s="35"/>
      <c r="DV398" s="35"/>
      <c r="DW398" s="35"/>
      <c r="DX398" s="35"/>
      <c r="DY398" s="35"/>
      <c r="DZ398" s="36"/>
      <c r="EA398" s="35"/>
      <c r="EB398" s="35"/>
      <c r="EC398" s="35"/>
      <c r="ED398" s="35"/>
      <c r="EE398" s="35"/>
      <c r="EF398" s="35"/>
      <c r="EG398" s="35"/>
      <c r="EH398" s="35"/>
      <c r="EI398" s="35"/>
      <c r="EJ398" s="35"/>
      <c r="EK398" s="35"/>
      <c r="EL398" s="35"/>
      <c r="EM398" s="35"/>
      <c r="EN398" s="35"/>
      <c r="EO398" s="35"/>
      <c r="EP398" s="35"/>
      <c r="EQ398" s="35"/>
      <c r="ER398" s="35"/>
      <c r="ES398" s="35"/>
      <c r="ET398" s="35"/>
      <c r="EU398" s="35"/>
      <c r="EV398" s="35"/>
      <c r="EW398" s="35"/>
      <c r="EX398" s="35"/>
      <c r="EY398" s="36"/>
      <c r="EZ398" s="35"/>
      <c r="FA398" s="35"/>
      <c r="FB398" s="35"/>
      <c r="FC398" s="35"/>
      <c r="FD398" s="35"/>
      <c r="FE398" s="35"/>
      <c r="FF398" s="35"/>
      <c r="FG398" s="35"/>
      <c r="FH398" s="35"/>
      <c r="FI398" s="35"/>
      <c r="FJ398" s="35"/>
      <c r="FK398" s="35"/>
      <c r="FL398" s="35"/>
      <c r="FM398" s="35"/>
      <c r="FN398" s="35"/>
      <c r="FO398" s="35"/>
      <c r="FP398" s="35"/>
      <c r="FQ398" s="52"/>
      <c r="FS398" s="9" t="s">
        <v>13</v>
      </c>
      <c r="FT398" s="9" t="str">
        <f t="shared" si="7301"/>
        <v xml:space="preserve">12. FDS Release 4 12.12 FDS Release 4 - Ireland E2E Dry Run (inc Annual) </v>
      </c>
    </row>
    <row r="399" spans="1:176" ht="12" hidden="1" customHeight="1" outlineLevel="1">
      <c r="A399" s="10"/>
      <c r="B399" s="11"/>
      <c r="C399" s="100" t="str">
        <f t="shared" si="7302"/>
        <v>0 days</v>
      </c>
      <c r="D399" s="141" t="str">
        <f>A$329&amp;" "&amp;A396</f>
        <v xml:space="preserve">12. FDS Release 4 12.12 FDS Release 4 - Ireland E2E Dry Run (inc Annual) </v>
      </c>
      <c r="E399" s="51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  <c r="AL399" s="36"/>
      <c r="AM399" s="36"/>
      <c r="AN399" s="36"/>
      <c r="AO399" s="36"/>
      <c r="AP399" s="36"/>
      <c r="AQ399" s="36"/>
      <c r="AR399" s="36"/>
      <c r="AS399" s="35"/>
      <c r="AT399" s="35"/>
      <c r="AU399" s="35"/>
      <c r="AV399" s="35"/>
      <c r="AW399" s="35"/>
      <c r="AX399" s="35"/>
      <c r="AY399" s="35"/>
      <c r="AZ399" s="35"/>
      <c r="BA399" s="35"/>
      <c r="BB399" s="35"/>
      <c r="BC399" s="35"/>
      <c r="BD399" s="35"/>
      <c r="BE399" s="35"/>
      <c r="BF399" s="35"/>
      <c r="BG399" s="35"/>
      <c r="BH399" s="35"/>
      <c r="BI399" s="35"/>
      <c r="BJ399" s="35"/>
      <c r="BK399" s="35"/>
      <c r="BL399" s="35"/>
      <c r="BM399" s="35"/>
      <c r="BN399" s="35"/>
      <c r="BO399" s="35"/>
      <c r="BP399" s="35"/>
      <c r="BQ399" s="35"/>
      <c r="BR399" s="35"/>
      <c r="BS399" s="35"/>
      <c r="BT399" s="35"/>
      <c r="BU399" s="35"/>
      <c r="BV399" s="35"/>
      <c r="BW399" s="35"/>
      <c r="BX399" s="35"/>
      <c r="BY399" s="35"/>
      <c r="BZ399" s="35"/>
      <c r="CA399" s="35"/>
      <c r="CB399" s="35"/>
      <c r="CC399" s="35"/>
      <c r="CD399" s="35"/>
      <c r="CE399" s="35"/>
      <c r="CF399" s="35"/>
      <c r="CG399" s="35"/>
      <c r="CH399" s="35"/>
      <c r="CI399" s="35"/>
      <c r="CJ399" s="35"/>
      <c r="CK399" s="35"/>
      <c r="CL399" s="35"/>
      <c r="CM399" s="35"/>
      <c r="CN399" s="35"/>
      <c r="CO399" s="35"/>
      <c r="CP399" s="35"/>
      <c r="CQ399" s="35"/>
      <c r="CR399" s="35"/>
      <c r="CS399" s="35"/>
      <c r="CT399" s="36"/>
      <c r="CU399" s="35"/>
      <c r="CV399" s="35"/>
      <c r="CW399" s="35"/>
      <c r="CX399" s="35"/>
      <c r="CY399" s="35"/>
      <c r="CZ399" s="36"/>
      <c r="DA399" s="36"/>
      <c r="DB399" s="35"/>
      <c r="DC399" s="35"/>
      <c r="DD399" s="35"/>
      <c r="DE399" s="35"/>
      <c r="DF399" s="35"/>
      <c r="DG399" s="35"/>
      <c r="DH399" s="35"/>
      <c r="DI399" s="35"/>
      <c r="DJ399" s="35"/>
      <c r="DK399" s="35"/>
      <c r="DL399" s="35"/>
      <c r="DM399" s="35"/>
      <c r="DN399" s="35"/>
      <c r="DO399" s="35"/>
      <c r="DP399" s="35"/>
      <c r="DQ399" s="35"/>
      <c r="DR399" s="35"/>
      <c r="DS399" s="35"/>
      <c r="DT399" s="35"/>
      <c r="DU399" s="35"/>
      <c r="DV399" s="35"/>
      <c r="DW399" s="35"/>
      <c r="DX399" s="35"/>
      <c r="DY399" s="35"/>
      <c r="DZ399" s="36"/>
      <c r="EA399" s="35"/>
      <c r="EB399" s="35"/>
      <c r="EC399" s="35"/>
      <c r="ED399" s="35"/>
      <c r="EE399" s="35"/>
      <c r="EF399" s="35"/>
      <c r="EG399" s="35"/>
      <c r="EH399" s="35"/>
      <c r="EI399" s="35"/>
      <c r="EJ399" s="35"/>
      <c r="EK399" s="35"/>
      <c r="EL399" s="35"/>
      <c r="EM399" s="35"/>
      <c r="EN399" s="35"/>
      <c r="EO399" s="35"/>
      <c r="EP399" s="35"/>
      <c r="EQ399" s="35"/>
      <c r="ER399" s="35"/>
      <c r="ES399" s="35"/>
      <c r="ET399" s="35"/>
      <c r="EU399" s="35"/>
      <c r="EV399" s="35"/>
      <c r="EW399" s="35"/>
      <c r="EX399" s="35"/>
      <c r="EY399" s="36"/>
      <c r="EZ399" s="35"/>
      <c r="FA399" s="35"/>
      <c r="FB399" s="35"/>
      <c r="FC399" s="35"/>
      <c r="FD399" s="35"/>
      <c r="FE399" s="35"/>
      <c r="FF399" s="35"/>
      <c r="FG399" s="35"/>
      <c r="FH399" s="35"/>
      <c r="FI399" s="35"/>
      <c r="FJ399" s="35"/>
      <c r="FK399" s="35"/>
      <c r="FL399" s="35"/>
      <c r="FM399" s="35"/>
      <c r="FN399" s="35"/>
      <c r="FO399" s="35"/>
      <c r="FP399" s="35"/>
      <c r="FQ399" s="52"/>
      <c r="FS399" s="9" t="s">
        <v>13</v>
      </c>
      <c r="FT399" s="9" t="str">
        <f t="shared" si="7301"/>
        <v xml:space="preserve">12. FDS Release 4 12.12 FDS Release 4 - Ireland E2E Dry Run (inc Annual) </v>
      </c>
    </row>
    <row r="400" spans="1:176" ht="12" hidden="1" customHeight="1" outlineLevel="1">
      <c r="A400" s="10"/>
      <c r="B400" s="11"/>
      <c r="C400" s="100" t="str">
        <f t="shared" si="7302"/>
        <v>0 days</v>
      </c>
      <c r="D400" s="141" t="str">
        <f>A$329&amp;" "&amp;A396</f>
        <v xml:space="preserve">12. FDS Release 4 12.12 FDS Release 4 - Ireland E2E Dry Run (inc Annual) </v>
      </c>
      <c r="E400" s="51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  <c r="AL400" s="36"/>
      <c r="AM400" s="36"/>
      <c r="AN400" s="36"/>
      <c r="AO400" s="36"/>
      <c r="AP400" s="36"/>
      <c r="AQ400" s="36"/>
      <c r="AR400" s="36"/>
      <c r="AS400" s="35"/>
      <c r="AT400" s="35"/>
      <c r="AU400" s="35"/>
      <c r="AV400" s="35"/>
      <c r="AW400" s="35"/>
      <c r="AX400" s="35"/>
      <c r="AY400" s="35"/>
      <c r="AZ400" s="35"/>
      <c r="BA400" s="35"/>
      <c r="BB400" s="35"/>
      <c r="BC400" s="35"/>
      <c r="BD400" s="35"/>
      <c r="BE400" s="35"/>
      <c r="BF400" s="35"/>
      <c r="BG400" s="35"/>
      <c r="BH400" s="35"/>
      <c r="BI400" s="35"/>
      <c r="BJ400" s="35"/>
      <c r="BK400" s="35"/>
      <c r="BL400" s="35"/>
      <c r="BM400" s="35"/>
      <c r="BN400" s="35"/>
      <c r="BO400" s="35"/>
      <c r="BP400" s="35"/>
      <c r="BQ400" s="35"/>
      <c r="BR400" s="35"/>
      <c r="BS400" s="35"/>
      <c r="BT400" s="35"/>
      <c r="BU400" s="35"/>
      <c r="BV400" s="35"/>
      <c r="BW400" s="35"/>
      <c r="BX400" s="35"/>
      <c r="BY400" s="35"/>
      <c r="BZ400" s="35"/>
      <c r="CA400" s="35"/>
      <c r="CB400" s="35"/>
      <c r="CC400" s="35"/>
      <c r="CD400" s="35"/>
      <c r="CE400" s="35"/>
      <c r="CF400" s="35"/>
      <c r="CG400" s="35"/>
      <c r="CH400" s="35"/>
      <c r="CI400" s="35"/>
      <c r="CJ400" s="35"/>
      <c r="CK400" s="35"/>
      <c r="CL400" s="35"/>
      <c r="CM400" s="35"/>
      <c r="CN400" s="35"/>
      <c r="CO400" s="35"/>
      <c r="CP400" s="35"/>
      <c r="CQ400" s="35"/>
      <c r="CR400" s="35"/>
      <c r="CS400" s="35"/>
      <c r="CT400" s="36"/>
      <c r="CU400" s="35"/>
      <c r="CV400" s="35"/>
      <c r="CW400" s="35"/>
      <c r="CX400" s="35"/>
      <c r="CY400" s="35"/>
      <c r="CZ400" s="36"/>
      <c r="DA400" s="36"/>
      <c r="DB400" s="35"/>
      <c r="DC400" s="35"/>
      <c r="DD400" s="35"/>
      <c r="DE400" s="35"/>
      <c r="DF400" s="35"/>
      <c r="DG400" s="35"/>
      <c r="DH400" s="35"/>
      <c r="DI400" s="35"/>
      <c r="DJ400" s="35"/>
      <c r="DK400" s="35"/>
      <c r="DL400" s="35"/>
      <c r="DM400" s="35"/>
      <c r="DN400" s="35"/>
      <c r="DO400" s="35"/>
      <c r="DP400" s="35"/>
      <c r="DQ400" s="35"/>
      <c r="DR400" s="35"/>
      <c r="DS400" s="35"/>
      <c r="DT400" s="35"/>
      <c r="DU400" s="35"/>
      <c r="DV400" s="35"/>
      <c r="DW400" s="35"/>
      <c r="DX400" s="35"/>
      <c r="DY400" s="35"/>
      <c r="DZ400" s="36"/>
      <c r="EA400" s="35"/>
      <c r="EB400" s="35"/>
      <c r="EC400" s="35"/>
      <c r="ED400" s="35"/>
      <c r="EE400" s="35"/>
      <c r="EF400" s="35"/>
      <c r="EG400" s="35"/>
      <c r="EH400" s="35"/>
      <c r="EI400" s="35"/>
      <c r="EJ400" s="35"/>
      <c r="EK400" s="35"/>
      <c r="EL400" s="35"/>
      <c r="EM400" s="35"/>
      <c r="EN400" s="35"/>
      <c r="EO400" s="35"/>
      <c r="EP400" s="35"/>
      <c r="EQ400" s="35"/>
      <c r="ER400" s="35"/>
      <c r="ES400" s="35"/>
      <c r="ET400" s="35"/>
      <c r="EU400" s="35"/>
      <c r="EV400" s="35"/>
      <c r="EW400" s="35"/>
      <c r="EX400" s="35"/>
      <c r="EY400" s="36"/>
      <c r="EZ400" s="35"/>
      <c r="FA400" s="35"/>
      <c r="FB400" s="35"/>
      <c r="FC400" s="35"/>
      <c r="FD400" s="35"/>
      <c r="FE400" s="35"/>
      <c r="FF400" s="35"/>
      <c r="FG400" s="35"/>
      <c r="FH400" s="35"/>
      <c r="FI400" s="35"/>
      <c r="FJ400" s="35"/>
      <c r="FK400" s="35"/>
      <c r="FL400" s="35"/>
      <c r="FM400" s="35"/>
      <c r="FN400" s="35"/>
      <c r="FO400" s="35"/>
      <c r="FP400" s="35"/>
      <c r="FQ400" s="52"/>
      <c r="FS400" s="9" t="s">
        <v>13</v>
      </c>
      <c r="FT400" s="9" t="str">
        <f t="shared" si="7301"/>
        <v xml:space="preserve">12. FDS Release 4 12.12 FDS Release 4 - Ireland E2E Dry Run (inc Annual) </v>
      </c>
    </row>
    <row r="401" spans="1:176" ht="12" hidden="1" customHeight="1" outlineLevel="1">
      <c r="A401" s="10"/>
      <c r="B401" s="11"/>
      <c r="C401" s="100" t="str">
        <f t="shared" si="7302"/>
        <v>0 days</v>
      </c>
      <c r="D401" s="141" t="str">
        <f>A$329&amp;" "&amp;A396</f>
        <v xml:space="preserve">12. FDS Release 4 12.12 FDS Release 4 - Ireland E2E Dry Run (inc Annual) </v>
      </c>
      <c r="E401" s="53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5"/>
      <c r="AM401" s="55"/>
      <c r="AN401" s="55"/>
      <c r="AO401" s="55"/>
      <c r="AP401" s="55"/>
      <c r="AQ401" s="55"/>
      <c r="AR401" s="55"/>
      <c r="AS401" s="54"/>
      <c r="AT401" s="54"/>
      <c r="AU401" s="54"/>
      <c r="AV401" s="54"/>
      <c r="AW401" s="54"/>
      <c r="AX401" s="54"/>
      <c r="AY401" s="54"/>
      <c r="AZ401" s="54"/>
      <c r="BA401" s="54"/>
      <c r="BB401" s="54"/>
      <c r="BC401" s="54"/>
      <c r="BD401" s="54"/>
      <c r="BE401" s="54"/>
      <c r="BF401" s="54"/>
      <c r="BG401" s="54"/>
      <c r="BH401" s="54"/>
      <c r="BI401" s="54"/>
      <c r="BJ401" s="54"/>
      <c r="BK401" s="54"/>
      <c r="BL401" s="54"/>
      <c r="BM401" s="54"/>
      <c r="BN401" s="54"/>
      <c r="BO401" s="54"/>
      <c r="BP401" s="54"/>
      <c r="BQ401" s="54"/>
      <c r="BR401" s="54"/>
      <c r="BS401" s="54"/>
      <c r="BT401" s="54"/>
      <c r="BU401" s="54"/>
      <c r="BV401" s="54"/>
      <c r="BW401" s="54"/>
      <c r="BX401" s="54"/>
      <c r="BY401" s="54"/>
      <c r="BZ401" s="54"/>
      <c r="CA401" s="54"/>
      <c r="CB401" s="54"/>
      <c r="CC401" s="54"/>
      <c r="CD401" s="54"/>
      <c r="CE401" s="54"/>
      <c r="CF401" s="54"/>
      <c r="CG401" s="54"/>
      <c r="CH401" s="54"/>
      <c r="CI401" s="54"/>
      <c r="CJ401" s="54"/>
      <c r="CK401" s="54"/>
      <c r="CL401" s="54"/>
      <c r="CM401" s="54"/>
      <c r="CN401" s="54"/>
      <c r="CO401" s="54"/>
      <c r="CP401" s="54"/>
      <c r="CQ401" s="54"/>
      <c r="CR401" s="54"/>
      <c r="CS401" s="54"/>
      <c r="CT401" s="55"/>
      <c r="CU401" s="54"/>
      <c r="CV401" s="54"/>
      <c r="CW401" s="54"/>
      <c r="CX401" s="54"/>
      <c r="CY401" s="54"/>
      <c r="CZ401" s="55"/>
      <c r="DA401" s="55"/>
      <c r="DB401" s="54"/>
      <c r="DC401" s="54"/>
      <c r="DD401" s="54"/>
      <c r="DE401" s="54"/>
      <c r="DF401" s="54"/>
      <c r="DG401" s="54"/>
      <c r="DH401" s="54"/>
      <c r="DI401" s="54"/>
      <c r="DJ401" s="54"/>
      <c r="DK401" s="54"/>
      <c r="DL401" s="54"/>
      <c r="DM401" s="54"/>
      <c r="DN401" s="54"/>
      <c r="DO401" s="54"/>
      <c r="DP401" s="54"/>
      <c r="DQ401" s="54"/>
      <c r="DR401" s="54"/>
      <c r="DS401" s="54"/>
      <c r="DT401" s="54"/>
      <c r="DU401" s="54"/>
      <c r="DV401" s="54"/>
      <c r="DW401" s="54"/>
      <c r="DX401" s="54"/>
      <c r="DY401" s="54"/>
      <c r="DZ401" s="55"/>
      <c r="EA401" s="54"/>
      <c r="EB401" s="54"/>
      <c r="EC401" s="54"/>
      <c r="ED401" s="54"/>
      <c r="EE401" s="54"/>
      <c r="EF401" s="54"/>
      <c r="EG401" s="54"/>
      <c r="EH401" s="54"/>
      <c r="EI401" s="54"/>
      <c r="EJ401" s="54"/>
      <c r="EK401" s="54"/>
      <c r="EL401" s="54"/>
      <c r="EM401" s="54"/>
      <c r="EN401" s="54"/>
      <c r="EO401" s="54"/>
      <c r="EP401" s="54"/>
      <c r="EQ401" s="54"/>
      <c r="ER401" s="54"/>
      <c r="ES401" s="54"/>
      <c r="ET401" s="54"/>
      <c r="EU401" s="54"/>
      <c r="EV401" s="54"/>
      <c r="EW401" s="54"/>
      <c r="EX401" s="54"/>
      <c r="EY401" s="55"/>
      <c r="EZ401" s="54"/>
      <c r="FA401" s="54"/>
      <c r="FB401" s="54"/>
      <c r="FC401" s="54"/>
      <c r="FD401" s="54"/>
      <c r="FE401" s="54"/>
      <c r="FF401" s="54"/>
      <c r="FG401" s="54"/>
      <c r="FH401" s="54"/>
      <c r="FI401" s="54"/>
      <c r="FJ401" s="54"/>
      <c r="FK401" s="54"/>
      <c r="FL401" s="54"/>
      <c r="FM401" s="54"/>
      <c r="FN401" s="54"/>
      <c r="FO401" s="54"/>
      <c r="FP401" s="54"/>
      <c r="FQ401" s="56"/>
      <c r="FS401" s="9" t="s">
        <v>13</v>
      </c>
      <c r="FT401" s="9" t="str">
        <f t="shared" si="7301"/>
        <v xml:space="preserve">12. FDS Release 4 12.12 FDS Release 4 - Ireland E2E Dry Run (inc Annual) </v>
      </c>
    </row>
    <row r="402" spans="1:176" s="28" customFormat="1" ht="12" customHeight="1" collapsed="1">
      <c r="C402" s="43"/>
      <c r="E402" s="42"/>
      <c r="F402" s="42"/>
      <c r="G402" s="42"/>
      <c r="H402" s="42"/>
      <c r="I402" s="42"/>
      <c r="J402" s="42"/>
      <c r="K402" s="42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42"/>
      <c r="BB402" s="42"/>
      <c r="BC402" s="42"/>
      <c r="BD402" s="42"/>
      <c r="BE402" s="42"/>
      <c r="BF402" s="42"/>
      <c r="BG402" s="42"/>
      <c r="BH402" s="42"/>
      <c r="BI402" s="42"/>
      <c r="BJ402" s="42"/>
      <c r="BK402" s="42"/>
      <c r="BL402" s="42"/>
      <c r="BM402" s="42"/>
      <c r="BN402" s="42"/>
      <c r="BO402" s="42"/>
      <c r="BP402" s="42"/>
      <c r="BQ402" s="42"/>
      <c r="BR402" s="42"/>
      <c r="BS402" s="42"/>
      <c r="BT402" s="42"/>
      <c r="BU402" s="42"/>
      <c r="BV402" s="42"/>
      <c r="BW402" s="42"/>
      <c r="BX402" s="42"/>
      <c r="BY402" s="42"/>
      <c r="BZ402" s="42"/>
      <c r="CA402" s="42"/>
      <c r="CB402" s="42"/>
      <c r="CC402" s="42"/>
      <c r="CD402" s="42"/>
      <c r="CE402" s="42"/>
      <c r="CF402" s="42"/>
      <c r="CG402" s="42"/>
      <c r="CH402" s="42"/>
      <c r="CI402" s="42"/>
      <c r="CJ402" s="42"/>
      <c r="CK402" s="42"/>
      <c r="CL402" s="42"/>
      <c r="CM402" s="42"/>
      <c r="CN402" s="42"/>
      <c r="CO402" s="42"/>
      <c r="CP402" s="42"/>
      <c r="CQ402" s="42"/>
      <c r="CR402" s="42"/>
      <c r="CS402" s="42"/>
      <c r="CT402" s="42"/>
      <c r="CU402" s="42"/>
      <c r="CV402" s="42"/>
      <c r="CW402" s="42"/>
      <c r="CX402" s="42"/>
      <c r="CY402" s="42"/>
      <c r="CZ402" s="42"/>
      <c r="DA402" s="42"/>
      <c r="DB402" s="42"/>
      <c r="DC402" s="42"/>
      <c r="DD402" s="42"/>
      <c r="DE402" s="42"/>
      <c r="DF402" s="42"/>
      <c r="DG402" s="42"/>
      <c r="DH402" s="42"/>
      <c r="DI402" s="42"/>
      <c r="DJ402" s="42"/>
      <c r="DK402" s="42"/>
      <c r="DL402" s="42"/>
      <c r="DM402" s="42"/>
      <c r="DN402" s="42"/>
      <c r="DO402" s="42"/>
      <c r="DP402" s="42"/>
      <c r="DQ402" s="42"/>
      <c r="DR402" s="42"/>
      <c r="DS402" s="42"/>
      <c r="DT402" s="42"/>
      <c r="DU402" s="42"/>
      <c r="DV402" s="42"/>
      <c r="DW402" s="42"/>
      <c r="DX402" s="42"/>
      <c r="DY402" s="42"/>
      <c r="DZ402" s="42"/>
      <c r="EA402" s="42"/>
      <c r="EB402" s="42"/>
      <c r="EC402" s="42"/>
      <c r="ED402" s="42"/>
      <c r="EE402" s="42"/>
      <c r="EF402" s="42"/>
      <c r="EG402" s="42"/>
      <c r="EH402" s="42"/>
      <c r="EI402" s="42"/>
      <c r="EJ402" s="42"/>
      <c r="EK402" s="42"/>
      <c r="EL402" s="42"/>
      <c r="EM402" s="42"/>
      <c r="EN402" s="42"/>
      <c r="EO402" s="42"/>
      <c r="EP402" s="42"/>
      <c r="EQ402" s="42"/>
      <c r="ER402" s="42"/>
      <c r="ES402" s="42"/>
      <c r="ET402" s="42"/>
      <c r="EU402" s="42"/>
      <c r="EV402" s="42"/>
      <c r="EW402" s="42"/>
      <c r="EX402" s="42"/>
      <c r="EY402" s="42"/>
      <c r="EZ402" s="42"/>
      <c r="FA402" s="42"/>
      <c r="FB402" s="42"/>
      <c r="FC402" s="42"/>
      <c r="FD402" s="42"/>
      <c r="FE402" s="42"/>
      <c r="FF402" s="42"/>
      <c r="FG402" s="42"/>
      <c r="FH402" s="42"/>
      <c r="FI402" s="42"/>
      <c r="FJ402" s="42"/>
      <c r="FK402" s="42"/>
      <c r="FL402" s="42"/>
      <c r="FM402" s="42"/>
      <c r="FN402" s="42"/>
      <c r="FO402" s="42"/>
      <c r="FP402" s="42"/>
      <c r="FQ402" s="42"/>
    </row>
    <row r="403" spans="1:176" s="28" customFormat="1" ht="12" hidden="1" customHeight="1" outlineLevel="1">
      <c r="B403" s="31" t="s">
        <v>8</v>
      </c>
      <c r="C403" s="175">
        <f>SUM(E403:FQ403)</f>
        <v>573</v>
      </c>
      <c r="E403" s="80">
        <f>IF(SUBTOTAL(9,E11:E15,E17:E21,E23:E27,E29:E33,E35:E39,E42:E46,E48:E52,E54:E58,E60:E64,E66:E70,E73:E77,E79:E83,E85:E89,E91:E95,E97:E101,E104:E108,E110:E114,E116:E120,E122:E126,E128:E132,E135:E139,E141:E145,E147:E151,E153:E157,E159:E163,E166:E170,E172:E176,E178:E182,E184:E188,E190:E194,E197:E201,E203:E207,E209:E213,E215:E219,E221:E225,E228:E232,E234:E238,E240:E244,E246:E250,E252:E256,E259,E261,E263,E266:E270,E272:E276,E278:E282,E284:E288,E290:E294,E296:E300,E302:E306,E308:E312,E315:E317,E319:E321,E324:E325,E327:E328,E331:E335,E337:E341,E343:E347,E349:E353,E355:E359,E361:E365,E367:E371,E373:E377,E379:E383,E385:E389,E391:E395,E397:E401)&gt;0,SUBTOTAL(9,E11:E15,E17:E21,E23:E27,E29:E33,E35:E39,E42:E46,E48:E52,E54:E58,E60:E64,E66:E70,E73:E77,E79:E83,E85:E89,E91:E95,E97:E101,E104:E108,E110:E114,E116:E120,E122:E126,E128:E132,E135:E139,E141:E145,E147:E151,E153:E157,E159:E163,E166:E170,E172:E176,E178:E182,E184:E188,E190:E194,E197:E201,E203:E207,E209:E213,E215:E219,E221:E225,E228:E232,E234:E238,E240:E244,E246:E250,E252:E256,E259,E261,E263,E266:E270,E272:E276,E278:E282,E284:E288,E290:E294,E296:E300,E302:E306,E308:E312,E315:E317,E319:E321,E324:E325,E327:E328,E331:E335,E337:E341,E343:E347,E349:E353,E355:E359,E361:E365,E367:E371,E373:E377,E379:E383,E385:E389,E391:E395,E397:E401)," ")</f>
        <v>2</v>
      </c>
      <c r="F403" s="81">
        <f t="shared" ref="F403:BQ403" si="7303">IF(SUBTOTAL(9,F11:F15,F17:F21,F23:F27,F29:F33,F35:F39,F42:F46,F48:F52,F54:F58,F60:F64,F66:F70,F73:F77,F79:F83,F85:F89,F91:F95,F97:F101,F104:F108,F110:F114,F116:F120,F122:F126,F128:F132,F135:F139,F141:F145,F147:F151,F153:F157,F159:F163,F166:F170,F172:F176,F178:F182,F184:F188,F190:F194,F197:F201,F203:F207,F209:F213,F215:F219,F221:F225,F228:F232,F234:F238,F240:F244,F246:F250,F252:F256,F259,F261,F263,F266:F270,F272:F276,F278:F282,F284:F288,F290:F294,F296:F300,F302:F306,F308:F312,F315:F317,F319:F321,F324:F325,F327:F328,F331:F335,F337:F341,F343:F347,F349:F353,F355:F359,F361:F365,F367:F371,F373:F377,F379:F383,F385:F389,F391:F395,F397:F401)&gt;0,SUBTOTAL(9,F11:F15,F17:F21,F23:F27,F29:F33,F35:F39,F42:F46,F48:F52,F54:F58,F60:F64,F66:F70,F73:F77,F79:F83,F85:F89,F91:F95,F97:F101,F104:F108,F110:F114,F116:F120,F122:F126,F128:F132,F135:F139,F141:F145,F147:F151,F153:F157,F159:F163,F166:F170,F172:F176,F178:F182,F184:F188,F190:F194,F197:F201,F203:F207,F209:F213,F215:F219,F221:F225,F228:F232,F234:F238,F240:F244,F246:F250,F252:F256,F259,F261,F263,F266:F270,F272:F276,F278:F282,F284:F288,F290:F294,F296:F300,F302:F306,F308:F312,F315:F317,F319:F321,F324:F325,F327:F328,F331:F335,F337:F341,F343:F347,F349:F353,F355:F359,F361:F365,F367:F371,F373:F377,F379:F383,F385:F389,F391:F395,F397:F401)," ")</f>
        <v>2</v>
      </c>
      <c r="G403" s="81">
        <f t="shared" si="7303"/>
        <v>2</v>
      </c>
      <c r="H403" s="81">
        <f t="shared" si="7303"/>
        <v>2</v>
      </c>
      <c r="I403" s="81">
        <f t="shared" si="7303"/>
        <v>2</v>
      </c>
      <c r="J403" s="81">
        <f t="shared" si="7303"/>
        <v>4</v>
      </c>
      <c r="K403" s="81">
        <f t="shared" si="7303"/>
        <v>4</v>
      </c>
      <c r="L403" s="81">
        <f t="shared" si="7303"/>
        <v>4</v>
      </c>
      <c r="M403" s="81">
        <f t="shared" si="7303"/>
        <v>4</v>
      </c>
      <c r="N403" s="81">
        <f t="shared" si="7303"/>
        <v>4</v>
      </c>
      <c r="O403" s="81">
        <f t="shared" si="7303"/>
        <v>4</v>
      </c>
      <c r="P403" s="81">
        <f t="shared" si="7303"/>
        <v>4</v>
      </c>
      <c r="Q403" s="81">
        <f t="shared" si="7303"/>
        <v>4</v>
      </c>
      <c r="R403" s="81">
        <f t="shared" si="7303"/>
        <v>4</v>
      </c>
      <c r="S403" s="81">
        <f t="shared" si="7303"/>
        <v>4</v>
      </c>
      <c r="T403" s="81">
        <f t="shared" si="7303"/>
        <v>6</v>
      </c>
      <c r="U403" s="81">
        <f t="shared" si="7303"/>
        <v>4</v>
      </c>
      <c r="V403" s="81">
        <f t="shared" si="7303"/>
        <v>4</v>
      </c>
      <c r="W403" s="81">
        <f t="shared" si="7303"/>
        <v>4</v>
      </c>
      <c r="X403" s="81">
        <f t="shared" si="7303"/>
        <v>4</v>
      </c>
      <c r="Y403" s="81">
        <f t="shared" si="7303"/>
        <v>4</v>
      </c>
      <c r="Z403" s="81">
        <f t="shared" si="7303"/>
        <v>4</v>
      </c>
      <c r="AA403" s="81">
        <f t="shared" si="7303"/>
        <v>4</v>
      </c>
      <c r="AB403" s="81">
        <f t="shared" si="7303"/>
        <v>4</v>
      </c>
      <c r="AC403" s="81">
        <f t="shared" si="7303"/>
        <v>4</v>
      </c>
      <c r="AD403" s="81">
        <f t="shared" si="7303"/>
        <v>4</v>
      </c>
      <c r="AE403" s="81">
        <f t="shared" si="7303"/>
        <v>4</v>
      </c>
      <c r="AF403" s="81">
        <f t="shared" si="7303"/>
        <v>4</v>
      </c>
      <c r="AG403" s="81">
        <f t="shared" si="7303"/>
        <v>4</v>
      </c>
      <c r="AH403" s="81">
        <f t="shared" si="7303"/>
        <v>4</v>
      </c>
      <c r="AI403" s="81">
        <f t="shared" si="7303"/>
        <v>4</v>
      </c>
      <c r="AJ403" s="81">
        <f t="shared" si="7303"/>
        <v>4</v>
      </c>
      <c r="AK403" s="81">
        <f t="shared" si="7303"/>
        <v>4</v>
      </c>
      <c r="AL403" s="81" t="str">
        <f t="shared" si="7303"/>
        <v xml:space="preserve"> </v>
      </c>
      <c r="AM403" s="81" t="str">
        <f t="shared" si="7303"/>
        <v xml:space="preserve"> </v>
      </c>
      <c r="AN403" s="81" t="str">
        <f t="shared" si="7303"/>
        <v xml:space="preserve"> </v>
      </c>
      <c r="AO403" s="81" t="str">
        <f t="shared" si="7303"/>
        <v xml:space="preserve"> </v>
      </c>
      <c r="AP403" s="81" t="str">
        <f t="shared" si="7303"/>
        <v xml:space="preserve"> </v>
      </c>
      <c r="AQ403" s="81" t="str">
        <f t="shared" si="7303"/>
        <v xml:space="preserve"> </v>
      </c>
      <c r="AR403" s="81" t="str">
        <f t="shared" si="7303"/>
        <v xml:space="preserve"> </v>
      </c>
      <c r="AS403" s="81">
        <f t="shared" si="7303"/>
        <v>4</v>
      </c>
      <c r="AT403" s="81">
        <f t="shared" si="7303"/>
        <v>4</v>
      </c>
      <c r="AU403" s="81">
        <f t="shared" si="7303"/>
        <v>4</v>
      </c>
      <c r="AV403" s="81">
        <f t="shared" si="7303"/>
        <v>6</v>
      </c>
      <c r="AW403" s="81">
        <f t="shared" si="7303"/>
        <v>4</v>
      </c>
      <c r="AX403" s="81">
        <f t="shared" si="7303"/>
        <v>4</v>
      </c>
      <c r="AY403" s="81">
        <f t="shared" si="7303"/>
        <v>4</v>
      </c>
      <c r="AZ403" s="81">
        <f t="shared" si="7303"/>
        <v>4</v>
      </c>
      <c r="BA403" s="81">
        <f t="shared" si="7303"/>
        <v>4</v>
      </c>
      <c r="BB403" s="81">
        <f t="shared" si="7303"/>
        <v>5</v>
      </c>
      <c r="BC403" s="81">
        <f t="shared" si="7303"/>
        <v>4</v>
      </c>
      <c r="BD403" s="81">
        <f t="shared" si="7303"/>
        <v>4</v>
      </c>
      <c r="BE403" s="81">
        <f t="shared" si="7303"/>
        <v>4</v>
      </c>
      <c r="BF403" s="81">
        <f t="shared" si="7303"/>
        <v>5</v>
      </c>
      <c r="BG403" s="81">
        <f t="shared" si="7303"/>
        <v>4</v>
      </c>
      <c r="BH403" s="81">
        <f t="shared" si="7303"/>
        <v>4</v>
      </c>
      <c r="BI403" s="81">
        <f t="shared" si="7303"/>
        <v>4</v>
      </c>
      <c r="BJ403" s="81">
        <f t="shared" si="7303"/>
        <v>4</v>
      </c>
      <c r="BK403" s="81">
        <f t="shared" si="7303"/>
        <v>4</v>
      </c>
      <c r="BL403" s="81">
        <f t="shared" si="7303"/>
        <v>5</v>
      </c>
      <c r="BM403" s="81">
        <f t="shared" si="7303"/>
        <v>4</v>
      </c>
      <c r="BN403" s="81">
        <f t="shared" si="7303"/>
        <v>4</v>
      </c>
      <c r="BO403" s="81">
        <f t="shared" si="7303"/>
        <v>4</v>
      </c>
      <c r="BP403" s="81">
        <f t="shared" si="7303"/>
        <v>4</v>
      </c>
      <c r="BQ403" s="81">
        <f t="shared" si="7303"/>
        <v>4</v>
      </c>
      <c r="BR403" s="81">
        <f t="shared" ref="BR403:EC403" si="7304">IF(SUBTOTAL(9,BR11:BR15,BR17:BR21,BR23:BR27,BR29:BR33,BR35:BR39,BR42:BR46,BR48:BR52,BR54:BR58,BR60:BR64,BR66:BR70,BR73:BR77,BR79:BR83,BR85:BR89,BR91:BR95,BR97:BR101,BR104:BR108,BR110:BR114,BR116:BR120,BR122:BR126,BR128:BR132,BR135:BR139,BR141:BR145,BR147:BR151,BR153:BR157,BR159:BR163,BR166:BR170,BR172:BR176,BR178:BR182,BR184:BR188,BR190:BR194,BR197:BR201,BR203:BR207,BR209:BR213,BR215:BR219,BR221:BR225,BR228:BR232,BR234:BR238,BR240:BR244,BR246:BR250,BR252:BR256,BR259,BR261,BR263,BR266:BR270,BR272:BR276,BR278:BR282,BR284:BR288,BR290:BR294,BR296:BR300,BR302:BR306,BR308:BR312,BR315:BR317,BR319:BR321,BR324:BR325,BR327:BR328,BR331:BR335,BR337:BR341,BR343:BR347,BR349:BR353,BR355:BR359,BR361:BR365,BR367:BR371,BR373:BR377,BR379:BR383,BR385:BR389,BR391:BR395,BR397:BR401)&gt;0,SUBTOTAL(9,BR11:BR15,BR17:BR21,BR23:BR27,BR29:BR33,BR35:BR39,BR42:BR46,BR48:BR52,BR54:BR58,BR60:BR64,BR66:BR70,BR73:BR77,BR79:BR83,BR85:BR89,BR91:BR95,BR97:BR101,BR104:BR108,BR110:BR114,BR116:BR120,BR122:BR126,BR128:BR132,BR135:BR139,BR141:BR145,BR147:BR151,BR153:BR157,BR159:BR163,BR166:BR170,BR172:BR176,BR178:BR182,BR184:BR188,BR190:BR194,BR197:BR201,BR203:BR207,BR209:BR213,BR215:BR219,BR221:BR225,BR228:BR232,BR234:BR238,BR240:BR244,BR246:BR250,BR252:BR256,BR259,BR261,BR263,BR266:BR270,BR272:BR276,BR278:BR282,BR284:BR288,BR290:BR294,BR296:BR300,BR302:BR306,BR308:BR312,BR315:BR317,BR319:BR321,BR324:BR325,BR327:BR328,BR331:BR335,BR337:BR341,BR343:BR347,BR349:BR353,BR355:BR359,BR361:BR365,BR367:BR371,BR373:BR377,BR379:BR383,BR385:BR389,BR391:BR395,BR397:BR401)," ")</f>
        <v>4</v>
      </c>
      <c r="BS403" s="81">
        <f t="shared" si="7304"/>
        <v>4</v>
      </c>
      <c r="BT403" s="81">
        <f t="shared" si="7304"/>
        <v>4</v>
      </c>
      <c r="BU403" s="81">
        <f t="shared" si="7304"/>
        <v>4</v>
      </c>
      <c r="BV403" s="81">
        <f t="shared" si="7304"/>
        <v>4</v>
      </c>
      <c r="BW403" s="81">
        <f>IF(SUBTOTAL(9,BW11:BW15,BW17:BW21,BW23:BW27,BW29:BW33,BW35:BW39,BW42:BW46,BW48:BW52,BW54:BW58,BW60:BW64,BW66:BW70,BW73:BW77,BW79:BW83,BW85:BW89,BW91:BW95,BW97:BW101,BW104:BW108,BW110:BW114,BW116:BW120,BW122:BW126,BW128:BW132,BW135:BW139,BW141:BW145,BW147:BW151,BW153:BW157,BW159:BW163,BW166:BW170,BW172:BW176,BW178:BW182,BW184:BW188,BW190:BW194,BW197:BW201,BW203:BW207,BW209:BW213,BW215:BW219,BW221:BW225,BW228:BW232,BW234:BW238,BW240:BW244,BW246:BW250,BW252:BW256,BW259,BW261,BW263,BW266:BW270,BW272:BW276,BW278:BW282,BW284:BW288,BW290:BW294,BW296:BW300,BW302:BW306,BW308:BW312,BW315:BW317,BW319:BW321,BW324:BW325,BW327:BW328,BW331:BW335,BW337:BW341,BW343:BW347,BW349:BW353,BW355:BW359,BW361:BW365,BW367:BW371,BW373:BW377,BW379:BW383,BW385:BW389,BW391:BW395,BW397:BW401)&gt;0,SUBTOTAL(9,BW11:BW15,BW17:BW21,BW23:BW27,BW29:BW33,BW35:BW39,BW42:BW46,BW48:BW52,BW54:BW58,BW60:BW64,BW66:BW70,BW73:BW77,BW79:BW83,BW85:BW89,BW91:BW95,BW97:BW101,BW104:BW108,BW110:BW114,BW116:BW120,BW122:BW126,BW128:BW132,BW135:BW139,BW141:BW145,BW147:BW151,BW153:BW157,BW159:BW163,BW166:BW170,BW172:BW176,BW178:BW182,BW184:BW188,BW190:BW194,BW197:BW201,BW203:BW207,BW209:BW213,BW215:BW219,BW221:BW225,BW228:BW232,BW234:BW238,BW240:BW244,BW246:BW250,BW252:BW256,BW259,BW261,BW263,BW266:BW270,BW272:BW276,BW278:BW282,BW284:BW288,BW290:BW294,BW296:BW300,BW302:BW306,BW308:BW312,BW315:BW317,BW319:BW321,BW324:BW325,BW327:BW328,BW331:BW335,BW337:BW341,BW343:BW347,BW349:BW353,BW355:BW359,BW361:BW365,BW367:BW371,BW373:BW377,BW379:BW383,BW385:BW389,BW391:BW395,BW397:BW401)," ")</f>
        <v>4</v>
      </c>
      <c r="BX403" s="81">
        <f t="shared" si="7304"/>
        <v>4</v>
      </c>
      <c r="BY403" s="81">
        <f t="shared" si="7304"/>
        <v>5</v>
      </c>
      <c r="BZ403" s="81">
        <f t="shared" si="7304"/>
        <v>5.5</v>
      </c>
      <c r="CA403" s="81">
        <f t="shared" si="7304"/>
        <v>4</v>
      </c>
      <c r="CB403" s="81">
        <f t="shared" si="7304"/>
        <v>4</v>
      </c>
      <c r="CC403" s="81">
        <f t="shared" si="7304"/>
        <v>4</v>
      </c>
      <c r="CD403" s="81">
        <f t="shared" si="7304"/>
        <v>4</v>
      </c>
      <c r="CE403" s="81">
        <f t="shared" si="7304"/>
        <v>3</v>
      </c>
      <c r="CF403" s="81">
        <f t="shared" si="7304"/>
        <v>3</v>
      </c>
      <c r="CG403" s="81">
        <f t="shared" ref="CG403:CS403" si="7305">IF(SUBTOTAL(9,CG11:CG15,CG17:CG21,CG23:CG27,CG29:CG33,CG35:CG39,CG42:CG46,CG48:CG52,CG54:CG58,CG60:CG64,CG66:CG70,CG73:CG77,CG79:CG83,CG85:CG89,CG91:CG95,CG97:CG101,CG104:CG108,CG110:CG114,CG116:CG120,CG122:CG126,CG128:CG132,CG135:CG139,CG141:CG145,CG147:CG151,CG153:CG157,CG159:CG163,CG166:CG170,CG172:CG176,CG178:CG182,CG184:CG188,CG190:CG194,CG197:CG201,CG203:CG207,CG209:CG213,CG215:CG219,CG221:CG225,CG228:CG232,CG234:CG238,CG240:CG244,CG246:CG250,CG252:CG256,CG259,CG261,CG263,CG266:CG270,CG272:CG276,CG278:CG282,CG284:CG288,CG290:CG294,CG296:CG300,CG302:CG306,CG308:CG312,CG315:CG317,CG319:CG321,CG324:CG325,CG327:CG328,CG331:CG335,CG337:CG341,CG343:CG347,CG349:CG353,CG355:CG359,CG361:CG365,CG367:CG371,CG373:CG377,CG379:CG383,CG385:CG389,CG391:CG395,CG397:CG401)&gt;0,SUBTOTAL(9,CG11:CG15,CG17:CG21,CG23:CG27,CG29:CG33,CG35:CG39,CG42:CG46,CG48:CG52,CG54:CG58,CG60:CG64,CG66:CG70,CG73:CG77,CG79:CG83,CG85:CG89,CG91:CG95,CG97:CG101,CG104:CG108,CG110:CG114,CG116:CG120,CG122:CG126,CG128:CG132,CG135:CG139,CG141:CG145,CG147:CG151,CG153:CG157,CG159:CG163,CG166:CG170,CG172:CG176,CG178:CG182,CG184:CG188,CG190:CG194,CG197:CG201,CG203:CG207,CG209:CG213,CG215:CG219,CG221:CG225,CG228:CG232,CG234:CG238,CG240:CG244,CG246:CG250,CG252:CG256,CG259,CG261,CG263,CG266:CG270,CG272:CG276,CG278:CG282,CG284:CG288,CG290:CG294,CG296:CG300,CG302:CG306,CG308:CG312,CG315:CG317,CG319:CG321,CG324:CG325,CG327:CG328,CG331:CG335,CG337:CG341,CG343:CG347,CG349:CG353,CG355:CG359,CG361:CG365,CG367:CG371,CG373:CG377,CG379:CG383,CG385:CG389,CG391:CG395,CG397:CG401)," ")</f>
        <v>3</v>
      </c>
      <c r="CH403" s="81">
        <f t="shared" si="7305"/>
        <v>3</v>
      </c>
      <c r="CI403" s="81">
        <f t="shared" si="7305"/>
        <v>3</v>
      </c>
      <c r="CJ403" s="81">
        <f t="shared" si="7305"/>
        <v>3</v>
      </c>
      <c r="CK403" s="81">
        <f t="shared" si="7305"/>
        <v>3</v>
      </c>
      <c r="CL403" s="81">
        <f t="shared" si="7305"/>
        <v>3</v>
      </c>
      <c r="CM403" s="81">
        <f t="shared" si="7305"/>
        <v>3</v>
      </c>
      <c r="CN403" s="81">
        <f t="shared" si="7305"/>
        <v>3</v>
      </c>
      <c r="CO403" s="81">
        <f t="shared" si="7305"/>
        <v>3</v>
      </c>
      <c r="CP403" s="81">
        <f t="shared" si="7305"/>
        <v>3</v>
      </c>
      <c r="CQ403" s="81">
        <f t="shared" si="7305"/>
        <v>3</v>
      </c>
      <c r="CR403" s="81">
        <f t="shared" si="7305"/>
        <v>3</v>
      </c>
      <c r="CS403" s="81">
        <f t="shared" si="7305"/>
        <v>3</v>
      </c>
      <c r="CT403" s="81" t="str">
        <f t="shared" si="7304"/>
        <v xml:space="preserve"> </v>
      </c>
      <c r="CU403" s="81">
        <f t="shared" si="7304"/>
        <v>3</v>
      </c>
      <c r="CV403" s="81">
        <f t="shared" si="7304"/>
        <v>3</v>
      </c>
      <c r="CW403" s="81">
        <f>IF(SUBTOTAL(9,CW11:CW15,CW17:CW21,CW23:CW27,CW29:CW33,CW35:CW39,CW42:CW46,CW48:CW52,CW54:CW58,CW60:CW64,CW66:CW70,CW73:CW77,CW79:CW83,CW85:CW89,CW91:CW95,CW97:CW101,CW104:CW108,CW110:CW114,CW116:CW120,CW122:CW126,CW128:CW132,CW135:CW139,CW141:CW145,CW147:CW151,CW153:CW157,CW159:CW163,CW166:CW170,CW172:CW176,CW178:CW182,CW184:CW188,CW190:CW194,CW197:CW201,CW203:CW207,CW209:CW213,CW215:CW219,CW221:CW225,CW228:CW232,CW234:CW238,CW240:CW244,CW246:CW250,CW252:CW256,CW259,CW261,CW263,CW266:CW270,CW272:CW276,CW278:CW282,CW284:CW288,CW290:CW294,CW296:CW300,CW302:CW306,CW308:CW312,CW315:CW317,CW319:CW321,CW324:CW325,CW327:CW328,CW331:CW335,CW337:CW341,CW343:CW347,CW349:CW353,CW355:CW359,CW361:CW365,CW367:CW371,CW373:CW377,CW379:CW383,CW385:CW389,CW391:CW395,CW397:CW401)&gt;0,SUBTOTAL(9,CW11:CW15,CW17:CW21,CW23:CW27,CW29:CW33,CW35:CW39,CW42:CW46,CW48:CW52,CW54:CW58,CW60:CW64,CW66:CW70,CW73:CW77,CW79:CW83,CW85:CW89,CW91:CW95,CW97:CW101,CW104:CW108,CW110:CW114,CW116:CW120,CW122:CW126,CW128:CW132,CW135:CW139,CW141:CW145,CW147:CW151,CW153:CW157,CW159:CW163,CW166:CW170,CW172:CW176,CW178:CW182,CW184:CW188,CW190:CW194,CW197:CW201,CW203:CW207,CW209:CW213,CW215:CW219,CW221:CW225,CW228:CW232,CW234:CW238,CW240:CW244,CW246:CW250,CW252:CW256,CW259,CW261,CW263,CW266:CW270,CW272:CW276,CW278:CW282,CW284:CW288,CW290:CW294,CW296:CW300,CW302:CW306,CW308:CW312,CW315:CW317,CW319:CW321,CW324:CW325,CW327:CW328,CW331:CW335,CW337:CW341,CW343:CW347,CW349:CW353,CW355:CW359,CW361:CW365,CW367:CW371,CW373:CW377,CW379:CW383,CW385:CW389,CW391:CW395,CW397:CW401)," ")</f>
        <v>3</v>
      </c>
      <c r="CX403" s="81">
        <f>IF(SUBTOTAL(9,CX11:CX15,CX17:CX21,CX23:CX27,CX29:CX33,CX35:CX39,CX42:CX46,CX48:CX52,CX54:CX58,CX60:CX64,CX66:CX70,CX73:CX77,CX79:CX83,CX85:CX89,CX91:CX95,CX97:CX101,CX104:CX108,CX110:CX114,CX116:CX120,CX122:CX126,CX128:CX132,CX135:CX139,CX141:CX145,CX147:CX151,CX153:CX157,CX159:CX163,CX166:CX170,CX172:CX176,CX178:CX182,CX184:CX188,CX190:CX194,CX197:CX201,CX203:CX207,CX209:CX213,CX215:CX219,CX221:CX225,CX228:CX232,CX234:CX238,CX240:CX244,CX246:CX250,CX252:CX256,CX259,CX261,CX263,CX266:CX270,CX272:CX276,CX278:CX282,CX284:CX288,CX290:CX294,CX296:CX300,CX302:CX306,CX308:CX312,CX315:CX317,CX319:CX321,CX324:CX325,CX327:CX328,CX331:CX335,CX337:CX341,CX343:CX347,CX349:CX353,CX355:CX359,CX361:CX365,CX367:CX371,CX373:CX377,CX379:CX383,CX385:CX389,CX391:CX395,CX397:CX401)&gt;0,SUBTOTAL(9,CX11:CX15,CX17:CX21,CX23:CX27,CX29:CX33,CX35:CX39,CX42:CX46,CX48:CX52,CX54:CX58,CX60:CX64,CX66:CX70,CX73:CX77,CX79:CX83,CX85:CX89,CX91:CX95,CX97:CX101,CX104:CX108,CX110:CX114,CX116:CX120,CX122:CX126,CX128:CX132,CX135:CX139,CX141:CX145,CX147:CX151,CX153:CX157,CX159:CX163,CX166:CX170,CX172:CX176,CX178:CX182,CX184:CX188,CX190:CX194,CX197:CX201,CX203:CX207,CX209:CX213,CX215:CX219,CX221:CX225,CX228:CX232,CX234:CX238,CX240:CX244,CX246:CX250,CX252:CX256,CX259,CX261,CX263,CX266:CX270,CX272:CX276,CX278:CX282,CX284:CX288,CX290:CX294,CX296:CX300,CX302:CX306,CX308:CX312,CX315:CX317,CX319:CX321,CX324:CX325,CX327:CX328,CX331:CX335,CX337:CX341,CX343:CX347,CX349:CX353,CX355:CX359,CX361:CX365,CX367:CX371,CX373:CX377,CX379:CX383,CX385:CX389,CX391:CX395,CX397:CX401)," ")</f>
        <v>3</v>
      </c>
      <c r="CY403" s="81">
        <f t="shared" si="7304"/>
        <v>3</v>
      </c>
      <c r="CZ403" s="81" t="str">
        <f t="shared" si="7304"/>
        <v xml:space="preserve"> </v>
      </c>
      <c r="DA403" s="81" t="str">
        <f t="shared" si="7304"/>
        <v xml:space="preserve"> </v>
      </c>
      <c r="DB403" s="81">
        <f>IF(SUBTOTAL(9,DB11:DB15,DB17:DB21,DB23:DB27,DB29:DB33,DB35:DB39,DB42:DB46,DB48:DB52,DB54:DB58,DB60:DB64,DB66:DB70,DB73:DB77,DB79:DB83,DB85:DB89,DB91:DB95,DB97:DB101,DB104:DB108,DB110:DB114,DB116:DB120,DB122:DB126,DB128:DB132,DB135:DB139,DB141:DB145,DB147:DB151,DB153:DB157,DB159:DB163,DB166:DB170,DB172:DB176,DB178:DB182,DB184:DB188,DB190:DB194,DB197:DB201,DB203:DB207,DB209:DB213,DB215:DB219,DB221:DB225,DB228:DB232,DB234:DB238,DB240:DB244,DB246:DB250,DB252:DB256,DB259,DB261,DB263,DB266:DB270,DB272:DB276,DB278:DB282,DB284:DB288,DB290:DB294,DB296:DB300,DB302:DB306,DB308:DB312,DB315:DB317,DB319:DB321,DB324:DB325,DB327:DB328,DB331:DB335,DB337:DB341,DB343:DB347,DB349:DB353,DB355:DB359,DB361:DB365,DB367:DB371,DB373:DB377,DB379:DB383,DB385:DB389,DB391:DB395,DB397:DB401)&gt;0,SUBTOTAL(9,DB11:DB15,DB17:DB21,DB23:DB27,DB29:DB33,DB35:DB39,DB42:DB46,DB48:DB52,DB54:DB58,DB60:DB64,DB66:DB70,DB73:DB77,DB79:DB83,DB85:DB89,DB91:DB95,DB97:DB101,DB104:DB108,DB110:DB114,DB116:DB120,DB122:DB126,DB128:DB132,DB135:DB139,DB141:DB145,DB147:DB151,DB153:DB157,DB159:DB163,DB166:DB170,DB172:DB176,DB178:DB182,DB184:DB188,DB190:DB194,DB197:DB201,DB203:DB207,DB209:DB213,DB215:DB219,DB221:DB225,DB228:DB232,DB234:DB238,DB240:DB244,DB246:DB250,DB252:DB256,DB259,DB261,DB263,DB266:DB270,DB272:DB276,DB278:DB282,DB284:DB288,DB290:DB294,DB296:DB300,DB302:DB306,DB308:DB312,DB315:DB317,DB319:DB321,DB324:DB325,DB327:DB328,DB331:DB335,DB337:DB341,DB343:DB347,DB349:DB353,DB355:DB359,DB361:DB365,DB367:DB371,DB373:DB377,DB379:DB383,DB385:DB389,DB391:DB395,DB397:DB401)," ")</f>
        <v>4</v>
      </c>
      <c r="DC403" s="81">
        <f t="shared" ref="DC403:DE403" si="7306">IF(SUBTOTAL(9,DC11:DC15,DC17:DC21,DC23:DC27,DC29:DC33,DC35:DC39,DC42:DC46,DC48:DC52,DC54:DC58,DC60:DC64,DC66:DC70,DC73:DC77,DC79:DC83,DC85:DC89,DC91:DC95,DC97:DC101,DC104:DC108,DC110:DC114,DC116:DC120,DC122:DC126,DC128:DC132,DC135:DC139,DC141:DC145,DC147:DC151,DC153:DC157,DC159:DC163,DC166:DC170,DC172:DC176,DC178:DC182,DC184:DC188,DC190:DC194,DC197:DC201,DC203:DC207,DC209:DC213,DC215:DC219,DC221:DC225,DC228:DC232,DC234:DC238,DC240:DC244,DC246:DC250,DC252:DC256,DC259,DC261,DC263,DC266:DC270,DC272:DC276,DC278:DC282,DC284:DC288,DC290:DC294,DC296:DC300,DC302:DC306,DC308:DC312,DC315:DC317,DC319:DC321,DC324:DC325,DC327:DC328,DC331:DC335,DC337:DC341,DC343:DC347,DC349:DC353,DC355:DC359,DC361:DC365,DC367:DC371,DC373:DC377,DC379:DC383,DC385:DC389,DC391:DC395,DC397:DC401)&gt;0,SUBTOTAL(9,DC11:DC15,DC17:DC21,DC23:DC27,DC29:DC33,DC35:DC39,DC42:DC46,DC48:DC52,DC54:DC58,DC60:DC64,DC66:DC70,DC73:DC77,DC79:DC83,DC85:DC89,DC91:DC95,DC97:DC101,DC104:DC108,DC110:DC114,DC116:DC120,DC122:DC126,DC128:DC132,DC135:DC139,DC141:DC145,DC147:DC151,DC153:DC157,DC159:DC163,DC166:DC170,DC172:DC176,DC178:DC182,DC184:DC188,DC190:DC194,DC197:DC201,DC203:DC207,DC209:DC213,DC215:DC219,DC221:DC225,DC228:DC232,DC234:DC238,DC240:DC244,DC246:DC250,DC252:DC256,DC259,DC261,DC263,DC266:DC270,DC272:DC276,DC278:DC282,DC284:DC288,DC290:DC294,DC296:DC300,DC302:DC306,DC308:DC312,DC315:DC317,DC319:DC321,DC324:DC325,DC327:DC328,DC331:DC335,DC337:DC341,DC343:DC347,DC349:DC353,DC355:DC359,DC361:DC365,DC367:DC371,DC373:DC377,DC379:DC383,DC385:DC389,DC391:DC395,DC397:DC401)," ")</f>
        <v>3</v>
      </c>
      <c r="DD403" s="81">
        <f t="shared" si="7306"/>
        <v>3</v>
      </c>
      <c r="DE403" s="81">
        <f t="shared" si="7306"/>
        <v>3</v>
      </c>
      <c r="DF403" s="81">
        <f t="shared" ref="DF403:DO403" si="7307">IF(SUBTOTAL(9,DF11:DF15,DF17:DF21,DF23:DF27,DF29:DF33,DF35:DF39,DF42:DF46,DF48:DF52,DF54:DF58,DF60:DF64,DF66:DF70,DF73:DF77,DF79:DF83,DF85:DF89,DF91:DF95,DF97:DF101,DF104:DF108,DF110:DF114,DF116:DF120,DF122:DF126,DF128:DF132,DF135:DF139,DF141:DF145,DF147:DF151,DF153:DF157,DF159:DF163,DF166:DF170,DF172:DF176,DF178:DF182,DF184:DF188,DF190:DF194,DF197:DF201,DF203:DF207,DF209:DF213,DF215:DF219,DF221:DF225,DF228:DF232,DF234:DF238,DF240:DF244,DF246:DF250,DF252:DF256,DF259,DF261,DF263,DF266:DF270,DF272:DF276,DF278:DF282,DF284:DF288,DF290:DF294,DF296:DF300,DF302:DF306,DF308:DF312,DF315:DF317,DF319:DF321,DF324:DF325,DF327:DF328,DF331:DF335,DF337:DF341,DF343:DF347,DF349:DF353,DF355:DF359,DF361:DF365,DF367:DF371,DF373:DF377,DF379:DF383,DF385:DF389,DF391:DF395,DF397:DF401)&gt;0,SUBTOTAL(9,DF11:DF15,DF17:DF21,DF23:DF27,DF29:DF33,DF35:DF39,DF42:DF46,DF48:DF52,DF54:DF58,DF60:DF64,DF66:DF70,DF73:DF77,DF79:DF83,DF85:DF89,DF91:DF95,DF97:DF101,DF104:DF108,DF110:DF114,DF116:DF120,DF122:DF126,DF128:DF132,DF135:DF139,DF141:DF145,DF147:DF151,DF153:DF157,DF159:DF163,DF166:DF170,DF172:DF176,DF178:DF182,DF184:DF188,DF190:DF194,DF197:DF201,DF203:DF207,DF209:DF213,DF215:DF219,DF221:DF225,DF228:DF232,DF234:DF238,DF240:DF244,DF246:DF250,DF252:DF256,DF259,DF261,DF263,DF266:DF270,DF272:DF276,DF278:DF282,DF284:DF288,DF290:DF294,DF296:DF300,DF302:DF306,DF308:DF312,DF315:DF317,DF319:DF321,DF324:DF325,DF327:DF328,DF331:DF335,DF337:DF341,DF343:DF347,DF349:DF353,DF355:DF359,DF361:DF365,DF367:DF371,DF373:DF377,DF379:DF383,DF385:DF389,DF391:DF395,DF397:DF401)," ")</f>
        <v>4</v>
      </c>
      <c r="DG403" s="81">
        <f t="shared" si="7307"/>
        <v>4</v>
      </c>
      <c r="DH403" s="81">
        <f t="shared" si="7307"/>
        <v>4.5</v>
      </c>
      <c r="DI403" s="81">
        <f t="shared" si="7307"/>
        <v>3</v>
      </c>
      <c r="DJ403" s="81">
        <f t="shared" si="7307"/>
        <v>4</v>
      </c>
      <c r="DK403" s="81">
        <f t="shared" si="7307"/>
        <v>3</v>
      </c>
      <c r="DL403" s="81">
        <f t="shared" si="7307"/>
        <v>3</v>
      </c>
      <c r="DM403" s="81">
        <f t="shared" si="7307"/>
        <v>4</v>
      </c>
      <c r="DN403" s="81">
        <f t="shared" si="7307"/>
        <v>5</v>
      </c>
      <c r="DO403" s="81">
        <f t="shared" si="7307"/>
        <v>4</v>
      </c>
      <c r="DP403" s="81">
        <f t="shared" si="7304"/>
        <v>4</v>
      </c>
      <c r="DQ403" s="81">
        <f t="shared" si="7304"/>
        <v>4</v>
      </c>
      <c r="DR403" s="81">
        <f t="shared" si="7304"/>
        <v>5</v>
      </c>
      <c r="DS403" s="81">
        <f t="shared" si="7304"/>
        <v>3</v>
      </c>
      <c r="DT403" s="81">
        <f t="shared" si="7304"/>
        <v>2</v>
      </c>
      <c r="DU403" s="81">
        <f t="shared" si="7304"/>
        <v>2</v>
      </c>
      <c r="DV403" s="81">
        <f t="shared" si="7304"/>
        <v>2</v>
      </c>
      <c r="DW403" s="81">
        <f t="shared" si="7304"/>
        <v>2</v>
      </c>
      <c r="DX403" s="81">
        <f t="shared" si="7304"/>
        <v>5</v>
      </c>
      <c r="DY403" s="81">
        <f t="shared" si="7304"/>
        <v>4</v>
      </c>
      <c r="DZ403" s="81" t="str">
        <f t="shared" si="7304"/>
        <v xml:space="preserve"> </v>
      </c>
      <c r="EA403" s="81">
        <f t="shared" si="7304"/>
        <v>4</v>
      </c>
      <c r="EB403" s="81">
        <f t="shared" si="7304"/>
        <v>4</v>
      </c>
      <c r="EC403" s="81">
        <f t="shared" si="7304"/>
        <v>4</v>
      </c>
      <c r="ED403" s="81">
        <f t="shared" ref="ED403:EQ403" si="7308">IF(SUBTOTAL(9,ED11:ED15,ED17:ED21,ED23:ED27,ED29:ED33,ED35:ED39,ED42:ED46,ED48:ED52,ED54:ED58,ED60:ED64,ED66:ED70,ED73:ED77,ED79:ED83,ED85:ED89,ED91:ED95,ED97:ED101,ED104:ED108,ED110:ED114,ED116:ED120,ED122:ED126,ED128:ED132,ED135:ED139,ED141:ED145,ED147:ED151,ED153:ED157,ED159:ED163,ED166:ED170,ED172:ED176,ED178:ED182,ED184:ED188,ED190:ED194,ED197:ED201,ED203:ED207,ED209:ED213,ED215:ED219,ED221:ED225,ED228:ED232,ED234:ED238,ED240:ED244,ED246:ED250,ED252:ED256,ED259,ED261,ED263,ED266:ED270,ED272:ED276,ED278:ED282,ED284:ED288,ED290:ED294,ED296:ED300,ED302:ED306,ED308:ED312,ED315:ED317,ED319:ED321,ED324:ED325,ED327:ED328,ED331:ED335,ED337:ED341,ED343:ED347,ED349:ED353,ED355:ED359,ED361:ED365,ED367:ED371,ED373:ED377,ED379:ED383,ED385:ED389,ED391:ED395,ED397:ED401)&gt;0,SUBTOTAL(9,ED11:ED15,ED17:ED21,ED23:ED27,ED29:ED33,ED35:ED39,ED42:ED46,ED48:ED52,ED54:ED58,ED60:ED64,ED66:ED70,ED73:ED77,ED79:ED83,ED85:ED89,ED91:ED95,ED97:ED101,ED104:ED108,ED110:ED114,ED116:ED120,ED122:ED126,ED128:ED132,ED135:ED139,ED141:ED145,ED147:ED151,ED153:ED157,ED159:ED163,ED166:ED170,ED172:ED176,ED178:ED182,ED184:ED188,ED190:ED194,ED197:ED201,ED203:ED207,ED209:ED213,ED215:ED219,ED221:ED225,ED228:ED232,ED234:ED238,ED240:ED244,ED246:ED250,ED252:ED256,ED259,ED261,ED263,ED266:ED270,ED272:ED276,ED278:ED282,ED284:ED288,ED290:ED294,ED296:ED300,ED302:ED306,ED308:ED312,ED315:ED317,ED319:ED321,ED324:ED325,ED327:ED328,ED331:ED335,ED337:ED341,ED343:ED347,ED349:ED353,ED355:ED359,ED361:ED365,ED367:ED371,ED373:ED377,ED379:ED383,ED385:ED389,ED391:ED395,ED397:ED401)," ")</f>
        <v>4</v>
      </c>
      <c r="EE403" s="81">
        <f t="shared" si="7308"/>
        <v>4</v>
      </c>
      <c r="EF403" s="81">
        <f t="shared" si="7308"/>
        <v>4</v>
      </c>
      <c r="EG403" s="81">
        <f t="shared" si="7308"/>
        <v>4</v>
      </c>
      <c r="EH403" s="81">
        <f t="shared" si="7308"/>
        <v>4</v>
      </c>
      <c r="EI403" s="81">
        <f t="shared" si="7308"/>
        <v>4</v>
      </c>
      <c r="EJ403" s="81">
        <f t="shared" si="7308"/>
        <v>4</v>
      </c>
      <c r="EK403" s="81">
        <f t="shared" si="7308"/>
        <v>4.5</v>
      </c>
      <c r="EL403" s="81">
        <f t="shared" si="7308"/>
        <v>4.5</v>
      </c>
      <c r="EM403" s="81">
        <f t="shared" si="7308"/>
        <v>4</v>
      </c>
      <c r="EN403" s="81">
        <f t="shared" si="7308"/>
        <v>4</v>
      </c>
      <c r="EO403" s="81">
        <f t="shared" si="7308"/>
        <v>5</v>
      </c>
      <c r="EP403" s="81">
        <f t="shared" si="7308"/>
        <v>4</v>
      </c>
      <c r="EQ403" s="81">
        <f t="shared" si="7308"/>
        <v>4</v>
      </c>
      <c r="ER403" s="81">
        <f t="shared" ref="ER403:FQ403" si="7309">IF(SUBTOTAL(9,ER11:ER15,ER17:ER21,ER23:ER27,ER29:ER33,ER35:ER39,ER42:ER46,ER48:ER52,ER54:ER58,ER60:ER64,ER66:ER70,ER73:ER77,ER79:ER83,ER85:ER89,ER91:ER95,ER97:ER101,ER104:ER108,ER110:ER114,ER116:ER120,ER122:ER126,ER128:ER132,ER135:ER139,ER141:ER145,ER147:ER151,ER153:ER157,ER159:ER163,ER166:ER170,ER172:ER176,ER178:ER182,ER184:ER188,ER190:ER194,ER197:ER201,ER203:ER207,ER209:ER213,ER215:ER219,ER221:ER225,ER228:ER232,ER234:ER238,ER240:ER244,ER246:ER250,ER252:ER256,ER259,ER261,ER263,ER266:ER270,ER272:ER276,ER278:ER282,ER284:ER288,ER290:ER294,ER296:ER300,ER302:ER306,ER308:ER312,ER315:ER317,ER319:ER321,ER324:ER325,ER327:ER328,ER331:ER335,ER337:ER341,ER343:ER347,ER349:ER353,ER355:ER359,ER361:ER365,ER367:ER371,ER373:ER377,ER379:ER383,ER385:ER389,ER391:ER395,ER397:ER401)&gt;0,SUBTOTAL(9,ER11:ER15,ER17:ER21,ER23:ER27,ER29:ER33,ER35:ER39,ER42:ER46,ER48:ER52,ER54:ER58,ER60:ER64,ER66:ER70,ER73:ER77,ER79:ER83,ER85:ER89,ER91:ER95,ER97:ER101,ER104:ER108,ER110:ER114,ER116:ER120,ER122:ER126,ER128:ER132,ER135:ER139,ER141:ER145,ER147:ER151,ER153:ER157,ER159:ER163,ER166:ER170,ER172:ER176,ER178:ER182,ER184:ER188,ER190:ER194,ER197:ER201,ER203:ER207,ER209:ER213,ER215:ER219,ER221:ER225,ER228:ER232,ER234:ER238,ER240:ER244,ER246:ER250,ER252:ER256,ER259,ER261,ER263,ER266:ER270,ER272:ER276,ER278:ER282,ER284:ER288,ER290:ER294,ER296:ER300,ER302:ER306,ER308:ER312,ER315:ER317,ER319:ER321,ER324:ER325,ER327:ER328,ER331:ER335,ER337:ER341,ER343:ER347,ER349:ER353,ER355:ER359,ER361:ER365,ER367:ER371,ER373:ER377,ER379:ER383,ER385:ER389,ER391:ER395,ER397:ER401)," ")</f>
        <v>4</v>
      </c>
      <c r="ES403" s="81">
        <f t="shared" si="7309"/>
        <v>4</v>
      </c>
      <c r="ET403" s="81">
        <f t="shared" si="7309"/>
        <v>3</v>
      </c>
      <c r="EU403" s="81">
        <f t="shared" si="7309"/>
        <v>4</v>
      </c>
      <c r="EV403" s="81">
        <f t="shared" si="7309"/>
        <v>4</v>
      </c>
      <c r="EW403" s="81">
        <f t="shared" si="7309"/>
        <v>4.5</v>
      </c>
      <c r="EX403" s="81">
        <f t="shared" si="7309"/>
        <v>3.5</v>
      </c>
      <c r="EY403" s="81" t="str">
        <f t="shared" si="7309"/>
        <v xml:space="preserve"> </v>
      </c>
      <c r="EZ403" s="81">
        <f t="shared" si="7309"/>
        <v>3</v>
      </c>
      <c r="FA403" s="81">
        <f t="shared" si="7309"/>
        <v>3</v>
      </c>
      <c r="FB403" s="81">
        <f t="shared" si="7309"/>
        <v>3.5</v>
      </c>
      <c r="FC403" s="81">
        <f t="shared" si="7309"/>
        <v>3.5</v>
      </c>
      <c r="FD403" s="81">
        <f t="shared" si="7309"/>
        <v>3</v>
      </c>
      <c r="FE403" s="81">
        <f t="shared" si="7309"/>
        <v>3.5</v>
      </c>
      <c r="FF403" s="81">
        <f t="shared" si="7309"/>
        <v>3.5</v>
      </c>
      <c r="FG403" s="81">
        <f t="shared" si="7309"/>
        <v>3</v>
      </c>
      <c r="FH403" s="81">
        <f t="shared" si="7309"/>
        <v>4</v>
      </c>
      <c r="FI403" s="81">
        <f t="shared" si="7309"/>
        <v>4</v>
      </c>
      <c r="FJ403" s="81">
        <f t="shared" si="7309"/>
        <v>4</v>
      </c>
      <c r="FK403" s="81">
        <f t="shared" si="7309"/>
        <v>2.5</v>
      </c>
      <c r="FL403" s="81">
        <f t="shared" si="7309"/>
        <v>2.5</v>
      </c>
      <c r="FM403" s="81">
        <f t="shared" si="7309"/>
        <v>1</v>
      </c>
      <c r="FN403" s="81">
        <f t="shared" si="7309"/>
        <v>1</v>
      </c>
      <c r="FO403" s="81">
        <f t="shared" si="7309"/>
        <v>1</v>
      </c>
      <c r="FP403" s="81">
        <f t="shared" si="7309"/>
        <v>1</v>
      </c>
      <c r="FQ403" s="79">
        <f t="shared" si="7309"/>
        <v>1</v>
      </c>
      <c r="FR403" s="35"/>
    </row>
    <row r="404" spans="1:176" s="28" customFormat="1" ht="12" hidden="1" customHeight="1" outlineLevel="1">
      <c r="C404" s="43"/>
      <c r="E404" s="29"/>
      <c r="F404" s="29"/>
      <c r="G404" s="29"/>
      <c r="H404" s="29"/>
      <c r="I404" s="29"/>
      <c r="J404" s="29"/>
      <c r="K404" s="29"/>
      <c r="L404" s="29"/>
      <c r="M404" s="29"/>
      <c r="N404" s="29"/>
      <c r="O404" s="29"/>
      <c r="P404" s="29"/>
      <c r="Q404" s="29"/>
      <c r="R404" s="29"/>
      <c r="S404" s="29"/>
      <c r="T404" s="29"/>
      <c r="U404" s="29"/>
      <c r="V404" s="29"/>
      <c r="W404" s="29"/>
      <c r="X404" s="29"/>
      <c r="Y404" s="29"/>
      <c r="Z404" s="29"/>
      <c r="AA404" s="29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  <c r="AX404" s="29"/>
      <c r="AY404" s="29"/>
      <c r="AZ404" s="29"/>
      <c r="BA404" s="29"/>
      <c r="BB404" s="29"/>
      <c r="BC404" s="29"/>
      <c r="BD404" s="29"/>
      <c r="BE404" s="29"/>
      <c r="BF404" s="29"/>
      <c r="BG404" s="29"/>
      <c r="BH404" s="29"/>
      <c r="BI404" s="29"/>
      <c r="BJ404" s="29"/>
      <c r="BK404" s="29"/>
      <c r="BL404" s="29"/>
      <c r="BM404" s="29"/>
      <c r="BN404" s="29"/>
      <c r="BO404" s="29"/>
      <c r="BP404" s="29"/>
      <c r="BQ404" s="29"/>
      <c r="BR404" s="29"/>
      <c r="BS404" s="29"/>
      <c r="BT404" s="29"/>
      <c r="BU404" s="29"/>
      <c r="BV404" s="29"/>
      <c r="BW404" s="29"/>
      <c r="BX404" s="29"/>
      <c r="BY404" s="29"/>
      <c r="BZ404" s="29"/>
      <c r="CA404" s="29"/>
      <c r="CB404" s="29"/>
      <c r="CC404" s="29"/>
      <c r="CD404" s="29"/>
      <c r="CE404" s="29"/>
      <c r="CF404" s="29"/>
      <c r="CG404" s="29"/>
      <c r="CH404" s="29"/>
      <c r="CI404" s="29"/>
      <c r="CJ404" s="29"/>
      <c r="CK404" s="29"/>
      <c r="CL404" s="29"/>
      <c r="CM404" s="29"/>
      <c r="CN404" s="29"/>
      <c r="CO404" s="29"/>
      <c r="CP404" s="29"/>
      <c r="CQ404" s="29"/>
      <c r="CR404" s="29"/>
      <c r="CS404" s="29"/>
      <c r="CT404" s="29"/>
      <c r="CU404" s="29"/>
      <c r="CV404" s="29"/>
      <c r="CW404" s="29"/>
      <c r="CX404" s="29"/>
      <c r="CY404" s="29"/>
      <c r="CZ404" s="29"/>
      <c r="DA404" s="29"/>
      <c r="DB404" s="29"/>
      <c r="DC404" s="29"/>
      <c r="DD404" s="29"/>
      <c r="DE404" s="29"/>
      <c r="DF404" s="29"/>
      <c r="DG404" s="29"/>
      <c r="DH404" s="29"/>
      <c r="DI404" s="29"/>
      <c r="DJ404" s="29"/>
      <c r="DK404" s="29"/>
      <c r="DL404" s="29"/>
      <c r="DM404" s="29"/>
      <c r="DN404" s="29"/>
      <c r="DO404" s="29"/>
      <c r="DP404" s="29"/>
      <c r="DQ404" s="29"/>
      <c r="DR404" s="29"/>
      <c r="DS404" s="29"/>
      <c r="DT404" s="29"/>
      <c r="DU404" s="29"/>
      <c r="DV404" s="29"/>
      <c r="DW404" s="29"/>
      <c r="DX404" s="29"/>
      <c r="DY404" s="29"/>
      <c r="DZ404" s="29"/>
      <c r="EA404" s="29"/>
      <c r="EB404" s="29"/>
      <c r="EC404" s="29"/>
      <c r="ED404" s="29"/>
      <c r="EE404" s="29"/>
      <c r="EF404" s="29"/>
      <c r="EG404" s="29"/>
      <c r="EH404" s="29"/>
      <c r="EI404" s="29"/>
      <c r="EJ404" s="29"/>
      <c r="EK404" s="29"/>
      <c r="EL404" s="29"/>
      <c r="EM404" s="29"/>
      <c r="EN404" s="29"/>
      <c r="EO404" s="29"/>
      <c r="EP404" s="29"/>
      <c r="EQ404" s="29"/>
      <c r="ER404" s="29"/>
      <c r="ES404" s="29"/>
      <c r="ET404" s="29"/>
      <c r="EU404" s="29"/>
      <c r="EV404" s="29"/>
      <c r="EW404" s="29"/>
      <c r="EX404" s="29"/>
      <c r="EY404" s="29"/>
      <c r="EZ404" s="29"/>
      <c r="FA404" s="29"/>
      <c r="FB404" s="29"/>
      <c r="FC404" s="29"/>
      <c r="FD404" s="29"/>
      <c r="FE404" s="29"/>
      <c r="FF404" s="29"/>
      <c r="FG404" s="29"/>
      <c r="FH404" s="29"/>
      <c r="FI404" s="29"/>
      <c r="FJ404" s="29"/>
      <c r="FK404" s="29"/>
      <c r="FL404" s="29"/>
      <c r="FM404" s="29"/>
      <c r="FN404" s="29"/>
      <c r="FO404" s="29"/>
      <c r="FP404" s="29"/>
      <c r="FQ404" s="29"/>
      <c r="FR404" s="14"/>
    </row>
    <row r="405" spans="1:176" s="28" customFormat="1" ht="12" hidden="1" customHeight="1" outlineLevel="1">
      <c r="B405" s="31" t="s">
        <v>99</v>
      </c>
      <c r="C405" s="44">
        <f>168-11</f>
        <v>157</v>
      </c>
      <c r="E405" s="29"/>
      <c r="F405" s="29"/>
      <c r="G405" s="29"/>
      <c r="H405" s="29"/>
      <c r="I405" s="29"/>
      <c r="J405" s="29"/>
      <c r="K405" s="29"/>
      <c r="L405" s="29"/>
      <c r="M405" s="29"/>
      <c r="N405" s="29"/>
      <c r="O405" s="29"/>
      <c r="P405" s="29"/>
      <c r="Q405" s="29"/>
      <c r="R405" s="29"/>
      <c r="S405" s="29"/>
      <c r="T405" s="29"/>
      <c r="U405" s="29"/>
      <c r="V405" s="29"/>
      <c r="W405" s="29"/>
      <c r="X405" s="29"/>
      <c r="Y405" s="29"/>
      <c r="Z405" s="29"/>
      <c r="AA405" s="29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  <c r="AX405" s="29"/>
      <c r="AY405" s="29"/>
      <c r="AZ405" s="29"/>
      <c r="BA405" s="29"/>
      <c r="BB405" s="29"/>
      <c r="BC405" s="29"/>
      <c r="BD405" s="29"/>
      <c r="BE405" s="29"/>
      <c r="BF405" s="29"/>
      <c r="BG405" s="29"/>
      <c r="BH405" s="29"/>
      <c r="BI405" s="29"/>
      <c r="BJ405" s="29"/>
      <c r="BK405" s="29"/>
      <c r="BL405" s="29"/>
      <c r="BM405" s="29"/>
      <c r="BN405" s="29"/>
      <c r="BO405" s="29"/>
      <c r="BP405" s="29"/>
      <c r="BQ405" s="29"/>
      <c r="BR405" s="29"/>
      <c r="BS405" s="29"/>
      <c r="BT405" s="29"/>
      <c r="BU405" s="29"/>
      <c r="BV405" s="29"/>
      <c r="BW405" s="29"/>
      <c r="BX405" s="29"/>
      <c r="BY405" s="29"/>
      <c r="BZ405" s="29"/>
      <c r="CA405" s="29"/>
      <c r="CB405" s="29"/>
      <c r="CC405" s="29"/>
      <c r="CD405" s="29"/>
      <c r="CE405" s="29"/>
      <c r="CF405" s="29"/>
      <c r="CG405" s="29"/>
      <c r="CH405" s="29"/>
      <c r="CI405" s="29"/>
      <c r="CJ405" s="29"/>
      <c r="CK405" s="29"/>
      <c r="CL405" s="29"/>
      <c r="CM405" s="29"/>
      <c r="CN405" s="29"/>
      <c r="CO405" s="29"/>
      <c r="CP405" s="29"/>
      <c r="CQ405" s="29"/>
      <c r="CR405" s="29"/>
      <c r="CS405" s="29"/>
      <c r="CT405" s="29"/>
      <c r="CU405" s="29"/>
      <c r="CV405" s="29"/>
      <c r="CW405" s="29"/>
      <c r="CX405" s="29"/>
      <c r="CY405" s="29"/>
      <c r="CZ405" s="29"/>
      <c r="DA405" s="29"/>
      <c r="DB405" s="29"/>
      <c r="DC405" s="29"/>
      <c r="DD405" s="29"/>
      <c r="DE405" s="29"/>
      <c r="DF405" s="29"/>
      <c r="DG405" s="29"/>
      <c r="DH405" s="29"/>
      <c r="DI405" s="29"/>
      <c r="DJ405" s="29"/>
      <c r="DK405" s="29"/>
      <c r="DL405" s="29"/>
      <c r="DM405" s="29"/>
      <c r="DN405" s="29"/>
      <c r="DO405" s="29"/>
      <c r="DP405" s="29"/>
      <c r="DQ405" s="29"/>
      <c r="DR405" s="29"/>
      <c r="DS405" s="29"/>
      <c r="DT405" s="29"/>
      <c r="DU405" s="29"/>
      <c r="DV405" s="29"/>
      <c r="DW405" s="29"/>
      <c r="DX405" s="29"/>
      <c r="DY405" s="29"/>
      <c r="DZ405" s="29"/>
      <c r="EA405" s="29"/>
      <c r="EB405" s="29"/>
      <c r="EC405" s="29"/>
      <c r="ED405" s="29"/>
      <c r="EE405" s="29"/>
      <c r="EF405" s="29"/>
      <c r="EG405" s="29"/>
      <c r="EH405" s="29"/>
      <c r="EI405" s="29"/>
      <c r="EJ405" s="29"/>
      <c r="EK405" s="29"/>
      <c r="EL405" s="29"/>
      <c r="EM405" s="29"/>
      <c r="EN405" s="29"/>
      <c r="EO405" s="29"/>
      <c r="EP405" s="29"/>
      <c r="EQ405" s="29"/>
      <c r="ER405" s="29"/>
      <c r="ES405" s="29"/>
      <c r="ET405" s="29"/>
      <c r="EU405" s="29"/>
      <c r="EV405" s="29"/>
      <c r="EW405" s="29"/>
      <c r="EX405" s="29"/>
      <c r="EY405" s="29"/>
      <c r="EZ405" s="29"/>
      <c r="FA405" s="29"/>
      <c r="FB405" s="29"/>
      <c r="FC405" s="29"/>
      <c r="FD405" s="29"/>
      <c r="FE405" s="29"/>
      <c r="FF405" s="29"/>
      <c r="FG405" s="29"/>
      <c r="FH405" s="29"/>
      <c r="FI405" s="29"/>
      <c r="FJ405" s="29"/>
      <c r="FK405" s="29"/>
      <c r="FL405" s="29"/>
      <c r="FM405" s="29"/>
      <c r="FN405" s="29"/>
      <c r="FO405" s="29"/>
      <c r="FP405" s="29"/>
      <c r="FQ405" s="29"/>
      <c r="FR405" s="14"/>
    </row>
    <row r="406" spans="1:176" s="28" customFormat="1" ht="12" hidden="1" customHeight="1" outlineLevel="1">
      <c r="C406" s="43"/>
      <c r="E406" s="29"/>
      <c r="F406" s="29"/>
      <c r="G406" s="29"/>
      <c r="H406" s="29"/>
      <c r="I406" s="29"/>
      <c r="J406" s="29"/>
      <c r="K406" s="29"/>
      <c r="L406" s="29"/>
      <c r="M406" s="29"/>
      <c r="N406" s="29"/>
      <c r="O406" s="29"/>
      <c r="P406" s="29"/>
      <c r="Q406" s="29"/>
      <c r="R406" s="29"/>
      <c r="S406" s="29"/>
      <c r="T406" s="29"/>
      <c r="U406" s="29"/>
      <c r="V406" s="29"/>
      <c r="W406" s="29"/>
      <c r="X406" s="29"/>
      <c r="Y406" s="29"/>
      <c r="Z406" s="29"/>
      <c r="AA406" s="29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  <c r="AX406" s="29"/>
      <c r="AY406" s="29"/>
      <c r="AZ406" s="29"/>
      <c r="BA406" s="29"/>
      <c r="BB406" s="29"/>
      <c r="BC406" s="29"/>
      <c r="BD406" s="29"/>
      <c r="BE406" s="29"/>
      <c r="BF406" s="29"/>
      <c r="BG406" s="29"/>
      <c r="BH406" s="29"/>
      <c r="BI406" s="29"/>
      <c r="BJ406" s="29"/>
      <c r="BK406" s="29"/>
      <c r="BL406" s="29"/>
      <c r="BM406" s="29"/>
      <c r="BN406" s="29"/>
      <c r="BO406" s="29"/>
      <c r="BP406" s="29"/>
      <c r="BQ406" s="29"/>
      <c r="BR406" s="29"/>
      <c r="BS406" s="29"/>
      <c r="BT406" s="29"/>
      <c r="BU406" s="29"/>
      <c r="BV406" s="29"/>
      <c r="BW406" s="29"/>
      <c r="BX406" s="29"/>
      <c r="BY406" s="29"/>
      <c r="BZ406" s="29"/>
      <c r="CA406" s="29"/>
      <c r="CB406" s="29"/>
      <c r="CC406" s="29"/>
      <c r="CD406" s="29"/>
      <c r="CE406" s="29"/>
      <c r="CF406" s="29"/>
      <c r="CG406" s="29"/>
      <c r="CH406" s="29"/>
      <c r="CI406" s="29"/>
      <c r="CJ406" s="29"/>
      <c r="CK406" s="29"/>
      <c r="CL406" s="29"/>
      <c r="CM406" s="29"/>
      <c r="CN406" s="29"/>
      <c r="CO406" s="29"/>
      <c r="CP406" s="29"/>
      <c r="CQ406" s="29"/>
      <c r="CR406" s="29"/>
      <c r="CS406" s="29"/>
      <c r="CT406" s="29"/>
      <c r="CU406" s="29"/>
      <c r="CV406" s="29"/>
      <c r="CW406" s="29"/>
      <c r="CX406" s="29"/>
      <c r="CY406" s="29"/>
      <c r="CZ406" s="29"/>
      <c r="DA406" s="29"/>
      <c r="DB406" s="29"/>
      <c r="DC406" s="29"/>
      <c r="DD406" s="29"/>
      <c r="DE406" s="29"/>
      <c r="DF406" s="29"/>
      <c r="DG406" s="29"/>
      <c r="DH406" s="29"/>
      <c r="DI406" s="29"/>
      <c r="DJ406" s="29"/>
      <c r="DK406" s="29"/>
      <c r="DL406" s="29"/>
      <c r="DM406" s="29"/>
      <c r="DN406" s="29"/>
      <c r="DO406" s="29"/>
      <c r="DP406" s="29"/>
      <c r="DQ406" s="29"/>
      <c r="DR406" s="29"/>
      <c r="DS406" s="29"/>
      <c r="DT406" s="29"/>
      <c r="DU406" s="29"/>
      <c r="DV406" s="29"/>
      <c r="DW406" s="29"/>
      <c r="DX406" s="29"/>
      <c r="DY406" s="29"/>
      <c r="DZ406" s="29"/>
      <c r="EA406" s="29"/>
      <c r="EB406" s="29"/>
      <c r="EC406" s="29"/>
      <c r="ED406" s="29"/>
      <c r="EE406" s="29"/>
      <c r="EF406" s="29"/>
      <c r="EG406" s="29"/>
      <c r="EH406" s="29"/>
      <c r="EI406" s="29"/>
      <c r="EJ406" s="29"/>
      <c r="EK406" s="29"/>
      <c r="EL406" s="29"/>
      <c r="EM406" s="29"/>
      <c r="EN406" s="29"/>
      <c r="EO406" s="29"/>
      <c r="EP406" s="29"/>
      <c r="EQ406" s="29"/>
      <c r="ER406" s="29"/>
      <c r="ES406" s="29"/>
      <c r="ET406" s="29"/>
      <c r="EU406" s="29"/>
      <c r="EV406" s="29"/>
      <c r="EW406" s="29"/>
      <c r="EX406" s="29"/>
      <c r="EY406" s="29"/>
      <c r="EZ406" s="29"/>
      <c r="FA406" s="29"/>
      <c r="FB406" s="29"/>
      <c r="FC406" s="29"/>
      <c r="FD406" s="29"/>
      <c r="FE406" s="29"/>
      <c r="FF406" s="29"/>
      <c r="FG406" s="29"/>
      <c r="FH406" s="29"/>
      <c r="FI406" s="29"/>
      <c r="FJ406" s="29"/>
      <c r="FK406" s="29"/>
      <c r="FL406" s="29"/>
      <c r="FM406" s="29"/>
      <c r="FN406" s="29"/>
      <c r="FO406" s="29"/>
      <c r="FP406" s="29"/>
      <c r="FQ406" s="29"/>
      <c r="FR406" s="14"/>
    </row>
    <row r="407" spans="1:176" s="28" customFormat="1" ht="12" hidden="1" customHeight="1" outlineLevel="1">
      <c r="B407" s="31" t="s">
        <v>1</v>
      </c>
      <c r="C407" s="45">
        <f>C403/C405</f>
        <v>3.6496815286624202</v>
      </c>
      <c r="E407" s="29"/>
      <c r="F407" s="29"/>
      <c r="G407" s="29"/>
      <c r="H407" s="29"/>
      <c r="I407" s="29"/>
      <c r="J407" s="29"/>
      <c r="K407" s="29"/>
      <c r="L407" s="29"/>
      <c r="M407" s="29"/>
      <c r="N407" s="29"/>
      <c r="O407" s="29"/>
      <c r="P407" s="29"/>
      <c r="Q407" s="29"/>
      <c r="R407" s="29"/>
      <c r="S407" s="29"/>
      <c r="T407" s="29"/>
      <c r="U407" s="29"/>
      <c r="V407" s="29"/>
      <c r="W407" s="29"/>
      <c r="X407" s="29"/>
      <c r="Y407" s="29"/>
      <c r="Z407" s="29"/>
      <c r="AA407" s="29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  <c r="AX407" s="29"/>
      <c r="AY407" s="29"/>
      <c r="AZ407" s="29"/>
      <c r="BA407" s="29"/>
      <c r="BB407" s="29"/>
      <c r="BC407" s="29"/>
      <c r="BD407" s="29"/>
      <c r="BE407" s="29"/>
      <c r="BF407" s="29"/>
      <c r="BG407" s="29"/>
      <c r="BH407" s="29"/>
      <c r="BI407" s="29"/>
      <c r="BJ407" s="29"/>
      <c r="BK407" s="29"/>
      <c r="BL407" s="29"/>
      <c r="BM407" s="29"/>
      <c r="BN407" s="29"/>
      <c r="BO407" s="29"/>
      <c r="BP407" s="29"/>
      <c r="BQ407" s="29"/>
      <c r="BR407" s="29"/>
      <c r="BS407" s="29"/>
      <c r="BT407" s="29"/>
      <c r="BU407" s="29"/>
      <c r="BV407" s="29"/>
      <c r="BW407" s="29"/>
      <c r="BX407" s="29"/>
      <c r="BY407" s="29"/>
      <c r="BZ407" s="29"/>
      <c r="CA407" s="29"/>
      <c r="CB407" s="29"/>
      <c r="CC407" s="29"/>
      <c r="CD407" s="29"/>
      <c r="CE407" s="29"/>
      <c r="CF407" s="29"/>
      <c r="CG407" s="29"/>
      <c r="CH407" s="29"/>
      <c r="CI407" s="29"/>
      <c r="CJ407" s="29"/>
      <c r="CK407" s="29"/>
      <c r="CL407" s="29"/>
      <c r="CM407" s="29"/>
      <c r="CN407" s="29"/>
      <c r="CO407" s="29"/>
      <c r="CP407" s="29"/>
      <c r="CQ407" s="29"/>
      <c r="CR407" s="29"/>
      <c r="CS407" s="29"/>
      <c r="CT407" s="29"/>
      <c r="CU407" s="29"/>
      <c r="CV407" s="29"/>
      <c r="CW407" s="29"/>
      <c r="CX407" s="29"/>
      <c r="CY407" s="29"/>
      <c r="CZ407" s="29"/>
      <c r="DA407" s="29"/>
      <c r="DB407" s="29"/>
      <c r="DC407" s="29"/>
      <c r="DD407" s="29"/>
      <c r="DE407" s="29"/>
      <c r="DF407" s="29"/>
      <c r="DG407" s="29"/>
      <c r="DH407" s="29"/>
      <c r="DI407" s="29"/>
      <c r="DJ407" s="29"/>
      <c r="DK407" s="29"/>
      <c r="DL407" s="29"/>
      <c r="DM407" s="29"/>
      <c r="DN407" s="29"/>
      <c r="DO407" s="29"/>
      <c r="DP407" s="29"/>
      <c r="DQ407" s="29"/>
      <c r="DR407" s="29"/>
      <c r="DS407" s="29"/>
      <c r="DT407" s="29"/>
      <c r="DU407" s="29"/>
      <c r="DV407" s="29"/>
      <c r="DW407" s="29"/>
      <c r="DX407" s="29"/>
      <c r="DY407" s="29"/>
      <c r="DZ407" s="29"/>
      <c r="EA407" s="29"/>
      <c r="EB407" s="29"/>
      <c r="EC407" s="29"/>
      <c r="ED407" s="29"/>
      <c r="EE407" s="29"/>
      <c r="EF407" s="29"/>
      <c r="EG407" s="29"/>
      <c r="EH407" s="29"/>
      <c r="EI407" s="29"/>
      <c r="EJ407" s="29"/>
      <c r="EK407" s="29"/>
      <c r="EL407" s="29"/>
      <c r="EM407" s="29"/>
      <c r="EN407" s="29"/>
      <c r="EO407" s="29"/>
      <c r="EP407" s="29"/>
      <c r="EQ407" s="29"/>
      <c r="ER407" s="29"/>
      <c r="ES407" s="29"/>
      <c r="ET407" s="29"/>
      <c r="EU407" s="29"/>
      <c r="EV407" s="29"/>
      <c r="EW407" s="29"/>
      <c r="EX407" s="29"/>
      <c r="EY407" s="29"/>
      <c r="EZ407" s="29"/>
      <c r="FA407" s="29"/>
      <c r="FB407" s="29"/>
      <c r="FC407" s="29"/>
      <c r="FD407" s="29"/>
      <c r="FE407" s="29"/>
      <c r="FF407" s="29"/>
      <c r="FG407" s="29"/>
      <c r="FH407" s="29"/>
      <c r="FI407" s="29"/>
      <c r="FJ407" s="29"/>
      <c r="FK407" s="29"/>
      <c r="FL407" s="29"/>
      <c r="FM407" s="29"/>
      <c r="FN407" s="29"/>
      <c r="FO407" s="29"/>
      <c r="FP407" s="29"/>
      <c r="FQ407" s="29"/>
      <c r="FR407" s="14"/>
    </row>
    <row r="408" spans="1:176" s="28" customFormat="1" ht="12" customHeight="1" collapsed="1">
      <c r="C408" s="43"/>
      <c r="E408" s="29"/>
      <c r="F408" s="29"/>
      <c r="G408" s="29"/>
      <c r="H408" s="29"/>
      <c r="I408" s="29"/>
      <c r="J408" s="29"/>
      <c r="K408" s="29"/>
      <c r="L408" s="29"/>
      <c r="M408" s="29"/>
      <c r="N408" s="29"/>
      <c r="O408" s="29"/>
      <c r="P408" s="29"/>
      <c r="Q408" s="29"/>
      <c r="R408" s="29"/>
      <c r="S408" s="29"/>
      <c r="T408" s="29"/>
      <c r="U408" s="29"/>
      <c r="V408" s="29"/>
      <c r="W408" s="29"/>
      <c r="X408" s="29"/>
      <c r="Y408" s="29"/>
      <c r="Z408" s="29"/>
      <c r="AA408" s="29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  <c r="AX408" s="29"/>
      <c r="AY408" s="29"/>
      <c r="AZ408" s="29"/>
      <c r="BA408" s="29"/>
      <c r="BB408" s="29"/>
      <c r="BC408" s="29"/>
      <c r="BD408" s="29"/>
      <c r="BE408" s="29"/>
      <c r="BF408" s="29"/>
      <c r="BG408" s="29"/>
      <c r="BH408" s="29"/>
      <c r="BI408" s="29"/>
      <c r="BJ408" s="29"/>
      <c r="BK408" s="29"/>
      <c r="BL408" s="29"/>
      <c r="BM408" s="29"/>
      <c r="BN408" s="29"/>
      <c r="BO408" s="29"/>
      <c r="BP408" s="29"/>
      <c r="BQ408" s="29"/>
      <c r="BR408" s="29"/>
      <c r="BS408" s="29"/>
      <c r="BT408" s="29"/>
      <c r="BU408" s="29"/>
      <c r="BV408" s="29"/>
      <c r="BW408" s="29"/>
      <c r="BX408" s="29"/>
      <c r="BY408" s="29"/>
      <c r="BZ408" s="29"/>
      <c r="CA408" s="29"/>
      <c r="CB408" s="29"/>
      <c r="CC408" s="29"/>
      <c r="CD408" s="29"/>
      <c r="CE408" s="29"/>
      <c r="CF408" s="29"/>
      <c r="CG408" s="29"/>
      <c r="CH408" s="29"/>
      <c r="CI408" s="29"/>
      <c r="CJ408" s="29"/>
      <c r="CK408" s="29"/>
      <c r="CL408" s="29"/>
      <c r="CM408" s="29"/>
      <c r="CN408" s="29"/>
      <c r="CO408" s="29"/>
      <c r="CP408" s="29"/>
      <c r="CQ408" s="29"/>
      <c r="CR408" s="29"/>
      <c r="CS408" s="29"/>
      <c r="CT408" s="29"/>
      <c r="CU408" s="29"/>
      <c r="CV408" s="29"/>
      <c r="CW408" s="29"/>
      <c r="CX408" s="29"/>
      <c r="CY408" s="29"/>
      <c r="CZ408" s="29"/>
      <c r="DA408" s="29"/>
      <c r="DB408" s="29"/>
      <c r="DC408" s="29"/>
      <c r="DD408" s="29"/>
      <c r="DE408" s="29"/>
      <c r="DF408" s="29"/>
      <c r="DG408" s="29"/>
      <c r="DH408" s="29"/>
      <c r="DI408" s="29"/>
      <c r="DJ408" s="29"/>
      <c r="DK408" s="29"/>
      <c r="DL408" s="29"/>
      <c r="DM408" s="29"/>
      <c r="DN408" s="29"/>
      <c r="DO408" s="29"/>
      <c r="DP408" s="29"/>
      <c r="DQ408" s="29"/>
      <c r="DR408" s="29"/>
      <c r="DS408" s="29"/>
      <c r="DT408" s="29"/>
      <c r="DU408" s="29"/>
      <c r="DV408" s="29"/>
      <c r="DW408" s="29"/>
      <c r="DX408" s="29"/>
      <c r="DY408" s="29"/>
      <c r="DZ408" s="29"/>
      <c r="EA408" s="29"/>
      <c r="EB408" s="29"/>
      <c r="EC408" s="29"/>
      <c r="ED408" s="29"/>
      <c r="EE408" s="29"/>
      <c r="EF408" s="29"/>
      <c r="EG408" s="29"/>
      <c r="EH408" s="29"/>
      <c r="EI408" s="29"/>
      <c r="EJ408" s="29"/>
      <c r="EK408" s="29"/>
      <c r="EL408" s="29"/>
      <c r="EM408" s="29"/>
      <c r="EN408" s="29"/>
      <c r="EO408" s="29"/>
      <c r="EP408" s="29"/>
      <c r="EQ408" s="29"/>
      <c r="ER408" s="29"/>
      <c r="ES408" s="29"/>
      <c r="ET408" s="29"/>
      <c r="EU408" s="29"/>
      <c r="EV408" s="29"/>
      <c r="EW408" s="29"/>
      <c r="EX408" s="29"/>
      <c r="EY408" s="29"/>
      <c r="EZ408" s="29"/>
      <c r="FA408" s="29"/>
      <c r="FB408" s="29"/>
      <c r="FC408" s="29"/>
      <c r="FD408" s="29"/>
      <c r="FE408" s="29"/>
      <c r="FF408" s="29"/>
      <c r="FG408" s="29"/>
      <c r="FH408" s="29"/>
      <c r="FI408" s="29"/>
      <c r="FJ408" s="29"/>
      <c r="FK408" s="29"/>
      <c r="FL408" s="29"/>
      <c r="FM408" s="29"/>
      <c r="FN408" s="29"/>
      <c r="FO408" s="29"/>
      <c r="FP408" s="29"/>
      <c r="FQ408" s="29"/>
      <c r="FR408" s="14"/>
    </row>
    <row r="409" spans="1:176" s="28" customFormat="1" ht="12" customHeight="1">
      <c r="C409" s="43"/>
      <c r="E409" s="29"/>
      <c r="F409" s="29"/>
      <c r="G409" s="29"/>
      <c r="H409" s="29"/>
      <c r="I409" s="29"/>
      <c r="J409" s="29"/>
      <c r="K409" s="29"/>
      <c r="L409" s="29"/>
      <c r="M409" s="29"/>
      <c r="N409" s="29"/>
      <c r="O409" s="29"/>
      <c r="P409" s="29"/>
      <c r="Q409" s="29"/>
      <c r="R409" s="29"/>
      <c r="S409" s="29"/>
      <c r="T409" s="29"/>
      <c r="U409" s="29"/>
      <c r="V409" s="29"/>
      <c r="W409" s="29"/>
      <c r="X409" s="29"/>
      <c r="Y409" s="29"/>
      <c r="Z409" s="29"/>
      <c r="AA409" s="29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  <c r="AX409" s="29"/>
      <c r="AY409" s="29"/>
      <c r="AZ409" s="29"/>
      <c r="BA409" s="29"/>
      <c r="BB409" s="29"/>
      <c r="BC409" s="29"/>
      <c r="BD409" s="29"/>
      <c r="BE409" s="29"/>
      <c r="BF409" s="29"/>
      <c r="BG409" s="29"/>
      <c r="BH409" s="29"/>
      <c r="BI409" s="29"/>
      <c r="BJ409" s="29"/>
      <c r="BK409" s="29"/>
      <c r="BL409" s="29"/>
      <c r="BM409" s="29"/>
      <c r="BN409" s="29"/>
      <c r="BO409" s="29"/>
      <c r="BP409" s="29"/>
      <c r="BQ409" s="29"/>
      <c r="BR409" s="29"/>
      <c r="BS409" s="29"/>
      <c r="BT409" s="29"/>
      <c r="BU409" s="29"/>
      <c r="BV409" s="29"/>
      <c r="BW409" s="29"/>
      <c r="BX409" s="29"/>
      <c r="BY409" s="29"/>
      <c r="BZ409" s="29"/>
      <c r="CA409" s="29"/>
      <c r="CB409" s="29"/>
      <c r="CC409" s="29"/>
      <c r="CD409" s="29"/>
      <c r="CE409" s="29"/>
      <c r="CF409" s="29"/>
      <c r="CG409" s="29"/>
      <c r="CH409" s="29"/>
      <c r="CI409" s="29"/>
      <c r="CJ409" s="29"/>
      <c r="CK409" s="29"/>
      <c r="CL409" s="29"/>
      <c r="CM409" s="29"/>
      <c r="CN409" s="29"/>
      <c r="CO409" s="29"/>
      <c r="CP409" s="29"/>
      <c r="CQ409" s="29"/>
      <c r="CR409" s="29"/>
      <c r="CS409" s="29"/>
      <c r="CT409" s="29"/>
      <c r="CU409" s="29"/>
      <c r="CV409" s="29"/>
      <c r="CW409" s="29"/>
      <c r="CX409" s="29"/>
      <c r="CY409" s="29"/>
      <c r="CZ409" s="29"/>
      <c r="DA409" s="29"/>
      <c r="DB409" s="29"/>
      <c r="DC409" s="29"/>
      <c r="DD409" s="29"/>
      <c r="DE409" s="29"/>
      <c r="DF409" s="29"/>
      <c r="DG409" s="29"/>
      <c r="DH409" s="29"/>
      <c r="DI409" s="29"/>
      <c r="DJ409" s="29"/>
      <c r="DK409" s="29"/>
      <c r="DL409" s="29"/>
      <c r="DM409" s="29"/>
      <c r="DN409" s="29"/>
      <c r="DO409" s="29"/>
      <c r="DP409" s="29"/>
      <c r="DQ409" s="29"/>
      <c r="DR409" s="29"/>
      <c r="DS409" s="29"/>
      <c r="DT409" s="29"/>
      <c r="DU409" s="29"/>
      <c r="DV409" s="29"/>
      <c r="DW409" s="29"/>
      <c r="DX409" s="29"/>
      <c r="DY409" s="29"/>
      <c r="DZ409" s="29"/>
      <c r="EA409" s="29"/>
      <c r="EB409" s="29"/>
      <c r="EC409" s="29"/>
      <c r="ED409" s="29"/>
      <c r="EE409" s="29"/>
      <c r="EF409" s="29"/>
      <c r="EG409" s="29"/>
      <c r="EH409" s="29"/>
      <c r="EI409" s="29"/>
      <c r="EJ409" s="29"/>
      <c r="EK409" s="29"/>
      <c r="EL409" s="29"/>
      <c r="EM409" s="29"/>
      <c r="EN409" s="29"/>
      <c r="EO409" s="29"/>
      <c r="EP409" s="29"/>
      <c r="EQ409" s="29"/>
      <c r="ER409" s="29"/>
      <c r="ES409" s="29"/>
      <c r="ET409" s="29"/>
      <c r="EU409" s="29"/>
      <c r="EV409" s="29"/>
      <c r="EW409" s="29"/>
      <c r="EX409" s="29"/>
      <c r="EY409" s="29"/>
      <c r="EZ409" s="29"/>
      <c r="FA409" s="29"/>
      <c r="FB409" s="29"/>
      <c r="FC409" s="29"/>
      <c r="FD409" s="29"/>
      <c r="FE409" s="29"/>
      <c r="FF409" s="29"/>
      <c r="FG409" s="29"/>
      <c r="FH409" s="29"/>
      <c r="FI409" s="29"/>
      <c r="FJ409" s="29"/>
      <c r="FK409" s="29"/>
      <c r="FL409" s="29"/>
      <c r="FM409" s="29"/>
      <c r="FN409" s="29"/>
      <c r="FO409" s="29"/>
      <c r="FP409" s="29"/>
      <c r="FQ409" s="29"/>
      <c r="FR409" s="14"/>
    </row>
    <row r="410" spans="1:176" s="28" customFormat="1" ht="12" customHeight="1">
      <c r="C410" s="43"/>
      <c r="E410" s="29"/>
      <c r="F410" s="29"/>
      <c r="G410" s="29"/>
      <c r="H410" s="29"/>
      <c r="I410" s="29"/>
      <c r="J410" s="29"/>
      <c r="K410" s="29"/>
      <c r="L410" s="29"/>
      <c r="M410" s="29"/>
      <c r="N410" s="29"/>
      <c r="O410" s="29"/>
      <c r="P410" s="29"/>
      <c r="Q410" s="29"/>
      <c r="R410" s="29"/>
      <c r="S410" s="29"/>
      <c r="T410" s="29"/>
      <c r="U410" s="29"/>
      <c r="V410" s="29"/>
      <c r="W410" s="29"/>
      <c r="X410" s="29"/>
      <c r="Y410" s="29"/>
      <c r="Z410" s="29"/>
      <c r="AA410" s="29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  <c r="AX410" s="29"/>
      <c r="AY410" s="29"/>
      <c r="AZ410" s="29"/>
      <c r="BA410" s="29"/>
      <c r="BB410" s="29"/>
      <c r="BC410" s="29"/>
      <c r="BD410" s="29"/>
      <c r="BE410" s="29"/>
      <c r="BF410" s="29"/>
      <c r="BG410" s="29"/>
      <c r="BH410" s="29"/>
      <c r="BI410" s="29"/>
      <c r="BJ410" s="29"/>
      <c r="BK410" s="29"/>
      <c r="BL410" s="29"/>
      <c r="BM410" s="29"/>
      <c r="BN410" s="29"/>
      <c r="BO410" s="29"/>
      <c r="BP410" s="29"/>
      <c r="BQ410" s="29"/>
      <c r="BR410" s="29"/>
      <c r="BS410" s="29"/>
      <c r="BT410" s="29"/>
      <c r="BU410" s="29"/>
      <c r="BV410" s="29"/>
      <c r="BW410" s="29"/>
      <c r="BX410" s="29"/>
      <c r="BY410" s="29"/>
      <c r="BZ410" s="29"/>
      <c r="CA410" s="29"/>
      <c r="CB410" s="29"/>
      <c r="CC410" s="29"/>
      <c r="CD410" s="29"/>
      <c r="CE410" s="29"/>
      <c r="CF410" s="29"/>
      <c r="CG410" s="29"/>
      <c r="CH410" s="29"/>
      <c r="CI410" s="29"/>
      <c r="CJ410" s="29"/>
      <c r="CK410" s="29"/>
      <c r="CL410" s="29"/>
      <c r="CM410" s="29"/>
      <c r="CN410" s="29"/>
      <c r="CO410" s="29"/>
      <c r="CP410" s="29"/>
      <c r="CQ410" s="29"/>
      <c r="CR410" s="29"/>
      <c r="CS410" s="29"/>
      <c r="CT410" s="29"/>
      <c r="CU410" s="29"/>
      <c r="CV410" s="29"/>
      <c r="CW410" s="29"/>
      <c r="CX410" s="29"/>
      <c r="CY410" s="29"/>
      <c r="CZ410" s="29"/>
      <c r="DA410" s="29"/>
      <c r="DB410" s="29"/>
      <c r="DC410" s="29"/>
      <c r="DD410" s="29"/>
      <c r="DE410" s="29"/>
      <c r="DF410" s="29"/>
      <c r="DG410" s="29"/>
      <c r="DH410" s="29"/>
      <c r="DI410" s="29"/>
      <c r="DJ410" s="29"/>
      <c r="DK410" s="29"/>
      <c r="DL410" s="29"/>
      <c r="DM410" s="29"/>
      <c r="DN410" s="29"/>
      <c r="DO410" s="29"/>
      <c r="DP410" s="29"/>
      <c r="DQ410" s="29"/>
      <c r="DR410" s="29"/>
      <c r="DS410" s="29"/>
      <c r="DT410" s="29"/>
      <c r="DU410" s="29"/>
      <c r="DV410" s="29"/>
      <c r="DW410" s="29"/>
      <c r="DX410" s="29"/>
      <c r="DY410" s="29"/>
      <c r="DZ410" s="29"/>
      <c r="EA410" s="29"/>
      <c r="EB410" s="29"/>
      <c r="EC410" s="29"/>
      <c r="ED410" s="29"/>
      <c r="EE410" s="29"/>
      <c r="EF410" s="29"/>
      <c r="EG410" s="29"/>
      <c r="EH410" s="29"/>
      <c r="EI410" s="29"/>
      <c r="EJ410" s="29"/>
      <c r="EK410" s="29"/>
      <c r="EL410" s="29"/>
      <c r="EM410" s="29"/>
      <c r="EN410" s="29"/>
      <c r="EO410" s="29"/>
      <c r="EP410" s="29"/>
      <c r="EQ410" s="29"/>
      <c r="ER410" s="29"/>
      <c r="ES410" s="29"/>
      <c r="ET410" s="29"/>
      <c r="EU410" s="29"/>
      <c r="EV410" s="29"/>
      <c r="EW410" s="29"/>
      <c r="EX410" s="29"/>
      <c r="EY410" s="29"/>
      <c r="EZ410" s="29"/>
      <c r="FA410" s="29"/>
      <c r="FB410" s="29"/>
      <c r="FC410" s="29"/>
      <c r="FD410" s="29"/>
      <c r="FE410" s="29"/>
      <c r="FF410" s="29"/>
      <c r="FG410" s="29"/>
      <c r="FH410" s="29"/>
      <c r="FI410" s="29"/>
      <c r="FJ410" s="29"/>
      <c r="FK410" s="29"/>
      <c r="FL410" s="29"/>
      <c r="FM410" s="29"/>
      <c r="FN410" s="29"/>
      <c r="FO410" s="29"/>
      <c r="FP410" s="29"/>
      <c r="FQ410" s="29"/>
      <c r="FR410" s="14"/>
    </row>
    <row r="411" spans="1:176" s="28" customFormat="1" ht="12" customHeight="1">
      <c r="C411" s="43"/>
      <c r="E411" s="29"/>
      <c r="F411" s="29"/>
      <c r="G411" s="29"/>
      <c r="H411" s="29"/>
      <c r="I411" s="29"/>
      <c r="J411" s="29"/>
      <c r="K411" s="29"/>
      <c r="L411" s="29"/>
      <c r="M411" s="29"/>
      <c r="N411" s="29"/>
      <c r="O411" s="29"/>
      <c r="P411" s="29"/>
      <c r="Q411" s="29"/>
      <c r="R411" s="29"/>
      <c r="S411" s="29"/>
      <c r="T411" s="29"/>
      <c r="U411" s="29"/>
      <c r="V411" s="29"/>
      <c r="W411" s="29"/>
      <c r="X411" s="29"/>
      <c r="Y411" s="29"/>
      <c r="Z411" s="29"/>
      <c r="AA411" s="29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  <c r="AX411" s="29"/>
      <c r="AY411" s="29"/>
      <c r="AZ411" s="29"/>
      <c r="BA411" s="29"/>
      <c r="BB411" s="29"/>
      <c r="BC411" s="29"/>
      <c r="BD411" s="29"/>
      <c r="BE411" s="29"/>
      <c r="BF411" s="29"/>
      <c r="BG411" s="29"/>
      <c r="BH411" s="29"/>
      <c r="BI411" s="29"/>
      <c r="BJ411" s="29"/>
      <c r="BK411" s="29"/>
      <c r="BL411" s="29"/>
      <c r="BM411" s="29"/>
      <c r="BN411" s="29"/>
      <c r="BO411" s="29"/>
      <c r="BP411" s="29"/>
      <c r="BQ411" s="29"/>
      <c r="BR411" s="29"/>
      <c r="BS411" s="29"/>
      <c r="BT411" s="29"/>
      <c r="BU411" s="29"/>
      <c r="BV411" s="29"/>
      <c r="BW411" s="29"/>
      <c r="BX411" s="29"/>
      <c r="BY411" s="29"/>
      <c r="BZ411" s="29"/>
      <c r="CA411" s="29"/>
      <c r="CB411" s="29"/>
      <c r="CC411" s="29"/>
      <c r="CD411" s="29"/>
      <c r="CE411" s="29"/>
      <c r="CF411" s="29"/>
      <c r="CG411" s="29"/>
      <c r="CH411" s="29"/>
      <c r="CI411" s="29"/>
      <c r="CJ411" s="29"/>
      <c r="CK411" s="29"/>
      <c r="CL411" s="29"/>
      <c r="CM411" s="29"/>
      <c r="CN411" s="29"/>
      <c r="CO411" s="29"/>
      <c r="CP411" s="29"/>
      <c r="CQ411" s="29"/>
      <c r="CR411" s="29"/>
      <c r="CS411" s="29"/>
      <c r="CT411" s="29"/>
      <c r="CU411" s="29"/>
      <c r="CV411" s="29"/>
      <c r="CW411" s="29"/>
      <c r="CX411" s="29"/>
      <c r="CY411" s="29"/>
      <c r="CZ411" s="29"/>
      <c r="DA411" s="29"/>
      <c r="DB411" s="29"/>
      <c r="DC411" s="29"/>
      <c r="DD411" s="29"/>
      <c r="DE411" s="29"/>
      <c r="DF411" s="29"/>
      <c r="DG411" s="29"/>
      <c r="DH411" s="29"/>
      <c r="DI411" s="29"/>
      <c r="DJ411" s="29"/>
      <c r="DK411" s="29"/>
      <c r="DL411" s="29"/>
      <c r="DM411" s="29"/>
      <c r="DN411" s="29"/>
      <c r="DO411" s="29"/>
      <c r="DP411" s="29"/>
      <c r="DQ411" s="29"/>
      <c r="DR411" s="29"/>
      <c r="DS411" s="29"/>
      <c r="DT411" s="29"/>
      <c r="DU411" s="29"/>
      <c r="DV411" s="29"/>
      <c r="DW411" s="29"/>
      <c r="DX411" s="29"/>
      <c r="DY411" s="29"/>
      <c r="DZ411" s="29"/>
      <c r="EA411" s="29"/>
      <c r="EB411" s="29"/>
      <c r="EC411" s="29"/>
      <c r="ED411" s="29"/>
      <c r="EE411" s="29"/>
      <c r="EF411" s="29"/>
      <c r="EG411" s="29"/>
      <c r="EH411" s="29"/>
      <c r="EI411" s="29"/>
      <c r="EJ411" s="29"/>
      <c r="EK411" s="29"/>
      <c r="EL411" s="29"/>
      <c r="EM411" s="29"/>
      <c r="EN411" s="29"/>
      <c r="EO411" s="29"/>
      <c r="EP411" s="29"/>
      <c r="EQ411" s="29"/>
      <c r="ER411" s="29"/>
      <c r="ES411" s="29"/>
      <c r="ET411" s="29"/>
      <c r="EU411" s="29"/>
      <c r="EV411" s="29"/>
      <c r="EW411" s="29"/>
      <c r="EX411" s="29"/>
      <c r="EY411" s="29"/>
      <c r="EZ411" s="29"/>
      <c r="FA411" s="29"/>
      <c r="FB411" s="29"/>
      <c r="FC411" s="29"/>
      <c r="FD411" s="29"/>
      <c r="FE411" s="29"/>
      <c r="FF411" s="29"/>
      <c r="FG411" s="29"/>
      <c r="FH411" s="29"/>
      <c r="FI411" s="29"/>
      <c r="FJ411" s="29"/>
      <c r="FK411" s="29"/>
      <c r="FL411" s="29"/>
      <c r="FM411" s="29"/>
      <c r="FN411" s="29"/>
      <c r="FO411" s="29"/>
      <c r="FP411" s="29"/>
      <c r="FQ411" s="29"/>
      <c r="FR411" s="14"/>
    </row>
    <row r="412" spans="1:176" s="28" customFormat="1" ht="12" customHeight="1">
      <c r="C412" s="43"/>
      <c r="E412" s="29"/>
      <c r="F412" s="29"/>
      <c r="G412" s="29"/>
      <c r="H412" s="29"/>
      <c r="I412" s="29"/>
      <c r="J412" s="29"/>
      <c r="K412" s="29"/>
      <c r="L412" s="29"/>
      <c r="M412" s="29"/>
      <c r="N412" s="29"/>
      <c r="O412" s="29"/>
      <c r="P412" s="29"/>
      <c r="Q412" s="29"/>
      <c r="R412" s="29"/>
      <c r="S412" s="29"/>
      <c r="T412" s="29"/>
      <c r="U412" s="29"/>
      <c r="V412" s="29"/>
      <c r="W412" s="29"/>
      <c r="X412" s="29"/>
      <c r="Y412" s="29"/>
      <c r="Z412" s="29"/>
      <c r="AA412" s="29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  <c r="AX412" s="29"/>
      <c r="AY412" s="29"/>
      <c r="AZ412" s="29"/>
      <c r="BA412" s="29"/>
      <c r="BB412" s="29"/>
      <c r="BC412" s="29"/>
      <c r="BD412" s="29"/>
      <c r="BE412" s="29"/>
      <c r="BF412" s="29"/>
      <c r="BG412" s="29"/>
      <c r="BH412" s="29"/>
      <c r="BI412" s="29"/>
      <c r="BJ412" s="29"/>
      <c r="BK412" s="29"/>
      <c r="BL412" s="29"/>
      <c r="BM412" s="29"/>
      <c r="BN412" s="29"/>
      <c r="BO412" s="29"/>
      <c r="BP412" s="29"/>
      <c r="BQ412" s="29"/>
      <c r="BR412" s="29"/>
      <c r="BS412" s="29"/>
      <c r="BT412" s="29"/>
      <c r="BU412" s="29"/>
      <c r="BV412" s="29"/>
      <c r="BW412" s="29"/>
      <c r="BX412" s="29"/>
      <c r="BY412" s="29"/>
      <c r="BZ412" s="29"/>
      <c r="CA412" s="29"/>
      <c r="CB412" s="29"/>
      <c r="CC412" s="29"/>
      <c r="CD412" s="29"/>
      <c r="CE412" s="29"/>
      <c r="CF412" s="29"/>
      <c r="CG412" s="29"/>
      <c r="CH412" s="29"/>
      <c r="CI412" s="29"/>
      <c r="CJ412" s="29"/>
      <c r="CK412" s="29"/>
      <c r="CL412" s="29"/>
      <c r="CM412" s="29"/>
      <c r="CN412" s="29"/>
      <c r="CO412" s="29"/>
      <c r="CP412" s="29"/>
      <c r="CQ412" s="29"/>
      <c r="CR412" s="29"/>
      <c r="CS412" s="29"/>
      <c r="CT412" s="29"/>
      <c r="CU412" s="29"/>
      <c r="CV412" s="29"/>
      <c r="CW412" s="29"/>
      <c r="CX412" s="29"/>
      <c r="CY412" s="29"/>
      <c r="CZ412" s="29"/>
      <c r="DA412" s="29"/>
      <c r="DB412" s="29"/>
      <c r="DC412" s="29"/>
      <c r="DD412" s="29"/>
      <c r="DE412" s="29"/>
      <c r="DF412" s="29"/>
      <c r="DG412" s="29"/>
      <c r="DH412" s="29"/>
      <c r="DI412" s="29"/>
      <c r="DJ412" s="29"/>
      <c r="DK412" s="29"/>
      <c r="DL412" s="29"/>
      <c r="DM412" s="29"/>
      <c r="DN412" s="29"/>
      <c r="DO412" s="29"/>
      <c r="DP412" s="29"/>
      <c r="DQ412" s="29"/>
      <c r="DR412" s="29"/>
      <c r="DS412" s="29"/>
      <c r="DT412" s="29"/>
      <c r="DU412" s="29"/>
      <c r="DV412" s="29"/>
      <c r="DW412" s="29"/>
      <c r="DX412" s="29"/>
      <c r="DY412" s="29"/>
      <c r="DZ412" s="29"/>
      <c r="EA412" s="29"/>
      <c r="EB412" s="29"/>
      <c r="EC412" s="29"/>
      <c r="ED412" s="29"/>
      <c r="EE412" s="29"/>
      <c r="EF412" s="29"/>
      <c r="EG412" s="29"/>
      <c r="EH412" s="29"/>
      <c r="EI412" s="29"/>
      <c r="EJ412" s="29"/>
      <c r="EK412" s="29"/>
      <c r="EL412" s="29"/>
      <c r="EM412" s="29"/>
      <c r="EN412" s="29"/>
      <c r="EO412" s="29"/>
      <c r="EP412" s="29"/>
      <c r="EQ412" s="29"/>
      <c r="ER412" s="29"/>
      <c r="ES412" s="29"/>
      <c r="ET412" s="29"/>
      <c r="EU412" s="29"/>
      <c r="EV412" s="29"/>
      <c r="EW412" s="29"/>
      <c r="EX412" s="29"/>
      <c r="EY412" s="29"/>
      <c r="EZ412" s="29"/>
      <c r="FA412" s="29"/>
      <c r="FB412" s="29"/>
      <c r="FC412" s="29"/>
      <c r="FD412" s="29"/>
      <c r="FE412" s="29"/>
      <c r="FF412" s="29"/>
      <c r="FG412" s="29"/>
      <c r="FH412" s="29"/>
      <c r="FI412" s="29"/>
      <c r="FJ412" s="29"/>
      <c r="FK412" s="29"/>
      <c r="FL412" s="29"/>
      <c r="FM412" s="29"/>
      <c r="FN412" s="29"/>
      <c r="FO412" s="29"/>
      <c r="FP412" s="29"/>
      <c r="FQ412" s="29"/>
      <c r="FR412" s="14"/>
    </row>
    <row r="413" spans="1:176" s="28" customFormat="1" ht="12" customHeight="1">
      <c r="C413" s="43"/>
      <c r="E413" s="29"/>
      <c r="F413" s="29"/>
      <c r="G413" s="29"/>
      <c r="H413" s="29"/>
      <c r="I413" s="29"/>
      <c r="J413" s="29"/>
      <c r="K413" s="29"/>
      <c r="L413" s="29"/>
      <c r="M413" s="29"/>
      <c r="N413" s="29"/>
      <c r="O413" s="29"/>
      <c r="P413" s="29"/>
      <c r="Q413" s="29"/>
      <c r="R413" s="29"/>
      <c r="S413" s="29"/>
      <c r="T413" s="29"/>
      <c r="U413" s="29"/>
      <c r="V413" s="29"/>
      <c r="W413" s="29"/>
      <c r="X413" s="29"/>
      <c r="Y413" s="29"/>
      <c r="Z413" s="29"/>
      <c r="AA413" s="29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  <c r="AX413" s="29"/>
      <c r="AY413" s="29"/>
      <c r="AZ413" s="29"/>
      <c r="BA413" s="29"/>
      <c r="BB413" s="29"/>
      <c r="BC413" s="29"/>
      <c r="BD413" s="29"/>
      <c r="BE413" s="29"/>
      <c r="BF413" s="29"/>
      <c r="BG413" s="29"/>
      <c r="BH413" s="29"/>
      <c r="BI413" s="29"/>
      <c r="BJ413" s="29"/>
      <c r="BK413" s="29"/>
      <c r="BL413" s="29"/>
      <c r="BM413" s="29"/>
      <c r="BN413" s="29"/>
      <c r="BO413" s="29"/>
      <c r="BP413" s="29"/>
      <c r="BQ413" s="29"/>
      <c r="BR413" s="29"/>
      <c r="BS413" s="29"/>
      <c r="BT413" s="29"/>
      <c r="BU413" s="29"/>
      <c r="BV413" s="29"/>
      <c r="BW413" s="29"/>
      <c r="BX413" s="29"/>
      <c r="BY413" s="29"/>
      <c r="BZ413" s="29"/>
      <c r="CA413" s="29"/>
      <c r="CB413" s="29"/>
      <c r="CC413" s="29"/>
      <c r="CD413" s="29"/>
      <c r="CE413" s="29"/>
      <c r="CF413" s="29"/>
      <c r="CG413" s="29"/>
      <c r="CH413" s="29"/>
      <c r="CI413" s="29"/>
      <c r="CJ413" s="29"/>
      <c r="CK413" s="29"/>
      <c r="CL413" s="29"/>
      <c r="CM413" s="29"/>
      <c r="CN413" s="29"/>
      <c r="CO413" s="29"/>
      <c r="CP413" s="29"/>
      <c r="CQ413" s="29"/>
      <c r="CR413" s="29"/>
      <c r="CS413" s="29"/>
      <c r="CT413" s="29"/>
      <c r="CU413" s="29"/>
      <c r="CV413" s="29"/>
      <c r="CW413" s="29"/>
      <c r="CX413" s="29"/>
      <c r="CY413" s="29"/>
      <c r="CZ413" s="29"/>
      <c r="DA413" s="29"/>
      <c r="DB413" s="29"/>
      <c r="DC413" s="29"/>
      <c r="DD413" s="29"/>
      <c r="DE413" s="29"/>
      <c r="DF413" s="29"/>
      <c r="DG413" s="29"/>
      <c r="DH413" s="29"/>
      <c r="DI413" s="29"/>
      <c r="DJ413" s="29"/>
      <c r="DK413" s="29"/>
      <c r="DL413" s="29"/>
      <c r="DM413" s="29"/>
      <c r="DN413" s="29"/>
      <c r="DO413" s="29"/>
      <c r="DP413" s="29"/>
      <c r="DQ413" s="29"/>
      <c r="DR413" s="29"/>
      <c r="DS413" s="29"/>
      <c r="DT413" s="29"/>
      <c r="DU413" s="29"/>
      <c r="DV413" s="29"/>
      <c r="DW413" s="29"/>
      <c r="DX413" s="29"/>
      <c r="DY413" s="29"/>
      <c r="DZ413" s="29"/>
      <c r="EA413" s="29"/>
      <c r="EB413" s="29"/>
      <c r="EC413" s="29"/>
      <c r="ED413" s="29"/>
      <c r="EE413" s="29"/>
      <c r="EF413" s="29"/>
      <c r="EG413" s="29"/>
      <c r="EH413" s="29"/>
      <c r="EI413" s="29"/>
      <c r="EJ413" s="29"/>
      <c r="EK413" s="29"/>
      <c r="EL413" s="29"/>
      <c r="EM413" s="29"/>
      <c r="EN413" s="29"/>
      <c r="EO413" s="29"/>
      <c r="EP413" s="29"/>
      <c r="EQ413" s="29"/>
      <c r="ER413" s="29"/>
      <c r="ES413" s="29"/>
      <c r="ET413" s="29"/>
      <c r="EU413" s="29"/>
      <c r="EV413" s="29"/>
      <c r="EW413" s="29"/>
      <c r="EX413" s="29"/>
      <c r="EY413" s="29"/>
      <c r="EZ413" s="29"/>
      <c r="FA413" s="29"/>
      <c r="FB413" s="29"/>
      <c r="FC413" s="29"/>
      <c r="FD413" s="29"/>
      <c r="FE413" s="29"/>
      <c r="FF413" s="29"/>
      <c r="FG413" s="29"/>
      <c r="FH413" s="29"/>
      <c r="FI413" s="29"/>
      <c r="FJ413" s="29"/>
      <c r="FK413" s="29"/>
      <c r="FL413" s="29"/>
      <c r="FM413" s="29"/>
      <c r="FN413" s="29"/>
      <c r="FO413" s="29"/>
      <c r="FP413" s="29"/>
      <c r="FQ413" s="29"/>
      <c r="FR413" s="14"/>
    </row>
    <row r="414" spans="1:176" s="28" customFormat="1" ht="12" customHeight="1">
      <c r="C414" s="43"/>
      <c r="E414" s="29"/>
      <c r="F414" s="29"/>
      <c r="G414" s="29"/>
      <c r="H414" s="29"/>
      <c r="I414" s="29"/>
      <c r="J414" s="29"/>
      <c r="K414" s="29"/>
      <c r="L414" s="29"/>
      <c r="M414" s="29"/>
      <c r="N414" s="29"/>
      <c r="O414" s="29"/>
      <c r="P414" s="29"/>
      <c r="Q414" s="29"/>
      <c r="R414" s="29"/>
      <c r="S414" s="29"/>
      <c r="T414" s="29"/>
      <c r="U414" s="29"/>
      <c r="V414" s="29"/>
      <c r="W414" s="29"/>
      <c r="X414" s="29"/>
      <c r="Y414" s="29"/>
      <c r="Z414" s="29"/>
      <c r="AA414" s="29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  <c r="AX414" s="29"/>
      <c r="AY414" s="29"/>
      <c r="AZ414" s="29"/>
      <c r="BA414" s="29"/>
      <c r="BB414" s="29"/>
      <c r="BC414" s="29"/>
      <c r="BD414" s="29"/>
      <c r="BE414" s="29"/>
      <c r="BF414" s="29"/>
      <c r="BG414" s="29"/>
      <c r="BH414" s="29"/>
      <c r="BI414" s="29"/>
      <c r="BJ414" s="29"/>
      <c r="BK414" s="29"/>
      <c r="BL414" s="29"/>
      <c r="BM414" s="29"/>
      <c r="BN414" s="29"/>
      <c r="BO414" s="29"/>
      <c r="BP414" s="29"/>
      <c r="BQ414" s="29"/>
      <c r="BR414" s="29"/>
      <c r="BS414" s="29"/>
      <c r="BT414" s="29"/>
      <c r="BU414" s="29"/>
      <c r="BV414" s="29"/>
      <c r="BW414" s="29"/>
      <c r="BX414" s="29"/>
      <c r="BY414" s="29"/>
      <c r="BZ414" s="29"/>
      <c r="CA414" s="29"/>
      <c r="CB414" s="29"/>
      <c r="CC414" s="29"/>
      <c r="CD414" s="29"/>
      <c r="CE414" s="29"/>
      <c r="CF414" s="29"/>
      <c r="CG414" s="29"/>
      <c r="CH414" s="29"/>
      <c r="CI414" s="29"/>
      <c r="CJ414" s="29"/>
      <c r="CK414" s="29"/>
      <c r="CL414" s="29"/>
      <c r="CM414" s="29"/>
      <c r="CN414" s="29"/>
      <c r="CO414" s="29"/>
      <c r="CP414" s="29"/>
      <c r="CQ414" s="29"/>
      <c r="CR414" s="29"/>
      <c r="CS414" s="29"/>
      <c r="CT414" s="29"/>
      <c r="CU414" s="29"/>
      <c r="CV414" s="29"/>
      <c r="CW414" s="29"/>
      <c r="CX414" s="29"/>
      <c r="CY414" s="29"/>
      <c r="CZ414" s="29"/>
      <c r="DA414" s="29"/>
      <c r="DB414" s="29"/>
      <c r="DC414" s="29"/>
      <c r="DD414" s="29"/>
      <c r="DE414" s="29"/>
      <c r="DF414" s="29"/>
      <c r="DG414" s="29"/>
      <c r="DH414" s="29"/>
      <c r="DI414" s="29"/>
      <c r="DJ414" s="29"/>
      <c r="DK414" s="29"/>
      <c r="DL414" s="29"/>
      <c r="DM414" s="29"/>
      <c r="DN414" s="29"/>
      <c r="DO414" s="29"/>
      <c r="DP414" s="29"/>
      <c r="DQ414" s="29"/>
      <c r="DR414" s="29"/>
      <c r="DS414" s="29"/>
      <c r="DT414" s="29"/>
      <c r="DU414" s="29"/>
      <c r="DV414" s="29"/>
      <c r="DW414" s="29"/>
      <c r="DX414" s="29"/>
      <c r="DY414" s="29"/>
      <c r="DZ414" s="29"/>
      <c r="EA414" s="29"/>
      <c r="EB414" s="29"/>
      <c r="EC414" s="29"/>
      <c r="ED414" s="29"/>
      <c r="EE414" s="29"/>
      <c r="EF414" s="29"/>
      <c r="EG414" s="29"/>
      <c r="EH414" s="29"/>
      <c r="EI414" s="29"/>
      <c r="EJ414" s="29"/>
      <c r="EK414" s="29"/>
      <c r="EL414" s="29"/>
      <c r="EM414" s="29"/>
      <c r="EN414" s="29"/>
      <c r="EO414" s="29"/>
      <c r="EP414" s="29"/>
      <c r="EQ414" s="29"/>
      <c r="ER414" s="29"/>
      <c r="ES414" s="29"/>
      <c r="ET414" s="29"/>
      <c r="EU414" s="29"/>
      <c r="EV414" s="29"/>
      <c r="EW414" s="29"/>
      <c r="EX414" s="29"/>
      <c r="EY414" s="29"/>
      <c r="EZ414" s="29"/>
      <c r="FA414" s="29"/>
      <c r="FB414" s="29"/>
      <c r="FC414" s="29"/>
      <c r="FD414" s="29"/>
      <c r="FE414" s="29"/>
      <c r="FF414" s="29"/>
      <c r="FG414" s="29"/>
      <c r="FH414" s="29"/>
      <c r="FI414" s="29"/>
      <c r="FJ414" s="29"/>
      <c r="FK414" s="29"/>
      <c r="FL414" s="29"/>
      <c r="FM414" s="29"/>
      <c r="FN414" s="29"/>
      <c r="FO414" s="29"/>
      <c r="FP414" s="29"/>
      <c r="FQ414" s="29"/>
      <c r="FR414" s="14"/>
    </row>
    <row r="415" spans="1:176" s="28" customFormat="1" ht="12" customHeight="1">
      <c r="C415" s="43"/>
      <c r="E415" s="29"/>
      <c r="F415" s="29"/>
      <c r="G415" s="29"/>
      <c r="H415" s="29"/>
      <c r="I415" s="29"/>
      <c r="J415" s="29"/>
      <c r="K415" s="29"/>
      <c r="L415" s="29"/>
      <c r="M415" s="29"/>
      <c r="N415" s="29"/>
      <c r="O415" s="29"/>
      <c r="P415" s="29"/>
      <c r="Q415" s="29"/>
      <c r="R415" s="29"/>
      <c r="S415" s="29"/>
      <c r="T415" s="29"/>
      <c r="U415" s="29"/>
      <c r="V415" s="29"/>
      <c r="W415" s="29"/>
      <c r="X415" s="29"/>
      <c r="Y415" s="29"/>
      <c r="Z415" s="29"/>
      <c r="AA415" s="29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  <c r="AX415" s="29"/>
      <c r="AY415" s="29"/>
      <c r="AZ415" s="29"/>
      <c r="BA415" s="29"/>
      <c r="BB415" s="29"/>
      <c r="BC415" s="29"/>
      <c r="BD415" s="29"/>
      <c r="BE415" s="29"/>
      <c r="BF415" s="29"/>
      <c r="BG415" s="29"/>
      <c r="BH415" s="29"/>
      <c r="BI415" s="29"/>
      <c r="BJ415" s="29"/>
      <c r="BK415" s="29"/>
      <c r="BL415" s="29"/>
      <c r="BM415" s="29"/>
      <c r="BN415" s="29"/>
      <c r="BO415" s="29"/>
      <c r="BP415" s="29"/>
      <c r="BQ415" s="29"/>
      <c r="BR415" s="29"/>
      <c r="BS415" s="29"/>
      <c r="BT415" s="29"/>
      <c r="BU415" s="29"/>
      <c r="BV415" s="29"/>
      <c r="BW415" s="29"/>
      <c r="BX415" s="29"/>
      <c r="BY415" s="29"/>
      <c r="BZ415" s="29"/>
      <c r="CA415" s="29"/>
      <c r="CB415" s="29"/>
      <c r="CC415" s="29"/>
      <c r="CD415" s="29"/>
      <c r="CE415" s="29"/>
      <c r="CF415" s="29"/>
      <c r="CG415" s="29"/>
      <c r="CH415" s="29"/>
      <c r="CI415" s="29"/>
      <c r="CJ415" s="29"/>
      <c r="CK415" s="29"/>
      <c r="CL415" s="29"/>
      <c r="CM415" s="29"/>
      <c r="CN415" s="29"/>
      <c r="CO415" s="29"/>
      <c r="CP415" s="29"/>
      <c r="CQ415" s="29"/>
      <c r="CR415" s="29"/>
      <c r="CS415" s="29"/>
      <c r="CT415" s="29"/>
      <c r="CU415" s="29"/>
      <c r="CV415" s="29"/>
      <c r="CW415" s="29"/>
      <c r="CX415" s="29"/>
      <c r="CY415" s="29"/>
      <c r="CZ415" s="29"/>
      <c r="DA415" s="29"/>
      <c r="DB415" s="29"/>
      <c r="DC415" s="29"/>
      <c r="DD415" s="29"/>
      <c r="DE415" s="29"/>
      <c r="DF415" s="29"/>
      <c r="DG415" s="29"/>
      <c r="DH415" s="29"/>
      <c r="DI415" s="29"/>
      <c r="DJ415" s="29"/>
      <c r="DK415" s="29"/>
      <c r="DL415" s="29"/>
      <c r="DM415" s="29"/>
      <c r="DN415" s="29"/>
      <c r="DO415" s="29"/>
      <c r="DP415" s="29"/>
      <c r="DQ415" s="29"/>
      <c r="DR415" s="29"/>
      <c r="DS415" s="29"/>
      <c r="DT415" s="29"/>
      <c r="DU415" s="29"/>
      <c r="DV415" s="29"/>
      <c r="DW415" s="29"/>
      <c r="DX415" s="29"/>
      <c r="DY415" s="29"/>
      <c r="DZ415" s="29"/>
      <c r="EA415" s="29"/>
      <c r="EB415" s="29"/>
      <c r="EC415" s="29"/>
      <c r="ED415" s="29"/>
      <c r="EE415" s="29"/>
      <c r="EF415" s="29"/>
      <c r="EG415" s="29"/>
      <c r="EH415" s="29"/>
      <c r="EI415" s="29"/>
      <c r="EJ415" s="29"/>
      <c r="EK415" s="29"/>
      <c r="EL415" s="29"/>
      <c r="EM415" s="29"/>
      <c r="EN415" s="29"/>
      <c r="EO415" s="29"/>
      <c r="EP415" s="29"/>
      <c r="EQ415" s="29"/>
      <c r="ER415" s="29"/>
      <c r="ES415" s="29"/>
      <c r="ET415" s="29"/>
      <c r="EU415" s="29"/>
      <c r="EV415" s="29"/>
      <c r="EW415" s="29"/>
      <c r="EX415" s="29"/>
      <c r="EY415" s="29"/>
      <c r="EZ415" s="29"/>
      <c r="FA415" s="29"/>
      <c r="FB415" s="29"/>
      <c r="FC415" s="29"/>
      <c r="FD415" s="29"/>
      <c r="FE415" s="29"/>
      <c r="FF415" s="29"/>
      <c r="FG415" s="29"/>
      <c r="FH415" s="29"/>
      <c r="FI415" s="29"/>
      <c r="FJ415" s="29"/>
      <c r="FK415" s="29"/>
      <c r="FL415" s="29"/>
      <c r="FM415" s="29"/>
      <c r="FN415" s="29"/>
      <c r="FO415" s="29"/>
      <c r="FP415" s="29"/>
      <c r="FQ415" s="29"/>
      <c r="FR415" s="14"/>
    </row>
    <row r="416" spans="1:176" s="28" customFormat="1" ht="12" customHeight="1">
      <c r="C416" s="43"/>
      <c r="E416" s="29"/>
      <c r="F416" s="29"/>
      <c r="G416" s="29"/>
      <c r="H416" s="29"/>
      <c r="I416" s="29"/>
      <c r="J416" s="29"/>
      <c r="K416" s="29"/>
      <c r="L416" s="29"/>
      <c r="M416" s="29"/>
      <c r="N416" s="29"/>
      <c r="O416" s="29"/>
      <c r="P416" s="29"/>
      <c r="Q416" s="29"/>
      <c r="R416" s="29"/>
      <c r="S416" s="29"/>
      <c r="T416" s="29"/>
      <c r="U416" s="29"/>
      <c r="V416" s="29"/>
      <c r="W416" s="29"/>
      <c r="X416" s="29"/>
      <c r="Y416" s="29"/>
      <c r="Z416" s="29"/>
      <c r="AA416" s="29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  <c r="AX416" s="29"/>
      <c r="AY416" s="29"/>
      <c r="AZ416" s="29"/>
      <c r="BA416" s="29"/>
      <c r="BB416" s="29"/>
      <c r="BC416" s="29"/>
      <c r="BD416" s="29"/>
      <c r="BE416" s="29"/>
      <c r="BF416" s="29"/>
      <c r="BG416" s="29"/>
      <c r="BH416" s="29"/>
      <c r="BI416" s="29"/>
      <c r="BJ416" s="29"/>
      <c r="BK416" s="29"/>
      <c r="BL416" s="29"/>
      <c r="BM416" s="29"/>
      <c r="BN416" s="29"/>
      <c r="BO416" s="29"/>
      <c r="BP416" s="29"/>
      <c r="BQ416" s="29"/>
      <c r="BR416" s="29"/>
      <c r="BS416" s="29"/>
      <c r="BT416" s="29"/>
      <c r="BU416" s="29"/>
      <c r="BV416" s="29"/>
      <c r="BW416" s="29"/>
      <c r="BX416" s="29"/>
      <c r="BY416" s="29"/>
      <c r="BZ416" s="29"/>
      <c r="CA416" s="29"/>
      <c r="CB416" s="29"/>
      <c r="CC416" s="29"/>
      <c r="CD416" s="29"/>
      <c r="CE416" s="29"/>
      <c r="CF416" s="29"/>
      <c r="CG416" s="29"/>
      <c r="CH416" s="29"/>
      <c r="CI416" s="29"/>
      <c r="CJ416" s="29"/>
      <c r="CK416" s="29"/>
      <c r="CL416" s="29"/>
      <c r="CM416" s="29"/>
      <c r="CN416" s="29"/>
      <c r="CO416" s="29"/>
      <c r="CP416" s="29"/>
      <c r="CQ416" s="29"/>
      <c r="CR416" s="29"/>
      <c r="CS416" s="29"/>
      <c r="CT416" s="29"/>
      <c r="CU416" s="29"/>
      <c r="CV416" s="29"/>
      <c r="CW416" s="29"/>
      <c r="CX416" s="29"/>
      <c r="CY416" s="29"/>
      <c r="CZ416" s="29"/>
      <c r="DA416" s="29"/>
      <c r="DB416" s="29"/>
      <c r="DC416" s="29"/>
      <c r="DD416" s="29"/>
      <c r="DE416" s="29"/>
      <c r="DF416" s="29"/>
      <c r="DG416" s="29"/>
      <c r="DH416" s="29"/>
      <c r="DI416" s="29"/>
      <c r="DJ416" s="29"/>
      <c r="DK416" s="29"/>
      <c r="DL416" s="29"/>
      <c r="DM416" s="29"/>
      <c r="DN416" s="29"/>
      <c r="DO416" s="29"/>
      <c r="DP416" s="29"/>
      <c r="DQ416" s="29"/>
      <c r="DR416" s="29"/>
      <c r="DS416" s="29"/>
      <c r="DT416" s="29"/>
      <c r="DU416" s="29"/>
      <c r="DV416" s="29"/>
      <c r="DW416" s="29"/>
      <c r="DX416" s="29"/>
      <c r="DY416" s="29"/>
      <c r="DZ416" s="29"/>
      <c r="EA416" s="29"/>
      <c r="EB416" s="29"/>
      <c r="EC416" s="29"/>
      <c r="ED416" s="29"/>
      <c r="EE416" s="29"/>
      <c r="EF416" s="29"/>
      <c r="EG416" s="29"/>
      <c r="EH416" s="29"/>
      <c r="EI416" s="29"/>
      <c r="EJ416" s="29"/>
      <c r="EK416" s="29"/>
      <c r="EL416" s="29"/>
      <c r="EM416" s="29"/>
      <c r="EN416" s="29"/>
      <c r="EO416" s="29"/>
      <c r="EP416" s="29"/>
      <c r="EQ416" s="29"/>
      <c r="ER416" s="29"/>
      <c r="ES416" s="29"/>
      <c r="ET416" s="29"/>
      <c r="EU416" s="29"/>
      <c r="EV416" s="29"/>
      <c r="EW416" s="29"/>
      <c r="EX416" s="29"/>
      <c r="EY416" s="29"/>
      <c r="EZ416" s="29"/>
      <c r="FA416" s="29"/>
      <c r="FB416" s="29"/>
      <c r="FC416" s="29"/>
      <c r="FD416" s="29"/>
      <c r="FE416" s="29"/>
      <c r="FF416" s="29"/>
      <c r="FG416" s="29"/>
      <c r="FH416" s="29"/>
      <c r="FI416" s="29"/>
      <c r="FJ416" s="29"/>
      <c r="FK416" s="29"/>
      <c r="FL416" s="29"/>
      <c r="FM416" s="29"/>
      <c r="FN416" s="29"/>
      <c r="FO416" s="29"/>
      <c r="FP416" s="29"/>
      <c r="FQ416" s="29"/>
      <c r="FR416" s="14"/>
    </row>
    <row r="417" spans="3:174" s="28" customFormat="1" ht="12" customHeight="1">
      <c r="C417" s="43"/>
      <c r="E417" s="29"/>
      <c r="F417" s="29"/>
      <c r="G417" s="29"/>
      <c r="H417" s="29"/>
      <c r="I417" s="29"/>
      <c r="J417" s="29"/>
      <c r="K417" s="29"/>
      <c r="L417" s="29"/>
      <c r="M417" s="29"/>
      <c r="N417" s="29"/>
      <c r="O417" s="29"/>
      <c r="P417" s="29"/>
      <c r="Q417" s="29"/>
      <c r="R417" s="29"/>
      <c r="S417" s="29"/>
      <c r="T417" s="29"/>
      <c r="U417" s="29"/>
      <c r="V417" s="29"/>
      <c r="W417" s="29"/>
      <c r="X417" s="29"/>
      <c r="Y417" s="29"/>
      <c r="Z417" s="29"/>
      <c r="AA417" s="29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  <c r="AX417" s="29"/>
      <c r="AY417" s="29"/>
      <c r="AZ417" s="29"/>
      <c r="BA417" s="29"/>
      <c r="BB417" s="29"/>
      <c r="BC417" s="29"/>
      <c r="BD417" s="29"/>
      <c r="BE417" s="29"/>
      <c r="BF417" s="29"/>
      <c r="BG417" s="29"/>
      <c r="BH417" s="29"/>
      <c r="BI417" s="29"/>
      <c r="BJ417" s="29"/>
      <c r="BK417" s="29"/>
      <c r="BL417" s="29"/>
      <c r="BM417" s="29"/>
      <c r="BN417" s="29"/>
      <c r="BO417" s="29"/>
      <c r="BP417" s="29"/>
      <c r="BQ417" s="29"/>
      <c r="BR417" s="29"/>
      <c r="BS417" s="29"/>
      <c r="BT417" s="29"/>
      <c r="BU417" s="29"/>
      <c r="BV417" s="29"/>
      <c r="BW417" s="29"/>
      <c r="BX417" s="29"/>
      <c r="BY417" s="29"/>
      <c r="BZ417" s="29"/>
      <c r="CA417" s="29"/>
      <c r="CB417" s="29"/>
      <c r="CC417" s="29"/>
      <c r="CD417" s="29"/>
      <c r="CE417" s="29"/>
      <c r="CF417" s="29"/>
      <c r="CG417" s="29"/>
      <c r="CH417" s="29"/>
      <c r="CI417" s="29"/>
      <c r="CJ417" s="29"/>
      <c r="CK417" s="29"/>
      <c r="CL417" s="29"/>
      <c r="CM417" s="29"/>
      <c r="CN417" s="29"/>
      <c r="CO417" s="29"/>
      <c r="CP417" s="29"/>
      <c r="CQ417" s="29"/>
      <c r="CR417" s="29"/>
      <c r="CS417" s="29"/>
      <c r="CT417" s="29"/>
      <c r="CU417" s="29"/>
      <c r="CV417" s="29"/>
      <c r="CW417" s="29"/>
      <c r="CX417" s="29"/>
      <c r="CY417" s="29"/>
      <c r="CZ417" s="29"/>
      <c r="DA417" s="29"/>
      <c r="DB417" s="29"/>
      <c r="DC417" s="29"/>
      <c r="DD417" s="29"/>
      <c r="DE417" s="29"/>
      <c r="DF417" s="29"/>
      <c r="DG417" s="29"/>
      <c r="DH417" s="29"/>
      <c r="DI417" s="29"/>
      <c r="DJ417" s="29"/>
      <c r="DK417" s="29"/>
      <c r="DL417" s="29"/>
      <c r="DM417" s="29"/>
      <c r="DN417" s="29"/>
      <c r="DO417" s="29"/>
      <c r="DP417" s="29"/>
      <c r="DQ417" s="29"/>
      <c r="DR417" s="29"/>
      <c r="DS417" s="29"/>
      <c r="DT417" s="29"/>
      <c r="DU417" s="29"/>
      <c r="DV417" s="29"/>
      <c r="DW417" s="29"/>
      <c r="DX417" s="29"/>
      <c r="DY417" s="29"/>
      <c r="DZ417" s="29"/>
      <c r="EA417" s="29"/>
      <c r="EB417" s="29"/>
      <c r="EC417" s="29"/>
      <c r="ED417" s="29"/>
      <c r="EE417" s="29"/>
      <c r="EF417" s="29"/>
      <c r="EG417" s="29"/>
      <c r="EH417" s="29"/>
      <c r="EI417" s="29"/>
      <c r="EJ417" s="29"/>
      <c r="EK417" s="29"/>
      <c r="EL417" s="29"/>
      <c r="EM417" s="29"/>
      <c r="EN417" s="29"/>
      <c r="EO417" s="29"/>
      <c r="EP417" s="29"/>
      <c r="EQ417" s="29"/>
      <c r="ER417" s="29"/>
      <c r="ES417" s="29"/>
      <c r="ET417" s="29"/>
      <c r="EU417" s="29"/>
      <c r="EV417" s="29"/>
      <c r="EW417" s="29"/>
      <c r="EX417" s="29"/>
      <c r="EY417" s="29"/>
      <c r="EZ417" s="29"/>
      <c r="FA417" s="29"/>
      <c r="FB417" s="29"/>
      <c r="FC417" s="29"/>
      <c r="FD417" s="29"/>
      <c r="FE417" s="29"/>
      <c r="FF417" s="29"/>
      <c r="FG417" s="29"/>
      <c r="FH417" s="29"/>
      <c r="FI417" s="29"/>
      <c r="FJ417" s="29"/>
      <c r="FK417" s="29"/>
      <c r="FL417" s="29"/>
      <c r="FM417" s="29"/>
      <c r="FN417" s="29"/>
      <c r="FO417" s="29"/>
      <c r="FP417" s="29"/>
      <c r="FQ417" s="29"/>
      <c r="FR417" s="14"/>
    </row>
    <row r="418" spans="3:174" s="28" customFormat="1" ht="12" customHeight="1">
      <c r="C418" s="43"/>
      <c r="E418" s="29"/>
      <c r="F418" s="29"/>
      <c r="G418" s="29"/>
      <c r="H418" s="29"/>
      <c r="I418" s="29"/>
      <c r="J418" s="29"/>
      <c r="K418" s="29"/>
      <c r="L418" s="29"/>
      <c r="M418" s="29"/>
      <c r="N418" s="29"/>
      <c r="O418" s="29"/>
      <c r="P418" s="29"/>
      <c r="Q418" s="29"/>
      <c r="R418" s="29"/>
      <c r="S418" s="29"/>
      <c r="T418" s="29"/>
      <c r="U418" s="29"/>
      <c r="V418" s="29"/>
      <c r="W418" s="29"/>
      <c r="X418" s="29"/>
      <c r="Y418" s="29"/>
      <c r="Z418" s="29"/>
      <c r="AA418" s="29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  <c r="AX418" s="29"/>
      <c r="AY418" s="29"/>
      <c r="AZ418" s="29"/>
      <c r="BA418" s="29"/>
      <c r="BB418" s="29"/>
      <c r="BC418" s="29"/>
      <c r="BD418" s="29"/>
      <c r="BE418" s="29"/>
      <c r="BF418" s="29"/>
      <c r="BG418" s="29"/>
      <c r="BH418" s="29"/>
      <c r="BI418" s="29"/>
      <c r="BJ418" s="29"/>
      <c r="BK418" s="29"/>
      <c r="BL418" s="29"/>
      <c r="BM418" s="29"/>
      <c r="BN418" s="29"/>
      <c r="BO418" s="29"/>
      <c r="BP418" s="29"/>
      <c r="BQ418" s="29"/>
      <c r="BR418" s="29"/>
      <c r="BS418" s="29"/>
      <c r="BT418" s="29"/>
      <c r="BU418" s="29"/>
      <c r="BV418" s="29"/>
      <c r="BW418" s="29"/>
      <c r="BX418" s="29"/>
      <c r="BY418" s="29"/>
      <c r="BZ418" s="29"/>
      <c r="CA418" s="29"/>
      <c r="CB418" s="29"/>
      <c r="CC418" s="29"/>
      <c r="CD418" s="29"/>
      <c r="CE418" s="29"/>
      <c r="CF418" s="29"/>
      <c r="CG418" s="29"/>
      <c r="CH418" s="29"/>
      <c r="CI418" s="29"/>
      <c r="CJ418" s="29"/>
      <c r="CK418" s="29"/>
      <c r="CL418" s="29"/>
      <c r="CM418" s="29"/>
      <c r="CN418" s="29"/>
      <c r="CO418" s="29"/>
      <c r="CP418" s="29"/>
      <c r="CQ418" s="29"/>
      <c r="CR418" s="29"/>
      <c r="CS418" s="29"/>
      <c r="CT418" s="29"/>
      <c r="CU418" s="29"/>
      <c r="CV418" s="29"/>
      <c r="CW418" s="29"/>
      <c r="CX418" s="29"/>
      <c r="CY418" s="29"/>
      <c r="CZ418" s="29"/>
      <c r="DA418" s="29"/>
      <c r="DB418" s="29"/>
      <c r="DC418" s="29"/>
      <c r="DD418" s="29"/>
      <c r="DE418" s="29"/>
      <c r="DF418" s="29"/>
      <c r="DG418" s="29"/>
      <c r="DH418" s="29"/>
      <c r="DI418" s="29"/>
      <c r="DJ418" s="29"/>
      <c r="DK418" s="29"/>
      <c r="DL418" s="29"/>
      <c r="DM418" s="29"/>
      <c r="DN418" s="29"/>
      <c r="DO418" s="29"/>
      <c r="DP418" s="29"/>
      <c r="DQ418" s="29"/>
      <c r="DR418" s="29"/>
      <c r="DS418" s="29"/>
      <c r="DT418" s="29"/>
      <c r="DU418" s="29"/>
      <c r="DV418" s="29"/>
      <c r="DW418" s="29"/>
      <c r="DX418" s="29"/>
      <c r="DY418" s="29"/>
      <c r="DZ418" s="29"/>
      <c r="EA418" s="29"/>
      <c r="EB418" s="29"/>
      <c r="EC418" s="29"/>
      <c r="ED418" s="29"/>
      <c r="EE418" s="29"/>
      <c r="EF418" s="29"/>
      <c r="EG418" s="29"/>
      <c r="EH418" s="29"/>
      <c r="EI418" s="29"/>
      <c r="EJ418" s="29"/>
      <c r="EK418" s="29"/>
      <c r="EL418" s="29"/>
      <c r="EM418" s="29"/>
      <c r="EN418" s="29"/>
      <c r="EO418" s="29"/>
      <c r="EP418" s="29"/>
      <c r="EQ418" s="29"/>
      <c r="ER418" s="29"/>
      <c r="ES418" s="29"/>
      <c r="ET418" s="29"/>
      <c r="EU418" s="29"/>
      <c r="EV418" s="29"/>
      <c r="EW418" s="29"/>
      <c r="EX418" s="29"/>
      <c r="EY418" s="29"/>
      <c r="EZ418" s="29"/>
      <c r="FA418" s="29"/>
      <c r="FB418" s="29"/>
      <c r="FC418" s="29"/>
      <c r="FD418" s="29"/>
      <c r="FE418" s="29"/>
      <c r="FF418" s="29"/>
      <c r="FG418" s="29"/>
      <c r="FH418" s="29"/>
      <c r="FI418" s="29"/>
      <c r="FJ418" s="29"/>
      <c r="FK418" s="29"/>
      <c r="FL418" s="29"/>
      <c r="FM418" s="29"/>
      <c r="FN418" s="29"/>
      <c r="FO418" s="29"/>
      <c r="FP418" s="29"/>
      <c r="FQ418" s="29"/>
      <c r="FR418" s="14"/>
    </row>
    <row r="419" spans="3:174" s="28" customFormat="1" ht="12" customHeight="1">
      <c r="C419" s="43"/>
      <c r="E419" s="29"/>
      <c r="F419" s="29"/>
      <c r="G419" s="29"/>
      <c r="H419" s="29"/>
      <c r="I419" s="29"/>
      <c r="J419" s="29"/>
      <c r="K419" s="29"/>
      <c r="L419" s="29"/>
      <c r="M419" s="29"/>
      <c r="N419" s="29"/>
      <c r="O419" s="29"/>
      <c r="P419" s="29"/>
      <c r="Q419" s="29"/>
      <c r="R419" s="29"/>
      <c r="S419" s="29"/>
      <c r="T419" s="29"/>
      <c r="U419" s="29"/>
      <c r="V419" s="29"/>
      <c r="W419" s="29"/>
      <c r="X419" s="29"/>
      <c r="Y419" s="29"/>
      <c r="Z419" s="29"/>
      <c r="AA419" s="29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  <c r="AX419" s="29"/>
      <c r="AY419" s="29"/>
      <c r="AZ419" s="29"/>
      <c r="BA419" s="29"/>
      <c r="BB419" s="29"/>
      <c r="BC419" s="29"/>
      <c r="BD419" s="29"/>
      <c r="BE419" s="29"/>
      <c r="BF419" s="29"/>
      <c r="BG419" s="29"/>
      <c r="BH419" s="29"/>
      <c r="BI419" s="29"/>
      <c r="BJ419" s="29"/>
      <c r="BK419" s="29"/>
      <c r="BL419" s="29"/>
      <c r="BM419" s="29"/>
      <c r="BN419" s="29"/>
      <c r="BO419" s="29"/>
      <c r="BP419" s="29"/>
      <c r="BQ419" s="29"/>
      <c r="BR419" s="29"/>
      <c r="BS419" s="29"/>
      <c r="BT419" s="29"/>
      <c r="BU419" s="29"/>
      <c r="BV419" s="29"/>
      <c r="BW419" s="29"/>
      <c r="BX419" s="29"/>
      <c r="BY419" s="29"/>
      <c r="BZ419" s="29"/>
      <c r="CA419" s="29"/>
      <c r="CB419" s="29"/>
      <c r="CC419" s="29"/>
      <c r="CD419" s="29"/>
      <c r="CE419" s="29"/>
      <c r="CF419" s="29"/>
      <c r="CG419" s="29"/>
      <c r="CH419" s="29"/>
      <c r="CI419" s="29"/>
      <c r="CJ419" s="29"/>
      <c r="CK419" s="29"/>
      <c r="CL419" s="29"/>
      <c r="CM419" s="29"/>
      <c r="CN419" s="29"/>
      <c r="CO419" s="29"/>
      <c r="CP419" s="29"/>
      <c r="CQ419" s="29"/>
      <c r="CR419" s="29"/>
      <c r="CS419" s="29"/>
      <c r="CT419" s="29"/>
      <c r="CU419" s="29"/>
      <c r="CV419" s="29"/>
      <c r="CW419" s="29"/>
      <c r="CX419" s="29"/>
      <c r="CY419" s="29"/>
      <c r="CZ419" s="29"/>
      <c r="DA419" s="29"/>
      <c r="DB419" s="29"/>
      <c r="DC419" s="29"/>
      <c r="DD419" s="29"/>
      <c r="DE419" s="29"/>
      <c r="DF419" s="29"/>
      <c r="DG419" s="29"/>
      <c r="DH419" s="29"/>
      <c r="DI419" s="29"/>
      <c r="DJ419" s="29"/>
      <c r="DK419" s="29"/>
      <c r="DL419" s="29"/>
      <c r="DM419" s="29"/>
      <c r="DN419" s="29"/>
      <c r="DO419" s="29"/>
      <c r="DP419" s="29"/>
      <c r="DQ419" s="29"/>
      <c r="DR419" s="29"/>
      <c r="DS419" s="29"/>
      <c r="DT419" s="29"/>
      <c r="DU419" s="29"/>
      <c r="DV419" s="29"/>
      <c r="DW419" s="29"/>
      <c r="DX419" s="29"/>
      <c r="DY419" s="29"/>
      <c r="DZ419" s="29"/>
      <c r="EA419" s="29"/>
      <c r="EB419" s="29"/>
      <c r="EC419" s="29"/>
      <c r="ED419" s="29"/>
      <c r="EE419" s="29"/>
      <c r="EF419" s="29"/>
      <c r="EG419" s="29"/>
      <c r="EH419" s="29"/>
      <c r="EI419" s="29"/>
      <c r="EJ419" s="29"/>
      <c r="EK419" s="29"/>
      <c r="EL419" s="29"/>
      <c r="EM419" s="29"/>
      <c r="EN419" s="29"/>
      <c r="EO419" s="29"/>
      <c r="EP419" s="29"/>
      <c r="EQ419" s="29"/>
      <c r="ER419" s="29"/>
      <c r="ES419" s="29"/>
      <c r="ET419" s="29"/>
      <c r="EU419" s="29"/>
      <c r="EV419" s="29"/>
      <c r="EW419" s="29"/>
      <c r="EX419" s="29"/>
      <c r="EY419" s="29"/>
      <c r="EZ419" s="29"/>
      <c r="FA419" s="29"/>
      <c r="FB419" s="29"/>
      <c r="FC419" s="29"/>
      <c r="FD419" s="29"/>
      <c r="FE419" s="29"/>
      <c r="FF419" s="29"/>
      <c r="FG419" s="29"/>
      <c r="FH419" s="29"/>
      <c r="FI419" s="29"/>
      <c r="FJ419" s="29"/>
      <c r="FK419" s="29"/>
      <c r="FL419" s="29"/>
      <c r="FM419" s="29"/>
      <c r="FN419" s="29"/>
      <c r="FO419" s="29"/>
      <c r="FP419" s="29"/>
      <c r="FQ419" s="29"/>
      <c r="FR419" s="14"/>
    </row>
    <row r="420" spans="3:174" s="28" customFormat="1" ht="12" customHeight="1">
      <c r="C420" s="43"/>
      <c r="E420" s="29"/>
      <c r="F420" s="29"/>
      <c r="G420" s="29"/>
      <c r="H420" s="29"/>
      <c r="I420" s="29"/>
      <c r="J420" s="29"/>
      <c r="K420" s="29"/>
      <c r="L420" s="29"/>
      <c r="M420" s="29"/>
      <c r="N420" s="29"/>
      <c r="O420" s="29"/>
      <c r="P420" s="29"/>
      <c r="Q420" s="29"/>
      <c r="R420" s="29"/>
      <c r="S420" s="29"/>
      <c r="T420" s="29"/>
      <c r="U420" s="29"/>
      <c r="V420" s="29"/>
      <c r="W420" s="29"/>
      <c r="X420" s="29"/>
      <c r="Y420" s="29"/>
      <c r="Z420" s="29"/>
      <c r="AA420" s="29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  <c r="AX420" s="29"/>
      <c r="AY420" s="29"/>
      <c r="AZ420" s="29"/>
      <c r="BA420" s="29"/>
      <c r="BB420" s="29"/>
      <c r="BC420" s="29"/>
      <c r="BD420" s="29"/>
      <c r="BE420" s="29"/>
      <c r="BF420" s="29"/>
      <c r="BG420" s="29"/>
      <c r="BH420" s="29"/>
      <c r="BI420" s="29"/>
      <c r="BJ420" s="29"/>
      <c r="BK420" s="29"/>
      <c r="BL420" s="29"/>
      <c r="BM420" s="29"/>
      <c r="BN420" s="29"/>
      <c r="BO420" s="29"/>
      <c r="BP420" s="29"/>
      <c r="BQ420" s="29"/>
      <c r="BR420" s="29"/>
      <c r="BS420" s="29"/>
      <c r="BT420" s="29"/>
      <c r="BU420" s="29"/>
      <c r="BV420" s="29"/>
      <c r="BW420" s="29"/>
      <c r="BX420" s="29"/>
      <c r="BY420" s="29"/>
      <c r="BZ420" s="29"/>
      <c r="CA420" s="29"/>
      <c r="CB420" s="29"/>
      <c r="CC420" s="29"/>
      <c r="CD420" s="29"/>
      <c r="CE420" s="29"/>
      <c r="CF420" s="29"/>
      <c r="CG420" s="29"/>
      <c r="CH420" s="29"/>
      <c r="CI420" s="29"/>
      <c r="CJ420" s="29"/>
      <c r="CK420" s="29"/>
      <c r="CL420" s="29"/>
      <c r="CM420" s="29"/>
      <c r="CN420" s="29"/>
      <c r="CO420" s="29"/>
      <c r="CP420" s="29"/>
      <c r="CQ420" s="29"/>
      <c r="CR420" s="29"/>
      <c r="CS420" s="29"/>
      <c r="CT420" s="29"/>
      <c r="CU420" s="29"/>
      <c r="CV420" s="29"/>
      <c r="CW420" s="29"/>
      <c r="CX420" s="29"/>
      <c r="CY420" s="29"/>
      <c r="CZ420" s="29"/>
      <c r="DA420" s="29"/>
      <c r="DB420" s="29"/>
      <c r="DC420" s="29"/>
      <c r="DD420" s="29"/>
      <c r="DE420" s="29"/>
      <c r="DF420" s="29"/>
      <c r="DG420" s="29"/>
      <c r="DH420" s="29"/>
      <c r="DI420" s="29"/>
      <c r="DJ420" s="29"/>
      <c r="DK420" s="29"/>
      <c r="DL420" s="29"/>
      <c r="DM420" s="29"/>
      <c r="DN420" s="29"/>
      <c r="DO420" s="29"/>
      <c r="DP420" s="29"/>
      <c r="DQ420" s="29"/>
      <c r="DR420" s="29"/>
      <c r="DS420" s="29"/>
      <c r="DT420" s="29"/>
      <c r="DU420" s="29"/>
      <c r="DV420" s="29"/>
      <c r="DW420" s="29"/>
      <c r="DX420" s="29"/>
      <c r="DY420" s="29"/>
      <c r="DZ420" s="29"/>
      <c r="EA420" s="29"/>
      <c r="EB420" s="29"/>
      <c r="EC420" s="29"/>
      <c r="ED420" s="29"/>
      <c r="EE420" s="29"/>
      <c r="EF420" s="29"/>
      <c r="EG420" s="29"/>
      <c r="EH420" s="29"/>
      <c r="EI420" s="29"/>
      <c r="EJ420" s="29"/>
      <c r="EK420" s="29"/>
      <c r="EL420" s="29"/>
      <c r="EM420" s="29"/>
      <c r="EN420" s="29"/>
      <c r="EO420" s="29"/>
      <c r="EP420" s="29"/>
      <c r="EQ420" s="29"/>
      <c r="ER420" s="29"/>
      <c r="ES420" s="29"/>
      <c r="ET420" s="29"/>
      <c r="EU420" s="29"/>
      <c r="EV420" s="29"/>
      <c r="EW420" s="29"/>
      <c r="EX420" s="29"/>
      <c r="EY420" s="29"/>
      <c r="EZ420" s="29"/>
      <c r="FA420" s="29"/>
      <c r="FB420" s="29"/>
      <c r="FC420" s="29"/>
      <c r="FD420" s="29"/>
      <c r="FE420" s="29"/>
      <c r="FF420" s="29"/>
      <c r="FG420" s="29"/>
      <c r="FH420" s="29"/>
      <c r="FI420" s="29"/>
      <c r="FJ420" s="29"/>
      <c r="FK420" s="29"/>
      <c r="FL420" s="29"/>
      <c r="FM420" s="29"/>
      <c r="FN420" s="29"/>
      <c r="FO420" s="29"/>
      <c r="FP420" s="29"/>
      <c r="FQ420" s="29"/>
      <c r="FR420" s="14"/>
    </row>
    <row r="421" spans="3:174" s="28" customFormat="1" ht="12" customHeight="1">
      <c r="C421" s="43"/>
      <c r="E421" s="29"/>
      <c r="F421" s="29"/>
      <c r="G421" s="29"/>
      <c r="H421" s="29"/>
      <c r="I421" s="29"/>
      <c r="J421" s="29"/>
      <c r="K421" s="29"/>
      <c r="L421" s="29"/>
      <c r="M421" s="29"/>
      <c r="N421" s="29"/>
      <c r="O421" s="29"/>
      <c r="P421" s="29"/>
      <c r="Q421" s="29"/>
      <c r="R421" s="29"/>
      <c r="S421" s="29"/>
      <c r="T421" s="29"/>
      <c r="U421" s="29"/>
      <c r="V421" s="29"/>
      <c r="W421" s="29"/>
      <c r="X421" s="29"/>
      <c r="Y421" s="29"/>
      <c r="Z421" s="29"/>
      <c r="AA421" s="29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  <c r="AX421" s="29"/>
      <c r="AY421" s="29"/>
      <c r="AZ421" s="29"/>
      <c r="BA421" s="29"/>
      <c r="BB421" s="29"/>
      <c r="BC421" s="29"/>
      <c r="BD421" s="29"/>
      <c r="BE421" s="29"/>
      <c r="BF421" s="29"/>
      <c r="BG421" s="29"/>
      <c r="BH421" s="29"/>
      <c r="BI421" s="29"/>
      <c r="BJ421" s="29"/>
      <c r="BK421" s="29"/>
      <c r="BL421" s="29"/>
      <c r="BM421" s="29"/>
      <c r="BN421" s="29"/>
      <c r="BO421" s="29"/>
      <c r="BP421" s="29"/>
      <c r="BQ421" s="29"/>
      <c r="BR421" s="29"/>
      <c r="BS421" s="29"/>
      <c r="BT421" s="29"/>
      <c r="BU421" s="29"/>
      <c r="BV421" s="29"/>
      <c r="BW421" s="29"/>
      <c r="BX421" s="29"/>
      <c r="BY421" s="29"/>
      <c r="BZ421" s="29"/>
      <c r="CA421" s="29"/>
      <c r="CB421" s="29"/>
      <c r="CC421" s="29"/>
      <c r="CD421" s="29"/>
      <c r="CE421" s="29"/>
      <c r="CF421" s="29"/>
      <c r="CG421" s="29"/>
      <c r="CH421" s="29"/>
      <c r="CI421" s="29"/>
      <c r="CJ421" s="29"/>
      <c r="CK421" s="29"/>
      <c r="CL421" s="29"/>
      <c r="CM421" s="29"/>
      <c r="CN421" s="29"/>
      <c r="CO421" s="29"/>
      <c r="CP421" s="29"/>
      <c r="CQ421" s="29"/>
      <c r="CR421" s="29"/>
      <c r="CS421" s="29"/>
      <c r="CT421" s="29"/>
      <c r="CU421" s="29"/>
      <c r="CV421" s="29"/>
      <c r="CW421" s="29"/>
      <c r="CX421" s="29"/>
      <c r="CY421" s="29"/>
      <c r="CZ421" s="29"/>
      <c r="DA421" s="29"/>
      <c r="DB421" s="29"/>
      <c r="DC421" s="29"/>
      <c r="DD421" s="29"/>
      <c r="DE421" s="29"/>
      <c r="DF421" s="29"/>
      <c r="DG421" s="29"/>
      <c r="DH421" s="29"/>
      <c r="DI421" s="29"/>
      <c r="DJ421" s="29"/>
      <c r="DK421" s="29"/>
      <c r="DL421" s="29"/>
      <c r="DM421" s="29"/>
      <c r="DN421" s="29"/>
      <c r="DO421" s="29"/>
      <c r="DP421" s="29"/>
      <c r="DQ421" s="29"/>
      <c r="DR421" s="29"/>
      <c r="DS421" s="29"/>
      <c r="DT421" s="29"/>
      <c r="DU421" s="29"/>
      <c r="DV421" s="29"/>
      <c r="DW421" s="29"/>
      <c r="DX421" s="29"/>
      <c r="DY421" s="29"/>
      <c r="DZ421" s="29"/>
      <c r="EA421" s="29"/>
      <c r="EB421" s="29"/>
      <c r="EC421" s="29"/>
      <c r="ED421" s="29"/>
      <c r="EE421" s="29"/>
      <c r="EF421" s="29"/>
      <c r="EG421" s="29"/>
      <c r="EH421" s="29"/>
      <c r="EI421" s="29"/>
      <c r="EJ421" s="29"/>
      <c r="EK421" s="29"/>
      <c r="EL421" s="29"/>
      <c r="EM421" s="29"/>
      <c r="EN421" s="29"/>
      <c r="EO421" s="29"/>
      <c r="EP421" s="29"/>
      <c r="EQ421" s="29"/>
      <c r="ER421" s="29"/>
      <c r="ES421" s="29"/>
      <c r="ET421" s="29"/>
      <c r="EU421" s="29"/>
      <c r="EV421" s="29"/>
      <c r="EW421" s="29"/>
      <c r="EX421" s="29"/>
      <c r="EY421" s="29"/>
      <c r="EZ421" s="29"/>
      <c r="FA421" s="29"/>
      <c r="FB421" s="29"/>
      <c r="FC421" s="29"/>
      <c r="FD421" s="29"/>
      <c r="FE421" s="29"/>
      <c r="FF421" s="29"/>
      <c r="FG421" s="29"/>
      <c r="FH421" s="29"/>
      <c r="FI421" s="29"/>
      <c r="FJ421" s="29"/>
      <c r="FK421" s="29"/>
      <c r="FL421" s="29"/>
      <c r="FM421" s="29"/>
      <c r="FN421" s="29"/>
      <c r="FO421" s="29"/>
      <c r="FP421" s="29"/>
      <c r="FQ421" s="29"/>
      <c r="FR421" s="14"/>
    </row>
    <row r="422" spans="3:174" s="28" customFormat="1" ht="12" customHeight="1">
      <c r="C422" s="43"/>
      <c r="E422" s="29"/>
      <c r="F422" s="29"/>
      <c r="G422" s="29"/>
      <c r="H422" s="29"/>
      <c r="I422" s="29"/>
      <c r="J422" s="29"/>
      <c r="K422" s="29"/>
      <c r="L422" s="29"/>
      <c r="M422" s="29"/>
      <c r="N422" s="29"/>
      <c r="O422" s="29"/>
      <c r="P422" s="29"/>
      <c r="Q422" s="29"/>
      <c r="R422" s="29"/>
      <c r="S422" s="29"/>
      <c r="T422" s="29"/>
      <c r="U422" s="29"/>
      <c r="V422" s="29"/>
      <c r="W422" s="29"/>
      <c r="X422" s="29"/>
      <c r="Y422" s="29"/>
      <c r="Z422" s="29"/>
      <c r="AA422" s="29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  <c r="AX422" s="29"/>
      <c r="AY422" s="29"/>
      <c r="AZ422" s="29"/>
      <c r="BA422" s="29"/>
      <c r="BB422" s="29"/>
      <c r="BC422" s="29"/>
      <c r="BD422" s="29"/>
      <c r="BE422" s="29"/>
      <c r="BF422" s="29"/>
      <c r="BG422" s="29"/>
      <c r="BH422" s="29"/>
      <c r="BI422" s="29"/>
      <c r="BJ422" s="29"/>
      <c r="BK422" s="29"/>
      <c r="BL422" s="29"/>
      <c r="BM422" s="29"/>
      <c r="BN422" s="29"/>
      <c r="BO422" s="29"/>
      <c r="BP422" s="29"/>
      <c r="BQ422" s="29"/>
      <c r="BR422" s="29"/>
      <c r="BS422" s="29"/>
      <c r="BT422" s="29"/>
      <c r="BU422" s="29"/>
      <c r="BV422" s="29"/>
      <c r="BW422" s="29"/>
      <c r="BX422" s="29"/>
      <c r="BY422" s="29"/>
      <c r="BZ422" s="29"/>
      <c r="CA422" s="29"/>
      <c r="CB422" s="29"/>
      <c r="CC422" s="29"/>
      <c r="CD422" s="29"/>
      <c r="CE422" s="29"/>
      <c r="CF422" s="29"/>
      <c r="CG422" s="29"/>
      <c r="CH422" s="29"/>
      <c r="CI422" s="29"/>
      <c r="CJ422" s="29"/>
      <c r="CK422" s="29"/>
      <c r="CL422" s="29"/>
      <c r="CM422" s="29"/>
      <c r="CN422" s="29"/>
      <c r="CO422" s="29"/>
      <c r="CP422" s="29"/>
      <c r="CQ422" s="29"/>
      <c r="CR422" s="29"/>
      <c r="CS422" s="29"/>
      <c r="CT422" s="29"/>
      <c r="CU422" s="29"/>
      <c r="CV422" s="29"/>
      <c r="CW422" s="29"/>
      <c r="CX422" s="29"/>
      <c r="CY422" s="29"/>
      <c r="CZ422" s="29"/>
      <c r="DA422" s="29"/>
      <c r="DB422" s="29"/>
      <c r="DC422" s="29"/>
      <c r="DD422" s="29"/>
      <c r="DE422" s="29"/>
      <c r="DF422" s="29"/>
      <c r="DG422" s="29"/>
      <c r="DH422" s="29"/>
      <c r="DI422" s="29"/>
      <c r="DJ422" s="29"/>
      <c r="DK422" s="29"/>
      <c r="DL422" s="29"/>
      <c r="DM422" s="29"/>
      <c r="DN422" s="29"/>
      <c r="DO422" s="29"/>
      <c r="DP422" s="29"/>
      <c r="DQ422" s="29"/>
      <c r="DR422" s="29"/>
      <c r="DS422" s="29"/>
      <c r="DT422" s="29"/>
      <c r="DU422" s="29"/>
      <c r="DV422" s="29"/>
      <c r="DW422" s="29"/>
      <c r="DX422" s="29"/>
      <c r="DY422" s="29"/>
      <c r="DZ422" s="29"/>
      <c r="EA422" s="29"/>
      <c r="EB422" s="29"/>
      <c r="EC422" s="29"/>
      <c r="ED422" s="29"/>
      <c r="EE422" s="29"/>
      <c r="EF422" s="29"/>
      <c r="EG422" s="29"/>
      <c r="EH422" s="29"/>
      <c r="EI422" s="29"/>
      <c r="EJ422" s="29"/>
      <c r="EK422" s="29"/>
      <c r="EL422" s="29"/>
      <c r="EM422" s="29"/>
      <c r="EN422" s="29"/>
      <c r="EO422" s="29"/>
      <c r="EP422" s="29"/>
      <c r="EQ422" s="29"/>
      <c r="ER422" s="29"/>
      <c r="ES422" s="29"/>
      <c r="ET422" s="29"/>
      <c r="EU422" s="29"/>
      <c r="EV422" s="29"/>
      <c r="EW422" s="29"/>
      <c r="EX422" s="29"/>
      <c r="EY422" s="29"/>
      <c r="EZ422" s="29"/>
      <c r="FA422" s="29"/>
      <c r="FB422" s="29"/>
      <c r="FC422" s="29"/>
      <c r="FD422" s="29"/>
      <c r="FE422" s="29"/>
      <c r="FF422" s="29"/>
      <c r="FG422" s="29"/>
      <c r="FH422" s="29"/>
      <c r="FI422" s="29"/>
      <c r="FJ422" s="29"/>
      <c r="FK422" s="29"/>
      <c r="FL422" s="29"/>
      <c r="FM422" s="29"/>
      <c r="FN422" s="29"/>
      <c r="FO422" s="29"/>
      <c r="FP422" s="29"/>
      <c r="FQ422" s="29"/>
      <c r="FR422" s="14"/>
    </row>
    <row r="423" spans="3:174" s="28" customFormat="1" ht="12" customHeight="1">
      <c r="C423" s="43"/>
      <c r="E423" s="29"/>
      <c r="F423" s="29"/>
      <c r="G423" s="29"/>
      <c r="H423" s="29"/>
      <c r="I423" s="29"/>
      <c r="J423" s="29"/>
      <c r="K423" s="29"/>
      <c r="L423" s="29"/>
      <c r="M423" s="29"/>
      <c r="N423" s="29"/>
      <c r="O423" s="29"/>
      <c r="P423" s="29"/>
      <c r="Q423" s="29"/>
      <c r="R423" s="29"/>
      <c r="S423" s="29"/>
      <c r="T423" s="29"/>
      <c r="U423" s="29"/>
      <c r="V423" s="29"/>
      <c r="W423" s="29"/>
      <c r="X423" s="29"/>
      <c r="Y423" s="29"/>
      <c r="Z423" s="29"/>
      <c r="AA423" s="29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  <c r="AX423" s="29"/>
      <c r="AY423" s="29"/>
      <c r="AZ423" s="29"/>
      <c r="BA423" s="29"/>
      <c r="BB423" s="29"/>
      <c r="BC423" s="29"/>
      <c r="BD423" s="29"/>
      <c r="BE423" s="29"/>
      <c r="BF423" s="29"/>
      <c r="BG423" s="29"/>
      <c r="BH423" s="29"/>
      <c r="BI423" s="29"/>
      <c r="BJ423" s="29"/>
      <c r="BK423" s="29"/>
      <c r="BL423" s="29"/>
      <c r="BM423" s="29"/>
      <c r="BN423" s="29"/>
      <c r="BO423" s="29"/>
      <c r="BP423" s="29"/>
      <c r="BQ423" s="29"/>
      <c r="BR423" s="29"/>
      <c r="BS423" s="29"/>
      <c r="BT423" s="29"/>
      <c r="BU423" s="29"/>
      <c r="BV423" s="29"/>
      <c r="BW423" s="29"/>
      <c r="BX423" s="29"/>
      <c r="BY423" s="29"/>
      <c r="BZ423" s="29"/>
      <c r="CA423" s="29"/>
      <c r="CB423" s="29"/>
      <c r="CC423" s="29"/>
      <c r="CD423" s="29"/>
      <c r="CE423" s="29"/>
      <c r="CF423" s="29"/>
      <c r="CG423" s="29"/>
      <c r="CH423" s="29"/>
      <c r="CI423" s="29"/>
      <c r="CJ423" s="29"/>
      <c r="CK423" s="29"/>
      <c r="CL423" s="29"/>
      <c r="CM423" s="29"/>
      <c r="CN423" s="29"/>
      <c r="CO423" s="29"/>
      <c r="CP423" s="29"/>
      <c r="CQ423" s="29"/>
      <c r="CR423" s="29"/>
      <c r="CS423" s="29"/>
      <c r="CT423" s="29"/>
      <c r="CU423" s="29"/>
      <c r="CV423" s="29"/>
      <c r="CW423" s="29"/>
      <c r="CX423" s="29"/>
      <c r="CY423" s="29"/>
      <c r="CZ423" s="29"/>
      <c r="DA423" s="29"/>
      <c r="DB423" s="29"/>
      <c r="DC423" s="29"/>
      <c r="DD423" s="29"/>
      <c r="DE423" s="29"/>
      <c r="DF423" s="29"/>
      <c r="DG423" s="29"/>
      <c r="DH423" s="29"/>
      <c r="DI423" s="29"/>
      <c r="DJ423" s="29"/>
      <c r="DK423" s="29"/>
      <c r="DL423" s="29"/>
      <c r="DM423" s="29"/>
      <c r="DN423" s="29"/>
      <c r="DO423" s="29"/>
      <c r="DP423" s="29"/>
      <c r="DQ423" s="29"/>
      <c r="DR423" s="29"/>
      <c r="DS423" s="29"/>
      <c r="DT423" s="29"/>
      <c r="DU423" s="29"/>
      <c r="DV423" s="29"/>
      <c r="DW423" s="29"/>
      <c r="DX423" s="29"/>
      <c r="DY423" s="29"/>
      <c r="DZ423" s="29"/>
      <c r="EA423" s="29"/>
      <c r="EB423" s="29"/>
      <c r="EC423" s="29"/>
      <c r="ED423" s="29"/>
      <c r="EE423" s="29"/>
      <c r="EF423" s="29"/>
      <c r="EG423" s="29"/>
      <c r="EH423" s="29"/>
      <c r="EI423" s="29"/>
      <c r="EJ423" s="29"/>
      <c r="EK423" s="29"/>
      <c r="EL423" s="29"/>
      <c r="EM423" s="29"/>
      <c r="EN423" s="29"/>
      <c r="EO423" s="29"/>
      <c r="EP423" s="29"/>
      <c r="EQ423" s="29"/>
      <c r="ER423" s="29"/>
      <c r="ES423" s="29"/>
      <c r="ET423" s="29"/>
      <c r="EU423" s="29"/>
      <c r="EV423" s="29"/>
      <c r="EW423" s="29"/>
      <c r="EX423" s="29"/>
      <c r="EY423" s="29"/>
      <c r="EZ423" s="29"/>
      <c r="FA423" s="29"/>
      <c r="FB423" s="29"/>
      <c r="FC423" s="29"/>
      <c r="FD423" s="29"/>
      <c r="FE423" s="29"/>
      <c r="FF423" s="29"/>
      <c r="FG423" s="29"/>
      <c r="FH423" s="29"/>
      <c r="FI423" s="29"/>
      <c r="FJ423" s="29"/>
      <c r="FK423" s="29"/>
      <c r="FL423" s="29"/>
      <c r="FM423" s="29"/>
      <c r="FN423" s="29"/>
      <c r="FO423" s="29"/>
      <c r="FP423" s="29"/>
      <c r="FQ423" s="29"/>
      <c r="FR423" s="14"/>
    </row>
    <row r="424" spans="3:174" s="28" customFormat="1" ht="12" customHeight="1">
      <c r="C424" s="43"/>
      <c r="E424" s="29"/>
      <c r="F424" s="29"/>
      <c r="G424" s="29"/>
      <c r="H424" s="29"/>
      <c r="I424" s="29"/>
      <c r="J424" s="29"/>
      <c r="K424" s="29"/>
      <c r="L424" s="29"/>
      <c r="M424" s="29"/>
      <c r="N424" s="29"/>
      <c r="O424" s="29"/>
      <c r="P424" s="29"/>
      <c r="Q424" s="29"/>
      <c r="R424" s="29"/>
      <c r="S424" s="29"/>
      <c r="T424" s="29"/>
      <c r="U424" s="29"/>
      <c r="V424" s="29"/>
      <c r="W424" s="29"/>
      <c r="X424" s="29"/>
      <c r="Y424" s="29"/>
      <c r="Z424" s="29"/>
      <c r="AA424" s="29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  <c r="AX424" s="29"/>
      <c r="AY424" s="29"/>
      <c r="AZ424" s="29"/>
      <c r="BA424" s="29"/>
      <c r="BB424" s="29"/>
      <c r="BC424" s="29"/>
      <c r="BD424" s="29"/>
      <c r="BE424" s="29"/>
      <c r="BF424" s="29"/>
      <c r="BG424" s="29"/>
      <c r="BH424" s="29"/>
      <c r="BI424" s="29"/>
      <c r="BJ424" s="29"/>
      <c r="BK424" s="29"/>
      <c r="BL424" s="29"/>
      <c r="BM424" s="29"/>
      <c r="BN424" s="29"/>
      <c r="BO424" s="29"/>
      <c r="BP424" s="29"/>
      <c r="BQ424" s="29"/>
      <c r="BR424" s="29"/>
      <c r="BS424" s="29"/>
      <c r="BT424" s="29"/>
      <c r="BU424" s="29"/>
      <c r="BV424" s="29"/>
      <c r="BW424" s="29"/>
      <c r="BX424" s="29"/>
      <c r="BY424" s="29"/>
      <c r="BZ424" s="29"/>
      <c r="CA424" s="29"/>
      <c r="CB424" s="29"/>
      <c r="CC424" s="29"/>
      <c r="CD424" s="29"/>
      <c r="CE424" s="29"/>
      <c r="CF424" s="29"/>
      <c r="CG424" s="29"/>
      <c r="CH424" s="29"/>
      <c r="CI424" s="29"/>
      <c r="CJ424" s="29"/>
      <c r="CK424" s="29"/>
      <c r="CL424" s="29"/>
      <c r="CM424" s="29"/>
      <c r="CN424" s="29"/>
      <c r="CO424" s="29"/>
      <c r="CP424" s="29"/>
      <c r="CQ424" s="29"/>
      <c r="CR424" s="29"/>
      <c r="CS424" s="29"/>
      <c r="CT424" s="29"/>
      <c r="CU424" s="29"/>
      <c r="CV424" s="29"/>
      <c r="CW424" s="29"/>
      <c r="CX424" s="29"/>
      <c r="CY424" s="29"/>
      <c r="CZ424" s="29"/>
      <c r="DA424" s="29"/>
      <c r="DB424" s="29"/>
      <c r="DC424" s="29"/>
      <c r="DD424" s="29"/>
      <c r="DE424" s="29"/>
      <c r="DF424" s="29"/>
      <c r="DG424" s="29"/>
      <c r="DH424" s="29"/>
      <c r="DI424" s="29"/>
      <c r="DJ424" s="29"/>
      <c r="DK424" s="29"/>
      <c r="DL424" s="29"/>
      <c r="DM424" s="29"/>
      <c r="DN424" s="29"/>
      <c r="DO424" s="29"/>
      <c r="DP424" s="29"/>
      <c r="DQ424" s="29"/>
      <c r="DR424" s="29"/>
      <c r="DS424" s="29"/>
      <c r="DT424" s="29"/>
      <c r="DU424" s="29"/>
      <c r="DV424" s="29"/>
      <c r="DW424" s="29"/>
      <c r="DX424" s="29"/>
      <c r="DY424" s="29"/>
      <c r="DZ424" s="29"/>
      <c r="EA424" s="29"/>
      <c r="EB424" s="29"/>
      <c r="EC424" s="29"/>
      <c r="ED424" s="29"/>
      <c r="EE424" s="29"/>
      <c r="EF424" s="29"/>
      <c r="EG424" s="29"/>
      <c r="EH424" s="29"/>
      <c r="EI424" s="29"/>
      <c r="EJ424" s="29"/>
      <c r="EK424" s="29"/>
      <c r="EL424" s="29"/>
      <c r="EM424" s="29"/>
      <c r="EN424" s="29"/>
      <c r="EO424" s="29"/>
      <c r="EP424" s="29"/>
      <c r="EQ424" s="29"/>
      <c r="ER424" s="29"/>
      <c r="ES424" s="29"/>
      <c r="ET424" s="29"/>
      <c r="EU424" s="29"/>
      <c r="EV424" s="29"/>
      <c r="EW424" s="29"/>
      <c r="EX424" s="29"/>
      <c r="EY424" s="29"/>
      <c r="EZ424" s="29"/>
      <c r="FA424" s="29"/>
      <c r="FB424" s="29"/>
      <c r="FC424" s="29"/>
      <c r="FD424" s="29"/>
      <c r="FE424" s="29"/>
      <c r="FF424" s="29"/>
      <c r="FG424" s="29"/>
      <c r="FH424" s="29"/>
      <c r="FI424" s="29"/>
      <c r="FJ424" s="29"/>
      <c r="FK424" s="29"/>
      <c r="FL424" s="29"/>
      <c r="FM424" s="29"/>
      <c r="FN424" s="29"/>
      <c r="FO424" s="29"/>
      <c r="FP424" s="29"/>
      <c r="FQ424" s="29"/>
      <c r="FR424" s="14"/>
    </row>
    <row r="425" spans="3:174" s="28" customFormat="1" ht="12" customHeight="1">
      <c r="C425" s="43"/>
      <c r="E425" s="29"/>
      <c r="F425" s="29"/>
      <c r="G425" s="29"/>
      <c r="H425" s="29"/>
      <c r="I425" s="29"/>
      <c r="J425" s="29"/>
      <c r="K425" s="29"/>
      <c r="L425" s="29"/>
      <c r="M425" s="29"/>
      <c r="N425" s="29"/>
      <c r="O425" s="29"/>
      <c r="P425" s="29"/>
      <c r="Q425" s="29"/>
      <c r="R425" s="29"/>
      <c r="S425" s="29"/>
      <c r="T425" s="29"/>
      <c r="U425" s="29"/>
      <c r="V425" s="29"/>
      <c r="W425" s="29"/>
      <c r="X425" s="29"/>
      <c r="Y425" s="29"/>
      <c r="Z425" s="29"/>
      <c r="AA425" s="29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  <c r="AX425" s="29"/>
      <c r="AY425" s="29"/>
      <c r="AZ425" s="29"/>
      <c r="BA425" s="29"/>
      <c r="BB425" s="29"/>
      <c r="BC425" s="29"/>
      <c r="BD425" s="29"/>
      <c r="BE425" s="29"/>
      <c r="BF425" s="29"/>
      <c r="BG425" s="29"/>
      <c r="BH425" s="29"/>
      <c r="BI425" s="29"/>
      <c r="BJ425" s="29"/>
      <c r="BK425" s="29"/>
      <c r="BL425" s="29"/>
      <c r="BM425" s="29"/>
      <c r="BN425" s="29"/>
      <c r="BO425" s="29"/>
      <c r="BP425" s="29"/>
      <c r="BQ425" s="29"/>
      <c r="BR425" s="29"/>
      <c r="BS425" s="29"/>
      <c r="BT425" s="29"/>
      <c r="BU425" s="29"/>
      <c r="BV425" s="29"/>
      <c r="BW425" s="29"/>
      <c r="BX425" s="29"/>
      <c r="BY425" s="29"/>
      <c r="BZ425" s="29"/>
      <c r="CA425" s="29"/>
      <c r="CB425" s="29"/>
      <c r="CC425" s="29"/>
      <c r="CD425" s="29"/>
      <c r="CE425" s="29"/>
      <c r="CF425" s="29"/>
      <c r="CG425" s="29"/>
      <c r="CH425" s="29"/>
      <c r="CI425" s="29"/>
      <c r="CJ425" s="29"/>
      <c r="CK425" s="29"/>
      <c r="CL425" s="29"/>
      <c r="CM425" s="29"/>
      <c r="CN425" s="29"/>
      <c r="CO425" s="29"/>
      <c r="CP425" s="29"/>
      <c r="CQ425" s="29"/>
      <c r="CR425" s="29"/>
      <c r="CS425" s="29"/>
      <c r="CT425" s="29"/>
      <c r="CU425" s="29"/>
      <c r="CV425" s="29"/>
      <c r="CW425" s="29"/>
      <c r="CX425" s="29"/>
      <c r="CY425" s="29"/>
      <c r="CZ425" s="29"/>
      <c r="DA425" s="29"/>
      <c r="DB425" s="29"/>
      <c r="DC425" s="29"/>
      <c r="DD425" s="29"/>
      <c r="DE425" s="29"/>
      <c r="DF425" s="29"/>
      <c r="DG425" s="29"/>
      <c r="DH425" s="29"/>
      <c r="DI425" s="29"/>
      <c r="DJ425" s="29"/>
      <c r="DK425" s="29"/>
      <c r="DL425" s="29"/>
      <c r="DM425" s="29"/>
      <c r="DN425" s="29"/>
      <c r="DO425" s="29"/>
      <c r="DP425" s="29"/>
      <c r="DQ425" s="29"/>
      <c r="DR425" s="29"/>
      <c r="DS425" s="29"/>
      <c r="DT425" s="29"/>
      <c r="DU425" s="29"/>
      <c r="DV425" s="29"/>
      <c r="DW425" s="29"/>
      <c r="DX425" s="29"/>
      <c r="DY425" s="29"/>
      <c r="DZ425" s="29"/>
      <c r="EA425" s="29"/>
      <c r="EB425" s="29"/>
      <c r="EC425" s="29"/>
      <c r="ED425" s="29"/>
      <c r="EE425" s="29"/>
      <c r="EF425" s="29"/>
      <c r="EG425" s="29"/>
      <c r="EH425" s="29"/>
      <c r="EI425" s="29"/>
      <c r="EJ425" s="29"/>
      <c r="EK425" s="29"/>
      <c r="EL425" s="29"/>
      <c r="EM425" s="29"/>
      <c r="EN425" s="29"/>
      <c r="EO425" s="29"/>
      <c r="EP425" s="29"/>
      <c r="EQ425" s="29"/>
      <c r="ER425" s="29"/>
      <c r="ES425" s="29"/>
      <c r="ET425" s="29"/>
      <c r="EU425" s="29"/>
      <c r="EV425" s="29"/>
      <c r="EW425" s="29"/>
      <c r="EX425" s="29"/>
      <c r="EY425" s="29"/>
      <c r="EZ425" s="29"/>
      <c r="FA425" s="29"/>
      <c r="FB425" s="29"/>
      <c r="FC425" s="29"/>
      <c r="FD425" s="29"/>
      <c r="FE425" s="29"/>
      <c r="FF425" s="29"/>
      <c r="FG425" s="29"/>
      <c r="FH425" s="29"/>
      <c r="FI425" s="29"/>
      <c r="FJ425" s="29"/>
      <c r="FK425" s="29"/>
      <c r="FL425" s="29"/>
      <c r="FM425" s="29"/>
      <c r="FN425" s="29"/>
      <c r="FO425" s="29"/>
      <c r="FP425" s="29"/>
      <c r="FQ425" s="29"/>
      <c r="FR425" s="14"/>
    </row>
    <row r="426" spans="3:174" s="28" customFormat="1" ht="12" customHeight="1">
      <c r="C426" s="43"/>
      <c r="E426" s="29"/>
      <c r="F426" s="29"/>
      <c r="G426" s="29"/>
      <c r="H426" s="29"/>
      <c r="I426" s="29"/>
      <c r="J426" s="29"/>
      <c r="K426" s="29"/>
      <c r="L426" s="29"/>
      <c r="M426" s="29"/>
      <c r="N426" s="29"/>
      <c r="O426" s="29"/>
      <c r="P426" s="29"/>
      <c r="Q426" s="29"/>
      <c r="R426" s="29"/>
      <c r="S426" s="29"/>
      <c r="T426" s="29"/>
      <c r="U426" s="29"/>
      <c r="V426" s="29"/>
      <c r="W426" s="29"/>
      <c r="X426" s="29"/>
      <c r="Y426" s="29"/>
      <c r="Z426" s="29"/>
      <c r="AA426" s="29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  <c r="AX426" s="29"/>
      <c r="AY426" s="29"/>
      <c r="AZ426" s="29"/>
      <c r="BA426" s="29"/>
      <c r="BB426" s="29"/>
      <c r="BC426" s="29"/>
      <c r="BD426" s="29"/>
      <c r="BE426" s="29"/>
      <c r="BF426" s="29"/>
      <c r="BG426" s="29"/>
      <c r="BH426" s="29"/>
      <c r="BI426" s="29"/>
      <c r="BJ426" s="29"/>
      <c r="BK426" s="29"/>
      <c r="BL426" s="29"/>
      <c r="BM426" s="29"/>
      <c r="BN426" s="29"/>
      <c r="BO426" s="29"/>
      <c r="BP426" s="29"/>
      <c r="BQ426" s="29"/>
      <c r="BR426" s="29"/>
      <c r="BS426" s="29"/>
      <c r="BT426" s="29"/>
      <c r="BU426" s="29"/>
      <c r="BV426" s="29"/>
      <c r="BW426" s="29"/>
      <c r="BX426" s="29"/>
      <c r="BY426" s="29"/>
      <c r="BZ426" s="29"/>
      <c r="CA426" s="29"/>
      <c r="CB426" s="29"/>
      <c r="CC426" s="29"/>
      <c r="CD426" s="29"/>
      <c r="CE426" s="29"/>
      <c r="CF426" s="29"/>
      <c r="CG426" s="29"/>
      <c r="CH426" s="29"/>
      <c r="CI426" s="29"/>
      <c r="CJ426" s="29"/>
      <c r="CK426" s="29"/>
      <c r="CL426" s="29"/>
      <c r="CM426" s="29"/>
      <c r="CN426" s="29"/>
      <c r="CO426" s="29"/>
      <c r="CP426" s="29"/>
      <c r="CQ426" s="29"/>
      <c r="CR426" s="29"/>
      <c r="CS426" s="29"/>
      <c r="CT426" s="29"/>
      <c r="CU426" s="29"/>
      <c r="CV426" s="29"/>
      <c r="CW426" s="29"/>
      <c r="CX426" s="29"/>
      <c r="CY426" s="29"/>
      <c r="CZ426" s="29"/>
      <c r="DA426" s="29"/>
      <c r="DB426" s="29"/>
      <c r="DC426" s="29"/>
      <c r="DD426" s="29"/>
      <c r="DE426" s="29"/>
      <c r="DF426" s="29"/>
      <c r="DG426" s="29"/>
      <c r="DH426" s="29"/>
      <c r="DI426" s="29"/>
      <c r="DJ426" s="29"/>
      <c r="DK426" s="29"/>
      <c r="DL426" s="29"/>
      <c r="DM426" s="29"/>
      <c r="DN426" s="29"/>
      <c r="DO426" s="29"/>
      <c r="DP426" s="29"/>
      <c r="DQ426" s="29"/>
      <c r="DR426" s="29"/>
      <c r="DS426" s="29"/>
      <c r="DT426" s="29"/>
      <c r="DU426" s="29"/>
      <c r="DV426" s="29"/>
      <c r="DW426" s="29"/>
      <c r="DX426" s="29"/>
      <c r="DY426" s="29"/>
      <c r="DZ426" s="29"/>
      <c r="EA426" s="29"/>
      <c r="EB426" s="29"/>
      <c r="EC426" s="29"/>
      <c r="ED426" s="29"/>
      <c r="EE426" s="29"/>
      <c r="EF426" s="29"/>
      <c r="EG426" s="29"/>
      <c r="EH426" s="29"/>
      <c r="EI426" s="29"/>
      <c r="EJ426" s="29"/>
      <c r="EK426" s="29"/>
      <c r="EL426" s="29"/>
      <c r="EM426" s="29"/>
      <c r="EN426" s="29"/>
      <c r="EO426" s="29"/>
      <c r="EP426" s="29"/>
      <c r="EQ426" s="29"/>
      <c r="ER426" s="29"/>
      <c r="ES426" s="29"/>
      <c r="ET426" s="29"/>
      <c r="EU426" s="29"/>
      <c r="EV426" s="29"/>
      <c r="EW426" s="29"/>
      <c r="EX426" s="29"/>
      <c r="EY426" s="29"/>
      <c r="EZ426" s="29"/>
      <c r="FA426" s="29"/>
      <c r="FB426" s="29"/>
      <c r="FC426" s="29"/>
      <c r="FD426" s="29"/>
      <c r="FE426" s="29"/>
      <c r="FF426" s="29"/>
      <c r="FG426" s="29"/>
      <c r="FH426" s="29"/>
      <c r="FI426" s="29"/>
      <c r="FJ426" s="29"/>
      <c r="FK426" s="29"/>
      <c r="FL426" s="29"/>
      <c r="FM426" s="29"/>
      <c r="FN426" s="29"/>
      <c r="FO426" s="29"/>
      <c r="FP426" s="29"/>
      <c r="FQ426" s="29"/>
      <c r="FR426" s="14"/>
    </row>
    <row r="427" spans="3:174" s="28" customFormat="1" ht="12" customHeight="1">
      <c r="C427" s="43"/>
      <c r="E427" s="29"/>
      <c r="F427" s="29"/>
      <c r="G427" s="29"/>
      <c r="H427" s="29"/>
      <c r="I427" s="29"/>
      <c r="J427" s="29"/>
      <c r="K427" s="29"/>
      <c r="L427" s="29"/>
      <c r="M427" s="29"/>
      <c r="N427" s="29"/>
      <c r="O427" s="29"/>
      <c r="P427" s="29"/>
      <c r="Q427" s="29"/>
      <c r="R427" s="29"/>
      <c r="S427" s="29"/>
      <c r="T427" s="29"/>
      <c r="U427" s="29"/>
      <c r="V427" s="29"/>
      <c r="W427" s="29"/>
      <c r="X427" s="29"/>
      <c r="Y427" s="29"/>
      <c r="Z427" s="29"/>
      <c r="AA427" s="29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  <c r="AX427" s="29"/>
      <c r="AY427" s="29"/>
      <c r="AZ427" s="29"/>
      <c r="BA427" s="29"/>
      <c r="BB427" s="29"/>
      <c r="BC427" s="29"/>
      <c r="BD427" s="29"/>
      <c r="BE427" s="29"/>
      <c r="BF427" s="29"/>
      <c r="BG427" s="29"/>
      <c r="BH427" s="29"/>
      <c r="BI427" s="29"/>
      <c r="BJ427" s="29"/>
      <c r="BK427" s="29"/>
      <c r="BL427" s="29"/>
      <c r="BM427" s="29"/>
      <c r="BN427" s="29"/>
      <c r="BO427" s="29"/>
      <c r="BP427" s="29"/>
      <c r="BQ427" s="29"/>
      <c r="BR427" s="29"/>
      <c r="BS427" s="29"/>
      <c r="BT427" s="29"/>
      <c r="BU427" s="29"/>
      <c r="BV427" s="29"/>
      <c r="BW427" s="29"/>
      <c r="BX427" s="29"/>
      <c r="BY427" s="29"/>
      <c r="BZ427" s="29"/>
      <c r="CA427" s="29"/>
      <c r="CB427" s="29"/>
      <c r="CC427" s="29"/>
      <c r="CD427" s="29"/>
      <c r="CE427" s="29"/>
      <c r="CF427" s="29"/>
      <c r="CG427" s="29"/>
      <c r="CH427" s="29"/>
      <c r="CI427" s="29"/>
      <c r="CJ427" s="29"/>
      <c r="CK427" s="29"/>
      <c r="CL427" s="29"/>
      <c r="CM427" s="29"/>
      <c r="CN427" s="29"/>
      <c r="CO427" s="29"/>
      <c r="CP427" s="29"/>
      <c r="CQ427" s="29"/>
      <c r="CR427" s="29"/>
      <c r="CS427" s="29"/>
      <c r="CT427" s="29"/>
      <c r="CU427" s="29"/>
      <c r="CV427" s="29"/>
      <c r="CW427" s="29"/>
      <c r="CX427" s="29"/>
      <c r="CY427" s="29"/>
      <c r="CZ427" s="29"/>
      <c r="DA427" s="29"/>
      <c r="DB427" s="29"/>
      <c r="DC427" s="29"/>
      <c r="DD427" s="29"/>
      <c r="DE427" s="29"/>
      <c r="DF427" s="29"/>
      <c r="DG427" s="29"/>
      <c r="DH427" s="29"/>
      <c r="DI427" s="29"/>
      <c r="DJ427" s="29"/>
      <c r="DK427" s="29"/>
      <c r="DL427" s="29"/>
      <c r="DM427" s="29"/>
      <c r="DN427" s="29"/>
      <c r="DO427" s="29"/>
      <c r="DP427" s="29"/>
      <c r="DQ427" s="29"/>
      <c r="DR427" s="29"/>
      <c r="DS427" s="29"/>
      <c r="DT427" s="29"/>
      <c r="DU427" s="29"/>
      <c r="DV427" s="29"/>
      <c r="DW427" s="29"/>
      <c r="DX427" s="29"/>
      <c r="DY427" s="29"/>
      <c r="DZ427" s="29"/>
      <c r="EA427" s="29"/>
      <c r="EB427" s="29"/>
      <c r="EC427" s="29"/>
      <c r="ED427" s="29"/>
      <c r="EE427" s="29"/>
      <c r="EF427" s="29"/>
      <c r="EG427" s="29"/>
      <c r="EH427" s="29"/>
      <c r="EI427" s="29"/>
      <c r="EJ427" s="29"/>
      <c r="EK427" s="29"/>
      <c r="EL427" s="29"/>
      <c r="EM427" s="29"/>
      <c r="EN427" s="29"/>
      <c r="EO427" s="29"/>
      <c r="EP427" s="29"/>
      <c r="EQ427" s="29"/>
      <c r="ER427" s="29"/>
      <c r="ES427" s="29"/>
      <c r="ET427" s="29"/>
      <c r="EU427" s="29"/>
      <c r="EV427" s="29"/>
      <c r="EW427" s="29"/>
      <c r="EX427" s="29"/>
      <c r="EY427" s="29"/>
      <c r="EZ427" s="29"/>
      <c r="FA427" s="29"/>
      <c r="FB427" s="29"/>
      <c r="FC427" s="29"/>
      <c r="FD427" s="29"/>
      <c r="FE427" s="29"/>
      <c r="FF427" s="29"/>
      <c r="FG427" s="29"/>
      <c r="FH427" s="29"/>
      <c r="FI427" s="29"/>
      <c r="FJ427" s="29"/>
      <c r="FK427" s="29"/>
      <c r="FL427" s="29"/>
      <c r="FM427" s="29"/>
      <c r="FN427" s="29"/>
      <c r="FO427" s="29"/>
      <c r="FP427" s="29"/>
      <c r="FQ427" s="29"/>
      <c r="FR427" s="14"/>
    </row>
    <row r="428" spans="3:174" s="28" customFormat="1" ht="12" customHeight="1">
      <c r="C428" s="43"/>
      <c r="E428" s="29"/>
      <c r="F428" s="29"/>
      <c r="G428" s="29"/>
      <c r="H428" s="29"/>
      <c r="I428" s="29"/>
      <c r="J428" s="29"/>
      <c r="K428" s="29"/>
      <c r="L428" s="29"/>
      <c r="M428" s="29"/>
      <c r="N428" s="29"/>
      <c r="O428" s="29"/>
      <c r="P428" s="29"/>
      <c r="Q428" s="29"/>
      <c r="R428" s="29"/>
      <c r="S428" s="29"/>
      <c r="T428" s="29"/>
      <c r="U428" s="29"/>
      <c r="V428" s="29"/>
      <c r="W428" s="29"/>
      <c r="X428" s="29"/>
      <c r="Y428" s="29"/>
      <c r="Z428" s="29"/>
      <c r="AA428" s="29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  <c r="AX428" s="29"/>
      <c r="AY428" s="29"/>
      <c r="AZ428" s="29"/>
      <c r="BA428" s="29"/>
      <c r="BB428" s="29"/>
      <c r="BC428" s="29"/>
      <c r="BD428" s="29"/>
      <c r="BE428" s="29"/>
      <c r="BF428" s="29"/>
      <c r="BG428" s="29"/>
      <c r="BH428" s="29"/>
      <c r="BI428" s="29"/>
      <c r="BJ428" s="29"/>
      <c r="BK428" s="29"/>
      <c r="BL428" s="29"/>
      <c r="BM428" s="29"/>
      <c r="BN428" s="29"/>
      <c r="BO428" s="29"/>
      <c r="BP428" s="29"/>
      <c r="BQ428" s="29"/>
      <c r="BR428" s="29"/>
      <c r="BS428" s="29"/>
      <c r="BT428" s="29"/>
      <c r="BU428" s="29"/>
      <c r="BV428" s="29"/>
      <c r="BW428" s="29"/>
      <c r="BX428" s="29"/>
      <c r="BY428" s="29"/>
      <c r="BZ428" s="29"/>
      <c r="CA428" s="29"/>
      <c r="CB428" s="29"/>
      <c r="CC428" s="29"/>
      <c r="CD428" s="29"/>
      <c r="CE428" s="29"/>
      <c r="CF428" s="29"/>
      <c r="CG428" s="29"/>
      <c r="CH428" s="29"/>
      <c r="CI428" s="29"/>
      <c r="CJ428" s="29"/>
      <c r="CK428" s="29"/>
      <c r="CL428" s="29"/>
      <c r="CM428" s="29"/>
      <c r="CN428" s="29"/>
      <c r="CO428" s="29"/>
      <c r="CP428" s="29"/>
      <c r="CQ428" s="29"/>
      <c r="CR428" s="29"/>
      <c r="CS428" s="29"/>
      <c r="CT428" s="29"/>
      <c r="CU428" s="29"/>
      <c r="CV428" s="29"/>
      <c r="CW428" s="29"/>
      <c r="CX428" s="29"/>
      <c r="CY428" s="29"/>
      <c r="CZ428" s="29"/>
      <c r="DA428" s="29"/>
      <c r="DB428" s="29"/>
      <c r="DC428" s="29"/>
      <c r="DD428" s="29"/>
      <c r="DE428" s="29"/>
      <c r="DF428" s="29"/>
      <c r="DG428" s="29"/>
      <c r="DH428" s="29"/>
      <c r="DI428" s="29"/>
      <c r="DJ428" s="29"/>
      <c r="DK428" s="29"/>
      <c r="DL428" s="29"/>
      <c r="DM428" s="29"/>
      <c r="DN428" s="29"/>
      <c r="DO428" s="29"/>
      <c r="DP428" s="29"/>
      <c r="DQ428" s="29"/>
      <c r="DR428" s="29"/>
      <c r="DS428" s="29"/>
      <c r="DT428" s="29"/>
      <c r="DU428" s="29"/>
      <c r="DV428" s="29"/>
      <c r="DW428" s="29"/>
      <c r="DX428" s="29"/>
      <c r="DY428" s="29"/>
      <c r="DZ428" s="29"/>
      <c r="EA428" s="29"/>
      <c r="EB428" s="29"/>
      <c r="EC428" s="29"/>
      <c r="ED428" s="29"/>
      <c r="EE428" s="29"/>
      <c r="EF428" s="29"/>
      <c r="EG428" s="29"/>
      <c r="EH428" s="29"/>
      <c r="EI428" s="29"/>
      <c r="EJ428" s="29"/>
      <c r="EK428" s="29"/>
      <c r="EL428" s="29"/>
      <c r="EM428" s="29"/>
      <c r="EN428" s="29"/>
      <c r="EO428" s="29"/>
      <c r="EP428" s="29"/>
      <c r="EQ428" s="29"/>
      <c r="ER428" s="29"/>
      <c r="ES428" s="29"/>
      <c r="ET428" s="29"/>
      <c r="EU428" s="29"/>
      <c r="EV428" s="29"/>
      <c r="EW428" s="29"/>
      <c r="EX428" s="29"/>
      <c r="EY428" s="29"/>
      <c r="EZ428" s="29"/>
      <c r="FA428" s="29"/>
      <c r="FB428" s="29"/>
      <c r="FC428" s="29"/>
      <c r="FD428" s="29"/>
      <c r="FE428" s="29"/>
      <c r="FF428" s="29"/>
      <c r="FG428" s="29"/>
      <c r="FH428" s="29"/>
      <c r="FI428" s="29"/>
      <c r="FJ428" s="29"/>
      <c r="FK428" s="29"/>
      <c r="FL428" s="29"/>
      <c r="FM428" s="29"/>
      <c r="FN428" s="29"/>
      <c r="FO428" s="29"/>
      <c r="FP428" s="29"/>
      <c r="FQ428" s="29"/>
      <c r="FR428" s="14"/>
    </row>
    <row r="429" spans="3:174" s="28" customFormat="1" ht="12" customHeight="1">
      <c r="C429" s="43"/>
      <c r="E429" s="29"/>
      <c r="F429" s="29"/>
      <c r="G429" s="29"/>
      <c r="H429" s="29"/>
      <c r="I429" s="29"/>
      <c r="J429" s="29"/>
      <c r="K429" s="29"/>
      <c r="L429" s="29"/>
      <c r="M429" s="29"/>
      <c r="N429" s="29"/>
      <c r="O429" s="29"/>
      <c r="P429" s="29"/>
      <c r="Q429" s="29"/>
      <c r="R429" s="29"/>
      <c r="S429" s="29"/>
      <c r="T429" s="29"/>
      <c r="U429" s="29"/>
      <c r="V429" s="29"/>
      <c r="W429" s="29"/>
      <c r="X429" s="29"/>
      <c r="Y429" s="29"/>
      <c r="Z429" s="29"/>
      <c r="AA429" s="29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  <c r="AX429" s="29"/>
      <c r="AY429" s="29"/>
      <c r="AZ429" s="29"/>
      <c r="BA429" s="29"/>
      <c r="BB429" s="29"/>
      <c r="BC429" s="29"/>
      <c r="BD429" s="29"/>
      <c r="BE429" s="29"/>
      <c r="BF429" s="29"/>
      <c r="BG429" s="29"/>
      <c r="BH429" s="29"/>
      <c r="BI429" s="29"/>
      <c r="BJ429" s="29"/>
      <c r="BK429" s="29"/>
      <c r="BL429" s="29"/>
      <c r="BM429" s="29"/>
      <c r="BN429" s="29"/>
      <c r="BO429" s="29"/>
      <c r="BP429" s="29"/>
      <c r="BQ429" s="29"/>
      <c r="BR429" s="29"/>
      <c r="BS429" s="29"/>
      <c r="BT429" s="29"/>
      <c r="BU429" s="29"/>
      <c r="BV429" s="29"/>
      <c r="BW429" s="29"/>
      <c r="BX429" s="29"/>
      <c r="BY429" s="29"/>
      <c r="BZ429" s="29"/>
      <c r="CA429" s="29"/>
      <c r="CB429" s="29"/>
      <c r="CC429" s="29"/>
      <c r="CD429" s="29"/>
      <c r="CE429" s="29"/>
      <c r="CF429" s="29"/>
      <c r="CG429" s="29"/>
      <c r="CH429" s="29"/>
      <c r="CI429" s="29"/>
      <c r="CJ429" s="29"/>
      <c r="CK429" s="29"/>
      <c r="CL429" s="29"/>
      <c r="CM429" s="29"/>
      <c r="CN429" s="29"/>
      <c r="CO429" s="29"/>
      <c r="CP429" s="29"/>
      <c r="CQ429" s="29"/>
      <c r="CR429" s="29"/>
      <c r="CS429" s="29"/>
      <c r="CT429" s="29"/>
      <c r="CU429" s="29"/>
      <c r="CV429" s="29"/>
      <c r="CW429" s="29"/>
      <c r="CX429" s="29"/>
      <c r="CY429" s="29"/>
      <c r="CZ429" s="29"/>
      <c r="DA429" s="29"/>
      <c r="DB429" s="29"/>
      <c r="DC429" s="29"/>
      <c r="DD429" s="29"/>
      <c r="DE429" s="29"/>
      <c r="DF429" s="29"/>
      <c r="DG429" s="29"/>
      <c r="DH429" s="29"/>
      <c r="DI429" s="29"/>
      <c r="DJ429" s="29"/>
      <c r="DK429" s="29"/>
      <c r="DL429" s="29"/>
      <c r="DM429" s="29"/>
      <c r="DN429" s="29"/>
      <c r="DO429" s="29"/>
      <c r="DP429" s="29"/>
      <c r="DQ429" s="29"/>
      <c r="DR429" s="29"/>
      <c r="DS429" s="29"/>
      <c r="DT429" s="29"/>
      <c r="DU429" s="29"/>
      <c r="DV429" s="29"/>
      <c r="DW429" s="29"/>
      <c r="DX429" s="29"/>
      <c r="DY429" s="29"/>
      <c r="DZ429" s="29"/>
      <c r="EA429" s="29"/>
      <c r="EB429" s="29"/>
      <c r="EC429" s="29"/>
      <c r="ED429" s="29"/>
      <c r="EE429" s="29"/>
      <c r="EF429" s="29"/>
      <c r="EG429" s="29"/>
      <c r="EH429" s="29"/>
      <c r="EI429" s="29"/>
      <c r="EJ429" s="29"/>
      <c r="EK429" s="29"/>
      <c r="EL429" s="29"/>
      <c r="EM429" s="29"/>
      <c r="EN429" s="29"/>
      <c r="EO429" s="29"/>
      <c r="EP429" s="29"/>
      <c r="EQ429" s="29"/>
      <c r="ER429" s="29"/>
      <c r="ES429" s="29"/>
      <c r="ET429" s="29"/>
      <c r="EU429" s="29"/>
      <c r="EV429" s="29"/>
      <c r="EW429" s="29"/>
      <c r="EX429" s="29"/>
      <c r="EY429" s="29"/>
      <c r="EZ429" s="29"/>
      <c r="FA429" s="29"/>
      <c r="FB429" s="29"/>
      <c r="FC429" s="29"/>
      <c r="FD429" s="29"/>
      <c r="FE429" s="29"/>
      <c r="FF429" s="29"/>
      <c r="FG429" s="29"/>
      <c r="FH429" s="29"/>
      <c r="FI429" s="29"/>
      <c r="FJ429" s="29"/>
      <c r="FK429" s="29"/>
      <c r="FL429" s="29"/>
      <c r="FM429" s="29"/>
      <c r="FN429" s="29"/>
      <c r="FO429" s="29"/>
      <c r="FP429" s="29"/>
      <c r="FQ429" s="29"/>
      <c r="FR429" s="14"/>
    </row>
    <row r="430" spans="3:174" s="28" customFormat="1" ht="12" customHeight="1">
      <c r="C430" s="43"/>
      <c r="E430" s="29"/>
      <c r="F430" s="29"/>
      <c r="G430" s="29"/>
      <c r="H430" s="29"/>
      <c r="I430" s="29"/>
      <c r="J430" s="29"/>
      <c r="K430" s="29"/>
      <c r="L430" s="29"/>
      <c r="M430" s="29"/>
      <c r="N430" s="29"/>
      <c r="O430" s="29"/>
      <c r="P430" s="29"/>
      <c r="Q430" s="29"/>
      <c r="R430" s="29"/>
      <c r="S430" s="29"/>
      <c r="T430" s="29"/>
      <c r="U430" s="29"/>
      <c r="V430" s="29"/>
      <c r="W430" s="29"/>
      <c r="X430" s="29"/>
      <c r="Y430" s="29"/>
      <c r="Z430" s="29"/>
      <c r="AA430" s="29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  <c r="AX430" s="29"/>
      <c r="AY430" s="29"/>
      <c r="AZ430" s="29"/>
      <c r="BA430" s="29"/>
      <c r="BB430" s="29"/>
      <c r="BC430" s="29"/>
      <c r="BD430" s="29"/>
      <c r="BE430" s="29"/>
      <c r="BF430" s="29"/>
      <c r="BG430" s="29"/>
      <c r="BH430" s="29"/>
      <c r="BI430" s="29"/>
      <c r="BJ430" s="29"/>
      <c r="BK430" s="29"/>
      <c r="BL430" s="29"/>
      <c r="BM430" s="29"/>
      <c r="BN430" s="29"/>
      <c r="BO430" s="29"/>
      <c r="BP430" s="29"/>
      <c r="BQ430" s="29"/>
      <c r="BR430" s="29"/>
      <c r="BS430" s="29"/>
      <c r="BT430" s="29"/>
      <c r="BU430" s="29"/>
      <c r="BV430" s="29"/>
      <c r="BW430" s="29"/>
      <c r="BX430" s="29"/>
      <c r="BY430" s="29"/>
      <c r="BZ430" s="29"/>
      <c r="CA430" s="29"/>
      <c r="CB430" s="29"/>
      <c r="CC430" s="29"/>
      <c r="CD430" s="29"/>
      <c r="CE430" s="29"/>
      <c r="CF430" s="29"/>
      <c r="CG430" s="29"/>
      <c r="CH430" s="29"/>
      <c r="CI430" s="29"/>
      <c r="CJ430" s="29"/>
      <c r="CK430" s="29"/>
      <c r="CL430" s="29"/>
      <c r="CM430" s="29"/>
      <c r="CN430" s="29"/>
      <c r="CO430" s="29"/>
      <c r="CP430" s="29"/>
      <c r="CQ430" s="29"/>
      <c r="CR430" s="29"/>
      <c r="CS430" s="29"/>
      <c r="CT430" s="29"/>
      <c r="CU430" s="29"/>
      <c r="CV430" s="29"/>
      <c r="CW430" s="29"/>
      <c r="CX430" s="29"/>
      <c r="CY430" s="29"/>
      <c r="CZ430" s="29"/>
      <c r="DA430" s="29"/>
      <c r="DB430" s="29"/>
      <c r="DC430" s="29"/>
      <c r="DD430" s="29"/>
      <c r="DE430" s="29"/>
      <c r="DF430" s="29"/>
      <c r="DG430" s="29"/>
      <c r="DH430" s="29"/>
      <c r="DI430" s="29"/>
      <c r="DJ430" s="29"/>
      <c r="DK430" s="29"/>
      <c r="DL430" s="29"/>
      <c r="DM430" s="29"/>
      <c r="DN430" s="29"/>
      <c r="DO430" s="29"/>
      <c r="DP430" s="29"/>
      <c r="DQ430" s="29"/>
      <c r="DR430" s="29"/>
      <c r="DS430" s="29"/>
      <c r="DT430" s="29"/>
      <c r="DU430" s="29"/>
      <c r="DV430" s="29"/>
      <c r="DW430" s="29"/>
      <c r="DX430" s="29"/>
      <c r="DY430" s="29"/>
      <c r="DZ430" s="29"/>
      <c r="EA430" s="29"/>
      <c r="EB430" s="29"/>
      <c r="EC430" s="29"/>
      <c r="ED430" s="29"/>
      <c r="EE430" s="29"/>
      <c r="EF430" s="29"/>
      <c r="EG430" s="29"/>
      <c r="EH430" s="29"/>
      <c r="EI430" s="29"/>
      <c r="EJ430" s="29"/>
      <c r="EK430" s="29"/>
      <c r="EL430" s="29"/>
      <c r="EM430" s="29"/>
      <c r="EN430" s="29"/>
      <c r="EO430" s="29"/>
      <c r="EP430" s="29"/>
      <c r="EQ430" s="29"/>
      <c r="ER430" s="29"/>
      <c r="ES430" s="29"/>
      <c r="ET430" s="29"/>
      <c r="EU430" s="29"/>
      <c r="EV430" s="29"/>
      <c r="EW430" s="29"/>
      <c r="EX430" s="29"/>
      <c r="EY430" s="29"/>
      <c r="EZ430" s="29"/>
      <c r="FA430" s="29"/>
      <c r="FB430" s="29"/>
      <c r="FC430" s="29"/>
      <c r="FD430" s="29"/>
      <c r="FE430" s="29"/>
      <c r="FF430" s="29"/>
      <c r="FG430" s="29"/>
      <c r="FH430" s="29"/>
      <c r="FI430" s="29"/>
      <c r="FJ430" s="29"/>
      <c r="FK430" s="29"/>
      <c r="FL430" s="29"/>
      <c r="FM430" s="29"/>
      <c r="FN430" s="29"/>
      <c r="FO430" s="29"/>
      <c r="FP430" s="29"/>
      <c r="FQ430" s="29"/>
      <c r="FR430" s="14"/>
    </row>
    <row r="431" spans="3:174" s="28" customFormat="1" ht="12" customHeight="1">
      <c r="C431" s="43"/>
      <c r="E431" s="29"/>
      <c r="F431" s="29"/>
      <c r="G431" s="29"/>
      <c r="H431" s="29"/>
      <c r="I431" s="29"/>
      <c r="J431" s="29"/>
      <c r="K431" s="29"/>
      <c r="L431" s="29"/>
      <c r="M431" s="29"/>
      <c r="N431" s="29"/>
      <c r="O431" s="29"/>
      <c r="P431" s="29"/>
      <c r="Q431" s="29"/>
      <c r="R431" s="29"/>
      <c r="S431" s="29"/>
      <c r="T431" s="29"/>
      <c r="U431" s="29"/>
      <c r="V431" s="29"/>
      <c r="W431" s="29"/>
      <c r="X431" s="29"/>
      <c r="Y431" s="29"/>
      <c r="Z431" s="29"/>
      <c r="AA431" s="29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  <c r="AX431" s="29"/>
      <c r="AY431" s="29"/>
      <c r="AZ431" s="29"/>
      <c r="BA431" s="29"/>
      <c r="BB431" s="29"/>
      <c r="BC431" s="29"/>
      <c r="BD431" s="29"/>
      <c r="BE431" s="29"/>
      <c r="BF431" s="29"/>
      <c r="BG431" s="29"/>
      <c r="BH431" s="29"/>
      <c r="BI431" s="29"/>
      <c r="BJ431" s="29"/>
      <c r="BK431" s="29"/>
      <c r="BL431" s="29"/>
      <c r="BM431" s="29"/>
      <c r="BN431" s="29"/>
      <c r="BO431" s="29"/>
      <c r="BP431" s="29"/>
      <c r="BQ431" s="29"/>
      <c r="BR431" s="29"/>
      <c r="BS431" s="29"/>
      <c r="BT431" s="29"/>
      <c r="BU431" s="29"/>
      <c r="BV431" s="29"/>
      <c r="BW431" s="29"/>
      <c r="BX431" s="29"/>
      <c r="BY431" s="29"/>
      <c r="BZ431" s="29"/>
      <c r="CA431" s="29"/>
      <c r="CB431" s="29"/>
      <c r="CC431" s="29"/>
      <c r="CD431" s="29"/>
      <c r="CE431" s="29"/>
      <c r="CF431" s="29"/>
      <c r="CG431" s="29"/>
      <c r="CH431" s="29"/>
      <c r="CI431" s="29"/>
      <c r="CJ431" s="29"/>
      <c r="CK431" s="29"/>
      <c r="CL431" s="29"/>
      <c r="CM431" s="29"/>
      <c r="CN431" s="29"/>
      <c r="CO431" s="29"/>
      <c r="CP431" s="29"/>
      <c r="CQ431" s="29"/>
      <c r="CR431" s="29"/>
      <c r="CS431" s="29"/>
      <c r="CT431" s="29"/>
      <c r="CU431" s="29"/>
      <c r="CV431" s="29"/>
      <c r="CW431" s="29"/>
      <c r="CX431" s="29"/>
      <c r="CY431" s="29"/>
      <c r="CZ431" s="29"/>
      <c r="DA431" s="29"/>
      <c r="DB431" s="29"/>
      <c r="DC431" s="29"/>
      <c r="DD431" s="29"/>
      <c r="DE431" s="29"/>
      <c r="DF431" s="29"/>
      <c r="DG431" s="29"/>
      <c r="DH431" s="29"/>
      <c r="DI431" s="29"/>
      <c r="DJ431" s="29"/>
      <c r="DK431" s="29"/>
      <c r="DL431" s="29"/>
      <c r="DM431" s="29"/>
      <c r="DN431" s="29"/>
      <c r="DO431" s="29"/>
      <c r="DP431" s="29"/>
      <c r="DQ431" s="29"/>
      <c r="DR431" s="29"/>
      <c r="DS431" s="29"/>
      <c r="DT431" s="29"/>
      <c r="DU431" s="29"/>
      <c r="DV431" s="29"/>
      <c r="DW431" s="29"/>
      <c r="DX431" s="29"/>
      <c r="DY431" s="29"/>
      <c r="DZ431" s="29"/>
      <c r="EA431" s="29"/>
      <c r="EB431" s="29"/>
      <c r="EC431" s="29"/>
      <c r="ED431" s="29"/>
      <c r="EE431" s="29"/>
      <c r="EF431" s="29"/>
      <c r="EG431" s="29"/>
      <c r="EH431" s="29"/>
      <c r="EI431" s="29"/>
      <c r="EJ431" s="29"/>
      <c r="EK431" s="29"/>
      <c r="EL431" s="29"/>
      <c r="EM431" s="29"/>
      <c r="EN431" s="29"/>
      <c r="EO431" s="29"/>
      <c r="EP431" s="29"/>
      <c r="EQ431" s="29"/>
      <c r="ER431" s="29"/>
      <c r="ES431" s="29"/>
      <c r="ET431" s="29"/>
      <c r="EU431" s="29"/>
      <c r="EV431" s="29"/>
      <c r="EW431" s="29"/>
      <c r="EX431" s="29"/>
      <c r="EY431" s="29"/>
      <c r="EZ431" s="29"/>
      <c r="FA431" s="29"/>
      <c r="FB431" s="29"/>
      <c r="FC431" s="29"/>
      <c r="FD431" s="29"/>
      <c r="FE431" s="29"/>
      <c r="FF431" s="29"/>
      <c r="FG431" s="29"/>
      <c r="FH431" s="29"/>
      <c r="FI431" s="29"/>
      <c r="FJ431" s="29"/>
      <c r="FK431" s="29"/>
      <c r="FL431" s="29"/>
      <c r="FM431" s="29"/>
      <c r="FN431" s="29"/>
      <c r="FO431" s="29"/>
      <c r="FP431" s="29"/>
      <c r="FQ431" s="29"/>
      <c r="FR431" s="14"/>
    </row>
    <row r="432" spans="3:174" s="28" customFormat="1" ht="12" customHeight="1">
      <c r="C432" s="43"/>
      <c r="E432" s="29"/>
      <c r="F432" s="29"/>
      <c r="G432" s="29"/>
      <c r="H432" s="29"/>
      <c r="I432" s="29"/>
      <c r="J432" s="29"/>
      <c r="K432" s="29"/>
      <c r="L432" s="29"/>
      <c r="M432" s="29"/>
      <c r="N432" s="29"/>
      <c r="O432" s="29"/>
      <c r="P432" s="29"/>
      <c r="Q432" s="29"/>
      <c r="R432" s="29"/>
      <c r="S432" s="29"/>
      <c r="T432" s="29"/>
      <c r="U432" s="29"/>
      <c r="V432" s="29"/>
      <c r="W432" s="29"/>
      <c r="X432" s="29"/>
      <c r="Y432" s="29"/>
      <c r="Z432" s="29"/>
      <c r="AA432" s="29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  <c r="AX432" s="29"/>
      <c r="AY432" s="29"/>
      <c r="AZ432" s="29"/>
      <c r="BA432" s="29"/>
      <c r="BB432" s="29"/>
      <c r="BC432" s="29"/>
      <c r="BD432" s="29"/>
      <c r="BE432" s="29"/>
      <c r="BF432" s="29"/>
      <c r="BG432" s="29"/>
      <c r="BH432" s="29"/>
      <c r="BI432" s="29"/>
      <c r="BJ432" s="29"/>
      <c r="BK432" s="29"/>
      <c r="BL432" s="29"/>
      <c r="BM432" s="29"/>
      <c r="BN432" s="29"/>
      <c r="BO432" s="29"/>
      <c r="BP432" s="29"/>
      <c r="BQ432" s="29"/>
      <c r="BR432" s="29"/>
      <c r="BS432" s="29"/>
      <c r="BT432" s="29"/>
      <c r="BU432" s="29"/>
      <c r="BV432" s="29"/>
      <c r="BW432" s="29"/>
      <c r="BX432" s="29"/>
      <c r="BY432" s="29"/>
      <c r="BZ432" s="29"/>
      <c r="CA432" s="29"/>
      <c r="CB432" s="29"/>
      <c r="CC432" s="29"/>
      <c r="CD432" s="29"/>
      <c r="CE432" s="29"/>
      <c r="CF432" s="29"/>
      <c r="CG432" s="29"/>
      <c r="CH432" s="29"/>
      <c r="CI432" s="29"/>
      <c r="CJ432" s="29"/>
      <c r="CK432" s="29"/>
      <c r="CL432" s="29"/>
      <c r="CM432" s="29"/>
      <c r="CN432" s="29"/>
      <c r="CO432" s="29"/>
      <c r="CP432" s="29"/>
      <c r="CQ432" s="29"/>
      <c r="CR432" s="29"/>
      <c r="CS432" s="29"/>
      <c r="CT432" s="29"/>
      <c r="CU432" s="29"/>
      <c r="CV432" s="29"/>
      <c r="CW432" s="29"/>
      <c r="CX432" s="29"/>
      <c r="CY432" s="29"/>
      <c r="CZ432" s="29"/>
      <c r="DA432" s="29"/>
      <c r="DB432" s="29"/>
      <c r="DC432" s="29"/>
      <c r="DD432" s="29"/>
      <c r="DE432" s="29"/>
      <c r="DF432" s="29"/>
      <c r="DG432" s="29"/>
      <c r="DH432" s="29"/>
      <c r="DI432" s="29"/>
      <c r="DJ432" s="29"/>
      <c r="DK432" s="29"/>
      <c r="DL432" s="29"/>
      <c r="DM432" s="29"/>
      <c r="DN432" s="29"/>
      <c r="DO432" s="29"/>
      <c r="DP432" s="29"/>
      <c r="DQ432" s="29"/>
      <c r="DR432" s="29"/>
      <c r="DS432" s="29"/>
      <c r="DT432" s="29"/>
      <c r="DU432" s="29"/>
      <c r="DV432" s="29"/>
      <c r="DW432" s="29"/>
      <c r="DX432" s="29"/>
      <c r="DY432" s="29"/>
      <c r="DZ432" s="29"/>
      <c r="EA432" s="29"/>
      <c r="EB432" s="29"/>
      <c r="EC432" s="29"/>
      <c r="ED432" s="29"/>
      <c r="EE432" s="29"/>
      <c r="EF432" s="29"/>
      <c r="EG432" s="29"/>
      <c r="EH432" s="29"/>
      <c r="EI432" s="29"/>
      <c r="EJ432" s="29"/>
      <c r="EK432" s="29"/>
      <c r="EL432" s="29"/>
      <c r="EM432" s="29"/>
      <c r="EN432" s="29"/>
      <c r="EO432" s="29"/>
      <c r="EP432" s="29"/>
      <c r="EQ432" s="29"/>
      <c r="ER432" s="29"/>
      <c r="ES432" s="29"/>
      <c r="ET432" s="29"/>
      <c r="EU432" s="29"/>
      <c r="EV432" s="29"/>
      <c r="EW432" s="29"/>
      <c r="EX432" s="29"/>
      <c r="EY432" s="29"/>
      <c r="EZ432" s="29"/>
      <c r="FA432" s="29"/>
      <c r="FB432" s="29"/>
      <c r="FC432" s="29"/>
      <c r="FD432" s="29"/>
      <c r="FE432" s="29"/>
      <c r="FF432" s="29"/>
      <c r="FG432" s="29"/>
      <c r="FH432" s="29"/>
      <c r="FI432" s="29"/>
      <c r="FJ432" s="29"/>
      <c r="FK432" s="29"/>
      <c r="FL432" s="29"/>
      <c r="FM432" s="29"/>
      <c r="FN432" s="29"/>
      <c r="FO432" s="29"/>
      <c r="FP432" s="29"/>
      <c r="FQ432" s="29"/>
      <c r="FR432" s="14"/>
    </row>
    <row r="433" spans="3:174" s="28" customFormat="1" ht="12" customHeight="1">
      <c r="C433" s="43"/>
      <c r="E433" s="29"/>
      <c r="F433" s="29"/>
      <c r="G433" s="29"/>
      <c r="H433" s="29"/>
      <c r="I433" s="29"/>
      <c r="J433" s="29"/>
      <c r="K433" s="29"/>
      <c r="L433" s="29"/>
      <c r="M433" s="29"/>
      <c r="N433" s="29"/>
      <c r="O433" s="29"/>
      <c r="P433" s="29"/>
      <c r="Q433" s="29"/>
      <c r="R433" s="29"/>
      <c r="S433" s="29"/>
      <c r="T433" s="29"/>
      <c r="U433" s="29"/>
      <c r="V433" s="29"/>
      <c r="W433" s="29"/>
      <c r="X433" s="29"/>
      <c r="Y433" s="29"/>
      <c r="Z433" s="29"/>
      <c r="AA433" s="29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  <c r="AX433" s="29"/>
      <c r="AY433" s="29"/>
      <c r="AZ433" s="29"/>
      <c r="BA433" s="29"/>
      <c r="BB433" s="29"/>
      <c r="BC433" s="29"/>
      <c r="BD433" s="29"/>
      <c r="BE433" s="29"/>
      <c r="BF433" s="29"/>
      <c r="BG433" s="29"/>
      <c r="BH433" s="29"/>
      <c r="BI433" s="29"/>
      <c r="BJ433" s="29"/>
      <c r="BK433" s="29"/>
      <c r="BL433" s="29"/>
      <c r="BM433" s="29"/>
      <c r="BN433" s="29"/>
      <c r="BO433" s="29"/>
      <c r="BP433" s="29"/>
      <c r="BQ433" s="29"/>
      <c r="BR433" s="29"/>
      <c r="BS433" s="29"/>
      <c r="BT433" s="29"/>
      <c r="BU433" s="29"/>
      <c r="BV433" s="29"/>
      <c r="BW433" s="29"/>
      <c r="BX433" s="29"/>
      <c r="BY433" s="29"/>
      <c r="BZ433" s="29"/>
      <c r="CA433" s="29"/>
      <c r="CB433" s="29"/>
      <c r="CC433" s="29"/>
      <c r="CD433" s="29"/>
      <c r="CE433" s="29"/>
      <c r="CF433" s="29"/>
      <c r="CG433" s="29"/>
      <c r="CH433" s="29"/>
      <c r="CI433" s="29"/>
      <c r="CJ433" s="29"/>
      <c r="CK433" s="29"/>
      <c r="CL433" s="29"/>
      <c r="CM433" s="29"/>
      <c r="CN433" s="29"/>
      <c r="CO433" s="29"/>
      <c r="CP433" s="29"/>
      <c r="CQ433" s="29"/>
      <c r="CR433" s="29"/>
      <c r="CS433" s="29"/>
      <c r="CT433" s="29"/>
      <c r="CU433" s="29"/>
      <c r="CV433" s="29"/>
      <c r="CW433" s="29"/>
      <c r="CX433" s="29"/>
      <c r="CY433" s="29"/>
      <c r="CZ433" s="29"/>
      <c r="DA433" s="29"/>
      <c r="DB433" s="29"/>
      <c r="DC433" s="29"/>
      <c r="DD433" s="29"/>
      <c r="DE433" s="29"/>
      <c r="DF433" s="29"/>
      <c r="DG433" s="29"/>
      <c r="DH433" s="29"/>
      <c r="DI433" s="29"/>
      <c r="DJ433" s="29"/>
      <c r="DK433" s="29"/>
      <c r="DL433" s="29"/>
      <c r="DM433" s="29"/>
      <c r="DN433" s="29"/>
      <c r="DO433" s="29"/>
      <c r="DP433" s="29"/>
      <c r="DQ433" s="29"/>
      <c r="DR433" s="29"/>
      <c r="DS433" s="29"/>
      <c r="DT433" s="29"/>
      <c r="DU433" s="29"/>
      <c r="DV433" s="29"/>
      <c r="DW433" s="29"/>
      <c r="DX433" s="29"/>
      <c r="DY433" s="29"/>
      <c r="DZ433" s="29"/>
      <c r="EA433" s="29"/>
      <c r="EB433" s="29"/>
      <c r="EC433" s="29"/>
      <c r="ED433" s="29"/>
      <c r="EE433" s="29"/>
      <c r="EF433" s="29"/>
      <c r="EG433" s="29"/>
      <c r="EH433" s="29"/>
      <c r="EI433" s="29"/>
      <c r="EJ433" s="29"/>
      <c r="EK433" s="29"/>
      <c r="EL433" s="29"/>
      <c r="EM433" s="29"/>
      <c r="EN433" s="29"/>
      <c r="EO433" s="29"/>
      <c r="EP433" s="29"/>
      <c r="EQ433" s="29"/>
      <c r="ER433" s="29"/>
      <c r="ES433" s="29"/>
      <c r="ET433" s="29"/>
      <c r="EU433" s="29"/>
      <c r="EV433" s="29"/>
      <c r="EW433" s="29"/>
      <c r="EX433" s="29"/>
      <c r="EY433" s="29"/>
      <c r="EZ433" s="29"/>
      <c r="FA433" s="29"/>
      <c r="FB433" s="29"/>
      <c r="FC433" s="29"/>
      <c r="FD433" s="29"/>
      <c r="FE433" s="29"/>
      <c r="FF433" s="29"/>
      <c r="FG433" s="29"/>
      <c r="FH433" s="29"/>
      <c r="FI433" s="29"/>
      <c r="FJ433" s="29"/>
      <c r="FK433" s="29"/>
      <c r="FL433" s="29"/>
      <c r="FM433" s="29"/>
      <c r="FN433" s="29"/>
      <c r="FO433" s="29"/>
      <c r="FP433" s="29"/>
      <c r="FQ433" s="29"/>
      <c r="FR433" s="14"/>
    </row>
    <row r="434" spans="3:174" s="28" customFormat="1" ht="12" customHeight="1">
      <c r="C434" s="43"/>
      <c r="E434" s="29"/>
      <c r="F434" s="29"/>
      <c r="G434" s="29"/>
      <c r="H434" s="29"/>
      <c r="I434" s="29"/>
      <c r="J434" s="29"/>
      <c r="K434" s="29"/>
      <c r="L434" s="29"/>
      <c r="M434" s="29"/>
      <c r="N434" s="29"/>
      <c r="O434" s="29"/>
      <c r="P434" s="29"/>
      <c r="Q434" s="29"/>
      <c r="R434" s="29"/>
      <c r="S434" s="29"/>
      <c r="T434" s="29"/>
      <c r="U434" s="29"/>
      <c r="V434" s="29"/>
      <c r="W434" s="29"/>
      <c r="X434" s="29"/>
      <c r="Y434" s="29"/>
      <c r="Z434" s="29"/>
      <c r="AA434" s="29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  <c r="AX434" s="29"/>
      <c r="AY434" s="29"/>
      <c r="AZ434" s="29"/>
      <c r="BA434" s="29"/>
      <c r="BB434" s="29"/>
      <c r="BC434" s="29"/>
      <c r="BD434" s="29"/>
      <c r="BE434" s="29"/>
      <c r="BF434" s="29"/>
      <c r="BG434" s="29"/>
      <c r="BH434" s="29"/>
      <c r="BI434" s="29"/>
      <c r="BJ434" s="29"/>
      <c r="BK434" s="29"/>
      <c r="BL434" s="29"/>
      <c r="BM434" s="29"/>
      <c r="BN434" s="29"/>
      <c r="BO434" s="29"/>
      <c r="BP434" s="29"/>
      <c r="BQ434" s="29"/>
      <c r="BR434" s="29"/>
      <c r="BS434" s="29"/>
      <c r="BT434" s="29"/>
      <c r="BU434" s="29"/>
      <c r="BV434" s="29"/>
      <c r="BW434" s="29"/>
      <c r="BX434" s="29"/>
      <c r="BY434" s="29"/>
      <c r="BZ434" s="29"/>
      <c r="CA434" s="29"/>
      <c r="CB434" s="29"/>
      <c r="CC434" s="29"/>
      <c r="CD434" s="29"/>
      <c r="CE434" s="29"/>
      <c r="CF434" s="29"/>
      <c r="CG434" s="29"/>
      <c r="CH434" s="29"/>
      <c r="CI434" s="29"/>
      <c r="CJ434" s="29"/>
      <c r="CK434" s="29"/>
      <c r="CL434" s="29"/>
      <c r="CM434" s="29"/>
      <c r="CN434" s="29"/>
      <c r="CO434" s="29"/>
      <c r="CP434" s="29"/>
      <c r="CQ434" s="29"/>
      <c r="CR434" s="29"/>
      <c r="CS434" s="29"/>
      <c r="CT434" s="29"/>
      <c r="CU434" s="29"/>
      <c r="CV434" s="29"/>
      <c r="CW434" s="29"/>
      <c r="CX434" s="29"/>
      <c r="CY434" s="29"/>
      <c r="CZ434" s="29"/>
      <c r="DA434" s="29"/>
      <c r="DB434" s="29"/>
      <c r="DC434" s="29"/>
      <c r="DD434" s="29"/>
      <c r="DE434" s="29"/>
      <c r="DF434" s="29"/>
      <c r="DG434" s="29"/>
      <c r="DH434" s="29"/>
      <c r="DI434" s="29"/>
      <c r="DJ434" s="29"/>
      <c r="DK434" s="29"/>
      <c r="DL434" s="29"/>
      <c r="DM434" s="29"/>
      <c r="DN434" s="29"/>
      <c r="DO434" s="29"/>
      <c r="DP434" s="29"/>
      <c r="DQ434" s="29"/>
      <c r="DR434" s="29"/>
      <c r="DS434" s="29"/>
      <c r="DT434" s="29"/>
      <c r="DU434" s="29"/>
      <c r="DV434" s="29"/>
      <c r="DW434" s="29"/>
      <c r="DX434" s="29"/>
      <c r="DY434" s="29"/>
      <c r="DZ434" s="29"/>
      <c r="EA434" s="29"/>
      <c r="EB434" s="29"/>
      <c r="EC434" s="29"/>
      <c r="ED434" s="29"/>
      <c r="EE434" s="29"/>
      <c r="EF434" s="29"/>
      <c r="EG434" s="29"/>
      <c r="EH434" s="29"/>
      <c r="EI434" s="29"/>
      <c r="EJ434" s="29"/>
      <c r="EK434" s="29"/>
      <c r="EL434" s="29"/>
      <c r="EM434" s="29"/>
      <c r="EN434" s="29"/>
      <c r="EO434" s="29"/>
      <c r="EP434" s="29"/>
      <c r="EQ434" s="29"/>
      <c r="ER434" s="29"/>
      <c r="ES434" s="29"/>
      <c r="ET434" s="29"/>
      <c r="EU434" s="29"/>
      <c r="EV434" s="29"/>
      <c r="EW434" s="29"/>
      <c r="EX434" s="29"/>
      <c r="EY434" s="29"/>
      <c r="EZ434" s="29"/>
      <c r="FA434" s="29"/>
      <c r="FB434" s="29"/>
      <c r="FC434" s="29"/>
      <c r="FD434" s="29"/>
      <c r="FE434" s="29"/>
      <c r="FF434" s="29"/>
      <c r="FG434" s="29"/>
      <c r="FH434" s="29"/>
      <c r="FI434" s="29"/>
      <c r="FJ434" s="29"/>
      <c r="FK434" s="29"/>
      <c r="FL434" s="29"/>
      <c r="FM434" s="29"/>
      <c r="FN434" s="29"/>
      <c r="FO434" s="29"/>
      <c r="FP434" s="29"/>
      <c r="FQ434" s="29"/>
      <c r="FR434" s="14"/>
    </row>
    <row r="435" spans="3:174" s="28" customFormat="1" ht="12" customHeight="1">
      <c r="C435" s="43"/>
      <c r="E435" s="29"/>
      <c r="F435" s="29"/>
      <c r="G435" s="29"/>
      <c r="H435" s="29"/>
      <c r="I435" s="29"/>
      <c r="J435" s="29"/>
      <c r="K435" s="29"/>
      <c r="L435" s="29"/>
      <c r="M435" s="29"/>
      <c r="N435" s="29"/>
      <c r="O435" s="29"/>
      <c r="P435" s="29"/>
      <c r="Q435" s="29"/>
      <c r="R435" s="29"/>
      <c r="S435" s="29"/>
      <c r="T435" s="29"/>
      <c r="U435" s="29"/>
      <c r="V435" s="29"/>
      <c r="W435" s="29"/>
      <c r="X435" s="29"/>
      <c r="Y435" s="29"/>
      <c r="Z435" s="29"/>
      <c r="AA435" s="29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  <c r="AX435" s="29"/>
      <c r="AY435" s="29"/>
      <c r="AZ435" s="29"/>
      <c r="BA435" s="29"/>
      <c r="BB435" s="29"/>
      <c r="BC435" s="29"/>
      <c r="BD435" s="29"/>
      <c r="BE435" s="29"/>
      <c r="BF435" s="29"/>
      <c r="BG435" s="29"/>
      <c r="BH435" s="29"/>
      <c r="BI435" s="29"/>
      <c r="BJ435" s="29"/>
      <c r="BK435" s="29"/>
      <c r="BL435" s="29"/>
      <c r="BM435" s="29"/>
      <c r="BN435" s="29"/>
      <c r="BO435" s="29"/>
      <c r="BP435" s="29"/>
      <c r="BQ435" s="29"/>
      <c r="BR435" s="29"/>
      <c r="BS435" s="29"/>
      <c r="BT435" s="29"/>
      <c r="BU435" s="29"/>
      <c r="BV435" s="29"/>
      <c r="BW435" s="29"/>
      <c r="BX435" s="29"/>
      <c r="BY435" s="29"/>
      <c r="BZ435" s="29"/>
      <c r="CA435" s="29"/>
      <c r="CB435" s="29"/>
      <c r="CC435" s="29"/>
      <c r="CD435" s="29"/>
      <c r="CE435" s="29"/>
      <c r="CF435" s="29"/>
      <c r="CG435" s="29"/>
      <c r="CH435" s="29"/>
      <c r="CI435" s="29"/>
      <c r="CJ435" s="29"/>
      <c r="CK435" s="29"/>
      <c r="CL435" s="29"/>
      <c r="CM435" s="29"/>
      <c r="CN435" s="29"/>
      <c r="CO435" s="29"/>
      <c r="CP435" s="29"/>
      <c r="CQ435" s="29"/>
      <c r="CR435" s="29"/>
      <c r="CS435" s="29"/>
      <c r="CT435" s="29"/>
      <c r="CU435" s="29"/>
      <c r="CV435" s="29"/>
      <c r="CW435" s="29"/>
      <c r="CX435" s="29"/>
      <c r="CY435" s="29"/>
      <c r="CZ435" s="29"/>
      <c r="DA435" s="29"/>
      <c r="DB435" s="29"/>
      <c r="DC435" s="29"/>
      <c r="DD435" s="29"/>
      <c r="DE435" s="29"/>
      <c r="DF435" s="29"/>
      <c r="DG435" s="29"/>
      <c r="DH435" s="29"/>
      <c r="DI435" s="29"/>
      <c r="DJ435" s="29"/>
      <c r="DK435" s="29"/>
      <c r="DL435" s="29"/>
      <c r="DM435" s="29"/>
      <c r="DN435" s="29"/>
      <c r="DO435" s="29"/>
      <c r="DP435" s="29"/>
      <c r="DQ435" s="29"/>
      <c r="DR435" s="29"/>
      <c r="DS435" s="29"/>
      <c r="DT435" s="29"/>
      <c r="DU435" s="29"/>
      <c r="DV435" s="29"/>
      <c r="DW435" s="29"/>
      <c r="DX435" s="29"/>
      <c r="DY435" s="29"/>
      <c r="DZ435" s="29"/>
      <c r="EA435" s="29"/>
      <c r="EB435" s="29"/>
      <c r="EC435" s="29"/>
      <c r="ED435" s="29"/>
      <c r="EE435" s="29"/>
      <c r="EF435" s="29"/>
      <c r="EG435" s="29"/>
      <c r="EH435" s="29"/>
      <c r="EI435" s="29"/>
      <c r="EJ435" s="29"/>
      <c r="EK435" s="29"/>
      <c r="EL435" s="29"/>
      <c r="EM435" s="29"/>
      <c r="EN435" s="29"/>
      <c r="EO435" s="29"/>
      <c r="EP435" s="29"/>
      <c r="EQ435" s="29"/>
      <c r="ER435" s="29"/>
      <c r="ES435" s="29"/>
      <c r="ET435" s="29"/>
      <c r="EU435" s="29"/>
      <c r="EV435" s="29"/>
      <c r="EW435" s="29"/>
      <c r="EX435" s="29"/>
      <c r="EY435" s="29"/>
      <c r="EZ435" s="29"/>
      <c r="FA435" s="29"/>
      <c r="FB435" s="29"/>
      <c r="FC435" s="29"/>
      <c r="FD435" s="29"/>
      <c r="FE435" s="29"/>
      <c r="FF435" s="29"/>
      <c r="FG435" s="29"/>
      <c r="FH435" s="29"/>
      <c r="FI435" s="29"/>
      <c r="FJ435" s="29"/>
      <c r="FK435" s="29"/>
      <c r="FL435" s="29"/>
      <c r="FM435" s="29"/>
      <c r="FN435" s="29"/>
      <c r="FO435" s="29"/>
      <c r="FP435" s="29"/>
      <c r="FQ435" s="29"/>
      <c r="FR435" s="14"/>
    </row>
    <row r="436" spans="3:174" s="28" customFormat="1" ht="12" customHeight="1">
      <c r="C436" s="43"/>
      <c r="E436" s="29"/>
      <c r="F436" s="29"/>
      <c r="G436" s="29"/>
      <c r="H436" s="29"/>
      <c r="I436" s="29"/>
      <c r="J436" s="29"/>
      <c r="K436" s="29"/>
      <c r="L436" s="29"/>
      <c r="M436" s="29"/>
      <c r="N436" s="29"/>
      <c r="O436" s="29"/>
      <c r="P436" s="29"/>
      <c r="Q436" s="29"/>
      <c r="R436" s="29"/>
      <c r="S436" s="29"/>
      <c r="T436" s="29"/>
      <c r="U436" s="29"/>
      <c r="V436" s="29"/>
      <c r="W436" s="29"/>
      <c r="X436" s="29"/>
      <c r="Y436" s="29"/>
      <c r="Z436" s="29"/>
      <c r="AA436" s="29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  <c r="AX436" s="29"/>
      <c r="AY436" s="29"/>
      <c r="AZ436" s="29"/>
      <c r="BA436" s="29"/>
      <c r="BB436" s="29"/>
      <c r="BC436" s="29"/>
      <c r="BD436" s="29"/>
      <c r="BE436" s="29"/>
      <c r="BF436" s="29"/>
      <c r="BG436" s="29"/>
      <c r="BH436" s="29"/>
      <c r="BI436" s="29"/>
      <c r="BJ436" s="29"/>
      <c r="BK436" s="29"/>
      <c r="BL436" s="29"/>
      <c r="BM436" s="29"/>
      <c r="BN436" s="29"/>
      <c r="BO436" s="29"/>
      <c r="BP436" s="29"/>
      <c r="BQ436" s="29"/>
      <c r="BR436" s="29"/>
      <c r="BS436" s="29"/>
      <c r="BT436" s="29"/>
      <c r="BU436" s="29"/>
      <c r="BV436" s="29"/>
      <c r="BW436" s="29"/>
      <c r="BX436" s="29"/>
      <c r="BY436" s="29"/>
      <c r="BZ436" s="29"/>
      <c r="CA436" s="29"/>
      <c r="CB436" s="29"/>
      <c r="CC436" s="29"/>
      <c r="CD436" s="29"/>
      <c r="CE436" s="29"/>
      <c r="CF436" s="29"/>
      <c r="CG436" s="29"/>
      <c r="CH436" s="29"/>
      <c r="CI436" s="29"/>
      <c r="CJ436" s="29"/>
      <c r="CK436" s="29"/>
      <c r="CL436" s="29"/>
      <c r="CM436" s="29"/>
      <c r="CN436" s="29"/>
      <c r="CO436" s="29"/>
      <c r="CP436" s="29"/>
      <c r="CQ436" s="29"/>
      <c r="CR436" s="29"/>
      <c r="CS436" s="29"/>
      <c r="CT436" s="29"/>
      <c r="CU436" s="29"/>
      <c r="CV436" s="29"/>
      <c r="CW436" s="29"/>
      <c r="CX436" s="29"/>
      <c r="CY436" s="29"/>
      <c r="CZ436" s="29"/>
      <c r="DA436" s="29"/>
      <c r="DB436" s="29"/>
      <c r="DC436" s="29"/>
      <c r="DD436" s="29"/>
      <c r="DE436" s="29"/>
      <c r="DF436" s="29"/>
      <c r="DG436" s="29"/>
      <c r="DH436" s="29"/>
      <c r="DI436" s="29"/>
      <c r="DJ436" s="29"/>
      <c r="DK436" s="29"/>
      <c r="DL436" s="29"/>
      <c r="DM436" s="29"/>
      <c r="DN436" s="29"/>
      <c r="DO436" s="29"/>
      <c r="DP436" s="29"/>
      <c r="DQ436" s="29"/>
      <c r="DR436" s="29"/>
      <c r="DS436" s="29"/>
      <c r="DT436" s="29"/>
      <c r="DU436" s="29"/>
      <c r="DV436" s="29"/>
      <c r="DW436" s="29"/>
      <c r="DX436" s="29"/>
      <c r="DY436" s="29"/>
      <c r="DZ436" s="29"/>
      <c r="EA436" s="29"/>
      <c r="EB436" s="29"/>
      <c r="EC436" s="29"/>
      <c r="ED436" s="29"/>
      <c r="EE436" s="29"/>
      <c r="EF436" s="29"/>
      <c r="EG436" s="29"/>
      <c r="EH436" s="29"/>
      <c r="EI436" s="29"/>
      <c r="EJ436" s="29"/>
      <c r="EK436" s="29"/>
      <c r="EL436" s="29"/>
      <c r="EM436" s="29"/>
      <c r="EN436" s="29"/>
      <c r="EO436" s="29"/>
      <c r="EP436" s="29"/>
      <c r="EQ436" s="29"/>
      <c r="ER436" s="29"/>
      <c r="ES436" s="29"/>
      <c r="ET436" s="29"/>
      <c r="EU436" s="29"/>
      <c r="EV436" s="29"/>
      <c r="EW436" s="29"/>
      <c r="EX436" s="29"/>
      <c r="EY436" s="29"/>
      <c r="EZ436" s="29"/>
      <c r="FA436" s="29"/>
      <c r="FB436" s="29"/>
      <c r="FC436" s="29"/>
      <c r="FD436" s="29"/>
      <c r="FE436" s="29"/>
      <c r="FF436" s="29"/>
      <c r="FG436" s="29"/>
      <c r="FH436" s="29"/>
      <c r="FI436" s="29"/>
      <c r="FJ436" s="29"/>
      <c r="FK436" s="29"/>
      <c r="FL436" s="29"/>
      <c r="FM436" s="29"/>
      <c r="FN436" s="29"/>
      <c r="FO436" s="29"/>
      <c r="FP436" s="29"/>
      <c r="FQ436" s="29"/>
      <c r="FR436" s="14"/>
    </row>
    <row r="437" spans="3:174" s="28" customFormat="1" ht="12" customHeight="1">
      <c r="C437" s="43"/>
      <c r="E437" s="29"/>
      <c r="F437" s="29"/>
      <c r="G437" s="29"/>
      <c r="H437" s="29"/>
      <c r="I437" s="29"/>
      <c r="J437" s="29"/>
      <c r="K437" s="29"/>
      <c r="L437" s="29"/>
      <c r="M437" s="29"/>
      <c r="N437" s="29"/>
      <c r="O437" s="29"/>
      <c r="P437" s="29"/>
      <c r="Q437" s="29"/>
      <c r="R437" s="29"/>
      <c r="S437" s="29"/>
      <c r="T437" s="29"/>
      <c r="U437" s="29"/>
      <c r="V437" s="29"/>
      <c r="W437" s="29"/>
      <c r="X437" s="29"/>
      <c r="Y437" s="29"/>
      <c r="Z437" s="29"/>
      <c r="AA437" s="29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  <c r="AX437" s="29"/>
      <c r="AY437" s="29"/>
      <c r="AZ437" s="29"/>
      <c r="BA437" s="29"/>
      <c r="BB437" s="29"/>
      <c r="BC437" s="29"/>
      <c r="BD437" s="29"/>
      <c r="BE437" s="29"/>
      <c r="BF437" s="29"/>
      <c r="BG437" s="29"/>
      <c r="BH437" s="29"/>
      <c r="BI437" s="29"/>
      <c r="BJ437" s="29"/>
      <c r="BK437" s="29"/>
      <c r="BL437" s="29"/>
      <c r="BM437" s="29"/>
      <c r="BN437" s="29"/>
      <c r="BO437" s="29"/>
      <c r="BP437" s="29"/>
      <c r="BQ437" s="29"/>
      <c r="BR437" s="29"/>
      <c r="BS437" s="29"/>
      <c r="BT437" s="29"/>
      <c r="BU437" s="29"/>
      <c r="BV437" s="29"/>
      <c r="BW437" s="29"/>
      <c r="BX437" s="29"/>
      <c r="BY437" s="29"/>
      <c r="BZ437" s="29"/>
      <c r="CA437" s="29"/>
      <c r="CB437" s="29"/>
      <c r="CC437" s="29"/>
      <c r="CD437" s="29"/>
      <c r="CE437" s="29"/>
      <c r="CF437" s="29"/>
      <c r="CG437" s="29"/>
      <c r="CH437" s="29"/>
      <c r="CI437" s="29"/>
      <c r="CJ437" s="29"/>
      <c r="CK437" s="29"/>
      <c r="CL437" s="29"/>
      <c r="CM437" s="29"/>
      <c r="CN437" s="29"/>
      <c r="CO437" s="29"/>
      <c r="CP437" s="29"/>
      <c r="CQ437" s="29"/>
      <c r="CR437" s="29"/>
      <c r="CS437" s="29"/>
      <c r="CT437" s="29"/>
      <c r="CU437" s="29"/>
      <c r="CV437" s="29"/>
      <c r="CW437" s="29"/>
      <c r="CX437" s="29"/>
      <c r="CY437" s="29"/>
      <c r="CZ437" s="29"/>
      <c r="DA437" s="29"/>
      <c r="DB437" s="29"/>
      <c r="DC437" s="29"/>
      <c r="DD437" s="29"/>
      <c r="DE437" s="29"/>
      <c r="DF437" s="29"/>
      <c r="DG437" s="29"/>
      <c r="DH437" s="29"/>
      <c r="DI437" s="29"/>
      <c r="DJ437" s="29"/>
      <c r="DK437" s="29"/>
      <c r="DL437" s="29"/>
      <c r="DM437" s="29"/>
      <c r="DN437" s="29"/>
      <c r="DO437" s="29"/>
      <c r="DP437" s="29"/>
      <c r="DQ437" s="29"/>
      <c r="DR437" s="29"/>
      <c r="DS437" s="29"/>
      <c r="DT437" s="29"/>
      <c r="DU437" s="29"/>
      <c r="DV437" s="29"/>
      <c r="DW437" s="29"/>
      <c r="DX437" s="29"/>
      <c r="DY437" s="29"/>
      <c r="DZ437" s="29"/>
      <c r="EA437" s="29"/>
      <c r="EB437" s="29"/>
      <c r="EC437" s="29"/>
      <c r="ED437" s="29"/>
      <c r="EE437" s="29"/>
      <c r="EF437" s="29"/>
      <c r="EG437" s="29"/>
      <c r="EH437" s="29"/>
      <c r="EI437" s="29"/>
      <c r="EJ437" s="29"/>
      <c r="EK437" s="29"/>
      <c r="EL437" s="29"/>
      <c r="EM437" s="29"/>
      <c r="EN437" s="29"/>
      <c r="EO437" s="29"/>
      <c r="EP437" s="29"/>
      <c r="EQ437" s="29"/>
      <c r="ER437" s="29"/>
      <c r="ES437" s="29"/>
      <c r="ET437" s="29"/>
      <c r="EU437" s="29"/>
      <c r="EV437" s="29"/>
      <c r="EW437" s="29"/>
      <c r="EX437" s="29"/>
      <c r="EY437" s="29"/>
      <c r="EZ437" s="29"/>
      <c r="FA437" s="29"/>
      <c r="FB437" s="29"/>
      <c r="FC437" s="29"/>
      <c r="FD437" s="29"/>
      <c r="FE437" s="29"/>
      <c r="FF437" s="29"/>
      <c r="FG437" s="29"/>
      <c r="FH437" s="29"/>
      <c r="FI437" s="29"/>
      <c r="FJ437" s="29"/>
      <c r="FK437" s="29"/>
      <c r="FL437" s="29"/>
      <c r="FM437" s="29"/>
      <c r="FN437" s="29"/>
      <c r="FO437" s="29"/>
      <c r="FP437" s="29"/>
      <c r="FQ437" s="29"/>
      <c r="FR437" s="14"/>
    </row>
    <row r="438" spans="3:174" s="28" customFormat="1" ht="12" customHeight="1">
      <c r="C438" s="43"/>
      <c r="E438" s="29"/>
      <c r="F438" s="29"/>
      <c r="G438" s="29"/>
      <c r="H438" s="29"/>
      <c r="I438" s="29"/>
      <c r="J438" s="29"/>
      <c r="K438" s="29"/>
      <c r="L438" s="29"/>
      <c r="M438" s="29"/>
      <c r="N438" s="29"/>
      <c r="O438" s="29"/>
      <c r="P438" s="29"/>
      <c r="Q438" s="29"/>
      <c r="R438" s="29"/>
      <c r="S438" s="29"/>
      <c r="T438" s="29"/>
      <c r="U438" s="29"/>
      <c r="V438" s="29"/>
      <c r="W438" s="29"/>
      <c r="X438" s="29"/>
      <c r="Y438" s="29"/>
      <c r="Z438" s="29"/>
      <c r="AA438" s="29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  <c r="AX438" s="29"/>
      <c r="AY438" s="29"/>
      <c r="AZ438" s="29"/>
      <c r="BA438" s="29"/>
      <c r="BB438" s="29"/>
      <c r="BC438" s="29"/>
      <c r="BD438" s="29"/>
      <c r="BE438" s="29"/>
      <c r="BF438" s="29"/>
      <c r="BG438" s="29"/>
      <c r="BH438" s="29"/>
      <c r="BI438" s="29"/>
      <c r="BJ438" s="29"/>
      <c r="BK438" s="29"/>
      <c r="BL438" s="29"/>
      <c r="BM438" s="29"/>
      <c r="BN438" s="29"/>
      <c r="BO438" s="29"/>
      <c r="BP438" s="29"/>
      <c r="BQ438" s="29"/>
      <c r="BR438" s="29"/>
      <c r="BS438" s="29"/>
      <c r="BT438" s="29"/>
      <c r="BU438" s="29"/>
      <c r="BV438" s="29"/>
      <c r="BW438" s="29"/>
      <c r="BX438" s="29"/>
      <c r="BY438" s="29"/>
      <c r="BZ438" s="29"/>
      <c r="CA438" s="29"/>
      <c r="CB438" s="29"/>
      <c r="CC438" s="29"/>
      <c r="CD438" s="29"/>
      <c r="CE438" s="29"/>
      <c r="CF438" s="29"/>
      <c r="CG438" s="29"/>
      <c r="CH438" s="29"/>
      <c r="CI438" s="29"/>
      <c r="CJ438" s="29"/>
      <c r="CK438" s="29"/>
      <c r="CL438" s="29"/>
      <c r="CM438" s="29"/>
      <c r="CN438" s="29"/>
      <c r="CO438" s="29"/>
      <c r="CP438" s="29"/>
      <c r="CQ438" s="29"/>
      <c r="CR438" s="29"/>
      <c r="CS438" s="29"/>
      <c r="CT438" s="29"/>
      <c r="CU438" s="29"/>
      <c r="CV438" s="29"/>
      <c r="CW438" s="29"/>
      <c r="CX438" s="29"/>
      <c r="CY438" s="29"/>
      <c r="CZ438" s="29"/>
      <c r="DA438" s="29"/>
      <c r="DB438" s="29"/>
      <c r="DC438" s="29"/>
      <c r="DD438" s="29"/>
      <c r="DE438" s="29"/>
      <c r="DF438" s="29"/>
      <c r="DG438" s="29"/>
      <c r="DH438" s="29"/>
      <c r="DI438" s="29"/>
      <c r="DJ438" s="29"/>
      <c r="DK438" s="29"/>
      <c r="DL438" s="29"/>
      <c r="DM438" s="29"/>
      <c r="DN438" s="29"/>
      <c r="DO438" s="29"/>
      <c r="DP438" s="29"/>
      <c r="DQ438" s="29"/>
      <c r="DR438" s="29"/>
      <c r="DS438" s="29"/>
      <c r="DT438" s="29"/>
      <c r="DU438" s="29"/>
      <c r="DV438" s="29"/>
      <c r="DW438" s="29"/>
      <c r="DX438" s="29"/>
      <c r="DY438" s="29"/>
      <c r="DZ438" s="29"/>
      <c r="EA438" s="29"/>
      <c r="EB438" s="29"/>
      <c r="EC438" s="29"/>
      <c r="ED438" s="29"/>
      <c r="EE438" s="29"/>
      <c r="EF438" s="29"/>
      <c r="EG438" s="29"/>
      <c r="EH438" s="29"/>
      <c r="EI438" s="29"/>
      <c r="EJ438" s="29"/>
      <c r="EK438" s="29"/>
      <c r="EL438" s="29"/>
      <c r="EM438" s="29"/>
      <c r="EN438" s="29"/>
      <c r="EO438" s="29"/>
      <c r="EP438" s="29"/>
      <c r="EQ438" s="29"/>
      <c r="ER438" s="29"/>
      <c r="ES438" s="29"/>
      <c r="ET438" s="29"/>
      <c r="EU438" s="29"/>
      <c r="EV438" s="29"/>
      <c r="EW438" s="29"/>
      <c r="EX438" s="29"/>
      <c r="EY438" s="29"/>
      <c r="EZ438" s="29"/>
      <c r="FA438" s="29"/>
      <c r="FB438" s="29"/>
      <c r="FC438" s="29"/>
      <c r="FD438" s="29"/>
      <c r="FE438" s="29"/>
      <c r="FF438" s="29"/>
      <c r="FG438" s="29"/>
      <c r="FH438" s="29"/>
      <c r="FI438" s="29"/>
      <c r="FJ438" s="29"/>
      <c r="FK438" s="29"/>
      <c r="FL438" s="29"/>
      <c r="FM438" s="29"/>
      <c r="FN438" s="29"/>
      <c r="FO438" s="29"/>
      <c r="FP438" s="29"/>
      <c r="FQ438" s="29"/>
      <c r="FR438" s="14"/>
    </row>
    <row r="439" spans="3:174" s="28" customFormat="1" ht="12" customHeight="1">
      <c r="C439" s="43"/>
      <c r="E439" s="29"/>
      <c r="F439" s="29"/>
      <c r="G439" s="29"/>
      <c r="H439" s="29"/>
      <c r="I439" s="29"/>
      <c r="J439" s="29"/>
      <c r="K439" s="29"/>
      <c r="L439" s="29"/>
      <c r="M439" s="29"/>
      <c r="N439" s="29"/>
      <c r="O439" s="29"/>
      <c r="P439" s="29"/>
      <c r="Q439" s="29"/>
      <c r="R439" s="29"/>
      <c r="S439" s="29"/>
      <c r="T439" s="29"/>
      <c r="U439" s="29"/>
      <c r="V439" s="29"/>
      <c r="W439" s="29"/>
      <c r="X439" s="29"/>
      <c r="Y439" s="29"/>
      <c r="Z439" s="29"/>
      <c r="AA439" s="29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  <c r="AX439" s="29"/>
      <c r="AY439" s="29"/>
      <c r="AZ439" s="29"/>
      <c r="BA439" s="29"/>
      <c r="BB439" s="29"/>
      <c r="BC439" s="29"/>
      <c r="BD439" s="29"/>
      <c r="BE439" s="29"/>
      <c r="BF439" s="29"/>
      <c r="BG439" s="29"/>
      <c r="BH439" s="29"/>
      <c r="BI439" s="29"/>
      <c r="BJ439" s="29"/>
      <c r="BK439" s="29"/>
      <c r="BL439" s="29"/>
      <c r="BM439" s="29"/>
      <c r="BN439" s="29"/>
      <c r="BO439" s="29"/>
      <c r="BP439" s="29"/>
      <c r="BQ439" s="29"/>
      <c r="BR439" s="29"/>
      <c r="BS439" s="29"/>
      <c r="BT439" s="29"/>
      <c r="BU439" s="29"/>
      <c r="BV439" s="29"/>
      <c r="BW439" s="29"/>
      <c r="BX439" s="29"/>
      <c r="BY439" s="29"/>
      <c r="BZ439" s="29"/>
      <c r="CA439" s="29"/>
      <c r="CB439" s="29"/>
      <c r="CC439" s="29"/>
      <c r="CD439" s="29"/>
      <c r="CE439" s="29"/>
      <c r="CF439" s="29"/>
      <c r="CG439" s="29"/>
      <c r="CH439" s="29"/>
      <c r="CI439" s="29"/>
      <c r="CJ439" s="29"/>
      <c r="CK439" s="29"/>
      <c r="CL439" s="29"/>
      <c r="CM439" s="29"/>
      <c r="CN439" s="29"/>
      <c r="CO439" s="29"/>
      <c r="CP439" s="29"/>
      <c r="CQ439" s="29"/>
      <c r="CR439" s="29"/>
      <c r="CS439" s="29"/>
      <c r="CT439" s="29"/>
      <c r="CU439" s="29"/>
      <c r="CV439" s="29"/>
      <c r="CW439" s="29"/>
      <c r="CX439" s="29"/>
      <c r="CY439" s="29"/>
      <c r="CZ439" s="29"/>
      <c r="DA439" s="29"/>
      <c r="DB439" s="29"/>
      <c r="DC439" s="29"/>
      <c r="DD439" s="29"/>
      <c r="DE439" s="29"/>
      <c r="DF439" s="29"/>
      <c r="DG439" s="29"/>
      <c r="DH439" s="29"/>
      <c r="DI439" s="29"/>
      <c r="DJ439" s="29"/>
      <c r="DK439" s="29"/>
      <c r="DL439" s="29"/>
      <c r="DM439" s="29"/>
      <c r="DN439" s="29"/>
      <c r="DO439" s="29"/>
      <c r="DP439" s="29"/>
      <c r="DQ439" s="29"/>
      <c r="DR439" s="29"/>
      <c r="DS439" s="29"/>
      <c r="DT439" s="29"/>
      <c r="DU439" s="29"/>
      <c r="DV439" s="29"/>
      <c r="DW439" s="29"/>
      <c r="DX439" s="29"/>
      <c r="DY439" s="29"/>
      <c r="DZ439" s="29"/>
      <c r="EA439" s="29"/>
      <c r="EB439" s="29"/>
      <c r="EC439" s="29"/>
      <c r="ED439" s="29"/>
      <c r="EE439" s="29"/>
      <c r="EF439" s="29"/>
      <c r="EG439" s="29"/>
      <c r="EH439" s="29"/>
      <c r="EI439" s="29"/>
      <c r="EJ439" s="29"/>
      <c r="EK439" s="29"/>
      <c r="EL439" s="29"/>
      <c r="EM439" s="29"/>
      <c r="EN439" s="29"/>
      <c r="EO439" s="29"/>
      <c r="EP439" s="29"/>
      <c r="EQ439" s="29"/>
      <c r="ER439" s="29"/>
      <c r="ES439" s="29"/>
      <c r="ET439" s="29"/>
      <c r="EU439" s="29"/>
      <c r="EV439" s="29"/>
      <c r="EW439" s="29"/>
      <c r="EX439" s="29"/>
      <c r="EY439" s="29"/>
      <c r="EZ439" s="29"/>
      <c r="FA439" s="29"/>
      <c r="FB439" s="29"/>
      <c r="FC439" s="29"/>
      <c r="FD439" s="29"/>
      <c r="FE439" s="29"/>
      <c r="FF439" s="29"/>
      <c r="FG439" s="29"/>
      <c r="FH439" s="29"/>
      <c r="FI439" s="29"/>
      <c r="FJ439" s="29"/>
      <c r="FK439" s="29"/>
      <c r="FL439" s="29"/>
      <c r="FM439" s="29"/>
      <c r="FN439" s="29"/>
      <c r="FO439" s="29"/>
      <c r="FP439" s="29"/>
      <c r="FQ439" s="29"/>
      <c r="FR439" s="14"/>
    </row>
    <row r="440" spans="3:174" s="28" customFormat="1" ht="12" customHeight="1">
      <c r="C440" s="43"/>
      <c r="E440" s="29"/>
      <c r="F440" s="29"/>
      <c r="G440" s="29"/>
      <c r="H440" s="29"/>
      <c r="I440" s="29"/>
      <c r="J440" s="29"/>
      <c r="K440" s="29"/>
      <c r="L440" s="29"/>
      <c r="M440" s="29"/>
      <c r="N440" s="29"/>
      <c r="O440" s="29"/>
      <c r="P440" s="29"/>
      <c r="Q440" s="29"/>
      <c r="R440" s="29"/>
      <c r="S440" s="29"/>
      <c r="T440" s="29"/>
      <c r="U440" s="29"/>
      <c r="V440" s="29"/>
      <c r="W440" s="29"/>
      <c r="X440" s="29"/>
      <c r="Y440" s="29"/>
      <c r="Z440" s="29"/>
      <c r="AA440" s="29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  <c r="AX440" s="29"/>
      <c r="AY440" s="29"/>
      <c r="AZ440" s="29"/>
      <c r="BA440" s="29"/>
      <c r="BB440" s="29"/>
      <c r="BC440" s="29"/>
      <c r="BD440" s="29"/>
      <c r="BE440" s="29"/>
      <c r="BF440" s="29"/>
      <c r="BG440" s="29"/>
      <c r="BH440" s="29"/>
      <c r="BI440" s="29"/>
      <c r="BJ440" s="29"/>
      <c r="BK440" s="29"/>
      <c r="BL440" s="29"/>
      <c r="BM440" s="29"/>
      <c r="BN440" s="29"/>
      <c r="BO440" s="29"/>
      <c r="BP440" s="29"/>
      <c r="BQ440" s="29"/>
      <c r="BR440" s="29"/>
      <c r="BS440" s="29"/>
      <c r="BT440" s="29"/>
      <c r="BU440" s="29"/>
      <c r="BV440" s="29"/>
      <c r="BW440" s="29"/>
      <c r="BX440" s="29"/>
      <c r="BY440" s="29"/>
      <c r="BZ440" s="29"/>
      <c r="CA440" s="29"/>
      <c r="CB440" s="29"/>
      <c r="CC440" s="29"/>
      <c r="CD440" s="29"/>
      <c r="CE440" s="29"/>
      <c r="CF440" s="29"/>
      <c r="CG440" s="29"/>
      <c r="CH440" s="29"/>
      <c r="CI440" s="29"/>
      <c r="CJ440" s="29"/>
      <c r="CK440" s="29"/>
      <c r="CL440" s="29"/>
      <c r="CM440" s="29"/>
      <c r="CN440" s="29"/>
      <c r="CO440" s="29"/>
      <c r="CP440" s="29"/>
      <c r="CQ440" s="29"/>
      <c r="CR440" s="29"/>
      <c r="CS440" s="29"/>
      <c r="CT440" s="29"/>
      <c r="CU440" s="29"/>
      <c r="CV440" s="29"/>
      <c r="CW440" s="29"/>
      <c r="CX440" s="29"/>
      <c r="CY440" s="29"/>
      <c r="CZ440" s="29"/>
      <c r="DA440" s="29"/>
      <c r="DB440" s="29"/>
      <c r="DC440" s="29"/>
      <c r="DD440" s="29"/>
      <c r="DE440" s="29"/>
      <c r="DF440" s="29"/>
      <c r="DG440" s="29"/>
      <c r="DH440" s="29"/>
      <c r="DI440" s="29"/>
      <c r="DJ440" s="29"/>
      <c r="DK440" s="29"/>
      <c r="DL440" s="29"/>
      <c r="DM440" s="29"/>
      <c r="DN440" s="29"/>
      <c r="DO440" s="29"/>
      <c r="DP440" s="29"/>
      <c r="DQ440" s="29"/>
      <c r="DR440" s="29"/>
      <c r="DS440" s="29"/>
      <c r="DT440" s="29"/>
      <c r="DU440" s="29"/>
      <c r="DV440" s="29"/>
      <c r="DW440" s="29"/>
      <c r="DX440" s="29"/>
      <c r="DY440" s="29"/>
      <c r="DZ440" s="29"/>
      <c r="EA440" s="29"/>
      <c r="EB440" s="29"/>
      <c r="EC440" s="29"/>
      <c r="ED440" s="29"/>
      <c r="EE440" s="29"/>
      <c r="EF440" s="29"/>
      <c r="EG440" s="29"/>
      <c r="EH440" s="29"/>
      <c r="EI440" s="29"/>
      <c r="EJ440" s="29"/>
      <c r="EK440" s="29"/>
      <c r="EL440" s="29"/>
      <c r="EM440" s="29"/>
      <c r="EN440" s="29"/>
      <c r="EO440" s="29"/>
      <c r="EP440" s="29"/>
      <c r="EQ440" s="29"/>
      <c r="ER440" s="29"/>
      <c r="ES440" s="29"/>
      <c r="ET440" s="29"/>
      <c r="EU440" s="29"/>
      <c r="EV440" s="29"/>
      <c r="EW440" s="29"/>
      <c r="EX440" s="29"/>
      <c r="EY440" s="29"/>
      <c r="EZ440" s="29"/>
      <c r="FA440" s="29"/>
      <c r="FB440" s="29"/>
      <c r="FC440" s="29"/>
      <c r="FD440" s="29"/>
      <c r="FE440" s="29"/>
      <c r="FF440" s="29"/>
      <c r="FG440" s="29"/>
      <c r="FH440" s="29"/>
      <c r="FI440" s="29"/>
      <c r="FJ440" s="29"/>
      <c r="FK440" s="29"/>
      <c r="FL440" s="29"/>
      <c r="FM440" s="29"/>
      <c r="FN440" s="29"/>
      <c r="FO440" s="29"/>
      <c r="FP440" s="29"/>
      <c r="FQ440" s="29"/>
      <c r="FR440" s="14"/>
    </row>
    <row r="441" spans="3:174" s="28" customFormat="1" ht="12" customHeight="1">
      <c r="C441" s="43"/>
      <c r="E441" s="29"/>
      <c r="F441" s="29"/>
      <c r="G441" s="29"/>
      <c r="H441" s="29"/>
      <c r="I441" s="29"/>
      <c r="J441" s="29"/>
      <c r="K441" s="29"/>
      <c r="L441" s="29"/>
      <c r="M441" s="29"/>
      <c r="N441" s="29"/>
      <c r="O441" s="29"/>
      <c r="P441" s="29"/>
      <c r="Q441" s="29"/>
      <c r="R441" s="29"/>
      <c r="S441" s="29"/>
      <c r="T441" s="29"/>
      <c r="U441" s="29"/>
      <c r="V441" s="29"/>
      <c r="W441" s="29"/>
      <c r="X441" s="29"/>
      <c r="Y441" s="29"/>
      <c r="Z441" s="29"/>
      <c r="AA441" s="29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  <c r="AX441" s="29"/>
      <c r="AY441" s="29"/>
      <c r="AZ441" s="29"/>
      <c r="BA441" s="29"/>
      <c r="BB441" s="29"/>
      <c r="BC441" s="29"/>
      <c r="BD441" s="29"/>
      <c r="BE441" s="29"/>
      <c r="BF441" s="29"/>
      <c r="BG441" s="29"/>
      <c r="BH441" s="29"/>
      <c r="BI441" s="29"/>
      <c r="BJ441" s="29"/>
      <c r="BK441" s="29"/>
      <c r="BL441" s="29"/>
      <c r="BM441" s="29"/>
      <c r="BN441" s="29"/>
      <c r="BO441" s="29"/>
      <c r="BP441" s="29"/>
      <c r="BQ441" s="29"/>
      <c r="BR441" s="29"/>
      <c r="BS441" s="29"/>
      <c r="BT441" s="29"/>
      <c r="BU441" s="29"/>
      <c r="BV441" s="29"/>
      <c r="BW441" s="29"/>
      <c r="BX441" s="29"/>
      <c r="BY441" s="29"/>
      <c r="BZ441" s="29"/>
      <c r="CA441" s="29"/>
      <c r="CB441" s="29"/>
      <c r="CC441" s="29"/>
      <c r="CD441" s="29"/>
      <c r="CE441" s="29"/>
      <c r="CF441" s="29"/>
      <c r="CG441" s="29"/>
      <c r="CH441" s="29"/>
      <c r="CI441" s="29"/>
      <c r="CJ441" s="29"/>
      <c r="CK441" s="29"/>
      <c r="CL441" s="29"/>
      <c r="CM441" s="29"/>
      <c r="CN441" s="29"/>
      <c r="CO441" s="29"/>
      <c r="CP441" s="29"/>
      <c r="CQ441" s="29"/>
      <c r="CR441" s="29"/>
      <c r="CS441" s="29"/>
      <c r="CT441" s="29"/>
      <c r="CU441" s="29"/>
      <c r="CV441" s="29"/>
      <c r="CW441" s="29"/>
      <c r="CX441" s="29"/>
      <c r="CY441" s="29"/>
      <c r="CZ441" s="29"/>
      <c r="DA441" s="29"/>
      <c r="DB441" s="29"/>
      <c r="DC441" s="29"/>
      <c r="DD441" s="29"/>
      <c r="DE441" s="29"/>
      <c r="DF441" s="29"/>
      <c r="DG441" s="29"/>
      <c r="DH441" s="29"/>
      <c r="DI441" s="29"/>
      <c r="DJ441" s="29"/>
      <c r="DK441" s="29"/>
      <c r="DL441" s="29"/>
      <c r="DM441" s="29"/>
      <c r="DN441" s="29"/>
      <c r="DO441" s="29"/>
      <c r="DP441" s="29"/>
      <c r="DQ441" s="29"/>
      <c r="DR441" s="29"/>
      <c r="DS441" s="29"/>
      <c r="DT441" s="29"/>
      <c r="DU441" s="29"/>
      <c r="DV441" s="29"/>
      <c r="DW441" s="29"/>
      <c r="DX441" s="29"/>
      <c r="DY441" s="29"/>
      <c r="DZ441" s="29"/>
      <c r="EA441" s="29"/>
      <c r="EB441" s="29"/>
      <c r="EC441" s="29"/>
      <c r="ED441" s="29"/>
      <c r="EE441" s="29"/>
      <c r="EF441" s="29"/>
      <c r="EG441" s="29"/>
      <c r="EH441" s="29"/>
      <c r="EI441" s="29"/>
      <c r="EJ441" s="29"/>
      <c r="EK441" s="29"/>
      <c r="EL441" s="29"/>
      <c r="EM441" s="29"/>
      <c r="EN441" s="29"/>
      <c r="EO441" s="29"/>
      <c r="EP441" s="29"/>
      <c r="EQ441" s="29"/>
      <c r="ER441" s="29"/>
      <c r="ES441" s="29"/>
      <c r="ET441" s="29"/>
      <c r="EU441" s="29"/>
      <c r="EV441" s="29"/>
      <c r="EW441" s="29"/>
      <c r="EX441" s="29"/>
      <c r="EY441" s="29"/>
      <c r="EZ441" s="29"/>
      <c r="FA441" s="29"/>
      <c r="FB441" s="29"/>
      <c r="FC441" s="29"/>
      <c r="FD441" s="29"/>
      <c r="FE441" s="29"/>
      <c r="FF441" s="29"/>
      <c r="FG441" s="29"/>
      <c r="FH441" s="29"/>
      <c r="FI441" s="29"/>
      <c r="FJ441" s="29"/>
      <c r="FK441" s="29"/>
      <c r="FL441" s="29"/>
      <c r="FM441" s="29"/>
      <c r="FN441" s="29"/>
      <c r="FO441" s="29"/>
      <c r="FP441" s="29"/>
      <c r="FQ441" s="29"/>
      <c r="FR441" s="14"/>
    </row>
    <row r="442" spans="3:174" s="28" customFormat="1" ht="12" customHeight="1">
      <c r="C442" s="43"/>
      <c r="E442" s="29"/>
      <c r="F442" s="29"/>
      <c r="G442" s="29"/>
      <c r="H442" s="29"/>
      <c r="I442" s="29"/>
      <c r="J442" s="29"/>
      <c r="K442" s="29"/>
      <c r="L442" s="29"/>
      <c r="M442" s="29"/>
      <c r="N442" s="29"/>
      <c r="O442" s="29"/>
      <c r="P442" s="29"/>
      <c r="Q442" s="29"/>
      <c r="R442" s="29"/>
      <c r="S442" s="29"/>
      <c r="T442" s="29"/>
      <c r="U442" s="29"/>
      <c r="V442" s="29"/>
      <c r="W442" s="29"/>
      <c r="X442" s="29"/>
      <c r="Y442" s="29"/>
      <c r="Z442" s="29"/>
      <c r="AA442" s="29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  <c r="AX442" s="29"/>
      <c r="AY442" s="29"/>
      <c r="AZ442" s="29"/>
      <c r="BA442" s="29"/>
      <c r="BB442" s="29"/>
      <c r="BC442" s="29"/>
      <c r="BD442" s="29"/>
      <c r="BE442" s="29"/>
      <c r="BF442" s="29"/>
      <c r="BG442" s="29"/>
      <c r="BH442" s="29"/>
      <c r="BI442" s="29"/>
      <c r="BJ442" s="29"/>
      <c r="BK442" s="29"/>
      <c r="BL442" s="29"/>
      <c r="BM442" s="29"/>
      <c r="BN442" s="29"/>
      <c r="BO442" s="29"/>
      <c r="BP442" s="29"/>
      <c r="BQ442" s="29"/>
      <c r="BR442" s="29"/>
      <c r="BS442" s="29"/>
      <c r="BT442" s="29"/>
      <c r="BU442" s="29"/>
      <c r="BV442" s="29"/>
      <c r="BW442" s="29"/>
      <c r="BX442" s="29"/>
      <c r="BY442" s="29"/>
      <c r="BZ442" s="29"/>
      <c r="CA442" s="29"/>
      <c r="CB442" s="29"/>
      <c r="CC442" s="29"/>
      <c r="CD442" s="29"/>
      <c r="CE442" s="29"/>
      <c r="CF442" s="29"/>
      <c r="CG442" s="29"/>
      <c r="CH442" s="29"/>
      <c r="CI442" s="29"/>
      <c r="CJ442" s="29"/>
      <c r="CK442" s="29"/>
      <c r="CL442" s="29"/>
      <c r="CM442" s="29"/>
      <c r="CN442" s="29"/>
      <c r="CO442" s="29"/>
      <c r="CP442" s="29"/>
      <c r="CQ442" s="29"/>
      <c r="CR442" s="29"/>
      <c r="CS442" s="29"/>
      <c r="CT442" s="29"/>
      <c r="CU442" s="29"/>
      <c r="CV442" s="29"/>
      <c r="CW442" s="29"/>
      <c r="CX442" s="29"/>
      <c r="CY442" s="29"/>
      <c r="CZ442" s="29"/>
      <c r="DA442" s="29"/>
      <c r="DB442" s="29"/>
      <c r="DC442" s="29"/>
      <c r="DD442" s="29"/>
      <c r="DE442" s="29"/>
      <c r="DF442" s="29"/>
      <c r="DG442" s="29"/>
      <c r="DH442" s="29"/>
      <c r="DI442" s="29"/>
      <c r="DJ442" s="29"/>
      <c r="DK442" s="29"/>
      <c r="DL442" s="29"/>
      <c r="DM442" s="29"/>
      <c r="DN442" s="29"/>
      <c r="DO442" s="29"/>
      <c r="DP442" s="29"/>
      <c r="DQ442" s="29"/>
      <c r="DR442" s="29"/>
      <c r="DS442" s="29"/>
      <c r="DT442" s="29"/>
      <c r="DU442" s="29"/>
      <c r="DV442" s="29"/>
      <c r="DW442" s="29"/>
      <c r="DX442" s="29"/>
      <c r="DY442" s="29"/>
      <c r="DZ442" s="29"/>
      <c r="EA442" s="29"/>
      <c r="EB442" s="29"/>
      <c r="EC442" s="29"/>
      <c r="ED442" s="29"/>
      <c r="EE442" s="29"/>
      <c r="EF442" s="29"/>
      <c r="EG442" s="29"/>
      <c r="EH442" s="29"/>
      <c r="EI442" s="29"/>
      <c r="EJ442" s="29"/>
      <c r="EK442" s="29"/>
      <c r="EL442" s="29"/>
      <c r="EM442" s="29"/>
      <c r="EN442" s="29"/>
      <c r="EO442" s="29"/>
      <c r="EP442" s="29"/>
      <c r="EQ442" s="29"/>
      <c r="ER442" s="29"/>
      <c r="ES442" s="29"/>
      <c r="ET442" s="29"/>
      <c r="EU442" s="29"/>
      <c r="EV442" s="29"/>
      <c r="EW442" s="29"/>
      <c r="EX442" s="29"/>
      <c r="EY442" s="29"/>
      <c r="EZ442" s="29"/>
      <c r="FA442" s="29"/>
      <c r="FB442" s="29"/>
      <c r="FC442" s="29"/>
      <c r="FD442" s="29"/>
      <c r="FE442" s="29"/>
      <c r="FF442" s="29"/>
      <c r="FG442" s="29"/>
      <c r="FH442" s="29"/>
      <c r="FI442" s="29"/>
      <c r="FJ442" s="29"/>
      <c r="FK442" s="29"/>
      <c r="FL442" s="29"/>
      <c r="FM442" s="29"/>
      <c r="FN442" s="29"/>
      <c r="FO442" s="29"/>
      <c r="FP442" s="29"/>
      <c r="FQ442" s="29"/>
      <c r="FR442" s="14"/>
    </row>
    <row r="443" spans="3:174" s="28" customFormat="1" ht="12" customHeight="1">
      <c r="C443" s="43"/>
      <c r="E443" s="29"/>
      <c r="F443" s="29"/>
      <c r="G443" s="29"/>
      <c r="H443" s="29"/>
      <c r="I443" s="29"/>
      <c r="J443" s="29"/>
      <c r="K443" s="29"/>
      <c r="L443" s="29"/>
      <c r="M443" s="29"/>
      <c r="N443" s="29"/>
      <c r="O443" s="29"/>
      <c r="P443" s="29"/>
      <c r="Q443" s="29"/>
      <c r="R443" s="29"/>
      <c r="S443" s="29"/>
      <c r="T443" s="29"/>
      <c r="U443" s="29"/>
      <c r="V443" s="29"/>
      <c r="W443" s="29"/>
      <c r="X443" s="29"/>
      <c r="Y443" s="29"/>
      <c r="Z443" s="29"/>
      <c r="AA443" s="29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  <c r="AX443" s="29"/>
      <c r="AY443" s="29"/>
      <c r="AZ443" s="29"/>
      <c r="BA443" s="29"/>
      <c r="BB443" s="29"/>
      <c r="BC443" s="29"/>
      <c r="BD443" s="29"/>
      <c r="BE443" s="29"/>
      <c r="BF443" s="29"/>
      <c r="BG443" s="29"/>
      <c r="BH443" s="29"/>
      <c r="BI443" s="29"/>
      <c r="BJ443" s="29"/>
      <c r="BK443" s="29"/>
      <c r="BL443" s="29"/>
      <c r="BM443" s="29"/>
      <c r="BN443" s="29"/>
      <c r="BO443" s="29"/>
      <c r="BP443" s="29"/>
      <c r="BQ443" s="29"/>
      <c r="BR443" s="29"/>
      <c r="BS443" s="29"/>
      <c r="BT443" s="29"/>
      <c r="BU443" s="29"/>
      <c r="BV443" s="29"/>
      <c r="BW443" s="29"/>
      <c r="BX443" s="29"/>
      <c r="BY443" s="29"/>
      <c r="BZ443" s="29"/>
      <c r="CA443" s="29"/>
      <c r="CB443" s="29"/>
      <c r="CC443" s="29"/>
      <c r="CD443" s="29"/>
      <c r="CE443" s="29"/>
      <c r="CF443" s="29"/>
      <c r="CG443" s="29"/>
      <c r="CH443" s="29"/>
      <c r="CI443" s="29"/>
      <c r="CJ443" s="29"/>
      <c r="CK443" s="29"/>
      <c r="CL443" s="29"/>
      <c r="CM443" s="29"/>
      <c r="CN443" s="29"/>
      <c r="CO443" s="29"/>
      <c r="CP443" s="29"/>
      <c r="CQ443" s="29"/>
      <c r="CR443" s="29"/>
      <c r="CS443" s="29"/>
      <c r="CT443" s="29"/>
      <c r="CU443" s="29"/>
      <c r="CV443" s="29"/>
      <c r="CW443" s="29"/>
      <c r="CX443" s="29"/>
      <c r="CY443" s="29"/>
      <c r="CZ443" s="29"/>
      <c r="DA443" s="29"/>
      <c r="DB443" s="29"/>
      <c r="DC443" s="29"/>
      <c r="DD443" s="29"/>
      <c r="DE443" s="29"/>
      <c r="DF443" s="29"/>
      <c r="DG443" s="29"/>
      <c r="DH443" s="29"/>
      <c r="DI443" s="29"/>
      <c r="DJ443" s="29"/>
      <c r="DK443" s="29"/>
      <c r="DL443" s="29"/>
      <c r="DM443" s="29"/>
      <c r="DN443" s="29"/>
      <c r="DO443" s="29"/>
      <c r="DP443" s="29"/>
      <c r="DQ443" s="29"/>
      <c r="DR443" s="29"/>
      <c r="DS443" s="29"/>
      <c r="DT443" s="29"/>
      <c r="DU443" s="29"/>
      <c r="DV443" s="29"/>
      <c r="DW443" s="29"/>
      <c r="DX443" s="29"/>
      <c r="DY443" s="29"/>
      <c r="DZ443" s="29"/>
      <c r="EA443" s="29"/>
      <c r="EB443" s="29"/>
      <c r="EC443" s="29"/>
      <c r="ED443" s="29"/>
      <c r="EE443" s="29"/>
      <c r="EF443" s="29"/>
      <c r="EG443" s="29"/>
      <c r="EH443" s="29"/>
      <c r="EI443" s="29"/>
      <c r="EJ443" s="29"/>
      <c r="EK443" s="29"/>
      <c r="EL443" s="29"/>
      <c r="EM443" s="29"/>
      <c r="EN443" s="29"/>
      <c r="EO443" s="29"/>
      <c r="EP443" s="29"/>
      <c r="EQ443" s="29"/>
      <c r="ER443" s="29"/>
      <c r="ES443" s="29"/>
      <c r="ET443" s="29"/>
      <c r="EU443" s="29"/>
      <c r="EV443" s="29"/>
      <c r="EW443" s="29"/>
      <c r="EX443" s="29"/>
      <c r="EY443" s="29"/>
      <c r="EZ443" s="29"/>
      <c r="FA443" s="29"/>
      <c r="FB443" s="29"/>
      <c r="FC443" s="29"/>
      <c r="FD443" s="29"/>
      <c r="FE443" s="29"/>
      <c r="FF443" s="29"/>
      <c r="FG443" s="29"/>
      <c r="FH443" s="29"/>
      <c r="FI443" s="29"/>
      <c r="FJ443" s="29"/>
      <c r="FK443" s="29"/>
      <c r="FL443" s="29"/>
      <c r="FM443" s="29"/>
      <c r="FN443" s="29"/>
      <c r="FO443" s="29"/>
      <c r="FP443" s="29"/>
      <c r="FQ443" s="29"/>
      <c r="FR443" s="14"/>
    </row>
    <row r="444" spans="3:174" s="28" customFormat="1" ht="12" customHeight="1">
      <c r="C444" s="43"/>
      <c r="E444" s="29"/>
      <c r="F444" s="29"/>
      <c r="G444" s="29"/>
      <c r="H444" s="29"/>
      <c r="I444" s="29"/>
      <c r="J444" s="29"/>
      <c r="K444" s="29"/>
      <c r="L444" s="29"/>
      <c r="M444" s="29"/>
      <c r="N444" s="29"/>
      <c r="O444" s="29"/>
      <c r="P444" s="29"/>
      <c r="Q444" s="29"/>
      <c r="R444" s="29"/>
      <c r="S444" s="29"/>
      <c r="T444" s="29"/>
      <c r="U444" s="29"/>
      <c r="V444" s="29"/>
      <c r="W444" s="29"/>
      <c r="X444" s="29"/>
      <c r="Y444" s="29"/>
      <c r="Z444" s="29"/>
      <c r="AA444" s="29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  <c r="AX444" s="29"/>
      <c r="AY444" s="29"/>
      <c r="AZ444" s="29"/>
      <c r="BA444" s="29"/>
      <c r="BB444" s="29"/>
      <c r="BC444" s="29"/>
      <c r="BD444" s="29"/>
      <c r="BE444" s="29"/>
      <c r="BF444" s="29"/>
      <c r="BG444" s="29"/>
      <c r="BH444" s="29"/>
      <c r="BI444" s="29"/>
      <c r="BJ444" s="29"/>
      <c r="BK444" s="29"/>
      <c r="BL444" s="29"/>
      <c r="BM444" s="29"/>
      <c r="BN444" s="29"/>
      <c r="BO444" s="29"/>
      <c r="BP444" s="29"/>
      <c r="BQ444" s="29"/>
      <c r="BR444" s="29"/>
      <c r="BS444" s="29"/>
      <c r="BT444" s="29"/>
      <c r="BU444" s="29"/>
      <c r="BV444" s="29"/>
      <c r="BW444" s="29"/>
      <c r="BX444" s="29"/>
      <c r="BY444" s="29"/>
      <c r="BZ444" s="29"/>
      <c r="CA444" s="29"/>
      <c r="CB444" s="29"/>
      <c r="CC444" s="29"/>
      <c r="CD444" s="29"/>
      <c r="CE444" s="29"/>
      <c r="CF444" s="29"/>
      <c r="CG444" s="29"/>
      <c r="CH444" s="29"/>
      <c r="CI444" s="29"/>
      <c r="CJ444" s="29"/>
      <c r="CK444" s="29"/>
      <c r="CL444" s="29"/>
      <c r="CM444" s="29"/>
      <c r="CN444" s="29"/>
      <c r="CO444" s="29"/>
      <c r="CP444" s="29"/>
      <c r="CQ444" s="29"/>
      <c r="CR444" s="29"/>
      <c r="CS444" s="29"/>
      <c r="CT444" s="29"/>
      <c r="CU444" s="29"/>
      <c r="CV444" s="29"/>
      <c r="CW444" s="29"/>
      <c r="CX444" s="29"/>
      <c r="CY444" s="29"/>
      <c r="CZ444" s="29"/>
      <c r="DA444" s="29"/>
      <c r="DB444" s="29"/>
      <c r="DC444" s="29"/>
      <c r="DD444" s="29"/>
      <c r="DE444" s="29"/>
      <c r="DF444" s="29"/>
      <c r="DG444" s="29"/>
      <c r="DH444" s="29"/>
      <c r="DI444" s="29"/>
      <c r="DJ444" s="29"/>
      <c r="DK444" s="29"/>
      <c r="DL444" s="29"/>
      <c r="DM444" s="29"/>
      <c r="DN444" s="29"/>
      <c r="DO444" s="29"/>
      <c r="DP444" s="29"/>
      <c r="DQ444" s="29"/>
      <c r="DR444" s="29"/>
      <c r="DS444" s="29"/>
      <c r="DT444" s="29"/>
      <c r="DU444" s="29"/>
      <c r="DV444" s="29"/>
      <c r="DW444" s="29"/>
      <c r="DX444" s="29"/>
      <c r="DY444" s="29"/>
      <c r="DZ444" s="29"/>
      <c r="EA444" s="29"/>
      <c r="EB444" s="29"/>
      <c r="EC444" s="29"/>
      <c r="ED444" s="29"/>
      <c r="EE444" s="29"/>
      <c r="EF444" s="29"/>
      <c r="EG444" s="29"/>
      <c r="EH444" s="29"/>
      <c r="EI444" s="29"/>
      <c r="EJ444" s="29"/>
      <c r="EK444" s="29"/>
      <c r="EL444" s="29"/>
      <c r="EM444" s="29"/>
      <c r="EN444" s="29"/>
      <c r="EO444" s="29"/>
      <c r="EP444" s="29"/>
      <c r="EQ444" s="29"/>
      <c r="ER444" s="29"/>
      <c r="ES444" s="29"/>
      <c r="ET444" s="29"/>
      <c r="EU444" s="29"/>
      <c r="EV444" s="29"/>
      <c r="EW444" s="29"/>
      <c r="EX444" s="29"/>
      <c r="EY444" s="29"/>
      <c r="EZ444" s="29"/>
      <c r="FA444" s="29"/>
      <c r="FB444" s="29"/>
      <c r="FC444" s="29"/>
      <c r="FD444" s="29"/>
      <c r="FE444" s="29"/>
      <c r="FF444" s="29"/>
      <c r="FG444" s="29"/>
      <c r="FH444" s="29"/>
      <c r="FI444" s="29"/>
      <c r="FJ444" s="29"/>
      <c r="FK444" s="29"/>
      <c r="FL444" s="29"/>
      <c r="FM444" s="29"/>
      <c r="FN444" s="29"/>
      <c r="FO444" s="29"/>
      <c r="FP444" s="29"/>
      <c r="FQ444" s="29"/>
      <c r="FR444" s="14"/>
    </row>
    <row r="445" spans="3:174" s="28" customFormat="1" ht="12" customHeight="1">
      <c r="C445" s="43"/>
      <c r="E445" s="29"/>
      <c r="F445" s="29"/>
      <c r="G445" s="29"/>
      <c r="H445" s="29"/>
      <c r="I445" s="29"/>
      <c r="J445" s="29"/>
      <c r="K445" s="29"/>
      <c r="L445" s="29"/>
      <c r="M445" s="29"/>
      <c r="N445" s="29"/>
      <c r="O445" s="29"/>
      <c r="P445" s="29"/>
      <c r="Q445" s="29"/>
      <c r="R445" s="29"/>
      <c r="S445" s="29"/>
      <c r="T445" s="29"/>
      <c r="U445" s="29"/>
      <c r="V445" s="29"/>
      <c r="W445" s="29"/>
      <c r="X445" s="29"/>
      <c r="Y445" s="29"/>
      <c r="Z445" s="29"/>
      <c r="AA445" s="29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  <c r="AX445" s="29"/>
      <c r="AY445" s="29"/>
      <c r="AZ445" s="29"/>
      <c r="BA445" s="29"/>
      <c r="BB445" s="29"/>
      <c r="BC445" s="29"/>
      <c r="BD445" s="29"/>
      <c r="BE445" s="29"/>
      <c r="BF445" s="29"/>
      <c r="BG445" s="29"/>
      <c r="BH445" s="29"/>
      <c r="BI445" s="29"/>
      <c r="BJ445" s="29"/>
      <c r="BK445" s="29"/>
      <c r="BL445" s="29"/>
      <c r="BM445" s="29"/>
      <c r="BN445" s="29"/>
      <c r="BO445" s="29"/>
      <c r="BP445" s="29"/>
      <c r="BQ445" s="29"/>
      <c r="BR445" s="29"/>
      <c r="BS445" s="29"/>
      <c r="BT445" s="29"/>
      <c r="BU445" s="29"/>
      <c r="BV445" s="29"/>
      <c r="BW445" s="29"/>
      <c r="BX445" s="29"/>
      <c r="BY445" s="29"/>
      <c r="BZ445" s="29"/>
      <c r="CA445" s="29"/>
      <c r="CB445" s="29"/>
      <c r="CC445" s="29"/>
      <c r="CD445" s="29"/>
      <c r="CE445" s="29"/>
      <c r="CF445" s="29"/>
      <c r="CG445" s="29"/>
      <c r="CH445" s="29"/>
      <c r="CI445" s="29"/>
      <c r="CJ445" s="29"/>
      <c r="CK445" s="29"/>
      <c r="CL445" s="29"/>
      <c r="CM445" s="29"/>
      <c r="CN445" s="29"/>
      <c r="CO445" s="29"/>
      <c r="CP445" s="29"/>
      <c r="CQ445" s="29"/>
      <c r="CR445" s="29"/>
      <c r="CS445" s="29"/>
      <c r="CT445" s="29"/>
      <c r="CU445" s="29"/>
      <c r="CV445" s="29"/>
      <c r="CW445" s="29"/>
      <c r="CX445" s="29"/>
      <c r="CY445" s="29"/>
      <c r="CZ445" s="29"/>
      <c r="DA445" s="29"/>
      <c r="DB445" s="29"/>
      <c r="DC445" s="29"/>
      <c r="DD445" s="29"/>
      <c r="DE445" s="29"/>
      <c r="DF445" s="29"/>
      <c r="DG445" s="29"/>
      <c r="DH445" s="29"/>
      <c r="DI445" s="29"/>
      <c r="DJ445" s="29"/>
      <c r="DK445" s="29"/>
      <c r="DL445" s="29"/>
      <c r="DM445" s="29"/>
      <c r="DN445" s="29"/>
      <c r="DO445" s="29"/>
      <c r="DP445" s="29"/>
      <c r="DQ445" s="29"/>
      <c r="DR445" s="29"/>
      <c r="DS445" s="29"/>
      <c r="DT445" s="29"/>
      <c r="DU445" s="29"/>
      <c r="DV445" s="29"/>
      <c r="DW445" s="29"/>
      <c r="DX445" s="29"/>
      <c r="DY445" s="29"/>
      <c r="DZ445" s="29"/>
      <c r="EA445" s="29"/>
      <c r="EB445" s="29"/>
      <c r="EC445" s="29"/>
      <c r="ED445" s="29"/>
      <c r="EE445" s="29"/>
      <c r="EF445" s="29"/>
      <c r="EG445" s="29"/>
      <c r="EH445" s="29"/>
      <c r="EI445" s="29"/>
      <c r="EJ445" s="29"/>
      <c r="EK445" s="29"/>
      <c r="EL445" s="29"/>
      <c r="EM445" s="29"/>
      <c r="EN445" s="29"/>
      <c r="EO445" s="29"/>
      <c r="EP445" s="29"/>
      <c r="EQ445" s="29"/>
      <c r="ER445" s="29"/>
      <c r="ES445" s="29"/>
      <c r="ET445" s="29"/>
      <c r="EU445" s="29"/>
      <c r="EV445" s="29"/>
      <c r="EW445" s="29"/>
      <c r="EX445" s="29"/>
      <c r="EY445" s="29"/>
      <c r="EZ445" s="29"/>
      <c r="FA445" s="29"/>
      <c r="FB445" s="29"/>
      <c r="FC445" s="29"/>
      <c r="FD445" s="29"/>
      <c r="FE445" s="29"/>
      <c r="FF445" s="29"/>
      <c r="FG445" s="29"/>
      <c r="FH445" s="29"/>
      <c r="FI445" s="29"/>
      <c r="FJ445" s="29"/>
      <c r="FK445" s="29"/>
      <c r="FL445" s="29"/>
      <c r="FM445" s="29"/>
      <c r="FN445" s="29"/>
      <c r="FO445" s="29"/>
      <c r="FP445" s="29"/>
      <c r="FQ445" s="29"/>
      <c r="FR445" s="14"/>
    </row>
    <row r="446" spans="3:174" s="28" customFormat="1" ht="12" customHeight="1">
      <c r="C446" s="43"/>
      <c r="E446" s="29"/>
      <c r="F446" s="29"/>
      <c r="G446" s="29"/>
      <c r="H446" s="29"/>
      <c r="I446" s="29"/>
      <c r="J446" s="29"/>
      <c r="K446" s="29"/>
      <c r="L446" s="29"/>
      <c r="M446" s="29"/>
      <c r="N446" s="29"/>
      <c r="O446" s="29"/>
      <c r="P446" s="29"/>
      <c r="Q446" s="29"/>
      <c r="R446" s="29"/>
      <c r="S446" s="29"/>
      <c r="T446" s="29"/>
      <c r="U446" s="29"/>
      <c r="V446" s="29"/>
      <c r="W446" s="29"/>
      <c r="X446" s="29"/>
      <c r="Y446" s="29"/>
      <c r="Z446" s="29"/>
      <c r="AA446" s="29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  <c r="AX446" s="29"/>
      <c r="AY446" s="29"/>
      <c r="AZ446" s="29"/>
      <c r="BA446" s="29"/>
      <c r="BB446" s="29"/>
      <c r="BC446" s="29"/>
      <c r="BD446" s="29"/>
      <c r="BE446" s="29"/>
      <c r="BF446" s="29"/>
      <c r="BG446" s="29"/>
      <c r="BH446" s="29"/>
      <c r="BI446" s="29"/>
      <c r="BJ446" s="29"/>
      <c r="BK446" s="29"/>
      <c r="BL446" s="29"/>
      <c r="BM446" s="29"/>
      <c r="BN446" s="29"/>
      <c r="BO446" s="29"/>
      <c r="BP446" s="29"/>
      <c r="BQ446" s="29"/>
      <c r="BR446" s="29"/>
      <c r="BS446" s="29"/>
      <c r="BT446" s="29"/>
      <c r="BU446" s="29"/>
      <c r="BV446" s="29"/>
      <c r="BW446" s="29"/>
      <c r="BX446" s="29"/>
      <c r="BY446" s="29"/>
      <c r="BZ446" s="29"/>
      <c r="CA446" s="29"/>
      <c r="CB446" s="29"/>
      <c r="CC446" s="29"/>
      <c r="CD446" s="29"/>
      <c r="CE446" s="29"/>
      <c r="CF446" s="29"/>
      <c r="CG446" s="29"/>
      <c r="CH446" s="29"/>
      <c r="CI446" s="29"/>
      <c r="CJ446" s="29"/>
      <c r="CK446" s="29"/>
      <c r="CL446" s="29"/>
      <c r="CM446" s="29"/>
      <c r="CN446" s="29"/>
      <c r="CO446" s="29"/>
      <c r="CP446" s="29"/>
      <c r="CQ446" s="29"/>
      <c r="CR446" s="29"/>
      <c r="CS446" s="29"/>
      <c r="CT446" s="29"/>
      <c r="CU446" s="29"/>
      <c r="CV446" s="29"/>
      <c r="CW446" s="29"/>
      <c r="CX446" s="29"/>
      <c r="CY446" s="29"/>
      <c r="CZ446" s="29"/>
      <c r="DA446" s="29"/>
      <c r="DB446" s="29"/>
      <c r="DC446" s="29"/>
      <c r="DD446" s="29"/>
      <c r="DE446" s="29"/>
      <c r="DF446" s="29"/>
      <c r="DG446" s="29"/>
      <c r="DH446" s="29"/>
      <c r="DI446" s="29"/>
      <c r="DJ446" s="29"/>
      <c r="DK446" s="29"/>
      <c r="DL446" s="29"/>
      <c r="DM446" s="29"/>
      <c r="DN446" s="29"/>
      <c r="DO446" s="29"/>
      <c r="DP446" s="29"/>
      <c r="DQ446" s="29"/>
      <c r="DR446" s="29"/>
      <c r="DS446" s="29"/>
      <c r="DT446" s="29"/>
      <c r="DU446" s="29"/>
      <c r="DV446" s="29"/>
      <c r="DW446" s="29"/>
      <c r="DX446" s="29"/>
      <c r="DY446" s="29"/>
      <c r="DZ446" s="29"/>
      <c r="EA446" s="29"/>
      <c r="EB446" s="29"/>
      <c r="EC446" s="29"/>
      <c r="ED446" s="29"/>
      <c r="EE446" s="29"/>
      <c r="EF446" s="29"/>
      <c r="EG446" s="29"/>
      <c r="EH446" s="29"/>
      <c r="EI446" s="29"/>
      <c r="EJ446" s="29"/>
      <c r="EK446" s="29"/>
      <c r="EL446" s="29"/>
      <c r="EM446" s="29"/>
      <c r="EN446" s="29"/>
      <c r="EO446" s="29"/>
      <c r="EP446" s="29"/>
      <c r="EQ446" s="29"/>
      <c r="ER446" s="29"/>
      <c r="ES446" s="29"/>
      <c r="ET446" s="29"/>
      <c r="EU446" s="29"/>
      <c r="EV446" s="29"/>
      <c r="EW446" s="29"/>
      <c r="EX446" s="29"/>
      <c r="EY446" s="29"/>
      <c r="EZ446" s="29"/>
      <c r="FA446" s="29"/>
      <c r="FB446" s="29"/>
      <c r="FC446" s="29"/>
      <c r="FD446" s="29"/>
      <c r="FE446" s="29"/>
      <c r="FF446" s="29"/>
      <c r="FG446" s="29"/>
      <c r="FH446" s="29"/>
      <c r="FI446" s="29"/>
      <c r="FJ446" s="29"/>
      <c r="FK446" s="29"/>
      <c r="FL446" s="29"/>
      <c r="FM446" s="29"/>
      <c r="FN446" s="29"/>
      <c r="FO446" s="29"/>
      <c r="FP446" s="29"/>
      <c r="FQ446" s="29"/>
      <c r="FR446" s="14"/>
    </row>
    <row r="447" spans="3:174" s="28" customFormat="1" ht="12" customHeight="1">
      <c r="C447" s="43"/>
      <c r="E447" s="29"/>
      <c r="F447" s="29"/>
      <c r="G447" s="29"/>
      <c r="H447" s="29"/>
      <c r="I447" s="29"/>
      <c r="J447" s="29"/>
      <c r="K447" s="29"/>
      <c r="L447" s="29"/>
      <c r="M447" s="29"/>
      <c r="N447" s="29"/>
      <c r="O447" s="29"/>
      <c r="P447" s="29"/>
      <c r="Q447" s="29"/>
      <c r="R447" s="29"/>
      <c r="S447" s="29"/>
      <c r="T447" s="29"/>
      <c r="U447" s="29"/>
      <c r="V447" s="29"/>
      <c r="W447" s="29"/>
      <c r="X447" s="29"/>
      <c r="Y447" s="29"/>
      <c r="Z447" s="29"/>
      <c r="AA447" s="29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  <c r="AX447" s="29"/>
      <c r="AY447" s="29"/>
      <c r="AZ447" s="29"/>
      <c r="BA447" s="29"/>
      <c r="BB447" s="29"/>
      <c r="BC447" s="29"/>
      <c r="BD447" s="29"/>
      <c r="BE447" s="29"/>
      <c r="BF447" s="29"/>
      <c r="BG447" s="29"/>
      <c r="BH447" s="29"/>
      <c r="BI447" s="29"/>
      <c r="BJ447" s="29"/>
      <c r="BK447" s="29"/>
      <c r="BL447" s="29"/>
      <c r="BM447" s="29"/>
      <c r="BN447" s="29"/>
      <c r="BO447" s="29"/>
      <c r="BP447" s="29"/>
      <c r="BQ447" s="29"/>
      <c r="BR447" s="29"/>
      <c r="BS447" s="29"/>
      <c r="BT447" s="29"/>
      <c r="BU447" s="29"/>
      <c r="BV447" s="29"/>
      <c r="BW447" s="29"/>
      <c r="BX447" s="29"/>
      <c r="BY447" s="29"/>
      <c r="BZ447" s="29"/>
      <c r="CA447" s="29"/>
      <c r="CB447" s="29"/>
      <c r="CC447" s="29"/>
      <c r="CD447" s="29"/>
      <c r="CE447" s="29"/>
      <c r="CF447" s="29"/>
      <c r="CG447" s="29"/>
      <c r="CH447" s="29"/>
      <c r="CI447" s="29"/>
      <c r="CJ447" s="29"/>
      <c r="CK447" s="29"/>
      <c r="CL447" s="29"/>
      <c r="CM447" s="29"/>
      <c r="CN447" s="29"/>
      <c r="CO447" s="29"/>
      <c r="CP447" s="29"/>
      <c r="CQ447" s="29"/>
      <c r="CR447" s="29"/>
      <c r="CS447" s="29"/>
      <c r="CT447" s="29"/>
      <c r="CU447" s="29"/>
      <c r="CV447" s="29"/>
      <c r="CW447" s="29"/>
      <c r="CX447" s="29"/>
      <c r="CY447" s="29"/>
      <c r="CZ447" s="29"/>
      <c r="DA447" s="29"/>
      <c r="DB447" s="29"/>
      <c r="DC447" s="29"/>
      <c r="DD447" s="29"/>
      <c r="DE447" s="29"/>
      <c r="DF447" s="29"/>
      <c r="DG447" s="29"/>
      <c r="DH447" s="29"/>
      <c r="DI447" s="29"/>
      <c r="DJ447" s="29"/>
      <c r="DK447" s="29"/>
      <c r="DL447" s="29"/>
      <c r="DM447" s="29"/>
      <c r="DN447" s="29"/>
      <c r="DO447" s="29"/>
      <c r="DP447" s="29"/>
      <c r="DQ447" s="29"/>
      <c r="DR447" s="29"/>
      <c r="DS447" s="29"/>
      <c r="DT447" s="29"/>
      <c r="DU447" s="29"/>
      <c r="DV447" s="29"/>
      <c r="DW447" s="29"/>
      <c r="DX447" s="29"/>
      <c r="DY447" s="29"/>
      <c r="DZ447" s="29"/>
      <c r="EA447" s="29"/>
      <c r="EB447" s="29"/>
      <c r="EC447" s="29"/>
      <c r="ED447" s="29"/>
      <c r="EE447" s="29"/>
      <c r="EF447" s="29"/>
      <c r="EG447" s="29"/>
      <c r="EH447" s="29"/>
      <c r="EI447" s="29"/>
      <c r="EJ447" s="29"/>
      <c r="EK447" s="29"/>
      <c r="EL447" s="29"/>
      <c r="EM447" s="29"/>
      <c r="EN447" s="29"/>
      <c r="EO447" s="29"/>
      <c r="EP447" s="29"/>
      <c r="EQ447" s="29"/>
      <c r="ER447" s="29"/>
      <c r="ES447" s="29"/>
      <c r="ET447" s="29"/>
      <c r="EU447" s="29"/>
      <c r="EV447" s="29"/>
      <c r="EW447" s="29"/>
      <c r="EX447" s="29"/>
      <c r="EY447" s="29"/>
      <c r="EZ447" s="29"/>
      <c r="FA447" s="29"/>
      <c r="FB447" s="29"/>
      <c r="FC447" s="29"/>
      <c r="FD447" s="29"/>
      <c r="FE447" s="29"/>
      <c r="FF447" s="29"/>
      <c r="FG447" s="29"/>
      <c r="FH447" s="29"/>
      <c r="FI447" s="29"/>
      <c r="FJ447" s="29"/>
      <c r="FK447" s="29"/>
      <c r="FL447" s="29"/>
      <c r="FM447" s="29"/>
      <c r="FN447" s="29"/>
      <c r="FO447" s="29"/>
      <c r="FP447" s="29"/>
      <c r="FQ447" s="29"/>
      <c r="FR447" s="14"/>
    </row>
    <row r="448" spans="3:174" s="28" customFormat="1" ht="12" customHeight="1">
      <c r="C448" s="43"/>
      <c r="E448" s="29"/>
      <c r="F448" s="29"/>
      <c r="G448" s="29"/>
      <c r="H448" s="29"/>
      <c r="I448" s="29"/>
      <c r="J448" s="29"/>
      <c r="K448" s="29"/>
      <c r="L448" s="29"/>
      <c r="M448" s="29"/>
      <c r="N448" s="29"/>
      <c r="O448" s="29"/>
      <c r="P448" s="29"/>
      <c r="Q448" s="29"/>
      <c r="R448" s="29"/>
      <c r="S448" s="29"/>
      <c r="T448" s="29"/>
      <c r="U448" s="29"/>
      <c r="V448" s="29"/>
      <c r="W448" s="29"/>
      <c r="X448" s="29"/>
      <c r="Y448" s="29"/>
      <c r="Z448" s="29"/>
      <c r="AA448" s="29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  <c r="AX448" s="29"/>
      <c r="AY448" s="29"/>
      <c r="AZ448" s="29"/>
      <c r="BA448" s="29"/>
      <c r="BB448" s="29"/>
      <c r="BC448" s="29"/>
      <c r="BD448" s="29"/>
      <c r="BE448" s="29"/>
      <c r="BF448" s="29"/>
      <c r="BG448" s="29"/>
      <c r="BH448" s="29"/>
      <c r="BI448" s="29"/>
      <c r="BJ448" s="29"/>
      <c r="BK448" s="29"/>
      <c r="BL448" s="29"/>
      <c r="BM448" s="29"/>
      <c r="BN448" s="29"/>
      <c r="BO448" s="29"/>
      <c r="BP448" s="29"/>
      <c r="BQ448" s="29"/>
      <c r="BR448" s="29"/>
      <c r="BS448" s="29"/>
      <c r="BT448" s="29"/>
      <c r="BU448" s="29"/>
      <c r="BV448" s="29"/>
      <c r="BW448" s="29"/>
      <c r="BX448" s="29"/>
      <c r="BY448" s="29"/>
      <c r="BZ448" s="29"/>
      <c r="CA448" s="29"/>
      <c r="CB448" s="29"/>
      <c r="CC448" s="29"/>
      <c r="CD448" s="29"/>
      <c r="CE448" s="29"/>
      <c r="CF448" s="29"/>
      <c r="CG448" s="29"/>
      <c r="CH448" s="29"/>
      <c r="CI448" s="29"/>
      <c r="CJ448" s="29"/>
      <c r="CK448" s="29"/>
      <c r="CL448" s="29"/>
      <c r="CM448" s="29"/>
      <c r="CN448" s="29"/>
      <c r="CO448" s="29"/>
      <c r="CP448" s="29"/>
      <c r="CQ448" s="29"/>
      <c r="CR448" s="29"/>
      <c r="CS448" s="29"/>
      <c r="CT448" s="29"/>
      <c r="CU448" s="29"/>
      <c r="CV448" s="29"/>
      <c r="CW448" s="29"/>
      <c r="CX448" s="29"/>
      <c r="CY448" s="29"/>
      <c r="CZ448" s="29"/>
      <c r="DA448" s="29"/>
      <c r="DB448" s="29"/>
      <c r="DC448" s="29"/>
      <c r="DD448" s="29"/>
      <c r="DE448" s="29"/>
      <c r="DF448" s="29"/>
      <c r="DG448" s="29"/>
      <c r="DH448" s="29"/>
      <c r="DI448" s="29"/>
      <c r="DJ448" s="29"/>
      <c r="DK448" s="29"/>
      <c r="DL448" s="29"/>
      <c r="DM448" s="29"/>
      <c r="DN448" s="29"/>
      <c r="DO448" s="29"/>
      <c r="DP448" s="29"/>
      <c r="DQ448" s="29"/>
      <c r="DR448" s="29"/>
      <c r="DS448" s="29"/>
      <c r="DT448" s="29"/>
      <c r="DU448" s="29"/>
      <c r="DV448" s="29"/>
      <c r="DW448" s="29"/>
      <c r="DX448" s="29"/>
      <c r="DY448" s="29"/>
      <c r="DZ448" s="29"/>
      <c r="EA448" s="29"/>
      <c r="EB448" s="29"/>
      <c r="EC448" s="29"/>
      <c r="ED448" s="29"/>
      <c r="EE448" s="29"/>
      <c r="EF448" s="29"/>
      <c r="EG448" s="29"/>
      <c r="EH448" s="29"/>
      <c r="EI448" s="29"/>
      <c r="EJ448" s="29"/>
      <c r="EK448" s="29"/>
      <c r="EL448" s="29"/>
      <c r="EM448" s="29"/>
      <c r="EN448" s="29"/>
      <c r="EO448" s="29"/>
      <c r="EP448" s="29"/>
      <c r="EQ448" s="29"/>
      <c r="ER448" s="29"/>
      <c r="ES448" s="29"/>
      <c r="ET448" s="29"/>
      <c r="EU448" s="29"/>
      <c r="EV448" s="29"/>
      <c r="EW448" s="29"/>
      <c r="EX448" s="29"/>
      <c r="EY448" s="29"/>
      <c r="EZ448" s="29"/>
      <c r="FA448" s="29"/>
      <c r="FB448" s="29"/>
      <c r="FC448" s="29"/>
      <c r="FD448" s="29"/>
      <c r="FE448" s="29"/>
      <c r="FF448" s="29"/>
      <c r="FG448" s="29"/>
      <c r="FH448" s="29"/>
      <c r="FI448" s="29"/>
      <c r="FJ448" s="29"/>
      <c r="FK448" s="29"/>
      <c r="FL448" s="29"/>
      <c r="FM448" s="29"/>
      <c r="FN448" s="29"/>
      <c r="FO448" s="29"/>
      <c r="FP448" s="29"/>
      <c r="FQ448" s="29"/>
      <c r="FR448" s="14"/>
    </row>
    <row r="449" spans="3:174" s="28" customFormat="1" ht="12" customHeight="1">
      <c r="C449" s="43"/>
      <c r="E449" s="29"/>
      <c r="F449" s="29"/>
      <c r="G449" s="29"/>
      <c r="H449" s="29"/>
      <c r="I449" s="29"/>
      <c r="J449" s="29"/>
      <c r="K449" s="29"/>
      <c r="L449" s="29"/>
      <c r="M449" s="29"/>
      <c r="N449" s="29"/>
      <c r="O449" s="29"/>
      <c r="P449" s="29"/>
      <c r="Q449" s="29"/>
      <c r="R449" s="29"/>
      <c r="S449" s="29"/>
      <c r="T449" s="29"/>
      <c r="U449" s="29"/>
      <c r="V449" s="29"/>
      <c r="W449" s="29"/>
      <c r="X449" s="29"/>
      <c r="Y449" s="29"/>
      <c r="Z449" s="29"/>
      <c r="AA449" s="29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  <c r="AX449" s="29"/>
      <c r="AY449" s="29"/>
      <c r="AZ449" s="29"/>
      <c r="BA449" s="29"/>
      <c r="BB449" s="29"/>
      <c r="BC449" s="29"/>
      <c r="BD449" s="29"/>
      <c r="BE449" s="29"/>
      <c r="BF449" s="29"/>
      <c r="BG449" s="29"/>
      <c r="BH449" s="29"/>
      <c r="BI449" s="29"/>
      <c r="BJ449" s="29"/>
      <c r="BK449" s="29"/>
      <c r="BL449" s="29"/>
      <c r="BM449" s="29"/>
      <c r="BN449" s="29"/>
      <c r="BO449" s="29"/>
      <c r="BP449" s="29"/>
      <c r="BQ449" s="29"/>
      <c r="BR449" s="29"/>
      <c r="BS449" s="29"/>
      <c r="BT449" s="29"/>
      <c r="BU449" s="29"/>
      <c r="BV449" s="29"/>
      <c r="BW449" s="29"/>
      <c r="BX449" s="29"/>
      <c r="BY449" s="29"/>
      <c r="BZ449" s="29"/>
      <c r="CA449" s="29"/>
      <c r="CB449" s="29"/>
      <c r="CC449" s="29"/>
      <c r="CD449" s="29"/>
      <c r="CE449" s="29"/>
      <c r="CF449" s="29"/>
      <c r="CG449" s="29"/>
      <c r="CH449" s="29"/>
      <c r="CI449" s="29"/>
      <c r="CJ449" s="29"/>
      <c r="CK449" s="29"/>
      <c r="CL449" s="29"/>
      <c r="CM449" s="29"/>
      <c r="CN449" s="29"/>
      <c r="CO449" s="29"/>
      <c r="CP449" s="29"/>
      <c r="CQ449" s="29"/>
      <c r="CR449" s="29"/>
      <c r="CS449" s="29"/>
      <c r="CT449" s="29"/>
      <c r="CU449" s="29"/>
      <c r="CV449" s="29"/>
      <c r="CW449" s="29"/>
      <c r="CX449" s="29"/>
      <c r="CY449" s="29"/>
      <c r="CZ449" s="29"/>
      <c r="DA449" s="29"/>
      <c r="DB449" s="29"/>
      <c r="DC449" s="29"/>
      <c r="DD449" s="29"/>
      <c r="DE449" s="29"/>
      <c r="DF449" s="29"/>
      <c r="DG449" s="29"/>
      <c r="DH449" s="29"/>
      <c r="DI449" s="29"/>
      <c r="DJ449" s="29"/>
      <c r="DK449" s="29"/>
      <c r="DL449" s="29"/>
      <c r="DM449" s="29"/>
      <c r="DN449" s="29"/>
      <c r="DO449" s="29"/>
      <c r="DP449" s="29"/>
      <c r="DQ449" s="29"/>
      <c r="DR449" s="29"/>
      <c r="DS449" s="29"/>
      <c r="DT449" s="29"/>
      <c r="DU449" s="29"/>
      <c r="DV449" s="29"/>
      <c r="DW449" s="29"/>
      <c r="DX449" s="29"/>
      <c r="DY449" s="29"/>
      <c r="DZ449" s="29"/>
      <c r="EA449" s="29"/>
      <c r="EB449" s="29"/>
      <c r="EC449" s="29"/>
      <c r="ED449" s="29"/>
      <c r="EE449" s="29"/>
      <c r="EF449" s="29"/>
      <c r="EG449" s="29"/>
      <c r="EH449" s="29"/>
      <c r="EI449" s="29"/>
      <c r="EJ449" s="29"/>
      <c r="EK449" s="29"/>
      <c r="EL449" s="29"/>
      <c r="EM449" s="29"/>
      <c r="EN449" s="29"/>
      <c r="EO449" s="29"/>
      <c r="EP449" s="29"/>
      <c r="EQ449" s="29"/>
      <c r="ER449" s="29"/>
      <c r="ES449" s="29"/>
      <c r="ET449" s="29"/>
      <c r="EU449" s="29"/>
      <c r="EV449" s="29"/>
      <c r="EW449" s="29"/>
      <c r="EX449" s="29"/>
      <c r="EY449" s="29"/>
      <c r="EZ449" s="29"/>
      <c r="FA449" s="29"/>
      <c r="FB449" s="29"/>
      <c r="FC449" s="29"/>
      <c r="FD449" s="29"/>
      <c r="FE449" s="29"/>
      <c r="FF449" s="29"/>
      <c r="FG449" s="29"/>
      <c r="FH449" s="29"/>
      <c r="FI449" s="29"/>
      <c r="FJ449" s="29"/>
      <c r="FK449" s="29"/>
      <c r="FL449" s="29"/>
      <c r="FM449" s="29"/>
      <c r="FN449" s="29"/>
      <c r="FO449" s="29"/>
      <c r="FP449" s="29"/>
      <c r="FQ449" s="29"/>
      <c r="FR449" s="14"/>
    </row>
    <row r="450" spans="3:174" s="28" customFormat="1" ht="12" customHeight="1">
      <c r="C450" s="43"/>
      <c r="E450" s="29"/>
      <c r="F450" s="29"/>
      <c r="G450" s="29"/>
      <c r="H450" s="29"/>
      <c r="I450" s="29"/>
      <c r="J450" s="29"/>
      <c r="K450" s="29"/>
      <c r="L450" s="29"/>
      <c r="M450" s="29"/>
      <c r="N450" s="29"/>
      <c r="O450" s="29"/>
      <c r="P450" s="29"/>
      <c r="Q450" s="29"/>
      <c r="R450" s="29"/>
      <c r="S450" s="29"/>
      <c r="T450" s="29"/>
      <c r="U450" s="29"/>
      <c r="V450" s="29"/>
      <c r="W450" s="29"/>
      <c r="X450" s="29"/>
      <c r="Y450" s="29"/>
      <c r="Z450" s="29"/>
      <c r="AA450" s="29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  <c r="AX450" s="29"/>
      <c r="AY450" s="29"/>
      <c r="AZ450" s="29"/>
      <c r="BA450" s="29"/>
      <c r="BB450" s="29"/>
      <c r="BC450" s="29"/>
      <c r="BD450" s="29"/>
      <c r="BE450" s="29"/>
      <c r="BF450" s="29"/>
      <c r="BG450" s="29"/>
      <c r="BH450" s="29"/>
      <c r="BI450" s="29"/>
      <c r="BJ450" s="29"/>
      <c r="BK450" s="29"/>
      <c r="BL450" s="29"/>
      <c r="BM450" s="29"/>
      <c r="BN450" s="29"/>
      <c r="BO450" s="29"/>
      <c r="BP450" s="29"/>
      <c r="BQ450" s="29"/>
      <c r="BR450" s="29"/>
      <c r="BS450" s="29"/>
      <c r="BT450" s="29"/>
      <c r="BU450" s="29"/>
      <c r="BV450" s="29"/>
      <c r="BW450" s="29"/>
      <c r="BX450" s="29"/>
      <c r="BY450" s="29"/>
      <c r="BZ450" s="29"/>
      <c r="CA450" s="29"/>
      <c r="CB450" s="29"/>
      <c r="CC450" s="29"/>
      <c r="CD450" s="29"/>
      <c r="CE450" s="29"/>
      <c r="CF450" s="29"/>
      <c r="CG450" s="29"/>
      <c r="CH450" s="29"/>
      <c r="CI450" s="29"/>
      <c r="CJ450" s="29"/>
      <c r="CK450" s="29"/>
      <c r="CL450" s="29"/>
      <c r="CM450" s="29"/>
      <c r="CN450" s="29"/>
      <c r="CO450" s="29"/>
      <c r="CP450" s="29"/>
      <c r="CQ450" s="29"/>
      <c r="CR450" s="29"/>
      <c r="CS450" s="29"/>
      <c r="CT450" s="29"/>
      <c r="CU450" s="29"/>
      <c r="CV450" s="29"/>
      <c r="CW450" s="29"/>
      <c r="CX450" s="29"/>
      <c r="CY450" s="29"/>
      <c r="CZ450" s="29"/>
      <c r="DA450" s="29"/>
      <c r="DB450" s="29"/>
      <c r="DC450" s="29"/>
      <c r="DD450" s="29"/>
      <c r="DE450" s="29"/>
      <c r="DF450" s="29"/>
      <c r="DG450" s="29"/>
      <c r="DH450" s="29"/>
      <c r="DI450" s="29"/>
      <c r="DJ450" s="29"/>
      <c r="DK450" s="29"/>
      <c r="DL450" s="29"/>
      <c r="DM450" s="29"/>
      <c r="DN450" s="29"/>
      <c r="DO450" s="29"/>
      <c r="DP450" s="29"/>
      <c r="DQ450" s="29"/>
      <c r="DR450" s="29"/>
      <c r="DS450" s="29"/>
      <c r="DT450" s="29"/>
      <c r="DU450" s="29"/>
      <c r="DV450" s="29"/>
      <c r="DW450" s="29"/>
      <c r="DX450" s="29"/>
      <c r="DY450" s="29"/>
      <c r="DZ450" s="29"/>
      <c r="EA450" s="29"/>
      <c r="EB450" s="29"/>
      <c r="EC450" s="29"/>
      <c r="ED450" s="29"/>
      <c r="EE450" s="29"/>
      <c r="EF450" s="29"/>
      <c r="EG450" s="29"/>
      <c r="EH450" s="29"/>
      <c r="EI450" s="29"/>
      <c r="EJ450" s="29"/>
      <c r="EK450" s="29"/>
      <c r="EL450" s="29"/>
      <c r="EM450" s="29"/>
      <c r="EN450" s="29"/>
      <c r="EO450" s="29"/>
      <c r="EP450" s="29"/>
      <c r="EQ450" s="29"/>
      <c r="ER450" s="29"/>
      <c r="ES450" s="29"/>
      <c r="ET450" s="29"/>
      <c r="EU450" s="29"/>
      <c r="EV450" s="29"/>
      <c r="EW450" s="29"/>
      <c r="EX450" s="29"/>
      <c r="EY450" s="29"/>
      <c r="EZ450" s="29"/>
      <c r="FA450" s="29"/>
      <c r="FB450" s="29"/>
      <c r="FC450" s="29"/>
      <c r="FD450" s="29"/>
      <c r="FE450" s="29"/>
      <c r="FF450" s="29"/>
      <c r="FG450" s="29"/>
      <c r="FH450" s="29"/>
      <c r="FI450" s="29"/>
      <c r="FJ450" s="29"/>
      <c r="FK450" s="29"/>
      <c r="FL450" s="29"/>
      <c r="FM450" s="29"/>
      <c r="FN450" s="29"/>
      <c r="FO450" s="29"/>
      <c r="FP450" s="29"/>
      <c r="FQ450" s="29"/>
      <c r="FR450" s="14"/>
    </row>
    <row r="451" spans="3:174" s="28" customFormat="1" ht="12" customHeight="1">
      <c r="C451" s="43"/>
      <c r="E451" s="29"/>
      <c r="F451" s="29"/>
      <c r="G451" s="29"/>
      <c r="H451" s="29"/>
      <c r="I451" s="29"/>
      <c r="J451" s="29"/>
      <c r="K451" s="29"/>
      <c r="L451" s="29"/>
      <c r="M451" s="29"/>
      <c r="N451" s="29"/>
      <c r="O451" s="29"/>
      <c r="P451" s="29"/>
      <c r="Q451" s="29"/>
      <c r="R451" s="29"/>
      <c r="S451" s="29"/>
      <c r="T451" s="29"/>
      <c r="U451" s="29"/>
      <c r="V451" s="29"/>
      <c r="W451" s="29"/>
      <c r="X451" s="29"/>
      <c r="Y451" s="29"/>
      <c r="Z451" s="29"/>
      <c r="AA451" s="29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  <c r="AX451" s="29"/>
      <c r="AY451" s="29"/>
      <c r="AZ451" s="29"/>
      <c r="BA451" s="29"/>
      <c r="BB451" s="29"/>
      <c r="BC451" s="29"/>
      <c r="BD451" s="29"/>
      <c r="BE451" s="29"/>
      <c r="BF451" s="29"/>
      <c r="BG451" s="29"/>
      <c r="BH451" s="29"/>
      <c r="BI451" s="29"/>
      <c r="BJ451" s="29"/>
      <c r="BK451" s="29"/>
      <c r="BL451" s="29"/>
      <c r="BM451" s="29"/>
      <c r="BN451" s="29"/>
      <c r="BO451" s="29"/>
      <c r="BP451" s="29"/>
      <c r="BQ451" s="29"/>
      <c r="BR451" s="29"/>
      <c r="BS451" s="29"/>
      <c r="BT451" s="29"/>
      <c r="BU451" s="29"/>
      <c r="BV451" s="29"/>
      <c r="BW451" s="29"/>
      <c r="BX451" s="29"/>
      <c r="BY451" s="29"/>
      <c r="BZ451" s="29"/>
      <c r="CA451" s="29"/>
      <c r="CB451" s="29"/>
      <c r="CC451" s="29"/>
      <c r="CD451" s="29"/>
      <c r="CE451" s="29"/>
      <c r="CF451" s="29"/>
      <c r="CG451" s="29"/>
      <c r="CH451" s="29"/>
      <c r="CI451" s="29"/>
      <c r="CJ451" s="29"/>
      <c r="CK451" s="29"/>
      <c r="CL451" s="29"/>
      <c r="CM451" s="29"/>
      <c r="CN451" s="29"/>
      <c r="CO451" s="29"/>
      <c r="CP451" s="29"/>
      <c r="CQ451" s="29"/>
      <c r="CR451" s="29"/>
      <c r="CS451" s="29"/>
      <c r="CT451" s="29"/>
      <c r="CU451" s="29"/>
      <c r="CV451" s="29"/>
      <c r="CW451" s="29"/>
      <c r="CX451" s="29"/>
      <c r="CY451" s="29"/>
      <c r="CZ451" s="29"/>
      <c r="DA451" s="29"/>
      <c r="DB451" s="29"/>
      <c r="DC451" s="29"/>
      <c r="DD451" s="29"/>
      <c r="DE451" s="29"/>
      <c r="DF451" s="29"/>
      <c r="DG451" s="29"/>
      <c r="DH451" s="29"/>
      <c r="DI451" s="29"/>
      <c r="DJ451" s="29"/>
      <c r="DK451" s="29"/>
      <c r="DL451" s="29"/>
      <c r="DM451" s="29"/>
      <c r="DN451" s="29"/>
      <c r="DO451" s="29"/>
      <c r="DP451" s="29"/>
      <c r="DQ451" s="29"/>
      <c r="DR451" s="29"/>
      <c r="DS451" s="29"/>
      <c r="DT451" s="29"/>
      <c r="DU451" s="29"/>
      <c r="DV451" s="29"/>
      <c r="DW451" s="29"/>
      <c r="DX451" s="29"/>
      <c r="DY451" s="29"/>
      <c r="DZ451" s="29"/>
      <c r="EA451" s="29"/>
      <c r="EB451" s="29"/>
      <c r="EC451" s="29"/>
      <c r="ED451" s="29"/>
      <c r="EE451" s="29"/>
      <c r="EF451" s="29"/>
      <c r="EG451" s="29"/>
      <c r="EH451" s="29"/>
      <c r="EI451" s="29"/>
      <c r="EJ451" s="29"/>
      <c r="EK451" s="29"/>
      <c r="EL451" s="29"/>
      <c r="EM451" s="29"/>
      <c r="EN451" s="29"/>
      <c r="EO451" s="29"/>
      <c r="EP451" s="29"/>
      <c r="EQ451" s="29"/>
      <c r="ER451" s="29"/>
      <c r="ES451" s="29"/>
      <c r="ET451" s="29"/>
      <c r="EU451" s="29"/>
      <c r="EV451" s="29"/>
      <c r="EW451" s="29"/>
      <c r="EX451" s="29"/>
      <c r="EY451" s="29"/>
      <c r="EZ451" s="29"/>
      <c r="FA451" s="29"/>
      <c r="FB451" s="29"/>
      <c r="FC451" s="29"/>
      <c r="FD451" s="29"/>
      <c r="FE451" s="29"/>
      <c r="FF451" s="29"/>
      <c r="FG451" s="29"/>
      <c r="FH451" s="29"/>
      <c r="FI451" s="29"/>
      <c r="FJ451" s="29"/>
      <c r="FK451" s="29"/>
      <c r="FL451" s="29"/>
      <c r="FM451" s="29"/>
      <c r="FN451" s="29"/>
      <c r="FO451" s="29"/>
      <c r="FP451" s="29"/>
      <c r="FQ451" s="29"/>
      <c r="FR451" s="14"/>
    </row>
    <row r="452" spans="3:174" s="28" customFormat="1" ht="12" customHeight="1">
      <c r="C452" s="43"/>
      <c r="E452" s="29"/>
      <c r="F452" s="29"/>
      <c r="G452" s="29"/>
      <c r="H452" s="29"/>
      <c r="I452" s="29"/>
      <c r="J452" s="29"/>
      <c r="K452" s="29"/>
      <c r="L452" s="29"/>
      <c r="M452" s="29"/>
      <c r="N452" s="29"/>
      <c r="O452" s="29"/>
      <c r="P452" s="29"/>
      <c r="Q452" s="29"/>
      <c r="R452" s="29"/>
      <c r="S452" s="29"/>
      <c r="T452" s="29"/>
      <c r="U452" s="29"/>
      <c r="V452" s="29"/>
      <c r="W452" s="29"/>
      <c r="X452" s="29"/>
      <c r="Y452" s="29"/>
      <c r="Z452" s="29"/>
      <c r="AA452" s="29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  <c r="AX452" s="29"/>
      <c r="AY452" s="29"/>
      <c r="AZ452" s="29"/>
      <c r="BA452" s="29"/>
      <c r="BB452" s="29"/>
      <c r="BC452" s="29"/>
      <c r="BD452" s="29"/>
      <c r="BE452" s="29"/>
      <c r="BF452" s="29"/>
      <c r="BG452" s="29"/>
      <c r="BH452" s="29"/>
      <c r="BI452" s="29"/>
      <c r="BJ452" s="29"/>
      <c r="BK452" s="29"/>
      <c r="BL452" s="29"/>
      <c r="BM452" s="29"/>
      <c r="BN452" s="29"/>
      <c r="BO452" s="29"/>
      <c r="BP452" s="29"/>
      <c r="BQ452" s="29"/>
      <c r="BR452" s="29"/>
      <c r="BS452" s="29"/>
      <c r="BT452" s="29"/>
      <c r="BU452" s="29"/>
      <c r="BV452" s="29"/>
      <c r="BW452" s="29"/>
      <c r="BX452" s="29"/>
      <c r="BY452" s="29"/>
      <c r="BZ452" s="29"/>
      <c r="CA452" s="29"/>
      <c r="CB452" s="29"/>
      <c r="CC452" s="29"/>
      <c r="CD452" s="29"/>
      <c r="CE452" s="29"/>
      <c r="CF452" s="29"/>
      <c r="CG452" s="29"/>
      <c r="CH452" s="29"/>
      <c r="CI452" s="29"/>
      <c r="CJ452" s="29"/>
      <c r="CK452" s="29"/>
      <c r="CL452" s="29"/>
      <c r="CM452" s="29"/>
      <c r="CN452" s="29"/>
      <c r="CO452" s="29"/>
      <c r="CP452" s="29"/>
      <c r="CQ452" s="29"/>
      <c r="CR452" s="29"/>
      <c r="CS452" s="29"/>
      <c r="CT452" s="29"/>
      <c r="CU452" s="29"/>
      <c r="CV452" s="29"/>
      <c r="CW452" s="29"/>
      <c r="CX452" s="29"/>
      <c r="CY452" s="29"/>
      <c r="CZ452" s="29"/>
      <c r="DA452" s="29"/>
      <c r="DB452" s="29"/>
      <c r="DC452" s="29"/>
      <c r="DD452" s="29"/>
      <c r="DE452" s="29"/>
      <c r="DF452" s="29"/>
      <c r="DG452" s="29"/>
      <c r="DH452" s="29"/>
      <c r="DI452" s="29"/>
      <c r="DJ452" s="29"/>
      <c r="DK452" s="29"/>
      <c r="DL452" s="29"/>
      <c r="DM452" s="29"/>
      <c r="DN452" s="29"/>
      <c r="DO452" s="29"/>
      <c r="DP452" s="29"/>
      <c r="DQ452" s="29"/>
      <c r="DR452" s="29"/>
      <c r="DS452" s="29"/>
      <c r="DT452" s="29"/>
      <c r="DU452" s="29"/>
      <c r="DV452" s="29"/>
      <c r="DW452" s="29"/>
      <c r="DX452" s="29"/>
      <c r="DY452" s="29"/>
      <c r="DZ452" s="29"/>
      <c r="EA452" s="29"/>
      <c r="EB452" s="29"/>
      <c r="EC452" s="29"/>
      <c r="ED452" s="29"/>
      <c r="EE452" s="29"/>
      <c r="EF452" s="29"/>
      <c r="EG452" s="29"/>
      <c r="EH452" s="29"/>
      <c r="EI452" s="29"/>
      <c r="EJ452" s="29"/>
      <c r="EK452" s="29"/>
      <c r="EL452" s="29"/>
      <c r="EM452" s="29"/>
      <c r="EN452" s="29"/>
      <c r="EO452" s="29"/>
      <c r="EP452" s="29"/>
      <c r="EQ452" s="29"/>
      <c r="ER452" s="29"/>
      <c r="ES452" s="29"/>
      <c r="ET452" s="29"/>
      <c r="EU452" s="29"/>
      <c r="EV452" s="29"/>
      <c r="EW452" s="29"/>
      <c r="EX452" s="29"/>
      <c r="EY452" s="29"/>
      <c r="EZ452" s="29"/>
      <c r="FA452" s="29"/>
      <c r="FB452" s="29"/>
      <c r="FC452" s="29"/>
      <c r="FD452" s="29"/>
      <c r="FE452" s="29"/>
      <c r="FF452" s="29"/>
      <c r="FG452" s="29"/>
      <c r="FH452" s="29"/>
      <c r="FI452" s="29"/>
      <c r="FJ452" s="29"/>
      <c r="FK452" s="29"/>
      <c r="FL452" s="29"/>
      <c r="FM452" s="29"/>
      <c r="FN452" s="29"/>
      <c r="FO452" s="29"/>
      <c r="FP452" s="29"/>
      <c r="FQ452" s="29"/>
      <c r="FR452" s="14"/>
    </row>
    <row r="453" spans="3:174" s="28" customFormat="1" ht="12" customHeight="1">
      <c r="C453" s="43"/>
      <c r="E453" s="29"/>
      <c r="F453" s="29"/>
      <c r="G453" s="29"/>
      <c r="H453" s="29"/>
      <c r="I453" s="29"/>
      <c r="J453" s="29"/>
      <c r="K453" s="29"/>
      <c r="L453" s="29"/>
      <c r="M453" s="29"/>
      <c r="N453" s="29"/>
      <c r="O453" s="29"/>
      <c r="P453" s="29"/>
      <c r="Q453" s="29"/>
      <c r="R453" s="29"/>
      <c r="S453" s="29"/>
      <c r="T453" s="29"/>
      <c r="U453" s="29"/>
      <c r="V453" s="29"/>
      <c r="W453" s="29"/>
      <c r="X453" s="29"/>
      <c r="Y453" s="29"/>
      <c r="Z453" s="29"/>
      <c r="AA453" s="29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  <c r="AX453" s="29"/>
      <c r="AY453" s="29"/>
      <c r="AZ453" s="29"/>
      <c r="BA453" s="29"/>
      <c r="BB453" s="29"/>
      <c r="BC453" s="29"/>
      <c r="BD453" s="29"/>
      <c r="BE453" s="29"/>
      <c r="BF453" s="29"/>
      <c r="BG453" s="29"/>
      <c r="BH453" s="29"/>
      <c r="BI453" s="29"/>
      <c r="BJ453" s="29"/>
      <c r="BK453" s="29"/>
      <c r="BL453" s="29"/>
      <c r="BM453" s="29"/>
      <c r="BN453" s="29"/>
      <c r="BO453" s="29"/>
      <c r="BP453" s="29"/>
      <c r="BQ453" s="29"/>
      <c r="BR453" s="29"/>
      <c r="BS453" s="29"/>
      <c r="BT453" s="29"/>
      <c r="BU453" s="29"/>
      <c r="BV453" s="29"/>
      <c r="BW453" s="29"/>
      <c r="BX453" s="29"/>
      <c r="BY453" s="29"/>
      <c r="BZ453" s="29"/>
      <c r="CA453" s="29"/>
      <c r="CB453" s="29"/>
      <c r="CC453" s="29"/>
      <c r="CD453" s="29"/>
      <c r="CE453" s="29"/>
      <c r="CF453" s="29"/>
      <c r="CG453" s="29"/>
      <c r="CH453" s="29"/>
      <c r="CI453" s="29"/>
      <c r="CJ453" s="29"/>
      <c r="CK453" s="29"/>
      <c r="CL453" s="29"/>
      <c r="CM453" s="29"/>
      <c r="CN453" s="29"/>
      <c r="CO453" s="29"/>
      <c r="CP453" s="29"/>
      <c r="CQ453" s="29"/>
      <c r="CR453" s="29"/>
      <c r="CS453" s="29"/>
      <c r="CT453" s="29"/>
      <c r="CU453" s="29"/>
      <c r="CV453" s="29"/>
      <c r="CW453" s="29"/>
      <c r="CX453" s="29"/>
      <c r="CY453" s="29"/>
      <c r="CZ453" s="29"/>
      <c r="DA453" s="29"/>
      <c r="DB453" s="29"/>
      <c r="DC453" s="29"/>
      <c r="DD453" s="29"/>
      <c r="DE453" s="29"/>
      <c r="DF453" s="29"/>
      <c r="DG453" s="29"/>
      <c r="DH453" s="29"/>
      <c r="DI453" s="29"/>
      <c r="DJ453" s="29"/>
      <c r="DK453" s="29"/>
      <c r="DL453" s="29"/>
      <c r="DM453" s="29"/>
      <c r="DN453" s="29"/>
      <c r="DO453" s="29"/>
      <c r="DP453" s="29"/>
      <c r="DQ453" s="29"/>
      <c r="DR453" s="29"/>
      <c r="DS453" s="29"/>
      <c r="DT453" s="29"/>
      <c r="DU453" s="29"/>
      <c r="DV453" s="29"/>
      <c r="DW453" s="29"/>
      <c r="DX453" s="29"/>
      <c r="DY453" s="29"/>
      <c r="DZ453" s="29"/>
      <c r="EA453" s="29"/>
      <c r="EB453" s="29"/>
      <c r="EC453" s="29"/>
      <c r="ED453" s="29"/>
      <c r="EE453" s="29"/>
      <c r="EF453" s="29"/>
      <c r="EG453" s="29"/>
      <c r="EH453" s="29"/>
      <c r="EI453" s="29"/>
      <c r="EJ453" s="29"/>
      <c r="EK453" s="29"/>
      <c r="EL453" s="29"/>
      <c r="EM453" s="29"/>
      <c r="EN453" s="29"/>
      <c r="EO453" s="29"/>
      <c r="EP453" s="29"/>
      <c r="EQ453" s="29"/>
      <c r="ER453" s="29"/>
      <c r="ES453" s="29"/>
      <c r="ET453" s="29"/>
      <c r="EU453" s="29"/>
      <c r="EV453" s="29"/>
      <c r="EW453" s="29"/>
      <c r="EX453" s="29"/>
      <c r="EY453" s="29"/>
      <c r="EZ453" s="29"/>
      <c r="FA453" s="29"/>
      <c r="FB453" s="29"/>
      <c r="FC453" s="29"/>
      <c r="FD453" s="29"/>
      <c r="FE453" s="29"/>
      <c r="FF453" s="29"/>
      <c r="FG453" s="29"/>
      <c r="FH453" s="29"/>
      <c r="FI453" s="29"/>
      <c r="FJ453" s="29"/>
      <c r="FK453" s="29"/>
      <c r="FL453" s="29"/>
      <c r="FM453" s="29"/>
      <c r="FN453" s="29"/>
      <c r="FO453" s="29"/>
      <c r="FP453" s="29"/>
      <c r="FQ453" s="29"/>
      <c r="FR453" s="14"/>
    </row>
    <row r="454" spans="3:174" s="28" customFormat="1" ht="12" customHeight="1">
      <c r="C454" s="43"/>
      <c r="E454" s="29"/>
      <c r="F454" s="29"/>
      <c r="G454" s="29"/>
      <c r="H454" s="29"/>
      <c r="I454" s="29"/>
      <c r="J454" s="29"/>
      <c r="K454" s="29"/>
      <c r="L454" s="29"/>
      <c r="M454" s="29"/>
      <c r="N454" s="29"/>
      <c r="O454" s="29"/>
      <c r="P454" s="29"/>
      <c r="Q454" s="29"/>
      <c r="R454" s="29"/>
      <c r="S454" s="29"/>
      <c r="T454" s="29"/>
      <c r="U454" s="29"/>
      <c r="V454" s="29"/>
      <c r="W454" s="29"/>
      <c r="X454" s="29"/>
      <c r="Y454" s="29"/>
      <c r="Z454" s="29"/>
      <c r="AA454" s="29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  <c r="AX454" s="29"/>
      <c r="AY454" s="29"/>
      <c r="AZ454" s="29"/>
      <c r="BA454" s="29"/>
      <c r="BB454" s="29"/>
      <c r="BC454" s="29"/>
      <c r="BD454" s="29"/>
      <c r="BE454" s="29"/>
      <c r="BF454" s="29"/>
      <c r="BG454" s="29"/>
      <c r="BH454" s="29"/>
      <c r="BI454" s="29"/>
      <c r="BJ454" s="29"/>
      <c r="BK454" s="29"/>
      <c r="BL454" s="29"/>
      <c r="BM454" s="29"/>
      <c r="BN454" s="29"/>
      <c r="BO454" s="29"/>
      <c r="BP454" s="29"/>
      <c r="BQ454" s="29"/>
      <c r="BR454" s="29"/>
      <c r="BS454" s="29"/>
      <c r="BT454" s="29"/>
      <c r="BU454" s="29"/>
      <c r="BV454" s="29"/>
      <c r="BW454" s="29"/>
      <c r="BX454" s="29"/>
      <c r="BY454" s="29"/>
      <c r="BZ454" s="29"/>
      <c r="CA454" s="29"/>
      <c r="CB454" s="29"/>
      <c r="CC454" s="29"/>
      <c r="CD454" s="29"/>
      <c r="CE454" s="29"/>
      <c r="CF454" s="29"/>
      <c r="CG454" s="29"/>
      <c r="CH454" s="29"/>
      <c r="CI454" s="29"/>
      <c r="CJ454" s="29"/>
      <c r="CK454" s="29"/>
      <c r="CL454" s="29"/>
      <c r="CM454" s="29"/>
      <c r="CN454" s="29"/>
      <c r="CO454" s="29"/>
      <c r="CP454" s="29"/>
      <c r="CQ454" s="29"/>
      <c r="CR454" s="29"/>
      <c r="CS454" s="29"/>
      <c r="CT454" s="29"/>
      <c r="CU454" s="29"/>
      <c r="CV454" s="29"/>
      <c r="CW454" s="29"/>
      <c r="CX454" s="29"/>
      <c r="CY454" s="29"/>
      <c r="CZ454" s="29"/>
      <c r="DA454" s="29"/>
      <c r="DB454" s="29"/>
      <c r="DC454" s="29"/>
      <c r="DD454" s="29"/>
      <c r="DE454" s="29"/>
      <c r="DF454" s="29"/>
      <c r="DG454" s="29"/>
      <c r="DH454" s="29"/>
      <c r="DI454" s="29"/>
      <c r="DJ454" s="29"/>
      <c r="DK454" s="29"/>
      <c r="DL454" s="29"/>
      <c r="DM454" s="29"/>
      <c r="DN454" s="29"/>
      <c r="DO454" s="29"/>
      <c r="DP454" s="29"/>
      <c r="DQ454" s="29"/>
      <c r="DR454" s="29"/>
      <c r="DS454" s="29"/>
      <c r="DT454" s="29"/>
      <c r="DU454" s="29"/>
      <c r="DV454" s="29"/>
      <c r="DW454" s="29"/>
      <c r="DX454" s="29"/>
      <c r="DY454" s="29"/>
      <c r="DZ454" s="29"/>
      <c r="EA454" s="29"/>
      <c r="EB454" s="29"/>
      <c r="EC454" s="29"/>
      <c r="ED454" s="29"/>
      <c r="EE454" s="29"/>
      <c r="EF454" s="29"/>
      <c r="EG454" s="29"/>
      <c r="EH454" s="29"/>
      <c r="EI454" s="29"/>
      <c r="EJ454" s="29"/>
      <c r="EK454" s="29"/>
      <c r="EL454" s="29"/>
      <c r="EM454" s="29"/>
      <c r="EN454" s="29"/>
      <c r="EO454" s="29"/>
      <c r="EP454" s="29"/>
      <c r="EQ454" s="29"/>
      <c r="ER454" s="29"/>
      <c r="ES454" s="29"/>
      <c r="ET454" s="29"/>
      <c r="EU454" s="29"/>
      <c r="EV454" s="29"/>
      <c r="EW454" s="29"/>
      <c r="EX454" s="29"/>
      <c r="EY454" s="29"/>
      <c r="EZ454" s="29"/>
      <c r="FA454" s="29"/>
      <c r="FB454" s="29"/>
      <c r="FC454" s="29"/>
      <c r="FD454" s="29"/>
      <c r="FE454" s="29"/>
      <c r="FF454" s="29"/>
      <c r="FG454" s="29"/>
      <c r="FH454" s="29"/>
      <c r="FI454" s="29"/>
      <c r="FJ454" s="29"/>
      <c r="FK454" s="29"/>
      <c r="FL454" s="29"/>
      <c r="FM454" s="29"/>
      <c r="FN454" s="29"/>
      <c r="FO454" s="29"/>
      <c r="FP454" s="29"/>
      <c r="FQ454" s="29"/>
      <c r="FR454" s="14"/>
    </row>
    <row r="455" spans="3:174" s="28" customFormat="1" ht="12" customHeight="1">
      <c r="C455" s="43"/>
      <c r="E455" s="29"/>
      <c r="F455" s="29"/>
      <c r="G455" s="29"/>
      <c r="H455" s="29"/>
      <c r="I455" s="29"/>
      <c r="J455" s="29"/>
      <c r="K455" s="29"/>
      <c r="L455" s="29"/>
      <c r="M455" s="29"/>
      <c r="N455" s="29"/>
      <c r="O455" s="29"/>
      <c r="P455" s="29"/>
      <c r="Q455" s="29"/>
      <c r="R455" s="29"/>
      <c r="S455" s="29"/>
      <c r="T455" s="29"/>
      <c r="U455" s="29"/>
      <c r="V455" s="29"/>
      <c r="W455" s="29"/>
      <c r="X455" s="29"/>
      <c r="Y455" s="29"/>
      <c r="Z455" s="29"/>
      <c r="AA455" s="29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  <c r="AX455" s="29"/>
      <c r="AY455" s="29"/>
      <c r="AZ455" s="29"/>
      <c r="BA455" s="29"/>
      <c r="BB455" s="29"/>
      <c r="BC455" s="29"/>
      <c r="BD455" s="29"/>
      <c r="BE455" s="29"/>
      <c r="BF455" s="29"/>
      <c r="BG455" s="29"/>
      <c r="BH455" s="29"/>
      <c r="BI455" s="29"/>
      <c r="BJ455" s="29"/>
      <c r="BK455" s="29"/>
      <c r="BL455" s="29"/>
      <c r="BM455" s="29"/>
      <c r="BN455" s="29"/>
      <c r="BO455" s="29"/>
      <c r="BP455" s="29"/>
      <c r="BQ455" s="29"/>
      <c r="BR455" s="29"/>
      <c r="BS455" s="29"/>
      <c r="BT455" s="29"/>
      <c r="BU455" s="29"/>
      <c r="BV455" s="29"/>
      <c r="BW455" s="29"/>
      <c r="BX455" s="29"/>
      <c r="BY455" s="29"/>
      <c r="BZ455" s="29"/>
      <c r="CA455" s="29"/>
      <c r="CB455" s="29"/>
      <c r="CC455" s="29"/>
      <c r="CD455" s="29"/>
      <c r="CE455" s="29"/>
      <c r="CF455" s="29"/>
      <c r="CG455" s="29"/>
      <c r="CH455" s="29"/>
      <c r="CI455" s="29"/>
      <c r="CJ455" s="29"/>
      <c r="CK455" s="29"/>
      <c r="CL455" s="29"/>
      <c r="CM455" s="29"/>
      <c r="CN455" s="29"/>
      <c r="CO455" s="29"/>
      <c r="CP455" s="29"/>
      <c r="CQ455" s="29"/>
      <c r="CR455" s="29"/>
      <c r="CS455" s="29"/>
      <c r="CT455" s="29"/>
      <c r="CU455" s="29"/>
      <c r="CV455" s="29"/>
      <c r="CW455" s="29"/>
      <c r="CX455" s="29"/>
      <c r="CY455" s="29"/>
      <c r="CZ455" s="29"/>
      <c r="DA455" s="29"/>
      <c r="DB455" s="29"/>
      <c r="DC455" s="29"/>
      <c r="DD455" s="29"/>
      <c r="DE455" s="29"/>
      <c r="DF455" s="29"/>
      <c r="DG455" s="29"/>
      <c r="DH455" s="29"/>
      <c r="DI455" s="29"/>
      <c r="DJ455" s="29"/>
      <c r="DK455" s="29"/>
      <c r="DL455" s="29"/>
      <c r="DM455" s="29"/>
      <c r="DN455" s="29"/>
      <c r="DO455" s="29"/>
      <c r="DP455" s="29"/>
      <c r="DQ455" s="29"/>
      <c r="DR455" s="29"/>
      <c r="DS455" s="29"/>
      <c r="DT455" s="29"/>
      <c r="DU455" s="29"/>
      <c r="DV455" s="29"/>
      <c r="DW455" s="29"/>
      <c r="DX455" s="29"/>
      <c r="DY455" s="29"/>
      <c r="DZ455" s="29"/>
      <c r="EA455" s="29"/>
      <c r="EB455" s="29"/>
      <c r="EC455" s="29"/>
      <c r="ED455" s="29"/>
      <c r="EE455" s="29"/>
      <c r="EF455" s="29"/>
      <c r="EG455" s="29"/>
      <c r="EH455" s="29"/>
      <c r="EI455" s="29"/>
      <c r="EJ455" s="29"/>
      <c r="EK455" s="29"/>
      <c r="EL455" s="29"/>
      <c r="EM455" s="29"/>
      <c r="EN455" s="29"/>
      <c r="EO455" s="29"/>
      <c r="EP455" s="29"/>
      <c r="EQ455" s="29"/>
      <c r="ER455" s="29"/>
      <c r="ES455" s="29"/>
      <c r="ET455" s="29"/>
      <c r="EU455" s="29"/>
      <c r="EV455" s="29"/>
      <c r="EW455" s="29"/>
      <c r="EX455" s="29"/>
      <c r="EY455" s="29"/>
      <c r="EZ455" s="29"/>
      <c r="FA455" s="29"/>
      <c r="FB455" s="29"/>
      <c r="FC455" s="29"/>
      <c r="FD455" s="29"/>
      <c r="FE455" s="29"/>
      <c r="FF455" s="29"/>
      <c r="FG455" s="29"/>
      <c r="FH455" s="29"/>
      <c r="FI455" s="29"/>
      <c r="FJ455" s="29"/>
      <c r="FK455" s="29"/>
      <c r="FL455" s="29"/>
      <c r="FM455" s="29"/>
      <c r="FN455" s="29"/>
      <c r="FO455" s="29"/>
      <c r="FP455" s="29"/>
      <c r="FQ455" s="29"/>
      <c r="FR455" s="14"/>
    </row>
    <row r="456" spans="3:174" s="28" customFormat="1" ht="12" customHeight="1">
      <c r="C456" s="43"/>
      <c r="E456" s="29"/>
      <c r="F456" s="29"/>
      <c r="G456" s="29"/>
      <c r="H456" s="29"/>
      <c r="I456" s="29"/>
      <c r="J456" s="29"/>
      <c r="K456" s="29"/>
      <c r="L456" s="29"/>
      <c r="M456" s="29"/>
      <c r="N456" s="29"/>
      <c r="O456" s="29"/>
      <c r="P456" s="29"/>
      <c r="Q456" s="29"/>
      <c r="R456" s="29"/>
      <c r="S456" s="29"/>
      <c r="T456" s="29"/>
      <c r="U456" s="29"/>
      <c r="V456" s="29"/>
      <c r="W456" s="29"/>
      <c r="X456" s="29"/>
      <c r="Y456" s="29"/>
      <c r="Z456" s="29"/>
      <c r="AA456" s="29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  <c r="AX456" s="29"/>
      <c r="AY456" s="29"/>
      <c r="AZ456" s="29"/>
      <c r="BA456" s="29"/>
      <c r="BB456" s="29"/>
      <c r="BC456" s="29"/>
      <c r="BD456" s="29"/>
      <c r="BE456" s="29"/>
      <c r="BF456" s="29"/>
      <c r="BG456" s="29"/>
      <c r="BH456" s="29"/>
      <c r="BI456" s="29"/>
      <c r="BJ456" s="29"/>
      <c r="BK456" s="29"/>
      <c r="BL456" s="29"/>
      <c r="BM456" s="29"/>
      <c r="BN456" s="29"/>
      <c r="BO456" s="29"/>
      <c r="BP456" s="29"/>
      <c r="BQ456" s="29"/>
      <c r="BR456" s="29"/>
      <c r="BS456" s="29"/>
      <c r="BT456" s="29"/>
      <c r="BU456" s="29"/>
      <c r="BV456" s="29"/>
      <c r="BW456" s="29"/>
      <c r="BX456" s="29"/>
      <c r="BY456" s="29"/>
      <c r="BZ456" s="29"/>
      <c r="CA456" s="29"/>
      <c r="CB456" s="29"/>
      <c r="CC456" s="29"/>
      <c r="CD456" s="29"/>
      <c r="CE456" s="29"/>
      <c r="CF456" s="29"/>
      <c r="CG456" s="29"/>
      <c r="CH456" s="29"/>
      <c r="CI456" s="29"/>
      <c r="CJ456" s="29"/>
      <c r="CK456" s="29"/>
      <c r="CL456" s="29"/>
      <c r="CM456" s="29"/>
      <c r="CN456" s="29"/>
      <c r="CO456" s="29"/>
      <c r="CP456" s="29"/>
      <c r="CQ456" s="29"/>
      <c r="CR456" s="29"/>
      <c r="CS456" s="29"/>
      <c r="CT456" s="29"/>
      <c r="CU456" s="29"/>
      <c r="CV456" s="29"/>
      <c r="CW456" s="29"/>
      <c r="CX456" s="29"/>
      <c r="CY456" s="29"/>
      <c r="CZ456" s="29"/>
      <c r="DA456" s="29"/>
      <c r="DB456" s="29"/>
      <c r="DC456" s="29"/>
      <c r="DD456" s="29"/>
      <c r="DE456" s="29"/>
      <c r="DF456" s="29"/>
      <c r="DG456" s="29"/>
      <c r="DH456" s="29"/>
      <c r="DI456" s="29"/>
      <c r="DJ456" s="29"/>
      <c r="DK456" s="29"/>
      <c r="DL456" s="29"/>
      <c r="DM456" s="29"/>
      <c r="DN456" s="29"/>
      <c r="DO456" s="29"/>
      <c r="DP456" s="29"/>
      <c r="DQ456" s="29"/>
      <c r="DR456" s="29"/>
      <c r="DS456" s="29"/>
      <c r="DT456" s="29"/>
      <c r="DU456" s="29"/>
      <c r="DV456" s="29"/>
      <c r="DW456" s="29"/>
      <c r="DX456" s="29"/>
      <c r="DY456" s="29"/>
      <c r="DZ456" s="29"/>
      <c r="EA456" s="29"/>
      <c r="EB456" s="29"/>
      <c r="EC456" s="29"/>
      <c r="ED456" s="29"/>
      <c r="EE456" s="29"/>
      <c r="EF456" s="29"/>
      <c r="EG456" s="29"/>
      <c r="EH456" s="29"/>
      <c r="EI456" s="29"/>
      <c r="EJ456" s="29"/>
      <c r="EK456" s="29"/>
      <c r="EL456" s="29"/>
      <c r="EM456" s="29"/>
      <c r="EN456" s="29"/>
      <c r="EO456" s="29"/>
      <c r="EP456" s="29"/>
      <c r="EQ456" s="29"/>
      <c r="ER456" s="29"/>
      <c r="ES456" s="29"/>
      <c r="ET456" s="29"/>
      <c r="EU456" s="29"/>
      <c r="EV456" s="29"/>
      <c r="EW456" s="29"/>
      <c r="EX456" s="29"/>
      <c r="EY456" s="29"/>
      <c r="EZ456" s="29"/>
      <c r="FA456" s="29"/>
      <c r="FB456" s="29"/>
      <c r="FC456" s="29"/>
      <c r="FD456" s="29"/>
      <c r="FE456" s="29"/>
      <c r="FF456" s="29"/>
      <c r="FG456" s="29"/>
      <c r="FH456" s="29"/>
      <c r="FI456" s="29"/>
      <c r="FJ456" s="29"/>
      <c r="FK456" s="29"/>
      <c r="FL456" s="29"/>
      <c r="FM456" s="29"/>
      <c r="FN456" s="29"/>
      <c r="FO456" s="29"/>
      <c r="FP456" s="29"/>
      <c r="FQ456" s="29"/>
      <c r="FR456" s="14"/>
    </row>
  </sheetData>
  <autoFilter ref="A8:GE401">
    <filterColumn colId="1"/>
    <filterColumn colId="3"/>
  </autoFilter>
  <mergeCells count="44">
    <mergeCell ref="FS4:FS8"/>
    <mergeCell ref="E5:I5"/>
    <mergeCell ref="J5:N5"/>
    <mergeCell ref="O5:S5"/>
    <mergeCell ref="T5:X5"/>
    <mergeCell ref="Y5:AC5"/>
    <mergeCell ref="AD5:AH5"/>
    <mergeCell ref="AI5:AM5"/>
    <mergeCell ref="AN5:AR5"/>
    <mergeCell ref="AS5:AW5"/>
    <mergeCell ref="AX5:BB5"/>
    <mergeCell ref="BC5:BG5"/>
    <mergeCell ref="BH5:BL5"/>
    <mergeCell ref="BM5:BQ5"/>
    <mergeCell ref="BR5:BV5"/>
    <mergeCell ref="FD5:FH5"/>
    <mergeCell ref="FN5:FQ5"/>
    <mergeCell ref="DU5:DY5"/>
    <mergeCell ref="BW5:CA5"/>
    <mergeCell ref="CG5:CK5"/>
    <mergeCell ref="CL5:CP5"/>
    <mergeCell ref="ET5:EX5"/>
    <mergeCell ref="EY5:FC5"/>
    <mergeCell ref="DA5:DE5"/>
    <mergeCell ref="DF5:DJ5"/>
    <mergeCell ref="DK5:DO5"/>
    <mergeCell ref="DP5:DT5"/>
    <mergeCell ref="CB5:CF5"/>
    <mergeCell ref="EV4:FQ4"/>
    <mergeCell ref="FU4:FU8"/>
    <mergeCell ref="E4:T4"/>
    <mergeCell ref="U4:AQ4"/>
    <mergeCell ref="AR4:BL4"/>
    <mergeCell ref="BM4:CG4"/>
    <mergeCell ref="CH4:DD4"/>
    <mergeCell ref="DE4:DZ4"/>
    <mergeCell ref="EA4:EU4"/>
    <mergeCell ref="DZ5:ED5"/>
    <mergeCell ref="EE5:EI5"/>
    <mergeCell ref="EJ5:EN5"/>
    <mergeCell ref="EO5:ES5"/>
    <mergeCell ref="CQ5:CU5"/>
    <mergeCell ref="CV5:CZ5"/>
    <mergeCell ref="FI5:FM5"/>
  </mergeCells>
  <conditionalFormatting sqref="E403:FR403">
    <cfRule type="expression" dxfId="16" priority="1">
      <formula>IF(AND(ISNUMBER(E403),E403&lt;0.8),1,0)=1</formula>
    </cfRule>
    <cfRule type="expression" dxfId="15" priority="4">
      <formula>IF(AND(ISNUMBER(E403),E403&gt;1),1,0)=1</formula>
    </cfRule>
  </conditionalFormatting>
  <conditionalFormatting sqref="E403:FQ403">
    <cfRule type="expression" dxfId="14" priority="98">
      <formula>IF(AND(E403&gt;0,$FS402="L"),1,0)=1</formula>
    </cfRule>
    <cfRule type="expression" dxfId="13" priority="99">
      <formula>IF(AND(E403&gt;0,$FS402="M"),1,0)=1</formula>
    </cfRule>
    <cfRule type="expression" dxfId="12" priority="100">
      <formula>IF(AND(E403&gt;0,$FS402="H"),1,0)=1</formula>
    </cfRule>
  </conditionalFormatting>
  <conditionalFormatting sqref="EK269:EK283 EG4:EK268 EI274:EJ278 ER296:ES296 EY4:FL295 ET296:EW298 EX296:FA296 FM4:FO301 FJ299:FL301 EZ300:FI301 FP4:FQ307 FN306:FO307 FG306:FM308 EZ302:FB305 FC302:FE302 FD303:FF305 EW287:EX287 CL4:CP72 CG4:CK196 CO74:CP78 CQ4:CS78 DB4:DF78 CO79:CS197 DD80:DD214 DC204:DC214 DB221:DF221 DB198:DF198 DE80:DE384 DC217:DD385 DC386:DE390 CB385:CQ385 CM391:CP391 DB80:DC202 CU4:CV84 CV86:CV90 DS4:DW233 DF80:DF233 DG4:DO233 DW235:DW239 EK284:EO287 EP284:ES285 ER288:EX295 EP287:EQ287 EL4:EX283 EG269:EJ273 EB4:EF267 EE269:EF272 EG274:EG390 DB391:DY391 EM286:EV286 EZ297:FC299 FG304 FG309:FL311 EX298 FL310:FQ310 DB261:DJ261 EI280:EJ402 EK288:EQ402 ER299:EW402 EX300:EY402 EZ306:FF402 FG312:FQ402 CL74:CN402 CG198:CK402 CO199:CS402 CW4:DA402 DB204:DB402 DC392:DE402 CT4:CT402 CU86:CU402 CV93:CV402 DP4:DR402 DK235:DO402 DS235:DV402 DW242:DW402 DF234:DJ402 DX4:EA402 EB269:ED402 EH274:EH402 EG392:EG402 EE274:EF402 E4:CF402">
    <cfRule type="expression" dxfId="11" priority="35">
      <formula>IF(AND(E4&gt;0,$FS4="L"),1,0)=1</formula>
    </cfRule>
    <cfRule type="expression" dxfId="10" priority="36">
      <formula>IF(AND(E4&gt;0,$FS4="M"),1,0)=1</formula>
    </cfRule>
    <cfRule type="expression" dxfId="9" priority="102">
      <formula>IF(AND(E4&gt;0,$FS4="H"),1,0)=1</formula>
    </cfRule>
  </conditionalFormatting>
  <conditionalFormatting sqref="EK269:EK283 EG4:EK268 EI274:EJ278 ER296:ES296 EI280:EJ401 EK288:EQ401 EY4:FL295 ET296:EW298 EX296:FA296 FM4:FO301 FJ299:FL301 ER299:EW401 EZ300:FI301 EX300:EY401 FP4:FQ307 FN306:FO307 EZ306:FF401 FG306:FM308 FG312:FQ401 EZ302:FB305 FC302:FE302 FD303:FF305 EW287:EX287 CL4:CP72 CG4:CK196 CL74:CN401 CO74:CP78 CQ4:CS78 CG198:CK401 DB4:DF78 CO79:CS197 CO199:CS401 CW4:DA401 DD80:DD214 DB204:DB401 DC204:DC214 DB221:DF221 DB198:DF198 DE80:DE384 DC217:DD385 DC386:DE390 DC392:DE401 CB385:CQ385 CM391:CP391 DB80:DC202 CT4:CT401 CU4:CV84 CU86:CU401 CV86:CV90 CV93:CV401 DS4:DW233 DF80:DF233 DP4:DR401 DG4:DO233 DK235:DO401 DS235:DV401 DW235:DW239 DW242:DW401 DF234:DJ401 EK284:EO287 EP284:ES285 ER288:EX295 EP287:EQ287 EL4:EX283 EG269:EJ273 DX4:EA401 EB269:ED401 EB4:EF267 EE269:EF272 EH274:EH401 EG274:EG390 EG392:EG401 EE274:EF401 DB391:DY391 EM286:EV286 EZ297:FC299 FG304 FG309:FL311 EX298 FL310:FQ310 DB261:DJ261 E4:CF401">
    <cfRule type="expression" dxfId="8" priority="2">
      <formula>IF(AND(ISNUMBER(E4),$FS4="T"),1,0)=1</formula>
    </cfRule>
  </conditionalFormatting>
  <dataValidations count="1">
    <dataValidation type="list" allowBlank="1" showInputMessage="1" showErrorMessage="1" sqref="FS398:FS401">
      <formula1>$GC$4:$GE$4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4"/>
  <dimension ref="A1:FV90"/>
  <sheetViews>
    <sheetView showGridLines="0" topLeftCell="B1" zoomScale="70" zoomScaleNormal="70" workbookViewId="0">
      <selection activeCell="F11" sqref="F11"/>
    </sheetView>
  </sheetViews>
  <sheetFormatPr defaultRowHeight="12" customHeight="1"/>
  <cols>
    <col min="1" max="1" width="1.85546875" style="1" customWidth="1"/>
    <col min="2" max="2" width="19.28515625" style="1" bestFit="1" customWidth="1"/>
    <col min="3" max="4" width="13.5703125" style="1" bestFit="1" customWidth="1"/>
    <col min="5" max="5" width="14.85546875" style="1" customWidth="1"/>
    <col min="6" max="6" width="13.42578125" bestFit="1" customWidth="1"/>
    <col min="7" max="7" width="52.85546875" hidden="1" customWidth="1"/>
    <col min="8" max="8" width="44" style="57" bestFit="1" customWidth="1"/>
    <col min="9" max="9" width="6.5703125" bestFit="1" customWidth="1"/>
    <col min="10" max="178" width="0.85546875" customWidth="1"/>
  </cols>
  <sheetData>
    <row r="1" spans="2:178" ht="12" customHeight="1">
      <c r="H1" s="73" t="s">
        <v>10</v>
      </c>
      <c r="I1" s="74" t="s">
        <v>7</v>
      </c>
      <c r="J1" s="171">
        <v>42309</v>
      </c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3"/>
      <c r="Z1" s="167">
        <v>42339</v>
      </c>
      <c r="AA1" s="168"/>
      <c r="AB1" s="168"/>
      <c r="AC1" s="168"/>
      <c r="AD1" s="168"/>
      <c r="AE1" s="168"/>
      <c r="AF1" s="168"/>
      <c r="AG1" s="168"/>
      <c r="AH1" s="168"/>
      <c r="AI1" s="168"/>
      <c r="AJ1" s="168"/>
      <c r="AK1" s="168"/>
      <c r="AL1" s="168"/>
      <c r="AM1" s="168"/>
      <c r="AN1" s="168"/>
      <c r="AO1" s="168"/>
      <c r="AP1" s="168"/>
      <c r="AQ1" s="168"/>
      <c r="AR1" s="168"/>
      <c r="AS1" s="168"/>
      <c r="AT1" s="168"/>
      <c r="AU1" s="168"/>
      <c r="AV1" s="169"/>
      <c r="AW1" s="167">
        <v>42370</v>
      </c>
      <c r="AX1" s="168"/>
      <c r="AY1" s="168"/>
      <c r="AZ1" s="168"/>
      <c r="BA1" s="168"/>
      <c r="BB1" s="168"/>
      <c r="BC1" s="168"/>
      <c r="BD1" s="168"/>
      <c r="BE1" s="168"/>
      <c r="BF1" s="168"/>
      <c r="BG1" s="168"/>
      <c r="BH1" s="168"/>
      <c r="BI1" s="168"/>
      <c r="BJ1" s="168"/>
      <c r="BK1" s="168"/>
      <c r="BL1" s="168"/>
      <c r="BM1" s="168"/>
      <c r="BN1" s="168"/>
      <c r="BO1" s="168"/>
      <c r="BP1" s="168"/>
      <c r="BQ1" s="169"/>
      <c r="BR1" s="167">
        <v>42401</v>
      </c>
      <c r="BS1" s="168"/>
      <c r="BT1" s="168"/>
      <c r="BU1" s="168"/>
      <c r="BV1" s="168"/>
      <c r="BW1" s="168"/>
      <c r="BX1" s="168"/>
      <c r="BY1" s="168"/>
      <c r="BZ1" s="168"/>
      <c r="CA1" s="168"/>
      <c r="CB1" s="168"/>
      <c r="CC1" s="168"/>
      <c r="CD1" s="168"/>
      <c r="CE1" s="168"/>
      <c r="CF1" s="168"/>
      <c r="CG1" s="168"/>
      <c r="CH1" s="168"/>
      <c r="CI1" s="168"/>
      <c r="CJ1" s="168"/>
      <c r="CK1" s="168"/>
      <c r="CL1" s="169"/>
      <c r="CM1" s="167">
        <v>42430</v>
      </c>
      <c r="CN1" s="168"/>
      <c r="CO1" s="168"/>
      <c r="CP1" s="168"/>
      <c r="CQ1" s="168"/>
      <c r="CR1" s="168"/>
      <c r="CS1" s="168"/>
      <c r="CT1" s="168"/>
      <c r="CU1" s="168"/>
      <c r="CV1" s="168"/>
      <c r="CW1" s="168"/>
      <c r="CX1" s="168"/>
      <c r="CY1" s="168"/>
      <c r="CZ1" s="168"/>
      <c r="DA1" s="168"/>
      <c r="DB1" s="168"/>
      <c r="DC1" s="168"/>
      <c r="DD1" s="168"/>
      <c r="DE1" s="168"/>
      <c r="DF1" s="168"/>
      <c r="DG1" s="168"/>
      <c r="DH1" s="168"/>
      <c r="DI1" s="169"/>
      <c r="DJ1" s="167">
        <v>42461</v>
      </c>
      <c r="DK1" s="168"/>
      <c r="DL1" s="168"/>
      <c r="DM1" s="168"/>
      <c r="DN1" s="168"/>
      <c r="DO1" s="168"/>
      <c r="DP1" s="168"/>
      <c r="DQ1" s="168"/>
      <c r="DR1" s="168"/>
      <c r="DS1" s="168"/>
      <c r="DT1" s="168"/>
      <c r="DU1" s="168"/>
      <c r="DV1" s="168"/>
      <c r="DW1" s="168"/>
      <c r="DX1" s="168"/>
      <c r="DY1" s="168"/>
      <c r="DZ1" s="168"/>
      <c r="EA1" s="168"/>
      <c r="EB1" s="168"/>
      <c r="EC1" s="168"/>
      <c r="ED1" s="168"/>
      <c r="EE1" s="169"/>
      <c r="EF1" s="167">
        <v>42491</v>
      </c>
      <c r="EG1" s="168"/>
      <c r="EH1" s="168"/>
      <c r="EI1" s="168"/>
      <c r="EJ1" s="168"/>
      <c r="EK1" s="168"/>
      <c r="EL1" s="168"/>
      <c r="EM1" s="168"/>
      <c r="EN1" s="168"/>
      <c r="EO1" s="168"/>
      <c r="EP1" s="168"/>
      <c r="EQ1" s="168"/>
      <c r="ER1" s="168"/>
      <c r="ES1" s="168"/>
      <c r="ET1" s="168"/>
      <c r="EU1" s="168"/>
      <c r="EV1" s="168"/>
      <c r="EW1" s="168"/>
      <c r="EX1" s="168"/>
      <c r="EY1" s="168"/>
      <c r="EZ1" s="168"/>
      <c r="FA1" s="167">
        <v>42522</v>
      </c>
      <c r="FB1" s="168"/>
      <c r="FC1" s="168"/>
      <c r="FD1" s="168"/>
      <c r="FE1" s="168"/>
      <c r="FF1" s="168"/>
      <c r="FG1" s="168"/>
      <c r="FH1" s="168"/>
      <c r="FI1" s="168"/>
      <c r="FJ1" s="168"/>
      <c r="FK1" s="168"/>
      <c r="FL1" s="168"/>
      <c r="FM1" s="168"/>
      <c r="FN1" s="168"/>
      <c r="FO1" s="168"/>
      <c r="FP1" s="168"/>
      <c r="FQ1" s="168"/>
      <c r="FR1" s="168"/>
      <c r="FS1" s="168"/>
      <c r="FT1" s="168"/>
      <c r="FU1" s="168"/>
      <c r="FV1" s="169"/>
    </row>
    <row r="2" spans="2:178" s="1" customFormat="1" ht="12" customHeight="1">
      <c r="H2" s="170" t="s">
        <v>186</v>
      </c>
      <c r="I2" s="152"/>
      <c r="J2" s="80">
        <f>SUM(J3:J34)</f>
        <v>1</v>
      </c>
      <c r="K2" s="81">
        <f t="shared" ref="K2:BV2" si="0">SUM(K3:K34)</f>
        <v>1</v>
      </c>
      <c r="L2" s="81">
        <f t="shared" si="0"/>
        <v>1</v>
      </c>
      <c r="M2" s="81">
        <f t="shared" si="0"/>
        <v>1</v>
      </c>
      <c r="N2" s="81">
        <f t="shared" si="0"/>
        <v>1</v>
      </c>
      <c r="O2" s="81">
        <f t="shared" si="0"/>
        <v>1</v>
      </c>
      <c r="P2" s="81">
        <f t="shared" si="0"/>
        <v>1</v>
      </c>
      <c r="Q2" s="81">
        <f t="shared" si="0"/>
        <v>1</v>
      </c>
      <c r="R2" s="81">
        <f t="shared" si="0"/>
        <v>1</v>
      </c>
      <c r="S2" s="81">
        <f t="shared" si="0"/>
        <v>1</v>
      </c>
      <c r="T2" s="81">
        <f t="shared" si="0"/>
        <v>1</v>
      </c>
      <c r="U2" s="81">
        <f t="shared" si="0"/>
        <v>1</v>
      </c>
      <c r="V2" s="81">
        <f t="shared" si="0"/>
        <v>1</v>
      </c>
      <c r="W2" s="81">
        <f t="shared" si="0"/>
        <v>1</v>
      </c>
      <c r="X2" s="81">
        <f t="shared" si="0"/>
        <v>1</v>
      </c>
      <c r="Y2" s="81">
        <f t="shared" si="0"/>
        <v>1</v>
      </c>
      <c r="Z2" s="81">
        <f t="shared" si="0"/>
        <v>1</v>
      </c>
      <c r="AA2" s="81">
        <f t="shared" si="0"/>
        <v>1</v>
      </c>
      <c r="AB2" s="81">
        <f t="shared" si="0"/>
        <v>1</v>
      </c>
      <c r="AC2" s="81">
        <f t="shared" si="0"/>
        <v>1</v>
      </c>
      <c r="AD2" s="81">
        <f t="shared" si="0"/>
        <v>1.0000000000000002</v>
      </c>
      <c r="AE2" s="81">
        <f t="shared" si="0"/>
        <v>0.99999999999999989</v>
      </c>
      <c r="AF2" s="81">
        <f t="shared" si="0"/>
        <v>1.0000000000000002</v>
      </c>
      <c r="AG2" s="81">
        <f t="shared" si="0"/>
        <v>1.0000000000000002</v>
      </c>
      <c r="AH2" s="81">
        <f t="shared" si="0"/>
        <v>0.99999999999999989</v>
      </c>
      <c r="AI2" s="81">
        <f t="shared" si="0"/>
        <v>0.99999999999999989</v>
      </c>
      <c r="AJ2" s="81">
        <f t="shared" si="0"/>
        <v>1</v>
      </c>
      <c r="AK2" s="81">
        <f t="shared" si="0"/>
        <v>1</v>
      </c>
      <c r="AL2" s="81">
        <f t="shared" si="0"/>
        <v>1</v>
      </c>
      <c r="AM2" s="81">
        <f t="shared" si="0"/>
        <v>1</v>
      </c>
      <c r="AN2" s="81">
        <f t="shared" si="0"/>
        <v>1</v>
      </c>
      <c r="AO2" s="81">
        <f t="shared" si="0"/>
        <v>1</v>
      </c>
      <c r="AP2" s="81">
        <f t="shared" si="0"/>
        <v>1</v>
      </c>
      <c r="AQ2" s="81">
        <f t="shared" si="0"/>
        <v>0</v>
      </c>
      <c r="AR2" s="81">
        <f t="shared" si="0"/>
        <v>0</v>
      </c>
      <c r="AS2" s="81">
        <f t="shared" si="0"/>
        <v>0</v>
      </c>
      <c r="AT2" s="81">
        <f t="shared" si="0"/>
        <v>0</v>
      </c>
      <c r="AU2" s="81">
        <f t="shared" si="0"/>
        <v>0</v>
      </c>
      <c r="AV2" s="81">
        <f t="shared" si="0"/>
        <v>0</v>
      </c>
      <c r="AW2" s="81">
        <f t="shared" si="0"/>
        <v>0</v>
      </c>
      <c r="AX2" s="81">
        <f t="shared" si="0"/>
        <v>1</v>
      </c>
      <c r="AY2" s="81">
        <f t="shared" si="0"/>
        <v>1</v>
      </c>
      <c r="AZ2" s="81">
        <f t="shared" si="0"/>
        <v>1</v>
      </c>
      <c r="BA2" s="81">
        <f t="shared" si="0"/>
        <v>1</v>
      </c>
      <c r="BB2" s="81">
        <f t="shared" si="0"/>
        <v>1</v>
      </c>
      <c r="BC2" s="81">
        <f t="shared" si="0"/>
        <v>1</v>
      </c>
      <c r="BD2" s="81">
        <f t="shared" si="0"/>
        <v>1</v>
      </c>
      <c r="BE2" s="81">
        <f t="shared" si="0"/>
        <v>1</v>
      </c>
      <c r="BF2" s="81">
        <f t="shared" si="0"/>
        <v>1</v>
      </c>
      <c r="BG2" s="81">
        <f t="shared" si="0"/>
        <v>1</v>
      </c>
      <c r="BH2" s="81">
        <f t="shared" si="0"/>
        <v>1</v>
      </c>
      <c r="BI2" s="81">
        <f t="shared" si="0"/>
        <v>1</v>
      </c>
      <c r="BJ2" s="81">
        <f t="shared" si="0"/>
        <v>1</v>
      </c>
      <c r="BK2" s="81">
        <f t="shared" si="0"/>
        <v>1</v>
      </c>
      <c r="BL2" s="81">
        <f t="shared" si="0"/>
        <v>1</v>
      </c>
      <c r="BM2" s="81">
        <f t="shared" si="0"/>
        <v>1</v>
      </c>
      <c r="BN2" s="81">
        <f t="shared" si="0"/>
        <v>1</v>
      </c>
      <c r="BO2" s="81">
        <f t="shared" si="0"/>
        <v>1</v>
      </c>
      <c r="BP2" s="81">
        <f t="shared" si="0"/>
        <v>1</v>
      </c>
      <c r="BQ2" s="81">
        <f t="shared" si="0"/>
        <v>1</v>
      </c>
      <c r="BR2" s="81">
        <f t="shared" si="0"/>
        <v>1</v>
      </c>
      <c r="BS2" s="81">
        <f t="shared" si="0"/>
        <v>1</v>
      </c>
      <c r="BT2" s="81">
        <f t="shared" si="0"/>
        <v>1</v>
      </c>
      <c r="BU2" s="81">
        <f t="shared" si="0"/>
        <v>1</v>
      </c>
      <c r="BV2" s="81">
        <f t="shared" si="0"/>
        <v>1</v>
      </c>
      <c r="BW2" s="81">
        <f t="shared" ref="BW2:EH2" si="1">SUM(BW3:BW34)</f>
        <v>1</v>
      </c>
      <c r="BX2" s="81">
        <f t="shared" si="1"/>
        <v>1</v>
      </c>
      <c r="BY2" s="81">
        <f t="shared" si="1"/>
        <v>1</v>
      </c>
      <c r="BZ2" s="81">
        <f t="shared" si="1"/>
        <v>1</v>
      </c>
      <c r="CA2" s="81">
        <f t="shared" si="1"/>
        <v>1</v>
      </c>
      <c r="CB2" s="81">
        <f t="shared" si="1"/>
        <v>1</v>
      </c>
      <c r="CC2" s="81">
        <f t="shared" si="1"/>
        <v>1</v>
      </c>
      <c r="CD2" s="81">
        <f t="shared" si="1"/>
        <v>1</v>
      </c>
      <c r="CE2" s="81">
        <f t="shared" si="1"/>
        <v>1</v>
      </c>
      <c r="CF2" s="81">
        <f t="shared" si="1"/>
        <v>1</v>
      </c>
      <c r="CG2" s="81">
        <f t="shared" si="1"/>
        <v>1</v>
      </c>
      <c r="CH2" s="81">
        <f t="shared" si="1"/>
        <v>1</v>
      </c>
      <c r="CI2" s="81">
        <f t="shared" si="1"/>
        <v>1</v>
      </c>
      <c r="CJ2" s="81">
        <f t="shared" si="1"/>
        <v>1</v>
      </c>
      <c r="CK2" s="81">
        <f t="shared" si="1"/>
        <v>1</v>
      </c>
      <c r="CL2" s="81">
        <f t="shared" si="1"/>
        <v>1</v>
      </c>
      <c r="CM2" s="81">
        <f t="shared" si="1"/>
        <v>1</v>
      </c>
      <c r="CN2" s="81">
        <f t="shared" si="1"/>
        <v>1</v>
      </c>
      <c r="CO2" s="81">
        <f t="shared" si="1"/>
        <v>1</v>
      </c>
      <c r="CP2" s="81">
        <f t="shared" si="1"/>
        <v>1</v>
      </c>
      <c r="CQ2" s="81">
        <f t="shared" si="1"/>
        <v>1</v>
      </c>
      <c r="CR2" s="81">
        <f t="shared" si="1"/>
        <v>1</v>
      </c>
      <c r="CS2" s="81">
        <f t="shared" si="1"/>
        <v>1</v>
      </c>
      <c r="CT2" s="81">
        <f t="shared" si="1"/>
        <v>1</v>
      </c>
      <c r="CU2" s="81">
        <f t="shared" si="1"/>
        <v>1</v>
      </c>
      <c r="CV2" s="81">
        <f t="shared" si="1"/>
        <v>1</v>
      </c>
      <c r="CW2" s="81">
        <f t="shared" si="1"/>
        <v>1</v>
      </c>
      <c r="CX2" s="81">
        <f t="shared" si="1"/>
        <v>1</v>
      </c>
      <c r="CY2" s="81">
        <f t="shared" si="1"/>
        <v>0</v>
      </c>
      <c r="CZ2" s="81">
        <f t="shared" si="1"/>
        <v>1</v>
      </c>
      <c r="DA2" s="81">
        <f t="shared" si="1"/>
        <v>1</v>
      </c>
      <c r="DB2" s="81">
        <f t="shared" si="1"/>
        <v>1</v>
      </c>
      <c r="DC2" s="81">
        <f t="shared" si="1"/>
        <v>1</v>
      </c>
      <c r="DD2" s="81">
        <f t="shared" si="1"/>
        <v>1</v>
      </c>
      <c r="DE2" s="81">
        <f t="shared" si="1"/>
        <v>0</v>
      </c>
      <c r="DF2" s="81">
        <f t="shared" si="1"/>
        <v>0</v>
      </c>
      <c r="DG2" s="81">
        <f t="shared" si="1"/>
        <v>1</v>
      </c>
      <c r="DH2" s="81">
        <f t="shared" si="1"/>
        <v>1</v>
      </c>
      <c r="DI2" s="81">
        <f t="shared" si="1"/>
        <v>1</v>
      </c>
      <c r="DJ2" s="81">
        <f t="shared" si="1"/>
        <v>1</v>
      </c>
      <c r="DK2" s="81">
        <f t="shared" si="1"/>
        <v>1</v>
      </c>
      <c r="DL2" s="81">
        <f t="shared" si="1"/>
        <v>1</v>
      </c>
      <c r="DM2" s="81">
        <f t="shared" si="1"/>
        <v>1</v>
      </c>
      <c r="DN2" s="81">
        <f t="shared" si="1"/>
        <v>1</v>
      </c>
      <c r="DO2" s="81">
        <f t="shared" si="1"/>
        <v>1</v>
      </c>
      <c r="DP2" s="81">
        <f t="shared" si="1"/>
        <v>1</v>
      </c>
      <c r="DQ2" s="81">
        <f t="shared" si="1"/>
        <v>1</v>
      </c>
      <c r="DR2" s="81">
        <f t="shared" si="1"/>
        <v>1</v>
      </c>
      <c r="DS2" s="81">
        <f t="shared" si="1"/>
        <v>1</v>
      </c>
      <c r="DT2" s="81">
        <f t="shared" si="1"/>
        <v>1</v>
      </c>
      <c r="DU2" s="81">
        <f t="shared" si="1"/>
        <v>1</v>
      </c>
      <c r="DV2" s="81">
        <f t="shared" si="1"/>
        <v>1</v>
      </c>
      <c r="DW2" s="81">
        <f t="shared" si="1"/>
        <v>1</v>
      </c>
      <c r="DX2" s="81">
        <f t="shared" si="1"/>
        <v>1</v>
      </c>
      <c r="DY2" s="81">
        <f t="shared" si="1"/>
        <v>1</v>
      </c>
      <c r="DZ2" s="81">
        <f t="shared" si="1"/>
        <v>1</v>
      </c>
      <c r="EA2" s="81">
        <f t="shared" si="1"/>
        <v>1</v>
      </c>
      <c r="EB2" s="81">
        <f t="shared" si="1"/>
        <v>1</v>
      </c>
      <c r="EC2" s="81">
        <f t="shared" si="1"/>
        <v>1</v>
      </c>
      <c r="ED2" s="81">
        <f t="shared" si="1"/>
        <v>1</v>
      </c>
      <c r="EE2" s="81">
        <f t="shared" si="1"/>
        <v>0</v>
      </c>
      <c r="EF2" s="81">
        <f t="shared" si="1"/>
        <v>1</v>
      </c>
      <c r="EG2" s="81">
        <f t="shared" si="1"/>
        <v>1</v>
      </c>
      <c r="EH2" s="81">
        <f t="shared" si="1"/>
        <v>1</v>
      </c>
      <c r="EI2" s="81">
        <f t="shared" ref="EI2:FV2" si="2">SUM(EI3:EI34)</f>
        <v>1</v>
      </c>
      <c r="EJ2" s="81">
        <f t="shared" si="2"/>
        <v>1</v>
      </c>
      <c r="EK2" s="81">
        <f t="shared" si="2"/>
        <v>1</v>
      </c>
      <c r="EL2" s="81">
        <f t="shared" si="2"/>
        <v>1</v>
      </c>
      <c r="EM2" s="81">
        <f t="shared" si="2"/>
        <v>1</v>
      </c>
      <c r="EN2" s="81">
        <f t="shared" si="2"/>
        <v>1</v>
      </c>
      <c r="EO2" s="81">
        <f t="shared" si="2"/>
        <v>1</v>
      </c>
      <c r="EP2" s="81">
        <f t="shared" si="2"/>
        <v>1</v>
      </c>
      <c r="EQ2" s="81">
        <f t="shared" si="2"/>
        <v>1</v>
      </c>
      <c r="ER2" s="81">
        <f t="shared" si="2"/>
        <v>1</v>
      </c>
      <c r="ES2" s="81">
        <f t="shared" si="2"/>
        <v>1</v>
      </c>
      <c r="ET2" s="81">
        <f t="shared" si="2"/>
        <v>1</v>
      </c>
      <c r="EU2" s="81">
        <f t="shared" si="2"/>
        <v>1</v>
      </c>
      <c r="EV2" s="81">
        <f t="shared" si="2"/>
        <v>1</v>
      </c>
      <c r="EW2" s="81">
        <f t="shared" si="2"/>
        <v>1</v>
      </c>
      <c r="EX2" s="81">
        <f t="shared" si="2"/>
        <v>1</v>
      </c>
      <c r="EY2" s="81">
        <f t="shared" si="2"/>
        <v>1</v>
      </c>
      <c r="EZ2" s="81">
        <f t="shared" si="2"/>
        <v>1</v>
      </c>
      <c r="FA2" s="81">
        <f t="shared" si="2"/>
        <v>1</v>
      </c>
      <c r="FB2" s="81">
        <f t="shared" si="2"/>
        <v>1</v>
      </c>
      <c r="FC2" s="81">
        <f t="shared" si="2"/>
        <v>1</v>
      </c>
      <c r="FD2" s="81">
        <f t="shared" si="2"/>
        <v>0</v>
      </c>
      <c r="FE2" s="81">
        <f t="shared" si="2"/>
        <v>1</v>
      </c>
      <c r="FF2" s="81">
        <f t="shared" si="2"/>
        <v>1</v>
      </c>
      <c r="FG2" s="81">
        <f t="shared" si="2"/>
        <v>1</v>
      </c>
      <c r="FH2" s="81">
        <f t="shared" si="2"/>
        <v>1</v>
      </c>
      <c r="FI2" s="81">
        <f t="shared" si="2"/>
        <v>1</v>
      </c>
      <c r="FJ2" s="81">
        <f t="shared" si="2"/>
        <v>1</v>
      </c>
      <c r="FK2" s="81">
        <f t="shared" si="2"/>
        <v>1</v>
      </c>
      <c r="FL2" s="81">
        <f t="shared" si="2"/>
        <v>1</v>
      </c>
      <c r="FM2" s="81">
        <f t="shared" si="2"/>
        <v>1</v>
      </c>
      <c r="FN2" s="81">
        <f t="shared" si="2"/>
        <v>1</v>
      </c>
      <c r="FO2" s="81">
        <f t="shared" si="2"/>
        <v>1</v>
      </c>
      <c r="FP2" s="81">
        <f t="shared" si="2"/>
        <v>1</v>
      </c>
      <c r="FQ2" s="81">
        <f t="shared" si="2"/>
        <v>1</v>
      </c>
      <c r="FR2" s="81">
        <f t="shared" si="2"/>
        <v>1</v>
      </c>
      <c r="FS2" s="81">
        <f t="shared" si="2"/>
        <v>1</v>
      </c>
      <c r="FT2" s="81">
        <f t="shared" si="2"/>
        <v>1</v>
      </c>
      <c r="FU2" s="81">
        <f t="shared" si="2"/>
        <v>1</v>
      </c>
      <c r="FV2" s="79">
        <f t="shared" si="2"/>
        <v>1</v>
      </c>
    </row>
    <row r="3" spans="2:178" s="58" customFormat="1" ht="12" customHeight="1">
      <c r="G3" s="64" t="str">
        <f>H3&amp;$H$1</f>
        <v>1. Opening Balances  1.3 SupervisionGlenn Kirk</v>
      </c>
      <c r="H3" s="102" t="s">
        <v>165</v>
      </c>
      <c r="I3" s="59" t="str">
        <f>INDEX('Resource Demand - Activity'!C:C,MATCH(Example!G3,'Resource Demand - Activity'!FT:FT,0))</f>
        <v>1 days</v>
      </c>
      <c r="J3" s="51">
        <f>SUMIF('Resource Demand - Activity'!$FT:$FT,Example!$G3,'Resource Demand - Activity'!E:E)</f>
        <v>0</v>
      </c>
      <c r="K3" s="35">
        <f>SUMIF('Resource Demand - Activity'!$FT:$FT,Example!$G3,'Resource Demand - Activity'!F:F)</f>
        <v>0</v>
      </c>
      <c r="L3" s="35">
        <f>SUMIF('Resource Demand - Activity'!$FT:$FT,Example!$G3,'Resource Demand - Activity'!G:G)</f>
        <v>0</v>
      </c>
      <c r="M3" s="35">
        <f>SUMIF('Resource Demand - Activity'!$FT:$FT,Example!$G3,'Resource Demand - Activity'!H:H)</f>
        <v>0</v>
      </c>
      <c r="N3" s="35">
        <f>SUMIF('Resource Demand - Activity'!$FT:$FT,Example!$G3,'Resource Demand - Activity'!I:I)</f>
        <v>0</v>
      </c>
      <c r="O3" s="35">
        <f>SUMIF('Resource Demand - Activity'!$FT:$FT,Example!$G3,'Resource Demand - Activity'!J:J)</f>
        <v>0</v>
      </c>
      <c r="P3" s="35">
        <f>SUMIF('Resource Demand - Activity'!$FT:$FT,Example!$G3,'Resource Demand - Activity'!K:K)</f>
        <v>0</v>
      </c>
      <c r="Q3" s="35">
        <f>SUMIF('Resource Demand - Activity'!$FT:$FT,Example!$G3,'Resource Demand - Activity'!L:L)</f>
        <v>0</v>
      </c>
      <c r="R3" s="35">
        <f>SUMIF('Resource Demand - Activity'!$FT:$FT,Example!$G3,'Resource Demand - Activity'!M:M)</f>
        <v>0</v>
      </c>
      <c r="S3" s="35">
        <f>SUMIF('Resource Demand - Activity'!$FT:$FT,Example!$G3,'Resource Demand - Activity'!N:N)</f>
        <v>0</v>
      </c>
      <c r="T3" s="35">
        <f>SUMIF('Resource Demand - Activity'!$FT:$FT,Example!$G3,'Resource Demand - Activity'!O:O)</f>
        <v>0</v>
      </c>
      <c r="U3" s="35">
        <f>SUMIF('Resource Demand - Activity'!$FT:$FT,Example!$G3,'Resource Demand - Activity'!P:P)</f>
        <v>0</v>
      </c>
      <c r="V3" s="35">
        <f>SUMIF('Resource Demand - Activity'!$FT:$FT,Example!$G3,'Resource Demand - Activity'!Q:Q)</f>
        <v>0</v>
      </c>
      <c r="W3" s="35">
        <f>SUMIF('Resource Demand - Activity'!$FT:$FT,Example!$G3,'Resource Demand - Activity'!R:R)</f>
        <v>0</v>
      </c>
      <c r="X3" s="35">
        <f>SUMIF('Resource Demand - Activity'!$FT:$FT,Example!$G3,'Resource Demand - Activity'!S:S)</f>
        <v>0</v>
      </c>
      <c r="Y3" s="35">
        <f>SUMIF('Resource Demand - Activity'!$FT:$FT,Example!$G3,'Resource Demand - Activity'!T:T)</f>
        <v>0</v>
      </c>
      <c r="Z3" s="35">
        <f>SUMIF('Resource Demand - Activity'!$FT:$FT,Example!$G3,'Resource Demand - Activity'!U:U)</f>
        <v>0</v>
      </c>
      <c r="AA3" s="35">
        <f>SUMIF('Resource Demand - Activity'!$FT:$FT,Example!$G3,'Resource Demand - Activity'!V:V)</f>
        <v>0</v>
      </c>
      <c r="AB3" s="35">
        <f>SUMIF('Resource Demand - Activity'!$FT:$FT,Example!$G3,'Resource Demand - Activity'!W:W)</f>
        <v>0</v>
      </c>
      <c r="AC3" s="35">
        <f>SUMIF('Resource Demand - Activity'!$FT:$FT,Example!$G3,'Resource Demand - Activity'!X:X)</f>
        <v>0</v>
      </c>
      <c r="AD3" s="35">
        <f>SUMIF('Resource Demand - Activity'!$FT:$FT,Example!$G3,'Resource Demand - Activity'!Y:Y)</f>
        <v>0</v>
      </c>
      <c r="AE3" s="35">
        <f>SUMIF('Resource Demand - Activity'!$FT:$FT,Example!$G3,'Resource Demand - Activity'!Z:Z)</f>
        <v>0</v>
      </c>
      <c r="AF3" s="35">
        <f>SUMIF('Resource Demand - Activity'!$FT:$FT,Example!$G3,'Resource Demand - Activity'!AA:AA)</f>
        <v>0</v>
      </c>
      <c r="AG3" s="35">
        <f>SUMIF('Resource Demand - Activity'!$FT:$FT,Example!$G3,'Resource Demand - Activity'!AB:AB)</f>
        <v>0</v>
      </c>
      <c r="AH3" s="35">
        <f>SUMIF('Resource Demand - Activity'!$FT:$FT,Example!$G3,'Resource Demand - Activity'!AC:AC)</f>
        <v>0</v>
      </c>
      <c r="AI3" s="35">
        <f>SUMIF('Resource Demand - Activity'!$FT:$FT,Example!$G3,'Resource Demand - Activity'!AD:AD)</f>
        <v>0</v>
      </c>
      <c r="AJ3" s="35">
        <f>SUMIF('Resource Demand - Activity'!$FT:$FT,Example!$G3,'Resource Demand - Activity'!AE:AE)</f>
        <v>0</v>
      </c>
      <c r="AK3" s="35">
        <f>SUMIF('Resource Demand - Activity'!$FT:$FT,Example!$G3,'Resource Demand - Activity'!AF:AF)</f>
        <v>0</v>
      </c>
      <c r="AL3" s="35">
        <f>SUMIF('Resource Demand - Activity'!$FT:$FT,Example!$G3,'Resource Demand - Activity'!AG:AG)</f>
        <v>0</v>
      </c>
      <c r="AM3" s="35">
        <f>SUMIF('Resource Demand - Activity'!$FT:$FT,Example!$G3,'Resource Demand - Activity'!AH:AH)</f>
        <v>0</v>
      </c>
      <c r="AN3" s="35">
        <f>SUMIF('Resource Demand - Activity'!$FT:$FT,Example!$G3,'Resource Demand - Activity'!AI:AI)</f>
        <v>0</v>
      </c>
      <c r="AO3" s="35">
        <f>SUMIF('Resource Demand - Activity'!$FT:$FT,Example!$G3,'Resource Demand - Activity'!AJ:AJ)</f>
        <v>0</v>
      </c>
      <c r="AP3" s="35">
        <f>SUMIF('Resource Demand - Activity'!$FT:$FT,Example!$G3,'Resource Demand - Activity'!AK:AK)</f>
        <v>0</v>
      </c>
      <c r="AQ3" s="36"/>
      <c r="AR3" s="36"/>
      <c r="AS3" s="36"/>
      <c r="AT3" s="36"/>
      <c r="AU3" s="36"/>
      <c r="AV3" s="36"/>
      <c r="AW3" s="36"/>
      <c r="AX3" s="35">
        <f>SUMIF('Resource Demand - Activity'!$FT:$FT,Example!$G3,'Resource Demand - Activity'!AS:AS)</f>
        <v>0</v>
      </c>
      <c r="AY3" s="35">
        <f>SUMIF('Resource Demand - Activity'!$FT:$FT,Example!$G3,'Resource Demand - Activity'!AT:AT)</f>
        <v>0</v>
      </c>
      <c r="AZ3" s="35">
        <f>SUMIF('Resource Demand - Activity'!$FT:$FT,Example!$G3,'Resource Demand - Activity'!AU:AU)</f>
        <v>0</v>
      </c>
      <c r="BA3" s="35">
        <f>SUMIF('Resource Demand - Activity'!$FT:$FT,Example!$G3,'Resource Demand - Activity'!AV:AV)</f>
        <v>0</v>
      </c>
      <c r="BB3" s="35">
        <f>SUMIF('Resource Demand - Activity'!$FT:$FT,Example!$G3,'Resource Demand - Activity'!AW:AW)</f>
        <v>0</v>
      </c>
      <c r="BC3" s="35">
        <f>SUMIF('Resource Demand - Activity'!$FT:$FT,Example!$G3,'Resource Demand - Activity'!AX:AX)</f>
        <v>0</v>
      </c>
      <c r="BD3" s="35">
        <f>SUMIF('Resource Demand - Activity'!$FT:$FT,Example!$G3,'Resource Demand - Activity'!AY:AY)</f>
        <v>0</v>
      </c>
      <c r="BE3" s="35">
        <f>SUMIF('Resource Demand - Activity'!$FT:$FT,Example!$G3,'Resource Demand - Activity'!AZ:AZ)</f>
        <v>0</v>
      </c>
      <c r="BF3" s="35">
        <f>SUMIF('Resource Demand - Activity'!$FT:$FT,Example!$G3,'Resource Demand - Activity'!BA:BA)</f>
        <v>0</v>
      </c>
      <c r="BG3" s="35">
        <f>SUMIF('Resource Demand - Activity'!$FT:$FT,Example!$G3,'Resource Demand - Activity'!BB:BB)</f>
        <v>0</v>
      </c>
      <c r="BH3" s="35">
        <f>SUMIF('Resource Demand - Activity'!$FT:$FT,Example!$G3,'Resource Demand - Activity'!BC:BC)</f>
        <v>0</v>
      </c>
      <c r="BI3" s="35">
        <f>SUMIF('Resource Demand - Activity'!$FT:$FT,Example!$G3,'Resource Demand - Activity'!BD:BD)</f>
        <v>0</v>
      </c>
      <c r="BJ3" s="35">
        <f>SUMIF('Resource Demand - Activity'!$FT:$FT,Example!$G3,'Resource Demand - Activity'!BE:BE)</f>
        <v>0</v>
      </c>
      <c r="BK3" s="35">
        <f>SUMIF('Resource Demand - Activity'!$FT:$FT,Example!$G3,'Resource Demand - Activity'!BF:BF)</f>
        <v>0</v>
      </c>
      <c r="BL3" s="35">
        <f>SUMIF('Resource Demand - Activity'!$FT:$FT,Example!$G3,'Resource Demand - Activity'!BG:BG)</f>
        <v>0</v>
      </c>
      <c r="BM3" s="35">
        <f>SUMIF('Resource Demand - Activity'!$FT:$FT,Example!$G3,'Resource Demand - Activity'!BH:BH)</f>
        <v>0</v>
      </c>
      <c r="BN3" s="35">
        <f>SUMIF('Resource Demand - Activity'!$FT:$FT,Example!$G3,'Resource Demand - Activity'!BI:BI)</f>
        <v>0</v>
      </c>
      <c r="BO3" s="35">
        <f>SUMIF('Resource Demand - Activity'!$FT:$FT,Example!$G3,'Resource Demand - Activity'!BJ:BJ)</f>
        <v>0</v>
      </c>
      <c r="BP3" s="35">
        <f>SUMIF('Resource Demand - Activity'!$FT:$FT,Example!$G3,'Resource Demand - Activity'!BK:BK)</f>
        <v>0</v>
      </c>
      <c r="BQ3" s="35">
        <f>SUMIF('Resource Demand - Activity'!$FT:$FT,Example!$G3,'Resource Demand - Activity'!BL:BL)</f>
        <v>0</v>
      </c>
      <c r="BR3" s="35">
        <f>SUMIF('Resource Demand - Activity'!$FT:$FT,Example!$G3,'Resource Demand - Activity'!BM:BM)</f>
        <v>0</v>
      </c>
      <c r="BS3" s="35">
        <f>SUMIF('Resource Demand - Activity'!$FT:$FT,Example!$G3,'Resource Demand - Activity'!BN:BN)</f>
        <v>0</v>
      </c>
      <c r="BT3" s="35">
        <f>SUMIF('Resource Demand - Activity'!$FT:$FT,Example!$G3,'Resource Demand - Activity'!BO:BO)</f>
        <v>0</v>
      </c>
      <c r="BU3" s="35">
        <f>SUMIF('Resource Demand - Activity'!$FT:$FT,Example!$G3,'Resource Demand - Activity'!BP:BP)</f>
        <v>0</v>
      </c>
      <c r="BV3" s="35">
        <f>SUMIF('Resource Demand - Activity'!$FT:$FT,Example!$G3,'Resource Demand - Activity'!BQ:BQ)</f>
        <v>0</v>
      </c>
      <c r="BW3" s="35">
        <f>SUMIF('Resource Demand - Activity'!$FT:$FT,Example!$G3,'Resource Demand - Activity'!BR:BR)</f>
        <v>0</v>
      </c>
      <c r="BX3" s="35">
        <f>SUMIF('Resource Demand - Activity'!$FT:$FT,Example!$G3,'Resource Demand - Activity'!BS:BS)</f>
        <v>0</v>
      </c>
      <c r="BY3" s="35">
        <f>SUMIF('Resource Demand - Activity'!$FT:$FT,Example!$G3,'Resource Demand - Activity'!BT:BT)</f>
        <v>0</v>
      </c>
      <c r="BZ3" s="35">
        <f>SUMIF('Resource Demand - Activity'!$FT:$FT,Example!$G3,'Resource Demand - Activity'!BU:BU)</f>
        <v>0</v>
      </c>
      <c r="CA3" s="35">
        <f>SUMIF('Resource Demand - Activity'!$FT:$FT,Example!$G3,'Resource Demand - Activity'!BV:BV)</f>
        <v>0</v>
      </c>
      <c r="CB3" s="35">
        <f>SUMIF('Resource Demand - Activity'!$FT:$FT,Example!$G3,'Resource Demand - Activity'!BW:BW)</f>
        <v>0</v>
      </c>
      <c r="CC3" s="35">
        <f>SUMIF('Resource Demand - Activity'!$FT:$FT,Example!$G3,'Resource Demand - Activity'!BX:BX)</f>
        <v>0</v>
      </c>
      <c r="CD3" s="35">
        <f>SUMIF('Resource Demand - Activity'!$FT:$FT,Example!$G3,'Resource Demand - Activity'!BY:BY)</f>
        <v>0</v>
      </c>
      <c r="CE3" s="35">
        <f>SUMIF('Resource Demand - Activity'!$FT:$FT,Example!$G3,'Resource Demand - Activity'!BZ:BZ)</f>
        <v>0</v>
      </c>
      <c r="CF3" s="35">
        <f>SUMIF('Resource Demand - Activity'!$FT:$FT,Example!$G3,'Resource Demand - Activity'!CA:CA)</f>
        <v>0</v>
      </c>
      <c r="CG3" s="35">
        <f>SUMIF('Resource Demand - Activity'!$FT:$FT,Example!$G3,'Resource Demand - Activity'!CB:CB)</f>
        <v>0</v>
      </c>
      <c r="CH3" s="35">
        <f>SUMIF('Resource Demand - Activity'!$FT:$FT,Example!$G3,'Resource Demand - Activity'!CC:CC)</f>
        <v>0</v>
      </c>
      <c r="CI3" s="35">
        <f>SUMIF('Resource Demand - Activity'!$FT:$FT,Example!$G3,'Resource Demand - Activity'!CD:CD)</f>
        <v>0</v>
      </c>
      <c r="CJ3" s="35">
        <f>SUMIF('Resource Demand - Activity'!$FT:$FT,Example!$G3,'Resource Demand - Activity'!CE:CE)</f>
        <v>0</v>
      </c>
      <c r="CK3" s="35">
        <f>SUMIF('Resource Demand - Activity'!$FT:$FT,Example!$G3,'Resource Demand - Activity'!CF:CF)</f>
        <v>0</v>
      </c>
      <c r="CL3" s="35">
        <f>SUMIF('Resource Demand - Activity'!$FT:$FT,Example!$G3,'Resource Demand - Activity'!CG:CG)</f>
        <v>0</v>
      </c>
      <c r="CM3" s="35">
        <f>SUMIF('Resource Demand - Activity'!$FT:$FT,Example!$G3,'Resource Demand - Activity'!CH:CH)</f>
        <v>0</v>
      </c>
      <c r="CN3" s="35">
        <f>SUMIF('Resource Demand - Activity'!$FT:$FT,Example!$G3,'Resource Demand - Activity'!CI:CI)</f>
        <v>0</v>
      </c>
      <c r="CO3" s="35">
        <f>SUMIF('Resource Demand - Activity'!$FT:$FT,Example!$G3,'Resource Demand - Activity'!CJ:CJ)</f>
        <v>0</v>
      </c>
      <c r="CP3" s="35">
        <f>SUMIF('Resource Demand - Activity'!$FT:$FT,Example!$G3,'Resource Demand - Activity'!CK:CK)</f>
        <v>0</v>
      </c>
      <c r="CQ3" s="35">
        <f>SUMIF('Resource Demand - Activity'!$FT:$FT,Example!$G3,'Resource Demand - Activity'!CL:CL)</f>
        <v>0</v>
      </c>
      <c r="CR3" s="35">
        <f>SUMIF('Resource Demand - Activity'!$FT:$FT,Example!$G3,'Resource Demand - Activity'!CM:CM)</f>
        <v>0</v>
      </c>
      <c r="CS3" s="35">
        <f>SUMIF('Resource Demand - Activity'!$FT:$FT,Example!$G3,'Resource Demand - Activity'!CN:CN)</f>
        <v>0</v>
      </c>
      <c r="CT3" s="35">
        <f>SUMIF('Resource Demand - Activity'!$FT:$FT,Example!$G3,'Resource Demand - Activity'!CO:CO)</f>
        <v>0</v>
      </c>
      <c r="CU3" s="35">
        <f>SUMIF('Resource Demand - Activity'!$FT:$FT,Example!$G3,'Resource Demand - Activity'!CP:CP)</f>
        <v>0</v>
      </c>
      <c r="CV3" s="35">
        <f>SUMIF('Resource Demand - Activity'!$FT:$FT,Example!$G3,'Resource Demand - Activity'!CQ:CQ)</f>
        <v>0</v>
      </c>
      <c r="CW3" s="35">
        <f>SUMIF('Resource Demand - Activity'!$FT:$FT,Example!$G3,'Resource Demand - Activity'!CR:CR)</f>
        <v>0</v>
      </c>
      <c r="CX3" s="35">
        <f>SUMIF('Resource Demand - Activity'!$FT:$FT,Example!$G3,'Resource Demand - Activity'!CS:CS)</f>
        <v>0</v>
      </c>
      <c r="CY3" s="36"/>
      <c r="CZ3" s="35">
        <f>SUMIF('Resource Demand - Activity'!$FT:$FT,Example!$G3,'Resource Demand - Activity'!CU:CU)</f>
        <v>0</v>
      </c>
      <c r="DA3" s="35">
        <f>SUMIF('Resource Demand - Activity'!$FT:$FT,Example!$G3,'Resource Demand - Activity'!CV:CV)</f>
        <v>0</v>
      </c>
      <c r="DB3" s="35">
        <f>SUMIF('Resource Demand - Activity'!$FT:$FT,Example!$G3,'Resource Demand - Activity'!CW:CW)</f>
        <v>0</v>
      </c>
      <c r="DC3" s="35">
        <f>SUMIF('Resource Demand - Activity'!$FT:$FT,Example!$G3,'Resource Demand - Activity'!CX:CX)</f>
        <v>0</v>
      </c>
      <c r="DD3" s="35">
        <f>SUMIF('Resource Demand - Activity'!$FT:$FT,Example!$G3,'Resource Demand - Activity'!CY:CY)</f>
        <v>0</v>
      </c>
      <c r="DE3" s="36"/>
      <c r="DF3" s="36"/>
      <c r="DG3" s="35">
        <f>SUMIF('Resource Demand - Activity'!$FT:$FT,Example!$G3,'Resource Demand - Activity'!DB:DB)</f>
        <v>0</v>
      </c>
      <c r="DH3" s="35">
        <f>SUMIF('Resource Demand - Activity'!$FT:$FT,Example!$G3,'Resource Demand - Activity'!DC:DC)</f>
        <v>0</v>
      </c>
      <c r="DI3" s="35">
        <f>SUMIF('Resource Demand - Activity'!$FT:$FT,Example!$G3,'Resource Demand - Activity'!DD:DD)</f>
        <v>0</v>
      </c>
      <c r="DJ3" s="35">
        <f>SUMIF('Resource Demand - Activity'!$FT:$FT,Example!$G3,'Resource Demand - Activity'!DE:DE)</f>
        <v>0</v>
      </c>
      <c r="DK3" s="35">
        <f>SUMIF('Resource Demand - Activity'!$FT:$FT,Example!$G3,'Resource Demand - Activity'!DF:DF)</f>
        <v>0</v>
      </c>
      <c r="DL3" s="35">
        <f>SUMIF('Resource Demand - Activity'!$FT:$FT,Example!$G3,'Resource Demand - Activity'!DG:DG)</f>
        <v>0</v>
      </c>
      <c r="DM3" s="35">
        <f>SUMIF('Resource Demand - Activity'!$FT:$FT,Example!$G3,'Resource Demand - Activity'!DH:DH)</f>
        <v>0</v>
      </c>
      <c r="DN3" s="35">
        <f>SUMIF('Resource Demand - Activity'!$FT:$FT,Example!$G3,'Resource Demand - Activity'!DI:DI)</f>
        <v>0</v>
      </c>
      <c r="DO3" s="35">
        <f>SUMIF('Resource Demand - Activity'!$FT:$FT,Example!$G3,'Resource Demand - Activity'!DJ:DJ)</f>
        <v>0</v>
      </c>
      <c r="DP3" s="35">
        <f>SUMIF('Resource Demand - Activity'!$FT:$FT,Example!$G3,'Resource Demand - Activity'!DK:DK)</f>
        <v>0</v>
      </c>
      <c r="DQ3" s="35">
        <f>SUMIF('Resource Demand - Activity'!$FT:$FT,Example!$G3,'Resource Demand - Activity'!DL:DL)</f>
        <v>0</v>
      </c>
      <c r="DR3" s="35">
        <f>SUMIF('Resource Demand - Activity'!$FT:$FT,Example!$G3,'Resource Demand - Activity'!DM:DM)</f>
        <v>0</v>
      </c>
      <c r="DS3" s="35">
        <f>SUMIF('Resource Demand - Activity'!$FT:$FT,Example!$G3,'Resource Demand - Activity'!DN:DN)</f>
        <v>0</v>
      </c>
      <c r="DT3" s="35">
        <f>SUMIF('Resource Demand - Activity'!$FT:$FT,Example!$G3,'Resource Demand - Activity'!DO:DO)</f>
        <v>0</v>
      </c>
      <c r="DU3" s="35">
        <f>SUMIF('Resource Demand - Activity'!$FT:$FT,Example!$G3,'Resource Demand - Activity'!DP:DP)</f>
        <v>0</v>
      </c>
      <c r="DV3" s="35">
        <f>SUMIF('Resource Demand - Activity'!$FT:$FT,Example!$G3,'Resource Demand - Activity'!DQ:DQ)</f>
        <v>0</v>
      </c>
      <c r="DW3" s="35">
        <f>SUMIF('Resource Demand - Activity'!$FT:$FT,Example!$G3,'Resource Demand - Activity'!DR:DR)</f>
        <v>0</v>
      </c>
      <c r="DX3" s="35">
        <f>SUMIF('Resource Demand - Activity'!$FT:$FT,Example!$G3,'Resource Demand - Activity'!DS:DS)</f>
        <v>0.5</v>
      </c>
      <c r="DY3" s="35">
        <f>SUMIF('Resource Demand - Activity'!$FT:$FT,Example!$G3,'Resource Demand - Activity'!DT:DT)</f>
        <v>0.5</v>
      </c>
      <c r="DZ3" s="35">
        <f>SUMIF('Resource Demand - Activity'!$FT:$FT,Example!$G3,'Resource Demand - Activity'!DU:DU)</f>
        <v>0</v>
      </c>
      <c r="EA3" s="35">
        <f>SUMIF('Resource Demand - Activity'!$FT:$FT,Example!$G3,'Resource Demand - Activity'!DV:DV)</f>
        <v>0</v>
      </c>
      <c r="EB3" s="35">
        <f>SUMIF('Resource Demand - Activity'!$FT:$FT,Example!$G3,'Resource Demand - Activity'!DW:DW)</f>
        <v>0</v>
      </c>
      <c r="EC3" s="35">
        <f>SUMIF('Resource Demand - Activity'!$FT:$FT,Example!$G3,'Resource Demand - Activity'!DX:DX)</f>
        <v>0</v>
      </c>
      <c r="ED3" s="35">
        <f>SUMIF('Resource Demand - Activity'!$FT:$FT,Example!$G3,'Resource Demand - Activity'!DY:DY)</f>
        <v>0</v>
      </c>
      <c r="EE3" s="36"/>
      <c r="EF3" s="35">
        <f>SUMIF('Resource Demand - Activity'!$FT:$FT,Example!$G3,'Resource Demand - Activity'!EA:EA)</f>
        <v>0</v>
      </c>
      <c r="EG3" s="35">
        <f>SUMIF('Resource Demand - Activity'!$FT:$FT,Example!$G3,'Resource Demand - Activity'!EB:EB)</f>
        <v>0</v>
      </c>
      <c r="EH3" s="35">
        <f>SUMIF('Resource Demand - Activity'!$FT:$FT,Example!$G3,'Resource Demand - Activity'!EC:EC)</f>
        <v>0</v>
      </c>
      <c r="EI3" s="35">
        <f>SUMIF('Resource Demand - Activity'!$FT:$FT,Example!$G3,'Resource Demand - Activity'!ED:ED)</f>
        <v>0</v>
      </c>
      <c r="EJ3" s="35">
        <f>SUMIF('Resource Demand - Activity'!$FT:$FT,Example!$G3,'Resource Demand - Activity'!EE:EE)</f>
        <v>0</v>
      </c>
      <c r="EK3" s="35">
        <f>SUMIF('Resource Demand - Activity'!$FT:$FT,Example!$G3,'Resource Demand - Activity'!EF:EF)</f>
        <v>0</v>
      </c>
      <c r="EL3" s="35">
        <f>SUMIF('Resource Demand - Activity'!$FT:$FT,Example!$G3,'Resource Demand - Activity'!EG:EG)</f>
        <v>0</v>
      </c>
      <c r="EM3" s="35">
        <f>SUMIF('Resource Demand - Activity'!$FT:$FT,Example!$G3,'Resource Demand - Activity'!EH:EH)</f>
        <v>0</v>
      </c>
      <c r="EN3" s="35">
        <f>SUMIF('Resource Demand - Activity'!$FT:$FT,Example!$G3,'Resource Demand - Activity'!EI:EI)</f>
        <v>0</v>
      </c>
      <c r="EO3" s="35">
        <f>SUMIF('Resource Demand - Activity'!$FT:$FT,Example!$G3,'Resource Demand - Activity'!EJ:EJ)</f>
        <v>0</v>
      </c>
      <c r="EP3" s="35">
        <f>SUMIF('Resource Demand - Activity'!$FT:$FT,Example!$G3,'Resource Demand - Activity'!EK:EK)</f>
        <v>0</v>
      </c>
      <c r="EQ3" s="35">
        <f>SUMIF('Resource Demand - Activity'!$FT:$FT,Example!$G3,'Resource Demand - Activity'!EL:EL)</f>
        <v>0</v>
      </c>
      <c r="ER3" s="35">
        <f>SUMIF('Resource Demand - Activity'!$FT:$FT,Example!$G3,'Resource Demand - Activity'!EM:EM)</f>
        <v>0</v>
      </c>
      <c r="ES3" s="35">
        <f>SUMIF('Resource Demand - Activity'!$FT:$FT,Example!$G3,'Resource Demand - Activity'!EN:EN)</f>
        <v>0</v>
      </c>
      <c r="ET3" s="35">
        <f>SUMIF('Resource Demand - Activity'!$FT:$FT,Example!$G3,'Resource Demand - Activity'!EO:EO)</f>
        <v>0</v>
      </c>
      <c r="EU3" s="35">
        <f>SUMIF('Resource Demand - Activity'!$FT:$FT,Example!$G3,'Resource Demand - Activity'!EP:EP)</f>
        <v>0</v>
      </c>
      <c r="EV3" s="35">
        <f>SUMIF('Resource Demand - Activity'!$FT:$FT,Example!$G3,'Resource Demand - Activity'!EQ:EQ)</f>
        <v>0</v>
      </c>
      <c r="EW3" s="35">
        <f>SUMIF('Resource Demand - Activity'!$FT:$FT,Example!$G3,'Resource Demand - Activity'!ER:ER)</f>
        <v>0</v>
      </c>
      <c r="EX3" s="35">
        <f>SUMIF('Resource Demand - Activity'!$FT:$FT,Example!$G3,'Resource Demand - Activity'!ES:ES)</f>
        <v>0</v>
      </c>
      <c r="EY3" s="35">
        <f>SUMIF('Resource Demand - Activity'!$FT:$FT,Example!$G3,'Resource Demand - Activity'!ET:ET)</f>
        <v>0</v>
      </c>
      <c r="EZ3" s="35">
        <f>SUMIF('Resource Demand - Activity'!$FT:$FT,Example!$G3,'Resource Demand - Activity'!EU:EU)</f>
        <v>0</v>
      </c>
      <c r="FA3" s="35">
        <f>SUMIF('Resource Demand - Activity'!$FT:$FT,Example!$G3,'Resource Demand - Activity'!EV:EV)</f>
        <v>0</v>
      </c>
      <c r="FB3" s="35">
        <f>SUMIF('Resource Demand - Activity'!$FT:$FT,Example!$G3,'Resource Demand - Activity'!EW:EW)</f>
        <v>0</v>
      </c>
      <c r="FC3" s="35">
        <f>SUMIF('Resource Demand - Activity'!$FT:$FT,Example!$G3,'Resource Demand - Activity'!EX:EX)</f>
        <v>0</v>
      </c>
      <c r="FD3" s="36"/>
      <c r="FE3" s="35">
        <f>SUMIF('Resource Demand - Activity'!$FT:$FT,Example!$G3,'Resource Demand - Activity'!EZ:EZ)</f>
        <v>0</v>
      </c>
      <c r="FF3" s="35">
        <f>SUMIF('Resource Demand - Activity'!$FT:$FT,Example!$G3,'Resource Demand - Activity'!FA:FA)</f>
        <v>0</v>
      </c>
      <c r="FG3" s="35">
        <f>SUMIF('Resource Demand - Activity'!$FT:$FT,Example!$G3,'Resource Demand - Activity'!FB:FB)</f>
        <v>0</v>
      </c>
      <c r="FH3" s="35">
        <f>SUMIF('Resource Demand - Activity'!$FT:$FT,Example!$G3,'Resource Demand - Activity'!FC:FC)</f>
        <v>0</v>
      </c>
      <c r="FI3" s="35">
        <f>SUMIF('Resource Demand - Activity'!$FT:$FT,Example!$G3,'Resource Demand - Activity'!FD:FD)</f>
        <v>0</v>
      </c>
      <c r="FJ3" s="35">
        <f>SUMIF('Resource Demand - Activity'!$FT:$FT,Example!$G3,'Resource Demand - Activity'!FE:FE)</f>
        <v>0</v>
      </c>
      <c r="FK3" s="35">
        <f>SUMIF('Resource Demand - Activity'!$FT:$FT,Example!$G3,'Resource Demand - Activity'!FF:FF)</f>
        <v>0</v>
      </c>
      <c r="FL3" s="35">
        <f>SUMIF('Resource Demand - Activity'!$FT:$FT,Example!$G3,'Resource Demand - Activity'!FG:FG)</f>
        <v>0</v>
      </c>
      <c r="FM3" s="35">
        <f>SUMIF('Resource Demand - Activity'!$FT:$FT,Example!$G3,'Resource Demand - Activity'!FH:FH)</f>
        <v>0</v>
      </c>
      <c r="FN3" s="35">
        <f>SUMIF('Resource Demand - Activity'!$FT:$FT,Example!$G3,'Resource Demand - Activity'!FI:FI)</f>
        <v>0</v>
      </c>
      <c r="FO3" s="35">
        <f>SUMIF('Resource Demand - Activity'!$FT:$FT,Example!$G3,'Resource Demand - Activity'!FJ:FJ)</f>
        <v>0</v>
      </c>
      <c r="FP3" s="35">
        <f>SUMIF('Resource Demand - Activity'!$FT:$FT,Example!$G3,'Resource Demand - Activity'!FK:FK)</f>
        <v>0</v>
      </c>
      <c r="FQ3" s="35">
        <f>SUMIF('Resource Demand - Activity'!$FT:$FT,Example!$G3,'Resource Demand - Activity'!FL:FL)</f>
        <v>0</v>
      </c>
      <c r="FR3" s="35">
        <f>SUMIF('Resource Demand - Activity'!$FT:$FT,Example!$G3,'Resource Demand - Activity'!FM:FM)</f>
        <v>0</v>
      </c>
      <c r="FS3" s="35">
        <f>SUMIF('Resource Demand - Activity'!$FT:$FT,Example!$G3,'Resource Demand - Activity'!FN:FN)</f>
        <v>0</v>
      </c>
      <c r="FT3" s="35">
        <f>SUMIF('Resource Demand - Activity'!$FT:$FT,Example!$G3,'Resource Demand - Activity'!FO:FO)</f>
        <v>0</v>
      </c>
      <c r="FU3" s="35">
        <f>SUMIF('Resource Demand - Activity'!$FT:$FT,Example!$G3,'Resource Demand - Activity'!FP:FP)</f>
        <v>0</v>
      </c>
      <c r="FV3" s="52">
        <f>SUMIF('Resource Demand - Activity'!$FT:$FT,Example!$G3,'Resource Demand - Activity'!FQ:FQ)</f>
        <v>0</v>
      </c>
    </row>
    <row r="4" spans="2:178" s="58" customFormat="1" ht="12" customHeight="1">
      <c r="B4" s="68" t="s">
        <v>9</v>
      </c>
      <c r="C4" s="72" t="s">
        <v>7</v>
      </c>
      <c r="D4" s="72" t="s">
        <v>1</v>
      </c>
      <c r="E4" s="144"/>
      <c r="G4" s="64" t="str">
        <f t="shared" ref="G4:G34" si="3">H4&amp;$H$1</f>
        <v>2. Quarterly Reporting (QRTs)  2.3 SupervisionGlenn Kirk</v>
      </c>
      <c r="H4" s="102" t="s">
        <v>166</v>
      </c>
      <c r="I4" s="59" t="str">
        <f>INDEX('Resource Demand - Activity'!C:C,MATCH(Example!G4,'Resource Demand - Activity'!FT:FT,0))</f>
        <v>2 days</v>
      </c>
      <c r="J4" s="51">
        <f>SUMIF('Resource Demand - Activity'!$FT:$FT,Example!$G4,'Resource Demand - Activity'!E:E)</f>
        <v>0</v>
      </c>
      <c r="K4" s="35">
        <f>SUMIF('Resource Demand - Activity'!$FT:$FT,Example!$G4,'Resource Demand - Activity'!F:F)</f>
        <v>0</v>
      </c>
      <c r="L4" s="35">
        <f>SUMIF('Resource Demand - Activity'!$FT:$FT,Example!$G4,'Resource Demand - Activity'!G:G)</f>
        <v>0</v>
      </c>
      <c r="M4" s="35">
        <f>SUMIF('Resource Demand - Activity'!$FT:$FT,Example!$G4,'Resource Demand - Activity'!H:H)</f>
        <v>0</v>
      </c>
      <c r="N4" s="35">
        <f>SUMIF('Resource Demand - Activity'!$FT:$FT,Example!$G4,'Resource Demand - Activity'!I:I)</f>
        <v>0</v>
      </c>
      <c r="O4" s="35">
        <f>SUMIF('Resource Demand - Activity'!$FT:$FT,Example!$G4,'Resource Demand - Activity'!J:J)</f>
        <v>0</v>
      </c>
      <c r="P4" s="35">
        <f>SUMIF('Resource Demand - Activity'!$FT:$FT,Example!$G4,'Resource Demand - Activity'!K:K)</f>
        <v>0</v>
      </c>
      <c r="Q4" s="35">
        <f>SUMIF('Resource Demand - Activity'!$FT:$FT,Example!$G4,'Resource Demand - Activity'!L:L)</f>
        <v>0</v>
      </c>
      <c r="R4" s="35">
        <f>SUMIF('Resource Demand - Activity'!$FT:$FT,Example!$G4,'Resource Demand - Activity'!M:M)</f>
        <v>0</v>
      </c>
      <c r="S4" s="35">
        <f>SUMIF('Resource Demand - Activity'!$FT:$FT,Example!$G4,'Resource Demand - Activity'!N:N)</f>
        <v>0</v>
      </c>
      <c r="T4" s="35">
        <f>SUMIF('Resource Demand - Activity'!$FT:$FT,Example!$G4,'Resource Demand - Activity'!O:O)</f>
        <v>0</v>
      </c>
      <c r="U4" s="35">
        <f>SUMIF('Resource Demand - Activity'!$FT:$FT,Example!$G4,'Resource Demand - Activity'!P:P)</f>
        <v>0</v>
      </c>
      <c r="V4" s="35">
        <f>SUMIF('Resource Demand - Activity'!$FT:$FT,Example!$G4,'Resource Demand - Activity'!Q:Q)</f>
        <v>0</v>
      </c>
      <c r="W4" s="35">
        <f>SUMIF('Resource Demand - Activity'!$FT:$FT,Example!$G4,'Resource Demand - Activity'!R:R)</f>
        <v>0</v>
      </c>
      <c r="X4" s="35">
        <f>SUMIF('Resource Demand - Activity'!$FT:$FT,Example!$G4,'Resource Demand - Activity'!S:S)</f>
        <v>0</v>
      </c>
      <c r="Y4" s="35">
        <f>SUMIF('Resource Demand - Activity'!$FT:$FT,Example!$G4,'Resource Demand - Activity'!T:T)</f>
        <v>0</v>
      </c>
      <c r="Z4" s="35">
        <f>SUMIF('Resource Demand - Activity'!$FT:$FT,Example!$G4,'Resource Demand - Activity'!U:U)</f>
        <v>0</v>
      </c>
      <c r="AA4" s="35">
        <f>SUMIF('Resource Demand - Activity'!$FT:$FT,Example!$G4,'Resource Demand - Activity'!V:V)</f>
        <v>0</v>
      </c>
      <c r="AB4" s="35">
        <f>SUMIF('Resource Demand - Activity'!$FT:$FT,Example!$G4,'Resource Demand - Activity'!W:W)</f>
        <v>0</v>
      </c>
      <c r="AC4" s="35">
        <f>SUMIF('Resource Demand - Activity'!$FT:$FT,Example!$G4,'Resource Demand - Activity'!X:X)</f>
        <v>0</v>
      </c>
      <c r="AD4" s="35">
        <f>SUMIF('Resource Demand - Activity'!$FT:$FT,Example!$G4,'Resource Demand - Activity'!Y:Y)</f>
        <v>0</v>
      </c>
      <c r="AE4" s="35">
        <f>SUMIF('Resource Demand - Activity'!$FT:$FT,Example!$G4,'Resource Demand - Activity'!Z:Z)</f>
        <v>0</v>
      </c>
      <c r="AF4" s="35">
        <f>SUMIF('Resource Demand - Activity'!$FT:$FT,Example!$G4,'Resource Demand - Activity'!AA:AA)</f>
        <v>0</v>
      </c>
      <c r="AG4" s="35">
        <f>SUMIF('Resource Demand - Activity'!$FT:$FT,Example!$G4,'Resource Demand - Activity'!AB:AB)</f>
        <v>0</v>
      </c>
      <c r="AH4" s="35">
        <f>SUMIF('Resource Demand - Activity'!$FT:$FT,Example!$G4,'Resource Demand - Activity'!AC:AC)</f>
        <v>0</v>
      </c>
      <c r="AI4" s="35">
        <f>SUMIF('Resource Demand - Activity'!$FT:$FT,Example!$G4,'Resource Demand - Activity'!AD:AD)</f>
        <v>0</v>
      </c>
      <c r="AJ4" s="35">
        <f>SUMIF('Resource Demand - Activity'!$FT:$FT,Example!$G4,'Resource Demand - Activity'!AE:AE)</f>
        <v>0</v>
      </c>
      <c r="AK4" s="35">
        <f>SUMIF('Resource Demand - Activity'!$FT:$FT,Example!$G4,'Resource Demand - Activity'!AF:AF)</f>
        <v>0</v>
      </c>
      <c r="AL4" s="35">
        <f>SUMIF('Resource Demand - Activity'!$FT:$FT,Example!$G4,'Resource Demand - Activity'!AG:AG)</f>
        <v>0</v>
      </c>
      <c r="AM4" s="35">
        <f>SUMIF('Resource Demand - Activity'!$FT:$FT,Example!$G4,'Resource Demand - Activity'!AH:AH)</f>
        <v>0</v>
      </c>
      <c r="AN4" s="35">
        <f>SUMIF('Resource Demand - Activity'!$FT:$FT,Example!$G4,'Resource Demand - Activity'!AI:AI)</f>
        <v>0</v>
      </c>
      <c r="AO4" s="35">
        <f>SUMIF('Resource Demand - Activity'!$FT:$FT,Example!$G4,'Resource Demand - Activity'!AJ:AJ)</f>
        <v>0</v>
      </c>
      <c r="AP4" s="35">
        <f>SUMIF('Resource Demand - Activity'!$FT:$FT,Example!$G4,'Resource Demand - Activity'!AK:AK)</f>
        <v>0</v>
      </c>
      <c r="AQ4" s="36"/>
      <c r="AR4" s="36"/>
      <c r="AS4" s="36"/>
      <c r="AT4" s="36"/>
      <c r="AU4" s="36"/>
      <c r="AV4" s="36"/>
      <c r="AW4" s="36"/>
      <c r="AX4" s="35">
        <f>SUMIF('Resource Demand - Activity'!$FT:$FT,Example!$G4,'Resource Demand - Activity'!AS:AS)</f>
        <v>0</v>
      </c>
      <c r="AY4" s="35">
        <f>SUMIF('Resource Demand - Activity'!$FT:$FT,Example!$G4,'Resource Demand - Activity'!AT:AT)</f>
        <v>0</v>
      </c>
      <c r="AZ4" s="35">
        <f>SUMIF('Resource Demand - Activity'!$FT:$FT,Example!$G4,'Resource Demand - Activity'!AU:AU)</f>
        <v>0</v>
      </c>
      <c r="BA4" s="35">
        <f>SUMIF('Resource Demand - Activity'!$FT:$FT,Example!$G4,'Resource Demand - Activity'!AV:AV)</f>
        <v>0</v>
      </c>
      <c r="BB4" s="35">
        <f>SUMIF('Resource Demand - Activity'!$FT:$FT,Example!$G4,'Resource Demand - Activity'!AW:AW)</f>
        <v>0</v>
      </c>
      <c r="BC4" s="35">
        <f>SUMIF('Resource Demand - Activity'!$FT:$FT,Example!$G4,'Resource Demand - Activity'!AX:AX)</f>
        <v>0</v>
      </c>
      <c r="BD4" s="35">
        <f>SUMIF('Resource Demand - Activity'!$FT:$FT,Example!$G4,'Resource Demand - Activity'!AY:AY)</f>
        <v>0</v>
      </c>
      <c r="BE4" s="35">
        <f>SUMIF('Resource Demand - Activity'!$FT:$FT,Example!$G4,'Resource Demand - Activity'!AZ:AZ)</f>
        <v>0</v>
      </c>
      <c r="BF4" s="35">
        <f>SUMIF('Resource Demand - Activity'!$FT:$FT,Example!$G4,'Resource Demand - Activity'!BA:BA)</f>
        <v>0</v>
      </c>
      <c r="BG4" s="35">
        <f>SUMIF('Resource Demand - Activity'!$FT:$FT,Example!$G4,'Resource Demand - Activity'!BB:BB)</f>
        <v>0</v>
      </c>
      <c r="BH4" s="35">
        <f>SUMIF('Resource Demand - Activity'!$FT:$FT,Example!$G4,'Resource Demand - Activity'!BC:BC)</f>
        <v>0</v>
      </c>
      <c r="BI4" s="35">
        <f>SUMIF('Resource Demand - Activity'!$FT:$FT,Example!$G4,'Resource Demand - Activity'!BD:BD)</f>
        <v>0</v>
      </c>
      <c r="BJ4" s="35">
        <f>SUMIF('Resource Demand - Activity'!$FT:$FT,Example!$G4,'Resource Demand - Activity'!BE:BE)</f>
        <v>0</v>
      </c>
      <c r="BK4" s="35">
        <f>SUMIF('Resource Demand - Activity'!$FT:$FT,Example!$G4,'Resource Demand - Activity'!BF:BF)</f>
        <v>0</v>
      </c>
      <c r="BL4" s="35">
        <f>SUMIF('Resource Demand - Activity'!$FT:$FT,Example!$G4,'Resource Demand - Activity'!BG:BG)</f>
        <v>0</v>
      </c>
      <c r="BM4" s="35">
        <f>SUMIF('Resource Demand - Activity'!$FT:$FT,Example!$G4,'Resource Demand - Activity'!BH:BH)</f>
        <v>0</v>
      </c>
      <c r="BN4" s="35">
        <f>SUMIF('Resource Demand - Activity'!$FT:$FT,Example!$G4,'Resource Demand - Activity'!BI:BI)</f>
        <v>0</v>
      </c>
      <c r="BO4" s="35">
        <f>SUMIF('Resource Demand - Activity'!$FT:$FT,Example!$G4,'Resource Demand - Activity'!BJ:BJ)</f>
        <v>0</v>
      </c>
      <c r="BP4" s="35">
        <f>SUMIF('Resource Demand - Activity'!$FT:$FT,Example!$G4,'Resource Demand - Activity'!BK:BK)</f>
        <v>0</v>
      </c>
      <c r="BQ4" s="35">
        <f>SUMIF('Resource Demand - Activity'!$FT:$FT,Example!$G4,'Resource Demand - Activity'!BL:BL)</f>
        <v>0</v>
      </c>
      <c r="BR4" s="35">
        <f>SUMIF('Resource Demand - Activity'!$FT:$FT,Example!$G4,'Resource Demand - Activity'!BM:BM)</f>
        <v>0</v>
      </c>
      <c r="BS4" s="35">
        <f>SUMIF('Resource Demand - Activity'!$FT:$FT,Example!$G4,'Resource Demand - Activity'!BN:BN)</f>
        <v>0</v>
      </c>
      <c r="BT4" s="35">
        <f>SUMIF('Resource Demand - Activity'!$FT:$FT,Example!$G4,'Resource Demand - Activity'!BO:BO)</f>
        <v>0</v>
      </c>
      <c r="BU4" s="35">
        <f>SUMIF('Resource Demand - Activity'!$FT:$FT,Example!$G4,'Resource Demand - Activity'!BP:BP)</f>
        <v>0</v>
      </c>
      <c r="BV4" s="35">
        <f>SUMIF('Resource Demand - Activity'!$FT:$FT,Example!$G4,'Resource Demand - Activity'!BQ:BQ)</f>
        <v>0</v>
      </c>
      <c r="BW4" s="35">
        <f>SUMIF('Resource Demand - Activity'!$FT:$FT,Example!$G4,'Resource Demand - Activity'!BR:BR)</f>
        <v>0</v>
      </c>
      <c r="BX4" s="35">
        <f>SUMIF('Resource Demand - Activity'!$FT:$FT,Example!$G4,'Resource Demand - Activity'!BS:BS)</f>
        <v>0</v>
      </c>
      <c r="BY4" s="35">
        <f>SUMIF('Resource Demand - Activity'!$FT:$FT,Example!$G4,'Resource Demand - Activity'!BT:BT)</f>
        <v>0</v>
      </c>
      <c r="BZ4" s="35">
        <f>SUMIF('Resource Demand - Activity'!$FT:$FT,Example!$G4,'Resource Demand - Activity'!BU:BU)</f>
        <v>0</v>
      </c>
      <c r="CA4" s="35">
        <f>SUMIF('Resource Demand - Activity'!$FT:$FT,Example!$G4,'Resource Demand - Activity'!BV:BV)</f>
        <v>0</v>
      </c>
      <c r="CB4" s="35">
        <f>SUMIF('Resource Demand - Activity'!$FT:$FT,Example!$G4,'Resource Demand - Activity'!BW:BW)</f>
        <v>0</v>
      </c>
      <c r="CC4" s="35">
        <f>SUMIF('Resource Demand - Activity'!$FT:$FT,Example!$G4,'Resource Demand - Activity'!BX:BX)</f>
        <v>0</v>
      </c>
      <c r="CD4" s="35">
        <f>SUMIF('Resource Demand - Activity'!$FT:$FT,Example!$G4,'Resource Demand - Activity'!BY:BY)</f>
        <v>0</v>
      </c>
      <c r="CE4" s="35">
        <f>SUMIF('Resource Demand - Activity'!$FT:$FT,Example!$G4,'Resource Demand - Activity'!BZ:BZ)</f>
        <v>0</v>
      </c>
      <c r="CF4" s="35">
        <f>SUMIF('Resource Demand - Activity'!$FT:$FT,Example!$G4,'Resource Demand - Activity'!CA:CA)</f>
        <v>0</v>
      </c>
      <c r="CG4" s="35">
        <f>SUMIF('Resource Demand - Activity'!$FT:$FT,Example!$G4,'Resource Demand - Activity'!CB:CB)</f>
        <v>0</v>
      </c>
      <c r="CH4" s="35">
        <f>SUMIF('Resource Demand - Activity'!$FT:$FT,Example!$G4,'Resource Demand - Activity'!CC:CC)</f>
        <v>0</v>
      </c>
      <c r="CI4" s="35">
        <f>SUMIF('Resource Demand - Activity'!$FT:$FT,Example!$G4,'Resource Demand - Activity'!CD:CD)</f>
        <v>0</v>
      </c>
      <c r="CJ4" s="35">
        <f>SUMIF('Resource Demand - Activity'!$FT:$FT,Example!$G4,'Resource Demand - Activity'!CE:CE)</f>
        <v>0</v>
      </c>
      <c r="CK4" s="35">
        <f>SUMIF('Resource Demand - Activity'!$FT:$FT,Example!$G4,'Resource Demand - Activity'!CF:CF)</f>
        <v>0</v>
      </c>
      <c r="CL4" s="35">
        <f>SUMIF('Resource Demand - Activity'!$FT:$FT,Example!$G4,'Resource Demand - Activity'!CG:CG)</f>
        <v>0</v>
      </c>
      <c r="CM4" s="35">
        <f>SUMIF('Resource Demand - Activity'!$FT:$FT,Example!$G4,'Resource Demand - Activity'!CH:CH)</f>
        <v>0</v>
      </c>
      <c r="CN4" s="35">
        <f>SUMIF('Resource Demand - Activity'!$FT:$FT,Example!$G4,'Resource Demand - Activity'!CI:CI)</f>
        <v>0</v>
      </c>
      <c r="CO4" s="35">
        <f>SUMIF('Resource Demand - Activity'!$FT:$FT,Example!$G4,'Resource Demand - Activity'!CJ:CJ)</f>
        <v>0</v>
      </c>
      <c r="CP4" s="35">
        <f>SUMIF('Resource Demand - Activity'!$FT:$FT,Example!$G4,'Resource Demand - Activity'!CK:CK)</f>
        <v>0</v>
      </c>
      <c r="CQ4" s="35">
        <f>SUMIF('Resource Demand - Activity'!$FT:$FT,Example!$G4,'Resource Demand - Activity'!CL:CL)</f>
        <v>0</v>
      </c>
      <c r="CR4" s="35">
        <f>SUMIF('Resource Demand - Activity'!$FT:$FT,Example!$G4,'Resource Demand - Activity'!CM:CM)</f>
        <v>0</v>
      </c>
      <c r="CS4" s="35">
        <f>SUMIF('Resource Demand - Activity'!$FT:$FT,Example!$G4,'Resource Demand - Activity'!CN:CN)</f>
        <v>0</v>
      </c>
      <c r="CT4" s="35">
        <f>SUMIF('Resource Demand - Activity'!$FT:$FT,Example!$G4,'Resource Demand - Activity'!CO:CO)</f>
        <v>0</v>
      </c>
      <c r="CU4" s="35">
        <f>SUMIF('Resource Demand - Activity'!$FT:$FT,Example!$G4,'Resource Demand - Activity'!CP:CP)</f>
        <v>0</v>
      </c>
      <c r="CV4" s="35">
        <f>SUMIF('Resource Demand - Activity'!$FT:$FT,Example!$G4,'Resource Demand - Activity'!CQ:CQ)</f>
        <v>0</v>
      </c>
      <c r="CW4" s="35">
        <f>SUMIF('Resource Demand - Activity'!$FT:$FT,Example!$G4,'Resource Demand - Activity'!CR:CR)</f>
        <v>0</v>
      </c>
      <c r="CX4" s="35">
        <f>SUMIF('Resource Demand - Activity'!$FT:$FT,Example!$G4,'Resource Demand - Activity'!CS:CS)</f>
        <v>0</v>
      </c>
      <c r="CY4" s="36"/>
      <c r="CZ4" s="35">
        <f>SUMIF('Resource Demand - Activity'!$FT:$FT,Example!$G4,'Resource Demand - Activity'!CU:CU)</f>
        <v>0</v>
      </c>
      <c r="DA4" s="35">
        <f>SUMIF('Resource Demand - Activity'!$FT:$FT,Example!$G4,'Resource Demand - Activity'!CV:CV)</f>
        <v>0</v>
      </c>
      <c r="DB4" s="35">
        <f>SUMIF('Resource Demand - Activity'!$FT:$FT,Example!$G4,'Resource Demand - Activity'!CW:CW)</f>
        <v>0</v>
      </c>
      <c r="DC4" s="35">
        <f>SUMIF('Resource Demand - Activity'!$FT:$FT,Example!$G4,'Resource Demand - Activity'!CX:CX)</f>
        <v>0</v>
      </c>
      <c r="DD4" s="35">
        <f>SUMIF('Resource Demand - Activity'!$FT:$FT,Example!$G4,'Resource Demand - Activity'!CY:CY)</f>
        <v>0</v>
      </c>
      <c r="DE4" s="36"/>
      <c r="DF4" s="36"/>
      <c r="DG4" s="35">
        <f>SUMIF('Resource Demand - Activity'!$FT:$FT,Example!$G4,'Resource Demand - Activity'!DB:DB)</f>
        <v>0</v>
      </c>
      <c r="DH4" s="35">
        <f>SUMIF('Resource Demand - Activity'!$FT:$FT,Example!$G4,'Resource Demand - Activity'!DC:DC)</f>
        <v>0</v>
      </c>
      <c r="DI4" s="35">
        <f>SUMIF('Resource Demand - Activity'!$FT:$FT,Example!$G4,'Resource Demand - Activity'!DD:DD)</f>
        <v>0</v>
      </c>
      <c r="DJ4" s="35">
        <f>SUMIF('Resource Demand - Activity'!$FT:$FT,Example!$G4,'Resource Demand - Activity'!DE:DE)</f>
        <v>0</v>
      </c>
      <c r="DK4" s="35">
        <f>SUMIF('Resource Demand - Activity'!$FT:$FT,Example!$G4,'Resource Demand - Activity'!DF:DF)</f>
        <v>0</v>
      </c>
      <c r="DL4" s="35">
        <f>SUMIF('Resource Demand - Activity'!$FT:$FT,Example!$G4,'Resource Demand - Activity'!DG:DG)</f>
        <v>0</v>
      </c>
      <c r="DM4" s="35">
        <f>SUMIF('Resource Demand - Activity'!$FT:$FT,Example!$G4,'Resource Demand - Activity'!DH:DH)</f>
        <v>0</v>
      </c>
      <c r="DN4" s="35">
        <f>SUMIF('Resource Demand - Activity'!$FT:$FT,Example!$G4,'Resource Demand - Activity'!DI:DI)</f>
        <v>0</v>
      </c>
      <c r="DO4" s="35">
        <f>SUMIF('Resource Demand - Activity'!$FT:$FT,Example!$G4,'Resource Demand - Activity'!DJ:DJ)</f>
        <v>0</v>
      </c>
      <c r="DP4" s="35">
        <f>SUMIF('Resource Demand - Activity'!$FT:$FT,Example!$G4,'Resource Demand - Activity'!DK:DK)</f>
        <v>0</v>
      </c>
      <c r="DQ4" s="35">
        <f>SUMIF('Resource Demand - Activity'!$FT:$FT,Example!$G4,'Resource Demand - Activity'!DL:DL)</f>
        <v>0</v>
      </c>
      <c r="DR4" s="35">
        <f>SUMIF('Resource Demand - Activity'!$FT:$FT,Example!$G4,'Resource Demand - Activity'!DM:DM)</f>
        <v>0</v>
      </c>
      <c r="DS4" s="35">
        <f>SUMIF('Resource Demand - Activity'!$FT:$FT,Example!$G4,'Resource Demand - Activity'!DN:DN)</f>
        <v>0.5</v>
      </c>
      <c r="DT4" s="35">
        <f>SUMIF('Resource Demand - Activity'!$FT:$FT,Example!$G4,'Resource Demand - Activity'!DO:DO)</f>
        <v>0</v>
      </c>
      <c r="DU4" s="35">
        <f>SUMIF('Resource Demand - Activity'!$FT:$FT,Example!$G4,'Resource Demand - Activity'!DP:DP)</f>
        <v>0</v>
      </c>
      <c r="DV4" s="35">
        <f>SUMIF('Resource Demand - Activity'!$FT:$FT,Example!$G4,'Resource Demand - Activity'!DQ:DQ)</f>
        <v>0</v>
      </c>
      <c r="DW4" s="35">
        <f>SUMIF('Resource Demand - Activity'!$FT:$FT,Example!$G4,'Resource Demand - Activity'!DR:DR)</f>
        <v>0.5</v>
      </c>
      <c r="DX4" s="35">
        <f>SUMIF('Resource Demand - Activity'!$FT:$FT,Example!$G4,'Resource Demand - Activity'!DS:DS)</f>
        <v>0</v>
      </c>
      <c r="DY4" s="35">
        <f>SUMIF('Resource Demand - Activity'!$FT:$FT,Example!$G4,'Resource Demand - Activity'!DT:DT)</f>
        <v>0</v>
      </c>
      <c r="DZ4" s="35">
        <f>SUMIF('Resource Demand - Activity'!$FT:$FT,Example!$G4,'Resource Demand - Activity'!DU:DU)</f>
        <v>0</v>
      </c>
      <c r="EA4" s="35">
        <f>SUMIF('Resource Demand - Activity'!$FT:$FT,Example!$G4,'Resource Demand - Activity'!DV:DV)</f>
        <v>0</v>
      </c>
      <c r="EB4" s="35">
        <f>SUMIF('Resource Demand - Activity'!$FT:$FT,Example!$G4,'Resource Demand - Activity'!DW:DW)</f>
        <v>0</v>
      </c>
      <c r="EC4" s="35">
        <f>SUMIF('Resource Demand - Activity'!$FT:$FT,Example!$G4,'Resource Demand - Activity'!DX:DX)</f>
        <v>0</v>
      </c>
      <c r="ED4" s="35">
        <f>SUMIF('Resource Demand - Activity'!$FT:$FT,Example!$G4,'Resource Demand - Activity'!DY:DY)</f>
        <v>0</v>
      </c>
      <c r="EE4" s="36"/>
      <c r="EF4" s="35">
        <f>SUMIF('Resource Demand - Activity'!$FT:$FT,Example!$G4,'Resource Demand - Activity'!EA:EA)</f>
        <v>0</v>
      </c>
      <c r="EG4" s="35">
        <f>SUMIF('Resource Demand - Activity'!$FT:$FT,Example!$G4,'Resource Demand - Activity'!EB:EB)</f>
        <v>0</v>
      </c>
      <c r="EH4" s="35">
        <f>SUMIF('Resource Demand - Activity'!$FT:$FT,Example!$G4,'Resource Demand - Activity'!EC:EC)</f>
        <v>0</v>
      </c>
      <c r="EI4" s="35">
        <f>SUMIF('Resource Demand - Activity'!$FT:$FT,Example!$G4,'Resource Demand - Activity'!ED:ED)</f>
        <v>0</v>
      </c>
      <c r="EJ4" s="35">
        <f>SUMIF('Resource Demand - Activity'!$FT:$FT,Example!$G4,'Resource Demand - Activity'!EE:EE)</f>
        <v>0</v>
      </c>
      <c r="EK4" s="35">
        <f>SUMIF('Resource Demand - Activity'!$FT:$FT,Example!$G4,'Resource Demand - Activity'!EF:EF)</f>
        <v>0</v>
      </c>
      <c r="EL4" s="35">
        <f>SUMIF('Resource Demand - Activity'!$FT:$FT,Example!$G4,'Resource Demand - Activity'!EG:EG)</f>
        <v>0</v>
      </c>
      <c r="EM4" s="35">
        <f>SUMIF('Resource Demand - Activity'!$FT:$FT,Example!$G4,'Resource Demand - Activity'!EH:EH)</f>
        <v>0</v>
      </c>
      <c r="EN4" s="35">
        <f>SUMIF('Resource Demand - Activity'!$FT:$FT,Example!$G4,'Resource Demand - Activity'!EI:EI)</f>
        <v>0</v>
      </c>
      <c r="EO4" s="35">
        <f>SUMIF('Resource Demand - Activity'!$FT:$FT,Example!$G4,'Resource Demand - Activity'!EJ:EJ)</f>
        <v>0</v>
      </c>
      <c r="EP4" s="35">
        <f>SUMIF('Resource Demand - Activity'!$FT:$FT,Example!$G4,'Resource Demand - Activity'!EK:EK)</f>
        <v>0</v>
      </c>
      <c r="EQ4" s="35">
        <f>SUMIF('Resource Demand - Activity'!$FT:$FT,Example!$G4,'Resource Demand - Activity'!EL:EL)</f>
        <v>0</v>
      </c>
      <c r="ER4" s="35">
        <f>SUMIF('Resource Demand - Activity'!$FT:$FT,Example!$G4,'Resource Demand - Activity'!EM:EM)</f>
        <v>0</v>
      </c>
      <c r="ES4" s="35">
        <f>SUMIF('Resource Demand - Activity'!$FT:$FT,Example!$G4,'Resource Demand - Activity'!EN:EN)</f>
        <v>1</v>
      </c>
      <c r="ET4" s="35">
        <f>SUMIF('Resource Demand - Activity'!$FT:$FT,Example!$G4,'Resource Demand - Activity'!EO:EO)</f>
        <v>0</v>
      </c>
      <c r="EU4" s="35">
        <f>SUMIF('Resource Demand - Activity'!$FT:$FT,Example!$G4,'Resource Demand - Activity'!EP:EP)</f>
        <v>0</v>
      </c>
      <c r="EV4" s="35">
        <f>SUMIF('Resource Demand - Activity'!$FT:$FT,Example!$G4,'Resource Demand - Activity'!EQ:EQ)</f>
        <v>0</v>
      </c>
      <c r="EW4" s="35">
        <f>SUMIF('Resource Demand - Activity'!$FT:$FT,Example!$G4,'Resource Demand - Activity'!ER:ER)</f>
        <v>0</v>
      </c>
      <c r="EX4" s="35">
        <f>SUMIF('Resource Demand - Activity'!$FT:$FT,Example!$G4,'Resource Demand - Activity'!ES:ES)</f>
        <v>0</v>
      </c>
      <c r="EY4" s="35">
        <f>SUMIF('Resource Demand - Activity'!$FT:$FT,Example!$G4,'Resource Demand - Activity'!ET:ET)</f>
        <v>0</v>
      </c>
      <c r="EZ4" s="35">
        <f>SUMIF('Resource Demand - Activity'!$FT:$FT,Example!$G4,'Resource Demand - Activity'!EU:EU)</f>
        <v>0</v>
      </c>
      <c r="FA4" s="35">
        <f>SUMIF('Resource Demand - Activity'!$FT:$FT,Example!$G4,'Resource Demand - Activity'!EV:EV)</f>
        <v>0</v>
      </c>
      <c r="FB4" s="35">
        <f>SUMIF('Resource Demand - Activity'!$FT:$FT,Example!$G4,'Resource Demand - Activity'!EW:EW)</f>
        <v>0</v>
      </c>
      <c r="FC4" s="35">
        <f>SUMIF('Resource Demand - Activity'!$FT:$FT,Example!$G4,'Resource Demand - Activity'!EX:EX)</f>
        <v>0</v>
      </c>
      <c r="FD4" s="36"/>
      <c r="FE4" s="35">
        <f>SUMIF('Resource Demand - Activity'!$FT:$FT,Example!$G4,'Resource Demand - Activity'!EZ:EZ)</f>
        <v>0</v>
      </c>
      <c r="FF4" s="35">
        <f>SUMIF('Resource Demand - Activity'!$FT:$FT,Example!$G4,'Resource Demand - Activity'!FA:FA)</f>
        <v>0</v>
      </c>
      <c r="FG4" s="35">
        <f>SUMIF('Resource Demand - Activity'!$FT:$FT,Example!$G4,'Resource Demand - Activity'!FB:FB)</f>
        <v>0</v>
      </c>
      <c r="FH4" s="35">
        <f>SUMIF('Resource Demand - Activity'!$FT:$FT,Example!$G4,'Resource Demand - Activity'!FC:FC)</f>
        <v>0</v>
      </c>
      <c r="FI4" s="35">
        <f>SUMIF('Resource Demand - Activity'!$FT:$FT,Example!$G4,'Resource Demand - Activity'!FD:FD)</f>
        <v>0</v>
      </c>
      <c r="FJ4" s="35">
        <f>SUMIF('Resource Demand - Activity'!$FT:$FT,Example!$G4,'Resource Demand - Activity'!FE:FE)</f>
        <v>0</v>
      </c>
      <c r="FK4" s="35">
        <f>SUMIF('Resource Demand - Activity'!$FT:$FT,Example!$G4,'Resource Demand - Activity'!FF:FF)</f>
        <v>0</v>
      </c>
      <c r="FL4" s="35">
        <f>SUMIF('Resource Demand - Activity'!$FT:$FT,Example!$G4,'Resource Demand - Activity'!FG:FG)</f>
        <v>0</v>
      </c>
      <c r="FM4" s="35">
        <f>SUMIF('Resource Demand - Activity'!$FT:$FT,Example!$G4,'Resource Demand - Activity'!FH:FH)</f>
        <v>0</v>
      </c>
      <c r="FN4" s="35">
        <f>SUMIF('Resource Demand - Activity'!$FT:$FT,Example!$G4,'Resource Demand - Activity'!FI:FI)</f>
        <v>0</v>
      </c>
      <c r="FO4" s="35">
        <f>SUMIF('Resource Demand - Activity'!$FT:$FT,Example!$G4,'Resource Demand - Activity'!FJ:FJ)</f>
        <v>0</v>
      </c>
      <c r="FP4" s="35">
        <f>SUMIF('Resource Demand - Activity'!$FT:$FT,Example!$G4,'Resource Demand - Activity'!FK:FK)</f>
        <v>0</v>
      </c>
      <c r="FQ4" s="35">
        <f>SUMIF('Resource Demand - Activity'!$FT:$FT,Example!$G4,'Resource Demand - Activity'!FL:FL)</f>
        <v>0</v>
      </c>
      <c r="FR4" s="35">
        <f>SUMIF('Resource Demand - Activity'!$FT:$FT,Example!$G4,'Resource Demand - Activity'!FM:FM)</f>
        <v>0</v>
      </c>
      <c r="FS4" s="35">
        <f>SUMIF('Resource Demand - Activity'!$FT:$FT,Example!$G4,'Resource Demand - Activity'!FN:FN)</f>
        <v>0</v>
      </c>
      <c r="FT4" s="35">
        <f>SUMIF('Resource Demand - Activity'!$FT:$FT,Example!$G4,'Resource Demand - Activity'!FO:FO)</f>
        <v>0</v>
      </c>
      <c r="FU4" s="35">
        <f>SUMIF('Resource Demand - Activity'!$FT:$FT,Example!$G4,'Resource Demand - Activity'!FP:FP)</f>
        <v>0</v>
      </c>
      <c r="FV4" s="52">
        <f>SUMIF('Resource Demand - Activity'!$FT:$FT,Example!$G4,'Resource Demand - Activity'!FQ:FQ)</f>
        <v>0</v>
      </c>
    </row>
    <row r="5" spans="2:178" s="58" customFormat="1" ht="12" customHeight="1">
      <c r="B5" s="65" t="s">
        <v>10</v>
      </c>
      <c r="C5" s="69">
        <f>SUM(J3:FV34)</f>
        <v>157.00000000000003</v>
      </c>
      <c r="D5" s="66">
        <f>C5/157</f>
        <v>1.0000000000000002</v>
      </c>
      <c r="E5" s="145"/>
      <c r="G5" s="64" t="str">
        <f t="shared" si="3"/>
        <v>3. Quarterly Process Documentation 3.3 SupervisionGlenn Kirk</v>
      </c>
      <c r="H5" s="102" t="s">
        <v>167</v>
      </c>
      <c r="I5" s="59" t="str">
        <f>INDEX('Resource Demand - Activity'!C:C,MATCH(Example!G5,'Resource Demand - Activity'!FT:FT,0))</f>
        <v>4 days</v>
      </c>
      <c r="J5" s="51">
        <f>SUMIF('Resource Demand - Activity'!$FT:$FT,Example!$G5,'Resource Demand - Activity'!E:E)</f>
        <v>0</v>
      </c>
      <c r="K5" s="35">
        <f>SUMIF('Resource Demand - Activity'!$FT:$FT,Example!$G5,'Resource Demand - Activity'!F:F)</f>
        <v>0</v>
      </c>
      <c r="L5" s="35">
        <f>SUMIF('Resource Demand - Activity'!$FT:$FT,Example!$G5,'Resource Demand - Activity'!G:G)</f>
        <v>0</v>
      </c>
      <c r="M5" s="35">
        <f>SUMIF('Resource Demand - Activity'!$FT:$FT,Example!$G5,'Resource Demand - Activity'!H:H)</f>
        <v>0</v>
      </c>
      <c r="N5" s="35">
        <f>SUMIF('Resource Demand - Activity'!$FT:$FT,Example!$G5,'Resource Demand - Activity'!I:I)</f>
        <v>0</v>
      </c>
      <c r="O5" s="35">
        <f>SUMIF('Resource Demand - Activity'!$FT:$FT,Example!$G5,'Resource Demand - Activity'!J:J)</f>
        <v>0</v>
      </c>
      <c r="P5" s="35">
        <f>SUMIF('Resource Demand - Activity'!$FT:$FT,Example!$G5,'Resource Demand - Activity'!K:K)</f>
        <v>0</v>
      </c>
      <c r="Q5" s="35">
        <f>SUMIF('Resource Demand - Activity'!$FT:$FT,Example!$G5,'Resource Demand - Activity'!L:L)</f>
        <v>0</v>
      </c>
      <c r="R5" s="35">
        <f>SUMIF('Resource Demand - Activity'!$FT:$FT,Example!$G5,'Resource Demand - Activity'!M:M)</f>
        <v>0</v>
      </c>
      <c r="S5" s="35">
        <f>SUMIF('Resource Demand - Activity'!$FT:$FT,Example!$G5,'Resource Demand - Activity'!N:N)</f>
        <v>0</v>
      </c>
      <c r="T5" s="35">
        <f>SUMIF('Resource Demand - Activity'!$FT:$FT,Example!$G5,'Resource Demand - Activity'!O:O)</f>
        <v>0</v>
      </c>
      <c r="U5" s="35">
        <f>SUMIF('Resource Demand - Activity'!$FT:$FT,Example!$G5,'Resource Demand - Activity'!P:P)</f>
        <v>0</v>
      </c>
      <c r="V5" s="35">
        <f>SUMIF('Resource Demand - Activity'!$FT:$FT,Example!$G5,'Resource Demand - Activity'!Q:Q)</f>
        <v>1</v>
      </c>
      <c r="W5" s="35">
        <f>SUMIF('Resource Demand - Activity'!$FT:$FT,Example!$G5,'Resource Demand - Activity'!R:R)</f>
        <v>1</v>
      </c>
      <c r="X5" s="35">
        <f>SUMIF('Resource Demand - Activity'!$FT:$FT,Example!$G5,'Resource Demand - Activity'!S:S)</f>
        <v>0</v>
      </c>
      <c r="Y5" s="35">
        <f>SUMIF('Resource Demand - Activity'!$FT:$FT,Example!$G5,'Resource Demand - Activity'!T:T)</f>
        <v>1</v>
      </c>
      <c r="Z5" s="35">
        <f>SUMIF('Resource Demand - Activity'!$FT:$FT,Example!$G5,'Resource Demand - Activity'!U:U)</f>
        <v>0</v>
      </c>
      <c r="AA5" s="35">
        <f>SUMIF('Resource Demand - Activity'!$FT:$FT,Example!$G5,'Resource Demand - Activity'!V:V)</f>
        <v>0</v>
      </c>
      <c r="AB5" s="35">
        <f>SUMIF('Resource Demand - Activity'!$FT:$FT,Example!$G5,'Resource Demand - Activity'!W:W)</f>
        <v>0</v>
      </c>
      <c r="AC5" s="35">
        <f>SUMIF('Resource Demand - Activity'!$FT:$FT,Example!$G5,'Resource Demand - Activity'!X:X)</f>
        <v>0</v>
      </c>
      <c r="AD5" s="35">
        <f>SUMIF('Resource Demand - Activity'!$FT:$FT,Example!$G5,'Resource Demand - Activity'!Y:Y)</f>
        <v>0</v>
      </c>
      <c r="AE5" s="35">
        <f>SUMIF('Resource Demand - Activity'!$FT:$FT,Example!$G5,'Resource Demand - Activity'!Z:Z)</f>
        <v>0</v>
      </c>
      <c r="AF5" s="35">
        <f>SUMIF('Resource Demand - Activity'!$FT:$FT,Example!$G5,'Resource Demand - Activity'!AA:AA)</f>
        <v>0</v>
      </c>
      <c r="AG5" s="35">
        <f>SUMIF('Resource Demand - Activity'!$FT:$FT,Example!$G5,'Resource Demand - Activity'!AB:AB)</f>
        <v>0</v>
      </c>
      <c r="AH5" s="35">
        <f>SUMIF('Resource Demand - Activity'!$FT:$FT,Example!$G5,'Resource Demand - Activity'!AC:AC)</f>
        <v>0</v>
      </c>
      <c r="AI5" s="35">
        <f>SUMIF('Resource Demand - Activity'!$FT:$FT,Example!$G5,'Resource Demand - Activity'!AD:AD)</f>
        <v>0</v>
      </c>
      <c r="AJ5" s="35">
        <f>SUMIF('Resource Demand - Activity'!$FT:$FT,Example!$G5,'Resource Demand - Activity'!AE:AE)</f>
        <v>0</v>
      </c>
      <c r="AK5" s="35">
        <f>SUMIF('Resource Demand - Activity'!$FT:$FT,Example!$G5,'Resource Demand - Activity'!AF:AF)</f>
        <v>0</v>
      </c>
      <c r="AL5" s="35">
        <f>SUMIF('Resource Demand - Activity'!$FT:$FT,Example!$G5,'Resource Demand - Activity'!AG:AG)</f>
        <v>0</v>
      </c>
      <c r="AM5" s="35">
        <f>SUMIF('Resource Demand - Activity'!$FT:$FT,Example!$G5,'Resource Demand - Activity'!AH:AH)</f>
        <v>0</v>
      </c>
      <c r="AN5" s="35">
        <f>SUMIF('Resource Demand - Activity'!$FT:$FT,Example!$G5,'Resource Demand - Activity'!AI:AI)</f>
        <v>0</v>
      </c>
      <c r="AO5" s="35">
        <f>SUMIF('Resource Demand - Activity'!$FT:$FT,Example!$G5,'Resource Demand - Activity'!AJ:AJ)</f>
        <v>0</v>
      </c>
      <c r="AP5" s="35">
        <f>SUMIF('Resource Demand - Activity'!$FT:$FT,Example!$G5,'Resource Demand - Activity'!AK:AK)</f>
        <v>0</v>
      </c>
      <c r="AQ5" s="36"/>
      <c r="AR5" s="36"/>
      <c r="AS5" s="36"/>
      <c r="AT5" s="36"/>
      <c r="AU5" s="36"/>
      <c r="AV5" s="36"/>
      <c r="AW5" s="36"/>
      <c r="AX5" s="35">
        <f>SUMIF('Resource Demand - Activity'!$FT:$FT,Example!$G5,'Resource Demand - Activity'!AS:AS)</f>
        <v>0</v>
      </c>
      <c r="AY5" s="35">
        <f>SUMIF('Resource Demand - Activity'!$FT:$FT,Example!$G5,'Resource Demand - Activity'!AT:AT)</f>
        <v>0</v>
      </c>
      <c r="AZ5" s="35">
        <f>SUMIF('Resource Demand - Activity'!$FT:$FT,Example!$G5,'Resource Demand - Activity'!AU:AU)</f>
        <v>0</v>
      </c>
      <c r="BA5" s="35">
        <f>SUMIF('Resource Demand - Activity'!$FT:$FT,Example!$G5,'Resource Demand - Activity'!AV:AV)</f>
        <v>0</v>
      </c>
      <c r="BB5" s="35">
        <f>SUMIF('Resource Demand - Activity'!$FT:$FT,Example!$G5,'Resource Demand - Activity'!AW:AW)</f>
        <v>0</v>
      </c>
      <c r="BC5" s="35">
        <f>SUMIF('Resource Demand - Activity'!$FT:$FT,Example!$G5,'Resource Demand - Activity'!AX:AX)</f>
        <v>0</v>
      </c>
      <c r="BD5" s="35">
        <f>SUMIF('Resource Demand - Activity'!$FT:$FT,Example!$G5,'Resource Demand - Activity'!AY:AY)</f>
        <v>0</v>
      </c>
      <c r="BE5" s="35">
        <f>SUMIF('Resource Demand - Activity'!$FT:$FT,Example!$G5,'Resource Demand - Activity'!AZ:AZ)</f>
        <v>0</v>
      </c>
      <c r="BF5" s="35">
        <f>SUMIF('Resource Demand - Activity'!$FT:$FT,Example!$G5,'Resource Demand - Activity'!BA:BA)</f>
        <v>0</v>
      </c>
      <c r="BG5" s="35">
        <f>SUMIF('Resource Demand - Activity'!$FT:$FT,Example!$G5,'Resource Demand - Activity'!BB:BB)</f>
        <v>0</v>
      </c>
      <c r="BH5" s="35">
        <f>SUMIF('Resource Demand - Activity'!$FT:$FT,Example!$G5,'Resource Demand - Activity'!BC:BC)</f>
        <v>0</v>
      </c>
      <c r="BI5" s="35">
        <f>SUMIF('Resource Demand - Activity'!$FT:$FT,Example!$G5,'Resource Demand - Activity'!BD:BD)</f>
        <v>0</v>
      </c>
      <c r="BJ5" s="35">
        <f>SUMIF('Resource Demand - Activity'!$FT:$FT,Example!$G5,'Resource Demand - Activity'!BE:BE)</f>
        <v>0</v>
      </c>
      <c r="BK5" s="35">
        <f>SUMIF('Resource Demand - Activity'!$FT:$FT,Example!$G5,'Resource Demand - Activity'!BF:BF)</f>
        <v>0</v>
      </c>
      <c r="BL5" s="35">
        <f>SUMIF('Resource Demand - Activity'!$FT:$FT,Example!$G5,'Resource Demand - Activity'!BG:BG)</f>
        <v>0</v>
      </c>
      <c r="BM5" s="35">
        <f>SUMIF('Resource Demand - Activity'!$FT:$FT,Example!$G5,'Resource Demand - Activity'!BH:BH)</f>
        <v>0</v>
      </c>
      <c r="BN5" s="35">
        <f>SUMIF('Resource Demand - Activity'!$FT:$FT,Example!$G5,'Resource Demand - Activity'!BI:BI)</f>
        <v>0</v>
      </c>
      <c r="BO5" s="35">
        <f>SUMIF('Resource Demand - Activity'!$FT:$FT,Example!$G5,'Resource Demand - Activity'!BJ:BJ)</f>
        <v>0</v>
      </c>
      <c r="BP5" s="35">
        <f>SUMIF('Resource Demand - Activity'!$FT:$FT,Example!$G5,'Resource Demand - Activity'!BK:BK)</f>
        <v>0</v>
      </c>
      <c r="BQ5" s="35">
        <f>SUMIF('Resource Demand - Activity'!$FT:$FT,Example!$G5,'Resource Demand - Activity'!BL:BL)</f>
        <v>0</v>
      </c>
      <c r="BR5" s="35">
        <f>SUMIF('Resource Demand - Activity'!$FT:$FT,Example!$G5,'Resource Demand - Activity'!BM:BM)</f>
        <v>0</v>
      </c>
      <c r="BS5" s="35">
        <f>SUMIF('Resource Demand - Activity'!$FT:$FT,Example!$G5,'Resource Demand - Activity'!BN:BN)</f>
        <v>0</v>
      </c>
      <c r="BT5" s="35">
        <f>SUMIF('Resource Demand - Activity'!$FT:$FT,Example!$G5,'Resource Demand - Activity'!BO:BO)</f>
        <v>0</v>
      </c>
      <c r="BU5" s="35">
        <f>SUMIF('Resource Demand - Activity'!$FT:$FT,Example!$G5,'Resource Demand - Activity'!BP:BP)</f>
        <v>0</v>
      </c>
      <c r="BV5" s="35">
        <f>SUMIF('Resource Demand - Activity'!$FT:$FT,Example!$G5,'Resource Demand - Activity'!BQ:BQ)</f>
        <v>0</v>
      </c>
      <c r="BW5" s="35">
        <f>SUMIF('Resource Demand - Activity'!$FT:$FT,Example!$G5,'Resource Demand - Activity'!BR:BR)</f>
        <v>0</v>
      </c>
      <c r="BX5" s="35">
        <f>SUMIF('Resource Demand - Activity'!$FT:$FT,Example!$G5,'Resource Demand - Activity'!BS:BS)</f>
        <v>0</v>
      </c>
      <c r="BY5" s="35">
        <f>SUMIF('Resource Demand - Activity'!$FT:$FT,Example!$G5,'Resource Demand - Activity'!BT:BT)</f>
        <v>0</v>
      </c>
      <c r="BZ5" s="35">
        <f>SUMIF('Resource Demand - Activity'!$FT:$FT,Example!$G5,'Resource Demand - Activity'!BU:BU)</f>
        <v>0</v>
      </c>
      <c r="CA5" s="35">
        <f>SUMIF('Resource Demand - Activity'!$FT:$FT,Example!$G5,'Resource Demand - Activity'!BV:BV)</f>
        <v>0</v>
      </c>
      <c r="CB5" s="35">
        <f>SUMIF('Resource Demand - Activity'!$FT:$FT,Example!$G5,'Resource Demand - Activity'!BW:BW)</f>
        <v>0</v>
      </c>
      <c r="CC5" s="35">
        <f>SUMIF('Resource Demand - Activity'!$FT:$FT,Example!$G5,'Resource Demand - Activity'!BX:BX)</f>
        <v>0</v>
      </c>
      <c r="CD5" s="35">
        <f>SUMIF('Resource Demand - Activity'!$FT:$FT,Example!$G5,'Resource Demand - Activity'!BY:BY)</f>
        <v>0</v>
      </c>
      <c r="CE5" s="35">
        <f>SUMIF('Resource Demand - Activity'!$FT:$FT,Example!$G5,'Resource Demand - Activity'!BZ:BZ)</f>
        <v>0</v>
      </c>
      <c r="CF5" s="35">
        <f>SUMIF('Resource Demand - Activity'!$FT:$FT,Example!$G5,'Resource Demand - Activity'!CA:CA)</f>
        <v>0</v>
      </c>
      <c r="CG5" s="35">
        <f>SUMIF('Resource Demand - Activity'!$FT:$FT,Example!$G5,'Resource Demand - Activity'!CB:CB)</f>
        <v>0</v>
      </c>
      <c r="CH5" s="35">
        <f>SUMIF('Resource Demand - Activity'!$FT:$FT,Example!$G5,'Resource Demand - Activity'!CC:CC)</f>
        <v>0</v>
      </c>
      <c r="CI5" s="35">
        <f>SUMIF('Resource Demand - Activity'!$FT:$FT,Example!$G5,'Resource Demand - Activity'!CD:CD)</f>
        <v>0</v>
      </c>
      <c r="CJ5" s="35">
        <f>SUMIF('Resource Demand - Activity'!$FT:$FT,Example!$G5,'Resource Demand - Activity'!CE:CE)</f>
        <v>0</v>
      </c>
      <c r="CK5" s="35">
        <f>SUMIF('Resource Demand - Activity'!$FT:$FT,Example!$G5,'Resource Demand - Activity'!CF:CF)</f>
        <v>0</v>
      </c>
      <c r="CL5" s="35">
        <f>SUMIF('Resource Demand - Activity'!$FT:$FT,Example!$G5,'Resource Demand - Activity'!CG:CG)</f>
        <v>0</v>
      </c>
      <c r="CM5" s="35">
        <f>SUMIF('Resource Demand - Activity'!$FT:$FT,Example!$G5,'Resource Demand - Activity'!CH:CH)</f>
        <v>0</v>
      </c>
      <c r="CN5" s="35">
        <f>SUMIF('Resource Demand - Activity'!$FT:$FT,Example!$G5,'Resource Demand - Activity'!CI:CI)</f>
        <v>0</v>
      </c>
      <c r="CO5" s="35">
        <f>SUMIF('Resource Demand - Activity'!$FT:$FT,Example!$G5,'Resource Demand - Activity'!CJ:CJ)</f>
        <v>0</v>
      </c>
      <c r="CP5" s="35">
        <f>SUMIF('Resource Demand - Activity'!$FT:$FT,Example!$G5,'Resource Demand - Activity'!CK:CK)</f>
        <v>0</v>
      </c>
      <c r="CQ5" s="35">
        <f>SUMIF('Resource Demand - Activity'!$FT:$FT,Example!$G5,'Resource Demand - Activity'!CL:CL)</f>
        <v>0</v>
      </c>
      <c r="CR5" s="35">
        <f>SUMIF('Resource Demand - Activity'!$FT:$FT,Example!$G5,'Resource Demand - Activity'!CM:CM)</f>
        <v>0</v>
      </c>
      <c r="CS5" s="35">
        <f>SUMIF('Resource Demand - Activity'!$FT:$FT,Example!$G5,'Resource Demand - Activity'!CN:CN)</f>
        <v>0</v>
      </c>
      <c r="CT5" s="35">
        <f>SUMIF('Resource Demand - Activity'!$FT:$FT,Example!$G5,'Resource Demand - Activity'!CO:CO)</f>
        <v>0</v>
      </c>
      <c r="CU5" s="35">
        <f>SUMIF('Resource Demand - Activity'!$FT:$FT,Example!$G5,'Resource Demand - Activity'!CP:CP)</f>
        <v>0</v>
      </c>
      <c r="CV5" s="35">
        <f>SUMIF('Resource Demand - Activity'!$FT:$FT,Example!$G5,'Resource Demand - Activity'!CQ:CQ)</f>
        <v>0</v>
      </c>
      <c r="CW5" s="35">
        <f>SUMIF('Resource Demand - Activity'!$FT:$FT,Example!$G5,'Resource Demand - Activity'!CR:CR)</f>
        <v>0</v>
      </c>
      <c r="CX5" s="35">
        <f>SUMIF('Resource Demand - Activity'!$FT:$FT,Example!$G5,'Resource Demand - Activity'!CS:CS)</f>
        <v>0</v>
      </c>
      <c r="CY5" s="36"/>
      <c r="CZ5" s="35">
        <f>SUMIF('Resource Demand - Activity'!$FT:$FT,Example!$G5,'Resource Demand - Activity'!CU:CU)</f>
        <v>0</v>
      </c>
      <c r="DA5" s="35">
        <f>SUMIF('Resource Demand - Activity'!$FT:$FT,Example!$G5,'Resource Demand - Activity'!CV:CV)</f>
        <v>0</v>
      </c>
      <c r="DB5" s="35">
        <f>SUMIF('Resource Demand - Activity'!$FT:$FT,Example!$G5,'Resource Demand - Activity'!CW:CW)</f>
        <v>0</v>
      </c>
      <c r="DC5" s="35">
        <f>SUMIF('Resource Demand - Activity'!$FT:$FT,Example!$G5,'Resource Demand - Activity'!CX:CX)</f>
        <v>0.5</v>
      </c>
      <c r="DD5" s="35">
        <f>SUMIF('Resource Demand - Activity'!$FT:$FT,Example!$G5,'Resource Demand - Activity'!CY:CY)</f>
        <v>0</v>
      </c>
      <c r="DE5" s="36"/>
      <c r="DF5" s="36"/>
      <c r="DG5" s="35">
        <f>SUMIF('Resource Demand - Activity'!$FT:$FT,Example!$G5,'Resource Demand - Activity'!DB:DB)</f>
        <v>0.5</v>
      </c>
      <c r="DH5" s="35">
        <f>SUMIF('Resource Demand - Activity'!$FT:$FT,Example!$G5,'Resource Demand - Activity'!DC:DC)</f>
        <v>0</v>
      </c>
      <c r="DI5" s="35">
        <f>SUMIF('Resource Demand - Activity'!$FT:$FT,Example!$G5,'Resource Demand - Activity'!DD:DD)</f>
        <v>0</v>
      </c>
      <c r="DJ5" s="35">
        <f>SUMIF('Resource Demand - Activity'!$FT:$FT,Example!$G5,'Resource Demand - Activity'!DE:DE)</f>
        <v>0</v>
      </c>
      <c r="DK5" s="35">
        <f>SUMIF('Resource Demand - Activity'!$FT:$FT,Example!$G5,'Resource Demand - Activity'!DF:DF)</f>
        <v>0</v>
      </c>
      <c r="DL5" s="35">
        <f>SUMIF('Resource Demand - Activity'!$FT:$FT,Example!$G5,'Resource Demand - Activity'!DG:DG)</f>
        <v>0</v>
      </c>
      <c r="DM5" s="35">
        <f>SUMIF('Resource Demand - Activity'!$FT:$FT,Example!$G5,'Resource Demand - Activity'!DH:DH)</f>
        <v>0</v>
      </c>
      <c r="DN5" s="35">
        <f>SUMIF('Resource Demand - Activity'!$FT:$FT,Example!$G5,'Resource Demand - Activity'!DI:DI)</f>
        <v>0</v>
      </c>
      <c r="DO5" s="35">
        <f>SUMIF('Resource Demand - Activity'!$FT:$FT,Example!$G5,'Resource Demand - Activity'!DJ:DJ)</f>
        <v>0</v>
      </c>
      <c r="DP5" s="35">
        <f>SUMIF('Resource Demand - Activity'!$FT:$FT,Example!$G5,'Resource Demand - Activity'!DK:DK)</f>
        <v>0</v>
      </c>
      <c r="DQ5" s="35">
        <f>SUMIF('Resource Demand - Activity'!$FT:$FT,Example!$G5,'Resource Demand - Activity'!DL:DL)</f>
        <v>0</v>
      </c>
      <c r="DR5" s="35">
        <f>SUMIF('Resource Demand - Activity'!$FT:$FT,Example!$G5,'Resource Demand - Activity'!DM:DM)</f>
        <v>0</v>
      </c>
      <c r="DS5" s="35">
        <f>SUMIF('Resource Demand - Activity'!$FT:$FT,Example!$G5,'Resource Demand - Activity'!DN:DN)</f>
        <v>0</v>
      </c>
      <c r="DT5" s="35">
        <f>SUMIF('Resource Demand - Activity'!$FT:$FT,Example!$G5,'Resource Demand - Activity'!DO:DO)</f>
        <v>0</v>
      </c>
      <c r="DU5" s="35">
        <f>SUMIF('Resource Demand - Activity'!$FT:$FT,Example!$G5,'Resource Demand - Activity'!DP:DP)</f>
        <v>0</v>
      </c>
      <c r="DV5" s="35">
        <f>SUMIF('Resource Demand - Activity'!$FT:$FT,Example!$G5,'Resource Demand - Activity'!DQ:DQ)</f>
        <v>0</v>
      </c>
      <c r="DW5" s="35">
        <f>SUMIF('Resource Demand - Activity'!$FT:$FT,Example!$G5,'Resource Demand - Activity'!DR:DR)</f>
        <v>0</v>
      </c>
      <c r="DX5" s="35">
        <f>SUMIF('Resource Demand - Activity'!$FT:$FT,Example!$G5,'Resource Demand - Activity'!DS:DS)</f>
        <v>0</v>
      </c>
      <c r="DY5" s="35">
        <f>SUMIF('Resource Demand - Activity'!$FT:$FT,Example!$G5,'Resource Demand - Activity'!DT:DT)</f>
        <v>0</v>
      </c>
      <c r="DZ5" s="35">
        <f>SUMIF('Resource Demand - Activity'!$FT:$FT,Example!$G5,'Resource Demand - Activity'!DU:DU)</f>
        <v>0</v>
      </c>
      <c r="EA5" s="35">
        <f>SUMIF('Resource Demand - Activity'!$FT:$FT,Example!$G5,'Resource Demand - Activity'!DV:DV)</f>
        <v>0</v>
      </c>
      <c r="EB5" s="35">
        <f>SUMIF('Resource Demand - Activity'!$FT:$FT,Example!$G5,'Resource Demand - Activity'!DW:DW)</f>
        <v>0</v>
      </c>
      <c r="EC5" s="35">
        <f>SUMIF('Resource Demand - Activity'!$FT:$FT,Example!$G5,'Resource Demand - Activity'!DX:DX)</f>
        <v>0</v>
      </c>
      <c r="ED5" s="35">
        <f>SUMIF('Resource Demand - Activity'!$FT:$FT,Example!$G5,'Resource Demand - Activity'!DY:DY)</f>
        <v>0</v>
      </c>
      <c r="EE5" s="36"/>
      <c r="EF5" s="35">
        <f>SUMIF('Resource Demand - Activity'!$FT:$FT,Example!$G5,'Resource Demand - Activity'!EA:EA)</f>
        <v>0</v>
      </c>
      <c r="EG5" s="35">
        <f>SUMIF('Resource Demand - Activity'!$FT:$FT,Example!$G5,'Resource Demand - Activity'!EB:EB)</f>
        <v>0</v>
      </c>
      <c r="EH5" s="35">
        <f>SUMIF('Resource Demand - Activity'!$FT:$FT,Example!$G5,'Resource Demand - Activity'!EC:EC)</f>
        <v>0</v>
      </c>
      <c r="EI5" s="35">
        <f>SUMIF('Resource Demand - Activity'!$FT:$FT,Example!$G5,'Resource Demand - Activity'!ED:ED)</f>
        <v>0</v>
      </c>
      <c r="EJ5" s="35">
        <f>SUMIF('Resource Demand - Activity'!$FT:$FT,Example!$G5,'Resource Demand - Activity'!EE:EE)</f>
        <v>0</v>
      </c>
      <c r="EK5" s="35">
        <f>SUMIF('Resource Demand - Activity'!$FT:$FT,Example!$G5,'Resource Demand - Activity'!EF:EF)</f>
        <v>0</v>
      </c>
      <c r="EL5" s="35">
        <f>SUMIF('Resource Demand - Activity'!$FT:$FT,Example!$G5,'Resource Demand - Activity'!EG:EG)</f>
        <v>0</v>
      </c>
      <c r="EM5" s="35">
        <f>SUMIF('Resource Demand - Activity'!$FT:$FT,Example!$G5,'Resource Demand - Activity'!EH:EH)</f>
        <v>0</v>
      </c>
      <c r="EN5" s="35">
        <f>SUMIF('Resource Demand - Activity'!$FT:$FT,Example!$G5,'Resource Demand - Activity'!EI:EI)</f>
        <v>0</v>
      </c>
      <c r="EO5" s="35">
        <f>SUMIF('Resource Demand - Activity'!$FT:$FT,Example!$G5,'Resource Demand - Activity'!EJ:EJ)</f>
        <v>0</v>
      </c>
      <c r="EP5" s="35">
        <f>SUMIF('Resource Demand - Activity'!$FT:$FT,Example!$G5,'Resource Demand - Activity'!EK:EK)</f>
        <v>0</v>
      </c>
      <c r="EQ5" s="35">
        <f>SUMIF('Resource Demand - Activity'!$FT:$FT,Example!$G5,'Resource Demand - Activity'!EL:EL)</f>
        <v>0</v>
      </c>
      <c r="ER5" s="35">
        <f>SUMIF('Resource Demand - Activity'!$FT:$FT,Example!$G5,'Resource Demand - Activity'!EM:EM)</f>
        <v>0</v>
      </c>
      <c r="ES5" s="35">
        <f>SUMIF('Resource Demand - Activity'!$FT:$FT,Example!$G5,'Resource Demand - Activity'!EN:EN)</f>
        <v>0</v>
      </c>
      <c r="ET5" s="35">
        <f>SUMIF('Resource Demand - Activity'!$FT:$FT,Example!$G5,'Resource Demand - Activity'!EO:EO)</f>
        <v>0</v>
      </c>
      <c r="EU5" s="35">
        <f>SUMIF('Resource Demand - Activity'!$FT:$FT,Example!$G5,'Resource Demand - Activity'!EP:EP)</f>
        <v>0</v>
      </c>
      <c r="EV5" s="35">
        <f>SUMIF('Resource Demand - Activity'!$FT:$FT,Example!$G5,'Resource Demand - Activity'!EQ:EQ)</f>
        <v>0</v>
      </c>
      <c r="EW5" s="35">
        <f>SUMIF('Resource Demand - Activity'!$FT:$FT,Example!$G5,'Resource Demand - Activity'!ER:ER)</f>
        <v>0</v>
      </c>
      <c r="EX5" s="35">
        <f>SUMIF('Resource Demand - Activity'!$FT:$FT,Example!$G5,'Resource Demand - Activity'!ES:ES)</f>
        <v>0</v>
      </c>
      <c r="EY5" s="35">
        <f>SUMIF('Resource Demand - Activity'!$FT:$FT,Example!$G5,'Resource Demand - Activity'!ET:ET)</f>
        <v>0</v>
      </c>
      <c r="EZ5" s="35">
        <f>SUMIF('Resource Demand - Activity'!$FT:$FT,Example!$G5,'Resource Demand - Activity'!EU:EU)</f>
        <v>0</v>
      </c>
      <c r="FA5" s="35">
        <f>SUMIF('Resource Demand - Activity'!$FT:$FT,Example!$G5,'Resource Demand - Activity'!EV:EV)</f>
        <v>0</v>
      </c>
      <c r="FB5" s="35">
        <f>SUMIF('Resource Demand - Activity'!$FT:$FT,Example!$G5,'Resource Demand - Activity'!EW:EW)</f>
        <v>0</v>
      </c>
      <c r="FC5" s="35">
        <f>SUMIF('Resource Demand - Activity'!$FT:$FT,Example!$G5,'Resource Demand - Activity'!EX:EX)</f>
        <v>0</v>
      </c>
      <c r="FD5" s="36"/>
      <c r="FE5" s="35">
        <f>SUMIF('Resource Demand - Activity'!$FT:$FT,Example!$G5,'Resource Demand - Activity'!EZ:EZ)</f>
        <v>0</v>
      </c>
      <c r="FF5" s="35">
        <f>SUMIF('Resource Demand - Activity'!$FT:$FT,Example!$G5,'Resource Demand - Activity'!FA:FA)</f>
        <v>0</v>
      </c>
      <c r="FG5" s="35">
        <f>SUMIF('Resource Demand - Activity'!$FT:$FT,Example!$G5,'Resource Demand - Activity'!FB:FB)</f>
        <v>0</v>
      </c>
      <c r="FH5" s="35">
        <f>SUMIF('Resource Demand - Activity'!$FT:$FT,Example!$G5,'Resource Demand - Activity'!FC:FC)</f>
        <v>0</v>
      </c>
      <c r="FI5" s="35">
        <f>SUMIF('Resource Demand - Activity'!$FT:$FT,Example!$G5,'Resource Demand - Activity'!FD:FD)</f>
        <v>0</v>
      </c>
      <c r="FJ5" s="35">
        <f>SUMIF('Resource Demand - Activity'!$FT:$FT,Example!$G5,'Resource Demand - Activity'!FE:FE)</f>
        <v>0</v>
      </c>
      <c r="FK5" s="35">
        <f>SUMIF('Resource Demand - Activity'!$FT:$FT,Example!$G5,'Resource Demand - Activity'!FF:FF)</f>
        <v>0</v>
      </c>
      <c r="FL5" s="35">
        <f>SUMIF('Resource Demand - Activity'!$FT:$FT,Example!$G5,'Resource Demand - Activity'!FG:FG)</f>
        <v>0</v>
      </c>
      <c r="FM5" s="35">
        <f>SUMIF('Resource Demand - Activity'!$FT:$FT,Example!$G5,'Resource Demand - Activity'!FH:FH)</f>
        <v>0</v>
      </c>
      <c r="FN5" s="35">
        <f>SUMIF('Resource Demand - Activity'!$FT:$FT,Example!$G5,'Resource Demand - Activity'!FI:FI)</f>
        <v>0</v>
      </c>
      <c r="FO5" s="35">
        <f>SUMIF('Resource Demand - Activity'!$FT:$FT,Example!$G5,'Resource Demand - Activity'!FJ:FJ)</f>
        <v>0</v>
      </c>
      <c r="FP5" s="35">
        <f>SUMIF('Resource Demand - Activity'!$FT:$FT,Example!$G5,'Resource Demand - Activity'!FK:FK)</f>
        <v>0</v>
      </c>
      <c r="FQ5" s="35">
        <f>SUMIF('Resource Demand - Activity'!$FT:$FT,Example!$G5,'Resource Demand - Activity'!FL:FL)</f>
        <v>0</v>
      </c>
      <c r="FR5" s="35">
        <f>SUMIF('Resource Demand - Activity'!$FT:$FT,Example!$G5,'Resource Demand - Activity'!FM:FM)</f>
        <v>0</v>
      </c>
      <c r="FS5" s="35">
        <f>SUMIF('Resource Demand - Activity'!$FT:$FT,Example!$G5,'Resource Demand - Activity'!FN:FN)</f>
        <v>0</v>
      </c>
      <c r="FT5" s="35">
        <f>SUMIF('Resource Demand - Activity'!$FT:$FT,Example!$G5,'Resource Demand - Activity'!FO:FO)</f>
        <v>0</v>
      </c>
      <c r="FU5" s="35">
        <f>SUMIF('Resource Demand - Activity'!$FT:$FT,Example!$G5,'Resource Demand - Activity'!FP:FP)</f>
        <v>0</v>
      </c>
      <c r="FV5" s="52">
        <f>SUMIF('Resource Demand - Activity'!$FT:$FT,Example!$G5,'Resource Demand - Activity'!FQ:FQ)</f>
        <v>0</v>
      </c>
    </row>
    <row r="6" spans="2:178" s="58" customFormat="1" ht="12" customHeight="1">
      <c r="B6" s="65" t="s">
        <v>17</v>
      </c>
      <c r="C6" s="69">
        <f>SUM(J38:FV56)</f>
        <v>135</v>
      </c>
      <c r="D6" s="66">
        <f>C6/157</f>
        <v>0.85987261146496818</v>
      </c>
      <c r="E6" s="145"/>
      <c r="G6" s="64" t="str">
        <f t="shared" si="3"/>
        <v>4. Annual Reporting (QRTs)  4.3 SupervisionGlenn Kirk</v>
      </c>
      <c r="H6" s="102" t="s">
        <v>168</v>
      </c>
      <c r="I6" s="59" t="str">
        <f>INDEX('Resource Demand - Activity'!C:C,MATCH(Example!G6,'Resource Demand - Activity'!FT:FT,0))</f>
        <v>5 days</v>
      </c>
      <c r="J6" s="51">
        <f>SUMIF('Resource Demand - Activity'!$FT:$FT,Example!$G6,'Resource Demand - Activity'!E:E)</f>
        <v>0</v>
      </c>
      <c r="K6" s="35">
        <f>SUMIF('Resource Demand - Activity'!$FT:$FT,Example!$G6,'Resource Demand - Activity'!F:F)</f>
        <v>0</v>
      </c>
      <c r="L6" s="35">
        <f>SUMIF('Resource Demand - Activity'!$FT:$FT,Example!$G6,'Resource Demand - Activity'!G:G)</f>
        <v>0</v>
      </c>
      <c r="M6" s="35">
        <f>SUMIF('Resource Demand - Activity'!$FT:$FT,Example!$G6,'Resource Demand - Activity'!H:H)</f>
        <v>0</v>
      </c>
      <c r="N6" s="35">
        <f>SUMIF('Resource Demand - Activity'!$FT:$FT,Example!$G6,'Resource Demand - Activity'!I:I)</f>
        <v>0</v>
      </c>
      <c r="O6" s="35">
        <f>SUMIF('Resource Demand - Activity'!$FT:$FT,Example!$G6,'Resource Demand - Activity'!J:J)</f>
        <v>0</v>
      </c>
      <c r="P6" s="35">
        <f>SUMIF('Resource Demand - Activity'!$FT:$FT,Example!$G6,'Resource Demand - Activity'!K:K)</f>
        <v>0</v>
      </c>
      <c r="Q6" s="35">
        <f>SUMIF('Resource Demand - Activity'!$FT:$FT,Example!$G6,'Resource Demand - Activity'!L:L)</f>
        <v>0</v>
      </c>
      <c r="R6" s="35">
        <f>SUMIF('Resource Demand - Activity'!$FT:$FT,Example!$G6,'Resource Demand - Activity'!M:M)</f>
        <v>0</v>
      </c>
      <c r="S6" s="35">
        <f>SUMIF('Resource Demand - Activity'!$FT:$FT,Example!$G6,'Resource Demand - Activity'!N:N)</f>
        <v>0</v>
      </c>
      <c r="T6" s="35">
        <f>SUMIF('Resource Demand - Activity'!$FT:$FT,Example!$G6,'Resource Demand - Activity'!O:O)</f>
        <v>0</v>
      </c>
      <c r="U6" s="35">
        <f>SUMIF('Resource Demand - Activity'!$FT:$FT,Example!$G6,'Resource Demand - Activity'!P:P)</f>
        <v>0</v>
      </c>
      <c r="V6" s="35">
        <f>SUMIF('Resource Demand - Activity'!$FT:$FT,Example!$G6,'Resource Demand - Activity'!Q:Q)</f>
        <v>0</v>
      </c>
      <c r="W6" s="35">
        <f>SUMIF('Resource Demand - Activity'!$FT:$FT,Example!$G6,'Resource Demand - Activity'!R:R)</f>
        <v>0</v>
      </c>
      <c r="X6" s="35">
        <f>SUMIF('Resource Demand - Activity'!$FT:$FT,Example!$G6,'Resource Demand - Activity'!S:S)</f>
        <v>0</v>
      </c>
      <c r="Y6" s="35">
        <f>SUMIF('Resource Demand - Activity'!$FT:$FT,Example!$G6,'Resource Demand - Activity'!T:T)</f>
        <v>0</v>
      </c>
      <c r="Z6" s="35">
        <f>SUMIF('Resource Demand - Activity'!$FT:$FT,Example!$G6,'Resource Demand - Activity'!U:U)</f>
        <v>0</v>
      </c>
      <c r="AA6" s="35">
        <f>SUMIF('Resource Demand - Activity'!$FT:$FT,Example!$G6,'Resource Demand - Activity'!V:V)</f>
        <v>0</v>
      </c>
      <c r="AB6" s="35">
        <f>SUMIF('Resource Demand - Activity'!$FT:$FT,Example!$G6,'Resource Demand - Activity'!W:W)</f>
        <v>0</v>
      </c>
      <c r="AC6" s="35">
        <f>SUMIF('Resource Demand - Activity'!$FT:$FT,Example!$G6,'Resource Demand - Activity'!X:X)</f>
        <v>0</v>
      </c>
      <c r="AD6" s="35">
        <f>SUMIF('Resource Demand - Activity'!$FT:$FT,Example!$G6,'Resource Demand - Activity'!Y:Y)</f>
        <v>0</v>
      </c>
      <c r="AE6" s="35">
        <f>SUMIF('Resource Demand - Activity'!$FT:$FT,Example!$G6,'Resource Demand - Activity'!Z:Z)</f>
        <v>0</v>
      </c>
      <c r="AF6" s="35">
        <f>SUMIF('Resource Demand - Activity'!$FT:$FT,Example!$G6,'Resource Demand - Activity'!AA:AA)</f>
        <v>0</v>
      </c>
      <c r="AG6" s="35">
        <f>SUMIF('Resource Demand - Activity'!$FT:$FT,Example!$G6,'Resource Demand - Activity'!AB:AB)</f>
        <v>0</v>
      </c>
      <c r="AH6" s="35">
        <f>SUMIF('Resource Demand - Activity'!$FT:$FT,Example!$G6,'Resource Demand - Activity'!AC:AC)</f>
        <v>0</v>
      </c>
      <c r="AI6" s="35">
        <f>SUMIF('Resource Demand - Activity'!$FT:$FT,Example!$G6,'Resource Demand - Activity'!AD:AD)</f>
        <v>0</v>
      </c>
      <c r="AJ6" s="35">
        <f>SUMIF('Resource Demand - Activity'!$FT:$FT,Example!$G6,'Resource Demand - Activity'!AE:AE)</f>
        <v>0</v>
      </c>
      <c r="AK6" s="35">
        <f>SUMIF('Resource Demand - Activity'!$FT:$FT,Example!$G6,'Resource Demand - Activity'!AF:AF)</f>
        <v>0</v>
      </c>
      <c r="AL6" s="35">
        <f>SUMIF('Resource Demand - Activity'!$FT:$FT,Example!$G6,'Resource Demand - Activity'!AG:AG)</f>
        <v>0</v>
      </c>
      <c r="AM6" s="35">
        <f>SUMIF('Resource Demand - Activity'!$FT:$FT,Example!$G6,'Resource Demand - Activity'!AH:AH)</f>
        <v>0</v>
      </c>
      <c r="AN6" s="35">
        <f>SUMIF('Resource Demand - Activity'!$FT:$FT,Example!$G6,'Resource Demand - Activity'!AI:AI)</f>
        <v>0</v>
      </c>
      <c r="AO6" s="35">
        <f>SUMIF('Resource Demand - Activity'!$FT:$FT,Example!$G6,'Resource Demand - Activity'!AJ:AJ)</f>
        <v>0</v>
      </c>
      <c r="AP6" s="35">
        <f>SUMIF('Resource Demand - Activity'!$FT:$FT,Example!$G6,'Resource Demand - Activity'!AK:AK)</f>
        <v>0</v>
      </c>
      <c r="AQ6" s="36"/>
      <c r="AR6" s="36"/>
      <c r="AS6" s="36"/>
      <c r="AT6" s="36"/>
      <c r="AU6" s="36"/>
      <c r="AV6" s="36"/>
      <c r="AW6" s="36"/>
      <c r="AX6" s="35">
        <f>SUMIF('Resource Demand - Activity'!$FT:$FT,Example!$G6,'Resource Demand - Activity'!AS:AS)</f>
        <v>0</v>
      </c>
      <c r="AY6" s="35">
        <f>SUMIF('Resource Demand - Activity'!$FT:$FT,Example!$G6,'Resource Demand - Activity'!AT:AT)</f>
        <v>0</v>
      </c>
      <c r="AZ6" s="35">
        <f>SUMIF('Resource Demand - Activity'!$FT:$FT,Example!$G6,'Resource Demand - Activity'!AU:AU)</f>
        <v>0</v>
      </c>
      <c r="BA6" s="35">
        <f>SUMIF('Resource Demand - Activity'!$FT:$FT,Example!$G6,'Resource Demand - Activity'!AV:AV)</f>
        <v>0</v>
      </c>
      <c r="BB6" s="35">
        <f>SUMIF('Resource Demand - Activity'!$FT:$FT,Example!$G6,'Resource Demand - Activity'!AW:AW)</f>
        <v>0</v>
      </c>
      <c r="BC6" s="35">
        <f>SUMIF('Resource Demand - Activity'!$FT:$FT,Example!$G6,'Resource Demand - Activity'!AX:AX)</f>
        <v>0</v>
      </c>
      <c r="BD6" s="35">
        <f>SUMIF('Resource Demand - Activity'!$FT:$FT,Example!$G6,'Resource Demand - Activity'!AY:AY)</f>
        <v>0</v>
      </c>
      <c r="BE6" s="35">
        <f>SUMIF('Resource Demand - Activity'!$FT:$FT,Example!$G6,'Resource Demand - Activity'!AZ:AZ)</f>
        <v>0</v>
      </c>
      <c r="BF6" s="35">
        <f>SUMIF('Resource Demand - Activity'!$FT:$FT,Example!$G6,'Resource Demand - Activity'!BA:BA)</f>
        <v>0</v>
      </c>
      <c r="BG6" s="35">
        <f>SUMIF('Resource Demand - Activity'!$FT:$FT,Example!$G6,'Resource Demand - Activity'!BB:BB)</f>
        <v>0.5</v>
      </c>
      <c r="BH6" s="35">
        <f>SUMIF('Resource Demand - Activity'!$FT:$FT,Example!$G6,'Resource Demand - Activity'!BC:BC)</f>
        <v>0.5</v>
      </c>
      <c r="BI6" s="35">
        <f>SUMIF('Resource Demand - Activity'!$FT:$FT,Example!$G6,'Resource Demand - Activity'!BD:BD)</f>
        <v>0.5</v>
      </c>
      <c r="BJ6" s="35">
        <f>SUMIF('Resource Demand - Activity'!$FT:$FT,Example!$G6,'Resource Demand - Activity'!BE:BE)</f>
        <v>0.5</v>
      </c>
      <c r="BK6" s="35">
        <f>SUMIF('Resource Demand - Activity'!$FT:$FT,Example!$G6,'Resource Demand - Activity'!BF:BF)</f>
        <v>0.5</v>
      </c>
      <c r="BL6" s="35">
        <f>SUMIF('Resource Demand - Activity'!$FT:$FT,Example!$G6,'Resource Demand - Activity'!BG:BG)</f>
        <v>0.5</v>
      </c>
      <c r="BM6" s="35">
        <f>SUMIF('Resource Demand - Activity'!$FT:$FT,Example!$G6,'Resource Demand - Activity'!BH:BH)</f>
        <v>0.25</v>
      </c>
      <c r="BN6" s="35">
        <f>SUMIF('Resource Demand - Activity'!$FT:$FT,Example!$G6,'Resource Demand - Activity'!BI:BI)</f>
        <v>0.25</v>
      </c>
      <c r="BO6" s="35">
        <f>SUMIF('Resource Demand - Activity'!$FT:$FT,Example!$G6,'Resource Demand - Activity'!BJ:BJ)</f>
        <v>0.25</v>
      </c>
      <c r="BP6" s="35">
        <f>SUMIF('Resource Demand - Activity'!$FT:$FT,Example!$G6,'Resource Demand - Activity'!BK:BK)</f>
        <v>0.25</v>
      </c>
      <c r="BQ6" s="35">
        <f>SUMIF('Resource Demand - Activity'!$FT:$FT,Example!$G6,'Resource Demand - Activity'!BL:BL)</f>
        <v>0.5</v>
      </c>
      <c r="BR6" s="35">
        <f>SUMIF('Resource Demand - Activity'!$FT:$FT,Example!$G6,'Resource Demand - Activity'!BM:BM)</f>
        <v>0</v>
      </c>
      <c r="BS6" s="35">
        <f>SUMIF('Resource Demand - Activity'!$FT:$FT,Example!$G6,'Resource Demand - Activity'!BN:BN)</f>
        <v>0</v>
      </c>
      <c r="BT6" s="35">
        <f>SUMIF('Resource Demand - Activity'!$FT:$FT,Example!$G6,'Resource Demand - Activity'!BO:BO)</f>
        <v>0</v>
      </c>
      <c r="BU6" s="35">
        <f>SUMIF('Resource Demand - Activity'!$FT:$FT,Example!$G6,'Resource Demand - Activity'!BP:BP)</f>
        <v>0</v>
      </c>
      <c r="BV6" s="35">
        <f>SUMIF('Resource Demand - Activity'!$FT:$FT,Example!$G6,'Resource Demand - Activity'!BQ:BQ)</f>
        <v>0</v>
      </c>
      <c r="BW6" s="35">
        <f>SUMIF('Resource Demand - Activity'!$FT:$FT,Example!$G6,'Resource Demand - Activity'!BR:BR)</f>
        <v>0</v>
      </c>
      <c r="BX6" s="35">
        <f>SUMIF('Resource Demand - Activity'!$FT:$FT,Example!$G6,'Resource Demand - Activity'!BS:BS)</f>
        <v>0</v>
      </c>
      <c r="BY6" s="35">
        <f>SUMIF('Resource Demand - Activity'!$FT:$FT,Example!$G6,'Resource Demand - Activity'!BT:BT)</f>
        <v>0</v>
      </c>
      <c r="BZ6" s="35">
        <f>SUMIF('Resource Demand - Activity'!$FT:$FT,Example!$G6,'Resource Demand - Activity'!BU:BU)</f>
        <v>0</v>
      </c>
      <c r="CA6" s="35">
        <f>SUMIF('Resource Demand - Activity'!$FT:$FT,Example!$G6,'Resource Demand - Activity'!BV:BV)</f>
        <v>0</v>
      </c>
      <c r="CB6" s="35">
        <f>SUMIF('Resource Demand - Activity'!$FT:$FT,Example!$G6,'Resource Demand - Activity'!BW:BW)</f>
        <v>0</v>
      </c>
      <c r="CC6" s="35">
        <f>SUMIF('Resource Demand - Activity'!$FT:$FT,Example!$G6,'Resource Demand - Activity'!BX:BX)</f>
        <v>0</v>
      </c>
      <c r="CD6" s="35">
        <f>SUMIF('Resource Demand - Activity'!$FT:$FT,Example!$G6,'Resource Demand - Activity'!BY:BY)</f>
        <v>0</v>
      </c>
      <c r="CE6" s="35">
        <f>SUMIF('Resource Demand - Activity'!$FT:$FT,Example!$G6,'Resource Demand - Activity'!BZ:BZ)</f>
        <v>0</v>
      </c>
      <c r="CF6" s="35">
        <f>SUMIF('Resource Demand - Activity'!$FT:$FT,Example!$G6,'Resource Demand - Activity'!CA:CA)</f>
        <v>0</v>
      </c>
      <c r="CG6" s="35">
        <f>SUMIF('Resource Demand - Activity'!$FT:$FT,Example!$G6,'Resource Demand - Activity'!CB:CB)</f>
        <v>0</v>
      </c>
      <c r="CH6" s="35">
        <f>SUMIF('Resource Demand - Activity'!$FT:$FT,Example!$G6,'Resource Demand - Activity'!CC:CC)</f>
        <v>0</v>
      </c>
      <c r="CI6" s="35">
        <f>SUMIF('Resource Demand - Activity'!$FT:$FT,Example!$G6,'Resource Demand - Activity'!CD:CD)</f>
        <v>0</v>
      </c>
      <c r="CJ6" s="35">
        <f>SUMIF('Resource Demand - Activity'!$FT:$FT,Example!$G6,'Resource Demand - Activity'!CE:CE)</f>
        <v>0</v>
      </c>
      <c r="CK6" s="35">
        <f>SUMIF('Resource Demand - Activity'!$FT:$FT,Example!$G6,'Resource Demand - Activity'!CF:CF)</f>
        <v>0</v>
      </c>
      <c r="CL6" s="35">
        <f>SUMIF('Resource Demand - Activity'!$FT:$FT,Example!$G6,'Resource Demand - Activity'!CG:CG)</f>
        <v>0</v>
      </c>
      <c r="CM6" s="35">
        <f>SUMIF('Resource Demand - Activity'!$FT:$FT,Example!$G6,'Resource Demand - Activity'!CH:CH)</f>
        <v>0</v>
      </c>
      <c r="CN6" s="35">
        <f>SUMIF('Resource Demand - Activity'!$FT:$FT,Example!$G6,'Resource Demand - Activity'!CI:CI)</f>
        <v>0</v>
      </c>
      <c r="CO6" s="35">
        <f>SUMIF('Resource Demand - Activity'!$FT:$FT,Example!$G6,'Resource Demand - Activity'!CJ:CJ)</f>
        <v>0</v>
      </c>
      <c r="CP6" s="35">
        <f>SUMIF('Resource Demand - Activity'!$FT:$FT,Example!$G6,'Resource Demand - Activity'!CK:CK)</f>
        <v>0</v>
      </c>
      <c r="CQ6" s="35">
        <f>SUMIF('Resource Demand - Activity'!$FT:$FT,Example!$G6,'Resource Demand - Activity'!CL:CL)</f>
        <v>0</v>
      </c>
      <c r="CR6" s="35">
        <f>SUMIF('Resource Demand - Activity'!$FT:$FT,Example!$G6,'Resource Demand - Activity'!CM:CM)</f>
        <v>0</v>
      </c>
      <c r="CS6" s="35">
        <f>SUMIF('Resource Demand - Activity'!$FT:$FT,Example!$G6,'Resource Demand - Activity'!CN:CN)</f>
        <v>0</v>
      </c>
      <c r="CT6" s="35">
        <f>SUMIF('Resource Demand - Activity'!$FT:$FT,Example!$G6,'Resource Demand - Activity'!CO:CO)</f>
        <v>0</v>
      </c>
      <c r="CU6" s="35">
        <f>SUMIF('Resource Demand - Activity'!$FT:$FT,Example!$G6,'Resource Demand - Activity'!CP:CP)</f>
        <v>0</v>
      </c>
      <c r="CV6" s="35">
        <f>SUMIF('Resource Demand - Activity'!$FT:$FT,Example!$G6,'Resource Demand - Activity'!CQ:CQ)</f>
        <v>0</v>
      </c>
      <c r="CW6" s="35">
        <f>SUMIF('Resource Demand - Activity'!$FT:$FT,Example!$G6,'Resource Demand - Activity'!CR:CR)</f>
        <v>0</v>
      </c>
      <c r="CX6" s="35">
        <f>SUMIF('Resource Demand - Activity'!$FT:$FT,Example!$G6,'Resource Demand - Activity'!CS:CS)</f>
        <v>0</v>
      </c>
      <c r="CY6" s="36"/>
      <c r="CZ6" s="35">
        <f>SUMIF('Resource Demand - Activity'!$FT:$FT,Example!$G6,'Resource Demand - Activity'!CU:CU)</f>
        <v>0</v>
      </c>
      <c r="DA6" s="35">
        <f>SUMIF('Resource Demand - Activity'!$FT:$FT,Example!$G6,'Resource Demand - Activity'!CV:CV)</f>
        <v>0</v>
      </c>
      <c r="DB6" s="35">
        <f>SUMIF('Resource Demand - Activity'!$FT:$FT,Example!$G6,'Resource Demand - Activity'!CW:CW)</f>
        <v>0</v>
      </c>
      <c r="DC6" s="35">
        <f>SUMIF('Resource Demand - Activity'!$FT:$FT,Example!$G6,'Resource Demand - Activity'!CX:CX)</f>
        <v>0</v>
      </c>
      <c r="DD6" s="35">
        <f>SUMIF('Resource Demand - Activity'!$FT:$FT,Example!$G6,'Resource Demand - Activity'!CY:CY)</f>
        <v>0</v>
      </c>
      <c r="DE6" s="36"/>
      <c r="DF6" s="36"/>
      <c r="DG6" s="35">
        <f>SUMIF('Resource Demand - Activity'!$FT:$FT,Example!$G6,'Resource Demand - Activity'!DB:DB)</f>
        <v>0</v>
      </c>
      <c r="DH6" s="35">
        <f>SUMIF('Resource Demand - Activity'!$FT:$FT,Example!$G6,'Resource Demand - Activity'!DC:DC)</f>
        <v>0</v>
      </c>
      <c r="DI6" s="35">
        <f>SUMIF('Resource Demand - Activity'!$FT:$FT,Example!$G6,'Resource Demand - Activity'!DD:DD)</f>
        <v>0</v>
      </c>
      <c r="DJ6" s="35">
        <f>SUMIF('Resource Demand - Activity'!$FT:$FT,Example!$G6,'Resource Demand - Activity'!DE:DE)</f>
        <v>0</v>
      </c>
      <c r="DK6" s="35">
        <f>SUMIF('Resource Demand - Activity'!$FT:$FT,Example!$G6,'Resource Demand - Activity'!DF:DF)</f>
        <v>0</v>
      </c>
      <c r="DL6" s="35">
        <f>SUMIF('Resource Demand - Activity'!$FT:$FT,Example!$G6,'Resource Demand - Activity'!DG:DG)</f>
        <v>0</v>
      </c>
      <c r="DM6" s="35">
        <f>SUMIF('Resource Demand - Activity'!$FT:$FT,Example!$G6,'Resource Demand - Activity'!DH:DH)</f>
        <v>0</v>
      </c>
      <c r="DN6" s="35">
        <f>SUMIF('Resource Demand - Activity'!$FT:$FT,Example!$G6,'Resource Demand - Activity'!DI:DI)</f>
        <v>0</v>
      </c>
      <c r="DO6" s="35">
        <f>SUMIF('Resource Demand - Activity'!$FT:$FT,Example!$G6,'Resource Demand - Activity'!DJ:DJ)</f>
        <v>0</v>
      </c>
      <c r="DP6" s="35">
        <f>SUMIF('Resource Demand - Activity'!$FT:$FT,Example!$G6,'Resource Demand - Activity'!DK:DK)</f>
        <v>0</v>
      </c>
      <c r="DQ6" s="35">
        <f>SUMIF('Resource Demand - Activity'!$FT:$FT,Example!$G6,'Resource Demand - Activity'!DL:DL)</f>
        <v>0</v>
      </c>
      <c r="DR6" s="35">
        <f>SUMIF('Resource Demand - Activity'!$FT:$FT,Example!$G6,'Resource Demand - Activity'!DM:DM)</f>
        <v>0</v>
      </c>
      <c r="DS6" s="35">
        <f>SUMIF('Resource Demand - Activity'!$FT:$FT,Example!$G6,'Resource Demand - Activity'!DN:DN)</f>
        <v>0</v>
      </c>
      <c r="DT6" s="35">
        <f>SUMIF('Resource Demand - Activity'!$FT:$FT,Example!$G6,'Resource Demand - Activity'!DO:DO)</f>
        <v>0</v>
      </c>
      <c r="DU6" s="35">
        <f>SUMIF('Resource Demand - Activity'!$FT:$FT,Example!$G6,'Resource Demand - Activity'!DP:DP)</f>
        <v>0</v>
      </c>
      <c r="DV6" s="35">
        <f>SUMIF('Resource Demand - Activity'!$FT:$FT,Example!$G6,'Resource Demand - Activity'!DQ:DQ)</f>
        <v>0</v>
      </c>
      <c r="DW6" s="35">
        <f>SUMIF('Resource Demand - Activity'!$FT:$FT,Example!$G6,'Resource Demand - Activity'!DR:DR)</f>
        <v>0</v>
      </c>
      <c r="DX6" s="35">
        <f>SUMIF('Resource Demand - Activity'!$FT:$FT,Example!$G6,'Resource Demand - Activity'!DS:DS)</f>
        <v>0</v>
      </c>
      <c r="DY6" s="35">
        <f>SUMIF('Resource Demand - Activity'!$FT:$FT,Example!$G6,'Resource Demand - Activity'!DT:DT)</f>
        <v>0</v>
      </c>
      <c r="DZ6" s="35">
        <f>SUMIF('Resource Demand - Activity'!$FT:$FT,Example!$G6,'Resource Demand - Activity'!DU:DU)</f>
        <v>0</v>
      </c>
      <c r="EA6" s="35">
        <f>SUMIF('Resource Demand - Activity'!$FT:$FT,Example!$G6,'Resource Demand - Activity'!DV:DV)</f>
        <v>0</v>
      </c>
      <c r="EB6" s="35">
        <f>SUMIF('Resource Demand - Activity'!$FT:$FT,Example!$G6,'Resource Demand - Activity'!DW:DW)</f>
        <v>0</v>
      </c>
      <c r="EC6" s="35">
        <f>SUMIF('Resource Demand - Activity'!$FT:$FT,Example!$G6,'Resource Demand - Activity'!DX:DX)</f>
        <v>0</v>
      </c>
      <c r="ED6" s="35">
        <f>SUMIF('Resource Demand - Activity'!$FT:$FT,Example!$G6,'Resource Demand - Activity'!DY:DY)</f>
        <v>0</v>
      </c>
      <c r="EE6" s="36"/>
      <c r="EF6" s="35">
        <f>SUMIF('Resource Demand - Activity'!$FT:$FT,Example!$G6,'Resource Demand - Activity'!EA:EA)</f>
        <v>0</v>
      </c>
      <c r="EG6" s="35">
        <f>SUMIF('Resource Demand - Activity'!$FT:$FT,Example!$G6,'Resource Demand - Activity'!EB:EB)</f>
        <v>0</v>
      </c>
      <c r="EH6" s="35">
        <f>SUMIF('Resource Demand - Activity'!$FT:$FT,Example!$G6,'Resource Demand - Activity'!EC:EC)</f>
        <v>0</v>
      </c>
      <c r="EI6" s="35">
        <f>SUMIF('Resource Demand - Activity'!$FT:$FT,Example!$G6,'Resource Demand - Activity'!ED:ED)</f>
        <v>0</v>
      </c>
      <c r="EJ6" s="35">
        <f>SUMIF('Resource Demand - Activity'!$FT:$FT,Example!$G6,'Resource Demand - Activity'!EE:EE)</f>
        <v>0</v>
      </c>
      <c r="EK6" s="35">
        <f>SUMIF('Resource Demand - Activity'!$FT:$FT,Example!$G6,'Resource Demand - Activity'!EF:EF)</f>
        <v>0</v>
      </c>
      <c r="EL6" s="35">
        <f>SUMIF('Resource Demand - Activity'!$FT:$FT,Example!$G6,'Resource Demand - Activity'!EG:EG)</f>
        <v>0</v>
      </c>
      <c r="EM6" s="35">
        <f>SUMIF('Resource Demand - Activity'!$FT:$FT,Example!$G6,'Resource Demand - Activity'!EH:EH)</f>
        <v>0</v>
      </c>
      <c r="EN6" s="35">
        <f>SUMIF('Resource Demand - Activity'!$FT:$FT,Example!$G6,'Resource Demand - Activity'!EI:EI)</f>
        <v>0</v>
      </c>
      <c r="EO6" s="35">
        <f>SUMIF('Resource Demand - Activity'!$FT:$FT,Example!$G6,'Resource Demand - Activity'!EJ:EJ)</f>
        <v>0</v>
      </c>
      <c r="EP6" s="35">
        <f>SUMIF('Resource Demand - Activity'!$FT:$FT,Example!$G6,'Resource Demand - Activity'!EK:EK)</f>
        <v>0</v>
      </c>
      <c r="EQ6" s="35">
        <f>SUMIF('Resource Demand - Activity'!$FT:$FT,Example!$G6,'Resource Demand - Activity'!EL:EL)</f>
        <v>0</v>
      </c>
      <c r="ER6" s="35">
        <f>SUMIF('Resource Demand - Activity'!$FT:$FT,Example!$G6,'Resource Demand - Activity'!EM:EM)</f>
        <v>0</v>
      </c>
      <c r="ES6" s="35">
        <f>SUMIF('Resource Demand - Activity'!$FT:$FT,Example!$G6,'Resource Demand - Activity'!EN:EN)</f>
        <v>0</v>
      </c>
      <c r="ET6" s="35">
        <f>SUMIF('Resource Demand - Activity'!$FT:$FT,Example!$G6,'Resource Demand - Activity'!EO:EO)</f>
        <v>0</v>
      </c>
      <c r="EU6" s="35">
        <f>SUMIF('Resource Demand - Activity'!$FT:$FT,Example!$G6,'Resource Demand - Activity'!EP:EP)</f>
        <v>0</v>
      </c>
      <c r="EV6" s="35">
        <f>SUMIF('Resource Demand - Activity'!$FT:$FT,Example!$G6,'Resource Demand - Activity'!EQ:EQ)</f>
        <v>0</v>
      </c>
      <c r="EW6" s="35">
        <f>SUMIF('Resource Demand - Activity'!$FT:$FT,Example!$G6,'Resource Demand - Activity'!ER:ER)</f>
        <v>0</v>
      </c>
      <c r="EX6" s="35">
        <f>SUMIF('Resource Demand - Activity'!$FT:$FT,Example!$G6,'Resource Demand - Activity'!ES:ES)</f>
        <v>0</v>
      </c>
      <c r="EY6" s="35">
        <f>SUMIF('Resource Demand - Activity'!$FT:$FT,Example!$G6,'Resource Demand - Activity'!ET:ET)</f>
        <v>0</v>
      </c>
      <c r="EZ6" s="35">
        <f>SUMIF('Resource Demand - Activity'!$FT:$FT,Example!$G6,'Resource Demand - Activity'!EU:EU)</f>
        <v>0</v>
      </c>
      <c r="FA6" s="35">
        <f>SUMIF('Resource Demand - Activity'!$FT:$FT,Example!$G6,'Resource Demand - Activity'!EV:EV)</f>
        <v>0</v>
      </c>
      <c r="FB6" s="35">
        <f>SUMIF('Resource Demand - Activity'!$FT:$FT,Example!$G6,'Resource Demand - Activity'!EW:EW)</f>
        <v>0</v>
      </c>
      <c r="FC6" s="35">
        <f>SUMIF('Resource Demand - Activity'!$FT:$FT,Example!$G6,'Resource Demand - Activity'!EX:EX)</f>
        <v>0</v>
      </c>
      <c r="FD6" s="36"/>
      <c r="FE6" s="35">
        <f>SUMIF('Resource Demand - Activity'!$FT:$FT,Example!$G6,'Resource Demand - Activity'!EZ:EZ)</f>
        <v>0</v>
      </c>
      <c r="FF6" s="35">
        <f>SUMIF('Resource Demand - Activity'!$FT:$FT,Example!$G6,'Resource Demand - Activity'!FA:FA)</f>
        <v>0</v>
      </c>
      <c r="FG6" s="35">
        <f>SUMIF('Resource Demand - Activity'!$FT:$FT,Example!$G6,'Resource Demand - Activity'!FB:FB)</f>
        <v>0</v>
      </c>
      <c r="FH6" s="35">
        <f>SUMIF('Resource Demand - Activity'!$FT:$FT,Example!$G6,'Resource Demand - Activity'!FC:FC)</f>
        <v>0</v>
      </c>
      <c r="FI6" s="35">
        <f>SUMIF('Resource Demand - Activity'!$FT:$FT,Example!$G6,'Resource Demand - Activity'!FD:FD)</f>
        <v>0</v>
      </c>
      <c r="FJ6" s="35">
        <f>SUMIF('Resource Demand - Activity'!$FT:$FT,Example!$G6,'Resource Demand - Activity'!FE:FE)</f>
        <v>0</v>
      </c>
      <c r="FK6" s="35">
        <f>SUMIF('Resource Demand - Activity'!$FT:$FT,Example!$G6,'Resource Demand - Activity'!FF:FF)</f>
        <v>0</v>
      </c>
      <c r="FL6" s="35">
        <f>SUMIF('Resource Demand - Activity'!$FT:$FT,Example!$G6,'Resource Demand - Activity'!FG:FG)</f>
        <v>0</v>
      </c>
      <c r="FM6" s="35">
        <f>SUMIF('Resource Demand - Activity'!$FT:$FT,Example!$G6,'Resource Demand - Activity'!FH:FH)</f>
        <v>0</v>
      </c>
      <c r="FN6" s="35">
        <f>SUMIF('Resource Demand - Activity'!$FT:$FT,Example!$G6,'Resource Demand - Activity'!FI:FI)</f>
        <v>0</v>
      </c>
      <c r="FO6" s="35">
        <f>SUMIF('Resource Demand - Activity'!$FT:$FT,Example!$G6,'Resource Demand - Activity'!FJ:FJ)</f>
        <v>0</v>
      </c>
      <c r="FP6" s="35">
        <f>SUMIF('Resource Demand - Activity'!$FT:$FT,Example!$G6,'Resource Demand - Activity'!FK:FK)</f>
        <v>0</v>
      </c>
      <c r="FQ6" s="35">
        <f>SUMIF('Resource Demand - Activity'!$FT:$FT,Example!$G6,'Resource Demand - Activity'!FL:FL)</f>
        <v>0</v>
      </c>
      <c r="FR6" s="35">
        <f>SUMIF('Resource Demand - Activity'!$FT:$FT,Example!$G6,'Resource Demand - Activity'!FM:FM)</f>
        <v>0</v>
      </c>
      <c r="FS6" s="35">
        <f>SUMIF('Resource Demand - Activity'!$FT:$FT,Example!$G6,'Resource Demand - Activity'!FN:FN)</f>
        <v>0</v>
      </c>
      <c r="FT6" s="35">
        <f>SUMIF('Resource Demand - Activity'!$FT:$FT,Example!$G6,'Resource Demand - Activity'!FO:FO)</f>
        <v>0</v>
      </c>
      <c r="FU6" s="35">
        <f>SUMIF('Resource Demand - Activity'!$FT:$FT,Example!$G6,'Resource Demand - Activity'!FP:FP)</f>
        <v>0</v>
      </c>
      <c r="FV6" s="52">
        <f>SUMIF('Resource Demand - Activity'!$FT:$FT,Example!$G6,'Resource Demand - Activity'!FQ:FQ)</f>
        <v>0</v>
      </c>
    </row>
    <row r="7" spans="2:178" s="58" customFormat="1" ht="12" customHeight="1">
      <c r="B7" s="65" t="s">
        <v>16</v>
      </c>
      <c r="C7" s="69">
        <f>SUM(J60:FV75)</f>
        <v>136</v>
      </c>
      <c r="D7" s="66">
        <f>C7/157</f>
        <v>0.86624203821656054</v>
      </c>
      <c r="E7" s="145"/>
      <c r="G7" s="64" t="str">
        <f t="shared" si="3"/>
        <v>5. Annual Process Documentation 5.3 SupervisionGlenn Kirk</v>
      </c>
      <c r="H7" s="102" t="s">
        <v>169</v>
      </c>
      <c r="I7" s="59" t="str">
        <f>INDEX('Resource Demand - Activity'!C:C,MATCH(Example!G7,'Resource Demand - Activity'!FT:FT,0))</f>
        <v>3 days</v>
      </c>
      <c r="J7" s="51">
        <f>SUMIF('Resource Demand - Activity'!$FT:$FT,Example!$G7,'Resource Demand - Activity'!E:E)</f>
        <v>0</v>
      </c>
      <c r="K7" s="35">
        <f>SUMIF('Resource Demand - Activity'!$FT:$FT,Example!$G7,'Resource Demand - Activity'!F:F)</f>
        <v>0</v>
      </c>
      <c r="L7" s="35">
        <f>SUMIF('Resource Demand - Activity'!$FT:$FT,Example!$G7,'Resource Demand - Activity'!G:G)</f>
        <v>0</v>
      </c>
      <c r="M7" s="35">
        <f>SUMIF('Resource Demand - Activity'!$FT:$FT,Example!$G7,'Resource Demand - Activity'!H:H)</f>
        <v>0</v>
      </c>
      <c r="N7" s="35">
        <f>SUMIF('Resource Demand - Activity'!$FT:$FT,Example!$G7,'Resource Demand - Activity'!I:I)</f>
        <v>0</v>
      </c>
      <c r="O7" s="35">
        <f>SUMIF('Resource Demand - Activity'!$FT:$FT,Example!$G7,'Resource Demand - Activity'!J:J)</f>
        <v>0</v>
      </c>
      <c r="P7" s="35">
        <f>SUMIF('Resource Demand - Activity'!$FT:$FT,Example!$G7,'Resource Demand - Activity'!K:K)</f>
        <v>0</v>
      </c>
      <c r="Q7" s="35">
        <f>SUMIF('Resource Demand - Activity'!$FT:$FT,Example!$G7,'Resource Demand - Activity'!L:L)</f>
        <v>0</v>
      </c>
      <c r="R7" s="35">
        <f>SUMIF('Resource Demand - Activity'!$FT:$FT,Example!$G7,'Resource Demand - Activity'!M:M)</f>
        <v>0</v>
      </c>
      <c r="S7" s="35">
        <f>SUMIF('Resource Demand - Activity'!$FT:$FT,Example!$G7,'Resource Demand - Activity'!N:N)</f>
        <v>0</v>
      </c>
      <c r="T7" s="35">
        <f>SUMIF('Resource Demand - Activity'!$FT:$FT,Example!$G7,'Resource Demand - Activity'!O:O)</f>
        <v>0</v>
      </c>
      <c r="U7" s="35">
        <f>SUMIF('Resource Demand - Activity'!$FT:$FT,Example!$G7,'Resource Demand - Activity'!P:P)</f>
        <v>0</v>
      </c>
      <c r="V7" s="35">
        <f>SUMIF('Resource Demand - Activity'!$FT:$FT,Example!$G7,'Resource Demand - Activity'!Q:Q)</f>
        <v>0</v>
      </c>
      <c r="W7" s="35">
        <f>SUMIF('Resource Demand - Activity'!$FT:$FT,Example!$G7,'Resource Demand - Activity'!R:R)</f>
        <v>0</v>
      </c>
      <c r="X7" s="35">
        <f>SUMIF('Resource Demand - Activity'!$FT:$FT,Example!$G7,'Resource Demand - Activity'!S:S)</f>
        <v>0</v>
      </c>
      <c r="Y7" s="35">
        <f>SUMIF('Resource Demand - Activity'!$FT:$FT,Example!$G7,'Resource Demand - Activity'!T:T)</f>
        <v>0</v>
      </c>
      <c r="Z7" s="35">
        <f>SUMIF('Resource Demand - Activity'!$FT:$FT,Example!$G7,'Resource Demand - Activity'!U:U)</f>
        <v>0</v>
      </c>
      <c r="AA7" s="35">
        <f>SUMIF('Resource Demand - Activity'!$FT:$FT,Example!$G7,'Resource Demand - Activity'!V:V)</f>
        <v>0</v>
      </c>
      <c r="AB7" s="35">
        <f>SUMIF('Resource Demand - Activity'!$FT:$FT,Example!$G7,'Resource Demand - Activity'!W:W)</f>
        <v>0</v>
      </c>
      <c r="AC7" s="35">
        <f>SUMIF('Resource Demand - Activity'!$FT:$FT,Example!$G7,'Resource Demand - Activity'!X:X)</f>
        <v>0</v>
      </c>
      <c r="AD7" s="35">
        <f>SUMIF('Resource Demand - Activity'!$FT:$FT,Example!$G7,'Resource Demand - Activity'!Y:Y)</f>
        <v>0</v>
      </c>
      <c r="AE7" s="35">
        <f>SUMIF('Resource Demand - Activity'!$FT:$FT,Example!$G7,'Resource Demand - Activity'!Z:Z)</f>
        <v>0.25</v>
      </c>
      <c r="AF7" s="35">
        <f>SUMIF('Resource Demand - Activity'!$FT:$FT,Example!$G7,'Resource Demand - Activity'!AA:AA)</f>
        <v>0</v>
      </c>
      <c r="AG7" s="35">
        <f>SUMIF('Resource Demand - Activity'!$FT:$FT,Example!$G7,'Resource Demand - Activity'!AB:AB)</f>
        <v>0</v>
      </c>
      <c r="AH7" s="35">
        <f>SUMIF('Resource Demand - Activity'!$FT:$FT,Example!$G7,'Resource Demand - Activity'!AC:AC)</f>
        <v>0</v>
      </c>
      <c r="AI7" s="35">
        <f>SUMIF('Resource Demand - Activity'!$FT:$FT,Example!$G7,'Resource Demand - Activity'!AD:AD)</f>
        <v>0</v>
      </c>
      <c r="AJ7" s="35">
        <f>SUMIF('Resource Demand - Activity'!$FT:$FT,Example!$G7,'Resource Demand - Activity'!AE:AE)</f>
        <v>0</v>
      </c>
      <c r="AK7" s="35">
        <f>SUMIF('Resource Demand - Activity'!$FT:$FT,Example!$G7,'Resource Demand - Activity'!AF:AF)</f>
        <v>0</v>
      </c>
      <c r="AL7" s="35">
        <f>SUMIF('Resource Demand - Activity'!$FT:$FT,Example!$G7,'Resource Demand - Activity'!AG:AG)</f>
        <v>0</v>
      </c>
      <c r="AM7" s="35">
        <f>SUMIF('Resource Demand - Activity'!$FT:$FT,Example!$G7,'Resource Demand - Activity'!AH:AH)</f>
        <v>0</v>
      </c>
      <c r="AN7" s="35">
        <f>SUMIF('Resource Demand - Activity'!$FT:$FT,Example!$G7,'Resource Demand - Activity'!AI:AI)</f>
        <v>0.5</v>
      </c>
      <c r="AO7" s="35">
        <f>SUMIF('Resource Demand - Activity'!$FT:$FT,Example!$G7,'Resource Demand - Activity'!AJ:AJ)</f>
        <v>0</v>
      </c>
      <c r="AP7" s="35">
        <f>SUMIF('Resource Demand - Activity'!$FT:$FT,Example!$G7,'Resource Demand - Activity'!AK:AK)</f>
        <v>0</v>
      </c>
      <c r="AQ7" s="36"/>
      <c r="AR7" s="36"/>
      <c r="AS7" s="36"/>
      <c r="AT7" s="36"/>
      <c r="AU7" s="36"/>
      <c r="AV7" s="36"/>
      <c r="AW7" s="36"/>
      <c r="AX7" s="35">
        <f>SUMIF('Resource Demand - Activity'!$FT:$FT,Example!$G7,'Resource Demand - Activity'!AS:AS)</f>
        <v>0</v>
      </c>
      <c r="AY7" s="35">
        <f>SUMIF('Resource Demand - Activity'!$FT:$FT,Example!$G7,'Resource Demand - Activity'!AT:AT)</f>
        <v>0.25</v>
      </c>
      <c r="AZ7" s="35">
        <f>SUMIF('Resource Demand - Activity'!$FT:$FT,Example!$G7,'Resource Demand - Activity'!AU:AU)</f>
        <v>0.5</v>
      </c>
      <c r="BA7" s="35">
        <f>SUMIF('Resource Demand - Activity'!$FT:$FT,Example!$G7,'Resource Demand - Activity'!AV:AV)</f>
        <v>1</v>
      </c>
      <c r="BB7" s="35">
        <f>SUMIF('Resource Demand - Activity'!$FT:$FT,Example!$G7,'Resource Demand - Activity'!AW:AW)</f>
        <v>0</v>
      </c>
      <c r="BC7" s="35">
        <f>SUMIF('Resource Demand - Activity'!$FT:$FT,Example!$G7,'Resource Demand - Activity'!AX:AX)</f>
        <v>0</v>
      </c>
      <c r="BD7" s="35">
        <f>SUMIF('Resource Demand - Activity'!$FT:$FT,Example!$G7,'Resource Demand - Activity'!AY:AY)</f>
        <v>0</v>
      </c>
      <c r="BE7" s="35">
        <f>SUMIF('Resource Demand - Activity'!$FT:$FT,Example!$G7,'Resource Demand - Activity'!AZ:AZ)</f>
        <v>0</v>
      </c>
      <c r="BF7" s="35">
        <f>SUMIF('Resource Demand - Activity'!$FT:$FT,Example!$G7,'Resource Demand - Activity'!BA:BA)</f>
        <v>0</v>
      </c>
      <c r="BG7" s="35">
        <f>SUMIF('Resource Demand - Activity'!$FT:$FT,Example!$G7,'Resource Demand - Activity'!BB:BB)</f>
        <v>0</v>
      </c>
      <c r="BH7" s="35">
        <f>SUMIF('Resource Demand - Activity'!$FT:$FT,Example!$G7,'Resource Demand - Activity'!BC:BC)</f>
        <v>0</v>
      </c>
      <c r="BI7" s="35">
        <f>SUMIF('Resource Demand - Activity'!$FT:$FT,Example!$G7,'Resource Demand - Activity'!BD:BD)</f>
        <v>0</v>
      </c>
      <c r="BJ7" s="35">
        <f>SUMIF('Resource Demand - Activity'!$FT:$FT,Example!$G7,'Resource Demand - Activity'!BE:BE)</f>
        <v>0</v>
      </c>
      <c r="BK7" s="35">
        <f>SUMIF('Resource Demand - Activity'!$FT:$FT,Example!$G7,'Resource Demand - Activity'!BF:BF)</f>
        <v>0</v>
      </c>
      <c r="BL7" s="35">
        <f>SUMIF('Resource Demand - Activity'!$FT:$FT,Example!$G7,'Resource Demand - Activity'!BG:BG)</f>
        <v>0</v>
      </c>
      <c r="BM7" s="35">
        <f>SUMIF('Resource Demand - Activity'!$FT:$FT,Example!$G7,'Resource Demand - Activity'!BH:BH)</f>
        <v>0</v>
      </c>
      <c r="BN7" s="35">
        <f>SUMIF('Resource Demand - Activity'!$FT:$FT,Example!$G7,'Resource Demand - Activity'!BI:BI)</f>
        <v>0</v>
      </c>
      <c r="BO7" s="35">
        <f>SUMIF('Resource Demand - Activity'!$FT:$FT,Example!$G7,'Resource Demand - Activity'!BJ:BJ)</f>
        <v>0</v>
      </c>
      <c r="BP7" s="35">
        <f>SUMIF('Resource Demand - Activity'!$FT:$FT,Example!$G7,'Resource Demand - Activity'!BK:BK)</f>
        <v>0</v>
      </c>
      <c r="BQ7" s="35">
        <f>SUMIF('Resource Demand - Activity'!$FT:$FT,Example!$G7,'Resource Demand - Activity'!BL:BL)</f>
        <v>0</v>
      </c>
      <c r="BR7" s="35">
        <f>SUMIF('Resource Demand - Activity'!$FT:$FT,Example!$G7,'Resource Demand - Activity'!BM:BM)</f>
        <v>0</v>
      </c>
      <c r="BS7" s="35">
        <f>SUMIF('Resource Demand - Activity'!$FT:$FT,Example!$G7,'Resource Demand - Activity'!BN:BN)</f>
        <v>0</v>
      </c>
      <c r="BT7" s="35">
        <f>SUMIF('Resource Demand - Activity'!$FT:$FT,Example!$G7,'Resource Demand - Activity'!BO:BO)</f>
        <v>0</v>
      </c>
      <c r="BU7" s="35">
        <f>SUMIF('Resource Demand - Activity'!$FT:$FT,Example!$G7,'Resource Demand - Activity'!BP:BP)</f>
        <v>0</v>
      </c>
      <c r="BV7" s="35">
        <f>SUMIF('Resource Demand - Activity'!$FT:$FT,Example!$G7,'Resource Demand - Activity'!BQ:BQ)</f>
        <v>0</v>
      </c>
      <c r="BW7" s="35">
        <f>SUMIF('Resource Demand - Activity'!$FT:$FT,Example!$G7,'Resource Demand - Activity'!BR:BR)</f>
        <v>0</v>
      </c>
      <c r="BX7" s="35">
        <f>SUMIF('Resource Demand - Activity'!$FT:$FT,Example!$G7,'Resource Demand - Activity'!BS:BS)</f>
        <v>0</v>
      </c>
      <c r="BY7" s="35">
        <f>SUMIF('Resource Demand - Activity'!$FT:$FT,Example!$G7,'Resource Demand - Activity'!BT:BT)</f>
        <v>0</v>
      </c>
      <c r="BZ7" s="35">
        <f>SUMIF('Resource Demand - Activity'!$FT:$FT,Example!$G7,'Resource Demand - Activity'!BU:BU)</f>
        <v>0</v>
      </c>
      <c r="CA7" s="35">
        <f>SUMIF('Resource Demand - Activity'!$FT:$FT,Example!$G7,'Resource Demand - Activity'!BV:BV)</f>
        <v>0</v>
      </c>
      <c r="CB7" s="35">
        <f>SUMIF('Resource Demand - Activity'!$FT:$FT,Example!$G7,'Resource Demand - Activity'!BW:BW)</f>
        <v>0</v>
      </c>
      <c r="CC7" s="35">
        <f>SUMIF('Resource Demand - Activity'!$FT:$FT,Example!$G7,'Resource Demand - Activity'!BX:BX)</f>
        <v>0</v>
      </c>
      <c r="CD7" s="35">
        <f>SUMIF('Resource Demand - Activity'!$FT:$FT,Example!$G7,'Resource Demand - Activity'!BY:BY)</f>
        <v>0</v>
      </c>
      <c r="CE7" s="35">
        <f>SUMIF('Resource Demand - Activity'!$FT:$FT,Example!$G7,'Resource Demand - Activity'!BZ:BZ)</f>
        <v>0</v>
      </c>
      <c r="CF7" s="35">
        <f>SUMIF('Resource Demand - Activity'!$FT:$FT,Example!$G7,'Resource Demand - Activity'!CA:CA)</f>
        <v>0</v>
      </c>
      <c r="CG7" s="35">
        <f>SUMIF('Resource Demand - Activity'!$FT:$FT,Example!$G7,'Resource Demand - Activity'!CB:CB)</f>
        <v>0</v>
      </c>
      <c r="CH7" s="35">
        <f>SUMIF('Resource Demand - Activity'!$FT:$FT,Example!$G7,'Resource Demand - Activity'!CC:CC)</f>
        <v>0</v>
      </c>
      <c r="CI7" s="35">
        <f>SUMIF('Resource Demand - Activity'!$FT:$FT,Example!$G7,'Resource Demand - Activity'!CD:CD)</f>
        <v>0</v>
      </c>
      <c r="CJ7" s="35">
        <f>SUMIF('Resource Demand - Activity'!$FT:$FT,Example!$G7,'Resource Demand - Activity'!CE:CE)</f>
        <v>0</v>
      </c>
      <c r="CK7" s="35">
        <f>SUMIF('Resource Demand - Activity'!$FT:$FT,Example!$G7,'Resource Demand - Activity'!CF:CF)</f>
        <v>0</v>
      </c>
      <c r="CL7" s="35">
        <f>SUMIF('Resource Demand - Activity'!$FT:$FT,Example!$G7,'Resource Demand - Activity'!CG:CG)</f>
        <v>0</v>
      </c>
      <c r="CM7" s="35">
        <f>SUMIF('Resource Demand - Activity'!$FT:$FT,Example!$G7,'Resource Demand - Activity'!CH:CH)</f>
        <v>0</v>
      </c>
      <c r="CN7" s="35">
        <f>SUMIF('Resource Demand - Activity'!$FT:$FT,Example!$G7,'Resource Demand - Activity'!CI:CI)</f>
        <v>0</v>
      </c>
      <c r="CO7" s="35">
        <f>SUMIF('Resource Demand - Activity'!$FT:$FT,Example!$G7,'Resource Demand - Activity'!CJ:CJ)</f>
        <v>0</v>
      </c>
      <c r="CP7" s="35">
        <f>SUMIF('Resource Demand - Activity'!$FT:$FT,Example!$G7,'Resource Demand - Activity'!CK:CK)</f>
        <v>0</v>
      </c>
      <c r="CQ7" s="35">
        <f>SUMIF('Resource Demand - Activity'!$FT:$FT,Example!$G7,'Resource Demand - Activity'!CL:CL)</f>
        <v>0</v>
      </c>
      <c r="CR7" s="35">
        <f>SUMIF('Resource Demand - Activity'!$FT:$FT,Example!$G7,'Resource Demand - Activity'!CM:CM)</f>
        <v>0</v>
      </c>
      <c r="CS7" s="35">
        <f>SUMIF('Resource Demand - Activity'!$FT:$FT,Example!$G7,'Resource Demand - Activity'!CN:CN)</f>
        <v>0</v>
      </c>
      <c r="CT7" s="35">
        <f>SUMIF('Resource Demand - Activity'!$FT:$FT,Example!$G7,'Resource Demand - Activity'!CO:CO)</f>
        <v>0</v>
      </c>
      <c r="CU7" s="35">
        <f>SUMIF('Resource Demand - Activity'!$FT:$FT,Example!$G7,'Resource Demand - Activity'!CP:CP)</f>
        <v>0</v>
      </c>
      <c r="CV7" s="35">
        <f>SUMIF('Resource Demand - Activity'!$FT:$FT,Example!$G7,'Resource Demand - Activity'!CQ:CQ)</f>
        <v>0</v>
      </c>
      <c r="CW7" s="35">
        <f>SUMIF('Resource Demand - Activity'!$FT:$FT,Example!$G7,'Resource Demand - Activity'!CR:CR)</f>
        <v>0</v>
      </c>
      <c r="CX7" s="35">
        <f>SUMIF('Resource Demand - Activity'!$FT:$FT,Example!$G7,'Resource Demand - Activity'!CS:CS)</f>
        <v>0</v>
      </c>
      <c r="CY7" s="36"/>
      <c r="CZ7" s="35">
        <f>SUMIF('Resource Demand - Activity'!$FT:$FT,Example!$G7,'Resource Demand - Activity'!CU:CU)</f>
        <v>0</v>
      </c>
      <c r="DA7" s="35">
        <f>SUMIF('Resource Demand - Activity'!$FT:$FT,Example!$G7,'Resource Demand - Activity'!CV:CV)</f>
        <v>0</v>
      </c>
      <c r="DB7" s="35">
        <f>SUMIF('Resource Demand - Activity'!$FT:$FT,Example!$G7,'Resource Demand - Activity'!CW:CW)</f>
        <v>0</v>
      </c>
      <c r="DC7" s="35">
        <f>SUMIF('Resource Demand - Activity'!$FT:$FT,Example!$G7,'Resource Demand - Activity'!CX:CX)</f>
        <v>0</v>
      </c>
      <c r="DD7" s="35">
        <f>SUMIF('Resource Demand - Activity'!$FT:$FT,Example!$G7,'Resource Demand - Activity'!CY:CY)</f>
        <v>0</v>
      </c>
      <c r="DE7" s="36"/>
      <c r="DF7" s="36"/>
      <c r="DG7" s="35">
        <f>SUMIF('Resource Demand - Activity'!$FT:$FT,Example!$G7,'Resource Demand - Activity'!DB:DB)</f>
        <v>0</v>
      </c>
      <c r="DH7" s="35">
        <f>SUMIF('Resource Demand - Activity'!$FT:$FT,Example!$G7,'Resource Demand - Activity'!DC:DC)</f>
        <v>0</v>
      </c>
      <c r="DI7" s="35">
        <f>SUMIF('Resource Demand - Activity'!$FT:$FT,Example!$G7,'Resource Demand - Activity'!DD:DD)</f>
        <v>0</v>
      </c>
      <c r="DJ7" s="35">
        <f>SUMIF('Resource Demand - Activity'!$FT:$FT,Example!$G7,'Resource Demand - Activity'!DE:DE)</f>
        <v>0</v>
      </c>
      <c r="DK7" s="35">
        <f>SUMIF('Resource Demand - Activity'!$FT:$FT,Example!$G7,'Resource Demand - Activity'!DF:DF)</f>
        <v>0</v>
      </c>
      <c r="DL7" s="35">
        <f>SUMIF('Resource Demand - Activity'!$FT:$FT,Example!$G7,'Resource Demand - Activity'!DG:DG)</f>
        <v>0</v>
      </c>
      <c r="DM7" s="35">
        <f>SUMIF('Resource Demand - Activity'!$FT:$FT,Example!$G7,'Resource Demand - Activity'!DH:DH)</f>
        <v>0</v>
      </c>
      <c r="DN7" s="35">
        <f>SUMIF('Resource Demand - Activity'!$FT:$FT,Example!$G7,'Resource Demand - Activity'!DI:DI)</f>
        <v>0</v>
      </c>
      <c r="DO7" s="35">
        <f>SUMIF('Resource Demand - Activity'!$FT:$FT,Example!$G7,'Resource Demand - Activity'!DJ:DJ)</f>
        <v>0</v>
      </c>
      <c r="DP7" s="35">
        <f>SUMIF('Resource Demand - Activity'!$FT:$FT,Example!$G7,'Resource Demand - Activity'!DK:DK)</f>
        <v>0</v>
      </c>
      <c r="DQ7" s="35">
        <f>SUMIF('Resource Demand - Activity'!$FT:$FT,Example!$G7,'Resource Demand - Activity'!DL:DL)</f>
        <v>0</v>
      </c>
      <c r="DR7" s="35">
        <f>SUMIF('Resource Demand - Activity'!$FT:$FT,Example!$G7,'Resource Demand - Activity'!DM:DM)</f>
        <v>0</v>
      </c>
      <c r="DS7" s="35">
        <f>SUMIF('Resource Demand - Activity'!$FT:$FT,Example!$G7,'Resource Demand - Activity'!DN:DN)</f>
        <v>0</v>
      </c>
      <c r="DT7" s="35">
        <f>SUMIF('Resource Demand - Activity'!$FT:$FT,Example!$G7,'Resource Demand - Activity'!DO:DO)</f>
        <v>0</v>
      </c>
      <c r="DU7" s="35">
        <f>SUMIF('Resource Demand - Activity'!$FT:$FT,Example!$G7,'Resource Demand - Activity'!DP:DP)</f>
        <v>0</v>
      </c>
      <c r="DV7" s="35">
        <f>SUMIF('Resource Demand - Activity'!$FT:$FT,Example!$G7,'Resource Demand - Activity'!DQ:DQ)</f>
        <v>0</v>
      </c>
      <c r="DW7" s="35">
        <f>SUMIF('Resource Demand - Activity'!$FT:$FT,Example!$G7,'Resource Demand - Activity'!DR:DR)</f>
        <v>0</v>
      </c>
      <c r="DX7" s="35">
        <f>SUMIF('Resource Demand - Activity'!$FT:$FT,Example!$G7,'Resource Demand - Activity'!DS:DS)</f>
        <v>0</v>
      </c>
      <c r="DY7" s="35">
        <f>SUMIF('Resource Demand - Activity'!$FT:$FT,Example!$G7,'Resource Demand - Activity'!DT:DT)</f>
        <v>0</v>
      </c>
      <c r="DZ7" s="35">
        <f>SUMIF('Resource Demand - Activity'!$FT:$FT,Example!$G7,'Resource Demand - Activity'!DU:DU)</f>
        <v>0</v>
      </c>
      <c r="EA7" s="35">
        <f>SUMIF('Resource Demand - Activity'!$FT:$FT,Example!$G7,'Resource Demand - Activity'!DV:DV)</f>
        <v>0</v>
      </c>
      <c r="EB7" s="35">
        <f>SUMIF('Resource Demand - Activity'!$FT:$FT,Example!$G7,'Resource Demand - Activity'!DW:DW)</f>
        <v>0</v>
      </c>
      <c r="EC7" s="35">
        <f>SUMIF('Resource Demand - Activity'!$FT:$FT,Example!$G7,'Resource Demand - Activity'!DX:DX)</f>
        <v>0</v>
      </c>
      <c r="ED7" s="35">
        <f>SUMIF('Resource Demand - Activity'!$FT:$FT,Example!$G7,'Resource Demand - Activity'!DY:DY)</f>
        <v>0</v>
      </c>
      <c r="EE7" s="36"/>
      <c r="EF7" s="35">
        <f>SUMIF('Resource Demand - Activity'!$FT:$FT,Example!$G7,'Resource Demand - Activity'!EA:EA)</f>
        <v>0</v>
      </c>
      <c r="EG7" s="35">
        <f>SUMIF('Resource Demand - Activity'!$FT:$FT,Example!$G7,'Resource Demand - Activity'!EB:EB)</f>
        <v>0</v>
      </c>
      <c r="EH7" s="35">
        <f>SUMIF('Resource Demand - Activity'!$FT:$FT,Example!$G7,'Resource Demand - Activity'!EC:EC)</f>
        <v>0</v>
      </c>
      <c r="EI7" s="35">
        <f>SUMIF('Resource Demand - Activity'!$FT:$FT,Example!$G7,'Resource Demand - Activity'!ED:ED)</f>
        <v>0</v>
      </c>
      <c r="EJ7" s="35">
        <f>SUMIF('Resource Demand - Activity'!$FT:$FT,Example!$G7,'Resource Demand - Activity'!EE:EE)</f>
        <v>0</v>
      </c>
      <c r="EK7" s="35">
        <f>SUMIF('Resource Demand - Activity'!$FT:$FT,Example!$G7,'Resource Demand - Activity'!EF:EF)</f>
        <v>0</v>
      </c>
      <c r="EL7" s="35">
        <f>SUMIF('Resource Demand - Activity'!$FT:$FT,Example!$G7,'Resource Demand - Activity'!EG:EG)</f>
        <v>0</v>
      </c>
      <c r="EM7" s="35">
        <f>SUMIF('Resource Demand - Activity'!$FT:$FT,Example!$G7,'Resource Demand - Activity'!EH:EH)</f>
        <v>0</v>
      </c>
      <c r="EN7" s="35">
        <f>SUMIF('Resource Demand - Activity'!$FT:$FT,Example!$G7,'Resource Demand - Activity'!EI:EI)</f>
        <v>0</v>
      </c>
      <c r="EO7" s="35">
        <f>SUMIF('Resource Demand - Activity'!$FT:$FT,Example!$G7,'Resource Demand - Activity'!EJ:EJ)</f>
        <v>0</v>
      </c>
      <c r="EP7" s="35">
        <f>SUMIF('Resource Demand - Activity'!$FT:$FT,Example!$G7,'Resource Demand - Activity'!EK:EK)</f>
        <v>0</v>
      </c>
      <c r="EQ7" s="35">
        <f>SUMIF('Resource Demand - Activity'!$FT:$FT,Example!$G7,'Resource Demand - Activity'!EL:EL)</f>
        <v>0</v>
      </c>
      <c r="ER7" s="35">
        <f>SUMIF('Resource Demand - Activity'!$FT:$FT,Example!$G7,'Resource Demand - Activity'!EM:EM)</f>
        <v>0</v>
      </c>
      <c r="ES7" s="35">
        <f>SUMIF('Resource Demand - Activity'!$FT:$FT,Example!$G7,'Resource Demand - Activity'!EN:EN)</f>
        <v>0</v>
      </c>
      <c r="ET7" s="35">
        <f>SUMIF('Resource Demand - Activity'!$FT:$FT,Example!$G7,'Resource Demand - Activity'!EO:EO)</f>
        <v>0</v>
      </c>
      <c r="EU7" s="35">
        <f>SUMIF('Resource Demand - Activity'!$FT:$FT,Example!$G7,'Resource Demand - Activity'!EP:EP)</f>
        <v>0</v>
      </c>
      <c r="EV7" s="35">
        <f>SUMIF('Resource Demand - Activity'!$FT:$FT,Example!$G7,'Resource Demand - Activity'!EQ:EQ)</f>
        <v>0</v>
      </c>
      <c r="EW7" s="35">
        <f>SUMIF('Resource Demand - Activity'!$FT:$FT,Example!$G7,'Resource Demand - Activity'!ER:ER)</f>
        <v>0</v>
      </c>
      <c r="EX7" s="35">
        <f>SUMIF('Resource Demand - Activity'!$FT:$FT,Example!$G7,'Resource Demand - Activity'!ES:ES)</f>
        <v>0</v>
      </c>
      <c r="EY7" s="35">
        <f>SUMIF('Resource Demand - Activity'!$FT:$FT,Example!$G7,'Resource Demand - Activity'!ET:ET)</f>
        <v>0</v>
      </c>
      <c r="EZ7" s="35">
        <f>SUMIF('Resource Demand - Activity'!$FT:$FT,Example!$G7,'Resource Demand - Activity'!EU:EU)</f>
        <v>0</v>
      </c>
      <c r="FA7" s="35">
        <f>SUMIF('Resource Demand - Activity'!$FT:$FT,Example!$G7,'Resource Demand - Activity'!EV:EV)</f>
        <v>0</v>
      </c>
      <c r="FB7" s="35">
        <f>SUMIF('Resource Demand - Activity'!$FT:$FT,Example!$G7,'Resource Demand - Activity'!EW:EW)</f>
        <v>0</v>
      </c>
      <c r="FC7" s="35">
        <f>SUMIF('Resource Demand - Activity'!$FT:$FT,Example!$G7,'Resource Demand - Activity'!EX:EX)</f>
        <v>0</v>
      </c>
      <c r="FD7" s="36"/>
      <c r="FE7" s="35">
        <f>SUMIF('Resource Demand - Activity'!$FT:$FT,Example!$G7,'Resource Demand - Activity'!EZ:EZ)</f>
        <v>0</v>
      </c>
      <c r="FF7" s="35">
        <f>SUMIF('Resource Demand - Activity'!$FT:$FT,Example!$G7,'Resource Demand - Activity'!FA:FA)</f>
        <v>0</v>
      </c>
      <c r="FG7" s="35">
        <f>SUMIF('Resource Demand - Activity'!$FT:$FT,Example!$G7,'Resource Demand - Activity'!FB:FB)</f>
        <v>0</v>
      </c>
      <c r="FH7" s="35">
        <f>SUMIF('Resource Demand - Activity'!$FT:$FT,Example!$G7,'Resource Demand - Activity'!FC:FC)</f>
        <v>0</v>
      </c>
      <c r="FI7" s="35">
        <f>SUMIF('Resource Demand - Activity'!$FT:$FT,Example!$G7,'Resource Demand - Activity'!FD:FD)</f>
        <v>0</v>
      </c>
      <c r="FJ7" s="35">
        <f>SUMIF('Resource Demand - Activity'!$FT:$FT,Example!$G7,'Resource Demand - Activity'!FE:FE)</f>
        <v>0</v>
      </c>
      <c r="FK7" s="35">
        <f>SUMIF('Resource Demand - Activity'!$FT:$FT,Example!$G7,'Resource Demand - Activity'!FF:FF)</f>
        <v>0</v>
      </c>
      <c r="FL7" s="35">
        <f>SUMIF('Resource Demand - Activity'!$FT:$FT,Example!$G7,'Resource Demand - Activity'!FG:FG)</f>
        <v>0</v>
      </c>
      <c r="FM7" s="35">
        <f>SUMIF('Resource Demand - Activity'!$FT:$FT,Example!$G7,'Resource Demand - Activity'!FH:FH)</f>
        <v>0</v>
      </c>
      <c r="FN7" s="35">
        <f>SUMIF('Resource Demand - Activity'!$FT:$FT,Example!$G7,'Resource Demand - Activity'!FI:FI)</f>
        <v>0</v>
      </c>
      <c r="FO7" s="35">
        <f>SUMIF('Resource Demand - Activity'!$FT:$FT,Example!$G7,'Resource Demand - Activity'!FJ:FJ)</f>
        <v>0</v>
      </c>
      <c r="FP7" s="35">
        <f>SUMIF('Resource Demand - Activity'!$FT:$FT,Example!$G7,'Resource Demand - Activity'!FK:FK)</f>
        <v>0</v>
      </c>
      <c r="FQ7" s="35">
        <f>SUMIF('Resource Demand - Activity'!$FT:$FT,Example!$G7,'Resource Demand - Activity'!FL:FL)</f>
        <v>0</v>
      </c>
      <c r="FR7" s="35">
        <f>SUMIF('Resource Demand - Activity'!$FT:$FT,Example!$G7,'Resource Demand - Activity'!FM:FM)</f>
        <v>0</v>
      </c>
      <c r="FS7" s="35">
        <f>SUMIF('Resource Demand - Activity'!$FT:$FT,Example!$G7,'Resource Demand - Activity'!FN:FN)</f>
        <v>0</v>
      </c>
      <c r="FT7" s="35">
        <f>SUMIF('Resource Demand - Activity'!$FT:$FT,Example!$G7,'Resource Demand - Activity'!FO:FO)</f>
        <v>0</v>
      </c>
      <c r="FU7" s="35">
        <f>SUMIF('Resource Demand - Activity'!$FT:$FT,Example!$G7,'Resource Demand - Activity'!FP:FP)</f>
        <v>0</v>
      </c>
      <c r="FV7" s="52">
        <f>SUMIF('Resource Demand - Activity'!$FT:$FT,Example!$G7,'Resource Demand - Activity'!FQ:FQ)</f>
        <v>0</v>
      </c>
    </row>
    <row r="8" spans="2:178" s="58" customFormat="1" ht="12" customHeight="1">
      <c r="B8" s="67" t="s">
        <v>18</v>
      </c>
      <c r="C8" s="69">
        <f>SUM(J79:FV89)</f>
        <v>122</v>
      </c>
      <c r="D8" s="66">
        <f>C8/157</f>
        <v>0.77707006369426757</v>
      </c>
      <c r="E8" s="174"/>
      <c r="G8" s="64" t="str">
        <f t="shared" si="3"/>
        <v>6. SFCR Development &amp; Dry Run 6.2 ReviewGlenn Kirk</v>
      </c>
      <c r="H8" s="102" t="s">
        <v>170</v>
      </c>
      <c r="I8" s="59" t="str">
        <f>INDEX('Resource Demand - Activity'!C:C,MATCH(Example!G8,'Resource Demand - Activity'!FT:FT,0))</f>
        <v>6 days</v>
      </c>
      <c r="J8" s="51">
        <f>SUMIF('Resource Demand - Activity'!$FT:$FT,Example!$G8,'Resource Demand - Activity'!E:E)</f>
        <v>0</v>
      </c>
      <c r="K8" s="35">
        <f>SUMIF('Resource Demand - Activity'!$FT:$FT,Example!$G8,'Resource Demand - Activity'!F:F)</f>
        <v>0</v>
      </c>
      <c r="L8" s="35">
        <f>SUMIF('Resource Demand - Activity'!$FT:$FT,Example!$G8,'Resource Demand - Activity'!G:G)</f>
        <v>0</v>
      </c>
      <c r="M8" s="35">
        <f>SUMIF('Resource Demand - Activity'!$FT:$FT,Example!$G8,'Resource Demand - Activity'!H:H)</f>
        <v>0</v>
      </c>
      <c r="N8" s="35">
        <f>SUMIF('Resource Demand - Activity'!$FT:$FT,Example!$G8,'Resource Demand - Activity'!I:I)</f>
        <v>0</v>
      </c>
      <c r="O8" s="35">
        <f>SUMIF('Resource Demand - Activity'!$FT:$FT,Example!$G8,'Resource Demand - Activity'!J:J)</f>
        <v>0</v>
      </c>
      <c r="P8" s="35">
        <f>SUMIF('Resource Demand - Activity'!$FT:$FT,Example!$G8,'Resource Demand - Activity'!K:K)</f>
        <v>0</v>
      </c>
      <c r="Q8" s="35">
        <f>SUMIF('Resource Demand - Activity'!$FT:$FT,Example!$G8,'Resource Demand - Activity'!L:L)</f>
        <v>0</v>
      </c>
      <c r="R8" s="35">
        <f>SUMIF('Resource Demand - Activity'!$FT:$FT,Example!$G8,'Resource Demand - Activity'!M:M)</f>
        <v>0</v>
      </c>
      <c r="S8" s="35">
        <f>SUMIF('Resource Demand - Activity'!$FT:$FT,Example!$G8,'Resource Demand - Activity'!N:N)</f>
        <v>0</v>
      </c>
      <c r="T8" s="35">
        <f>SUMIF('Resource Demand - Activity'!$FT:$FT,Example!$G8,'Resource Demand - Activity'!O:O)</f>
        <v>0</v>
      </c>
      <c r="U8" s="35">
        <f>SUMIF('Resource Demand - Activity'!$FT:$FT,Example!$G8,'Resource Demand - Activity'!P:P)</f>
        <v>0</v>
      </c>
      <c r="V8" s="35">
        <f>SUMIF('Resource Demand - Activity'!$FT:$FT,Example!$G8,'Resource Demand - Activity'!Q:Q)</f>
        <v>0</v>
      </c>
      <c r="W8" s="35">
        <f>SUMIF('Resource Demand - Activity'!$FT:$FT,Example!$G8,'Resource Demand - Activity'!R:R)</f>
        <v>0</v>
      </c>
      <c r="X8" s="35">
        <f>SUMIF('Resource Demand - Activity'!$FT:$FT,Example!$G8,'Resource Demand - Activity'!S:S)</f>
        <v>0</v>
      </c>
      <c r="Y8" s="35">
        <f>SUMIF('Resource Demand - Activity'!$FT:$FT,Example!$G8,'Resource Demand - Activity'!T:T)</f>
        <v>0</v>
      </c>
      <c r="Z8" s="35">
        <f>SUMIF('Resource Demand - Activity'!$FT:$FT,Example!$G8,'Resource Demand - Activity'!U:U)</f>
        <v>0</v>
      </c>
      <c r="AA8" s="35">
        <f>SUMIF('Resource Demand - Activity'!$FT:$FT,Example!$G8,'Resource Demand - Activity'!V:V)</f>
        <v>0</v>
      </c>
      <c r="AB8" s="35">
        <f>SUMIF('Resource Demand - Activity'!$FT:$FT,Example!$G8,'Resource Demand - Activity'!W:W)</f>
        <v>0</v>
      </c>
      <c r="AC8" s="35">
        <f>SUMIF('Resource Demand - Activity'!$FT:$FT,Example!$G8,'Resource Demand - Activity'!X:X)</f>
        <v>0</v>
      </c>
      <c r="AD8" s="35">
        <f>SUMIF('Resource Demand - Activity'!$FT:$FT,Example!$G8,'Resource Demand - Activity'!Y:Y)</f>
        <v>0</v>
      </c>
      <c r="AE8" s="35">
        <f>SUMIF('Resource Demand - Activity'!$FT:$FT,Example!$G8,'Resource Demand - Activity'!Z:Z)</f>
        <v>0</v>
      </c>
      <c r="AF8" s="35">
        <f>SUMIF('Resource Demand - Activity'!$FT:$FT,Example!$G8,'Resource Demand - Activity'!AA:AA)</f>
        <v>0</v>
      </c>
      <c r="AG8" s="35">
        <f>SUMIF('Resource Demand - Activity'!$FT:$FT,Example!$G8,'Resource Demand - Activity'!AB:AB)</f>
        <v>0</v>
      </c>
      <c r="AH8" s="35">
        <f>SUMIF('Resource Demand - Activity'!$FT:$FT,Example!$G8,'Resource Demand - Activity'!AC:AC)</f>
        <v>0</v>
      </c>
      <c r="AI8" s="35">
        <f>SUMIF('Resource Demand - Activity'!$FT:$FT,Example!$G8,'Resource Demand - Activity'!AD:AD)</f>
        <v>0</v>
      </c>
      <c r="AJ8" s="35">
        <f>SUMIF('Resource Demand - Activity'!$FT:$FT,Example!$G8,'Resource Demand - Activity'!AE:AE)</f>
        <v>0</v>
      </c>
      <c r="AK8" s="35">
        <f>SUMIF('Resource Demand - Activity'!$FT:$FT,Example!$G8,'Resource Demand - Activity'!AF:AF)</f>
        <v>0</v>
      </c>
      <c r="AL8" s="35">
        <f>SUMIF('Resource Demand - Activity'!$FT:$FT,Example!$G8,'Resource Demand - Activity'!AG:AG)</f>
        <v>0</v>
      </c>
      <c r="AM8" s="35">
        <f>SUMIF('Resource Demand - Activity'!$FT:$FT,Example!$G8,'Resource Demand - Activity'!AH:AH)</f>
        <v>0</v>
      </c>
      <c r="AN8" s="35">
        <f>SUMIF('Resource Demand - Activity'!$FT:$FT,Example!$G8,'Resource Demand - Activity'!AI:AI)</f>
        <v>0</v>
      </c>
      <c r="AO8" s="35">
        <f>SUMIF('Resource Demand - Activity'!$FT:$FT,Example!$G8,'Resource Demand - Activity'!AJ:AJ)</f>
        <v>0</v>
      </c>
      <c r="AP8" s="35">
        <f>SUMIF('Resource Demand - Activity'!$FT:$FT,Example!$G8,'Resource Demand - Activity'!AK:AK)</f>
        <v>0</v>
      </c>
      <c r="AQ8" s="36"/>
      <c r="AR8" s="36"/>
      <c r="AS8" s="36"/>
      <c r="AT8" s="36"/>
      <c r="AU8" s="36"/>
      <c r="AV8" s="36"/>
      <c r="AW8" s="36"/>
      <c r="AX8" s="35">
        <f>SUMIF('Resource Demand - Activity'!$FT:$FT,Example!$G8,'Resource Demand - Activity'!AS:AS)</f>
        <v>0</v>
      </c>
      <c r="AY8" s="35">
        <f>SUMIF('Resource Demand - Activity'!$FT:$FT,Example!$G8,'Resource Demand - Activity'!AT:AT)</f>
        <v>0</v>
      </c>
      <c r="AZ8" s="35">
        <f>SUMIF('Resource Demand - Activity'!$FT:$FT,Example!$G8,'Resource Demand - Activity'!AU:AU)</f>
        <v>0</v>
      </c>
      <c r="BA8" s="35">
        <f>SUMIF('Resource Demand - Activity'!$FT:$FT,Example!$G8,'Resource Demand - Activity'!AV:AV)</f>
        <v>0</v>
      </c>
      <c r="BB8" s="35">
        <f>SUMIF('Resource Demand - Activity'!$FT:$FT,Example!$G8,'Resource Demand - Activity'!AW:AW)</f>
        <v>0</v>
      </c>
      <c r="BC8" s="35">
        <f>SUMIF('Resource Demand - Activity'!$FT:$FT,Example!$G8,'Resource Demand - Activity'!AX:AX)</f>
        <v>0</v>
      </c>
      <c r="BD8" s="35">
        <f>SUMIF('Resource Demand - Activity'!$FT:$FT,Example!$G8,'Resource Demand - Activity'!AY:AY)</f>
        <v>0</v>
      </c>
      <c r="BE8" s="35">
        <f>SUMIF('Resource Demand - Activity'!$FT:$FT,Example!$G8,'Resource Demand - Activity'!AZ:AZ)</f>
        <v>0</v>
      </c>
      <c r="BF8" s="35">
        <f>SUMIF('Resource Demand - Activity'!$FT:$FT,Example!$G8,'Resource Demand - Activity'!BA:BA)</f>
        <v>0.5</v>
      </c>
      <c r="BG8" s="35">
        <f>SUMIF('Resource Demand - Activity'!$FT:$FT,Example!$G8,'Resource Demand - Activity'!BB:BB)</f>
        <v>0</v>
      </c>
      <c r="BH8" s="35">
        <f>SUMIF('Resource Demand - Activity'!$FT:$FT,Example!$G8,'Resource Demand - Activity'!BC:BC)</f>
        <v>0</v>
      </c>
      <c r="BI8" s="35">
        <f>SUMIF('Resource Demand - Activity'!$FT:$FT,Example!$G8,'Resource Demand - Activity'!BD:BD)</f>
        <v>0</v>
      </c>
      <c r="BJ8" s="35">
        <f>SUMIF('Resource Demand - Activity'!$FT:$FT,Example!$G8,'Resource Demand - Activity'!BE:BE)</f>
        <v>0</v>
      </c>
      <c r="BK8" s="35">
        <f>SUMIF('Resource Demand - Activity'!$FT:$FT,Example!$G8,'Resource Demand - Activity'!BF:BF)</f>
        <v>0.5</v>
      </c>
      <c r="BL8" s="35">
        <f>SUMIF('Resource Demand - Activity'!$FT:$FT,Example!$G8,'Resource Demand - Activity'!BG:BG)</f>
        <v>0</v>
      </c>
      <c r="BM8" s="35">
        <f>SUMIF('Resource Demand - Activity'!$FT:$FT,Example!$G8,'Resource Demand - Activity'!BH:BH)</f>
        <v>0</v>
      </c>
      <c r="BN8" s="35">
        <f>SUMIF('Resource Demand - Activity'!$FT:$FT,Example!$G8,'Resource Demand - Activity'!BI:BI)</f>
        <v>0</v>
      </c>
      <c r="BO8" s="35">
        <f>SUMIF('Resource Demand - Activity'!$FT:$FT,Example!$G8,'Resource Demand - Activity'!BJ:BJ)</f>
        <v>0</v>
      </c>
      <c r="BP8" s="35">
        <f>SUMIF('Resource Demand - Activity'!$FT:$FT,Example!$G8,'Resource Demand - Activity'!BK:BK)</f>
        <v>0.5</v>
      </c>
      <c r="BQ8" s="35">
        <f>SUMIF('Resource Demand - Activity'!$FT:$FT,Example!$G8,'Resource Demand - Activity'!BL:BL)</f>
        <v>0</v>
      </c>
      <c r="BR8" s="35">
        <f>SUMIF('Resource Demand - Activity'!$FT:$FT,Example!$G8,'Resource Demand - Activity'!BM:BM)</f>
        <v>0</v>
      </c>
      <c r="BS8" s="35">
        <f>SUMIF('Resource Demand - Activity'!$FT:$FT,Example!$G8,'Resource Demand - Activity'!BN:BN)</f>
        <v>0</v>
      </c>
      <c r="BT8" s="35">
        <f>SUMIF('Resource Demand - Activity'!$FT:$FT,Example!$G8,'Resource Demand - Activity'!BO:BO)</f>
        <v>0</v>
      </c>
      <c r="BU8" s="35">
        <f>SUMIF('Resource Demand - Activity'!$FT:$FT,Example!$G8,'Resource Demand - Activity'!BP:BP)</f>
        <v>0.5</v>
      </c>
      <c r="BV8" s="35">
        <f>SUMIF('Resource Demand - Activity'!$FT:$FT,Example!$G8,'Resource Demand - Activity'!BQ:BQ)</f>
        <v>0</v>
      </c>
      <c r="BW8" s="35">
        <f>SUMIF('Resource Demand - Activity'!$FT:$FT,Example!$G8,'Resource Demand - Activity'!BR:BR)</f>
        <v>0</v>
      </c>
      <c r="BX8" s="35">
        <f>SUMIF('Resource Demand - Activity'!$FT:$FT,Example!$G8,'Resource Demand - Activity'!BS:BS)</f>
        <v>0</v>
      </c>
      <c r="BY8" s="35">
        <f>SUMIF('Resource Demand - Activity'!$FT:$FT,Example!$G8,'Resource Demand - Activity'!BT:BT)</f>
        <v>0</v>
      </c>
      <c r="BZ8" s="35">
        <f>SUMIF('Resource Demand - Activity'!$FT:$FT,Example!$G8,'Resource Demand - Activity'!BU:BU)</f>
        <v>0.5</v>
      </c>
      <c r="CA8" s="35">
        <f>SUMIF('Resource Demand - Activity'!$FT:$FT,Example!$G8,'Resource Demand - Activity'!BV:BV)</f>
        <v>1</v>
      </c>
      <c r="CB8" s="35">
        <f>SUMIF('Resource Demand - Activity'!$FT:$FT,Example!$G8,'Resource Demand - Activity'!BW:BW)</f>
        <v>1</v>
      </c>
      <c r="CC8" s="35">
        <f>SUMIF('Resource Demand - Activity'!$FT:$FT,Example!$G8,'Resource Demand - Activity'!BX:BX)</f>
        <v>1</v>
      </c>
      <c r="CD8" s="35">
        <f>SUMIF('Resource Demand - Activity'!$FT:$FT,Example!$G8,'Resource Demand - Activity'!BY:BY)</f>
        <v>0</v>
      </c>
      <c r="CE8" s="35">
        <f>SUMIF('Resource Demand - Activity'!$FT:$FT,Example!$G8,'Resource Demand - Activity'!BZ:BZ)</f>
        <v>0</v>
      </c>
      <c r="CF8" s="35">
        <f>SUMIF('Resource Demand - Activity'!$FT:$FT,Example!$G8,'Resource Demand - Activity'!CA:CA)</f>
        <v>0</v>
      </c>
      <c r="CG8" s="35">
        <f>SUMIF('Resource Demand - Activity'!$FT:$FT,Example!$G8,'Resource Demand - Activity'!CB:CB)</f>
        <v>0</v>
      </c>
      <c r="CH8" s="35">
        <f>SUMIF('Resource Demand - Activity'!$FT:$FT,Example!$G8,'Resource Demand - Activity'!CC:CC)</f>
        <v>0</v>
      </c>
      <c r="CI8" s="35">
        <f>SUMIF('Resource Demand - Activity'!$FT:$FT,Example!$G8,'Resource Demand - Activity'!CD:CD)</f>
        <v>0</v>
      </c>
      <c r="CJ8" s="35">
        <f>SUMIF('Resource Demand - Activity'!$FT:$FT,Example!$G8,'Resource Demand - Activity'!CE:CE)</f>
        <v>0</v>
      </c>
      <c r="CK8" s="35">
        <f>SUMIF('Resource Demand - Activity'!$FT:$FT,Example!$G8,'Resource Demand - Activity'!CF:CF)</f>
        <v>0</v>
      </c>
      <c r="CL8" s="35">
        <f>SUMIF('Resource Demand - Activity'!$FT:$FT,Example!$G8,'Resource Demand - Activity'!CG:CG)</f>
        <v>0</v>
      </c>
      <c r="CM8" s="35">
        <f>SUMIF('Resource Demand - Activity'!$FT:$FT,Example!$G8,'Resource Demand - Activity'!CH:CH)</f>
        <v>0</v>
      </c>
      <c r="CN8" s="35">
        <f>SUMIF('Resource Demand - Activity'!$FT:$FT,Example!$G8,'Resource Demand - Activity'!CI:CI)</f>
        <v>0</v>
      </c>
      <c r="CO8" s="35">
        <f>SUMIF('Resource Demand - Activity'!$FT:$FT,Example!$G8,'Resource Demand - Activity'!CJ:CJ)</f>
        <v>0</v>
      </c>
      <c r="CP8" s="35">
        <f>SUMIF('Resource Demand - Activity'!$FT:$FT,Example!$G8,'Resource Demand - Activity'!CK:CK)</f>
        <v>0</v>
      </c>
      <c r="CQ8" s="35">
        <f>SUMIF('Resource Demand - Activity'!$FT:$FT,Example!$G8,'Resource Demand - Activity'!CL:CL)</f>
        <v>0</v>
      </c>
      <c r="CR8" s="35">
        <f>SUMIF('Resource Demand - Activity'!$FT:$FT,Example!$G8,'Resource Demand - Activity'!CM:CM)</f>
        <v>0</v>
      </c>
      <c r="CS8" s="35">
        <f>SUMIF('Resource Demand - Activity'!$FT:$FT,Example!$G8,'Resource Demand - Activity'!CN:CN)</f>
        <v>0</v>
      </c>
      <c r="CT8" s="35">
        <f>SUMIF('Resource Demand - Activity'!$FT:$FT,Example!$G8,'Resource Demand - Activity'!CO:CO)</f>
        <v>0</v>
      </c>
      <c r="CU8" s="35">
        <f>SUMIF('Resource Demand - Activity'!$FT:$FT,Example!$G8,'Resource Demand - Activity'!CP:CP)</f>
        <v>0</v>
      </c>
      <c r="CV8" s="35">
        <f>SUMIF('Resource Demand - Activity'!$FT:$FT,Example!$G8,'Resource Demand - Activity'!CQ:CQ)</f>
        <v>0</v>
      </c>
      <c r="CW8" s="35">
        <f>SUMIF('Resource Demand - Activity'!$FT:$FT,Example!$G8,'Resource Demand - Activity'!CR:CR)</f>
        <v>0</v>
      </c>
      <c r="CX8" s="35">
        <f>SUMIF('Resource Demand - Activity'!$FT:$FT,Example!$G8,'Resource Demand - Activity'!CS:CS)</f>
        <v>0</v>
      </c>
      <c r="CY8" s="36"/>
      <c r="CZ8" s="35">
        <f>SUMIF('Resource Demand - Activity'!$FT:$FT,Example!$G8,'Resource Demand - Activity'!CU:CU)</f>
        <v>0</v>
      </c>
      <c r="DA8" s="35">
        <f>SUMIF('Resource Demand - Activity'!$FT:$FT,Example!$G8,'Resource Demand - Activity'!CV:CV)</f>
        <v>0</v>
      </c>
      <c r="DB8" s="35">
        <f>SUMIF('Resource Demand - Activity'!$FT:$FT,Example!$G8,'Resource Demand - Activity'!CW:CW)</f>
        <v>0</v>
      </c>
      <c r="DC8" s="35">
        <f>SUMIF('Resource Demand - Activity'!$FT:$FT,Example!$G8,'Resource Demand - Activity'!CX:CX)</f>
        <v>0</v>
      </c>
      <c r="DD8" s="35">
        <f>SUMIF('Resource Demand - Activity'!$FT:$FT,Example!$G8,'Resource Demand - Activity'!CY:CY)</f>
        <v>0</v>
      </c>
      <c r="DE8" s="36"/>
      <c r="DF8" s="36"/>
      <c r="DG8" s="35">
        <f>SUMIF('Resource Demand - Activity'!$FT:$FT,Example!$G8,'Resource Demand - Activity'!DB:DB)</f>
        <v>0</v>
      </c>
      <c r="DH8" s="35">
        <f>SUMIF('Resource Demand - Activity'!$FT:$FT,Example!$G8,'Resource Demand - Activity'!DC:DC)</f>
        <v>0</v>
      </c>
      <c r="DI8" s="35">
        <f>SUMIF('Resource Demand - Activity'!$FT:$FT,Example!$G8,'Resource Demand - Activity'!DD:DD)</f>
        <v>0</v>
      </c>
      <c r="DJ8" s="35">
        <f>SUMIF('Resource Demand - Activity'!$FT:$FT,Example!$G8,'Resource Demand - Activity'!DE:DE)</f>
        <v>0</v>
      </c>
      <c r="DK8" s="35">
        <f>SUMIF('Resource Demand - Activity'!$FT:$FT,Example!$G8,'Resource Demand - Activity'!DF:DF)</f>
        <v>0</v>
      </c>
      <c r="DL8" s="35">
        <f>SUMIF('Resource Demand - Activity'!$FT:$FT,Example!$G8,'Resource Demand - Activity'!DG:DG)</f>
        <v>0</v>
      </c>
      <c r="DM8" s="35">
        <f>SUMIF('Resource Demand - Activity'!$FT:$FT,Example!$G8,'Resource Demand - Activity'!DH:DH)</f>
        <v>0</v>
      </c>
      <c r="DN8" s="35">
        <f>SUMIF('Resource Demand - Activity'!$FT:$FT,Example!$G8,'Resource Demand - Activity'!DI:DI)</f>
        <v>0</v>
      </c>
      <c r="DO8" s="35">
        <f>SUMIF('Resource Demand - Activity'!$FT:$FT,Example!$G8,'Resource Demand - Activity'!DJ:DJ)</f>
        <v>0</v>
      </c>
      <c r="DP8" s="35">
        <f>SUMIF('Resource Demand - Activity'!$FT:$FT,Example!$G8,'Resource Demand - Activity'!DK:DK)</f>
        <v>0</v>
      </c>
      <c r="DQ8" s="35">
        <f>SUMIF('Resource Demand - Activity'!$FT:$FT,Example!$G8,'Resource Demand - Activity'!DL:DL)</f>
        <v>0</v>
      </c>
      <c r="DR8" s="35">
        <f>SUMIF('Resource Demand - Activity'!$FT:$FT,Example!$G8,'Resource Demand - Activity'!DM:DM)</f>
        <v>0</v>
      </c>
      <c r="DS8" s="35">
        <f>SUMIF('Resource Demand - Activity'!$FT:$FT,Example!$G8,'Resource Demand - Activity'!DN:DN)</f>
        <v>0</v>
      </c>
      <c r="DT8" s="35">
        <f>SUMIF('Resource Demand - Activity'!$FT:$FT,Example!$G8,'Resource Demand - Activity'!DO:DO)</f>
        <v>0</v>
      </c>
      <c r="DU8" s="35">
        <f>SUMIF('Resource Demand - Activity'!$FT:$FT,Example!$G8,'Resource Demand - Activity'!DP:DP)</f>
        <v>0</v>
      </c>
      <c r="DV8" s="35">
        <f>SUMIF('Resource Demand - Activity'!$FT:$FT,Example!$G8,'Resource Demand - Activity'!DQ:DQ)</f>
        <v>0</v>
      </c>
      <c r="DW8" s="35">
        <f>SUMIF('Resource Demand - Activity'!$FT:$FT,Example!$G8,'Resource Demand - Activity'!DR:DR)</f>
        <v>0</v>
      </c>
      <c r="DX8" s="35">
        <f>SUMIF('Resource Demand - Activity'!$FT:$FT,Example!$G8,'Resource Demand - Activity'!DS:DS)</f>
        <v>0</v>
      </c>
      <c r="DY8" s="35">
        <f>SUMIF('Resource Demand - Activity'!$FT:$FT,Example!$G8,'Resource Demand - Activity'!DT:DT)</f>
        <v>0</v>
      </c>
      <c r="DZ8" s="35">
        <f>SUMIF('Resource Demand - Activity'!$FT:$FT,Example!$G8,'Resource Demand - Activity'!DU:DU)</f>
        <v>0</v>
      </c>
      <c r="EA8" s="35">
        <f>SUMIF('Resource Demand - Activity'!$FT:$FT,Example!$G8,'Resource Demand - Activity'!DV:DV)</f>
        <v>0</v>
      </c>
      <c r="EB8" s="35">
        <f>SUMIF('Resource Demand - Activity'!$FT:$FT,Example!$G8,'Resource Demand - Activity'!DW:DW)</f>
        <v>0</v>
      </c>
      <c r="EC8" s="35">
        <f>SUMIF('Resource Demand - Activity'!$FT:$FT,Example!$G8,'Resource Demand - Activity'!DX:DX)</f>
        <v>0</v>
      </c>
      <c r="ED8" s="35">
        <f>SUMIF('Resource Demand - Activity'!$FT:$FT,Example!$G8,'Resource Demand - Activity'!DY:DY)</f>
        <v>0</v>
      </c>
      <c r="EE8" s="36"/>
      <c r="EF8" s="35">
        <f>SUMIF('Resource Demand - Activity'!$FT:$FT,Example!$G8,'Resource Demand - Activity'!EA:EA)</f>
        <v>0</v>
      </c>
      <c r="EG8" s="35">
        <f>SUMIF('Resource Demand - Activity'!$FT:$FT,Example!$G8,'Resource Demand - Activity'!EB:EB)</f>
        <v>0</v>
      </c>
      <c r="EH8" s="35">
        <f>SUMIF('Resource Demand - Activity'!$FT:$FT,Example!$G8,'Resource Demand - Activity'!EC:EC)</f>
        <v>0</v>
      </c>
      <c r="EI8" s="35">
        <f>SUMIF('Resource Demand - Activity'!$FT:$FT,Example!$G8,'Resource Demand - Activity'!ED:ED)</f>
        <v>0</v>
      </c>
      <c r="EJ8" s="35">
        <f>SUMIF('Resource Demand - Activity'!$FT:$FT,Example!$G8,'Resource Demand - Activity'!EE:EE)</f>
        <v>0</v>
      </c>
      <c r="EK8" s="35">
        <f>SUMIF('Resource Demand - Activity'!$FT:$FT,Example!$G8,'Resource Demand - Activity'!EF:EF)</f>
        <v>0</v>
      </c>
      <c r="EL8" s="35">
        <f>SUMIF('Resource Demand - Activity'!$FT:$FT,Example!$G8,'Resource Demand - Activity'!EG:EG)</f>
        <v>0</v>
      </c>
      <c r="EM8" s="35">
        <f>SUMIF('Resource Demand - Activity'!$FT:$FT,Example!$G8,'Resource Demand - Activity'!EH:EH)</f>
        <v>0</v>
      </c>
      <c r="EN8" s="35">
        <f>SUMIF('Resource Demand - Activity'!$FT:$FT,Example!$G8,'Resource Demand - Activity'!EI:EI)</f>
        <v>0</v>
      </c>
      <c r="EO8" s="35">
        <f>SUMIF('Resource Demand - Activity'!$FT:$FT,Example!$G8,'Resource Demand - Activity'!EJ:EJ)</f>
        <v>0</v>
      </c>
      <c r="EP8" s="35">
        <f>SUMIF('Resource Demand - Activity'!$FT:$FT,Example!$G8,'Resource Demand - Activity'!EK:EK)</f>
        <v>0</v>
      </c>
      <c r="EQ8" s="35">
        <f>SUMIF('Resource Demand - Activity'!$FT:$FT,Example!$G8,'Resource Demand - Activity'!EL:EL)</f>
        <v>0</v>
      </c>
      <c r="ER8" s="35">
        <f>SUMIF('Resource Demand - Activity'!$FT:$FT,Example!$G8,'Resource Demand - Activity'!EM:EM)</f>
        <v>0</v>
      </c>
      <c r="ES8" s="35">
        <f>SUMIF('Resource Demand - Activity'!$FT:$FT,Example!$G8,'Resource Demand - Activity'!EN:EN)</f>
        <v>0</v>
      </c>
      <c r="ET8" s="35">
        <f>SUMIF('Resource Demand - Activity'!$FT:$FT,Example!$G8,'Resource Demand - Activity'!EO:EO)</f>
        <v>0</v>
      </c>
      <c r="EU8" s="35">
        <f>SUMIF('Resource Demand - Activity'!$FT:$FT,Example!$G8,'Resource Demand - Activity'!EP:EP)</f>
        <v>0</v>
      </c>
      <c r="EV8" s="35">
        <f>SUMIF('Resource Demand - Activity'!$FT:$FT,Example!$G8,'Resource Demand - Activity'!EQ:EQ)</f>
        <v>0</v>
      </c>
      <c r="EW8" s="35">
        <f>SUMIF('Resource Demand - Activity'!$FT:$FT,Example!$G8,'Resource Demand - Activity'!ER:ER)</f>
        <v>0</v>
      </c>
      <c r="EX8" s="35">
        <f>SUMIF('Resource Demand - Activity'!$FT:$FT,Example!$G8,'Resource Demand - Activity'!ES:ES)</f>
        <v>0</v>
      </c>
      <c r="EY8" s="35">
        <f>SUMIF('Resource Demand - Activity'!$FT:$FT,Example!$G8,'Resource Demand - Activity'!ET:ET)</f>
        <v>0</v>
      </c>
      <c r="EZ8" s="35">
        <f>SUMIF('Resource Demand - Activity'!$FT:$FT,Example!$G8,'Resource Demand - Activity'!EU:EU)</f>
        <v>0</v>
      </c>
      <c r="FA8" s="35">
        <f>SUMIF('Resource Demand - Activity'!$FT:$FT,Example!$G8,'Resource Demand - Activity'!EV:EV)</f>
        <v>0</v>
      </c>
      <c r="FB8" s="35">
        <f>SUMIF('Resource Demand - Activity'!$FT:$FT,Example!$G8,'Resource Demand - Activity'!EW:EW)</f>
        <v>0</v>
      </c>
      <c r="FC8" s="35">
        <f>SUMIF('Resource Demand - Activity'!$FT:$FT,Example!$G8,'Resource Demand - Activity'!EX:EX)</f>
        <v>0</v>
      </c>
      <c r="FD8" s="36"/>
      <c r="FE8" s="35">
        <f>SUMIF('Resource Demand - Activity'!$FT:$FT,Example!$G8,'Resource Demand - Activity'!EZ:EZ)</f>
        <v>0</v>
      </c>
      <c r="FF8" s="35">
        <f>SUMIF('Resource Demand - Activity'!$FT:$FT,Example!$G8,'Resource Demand - Activity'!FA:FA)</f>
        <v>0</v>
      </c>
      <c r="FG8" s="35">
        <f>SUMIF('Resource Demand - Activity'!$FT:$FT,Example!$G8,'Resource Demand - Activity'!FB:FB)</f>
        <v>0</v>
      </c>
      <c r="FH8" s="35">
        <f>SUMIF('Resource Demand - Activity'!$FT:$FT,Example!$G8,'Resource Demand - Activity'!FC:FC)</f>
        <v>0</v>
      </c>
      <c r="FI8" s="35">
        <f>SUMIF('Resource Demand - Activity'!$FT:$FT,Example!$G8,'Resource Demand - Activity'!FD:FD)</f>
        <v>0</v>
      </c>
      <c r="FJ8" s="35">
        <f>SUMIF('Resource Demand - Activity'!$FT:$FT,Example!$G8,'Resource Demand - Activity'!FE:FE)</f>
        <v>0</v>
      </c>
      <c r="FK8" s="35">
        <f>SUMIF('Resource Demand - Activity'!$FT:$FT,Example!$G8,'Resource Demand - Activity'!FF:FF)</f>
        <v>0</v>
      </c>
      <c r="FL8" s="35">
        <f>SUMIF('Resource Demand - Activity'!$FT:$FT,Example!$G8,'Resource Demand - Activity'!FG:FG)</f>
        <v>0</v>
      </c>
      <c r="FM8" s="35">
        <f>SUMIF('Resource Demand - Activity'!$FT:$FT,Example!$G8,'Resource Demand - Activity'!FH:FH)</f>
        <v>0</v>
      </c>
      <c r="FN8" s="35">
        <f>SUMIF('Resource Demand - Activity'!$FT:$FT,Example!$G8,'Resource Demand - Activity'!FI:FI)</f>
        <v>0</v>
      </c>
      <c r="FO8" s="35">
        <f>SUMIF('Resource Demand - Activity'!$FT:$FT,Example!$G8,'Resource Demand - Activity'!FJ:FJ)</f>
        <v>0</v>
      </c>
      <c r="FP8" s="35">
        <f>SUMIF('Resource Demand - Activity'!$FT:$FT,Example!$G8,'Resource Demand - Activity'!FK:FK)</f>
        <v>0</v>
      </c>
      <c r="FQ8" s="35">
        <f>SUMIF('Resource Demand - Activity'!$FT:$FT,Example!$G8,'Resource Demand - Activity'!FL:FL)</f>
        <v>0</v>
      </c>
      <c r="FR8" s="35">
        <f>SUMIF('Resource Demand - Activity'!$FT:$FT,Example!$G8,'Resource Demand - Activity'!FM:FM)</f>
        <v>0</v>
      </c>
      <c r="FS8" s="35">
        <f>SUMIF('Resource Demand - Activity'!$FT:$FT,Example!$G8,'Resource Demand - Activity'!FN:FN)</f>
        <v>0</v>
      </c>
      <c r="FT8" s="35">
        <f>SUMIF('Resource Demand - Activity'!$FT:$FT,Example!$G8,'Resource Demand - Activity'!FO:FO)</f>
        <v>0</v>
      </c>
      <c r="FU8" s="35">
        <f>SUMIF('Resource Demand - Activity'!$FT:$FT,Example!$G8,'Resource Demand - Activity'!FP:FP)</f>
        <v>0</v>
      </c>
      <c r="FV8" s="52">
        <f>SUMIF('Resource Demand - Activity'!$FT:$FT,Example!$G8,'Resource Demand - Activity'!FQ:FQ)</f>
        <v>0</v>
      </c>
    </row>
    <row r="9" spans="2:178" s="58" customFormat="1" ht="12" customHeight="1">
      <c r="G9" s="64" t="str">
        <f t="shared" si="3"/>
        <v>6. SFCR Development &amp; Dry Run 6.3 SupervisionGlenn Kirk</v>
      </c>
      <c r="H9" s="102" t="s">
        <v>171</v>
      </c>
      <c r="I9" s="59" t="str">
        <f>INDEX('Resource Demand - Activity'!C:C,MATCH(Example!G9,'Resource Demand - Activity'!FT:FT,0))</f>
        <v>2 days</v>
      </c>
      <c r="J9" s="51">
        <f>SUMIF('Resource Demand - Activity'!$FT:$FT,Example!$G9,'Resource Demand - Activity'!E:E)</f>
        <v>0</v>
      </c>
      <c r="K9" s="35">
        <f>SUMIF('Resource Demand - Activity'!$FT:$FT,Example!$G9,'Resource Demand - Activity'!F:F)</f>
        <v>0</v>
      </c>
      <c r="L9" s="35">
        <f>SUMIF('Resource Demand - Activity'!$FT:$FT,Example!$G9,'Resource Demand - Activity'!G:G)</f>
        <v>0</v>
      </c>
      <c r="M9" s="35">
        <f>SUMIF('Resource Demand - Activity'!$FT:$FT,Example!$G9,'Resource Demand - Activity'!H:H)</f>
        <v>0</v>
      </c>
      <c r="N9" s="35">
        <f>SUMIF('Resource Demand - Activity'!$FT:$FT,Example!$G9,'Resource Demand - Activity'!I:I)</f>
        <v>0</v>
      </c>
      <c r="O9" s="35">
        <f>SUMIF('Resource Demand - Activity'!$FT:$FT,Example!$G9,'Resource Demand - Activity'!J:J)</f>
        <v>0</v>
      </c>
      <c r="P9" s="35">
        <f>SUMIF('Resource Demand - Activity'!$FT:$FT,Example!$G9,'Resource Demand - Activity'!K:K)</f>
        <v>0</v>
      </c>
      <c r="Q9" s="35">
        <f>SUMIF('Resource Demand - Activity'!$FT:$FT,Example!$G9,'Resource Demand - Activity'!L:L)</f>
        <v>0</v>
      </c>
      <c r="R9" s="35">
        <f>SUMIF('Resource Demand - Activity'!$FT:$FT,Example!$G9,'Resource Demand - Activity'!M:M)</f>
        <v>0</v>
      </c>
      <c r="S9" s="35">
        <f>SUMIF('Resource Demand - Activity'!$FT:$FT,Example!$G9,'Resource Demand - Activity'!N:N)</f>
        <v>0</v>
      </c>
      <c r="T9" s="35">
        <f>SUMIF('Resource Demand - Activity'!$FT:$FT,Example!$G9,'Resource Demand - Activity'!O:O)</f>
        <v>0</v>
      </c>
      <c r="U9" s="35">
        <f>SUMIF('Resource Demand - Activity'!$FT:$FT,Example!$G9,'Resource Demand - Activity'!P:P)</f>
        <v>0</v>
      </c>
      <c r="V9" s="35">
        <f>SUMIF('Resource Demand - Activity'!$FT:$FT,Example!$G9,'Resource Demand - Activity'!Q:Q)</f>
        <v>0</v>
      </c>
      <c r="W9" s="35">
        <f>SUMIF('Resource Demand - Activity'!$FT:$FT,Example!$G9,'Resource Demand - Activity'!R:R)</f>
        <v>0</v>
      </c>
      <c r="X9" s="35">
        <f>SUMIF('Resource Demand - Activity'!$FT:$FT,Example!$G9,'Resource Demand - Activity'!S:S)</f>
        <v>0</v>
      </c>
      <c r="Y9" s="35">
        <f>SUMIF('Resource Demand - Activity'!$FT:$FT,Example!$G9,'Resource Demand - Activity'!T:T)</f>
        <v>0</v>
      </c>
      <c r="Z9" s="35">
        <f>SUMIF('Resource Demand - Activity'!$FT:$FT,Example!$G9,'Resource Demand - Activity'!U:U)</f>
        <v>0</v>
      </c>
      <c r="AA9" s="35">
        <f>SUMIF('Resource Demand - Activity'!$FT:$FT,Example!$G9,'Resource Demand - Activity'!V:V)</f>
        <v>0</v>
      </c>
      <c r="AB9" s="35">
        <f>SUMIF('Resource Demand - Activity'!$FT:$FT,Example!$G9,'Resource Demand - Activity'!W:W)</f>
        <v>0</v>
      </c>
      <c r="AC9" s="35">
        <f>SUMIF('Resource Demand - Activity'!$FT:$FT,Example!$G9,'Resource Demand - Activity'!X:X)</f>
        <v>0</v>
      </c>
      <c r="AD9" s="35">
        <f>SUMIF('Resource Demand - Activity'!$FT:$FT,Example!$G9,'Resource Demand - Activity'!Y:Y)</f>
        <v>0</v>
      </c>
      <c r="AE9" s="35">
        <f>SUMIF('Resource Demand - Activity'!$FT:$FT,Example!$G9,'Resource Demand - Activity'!Z:Z)</f>
        <v>0</v>
      </c>
      <c r="AF9" s="35">
        <f>SUMIF('Resource Demand - Activity'!$FT:$FT,Example!$G9,'Resource Demand - Activity'!AA:AA)</f>
        <v>0</v>
      </c>
      <c r="AG9" s="35">
        <f>SUMIF('Resource Demand - Activity'!$FT:$FT,Example!$G9,'Resource Demand - Activity'!AB:AB)</f>
        <v>0</v>
      </c>
      <c r="AH9" s="35">
        <f>SUMIF('Resource Demand - Activity'!$FT:$FT,Example!$G9,'Resource Demand - Activity'!AC:AC)</f>
        <v>0</v>
      </c>
      <c r="AI9" s="35">
        <f>SUMIF('Resource Demand - Activity'!$FT:$FT,Example!$G9,'Resource Demand - Activity'!AD:AD)</f>
        <v>0</v>
      </c>
      <c r="AJ9" s="35">
        <f>SUMIF('Resource Demand - Activity'!$FT:$FT,Example!$G9,'Resource Demand - Activity'!AE:AE)</f>
        <v>0</v>
      </c>
      <c r="AK9" s="35">
        <f>SUMIF('Resource Demand - Activity'!$FT:$FT,Example!$G9,'Resource Demand - Activity'!AF:AF)</f>
        <v>0</v>
      </c>
      <c r="AL9" s="35">
        <f>SUMIF('Resource Demand - Activity'!$FT:$FT,Example!$G9,'Resource Demand - Activity'!AG:AG)</f>
        <v>0</v>
      </c>
      <c r="AM9" s="35">
        <f>SUMIF('Resource Demand - Activity'!$FT:$FT,Example!$G9,'Resource Demand - Activity'!AH:AH)</f>
        <v>0</v>
      </c>
      <c r="AN9" s="35">
        <f>SUMIF('Resource Demand - Activity'!$FT:$FT,Example!$G9,'Resource Demand - Activity'!AI:AI)</f>
        <v>0</v>
      </c>
      <c r="AO9" s="35">
        <f>SUMIF('Resource Demand - Activity'!$FT:$FT,Example!$G9,'Resource Demand - Activity'!AJ:AJ)</f>
        <v>0</v>
      </c>
      <c r="AP9" s="35">
        <f>SUMIF('Resource Demand - Activity'!$FT:$FT,Example!$G9,'Resource Demand - Activity'!AK:AK)</f>
        <v>0</v>
      </c>
      <c r="AQ9" s="36"/>
      <c r="AR9" s="36"/>
      <c r="AS9" s="36"/>
      <c r="AT9" s="36"/>
      <c r="AU9" s="36"/>
      <c r="AV9" s="36"/>
      <c r="AW9" s="36"/>
      <c r="AX9" s="35">
        <f>SUMIF('Resource Demand - Activity'!$FT:$FT,Example!$G9,'Resource Demand - Activity'!AS:AS)</f>
        <v>0</v>
      </c>
      <c r="AY9" s="35">
        <f>SUMIF('Resource Demand - Activity'!$FT:$FT,Example!$G9,'Resource Demand - Activity'!AT:AT)</f>
        <v>0</v>
      </c>
      <c r="AZ9" s="35">
        <f>SUMIF('Resource Demand - Activity'!$FT:$FT,Example!$G9,'Resource Demand - Activity'!AU:AU)</f>
        <v>0</v>
      </c>
      <c r="BA9" s="35">
        <f>SUMIF('Resource Demand - Activity'!$FT:$FT,Example!$G9,'Resource Demand - Activity'!AV:AV)</f>
        <v>0</v>
      </c>
      <c r="BB9" s="35">
        <f>SUMIF('Resource Demand - Activity'!$FT:$FT,Example!$G9,'Resource Demand - Activity'!AW:AW)</f>
        <v>0</v>
      </c>
      <c r="BC9" s="35">
        <f>SUMIF('Resource Demand - Activity'!$FT:$FT,Example!$G9,'Resource Demand - Activity'!AX:AX)</f>
        <v>0</v>
      </c>
      <c r="BD9" s="35">
        <f>SUMIF('Resource Demand - Activity'!$FT:$FT,Example!$G9,'Resource Demand - Activity'!AY:AY)</f>
        <v>0</v>
      </c>
      <c r="BE9" s="35">
        <f>SUMIF('Resource Demand - Activity'!$FT:$FT,Example!$G9,'Resource Demand - Activity'!AZ:AZ)</f>
        <v>0</v>
      </c>
      <c r="BF9" s="35">
        <f>SUMIF('Resource Demand - Activity'!$FT:$FT,Example!$G9,'Resource Demand - Activity'!BA:BA)</f>
        <v>0</v>
      </c>
      <c r="BG9" s="35">
        <f>SUMIF('Resource Demand - Activity'!$FT:$FT,Example!$G9,'Resource Demand - Activity'!BB:BB)</f>
        <v>0.5</v>
      </c>
      <c r="BH9" s="35">
        <f>SUMIF('Resource Demand - Activity'!$FT:$FT,Example!$G9,'Resource Demand - Activity'!BC:BC)</f>
        <v>0</v>
      </c>
      <c r="BI9" s="35">
        <f>SUMIF('Resource Demand - Activity'!$FT:$FT,Example!$G9,'Resource Demand - Activity'!BD:BD)</f>
        <v>0</v>
      </c>
      <c r="BJ9" s="35">
        <f>SUMIF('Resource Demand - Activity'!$FT:$FT,Example!$G9,'Resource Demand - Activity'!BE:BE)</f>
        <v>0</v>
      </c>
      <c r="BK9" s="35">
        <f>SUMIF('Resource Demand - Activity'!$FT:$FT,Example!$G9,'Resource Demand - Activity'!BF:BF)</f>
        <v>0</v>
      </c>
      <c r="BL9" s="35">
        <f>SUMIF('Resource Demand - Activity'!$FT:$FT,Example!$G9,'Resource Demand - Activity'!BG:BG)</f>
        <v>0.5</v>
      </c>
      <c r="BM9" s="35">
        <f>SUMIF('Resource Demand - Activity'!$FT:$FT,Example!$G9,'Resource Demand - Activity'!BH:BH)</f>
        <v>0</v>
      </c>
      <c r="BN9" s="35">
        <f>SUMIF('Resource Demand - Activity'!$FT:$FT,Example!$G9,'Resource Demand - Activity'!BI:BI)</f>
        <v>0</v>
      </c>
      <c r="BO9" s="35">
        <f>SUMIF('Resource Demand - Activity'!$FT:$FT,Example!$G9,'Resource Demand - Activity'!BJ:BJ)</f>
        <v>0</v>
      </c>
      <c r="BP9" s="35">
        <f>SUMIF('Resource Demand - Activity'!$FT:$FT,Example!$G9,'Resource Demand - Activity'!BK:BK)</f>
        <v>0</v>
      </c>
      <c r="BQ9" s="35">
        <f>SUMIF('Resource Demand - Activity'!$FT:$FT,Example!$G9,'Resource Demand - Activity'!BL:BL)</f>
        <v>0.5</v>
      </c>
      <c r="BR9" s="35">
        <f>SUMIF('Resource Demand - Activity'!$FT:$FT,Example!$G9,'Resource Demand - Activity'!BM:BM)</f>
        <v>0</v>
      </c>
      <c r="BS9" s="35">
        <f>SUMIF('Resource Demand - Activity'!$FT:$FT,Example!$G9,'Resource Demand - Activity'!BN:BN)</f>
        <v>0</v>
      </c>
      <c r="BT9" s="35">
        <f>SUMIF('Resource Demand - Activity'!$FT:$FT,Example!$G9,'Resource Demand - Activity'!BO:BO)</f>
        <v>0</v>
      </c>
      <c r="BU9" s="35">
        <f>SUMIF('Resource Demand - Activity'!$FT:$FT,Example!$G9,'Resource Demand - Activity'!BP:BP)</f>
        <v>0</v>
      </c>
      <c r="BV9" s="35">
        <f>SUMIF('Resource Demand - Activity'!$FT:$FT,Example!$G9,'Resource Demand - Activity'!BQ:BQ)</f>
        <v>0.5</v>
      </c>
      <c r="BW9" s="35">
        <f>SUMIF('Resource Demand - Activity'!$FT:$FT,Example!$G9,'Resource Demand - Activity'!BR:BR)</f>
        <v>0</v>
      </c>
      <c r="BX9" s="35">
        <f>SUMIF('Resource Demand - Activity'!$FT:$FT,Example!$G9,'Resource Demand - Activity'!BS:BS)</f>
        <v>0</v>
      </c>
      <c r="BY9" s="35">
        <f>SUMIF('Resource Demand - Activity'!$FT:$FT,Example!$G9,'Resource Demand - Activity'!BT:BT)</f>
        <v>0</v>
      </c>
      <c r="BZ9" s="35">
        <f>SUMIF('Resource Demand - Activity'!$FT:$FT,Example!$G9,'Resource Demand - Activity'!BU:BU)</f>
        <v>0</v>
      </c>
      <c r="CA9" s="35">
        <f>SUMIF('Resource Demand - Activity'!$FT:$FT,Example!$G9,'Resource Demand - Activity'!BV:BV)</f>
        <v>0</v>
      </c>
      <c r="CB9" s="35">
        <f>SUMIF('Resource Demand - Activity'!$FT:$FT,Example!$G9,'Resource Demand - Activity'!BW:BW)</f>
        <v>0</v>
      </c>
      <c r="CC9" s="35">
        <f>SUMIF('Resource Demand - Activity'!$FT:$FT,Example!$G9,'Resource Demand - Activity'!BX:BX)</f>
        <v>0</v>
      </c>
      <c r="CD9" s="35">
        <f>SUMIF('Resource Demand - Activity'!$FT:$FT,Example!$G9,'Resource Demand - Activity'!BY:BY)</f>
        <v>0</v>
      </c>
      <c r="CE9" s="35">
        <f>SUMIF('Resource Demand - Activity'!$FT:$FT,Example!$G9,'Resource Demand - Activity'!BZ:BZ)</f>
        <v>0</v>
      </c>
      <c r="CF9" s="35">
        <f>SUMIF('Resource Demand - Activity'!$FT:$FT,Example!$G9,'Resource Demand - Activity'!CA:CA)</f>
        <v>0</v>
      </c>
      <c r="CG9" s="35">
        <f>SUMIF('Resource Demand - Activity'!$FT:$FT,Example!$G9,'Resource Demand - Activity'!CB:CB)</f>
        <v>0</v>
      </c>
      <c r="CH9" s="35">
        <f>SUMIF('Resource Demand - Activity'!$FT:$FT,Example!$G9,'Resource Demand - Activity'!CC:CC)</f>
        <v>0</v>
      </c>
      <c r="CI9" s="35">
        <f>SUMIF('Resource Demand - Activity'!$FT:$FT,Example!$G9,'Resource Demand - Activity'!CD:CD)</f>
        <v>0</v>
      </c>
      <c r="CJ9" s="35">
        <f>SUMIF('Resource Demand - Activity'!$FT:$FT,Example!$G9,'Resource Demand - Activity'!CE:CE)</f>
        <v>0</v>
      </c>
      <c r="CK9" s="35">
        <f>SUMIF('Resource Demand - Activity'!$FT:$FT,Example!$G9,'Resource Demand - Activity'!CF:CF)</f>
        <v>0</v>
      </c>
      <c r="CL9" s="35">
        <f>SUMIF('Resource Demand - Activity'!$FT:$FT,Example!$G9,'Resource Demand - Activity'!CG:CG)</f>
        <v>0</v>
      </c>
      <c r="CM9" s="35">
        <f>SUMIF('Resource Demand - Activity'!$FT:$FT,Example!$G9,'Resource Demand - Activity'!CH:CH)</f>
        <v>0</v>
      </c>
      <c r="CN9" s="35">
        <f>SUMIF('Resource Demand - Activity'!$FT:$FT,Example!$G9,'Resource Demand - Activity'!CI:CI)</f>
        <v>0</v>
      </c>
      <c r="CO9" s="35">
        <f>SUMIF('Resource Demand - Activity'!$FT:$FT,Example!$G9,'Resource Demand - Activity'!CJ:CJ)</f>
        <v>0</v>
      </c>
      <c r="CP9" s="35">
        <f>SUMIF('Resource Demand - Activity'!$FT:$FT,Example!$G9,'Resource Demand - Activity'!CK:CK)</f>
        <v>0</v>
      </c>
      <c r="CQ9" s="35">
        <f>SUMIF('Resource Demand - Activity'!$FT:$FT,Example!$G9,'Resource Demand - Activity'!CL:CL)</f>
        <v>0</v>
      </c>
      <c r="CR9" s="35">
        <f>SUMIF('Resource Demand - Activity'!$FT:$FT,Example!$G9,'Resource Demand - Activity'!CM:CM)</f>
        <v>0</v>
      </c>
      <c r="CS9" s="35">
        <f>SUMIF('Resource Demand - Activity'!$FT:$FT,Example!$G9,'Resource Demand - Activity'!CN:CN)</f>
        <v>0</v>
      </c>
      <c r="CT9" s="35">
        <f>SUMIF('Resource Demand - Activity'!$FT:$FT,Example!$G9,'Resource Demand - Activity'!CO:CO)</f>
        <v>0</v>
      </c>
      <c r="CU9" s="35">
        <f>SUMIF('Resource Demand - Activity'!$FT:$FT,Example!$G9,'Resource Demand - Activity'!CP:CP)</f>
        <v>0</v>
      </c>
      <c r="CV9" s="35">
        <f>SUMIF('Resource Demand - Activity'!$FT:$FT,Example!$G9,'Resource Demand - Activity'!CQ:CQ)</f>
        <v>0</v>
      </c>
      <c r="CW9" s="35">
        <f>SUMIF('Resource Demand - Activity'!$FT:$FT,Example!$G9,'Resource Demand - Activity'!CR:CR)</f>
        <v>0</v>
      </c>
      <c r="CX9" s="35">
        <f>SUMIF('Resource Demand - Activity'!$FT:$FT,Example!$G9,'Resource Demand - Activity'!CS:CS)</f>
        <v>0</v>
      </c>
      <c r="CY9" s="36"/>
      <c r="CZ9" s="35">
        <f>SUMIF('Resource Demand - Activity'!$FT:$FT,Example!$G9,'Resource Demand - Activity'!CU:CU)</f>
        <v>0</v>
      </c>
      <c r="DA9" s="35">
        <f>SUMIF('Resource Demand - Activity'!$FT:$FT,Example!$G9,'Resource Demand - Activity'!CV:CV)</f>
        <v>0</v>
      </c>
      <c r="DB9" s="35">
        <f>SUMIF('Resource Demand - Activity'!$FT:$FT,Example!$G9,'Resource Demand - Activity'!CW:CW)</f>
        <v>0</v>
      </c>
      <c r="DC9" s="35">
        <f>SUMIF('Resource Demand - Activity'!$FT:$FT,Example!$G9,'Resource Demand - Activity'!CX:CX)</f>
        <v>0</v>
      </c>
      <c r="DD9" s="35">
        <f>SUMIF('Resource Demand - Activity'!$FT:$FT,Example!$G9,'Resource Demand - Activity'!CY:CY)</f>
        <v>0</v>
      </c>
      <c r="DE9" s="36"/>
      <c r="DF9" s="36"/>
      <c r="DG9" s="35">
        <f>SUMIF('Resource Demand - Activity'!$FT:$FT,Example!$G9,'Resource Demand - Activity'!DB:DB)</f>
        <v>0</v>
      </c>
      <c r="DH9" s="35">
        <f>SUMIF('Resource Demand - Activity'!$FT:$FT,Example!$G9,'Resource Demand - Activity'!DC:DC)</f>
        <v>0</v>
      </c>
      <c r="DI9" s="35">
        <f>SUMIF('Resource Demand - Activity'!$FT:$FT,Example!$G9,'Resource Demand - Activity'!DD:DD)</f>
        <v>0</v>
      </c>
      <c r="DJ9" s="35">
        <f>SUMIF('Resource Demand - Activity'!$FT:$FT,Example!$G9,'Resource Demand - Activity'!DE:DE)</f>
        <v>0</v>
      </c>
      <c r="DK9" s="35">
        <f>SUMIF('Resource Demand - Activity'!$FT:$FT,Example!$G9,'Resource Demand - Activity'!DF:DF)</f>
        <v>0</v>
      </c>
      <c r="DL9" s="35">
        <f>SUMIF('Resource Demand - Activity'!$FT:$FT,Example!$G9,'Resource Demand - Activity'!DG:DG)</f>
        <v>0</v>
      </c>
      <c r="DM9" s="35">
        <f>SUMIF('Resource Demand - Activity'!$FT:$FT,Example!$G9,'Resource Demand - Activity'!DH:DH)</f>
        <v>0</v>
      </c>
      <c r="DN9" s="35">
        <f>SUMIF('Resource Demand - Activity'!$FT:$FT,Example!$G9,'Resource Demand - Activity'!DI:DI)</f>
        <v>0</v>
      </c>
      <c r="DO9" s="35">
        <f>SUMIF('Resource Demand - Activity'!$FT:$FT,Example!$G9,'Resource Demand - Activity'!DJ:DJ)</f>
        <v>0</v>
      </c>
      <c r="DP9" s="35">
        <f>SUMIF('Resource Demand - Activity'!$FT:$FT,Example!$G9,'Resource Demand - Activity'!DK:DK)</f>
        <v>0</v>
      </c>
      <c r="DQ9" s="35">
        <f>SUMIF('Resource Demand - Activity'!$FT:$FT,Example!$G9,'Resource Demand - Activity'!DL:DL)</f>
        <v>0</v>
      </c>
      <c r="DR9" s="35">
        <f>SUMIF('Resource Demand - Activity'!$FT:$FT,Example!$G9,'Resource Demand - Activity'!DM:DM)</f>
        <v>0</v>
      </c>
      <c r="DS9" s="35">
        <f>SUMIF('Resource Demand - Activity'!$FT:$FT,Example!$G9,'Resource Demand - Activity'!DN:DN)</f>
        <v>0</v>
      </c>
      <c r="DT9" s="35">
        <f>SUMIF('Resource Demand - Activity'!$FT:$FT,Example!$G9,'Resource Demand - Activity'!DO:DO)</f>
        <v>0</v>
      </c>
      <c r="DU9" s="35">
        <f>SUMIF('Resource Demand - Activity'!$FT:$FT,Example!$G9,'Resource Demand - Activity'!DP:DP)</f>
        <v>0</v>
      </c>
      <c r="DV9" s="35">
        <f>SUMIF('Resource Demand - Activity'!$FT:$FT,Example!$G9,'Resource Demand - Activity'!DQ:DQ)</f>
        <v>0</v>
      </c>
      <c r="DW9" s="35">
        <f>SUMIF('Resource Demand - Activity'!$FT:$FT,Example!$G9,'Resource Demand - Activity'!DR:DR)</f>
        <v>0</v>
      </c>
      <c r="DX9" s="35">
        <f>SUMIF('Resource Demand - Activity'!$FT:$FT,Example!$G9,'Resource Demand - Activity'!DS:DS)</f>
        <v>0</v>
      </c>
      <c r="DY9" s="35">
        <f>SUMIF('Resource Demand - Activity'!$FT:$FT,Example!$G9,'Resource Demand - Activity'!DT:DT)</f>
        <v>0</v>
      </c>
      <c r="DZ9" s="35">
        <f>SUMIF('Resource Demand - Activity'!$FT:$FT,Example!$G9,'Resource Demand - Activity'!DU:DU)</f>
        <v>0</v>
      </c>
      <c r="EA9" s="35">
        <f>SUMIF('Resource Demand - Activity'!$FT:$FT,Example!$G9,'Resource Demand - Activity'!DV:DV)</f>
        <v>0</v>
      </c>
      <c r="EB9" s="35">
        <f>SUMIF('Resource Demand - Activity'!$FT:$FT,Example!$G9,'Resource Demand - Activity'!DW:DW)</f>
        <v>0</v>
      </c>
      <c r="EC9" s="35">
        <f>SUMIF('Resource Demand - Activity'!$FT:$FT,Example!$G9,'Resource Demand - Activity'!DX:DX)</f>
        <v>0</v>
      </c>
      <c r="ED9" s="35">
        <f>SUMIF('Resource Demand - Activity'!$FT:$FT,Example!$G9,'Resource Demand - Activity'!DY:DY)</f>
        <v>0</v>
      </c>
      <c r="EE9" s="36"/>
      <c r="EF9" s="35">
        <f>SUMIF('Resource Demand - Activity'!$FT:$FT,Example!$G9,'Resource Demand - Activity'!EA:EA)</f>
        <v>0</v>
      </c>
      <c r="EG9" s="35">
        <f>SUMIF('Resource Demand - Activity'!$FT:$FT,Example!$G9,'Resource Demand - Activity'!EB:EB)</f>
        <v>0</v>
      </c>
      <c r="EH9" s="35">
        <f>SUMIF('Resource Demand - Activity'!$FT:$FT,Example!$G9,'Resource Demand - Activity'!EC:EC)</f>
        <v>0</v>
      </c>
      <c r="EI9" s="35">
        <f>SUMIF('Resource Demand - Activity'!$FT:$FT,Example!$G9,'Resource Demand - Activity'!ED:ED)</f>
        <v>0</v>
      </c>
      <c r="EJ9" s="35">
        <f>SUMIF('Resource Demand - Activity'!$FT:$FT,Example!$G9,'Resource Demand - Activity'!EE:EE)</f>
        <v>0</v>
      </c>
      <c r="EK9" s="35">
        <f>SUMIF('Resource Demand - Activity'!$FT:$FT,Example!$G9,'Resource Demand - Activity'!EF:EF)</f>
        <v>0</v>
      </c>
      <c r="EL9" s="35">
        <f>SUMIF('Resource Demand - Activity'!$FT:$FT,Example!$G9,'Resource Demand - Activity'!EG:EG)</f>
        <v>0</v>
      </c>
      <c r="EM9" s="35">
        <f>SUMIF('Resource Demand - Activity'!$FT:$FT,Example!$G9,'Resource Demand - Activity'!EH:EH)</f>
        <v>0</v>
      </c>
      <c r="EN9" s="35">
        <f>SUMIF('Resource Demand - Activity'!$FT:$FT,Example!$G9,'Resource Demand - Activity'!EI:EI)</f>
        <v>0</v>
      </c>
      <c r="EO9" s="35">
        <f>SUMIF('Resource Demand - Activity'!$FT:$FT,Example!$G9,'Resource Demand - Activity'!EJ:EJ)</f>
        <v>0</v>
      </c>
      <c r="EP9" s="35">
        <f>SUMIF('Resource Demand - Activity'!$FT:$FT,Example!$G9,'Resource Demand - Activity'!EK:EK)</f>
        <v>0</v>
      </c>
      <c r="EQ9" s="35">
        <f>SUMIF('Resource Demand - Activity'!$FT:$FT,Example!$G9,'Resource Demand - Activity'!EL:EL)</f>
        <v>0</v>
      </c>
      <c r="ER9" s="35">
        <f>SUMIF('Resource Demand - Activity'!$FT:$FT,Example!$G9,'Resource Demand - Activity'!EM:EM)</f>
        <v>0</v>
      </c>
      <c r="ES9" s="35">
        <f>SUMIF('Resource Demand - Activity'!$FT:$FT,Example!$G9,'Resource Demand - Activity'!EN:EN)</f>
        <v>0</v>
      </c>
      <c r="ET9" s="35">
        <f>SUMIF('Resource Demand - Activity'!$FT:$FT,Example!$G9,'Resource Demand - Activity'!EO:EO)</f>
        <v>0</v>
      </c>
      <c r="EU9" s="35">
        <f>SUMIF('Resource Demand - Activity'!$FT:$FT,Example!$G9,'Resource Demand - Activity'!EP:EP)</f>
        <v>0</v>
      </c>
      <c r="EV9" s="35">
        <f>SUMIF('Resource Demand - Activity'!$FT:$FT,Example!$G9,'Resource Demand - Activity'!EQ:EQ)</f>
        <v>0</v>
      </c>
      <c r="EW9" s="35">
        <f>SUMIF('Resource Demand - Activity'!$FT:$FT,Example!$G9,'Resource Demand - Activity'!ER:ER)</f>
        <v>0</v>
      </c>
      <c r="EX9" s="35">
        <f>SUMIF('Resource Demand - Activity'!$FT:$FT,Example!$G9,'Resource Demand - Activity'!ES:ES)</f>
        <v>0</v>
      </c>
      <c r="EY9" s="35">
        <f>SUMIF('Resource Demand - Activity'!$FT:$FT,Example!$G9,'Resource Demand - Activity'!ET:ET)</f>
        <v>0</v>
      </c>
      <c r="EZ9" s="35">
        <f>SUMIF('Resource Demand - Activity'!$FT:$FT,Example!$G9,'Resource Demand - Activity'!EU:EU)</f>
        <v>0</v>
      </c>
      <c r="FA9" s="35">
        <f>SUMIF('Resource Demand - Activity'!$FT:$FT,Example!$G9,'Resource Demand - Activity'!EV:EV)</f>
        <v>0</v>
      </c>
      <c r="FB9" s="35">
        <f>SUMIF('Resource Demand - Activity'!$FT:$FT,Example!$G9,'Resource Demand - Activity'!EW:EW)</f>
        <v>0</v>
      </c>
      <c r="FC9" s="35">
        <f>SUMIF('Resource Demand - Activity'!$FT:$FT,Example!$G9,'Resource Demand - Activity'!EX:EX)</f>
        <v>0</v>
      </c>
      <c r="FD9" s="36"/>
      <c r="FE9" s="35">
        <f>SUMIF('Resource Demand - Activity'!$FT:$FT,Example!$G9,'Resource Demand - Activity'!EZ:EZ)</f>
        <v>0</v>
      </c>
      <c r="FF9" s="35">
        <f>SUMIF('Resource Demand - Activity'!$FT:$FT,Example!$G9,'Resource Demand - Activity'!FA:FA)</f>
        <v>0</v>
      </c>
      <c r="FG9" s="35">
        <f>SUMIF('Resource Demand - Activity'!$FT:$FT,Example!$G9,'Resource Demand - Activity'!FB:FB)</f>
        <v>0</v>
      </c>
      <c r="FH9" s="35">
        <f>SUMIF('Resource Demand - Activity'!$FT:$FT,Example!$G9,'Resource Demand - Activity'!FC:FC)</f>
        <v>0</v>
      </c>
      <c r="FI9" s="35">
        <f>SUMIF('Resource Demand - Activity'!$FT:$FT,Example!$G9,'Resource Demand - Activity'!FD:FD)</f>
        <v>0</v>
      </c>
      <c r="FJ9" s="35">
        <f>SUMIF('Resource Demand - Activity'!$FT:$FT,Example!$G9,'Resource Demand - Activity'!FE:FE)</f>
        <v>0</v>
      </c>
      <c r="FK9" s="35">
        <f>SUMIF('Resource Demand - Activity'!$FT:$FT,Example!$G9,'Resource Demand - Activity'!FF:FF)</f>
        <v>0</v>
      </c>
      <c r="FL9" s="35">
        <f>SUMIF('Resource Demand - Activity'!$FT:$FT,Example!$G9,'Resource Demand - Activity'!FG:FG)</f>
        <v>0</v>
      </c>
      <c r="FM9" s="35">
        <f>SUMIF('Resource Demand - Activity'!$FT:$FT,Example!$G9,'Resource Demand - Activity'!FH:FH)</f>
        <v>0</v>
      </c>
      <c r="FN9" s="35">
        <f>SUMIF('Resource Demand - Activity'!$FT:$FT,Example!$G9,'Resource Demand - Activity'!FI:FI)</f>
        <v>0</v>
      </c>
      <c r="FO9" s="35">
        <f>SUMIF('Resource Demand - Activity'!$FT:$FT,Example!$G9,'Resource Demand - Activity'!FJ:FJ)</f>
        <v>0</v>
      </c>
      <c r="FP9" s="35">
        <f>SUMIF('Resource Demand - Activity'!$FT:$FT,Example!$G9,'Resource Demand - Activity'!FK:FK)</f>
        <v>0</v>
      </c>
      <c r="FQ9" s="35">
        <f>SUMIF('Resource Demand - Activity'!$FT:$FT,Example!$G9,'Resource Demand - Activity'!FL:FL)</f>
        <v>0</v>
      </c>
      <c r="FR9" s="35">
        <f>SUMIF('Resource Demand - Activity'!$FT:$FT,Example!$G9,'Resource Demand - Activity'!FM:FM)</f>
        <v>0</v>
      </c>
      <c r="FS9" s="35">
        <f>SUMIF('Resource Demand - Activity'!$FT:$FT,Example!$G9,'Resource Demand - Activity'!FN:FN)</f>
        <v>0</v>
      </c>
      <c r="FT9" s="35">
        <f>SUMIF('Resource Demand - Activity'!$FT:$FT,Example!$G9,'Resource Demand - Activity'!FO:FO)</f>
        <v>0</v>
      </c>
      <c r="FU9" s="35">
        <f>SUMIF('Resource Demand - Activity'!$FT:$FT,Example!$G9,'Resource Demand - Activity'!FP:FP)</f>
        <v>0</v>
      </c>
      <c r="FV9" s="52">
        <f>SUMIF('Resource Demand - Activity'!$FT:$FT,Example!$G9,'Resource Demand - Activity'!FQ:FQ)</f>
        <v>0</v>
      </c>
    </row>
    <row r="10" spans="2:178" s="58" customFormat="1" ht="12" customHeight="1">
      <c r="B10" s="71" t="s">
        <v>2</v>
      </c>
      <c r="C10" s="70">
        <f>SUM(C5:C8)</f>
        <v>550</v>
      </c>
      <c r="G10" s="64" t="str">
        <f t="shared" si="3"/>
        <v>7. RSR Development &amp; Dry Run 7.2 ReviewGlenn Kirk</v>
      </c>
      <c r="H10" s="102" t="s">
        <v>172</v>
      </c>
      <c r="I10" s="59" t="str">
        <f>INDEX('Resource Demand - Activity'!C:C,MATCH(Example!G10,'Resource Demand - Activity'!FT:FT,0))</f>
        <v>4 days</v>
      </c>
      <c r="J10" s="51">
        <f>SUMIF('Resource Demand - Activity'!$FT:$FT,Example!$G10,'Resource Demand - Activity'!E:E)</f>
        <v>0</v>
      </c>
      <c r="K10" s="35">
        <f>SUMIF('Resource Demand - Activity'!$FT:$FT,Example!$G10,'Resource Demand - Activity'!F:F)</f>
        <v>0</v>
      </c>
      <c r="L10" s="35">
        <f>SUMIF('Resource Demand - Activity'!$FT:$FT,Example!$G10,'Resource Demand - Activity'!G:G)</f>
        <v>0</v>
      </c>
      <c r="M10" s="35">
        <f>SUMIF('Resource Demand - Activity'!$FT:$FT,Example!$G10,'Resource Demand - Activity'!H:H)</f>
        <v>0</v>
      </c>
      <c r="N10" s="35">
        <f>SUMIF('Resource Demand - Activity'!$FT:$FT,Example!$G10,'Resource Demand - Activity'!I:I)</f>
        <v>0</v>
      </c>
      <c r="O10" s="35">
        <f>SUMIF('Resource Demand - Activity'!$FT:$FT,Example!$G10,'Resource Demand - Activity'!J:J)</f>
        <v>0</v>
      </c>
      <c r="P10" s="35">
        <f>SUMIF('Resource Demand - Activity'!$FT:$FT,Example!$G10,'Resource Demand - Activity'!K:K)</f>
        <v>0</v>
      </c>
      <c r="Q10" s="35">
        <f>SUMIF('Resource Demand - Activity'!$FT:$FT,Example!$G10,'Resource Demand - Activity'!L:L)</f>
        <v>0</v>
      </c>
      <c r="R10" s="35">
        <f>SUMIF('Resource Demand - Activity'!$FT:$FT,Example!$G10,'Resource Demand - Activity'!M:M)</f>
        <v>0</v>
      </c>
      <c r="S10" s="35">
        <f>SUMIF('Resource Demand - Activity'!$FT:$FT,Example!$G10,'Resource Demand - Activity'!N:N)</f>
        <v>0</v>
      </c>
      <c r="T10" s="35">
        <f>SUMIF('Resource Demand - Activity'!$FT:$FT,Example!$G10,'Resource Demand - Activity'!O:O)</f>
        <v>0</v>
      </c>
      <c r="U10" s="35">
        <f>SUMIF('Resource Demand - Activity'!$FT:$FT,Example!$G10,'Resource Demand - Activity'!P:P)</f>
        <v>0</v>
      </c>
      <c r="V10" s="35">
        <f>SUMIF('Resource Demand - Activity'!$FT:$FT,Example!$G10,'Resource Demand - Activity'!Q:Q)</f>
        <v>0</v>
      </c>
      <c r="W10" s="35">
        <f>SUMIF('Resource Demand - Activity'!$FT:$FT,Example!$G10,'Resource Demand - Activity'!R:R)</f>
        <v>0</v>
      </c>
      <c r="X10" s="35">
        <f>SUMIF('Resource Demand - Activity'!$FT:$FT,Example!$G10,'Resource Demand - Activity'!S:S)</f>
        <v>0</v>
      </c>
      <c r="Y10" s="35">
        <f>SUMIF('Resource Demand - Activity'!$FT:$FT,Example!$G10,'Resource Demand - Activity'!T:T)</f>
        <v>0</v>
      </c>
      <c r="Z10" s="35">
        <f>SUMIF('Resource Demand - Activity'!$FT:$FT,Example!$G10,'Resource Demand - Activity'!U:U)</f>
        <v>0</v>
      </c>
      <c r="AA10" s="35">
        <f>SUMIF('Resource Demand - Activity'!$FT:$FT,Example!$G10,'Resource Demand - Activity'!V:V)</f>
        <v>0</v>
      </c>
      <c r="AB10" s="35">
        <f>SUMIF('Resource Demand - Activity'!$FT:$FT,Example!$G10,'Resource Demand - Activity'!W:W)</f>
        <v>0</v>
      </c>
      <c r="AC10" s="35">
        <f>SUMIF('Resource Demand - Activity'!$FT:$FT,Example!$G10,'Resource Demand - Activity'!X:X)</f>
        <v>0</v>
      </c>
      <c r="AD10" s="35">
        <f>SUMIF('Resource Demand - Activity'!$FT:$FT,Example!$G10,'Resource Demand - Activity'!Y:Y)</f>
        <v>0</v>
      </c>
      <c r="AE10" s="35">
        <f>SUMIF('Resource Demand - Activity'!$FT:$FT,Example!$G10,'Resource Demand - Activity'!Z:Z)</f>
        <v>0</v>
      </c>
      <c r="AF10" s="35">
        <f>SUMIF('Resource Demand - Activity'!$FT:$FT,Example!$G10,'Resource Demand - Activity'!AA:AA)</f>
        <v>0</v>
      </c>
      <c r="AG10" s="35">
        <f>SUMIF('Resource Demand - Activity'!$FT:$FT,Example!$G10,'Resource Demand - Activity'!AB:AB)</f>
        <v>0</v>
      </c>
      <c r="AH10" s="35">
        <f>SUMIF('Resource Demand - Activity'!$FT:$FT,Example!$G10,'Resource Demand - Activity'!AC:AC)</f>
        <v>0</v>
      </c>
      <c r="AI10" s="35">
        <f>SUMIF('Resource Demand - Activity'!$FT:$FT,Example!$G10,'Resource Demand - Activity'!AD:AD)</f>
        <v>0</v>
      </c>
      <c r="AJ10" s="35">
        <f>SUMIF('Resource Demand - Activity'!$FT:$FT,Example!$G10,'Resource Demand - Activity'!AE:AE)</f>
        <v>0</v>
      </c>
      <c r="AK10" s="35">
        <f>SUMIF('Resource Demand - Activity'!$FT:$FT,Example!$G10,'Resource Demand - Activity'!AF:AF)</f>
        <v>0</v>
      </c>
      <c r="AL10" s="35">
        <f>SUMIF('Resource Demand - Activity'!$FT:$FT,Example!$G10,'Resource Demand - Activity'!AG:AG)</f>
        <v>0</v>
      </c>
      <c r="AM10" s="35">
        <f>SUMIF('Resource Demand - Activity'!$FT:$FT,Example!$G10,'Resource Demand - Activity'!AH:AH)</f>
        <v>0</v>
      </c>
      <c r="AN10" s="35">
        <f>SUMIF('Resource Demand - Activity'!$FT:$FT,Example!$G10,'Resource Demand - Activity'!AI:AI)</f>
        <v>0</v>
      </c>
      <c r="AO10" s="35">
        <f>SUMIF('Resource Demand - Activity'!$FT:$FT,Example!$G10,'Resource Demand - Activity'!AJ:AJ)</f>
        <v>0</v>
      </c>
      <c r="AP10" s="35">
        <f>SUMIF('Resource Demand - Activity'!$FT:$FT,Example!$G10,'Resource Demand - Activity'!AK:AK)</f>
        <v>0</v>
      </c>
      <c r="AQ10" s="36"/>
      <c r="AR10" s="36"/>
      <c r="AS10" s="36"/>
      <c r="AT10" s="36"/>
      <c r="AU10" s="36"/>
      <c r="AV10" s="36"/>
      <c r="AW10" s="36"/>
      <c r="AX10" s="35">
        <f>SUMIF('Resource Demand - Activity'!$FT:$FT,Example!$G10,'Resource Demand - Activity'!AS:AS)</f>
        <v>0</v>
      </c>
      <c r="AY10" s="35">
        <f>SUMIF('Resource Demand - Activity'!$FT:$FT,Example!$G10,'Resource Demand - Activity'!AT:AT)</f>
        <v>0</v>
      </c>
      <c r="AZ10" s="35">
        <f>SUMIF('Resource Demand - Activity'!$FT:$FT,Example!$G10,'Resource Demand - Activity'!AU:AU)</f>
        <v>0</v>
      </c>
      <c r="BA10" s="35">
        <f>SUMIF('Resource Demand - Activity'!$FT:$FT,Example!$G10,'Resource Demand - Activity'!AV:AV)</f>
        <v>0</v>
      </c>
      <c r="BB10" s="35">
        <f>SUMIF('Resource Demand - Activity'!$FT:$FT,Example!$G10,'Resource Demand - Activity'!AW:AW)</f>
        <v>0</v>
      </c>
      <c r="BC10" s="35">
        <f>SUMIF('Resource Demand - Activity'!$FT:$FT,Example!$G10,'Resource Demand - Activity'!AX:AX)</f>
        <v>0</v>
      </c>
      <c r="BD10" s="35">
        <f>SUMIF('Resource Demand - Activity'!$FT:$FT,Example!$G10,'Resource Demand - Activity'!AY:AY)</f>
        <v>0</v>
      </c>
      <c r="BE10" s="35">
        <f>SUMIF('Resource Demand - Activity'!$FT:$FT,Example!$G10,'Resource Demand - Activity'!AZ:AZ)</f>
        <v>0</v>
      </c>
      <c r="BF10" s="35">
        <f>SUMIF('Resource Demand - Activity'!$FT:$FT,Example!$G10,'Resource Demand - Activity'!BA:BA)</f>
        <v>0</v>
      </c>
      <c r="BG10" s="35">
        <f>SUMIF('Resource Demand - Activity'!$FT:$FT,Example!$G10,'Resource Demand - Activity'!BB:BB)</f>
        <v>0</v>
      </c>
      <c r="BH10" s="35">
        <f>SUMIF('Resource Demand - Activity'!$FT:$FT,Example!$G10,'Resource Demand - Activity'!BC:BC)</f>
        <v>0</v>
      </c>
      <c r="BI10" s="35">
        <f>SUMIF('Resource Demand - Activity'!$FT:$FT,Example!$G10,'Resource Demand - Activity'!BD:BD)</f>
        <v>0</v>
      </c>
      <c r="BJ10" s="35">
        <f>SUMIF('Resource Demand - Activity'!$FT:$FT,Example!$G10,'Resource Demand - Activity'!BE:BE)</f>
        <v>0</v>
      </c>
      <c r="BK10" s="35">
        <f>SUMIF('Resource Demand - Activity'!$FT:$FT,Example!$G10,'Resource Demand - Activity'!BF:BF)</f>
        <v>0</v>
      </c>
      <c r="BL10" s="35">
        <f>SUMIF('Resource Demand - Activity'!$FT:$FT,Example!$G10,'Resource Demand - Activity'!BG:BG)</f>
        <v>0</v>
      </c>
      <c r="BM10" s="35">
        <f>SUMIF('Resource Demand - Activity'!$FT:$FT,Example!$G10,'Resource Demand - Activity'!BH:BH)</f>
        <v>0</v>
      </c>
      <c r="BN10" s="35">
        <f>SUMIF('Resource Demand - Activity'!$FT:$FT,Example!$G10,'Resource Demand - Activity'!BI:BI)</f>
        <v>0</v>
      </c>
      <c r="BO10" s="35">
        <f>SUMIF('Resource Demand - Activity'!$FT:$FT,Example!$G10,'Resource Demand - Activity'!BJ:BJ)</f>
        <v>0</v>
      </c>
      <c r="BP10" s="35">
        <f>SUMIF('Resource Demand - Activity'!$FT:$FT,Example!$G10,'Resource Demand - Activity'!BK:BK)</f>
        <v>0</v>
      </c>
      <c r="BQ10" s="35">
        <f>SUMIF('Resource Demand - Activity'!$FT:$FT,Example!$G10,'Resource Demand - Activity'!BL:BL)</f>
        <v>0</v>
      </c>
      <c r="BR10" s="35">
        <f>SUMIF('Resource Demand - Activity'!$FT:$FT,Example!$G10,'Resource Demand - Activity'!BM:BM)</f>
        <v>0</v>
      </c>
      <c r="BS10" s="35">
        <f>SUMIF('Resource Demand - Activity'!$FT:$FT,Example!$G10,'Resource Demand - Activity'!BN:BN)</f>
        <v>0</v>
      </c>
      <c r="BT10" s="35">
        <f>SUMIF('Resource Demand - Activity'!$FT:$FT,Example!$G10,'Resource Demand - Activity'!BO:BO)</f>
        <v>0</v>
      </c>
      <c r="BU10" s="35">
        <f>SUMIF('Resource Demand - Activity'!$FT:$FT,Example!$G10,'Resource Demand - Activity'!BP:BP)</f>
        <v>0</v>
      </c>
      <c r="BV10" s="35">
        <f>SUMIF('Resource Demand - Activity'!$FT:$FT,Example!$G10,'Resource Demand - Activity'!BQ:BQ)</f>
        <v>0</v>
      </c>
      <c r="BW10" s="35">
        <f>SUMIF('Resource Demand - Activity'!$FT:$FT,Example!$G10,'Resource Demand - Activity'!BR:BR)</f>
        <v>0</v>
      </c>
      <c r="BX10" s="35">
        <f>SUMIF('Resource Demand - Activity'!$FT:$FT,Example!$G10,'Resource Demand - Activity'!BS:BS)</f>
        <v>0</v>
      </c>
      <c r="BY10" s="35">
        <f>SUMIF('Resource Demand - Activity'!$FT:$FT,Example!$G10,'Resource Demand - Activity'!BT:BT)</f>
        <v>0</v>
      </c>
      <c r="BZ10" s="35">
        <f>SUMIF('Resource Demand - Activity'!$FT:$FT,Example!$G10,'Resource Demand - Activity'!BU:BU)</f>
        <v>0</v>
      </c>
      <c r="CA10" s="35">
        <f>SUMIF('Resource Demand - Activity'!$FT:$FT,Example!$G10,'Resource Demand - Activity'!BV:BV)</f>
        <v>0</v>
      </c>
      <c r="CB10" s="35">
        <f>SUMIF('Resource Demand - Activity'!$FT:$FT,Example!$G10,'Resource Demand - Activity'!BW:BW)</f>
        <v>0</v>
      </c>
      <c r="CC10" s="35">
        <f>SUMIF('Resource Demand - Activity'!$FT:$FT,Example!$G10,'Resource Demand - Activity'!BX:BX)</f>
        <v>0</v>
      </c>
      <c r="CD10" s="35">
        <f>SUMIF('Resource Demand - Activity'!$FT:$FT,Example!$G10,'Resource Demand - Activity'!BY:BY)</f>
        <v>0</v>
      </c>
      <c r="CE10" s="35">
        <f>SUMIF('Resource Demand - Activity'!$FT:$FT,Example!$G10,'Resource Demand - Activity'!BZ:BZ)</f>
        <v>0</v>
      </c>
      <c r="CF10" s="35">
        <f>SUMIF('Resource Demand - Activity'!$FT:$FT,Example!$G10,'Resource Demand - Activity'!CA:CA)</f>
        <v>0</v>
      </c>
      <c r="CG10" s="35">
        <f>SUMIF('Resource Demand - Activity'!$FT:$FT,Example!$G10,'Resource Demand - Activity'!CB:CB)</f>
        <v>0</v>
      </c>
      <c r="CH10" s="35">
        <f>SUMIF('Resource Demand - Activity'!$FT:$FT,Example!$G10,'Resource Demand - Activity'!CC:CC)</f>
        <v>0</v>
      </c>
      <c r="CI10" s="35">
        <f>SUMIF('Resource Demand - Activity'!$FT:$FT,Example!$G10,'Resource Demand - Activity'!CD:CD)</f>
        <v>0.25</v>
      </c>
      <c r="CJ10" s="35">
        <f>SUMIF('Resource Demand - Activity'!$FT:$FT,Example!$G10,'Resource Demand - Activity'!CE:CE)</f>
        <v>0</v>
      </c>
      <c r="CK10" s="35">
        <f>SUMIF('Resource Demand - Activity'!$FT:$FT,Example!$G10,'Resource Demand - Activity'!CF:CF)</f>
        <v>0</v>
      </c>
      <c r="CL10" s="35">
        <f>SUMIF('Resource Demand - Activity'!$FT:$FT,Example!$G10,'Resource Demand - Activity'!CG:CG)</f>
        <v>0</v>
      </c>
      <c r="CM10" s="35">
        <f>SUMIF('Resource Demand - Activity'!$FT:$FT,Example!$G10,'Resource Demand - Activity'!CH:CH)</f>
        <v>0</v>
      </c>
      <c r="CN10" s="35">
        <f>SUMIF('Resource Demand - Activity'!$FT:$FT,Example!$G10,'Resource Demand - Activity'!CI:CI)</f>
        <v>0.25</v>
      </c>
      <c r="CO10" s="35">
        <f>SUMIF('Resource Demand - Activity'!$FT:$FT,Example!$G10,'Resource Demand - Activity'!CJ:CJ)</f>
        <v>0</v>
      </c>
      <c r="CP10" s="35">
        <f>SUMIF('Resource Demand - Activity'!$FT:$FT,Example!$G10,'Resource Demand - Activity'!CK:CK)</f>
        <v>0</v>
      </c>
      <c r="CQ10" s="35">
        <f>SUMIF('Resource Demand - Activity'!$FT:$FT,Example!$G10,'Resource Demand - Activity'!CL:CL)</f>
        <v>0</v>
      </c>
      <c r="CR10" s="35">
        <f>SUMIF('Resource Demand - Activity'!$FT:$FT,Example!$G10,'Resource Demand - Activity'!CM:CM)</f>
        <v>0</v>
      </c>
      <c r="CS10" s="35">
        <f>SUMIF('Resource Demand - Activity'!$FT:$FT,Example!$G10,'Resource Demand - Activity'!CN:CN)</f>
        <v>0</v>
      </c>
      <c r="CT10" s="35">
        <f>SUMIF('Resource Demand - Activity'!$FT:$FT,Example!$G10,'Resource Demand - Activity'!CO:CO)</f>
        <v>0</v>
      </c>
      <c r="CU10" s="35">
        <f>SUMIF('Resource Demand - Activity'!$FT:$FT,Example!$G10,'Resource Demand - Activity'!CP:CP)</f>
        <v>0</v>
      </c>
      <c r="CV10" s="35">
        <f>SUMIF('Resource Demand - Activity'!$FT:$FT,Example!$G10,'Resource Demand - Activity'!CQ:CQ)</f>
        <v>0</v>
      </c>
      <c r="CW10" s="35">
        <f>SUMIF('Resource Demand - Activity'!$FT:$FT,Example!$G10,'Resource Demand - Activity'!CR:CR)</f>
        <v>0.5</v>
      </c>
      <c r="CX10" s="35">
        <f>SUMIF('Resource Demand - Activity'!$FT:$FT,Example!$G10,'Resource Demand - Activity'!CS:CS)</f>
        <v>0</v>
      </c>
      <c r="CY10" s="36"/>
      <c r="CZ10" s="35">
        <f>SUMIF('Resource Demand - Activity'!$FT:$FT,Example!$G10,'Resource Demand - Activity'!CU:CU)</f>
        <v>0</v>
      </c>
      <c r="DA10" s="35">
        <f>SUMIF('Resource Demand - Activity'!$FT:$FT,Example!$G10,'Resource Demand - Activity'!CV:CV)</f>
        <v>0</v>
      </c>
      <c r="DB10" s="35">
        <f>SUMIF('Resource Demand - Activity'!$FT:$FT,Example!$G10,'Resource Demand - Activity'!CW:CW)</f>
        <v>0</v>
      </c>
      <c r="DC10" s="35">
        <f>SUMIF('Resource Demand - Activity'!$FT:$FT,Example!$G10,'Resource Demand - Activity'!CX:CX)</f>
        <v>0.5</v>
      </c>
      <c r="DD10" s="35">
        <f>SUMIF('Resource Demand - Activity'!$FT:$FT,Example!$G10,'Resource Demand - Activity'!CY:CY)</f>
        <v>1</v>
      </c>
      <c r="DE10" s="36"/>
      <c r="DF10" s="36"/>
      <c r="DG10" s="35">
        <f>SUMIF('Resource Demand - Activity'!$FT:$FT,Example!$G10,'Resource Demand - Activity'!DB:DB)</f>
        <v>0</v>
      </c>
      <c r="DH10" s="35">
        <f>SUMIF('Resource Demand - Activity'!$FT:$FT,Example!$G10,'Resource Demand - Activity'!DC:DC)</f>
        <v>0</v>
      </c>
      <c r="DI10" s="35">
        <f>SUMIF('Resource Demand - Activity'!$FT:$FT,Example!$G10,'Resource Demand - Activity'!DD:DD)</f>
        <v>0</v>
      </c>
      <c r="DJ10" s="35">
        <f>SUMIF('Resource Demand - Activity'!$FT:$FT,Example!$G10,'Resource Demand - Activity'!DE:DE)</f>
        <v>1</v>
      </c>
      <c r="DK10" s="35">
        <f>SUMIF('Resource Demand - Activity'!$FT:$FT,Example!$G10,'Resource Demand - Activity'!DF:DF)</f>
        <v>0.5</v>
      </c>
      <c r="DL10" s="35">
        <f>SUMIF('Resource Demand - Activity'!$FT:$FT,Example!$G10,'Resource Demand - Activity'!DG:DG)</f>
        <v>0</v>
      </c>
      <c r="DM10" s="35">
        <f>SUMIF('Resource Demand - Activity'!$FT:$FT,Example!$G10,'Resource Demand - Activity'!DH:DH)</f>
        <v>0</v>
      </c>
      <c r="DN10" s="35">
        <f>SUMIF('Resource Demand - Activity'!$FT:$FT,Example!$G10,'Resource Demand - Activity'!DI:DI)</f>
        <v>0</v>
      </c>
      <c r="DO10" s="35">
        <f>SUMIF('Resource Demand - Activity'!$FT:$FT,Example!$G10,'Resource Demand - Activity'!DJ:DJ)</f>
        <v>0</v>
      </c>
      <c r="DP10" s="35">
        <f>SUMIF('Resource Demand - Activity'!$FT:$FT,Example!$G10,'Resource Demand - Activity'!DK:DK)</f>
        <v>0</v>
      </c>
      <c r="DQ10" s="35">
        <f>SUMIF('Resource Demand - Activity'!$FT:$FT,Example!$G10,'Resource Demand - Activity'!DL:DL)</f>
        <v>0</v>
      </c>
      <c r="DR10" s="35">
        <f>SUMIF('Resource Demand - Activity'!$FT:$FT,Example!$G10,'Resource Demand - Activity'!DM:DM)</f>
        <v>0</v>
      </c>
      <c r="DS10" s="35">
        <f>SUMIF('Resource Demand - Activity'!$FT:$FT,Example!$G10,'Resource Demand - Activity'!DN:DN)</f>
        <v>0</v>
      </c>
      <c r="DT10" s="35">
        <f>SUMIF('Resource Demand - Activity'!$FT:$FT,Example!$G10,'Resource Demand - Activity'!DO:DO)</f>
        <v>0</v>
      </c>
      <c r="DU10" s="35">
        <f>SUMIF('Resource Demand - Activity'!$FT:$FT,Example!$G10,'Resource Demand - Activity'!DP:DP)</f>
        <v>0</v>
      </c>
      <c r="DV10" s="35">
        <f>SUMIF('Resource Demand - Activity'!$FT:$FT,Example!$G10,'Resource Demand - Activity'!DQ:DQ)</f>
        <v>0</v>
      </c>
      <c r="DW10" s="35">
        <f>SUMIF('Resource Demand - Activity'!$FT:$FT,Example!$G10,'Resource Demand - Activity'!DR:DR)</f>
        <v>0</v>
      </c>
      <c r="DX10" s="35">
        <f>SUMIF('Resource Demand - Activity'!$FT:$FT,Example!$G10,'Resource Demand - Activity'!DS:DS)</f>
        <v>0</v>
      </c>
      <c r="DY10" s="35">
        <f>SUMIF('Resource Demand - Activity'!$FT:$FT,Example!$G10,'Resource Demand - Activity'!DT:DT)</f>
        <v>0</v>
      </c>
      <c r="DZ10" s="35">
        <f>SUMIF('Resource Demand - Activity'!$FT:$FT,Example!$G10,'Resource Demand - Activity'!DU:DU)</f>
        <v>0</v>
      </c>
      <c r="EA10" s="35">
        <f>SUMIF('Resource Demand - Activity'!$FT:$FT,Example!$G10,'Resource Demand - Activity'!DV:DV)</f>
        <v>0</v>
      </c>
      <c r="EB10" s="35">
        <f>SUMIF('Resource Demand - Activity'!$FT:$FT,Example!$G10,'Resource Demand - Activity'!DW:DW)</f>
        <v>0</v>
      </c>
      <c r="EC10" s="35">
        <f>SUMIF('Resource Demand - Activity'!$FT:$FT,Example!$G10,'Resource Demand - Activity'!DX:DX)</f>
        <v>0</v>
      </c>
      <c r="ED10" s="35">
        <f>SUMIF('Resource Demand - Activity'!$FT:$FT,Example!$G10,'Resource Demand - Activity'!DY:DY)</f>
        <v>0</v>
      </c>
      <c r="EE10" s="36"/>
      <c r="EF10" s="35">
        <f>SUMIF('Resource Demand - Activity'!$FT:$FT,Example!$G10,'Resource Demand - Activity'!EA:EA)</f>
        <v>0</v>
      </c>
      <c r="EG10" s="35">
        <f>SUMIF('Resource Demand - Activity'!$FT:$FT,Example!$G10,'Resource Demand - Activity'!EB:EB)</f>
        <v>0</v>
      </c>
      <c r="EH10" s="35">
        <f>SUMIF('Resource Demand - Activity'!$FT:$FT,Example!$G10,'Resource Demand - Activity'!EC:EC)</f>
        <v>0</v>
      </c>
      <c r="EI10" s="35">
        <f>SUMIF('Resource Demand - Activity'!$FT:$FT,Example!$G10,'Resource Demand - Activity'!ED:ED)</f>
        <v>0</v>
      </c>
      <c r="EJ10" s="35">
        <f>SUMIF('Resource Demand - Activity'!$FT:$FT,Example!$G10,'Resource Demand - Activity'!EE:EE)</f>
        <v>0</v>
      </c>
      <c r="EK10" s="35">
        <f>SUMIF('Resource Demand - Activity'!$FT:$FT,Example!$G10,'Resource Demand - Activity'!EF:EF)</f>
        <v>0</v>
      </c>
      <c r="EL10" s="35">
        <f>SUMIF('Resource Demand - Activity'!$FT:$FT,Example!$G10,'Resource Demand - Activity'!EG:EG)</f>
        <v>0</v>
      </c>
      <c r="EM10" s="35">
        <f>SUMIF('Resource Demand - Activity'!$FT:$FT,Example!$G10,'Resource Demand - Activity'!EH:EH)</f>
        <v>0</v>
      </c>
      <c r="EN10" s="35">
        <f>SUMIF('Resource Demand - Activity'!$FT:$FT,Example!$G10,'Resource Demand - Activity'!EI:EI)</f>
        <v>0</v>
      </c>
      <c r="EO10" s="35">
        <f>SUMIF('Resource Demand - Activity'!$FT:$FT,Example!$G10,'Resource Demand - Activity'!EJ:EJ)</f>
        <v>0</v>
      </c>
      <c r="EP10" s="35">
        <f>SUMIF('Resource Demand - Activity'!$FT:$FT,Example!$G10,'Resource Demand - Activity'!EK:EK)</f>
        <v>0</v>
      </c>
      <c r="EQ10" s="35">
        <f>SUMIF('Resource Demand - Activity'!$FT:$FT,Example!$G10,'Resource Demand - Activity'!EL:EL)</f>
        <v>0</v>
      </c>
      <c r="ER10" s="35">
        <f>SUMIF('Resource Demand - Activity'!$FT:$FT,Example!$G10,'Resource Demand - Activity'!EM:EM)</f>
        <v>0</v>
      </c>
      <c r="ES10" s="35">
        <f>SUMIF('Resource Demand - Activity'!$FT:$FT,Example!$G10,'Resource Demand - Activity'!EN:EN)</f>
        <v>0</v>
      </c>
      <c r="ET10" s="35">
        <f>SUMIF('Resource Demand - Activity'!$FT:$FT,Example!$G10,'Resource Demand - Activity'!EO:EO)</f>
        <v>0</v>
      </c>
      <c r="EU10" s="35">
        <f>SUMIF('Resource Demand - Activity'!$FT:$FT,Example!$G10,'Resource Demand - Activity'!EP:EP)</f>
        <v>0</v>
      </c>
      <c r="EV10" s="35">
        <f>SUMIF('Resource Demand - Activity'!$FT:$FT,Example!$G10,'Resource Demand - Activity'!EQ:EQ)</f>
        <v>0</v>
      </c>
      <c r="EW10" s="35">
        <f>SUMIF('Resource Demand - Activity'!$FT:$FT,Example!$G10,'Resource Demand - Activity'!ER:ER)</f>
        <v>0</v>
      </c>
      <c r="EX10" s="35">
        <f>SUMIF('Resource Demand - Activity'!$FT:$FT,Example!$G10,'Resource Demand - Activity'!ES:ES)</f>
        <v>0</v>
      </c>
      <c r="EY10" s="35">
        <f>SUMIF('Resource Demand - Activity'!$FT:$FT,Example!$G10,'Resource Demand - Activity'!ET:ET)</f>
        <v>0</v>
      </c>
      <c r="EZ10" s="35">
        <f>SUMIF('Resource Demand - Activity'!$FT:$FT,Example!$G10,'Resource Demand - Activity'!EU:EU)</f>
        <v>0</v>
      </c>
      <c r="FA10" s="35">
        <f>SUMIF('Resource Demand - Activity'!$FT:$FT,Example!$G10,'Resource Demand - Activity'!EV:EV)</f>
        <v>0</v>
      </c>
      <c r="FB10" s="35">
        <f>SUMIF('Resource Demand - Activity'!$FT:$FT,Example!$G10,'Resource Demand - Activity'!EW:EW)</f>
        <v>0</v>
      </c>
      <c r="FC10" s="35">
        <f>SUMIF('Resource Demand - Activity'!$FT:$FT,Example!$G10,'Resource Demand - Activity'!EX:EX)</f>
        <v>0</v>
      </c>
      <c r="FD10" s="36"/>
      <c r="FE10" s="35">
        <f>SUMIF('Resource Demand - Activity'!$FT:$FT,Example!$G10,'Resource Demand - Activity'!EZ:EZ)</f>
        <v>0</v>
      </c>
      <c r="FF10" s="35">
        <f>SUMIF('Resource Demand - Activity'!$FT:$FT,Example!$G10,'Resource Demand - Activity'!FA:FA)</f>
        <v>0</v>
      </c>
      <c r="FG10" s="35">
        <f>SUMIF('Resource Demand - Activity'!$FT:$FT,Example!$G10,'Resource Demand - Activity'!FB:FB)</f>
        <v>0</v>
      </c>
      <c r="FH10" s="35">
        <f>SUMIF('Resource Demand - Activity'!$FT:$FT,Example!$G10,'Resource Demand - Activity'!FC:FC)</f>
        <v>0</v>
      </c>
      <c r="FI10" s="35">
        <f>SUMIF('Resource Demand - Activity'!$FT:$FT,Example!$G10,'Resource Demand - Activity'!FD:FD)</f>
        <v>0</v>
      </c>
      <c r="FJ10" s="35">
        <f>SUMIF('Resource Demand - Activity'!$FT:$FT,Example!$G10,'Resource Demand - Activity'!FE:FE)</f>
        <v>0</v>
      </c>
      <c r="FK10" s="35">
        <f>SUMIF('Resource Demand - Activity'!$FT:$FT,Example!$G10,'Resource Demand - Activity'!FF:FF)</f>
        <v>0</v>
      </c>
      <c r="FL10" s="35">
        <f>SUMIF('Resource Demand - Activity'!$FT:$FT,Example!$G10,'Resource Demand - Activity'!FG:FG)</f>
        <v>0</v>
      </c>
      <c r="FM10" s="35">
        <f>SUMIF('Resource Demand - Activity'!$FT:$FT,Example!$G10,'Resource Demand - Activity'!FH:FH)</f>
        <v>0</v>
      </c>
      <c r="FN10" s="35">
        <f>SUMIF('Resource Demand - Activity'!$FT:$FT,Example!$G10,'Resource Demand - Activity'!FI:FI)</f>
        <v>0</v>
      </c>
      <c r="FO10" s="35">
        <f>SUMIF('Resource Demand - Activity'!$FT:$FT,Example!$G10,'Resource Demand - Activity'!FJ:FJ)</f>
        <v>0</v>
      </c>
      <c r="FP10" s="35">
        <f>SUMIF('Resource Demand - Activity'!$FT:$FT,Example!$G10,'Resource Demand - Activity'!FK:FK)</f>
        <v>0</v>
      </c>
      <c r="FQ10" s="35">
        <f>SUMIF('Resource Demand - Activity'!$FT:$FT,Example!$G10,'Resource Demand - Activity'!FL:FL)</f>
        <v>0</v>
      </c>
      <c r="FR10" s="35">
        <f>SUMIF('Resource Demand - Activity'!$FT:$FT,Example!$G10,'Resource Demand - Activity'!FM:FM)</f>
        <v>0</v>
      </c>
      <c r="FS10" s="35">
        <f>SUMIF('Resource Demand - Activity'!$FT:$FT,Example!$G10,'Resource Demand - Activity'!FN:FN)</f>
        <v>0</v>
      </c>
      <c r="FT10" s="35">
        <f>SUMIF('Resource Demand - Activity'!$FT:$FT,Example!$G10,'Resource Demand - Activity'!FO:FO)</f>
        <v>0</v>
      </c>
      <c r="FU10" s="35">
        <f>SUMIF('Resource Demand - Activity'!$FT:$FT,Example!$G10,'Resource Demand - Activity'!FP:FP)</f>
        <v>0</v>
      </c>
      <c r="FV10" s="52">
        <f>SUMIF('Resource Demand - Activity'!$FT:$FT,Example!$G10,'Resource Demand - Activity'!FQ:FQ)</f>
        <v>0</v>
      </c>
    </row>
    <row r="11" spans="2:178" s="58" customFormat="1" ht="12" customHeight="1">
      <c r="G11" s="64" t="str">
        <f t="shared" si="3"/>
        <v>7. RSR Development &amp; Dry Run 7.3 SupervisionGlenn Kirk</v>
      </c>
      <c r="H11" s="102" t="s">
        <v>173</v>
      </c>
      <c r="I11" s="59" t="str">
        <f>INDEX('Resource Demand - Activity'!C:C,MATCH(Example!G11,'Resource Demand - Activity'!FT:FT,0))</f>
        <v>2 days</v>
      </c>
      <c r="J11" s="51">
        <f>SUMIF('Resource Demand - Activity'!$FT:$FT,Example!$G11,'Resource Demand - Activity'!E:E)</f>
        <v>0</v>
      </c>
      <c r="K11" s="35">
        <f>SUMIF('Resource Demand - Activity'!$FT:$FT,Example!$G11,'Resource Demand - Activity'!F:F)</f>
        <v>0</v>
      </c>
      <c r="L11" s="35">
        <f>SUMIF('Resource Demand - Activity'!$FT:$FT,Example!$G11,'Resource Demand - Activity'!G:G)</f>
        <v>0</v>
      </c>
      <c r="M11" s="35">
        <f>SUMIF('Resource Demand - Activity'!$FT:$FT,Example!$G11,'Resource Demand - Activity'!H:H)</f>
        <v>0</v>
      </c>
      <c r="N11" s="35">
        <f>SUMIF('Resource Demand - Activity'!$FT:$FT,Example!$G11,'Resource Demand - Activity'!I:I)</f>
        <v>0</v>
      </c>
      <c r="O11" s="35">
        <f>SUMIF('Resource Demand - Activity'!$FT:$FT,Example!$G11,'Resource Demand - Activity'!J:J)</f>
        <v>0</v>
      </c>
      <c r="P11" s="35">
        <f>SUMIF('Resource Demand - Activity'!$FT:$FT,Example!$G11,'Resource Demand - Activity'!K:K)</f>
        <v>0</v>
      </c>
      <c r="Q11" s="35">
        <f>SUMIF('Resource Demand - Activity'!$FT:$FT,Example!$G11,'Resource Demand - Activity'!L:L)</f>
        <v>0</v>
      </c>
      <c r="R11" s="35">
        <f>SUMIF('Resource Demand - Activity'!$FT:$FT,Example!$G11,'Resource Demand - Activity'!M:M)</f>
        <v>0</v>
      </c>
      <c r="S11" s="35">
        <f>SUMIF('Resource Demand - Activity'!$FT:$FT,Example!$G11,'Resource Demand - Activity'!N:N)</f>
        <v>0</v>
      </c>
      <c r="T11" s="35">
        <f>SUMIF('Resource Demand - Activity'!$FT:$FT,Example!$G11,'Resource Demand - Activity'!O:O)</f>
        <v>0</v>
      </c>
      <c r="U11" s="35">
        <f>SUMIF('Resource Demand - Activity'!$FT:$FT,Example!$G11,'Resource Demand - Activity'!P:P)</f>
        <v>0</v>
      </c>
      <c r="V11" s="35">
        <f>SUMIF('Resource Demand - Activity'!$FT:$FT,Example!$G11,'Resource Demand - Activity'!Q:Q)</f>
        <v>0</v>
      </c>
      <c r="W11" s="35">
        <f>SUMIF('Resource Demand - Activity'!$FT:$FT,Example!$G11,'Resource Demand - Activity'!R:R)</f>
        <v>0</v>
      </c>
      <c r="X11" s="35">
        <f>SUMIF('Resource Demand - Activity'!$FT:$FT,Example!$G11,'Resource Demand - Activity'!S:S)</f>
        <v>0</v>
      </c>
      <c r="Y11" s="35">
        <f>SUMIF('Resource Demand - Activity'!$FT:$FT,Example!$G11,'Resource Demand - Activity'!T:T)</f>
        <v>0</v>
      </c>
      <c r="Z11" s="35">
        <f>SUMIF('Resource Demand - Activity'!$FT:$FT,Example!$G11,'Resource Demand - Activity'!U:U)</f>
        <v>0</v>
      </c>
      <c r="AA11" s="35">
        <f>SUMIF('Resource Demand - Activity'!$FT:$FT,Example!$G11,'Resource Demand - Activity'!V:V)</f>
        <v>0</v>
      </c>
      <c r="AB11" s="35">
        <f>SUMIF('Resource Demand - Activity'!$FT:$FT,Example!$G11,'Resource Demand - Activity'!W:W)</f>
        <v>0</v>
      </c>
      <c r="AC11" s="35">
        <f>SUMIF('Resource Demand - Activity'!$FT:$FT,Example!$G11,'Resource Demand - Activity'!X:X)</f>
        <v>0</v>
      </c>
      <c r="AD11" s="35">
        <f>SUMIF('Resource Demand - Activity'!$FT:$FT,Example!$G11,'Resource Demand - Activity'!Y:Y)</f>
        <v>0</v>
      </c>
      <c r="AE11" s="35">
        <f>SUMIF('Resource Demand - Activity'!$FT:$FT,Example!$G11,'Resource Demand - Activity'!Z:Z)</f>
        <v>0</v>
      </c>
      <c r="AF11" s="35">
        <f>SUMIF('Resource Demand - Activity'!$FT:$FT,Example!$G11,'Resource Demand - Activity'!AA:AA)</f>
        <v>0</v>
      </c>
      <c r="AG11" s="35">
        <f>SUMIF('Resource Demand - Activity'!$FT:$FT,Example!$G11,'Resource Demand - Activity'!AB:AB)</f>
        <v>0</v>
      </c>
      <c r="AH11" s="35">
        <f>SUMIF('Resource Demand - Activity'!$FT:$FT,Example!$G11,'Resource Demand - Activity'!AC:AC)</f>
        <v>0</v>
      </c>
      <c r="AI11" s="35">
        <f>SUMIF('Resource Demand - Activity'!$FT:$FT,Example!$G11,'Resource Demand - Activity'!AD:AD)</f>
        <v>0</v>
      </c>
      <c r="AJ11" s="35">
        <f>SUMIF('Resource Demand - Activity'!$FT:$FT,Example!$G11,'Resource Demand - Activity'!AE:AE)</f>
        <v>0</v>
      </c>
      <c r="AK11" s="35">
        <f>SUMIF('Resource Demand - Activity'!$FT:$FT,Example!$G11,'Resource Demand - Activity'!AF:AF)</f>
        <v>0</v>
      </c>
      <c r="AL11" s="35">
        <f>SUMIF('Resource Demand - Activity'!$FT:$FT,Example!$G11,'Resource Demand - Activity'!AG:AG)</f>
        <v>0</v>
      </c>
      <c r="AM11" s="35">
        <f>SUMIF('Resource Demand - Activity'!$FT:$FT,Example!$G11,'Resource Demand - Activity'!AH:AH)</f>
        <v>0</v>
      </c>
      <c r="AN11" s="35">
        <f>SUMIF('Resource Demand - Activity'!$FT:$FT,Example!$G11,'Resource Demand - Activity'!AI:AI)</f>
        <v>0</v>
      </c>
      <c r="AO11" s="35">
        <f>SUMIF('Resource Demand - Activity'!$FT:$FT,Example!$G11,'Resource Demand - Activity'!AJ:AJ)</f>
        <v>0</v>
      </c>
      <c r="AP11" s="35">
        <f>SUMIF('Resource Demand - Activity'!$FT:$FT,Example!$G11,'Resource Demand - Activity'!AK:AK)</f>
        <v>0</v>
      </c>
      <c r="AQ11" s="36"/>
      <c r="AR11" s="36"/>
      <c r="AS11" s="36"/>
      <c r="AT11" s="36"/>
      <c r="AU11" s="36"/>
      <c r="AV11" s="36"/>
      <c r="AW11" s="36"/>
      <c r="AX11" s="35">
        <f>SUMIF('Resource Demand - Activity'!$FT:$FT,Example!$G11,'Resource Demand - Activity'!AS:AS)</f>
        <v>0</v>
      </c>
      <c r="AY11" s="35">
        <f>SUMIF('Resource Demand - Activity'!$FT:$FT,Example!$G11,'Resource Demand - Activity'!AT:AT)</f>
        <v>0</v>
      </c>
      <c r="AZ11" s="35">
        <f>SUMIF('Resource Demand - Activity'!$FT:$FT,Example!$G11,'Resource Demand - Activity'!AU:AU)</f>
        <v>0</v>
      </c>
      <c r="BA11" s="35">
        <f>SUMIF('Resource Demand - Activity'!$FT:$FT,Example!$G11,'Resource Demand - Activity'!AV:AV)</f>
        <v>0</v>
      </c>
      <c r="BB11" s="35">
        <f>SUMIF('Resource Demand - Activity'!$FT:$FT,Example!$G11,'Resource Demand - Activity'!AW:AW)</f>
        <v>0</v>
      </c>
      <c r="BC11" s="35">
        <f>SUMIF('Resource Demand - Activity'!$FT:$FT,Example!$G11,'Resource Demand - Activity'!AX:AX)</f>
        <v>0</v>
      </c>
      <c r="BD11" s="35">
        <f>SUMIF('Resource Demand - Activity'!$FT:$FT,Example!$G11,'Resource Demand - Activity'!AY:AY)</f>
        <v>0</v>
      </c>
      <c r="BE11" s="35">
        <f>SUMIF('Resource Demand - Activity'!$FT:$FT,Example!$G11,'Resource Demand - Activity'!AZ:AZ)</f>
        <v>0</v>
      </c>
      <c r="BF11" s="35">
        <f>SUMIF('Resource Demand - Activity'!$FT:$FT,Example!$G11,'Resource Demand - Activity'!BA:BA)</f>
        <v>0</v>
      </c>
      <c r="BG11" s="35">
        <f>SUMIF('Resource Demand - Activity'!$FT:$FT,Example!$G11,'Resource Demand - Activity'!BB:BB)</f>
        <v>0</v>
      </c>
      <c r="BH11" s="35">
        <f>SUMIF('Resource Demand - Activity'!$FT:$FT,Example!$G11,'Resource Demand - Activity'!BC:BC)</f>
        <v>0</v>
      </c>
      <c r="BI11" s="35">
        <f>SUMIF('Resource Demand - Activity'!$FT:$FT,Example!$G11,'Resource Demand - Activity'!BD:BD)</f>
        <v>0</v>
      </c>
      <c r="BJ11" s="35">
        <f>SUMIF('Resource Demand - Activity'!$FT:$FT,Example!$G11,'Resource Demand - Activity'!BE:BE)</f>
        <v>0</v>
      </c>
      <c r="BK11" s="35">
        <f>SUMIF('Resource Demand - Activity'!$FT:$FT,Example!$G11,'Resource Demand - Activity'!BF:BF)</f>
        <v>0</v>
      </c>
      <c r="BL11" s="35">
        <f>SUMIF('Resource Demand - Activity'!$FT:$FT,Example!$G11,'Resource Demand - Activity'!BG:BG)</f>
        <v>0</v>
      </c>
      <c r="BM11" s="35">
        <f>SUMIF('Resource Demand - Activity'!$FT:$FT,Example!$G11,'Resource Demand - Activity'!BH:BH)</f>
        <v>0</v>
      </c>
      <c r="BN11" s="35">
        <f>SUMIF('Resource Demand - Activity'!$FT:$FT,Example!$G11,'Resource Demand - Activity'!BI:BI)</f>
        <v>0</v>
      </c>
      <c r="BO11" s="35">
        <f>SUMIF('Resource Demand - Activity'!$FT:$FT,Example!$G11,'Resource Demand - Activity'!BJ:BJ)</f>
        <v>0</v>
      </c>
      <c r="BP11" s="35">
        <f>SUMIF('Resource Demand - Activity'!$FT:$FT,Example!$G11,'Resource Demand - Activity'!BK:BK)</f>
        <v>0</v>
      </c>
      <c r="BQ11" s="35">
        <f>SUMIF('Resource Demand - Activity'!$FT:$FT,Example!$G11,'Resource Demand - Activity'!BL:BL)</f>
        <v>0</v>
      </c>
      <c r="BR11" s="35">
        <f>SUMIF('Resource Demand - Activity'!$FT:$FT,Example!$G11,'Resource Demand - Activity'!BM:BM)</f>
        <v>0</v>
      </c>
      <c r="BS11" s="35">
        <f>SUMIF('Resource Demand - Activity'!$FT:$FT,Example!$G11,'Resource Demand - Activity'!BN:BN)</f>
        <v>0</v>
      </c>
      <c r="BT11" s="35">
        <f>SUMIF('Resource Demand - Activity'!$FT:$FT,Example!$G11,'Resource Demand - Activity'!BO:BO)</f>
        <v>0</v>
      </c>
      <c r="BU11" s="35">
        <f>SUMIF('Resource Demand - Activity'!$FT:$FT,Example!$G11,'Resource Demand - Activity'!BP:BP)</f>
        <v>0</v>
      </c>
      <c r="BV11" s="35">
        <f>SUMIF('Resource Demand - Activity'!$FT:$FT,Example!$G11,'Resource Demand - Activity'!BQ:BQ)</f>
        <v>0</v>
      </c>
      <c r="BW11" s="35">
        <f>SUMIF('Resource Demand - Activity'!$FT:$FT,Example!$G11,'Resource Demand - Activity'!BR:BR)</f>
        <v>0</v>
      </c>
      <c r="BX11" s="35">
        <f>SUMIF('Resource Demand - Activity'!$FT:$FT,Example!$G11,'Resource Demand - Activity'!BS:BS)</f>
        <v>0</v>
      </c>
      <c r="BY11" s="35">
        <f>SUMIF('Resource Demand - Activity'!$FT:$FT,Example!$G11,'Resource Demand - Activity'!BT:BT)</f>
        <v>0</v>
      </c>
      <c r="BZ11" s="35">
        <f>SUMIF('Resource Demand - Activity'!$FT:$FT,Example!$G11,'Resource Demand - Activity'!BU:BU)</f>
        <v>0</v>
      </c>
      <c r="CA11" s="35">
        <f>SUMIF('Resource Demand - Activity'!$FT:$FT,Example!$G11,'Resource Demand - Activity'!BV:BV)</f>
        <v>0</v>
      </c>
      <c r="CB11" s="35">
        <f>SUMIF('Resource Demand - Activity'!$FT:$FT,Example!$G11,'Resource Demand - Activity'!BW:BW)</f>
        <v>0</v>
      </c>
      <c r="CC11" s="35">
        <f>SUMIF('Resource Demand - Activity'!$FT:$FT,Example!$G11,'Resource Demand - Activity'!BX:BX)</f>
        <v>0</v>
      </c>
      <c r="CD11" s="35">
        <f>SUMIF('Resource Demand - Activity'!$FT:$FT,Example!$G11,'Resource Demand - Activity'!BY:BY)</f>
        <v>0</v>
      </c>
      <c r="CE11" s="35">
        <f>SUMIF('Resource Demand - Activity'!$FT:$FT,Example!$G11,'Resource Demand - Activity'!BZ:BZ)</f>
        <v>0</v>
      </c>
      <c r="CF11" s="35">
        <f>SUMIF('Resource Demand - Activity'!$FT:$FT,Example!$G11,'Resource Demand - Activity'!CA:CA)</f>
        <v>0</v>
      </c>
      <c r="CG11" s="35">
        <f>SUMIF('Resource Demand - Activity'!$FT:$FT,Example!$G11,'Resource Demand - Activity'!CB:CB)</f>
        <v>0</v>
      </c>
      <c r="CH11" s="35">
        <f>SUMIF('Resource Demand - Activity'!$FT:$FT,Example!$G11,'Resource Demand - Activity'!CC:CC)</f>
        <v>0</v>
      </c>
      <c r="CI11" s="35">
        <f>SUMIF('Resource Demand - Activity'!$FT:$FT,Example!$G11,'Resource Demand - Activity'!CD:CD)</f>
        <v>0</v>
      </c>
      <c r="CJ11" s="35">
        <f>SUMIF('Resource Demand - Activity'!$FT:$FT,Example!$G11,'Resource Demand - Activity'!CE:CE)</f>
        <v>0.25</v>
      </c>
      <c r="CK11" s="35">
        <f>SUMIF('Resource Demand - Activity'!$FT:$FT,Example!$G11,'Resource Demand - Activity'!CF:CF)</f>
        <v>0</v>
      </c>
      <c r="CL11" s="35">
        <f>SUMIF('Resource Demand - Activity'!$FT:$FT,Example!$G11,'Resource Demand - Activity'!CG:CG)</f>
        <v>0</v>
      </c>
      <c r="CM11" s="35">
        <f>SUMIF('Resource Demand - Activity'!$FT:$FT,Example!$G11,'Resource Demand - Activity'!CH:CH)</f>
        <v>0</v>
      </c>
      <c r="CN11" s="35">
        <f>SUMIF('Resource Demand - Activity'!$FT:$FT,Example!$G11,'Resource Demand - Activity'!CI:CI)</f>
        <v>0</v>
      </c>
      <c r="CO11" s="35">
        <f>SUMIF('Resource Demand - Activity'!$FT:$FT,Example!$G11,'Resource Demand - Activity'!CJ:CJ)</f>
        <v>0.25</v>
      </c>
      <c r="CP11" s="35">
        <f>SUMIF('Resource Demand - Activity'!$FT:$FT,Example!$G11,'Resource Demand - Activity'!CK:CK)</f>
        <v>0</v>
      </c>
      <c r="CQ11" s="35">
        <f>SUMIF('Resource Demand - Activity'!$FT:$FT,Example!$G11,'Resource Demand - Activity'!CL:CL)</f>
        <v>0</v>
      </c>
      <c r="CR11" s="35">
        <f>SUMIF('Resource Demand - Activity'!$FT:$FT,Example!$G11,'Resource Demand - Activity'!CM:CM)</f>
        <v>0</v>
      </c>
      <c r="CS11" s="35">
        <f>SUMIF('Resource Demand - Activity'!$FT:$FT,Example!$G11,'Resource Demand - Activity'!CN:CN)</f>
        <v>0</v>
      </c>
      <c r="CT11" s="35">
        <f>SUMIF('Resource Demand - Activity'!$FT:$FT,Example!$G11,'Resource Demand - Activity'!CO:CO)</f>
        <v>0</v>
      </c>
      <c r="CU11" s="35">
        <f>SUMIF('Resource Demand - Activity'!$FT:$FT,Example!$G11,'Resource Demand - Activity'!CP:CP)</f>
        <v>0</v>
      </c>
      <c r="CV11" s="35">
        <f>SUMIF('Resource Demand - Activity'!$FT:$FT,Example!$G11,'Resource Demand - Activity'!CQ:CQ)</f>
        <v>0</v>
      </c>
      <c r="CW11" s="35">
        <f>SUMIF('Resource Demand - Activity'!$FT:$FT,Example!$G11,'Resource Demand - Activity'!CR:CR)</f>
        <v>0</v>
      </c>
      <c r="CX11" s="35">
        <f>SUMIF('Resource Demand - Activity'!$FT:$FT,Example!$G11,'Resource Demand - Activity'!CS:CS)</f>
        <v>1</v>
      </c>
      <c r="CY11" s="36"/>
      <c r="CZ11" s="35">
        <f>SUMIF('Resource Demand - Activity'!$FT:$FT,Example!$G11,'Resource Demand - Activity'!CU:CU)</f>
        <v>0</v>
      </c>
      <c r="DA11" s="35">
        <f>SUMIF('Resource Demand - Activity'!$FT:$FT,Example!$G11,'Resource Demand - Activity'!CV:CV)</f>
        <v>0</v>
      </c>
      <c r="DB11" s="35">
        <f>SUMIF('Resource Demand - Activity'!$FT:$FT,Example!$G11,'Resource Demand - Activity'!CW:CW)</f>
        <v>0</v>
      </c>
      <c r="DC11" s="35">
        <f>SUMIF('Resource Demand - Activity'!$FT:$FT,Example!$G11,'Resource Demand - Activity'!CX:CX)</f>
        <v>0</v>
      </c>
      <c r="DD11" s="35">
        <f>SUMIF('Resource Demand - Activity'!$FT:$FT,Example!$G11,'Resource Demand - Activity'!CY:CY)</f>
        <v>0</v>
      </c>
      <c r="DE11" s="36"/>
      <c r="DF11" s="36"/>
      <c r="DG11" s="35">
        <f>SUMIF('Resource Demand - Activity'!$FT:$FT,Example!$G11,'Resource Demand - Activity'!DB:DB)</f>
        <v>0</v>
      </c>
      <c r="DH11" s="35">
        <f>SUMIF('Resource Demand - Activity'!$FT:$FT,Example!$G11,'Resource Demand - Activity'!DC:DC)</f>
        <v>0</v>
      </c>
      <c r="DI11" s="35">
        <f>SUMIF('Resource Demand - Activity'!$FT:$FT,Example!$G11,'Resource Demand - Activity'!DD:DD)</f>
        <v>0</v>
      </c>
      <c r="DJ11" s="35">
        <f>SUMIF('Resource Demand - Activity'!$FT:$FT,Example!$G11,'Resource Demand - Activity'!DE:DE)</f>
        <v>0</v>
      </c>
      <c r="DK11" s="35">
        <f>SUMIF('Resource Demand - Activity'!$FT:$FT,Example!$G11,'Resource Demand - Activity'!DF:DF)</f>
        <v>0.5</v>
      </c>
      <c r="DL11" s="35">
        <f>SUMIF('Resource Demand - Activity'!$FT:$FT,Example!$G11,'Resource Demand - Activity'!DG:DG)</f>
        <v>0</v>
      </c>
      <c r="DM11" s="35">
        <f>SUMIF('Resource Demand - Activity'!$FT:$FT,Example!$G11,'Resource Demand - Activity'!DH:DH)</f>
        <v>0</v>
      </c>
      <c r="DN11" s="35">
        <f>SUMIF('Resource Demand - Activity'!$FT:$FT,Example!$G11,'Resource Demand - Activity'!DI:DI)</f>
        <v>0</v>
      </c>
      <c r="DO11" s="35">
        <f>SUMIF('Resource Demand - Activity'!$FT:$FT,Example!$G11,'Resource Demand - Activity'!DJ:DJ)</f>
        <v>0</v>
      </c>
      <c r="DP11" s="35">
        <f>SUMIF('Resource Demand - Activity'!$FT:$FT,Example!$G11,'Resource Demand - Activity'!DK:DK)</f>
        <v>0</v>
      </c>
      <c r="DQ11" s="35">
        <f>SUMIF('Resource Demand - Activity'!$FT:$FT,Example!$G11,'Resource Demand - Activity'!DL:DL)</f>
        <v>0</v>
      </c>
      <c r="DR11" s="35">
        <f>SUMIF('Resource Demand - Activity'!$FT:$FT,Example!$G11,'Resource Demand - Activity'!DM:DM)</f>
        <v>0</v>
      </c>
      <c r="DS11" s="35">
        <f>SUMIF('Resource Demand - Activity'!$FT:$FT,Example!$G11,'Resource Demand - Activity'!DN:DN)</f>
        <v>0</v>
      </c>
      <c r="DT11" s="35">
        <f>SUMIF('Resource Demand - Activity'!$FT:$FT,Example!$G11,'Resource Demand - Activity'!DO:DO)</f>
        <v>0</v>
      </c>
      <c r="DU11" s="35">
        <f>SUMIF('Resource Demand - Activity'!$FT:$FT,Example!$G11,'Resource Demand - Activity'!DP:DP)</f>
        <v>0</v>
      </c>
      <c r="DV11" s="35">
        <f>SUMIF('Resource Demand - Activity'!$FT:$FT,Example!$G11,'Resource Demand - Activity'!DQ:DQ)</f>
        <v>0</v>
      </c>
      <c r="DW11" s="35">
        <f>SUMIF('Resource Demand - Activity'!$FT:$FT,Example!$G11,'Resource Demand - Activity'!DR:DR)</f>
        <v>0</v>
      </c>
      <c r="DX11" s="35">
        <f>SUMIF('Resource Demand - Activity'!$FT:$FT,Example!$G11,'Resource Demand - Activity'!DS:DS)</f>
        <v>0</v>
      </c>
      <c r="DY11" s="35">
        <f>SUMIF('Resource Demand - Activity'!$FT:$FT,Example!$G11,'Resource Demand - Activity'!DT:DT)</f>
        <v>0</v>
      </c>
      <c r="DZ11" s="35">
        <f>SUMIF('Resource Demand - Activity'!$FT:$FT,Example!$G11,'Resource Demand - Activity'!DU:DU)</f>
        <v>0</v>
      </c>
      <c r="EA11" s="35">
        <f>SUMIF('Resource Demand - Activity'!$FT:$FT,Example!$G11,'Resource Demand - Activity'!DV:DV)</f>
        <v>0</v>
      </c>
      <c r="EB11" s="35">
        <f>SUMIF('Resource Demand - Activity'!$FT:$FT,Example!$G11,'Resource Demand - Activity'!DW:DW)</f>
        <v>0</v>
      </c>
      <c r="EC11" s="35">
        <f>SUMIF('Resource Demand - Activity'!$FT:$FT,Example!$G11,'Resource Demand - Activity'!DX:DX)</f>
        <v>0</v>
      </c>
      <c r="ED11" s="35">
        <f>SUMIF('Resource Demand - Activity'!$FT:$FT,Example!$G11,'Resource Demand - Activity'!DY:DY)</f>
        <v>0</v>
      </c>
      <c r="EE11" s="36"/>
      <c r="EF11" s="35">
        <f>SUMIF('Resource Demand - Activity'!$FT:$FT,Example!$G11,'Resource Demand - Activity'!EA:EA)</f>
        <v>0</v>
      </c>
      <c r="EG11" s="35">
        <f>SUMIF('Resource Demand - Activity'!$FT:$FT,Example!$G11,'Resource Demand - Activity'!EB:EB)</f>
        <v>0</v>
      </c>
      <c r="EH11" s="35">
        <f>SUMIF('Resource Demand - Activity'!$FT:$FT,Example!$G11,'Resource Demand - Activity'!EC:EC)</f>
        <v>0</v>
      </c>
      <c r="EI11" s="35">
        <f>SUMIF('Resource Demand - Activity'!$FT:$FT,Example!$G11,'Resource Demand - Activity'!ED:ED)</f>
        <v>0</v>
      </c>
      <c r="EJ11" s="35">
        <f>SUMIF('Resource Demand - Activity'!$FT:$FT,Example!$G11,'Resource Demand - Activity'!EE:EE)</f>
        <v>0</v>
      </c>
      <c r="EK11" s="35">
        <f>SUMIF('Resource Demand - Activity'!$FT:$FT,Example!$G11,'Resource Demand - Activity'!EF:EF)</f>
        <v>0</v>
      </c>
      <c r="EL11" s="35">
        <f>SUMIF('Resource Demand - Activity'!$FT:$FT,Example!$G11,'Resource Demand - Activity'!EG:EG)</f>
        <v>0</v>
      </c>
      <c r="EM11" s="35">
        <f>SUMIF('Resource Demand - Activity'!$FT:$FT,Example!$G11,'Resource Demand - Activity'!EH:EH)</f>
        <v>0</v>
      </c>
      <c r="EN11" s="35">
        <f>SUMIF('Resource Demand - Activity'!$FT:$FT,Example!$G11,'Resource Demand - Activity'!EI:EI)</f>
        <v>0</v>
      </c>
      <c r="EO11" s="35">
        <f>SUMIF('Resource Demand - Activity'!$FT:$FT,Example!$G11,'Resource Demand - Activity'!EJ:EJ)</f>
        <v>0</v>
      </c>
      <c r="EP11" s="35">
        <f>SUMIF('Resource Demand - Activity'!$FT:$FT,Example!$G11,'Resource Demand - Activity'!EK:EK)</f>
        <v>0</v>
      </c>
      <c r="EQ11" s="35">
        <f>SUMIF('Resource Demand - Activity'!$FT:$FT,Example!$G11,'Resource Demand - Activity'!EL:EL)</f>
        <v>0</v>
      </c>
      <c r="ER11" s="35">
        <f>SUMIF('Resource Demand - Activity'!$FT:$FT,Example!$G11,'Resource Demand - Activity'!EM:EM)</f>
        <v>0</v>
      </c>
      <c r="ES11" s="35">
        <f>SUMIF('Resource Demand - Activity'!$FT:$FT,Example!$G11,'Resource Demand - Activity'!EN:EN)</f>
        <v>0</v>
      </c>
      <c r="ET11" s="35">
        <f>SUMIF('Resource Demand - Activity'!$FT:$FT,Example!$G11,'Resource Demand - Activity'!EO:EO)</f>
        <v>0</v>
      </c>
      <c r="EU11" s="35">
        <f>SUMIF('Resource Demand - Activity'!$FT:$FT,Example!$G11,'Resource Demand - Activity'!EP:EP)</f>
        <v>0</v>
      </c>
      <c r="EV11" s="35">
        <f>SUMIF('Resource Demand - Activity'!$FT:$FT,Example!$G11,'Resource Demand - Activity'!EQ:EQ)</f>
        <v>0</v>
      </c>
      <c r="EW11" s="35">
        <f>SUMIF('Resource Demand - Activity'!$FT:$FT,Example!$G11,'Resource Demand - Activity'!ER:ER)</f>
        <v>0</v>
      </c>
      <c r="EX11" s="35">
        <f>SUMIF('Resource Demand - Activity'!$FT:$FT,Example!$G11,'Resource Demand - Activity'!ES:ES)</f>
        <v>0</v>
      </c>
      <c r="EY11" s="35">
        <f>SUMIF('Resource Demand - Activity'!$FT:$FT,Example!$G11,'Resource Demand - Activity'!ET:ET)</f>
        <v>0</v>
      </c>
      <c r="EZ11" s="35">
        <f>SUMIF('Resource Demand - Activity'!$FT:$FT,Example!$G11,'Resource Demand - Activity'!EU:EU)</f>
        <v>0</v>
      </c>
      <c r="FA11" s="35">
        <f>SUMIF('Resource Demand - Activity'!$FT:$FT,Example!$G11,'Resource Demand - Activity'!EV:EV)</f>
        <v>0</v>
      </c>
      <c r="FB11" s="35">
        <f>SUMIF('Resource Demand - Activity'!$FT:$FT,Example!$G11,'Resource Demand - Activity'!EW:EW)</f>
        <v>0</v>
      </c>
      <c r="FC11" s="35">
        <f>SUMIF('Resource Demand - Activity'!$FT:$FT,Example!$G11,'Resource Demand - Activity'!EX:EX)</f>
        <v>0</v>
      </c>
      <c r="FD11" s="36"/>
      <c r="FE11" s="35">
        <f>SUMIF('Resource Demand - Activity'!$FT:$FT,Example!$G11,'Resource Demand - Activity'!EZ:EZ)</f>
        <v>0</v>
      </c>
      <c r="FF11" s="35">
        <f>SUMIF('Resource Demand - Activity'!$FT:$FT,Example!$G11,'Resource Demand - Activity'!FA:FA)</f>
        <v>0</v>
      </c>
      <c r="FG11" s="35">
        <f>SUMIF('Resource Demand - Activity'!$FT:$FT,Example!$G11,'Resource Demand - Activity'!FB:FB)</f>
        <v>0</v>
      </c>
      <c r="FH11" s="35">
        <f>SUMIF('Resource Demand - Activity'!$FT:$FT,Example!$G11,'Resource Demand - Activity'!FC:FC)</f>
        <v>0</v>
      </c>
      <c r="FI11" s="35">
        <f>SUMIF('Resource Demand - Activity'!$FT:$FT,Example!$G11,'Resource Demand - Activity'!FD:FD)</f>
        <v>0</v>
      </c>
      <c r="FJ11" s="35">
        <f>SUMIF('Resource Demand - Activity'!$FT:$FT,Example!$G11,'Resource Demand - Activity'!FE:FE)</f>
        <v>0</v>
      </c>
      <c r="FK11" s="35">
        <f>SUMIF('Resource Demand - Activity'!$FT:$FT,Example!$G11,'Resource Demand - Activity'!FF:FF)</f>
        <v>0</v>
      </c>
      <c r="FL11" s="35">
        <f>SUMIF('Resource Demand - Activity'!$FT:$FT,Example!$G11,'Resource Demand - Activity'!FG:FG)</f>
        <v>0</v>
      </c>
      <c r="FM11" s="35">
        <f>SUMIF('Resource Demand - Activity'!$FT:$FT,Example!$G11,'Resource Demand - Activity'!FH:FH)</f>
        <v>0</v>
      </c>
      <c r="FN11" s="35">
        <f>SUMIF('Resource Demand - Activity'!$FT:$FT,Example!$G11,'Resource Demand - Activity'!FI:FI)</f>
        <v>0</v>
      </c>
      <c r="FO11" s="35">
        <f>SUMIF('Resource Demand - Activity'!$FT:$FT,Example!$G11,'Resource Demand - Activity'!FJ:FJ)</f>
        <v>0</v>
      </c>
      <c r="FP11" s="35">
        <f>SUMIF('Resource Demand - Activity'!$FT:$FT,Example!$G11,'Resource Demand - Activity'!FK:FK)</f>
        <v>0</v>
      </c>
      <c r="FQ11" s="35">
        <f>SUMIF('Resource Demand - Activity'!$FT:$FT,Example!$G11,'Resource Demand - Activity'!FL:FL)</f>
        <v>0</v>
      </c>
      <c r="FR11" s="35">
        <f>SUMIF('Resource Demand - Activity'!$FT:$FT,Example!$G11,'Resource Demand - Activity'!FM:FM)</f>
        <v>0</v>
      </c>
      <c r="FS11" s="35">
        <f>SUMIF('Resource Demand - Activity'!$FT:$FT,Example!$G11,'Resource Demand - Activity'!FN:FN)</f>
        <v>0</v>
      </c>
      <c r="FT11" s="35">
        <f>SUMIF('Resource Demand - Activity'!$FT:$FT,Example!$G11,'Resource Demand - Activity'!FO:FO)</f>
        <v>0</v>
      </c>
      <c r="FU11" s="35">
        <f>SUMIF('Resource Demand - Activity'!$FT:$FT,Example!$G11,'Resource Demand - Activity'!FP:FP)</f>
        <v>0</v>
      </c>
      <c r="FV11" s="52">
        <f>SUMIF('Resource Demand - Activity'!$FT:$FT,Example!$G11,'Resource Demand - Activity'!FQ:FQ)</f>
        <v>0</v>
      </c>
    </row>
    <row r="12" spans="2:178" s="58" customFormat="1" ht="12" customHeight="1">
      <c r="G12" s="64" t="str">
        <f t="shared" si="3"/>
        <v>8. NSTs/ECB Development &amp; Reporting 8.2 ReviewGlenn Kirk</v>
      </c>
      <c r="H12" s="102" t="s">
        <v>154</v>
      </c>
      <c r="I12" s="59" t="str">
        <f>INDEX('Resource Demand - Activity'!C:C,MATCH(Example!G12,'Resource Demand - Activity'!FT:FT,0))</f>
        <v>3 days</v>
      </c>
      <c r="J12" s="51">
        <f>SUMIF('Resource Demand - Activity'!$FT:$FT,Example!$G12,'Resource Demand - Activity'!E:E)</f>
        <v>0</v>
      </c>
      <c r="K12" s="35">
        <f>SUMIF('Resource Demand - Activity'!$FT:$FT,Example!$G12,'Resource Demand - Activity'!F:F)</f>
        <v>0</v>
      </c>
      <c r="L12" s="35">
        <f>SUMIF('Resource Demand - Activity'!$FT:$FT,Example!$G12,'Resource Demand - Activity'!G:G)</f>
        <v>0</v>
      </c>
      <c r="M12" s="35">
        <f>SUMIF('Resource Demand - Activity'!$FT:$FT,Example!$G12,'Resource Demand - Activity'!H:H)</f>
        <v>0</v>
      </c>
      <c r="N12" s="35">
        <f>SUMIF('Resource Demand - Activity'!$FT:$FT,Example!$G12,'Resource Demand - Activity'!I:I)</f>
        <v>0</v>
      </c>
      <c r="O12" s="35">
        <f>SUMIF('Resource Demand - Activity'!$FT:$FT,Example!$G12,'Resource Demand - Activity'!J:J)</f>
        <v>0</v>
      </c>
      <c r="P12" s="35">
        <f>SUMIF('Resource Demand - Activity'!$FT:$FT,Example!$G12,'Resource Demand - Activity'!K:K)</f>
        <v>0</v>
      </c>
      <c r="Q12" s="35">
        <f>SUMIF('Resource Demand - Activity'!$FT:$FT,Example!$G12,'Resource Demand - Activity'!L:L)</f>
        <v>0</v>
      </c>
      <c r="R12" s="35">
        <f>SUMIF('Resource Demand - Activity'!$FT:$FT,Example!$G12,'Resource Demand - Activity'!M:M)</f>
        <v>0</v>
      </c>
      <c r="S12" s="35">
        <f>SUMIF('Resource Demand - Activity'!$FT:$FT,Example!$G12,'Resource Demand - Activity'!N:N)</f>
        <v>0</v>
      </c>
      <c r="T12" s="35">
        <f>SUMIF('Resource Demand - Activity'!$FT:$FT,Example!$G12,'Resource Demand - Activity'!O:O)</f>
        <v>0</v>
      </c>
      <c r="U12" s="35">
        <f>SUMIF('Resource Demand - Activity'!$FT:$FT,Example!$G12,'Resource Demand - Activity'!P:P)</f>
        <v>0</v>
      </c>
      <c r="V12" s="35">
        <f>SUMIF('Resource Demand - Activity'!$FT:$FT,Example!$G12,'Resource Demand - Activity'!Q:Q)</f>
        <v>0</v>
      </c>
      <c r="W12" s="35">
        <f>SUMIF('Resource Demand - Activity'!$FT:$FT,Example!$G12,'Resource Demand - Activity'!R:R)</f>
        <v>0</v>
      </c>
      <c r="X12" s="35">
        <f>SUMIF('Resource Demand - Activity'!$FT:$FT,Example!$G12,'Resource Demand - Activity'!S:S)</f>
        <v>0</v>
      </c>
      <c r="Y12" s="35">
        <f>SUMIF('Resource Demand - Activity'!$FT:$FT,Example!$G12,'Resource Demand - Activity'!T:T)</f>
        <v>0</v>
      </c>
      <c r="Z12" s="35">
        <f>SUMIF('Resource Demand - Activity'!$FT:$FT,Example!$G12,'Resource Demand - Activity'!U:U)</f>
        <v>0</v>
      </c>
      <c r="AA12" s="35">
        <f>SUMIF('Resource Demand - Activity'!$FT:$FT,Example!$G12,'Resource Demand - Activity'!V:V)</f>
        <v>0</v>
      </c>
      <c r="AB12" s="35">
        <f>SUMIF('Resource Demand - Activity'!$FT:$FT,Example!$G12,'Resource Demand - Activity'!W:W)</f>
        <v>0</v>
      </c>
      <c r="AC12" s="35">
        <f>SUMIF('Resource Demand - Activity'!$FT:$FT,Example!$G12,'Resource Demand - Activity'!X:X)</f>
        <v>0</v>
      </c>
      <c r="AD12" s="35">
        <f>SUMIF('Resource Demand - Activity'!$FT:$FT,Example!$G12,'Resource Demand - Activity'!Y:Y)</f>
        <v>0.25</v>
      </c>
      <c r="AE12" s="35">
        <f>SUMIF('Resource Demand - Activity'!$FT:$FT,Example!$G12,'Resource Demand - Activity'!Z:Z)</f>
        <v>0</v>
      </c>
      <c r="AF12" s="35">
        <f>SUMIF('Resource Demand - Activity'!$FT:$FT,Example!$G12,'Resource Demand - Activity'!AA:AA)</f>
        <v>0</v>
      </c>
      <c r="AG12" s="35">
        <f>SUMIF('Resource Demand - Activity'!$FT:$FT,Example!$G12,'Resource Demand - Activity'!AB:AB)</f>
        <v>0</v>
      </c>
      <c r="AH12" s="35">
        <f>SUMIF('Resource Demand - Activity'!$FT:$FT,Example!$G12,'Resource Demand - Activity'!AC:AC)</f>
        <v>0.25</v>
      </c>
      <c r="AI12" s="35">
        <f>SUMIF('Resource Demand - Activity'!$FT:$FT,Example!$G12,'Resource Demand - Activity'!AD:AD)</f>
        <v>0</v>
      </c>
      <c r="AJ12" s="35">
        <f>SUMIF('Resource Demand - Activity'!$FT:$FT,Example!$G12,'Resource Demand - Activity'!AE:AE)</f>
        <v>0</v>
      </c>
      <c r="AK12" s="35">
        <f>SUMIF('Resource Demand - Activity'!$FT:$FT,Example!$G12,'Resource Demand - Activity'!AF:AF)</f>
        <v>0</v>
      </c>
      <c r="AL12" s="35">
        <f>SUMIF('Resource Demand - Activity'!$FT:$FT,Example!$G12,'Resource Demand - Activity'!AG:AG)</f>
        <v>0</v>
      </c>
      <c r="AM12" s="35">
        <f>SUMIF('Resource Demand - Activity'!$FT:$FT,Example!$G12,'Resource Demand - Activity'!AH:AH)</f>
        <v>0</v>
      </c>
      <c r="AN12" s="35">
        <f>SUMIF('Resource Demand - Activity'!$FT:$FT,Example!$G12,'Resource Demand - Activity'!AI:AI)</f>
        <v>0</v>
      </c>
      <c r="AO12" s="35">
        <f>SUMIF('Resource Demand - Activity'!$FT:$FT,Example!$G12,'Resource Demand - Activity'!AJ:AJ)</f>
        <v>0</v>
      </c>
      <c r="AP12" s="35">
        <f>SUMIF('Resource Demand - Activity'!$FT:$FT,Example!$G12,'Resource Demand - Activity'!AK:AK)</f>
        <v>0.5</v>
      </c>
      <c r="AQ12" s="36"/>
      <c r="AR12" s="36"/>
      <c r="AS12" s="36"/>
      <c r="AT12" s="36"/>
      <c r="AU12" s="36"/>
      <c r="AV12" s="36"/>
      <c r="AW12" s="36"/>
      <c r="AX12" s="35">
        <f>SUMIF('Resource Demand - Activity'!$FT:$FT,Example!$G12,'Resource Demand - Activity'!AS:AS)</f>
        <v>0</v>
      </c>
      <c r="AY12" s="35">
        <f>SUMIF('Resource Demand - Activity'!$FT:$FT,Example!$G12,'Resource Demand - Activity'!AT:AT)</f>
        <v>0</v>
      </c>
      <c r="AZ12" s="35">
        <f>SUMIF('Resource Demand - Activity'!$FT:$FT,Example!$G12,'Resource Demand - Activity'!AU:AU)</f>
        <v>0</v>
      </c>
      <c r="BA12" s="35">
        <f>SUMIF('Resource Demand - Activity'!$FT:$FT,Example!$G12,'Resource Demand - Activity'!AV:AV)</f>
        <v>0</v>
      </c>
      <c r="BB12" s="35">
        <f>SUMIF('Resource Demand - Activity'!$FT:$FT,Example!$G12,'Resource Demand - Activity'!AW:AW)</f>
        <v>0</v>
      </c>
      <c r="BC12" s="35">
        <f>SUMIF('Resource Demand - Activity'!$FT:$FT,Example!$G12,'Resource Demand - Activity'!AX:AX)</f>
        <v>0.5</v>
      </c>
      <c r="BD12" s="35">
        <f>SUMIF('Resource Demand - Activity'!$FT:$FT,Example!$G12,'Resource Demand - Activity'!AY:AY)</f>
        <v>0</v>
      </c>
      <c r="BE12" s="35">
        <f>SUMIF('Resource Demand - Activity'!$FT:$FT,Example!$G12,'Resource Demand - Activity'!AZ:AZ)</f>
        <v>0</v>
      </c>
      <c r="BF12" s="35">
        <f>SUMIF('Resource Demand - Activity'!$FT:$FT,Example!$G12,'Resource Demand - Activity'!BA:BA)</f>
        <v>0</v>
      </c>
      <c r="BG12" s="35">
        <f>SUMIF('Resource Demand - Activity'!$FT:$FT,Example!$G12,'Resource Demand - Activity'!BB:BB)</f>
        <v>0</v>
      </c>
      <c r="BH12" s="35">
        <f>SUMIF('Resource Demand - Activity'!$FT:$FT,Example!$G12,'Resource Demand - Activity'!BC:BC)</f>
        <v>0</v>
      </c>
      <c r="BI12" s="35">
        <f>SUMIF('Resource Demand - Activity'!$FT:$FT,Example!$G12,'Resource Demand - Activity'!BD:BD)</f>
        <v>0</v>
      </c>
      <c r="BJ12" s="35">
        <f>SUMIF('Resource Demand - Activity'!$FT:$FT,Example!$G12,'Resource Demand - Activity'!BE:BE)</f>
        <v>0</v>
      </c>
      <c r="BK12" s="35">
        <f>SUMIF('Resource Demand - Activity'!$FT:$FT,Example!$G12,'Resource Demand - Activity'!BF:BF)</f>
        <v>0</v>
      </c>
      <c r="BL12" s="35">
        <f>SUMIF('Resource Demand - Activity'!$FT:$FT,Example!$G12,'Resource Demand - Activity'!BG:BG)</f>
        <v>0</v>
      </c>
      <c r="BM12" s="35">
        <f>SUMIF('Resource Demand - Activity'!$FT:$FT,Example!$G12,'Resource Demand - Activity'!BH:BH)</f>
        <v>0</v>
      </c>
      <c r="BN12" s="35">
        <f>SUMIF('Resource Demand - Activity'!$FT:$FT,Example!$G12,'Resource Demand - Activity'!BI:BI)</f>
        <v>0</v>
      </c>
      <c r="BO12" s="35">
        <f>SUMIF('Resource Demand - Activity'!$FT:$FT,Example!$G12,'Resource Demand - Activity'!BJ:BJ)</f>
        <v>0</v>
      </c>
      <c r="BP12" s="35">
        <f>SUMIF('Resource Demand - Activity'!$FT:$FT,Example!$G12,'Resource Demand - Activity'!BK:BK)</f>
        <v>0</v>
      </c>
      <c r="BQ12" s="35">
        <f>SUMIF('Resource Demand - Activity'!$FT:$FT,Example!$G12,'Resource Demand - Activity'!BL:BL)</f>
        <v>0</v>
      </c>
      <c r="BR12" s="35">
        <f>SUMIF('Resource Demand - Activity'!$FT:$FT,Example!$G12,'Resource Demand - Activity'!BM:BM)</f>
        <v>0</v>
      </c>
      <c r="BS12" s="35">
        <f>SUMIF('Resource Demand - Activity'!$FT:$FT,Example!$G12,'Resource Demand - Activity'!BN:BN)</f>
        <v>0</v>
      </c>
      <c r="BT12" s="35">
        <f>SUMIF('Resource Demand - Activity'!$FT:$FT,Example!$G12,'Resource Demand - Activity'!BO:BO)</f>
        <v>0</v>
      </c>
      <c r="BU12" s="35">
        <f>SUMIF('Resource Demand - Activity'!$FT:$FT,Example!$G12,'Resource Demand - Activity'!BP:BP)</f>
        <v>0</v>
      </c>
      <c r="BV12" s="35">
        <f>SUMIF('Resource Demand - Activity'!$FT:$FT,Example!$G12,'Resource Demand - Activity'!BQ:BQ)</f>
        <v>0</v>
      </c>
      <c r="BW12" s="35">
        <f>SUMIF('Resource Demand - Activity'!$FT:$FT,Example!$G12,'Resource Demand - Activity'!BR:BR)</f>
        <v>0</v>
      </c>
      <c r="BX12" s="35">
        <f>SUMIF('Resource Demand - Activity'!$FT:$FT,Example!$G12,'Resource Demand - Activity'!BS:BS)</f>
        <v>0</v>
      </c>
      <c r="BY12" s="35">
        <f>SUMIF('Resource Demand - Activity'!$FT:$FT,Example!$G12,'Resource Demand - Activity'!BT:BT)</f>
        <v>0</v>
      </c>
      <c r="BZ12" s="35">
        <f>SUMIF('Resource Demand - Activity'!$FT:$FT,Example!$G12,'Resource Demand - Activity'!BU:BU)</f>
        <v>0</v>
      </c>
      <c r="CA12" s="35">
        <f>SUMIF('Resource Demand - Activity'!$FT:$FT,Example!$G12,'Resource Demand - Activity'!BV:BV)</f>
        <v>0</v>
      </c>
      <c r="CB12" s="35">
        <f>SUMIF('Resource Demand - Activity'!$FT:$FT,Example!$G12,'Resource Demand - Activity'!BW:BW)</f>
        <v>0</v>
      </c>
      <c r="CC12" s="35">
        <f>SUMIF('Resource Demand - Activity'!$FT:$FT,Example!$G12,'Resource Demand - Activity'!BX:BX)</f>
        <v>0</v>
      </c>
      <c r="CD12" s="35">
        <f>SUMIF('Resource Demand - Activity'!$FT:$FT,Example!$G12,'Resource Demand - Activity'!BY:BY)</f>
        <v>0</v>
      </c>
      <c r="CE12" s="35">
        <f>SUMIF('Resource Demand - Activity'!$FT:$FT,Example!$G12,'Resource Demand - Activity'!BZ:BZ)</f>
        <v>0</v>
      </c>
      <c r="CF12" s="35">
        <f>SUMIF('Resource Demand - Activity'!$FT:$FT,Example!$G12,'Resource Demand - Activity'!CA:CA)</f>
        <v>0.5</v>
      </c>
      <c r="CG12" s="35">
        <f>SUMIF('Resource Demand - Activity'!$FT:$FT,Example!$G12,'Resource Demand - Activity'!CB:CB)</f>
        <v>0</v>
      </c>
      <c r="CH12" s="35">
        <f>SUMIF('Resource Demand - Activity'!$FT:$FT,Example!$G12,'Resource Demand - Activity'!CC:CC)</f>
        <v>0</v>
      </c>
      <c r="CI12" s="35">
        <f>SUMIF('Resource Demand - Activity'!$FT:$FT,Example!$G12,'Resource Demand - Activity'!CD:CD)</f>
        <v>0</v>
      </c>
      <c r="CJ12" s="35">
        <f>SUMIF('Resource Demand - Activity'!$FT:$FT,Example!$G12,'Resource Demand - Activity'!CE:CE)</f>
        <v>0</v>
      </c>
      <c r="CK12" s="35">
        <f>SUMIF('Resource Demand - Activity'!$FT:$FT,Example!$G12,'Resource Demand - Activity'!CF:CF)</f>
        <v>0</v>
      </c>
      <c r="CL12" s="35">
        <f>SUMIF('Resource Demand - Activity'!$FT:$FT,Example!$G12,'Resource Demand - Activity'!CG:CG)</f>
        <v>0</v>
      </c>
      <c r="CM12" s="35">
        <f>SUMIF('Resource Demand - Activity'!$FT:$FT,Example!$G12,'Resource Demand - Activity'!CH:CH)</f>
        <v>0</v>
      </c>
      <c r="CN12" s="35">
        <f>SUMIF('Resource Demand - Activity'!$FT:$FT,Example!$G12,'Resource Demand - Activity'!CI:CI)</f>
        <v>0</v>
      </c>
      <c r="CO12" s="35">
        <f>SUMIF('Resource Demand - Activity'!$FT:$FT,Example!$G12,'Resource Demand - Activity'!CJ:CJ)</f>
        <v>0</v>
      </c>
      <c r="CP12" s="35">
        <f>SUMIF('Resource Demand - Activity'!$FT:$FT,Example!$G12,'Resource Demand - Activity'!CK:CK)</f>
        <v>0</v>
      </c>
      <c r="CQ12" s="35">
        <f>SUMIF('Resource Demand - Activity'!$FT:$FT,Example!$G12,'Resource Demand - Activity'!CL:CL)</f>
        <v>0</v>
      </c>
      <c r="CR12" s="35">
        <f>SUMIF('Resource Demand - Activity'!$FT:$FT,Example!$G12,'Resource Demand - Activity'!CM:CM)</f>
        <v>0</v>
      </c>
      <c r="CS12" s="35">
        <f>SUMIF('Resource Demand - Activity'!$FT:$FT,Example!$G12,'Resource Demand - Activity'!CN:CN)</f>
        <v>0</v>
      </c>
      <c r="CT12" s="35">
        <f>SUMIF('Resource Demand - Activity'!$FT:$FT,Example!$G12,'Resource Demand - Activity'!CO:CO)</f>
        <v>0</v>
      </c>
      <c r="CU12" s="35">
        <f>SUMIF('Resource Demand - Activity'!$FT:$FT,Example!$G12,'Resource Demand - Activity'!CP:CP)</f>
        <v>0</v>
      </c>
      <c r="CV12" s="35">
        <f>SUMIF('Resource Demand - Activity'!$FT:$FT,Example!$G12,'Resource Demand - Activity'!CQ:CQ)</f>
        <v>0</v>
      </c>
      <c r="CW12" s="35">
        <f>SUMIF('Resource Demand - Activity'!$FT:$FT,Example!$G12,'Resource Demand - Activity'!CR:CR)</f>
        <v>0</v>
      </c>
      <c r="CX12" s="35">
        <f>SUMIF('Resource Demand - Activity'!$FT:$FT,Example!$G12,'Resource Demand - Activity'!CS:CS)</f>
        <v>0</v>
      </c>
      <c r="CY12" s="36"/>
      <c r="CZ12" s="35">
        <f>SUMIF('Resource Demand - Activity'!$FT:$FT,Example!$G12,'Resource Demand - Activity'!CU:CU)</f>
        <v>0</v>
      </c>
      <c r="DA12" s="35">
        <f>SUMIF('Resource Demand - Activity'!$FT:$FT,Example!$G12,'Resource Demand - Activity'!CV:CV)</f>
        <v>0</v>
      </c>
      <c r="DB12" s="35">
        <f>SUMIF('Resource Demand - Activity'!$FT:$FT,Example!$G12,'Resource Demand - Activity'!CW:CW)</f>
        <v>0</v>
      </c>
      <c r="DC12" s="35">
        <f>SUMIF('Resource Demand - Activity'!$FT:$FT,Example!$G12,'Resource Demand - Activity'!CX:CX)</f>
        <v>0</v>
      </c>
      <c r="DD12" s="35">
        <f>SUMIF('Resource Demand - Activity'!$FT:$FT,Example!$G12,'Resource Demand - Activity'!CY:CY)</f>
        <v>0</v>
      </c>
      <c r="DE12" s="36"/>
      <c r="DF12" s="36"/>
      <c r="DG12" s="35">
        <f>SUMIF('Resource Demand - Activity'!$FT:$FT,Example!$G12,'Resource Demand - Activity'!DB:DB)</f>
        <v>0</v>
      </c>
      <c r="DH12" s="35">
        <f>SUMIF('Resource Demand - Activity'!$FT:$FT,Example!$G12,'Resource Demand - Activity'!DC:DC)</f>
        <v>0</v>
      </c>
      <c r="DI12" s="35">
        <f>SUMIF('Resource Demand - Activity'!$FT:$FT,Example!$G12,'Resource Demand - Activity'!DD:DD)</f>
        <v>0</v>
      </c>
      <c r="DJ12" s="35">
        <f>SUMIF('Resource Demand - Activity'!$FT:$FT,Example!$G12,'Resource Demand - Activity'!DE:DE)</f>
        <v>0</v>
      </c>
      <c r="DK12" s="35">
        <f>SUMIF('Resource Demand - Activity'!$FT:$FT,Example!$G12,'Resource Demand - Activity'!DF:DF)</f>
        <v>0</v>
      </c>
      <c r="DL12" s="35">
        <f>SUMIF('Resource Demand - Activity'!$FT:$FT,Example!$G12,'Resource Demand - Activity'!DG:DG)</f>
        <v>0</v>
      </c>
      <c r="DM12" s="35">
        <f>SUMIF('Resource Demand - Activity'!$FT:$FT,Example!$G12,'Resource Demand - Activity'!DH:DH)</f>
        <v>0</v>
      </c>
      <c r="DN12" s="35">
        <f>SUMIF('Resource Demand - Activity'!$FT:$FT,Example!$G12,'Resource Demand - Activity'!DI:DI)</f>
        <v>0</v>
      </c>
      <c r="DO12" s="35">
        <f>SUMIF('Resource Demand - Activity'!$FT:$FT,Example!$G12,'Resource Demand - Activity'!DJ:DJ)</f>
        <v>0.5</v>
      </c>
      <c r="DP12" s="35">
        <f>SUMIF('Resource Demand - Activity'!$FT:$FT,Example!$G12,'Resource Demand - Activity'!DK:DK)</f>
        <v>0</v>
      </c>
      <c r="DQ12" s="35">
        <f>SUMIF('Resource Demand - Activity'!$FT:$FT,Example!$G12,'Resource Demand - Activity'!DL:DL)</f>
        <v>0</v>
      </c>
      <c r="DR12" s="35">
        <f>SUMIF('Resource Demand - Activity'!$FT:$FT,Example!$G12,'Resource Demand - Activity'!DM:DM)</f>
        <v>0</v>
      </c>
      <c r="DS12" s="35">
        <f>SUMIF('Resource Demand - Activity'!$FT:$FT,Example!$G12,'Resource Demand - Activity'!DN:DN)</f>
        <v>0</v>
      </c>
      <c r="DT12" s="35">
        <f>SUMIF('Resource Demand - Activity'!$FT:$FT,Example!$G12,'Resource Demand - Activity'!DO:DO)</f>
        <v>0</v>
      </c>
      <c r="DU12" s="35">
        <f>SUMIF('Resource Demand - Activity'!$FT:$FT,Example!$G12,'Resource Demand - Activity'!DP:DP)</f>
        <v>0</v>
      </c>
      <c r="DV12" s="35">
        <f>SUMIF('Resource Demand - Activity'!$FT:$FT,Example!$G12,'Resource Demand - Activity'!DQ:DQ)</f>
        <v>0</v>
      </c>
      <c r="DW12" s="35">
        <f>SUMIF('Resource Demand - Activity'!$FT:$FT,Example!$G12,'Resource Demand - Activity'!DR:DR)</f>
        <v>0</v>
      </c>
      <c r="DX12" s="35">
        <f>SUMIF('Resource Demand - Activity'!$FT:$FT,Example!$G12,'Resource Demand - Activity'!DS:DS)</f>
        <v>0</v>
      </c>
      <c r="DY12" s="35">
        <f>SUMIF('Resource Demand - Activity'!$FT:$FT,Example!$G12,'Resource Demand - Activity'!DT:DT)</f>
        <v>0</v>
      </c>
      <c r="DZ12" s="35">
        <f>SUMIF('Resource Demand - Activity'!$FT:$FT,Example!$G12,'Resource Demand - Activity'!DU:DU)</f>
        <v>0</v>
      </c>
      <c r="EA12" s="35">
        <f>SUMIF('Resource Demand - Activity'!$FT:$FT,Example!$G12,'Resource Demand - Activity'!DV:DV)</f>
        <v>0</v>
      </c>
      <c r="EB12" s="35">
        <f>SUMIF('Resource Demand - Activity'!$FT:$FT,Example!$G12,'Resource Demand - Activity'!DW:DW)</f>
        <v>0</v>
      </c>
      <c r="EC12" s="35">
        <f>SUMIF('Resource Demand - Activity'!$FT:$FT,Example!$G12,'Resource Demand - Activity'!DX:DX)</f>
        <v>0</v>
      </c>
      <c r="ED12" s="35">
        <f>SUMIF('Resource Demand - Activity'!$FT:$FT,Example!$G12,'Resource Demand - Activity'!DY:DY)</f>
        <v>0</v>
      </c>
      <c r="EE12" s="36"/>
      <c r="EF12" s="35">
        <f>SUMIF('Resource Demand - Activity'!$FT:$FT,Example!$G12,'Resource Demand - Activity'!EA:EA)</f>
        <v>0</v>
      </c>
      <c r="EG12" s="35">
        <f>SUMIF('Resource Demand - Activity'!$FT:$FT,Example!$G12,'Resource Demand - Activity'!EB:EB)</f>
        <v>0</v>
      </c>
      <c r="EH12" s="35">
        <f>SUMIF('Resource Demand - Activity'!$FT:$FT,Example!$G12,'Resource Demand - Activity'!EC:EC)</f>
        <v>0</v>
      </c>
      <c r="EI12" s="35">
        <f>SUMIF('Resource Demand - Activity'!$FT:$FT,Example!$G12,'Resource Demand - Activity'!ED:ED)</f>
        <v>0</v>
      </c>
      <c r="EJ12" s="35">
        <f>SUMIF('Resource Demand - Activity'!$FT:$FT,Example!$G12,'Resource Demand - Activity'!EE:EE)</f>
        <v>0</v>
      </c>
      <c r="EK12" s="35">
        <f>SUMIF('Resource Demand - Activity'!$FT:$FT,Example!$G12,'Resource Demand - Activity'!EF:EF)</f>
        <v>0</v>
      </c>
      <c r="EL12" s="35">
        <f>SUMIF('Resource Demand - Activity'!$FT:$FT,Example!$G12,'Resource Demand - Activity'!EG:EG)</f>
        <v>0</v>
      </c>
      <c r="EM12" s="35">
        <f>SUMIF('Resource Demand - Activity'!$FT:$FT,Example!$G12,'Resource Demand - Activity'!EH:EH)</f>
        <v>0</v>
      </c>
      <c r="EN12" s="35">
        <f>SUMIF('Resource Demand - Activity'!$FT:$FT,Example!$G12,'Resource Demand - Activity'!EI:EI)</f>
        <v>0</v>
      </c>
      <c r="EO12" s="35">
        <f>SUMIF('Resource Demand - Activity'!$FT:$FT,Example!$G12,'Resource Demand - Activity'!EJ:EJ)</f>
        <v>0</v>
      </c>
      <c r="EP12" s="35">
        <f>SUMIF('Resource Demand - Activity'!$FT:$FT,Example!$G12,'Resource Demand - Activity'!EK:EK)</f>
        <v>0</v>
      </c>
      <c r="EQ12" s="35">
        <f>SUMIF('Resource Demand - Activity'!$FT:$FT,Example!$G12,'Resource Demand - Activity'!EL:EL)</f>
        <v>0</v>
      </c>
      <c r="ER12" s="35">
        <f>SUMIF('Resource Demand - Activity'!$FT:$FT,Example!$G12,'Resource Demand - Activity'!EM:EM)</f>
        <v>0</v>
      </c>
      <c r="ES12" s="35">
        <f>SUMIF('Resource Demand - Activity'!$FT:$FT,Example!$G12,'Resource Demand - Activity'!EN:EN)</f>
        <v>0</v>
      </c>
      <c r="ET12" s="35">
        <f>SUMIF('Resource Demand - Activity'!$FT:$FT,Example!$G12,'Resource Demand - Activity'!EO:EO)</f>
        <v>0</v>
      </c>
      <c r="EU12" s="35">
        <f>SUMIF('Resource Demand - Activity'!$FT:$FT,Example!$G12,'Resource Demand - Activity'!EP:EP)</f>
        <v>0</v>
      </c>
      <c r="EV12" s="35">
        <f>SUMIF('Resource Demand - Activity'!$FT:$FT,Example!$G12,'Resource Demand - Activity'!EQ:EQ)</f>
        <v>0</v>
      </c>
      <c r="EW12" s="35">
        <f>SUMIF('Resource Demand - Activity'!$FT:$FT,Example!$G12,'Resource Demand - Activity'!ER:ER)</f>
        <v>0</v>
      </c>
      <c r="EX12" s="35">
        <f>SUMIF('Resource Demand - Activity'!$FT:$FT,Example!$G12,'Resource Demand - Activity'!ES:ES)</f>
        <v>0</v>
      </c>
      <c r="EY12" s="35">
        <f>SUMIF('Resource Demand - Activity'!$FT:$FT,Example!$G12,'Resource Demand - Activity'!ET:ET)</f>
        <v>0</v>
      </c>
      <c r="EZ12" s="35">
        <f>SUMIF('Resource Demand - Activity'!$FT:$FT,Example!$G12,'Resource Demand - Activity'!EU:EU)</f>
        <v>0</v>
      </c>
      <c r="FA12" s="35">
        <f>SUMIF('Resource Demand - Activity'!$FT:$FT,Example!$G12,'Resource Demand - Activity'!EV:EV)</f>
        <v>0</v>
      </c>
      <c r="FB12" s="35">
        <f>SUMIF('Resource Demand - Activity'!$FT:$FT,Example!$G12,'Resource Demand - Activity'!EW:EW)</f>
        <v>0</v>
      </c>
      <c r="FC12" s="35">
        <f>SUMIF('Resource Demand - Activity'!$FT:$FT,Example!$G12,'Resource Demand - Activity'!EX:EX)</f>
        <v>0</v>
      </c>
      <c r="FD12" s="36"/>
      <c r="FE12" s="35">
        <f>SUMIF('Resource Demand - Activity'!$FT:$FT,Example!$G12,'Resource Demand - Activity'!EZ:EZ)</f>
        <v>0</v>
      </c>
      <c r="FF12" s="35">
        <f>SUMIF('Resource Demand - Activity'!$FT:$FT,Example!$G12,'Resource Demand - Activity'!FA:FA)</f>
        <v>0</v>
      </c>
      <c r="FG12" s="35">
        <f>SUMIF('Resource Demand - Activity'!$FT:$FT,Example!$G12,'Resource Demand - Activity'!FB:FB)</f>
        <v>0</v>
      </c>
      <c r="FH12" s="35">
        <f>SUMIF('Resource Demand - Activity'!$FT:$FT,Example!$G12,'Resource Demand - Activity'!FC:FC)</f>
        <v>0</v>
      </c>
      <c r="FI12" s="35">
        <f>SUMIF('Resource Demand - Activity'!$FT:$FT,Example!$G12,'Resource Demand - Activity'!FD:FD)</f>
        <v>0</v>
      </c>
      <c r="FJ12" s="35">
        <f>SUMIF('Resource Demand - Activity'!$FT:$FT,Example!$G12,'Resource Demand - Activity'!FE:FE)</f>
        <v>0</v>
      </c>
      <c r="FK12" s="35">
        <f>SUMIF('Resource Demand - Activity'!$FT:$FT,Example!$G12,'Resource Demand - Activity'!FF:FF)</f>
        <v>0</v>
      </c>
      <c r="FL12" s="35">
        <f>SUMIF('Resource Demand - Activity'!$FT:$FT,Example!$G12,'Resource Demand - Activity'!FG:FG)</f>
        <v>0</v>
      </c>
      <c r="FM12" s="35">
        <f>SUMIF('Resource Demand - Activity'!$FT:$FT,Example!$G12,'Resource Demand - Activity'!FH:FH)</f>
        <v>0</v>
      </c>
      <c r="FN12" s="35">
        <f>SUMIF('Resource Demand - Activity'!$FT:$FT,Example!$G12,'Resource Demand - Activity'!FI:FI)</f>
        <v>0</v>
      </c>
      <c r="FO12" s="35">
        <f>SUMIF('Resource Demand - Activity'!$FT:$FT,Example!$G12,'Resource Demand - Activity'!FJ:FJ)</f>
        <v>0</v>
      </c>
      <c r="FP12" s="35">
        <f>SUMIF('Resource Demand - Activity'!$FT:$FT,Example!$G12,'Resource Demand - Activity'!FK:FK)</f>
        <v>0</v>
      </c>
      <c r="FQ12" s="35">
        <f>SUMIF('Resource Demand - Activity'!$FT:$FT,Example!$G12,'Resource Demand - Activity'!FL:FL)</f>
        <v>0</v>
      </c>
      <c r="FR12" s="35">
        <f>SUMIF('Resource Demand - Activity'!$FT:$FT,Example!$G12,'Resource Demand - Activity'!FM:FM)</f>
        <v>0</v>
      </c>
      <c r="FS12" s="35">
        <f>SUMIF('Resource Demand - Activity'!$FT:$FT,Example!$G12,'Resource Demand - Activity'!FN:FN)</f>
        <v>0</v>
      </c>
      <c r="FT12" s="35">
        <f>SUMIF('Resource Demand - Activity'!$FT:$FT,Example!$G12,'Resource Demand - Activity'!FO:FO)</f>
        <v>0</v>
      </c>
      <c r="FU12" s="35">
        <f>SUMIF('Resource Demand - Activity'!$FT:$FT,Example!$G12,'Resource Demand - Activity'!FP:FP)</f>
        <v>0</v>
      </c>
      <c r="FV12" s="52">
        <f>SUMIF('Resource Demand - Activity'!$FT:$FT,Example!$G12,'Resource Demand - Activity'!FQ:FQ)</f>
        <v>0</v>
      </c>
    </row>
    <row r="13" spans="2:178" s="58" customFormat="1" ht="12" customHeight="1">
      <c r="G13" s="64" t="str">
        <f t="shared" si="3"/>
        <v>10. BAU Transition 10.1 Opening BalancesGlenn Kirk</v>
      </c>
      <c r="H13" s="102" t="s">
        <v>140</v>
      </c>
      <c r="I13" s="59" t="str">
        <f>INDEX('Resource Demand - Activity'!C:C,MATCH(Example!G13,'Resource Demand - Activity'!FT:FT,0))</f>
        <v>4 days</v>
      </c>
      <c r="J13" s="51">
        <f>SUMIF('Resource Demand - Activity'!$FT:$FT,Example!$G13,'Resource Demand - Activity'!E:E)</f>
        <v>0</v>
      </c>
      <c r="K13" s="35">
        <f>SUMIF('Resource Demand - Activity'!$FT:$FT,Example!$G13,'Resource Demand - Activity'!F:F)</f>
        <v>0</v>
      </c>
      <c r="L13" s="35">
        <f>SUMIF('Resource Demand - Activity'!$FT:$FT,Example!$G13,'Resource Demand - Activity'!G:G)</f>
        <v>0</v>
      </c>
      <c r="M13" s="35">
        <f>SUMIF('Resource Demand - Activity'!$FT:$FT,Example!$G13,'Resource Demand - Activity'!H:H)</f>
        <v>0</v>
      </c>
      <c r="N13" s="35">
        <f>SUMIF('Resource Demand - Activity'!$FT:$FT,Example!$G13,'Resource Demand - Activity'!I:I)</f>
        <v>0</v>
      </c>
      <c r="O13" s="35">
        <f>SUMIF('Resource Demand - Activity'!$FT:$FT,Example!$G13,'Resource Demand - Activity'!J:J)</f>
        <v>0</v>
      </c>
      <c r="P13" s="35">
        <f>SUMIF('Resource Demand - Activity'!$FT:$FT,Example!$G13,'Resource Demand - Activity'!K:K)</f>
        <v>0</v>
      </c>
      <c r="Q13" s="35">
        <f>SUMIF('Resource Demand - Activity'!$FT:$FT,Example!$G13,'Resource Demand - Activity'!L:L)</f>
        <v>0</v>
      </c>
      <c r="R13" s="35">
        <f>SUMIF('Resource Demand - Activity'!$FT:$FT,Example!$G13,'Resource Demand - Activity'!M:M)</f>
        <v>0</v>
      </c>
      <c r="S13" s="35">
        <f>SUMIF('Resource Demand - Activity'!$FT:$FT,Example!$G13,'Resource Demand - Activity'!N:N)</f>
        <v>0</v>
      </c>
      <c r="T13" s="35">
        <f>SUMIF('Resource Demand - Activity'!$FT:$FT,Example!$G13,'Resource Demand - Activity'!O:O)</f>
        <v>0</v>
      </c>
      <c r="U13" s="35">
        <f>SUMIF('Resource Demand - Activity'!$FT:$FT,Example!$G13,'Resource Demand - Activity'!P:P)</f>
        <v>0</v>
      </c>
      <c r="V13" s="35">
        <f>SUMIF('Resource Demand - Activity'!$FT:$FT,Example!$G13,'Resource Demand - Activity'!Q:Q)</f>
        <v>0</v>
      </c>
      <c r="W13" s="35">
        <f>SUMIF('Resource Demand - Activity'!$FT:$FT,Example!$G13,'Resource Demand - Activity'!R:R)</f>
        <v>0</v>
      </c>
      <c r="X13" s="35">
        <f>SUMIF('Resource Demand - Activity'!$FT:$FT,Example!$G13,'Resource Demand - Activity'!S:S)</f>
        <v>0</v>
      </c>
      <c r="Y13" s="35">
        <f>SUMIF('Resource Demand - Activity'!$FT:$FT,Example!$G13,'Resource Demand - Activity'!T:T)</f>
        <v>0</v>
      </c>
      <c r="Z13" s="35">
        <f>SUMIF('Resource Demand - Activity'!$FT:$FT,Example!$G13,'Resource Demand - Activity'!U:U)</f>
        <v>0</v>
      </c>
      <c r="AA13" s="35">
        <f>SUMIF('Resource Demand - Activity'!$FT:$FT,Example!$G13,'Resource Demand - Activity'!V:V)</f>
        <v>0</v>
      </c>
      <c r="AB13" s="35">
        <f>SUMIF('Resource Demand - Activity'!$FT:$FT,Example!$G13,'Resource Demand - Activity'!W:W)</f>
        <v>0</v>
      </c>
      <c r="AC13" s="35">
        <f>SUMIF('Resource Demand - Activity'!$FT:$FT,Example!$G13,'Resource Demand - Activity'!X:X)</f>
        <v>0</v>
      </c>
      <c r="AD13" s="35">
        <f>SUMIF('Resource Demand - Activity'!$FT:$FT,Example!$G13,'Resource Demand - Activity'!Y:Y)</f>
        <v>0</v>
      </c>
      <c r="AE13" s="35">
        <f>SUMIF('Resource Demand - Activity'!$FT:$FT,Example!$G13,'Resource Demand - Activity'!Z:Z)</f>
        <v>0</v>
      </c>
      <c r="AF13" s="35">
        <f>SUMIF('Resource Demand - Activity'!$FT:$FT,Example!$G13,'Resource Demand - Activity'!AA:AA)</f>
        <v>0</v>
      </c>
      <c r="AG13" s="35">
        <f>SUMIF('Resource Demand - Activity'!$FT:$FT,Example!$G13,'Resource Demand - Activity'!AB:AB)</f>
        <v>0</v>
      </c>
      <c r="AH13" s="35">
        <f>SUMIF('Resource Demand - Activity'!$FT:$FT,Example!$G13,'Resource Demand - Activity'!AC:AC)</f>
        <v>0</v>
      </c>
      <c r="AI13" s="35">
        <f>SUMIF('Resource Demand - Activity'!$FT:$FT,Example!$G13,'Resource Demand - Activity'!AD:AD)</f>
        <v>0</v>
      </c>
      <c r="AJ13" s="35">
        <f>SUMIF('Resource Demand - Activity'!$FT:$FT,Example!$G13,'Resource Demand - Activity'!AE:AE)</f>
        <v>0</v>
      </c>
      <c r="AK13" s="35">
        <f>SUMIF('Resource Demand - Activity'!$FT:$FT,Example!$G13,'Resource Demand - Activity'!AF:AF)</f>
        <v>0</v>
      </c>
      <c r="AL13" s="35">
        <f>SUMIF('Resource Demand - Activity'!$FT:$FT,Example!$G13,'Resource Demand - Activity'!AG:AG)</f>
        <v>0</v>
      </c>
      <c r="AM13" s="35">
        <f>SUMIF('Resource Demand - Activity'!$FT:$FT,Example!$G13,'Resource Demand - Activity'!AH:AH)</f>
        <v>0</v>
      </c>
      <c r="AN13" s="35">
        <f>SUMIF('Resource Demand - Activity'!$FT:$FT,Example!$G13,'Resource Demand - Activity'!AI:AI)</f>
        <v>0</v>
      </c>
      <c r="AO13" s="35">
        <f>SUMIF('Resource Demand - Activity'!$FT:$FT,Example!$G13,'Resource Demand - Activity'!AJ:AJ)</f>
        <v>0</v>
      </c>
      <c r="AP13" s="35">
        <f>SUMIF('Resource Demand - Activity'!$FT:$FT,Example!$G13,'Resource Demand - Activity'!AK:AK)</f>
        <v>0</v>
      </c>
      <c r="AQ13" s="36"/>
      <c r="AR13" s="36"/>
      <c r="AS13" s="36"/>
      <c r="AT13" s="36"/>
      <c r="AU13" s="36"/>
      <c r="AV13" s="36"/>
      <c r="AW13" s="36"/>
      <c r="AX13" s="35">
        <f>SUMIF('Resource Demand - Activity'!$FT:$FT,Example!$G13,'Resource Demand - Activity'!AS:AS)</f>
        <v>0</v>
      </c>
      <c r="AY13" s="35">
        <f>SUMIF('Resource Demand - Activity'!$FT:$FT,Example!$G13,'Resource Demand - Activity'!AT:AT)</f>
        <v>0</v>
      </c>
      <c r="AZ13" s="35">
        <f>SUMIF('Resource Demand - Activity'!$FT:$FT,Example!$G13,'Resource Demand - Activity'!AU:AU)</f>
        <v>0</v>
      </c>
      <c r="BA13" s="35">
        <f>SUMIF('Resource Demand - Activity'!$FT:$FT,Example!$G13,'Resource Demand - Activity'!AV:AV)</f>
        <v>0</v>
      </c>
      <c r="BB13" s="35">
        <f>SUMIF('Resource Demand - Activity'!$FT:$FT,Example!$G13,'Resource Demand - Activity'!AW:AW)</f>
        <v>0</v>
      </c>
      <c r="BC13" s="35">
        <f>SUMIF('Resource Demand - Activity'!$FT:$FT,Example!$G13,'Resource Demand - Activity'!AX:AX)</f>
        <v>0</v>
      </c>
      <c r="BD13" s="35">
        <f>SUMIF('Resource Demand - Activity'!$FT:$FT,Example!$G13,'Resource Demand - Activity'!AY:AY)</f>
        <v>0</v>
      </c>
      <c r="BE13" s="35">
        <f>SUMIF('Resource Demand - Activity'!$FT:$FT,Example!$G13,'Resource Demand - Activity'!AZ:AZ)</f>
        <v>0</v>
      </c>
      <c r="BF13" s="35">
        <f>SUMIF('Resource Demand - Activity'!$FT:$FT,Example!$G13,'Resource Demand - Activity'!BA:BA)</f>
        <v>0</v>
      </c>
      <c r="BG13" s="35">
        <f>SUMIF('Resource Demand - Activity'!$FT:$FT,Example!$G13,'Resource Demand - Activity'!BB:BB)</f>
        <v>0</v>
      </c>
      <c r="BH13" s="35">
        <f>SUMIF('Resource Demand - Activity'!$FT:$FT,Example!$G13,'Resource Demand - Activity'!BC:BC)</f>
        <v>0</v>
      </c>
      <c r="BI13" s="35">
        <f>SUMIF('Resource Demand - Activity'!$FT:$FT,Example!$G13,'Resource Demand - Activity'!BD:BD)</f>
        <v>0</v>
      </c>
      <c r="BJ13" s="35">
        <f>SUMIF('Resource Demand - Activity'!$FT:$FT,Example!$G13,'Resource Demand - Activity'!BE:BE)</f>
        <v>0</v>
      </c>
      <c r="BK13" s="35">
        <f>SUMIF('Resource Demand - Activity'!$FT:$FT,Example!$G13,'Resource Demand - Activity'!BF:BF)</f>
        <v>0</v>
      </c>
      <c r="BL13" s="35">
        <f>SUMIF('Resource Demand - Activity'!$FT:$FT,Example!$G13,'Resource Demand - Activity'!BG:BG)</f>
        <v>0</v>
      </c>
      <c r="BM13" s="35">
        <f>SUMIF('Resource Demand - Activity'!$FT:$FT,Example!$G13,'Resource Demand - Activity'!BH:BH)</f>
        <v>0</v>
      </c>
      <c r="BN13" s="35">
        <f>SUMIF('Resource Demand - Activity'!$FT:$FT,Example!$G13,'Resource Demand - Activity'!BI:BI)</f>
        <v>0</v>
      </c>
      <c r="BO13" s="35">
        <f>SUMIF('Resource Demand - Activity'!$FT:$FT,Example!$G13,'Resource Demand - Activity'!BJ:BJ)</f>
        <v>0</v>
      </c>
      <c r="BP13" s="35">
        <f>SUMIF('Resource Demand - Activity'!$FT:$FT,Example!$G13,'Resource Demand - Activity'!BK:BK)</f>
        <v>0</v>
      </c>
      <c r="BQ13" s="35">
        <f>SUMIF('Resource Demand - Activity'!$FT:$FT,Example!$G13,'Resource Demand - Activity'!BL:BL)</f>
        <v>0</v>
      </c>
      <c r="BR13" s="35">
        <f>SUMIF('Resource Demand - Activity'!$FT:$FT,Example!$G13,'Resource Demand - Activity'!BM:BM)</f>
        <v>0</v>
      </c>
      <c r="BS13" s="35">
        <f>SUMIF('Resource Demand - Activity'!$FT:$FT,Example!$G13,'Resource Demand - Activity'!BN:BN)</f>
        <v>0</v>
      </c>
      <c r="BT13" s="35">
        <f>SUMIF('Resource Demand - Activity'!$FT:$FT,Example!$G13,'Resource Demand - Activity'!BO:BO)</f>
        <v>0</v>
      </c>
      <c r="BU13" s="35">
        <f>SUMIF('Resource Demand - Activity'!$FT:$FT,Example!$G13,'Resource Demand - Activity'!BP:BP)</f>
        <v>0</v>
      </c>
      <c r="BV13" s="35">
        <f>SUMIF('Resource Demand - Activity'!$FT:$FT,Example!$G13,'Resource Demand - Activity'!BQ:BQ)</f>
        <v>0</v>
      </c>
      <c r="BW13" s="35">
        <f>SUMIF('Resource Demand - Activity'!$FT:$FT,Example!$G13,'Resource Demand - Activity'!BR:BR)</f>
        <v>0</v>
      </c>
      <c r="BX13" s="35">
        <f>SUMIF('Resource Demand - Activity'!$FT:$FT,Example!$G13,'Resource Demand - Activity'!BS:BS)</f>
        <v>0</v>
      </c>
      <c r="BY13" s="35">
        <f>SUMIF('Resource Demand - Activity'!$FT:$FT,Example!$G13,'Resource Demand - Activity'!BT:BT)</f>
        <v>0</v>
      </c>
      <c r="BZ13" s="35">
        <f>SUMIF('Resource Demand - Activity'!$FT:$FT,Example!$G13,'Resource Demand - Activity'!BU:BU)</f>
        <v>0</v>
      </c>
      <c r="CA13" s="35">
        <f>SUMIF('Resource Demand - Activity'!$FT:$FT,Example!$G13,'Resource Demand - Activity'!BV:BV)</f>
        <v>0</v>
      </c>
      <c r="CB13" s="35">
        <f>SUMIF('Resource Demand - Activity'!$FT:$FT,Example!$G13,'Resource Demand - Activity'!BW:BW)</f>
        <v>0</v>
      </c>
      <c r="CC13" s="35">
        <f>SUMIF('Resource Demand - Activity'!$FT:$FT,Example!$G13,'Resource Demand - Activity'!BX:BX)</f>
        <v>0</v>
      </c>
      <c r="CD13" s="35">
        <f>SUMIF('Resource Demand - Activity'!$FT:$FT,Example!$G13,'Resource Demand - Activity'!BY:BY)</f>
        <v>0</v>
      </c>
      <c r="CE13" s="35">
        <f>SUMIF('Resource Demand - Activity'!$FT:$FT,Example!$G13,'Resource Demand - Activity'!BZ:BZ)</f>
        <v>0</v>
      </c>
      <c r="CF13" s="35">
        <f>SUMIF('Resource Demand - Activity'!$FT:$FT,Example!$G13,'Resource Demand - Activity'!CA:CA)</f>
        <v>0</v>
      </c>
      <c r="CG13" s="35">
        <f>SUMIF('Resource Demand - Activity'!$FT:$FT,Example!$G13,'Resource Demand - Activity'!CB:CB)</f>
        <v>0</v>
      </c>
      <c r="CH13" s="35">
        <f>SUMIF('Resource Demand - Activity'!$FT:$FT,Example!$G13,'Resource Demand - Activity'!CC:CC)</f>
        <v>0</v>
      </c>
      <c r="CI13" s="35">
        <f>SUMIF('Resource Demand - Activity'!$FT:$FT,Example!$G13,'Resource Demand - Activity'!CD:CD)</f>
        <v>0</v>
      </c>
      <c r="CJ13" s="35">
        <f>SUMIF('Resource Demand - Activity'!$FT:$FT,Example!$G13,'Resource Demand - Activity'!CE:CE)</f>
        <v>0</v>
      </c>
      <c r="CK13" s="35">
        <f>SUMIF('Resource Demand - Activity'!$FT:$FT,Example!$G13,'Resource Demand - Activity'!CF:CF)</f>
        <v>0</v>
      </c>
      <c r="CL13" s="35">
        <f>SUMIF('Resource Demand - Activity'!$FT:$FT,Example!$G13,'Resource Demand - Activity'!CG:CG)</f>
        <v>0</v>
      </c>
      <c r="CM13" s="35">
        <f>SUMIF('Resource Demand - Activity'!$FT:$FT,Example!$G13,'Resource Demand - Activity'!CH:CH)</f>
        <v>0</v>
      </c>
      <c r="CN13" s="35">
        <f>SUMIF('Resource Demand - Activity'!$FT:$FT,Example!$G13,'Resource Demand - Activity'!CI:CI)</f>
        <v>0</v>
      </c>
      <c r="CO13" s="35">
        <f>SUMIF('Resource Demand - Activity'!$FT:$FT,Example!$G13,'Resource Demand - Activity'!CJ:CJ)</f>
        <v>0</v>
      </c>
      <c r="CP13" s="35">
        <f>SUMIF('Resource Demand - Activity'!$FT:$FT,Example!$G13,'Resource Demand - Activity'!CK:CK)</f>
        <v>0</v>
      </c>
      <c r="CQ13" s="35">
        <f>SUMIF('Resource Demand - Activity'!$FT:$FT,Example!$G13,'Resource Demand - Activity'!CL:CL)</f>
        <v>0</v>
      </c>
      <c r="CR13" s="35">
        <f>SUMIF('Resource Demand - Activity'!$FT:$FT,Example!$G13,'Resource Demand - Activity'!CM:CM)</f>
        <v>0</v>
      </c>
      <c r="CS13" s="35">
        <f>SUMIF('Resource Demand - Activity'!$FT:$FT,Example!$G13,'Resource Demand - Activity'!CN:CN)</f>
        <v>0</v>
      </c>
      <c r="CT13" s="35">
        <f>SUMIF('Resource Demand - Activity'!$FT:$FT,Example!$G13,'Resource Demand - Activity'!CO:CO)</f>
        <v>0</v>
      </c>
      <c r="CU13" s="35">
        <f>SUMIF('Resource Demand - Activity'!$FT:$FT,Example!$G13,'Resource Demand - Activity'!CP:CP)</f>
        <v>0</v>
      </c>
      <c r="CV13" s="35">
        <f>SUMIF('Resource Demand - Activity'!$FT:$FT,Example!$G13,'Resource Demand - Activity'!CQ:CQ)</f>
        <v>0</v>
      </c>
      <c r="CW13" s="35">
        <f>SUMIF('Resource Demand - Activity'!$FT:$FT,Example!$G13,'Resource Demand - Activity'!CR:CR)</f>
        <v>0</v>
      </c>
      <c r="CX13" s="35">
        <f>SUMIF('Resource Demand - Activity'!$FT:$FT,Example!$G13,'Resource Demand - Activity'!CS:CS)</f>
        <v>0</v>
      </c>
      <c r="CY13" s="36"/>
      <c r="CZ13" s="35">
        <f>SUMIF('Resource Demand - Activity'!$FT:$FT,Example!$G13,'Resource Demand - Activity'!CU:CU)</f>
        <v>0</v>
      </c>
      <c r="DA13" s="35">
        <f>SUMIF('Resource Demand - Activity'!$FT:$FT,Example!$G13,'Resource Demand - Activity'!CV:CV)</f>
        <v>0</v>
      </c>
      <c r="DB13" s="35">
        <f>SUMIF('Resource Demand - Activity'!$FT:$FT,Example!$G13,'Resource Demand - Activity'!CW:CW)</f>
        <v>0</v>
      </c>
      <c r="DC13" s="35">
        <f>SUMIF('Resource Demand - Activity'!$FT:$FT,Example!$G13,'Resource Demand - Activity'!CX:CX)</f>
        <v>0</v>
      </c>
      <c r="DD13" s="35">
        <f>SUMIF('Resource Demand - Activity'!$FT:$FT,Example!$G13,'Resource Demand - Activity'!CY:CY)</f>
        <v>0</v>
      </c>
      <c r="DE13" s="36"/>
      <c r="DF13" s="36"/>
      <c r="DG13" s="35">
        <f>SUMIF('Resource Demand - Activity'!$FT:$FT,Example!$G13,'Resource Demand - Activity'!DB:DB)</f>
        <v>0</v>
      </c>
      <c r="DH13" s="35">
        <f>SUMIF('Resource Demand - Activity'!$FT:$FT,Example!$G13,'Resource Demand - Activity'!DC:DC)</f>
        <v>0</v>
      </c>
      <c r="DI13" s="35">
        <f>SUMIF('Resource Demand - Activity'!$FT:$FT,Example!$G13,'Resource Demand - Activity'!DD:DD)</f>
        <v>0</v>
      </c>
      <c r="DJ13" s="35">
        <f>SUMIF('Resource Demand - Activity'!$FT:$FT,Example!$G13,'Resource Demand - Activity'!DE:DE)</f>
        <v>0</v>
      </c>
      <c r="DK13" s="35">
        <f>SUMIF('Resource Demand - Activity'!$FT:$FT,Example!$G13,'Resource Demand - Activity'!DF:DF)</f>
        <v>0</v>
      </c>
      <c r="DL13" s="35">
        <f>SUMIF('Resource Demand - Activity'!$FT:$FT,Example!$G13,'Resource Demand - Activity'!DG:DG)</f>
        <v>0</v>
      </c>
      <c r="DM13" s="35">
        <f>SUMIF('Resource Demand - Activity'!$FT:$FT,Example!$G13,'Resource Demand - Activity'!DH:DH)</f>
        <v>0</v>
      </c>
      <c r="DN13" s="35">
        <f>SUMIF('Resource Demand - Activity'!$FT:$FT,Example!$G13,'Resource Demand - Activity'!DI:DI)</f>
        <v>0</v>
      </c>
      <c r="DO13" s="35">
        <f>SUMIF('Resource Demand - Activity'!$FT:$FT,Example!$G13,'Resource Demand - Activity'!DJ:DJ)</f>
        <v>0</v>
      </c>
      <c r="DP13" s="35">
        <f>SUMIF('Resource Demand - Activity'!$FT:$FT,Example!$G13,'Resource Demand - Activity'!DK:DK)</f>
        <v>0</v>
      </c>
      <c r="DQ13" s="35">
        <f>SUMIF('Resource Demand - Activity'!$FT:$FT,Example!$G13,'Resource Demand - Activity'!DL:DL)</f>
        <v>0</v>
      </c>
      <c r="DR13" s="35">
        <f>SUMIF('Resource Demand - Activity'!$FT:$FT,Example!$G13,'Resource Demand - Activity'!DM:DM)</f>
        <v>0</v>
      </c>
      <c r="DS13" s="35">
        <f>SUMIF('Resource Demand - Activity'!$FT:$FT,Example!$G13,'Resource Demand - Activity'!DN:DN)</f>
        <v>0</v>
      </c>
      <c r="DT13" s="35">
        <f>SUMIF('Resource Demand - Activity'!$FT:$FT,Example!$G13,'Resource Demand - Activity'!DO:DO)</f>
        <v>0</v>
      </c>
      <c r="DU13" s="35">
        <f>SUMIF('Resource Demand - Activity'!$FT:$FT,Example!$G13,'Resource Demand - Activity'!DP:DP)</f>
        <v>0</v>
      </c>
      <c r="DV13" s="35">
        <f>SUMIF('Resource Demand - Activity'!$FT:$FT,Example!$G13,'Resource Demand - Activity'!DQ:DQ)</f>
        <v>0</v>
      </c>
      <c r="DW13" s="35">
        <f>SUMIF('Resource Demand - Activity'!$FT:$FT,Example!$G13,'Resource Demand - Activity'!DR:DR)</f>
        <v>0</v>
      </c>
      <c r="DX13" s="35">
        <f>SUMIF('Resource Demand - Activity'!$FT:$FT,Example!$G13,'Resource Demand - Activity'!DS:DS)</f>
        <v>0</v>
      </c>
      <c r="DY13" s="35">
        <f>SUMIF('Resource Demand - Activity'!$FT:$FT,Example!$G13,'Resource Demand - Activity'!DT:DT)</f>
        <v>0</v>
      </c>
      <c r="DZ13" s="35">
        <f>SUMIF('Resource Demand - Activity'!$FT:$FT,Example!$G13,'Resource Demand - Activity'!DU:DU)</f>
        <v>0</v>
      </c>
      <c r="EA13" s="35">
        <f>SUMIF('Resource Demand - Activity'!$FT:$FT,Example!$G13,'Resource Demand - Activity'!DV:DV)</f>
        <v>0</v>
      </c>
      <c r="EB13" s="35">
        <f>SUMIF('Resource Demand - Activity'!$FT:$FT,Example!$G13,'Resource Demand - Activity'!DW:DW)</f>
        <v>0</v>
      </c>
      <c r="EC13" s="35">
        <f>SUMIF('Resource Demand - Activity'!$FT:$FT,Example!$G13,'Resource Demand - Activity'!DX:DX)</f>
        <v>0</v>
      </c>
      <c r="ED13" s="35">
        <f>SUMIF('Resource Demand - Activity'!$FT:$FT,Example!$G13,'Resource Demand - Activity'!DY:DY)</f>
        <v>0</v>
      </c>
      <c r="EE13" s="36"/>
      <c r="EF13" s="35">
        <f>SUMIF('Resource Demand - Activity'!$FT:$FT,Example!$G13,'Resource Demand - Activity'!EA:EA)</f>
        <v>0</v>
      </c>
      <c r="EG13" s="35">
        <f>SUMIF('Resource Demand - Activity'!$FT:$FT,Example!$G13,'Resource Demand - Activity'!EB:EB)</f>
        <v>0</v>
      </c>
      <c r="EH13" s="35">
        <f>SUMIF('Resource Demand - Activity'!$FT:$FT,Example!$G13,'Resource Demand - Activity'!EC:EC)</f>
        <v>0</v>
      </c>
      <c r="EI13" s="35">
        <f>SUMIF('Resource Demand - Activity'!$FT:$FT,Example!$G13,'Resource Demand - Activity'!ED:ED)</f>
        <v>0</v>
      </c>
      <c r="EJ13" s="35">
        <f>SUMIF('Resource Demand - Activity'!$FT:$FT,Example!$G13,'Resource Demand - Activity'!EE:EE)</f>
        <v>0</v>
      </c>
      <c r="EK13" s="35">
        <f>SUMIF('Resource Demand - Activity'!$FT:$FT,Example!$G13,'Resource Demand - Activity'!EF:EF)</f>
        <v>0</v>
      </c>
      <c r="EL13" s="35">
        <f>SUMIF('Resource Demand - Activity'!$FT:$FT,Example!$G13,'Resource Demand - Activity'!EG:EG)</f>
        <v>1</v>
      </c>
      <c r="EM13" s="35">
        <f>SUMIF('Resource Demand - Activity'!$FT:$FT,Example!$G13,'Resource Demand - Activity'!EH:EH)</f>
        <v>1</v>
      </c>
      <c r="EN13" s="35">
        <f>SUMIF('Resource Demand - Activity'!$FT:$FT,Example!$G13,'Resource Demand - Activity'!EI:EI)</f>
        <v>0</v>
      </c>
      <c r="EO13" s="35">
        <f>SUMIF('Resource Demand - Activity'!$FT:$FT,Example!$G13,'Resource Demand - Activity'!EJ:EJ)</f>
        <v>1</v>
      </c>
      <c r="EP13" s="35">
        <f>SUMIF('Resource Demand - Activity'!$FT:$FT,Example!$G13,'Resource Demand - Activity'!EK:EK)</f>
        <v>1</v>
      </c>
      <c r="EQ13" s="35">
        <f>SUMIF('Resource Demand - Activity'!$FT:$FT,Example!$G13,'Resource Demand - Activity'!EL:EL)</f>
        <v>0</v>
      </c>
      <c r="ER13" s="35">
        <f>SUMIF('Resource Demand - Activity'!$FT:$FT,Example!$G13,'Resource Demand - Activity'!EM:EM)</f>
        <v>0</v>
      </c>
      <c r="ES13" s="35">
        <f>SUMIF('Resource Demand - Activity'!$FT:$FT,Example!$G13,'Resource Demand - Activity'!EN:EN)</f>
        <v>0</v>
      </c>
      <c r="ET13" s="35">
        <f>SUMIF('Resource Demand - Activity'!$FT:$FT,Example!$G13,'Resource Demand - Activity'!EO:EO)</f>
        <v>0</v>
      </c>
      <c r="EU13" s="35">
        <f>SUMIF('Resource Demand - Activity'!$FT:$FT,Example!$G13,'Resource Demand - Activity'!EP:EP)</f>
        <v>0</v>
      </c>
      <c r="EV13" s="35">
        <f>SUMIF('Resource Demand - Activity'!$FT:$FT,Example!$G13,'Resource Demand - Activity'!EQ:EQ)</f>
        <v>0</v>
      </c>
      <c r="EW13" s="35">
        <f>SUMIF('Resource Demand - Activity'!$FT:$FT,Example!$G13,'Resource Demand - Activity'!ER:ER)</f>
        <v>0</v>
      </c>
      <c r="EX13" s="35">
        <f>SUMIF('Resource Demand - Activity'!$FT:$FT,Example!$G13,'Resource Demand - Activity'!ES:ES)</f>
        <v>0</v>
      </c>
      <c r="EY13" s="35">
        <f>SUMIF('Resource Demand - Activity'!$FT:$FT,Example!$G13,'Resource Demand - Activity'!ET:ET)</f>
        <v>0</v>
      </c>
      <c r="EZ13" s="35">
        <f>SUMIF('Resource Demand - Activity'!$FT:$FT,Example!$G13,'Resource Demand - Activity'!EU:EU)</f>
        <v>0</v>
      </c>
      <c r="FA13" s="35">
        <f>SUMIF('Resource Demand - Activity'!$FT:$FT,Example!$G13,'Resource Demand - Activity'!EV:EV)</f>
        <v>0</v>
      </c>
      <c r="FB13" s="35">
        <f>SUMIF('Resource Demand - Activity'!$FT:$FT,Example!$G13,'Resource Demand - Activity'!EW:EW)</f>
        <v>0</v>
      </c>
      <c r="FC13" s="35">
        <f>SUMIF('Resource Demand - Activity'!$FT:$FT,Example!$G13,'Resource Demand - Activity'!EX:EX)</f>
        <v>0</v>
      </c>
      <c r="FD13" s="36"/>
      <c r="FE13" s="35">
        <f>SUMIF('Resource Demand - Activity'!$FT:$FT,Example!$G13,'Resource Demand - Activity'!EZ:EZ)</f>
        <v>0</v>
      </c>
      <c r="FF13" s="35">
        <f>SUMIF('Resource Demand - Activity'!$FT:$FT,Example!$G13,'Resource Demand - Activity'!FA:FA)</f>
        <v>0</v>
      </c>
      <c r="FG13" s="35">
        <f>SUMIF('Resource Demand - Activity'!$FT:$FT,Example!$G13,'Resource Demand - Activity'!FB:FB)</f>
        <v>0</v>
      </c>
      <c r="FH13" s="35">
        <f>SUMIF('Resource Demand - Activity'!$FT:$FT,Example!$G13,'Resource Demand - Activity'!FC:FC)</f>
        <v>0</v>
      </c>
      <c r="FI13" s="35">
        <f>SUMIF('Resource Demand - Activity'!$FT:$FT,Example!$G13,'Resource Demand - Activity'!FD:FD)</f>
        <v>0</v>
      </c>
      <c r="FJ13" s="35">
        <f>SUMIF('Resource Demand - Activity'!$FT:$FT,Example!$G13,'Resource Demand - Activity'!FE:FE)</f>
        <v>0</v>
      </c>
      <c r="FK13" s="35">
        <f>SUMIF('Resource Demand - Activity'!$FT:$FT,Example!$G13,'Resource Demand - Activity'!FF:FF)</f>
        <v>0</v>
      </c>
      <c r="FL13" s="35">
        <f>SUMIF('Resource Demand - Activity'!$FT:$FT,Example!$G13,'Resource Demand - Activity'!FG:FG)</f>
        <v>0</v>
      </c>
      <c r="FM13" s="35">
        <f>SUMIF('Resource Demand - Activity'!$FT:$FT,Example!$G13,'Resource Demand - Activity'!FH:FH)</f>
        <v>0</v>
      </c>
      <c r="FN13" s="35">
        <f>SUMIF('Resource Demand - Activity'!$FT:$FT,Example!$G13,'Resource Demand - Activity'!FI:FI)</f>
        <v>0</v>
      </c>
      <c r="FO13" s="35">
        <f>SUMIF('Resource Demand - Activity'!$FT:$FT,Example!$G13,'Resource Demand - Activity'!FJ:FJ)</f>
        <v>0</v>
      </c>
      <c r="FP13" s="35">
        <f>SUMIF('Resource Demand - Activity'!$FT:$FT,Example!$G13,'Resource Demand - Activity'!FK:FK)</f>
        <v>0</v>
      </c>
      <c r="FQ13" s="35">
        <f>SUMIF('Resource Demand - Activity'!$FT:$FT,Example!$G13,'Resource Demand - Activity'!FL:FL)</f>
        <v>0</v>
      </c>
      <c r="FR13" s="35">
        <f>SUMIF('Resource Demand - Activity'!$FT:$FT,Example!$G13,'Resource Demand - Activity'!FM:FM)</f>
        <v>0</v>
      </c>
      <c r="FS13" s="35">
        <f>SUMIF('Resource Demand - Activity'!$FT:$FT,Example!$G13,'Resource Demand - Activity'!FN:FN)</f>
        <v>0</v>
      </c>
      <c r="FT13" s="35">
        <f>SUMIF('Resource Demand - Activity'!$FT:$FT,Example!$G13,'Resource Demand - Activity'!FO:FO)</f>
        <v>0</v>
      </c>
      <c r="FU13" s="35">
        <f>SUMIF('Resource Demand - Activity'!$FT:$FT,Example!$G13,'Resource Demand - Activity'!FP:FP)</f>
        <v>0</v>
      </c>
      <c r="FV13" s="52">
        <f>SUMIF('Resource Demand - Activity'!$FT:$FT,Example!$G13,'Resource Demand - Activity'!FQ:FQ)</f>
        <v>0</v>
      </c>
    </row>
    <row r="14" spans="2:178" ht="12" customHeight="1">
      <c r="F14" s="1"/>
      <c r="G14" s="64" t="str">
        <f t="shared" si="3"/>
        <v>10. BAU Transition 10.2 Quarterly Reporting (QRTs) Glenn Kirk</v>
      </c>
      <c r="H14" s="3" t="s">
        <v>141</v>
      </c>
      <c r="I14" s="59" t="str">
        <f>INDEX('Resource Demand - Activity'!C:C,MATCH(Example!G14,'Resource Demand - Activity'!FT:FT,0))</f>
        <v>2 days</v>
      </c>
      <c r="J14" s="51">
        <f>SUMIF('Resource Demand - Activity'!$FT:$FT,Example!$G14,'Resource Demand - Activity'!E:E)</f>
        <v>0</v>
      </c>
      <c r="K14" s="35">
        <f>SUMIF('Resource Demand - Activity'!$FT:$FT,Example!$G14,'Resource Demand - Activity'!F:F)</f>
        <v>0</v>
      </c>
      <c r="L14" s="35">
        <f>SUMIF('Resource Demand - Activity'!$FT:$FT,Example!$G14,'Resource Demand - Activity'!G:G)</f>
        <v>0</v>
      </c>
      <c r="M14" s="35">
        <f>SUMIF('Resource Demand - Activity'!$FT:$FT,Example!$G14,'Resource Demand - Activity'!H:H)</f>
        <v>0</v>
      </c>
      <c r="N14" s="35">
        <f>SUMIF('Resource Demand - Activity'!$FT:$FT,Example!$G14,'Resource Demand - Activity'!I:I)</f>
        <v>0</v>
      </c>
      <c r="O14" s="35">
        <f>SUMIF('Resource Demand - Activity'!$FT:$FT,Example!$G14,'Resource Demand - Activity'!J:J)</f>
        <v>0</v>
      </c>
      <c r="P14" s="35">
        <f>SUMIF('Resource Demand - Activity'!$FT:$FT,Example!$G14,'Resource Demand - Activity'!K:K)</f>
        <v>0</v>
      </c>
      <c r="Q14" s="35">
        <f>SUMIF('Resource Demand - Activity'!$FT:$FT,Example!$G14,'Resource Demand - Activity'!L:L)</f>
        <v>0</v>
      </c>
      <c r="R14" s="35">
        <f>SUMIF('Resource Demand - Activity'!$FT:$FT,Example!$G14,'Resource Demand - Activity'!M:M)</f>
        <v>0</v>
      </c>
      <c r="S14" s="35">
        <f>SUMIF('Resource Demand - Activity'!$FT:$FT,Example!$G14,'Resource Demand - Activity'!N:N)</f>
        <v>0</v>
      </c>
      <c r="T14" s="35">
        <f>SUMIF('Resource Demand - Activity'!$FT:$FT,Example!$G14,'Resource Demand - Activity'!O:O)</f>
        <v>0</v>
      </c>
      <c r="U14" s="35">
        <f>SUMIF('Resource Demand - Activity'!$FT:$FT,Example!$G14,'Resource Demand - Activity'!P:P)</f>
        <v>0</v>
      </c>
      <c r="V14" s="35">
        <f>SUMIF('Resource Demand - Activity'!$FT:$FT,Example!$G14,'Resource Demand - Activity'!Q:Q)</f>
        <v>0</v>
      </c>
      <c r="W14" s="35">
        <f>SUMIF('Resource Demand - Activity'!$FT:$FT,Example!$G14,'Resource Demand - Activity'!R:R)</f>
        <v>0</v>
      </c>
      <c r="X14" s="35">
        <f>SUMIF('Resource Demand - Activity'!$FT:$FT,Example!$G14,'Resource Demand - Activity'!S:S)</f>
        <v>0</v>
      </c>
      <c r="Y14" s="35">
        <f>SUMIF('Resource Demand - Activity'!$FT:$FT,Example!$G14,'Resource Demand - Activity'!T:T)</f>
        <v>0</v>
      </c>
      <c r="Z14" s="35">
        <f>SUMIF('Resource Demand - Activity'!$FT:$FT,Example!$G14,'Resource Demand - Activity'!U:U)</f>
        <v>0</v>
      </c>
      <c r="AA14" s="35">
        <f>SUMIF('Resource Demand - Activity'!$FT:$FT,Example!$G14,'Resource Demand - Activity'!V:V)</f>
        <v>0</v>
      </c>
      <c r="AB14" s="35">
        <f>SUMIF('Resource Demand - Activity'!$FT:$FT,Example!$G14,'Resource Demand - Activity'!W:W)</f>
        <v>0</v>
      </c>
      <c r="AC14" s="35">
        <f>SUMIF('Resource Demand - Activity'!$FT:$FT,Example!$G14,'Resource Demand - Activity'!X:X)</f>
        <v>0</v>
      </c>
      <c r="AD14" s="35">
        <f>SUMIF('Resource Demand - Activity'!$FT:$FT,Example!$G14,'Resource Demand - Activity'!Y:Y)</f>
        <v>0</v>
      </c>
      <c r="AE14" s="35">
        <f>SUMIF('Resource Demand - Activity'!$FT:$FT,Example!$G14,'Resource Demand - Activity'!Z:Z)</f>
        <v>0</v>
      </c>
      <c r="AF14" s="35">
        <f>SUMIF('Resource Demand - Activity'!$FT:$FT,Example!$G14,'Resource Demand - Activity'!AA:AA)</f>
        <v>0</v>
      </c>
      <c r="AG14" s="35">
        <f>SUMIF('Resource Demand - Activity'!$FT:$FT,Example!$G14,'Resource Demand - Activity'!AB:AB)</f>
        <v>0</v>
      </c>
      <c r="AH14" s="35">
        <f>SUMIF('Resource Demand - Activity'!$FT:$FT,Example!$G14,'Resource Demand - Activity'!AC:AC)</f>
        <v>0</v>
      </c>
      <c r="AI14" s="35">
        <f>SUMIF('Resource Demand - Activity'!$FT:$FT,Example!$G14,'Resource Demand - Activity'!AD:AD)</f>
        <v>0</v>
      </c>
      <c r="AJ14" s="35">
        <f>SUMIF('Resource Demand - Activity'!$FT:$FT,Example!$G14,'Resource Demand - Activity'!AE:AE)</f>
        <v>0</v>
      </c>
      <c r="AK14" s="35">
        <f>SUMIF('Resource Demand - Activity'!$FT:$FT,Example!$G14,'Resource Demand - Activity'!AF:AF)</f>
        <v>0</v>
      </c>
      <c r="AL14" s="35">
        <f>SUMIF('Resource Demand - Activity'!$FT:$FT,Example!$G14,'Resource Demand - Activity'!AG:AG)</f>
        <v>0</v>
      </c>
      <c r="AM14" s="35">
        <f>SUMIF('Resource Demand - Activity'!$FT:$FT,Example!$G14,'Resource Demand - Activity'!AH:AH)</f>
        <v>0</v>
      </c>
      <c r="AN14" s="35">
        <f>SUMIF('Resource Demand - Activity'!$FT:$FT,Example!$G14,'Resource Demand - Activity'!AI:AI)</f>
        <v>0</v>
      </c>
      <c r="AO14" s="35">
        <f>SUMIF('Resource Demand - Activity'!$FT:$FT,Example!$G14,'Resource Demand - Activity'!AJ:AJ)</f>
        <v>0</v>
      </c>
      <c r="AP14" s="35">
        <f>SUMIF('Resource Demand - Activity'!$FT:$FT,Example!$G14,'Resource Demand - Activity'!AK:AK)</f>
        <v>0</v>
      </c>
      <c r="AQ14" s="36"/>
      <c r="AR14" s="36"/>
      <c r="AS14" s="36"/>
      <c r="AT14" s="36"/>
      <c r="AU14" s="36"/>
      <c r="AV14" s="36"/>
      <c r="AW14" s="36"/>
      <c r="AX14" s="35">
        <f>SUMIF('Resource Demand - Activity'!$FT:$FT,Example!$G14,'Resource Demand - Activity'!AS:AS)</f>
        <v>0</v>
      </c>
      <c r="AY14" s="35">
        <f>SUMIF('Resource Demand - Activity'!$FT:$FT,Example!$G14,'Resource Demand - Activity'!AT:AT)</f>
        <v>0</v>
      </c>
      <c r="AZ14" s="35">
        <f>SUMIF('Resource Demand - Activity'!$FT:$FT,Example!$G14,'Resource Demand - Activity'!AU:AU)</f>
        <v>0</v>
      </c>
      <c r="BA14" s="35">
        <f>SUMIF('Resource Demand - Activity'!$FT:$FT,Example!$G14,'Resource Demand - Activity'!AV:AV)</f>
        <v>0</v>
      </c>
      <c r="BB14" s="35">
        <f>SUMIF('Resource Demand - Activity'!$FT:$FT,Example!$G14,'Resource Demand - Activity'!AW:AW)</f>
        <v>0</v>
      </c>
      <c r="BC14" s="35">
        <f>SUMIF('Resource Demand - Activity'!$FT:$FT,Example!$G14,'Resource Demand - Activity'!AX:AX)</f>
        <v>0</v>
      </c>
      <c r="BD14" s="35">
        <f>SUMIF('Resource Demand - Activity'!$FT:$FT,Example!$G14,'Resource Demand - Activity'!AY:AY)</f>
        <v>0</v>
      </c>
      <c r="BE14" s="35">
        <f>SUMIF('Resource Demand - Activity'!$FT:$FT,Example!$G14,'Resource Demand - Activity'!AZ:AZ)</f>
        <v>0</v>
      </c>
      <c r="BF14" s="35">
        <f>SUMIF('Resource Demand - Activity'!$FT:$FT,Example!$G14,'Resource Demand - Activity'!BA:BA)</f>
        <v>0</v>
      </c>
      <c r="BG14" s="35">
        <f>SUMIF('Resource Demand - Activity'!$FT:$FT,Example!$G14,'Resource Demand - Activity'!BB:BB)</f>
        <v>0</v>
      </c>
      <c r="BH14" s="35">
        <f>SUMIF('Resource Demand - Activity'!$FT:$FT,Example!$G14,'Resource Demand - Activity'!BC:BC)</f>
        <v>0</v>
      </c>
      <c r="BI14" s="35">
        <f>SUMIF('Resource Demand - Activity'!$FT:$FT,Example!$G14,'Resource Demand - Activity'!BD:BD)</f>
        <v>0</v>
      </c>
      <c r="BJ14" s="35">
        <f>SUMIF('Resource Demand - Activity'!$FT:$FT,Example!$G14,'Resource Demand - Activity'!BE:BE)</f>
        <v>0</v>
      </c>
      <c r="BK14" s="35">
        <f>SUMIF('Resource Demand - Activity'!$FT:$FT,Example!$G14,'Resource Demand - Activity'!BF:BF)</f>
        <v>0</v>
      </c>
      <c r="BL14" s="35">
        <f>SUMIF('Resource Demand - Activity'!$FT:$FT,Example!$G14,'Resource Demand - Activity'!BG:BG)</f>
        <v>0</v>
      </c>
      <c r="BM14" s="35">
        <f>SUMIF('Resource Demand - Activity'!$FT:$FT,Example!$G14,'Resource Demand - Activity'!BH:BH)</f>
        <v>0</v>
      </c>
      <c r="BN14" s="35">
        <f>SUMIF('Resource Demand - Activity'!$FT:$FT,Example!$G14,'Resource Demand - Activity'!BI:BI)</f>
        <v>0</v>
      </c>
      <c r="BO14" s="35">
        <f>SUMIF('Resource Demand - Activity'!$FT:$FT,Example!$G14,'Resource Demand - Activity'!BJ:BJ)</f>
        <v>0</v>
      </c>
      <c r="BP14" s="35">
        <f>SUMIF('Resource Demand - Activity'!$FT:$FT,Example!$G14,'Resource Demand - Activity'!BK:BK)</f>
        <v>0</v>
      </c>
      <c r="BQ14" s="35">
        <f>SUMIF('Resource Demand - Activity'!$FT:$FT,Example!$G14,'Resource Demand - Activity'!BL:BL)</f>
        <v>0</v>
      </c>
      <c r="BR14" s="35">
        <f>SUMIF('Resource Demand - Activity'!$FT:$FT,Example!$G14,'Resource Demand - Activity'!BM:BM)</f>
        <v>0</v>
      </c>
      <c r="BS14" s="35">
        <f>SUMIF('Resource Demand - Activity'!$FT:$FT,Example!$G14,'Resource Demand - Activity'!BN:BN)</f>
        <v>0</v>
      </c>
      <c r="BT14" s="35">
        <f>SUMIF('Resource Demand - Activity'!$FT:$FT,Example!$G14,'Resource Demand - Activity'!BO:BO)</f>
        <v>0</v>
      </c>
      <c r="BU14" s="35">
        <f>SUMIF('Resource Demand - Activity'!$FT:$FT,Example!$G14,'Resource Demand - Activity'!BP:BP)</f>
        <v>0</v>
      </c>
      <c r="BV14" s="35">
        <f>SUMIF('Resource Demand - Activity'!$FT:$FT,Example!$G14,'Resource Demand - Activity'!BQ:BQ)</f>
        <v>0</v>
      </c>
      <c r="BW14" s="35">
        <f>SUMIF('Resource Demand - Activity'!$FT:$FT,Example!$G14,'Resource Demand - Activity'!BR:BR)</f>
        <v>0</v>
      </c>
      <c r="BX14" s="35">
        <f>SUMIF('Resource Demand - Activity'!$FT:$FT,Example!$G14,'Resource Demand - Activity'!BS:BS)</f>
        <v>0</v>
      </c>
      <c r="BY14" s="35">
        <f>SUMIF('Resource Demand - Activity'!$FT:$FT,Example!$G14,'Resource Demand - Activity'!BT:BT)</f>
        <v>0</v>
      </c>
      <c r="BZ14" s="35">
        <f>SUMIF('Resource Demand - Activity'!$FT:$FT,Example!$G14,'Resource Demand - Activity'!BU:BU)</f>
        <v>0</v>
      </c>
      <c r="CA14" s="35">
        <f>SUMIF('Resource Demand - Activity'!$FT:$FT,Example!$G14,'Resource Demand - Activity'!BV:BV)</f>
        <v>0</v>
      </c>
      <c r="CB14" s="35">
        <f>SUMIF('Resource Demand - Activity'!$FT:$FT,Example!$G14,'Resource Demand - Activity'!BW:BW)</f>
        <v>0</v>
      </c>
      <c r="CC14" s="35">
        <f>SUMIF('Resource Demand - Activity'!$FT:$FT,Example!$G14,'Resource Demand - Activity'!BX:BX)</f>
        <v>0</v>
      </c>
      <c r="CD14" s="35">
        <f>SUMIF('Resource Demand - Activity'!$FT:$FT,Example!$G14,'Resource Demand - Activity'!BY:BY)</f>
        <v>0</v>
      </c>
      <c r="CE14" s="35">
        <f>SUMIF('Resource Demand - Activity'!$FT:$FT,Example!$G14,'Resource Demand - Activity'!BZ:BZ)</f>
        <v>0</v>
      </c>
      <c r="CF14" s="35">
        <f>SUMIF('Resource Demand - Activity'!$FT:$FT,Example!$G14,'Resource Demand - Activity'!CA:CA)</f>
        <v>0</v>
      </c>
      <c r="CG14" s="35">
        <f>SUMIF('Resource Demand - Activity'!$FT:$FT,Example!$G14,'Resource Demand - Activity'!CB:CB)</f>
        <v>0</v>
      </c>
      <c r="CH14" s="35">
        <f>SUMIF('Resource Demand - Activity'!$FT:$FT,Example!$G14,'Resource Demand - Activity'!CC:CC)</f>
        <v>0</v>
      </c>
      <c r="CI14" s="35">
        <f>SUMIF('Resource Demand - Activity'!$FT:$FT,Example!$G14,'Resource Demand - Activity'!CD:CD)</f>
        <v>0</v>
      </c>
      <c r="CJ14" s="35">
        <f>SUMIF('Resource Demand - Activity'!$FT:$FT,Example!$G14,'Resource Demand - Activity'!CE:CE)</f>
        <v>0</v>
      </c>
      <c r="CK14" s="35">
        <f>SUMIF('Resource Demand - Activity'!$FT:$FT,Example!$G14,'Resource Demand - Activity'!CF:CF)</f>
        <v>0</v>
      </c>
      <c r="CL14" s="35">
        <f>SUMIF('Resource Demand - Activity'!$FT:$FT,Example!$G14,'Resource Demand - Activity'!CG:CG)</f>
        <v>0</v>
      </c>
      <c r="CM14" s="35">
        <f>SUMIF('Resource Demand - Activity'!$FT:$FT,Example!$G14,'Resource Demand - Activity'!CH:CH)</f>
        <v>0</v>
      </c>
      <c r="CN14" s="35">
        <f>SUMIF('Resource Demand - Activity'!$FT:$FT,Example!$G14,'Resource Demand - Activity'!CI:CI)</f>
        <v>0</v>
      </c>
      <c r="CO14" s="35">
        <f>SUMIF('Resource Demand - Activity'!$FT:$FT,Example!$G14,'Resource Demand - Activity'!CJ:CJ)</f>
        <v>0</v>
      </c>
      <c r="CP14" s="35">
        <f>SUMIF('Resource Demand - Activity'!$FT:$FT,Example!$G14,'Resource Demand - Activity'!CK:CK)</f>
        <v>0</v>
      </c>
      <c r="CQ14" s="35">
        <f>SUMIF('Resource Demand - Activity'!$FT:$FT,Example!$G14,'Resource Demand - Activity'!CL:CL)</f>
        <v>0</v>
      </c>
      <c r="CR14" s="35">
        <f>SUMIF('Resource Demand - Activity'!$FT:$FT,Example!$G14,'Resource Demand - Activity'!CM:CM)</f>
        <v>0</v>
      </c>
      <c r="CS14" s="35">
        <f>SUMIF('Resource Demand - Activity'!$FT:$FT,Example!$G14,'Resource Demand - Activity'!CN:CN)</f>
        <v>0</v>
      </c>
      <c r="CT14" s="35">
        <f>SUMIF('Resource Demand - Activity'!$FT:$FT,Example!$G14,'Resource Demand - Activity'!CO:CO)</f>
        <v>0</v>
      </c>
      <c r="CU14" s="35">
        <f>SUMIF('Resource Demand - Activity'!$FT:$FT,Example!$G14,'Resource Demand - Activity'!CP:CP)</f>
        <v>0</v>
      </c>
      <c r="CV14" s="35">
        <f>SUMIF('Resource Demand - Activity'!$FT:$FT,Example!$G14,'Resource Demand - Activity'!CQ:CQ)</f>
        <v>0</v>
      </c>
      <c r="CW14" s="35">
        <f>SUMIF('Resource Demand - Activity'!$FT:$FT,Example!$G14,'Resource Demand - Activity'!CR:CR)</f>
        <v>0</v>
      </c>
      <c r="CX14" s="35">
        <f>SUMIF('Resource Demand - Activity'!$FT:$FT,Example!$G14,'Resource Demand - Activity'!CS:CS)</f>
        <v>0</v>
      </c>
      <c r="CY14" s="36"/>
      <c r="CZ14" s="35">
        <f>SUMIF('Resource Demand - Activity'!$FT:$FT,Example!$G14,'Resource Demand - Activity'!CU:CU)</f>
        <v>0</v>
      </c>
      <c r="DA14" s="35">
        <f>SUMIF('Resource Demand - Activity'!$FT:$FT,Example!$G14,'Resource Demand - Activity'!CV:CV)</f>
        <v>0</v>
      </c>
      <c r="DB14" s="35">
        <f>SUMIF('Resource Demand - Activity'!$FT:$FT,Example!$G14,'Resource Demand - Activity'!CW:CW)</f>
        <v>0</v>
      </c>
      <c r="DC14" s="35">
        <f>SUMIF('Resource Demand - Activity'!$FT:$FT,Example!$G14,'Resource Demand - Activity'!CX:CX)</f>
        <v>0</v>
      </c>
      <c r="DD14" s="35">
        <f>SUMIF('Resource Demand - Activity'!$FT:$FT,Example!$G14,'Resource Demand - Activity'!CY:CY)</f>
        <v>0</v>
      </c>
      <c r="DE14" s="36"/>
      <c r="DF14" s="36"/>
      <c r="DG14" s="35">
        <f>SUMIF('Resource Demand - Activity'!$FT:$FT,Example!$G14,'Resource Demand - Activity'!DB:DB)</f>
        <v>0</v>
      </c>
      <c r="DH14" s="35">
        <f>SUMIF('Resource Demand - Activity'!$FT:$FT,Example!$G14,'Resource Demand - Activity'!DC:DC)</f>
        <v>0</v>
      </c>
      <c r="DI14" s="35">
        <f>SUMIF('Resource Demand - Activity'!$FT:$FT,Example!$G14,'Resource Demand - Activity'!DD:DD)</f>
        <v>0</v>
      </c>
      <c r="DJ14" s="35">
        <f>SUMIF('Resource Demand - Activity'!$FT:$FT,Example!$G14,'Resource Demand - Activity'!DE:DE)</f>
        <v>0</v>
      </c>
      <c r="DK14" s="35">
        <f>SUMIF('Resource Demand - Activity'!$FT:$FT,Example!$G14,'Resource Demand - Activity'!DF:DF)</f>
        <v>0</v>
      </c>
      <c r="DL14" s="35">
        <f>SUMIF('Resource Demand - Activity'!$FT:$FT,Example!$G14,'Resource Demand - Activity'!DG:DG)</f>
        <v>0</v>
      </c>
      <c r="DM14" s="35">
        <f>SUMIF('Resource Demand - Activity'!$FT:$FT,Example!$G14,'Resource Demand - Activity'!DH:DH)</f>
        <v>0</v>
      </c>
      <c r="DN14" s="35">
        <f>SUMIF('Resource Demand - Activity'!$FT:$FT,Example!$G14,'Resource Demand - Activity'!DI:DI)</f>
        <v>0</v>
      </c>
      <c r="DO14" s="35">
        <f>SUMIF('Resource Demand - Activity'!$FT:$FT,Example!$G14,'Resource Demand - Activity'!DJ:DJ)</f>
        <v>0</v>
      </c>
      <c r="DP14" s="35">
        <f>SUMIF('Resource Demand - Activity'!$FT:$FT,Example!$G14,'Resource Demand - Activity'!DK:DK)</f>
        <v>0</v>
      </c>
      <c r="DQ14" s="35">
        <f>SUMIF('Resource Demand - Activity'!$FT:$FT,Example!$G14,'Resource Demand - Activity'!DL:DL)</f>
        <v>0</v>
      </c>
      <c r="DR14" s="35">
        <f>SUMIF('Resource Demand - Activity'!$FT:$FT,Example!$G14,'Resource Demand - Activity'!DM:DM)</f>
        <v>0</v>
      </c>
      <c r="DS14" s="35">
        <f>SUMIF('Resource Demand - Activity'!$FT:$FT,Example!$G14,'Resource Demand - Activity'!DN:DN)</f>
        <v>0</v>
      </c>
      <c r="DT14" s="35">
        <f>SUMIF('Resource Demand - Activity'!$FT:$FT,Example!$G14,'Resource Demand - Activity'!DO:DO)</f>
        <v>0</v>
      </c>
      <c r="DU14" s="35">
        <f>SUMIF('Resource Demand - Activity'!$FT:$FT,Example!$G14,'Resource Demand - Activity'!DP:DP)</f>
        <v>0</v>
      </c>
      <c r="DV14" s="35">
        <f>SUMIF('Resource Demand - Activity'!$FT:$FT,Example!$G14,'Resource Demand - Activity'!DQ:DQ)</f>
        <v>0</v>
      </c>
      <c r="DW14" s="35">
        <f>SUMIF('Resource Demand - Activity'!$FT:$FT,Example!$G14,'Resource Demand - Activity'!DR:DR)</f>
        <v>0</v>
      </c>
      <c r="DX14" s="35">
        <f>SUMIF('Resource Demand - Activity'!$FT:$FT,Example!$G14,'Resource Demand - Activity'!DS:DS)</f>
        <v>0</v>
      </c>
      <c r="DY14" s="35">
        <f>SUMIF('Resource Demand - Activity'!$FT:$FT,Example!$G14,'Resource Demand - Activity'!DT:DT)</f>
        <v>0</v>
      </c>
      <c r="DZ14" s="35">
        <f>SUMIF('Resource Demand - Activity'!$FT:$FT,Example!$G14,'Resource Demand - Activity'!DU:DU)</f>
        <v>0</v>
      </c>
      <c r="EA14" s="35">
        <f>SUMIF('Resource Demand - Activity'!$FT:$FT,Example!$G14,'Resource Demand - Activity'!DV:DV)</f>
        <v>0</v>
      </c>
      <c r="EB14" s="35">
        <f>SUMIF('Resource Demand - Activity'!$FT:$FT,Example!$G14,'Resource Demand - Activity'!DW:DW)</f>
        <v>0</v>
      </c>
      <c r="EC14" s="35">
        <f>SUMIF('Resource Demand - Activity'!$FT:$FT,Example!$G14,'Resource Demand - Activity'!DX:DX)</f>
        <v>0</v>
      </c>
      <c r="ED14" s="35">
        <f>SUMIF('Resource Demand - Activity'!$FT:$FT,Example!$G14,'Resource Demand - Activity'!DY:DY)</f>
        <v>0</v>
      </c>
      <c r="EE14" s="36"/>
      <c r="EF14" s="35">
        <f>SUMIF('Resource Demand - Activity'!$FT:$FT,Example!$G14,'Resource Demand - Activity'!EA:EA)</f>
        <v>0</v>
      </c>
      <c r="EG14" s="35">
        <f>SUMIF('Resource Demand - Activity'!$FT:$FT,Example!$G14,'Resource Demand - Activity'!EB:EB)</f>
        <v>0</v>
      </c>
      <c r="EH14" s="35">
        <f>SUMIF('Resource Demand - Activity'!$FT:$FT,Example!$G14,'Resource Demand - Activity'!EC:EC)</f>
        <v>0</v>
      </c>
      <c r="EI14" s="35">
        <f>SUMIF('Resource Demand - Activity'!$FT:$FT,Example!$G14,'Resource Demand - Activity'!ED:ED)</f>
        <v>0</v>
      </c>
      <c r="EJ14" s="35">
        <f>SUMIF('Resource Demand - Activity'!$FT:$FT,Example!$G14,'Resource Demand - Activity'!EE:EE)</f>
        <v>0</v>
      </c>
      <c r="EK14" s="35">
        <f>SUMIF('Resource Demand - Activity'!$FT:$FT,Example!$G14,'Resource Demand - Activity'!EF:EF)</f>
        <v>0</v>
      </c>
      <c r="EL14" s="35">
        <f>SUMIF('Resource Demand - Activity'!$FT:$FT,Example!$G14,'Resource Demand - Activity'!EG:EG)</f>
        <v>0</v>
      </c>
      <c r="EM14" s="35">
        <f>SUMIF('Resource Demand - Activity'!$FT:$FT,Example!$G14,'Resource Demand - Activity'!EH:EH)</f>
        <v>0</v>
      </c>
      <c r="EN14" s="35">
        <f>SUMIF('Resource Demand - Activity'!$FT:$FT,Example!$G14,'Resource Demand - Activity'!EI:EI)</f>
        <v>1</v>
      </c>
      <c r="EO14" s="35">
        <f>SUMIF('Resource Demand - Activity'!$FT:$FT,Example!$G14,'Resource Demand - Activity'!EJ:EJ)</f>
        <v>0</v>
      </c>
      <c r="EP14" s="35">
        <f>SUMIF('Resource Demand - Activity'!$FT:$FT,Example!$G14,'Resource Demand - Activity'!EK:EK)</f>
        <v>0</v>
      </c>
      <c r="EQ14" s="35">
        <f>SUMIF('Resource Demand - Activity'!$FT:$FT,Example!$G14,'Resource Demand - Activity'!EL:EL)</f>
        <v>1</v>
      </c>
      <c r="ER14" s="35">
        <f>SUMIF('Resource Demand - Activity'!$FT:$FT,Example!$G14,'Resource Demand - Activity'!EM:EM)</f>
        <v>0</v>
      </c>
      <c r="ES14" s="35">
        <f>SUMIF('Resource Demand - Activity'!$FT:$FT,Example!$G14,'Resource Demand - Activity'!EN:EN)</f>
        <v>0</v>
      </c>
      <c r="ET14" s="35">
        <f>SUMIF('Resource Demand - Activity'!$FT:$FT,Example!$G14,'Resource Demand - Activity'!EO:EO)</f>
        <v>0</v>
      </c>
      <c r="EU14" s="35">
        <f>SUMIF('Resource Demand - Activity'!$FT:$FT,Example!$G14,'Resource Demand - Activity'!EP:EP)</f>
        <v>0</v>
      </c>
      <c r="EV14" s="35">
        <f>SUMIF('Resource Demand - Activity'!$FT:$FT,Example!$G14,'Resource Demand - Activity'!EQ:EQ)</f>
        <v>0</v>
      </c>
      <c r="EW14" s="35">
        <f>SUMIF('Resource Demand - Activity'!$FT:$FT,Example!$G14,'Resource Demand - Activity'!ER:ER)</f>
        <v>0</v>
      </c>
      <c r="EX14" s="35">
        <f>SUMIF('Resource Demand - Activity'!$FT:$FT,Example!$G14,'Resource Demand - Activity'!ES:ES)</f>
        <v>0</v>
      </c>
      <c r="EY14" s="35">
        <f>SUMIF('Resource Demand - Activity'!$FT:$FT,Example!$G14,'Resource Demand - Activity'!ET:ET)</f>
        <v>0</v>
      </c>
      <c r="EZ14" s="35">
        <f>SUMIF('Resource Demand - Activity'!$FT:$FT,Example!$G14,'Resource Demand - Activity'!EU:EU)</f>
        <v>0</v>
      </c>
      <c r="FA14" s="35">
        <f>SUMIF('Resource Demand - Activity'!$FT:$FT,Example!$G14,'Resource Demand - Activity'!EV:EV)</f>
        <v>0</v>
      </c>
      <c r="FB14" s="35">
        <f>SUMIF('Resource Demand - Activity'!$FT:$FT,Example!$G14,'Resource Demand - Activity'!EW:EW)</f>
        <v>0</v>
      </c>
      <c r="FC14" s="35">
        <f>SUMIF('Resource Demand - Activity'!$FT:$FT,Example!$G14,'Resource Demand - Activity'!EX:EX)</f>
        <v>0</v>
      </c>
      <c r="FD14" s="36"/>
      <c r="FE14" s="35">
        <f>SUMIF('Resource Demand - Activity'!$FT:$FT,Example!$G14,'Resource Demand - Activity'!EZ:EZ)</f>
        <v>0</v>
      </c>
      <c r="FF14" s="35">
        <f>SUMIF('Resource Demand - Activity'!$FT:$FT,Example!$G14,'Resource Demand - Activity'!FA:FA)</f>
        <v>0</v>
      </c>
      <c r="FG14" s="35">
        <f>SUMIF('Resource Demand - Activity'!$FT:$FT,Example!$G14,'Resource Demand - Activity'!FB:FB)</f>
        <v>0</v>
      </c>
      <c r="FH14" s="35">
        <f>SUMIF('Resource Demand - Activity'!$FT:$FT,Example!$G14,'Resource Demand - Activity'!FC:FC)</f>
        <v>0</v>
      </c>
      <c r="FI14" s="35">
        <f>SUMIF('Resource Demand - Activity'!$FT:$FT,Example!$G14,'Resource Demand - Activity'!FD:FD)</f>
        <v>0</v>
      </c>
      <c r="FJ14" s="35">
        <f>SUMIF('Resource Demand - Activity'!$FT:$FT,Example!$G14,'Resource Demand - Activity'!FE:FE)</f>
        <v>0</v>
      </c>
      <c r="FK14" s="35">
        <f>SUMIF('Resource Demand - Activity'!$FT:$FT,Example!$G14,'Resource Demand - Activity'!FF:FF)</f>
        <v>0</v>
      </c>
      <c r="FL14" s="35">
        <f>SUMIF('Resource Demand - Activity'!$FT:$FT,Example!$G14,'Resource Demand - Activity'!FG:FG)</f>
        <v>0</v>
      </c>
      <c r="FM14" s="35">
        <f>SUMIF('Resource Demand - Activity'!$FT:$FT,Example!$G14,'Resource Demand - Activity'!FH:FH)</f>
        <v>0</v>
      </c>
      <c r="FN14" s="35">
        <f>SUMIF('Resource Demand - Activity'!$FT:$FT,Example!$G14,'Resource Demand - Activity'!FI:FI)</f>
        <v>0</v>
      </c>
      <c r="FO14" s="35">
        <f>SUMIF('Resource Demand - Activity'!$FT:$FT,Example!$G14,'Resource Demand - Activity'!FJ:FJ)</f>
        <v>0</v>
      </c>
      <c r="FP14" s="35">
        <f>SUMIF('Resource Demand - Activity'!$FT:$FT,Example!$G14,'Resource Demand - Activity'!FK:FK)</f>
        <v>0</v>
      </c>
      <c r="FQ14" s="35">
        <f>SUMIF('Resource Demand - Activity'!$FT:$FT,Example!$G14,'Resource Demand - Activity'!FL:FL)</f>
        <v>0</v>
      </c>
      <c r="FR14" s="35">
        <f>SUMIF('Resource Demand - Activity'!$FT:$FT,Example!$G14,'Resource Demand - Activity'!FM:FM)</f>
        <v>0</v>
      </c>
      <c r="FS14" s="35">
        <f>SUMIF('Resource Demand - Activity'!$FT:$FT,Example!$G14,'Resource Demand - Activity'!FN:FN)</f>
        <v>0</v>
      </c>
      <c r="FT14" s="35">
        <f>SUMIF('Resource Demand - Activity'!$FT:$FT,Example!$G14,'Resource Demand - Activity'!FO:FO)</f>
        <v>0</v>
      </c>
      <c r="FU14" s="35">
        <f>SUMIF('Resource Demand - Activity'!$FT:$FT,Example!$G14,'Resource Demand - Activity'!FP:FP)</f>
        <v>0</v>
      </c>
      <c r="FV14" s="52">
        <f>SUMIF('Resource Demand - Activity'!$FT:$FT,Example!$G14,'Resource Demand - Activity'!FQ:FQ)</f>
        <v>0</v>
      </c>
    </row>
    <row r="15" spans="2:178" ht="12" customHeight="1">
      <c r="B15" s="68" t="s">
        <v>9</v>
      </c>
      <c r="C15" s="72">
        <v>2015</v>
      </c>
      <c r="D15" s="72" t="s">
        <v>191</v>
      </c>
      <c r="E15" s="165" t="s">
        <v>192</v>
      </c>
      <c r="F15" s="1"/>
      <c r="G15" s="64" t="str">
        <f t="shared" si="3"/>
        <v>10. BAU Transition 10.3 Quarterly Process DocumentationGlenn Kirk</v>
      </c>
      <c r="H15" s="3" t="s">
        <v>155</v>
      </c>
      <c r="I15" s="59" t="str">
        <f>INDEX('Resource Demand - Activity'!C:C,MATCH(Example!G15,'Resource Demand - Activity'!FT:FT,0))</f>
        <v>0 days</v>
      </c>
      <c r="J15" s="51">
        <f>SUMIF('Resource Demand - Activity'!$FT:$FT,Example!$G15,'Resource Demand - Activity'!E:E)</f>
        <v>0</v>
      </c>
      <c r="K15" s="35">
        <f>SUMIF('Resource Demand - Activity'!$FT:$FT,Example!$G15,'Resource Demand - Activity'!F:F)</f>
        <v>0</v>
      </c>
      <c r="L15" s="35">
        <f>SUMIF('Resource Demand - Activity'!$FT:$FT,Example!$G15,'Resource Demand - Activity'!G:G)</f>
        <v>0</v>
      </c>
      <c r="M15" s="35">
        <f>SUMIF('Resource Demand - Activity'!$FT:$FT,Example!$G15,'Resource Demand - Activity'!H:H)</f>
        <v>0</v>
      </c>
      <c r="N15" s="35">
        <f>SUMIF('Resource Demand - Activity'!$FT:$FT,Example!$G15,'Resource Demand - Activity'!I:I)</f>
        <v>0</v>
      </c>
      <c r="O15" s="35">
        <f>SUMIF('Resource Demand - Activity'!$FT:$FT,Example!$G15,'Resource Demand - Activity'!J:J)</f>
        <v>0</v>
      </c>
      <c r="P15" s="35">
        <f>SUMIF('Resource Demand - Activity'!$FT:$FT,Example!$G15,'Resource Demand - Activity'!K:K)</f>
        <v>0</v>
      </c>
      <c r="Q15" s="35">
        <f>SUMIF('Resource Demand - Activity'!$FT:$FT,Example!$G15,'Resource Demand - Activity'!L:L)</f>
        <v>0</v>
      </c>
      <c r="R15" s="35">
        <f>SUMIF('Resource Demand - Activity'!$FT:$FT,Example!$G15,'Resource Demand - Activity'!M:M)</f>
        <v>0</v>
      </c>
      <c r="S15" s="35">
        <f>SUMIF('Resource Demand - Activity'!$FT:$FT,Example!$G15,'Resource Demand - Activity'!N:N)</f>
        <v>0</v>
      </c>
      <c r="T15" s="35">
        <f>SUMIF('Resource Demand - Activity'!$FT:$FT,Example!$G15,'Resource Demand - Activity'!O:O)</f>
        <v>0</v>
      </c>
      <c r="U15" s="35">
        <f>SUMIF('Resource Demand - Activity'!$FT:$FT,Example!$G15,'Resource Demand - Activity'!P:P)</f>
        <v>0</v>
      </c>
      <c r="V15" s="35">
        <f>SUMIF('Resource Demand - Activity'!$FT:$FT,Example!$G15,'Resource Demand - Activity'!Q:Q)</f>
        <v>0</v>
      </c>
      <c r="W15" s="35">
        <f>SUMIF('Resource Demand - Activity'!$FT:$FT,Example!$G15,'Resource Demand - Activity'!R:R)</f>
        <v>0</v>
      </c>
      <c r="X15" s="35">
        <f>SUMIF('Resource Demand - Activity'!$FT:$FT,Example!$G15,'Resource Demand - Activity'!S:S)</f>
        <v>0</v>
      </c>
      <c r="Y15" s="35">
        <f>SUMIF('Resource Demand - Activity'!$FT:$FT,Example!$G15,'Resource Demand - Activity'!T:T)</f>
        <v>0</v>
      </c>
      <c r="Z15" s="35">
        <f>SUMIF('Resource Demand - Activity'!$FT:$FT,Example!$G15,'Resource Demand - Activity'!U:U)</f>
        <v>0</v>
      </c>
      <c r="AA15" s="35">
        <f>SUMIF('Resource Demand - Activity'!$FT:$FT,Example!$G15,'Resource Demand - Activity'!V:V)</f>
        <v>0</v>
      </c>
      <c r="AB15" s="35">
        <f>SUMIF('Resource Demand - Activity'!$FT:$FT,Example!$G15,'Resource Demand - Activity'!W:W)</f>
        <v>0</v>
      </c>
      <c r="AC15" s="35">
        <f>SUMIF('Resource Demand - Activity'!$FT:$FT,Example!$G15,'Resource Demand - Activity'!X:X)</f>
        <v>0</v>
      </c>
      <c r="AD15" s="35">
        <f>SUMIF('Resource Demand - Activity'!$FT:$FT,Example!$G15,'Resource Demand - Activity'!Y:Y)</f>
        <v>0</v>
      </c>
      <c r="AE15" s="35">
        <f>SUMIF('Resource Demand - Activity'!$FT:$FT,Example!$G15,'Resource Demand - Activity'!Z:Z)</f>
        <v>0</v>
      </c>
      <c r="AF15" s="35">
        <f>SUMIF('Resource Demand - Activity'!$FT:$FT,Example!$G15,'Resource Demand - Activity'!AA:AA)</f>
        <v>0</v>
      </c>
      <c r="AG15" s="35">
        <f>SUMIF('Resource Demand - Activity'!$FT:$FT,Example!$G15,'Resource Demand - Activity'!AB:AB)</f>
        <v>0</v>
      </c>
      <c r="AH15" s="35">
        <f>SUMIF('Resource Demand - Activity'!$FT:$FT,Example!$G15,'Resource Demand - Activity'!AC:AC)</f>
        <v>0</v>
      </c>
      <c r="AI15" s="35">
        <f>SUMIF('Resource Demand - Activity'!$FT:$FT,Example!$G15,'Resource Demand - Activity'!AD:AD)</f>
        <v>0</v>
      </c>
      <c r="AJ15" s="35">
        <f>SUMIF('Resource Demand - Activity'!$FT:$FT,Example!$G15,'Resource Demand - Activity'!AE:AE)</f>
        <v>0</v>
      </c>
      <c r="AK15" s="35">
        <f>SUMIF('Resource Demand - Activity'!$FT:$FT,Example!$G15,'Resource Demand - Activity'!AF:AF)</f>
        <v>0</v>
      </c>
      <c r="AL15" s="35">
        <f>SUMIF('Resource Demand - Activity'!$FT:$FT,Example!$G15,'Resource Demand - Activity'!AG:AG)</f>
        <v>0</v>
      </c>
      <c r="AM15" s="35">
        <f>SUMIF('Resource Demand - Activity'!$FT:$FT,Example!$G15,'Resource Demand - Activity'!AH:AH)</f>
        <v>0</v>
      </c>
      <c r="AN15" s="35">
        <f>SUMIF('Resource Demand - Activity'!$FT:$FT,Example!$G15,'Resource Demand - Activity'!AI:AI)</f>
        <v>0</v>
      </c>
      <c r="AO15" s="35">
        <f>SUMIF('Resource Demand - Activity'!$FT:$FT,Example!$G15,'Resource Demand - Activity'!AJ:AJ)</f>
        <v>0</v>
      </c>
      <c r="AP15" s="35">
        <f>SUMIF('Resource Demand - Activity'!$FT:$FT,Example!$G15,'Resource Demand - Activity'!AK:AK)</f>
        <v>0</v>
      </c>
      <c r="AQ15" s="36"/>
      <c r="AR15" s="36"/>
      <c r="AS15" s="36"/>
      <c r="AT15" s="36"/>
      <c r="AU15" s="36"/>
      <c r="AV15" s="36"/>
      <c r="AW15" s="36"/>
      <c r="AX15" s="35">
        <f>SUMIF('Resource Demand - Activity'!$FT:$FT,Example!$G15,'Resource Demand - Activity'!AS:AS)</f>
        <v>0</v>
      </c>
      <c r="AY15" s="35">
        <f>SUMIF('Resource Demand - Activity'!$FT:$FT,Example!$G15,'Resource Demand - Activity'!AT:AT)</f>
        <v>0</v>
      </c>
      <c r="AZ15" s="35">
        <f>SUMIF('Resource Demand - Activity'!$FT:$FT,Example!$G15,'Resource Demand - Activity'!AU:AU)</f>
        <v>0</v>
      </c>
      <c r="BA15" s="35">
        <f>SUMIF('Resource Demand - Activity'!$FT:$FT,Example!$G15,'Resource Demand - Activity'!AV:AV)</f>
        <v>0</v>
      </c>
      <c r="BB15" s="35">
        <f>SUMIF('Resource Demand - Activity'!$FT:$FT,Example!$G15,'Resource Demand - Activity'!AW:AW)</f>
        <v>0</v>
      </c>
      <c r="BC15" s="35">
        <f>SUMIF('Resource Demand - Activity'!$FT:$FT,Example!$G15,'Resource Demand - Activity'!AX:AX)</f>
        <v>0</v>
      </c>
      <c r="BD15" s="35">
        <f>SUMIF('Resource Demand - Activity'!$FT:$FT,Example!$G15,'Resource Demand - Activity'!AY:AY)</f>
        <v>0</v>
      </c>
      <c r="BE15" s="35">
        <f>SUMIF('Resource Demand - Activity'!$FT:$FT,Example!$G15,'Resource Demand - Activity'!AZ:AZ)</f>
        <v>0</v>
      </c>
      <c r="BF15" s="35">
        <f>SUMIF('Resource Demand - Activity'!$FT:$FT,Example!$G15,'Resource Demand - Activity'!BA:BA)</f>
        <v>0</v>
      </c>
      <c r="BG15" s="35">
        <f>SUMIF('Resource Demand - Activity'!$FT:$FT,Example!$G15,'Resource Demand - Activity'!BB:BB)</f>
        <v>0</v>
      </c>
      <c r="BH15" s="35">
        <f>SUMIF('Resource Demand - Activity'!$FT:$FT,Example!$G15,'Resource Demand - Activity'!BC:BC)</f>
        <v>0</v>
      </c>
      <c r="BI15" s="35">
        <f>SUMIF('Resource Demand - Activity'!$FT:$FT,Example!$G15,'Resource Demand - Activity'!BD:BD)</f>
        <v>0</v>
      </c>
      <c r="BJ15" s="35">
        <f>SUMIF('Resource Demand - Activity'!$FT:$FT,Example!$G15,'Resource Demand - Activity'!BE:BE)</f>
        <v>0</v>
      </c>
      <c r="BK15" s="35">
        <f>SUMIF('Resource Demand - Activity'!$FT:$FT,Example!$G15,'Resource Demand - Activity'!BF:BF)</f>
        <v>0</v>
      </c>
      <c r="BL15" s="35">
        <f>SUMIF('Resource Demand - Activity'!$FT:$FT,Example!$G15,'Resource Demand - Activity'!BG:BG)</f>
        <v>0</v>
      </c>
      <c r="BM15" s="35">
        <f>SUMIF('Resource Demand - Activity'!$FT:$FT,Example!$G15,'Resource Demand - Activity'!BH:BH)</f>
        <v>0</v>
      </c>
      <c r="BN15" s="35">
        <f>SUMIF('Resource Demand - Activity'!$FT:$FT,Example!$G15,'Resource Demand - Activity'!BI:BI)</f>
        <v>0</v>
      </c>
      <c r="BO15" s="35">
        <f>SUMIF('Resource Demand - Activity'!$FT:$FT,Example!$G15,'Resource Demand - Activity'!BJ:BJ)</f>
        <v>0</v>
      </c>
      <c r="BP15" s="35">
        <f>SUMIF('Resource Demand - Activity'!$FT:$FT,Example!$G15,'Resource Demand - Activity'!BK:BK)</f>
        <v>0</v>
      </c>
      <c r="BQ15" s="35">
        <f>SUMIF('Resource Demand - Activity'!$FT:$FT,Example!$G15,'Resource Demand - Activity'!BL:BL)</f>
        <v>0</v>
      </c>
      <c r="BR15" s="35">
        <f>SUMIF('Resource Demand - Activity'!$FT:$FT,Example!$G15,'Resource Demand - Activity'!BM:BM)</f>
        <v>0</v>
      </c>
      <c r="BS15" s="35">
        <f>SUMIF('Resource Demand - Activity'!$FT:$FT,Example!$G15,'Resource Demand - Activity'!BN:BN)</f>
        <v>0</v>
      </c>
      <c r="BT15" s="35">
        <f>SUMIF('Resource Demand - Activity'!$FT:$FT,Example!$G15,'Resource Demand - Activity'!BO:BO)</f>
        <v>0</v>
      </c>
      <c r="BU15" s="35">
        <f>SUMIF('Resource Demand - Activity'!$FT:$FT,Example!$G15,'Resource Demand - Activity'!BP:BP)</f>
        <v>0</v>
      </c>
      <c r="BV15" s="35">
        <f>SUMIF('Resource Demand - Activity'!$FT:$FT,Example!$G15,'Resource Demand - Activity'!BQ:BQ)</f>
        <v>0</v>
      </c>
      <c r="BW15" s="35">
        <f>SUMIF('Resource Demand - Activity'!$FT:$FT,Example!$G15,'Resource Demand - Activity'!BR:BR)</f>
        <v>0</v>
      </c>
      <c r="BX15" s="35">
        <f>SUMIF('Resource Demand - Activity'!$FT:$FT,Example!$G15,'Resource Demand - Activity'!BS:BS)</f>
        <v>0</v>
      </c>
      <c r="BY15" s="35">
        <f>SUMIF('Resource Demand - Activity'!$FT:$FT,Example!$G15,'Resource Demand - Activity'!BT:BT)</f>
        <v>0</v>
      </c>
      <c r="BZ15" s="35">
        <f>SUMIF('Resource Demand - Activity'!$FT:$FT,Example!$G15,'Resource Demand - Activity'!BU:BU)</f>
        <v>0</v>
      </c>
      <c r="CA15" s="35">
        <f>SUMIF('Resource Demand - Activity'!$FT:$FT,Example!$G15,'Resource Demand - Activity'!BV:BV)</f>
        <v>0</v>
      </c>
      <c r="CB15" s="35">
        <f>SUMIF('Resource Demand - Activity'!$FT:$FT,Example!$G15,'Resource Demand - Activity'!BW:BW)</f>
        <v>0</v>
      </c>
      <c r="CC15" s="35">
        <f>SUMIF('Resource Demand - Activity'!$FT:$FT,Example!$G15,'Resource Demand - Activity'!BX:BX)</f>
        <v>0</v>
      </c>
      <c r="CD15" s="35">
        <f>SUMIF('Resource Demand - Activity'!$FT:$FT,Example!$G15,'Resource Demand - Activity'!BY:BY)</f>
        <v>0</v>
      </c>
      <c r="CE15" s="35">
        <f>SUMIF('Resource Demand - Activity'!$FT:$FT,Example!$G15,'Resource Demand - Activity'!BZ:BZ)</f>
        <v>0</v>
      </c>
      <c r="CF15" s="35">
        <f>SUMIF('Resource Demand - Activity'!$FT:$FT,Example!$G15,'Resource Demand - Activity'!CA:CA)</f>
        <v>0</v>
      </c>
      <c r="CG15" s="35">
        <f>SUMIF('Resource Demand - Activity'!$FT:$FT,Example!$G15,'Resource Demand - Activity'!CB:CB)</f>
        <v>0</v>
      </c>
      <c r="CH15" s="35">
        <f>SUMIF('Resource Demand - Activity'!$FT:$FT,Example!$G15,'Resource Demand - Activity'!CC:CC)</f>
        <v>0</v>
      </c>
      <c r="CI15" s="35">
        <f>SUMIF('Resource Demand - Activity'!$FT:$FT,Example!$G15,'Resource Demand - Activity'!CD:CD)</f>
        <v>0</v>
      </c>
      <c r="CJ15" s="35">
        <f>SUMIF('Resource Demand - Activity'!$FT:$FT,Example!$G15,'Resource Demand - Activity'!CE:CE)</f>
        <v>0</v>
      </c>
      <c r="CK15" s="35">
        <f>SUMIF('Resource Demand - Activity'!$FT:$FT,Example!$G15,'Resource Demand - Activity'!CF:CF)</f>
        <v>0</v>
      </c>
      <c r="CL15" s="35">
        <f>SUMIF('Resource Demand - Activity'!$FT:$FT,Example!$G15,'Resource Demand - Activity'!CG:CG)</f>
        <v>0</v>
      </c>
      <c r="CM15" s="35">
        <f>SUMIF('Resource Demand - Activity'!$FT:$FT,Example!$G15,'Resource Demand - Activity'!CH:CH)</f>
        <v>0</v>
      </c>
      <c r="CN15" s="35">
        <f>SUMIF('Resource Demand - Activity'!$FT:$FT,Example!$G15,'Resource Demand - Activity'!CI:CI)</f>
        <v>0</v>
      </c>
      <c r="CO15" s="35">
        <f>SUMIF('Resource Demand - Activity'!$FT:$FT,Example!$G15,'Resource Demand - Activity'!CJ:CJ)</f>
        <v>0</v>
      </c>
      <c r="CP15" s="35">
        <f>SUMIF('Resource Demand - Activity'!$FT:$FT,Example!$G15,'Resource Demand - Activity'!CK:CK)</f>
        <v>0</v>
      </c>
      <c r="CQ15" s="35">
        <f>SUMIF('Resource Demand - Activity'!$FT:$FT,Example!$G15,'Resource Demand - Activity'!CL:CL)</f>
        <v>0</v>
      </c>
      <c r="CR15" s="35">
        <f>SUMIF('Resource Demand - Activity'!$FT:$FT,Example!$G15,'Resource Demand - Activity'!CM:CM)</f>
        <v>0</v>
      </c>
      <c r="CS15" s="35">
        <f>SUMIF('Resource Demand - Activity'!$FT:$FT,Example!$G15,'Resource Demand - Activity'!CN:CN)</f>
        <v>0</v>
      </c>
      <c r="CT15" s="35">
        <f>SUMIF('Resource Demand - Activity'!$FT:$FT,Example!$G15,'Resource Demand - Activity'!CO:CO)</f>
        <v>0</v>
      </c>
      <c r="CU15" s="35">
        <f>SUMIF('Resource Demand - Activity'!$FT:$FT,Example!$G15,'Resource Demand - Activity'!CP:CP)</f>
        <v>0</v>
      </c>
      <c r="CV15" s="35">
        <f>SUMIF('Resource Demand - Activity'!$FT:$FT,Example!$G15,'Resource Demand - Activity'!CQ:CQ)</f>
        <v>0</v>
      </c>
      <c r="CW15" s="35">
        <f>SUMIF('Resource Demand - Activity'!$FT:$FT,Example!$G15,'Resource Demand - Activity'!CR:CR)</f>
        <v>0</v>
      </c>
      <c r="CX15" s="35">
        <f>SUMIF('Resource Demand - Activity'!$FT:$FT,Example!$G15,'Resource Demand - Activity'!CS:CS)</f>
        <v>0</v>
      </c>
      <c r="CY15" s="36"/>
      <c r="CZ15" s="35">
        <f>SUMIF('Resource Demand - Activity'!$FT:$FT,Example!$G15,'Resource Demand - Activity'!CU:CU)</f>
        <v>0</v>
      </c>
      <c r="DA15" s="35">
        <f>SUMIF('Resource Demand - Activity'!$FT:$FT,Example!$G15,'Resource Demand - Activity'!CV:CV)</f>
        <v>0</v>
      </c>
      <c r="DB15" s="35">
        <f>SUMIF('Resource Demand - Activity'!$FT:$FT,Example!$G15,'Resource Demand - Activity'!CW:CW)</f>
        <v>0</v>
      </c>
      <c r="DC15" s="35">
        <f>SUMIF('Resource Demand - Activity'!$FT:$FT,Example!$G15,'Resource Demand - Activity'!CX:CX)</f>
        <v>0</v>
      </c>
      <c r="DD15" s="35">
        <f>SUMIF('Resource Demand - Activity'!$FT:$FT,Example!$G15,'Resource Demand - Activity'!CY:CY)</f>
        <v>0</v>
      </c>
      <c r="DE15" s="36"/>
      <c r="DF15" s="36"/>
      <c r="DG15" s="35">
        <f>SUMIF('Resource Demand - Activity'!$FT:$FT,Example!$G15,'Resource Demand - Activity'!DB:DB)</f>
        <v>0</v>
      </c>
      <c r="DH15" s="35">
        <f>SUMIF('Resource Demand - Activity'!$FT:$FT,Example!$G15,'Resource Demand - Activity'!DC:DC)</f>
        <v>0</v>
      </c>
      <c r="DI15" s="35">
        <f>SUMIF('Resource Demand - Activity'!$FT:$FT,Example!$G15,'Resource Demand - Activity'!DD:DD)</f>
        <v>0</v>
      </c>
      <c r="DJ15" s="35">
        <f>SUMIF('Resource Demand - Activity'!$FT:$FT,Example!$G15,'Resource Demand - Activity'!DE:DE)</f>
        <v>0</v>
      </c>
      <c r="DK15" s="35">
        <f>SUMIF('Resource Demand - Activity'!$FT:$FT,Example!$G15,'Resource Demand - Activity'!DF:DF)</f>
        <v>0</v>
      </c>
      <c r="DL15" s="35">
        <f>SUMIF('Resource Demand - Activity'!$FT:$FT,Example!$G15,'Resource Demand - Activity'!DG:DG)</f>
        <v>0</v>
      </c>
      <c r="DM15" s="35">
        <f>SUMIF('Resource Demand - Activity'!$FT:$FT,Example!$G15,'Resource Demand - Activity'!DH:DH)</f>
        <v>0</v>
      </c>
      <c r="DN15" s="35">
        <f>SUMIF('Resource Demand - Activity'!$FT:$FT,Example!$G15,'Resource Demand - Activity'!DI:DI)</f>
        <v>0</v>
      </c>
      <c r="DO15" s="35">
        <f>SUMIF('Resource Demand - Activity'!$FT:$FT,Example!$G15,'Resource Demand - Activity'!DJ:DJ)</f>
        <v>0</v>
      </c>
      <c r="DP15" s="35">
        <f>SUMIF('Resource Demand - Activity'!$FT:$FT,Example!$G15,'Resource Demand - Activity'!DK:DK)</f>
        <v>0</v>
      </c>
      <c r="DQ15" s="35">
        <f>SUMIF('Resource Demand - Activity'!$FT:$FT,Example!$G15,'Resource Demand - Activity'!DL:DL)</f>
        <v>0</v>
      </c>
      <c r="DR15" s="35">
        <f>SUMIF('Resource Demand - Activity'!$FT:$FT,Example!$G15,'Resource Demand - Activity'!DM:DM)</f>
        <v>0</v>
      </c>
      <c r="DS15" s="35">
        <f>SUMIF('Resource Demand - Activity'!$FT:$FT,Example!$G15,'Resource Demand - Activity'!DN:DN)</f>
        <v>0</v>
      </c>
      <c r="DT15" s="35">
        <f>SUMIF('Resource Demand - Activity'!$FT:$FT,Example!$G15,'Resource Demand - Activity'!DO:DO)</f>
        <v>0</v>
      </c>
      <c r="DU15" s="35">
        <f>SUMIF('Resource Demand - Activity'!$FT:$FT,Example!$G15,'Resource Demand - Activity'!DP:DP)</f>
        <v>0</v>
      </c>
      <c r="DV15" s="35">
        <f>SUMIF('Resource Demand - Activity'!$FT:$FT,Example!$G15,'Resource Demand - Activity'!DQ:DQ)</f>
        <v>0</v>
      </c>
      <c r="DW15" s="35">
        <f>SUMIF('Resource Demand - Activity'!$FT:$FT,Example!$G15,'Resource Demand - Activity'!DR:DR)</f>
        <v>0</v>
      </c>
      <c r="DX15" s="35">
        <f>SUMIF('Resource Demand - Activity'!$FT:$FT,Example!$G15,'Resource Demand - Activity'!DS:DS)</f>
        <v>0</v>
      </c>
      <c r="DY15" s="35">
        <f>SUMIF('Resource Demand - Activity'!$FT:$FT,Example!$G15,'Resource Demand - Activity'!DT:DT)</f>
        <v>0</v>
      </c>
      <c r="DZ15" s="35">
        <f>SUMIF('Resource Demand - Activity'!$FT:$FT,Example!$G15,'Resource Demand - Activity'!DU:DU)</f>
        <v>0</v>
      </c>
      <c r="EA15" s="35">
        <f>SUMIF('Resource Demand - Activity'!$FT:$FT,Example!$G15,'Resource Demand - Activity'!DV:DV)</f>
        <v>0</v>
      </c>
      <c r="EB15" s="35">
        <f>SUMIF('Resource Demand - Activity'!$FT:$FT,Example!$G15,'Resource Demand - Activity'!DW:DW)</f>
        <v>0</v>
      </c>
      <c r="EC15" s="35">
        <f>SUMIF('Resource Demand - Activity'!$FT:$FT,Example!$G15,'Resource Demand - Activity'!DX:DX)</f>
        <v>0</v>
      </c>
      <c r="ED15" s="35">
        <f>SUMIF('Resource Demand - Activity'!$FT:$FT,Example!$G15,'Resource Demand - Activity'!DY:DY)</f>
        <v>0</v>
      </c>
      <c r="EE15" s="36"/>
      <c r="EF15" s="35">
        <f>SUMIF('Resource Demand - Activity'!$FT:$FT,Example!$G15,'Resource Demand - Activity'!EA:EA)</f>
        <v>0</v>
      </c>
      <c r="EG15" s="35">
        <f>SUMIF('Resource Demand - Activity'!$FT:$FT,Example!$G15,'Resource Demand - Activity'!EB:EB)</f>
        <v>0</v>
      </c>
      <c r="EH15" s="35">
        <f>SUMIF('Resource Demand - Activity'!$FT:$FT,Example!$G15,'Resource Demand - Activity'!EC:EC)</f>
        <v>0</v>
      </c>
      <c r="EI15" s="35">
        <f>SUMIF('Resource Demand - Activity'!$FT:$FT,Example!$G15,'Resource Demand - Activity'!ED:ED)</f>
        <v>0</v>
      </c>
      <c r="EJ15" s="35">
        <f>SUMIF('Resource Demand - Activity'!$FT:$FT,Example!$G15,'Resource Demand - Activity'!EE:EE)</f>
        <v>0</v>
      </c>
      <c r="EK15" s="35">
        <f>SUMIF('Resource Demand - Activity'!$FT:$FT,Example!$G15,'Resource Demand - Activity'!EF:EF)</f>
        <v>0</v>
      </c>
      <c r="EL15" s="35">
        <f>SUMIF('Resource Demand - Activity'!$FT:$FT,Example!$G15,'Resource Demand - Activity'!EG:EG)</f>
        <v>0</v>
      </c>
      <c r="EM15" s="35">
        <f>SUMIF('Resource Demand - Activity'!$FT:$FT,Example!$G15,'Resource Demand - Activity'!EH:EH)</f>
        <v>0</v>
      </c>
      <c r="EN15" s="35">
        <f>SUMIF('Resource Demand - Activity'!$FT:$FT,Example!$G15,'Resource Demand - Activity'!EI:EI)</f>
        <v>0</v>
      </c>
      <c r="EO15" s="35">
        <f>SUMIF('Resource Demand - Activity'!$FT:$FT,Example!$G15,'Resource Demand - Activity'!EJ:EJ)</f>
        <v>0</v>
      </c>
      <c r="EP15" s="35">
        <f>SUMIF('Resource Demand - Activity'!$FT:$FT,Example!$G15,'Resource Demand - Activity'!EK:EK)</f>
        <v>0</v>
      </c>
      <c r="EQ15" s="35">
        <f>SUMIF('Resource Demand - Activity'!$FT:$FT,Example!$G15,'Resource Demand - Activity'!EL:EL)</f>
        <v>0</v>
      </c>
      <c r="ER15" s="35">
        <f>SUMIF('Resource Demand - Activity'!$FT:$FT,Example!$G15,'Resource Demand - Activity'!EM:EM)</f>
        <v>0</v>
      </c>
      <c r="ES15" s="35">
        <f>SUMIF('Resource Demand - Activity'!$FT:$FT,Example!$G15,'Resource Demand - Activity'!EN:EN)</f>
        <v>0</v>
      </c>
      <c r="ET15" s="35">
        <f>SUMIF('Resource Demand - Activity'!$FT:$FT,Example!$G15,'Resource Demand - Activity'!EO:EO)</f>
        <v>0</v>
      </c>
      <c r="EU15" s="35">
        <f>SUMIF('Resource Demand - Activity'!$FT:$FT,Example!$G15,'Resource Demand - Activity'!EP:EP)</f>
        <v>0</v>
      </c>
      <c r="EV15" s="35">
        <f>SUMIF('Resource Demand - Activity'!$FT:$FT,Example!$G15,'Resource Demand - Activity'!EQ:EQ)</f>
        <v>0</v>
      </c>
      <c r="EW15" s="35">
        <f>SUMIF('Resource Demand - Activity'!$FT:$FT,Example!$G15,'Resource Demand - Activity'!ER:ER)</f>
        <v>0</v>
      </c>
      <c r="EX15" s="35">
        <f>SUMIF('Resource Demand - Activity'!$FT:$FT,Example!$G15,'Resource Demand - Activity'!ES:ES)</f>
        <v>0</v>
      </c>
      <c r="EY15" s="35">
        <f>SUMIF('Resource Demand - Activity'!$FT:$FT,Example!$G15,'Resource Demand - Activity'!ET:ET)</f>
        <v>0</v>
      </c>
      <c r="EZ15" s="35">
        <f>SUMIF('Resource Demand - Activity'!$FT:$FT,Example!$G15,'Resource Demand - Activity'!EU:EU)</f>
        <v>0</v>
      </c>
      <c r="FA15" s="35">
        <f>SUMIF('Resource Demand - Activity'!$FT:$FT,Example!$G15,'Resource Demand - Activity'!EV:EV)</f>
        <v>0</v>
      </c>
      <c r="FB15" s="35">
        <f>SUMIF('Resource Demand - Activity'!$FT:$FT,Example!$G15,'Resource Demand - Activity'!EW:EW)</f>
        <v>0</v>
      </c>
      <c r="FC15" s="35">
        <f>SUMIF('Resource Demand - Activity'!$FT:$FT,Example!$G15,'Resource Demand - Activity'!EX:EX)</f>
        <v>0</v>
      </c>
      <c r="FD15" s="36"/>
      <c r="FE15" s="35">
        <f>SUMIF('Resource Demand - Activity'!$FT:$FT,Example!$G15,'Resource Demand - Activity'!EZ:EZ)</f>
        <v>0</v>
      </c>
      <c r="FF15" s="35">
        <f>SUMIF('Resource Demand - Activity'!$FT:$FT,Example!$G15,'Resource Demand - Activity'!FA:FA)</f>
        <v>0</v>
      </c>
      <c r="FG15" s="35">
        <f>SUMIF('Resource Demand - Activity'!$FT:$FT,Example!$G15,'Resource Demand - Activity'!FB:FB)</f>
        <v>0</v>
      </c>
      <c r="FH15" s="35">
        <f>SUMIF('Resource Demand - Activity'!$FT:$FT,Example!$G15,'Resource Demand - Activity'!FC:FC)</f>
        <v>0</v>
      </c>
      <c r="FI15" s="35">
        <f>SUMIF('Resource Demand - Activity'!$FT:$FT,Example!$G15,'Resource Demand - Activity'!FD:FD)</f>
        <v>0</v>
      </c>
      <c r="FJ15" s="35">
        <f>SUMIF('Resource Demand - Activity'!$FT:$FT,Example!$G15,'Resource Demand - Activity'!FE:FE)</f>
        <v>0</v>
      </c>
      <c r="FK15" s="35">
        <f>SUMIF('Resource Demand - Activity'!$FT:$FT,Example!$G15,'Resource Demand - Activity'!FF:FF)</f>
        <v>0</v>
      </c>
      <c r="FL15" s="35">
        <f>SUMIF('Resource Demand - Activity'!$FT:$FT,Example!$G15,'Resource Demand - Activity'!FG:FG)</f>
        <v>0</v>
      </c>
      <c r="FM15" s="35">
        <f>SUMIF('Resource Demand - Activity'!$FT:$FT,Example!$G15,'Resource Demand - Activity'!FH:FH)</f>
        <v>0</v>
      </c>
      <c r="FN15" s="35">
        <f>SUMIF('Resource Demand - Activity'!$FT:$FT,Example!$G15,'Resource Demand - Activity'!FI:FI)</f>
        <v>0</v>
      </c>
      <c r="FO15" s="35">
        <f>SUMIF('Resource Demand - Activity'!$FT:$FT,Example!$G15,'Resource Demand - Activity'!FJ:FJ)</f>
        <v>0</v>
      </c>
      <c r="FP15" s="35">
        <f>SUMIF('Resource Demand - Activity'!$FT:$FT,Example!$G15,'Resource Demand - Activity'!FK:FK)</f>
        <v>0</v>
      </c>
      <c r="FQ15" s="35">
        <f>SUMIF('Resource Demand - Activity'!$FT:$FT,Example!$G15,'Resource Demand - Activity'!FL:FL)</f>
        <v>0</v>
      </c>
      <c r="FR15" s="35">
        <f>SUMIF('Resource Demand - Activity'!$FT:$FT,Example!$G15,'Resource Demand - Activity'!FM:FM)</f>
        <v>0</v>
      </c>
      <c r="FS15" s="35">
        <f>SUMIF('Resource Demand - Activity'!$FT:$FT,Example!$G15,'Resource Demand - Activity'!FN:FN)</f>
        <v>0</v>
      </c>
      <c r="FT15" s="35">
        <f>SUMIF('Resource Demand - Activity'!$FT:$FT,Example!$G15,'Resource Demand - Activity'!FO:FO)</f>
        <v>0</v>
      </c>
      <c r="FU15" s="35">
        <f>SUMIF('Resource Demand - Activity'!$FT:$FT,Example!$G15,'Resource Demand - Activity'!FP:FP)</f>
        <v>0</v>
      </c>
      <c r="FV15" s="52">
        <f>SUMIF('Resource Demand - Activity'!$FT:$FT,Example!$G15,'Resource Demand - Activity'!FQ:FQ)</f>
        <v>0</v>
      </c>
    </row>
    <row r="16" spans="2:178" ht="12" customHeight="1">
      <c r="B16" s="65" t="s">
        <v>17</v>
      </c>
      <c r="C16" s="70">
        <f>SUM(J38:AW56)</f>
        <v>28</v>
      </c>
      <c r="D16" s="70">
        <f>SUM(AX38:FV56)</f>
        <v>107</v>
      </c>
      <c r="E16" s="165"/>
      <c r="F16" s="1"/>
      <c r="G16" s="64" t="str">
        <f t="shared" si="3"/>
        <v>10. BAU Transition 10.4 Annual Reporting (QRTs) Glenn Kirk</v>
      </c>
      <c r="H16" s="3" t="s">
        <v>142</v>
      </c>
      <c r="I16" s="59" t="str">
        <f>INDEX('Resource Demand - Activity'!C:C,MATCH(Example!G16,'Resource Demand - Activity'!FT:FT,0))</f>
        <v>9 days</v>
      </c>
      <c r="J16" s="51">
        <f>SUMIF('Resource Demand - Activity'!$FT:$FT,Example!$G16,'Resource Demand - Activity'!E:E)</f>
        <v>0</v>
      </c>
      <c r="K16" s="35">
        <f>SUMIF('Resource Demand - Activity'!$FT:$FT,Example!$G16,'Resource Demand - Activity'!F:F)</f>
        <v>0</v>
      </c>
      <c r="L16" s="35">
        <f>SUMIF('Resource Demand - Activity'!$FT:$FT,Example!$G16,'Resource Demand - Activity'!G:G)</f>
        <v>0</v>
      </c>
      <c r="M16" s="35">
        <f>SUMIF('Resource Demand - Activity'!$FT:$FT,Example!$G16,'Resource Demand - Activity'!H:H)</f>
        <v>0</v>
      </c>
      <c r="N16" s="35">
        <f>SUMIF('Resource Demand - Activity'!$FT:$FT,Example!$G16,'Resource Demand - Activity'!I:I)</f>
        <v>0</v>
      </c>
      <c r="O16" s="35">
        <f>SUMIF('Resource Demand - Activity'!$FT:$FT,Example!$G16,'Resource Demand - Activity'!J:J)</f>
        <v>0</v>
      </c>
      <c r="P16" s="35">
        <f>SUMIF('Resource Demand - Activity'!$FT:$FT,Example!$G16,'Resource Demand - Activity'!K:K)</f>
        <v>0</v>
      </c>
      <c r="Q16" s="35">
        <f>SUMIF('Resource Demand - Activity'!$FT:$FT,Example!$G16,'Resource Demand - Activity'!L:L)</f>
        <v>0</v>
      </c>
      <c r="R16" s="35">
        <f>SUMIF('Resource Demand - Activity'!$FT:$FT,Example!$G16,'Resource Demand - Activity'!M:M)</f>
        <v>0</v>
      </c>
      <c r="S16" s="35">
        <f>SUMIF('Resource Demand - Activity'!$FT:$FT,Example!$G16,'Resource Demand - Activity'!N:N)</f>
        <v>0</v>
      </c>
      <c r="T16" s="35">
        <f>SUMIF('Resource Demand - Activity'!$FT:$FT,Example!$G16,'Resource Demand - Activity'!O:O)</f>
        <v>0</v>
      </c>
      <c r="U16" s="35">
        <f>SUMIF('Resource Demand - Activity'!$FT:$FT,Example!$G16,'Resource Demand - Activity'!P:P)</f>
        <v>0</v>
      </c>
      <c r="V16" s="35">
        <f>SUMIF('Resource Demand - Activity'!$FT:$FT,Example!$G16,'Resource Demand - Activity'!Q:Q)</f>
        <v>0</v>
      </c>
      <c r="W16" s="35">
        <f>SUMIF('Resource Demand - Activity'!$FT:$FT,Example!$G16,'Resource Demand - Activity'!R:R)</f>
        <v>0</v>
      </c>
      <c r="X16" s="35">
        <f>SUMIF('Resource Demand - Activity'!$FT:$FT,Example!$G16,'Resource Demand - Activity'!S:S)</f>
        <v>0</v>
      </c>
      <c r="Y16" s="35">
        <f>SUMIF('Resource Demand - Activity'!$FT:$FT,Example!$G16,'Resource Demand - Activity'!T:T)</f>
        <v>0</v>
      </c>
      <c r="Z16" s="35">
        <f>SUMIF('Resource Demand - Activity'!$FT:$FT,Example!$G16,'Resource Demand - Activity'!U:U)</f>
        <v>0</v>
      </c>
      <c r="AA16" s="35">
        <f>SUMIF('Resource Demand - Activity'!$FT:$FT,Example!$G16,'Resource Demand - Activity'!V:V)</f>
        <v>0</v>
      </c>
      <c r="AB16" s="35">
        <f>SUMIF('Resource Demand - Activity'!$FT:$FT,Example!$G16,'Resource Demand - Activity'!W:W)</f>
        <v>0</v>
      </c>
      <c r="AC16" s="35">
        <f>SUMIF('Resource Demand - Activity'!$FT:$FT,Example!$G16,'Resource Demand - Activity'!X:X)</f>
        <v>0</v>
      </c>
      <c r="AD16" s="35">
        <f>SUMIF('Resource Demand - Activity'!$FT:$FT,Example!$G16,'Resource Demand - Activity'!Y:Y)</f>
        <v>0</v>
      </c>
      <c r="AE16" s="35">
        <f>SUMIF('Resource Demand - Activity'!$FT:$FT,Example!$G16,'Resource Demand - Activity'!Z:Z)</f>
        <v>0</v>
      </c>
      <c r="AF16" s="35">
        <f>SUMIF('Resource Demand - Activity'!$FT:$FT,Example!$G16,'Resource Demand - Activity'!AA:AA)</f>
        <v>0</v>
      </c>
      <c r="AG16" s="35">
        <f>SUMIF('Resource Demand - Activity'!$FT:$FT,Example!$G16,'Resource Demand - Activity'!AB:AB)</f>
        <v>0</v>
      </c>
      <c r="AH16" s="35">
        <f>SUMIF('Resource Demand - Activity'!$FT:$FT,Example!$G16,'Resource Demand - Activity'!AC:AC)</f>
        <v>0</v>
      </c>
      <c r="AI16" s="35">
        <f>SUMIF('Resource Demand - Activity'!$FT:$FT,Example!$G16,'Resource Demand - Activity'!AD:AD)</f>
        <v>0</v>
      </c>
      <c r="AJ16" s="35">
        <f>SUMIF('Resource Demand - Activity'!$FT:$FT,Example!$G16,'Resource Demand - Activity'!AE:AE)</f>
        <v>0</v>
      </c>
      <c r="AK16" s="35">
        <f>SUMIF('Resource Demand - Activity'!$FT:$FT,Example!$G16,'Resource Demand - Activity'!AF:AF)</f>
        <v>0</v>
      </c>
      <c r="AL16" s="35">
        <f>SUMIF('Resource Demand - Activity'!$FT:$FT,Example!$G16,'Resource Demand - Activity'!AG:AG)</f>
        <v>0</v>
      </c>
      <c r="AM16" s="35">
        <f>SUMIF('Resource Demand - Activity'!$FT:$FT,Example!$G16,'Resource Demand - Activity'!AH:AH)</f>
        <v>0</v>
      </c>
      <c r="AN16" s="35">
        <f>SUMIF('Resource Demand - Activity'!$FT:$FT,Example!$G16,'Resource Demand - Activity'!AI:AI)</f>
        <v>0</v>
      </c>
      <c r="AO16" s="35">
        <f>SUMIF('Resource Demand - Activity'!$FT:$FT,Example!$G16,'Resource Demand - Activity'!AJ:AJ)</f>
        <v>0</v>
      </c>
      <c r="AP16" s="35">
        <f>SUMIF('Resource Demand - Activity'!$FT:$FT,Example!$G16,'Resource Demand - Activity'!AK:AK)</f>
        <v>0</v>
      </c>
      <c r="AQ16" s="36"/>
      <c r="AR16" s="36"/>
      <c r="AS16" s="36"/>
      <c r="AT16" s="36"/>
      <c r="AU16" s="36"/>
      <c r="AV16" s="36"/>
      <c r="AW16" s="36"/>
      <c r="AX16" s="35">
        <f>SUMIF('Resource Demand - Activity'!$FT:$FT,Example!$G16,'Resource Demand - Activity'!AS:AS)</f>
        <v>0</v>
      </c>
      <c r="AY16" s="35">
        <f>SUMIF('Resource Demand - Activity'!$FT:$FT,Example!$G16,'Resource Demand - Activity'!AT:AT)</f>
        <v>0</v>
      </c>
      <c r="AZ16" s="35">
        <f>SUMIF('Resource Demand - Activity'!$FT:$FT,Example!$G16,'Resource Demand - Activity'!AU:AU)</f>
        <v>0</v>
      </c>
      <c r="BA16" s="35">
        <f>SUMIF('Resource Demand - Activity'!$FT:$FT,Example!$G16,'Resource Demand - Activity'!AV:AV)</f>
        <v>0</v>
      </c>
      <c r="BB16" s="35">
        <f>SUMIF('Resource Demand - Activity'!$FT:$FT,Example!$G16,'Resource Demand - Activity'!AW:AW)</f>
        <v>0</v>
      </c>
      <c r="BC16" s="35">
        <f>SUMIF('Resource Demand - Activity'!$FT:$FT,Example!$G16,'Resource Demand - Activity'!AX:AX)</f>
        <v>0</v>
      </c>
      <c r="BD16" s="35">
        <f>SUMIF('Resource Demand - Activity'!$FT:$FT,Example!$G16,'Resource Demand - Activity'!AY:AY)</f>
        <v>0</v>
      </c>
      <c r="BE16" s="35">
        <f>SUMIF('Resource Demand - Activity'!$FT:$FT,Example!$G16,'Resource Demand - Activity'!AZ:AZ)</f>
        <v>0</v>
      </c>
      <c r="BF16" s="35">
        <f>SUMIF('Resource Demand - Activity'!$FT:$FT,Example!$G16,'Resource Demand - Activity'!BA:BA)</f>
        <v>0</v>
      </c>
      <c r="BG16" s="35">
        <f>SUMIF('Resource Demand - Activity'!$FT:$FT,Example!$G16,'Resource Demand - Activity'!BB:BB)</f>
        <v>0</v>
      </c>
      <c r="BH16" s="35">
        <f>SUMIF('Resource Demand - Activity'!$FT:$FT,Example!$G16,'Resource Demand - Activity'!BC:BC)</f>
        <v>0</v>
      </c>
      <c r="BI16" s="35">
        <f>SUMIF('Resource Demand - Activity'!$FT:$FT,Example!$G16,'Resource Demand - Activity'!BD:BD)</f>
        <v>0</v>
      </c>
      <c r="BJ16" s="35">
        <f>SUMIF('Resource Demand - Activity'!$FT:$FT,Example!$G16,'Resource Demand - Activity'!BE:BE)</f>
        <v>0</v>
      </c>
      <c r="BK16" s="35">
        <f>SUMIF('Resource Demand - Activity'!$FT:$FT,Example!$G16,'Resource Demand - Activity'!BF:BF)</f>
        <v>0</v>
      </c>
      <c r="BL16" s="35">
        <f>SUMIF('Resource Demand - Activity'!$FT:$FT,Example!$G16,'Resource Demand - Activity'!BG:BG)</f>
        <v>0</v>
      </c>
      <c r="BM16" s="35">
        <f>SUMIF('Resource Demand - Activity'!$FT:$FT,Example!$G16,'Resource Demand - Activity'!BH:BH)</f>
        <v>0</v>
      </c>
      <c r="BN16" s="35">
        <f>SUMIF('Resource Demand - Activity'!$FT:$FT,Example!$G16,'Resource Demand - Activity'!BI:BI)</f>
        <v>0</v>
      </c>
      <c r="BO16" s="35">
        <f>SUMIF('Resource Demand - Activity'!$FT:$FT,Example!$G16,'Resource Demand - Activity'!BJ:BJ)</f>
        <v>0</v>
      </c>
      <c r="BP16" s="35">
        <f>SUMIF('Resource Demand - Activity'!$FT:$FT,Example!$G16,'Resource Demand - Activity'!BK:BK)</f>
        <v>0</v>
      </c>
      <c r="BQ16" s="35">
        <f>SUMIF('Resource Demand - Activity'!$FT:$FT,Example!$G16,'Resource Demand - Activity'!BL:BL)</f>
        <v>0</v>
      </c>
      <c r="BR16" s="35">
        <f>SUMIF('Resource Demand - Activity'!$FT:$FT,Example!$G16,'Resource Demand - Activity'!BM:BM)</f>
        <v>0</v>
      </c>
      <c r="BS16" s="35">
        <f>SUMIF('Resource Demand - Activity'!$FT:$FT,Example!$G16,'Resource Demand - Activity'!BN:BN)</f>
        <v>0</v>
      </c>
      <c r="BT16" s="35">
        <f>SUMIF('Resource Demand - Activity'!$FT:$FT,Example!$G16,'Resource Demand - Activity'!BO:BO)</f>
        <v>0</v>
      </c>
      <c r="BU16" s="35">
        <f>SUMIF('Resource Demand - Activity'!$FT:$FT,Example!$G16,'Resource Demand - Activity'!BP:BP)</f>
        <v>0</v>
      </c>
      <c r="BV16" s="35">
        <f>SUMIF('Resource Demand - Activity'!$FT:$FT,Example!$G16,'Resource Demand - Activity'!BQ:BQ)</f>
        <v>0</v>
      </c>
      <c r="BW16" s="35">
        <f>SUMIF('Resource Demand - Activity'!$FT:$FT,Example!$G16,'Resource Demand - Activity'!BR:BR)</f>
        <v>0</v>
      </c>
      <c r="BX16" s="35">
        <f>SUMIF('Resource Demand - Activity'!$FT:$FT,Example!$G16,'Resource Demand - Activity'!BS:BS)</f>
        <v>0</v>
      </c>
      <c r="BY16" s="35">
        <f>SUMIF('Resource Demand - Activity'!$FT:$FT,Example!$G16,'Resource Demand - Activity'!BT:BT)</f>
        <v>0</v>
      </c>
      <c r="BZ16" s="35">
        <f>SUMIF('Resource Demand - Activity'!$FT:$FT,Example!$G16,'Resource Demand - Activity'!BU:BU)</f>
        <v>0</v>
      </c>
      <c r="CA16" s="35">
        <f>SUMIF('Resource Demand - Activity'!$FT:$FT,Example!$G16,'Resource Demand - Activity'!BV:BV)</f>
        <v>0</v>
      </c>
      <c r="CB16" s="35">
        <f>SUMIF('Resource Demand - Activity'!$FT:$FT,Example!$G16,'Resource Demand - Activity'!BW:BW)</f>
        <v>0</v>
      </c>
      <c r="CC16" s="35">
        <f>SUMIF('Resource Demand - Activity'!$FT:$FT,Example!$G16,'Resource Demand - Activity'!BX:BX)</f>
        <v>0</v>
      </c>
      <c r="CD16" s="35">
        <f>SUMIF('Resource Demand - Activity'!$FT:$FT,Example!$G16,'Resource Demand - Activity'!BY:BY)</f>
        <v>0</v>
      </c>
      <c r="CE16" s="35">
        <f>SUMIF('Resource Demand - Activity'!$FT:$FT,Example!$G16,'Resource Demand - Activity'!BZ:BZ)</f>
        <v>0</v>
      </c>
      <c r="CF16" s="35">
        <f>SUMIF('Resource Demand - Activity'!$FT:$FT,Example!$G16,'Resource Demand - Activity'!CA:CA)</f>
        <v>0</v>
      </c>
      <c r="CG16" s="35">
        <f>SUMIF('Resource Demand - Activity'!$FT:$FT,Example!$G16,'Resource Demand - Activity'!CB:CB)</f>
        <v>0</v>
      </c>
      <c r="CH16" s="35">
        <f>SUMIF('Resource Demand - Activity'!$FT:$FT,Example!$G16,'Resource Demand - Activity'!CC:CC)</f>
        <v>0</v>
      </c>
      <c r="CI16" s="35">
        <f>SUMIF('Resource Demand - Activity'!$FT:$FT,Example!$G16,'Resource Demand - Activity'!CD:CD)</f>
        <v>0</v>
      </c>
      <c r="CJ16" s="35">
        <f>SUMIF('Resource Demand - Activity'!$FT:$FT,Example!$G16,'Resource Demand - Activity'!CE:CE)</f>
        <v>0</v>
      </c>
      <c r="CK16" s="35">
        <f>SUMIF('Resource Demand - Activity'!$FT:$FT,Example!$G16,'Resource Demand - Activity'!CF:CF)</f>
        <v>0</v>
      </c>
      <c r="CL16" s="35">
        <f>SUMIF('Resource Demand - Activity'!$FT:$FT,Example!$G16,'Resource Demand - Activity'!CG:CG)</f>
        <v>0</v>
      </c>
      <c r="CM16" s="35">
        <f>SUMIF('Resource Demand - Activity'!$FT:$FT,Example!$G16,'Resource Demand - Activity'!CH:CH)</f>
        <v>0</v>
      </c>
      <c r="CN16" s="35">
        <f>SUMIF('Resource Demand - Activity'!$FT:$FT,Example!$G16,'Resource Demand - Activity'!CI:CI)</f>
        <v>0</v>
      </c>
      <c r="CO16" s="35">
        <f>SUMIF('Resource Demand - Activity'!$FT:$FT,Example!$G16,'Resource Demand - Activity'!CJ:CJ)</f>
        <v>0</v>
      </c>
      <c r="CP16" s="35">
        <f>SUMIF('Resource Demand - Activity'!$FT:$FT,Example!$G16,'Resource Demand - Activity'!CK:CK)</f>
        <v>0</v>
      </c>
      <c r="CQ16" s="35">
        <f>SUMIF('Resource Demand - Activity'!$FT:$FT,Example!$G16,'Resource Demand - Activity'!CL:CL)</f>
        <v>0</v>
      </c>
      <c r="CR16" s="35">
        <f>SUMIF('Resource Demand - Activity'!$FT:$FT,Example!$G16,'Resource Demand - Activity'!CM:CM)</f>
        <v>0</v>
      </c>
      <c r="CS16" s="35">
        <f>SUMIF('Resource Demand - Activity'!$FT:$FT,Example!$G16,'Resource Demand - Activity'!CN:CN)</f>
        <v>0</v>
      </c>
      <c r="CT16" s="35">
        <f>SUMIF('Resource Demand - Activity'!$FT:$FT,Example!$G16,'Resource Demand - Activity'!CO:CO)</f>
        <v>0</v>
      </c>
      <c r="CU16" s="35">
        <f>SUMIF('Resource Demand - Activity'!$FT:$FT,Example!$G16,'Resource Demand - Activity'!CP:CP)</f>
        <v>0</v>
      </c>
      <c r="CV16" s="35">
        <f>SUMIF('Resource Demand - Activity'!$FT:$FT,Example!$G16,'Resource Demand - Activity'!CQ:CQ)</f>
        <v>0</v>
      </c>
      <c r="CW16" s="35">
        <f>SUMIF('Resource Demand - Activity'!$FT:$FT,Example!$G16,'Resource Demand - Activity'!CR:CR)</f>
        <v>0</v>
      </c>
      <c r="CX16" s="35">
        <f>SUMIF('Resource Demand - Activity'!$FT:$FT,Example!$G16,'Resource Demand - Activity'!CS:CS)</f>
        <v>0</v>
      </c>
      <c r="CY16" s="36"/>
      <c r="CZ16" s="35">
        <f>SUMIF('Resource Demand - Activity'!$FT:$FT,Example!$G16,'Resource Demand - Activity'!CU:CU)</f>
        <v>0</v>
      </c>
      <c r="DA16" s="35">
        <f>SUMIF('Resource Demand - Activity'!$FT:$FT,Example!$G16,'Resource Demand - Activity'!CV:CV)</f>
        <v>0</v>
      </c>
      <c r="DB16" s="35">
        <f>SUMIF('Resource Demand - Activity'!$FT:$FT,Example!$G16,'Resource Demand - Activity'!CW:CW)</f>
        <v>0</v>
      </c>
      <c r="DC16" s="35">
        <f>SUMIF('Resource Demand - Activity'!$FT:$FT,Example!$G16,'Resource Demand - Activity'!CX:CX)</f>
        <v>0</v>
      </c>
      <c r="DD16" s="35">
        <f>SUMIF('Resource Demand - Activity'!$FT:$FT,Example!$G16,'Resource Demand - Activity'!CY:CY)</f>
        <v>0</v>
      </c>
      <c r="DE16" s="36"/>
      <c r="DF16" s="36"/>
      <c r="DG16" s="35">
        <f>SUMIF('Resource Demand - Activity'!$FT:$FT,Example!$G16,'Resource Demand - Activity'!DB:DB)</f>
        <v>0</v>
      </c>
      <c r="DH16" s="35">
        <f>SUMIF('Resource Demand - Activity'!$FT:$FT,Example!$G16,'Resource Demand - Activity'!DC:DC)</f>
        <v>0</v>
      </c>
      <c r="DI16" s="35">
        <f>SUMIF('Resource Demand - Activity'!$FT:$FT,Example!$G16,'Resource Demand - Activity'!DD:DD)</f>
        <v>0</v>
      </c>
      <c r="DJ16" s="35">
        <f>SUMIF('Resource Demand - Activity'!$FT:$FT,Example!$G16,'Resource Demand - Activity'!DE:DE)</f>
        <v>0</v>
      </c>
      <c r="DK16" s="35">
        <f>SUMIF('Resource Demand - Activity'!$FT:$FT,Example!$G16,'Resource Demand - Activity'!DF:DF)</f>
        <v>0</v>
      </c>
      <c r="DL16" s="35">
        <f>SUMIF('Resource Demand - Activity'!$FT:$FT,Example!$G16,'Resource Demand - Activity'!DG:DG)</f>
        <v>0</v>
      </c>
      <c r="DM16" s="35">
        <f>SUMIF('Resource Demand - Activity'!$FT:$FT,Example!$G16,'Resource Demand - Activity'!DH:DH)</f>
        <v>0</v>
      </c>
      <c r="DN16" s="35">
        <f>SUMIF('Resource Demand - Activity'!$FT:$FT,Example!$G16,'Resource Demand - Activity'!DI:DI)</f>
        <v>0</v>
      </c>
      <c r="DO16" s="35">
        <f>SUMIF('Resource Demand - Activity'!$FT:$FT,Example!$G16,'Resource Demand - Activity'!DJ:DJ)</f>
        <v>0</v>
      </c>
      <c r="DP16" s="35">
        <f>SUMIF('Resource Demand - Activity'!$FT:$FT,Example!$G16,'Resource Demand - Activity'!DK:DK)</f>
        <v>0</v>
      </c>
      <c r="DQ16" s="35">
        <f>SUMIF('Resource Demand - Activity'!$FT:$FT,Example!$G16,'Resource Demand - Activity'!DL:DL)</f>
        <v>0</v>
      </c>
      <c r="DR16" s="35">
        <f>SUMIF('Resource Demand - Activity'!$FT:$FT,Example!$G16,'Resource Demand - Activity'!DM:DM)</f>
        <v>0</v>
      </c>
      <c r="DS16" s="35">
        <f>SUMIF('Resource Demand - Activity'!$FT:$FT,Example!$G16,'Resource Demand - Activity'!DN:DN)</f>
        <v>0</v>
      </c>
      <c r="DT16" s="35">
        <f>SUMIF('Resource Demand - Activity'!$FT:$FT,Example!$G16,'Resource Demand - Activity'!DO:DO)</f>
        <v>0</v>
      </c>
      <c r="DU16" s="35">
        <f>SUMIF('Resource Demand - Activity'!$FT:$FT,Example!$G16,'Resource Demand - Activity'!DP:DP)</f>
        <v>0</v>
      </c>
      <c r="DV16" s="35">
        <f>SUMIF('Resource Demand - Activity'!$FT:$FT,Example!$G16,'Resource Demand - Activity'!DQ:DQ)</f>
        <v>0</v>
      </c>
      <c r="DW16" s="35">
        <f>SUMIF('Resource Demand - Activity'!$FT:$FT,Example!$G16,'Resource Demand - Activity'!DR:DR)</f>
        <v>0</v>
      </c>
      <c r="DX16" s="35">
        <f>SUMIF('Resource Demand - Activity'!$FT:$FT,Example!$G16,'Resource Demand - Activity'!DS:DS)</f>
        <v>0</v>
      </c>
      <c r="DY16" s="35">
        <f>SUMIF('Resource Demand - Activity'!$FT:$FT,Example!$G16,'Resource Demand - Activity'!DT:DT)</f>
        <v>0</v>
      </c>
      <c r="DZ16" s="35">
        <f>SUMIF('Resource Demand - Activity'!$FT:$FT,Example!$G16,'Resource Demand - Activity'!DU:DU)</f>
        <v>0</v>
      </c>
      <c r="EA16" s="35">
        <f>SUMIF('Resource Demand - Activity'!$FT:$FT,Example!$G16,'Resource Demand - Activity'!DV:DV)</f>
        <v>0</v>
      </c>
      <c r="EB16" s="35">
        <f>SUMIF('Resource Demand - Activity'!$FT:$FT,Example!$G16,'Resource Demand - Activity'!DW:DW)</f>
        <v>0</v>
      </c>
      <c r="EC16" s="35">
        <f>SUMIF('Resource Demand - Activity'!$FT:$FT,Example!$G16,'Resource Demand - Activity'!DX:DX)</f>
        <v>0</v>
      </c>
      <c r="ED16" s="35">
        <f>SUMIF('Resource Demand - Activity'!$FT:$FT,Example!$G16,'Resource Demand - Activity'!DY:DY)</f>
        <v>0</v>
      </c>
      <c r="EE16" s="36"/>
      <c r="EF16" s="35">
        <f>SUMIF('Resource Demand - Activity'!$FT:$FT,Example!$G16,'Resource Demand - Activity'!EA:EA)</f>
        <v>0</v>
      </c>
      <c r="EG16" s="35">
        <f>SUMIF('Resource Demand - Activity'!$FT:$FT,Example!$G16,'Resource Demand - Activity'!EB:EB)</f>
        <v>0</v>
      </c>
      <c r="EH16" s="35">
        <f>SUMIF('Resource Demand - Activity'!$FT:$FT,Example!$G16,'Resource Demand - Activity'!EC:EC)</f>
        <v>0</v>
      </c>
      <c r="EI16" s="35">
        <f>SUMIF('Resource Demand - Activity'!$FT:$FT,Example!$G16,'Resource Demand - Activity'!ED:ED)</f>
        <v>0</v>
      </c>
      <c r="EJ16" s="35">
        <f>SUMIF('Resource Demand - Activity'!$FT:$FT,Example!$G16,'Resource Demand - Activity'!EE:EE)</f>
        <v>0</v>
      </c>
      <c r="EK16" s="35">
        <f>SUMIF('Resource Demand - Activity'!$FT:$FT,Example!$G16,'Resource Demand - Activity'!EF:EF)</f>
        <v>0</v>
      </c>
      <c r="EL16" s="35">
        <f>SUMIF('Resource Demand - Activity'!$FT:$FT,Example!$G16,'Resource Demand - Activity'!EG:EG)</f>
        <v>0</v>
      </c>
      <c r="EM16" s="35">
        <f>SUMIF('Resource Demand - Activity'!$FT:$FT,Example!$G16,'Resource Demand - Activity'!EH:EH)</f>
        <v>0</v>
      </c>
      <c r="EN16" s="35">
        <f>SUMIF('Resource Demand - Activity'!$FT:$FT,Example!$G16,'Resource Demand - Activity'!EI:EI)</f>
        <v>0</v>
      </c>
      <c r="EO16" s="35">
        <f>SUMIF('Resource Demand - Activity'!$FT:$FT,Example!$G16,'Resource Demand - Activity'!EJ:EJ)</f>
        <v>0</v>
      </c>
      <c r="EP16" s="35">
        <f>SUMIF('Resource Demand - Activity'!$FT:$FT,Example!$G16,'Resource Demand - Activity'!EK:EK)</f>
        <v>0</v>
      </c>
      <c r="EQ16" s="35">
        <f>SUMIF('Resource Demand - Activity'!$FT:$FT,Example!$G16,'Resource Demand - Activity'!EL:EL)</f>
        <v>0</v>
      </c>
      <c r="ER16" s="35">
        <f>SUMIF('Resource Demand - Activity'!$FT:$FT,Example!$G16,'Resource Demand - Activity'!EM:EM)</f>
        <v>1</v>
      </c>
      <c r="ES16" s="35">
        <f>SUMIF('Resource Demand - Activity'!$FT:$FT,Example!$G16,'Resource Demand - Activity'!EN:EN)</f>
        <v>0</v>
      </c>
      <c r="ET16" s="35">
        <f>SUMIF('Resource Demand - Activity'!$FT:$FT,Example!$G16,'Resource Demand - Activity'!EO:EO)</f>
        <v>1</v>
      </c>
      <c r="EU16" s="35">
        <f>SUMIF('Resource Demand - Activity'!$FT:$FT,Example!$G16,'Resource Demand - Activity'!EP:EP)</f>
        <v>1</v>
      </c>
      <c r="EV16" s="35">
        <f>SUMIF('Resource Demand - Activity'!$FT:$FT,Example!$G16,'Resource Demand - Activity'!EQ:EQ)</f>
        <v>1</v>
      </c>
      <c r="EW16" s="35">
        <f>SUMIF('Resource Demand - Activity'!$FT:$FT,Example!$G16,'Resource Demand - Activity'!ER:ER)</f>
        <v>1</v>
      </c>
      <c r="EX16" s="35">
        <f>SUMIF('Resource Demand - Activity'!$FT:$FT,Example!$G16,'Resource Demand - Activity'!ES:ES)</f>
        <v>1</v>
      </c>
      <c r="EY16" s="35">
        <f>SUMIF('Resource Demand - Activity'!$FT:$FT,Example!$G16,'Resource Demand - Activity'!ET:ET)</f>
        <v>1</v>
      </c>
      <c r="EZ16" s="35">
        <f>SUMIF('Resource Demand - Activity'!$FT:$FT,Example!$G16,'Resource Demand - Activity'!EU:EU)</f>
        <v>1</v>
      </c>
      <c r="FA16" s="35">
        <f>SUMIF('Resource Demand - Activity'!$FT:$FT,Example!$G16,'Resource Demand - Activity'!EV:EV)</f>
        <v>1</v>
      </c>
      <c r="FB16" s="35">
        <f>SUMIF('Resource Demand - Activity'!$FT:$FT,Example!$G16,'Resource Demand - Activity'!EW:EW)</f>
        <v>0</v>
      </c>
      <c r="FC16" s="35">
        <f>SUMIF('Resource Demand - Activity'!$FT:$FT,Example!$G16,'Resource Demand - Activity'!EX:EX)</f>
        <v>0</v>
      </c>
      <c r="FD16" s="36"/>
      <c r="FE16" s="35">
        <f>SUMIF('Resource Demand - Activity'!$FT:$FT,Example!$G16,'Resource Demand - Activity'!EZ:EZ)</f>
        <v>0</v>
      </c>
      <c r="FF16" s="35">
        <f>SUMIF('Resource Demand - Activity'!$FT:$FT,Example!$G16,'Resource Demand - Activity'!FA:FA)</f>
        <v>0</v>
      </c>
      <c r="FG16" s="35">
        <f>SUMIF('Resource Demand - Activity'!$FT:$FT,Example!$G16,'Resource Demand - Activity'!FB:FB)</f>
        <v>0</v>
      </c>
      <c r="FH16" s="35">
        <f>SUMIF('Resource Demand - Activity'!$FT:$FT,Example!$G16,'Resource Demand - Activity'!FC:FC)</f>
        <v>0</v>
      </c>
      <c r="FI16" s="35">
        <f>SUMIF('Resource Demand - Activity'!$FT:$FT,Example!$G16,'Resource Demand - Activity'!FD:FD)</f>
        <v>0</v>
      </c>
      <c r="FJ16" s="35">
        <f>SUMIF('Resource Demand - Activity'!$FT:$FT,Example!$G16,'Resource Demand - Activity'!FE:FE)</f>
        <v>0</v>
      </c>
      <c r="FK16" s="35">
        <f>SUMIF('Resource Demand - Activity'!$FT:$FT,Example!$G16,'Resource Demand - Activity'!FF:FF)</f>
        <v>0</v>
      </c>
      <c r="FL16" s="35">
        <f>SUMIF('Resource Demand - Activity'!$FT:$FT,Example!$G16,'Resource Demand - Activity'!FG:FG)</f>
        <v>0</v>
      </c>
      <c r="FM16" s="35">
        <f>SUMIF('Resource Demand - Activity'!$FT:$FT,Example!$G16,'Resource Demand - Activity'!FH:FH)</f>
        <v>0</v>
      </c>
      <c r="FN16" s="35">
        <f>SUMIF('Resource Demand - Activity'!$FT:$FT,Example!$G16,'Resource Demand - Activity'!FI:FI)</f>
        <v>0</v>
      </c>
      <c r="FO16" s="35">
        <f>SUMIF('Resource Demand - Activity'!$FT:$FT,Example!$G16,'Resource Demand - Activity'!FJ:FJ)</f>
        <v>0</v>
      </c>
      <c r="FP16" s="35">
        <f>SUMIF('Resource Demand - Activity'!$FT:$FT,Example!$G16,'Resource Demand - Activity'!FK:FK)</f>
        <v>0</v>
      </c>
      <c r="FQ16" s="35">
        <f>SUMIF('Resource Demand - Activity'!$FT:$FT,Example!$G16,'Resource Demand - Activity'!FL:FL)</f>
        <v>0</v>
      </c>
      <c r="FR16" s="35">
        <f>SUMIF('Resource Demand - Activity'!$FT:$FT,Example!$G16,'Resource Demand - Activity'!FM:FM)</f>
        <v>0</v>
      </c>
      <c r="FS16" s="35">
        <f>SUMIF('Resource Demand - Activity'!$FT:$FT,Example!$G16,'Resource Demand - Activity'!FN:FN)</f>
        <v>0</v>
      </c>
      <c r="FT16" s="35">
        <f>SUMIF('Resource Demand - Activity'!$FT:$FT,Example!$G16,'Resource Demand - Activity'!FO:FO)</f>
        <v>0</v>
      </c>
      <c r="FU16" s="35">
        <f>SUMIF('Resource Demand - Activity'!$FT:$FT,Example!$G16,'Resource Demand - Activity'!FP:FP)</f>
        <v>0</v>
      </c>
      <c r="FV16" s="52">
        <f>SUMIF('Resource Demand - Activity'!$FT:$FT,Example!$G16,'Resource Demand - Activity'!FQ:FQ)</f>
        <v>0</v>
      </c>
    </row>
    <row r="17" spans="2:178" s="58" customFormat="1" ht="12" customHeight="1">
      <c r="B17" s="65" t="s">
        <v>16</v>
      </c>
      <c r="C17" s="70">
        <f>SUM(J60:AW75)</f>
        <v>28</v>
      </c>
      <c r="D17" s="70">
        <f>SUM(AX60:FV75)</f>
        <v>108</v>
      </c>
      <c r="E17" s="165"/>
      <c r="G17" s="64" t="str">
        <f t="shared" si="3"/>
        <v>10. BAU Transition 10.5 Annual Process DocumentationGlenn Kirk</v>
      </c>
      <c r="H17" s="102" t="s">
        <v>156</v>
      </c>
      <c r="I17" s="59" t="str">
        <f>INDEX('Resource Demand - Activity'!C:C,MATCH(Example!G17,'Resource Demand - Activity'!FT:FT,0))</f>
        <v>0 days</v>
      </c>
      <c r="J17" s="51">
        <f>SUMIF('Resource Demand - Activity'!$FT:$FT,Example!$G17,'Resource Demand - Activity'!E:E)</f>
        <v>0</v>
      </c>
      <c r="K17" s="35">
        <f>SUMIF('Resource Demand - Activity'!$FT:$FT,Example!$G17,'Resource Demand - Activity'!F:F)</f>
        <v>0</v>
      </c>
      <c r="L17" s="35">
        <f>SUMIF('Resource Demand - Activity'!$FT:$FT,Example!$G17,'Resource Demand - Activity'!G:G)</f>
        <v>0</v>
      </c>
      <c r="M17" s="35">
        <f>SUMIF('Resource Demand - Activity'!$FT:$FT,Example!$G17,'Resource Demand - Activity'!H:H)</f>
        <v>0</v>
      </c>
      <c r="N17" s="35">
        <f>SUMIF('Resource Demand - Activity'!$FT:$FT,Example!$G17,'Resource Demand - Activity'!I:I)</f>
        <v>0</v>
      </c>
      <c r="O17" s="35">
        <f>SUMIF('Resource Demand - Activity'!$FT:$FT,Example!$G17,'Resource Demand - Activity'!J:J)</f>
        <v>0</v>
      </c>
      <c r="P17" s="35">
        <f>SUMIF('Resource Demand - Activity'!$FT:$FT,Example!$G17,'Resource Demand - Activity'!K:K)</f>
        <v>0</v>
      </c>
      <c r="Q17" s="35">
        <f>SUMIF('Resource Demand - Activity'!$FT:$FT,Example!$G17,'Resource Demand - Activity'!L:L)</f>
        <v>0</v>
      </c>
      <c r="R17" s="35">
        <f>SUMIF('Resource Demand - Activity'!$FT:$FT,Example!$G17,'Resource Demand - Activity'!M:M)</f>
        <v>0</v>
      </c>
      <c r="S17" s="35">
        <f>SUMIF('Resource Demand - Activity'!$FT:$FT,Example!$G17,'Resource Demand - Activity'!N:N)</f>
        <v>0</v>
      </c>
      <c r="T17" s="35">
        <f>SUMIF('Resource Demand - Activity'!$FT:$FT,Example!$G17,'Resource Demand - Activity'!O:O)</f>
        <v>0</v>
      </c>
      <c r="U17" s="35">
        <f>SUMIF('Resource Demand - Activity'!$FT:$FT,Example!$G17,'Resource Demand - Activity'!P:P)</f>
        <v>0</v>
      </c>
      <c r="V17" s="35">
        <f>SUMIF('Resource Demand - Activity'!$FT:$FT,Example!$G17,'Resource Demand - Activity'!Q:Q)</f>
        <v>0</v>
      </c>
      <c r="W17" s="35">
        <f>SUMIF('Resource Demand - Activity'!$FT:$FT,Example!$G17,'Resource Demand - Activity'!R:R)</f>
        <v>0</v>
      </c>
      <c r="X17" s="35">
        <f>SUMIF('Resource Demand - Activity'!$FT:$FT,Example!$G17,'Resource Demand - Activity'!S:S)</f>
        <v>0</v>
      </c>
      <c r="Y17" s="35">
        <f>SUMIF('Resource Demand - Activity'!$FT:$FT,Example!$G17,'Resource Demand - Activity'!T:T)</f>
        <v>0</v>
      </c>
      <c r="Z17" s="35">
        <f>SUMIF('Resource Demand - Activity'!$FT:$FT,Example!$G17,'Resource Demand - Activity'!U:U)</f>
        <v>0</v>
      </c>
      <c r="AA17" s="35">
        <f>SUMIF('Resource Demand - Activity'!$FT:$FT,Example!$G17,'Resource Demand - Activity'!V:V)</f>
        <v>0</v>
      </c>
      <c r="AB17" s="35">
        <f>SUMIF('Resource Demand - Activity'!$FT:$FT,Example!$G17,'Resource Demand - Activity'!W:W)</f>
        <v>0</v>
      </c>
      <c r="AC17" s="35">
        <f>SUMIF('Resource Demand - Activity'!$FT:$FT,Example!$G17,'Resource Demand - Activity'!X:X)</f>
        <v>0</v>
      </c>
      <c r="AD17" s="35">
        <f>SUMIF('Resource Demand - Activity'!$FT:$FT,Example!$G17,'Resource Demand - Activity'!Y:Y)</f>
        <v>0</v>
      </c>
      <c r="AE17" s="35">
        <f>SUMIF('Resource Demand - Activity'!$FT:$FT,Example!$G17,'Resource Demand - Activity'!Z:Z)</f>
        <v>0</v>
      </c>
      <c r="AF17" s="35">
        <f>SUMIF('Resource Demand - Activity'!$FT:$FT,Example!$G17,'Resource Demand - Activity'!AA:AA)</f>
        <v>0</v>
      </c>
      <c r="AG17" s="35">
        <f>SUMIF('Resource Demand - Activity'!$FT:$FT,Example!$G17,'Resource Demand - Activity'!AB:AB)</f>
        <v>0</v>
      </c>
      <c r="AH17" s="35">
        <f>SUMIF('Resource Demand - Activity'!$FT:$FT,Example!$G17,'Resource Demand - Activity'!AC:AC)</f>
        <v>0</v>
      </c>
      <c r="AI17" s="35">
        <f>SUMIF('Resource Demand - Activity'!$FT:$FT,Example!$G17,'Resource Demand - Activity'!AD:AD)</f>
        <v>0</v>
      </c>
      <c r="AJ17" s="35">
        <f>SUMIF('Resource Demand - Activity'!$FT:$FT,Example!$G17,'Resource Demand - Activity'!AE:AE)</f>
        <v>0</v>
      </c>
      <c r="AK17" s="35">
        <f>SUMIF('Resource Demand - Activity'!$FT:$FT,Example!$G17,'Resource Demand - Activity'!AF:AF)</f>
        <v>0</v>
      </c>
      <c r="AL17" s="35">
        <f>SUMIF('Resource Demand - Activity'!$FT:$FT,Example!$G17,'Resource Demand - Activity'!AG:AG)</f>
        <v>0</v>
      </c>
      <c r="AM17" s="35">
        <f>SUMIF('Resource Demand - Activity'!$FT:$FT,Example!$G17,'Resource Demand - Activity'!AH:AH)</f>
        <v>0</v>
      </c>
      <c r="AN17" s="35">
        <f>SUMIF('Resource Demand - Activity'!$FT:$FT,Example!$G17,'Resource Demand - Activity'!AI:AI)</f>
        <v>0</v>
      </c>
      <c r="AO17" s="35">
        <f>SUMIF('Resource Demand - Activity'!$FT:$FT,Example!$G17,'Resource Demand - Activity'!AJ:AJ)</f>
        <v>0</v>
      </c>
      <c r="AP17" s="35">
        <f>SUMIF('Resource Demand - Activity'!$FT:$FT,Example!$G17,'Resource Demand - Activity'!AK:AK)</f>
        <v>0</v>
      </c>
      <c r="AQ17" s="36"/>
      <c r="AR17" s="36"/>
      <c r="AS17" s="36"/>
      <c r="AT17" s="36"/>
      <c r="AU17" s="36"/>
      <c r="AV17" s="36"/>
      <c r="AW17" s="36"/>
      <c r="AX17" s="35">
        <f>SUMIF('Resource Demand - Activity'!$FT:$FT,Example!$G17,'Resource Demand - Activity'!AS:AS)</f>
        <v>0</v>
      </c>
      <c r="AY17" s="35">
        <f>SUMIF('Resource Demand - Activity'!$FT:$FT,Example!$G17,'Resource Demand - Activity'!AT:AT)</f>
        <v>0</v>
      </c>
      <c r="AZ17" s="35">
        <f>SUMIF('Resource Demand - Activity'!$FT:$FT,Example!$G17,'Resource Demand - Activity'!AU:AU)</f>
        <v>0</v>
      </c>
      <c r="BA17" s="35">
        <f>SUMIF('Resource Demand - Activity'!$FT:$FT,Example!$G17,'Resource Demand - Activity'!AV:AV)</f>
        <v>0</v>
      </c>
      <c r="BB17" s="35">
        <f>SUMIF('Resource Demand - Activity'!$FT:$FT,Example!$G17,'Resource Demand - Activity'!AW:AW)</f>
        <v>0</v>
      </c>
      <c r="BC17" s="35">
        <f>SUMIF('Resource Demand - Activity'!$FT:$FT,Example!$G17,'Resource Demand - Activity'!AX:AX)</f>
        <v>0</v>
      </c>
      <c r="BD17" s="35">
        <f>SUMIF('Resource Demand - Activity'!$FT:$FT,Example!$G17,'Resource Demand - Activity'!AY:AY)</f>
        <v>0</v>
      </c>
      <c r="BE17" s="35">
        <f>SUMIF('Resource Demand - Activity'!$FT:$FT,Example!$G17,'Resource Demand - Activity'!AZ:AZ)</f>
        <v>0</v>
      </c>
      <c r="BF17" s="35">
        <f>SUMIF('Resource Demand - Activity'!$FT:$FT,Example!$G17,'Resource Demand - Activity'!BA:BA)</f>
        <v>0</v>
      </c>
      <c r="BG17" s="35">
        <f>SUMIF('Resource Demand - Activity'!$FT:$FT,Example!$G17,'Resource Demand - Activity'!BB:BB)</f>
        <v>0</v>
      </c>
      <c r="BH17" s="35">
        <f>SUMIF('Resource Demand - Activity'!$FT:$FT,Example!$G17,'Resource Demand - Activity'!BC:BC)</f>
        <v>0</v>
      </c>
      <c r="BI17" s="35">
        <f>SUMIF('Resource Demand - Activity'!$FT:$FT,Example!$G17,'Resource Demand - Activity'!BD:BD)</f>
        <v>0</v>
      </c>
      <c r="BJ17" s="35">
        <f>SUMIF('Resource Demand - Activity'!$FT:$FT,Example!$G17,'Resource Demand - Activity'!BE:BE)</f>
        <v>0</v>
      </c>
      <c r="BK17" s="35">
        <f>SUMIF('Resource Demand - Activity'!$FT:$FT,Example!$G17,'Resource Demand - Activity'!BF:BF)</f>
        <v>0</v>
      </c>
      <c r="BL17" s="35">
        <f>SUMIF('Resource Demand - Activity'!$FT:$FT,Example!$G17,'Resource Demand - Activity'!BG:BG)</f>
        <v>0</v>
      </c>
      <c r="BM17" s="35">
        <f>SUMIF('Resource Demand - Activity'!$FT:$FT,Example!$G17,'Resource Demand - Activity'!BH:BH)</f>
        <v>0</v>
      </c>
      <c r="BN17" s="35">
        <f>SUMIF('Resource Demand - Activity'!$FT:$FT,Example!$G17,'Resource Demand - Activity'!BI:BI)</f>
        <v>0</v>
      </c>
      <c r="BO17" s="35">
        <f>SUMIF('Resource Demand - Activity'!$FT:$FT,Example!$G17,'Resource Demand - Activity'!BJ:BJ)</f>
        <v>0</v>
      </c>
      <c r="BP17" s="35">
        <f>SUMIF('Resource Demand - Activity'!$FT:$FT,Example!$G17,'Resource Demand - Activity'!BK:BK)</f>
        <v>0</v>
      </c>
      <c r="BQ17" s="35">
        <f>SUMIF('Resource Demand - Activity'!$FT:$FT,Example!$G17,'Resource Demand - Activity'!BL:BL)</f>
        <v>0</v>
      </c>
      <c r="BR17" s="35">
        <f>SUMIF('Resource Demand - Activity'!$FT:$FT,Example!$G17,'Resource Demand - Activity'!BM:BM)</f>
        <v>0</v>
      </c>
      <c r="BS17" s="35">
        <f>SUMIF('Resource Demand - Activity'!$FT:$FT,Example!$G17,'Resource Demand - Activity'!BN:BN)</f>
        <v>0</v>
      </c>
      <c r="BT17" s="35">
        <f>SUMIF('Resource Demand - Activity'!$FT:$FT,Example!$G17,'Resource Demand - Activity'!BO:BO)</f>
        <v>0</v>
      </c>
      <c r="BU17" s="35">
        <f>SUMIF('Resource Demand - Activity'!$FT:$FT,Example!$G17,'Resource Demand - Activity'!BP:BP)</f>
        <v>0</v>
      </c>
      <c r="BV17" s="35">
        <f>SUMIF('Resource Demand - Activity'!$FT:$FT,Example!$G17,'Resource Demand - Activity'!BQ:BQ)</f>
        <v>0</v>
      </c>
      <c r="BW17" s="35">
        <f>SUMIF('Resource Demand - Activity'!$FT:$FT,Example!$G17,'Resource Demand - Activity'!BR:BR)</f>
        <v>0</v>
      </c>
      <c r="BX17" s="35">
        <f>SUMIF('Resource Demand - Activity'!$FT:$FT,Example!$G17,'Resource Demand - Activity'!BS:BS)</f>
        <v>0</v>
      </c>
      <c r="BY17" s="35">
        <f>SUMIF('Resource Demand - Activity'!$FT:$FT,Example!$G17,'Resource Demand - Activity'!BT:BT)</f>
        <v>0</v>
      </c>
      <c r="BZ17" s="35">
        <f>SUMIF('Resource Demand - Activity'!$FT:$FT,Example!$G17,'Resource Demand - Activity'!BU:BU)</f>
        <v>0</v>
      </c>
      <c r="CA17" s="35">
        <f>SUMIF('Resource Demand - Activity'!$FT:$FT,Example!$G17,'Resource Demand - Activity'!BV:BV)</f>
        <v>0</v>
      </c>
      <c r="CB17" s="35">
        <f>SUMIF('Resource Demand - Activity'!$FT:$FT,Example!$G17,'Resource Demand - Activity'!BW:BW)</f>
        <v>0</v>
      </c>
      <c r="CC17" s="35">
        <f>SUMIF('Resource Demand - Activity'!$FT:$FT,Example!$G17,'Resource Demand - Activity'!BX:BX)</f>
        <v>0</v>
      </c>
      <c r="CD17" s="35">
        <f>SUMIF('Resource Demand - Activity'!$FT:$FT,Example!$G17,'Resource Demand - Activity'!BY:BY)</f>
        <v>0</v>
      </c>
      <c r="CE17" s="35">
        <f>SUMIF('Resource Demand - Activity'!$FT:$FT,Example!$G17,'Resource Demand - Activity'!BZ:BZ)</f>
        <v>0</v>
      </c>
      <c r="CF17" s="35">
        <f>SUMIF('Resource Demand - Activity'!$FT:$FT,Example!$G17,'Resource Demand - Activity'!CA:CA)</f>
        <v>0</v>
      </c>
      <c r="CG17" s="35">
        <f>SUMIF('Resource Demand - Activity'!$FT:$FT,Example!$G17,'Resource Demand - Activity'!CB:CB)</f>
        <v>0</v>
      </c>
      <c r="CH17" s="35">
        <f>SUMIF('Resource Demand - Activity'!$FT:$FT,Example!$G17,'Resource Demand - Activity'!CC:CC)</f>
        <v>0</v>
      </c>
      <c r="CI17" s="35">
        <f>SUMIF('Resource Demand - Activity'!$FT:$FT,Example!$G17,'Resource Demand - Activity'!CD:CD)</f>
        <v>0</v>
      </c>
      <c r="CJ17" s="35">
        <f>SUMIF('Resource Demand - Activity'!$FT:$FT,Example!$G17,'Resource Demand - Activity'!CE:CE)</f>
        <v>0</v>
      </c>
      <c r="CK17" s="35">
        <f>SUMIF('Resource Demand - Activity'!$FT:$FT,Example!$G17,'Resource Demand - Activity'!CF:CF)</f>
        <v>0</v>
      </c>
      <c r="CL17" s="35">
        <f>SUMIF('Resource Demand - Activity'!$FT:$FT,Example!$G17,'Resource Demand - Activity'!CG:CG)</f>
        <v>0</v>
      </c>
      <c r="CM17" s="35">
        <f>SUMIF('Resource Demand - Activity'!$FT:$FT,Example!$G17,'Resource Demand - Activity'!CH:CH)</f>
        <v>0</v>
      </c>
      <c r="CN17" s="35">
        <f>SUMIF('Resource Demand - Activity'!$FT:$FT,Example!$G17,'Resource Demand - Activity'!CI:CI)</f>
        <v>0</v>
      </c>
      <c r="CO17" s="35">
        <f>SUMIF('Resource Demand - Activity'!$FT:$FT,Example!$G17,'Resource Demand - Activity'!CJ:CJ)</f>
        <v>0</v>
      </c>
      <c r="CP17" s="35">
        <f>SUMIF('Resource Demand - Activity'!$FT:$FT,Example!$G17,'Resource Demand - Activity'!CK:CK)</f>
        <v>0</v>
      </c>
      <c r="CQ17" s="35">
        <f>SUMIF('Resource Demand - Activity'!$FT:$FT,Example!$G17,'Resource Demand - Activity'!CL:CL)</f>
        <v>0</v>
      </c>
      <c r="CR17" s="35">
        <f>SUMIF('Resource Demand - Activity'!$FT:$FT,Example!$G17,'Resource Demand - Activity'!CM:CM)</f>
        <v>0</v>
      </c>
      <c r="CS17" s="35">
        <f>SUMIF('Resource Demand - Activity'!$FT:$FT,Example!$G17,'Resource Demand - Activity'!CN:CN)</f>
        <v>0</v>
      </c>
      <c r="CT17" s="35">
        <f>SUMIF('Resource Demand - Activity'!$FT:$FT,Example!$G17,'Resource Demand - Activity'!CO:CO)</f>
        <v>0</v>
      </c>
      <c r="CU17" s="35">
        <f>SUMIF('Resource Demand - Activity'!$FT:$FT,Example!$G17,'Resource Demand - Activity'!CP:CP)</f>
        <v>0</v>
      </c>
      <c r="CV17" s="35">
        <f>SUMIF('Resource Demand - Activity'!$FT:$FT,Example!$G17,'Resource Demand - Activity'!CQ:CQ)</f>
        <v>0</v>
      </c>
      <c r="CW17" s="35">
        <f>SUMIF('Resource Demand - Activity'!$FT:$FT,Example!$G17,'Resource Demand - Activity'!CR:CR)</f>
        <v>0</v>
      </c>
      <c r="CX17" s="35">
        <f>SUMIF('Resource Demand - Activity'!$FT:$FT,Example!$G17,'Resource Demand - Activity'!CS:CS)</f>
        <v>0</v>
      </c>
      <c r="CY17" s="36"/>
      <c r="CZ17" s="35">
        <f>SUMIF('Resource Demand - Activity'!$FT:$FT,Example!$G17,'Resource Demand - Activity'!CU:CU)</f>
        <v>0</v>
      </c>
      <c r="DA17" s="35">
        <f>SUMIF('Resource Demand - Activity'!$FT:$FT,Example!$G17,'Resource Demand - Activity'!CV:CV)</f>
        <v>0</v>
      </c>
      <c r="DB17" s="35">
        <f>SUMIF('Resource Demand - Activity'!$FT:$FT,Example!$G17,'Resource Demand - Activity'!CW:CW)</f>
        <v>0</v>
      </c>
      <c r="DC17" s="35">
        <f>SUMIF('Resource Demand - Activity'!$FT:$FT,Example!$G17,'Resource Demand - Activity'!CX:CX)</f>
        <v>0</v>
      </c>
      <c r="DD17" s="35">
        <f>SUMIF('Resource Demand - Activity'!$FT:$FT,Example!$G17,'Resource Demand - Activity'!CY:CY)</f>
        <v>0</v>
      </c>
      <c r="DE17" s="36"/>
      <c r="DF17" s="36"/>
      <c r="DG17" s="35">
        <f>SUMIF('Resource Demand - Activity'!$FT:$FT,Example!$G17,'Resource Demand - Activity'!DB:DB)</f>
        <v>0</v>
      </c>
      <c r="DH17" s="35">
        <f>SUMIF('Resource Demand - Activity'!$FT:$FT,Example!$G17,'Resource Demand - Activity'!DC:DC)</f>
        <v>0</v>
      </c>
      <c r="DI17" s="35">
        <f>SUMIF('Resource Demand - Activity'!$FT:$FT,Example!$G17,'Resource Demand - Activity'!DD:DD)</f>
        <v>0</v>
      </c>
      <c r="DJ17" s="35">
        <f>SUMIF('Resource Demand - Activity'!$FT:$FT,Example!$G17,'Resource Demand - Activity'!DE:DE)</f>
        <v>0</v>
      </c>
      <c r="DK17" s="35">
        <f>SUMIF('Resource Demand - Activity'!$FT:$FT,Example!$G17,'Resource Demand - Activity'!DF:DF)</f>
        <v>0</v>
      </c>
      <c r="DL17" s="35">
        <f>SUMIF('Resource Demand - Activity'!$FT:$FT,Example!$G17,'Resource Demand - Activity'!DG:DG)</f>
        <v>0</v>
      </c>
      <c r="DM17" s="35">
        <f>SUMIF('Resource Demand - Activity'!$FT:$FT,Example!$G17,'Resource Demand - Activity'!DH:DH)</f>
        <v>0</v>
      </c>
      <c r="DN17" s="35">
        <f>SUMIF('Resource Demand - Activity'!$FT:$FT,Example!$G17,'Resource Demand - Activity'!DI:DI)</f>
        <v>0</v>
      </c>
      <c r="DO17" s="35">
        <f>SUMIF('Resource Demand - Activity'!$FT:$FT,Example!$G17,'Resource Demand - Activity'!DJ:DJ)</f>
        <v>0</v>
      </c>
      <c r="DP17" s="35">
        <f>SUMIF('Resource Demand - Activity'!$FT:$FT,Example!$G17,'Resource Demand - Activity'!DK:DK)</f>
        <v>0</v>
      </c>
      <c r="DQ17" s="35">
        <f>SUMIF('Resource Demand - Activity'!$FT:$FT,Example!$G17,'Resource Demand - Activity'!DL:DL)</f>
        <v>0</v>
      </c>
      <c r="DR17" s="35">
        <f>SUMIF('Resource Demand - Activity'!$FT:$FT,Example!$G17,'Resource Demand - Activity'!DM:DM)</f>
        <v>0</v>
      </c>
      <c r="DS17" s="35">
        <f>SUMIF('Resource Demand - Activity'!$FT:$FT,Example!$G17,'Resource Demand - Activity'!DN:DN)</f>
        <v>0</v>
      </c>
      <c r="DT17" s="35">
        <f>SUMIF('Resource Demand - Activity'!$FT:$FT,Example!$G17,'Resource Demand - Activity'!DO:DO)</f>
        <v>0</v>
      </c>
      <c r="DU17" s="35">
        <f>SUMIF('Resource Demand - Activity'!$FT:$FT,Example!$G17,'Resource Demand - Activity'!DP:DP)</f>
        <v>0</v>
      </c>
      <c r="DV17" s="35">
        <f>SUMIF('Resource Demand - Activity'!$FT:$FT,Example!$G17,'Resource Demand - Activity'!DQ:DQ)</f>
        <v>0</v>
      </c>
      <c r="DW17" s="35">
        <f>SUMIF('Resource Demand - Activity'!$FT:$FT,Example!$G17,'Resource Demand - Activity'!DR:DR)</f>
        <v>0</v>
      </c>
      <c r="DX17" s="35">
        <f>SUMIF('Resource Demand - Activity'!$FT:$FT,Example!$G17,'Resource Demand - Activity'!DS:DS)</f>
        <v>0</v>
      </c>
      <c r="DY17" s="35">
        <f>SUMIF('Resource Demand - Activity'!$FT:$FT,Example!$G17,'Resource Demand - Activity'!DT:DT)</f>
        <v>0</v>
      </c>
      <c r="DZ17" s="35">
        <f>SUMIF('Resource Demand - Activity'!$FT:$FT,Example!$G17,'Resource Demand - Activity'!DU:DU)</f>
        <v>0</v>
      </c>
      <c r="EA17" s="35">
        <f>SUMIF('Resource Demand - Activity'!$FT:$FT,Example!$G17,'Resource Demand - Activity'!DV:DV)</f>
        <v>0</v>
      </c>
      <c r="EB17" s="35">
        <f>SUMIF('Resource Demand - Activity'!$FT:$FT,Example!$G17,'Resource Demand - Activity'!DW:DW)</f>
        <v>0</v>
      </c>
      <c r="EC17" s="35">
        <f>SUMIF('Resource Demand - Activity'!$FT:$FT,Example!$G17,'Resource Demand - Activity'!DX:DX)</f>
        <v>0</v>
      </c>
      <c r="ED17" s="35">
        <f>SUMIF('Resource Demand - Activity'!$FT:$FT,Example!$G17,'Resource Demand - Activity'!DY:DY)</f>
        <v>0</v>
      </c>
      <c r="EE17" s="36"/>
      <c r="EF17" s="35">
        <f>SUMIF('Resource Demand - Activity'!$FT:$FT,Example!$G17,'Resource Demand - Activity'!EA:EA)</f>
        <v>0</v>
      </c>
      <c r="EG17" s="35">
        <f>SUMIF('Resource Demand - Activity'!$FT:$FT,Example!$G17,'Resource Demand - Activity'!EB:EB)</f>
        <v>0</v>
      </c>
      <c r="EH17" s="35">
        <f>SUMIF('Resource Demand - Activity'!$FT:$FT,Example!$G17,'Resource Demand - Activity'!EC:EC)</f>
        <v>0</v>
      </c>
      <c r="EI17" s="35">
        <f>SUMIF('Resource Demand - Activity'!$FT:$FT,Example!$G17,'Resource Demand - Activity'!ED:ED)</f>
        <v>0</v>
      </c>
      <c r="EJ17" s="35">
        <f>SUMIF('Resource Demand - Activity'!$FT:$FT,Example!$G17,'Resource Demand - Activity'!EE:EE)</f>
        <v>0</v>
      </c>
      <c r="EK17" s="35">
        <f>SUMIF('Resource Demand - Activity'!$FT:$FT,Example!$G17,'Resource Demand - Activity'!EF:EF)</f>
        <v>0</v>
      </c>
      <c r="EL17" s="35">
        <f>SUMIF('Resource Demand - Activity'!$FT:$FT,Example!$G17,'Resource Demand - Activity'!EG:EG)</f>
        <v>0</v>
      </c>
      <c r="EM17" s="35">
        <f>SUMIF('Resource Demand - Activity'!$FT:$FT,Example!$G17,'Resource Demand - Activity'!EH:EH)</f>
        <v>0</v>
      </c>
      <c r="EN17" s="35">
        <f>SUMIF('Resource Demand - Activity'!$FT:$FT,Example!$G17,'Resource Demand - Activity'!EI:EI)</f>
        <v>0</v>
      </c>
      <c r="EO17" s="35">
        <f>SUMIF('Resource Demand - Activity'!$FT:$FT,Example!$G17,'Resource Demand - Activity'!EJ:EJ)</f>
        <v>0</v>
      </c>
      <c r="EP17" s="35">
        <f>SUMIF('Resource Demand - Activity'!$FT:$FT,Example!$G17,'Resource Demand - Activity'!EK:EK)</f>
        <v>0</v>
      </c>
      <c r="EQ17" s="35">
        <f>SUMIF('Resource Demand - Activity'!$FT:$FT,Example!$G17,'Resource Demand - Activity'!EL:EL)</f>
        <v>0</v>
      </c>
      <c r="ER17" s="35">
        <f>SUMIF('Resource Demand - Activity'!$FT:$FT,Example!$G17,'Resource Demand - Activity'!EM:EM)</f>
        <v>0</v>
      </c>
      <c r="ES17" s="35">
        <f>SUMIF('Resource Demand - Activity'!$FT:$FT,Example!$G17,'Resource Demand - Activity'!EN:EN)</f>
        <v>0</v>
      </c>
      <c r="ET17" s="35">
        <f>SUMIF('Resource Demand - Activity'!$FT:$FT,Example!$G17,'Resource Demand - Activity'!EO:EO)</f>
        <v>0</v>
      </c>
      <c r="EU17" s="35">
        <f>SUMIF('Resource Demand - Activity'!$FT:$FT,Example!$G17,'Resource Demand - Activity'!EP:EP)</f>
        <v>0</v>
      </c>
      <c r="EV17" s="35">
        <f>SUMIF('Resource Demand - Activity'!$FT:$FT,Example!$G17,'Resource Demand - Activity'!EQ:EQ)</f>
        <v>0</v>
      </c>
      <c r="EW17" s="35">
        <f>SUMIF('Resource Demand - Activity'!$FT:$FT,Example!$G17,'Resource Demand - Activity'!ER:ER)</f>
        <v>0</v>
      </c>
      <c r="EX17" s="35">
        <f>SUMIF('Resource Demand - Activity'!$FT:$FT,Example!$G17,'Resource Demand - Activity'!ES:ES)</f>
        <v>0</v>
      </c>
      <c r="EY17" s="35">
        <f>SUMIF('Resource Demand - Activity'!$FT:$FT,Example!$G17,'Resource Demand - Activity'!ET:ET)</f>
        <v>0</v>
      </c>
      <c r="EZ17" s="35">
        <f>SUMIF('Resource Demand - Activity'!$FT:$FT,Example!$G17,'Resource Demand - Activity'!EU:EU)</f>
        <v>0</v>
      </c>
      <c r="FA17" s="35">
        <f>SUMIF('Resource Demand - Activity'!$FT:$FT,Example!$G17,'Resource Demand - Activity'!EV:EV)</f>
        <v>0</v>
      </c>
      <c r="FB17" s="35">
        <f>SUMIF('Resource Demand - Activity'!$FT:$FT,Example!$G17,'Resource Demand - Activity'!EW:EW)</f>
        <v>0</v>
      </c>
      <c r="FC17" s="35">
        <f>SUMIF('Resource Demand - Activity'!$FT:$FT,Example!$G17,'Resource Demand - Activity'!EX:EX)</f>
        <v>0</v>
      </c>
      <c r="FD17" s="36"/>
      <c r="FE17" s="35">
        <f>SUMIF('Resource Demand - Activity'!$FT:$FT,Example!$G17,'Resource Demand - Activity'!EZ:EZ)</f>
        <v>0</v>
      </c>
      <c r="FF17" s="35">
        <f>SUMIF('Resource Demand - Activity'!$FT:$FT,Example!$G17,'Resource Demand - Activity'!FA:FA)</f>
        <v>0</v>
      </c>
      <c r="FG17" s="35">
        <f>SUMIF('Resource Demand - Activity'!$FT:$FT,Example!$G17,'Resource Demand - Activity'!FB:FB)</f>
        <v>0</v>
      </c>
      <c r="FH17" s="35">
        <f>SUMIF('Resource Demand - Activity'!$FT:$FT,Example!$G17,'Resource Demand - Activity'!FC:FC)</f>
        <v>0</v>
      </c>
      <c r="FI17" s="35">
        <f>SUMIF('Resource Demand - Activity'!$FT:$FT,Example!$G17,'Resource Demand - Activity'!FD:FD)</f>
        <v>0</v>
      </c>
      <c r="FJ17" s="35">
        <f>SUMIF('Resource Demand - Activity'!$FT:$FT,Example!$G17,'Resource Demand - Activity'!FE:FE)</f>
        <v>0</v>
      </c>
      <c r="FK17" s="35">
        <f>SUMIF('Resource Demand - Activity'!$FT:$FT,Example!$G17,'Resource Demand - Activity'!FF:FF)</f>
        <v>0</v>
      </c>
      <c r="FL17" s="35">
        <f>SUMIF('Resource Demand - Activity'!$FT:$FT,Example!$G17,'Resource Demand - Activity'!FG:FG)</f>
        <v>0</v>
      </c>
      <c r="FM17" s="35">
        <f>SUMIF('Resource Demand - Activity'!$FT:$FT,Example!$G17,'Resource Demand - Activity'!FH:FH)</f>
        <v>0</v>
      </c>
      <c r="FN17" s="35">
        <f>SUMIF('Resource Demand - Activity'!$FT:$FT,Example!$G17,'Resource Demand - Activity'!FI:FI)</f>
        <v>0</v>
      </c>
      <c r="FO17" s="35">
        <f>SUMIF('Resource Demand - Activity'!$FT:$FT,Example!$G17,'Resource Demand - Activity'!FJ:FJ)</f>
        <v>0</v>
      </c>
      <c r="FP17" s="35">
        <f>SUMIF('Resource Demand - Activity'!$FT:$FT,Example!$G17,'Resource Demand - Activity'!FK:FK)</f>
        <v>0</v>
      </c>
      <c r="FQ17" s="35">
        <f>SUMIF('Resource Demand - Activity'!$FT:$FT,Example!$G17,'Resource Demand - Activity'!FL:FL)</f>
        <v>0</v>
      </c>
      <c r="FR17" s="35">
        <f>SUMIF('Resource Demand - Activity'!$FT:$FT,Example!$G17,'Resource Demand - Activity'!FM:FM)</f>
        <v>0</v>
      </c>
      <c r="FS17" s="35">
        <f>SUMIF('Resource Demand - Activity'!$FT:$FT,Example!$G17,'Resource Demand - Activity'!FN:FN)</f>
        <v>0</v>
      </c>
      <c r="FT17" s="35">
        <f>SUMIF('Resource Demand - Activity'!$FT:$FT,Example!$G17,'Resource Demand - Activity'!FO:FO)</f>
        <v>0</v>
      </c>
      <c r="FU17" s="35">
        <f>SUMIF('Resource Demand - Activity'!$FT:$FT,Example!$G17,'Resource Demand - Activity'!FP:FP)</f>
        <v>0</v>
      </c>
      <c r="FV17" s="52">
        <f>SUMIF('Resource Demand - Activity'!$FT:$FT,Example!$G17,'Resource Demand - Activity'!FQ:FQ)</f>
        <v>0</v>
      </c>
    </row>
    <row r="18" spans="2:178" s="58" customFormat="1" ht="12" customHeight="1">
      <c r="G18" s="64" t="str">
        <f t="shared" si="3"/>
        <v>10. BAU Transition 10.6 SFCR Development &amp; Dry RunGlenn Kirk</v>
      </c>
      <c r="H18" s="102" t="s">
        <v>157</v>
      </c>
      <c r="I18" s="59" t="str">
        <f>INDEX('Resource Demand - Activity'!C:C,MATCH(Example!G18,'Resource Demand - Activity'!FT:FT,0))</f>
        <v>6 days</v>
      </c>
      <c r="J18" s="51">
        <f>SUMIF('Resource Demand - Activity'!$FT:$FT,Example!$G18,'Resource Demand - Activity'!E:E)</f>
        <v>0</v>
      </c>
      <c r="K18" s="35">
        <f>SUMIF('Resource Demand - Activity'!$FT:$FT,Example!$G18,'Resource Demand - Activity'!F:F)</f>
        <v>0</v>
      </c>
      <c r="L18" s="35">
        <f>SUMIF('Resource Demand - Activity'!$FT:$FT,Example!$G18,'Resource Demand - Activity'!G:G)</f>
        <v>0</v>
      </c>
      <c r="M18" s="35">
        <f>SUMIF('Resource Demand - Activity'!$FT:$FT,Example!$G18,'Resource Demand - Activity'!H:H)</f>
        <v>0</v>
      </c>
      <c r="N18" s="35">
        <f>SUMIF('Resource Demand - Activity'!$FT:$FT,Example!$G18,'Resource Demand - Activity'!I:I)</f>
        <v>0</v>
      </c>
      <c r="O18" s="35">
        <f>SUMIF('Resource Demand - Activity'!$FT:$FT,Example!$G18,'Resource Demand - Activity'!J:J)</f>
        <v>0</v>
      </c>
      <c r="P18" s="35">
        <f>SUMIF('Resource Demand - Activity'!$FT:$FT,Example!$G18,'Resource Demand - Activity'!K:K)</f>
        <v>0</v>
      </c>
      <c r="Q18" s="35">
        <f>SUMIF('Resource Demand - Activity'!$FT:$FT,Example!$G18,'Resource Demand - Activity'!L:L)</f>
        <v>0</v>
      </c>
      <c r="R18" s="35">
        <f>SUMIF('Resource Demand - Activity'!$FT:$FT,Example!$G18,'Resource Demand - Activity'!M:M)</f>
        <v>0</v>
      </c>
      <c r="S18" s="35">
        <f>SUMIF('Resource Demand - Activity'!$FT:$FT,Example!$G18,'Resource Demand - Activity'!N:N)</f>
        <v>0</v>
      </c>
      <c r="T18" s="35">
        <f>SUMIF('Resource Demand - Activity'!$FT:$FT,Example!$G18,'Resource Demand - Activity'!O:O)</f>
        <v>0</v>
      </c>
      <c r="U18" s="35">
        <f>SUMIF('Resource Demand - Activity'!$FT:$FT,Example!$G18,'Resource Demand - Activity'!P:P)</f>
        <v>0</v>
      </c>
      <c r="V18" s="35">
        <f>SUMIF('Resource Demand - Activity'!$FT:$FT,Example!$G18,'Resource Demand - Activity'!Q:Q)</f>
        <v>0</v>
      </c>
      <c r="W18" s="35">
        <f>SUMIF('Resource Demand - Activity'!$FT:$FT,Example!$G18,'Resource Demand - Activity'!R:R)</f>
        <v>0</v>
      </c>
      <c r="X18" s="35">
        <f>SUMIF('Resource Demand - Activity'!$FT:$FT,Example!$G18,'Resource Demand - Activity'!S:S)</f>
        <v>0</v>
      </c>
      <c r="Y18" s="35">
        <f>SUMIF('Resource Demand - Activity'!$FT:$FT,Example!$G18,'Resource Demand - Activity'!T:T)</f>
        <v>0</v>
      </c>
      <c r="Z18" s="35">
        <f>SUMIF('Resource Demand - Activity'!$FT:$FT,Example!$G18,'Resource Demand - Activity'!U:U)</f>
        <v>0</v>
      </c>
      <c r="AA18" s="35">
        <f>SUMIF('Resource Demand - Activity'!$FT:$FT,Example!$G18,'Resource Demand - Activity'!V:V)</f>
        <v>0</v>
      </c>
      <c r="AB18" s="35">
        <f>SUMIF('Resource Demand - Activity'!$FT:$FT,Example!$G18,'Resource Demand - Activity'!W:W)</f>
        <v>0</v>
      </c>
      <c r="AC18" s="35">
        <f>SUMIF('Resource Demand - Activity'!$FT:$FT,Example!$G18,'Resource Demand - Activity'!X:X)</f>
        <v>0</v>
      </c>
      <c r="AD18" s="35">
        <f>SUMIF('Resource Demand - Activity'!$FT:$FT,Example!$G18,'Resource Demand - Activity'!Y:Y)</f>
        <v>0</v>
      </c>
      <c r="AE18" s="35">
        <f>SUMIF('Resource Demand - Activity'!$FT:$FT,Example!$G18,'Resource Demand - Activity'!Z:Z)</f>
        <v>0</v>
      </c>
      <c r="AF18" s="35">
        <f>SUMIF('Resource Demand - Activity'!$FT:$FT,Example!$G18,'Resource Demand - Activity'!AA:AA)</f>
        <v>0</v>
      </c>
      <c r="AG18" s="35">
        <f>SUMIF('Resource Demand - Activity'!$FT:$FT,Example!$G18,'Resource Demand - Activity'!AB:AB)</f>
        <v>0</v>
      </c>
      <c r="AH18" s="35">
        <f>SUMIF('Resource Demand - Activity'!$FT:$FT,Example!$G18,'Resource Demand - Activity'!AC:AC)</f>
        <v>0</v>
      </c>
      <c r="AI18" s="35">
        <f>SUMIF('Resource Demand - Activity'!$FT:$FT,Example!$G18,'Resource Demand - Activity'!AD:AD)</f>
        <v>0</v>
      </c>
      <c r="AJ18" s="35">
        <f>SUMIF('Resource Demand - Activity'!$FT:$FT,Example!$G18,'Resource Demand - Activity'!AE:AE)</f>
        <v>0</v>
      </c>
      <c r="AK18" s="35">
        <f>SUMIF('Resource Demand - Activity'!$FT:$FT,Example!$G18,'Resource Demand - Activity'!AF:AF)</f>
        <v>0</v>
      </c>
      <c r="AL18" s="35">
        <f>SUMIF('Resource Demand - Activity'!$FT:$FT,Example!$G18,'Resource Demand - Activity'!AG:AG)</f>
        <v>0</v>
      </c>
      <c r="AM18" s="35">
        <f>SUMIF('Resource Demand - Activity'!$FT:$FT,Example!$G18,'Resource Demand - Activity'!AH:AH)</f>
        <v>0</v>
      </c>
      <c r="AN18" s="35">
        <f>SUMIF('Resource Demand - Activity'!$FT:$FT,Example!$G18,'Resource Demand - Activity'!AI:AI)</f>
        <v>0</v>
      </c>
      <c r="AO18" s="35">
        <f>SUMIF('Resource Demand - Activity'!$FT:$FT,Example!$G18,'Resource Demand - Activity'!AJ:AJ)</f>
        <v>0</v>
      </c>
      <c r="AP18" s="35">
        <f>SUMIF('Resource Demand - Activity'!$FT:$FT,Example!$G18,'Resource Demand - Activity'!AK:AK)</f>
        <v>0</v>
      </c>
      <c r="AQ18" s="36"/>
      <c r="AR18" s="36"/>
      <c r="AS18" s="36"/>
      <c r="AT18" s="36"/>
      <c r="AU18" s="36"/>
      <c r="AV18" s="36"/>
      <c r="AW18" s="36"/>
      <c r="AX18" s="35">
        <f>SUMIF('Resource Demand - Activity'!$FT:$FT,Example!$G18,'Resource Demand - Activity'!AS:AS)</f>
        <v>0</v>
      </c>
      <c r="AY18" s="35">
        <f>SUMIF('Resource Demand - Activity'!$FT:$FT,Example!$G18,'Resource Demand - Activity'!AT:AT)</f>
        <v>0</v>
      </c>
      <c r="AZ18" s="35">
        <f>SUMIF('Resource Demand - Activity'!$FT:$FT,Example!$G18,'Resource Demand - Activity'!AU:AU)</f>
        <v>0</v>
      </c>
      <c r="BA18" s="35">
        <f>SUMIF('Resource Demand - Activity'!$FT:$FT,Example!$G18,'Resource Demand - Activity'!AV:AV)</f>
        <v>0</v>
      </c>
      <c r="BB18" s="35">
        <f>SUMIF('Resource Demand - Activity'!$FT:$FT,Example!$G18,'Resource Demand - Activity'!AW:AW)</f>
        <v>0</v>
      </c>
      <c r="BC18" s="35">
        <f>SUMIF('Resource Demand - Activity'!$FT:$FT,Example!$G18,'Resource Demand - Activity'!AX:AX)</f>
        <v>0</v>
      </c>
      <c r="BD18" s="35">
        <f>SUMIF('Resource Demand - Activity'!$FT:$FT,Example!$G18,'Resource Demand - Activity'!AY:AY)</f>
        <v>0</v>
      </c>
      <c r="BE18" s="35">
        <f>SUMIF('Resource Demand - Activity'!$FT:$FT,Example!$G18,'Resource Demand - Activity'!AZ:AZ)</f>
        <v>0</v>
      </c>
      <c r="BF18" s="35">
        <f>SUMIF('Resource Demand - Activity'!$FT:$FT,Example!$G18,'Resource Demand - Activity'!BA:BA)</f>
        <v>0</v>
      </c>
      <c r="BG18" s="35">
        <f>SUMIF('Resource Demand - Activity'!$FT:$FT,Example!$G18,'Resource Demand - Activity'!BB:BB)</f>
        <v>0</v>
      </c>
      <c r="BH18" s="35">
        <f>SUMIF('Resource Demand - Activity'!$FT:$FT,Example!$G18,'Resource Demand - Activity'!BC:BC)</f>
        <v>0</v>
      </c>
      <c r="BI18" s="35">
        <f>SUMIF('Resource Demand - Activity'!$FT:$FT,Example!$G18,'Resource Demand - Activity'!BD:BD)</f>
        <v>0</v>
      </c>
      <c r="BJ18" s="35">
        <f>SUMIF('Resource Demand - Activity'!$FT:$FT,Example!$G18,'Resource Demand - Activity'!BE:BE)</f>
        <v>0</v>
      </c>
      <c r="BK18" s="35">
        <f>SUMIF('Resource Demand - Activity'!$FT:$FT,Example!$G18,'Resource Demand - Activity'!BF:BF)</f>
        <v>0</v>
      </c>
      <c r="BL18" s="35">
        <f>SUMIF('Resource Demand - Activity'!$FT:$FT,Example!$G18,'Resource Demand - Activity'!BG:BG)</f>
        <v>0</v>
      </c>
      <c r="BM18" s="35">
        <f>SUMIF('Resource Demand - Activity'!$FT:$FT,Example!$G18,'Resource Demand - Activity'!BH:BH)</f>
        <v>0</v>
      </c>
      <c r="BN18" s="35">
        <f>SUMIF('Resource Demand - Activity'!$FT:$FT,Example!$G18,'Resource Demand - Activity'!BI:BI)</f>
        <v>0</v>
      </c>
      <c r="BO18" s="35">
        <f>SUMIF('Resource Demand - Activity'!$FT:$FT,Example!$G18,'Resource Demand - Activity'!BJ:BJ)</f>
        <v>0</v>
      </c>
      <c r="BP18" s="35">
        <f>SUMIF('Resource Demand - Activity'!$FT:$FT,Example!$G18,'Resource Demand - Activity'!BK:BK)</f>
        <v>0</v>
      </c>
      <c r="BQ18" s="35">
        <f>SUMIF('Resource Demand - Activity'!$FT:$FT,Example!$G18,'Resource Demand - Activity'!BL:BL)</f>
        <v>0</v>
      </c>
      <c r="BR18" s="35">
        <f>SUMIF('Resource Demand - Activity'!$FT:$FT,Example!$G18,'Resource Demand - Activity'!BM:BM)</f>
        <v>0</v>
      </c>
      <c r="BS18" s="35">
        <f>SUMIF('Resource Demand - Activity'!$FT:$FT,Example!$G18,'Resource Demand - Activity'!BN:BN)</f>
        <v>0</v>
      </c>
      <c r="BT18" s="35">
        <f>SUMIF('Resource Demand - Activity'!$FT:$FT,Example!$G18,'Resource Demand - Activity'!BO:BO)</f>
        <v>0</v>
      </c>
      <c r="BU18" s="35">
        <f>SUMIF('Resource Demand - Activity'!$FT:$FT,Example!$G18,'Resource Demand - Activity'!BP:BP)</f>
        <v>0</v>
      </c>
      <c r="BV18" s="35">
        <f>SUMIF('Resource Demand - Activity'!$FT:$FT,Example!$G18,'Resource Demand - Activity'!BQ:BQ)</f>
        <v>0</v>
      </c>
      <c r="BW18" s="35">
        <f>SUMIF('Resource Demand - Activity'!$FT:$FT,Example!$G18,'Resource Demand - Activity'!BR:BR)</f>
        <v>0</v>
      </c>
      <c r="BX18" s="35">
        <f>SUMIF('Resource Demand - Activity'!$FT:$FT,Example!$G18,'Resource Demand - Activity'!BS:BS)</f>
        <v>0</v>
      </c>
      <c r="BY18" s="35">
        <f>SUMIF('Resource Demand - Activity'!$FT:$FT,Example!$G18,'Resource Demand - Activity'!BT:BT)</f>
        <v>0</v>
      </c>
      <c r="BZ18" s="35">
        <f>SUMIF('Resource Demand - Activity'!$FT:$FT,Example!$G18,'Resource Demand - Activity'!BU:BU)</f>
        <v>0</v>
      </c>
      <c r="CA18" s="35">
        <f>SUMIF('Resource Demand - Activity'!$FT:$FT,Example!$G18,'Resource Demand - Activity'!BV:BV)</f>
        <v>0</v>
      </c>
      <c r="CB18" s="35">
        <f>SUMIF('Resource Demand - Activity'!$FT:$FT,Example!$G18,'Resource Demand - Activity'!BW:BW)</f>
        <v>0</v>
      </c>
      <c r="CC18" s="35">
        <f>SUMIF('Resource Demand - Activity'!$FT:$FT,Example!$G18,'Resource Demand - Activity'!BX:BX)</f>
        <v>0</v>
      </c>
      <c r="CD18" s="35">
        <f>SUMIF('Resource Demand - Activity'!$FT:$FT,Example!$G18,'Resource Demand - Activity'!BY:BY)</f>
        <v>0</v>
      </c>
      <c r="CE18" s="35">
        <f>SUMIF('Resource Demand - Activity'!$FT:$FT,Example!$G18,'Resource Demand - Activity'!BZ:BZ)</f>
        <v>0</v>
      </c>
      <c r="CF18" s="35">
        <f>SUMIF('Resource Demand - Activity'!$FT:$FT,Example!$G18,'Resource Demand - Activity'!CA:CA)</f>
        <v>0</v>
      </c>
      <c r="CG18" s="35">
        <f>SUMIF('Resource Demand - Activity'!$FT:$FT,Example!$G18,'Resource Demand - Activity'!CB:CB)</f>
        <v>0</v>
      </c>
      <c r="CH18" s="35">
        <f>SUMIF('Resource Demand - Activity'!$FT:$FT,Example!$G18,'Resource Demand - Activity'!CC:CC)</f>
        <v>0</v>
      </c>
      <c r="CI18" s="35">
        <f>SUMIF('Resource Demand - Activity'!$FT:$FT,Example!$G18,'Resource Demand - Activity'!CD:CD)</f>
        <v>0</v>
      </c>
      <c r="CJ18" s="35">
        <f>SUMIF('Resource Demand - Activity'!$FT:$FT,Example!$G18,'Resource Demand - Activity'!CE:CE)</f>
        <v>0</v>
      </c>
      <c r="CK18" s="35">
        <f>SUMIF('Resource Demand - Activity'!$FT:$FT,Example!$G18,'Resource Demand - Activity'!CF:CF)</f>
        <v>0</v>
      </c>
      <c r="CL18" s="35">
        <f>SUMIF('Resource Demand - Activity'!$FT:$FT,Example!$G18,'Resource Demand - Activity'!CG:CG)</f>
        <v>0</v>
      </c>
      <c r="CM18" s="35">
        <f>SUMIF('Resource Demand - Activity'!$FT:$FT,Example!$G18,'Resource Demand - Activity'!CH:CH)</f>
        <v>0</v>
      </c>
      <c r="CN18" s="35">
        <f>SUMIF('Resource Demand - Activity'!$FT:$FT,Example!$G18,'Resource Demand - Activity'!CI:CI)</f>
        <v>0</v>
      </c>
      <c r="CO18" s="35">
        <f>SUMIF('Resource Demand - Activity'!$FT:$FT,Example!$G18,'Resource Demand - Activity'!CJ:CJ)</f>
        <v>0</v>
      </c>
      <c r="CP18" s="35">
        <f>SUMIF('Resource Demand - Activity'!$FT:$FT,Example!$G18,'Resource Demand - Activity'!CK:CK)</f>
        <v>0</v>
      </c>
      <c r="CQ18" s="35">
        <f>SUMIF('Resource Demand - Activity'!$FT:$FT,Example!$G18,'Resource Demand - Activity'!CL:CL)</f>
        <v>0</v>
      </c>
      <c r="CR18" s="35">
        <f>SUMIF('Resource Demand - Activity'!$FT:$FT,Example!$G18,'Resource Demand - Activity'!CM:CM)</f>
        <v>0</v>
      </c>
      <c r="CS18" s="35">
        <f>SUMIF('Resource Demand - Activity'!$FT:$FT,Example!$G18,'Resource Demand - Activity'!CN:CN)</f>
        <v>0</v>
      </c>
      <c r="CT18" s="35">
        <f>SUMIF('Resource Demand - Activity'!$FT:$FT,Example!$G18,'Resource Demand - Activity'!CO:CO)</f>
        <v>0</v>
      </c>
      <c r="CU18" s="35">
        <f>SUMIF('Resource Demand - Activity'!$FT:$FT,Example!$G18,'Resource Demand - Activity'!CP:CP)</f>
        <v>0</v>
      </c>
      <c r="CV18" s="35">
        <f>SUMIF('Resource Demand - Activity'!$FT:$FT,Example!$G18,'Resource Demand - Activity'!CQ:CQ)</f>
        <v>0</v>
      </c>
      <c r="CW18" s="35">
        <f>SUMIF('Resource Demand - Activity'!$FT:$FT,Example!$G18,'Resource Demand - Activity'!CR:CR)</f>
        <v>0</v>
      </c>
      <c r="CX18" s="35">
        <f>SUMIF('Resource Demand - Activity'!$FT:$FT,Example!$G18,'Resource Demand - Activity'!CS:CS)</f>
        <v>0</v>
      </c>
      <c r="CY18" s="36"/>
      <c r="CZ18" s="35">
        <f>SUMIF('Resource Demand - Activity'!$FT:$FT,Example!$G18,'Resource Demand - Activity'!CU:CU)</f>
        <v>0</v>
      </c>
      <c r="DA18" s="35">
        <f>SUMIF('Resource Demand - Activity'!$FT:$FT,Example!$G18,'Resource Demand - Activity'!CV:CV)</f>
        <v>0</v>
      </c>
      <c r="DB18" s="35">
        <f>SUMIF('Resource Demand - Activity'!$FT:$FT,Example!$G18,'Resource Demand - Activity'!CW:CW)</f>
        <v>0</v>
      </c>
      <c r="DC18" s="35">
        <f>SUMIF('Resource Demand - Activity'!$FT:$FT,Example!$G18,'Resource Demand - Activity'!CX:CX)</f>
        <v>0</v>
      </c>
      <c r="DD18" s="35">
        <f>SUMIF('Resource Demand - Activity'!$FT:$FT,Example!$G18,'Resource Demand - Activity'!CY:CY)</f>
        <v>0</v>
      </c>
      <c r="DE18" s="36"/>
      <c r="DF18" s="36"/>
      <c r="DG18" s="35">
        <f>SUMIF('Resource Demand - Activity'!$FT:$FT,Example!$G18,'Resource Demand - Activity'!DB:DB)</f>
        <v>0</v>
      </c>
      <c r="DH18" s="35">
        <f>SUMIF('Resource Demand - Activity'!$FT:$FT,Example!$G18,'Resource Demand - Activity'!DC:DC)</f>
        <v>0</v>
      </c>
      <c r="DI18" s="35">
        <f>SUMIF('Resource Demand - Activity'!$FT:$FT,Example!$G18,'Resource Demand - Activity'!DD:DD)</f>
        <v>0</v>
      </c>
      <c r="DJ18" s="35">
        <f>SUMIF('Resource Demand - Activity'!$FT:$FT,Example!$G18,'Resource Demand - Activity'!DE:DE)</f>
        <v>0</v>
      </c>
      <c r="DK18" s="35">
        <f>SUMIF('Resource Demand - Activity'!$FT:$FT,Example!$G18,'Resource Demand - Activity'!DF:DF)</f>
        <v>0</v>
      </c>
      <c r="DL18" s="35">
        <f>SUMIF('Resource Demand - Activity'!$FT:$FT,Example!$G18,'Resource Demand - Activity'!DG:DG)</f>
        <v>0</v>
      </c>
      <c r="DM18" s="35">
        <f>SUMIF('Resource Demand - Activity'!$FT:$FT,Example!$G18,'Resource Demand - Activity'!DH:DH)</f>
        <v>0</v>
      </c>
      <c r="DN18" s="35">
        <f>SUMIF('Resource Demand - Activity'!$FT:$FT,Example!$G18,'Resource Demand - Activity'!DI:DI)</f>
        <v>0</v>
      </c>
      <c r="DO18" s="35">
        <f>SUMIF('Resource Demand - Activity'!$FT:$FT,Example!$G18,'Resource Demand - Activity'!DJ:DJ)</f>
        <v>0</v>
      </c>
      <c r="DP18" s="35">
        <f>SUMIF('Resource Demand - Activity'!$FT:$FT,Example!$G18,'Resource Demand - Activity'!DK:DK)</f>
        <v>0</v>
      </c>
      <c r="DQ18" s="35">
        <f>SUMIF('Resource Demand - Activity'!$FT:$FT,Example!$G18,'Resource Demand - Activity'!DL:DL)</f>
        <v>0</v>
      </c>
      <c r="DR18" s="35">
        <f>SUMIF('Resource Demand - Activity'!$FT:$FT,Example!$G18,'Resource Demand - Activity'!DM:DM)</f>
        <v>0</v>
      </c>
      <c r="DS18" s="35">
        <f>SUMIF('Resource Demand - Activity'!$FT:$FT,Example!$G18,'Resource Demand - Activity'!DN:DN)</f>
        <v>0</v>
      </c>
      <c r="DT18" s="35">
        <f>SUMIF('Resource Demand - Activity'!$FT:$FT,Example!$G18,'Resource Demand - Activity'!DO:DO)</f>
        <v>0</v>
      </c>
      <c r="DU18" s="35">
        <f>SUMIF('Resource Demand - Activity'!$FT:$FT,Example!$G18,'Resource Demand - Activity'!DP:DP)</f>
        <v>0</v>
      </c>
      <c r="DV18" s="35">
        <f>SUMIF('Resource Demand - Activity'!$FT:$FT,Example!$G18,'Resource Demand - Activity'!DQ:DQ)</f>
        <v>0</v>
      </c>
      <c r="DW18" s="35">
        <f>SUMIF('Resource Demand - Activity'!$FT:$FT,Example!$G18,'Resource Demand - Activity'!DR:DR)</f>
        <v>0</v>
      </c>
      <c r="DX18" s="35">
        <f>SUMIF('Resource Demand - Activity'!$FT:$FT,Example!$G18,'Resource Demand - Activity'!DS:DS)</f>
        <v>0</v>
      </c>
      <c r="DY18" s="35">
        <f>SUMIF('Resource Demand - Activity'!$FT:$FT,Example!$G18,'Resource Demand - Activity'!DT:DT)</f>
        <v>0</v>
      </c>
      <c r="DZ18" s="35">
        <f>SUMIF('Resource Demand - Activity'!$FT:$FT,Example!$G18,'Resource Demand - Activity'!DU:DU)</f>
        <v>0</v>
      </c>
      <c r="EA18" s="35">
        <f>SUMIF('Resource Demand - Activity'!$FT:$FT,Example!$G18,'Resource Demand - Activity'!DV:DV)</f>
        <v>0</v>
      </c>
      <c r="EB18" s="35">
        <f>SUMIF('Resource Demand - Activity'!$FT:$FT,Example!$G18,'Resource Demand - Activity'!DW:DW)</f>
        <v>0</v>
      </c>
      <c r="EC18" s="35">
        <f>SUMIF('Resource Demand - Activity'!$FT:$FT,Example!$G18,'Resource Demand - Activity'!DX:DX)</f>
        <v>0</v>
      </c>
      <c r="ED18" s="35">
        <f>SUMIF('Resource Demand - Activity'!$FT:$FT,Example!$G18,'Resource Demand - Activity'!DY:DY)</f>
        <v>0</v>
      </c>
      <c r="EE18" s="36"/>
      <c r="EF18" s="35">
        <f>SUMIF('Resource Demand - Activity'!$FT:$FT,Example!$G18,'Resource Demand - Activity'!EA:EA)</f>
        <v>0</v>
      </c>
      <c r="EG18" s="35">
        <f>SUMIF('Resource Demand - Activity'!$FT:$FT,Example!$G18,'Resource Demand - Activity'!EB:EB)</f>
        <v>0</v>
      </c>
      <c r="EH18" s="35">
        <f>SUMIF('Resource Demand - Activity'!$FT:$FT,Example!$G18,'Resource Demand - Activity'!EC:EC)</f>
        <v>0</v>
      </c>
      <c r="EI18" s="35">
        <f>SUMIF('Resource Demand - Activity'!$FT:$FT,Example!$G18,'Resource Demand - Activity'!ED:ED)</f>
        <v>0</v>
      </c>
      <c r="EJ18" s="35">
        <f>SUMIF('Resource Demand - Activity'!$FT:$FT,Example!$G18,'Resource Demand - Activity'!EE:EE)</f>
        <v>0</v>
      </c>
      <c r="EK18" s="35">
        <f>SUMIF('Resource Demand - Activity'!$FT:$FT,Example!$G18,'Resource Demand - Activity'!EF:EF)</f>
        <v>0</v>
      </c>
      <c r="EL18" s="35">
        <f>SUMIF('Resource Demand - Activity'!$FT:$FT,Example!$G18,'Resource Demand - Activity'!EG:EG)</f>
        <v>0</v>
      </c>
      <c r="EM18" s="35">
        <f>SUMIF('Resource Demand - Activity'!$FT:$FT,Example!$G18,'Resource Demand - Activity'!EH:EH)</f>
        <v>0</v>
      </c>
      <c r="EN18" s="35">
        <f>SUMIF('Resource Demand - Activity'!$FT:$FT,Example!$G18,'Resource Demand - Activity'!EI:EI)</f>
        <v>0</v>
      </c>
      <c r="EO18" s="35">
        <f>SUMIF('Resource Demand - Activity'!$FT:$FT,Example!$G18,'Resource Demand - Activity'!EJ:EJ)</f>
        <v>0</v>
      </c>
      <c r="EP18" s="35">
        <f>SUMIF('Resource Demand - Activity'!$FT:$FT,Example!$G18,'Resource Demand - Activity'!EK:EK)</f>
        <v>0</v>
      </c>
      <c r="EQ18" s="35">
        <f>SUMIF('Resource Demand - Activity'!$FT:$FT,Example!$G18,'Resource Demand - Activity'!EL:EL)</f>
        <v>0</v>
      </c>
      <c r="ER18" s="35">
        <f>SUMIF('Resource Demand - Activity'!$FT:$FT,Example!$G18,'Resource Demand - Activity'!EM:EM)</f>
        <v>0</v>
      </c>
      <c r="ES18" s="35">
        <f>SUMIF('Resource Demand - Activity'!$FT:$FT,Example!$G18,'Resource Demand - Activity'!EN:EN)</f>
        <v>0</v>
      </c>
      <c r="ET18" s="35">
        <f>SUMIF('Resource Demand - Activity'!$FT:$FT,Example!$G18,'Resource Demand - Activity'!EO:EO)</f>
        <v>0</v>
      </c>
      <c r="EU18" s="35">
        <f>SUMIF('Resource Demand - Activity'!$FT:$FT,Example!$G18,'Resource Demand - Activity'!EP:EP)</f>
        <v>0</v>
      </c>
      <c r="EV18" s="35">
        <f>SUMIF('Resource Demand - Activity'!$FT:$FT,Example!$G18,'Resource Demand - Activity'!EQ:EQ)</f>
        <v>0</v>
      </c>
      <c r="EW18" s="35">
        <f>SUMIF('Resource Demand - Activity'!$FT:$FT,Example!$G18,'Resource Demand - Activity'!ER:ER)</f>
        <v>0</v>
      </c>
      <c r="EX18" s="35">
        <f>SUMIF('Resource Demand - Activity'!$FT:$FT,Example!$G18,'Resource Demand - Activity'!ES:ES)</f>
        <v>0</v>
      </c>
      <c r="EY18" s="35">
        <f>SUMIF('Resource Demand - Activity'!$FT:$FT,Example!$G18,'Resource Demand - Activity'!ET:ET)</f>
        <v>0</v>
      </c>
      <c r="EZ18" s="35">
        <f>SUMIF('Resource Demand - Activity'!$FT:$FT,Example!$G18,'Resource Demand - Activity'!EU:EU)</f>
        <v>0</v>
      </c>
      <c r="FA18" s="35">
        <f>SUMIF('Resource Demand - Activity'!$FT:$FT,Example!$G18,'Resource Demand - Activity'!EV:EV)</f>
        <v>0</v>
      </c>
      <c r="FB18" s="35">
        <f>SUMIF('Resource Demand - Activity'!$FT:$FT,Example!$G18,'Resource Demand - Activity'!EW:EW)</f>
        <v>1</v>
      </c>
      <c r="FC18" s="35">
        <f>SUMIF('Resource Demand - Activity'!$FT:$FT,Example!$G18,'Resource Demand - Activity'!EX:EX)</f>
        <v>1</v>
      </c>
      <c r="FD18" s="62"/>
      <c r="FE18" s="35">
        <f>SUMIF('Resource Demand - Activity'!$FT:$FT,Example!$G18,'Resource Demand - Activity'!EZ:EZ)</f>
        <v>1</v>
      </c>
      <c r="FF18" s="35">
        <f>SUMIF('Resource Demand - Activity'!$FT:$FT,Example!$G18,'Resource Demand - Activity'!FA:FA)</f>
        <v>1</v>
      </c>
      <c r="FG18" s="35">
        <f>SUMIF('Resource Demand - Activity'!$FT:$FT,Example!$G18,'Resource Demand - Activity'!FB:FB)</f>
        <v>1</v>
      </c>
      <c r="FH18" s="35">
        <f>SUMIF('Resource Demand - Activity'!$FT:$FT,Example!$G18,'Resource Demand - Activity'!FC:FC)</f>
        <v>1</v>
      </c>
      <c r="FI18" s="35">
        <f>SUMIF('Resource Demand - Activity'!$FT:$FT,Example!$G18,'Resource Demand - Activity'!FD:FD)</f>
        <v>0</v>
      </c>
      <c r="FJ18" s="35">
        <f>SUMIF('Resource Demand - Activity'!$FT:$FT,Example!$G18,'Resource Demand - Activity'!FE:FE)</f>
        <v>0</v>
      </c>
      <c r="FK18" s="35">
        <f>SUMIF('Resource Demand - Activity'!$FT:$FT,Example!$G18,'Resource Demand - Activity'!FF:FF)</f>
        <v>0</v>
      </c>
      <c r="FL18" s="35">
        <f>SUMIF('Resource Demand - Activity'!$FT:$FT,Example!$G18,'Resource Demand - Activity'!FG:FG)</f>
        <v>0</v>
      </c>
      <c r="FM18" s="35">
        <f>SUMIF('Resource Demand - Activity'!$FT:$FT,Example!$G18,'Resource Demand - Activity'!FH:FH)</f>
        <v>0</v>
      </c>
      <c r="FN18" s="35">
        <f>SUMIF('Resource Demand - Activity'!$FT:$FT,Example!$G18,'Resource Demand - Activity'!FI:FI)</f>
        <v>0</v>
      </c>
      <c r="FO18" s="35">
        <f>SUMIF('Resource Demand - Activity'!$FT:$FT,Example!$G18,'Resource Demand - Activity'!FJ:FJ)</f>
        <v>0</v>
      </c>
      <c r="FP18" s="35">
        <f>SUMIF('Resource Demand - Activity'!$FT:$FT,Example!$G18,'Resource Demand - Activity'!FK:FK)</f>
        <v>0</v>
      </c>
      <c r="FQ18" s="35">
        <f>SUMIF('Resource Demand - Activity'!$FT:$FT,Example!$G18,'Resource Demand - Activity'!FL:FL)</f>
        <v>0</v>
      </c>
      <c r="FR18" s="35">
        <f>SUMIF('Resource Demand - Activity'!$FT:$FT,Example!$G18,'Resource Demand - Activity'!FM:FM)</f>
        <v>0</v>
      </c>
      <c r="FS18" s="35">
        <f>SUMIF('Resource Demand - Activity'!$FT:$FT,Example!$G18,'Resource Demand - Activity'!FN:FN)</f>
        <v>0</v>
      </c>
      <c r="FT18" s="35">
        <f>SUMIF('Resource Demand - Activity'!$FT:$FT,Example!$G18,'Resource Demand - Activity'!FO:FO)</f>
        <v>0</v>
      </c>
      <c r="FU18" s="35">
        <f>SUMIF('Resource Demand - Activity'!$FT:$FT,Example!$G18,'Resource Demand - Activity'!FP:FP)</f>
        <v>0</v>
      </c>
      <c r="FV18" s="52">
        <f>SUMIF('Resource Demand - Activity'!$FT:$FT,Example!$G18,'Resource Demand - Activity'!FQ:FQ)</f>
        <v>0</v>
      </c>
    </row>
    <row r="19" spans="2:178" s="58" customFormat="1" ht="12" customHeight="1">
      <c r="B19" s="68" t="s">
        <v>9</v>
      </c>
      <c r="C19" s="72">
        <v>2015</v>
      </c>
      <c r="D19" s="72" t="s">
        <v>191</v>
      </c>
      <c r="E19" s="166" t="s">
        <v>193</v>
      </c>
      <c r="G19" s="64" t="str">
        <f t="shared" si="3"/>
        <v>10. BAU Transition 10.7 RSR Development &amp; Dry RunGlenn Kirk</v>
      </c>
      <c r="H19" s="102" t="s">
        <v>158</v>
      </c>
      <c r="I19" s="59" t="str">
        <f>INDEX('Resource Demand - Activity'!C:C,MATCH(Example!G19,'Resource Demand - Activity'!FT:FT,0))</f>
        <v>4 days</v>
      </c>
      <c r="J19" s="51">
        <f>SUMIF('Resource Demand - Activity'!$FT:$FT,Example!$G19,'Resource Demand - Activity'!E:E)</f>
        <v>0</v>
      </c>
      <c r="K19" s="35">
        <f>SUMIF('Resource Demand - Activity'!$FT:$FT,Example!$G19,'Resource Demand - Activity'!F:F)</f>
        <v>0</v>
      </c>
      <c r="L19" s="35">
        <f>SUMIF('Resource Demand - Activity'!$FT:$FT,Example!$G19,'Resource Demand - Activity'!G:G)</f>
        <v>0</v>
      </c>
      <c r="M19" s="35">
        <f>SUMIF('Resource Demand - Activity'!$FT:$FT,Example!$G19,'Resource Demand - Activity'!H:H)</f>
        <v>0</v>
      </c>
      <c r="N19" s="35">
        <f>SUMIF('Resource Demand - Activity'!$FT:$FT,Example!$G19,'Resource Demand - Activity'!I:I)</f>
        <v>0</v>
      </c>
      <c r="O19" s="35">
        <f>SUMIF('Resource Demand - Activity'!$FT:$FT,Example!$G19,'Resource Demand - Activity'!J:J)</f>
        <v>0</v>
      </c>
      <c r="P19" s="35">
        <f>SUMIF('Resource Demand - Activity'!$FT:$FT,Example!$G19,'Resource Demand - Activity'!K:K)</f>
        <v>0</v>
      </c>
      <c r="Q19" s="35">
        <f>SUMIF('Resource Demand - Activity'!$FT:$FT,Example!$G19,'Resource Demand - Activity'!L:L)</f>
        <v>0</v>
      </c>
      <c r="R19" s="35">
        <f>SUMIF('Resource Demand - Activity'!$FT:$FT,Example!$G19,'Resource Demand - Activity'!M:M)</f>
        <v>0</v>
      </c>
      <c r="S19" s="35">
        <f>SUMIF('Resource Demand - Activity'!$FT:$FT,Example!$G19,'Resource Demand - Activity'!N:N)</f>
        <v>0</v>
      </c>
      <c r="T19" s="35">
        <f>SUMIF('Resource Demand - Activity'!$FT:$FT,Example!$G19,'Resource Demand - Activity'!O:O)</f>
        <v>0</v>
      </c>
      <c r="U19" s="35">
        <f>SUMIF('Resource Demand - Activity'!$FT:$FT,Example!$G19,'Resource Demand - Activity'!P:P)</f>
        <v>0</v>
      </c>
      <c r="V19" s="35">
        <f>SUMIF('Resource Demand - Activity'!$FT:$FT,Example!$G19,'Resource Demand - Activity'!Q:Q)</f>
        <v>0</v>
      </c>
      <c r="W19" s="35">
        <f>SUMIF('Resource Demand - Activity'!$FT:$FT,Example!$G19,'Resource Demand - Activity'!R:R)</f>
        <v>0</v>
      </c>
      <c r="X19" s="35">
        <f>SUMIF('Resource Demand - Activity'!$FT:$FT,Example!$G19,'Resource Demand - Activity'!S:S)</f>
        <v>0</v>
      </c>
      <c r="Y19" s="35">
        <f>SUMIF('Resource Demand - Activity'!$FT:$FT,Example!$G19,'Resource Demand - Activity'!T:T)</f>
        <v>0</v>
      </c>
      <c r="Z19" s="35">
        <f>SUMIF('Resource Demand - Activity'!$FT:$FT,Example!$G19,'Resource Demand - Activity'!U:U)</f>
        <v>0</v>
      </c>
      <c r="AA19" s="35">
        <f>SUMIF('Resource Demand - Activity'!$FT:$FT,Example!$G19,'Resource Demand - Activity'!V:V)</f>
        <v>0</v>
      </c>
      <c r="AB19" s="35">
        <f>SUMIF('Resource Demand - Activity'!$FT:$FT,Example!$G19,'Resource Demand - Activity'!W:W)</f>
        <v>0</v>
      </c>
      <c r="AC19" s="35">
        <f>SUMIF('Resource Demand - Activity'!$FT:$FT,Example!$G19,'Resource Demand - Activity'!X:X)</f>
        <v>0</v>
      </c>
      <c r="AD19" s="35">
        <f>SUMIF('Resource Demand - Activity'!$FT:$FT,Example!$G19,'Resource Demand - Activity'!Y:Y)</f>
        <v>0</v>
      </c>
      <c r="AE19" s="35">
        <f>SUMIF('Resource Demand - Activity'!$FT:$FT,Example!$G19,'Resource Demand - Activity'!Z:Z)</f>
        <v>0</v>
      </c>
      <c r="AF19" s="35">
        <f>SUMIF('Resource Demand - Activity'!$FT:$FT,Example!$G19,'Resource Demand - Activity'!AA:AA)</f>
        <v>0</v>
      </c>
      <c r="AG19" s="35">
        <f>SUMIF('Resource Demand - Activity'!$FT:$FT,Example!$G19,'Resource Demand - Activity'!AB:AB)</f>
        <v>0</v>
      </c>
      <c r="AH19" s="35">
        <f>SUMIF('Resource Demand - Activity'!$FT:$FT,Example!$G19,'Resource Demand - Activity'!AC:AC)</f>
        <v>0</v>
      </c>
      <c r="AI19" s="35">
        <f>SUMIF('Resource Demand - Activity'!$FT:$FT,Example!$G19,'Resource Demand - Activity'!AD:AD)</f>
        <v>0</v>
      </c>
      <c r="AJ19" s="35">
        <f>SUMIF('Resource Demand - Activity'!$FT:$FT,Example!$G19,'Resource Demand - Activity'!AE:AE)</f>
        <v>0</v>
      </c>
      <c r="AK19" s="35">
        <f>SUMIF('Resource Demand - Activity'!$FT:$FT,Example!$G19,'Resource Demand - Activity'!AF:AF)</f>
        <v>0</v>
      </c>
      <c r="AL19" s="35">
        <f>SUMIF('Resource Demand - Activity'!$FT:$FT,Example!$G19,'Resource Demand - Activity'!AG:AG)</f>
        <v>0</v>
      </c>
      <c r="AM19" s="35">
        <f>SUMIF('Resource Demand - Activity'!$FT:$FT,Example!$G19,'Resource Demand - Activity'!AH:AH)</f>
        <v>0</v>
      </c>
      <c r="AN19" s="35">
        <f>SUMIF('Resource Demand - Activity'!$FT:$FT,Example!$G19,'Resource Demand - Activity'!AI:AI)</f>
        <v>0</v>
      </c>
      <c r="AO19" s="35">
        <f>SUMIF('Resource Demand - Activity'!$FT:$FT,Example!$G19,'Resource Demand - Activity'!AJ:AJ)</f>
        <v>0</v>
      </c>
      <c r="AP19" s="35">
        <f>SUMIF('Resource Demand - Activity'!$FT:$FT,Example!$G19,'Resource Demand - Activity'!AK:AK)</f>
        <v>0</v>
      </c>
      <c r="AQ19" s="36"/>
      <c r="AR19" s="36"/>
      <c r="AS19" s="36"/>
      <c r="AT19" s="36"/>
      <c r="AU19" s="36"/>
      <c r="AV19" s="36"/>
      <c r="AW19" s="36"/>
      <c r="AX19" s="35">
        <f>SUMIF('Resource Demand - Activity'!$FT:$FT,Example!$G19,'Resource Demand - Activity'!AS:AS)</f>
        <v>0</v>
      </c>
      <c r="AY19" s="35">
        <f>SUMIF('Resource Demand - Activity'!$FT:$FT,Example!$G19,'Resource Demand - Activity'!AT:AT)</f>
        <v>0</v>
      </c>
      <c r="AZ19" s="35">
        <f>SUMIF('Resource Demand - Activity'!$FT:$FT,Example!$G19,'Resource Demand - Activity'!AU:AU)</f>
        <v>0</v>
      </c>
      <c r="BA19" s="35">
        <f>SUMIF('Resource Demand - Activity'!$FT:$FT,Example!$G19,'Resource Demand - Activity'!AV:AV)</f>
        <v>0</v>
      </c>
      <c r="BB19" s="35">
        <f>SUMIF('Resource Demand - Activity'!$FT:$FT,Example!$G19,'Resource Demand - Activity'!AW:AW)</f>
        <v>0</v>
      </c>
      <c r="BC19" s="35">
        <f>SUMIF('Resource Demand - Activity'!$FT:$FT,Example!$G19,'Resource Demand - Activity'!AX:AX)</f>
        <v>0</v>
      </c>
      <c r="BD19" s="35">
        <f>SUMIF('Resource Demand - Activity'!$FT:$FT,Example!$G19,'Resource Demand - Activity'!AY:AY)</f>
        <v>0</v>
      </c>
      <c r="BE19" s="35">
        <f>SUMIF('Resource Demand - Activity'!$FT:$FT,Example!$G19,'Resource Demand - Activity'!AZ:AZ)</f>
        <v>0</v>
      </c>
      <c r="BF19" s="35">
        <f>SUMIF('Resource Demand - Activity'!$FT:$FT,Example!$G19,'Resource Demand - Activity'!BA:BA)</f>
        <v>0</v>
      </c>
      <c r="BG19" s="35">
        <f>SUMIF('Resource Demand - Activity'!$FT:$FT,Example!$G19,'Resource Demand - Activity'!BB:BB)</f>
        <v>0</v>
      </c>
      <c r="BH19" s="35">
        <f>SUMIF('Resource Demand - Activity'!$FT:$FT,Example!$G19,'Resource Demand - Activity'!BC:BC)</f>
        <v>0</v>
      </c>
      <c r="BI19" s="35">
        <f>SUMIF('Resource Demand - Activity'!$FT:$FT,Example!$G19,'Resource Demand - Activity'!BD:BD)</f>
        <v>0</v>
      </c>
      <c r="BJ19" s="35">
        <f>SUMIF('Resource Demand - Activity'!$FT:$FT,Example!$G19,'Resource Demand - Activity'!BE:BE)</f>
        <v>0</v>
      </c>
      <c r="BK19" s="35">
        <f>SUMIF('Resource Demand - Activity'!$FT:$FT,Example!$G19,'Resource Demand - Activity'!BF:BF)</f>
        <v>0</v>
      </c>
      <c r="BL19" s="35">
        <f>SUMIF('Resource Demand - Activity'!$FT:$FT,Example!$G19,'Resource Demand - Activity'!BG:BG)</f>
        <v>0</v>
      </c>
      <c r="BM19" s="35">
        <f>SUMIF('Resource Demand - Activity'!$FT:$FT,Example!$G19,'Resource Demand - Activity'!BH:BH)</f>
        <v>0</v>
      </c>
      <c r="BN19" s="35">
        <f>SUMIF('Resource Demand - Activity'!$FT:$FT,Example!$G19,'Resource Demand - Activity'!BI:BI)</f>
        <v>0</v>
      </c>
      <c r="BO19" s="35">
        <f>SUMIF('Resource Demand - Activity'!$FT:$FT,Example!$G19,'Resource Demand - Activity'!BJ:BJ)</f>
        <v>0</v>
      </c>
      <c r="BP19" s="35">
        <f>SUMIF('Resource Demand - Activity'!$FT:$FT,Example!$G19,'Resource Demand - Activity'!BK:BK)</f>
        <v>0</v>
      </c>
      <c r="BQ19" s="35">
        <f>SUMIF('Resource Demand - Activity'!$FT:$FT,Example!$G19,'Resource Demand - Activity'!BL:BL)</f>
        <v>0</v>
      </c>
      <c r="BR19" s="35">
        <f>SUMIF('Resource Demand - Activity'!$FT:$FT,Example!$G19,'Resource Demand - Activity'!BM:BM)</f>
        <v>0</v>
      </c>
      <c r="BS19" s="35">
        <f>SUMIF('Resource Demand - Activity'!$FT:$FT,Example!$G19,'Resource Demand - Activity'!BN:BN)</f>
        <v>0</v>
      </c>
      <c r="BT19" s="35">
        <f>SUMIF('Resource Demand - Activity'!$FT:$FT,Example!$G19,'Resource Demand - Activity'!BO:BO)</f>
        <v>0</v>
      </c>
      <c r="BU19" s="35">
        <f>SUMIF('Resource Demand - Activity'!$FT:$FT,Example!$G19,'Resource Demand - Activity'!BP:BP)</f>
        <v>0</v>
      </c>
      <c r="BV19" s="35">
        <f>SUMIF('Resource Demand - Activity'!$FT:$FT,Example!$G19,'Resource Demand - Activity'!BQ:BQ)</f>
        <v>0</v>
      </c>
      <c r="BW19" s="35">
        <f>SUMIF('Resource Demand - Activity'!$FT:$FT,Example!$G19,'Resource Demand - Activity'!BR:BR)</f>
        <v>0</v>
      </c>
      <c r="BX19" s="35">
        <f>SUMIF('Resource Demand - Activity'!$FT:$FT,Example!$G19,'Resource Demand - Activity'!BS:BS)</f>
        <v>0</v>
      </c>
      <c r="BY19" s="35">
        <f>SUMIF('Resource Demand - Activity'!$FT:$FT,Example!$G19,'Resource Demand - Activity'!BT:BT)</f>
        <v>0</v>
      </c>
      <c r="BZ19" s="35">
        <f>SUMIF('Resource Demand - Activity'!$FT:$FT,Example!$G19,'Resource Demand - Activity'!BU:BU)</f>
        <v>0</v>
      </c>
      <c r="CA19" s="35">
        <f>SUMIF('Resource Demand - Activity'!$FT:$FT,Example!$G19,'Resource Demand - Activity'!BV:BV)</f>
        <v>0</v>
      </c>
      <c r="CB19" s="35">
        <f>SUMIF('Resource Demand - Activity'!$FT:$FT,Example!$G19,'Resource Demand - Activity'!BW:BW)</f>
        <v>0</v>
      </c>
      <c r="CC19" s="35">
        <f>SUMIF('Resource Demand - Activity'!$FT:$FT,Example!$G19,'Resource Demand - Activity'!BX:BX)</f>
        <v>0</v>
      </c>
      <c r="CD19" s="35">
        <f>SUMIF('Resource Demand - Activity'!$FT:$FT,Example!$G19,'Resource Demand - Activity'!BY:BY)</f>
        <v>0</v>
      </c>
      <c r="CE19" s="35">
        <f>SUMIF('Resource Demand - Activity'!$FT:$FT,Example!$G19,'Resource Demand - Activity'!BZ:BZ)</f>
        <v>0</v>
      </c>
      <c r="CF19" s="35">
        <f>SUMIF('Resource Demand - Activity'!$FT:$FT,Example!$G19,'Resource Demand - Activity'!CA:CA)</f>
        <v>0</v>
      </c>
      <c r="CG19" s="35">
        <f>SUMIF('Resource Demand - Activity'!$FT:$FT,Example!$G19,'Resource Demand - Activity'!CB:CB)</f>
        <v>0</v>
      </c>
      <c r="CH19" s="35">
        <f>SUMIF('Resource Demand - Activity'!$FT:$FT,Example!$G19,'Resource Demand - Activity'!CC:CC)</f>
        <v>0</v>
      </c>
      <c r="CI19" s="35">
        <f>SUMIF('Resource Demand - Activity'!$FT:$FT,Example!$G19,'Resource Demand - Activity'!CD:CD)</f>
        <v>0</v>
      </c>
      <c r="CJ19" s="35">
        <f>SUMIF('Resource Demand - Activity'!$FT:$FT,Example!$G19,'Resource Demand - Activity'!CE:CE)</f>
        <v>0</v>
      </c>
      <c r="CK19" s="35">
        <f>SUMIF('Resource Demand - Activity'!$FT:$FT,Example!$G19,'Resource Demand - Activity'!CF:CF)</f>
        <v>0</v>
      </c>
      <c r="CL19" s="35">
        <f>SUMIF('Resource Demand - Activity'!$FT:$FT,Example!$G19,'Resource Demand - Activity'!CG:CG)</f>
        <v>0</v>
      </c>
      <c r="CM19" s="35">
        <f>SUMIF('Resource Demand - Activity'!$FT:$FT,Example!$G19,'Resource Demand - Activity'!CH:CH)</f>
        <v>0</v>
      </c>
      <c r="CN19" s="35">
        <f>SUMIF('Resource Demand - Activity'!$FT:$FT,Example!$G19,'Resource Demand - Activity'!CI:CI)</f>
        <v>0</v>
      </c>
      <c r="CO19" s="35">
        <f>SUMIF('Resource Demand - Activity'!$FT:$FT,Example!$G19,'Resource Demand - Activity'!CJ:CJ)</f>
        <v>0</v>
      </c>
      <c r="CP19" s="35">
        <f>SUMIF('Resource Demand - Activity'!$FT:$FT,Example!$G19,'Resource Demand - Activity'!CK:CK)</f>
        <v>0</v>
      </c>
      <c r="CQ19" s="35">
        <f>SUMIF('Resource Demand - Activity'!$FT:$FT,Example!$G19,'Resource Demand - Activity'!CL:CL)</f>
        <v>0</v>
      </c>
      <c r="CR19" s="35">
        <f>SUMIF('Resource Demand - Activity'!$FT:$FT,Example!$G19,'Resource Demand - Activity'!CM:CM)</f>
        <v>0</v>
      </c>
      <c r="CS19" s="35">
        <f>SUMIF('Resource Demand - Activity'!$FT:$FT,Example!$G19,'Resource Demand - Activity'!CN:CN)</f>
        <v>0</v>
      </c>
      <c r="CT19" s="35">
        <f>SUMIF('Resource Demand - Activity'!$FT:$FT,Example!$G19,'Resource Demand - Activity'!CO:CO)</f>
        <v>0</v>
      </c>
      <c r="CU19" s="35">
        <f>SUMIF('Resource Demand - Activity'!$FT:$FT,Example!$G19,'Resource Demand - Activity'!CP:CP)</f>
        <v>0</v>
      </c>
      <c r="CV19" s="35">
        <f>SUMIF('Resource Demand - Activity'!$FT:$FT,Example!$G19,'Resource Demand - Activity'!CQ:CQ)</f>
        <v>0</v>
      </c>
      <c r="CW19" s="35">
        <f>SUMIF('Resource Demand - Activity'!$FT:$FT,Example!$G19,'Resource Demand - Activity'!CR:CR)</f>
        <v>0</v>
      </c>
      <c r="CX19" s="35">
        <f>SUMIF('Resource Demand - Activity'!$FT:$FT,Example!$G19,'Resource Demand - Activity'!CS:CS)</f>
        <v>0</v>
      </c>
      <c r="CY19" s="36"/>
      <c r="CZ19" s="35">
        <f>SUMIF('Resource Demand - Activity'!$FT:$FT,Example!$G19,'Resource Demand - Activity'!CU:CU)</f>
        <v>0</v>
      </c>
      <c r="DA19" s="35">
        <f>SUMIF('Resource Demand - Activity'!$FT:$FT,Example!$G19,'Resource Demand - Activity'!CV:CV)</f>
        <v>0</v>
      </c>
      <c r="DB19" s="35">
        <f>SUMIF('Resource Demand - Activity'!$FT:$FT,Example!$G19,'Resource Demand - Activity'!CW:CW)</f>
        <v>0</v>
      </c>
      <c r="DC19" s="35">
        <f>SUMIF('Resource Demand - Activity'!$FT:$FT,Example!$G19,'Resource Demand - Activity'!CX:CX)</f>
        <v>0</v>
      </c>
      <c r="DD19" s="35">
        <f>SUMIF('Resource Demand - Activity'!$FT:$FT,Example!$G19,'Resource Demand - Activity'!CY:CY)</f>
        <v>0</v>
      </c>
      <c r="DE19" s="36"/>
      <c r="DF19" s="36"/>
      <c r="DG19" s="35">
        <f>SUMIF('Resource Demand - Activity'!$FT:$FT,Example!$G19,'Resource Demand - Activity'!DB:DB)</f>
        <v>0</v>
      </c>
      <c r="DH19" s="35">
        <f>SUMIF('Resource Demand - Activity'!$FT:$FT,Example!$G19,'Resource Demand - Activity'!DC:DC)</f>
        <v>0</v>
      </c>
      <c r="DI19" s="35">
        <f>SUMIF('Resource Demand - Activity'!$FT:$FT,Example!$G19,'Resource Demand - Activity'!DD:DD)</f>
        <v>0</v>
      </c>
      <c r="DJ19" s="35">
        <f>SUMIF('Resource Demand - Activity'!$FT:$FT,Example!$G19,'Resource Demand - Activity'!DE:DE)</f>
        <v>0</v>
      </c>
      <c r="DK19" s="35">
        <f>SUMIF('Resource Demand - Activity'!$FT:$FT,Example!$G19,'Resource Demand - Activity'!DF:DF)</f>
        <v>0</v>
      </c>
      <c r="DL19" s="35">
        <f>SUMIF('Resource Demand - Activity'!$FT:$FT,Example!$G19,'Resource Demand - Activity'!DG:DG)</f>
        <v>0</v>
      </c>
      <c r="DM19" s="35">
        <f>SUMIF('Resource Demand - Activity'!$FT:$FT,Example!$G19,'Resource Demand - Activity'!DH:DH)</f>
        <v>0</v>
      </c>
      <c r="DN19" s="35">
        <f>SUMIF('Resource Demand - Activity'!$FT:$FT,Example!$G19,'Resource Demand - Activity'!DI:DI)</f>
        <v>0</v>
      </c>
      <c r="DO19" s="35">
        <f>SUMIF('Resource Demand - Activity'!$FT:$FT,Example!$G19,'Resource Demand - Activity'!DJ:DJ)</f>
        <v>0</v>
      </c>
      <c r="DP19" s="35">
        <f>SUMIF('Resource Demand - Activity'!$FT:$FT,Example!$G19,'Resource Demand - Activity'!DK:DK)</f>
        <v>0</v>
      </c>
      <c r="DQ19" s="35">
        <f>SUMIF('Resource Demand - Activity'!$FT:$FT,Example!$G19,'Resource Demand - Activity'!DL:DL)</f>
        <v>0</v>
      </c>
      <c r="DR19" s="35">
        <f>SUMIF('Resource Demand - Activity'!$FT:$FT,Example!$G19,'Resource Demand - Activity'!DM:DM)</f>
        <v>0</v>
      </c>
      <c r="DS19" s="35">
        <f>SUMIF('Resource Demand - Activity'!$FT:$FT,Example!$G19,'Resource Demand - Activity'!DN:DN)</f>
        <v>0</v>
      </c>
      <c r="DT19" s="35">
        <f>SUMIF('Resource Demand - Activity'!$FT:$FT,Example!$G19,'Resource Demand - Activity'!DO:DO)</f>
        <v>0</v>
      </c>
      <c r="DU19" s="35">
        <f>SUMIF('Resource Demand - Activity'!$FT:$FT,Example!$G19,'Resource Demand - Activity'!DP:DP)</f>
        <v>0</v>
      </c>
      <c r="DV19" s="35">
        <f>SUMIF('Resource Demand - Activity'!$FT:$FT,Example!$G19,'Resource Demand - Activity'!DQ:DQ)</f>
        <v>0</v>
      </c>
      <c r="DW19" s="35">
        <f>SUMIF('Resource Demand - Activity'!$FT:$FT,Example!$G19,'Resource Demand - Activity'!DR:DR)</f>
        <v>0</v>
      </c>
      <c r="DX19" s="35">
        <f>SUMIF('Resource Demand - Activity'!$FT:$FT,Example!$G19,'Resource Demand - Activity'!DS:DS)</f>
        <v>0</v>
      </c>
      <c r="DY19" s="35">
        <f>SUMIF('Resource Demand - Activity'!$FT:$FT,Example!$G19,'Resource Demand - Activity'!DT:DT)</f>
        <v>0</v>
      </c>
      <c r="DZ19" s="35">
        <f>SUMIF('Resource Demand - Activity'!$FT:$FT,Example!$G19,'Resource Demand - Activity'!DU:DU)</f>
        <v>0</v>
      </c>
      <c r="EA19" s="35">
        <f>SUMIF('Resource Demand - Activity'!$FT:$FT,Example!$G19,'Resource Demand - Activity'!DV:DV)</f>
        <v>0</v>
      </c>
      <c r="EB19" s="35">
        <f>SUMIF('Resource Demand - Activity'!$FT:$FT,Example!$G19,'Resource Demand - Activity'!DW:DW)</f>
        <v>0</v>
      </c>
      <c r="EC19" s="35">
        <f>SUMIF('Resource Demand - Activity'!$FT:$FT,Example!$G19,'Resource Demand - Activity'!DX:DX)</f>
        <v>0</v>
      </c>
      <c r="ED19" s="35">
        <f>SUMIF('Resource Demand - Activity'!$FT:$FT,Example!$G19,'Resource Demand - Activity'!DY:DY)</f>
        <v>0</v>
      </c>
      <c r="EE19" s="36"/>
      <c r="EF19" s="35">
        <f>SUMIF('Resource Demand - Activity'!$FT:$FT,Example!$G19,'Resource Demand - Activity'!EA:EA)</f>
        <v>0</v>
      </c>
      <c r="EG19" s="35">
        <f>SUMIF('Resource Demand - Activity'!$FT:$FT,Example!$G19,'Resource Demand - Activity'!EB:EB)</f>
        <v>0</v>
      </c>
      <c r="EH19" s="35">
        <f>SUMIF('Resource Demand - Activity'!$FT:$FT,Example!$G19,'Resource Demand - Activity'!EC:EC)</f>
        <v>0</v>
      </c>
      <c r="EI19" s="35">
        <f>SUMIF('Resource Demand - Activity'!$FT:$FT,Example!$G19,'Resource Demand - Activity'!ED:ED)</f>
        <v>0</v>
      </c>
      <c r="EJ19" s="35">
        <f>SUMIF('Resource Demand - Activity'!$FT:$FT,Example!$G19,'Resource Demand - Activity'!EE:EE)</f>
        <v>0</v>
      </c>
      <c r="EK19" s="35">
        <f>SUMIF('Resource Demand - Activity'!$FT:$FT,Example!$G19,'Resource Demand - Activity'!EF:EF)</f>
        <v>0</v>
      </c>
      <c r="EL19" s="35">
        <f>SUMIF('Resource Demand - Activity'!$FT:$FT,Example!$G19,'Resource Demand - Activity'!EG:EG)</f>
        <v>0</v>
      </c>
      <c r="EM19" s="35">
        <f>SUMIF('Resource Demand - Activity'!$FT:$FT,Example!$G19,'Resource Demand - Activity'!EH:EH)</f>
        <v>0</v>
      </c>
      <c r="EN19" s="35">
        <f>SUMIF('Resource Demand - Activity'!$FT:$FT,Example!$G19,'Resource Demand - Activity'!EI:EI)</f>
        <v>0</v>
      </c>
      <c r="EO19" s="35">
        <f>SUMIF('Resource Demand - Activity'!$FT:$FT,Example!$G19,'Resource Demand - Activity'!EJ:EJ)</f>
        <v>0</v>
      </c>
      <c r="EP19" s="35">
        <f>SUMIF('Resource Demand - Activity'!$FT:$FT,Example!$G19,'Resource Demand - Activity'!EK:EK)</f>
        <v>0</v>
      </c>
      <c r="EQ19" s="35">
        <f>SUMIF('Resource Demand - Activity'!$FT:$FT,Example!$G19,'Resource Demand - Activity'!EL:EL)</f>
        <v>0</v>
      </c>
      <c r="ER19" s="35">
        <f>SUMIF('Resource Demand - Activity'!$FT:$FT,Example!$G19,'Resource Demand - Activity'!EM:EM)</f>
        <v>0</v>
      </c>
      <c r="ES19" s="35">
        <f>SUMIF('Resource Demand - Activity'!$FT:$FT,Example!$G19,'Resource Demand - Activity'!EN:EN)</f>
        <v>0</v>
      </c>
      <c r="ET19" s="35">
        <f>SUMIF('Resource Demand - Activity'!$FT:$FT,Example!$G19,'Resource Demand - Activity'!EO:EO)</f>
        <v>0</v>
      </c>
      <c r="EU19" s="35">
        <f>SUMIF('Resource Demand - Activity'!$FT:$FT,Example!$G19,'Resource Demand - Activity'!EP:EP)</f>
        <v>0</v>
      </c>
      <c r="EV19" s="35">
        <f>SUMIF('Resource Demand - Activity'!$FT:$FT,Example!$G19,'Resource Demand - Activity'!EQ:EQ)</f>
        <v>0</v>
      </c>
      <c r="EW19" s="35">
        <f>SUMIF('Resource Demand - Activity'!$FT:$FT,Example!$G19,'Resource Demand - Activity'!ER:ER)</f>
        <v>0</v>
      </c>
      <c r="EX19" s="35">
        <f>SUMIF('Resource Demand - Activity'!$FT:$FT,Example!$G19,'Resource Demand - Activity'!ES:ES)</f>
        <v>0</v>
      </c>
      <c r="EY19" s="35">
        <f>SUMIF('Resource Demand - Activity'!$FT:$FT,Example!$G19,'Resource Demand - Activity'!ET:ET)</f>
        <v>0</v>
      </c>
      <c r="EZ19" s="35">
        <f>SUMIF('Resource Demand - Activity'!$FT:$FT,Example!$G19,'Resource Demand - Activity'!EU:EU)</f>
        <v>0</v>
      </c>
      <c r="FA19" s="35">
        <f>SUMIF('Resource Demand - Activity'!$FT:$FT,Example!$G19,'Resource Demand - Activity'!EV:EV)</f>
        <v>0</v>
      </c>
      <c r="FB19" s="35">
        <f>SUMIF('Resource Demand - Activity'!$FT:$FT,Example!$G19,'Resource Demand - Activity'!EW:EW)</f>
        <v>0</v>
      </c>
      <c r="FC19" s="35">
        <f>SUMIF('Resource Demand - Activity'!$FT:$FT,Example!$G19,'Resource Demand - Activity'!EX:EX)</f>
        <v>0</v>
      </c>
      <c r="FD19" s="36"/>
      <c r="FE19" s="35">
        <f>SUMIF('Resource Demand - Activity'!$FT:$FT,Example!$G19,'Resource Demand - Activity'!EZ:EZ)</f>
        <v>0</v>
      </c>
      <c r="FF19" s="35">
        <f>SUMIF('Resource Demand - Activity'!$FT:$FT,Example!$G19,'Resource Demand - Activity'!FA:FA)</f>
        <v>0</v>
      </c>
      <c r="FG19" s="35">
        <f>SUMIF('Resource Demand - Activity'!$FT:$FT,Example!$G19,'Resource Demand - Activity'!FB:FB)</f>
        <v>0</v>
      </c>
      <c r="FH19" s="35">
        <f>SUMIF('Resource Demand - Activity'!$FT:$FT,Example!$G19,'Resource Demand - Activity'!FC:FC)</f>
        <v>0</v>
      </c>
      <c r="FI19" s="35">
        <f>SUMIF('Resource Demand - Activity'!$FT:$FT,Example!$G19,'Resource Demand - Activity'!FD:FD)</f>
        <v>1</v>
      </c>
      <c r="FJ19" s="35">
        <f>SUMIF('Resource Demand - Activity'!$FT:$FT,Example!$G19,'Resource Demand - Activity'!FE:FE)</f>
        <v>1</v>
      </c>
      <c r="FK19" s="35">
        <f>SUMIF('Resource Demand - Activity'!$FT:$FT,Example!$G19,'Resource Demand - Activity'!FF:FF)</f>
        <v>1</v>
      </c>
      <c r="FL19" s="35">
        <f>SUMIF('Resource Demand - Activity'!$FT:$FT,Example!$G19,'Resource Demand - Activity'!FG:FG)</f>
        <v>1</v>
      </c>
      <c r="FM19" s="35">
        <f>SUMIF('Resource Demand - Activity'!$FT:$FT,Example!$G19,'Resource Demand - Activity'!FH:FH)</f>
        <v>0</v>
      </c>
      <c r="FN19" s="35">
        <f>SUMIF('Resource Demand - Activity'!$FT:$FT,Example!$G19,'Resource Demand - Activity'!FI:FI)</f>
        <v>0</v>
      </c>
      <c r="FO19" s="35">
        <f>SUMIF('Resource Demand - Activity'!$FT:$FT,Example!$G19,'Resource Demand - Activity'!FJ:FJ)</f>
        <v>0</v>
      </c>
      <c r="FP19" s="35">
        <f>SUMIF('Resource Demand - Activity'!$FT:$FT,Example!$G19,'Resource Demand - Activity'!FK:FK)</f>
        <v>0</v>
      </c>
      <c r="FQ19" s="35">
        <f>SUMIF('Resource Demand - Activity'!$FT:$FT,Example!$G19,'Resource Demand - Activity'!FL:FL)</f>
        <v>0</v>
      </c>
      <c r="FR19" s="35">
        <f>SUMIF('Resource Demand - Activity'!$FT:$FT,Example!$G19,'Resource Demand - Activity'!FM:FM)</f>
        <v>0</v>
      </c>
      <c r="FS19" s="35">
        <f>SUMIF('Resource Demand - Activity'!$FT:$FT,Example!$G19,'Resource Demand - Activity'!FN:FN)</f>
        <v>0</v>
      </c>
      <c r="FT19" s="35">
        <f>SUMIF('Resource Demand - Activity'!$FT:$FT,Example!$G19,'Resource Demand - Activity'!FO:FO)</f>
        <v>0</v>
      </c>
      <c r="FU19" s="35">
        <f>SUMIF('Resource Demand - Activity'!$FT:$FT,Example!$G19,'Resource Demand - Activity'!FP:FP)</f>
        <v>0</v>
      </c>
      <c r="FV19" s="52">
        <f>SUMIF('Resource Demand - Activity'!$FT:$FT,Example!$G19,'Resource Demand - Activity'!FQ:FQ)</f>
        <v>0</v>
      </c>
    </row>
    <row r="20" spans="2:178" s="58" customFormat="1" ht="12" customHeight="1">
      <c r="B20" s="143" t="s">
        <v>17</v>
      </c>
      <c r="C20" s="142">
        <f>600*1.23</f>
        <v>738</v>
      </c>
      <c r="D20" s="142">
        <f>600*1.23</f>
        <v>738</v>
      </c>
      <c r="E20" s="166"/>
      <c r="G20" s="64" t="str">
        <f t="shared" si="3"/>
        <v>10. BAU Transition 10.8 NSTs/ECB Development &amp; Reporting Glenn Kirk</v>
      </c>
      <c r="H20" s="102" t="s">
        <v>143</v>
      </c>
      <c r="I20" s="59" t="str">
        <f>INDEX('Resource Demand - Activity'!C:C,MATCH(Example!G20,'Resource Demand - Activity'!FT:FT,0))</f>
        <v>10 days</v>
      </c>
      <c r="J20" s="51">
        <f>SUMIF('Resource Demand - Activity'!$FT:$FT,Example!$G20,'Resource Demand - Activity'!E:E)</f>
        <v>0</v>
      </c>
      <c r="K20" s="35">
        <f>SUMIF('Resource Demand - Activity'!$FT:$FT,Example!$G20,'Resource Demand - Activity'!F:F)</f>
        <v>0</v>
      </c>
      <c r="L20" s="35">
        <f>SUMIF('Resource Demand - Activity'!$FT:$FT,Example!$G20,'Resource Demand - Activity'!G:G)</f>
        <v>0</v>
      </c>
      <c r="M20" s="35">
        <f>SUMIF('Resource Demand - Activity'!$FT:$FT,Example!$G20,'Resource Demand - Activity'!H:H)</f>
        <v>0</v>
      </c>
      <c r="N20" s="35">
        <f>SUMIF('Resource Demand - Activity'!$FT:$FT,Example!$G20,'Resource Demand - Activity'!I:I)</f>
        <v>0</v>
      </c>
      <c r="O20" s="35">
        <f>SUMIF('Resource Demand - Activity'!$FT:$FT,Example!$G20,'Resource Demand - Activity'!J:J)</f>
        <v>0</v>
      </c>
      <c r="P20" s="35">
        <f>SUMIF('Resource Demand - Activity'!$FT:$FT,Example!$G20,'Resource Demand - Activity'!K:K)</f>
        <v>0</v>
      </c>
      <c r="Q20" s="35">
        <f>SUMIF('Resource Demand - Activity'!$FT:$FT,Example!$G20,'Resource Demand - Activity'!L:L)</f>
        <v>0</v>
      </c>
      <c r="R20" s="35">
        <f>SUMIF('Resource Demand - Activity'!$FT:$FT,Example!$G20,'Resource Demand - Activity'!M:M)</f>
        <v>0</v>
      </c>
      <c r="S20" s="35">
        <f>SUMIF('Resource Demand - Activity'!$FT:$FT,Example!$G20,'Resource Demand - Activity'!N:N)</f>
        <v>0</v>
      </c>
      <c r="T20" s="35">
        <f>SUMIF('Resource Demand - Activity'!$FT:$FT,Example!$G20,'Resource Demand - Activity'!O:O)</f>
        <v>0</v>
      </c>
      <c r="U20" s="35">
        <f>SUMIF('Resource Demand - Activity'!$FT:$FT,Example!$G20,'Resource Demand - Activity'!P:P)</f>
        <v>0</v>
      </c>
      <c r="V20" s="35">
        <f>SUMIF('Resource Demand - Activity'!$FT:$FT,Example!$G20,'Resource Demand - Activity'!Q:Q)</f>
        <v>0</v>
      </c>
      <c r="W20" s="35">
        <f>SUMIF('Resource Demand - Activity'!$FT:$FT,Example!$G20,'Resource Demand - Activity'!R:R)</f>
        <v>0</v>
      </c>
      <c r="X20" s="35">
        <f>SUMIF('Resource Demand - Activity'!$FT:$FT,Example!$G20,'Resource Demand - Activity'!S:S)</f>
        <v>0</v>
      </c>
      <c r="Y20" s="35">
        <f>SUMIF('Resource Demand - Activity'!$FT:$FT,Example!$G20,'Resource Demand - Activity'!T:T)</f>
        <v>0</v>
      </c>
      <c r="Z20" s="35">
        <f>SUMIF('Resource Demand - Activity'!$FT:$FT,Example!$G20,'Resource Demand - Activity'!U:U)</f>
        <v>0</v>
      </c>
      <c r="AA20" s="35">
        <f>SUMIF('Resource Demand - Activity'!$FT:$FT,Example!$G20,'Resource Demand - Activity'!V:V)</f>
        <v>0</v>
      </c>
      <c r="AB20" s="35">
        <f>SUMIF('Resource Demand - Activity'!$FT:$FT,Example!$G20,'Resource Demand - Activity'!W:W)</f>
        <v>0</v>
      </c>
      <c r="AC20" s="35">
        <f>SUMIF('Resource Demand - Activity'!$FT:$FT,Example!$G20,'Resource Demand - Activity'!X:X)</f>
        <v>0</v>
      </c>
      <c r="AD20" s="35">
        <f>SUMIF('Resource Demand - Activity'!$FT:$FT,Example!$G20,'Resource Demand - Activity'!Y:Y)</f>
        <v>0</v>
      </c>
      <c r="AE20" s="35">
        <f>SUMIF('Resource Demand - Activity'!$FT:$FT,Example!$G20,'Resource Demand - Activity'!Z:Z)</f>
        <v>0</v>
      </c>
      <c r="AF20" s="35">
        <f>SUMIF('Resource Demand - Activity'!$FT:$FT,Example!$G20,'Resource Demand - Activity'!AA:AA)</f>
        <v>0</v>
      </c>
      <c r="AG20" s="35">
        <f>SUMIF('Resource Demand - Activity'!$FT:$FT,Example!$G20,'Resource Demand - Activity'!AB:AB)</f>
        <v>0</v>
      </c>
      <c r="AH20" s="35">
        <f>SUMIF('Resource Demand - Activity'!$FT:$FT,Example!$G20,'Resource Demand - Activity'!AC:AC)</f>
        <v>0</v>
      </c>
      <c r="AI20" s="35">
        <f>SUMIF('Resource Demand - Activity'!$FT:$FT,Example!$G20,'Resource Demand - Activity'!AD:AD)</f>
        <v>0</v>
      </c>
      <c r="AJ20" s="35">
        <f>SUMIF('Resource Demand - Activity'!$FT:$FT,Example!$G20,'Resource Demand - Activity'!AE:AE)</f>
        <v>0</v>
      </c>
      <c r="AK20" s="35">
        <f>SUMIF('Resource Demand - Activity'!$FT:$FT,Example!$G20,'Resource Demand - Activity'!AF:AF)</f>
        <v>0</v>
      </c>
      <c r="AL20" s="35">
        <f>SUMIF('Resource Demand - Activity'!$FT:$FT,Example!$G20,'Resource Demand - Activity'!AG:AG)</f>
        <v>0</v>
      </c>
      <c r="AM20" s="35">
        <f>SUMIF('Resource Demand - Activity'!$FT:$FT,Example!$G20,'Resource Demand - Activity'!AH:AH)</f>
        <v>0</v>
      </c>
      <c r="AN20" s="35">
        <f>SUMIF('Resource Demand - Activity'!$FT:$FT,Example!$G20,'Resource Demand - Activity'!AI:AI)</f>
        <v>0</v>
      </c>
      <c r="AO20" s="35">
        <f>SUMIF('Resource Demand - Activity'!$FT:$FT,Example!$G20,'Resource Demand - Activity'!AJ:AJ)</f>
        <v>0</v>
      </c>
      <c r="AP20" s="35">
        <f>SUMIF('Resource Demand - Activity'!$FT:$FT,Example!$G20,'Resource Demand - Activity'!AK:AK)</f>
        <v>0</v>
      </c>
      <c r="AQ20" s="36"/>
      <c r="AR20" s="36"/>
      <c r="AS20" s="36"/>
      <c r="AT20" s="36"/>
      <c r="AU20" s="36"/>
      <c r="AV20" s="36"/>
      <c r="AW20" s="36"/>
      <c r="AX20" s="35">
        <f>SUMIF('Resource Demand - Activity'!$FT:$FT,Example!$G20,'Resource Demand - Activity'!AS:AS)</f>
        <v>0</v>
      </c>
      <c r="AY20" s="35">
        <f>SUMIF('Resource Demand - Activity'!$FT:$FT,Example!$G20,'Resource Demand - Activity'!AT:AT)</f>
        <v>0</v>
      </c>
      <c r="AZ20" s="35">
        <f>SUMIF('Resource Demand - Activity'!$FT:$FT,Example!$G20,'Resource Demand - Activity'!AU:AU)</f>
        <v>0</v>
      </c>
      <c r="BA20" s="35">
        <f>SUMIF('Resource Demand - Activity'!$FT:$FT,Example!$G20,'Resource Demand - Activity'!AV:AV)</f>
        <v>0</v>
      </c>
      <c r="BB20" s="35">
        <f>SUMIF('Resource Demand - Activity'!$FT:$FT,Example!$G20,'Resource Demand - Activity'!AW:AW)</f>
        <v>0</v>
      </c>
      <c r="BC20" s="35">
        <f>SUMIF('Resource Demand - Activity'!$FT:$FT,Example!$G20,'Resource Demand - Activity'!AX:AX)</f>
        <v>0</v>
      </c>
      <c r="BD20" s="35">
        <f>SUMIF('Resource Demand - Activity'!$FT:$FT,Example!$G20,'Resource Demand - Activity'!AY:AY)</f>
        <v>0</v>
      </c>
      <c r="BE20" s="35">
        <f>SUMIF('Resource Demand - Activity'!$FT:$FT,Example!$G20,'Resource Demand - Activity'!AZ:AZ)</f>
        <v>0</v>
      </c>
      <c r="BF20" s="35">
        <f>SUMIF('Resource Demand - Activity'!$FT:$FT,Example!$G20,'Resource Demand - Activity'!BA:BA)</f>
        <v>0</v>
      </c>
      <c r="BG20" s="35">
        <f>SUMIF('Resource Demand - Activity'!$FT:$FT,Example!$G20,'Resource Demand - Activity'!BB:BB)</f>
        <v>0</v>
      </c>
      <c r="BH20" s="35">
        <f>SUMIF('Resource Demand - Activity'!$FT:$FT,Example!$G20,'Resource Demand - Activity'!BC:BC)</f>
        <v>0</v>
      </c>
      <c r="BI20" s="35">
        <f>SUMIF('Resource Demand - Activity'!$FT:$FT,Example!$G20,'Resource Demand - Activity'!BD:BD)</f>
        <v>0</v>
      </c>
      <c r="BJ20" s="35">
        <f>SUMIF('Resource Demand - Activity'!$FT:$FT,Example!$G20,'Resource Demand - Activity'!BE:BE)</f>
        <v>0</v>
      </c>
      <c r="BK20" s="35">
        <f>SUMIF('Resource Demand - Activity'!$FT:$FT,Example!$G20,'Resource Demand - Activity'!BF:BF)</f>
        <v>0</v>
      </c>
      <c r="BL20" s="35">
        <f>SUMIF('Resource Demand - Activity'!$FT:$FT,Example!$G20,'Resource Demand - Activity'!BG:BG)</f>
        <v>0</v>
      </c>
      <c r="BM20" s="35">
        <f>SUMIF('Resource Demand - Activity'!$FT:$FT,Example!$G20,'Resource Demand - Activity'!BH:BH)</f>
        <v>0</v>
      </c>
      <c r="BN20" s="35">
        <f>SUMIF('Resource Demand - Activity'!$FT:$FT,Example!$G20,'Resource Demand - Activity'!BI:BI)</f>
        <v>0</v>
      </c>
      <c r="BO20" s="35">
        <f>SUMIF('Resource Demand - Activity'!$FT:$FT,Example!$G20,'Resource Demand - Activity'!BJ:BJ)</f>
        <v>0</v>
      </c>
      <c r="BP20" s="35">
        <f>SUMIF('Resource Demand - Activity'!$FT:$FT,Example!$G20,'Resource Demand - Activity'!BK:BK)</f>
        <v>0</v>
      </c>
      <c r="BQ20" s="35">
        <f>SUMIF('Resource Demand - Activity'!$FT:$FT,Example!$G20,'Resource Demand - Activity'!BL:BL)</f>
        <v>0</v>
      </c>
      <c r="BR20" s="35">
        <f>SUMIF('Resource Demand - Activity'!$FT:$FT,Example!$G20,'Resource Demand - Activity'!BM:BM)</f>
        <v>0</v>
      </c>
      <c r="BS20" s="35">
        <f>SUMIF('Resource Demand - Activity'!$FT:$FT,Example!$G20,'Resource Demand - Activity'!BN:BN)</f>
        <v>0</v>
      </c>
      <c r="BT20" s="35">
        <f>SUMIF('Resource Demand - Activity'!$FT:$FT,Example!$G20,'Resource Demand - Activity'!BO:BO)</f>
        <v>0</v>
      </c>
      <c r="BU20" s="35">
        <f>SUMIF('Resource Demand - Activity'!$FT:$FT,Example!$G20,'Resource Demand - Activity'!BP:BP)</f>
        <v>0</v>
      </c>
      <c r="BV20" s="35">
        <f>SUMIF('Resource Demand - Activity'!$FT:$FT,Example!$G20,'Resource Demand - Activity'!BQ:BQ)</f>
        <v>0</v>
      </c>
      <c r="BW20" s="35">
        <f>SUMIF('Resource Demand - Activity'!$FT:$FT,Example!$G20,'Resource Demand - Activity'!BR:BR)</f>
        <v>0</v>
      </c>
      <c r="BX20" s="35">
        <f>SUMIF('Resource Demand - Activity'!$FT:$FT,Example!$G20,'Resource Demand - Activity'!BS:BS)</f>
        <v>0</v>
      </c>
      <c r="BY20" s="35">
        <f>SUMIF('Resource Demand - Activity'!$FT:$FT,Example!$G20,'Resource Demand - Activity'!BT:BT)</f>
        <v>0</v>
      </c>
      <c r="BZ20" s="35">
        <f>SUMIF('Resource Demand - Activity'!$FT:$FT,Example!$G20,'Resource Demand - Activity'!BU:BU)</f>
        <v>0</v>
      </c>
      <c r="CA20" s="35">
        <f>SUMIF('Resource Demand - Activity'!$FT:$FT,Example!$G20,'Resource Demand - Activity'!BV:BV)</f>
        <v>0</v>
      </c>
      <c r="CB20" s="35">
        <f>SUMIF('Resource Demand - Activity'!$FT:$FT,Example!$G20,'Resource Demand - Activity'!BW:BW)</f>
        <v>0</v>
      </c>
      <c r="CC20" s="35">
        <f>SUMIF('Resource Demand - Activity'!$FT:$FT,Example!$G20,'Resource Demand - Activity'!BX:BX)</f>
        <v>0</v>
      </c>
      <c r="CD20" s="35">
        <f>SUMIF('Resource Demand - Activity'!$FT:$FT,Example!$G20,'Resource Demand - Activity'!BY:BY)</f>
        <v>0</v>
      </c>
      <c r="CE20" s="35">
        <f>SUMIF('Resource Demand - Activity'!$FT:$FT,Example!$G20,'Resource Demand - Activity'!BZ:BZ)</f>
        <v>0</v>
      </c>
      <c r="CF20" s="35">
        <f>SUMIF('Resource Demand - Activity'!$FT:$FT,Example!$G20,'Resource Demand - Activity'!CA:CA)</f>
        <v>0</v>
      </c>
      <c r="CG20" s="35">
        <f>SUMIF('Resource Demand - Activity'!$FT:$FT,Example!$G20,'Resource Demand - Activity'!CB:CB)</f>
        <v>0</v>
      </c>
      <c r="CH20" s="35">
        <f>SUMIF('Resource Demand - Activity'!$FT:$FT,Example!$G20,'Resource Demand - Activity'!CC:CC)</f>
        <v>0</v>
      </c>
      <c r="CI20" s="35">
        <f>SUMIF('Resource Demand - Activity'!$FT:$FT,Example!$G20,'Resource Demand - Activity'!CD:CD)</f>
        <v>0</v>
      </c>
      <c r="CJ20" s="35">
        <f>SUMIF('Resource Demand - Activity'!$FT:$FT,Example!$G20,'Resource Demand - Activity'!CE:CE)</f>
        <v>0</v>
      </c>
      <c r="CK20" s="35">
        <f>SUMIF('Resource Demand - Activity'!$FT:$FT,Example!$G20,'Resource Demand - Activity'!CF:CF)</f>
        <v>0</v>
      </c>
      <c r="CL20" s="35">
        <f>SUMIF('Resource Demand - Activity'!$FT:$FT,Example!$G20,'Resource Demand - Activity'!CG:CG)</f>
        <v>0</v>
      </c>
      <c r="CM20" s="35">
        <f>SUMIF('Resource Demand - Activity'!$FT:$FT,Example!$G20,'Resource Demand - Activity'!CH:CH)</f>
        <v>0</v>
      </c>
      <c r="CN20" s="35">
        <f>SUMIF('Resource Demand - Activity'!$FT:$FT,Example!$G20,'Resource Demand - Activity'!CI:CI)</f>
        <v>0</v>
      </c>
      <c r="CO20" s="35">
        <f>SUMIF('Resource Demand - Activity'!$FT:$FT,Example!$G20,'Resource Demand - Activity'!CJ:CJ)</f>
        <v>0</v>
      </c>
      <c r="CP20" s="35">
        <f>SUMIF('Resource Demand - Activity'!$FT:$FT,Example!$G20,'Resource Demand - Activity'!CK:CK)</f>
        <v>0</v>
      </c>
      <c r="CQ20" s="35">
        <f>SUMIF('Resource Demand - Activity'!$FT:$FT,Example!$G20,'Resource Demand - Activity'!CL:CL)</f>
        <v>0</v>
      </c>
      <c r="CR20" s="35">
        <f>SUMIF('Resource Demand - Activity'!$FT:$FT,Example!$G20,'Resource Demand - Activity'!CM:CM)</f>
        <v>0</v>
      </c>
      <c r="CS20" s="35">
        <f>SUMIF('Resource Demand - Activity'!$FT:$FT,Example!$G20,'Resource Demand - Activity'!CN:CN)</f>
        <v>0</v>
      </c>
      <c r="CT20" s="35">
        <f>SUMIF('Resource Demand - Activity'!$FT:$FT,Example!$G20,'Resource Demand - Activity'!CO:CO)</f>
        <v>0</v>
      </c>
      <c r="CU20" s="35">
        <f>SUMIF('Resource Demand - Activity'!$FT:$FT,Example!$G20,'Resource Demand - Activity'!CP:CP)</f>
        <v>0</v>
      </c>
      <c r="CV20" s="35">
        <f>SUMIF('Resource Demand - Activity'!$FT:$FT,Example!$G20,'Resource Demand - Activity'!CQ:CQ)</f>
        <v>0</v>
      </c>
      <c r="CW20" s="35">
        <f>SUMIF('Resource Demand - Activity'!$FT:$FT,Example!$G20,'Resource Demand - Activity'!CR:CR)</f>
        <v>0</v>
      </c>
      <c r="CX20" s="35">
        <f>SUMIF('Resource Demand - Activity'!$FT:$FT,Example!$G20,'Resource Demand - Activity'!CS:CS)</f>
        <v>0</v>
      </c>
      <c r="CY20" s="36"/>
      <c r="CZ20" s="35">
        <f>SUMIF('Resource Demand - Activity'!$FT:$FT,Example!$G20,'Resource Demand - Activity'!CU:CU)</f>
        <v>0</v>
      </c>
      <c r="DA20" s="35">
        <f>SUMIF('Resource Demand - Activity'!$FT:$FT,Example!$G20,'Resource Demand - Activity'!CV:CV)</f>
        <v>0</v>
      </c>
      <c r="DB20" s="35">
        <f>SUMIF('Resource Demand - Activity'!$FT:$FT,Example!$G20,'Resource Demand - Activity'!CW:CW)</f>
        <v>0</v>
      </c>
      <c r="DC20" s="35">
        <f>SUMIF('Resource Demand - Activity'!$FT:$FT,Example!$G20,'Resource Demand - Activity'!CX:CX)</f>
        <v>0</v>
      </c>
      <c r="DD20" s="35">
        <f>SUMIF('Resource Demand - Activity'!$FT:$FT,Example!$G20,'Resource Demand - Activity'!CY:CY)</f>
        <v>0</v>
      </c>
      <c r="DE20" s="36"/>
      <c r="DF20" s="36"/>
      <c r="DG20" s="35">
        <f>SUMIF('Resource Demand - Activity'!$FT:$FT,Example!$G20,'Resource Demand - Activity'!DB:DB)</f>
        <v>0</v>
      </c>
      <c r="DH20" s="35">
        <f>SUMIF('Resource Demand - Activity'!$FT:$FT,Example!$G20,'Resource Demand - Activity'!DC:DC)</f>
        <v>0</v>
      </c>
      <c r="DI20" s="35">
        <f>SUMIF('Resource Demand - Activity'!$FT:$FT,Example!$G20,'Resource Demand - Activity'!DD:DD)</f>
        <v>0</v>
      </c>
      <c r="DJ20" s="35">
        <f>SUMIF('Resource Demand - Activity'!$FT:$FT,Example!$G20,'Resource Demand - Activity'!DE:DE)</f>
        <v>0</v>
      </c>
      <c r="DK20" s="35">
        <f>SUMIF('Resource Demand - Activity'!$FT:$FT,Example!$G20,'Resource Demand - Activity'!DF:DF)</f>
        <v>0</v>
      </c>
      <c r="DL20" s="35">
        <f>SUMIF('Resource Demand - Activity'!$FT:$FT,Example!$G20,'Resource Demand - Activity'!DG:DG)</f>
        <v>0</v>
      </c>
      <c r="DM20" s="35">
        <f>SUMIF('Resource Demand - Activity'!$FT:$FT,Example!$G20,'Resource Demand - Activity'!DH:DH)</f>
        <v>0</v>
      </c>
      <c r="DN20" s="35">
        <f>SUMIF('Resource Demand - Activity'!$FT:$FT,Example!$G20,'Resource Demand - Activity'!DI:DI)</f>
        <v>0</v>
      </c>
      <c r="DO20" s="35">
        <f>SUMIF('Resource Demand - Activity'!$FT:$FT,Example!$G20,'Resource Demand - Activity'!DJ:DJ)</f>
        <v>0</v>
      </c>
      <c r="DP20" s="35">
        <f>SUMIF('Resource Demand - Activity'!$FT:$FT,Example!$G20,'Resource Demand - Activity'!DK:DK)</f>
        <v>0</v>
      </c>
      <c r="DQ20" s="35">
        <f>SUMIF('Resource Demand - Activity'!$FT:$FT,Example!$G20,'Resource Demand - Activity'!DL:DL)</f>
        <v>0</v>
      </c>
      <c r="DR20" s="35">
        <f>SUMIF('Resource Demand - Activity'!$FT:$FT,Example!$G20,'Resource Demand - Activity'!DM:DM)</f>
        <v>0</v>
      </c>
      <c r="DS20" s="35">
        <f>SUMIF('Resource Demand - Activity'!$FT:$FT,Example!$G20,'Resource Demand - Activity'!DN:DN)</f>
        <v>0</v>
      </c>
      <c r="DT20" s="35">
        <f>SUMIF('Resource Demand - Activity'!$FT:$FT,Example!$G20,'Resource Demand - Activity'!DO:DO)</f>
        <v>0</v>
      </c>
      <c r="DU20" s="35">
        <f>SUMIF('Resource Demand - Activity'!$FT:$FT,Example!$G20,'Resource Demand - Activity'!DP:DP)</f>
        <v>0</v>
      </c>
      <c r="DV20" s="35">
        <f>SUMIF('Resource Demand - Activity'!$FT:$FT,Example!$G20,'Resource Demand - Activity'!DQ:DQ)</f>
        <v>0</v>
      </c>
      <c r="DW20" s="35">
        <f>SUMIF('Resource Demand - Activity'!$FT:$FT,Example!$G20,'Resource Demand - Activity'!DR:DR)</f>
        <v>0</v>
      </c>
      <c r="DX20" s="35">
        <f>SUMIF('Resource Demand - Activity'!$FT:$FT,Example!$G20,'Resource Demand - Activity'!DS:DS)</f>
        <v>0</v>
      </c>
      <c r="DY20" s="35">
        <f>SUMIF('Resource Demand - Activity'!$FT:$FT,Example!$G20,'Resource Demand - Activity'!DT:DT)</f>
        <v>0</v>
      </c>
      <c r="DZ20" s="35">
        <f>SUMIF('Resource Demand - Activity'!$FT:$FT,Example!$G20,'Resource Demand - Activity'!DU:DU)</f>
        <v>0</v>
      </c>
      <c r="EA20" s="35">
        <f>SUMIF('Resource Demand - Activity'!$FT:$FT,Example!$G20,'Resource Demand - Activity'!DV:DV)</f>
        <v>0</v>
      </c>
      <c r="EB20" s="35">
        <f>SUMIF('Resource Demand - Activity'!$FT:$FT,Example!$G20,'Resource Demand - Activity'!DW:DW)</f>
        <v>0</v>
      </c>
      <c r="EC20" s="35">
        <f>SUMIF('Resource Demand - Activity'!$FT:$FT,Example!$G20,'Resource Demand - Activity'!DX:DX)</f>
        <v>0</v>
      </c>
      <c r="ED20" s="35">
        <f>SUMIF('Resource Demand - Activity'!$FT:$FT,Example!$G20,'Resource Demand - Activity'!DY:DY)</f>
        <v>0</v>
      </c>
      <c r="EE20" s="36"/>
      <c r="EF20" s="35">
        <f>SUMIF('Resource Demand - Activity'!$FT:$FT,Example!$G20,'Resource Demand - Activity'!EA:EA)</f>
        <v>0</v>
      </c>
      <c r="EG20" s="35">
        <f>SUMIF('Resource Demand - Activity'!$FT:$FT,Example!$G20,'Resource Demand - Activity'!EB:EB)</f>
        <v>0</v>
      </c>
      <c r="EH20" s="35">
        <f>SUMIF('Resource Demand - Activity'!$FT:$FT,Example!$G20,'Resource Demand - Activity'!EC:EC)</f>
        <v>0</v>
      </c>
      <c r="EI20" s="35">
        <f>SUMIF('Resource Demand - Activity'!$FT:$FT,Example!$G20,'Resource Demand - Activity'!ED:ED)</f>
        <v>0</v>
      </c>
      <c r="EJ20" s="35">
        <f>SUMIF('Resource Demand - Activity'!$FT:$FT,Example!$G20,'Resource Demand - Activity'!EE:EE)</f>
        <v>0</v>
      </c>
      <c r="EK20" s="35">
        <f>SUMIF('Resource Demand - Activity'!$FT:$FT,Example!$G20,'Resource Demand - Activity'!EF:EF)</f>
        <v>0</v>
      </c>
      <c r="EL20" s="35">
        <f>SUMIF('Resource Demand - Activity'!$FT:$FT,Example!$G20,'Resource Demand - Activity'!EG:EG)</f>
        <v>0</v>
      </c>
      <c r="EM20" s="35">
        <f>SUMIF('Resource Demand - Activity'!$FT:$FT,Example!$G20,'Resource Demand - Activity'!EH:EH)</f>
        <v>0</v>
      </c>
      <c r="EN20" s="35">
        <f>SUMIF('Resource Demand - Activity'!$FT:$FT,Example!$G20,'Resource Demand - Activity'!EI:EI)</f>
        <v>0</v>
      </c>
      <c r="EO20" s="35">
        <f>SUMIF('Resource Demand - Activity'!$FT:$FT,Example!$G20,'Resource Demand - Activity'!EJ:EJ)</f>
        <v>0</v>
      </c>
      <c r="EP20" s="35">
        <f>SUMIF('Resource Demand - Activity'!$FT:$FT,Example!$G20,'Resource Demand - Activity'!EK:EK)</f>
        <v>0</v>
      </c>
      <c r="EQ20" s="35">
        <f>SUMIF('Resource Demand - Activity'!$FT:$FT,Example!$G20,'Resource Demand - Activity'!EL:EL)</f>
        <v>0</v>
      </c>
      <c r="ER20" s="35">
        <f>SUMIF('Resource Demand - Activity'!$FT:$FT,Example!$G20,'Resource Demand - Activity'!EM:EM)</f>
        <v>0</v>
      </c>
      <c r="ES20" s="35">
        <f>SUMIF('Resource Demand - Activity'!$FT:$FT,Example!$G20,'Resource Demand - Activity'!EN:EN)</f>
        <v>0</v>
      </c>
      <c r="ET20" s="35">
        <f>SUMIF('Resource Demand - Activity'!$FT:$FT,Example!$G20,'Resource Demand - Activity'!EO:EO)</f>
        <v>0</v>
      </c>
      <c r="EU20" s="35">
        <f>SUMIF('Resource Demand - Activity'!$FT:$FT,Example!$G20,'Resource Demand - Activity'!EP:EP)</f>
        <v>0</v>
      </c>
      <c r="EV20" s="35">
        <f>SUMIF('Resource Demand - Activity'!$FT:$FT,Example!$G20,'Resource Demand - Activity'!EQ:EQ)</f>
        <v>0</v>
      </c>
      <c r="EW20" s="35">
        <f>SUMIF('Resource Demand - Activity'!$FT:$FT,Example!$G20,'Resource Demand - Activity'!ER:ER)</f>
        <v>0</v>
      </c>
      <c r="EX20" s="35">
        <f>SUMIF('Resource Demand - Activity'!$FT:$FT,Example!$G20,'Resource Demand - Activity'!ES:ES)</f>
        <v>0</v>
      </c>
      <c r="EY20" s="35">
        <f>SUMIF('Resource Demand - Activity'!$FT:$FT,Example!$G20,'Resource Demand - Activity'!ET:ET)</f>
        <v>0</v>
      </c>
      <c r="EZ20" s="35">
        <f>SUMIF('Resource Demand - Activity'!$FT:$FT,Example!$G20,'Resource Demand - Activity'!EU:EU)</f>
        <v>0</v>
      </c>
      <c r="FA20" s="35">
        <f>SUMIF('Resource Demand - Activity'!$FT:$FT,Example!$G20,'Resource Demand - Activity'!EV:EV)</f>
        <v>0</v>
      </c>
      <c r="FB20" s="35">
        <f>SUMIF('Resource Demand - Activity'!$FT:$FT,Example!$G20,'Resource Demand - Activity'!EW:EW)</f>
        <v>0</v>
      </c>
      <c r="FC20" s="35">
        <f>SUMIF('Resource Demand - Activity'!$FT:$FT,Example!$G20,'Resource Demand - Activity'!EX:EX)</f>
        <v>0</v>
      </c>
      <c r="FD20" s="36"/>
      <c r="FE20" s="35">
        <f>SUMIF('Resource Demand - Activity'!$FT:$FT,Example!$G20,'Resource Demand - Activity'!EZ:EZ)</f>
        <v>0</v>
      </c>
      <c r="FF20" s="35">
        <f>SUMIF('Resource Demand - Activity'!$FT:$FT,Example!$G20,'Resource Demand - Activity'!FA:FA)</f>
        <v>0</v>
      </c>
      <c r="FG20" s="35">
        <f>SUMIF('Resource Demand - Activity'!$FT:$FT,Example!$G20,'Resource Demand - Activity'!FB:FB)</f>
        <v>0</v>
      </c>
      <c r="FH20" s="35">
        <f>SUMIF('Resource Demand - Activity'!$FT:$FT,Example!$G20,'Resource Demand - Activity'!FC:FC)</f>
        <v>0</v>
      </c>
      <c r="FI20" s="35">
        <f>SUMIF('Resource Demand - Activity'!$FT:$FT,Example!$G20,'Resource Demand - Activity'!FD:FD)</f>
        <v>0</v>
      </c>
      <c r="FJ20" s="35">
        <f>SUMIF('Resource Demand - Activity'!$FT:$FT,Example!$G20,'Resource Demand - Activity'!FE:FE)</f>
        <v>0</v>
      </c>
      <c r="FK20" s="35">
        <f>SUMIF('Resource Demand - Activity'!$FT:$FT,Example!$G20,'Resource Demand - Activity'!FF:FF)</f>
        <v>0</v>
      </c>
      <c r="FL20" s="35">
        <f>SUMIF('Resource Demand - Activity'!$FT:$FT,Example!$G20,'Resource Demand - Activity'!FG:FG)</f>
        <v>0</v>
      </c>
      <c r="FM20" s="35">
        <f>SUMIF('Resource Demand - Activity'!$FT:$FT,Example!$G20,'Resource Demand - Activity'!FH:FH)</f>
        <v>1</v>
      </c>
      <c r="FN20" s="35">
        <f>SUMIF('Resource Demand - Activity'!$FT:$FT,Example!$G20,'Resource Demand - Activity'!FI:FI)</f>
        <v>1</v>
      </c>
      <c r="FO20" s="35">
        <f>SUMIF('Resource Demand - Activity'!$FT:$FT,Example!$G20,'Resource Demand - Activity'!FJ:FJ)</f>
        <v>1</v>
      </c>
      <c r="FP20" s="35">
        <f>SUMIF('Resource Demand - Activity'!$FT:$FT,Example!$G20,'Resource Demand - Activity'!FK:FK)</f>
        <v>1</v>
      </c>
      <c r="FQ20" s="35">
        <f>SUMIF('Resource Demand - Activity'!$FT:$FT,Example!$G20,'Resource Demand - Activity'!FL:FL)</f>
        <v>1</v>
      </c>
      <c r="FR20" s="35">
        <f>SUMIF('Resource Demand - Activity'!$FT:$FT,Example!$G20,'Resource Demand - Activity'!FM:FM)</f>
        <v>1</v>
      </c>
      <c r="FS20" s="35">
        <f>SUMIF('Resource Demand - Activity'!$FT:$FT,Example!$G20,'Resource Demand - Activity'!FN:FN)</f>
        <v>1</v>
      </c>
      <c r="FT20" s="35">
        <f>SUMIF('Resource Demand - Activity'!$FT:$FT,Example!$G20,'Resource Demand - Activity'!FO:FO)</f>
        <v>1</v>
      </c>
      <c r="FU20" s="35">
        <f>SUMIF('Resource Demand - Activity'!$FT:$FT,Example!$G20,'Resource Demand - Activity'!FP:FP)</f>
        <v>1</v>
      </c>
      <c r="FV20" s="52">
        <f>SUMIF('Resource Demand - Activity'!$FT:$FT,Example!$G20,'Resource Demand - Activity'!FQ:FQ)</f>
        <v>1</v>
      </c>
    </row>
    <row r="21" spans="2:178" s="58" customFormat="1" ht="12" customHeight="1">
      <c r="C21" s="142">
        <f>C16*C20</f>
        <v>20664</v>
      </c>
      <c r="D21" s="142">
        <f>D16*D20</f>
        <v>78966</v>
      </c>
      <c r="E21" s="166"/>
      <c r="G21" s="64" t="str">
        <f t="shared" si="3"/>
        <v>10. SAP 10.1 SAP Go Live - FSCP ReadinessGlenn Kirk</v>
      </c>
      <c r="H21" s="102" t="s">
        <v>174</v>
      </c>
      <c r="I21" s="59" t="str">
        <f>INDEX('Resource Demand - Activity'!C:C,MATCH(Example!G21,'Resource Demand - Activity'!FT:FT,0))</f>
        <v>16 days</v>
      </c>
      <c r="J21" s="51">
        <f>SUMIF('Resource Demand - Activity'!$FT:$FT,Example!$G21,'Resource Demand - Activity'!E:E)</f>
        <v>0.9</v>
      </c>
      <c r="K21" s="35">
        <f>SUMIF('Resource Demand - Activity'!$FT:$FT,Example!$G21,'Resource Demand - Activity'!F:F)</f>
        <v>0.9</v>
      </c>
      <c r="L21" s="35">
        <f>SUMIF('Resource Demand - Activity'!$FT:$FT,Example!$G21,'Resource Demand - Activity'!G:G)</f>
        <v>0.9</v>
      </c>
      <c r="M21" s="35">
        <f>SUMIF('Resource Demand - Activity'!$FT:$FT,Example!$G21,'Resource Demand - Activity'!H:H)</f>
        <v>0.9</v>
      </c>
      <c r="N21" s="35">
        <f>SUMIF('Resource Demand - Activity'!$FT:$FT,Example!$G21,'Resource Demand - Activity'!I:I)</f>
        <v>0.9</v>
      </c>
      <c r="O21" s="35">
        <f>SUMIF('Resource Demand - Activity'!$FT:$FT,Example!$G21,'Resource Demand - Activity'!J:J)</f>
        <v>0.5</v>
      </c>
      <c r="P21" s="35">
        <f>SUMIF('Resource Demand - Activity'!$FT:$FT,Example!$G21,'Resource Demand - Activity'!K:K)</f>
        <v>0.5</v>
      </c>
      <c r="Q21" s="35">
        <f>SUMIF('Resource Demand - Activity'!$FT:$FT,Example!$G21,'Resource Demand - Activity'!L:L)</f>
        <v>0.5</v>
      </c>
      <c r="R21" s="35">
        <f>SUMIF('Resource Demand - Activity'!$FT:$FT,Example!$G21,'Resource Demand - Activity'!M:M)</f>
        <v>0.5</v>
      </c>
      <c r="S21" s="35">
        <f>SUMIF('Resource Demand - Activity'!$FT:$FT,Example!$G21,'Resource Demand - Activity'!N:N)</f>
        <v>0.5</v>
      </c>
      <c r="T21" s="35">
        <f>SUMIF('Resource Demand - Activity'!$FT:$FT,Example!$G21,'Resource Demand - Activity'!O:O)</f>
        <v>0.5</v>
      </c>
      <c r="U21" s="35">
        <f>SUMIF('Resource Demand - Activity'!$FT:$FT,Example!$G21,'Resource Demand - Activity'!P:P)</f>
        <v>0.75</v>
      </c>
      <c r="V21" s="35">
        <f>SUMIF('Resource Demand - Activity'!$FT:$FT,Example!$G21,'Resource Demand - Activity'!Q:Q)</f>
        <v>0</v>
      </c>
      <c r="W21" s="35">
        <f>SUMIF('Resource Demand - Activity'!$FT:$FT,Example!$G21,'Resource Demand - Activity'!R:R)</f>
        <v>0</v>
      </c>
      <c r="X21" s="35">
        <f>SUMIF('Resource Demand - Activity'!$FT:$FT,Example!$G21,'Resource Demand - Activity'!S:S)</f>
        <v>0.75</v>
      </c>
      <c r="Y21" s="35">
        <f>SUMIF('Resource Demand - Activity'!$FT:$FT,Example!$G21,'Resource Demand - Activity'!T:T)</f>
        <v>0</v>
      </c>
      <c r="Z21" s="35">
        <f>SUMIF('Resource Demand - Activity'!$FT:$FT,Example!$G21,'Resource Demand - Activity'!U:U)</f>
        <v>0.5</v>
      </c>
      <c r="AA21" s="35">
        <f>SUMIF('Resource Demand - Activity'!$FT:$FT,Example!$G21,'Resource Demand - Activity'!V:V)</f>
        <v>0.5</v>
      </c>
      <c r="AB21" s="35">
        <f>SUMIF('Resource Demand - Activity'!$FT:$FT,Example!$G21,'Resource Demand - Activity'!W:W)</f>
        <v>0.5</v>
      </c>
      <c r="AC21" s="35">
        <f>SUMIF('Resource Demand - Activity'!$FT:$FT,Example!$G21,'Resource Demand - Activity'!X:X)</f>
        <v>0.5</v>
      </c>
      <c r="AD21" s="35">
        <f>SUMIF('Resource Demand - Activity'!$FT:$FT,Example!$G21,'Resource Demand - Activity'!Y:Y)</f>
        <v>0.4</v>
      </c>
      <c r="AE21" s="35">
        <f>SUMIF('Resource Demand - Activity'!$FT:$FT,Example!$G21,'Resource Demand - Activity'!Z:Z)</f>
        <v>0.35</v>
      </c>
      <c r="AF21" s="35">
        <f>SUMIF('Resource Demand - Activity'!$FT:$FT,Example!$G21,'Resource Demand - Activity'!AA:AA)</f>
        <v>0.65</v>
      </c>
      <c r="AG21" s="35">
        <f>SUMIF('Resource Demand - Activity'!$FT:$FT,Example!$G21,'Resource Demand - Activity'!AB:AB)</f>
        <v>0.65</v>
      </c>
      <c r="AH21" s="35">
        <f>SUMIF('Resource Demand - Activity'!$FT:$FT,Example!$G21,'Resource Demand - Activity'!AC:AC)</f>
        <v>0.45</v>
      </c>
      <c r="AI21" s="35">
        <f>SUMIF('Resource Demand - Activity'!$FT:$FT,Example!$G21,'Resource Demand - Activity'!AD:AD)</f>
        <v>0.7</v>
      </c>
      <c r="AJ21" s="35">
        <f>SUMIF('Resource Demand - Activity'!$FT:$FT,Example!$G21,'Resource Demand - Activity'!AE:AE)</f>
        <v>0.25</v>
      </c>
      <c r="AK21" s="35">
        <f>SUMIF('Resource Demand - Activity'!$FT:$FT,Example!$G21,'Resource Demand - Activity'!AF:AF)</f>
        <v>0.45</v>
      </c>
      <c r="AL21" s="35">
        <f>SUMIF('Resource Demand - Activity'!$FT:$FT,Example!$G21,'Resource Demand - Activity'!AG:AG)</f>
        <v>0.55000000000000004</v>
      </c>
      <c r="AM21" s="35">
        <f>SUMIF('Resource Demand - Activity'!$FT:$FT,Example!$G21,'Resource Demand - Activity'!AH:AH)</f>
        <v>0.5</v>
      </c>
      <c r="AN21" s="35">
        <f>SUMIF('Resource Demand - Activity'!$FT:$FT,Example!$G21,'Resource Demand - Activity'!AI:AI)</f>
        <v>0</v>
      </c>
      <c r="AO21" s="35">
        <f>SUMIF('Resource Demand - Activity'!$FT:$FT,Example!$G21,'Resource Demand - Activity'!AJ:AJ)</f>
        <v>0</v>
      </c>
      <c r="AP21" s="35">
        <f>SUMIF('Resource Demand - Activity'!$FT:$FT,Example!$G21,'Resource Demand - Activity'!AK:AK)</f>
        <v>0</v>
      </c>
      <c r="AQ21" s="36"/>
      <c r="AR21" s="36"/>
      <c r="AS21" s="36"/>
      <c r="AT21" s="36"/>
      <c r="AU21" s="36"/>
      <c r="AV21" s="36"/>
      <c r="AW21" s="36"/>
      <c r="AX21" s="35">
        <f>SUMIF('Resource Demand - Activity'!$FT:$FT,Example!$G21,'Resource Demand - Activity'!AS:AS)</f>
        <v>0</v>
      </c>
      <c r="AY21" s="35">
        <f>SUMIF('Resource Demand - Activity'!$FT:$FT,Example!$G21,'Resource Demand - Activity'!AT:AT)</f>
        <v>0</v>
      </c>
      <c r="AZ21" s="35">
        <f>SUMIF('Resource Demand - Activity'!$FT:$FT,Example!$G21,'Resource Demand - Activity'!AU:AU)</f>
        <v>0</v>
      </c>
      <c r="BA21" s="35">
        <f>SUMIF('Resource Demand - Activity'!$FT:$FT,Example!$G21,'Resource Demand - Activity'!AV:AV)</f>
        <v>0</v>
      </c>
      <c r="BB21" s="35">
        <f>SUMIF('Resource Demand - Activity'!$FT:$FT,Example!$G21,'Resource Demand - Activity'!AW:AW)</f>
        <v>0</v>
      </c>
      <c r="BC21" s="35">
        <f>SUMIF('Resource Demand - Activity'!$FT:$FT,Example!$G21,'Resource Demand - Activity'!AX:AX)</f>
        <v>0</v>
      </c>
      <c r="BD21" s="35">
        <f>SUMIF('Resource Demand - Activity'!$FT:$FT,Example!$G21,'Resource Demand - Activity'!AY:AY)</f>
        <v>0</v>
      </c>
      <c r="BE21" s="35">
        <f>SUMIF('Resource Demand - Activity'!$FT:$FT,Example!$G21,'Resource Demand - Activity'!AZ:AZ)</f>
        <v>0</v>
      </c>
      <c r="BF21" s="35">
        <f>SUMIF('Resource Demand - Activity'!$FT:$FT,Example!$G21,'Resource Demand - Activity'!BA:BA)</f>
        <v>0</v>
      </c>
      <c r="BG21" s="35">
        <f>SUMIF('Resource Demand - Activity'!$FT:$FT,Example!$G21,'Resource Demand - Activity'!BB:BB)</f>
        <v>0</v>
      </c>
      <c r="BH21" s="35">
        <f>SUMIF('Resource Demand - Activity'!$FT:$FT,Example!$G21,'Resource Demand - Activity'!BC:BC)</f>
        <v>0</v>
      </c>
      <c r="BI21" s="35">
        <f>SUMIF('Resource Demand - Activity'!$FT:$FT,Example!$G21,'Resource Demand - Activity'!BD:BD)</f>
        <v>0</v>
      </c>
      <c r="BJ21" s="35">
        <f>SUMIF('Resource Demand - Activity'!$FT:$FT,Example!$G21,'Resource Demand - Activity'!BE:BE)</f>
        <v>0</v>
      </c>
      <c r="BK21" s="35">
        <f>SUMIF('Resource Demand - Activity'!$FT:$FT,Example!$G21,'Resource Demand - Activity'!BF:BF)</f>
        <v>0</v>
      </c>
      <c r="BL21" s="35">
        <f>SUMIF('Resource Demand - Activity'!$FT:$FT,Example!$G21,'Resource Demand - Activity'!BG:BG)</f>
        <v>0</v>
      </c>
      <c r="BM21" s="35">
        <f>SUMIF('Resource Demand - Activity'!$FT:$FT,Example!$G21,'Resource Demand - Activity'!BH:BH)</f>
        <v>0</v>
      </c>
      <c r="BN21" s="35">
        <f>SUMIF('Resource Demand - Activity'!$FT:$FT,Example!$G21,'Resource Demand - Activity'!BI:BI)</f>
        <v>0</v>
      </c>
      <c r="BO21" s="35">
        <f>SUMIF('Resource Demand - Activity'!$FT:$FT,Example!$G21,'Resource Demand - Activity'!BJ:BJ)</f>
        <v>0</v>
      </c>
      <c r="BP21" s="35">
        <f>SUMIF('Resource Demand - Activity'!$FT:$FT,Example!$G21,'Resource Demand - Activity'!BK:BK)</f>
        <v>0</v>
      </c>
      <c r="BQ21" s="35">
        <f>SUMIF('Resource Demand - Activity'!$FT:$FT,Example!$G21,'Resource Demand - Activity'!BL:BL)</f>
        <v>0</v>
      </c>
      <c r="BR21" s="35">
        <f>SUMIF('Resource Demand - Activity'!$FT:$FT,Example!$G21,'Resource Demand - Activity'!BM:BM)</f>
        <v>0</v>
      </c>
      <c r="BS21" s="35">
        <f>SUMIF('Resource Demand - Activity'!$FT:$FT,Example!$G21,'Resource Demand - Activity'!BN:BN)</f>
        <v>0</v>
      </c>
      <c r="BT21" s="35">
        <f>SUMIF('Resource Demand - Activity'!$FT:$FT,Example!$G21,'Resource Demand - Activity'!BO:BO)</f>
        <v>0</v>
      </c>
      <c r="BU21" s="35">
        <f>SUMIF('Resource Demand - Activity'!$FT:$FT,Example!$G21,'Resource Demand - Activity'!BP:BP)</f>
        <v>0</v>
      </c>
      <c r="BV21" s="35">
        <f>SUMIF('Resource Demand - Activity'!$FT:$FT,Example!$G21,'Resource Demand - Activity'!BQ:BQ)</f>
        <v>0</v>
      </c>
      <c r="BW21" s="35">
        <f>SUMIF('Resource Demand - Activity'!$FT:$FT,Example!$G21,'Resource Demand - Activity'!BR:BR)</f>
        <v>0</v>
      </c>
      <c r="BX21" s="35">
        <f>SUMIF('Resource Demand - Activity'!$FT:$FT,Example!$G21,'Resource Demand - Activity'!BS:BS)</f>
        <v>0</v>
      </c>
      <c r="BY21" s="35">
        <f>SUMIF('Resource Demand - Activity'!$FT:$FT,Example!$G21,'Resource Demand - Activity'!BT:BT)</f>
        <v>0</v>
      </c>
      <c r="BZ21" s="35">
        <f>SUMIF('Resource Demand - Activity'!$FT:$FT,Example!$G21,'Resource Demand - Activity'!BU:BU)</f>
        <v>0</v>
      </c>
      <c r="CA21" s="35">
        <f>SUMIF('Resource Demand - Activity'!$FT:$FT,Example!$G21,'Resource Demand - Activity'!BV:BV)</f>
        <v>0</v>
      </c>
      <c r="CB21" s="35">
        <f>SUMIF('Resource Demand - Activity'!$FT:$FT,Example!$G21,'Resource Demand - Activity'!BW:BW)</f>
        <v>0</v>
      </c>
      <c r="CC21" s="35">
        <f>SUMIF('Resource Demand - Activity'!$FT:$FT,Example!$G21,'Resource Demand - Activity'!BX:BX)</f>
        <v>0</v>
      </c>
      <c r="CD21" s="35">
        <f>SUMIF('Resource Demand - Activity'!$FT:$FT,Example!$G21,'Resource Demand - Activity'!BY:BY)</f>
        <v>0</v>
      </c>
      <c r="CE21" s="35">
        <f>SUMIF('Resource Demand - Activity'!$FT:$FT,Example!$G21,'Resource Demand - Activity'!BZ:BZ)</f>
        <v>0</v>
      </c>
      <c r="CF21" s="35">
        <f>SUMIF('Resource Demand - Activity'!$FT:$FT,Example!$G21,'Resource Demand - Activity'!CA:CA)</f>
        <v>0</v>
      </c>
      <c r="CG21" s="35">
        <f>SUMIF('Resource Demand - Activity'!$FT:$FT,Example!$G21,'Resource Demand - Activity'!CB:CB)</f>
        <v>0</v>
      </c>
      <c r="CH21" s="35">
        <f>SUMIF('Resource Demand - Activity'!$FT:$FT,Example!$G21,'Resource Demand - Activity'!CC:CC)</f>
        <v>0</v>
      </c>
      <c r="CI21" s="35">
        <f>SUMIF('Resource Demand - Activity'!$FT:$FT,Example!$G21,'Resource Demand - Activity'!CD:CD)</f>
        <v>0</v>
      </c>
      <c r="CJ21" s="35">
        <f>SUMIF('Resource Demand - Activity'!$FT:$FT,Example!$G21,'Resource Demand - Activity'!CE:CE)</f>
        <v>0</v>
      </c>
      <c r="CK21" s="35">
        <f>SUMIF('Resource Demand - Activity'!$FT:$FT,Example!$G21,'Resource Demand - Activity'!CF:CF)</f>
        <v>0</v>
      </c>
      <c r="CL21" s="35">
        <f>SUMIF('Resource Demand - Activity'!$FT:$FT,Example!$G21,'Resource Demand - Activity'!CG:CG)</f>
        <v>0</v>
      </c>
      <c r="CM21" s="35">
        <f>SUMIF('Resource Demand - Activity'!$FT:$FT,Example!$G21,'Resource Demand - Activity'!CH:CH)</f>
        <v>0</v>
      </c>
      <c r="CN21" s="35">
        <f>SUMIF('Resource Demand - Activity'!$FT:$FT,Example!$G21,'Resource Demand - Activity'!CI:CI)</f>
        <v>0</v>
      </c>
      <c r="CO21" s="35">
        <f>SUMIF('Resource Demand - Activity'!$FT:$FT,Example!$G21,'Resource Demand - Activity'!CJ:CJ)</f>
        <v>0</v>
      </c>
      <c r="CP21" s="35">
        <f>SUMIF('Resource Demand - Activity'!$FT:$FT,Example!$G21,'Resource Demand - Activity'!CK:CK)</f>
        <v>0</v>
      </c>
      <c r="CQ21" s="35">
        <f>SUMIF('Resource Demand - Activity'!$FT:$FT,Example!$G21,'Resource Demand - Activity'!CL:CL)</f>
        <v>0</v>
      </c>
      <c r="CR21" s="35">
        <f>SUMIF('Resource Demand - Activity'!$FT:$FT,Example!$G21,'Resource Demand - Activity'!CM:CM)</f>
        <v>0</v>
      </c>
      <c r="CS21" s="35">
        <f>SUMIF('Resource Demand - Activity'!$FT:$FT,Example!$G21,'Resource Demand - Activity'!CN:CN)</f>
        <v>0</v>
      </c>
      <c r="CT21" s="35">
        <f>SUMIF('Resource Demand - Activity'!$FT:$FT,Example!$G21,'Resource Demand - Activity'!CO:CO)</f>
        <v>0</v>
      </c>
      <c r="CU21" s="35">
        <f>SUMIF('Resource Demand - Activity'!$FT:$FT,Example!$G21,'Resource Demand - Activity'!CP:CP)</f>
        <v>0</v>
      </c>
      <c r="CV21" s="35">
        <f>SUMIF('Resource Demand - Activity'!$FT:$FT,Example!$G21,'Resource Demand - Activity'!CQ:CQ)</f>
        <v>0</v>
      </c>
      <c r="CW21" s="35">
        <f>SUMIF('Resource Demand - Activity'!$FT:$FT,Example!$G21,'Resource Demand - Activity'!CR:CR)</f>
        <v>0</v>
      </c>
      <c r="CX21" s="35">
        <f>SUMIF('Resource Demand - Activity'!$FT:$FT,Example!$G21,'Resource Demand - Activity'!CS:CS)</f>
        <v>0</v>
      </c>
      <c r="CY21" s="36"/>
      <c r="CZ21" s="35">
        <f>SUMIF('Resource Demand - Activity'!$FT:$FT,Example!$G21,'Resource Demand - Activity'!CU:CU)</f>
        <v>0</v>
      </c>
      <c r="DA21" s="35">
        <f>SUMIF('Resource Demand - Activity'!$FT:$FT,Example!$G21,'Resource Demand - Activity'!CV:CV)</f>
        <v>0</v>
      </c>
      <c r="DB21" s="35">
        <f>SUMIF('Resource Demand - Activity'!$FT:$FT,Example!$G21,'Resource Demand - Activity'!CW:CW)</f>
        <v>0</v>
      </c>
      <c r="DC21" s="35">
        <f>SUMIF('Resource Demand - Activity'!$FT:$FT,Example!$G21,'Resource Demand - Activity'!CX:CX)</f>
        <v>0</v>
      </c>
      <c r="DD21" s="35">
        <f>SUMIF('Resource Demand - Activity'!$FT:$FT,Example!$G21,'Resource Demand - Activity'!CY:CY)</f>
        <v>0</v>
      </c>
      <c r="DE21" s="36"/>
      <c r="DF21" s="36"/>
      <c r="DG21" s="35">
        <f>SUMIF('Resource Demand - Activity'!$FT:$FT,Example!$G21,'Resource Demand - Activity'!DB:DB)</f>
        <v>0</v>
      </c>
      <c r="DH21" s="35">
        <f>SUMIF('Resource Demand - Activity'!$FT:$FT,Example!$G21,'Resource Demand - Activity'!DC:DC)</f>
        <v>0</v>
      </c>
      <c r="DI21" s="35">
        <f>SUMIF('Resource Demand - Activity'!$FT:$FT,Example!$G21,'Resource Demand - Activity'!DD:DD)</f>
        <v>0</v>
      </c>
      <c r="DJ21" s="35">
        <f>SUMIF('Resource Demand - Activity'!$FT:$FT,Example!$G21,'Resource Demand - Activity'!DE:DE)</f>
        <v>0</v>
      </c>
      <c r="DK21" s="35">
        <f>SUMIF('Resource Demand - Activity'!$FT:$FT,Example!$G21,'Resource Demand - Activity'!DF:DF)</f>
        <v>0</v>
      </c>
      <c r="DL21" s="35">
        <f>SUMIF('Resource Demand - Activity'!$FT:$FT,Example!$G21,'Resource Demand - Activity'!DG:DG)</f>
        <v>0</v>
      </c>
      <c r="DM21" s="35">
        <f>SUMIF('Resource Demand - Activity'!$FT:$FT,Example!$G21,'Resource Demand - Activity'!DH:DH)</f>
        <v>0</v>
      </c>
      <c r="DN21" s="35">
        <f>SUMIF('Resource Demand - Activity'!$FT:$FT,Example!$G21,'Resource Demand - Activity'!DI:DI)</f>
        <v>0</v>
      </c>
      <c r="DO21" s="35">
        <f>SUMIF('Resource Demand - Activity'!$FT:$FT,Example!$G21,'Resource Demand - Activity'!DJ:DJ)</f>
        <v>0</v>
      </c>
      <c r="DP21" s="35">
        <f>SUMIF('Resource Demand - Activity'!$FT:$FT,Example!$G21,'Resource Demand - Activity'!DK:DK)</f>
        <v>0</v>
      </c>
      <c r="DQ21" s="35">
        <f>SUMIF('Resource Demand - Activity'!$FT:$FT,Example!$G21,'Resource Demand - Activity'!DL:DL)</f>
        <v>0</v>
      </c>
      <c r="DR21" s="35">
        <f>SUMIF('Resource Demand - Activity'!$FT:$FT,Example!$G21,'Resource Demand - Activity'!DM:DM)</f>
        <v>0</v>
      </c>
      <c r="DS21" s="35">
        <f>SUMIF('Resource Demand - Activity'!$FT:$FT,Example!$G21,'Resource Demand - Activity'!DN:DN)</f>
        <v>0</v>
      </c>
      <c r="DT21" s="35">
        <f>SUMIF('Resource Demand - Activity'!$FT:$FT,Example!$G21,'Resource Demand - Activity'!DO:DO)</f>
        <v>0</v>
      </c>
      <c r="DU21" s="35">
        <f>SUMIF('Resource Demand - Activity'!$FT:$FT,Example!$G21,'Resource Demand - Activity'!DP:DP)</f>
        <v>0</v>
      </c>
      <c r="DV21" s="35">
        <f>SUMIF('Resource Demand - Activity'!$FT:$FT,Example!$G21,'Resource Demand - Activity'!DQ:DQ)</f>
        <v>0</v>
      </c>
      <c r="DW21" s="35">
        <f>SUMIF('Resource Demand - Activity'!$FT:$FT,Example!$G21,'Resource Demand - Activity'!DR:DR)</f>
        <v>0</v>
      </c>
      <c r="DX21" s="35">
        <f>SUMIF('Resource Demand - Activity'!$FT:$FT,Example!$G21,'Resource Demand - Activity'!DS:DS)</f>
        <v>0</v>
      </c>
      <c r="DY21" s="35">
        <f>SUMIF('Resource Demand - Activity'!$FT:$FT,Example!$G21,'Resource Demand - Activity'!DT:DT)</f>
        <v>0</v>
      </c>
      <c r="DZ21" s="35">
        <f>SUMIF('Resource Demand - Activity'!$FT:$FT,Example!$G21,'Resource Demand - Activity'!DU:DU)</f>
        <v>0</v>
      </c>
      <c r="EA21" s="35">
        <f>SUMIF('Resource Demand - Activity'!$FT:$FT,Example!$G21,'Resource Demand - Activity'!DV:DV)</f>
        <v>0</v>
      </c>
      <c r="EB21" s="35">
        <f>SUMIF('Resource Demand - Activity'!$FT:$FT,Example!$G21,'Resource Demand - Activity'!DW:DW)</f>
        <v>0</v>
      </c>
      <c r="EC21" s="35">
        <f>SUMIF('Resource Demand - Activity'!$FT:$FT,Example!$G21,'Resource Demand - Activity'!DX:DX)</f>
        <v>0</v>
      </c>
      <c r="ED21" s="35">
        <f>SUMIF('Resource Demand - Activity'!$FT:$FT,Example!$G21,'Resource Demand - Activity'!DY:DY)</f>
        <v>0</v>
      </c>
      <c r="EE21" s="36"/>
      <c r="EF21" s="35">
        <f>SUMIF('Resource Demand - Activity'!$FT:$FT,Example!$G21,'Resource Demand - Activity'!EA:EA)</f>
        <v>0</v>
      </c>
      <c r="EG21" s="35">
        <f>SUMIF('Resource Demand - Activity'!$FT:$FT,Example!$G21,'Resource Demand - Activity'!EB:EB)</f>
        <v>0</v>
      </c>
      <c r="EH21" s="35">
        <f>SUMIF('Resource Demand - Activity'!$FT:$FT,Example!$G21,'Resource Demand - Activity'!EC:EC)</f>
        <v>0</v>
      </c>
      <c r="EI21" s="35">
        <f>SUMIF('Resource Demand - Activity'!$FT:$FT,Example!$G21,'Resource Demand - Activity'!ED:ED)</f>
        <v>0</v>
      </c>
      <c r="EJ21" s="35">
        <f>SUMIF('Resource Demand - Activity'!$FT:$FT,Example!$G21,'Resource Demand - Activity'!EE:EE)</f>
        <v>0</v>
      </c>
      <c r="EK21" s="35">
        <f>SUMIF('Resource Demand - Activity'!$FT:$FT,Example!$G21,'Resource Demand - Activity'!EF:EF)</f>
        <v>0</v>
      </c>
      <c r="EL21" s="35">
        <f>SUMIF('Resource Demand - Activity'!$FT:$FT,Example!$G21,'Resource Demand - Activity'!EG:EG)</f>
        <v>0</v>
      </c>
      <c r="EM21" s="35">
        <f>SUMIF('Resource Demand - Activity'!$FT:$FT,Example!$G21,'Resource Demand - Activity'!EH:EH)</f>
        <v>0</v>
      </c>
      <c r="EN21" s="35">
        <f>SUMIF('Resource Demand - Activity'!$FT:$FT,Example!$G21,'Resource Demand - Activity'!EI:EI)</f>
        <v>0</v>
      </c>
      <c r="EO21" s="35">
        <f>SUMIF('Resource Demand - Activity'!$FT:$FT,Example!$G21,'Resource Demand - Activity'!EJ:EJ)</f>
        <v>0</v>
      </c>
      <c r="EP21" s="35">
        <f>SUMIF('Resource Demand - Activity'!$FT:$FT,Example!$G21,'Resource Demand - Activity'!EK:EK)</f>
        <v>0</v>
      </c>
      <c r="EQ21" s="35">
        <f>SUMIF('Resource Demand - Activity'!$FT:$FT,Example!$G21,'Resource Demand - Activity'!EL:EL)</f>
        <v>0</v>
      </c>
      <c r="ER21" s="35">
        <f>SUMIF('Resource Demand - Activity'!$FT:$FT,Example!$G21,'Resource Demand - Activity'!EM:EM)</f>
        <v>0</v>
      </c>
      <c r="ES21" s="35">
        <f>SUMIF('Resource Demand - Activity'!$FT:$FT,Example!$G21,'Resource Demand - Activity'!EN:EN)</f>
        <v>0</v>
      </c>
      <c r="ET21" s="35">
        <f>SUMIF('Resource Demand - Activity'!$FT:$FT,Example!$G21,'Resource Demand - Activity'!EO:EO)</f>
        <v>0</v>
      </c>
      <c r="EU21" s="35">
        <f>SUMIF('Resource Demand - Activity'!$FT:$FT,Example!$G21,'Resource Demand - Activity'!EP:EP)</f>
        <v>0</v>
      </c>
      <c r="EV21" s="35">
        <f>SUMIF('Resource Demand - Activity'!$FT:$FT,Example!$G21,'Resource Demand - Activity'!EQ:EQ)</f>
        <v>0</v>
      </c>
      <c r="EW21" s="35">
        <f>SUMIF('Resource Demand - Activity'!$FT:$FT,Example!$G21,'Resource Demand - Activity'!ER:ER)</f>
        <v>0</v>
      </c>
      <c r="EX21" s="35">
        <f>SUMIF('Resource Demand - Activity'!$FT:$FT,Example!$G21,'Resource Demand - Activity'!ES:ES)</f>
        <v>0</v>
      </c>
      <c r="EY21" s="35">
        <f>SUMIF('Resource Demand - Activity'!$FT:$FT,Example!$G21,'Resource Demand - Activity'!ET:ET)</f>
        <v>0</v>
      </c>
      <c r="EZ21" s="35">
        <f>SUMIF('Resource Demand - Activity'!$FT:$FT,Example!$G21,'Resource Demand - Activity'!EU:EU)</f>
        <v>0</v>
      </c>
      <c r="FA21" s="35">
        <f>SUMIF('Resource Demand - Activity'!$FT:$FT,Example!$G21,'Resource Demand - Activity'!EV:EV)</f>
        <v>0</v>
      </c>
      <c r="FB21" s="35">
        <f>SUMIF('Resource Demand - Activity'!$FT:$FT,Example!$G21,'Resource Demand - Activity'!EW:EW)</f>
        <v>0</v>
      </c>
      <c r="FC21" s="35">
        <f>SUMIF('Resource Demand - Activity'!$FT:$FT,Example!$G21,'Resource Demand - Activity'!EX:EX)</f>
        <v>0</v>
      </c>
      <c r="FD21" s="36"/>
      <c r="FE21" s="35">
        <f>SUMIF('Resource Demand - Activity'!$FT:$FT,Example!$G21,'Resource Demand - Activity'!EZ:EZ)</f>
        <v>0</v>
      </c>
      <c r="FF21" s="35">
        <f>SUMIF('Resource Demand - Activity'!$FT:$FT,Example!$G21,'Resource Demand - Activity'!FA:FA)</f>
        <v>0</v>
      </c>
      <c r="FG21" s="35">
        <f>SUMIF('Resource Demand - Activity'!$FT:$FT,Example!$G21,'Resource Demand - Activity'!FB:FB)</f>
        <v>0</v>
      </c>
      <c r="FH21" s="35">
        <f>SUMIF('Resource Demand - Activity'!$FT:$FT,Example!$G21,'Resource Demand - Activity'!FC:FC)</f>
        <v>0</v>
      </c>
      <c r="FI21" s="35">
        <f>SUMIF('Resource Demand - Activity'!$FT:$FT,Example!$G21,'Resource Demand - Activity'!FD:FD)</f>
        <v>0</v>
      </c>
      <c r="FJ21" s="35">
        <f>SUMIF('Resource Demand - Activity'!$FT:$FT,Example!$G21,'Resource Demand - Activity'!FE:FE)</f>
        <v>0</v>
      </c>
      <c r="FK21" s="35">
        <f>SUMIF('Resource Demand - Activity'!$FT:$FT,Example!$G21,'Resource Demand - Activity'!FF:FF)</f>
        <v>0</v>
      </c>
      <c r="FL21" s="35">
        <f>SUMIF('Resource Demand - Activity'!$FT:$FT,Example!$G21,'Resource Demand - Activity'!FG:FG)</f>
        <v>0</v>
      </c>
      <c r="FM21" s="35">
        <f>SUMIF('Resource Demand - Activity'!$FT:$FT,Example!$G21,'Resource Demand - Activity'!FH:FH)</f>
        <v>0</v>
      </c>
      <c r="FN21" s="35">
        <f>SUMIF('Resource Demand - Activity'!$FT:$FT,Example!$G21,'Resource Demand - Activity'!FI:FI)</f>
        <v>0</v>
      </c>
      <c r="FO21" s="35">
        <f>SUMIF('Resource Demand - Activity'!$FT:$FT,Example!$G21,'Resource Demand - Activity'!FJ:FJ)</f>
        <v>0</v>
      </c>
      <c r="FP21" s="35">
        <f>SUMIF('Resource Demand - Activity'!$FT:$FT,Example!$G21,'Resource Demand - Activity'!FK:FK)</f>
        <v>0</v>
      </c>
      <c r="FQ21" s="35">
        <f>SUMIF('Resource Demand - Activity'!$FT:$FT,Example!$G21,'Resource Demand - Activity'!FL:FL)</f>
        <v>0</v>
      </c>
      <c r="FR21" s="35">
        <f>SUMIF('Resource Demand - Activity'!$FT:$FT,Example!$G21,'Resource Demand - Activity'!FM:FM)</f>
        <v>0</v>
      </c>
      <c r="FS21" s="35">
        <f>SUMIF('Resource Demand - Activity'!$FT:$FT,Example!$G21,'Resource Demand - Activity'!FN:FN)</f>
        <v>0</v>
      </c>
      <c r="FT21" s="35">
        <f>SUMIF('Resource Demand - Activity'!$FT:$FT,Example!$G21,'Resource Demand - Activity'!FO:FO)</f>
        <v>0</v>
      </c>
      <c r="FU21" s="35">
        <f>SUMIF('Resource Demand - Activity'!$FT:$FT,Example!$G21,'Resource Demand - Activity'!FP:FP)</f>
        <v>0</v>
      </c>
      <c r="FV21" s="52">
        <f>SUMIF('Resource Demand - Activity'!$FT:$FT,Example!$G21,'Resource Demand - Activity'!FQ:FQ)</f>
        <v>0</v>
      </c>
    </row>
    <row r="22" spans="2:178" s="58" customFormat="1" ht="12" customHeight="1">
      <c r="C22" s="162">
        <f>C21+D21</f>
        <v>99630</v>
      </c>
      <c r="D22" s="163"/>
      <c r="E22" s="146"/>
      <c r="G22" s="64" t="str">
        <f t="shared" si="3"/>
        <v>10. SAP 10.2 SAP Go Live - 123 / NI cut overGlenn Kirk</v>
      </c>
      <c r="H22" s="102" t="s">
        <v>175</v>
      </c>
      <c r="I22" s="59" t="str">
        <f>INDEX('Resource Demand - Activity'!C:C,MATCH(Example!G22,'Resource Demand - Activity'!FT:FT,0))</f>
        <v>6 days</v>
      </c>
      <c r="J22" s="51">
        <f>SUMIF('Resource Demand - Activity'!$FT:$FT,Example!$G22,'Resource Demand - Activity'!E:E)</f>
        <v>0</v>
      </c>
      <c r="K22" s="35">
        <f>SUMIF('Resource Demand - Activity'!$FT:$FT,Example!$G22,'Resource Demand - Activity'!F:F)</f>
        <v>0</v>
      </c>
      <c r="L22" s="35">
        <f>SUMIF('Resource Demand - Activity'!$FT:$FT,Example!$G22,'Resource Demand - Activity'!G:G)</f>
        <v>0</v>
      </c>
      <c r="M22" s="35">
        <f>SUMIF('Resource Demand - Activity'!$FT:$FT,Example!$G22,'Resource Demand - Activity'!H:H)</f>
        <v>0</v>
      </c>
      <c r="N22" s="35">
        <f>SUMIF('Resource Demand - Activity'!$FT:$FT,Example!$G22,'Resource Demand - Activity'!I:I)</f>
        <v>0</v>
      </c>
      <c r="O22" s="35">
        <f>SUMIF('Resource Demand - Activity'!$FT:$FT,Example!$G22,'Resource Demand - Activity'!J:J)</f>
        <v>0</v>
      </c>
      <c r="P22" s="35">
        <f>SUMIF('Resource Demand - Activity'!$FT:$FT,Example!$G22,'Resource Demand - Activity'!K:K)</f>
        <v>0</v>
      </c>
      <c r="Q22" s="35">
        <f>SUMIF('Resource Demand - Activity'!$FT:$FT,Example!$G22,'Resource Demand - Activity'!L:L)</f>
        <v>0</v>
      </c>
      <c r="R22" s="35">
        <f>SUMIF('Resource Demand - Activity'!$FT:$FT,Example!$G22,'Resource Demand - Activity'!M:M)</f>
        <v>0</v>
      </c>
      <c r="S22" s="35">
        <f>SUMIF('Resource Demand - Activity'!$FT:$FT,Example!$G22,'Resource Demand - Activity'!N:N)</f>
        <v>0</v>
      </c>
      <c r="T22" s="35">
        <f>SUMIF('Resource Demand - Activity'!$FT:$FT,Example!$G22,'Resource Demand - Activity'!O:O)</f>
        <v>0</v>
      </c>
      <c r="U22" s="35">
        <f>SUMIF('Resource Demand - Activity'!$FT:$FT,Example!$G22,'Resource Demand - Activity'!P:P)</f>
        <v>0</v>
      </c>
      <c r="V22" s="35">
        <f>SUMIF('Resource Demand - Activity'!$FT:$FT,Example!$G22,'Resource Demand - Activity'!Q:Q)</f>
        <v>0</v>
      </c>
      <c r="W22" s="35">
        <f>SUMIF('Resource Demand - Activity'!$FT:$FT,Example!$G22,'Resource Demand - Activity'!R:R)</f>
        <v>0</v>
      </c>
      <c r="X22" s="35">
        <f>SUMIF('Resource Demand - Activity'!$FT:$FT,Example!$G22,'Resource Demand - Activity'!S:S)</f>
        <v>0</v>
      </c>
      <c r="Y22" s="35">
        <f>SUMIF('Resource Demand - Activity'!$FT:$FT,Example!$G22,'Resource Demand - Activity'!T:T)</f>
        <v>0</v>
      </c>
      <c r="Z22" s="35">
        <f>SUMIF('Resource Demand - Activity'!$FT:$FT,Example!$G22,'Resource Demand - Activity'!U:U)</f>
        <v>0</v>
      </c>
      <c r="AA22" s="35">
        <f>SUMIF('Resource Demand - Activity'!$FT:$FT,Example!$G22,'Resource Demand - Activity'!V:V)</f>
        <v>0</v>
      </c>
      <c r="AB22" s="35">
        <f>SUMIF('Resource Demand - Activity'!$FT:$FT,Example!$G22,'Resource Demand - Activity'!W:W)</f>
        <v>0</v>
      </c>
      <c r="AC22" s="35">
        <f>SUMIF('Resource Demand - Activity'!$FT:$FT,Example!$G22,'Resource Demand - Activity'!X:X)</f>
        <v>0</v>
      </c>
      <c r="AD22" s="35">
        <f>SUMIF('Resource Demand - Activity'!$FT:$FT,Example!$G22,'Resource Demand - Activity'!Y:Y)</f>
        <v>0</v>
      </c>
      <c r="AE22" s="35">
        <f>SUMIF('Resource Demand - Activity'!$FT:$FT,Example!$G22,'Resource Demand - Activity'!Z:Z)</f>
        <v>0</v>
      </c>
      <c r="AF22" s="35">
        <f>SUMIF('Resource Demand - Activity'!$FT:$FT,Example!$G22,'Resource Demand - Activity'!AA:AA)</f>
        <v>0</v>
      </c>
      <c r="AG22" s="35">
        <f>SUMIF('Resource Demand - Activity'!$FT:$FT,Example!$G22,'Resource Demand - Activity'!AB:AB)</f>
        <v>0</v>
      </c>
      <c r="AH22" s="35">
        <f>SUMIF('Resource Demand - Activity'!$FT:$FT,Example!$G22,'Resource Demand - Activity'!AC:AC)</f>
        <v>0</v>
      </c>
      <c r="AI22" s="35">
        <f>SUMIF('Resource Demand - Activity'!$FT:$FT,Example!$G22,'Resource Demand - Activity'!AD:AD)</f>
        <v>0</v>
      </c>
      <c r="AJ22" s="35">
        <f>SUMIF('Resource Demand - Activity'!$FT:$FT,Example!$G22,'Resource Demand - Activity'!AE:AE)</f>
        <v>0</v>
      </c>
      <c r="AK22" s="35">
        <f>SUMIF('Resource Demand - Activity'!$FT:$FT,Example!$G22,'Resource Demand - Activity'!AF:AF)</f>
        <v>0</v>
      </c>
      <c r="AL22" s="35">
        <f>SUMIF('Resource Demand - Activity'!$FT:$FT,Example!$G22,'Resource Demand - Activity'!AG:AG)</f>
        <v>0</v>
      </c>
      <c r="AM22" s="35">
        <f>SUMIF('Resource Demand - Activity'!$FT:$FT,Example!$G22,'Resource Demand - Activity'!AH:AH)</f>
        <v>0</v>
      </c>
      <c r="AN22" s="35">
        <f>SUMIF('Resource Demand - Activity'!$FT:$FT,Example!$G22,'Resource Demand - Activity'!AI:AI)</f>
        <v>0</v>
      </c>
      <c r="AO22" s="35">
        <f>SUMIF('Resource Demand - Activity'!$FT:$FT,Example!$G22,'Resource Demand - Activity'!AJ:AJ)</f>
        <v>0</v>
      </c>
      <c r="AP22" s="35">
        <f>SUMIF('Resource Demand - Activity'!$FT:$FT,Example!$G22,'Resource Demand - Activity'!AK:AK)</f>
        <v>0</v>
      </c>
      <c r="AQ22" s="36"/>
      <c r="AR22" s="36"/>
      <c r="AS22" s="36"/>
      <c r="AT22" s="36"/>
      <c r="AU22" s="36"/>
      <c r="AV22" s="36"/>
      <c r="AW22" s="36"/>
      <c r="AX22" s="35">
        <f>SUMIF('Resource Demand - Activity'!$FT:$FT,Example!$G22,'Resource Demand - Activity'!AS:AS)</f>
        <v>0.3</v>
      </c>
      <c r="AY22" s="35">
        <f>SUMIF('Resource Demand - Activity'!$FT:$FT,Example!$G22,'Resource Demand - Activity'!AT:AT)</f>
        <v>0.6</v>
      </c>
      <c r="AZ22" s="35">
        <f>SUMIF('Resource Demand - Activity'!$FT:$FT,Example!$G22,'Resource Demand - Activity'!AU:AU)</f>
        <v>0.3</v>
      </c>
      <c r="BA22" s="35">
        <f>SUMIF('Resource Demand - Activity'!$FT:$FT,Example!$G22,'Resource Demand - Activity'!AV:AV)</f>
        <v>0</v>
      </c>
      <c r="BB22" s="35">
        <f>SUMIF('Resource Demand - Activity'!$FT:$FT,Example!$G22,'Resource Demand - Activity'!AW:AW)</f>
        <v>0.45</v>
      </c>
      <c r="BC22" s="35">
        <f>SUMIF('Resource Demand - Activity'!$FT:$FT,Example!$G22,'Resource Demand - Activity'!AX:AX)</f>
        <v>0.3</v>
      </c>
      <c r="BD22" s="35">
        <f>SUMIF('Resource Demand - Activity'!$FT:$FT,Example!$G22,'Resource Demand - Activity'!AY:AY)</f>
        <v>0.65</v>
      </c>
      <c r="BE22" s="35">
        <f>SUMIF('Resource Demand - Activity'!$FT:$FT,Example!$G22,'Resource Demand - Activity'!AZ:AZ)</f>
        <v>0.8</v>
      </c>
      <c r="BF22" s="35">
        <f>SUMIF('Resource Demand - Activity'!$FT:$FT,Example!$G22,'Resource Demand - Activity'!BA:BA)</f>
        <v>0.4</v>
      </c>
      <c r="BG22" s="35">
        <f>SUMIF('Resource Demand - Activity'!$FT:$FT,Example!$G22,'Resource Demand - Activity'!BB:BB)</f>
        <v>0</v>
      </c>
      <c r="BH22" s="35">
        <f>SUMIF('Resource Demand - Activity'!$FT:$FT,Example!$G22,'Resource Demand - Activity'!BC:BC)</f>
        <v>0.3</v>
      </c>
      <c r="BI22" s="35">
        <f>SUMIF('Resource Demand - Activity'!$FT:$FT,Example!$G22,'Resource Demand - Activity'!BD:BD)</f>
        <v>0.4</v>
      </c>
      <c r="BJ22" s="35">
        <f>SUMIF('Resource Demand - Activity'!$FT:$FT,Example!$G22,'Resource Demand - Activity'!BE:BE)</f>
        <v>0</v>
      </c>
      <c r="BK22" s="35">
        <f>SUMIF('Resource Demand - Activity'!$FT:$FT,Example!$G22,'Resource Demand - Activity'!BF:BF)</f>
        <v>0</v>
      </c>
      <c r="BL22" s="35">
        <f>SUMIF('Resource Demand - Activity'!$FT:$FT,Example!$G22,'Resource Demand - Activity'!BG:BG)</f>
        <v>0</v>
      </c>
      <c r="BM22" s="35">
        <f>SUMIF('Resource Demand - Activity'!$FT:$FT,Example!$G22,'Resource Demand - Activity'!BH:BH)</f>
        <v>0.15</v>
      </c>
      <c r="BN22" s="35">
        <f>SUMIF('Resource Demand - Activity'!$FT:$FT,Example!$G22,'Resource Demand - Activity'!BI:BI)</f>
        <v>0.5</v>
      </c>
      <c r="BO22" s="35">
        <f>SUMIF('Resource Demand - Activity'!$FT:$FT,Example!$G22,'Resource Demand - Activity'!BJ:BJ)</f>
        <v>0.1</v>
      </c>
      <c r="BP22" s="35">
        <f>SUMIF('Resource Demand - Activity'!$FT:$FT,Example!$G22,'Resource Demand - Activity'!BK:BK)</f>
        <v>0.25</v>
      </c>
      <c r="BQ22" s="35">
        <f>SUMIF('Resource Demand - Activity'!$FT:$FT,Example!$G22,'Resource Demand - Activity'!BL:BL)</f>
        <v>0</v>
      </c>
      <c r="BR22" s="35">
        <f>SUMIF('Resource Demand - Activity'!$FT:$FT,Example!$G22,'Resource Demand - Activity'!BM:BM)</f>
        <v>0</v>
      </c>
      <c r="BS22" s="35">
        <f>SUMIF('Resource Demand - Activity'!$FT:$FT,Example!$G22,'Resource Demand - Activity'!BN:BN)</f>
        <v>0</v>
      </c>
      <c r="BT22" s="35">
        <f>SUMIF('Resource Demand - Activity'!$FT:$FT,Example!$G22,'Resource Demand - Activity'!BO:BO)</f>
        <v>0</v>
      </c>
      <c r="BU22" s="35">
        <f>SUMIF('Resource Demand - Activity'!$FT:$FT,Example!$G22,'Resource Demand - Activity'!BP:BP)</f>
        <v>0</v>
      </c>
      <c r="BV22" s="35">
        <f>SUMIF('Resource Demand - Activity'!$FT:$FT,Example!$G22,'Resource Demand - Activity'!BQ:BQ)</f>
        <v>0</v>
      </c>
      <c r="BW22" s="35">
        <f>SUMIF('Resource Demand - Activity'!$FT:$FT,Example!$G22,'Resource Demand - Activity'!BR:BR)</f>
        <v>0</v>
      </c>
      <c r="BX22" s="35">
        <f>SUMIF('Resource Demand - Activity'!$FT:$FT,Example!$G22,'Resource Demand - Activity'!BS:BS)</f>
        <v>0</v>
      </c>
      <c r="BY22" s="35">
        <f>SUMIF('Resource Demand - Activity'!$FT:$FT,Example!$G22,'Resource Demand - Activity'!BT:BT)</f>
        <v>0</v>
      </c>
      <c r="BZ22" s="35">
        <f>SUMIF('Resource Demand - Activity'!$FT:$FT,Example!$G22,'Resource Demand - Activity'!BU:BU)</f>
        <v>0</v>
      </c>
      <c r="CA22" s="35">
        <f>SUMIF('Resource Demand - Activity'!$FT:$FT,Example!$G22,'Resource Demand - Activity'!BV:BV)</f>
        <v>0</v>
      </c>
      <c r="CB22" s="35">
        <f>SUMIF('Resource Demand - Activity'!$FT:$FT,Example!$G22,'Resource Demand - Activity'!BW:BW)</f>
        <v>0</v>
      </c>
      <c r="CC22" s="35">
        <f>SUMIF('Resource Demand - Activity'!$FT:$FT,Example!$G22,'Resource Demand - Activity'!BX:BX)</f>
        <v>0</v>
      </c>
      <c r="CD22" s="35">
        <f>SUMIF('Resource Demand - Activity'!$FT:$FT,Example!$G22,'Resource Demand - Activity'!BY:BY)</f>
        <v>0</v>
      </c>
      <c r="CE22" s="35">
        <f>SUMIF('Resource Demand - Activity'!$FT:$FT,Example!$G22,'Resource Demand - Activity'!BZ:BZ)</f>
        <v>0</v>
      </c>
      <c r="CF22" s="35">
        <f>SUMIF('Resource Demand - Activity'!$FT:$FT,Example!$G22,'Resource Demand - Activity'!CA:CA)</f>
        <v>0</v>
      </c>
      <c r="CG22" s="35">
        <f>SUMIF('Resource Demand - Activity'!$FT:$FT,Example!$G22,'Resource Demand - Activity'!CB:CB)</f>
        <v>0</v>
      </c>
      <c r="CH22" s="35">
        <f>SUMIF('Resource Demand - Activity'!$FT:$FT,Example!$G22,'Resource Demand - Activity'!CC:CC)</f>
        <v>0</v>
      </c>
      <c r="CI22" s="35">
        <f>SUMIF('Resource Demand - Activity'!$FT:$FT,Example!$G22,'Resource Demand - Activity'!CD:CD)</f>
        <v>0</v>
      </c>
      <c r="CJ22" s="35">
        <f>SUMIF('Resource Demand - Activity'!$FT:$FT,Example!$G22,'Resource Demand - Activity'!CE:CE)</f>
        <v>0</v>
      </c>
      <c r="CK22" s="35">
        <f>SUMIF('Resource Demand - Activity'!$FT:$FT,Example!$G22,'Resource Demand - Activity'!CF:CF)</f>
        <v>0</v>
      </c>
      <c r="CL22" s="35">
        <f>SUMIF('Resource Demand - Activity'!$FT:$FT,Example!$G22,'Resource Demand - Activity'!CG:CG)</f>
        <v>0</v>
      </c>
      <c r="CM22" s="35">
        <f>SUMIF('Resource Demand - Activity'!$FT:$FT,Example!$G22,'Resource Demand - Activity'!CH:CH)</f>
        <v>0</v>
      </c>
      <c r="CN22" s="35">
        <f>SUMIF('Resource Demand - Activity'!$FT:$FT,Example!$G22,'Resource Demand - Activity'!CI:CI)</f>
        <v>0</v>
      </c>
      <c r="CO22" s="35">
        <f>SUMIF('Resource Demand - Activity'!$FT:$FT,Example!$G22,'Resource Demand - Activity'!CJ:CJ)</f>
        <v>0</v>
      </c>
      <c r="CP22" s="35">
        <f>SUMIF('Resource Demand - Activity'!$FT:$FT,Example!$G22,'Resource Demand - Activity'!CK:CK)</f>
        <v>0</v>
      </c>
      <c r="CQ22" s="35">
        <f>SUMIF('Resource Demand - Activity'!$FT:$FT,Example!$G22,'Resource Demand - Activity'!CL:CL)</f>
        <v>0</v>
      </c>
      <c r="CR22" s="35">
        <f>SUMIF('Resource Demand - Activity'!$FT:$FT,Example!$G22,'Resource Demand - Activity'!CM:CM)</f>
        <v>0</v>
      </c>
      <c r="CS22" s="35">
        <f>SUMIF('Resource Demand - Activity'!$FT:$FT,Example!$G22,'Resource Demand - Activity'!CN:CN)</f>
        <v>0</v>
      </c>
      <c r="CT22" s="35">
        <f>SUMIF('Resource Demand - Activity'!$FT:$FT,Example!$G22,'Resource Demand - Activity'!CO:CO)</f>
        <v>0</v>
      </c>
      <c r="CU22" s="35">
        <f>SUMIF('Resource Demand - Activity'!$FT:$FT,Example!$G22,'Resource Demand - Activity'!CP:CP)</f>
        <v>0</v>
      </c>
      <c r="CV22" s="35">
        <f>SUMIF('Resource Demand - Activity'!$FT:$FT,Example!$G22,'Resource Demand - Activity'!CQ:CQ)</f>
        <v>0</v>
      </c>
      <c r="CW22" s="35">
        <f>SUMIF('Resource Demand - Activity'!$FT:$FT,Example!$G22,'Resource Demand - Activity'!CR:CR)</f>
        <v>0</v>
      </c>
      <c r="CX22" s="35">
        <f>SUMIF('Resource Demand - Activity'!$FT:$FT,Example!$G22,'Resource Demand - Activity'!CS:CS)</f>
        <v>0</v>
      </c>
      <c r="CY22" s="36"/>
      <c r="CZ22" s="35">
        <f>SUMIF('Resource Demand - Activity'!$FT:$FT,Example!$G22,'Resource Demand - Activity'!CU:CU)</f>
        <v>0</v>
      </c>
      <c r="DA22" s="35">
        <f>SUMIF('Resource Demand - Activity'!$FT:$FT,Example!$G22,'Resource Demand - Activity'!CV:CV)</f>
        <v>0</v>
      </c>
      <c r="DB22" s="35">
        <f>SUMIF('Resource Demand - Activity'!$FT:$FT,Example!$G22,'Resource Demand - Activity'!CW:CW)</f>
        <v>0</v>
      </c>
      <c r="DC22" s="35">
        <f>SUMIF('Resource Demand - Activity'!$FT:$FT,Example!$G22,'Resource Demand - Activity'!CX:CX)</f>
        <v>0</v>
      </c>
      <c r="DD22" s="35">
        <f>SUMIF('Resource Demand - Activity'!$FT:$FT,Example!$G22,'Resource Demand - Activity'!CY:CY)</f>
        <v>0</v>
      </c>
      <c r="DE22" s="36"/>
      <c r="DF22" s="36"/>
      <c r="DG22" s="35">
        <f>SUMIF('Resource Demand - Activity'!$FT:$FT,Example!$G22,'Resource Demand - Activity'!DB:DB)</f>
        <v>0</v>
      </c>
      <c r="DH22" s="35">
        <f>SUMIF('Resource Demand - Activity'!$FT:$FT,Example!$G22,'Resource Demand - Activity'!DC:DC)</f>
        <v>0</v>
      </c>
      <c r="DI22" s="35">
        <f>SUMIF('Resource Demand - Activity'!$FT:$FT,Example!$G22,'Resource Demand - Activity'!DD:DD)</f>
        <v>0</v>
      </c>
      <c r="DJ22" s="35">
        <f>SUMIF('Resource Demand - Activity'!$FT:$FT,Example!$G22,'Resource Demand - Activity'!DE:DE)</f>
        <v>0</v>
      </c>
      <c r="DK22" s="35">
        <f>SUMIF('Resource Demand - Activity'!$FT:$FT,Example!$G22,'Resource Demand - Activity'!DF:DF)</f>
        <v>0</v>
      </c>
      <c r="DL22" s="35">
        <f>SUMIF('Resource Demand - Activity'!$FT:$FT,Example!$G22,'Resource Demand - Activity'!DG:DG)</f>
        <v>0</v>
      </c>
      <c r="DM22" s="35">
        <f>SUMIF('Resource Demand - Activity'!$FT:$FT,Example!$G22,'Resource Demand - Activity'!DH:DH)</f>
        <v>0</v>
      </c>
      <c r="DN22" s="35">
        <f>SUMIF('Resource Demand - Activity'!$FT:$FT,Example!$G22,'Resource Demand - Activity'!DI:DI)</f>
        <v>0</v>
      </c>
      <c r="DO22" s="35">
        <f>SUMIF('Resource Demand - Activity'!$FT:$FT,Example!$G22,'Resource Demand - Activity'!DJ:DJ)</f>
        <v>0</v>
      </c>
      <c r="DP22" s="35">
        <f>SUMIF('Resource Demand - Activity'!$FT:$FT,Example!$G22,'Resource Demand - Activity'!DK:DK)</f>
        <v>0</v>
      </c>
      <c r="DQ22" s="35">
        <f>SUMIF('Resource Demand - Activity'!$FT:$FT,Example!$G22,'Resource Demand - Activity'!DL:DL)</f>
        <v>0</v>
      </c>
      <c r="DR22" s="35">
        <f>SUMIF('Resource Demand - Activity'!$FT:$FT,Example!$G22,'Resource Demand - Activity'!DM:DM)</f>
        <v>0</v>
      </c>
      <c r="DS22" s="35">
        <f>SUMIF('Resource Demand - Activity'!$FT:$FT,Example!$G22,'Resource Demand - Activity'!DN:DN)</f>
        <v>0</v>
      </c>
      <c r="DT22" s="35">
        <f>SUMIF('Resource Demand - Activity'!$FT:$FT,Example!$G22,'Resource Demand - Activity'!DO:DO)</f>
        <v>0</v>
      </c>
      <c r="DU22" s="35">
        <f>SUMIF('Resource Demand - Activity'!$FT:$FT,Example!$G22,'Resource Demand - Activity'!DP:DP)</f>
        <v>0</v>
      </c>
      <c r="DV22" s="35">
        <f>SUMIF('Resource Demand - Activity'!$FT:$FT,Example!$G22,'Resource Demand - Activity'!DQ:DQ)</f>
        <v>0</v>
      </c>
      <c r="DW22" s="35">
        <f>SUMIF('Resource Demand - Activity'!$FT:$FT,Example!$G22,'Resource Demand - Activity'!DR:DR)</f>
        <v>0</v>
      </c>
      <c r="DX22" s="35">
        <f>SUMIF('Resource Demand - Activity'!$FT:$FT,Example!$G22,'Resource Demand - Activity'!DS:DS)</f>
        <v>0</v>
      </c>
      <c r="DY22" s="35">
        <f>SUMIF('Resource Demand - Activity'!$FT:$FT,Example!$G22,'Resource Demand - Activity'!DT:DT)</f>
        <v>0</v>
      </c>
      <c r="DZ22" s="35">
        <f>SUMIF('Resource Demand - Activity'!$FT:$FT,Example!$G22,'Resource Demand - Activity'!DU:DU)</f>
        <v>0</v>
      </c>
      <c r="EA22" s="35">
        <f>SUMIF('Resource Demand - Activity'!$FT:$FT,Example!$G22,'Resource Demand - Activity'!DV:DV)</f>
        <v>0</v>
      </c>
      <c r="EB22" s="35">
        <f>SUMIF('Resource Demand - Activity'!$FT:$FT,Example!$G22,'Resource Demand - Activity'!DW:DW)</f>
        <v>0</v>
      </c>
      <c r="EC22" s="35">
        <f>SUMIF('Resource Demand - Activity'!$FT:$FT,Example!$G22,'Resource Demand - Activity'!DX:DX)</f>
        <v>0</v>
      </c>
      <c r="ED22" s="35">
        <f>SUMIF('Resource Demand - Activity'!$FT:$FT,Example!$G22,'Resource Demand - Activity'!DY:DY)</f>
        <v>0</v>
      </c>
      <c r="EE22" s="36"/>
      <c r="EF22" s="35">
        <f>SUMIF('Resource Demand - Activity'!$FT:$FT,Example!$G22,'Resource Demand - Activity'!EA:EA)</f>
        <v>0</v>
      </c>
      <c r="EG22" s="35">
        <f>SUMIF('Resource Demand - Activity'!$FT:$FT,Example!$G22,'Resource Demand - Activity'!EB:EB)</f>
        <v>0</v>
      </c>
      <c r="EH22" s="35">
        <f>SUMIF('Resource Demand - Activity'!$FT:$FT,Example!$G22,'Resource Demand - Activity'!EC:EC)</f>
        <v>0</v>
      </c>
      <c r="EI22" s="35">
        <f>SUMIF('Resource Demand - Activity'!$FT:$FT,Example!$G22,'Resource Demand - Activity'!ED:ED)</f>
        <v>0</v>
      </c>
      <c r="EJ22" s="35">
        <f>SUMIF('Resource Demand - Activity'!$FT:$FT,Example!$G22,'Resource Demand - Activity'!EE:EE)</f>
        <v>0</v>
      </c>
      <c r="EK22" s="35">
        <f>SUMIF('Resource Demand - Activity'!$FT:$FT,Example!$G22,'Resource Demand - Activity'!EF:EF)</f>
        <v>0</v>
      </c>
      <c r="EL22" s="35">
        <f>SUMIF('Resource Demand - Activity'!$FT:$FT,Example!$G22,'Resource Demand - Activity'!EG:EG)</f>
        <v>0</v>
      </c>
      <c r="EM22" s="35">
        <f>SUMIF('Resource Demand - Activity'!$FT:$FT,Example!$G22,'Resource Demand - Activity'!EH:EH)</f>
        <v>0</v>
      </c>
      <c r="EN22" s="35">
        <f>SUMIF('Resource Demand - Activity'!$FT:$FT,Example!$G22,'Resource Demand - Activity'!EI:EI)</f>
        <v>0</v>
      </c>
      <c r="EO22" s="35">
        <f>SUMIF('Resource Demand - Activity'!$FT:$FT,Example!$G22,'Resource Demand - Activity'!EJ:EJ)</f>
        <v>0</v>
      </c>
      <c r="EP22" s="35">
        <f>SUMIF('Resource Demand - Activity'!$FT:$FT,Example!$G22,'Resource Demand - Activity'!EK:EK)</f>
        <v>0</v>
      </c>
      <c r="EQ22" s="35">
        <f>SUMIF('Resource Demand - Activity'!$FT:$FT,Example!$G22,'Resource Demand - Activity'!EL:EL)</f>
        <v>0</v>
      </c>
      <c r="ER22" s="35">
        <f>SUMIF('Resource Demand - Activity'!$FT:$FT,Example!$G22,'Resource Demand - Activity'!EM:EM)</f>
        <v>0</v>
      </c>
      <c r="ES22" s="35">
        <f>SUMIF('Resource Demand - Activity'!$FT:$FT,Example!$G22,'Resource Demand - Activity'!EN:EN)</f>
        <v>0</v>
      </c>
      <c r="ET22" s="35">
        <f>SUMIF('Resource Demand - Activity'!$FT:$FT,Example!$G22,'Resource Demand - Activity'!EO:EO)</f>
        <v>0</v>
      </c>
      <c r="EU22" s="35">
        <f>SUMIF('Resource Demand - Activity'!$FT:$FT,Example!$G22,'Resource Demand - Activity'!EP:EP)</f>
        <v>0</v>
      </c>
      <c r="EV22" s="35">
        <f>SUMIF('Resource Demand - Activity'!$FT:$FT,Example!$G22,'Resource Demand - Activity'!EQ:EQ)</f>
        <v>0</v>
      </c>
      <c r="EW22" s="35">
        <f>SUMIF('Resource Demand - Activity'!$FT:$FT,Example!$G22,'Resource Demand - Activity'!ER:ER)</f>
        <v>0</v>
      </c>
      <c r="EX22" s="35">
        <f>SUMIF('Resource Demand - Activity'!$FT:$FT,Example!$G22,'Resource Demand - Activity'!ES:ES)</f>
        <v>0</v>
      </c>
      <c r="EY22" s="35">
        <f>SUMIF('Resource Demand - Activity'!$FT:$FT,Example!$G22,'Resource Demand - Activity'!ET:ET)</f>
        <v>0</v>
      </c>
      <c r="EZ22" s="35">
        <f>SUMIF('Resource Demand - Activity'!$FT:$FT,Example!$G22,'Resource Demand - Activity'!EU:EU)</f>
        <v>0</v>
      </c>
      <c r="FA22" s="35">
        <f>SUMIF('Resource Demand - Activity'!$FT:$FT,Example!$G22,'Resource Demand - Activity'!EV:EV)</f>
        <v>0</v>
      </c>
      <c r="FB22" s="35">
        <f>SUMIF('Resource Demand - Activity'!$FT:$FT,Example!$G22,'Resource Demand - Activity'!EW:EW)</f>
        <v>0</v>
      </c>
      <c r="FC22" s="35">
        <f>SUMIF('Resource Demand - Activity'!$FT:$FT,Example!$G22,'Resource Demand - Activity'!EX:EX)</f>
        <v>0</v>
      </c>
      <c r="FD22" s="36"/>
      <c r="FE22" s="35">
        <f>SUMIF('Resource Demand - Activity'!$FT:$FT,Example!$G22,'Resource Demand - Activity'!EZ:EZ)</f>
        <v>0</v>
      </c>
      <c r="FF22" s="35">
        <f>SUMIF('Resource Demand - Activity'!$FT:$FT,Example!$G22,'Resource Demand - Activity'!FA:FA)</f>
        <v>0</v>
      </c>
      <c r="FG22" s="35">
        <f>SUMIF('Resource Demand - Activity'!$FT:$FT,Example!$G22,'Resource Demand - Activity'!FB:FB)</f>
        <v>0</v>
      </c>
      <c r="FH22" s="35">
        <f>SUMIF('Resource Demand - Activity'!$FT:$FT,Example!$G22,'Resource Demand - Activity'!FC:FC)</f>
        <v>0</v>
      </c>
      <c r="FI22" s="35">
        <f>SUMIF('Resource Demand - Activity'!$FT:$FT,Example!$G22,'Resource Demand - Activity'!FD:FD)</f>
        <v>0</v>
      </c>
      <c r="FJ22" s="35">
        <f>SUMIF('Resource Demand - Activity'!$FT:$FT,Example!$G22,'Resource Demand - Activity'!FE:FE)</f>
        <v>0</v>
      </c>
      <c r="FK22" s="35">
        <f>SUMIF('Resource Demand - Activity'!$FT:$FT,Example!$G22,'Resource Demand - Activity'!FF:FF)</f>
        <v>0</v>
      </c>
      <c r="FL22" s="35">
        <f>SUMIF('Resource Demand - Activity'!$FT:$FT,Example!$G22,'Resource Demand - Activity'!FG:FG)</f>
        <v>0</v>
      </c>
      <c r="FM22" s="35">
        <f>SUMIF('Resource Demand - Activity'!$FT:$FT,Example!$G22,'Resource Demand - Activity'!FH:FH)</f>
        <v>0</v>
      </c>
      <c r="FN22" s="35">
        <f>SUMIF('Resource Demand - Activity'!$FT:$FT,Example!$G22,'Resource Demand - Activity'!FI:FI)</f>
        <v>0</v>
      </c>
      <c r="FO22" s="35">
        <f>SUMIF('Resource Demand - Activity'!$FT:$FT,Example!$G22,'Resource Demand - Activity'!FJ:FJ)</f>
        <v>0</v>
      </c>
      <c r="FP22" s="35">
        <f>SUMIF('Resource Demand - Activity'!$FT:$FT,Example!$G22,'Resource Demand - Activity'!FK:FK)</f>
        <v>0</v>
      </c>
      <c r="FQ22" s="35">
        <f>SUMIF('Resource Demand - Activity'!$FT:$FT,Example!$G22,'Resource Demand - Activity'!FL:FL)</f>
        <v>0</v>
      </c>
      <c r="FR22" s="35">
        <f>SUMIF('Resource Demand - Activity'!$FT:$FT,Example!$G22,'Resource Demand - Activity'!FM:FM)</f>
        <v>0</v>
      </c>
      <c r="FS22" s="35">
        <f>SUMIF('Resource Demand - Activity'!$FT:$FT,Example!$G22,'Resource Demand - Activity'!FN:FN)</f>
        <v>0</v>
      </c>
      <c r="FT22" s="35">
        <f>SUMIF('Resource Demand - Activity'!$FT:$FT,Example!$G22,'Resource Demand - Activity'!FO:FO)</f>
        <v>0</v>
      </c>
      <c r="FU22" s="35">
        <f>SUMIF('Resource Demand - Activity'!$FT:$FT,Example!$G22,'Resource Demand - Activity'!FP:FP)</f>
        <v>0</v>
      </c>
      <c r="FV22" s="52">
        <f>SUMIF('Resource Demand - Activity'!$FT:$FT,Example!$G22,'Resource Demand - Activity'!FQ:FQ)</f>
        <v>0</v>
      </c>
    </row>
    <row r="23" spans="2:178" s="58" customFormat="1" ht="12" customHeight="1">
      <c r="G23" s="64" t="str">
        <f t="shared" si="3"/>
        <v>11. FDS Release 3 11.1 FDS Release 3 - HDL - SIS  SII TestGlenn Kirk</v>
      </c>
      <c r="H23" s="102" t="s">
        <v>176</v>
      </c>
      <c r="I23" s="59" t="str">
        <f>INDEX('Resource Demand - Activity'!C:C,MATCH(Example!G23,'Resource Demand - Activity'!FT:FT,0))</f>
        <v>1 days</v>
      </c>
      <c r="J23" s="51">
        <f>SUMIF('Resource Demand - Activity'!$FT:$FT,Example!$G23,'Resource Demand - Activity'!E:E)</f>
        <v>0</v>
      </c>
      <c r="K23" s="35">
        <f>SUMIF('Resource Demand - Activity'!$FT:$FT,Example!$G23,'Resource Demand - Activity'!F:F)</f>
        <v>0</v>
      </c>
      <c r="L23" s="35">
        <f>SUMIF('Resource Demand - Activity'!$FT:$FT,Example!$G23,'Resource Demand - Activity'!G:G)</f>
        <v>0</v>
      </c>
      <c r="M23" s="35">
        <f>SUMIF('Resource Demand - Activity'!$FT:$FT,Example!$G23,'Resource Demand - Activity'!H:H)</f>
        <v>0</v>
      </c>
      <c r="N23" s="35">
        <f>SUMIF('Resource Demand - Activity'!$FT:$FT,Example!$G23,'Resource Demand - Activity'!I:I)</f>
        <v>0</v>
      </c>
      <c r="O23" s="35">
        <f>SUMIF('Resource Demand - Activity'!$FT:$FT,Example!$G23,'Resource Demand - Activity'!J:J)</f>
        <v>0.1</v>
      </c>
      <c r="P23" s="35">
        <f>SUMIF('Resource Demand - Activity'!$FT:$FT,Example!$G23,'Resource Demand - Activity'!K:K)</f>
        <v>0.1</v>
      </c>
      <c r="Q23" s="35">
        <f>SUMIF('Resource Demand - Activity'!$FT:$FT,Example!$G23,'Resource Demand - Activity'!L:L)</f>
        <v>0.1</v>
      </c>
      <c r="R23" s="35">
        <f>SUMIF('Resource Demand - Activity'!$FT:$FT,Example!$G23,'Resource Demand - Activity'!M:M)</f>
        <v>0.1</v>
      </c>
      <c r="S23" s="35">
        <f>SUMIF('Resource Demand - Activity'!$FT:$FT,Example!$G23,'Resource Demand - Activity'!N:N)</f>
        <v>0.1</v>
      </c>
      <c r="T23" s="35">
        <f>SUMIF('Resource Demand - Activity'!$FT:$FT,Example!$G23,'Resource Demand - Activity'!O:O)</f>
        <v>0.1</v>
      </c>
      <c r="U23" s="35">
        <f>SUMIF('Resource Demand - Activity'!$FT:$FT,Example!$G23,'Resource Demand - Activity'!P:P)</f>
        <v>0.2</v>
      </c>
      <c r="V23" s="35">
        <f>SUMIF('Resource Demand - Activity'!$FT:$FT,Example!$G23,'Resource Demand - Activity'!Q:Q)</f>
        <v>0</v>
      </c>
      <c r="W23" s="35">
        <f>SUMIF('Resource Demand - Activity'!$FT:$FT,Example!$G23,'Resource Demand - Activity'!R:R)</f>
        <v>0</v>
      </c>
      <c r="X23" s="35">
        <f>SUMIF('Resource Demand - Activity'!$FT:$FT,Example!$G23,'Resource Demand - Activity'!S:S)</f>
        <v>0.05</v>
      </c>
      <c r="Y23" s="35">
        <f>SUMIF('Resource Demand - Activity'!$FT:$FT,Example!$G23,'Resource Demand - Activity'!T:T)</f>
        <v>0</v>
      </c>
      <c r="Z23" s="35">
        <f>SUMIF('Resource Demand - Activity'!$FT:$FT,Example!$G23,'Resource Demand - Activity'!U:U)</f>
        <v>0.05</v>
      </c>
      <c r="AA23" s="35">
        <f>SUMIF('Resource Demand - Activity'!$FT:$FT,Example!$G23,'Resource Demand - Activity'!V:V)</f>
        <v>0.1</v>
      </c>
      <c r="AB23" s="35">
        <f>SUMIF('Resource Demand - Activity'!$FT:$FT,Example!$G23,'Resource Demand - Activity'!W:W)</f>
        <v>0.05</v>
      </c>
      <c r="AC23" s="35">
        <f>SUMIF('Resource Demand - Activity'!$FT:$FT,Example!$G23,'Resource Demand - Activity'!X:X)</f>
        <v>0.15</v>
      </c>
      <c r="AD23" s="35">
        <f>SUMIF('Resource Demand - Activity'!$FT:$FT,Example!$G23,'Resource Demand - Activity'!Y:Y)</f>
        <v>0</v>
      </c>
      <c r="AE23" s="35">
        <f>SUMIF('Resource Demand - Activity'!$FT:$FT,Example!$G23,'Resource Demand - Activity'!Z:Z)</f>
        <v>0</v>
      </c>
      <c r="AF23" s="35">
        <f>SUMIF('Resource Demand - Activity'!$FT:$FT,Example!$G23,'Resource Demand - Activity'!AA:AA)</f>
        <v>0</v>
      </c>
      <c r="AG23" s="35">
        <f>SUMIF('Resource Demand - Activity'!$FT:$FT,Example!$G23,'Resource Demand - Activity'!AB:AB)</f>
        <v>0</v>
      </c>
      <c r="AH23" s="35">
        <f>SUMIF('Resource Demand - Activity'!$FT:$FT,Example!$G23,'Resource Demand - Activity'!AC:AC)</f>
        <v>0</v>
      </c>
      <c r="AI23" s="35">
        <f>SUMIF('Resource Demand - Activity'!$FT:$FT,Example!$G23,'Resource Demand - Activity'!AD:AD)</f>
        <v>0</v>
      </c>
      <c r="AJ23" s="35">
        <f>SUMIF('Resource Demand - Activity'!$FT:$FT,Example!$G23,'Resource Demand - Activity'!AE:AE)</f>
        <v>0</v>
      </c>
      <c r="AK23" s="35">
        <f>SUMIF('Resource Demand - Activity'!$FT:$FT,Example!$G23,'Resource Demand - Activity'!AF:AF)</f>
        <v>0</v>
      </c>
      <c r="AL23" s="35">
        <f>SUMIF('Resource Demand - Activity'!$FT:$FT,Example!$G23,'Resource Demand - Activity'!AG:AG)</f>
        <v>0</v>
      </c>
      <c r="AM23" s="35">
        <f>SUMIF('Resource Demand - Activity'!$FT:$FT,Example!$G23,'Resource Demand - Activity'!AH:AH)</f>
        <v>0</v>
      </c>
      <c r="AN23" s="35">
        <f>SUMIF('Resource Demand - Activity'!$FT:$FT,Example!$G23,'Resource Demand - Activity'!AI:AI)</f>
        <v>0</v>
      </c>
      <c r="AO23" s="35">
        <f>SUMIF('Resource Demand - Activity'!$FT:$FT,Example!$G23,'Resource Demand - Activity'!AJ:AJ)</f>
        <v>0</v>
      </c>
      <c r="AP23" s="35">
        <f>SUMIF('Resource Demand - Activity'!$FT:$FT,Example!$G23,'Resource Demand - Activity'!AK:AK)</f>
        <v>0</v>
      </c>
      <c r="AQ23" s="36"/>
      <c r="AR23" s="36"/>
      <c r="AS23" s="36"/>
      <c r="AT23" s="36"/>
      <c r="AU23" s="36"/>
      <c r="AV23" s="36"/>
      <c r="AW23" s="36"/>
      <c r="AX23" s="35">
        <f>SUMIF('Resource Demand - Activity'!$FT:$FT,Example!$G23,'Resource Demand - Activity'!AS:AS)</f>
        <v>0</v>
      </c>
      <c r="AY23" s="35">
        <f>SUMIF('Resource Demand - Activity'!$FT:$FT,Example!$G23,'Resource Demand - Activity'!AT:AT)</f>
        <v>0</v>
      </c>
      <c r="AZ23" s="35">
        <f>SUMIF('Resource Demand - Activity'!$FT:$FT,Example!$G23,'Resource Demand - Activity'!AU:AU)</f>
        <v>0</v>
      </c>
      <c r="BA23" s="35">
        <f>SUMIF('Resource Demand - Activity'!$FT:$FT,Example!$G23,'Resource Demand - Activity'!AV:AV)</f>
        <v>0</v>
      </c>
      <c r="BB23" s="35">
        <f>SUMIF('Resource Demand - Activity'!$FT:$FT,Example!$G23,'Resource Demand - Activity'!AW:AW)</f>
        <v>0</v>
      </c>
      <c r="BC23" s="35">
        <f>SUMIF('Resource Demand - Activity'!$FT:$FT,Example!$G23,'Resource Demand - Activity'!AX:AX)</f>
        <v>0</v>
      </c>
      <c r="BD23" s="35">
        <f>SUMIF('Resource Demand - Activity'!$FT:$FT,Example!$G23,'Resource Demand - Activity'!AY:AY)</f>
        <v>0</v>
      </c>
      <c r="BE23" s="35">
        <f>SUMIF('Resource Demand - Activity'!$FT:$FT,Example!$G23,'Resource Demand - Activity'!AZ:AZ)</f>
        <v>0</v>
      </c>
      <c r="BF23" s="35">
        <f>SUMIF('Resource Demand - Activity'!$FT:$FT,Example!$G23,'Resource Demand - Activity'!BA:BA)</f>
        <v>0</v>
      </c>
      <c r="BG23" s="35">
        <f>SUMIF('Resource Demand - Activity'!$FT:$FT,Example!$G23,'Resource Demand - Activity'!BB:BB)</f>
        <v>0</v>
      </c>
      <c r="BH23" s="35">
        <f>SUMIF('Resource Demand - Activity'!$FT:$FT,Example!$G23,'Resource Demand - Activity'!BC:BC)</f>
        <v>0</v>
      </c>
      <c r="BI23" s="35">
        <f>SUMIF('Resource Demand - Activity'!$FT:$FT,Example!$G23,'Resource Demand - Activity'!BD:BD)</f>
        <v>0</v>
      </c>
      <c r="BJ23" s="35">
        <f>SUMIF('Resource Demand - Activity'!$FT:$FT,Example!$G23,'Resource Demand - Activity'!BE:BE)</f>
        <v>0</v>
      </c>
      <c r="BK23" s="35">
        <f>SUMIF('Resource Demand - Activity'!$FT:$FT,Example!$G23,'Resource Demand - Activity'!BF:BF)</f>
        <v>0</v>
      </c>
      <c r="BL23" s="35">
        <f>SUMIF('Resource Demand - Activity'!$FT:$FT,Example!$G23,'Resource Demand - Activity'!BG:BG)</f>
        <v>0</v>
      </c>
      <c r="BM23" s="35">
        <f>SUMIF('Resource Demand - Activity'!$FT:$FT,Example!$G23,'Resource Demand - Activity'!BH:BH)</f>
        <v>0</v>
      </c>
      <c r="BN23" s="35">
        <f>SUMIF('Resource Demand - Activity'!$FT:$FT,Example!$G23,'Resource Demand - Activity'!BI:BI)</f>
        <v>0</v>
      </c>
      <c r="BO23" s="35">
        <f>SUMIF('Resource Demand - Activity'!$FT:$FT,Example!$G23,'Resource Demand - Activity'!BJ:BJ)</f>
        <v>0</v>
      </c>
      <c r="BP23" s="35">
        <f>SUMIF('Resource Demand - Activity'!$FT:$FT,Example!$G23,'Resource Demand - Activity'!BK:BK)</f>
        <v>0</v>
      </c>
      <c r="BQ23" s="35">
        <f>SUMIF('Resource Demand - Activity'!$FT:$FT,Example!$G23,'Resource Demand - Activity'!BL:BL)</f>
        <v>0</v>
      </c>
      <c r="BR23" s="35">
        <f>SUMIF('Resource Demand - Activity'!$FT:$FT,Example!$G23,'Resource Demand - Activity'!BM:BM)</f>
        <v>0</v>
      </c>
      <c r="BS23" s="35">
        <f>SUMIF('Resource Demand - Activity'!$FT:$FT,Example!$G23,'Resource Demand - Activity'!BN:BN)</f>
        <v>0</v>
      </c>
      <c r="BT23" s="35">
        <f>SUMIF('Resource Demand - Activity'!$FT:$FT,Example!$G23,'Resource Demand - Activity'!BO:BO)</f>
        <v>0</v>
      </c>
      <c r="BU23" s="35">
        <f>SUMIF('Resource Demand - Activity'!$FT:$FT,Example!$G23,'Resource Demand - Activity'!BP:BP)</f>
        <v>0</v>
      </c>
      <c r="BV23" s="35">
        <f>SUMIF('Resource Demand - Activity'!$FT:$FT,Example!$G23,'Resource Demand - Activity'!BQ:BQ)</f>
        <v>0</v>
      </c>
      <c r="BW23" s="35">
        <f>SUMIF('Resource Demand - Activity'!$FT:$FT,Example!$G23,'Resource Demand - Activity'!BR:BR)</f>
        <v>0</v>
      </c>
      <c r="BX23" s="35">
        <f>SUMIF('Resource Demand - Activity'!$FT:$FT,Example!$G23,'Resource Demand - Activity'!BS:BS)</f>
        <v>0</v>
      </c>
      <c r="BY23" s="35">
        <f>SUMIF('Resource Demand - Activity'!$FT:$FT,Example!$G23,'Resource Demand - Activity'!BT:BT)</f>
        <v>0</v>
      </c>
      <c r="BZ23" s="35">
        <f>SUMIF('Resource Demand - Activity'!$FT:$FT,Example!$G23,'Resource Demand - Activity'!BU:BU)</f>
        <v>0</v>
      </c>
      <c r="CA23" s="35">
        <f>SUMIF('Resource Demand - Activity'!$FT:$FT,Example!$G23,'Resource Demand - Activity'!BV:BV)</f>
        <v>0</v>
      </c>
      <c r="CB23" s="35">
        <f>SUMIF('Resource Demand - Activity'!$FT:$FT,Example!$G23,'Resource Demand - Activity'!BW:BW)</f>
        <v>0</v>
      </c>
      <c r="CC23" s="35">
        <f>SUMIF('Resource Demand - Activity'!$FT:$FT,Example!$G23,'Resource Demand - Activity'!BX:BX)</f>
        <v>0</v>
      </c>
      <c r="CD23" s="35">
        <f>SUMIF('Resource Demand - Activity'!$FT:$FT,Example!$G23,'Resource Demand - Activity'!BY:BY)</f>
        <v>0</v>
      </c>
      <c r="CE23" s="35">
        <f>SUMIF('Resource Demand - Activity'!$FT:$FT,Example!$G23,'Resource Demand - Activity'!BZ:BZ)</f>
        <v>0</v>
      </c>
      <c r="CF23" s="35">
        <f>SUMIF('Resource Demand - Activity'!$FT:$FT,Example!$G23,'Resource Demand - Activity'!CA:CA)</f>
        <v>0</v>
      </c>
      <c r="CG23" s="35">
        <f>SUMIF('Resource Demand - Activity'!$FT:$FT,Example!$G23,'Resource Demand - Activity'!CB:CB)</f>
        <v>0</v>
      </c>
      <c r="CH23" s="35">
        <f>SUMIF('Resource Demand - Activity'!$FT:$FT,Example!$G23,'Resource Demand - Activity'!CC:CC)</f>
        <v>0</v>
      </c>
      <c r="CI23" s="35">
        <f>SUMIF('Resource Demand - Activity'!$FT:$FT,Example!$G23,'Resource Demand - Activity'!CD:CD)</f>
        <v>0</v>
      </c>
      <c r="CJ23" s="35">
        <f>SUMIF('Resource Demand - Activity'!$FT:$FT,Example!$G23,'Resource Demand - Activity'!CE:CE)</f>
        <v>0</v>
      </c>
      <c r="CK23" s="35">
        <f>SUMIF('Resource Demand - Activity'!$FT:$FT,Example!$G23,'Resource Demand - Activity'!CF:CF)</f>
        <v>0</v>
      </c>
      <c r="CL23" s="35">
        <f>SUMIF('Resource Demand - Activity'!$FT:$FT,Example!$G23,'Resource Demand - Activity'!CG:CG)</f>
        <v>0</v>
      </c>
      <c r="CM23" s="35">
        <f>SUMIF('Resource Demand - Activity'!$FT:$FT,Example!$G23,'Resource Demand - Activity'!CH:CH)</f>
        <v>0</v>
      </c>
      <c r="CN23" s="35">
        <f>SUMIF('Resource Demand - Activity'!$FT:$FT,Example!$G23,'Resource Demand - Activity'!CI:CI)</f>
        <v>0</v>
      </c>
      <c r="CO23" s="35">
        <f>SUMIF('Resource Demand - Activity'!$FT:$FT,Example!$G23,'Resource Demand - Activity'!CJ:CJ)</f>
        <v>0</v>
      </c>
      <c r="CP23" s="35">
        <f>SUMIF('Resource Demand - Activity'!$FT:$FT,Example!$G23,'Resource Demand - Activity'!CK:CK)</f>
        <v>0</v>
      </c>
      <c r="CQ23" s="35">
        <f>SUMIF('Resource Demand - Activity'!$FT:$FT,Example!$G23,'Resource Demand - Activity'!CL:CL)</f>
        <v>0</v>
      </c>
      <c r="CR23" s="35">
        <f>SUMIF('Resource Demand - Activity'!$FT:$FT,Example!$G23,'Resource Demand - Activity'!CM:CM)</f>
        <v>0</v>
      </c>
      <c r="CS23" s="35">
        <f>SUMIF('Resource Demand - Activity'!$FT:$FT,Example!$G23,'Resource Demand - Activity'!CN:CN)</f>
        <v>0</v>
      </c>
      <c r="CT23" s="35">
        <f>SUMIF('Resource Demand - Activity'!$FT:$FT,Example!$G23,'Resource Demand - Activity'!CO:CO)</f>
        <v>0</v>
      </c>
      <c r="CU23" s="35">
        <f>SUMIF('Resource Demand - Activity'!$FT:$FT,Example!$G23,'Resource Demand - Activity'!CP:CP)</f>
        <v>0</v>
      </c>
      <c r="CV23" s="35">
        <f>SUMIF('Resource Demand - Activity'!$FT:$FT,Example!$G23,'Resource Demand - Activity'!CQ:CQ)</f>
        <v>0</v>
      </c>
      <c r="CW23" s="35">
        <f>SUMIF('Resource Demand - Activity'!$FT:$FT,Example!$G23,'Resource Demand - Activity'!CR:CR)</f>
        <v>0</v>
      </c>
      <c r="CX23" s="35">
        <f>SUMIF('Resource Demand - Activity'!$FT:$FT,Example!$G23,'Resource Demand - Activity'!CS:CS)</f>
        <v>0</v>
      </c>
      <c r="CY23" s="36"/>
      <c r="CZ23" s="35">
        <f>SUMIF('Resource Demand - Activity'!$FT:$FT,Example!$G23,'Resource Demand - Activity'!CU:CU)</f>
        <v>0</v>
      </c>
      <c r="DA23" s="35">
        <f>SUMIF('Resource Demand - Activity'!$FT:$FT,Example!$G23,'Resource Demand - Activity'!CV:CV)</f>
        <v>0</v>
      </c>
      <c r="DB23" s="35">
        <f>SUMIF('Resource Demand - Activity'!$FT:$FT,Example!$G23,'Resource Demand - Activity'!CW:CW)</f>
        <v>0</v>
      </c>
      <c r="DC23" s="35">
        <f>SUMIF('Resource Demand - Activity'!$FT:$FT,Example!$G23,'Resource Demand - Activity'!CX:CX)</f>
        <v>0</v>
      </c>
      <c r="DD23" s="35">
        <f>SUMIF('Resource Demand - Activity'!$FT:$FT,Example!$G23,'Resource Demand - Activity'!CY:CY)</f>
        <v>0</v>
      </c>
      <c r="DE23" s="36"/>
      <c r="DF23" s="36"/>
      <c r="DG23" s="35">
        <f>SUMIF('Resource Demand - Activity'!$FT:$FT,Example!$G23,'Resource Demand - Activity'!DB:DB)</f>
        <v>0</v>
      </c>
      <c r="DH23" s="35">
        <f>SUMIF('Resource Demand - Activity'!$FT:$FT,Example!$G23,'Resource Demand - Activity'!DC:DC)</f>
        <v>0</v>
      </c>
      <c r="DI23" s="35">
        <f>SUMIF('Resource Demand - Activity'!$FT:$FT,Example!$G23,'Resource Demand - Activity'!DD:DD)</f>
        <v>0</v>
      </c>
      <c r="DJ23" s="35">
        <f>SUMIF('Resource Demand - Activity'!$FT:$FT,Example!$G23,'Resource Demand - Activity'!DE:DE)</f>
        <v>0</v>
      </c>
      <c r="DK23" s="35">
        <f>SUMIF('Resource Demand - Activity'!$FT:$FT,Example!$G23,'Resource Demand - Activity'!DF:DF)</f>
        <v>0</v>
      </c>
      <c r="DL23" s="35">
        <f>SUMIF('Resource Demand - Activity'!$FT:$FT,Example!$G23,'Resource Demand - Activity'!DG:DG)</f>
        <v>0</v>
      </c>
      <c r="DM23" s="35">
        <f>SUMIF('Resource Demand - Activity'!$FT:$FT,Example!$G23,'Resource Demand - Activity'!DH:DH)</f>
        <v>0</v>
      </c>
      <c r="DN23" s="35">
        <f>SUMIF('Resource Demand - Activity'!$FT:$FT,Example!$G23,'Resource Demand - Activity'!DI:DI)</f>
        <v>0</v>
      </c>
      <c r="DO23" s="35">
        <f>SUMIF('Resource Demand - Activity'!$FT:$FT,Example!$G23,'Resource Demand - Activity'!DJ:DJ)</f>
        <v>0</v>
      </c>
      <c r="DP23" s="35">
        <f>SUMIF('Resource Demand - Activity'!$FT:$FT,Example!$G23,'Resource Demand - Activity'!DK:DK)</f>
        <v>0</v>
      </c>
      <c r="DQ23" s="35">
        <f>SUMIF('Resource Demand - Activity'!$FT:$FT,Example!$G23,'Resource Demand - Activity'!DL:DL)</f>
        <v>0</v>
      </c>
      <c r="DR23" s="35">
        <f>SUMIF('Resource Demand - Activity'!$FT:$FT,Example!$G23,'Resource Demand - Activity'!DM:DM)</f>
        <v>0</v>
      </c>
      <c r="DS23" s="35">
        <f>SUMIF('Resource Demand - Activity'!$FT:$FT,Example!$G23,'Resource Demand - Activity'!DN:DN)</f>
        <v>0</v>
      </c>
      <c r="DT23" s="35">
        <f>SUMIF('Resource Demand - Activity'!$FT:$FT,Example!$G23,'Resource Demand - Activity'!DO:DO)</f>
        <v>0</v>
      </c>
      <c r="DU23" s="35">
        <f>SUMIF('Resource Demand - Activity'!$FT:$FT,Example!$G23,'Resource Demand - Activity'!DP:DP)</f>
        <v>0</v>
      </c>
      <c r="DV23" s="35">
        <f>SUMIF('Resource Demand - Activity'!$FT:$FT,Example!$G23,'Resource Demand - Activity'!DQ:DQ)</f>
        <v>0</v>
      </c>
      <c r="DW23" s="35">
        <f>SUMIF('Resource Demand - Activity'!$FT:$FT,Example!$G23,'Resource Demand - Activity'!DR:DR)</f>
        <v>0</v>
      </c>
      <c r="DX23" s="35">
        <f>SUMIF('Resource Demand - Activity'!$FT:$FT,Example!$G23,'Resource Demand - Activity'!DS:DS)</f>
        <v>0</v>
      </c>
      <c r="DY23" s="35">
        <f>SUMIF('Resource Demand - Activity'!$FT:$FT,Example!$G23,'Resource Demand - Activity'!DT:DT)</f>
        <v>0</v>
      </c>
      <c r="DZ23" s="35">
        <f>SUMIF('Resource Demand - Activity'!$FT:$FT,Example!$G23,'Resource Demand - Activity'!DU:DU)</f>
        <v>0</v>
      </c>
      <c r="EA23" s="35">
        <f>SUMIF('Resource Demand - Activity'!$FT:$FT,Example!$G23,'Resource Demand - Activity'!DV:DV)</f>
        <v>0</v>
      </c>
      <c r="EB23" s="35">
        <f>SUMIF('Resource Demand - Activity'!$FT:$FT,Example!$G23,'Resource Demand - Activity'!DW:DW)</f>
        <v>0</v>
      </c>
      <c r="EC23" s="35">
        <f>SUMIF('Resource Demand - Activity'!$FT:$FT,Example!$G23,'Resource Demand - Activity'!DX:DX)</f>
        <v>0</v>
      </c>
      <c r="ED23" s="35">
        <f>SUMIF('Resource Demand - Activity'!$FT:$FT,Example!$G23,'Resource Demand - Activity'!DY:DY)</f>
        <v>0</v>
      </c>
      <c r="EE23" s="36"/>
      <c r="EF23" s="35">
        <f>SUMIF('Resource Demand - Activity'!$FT:$FT,Example!$G23,'Resource Demand - Activity'!EA:EA)</f>
        <v>0</v>
      </c>
      <c r="EG23" s="35">
        <f>SUMIF('Resource Demand - Activity'!$FT:$FT,Example!$G23,'Resource Demand - Activity'!EB:EB)</f>
        <v>0</v>
      </c>
      <c r="EH23" s="35">
        <f>SUMIF('Resource Demand - Activity'!$FT:$FT,Example!$G23,'Resource Demand - Activity'!EC:EC)</f>
        <v>0</v>
      </c>
      <c r="EI23" s="35">
        <f>SUMIF('Resource Demand - Activity'!$FT:$FT,Example!$G23,'Resource Demand - Activity'!ED:ED)</f>
        <v>0</v>
      </c>
      <c r="EJ23" s="35">
        <f>SUMIF('Resource Demand - Activity'!$FT:$FT,Example!$G23,'Resource Demand - Activity'!EE:EE)</f>
        <v>0</v>
      </c>
      <c r="EK23" s="35">
        <f>SUMIF('Resource Demand - Activity'!$FT:$FT,Example!$G23,'Resource Demand - Activity'!EF:EF)</f>
        <v>0</v>
      </c>
      <c r="EL23" s="35">
        <f>SUMIF('Resource Demand - Activity'!$FT:$FT,Example!$G23,'Resource Demand - Activity'!EG:EG)</f>
        <v>0</v>
      </c>
      <c r="EM23" s="35">
        <f>SUMIF('Resource Demand - Activity'!$FT:$FT,Example!$G23,'Resource Demand - Activity'!EH:EH)</f>
        <v>0</v>
      </c>
      <c r="EN23" s="35">
        <f>SUMIF('Resource Demand - Activity'!$FT:$FT,Example!$G23,'Resource Demand - Activity'!EI:EI)</f>
        <v>0</v>
      </c>
      <c r="EO23" s="35">
        <f>SUMIF('Resource Demand - Activity'!$FT:$FT,Example!$G23,'Resource Demand - Activity'!EJ:EJ)</f>
        <v>0</v>
      </c>
      <c r="EP23" s="35">
        <f>SUMIF('Resource Demand - Activity'!$FT:$FT,Example!$G23,'Resource Demand - Activity'!EK:EK)</f>
        <v>0</v>
      </c>
      <c r="EQ23" s="35">
        <f>SUMIF('Resource Demand - Activity'!$FT:$FT,Example!$G23,'Resource Demand - Activity'!EL:EL)</f>
        <v>0</v>
      </c>
      <c r="ER23" s="35">
        <f>SUMIF('Resource Demand - Activity'!$FT:$FT,Example!$G23,'Resource Demand - Activity'!EM:EM)</f>
        <v>0</v>
      </c>
      <c r="ES23" s="35">
        <f>SUMIF('Resource Demand - Activity'!$FT:$FT,Example!$G23,'Resource Demand - Activity'!EN:EN)</f>
        <v>0</v>
      </c>
      <c r="ET23" s="35">
        <f>SUMIF('Resource Demand - Activity'!$FT:$FT,Example!$G23,'Resource Demand - Activity'!EO:EO)</f>
        <v>0</v>
      </c>
      <c r="EU23" s="35">
        <f>SUMIF('Resource Demand - Activity'!$FT:$FT,Example!$G23,'Resource Demand - Activity'!EP:EP)</f>
        <v>0</v>
      </c>
      <c r="EV23" s="35">
        <f>SUMIF('Resource Demand - Activity'!$FT:$FT,Example!$G23,'Resource Demand - Activity'!EQ:EQ)</f>
        <v>0</v>
      </c>
      <c r="EW23" s="35">
        <f>SUMIF('Resource Demand - Activity'!$FT:$FT,Example!$G23,'Resource Demand - Activity'!ER:ER)</f>
        <v>0</v>
      </c>
      <c r="EX23" s="35">
        <f>SUMIF('Resource Demand - Activity'!$FT:$FT,Example!$G23,'Resource Demand - Activity'!ES:ES)</f>
        <v>0</v>
      </c>
      <c r="EY23" s="35">
        <f>SUMIF('Resource Demand - Activity'!$FT:$FT,Example!$G23,'Resource Demand - Activity'!ET:ET)</f>
        <v>0</v>
      </c>
      <c r="EZ23" s="35">
        <f>SUMIF('Resource Demand - Activity'!$FT:$FT,Example!$G23,'Resource Demand - Activity'!EU:EU)</f>
        <v>0</v>
      </c>
      <c r="FA23" s="35">
        <f>SUMIF('Resource Demand - Activity'!$FT:$FT,Example!$G23,'Resource Demand - Activity'!EV:EV)</f>
        <v>0</v>
      </c>
      <c r="FB23" s="35">
        <f>SUMIF('Resource Demand - Activity'!$FT:$FT,Example!$G23,'Resource Demand - Activity'!EW:EW)</f>
        <v>0</v>
      </c>
      <c r="FC23" s="35">
        <f>SUMIF('Resource Demand - Activity'!$FT:$FT,Example!$G23,'Resource Demand - Activity'!EX:EX)</f>
        <v>0</v>
      </c>
      <c r="FD23" s="36"/>
      <c r="FE23" s="35">
        <f>SUMIF('Resource Demand - Activity'!$FT:$FT,Example!$G23,'Resource Demand - Activity'!EZ:EZ)</f>
        <v>0</v>
      </c>
      <c r="FF23" s="35">
        <f>SUMIF('Resource Demand - Activity'!$FT:$FT,Example!$G23,'Resource Demand - Activity'!FA:FA)</f>
        <v>0</v>
      </c>
      <c r="FG23" s="35">
        <f>SUMIF('Resource Demand - Activity'!$FT:$FT,Example!$G23,'Resource Demand - Activity'!FB:FB)</f>
        <v>0</v>
      </c>
      <c r="FH23" s="35">
        <f>SUMIF('Resource Demand - Activity'!$FT:$FT,Example!$G23,'Resource Demand - Activity'!FC:FC)</f>
        <v>0</v>
      </c>
      <c r="FI23" s="35">
        <f>SUMIF('Resource Demand - Activity'!$FT:$FT,Example!$G23,'Resource Demand - Activity'!FD:FD)</f>
        <v>0</v>
      </c>
      <c r="FJ23" s="35">
        <f>SUMIF('Resource Demand - Activity'!$FT:$FT,Example!$G23,'Resource Demand - Activity'!FE:FE)</f>
        <v>0</v>
      </c>
      <c r="FK23" s="35">
        <f>SUMIF('Resource Demand - Activity'!$FT:$FT,Example!$G23,'Resource Demand - Activity'!FF:FF)</f>
        <v>0</v>
      </c>
      <c r="FL23" s="35">
        <f>SUMIF('Resource Demand - Activity'!$FT:$FT,Example!$G23,'Resource Demand - Activity'!FG:FG)</f>
        <v>0</v>
      </c>
      <c r="FM23" s="35">
        <f>SUMIF('Resource Demand - Activity'!$FT:$FT,Example!$G23,'Resource Demand - Activity'!FH:FH)</f>
        <v>0</v>
      </c>
      <c r="FN23" s="35">
        <f>SUMIF('Resource Demand - Activity'!$FT:$FT,Example!$G23,'Resource Demand - Activity'!FI:FI)</f>
        <v>0</v>
      </c>
      <c r="FO23" s="35">
        <f>SUMIF('Resource Demand - Activity'!$FT:$FT,Example!$G23,'Resource Demand - Activity'!FJ:FJ)</f>
        <v>0</v>
      </c>
      <c r="FP23" s="35">
        <f>SUMIF('Resource Demand - Activity'!$FT:$FT,Example!$G23,'Resource Demand - Activity'!FK:FK)</f>
        <v>0</v>
      </c>
      <c r="FQ23" s="35">
        <f>SUMIF('Resource Demand - Activity'!$FT:$FT,Example!$G23,'Resource Demand - Activity'!FL:FL)</f>
        <v>0</v>
      </c>
      <c r="FR23" s="35">
        <f>SUMIF('Resource Demand - Activity'!$FT:$FT,Example!$G23,'Resource Demand - Activity'!FM:FM)</f>
        <v>0</v>
      </c>
      <c r="FS23" s="35">
        <f>SUMIF('Resource Demand - Activity'!$FT:$FT,Example!$G23,'Resource Demand - Activity'!FN:FN)</f>
        <v>0</v>
      </c>
      <c r="FT23" s="35">
        <f>SUMIF('Resource Demand - Activity'!$FT:$FT,Example!$G23,'Resource Demand - Activity'!FO:FO)</f>
        <v>0</v>
      </c>
      <c r="FU23" s="35">
        <f>SUMIF('Resource Demand - Activity'!$FT:$FT,Example!$G23,'Resource Demand - Activity'!FP:FP)</f>
        <v>0</v>
      </c>
      <c r="FV23" s="52">
        <f>SUMIF('Resource Demand - Activity'!$FT:$FT,Example!$G23,'Resource Demand - Activity'!FQ:FQ)</f>
        <v>0</v>
      </c>
    </row>
    <row r="24" spans="2:178" s="58" customFormat="1" ht="12" customHeight="1">
      <c r="B24" s="68" t="s">
        <v>9</v>
      </c>
      <c r="C24" s="72">
        <v>2015</v>
      </c>
      <c r="D24" s="72" t="s">
        <v>191</v>
      </c>
      <c r="E24" s="166" t="s">
        <v>194</v>
      </c>
      <c r="G24" s="64" t="str">
        <f t="shared" si="3"/>
        <v>11. FDS Release 3 11.2 FDS Release 3 - UAT / Ops models / PGLS Glenn Kirk</v>
      </c>
      <c r="H24" s="102" t="s">
        <v>177</v>
      </c>
      <c r="I24" s="59" t="str">
        <f>INDEX('Resource Demand - Activity'!C:C,MATCH(Example!G24,'Resource Demand - Activity'!FT:FT,0))</f>
        <v>5 days</v>
      </c>
      <c r="J24" s="51">
        <f>SUMIF('Resource Demand - Activity'!$FT:$FT,Example!$G24,'Resource Demand - Activity'!E:E)</f>
        <v>0</v>
      </c>
      <c r="K24" s="35">
        <f>SUMIF('Resource Demand - Activity'!$FT:$FT,Example!$G24,'Resource Demand - Activity'!F:F)</f>
        <v>0</v>
      </c>
      <c r="L24" s="35">
        <f>SUMIF('Resource Demand - Activity'!$FT:$FT,Example!$G24,'Resource Demand - Activity'!G:G)</f>
        <v>0</v>
      </c>
      <c r="M24" s="35">
        <f>SUMIF('Resource Demand - Activity'!$FT:$FT,Example!$G24,'Resource Demand - Activity'!H:H)</f>
        <v>0</v>
      </c>
      <c r="N24" s="35">
        <f>SUMIF('Resource Demand - Activity'!$FT:$FT,Example!$G24,'Resource Demand - Activity'!I:I)</f>
        <v>0</v>
      </c>
      <c r="O24" s="35">
        <f>SUMIF('Resource Demand - Activity'!$FT:$FT,Example!$G24,'Resource Demand - Activity'!J:J)</f>
        <v>0.4</v>
      </c>
      <c r="P24" s="35">
        <f>SUMIF('Resource Demand - Activity'!$FT:$FT,Example!$G24,'Resource Demand - Activity'!K:K)</f>
        <v>0.4</v>
      </c>
      <c r="Q24" s="35">
        <f>SUMIF('Resource Demand - Activity'!$FT:$FT,Example!$G24,'Resource Demand - Activity'!L:L)</f>
        <v>0.4</v>
      </c>
      <c r="R24" s="35">
        <f>SUMIF('Resource Demand - Activity'!$FT:$FT,Example!$G24,'Resource Demand - Activity'!M:M)</f>
        <v>0.4</v>
      </c>
      <c r="S24" s="35">
        <f>SUMIF('Resource Demand - Activity'!$FT:$FT,Example!$G24,'Resource Demand - Activity'!N:N)</f>
        <v>0.4</v>
      </c>
      <c r="T24" s="35">
        <f>SUMIF('Resource Demand - Activity'!$FT:$FT,Example!$G24,'Resource Demand - Activity'!O:O)</f>
        <v>0.4</v>
      </c>
      <c r="U24" s="35">
        <f>SUMIF('Resource Demand - Activity'!$FT:$FT,Example!$G24,'Resource Demand - Activity'!P:P)</f>
        <v>0.05</v>
      </c>
      <c r="V24" s="35">
        <f>SUMIF('Resource Demand - Activity'!$FT:$FT,Example!$G24,'Resource Demand - Activity'!Q:Q)</f>
        <v>0</v>
      </c>
      <c r="W24" s="35">
        <f>SUMIF('Resource Demand - Activity'!$FT:$FT,Example!$G24,'Resource Demand - Activity'!R:R)</f>
        <v>0</v>
      </c>
      <c r="X24" s="35">
        <f>SUMIF('Resource Demand - Activity'!$FT:$FT,Example!$G24,'Resource Demand - Activity'!S:S)</f>
        <v>0.2</v>
      </c>
      <c r="Y24" s="35">
        <f>SUMIF('Resource Demand - Activity'!$FT:$FT,Example!$G24,'Resource Demand - Activity'!T:T)</f>
        <v>0</v>
      </c>
      <c r="Z24" s="35">
        <f>SUMIF('Resource Demand - Activity'!$FT:$FT,Example!$G24,'Resource Demand - Activity'!U:U)</f>
        <v>0.45</v>
      </c>
      <c r="AA24" s="35">
        <f>SUMIF('Resource Demand - Activity'!$FT:$FT,Example!$G24,'Resource Demand - Activity'!V:V)</f>
        <v>0.4</v>
      </c>
      <c r="AB24" s="35">
        <f>SUMIF('Resource Demand - Activity'!$FT:$FT,Example!$G24,'Resource Demand - Activity'!W:W)</f>
        <v>0.45</v>
      </c>
      <c r="AC24" s="35">
        <f>SUMIF('Resource Demand - Activity'!$FT:$FT,Example!$G24,'Resource Demand - Activity'!X:X)</f>
        <v>0.35</v>
      </c>
      <c r="AD24" s="35">
        <f>SUMIF('Resource Demand - Activity'!$FT:$FT,Example!$G24,'Resource Demand - Activity'!Y:Y)</f>
        <v>0.05</v>
      </c>
      <c r="AE24" s="35">
        <f>SUMIF('Resource Demand - Activity'!$FT:$FT,Example!$G24,'Resource Demand - Activity'!Z:Z)</f>
        <v>0.1</v>
      </c>
      <c r="AF24" s="35">
        <f>SUMIF('Resource Demand - Activity'!$FT:$FT,Example!$G24,'Resource Demand - Activity'!AA:AA)</f>
        <v>0.05</v>
      </c>
      <c r="AG24" s="35">
        <f>SUMIF('Resource Demand - Activity'!$FT:$FT,Example!$G24,'Resource Demand - Activity'!AB:AB)</f>
        <v>0.05</v>
      </c>
      <c r="AH24" s="35">
        <f>SUMIF('Resource Demand - Activity'!$FT:$FT,Example!$G24,'Resource Demand - Activity'!AC:AC)</f>
        <v>0</v>
      </c>
      <c r="AI24" s="35">
        <f>SUMIF('Resource Demand - Activity'!$FT:$FT,Example!$G24,'Resource Demand - Activity'!AD:AD)</f>
        <v>0</v>
      </c>
      <c r="AJ24" s="35">
        <f>SUMIF('Resource Demand - Activity'!$FT:$FT,Example!$G24,'Resource Demand - Activity'!AE:AE)</f>
        <v>0</v>
      </c>
      <c r="AK24" s="35">
        <f>SUMIF('Resource Demand - Activity'!$FT:$FT,Example!$G24,'Resource Demand - Activity'!AF:AF)</f>
        <v>0</v>
      </c>
      <c r="AL24" s="35">
        <f>SUMIF('Resource Demand - Activity'!$FT:$FT,Example!$G24,'Resource Demand - Activity'!AG:AG)</f>
        <v>0</v>
      </c>
      <c r="AM24" s="35">
        <f>SUMIF('Resource Demand - Activity'!$FT:$FT,Example!$G24,'Resource Demand - Activity'!AH:AH)</f>
        <v>0</v>
      </c>
      <c r="AN24" s="35">
        <f>SUMIF('Resource Demand - Activity'!$FT:$FT,Example!$G24,'Resource Demand - Activity'!AI:AI)</f>
        <v>0</v>
      </c>
      <c r="AO24" s="35">
        <f>SUMIF('Resource Demand - Activity'!$FT:$FT,Example!$G24,'Resource Demand - Activity'!AJ:AJ)</f>
        <v>0</v>
      </c>
      <c r="AP24" s="35">
        <f>SUMIF('Resource Demand - Activity'!$FT:$FT,Example!$G24,'Resource Demand - Activity'!AK:AK)</f>
        <v>0</v>
      </c>
      <c r="AQ24" s="36"/>
      <c r="AR24" s="36"/>
      <c r="AS24" s="36"/>
      <c r="AT24" s="36"/>
      <c r="AU24" s="36"/>
      <c r="AV24" s="36"/>
      <c r="AW24" s="36"/>
      <c r="AX24" s="35">
        <f>SUMIF('Resource Demand - Activity'!$FT:$FT,Example!$G24,'Resource Demand - Activity'!AS:AS)</f>
        <v>0</v>
      </c>
      <c r="AY24" s="35">
        <f>SUMIF('Resource Demand - Activity'!$FT:$FT,Example!$G24,'Resource Demand - Activity'!AT:AT)</f>
        <v>0</v>
      </c>
      <c r="AZ24" s="35">
        <f>SUMIF('Resource Demand - Activity'!$FT:$FT,Example!$G24,'Resource Demand - Activity'!AU:AU)</f>
        <v>0</v>
      </c>
      <c r="BA24" s="35">
        <f>SUMIF('Resource Demand - Activity'!$FT:$FT,Example!$G24,'Resource Demand - Activity'!AV:AV)</f>
        <v>0</v>
      </c>
      <c r="BB24" s="35">
        <f>SUMIF('Resource Demand - Activity'!$FT:$FT,Example!$G24,'Resource Demand - Activity'!AW:AW)</f>
        <v>0</v>
      </c>
      <c r="BC24" s="35">
        <f>SUMIF('Resource Demand - Activity'!$FT:$FT,Example!$G24,'Resource Demand - Activity'!AX:AX)</f>
        <v>0</v>
      </c>
      <c r="BD24" s="35">
        <f>SUMIF('Resource Demand - Activity'!$FT:$FT,Example!$G24,'Resource Demand - Activity'!AY:AY)</f>
        <v>0</v>
      </c>
      <c r="BE24" s="35">
        <f>SUMIF('Resource Demand - Activity'!$FT:$FT,Example!$G24,'Resource Demand - Activity'!AZ:AZ)</f>
        <v>0</v>
      </c>
      <c r="BF24" s="35">
        <f>SUMIF('Resource Demand - Activity'!$FT:$FT,Example!$G24,'Resource Demand - Activity'!BA:BA)</f>
        <v>0</v>
      </c>
      <c r="BG24" s="35">
        <f>SUMIF('Resource Demand - Activity'!$FT:$FT,Example!$G24,'Resource Demand - Activity'!BB:BB)</f>
        <v>0</v>
      </c>
      <c r="BH24" s="35">
        <f>SUMIF('Resource Demand - Activity'!$FT:$FT,Example!$G24,'Resource Demand - Activity'!BC:BC)</f>
        <v>0</v>
      </c>
      <c r="BI24" s="35">
        <f>SUMIF('Resource Demand - Activity'!$FT:$FT,Example!$G24,'Resource Demand - Activity'!BD:BD)</f>
        <v>0</v>
      </c>
      <c r="BJ24" s="35">
        <f>SUMIF('Resource Demand - Activity'!$FT:$FT,Example!$G24,'Resource Demand - Activity'!BE:BE)</f>
        <v>0</v>
      </c>
      <c r="BK24" s="35">
        <f>SUMIF('Resource Demand - Activity'!$FT:$FT,Example!$G24,'Resource Demand - Activity'!BF:BF)</f>
        <v>0</v>
      </c>
      <c r="BL24" s="35">
        <f>SUMIF('Resource Demand - Activity'!$FT:$FT,Example!$G24,'Resource Demand - Activity'!BG:BG)</f>
        <v>0</v>
      </c>
      <c r="BM24" s="35">
        <f>SUMIF('Resource Demand - Activity'!$FT:$FT,Example!$G24,'Resource Demand - Activity'!BH:BH)</f>
        <v>0</v>
      </c>
      <c r="BN24" s="35">
        <f>SUMIF('Resource Demand - Activity'!$FT:$FT,Example!$G24,'Resource Demand - Activity'!BI:BI)</f>
        <v>0</v>
      </c>
      <c r="BO24" s="35">
        <f>SUMIF('Resource Demand - Activity'!$FT:$FT,Example!$G24,'Resource Demand - Activity'!BJ:BJ)</f>
        <v>0</v>
      </c>
      <c r="BP24" s="35">
        <f>SUMIF('Resource Demand - Activity'!$FT:$FT,Example!$G24,'Resource Demand - Activity'!BK:BK)</f>
        <v>0</v>
      </c>
      <c r="BQ24" s="35">
        <f>SUMIF('Resource Demand - Activity'!$FT:$FT,Example!$G24,'Resource Demand - Activity'!BL:BL)</f>
        <v>0</v>
      </c>
      <c r="BR24" s="35">
        <f>SUMIF('Resource Demand - Activity'!$FT:$FT,Example!$G24,'Resource Demand - Activity'!BM:BM)</f>
        <v>0</v>
      </c>
      <c r="BS24" s="35">
        <f>SUMIF('Resource Demand - Activity'!$FT:$FT,Example!$G24,'Resource Demand - Activity'!BN:BN)</f>
        <v>0</v>
      </c>
      <c r="BT24" s="35">
        <f>SUMIF('Resource Demand - Activity'!$FT:$FT,Example!$G24,'Resource Demand - Activity'!BO:BO)</f>
        <v>0</v>
      </c>
      <c r="BU24" s="35">
        <f>SUMIF('Resource Demand - Activity'!$FT:$FT,Example!$G24,'Resource Demand - Activity'!BP:BP)</f>
        <v>0</v>
      </c>
      <c r="BV24" s="35">
        <f>SUMIF('Resource Demand - Activity'!$FT:$FT,Example!$G24,'Resource Demand - Activity'!BQ:BQ)</f>
        <v>0</v>
      </c>
      <c r="BW24" s="35">
        <f>SUMIF('Resource Demand - Activity'!$FT:$FT,Example!$G24,'Resource Demand - Activity'!BR:BR)</f>
        <v>0</v>
      </c>
      <c r="BX24" s="35">
        <f>SUMIF('Resource Demand - Activity'!$FT:$FT,Example!$G24,'Resource Demand - Activity'!BS:BS)</f>
        <v>0</v>
      </c>
      <c r="BY24" s="35">
        <f>SUMIF('Resource Demand - Activity'!$FT:$FT,Example!$G24,'Resource Demand - Activity'!BT:BT)</f>
        <v>0</v>
      </c>
      <c r="BZ24" s="35">
        <f>SUMIF('Resource Demand - Activity'!$FT:$FT,Example!$G24,'Resource Demand - Activity'!BU:BU)</f>
        <v>0</v>
      </c>
      <c r="CA24" s="35">
        <f>SUMIF('Resource Demand - Activity'!$FT:$FT,Example!$G24,'Resource Demand - Activity'!BV:BV)</f>
        <v>0</v>
      </c>
      <c r="CB24" s="35">
        <f>SUMIF('Resource Demand - Activity'!$FT:$FT,Example!$G24,'Resource Demand - Activity'!BW:BW)</f>
        <v>0</v>
      </c>
      <c r="CC24" s="35">
        <f>SUMIF('Resource Demand - Activity'!$FT:$FT,Example!$G24,'Resource Demand - Activity'!BX:BX)</f>
        <v>0</v>
      </c>
      <c r="CD24" s="35">
        <f>SUMIF('Resource Demand - Activity'!$FT:$FT,Example!$G24,'Resource Demand - Activity'!BY:BY)</f>
        <v>0</v>
      </c>
      <c r="CE24" s="35">
        <f>SUMIF('Resource Demand - Activity'!$FT:$FT,Example!$G24,'Resource Demand - Activity'!BZ:BZ)</f>
        <v>0</v>
      </c>
      <c r="CF24" s="35">
        <f>SUMIF('Resource Demand - Activity'!$FT:$FT,Example!$G24,'Resource Demand - Activity'!CA:CA)</f>
        <v>0</v>
      </c>
      <c r="CG24" s="35">
        <f>SUMIF('Resource Demand - Activity'!$FT:$FT,Example!$G24,'Resource Demand - Activity'!CB:CB)</f>
        <v>0</v>
      </c>
      <c r="CH24" s="35">
        <f>SUMIF('Resource Demand - Activity'!$FT:$FT,Example!$G24,'Resource Demand - Activity'!CC:CC)</f>
        <v>0</v>
      </c>
      <c r="CI24" s="35">
        <f>SUMIF('Resource Demand - Activity'!$FT:$FT,Example!$G24,'Resource Demand - Activity'!CD:CD)</f>
        <v>0</v>
      </c>
      <c r="CJ24" s="35">
        <f>SUMIF('Resource Demand - Activity'!$FT:$FT,Example!$G24,'Resource Demand - Activity'!CE:CE)</f>
        <v>0</v>
      </c>
      <c r="CK24" s="35">
        <f>SUMIF('Resource Demand - Activity'!$FT:$FT,Example!$G24,'Resource Demand - Activity'!CF:CF)</f>
        <v>0</v>
      </c>
      <c r="CL24" s="35">
        <f>SUMIF('Resource Demand - Activity'!$FT:$FT,Example!$G24,'Resource Demand - Activity'!CG:CG)</f>
        <v>0</v>
      </c>
      <c r="CM24" s="35">
        <f>SUMIF('Resource Demand - Activity'!$FT:$FT,Example!$G24,'Resource Demand - Activity'!CH:CH)</f>
        <v>0</v>
      </c>
      <c r="CN24" s="35">
        <f>SUMIF('Resource Demand - Activity'!$FT:$FT,Example!$G24,'Resource Demand - Activity'!CI:CI)</f>
        <v>0</v>
      </c>
      <c r="CO24" s="35">
        <f>SUMIF('Resource Demand - Activity'!$FT:$FT,Example!$G24,'Resource Demand - Activity'!CJ:CJ)</f>
        <v>0</v>
      </c>
      <c r="CP24" s="35">
        <f>SUMIF('Resource Demand - Activity'!$FT:$FT,Example!$G24,'Resource Demand - Activity'!CK:CK)</f>
        <v>0</v>
      </c>
      <c r="CQ24" s="35">
        <f>SUMIF('Resource Demand - Activity'!$FT:$FT,Example!$G24,'Resource Demand - Activity'!CL:CL)</f>
        <v>0</v>
      </c>
      <c r="CR24" s="35">
        <f>SUMIF('Resource Demand - Activity'!$FT:$FT,Example!$G24,'Resource Demand - Activity'!CM:CM)</f>
        <v>0</v>
      </c>
      <c r="CS24" s="35">
        <f>SUMIF('Resource Demand - Activity'!$FT:$FT,Example!$G24,'Resource Demand - Activity'!CN:CN)</f>
        <v>0</v>
      </c>
      <c r="CT24" s="35">
        <f>SUMIF('Resource Demand - Activity'!$FT:$FT,Example!$G24,'Resource Demand - Activity'!CO:CO)</f>
        <v>0</v>
      </c>
      <c r="CU24" s="35">
        <f>SUMIF('Resource Demand - Activity'!$FT:$FT,Example!$G24,'Resource Demand - Activity'!CP:CP)</f>
        <v>0</v>
      </c>
      <c r="CV24" s="35">
        <f>SUMIF('Resource Demand - Activity'!$FT:$FT,Example!$G24,'Resource Demand - Activity'!CQ:CQ)</f>
        <v>0</v>
      </c>
      <c r="CW24" s="35">
        <f>SUMIF('Resource Demand - Activity'!$FT:$FT,Example!$G24,'Resource Demand - Activity'!CR:CR)</f>
        <v>0</v>
      </c>
      <c r="CX24" s="35">
        <f>SUMIF('Resource Demand - Activity'!$FT:$FT,Example!$G24,'Resource Demand - Activity'!CS:CS)</f>
        <v>0</v>
      </c>
      <c r="CY24" s="36"/>
      <c r="CZ24" s="35">
        <f>SUMIF('Resource Demand - Activity'!$FT:$FT,Example!$G24,'Resource Demand - Activity'!CU:CU)</f>
        <v>0</v>
      </c>
      <c r="DA24" s="35">
        <f>SUMIF('Resource Demand - Activity'!$FT:$FT,Example!$G24,'Resource Demand - Activity'!CV:CV)</f>
        <v>0</v>
      </c>
      <c r="DB24" s="35">
        <f>SUMIF('Resource Demand - Activity'!$FT:$FT,Example!$G24,'Resource Demand - Activity'!CW:CW)</f>
        <v>0</v>
      </c>
      <c r="DC24" s="35">
        <f>SUMIF('Resource Demand - Activity'!$FT:$FT,Example!$G24,'Resource Demand - Activity'!CX:CX)</f>
        <v>0</v>
      </c>
      <c r="DD24" s="35">
        <f>SUMIF('Resource Demand - Activity'!$FT:$FT,Example!$G24,'Resource Demand - Activity'!CY:CY)</f>
        <v>0</v>
      </c>
      <c r="DE24" s="36"/>
      <c r="DF24" s="36"/>
      <c r="DG24" s="35">
        <f>SUMIF('Resource Demand - Activity'!$FT:$FT,Example!$G24,'Resource Demand - Activity'!DB:DB)</f>
        <v>0</v>
      </c>
      <c r="DH24" s="35">
        <f>SUMIF('Resource Demand - Activity'!$FT:$FT,Example!$G24,'Resource Demand - Activity'!DC:DC)</f>
        <v>0</v>
      </c>
      <c r="DI24" s="35">
        <f>SUMIF('Resource Demand - Activity'!$FT:$FT,Example!$G24,'Resource Demand - Activity'!DD:DD)</f>
        <v>0</v>
      </c>
      <c r="DJ24" s="35">
        <f>SUMIF('Resource Demand - Activity'!$FT:$FT,Example!$G24,'Resource Demand - Activity'!DE:DE)</f>
        <v>0</v>
      </c>
      <c r="DK24" s="35">
        <f>SUMIF('Resource Demand - Activity'!$FT:$FT,Example!$G24,'Resource Demand - Activity'!DF:DF)</f>
        <v>0</v>
      </c>
      <c r="DL24" s="35">
        <f>SUMIF('Resource Demand - Activity'!$FT:$FT,Example!$G24,'Resource Demand - Activity'!DG:DG)</f>
        <v>0</v>
      </c>
      <c r="DM24" s="35">
        <f>SUMIF('Resource Demand - Activity'!$FT:$FT,Example!$G24,'Resource Demand - Activity'!DH:DH)</f>
        <v>0</v>
      </c>
      <c r="DN24" s="35">
        <f>SUMIF('Resource Demand - Activity'!$FT:$FT,Example!$G24,'Resource Demand - Activity'!DI:DI)</f>
        <v>0</v>
      </c>
      <c r="DO24" s="35">
        <f>SUMIF('Resource Demand - Activity'!$FT:$FT,Example!$G24,'Resource Demand - Activity'!DJ:DJ)</f>
        <v>0</v>
      </c>
      <c r="DP24" s="35">
        <f>SUMIF('Resource Demand - Activity'!$FT:$FT,Example!$G24,'Resource Demand - Activity'!DK:DK)</f>
        <v>0</v>
      </c>
      <c r="DQ24" s="35">
        <f>SUMIF('Resource Demand - Activity'!$FT:$FT,Example!$G24,'Resource Demand - Activity'!DL:DL)</f>
        <v>0</v>
      </c>
      <c r="DR24" s="35">
        <f>SUMIF('Resource Demand - Activity'!$FT:$FT,Example!$G24,'Resource Demand - Activity'!DM:DM)</f>
        <v>0</v>
      </c>
      <c r="DS24" s="35">
        <f>SUMIF('Resource Demand - Activity'!$FT:$FT,Example!$G24,'Resource Demand - Activity'!DN:DN)</f>
        <v>0</v>
      </c>
      <c r="DT24" s="35">
        <f>SUMIF('Resource Demand - Activity'!$FT:$FT,Example!$G24,'Resource Demand - Activity'!DO:DO)</f>
        <v>0</v>
      </c>
      <c r="DU24" s="35">
        <f>SUMIF('Resource Demand - Activity'!$FT:$FT,Example!$G24,'Resource Demand - Activity'!DP:DP)</f>
        <v>0</v>
      </c>
      <c r="DV24" s="35">
        <f>SUMIF('Resource Demand - Activity'!$FT:$FT,Example!$G24,'Resource Demand - Activity'!DQ:DQ)</f>
        <v>0</v>
      </c>
      <c r="DW24" s="35">
        <f>SUMIF('Resource Demand - Activity'!$FT:$FT,Example!$G24,'Resource Demand - Activity'!DR:DR)</f>
        <v>0</v>
      </c>
      <c r="DX24" s="35">
        <f>SUMIF('Resource Demand - Activity'!$FT:$FT,Example!$G24,'Resource Demand - Activity'!DS:DS)</f>
        <v>0</v>
      </c>
      <c r="DY24" s="35">
        <f>SUMIF('Resource Demand - Activity'!$FT:$FT,Example!$G24,'Resource Demand - Activity'!DT:DT)</f>
        <v>0</v>
      </c>
      <c r="DZ24" s="35">
        <f>SUMIF('Resource Demand - Activity'!$FT:$FT,Example!$G24,'Resource Demand - Activity'!DU:DU)</f>
        <v>0</v>
      </c>
      <c r="EA24" s="35">
        <f>SUMIF('Resource Demand - Activity'!$FT:$FT,Example!$G24,'Resource Demand - Activity'!DV:DV)</f>
        <v>0</v>
      </c>
      <c r="EB24" s="35">
        <f>SUMIF('Resource Demand - Activity'!$FT:$FT,Example!$G24,'Resource Demand - Activity'!DW:DW)</f>
        <v>0</v>
      </c>
      <c r="EC24" s="35">
        <f>SUMIF('Resource Demand - Activity'!$FT:$FT,Example!$G24,'Resource Demand - Activity'!DX:DX)</f>
        <v>0</v>
      </c>
      <c r="ED24" s="35">
        <f>SUMIF('Resource Demand - Activity'!$FT:$FT,Example!$G24,'Resource Demand - Activity'!DY:DY)</f>
        <v>0</v>
      </c>
      <c r="EE24" s="36"/>
      <c r="EF24" s="35">
        <f>SUMIF('Resource Demand - Activity'!$FT:$FT,Example!$G24,'Resource Demand - Activity'!EA:EA)</f>
        <v>0</v>
      </c>
      <c r="EG24" s="35">
        <f>SUMIF('Resource Demand - Activity'!$FT:$FT,Example!$G24,'Resource Demand - Activity'!EB:EB)</f>
        <v>0</v>
      </c>
      <c r="EH24" s="35">
        <f>SUMIF('Resource Demand - Activity'!$FT:$FT,Example!$G24,'Resource Demand - Activity'!EC:EC)</f>
        <v>0</v>
      </c>
      <c r="EI24" s="35">
        <f>SUMIF('Resource Demand - Activity'!$FT:$FT,Example!$G24,'Resource Demand - Activity'!ED:ED)</f>
        <v>0</v>
      </c>
      <c r="EJ24" s="35">
        <f>SUMIF('Resource Demand - Activity'!$FT:$FT,Example!$G24,'Resource Demand - Activity'!EE:EE)</f>
        <v>0</v>
      </c>
      <c r="EK24" s="35">
        <f>SUMIF('Resource Demand - Activity'!$FT:$FT,Example!$G24,'Resource Demand - Activity'!EF:EF)</f>
        <v>0</v>
      </c>
      <c r="EL24" s="35">
        <f>SUMIF('Resource Demand - Activity'!$FT:$FT,Example!$G24,'Resource Demand - Activity'!EG:EG)</f>
        <v>0</v>
      </c>
      <c r="EM24" s="35">
        <f>SUMIF('Resource Demand - Activity'!$FT:$FT,Example!$G24,'Resource Demand - Activity'!EH:EH)</f>
        <v>0</v>
      </c>
      <c r="EN24" s="35">
        <f>SUMIF('Resource Demand - Activity'!$FT:$FT,Example!$G24,'Resource Demand - Activity'!EI:EI)</f>
        <v>0</v>
      </c>
      <c r="EO24" s="35">
        <f>SUMIF('Resource Demand - Activity'!$FT:$FT,Example!$G24,'Resource Demand - Activity'!EJ:EJ)</f>
        <v>0</v>
      </c>
      <c r="EP24" s="35">
        <f>SUMIF('Resource Demand - Activity'!$FT:$FT,Example!$G24,'Resource Demand - Activity'!EK:EK)</f>
        <v>0</v>
      </c>
      <c r="EQ24" s="35">
        <f>SUMIF('Resource Demand - Activity'!$FT:$FT,Example!$G24,'Resource Demand - Activity'!EL:EL)</f>
        <v>0</v>
      </c>
      <c r="ER24" s="35">
        <f>SUMIF('Resource Demand - Activity'!$FT:$FT,Example!$G24,'Resource Demand - Activity'!EM:EM)</f>
        <v>0</v>
      </c>
      <c r="ES24" s="35">
        <f>SUMIF('Resource Demand - Activity'!$FT:$FT,Example!$G24,'Resource Demand - Activity'!EN:EN)</f>
        <v>0</v>
      </c>
      <c r="ET24" s="35">
        <f>SUMIF('Resource Demand - Activity'!$FT:$FT,Example!$G24,'Resource Demand - Activity'!EO:EO)</f>
        <v>0</v>
      </c>
      <c r="EU24" s="35">
        <f>SUMIF('Resource Demand - Activity'!$FT:$FT,Example!$G24,'Resource Demand - Activity'!EP:EP)</f>
        <v>0</v>
      </c>
      <c r="EV24" s="35">
        <f>SUMIF('Resource Demand - Activity'!$FT:$FT,Example!$G24,'Resource Demand - Activity'!EQ:EQ)</f>
        <v>0</v>
      </c>
      <c r="EW24" s="35">
        <f>SUMIF('Resource Demand - Activity'!$FT:$FT,Example!$G24,'Resource Demand - Activity'!ER:ER)</f>
        <v>0</v>
      </c>
      <c r="EX24" s="35">
        <f>SUMIF('Resource Demand - Activity'!$FT:$FT,Example!$G24,'Resource Demand - Activity'!ES:ES)</f>
        <v>0</v>
      </c>
      <c r="EY24" s="35">
        <f>SUMIF('Resource Demand - Activity'!$FT:$FT,Example!$G24,'Resource Demand - Activity'!ET:ET)</f>
        <v>0</v>
      </c>
      <c r="EZ24" s="35">
        <f>SUMIF('Resource Demand - Activity'!$FT:$FT,Example!$G24,'Resource Demand - Activity'!EU:EU)</f>
        <v>0</v>
      </c>
      <c r="FA24" s="35">
        <f>SUMIF('Resource Demand - Activity'!$FT:$FT,Example!$G24,'Resource Demand - Activity'!EV:EV)</f>
        <v>0</v>
      </c>
      <c r="FB24" s="35">
        <f>SUMIF('Resource Demand - Activity'!$FT:$FT,Example!$G24,'Resource Demand - Activity'!EW:EW)</f>
        <v>0</v>
      </c>
      <c r="FC24" s="35">
        <f>SUMIF('Resource Demand - Activity'!$FT:$FT,Example!$G24,'Resource Demand - Activity'!EX:EX)</f>
        <v>0</v>
      </c>
      <c r="FD24" s="36"/>
      <c r="FE24" s="35">
        <f>SUMIF('Resource Demand - Activity'!$FT:$FT,Example!$G24,'Resource Demand - Activity'!EZ:EZ)</f>
        <v>0</v>
      </c>
      <c r="FF24" s="35">
        <f>SUMIF('Resource Demand - Activity'!$FT:$FT,Example!$G24,'Resource Demand - Activity'!FA:FA)</f>
        <v>0</v>
      </c>
      <c r="FG24" s="35">
        <f>SUMIF('Resource Demand - Activity'!$FT:$FT,Example!$G24,'Resource Demand - Activity'!FB:FB)</f>
        <v>0</v>
      </c>
      <c r="FH24" s="35">
        <f>SUMIF('Resource Demand - Activity'!$FT:$FT,Example!$G24,'Resource Demand - Activity'!FC:FC)</f>
        <v>0</v>
      </c>
      <c r="FI24" s="35">
        <f>SUMIF('Resource Demand - Activity'!$FT:$FT,Example!$G24,'Resource Demand - Activity'!FD:FD)</f>
        <v>0</v>
      </c>
      <c r="FJ24" s="35">
        <f>SUMIF('Resource Demand - Activity'!$FT:$FT,Example!$G24,'Resource Demand - Activity'!FE:FE)</f>
        <v>0</v>
      </c>
      <c r="FK24" s="35">
        <f>SUMIF('Resource Demand - Activity'!$FT:$FT,Example!$G24,'Resource Demand - Activity'!FF:FF)</f>
        <v>0</v>
      </c>
      <c r="FL24" s="35">
        <f>SUMIF('Resource Demand - Activity'!$FT:$FT,Example!$G24,'Resource Demand - Activity'!FG:FG)</f>
        <v>0</v>
      </c>
      <c r="FM24" s="35">
        <f>SUMIF('Resource Demand - Activity'!$FT:$FT,Example!$G24,'Resource Demand - Activity'!FH:FH)</f>
        <v>0</v>
      </c>
      <c r="FN24" s="35">
        <f>SUMIF('Resource Demand - Activity'!$FT:$FT,Example!$G24,'Resource Demand - Activity'!FI:FI)</f>
        <v>0</v>
      </c>
      <c r="FO24" s="35">
        <f>SUMIF('Resource Demand - Activity'!$FT:$FT,Example!$G24,'Resource Demand - Activity'!FJ:FJ)</f>
        <v>0</v>
      </c>
      <c r="FP24" s="35">
        <f>SUMIF('Resource Demand - Activity'!$FT:$FT,Example!$G24,'Resource Demand - Activity'!FK:FK)</f>
        <v>0</v>
      </c>
      <c r="FQ24" s="35">
        <f>SUMIF('Resource Demand - Activity'!$FT:$FT,Example!$G24,'Resource Demand - Activity'!FL:FL)</f>
        <v>0</v>
      </c>
      <c r="FR24" s="35">
        <f>SUMIF('Resource Demand - Activity'!$FT:$FT,Example!$G24,'Resource Demand - Activity'!FM:FM)</f>
        <v>0</v>
      </c>
      <c r="FS24" s="35">
        <f>SUMIF('Resource Demand - Activity'!$FT:$FT,Example!$G24,'Resource Demand - Activity'!FN:FN)</f>
        <v>0</v>
      </c>
      <c r="FT24" s="35">
        <f>SUMIF('Resource Demand - Activity'!$FT:$FT,Example!$G24,'Resource Demand - Activity'!FO:FO)</f>
        <v>0</v>
      </c>
      <c r="FU24" s="35">
        <f>SUMIF('Resource Demand - Activity'!$FT:$FT,Example!$G24,'Resource Demand - Activity'!FP:FP)</f>
        <v>0</v>
      </c>
      <c r="FV24" s="52">
        <f>SUMIF('Resource Demand - Activity'!$FT:$FT,Example!$G24,'Resource Demand - Activity'!FQ:FQ)</f>
        <v>0</v>
      </c>
    </row>
    <row r="25" spans="2:178" s="58" customFormat="1" ht="12" customHeight="1">
      <c r="B25" s="143" t="s">
        <v>17</v>
      </c>
      <c r="C25" s="142">
        <f>900*1.23</f>
        <v>1107</v>
      </c>
      <c r="D25" s="142">
        <f>900*1.23</f>
        <v>1107</v>
      </c>
      <c r="E25" s="166"/>
      <c r="G25" s="64" t="str">
        <f t="shared" si="3"/>
        <v>12. FDS Release 4 12.3 FDS Release 4 - Ireland TDS/ADS UAT Glenn Kirk</v>
      </c>
      <c r="H25" s="102" t="s">
        <v>178</v>
      </c>
      <c r="I25" s="59" t="str">
        <f>INDEX('Resource Demand - Activity'!C:C,MATCH(Example!G25,'Resource Demand - Activity'!FT:FT,0))</f>
        <v>1 days</v>
      </c>
      <c r="J25" s="51">
        <f>SUMIF('Resource Demand - Activity'!$FT:$FT,Example!$G25,'Resource Demand - Activity'!E:E)</f>
        <v>0.1</v>
      </c>
      <c r="K25" s="35">
        <f>SUMIF('Resource Demand - Activity'!$FT:$FT,Example!$G25,'Resource Demand - Activity'!F:F)</f>
        <v>0.1</v>
      </c>
      <c r="L25" s="35">
        <f>SUMIF('Resource Demand - Activity'!$FT:$FT,Example!$G25,'Resource Demand - Activity'!G:G)</f>
        <v>0.1</v>
      </c>
      <c r="M25" s="35">
        <f>SUMIF('Resource Demand - Activity'!$FT:$FT,Example!$G25,'Resource Demand - Activity'!H:H)</f>
        <v>0.1</v>
      </c>
      <c r="N25" s="35">
        <f>SUMIF('Resource Demand - Activity'!$FT:$FT,Example!$G25,'Resource Demand - Activity'!I:I)</f>
        <v>0.1</v>
      </c>
      <c r="O25" s="35">
        <f>SUMIF('Resource Demand - Activity'!$FT:$FT,Example!$G25,'Resource Demand - Activity'!J:J)</f>
        <v>0</v>
      </c>
      <c r="P25" s="35">
        <f>SUMIF('Resource Demand - Activity'!$FT:$FT,Example!$G25,'Resource Demand - Activity'!K:K)</f>
        <v>0</v>
      </c>
      <c r="Q25" s="35">
        <f>SUMIF('Resource Demand - Activity'!$FT:$FT,Example!$G25,'Resource Demand - Activity'!L:L)</f>
        <v>0</v>
      </c>
      <c r="R25" s="35">
        <f>SUMIF('Resource Demand - Activity'!$FT:$FT,Example!$G25,'Resource Demand - Activity'!M:M)</f>
        <v>0</v>
      </c>
      <c r="S25" s="35">
        <f>SUMIF('Resource Demand - Activity'!$FT:$FT,Example!$G25,'Resource Demand - Activity'!N:N)</f>
        <v>0</v>
      </c>
      <c r="T25" s="35">
        <f>SUMIF('Resource Demand - Activity'!$FT:$FT,Example!$G25,'Resource Demand - Activity'!O:O)</f>
        <v>0</v>
      </c>
      <c r="U25" s="35">
        <f>SUMIF('Resource Demand - Activity'!$FT:$FT,Example!$G25,'Resource Demand - Activity'!P:P)</f>
        <v>0</v>
      </c>
      <c r="V25" s="35">
        <f>SUMIF('Resource Demand - Activity'!$FT:$FT,Example!$G25,'Resource Demand - Activity'!Q:Q)</f>
        <v>0</v>
      </c>
      <c r="W25" s="35">
        <f>SUMIF('Resource Demand - Activity'!$FT:$FT,Example!$G25,'Resource Demand - Activity'!R:R)</f>
        <v>0</v>
      </c>
      <c r="X25" s="35">
        <f>SUMIF('Resource Demand - Activity'!$FT:$FT,Example!$G25,'Resource Demand - Activity'!S:S)</f>
        <v>0</v>
      </c>
      <c r="Y25" s="35">
        <f>SUMIF('Resource Demand - Activity'!$FT:$FT,Example!$G25,'Resource Demand - Activity'!T:T)</f>
        <v>0</v>
      </c>
      <c r="Z25" s="35">
        <f>SUMIF('Resource Demand - Activity'!$FT:$FT,Example!$G25,'Resource Demand - Activity'!U:U)</f>
        <v>0</v>
      </c>
      <c r="AA25" s="35">
        <f>SUMIF('Resource Demand - Activity'!$FT:$FT,Example!$G25,'Resource Demand - Activity'!V:V)</f>
        <v>0</v>
      </c>
      <c r="AB25" s="35">
        <f>SUMIF('Resource Demand - Activity'!$FT:$FT,Example!$G25,'Resource Demand - Activity'!W:W)</f>
        <v>0</v>
      </c>
      <c r="AC25" s="35">
        <f>SUMIF('Resource Demand - Activity'!$FT:$FT,Example!$G25,'Resource Demand - Activity'!X:X)</f>
        <v>0</v>
      </c>
      <c r="AD25" s="35">
        <f>SUMIF('Resource Demand - Activity'!$FT:$FT,Example!$G25,'Resource Demand - Activity'!Y:Y)</f>
        <v>0</v>
      </c>
      <c r="AE25" s="35">
        <f>SUMIF('Resource Demand - Activity'!$FT:$FT,Example!$G25,'Resource Demand - Activity'!Z:Z)</f>
        <v>0</v>
      </c>
      <c r="AF25" s="35">
        <f>SUMIF('Resource Demand - Activity'!$FT:$FT,Example!$G25,'Resource Demand - Activity'!AA:AA)</f>
        <v>0</v>
      </c>
      <c r="AG25" s="35">
        <f>SUMIF('Resource Demand - Activity'!$FT:$FT,Example!$G25,'Resource Demand - Activity'!AB:AB)</f>
        <v>0</v>
      </c>
      <c r="AH25" s="35">
        <f>SUMIF('Resource Demand - Activity'!$FT:$FT,Example!$G25,'Resource Demand - Activity'!AC:AC)</f>
        <v>0</v>
      </c>
      <c r="AI25" s="35">
        <f>SUMIF('Resource Demand - Activity'!$FT:$FT,Example!$G25,'Resource Demand - Activity'!AD:AD)</f>
        <v>0</v>
      </c>
      <c r="AJ25" s="35">
        <f>SUMIF('Resource Demand - Activity'!$FT:$FT,Example!$G25,'Resource Demand - Activity'!AE:AE)</f>
        <v>0</v>
      </c>
      <c r="AK25" s="35">
        <f>SUMIF('Resource Demand - Activity'!$FT:$FT,Example!$G25,'Resource Demand - Activity'!AF:AF)</f>
        <v>0</v>
      </c>
      <c r="AL25" s="35">
        <f>SUMIF('Resource Demand - Activity'!$FT:$FT,Example!$G25,'Resource Demand - Activity'!AG:AG)</f>
        <v>0</v>
      </c>
      <c r="AM25" s="35">
        <f>SUMIF('Resource Demand - Activity'!$FT:$FT,Example!$G25,'Resource Demand - Activity'!AH:AH)</f>
        <v>0</v>
      </c>
      <c r="AN25" s="35">
        <f>SUMIF('Resource Demand - Activity'!$FT:$FT,Example!$G25,'Resource Demand - Activity'!AI:AI)</f>
        <v>0</v>
      </c>
      <c r="AO25" s="35">
        <f>SUMIF('Resource Demand - Activity'!$FT:$FT,Example!$G25,'Resource Demand - Activity'!AJ:AJ)</f>
        <v>0</v>
      </c>
      <c r="AP25" s="35">
        <f>SUMIF('Resource Demand - Activity'!$FT:$FT,Example!$G25,'Resource Demand - Activity'!AK:AK)</f>
        <v>0</v>
      </c>
      <c r="AQ25" s="36"/>
      <c r="AR25" s="36"/>
      <c r="AS25" s="36"/>
      <c r="AT25" s="36"/>
      <c r="AU25" s="36"/>
      <c r="AV25" s="36"/>
      <c r="AW25" s="36"/>
      <c r="AX25" s="35">
        <f>SUMIF('Resource Demand - Activity'!$FT:$FT,Example!$G25,'Resource Demand - Activity'!AS:AS)</f>
        <v>0</v>
      </c>
      <c r="AY25" s="35">
        <f>SUMIF('Resource Demand - Activity'!$FT:$FT,Example!$G25,'Resource Demand - Activity'!AT:AT)</f>
        <v>0</v>
      </c>
      <c r="AZ25" s="35">
        <f>SUMIF('Resource Demand - Activity'!$FT:$FT,Example!$G25,'Resource Demand - Activity'!AU:AU)</f>
        <v>0</v>
      </c>
      <c r="BA25" s="35">
        <f>SUMIF('Resource Demand - Activity'!$FT:$FT,Example!$G25,'Resource Demand - Activity'!AV:AV)</f>
        <v>0</v>
      </c>
      <c r="BB25" s="35">
        <f>SUMIF('Resource Demand - Activity'!$FT:$FT,Example!$G25,'Resource Demand - Activity'!AW:AW)</f>
        <v>0</v>
      </c>
      <c r="BC25" s="35">
        <f>SUMIF('Resource Demand - Activity'!$FT:$FT,Example!$G25,'Resource Demand - Activity'!AX:AX)</f>
        <v>0</v>
      </c>
      <c r="BD25" s="35">
        <f>SUMIF('Resource Demand - Activity'!$FT:$FT,Example!$G25,'Resource Demand - Activity'!AY:AY)</f>
        <v>0</v>
      </c>
      <c r="BE25" s="35">
        <f>SUMIF('Resource Demand - Activity'!$FT:$FT,Example!$G25,'Resource Demand - Activity'!AZ:AZ)</f>
        <v>0</v>
      </c>
      <c r="BF25" s="35">
        <f>SUMIF('Resource Demand - Activity'!$FT:$FT,Example!$G25,'Resource Demand - Activity'!BA:BA)</f>
        <v>0</v>
      </c>
      <c r="BG25" s="35">
        <f>SUMIF('Resource Demand - Activity'!$FT:$FT,Example!$G25,'Resource Demand - Activity'!BB:BB)</f>
        <v>0</v>
      </c>
      <c r="BH25" s="35">
        <f>SUMIF('Resource Demand - Activity'!$FT:$FT,Example!$G25,'Resource Demand - Activity'!BC:BC)</f>
        <v>0</v>
      </c>
      <c r="BI25" s="35">
        <f>SUMIF('Resource Demand - Activity'!$FT:$FT,Example!$G25,'Resource Demand - Activity'!BD:BD)</f>
        <v>0</v>
      </c>
      <c r="BJ25" s="35">
        <f>SUMIF('Resource Demand - Activity'!$FT:$FT,Example!$G25,'Resource Demand - Activity'!BE:BE)</f>
        <v>0</v>
      </c>
      <c r="BK25" s="35">
        <f>SUMIF('Resource Demand - Activity'!$FT:$FT,Example!$G25,'Resource Demand - Activity'!BF:BF)</f>
        <v>0</v>
      </c>
      <c r="BL25" s="35">
        <f>SUMIF('Resource Demand - Activity'!$FT:$FT,Example!$G25,'Resource Demand - Activity'!BG:BG)</f>
        <v>0</v>
      </c>
      <c r="BM25" s="35">
        <f>SUMIF('Resource Demand - Activity'!$FT:$FT,Example!$G25,'Resource Demand - Activity'!BH:BH)</f>
        <v>0</v>
      </c>
      <c r="BN25" s="35">
        <f>SUMIF('Resource Demand - Activity'!$FT:$FT,Example!$G25,'Resource Demand - Activity'!BI:BI)</f>
        <v>0</v>
      </c>
      <c r="BO25" s="35">
        <f>SUMIF('Resource Demand - Activity'!$FT:$FT,Example!$G25,'Resource Demand - Activity'!BJ:BJ)</f>
        <v>0</v>
      </c>
      <c r="BP25" s="35">
        <f>SUMIF('Resource Demand - Activity'!$FT:$FT,Example!$G25,'Resource Demand - Activity'!BK:BK)</f>
        <v>0</v>
      </c>
      <c r="BQ25" s="35">
        <f>SUMIF('Resource Demand - Activity'!$FT:$FT,Example!$G25,'Resource Demand - Activity'!BL:BL)</f>
        <v>0</v>
      </c>
      <c r="BR25" s="35">
        <f>SUMIF('Resource Demand - Activity'!$FT:$FT,Example!$G25,'Resource Demand - Activity'!BM:BM)</f>
        <v>0</v>
      </c>
      <c r="BS25" s="35">
        <f>SUMIF('Resource Demand - Activity'!$FT:$FT,Example!$G25,'Resource Demand - Activity'!BN:BN)</f>
        <v>0</v>
      </c>
      <c r="BT25" s="35">
        <f>SUMIF('Resource Demand - Activity'!$FT:$FT,Example!$G25,'Resource Demand - Activity'!BO:BO)</f>
        <v>0</v>
      </c>
      <c r="BU25" s="35">
        <f>SUMIF('Resource Demand - Activity'!$FT:$FT,Example!$G25,'Resource Demand - Activity'!BP:BP)</f>
        <v>0</v>
      </c>
      <c r="BV25" s="35">
        <f>SUMIF('Resource Demand - Activity'!$FT:$FT,Example!$G25,'Resource Demand - Activity'!BQ:BQ)</f>
        <v>0</v>
      </c>
      <c r="BW25" s="35">
        <f>SUMIF('Resource Demand - Activity'!$FT:$FT,Example!$G25,'Resource Demand - Activity'!BR:BR)</f>
        <v>0</v>
      </c>
      <c r="BX25" s="35">
        <f>SUMIF('Resource Demand - Activity'!$FT:$FT,Example!$G25,'Resource Demand - Activity'!BS:BS)</f>
        <v>0</v>
      </c>
      <c r="BY25" s="35">
        <f>SUMIF('Resource Demand - Activity'!$FT:$FT,Example!$G25,'Resource Demand - Activity'!BT:BT)</f>
        <v>0</v>
      </c>
      <c r="BZ25" s="35">
        <f>SUMIF('Resource Demand - Activity'!$FT:$FT,Example!$G25,'Resource Demand - Activity'!BU:BU)</f>
        <v>0</v>
      </c>
      <c r="CA25" s="35">
        <f>SUMIF('Resource Demand - Activity'!$FT:$FT,Example!$G25,'Resource Demand - Activity'!BV:BV)</f>
        <v>0</v>
      </c>
      <c r="CB25" s="35">
        <f>SUMIF('Resource Demand - Activity'!$FT:$FT,Example!$G25,'Resource Demand - Activity'!BW:BW)</f>
        <v>0</v>
      </c>
      <c r="CC25" s="35">
        <f>SUMIF('Resource Demand - Activity'!$FT:$FT,Example!$G25,'Resource Demand - Activity'!BX:BX)</f>
        <v>0</v>
      </c>
      <c r="CD25" s="35">
        <f>SUMIF('Resource Demand - Activity'!$FT:$FT,Example!$G25,'Resource Demand - Activity'!BY:BY)</f>
        <v>0</v>
      </c>
      <c r="CE25" s="35">
        <f>SUMIF('Resource Demand - Activity'!$FT:$FT,Example!$G25,'Resource Demand - Activity'!BZ:BZ)</f>
        <v>0</v>
      </c>
      <c r="CF25" s="35">
        <f>SUMIF('Resource Demand - Activity'!$FT:$FT,Example!$G25,'Resource Demand - Activity'!CA:CA)</f>
        <v>0</v>
      </c>
      <c r="CG25" s="35">
        <f>SUMIF('Resource Demand - Activity'!$FT:$FT,Example!$G25,'Resource Demand - Activity'!CB:CB)</f>
        <v>0</v>
      </c>
      <c r="CH25" s="35">
        <f>SUMIF('Resource Demand - Activity'!$FT:$FT,Example!$G25,'Resource Demand - Activity'!CC:CC)</f>
        <v>0</v>
      </c>
      <c r="CI25" s="35">
        <f>SUMIF('Resource Demand - Activity'!$FT:$FT,Example!$G25,'Resource Demand - Activity'!CD:CD)</f>
        <v>0</v>
      </c>
      <c r="CJ25" s="35">
        <f>SUMIF('Resource Demand - Activity'!$FT:$FT,Example!$G25,'Resource Demand - Activity'!CE:CE)</f>
        <v>0</v>
      </c>
      <c r="CK25" s="35">
        <f>SUMIF('Resource Demand - Activity'!$FT:$FT,Example!$G25,'Resource Demand - Activity'!CF:CF)</f>
        <v>0</v>
      </c>
      <c r="CL25" s="35">
        <f>SUMIF('Resource Demand - Activity'!$FT:$FT,Example!$G25,'Resource Demand - Activity'!CG:CG)</f>
        <v>0</v>
      </c>
      <c r="CM25" s="35">
        <f>SUMIF('Resource Demand - Activity'!$FT:$FT,Example!$G25,'Resource Demand - Activity'!CH:CH)</f>
        <v>0</v>
      </c>
      <c r="CN25" s="35">
        <f>SUMIF('Resource Demand - Activity'!$FT:$FT,Example!$G25,'Resource Demand - Activity'!CI:CI)</f>
        <v>0</v>
      </c>
      <c r="CO25" s="35">
        <f>SUMIF('Resource Demand - Activity'!$FT:$FT,Example!$G25,'Resource Demand - Activity'!CJ:CJ)</f>
        <v>0</v>
      </c>
      <c r="CP25" s="35">
        <f>SUMIF('Resource Demand - Activity'!$FT:$FT,Example!$G25,'Resource Demand - Activity'!CK:CK)</f>
        <v>0</v>
      </c>
      <c r="CQ25" s="35">
        <f>SUMIF('Resource Demand - Activity'!$FT:$FT,Example!$G25,'Resource Demand - Activity'!CL:CL)</f>
        <v>0</v>
      </c>
      <c r="CR25" s="35">
        <f>SUMIF('Resource Demand - Activity'!$FT:$FT,Example!$G25,'Resource Demand - Activity'!CM:CM)</f>
        <v>0</v>
      </c>
      <c r="CS25" s="35">
        <f>SUMIF('Resource Demand - Activity'!$FT:$FT,Example!$G25,'Resource Demand - Activity'!CN:CN)</f>
        <v>0</v>
      </c>
      <c r="CT25" s="35">
        <f>SUMIF('Resource Demand - Activity'!$FT:$FT,Example!$G25,'Resource Demand - Activity'!CO:CO)</f>
        <v>0</v>
      </c>
      <c r="CU25" s="35">
        <f>SUMIF('Resource Demand - Activity'!$FT:$FT,Example!$G25,'Resource Demand - Activity'!CP:CP)</f>
        <v>0</v>
      </c>
      <c r="CV25" s="35">
        <f>SUMIF('Resource Demand - Activity'!$FT:$FT,Example!$G25,'Resource Demand - Activity'!CQ:CQ)</f>
        <v>0</v>
      </c>
      <c r="CW25" s="35">
        <f>SUMIF('Resource Demand - Activity'!$FT:$FT,Example!$G25,'Resource Demand - Activity'!CR:CR)</f>
        <v>0</v>
      </c>
      <c r="CX25" s="35">
        <f>SUMIF('Resource Demand - Activity'!$FT:$FT,Example!$G25,'Resource Demand - Activity'!CS:CS)</f>
        <v>0</v>
      </c>
      <c r="CY25" s="36"/>
      <c r="CZ25" s="35">
        <f>SUMIF('Resource Demand - Activity'!$FT:$FT,Example!$G25,'Resource Demand - Activity'!CU:CU)</f>
        <v>0</v>
      </c>
      <c r="DA25" s="35">
        <f>SUMIF('Resource Demand - Activity'!$FT:$FT,Example!$G25,'Resource Demand - Activity'!CV:CV)</f>
        <v>0</v>
      </c>
      <c r="DB25" s="35">
        <f>SUMIF('Resource Demand - Activity'!$FT:$FT,Example!$G25,'Resource Demand - Activity'!CW:CW)</f>
        <v>0</v>
      </c>
      <c r="DC25" s="35">
        <f>SUMIF('Resource Demand - Activity'!$FT:$FT,Example!$G25,'Resource Demand - Activity'!CX:CX)</f>
        <v>0</v>
      </c>
      <c r="DD25" s="35">
        <f>SUMIF('Resource Demand - Activity'!$FT:$FT,Example!$G25,'Resource Demand - Activity'!CY:CY)</f>
        <v>0</v>
      </c>
      <c r="DE25" s="36"/>
      <c r="DF25" s="36"/>
      <c r="DG25" s="35">
        <f>SUMIF('Resource Demand - Activity'!$FT:$FT,Example!$G25,'Resource Demand - Activity'!DB:DB)</f>
        <v>0</v>
      </c>
      <c r="DH25" s="35">
        <f>SUMIF('Resource Demand - Activity'!$FT:$FT,Example!$G25,'Resource Demand - Activity'!DC:DC)</f>
        <v>0</v>
      </c>
      <c r="DI25" s="35">
        <f>SUMIF('Resource Demand - Activity'!$FT:$FT,Example!$G25,'Resource Demand - Activity'!DD:DD)</f>
        <v>0</v>
      </c>
      <c r="DJ25" s="35">
        <f>SUMIF('Resource Demand - Activity'!$FT:$FT,Example!$G25,'Resource Demand - Activity'!DE:DE)</f>
        <v>0</v>
      </c>
      <c r="DK25" s="35">
        <f>SUMIF('Resource Demand - Activity'!$FT:$FT,Example!$G25,'Resource Demand - Activity'!DF:DF)</f>
        <v>0</v>
      </c>
      <c r="DL25" s="35">
        <f>SUMIF('Resource Demand - Activity'!$FT:$FT,Example!$G25,'Resource Demand - Activity'!DG:DG)</f>
        <v>0</v>
      </c>
      <c r="DM25" s="35">
        <f>SUMIF('Resource Demand - Activity'!$FT:$FT,Example!$G25,'Resource Demand - Activity'!DH:DH)</f>
        <v>0</v>
      </c>
      <c r="DN25" s="35">
        <f>SUMIF('Resource Demand - Activity'!$FT:$FT,Example!$G25,'Resource Demand - Activity'!DI:DI)</f>
        <v>0</v>
      </c>
      <c r="DO25" s="35">
        <f>SUMIF('Resource Demand - Activity'!$FT:$FT,Example!$G25,'Resource Demand - Activity'!DJ:DJ)</f>
        <v>0</v>
      </c>
      <c r="DP25" s="35">
        <f>SUMIF('Resource Demand - Activity'!$FT:$FT,Example!$G25,'Resource Demand - Activity'!DK:DK)</f>
        <v>0</v>
      </c>
      <c r="DQ25" s="35">
        <f>SUMIF('Resource Demand - Activity'!$FT:$FT,Example!$G25,'Resource Demand - Activity'!DL:DL)</f>
        <v>0</v>
      </c>
      <c r="DR25" s="35">
        <f>SUMIF('Resource Demand - Activity'!$FT:$FT,Example!$G25,'Resource Demand - Activity'!DM:DM)</f>
        <v>0</v>
      </c>
      <c r="DS25" s="35">
        <f>SUMIF('Resource Demand - Activity'!$FT:$FT,Example!$G25,'Resource Demand - Activity'!DN:DN)</f>
        <v>0</v>
      </c>
      <c r="DT25" s="35">
        <f>SUMIF('Resource Demand - Activity'!$FT:$FT,Example!$G25,'Resource Demand - Activity'!DO:DO)</f>
        <v>0</v>
      </c>
      <c r="DU25" s="35">
        <f>SUMIF('Resource Demand - Activity'!$FT:$FT,Example!$G25,'Resource Demand - Activity'!DP:DP)</f>
        <v>0</v>
      </c>
      <c r="DV25" s="35">
        <f>SUMIF('Resource Demand - Activity'!$FT:$FT,Example!$G25,'Resource Demand - Activity'!DQ:DQ)</f>
        <v>0</v>
      </c>
      <c r="DW25" s="35">
        <f>SUMIF('Resource Demand - Activity'!$FT:$FT,Example!$G25,'Resource Demand - Activity'!DR:DR)</f>
        <v>0</v>
      </c>
      <c r="DX25" s="35">
        <f>SUMIF('Resource Demand - Activity'!$FT:$FT,Example!$G25,'Resource Demand - Activity'!DS:DS)</f>
        <v>0</v>
      </c>
      <c r="DY25" s="35">
        <f>SUMIF('Resource Demand - Activity'!$FT:$FT,Example!$G25,'Resource Demand - Activity'!DT:DT)</f>
        <v>0</v>
      </c>
      <c r="DZ25" s="35">
        <f>SUMIF('Resource Demand - Activity'!$FT:$FT,Example!$G25,'Resource Demand - Activity'!DU:DU)</f>
        <v>0</v>
      </c>
      <c r="EA25" s="35">
        <f>SUMIF('Resource Demand - Activity'!$FT:$FT,Example!$G25,'Resource Demand - Activity'!DV:DV)</f>
        <v>0</v>
      </c>
      <c r="EB25" s="35">
        <f>SUMIF('Resource Demand - Activity'!$FT:$FT,Example!$G25,'Resource Demand - Activity'!DW:DW)</f>
        <v>0</v>
      </c>
      <c r="EC25" s="35">
        <f>SUMIF('Resource Demand - Activity'!$FT:$FT,Example!$G25,'Resource Demand - Activity'!DX:DX)</f>
        <v>0</v>
      </c>
      <c r="ED25" s="35">
        <f>SUMIF('Resource Demand - Activity'!$FT:$FT,Example!$G25,'Resource Demand - Activity'!DY:DY)</f>
        <v>0</v>
      </c>
      <c r="EE25" s="36"/>
      <c r="EF25" s="35">
        <f>SUMIF('Resource Demand - Activity'!$FT:$FT,Example!$G25,'Resource Demand - Activity'!EA:EA)</f>
        <v>0</v>
      </c>
      <c r="EG25" s="35">
        <f>SUMIF('Resource Demand - Activity'!$FT:$FT,Example!$G25,'Resource Demand - Activity'!EB:EB)</f>
        <v>0</v>
      </c>
      <c r="EH25" s="35">
        <f>SUMIF('Resource Demand - Activity'!$FT:$FT,Example!$G25,'Resource Demand - Activity'!EC:EC)</f>
        <v>0</v>
      </c>
      <c r="EI25" s="35">
        <f>SUMIF('Resource Demand - Activity'!$FT:$FT,Example!$G25,'Resource Demand - Activity'!ED:ED)</f>
        <v>0</v>
      </c>
      <c r="EJ25" s="35">
        <f>SUMIF('Resource Demand - Activity'!$FT:$FT,Example!$G25,'Resource Demand - Activity'!EE:EE)</f>
        <v>0</v>
      </c>
      <c r="EK25" s="35">
        <f>SUMIF('Resource Demand - Activity'!$FT:$FT,Example!$G25,'Resource Demand - Activity'!EF:EF)</f>
        <v>0</v>
      </c>
      <c r="EL25" s="35">
        <f>SUMIF('Resource Demand - Activity'!$FT:$FT,Example!$G25,'Resource Demand - Activity'!EG:EG)</f>
        <v>0</v>
      </c>
      <c r="EM25" s="35">
        <f>SUMIF('Resource Demand - Activity'!$FT:$FT,Example!$G25,'Resource Demand - Activity'!EH:EH)</f>
        <v>0</v>
      </c>
      <c r="EN25" s="35">
        <f>SUMIF('Resource Demand - Activity'!$FT:$FT,Example!$G25,'Resource Demand - Activity'!EI:EI)</f>
        <v>0</v>
      </c>
      <c r="EO25" s="35">
        <f>SUMIF('Resource Demand - Activity'!$FT:$FT,Example!$G25,'Resource Demand - Activity'!EJ:EJ)</f>
        <v>0</v>
      </c>
      <c r="EP25" s="35">
        <f>SUMIF('Resource Demand - Activity'!$FT:$FT,Example!$G25,'Resource Demand - Activity'!EK:EK)</f>
        <v>0</v>
      </c>
      <c r="EQ25" s="35">
        <f>SUMIF('Resource Demand - Activity'!$FT:$FT,Example!$G25,'Resource Demand - Activity'!EL:EL)</f>
        <v>0</v>
      </c>
      <c r="ER25" s="35">
        <f>SUMIF('Resource Demand - Activity'!$FT:$FT,Example!$G25,'Resource Demand - Activity'!EM:EM)</f>
        <v>0</v>
      </c>
      <c r="ES25" s="35">
        <f>SUMIF('Resource Demand - Activity'!$FT:$FT,Example!$G25,'Resource Demand - Activity'!EN:EN)</f>
        <v>0</v>
      </c>
      <c r="ET25" s="35">
        <f>SUMIF('Resource Demand - Activity'!$FT:$FT,Example!$G25,'Resource Demand - Activity'!EO:EO)</f>
        <v>0</v>
      </c>
      <c r="EU25" s="35">
        <f>SUMIF('Resource Demand - Activity'!$FT:$FT,Example!$G25,'Resource Demand - Activity'!EP:EP)</f>
        <v>0</v>
      </c>
      <c r="EV25" s="35">
        <f>SUMIF('Resource Demand - Activity'!$FT:$FT,Example!$G25,'Resource Demand - Activity'!EQ:EQ)</f>
        <v>0</v>
      </c>
      <c r="EW25" s="35">
        <f>SUMIF('Resource Demand - Activity'!$FT:$FT,Example!$G25,'Resource Demand - Activity'!ER:ER)</f>
        <v>0</v>
      </c>
      <c r="EX25" s="35">
        <f>SUMIF('Resource Demand - Activity'!$FT:$FT,Example!$G25,'Resource Demand - Activity'!ES:ES)</f>
        <v>0</v>
      </c>
      <c r="EY25" s="35">
        <f>SUMIF('Resource Demand - Activity'!$FT:$FT,Example!$G25,'Resource Demand - Activity'!ET:ET)</f>
        <v>0</v>
      </c>
      <c r="EZ25" s="35">
        <f>SUMIF('Resource Demand - Activity'!$FT:$FT,Example!$G25,'Resource Demand - Activity'!EU:EU)</f>
        <v>0</v>
      </c>
      <c r="FA25" s="35">
        <f>SUMIF('Resource Demand - Activity'!$FT:$FT,Example!$G25,'Resource Demand - Activity'!EV:EV)</f>
        <v>0</v>
      </c>
      <c r="FB25" s="35">
        <f>SUMIF('Resource Demand - Activity'!$FT:$FT,Example!$G25,'Resource Demand - Activity'!EW:EW)</f>
        <v>0</v>
      </c>
      <c r="FC25" s="35">
        <f>SUMIF('Resource Demand - Activity'!$FT:$FT,Example!$G25,'Resource Demand - Activity'!EX:EX)</f>
        <v>0</v>
      </c>
      <c r="FD25" s="36"/>
      <c r="FE25" s="35">
        <f>SUMIF('Resource Demand - Activity'!$FT:$FT,Example!$G25,'Resource Demand - Activity'!EZ:EZ)</f>
        <v>0</v>
      </c>
      <c r="FF25" s="35">
        <f>SUMIF('Resource Demand - Activity'!$FT:$FT,Example!$G25,'Resource Demand - Activity'!FA:FA)</f>
        <v>0</v>
      </c>
      <c r="FG25" s="35">
        <f>SUMIF('Resource Demand - Activity'!$FT:$FT,Example!$G25,'Resource Demand - Activity'!FB:FB)</f>
        <v>0</v>
      </c>
      <c r="FH25" s="35">
        <f>SUMIF('Resource Demand - Activity'!$FT:$FT,Example!$G25,'Resource Demand - Activity'!FC:FC)</f>
        <v>0</v>
      </c>
      <c r="FI25" s="35">
        <f>SUMIF('Resource Demand - Activity'!$FT:$FT,Example!$G25,'Resource Demand - Activity'!FD:FD)</f>
        <v>0</v>
      </c>
      <c r="FJ25" s="35">
        <f>SUMIF('Resource Demand - Activity'!$FT:$FT,Example!$G25,'Resource Demand - Activity'!FE:FE)</f>
        <v>0</v>
      </c>
      <c r="FK25" s="35">
        <f>SUMIF('Resource Demand - Activity'!$FT:$FT,Example!$G25,'Resource Demand - Activity'!FF:FF)</f>
        <v>0</v>
      </c>
      <c r="FL25" s="35">
        <f>SUMIF('Resource Demand - Activity'!$FT:$FT,Example!$G25,'Resource Demand - Activity'!FG:FG)</f>
        <v>0</v>
      </c>
      <c r="FM25" s="35">
        <f>SUMIF('Resource Demand - Activity'!$FT:$FT,Example!$G25,'Resource Demand - Activity'!FH:FH)</f>
        <v>0</v>
      </c>
      <c r="FN25" s="35">
        <f>SUMIF('Resource Demand - Activity'!$FT:$FT,Example!$G25,'Resource Demand - Activity'!FI:FI)</f>
        <v>0</v>
      </c>
      <c r="FO25" s="35">
        <f>SUMIF('Resource Demand - Activity'!$FT:$FT,Example!$G25,'Resource Demand - Activity'!FJ:FJ)</f>
        <v>0</v>
      </c>
      <c r="FP25" s="35">
        <f>SUMIF('Resource Demand - Activity'!$FT:$FT,Example!$G25,'Resource Demand - Activity'!FK:FK)</f>
        <v>0</v>
      </c>
      <c r="FQ25" s="35">
        <f>SUMIF('Resource Demand - Activity'!$FT:$FT,Example!$G25,'Resource Demand - Activity'!FL:FL)</f>
        <v>0</v>
      </c>
      <c r="FR25" s="35">
        <f>SUMIF('Resource Demand - Activity'!$FT:$FT,Example!$G25,'Resource Demand - Activity'!FM:FM)</f>
        <v>0</v>
      </c>
      <c r="FS25" s="35">
        <f>SUMIF('Resource Demand - Activity'!$FT:$FT,Example!$G25,'Resource Demand - Activity'!FN:FN)</f>
        <v>0</v>
      </c>
      <c r="FT25" s="35">
        <f>SUMIF('Resource Demand - Activity'!$FT:$FT,Example!$G25,'Resource Demand - Activity'!FO:FO)</f>
        <v>0</v>
      </c>
      <c r="FU25" s="35">
        <f>SUMIF('Resource Demand - Activity'!$FT:$FT,Example!$G25,'Resource Demand - Activity'!FP:FP)</f>
        <v>0</v>
      </c>
      <c r="FV25" s="52">
        <f>SUMIF('Resource Demand - Activity'!$FT:$FT,Example!$G25,'Resource Demand - Activity'!FQ:FQ)</f>
        <v>0</v>
      </c>
    </row>
    <row r="26" spans="2:178" s="58" customFormat="1" ht="12" customHeight="1">
      <c r="C26" s="142">
        <f>C16*C25</f>
        <v>30996</v>
      </c>
      <c r="D26" s="142">
        <f>D16*D25</f>
        <v>118449</v>
      </c>
      <c r="E26" s="166"/>
      <c r="G26" s="64" t="str">
        <f t="shared" si="3"/>
        <v>12. FDS Release 4 12.4 FDS Release 4 - Business Validate TDS/ADS dataGlenn Kirk</v>
      </c>
      <c r="H26" s="102" t="s">
        <v>189</v>
      </c>
      <c r="I26" s="59" t="str">
        <f>INDEX('Resource Demand - Activity'!C:C,MATCH(Example!G26,'Resource Demand - Activity'!FT:FT,0))</f>
        <v>1 days</v>
      </c>
      <c r="J26" s="51">
        <f>SUMIF('Resource Demand - Activity'!$FT:$FT,Example!$G26,'Resource Demand - Activity'!E:E)</f>
        <v>0</v>
      </c>
      <c r="K26" s="35">
        <f>SUMIF('Resource Demand - Activity'!$FT:$FT,Example!$G26,'Resource Demand - Activity'!F:F)</f>
        <v>0</v>
      </c>
      <c r="L26" s="35">
        <f>SUMIF('Resource Demand - Activity'!$FT:$FT,Example!$G26,'Resource Demand - Activity'!G:G)</f>
        <v>0</v>
      </c>
      <c r="M26" s="35">
        <f>SUMIF('Resource Demand - Activity'!$FT:$FT,Example!$G26,'Resource Demand - Activity'!H:H)</f>
        <v>0</v>
      </c>
      <c r="N26" s="35">
        <f>SUMIF('Resource Demand - Activity'!$FT:$FT,Example!$G26,'Resource Demand - Activity'!I:I)</f>
        <v>0</v>
      </c>
      <c r="O26" s="35">
        <f>SUMIF('Resource Demand - Activity'!$FT:$FT,Example!$G26,'Resource Demand - Activity'!J:J)</f>
        <v>0</v>
      </c>
      <c r="P26" s="35">
        <f>SUMIF('Resource Demand - Activity'!$FT:$FT,Example!$G26,'Resource Demand - Activity'!K:K)</f>
        <v>0</v>
      </c>
      <c r="Q26" s="35">
        <f>SUMIF('Resource Demand - Activity'!$FT:$FT,Example!$G26,'Resource Demand - Activity'!L:L)</f>
        <v>0</v>
      </c>
      <c r="R26" s="35">
        <f>SUMIF('Resource Demand - Activity'!$FT:$FT,Example!$G26,'Resource Demand - Activity'!M:M)</f>
        <v>0</v>
      </c>
      <c r="S26" s="35">
        <f>SUMIF('Resource Demand - Activity'!$FT:$FT,Example!$G26,'Resource Demand - Activity'!N:N)</f>
        <v>0</v>
      </c>
      <c r="T26" s="35">
        <f>SUMIF('Resource Demand - Activity'!$FT:$FT,Example!$G26,'Resource Demand - Activity'!O:O)</f>
        <v>0</v>
      </c>
      <c r="U26" s="35">
        <f>SUMIF('Resource Demand - Activity'!$FT:$FT,Example!$G26,'Resource Demand - Activity'!P:P)</f>
        <v>0</v>
      </c>
      <c r="V26" s="35">
        <f>SUMIF('Resource Demand - Activity'!$FT:$FT,Example!$G26,'Resource Demand - Activity'!Q:Q)</f>
        <v>0</v>
      </c>
      <c r="W26" s="35">
        <f>SUMIF('Resource Demand - Activity'!$FT:$FT,Example!$G26,'Resource Demand - Activity'!R:R)</f>
        <v>0</v>
      </c>
      <c r="X26" s="35">
        <f>SUMIF('Resource Demand - Activity'!$FT:$FT,Example!$G26,'Resource Demand - Activity'!S:S)</f>
        <v>0</v>
      </c>
      <c r="Y26" s="35">
        <f>SUMIF('Resource Demand - Activity'!$FT:$FT,Example!$G26,'Resource Demand - Activity'!T:T)</f>
        <v>0</v>
      </c>
      <c r="Z26" s="35">
        <f>SUMIF('Resource Demand - Activity'!$FT:$FT,Example!$G26,'Resource Demand - Activity'!U:U)</f>
        <v>0</v>
      </c>
      <c r="AA26" s="35">
        <f>SUMIF('Resource Demand - Activity'!$FT:$FT,Example!$G26,'Resource Demand - Activity'!V:V)</f>
        <v>0</v>
      </c>
      <c r="AB26" s="35">
        <f>SUMIF('Resource Demand - Activity'!$FT:$FT,Example!$G26,'Resource Demand - Activity'!W:W)</f>
        <v>0</v>
      </c>
      <c r="AC26" s="35">
        <f>SUMIF('Resource Demand - Activity'!$FT:$FT,Example!$G26,'Resource Demand - Activity'!X:X)</f>
        <v>0</v>
      </c>
      <c r="AD26" s="35">
        <f>SUMIF('Resource Demand - Activity'!$FT:$FT,Example!$G26,'Resource Demand - Activity'!Y:Y)</f>
        <v>0</v>
      </c>
      <c r="AE26" s="35">
        <f>SUMIF('Resource Demand - Activity'!$FT:$FT,Example!$G26,'Resource Demand - Activity'!Z:Z)</f>
        <v>0</v>
      </c>
      <c r="AF26" s="35">
        <f>SUMIF('Resource Demand - Activity'!$FT:$FT,Example!$G26,'Resource Demand - Activity'!AA:AA)</f>
        <v>0</v>
      </c>
      <c r="AG26" s="35">
        <f>SUMIF('Resource Demand - Activity'!$FT:$FT,Example!$G26,'Resource Demand - Activity'!AB:AB)</f>
        <v>0</v>
      </c>
      <c r="AH26" s="35">
        <f>SUMIF('Resource Demand - Activity'!$FT:$FT,Example!$G26,'Resource Demand - Activity'!AC:AC)</f>
        <v>0</v>
      </c>
      <c r="AI26" s="35">
        <f>SUMIF('Resource Demand - Activity'!$FT:$FT,Example!$G26,'Resource Demand - Activity'!AD:AD)</f>
        <v>0</v>
      </c>
      <c r="AJ26" s="35">
        <f>SUMIF('Resource Demand - Activity'!$FT:$FT,Example!$G26,'Resource Demand - Activity'!AE:AE)</f>
        <v>0</v>
      </c>
      <c r="AK26" s="35">
        <f>SUMIF('Resource Demand - Activity'!$FT:$FT,Example!$G26,'Resource Demand - Activity'!AF:AF)</f>
        <v>0</v>
      </c>
      <c r="AL26" s="35">
        <f>SUMIF('Resource Demand - Activity'!$FT:$FT,Example!$G26,'Resource Demand - Activity'!AG:AG)</f>
        <v>0</v>
      </c>
      <c r="AM26" s="35">
        <f>SUMIF('Resource Demand - Activity'!$FT:$FT,Example!$G26,'Resource Demand - Activity'!AH:AH)</f>
        <v>0</v>
      </c>
      <c r="AN26" s="35">
        <f>SUMIF('Resource Demand - Activity'!$FT:$FT,Example!$G26,'Resource Demand - Activity'!AI:AI)</f>
        <v>0</v>
      </c>
      <c r="AO26" s="35">
        <f>SUMIF('Resource Demand - Activity'!$FT:$FT,Example!$G26,'Resource Demand - Activity'!AJ:AJ)</f>
        <v>0</v>
      </c>
      <c r="AP26" s="35">
        <f>SUMIF('Resource Demand - Activity'!$FT:$FT,Example!$G26,'Resource Demand - Activity'!AK:AK)</f>
        <v>0</v>
      </c>
      <c r="AQ26" s="36"/>
      <c r="AR26" s="36"/>
      <c r="AS26" s="36"/>
      <c r="AT26" s="36"/>
      <c r="AU26" s="36"/>
      <c r="AV26" s="36"/>
      <c r="AW26" s="36"/>
      <c r="AX26" s="35">
        <f>SUMIF('Resource Demand - Activity'!$FT:$FT,Example!$G26,'Resource Demand - Activity'!AS:AS)</f>
        <v>0.2</v>
      </c>
      <c r="AY26" s="35">
        <f>SUMIF('Resource Demand - Activity'!$FT:$FT,Example!$G26,'Resource Demand - Activity'!AT:AT)</f>
        <v>0</v>
      </c>
      <c r="AZ26" s="35">
        <f>SUMIF('Resource Demand - Activity'!$FT:$FT,Example!$G26,'Resource Demand - Activity'!AU:AU)</f>
        <v>0</v>
      </c>
      <c r="BA26" s="35">
        <f>SUMIF('Resource Demand - Activity'!$FT:$FT,Example!$G26,'Resource Demand - Activity'!AV:AV)</f>
        <v>0</v>
      </c>
      <c r="BB26" s="35">
        <f>SUMIF('Resource Demand - Activity'!$FT:$FT,Example!$G26,'Resource Demand - Activity'!AW:AW)</f>
        <v>0</v>
      </c>
      <c r="BC26" s="35">
        <f>SUMIF('Resource Demand - Activity'!$FT:$FT,Example!$G26,'Resource Demand - Activity'!AX:AX)</f>
        <v>0</v>
      </c>
      <c r="BD26" s="35">
        <f>SUMIF('Resource Demand - Activity'!$FT:$FT,Example!$G26,'Resource Demand - Activity'!AY:AY)</f>
        <v>0</v>
      </c>
      <c r="BE26" s="35">
        <f>SUMIF('Resource Demand - Activity'!$FT:$FT,Example!$G26,'Resource Demand - Activity'!AZ:AZ)</f>
        <v>0</v>
      </c>
      <c r="BF26" s="35">
        <f>SUMIF('Resource Demand - Activity'!$FT:$FT,Example!$G26,'Resource Demand - Activity'!BA:BA)</f>
        <v>0</v>
      </c>
      <c r="BG26" s="35">
        <f>SUMIF('Resource Demand - Activity'!$FT:$FT,Example!$G26,'Resource Demand - Activity'!BB:BB)</f>
        <v>0</v>
      </c>
      <c r="BH26" s="35">
        <f>SUMIF('Resource Demand - Activity'!$FT:$FT,Example!$G26,'Resource Demand - Activity'!BC:BC)</f>
        <v>0.2</v>
      </c>
      <c r="BI26" s="35">
        <f>SUMIF('Resource Demand - Activity'!$FT:$FT,Example!$G26,'Resource Demand - Activity'!BD:BD)</f>
        <v>0</v>
      </c>
      <c r="BJ26" s="35">
        <f>SUMIF('Resource Demand - Activity'!$FT:$FT,Example!$G26,'Resource Demand - Activity'!BE:BE)</f>
        <v>0.2</v>
      </c>
      <c r="BK26" s="35">
        <f>SUMIF('Resource Demand - Activity'!$FT:$FT,Example!$G26,'Resource Demand - Activity'!BF:BF)</f>
        <v>0</v>
      </c>
      <c r="BL26" s="35">
        <f>SUMIF('Resource Demand - Activity'!$FT:$FT,Example!$G26,'Resource Demand - Activity'!BG:BG)</f>
        <v>0</v>
      </c>
      <c r="BM26" s="35">
        <f>SUMIF('Resource Demand - Activity'!$FT:$FT,Example!$G26,'Resource Demand - Activity'!BH:BH)</f>
        <v>0.2</v>
      </c>
      <c r="BN26" s="35">
        <f>SUMIF('Resource Demand - Activity'!$FT:$FT,Example!$G26,'Resource Demand - Activity'!BI:BI)</f>
        <v>0.1</v>
      </c>
      <c r="BO26" s="35">
        <f>SUMIF('Resource Demand - Activity'!$FT:$FT,Example!$G26,'Resource Demand - Activity'!BJ:BJ)</f>
        <v>0.5</v>
      </c>
      <c r="BP26" s="35">
        <f>SUMIF('Resource Demand - Activity'!$FT:$FT,Example!$G26,'Resource Demand - Activity'!BK:BK)</f>
        <v>0</v>
      </c>
      <c r="BQ26" s="35">
        <f>SUMIF('Resource Demand - Activity'!$FT:$FT,Example!$G26,'Resource Demand - Activity'!BL:BL)</f>
        <v>0</v>
      </c>
      <c r="BR26" s="35">
        <f>SUMIF('Resource Demand - Activity'!$FT:$FT,Example!$G26,'Resource Demand - Activity'!BM:BM)</f>
        <v>0</v>
      </c>
      <c r="BS26" s="35">
        <f>SUMIF('Resource Demand - Activity'!$FT:$FT,Example!$G26,'Resource Demand - Activity'!BN:BN)</f>
        <v>0</v>
      </c>
      <c r="BT26" s="35">
        <f>SUMIF('Resource Demand - Activity'!$FT:$FT,Example!$G26,'Resource Demand - Activity'!BO:BO)</f>
        <v>0</v>
      </c>
      <c r="BU26" s="35">
        <f>SUMIF('Resource Demand - Activity'!$FT:$FT,Example!$G26,'Resource Demand - Activity'!BP:BP)</f>
        <v>0</v>
      </c>
      <c r="BV26" s="35">
        <f>SUMIF('Resource Demand - Activity'!$FT:$FT,Example!$G26,'Resource Demand - Activity'!BQ:BQ)</f>
        <v>0</v>
      </c>
      <c r="BW26" s="35">
        <f>SUMIF('Resource Demand - Activity'!$FT:$FT,Example!$G26,'Resource Demand - Activity'!BR:BR)</f>
        <v>0</v>
      </c>
      <c r="BX26" s="35">
        <f>SUMIF('Resource Demand - Activity'!$FT:$FT,Example!$G26,'Resource Demand - Activity'!BS:BS)</f>
        <v>0</v>
      </c>
      <c r="BY26" s="35">
        <f>SUMIF('Resource Demand - Activity'!$FT:$FT,Example!$G26,'Resource Demand - Activity'!BT:BT)</f>
        <v>0</v>
      </c>
      <c r="BZ26" s="35">
        <f>SUMIF('Resource Demand - Activity'!$FT:$FT,Example!$G26,'Resource Demand - Activity'!BU:BU)</f>
        <v>0</v>
      </c>
      <c r="CA26" s="35">
        <f>SUMIF('Resource Demand - Activity'!$FT:$FT,Example!$G26,'Resource Demand - Activity'!BV:BV)</f>
        <v>0</v>
      </c>
      <c r="CB26" s="35">
        <f>SUMIF('Resource Demand - Activity'!$FT:$FT,Example!$G26,'Resource Demand - Activity'!BW:BW)</f>
        <v>0</v>
      </c>
      <c r="CC26" s="35">
        <f>SUMIF('Resource Demand - Activity'!$FT:$FT,Example!$G26,'Resource Demand - Activity'!BX:BX)</f>
        <v>0</v>
      </c>
      <c r="CD26" s="35">
        <f>SUMIF('Resource Demand - Activity'!$FT:$FT,Example!$G26,'Resource Demand - Activity'!BY:BY)</f>
        <v>0</v>
      </c>
      <c r="CE26" s="35">
        <f>SUMIF('Resource Demand - Activity'!$FT:$FT,Example!$G26,'Resource Demand - Activity'!BZ:BZ)</f>
        <v>0</v>
      </c>
      <c r="CF26" s="35">
        <f>SUMIF('Resource Demand - Activity'!$FT:$FT,Example!$G26,'Resource Demand - Activity'!CA:CA)</f>
        <v>0</v>
      </c>
      <c r="CG26" s="35">
        <f>SUMIF('Resource Demand - Activity'!$FT:$FT,Example!$G26,'Resource Demand - Activity'!CB:CB)</f>
        <v>0</v>
      </c>
      <c r="CH26" s="35">
        <f>SUMIF('Resource Demand - Activity'!$FT:$FT,Example!$G26,'Resource Demand - Activity'!CC:CC)</f>
        <v>0</v>
      </c>
      <c r="CI26" s="35">
        <f>SUMIF('Resource Demand - Activity'!$FT:$FT,Example!$G26,'Resource Demand - Activity'!CD:CD)</f>
        <v>0</v>
      </c>
      <c r="CJ26" s="35">
        <f>SUMIF('Resource Demand - Activity'!$FT:$FT,Example!$G26,'Resource Demand - Activity'!CE:CE)</f>
        <v>0</v>
      </c>
      <c r="CK26" s="35">
        <f>SUMIF('Resource Demand - Activity'!$FT:$FT,Example!$G26,'Resource Demand - Activity'!CF:CF)</f>
        <v>0</v>
      </c>
      <c r="CL26" s="35">
        <f>SUMIF('Resource Demand - Activity'!$FT:$FT,Example!$G26,'Resource Demand - Activity'!CG:CG)</f>
        <v>0</v>
      </c>
      <c r="CM26" s="35">
        <f>SUMIF('Resource Demand - Activity'!$FT:$FT,Example!$G26,'Resource Demand - Activity'!CH:CH)</f>
        <v>0</v>
      </c>
      <c r="CN26" s="35">
        <f>SUMIF('Resource Demand - Activity'!$FT:$FT,Example!$G26,'Resource Demand - Activity'!CI:CI)</f>
        <v>0</v>
      </c>
      <c r="CO26" s="35">
        <f>SUMIF('Resource Demand - Activity'!$FT:$FT,Example!$G26,'Resource Demand - Activity'!CJ:CJ)</f>
        <v>0</v>
      </c>
      <c r="CP26" s="35">
        <f>SUMIF('Resource Demand - Activity'!$FT:$FT,Example!$G26,'Resource Demand - Activity'!CK:CK)</f>
        <v>0</v>
      </c>
      <c r="CQ26" s="35">
        <f>SUMIF('Resource Demand - Activity'!$FT:$FT,Example!$G26,'Resource Demand - Activity'!CL:CL)</f>
        <v>0</v>
      </c>
      <c r="CR26" s="35">
        <f>SUMIF('Resource Demand - Activity'!$FT:$FT,Example!$G26,'Resource Demand - Activity'!CM:CM)</f>
        <v>0</v>
      </c>
      <c r="CS26" s="35">
        <f>SUMIF('Resource Demand - Activity'!$FT:$FT,Example!$G26,'Resource Demand - Activity'!CN:CN)</f>
        <v>0</v>
      </c>
      <c r="CT26" s="35">
        <f>SUMIF('Resource Demand - Activity'!$FT:$FT,Example!$G26,'Resource Demand - Activity'!CO:CO)</f>
        <v>0</v>
      </c>
      <c r="CU26" s="35">
        <f>SUMIF('Resource Demand - Activity'!$FT:$FT,Example!$G26,'Resource Demand - Activity'!CP:CP)</f>
        <v>0</v>
      </c>
      <c r="CV26" s="35">
        <f>SUMIF('Resource Demand - Activity'!$FT:$FT,Example!$G26,'Resource Demand - Activity'!CQ:CQ)</f>
        <v>0</v>
      </c>
      <c r="CW26" s="35">
        <f>SUMIF('Resource Demand - Activity'!$FT:$FT,Example!$G26,'Resource Demand - Activity'!CR:CR)</f>
        <v>0</v>
      </c>
      <c r="CX26" s="35">
        <f>SUMIF('Resource Demand - Activity'!$FT:$FT,Example!$G26,'Resource Demand - Activity'!CS:CS)</f>
        <v>0</v>
      </c>
      <c r="CY26" s="36"/>
      <c r="CZ26" s="35">
        <f>SUMIF('Resource Demand - Activity'!$FT:$FT,Example!$G26,'Resource Demand - Activity'!CU:CU)</f>
        <v>0</v>
      </c>
      <c r="DA26" s="35">
        <f>SUMIF('Resource Demand - Activity'!$FT:$FT,Example!$G26,'Resource Demand - Activity'!CV:CV)</f>
        <v>0</v>
      </c>
      <c r="DB26" s="35">
        <f>SUMIF('Resource Demand - Activity'!$FT:$FT,Example!$G26,'Resource Demand - Activity'!CW:CW)</f>
        <v>0</v>
      </c>
      <c r="DC26" s="35">
        <f>SUMIF('Resource Demand - Activity'!$FT:$FT,Example!$G26,'Resource Demand - Activity'!CX:CX)</f>
        <v>0</v>
      </c>
      <c r="DD26" s="35">
        <f>SUMIF('Resource Demand - Activity'!$FT:$FT,Example!$G26,'Resource Demand - Activity'!CY:CY)</f>
        <v>0</v>
      </c>
      <c r="DE26" s="36"/>
      <c r="DF26" s="36"/>
      <c r="DG26" s="35">
        <f>SUMIF('Resource Demand - Activity'!$FT:$FT,Example!$G26,'Resource Demand - Activity'!DB:DB)</f>
        <v>0</v>
      </c>
      <c r="DH26" s="35">
        <f>SUMIF('Resource Demand - Activity'!$FT:$FT,Example!$G26,'Resource Demand - Activity'!DC:DC)</f>
        <v>0</v>
      </c>
      <c r="DI26" s="35">
        <f>SUMIF('Resource Demand - Activity'!$FT:$FT,Example!$G26,'Resource Demand - Activity'!DD:DD)</f>
        <v>0</v>
      </c>
      <c r="DJ26" s="35">
        <f>SUMIF('Resource Demand - Activity'!$FT:$FT,Example!$G26,'Resource Demand - Activity'!DE:DE)</f>
        <v>0</v>
      </c>
      <c r="DK26" s="35">
        <f>SUMIF('Resource Demand - Activity'!$FT:$FT,Example!$G26,'Resource Demand - Activity'!DF:DF)</f>
        <v>0</v>
      </c>
      <c r="DL26" s="35">
        <f>SUMIF('Resource Demand - Activity'!$FT:$FT,Example!$G26,'Resource Demand - Activity'!DG:DG)</f>
        <v>0</v>
      </c>
      <c r="DM26" s="35">
        <f>SUMIF('Resource Demand - Activity'!$FT:$FT,Example!$G26,'Resource Demand - Activity'!DH:DH)</f>
        <v>0</v>
      </c>
      <c r="DN26" s="35">
        <f>SUMIF('Resource Demand - Activity'!$FT:$FT,Example!$G26,'Resource Demand - Activity'!DI:DI)</f>
        <v>0</v>
      </c>
      <c r="DO26" s="35">
        <f>SUMIF('Resource Demand - Activity'!$FT:$FT,Example!$G26,'Resource Demand - Activity'!DJ:DJ)</f>
        <v>0</v>
      </c>
      <c r="DP26" s="35">
        <f>SUMIF('Resource Demand - Activity'!$FT:$FT,Example!$G26,'Resource Demand - Activity'!DK:DK)</f>
        <v>0</v>
      </c>
      <c r="DQ26" s="35">
        <f>SUMIF('Resource Demand - Activity'!$FT:$FT,Example!$G26,'Resource Demand - Activity'!DL:DL)</f>
        <v>0</v>
      </c>
      <c r="DR26" s="35">
        <f>SUMIF('Resource Demand - Activity'!$FT:$FT,Example!$G26,'Resource Demand - Activity'!DM:DM)</f>
        <v>0</v>
      </c>
      <c r="DS26" s="35">
        <f>SUMIF('Resource Demand - Activity'!$FT:$FT,Example!$G26,'Resource Demand - Activity'!DN:DN)</f>
        <v>0</v>
      </c>
      <c r="DT26" s="35">
        <f>SUMIF('Resource Demand - Activity'!$FT:$FT,Example!$G26,'Resource Demand - Activity'!DO:DO)</f>
        <v>0</v>
      </c>
      <c r="DU26" s="35">
        <f>SUMIF('Resource Demand - Activity'!$FT:$FT,Example!$G26,'Resource Demand - Activity'!DP:DP)</f>
        <v>0</v>
      </c>
      <c r="DV26" s="35">
        <f>SUMIF('Resource Demand - Activity'!$FT:$FT,Example!$G26,'Resource Demand - Activity'!DQ:DQ)</f>
        <v>0</v>
      </c>
      <c r="DW26" s="35">
        <f>SUMIF('Resource Demand - Activity'!$FT:$FT,Example!$G26,'Resource Demand - Activity'!DR:DR)</f>
        <v>0</v>
      </c>
      <c r="DX26" s="35">
        <f>SUMIF('Resource Demand - Activity'!$FT:$FT,Example!$G26,'Resource Demand - Activity'!DS:DS)</f>
        <v>0</v>
      </c>
      <c r="DY26" s="35">
        <f>SUMIF('Resource Demand - Activity'!$FT:$FT,Example!$G26,'Resource Demand - Activity'!DT:DT)</f>
        <v>0</v>
      </c>
      <c r="DZ26" s="35">
        <f>SUMIF('Resource Demand - Activity'!$FT:$FT,Example!$G26,'Resource Demand - Activity'!DU:DU)</f>
        <v>0</v>
      </c>
      <c r="EA26" s="35">
        <f>SUMIF('Resource Demand - Activity'!$FT:$FT,Example!$G26,'Resource Demand - Activity'!DV:DV)</f>
        <v>0</v>
      </c>
      <c r="EB26" s="35">
        <f>SUMIF('Resource Demand - Activity'!$FT:$FT,Example!$G26,'Resource Demand - Activity'!DW:DW)</f>
        <v>0</v>
      </c>
      <c r="EC26" s="35">
        <f>SUMIF('Resource Demand - Activity'!$FT:$FT,Example!$G26,'Resource Demand - Activity'!DX:DX)</f>
        <v>0</v>
      </c>
      <c r="ED26" s="35">
        <f>SUMIF('Resource Demand - Activity'!$FT:$FT,Example!$G26,'Resource Demand - Activity'!DY:DY)</f>
        <v>0</v>
      </c>
      <c r="EE26" s="36"/>
      <c r="EF26" s="35">
        <f>SUMIF('Resource Demand - Activity'!$FT:$FT,Example!$G26,'Resource Demand - Activity'!EA:EA)</f>
        <v>0</v>
      </c>
      <c r="EG26" s="35">
        <f>SUMIF('Resource Demand - Activity'!$FT:$FT,Example!$G26,'Resource Demand - Activity'!EB:EB)</f>
        <v>0</v>
      </c>
      <c r="EH26" s="35">
        <f>SUMIF('Resource Demand - Activity'!$FT:$FT,Example!$G26,'Resource Demand - Activity'!EC:EC)</f>
        <v>0</v>
      </c>
      <c r="EI26" s="35">
        <f>SUMIF('Resource Demand - Activity'!$FT:$FT,Example!$G26,'Resource Demand - Activity'!ED:ED)</f>
        <v>0</v>
      </c>
      <c r="EJ26" s="35">
        <f>SUMIF('Resource Demand - Activity'!$FT:$FT,Example!$G26,'Resource Demand - Activity'!EE:EE)</f>
        <v>0</v>
      </c>
      <c r="EK26" s="35">
        <f>SUMIF('Resource Demand - Activity'!$FT:$FT,Example!$G26,'Resource Demand - Activity'!EF:EF)</f>
        <v>0</v>
      </c>
      <c r="EL26" s="35">
        <f>SUMIF('Resource Demand - Activity'!$FT:$FT,Example!$G26,'Resource Demand - Activity'!EG:EG)</f>
        <v>0</v>
      </c>
      <c r="EM26" s="35">
        <f>SUMIF('Resource Demand - Activity'!$FT:$FT,Example!$G26,'Resource Demand - Activity'!EH:EH)</f>
        <v>0</v>
      </c>
      <c r="EN26" s="35">
        <f>SUMIF('Resource Demand - Activity'!$FT:$FT,Example!$G26,'Resource Demand - Activity'!EI:EI)</f>
        <v>0</v>
      </c>
      <c r="EO26" s="35">
        <f>SUMIF('Resource Demand - Activity'!$FT:$FT,Example!$G26,'Resource Demand - Activity'!EJ:EJ)</f>
        <v>0</v>
      </c>
      <c r="EP26" s="35">
        <f>SUMIF('Resource Demand - Activity'!$FT:$FT,Example!$G26,'Resource Demand - Activity'!EK:EK)</f>
        <v>0</v>
      </c>
      <c r="EQ26" s="35">
        <f>SUMIF('Resource Demand - Activity'!$FT:$FT,Example!$G26,'Resource Demand - Activity'!EL:EL)</f>
        <v>0</v>
      </c>
      <c r="ER26" s="35">
        <f>SUMIF('Resource Demand - Activity'!$FT:$FT,Example!$G26,'Resource Demand - Activity'!EM:EM)</f>
        <v>0</v>
      </c>
      <c r="ES26" s="35">
        <f>SUMIF('Resource Demand - Activity'!$FT:$FT,Example!$G26,'Resource Demand - Activity'!EN:EN)</f>
        <v>0</v>
      </c>
      <c r="ET26" s="35">
        <f>SUMIF('Resource Demand - Activity'!$FT:$FT,Example!$G26,'Resource Demand - Activity'!EO:EO)</f>
        <v>0</v>
      </c>
      <c r="EU26" s="35">
        <f>SUMIF('Resource Demand - Activity'!$FT:$FT,Example!$G26,'Resource Demand - Activity'!EP:EP)</f>
        <v>0</v>
      </c>
      <c r="EV26" s="35">
        <f>SUMIF('Resource Demand - Activity'!$FT:$FT,Example!$G26,'Resource Demand - Activity'!EQ:EQ)</f>
        <v>0</v>
      </c>
      <c r="EW26" s="35">
        <f>SUMIF('Resource Demand - Activity'!$FT:$FT,Example!$G26,'Resource Demand - Activity'!ER:ER)</f>
        <v>0</v>
      </c>
      <c r="EX26" s="35">
        <f>SUMIF('Resource Demand - Activity'!$FT:$FT,Example!$G26,'Resource Demand - Activity'!ES:ES)</f>
        <v>0</v>
      </c>
      <c r="EY26" s="35">
        <f>SUMIF('Resource Demand - Activity'!$FT:$FT,Example!$G26,'Resource Demand - Activity'!ET:ET)</f>
        <v>0</v>
      </c>
      <c r="EZ26" s="35">
        <f>SUMIF('Resource Demand - Activity'!$FT:$FT,Example!$G26,'Resource Demand - Activity'!EU:EU)</f>
        <v>0</v>
      </c>
      <c r="FA26" s="35">
        <f>SUMIF('Resource Demand - Activity'!$FT:$FT,Example!$G26,'Resource Demand - Activity'!EV:EV)</f>
        <v>0</v>
      </c>
      <c r="FB26" s="35">
        <f>SUMIF('Resource Demand - Activity'!$FT:$FT,Example!$G26,'Resource Demand - Activity'!EW:EW)</f>
        <v>0</v>
      </c>
      <c r="FC26" s="35">
        <f>SUMIF('Resource Demand - Activity'!$FT:$FT,Example!$G26,'Resource Demand - Activity'!EX:EX)</f>
        <v>0</v>
      </c>
      <c r="FD26" s="36"/>
      <c r="FE26" s="35">
        <f>SUMIF('Resource Demand - Activity'!$FT:$FT,Example!$G26,'Resource Demand - Activity'!EZ:EZ)</f>
        <v>0</v>
      </c>
      <c r="FF26" s="35">
        <f>SUMIF('Resource Demand - Activity'!$FT:$FT,Example!$G26,'Resource Demand - Activity'!FA:FA)</f>
        <v>0</v>
      </c>
      <c r="FG26" s="35">
        <f>SUMIF('Resource Demand - Activity'!$FT:$FT,Example!$G26,'Resource Demand - Activity'!FB:FB)</f>
        <v>0</v>
      </c>
      <c r="FH26" s="35">
        <f>SUMIF('Resource Demand - Activity'!$FT:$FT,Example!$G26,'Resource Demand - Activity'!FC:FC)</f>
        <v>0</v>
      </c>
      <c r="FI26" s="35">
        <f>SUMIF('Resource Demand - Activity'!$FT:$FT,Example!$G26,'Resource Demand - Activity'!FD:FD)</f>
        <v>0</v>
      </c>
      <c r="FJ26" s="35">
        <f>SUMIF('Resource Demand - Activity'!$FT:$FT,Example!$G26,'Resource Demand - Activity'!FE:FE)</f>
        <v>0</v>
      </c>
      <c r="FK26" s="35">
        <f>SUMIF('Resource Demand - Activity'!$FT:$FT,Example!$G26,'Resource Demand - Activity'!FF:FF)</f>
        <v>0</v>
      </c>
      <c r="FL26" s="35">
        <f>SUMIF('Resource Demand - Activity'!$FT:$FT,Example!$G26,'Resource Demand - Activity'!FG:FG)</f>
        <v>0</v>
      </c>
      <c r="FM26" s="35">
        <f>SUMIF('Resource Demand - Activity'!$FT:$FT,Example!$G26,'Resource Demand - Activity'!FH:FH)</f>
        <v>0</v>
      </c>
      <c r="FN26" s="35">
        <f>SUMIF('Resource Demand - Activity'!$FT:$FT,Example!$G26,'Resource Demand - Activity'!FI:FI)</f>
        <v>0</v>
      </c>
      <c r="FO26" s="35">
        <f>SUMIF('Resource Demand - Activity'!$FT:$FT,Example!$G26,'Resource Demand - Activity'!FJ:FJ)</f>
        <v>0</v>
      </c>
      <c r="FP26" s="35">
        <f>SUMIF('Resource Demand - Activity'!$FT:$FT,Example!$G26,'Resource Demand - Activity'!FK:FK)</f>
        <v>0</v>
      </c>
      <c r="FQ26" s="35">
        <f>SUMIF('Resource Demand - Activity'!$FT:$FT,Example!$G26,'Resource Demand - Activity'!FL:FL)</f>
        <v>0</v>
      </c>
      <c r="FR26" s="35">
        <f>SUMIF('Resource Demand - Activity'!$FT:$FT,Example!$G26,'Resource Demand - Activity'!FM:FM)</f>
        <v>0</v>
      </c>
      <c r="FS26" s="35">
        <f>SUMIF('Resource Demand - Activity'!$FT:$FT,Example!$G26,'Resource Demand - Activity'!FN:FN)</f>
        <v>0</v>
      </c>
      <c r="FT26" s="35">
        <f>SUMIF('Resource Demand - Activity'!$FT:$FT,Example!$G26,'Resource Demand - Activity'!FO:FO)</f>
        <v>0</v>
      </c>
      <c r="FU26" s="35">
        <f>SUMIF('Resource Demand - Activity'!$FT:$FT,Example!$G26,'Resource Demand - Activity'!FP:FP)</f>
        <v>0</v>
      </c>
      <c r="FV26" s="52">
        <f>SUMIF('Resource Demand - Activity'!$FT:$FT,Example!$G26,'Resource Demand - Activity'!FQ:FQ)</f>
        <v>0</v>
      </c>
    </row>
    <row r="27" spans="2:178" s="58" customFormat="1" ht="12" customHeight="1">
      <c r="C27" s="162">
        <f>C26+D26</f>
        <v>149445</v>
      </c>
      <c r="D27" s="163"/>
      <c r="E27" s="146"/>
      <c r="G27" s="64" t="str">
        <f t="shared" si="3"/>
        <v>12. FDS Release 4 12.5 FDS Release 4 - Ireland BAT prepGlenn Kirk</v>
      </c>
      <c r="H27" s="102" t="s">
        <v>179</v>
      </c>
      <c r="I27" s="59" t="str">
        <f>INDEX('Resource Demand - Activity'!C:C,MATCH(Example!G27,'Resource Demand - Activity'!FT:FT,0))</f>
        <v>2 days</v>
      </c>
      <c r="J27" s="51">
        <f>SUMIF('Resource Demand - Activity'!$FT:$FT,Example!$G27,'Resource Demand - Activity'!E:E)</f>
        <v>0</v>
      </c>
      <c r="K27" s="35">
        <f>SUMIF('Resource Demand - Activity'!$FT:$FT,Example!$G27,'Resource Demand - Activity'!F:F)</f>
        <v>0</v>
      </c>
      <c r="L27" s="35">
        <f>SUMIF('Resource Demand - Activity'!$FT:$FT,Example!$G27,'Resource Demand - Activity'!G:G)</f>
        <v>0</v>
      </c>
      <c r="M27" s="35">
        <f>SUMIF('Resource Demand - Activity'!$FT:$FT,Example!$G27,'Resource Demand - Activity'!H:H)</f>
        <v>0</v>
      </c>
      <c r="N27" s="35">
        <f>SUMIF('Resource Demand - Activity'!$FT:$FT,Example!$G27,'Resource Demand - Activity'!I:I)</f>
        <v>0</v>
      </c>
      <c r="O27" s="35">
        <f>SUMIF('Resource Demand - Activity'!$FT:$FT,Example!$G27,'Resource Demand - Activity'!J:J)</f>
        <v>0</v>
      </c>
      <c r="P27" s="35">
        <f>SUMIF('Resource Demand - Activity'!$FT:$FT,Example!$G27,'Resource Demand - Activity'!K:K)</f>
        <v>0</v>
      </c>
      <c r="Q27" s="35">
        <f>SUMIF('Resource Demand - Activity'!$FT:$FT,Example!$G27,'Resource Demand - Activity'!L:L)</f>
        <v>0</v>
      </c>
      <c r="R27" s="35">
        <f>SUMIF('Resource Demand - Activity'!$FT:$FT,Example!$G27,'Resource Demand - Activity'!M:M)</f>
        <v>0</v>
      </c>
      <c r="S27" s="35">
        <f>SUMIF('Resource Demand - Activity'!$FT:$FT,Example!$G27,'Resource Demand - Activity'!N:N)</f>
        <v>0</v>
      </c>
      <c r="T27" s="35">
        <f>SUMIF('Resource Demand - Activity'!$FT:$FT,Example!$G27,'Resource Demand - Activity'!O:O)</f>
        <v>0</v>
      </c>
      <c r="U27" s="35">
        <f>SUMIF('Resource Demand - Activity'!$FT:$FT,Example!$G27,'Resource Demand - Activity'!P:P)</f>
        <v>0</v>
      </c>
      <c r="V27" s="35">
        <f>SUMIF('Resource Demand - Activity'!$FT:$FT,Example!$G27,'Resource Demand - Activity'!Q:Q)</f>
        <v>0</v>
      </c>
      <c r="W27" s="35">
        <f>SUMIF('Resource Demand - Activity'!$FT:$FT,Example!$G27,'Resource Demand - Activity'!R:R)</f>
        <v>0</v>
      </c>
      <c r="X27" s="35">
        <f>SUMIF('Resource Demand - Activity'!$FT:$FT,Example!$G27,'Resource Demand - Activity'!S:S)</f>
        <v>0</v>
      </c>
      <c r="Y27" s="35">
        <f>SUMIF('Resource Demand - Activity'!$FT:$FT,Example!$G27,'Resource Demand - Activity'!T:T)</f>
        <v>0</v>
      </c>
      <c r="Z27" s="35">
        <f>SUMIF('Resource Demand - Activity'!$FT:$FT,Example!$G27,'Resource Demand - Activity'!U:U)</f>
        <v>0</v>
      </c>
      <c r="AA27" s="35">
        <f>SUMIF('Resource Demand - Activity'!$FT:$FT,Example!$G27,'Resource Demand - Activity'!V:V)</f>
        <v>0</v>
      </c>
      <c r="AB27" s="35">
        <f>SUMIF('Resource Demand - Activity'!$FT:$FT,Example!$G27,'Resource Demand - Activity'!W:W)</f>
        <v>0</v>
      </c>
      <c r="AC27" s="35">
        <f>SUMIF('Resource Demand - Activity'!$FT:$FT,Example!$G27,'Resource Demand - Activity'!X:X)</f>
        <v>0</v>
      </c>
      <c r="AD27" s="35">
        <f>SUMIF('Resource Demand - Activity'!$FT:$FT,Example!$G27,'Resource Demand - Activity'!Y:Y)</f>
        <v>0.2</v>
      </c>
      <c r="AE27" s="35">
        <f>SUMIF('Resource Demand - Activity'!$FT:$FT,Example!$G27,'Resource Demand - Activity'!Z:Z)</f>
        <v>0.2</v>
      </c>
      <c r="AF27" s="35">
        <f>SUMIF('Resource Demand - Activity'!$FT:$FT,Example!$G27,'Resource Demand - Activity'!AA:AA)</f>
        <v>0.2</v>
      </c>
      <c r="AG27" s="35">
        <f>SUMIF('Resource Demand - Activity'!$FT:$FT,Example!$G27,'Resource Demand - Activity'!AB:AB)</f>
        <v>0.2</v>
      </c>
      <c r="AH27" s="35">
        <f>SUMIF('Resource Demand - Activity'!$FT:$FT,Example!$G27,'Resource Demand - Activity'!AC:AC)</f>
        <v>0.2</v>
      </c>
      <c r="AI27" s="35">
        <f>SUMIF('Resource Demand - Activity'!$FT:$FT,Example!$G27,'Resource Demand - Activity'!AD:AD)</f>
        <v>0.2</v>
      </c>
      <c r="AJ27" s="35">
        <f>SUMIF('Resource Demand - Activity'!$FT:$FT,Example!$G27,'Resource Demand - Activity'!AE:AE)</f>
        <v>0.2</v>
      </c>
      <c r="AK27" s="35">
        <f>SUMIF('Resource Demand - Activity'!$FT:$FT,Example!$G27,'Resource Demand - Activity'!AF:AF)</f>
        <v>0.2</v>
      </c>
      <c r="AL27" s="35">
        <f>SUMIF('Resource Demand - Activity'!$FT:$FT,Example!$G27,'Resource Demand - Activity'!AG:AG)</f>
        <v>0.2</v>
      </c>
      <c r="AM27" s="35">
        <f>SUMIF('Resource Demand - Activity'!$FT:$FT,Example!$G27,'Resource Demand - Activity'!AH:AH)</f>
        <v>0.2</v>
      </c>
      <c r="AN27" s="35">
        <f>SUMIF('Resource Demand - Activity'!$FT:$FT,Example!$G27,'Resource Demand - Activity'!AI:AI)</f>
        <v>0</v>
      </c>
      <c r="AO27" s="35">
        <f>SUMIF('Resource Demand - Activity'!$FT:$FT,Example!$G27,'Resource Demand - Activity'!AJ:AJ)</f>
        <v>0</v>
      </c>
      <c r="AP27" s="35">
        <f>SUMIF('Resource Demand - Activity'!$FT:$FT,Example!$G27,'Resource Demand - Activity'!AK:AK)</f>
        <v>0</v>
      </c>
      <c r="AQ27" s="36"/>
      <c r="AR27" s="36"/>
      <c r="AS27" s="36"/>
      <c r="AT27" s="36"/>
      <c r="AU27" s="36"/>
      <c r="AV27" s="36"/>
      <c r="AW27" s="36"/>
      <c r="AX27" s="35">
        <f>SUMIF('Resource Demand - Activity'!$FT:$FT,Example!$G27,'Resource Demand - Activity'!AS:AS)</f>
        <v>0</v>
      </c>
      <c r="AY27" s="35">
        <f>SUMIF('Resource Demand - Activity'!$FT:$FT,Example!$G27,'Resource Demand - Activity'!AT:AT)</f>
        <v>0</v>
      </c>
      <c r="AZ27" s="35">
        <f>SUMIF('Resource Demand - Activity'!$FT:$FT,Example!$G27,'Resource Demand - Activity'!AU:AU)</f>
        <v>0</v>
      </c>
      <c r="BA27" s="35">
        <f>SUMIF('Resource Demand - Activity'!$FT:$FT,Example!$G27,'Resource Demand - Activity'!AV:AV)</f>
        <v>0</v>
      </c>
      <c r="BB27" s="35">
        <f>SUMIF('Resource Demand - Activity'!$FT:$FT,Example!$G27,'Resource Demand - Activity'!AW:AW)</f>
        <v>0</v>
      </c>
      <c r="BC27" s="35">
        <f>SUMIF('Resource Demand - Activity'!$FT:$FT,Example!$G27,'Resource Demand - Activity'!AX:AX)</f>
        <v>0</v>
      </c>
      <c r="BD27" s="35">
        <f>SUMIF('Resource Demand - Activity'!$FT:$FT,Example!$G27,'Resource Demand - Activity'!AY:AY)</f>
        <v>0</v>
      </c>
      <c r="BE27" s="35">
        <f>SUMIF('Resource Demand - Activity'!$FT:$FT,Example!$G27,'Resource Demand - Activity'!AZ:AZ)</f>
        <v>0</v>
      </c>
      <c r="BF27" s="35">
        <f>SUMIF('Resource Demand - Activity'!$FT:$FT,Example!$G27,'Resource Demand - Activity'!BA:BA)</f>
        <v>0</v>
      </c>
      <c r="BG27" s="35">
        <f>SUMIF('Resource Demand - Activity'!$FT:$FT,Example!$G27,'Resource Demand - Activity'!BB:BB)</f>
        <v>0</v>
      </c>
      <c r="BH27" s="35">
        <f>SUMIF('Resource Demand - Activity'!$FT:$FT,Example!$G27,'Resource Demand - Activity'!BC:BC)</f>
        <v>0</v>
      </c>
      <c r="BI27" s="35">
        <f>SUMIF('Resource Demand - Activity'!$FT:$FT,Example!$G27,'Resource Demand - Activity'!BD:BD)</f>
        <v>0</v>
      </c>
      <c r="BJ27" s="35">
        <f>SUMIF('Resource Demand - Activity'!$FT:$FT,Example!$G27,'Resource Demand - Activity'!BE:BE)</f>
        <v>0</v>
      </c>
      <c r="BK27" s="35">
        <f>SUMIF('Resource Demand - Activity'!$FT:$FT,Example!$G27,'Resource Demand - Activity'!BF:BF)</f>
        <v>0</v>
      </c>
      <c r="BL27" s="35">
        <f>SUMIF('Resource Demand - Activity'!$FT:$FT,Example!$G27,'Resource Demand - Activity'!BG:BG)</f>
        <v>0</v>
      </c>
      <c r="BM27" s="35">
        <f>SUMIF('Resource Demand - Activity'!$FT:$FT,Example!$G27,'Resource Demand - Activity'!BH:BH)</f>
        <v>0</v>
      </c>
      <c r="BN27" s="35">
        <f>SUMIF('Resource Demand - Activity'!$FT:$FT,Example!$G27,'Resource Demand - Activity'!BI:BI)</f>
        <v>0</v>
      </c>
      <c r="BO27" s="35">
        <f>SUMIF('Resource Demand - Activity'!$FT:$FT,Example!$G27,'Resource Demand - Activity'!BJ:BJ)</f>
        <v>0</v>
      </c>
      <c r="BP27" s="35">
        <f>SUMIF('Resource Demand - Activity'!$FT:$FT,Example!$G27,'Resource Demand - Activity'!BK:BK)</f>
        <v>0</v>
      </c>
      <c r="BQ27" s="35">
        <f>SUMIF('Resource Demand - Activity'!$FT:$FT,Example!$G27,'Resource Demand - Activity'!BL:BL)</f>
        <v>0</v>
      </c>
      <c r="BR27" s="35">
        <f>SUMIF('Resource Demand - Activity'!$FT:$FT,Example!$G27,'Resource Demand - Activity'!BM:BM)</f>
        <v>0</v>
      </c>
      <c r="BS27" s="35">
        <f>SUMIF('Resource Demand - Activity'!$FT:$FT,Example!$G27,'Resource Demand - Activity'!BN:BN)</f>
        <v>0</v>
      </c>
      <c r="BT27" s="35">
        <f>SUMIF('Resource Demand - Activity'!$FT:$FT,Example!$G27,'Resource Demand - Activity'!BO:BO)</f>
        <v>0</v>
      </c>
      <c r="BU27" s="35">
        <f>SUMIF('Resource Demand - Activity'!$FT:$FT,Example!$G27,'Resource Demand - Activity'!BP:BP)</f>
        <v>0</v>
      </c>
      <c r="BV27" s="35">
        <f>SUMIF('Resource Demand - Activity'!$FT:$FT,Example!$G27,'Resource Demand - Activity'!BQ:BQ)</f>
        <v>0</v>
      </c>
      <c r="BW27" s="35">
        <f>SUMIF('Resource Demand - Activity'!$FT:$FT,Example!$G27,'Resource Demand - Activity'!BR:BR)</f>
        <v>0</v>
      </c>
      <c r="BX27" s="35">
        <f>SUMIF('Resource Demand - Activity'!$FT:$FT,Example!$G27,'Resource Demand - Activity'!BS:BS)</f>
        <v>0</v>
      </c>
      <c r="BY27" s="35">
        <f>SUMIF('Resource Demand - Activity'!$FT:$FT,Example!$G27,'Resource Demand - Activity'!BT:BT)</f>
        <v>0</v>
      </c>
      <c r="BZ27" s="35">
        <f>SUMIF('Resource Demand - Activity'!$FT:$FT,Example!$G27,'Resource Demand - Activity'!BU:BU)</f>
        <v>0</v>
      </c>
      <c r="CA27" s="35">
        <f>SUMIF('Resource Demand - Activity'!$FT:$FT,Example!$G27,'Resource Demand - Activity'!BV:BV)</f>
        <v>0</v>
      </c>
      <c r="CB27" s="35">
        <f>SUMIF('Resource Demand - Activity'!$FT:$FT,Example!$G27,'Resource Demand - Activity'!BW:BW)</f>
        <v>0</v>
      </c>
      <c r="CC27" s="35">
        <f>SUMIF('Resource Demand - Activity'!$FT:$FT,Example!$G27,'Resource Demand - Activity'!BX:BX)</f>
        <v>0</v>
      </c>
      <c r="CD27" s="35">
        <f>SUMIF('Resource Demand - Activity'!$FT:$FT,Example!$G27,'Resource Demand - Activity'!BY:BY)</f>
        <v>0</v>
      </c>
      <c r="CE27" s="35">
        <f>SUMIF('Resource Demand - Activity'!$FT:$FT,Example!$G27,'Resource Demand - Activity'!BZ:BZ)</f>
        <v>0</v>
      </c>
      <c r="CF27" s="35">
        <f>SUMIF('Resource Demand - Activity'!$FT:$FT,Example!$G27,'Resource Demand - Activity'!CA:CA)</f>
        <v>0</v>
      </c>
      <c r="CG27" s="35">
        <f>SUMIF('Resource Demand - Activity'!$FT:$FT,Example!$G27,'Resource Demand - Activity'!CB:CB)</f>
        <v>0</v>
      </c>
      <c r="CH27" s="35">
        <f>SUMIF('Resource Demand - Activity'!$FT:$FT,Example!$G27,'Resource Demand - Activity'!CC:CC)</f>
        <v>0</v>
      </c>
      <c r="CI27" s="35">
        <f>SUMIF('Resource Demand - Activity'!$FT:$FT,Example!$G27,'Resource Demand - Activity'!CD:CD)</f>
        <v>0</v>
      </c>
      <c r="CJ27" s="35">
        <f>SUMIF('Resource Demand - Activity'!$FT:$FT,Example!$G27,'Resource Demand - Activity'!CE:CE)</f>
        <v>0</v>
      </c>
      <c r="CK27" s="35">
        <f>SUMIF('Resource Demand - Activity'!$FT:$FT,Example!$G27,'Resource Demand - Activity'!CF:CF)</f>
        <v>0</v>
      </c>
      <c r="CL27" s="35">
        <f>SUMIF('Resource Demand - Activity'!$FT:$FT,Example!$G27,'Resource Demand - Activity'!CG:CG)</f>
        <v>0</v>
      </c>
      <c r="CM27" s="35">
        <f>SUMIF('Resource Demand - Activity'!$FT:$FT,Example!$G27,'Resource Demand - Activity'!CH:CH)</f>
        <v>0</v>
      </c>
      <c r="CN27" s="35">
        <f>SUMIF('Resource Demand - Activity'!$FT:$FT,Example!$G27,'Resource Demand - Activity'!CI:CI)</f>
        <v>0</v>
      </c>
      <c r="CO27" s="35">
        <f>SUMIF('Resource Demand - Activity'!$FT:$FT,Example!$G27,'Resource Demand - Activity'!CJ:CJ)</f>
        <v>0</v>
      </c>
      <c r="CP27" s="35">
        <f>SUMIF('Resource Demand - Activity'!$FT:$FT,Example!$G27,'Resource Demand - Activity'!CK:CK)</f>
        <v>0</v>
      </c>
      <c r="CQ27" s="35">
        <f>SUMIF('Resource Demand - Activity'!$FT:$FT,Example!$G27,'Resource Demand - Activity'!CL:CL)</f>
        <v>0</v>
      </c>
      <c r="CR27" s="35">
        <f>SUMIF('Resource Demand - Activity'!$FT:$FT,Example!$G27,'Resource Demand - Activity'!CM:CM)</f>
        <v>0</v>
      </c>
      <c r="CS27" s="35">
        <f>SUMIF('Resource Demand - Activity'!$FT:$FT,Example!$G27,'Resource Demand - Activity'!CN:CN)</f>
        <v>0</v>
      </c>
      <c r="CT27" s="35">
        <f>SUMIF('Resource Demand - Activity'!$FT:$FT,Example!$G27,'Resource Demand - Activity'!CO:CO)</f>
        <v>0</v>
      </c>
      <c r="CU27" s="35">
        <f>SUMIF('Resource Demand - Activity'!$FT:$FT,Example!$G27,'Resource Demand - Activity'!CP:CP)</f>
        <v>0</v>
      </c>
      <c r="CV27" s="35">
        <f>SUMIF('Resource Demand - Activity'!$FT:$FT,Example!$G27,'Resource Demand - Activity'!CQ:CQ)</f>
        <v>0</v>
      </c>
      <c r="CW27" s="35">
        <f>SUMIF('Resource Demand - Activity'!$FT:$FT,Example!$G27,'Resource Demand - Activity'!CR:CR)</f>
        <v>0</v>
      </c>
      <c r="CX27" s="35">
        <f>SUMIF('Resource Demand - Activity'!$FT:$FT,Example!$G27,'Resource Demand - Activity'!CS:CS)</f>
        <v>0</v>
      </c>
      <c r="CY27" s="36"/>
      <c r="CZ27" s="35">
        <f>SUMIF('Resource Demand - Activity'!$FT:$FT,Example!$G27,'Resource Demand - Activity'!CU:CU)</f>
        <v>0</v>
      </c>
      <c r="DA27" s="35">
        <f>SUMIF('Resource Demand - Activity'!$FT:$FT,Example!$G27,'Resource Demand - Activity'!CV:CV)</f>
        <v>0</v>
      </c>
      <c r="DB27" s="35">
        <f>SUMIF('Resource Demand - Activity'!$FT:$FT,Example!$G27,'Resource Demand - Activity'!CW:CW)</f>
        <v>0</v>
      </c>
      <c r="DC27" s="35">
        <f>SUMIF('Resource Demand - Activity'!$FT:$FT,Example!$G27,'Resource Demand - Activity'!CX:CX)</f>
        <v>0</v>
      </c>
      <c r="DD27" s="35">
        <f>SUMIF('Resource Demand - Activity'!$FT:$FT,Example!$G27,'Resource Demand - Activity'!CY:CY)</f>
        <v>0</v>
      </c>
      <c r="DE27" s="36"/>
      <c r="DF27" s="36"/>
      <c r="DG27" s="35">
        <f>SUMIF('Resource Demand - Activity'!$FT:$FT,Example!$G27,'Resource Demand - Activity'!DB:DB)</f>
        <v>0</v>
      </c>
      <c r="DH27" s="35">
        <f>SUMIF('Resource Demand - Activity'!$FT:$FT,Example!$G27,'Resource Demand - Activity'!DC:DC)</f>
        <v>0</v>
      </c>
      <c r="DI27" s="35">
        <f>SUMIF('Resource Demand - Activity'!$FT:$FT,Example!$G27,'Resource Demand - Activity'!DD:DD)</f>
        <v>0</v>
      </c>
      <c r="DJ27" s="35">
        <f>SUMIF('Resource Demand - Activity'!$FT:$FT,Example!$G27,'Resource Demand - Activity'!DE:DE)</f>
        <v>0</v>
      </c>
      <c r="DK27" s="35">
        <f>SUMIF('Resource Demand - Activity'!$FT:$FT,Example!$G27,'Resource Demand - Activity'!DF:DF)</f>
        <v>0</v>
      </c>
      <c r="DL27" s="35">
        <f>SUMIF('Resource Demand - Activity'!$FT:$FT,Example!$G27,'Resource Demand - Activity'!DG:DG)</f>
        <v>0</v>
      </c>
      <c r="DM27" s="35">
        <f>SUMIF('Resource Demand - Activity'!$FT:$FT,Example!$G27,'Resource Demand - Activity'!DH:DH)</f>
        <v>0</v>
      </c>
      <c r="DN27" s="35">
        <f>SUMIF('Resource Demand - Activity'!$FT:$FT,Example!$G27,'Resource Demand - Activity'!DI:DI)</f>
        <v>0</v>
      </c>
      <c r="DO27" s="35">
        <f>SUMIF('Resource Demand - Activity'!$FT:$FT,Example!$G27,'Resource Demand - Activity'!DJ:DJ)</f>
        <v>0</v>
      </c>
      <c r="DP27" s="35">
        <f>SUMIF('Resource Demand - Activity'!$FT:$FT,Example!$G27,'Resource Demand - Activity'!DK:DK)</f>
        <v>0</v>
      </c>
      <c r="DQ27" s="35">
        <f>SUMIF('Resource Demand - Activity'!$FT:$FT,Example!$G27,'Resource Demand - Activity'!DL:DL)</f>
        <v>0</v>
      </c>
      <c r="DR27" s="35">
        <f>SUMIF('Resource Demand - Activity'!$FT:$FT,Example!$G27,'Resource Demand - Activity'!DM:DM)</f>
        <v>0</v>
      </c>
      <c r="DS27" s="35">
        <f>SUMIF('Resource Demand - Activity'!$FT:$FT,Example!$G27,'Resource Demand - Activity'!DN:DN)</f>
        <v>0</v>
      </c>
      <c r="DT27" s="35">
        <f>SUMIF('Resource Demand - Activity'!$FT:$FT,Example!$G27,'Resource Demand - Activity'!DO:DO)</f>
        <v>0</v>
      </c>
      <c r="DU27" s="35">
        <f>SUMIF('Resource Demand - Activity'!$FT:$FT,Example!$G27,'Resource Demand - Activity'!DP:DP)</f>
        <v>0</v>
      </c>
      <c r="DV27" s="35">
        <f>SUMIF('Resource Demand - Activity'!$FT:$FT,Example!$G27,'Resource Demand - Activity'!DQ:DQ)</f>
        <v>0</v>
      </c>
      <c r="DW27" s="35">
        <f>SUMIF('Resource Demand - Activity'!$FT:$FT,Example!$G27,'Resource Demand - Activity'!DR:DR)</f>
        <v>0</v>
      </c>
      <c r="DX27" s="35">
        <f>SUMIF('Resource Demand - Activity'!$FT:$FT,Example!$G27,'Resource Demand - Activity'!DS:DS)</f>
        <v>0</v>
      </c>
      <c r="DY27" s="35">
        <f>SUMIF('Resource Demand - Activity'!$FT:$FT,Example!$G27,'Resource Demand - Activity'!DT:DT)</f>
        <v>0</v>
      </c>
      <c r="DZ27" s="35">
        <f>SUMIF('Resource Demand - Activity'!$FT:$FT,Example!$G27,'Resource Demand - Activity'!DU:DU)</f>
        <v>0</v>
      </c>
      <c r="EA27" s="35">
        <f>SUMIF('Resource Demand - Activity'!$FT:$FT,Example!$G27,'Resource Demand - Activity'!DV:DV)</f>
        <v>0</v>
      </c>
      <c r="EB27" s="35">
        <f>SUMIF('Resource Demand - Activity'!$FT:$FT,Example!$G27,'Resource Demand - Activity'!DW:DW)</f>
        <v>0</v>
      </c>
      <c r="EC27" s="35">
        <f>SUMIF('Resource Demand - Activity'!$FT:$FT,Example!$G27,'Resource Demand - Activity'!DX:DX)</f>
        <v>0</v>
      </c>
      <c r="ED27" s="35">
        <f>SUMIF('Resource Demand - Activity'!$FT:$FT,Example!$G27,'Resource Demand - Activity'!DY:DY)</f>
        <v>0</v>
      </c>
      <c r="EE27" s="36"/>
      <c r="EF27" s="35">
        <f>SUMIF('Resource Demand - Activity'!$FT:$FT,Example!$G27,'Resource Demand - Activity'!EA:EA)</f>
        <v>0</v>
      </c>
      <c r="EG27" s="35">
        <f>SUMIF('Resource Demand - Activity'!$FT:$FT,Example!$G27,'Resource Demand - Activity'!EB:EB)</f>
        <v>0</v>
      </c>
      <c r="EH27" s="35">
        <f>SUMIF('Resource Demand - Activity'!$FT:$FT,Example!$G27,'Resource Demand - Activity'!EC:EC)</f>
        <v>0</v>
      </c>
      <c r="EI27" s="35">
        <f>SUMIF('Resource Demand - Activity'!$FT:$FT,Example!$G27,'Resource Demand - Activity'!ED:ED)</f>
        <v>0</v>
      </c>
      <c r="EJ27" s="35">
        <f>SUMIF('Resource Demand - Activity'!$FT:$FT,Example!$G27,'Resource Demand - Activity'!EE:EE)</f>
        <v>0</v>
      </c>
      <c r="EK27" s="35">
        <f>SUMIF('Resource Demand - Activity'!$FT:$FT,Example!$G27,'Resource Demand - Activity'!EF:EF)</f>
        <v>0</v>
      </c>
      <c r="EL27" s="35">
        <f>SUMIF('Resource Demand - Activity'!$FT:$FT,Example!$G27,'Resource Demand - Activity'!EG:EG)</f>
        <v>0</v>
      </c>
      <c r="EM27" s="35">
        <f>SUMIF('Resource Demand - Activity'!$FT:$FT,Example!$G27,'Resource Demand - Activity'!EH:EH)</f>
        <v>0</v>
      </c>
      <c r="EN27" s="35">
        <f>SUMIF('Resource Demand - Activity'!$FT:$FT,Example!$G27,'Resource Demand - Activity'!EI:EI)</f>
        <v>0</v>
      </c>
      <c r="EO27" s="35">
        <f>SUMIF('Resource Demand - Activity'!$FT:$FT,Example!$G27,'Resource Demand - Activity'!EJ:EJ)</f>
        <v>0</v>
      </c>
      <c r="EP27" s="35">
        <f>SUMIF('Resource Demand - Activity'!$FT:$FT,Example!$G27,'Resource Demand - Activity'!EK:EK)</f>
        <v>0</v>
      </c>
      <c r="EQ27" s="35">
        <f>SUMIF('Resource Demand - Activity'!$FT:$FT,Example!$G27,'Resource Demand - Activity'!EL:EL)</f>
        <v>0</v>
      </c>
      <c r="ER27" s="35">
        <f>SUMIF('Resource Demand - Activity'!$FT:$FT,Example!$G27,'Resource Demand - Activity'!EM:EM)</f>
        <v>0</v>
      </c>
      <c r="ES27" s="35">
        <f>SUMIF('Resource Demand - Activity'!$FT:$FT,Example!$G27,'Resource Demand - Activity'!EN:EN)</f>
        <v>0</v>
      </c>
      <c r="ET27" s="35">
        <f>SUMIF('Resource Demand - Activity'!$FT:$FT,Example!$G27,'Resource Demand - Activity'!EO:EO)</f>
        <v>0</v>
      </c>
      <c r="EU27" s="35">
        <f>SUMIF('Resource Demand - Activity'!$FT:$FT,Example!$G27,'Resource Demand - Activity'!EP:EP)</f>
        <v>0</v>
      </c>
      <c r="EV27" s="35">
        <f>SUMIF('Resource Demand - Activity'!$FT:$FT,Example!$G27,'Resource Demand - Activity'!EQ:EQ)</f>
        <v>0</v>
      </c>
      <c r="EW27" s="35">
        <f>SUMIF('Resource Demand - Activity'!$FT:$FT,Example!$G27,'Resource Demand - Activity'!ER:ER)</f>
        <v>0</v>
      </c>
      <c r="EX27" s="35">
        <f>SUMIF('Resource Demand - Activity'!$FT:$FT,Example!$G27,'Resource Demand - Activity'!ES:ES)</f>
        <v>0</v>
      </c>
      <c r="EY27" s="35">
        <f>SUMIF('Resource Demand - Activity'!$FT:$FT,Example!$G27,'Resource Demand - Activity'!ET:ET)</f>
        <v>0</v>
      </c>
      <c r="EZ27" s="35">
        <f>SUMIF('Resource Demand - Activity'!$FT:$FT,Example!$G27,'Resource Demand - Activity'!EU:EU)</f>
        <v>0</v>
      </c>
      <c r="FA27" s="35">
        <f>SUMIF('Resource Demand - Activity'!$FT:$FT,Example!$G27,'Resource Demand - Activity'!EV:EV)</f>
        <v>0</v>
      </c>
      <c r="FB27" s="35">
        <f>SUMIF('Resource Demand - Activity'!$FT:$FT,Example!$G27,'Resource Demand - Activity'!EW:EW)</f>
        <v>0</v>
      </c>
      <c r="FC27" s="35">
        <f>SUMIF('Resource Demand - Activity'!$FT:$FT,Example!$G27,'Resource Demand - Activity'!EX:EX)</f>
        <v>0</v>
      </c>
      <c r="FD27" s="36"/>
      <c r="FE27" s="35">
        <f>SUMIF('Resource Demand - Activity'!$FT:$FT,Example!$G27,'Resource Demand - Activity'!EZ:EZ)</f>
        <v>0</v>
      </c>
      <c r="FF27" s="35">
        <f>SUMIF('Resource Demand - Activity'!$FT:$FT,Example!$G27,'Resource Demand - Activity'!FA:FA)</f>
        <v>0</v>
      </c>
      <c r="FG27" s="35">
        <f>SUMIF('Resource Demand - Activity'!$FT:$FT,Example!$G27,'Resource Demand - Activity'!FB:FB)</f>
        <v>0</v>
      </c>
      <c r="FH27" s="35">
        <f>SUMIF('Resource Demand - Activity'!$FT:$FT,Example!$G27,'Resource Demand - Activity'!FC:FC)</f>
        <v>0</v>
      </c>
      <c r="FI27" s="35">
        <f>SUMIF('Resource Demand - Activity'!$FT:$FT,Example!$G27,'Resource Demand - Activity'!FD:FD)</f>
        <v>0</v>
      </c>
      <c r="FJ27" s="35">
        <f>SUMIF('Resource Demand - Activity'!$FT:$FT,Example!$G27,'Resource Demand - Activity'!FE:FE)</f>
        <v>0</v>
      </c>
      <c r="FK27" s="35">
        <f>SUMIF('Resource Demand - Activity'!$FT:$FT,Example!$G27,'Resource Demand - Activity'!FF:FF)</f>
        <v>0</v>
      </c>
      <c r="FL27" s="35">
        <f>SUMIF('Resource Demand - Activity'!$FT:$FT,Example!$G27,'Resource Demand - Activity'!FG:FG)</f>
        <v>0</v>
      </c>
      <c r="FM27" s="35">
        <f>SUMIF('Resource Demand - Activity'!$FT:$FT,Example!$G27,'Resource Demand - Activity'!FH:FH)</f>
        <v>0</v>
      </c>
      <c r="FN27" s="35">
        <f>SUMIF('Resource Demand - Activity'!$FT:$FT,Example!$G27,'Resource Demand - Activity'!FI:FI)</f>
        <v>0</v>
      </c>
      <c r="FO27" s="35">
        <f>SUMIF('Resource Demand - Activity'!$FT:$FT,Example!$G27,'Resource Demand - Activity'!FJ:FJ)</f>
        <v>0</v>
      </c>
      <c r="FP27" s="35">
        <f>SUMIF('Resource Demand - Activity'!$FT:$FT,Example!$G27,'Resource Demand - Activity'!FK:FK)</f>
        <v>0</v>
      </c>
      <c r="FQ27" s="35">
        <f>SUMIF('Resource Demand - Activity'!$FT:$FT,Example!$G27,'Resource Demand - Activity'!FL:FL)</f>
        <v>0</v>
      </c>
      <c r="FR27" s="35">
        <f>SUMIF('Resource Demand - Activity'!$FT:$FT,Example!$G27,'Resource Demand - Activity'!FM:FM)</f>
        <v>0</v>
      </c>
      <c r="FS27" s="35">
        <f>SUMIF('Resource Demand - Activity'!$FT:$FT,Example!$G27,'Resource Demand - Activity'!FN:FN)</f>
        <v>0</v>
      </c>
      <c r="FT27" s="35">
        <f>SUMIF('Resource Demand - Activity'!$FT:$FT,Example!$G27,'Resource Demand - Activity'!FO:FO)</f>
        <v>0</v>
      </c>
      <c r="FU27" s="35">
        <f>SUMIF('Resource Demand - Activity'!$FT:$FT,Example!$G27,'Resource Demand - Activity'!FP:FP)</f>
        <v>0</v>
      </c>
      <c r="FV27" s="52">
        <f>SUMIF('Resource Demand - Activity'!$FT:$FT,Example!$G27,'Resource Demand - Activity'!FQ:FQ)</f>
        <v>0</v>
      </c>
    </row>
    <row r="28" spans="2:178" s="58" customFormat="1" ht="12" customHeight="1">
      <c r="G28" s="64" t="str">
        <f t="shared" si="3"/>
        <v>12. FDS Release 4 12.6 FDS Release 4 - Ireland BATGlenn Kirk</v>
      </c>
      <c r="H28" s="102" t="s">
        <v>180</v>
      </c>
      <c r="I28" s="59" t="str">
        <f>INDEX('Resource Demand - Activity'!C:C,MATCH(Example!G28,'Resource Demand - Activity'!FT:FT,0))</f>
        <v>13 days</v>
      </c>
      <c r="J28" s="51">
        <f>SUMIF('Resource Demand - Activity'!$FT:$FT,Example!$G28,'Resource Demand - Activity'!E:E)</f>
        <v>0</v>
      </c>
      <c r="K28" s="35">
        <f>SUMIF('Resource Demand - Activity'!$FT:$FT,Example!$G28,'Resource Demand - Activity'!F:F)</f>
        <v>0</v>
      </c>
      <c r="L28" s="35">
        <f>SUMIF('Resource Demand - Activity'!$FT:$FT,Example!$G28,'Resource Demand - Activity'!G:G)</f>
        <v>0</v>
      </c>
      <c r="M28" s="35">
        <f>SUMIF('Resource Demand - Activity'!$FT:$FT,Example!$G28,'Resource Demand - Activity'!H:H)</f>
        <v>0</v>
      </c>
      <c r="N28" s="35">
        <f>SUMIF('Resource Demand - Activity'!$FT:$FT,Example!$G28,'Resource Demand - Activity'!I:I)</f>
        <v>0</v>
      </c>
      <c r="O28" s="35">
        <f>SUMIF('Resource Demand - Activity'!$FT:$FT,Example!$G28,'Resource Demand - Activity'!J:J)</f>
        <v>0</v>
      </c>
      <c r="P28" s="35">
        <f>SUMIF('Resource Demand - Activity'!$FT:$FT,Example!$G28,'Resource Demand - Activity'!K:K)</f>
        <v>0</v>
      </c>
      <c r="Q28" s="35">
        <f>SUMIF('Resource Demand - Activity'!$FT:$FT,Example!$G28,'Resource Demand - Activity'!L:L)</f>
        <v>0</v>
      </c>
      <c r="R28" s="35">
        <f>SUMIF('Resource Demand - Activity'!$FT:$FT,Example!$G28,'Resource Demand - Activity'!M:M)</f>
        <v>0</v>
      </c>
      <c r="S28" s="35">
        <f>SUMIF('Resource Demand - Activity'!$FT:$FT,Example!$G28,'Resource Demand - Activity'!N:N)</f>
        <v>0</v>
      </c>
      <c r="T28" s="35">
        <f>SUMIF('Resource Demand - Activity'!$FT:$FT,Example!$G28,'Resource Demand - Activity'!O:O)</f>
        <v>0</v>
      </c>
      <c r="U28" s="35">
        <f>SUMIF('Resource Demand - Activity'!$FT:$FT,Example!$G28,'Resource Demand - Activity'!P:P)</f>
        <v>0</v>
      </c>
      <c r="V28" s="35">
        <f>SUMIF('Resource Demand - Activity'!$FT:$FT,Example!$G28,'Resource Demand - Activity'!Q:Q)</f>
        <v>0</v>
      </c>
      <c r="W28" s="35">
        <f>SUMIF('Resource Demand - Activity'!$FT:$FT,Example!$G28,'Resource Demand - Activity'!R:R)</f>
        <v>0</v>
      </c>
      <c r="X28" s="35">
        <f>SUMIF('Resource Demand - Activity'!$FT:$FT,Example!$G28,'Resource Demand - Activity'!S:S)</f>
        <v>0</v>
      </c>
      <c r="Y28" s="35">
        <f>SUMIF('Resource Demand - Activity'!$FT:$FT,Example!$G28,'Resource Demand - Activity'!T:T)</f>
        <v>0</v>
      </c>
      <c r="Z28" s="35">
        <f>SUMIF('Resource Demand - Activity'!$FT:$FT,Example!$G28,'Resource Demand - Activity'!U:U)</f>
        <v>0</v>
      </c>
      <c r="AA28" s="35">
        <f>SUMIF('Resource Demand - Activity'!$FT:$FT,Example!$G28,'Resource Demand - Activity'!V:V)</f>
        <v>0</v>
      </c>
      <c r="AB28" s="35">
        <f>SUMIF('Resource Demand - Activity'!$FT:$FT,Example!$G28,'Resource Demand - Activity'!W:W)</f>
        <v>0</v>
      </c>
      <c r="AC28" s="35">
        <f>SUMIF('Resource Demand - Activity'!$FT:$FT,Example!$G28,'Resource Demand - Activity'!X:X)</f>
        <v>0</v>
      </c>
      <c r="AD28" s="35">
        <f>SUMIF('Resource Demand - Activity'!$FT:$FT,Example!$G28,'Resource Demand - Activity'!Y:Y)</f>
        <v>0</v>
      </c>
      <c r="AE28" s="35">
        <f>SUMIF('Resource Demand - Activity'!$FT:$FT,Example!$G28,'Resource Demand - Activity'!Z:Z)</f>
        <v>0</v>
      </c>
      <c r="AF28" s="35">
        <f>SUMIF('Resource Demand - Activity'!$FT:$FT,Example!$G28,'Resource Demand - Activity'!AA:AA)</f>
        <v>0</v>
      </c>
      <c r="AG28" s="35">
        <f>SUMIF('Resource Demand - Activity'!$FT:$FT,Example!$G28,'Resource Demand - Activity'!AB:AB)</f>
        <v>0</v>
      </c>
      <c r="AH28" s="35">
        <f>SUMIF('Resource Demand - Activity'!$FT:$FT,Example!$G28,'Resource Demand - Activity'!AC:AC)</f>
        <v>0</v>
      </c>
      <c r="AI28" s="35">
        <f>SUMIF('Resource Demand - Activity'!$FT:$FT,Example!$G28,'Resource Demand - Activity'!AD:AD)</f>
        <v>0</v>
      </c>
      <c r="AJ28" s="35">
        <f>SUMIF('Resource Demand - Activity'!$FT:$FT,Example!$G28,'Resource Demand - Activity'!AE:AE)</f>
        <v>0</v>
      </c>
      <c r="AK28" s="35">
        <f>SUMIF('Resource Demand - Activity'!$FT:$FT,Example!$G28,'Resource Demand - Activity'!AF:AF)</f>
        <v>0</v>
      </c>
      <c r="AL28" s="35">
        <f>SUMIF('Resource Demand - Activity'!$FT:$FT,Example!$G28,'Resource Demand - Activity'!AG:AG)</f>
        <v>0</v>
      </c>
      <c r="AM28" s="35">
        <f>SUMIF('Resource Demand - Activity'!$FT:$FT,Example!$G28,'Resource Demand - Activity'!AH:AH)</f>
        <v>0</v>
      </c>
      <c r="AN28" s="35">
        <f>SUMIF('Resource Demand - Activity'!$FT:$FT,Example!$G28,'Resource Demand - Activity'!AI:AI)</f>
        <v>0</v>
      </c>
      <c r="AO28" s="35">
        <f>SUMIF('Resource Demand - Activity'!$FT:$FT,Example!$G28,'Resource Demand - Activity'!AJ:AJ)</f>
        <v>0</v>
      </c>
      <c r="AP28" s="35">
        <f>SUMIF('Resource Demand - Activity'!$FT:$FT,Example!$G28,'Resource Demand - Activity'!AK:AK)</f>
        <v>0</v>
      </c>
      <c r="AQ28" s="36"/>
      <c r="AR28" s="36"/>
      <c r="AS28" s="36"/>
      <c r="AT28" s="36"/>
      <c r="AU28" s="36"/>
      <c r="AV28" s="36"/>
      <c r="AW28" s="36"/>
      <c r="AX28" s="35">
        <f>SUMIF('Resource Demand - Activity'!$FT:$FT,Example!$G28,'Resource Demand - Activity'!AS:AS)</f>
        <v>0</v>
      </c>
      <c r="AY28" s="35">
        <f>SUMIF('Resource Demand - Activity'!$FT:$FT,Example!$G28,'Resource Demand - Activity'!AT:AT)</f>
        <v>0</v>
      </c>
      <c r="AZ28" s="35">
        <f>SUMIF('Resource Demand - Activity'!$FT:$FT,Example!$G28,'Resource Demand - Activity'!AU:AU)</f>
        <v>0</v>
      </c>
      <c r="BA28" s="35">
        <f>SUMIF('Resource Demand - Activity'!$FT:$FT,Example!$G28,'Resource Demand - Activity'!AV:AV)</f>
        <v>0</v>
      </c>
      <c r="BB28" s="35">
        <f>SUMIF('Resource Demand - Activity'!$FT:$FT,Example!$G28,'Resource Demand - Activity'!AW:AW)</f>
        <v>0</v>
      </c>
      <c r="BC28" s="35">
        <f>SUMIF('Resource Demand - Activity'!$FT:$FT,Example!$G28,'Resource Demand - Activity'!AX:AX)</f>
        <v>0</v>
      </c>
      <c r="BD28" s="35">
        <f>SUMIF('Resource Demand - Activity'!$FT:$FT,Example!$G28,'Resource Demand - Activity'!AY:AY)</f>
        <v>0</v>
      </c>
      <c r="BE28" s="35">
        <f>SUMIF('Resource Demand - Activity'!$FT:$FT,Example!$G28,'Resource Demand - Activity'!AZ:AZ)</f>
        <v>0</v>
      </c>
      <c r="BF28" s="35">
        <f>SUMIF('Resource Demand - Activity'!$FT:$FT,Example!$G28,'Resource Demand - Activity'!BA:BA)</f>
        <v>0</v>
      </c>
      <c r="BG28" s="35">
        <f>SUMIF('Resource Demand - Activity'!$FT:$FT,Example!$G28,'Resource Demand - Activity'!BB:BB)</f>
        <v>0</v>
      </c>
      <c r="BH28" s="35">
        <f>SUMIF('Resource Demand - Activity'!$FT:$FT,Example!$G28,'Resource Demand - Activity'!BC:BC)</f>
        <v>0</v>
      </c>
      <c r="BI28" s="35">
        <f>SUMIF('Resource Demand - Activity'!$FT:$FT,Example!$G28,'Resource Demand - Activity'!BD:BD)</f>
        <v>0</v>
      </c>
      <c r="BJ28" s="35">
        <f>SUMIF('Resource Demand - Activity'!$FT:$FT,Example!$G28,'Resource Demand - Activity'!BE:BE)</f>
        <v>0</v>
      </c>
      <c r="BK28" s="35">
        <f>SUMIF('Resource Demand - Activity'!$FT:$FT,Example!$G28,'Resource Demand - Activity'!BF:BF)</f>
        <v>0</v>
      </c>
      <c r="BL28" s="35">
        <f>SUMIF('Resource Demand - Activity'!$FT:$FT,Example!$G28,'Resource Demand - Activity'!BG:BG)</f>
        <v>0</v>
      </c>
      <c r="BM28" s="35">
        <f>SUMIF('Resource Demand - Activity'!$FT:$FT,Example!$G28,'Resource Demand - Activity'!BH:BH)</f>
        <v>0</v>
      </c>
      <c r="BN28" s="35">
        <f>SUMIF('Resource Demand - Activity'!$FT:$FT,Example!$G28,'Resource Demand - Activity'!BI:BI)</f>
        <v>0</v>
      </c>
      <c r="BO28" s="35">
        <f>SUMIF('Resource Demand - Activity'!$FT:$FT,Example!$G28,'Resource Demand - Activity'!BJ:BJ)</f>
        <v>0</v>
      </c>
      <c r="BP28" s="35">
        <f>SUMIF('Resource Demand - Activity'!$FT:$FT,Example!$G28,'Resource Demand - Activity'!BK:BK)</f>
        <v>0</v>
      </c>
      <c r="BQ28" s="35">
        <f>SUMIF('Resource Demand - Activity'!$FT:$FT,Example!$G28,'Resource Demand - Activity'!BL:BL)</f>
        <v>0</v>
      </c>
      <c r="BR28" s="35">
        <f>SUMIF('Resource Demand - Activity'!$FT:$FT,Example!$G28,'Resource Demand - Activity'!BM:BM)</f>
        <v>1</v>
      </c>
      <c r="BS28" s="35">
        <f>SUMIF('Resource Demand - Activity'!$FT:$FT,Example!$G28,'Resource Demand - Activity'!BN:BN)</f>
        <v>1</v>
      </c>
      <c r="BT28" s="35">
        <f>SUMIF('Resource Demand - Activity'!$FT:$FT,Example!$G28,'Resource Demand - Activity'!BO:BO)</f>
        <v>1</v>
      </c>
      <c r="BU28" s="35">
        <f>SUMIF('Resource Demand - Activity'!$FT:$FT,Example!$G28,'Resource Demand - Activity'!BP:BP)</f>
        <v>0.5</v>
      </c>
      <c r="BV28" s="35">
        <f>SUMIF('Resource Demand - Activity'!$FT:$FT,Example!$G28,'Resource Demand - Activity'!BQ:BQ)</f>
        <v>0.5</v>
      </c>
      <c r="BW28" s="35">
        <f>SUMIF('Resource Demand - Activity'!$FT:$FT,Example!$G28,'Resource Demand - Activity'!BR:BR)</f>
        <v>1</v>
      </c>
      <c r="BX28" s="35">
        <f>SUMIF('Resource Demand - Activity'!$FT:$FT,Example!$G28,'Resource Demand - Activity'!BS:BS)</f>
        <v>1</v>
      </c>
      <c r="BY28" s="35">
        <f>SUMIF('Resource Demand - Activity'!$FT:$FT,Example!$G28,'Resource Demand - Activity'!BT:BT)</f>
        <v>1</v>
      </c>
      <c r="BZ28" s="35">
        <f>SUMIF('Resource Demand - Activity'!$FT:$FT,Example!$G28,'Resource Demand - Activity'!BU:BU)</f>
        <v>0.5</v>
      </c>
      <c r="CA28" s="35">
        <f>SUMIF('Resource Demand - Activity'!$FT:$FT,Example!$G28,'Resource Demand - Activity'!BV:BV)</f>
        <v>0</v>
      </c>
      <c r="CB28" s="35">
        <f>SUMIF('Resource Demand - Activity'!$FT:$FT,Example!$G28,'Resource Demand - Activity'!BW:BW)</f>
        <v>0</v>
      </c>
      <c r="CC28" s="35">
        <f>SUMIF('Resource Demand - Activity'!$FT:$FT,Example!$G28,'Resource Demand - Activity'!BX:BX)</f>
        <v>0</v>
      </c>
      <c r="CD28" s="35">
        <f>SUMIF('Resource Demand - Activity'!$FT:$FT,Example!$G28,'Resource Demand - Activity'!BY:BY)</f>
        <v>1</v>
      </c>
      <c r="CE28" s="35">
        <f>SUMIF('Resource Demand - Activity'!$FT:$FT,Example!$G28,'Resource Demand - Activity'!BZ:BZ)</f>
        <v>1</v>
      </c>
      <c r="CF28" s="35">
        <f>SUMIF('Resource Demand - Activity'!$FT:$FT,Example!$G28,'Resource Demand - Activity'!CA:CA)</f>
        <v>0.5</v>
      </c>
      <c r="CG28" s="35">
        <f>SUMIF('Resource Demand - Activity'!$FT:$FT,Example!$G28,'Resource Demand - Activity'!CB:CB)</f>
        <v>0.5</v>
      </c>
      <c r="CH28" s="35">
        <f>SUMIF('Resource Demand - Activity'!$FT:$FT,Example!$G28,'Resource Demand - Activity'!CC:CC)</f>
        <v>0.5</v>
      </c>
      <c r="CI28" s="35">
        <f>SUMIF('Resource Demand - Activity'!$FT:$FT,Example!$G28,'Resource Demand - Activity'!CD:CD)</f>
        <v>0.5</v>
      </c>
      <c r="CJ28" s="35">
        <f>SUMIF('Resource Demand - Activity'!$FT:$FT,Example!$G28,'Resource Demand - Activity'!CE:CE)</f>
        <v>0.5</v>
      </c>
      <c r="CK28" s="35">
        <f>SUMIF('Resource Demand - Activity'!$FT:$FT,Example!$G28,'Resource Demand - Activity'!CF:CF)</f>
        <v>1</v>
      </c>
      <c r="CL28" s="35">
        <f>SUMIF('Resource Demand - Activity'!$FT:$FT,Example!$G28,'Resource Demand - Activity'!CG:CG)</f>
        <v>0</v>
      </c>
      <c r="CM28" s="35">
        <f>SUMIF('Resource Demand - Activity'!$FT:$FT,Example!$G28,'Resource Demand - Activity'!CH:CH)</f>
        <v>0</v>
      </c>
      <c r="CN28" s="35">
        <f>SUMIF('Resource Demand - Activity'!$FT:$FT,Example!$G28,'Resource Demand - Activity'!CI:CI)</f>
        <v>0</v>
      </c>
      <c r="CO28" s="35">
        <f>SUMIF('Resource Demand - Activity'!$FT:$FT,Example!$G28,'Resource Demand - Activity'!CJ:CJ)</f>
        <v>0</v>
      </c>
      <c r="CP28" s="35">
        <f>SUMIF('Resource Demand - Activity'!$FT:$FT,Example!$G28,'Resource Demand - Activity'!CK:CK)</f>
        <v>0</v>
      </c>
      <c r="CQ28" s="35">
        <f>SUMIF('Resource Demand - Activity'!$FT:$FT,Example!$G28,'Resource Demand - Activity'!CL:CL)</f>
        <v>0</v>
      </c>
      <c r="CR28" s="35">
        <f>SUMIF('Resource Demand - Activity'!$FT:$FT,Example!$G28,'Resource Demand - Activity'!CM:CM)</f>
        <v>0</v>
      </c>
      <c r="CS28" s="35">
        <f>SUMIF('Resource Demand - Activity'!$FT:$FT,Example!$G28,'Resource Demand - Activity'!CN:CN)</f>
        <v>0</v>
      </c>
      <c r="CT28" s="35">
        <f>SUMIF('Resource Demand - Activity'!$FT:$FT,Example!$G28,'Resource Demand - Activity'!CO:CO)</f>
        <v>0</v>
      </c>
      <c r="CU28" s="35">
        <f>SUMIF('Resource Demand - Activity'!$FT:$FT,Example!$G28,'Resource Demand - Activity'!CP:CP)</f>
        <v>0</v>
      </c>
      <c r="CV28" s="35">
        <f>SUMIF('Resource Demand - Activity'!$FT:$FT,Example!$G28,'Resource Demand - Activity'!CQ:CQ)</f>
        <v>0</v>
      </c>
      <c r="CW28" s="35">
        <f>SUMIF('Resource Demand - Activity'!$FT:$FT,Example!$G28,'Resource Demand - Activity'!CR:CR)</f>
        <v>0</v>
      </c>
      <c r="CX28" s="35">
        <f>SUMIF('Resource Demand - Activity'!$FT:$FT,Example!$G28,'Resource Demand - Activity'!CS:CS)</f>
        <v>0</v>
      </c>
      <c r="CY28" s="36"/>
      <c r="CZ28" s="35">
        <f>SUMIF('Resource Demand - Activity'!$FT:$FT,Example!$G28,'Resource Demand - Activity'!CU:CU)</f>
        <v>0</v>
      </c>
      <c r="DA28" s="35">
        <f>SUMIF('Resource Demand - Activity'!$FT:$FT,Example!$G28,'Resource Demand - Activity'!CV:CV)</f>
        <v>0</v>
      </c>
      <c r="DB28" s="35">
        <f>SUMIF('Resource Demand - Activity'!$FT:$FT,Example!$G28,'Resource Demand - Activity'!CW:CW)</f>
        <v>0</v>
      </c>
      <c r="DC28" s="35">
        <f>SUMIF('Resource Demand - Activity'!$FT:$FT,Example!$G28,'Resource Demand - Activity'!CX:CX)</f>
        <v>0</v>
      </c>
      <c r="DD28" s="35">
        <f>SUMIF('Resource Demand - Activity'!$FT:$FT,Example!$G28,'Resource Demand - Activity'!CY:CY)</f>
        <v>0</v>
      </c>
      <c r="DE28" s="36"/>
      <c r="DF28" s="36"/>
      <c r="DG28" s="35">
        <f>SUMIF('Resource Demand - Activity'!$FT:$FT,Example!$G28,'Resource Demand - Activity'!DB:DB)</f>
        <v>0</v>
      </c>
      <c r="DH28" s="35">
        <f>SUMIF('Resource Demand - Activity'!$FT:$FT,Example!$G28,'Resource Demand - Activity'!DC:DC)</f>
        <v>0</v>
      </c>
      <c r="DI28" s="35">
        <f>SUMIF('Resource Demand - Activity'!$FT:$FT,Example!$G28,'Resource Demand - Activity'!DD:DD)</f>
        <v>0</v>
      </c>
      <c r="DJ28" s="35">
        <f>SUMIF('Resource Demand - Activity'!$FT:$FT,Example!$G28,'Resource Demand - Activity'!DE:DE)</f>
        <v>0</v>
      </c>
      <c r="DK28" s="35">
        <f>SUMIF('Resource Demand - Activity'!$FT:$FT,Example!$G28,'Resource Demand - Activity'!DF:DF)</f>
        <v>0</v>
      </c>
      <c r="DL28" s="35">
        <f>SUMIF('Resource Demand - Activity'!$FT:$FT,Example!$G28,'Resource Demand - Activity'!DG:DG)</f>
        <v>0</v>
      </c>
      <c r="DM28" s="35">
        <f>SUMIF('Resource Demand - Activity'!$FT:$FT,Example!$G28,'Resource Demand - Activity'!DH:DH)</f>
        <v>0</v>
      </c>
      <c r="DN28" s="35">
        <f>SUMIF('Resource Demand - Activity'!$FT:$FT,Example!$G28,'Resource Demand - Activity'!DI:DI)</f>
        <v>0</v>
      </c>
      <c r="DO28" s="35">
        <f>SUMIF('Resource Demand - Activity'!$FT:$FT,Example!$G28,'Resource Demand - Activity'!DJ:DJ)</f>
        <v>0</v>
      </c>
      <c r="DP28" s="35">
        <f>SUMIF('Resource Demand - Activity'!$FT:$FT,Example!$G28,'Resource Demand - Activity'!DK:DK)</f>
        <v>0</v>
      </c>
      <c r="DQ28" s="35">
        <f>SUMIF('Resource Demand - Activity'!$FT:$FT,Example!$G28,'Resource Demand - Activity'!DL:DL)</f>
        <v>0</v>
      </c>
      <c r="DR28" s="35">
        <f>SUMIF('Resource Demand - Activity'!$FT:$FT,Example!$G28,'Resource Demand - Activity'!DM:DM)</f>
        <v>0</v>
      </c>
      <c r="DS28" s="35">
        <f>SUMIF('Resource Demand - Activity'!$FT:$FT,Example!$G28,'Resource Demand - Activity'!DN:DN)</f>
        <v>0</v>
      </c>
      <c r="DT28" s="35">
        <f>SUMIF('Resource Demand - Activity'!$FT:$FT,Example!$G28,'Resource Demand - Activity'!DO:DO)</f>
        <v>0</v>
      </c>
      <c r="DU28" s="35">
        <f>SUMIF('Resource Demand - Activity'!$FT:$FT,Example!$G28,'Resource Demand - Activity'!DP:DP)</f>
        <v>0</v>
      </c>
      <c r="DV28" s="35">
        <f>SUMIF('Resource Demand - Activity'!$FT:$FT,Example!$G28,'Resource Demand - Activity'!DQ:DQ)</f>
        <v>0</v>
      </c>
      <c r="DW28" s="35">
        <f>SUMIF('Resource Demand - Activity'!$FT:$FT,Example!$G28,'Resource Demand - Activity'!DR:DR)</f>
        <v>0</v>
      </c>
      <c r="DX28" s="35">
        <f>SUMIF('Resource Demand - Activity'!$FT:$FT,Example!$G28,'Resource Demand - Activity'!DS:DS)</f>
        <v>0</v>
      </c>
      <c r="DY28" s="35">
        <f>SUMIF('Resource Demand - Activity'!$FT:$FT,Example!$G28,'Resource Demand - Activity'!DT:DT)</f>
        <v>0</v>
      </c>
      <c r="DZ28" s="35">
        <f>SUMIF('Resource Demand - Activity'!$FT:$FT,Example!$G28,'Resource Demand - Activity'!DU:DU)</f>
        <v>0</v>
      </c>
      <c r="EA28" s="35">
        <f>SUMIF('Resource Demand - Activity'!$FT:$FT,Example!$G28,'Resource Demand - Activity'!DV:DV)</f>
        <v>0</v>
      </c>
      <c r="EB28" s="35">
        <f>SUMIF('Resource Demand - Activity'!$FT:$FT,Example!$G28,'Resource Demand - Activity'!DW:DW)</f>
        <v>0</v>
      </c>
      <c r="EC28" s="35">
        <f>SUMIF('Resource Demand - Activity'!$FT:$FT,Example!$G28,'Resource Demand - Activity'!DX:DX)</f>
        <v>0</v>
      </c>
      <c r="ED28" s="35">
        <f>SUMIF('Resource Demand - Activity'!$FT:$FT,Example!$G28,'Resource Demand - Activity'!DY:DY)</f>
        <v>0</v>
      </c>
      <c r="EE28" s="36"/>
      <c r="EF28" s="35">
        <f>SUMIF('Resource Demand - Activity'!$FT:$FT,Example!$G28,'Resource Demand - Activity'!EA:EA)</f>
        <v>0</v>
      </c>
      <c r="EG28" s="35">
        <f>SUMIF('Resource Demand - Activity'!$FT:$FT,Example!$G28,'Resource Demand - Activity'!EB:EB)</f>
        <v>0</v>
      </c>
      <c r="EH28" s="35">
        <f>SUMIF('Resource Demand - Activity'!$FT:$FT,Example!$G28,'Resource Demand - Activity'!EC:EC)</f>
        <v>0</v>
      </c>
      <c r="EI28" s="35">
        <f>SUMIF('Resource Demand - Activity'!$FT:$FT,Example!$G28,'Resource Demand - Activity'!ED:ED)</f>
        <v>0</v>
      </c>
      <c r="EJ28" s="35">
        <f>SUMIF('Resource Demand - Activity'!$FT:$FT,Example!$G28,'Resource Demand - Activity'!EE:EE)</f>
        <v>0</v>
      </c>
      <c r="EK28" s="35">
        <f>SUMIF('Resource Demand - Activity'!$FT:$FT,Example!$G28,'Resource Demand - Activity'!EF:EF)</f>
        <v>0</v>
      </c>
      <c r="EL28" s="35">
        <f>SUMIF('Resource Demand - Activity'!$FT:$FT,Example!$G28,'Resource Demand - Activity'!EG:EG)</f>
        <v>0</v>
      </c>
      <c r="EM28" s="35">
        <f>SUMIF('Resource Demand - Activity'!$FT:$FT,Example!$G28,'Resource Demand - Activity'!EH:EH)</f>
        <v>0</v>
      </c>
      <c r="EN28" s="35">
        <f>SUMIF('Resource Demand - Activity'!$FT:$FT,Example!$G28,'Resource Demand - Activity'!EI:EI)</f>
        <v>0</v>
      </c>
      <c r="EO28" s="35">
        <f>SUMIF('Resource Demand - Activity'!$FT:$FT,Example!$G28,'Resource Demand - Activity'!EJ:EJ)</f>
        <v>0</v>
      </c>
      <c r="EP28" s="35">
        <f>SUMIF('Resource Demand - Activity'!$FT:$FT,Example!$G28,'Resource Demand - Activity'!EK:EK)</f>
        <v>0</v>
      </c>
      <c r="EQ28" s="35">
        <f>SUMIF('Resource Demand - Activity'!$FT:$FT,Example!$G28,'Resource Demand - Activity'!EL:EL)</f>
        <v>0</v>
      </c>
      <c r="ER28" s="35">
        <f>SUMIF('Resource Demand - Activity'!$FT:$FT,Example!$G28,'Resource Demand - Activity'!EM:EM)</f>
        <v>0</v>
      </c>
      <c r="ES28" s="35">
        <f>SUMIF('Resource Demand - Activity'!$FT:$FT,Example!$G28,'Resource Demand - Activity'!EN:EN)</f>
        <v>0</v>
      </c>
      <c r="ET28" s="35">
        <f>SUMIF('Resource Demand - Activity'!$FT:$FT,Example!$G28,'Resource Demand - Activity'!EO:EO)</f>
        <v>0</v>
      </c>
      <c r="EU28" s="35">
        <f>SUMIF('Resource Demand - Activity'!$FT:$FT,Example!$G28,'Resource Demand - Activity'!EP:EP)</f>
        <v>0</v>
      </c>
      <c r="EV28" s="35">
        <f>SUMIF('Resource Demand - Activity'!$FT:$FT,Example!$G28,'Resource Demand - Activity'!EQ:EQ)</f>
        <v>0</v>
      </c>
      <c r="EW28" s="35">
        <f>SUMIF('Resource Demand - Activity'!$FT:$FT,Example!$G28,'Resource Demand - Activity'!ER:ER)</f>
        <v>0</v>
      </c>
      <c r="EX28" s="35">
        <f>SUMIF('Resource Demand - Activity'!$FT:$FT,Example!$G28,'Resource Demand - Activity'!ES:ES)</f>
        <v>0</v>
      </c>
      <c r="EY28" s="35">
        <f>SUMIF('Resource Demand - Activity'!$FT:$FT,Example!$G28,'Resource Demand - Activity'!ET:ET)</f>
        <v>0</v>
      </c>
      <c r="EZ28" s="35">
        <f>SUMIF('Resource Demand - Activity'!$FT:$FT,Example!$G28,'Resource Demand - Activity'!EU:EU)</f>
        <v>0</v>
      </c>
      <c r="FA28" s="35">
        <f>SUMIF('Resource Demand - Activity'!$FT:$FT,Example!$G28,'Resource Demand - Activity'!EV:EV)</f>
        <v>0</v>
      </c>
      <c r="FB28" s="35">
        <f>SUMIF('Resource Demand - Activity'!$FT:$FT,Example!$G28,'Resource Demand - Activity'!EW:EW)</f>
        <v>0</v>
      </c>
      <c r="FC28" s="35">
        <f>SUMIF('Resource Demand - Activity'!$FT:$FT,Example!$G28,'Resource Demand - Activity'!EX:EX)</f>
        <v>0</v>
      </c>
      <c r="FD28" s="36"/>
      <c r="FE28" s="35">
        <f>SUMIF('Resource Demand - Activity'!$FT:$FT,Example!$G28,'Resource Demand - Activity'!EZ:EZ)</f>
        <v>0</v>
      </c>
      <c r="FF28" s="35">
        <f>SUMIF('Resource Demand - Activity'!$FT:$FT,Example!$G28,'Resource Demand - Activity'!FA:FA)</f>
        <v>0</v>
      </c>
      <c r="FG28" s="35">
        <f>SUMIF('Resource Demand - Activity'!$FT:$FT,Example!$G28,'Resource Demand - Activity'!FB:FB)</f>
        <v>0</v>
      </c>
      <c r="FH28" s="35">
        <f>SUMIF('Resource Demand - Activity'!$FT:$FT,Example!$G28,'Resource Demand - Activity'!FC:FC)</f>
        <v>0</v>
      </c>
      <c r="FI28" s="35">
        <f>SUMIF('Resource Demand - Activity'!$FT:$FT,Example!$G28,'Resource Demand - Activity'!FD:FD)</f>
        <v>0</v>
      </c>
      <c r="FJ28" s="35">
        <f>SUMIF('Resource Demand - Activity'!$FT:$FT,Example!$G28,'Resource Demand - Activity'!FE:FE)</f>
        <v>0</v>
      </c>
      <c r="FK28" s="35">
        <f>SUMIF('Resource Demand - Activity'!$FT:$FT,Example!$G28,'Resource Demand - Activity'!FF:FF)</f>
        <v>0</v>
      </c>
      <c r="FL28" s="35">
        <f>SUMIF('Resource Demand - Activity'!$FT:$FT,Example!$G28,'Resource Demand - Activity'!FG:FG)</f>
        <v>0</v>
      </c>
      <c r="FM28" s="35">
        <f>SUMIF('Resource Demand - Activity'!$FT:$FT,Example!$G28,'Resource Demand - Activity'!FH:FH)</f>
        <v>0</v>
      </c>
      <c r="FN28" s="35">
        <f>SUMIF('Resource Demand - Activity'!$FT:$FT,Example!$G28,'Resource Demand - Activity'!FI:FI)</f>
        <v>0</v>
      </c>
      <c r="FO28" s="35">
        <f>SUMIF('Resource Demand - Activity'!$FT:$FT,Example!$G28,'Resource Demand - Activity'!FJ:FJ)</f>
        <v>0</v>
      </c>
      <c r="FP28" s="35">
        <f>SUMIF('Resource Demand - Activity'!$FT:$FT,Example!$G28,'Resource Demand - Activity'!FK:FK)</f>
        <v>0</v>
      </c>
      <c r="FQ28" s="35">
        <f>SUMIF('Resource Demand - Activity'!$FT:$FT,Example!$G28,'Resource Demand - Activity'!FL:FL)</f>
        <v>0</v>
      </c>
      <c r="FR28" s="35">
        <f>SUMIF('Resource Demand - Activity'!$FT:$FT,Example!$G28,'Resource Demand - Activity'!FM:FM)</f>
        <v>0</v>
      </c>
      <c r="FS28" s="35">
        <f>SUMIF('Resource Demand - Activity'!$FT:$FT,Example!$G28,'Resource Demand - Activity'!FN:FN)</f>
        <v>0</v>
      </c>
      <c r="FT28" s="35">
        <f>SUMIF('Resource Demand - Activity'!$FT:$FT,Example!$G28,'Resource Demand - Activity'!FO:FO)</f>
        <v>0</v>
      </c>
      <c r="FU28" s="35">
        <f>SUMIF('Resource Demand - Activity'!$FT:$FT,Example!$G28,'Resource Demand - Activity'!FP:FP)</f>
        <v>0</v>
      </c>
      <c r="FV28" s="52">
        <f>SUMIF('Resource Demand - Activity'!$FT:$FT,Example!$G28,'Resource Demand - Activity'!FQ:FQ)</f>
        <v>0</v>
      </c>
    </row>
    <row r="29" spans="2:178" s="58" customFormat="1" ht="12" customHeight="1">
      <c r="G29" s="64" t="str">
        <f t="shared" si="3"/>
        <v>12. FDS Release 4 12.7 FDS Release 4 - UK &amp; Ireland CRs UAT Glenn Kirk</v>
      </c>
      <c r="H29" s="102" t="s">
        <v>181</v>
      </c>
      <c r="I29" s="59" t="str">
        <f>INDEX('Resource Demand - Activity'!C:C,MATCH(Example!G29,'Resource Demand - Activity'!FT:FT,0))</f>
        <v>4 days</v>
      </c>
      <c r="J29" s="51">
        <f>SUMIF('Resource Demand - Activity'!$FT:$FT,Example!$G29,'Resource Demand - Activity'!E:E)</f>
        <v>0</v>
      </c>
      <c r="K29" s="35">
        <f>SUMIF('Resource Demand - Activity'!$FT:$FT,Example!$G29,'Resource Demand - Activity'!F:F)</f>
        <v>0</v>
      </c>
      <c r="L29" s="35">
        <f>SUMIF('Resource Demand - Activity'!$FT:$FT,Example!$G29,'Resource Demand - Activity'!G:G)</f>
        <v>0</v>
      </c>
      <c r="M29" s="35">
        <f>SUMIF('Resource Demand - Activity'!$FT:$FT,Example!$G29,'Resource Demand - Activity'!H:H)</f>
        <v>0</v>
      </c>
      <c r="N29" s="35">
        <f>SUMIF('Resource Demand - Activity'!$FT:$FT,Example!$G29,'Resource Demand - Activity'!I:I)</f>
        <v>0</v>
      </c>
      <c r="O29" s="35">
        <f>SUMIF('Resource Demand - Activity'!$FT:$FT,Example!$G29,'Resource Demand - Activity'!J:J)</f>
        <v>0</v>
      </c>
      <c r="P29" s="35">
        <f>SUMIF('Resource Demand - Activity'!$FT:$FT,Example!$G29,'Resource Demand - Activity'!K:K)</f>
        <v>0</v>
      </c>
      <c r="Q29" s="35">
        <f>SUMIF('Resource Demand - Activity'!$FT:$FT,Example!$G29,'Resource Demand - Activity'!L:L)</f>
        <v>0</v>
      </c>
      <c r="R29" s="35">
        <f>SUMIF('Resource Demand - Activity'!$FT:$FT,Example!$G29,'Resource Demand - Activity'!M:M)</f>
        <v>0</v>
      </c>
      <c r="S29" s="35">
        <f>SUMIF('Resource Demand - Activity'!$FT:$FT,Example!$G29,'Resource Demand - Activity'!N:N)</f>
        <v>0</v>
      </c>
      <c r="T29" s="35">
        <f>SUMIF('Resource Demand - Activity'!$FT:$FT,Example!$G29,'Resource Demand - Activity'!O:O)</f>
        <v>0</v>
      </c>
      <c r="U29" s="35">
        <f>SUMIF('Resource Demand - Activity'!$FT:$FT,Example!$G29,'Resource Demand - Activity'!P:P)</f>
        <v>0</v>
      </c>
      <c r="V29" s="35">
        <f>SUMIF('Resource Demand - Activity'!$FT:$FT,Example!$G29,'Resource Demand - Activity'!Q:Q)</f>
        <v>0</v>
      </c>
      <c r="W29" s="35">
        <f>SUMIF('Resource Demand - Activity'!$FT:$FT,Example!$G29,'Resource Demand - Activity'!R:R)</f>
        <v>0</v>
      </c>
      <c r="X29" s="35">
        <f>SUMIF('Resource Demand - Activity'!$FT:$FT,Example!$G29,'Resource Demand - Activity'!S:S)</f>
        <v>0</v>
      </c>
      <c r="Y29" s="35">
        <f>SUMIF('Resource Demand - Activity'!$FT:$FT,Example!$G29,'Resource Demand - Activity'!T:T)</f>
        <v>0</v>
      </c>
      <c r="Z29" s="35">
        <f>SUMIF('Resource Demand - Activity'!$FT:$FT,Example!$G29,'Resource Demand - Activity'!U:U)</f>
        <v>0</v>
      </c>
      <c r="AA29" s="35">
        <f>SUMIF('Resource Demand - Activity'!$FT:$FT,Example!$G29,'Resource Demand - Activity'!V:V)</f>
        <v>0</v>
      </c>
      <c r="AB29" s="35">
        <f>SUMIF('Resource Demand - Activity'!$FT:$FT,Example!$G29,'Resource Demand - Activity'!W:W)</f>
        <v>0</v>
      </c>
      <c r="AC29" s="35">
        <f>SUMIF('Resource Demand - Activity'!$FT:$FT,Example!$G29,'Resource Demand - Activity'!X:X)</f>
        <v>0</v>
      </c>
      <c r="AD29" s="35">
        <f>SUMIF('Resource Demand - Activity'!$FT:$FT,Example!$G29,'Resource Demand - Activity'!Y:Y)</f>
        <v>0.1</v>
      </c>
      <c r="AE29" s="35">
        <f>SUMIF('Resource Demand - Activity'!$FT:$FT,Example!$G29,'Resource Demand - Activity'!Z:Z)</f>
        <v>0.1</v>
      </c>
      <c r="AF29" s="35">
        <f>SUMIF('Resource Demand - Activity'!$FT:$FT,Example!$G29,'Resource Demand - Activity'!AA:AA)</f>
        <v>0.1</v>
      </c>
      <c r="AG29" s="35">
        <f>SUMIF('Resource Demand - Activity'!$FT:$FT,Example!$G29,'Resource Demand - Activity'!AB:AB)</f>
        <v>0.1</v>
      </c>
      <c r="AH29" s="35">
        <f>SUMIF('Resource Demand - Activity'!$FT:$FT,Example!$G29,'Resource Demand - Activity'!AC:AC)</f>
        <v>0.1</v>
      </c>
      <c r="AI29" s="35">
        <f>SUMIF('Resource Demand - Activity'!$FT:$FT,Example!$G29,'Resource Demand - Activity'!AD:AD)</f>
        <v>0.1</v>
      </c>
      <c r="AJ29" s="35">
        <f>SUMIF('Resource Demand - Activity'!$FT:$FT,Example!$G29,'Resource Demand - Activity'!AE:AE)</f>
        <v>0.55000000000000004</v>
      </c>
      <c r="AK29" s="35">
        <f>SUMIF('Resource Demand - Activity'!$FT:$FT,Example!$G29,'Resource Demand - Activity'!AF:AF)</f>
        <v>0.35</v>
      </c>
      <c r="AL29" s="35">
        <f>SUMIF('Resource Demand - Activity'!$FT:$FT,Example!$G29,'Resource Demand - Activity'!AG:AG)</f>
        <v>0.25</v>
      </c>
      <c r="AM29" s="35">
        <f>SUMIF('Resource Demand - Activity'!$FT:$FT,Example!$G29,'Resource Demand - Activity'!AH:AH)</f>
        <v>0.3</v>
      </c>
      <c r="AN29" s="35">
        <f>SUMIF('Resource Demand - Activity'!$FT:$FT,Example!$G29,'Resource Demand - Activity'!AI:AI)</f>
        <v>0.5</v>
      </c>
      <c r="AO29" s="35">
        <f>SUMIF('Resource Demand - Activity'!$FT:$FT,Example!$G29,'Resource Demand - Activity'!AJ:AJ)</f>
        <v>1</v>
      </c>
      <c r="AP29" s="35">
        <f>SUMIF('Resource Demand - Activity'!$FT:$FT,Example!$G29,'Resource Demand - Activity'!AK:AK)</f>
        <v>0.5</v>
      </c>
      <c r="AQ29" s="36"/>
      <c r="AR29" s="36"/>
      <c r="AS29" s="36"/>
      <c r="AT29" s="36"/>
      <c r="AU29" s="36"/>
      <c r="AV29" s="36"/>
      <c r="AW29" s="36"/>
      <c r="AX29" s="35">
        <f>SUMIF('Resource Demand - Activity'!$FT:$FT,Example!$G29,'Resource Demand - Activity'!AS:AS)</f>
        <v>0</v>
      </c>
      <c r="AY29" s="35">
        <f>SUMIF('Resource Demand - Activity'!$FT:$FT,Example!$G29,'Resource Demand - Activity'!AT:AT)</f>
        <v>0</v>
      </c>
      <c r="AZ29" s="35">
        <f>SUMIF('Resource Demand - Activity'!$FT:$FT,Example!$G29,'Resource Demand - Activity'!AU:AU)</f>
        <v>0</v>
      </c>
      <c r="BA29" s="35">
        <f>SUMIF('Resource Demand - Activity'!$FT:$FT,Example!$G29,'Resource Demand - Activity'!AV:AV)</f>
        <v>0</v>
      </c>
      <c r="BB29" s="35">
        <f>SUMIF('Resource Demand - Activity'!$FT:$FT,Example!$G29,'Resource Demand - Activity'!AW:AW)</f>
        <v>0</v>
      </c>
      <c r="BC29" s="35">
        <f>SUMIF('Resource Demand - Activity'!$FT:$FT,Example!$G29,'Resource Demand - Activity'!AX:AX)</f>
        <v>0</v>
      </c>
      <c r="BD29" s="35">
        <f>SUMIF('Resource Demand - Activity'!$FT:$FT,Example!$G29,'Resource Demand - Activity'!AY:AY)</f>
        <v>0</v>
      </c>
      <c r="BE29" s="35">
        <f>SUMIF('Resource Demand - Activity'!$FT:$FT,Example!$G29,'Resource Demand - Activity'!AZ:AZ)</f>
        <v>0</v>
      </c>
      <c r="BF29" s="35">
        <f>SUMIF('Resource Demand - Activity'!$FT:$FT,Example!$G29,'Resource Demand - Activity'!BA:BA)</f>
        <v>0</v>
      </c>
      <c r="BG29" s="35">
        <f>SUMIF('Resource Demand - Activity'!$FT:$FT,Example!$G29,'Resource Demand - Activity'!BB:BB)</f>
        <v>0</v>
      </c>
      <c r="BH29" s="35">
        <f>SUMIF('Resource Demand - Activity'!$FT:$FT,Example!$G29,'Resource Demand - Activity'!BC:BC)</f>
        <v>0</v>
      </c>
      <c r="BI29" s="35">
        <f>SUMIF('Resource Demand - Activity'!$FT:$FT,Example!$G29,'Resource Demand - Activity'!BD:BD)</f>
        <v>0</v>
      </c>
      <c r="BJ29" s="35">
        <f>SUMIF('Resource Demand - Activity'!$FT:$FT,Example!$G29,'Resource Demand - Activity'!BE:BE)</f>
        <v>0</v>
      </c>
      <c r="BK29" s="35">
        <f>SUMIF('Resource Demand - Activity'!$FT:$FT,Example!$G29,'Resource Demand - Activity'!BF:BF)</f>
        <v>0</v>
      </c>
      <c r="BL29" s="35">
        <f>SUMIF('Resource Demand - Activity'!$FT:$FT,Example!$G29,'Resource Demand - Activity'!BG:BG)</f>
        <v>0</v>
      </c>
      <c r="BM29" s="35">
        <f>SUMIF('Resource Demand - Activity'!$FT:$FT,Example!$G29,'Resource Demand - Activity'!BH:BH)</f>
        <v>0</v>
      </c>
      <c r="BN29" s="35">
        <f>SUMIF('Resource Demand - Activity'!$FT:$FT,Example!$G29,'Resource Demand - Activity'!BI:BI)</f>
        <v>0</v>
      </c>
      <c r="BO29" s="35">
        <f>SUMIF('Resource Demand - Activity'!$FT:$FT,Example!$G29,'Resource Demand - Activity'!BJ:BJ)</f>
        <v>0</v>
      </c>
      <c r="BP29" s="35">
        <f>SUMIF('Resource Demand - Activity'!$FT:$FT,Example!$G29,'Resource Demand - Activity'!BK:BK)</f>
        <v>0</v>
      </c>
      <c r="BQ29" s="35">
        <f>SUMIF('Resource Demand - Activity'!$FT:$FT,Example!$G29,'Resource Demand - Activity'!BL:BL)</f>
        <v>0</v>
      </c>
      <c r="BR29" s="35">
        <f>SUMIF('Resource Demand - Activity'!$FT:$FT,Example!$G29,'Resource Demand - Activity'!BM:BM)</f>
        <v>0</v>
      </c>
      <c r="BS29" s="35">
        <f>SUMIF('Resource Demand - Activity'!$FT:$FT,Example!$G29,'Resource Demand - Activity'!BN:BN)</f>
        <v>0</v>
      </c>
      <c r="BT29" s="35">
        <f>SUMIF('Resource Demand - Activity'!$FT:$FT,Example!$G29,'Resource Demand - Activity'!BO:BO)</f>
        <v>0</v>
      </c>
      <c r="BU29" s="35">
        <f>SUMIF('Resource Demand - Activity'!$FT:$FT,Example!$G29,'Resource Demand - Activity'!BP:BP)</f>
        <v>0</v>
      </c>
      <c r="BV29" s="35">
        <f>SUMIF('Resource Demand - Activity'!$FT:$FT,Example!$G29,'Resource Demand - Activity'!BQ:BQ)</f>
        <v>0</v>
      </c>
      <c r="BW29" s="35">
        <f>SUMIF('Resource Demand - Activity'!$FT:$FT,Example!$G29,'Resource Demand - Activity'!BR:BR)</f>
        <v>0</v>
      </c>
      <c r="BX29" s="35">
        <f>SUMIF('Resource Demand - Activity'!$FT:$FT,Example!$G29,'Resource Demand - Activity'!BS:BS)</f>
        <v>0</v>
      </c>
      <c r="BY29" s="35">
        <f>SUMIF('Resource Demand - Activity'!$FT:$FT,Example!$G29,'Resource Demand - Activity'!BT:BT)</f>
        <v>0</v>
      </c>
      <c r="BZ29" s="35">
        <f>SUMIF('Resource Demand - Activity'!$FT:$FT,Example!$G29,'Resource Demand - Activity'!BU:BU)</f>
        <v>0</v>
      </c>
      <c r="CA29" s="35">
        <f>SUMIF('Resource Demand - Activity'!$FT:$FT,Example!$G29,'Resource Demand - Activity'!BV:BV)</f>
        <v>0</v>
      </c>
      <c r="CB29" s="35">
        <f>SUMIF('Resource Demand - Activity'!$FT:$FT,Example!$G29,'Resource Demand - Activity'!BW:BW)</f>
        <v>0</v>
      </c>
      <c r="CC29" s="35">
        <f>SUMIF('Resource Demand - Activity'!$FT:$FT,Example!$G29,'Resource Demand - Activity'!BX:BX)</f>
        <v>0</v>
      </c>
      <c r="CD29" s="35">
        <f>SUMIF('Resource Demand - Activity'!$FT:$FT,Example!$G29,'Resource Demand - Activity'!BY:BY)</f>
        <v>0</v>
      </c>
      <c r="CE29" s="35">
        <f>SUMIF('Resource Demand - Activity'!$FT:$FT,Example!$G29,'Resource Demand - Activity'!BZ:BZ)</f>
        <v>0</v>
      </c>
      <c r="CF29" s="35">
        <f>SUMIF('Resource Demand - Activity'!$FT:$FT,Example!$G29,'Resource Demand - Activity'!CA:CA)</f>
        <v>0</v>
      </c>
      <c r="CG29" s="35">
        <f>SUMIF('Resource Demand - Activity'!$FT:$FT,Example!$G29,'Resource Demand - Activity'!CB:CB)</f>
        <v>0</v>
      </c>
      <c r="CH29" s="35">
        <f>SUMIF('Resource Demand - Activity'!$FT:$FT,Example!$G29,'Resource Demand - Activity'!CC:CC)</f>
        <v>0</v>
      </c>
      <c r="CI29" s="35">
        <f>SUMIF('Resource Demand - Activity'!$FT:$FT,Example!$G29,'Resource Demand - Activity'!CD:CD)</f>
        <v>0</v>
      </c>
      <c r="CJ29" s="35">
        <f>SUMIF('Resource Demand - Activity'!$FT:$FT,Example!$G29,'Resource Demand - Activity'!CE:CE)</f>
        <v>0</v>
      </c>
      <c r="CK29" s="35">
        <f>SUMIF('Resource Demand - Activity'!$FT:$FT,Example!$G29,'Resource Demand - Activity'!CF:CF)</f>
        <v>0</v>
      </c>
      <c r="CL29" s="35">
        <f>SUMIF('Resource Demand - Activity'!$FT:$FT,Example!$G29,'Resource Demand - Activity'!CG:CG)</f>
        <v>0</v>
      </c>
      <c r="CM29" s="35">
        <f>SUMIF('Resource Demand - Activity'!$FT:$FT,Example!$G29,'Resource Demand - Activity'!CH:CH)</f>
        <v>0</v>
      </c>
      <c r="CN29" s="35">
        <f>SUMIF('Resource Demand - Activity'!$FT:$FT,Example!$G29,'Resource Demand - Activity'!CI:CI)</f>
        <v>0</v>
      </c>
      <c r="CO29" s="35">
        <f>SUMIF('Resource Demand - Activity'!$FT:$FT,Example!$G29,'Resource Demand - Activity'!CJ:CJ)</f>
        <v>0</v>
      </c>
      <c r="CP29" s="35">
        <f>SUMIF('Resource Demand - Activity'!$FT:$FT,Example!$G29,'Resource Demand - Activity'!CK:CK)</f>
        <v>0</v>
      </c>
      <c r="CQ29" s="35">
        <f>SUMIF('Resource Demand - Activity'!$FT:$FT,Example!$G29,'Resource Demand - Activity'!CL:CL)</f>
        <v>0</v>
      </c>
      <c r="CR29" s="35">
        <f>SUMIF('Resource Demand - Activity'!$FT:$FT,Example!$G29,'Resource Demand - Activity'!CM:CM)</f>
        <v>0</v>
      </c>
      <c r="CS29" s="35">
        <f>SUMIF('Resource Demand - Activity'!$FT:$FT,Example!$G29,'Resource Demand - Activity'!CN:CN)</f>
        <v>0</v>
      </c>
      <c r="CT29" s="35">
        <f>SUMIF('Resource Demand - Activity'!$FT:$FT,Example!$G29,'Resource Demand - Activity'!CO:CO)</f>
        <v>0</v>
      </c>
      <c r="CU29" s="35">
        <f>SUMIF('Resource Demand - Activity'!$FT:$FT,Example!$G29,'Resource Demand - Activity'!CP:CP)</f>
        <v>0</v>
      </c>
      <c r="CV29" s="35">
        <f>SUMIF('Resource Demand - Activity'!$FT:$FT,Example!$G29,'Resource Demand - Activity'!CQ:CQ)</f>
        <v>0</v>
      </c>
      <c r="CW29" s="35">
        <f>SUMIF('Resource Demand - Activity'!$FT:$FT,Example!$G29,'Resource Demand - Activity'!CR:CR)</f>
        <v>0</v>
      </c>
      <c r="CX29" s="35">
        <f>SUMIF('Resource Demand - Activity'!$FT:$FT,Example!$G29,'Resource Demand - Activity'!CS:CS)</f>
        <v>0</v>
      </c>
      <c r="CY29" s="36"/>
      <c r="CZ29" s="35">
        <f>SUMIF('Resource Demand - Activity'!$FT:$FT,Example!$G29,'Resource Demand - Activity'!CU:CU)</f>
        <v>0</v>
      </c>
      <c r="DA29" s="35">
        <f>SUMIF('Resource Demand - Activity'!$FT:$FT,Example!$G29,'Resource Demand - Activity'!CV:CV)</f>
        <v>0</v>
      </c>
      <c r="DB29" s="35">
        <f>SUMIF('Resource Demand - Activity'!$FT:$FT,Example!$G29,'Resource Demand - Activity'!CW:CW)</f>
        <v>0</v>
      </c>
      <c r="DC29" s="35">
        <f>SUMIF('Resource Demand - Activity'!$FT:$FT,Example!$G29,'Resource Demand - Activity'!CX:CX)</f>
        <v>0</v>
      </c>
      <c r="DD29" s="35">
        <f>SUMIF('Resource Demand - Activity'!$FT:$FT,Example!$G29,'Resource Demand - Activity'!CY:CY)</f>
        <v>0</v>
      </c>
      <c r="DE29" s="36"/>
      <c r="DF29" s="36"/>
      <c r="DG29" s="35">
        <f>SUMIF('Resource Demand - Activity'!$FT:$FT,Example!$G29,'Resource Demand - Activity'!DB:DB)</f>
        <v>0</v>
      </c>
      <c r="DH29" s="35">
        <f>SUMIF('Resource Demand - Activity'!$FT:$FT,Example!$G29,'Resource Demand - Activity'!DC:DC)</f>
        <v>0</v>
      </c>
      <c r="DI29" s="35">
        <f>SUMIF('Resource Demand - Activity'!$FT:$FT,Example!$G29,'Resource Demand - Activity'!DD:DD)</f>
        <v>0</v>
      </c>
      <c r="DJ29" s="35">
        <f>SUMIF('Resource Demand - Activity'!$FT:$FT,Example!$G29,'Resource Demand - Activity'!DE:DE)</f>
        <v>0</v>
      </c>
      <c r="DK29" s="35">
        <f>SUMIF('Resource Demand - Activity'!$FT:$FT,Example!$G29,'Resource Demand - Activity'!DF:DF)</f>
        <v>0</v>
      </c>
      <c r="DL29" s="35">
        <f>SUMIF('Resource Demand - Activity'!$FT:$FT,Example!$G29,'Resource Demand - Activity'!DG:DG)</f>
        <v>0</v>
      </c>
      <c r="DM29" s="35">
        <f>SUMIF('Resource Demand - Activity'!$FT:$FT,Example!$G29,'Resource Demand - Activity'!DH:DH)</f>
        <v>0</v>
      </c>
      <c r="DN29" s="35">
        <f>SUMIF('Resource Demand - Activity'!$FT:$FT,Example!$G29,'Resource Demand - Activity'!DI:DI)</f>
        <v>0</v>
      </c>
      <c r="DO29" s="35">
        <f>SUMIF('Resource Demand - Activity'!$FT:$FT,Example!$G29,'Resource Demand - Activity'!DJ:DJ)</f>
        <v>0</v>
      </c>
      <c r="DP29" s="35">
        <f>SUMIF('Resource Demand - Activity'!$FT:$FT,Example!$G29,'Resource Demand - Activity'!DK:DK)</f>
        <v>0</v>
      </c>
      <c r="DQ29" s="35">
        <f>SUMIF('Resource Demand - Activity'!$FT:$FT,Example!$G29,'Resource Demand - Activity'!DL:DL)</f>
        <v>0</v>
      </c>
      <c r="DR29" s="35">
        <f>SUMIF('Resource Demand - Activity'!$FT:$FT,Example!$G29,'Resource Demand - Activity'!DM:DM)</f>
        <v>0</v>
      </c>
      <c r="DS29" s="35">
        <f>SUMIF('Resource Demand - Activity'!$FT:$FT,Example!$G29,'Resource Demand - Activity'!DN:DN)</f>
        <v>0</v>
      </c>
      <c r="DT29" s="35">
        <f>SUMIF('Resource Demand - Activity'!$FT:$FT,Example!$G29,'Resource Demand - Activity'!DO:DO)</f>
        <v>0</v>
      </c>
      <c r="DU29" s="35">
        <f>SUMIF('Resource Demand - Activity'!$FT:$FT,Example!$G29,'Resource Demand - Activity'!DP:DP)</f>
        <v>0</v>
      </c>
      <c r="DV29" s="35">
        <f>SUMIF('Resource Demand - Activity'!$FT:$FT,Example!$G29,'Resource Demand - Activity'!DQ:DQ)</f>
        <v>0</v>
      </c>
      <c r="DW29" s="35">
        <f>SUMIF('Resource Demand - Activity'!$FT:$FT,Example!$G29,'Resource Demand - Activity'!DR:DR)</f>
        <v>0</v>
      </c>
      <c r="DX29" s="35">
        <f>SUMIF('Resource Demand - Activity'!$FT:$FT,Example!$G29,'Resource Demand - Activity'!DS:DS)</f>
        <v>0</v>
      </c>
      <c r="DY29" s="35">
        <f>SUMIF('Resource Demand - Activity'!$FT:$FT,Example!$G29,'Resource Demand - Activity'!DT:DT)</f>
        <v>0</v>
      </c>
      <c r="DZ29" s="35">
        <f>SUMIF('Resource Demand - Activity'!$FT:$FT,Example!$G29,'Resource Demand - Activity'!DU:DU)</f>
        <v>0</v>
      </c>
      <c r="EA29" s="35">
        <f>SUMIF('Resource Demand - Activity'!$FT:$FT,Example!$G29,'Resource Demand - Activity'!DV:DV)</f>
        <v>0</v>
      </c>
      <c r="EB29" s="35">
        <f>SUMIF('Resource Demand - Activity'!$FT:$FT,Example!$G29,'Resource Demand - Activity'!DW:DW)</f>
        <v>0</v>
      </c>
      <c r="EC29" s="35">
        <f>SUMIF('Resource Demand - Activity'!$FT:$FT,Example!$G29,'Resource Demand - Activity'!DX:DX)</f>
        <v>0</v>
      </c>
      <c r="ED29" s="35">
        <f>SUMIF('Resource Demand - Activity'!$FT:$FT,Example!$G29,'Resource Demand - Activity'!DY:DY)</f>
        <v>0</v>
      </c>
      <c r="EE29" s="36"/>
      <c r="EF29" s="35">
        <f>SUMIF('Resource Demand - Activity'!$FT:$FT,Example!$G29,'Resource Demand - Activity'!EA:EA)</f>
        <v>0</v>
      </c>
      <c r="EG29" s="35">
        <f>SUMIF('Resource Demand - Activity'!$FT:$FT,Example!$G29,'Resource Demand - Activity'!EB:EB)</f>
        <v>0</v>
      </c>
      <c r="EH29" s="35">
        <f>SUMIF('Resource Demand - Activity'!$FT:$FT,Example!$G29,'Resource Demand - Activity'!EC:EC)</f>
        <v>0</v>
      </c>
      <c r="EI29" s="35">
        <f>SUMIF('Resource Demand - Activity'!$FT:$FT,Example!$G29,'Resource Demand - Activity'!ED:ED)</f>
        <v>0</v>
      </c>
      <c r="EJ29" s="35">
        <f>SUMIF('Resource Demand - Activity'!$FT:$FT,Example!$G29,'Resource Demand - Activity'!EE:EE)</f>
        <v>0</v>
      </c>
      <c r="EK29" s="35">
        <f>SUMIF('Resource Demand - Activity'!$FT:$FT,Example!$G29,'Resource Demand - Activity'!EF:EF)</f>
        <v>0</v>
      </c>
      <c r="EL29" s="35">
        <f>SUMIF('Resource Demand - Activity'!$FT:$FT,Example!$G29,'Resource Demand - Activity'!EG:EG)</f>
        <v>0</v>
      </c>
      <c r="EM29" s="35">
        <f>SUMIF('Resource Demand - Activity'!$FT:$FT,Example!$G29,'Resource Demand - Activity'!EH:EH)</f>
        <v>0</v>
      </c>
      <c r="EN29" s="35">
        <f>SUMIF('Resource Demand - Activity'!$FT:$FT,Example!$G29,'Resource Demand - Activity'!EI:EI)</f>
        <v>0</v>
      </c>
      <c r="EO29" s="35">
        <f>SUMIF('Resource Demand - Activity'!$FT:$FT,Example!$G29,'Resource Demand - Activity'!EJ:EJ)</f>
        <v>0</v>
      </c>
      <c r="EP29" s="35">
        <f>SUMIF('Resource Demand - Activity'!$FT:$FT,Example!$G29,'Resource Demand - Activity'!EK:EK)</f>
        <v>0</v>
      </c>
      <c r="EQ29" s="35">
        <f>SUMIF('Resource Demand - Activity'!$FT:$FT,Example!$G29,'Resource Demand - Activity'!EL:EL)</f>
        <v>0</v>
      </c>
      <c r="ER29" s="35">
        <f>SUMIF('Resource Demand - Activity'!$FT:$FT,Example!$G29,'Resource Demand - Activity'!EM:EM)</f>
        <v>0</v>
      </c>
      <c r="ES29" s="35">
        <f>SUMIF('Resource Demand - Activity'!$FT:$FT,Example!$G29,'Resource Demand - Activity'!EN:EN)</f>
        <v>0</v>
      </c>
      <c r="ET29" s="35">
        <f>SUMIF('Resource Demand - Activity'!$FT:$FT,Example!$G29,'Resource Demand - Activity'!EO:EO)</f>
        <v>0</v>
      </c>
      <c r="EU29" s="35">
        <f>SUMIF('Resource Demand - Activity'!$FT:$FT,Example!$G29,'Resource Demand - Activity'!EP:EP)</f>
        <v>0</v>
      </c>
      <c r="EV29" s="35">
        <f>SUMIF('Resource Demand - Activity'!$FT:$FT,Example!$G29,'Resource Demand - Activity'!EQ:EQ)</f>
        <v>0</v>
      </c>
      <c r="EW29" s="35">
        <f>SUMIF('Resource Demand - Activity'!$FT:$FT,Example!$G29,'Resource Demand - Activity'!ER:ER)</f>
        <v>0</v>
      </c>
      <c r="EX29" s="35">
        <f>SUMIF('Resource Demand - Activity'!$FT:$FT,Example!$G29,'Resource Demand - Activity'!ES:ES)</f>
        <v>0</v>
      </c>
      <c r="EY29" s="35">
        <f>SUMIF('Resource Demand - Activity'!$FT:$FT,Example!$G29,'Resource Demand - Activity'!ET:ET)</f>
        <v>0</v>
      </c>
      <c r="EZ29" s="35">
        <f>SUMIF('Resource Demand - Activity'!$FT:$FT,Example!$G29,'Resource Demand - Activity'!EU:EU)</f>
        <v>0</v>
      </c>
      <c r="FA29" s="35">
        <f>SUMIF('Resource Demand - Activity'!$FT:$FT,Example!$G29,'Resource Demand - Activity'!EV:EV)</f>
        <v>0</v>
      </c>
      <c r="FB29" s="35">
        <f>SUMIF('Resource Demand - Activity'!$FT:$FT,Example!$G29,'Resource Demand - Activity'!EW:EW)</f>
        <v>0</v>
      </c>
      <c r="FC29" s="35">
        <f>SUMIF('Resource Demand - Activity'!$FT:$FT,Example!$G29,'Resource Demand - Activity'!EX:EX)</f>
        <v>0</v>
      </c>
      <c r="FD29" s="36"/>
      <c r="FE29" s="35">
        <f>SUMIF('Resource Demand - Activity'!$FT:$FT,Example!$G29,'Resource Demand - Activity'!EZ:EZ)</f>
        <v>0</v>
      </c>
      <c r="FF29" s="35">
        <f>SUMIF('Resource Demand - Activity'!$FT:$FT,Example!$G29,'Resource Demand - Activity'!FA:FA)</f>
        <v>0</v>
      </c>
      <c r="FG29" s="35">
        <f>SUMIF('Resource Demand - Activity'!$FT:$FT,Example!$G29,'Resource Demand - Activity'!FB:FB)</f>
        <v>0</v>
      </c>
      <c r="FH29" s="35">
        <f>SUMIF('Resource Demand - Activity'!$FT:$FT,Example!$G29,'Resource Demand - Activity'!FC:FC)</f>
        <v>0</v>
      </c>
      <c r="FI29" s="35">
        <f>SUMIF('Resource Demand - Activity'!$FT:$FT,Example!$G29,'Resource Demand - Activity'!FD:FD)</f>
        <v>0</v>
      </c>
      <c r="FJ29" s="35">
        <f>SUMIF('Resource Demand - Activity'!$FT:$FT,Example!$G29,'Resource Demand - Activity'!FE:FE)</f>
        <v>0</v>
      </c>
      <c r="FK29" s="35">
        <f>SUMIF('Resource Demand - Activity'!$FT:$FT,Example!$G29,'Resource Demand - Activity'!FF:FF)</f>
        <v>0</v>
      </c>
      <c r="FL29" s="35">
        <f>SUMIF('Resource Demand - Activity'!$FT:$FT,Example!$G29,'Resource Demand - Activity'!FG:FG)</f>
        <v>0</v>
      </c>
      <c r="FM29" s="35">
        <f>SUMIF('Resource Demand - Activity'!$FT:$FT,Example!$G29,'Resource Demand - Activity'!FH:FH)</f>
        <v>0</v>
      </c>
      <c r="FN29" s="35">
        <f>SUMIF('Resource Demand - Activity'!$FT:$FT,Example!$G29,'Resource Demand - Activity'!FI:FI)</f>
        <v>0</v>
      </c>
      <c r="FO29" s="35">
        <f>SUMIF('Resource Demand - Activity'!$FT:$FT,Example!$G29,'Resource Demand - Activity'!FJ:FJ)</f>
        <v>0</v>
      </c>
      <c r="FP29" s="35">
        <f>SUMIF('Resource Demand - Activity'!$FT:$FT,Example!$G29,'Resource Demand - Activity'!FK:FK)</f>
        <v>0</v>
      </c>
      <c r="FQ29" s="35">
        <f>SUMIF('Resource Demand - Activity'!$FT:$FT,Example!$G29,'Resource Demand - Activity'!FL:FL)</f>
        <v>0</v>
      </c>
      <c r="FR29" s="35">
        <f>SUMIF('Resource Demand - Activity'!$FT:$FT,Example!$G29,'Resource Demand - Activity'!FM:FM)</f>
        <v>0</v>
      </c>
      <c r="FS29" s="35">
        <f>SUMIF('Resource Demand - Activity'!$FT:$FT,Example!$G29,'Resource Demand - Activity'!FN:FN)</f>
        <v>0</v>
      </c>
      <c r="FT29" s="35">
        <f>SUMIF('Resource Demand - Activity'!$FT:$FT,Example!$G29,'Resource Demand - Activity'!FO:FO)</f>
        <v>0</v>
      </c>
      <c r="FU29" s="35">
        <f>SUMIF('Resource Demand - Activity'!$FT:$FT,Example!$G29,'Resource Demand - Activity'!FP:FP)</f>
        <v>0</v>
      </c>
      <c r="FV29" s="52">
        <f>SUMIF('Resource Demand - Activity'!$FT:$FT,Example!$G29,'Resource Demand - Activity'!FQ:FQ)</f>
        <v>0</v>
      </c>
    </row>
    <row r="30" spans="2:178" s="58" customFormat="1" ht="12" customHeight="1">
      <c r="B30" s="68" t="s">
        <v>9</v>
      </c>
      <c r="C30" s="72">
        <v>2015</v>
      </c>
      <c r="D30" s="72" t="s">
        <v>191</v>
      </c>
      <c r="E30" s="166" t="s">
        <v>193</v>
      </c>
      <c r="G30" s="64" t="str">
        <f t="shared" si="3"/>
        <v>12. FDS Release 4 12.8 FDS Release 4 - UK &amp; IRE Regression testingGlenn Kirk</v>
      </c>
      <c r="H30" s="102" t="s">
        <v>182</v>
      </c>
      <c r="I30" s="59" t="str">
        <f>INDEX('Resource Demand - Activity'!C:C,MATCH(Example!G30,'Resource Demand - Activity'!FT:FT,0))</f>
        <v>3 days</v>
      </c>
      <c r="J30" s="51">
        <f>SUMIF('Resource Demand - Activity'!$FT:$FT,Example!$G30,'Resource Demand - Activity'!E:E)</f>
        <v>0</v>
      </c>
      <c r="K30" s="35">
        <f>SUMIF('Resource Demand - Activity'!$FT:$FT,Example!$G30,'Resource Demand - Activity'!F:F)</f>
        <v>0</v>
      </c>
      <c r="L30" s="35">
        <f>SUMIF('Resource Demand - Activity'!$FT:$FT,Example!$G30,'Resource Demand - Activity'!G:G)</f>
        <v>0</v>
      </c>
      <c r="M30" s="35">
        <f>SUMIF('Resource Demand - Activity'!$FT:$FT,Example!$G30,'Resource Demand - Activity'!H:H)</f>
        <v>0</v>
      </c>
      <c r="N30" s="35">
        <f>SUMIF('Resource Demand - Activity'!$FT:$FT,Example!$G30,'Resource Demand - Activity'!I:I)</f>
        <v>0</v>
      </c>
      <c r="O30" s="35">
        <f>SUMIF('Resource Demand - Activity'!$FT:$FT,Example!$G30,'Resource Demand - Activity'!J:J)</f>
        <v>0</v>
      </c>
      <c r="P30" s="35">
        <f>SUMIF('Resource Demand - Activity'!$FT:$FT,Example!$G30,'Resource Demand - Activity'!K:K)</f>
        <v>0</v>
      </c>
      <c r="Q30" s="35">
        <f>SUMIF('Resource Demand - Activity'!$FT:$FT,Example!$G30,'Resource Demand - Activity'!L:L)</f>
        <v>0</v>
      </c>
      <c r="R30" s="35">
        <f>SUMIF('Resource Demand - Activity'!$FT:$FT,Example!$G30,'Resource Demand - Activity'!M:M)</f>
        <v>0</v>
      </c>
      <c r="S30" s="35">
        <f>SUMIF('Resource Demand - Activity'!$FT:$FT,Example!$G30,'Resource Demand - Activity'!N:N)</f>
        <v>0</v>
      </c>
      <c r="T30" s="35">
        <f>SUMIF('Resource Demand - Activity'!$FT:$FT,Example!$G30,'Resource Demand - Activity'!O:O)</f>
        <v>0</v>
      </c>
      <c r="U30" s="35">
        <f>SUMIF('Resource Demand - Activity'!$FT:$FT,Example!$G30,'Resource Demand - Activity'!P:P)</f>
        <v>0</v>
      </c>
      <c r="V30" s="35">
        <f>SUMIF('Resource Demand - Activity'!$FT:$FT,Example!$G30,'Resource Demand - Activity'!Q:Q)</f>
        <v>0</v>
      </c>
      <c r="W30" s="35">
        <f>SUMIF('Resource Demand - Activity'!$FT:$FT,Example!$G30,'Resource Demand - Activity'!R:R)</f>
        <v>0</v>
      </c>
      <c r="X30" s="35">
        <f>SUMIF('Resource Demand - Activity'!$FT:$FT,Example!$G30,'Resource Demand - Activity'!S:S)</f>
        <v>0</v>
      </c>
      <c r="Y30" s="35">
        <f>SUMIF('Resource Demand - Activity'!$FT:$FT,Example!$G30,'Resource Demand - Activity'!T:T)</f>
        <v>0</v>
      </c>
      <c r="Z30" s="35">
        <f>SUMIF('Resource Demand - Activity'!$FT:$FT,Example!$G30,'Resource Demand - Activity'!U:U)</f>
        <v>0</v>
      </c>
      <c r="AA30" s="35">
        <f>SUMIF('Resource Demand - Activity'!$FT:$FT,Example!$G30,'Resource Demand - Activity'!V:V)</f>
        <v>0</v>
      </c>
      <c r="AB30" s="35">
        <f>SUMIF('Resource Demand - Activity'!$FT:$FT,Example!$G30,'Resource Demand - Activity'!W:W)</f>
        <v>0</v>
      </c>
      <c r="AC30" s="35">
        <f>SUMIF('Resource Demand - Activity'!$FT:$FT,Example!$G30,'Resource Demand - Activity'!X:X)</f>
        <v>0</v>
      </c>
      <c r="AD30" s="35">
        <f>SUMIF('Resource Demand - Activity'!$FT:$FT,Example!$G30,'Resource Demand - Activity'!Y:Y)</f>
        <v>0</v>
      </c>
      <c r="AE30" s="35">
        <f>SUMIF('Resource Demand - Activity'!$FT:$FT,Example!$G30,'Resource Demand - Activity'!Z:Z)</f>
        <v>0</v>
      </c>
      <c r="AF30" s="35">
        <f>SUMIF('Resource Demand - Activity'!$FT:$FT,Example!$G30,'Resource Demand - Activity'!AA:AA)</f>
        <v>0</v>
      </c>
      <c r="AG30" s="35">
        <f>SUMIF('Resource Demand - Activity'!$FT:$FT,Example!$G30,'Resource Demand - Activity'!AB:AB)</f>
        <v>0</v>
      </c>
      <c r="AH30" s="35">
        <f>SUMIF('Resource Demand - Activity'!$FT:$FT,Example!$G30,'Resource Demand - Activity'!AC:AC)</f>
        <v>0</v>
      </c>
      <c r="AI30" s="35">
        <f>SUMIF('Resource Demand - Activity'!$FT:$FT,Example!$G30,'Resource Demand - Activity'!AD:AD)</f>
        <v>0</v>
      </c>
      <c r="AJ30" s="35">
        <f>SUMIF('Resource Demand - Activity'!$FT:$FT,Example!$G30,'Resource Demand - Activity'!AE:AE)</f>
        <v>0</v>
      </c>
      <c r="AK30" s="35">
        <f>SUMIF('Resource Demand - Activity'!$FT:$FT,Example!$G30,'Resource Demand - Activity'!AF:AF)</f>
        <v>0</v>
      </c>
      <c r="AL30" s="35">
        <f>SUMIF('Resource Demand - Activity'!$FT:$FT,Example!$G30,'Resource Demand - Activity'!AG:AG)</f>
        <v>0</v>
      </c>
      <c r="AM30" s="35">
        <f>SUMIF('Resource Demand - Activity'!$FT:$FT,Example!$G30,'Resource Demand - Activity'!AH:AH)</f>
        <v>0</v>
      </c>
      <c r="AN30" s="35">
        <f>SUMIF('Resource Demand - Activity'!$FT:$FT,Example!$G30,'Resource Demand - Activity'!AI:AI)</f>
        <v>0</v>
      </c>
      <c r="AO30" s="35">
        <f>SUMIF('Resource Demand - Activity'!$FT:$FT,Example!$G30,'Resource Demand - Activity'!AJ:AJ)</f>
        <v>0</v>
      </c>
      <c r="AP30" s="35">
        <f>SUMIF('Resource Demand - Activity'!$FT:$FT,Example!$G30,'Resource Demand - Activity'!AK:AK)</f>
        <v>0</v>
      </c>
      <c r="AQ30" s="36"/>
      <c r="AR30" s="36"/>
      <c r="AS30" s="36"/>
      <c r="AT30" s="36"/>
      <c r="AU30" s="36"/>
      <c r="AV30" s="36"/>
      <c r="AW30" s="36"/>
      <c r="AX30" s="35">
        <f>SUMIF('Resource Demand - Activity'!$FT:$FT,Example!$G30,'Resource Demand - Activity'!AS:AS)</f>
        <v>0.5</v>
      </c>
      <c r="AY30" s="35">
        <f>SUMIF('Resource Demand - Activity'!$FT:$FT,Example!$G30,'Resource Demand - Activity'!AT:AT)</f>
        <v>0.15</v>
      </c>
      <c r="AZ30" s="35">
        <f>SUMIF('Resource Demand - Activity'!$FT:$FT,Example!$G30,'Resource Demand - Activity'!AU:AU)</f>
        <v>0.2</v>
      </c>
      <c r="BA30" s="35">
        <f>SUMIF('Resource Demand - Activity'!$FT:$FT,Example!$G30,'Resource Demand - Activity'!AV:AV)</f>
        <v>0</v>
      </c>
      <c r="BB30" s="35">
        <f>SUMIF('Resource Demand - Activity'!$FT:$FT,Example!$G30,'Resource Demand - Activity'!AW:AW)</f>
        <v>0.55000000000000004</v>
      </c>
      <c r="BC30" s="35">
        <f>SUMIF('Resource Demand - Activity'!$FT:$FT,Example!$G30,'Resource Demand - Activity'!AX:AX)</f>
        <v>0.2</v>
      </c>
      <c r="BD30" s="35">
        <f>SUMIF('Resource Demand - Activity'!$FT:$FT,Example!$G30,'Resource Demand - Activity'!AY:AY)</f>
        <v>0.35</v>
      </c>
      <c r="BE30" s="35">
        <f>SUMIF('Resource Demand - Activity'!$FT:$FT,Example!$G30,'Resource Demand - Activity'!AZ:AZ)</f>
        <v>0.2</v>
      </c>
      <c r="BF30" s="35">
        <f>SUMIF('Resource Demand - Activity'!$FT:$FT,Example!$G30,'Resource Demand - Activity'!BA:BA)</f>
        <v>0.1</v>
      </c>
      <c r="BG30" s="35">
        <f>SUMIF('Resource Demand - Activity'!$FT:$FT,Example!$G30,'Resource Demand - Activity'!BB:BB)</f>
        <v>0</v>
      </c>
      <c r="BH30" s="35">
        <f>SUMIF('Resource Demand - Activity'!$FT:$FT,Example!$G30,'Resource Demand - Activity'!BC:BC)</f>
        <v>0</v>
      </c>
      <c r="BI30" s="35">
        <f>SUMIF('Resource Demand - Activity'!$FT:$FT,Example!$G30,'Resource Demand - Activity'!BD:BD)</f>
        <v>0.1</v>
      </c>
      <c r="BJ30" s="35">
        <f>SUMIF('Resource Demand - Activity'!$FT:$FT,Example!$G30,'Resource Demand - Activity'!BE:BE)</f>
        <v>0.3</v>
      </c>
      <c r="BK30" s="35">
        <f>SUMIF('Resource Demand - Activity'!$FT:$FT,Example!$G30,'Resource Demand - Activity'!BF:BF)</f>
        <v>0</v>
      </c>
      <c r="BL30" s="35">
        <f>SUMIF('Resource Demand - Activity'!$FT:$FT,Example!$G30,'Resource Demand - Activity'!BG:BG)</f>
        <v>0</v>
      </c>
      <c r="BM30" s="35">
        <f>SUMIF('Resource Demand - Activity'!$FT:$FT,Example!$G30,'Resource Demand - Activity'!BH:BH)</f>
        <v>0</v>
      </c>
      <c r="BN30" s="35">
        <f>SUMIF('Resource Demand - Activity'!$FT:$FT,Example!$G30,'Resource Demand - Activity'!BI:BI)</f>
        <v>0</v>
      </c>
      <c r="BO30" s="35">
        <f>SUMIF('Resource Demand - Activity'!$FT:$FT,Example!$G30,'Resource Demand - Activity'!BJ:BJ)</f>
        <v>0</v>
      </c>
      <c r="BP30" s="35">
        <f>SUMIF('Resource Demand - Activity'!$FT:$FT,Example!$G30,'Resource Demand - Activity'!BK:BK)</f>
        <v>0</v>
      </c>
      <c r="BQ30" s="35">
        <f>SUMIF('Resource Demand - Activity'!$FT:$FT,Example!$G30,'Resource Demand - Activity'!BL:BL)</f>
        <v>0</v>
      </c>
      <c r="BR30" s="35">
        <f>SUMIF('Resource Demand - Activity'!$FT:$FT,Example!$G30,'Resource Demand - Activity'!BM:BM)</f>
        <v>0</v>
      </c>
      <c r="BS30" s="35">
        <f>SUMIF('Resource Demand - Activity'!$FT:$FT,Example!$G30,'Resource Demand - Activity'!BN:BN)</f>
        <v>0</v>
      </c>
      <c r="BT30" s="35">
        <f>SUMIF('Resource Demand - Activity'!$FT:$FT,Example!$G30,'Resource Demand - Activity'!BO:BO)</f>
        <v>0</v>
      </c>
      <c r="BU30" s="35">
        <f>SUMIF('Resource Demand - Activity'!$FT:$FT,Example!$G30,'Resource Demand - Activity'!BP:BP)</f>
        <v>0</v>
      </c>
      <c r="BV30" s="35">
        <f>SUMIF('Resource Demand - Activity'!$FT:$FT,Example!$G30,'Resource Demand - Activity'!BQ:BQ)</f>
        <v>0</v>
      </c>
      <c r="BW30" s="35">
        <f>SUMIF('Resource Demand - Activity'!$FT:$FT,Example!$G30,'Resource Demand - Activity'!BR:BR)</f>
        <v>0</v>
      </c>
      <c r="BX30" s="35">
        <f>SUMIF('Resource Demand - Activity'!$FT:$FT,Example!$G30,'Resource Demand - Activity'!BS:BS)</f>
        <v>0</v>
      </c>
      <c r="BY30" s="35">
        <f>SUMIF('Resource Demand - Activity'!$FT:$FT,Example!$G30,'Resource Demand - Activity'!BT:BT)</f>
        <v>0</v>
      </c>
      <c r="BZ30" s="35">
        <f>SUMIF('Resource Demand - Activity'!$FT:$FT,Example!$G30,'Resource Demand - Activity'!BU:BU)</f>
        <v>0</v>
      </c>
      <c r="CA30" s="35">
        <f>SUMIF('Resource Demand - Activity'!$FT:$FT,Example!$G30,'Resource Demand - Activity'!BV:BV)</f>
        <v>0</v>
      </c>
      <c r="CB30" s="35">
        <f>SUMIF('Resource Demand - Activity'!$FT:$FT,Example!$G30,'Resource Demand - Activity'!BW:BW)</f>
        <v>0</v>
      </c>
      <c r="CC30" s="35">
        <f>SUMIF('Resource Demand - Activity'!$FT:$FT,Example!$G30,'Resource Demand - Activity'!BX:BX)</f>
        <v>0</v>
      </c>
      <c r="CD30" s="35">
        <f>SUMIF('Resource Demand - Activity'!$FT:$FT,Example!$G30,'Resource Demand - Activity'!BY:BY)</f>
        <v>0</v>
      </c>
      <c r="CE30" s="35">
        <f>SUMIF('Resource Demand - Activity'!$FT:$FT,Example!$G30,'Resource Demand - Activity'!BZ:BZ)</f>
        <v>0</v>
      </c>
      <c r="CF30" s="35">
        <f>SUMIF('Resource Demand - Activity'!$FT:$FT,Example!$G30,'Resource Demand - Activity'!CA:CA)</f>
        <v>0</v>
      </c>
      <c r="CG30" s="35">
        <f>SUMIF('Resource Demand - Activity'!$FT:$FT,Example!$G30,'Resource Demand - Activity'!CB:CB)</f>
        <v>0</v>
      </c>
      <c r="CH30" s="35">
        <f>SUMIF('Resource Demand - Activity'!$FT:$FT,Example!$G30,'Resource Demand - Activity'!CC:CC)</f>
        <v>0</v>
      </c>
      <c r="CI30" s="35">
        <f>SUMIF('Resource Demand - Activity'!$FT:$FT,Example!$G30,'Resource Demand - Activity'!CD:CD)</f>
        <v>0</v>
      </c>
      <c r="CJ30" s="35">
        <f>SUMIF('Resource Demand - Activity'!$FT:$FT,Example!$G30,'Resource Demand - Activity'!CE:CE)</f>
        <v>0</v>
      </c>
      <c r="CK30" s="35">
        <f>SUMIF('Resource Demand - Activity'!$FT:$FT,Example!$G30,'Resource Demand - Activity'!CF:CF)</f>
        <v>0</v>
      </c>
      <c r="CL30" s="35">
        <f>SUMIF('Resource Demand - Activity'!$FT:$FT,Example!$G30,'Resource Demand - Activity'!CG:CG)</f>
        <v>0</v>
      </c>
      <c r="CM30" s="35">
        <f>SUMIF('Resource Demand - Activity'!$FT:$FT,Example!$G30,'Resource Demand - Activity'!CH:CH)</f>
        <v>0</v>
      </c>
      <c r="CN30" s="35">
        <f>SUMIF('Resource Demand - Activity'!$FT:$FT,Example!$G30,'Resource Demand - Activity'!CI:CI)</f>
        <v>0</v>
      </c>
      <c r="CO30" s="35">
        <f>SUMIF('Resource Demand - Activity'!$FT:$FT,Example!$G30,'Resource Demand - Activity'!CJ:CJ)</f>
        <v>0</v>
      </c>
      <c r="CP30" s="35">
        <f>SUMIF('Resource Demand - Activity'!$FT:$FT,Example!$G30,'Resource Demand - Activity'!CK:CK)</f>
        <v>0</v>
      </c>
      <c r="CQ30" s="35">
        <f>SUMIF('Resource Demand - Activity'!$FT:$FT,Example!$G30,'Resource Demand - Activity'!CL:CL)</f>
        <v>0</v>
      </c>
      <c r="CR30" s="35">
        <f>SUMIF('Resource Demand - Activity'!$FT:$FT,Example!$G30,'Resource Demand - Activity'!CM:CM)</f>
        <v>0</v>
      </c>
      <c r="CS30" s="35">
        <f>SUMIF('Resource Demand - Activity'!$FT:$FT,Example!$G30,'Resource Demand - Activity'!CN:CN)</f>
        <v>0</v>
      </c>
      <c r="CT30" s="35">
        <f>SUMIF('Resource Demand - Activity'!$FT:$FT,Example!$G30,'Resource Demand - Activity'!CO:CO)</f>
        <v>0</v>
      </c>
      <c r="CU30" s="35">
        <f>SUMIF('Resource Demand - Activity'!$FT:$FT,Example!$G30,'Resource Demand - Activity'!CP:CP)</f>
        <v>0</v>
      </c>
      <c r="CV30" s="35">
        <f>SUMIF('Resource Demand - Activity'!$FT:$FT,Example!$G30,'Resource Demand - Activity'!CQ:CQ)</f>
        <v>0</v>
      </c>
      <c r="CW30" s="35">
        <f>SUMIF('Resource Demand - Activity'!$FT:$FT,Example!$G30,'Resource Demand - Activity'!CR:CR)</f>
        <v>0</v>
      </c>
      <c r="CX30" s="35">
        <f>SUMIF('Resource Demand - Activity'!$FT:$FT,Example!$G30,'Resource Demand - Activity'!CS:CS)</f>
        <v>0</v>
      </c>
      <c r="CY30" s="36"/>
      <c r="CZ30" s="35">
        <f>SUMIF('Resource Demand - Activity'!$FT:$FT,Example!$G30,'Resource Demand - Activity'!CU:CU)</f>
        <v>0</v>
      </c>
      <c r="DA30" s="35">
        <f>SUMIF('Resource Demand - Activity'!$FT:$FT,Example!$G30,'Resource Demand - Activity'!CV:CV)</f>
        <v>0</v>
      </c>
      <c r="DB30" s="35">
        <f>SUMIF('Resource Demand - Activity'!$FT:$FT,Example!$G30,'Resource Demand - Activity'!CW:CW)</f>
        <v>0</v>
      </c>
      <c r="DC30" s="35">
        <f>SUMIF('Resource Demand - Activity'!$FT:$FT,Example!$G30,'Resource Demand - Activity'!CX:CX)</f>
        <v>0</v>
      </c>
      <c r="DD30" s="35">
        <f>SUMIF('Resource Demand - Activity'!$FT:$FT,Example!$G30,'Resource Demand - Activity'!CY:CY)</f>
        <v>0</v>
      </c>
      <c r="DE30" s="36"/>
      <c r="DF30" s="36"/>
      <c r="DG30" s="35">
        <f>SUMIF('Resource Demand - Activity'!$FT:$FT,Example!$G30,'Resource Demand - Activity'!DB:DB)</f>
        <v>0</v>
      </c>
      <c r="DH30" s="35">
        <f>SUMIF('Resource Demand - Activity'!$FT:$FT,Example!$G30,'Resource Demand - Activity'!DC:DC)</f>
        <v>0</v>
      </c>
      <c r="DI30" s="35">
        <f>SUMIF('Resource Demand - Activity'!$FT:$FT,Example!$G30,'Resource Demand - Activity'!DD:DD)</f>
        <v>0</v>
      </c>
      <c r="DJ30" s="35">
        <f>SUMIF('Resource Demand - Activity'!$FT:$FT,Example!$G30,'Resource Demand - Activity'!DE:DE)</f>
        <v>0</v>
      </c>
      <c r="DK30" s="35">
        <f>SUMIF('Resource Demand - Activity'!$FT:$FT,Example!$G30,'Resource Demand - Activity'!DF:DF)</f>
        <v>0</v>
      </c>
      <c r="DL30" s="35">
        <f>SUMIF('Resource Demand - Activity'!$FT:$FT,Example!$G30,'Resource Demand - Activity'!DG:DG)</f>
        <v>0</v>
      </c>
      <c r="DM30" s="35">
        <f>SUMIF('Resource Demand - Activity'!$FT:$FT,Example!$G30,'Resource Demand - Activity'!DH:DH)</f>
        <v>0</v>
      </c>
      <c r="DN30" s="35">
        <f>SUMIF('Resource Demand - Activity'!$FT:$FT,Example!$G30,'Resource Demand - Activity'!DI:DI)</f>
        <v>0</v>
      </c>
      <c r="DO30" s="35">
        <f>SUMIF('Resource Demand - Activity'!$FT:$FT,Example!$G30,'Resource Demand - Activity'!DJ:DJ)</f>
        <v>0</v>
      </c>
      <c r="DP30" s="35">
        <f>SUMIF('Resource Demand - Activity'!$FT:$FT,Example!$G30,'Resource Demand - Activity'!DK:DK)</f>
        <v>0</v>
      </c>
      <c r="DQ30" s="35">
        <f>SUMIF('Resource Demand - Activity'!$FT:$FT,Example!$G30,'Resource Demand - Activity'!DL:DL)</f>
        <v>0</v>
      </c>
      <c r="DR30" s="35">
        <f>SUMIF('Resource Demand - Activity'!$FT:$FT,Example!$G30,'Resource Demand - Activity'!DM:DM)</f>
        <v>0</v>
      </c>
      <c r="DS30" s="35">
        <f>SUMIF('Resource Demand - Activity'!$FT:$FT,Example!$G30,'Resource Demand - Activity'!DN:DN)</f>
        <v>0</v>
      </c>
      <c r="DT30" s="35">
        <f>SUMIF('Resource Demand - Activity'!$FT:$FT,Example!$G30,'Resource Demand - Activity'!DO:DO)</f>
        <v>0</v>
      </c>
      <c r="DU30" s="35">
        <f>SUMIF('Resource Demand - Activity'!$FT:$FT,Example!$G30,'Resource Demand - Activity'!DP:DP)</f>
        <v>0</v>
      </c>
      <c r="DV30" s="35">
        <f>SUMIF('Resource Demand - Activity'!$FT:$FT,Example!$G30,'Resource Demand - Activity'!DQ:DQ)</f>
        <v>0</v>
      </c>
      <c r="DW30" s="35">
        <f>SUMIF('Resource Demand - Activity'!$FT:$FT,Example!$G30,'Resource Demand - Activity'!DR:DR)</f>
        <v>0</v>
      </c>
      <c r="DX30" s="35">
        <f>SUMIF('Resource Demand - Activity'!$FT:$FT,Example!$G30,'Resource Demand - Activity'!DS:DS)</f>
        <v>0</v>
      </c>
      <c r="DY30" s="35">
        <f>SUMIF('Resource Demand - Activity'!$FT:$FT,Example!$G30,'Resource Demand - Activity'!DT:DT)</f>
        <v>0</v>
      </c>
      <c r="DZ30" s="35">
        <f>SUMIF('Resource Demand - Activity'!$FT:$FT,Example!$G30,'Resource Demand - Activity'!DU:DU)</f>
        <v>0</v>
      </c>
      <c r="EA30" s="35">
        <f>SUMIF('Resource Demand - Activity'!$FT:$FT,Example!$G30,'Resource Demand - Activity'!DV:DV)</f>
        <v>0</v>
      </c>
      <c r="EB30" s="35">
        <f>SUMIF('Resource Demand - Activity'!$FT:$FT,Example!$G30,'Resource Demand - Activity'!DW:DW)</f>
        <v>0</v>
      </c>
      <c r="EC30" s="35">
        <f>SUMIF('Resource Demand - Activity'!$FT:$FT,Example!$G30,'Resource Demand - Activity'!DX:DX)</f>
        <v>0</v>
      </c>
      <c r="ED30" s="35">
        <f>SUMIF('Resource Demand - Activity'!$FT:$FT,Example!$G30,'Resource Demand - Activity'!DY:DY)</f>
        <v>0</v>
      </c>
      <c r="EE30" s="36"/>
      <c r="EF30" s="35">
        <f>SUMIF('Resource Demand - Activity'!$FT:$FT,Example!$G30,'Resource Demand - Activity'!EA:EA)</f>
        <v>0</v>
      </c>
      <c r="EG30" s="35">
        <f>SUMIF('Resource Demand - Activity'!$FT:$FT,Example!$G30,'Resource Demand - Activity'!EB:EB)</f>
        <v>0</v>
      </c>
      <c r="EH30" s="35">
        <f>SUMIF('Resource Demand - Activity'!$FT:$FT,Example!$G30,'Resource Demand - Activity'!EC:EC)</f>
        <v>0</v>
      </c>
      <c r="EI30" s="35">
        <f>SUMIF('Resource Demand - Activity'!$FT:$FT,Example!$G30,'Resource Demand - Activity'!ED:ED)</f>
        <v>0</v>
      </c>
      <c r="EJ30" s="35">
        <f>SUMIF('Resource Demand - Activity'!$FT:$FT,Example!$G30,'Resource Demand - Activity'!EE:EE)</f>
        <v>0</v>
      </c>
      <c r="EK30" s="35">
        <f>SUMIF('Resource Demand - Activity'!$FT:$FT,Example!$G30,'Resource Demand - Activity'!EF:EF)</f>
        <v>0</v>
      </c>
      <c r="EL30" s="35">
        <f>SUMIF('Resource Demand - Activity'!$FT:$FT,Example!$G30,'Resource Demand - Activity'!EG:EG)</f>
        <v>0</v>
      </c>
      <c r="EM30" s="35">
        <f>SUMIF('Resource Demand - Activity'!$FT:$FT,Example!$G30,'Resource Demand - Activity'!EH:EH)</f>
        <v>0</v>
      </c>
      <c r="EN30" s="35">
        <f>SUMIF('Resource Demand - Activity'!$FT:$FT,Example!$G30,'Resource Demand - Activity'!EI:EI)</f>
        <v>0</v>
      </c>
      <c r="EO30" s="35">
        <f>SUMIF('Resource Demand - Activity'!$FT:$FT,Example!$G30,'Resource Demand - Activity'!EJ:EJ)</f>
        <v>0</v>
      </c>
      <c r="EP30" s="35">
        <f>SUMIF('Resource Demand - Activity'!$FT:$FT,Example!$G30,'Resource Demand - Activity'!EK:EK)</f>
        <v>0</v>
      </c>
      <c r="EQ30" s="35">
        <f>SUMIF('Resource Demand - Activity'!$FT:$FT,Example!$G30,'Resource Demand - Activity'!EL:EL)</f>
        <v>0</v>
      </c>
      <c r="ER30" s="35">
        <f>SUMIF('Resource Demand - Activity'!$FT:$FT,Example!$G30,'Resource Demand - Activity'!EM:EM)</f>
        <v>0</v>
      </c>
      <c r="ES30" s="35">
        <f>SUMIF('Resource Demand - Activity'!$FT:$FT,Example!$G30,'Resource Demand - Activity'!EN:EN)</f>
        <v>0</v>
      </c>
      <c r="ET30" s="35">
        <f>SUMIF('Resource Demand - Activity'!$FT:$FT,Example!$G30,'Resource Demand - Activity'!EO:EO)</f>
        <v>0</v>
      </c>
      <c r="EU30" s="35">
        <f>SUMIF('Resource Demand - Activity'!$FT:$FT,Example!$G30,'Resource Demand - Activity'!EP:EP)</f>
        <v>0</v>
      </c>
      <c r="EV30" s="35">
        <f>SUMIF('Resource Demand - Activity'!$FT:$FT,Example!$G30,'Resource Demand - Activity'!EQ:EQ)</f>
        <v>0</v>
      </c>
      <c r="EW30" s="35">
        <f>SUMIF('Resource Demand - Activity'!$FT:$FT,Example!$G30,'Resource Demand - Activity'!ER:ER)</f>
        <v>0</v>
      </c>
      <c r="EX30" s="35">
        <f>SUMIF('Resource Demand - Activity'!$FT:$FT,Example!$G30,'Resource Demand - Activity'!ES:ES)</f>
        <v>0</v>
      </c>
      <c r="EY30" s="35">
        <f>SUMIF('Resource Demand - Activity'!$FT:$FT,Example!$G30,'Resource Demand - Activity'!ET:ET)</f>
        <v>0</v>
      </c>
      <c r="EZ30" s="35">
        <f>SUMIF('Resource Demand - Activity'!$FT:$FT,Example!$G30,'Resource Demand - Activity'!EU:EU)</f>
        <v>0</v>
      </c>
      <c r="FA30" s="35">
        <f>SUMIF('Resource Demand - Activity'!$FT:$FT,Example!$G30,'Resource Demand - Activity'!EV:EV)</f>
        <v>0</v>
      </c>
      <c r="FB30" s="35">
        <f>SUMIF('Resource Demand - Activity'!$FT:$FT,Example!$G30,'Resource Demand - Activity'!EW:EW)</f>
        <v>0</v>
      </c>
      <c r="FC30" s="35">
        <f>SUMIF('Resource Demand - Activity'!$FT:$FT,Example!$G30,'Resource Demand - Activity'!EX:EX)</f>
        <v>0</v>
      </c>
      <c r="FD30" s="36"/>
      <c r="FE30" s="35">
        <f>SUMIF('Resource Demand - Activity'!$FT:$FT,Example!$G30,'Resource Demand - Activity'!EZ:EZ)</f>
        <v>0</v>
      </c>
      <c r="FF30" s="35">
        <f>SUMIF('Resource Demand - Activity'!$FT:$FT,Example!$G30,'Resource Demand - Activity'!FA:FA)</f>
        <v>0</v>
      </c>
      <c r="FG30" s="35">
        <f>SUMIF('Resource Demand - Activity'!$FT:$FT,Example!$G30,'Resource Demand - Activity'!FB:FB)</f>
        <v>0</v>
      </c>
      <c r="FH30" s="35">
        <f>SUMIF('Resource Demand - Activity'!$FT:$FT,Example!$G30,'Resource Demand - Activity'!FC:FC)</f>
        <v>0</v>
      </c>
      <c r="FI30" s="35">
        <f>SUMIF('Resource Demand - Activity'!$FT:$FT,Example!$G30,'Resource Demand - Activity'!FD:FD)</f>
        <v>0</v>
      </c>
      <c r="FJ30" s="35">
        <f>SUMIF('Resource Demand - Activity'!$FT:$FT,Example!$G30,'Resource Demand - Activity'!FE:FE)</f>
        <v>0</v>
      </c>
      <c r="FK30" s="35">
        <f>SUMIF('Resource Demand - Activity'!$FT:$FT,Example!$G30,'Resource Demand - Activity'!FF:FF)</f>
        <v>0</v>
      </c>
      <c r="FL30" s="35">
        <f>SUMIF('Resource Demand - Activity'!$FT:$FT,Example!$G30,'Resource Demand - Activity'!FG:FG)</f>
        <v>0</v>
      </c>
      <c r="FM30" s="35">
        <f>SUMIF('Resource Demand - Activity'!$FT:$FT,Example!$G30,'Resource Demand - Activity'!FH:FH)</f>
        <v>0</v>
      </c>
      <c r="FN30" s="35">
        <f>SUMIF('Resource Demand - Activity'!$FT:$FT,Example!$G30,'Resource Demand - Activity'!FI:FI)</f>
        <v>0</v>
      </c>
      <c r="FO30" s="35">
        <f>SUMIF('Resource Demand - Activity'!$FT:$FT,Example!$G30,'Resource Demand - Activity'!FJ:FJ)</f>
        <v>0</v>
      </c>
      <c r="FP30" s="35">
        <f>SUMIF('Resource Demand - Activity'!$FT:$FT,Example!$G30,'Resource Demand - Activity'!FK:FK)</f>
        <v>0</v>
      </c>
      <c r="FQ30" s="35">
        <f>SUMIF('Resource Demand - Activity'!$FT:$FT,Example!$G30,'Resource Demand - Activity'!FL:FL)</f>
        <v>0</v>
      </c>
      <c r="FR30" s="35">
        <f>SUMIF('Resource Demand - Activity'!$FT:$FT,Example!$G30,'Resource Demand - Activity'!FM:FM)</f>
        <v>0</v>
      </c>
      <c r="FS30" s="35">
        <f>SUMIF('Resource Demand - Activity'!$FT:$FT,Example!$G30,'Resource Demand - Activity'!FN:FN)</f>
        <v>0</v>
      </c>
      <c r="FT30" s="35">
        <f>SUMIF('Resource Demand - Activity'!$FT:$FT,Example!$G30,'Resource Demand - Activity'!FO:FO)</f>
        <v>0</v>
      </c>
      <c r="FU30" s="35">
        <f>SUMIF('Resource Demand - Activity'!$FT:$FT,Example!$G30,'Resource Demand - Activity'!FP:FP)</f>
        <v>0</v>
      </c>
      <c r="FV30" s="52">
        <f>SUMIF('Resource Demand - Activity'!$FT:$FT,Example!$G30,'Resource Demand - Activity'!FQ:FQ)</f>
        <v>0</v>
      </c>
    </row>
    <row r="31" spans="2:178" s="58" customFormat="1" ht="12" customHeight="1">
      <c r="B31" s="65" t="s">
        <v>16</v>
      </c>
      <c r="C31" s="142">
        <f>500*1.23</f>
        <v>615</v>
      </c>
      <c r="D31" s="142">
        <f>500*1.23</f>
        <v>615</v>
      </c>
      <c r="E31" s="166"/>
      <c r="G31" s="64" t="str">
        <f t="shared" si="3"/>
        <v>12. FDS Release 4 12.9 FDS Release 4 - Sign off for go live Glenn Kirk</v>
      </c>
      <c r="H31" s="102" t="s">
        <v>183</v>
      </c>
      <c r="I31" s="59" t="str">
        <f>INDEX('Resource Demand - Activity'!C:C,MATCH(Example!G31,'Resource Demand - Activity'!FT:FT,0))</f>
        <v>1 days</v>
      </c>
      <c r="J31" s="51">
        <f>SUMIF('Resource Demand - Activity'!$FT:$FT,Example!$G31,'Resource Demand - Activity'!E:E)</f>
        <v>0</v>
      </c>
      <c r="K31" s="35">
        <f>SUMIF('Resource Demand - Activity'!$FT:$FT,Example!$G31,'Resource Demand - Activity'!F:F)</f>
        <v>0</v>
      </c>
      <c r="L31" s="35">
        <f>SUMIF('Resource Demand - Activity'!$FT:$FT,Example!$G31,'Resource Demand - Activity'!G:G)</f>
        <v>0</v>
      </c>
      <c r="M31" s="35">
        <f>SUMIF('Resource Demand - Activity'!$FT:$FT,Example!$G31,'Resource Demand - Activity'!H:H)</f>
        <v>0</v>
      </c>
      <c r="N31" s="35">
        <f>SUMIF('Resource Demand - Activity'!$FT:$FT,Example!$G31,'Resource Demand - Activity'!I:I)</f>
        <v>0</v>
      </c>
      <c r="O31" s="35">
        <f>SUMIF('Resource Demand - Activity'!$FT:$FT,Example!$G31,'Resource Demand - Activity'!J:J)</f>
        <v>0</v>
      </c>
      <c r="P31" s="35">
        <f>SUMIF('Resource Demand - Activity'!$FT:$FT,Example!$G31,'Resource Demand - Activity'!K:K)</f>
        <v>0</v>
      </c>
      <c r="Q31" s="35">
        <f>SUMIF('Resource Demand - Activity'!$FT:$FT,Example!$G31,'Resource Demand - Activity'!L:L)</f>
        <v>0</v>
      </c>
      <c r="R31" s="35">
        <f>SUMIF('Resource Demand - Activity'!$FT:$FT,Example!$G31,'Resource Demand - Activity'!M:M)</f>
        <v>0</v>
      </c>
      <c r="S31" s="35">
        <f>SUMIF('Resource Demand - Activity'!$FT:$FT,Example!$G31,'Resource Demand - Activity'!N:N)</f>
        <v>0</v>
      </c>
      <c r="T31" s="35">
        <f>SUMIF('Resource Demand - Activity'!$FT:$FT,Example!$G31,'Resource Demand - Activity'!O:O)</f>
        <v>0</v>
      </c>
      <c r="U31" s="35">
        <f>SUMIF('Resource Demand - Activity'!$FT:$FT,Example!$G31,'Resource Demand - Activity'!P:P)</f>
        <v>0</v>
      </c>
      <c r="V31" s="35">
        <f>SUMIF('Resource Demand - Activity'!$FT:$FT,Example!$G31,'Resource Demand - Activity'!Q:Q)</f>
        <v>0</v>
      </c>
      <c r="W31" s="35">
        <f>SUMIF('Resource Demand - Activity'!$FT:$FT,Example!$G31,'Resource Demand - Activity'!R:R)</f>
        <v>0</v>
      </c>
      <c r="X31" s="35">
        <f>SUMIF('Resource Demand - Activity'!$FT:$FT,Example!$G31,'Resource Demand - Activity'!S:S)</f>
        <v>0</v>
      </c>
      <c r="Y31" s="35">
        <f>SUMIF('Resource Demand - Activity'!$FT:$FT,Example!$G31,'Resource Demand - Activity'!T:T)</f>
        <v>0</v>
      </c>
      <c r="Z31" s="35">
        <f>SUMIF('Resource Demand - Activity'!$FT:$FT,Example!$G31,'Resource Demand - Activity'!U:U)</f>
        <v>0</v>
      </c>
      <c r="AA31" s="35">
        <f>SUMIF('Resource Demand - Activity'!$FT:$FT,Example!$G31,'Resource Demand - Activity'!V:V)</f>
        <v>0</v>
      </c>
      <c r="AB31" s="35">
        <f>SUMIF('Resource Demand - Activity'!$FT:$FT,Example!$G31,'Resource Demand - Activity'!W:W)</f>
        <v>0</v>
      </c>
      <c r="AC31" s="35">
        <f>SUMIF('Resource Demand - Activity'!$FT:$FT,Example!$G31,'Resource Demand - Activity'!X:X)</f>
        <v>0</v>
      </c>
      <c r="AD31" s="35">
        <f>SUMIF('Resource Demand - Activity'!$FT:$FT,Example!$G31,'Resource Demand - Activity'!Y:Y)</f>
        <v>0</v>
      </c>
      <c r="AE31" s="35">
        <f>SUMIF('Resource Demand - Activity'!$FT:$FT,Example!$G31,'Resource Demand - Activity'!Z:Z)</f>
        <v>0</v>
      </c>
      <c r="AF31" s="35">
        <f>SUMIF('Resource Demand - Activity'!$FT:$FT,Example!$G31,'Resource Demand - Activity'!AA:AA)</f>
        <v>0</v>
      </c>
      <c r="AG31" s="35">
        <f>SUMIF('Resource Demand - Activity'!$FT:$FT,Example!$G31,'Resource Demand - Activity'!AB:AB)</f>
        <v>0</v>
      </c>
      <c r="AH31" s="35">
        <f>SUMIF('Resource Demand - Activity'!$FT:$FT,Example!$G31,'Resource Demand - Activity'!AC:AC)</f>
        <v>0</v>
      </c>
      <c r="AI31" s="35">
        <f>SUMIF('Resource Demand - Activity'!$FT:$FT,Example!$G31,'Resource Demand - Activity'!AD:AD)</f>
        <v>0</v>
      </c>
      <c r="AJ31" s="35">
        <f>SUMIF('Resource Demand - Activity'!$FT:$FT,Example!$G31,'Resource Demand - Activity'!AE:AE)</f>
        <v>0</v>
      </c>
      <c r="AK31" s="35">
        <f>SUMIF('Resource Demand - Activity'!$FT:$FT,Example!$G31,'Resource Demand - Activity'!AF:AF)</f>
        <v>0</v>
      </c>
      <c r="AL31" s="35">
        <f>SUMIF('Resource Demand - Activity'!$FT:$FT,Example!$G31,'Resource Demand - Activity'!AG:AG)</f>
        <v>0</v>
      </c>
      <c r="AM31" s="35">
        <f>SUMIF('Resource Demand - Activity'!$FT:$FT,Example!$G31,'Resource Demand - Activity'!AH:AH)</f>
        <v>0</v>
      </c>
      <c r="AN31" s="35">
        <f>SUMIF('Resource Demand - Activity'!$FT:$FT,Example!$G31,'Resource Demand - Activity'!AI:AI)</f>
        <v>0</v>
      </c>
      <c r="AO31" s="35">
        <f>SUMIF('Resource Demand - Activity'!$FT:$FT,Example!$G31,'Resource Demand - Activity'!AJ:AJ)</f>
        <v>0</v>
      </c>
      <c r="AP31" s="35">
        <f>SUMIF('Resource Demand - Activity'!$FT:$FT,Example!$G31,'Resource Demand - Activity'!AK:AK)</f>
        <v>0</v>
      </c>
      <c r="AQ31" s="36"/>
      <c r="AR31" s="36"/>
      <c r="AS31" s="36"/>
      <c r="AT31" s="36"/>
      <c r="AU31" s="36"/>
      <c r="AV31" s="36"/>
      <c r="AW31" s="36"/>
      <c r="AX31" s="35">
        <f>SUMIF('Resource Demand - Activity'!$FT:$FT,Example!$G31,'Resource Demand - Activity'!AS:AS)</f>
        <v>0</v>
      </c>
      <c r="AY31" s="35">
        <f>SUMIF('Resource Demand - Activity'!$FT:$FT,Example!$G31,'Resource Demand - Activity'!AT:AT)</f>
        <v>0</v>
      </c>
      <c r="AZ31" s="35">
        <f>SUMIF('Resource Demand - Activity'!$FT:$FT,Example!$G31,'Resource Demand - Activity'!AU:AU)</f>
        <v>0</v>
      </c>
      <c r="BA31" s="35">
        <f>SUMIF('Resource Demand - Activity'!$FT:$FT,Example!$G31,'Resource Demand - Activity'!AV:AV)</f>
        <v>0</v>
      </c>
      <c r="BB31" s="35">
        <f>SUMIF('Resource Demand - Activity'!$FT:$FT,Example!$G31,'Resource Demand - Activity'!AW:AW)</f>
        <v>0</v>
      </c>
      <c r="BC31" s="35">
        <f>SUMIF('Resource Demand - Activity'!$FT:$FT,Example!$G31,'Resource Demand - Activity'!AX:AX)</f>
        <v>0</v>
      </c>
      <c r="BD31" s="35">
        <f>SUMIF('Resource Demand - Activity'!$FT:$FT,Example!$G31,'Resource Demand - Activity'!AY:AY)</f>
        <v>0</v>
      </c>
      <c r="BE31" s="35">
        <f>SUMIF('Resource Demand - Activity'!$FT:$FT,Example!$G31,'Resource Demand - Activity'!AZ:AZ)</f>
        <v>0</v>
      </c>
      <c r="BF31" s="35">
        <f>SUMIF('Resource Demand - Activity'!$FT:$FT,Example!$G31,'Resource Demand - Activity'!BA:BA)</f>
        <v>0</v>
      </c>
      <c r="BG31" s="35">
        <f>SUMIF('Resource Demand - Activity'!$FT:$FT,Example!$G31,'Resource Demand - Activity'!BB:BB)</f>
        <v>0</v>
      </c>
      <c r="BH31" s="35">
        <f>SUMIF('Resource Demand - Activity'!$FT:$FT,Example!$G31,'Resource Demand - Activity'!BC:BC)</f>
        <v>0</v>
      </c>
      <c r="BI31" s="35">
        <f>SUMIF('Resource Demand - Activity'!$FT:$FT,Example!$G31,'Resource Demand - Activity'!BD:BD)</f>
        <v>0</v>
      </c>
      <c r="BJ31" s="35">
        <f>SUMIF('Resource Demand - Activity'!$FT:$FT,Example!$G31,'Resource Demand - Activity'!BE:BE)</f>
        <v>0</v>
      </c>
      <c r="BK31" s="35">
        <f>SUMIF('Resource Demand - Activity'!$FT:$FT,Example!$G31,'Resource Demand - Activity'!BF:BF)</f>
        <v>0</v>
      </c>
      <c r="BL31" s="35">
        <f>SUMIF('Resource Demand - Activity'!$FT:$FT,Example!$G31,'Resource Demand - Activity'!BG:BG)</f>
        <v>0</v>
      </c>
      <c r="BM31" s="35">
        <f>SUMIF('Resource Demand - Activity'!$FT:$FT,Example!$G31,'Resource Demand - Activity'!BH:BH)</f>
        <v>0.4</v>
      </c>
      <c r="BN31" s="35">
        <f>SUMIF('Resource Demand - Activity'!$FT:$FT,Example!$G31,'Resource Demand - Activity'!BI:BI)</f>
        <v>0.15</v>
      </c>
      <c r="BO31" s="35">
        <f>SUMIF('Resource Demand - Activity'!$FT:$FT,Example!$G31,'Resource Demand - Activity'!BJ:BJ)</f>
        <v>0.15</v>
      </c>
      <c r="BP31" s="35">
        <f>SUMIF('Resource Demand - Activity'!$FT:$FT,Example!$G31,'Resource Demand - Activity'!BK:BK)</f>
        <v>0</v>
      </c>
      <c r="BQ31" s="35">
        <f>SUMIF('Resource Demand - Activity'!$FT:$FT,Example!$G31,'Resource Demand - Activity'!BL:BL)</f>
        <v>0</v>
      </c>
      <c r="BR31" s="35">
        <f>SUMIF('Resource Demand - Activity'!$FT:$FT,Example!$G31,'Resource Demand - Activity'!BM:BM)</f>
        <v>0</v>
      </c>
      <c r="BS31" s="35">
        <f>SUMIF('Resource Demand - Activity'!$FT:$FT,Example!$G31,'Resource Demand - Activity'!BN:BN)</f>
        <v>0</v>
      </c>
      <c r="BT31" s="35">
        <f>SUMIF('Resource Demand - Activity'!$FT:$FT,Example!$G31,'Resource Demand - Activity'!BO:BO)</f>
        <v>0</v>
      </c>
      <c r="BU31" s="35">
        <f>SUMIF('Resource Demand - Activity'!$FT:$FT,Example!$G31,'Resource Demand - Activity'!BP:BP)</f>
        <v>0</v>
      </c>
      <c r="BV31" s="35">
        <f>SUMIF('Resource Demand - Activity'!$FT:$FT,Example!$G31,'Resource Demand - Activity'!BQ:BQ)</f>
        <v>0</v>
      </c>
      <c r="BW31" s="35">
        <f>SUMIF('Resource Demand - Activity'!$FT:$FT,Example!$G31,'Resource Demand - Activity'!BR:BR)</f>
        <v>0</v>
      </c>
      <c r="BX31" s="35">
        <f>SUMIF('Resource Demand - Activity'!$FT:$FT,Example!$G31,'Resource Demand - Activity'!BS:BS)</f>
        <v>0</v>
      </c>
      <c r="BY31" s="35">
        <f>SUMIF('Resource Demand - Activity'!$FT:$FT,Example!$G31,'Resource Demand - Activity'!BT:BT)</f>
        <v>0</v>
      </c>
      <c r="BZ31" s="35">
        <f>SUMIF('Resource Demand - Activity'!$FT:$FT,Example!$G31,'Resource Demand - Activity'!BU:BU)</f>
        <v>0</v>
      </c>
      <c r="CA31" s="35">
        <f>SUMIF('Resource Demand - Activity'!$FT:$FT,Example!$G31,'Resource Demand - Activity'!BV:BV)</f>
        <v>0</v>
      </c>
      <c r="CB31" s="35">
        <f>SUMIF('Resource Demand - Activity'!$FT:$FT,Example!$G31,'Resource Demand - Activity'!BW:BW)</f>
        <v>0</v>
      </c>
      <c r="CC31" s="35">
        <f>SUMIF('Resource Demand - Activity'!$FT:$FT,Example!$G31,'Resource Demand - Activity'!BX:BX)</f>
        <v>0</v>
      </c>
      <c r="CD31" s="35">
        <f>SUMIF('Resource Demand - Activity'!$FT:$FT,Example!$G31,'Resource Demand - Activity'!BY:BY)</f>
        <v>0</v>
      </c>
      <c r="CE31" s="35">
        <f>SUMIF('Resource Demand - Activity'!$FT:$FT,Example!$G31,'Resource Demand - Activity'!BZ:BZ)</f>
        <v>0</v>
      </c>
      <c r="CF31" s="35">
        <f>SUMIF('Resource Demand - Activity'!$FT:$FT,Example!$G31,'Resource Demand - Activity'!CA:CA)</f>
        <v>0</v>
      </c>
      <c r="CG31" s="35">
        <f>SUMIF('Resource Demand - Activity'!$FT:$FT,Example!$G31,'Resource Demand - Activity'!CB:CB)</f>
        <v>0</v>
      </c>
      <c r="CH31" s="35">
        <f>SUMIF('Resource Demand - Activity'!$FT:$FT,Example!$G31,'Resource Demand - Activity'!CC:CC)</f>
        <v>0</v>
      </c>
      <c r="CI31" s="35">
        <f>SUMIF('Resource Demand - Activity'!$FT:$FT,Example!$G31,'Resource Demand - Activity'!CD:CD)</f>
        <v>0</v>
      </c>
      <c r="CJ31" s="35">
        <f>SUMIF('Resource Demand - Activity'!$FT:$FT,Example!$G31,'Resource Demand - Activity'!CE:CE)</f>
        <v>0</v>
      </c>
      <c r="CK31" s="35">
        <f>SUMIF('Resource Demand - Activity'!$FT:$FT,Example!$G31,'Resource Demand - Activity'!CF:CF)</f>
        <v>0</v>
      </c>
      <c r="CL31" s="35">
        <f>SUMIF('Resource Demand - Activity'!$FT:$FT,Example!$G31,'Resource Demand - Activity'!CG:CG)</f>
        <v>0</v>
      </c>
      <c r="CM31" s="35">
        <f>SUMIF('Resource Demand - Activity'!$FT:$FT,Example!$G31,'Resource Demand - Activity'!CH:CH)</f>
        <v>0</v>
      </c>
      <c r="CN31" s="35">
        <f>SUMIF('Resource Demand - Activity'!$FT:$FT,Example!$G31,'Resource Demand - Activity'!CI:CI)</f>
        <v>0</v>
      </c>
      <c r="CO31" s="35">
        <f>SUMIF('Resource Demand - Activity'!$FT:$FT,Example!$G31,'Resource Demand - Activity'!CJ:CJ)</f>
        <v>0</v>
      </c>
      <c r="CP31" s="35">
        <f>SUMIF('Resource Demand - Activity'!$FT:$FT,Example!$G31,'Resource Demand - Activity'!CK:CK)</f>
        <v>0</v>
      </c>
      <c r="CQ31" s="35">
        <f>SUMIF('Resource Demand - Activity'!$FT:$FT,Example!$G31,'Resource Demand - Activity'!CL:CL)</f>
        <v>0</v>
      </c>
      <c r="CR31" s="35">
        <f>SUMIF('Resource Demand - Activity'!$FT:$FT,Example!$G31,'Resource Demand - Activity'!CM:CM)</f>
        <v>0</v>
      </c>
      <c r="CS31" s="35">
        <f>SUMIF('Resource Demand - Activity'!$FT:$FT,Example!$G31,'Resource Demand - Activity'!CN:CN)</f>
        <v>0</v>
      </c>
      <c r="CT31" s="35">
        <f>SUMIF('Resource Demand - Activity'!$FT:$FT,Example!$G31,'Resource Demand - Activity'!CO:CO)</f>
        <v>0</v>
      </c>
      <c r="CU31" s="35">
        <f>SUMIF('Resource Demand - Activity'!$FT:$FT,Example!$G31,'Resource Demand - Activity'!CP:CP)</f>
        <v>0</v>
      </c>
      <c r="CV31" s="35">
        <f>SUMIF('Resource Demand - Activity'!$FT:$FT,Example!$G31,'Resource Demand - Activity'!CQ:CQ)</f>
        <v>0</v>
      </c>
      <c r="CW31" s="35">
        <f>SUMIF('Resource Demand - Activity'!$FT:$FT,Example!$G31,'Resource Demand - Activity'!CR:CR)</f>
        <v>0</v>
      </c>
      <c r="CX31" s="35">
        <f>SUMIF('Resource Demand - Activity'!$FT:$FT,Example!$G31,'Resource Demand - Activity'!CS:CS)</f>
        <v>0</v>
      </c>
      <c r="CY31" s="36"/>
      <c r="CZ31" s="35">
        <f>SUMIF('Resource Demand - Activity'!$FT:$FT,Example!$G31,'Resource Demand - Activity'!CU:CU)</f>
        <v>0</v>
      </c>
      <c r="DA31" s="35">
        <f>SUMIF('Resource Demand - Activity'!$FT:$FT,Example!$G31,'Resource Demand - Activity'!CV:CV)</f>
        <v>0</v>
      </c>
      <c r="DB31" s="35">
        <f>SUMIF('Resource Demand - Activity'!$FT:$FT,Example!$G31,'Resource Demand - Activity'!CW:CW)</f>
        <v>0</v>
      </c>
      <c r="DC31" s="35">
        <f>SUMIF('Resource Demand - Activity'!$FT:$FT,Example!$G31,'Resource Demand - Activity'!CX:CX)</f>
        <v>0</v>
      </c>
      <c r="DD31" s="35">
        <f>SUMIF('Resource Demand - Activity'!$FT:$FT,Example!$G31,'Resource Demand - Activity'!CY:CY)</f>
        <v>0</v>
      </c>
      <c r="DE31" s="36"/>
      <c r="DF31" s="36"/>
      <c r="DG31" s="35">
        <f>SUMIF('Resource Demand - Activity'!$FT:$FT,Example!$G31,'Resource Demand - Activity'!DB:DB)</f>
        <v>0</v>
      </c>
      <c r="DH31" s="35">
        <f>SUMIF('Resource Demand - Activity'!$FT:$FT,Example!$G31,'Resource Demand - Activity'!DC:DC)</f>
        <v>0</v>
      </c>
      <c r="DI31" s="35">
        <f>SUMIF('Resource Demand - Activity'!$FT:$FT,Example!$G31,'Resource Demand - Activity'!DD:DD)</f>
        <v>0</v>
      </c>
      <c r="DJ31" s="35">
        <f>SUMIF('Resource Demand - Activity'!$FT:$FT,Example!$G31,'Resource Demand - Activity'!DE:DE)</f>
        <v>0</v>
      </c>
      <c r="DK31" s="35">
        <f>SUMIF('Resource Demand - Activity'!$FT:$FT,Example!$G31,'Resource Demand - Activity'!DF:DF)</f>
        <v>0</v>
      </c>
      <c r="DL31" s="35">
        <f>SUMIF('Resource Demand - Activity'!$FT:$FT,Example!$G31,'Resource Demand - Activity'!DG:DG)</f>
        <v>0</v>
      </c>
      <c r="DM31" s="35">
        <f>SUMIF('Resource Demand - Activity'!$FT:$FT,Example!$G31,'Resource Demand - Activity'!DH:DH)</f>
        <v>0</v>
      </c>
      <c r="DN31" s="35">
        <f>SUMIF('Resource Demand - Activity'!$FT:$FT,Example!$G31,'Resource Demand - Activity'!DI:DI)</f>
        <v>0</v>
      </c>
      <c r="DO31" s="35">
        <f>SUMIF('Resource Demand - Activity'!$FT:$FT,Example!$G31,'Resource Demand - Activity'!DJ:DJ)</f>
        <v>0</v>
      </c>
      <c r="DP31" s="35">
        <f>SUMIF('Resource Demand - Activity'!$FT:$FT,Example!$G31,'Resource Demand - Activity'!DK:DK)</f>
        <v>0</v>
      </c>
      <c r="DQ31" s="35">
        <f>SUMIF('Resource Demand - Activity'!$FT:$FT,Example!$G31,'Resource Demand - Activity'!DL:DL)</f>
        <v>0</v>
      </c>
      <c r="DR31" s="35">
        <f>SUMIF('Resource Demand - Activity'!$FT:$FT,Example!$G31,'Resource Demand - Activity'!DM:DM)</f>
        <v>0</v>
      </c>
      <c r="DS31" s="35">
        <f>SUMIF('Resource Demand - Activity'!$FT:$FT,Example!$G31,'Resource Demand - Activity'!DN:DN)</f>
        <v>0</v>
      </c>
      <c r="DT31" s="35">
        <f>SUMIF('Resource Demand - Activity'!$FT:$FT,Example!$G31,'Resource Demand - Activity'!DO:DO)</f>
        <v>0</v>
      </c>
      <c r="DU31" s="35">
        <f>SUMIF('Resource Demand - Activity'!$FT:$FT,Example!$G31,'Resource Demand - Activity'!DP:DP)</f>
        <v>0</v>
      </c>
      <c r="DV31" s="35">
        <f>SUMIF('Resource Demand - Activity'!$FT:$FT,Example!$G31,'Resource Demand - Activity'!DQ:DQ)</f>
        <v>0</v>
      </c>
      <c r="DW31" s="35">
        <f>SUMIF('Resource Demand - Activity'!$FT:$FT,Example!$G31,'Resource Demand - Activity'!DR:DR)</f>
        <v>0</v>
      </c>
      <c r="DX31" s="35">
        <f>SUMIF('Resource Demand - Activity'!$FT:$FT,Example!$G31,'Resource Demand - Activity'!DS:DS)</f>
        <v>0</v>
      </c>
      <c r="DY31" s="35">
        <f>SUMIF('Resource Demand - Activity'!$FT:$FT,Example!$G31,'Resource Demand - Activity'!DT:DT)</f>
        <v>0</v>
      </c>
      <c r="DZ31" s="35">
        <f>SUMIF('Resource Demand - Activity'!$FT:$FT,Example!$G31,'Resource Demand - Activity'!DU:DU)</f>
        <v>0</v>
      </c>
      <c r="EA31" s="35">
        <f>SUMIF('Resource Demand - Activity'!$FT:$FT,Example!$G31,'Resource Demand - Activity'!DV:DV)</f>
        <v>0</v>
      </c>
      <c r="EB31" s="35">
        <f>SUMIF('Resource Demand - Activity'!$FT:$FT,Example!$G31,'Resource Demand - Activity'!DW:DW)</f>
        <v>0</v>
      </c>
      <c r="EC31" s="35">
        <f>SUMIF('Resource Demand - Activity'!$FT:$FT,Example!$G31,'Resource Demand - Activity'!DX:DX)</f>
        <v>0</v>
      </c>
      <c r="ED31" s="35">
        <f>SUMIF('Resource Demand - Activity'!$FT:$FT,Example!$G31,'Resource Demand - Activity'!DY:DY)</f>
        <v>0</v>
      </c>
      <c r="EE31" s="36"/>
      <c r="EF31" s="35">
        <f>SUMIF('Resource Demand - Activity'!$FT:$FT,Example!$G31,'Resource Demand - Activity'!EA:EA)</f>
        <v>0</v>
      </c>
      <c r="EG31" s="35">
        <f>SUMIF('Resource Demand - Activity'!$FT:$FT,Example!$G31,'Resource Demand - Activity'!EB:EB)</f>
        <v>0</v>
      </c>
      <c r="EH31" s="35">
        <f>SUMIF('Resource Demand - Activity'!$FT:$FT,Example!$G31,'Resource Demand - Activity'!EC:EC)</f>
        <v>0</v>
      </c>
      <c r="EI31" s="35">
        <f>SUMIF('Resource Demand - Activity'!$FT:$FT,Example!$G31,'Resource Demand - Activity'!ED:ED)</f>
        <v>0</v>
      </c>
      <c r="EJ31" s="35">
        <f>SUMIF('Resource Demand - Activity'!$FT:$FT,Example!$G31,'Resource Demand - Activity'!EE:EE)</f>
        <v>0</v>
      </c>
      <c r="EK31" s="35">
        <f>SUMIF('Resource Demand - Activity'!$FT:$FT,Example!$G31,'Resource Demand - Activity'!EF:EF)</f>
        <v>0</v>
      </c>
      <c r="EL31" s="35">
        <f>SUMIF('Resource Demand - Activity'!$FT:$FT,Example!$G31,'Resource Demand - Activity'!EG:EG)</f>
        <v>0</v>
      </c>
      <c r="EM31" s="35">
        <f>SUMIF('Resource Demand - Activity'!$FT:$FT,Example!$G31,'Resource Demand - Activity'!EH:EH)</f>
        <v>0</v>
      </c>
      <c r="EN31" s="35">
        <f>SUMIF('Resource Demand - Activity'!$FT:$FT,Example!$G31,'Resource Demand - Activity'!EI:EI)</f>
        <v>0</v>
      </c>
      <c r="EO31" s="35">
        <f>SUMIF('Resource Demand - Activity'!$FT:$FT,Example!$G31,'Resource Demand - Activity'!EJ:EJ)</f>
        <v>0</v>
      </c>
      <c r="EP31" s="35">
        <f>SUMIF('Resource Demand - Activity'!$FT:$FT,Example!$G31,'Resource Demand - Activity'!EK:EK)</f>
        <v>0</v>
      </c>
      <c r="EQ31" s="35">
        <f>SUMIF('Resource Demand - Activity'!$FT:$FT,Example!$G31,'Resource Demand - Activity'!EL:EL)</f>
        <v>0</v>
      </c>
      <c r="ER31" s="35">
        <f>SUMIF('Resource Demand - Activity'!$FT:$FT,Example!$G31,'Resource Demand - Activity'!EM:EM)</f>
        <v>0</v>
      </c>
      <c r="ES31" s="35">
        <f>SUMIF('Resource Demand - Activity'!$FT:$FT,Example!$G31,'Resource Demand - Activity'!EN:EN)</f>
        <v>0</v>
      </c>
      <c r="ET31" s="35">
        <f>SUMIF('Resource Demand - Activity'!$FT:$FT,Example!$G31,'Resource Demand - Activity'!EO:EO)</f>
        <v>0</v>
      </c>
      <c r="EU31" s="35">
        <f>SUMIF('Resource Demand - Activity'!$FT:$FT,Example!$G31,'Resource Demand - Activity'!EP:EP)</f>
        <v>0</v>
      </c>
      <c r="EV31" s="35">
        <f>SUMIF('Resource Demand - Activity'!$FT:$FT,Example!$G31,'Resource Demand - Activity'!EQ:EQ)</f>
        <v>0</v>
      </c>
      <c r="EW31" s="35">
        <f>SUMIF('Resource Demand - Activity'!$FT:$FT,Example!$G31,'Resource Demand - Activity'!ER:ER)</f>
        <v>0</v>
      </c>
      <c r="EX31" s="35">
        <f>SUMIF('Resource Demand - Activity'!$FT:$FT,Example!$G31,'Resource Demand - Activity'!ES:ES)</f>
        <v>0</v>
      </c>
      <c r="EY31" s="35">
        <f>SUMIF('Resource Demand - Activity'!$FT:$FT,Example!$G31,'Resource Demand - Activity'!ET:ET)</f>
        <v>0</v>
      </c>
      <c r="EZ31" s="35">
        <f>SUMIF('Resource Demand - Activity'!$FT:$FT,Example!$G31,'Resource Demand - Activity'!EU:EU)</f>
        <v>0</v>
      </c>
      <c r="FA31" s="35">
        <f>SUMIF('Resource Demand - Activity'!$FT:$FT,Example!$G31,'Resource Demand - Activity'!EV:EV)</f>
        <v>0</v>
      </c>
      <c r="FB31" s="35">
        <f>SUMIF('Resource Demand - Activity'!$FT:$FT,Example!$G31,'Resource Demand - Activity'!EW:EW)</f>
        <v>0</v>
      </c>
      <c r="FC31" s="35">
        <f>SUMIF('Resource Demand - Activity'!$FT:$FT,Example!$G31,'Resource Demand - Activity'!EX:EX)</f>
        <v>0</v>
      </c>
      <c r="FD31" s="36"/>
      <c r="FE31" s="35">
        <f>SUMIF('Resource Demand - Activity'!$FT:$FT,Example!$G31,'Resource Demand - Activity'!EZ:EZ)</f>
        <v>0</v>
      </c>
      <c r="FF31" s="35">
        <f>SUMIF('Resource Demand - Activity'!$FT:$FT,Example!$G31,'Resource Demand - Activity'!FA:FA)</f>
        <v>0</v>
      </c>
      <c r="FG31" s="35">
        <f>SUMIF('Resource Demand - Activity'!$FT:$FT,Example!$G31,'Resource Demand - Activity'!FB:FB)</f>
        <v>0</v>
      </c>
      <c r="FH31" s="35">
        <f>SUMIF('Resource Demand - Activity'!$FT:$FT,Example!$G31,'Resource Demand - Activity'!FC:FC)</f>
        <v>0</v>
      </c>
      <c r="FI31" s="35">
        <f>SUMIF('Resource Demand - Activity'!$FT:$FT,Example!$G31,'Resource Demand - Activity'!FD:FD)</f>
        <v>0</v>
      </c>
      <c r="FJ31" s="35">
        <f>SUMIF('Resource Demand - Activity'!$FT:$FT,Example!$G31,'Resource Demand - Activity'!FE:FE)</f>
        <v>0</v>
      </c>
      <c r="FK31" s="35">
        <f>SUMIF('Resource Demand - Activity'!$FT:$FT,Example!$G31,'Resource Demand - Activity'!FF:FF)</f>
        <v>0</v>
      </c>
      <c r="FL31" s="35">
        <f>SUMIF('Resource Demand - Activity'!$FT:$FT,Example!$G31,'Resource Demand - Activity'!FG:FG)</f>
        <v>0</v>
      </c>
      <c r="FM31" s="35">
        <f>SUMIF('Resource Demand - Activity'!$FT:$FT,Example!$G31,'Resource Demand - Activity'!FH:FH)</f>
        <v>0</v>
      </c>
      <c r="FN31" s="35">
        <f>SUMIF('Resource Demand - Activity'!$FT:$FT,Example!$G31,'Resource Demand - Activity'!FI:FI)</f>
        <v>0</v>
      </c>
      <c r="FO31" s="35">
        <f>SUMIF('Resource Demand - Activity'!$FT:$FT,Example!$G31,'Resource Demand - Activity'!FJ:FJ)</f>
        <v>0</v>
      </c>
      <c r="FP31" s="35">
        <f>SUMIF('Resource Demand - Activity'!$FT:$FT,Example!$G31,'Resource Demand - Activity'!FK:FK)</f>
        <v>0</v>
      </c>
      <c r="FQ31" s="35">
        <f>SUMIF('Resource Demand - Activity'!$FT:$FT,Example!$G31,'Resource Demand - Activity'!FL:FL)</f>
        <v>0</v>
      </c>
      <c r="FR31" s="35">
        <f>SUMIF('Resource Demand - Activity'!$FT:$FT,Example!$G31,'Resource Demand - Activity'!FM:FM)</f>
        <v>0</v>
      </c>
      <c r="FS31" s="35">
        <f>SUMIF('Resource Demand - Activity'!$FT:$FT,Example!$G31,'Resource Demand - Activity'!FN:FN)</f>
        <v>0</v>
      </c>
      <c r="FT31" s="35">
        <f>SUMIF('Resource Demand - Activity'!$FT:$FT,Example!$G31,'Resource Demand - Activity'!FO:FO)</f>
        <v>0</v>
      </c>
      <c r="FU31" s="35">
        <f>SUMIF('Resource Demand - Activity'!$FT:$FT,Example!$G31,'Resource Demand - Activity'!FP:FP)</f>
        <v>0</v>
      </c>
      <c r="FV31" s="52">
        <f>SUMIF('Resource Demand - Activity'!$FT:$FT,Example!$G31,'Resource Demand - Activity'!FQ:FQ)</f>
        <v>0</v>
      </c>
    </row>
    <row r="32" spans="2:178" s="58" customFormat="1" ht="12" customHeight="1">
      <c r="C32" s="142">
        <f>C17*C31</f>
        <v>17220</v>
      </c>
      <c r="D32" s="142">
        <f>D17*D31</f>
        <v>66420</v>
      </c>
      <c r="E32" s="166"/>
      <c r="G32" s="64" t="str">
        <f t="shared" si="3"/>
        <v>12. FDS Release 4 12.10 FDS Release 4 - PGLS supportGlenn Kirk</v>
      </c>
      <c r="H32" s="102" t="s">
        <v>184</v>
      </c>
      <c r="I32" s="59" t="str">
        <f>INDEX('Resource Demand - Activity'!C:C,MATCH(Example!G32,'Resource Demand - Activity'!FT:FT,0))</f>
        <v>10 days</v>
      </c>
      <c r="J32" s="51">
        <f>SUMIF('Resource Demand - Activity'!$FT:$FT,Example!$G32,'Resource Demand - Activity'!E:E)</f>
        <v>0</v>
      </c>
      <c r="K32" s="35">
        <f>SUMIF('Resource Demand - Activity'!$FT:$FT,Example!$G32,'Resource Demand - Activity'!F:F)</f>
        <v>0</v>
      </c>
      <c r="L32" s="35">
        <f>SUMIF('Resource Demand - Activity'!$FT:$FT,Example!$G32,'Resource Demand - Activity'!G:G)</f>
        <v>0</v>
      </c>
      <c r="M32" s="35">
        <f>SUMIF('Resource Demand - Activity'!$FT:$FT,Example!$G32,'Resource Demand - Activity'!H:H)</f>
        <v>0</v>
      </c>
      <c r="N32" s="35">
        <f>SUMIF('Resource Demand - Activity'!$FT:$FT,Example!$G32,'Resource Demand - Activity'!I:I)</f>
        <v>0</v>
      </c>
      <c r="O32" s="35">
        <f>SUMIF('Resource Demand - Activity'!$FT:$FT,Example!$G32,'Resource Demand - Activity'!J:J)</f>
        <v>0</v>
      </c>
      <c r="P32" s="35">
        <f>SUMIF('Resource Demand - Activity'!$FT:$FT,Example!$G32,'Resource Demand - Activity'!K:K)</f>
        <v>0</v>
      </c>
      <c r="Q32" s="35">
        <f>SUMIF('Resource Demand - Activity'!$FT:$FT,Example!$G32,'Resource Demand - Activity'!L:L)</f>
        <v>0</v>
      </c>
      <c r="R32" s="35">
        <f>SUMIF('Resource Demand - Activity'!$FT:$FT,Example!$G32,'Resource Demand - Activity'!M:M)</f>
        <v>0</v>
      </c>
      <c r="S32" s="35">
        <f>SUMIF('Resource Demand - Activity'!$FT:$FT,Example!$G32,'Resource Demand - Activity'!N:N)</f>
        <v>0</v>
      </c>
      <c r="T32" s="35">
        <f>SUMIF('Resource Demand - Activity'!$FT:$FT,Example!$G32,'Resource Demand - Activity'!O:O)</f>
        <v>0</v>
      </c>
      <c r="U32" s="35">
        <f>SUMIF('Resource Demand - Activity'!$FT:$FT,Example!$G32,'Resource Demand - Activity'!P:P)</f>
        <v>0</v>
      </c>
      <c r="V32" s="35">
        <f>SUMIF('Resource Demand - Activity'!$FT:$FT,Example!$G32,'Resource Demand - Activity'!Q:Q)</f>
        <v>0</v>
      </c>
      <c r="W32" s="35">
        <f>SUMIF('Resource Demand - Activity'!$FT:$FT,Example!$G32,'Resource Demand - Activity'!R:R)</f>
        <v>0</v>
      </c>
      <c r="X32" s="35">
        <f>SUMIF('Resource Demand - Activity'!$FT:$FT,Example!$G32,'Resource Demand - Activity'!S:S)</f>
        <v>0</v>
      </c>
      <c r="Y32" s="35">
        <f>SUMIF('Resource Demand - Activity'!$FT:$FT,Example!$G32,'Resource Demand - Activity'!T:T)</f>
        <v>0</v>
      </c>
      <c r="Z32" s="35">
        <f>SUMIF('Resource Demand - Activity'!$FT:$FT,Example!$G32,'Resource Demand - Activity'!U:U)</f>
        <v>0</v>
      </c>
      <c r="AA32" s="35">
        <f>SUMIF('Resource Demand - Activity'!$FT:$FT,Example!$G32,'Resource Demand - Activity'!V:V)</f>
        <v>0</v>
      </c>
      <c r="AB32" s="35">
        <f>SUMIF('Resource Demand - Activity'!$FT:$FT,Example!$G32,'Resource Demand - Activity'!W:W)</f>
        <v>0</v>
      </c>
      <c r="AC32" s="35">
        <f>SUMIF('Resource Demand - Activity'!$FT:$FT,Example!$G32,'Resource Demand - Activity'!X:X)</f>
        <v>0</v>
      </c>
      <c r="AD32" s="35">
        <f>SUMIF('Resource Demand - Activity'!$FT:$FT,Example!$G32,'Resource Demand - Activity'!Y:Y)</f>
        <v>0</v>
      </c>
      <c r="AE32" s="35">
        <f>SUMIF('Resource Demand - Activity'!$FT:$FT,Example!$G32,'Resource Demand - Activity'!Z:Z)</f>
        <v>0</v>
      </c>
      <c r="AF32" s="35">
        <f>SUMIF('Resource Demand - Activity'!$FT:$FT,Example!$G32,'Resource Demand - Activity'!AA:AA)</f>
        <v>0</v>
      </c>
      <c r="AG32" s="35">
        <f>SUMIF('Resource Demand - Activity'!$FT:$FT,Example!$G32,'Resource Demand - Activity'!AB:AB)</f>
        <v>0</v>
      </c>
      <c r="AH32" s="35">
        <f>SUMIF('Resource Demand - Activity'!$FT:$FT,Example!$G32,'Resource Demand - Activity'!AC:AC)</f>
        <v>0</v>
      </c>
      <c r="AI32" s="35">
        <f>SUMIF('Resource Demand - Activity'!$FT:$FT,Example!$G32,'Resource Demand - Activity'!AD:AD)</f>
        <v>0</v>
      </c>
      <c r="AJ32" s="35">
        <f>SUMIF('Resource Demand - Activity'!$FT:$FT,Example!$G32,'Resource Demand - Activity'!AE:AE)</f>
        <v>0</v>
      </c>
      <c r="AK32" s="35">
        <f>SUMIF('Resource Demand - Activity'!$FT:$FT,Example!$G32,'Resource Demand - Activity'!AF:AF)</f>
        <v>0</v>
      </c>
      <c r="AL32" s="35">
        <f>SUMIF('Resource Demand - Activity'!$FT:$FT,Example!$G32,'Resource Demand - Activity'!AG:AG)</f>
        <v>0</v>
      </c>
      <c r="AM32" s="35">
        <f>SUMIF('Resource Demand - Activity'!$FT:$FT,Example!$G32,'Resource Demand - Activity'!AH:AH)</f>
        <v>0</v>
      </c>
      <c r="AN32" s="35">
        <f>SUMIF('Resource Demand - Activity'!$FT:$FT,Example!$G32,'Resource Demand - Activity'!AI:AI)</f>
        <v>0</v>
      </c>
      <c r="AO32" s="35">
        <f>SUMIF('Resource Demand - Activity'!$FT:$FT,Example!$G32,'Resource Demand - Activity'!AJ:AJ)</f>
        <v>0</v>
      </c>
      <c r="AP32" s="35">
        <f>SUMIF('Resource Demand - Activity'!$FT:$FT,Example!$G32,'Resource Demand - Activity'!AK:AK)</f>
        <v>0</v>
      </c>
      <c r="AQ32" s="36"/>
      <c r="AR32" s="36"/>
      <c r="AS32" s="36"/>
      <c r="AT32" s="36"/>
      <c r="AU32" s="36"/>
      <c r="AV32" s="36"/>
      <c r="AW32" s="36"/>
      <c r="AX32" s="35">
        <f>SUMIF('Resource Demand - Activity'!$FT:$FT,Example!$G32,'Resource Demand - Activity'!AS:AS)</f>
        <v>0</v>
      </c>
      <c r="AY32" s="35">
        <f>SUMIF('Resource Demand - Activity'!$FT:$FT,Example!$G32,'Resource Demand - Activity'!AT:AT)</f>
        <v>0</v>
      </c>
      <c r="AZ32" s="35">
        <f>SUMIF('Resource Demand - Activity'!$FT:$FT,Example!$G32,'Resource Demand - Activity'!AU:AU)</f>
        <v>0</v>
      </c>
      <c r="BA32" s="35">
        <f>SUMIF('Resource Demand - Activity'!$FT:$FT,Example!$G32,'Resource Demand - Activity'!AV:AV)</f>
        <v>0</v>
      </c>
      <c r="BB32" s="35">
        <f>SUMIF('Resource Demand - Activity'!$FT:$FT,Example!$G32,'Resource Demand - Activity'!AW:AW)</f>
        <v>0</v>
      </c>
      <c r="BC32" s="35">
        <f>SUMIF('Resource Demand - Activity'!$FT:$FT,Example!$G32,'Resource Demand - Activity'!AX:AX)</f>
        <v>0</v>
      </c>
      <c r="BD32" s="35">
        <f>SUMIF('Resource Demand - Activity'!$FT:$FT,Example!$G32,'Resource Demand - Activity'!AY:AY)</f>
        <v>0</v>
      </c>
      <c r="BE32" s="35">
        <f>SUMIF('Resource Demand - Activity'!$FT:$FT,Example!$G32,'Resource Demand - Activity'!AZ:AZ)</f>
        <v>0</v>
      </c>
      <c r="BF32" s="35">
        <f>SUMIF('Resource Demand - Activity'!$FT:$FT,Example!$G32,'Resource Demand - Activity'!BA:BA)</f>
        <v>0</v>
      </c>
      <c r="BG32" s="35">
        <f>SUMIF('Resource Demand - Activity'!$FT:$FT,Example!$G32,'Resource Demand - Activity'!BB:BB)</f>
        <v>0</v>
      </c>
      <c r="BH32" s="35">
        <f>SUMIF('Resource Demand - Activity'!$FT:$FT,Example!$G32,'Resource Demand - Activity'!BC:BC)</f>
        <v>0</v>
      </c>
      <c r="BI32" s="35">
        <f>SUMIF('Resource Demand - Activity'!$FT:$FT,Example!$G32,'Resource Demand - Activity'!BD:BD)</f>
        <v>0</v>
      </c>
      <c r="BJ32" s="35">
        <f>SUMIF('Resource Demand - Activity'!$FT:$FT,Example!$G32,'Resource Demand - Activity'!BE:BE)</f>
        <v>0</v>
      </c>
      <c r="BK32" s="35">
        <f>SUMIF('Resource Demand - Activity'!$FT:$FT,Example!$G32,'Resource Demand - Activity'!BF:BF)</f>
        <v>0</v>
      </c>
      <c r="BL32" s="35">
        <f>SUMIF('Resource Demand - Activity'!$FT:$FT,Example!$G32,'Resource Demand - Activity'!BG:BG)</f>
        <v>0</v>
      </c>
      <c r="BM32" s="35">
        <f>SUMIF('Resource Demand - Activity'!$FT:$FT,Example!$G32,'Resource Demand - Activity'!BH:BH)</f>
        <v>0</v>
      </c>
      <c r="BN32" s="35">
        <f>SUMIF('Resource Demand - Activity'!$FT:$FT,Example!$G32,'Resource Demand - Activity'!BI:BI)</f>
        <v>0</v>
      </c>
      <c r="BO32" s="35">
        <f>SUMIF('Resource Demand - Activity'!$FT:$FT,Example!$G32,'Resource Demand - Activity'!BJ:BJ)</f>
        <v>0</v>
      </c>
      <c r="BP32" s="35">
        <f>SUMIF('Resource Demand - Activity'!$FT:$FT,Example!$G32,'Resource Demand - Activity'!BK:BK)</f>
        <v>0</v>
      </c>
      <c r="BQ32" s="35">
        <f>SUMIF('Resource Demand - Activity'!$FT:$FT,Example!$G32,'Resource Demand - Activity'!BL:BL)</f>
        <v>0</v>
      </c>
      <c r="BR32" s="35">
        <f>SUMIF('Resource Demand - Activity'!$FT:$FT,Example!$G32,'Resource Demand - Activity'!BM:BM)</f>
        <v>0</v>
      </c>
      <c r="BS32" s="35">
        <f>SUMIF('Resource Demand - Activity'!$FT:$FT,Example!$G32,'Resource Demand - Activity'!BN:BN)</f>
        <v>0</v>
      </c>
      <c r="BT32" s="35">
        <f>SUMIF('Resource Demand - Activity'!$FT:$FT,Example!$G32,'Resource Demand - Activity'!BO:BO)</f>
        <v>0</v>
      </c>
      <c r="BU32" s="35">
        <f>SUMIF('Resource Demand - Activity'!$FT:$FT,Example!$G32,'Resource Demand - Activity'!BP:BP)</f>
        <v>0</v>
      </c>
      <c r="BV32" s="35">
        <f>SUMIF('Resource Demand - Activity'!$FT:$FT,Example!$G32,'Resource Demand - Activity'!BQ:BQ)</f>
        <v>0</v>
      </c>
      <c r="BW32" s="35">
        <f>SUMIF('Resource Demand - Activity'!$FT:$FT,Example!$G32,'Resource Demand - Activity'!BR:BR)</f>
        <v>0</v>
      </c>
      <c r="BX32" s="35">
        <f>SUMIF('Resource Demand - Activity'!$FT:$FT,Example!$G32,'Resource Demand - Activity'!BS:BS)</f>
        <v>0</v>
      </c>
      <c r="BY32" s="35">
        <f>SUMIF('Resource Demand - Activity'!$FT:$FT,Example!$G32,'Resource Demand - Activity'!BT:BT)</f>
        <v>0</v>
      </c>
      <c r="BZ32" s="35">
        <f>SUMIF('Resource Demand - Activity'!$FT:$FT,Example!$G32,'Resource Demand - Activity'!BU:BU)</f>
        <v>0</v>
      </c>
      <c r="CA32" s="35">
        <f>SUMIF('Resource Demand - Activity'!$FT:$FT,Example!$G32,'Resource Demand - Activity'!BV:BV)</f>
        <v>0</v>
      </c>
      <c r="CB32" s="35">
        <f>SUMIF('Resource Demand - Activity'!$FT:$FT,Example!$G32,'Resource Demand - Activity'!BW:BW)</f>
        <v>0</v>
      </c>
      <c r="CC32" s="35">
        <f>SUMIF('Resource Demand - Activity'!$FT:$FT,Example!$G32,'Resource Demand - Activity'!BX:BX)</f>
        <v>0</v>
      </c>
      <c r="CD32" s="35">
        <f>SUMIF('Resource Demand - Activity'!$FT:$FT,Example!$G32,'Resource Demand - Activity'!BY:BY)</f>
        <v>0</v>
      </c>
      <c r="CE32" s="35">
        <f>SUMIF('Resource Demand - Activity'!$FT:$FT,Example!$G32,'Resource Demand - Activity'!BZ:BZ)</f>
        <v>0</v>
      </c>
      <c r="CF32" s="35">
        <f>SUMIF('Resource Demand - Activity'!$FT:$FT,Example!$G32,'Resource Demand - Activity'!CA:CA)</f>
        <v>0</v>
      </c>
      <c r="CG32" s="35">
        <f>SUMIF('Resource Demand - Activity'!$FT:$FT,Example!$G32,'Resource Demand - Activity'!CB:CB)</f>
        <v>0.5</v>
      </c>
      <c r="CH32" s="35">
        <f>SUMIF('Resource Demand - Activity'!$FT:$FT,Example!$G32,'Resource Demand - Activity'!CC:CC)</f>
        <v>0.5</v>
      </c>
      <c r="CI32" s="35">
        <f>SUMIF('Resource Demand - Activity'!$FT:$FT,Example!$G32,'Resource Demand - Activity'!CD:CD)</f>
        <v>0.25</v>
      </c>
      <c r="CJ32" s="35">
        <f>SUMIF('Resource Demand - Activity'!$FT:$FT,Example!$G32,'Resource Demand - Activity'!CE:CE)</f>
        <v>0.25</v>
      </c>
      <c r="CK32" s="35">
        <f>SUMIF('Resource Demand - Activity'!$FT:$FT,Example!$G32,'Resource Demand - Activity'!CF:CF)</f>
        <v>0</v>
      </c>
      <c r="CL32" s="35">
        <f>SUMIF('Resource Demand - Activity'!$FT:$FT,Example!$G32,'Resource Demand - Activity'!CG:CG)</f>
        <v>1</v>
      </c>
      <c r="CM32" s="35">
        <f>SUMIF('Resource Demand - Activity'!$FT:$FT,Example!$G32,'Resource Demand - Activity'!CH:CH)</f>
        <v>1</v>
      </c>
      <c r="CN32" s="35">
        <f>SUMIF('Resource Demand - Activity'!$FT:$FT,Example!$G32,'Resource Demand - Activity'!CI:CI)</f>
        <v>0.75</v>
      </c>
      <c r="CO32" s="35">
        <f>SUMIF('Resource Demand - Activity'!$FT:$FT,Example!$G32,'Resource Demand - Activity'!CJ:CJ)</f>
        <v>0.75</v>
      </c>
      <c r="CP32" s="35">
        <f>SUMIF('Resource Demand - Activity'!$FT:$FT,Example!$G32,'Resource Demand - Activity'!CK:CK)</f>
        <v>1</v>
      </c>
      <c r="CQ32" s="35">
        <f>SUMIF('Resource Demand - Activity'!$FT:$FT,Example!$G32,'Resource Demand - Activity'!CL:CL)</f>
        <v>0.4</v>
      </c>
      <c r="CR32" s="35">
        <f>SUMIF('Resource Demand - Activity'!$FT:$FT,Example!$G32,'Resource Demand - Activity'!CM:CM)</f>
        <v>0.4</v>
      </c>
      <c r="CS32" s="35">
        <f>SUMIF('Resource Demand - Activity'!$FT:$FT,Example!$G32,'Resource Demand - Activity'!CN:CN)</f>
        <v>0.4</v>
      </c>
      <c r="CT32" s="35">
        <f>SUMIF('Resource Demand - Activity'!$FT:$FT,Example!$G32,'Resource Demand - Activity'!CO:CO)</f>
        <v>0.4</v>
      </c>
      <c r="CU32" s="35">
        <f>SUMIF('Resource Demand - Activity'!$FT:$FT,Example!$G32,'Resource Demand - Activity'!CP:CP)</f>
        <v>0.4</v>
      </c>
      <c r="CV32" s="35">
        <f>SUMIF('Resource Demand - Activity'!$FT:$FT,Example!$G32,'Resource Demand - Activity'!CQ:CQ)</f>
        <v>0.2</v>
      </c>
      <c r="CW32" s="35">
        <f>SUMIF('Resource Demand - Activity'!$FT:$FT,Example!$G32,'Resource Demand - Activity'!CR:CR)</f>
        <v>0</v>
      </c>
      <c r="CX32" s="35">
        <f>SUMIF('Resource Demand - Activity'!$FT:$FT,Example!$G32,'Resource Demand - Activity'!CS:CS)</f>
        <v>0</v>
      </c>
      <c r="CY32" s="36"/>
      <c r="CZ32" s="35">
        <f>SUMIF('Resource Demand - Activity'!$FT:$FT,Example!$G32,'Resource Demand - Activity'!CU:CU)</f>
        <v>0.4</v>
      </c>
      <c r="DA32" s="35">
        <f>SUMIF('Resource Demand - Activity'!$FT:$FT,Example!$G32,'Resource Demand - Activity'!CV:CV)</f>
        <v>0.4</v>
      </c>
      <c r="DB32" s="35">
        <f>SUMIF('Resource Demand - Activity'!$FT:$FT,Example!$G32,'Resource Demand - Activity'!CW:CW)</f>
        <v>0.2</v>
      </c>
      <c r="DC32" s="35">
        <f>SUMIF('Resource Demand - Activity'!$FT:$FT,Example!$G32,'Resource Demand - Activity'!CX:CX)</f>
        <v>0</v>
      </c>
      <c r="DD32" s="35">
        <f>SUMIF('Resource Demand - Activity'!$FT:$FT,Example!$G32,'Resource Demand - Activity'!CY:CY)</f>
        <v>0</v>
      </c>
      <c r="DE32" s="36"/>
      <c r="DF32" s="36"/>
      <c r="DG32" s="35">
        <f>SUMIF('Resource Demand - Activity'!$FT:$FT,Example!$G32,'Resource Demand - Activity'!DB:DB)</f>
        <v>0</v>
      </c>
      <c r="DH32" s="35">
        <f>SUMIF('Resource Demand - Activity'!$FT:$FT,Example!$G32,'Resource Demand - Activity'!DC:DC)</f>
        <v>0.5</v>
      </c>
      <c r="DI32" s="35">
        <f>SUMIF('Resource Demand - Activity'!$FT:$FT,Example!$G32,'Resource Demand - Activity'!DD:DD)</f>
        <v>0.3</v>
      </c>
      <c r="DJ32" s="35">
        <f>SUMIF('Resource Demand - Activity'!$FT:$FT,Example!$G32,'Resource Demand - Activity'!DE:DE)</f>
        <v>0</v>
      </c>
      <c r="DK32" s="35">
        <f>SUMIF('Resource Demand - Activity'!$FT:$FT,Example!$G32,'Resource Demand - Activity'!DF:DF)</f>
        <v>0</v>
      </c>
      <c r="DL32" s="35">
        <f>SUMIF('Resource Demand - Activity'!$FT:$FT,Example!$G32,'Resource Demand - Activity'!DG:DG)</f>
        <v>0</v>
      </c>
      <c r="DM32" s="35">
        <f>SUMIF('Resource Demand - Activity'!$FT:$FT,Example!$G32,'Resource Demand - Activity'!DH:DH)</f>
        <v>0</v>
      </c>
      <c r="DN32" s="35">
        <f>SUMIF('Resource Demand - Activity'!$FT:$FT,Example!$G32,'Resource Demand - Activity'!DI:DI)</f>
        <v>0</v>
      </c>
      <c r="DO32" s="35">
        <f>SUMIF('Resource Demand - Activity'!$FT:$FT,Example!$G32,'Resource Demand - Activity'!DJ:DJ)</f>
        <v>0</v>
      </c>
      <c r="DP32" s="35">
        <f>SUMIF('Resource Demand - Activity'!$FT:$FT,Example!$G32,'Resource Demand - Activity'!DK:DK)</f>
        <v>0</v>
      </c>
      <c r="DQ32" s="35">
        <f>SUMIF('Resource Demand - Activity'!$FT:$FT,Example!$G32,'Resource Demand - Activity'!DL:DL)</f>
        <v>0</v>
      </c>
      <c r="DR32" s="35">
        <f>SUMIF('Resource Demand - Activity'!$FT:$FT,Example!$G32,'Resource Demand - Activity'!DM:DM)</f>
        <v>0</v>
      </c>
      <c r="DS32" s="35">
        <f>SUMIF('Resource Demand - Activity'!$FT:$FT,Example!$G32,'Resource Demand - Activity'!DN:DN)</f>
        <v>0</v>
      </c>
      <c r="DT32" s="35">
        <f>SUMIF('Resource Demand - Activity'!$FT:$FT,Example!$G32,'Resource Demand - Activity'!DO:DO)</f>
        <v>0</v>
      </c>
      <c r="DU32" s="35">
        <f>SUMIF('Resource Demand - Activity'!$FT:$FT,Example!$G32,'Resource Demand - Activity'!DP:DP)</f>
        <v>0</v>
      </c>
      <c r="DV32" s="35">
        <f>SUMIF('Resource Demand - Activity'!$FT:$FT,Example!$G32,'Resource Demand - Activity'!DQ:DQ)</f>
        <v>0</v>
      </c>
      <c r="DW32" s="35">
        <f>SUMIF('Resource Demand - Activity'!$FT:$FT,Example!$G32,'Resource Demand - Activity'!DR:DR)</f>
        <v>0</v>
      </c>
      <c r="DX32" s="35">
        <f>SUMIF('Resource Demand - Activity'!$FT:$FT,Example!$G32,'Resource Demand - Activity'!DS:DS)</f>
        <v>0</v>
      </c>
      <c r="DY32" s="35">
        <f>SUMIF('Resource Demand - Activity'!$FT:$FT,Example!$G32,'Resource Demand - Activity'!DT:DT)</f>
        <v>0</v>
      </c>
      <c r="DZ32" s="35">
        <f>SUMIF('Resource Demand - Activity'!$FT:$FT,Example!$G32,'Resource Demand - Activity'!DU:DU)</f>
        <v>0</v>
      </c>
      <c r="EA32" s="35">
        <f>SUMIF('Resource Demand - Activity'!$FT:$FT,Example!$G32,'Resource Demand - Activity'!DV:DV)</f>
        <v>0</v>
      </c>
      <c r="EB32" s="35">
        <f>SUMIF('Resource Demand - Activity'!$FT:$FT,Example!$G32,'Resource Demand - Activity'!DW:DW)</f>
        <v>0</v>
      </c>
      <c r="EC32" s="35">
        <f>SUMIF('Resource Demand - Activity'!$FT:$FT,Example!$G32,'Resource Demand - Activity'!DX:DX)</f>
        <v>0</v>
      </c>
      <c r="ED32" s="35">
        <f>SUMIF('Resource Demand - Activity'!$FT:$FT,Example!$G32,'Resource Demand - Activity'!DY:DY)</f>
        <v>0</v>
      </c>
      <c r="EE32" s="36"/>
      <c r="EF32" s="35">
        <f>SUMIF('Resource Demand - Activity'!$FT:$FT,Example!$G32,'Resource Demand - Activity'!EA:EA)</f>
        <v>0</v>
      </c>
      <c r="EG32" s="35">
        <f>SUMIF('Resource Demand - Activity'!$FT:$FT,Example!$G32,'Resource Demand - Activity'!EB:EB)</f>
        <v>0</v>
      </c>
      <c r="EH32" s="35">
        <f>SUMIF('Resource Demand - Activity'!$FT:$FT,Example!$G32,'Resource Demand - Activity'!EC:EC)</f>
        <v>0</v>
      </c>
      <c r="EI32" s="35">
        <f>SUMIF('Resource Demand - Activity'!$FT:$FT,Example!$G32,'Resource Demand - Activity'!ED:ED)</f>
        <v>0</v>
      </c>
      <c r="EJ32" s="35">
        <f>SUMIF('Resource Demand - Activity'!$FT:$FT,Example!$G32,'Resource Demand - Activity'!EE:EE)</f>
        <v>0</v>
      </c>
      <c r="EK32" s="35">
        <f>SUMIF('Resource Demand - Activity'!$FT:$FT,Example!$G32,'Resource Demand - Activity'!EF:EF)</f>
        <v>0</v>
      </c>
      <c r="EL32" s="35">
        <f>SUMIF('Resource Demand - Activity'!$FT:$FT,Example!$G32,'Resource Demand - Activity'!EG:EG)</f>
        <v>0</v>
      </c>
      <c r="EM32" s="35">
        <f>SUMIF('Resource Demand - Activity'!$FT:$FT,Example!$G32,'Resource Demand - Activity'!EH:EH)</f>
        <v>0</v>
      </c>
      <c r="EN32" s="35">
        <f>SUMIF('Resource Demand - Activity'!$FT:$FT,Example!$G32,'Resource Demand - Activity'!EI:EI)</f>
        <v>0</v>
      </c>
      <c r="EO32" s="35">
        <f>SUMIF('Resource Demand - Activity'!$FT:$FT,Example!$G32,'Resource Demand - Activity'!EJ:EJ)</f>
        <v>0</v>
      </c>
      <c r="EP32" s="35">
        <f>SUMIF('Resource Demand - Activity'!$FT:$FT,Example!$G32,'Resource Demand - Activity'!EK:EK)</f>
        <v>0</v>
      </c>
      <c r="EQ32" s="35">
        <f>SUMIF('Resource Demand - Activity'!$FT:$FT,Example!$G32,'Resource Demand - Activity'!EL:EL)</f>
        <v>0</v>
      </c>
      <c r="ER32" s="35">
        <f>SUMIF('Resource Demand - Activity'!$FT:$FT,Example!$G32,'Resource Demand - Activity'!EM:EM)</f>
        <v>0</v>
      </c>
      <c r="ES32" s="35">
        <f>SUMIF('Resource Demand - Activity'!$FT:$FT,Example!$G32,'Resource Demand - Activity'!EN:EN)</f>
        <v>0</v>
      </c>
      <c r="ET32" s="35">
        <f>SUMIF('Resource Demand - Activity'!$FT:$FT,Example!$G32,'Resource Demand - Activity'!EO:EO)</f>
        <v>0</v>
      </c>
      <c r="EU32" s="35">
        <f>SUMIF('Resource Demand - Activity'!$FT:$FT,Example!$G32,'Resource Demand - Activity'!EP:EP)</f>
        <v>0</v>
      </c>
      <c r="EV32" s="35">
        <f>SUMIF('Resource Demand - Activity'!$FT:$FT,Example!$G32,'Resource Demand - Activity'!EQ:EQ)</f>
        <v>0</v>
      </c>
      <c r="EW32" s="35">
        <f>SUMIF('Resource Demand - Activity'!$FT:$FT,Example!$G32,'Resource Demand - Activity'!ER:ER)</f>
        <v>0</v>
      </c>
      <c r="EX32" s="35">
        <f>SUMIF('Resource Demand - Activity'!$FT:$FT,Example!$G32,'Resource Demand - Activity'!ES:ES)</f>
        <v>0</v>
      </c>
      <c r="EY32" s="35">
        <f>SUMIF('Resource Demand - Activity'!$FT:$FT,Example!$G32,'Resource Demand - Activity'!ET:ET)</f>
        <v>0</v>
      </c>
      <c r="EZ32" s="35">
        <f>SUMIF('Resource Demand - Activity'!$FT:$FT,Example!$G32,'Resource Demand - Activity'!EU:EU)</f>
        <v>0</v>
      </c>
      <c r="FA32" s="35">
        <f>SUMIF('Resource Demand - Activity'!$FT:$FT,Example!$G32,'Resource Demand - Activity'!EV:EV)</f>
        <v>0</v>
      </c>
      <c r="FB32" s="35">
        <f>SUMIF('Resource Demand - Activity'!$FT:$FT,Example!$G32,'Resource Demand - Activity'!EW:EW)</f>
        <v>0</v>
      </c>
      <c r="FC32" s="35">
        <f>SUMIF('Resource Demand - Activity'!$FT:$FT,Example!$G32,'Resource Demand - Activity'!EX:EX)</f>
        <v>0</v>
      </c>
      <c r="FD32" s="36"/>
      <c r="FE32" s="35">
        <f>SUMIF('Resource Demand - Activity'!$FT:$FT,Example!$G32,'Resource Demand - Activity'!EZ:EZ)</f>
        <v>0</v>
      </c>
      <c r="FF32" s="35">
        <f>SUMIF('Resource Demand - Activity'!$FT:$FT,Example!$G32,'Resource Demand - Activity'!FA:FA)</f>
        <v>0</v>
      </c>
      <c r="FG32" s="35">
        <f>SUMIF('Resource Demand - Activity'!$FT:$FT,Example!$G32,'Resource Demand - Activity'!FB:FB)</f>
        <v>0</v>
      </c>
      <c r="FH32" s="35">
        <f>SUMIF('Resource Demand - Activity'!$FT:$FT,Example!$G32,'Resource Demand - Activity'!FC:FC)</f>
        <v>0</v>
      </c>
      <c r="FI32" s="35">
        <f>SUMIF('Resource Demand - Activity'!$FT:$FT,Example!$G32,'Resource Demand - Activity'!FD:FD)</f>
        <v>0</v>
      </c>
      <c r="FJ32" s="35">
        <f>SUMIF('Resource Demand - Activity'!$FT:$FT,Example!$G32,'Resource Demand - Activity'!FE:FE)</f>
        <v>0</v>
      </c>
      <c r="FK32" s="35">
        <f>SUMIF('Resource Demand - Activity'!$FT:$FT,Example!$G32,'Resource Demand - Activity'!FF:FF)</f>
        <v>0</v>
      </c>
      <c r="FL32" s="35">
        <f>SUMIF('Resource Demand - Activity'!$FT:$FT,Example!$G32,'Resource Demand - Activity'!FG:FG)</f>
        <v>0</v>
      </c>
      <c r="FM32" s="35">
        <f>SUMIF('Resource Demand - Activity'!$FT:$FT,Example!$G32,'Resource Demand - Activity'!FH:FH)</f>
        <v>0</v>
      </c>
      <c r="FN32" s="35">
        <f>SUMIF('Resource Demand - Activity'!$FT:$FT,Example!$G32,'Resource Demand - Activity'!FI:FI)</f>
        <v>0</v>
      </c>
      <c r="FO32" s="35">
        <f>SUMIF('Resource Demand - Activity'!$FT:$FT,Example!$G32,'Resource Demand - Activity'!FJ:FJ)</f>
        <v>0</v>
      </c>
      <c r="FP32" s="35">
        <f>SUMIF('Resource Demand - Activity'!$FT:$FT,Example!$G32,'Resource Demand - Activity'!FK:FK)</f>
        <v>0</v>
      </c>
      <c r="FQ32" s="35">
        <f>SUMIF('Resource Demand - Activity'!$FT:$FT,Example!$G32,'Resource Demand - Activity'!FL:FL)</f>
        <v>0</v>
      </c>
      <c r="FR32" s="35">
        <f>SUMIF('Resource Demand - Activity'!$FT:$FT,Example!$G32,'Resource Demand - Activity'!FM:FM)</f>
        <v>0</v>
      </c>
      <c r="FS32" s="35">
        <f>SUMIF('Resource Demand - Activity'!$FT:$FT,Example!$G32,'Resource Demand - Activity'!FN:FN)</f>
        <v>0</v>
      </c>
      <c r="FT32" s="35">
        <f>SUMIF('Resource Demand - Activity'!$FT:$FT,Example!$G32,'Resource Demand - Activity'!FO:FO)</f>
        <v>0</v>
      </c>
      <c r="FU32" s="35">
        <f>SUMIF('Resource Demand - Activity'!$FT:$FT,Example!$G32,'Resource Demand - Activity'!FP:FP)</f>
        <v>0</v>
      </c>
      <c r="FV32" s="52">
        <f>SUMIF('Resource Demand - Activity'!$FT:$FT,Example!$G32,'Resource Demand - Activity'!FQ:FQ)</f>
        <v>0</v>
      </c>
    </row>
    <row r="33" spans="2:178" ht="12" customHeight="1">
      <c r="B33" s="58"/>
      <c r="C33" s="162">
        <f>C32+D32</f>
        <v>83640</v>
      </c>
      <c r="D33" s="163"/>
      <c r="E33" s="146"/>
      <c r="G33" s="64" t="str">
        <f>H33&amp;$H$1</f>
        <v>12. FDS Release 4 12.11 FDS Release 4 - Handover to BAUGlenn Kirk</v>
      </c>
      <c r="H33" s="4" t="s">
        <v>185</v>
      </c>
      <c r="I33" s="59" t="str">
        <f>INDEX('Resource Demand - Activity'!C:C,MATCH(Example!G33,'Resource Demand - Activity'!FT:FT,0))</f>
        <v>14 days</v>
      </c>
      <c r="J33" s="51">
        <f>SUMIF('Resource Demand - Activity'!$FT:$FT,Example!$G33,'Resource Demand - Activity'!E:E)</f>
        <v>0</v>
      </c>
      <c r="K33" s="35">
        <f>SUMIF('Resource Demand - Activity'!$FT:$FT,Example!$G33,'Resource Demand - Activity'!F:F)</f>
        <v>0</v>
      </c>
      <c r="L33" s="35">
        <f>SUMIF('Resource Demand - Activity'!$FT:$FT,Example!$G33,'Resource Demand - Activity'!G:G)</f>
        <v>0</v>
      </c>
      <c r="M33" s="35">
        <f>SUMIF('Resource Demand - Activity'!$FT:$FT,Example!$G33,'Resource Demand - Activity'!H:H)</f>
        <v>0</v>
      </c>
      <c r="N33" s="35">
        <f>SUMIF('Resource Demand - Activity'!$FT:$FT,Example!$G33,'Resource Demand - Activity'!I:I)</f>
        <v>0</v>
      </c>
      <c r="O33" s="35">
        <f>SUMIF('Resource Demand - Activity'!$FT:$FT,Example!$G33,'Resource Demand - Activity'!J:J)</f>
        <v>0</v>
      </c>
      <c r="P33" s="35">
        <f>SUMIF('Resource Demand - Activity'!$FT:$FT,Example!$G33,'Resource Demand - Activity'!K:K)</f>
        <v>0</v>
      </c>
      <c r="Q33" s="35">
        <f>SUMIF('Resource Demand - Activity'!$FT:$FT,Example!$G33,'Resource Demand - Activity'!L:L)</f>
        <v>0</v>
      </c>
      <c r="R33" s="35">
        <f>SUMIF('Resource Demand - Activity'!$FT:$FT,Example!$G33,'Resource Demand - Activity'!M:M)</f>
        <v>0</v>
      </c>
      <c r="S33" s="35">
        <f>SUMIF('Resource Demand - Activity'!$FT:$FT,Example!$G33,'Resource Demand - Activity'!N:N)</f>
        <v>0</v>
      </c>
      <c r="T33" s="35">
        <f>SUMIF('Resource Demand - Activity'!$FT:$FT,Example!$G33,'Resource Demand - Activity'!O:O)</f>
        <v>0</v>
      </c>
      <c r="U33" s="35">
        <f>SUMIF('Resource Demand - Activity'!$FT:$FT,Example!$G33,'Resource Demand - Activity'!P:P)</f>
        <v>0</v>
      </c>
      <c r="V33" s="35">
        <f>SUMIF('Resource Demand - Activity'!$FT:$FT,Example!$G33,'Resource Demand - Activity'!Q:Q)</f>
        <v>0</v>
      </c>
      <c r="W33" s="35">
        <f>SUMIF('Resource Demand - Activity'!$FT:$FT,Example!$G33,'Resource Demand - Activity'!R:R)</f>
        <v>0</v>
      </c>
      <c r="X33" s="35">
        <f>SUMIF('Resource Demand - Activity'!$FT:$FT,Example!$G33,'Resource Demand - Activity'!S:S)</f>
        <v>0</v>
      </c>
      <c r="Y33" s="35">
        <f>SUMIF('Resource Demand - Activity'!$FT:$FT,Example!$G33,'Resource Demand - Activity'!T:T)</f>
        <v>0</v>
      </c>
      <c r="Z33" s="35">
        <f>SUMIF('Resource Demand - Activity'!$FT:$FT,Example!$G33,'Resource Demand - Activity'!U:U)</f>
        <v>0</v>
      </c>
      <c r="AA33" s="35">
        <f>SUMIF('Resource Demand - Activity'!$FT:$FT,Example!$G33,'Resource Demand - Activity'!V:V)</f>
        <v>0</v>
      </c>
      <c r="AB33" s="35">
        <f>SUMIF('Resource Demand - Activity'!$FT:$FT,Example!$G33,'Resource Demand - Activity'!W:W)</f>
        <v>0</v>
      </c>
      <c r="AC33" s="35">
        <f>SUMIF('Resource Demand - Activity'!$FT:$FT,Example!$G33,'Resource Demand - Activity'!X:X)</f>
        <v>0</v>
      </c>
      <c r="AD33" s="35">
        <f>SUMIF('Resource Demand - Activity'!$FT:$FT,Example!$G33,'Resource Demand - Activity'!Y:Y)</f>
        <v>0</v>
      </c>
      <c r="AE33" s="35">
        <f>SUMIF('Resource Demand - Activity'!$FT:$FT,Example!$G33,'Resource Demand - Activity'!Z:Z)</f>
        <v>0</v>
      </c>
      <c r="AF33" s="35">
        <f>SUMIF('Resource Demand - Activity'!$FT:$FT,Example!$G33,'Resource Demand - Activity'!AA:AA)</f>
        <v>0</v>
      </c>
      <c r="AG33" s="35">
        <f>SUMIF('Resource Demand - Activity'!$FT:$FT,Example!$G33,'Resource Demand - Activity'!AB:AB)</f>
        <v>0</v>
      </c>
      <c r="AH33" s="35">
        <f>SUMIF('Resource Demand - Activity'!$FT:$FT,Example!$G33,'Resource Demand - Activity'!AC:AC)</f>
        <v>0</v>
      </c>
      <c r="AI33" s="35">
        <f>SUMIF('Resource Demand - Activity'!$FT:$FT,Example!$G33,'Resource Demand - Activity'!AD:AD)</f>
        <v>0</v>
      </c>
      <c r="AJ33" s="35">
        <f>SUMIF('Resource Demand - Activity'!$FT:$FT,Example!$G33,'Resource Demand - Activity'!AE:AE)</f>
        <v>0</v>
      </c>
      <c r="AK33" s="35">
        <f>SUMIF('Resource Demand - Activity'!$FT:$FT,Example!$G33,'Resource Demand - Activity'!AF:AF)</f>
        <v>0</v>
      </c>
      <c r="AL33" s="35">
        <f>SUMIF('Resource Demand - Activity'!$FT:$FT,Example!$G33,'Resource Demand - Activity'!AG:AG)</f>
        <v>0</v>
      </c>
      <c r="AM33" s="35">
        <f>SUMIF('Resource Demand - Activity'!$FT:$FT,Example!$G33,'Resource Demand - Activity'!AH:AH)</f>
        <v>0</v>
      </c>
      <c r="AN33" s="35">
        <f>SUMIF('Resource Demand - Activity'!$FT:$FT,Example!$G33,'Resource Demand - Activity'!AI:AI)</f>
        <v>0</v>
      </c>
      <c r="AO33" s="35">
        <f>SUMIF('Resource Demand - Activity'!$FT:$FT,Example!$G33,'Resource Demand - Activity'!AJ:AJ)</f>
        <v>0</v>
      </c>
      <c r="AP33" s="35">
        <f>SUMIF('Resource Demand - Activity'!$FT:$FT,Example!$G33,'Resource Demand - Activity'!AK:AK)</f>
        <v>0</v>
      </c>
      <c r="AQ33" s="36"/>
      <c r="AR33" s="36"/>
      <c r="AS33" s="36"/>
      <c r="AT33" s="36"/>
      <c r="AU33" s="36"/>
      <c r="AV33" s="36"/>
      <c r="AW33" s="36"/>
      <c r="AX33" s="35">
        <f>SUMIF('Resource Demand - Activity'!$FT:$FT,Example!$G33,'Resource Demand - Activity'!AS:AS)</f>
        <v>0</v>
      </c>
      <c r="AY33" s="35">
        <f>SUMIF('Resource Demand - Activity'!$FT:$FT,Example!$G33,'Resource Demand - Activity'!AT:AT)</f>
        <v>0</v>
      </c>
      <c r="AZ33" s="35">
        <f>SUMIF('Resource Demand - Activity'!$FT:$FT,Example!$G33,'Resource Demand - Activity'!AU:AU)</f>
        <v>0</v>
      </c>
      <c r="BA33" s="35">
        <f>SUMIF('Resource Demand - Activity'!$FT:$FT,Example!$G33,'Resource Demand - Activity'!AV:AV)</f>
        <v>0</v>
      </c>
      <c r="BB33" s="35">
        <f>SUMIF('Resource Demand - Activity'!$FT:$FT,Example!$G33,'Resource Demand - Activity'!AW:AW)</f>
        <v>0</v>
      </c>
      <c r="BC33" s="35">
        <f>SUMIF('Resource Demand - Activity'!$FT:$FT,Example!$G33,'Resource Demand - Activity'!AX:AX)</f>
        <v>0</v>
      </c>
      <c r="BD33" s="35">
        <f>SUMIF('Resource Demand - Activity'!$FT:$FT,Example!$G33,'Resource Demand - Activity'!AY:AY)</f>
        <v>0</v>
      </c>
      <c r="BE33" s="35">
        <f>SUMIF('Resource Demand - Activity'!$FT:$FT,Example!$G33,'Resource Demand - Activity'!AZ:AZ)</f>
        <v>0</v>
      </c>
      <c r="BF33" s="35">
        <f>SUMIF('Resource Demand - Activity'!$FT:$FT,Example!$G33,'Resource Demand - Activity'!BA:BA)</f>
        <v>0</v>
      </c>
      <c r="BG33" s="35">
        <f>SUMIF('Resource Demand - Activity'!$FT:$FT,Example!$G33,'Resource Demand - Activity'!BB:BB)</f>
        <v>0</v>
      </c>
      <c r="BH33" s="35">
        <f>SUMIF('Resource Demand - Activity'!$FT:$FT,Example!$G33,'Resource Demand - Activity'!BC:BC)</f>
        <v>0</v>
      </c>
      <c r="BI33" s="35">
        <f>SUMIF('Resource Demand - Activity'!$FT:$FT,Example!$G33,'Resource Demand - Activity'!BD:BD)</f>
        <v>0</v>
      </c>
      <c r="BJ33" s="35">
        <f>SUMIF('Resource Demand - Activity'!$FT:$FT,Example!$G33,'Resource Demand - Activity'!BE:BE)</f>
        <v>0</v>
      </c>
      <c r="BK33" s="35">
        <f>SUMIF('Resource Demand - Activity'!$FT:$FT,Example!$G33,'Resource Demand - Activity'!BF:BF)</f>
        <v>0</v>
      </c>
      <c r="BL33" s="35">
        <f>SUMIF('Resource Demand - Activity'!$FT:$FT,Example!$G33,'Resource Demand - Activity'!BG:BG)</f>
        <v>0</v>
      </c>
      <c r="BM33" s="35">
        <f>SUMIF('Resource Demand - Activity'!$FT:$FT,Example!$G33,'Resource Demand - Activity'!BH:BH)</f>
        <v>0</v>
      </c>
      <c r="BN33" s="35">
        <f>SUMIF('Resource Demand - Activity'!$FT:$FT,Example!$G33,'Resource Demand - Activity'!BI:BI)</f>
        <v>0</v>
      </c>
      <c r="BO33" s="35">
        <f>SUMIF('Resource Demand - Activity'!$FT:$FT,Example!$G33,'Resource Demand - Activity'!BJ:BJ)</f>
        <v>0</v>
      </c>
      <c r="BP33" s="35">
        <f>SUMIF('Resource Demand - Activity'!$FT:$FT,Example!$G33,'Resource Demand - Activity'!BK:BK)</f>
        <v>0</v>
      </c>
      <c r="BQ33" s="35">
        <f>SUMIF('Resource Demand - Activity'!$FT:$FT,Example!$G33,'Resource Demand - Activity'!BL:BL)</f>
        <v>0</v>
      </c>
      <c r="BR33" s="35">
        <f>SUMIF('Resource Demand - Activity'!$FT:$FT,Example!$G33,'Resource Demand - Activity'!BM:BM)</f>
        <v>0</v>
      </c>
      <c r="BS33" s="35">
        <f>SUMIF('Resource Demand - Activity'!$FT:$FT,Example!$G33,'Resource Demand - Activity'!BN:BN)</f>
        <v>0</v>
      </c>
      <c r="BT33" s="35">
        <f>SUMIF('Resource Demand - Activity'!$FT:$FT,Example!$G33,'Resource Demand - Activity'!BO:BO)</f>
        <v>0</v>
      </c>
      <c r="BU33" s="35">
        <f>SUMIF('Resource Demand - Activity'!$FT:$FT,Example!$G33,'Resource Demand - Activity'!BP:BP)</f>
        <v>0</v>
      </c>
      <c r="BV33" s="35">
        <f>SUMIF('Resource Demand - Activity'!$FT:$FT,Example!$G33,'Resource Demand - Activity'!BQ:BQ)</f>
        <v>0</v>
      </c>
      <c r="BW33" s="35">
        <f>SUMIF('Resource Demand - Activity'!$FT:$FT,Example!$G33,'Resource Demand - Activity'!BR:BR)</f>
        <v>0</v>
      </c>
      <c r="BX33" s="35">
        <f>SUMIF('Resource Demand - Activity'!$FT:$FT,Example!$G33,'Resource Demand - Activity'!BS:BS)</f>
        <v>0</v>
      </c>
      <c r="BY33" s="35">
        <f>SUMIF('Resource Demand - Activity'!$FT:$FT,Example!$G33,'Resource Demand - Activity'!BT:BT)</f>
        <v>0</v>
      </c>
      <c r="BZ33" s="35">
        <f>SUMIF('Resource Demand - Activity'!$FT:$FT,Example!$G33,'Resource Demand - Activity'!BU:BU)</f>
        <v>0</v>
      </c>
      <c r="CA33" s="35">
        <f>SUMIF('Resource Demand - Activity'!$FT:$FT,Example!$G33,'Resource Demand - Activity'!BV:BV)</f>
        <v>0</v>
      </c>
      <c r="CB33" s="35">
        <f>SUMIF('Resource Demand - Activity'!$FT:$FT,Example!$G33,'Resource Demand - Activity'!BW:BW)</f>
        <v>0</v>
      </c>
      <c r="CC33" s="35">
        <f>SUMIF('Resource Demand - Activity'!$FT:$FT,Example!$G33,'Resource Demand - Activity'!BX:BX)</f>
        <v>0</v>
      </c>
      <c r="CD33" s="35">
        <f>SUMIF('Resource Demand - Activity'!$FT:$FT,Example!$G33,'Resource Demand - Activity'!BY:BY)</f>
        <v>0</v>
      </c>
      <c r="CE33" s="35">
        <f>SUMIF('Resource Demand - Activity'!$FT:$FT,Example!$G33,'Resource Demand - Activity'!BZ:BZ)</f>
        <v>0</v>
      </c>
      <c r="CF33" s="35">
        <f>SUMIF('Resource Demand - Activity'!$FT:$FT,Example!$G33,'Resource Demand - Activity'!CA:CA)</f>
        <v>0</v>
      </c>
      <c r="CG33" s="35">
        <f>SUMIF('Resource Demand - Activity'!$FT:$FT,Example!$G33,'Resource Demand - Activity'!CB:CB)</f>
        <v>0</v>
      </c>
      <c r="CH33" s="35">
        <f>SUMIF('Resource Demand - Activity'!$FT:$FT,Example!$G33,'Resource Demand - Activity'!CC:CC)</f>
        <v>0</v>
      </c>
      <c r="CI33" s="35">
        <f>SUMIF('Resource Demand - Activity'!$FT:$FT,Example!$G33,'Resource Demand - Activity'!CD:CD)</f>
        <v>0</v>
      </c>
      <c r="CJ33" s="35">
        <f>SUMIF('Resource Demand - Activity'!$FT:$FT,Example!$G33,'Resource Demand - Activity'!CE:CE)</f>
        <v>0</v>
      </c>
      <c r="CK33" s="35">
        <f>SUMIF('Resource Demand - Activity'!$FT:$FT,Example!$G33,'Resource Demand - Activity'!CF:CF)</f>
        <v>0</v>
      </c>
      <c r="CL33" s="35">
        <f>SUMIF('Resource Demand - Activity'!$FT:$FT,Example!$G33,'Resource Demand - Activity'!CG:CG)</f>
        <v>0</v>
      </c>
      <c r="CM33" s="35">
        <f>SUMIF('Resource Demand - Activity'!$FT:$FT,Example!$G33,'Resource Demand - Activity'!CH:CH)</f>
        <v>0</v>
      </c>
      <c r="CN33" s="35">
        <f>SUMIF('Resource Demand - Activity'!$FT:$FT,Example!$G33,'Resource Demand - Activity'!CI:CI)</f>
        <v>0</v>
      </c>
      <c r="CO33" s="35">
        <f>SUMIF('Resource Demand - Activity'!$FT:$FT,Example!$G33,'Resource Demand - Activity'!CJ:CJ)</f>
        <v>0</v>
      </c>
      <c r="CP33" s="35">
        <f>SUMIF('Resource Demand - Activity'!$FT:$FT,Example!$G33,'Resource Demand - Activity'!CK:CK)</f>
        <v>0</v>
      </c>
      <c r="CQ33" s="35">
        <f>SUMIF('Resource Demand - Activity'!$FT:$FT,Example!$G33,'Resource Demand - Activity'!CL:CL)</f>
        <v>0.6</v>
      </c>
      <c r="CR33" s="35">
        <f>SUMIF('Resource Demand - Activity'!$FT:$FT,Example!$G33,'Resource Demand - Activity'!CM:CM)</f>
        <v>0.6</v>
      </c>
      <c r="CS33" s="35">
        <f>SUMIF('Resource Demand - Activity'!$FT:$FT,Example!$G33,'Resource Demand - Activity'!CN:CN)</f>
        <v>0.6</v>
      </c>
      <c r="CT33" s="35">
        <f>SUMIF('Resource Demand - Activity'!$FT:$FT,Example!$G33,'Resource Demand - Activity'!CO:CO)</f>
        <v>0.6</v>
      </c>
      <c r="CU33" s="35">
        <f>SUMIF('Resource Demand - Activity'!$FT:$FT,Example!$G33,'Resource Demand - Activity'!CP:CP)</f>
        <v>0.6</v>
      </c>
      <c r="CV33" s="35">
        <f>SUMIF('Resource Demand - Activity'!$FT:$FT,Example!$G33,'Resource Demand - Activity'!CQ:CQ)</f>
        <v>0.8</v>
      </c>
      <c r="CW33" s="35">
        <f>SUMIF('Resource Demand - Activity'!$FT:$FT,Example!$G33,'Resource Demand - Activity'!CR:CR)</f>
        <v>0.5</v>
      </c>
      <c r="CX33" s="35">
        <f>SUMIF('Resource Demand - Activity'!$FT:$FT,Example!$G33,'Resource Demand - Activity'!CS:CS)</f>
        <v>0</v>
      </c>
      <c r="CY33" s="36"/>
      <c r="CZ33" s="35">
        <f>SUMIF('Resource Demand - Activity'!$FT:$FT,Example!$G33,'Resource Demand - Activity'!CU:CU)</f>
        <v>0.6</v>
      </c>
      <c r="DA33" s="35">
        <f>SUMIF('Resource Demand - Activity'!$FT:$FT,Example!$G33,'Resource Demand - Activity'!CV:CV)</f>
        <v>0.6</v>
      </c>
      <c r="DB33" s="35">
        <f>SUMIF('Resource Demand - Activity'!$FT:$FT,Example!$G33,'Resource Demand - Activity'!CW:CW)</f>
        <v>0.8</v>
      </c>
      <c r="DC33" s="35">
        <f>SUMIF('Resource Demand - Activity'!$FT:$FT,Example!$G33,'Resource Demand - Activity'!CX:CX)</f>
        <v>0</v>
      </c>
      <c r="DD33" s="35">
        <f>SUMIF('Resource Demand - Activity'!$FT:$FT,Example!$G33,'Resource Demand - Activity'!CY:CY)</f>
        <v>0</v>
      </c>
      <c r="DE33" s="36"/>
      <c r="DF33" s="36"/>
      <c r="DG33" s="35">
        <f>SUMIF('Resource Demand - Activity'!$FT:$FT,Example!$G33,'Resource Demand - Activity'!DB:DB)</f>
        <v>0.5</v>
      </c>
      <c r="DH33" s="35">
        <f>SUMIF('Resource Demand - Activity'!$FT:$FT,Example!$G33,'Resource Demand - Activity'!DC:DC)</f>
        <v>0.5</v>
      </c>
      <c r="DI33" s="35">
        <f>SUMIF('Resource Demand - Activity'!$FT:$FT,Example!$G33,'Resource Demand - Activity'!DD:DD)</f>
        <v>0.7</v>
      </c>
      <c r="DJ33" s="35">
        <f>SUMIF('Resource Demand - Activity'!$FT:$FT,Example!$G33,'Resource Demand - Activity'!DE:DE)</f>
        <v>0</v>
      </c>
      <c r="DK33" s="35">
        <f>SUMIF('Resource Demand - Activity'!$FT:$FT,Example!$G33,'Resource Demand - Activity'!DF:DF)</f>
        <v>0</v>
      </c>
      <c r="DL33" s="35">
        <f>SUMIF('Resource Demand - Activity'!$FT:$FT,Example!$G33,'Resource Demand - Activity'!DG:DG)</f>
        <v>0</v>
      </c>
      <c r="DM33" s="35">
        <f>SUMIF('Resource Demand - Activity'!$FT:$FT,Example!$G33,'Resource Demand - Activity'!DH:DH)</f>
        <v>0</v>
      </c>
      <c r="DN33" s="35">
        <f>SUMIF('Resource Demand - Activity'!$FT:$FT,Example!$G33,'Resource Demand - Activity'!DI:DI)</f>
        <v>0</v>
      </c>
      <c r="DO33" s="35">
        <f>SUMIF('Resource Demand - Activity'!$FT:$FT,Example!$G33,'Resource Demand - Activity'!DJ:DJ)</f>
        <v>0</v>
      </c>
      <c r="DP33" s="35">
        <f>SUMIF('Resource Demand - Activity'!$FT:$FT,Example!$G33,'Resource Demand - Activity'!DK:DK)</f>
        <v>0</v>
      </c>
      <c r="DQ33" s="35">
        <f>SUMIF('Resource Demand - Activity'!$FT:$FT,Example!$G33,'Resource Demand - Activity'!DL:DL)</f>
        <v>0</v>
      </c>
      <c r="DR33" s="35">
        <f>SUMIF('Resource Demand - Activity'!$FT:$FT,Example!$G33,'Resource Demand - Activity'!DM:DM)</f>
        <v>0</v>
      </c>
      <c r="DS33" s="35">
        <f>SUMIF('Resource Demand - Activity'!$FT:$FT,Example!$G33,'Resource Demand - Activity'!DN:DN)</f>
        <v>0</v>
      </c>
      <c r="DT33" s="35">
        <f>SUMIF('Resource Demand - Activity'!$FT:$FT,Example!$G33,'Resource Demand - Activity'!DO:DO)</f>
        <v>0</v>
      </c>
      <c r="DU33" s="35">
        <f>SUMIF('Resource Demand - Activity'!$FT:$FT,Example!$G33,'Resource Demand - Activity'!DP:DP)</f>
        <v>0</v>
      </c>
      <c r="DV33" s="35">
        <f>SUMIF('Resource Demand - Activity'!$FT:$FT,Example!$G33,'Resource Demand - Activity'!DQ:DQ)</f>
        <v>0</v>
      </c>
      <c r="DW33" s="35">
        <f>SUMIF('Resource Demand - Activity'!$FT:$FT,Example!$G33,'Resource Demand - Activity'!DR:DR)</f>
        <v>0</v>
      </c>
      <c r="DX33" s="35">
        <f>SUMIF('Resource Demand - Activity'!$FT:$FT,Example!$G33,'Resource Demand - Activity'!DS:DS)</f>
        <v>0</v>
      </c>
      <c r="DY33" s="35">
        <f>SUMIF('Resource Demand - Activity'!$FT:$FT,Example!$G33,'Resource Demand - Activity'!DT:DT)</f>
        <v>0</v>
      </c>
      <c r="DZ33" s="35">
        <f>SUMIF('Resource Demand - Activity'!$FT:$FT,Example!$G33,'Resource Demand - Activity'!DU:DU)</f>
        <v>0</v>
      </c>
      <c r="EA33" s="35">
        <f>SUMIF('Resource Demand - Activity'!$FT:$FT,Example!$G33,'Resource Demand - Activity'!DV:DV)</f>
        <v>0</v>
      </c>
      <c r="EB33" s="35">
        <f>SUMIF('Resource Demand - Activity'!$FT:$FT,Example!$G33,'Resource Demand - Activity'!DW:DW)</f>
        <v>0</v>
      </c>
      <c r="EC33" s="35">
        <f>SUMIF('Resource Demand - Activity'!$FT:$FT,Example!$G33,'Resource Demand - Activity'!DX:DX)</f>
        <v>0</v>
      </c>
      <c r="ED33" s="35">
        <f>SUMIF('Resource Demand - Activity'!$FT:$FT,Example!$G33,'Resource Demand - Activity'!DY:DY)</f>
        <v>0</v>
      </c>
      <c r="EE33" s="36"/>
      <c r="EF33" s="35">
        <f>SUMIF('Resource Demand - Activity'!$FT:$FT,Example!$G33,'Resource Demand - Activity'!EA:EA)</f>
        <v>1</v>
      </c>
      <c r="EG33" s="35">
        <f>SUMIF('Resource Demand - Activity'!$FT:$FT,Example!$G33,'Resource Demand - Activity'!EB:EB)</f>
        <v>1</v>
      </c>
      <c r="EH33" s="35">
        <f>SUMIF('Resource Demand - Activity'!$FT:$FT,Example!$G33,'Resource Demand - Activity'!EC:EC)</f>
        <v>1</v>
      </c>
      <c r="EI33" s="35">
        <f>SUMIF('Resource Demand - Activity'!$FT:$FT,Example!$G33,'Resource Demand - Activity'!ED:ED)</f>
        <v>1</v>
      </c>
      <c r="EJ33" s="35">
        <f>SUMIF('Resource Demand - Activity'!$FT:$FT,Example!$G33,'Resource Demand - Activity'!EE:EE)</f>
        <v>1</v>
      </c>
      <c r="EK33" s="35">
        <f>SUMIF('Resource Demand - Activity'!$FT:$FT,Example!$G33,'Resource Demand - Activity'!EF:EF)</f>
        <v>1</v>
      </c>
      <c r="EL33" s="35">
        <f>SUMIF('Resource Demand - Activity'!$FT:$FT,Example!$G33,'Resource Demand - Activity'!EG:EG)</f>
        <v>0</v>
      </c>
      <c r="EM33" s="35">
        <f>SUMIF('Resource Demand - Activity'!$FT:$FT,Example!$G33,'Resource Demand - Activity'!EH:EH)</f>
        <v>0</v>
      </c>
      <c r="EN33" s="35">
        <f>SUMIF('Resource Demand - Activity'!$FT:$FT,Example!$G33,'Resource Demand - Activity'!EI:EI)</f>
        <v>0</v>
      </c>
      <c r="EO33" s="35">
        <f>SUMIF('Resource Demand - Activity'!$FT:$FT,Example!$G33,'Resource Demand - Activity'!EJ:EJ)</f>
        <v>0</v>
      </c>
      <c r="EP33" s="35">
        <f>SUMIF('Resource Demand - Activity'!$FT:$FT,Example!$G33,'Resource Demand - Activity'!EK:EK)</f>
        <v>0</v>
      </c>
      <c r="EQ33" s="35">
        <f>SUMIF('Resource Demand - Activity'!$FT:$FT,Example!$G33,'Resource Demand - Activity'!EL:EL)</f>
        <v>0</v>
      </c>
      <c r="ER33" s="35">
        <f>SUMIF('Resource Demand - Activity'!$FT:$FT,Example!$G33,'Resource Demand - Activity'!EM:EM)</f>
        <v>0</v>
      </c>
      <c r="ES33" s="35">
        <f>SUMIF('Resource Demand - Activity'!$FT:$FT,Example!$G33,'Resource Demand - Activity'!EN:EN)</f>
        <v>0</v>
      </c>
      <c r="ET33" s="35">
        <f>SUMIF('Resource Demand - Activity'!$FT:$FT,Example!$G33,'Resource Demand - Activity'!EO:EO)</f>
        <v>0</v>
      </c>
      <c r="EU33" s="35">
        <f>SUMIF('Resource Demand - Activity'!$FT:$FT,Example!$G33,'Resource Demand - Activity'!EP:EP)</f>
        <v>0</v>
      </c>
      <c r="EV33" s="35">
        <f>SUMIF('Resource Demand - Activity'!$FT:$FT,Example!$G33,'Resource Demand - Activity'!EQ:EQ)</f>
        <v>0</v>
      </c>
      <c r="EW33" s="35">
        <f>SUMIF('Resource Demand - Activity'!$FT:$FT,Example!$G33,'Resource Demand - Activity'!ER:ER)</f>
        <v>0</v>
      </c>
      <c r="EX33" s="35">
        <f>SUMIF('Resource Demand - Activity'!$FT:$FT,Example!$G33,'Resource Demand - Activity'!ES:ES)</f>
        <v>0</v>
      </c>
      <c r="EY33" s="35">
        <f>SUMIF('Resource Demand - Activity'!$FT:$FT,Example!$G33,'Resource Demand - Activity'!ET:ET)</f>
        <v>0</v>
      </c>
      <c r="EZ33" s="35">
        <f>SUMIF('Resource Demand - Activity'!$FT:$FT,Example!$G33,'Resource Demand - Activity'!EU:EU)</f>
        <v>0</v>
      </c>
      <c r="FA33" s="35">
        <f>SUMIF('Resource Demand - Activity'!$FT:$FT,Example!$G33,'Resource Demand - Activity'!EV:EV)</f>
        <v>0</v>
      </c>
      <c r="FB33" s="35">
        <f>SUMIF('Resource Demand - Activity'!$FT:$FT,Example!$G33,'Resource Demand - Activity'!EW:EW)</f>
        <v>0</v>
      </c>
      <c r="FC33" s="35">
        <f>SUMIF('Resource Demand - Activity'!$FT:$FT,Example!$G33,'Resource Demand - Activity'!EX:EX)</f>
        <v>0</v>
      </c>
      <c r="FD33" s="36"/>
      <c r="FE33" s="35">
        <f>SUMIF('Resource Demand - Activity'!$FT:$FT,Example!$G33,'Resource Demand - Activity'!EZ:EZ)</f>
        <v>0</v>
      </c>
      <c r="FF33" s="35">
        <f>SUMIF('Resource Demand - Activity'!$FT:$FT,Example!$G33,'Resource Demand - Activity'!FA:FA)</f>
        <v>0</v>
      </c>
      <c r="FG33" s="35">
        <f>SUMIF('Resource Demand - Activity'!$FT:$FT,Example!$G33,'Resource Demand - Activity'!FB:FB)</f>
        <v>0</v>
      </c>
      <c r="FH33" s="35">
        <f>SUMIF('Resource Demand - Activity'!$FT:$FT,Example!$G33,'Resource Demand - Activity'!FC:FC)</f>
        <v>0</v>
      </c>
      <c r="FI33" s="35">
        <f>SUMIF('Resource Demand - Activity'!$FT:$FT,Example!$G33,'Resource Demand - Activity'!FD:FD)</f>
        <v>0</v>
      </c>
      <c r="FJ33" s="35">
        <f>SUMIF('Resource Demand - Activity'!$FT:$FT,Example!$G33,'Resource Demand - Activity'!FE:FE)</f>
        <v>0</v>
      </c>
      <c r="FK33" s="35">
        <f>SUMIF('Resource Demand - Activity'!$FT:$FT,Example!$G33,'Resource Demand - Activity'!FF:FF)</f>
        <v>0</v>
      </c>
      <c r="FL33" s="35">
        <f>SUMIF('Resource Demand - Activity'!$FT:$FT,Example!$G33,'Resource Demand - Activity'!FG:FG)</f>
        <v>0</v>
      </c>
      <c r="FM33" s="35">
        <f>SUMIF('Resource Demand - Activity'!$FT:$FT,Example!$G33,'Resource Demand - Activity'!FH:FH)</f>
        <v>0</v>
      </c>
      <c r="FN33" s="35">
        <f>SUMIF('Resource Demand - Activity'!$FT:$FT,Example!$G33,'Resource Demand - Activity'!FI:FI)</f>
        <v>0</v>
      </c>
      <c r="FO33" s="35">
        <f>SUMIF('Resource Demand - Activity'!$FT:$FT,Example!$G33,'Resource Demand - Activity'!FJ:FJ)</f>
        <v>0</v>
      </c>
      <c r="FP33" s="35">
        <f>SUMIF('Resource Demand - Activity'!$FT:$FT,Example!$G33,'Resource Demand - Activity'!FK:FK)</f>
        <v>0</v>
      </c>
      <c r="FQ33" s="35">
        <f>SUMIF('Resource Demand - Activity'!$FT:$FT,Example!$G33,'Resource Demand - Activity'!FL:FL)</f>
        <v>0</v>
      </c>
      <c r="FR33" s="35">
        <f>SUMIF('Resource Demand - Activity'!$FT:$FT,Example!$G33,'Resource Demand - Activity'!FM:FM)</f>
        <v>0</v>
      </c>
      <c r="FS33" s="35">
        <f>SUMIF('Resource Demand - Activity'!$FT:$FT,Example!$G33,'Resource Demand - Activity'!FN:FN)</f>
        <v>0</v>
      </c>
      <c r="FT33" s="35">
        <f>SUMIF('Resource Demand - Activity'!$FT:$FT,Example!$G33,'Resource Demand - Activity'!FO:FO)</f>
        <v>0</v>
      </c>
      <c r="FU33" s="35">
        <f>SUMIF('Resource Demand - Activity'!$FT:$FT,Example!$G33,'Resource Demand - Activity'!FP:FP)</f>
        <v>0</v>
      </c>
      <c r="FV33" s="52">
        <f>SUMIF('Resource Demand - Activity'!$FT:$FT,Example!$G33,'Resource Demand - Activity'!FQ:FQ)</f>
        <v>0</v>
      </c>
    </row>
    <row r="34" spans="2:178" s="1" customFormat="1" ht="12" customHeight="1">
      <c r="B34" s="58"/>
      <c r="C34" s="58"/>
      <c r="D34" s="58"/>
      <c r="E34" s="58"/>
      <c r="G34" s="64" t="str">
        <f t="shared" si="3"/>
        <v>12. FDS Release 4 12.12 FDS Release 4 - Ireland E2E Dry Run (inc Annual) Glenn Kirk</v>
      </c>
      <c r="H34" s="4" t="s">
        <v>190</v>
      </c>
      <c r="I34" s="59" t="str">
        <f>INDEX('Resource Demand - Activity'!C:C,MATCH(Example!G34,'Resource Demand - Activity'!FT:FT,0))</f>
        <v>17 days</v>
      </c>
      <c r="J34" s="53">
        <f>SUMIF('Resource Demand - Activity'!$FT:$FT,Example!$G34,'Resource Demand - Activity'!E:E)</f>
        <v>0</v>
      </c>
      <c r="K34" s="54">
        <f>SUMIF('Resource Demand - Activity'!$FT:$FT,Example!$G34,'Resource Demand - Activity'!F:F)</f>
        <v>0</v>
      </c>
      <c r="L34" s="54">
        <f>SUMIF('Resource Demand - Activity'!$FT:$FT,Example!$G34,'Resource Demand - Activity'!G:G)</f>
        <v>0</v>
      </c>
      <c r="M34" s="54">
        <f>SUMIF('Resource Demand - Activity'!$FT:$FT,Example!$G34,'Resource Demand - Activity'!H:H)</f>
        <v>0</v>
      </c>
      <c r="N34" s="54">
        <f>SUMIF('Resource Demand - Activity'!$FT:$FT,Example!$G34,'Resource Demand - Activity'!I:I)</f>
        <v>0</v>
      </c>
      <c r="O34" s="54">
        <f>SUMIF('Resource Demand - Activity'!$FT:$FT,Example!$G34,'Resource Demand - Activity'!J:J)</f>
        <v>0</v>
      </c>
      <c r="P34" s="54">
        <f>SUMIF('Resource Demand - Activity'!$FT:$FT,Example!$G34,'Resource Demand - Activity'!K:K)</f>
        <v>0</v>
      </c>
      <c r="Q34" s="54">
        <f>SUMIF('Resource Demand - Activity'!$FT:$FT,Example!$G34,'Resource Demand - Activity'!L:L)</f>
        <v>0</v>
      </c>
      <c r="R34" s="54">
        <f>SUMIF('Resource Demand - Activity'!$FT:$FT,Example!$G34,'Resource Demand - Activity'!M:M)</f>
        <v>0</v>
      </c>
      <c r="S34" s="54">
        <f>SUMIF('Resource Demand - Activity'!$FT:$FT,Example!$G34,'Resource Demand - Activity'!N:N)</f>
        <v>0</v>
      </c>
      <c r="T34" s="54">
        <f>SUMIF('Resource Demand - Activity'!$FT:$FT,Example!$G34,'Resource Demand - Activity'!O:O)</f>
        <v>0</v>
      </c>
      <c r="U34" s="54">
        <f>SUMIF('Resource Demand - Activity'!$FT:$FT,Example!$G34,'Resource Demand - Activity'!P:P)</f>
        <v>0</v>
      </c>
      <c r="V34" s="54">
        <f>SUMIF('Resource Demand - Activity'!$FT:$FT,Example!$G34,'Resource Demand - Activity'!Q:Q)</f>
        <v>0</v>
      </c>
      <c r="W34" s="54">
        <f>SUMIF('Resource Demand - Activity'!$FT:$FT,Example!$G34,'Resource Demand - Activity'!R:R)</f>
        <v>0</v>
      </c>
      <c r="X34" s="54">
        <f>SUMIF('Resource Demand - Activity'!$FT:$FT,Example!$G34,'Resource Demand - Activity'!S:S)</f>
        <v>0</v>
      </c>
      <c r="Y34" s="54">
        <f>SUMIF('Resource Demand - Activity'!$FT:$FT,Example!$G34,'Resource Demand - Activity'!T:T)</f>
        <v>0</v>
      </c>
      <c r="Z34" s="54">
        <f>SUMIF('Resource Demand - Activity'!$FT:$FT,Example!$G34,'Resource Demand - Activity'!U:U)</f>
        <v>0</v>
      </c>
      <c r="AA34" s="54">
        <f>SUMIF('Resource Demand - Activity'!$FT:$FT,Example!$G34,'Resource Demand - Activity'!V:V)</f>
        <v>0</v>
      </c>
      <c r="AB34" s="54">
        <f>SUMIF('Resource Demand - Activity'!$FT:$FT,Example!$G34,'Resource Demand - Activity'!W:W)</f>
        <v>0</v>
      </c>
      <c r="AC34" s="54">
        <f>SUMIF('Resource Demand - Activity'!$FT:$FT,Example!$G34,'Resource Demand - Activity'!X:X)</f>
        <v>0</v>
      </c>
      <c r="AD34" s="54">
        <f>SUMIF('Resource Demand - Activity'!$FT:$FT,Example!$G34,'Resource Demand - Activity'!Y:Y)</f>
        <v>0</v>
      </c>
      <c r="AE34" s="54">
        <f>SUMIF('Resource Demand - Activity'!$FT:$FT,Example!$G34,'Resource Demand - Activity'!Z:Z)</f>
        <v>0</v>
      </c>
      <c r="AF34" s="54">
        <f>SUMIF('Resource Demand - Activity'!$FT:$FT,Example!$G34,'Resource Demand - Activity'!AA:AA)</f>
        <v>0</v>
      </c>
      <c r="AG34" s="54">
        <f>SUMIF('Resource Demand - Activity'!$FT:$FT,Example!$G34,'Resource Demand - Activity'!AB:AB)</f>
        <v>0</v>
      </c>
      <c r="AH34" s="54">
        <f>SUMIF('Resource Demand - Activity'!$FT:$FT,Example!$G34,'Resource Demand - Activity'!AC:AC)</f>
        <v>0</v>
      </c>
      <c r="AI34" s="54">
        <f>SUMIF('Resource Demand - Activity'!$FT:$FT,Example!$G34,'Resource Demand - Activity'!AD:AD)</f>
        <v>0</v>
      </c>
      <c r="AJ34" s="54">
        <f>SUMIF('Resource Demand - Activity'!$FT:$FT,Example!$G34,'Resource Demand - Activity'!AE:AE)</f>
        <v>0</v>
      </c>
      <c r="AK34" s="54">
        <f>SUMIF('Resource Demand - Activity'!$FT:$FT,Example!$G34,'Resource Demand - Activity'!AF:AF)</f>
        <v>0</v>
      </c>
      <c r="AL34" s="54">
        <f>SUMIF('Resource Demand - Activity'!$FT:$FT,Example!$G34,'Resource Demand - Activity'!AG:AG)</f>
        <v>0</v>
      </c>
      <c r="AM34" s="54">
        <f>SUMIF('Resource Demand - Activity'!$FT:$FT,Example!$G34,'Resource Demand - Activity'!AH:AH)</f>
        <v>0</v>
      </c>
      <c r="AN34" s="54">
        <f>SUMIF('Resource Demand - Activity'!$FT:$FT,Example!$G34,'Resource Demand - Activity'!AI:AI)</f>
        <v>0</v>
      </c>
      <c r="AO34" s="54">
        <f>SUMIF('Resource Demand - Activity'!$FT:$FT,Example!$G34,'Resource Demand - Activity'!AJ:AJ)</f>
        <v>0</v>
      </c>
      <c r="AP34" s="54">
        <f>SUMIF('Resource Demand - Activity'!$FT:$FT,Example!$G34,'Resource Demand - Activity'!AK:AK)</f>
        <v>0</v>
      </c>
      <c r="AQ34" s="36"/>
      <c r="AR34" s="36"/>
      <c r="AS34" s="36"/>
      <c r="AT34" s="36"/>
      <c r="AU34" s="36"/>
      <c r="AV34" s="36"/>
      <c r="AW34" s="36"/>
      <c r="AX34" s="35">
        <f>SUMIF('Resource Demand - Activity'!$FT:$FT,Example!$G34,'Resource Demand - Activity'!AS:AS)</f>
        <v>0</v>
      </c>
      <c r="AY34" s="54">
        <f>SUMIF('Resource Demand - Activity'!$FT:$FT,Example!$G34,'Resource Demand - Activity'!AT:AT)</f>
        <v>0</v>
      </c>
      <c r="AZ34" s="54">
        <f>SUMIF('Resource Demand - Activity'!$FT:$FT,Example!$G34,'Resource Demand - Activity'!AU:AU)</f>
        <v>0</v>
      </c>
      <c r="BA34" s="54">
        <f>SUMIF('Resource Demand - Activity'!$FT:$FT,Example!$G34,'Resource Demand - Activity'!AV:AV)</f>
        <v>0</v>
      </c>
      <c r="BB34" s="54">
        <f>SUMIF('Resource Demand - Activity'!$FT:$FT,Example!$G34,'Resource Demand - Activity'!AW:AW)</f>
        <v>0</v>
      </c>
      <c r="BC34" s="54">
        <f>SUMIF('Resource Demand - Activity'!$FT:$FT,Example!$G34,'Resource Demand - Activity'!AX:AX)</f>
        <v>0</v>
      </c>
      <c r="BD34" s="54">
        <f>SUMIF('Resource Demand - Activity'!$FT:$FT,Example!$G34,'Resource Demand - Activity'!AY:AY)</f>
        <v>0</v>
      </c>
      <c r="BE34" s="54">
        <f>SUMIF('Resource Demand - Activity'!$FT:$FT,Example!$G34,'Resource Demand - Activity'!AZ:AZ)</f>
        <v>0</v>
      </c>
      <c r="BF34" s="54">
        <f>SUMIF('Resource Demand - Activity'!$FT:$FT,Example!$G34,'Resource Demand - Activity'!BA:BA)</f>
        <v>0</v>
      </c>
      <c r="BG34" s="54">
        <f>SUMIF('Resource Demand - Activity'!$FT:$FT,Example!$G34,'Resource Demand - Activity'!BB:BB)</f>
        <v>0</v>
      </c>
      <c r="BH34" s="54">
        <f>SUMIF('Resource Demand - Activity'!$FT:$FT,Example!$G34,'Resource Demand - Activity'!BC:BC)</f>
        <v>0</v>
      </c>
      <c r="BI34" s="54">
        <f>SUMIF('Resource Demand - Activity'!$FT:$FT,Example!$G34,'Resource Demand - Activity'!BD:BD)</f>
        <v>0</v>
      </c>
      <c r="BJ34" s="54">
        <f>SUMIF('Resource Demand - Activity'!$FT:$FT,Example!$G34,'Resource Demand - Activity'!BE:BE)</f>
        <v>0</v>
      </c>
      <c r="BK34" s="54">
        <f>SUMIF('Resource Demand - Activity'!$FT:$FT,Example!$G34,'Resource Demand - Activity'!BF:BF)</f>
        <v>0</v>
      </c>
      <c r="BL34" s="54">
        <f>SUMIF('Resource Demand - Activity'!$FT:$FT,Example!$G34,'Resource Demand - Activity'!BG:BG)</f>
        <v>0</v>
      </c>
      <c r="BM34" s="54">
        <f>SUMIF('Resource Demand - Activity'!$FT:$FT,Example!$G34,'Resource Demand - Activity'!BH:BH)</f>
        <v>0</v>
      </c>
      <c r="BN34" s="54">
        <f>SUMIF('Resource Demand - Activity'!$FT:$FT,Example!$G34,'Resource Demand - Activity'!BI:BI)</f>
        <v>0</v>
      </c>
      <c r="BO34" s="54">
        <f>SUMIF('Resource Demand - Activity'!$FT:$FT,Example!$G34,'Resource Demand - Activity'!BJ:BJ)</f>
        <v>0</v>
      </c>
      <c r="BP34" s="54">
        <f>SUMIF('Resource Demand - Activity'!$FT:$FT,Example!$G34,'Resource Demand - Activity'!BK:BK)</f>
        <v>0</v>
      </c>
      <c r="BQ34" s="54">
        <f>SUMIF('Resource Demand - Activity'!$FT:$FT,Example!$G34,'Resource Demand - Activity'!BL:BL)</f>
        <v>0</v>
      </c>
      <c r="BR34" s="54">
        <f>SUMIF('Resource Demand - Activity'!$FT:$FT,Example!$G34,'Resource Demand - Activity'!BM:BM)</f>
        <v>0</v>
      </c>
      <c r="BS34" s="54">
        <f>SUMIF('Resource Demand - Activity'!$FT:$FT,Example!$G34,'Resource Demand - Activity'!BN:BN)</f>
        <v>0</v>
      </c>
      <c r="BT34" s="54">
        <f>SUMIF('Resource Demand - Activity'!$FT:$FT,Example!$G34,'Resource Demand - Activity'!BO:BO)</f>
        <v>0</v>
      </c>
      <c r="BU34" s="54">
        <f>SUMIF('Resource Demand - Activity'!$FT:$FT,Example!$G34,'Resource Demand - Activity'!BP:BP)</f>
        <v>0</v>
      </c>
      <c r="BV34" s="54">
        <f>SUMIF('Resource Demand - Activity'!$FT:$FT,Example!$G34,'Resource Demand - Activity'!BQ:BQ)</f>
        <v>0</v>
      </c>
      <c r="BW34" s="54">
        <f>SUMIF('Resource Demand - Activity'!$FT:$FT,Example!$G34,'Resource Demand - Activity'!BR:BR)</f>
        <v>0</v>
      </c>
      <c r="BX34" s="54">
        <f>SUMIF('Resource Demand - Activity'!$FT:$FT,Example!$G34,'Resource Demand - Activity'!BS:BS)</f>
        <v>0</v>
      </c>
      <c r="BY34" s="54">
        <f>SUMIF('Resource Demand - Activity'!$FT:$FT,Example!$G34,'Resource Demand - Activity'!BT:BT)</f>
        <v>0</v>
      </c>
      <c r="BZ34" s="54">
        <f>SUMIF('Resource Demand - Activity'!$FT:$FT,Example!$G34,'Resource Demand - Activity'!BU:BU)</f>
        <v>0</v>
      </c>
      <c r="CA34" s="54">
        <f>SUMIF('Resource Demand - Activity'!$FT:$FT,Example!$G34,'Resource Demand - Activity'!BV:BV)</f>
        <v>0</v>
      </c>
      <c r="CB34" s="54">
        <f>SUMIF('Resource Demand - Activity'!$FT:$FT,Example!$G34,'Resource Demand - Activity'!BW:BW)</f>
        <v>0</v>
      </c>
      <c r="CC34" s="54">
        <f>SUMIF('Resource Demand - Activity'!$FT:$FT,Example!$G34,'Resource Demand - Activity'!BX:BX)</f>
        <v>0</v>
      </c>
      <c r="CD34" s="54">
        <f>SUMIF('Resource Demand - Activity'!$FT:$FT,Example!$G34,'Resource Demand - Activity'!BY:BY)</f>
        <v>0</v>
      </c>
      <c r="CE34" s="54">
        <f>SUMIF('Resource Demand - Activity'!$FT:$FT,Example!$G34,'Resource Demand - Activity'!BZ:BZ)</f>
        <v>0</v>
      </c>
      <c r="CF34" s="54">
        <f>SUMIF('Resource Demand - Activity'!$FT:$FT,Example!$G34,'Resource Demand - Activity'!CA:CA)</f>
        <v>0</v>
      </c>
      <c r="CG34" s="54">
        <f>SUMIF('Resource Demand - Activity'!$FT:$FT,Example!$G34,'Resource Demand - Activity'!CB:CB)</f>
        <v>0</v>
      </c>
      <c r="CH34" s="54">
        <f>SUMIF('Resource Demand - Activity'!$FT:$FT,Example!$G34,'Resource Demand - Activity'!CC:CC)</f>
        <v>0</v>
      </c>
      <c r="CI34" s="54">
        <f>SUMIF('Resource Demand - Activity'!$FT:$FT,Example!$G34,'Resource Demand - Activity'!CD:CD)</f>
        <v>0</v>
      </c>
      <c r="CJ34" s="54">
        <f>SUMIF('Resource Demand - Activity'!$FT:$FT,Example!$G34,'Resource Demand - Activity'!CE:CE)</f>
        <v>0</v>
      </c>
      <c r="CK34" s="54">
        <f>SUMIF('Resource Demand - Activity'!$FT:$FT,Example!$G34,'Resource Demand - Activity'!CF:CF)</f>
        <v>0</v>
      </c>
      <c r="CL34" s="54">
        <f>SUMIF('Resource Demand - Activity'!$FT:$FT,Example!$G34,'Resource Demand - Activity'!CG:CG)</f>
        <v>0</v>
      </c>
      <c r="CM34" s="54">
        <f>SUMIF('Resource Demand - Activity'!$FT:$FT,Example!$G34,'Resource Demand - Activity'!CH:CH)</f>
        <v>0</v>
      </c>
      <c r="CN34" s="54">
        <f>SUMIF('Resource Demand - Activity'!$FT:$FT,Example!$G34,'Resource Demand - Activity'!CI:CI)</f>
        <v>0</v>
      </c>
      <c r="CO34" s="54">
        <f>SUMIF('Resource Demand - Activity'!$FT:$FT,Example!$G34,'Resource Demand - Activity'!CJ:CJ)</f>
        <v>0</v>
      </c>
      <c r="CP34" s="54">
        <f>SUMIF('Resource Demand - Activity'!$FT:$FT,Example!$G34,'Resource Demand - Activity'!CK:CK)</f>
        <v>0</v>
      </c>
      <c r="CQ34" s="54">
        <f>SUMIF('Resource Demand - Activity'!$FT:$FT,Example!$G34,'Resource Demand - Activity'!CL:CL)</f>
        <v>0</v>
      </c>
      <c r="CR34" s="54">
        <f>SUMIF('Resource Demand - Activity'!$FT:$FT,Example!$G34,'Resource Demand - Activity'!CM:CM)</f>
        <v>0</v>
      </c>
      <c r="CS34" s="54">
        <f>SUMIF('Resource Demand - Activity'!$FT:$FT,Example!$G34,'Resource Demand - Activity'!CN:CN)</f>
        <v>0</v>
      </c>
      <c r="CT34" s="54">
        <f>SUMIF('Resource Demand - Activity'!$FT:$FT,Example!$G34,'Resource Demand - Activity'!CO:CO)</f>
        <v>0</v>
      </c>
      <c r="CU34" s="54">
        <f>SUMIF('Resource Demand - Activity'!$FT:$FT,Example!$G34,'Resource Demand - Activity'!CP:CP)</f>
        <v>0</v>
      </c>
      <c r="CV34" s="54">
        <f>SUMIF('Resource Demand - Activity'!$FT:$FT,Example!$G34,'Resource Demand - Activity'!CQ:CQ)</f>
        <v>0</v>
      </c>
      <c r="CW34" s="54">
        <f>SUMIF('Resource Demand - Activity'!$FT:$FT,Example!$G34,'Resource Demand - Activity'!CR:CR)</f>
        <v>0</v>
      </c>
      <c r="CX34" s="54">
        <f>SUMIF('Resource Demand - Activity'!$FT:$FT,Example!$G34,'Resource Demand - Activity'!CS:CS)</f>
        <v>0</v>
      </c>
      <c r="CY34" s="36"/>
      <c r="CZ34" s="54">
        <f>SUMIF('Resource Demand - Activity'!$FT:$FT,Example!$G34,'Resource Demand - Activity'!CU:CU)</f>
        <v>0</v>
      </c>
      <c r="DA34" s="54">
        <f>SUMIF('Resource Demand - Activity'!$FT:$FT,Example!$G34,'Resource Demand - Activity'!CV:CV)</f>
        <v>0</v>
      </c>
      <c r="DB34" s="54">
        <f>SUMIF('Resource Demand - Activity'!$FT:$FT,Example!$G34,'Resource Demand - Activity'!CW:CW)</f>
        <v>0</v>
      </c>
      <c r="DC34" s="54">
        <f>SUMIF('Resource Demand - Activity'!$FT:$FT,Example!$G34,'Resource Demand - Activity'!CX:CX)</f>
        <v>0</v>
      </c>
      <c r="DD34" s="54">
        <f>SUMIF('Resource Demand - Activity'!$FT:$FT,Example!$G34,'Resource Demand - Activity'!CY:CY)</f>
        <v>0</v>
      </c>
      <c r="DE34" s="36"/>
      <c r="DF34" s="36"/>
      <c r="DG34" s="54">
        <f>SUMIF('Resource Demand - Activity'!$FT:$FT,Example!$G34,'Resource Demand - Activity'!DB:DB)</f>
        <v>0</v>
      </c>
      <c r="DH34" s="54">
        <f>SUMIF('Resource Demand - Activity'!$FT:$FT,Example!$G34,'Resource Demand - Activity'!DC:DC)</f>
        <v>0</v>
      </c>
      <c r="DI34" s="54">
        <f>SUMIF('Resource Demand - Activity'!$FT:$FT,Example!$G34,'Resource Demand - Activity'!DD:DD)</f>
        <v>0</v>
      </c>
      <c r="DJ34" s="54">
        <f>SUMIF('Resource Demand - Activity'!$FT:$FT,Example!$G34,'Resource Demand - Activity'!DE:DE)</f>
        <v>0</v>
      </c>
      <c r="DK34" s="54">
        <f>SUMIF('Resource Demand - Activity'!$FT:$FT,Example!$G34,'Resource Demand - Activity'!DF:DF)</f>
        <v>0</v>
      </c>
      <c r="DL34" s="54">
        <f>SUMIF('Resource Demand - Activity'!$FT:$FT,Example!$G34,'Resource Demand - Activity'!DG:DG)</f>
        <v>1</v>
      </c>
      <c r="DM34" s="54">
        <f>SUMIF('Resource Demand - Activity'!$FT:$FT,Example!$G34,'Resource Demand - Activity'!DH:DH)</f>
        <v>1</v>
      </c>
      <c r="DN34" s="54">
        <f>SUMIF('Resource Demand - Activity'!$FT:$FT,Example!$G34,'Resource Demand - Activity'!DI:DI)</f>
        <v>1</v>
      </c>
      <c r="DO34" s="54">
        <f>SUMIF('Resource Demand - Activity'!$FT:$FT,Example!$G34,'Resource Demand - Activity'!DJ:DJ)</f>
        <v>0.5</v>
      </c>
      <c r="DP34" s="54">
        <f>SUMIF('Resource Demand - Activity'!$FT:$FT,Example!$G34,'Resource Demand - Activity'!DK:DK)</f>
        <v>1</v>
      </c>
      <c r="DQ34" s="54">
        <f>SUMIF('Resource Demand - Activity'!$FT:$FT,Example!$G34,'Resource Demand - Activity'!DL:DL)</f>
        <v>1</v>
      </c>
      <c r="DR34" s="54">
        <f>SUMIF('Resource Demand - Activity'!$FT:$FT,Example!$G34,'Resource Demand - Activity'!DM:DM)</f>
        <v>1</v>
      </c>
      <c r="DS34" s="54">
        <f>SUMIF('Resource Demand - Activity'!$FT:$FT,Example!$G34,'Resource Demand - Activity'!DN:DN)</f>
        <v>0.5</v>
      </c>
      <c r="DT34" s="54">
        <f>SUMIF('Resource Demand - Activity'!$FT:$FT,Example!$G34,'Resource Demand - Activity'!DO:DO)</f>
        <v>1</v>
      </c>
      <c r="DU34" s="54">
        <f>SUMIF('Resource Demand - Activity'!$FT:$FT,Example!$G34,'Resource Demand - Activity'!DP:DP)</f>
        <v>1</v>
      </c>
      <c r="DV34" s="54">
        <f>SUMIF('Resource Demand - Activity'!$FT:$FT,Example!$G34,'Resource Demand - Activity'!DQ:DQ)</f>
        <v>1</v>
      </c>
      <c r="DW34" s="54">
        <f>SUMIF('Resource Demand - Activity'!$FT:$FT,Example!$G34,'Resource Demand - Activity'!DR:DR)</f>
        <v>0.5</v>
      </c>
      <c r="DX34" s="54">
        <f>SUMIF('Resource Demand - Activity'!$FT:$FT,Example!$G34,'Resource Demand - Activity'!DS:DS)</f>
        <v>0.5</v>
      </c>
      <c r="DY34" s="54">
        <f>SUMIF('Resource Demand - Activity'!$FT:$FT,Example!$G34,'Resource Demand - Activity'!DT:DT)</f>
        <v>0.5</v>
      </c>
      <c r="DZ34" s="54">
        <f>SUMIF('Resource Demand - Activity'!$FT:$FT,Example!$G34,'Resource Demand - Activity'!DU:DU)</f>
        <v>1</v>
      </c>
      <c r="EA34" s="54">
        <f>SUMIF('Resource Demand - Activity'!$FT:$FT,Example!$G34,'Resource Demand - Activity'!DV:DV)</f>
        <v>1</v>
      </c>
      <c r="EB34" s="54">
        <f>SUMIF('Resource Demand - Activity'!$FT:$FT,Example!$G34,'Resource Demand - Activity'!DW:DW)</f>
        <v>1</v>
      </c>
      <c r="EC34" s="54">
        <f>SUMIF('Resource Demand - Activity'!$FT:$FT,Example!$G34,'Resource Demand - Activity'!DX:DX)</f>
        <v>1</v>
      </c>
      <c r="ED34" s="54">
        <f>SUMIF('Resource Demand - Activity'!$FT:$FT,Example!$G34,'Resource Demand - Activity'!DY:DY)</f>
        <v>1</v>
      </c>
      <c r="EE34" s="36"/>
      <c r="EF34" s="54">
        <f>SUMIF('Resource Demand - Activity'!$FT:$FT,Example!$G34,'Resource Demand - Activity'!EA:EA)</f>
        <v>0</v>
      </c>
      <c r="EG34" s="54">
        <f>SUMIF('Resource Demand - Activity'!$FT:$FT,Example!$G34,'Resource Demand - Activity'!EB:EB)</f>
        <v>0</v>
      </c>
      <c r="EH34" s="54">
        <f>SUMIF('Resource Demand - Activity'!$FT:$FT,Example!$G34,'Resource Demand - Activity'!EC:EC)</f>
        <v>0</v>
      </c>
      <c r="EI34" s="54">
        <f>SUMIF('Resource Demand - Activity'!$FT:$FT,Example!$G34,'Resource Demand - Activity'!ED:ED)</f>
        <v>0</v>
      </c>
      <c r="EJ34" s="54">
        <f>SUMIF('Resource Demand - Activity'!$FT:$FT,Example!$G34,'Resource Demand - Activity'!EE:EE)</f>
        <v>0</v>
      </c>
      <c r="EK34" s="54">
        <f>SUMIF('Resource Demand - Activity'!$FT:$FT,Example!$G34,'Resource Demand - Activity'!EF:EF)</f>
        <v>0</v>
      </c>
      <c r="EL34" s="54">
        <f>SUMIF('Resource Demand - Activity'!$FT:$FT,Example!$G34,'Resource Demand - Activity'!EG:EG)</f>
        <v>0</v>
      </c>
      <c r="EM34" s="54">
        <f>SUMIF('Resource Demand - Activity'!$FT:$FT,Example!$G34,'Resource Demand - Activity'!EH:EH)</f>
        <v>0</v>
      </c>
      <c r="EN34" s="54">
        <f>SUMIF('Resource Demand - Activity'!$FT:$FT,Example!$G34,'Resource Demand - Activity'!EI:EI)</f>
        <v>0</v>
      </c>
      <c r="EO34" s="54">
        <f>SUMIF('Resource Demand - Activity'!$FT:$FT,Example!$G34,'Resource Demand - Activity'!EJ:EJ)</f>
        <v>0</v>
      </c>
      <c r="EP34" s="54">
        <f>SUMIF('Resource Demand - Activity'!$FT:$FT,Example!$G34,'Resource Demand - Activity'!EK:EK)</f>
        <v>0</v>
      </c>
      <c r="EQ34" s="54">
        <f>SUMIF('Resource Demand - Activity'!$FT:$FT,Example!$G34,'Resource Demand - Activity'!EL:EL)</f>
        <v>0</v>
      </c>
      <c r="ER34" s="54">
        <f>SUMIF('Resource Demand - Activity'!$FT:$FT,Example!$G34,'Resource Demand - Activity'!EM:EM)</f>
        <v>0</v>
      </c>
      <c r="ES34" s="54">
        <f>SUMIF('Resource Demand - Activity'!$FT:$FT,Example!$G34,'Resource Demand - Activity'!EN:EN)</f>
        <v>0</v>
      </c>
      <c r="ET34" s="54">
        <f>SUMIF('Resource Demand - Activity'!$FT:$FT,Example!$G34,'Resource Demand - Activity'!EO:EO)</f>
        <v>0</v>
      </c>
      <c r="EU34" s="54">
        <f>SUMIF('Resource Demand - Activity'!$FT:$FT,Example!$G34,'Resource Demand - Activity'!EP:EP)</f>
        <v>0</v>
      </c>
      <c r="EV34" s="54">
        <f>SUMIF('Resource Demand - Activity'!$FT:$FT,Example!$G34,'Resource Demand - Activity'!EQ:EQ)</f>
        <v>0</v>
      </c>
      <c r="EW34" s="54">
        <f>SUMIF('Resource Demand - Activity'!$FT:$FT,Example!$G34,'Resource Demand - Activity'!ER:ER)</f>
        <v>0</v>
      </c>
      <c r="EX34" s="54">
        <f>SUMIF('Resource Demand - Activity'!$FT:$FT,Example!$G34,'Resource Demand - Activity'!ES:ES)</f>
        <v>0</v>
      </c>
      <c r="EY34" s="54">
        <f>SUMIF('Resource Demand - Activity'!$FT:$FT,Example!$G34,'Resource Demand - Activity'!ET:ET)</f>
        <v>0</v>
      </c>
      <c r="EZ34" s="54">
        <f>SUMIF('Resource Demand - Activity'!$FT:$FT,Example!$G34,'Resource Demand - Activity'!EU:EU)</f>
        <v>0</v>
      </c>
      <c r="FA34" s="54">
        <f>SUMIF('Resource Demand - Activity'!$FT:$FT,Example!$G34,'Resource Demand - Activity'!EV:EV)</f>
        <v>0</v>
      </c>
      <c r="FB34" s="54">
        <f>SUMIF('Resource Demand - Activity'!$FT:$FT,Example!$G34,'Resource Demand - Activity'!EW:EW)</f>
        <v>0</v>
      </c>
      <c r="FC34" s="54">
        <f>SUMIF('Resource Demand - Activity'!$FT:$FT,Example!$G34,'Resource Demand - Activity'!EX:EX)</f>
        <v>0</v>
      </c>
      <c r="FD34" s="36"/>
      <c r="FE34" s="54">
        <f>SUMIF('Resource Demand - Activity'!$FT:$FT,Example!$G34,'Resource Demand - Activity'!EZ:EZ)</f>
        <v>0</v>
      </c>
      <c r="FF34" s="54">
        <f>SUMIF('Resource Demand - Activity'!$FT:$FT,Example!$G34,'Resource Demand - Activity'!FA:FA)</f>
        <v>0</v>
      </c>
      <c r="FG34" s="54">
        <f>SUMIF('Resource Demand - Activity'!$FT:$FT,Example!$G34,'Resource Demand - Activity'!FB:FB)</f>
        <v>0</v>
      </c>
      <c r="FH34" s="54">
        <f>SUMIF('Resource Demand - Activity'!$FT:$FT,Example!$G34,'Resource Demand - Activity'!FC:FC)</f>
        <v>0</v>
      </c>
      <c r="FI34" s="54">
        <f>SUMIF('Resource Demand - Activity'!$FT:$FT,Example!$G34,'Resource Demand - Activity'!FD:FD)</f>
        <v>0</v>
      </c>
      <c r="FJ34" s="54">
        <f>SUMIF('Resource Demand - Activity'!$FT:$FT,Example!$G34,'Resource Demand - Activity'!FE:FE)</f>
        <v>0</v>
      </c>
      <c r="FK34" s="54">
        <f>SUMIF('Resource Demand - Activity'!$FT:$FT,Example!$G34,'Resource Demand - Activity'!FF:FF)</f>
        <v>0</v>
      </c>
      <c r="FL34" s="54">
        <f>SUMIF('Resource Demand - Activity'!$FT:$FT,Example!$G34,'Resource Demand - Activity'!FG:FG)</f>
        <v>0</v>
      </c>
      <c r="FM34" s="54">
        <f>SUMIF('Resource Demand - Activity'!$FT:$FT,Example!$G34,'Resource Demand - Activity'!FH:FH)</f>
        <v>0</v>
      </c>
      <c r="FN34" s="54">
        <f>SUMIF('Resource Demand - Activity'!$FT:$FT,Example!$G34,'Resource Demand - Activity'!FI:FI)</f>
        <v>0</v>
      </c>
      <c r="FO34" s="54">
        <f>SUMIF('Resource Demand - Activity'!$FT:$FT,Example!$G34,'Resource Demand - Activity'!FJ:FJ)</f>
        <v>0</v>
      </c>
      <c r="FP34" s="54">
        <f>SUMIF('Resource Demand - Activity'!$FT:$FT,Example!$G34,'Resource Demand - Activity'!FK:FK)</f>
        <v>0</v>
      </c>
      <c r="FQ34" s="54">
        <f>SUMIF('Resource Demand - Activity'!$FT:$FT,Example!$G34,'Resource Demand - Activity'!FL:FL)</f>
        <v>0</v>
      </c>
      <c r="FR34" s="54">
        <f>SUMIF('Resource Demand - Activity'!$FT:$FT,Example!$G34,'Resource Demand - Activity'!FM:FM)</f>
        <v>0</v>
      </c>
      <c r="FS34" s="54">
        <f>SUMIF('Resource Demand - Activity'!$FT:$FT,Example!$G34,'Resource Demand - Activity'!FN:FN)</f>
        <v>0</v>
      </c>
      <c r="FT34" s="54">
        <f>SUMIF('Resource Demand - Activity'!$FT:$FT,Example!$G34,'Resource Demand - Activity'!FO:FO)</f>
        <v>0</v>
      </c>
      <c r="FU34" s="54">
        <f>SUMIF('Resource Demand - Activity'!$FT:$FT,Example!$G34,'Resource Demand - Activity'!FP:FP)</f>
        <v>0</v>
      </c>
      <c r="FV34" s="56">
        <f>SUMIF('Resource Demand - Activity'!$FT:$FT,Example!$G34,'Resource Demand - Activity'!FQ:FQ)</f>
        <v>0</v>
      </c>
    </row>
    <row r="35" spans="2:178" s="1" customFormat="1" ht="12" customHeight="1">
      <c r="B35" s="68" t="s">
        <v>9</v>
      </c>
      <c r="C35" s="72">
        <v>2015</v>
      </c>
      <c r="D35" s="72" t="s">
        <v>191</v>
      </c>
      <c r="E35" s="166" t="s">
        <v>194</v>
      </c>
      <c r="H35" s="57"/>
    </row>
    <row r="36" spans="2:178" ht="12" customHeight="1">
      <c r="B36" s="65" t="s">
        <v>16</v>
      </c>
      <c r="C36" s="142">
        <f>700*1.23</f>
        <v>861</v>
      </c>
      <c r="D36" s="142">
        <f>700*1.23</f>
        <v>861</v>
      </c>
      <c r="E36" s="166"/>
      <c r="H36" s="76" t="s">
        <v>17</v>
      </c>
      <c r="I36" s="77" t="s">
        <v>7</v>
      </c>
      <c r="J36" s="171">
        <v>42309</v>
      </c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3"/>
      <c r="Z36" s="167">
        <v>42339</v>
      </c>
      <c r="AA36" s="168"/>
      <c r="AB36" s="168"/>
      <c r="AC36" s="168"/>
      <c r="AD36" s="168"/>
      <c r="AE36" s="168"/>
      <c r="AF36" s="168"/>
      <c r="AG36" s="168"/>
      <c r="AH36" s="168"/>
      <c r="AI36" s="168"/>
      <c r="AJ36" s="168"/>
      <c r="AK36" s="168"/>
      <c r="AL36" s="168"/>
      <c r="AM36" s="168"/>
      <c r="AN36" s="168"/>
      <c r="AO36" s="168"/>
      <c r="AP36" s="168"/>
      <c r="AQ36" s="168"/>
      <c r="AR36" s="168"/>
      <c r="AS36" s="168"/>
      <c r="AT36" s="168"/>
      <c r="AU36" s="168"/>
      <c r="AV36" s="169"/>
      <c r="AW36" s="167">
        <v>42370</v>
      </c>
      <c r="AX36" s="168"/>
      <c r="AY36" s="168"/>
      <c r="AZ36" s="168"/>
      <c r="BA36" s="168"/>
      <c r="BB36" s="168"/>
      <c r="BC36" s="168"/>
      <c r="BD36" s="168"/>
      <c r="BE36" s="168"/>
      <c r="BF36" s="168"/>
      <c r="BG36" s="168"/>
      <c r="BH36" s="168"/>
      <c r="BI36" s="168"/>
      <c r="BJ36" s="168"/>
      <c r="BK36" s="168"/>
      <c r="BL36" s="168"/>
      <c r="BM36" s="168"/>
      <c r="BN36" s="168"/>
      <c r="BO36" s="168"/>
      <c r="BP36" s="168"/>
      <c r="BQ36" s="169"/>
      <c r="BR36" s="167">
        <v>42401</v>
      </c>
      <c r="BS36" s="168"/>
      <c r="BT36" s="168"/>
      <c r="BU36" s="168"/>
      <c r="BV36" s="168"/>
      <c r="BW36" s="168"/>
      <c r="BX36" s="168"/>
      <c r="BY36" s="168"/>
      <c r="BZ36" s="168"/>
      <c r="CA36" s="168"/>
      <c r="CB36" s="168"/>
      <c r="CC36" s="168"/>
      <c r="CD36" s="168"/>
      <c r="CE36" s="168"/>
      <c r="CF36" s="168"/>
      <c r="CG36" s="168"/>
      <c r="CH36" s="168"/>
      <c r="CI36" s="168"/>
      <c r="CJ36" s="168"/>
      <c r="CK36" s="168"/>
      <c r="CL36" s="169"/>
      <c r="CM36" s="167">
        <v>42430</v>
      </c>
      <c r="CN36" s="168"/>
      <c r="CO36" s="168"/>
      <c r="CP36" s="168"/>
      <c r="CQ36" s="168"/>
      <c r="CR36" s="168"/>
      <c r="CS36" s="168"/>
      <c r="CT36" s="168"/>
      <c r="CU36" s="168"/>
      <c r="CV36" s="168"/>
      <c r="CW36" s="168"/>
      <c r="CX36" s="168"/>
      <c r="CY36" s="168"/>
      <c r="CZ36" s="168"/>
      <c r="DA36" s="168"/>
      <c r="DB36" s="168"/>
      <c r="DC36" s="168"/>
      <c r="DD36" s="168"/>
      <c r="DE36" s="168"/>
      <c r="DF36" s="168"/>
      <c r="DG36" s="168"/>
      <c r="DH36" s="168"/>
      <c r="DI36" s="169"/>
      <c r="DJ36" s="167">
        <v>42461</v>
      </c>
      <c r="DK36" s="168"/>
      <c r="DL36" s="168"/>
      <c r="DM36" s="168"/>
      <c r="DN36" s="168"/>
      <c r="DO36" s="168"/>
      <c r="DP36" s="168"/>
      <c r="DQ36" s="168"/>
      <c r="DR36" s="168"/>
      <c r="DS36" s="168"/>
      <c r="DT36" s="168"/>
      <c r="DU36" s="168"/>
      <c r="DV36" s="168"/>
      <c r="DW36" s="168"/>
      <c r="DX36" s="168"/>
      <c r="DY36" s="168"/>
      <c r="DZ36" s="168"/>
      <c r="EA36" s="168"/>
      <c r="EB36" s="168"/>
      <c r="EC36" s="168"/>
      <c r="ED36" s="168"/>
      <c r="EE36" s="169"/>
      <c r="EF36" s="167">
        <v>42491</v>
      </c>
      <c r="EG36" s="168"/>
      <c r="EH36" s="168"/>
      <c r="EI36" s="168"/>
      <c r="EJ36" s="168"/>
      <c r="EK36" s="168"/>
      <c r="EL36" s="168"/>
      <c r="EM36" s="168"/>
      <c r="EN36" s="168"/>
      <c r="EO36" s="168"/>
      <c r="EP36" s="168"/>
      <c r="EQ36" s="168"/>
      <c r="ER36" s="168"/>
      <c r="ES36" s="168"/>
      <c r="ET36" s="168"/>
      <c r="EU36" s="168"/>
      <c r="EV36" s="168"/>
      <c r="EW36" s="168"/>
      <c r="EX36" s="168"/>
      <c r="EY36" s="168"/>
      <c r="EZ36" s="168"/>
      <c r="FA36" s="167">
        <v>42522</v>
      </c>
      <c r="FB36" s="168"/>
      <c r="FC36" s="168"/>
      <c r="FD36" s="168"/>
      <c r="FE36" s="168"/>
      <c r="FF36" s="168"/>
      <c r="FG36" s="168"/>
      <c r="FH36" s="168"/>
      <c r="FI36" s="168"/>
      <c r="FJ36" s="168"/>
      <c r="FK36" s="168"/>
      <c r="FL36" s="168"/>
      <c r="FM36" s="168"/>
      <c r="FN36" s="168"/>
      <c r="FO36" s="168"/>
      <c r="FP36" s="168"/>
      <c r="FQ36" s="168"/>
      <c r="FR36" s="168"/>
      <c r="FS36" s="168"/>
      <c r="FT36" s="168"/>
      <c r="FU36" s="168"/>
      <c r="FV36" s="169"/>
    </row>
    <row r="37" spans="2:178" s="1" customFormat="1" ht="12" customHeight="1">
      <c r="B37" s="58"/>
      <c r="C37" s="142">
        <f>C17*C36</f>
        <v>24108</v>
      </c>
      <c r="D37" s="142">
        <f>D17*D36</f>
        <v>92988</v>
      </c>
      <c r="E37" s="166"/>
      <c r="H37" s="170" t="s">
        <v>186</v>
      </c>
      <c r="I37" s="153"/>
      <c r="J37" s="80">
        <f>SUM(J38:J56)</f>
        <v>0</v>
      </c>
      <c r="K37" s="81">
        <f t="shared" ref="K37:BV37" si="4">SUM(K38:K56)</f>
        <v>0</v>
      </c>
      <c r="L37" s="81">
        <f t="shared" si="4"/>
        <v>0</v>
      </c>
      <c r="M37" s="81">
        <f t="shared" si="4"/>
        <v>0</v>
      </c>
      <c r="N37" s="81">
        <f t="shared" si="4"/>
        <v>0</v>
      </c>
      <c r="O37" s="81">
        <f t="shared" si="4"/>
        <v>1</v>
      </c>
      <c r="P37" s="81">
        <f t="shared" si="4"/>
        <v>1</v>
      </c>
      <c r="Q37" s="81">
        <f t="shared" si="4"/>
        <v>1</v>
      </c>
      <c r="R37" s="81">
        <f t="shared" si="4"/>
        <v>1</v>
      </c>
      <c r="S37" s="81">
        <f t="shared" si="4"/>
        <v>1</v>
      </c>
      <c r="T37" s="81">
        <f t="shared" si="4"/>
        <v>1</v>
      </c>
      <c r="U37" s="81">
        <f t="shared" si="4"/>
        <v>1</v>
      </c>
      <c r="V37" s="81">
        <f t="shared" si="4"/>
        <v>1</v>
      </c>
      <c r="W37" s="81">
        <f t="shared" si="4"/>
        <v>1</v>
      </c>
      <c r="X37" s="81">
        <f t="shared" si="4"/>
        <v>1</v>
      </c>
      <c r="Y37" s="81">
        <f t="shared" si="4"/>
        <v>1</v>
      </c>
      <c r="Z37" s="81">
        <f t="shared" si="4"/>
        <v>1</v>
      </c>
      <c r="AA37" s="81">
        <f t="shared" si="4"/>
        <v>1</v>
      </c>
      <c r="AB37" s="81">
        <f t="shared" si="4"/>
        <v>1</v>
      </c>
      <c r="AC37" s="81">
        <f t="shared" si="4"/>
        <v>1</v>
      </c>
      <c r="AD37" s="81">
        <f t="shared" si="4"/>
        <v>1</v>
      </c>
      <c r="AE37" s="81">
        <f t="shared" si="4"/>
        <v>1</v>
      </c>
      <c r="AF37" s="81">
        <f t="shared" si="4"/>
        <v>1</v>
      </c>
      <c r="AG37" s="81">
        <f t="shared" si="4"/>
        <v>1</v>
      </c>
      <c r="AH37" s="81">
        <f t="shared" si="4"/>
        <v>1</v>
      </c>
      <c r="AI37" s="81">
        <f t="shared" si="4"/>
        <v>1</v>
      </c>
      <c r="AJ37" s="81">
        <f t="shared" si="4"/>
        <v>1</v>
      </c>
      <c r="AK37" s="81">
        <f t="shared" si="4"/>
        <v>1</v>
      </c>
      <c r="AL37" s="81">
        <f t="shared" si="4"/>
        <v>1</v>
      </c>
      <c r="AM37" s="81">
        <f t="shared" si="4"/>
        <v>1</v>
      </c>
      <c r="AN37" s="81">
        <f t="shared" si="4"/>
        <v>1</v>
      </c>
      <c r="AO37" s="81">
        <f t="shared" si="4"/>
        <v>1</v>
      </c>
      <c r="AP37" s="81">
        <f t="shared" si="4"/>
        <v>1</v>
      </c>
      <c r="AQ37" s="81">
        <f t="shared" si="4"/>
        <v>0</v>
      </c>
      <c r="AR37" s="81">
        <f t="shared" si="4"/>
        <v>0</v>
      </c>
      <c r="AS37" s="81">
        <f t="shared" si="4"/>
        <v>0</v>
      </c>
      <c r="AT37" s="81">
        <f t="shared" si="4"/>
        <v>0</v>
      </c>
      <c r="AU37" s="81">
        <f t="shared" si="4"/>
        <v>0</v>
      </c>
      <c r="AV37" s="81">
        <f t="shared" si="4"/>
        <v>0</v>
      </c>
      <c r="AW37" s="81">
        <f t="shared" si="4"/>
        <v>0</v>
      </c>
      <c r="AX37" s="81">
        <f t="shared" si="4"/>
        <v>1</v>
      </c>
      <c r="AY37" s="81">
        <f t="shared" si="4"/>
        <v>1</v>
      </c>
      <c r="AZ37" s="81">
        <f t="shared" si="4"/>
        <v>1</v>
      </c>
      <c r="BA37" s="81">
        <f t="shared" si="4"/>
        <v>1</v>
      </c>
      <c r="BB37" s="81">
        <f t="shared" si="4"/>
        <v>1</v>
      </c>
      <c r="BC37" s="81">
        <f t="shared" si="4"/>
        <v>1</v>
      </c>
      <c r="BD37" s="81">
        <f t="shared" si="4"/>
        <v>1</v>
      </c>
      <c r="BE37" s="81">
        <f t="shared" si="4"/>
        <v>1</v>
      </c>
      <c r="BF37" s="81">
        <f t="shared" si="4"/>
        <v>1</v>
      </c>
      <c r="BG37" s="81">
        <f t="shared" si="4"/>
        <v>1</v>
      </c>
      <c r="BH37" s="81">
        <f t="shared" si="4"/>
        <v>1</v>
      </c>
      <c r="BI37" s="81">
        <f t="shared" si="4"/>
        <v>1</v>
      </c>
      <c r="BJ37" s="81">
        <f t="shared" si="4"/>
        <v>1</v>
      </c>
      <c r="BK37" s="81">
        <f t="shared" si="4"/>
        <v>1</v>
      </c>
      <c r="BL37" s="81">
        <f t="shared" si="4"/>
        <v>1</v>
      </c>
      <c r="BM37" s="81">
        <f t="shared" si="4"/>
        <v>1</v>
      </c>
      <c r="BN37" s="81">
        <f t="shared" si="4"/>
        <v>1</v>
      </c>
      <c r="BO37" s="81">
        <f t="shared" si="4"/>
        <v>1</v>
      </c>
      <c r="BP37" s="81">
        <f t="shared" si="4"/>
        <v>1</v>
      </c>
      <c r="BQ37" s="81">
        <f t="shared" si="4"/>
        <v>1</v>
      </c>
      <c r="BR37" s="81">
        <f t="shared" si="4"/>
        <v>1</v>
      </c>
      <c r="BS37" s="81">
        <f t="shared" si="4"/>
        <v>1</v>
      </c>
      <c r="BT37" s="81">
        <f t="shared" si="4"/>
        <v>1</v>
      </c>
      <c r="BU37" s="81">
        <f t="shared" si="4"/>
        <v>1</v>
      </c>
      <c r="BV37" s="81">
        <f t="shared" si="4"/>
        <v>1</v>
      </c>
      <c r="BW37" s="81">
        <f t="shared" ref="BW37:EH37" si="5">SUM(BW38:BW56)</f>
        <v>1</v>
      </c>
      <c r="BX37" s="81">
        <f t="shared" si="5"/>
        <v>1</v>
      </c>
      <c r="BY37" s="81">
        <f t="shared" si="5"/>
        <v>1</v>
      </c>
      <c r="BZ37" s="81">
        <f t="shared" si="5"/>
        <v>1</v>
      </c>
      <c r="CA37" s="81">
        <f t="shared" si="5"/>
        <v>1</v>
      </c>
      <c r="CB37" s="81">
        <f t="shared" si="5"/>
        <v>1</v>
      </c>
      <c r="CC37" s="81">
        <f t="shared" si="5"/>
        <v>1</v>
      </c>
      <c r="CD37" s="81">
        <f t="shared" si="5"/>
        <v>1</v>
      </c>
      <c r="CE37" s="81">
        <f t="shared" si="5"/>
        <v>1</v>
      </c>
      <c r="CF37" s="81">
        <f t="shared" si="5"/>
        <v>1</v>
      </c>
      <c r="CG37" s="81">
        <f t="shared" si="5"/>
        <v>1</v>
      </c>
      <c r="CH37" s="81">
        <f t="shared" si="5"/>
        <v>1</v>
      </c>
      <c r="CI37" s="81">
        <f t="shared" si="5"/>
        <v>1</v>
      </c>
      <c r="CJ37" s="81">
        <f t="shared" si="5"/>
        <v>1</v>
      </c>
      <c r="CK37" s="81">
        <f t="shared" si="5"/>
        <v>1</v>
      </c>
      <c r="CL37" s="81">
        <f t="shared" si="5"/>
        <v>1</v>
      </c>
      <c r="CM37" s="81">
        <f t="shared" si="5"/>
        <v>1</v>
      </c>
      <c r="CN37" s="81">
        <f t="shared" si="5"/>
        <v>1</v>
      </c>
      <c r="CO37" s="81">
        <f t="shared" si="5"/>
        <v>1</v>
      </c>
      <c r="CP37" s="81">
        <f t="shared" si="5"/>
        <v>1</v>
      </c>
      <c r="CQ37" s="81">
        <f t="shared" si="5"/>
        <v>1</v>
      </c>
      <c r="CR37" s="81">
        <f t="shared" si="5"/>
        <v>1</v>
      </c>
      <c r="CS37" s="81">
        <f t="shared" si="5"/>
        <v>1</v>
      </c>
      <c r="CT37" s="81">
        <f t="shared" si="5"/>
        <v>1</v>
      </c>
      <c r="CU37" s="81">
        <f t="shared" si="5"/>
        <v>1</v>
      </c>
      <c r="CV37" s="81">
        <f t="shared" si="5"/>
        <v>1</v>
      </c>
      <c r="CW37" s="81">
        <f t="shared" si="5"/>
        <v>1</v>
      </c>
      <c r="CX37" s="81">
        <f t="shared" si="5"/>
        <v>1</v>
      </c>
      <c r="CY37" s="81">
        <f t="shared" si="5"/>
        <v>0</v>
      </c>
      <c r="CZ37" s="81">
        <f t="shared" si="5"/>
        <v>1</v>
      </c>
      <c r="DA37" s="81">
        <f t="shared" si="5"/>
        <v>1</v>
      </c>
      <c r="DB37" s="81">
        <f t="shared" si="5"/>
        <v>1</v>
      </c>
      <c r="DC37" s="81">
        <f t="shared" si="5"/>
        <v>1</v>
      </c>
      <c r="DD37" s="81">
        <f t="shared" si="5"/>
        <v>1</v>
      </c>
      <c r="DE37" s="81">
        <f t="shared" si="5"/>
        <v>0</v>
      </c>
      <c r="DF37" s="81">
        <f t="shared" si="5"/>
        <v>0</v>
      </c>
      <c r="DG37" s="81">
        <f t="shared" si="5"/>
        <v>1</v>
      </c>
      <c r="DH37" s="81">
        <f t="shared" si="5"/>
        <v>1</v>
      </c>
      <c r="DI37" s="81">
        <f t="shared" si="5"/>
        <v>1</v>
      </c>
      <c r="DJ37" s="81">
        <f t="shared" si="5"/>
        <v>1</v>
      </c>
      <c r="DK37" s="81">
        <f t="shared" si="5"/>
        <v>1</v>
      </c>
      <c r="DL37" s="81">
        <f t="shared" si="5"/>
        <v>0</v>
      </c>
      <c r="DM37" s="81">
        <f t="shared" si="5"/>
        <v>0</v>
      </c>
      <c r="DN37" s="81">
        <f t="shared" si="5"/>
        <v>0</v>
      </c>
      <c r="DO37" s="81">
        <f t="shared" si="5"/>
        <v>1</v>
      </c>
      <c r="DP37" s="81">
        <f t="shared" si="5"/>
        <v>0</v>
      </c>
      <c r="DQ37" s="81">
        <f t="shared" si="5"/>
        <v>0</v>
      </c>
      <c r="DR37" s="81">
        <f t="shared" si="5"/>
        <v>1</v>
      </c>
      <c r="DS37" s="81">
        <f t="shared" si="5"/>
        <v>1</v>
      </c>
      <c r="DT37" s="81">
        <f t="shared" si="5"/>
        <v>1</v>
      </c>
      <c r="DU37" s="81">
        <f t="shared" si="5"/>
        <v>1</v>
      </c>
      <c r="DV37" s="81">
        <f t="shared" si="5"/>
        <v>1</v>
      </c>
      <c r="DW37" s="81">
        <f t="shared" si="5"/>
        <v>1</v>
      </c>
      <c r="DX37" s="81">
        <f t="shared" si="5"/>
        <v>0</v>
      </c>
      <c r="DY37" s="81">
        <f t="shared" si="5"/>
        <v>0</v>
      </c>
      <c r="DZ37" s="81">
        <f t="shared" si="5"/>
        <v>0</v>
      </c>
      <c r="EA37" s="81">
        <f t="shared" si="5"/>
        <v>0</v>
      </c>
      <c r="EB37" s="81">
        <f t="shared" si="5"/>
        <v>0</v>
      </c>
      <c r="EC37" s="81">
        <f t="shared" si="5"/>
        <v>1</v>
      </c>
      <c r="ED37" s="81">
        <f t="shared" si="5"/>
        <v>1</v>
      </c>
      <c r="EE37" s="81">
        <f t="shared" si="5"/>
        <v>0</v>
      </c>
      <c r="EF37" s="81">
        <f t="shared" si="5"/>
        <v>1</v>
      </c>
      <c r="EG37" s="81">
        <f t="shared" si="5"/>
        <v>1</v>
      </c>
      <c r="EH37" s="81">
        <f t="shared" si="5"/>
        <v>1</v>
      </c>
      <c r="EI37" s="81">
        <f t="shared" ref="EI37:FV37" si="6">SUM(EI38:EI56)</f>
        <v>1</v>
      </c>
      <c r="EJ37" s="81">
        <f t="shared" si="6"/>
        <v>1</v>
      </c>
      <c r="EK37" s="81">
        <f t="shared" si="6"/>
        <v>1</v>
      </c>
      <c r="EL37" s="81">
        <f t="shared" si="6"/>
        <v>1</v>
      </c>
      <c r="EM37" s="81">
        <f t="shared" si="6"/>
        <v>1</v>
      </c>
      <c r="EN37" s="81">
        <f t="shared" si="6"/>
        <v>1</v>
      </c>
      <c r="EO37" s="81">
        <f t="shared" si="6"/>
        <v>1</v>
      </c>
      <c r="EP37" s="81">
        <f t="shared" si="6"/>
        <v>1</v>
      </c>
      <c r="EQ37" s="81">
        <f t="shared" si="6"/>
        <v>1</v>
      </c>
      <c r="ER37" s="81">
        <f t="shared" si="6"/>
        <v>1</v>
      </c>
      <c r="ES37" s="81">
        <f t="shared" si="6"/>
        <v>1</v>
      </c>
      <c r="ET37" s="81">
        <f t="shared" si="6"/>
        <v>1</v>
      </c>
      <c r="EU37" s="81">
        <f t="shared" si="6"/>
        <v>1</v>
      </c>
      <c r="EV37" s="81">
        <f t="shared" si="6"/>
        <v>1</v>
      </c>
      <c r="EW37" s="81">
        <f t="shared" si="6"/>
        <v>1</v>
      </c>
      <c r="EX37" s="81">
        <f t="shared" si="6"/>
        <v>1</v>
      </c>
      <c r="EY37" s="81">
        <f t="shared" si="6"/>
        <v>0</v>
      </c>
      <c r="EZ37" s="81">
        <f t="shared" si="6"/>
        <v>1</v>
      </c>
      <c r="FA37" s="81">
        <f t="shared" si="6"/>
        <v>1</v>
      </c>
      <c r="FB37" s="81">
        <f t="shared" si="6"/>
        <v>1</v>
      </c>
      <c r="FC37" s="81">
        <f t="shared" si="6"/>
        <v>0</v>
      </c>
      <c r="FD37" s="81">
        <f t="shared" si="6"/>
        <v>0</v>
      </c>
      <c r="FE37" s="81">
        <f t="shared" si="6"/>
        <v>1</v>
      </c>
      <c r="FF37" s="81">
        <f t="shared" si="6"/>
        <v>1</v>
      </c>
      <c r="FG37" s="81">
        <f t="shared" si="6"/>
        <v>1</v>
      </c>
      <c r="FH37" s="81">
        <f t="shared" si="6"/>
        <v>1</v>
      </c>
      <c r="FI37" s="81">
        <f t="shared" si="6"/>
        <v>1</v>
      </c>
      <c r="FJ37" s="81">
        <f t="shared" si="6"/>
        <v>1</v>
      </c>
      <c r="FK37" s="81">
        <f t="shared" si="6"/>
        <v>1</v>
      </c>
      <c r="FL37" s="81">
        <f t="shared" si="6"/>
        <v>1</v>
      </c>
      <c r="FM37" s="81">
        <f t="shared" si="6"/>
        <v>1</v>
      </c>
      <c r="FN37" s="81">
        <f t="shared" si="6"/>
        <v>1</v>
      </c>
      <c r="FO37" s="81">
        <f t="shared" si="6"/>
        <v>1</v>
      </c>
      <c r="FP37" s="81">
        <f t="shared" si="6"/>
        <v>1</v>
      </c>
      <c r="FQ37" s="81">
        <f t="shared" si="6"/>
        <v>1</v>
      </c>
      <c r="FR37" s="81">
        <f t="shared" si="6"/>
        <v>0</v>
      </c>
      <c r="FS37" s="81">
        <f t="shared" si="6"/>
        <v>0</v>
      </c>
      <c r="FT37" s="81">
        <f t="shared" si="6"/>
        <v>0</v>
      </c>
      <c r="FU37" s="81">
        <f t="shared" si="6"/>
        <v>0</v>
      </c>
      <c r="FV37" s="79">
        <f t="shared" si="6"/>
        <v>0</v>
      </c>
    </row>
    <row r="38" spans="2:178" ht="12" customHeight="1">
      <c r="B38" s="58"/>
      <c r="C38" s="162">
        <f>C37+D37</f>
        <v>117096</v>
      </c>
      <c r="D38" s="163"/>
      <c r="E38" s="146"/>
      <c r="G38" s="64" t="str">
        <f>H38&amp;$H$36</f>
        <v>1. Opening Balances  1.2 ReviewSenior Accountant</v>
      </c>
      <c r="H38" s="78" t="s">
        <v>144</v>
      </c>
      <c r="I38" s="59" t="str">
        <f>INDEX('Resource Demand - Activity'!C:C,MATCH(Example!G38,'Resource Demand - Activity'!FT:FT,0))</f>
        <v>1 days</v>
      </c>
      <c r="J38" s="47">
        <f>SUMIF('Resource Demand - Activity'!$FT:$FT,Example!$G38,'Resource Demand - Activity'!E:E)</f>
        <v>0</v>
      </c>
      <c r="K38" s="48">
        <f>SUMIF('Resource Demand - Activity'!$FT:$FT,Example!$G38,'Resource Demand - Activity'!F:F)</f>
        <v>0</v>
      </c>
      <c r="L38" s="48">
        <f>SUMIF('Resource Demand - Activity'!$FT:$FT,Example!$G38,'Resource Demand - Activity'!G:G)</f>
        <v>0</v>
      </c>
      <c r="M38" s="48">
        <f>SUMIF('Resource Demand - Activity'!$FT:$FT,Example!$G38,'Resource Demand - Activity'!H:H)</f>
        <v>0</v>
      </c>
      <c r="N38" s="48">
        <f>SUMIF('Resource Demand - Activity'!$FT:$FT,Example!$G38,'Resource Demand - Activity'!I:I)</f>
        <v>0</v>
      </c>
      <c r="O38" s="48">
        <f>SUMIF('Resource Demand - Activity'!$FT:$FT,Example!$G38,'Resource Demand - Activity'!J:J)</f>
        <v>0</v>
      </c>
      <c r="P38" s="48">
        <f>SUMIF('Resource Demand - Activity'!$FT:$FT,Example!$G38,'Resource Demand - Activity'!K:K)</f>
        <v>0</v>
      </c>
      <c r="Q38" s="48">
        <f>SUMIF('Resource Demand - Activity'!$FT:$FT,Example!$G38,'Resource Demand - Activity'!L:L)</f>
        <v>0</v>
      </c>
      <c r="R38" s="48">
        <f>SUMIF('Resource Demand - Activity'!$FT:$FT,Example!$G38,'Resource Demand - Activity'!M:M)</f>
        <v>0</v>
      </c>
      <c r="S38" s="48">
        <f>SUMIF('Resource Demand - Activity'!$FT:$FT,Example!$G38,'Resource Demand - Activity'!N:N)</f>
        <v>0</v>
      </c>
      <c r="T38" s="48">
        <f>SUMIF('Resource Demand - Activity'!$FT:$FT,Example!$G38,'Resource Demand - Activity'!O:O)</f>
        <v>0</v>
      </c>
      <c r="U38" s="48">
        <f>SUMIF('Resource Demand - Activity'!$FT:$FT,Example!$G38,'Resource Demand - Activity'!P:P)</f>
        <v>0</v>
      </c>
      <c r="V38" s="48">
        <f>SUMIF('Resource Demand - Activity'!$FT:$FT,Example!$G38,'Resource Demand - Activity'!Q:Q)</f>
        <v>0</v>
      </c>
      <c r="W38" s="48">
        <f>SUMIF('Resource Demand - Activity'!$FT:$FT,Example!$G38,'Resource Demand - Activity'!R:R)</f>
        <v>0</v>
      </c>
      <c r="X38" s="48">
        <f>SUMIF('Resource Demand - Activity'!$FT:$FT,Example!$G38,'Resource Demand - Activity'!S:S)</f>
        <v>0</v>
      </c>
      <c r="Y38" s="48">
        <f>SUMIF('Resource Demand - Activity'!$FT:$FT,Example!$G38,'Resource Demand - Activity'!T:T)</f>
        <v>0</v>
      </c>
      <c r="Z38" s="48">
        <f>SUMIF('Resource Demand - Activity'!$FT:$FT,Example!$G38,'Resource Demand - Activity'!U:U)</f>
        <v>0</v>
      </c>
      <c r="AA38" s="48">
        <f>SUMIF('Resource Demand - Activity'!$FT:$FT,Example!$G38,'Resource Demand - Activity'!V:V)</f>
        <v>0</v>
      </c>
      <c r="AB38" s="48">
        <f>SUMIF('Resource Demand - Activity'!$FT:$FT,Example!$G38,'Resource Demand - Activity'!W:W)</f>
        <v>0</v>
      </c>
      <c r="AC38" s="48">
        <f>SUMIF('Resource Demand - Activity'!$FT:$FT,Example!$G38,'Resource Demand - Activity'!X:X)</f>
        <v>0</v>
      </c>
      <c r="AD38" s="48">
        <f>SUMIF('Resource Demand - Activity'!$FT:$FT,Example!$G38,'Resource Demand - Activity'!Y:Y)</f>
        <v>0</v>
      </c>
      <c r="AE38" s="48">
        <f>SUMIF('Resource Demand - Activity'!$FT:$FT,Example!$G38,'Resource Demand - Activity'!Z:Z)</f>
        <v>0</v>
      </c>
      <c r="AF38" s="48">
        <f>SUMIF('Resource Demand - Activity'!$FT:$FT,Example!$G38,'Resource Demand - Activity'!AA:AA)</f>
        <v>0</v>
      </c>
      <c r="AG38" s="48">
        <f>SUMIF('Resource Demand - Activity'!$FT:$FT,Example!$G38,'Resource Demand - Activity'!AB:AB)</f>
        <v>0</v>
      </c>
      <c r="AH38" s="48">
        <f>SUMIF('Resource Demand - Activity'!$FT:$FT,Example!$G38,'Resource Demand - Activity'!AC:AC)</f>
        <v>0</v>
      </c>
      <c r="AI38" s="48">
        <f>SUMIF('Resource Demand - Activity'!$FT:$FT,Example!$G38,'Resource Demand - Activity'!AD:AD)</f>
        <v>0</v>
      </c>
      <c r="AJ38" s="48">
        <f>SUMIF('Resource Demand - Activity'!$FT:$FT,Example!$G38,'Resource Demand - Activity'!AE:AE)</f>
        <v>0</v>
      </c>
      <c r="AK38" s="48">
        <f>SUMIF('Resource Demand - Activity'!$FT:$FT,Example!$G38,'Resource Demand - Activity'!AF:AF)</f>
        <v>0</v>
      </c>
      <c r="AL38" s="48">
        <f>SUMIF('Resource Demand - Activity'!$FT:$FT,Example!$G38,'Resource Demand - Activity'!AG:AG)</f>
        <v>0</v>
      </c>
      <c r="AM38" s="48">
        <f>SUMIF('Resource Demand - Activity'!$FT:$FT,Example!$G38,'Resource Demand - Activity'!AH:AH)</f>
        <v>0</v>
      </c>
      <c r="AN38" s="48">
        <f>SUMIF('Resource Demand - Activity'!$FT:$FT,Example!$G38,'Resource Demand - Activity'!AI:AI)</f>
        <v>0</v>
      </c>
      <c r="AO38" s="48">
        <f>SUMIF('Resource Demand - Activity'!$FT:$FT,Example!$G38,'Resource Demand - Activity'!AJ:AJ)</f>
        <v>0</v>
      </c>
      <c r="AP38" s="48">
        <f>SUMIF('Resource Demand - Activity'!$FT:$FT,Example!$G38,'Resource Demand - Activity'!AK:AK)</f>
        <v>0</v>
      </c>
      <c r="AQ38" s="49">
        <f>SUMIF('Resource Demand - Activity'!$FT:$FT,Example!$G38,'Resource Demand - Activity'!AL:AL)</f>
        <v>0</v>
      </c>
      <c r="AR38" s="49">
        <f>SUMIF('Resource Demand - Activity'!$FT:$FT,Example!$G38,'Resource Demand - Activity'!AM:AM)</f>
        <v>0</v>
      </c>
      <c r="AS38" s="49">
        <f>SUMIF('Resource Demand - Activity'!$FT:$FT,Example!$G38,'Resource Demand - Activity'!AN:AN)</f>
        <v>0</v>
      </c>
      <c r="AT38" s="49">
        <f>SUMIF('Resource Demand - Activity'!$FT:$FT,Example!$G38,'Resource Demand - Activity'!AO:AO)</f>
        <v>0</v>
      </c>
      <c r="AU38" s="49">
        <f>SUMIF('Resource Demand - Activity'!$FT:$FT,Example!$G38,'Resource Demand - Activity'!AP:AP)</f>
        <v>0</v>
      </c>
      <c r="AV38" s="49">
        <f>SUMIF('Resource Demand - Activity'!$FT:$FT,Example!$G38,'Resource Demand - Activity'!AQ:AQ)</f>
        <v>0</v>
      </c>
      <c r="AW38" s="49">
        <f>SUMIF('Resource Demand - Activity'!$FT:$FT,Example!$G38,'Resource Demand - Activity'!AR:AR)</f>
        <v>0</v>
      </c>
      <c r="AX38" s="48">
        <f>SUMIF('Resource Demand - Activity'!$FT:$FT,Example!$G38,'Resource Demand - Activity'!AS:AS)</f>
        <v>0</v>
      </c>
      <c r="AY38" s="48">
        <f>SUMIF('Resource Demand - Activity'!$FT:$FT,Example!$G38,'Resource Demand - Activity'!AT:AT)</f>
        <v>0</v>
      </c>
      <c r="AZ38" s="48">
        <f>SUMIF('Resource Demand - Activity'!$FT:$FT,Example!$G38,'Resource Demand - Activity'!AU:AU)</f>
        <v>0</v>
      </c>
      <c r="BA38" s="48">
        <f>SUMIF('Resource Demand - Activity'!$FT:$FT,Example!$G38,'Resource Demand - Activity'!AV:AV)</f>
        <v>0</v>
      </c>
      <c r="BB38" s="48">
        <f>SUMIF('Resource Demand - Activity'!$FT:$FT,Example!$G38,'Resource Demand - Activity'!AW:AW)</f>
        <v>0</v>
      </c>
      <c r="BC38" s="48">
        <f>SUMIF('Resource Demand - Activity'!$FT:$FT,Example!$G38,'Resource Demand - Activity'!AX:AX)</f>
        <v>0</v>
      </c>
      <c r="BD38" s="48">
        <f>SUMIF('Resource Demand - Activity'!$FT:$FT,Example!$G38,'Resource Demand - Activity'!AY:AY)</f>
        <v>0</v>
      </c>
      <c r="BE38" s="48">
        <f>SUMIF('Resource Demand - Activity'!$FT:$FT,Example!$G38,'Resource Demand - Activity'!AZ:AZ)</f>
        <v>0</v>
      </c>
      <c r="BF38" s="48">
        <f>SUMIF('Resource Demand - Activity'!$FT:$FT,Example!$G38,'Resource Demand - Activity'!BA:BA)</f>
        <v>0</v>
      </c>
      <c r="BG38" s="48">
        <f>SUMIF('Resource Demand - Activity'!$FT:$FT,Example!$G38,'Resource Demand - Activity'!BB:BB)</f>
        <v>0</v>
      </c>
      <c r="BH38" s="48">
        <f>SUMIF('Resource Demand - Activity'!$FT:$FT,Example!$G38,'Resource Demand - Activity'!BC:BC)</f>
        <v>0</v>
      </c>
      <c r="BI38" s="48">
        <f>SUMIF('Resource Demand - Activity'!$FT:$FT,Example!$G38,'Resource Demand - Activity'!BD:BD)</f>
        <v>0</v>
      </c>
      <c r="BJ38" s="48">
        <f>SUMIF('Resource Demand - Activity'!$FT:$FT,Example!$G38,'Resource Demand - Activity'!BE:BE)</f>
        <v>0</v>
      </c>
      <c r="BK38" s="48">
        <f>SUMIF('Resource Demand - Activity'!$FT:$FT,Example!$G38,'Resource Demand - Activity'!BF:BF)</f>
        <v>0</v>
      </c>
      <c r="BL38" s="48">
        <f>SUMIF('Resource Demand - Activity'!$FT:$FT,Example!$G38,'Resource Demand - Activity'!BG:BG)</f>
        <v>0</v>
      </c>
      <c r="BM38" s="48">
        <f>SUMIF('Resource Demand - Activity'!$FT:$FT,Example!$G38,'Resource Demand - Activity'!BH:BH)</f>
        <v>0</v>
      </c>
      <c r="BN38" s="48">
        <f>SUMIF('Resource Demand - Activity'!$FT:$FT,Example!$G38,'Resource Demand - Activity'!BI:BI)</f>
        <v>0</v>
      </c>
      <c r="BO38" s="48">
        <f>SUMIF('Resource Demand - Activity'!$FT:$FT,Example!$G38,'Resource Demand - Activity'!BJ:BJ)</f>
        <v>0</v>
      </c>
      <c r="BP38" s="48">
        <f>SUMIF('Resource Demand - Activity'!$FT:$FT,Example!$G38,'Resource Demand - Activity'!BK:BK)</f>
        <v>0</v>
      </c>
      <c r="BQ38" s="48">
        <f>SUMIF('Resource Demand - Activity'!$FT:$FT,Example!$G38,'Resource Demand - Activity'!BL:BL)</f>
        <v>0</v>
      </c>
      <c r="BR38" s="48">
        <f>SUMIF('Resource Demand - Activity'!$FT:$FT,Example!$G38,'Resource Demand - Activity'!BM:BM)</f>
        <v>0</v>
      </c>
      <c r="BS38" s="48">
        <f>SUMIF('Resource Demand - Activity'!$FT:$FT,Example!$G38,'Resource Demand - Activity'!BN:BN)</f>
        <v>0</v>
      </c>
      <c r="BT38" s="48">
        <f>SUMIF('Resource Demand - Activity'!$FT:$FT,Example!$G38,'Resource Demand - Activity'!BO:BO)</f>
        <v>0</v>
      </c>
      <c r="BU38" s="48">
        <f>SUMIF('Resource Demand - Activity'!$FT:$FT,Example!$G38,'Resource Demand - Activity'!BP:BP)</f>
        <v>0</v>
      </c>
      <c r="BV38" s="48">
        <f>SUMIF('Resource Demand - Activity'!$FT:$FT,Example!$G38,'Resource Demand - Activity'!BQ:BQ)</f>
        <v>0</v>
      </c>
      <c r="BW38" s="48">
        <f>SUMIF('Resource Demand - Activity'!$FT:$FT,Example!$G38,'Resource Demand - Activity'!BR:BR)</f>
        <v>0</v>
      </c>
      <c r="BX38" s="48">
        <f>SUMIF('Resource Demand - Activity'!$FT:$FT,Example!$G38,'Resource Demand - Activity'!BS:BS)</f>
        <v>0</v>
      </c>
      <c r="BY38" s="48">
        <f>SUMIF('Resource Demand - Activity'!$FT:$FT,Example!$G38,'Resource Demand - Activity'!BT:BT)</f>
        <v>0</v>
      </c>
      <c r="BZ38" s="48">
        <f>SUMIF('Resource Demand - Activity'!$FT:$FT,Example!$G38,'Resource Demand - Activity'!BU:BU)</f>
        <v>0</v>
      </c>
      <c r="CA38" s="48">
        <f>SUMIF('Resource Demand - Activity'!$FT:$FT,Example!$G38,'Resource Demand - Activity'!BV:BV)</f>
        <v>0</v>
      </c>
      <c r="CB38" s="48">
        <f>SUMIF('Resource Demand - Activity'!$FT:$FT,Example!$G38,'Resource Demand - Activity'!BW:BW)</f>
        <v>0</v>
      </c>
      <c r="CC38" s="48">
        <f>SUMIF('Resource Demand - Activity'!$FT:$FT,Example!$G38,'Resource Demand - Activity'!BX:BX)</f>
        <v>0</v>
      </c>
      <c r="CD38" s="48">
        <f>SUMIF('Resource Demand - Activity'!$FT:$FT,Example!$G38,'Resource Demand - Activity'!BY:BY)</f>
        <v>0</v>
      </c>
      <c r="CE38" s="48">
        <f>SUMIF('Resource Demand - Activity'!$FT:$FT,Example!$G38,'Resource Demand - Activity'!BZ:BZ)</f>
        <v>0</v>
      </c>
      <c r="CF38" s="48">
        <f>SUMIF('Resource Demand - Activity'!$FT:$FT,Example!$G38,'Resource Demand - Activity'!CA:CA)</f>
        <v>0</v>
      </c>
      <c r="CG38" s="48">
        <f>SUMIF('Resource Demand - Activity'!$FT:$FT,Example!$G38,'Resource Demand - Activity'!CB:CB)</f>
        <v>0</v>
      </c>
      <c r="CH38" s="48">
        <f>SUMIF('Resource Demand - Activity'!$FT:$FT,Example!$G38,'Resource Demand - Activity'!CC:CC)</f>
        <v>0</v>
      </c>
      <c r="CI38" s="48">
        <f>SUMIF('Resource Demand - Activity'!$FT:$FT,Example!$G38,'Resource Demand - Activity'!CD:CD)</f>
        <v>0</v>
      </c>
      <c r="CJ38" s="48">
        <f>SUMIF('Resource Demand - Activity'!$FT:$FT,Example!$G38,'Resource Demand - Activity'!CE:CE)</f>
        <v>0</v>
      </c>
      <c r="CK38" s="48">
        <f>SUMIF('Resource Demand - Activity'!$FT:$FT,Example!$G38,'Resource Demand - Activity'!CF:CF)</f>
        <v>0</v>
      </c>
      <c r="CL38" s="48">
        <f>SUMIF('Resource Demand - Activity'!$FT:$FT,Example!$G38,'Resource Demand - Activity'!CG:CG)</f>
        <v>0</v>
      </c>
      <c r="CM38" s="48">
        <f>SUMIF('Resource Demand - Activity'!$FT:$FT,Example!$G38,'Resource Demand - Activity'!CH:CH)</f>
        <v>0</v>
      </c>
      <c r="CN38" s="48">
        <f>SUMIF('Resource Demand - Activity'!$FT:$FT,Example!$G38,'Resource Demand - Activity'!CI:CI)</f>
        <v>0</v>
      </c>
      <c r="CO38" s="48">
        <f>SUMIF('Resource Demand - Activity'!$FT:$FT,Example!$G38,'Resource Demand - Activity'!CJ:CJ)</f>
        <v>0</v>
      </c>
      <c r="CP38" s="48">
        <f>SUMIF('Resource Demand - Activity'!$FT:$FT,Example!$G38,'Resource Demand - Activity'!CK:CK)</f>
        <v>0</v>
      </c>
      <c r="CQ38" s="48">
        <f>SUMIF('Resource Demand - Activity'!$FT:$FT,Example!$G38,'Resource Demand - Activity'!CL:CL)</f>
        <v>0</v>
      </c>
      <c r="CR38" s="48">
        <f>SUMIF('Resource Demand - Activity'!$FT:$FT,Example!$G38,'Resource Demand - Activity'!CM:CM)</f>
        <v>0</v>
      </c>
      <c r="CS38" s="48">
        <f>SUMIF('Resource Demand - Activity'!$FT:$FT,Example!$G38,'Resource Demand - Activity'!CN:CN)</f>
        <v>0</v>
      </c>
      <c r="CT38" s="48">
        <f>SUMIF('Resource Demand - Activity'!$FT:$FT,Example!$G38,'Resource Demand - Activity'!CO:CO)</f>
        <v>0</v>
      </c>
      <c r="CU38" s="48">
        <f>SUMIF('Resource Demand - Activity'!$FT:$FT,Example!$G38,'Resource Demand - Activity'!CP:CP)</f>
        <v>0</v>
      </c>
      <c r="CV38" s="48">
        <f>SUMIF('Resource Demand - Activity'!$FT:$FT,Example!$G38,'Resource Demand - Activity'!CQ:CQ)</f>
        <v>0</v>
      </c>
      <c r="CW38" s="48">
        <f>SUMIF('Resource Demand - Activity'!$FT:$FT,Example!$G38,'Resource Demand - Activity'!CR:CR)</f>
        <v>0</v>
      </c>
      <c r="CX38" s="48">
        <f>SUMIF('Resource Demand - Activity'!$FT:$FT,Example!$G38,'Resource Demand - Activity'!CS:CS)</f>
        <v>0</v>
      </c>
      <c r="CY38" s="49">
        <f>SUMIF('Resource Demand - Activity'!$FT:$FT,Example!$G38,'Resource Demand - Activity'!CT:CT)</f>
        <v>0</v>
      </c>
      <c r="CZ38" s="48">
        <f>SUMIF('Resource Demand - Activity'!$FT:$FT,Example!$G38,'Resource Demand - Activity'!CU:CU)</f>
        <v>0</v>
      </c>
      <c r="DA38" s="48">
        <f>SUMIF('Resource Demand - Activity'!$FT:$FT,Example!$G38,'Resource Demand - Activity'!CV:CV)</f>
        <v>0</v>
      </c>
      <c r="DB38" s="48">
        <f>SUMIF('Resource Demand - Activity'!$FT:$FT,Example!$G38,'Resource Demand - Activity'!CW:CW)</f>
        <v>0</v>
      </c>
      <c r="DC38" s="48">
        <f>SUMIF('Resource Demand - Activity'!$FT:$FT,Example!$G38,'Resource Demand - Activity'!CX:CX)</f>
        <v>0</v>
      </c>
      <c r="DD38" s="48">
        <f>SUMIF('Resource Demand - Activity'!$FT:$FT,Example!$G38,'Resource Demand - Activity'!CY:CY)</f>
        <v>0</v>
      </c>
      <c r="DE38" s="49">
        <f>SUMIF('Resource Demand - Activity'!$FT:$FT,Example!$G38,'Resource Demand - Activity'!CZ:CZ)</f>
        <v>0</v>
      </c>
      <c r="DF38" s="49">
        <f>SUMIF('Resource Demand - Activity'!$FT:$FT,Example!$G38,'Resource Demand - Activity'!DA:DA)</f>
        <v>0</v>
      </c>
      <c r="DG38" s="48">
        <f>SUMIF('Resource Demand - Activity'!$FT:$FT,Example!$G38,'Resource Demand - Activity'!DB:DB)</f>
        <v>0</v>
      </c>
      <c r="DH38" s="48">
        <f>SUMIF('Resource Demand - Activity'!$FT:$FT,Example!$G38,'Resource Demand - Activity'!DC:DC)</f>
        <v>0</v>
      </c>
      <c r="DI38" s="48">
        <f>SUMIF('Resource Demand - Activity'!$FT:$FT,Example!$G38,'Resource Demand - Activity'!DD:DD)</f>
        <v>0</v>
      </c>
      <c r="DJ38" s="48">
        <f>SUMIF('Resource Demand - Activity'!$FT:$FT,Example!$G38,'Resource Demand - Activity'!DE:DE)</f>
        <v>0</v>
      </c>
      <c r="DK38" s="48">
        <f>SUMIF('Resource Demand - Activity'!$FT:$FT,Example!$G38,'Resource Demand - Activity'!DF:DF)</f>
        <v>0</v>
      </c>
      <c r="DL38" s="48">
        <f>SUMIF('Resource Demand - Activity'!$FT:$FT,Example!$G38,'Resource Demand - Activity'!DG:DG)</f>
        <v>0</v>
      </c>
      <c r="DM38" s="48">
        <f>SUMIF('Resource Demand - Activity'!$FT:$FT,Example!$G38,'Resource Demand - Activity'!DH:DH)</f>
        <v>0</v>
      </c>
      <c r="DN38" s="48">
        <f>SUMIF('Resource Demand - Activity'!$FT:$FT,Example!$G38,'Resource Demand - Activity'!DI:DI)</f>
        <v>0</v>
      </c>
      <c r="DO38" s="48">
        <f>SUMIF('Resource Demand - Activity'!$FT:$FT,Example!$G38,'Resource Demand - Activity'!DJ:DJ)</f>
        <v>0</v>
      </c>
      <c r="DP38" s="48">
        <f>SUMIF('Resource Demand - Activity'!$FT:$FT,Example!$G38,'Resource Demand - Activity'!DK:DK)</f>
        <v>0</v>
      </c>
      <c r="DQ38" s="48">
        <f>SUMIF('Resource Demand - Activity'!$FT:$FT,Example!$G38,'Resource Demand - Activity'!DL:DL)</f>
        <v>0</v>
      </c>
      <c r="DR38" s="48">
        <f>SUMIF('Resource Demand - Activity'!$FT:$FT,Example!$G38,'Resource Demand - Activity'!DM:DM)</f>
        <v>0</v>
      </c>
      <c r="DS38" s="48">
        <f>SUMIF('Resource Demand - Activity'!$FT:$FT,Example!$G38,'Resource Demand - Activity'!DN:DN)</f>
        <v>0</v>
      </c>
      <c r="DT38" s="48">
        <f>SUMIF('Resource Demand - Activity'!$FT:$FT,Example!$G38,'Resource Demand - Activity'!DO:DO)</f>
        <v>0</v>
      </c>
      <c r="DU38" s="48">
        <f>SUMIF('Resource Demand - Activity'!$FT:$FT,Example!$G38,'Resource Demand - Activity'!DP:DP)</f>
        <v>0</v>
      </c>
      <c r="DV38" s="48">
        <f>SUMIF('Resource Demand - Activity'!$FT:$FT,Example!$G38,'Resource Demand - Activity'!DQ:DQ)</f>
        <v>0</v>
      </c>
      <c r="DW38" s="48">
        <f>SUMIF('Resource Demand - Activity'!$FT:$FT,Example!$G38,'Resource Demand - Activity'!DR:DR)</f>
        <v>1</v>
      </c>
      <c r="DX38" s="48">
        <f>SUMIF('Resource Demand - Activity'!$FT:$FT,Example!$G38,'Resource Demand - Activity'!DS:DS)</f>
        <v>0</v>
      </c>
      <c r="DY38" s="48">
        <f>SUMIF('Resource Demand - Activity'!$FT:$FT,Example!$G38,'Resource Demand - Activity'!DT:DT)</f>
        <v>0</v>
      </c>
      <c r="DZ38" s="48">
        <f>SUMIF('Resource Demand - Activity'!$FT:$FT,Example!$G38,'Resource Demand - Activity'!DU:DU)</f>
        <v>0</v>
      </c>
      <c r="EA38" s="48">
        <f>SUMIF('Resource Demand - Activity'!$FT:$FT,Example!$G38,'Resource Demand - Activity'!DV:DV)</f>
        <v>0</v>
      </c>
      <c r="EB38" s="48">
        <f>SUMIF('Resource Demand - Activity'!$FT:$FT,Example!$G38,'Resource Demand - Activity'!DW:DW)</f>
        <v>0</v>
      </c>
      <c r="EC38" s="48">
        <f>SUMIF('Resource Demand - Activity'!$FT:$FT,Example!$G38,'Resource Demand - Activity'!DX:DX)</f>
        <v>0</v>
      </c>
      <c r="ED38" s="48">
        <f>SUMIF('Resource Demand - Activity'!$FT:$FT,Example!$G38,'Resource Demand - Activity'!DY:DY)</f>
        <v>0</v>
      </c>
      <c r="EE38" s="49">
        <f>SUMIF('Resource Demand - Activity'!$FT:$FT,Example!$G38,'Resource Demand - Activity'!DZ:DZ)</f>
        <v>0</v>
      </c>
      <c r="EF38" s="48">
        <f>SUMIF('Resource Demand - Activity'!$FT:$FT,Example!$G38,'Resource Demand - Activity'!EA:EA)</f>
        <v>0</v>
      </c>
      <c r="EG38" s="48">
        <f>SUMIF('Resource Demand - Activity'!$FT:$FT,Example!$G38,'Resource Demand - Activity'!EB:EB)</f>
        <v>0</v>
      </c>
      <c r="EH38" s="48">
        <f>SUMIF('Resource Demand - Activity'!$FT:$FT,Example!$G38,'Resource Demand - Activity'!EC:EC)</f>
        <v>0</v>
      </c>
      <c r="EI38" s="48">
        <f>SUMIF('Resource Demand - Activity'!$FT:$FT,Example!$G38,'Resource Demand - Activity'!ED:ED)</f>
        <v>0</v>
      </c>
      <c r="EJ38" s="48">
        <f>SUMIF('Resource Demand - Activity'!$FT:$FT,Example!$G38,'Resource Demand - Activity'!EE:EE)</f>
        <v>0</v>
      </c>
      <c r="EK38" s="48">
        <f>SUMIF('Resource Demand - Activity'!$FT:$FT,Example!$G38,'Resource Demand - Activity'!EF:EF)</f>
        <v>0</v>
      </c>
      <c r="EL38" s="48">
        <f>SUMIF('Resource Demand - Activity'!$FT:$FT,Example!$G38,'Resource Demand - Activity'!EG:EG)</f>
        <v>0</v>
      </c>
      <c r="EM38" s="48">
        <f>SUMIF('Resource Demand - Activity'!$FT:$FT,Example!$G38,'Resource Demand - Activity'!EH:EH)</f>
        <v>0</v>
      </c>
      <c r="EN38" s="48">
        <f>SUMIF('Resource Demand - Activity'!$FT:$FT,Example!$G38,'Resource Demand - Activity'!EI:EI)</f>
        <v>0</v>
      </c>
      <c r="EO38" s="48">
        <f>SUMIF('Resource Demand - Activity'!$FT:$FT,Example!$G38,'Resource Demand - Activity'!EJ:EJ)</f>
        <v>0</v>
      </c>
      <c r="EP38" s="48">
        <f>SUMIF('Resource Demand - Activity'!$FT:$FT,Example!$G38,'Resource Demand - Activity'!EK:EK)</f>
        <v>0</v>
      </c>
      <c r="EQ38" s="48">
        <f>SUMIF('Resource Demand - Activity'!$FT:$FT,Example!$G38,'Resource Demand - Activity'!EL:EL)</f>
        <v>0</v>
      </c>
      <c r="ER38" s="48">
        <f>SUMIF('Resource Demand - Activity'!$FT:$FT,Example!$G38,'Resource Demand - Activity'!EM:EM)</f>
        <v>0</v>
      </c>
      <c r="ES38" s="48">
        <f>SUMIF('Resource Demand - Activity'!$FT:$FT,Example!$G38,'Resource Demand - Activity'!EN:EN)</f>
        <v>0</v>
      </c>
      <c r="ET38" s="48">
        <f>SUMIF('Resource Demand - Activity'!$FT:$FT,Example!$G38,'Resource Demand - Activity'!EO:EO)</f>
        <v>0</v>
      </c>
      <c r="EU38" s="48">
        <f>SUMIF('Resource Demand - Activity'!$FT:$FT,Example!$G38,'Resource Demand - Activity'!EP:EP)</f>
        <v>0</v>
      </c>
      <c r="EV38" s="48">
        <f>SUMIF('Resource Demand - Activity'!$FT:$FT,Example!$G38,'Resource Demand - Activity'!EQ:EQ)</f>
        <v>0</v>
      </c>
      <c r="EW38" s="48">
        <f>SUMIF('Resource Demand - Activity'!$FT:$FT,Example!$G38,'Resource Demand - Activity'!ER:ER)</f>
        <v>0</v>
      </c>
      <c r="EX38" s="48">
        <f>SUMIF('Resource Demand - Activity'!$FT:$FT,Example!$G38,'Resource Demand - Activity'!ES:ES)</f>
        <v>0</v>
      </c>
      <c r="EY38" s="48">
        <f>SUMIF('Resource Demand - Activity'!$FT:$FT,Example!$G38,'Resource Demand - Activity'!ET:ET)</f>
        <v>0</v>
      </c>
      <c r="EZ38" s="48">
        <f>SUMIF('Resource Demand - Activity'!$FT:$FT,Example!$G38,'Resource Demand - Activity'!EU:EU)</f>
        <v>0</v>
      </c>
      <c r="FA38" s="48">
        <f>SUMIF('Resource Demand - Activity'!$FT:$FT,Example!$G38,'Resource Demand - Activity'!EV:EV)</f>
        <v>0</v>
      </c>
      <c r="FB38" s="48">
        <f>SUMIF('Resource Demand - Activity'!$FT:$FT,Example!$G38,'Resource Demand - Activity'!EW:EW)</f>
        <v>0</v>
      </c>
      <c r="FC38" s="48">
        <f>SUMIF('Resource Demand - Activity'!$FT:$FT,Example!$G38,'Resource Demand - Activity'!EX:EX)</f>
        <v>0</v>
      </c>
      <c r="FD38" s="49">
        <f>SUMIF('Resource Demand - Activity'!$FT:$FT,Example!$G38,'Resource Demand - Activity'!EY:EY)</f>
        <v>0</v>
      </c>
      <c r="FE38" s="48">
        <f>SUMIF('Resource Demand - Activity'!$FT:$FT,Example!$G38,'Resource Demand - Activity'!EZ:EZ)</f>
        <v>0</v>
      </c>
      <c r="FF38" s="48">
        <f>SUMIF('Resource Demand - Activity'!$FT:$FT,Example!$G38,'Resource Demand - Activity'!FA:FA)</f>
        <v>0</v>
      </c>
      <c r="FG38" s="48">
        <f>SUMIF('Resource Demand - Activity'!$FT:$FT,Example!$G38,'Resource Demand - Activity'!FB:FB)</f>
        <v>0</v>
      </c>
      <c r="FH38" s="48">
        <f>SUMIF('Resource Demand - Activity'!$FT:$FT,Example!$G38,'Resource Demand - Activity'!FC:FC)</f>
        <v>0</v>
      </c>
      <c r="FI38" s="48">
        <f>SUMIF('Resource Demand - Activity'!$FT:$FT,Example!$G38,'Resource Demand - Activity'!FD:FD)</f>
        <v>0</v>
      </c>
      <c r="FJ38" s="48">
        <f>SUMIF('Resource Demand - Activity'!$FT:$FT,Example!$G38,'Resource Demand - Activity'!FE:FE)</f>
        <v>0</v>
      </c>
      <c r="FK38" s="48">
        <f>SUMIF('Resource Demand - Activity'!$FT:$FT,Example!$G38,'Resource Demand - Activity'!FF:FF)</f>
        <v>0</v>
      </c>
      <c r="FL38" s="48">
        <f>SUMIF('Resource Demand - Activity'!$FT:$FT,Example!$G38,'Resource Demand - Activity'!FG:FG)</f>
        <v>0</v>
      </c>
      <c r="FM38" s="48">
        <f>SUMIF('Resource Demand - Activity'!$FT:$FT,Example!$G38,'Resource Demand - Activity'!FH:FH)</f>
        <v>0</v>
      </c>
      <c r="FN38" s="48">
        <f>SUMIF('Resource Demand - Activity'!$FT:$FT,Example!$G38,'Resource Demand - Activity'!FI:FI)</f>
        <v>0</v>
      </c>
      <c r="FO38" s="48">
        <f>SUMIF('Resource Demand - Activity'!$FT:$FT,Example!$G38,'Resource Demand - Activity'!FJ:FJ)</f>
        <v>0</v>
      </c>
      <c r="FP38" s="48">
        <f>SUMIF('Resource Demand - Activity'!$FT:$FT,Example!$G38,'Resource Demand - Activity'!FK:FK)</f>
        <v>0</v>
      </c>
      <c r="FQ38" s="48">
        <f>SUMIF('Resource Demand - Activity'!$FT:$FT,Example!$G38,'Resource Demand - Activity'!FL:FL)</f>
        <v>0</v>
      </c>
      <c r="FR38" s="48">
        <f>SUMIF('Resource Demand - Activity'!$FT:$FT,Example!$G38,'Resource Demand - Activity'!FM:FM)</f>
        <v>0</v>
      </c>
      <c r="FS38" s="48">
        <f>SUMIF('Resource Demand - Activity'!$FT:$FT,Example!$G38,'Resource Demand - Activity'!FN:FN)</f>
        <v>0</v>
      </c>
      <c r="FT38" s="48">
        <f>SUMIF('Resource Demand - Activity'!$FT:$FT,Example!$G38,'Resource Demand - Activity'!FO:FO)</f>
        <v>0</v>
      </c>
      <c r="FU38" s="48">
        <f>SUMIF('Resource Demand - Activity'!$FT:$FT,Example!$G38,'Resource Demand - Activity'!FP:FP)</f>
        <v>0</v>
      </c>
      <c r="FV38" s="50">
        <f>SUMIF('Resource Demand - Activity'!$FT:$FT,Example!$G38,'Resource Demand - Activity'!FQ:FQ)</f>
        <v>0</v>
      </c>
    </row>
    <row r="39" spans="2:178" ht="12" customHeight="1">
      <c r="B39" s="148"/>
      <c r="C39" s="148"/>
      <c r="D39" s="148"/>
      <c r="E39" s="148"/>
      <c r="G39" s="64" t="str">
        <f t="shared" ref="G39:G56" si="7">H39&amp;$H$36</f>
        <v>2. Quarterly Reporting (QRTs)  2.2 ReviewSenior Accountant</v>
      </c>
      <c r="H39" s="61" t="s">
        <v>145</v>
      </c>
      <c r="I39" s="59" t="str">
        <f>INDEX('Resource Demand - Activity'!C:C,MATCH(Example!G39,'Resource Demand - Activity'!FT:FT,0))</f>
        <v>5 days</v>
      </c>
      <c r="J39" s="51">
        <f>SUMIF('Resource Demand - Activity'!$FT:$FT,Example!$G39,'Resource Demand - Activity'!E:E)</f>
        <v>0</v>
      </c>
      <c r="K39" s="35">
        <f>SUMIF('Resource Demand - Activity'!$FT:$FT,Example!$G39,'Resource Demand - Activity'!F:F)</f>
        <v>0</v>
      </c>
      <c r="L39" s="35">
        <f>SUMIF('Resource Demand - Activity'!$FT:$FT,Example!$G39,'Resource Demand - Activity'!G:G)</f>
        <v>0</v>
      </c>
      <c r="M39" s="35">
        <f>SUMIF('Resource Demand - Activity'!$FT:$FT,Example!$G39,'Resource Demand - Activity'!H:H)</f>
        <v>0</v>
      </c>
      <c r="N39" s="35">
        <f>SUMIF('Resource Demand - Activity'!$FT:$FT,Example!$G39,'Resource Demand - Activity'!I:I)</f>
        <v>0</v>
      </c>
      <c r="O39" s="35">
        <f>SUMIF('Resource Demand - Activity'!$FT:$FT,Example!$G39,'Resource Demand - Activity'!J:J)</f>
        <v>0</v>
      </c>
      <c r="P39" s="35">
        <f>SUMIF('Resource Demand - Activity'!$FT:$FT,Example!$G39,'Resource Demand - Activity'!K:K)</f>
        <v>0</v>
      </c>
      <c r="Q39" s="35">
        <f>SUMIF('Resource Demand - Activity'!$FT:$FT,Example!$G39,'Resource Demand - Activity'!L:L)</f>
        <v>0</v>
      </c>
      <c r="R39" s="35">
        <f>SUMIF('Resource Demand - Activity'!$FT:$FT,Example!$G39,'Resource Demand - Activity'!M:M)</f>
        <v>0</v>
      </c>
      <c r="S39" s="35">
        <f>SUMIF('Resource Demand - Activity'!$FT:$FT,Example!$G39,'Resource Demand - Activity'!N:N)</f>
        <v>0</v>
      </c>
      <c r="T39" s="35">
        <f>SUMIF('Resource Demand - Activity'!$FT:$FT,Example!$G39,'Resource Demand - Activity'!O:O)</f>
        <v>0</v>
      </c>
      <c r="U39" s="35">
        <f>SUMIF('Resource Demand - Activity'!$FT:$FT,Example!$G39,'Resource Demand - Activity'!P:P)</f>
        <v>0</v>
      </c>
      <c r="V39" s="35">
        <f>SUMIF('Resource Demand - Activity'!$FT:$FT,Example!$G39,'Resource Demand - Activity'!Q:Q)</f>
        <v>0</v>
      </c>
      <c r="W39" s="35">
        <f>SUMIF('Resource Demand - Activity'!$FT:$FT,Example!$G39,'Resource Demand - Activity'!R:R)</f>
        <v>0</v>
      </c>
      <c r="X39" s="35">
        <f>SUMIF('Resource Demand - Activity'!$FT:$FT,Example!$G39,'Resource Demand - Activity'!S:S)</f>
        <v>0</v>
      </c>
      <c r="Y39" s="35">
        <f>SUMIF('Resource Demand - Activity'!$FT:$FT,Example!$G39,'Resource Demand - Activity'!T:T)</f>
        <v>0</v>
      </c>
      <c r="Z39" s="35">
        <f>SUMIF('Resource Demand - Activity'!$FT:$FT,Example!$G39,'Resource Demand - Activity'!U:U)</f>
        <v>0</v>
      </c>
      <c r="AA39" s="35">
        <f>SUMIF('Resource Demand - Activity'!$FT:$FT,Example!$G39,'Resource Demand - Activity'!V:V)</f>
        <v>0</v>
      </c>
      <c r="AB39" s="35">
        <f>SUMIF('Resource Demand - Activity'!$FT:$FT,Example!$G39,'Resource Demand - Activity'!W:W)</f>
        <v>0</v>
      </c>
      <c r="AC39" s="35">
        <f>SUMIF('Resource Demand - Activity'!$FT:$FT,Example!$G39,'Resource Demand - Activity'!X:X)</f>
        <v>0</v>
      </c>
      <c r="AD39" s="35">
        <f>SUMIF('Resource Demand - Activity'!$FT:$FT,Example!$G39,'Resource Demand - Activity'!Y:Y)</f>
        <v>0</v>
      </c>
      <c r="AE39" s="35">
        <f>SUMIF('Resource Demand - Activity'!$FT:$FT,Example!$G39,'Resource Demand - Activity'!Z:Z)</f>
        <v>0</v>
      </c>
      <c r="AF39" s="35">
        <f>SUMIF('Resource Demand - Activity'!$FT:$FT,Example!$G39,'Resource Demand - Activity'!AA:AA)</f>
        <v>0</v>
      </c>
      <c r="AG39" s="35">
        <f>SUMIF('Resource Demand - Activity'!$FT:$FT,Example!$G39,'Resource Demand - Activity'!AB:AB)</f>
        <v>0</v>
      </c>
      <c r="AH39" s="35">
        <f>SUMIF('Resource Demand - Activity'!$FT:$FT,Example!$G39,'Resource Demand - Activity'!AC:AC)</f>
        <v>0</v>
      </c>
      <c r="AI39" s="35">
        <f>SUMIF('Resource Demand - Activity'!$FT:$FT,Example!$G39,'Resource Demand - Activity'!AD:AD)</f>
        <v>0</v>
      </c>
      <c r="AJ39" s="35">
        <f>SUMIF('Resource Demand - Activity'!$FT:$FT,Example!$G39,'Resource Demand - Activity'!AE:AE)</f>
        <v>0</v>
      </c>
      <c r="AK39" s="35">
        <f>SUMIF('Resource Demand - Activity'!$FT:$FT,Example!$G39,'Resource Demand - Activity'!AF:AF)</f>
        <v>0</v>
      </c>
      <c r="AL39" s="35">
        <f>SUMIF('Resource Demand - Activity'!$FT:$FT,Example!$G39,'Resource Demand - Activity'!AG:AG)</f>
        <v>0</v>
      </c>
      <c r="AM39" s="35">
        <f>SUMIF('Resource Demand - Activity'!$FT:$FT,Example!$G39,'Resource Demand - Activity'!AH:AH)</f>
        <v>0</v>
      </c>
      <c r="AN39" s="35">
        <f>SUMIF('Resource Demand - Activity'!$FT:$FT,Example!$G39,'Resource Demand - Activity'!AI:AI)</f>
        <v>0</v>
      </c>
      <c r="AO39" s="35">
        <f>SUMIF('Resource Demand - Activity'!$FT:$FT,Example!$G39,'Resource Demand - Activity'!AJ:AJ)</f>
        <v>0</v>
      </c>
      <c r="AP39" s="35">
        <f>SUMIF('Resource Demand - Activity'!$FT:$FT,Example!$G39,'Resource Demand - Activity'!AK:AK)</f>
        <v>0</v>
      </c>
      <c r="AQ39" s="36">
        <f>SUMIF('Resource Demand - Activity'!$FT:$FT,Example!$G39,'Resource Demand - Activity'!AL:AL)</f>
        <v>0</v>
      </c>
      <c r="AR39" s="36">
        <f>SUMIF('Resource Demand - Activity'!$FT:$FT,Example!$G39,'Resource Demand - Activity'!AM:AM)</f>
        <v>0</v>
      </c>
      <c r="AS39" s="36">
        <f>SUMIF('Resource Demand - Activity'!$FT:$FT,Example!$G39,'Resource Demand - Activity'!AN:AN)</f>
        <v>0</v>
      </c>
      <c r="AT39" s="36">
        <f>SUMIF('Resource Demand - Activity'!$FT:$FT,Example!$G39,'Resource Demand - Activity'!AO:AO)</f>
        <v>0</v>
      </c>
      <c r="AU39" s="36">
        <f>SUMIF('Resource Demand - Activity'!$FT:$FT,Example!$G39,'Resource Demand - Activity'!AP:AP)</f>
        <v>0</v>
      </c>
      <c r="AV39" s="36">
        <f>SUMIF('Resource Demand - Activity'!$FT:$FT,Example!$G39,'Resource Demand - Activity'!AQ:AQ)</f>
        <v>0</v>
      </c>
      <c r="AW39" s="36">
        <f>SUMIF('Resource Demand - Activity'!$FT:$FT,Example!$G39,'Resource Demand - Activity'!AR:AR)</f>
        <v>0</v>
      </c>
      <c r="AX39" s="35">
        <f>SUMIF('Resource Demand - Activity'!$FT:$FT,Example!$G39,'Resource Demand - Activity'!AS:AS)</f>
        <v>0</v>
      </c>
      <c r="AY39" s="35">
        <f>SUMIF('Resource Demand - Activity'!$FT:$FT,Example!$G39,'Resource Demand - Activity'!AT:AT)</f>
        <v>0</v>
      </c>
      <c r="AZ39" s="35">
        <f>SUMIF('Resource Demand - Activity'!$FT:$FT,Example!$G39,'Resource Demand - Activity'!AU:AU)</f>
        <v>0</v>
      </c>
      <c r="BA39" s="35">
        <f>SUMIF('Resource Demand - Activity'!$FT:$FT,Example!$G39,'Resource Demand - Activity'!AV:AV)</f>
        <v>0</v>
      </c>
      <c r="BB39" s="35">
        <f>SUMIF('Resource Demand - Activity'!$FT:$FT,Example!$G39,'Resource Demand - Activity'!AW:AW)</f>
        <v>0</v>
      </c>
      <c r="BC39" s="35">
        <f>SUMIF('Resource Demand - Activity'!$FT:$FT,Example!$G39,'Resource Demand - Activity'!AX:AX)</f>
        <v>0</v>
      </c>
      <c r="BD39" s="35">
        <f>SUMIF('Resource Demand - Activity'!$FT:$FT,Example!$G39,'Resource Demand - Activity'!AY:AY)</f>
        <v>0</v>
      </c>
      <c r="BE39" s="35">
        <f>SUMIF('Resource Demand - Activity'!$FT:$FT,Example!$G39,'Resource Demand - Activity'!AZ:AZ)</f>
        <v>0</v>
      </c>
      <c r="BF39" s="35">
        <f>SUMIF('Resource Demand - Activity'!$FT:$FT,Example!$G39,'Resource Demand - Activity'!BA:BA)</f>
        <v>0</v>
      </c>
      <c r="BG39" s="35">
        <f>SUMIF('Resource Demand - Activity'!$FT:$FT,Example!$G39,'Resource Demand - Activity'!BB:BB)</f>
        <v>0</v>
      </c>
      <c r="BH39" s="35">
        <f>SUMIF('Resource Demand - Activity'!$FT:$FT,Example!$G39,'Resource Demand - Activity'!BC:BC)</f>
        <v>0</v>
      </c>
      <c r="BI39" s="35">
        <f>SUMIF('Resource Demand - Activity'!$FT:$FT,Example!$G39,'Resource Demand - Activity'!BD:BD)</f>
        <v>0</v>
      </c>
      <c r="BJ39" s="35">
        <f>SUMIF('Resource Demand - Activity'!$FT:$FT,Example!$G39,'Resource Demand - Activity'!BE:BE)</f>
        <v>0</v>
      </c>
      <c r="BK39" s="35">
        <f>SUMIF('Resource Demand - Activity'!$FT:$FT,Example!$G39,'Resource Demand - Activity'!BF:BF)</f>
        <v>0</v>
      </c>
      <c r="BL39" s="35">
        <f>SUMIF('Resource Demand - Activity'!$FT:$FT,Example!$G39,'Resource Demand - Activity'!BG:BG)</f>
        <v>0</v>
      </c>
      <c r="BM39" s="35">
        <f>SUMIF('Resource Demand - Activity'!$FT:$FT,Example!$G39,'Resource Demand - Activity'!BH:BH)</f>
        <v>0</v>
      </c>
      <c r="BN39" s="35">
        <f>SUMIF('Resource Demand - Activity'!$FT:$FT,Example!$G39,'Resource Demand - Activity'!BI:BI)</f>
        <v>0</v>
      </c>
      <c r="BO39" s="35">
        <f>SUMIF('Resource Demand - Activity'!$FT:$FT,Example!$G39,'Resource Demand - Activity'!BJ:BJ)</f>
        <v>0</v>
      </c>
      <c r="BP39" s="35">
        <f>SUMIF('Resource Demand - Activity'!$FT:$FT,Example!$G39,'Resource Demand - Activity'!BK:BK)</f>
        <v>0</v>
      </c>
      <c r="BQ39" s="35">
        <f>SUMIF('Resource Demand - Activity'!$FT:$FT,Example!$G39,'Resource Demand - Activity'!BL:BL)</f>
        <v>0</v>
      </c>
      <c r="BR39" s="35">
        <f>SUMIF('Resource Demand - Activity'!$FT:$FT,Example!$G39,'Resource Demand - Activity'!BM:BM)</f>
        <v>0</v>
      </c>
      <c r="BS39" s="35">
        <f>SUMIF('Resource Demand - Activity'!$FT:$FT,Example!$G39,'Resource Demand - Activity'!BN:BN)</f>
        <v>0</v>
      </c>
      <c r="BT39" s="35">
        <f>SUMIF('Resource Demand - Activity'!$FT:$FT,Example!$G39,'Resource Demand - Activity'!BO:BO)</f>
        <v>0</v>
      </c>
      <c r="BU39" s="35">
        <f>SUMIF('Resource Demand - Activity'!$FT:$FT,Example!$G39,'Resource Demand - Activity'!BP:BP)</f>
        <v>0</v>
      </c>
      <c r="BV39" s="35">
        <f>SUMIF('Resource Demand - Activity'!$FT:$FT,Example!$G39,'Resource Demand - Activity'!BQ:BQ)</f>
        <v>0</v>
      </c>
      <c r="BW39" s="35">
        <f>SUMIF('Resource Demand - Activity'!$FT:$FT,Example!$G39,'Resource Demand - Activity'!BR:BR)</f>
        <v>0</v>
      </c>
      <c r="BX39" s="35">
        <f>SUMIF('Resource Demand - Activity'!$FT:$FT,Example!$G39,'Resource Demand - Activity'!BS:BS)</f>
        <v>0</v>
      </c>
      <c r="BY39" s="35">
        <f>SUMIF('Resource Demand - Activity'!$FT:$FT,Example!$G39,'Resource Demand - Activity'!BT:BT)</f>
        <v>0</v>
      </c>
      <c r="BZ39" s="35">
        <f>SUMIF('Resource Demand - Activity'!$FT:$FT,Example!$G39,'Resource Demand - Activity'!BU:BU)</f>
        <v>0</v>
      </c>
      <c r="CA39" s="35">
        <f>SUMIF('Resource Demand - Activity'!$FT:$FT,Example!$G39,'Resource Demand - Activity'!BV:BV)</f>
        <v>0</v>
      </c>
      <c r="CB39" s="35">
        <f>SUMIF('Resource Demand - Activity'!$FT:$FT,Example!$G39,'Resource Demand - Activity'!BW:BW)</f>
        <v>0</v>
      </c>
      <c r="CC39" s="35">
        <f>SUMIF('Resource Demand - Activity'!$FT:$FT,Example!$G39,'Resource Demand - Activity'!BX:BX)</f>
        <v>0</v>
      </c>
      <c r="CD39" s="35">
        <f>SUMIF('Resource Demand - Activity'!$FT:$FT,Example!$G39,'Resource Demand - Activity'!BY:BY)</f>
        <v>0</v>
      </c>
      <c r="CE39" s="35">
        <f>SUMIF('Resource Demand - Activity'!$FT:$FT,Example!$G39,'Resource Demand - Activity'!BZ:BZ)</f>
        <v>0</v>
      </c>
      <c r="CF39" s="35">
        <f>SUMIF('Resource Demand - Activity'!$FT:$FT,Example!$G39,'Resource Demand - Activity'!CA:CA)</f>
        <v>0</v>
      </c>
      <c r="CG39" s="35">
        <f>SUMIF('Resource Demand - Activity'!$FT:$FT,Example!$G39,'Resource Demand - Activity'!CB:CB)</f>
        <v>0</v>
      </c>
      <c r="CH39" s="35">
        <f>SUMIF('Resource Demand - Activity'!$FT:$FT,Example!$G39,'Resource Demand - Activity'!CC:CC)</f>
        <v>0</v>
      </c>
      <c r="CI39" s="35">
        <f>SUMIF('Resource Demand - Activity'!$FT:$FT,Example!$G39,'Resource Demand - Activity'!CD:CD)</f>
        <v>0</v>
      </c>
      <c r="CJ39" s="35">
        <f>SUMIF('Resource Demand - Activity'!$FT:$FT,Example!$G39,'Resource Demand - Activity'!CE:CE)</f>
        <v>0</v>
      </c>
      <c r="CK39" s="35">
        <f>SUMIF('Resource Demand - Activity'!$FT:$FT,Example!$G39,'Resource Demand - Activity'!CF:CF)</f>
        <v>0</v>
      </c>
      <c r="CL39" s="35">
        <f>SUMIF('Resource Demand - Activity'!$FT:$FT,Example!$G39,'Resource Demand - Activity'!CG:CG)</f>
        <v>0</v>
      </c>
      <c r="CM39" s="35">
        <f>SUMIF('Resource Demand - Activity'!$FT:$FT,Example!$G39,'Resource Demand - Activity'!CH:CH)</f>
        <v>0</v>
      </c>
      <c r="CN39" s="35">
        <f>SUMIF('Resource Demand - Activity'!$FT:$FT,Example!$G39,'Resource Demand - Activity'!CI:CI)</f>
        <v>0</v>
      </c>
      <c r="CO39" s="35">
        <f>SUMIF('Resource Demand - Activity'!$FT:$FT,Example!$G39,'Resource Demand - Activity'!CJ:CJ)</f>
        <v>0</v>
      </c>
      <c r="CP39" s="35">
        <f>SUMIF('Resource Demand - Activity'!$FT:$FT,Example!$G39,'Resource Demand - Activity'!CK:CK)</f>
        <v>0</v>
      </c>
      <c r="CQ39" s="35">
        <f>SUMIF('Resource Demand - Activity'!$FT:$FT,Example!$G39,'Resource Demand - Activity'!CL:CL)</f>
        <v>0</v>
      </c>
      <c r="CR39" s="35">
        <f>SUMIF('Resource Demand - Activity'!$FT:$FT,Example!$G39,'Resource Demand - Activity'!CM:CM)</f>
        <v>0</v>
      </c>
      <c r="CS39" s="35">
        <f>SUMIF('Resource Demand - Activity'!$FT:$FT,Example!$G39,'Resource Demand - Activity'!CN:CN)</f>
        <v>0</v>
      </c>
      <c r="CT39" s="35">
        <f>SUMIF('Resource Demand - Activity'!$FT:$FT,Example!$G39,'Resource Demand - Activity'!CO:CO)</f>
        <v>0</v>
      </c>
      <c r="CU39" s="35">
        <f>SUMIF('Resource Demand - Activity'!$FT:$FT,Example!$G39,'Resource Demand - Activity'!CP:CP)</f>
        <v>0</v>
      </c>
      <c r="CV39" s="35">
        <f>SUMIF('Resource Demand - Activity'!$FT:$FT,Example!$G39,'Resource Demand - Activity'!CQ:CQ)</f>
        <v>0</v>
      </c>
      <c r="CW39" s="35">
        <f>SUMIF('Resource Demand - Activity'!$FT:$FT,Example!$G39,'Resource Demand - Activity'!CR:CR)</f>
        <v>0</v>
      </c>
      <c r="CX39" s="35">
        <f>SUMIF('Resource Demand - Activity'!$FT:$FT,Example!$G39,'Resource Demand - Activity'!CS:CS)</f>
        <v>0</v>
      </c>
      <c r="CY39" s="36">
        <f>SUMIF('Resource Demand - Activity'!$FT:$FT,Example!$G39,'Resource Demand - Activity'!CT:CT)</f>
        <v>0</v>
      </c>
      <c r="CZ39" s="35">
        <f>SUMIF('Resource Demand - Activity'!$FT:$FT,Example!$G39,'Resource Demand - Activity'!CU:CU)</f>
        <v>0</v>
      </c>
      <c r="DA39" s="35">
        <f>SUMIF('Resource Demand - Activity'!$FT:$FT,Example!$G39,'Resource Demand - Activity'!CV:CV)</f>
        <v>0</v>
      </c>
      <c r="DB39" s="35">
        <f>SUMIF('Resource Demand - Activity'!$FT:$FT,Example!$G39,'Resource Demand - Activity'!CW:CW)</f>
        <v>0</v>
      </c>
      <c r="DC39" s="35">
        <f>SUMIF('Resource Demand - Activity'!$FT:$FT,Example!$G39,'Resource Demand - Activity'!CX:CX)</f>
        <v>0</v>
      </c>
      <c r="DD39" s="35">
        <f>SUMIF('Resource Demand - Activity'!$FT:$FT,Example!$G39,'Resource Demand - Activity'!CY:CY)</f>
        <v>0</v>
      </c>
      <c r="DE39" s="36">
        <f>SUMIF('Resource Demand - Activity'!$FT:$FT,Example!$G39,'Resource Demand - Activity'!CZ:CZ)</f>
        <v>0</v>
      </c>
      <c r="DF39" s="36">
        <f>SUMIF('Resource Demand - Activity'!$FT:$FT,Example!$G39,'Resource Demand - Activity'!DA:DA)</f>
        <v>0</v>
      </c>
      <c r="DG39" s="35">
        <f>SUMIF('Resource Demand - Activity'!$FT:$FT,Example!$G39,'Resource Demand - Activity'!DB:DB)</f>
        <v>0</v>
      </c>
      <c r="DH39" s="35">
        <f>SUMIF('Resource Demand - Activity'!$FT:$FT,Example!$G39,'Resource Demand - Activity'!DC:DC)</f>
        <v>0</v>
      </c>
      <c r="DI39" s="35">
        <f>SUMIF('Resource Demand - Activity'!$FT:$FT,Example!$G39,'Resource Demand - Activity'!DD:DD)</f>
        <v>0</v>
      </c>
      <c r="DJ39" s="35">
        <f>SUMIF('Resource Demand - Activity'!$FT:$FT,Example!$G39,'Resource Demand - Activity'!DE:DE)</f>
        <v>0</v>
      </c>
      <c r="DK39" s="35">
        <f>SUMIF('Resource Demand - Activity'!$FT:$FT,Example!$G39,'Resource Demand - Activity'!DF:DF)</f>
        <v>0</v>
      </c>
      <c r="DL39" s="35">
        <f>SUMIF('Resource Demand - Activity'!$FT:$FT,Example!$G39,'Resource Demand - Activity'!DG:DG)</f>
        <v>0</v>
      </c>
      <c r="DM39" s="35">
        <f>SUMIF('Resource Demand - Activity'!$FT:$FT,Example!$G39,'Resource Demand - Activity'!DH:DH)</f>
        <v>0</v>
      </c>
      <c r="DN39" s="35">
        <f>SUMIF('Resource Demand - Activity'!$FT:$FT,Example!$G39,'Resource Demand - Activity'!DI:DI)</f>
        <v>0</v>
      </c>
      <c r="DO39" s="35">
        <f>SUMIF('Resource Demand - Activity'!$FT:$FT,Example!$G39,'Resource Demand - Activity'!DJ:DJ)</f>
        <v>0</v>
      </c>
      <c r="DP39" s="35">
        <f>SUMIF('Resource Demand - Activity'!$FT:$FT,Example!$G39,'Resource Demand - Activity'!DK:DK)</f>
        <v>0</v>
      </c>
      <c r="DQ39" s="35">
        <f>SUMIF('Resource Demand - Activity'!$FT:$FT,Example!$G39,'Resource Demand - Activity'!DL:DL)</f>
        <v>0</v>
      </c>
      <c r="DR39" s="35">
        <f>SUMIF('Resource Demand - Activity'!$FT:$FT,Example!$G39,'Resource Demand - Activity'!DM:DM)</f>
        <v>1</v>
      </c>
      <c r="DS39" s="35">
        <f>SUMIF('Resource Demand - Activity'!$FT:$FT,Example!$G39,'Resource Demand - Activity'!DN:DN)</f>
        <v>1</v>
      </c>
      <c r="DT39" s="35">
        <f>SUMIF('Resource Demand - Activity'!$FT:$FT,Example!$G39,'Resource Demand - Activity'!DO:DO)</f>
        <v>1</v>
      </c>
      <c r="DU39" s="35">
        <f>SUMIF('Resource Demand - Activity'!$FT:$FT,Example!$G39,'Resource Demand - Activity'!DP:DP)</f>
        <v>1</v>
      </c>
      <c r="DV39" s="35">
        <f>SUMIF('Resource Demand - Activity'!$FT:$FT,Example!$G39,'Resource Demand - Activity'!DQ:DQ)</f>
        <v>1</v>
      </c>
      <c r="DW39" s="35">
        <f>SUMIF('Resource Demand - Activity'!$FT:$FT,Example!$G39,'Resource Demand - Activity'!DR:DR)</f>
        <v>0</v>
      </c>
      <c r="DX39" s="35">
        <f>SUMIF('Resource Demand - Activity'!$FT:$FT,Example!$G39,'Resource Demand - Activity'!DS:DS)</f>
        <v>0</v>
      </c>
      <c r="DY39" s="35">
        <f>SUMIF('Resource Demand - Activity'!$FT:$FT,Example!$G39,'Resource Demand - Activity'!DT:DT)</f>
        <v>0</v>
      </c>
      <c r="DZ39" s="35">
        <f>SUMIF('Resource Demand - Activity'!$FT:$FT,Example!$G39,'Resource Demand - Activity'!DU:DU)</f>
        <v>0</v>
      </c>
      <c r="EA39" s="35">
        <f>SUMIF('Resource Demand - Activity'!$FT:$FT,Example!$G39,'Resource Demand - Activity'!DV:DV)</f>
        <v>0</v>
      </c>
      <c r="EB39" s="35">
        <f>SUMIF('Resource Demand - Activity'!$FT:$FT,Example!$G39,'Resource Demand - Activity'!DW:DW)</f>
        <v>0</v>
      </c>
      <c r="EC39" s="35">
        <f>SUMIF('Resource Demand - Activity'!$FT:$FT,Example!$G39,'Resource Demand - Activity'!DX:DX)</f>
        <v>0</v>
      </c>
      <c r="ED39" s="35">
        <f>SUMIF('Resource Demand - Activity'!$FT:$FT,Example!$G39,'Resource Demand - Activity'!DY:DY)</f>
        <v>0</v>
      </c>
      <c r="EE39" s="36">
        <f>SUMIF('Resource Demand - Activity'!$FT:$FT,Example!$G39,'Resource Demand - Activity'!DZ:DZ)</f>
        <v>0</v>
      </c>
      <c r="EF39" s="35">
        <f>SUMIF('Resource Demand - Activity'!$FT:$FT,Example!$G39,'Resource Demand - Activity'!EA:EA)</f>
        <v>0</v>
      </c>
      <c r="EG39" s="35">
        <f>SUMIF('Resource Demand - Activity'!$FT:$FT,Example!$G39,'Resource Demand - Activity'!EB:EB)</f>
        <v>0</v>
      </c>
      <c r="EH39" s="35">
        <f>SUMIF('Resource Demand - Activity'!$FT:$FT,Example!$G39,'Resource Demand - Activity'!EC:EC)</f>
        <v>0</v>
      </c>
      <c r="EI39" s="35">
        <f>SUMIF('Resource Demand - Activity'!$FT:$FT,Example!$G39,'Resource Demand - Activity'!ED:ED)</f>
        <v>0</v>
      </c>
      <c r="EJ39" s="35">
        <f>SUMIF('Resource Demand - Activity'!$FT:$FT,Example!$G39,'Resource Demand - Activity'!EE:EE)</f>
        <v>0</v>
      </c>
      <c r="EK39" s="35">
        <f>SUMIF('Resource Demand - Activity'!$FT:$FT,Example!$G39,'Resource Demand - Activity'!EF:EF)</f>
        <v>0</v>
      </c>
      <c r="EL39" s="35">
        <f>SUMIF('Resource Demand - Activity'!$FT:$FT,Example!$G39,'Resource Demand - Activity'!EG:EG)</f>
        <v>0</v>
      </c>
      <c r="EM39" s="35">
        <f>SUMIF('Resource Demand - Activity'!$FT:$FT,Example!$G39,'Resource Demand - Activity'!EH:EH)</f>
        <v>0</v>
      </c>
      <c r="EN39" s="35">
        <f>SUMIF('Resource Demand - Activity'!$FT:$FT,Example!$G39,'Resource Demand - Activity'!EI:EI)</f>
        <v>0</v>
      </c>
      <c r="EO39" s="35">
        <f>SUMIF('Resource Demand - Activity'!$FT:$FT,Example!$G39,'Resource Demand - Activity'!EJ:EJ)</f>
        <v>0</v>
      </c>
      <c r="EP39" s="35">
        <f>SUMIF('Resource Demand - Activity'!$FT:$FT,Example!$G39,'Resource Demand - Activity'!EK:EK)</f>
        <v>0</v>
      </c>
      <c r="EQ39" s="35">
        <f>SUMIF('Resource Demand - Activity'!$FT:$FT,Example!$G39,'Resource Demand - Activity'!EL:EL)</f>
        <v>0</v>
      </c>
      <c r="ER39" s="35">
        <f>SUMIF('Resource Demand - Activity'!$FT:$FT,Example!$G39,'Resource Demand - Activity'!EM:EM)</f>
        <v>0</v>
      </c>
      <c r="ES39" s="35">
        <f>SUMIF('Resource Demand - Activity'!$FT:$FT,Example!$G39,'Resource Demand - Activity'!EN:EN)</f>
        <v>0</v>
      </c>
      <c r="ET39" s="35">
        <f>SUMIF('Resource Demand - Activity'!$FT:$FT,Example!$G39,'Resource Demand - Activity'!EO:EO)</f>
        <v>0</v>
      </c>
      <c r="EU39" s="35">
        <f>SUMIF('Resource Demand - Activity'!$FT:$FT,Example!$G39,'Resource Demand - Activity'!EP:EP)</f>
        <v>0</v>
      </c>
      <c r="EV39" s="35">
        <f>SUMIF('Resource Demand - Activity'!$FT:$FT,Example!$G39,'Resource Demand - Activity'!EQ:EQ)</f>
        <v>0</v>
      </c>
      <c r="EW39" s="35">
        <f>SUMIF('Resource Demand - Activity'!$FT:$FT,Example!$G39,'Resource Demand - Activity'!ER:ER)</f>
        <v>0</v>
      </c>
      <c r="EX39" s="35">
        <f>SUMIF('Resource Demand - Activity'!$FT:$FT,Example!$G39,'Resource Demand - Activity'!ES:ES)</f>
        <v>0</v>
      </c>
      <c r="EY39" s="35">
        <f>SUMIF('Resource Demand - Activity'!$FT:$FT,Example!$G39,'Resource Demand - Activity'!ET:ET)</f>
        <v>0</v>
      </c>
      <c r="EZ39" s="35">
        <f>SUMIF('Resource Demand - Activity'!$FT:$FT,Example!$G39,'Resource Demand - Activity'!EU:EU)</f>
        <v>0</v>
      </c>
      <c r="FA39" s="35">
        <f>SUMIF('Resource Demand - Activity'!$FT:$FT,Example!$G39,'Resource Demand - Activity'!EV:EV)</f>
        <v>0</v>
      </c>
      <c r="FB39" s="35">
        <f>SUMIF('Resource Demand - Activity'!$FT:$FT,Example!$G39,'Resource Demand - Activity'!EW:EW)</f>
        <v>0</v>
      </c>
      <c r="FC39" s="35">
        <f>SUMIF('Resource Demand - Activity'!$FT:$FT,Example!$G39,'Resource Demand - Activity'!EX:EX)</f>
        <v>0</v>
      </c>
      <c r="FD39" s="36">
        <f>SUMIF('Resource Demand - Activity'!$FT:$FT,Example!$G39,'Resource Demand - Activity'!EY:EY)</f>
        <v>0</v>
      </c>
      <c r="FE39" s="35">
        <f>SUMIF('Resource Demand - Activity'!$FT:$FT,Example!$G39,'Resource Demand - Activity'!EZ:EZ)</f>
        <v>0</v>
      </c>
      <c r="FF39" s="35">
        <f>SUMIF('Resource Demand - Activity'!$FT:$FT,Example!$G39,'Resource Demand - Activity'!FA:FA)</f>
        <v>0</v>
      </c>
      <c r="FG39" s="35">
        <f>SUMIF('Resource Demand - Activity'!$FT:$FT,Example!$G39,'Resource Demand - Activity'!FB:FB)</f>
        <v>0</v>
      </c>
      <c r="FH39" s="35">
        <f>SUMIF('Resource Demand - Activity'!$FT:$FT,Example!$G39,'Resource Demand - Activity'!FC:FC)</f>
        <v>0</v>
      </c>
      <c r="FI39" s="35">
        <f>SUMIF('Resource Demand - Activity'!$FT:$FT,Example!$G39,'Resource Demand - Activity'!FD:FD)</f>
        <v>0</v>
      </c>
      <c r="FJ39" s="35">
        <f>SUMIF('Resource Demand - Activity'!$FT:$FT,Example!$G39,'Resource Demand - Activity'!FE:FE)</f>
        <v>0</v>
      </c>
      <c r="FK39" s="35">
        <f>SUMIF('Resource Demand - Activity'!$FT:$FT,Example!$G39,'Resource Demand - Activity'!FF:FF)</f>
        <v>0</v>
      </c>
      <c r="FL39" s="35">
        <f>SUMIF('Resource Demand - Activity'!$FT:$FT,Example!$G39,'Resource Demand - Activity'!FG:FG)</f>
        <v>0</v>
      </c>
      <c r="FM39" s="35">
        <f>SUMIF('Resource Demand - Activity'!$FT:$FT,Example!$G39,'Resource Demand - Activity'!FH:FH)</f>
        <v>0</v>
      </c>
      <c r="FN39" s="35">
        <f>SUMIF('Resource Demand - Activity'!$FT:$FT,Example!$G39,'Resource Demand - Activity'!FI:FI)</f>
        <v>0</v>
      </c>
      <c r="FO39" s="35">
        <f>SUMIF('Resource Demand - Activity'!$FT:$FT,Example!$G39,'Resource Demand - Activity'!FJ:FJ)</f>
        <v>0</v>
      </c>
      <c r="FP39" s="35">
        <f>SUMIF('Resource Demand - Activity'!$FT:$FT,Example!$G39,'Resource Demand - Activity'!FK:FK)</f>
        <v>0</v>
      </c>
      <c r="FQ39" s="35">
        <f>SUMIF('Resource Demand - Activity'!$FT:$FT,Example!$G39,'Resource Demand - Activity'!FL:FL)</f>
        <v>0</v>
      </c>
      <c r="FR39" s="35">
        <f>SUMIF('Resource Demand - Activity'!$FT:$FT,Example!$G39,'Resource Demand - Activity'!FM:FM)</f>
        <v>0</v>
      </c>
      <c r="FS39" s="35">
        <f>SUMIF('Resource Demand - Activity'!$FT:$FT,Example!$G39,'Resource Demand - Activity'!FN:FN)</f>
        <v>0</v>
      </c>
      <c r="FT39" s="35">
        <f>SUMIF('Resource Demand - Activity'!$FT:$FT,Example!$G39,'Resource Demand - Activity'!FO:FO)</f>
        <v>0</v>
      </c>
      <c r="FU39" s="35">
        <f>SUMIF('Resource Demand - Activity'!$FT:$FT,Example!$G39,'Resource Demand - Activity'!FP:FP)</f>
        <v>0</v>
      </c>
      <c r="FV39" s="52">
        <f>SUMIF('Resource Demand - Activity'!$FT:$FT,Example!$G39,'Resource Demand - Activity'!FQ:FQ)</f>
        <v>0</v>
      </c>
    </row>
    <row r="40" spans="2:178" ht="12" customHeight="1">
      <c r="B40" s="148"/>
      <c r="C40" s="148"/>
      <c r="D40" s="148"/>
      <c r="E40" s="148"/>
      <c r="G40" s="64" t="str">
        <f t="shared" si="7"/>
        <v>3. Quarterly Process Documentation 3.2 FCF ReviewSenior Accountant</v>
      </c>
      <c r="H40" s="61" t="s">
        <v>146</v>
      </c>
      <c r="I40" s="59" t="str">
        <f>INDEX('Resource Demand - Activity'!C:C,MATCH(Example!G40,'Resource Demand - Activity'!FT:FT,0))</f>
        <v>15 days</v>
      </c>
      <c r="J40" s="51">
        <f>SUMIF('Resource Demand - Activity'!$FT:$FT,Example!$G40,'Resource Demand - Activity'!E:E)</f>
        <v>0</v>
      </c>
      <c r="K40" s="35">
        <f>SUMIF('Resource Demand - Activity'!$FT:$FT,Example!$G40,'Resource Demand - Activity'!F:F)</f>
        <v>0</v>
      </c>
      <c r="L40" s="35">
        <f>SUMIF('Resource Demand - Activity'!$FT:$FT,Example!$G40,'Resource Demand - Activity'!G:G)</f>
        <v>0</v>
      </c>
      <c r="M40" s="35">
        <f>SUMIF('Resource Demand - Activity'!$FT:$FT,Example!$G40,'Resource Demand - Activity'!H:H)</f>
        <v>0</v>
      </c>
      <c r="N40" s="35">
        <f>SUMIF('Resource Demand - Activity'!$FT:$FT,Example!$G40,'Resource Demand - Activity'!I:I)</f>
        <v>0</v>
      </c>
      <c r="O40" s="35">
        <f>SUMIF('Resource Demand - Activity'!$FT:$FT,Example!$G40,'Resource Demand - Activity'!J:J)</f>
        <v>1</v>
      </c>
      <c r="P40" s="35">
        <f>SUMIF('Resource Demand - Activity'!$FT:$FT,Example!$G40,'Resource Demand - Activity'!K:K)</f>
        <v>1</v>
      </c>
      <c r="Q40" s="35">
        <f>SUMIF('Resource Demand - Activity'!$FT:$FT,Example!$G40,'Resource Demand - Activity'!L:L)</f>
        <v>1</v>
      </c>
      <c r="R40" s="35">
        <f>SUMIF('Resource Demand - Activity'!$FT:$FT,Example!$G40,'Resource Demand - Activity'!M:M)</f>
        <v>1</v>
      </c>
      <c r="S40" s="35">
        <f>SUMIF('Resource Demand - Activity'!$FT:$FT,Example!$G40,'Resource Demand - Activity'!N:N)</f>
        <v>1</v>
      </c>
      <c r="T40" s="35">
        <f>SUMIF('Resource Demand - Activity'!$FT:$FT,Example!$G40,'Resource Demand - Activity'!O:O)</f>
        <v>1</v>
      </c>
      <c r="U40" s="35">
        <f>SUMIF('Resource Demand - Activity'!$FT:$FT,Example!$G40,'Resource Demand - Activity'!P:P)</f>
        <v>1</v>
      </c>
      <c r="V40" s="35">
        <f>SUMIF('Resource Demand - Activity'!$FT:$FT,Example!$G40,'Resource Demand - Activity'!Q:Q)</f>
        <v>1</v>
      </c>
      <c r="W40" s="35">
        <f>SUMIF('Resource Demand - Activity'!$FT:$FT,Example!$G40,'Resource Demand - Activity'!R:R)</f>
        <v>1</v>
      </c>
      <c r="X40" s="35">
        <f>SUMIF('Resource Demand - Activity'!$FT:$FT,Example!$G40,'Resource Demand - Activity'!S:S)</f>
        <v>1</v>
      </c>
      <c r="Y40" s="35">
        <f>SUMIF('Resource Demand - Activity'!$FT:$FT,Example!$G40,'Resource Demand - Activity'!T:T)</f>
        <v>0</v>
      </c>
      <c r="Z40" s="35">
        <f>SUMIF('Resource Demand - Activity'!$FT:$FT,Example!$G40,'Resource Demand - Activity'!U:U)</f>
        <v>0</v>
      </c>
      <c r="AA40" s="35">
        <f>SUMIF('Resource Demand - Activity'!$FT:$FT,Example!$G40,'Resource Demand - Activity'!V:V)</f>
        <v>0</v>
      </c>
      <c r="AB40" s="35">
        <f>SUMIF('Resource Demand - Activity'!$FT:$FT,Example!$G40,'Resource Demand - Activity'!W:W)</f>
        <v>0</v>
      </c>
      <c r="AC40" s="35">
        <f>SUMIF('Resource Demand - Activity'!$FT:$FT,Example!$G40,'Resource Demand - Activity'!X:X)</f>
        <v>0</v>
      </c>
      <c r="AD40" s="35">
        <f>SUMIF('Resource Demand - Activity'!$FT:$FT,Example!$G40,'Resource Demand - Activity'!Y:Y)</f>
        <v>0</v>
      </c>
      <c r="AE40" s="35">
        <f>SUMIF('Resource Demand - Activity'!$FT:$FT,Example!$G40,'Resource Demand - Activity'!Z:Z)</f>
        <v>0</v>
      </c>
      <c r="AF40" s="35">
        <f>SUMIF('Resource Demand - Activity'!$FT:$FT,Example!$G40,'Resource Demand - Activity'!AA:AA)</f>
        <v>0</v>
      </c>
      <c r="AG40" s="35">
        <f>SUMIF('Resource Demand - Activity'!$FT:$FT,Example!$G40,'Resource Demand - Activity'!AB:AB)</f>
        <v>0</v>
      </c>
      <c r="AH40" s="35">
        <f>SUMIF('Resource Demand - Activity'!$FT:$FT,Example!$G40,'Resource Demand - Activity'!AC:AC)</f>
        <v>0</v>
      </c>
      <c r="AI40" s="35">
        <f>SUMIF('Resource Demand - Activity'!$FT:$FT,Example!$G40,'Resource Demand - Activity'!AD:AD)</f>
        <v>0</v>
      </c>
      <c r="AJ40" s="35">
        <f>SUMIF('Resource Demand - Activity'!$FT:$FT,Example!$G40,'Resource Demand - Activity'!AE:AE)</f>
        <v>0</v>
      </c>
      <c r="AK40" s="35">
        <f>SUMIF('Resource Demand - Activity'!$FT:$FT,Example!$G40,'Resource Demand - Activity'!AF:AF)</f>
        <v>0</v>
      </c>
      <c r="AL40" s="35">
        <f>SUMIF('Resource Demand - Activity'!$FT:$FT,Example!$G40,'Resource Demand - Activity'!AG:AG)</f>
        <v>0</v>
      </c>
      <c r="AM40" s="35">
        <f>SUMIF('Resource Demand - Activity'!$FT:$FT,Example!$G40,'Resource Demand - Activity'!AH:AH)</f>
        <v>0</v>
      </c>
      <c r="AN40" s="35">
        <f>SUMIF('Resource Demand - Activity'!$FT:$FT,Example!$G40,'Resource Demand - Activity'!AI:AI)</f>
        <v>0</v>
      </c>
      <c r="AO40" s="35">
        <f>SUMIF('Resource Demand - Activity'!$FT:$FT,Example!$G40,'Resource Demand - Activity'!AJ:AJ)</f>
        <v>0</v>
      </c>
      <c r="AP40" s="35">
        <f>SUMIF('Resource Demand - Activity'!$FT:$FT,Example!$G40,'Resource Demand - Activity'!AK:AK)</f>
        <v>0</v>
      </c>
      <c r="AQ40" s="36">
        <f>SUMIF('Resource Demand - Activity'!$FT:$FT,Example!$G40,'Resource Demand - Activity'!AL:AL)</f>
        <v>0</v>
      </c>
      <c r="AR40" s="36">
        <f>SUMIF('Resource Demand - Activity'!$FT:$FT,Example!$G40,'Resource Demand - Activity'!AM:AM)</f>
        <v>0</v>
      </c>
      <c r="AS40" s="36">
        <f>SUMIF('Resource Demand - Activity'!$FT:$FT,Example!$G40,'Resource Demand - Activity'!AN:AN)</f>
        <v>0</v>
      </c>
      <c r="AT40" s="36">
        <f>SUMIF('Resource Demand - Activity'!$FT:$FT,Example!$G40,'Resource Demand - Activity'!AO:AO)</f>
        <v>0</v>
      </c>
      <c r="AU40" s="36">
        <f>SUMIF('Resource Demand - Activity'!$FT:$FT,Example!$G40,'Resource Demand - Activity'!AP:AP)</f>
        <v>0</v>
      </c>
      <c r="AV40" s="36">
        <f>SUMIF('Resource Demand - Activity'!$FT:$FT,Example!$G40,'Resource Demand - Activity'!AQ:AQ)</f>
        <v>0</v>
      </c>
      <c r="AW40" s="36">
        <f>SUMIF('Resource Demand - Activity'!$FT:$FT,Example!$G40,'Resource Demand - Activity'!AR:AR)</f>
        <v>0</v>
      </c>
      <c r="AX40" s="35">
        <f>SUMIF('Resource Demand - Activity'!$FT:$FT,Example!$G40,'Resource Demand - Activity'!AS:AS)</f>
        <v>0</v>
      </c>
      <c r="AY40" s="35">
        <f>SUMIF('Resource Demand - Activity'!$FT:$FT,Example!$G40,'Resource Demand - Activity'!AT:AT)</f>
        <v>0</v>
      </c>
      <c r="AZ40" s="35">
        <f>SUMIF('Resource Demand - Activity'!$FT:$FT,Example!$G40,'Resource Demand - Activity'!AU:AU)</f>
        <v>0</v>
      </c>
      <c r="BA40" s="35">
        <f>SUMIF('Resource Demand - Activity'!$FT:$FT,Example!$G40,'Resource Demand - Activity'!AV:AV)</f>
        <v>0</v>
      </c>
      <c r="BB40" s="35">
        <f>SUMIF('Resource Demand - Activity'!$FT:$FT,Example!$G40,'Resource Demand - Activity'!AW:AW)</f>
        <v>0</v>
      </c>
      <c r="BC40" s="35">
        <f>SUMIF('Resource Demand - Activity'!$FT:$FT,Example!$G40,'Resource Demand - Activity'!AX:AX)</f>
        <v>0</v>
      </c>
      <c r="BD40" s="35">
        <f>SUMIF('Resource Demand - Activity'!$FT:$FT,Example!$G40,'Resource Demand - Activity'!AY:AY)</f>
        <v>0</v>
      </c>
      <c r="BE40" s="35">
        <f>SUMIF('Resource Demand - Activity'!$FT:$FT,Example!$G40,'Resource Demand - Activity'!AZ:AZ)</f>
        <v>0</v>
      </c>
      <c r="BF40" s="35">
        <f>SUMIF('Resource Demand - Activity'!$FT:$FT,Example!$G40,'Resource Demand - Activity'!BA:BA)</f>
        <v>0</v>
      </c>
      <c r="BG40" s="35">
        <f>SUMIF('Resource Demand - Activity'!$FT:$FT,Example!$G40,'Resource Demand - Activity'!BB:BB)</f>
        <v>0</v>
      </c>
      <c r="BH40" s="35">
        <f>SUMIF('Resource Demand - Activity'!$FT:$FT,Example!$G40,'Resource Demand - Activity'!BC:BC)</f>
        <v>0</v>
      </c>
      <c r="BI40" s="35">
        <f>SUMIF('Resource Demand - Activity'!$FT:$FT,Example!$G40,'Resource Demand - Activity'!BD:BD)</f>
        <v>0</v>
      </c>
      <c r="BJ40" s="35">
        <f>SUMIF('Resource Demand - Activity'!$FT:$FT,Example!$G40,'Resource Demand - Activity'!BE:BE)</f>
        <v>0</v>
      </c>
      <c r="BK40" s="35">
        <f>SUMIF('Resource Demand - Activity'!$FT:$FT,Example!$G40,'Resource Demand - Activity'!BF:BF)</f>
        <v>0</v>
      </c>
      <c r="BL40" s="35">
        <f>SUMIF('Resource Demand - Activity'!$FT:$FT,Example!$G40,'Resource Demand - Activity'!BG:BG)</f>
        <v>0</v>
      </c>
      <c r="BM40" s="35">
        <f>SUMIF('Resource Demand - Activity'!$FT:$FT,Example!$G40,'Resource Demand - Activity'!BH:BH)</f>
        <v>0</v>
      </c>
      <c r="BN40" s="35">
        <f>SUMIF('Resource Demand - Activity'!$FT:$FT,Example!$G40,'Resource Demand - Activity'!BI:BI)</f>
        <v>0</v>
      </c>
      <c r="BO40" s="35">
        <f>SUMIF('Resource Demand - Activity'!$FT:$FT,Example!$G40,'Resource Demand - Activity'!BJ:BJ)</f>
        <v>0</v>
      </c>
      <c r="BP40" s="35">
        <f>SUMIF('Resource Demand - Activity'!$FT:$FT,Example!$G40,'Resource Demand - Activity'!BK:BK)</f>
        <v>0</v>
      </c>
      <c r="BQ40" s="35">
        <f>SUMIF('Resource Demand - Activity'!$FT:$FT,Example!$G40,'Resource Demand - Activity'!BL:BL)</f>
        <v>0</v>
      </c>
      <c r="BR40" s="35">
        <f>SUMIF('Resource Demand - Activity'!$FT:$FT,Example!$G40,'Resource Demand - Activity'!BM:BM)</f>
        <v>0</v>
      </c>
      <c r="BS40" s="35">
        <f>SUMIF('Resource Demand - Activity'!$FT:$FT,Example!$G40,'Resource Demand - Activity'!BN:BN)</f>
        <v>0</v>
      </c>
      <c r="BT40" s="35">
        <f>SUMIF('Resource Demand - Activity'!$FT:$FT,Example!$G40,'Resource Demand - Activity'!BO:BO)</f>
        <v>0</v>
      </c>
      <c r="BU40" s="35">
        <f>SUMIF('Resource Demand - Activity'!$FT:$FT,Example!$G40,'Resource Demand - Activity'!BP:BP)</f>
        <v>0</v>
      </c>
      <c r="BV40" s="35">
        <f>SUMIF('Resource Demand - Activity'!$FT:$FT,Example!$G40,'Resource Demand - Activity'!BQ:BQ)</f>
        <v>0</v>
      </c>
      <c r="BW40" s="35">
        <f>SUMIF('Resource Demand - Activity'!$FT:$FT,Example!$G40,'Resource Demand - Activity'!BR:BR)</f>
        <v>0</v>
      </c>
      <c r="BX40" s="35">
        <f>SUMIF('Resource Demand - Activity'!$FT:$FT,Example!$G40,'Resource Demand - Activity'!BS:BS)</f>
        <v>0</v>
      </c>
      <c r="BY40" s="35">
        <f>SUMIF('Resource Demand - Activity'!$FT:$FT,Example!$G40,'Resource Demand - Activity'!BT:BT)</f>
        <v>0</v>
      </c>
      <c r="BZ40" s="35">
        <f>SUMIF('Resource Demand - Activity'!$FT:$FT,Example!$G40,'Resource Demand - Activity'!BU:BU)</f>
        <v>0</v>
      </c>
      <c r="CA40" s="35">
        <f>SUMIF('Resource Demand - Activity'!$FT:$FT,Example!$G40,'Resource Demand - Activity'!BV:BV)</f>
        <v>0</v>
      </c>
      <c r="CB40" s="35">
        <f>SUMIF('Resource Demand - Activity'!$FT:$FT,Example!$G40,'Resource Demand - Activity'!BW:BW)</f>
        <v>0</v>
      </c>
      <c r="CC40" s="35">
        <f>SUMIF('Resource Demand - Activity'!$FT:$FT,Example!$G40,'Resource Demand - Activity'!BX:BX)</f>
        <v>0</v>
      </c>
      <c r="CD40" s="35">
        <f>SUMIF('Resource Demand - Activity'!$FT:$FT,Example!$G40,'Resource Demand - Activity'!BY:BY)</f>
        <v>0</v>
      </c>
      <c r="CE40" s="35">
        <f>SUMIF('Resource Demand - Activity'!$FT:$FT,Example!$G40,'Resource Demand - Activity'!BZ:BZ)</f>
        <v>0</v>
      </c>
      <c r="CF40" s="35">
        <f>SUMIF('Resource Demand - Activity'!$FT:$FT,Example!$G40,'Resource Demand - Activity'!CA:CA)</f>
        <v>0</v>
      </c>
      <c r="CG40" s="35">
        <f>SUMIF('Resource Demand - Activity'!$FT:$FT,Example!$G40,'Resource Demand - Activity'!CB:CB)</f>
        <v>0</v>
      </c>
      <c r="CH40" s="35">
        <f>SUMIF('Resource Demand - Activity'!$FT:$FT,Example!$G40,'Resource Demand - Activity'!CC:CC)</f>
        <v>0</v>
      </c>
      <c r="CI40" s="35">
        <f>SUMIF('Resource Demand - Activity'!$FT:$FT,Example!$G40,'Resource Demand - Activity'!CD:CD)</f>
        <v>0</v>
      </c>
      <c r="CJ40" s="35">
        <f>SUMIF('Resource Demand - Activity'!$FT:$FT,Example!$G40,'Resource Demand - Activity'!CE:CE)</f>
        <v>0</v>
      </c>
      <c r="CK40" s="35">
        <f>SUMIF('Resource Demand - Activity'!$FT:$FT,Example!$G40,'Resource Demand - Activity'!CF:CF)</f>
        <v>0</v>
      </c>
      <c r="CL40" s="35">
        <f>SUMIF('Resource Demand - Activity'!$FT:$FT,Example!$G40,'Resource Demand - Activity'!CG:CG)</f>
        <v>0</v>
      </c>
      <c r="CM40" s="35">
        <f>SUMIF('Resource Demand - Activity'!$FT:$FT,Example!$G40,'Resource Demand - Activity'!CH:CH)</f>
        <v>0</v>
      </c>
      <c r="CN40" s="35">
        <f>SUMIF('Resource Demand - Activity'!$FT:$FT,Example!$G40,'Resource Demand - Activity'!CI:CI)</f>
        <v>0</v>
      </c>
      <c r="CO40" s="35">
        <f>SUMIF('Resource Demand - Activity'!$FT:$FT,Example!$G40,'Resource Demand - Activity'!CJ:CJ)</f>
        <v>0</v>
      </c>
      <c r="CP40" s="35">
        <f>SUMIF('Resource Demand - Activity'!$FT:$FT,Example!$G40,'Resource Demand - Activity'!CK:CK)</f>
        <v>0</v>
      </c>
      <c r="CQ40" s="35">
        <f>SUMIF('Resource Demand - Activity'!$FT:$FT,Example!$G40,'Resource Demand - Activity'!CL:CL)</f>
        <v>0</v>
      </c>
      <c r="CR40" s="35">
        <f>SUMIF('Resource Demand - Activity'!$FT:$FT,Example!$G40,'Resource Demand - Activity'!CM:CM)</f>
        <v>0</v>
      </c>
      <c r="CS40" s="35">
        <f>SUMIF('Resource Demand - Activity'!$FT:$FT,Example!$G40,'Resource Demand - Activity'!CN:CN)</f>
        <v>0</v>
      </c>
      <c r="CT40" s="35">
        <f>SUMIF('Resource Demand - Activity'!$FT:$FT,Example!$G40,'Resource Demand - Activity'!CO:CO)</f>
        <v>1</v>
      </c>
      <c r="CU40" s="35">
        <f>SUMIF('Resource Demand - Activity'!$FT:$FT,Example!$G40,'Resource Demand - Activity'!CP:CP)</f>
        <v>1</v>
      </c>
      <c r="CV40" s="35">
        <f>SUMIF('Resource Demand - Activity'!$FT:$FT,Example!$G40,'Resource Demand - Activity'!CQ:CQ)</f>
        <v>1</v>
      </c>
      <c r="CW40" s="35">
        <f>SUMIF('Resource Demand - Activity'!$FT:$FT,Example!$G40,'Resource Demand - Activity'!CR:CR)</f>
        <v>1</v>
      </c>
      <c r="CX40" s="35">
        <f>SUMIF('Resource Demand - Activity'!$FT:$FT,Example!$G40,'Resource Demand - Activity'!CS:CS)</f>
        <v>1</v>
      </c>
      <c r="CY40" s="36">
        <f>SUMIF('Resource Demand - Activity'!$FT:$FT,Example!$G40,'Resource Demand - Activity'!CT:CT)</f>
        <v>0</v>
      </c>
      <c r="CZ40" s="35">
        <f>SUMIF('Resource Demand - Activity'!$FT:$FT,Example!$G40,'Resource Demand - Activity'!CU:CU)</f>
        <v>0</v>
      </c>
      <c r="DA40" s="35">
        <f>SUMIF('Resource Demand - Activity'!$FT:$FT,Example!$G40,'Resource Demand - Activity'!CV:CV)</f>
        <v>0</v>
      </c>
      <c r="DB40" s="35">
        <f>SUMIF('Resource Demand - Activity'!$FT:$FT,Example!$G40,'Resource Demand - Activity'!CW:CW)</f>
        <v>0</v>
      </c>
      <c r="DC40" s="35">
        <f>SUMIF('Resource Demand - Activity'!$FT:$FT,Example!$G40,'Resource Demand - Activity'!CX:CX)</f>
        <v>0</v>
      </c>
      <c r="DD40" s="35">
        <f>SUMIF('Resource Demand - Activity'!$FT:$FT,Example!$G40,'Resource Demand - Activity'!CY:CY)</f>
        <v>0</v>
      </c>
      <c r="DE40" s="36">
        <f>SUMIF('Resource Demand - Activity'!$FT:$FT,Example!$G40,'Resource Demand - Activity'!CZ:CZ)</f>
        <v>0</v>
      </c>
      <c r="DF40" s="36">
        <f>SUMIF('Resource Demand - Activity'!$FT:$FT,Example!$G40,'Resource Demand - Activity'!DA:DA)</f>
        <v>0</v>
      </c>
      <c r="DG40" s="35">
        <f>SUMIF('Resource Demand - Activity'!$FT:$FT,Example!$G40,'Resource Demand - Activity'!DB:DB)</f>
        <v>0</v>
      </c>
      <c r="DH40" s="35">
        <f>SUMIF('Resource Demand - Activity'!$FT:$FT,Example!$G40,'Resource Demand - Activity'!DC:DC)</f>
        <v>0</v>
      </c>
      <c r="DI40" s="35">
        <f>SUMIF('Resource Demand - Activity'!$FT:$FT,Example!$G40,'Resource Demand - Activity'!DD:DD)</f>
        <v>0</v>
      </c>
      <c r="DJ40" s="35">
        <f>SUMIF('Resource Demand - Activity'!$FT:$FT,Example!$G40,'Resource Demand - Activity'!DE:DE)</f>
        <v>0</v>
      </c>
      <c r="DK40" s="35">
        <f>SUMIF('Resource Demand - Activity'!$FT:$FT,Example!$G40,'Resource Demand - Activity'!DF:DF)</f>
        <v>0</v>
      </c>
      <c r="DL40" s="35">
        <f>SUMIF('Resource Demand - Activity'!$FT:$FT,Example!$G40,'Resource Demand - Activity'!DG:DG)</f>
        <v>0</v>
      </c>
      <c r="DM40" s="35">
        <f>SUMIF('Resource Demand - Activity'!$FT:$FT,Example!$G40,'Resource Demand - Activity'!DH:DH)</f>
        <v>0</v>
      </c>
      <c r="DN40" s="35">
        <f>SUMIF('Resource Demand - Activity'!$FT:$FT,Example!$G40,'Resource Demand - Activity'!DI:DI)</f>
        <v>0</v>
      </c>
      <c r="DO40" s="35">
        <f>SUMIF('Resource Demand - Activity'!$FT:$FT,Example!$G40,'Resource Demand - Activity'!DJ:DJ)</f>
        <v>0</v>
      </c>
      <c r="DP40" s="35">
        <f>SUMIF('Resource Demand - Activity'!$FT:$FT,Example!$G40,'Resource Demand - Activity'!DK:DK)</f>
        <v>0</v>
      </c>
      <c r="DQ40" s="35">
        <f>SUMIF('Resource Demand - Activity'!$FT:$FT,Example!$G40,'Resource Demand - Activity'!DL:DL)</f>
        <v>0</v>
      </c>
      <c r="DR40" s="35">
        <f>SUMIF('Resource Demand - Activity'!$FT:$FT,Example!$G40,'Resource Demand - Activity'!DM:DM)</f>
        <v>0</v>
      </c>
      <c r="DS40" s="35">
        <f>SUMIF('Resource Demand - Activity'!$FT:$FT,Example!$G40,'Resource Demand - Activity'!DN:DN)</f>
        <v>0</v>
      </c>
      <c r="DT40" s="35">
        <f>SUMIF('Resource Demand - Activity'!$FT:$FT,Example!$G40,'Resource Demand - Activity'!DO:DO)</f>
        <v>0</v>
      </c>
      <c r="DU40" s="35">
        <f>SUMIF('Resource Demand - Activity'!$FT:$FT,Example!$G40,'Resource Demand - Activity'!DP:DP)</f>
        <v>0</v>
      </c>
      <c r="DV40" s="35">
        <f>SUMIF('Resource Demand - Activity'!$FT:$FT,Example!$G40,'Resource Demand - Activity'!DQ:DQ)</f>
        <v>0</v>
      </c>
      <c r="DW40" s="35">
        <f>SUMIF('Resource Demand - Activity'!$FT:$FT,Example!$G40,'Resource Demand - Activity'!DR:DR)</f>
        <v>0</v>
      </c>
      <c r="DX40" s="35">
        <f>SUMIF('Resource Demand - Activity'!$FT:$FT,Example!$G40,'Resource Demand - Activity'!DS:DS)</f>
        <v>0</v>
      </c>
      <c r="DY40" s="35">
        <f>SUMIF('Resource Demand - Activity'!$FT:$FT,Example!$G40,'Resource Demand - Activity'!DT:DT)</f>
        <v>0</v>
      </c>
      <c r="DZ40" s="35">
        <f>SUMIF('Resource Demand - Activity'!$FT:$FT,Example!$G40,'Resource Demand - Activity'!DU:DU)</f>
        <v>0</v>
      </c>
      <c r="EA40" s="35">
        <f>SUMIF('Resource Demand - Activity'!$FT:$FT,Example!$G40,'Resource Demand - Activity'!DV:DV)</f>
        <v>0</v>
      </c>
      <c r="EB40" s="35">
        <f>SUMIF('Resource Demand - Activity'!$FT:$FT,Example!$G40,'Resource Demand - Activity'!DW:DW)</f>
        <v>0</v>
      </c>
      <c r="EC40" s="35">
        <f>SUMIF('Resource Demand - Activity'!$FT:$FT,Example!$G40,'Resource Demand - Activity'!DX:DX)</f>
        <v>0</v>
      </c>
      <c r="ED40" s="35">
        <f>SUMIF('Resource Demand - Activity'!$FT:$FT,Example!$G40,'Resource Demand - Activity'!DY:DY)</f>
        <v>0</v>
      </c>
      <c r="EE40" s="36">
        <f>SUMIF('Resource Demand - Activity'!$FT:$FT,Example!$G40,'Resource Demand - Activity'!DZ:DZ)</f>
        <v>0</v>
      </c>
      <c r="EF40" s="35">
        <f>SUMIF('Resource Demand - Activity'!$FT:$FT,Example!$G40,'Resource Demand - Activity'!EA:EA)</f>
        <v>0</v>
      </c>
      <c r="EG40" s="35">
        <f>SUMIF('Resource Demand - Activity'!$FT:$FT,Example!$G40,'Resource Demand - Activity'!EB:EB)</f>
        <v>0</v>
      </c>
      <c r="EH40" s="35">
        <f>SUMIF('Resource Demand - Activity'!$FT:$FT,Example!$G40,'Resource Demand - Activity'!EC:EC)</f>
        <v>0</v>
      </c>
      <c r="EI40" s="35">
        <f>SUMIF('Resource Demand - Activity'!$FT:$FT,Example!$G40,'Resource Demand - Activity'!ED:ED)</f>
        <v>0</v>
      </c>
      <c r="EJ40" s="35">
        <f>SUMIF('Resource Demand - Activity'!$FT:$FT,Example!$G40,'Resource Demand - Activity'!EE:EE)</f>
        <v>0</v>
      </c>
      <c r="EK40" s="35">
        <f>SUMIF('Resource Demand - Activity'!$FT:$FT,Example!$G40,'Resource Demand - Activity'!EF:EF)</f>
        <v>0</v>
      </c>
      <c r="EL40" s="35">
        <f>SUMIF('Resource Demand - Activity'!$FT:$FT,Example!$G40,'Resource Demand - Activity'!EG:EG)</f>
        <v>0</v>
      </c>
      <c r="EM40" s="35">
        <f>SUMIF('Resource Demand - Activity'!$FT:$FT,Example!$G40,'Resource Demand - Activity'!EH:EH)</f>
        <v>0</v>
      </c>
      <c r="EN40" s="35">
        <f>SUMIF('Resource Demand - Activity'!$FT:$FT,Example!$G40,'Resource Demand - Activity'!EI:EI)</f>
        <v>0</v>
      </c>
      <c r="EO40" s="35">
        <f>SUMIF('Resource Demand - Activity'!$FT:$FT,Example!$G40,'Resource Demand - Activity'!EJ:EJ)</f>
        <v>0</v>
      </c>
      <c r="EP40" s="35">
        <f>SUMIF('Resource Demand - Activity'!$FT:$FT,Example!$G40,'Resource Demand - Activity'!EK:EK)</f>
        <v>0</v>
      </c>
      <c r="EQ40" s="35">
        <f>SUMIF('Resource Demand - Activity'!$FT:$FT,Example!$G40,'Resource Demand - Activity'!EL:EL)</f>
        <v>0</v>
      </c>
      <c r="ER40" s="35">
        <f>SUMIF('Resource Demand - Activity'!$FT:$FT,Example!$G40,'Resource Demand - Activity'!EM:EM)</f>
        <v>0</v>
      </c>
      <c r="ES40" s="35">
        <f>SUMIF('Resource Demand - Activity'!$FT:$FT,Example!$G40,'Resource Demand - Activity'!EN:EN)</f>
        <v>0</v>
      </c>
      <c r="ET40" s="35">
        <f>SUMIF('Resource Demand - Activity'!$FT:$FT,Example!$G40,'Resource Demand - Activity'!EO:EO)</f>
        <v>0</v>
      </c>
      <c r="EU40" s="35">
        <f>SUMIF('Resource Demand - Activity'!$FT:$FT,Example!$G40,'Resource Demand - Activity'!EP:EP)</f>
        <v>0</v>
      </c>
      <c r="EV40" s="35">
        <f>SUMIF('Resource Demand - Activity'!$FT:$FT,Example!$G40,'Resource Demand - Activity'!EQ:EQ)</f>
        <v>0</v>
      </c>
      <c r="EW40" s="35">
        <f>SUMIF('Resource Demand - Activity'!$FT:$FT,Example!$G40,'Resource Demand - Activity'!ER:ER)</f>
        <v>0</v>
      </c>
      <c r="EX40" s="35">
        <f>SUMIF('Resource Demand - Activity'!$FT:$FT,Example!$G40,'Resource Demand - Activity'!ES:ES)</f>
        <v>0</v>
      </c>
      <c r="EY40" s="35">
        <f>SUMIF('Resource Demand - Activity'!$FT:$FT,Example!$G40,'Resource Demand - Activity'!ET:ET)</f>
        <v>0</v>
      </c>
      <c r="EZ40" s="35">
        <f>SUMIF('Resource Demand - Activity'!$FT:$FT,Example!$G40,'Resource Demand - Activity'!EU:EU)</f>
        <v>0</v>
      </c>
      <c r="FA40" s="35">
        <f>SUMIF('Resource Demand - Activity'!$FT:$FT,Example!$G40,'Resource Demand - Activity'!EV:EV)</f>
        <v>0</v>
      </c>
      <c r="FB40" s="35">
        <f>SUMIF('Resource Demand - Activity'!$FT:$FT,Example!$G40,'Resource Demand - Activity'!EW:EW)</f>
        <v>0</v>
      </c>
      <c r="FC40" s="35">
        <f>SUMIF('Resource Demand - Activity'!$FT:$FT,Example!$G40,'Resource Demand - Activity'!EX:EX)</f>
        <v>0</v>
      </c>
      <c r="FD40" s="36">
        <f>SUMIF('Resource Demand - Activity'!$FT:$FT,Example!$G40,'Resource Demand - Activity'!EY:EY)</f>
        <v>0</v>
      </c>
      <c r="FE40" s="35">
        <f>SUMIF('Resource Demand - Activity'!$FT:$FT,Example!$G40,'Resource Demand - Activity'!EZ:EZ)</f>
        <v>0</v>
      </c>
      <c r="FF40" s="35">
        <f>SUMIF('Resource Demand - Activity'!$FT:$FT,Example!$G40,'Resource Demand - Activity'!FA:FA)</f>
        <v>0</v>
      </c>
      <c r="FG40" s="35">
        <f>SUMIF('Resource Demand - Activity'!$FT:$FT,Example!$G40,'Resource Demand - Activity'!FB:FB)</f>
        <v>0</v>
      </c>
      <c r="FH40" s="35">
        <f>SUMIF('Resource Demand - Activity'!$FT:$FT,Example!$G40,'Resource Demand - Activity'!FC:FC)</f>
        <v>0</v>
      </c>
      <c r="FI40" s="35">
        <f>SUMIF('Resource Demand - Activity'!$FT:$FT,Example!$G40,'Resource Demand - Activity'!FD:FD)</f>
        <v>0</v>
      </c>
      <c r="FJ40" s="35">
        <f>SUMIF('Resource Demand - Activity'!$FT:$FT,Example!$G40,'Resource Demand - Activity'!FE:FE)</f>
        <v>0</v>
      </c>
      <c r="FK40" s="35">
        <f>SUMIF('Resource Demand - Activity'!$FT:$FT,Example!$G40,'Resource Demand - Activity'!FF:FF)</f>
        <v>0</v>
      </c>
      <c r="FL40" s="35">
        <f>SUMIF('Resource Demand - Activity'!$FT:$FT,Example!$G40,'Resource Demand - Activity'!FG:FG)</f>
        <v>0</v>
      </c>
      <c r="FM40" s="35">
        <f>SUMIF('Resource Demand - Activity'!$FT:$FT,Example!$G40,'Resource Demand - Activity'!FH:FH)</f>
        <v>0</v>
      </c>
      <c r="FN40" s="35">
        <f>SUMIF('Resource Demand - Activity'!$FT:$FT,Example!$G40,'Resource Demand - Activity'!FI:FI)</f>
        <v>0</v>
      </c>
      <c r="FO40" s="35">
        <f>SUMIF('Resource Demand - Activity'!$FT:$FT,Example!$G40,'Resource Demand - Activity'!FJ:FJ)</f>
        <v>0</v>
      </c>
      <c r="FP40" s="35">
        <f>SUMIF('Resource Demand - Activity'!$FT:$FT,Example!$G40,'Resource Demand - Activity'!FK:FK)</f>
        <v>0</v>
      </c>
      <c r="FQ40" s="35">
        <f>SUMIF('Resource Demand - Activity'!$FT:$FT,Example!$G40,'Resource Demand - Activity'!FL:FL)</f>
        <v>0</v>
      </c>
      <c r="FR40" s="35">
        <f>SUMIF('Resource Demand - Activity'!$FT:$FT,Example!$G40,'Resource Demand - Activity'!FM:FM)</f>
        <v>0</v>
      </c>
      <c r="FS40" s="35">
        <f>SUMIF('Resource Demand - Activity'!$FT:$FT,Example!$G40,'Resource Demand - Activity'!FN:FN)</f>
        <v>0</v>
      </c>
      <c r="FT40" s="35">
        <f>SUMIF('Resource Demand - Activity'!$FT:$FT,Example!$G40,'Resource Demand - Activity'!FO:FO)</f>
        <v>0</v>
      </c>
      <c r="FU40" s="35">
        <f>SUMIF('Resource Demand - Activity'!$FT:$FT,Example!$G40,'Resource Demand - Activity'!FP:FP)</f>
        <v>0</v>
      </c>
      <c r="FV40" s="52">
        <f>SUMIF('Resource Demand - Activity'!$FT:$FT,Example!$G40,'Resource Demand - Activity'!FQ:FQ)</f>
        <v>0</v>
      </c>
    </row>
    <row r="41" spans="2:178" ht="12" customHeight="1">
      <c r="B41" s="148"/>
      <c r="C41" s="148"/>
      <c r="D41" s="148"/>
      <c r="E41" s="148"/>
      <c r="G41" s="64" t="str">
        <f t="shared" si="7"/>
        <v>4. Annual Reporting (QRTs)  4.2 ReviewSenior Accountant</v>
      </c>
      <c r="H41" s="61" t="s">
        <v>147</v>
      </c>
      <c r="I41" s="59" t="str">
        <f>INDEX('Resource Demand - Activity'!C:C,MATCH(Example!G41,'Resource Demand - Activity'!FT:FT,0))</f>
        <v>7 days</v>
      </c>
      <c r="J41" s="51">
        <f>SUMIF('Resource Demand - Activity'!$FT:$FT,Example!$G41,'Resource Demand - Activity'!E:E)</f>
        <v>0</v>
      </c>
      <c r="K41" s="35">
        <f>SUMIF('Resource Demand - Activity'!$FT:$FT,Example!$G41,'Resource Demand - Activity'!F:F)</f>
        <v>0</v>
      </c>
      <c r="L41" s="35">
        <f>SUMIF('Resource Demand - Activity'!$FT:$FT,Example!$G41,'Resource Demand - Activity'!G:G)</f>
        <v>0</v>
      </c>
      <c r="M41" s="35">
        <f>SUMIF('Resource Demand - Activity'!$FT:$FT,Example!$G41,'Resource Demand - Activity'!H:H)</f>
        <v>0</v>
      </c>
      <c r="N41" s="35">
        <f>SUMIF('Resource Demand - Activity'!$FT:$FT,Example!$G41,'Resource Demand - Activity'!I:I)</f>
        <v>0</v>
      </c>
      <c r="O41" s="35">
        <f>SUMIF('Resource Demand - Activity'!$FT:$FT,Example!$G41,'Resource Demand - Activity'!J:J)</f>
        <v>0</v>
      </c>
      <c r="P41" s="35">
        <f>SUMIF('Resource Demand - Activity'!$FT:$FT,Example!$G41,'Resource Demand - Activity'!K:K)</f>
        <v>0</v>
      </c>
      <c r="Q41" s="35">
        <f>SUMIF('Resource Demand - Activity'!$FT:$FT,Example!$G41,'Resource Demand - Activity'!L:L)</f>
        <v>0</v>
      </c>
      <c r="R41" s="35">
        <f>SUMIF('Resource Demand - Activity'!$FT:$FT,Example!$G41,'Resource Demand - Activity'!M:M)</f>
        <v>0</v>
      </c>
      <c r="S41" s="35">
        <f>SUMIF('Resource Demand - Activity'!$FT:$FT,Example!$G41,'Resource Demand - Activity'!N:N)</f>
        <v>0</v>
      </c>
      <c r="T41" s="35">
        <f>SUMIF('Resource Demand - Activity'!$FT:$FT,Example!$G41,'Resource Demand - Activity'!O:O)</f>
        <v>0</v>
      </c>
      <c r="U41" s="35">
        <f>SUMIF('Resource Demand - Activity'!$FT:$FT,Example!$G41,'Resource Demand - Activity'!P:P)</f>
        <v>0</v>
      </c>
      <c r="V41" s="35">
        <f>SUMIF('Resource Demand - Activity'!$FT:$FT,Example!$G41,'Resource Demand - Activity'!Q:Q)</f>
        <v>0</v>
      </c>
      <c r="W41" s="35">
        <f>SUMIF('Resource Demand - Activity'!$FT:$FT,Example!$G41,'Resource Demand - Activity'!R:R)</f>
        <v>0</v>
      </c>
      <c r="X41" s="35">
        <f>SUMIF('Resource Demand - Activity'!$FT:$FT,Example!$G41,'Resource Demand - Activity'!S:S)</f>
        <v>0</v>
      </c>
      <c r="Y41" s="35">
        <f>SUMIF('Resource Demand - Activity'!$FT:$FT,Example!$G41,'Resource Demand - Activity'!T:T)</f>
        <v>0</v>
      </c>
      <c r="Z41" s="35">
        <f>SUMIF('Resource Demand - Activity'!$FT:$FT,Example!$G41,'Resource Demand - Activity'!U:U)</f>
        <v>0</v>
      </c>
      <c r="AA41" s="35">
        <f>SUMIF('Resource Demand - Activity'!$FT:$FT,Example!$G41,'Resource Demand - Activity'!V:V)</f>
        <v>0</v>
      </c>
      <c r="AB41" s="35">
        <f>SUMIF('Resource Demand - Activity'!$FT:$FT,Example!$G41,'Resource Demand - Activity'!W:W)</f>
        <v>0</v>
      </c>
      <c r="AC41" s="35">
        <f>SUMIF('Resource Demand - Activity'!$FT:$FT,Example!$G41,'Resource Demand - Activity'!X:X)</f>
        <v>0</v>
      </c>
      <c r="AD41" s="35">
        <f>SUMIF('Resource Demand - Activity'!$FT:$FT,Example!$G41,'Resource Demand - Activity'!Y:Y)</f>
        <v>0</v>
      </c>
      <c r="AE41" s="35">
        <f>SUMIF('Resource Demand - Activity'!$FT:$FT,Example!$G41,'Resource Demand - Activity'!Z:Z)</f>
        <v>0</v>
      </c>
      <c r="AF41" s="35">
        <f>SUMIF('Resource Demand - Activity'!$FT:$FT,Example!$G41,'Resource Demand - Activity'!AA:AA)</f>
        <v>0</v>
      </c>
      <c r="AG41" s="35">
        <f>SUMIF('Resource Demand - Activity'!$FT:$FT,Example!$G41,'Resource Demand - Activity'!AB:AB)</f>
        <v>0</v>
      </c>
      <c r="AH41" s="35">
        <f>SUMIF('Resource Demand - Activity'!$FT:$FT,Example!$G41,'Resource Demand - Activity'!AC:AC)</f>
        <v>0</v>
      </c>
      <c r="AI41" s="35">
        <f>SUMIF('Resource Demand - Activity'!$FT:$FT,Example!$G41,'Resource Demand - Activity'!AD:AD)</f>
        <v>0</v>
      </c>
      <c r="AJ41" s="35">
        <f>SUMIF('Resource Demand - Activity'!$FT:$FT,Example!$G41,'Resource Demand - Activity'!AE:AE)</f>
        <v>0</v>
      </c>
      <c r="AK41" s="35">
        <f>SUMIF('Resource Demand - Activity'!$FT:$FT,Example!$G41,'Resource Demand - Activity'!AF:AF)</f>
        <v>0</v>
      </c>
      <c r="AL41" s="35">
        <f>SUMIF('Resource Demand - Activity'!$FT:$FT,Example!$G41,'Resource Demand - Activity'!AG:AG)</f>
        <v>0</v>
      </c>
      <c r="AM41" s="35">
        <f>SUMIF('Resource Demand - Activity'!$FT:$FT,Example!$G41,'Resource Demand - Activity'!AH:AH)</f>
        <v>0</v>
      </c>
      <c r="AN41" s="35">
        <f>SUMIF('Resource Demand - Activity'!$FT:$FT,Example!$G41,'Resource Demand - Activity'!AI:AI)</f>
        <v>0</v>
      </c>
      <c r="AO41" s="35">
        <f>SUMIF('Resource Demand - Activity'!$FT:$FT,Example!$G41,'Resource Demand - Activity'!AJ:AJ)</f>
        <v>0</v>
      </c>
      <c r="AP41" s="35">
        <f>SUMIF('Resource Demand - Activity'!$FT:$FT,Example!$G41,'Resource Demand - Activity'!AK:AK)</f>
        <v>0</v>
      </c>
      <c r="AQ41" s="36">
        <f>SUMIF('Resource Demand - Activity'!$FT:$FT,Example!$G41,'Resource Demand - Activity'!AL:AL)</f>
        <v>0</v>
      </c>
      <c r="AR41" s="36">
        <f>SUMIF('Resource Demand - Activity'!$FT:$FT,Example!$G41,'Resource Demand - Activity'!AM:AM)</f>
        <v>0</v>
      </c>
      <c r="AS41" s="36">
        <f>SUMIF('Resource Demand - Activity'!$FT:$FT,Example!$G41,'Resource Demand - Activity'!AN:AN)</f>
        <v>0</v>
      </c>
      <c r="AT41" s="36">
        <f>SUMIF('Resource Demand - Activity'!$FT:$FT,Example!$G41,'Resource Demand - Activity'!AO:AO)</f>
        <v>0</v>
      </c>
      <c r="AU41" s="36">
        <f>SUMIF('Resource Demand - Activity'!$FT:$FT,Example!$G41,'Resource Demand - Activity'!AP:AP)</f>
        <v>0</v>
      </c>
      <c r="AV41" s="36">
        <f>SUMIF('Resource Demand - Activity'!$FT:$FT,Example!$G41,'Resource Demand - Activity'!AQ:AQ)</f>
        <v>0</v>
      </c>
      <c r="AW41" s="36">
        <f>SUMIF('Resource Demand - Activity'!$FT:$FT,Example!$G41,'Resource Demand - Activity'!AR:AR)</f>
        <v>0</v>
      </c>
      <c r="AX41" s="35">
        <f>SUMIF('Resource Demand - Activity'!$FT:$FT,Example!$G41,'Resource Demand - Activity'!AS:AS)</f>
        <v>0</v>
      </c>
      <c r="AY41" s="35">
        <f>SUMIF('Resource Demand - Activity'!$FT:$FT,Example!$G41,'Resource Demand - Activity'!AT:AT)</f>
        <v>0</v>
      </c>
      <c r="AZ41" s="35">
        <f>SUMIF('Resource Demand - Activity'!$FT:$FT,Example!$G41,'Resource Demand - Activity'!AU:AU)</f>
        <v>0</v>
      </c>
      <c r="BA41" s="35">
        <f>SUMIF('Resource Demand - Activity'!$FT:$FT,Example!$G41,'Resource Demand - Activity'!AV:AV)</f>
        <v>0</v>
      </c>
      <c r="BB41" s="35">
        <f>SUMIF('Resource Demand - Activity'!$FT:$FT,Example!$G41,'Resource Demand - Activity'!AW:AW)</f>
        <v>0</v>
      </c>
      <c r="BC41" s="35">
        <f>SUMIF('Resource Demand - Activity'!$FT:$FT,Example!$G41,'Resource Demand - Activity'!AX:AX)</f>
        <v>0</v>
      </c>
      <c r="BD41" s="35">
        <f>SUMIF('Resource Demand - Activity'!$FT:$FT,Example!$G41,'Resource Demand - Activity'!AY:AY)</f>
        <v>0.5</v>
      </c>
      <c r="BE41" s="35">
        <f>SUMIF('Resource Demand - Activity'!$FT:$FT,Example!$G41,'Resource Demand - Activity'!AZ:AZ)</f>
        <v>0.5</v>
      </c>
      <c r="BF41" s="35">
        <f>SUMIF('Resource Demand - Activity'!$FT:$FT,Example!$G41,'Resource Demand - Activity'!BA:BA)</f>
        <v>0.5</v>
      </c>
      <c r="BG41" s="35">
        <f>SUMIF('Resource Demand - Activity'!$FT:$FT,Example!$G41,'Resource Demand - Activity'!BB:BB)</f>
        <v>0.5</v>
      </c>
      <c r="BH41" s="35">
        <f>SUMIF('Resource Demand - Activity'!$FT:$FT,Example!$G41,'Resource Demand - Activity'!BC:BC)</f>
        <v>0.5</v>
      </c>
      <c r="BI41" s="35">
        <f>SUMIF('Resource Demand - Activity'!$FT:$FT,Example!$G41,'Resource Demand - Activity'!BD:BD)</f>
        <v>0.5</v>
      </c>
      <c r="BJ41" s="35">
        <f>SUMIF('Resource Demand - Activity'!$FT:$FT,Example!$G41,'Resource Demand - Activity'!BE:BE)</f>
        <v>0.5</v>
      </c>
      <c r="BK41" s="35">
        <f>SUMIF('Resource Demand - Activity'!$FT:$FT,Example!$G41,'Resource Demand - Activity'!BF:BF)</f>
        <v>0.5</v>
      </c>
      <c r="BL41" s="35">
        <f>SUMIF('Resource Demand - Activity'!$FT:$FT,Example!$G41,'Resource Demand - Activity'!BG:BG)</f>
        <v>0.5</v>
      </c>
      <c r="BM41" s="35">
        <f>SUMIF('Resource Demand - Activity'!$FT:$FT,Example!$G41,'Resource Demand - Activity'!BH:BH)</f>
        <v>0.5</v>
      </c>
      <c r="BN41" s="35">
        <f>SUMIF('Resource Demand - Activity'!$FT:$FT,Example!$G41,'Resource Demand - Activity'!BI:BI)</f>
        <v>0.5</v>
      </c>
      <c r="BO41" s="35">
        <f>SUMIF('Resource Demand - Activity'!$FT:$FT,Example!$G41,'Resource Demand - Activity'!BJ:BJ)</f>
        <v>0.5</v>
      </c>
      <c r="BP41" s="35">
        <f>SUMIF('Resource Demand - Activity'!$FT:$FT,Example!$G41,'Resource Demand - Activity'!BK:BK)</f>
        <v>0.5</v>
      </c>
      <c r="BQ41" s="35">
        <f>SUMIF('Resource Demand - Activity'!$FT:$FT,Example!$G41,'Resource Demand - Activity'!BL:BL)</f>
        <v>0.5</v>
      </c>
      <c r="BR41" s="35">
        <f>SUMIF('Resource Demand - Activity'!$FT:$FT,Example!$G41,'Resource Demand - Activity'!BM:BM)</f>
        <v>0</v>
      </c>
      <c r="BS41" s="35">
        <f>SUMIF('Resource Demand - Activity'!$FT:$FT,Example!$G41,'Resource Demand - Activity'!BN:BN)</f>
        <v>0</v>
      </c>
      <c r="BT41" s="35">
        <f>SUMIF('Resource Demand - Activity'!$FT:$FT,Example!$G41,'Resource Demand - Activity'!BO:BO)</f>
        <v>0</v>
      </c>
      <c r="BU41" s="35">
        <f>SUMIF('Resource Demand - Activity'!$FT:$FT,Example!$G41,'Resource Demand - Activity'!BP:BP)</f>
        <v>0</v>
      </c>
      <c r="BV41" s="35">
        <f>SUMIF('Resource Demand - Activity'!$FT:$FT,Example!$G41,'Resource Demand - Activity'!BQ:BQ)</f>
        <v>0</v>
      </c>
      <c r="BW41" s="35">
        <f>SUMIF('Resource Demand - Activity'!$FT:$FT,Example!$G41,'Resource Demand - Activity'!BR:BR)</f>
        <v>0</v>
      </c>
      <c r="BX41" s="35">
        <f>SUMIF('Resource Demand - Activity'!$FT:$FT,Example!$G41,'Resource Demand - Activity'!BS:BS)</f>
        <v>0</v>
      </c>
      <c r="BY41" s="35">
        <f>SUMIF('Resource Demand - Activity'!$FT:$FT,Example!$G41,'Resource Demand - Activity'!BT:BT)</f>
        <v>0</v>
      </c>
      <c r="BZ41" s="35">
        <f>SUMIF('Resource Demand - Activity'!$FT:$FT,Example!$G41,'Resource Demand - Activity'!BU:BU)</f>
        <v>0</v>
      </c>
      <c r="CA41" s="35">
        <f>SUMIF('Resource Demand - Activity'!$FT:$FT,Example!$G41,'Resource Demand - Activity'!BV:BV)</f>
        <v>0</v>
      </c>
      <c r="CB41" s="35">
        <f>SUMIF('Resource Demand - Activity'!$FT:$FT,Example!$G41,'Resource Demand - Activity'!BW:BW)</f>
        <v>0</v>
      </c>
      <c r="CC41" s="35">
        <f>SUMIF('Resource Demand - Activity'!$FT:$FT,Example!$G41,'Resource Demand - Activity'!BX:BX)</f>
        <v>0</v>
      </c>
      <c r="CD41" s="35">
        <f>SUMIF('Resource Demand - Activity'!$FT:$FT,Example!$G41,'Resource Demand - Activity'!BY:BY)</f>
        <v>0</v>
      </c>
      <c r="CE41" s="35">
        <f>SUMIF('Resource Demand - Activity'!$FT:$FT,Example!$G41,'Resource Demand - Activity'!BZ:BZ)</f>
        <v>0</v>
      </c>
      <c r="CF41" s="35">
        <f>SUMIF('Resource Demand - Activity'!$FT:$FT,Example!$G41,'Resource Demand - Activity'!CA:CA)</f>
        <v>0</v>
      </c>
      <c r="CG41" s="35">
        <f>SUMIF('Resource Demand - Activity'!$FT:$FT,Example!$G41,'Resource Demand - Activity'!CB:CB)</f>
        <v>0</v>
      </c>
      <c r="CH41" s="35">
        <f>SUMIF('Resource Demand - Activity'!$FT:$FT,Example!$G41,'Resource Demand - Activity'!CC:CC)</f>
        <v>0</v>
      </c>
      <c r="CI41" s="35">
        <f>SUMIF('Resource Demand - Activity'!$FT:$FT,Example!$G41,'Resource Demand - Activity'!CD:CD)</f>
        <v>0</v>
      </c>
      <c r="CJ41" s="35">
        <f>SUMIF('Resource Demand - Activity'!$FT:$FT,Example!$G41,'Resource Demand - Activity'!CE:CE)</f>
        <v>0</v>
      </c>
      <c r="CK41" s="35">
        <f>SUMIF('Resource Demand - Activity'!$FT:$FT,Example!$G41,'Resource Demand - Activity'!CF:CF)</f>
        <v>0</v>
      </c>
      <c r="CL41" s="35">
        <f>SUMIF('Resource Demand - Activity'!$FT:$FT,Example!$G41,'Resource Demand - Activity'!CG:CG)</f>
        <v>0</v>
      </c>
      <c r="CM41" s="35">
        <f>SUMIF('Resource Demand - Activity'!$FT:$FT,Example!$G41,'Resource Demand - Activity'!CH:CH)</f>
        <v>0</v>
      </c>
      <c r="CN41" s="35">
        <f>SUMIF('Resource Demand - Activity'!$FT:$FT,Example!$G41,'Resource Demand - Activity'!CI:CI)</f>
        <v>0</v>
      </c>
      <c r="CO41" s="35">
        <f>SUMIF('Resource Demand - Activity'!$FT:$FT,Example!$G41,'Resource Demand - Activity'!CJ:CJ)</f>
        <v>0</v>
      </c>
      <c r="CP41" s="35">
        <f>SUMIF('Resource Demand - Activity'!$FT:$FT,Example!$G41,'Resource Demand - Activity'!CK:CK)</f>
        <v>0</v>
      </c>
      <c r="CQ41" s="35">
        <f>SUMIF('Resource Demand - Activity'!$FT:$FT,Example!$G41,'Resource Demand - Activity'!CL:CL)</f>
        <v>0</v>
      </c>
      <c r="CR41" s="35">
        <f>SUMIF('Resource Demand - Activity'!$FT:$FT,Example!$G41,'Resource Demand - Activity'!CM:CM)</f>
        <v>0</v>
      </c>
      <c r="CS41" s="35">
        <f>SUMIF('Resource Demand - Activity'!$FT:$FT,Example!$G41,'Resource Demand - Activity'!CN:CN)</f>
        <v>0</v>
      </c>
      <c r="CT41" s="35">
        <f>SUMIF('Resource Demand - Activity'!$FT:$FT,Example!$G41,'Resource Demand - Activity'!CO:CO)</f>
        <v>0</v>
      </c>
      <c r="CU41" s="35">
        <f>SUMIF('Resource Demand - Activity'!$FT:$FT,Example!$G41,'Resource Demand - Activity'!CP:CP)</f>
        <v>0</v>
      </c>
      <c r="CV41" s="35">
        <f>SUMIF('Resource Demand - Activity'!$FT:$FT,Example!$G41,'Resource Demand - Activity'!CQ:CQ)</f>
        <v>0</v>
      </c>
      <c r="CW41" s="35">
        <f>SUMIF('Resource Demand - Activity'!$FT:$FT,Example!$G41,'Resource Demand - Activity'!CR:CR)</f>
        <v>0</v>
      </c>
      <c r="CX41" s="35">
        <f>SUMIF('Resource Demand - Activity'!$FT:$FT,Example!$G41,'Resource Demand - Activity'!CS:CS)</f>
        <v>0</v>
      </c>
      <c r="CY41" s="36">
        <f>SUMIF('Resource Demand - Activity'!$FT:$FT,Example!$G41,'Resource Demand - Activity'!CT:CT)</f>
        <v>0</v>
      </c>
      <c r="CZ41" s="35">
        <f>SUMIF('Resource Demand - Activity'!$FT:$FT,Example!$G41,'Resource Demand - Activity'!CU:CU)</f>
        <v>0</v>
      </c>
      <c r="DA41" s="35">
        <f>SUMIF('Resource Demand - Activity'!$FT:$FT,Example!$G41,'Resource Demand - Activity'!CV:CV)</f>
        <v>0</v>
      </c>
      <c r="DB41" s="35">
        <f>SUMIF('Resource Demand - Activity'!$FT:$FT,Example!$G41,'Resource Demand - Activity'!CW:CW)</f>
        <v>0</v>
      </c>
      <c r="DC41" s="35">
        <f>SUMIF('Resource Demand - Activity'!$FT:$FT,Example!$G41,'Resource Demand - Activity'!CX:CX)</f>
        <v>0</v>
      </c>
      <c r="DD41" s="35">
        <f>SUMIF('Resource Demand - Activity'!$FT:$FT,Example!$G41,'Resource Demand - Activity'!CY:CY)</f>
        <v>0</v>
      </c>
      <c r="DE41" s="36">
        <f>SUMIF('Resource Demand - Activity'!$FT:$FT,Example!$G41,'Resource Demand - Activity'!CZ:CZ)</f>
        <v>0</v>
      </c>
      <c r="DF41" s="36">
        <f>SUMIF('Resource Demand - Activity'!$FT:$FT,Example!$G41,'Resource Demand - Activity'!DA:DA)</f>
        <v>0</v>
      </c>
      <c r="DG41" s="35">
        <f>SUMIF('Resource Demand - Activity'!$FT:$FT,Example!$G41,'Resource Demand - Activity'!DB:DB)</f>
        <v>0</v>
      </c>
      <c r="DH41" s="35">
        <f>SUMIF('Resource Demand - Activity'!$FT:$FT,Example!$G41,'Resource Demand - Activity'!DC:DC)</f>
        <v>0</v>
      </c>
      <c r="DI41" s="35">
        <f>SUMIF('Resource Demand - Activity'!$FT:$FT,Example!$G41,'Resource Demand - Activity'!DD:DD)</f>
        <v>0</v>
      </c>
      <c r="DJ41" s="35">
        <f>SUMIF('Resource Demand - Activity'!$FT:$FT,Example!$G41,'Resource Demand - Activity'!DE:DE)</f>
        <v>0</v>
      </c>
      <c r="DK41" s="35">
        <f>SUMIF('Resource Demand - Activity'!$FT:$FT,Example!$G41,'Resource Demand - Activity'!DF:DF)</f>
        <v>0</v>
      </c>
      <c r="DL41" s="35">
        <f>SUMIF('Resource Demand - Activity'!$FT:$FT,Example!$G41,'Resource Demand - Activity'!DG:DG)</f>
        <v>0</v>
      </c>
      <c r="DM41" s="35">
        <f>SUMIF('Resource Demand - Activity'!$FT:$FT,Example!$G41,'Resource Demand - Activity'!DH:DH)</f>
        <v>0</v>
      </c>
      <c r="DN41" s="35">
        <f>SUMIF('Resource Demand - Activity'!$FT:$FT,Example!$G41,'Resource Demand - Activity'!DI:DI)</f>
        <v>0</v>
      </c>
      <c r="DO41" s="35">
        <f>SUMIF('Resource Demand - Activity'!$FT:$FT,Example!$G41,'Resource Demand - Activity'!DJ:DJ)</f>
        <v>0</v>
      </c>
      <c r="DP41" s="35">
        <f>SUMIF('Resource Demand - Activity'!$FT:$FT,Example!$G41,'Resource Demand - Activity'!DK:DK)</f>
        <v>0</v>
      </c>
      <c r="DQ41" s="35">
        <f>SUMIF('Resource Demand - Activity'!$FT:$FT,Example!$G41,'Resource Demand - Activity'!DL:DL)</f>
        <v>0</v>
      </c>
      <c r="DR41" s="35">
        <f>SUMIF('Resource Demand - Activity'!$FT:$FT,Example!$G41,'Resource Demand - Activity'!DM:DM)</f>
        <v>0</v>
      </c>
      <c r="DS41" s="35">
        <f>SUMIF('Resource Demand - Activity'!$FT:$FT,Example!$G41,'Resource Demand - Activity'!DN:DN)</f>
        <v>0</v>
      </c>
      <c r="DT41" s="35">
        <f>SUMIF('Resource Demand - Activity'!$FT:$FT,Example!$G41,'Resource Demand - Activity'!DO:DO)</f>
        <v>0</v>
      </c>
      <c r="DU41" s="35">
        <f>SUMIF('Resource Demand - Activity'!$FT:$FT,Example!$G41,'Resource Demand - Activity'!DP:DP)</f>
        <v>0</v>
      </c>
      <c r="DV41" s="35">
        <f>SUMIF('Resource Demand - Activity'!$FT:$FT,Example!$G41,'Resource Demand - Activity'!DQ:DQ)</f>
        <v>0</v>
      </c>
      <c r="DW41" s="35">
        <f>SUMIF('Resource Demand - Activity'!$FT:$FT,Example!$G41,'Resource Demand - Activity'!DR:DR)</f>
        <v>0</v>
      </c>
      <c r="DX41" s="35">
        <f>SUMIF('Resource Demand - Activity'!$FT:$FT,Example!$G41,'Resource Demand - Activity'!DS:DS)</f>
        <v>0</v>
      </c>
      <c r="DY41" s="35">
        <f>SUMIF('Resource Demand - Activity'!$FT:$FT,Example!$G41,'Resource Demand - Activity'!DT:DT)</f>
        <v>0</v>
      </c>
      <c r="DZ41" s="35">
        <f>SUMIF('Resource Demand - Activity'!$FT:$FT,Example!$G41,'Resource Demand - Activity'!DU:DU)</f>
        <v>0</v>
      </c>
      <c r="EA41" s="35">
        <f>SUMIF('Resource Demand - Activity'!$FT:$FT,Example!$G41,'Resource Demand - Activity'!DV:DV)</f>
        <v>0</v>
      </c>
      <c r="EB41" s="35">
        <f>SUMIF('Resource Demand - Activity'!$FT:$FT,Example!$G41,'Resource Demand - Activity'!DW:DW)</f>
        <v>0</v>
      </c>
      <c r="EC41" s="35">
        <f>SUMIF('Resource Demand - Activity'!$FT:$FT,Example!$G41,'Resource Demand - Activity'!DX:DX)</f>
        <v>0</v>
      </c>
      <c r="ED41" s="35">
        <f>SUMIF('Resource Demand - Activity'!$FT:$FT,Example!$G41,'Resource Demand - Activity'!DY:DY)</f>
        <v>0</v>
      </c>
      <c r="EE41" s="36">
        <f>SUMIF('Resource Demand - Activity'!$FT:$FT,Example!$G41,'Resource Demand - Activity'!DZ:DZ)</f>
        <v>0</v>
      </c>
      <c r="EF41" s="35">
        <f>SUMIF('Resource Demand - Activity'!$FT:$FT,Example!$G41,'Resource Demand - Activity'!EA:EA)</f>
        <v>0</v>
      </c>
      <c r="EG41" s="35">
        <f>SUMIF('Resource Demand - Activity'!$FT:$FT,Example!$G41,'Resource Demand - Activity'!EB:EB)</f>
        <v>0</v>
      </c>
      <c r="EH41" s="35">
        <f>SUMIF('Resource Demand - Activity'!$FT:$FT,Example!$G41,'Resource Demand - Activity'!EC:EC)</f>
        <v>0</v>
      </c>
      <c r="EI41" s="35">
        <f>SUMIF('Resource Demand - Activity'!$FT:$FT,Example!$G41,'Resource Demand - Activity'!ED:ED)</f>
        <v>0</v>
      </c>
      <c r="EJ41" s="35">
        <f>SUMIF('Resource Demand - Activity'!$FT:$FT,Example!$G41,'Resource Demand - Activity'!EE:EE)</f>
        <v>0</v>
      </c>
      <c r="EK41" s="35">
        <f>SUMIF('Resource Demand - Activity'!$FT:$FT,Example!$G41,'Resource Demand - Activity'!EF:EF)</f>
        <v>0</v>
      </c>
      <c r="EL41" s="35">
        <f>SUMIF('Resource Demand - Activity'!$FT:$FT,Example!$G41,'Resource Demand - Activity'!EG:EG)</f>
        <v>0</v>
      </c>
      <c r="EM41" s="35">
        <f>SUMIF('Resource Demand - Activity'!$FT:$FT,Example!$G41,'Resource Demand - Activity'!EH:EH)</f>
        <v>0</v>
      </c>
      <c r="EN41" s="35">
        <f>SUMIF('Resource Demand - Activity'!$FT:$FT,Example!$G41,'Resource Demand - Activity'!EI:EI)</f>
        <v>0</v>
      </c>
      <c r="EO41" s="35">
        <f>SUMIF('Resource Demand - Activity'!$FT:$FT,Example!$G41,'Resource Demand - Activity'!EJ:EJ)</f>
        <v>0</v>
      </c>
      <c r="EP41" s="35">
        <f>SUMIF('Resource Demand - Activity'!$FT:$FT,Example!$G41,'Resource Demand - Activity'!EK:EK)</f>
        <v>0</v>
      </c>
      <c r="EQ41" s="35">
        <f>SUMIF('Resource Demand - Activity'!$FT:$FT,Example!$G41,'Resource Demand - Activity'!EL:EL)</f>
        <v>0</v>
      </c>
      <c r="ER41" s="35">
        <f>SUMIF('Resource Demand - Activity'!$FT:$FT,Example!$G41,'Resource Demand - Activity'!EM:EM)</f>
        <v>0</v>
      </c>
      <c r="ES41" s="35">
        <f>SUMIF('Resource Demand - Activity'!$FT:$FT,Example!$G41,'Resource Demand - Activity'!EN:EN)</f>
        <v>0</v>
      </c>
      <c r="ET41" s="35">
        <f>SUMIF('Resource Demand - Activity'!$FT:$FT,Example!$G41,'Resource Demand - Activity'!EO:EO)</f>
        <v>0</v>
      </c>
      <c r="EU41" s="35">
        <f>SUMIF('Resource Demand - Activity'!$FT:$FT,Example!$G41,'Resource Demand - Activity'!EP:EP)</f>
        <v>0</v>
      </c>
      <c r="EV41" s="35">
        <f>SUMIF('Resource Demand - Activity'!$FT:$FT,Example!$G41,'Resource Demand - Activity'!EQ:EQ)</f>
        <v>0</v>
      </c>
      <c r="EW41" s="35">
        <f>SUMIF('Resource Demand - Activity'!$FT:$FT,Example!$G41,'Resource Demand - Activity'!ER:ER)</f>
        <v>0</v>
      </c>
      <c r="EX41" s="35">
        <f>SUMIF('Resource Demand - Activity'!$FT:$FT,Example!$G41,'Resource Demand - Activity'!ES:ES)</f>
        <v>0</v>
      </c>
      <c r="EY41" s="35">
        <f>SUMIF('Resource Demand - Activity'!$FT:$FT,Example!$G41,'Resource Demand - Activity'!ET:ET)</f>
        <v>0</v>
      </c>
      <c r="EZ41" s="35">
        <f>SUMIF('Resource Demand - Activity'!$FT:$FT,Example!$G41,'Resource Demand - Activity'!EU:EU)</f>
        <v>0</v>
      </c>
      <c r="FA41" s="35">
        <f>SUMIF('Resource Demand - Activity'!$FT:$FT,Example!$G41,'Resource Demand - Activity'!EV:EV)</f>
        <v>0</v>
      </c>
      <c r="FB41" s="35">
        <f>SUMIF('Resource Demand - Activity'!$FT:$FT,Example!$G41,'Resource Demand - Activity'!EW:EW)</f>
        <v>0</v>
      </c>
      <c r="FC41" s="35">
        <f>SUMIF('Resource Demand - Activity'!$FT:$FT,Example!$G41,'Resource Demand - Activity'!EX:EX)</f>
        <v>0</v>
      </c>
      <c r="FD41" s="36">
        <f>SUMIF('Resource Demand - Activity'!$FT:$FT,Example!$G41,'Resource Demand - Activity'!EY:EY)</f>
        <v>0</v>
      </c>
      <c r="FE41" s="35">
        <f>SUMIF('Resource Demand - Activity'!$FT:$FT,Example!$G41,'Resource Demand - Activity'!EZ:EZ)</f>
        <v>0</v>
      </c>
      <c r="FF41" s="35">
        <f>SUMIF('Resource Demand - Activity'!$FT:$FT,Example!$G41,'Resource Demand - Activity'!FA:FA)</f>
        <v>0</v>
      </c>
      <c r="FG41" s="35">
        <f>SUMIF('Resource Demand - Activity'!$FT:$FT,Example!$G41,'Resource Demand - Activity'!FB:FB)</f>
        <v>0</v>
      </c>
      <c r="FH41" s="35">
        <f>SUMIF('Resource Demand - Activity'!$FT:$FT,Example!$G41,'Resource Demand - Activity'!FC:FC)</f>
        <v>0</v>
      </c>
      <c r="FI41" s="35">
        <f>SUMIF('Resource Demand - Activity'!$FT:$FT,Example!$G41,'Resource Demand - Activity'!FD:FD)</f>
        <v>0</v>
      </c>
      <c r="FJ41" s="35">
        <f>SUMIF('Resource Demand - Activity'!$FT:$FT,Example!$G41,'Resource Demand - Activity'!FE:FE)</f>
        <v>0</v>
      </c>
      <c r="FK41" s="35">
        <f>SUMIF('Resource Demand - Activity'!$FT:$FT,Example!$G41,'Resource Demand - Activity'!FF:FF)</f>
        <v>0</v>
      </c>
      <c r="FL41" s="35">
        <f>SUMIF('Resource Demand - Activity'!$FT:$FT,Example!$G41,'Resource Demand - Activity'!FG:FG)</f>
        <v>0</v>
      </c>
      <c r="FM41" s="35">
        <f>SUMIF('Resource Demand - Activity'!$FT:$FT,Example!$G41,'Resource Demand - Activity'!FH:FH)</f>
        <v>0</v>
      </c>
      <c r="FN41" s="35">
        <f>SUMIF('Resource Demand - Activity'!$FT:$FT,Example!$G41,'Resource Demand - Activity'!FI:FI)</f>
        <v>0</v>
      </c>
      <c r="FO41" s="35">
        <f>SUMIF('Resource Demand - Activity'!$FT:$FT,Example!$G41,'Resource Demand - Activity'!FJ:FJ)</f>
        <v>0</v>
      </c>
      <c r="FP41" s="35">
        <f>SUMIF('Resource Demand - Activity'!$FT:$FT,Example!$G41,'Resource Demand - Activity'!FK:FK)</f>
        <v>0</v>
      </c>
      <c r="FQ41" s="35">
        <f>SUMIF('Resource Demand - Activity'!$FT:$FT,Example!$G41,'Resource Demand - Activity'!FL:FL)</f>
        <v>0</v>
      </c>
      <c r="FR41" s="35">
        <f>SUMIF('Resource Demand - Activity'!$FT:$FT,Example!$G41,'Resource Demand - Activity'!FM:FM)</f>
        <v>0</v>
      </c>
      <c r="FS41" s="35">
        <f>SUMIF('Resource Demand - Activity'!$FT:$FT,Example!$G41,'Resource Demand - Activity'!FN:FN)</f>
        <v>0</v>
      </c>
      <c r="FT41" s="35">
        <f>SUMIF('Resource Demand - Activity'!$FT:$FT,Example!$G41,'Resource Demand - Activity'!FO:FO)</f>
        <v>0</v>
      </c>
      <c r="FU41" s="35">
        <f>SUMIF('Resource Demand - Activity'!$FT:$FT,Example!$G41,'Resource Demand - Activity'!FP:FP)</f>
        <v>0</v>
      </c>
      <c r="FV41" s="52">
        <f>SUMIF('Resource Demand - Activity'!$FT:$FT,Example!$G41,'Resource Demand - Activity'!FQ:FQ)</f>
        <v>0</v>
      </c>
    </row>
    <row r="42" spans="2:178" ht="12" customHeight="1">
      <c r="B42" s="147" t="s">
        <v>9</v>
      </c>
      <c r="C42" s="72">
        <v>2015</v>
      </c>
      <c r="D42" s="72" t="s">
        <v>191</v>
      </c>
      <c r="E42" s="164" t="s">
        <v>193</v>
      </c>
      <c r="G42" s="64" t="str">
        <f t="shared" si="7"/>
        <v>5. Annual Process Documentation 5.2 FCF ReviewSenior Accountant</v>
      </c>
      <c r="H42" s="61" t="s">
        <v>148</v>
      </c>
      <c r="I42" s="59" t="str">
        <f>INDEX('Resource Demand - Activity'!C:C,MATCH(Example!G42,'Resource Demand - Activity'!FT:FT,0))</f>
        <v>11 days</v>
      </c>
      <c r="J42" s="51">
        <f>SUMIF('Resource Demand - Activity'!$FT:$FT,Example!$G42,'Resource Demand - Activity'!E:E)</f>
        <v>0</v>
      </c>
      <c r="K42" s="35">
        <f>SUMIF('Resource Demand - Activity'!$FT:$FT,Example!$G42,'Resource Demand - Activity'!F:F)</f>
        <v>0</v>
      </c>
      <c r="L42" s="35">
        <f>SUMIF('Resource Demand - Activity'!$FT:$FT,Example!$G42,'Resource Demand - Activity'!G:G)</f>
        <v>0</v>
      </c>
      <c r="M42" s="35">
        <f>SUMIF('Resource Demand - Activity'!$FT:$FT,Example!$G42,'Resource Demand - Activity'!H:H)</f>
        <v>0</v>
      </c>
      <c r="N42" s="35">
        <f>SUMIF('Resource Demand - Activity'!$FT:$FT,Example!$G42,'Resource Demand - Activity'!I:I)</f>
        <v>0</v>
      </c>
      <c r="O42" s="35">
        <f>SUMIF('Resource Demand - Activity'!$FT:$FT,Example!$G42,'Resource Demand - Activity'!J:J)</f>
        <v>0</v>
      </c>
      <c r="P42" s="35">
        <f>SUMIF('Resource Demand - Activity'!$FT:$FT,Example!$G42,'Resource Demand - Activity'!K:K)</f>
        <v>0</v>
      </c>
      <c r="Q42" s="35">
        <f>SUMIF('Resource Demand - Activity'!$FT:$FT,Example!$G42,'Resource Demand - Activity'!L:L)</f>
        <v>0</v>
      </c>
      <c r="R42" s="35">
        <f>SUMIF('Resource Demand - Activity'!$FT:$FT,Example!$G42,'Resource Demand - Activity'!M:M)</f>
        <v>0</v>
      </c>
      <c r="S42" s="35">
        <f>SUMIF('Resource Demand - Activity'!$FT:$FT,Example!$G42,'Resource Demand - Activity'!N:N)</f>
        <v>0</v>
      </c>
      <c r="T42" s="35">
        <f>SUMIF('Resource Demand - Activity'!$FT:$FT,Example!$G42,'Resource Demand - Activity'!O:O)</f>
        <v>0</v>
      </c>
      <c r="U42" s="35">
        <f>SUMIF('Resource Demand - Activity'!$FT:$FT,Example!$G42,'Resource Demand - Activity'!P:P)</f>
        <v>0</v>
      </c>
      <c r="V42" s="35">
        <f>SUMIF('Resource Demand - Activity'!$FT:$FT,Example!$G42,'Resource Demand - Activity'!Q:Q)</f>
        <v>0</v>
      </c>
      <c r="W42" s="35">
        <f>SUMIF('Resource Demand - Activity'!$FT:$FT,Example!$G42,'Resource Demand - Activity'!R:R)</f>
        <v>0</v>
      </c>
      <c r="X42" s="35">
        <f>SUMIF('Resource Demand - Activity'!$FT:$FT,Example!$G42,'Resource Demand - Activity'!S:S)</f>
        <v>0</v>
      </c>
      <c r="Y42" s="35">
        <f>SUMIF('Resource Demand - Activity'!$FT:$FT,Example!$G42,'Resource Demand - Activity'!T:T)</f>
        <v>1</v>
      </c>
      <c r="Z42" s="35">
        <f>SUMIF('Resource Demand - Activity'!$FT:$FT,Example!$G42,'Resource Demand - Activity'!U:U)</f>
        <v>0</v>
      </c>
      <c r="AA42" s="35">
        <f>SUMIF('Resource Demand - Activity'!$FT:$FT,Example!$G42,'Resource Demand - Activity'!V:V)</f>
        <v>0</v>
      </c>
      <c r="AB42" s="35">
        <f>SUMIF('Resource Demand - Activity'!$FT:$FT,Example!$G42,'Resource Demand - Activity'!W:W)</f>
        <v>0</v>
      </c>
      <c r="AC42" s="35">
        <f>SUMIF('Resource Demand - Activity'!$FT:$FT,Example!$G42,'Resource Demand - Activity'!X:X)</f>
        <v>0</v>
      </c>
      <c r="AD42" s="35">
        <f>SUMIF('Resource Demand - Activity'!$FT:$FT,Example!$G42,'Resource Demand - Activity'!Y:Y)</f>
        <v>1</v>
      </c>
      <c r="AE42" s="35">
        <f>SUMIF('Resource Demand - Activity'!$FT:$FT,Example!$G42,'Resource Demand - Activity'!Z:Z)</f>
        <v>0</v>
      </c>
      <c r="AF42" s="35">
        <f>SUMIF('Resource Demand - Activity'!$FT:$FT,Example!$G42,'Resource Demand - Activity'!AA:AA)</f>
        <v>0</v>
      </c>
      <c r="AG42" s="35">
        <f>SUMIF('Resource Demand - Activity'!$FT:$FT,Example!$G42,'Resource Demand - Activity'!AB:AB)</f>
        <v>0</v>
      </c>
      <c r="AH42" s="35">
        <f>SUMIF('Resource Demand - Activity'!$FT:$FT,Example!$G42,'Resource Demand - Activity'!AC:AC)</f>
        <v>0</v>
      </c>
      <c r="AI42" s="35">
        <f>SUMIF('Resource Demand - Activity'!$FT:$FT,Example!$G42,'Resource Demand - Activity'!AD:AD)</f>
        <v>1</v>
      </c>
      <c r="AJ42" s="35">
        <f>SUMIF('Resource Demand - Activity'!$FT:$FT,Example!$G42,'Resource Demand - Activity'!AE:AE)</f>
        <v>1</v>
      </c>
      <c r="AK42" s="35">
        <f>SUMIF('Resource Demand - Activity'!$FT:$FT,Example!$G42,'Resource Demand - Activity'!AF:AF)</f>
        <v>1</v>
      </c>
      <c r="AL42" s="35">
        <f>SUMIF('Resource Demand - Activity'!$FT:$FT,Example!$G42,'Resource Demand - Activity'!AG:AG)</f>
        <v>1</v>
      </c>
      <c r="AM42" s="35">
        <f>SUMIF('Resource Demand - Activity'!$FT:$FT,Example!$G42,'Resource Demand - Activity'!AH:AH)</f>
        <v>1</v>
      </c>
      <c r="AN42" s="35">
        <f>SUMIF('Resource Demand - Activity'!$FT:$FT,Example!$G42,'Resource Demand - Activity'!AI:AI)</f>
        <v>1</v>
      </c>
      <c r="AO42" s="35">
        <f>SUMIF('Resource Demand - Activity'!$FT:$FT,Example!$G42,'Resource Demand - Activity'!AJ:AJ)</f>
        <v>0</v>
      </c>
      <c r="AP42" s="35">
        <f>SUMIF('Resource Demand - Activity'!$FT:$FT,Example!$G42,'Resource Demand - Activity'!AK:AK)</f>
        <v>0</v>
      </c>
      <c r="AQ42" s="36">
        <f>SUMIF('Resource Demand - Activity'!$FT:$FT,Example!$G42,'Resource Demand - Activity'!AL:AL)</f>
        <v>0</v>
      </c>
      <c r="AR42" s="36">
        <f>SUMIF('Resource Demand - Activity'!$FT:$FT,Example!$G42,'Resource Demand - Activity'!AM:AM)</f>
        <v>0</v>
      </c>
      <c r="AS42" s="36">
        <f>SUMIF('Resource Demand - Activity'!$FT:$FT,Example!$G42,'Resource Demand - Activity'!AN:AN)</f>
        <v>0</v>
      </c>
      <c r="AT42" s="36">
        <f>SUMIF('Resource Demand - Activity'!$FT:$FT,Example!$G42,'Resource Demand - Activity'!AO:AO)</f>
        <v>0</v>
      </c>
      <c r="AU42" s="36">
        <f>SUMIF('Resource Demand - Activity'!$FT:$FT,Example!$G42,'Resource Demand - Activity'!AP:AP)</f>
        <v>0</v>
      </c>
      <c r="AV42" s="36">
        <f>SUMIF('Resource Demand - Activity'!$FT:$FT,Example!$G42,'Resource Demand - Activity'!AQ:AQ)</f>
        <v>0</v>
      </c>
      <c r="AW42" s="36">
        <f>SUMIF('Resource Demand - Activity'!$FT:$FT,Example!$G42,'Resource Demand - Activity'!AR:AR)</f>
        <v>0</v>
      </c>
      <c r="AX42" s="35">
        <f>SUMIF('Resource Demand - Activity'!$FT:$FT,Example!$G42,'Resource Demand - Activity'!AS:AS)</f>
        <v>1</v>
      </c>
      <c r="AY42" s="35">
        <f>SUMIF('Resource Demand - Activity'!$FT:$FT,Example!$G42,'Resource Demand - Activity'!AT:AT)</f>
        <v>1</v>
      </c>
      <c r="AZ42" s="35">
        <f>SUMIF('Resource Demand - Activity'!$FT:$FT,Example!$G42,'Resource Demand - Activity'!AU:AU)</f>
        <v>1</v>
      </c>
      <c r="BA42" s="35">
        <f>SUMIF('Resource Demand - Activity'!$FT:$FT,Example!$G42,'Resource Demand - Activity'!AV:AV)</f>
        <v>0</v>
      </c>
      <c r="BB42" s="35">
        <f>SUMIF('Resource Demand - Activity'!$FT:$FT,Example!$G42,'Resource Demand - Activity'!AW:AW)</f>
        <v>0</v>
      </c>
      <c r="BC42" s="35">
        <f>SUMIF('Resource Demand - Activity'!$FT:$FT,Example!$G42,'Resource Demand - Activity'!AX:AX)</f>
        <v>0</v>
      </c>
      <c r="BD42" s="35">
        <f>SUMIF('Resource Demand - Activity'!$FT:$FT,Example!$G42,'Resource Demand - Activity'!AY:AY)</f>
        <v>0</v>
      </c>
      <c r="BE42" s="35">
        <f>SUMIF('Resource Demand - Activity'!$FT:$FT,Example!$G42,'Resource Demand - Activity'!AZ:AZ)</f>
        <v>0</v>
      </c>
      <c r="BF42" s="35">
        <f>SUMIF('Resource Demand - Activity'!$FT:$FT,Example!$G42,'Resource Demand - Activity'!BA:BA)</f>
        <v>0</v>
      </c>
      <c r="BG42" s="35">
        <f>SUMIF('Resource Demand - Activity'!$FT:$FT,Example!$G42,'Resource Demand - Activity'!BB:BB)</f>
        <v>0</v>
      </c>
      <c r="BH42" s="35">
        <f>SUMIF('Resource Demand - Activity'!$FT:$FT,Example!$G42,'Resource Demand - Activity'!BC:BC)</f>
        <v>0</v>
      </c>
      <c r="BI42" s="35">
        <f>SUMIF('Resource Demand - Activity'!$FT:$FT,Example!$G42,'Resource Demand - Activity'!BD:BD)</f>
        <v>0</v>
      </c>
      <c r="BJ42" s="35">
        <f>SUMIF('Resource Demand - Activity'!$FT:$FT,Example!$G42,'Resource Demand - Activity'!BE:BE)</f>
        <v>0</v>
      </c>
      <c r="BK42" s="35">
        <f>SUMIF('Resource Demand - Activity'!$FT:$FT,Example!$G42,'Resource Demand - Activity'!BF:BF)</f>
        <v>0</v>
      </c>
      <c r="BL42" s="35">
        <f>SUMIF('Resource Demand - Activity'!$FT:$FT,Example!$G42,'Resource Demand - Activity'!BG:BG)</f>
        <v>0</v>
      </c>
      <c r="BM42" s="35">
        <f>SUMIF('Resource Demand - Activity'!$FT:$FT,Example!$G42,'Resource Demand - Activity'!BH:BH)</f>
        <v>0</v>
      </c>
      <c r="BN42" s="35">
        <f>SUMIF('Resource Demand - Activity'!$FT:$FT,Example!$G42,'Resource Demand - Activity'!BI:BI)</f>
        <v>0</v>
      </c>
      <c r="BO42" s="35">
        <f>SUMIF('Resource Demand - Activity'!$FT:$FT,Example!$G42,'Resource Demand - Activity'!BJ:BJ)</f>
        <v>0</v>
      </c>
      <c r="BP42" s="35">
        <f>SUMIF('Resource Demand - Activity'!$FT:$FT,Example!$G42,'Resource Demand - Activity'!BK:BK)</f>
        <v>0</v>
      </c>
      <c r="BQ42" s="35">
        <f>SUMIF('Resource Demand - Activity'!$FT:$FT,Example!$G42,'Resource Demand - Activity'!BL:BL)</f>
        <v>0</v>
      </c>
      <c r="BR42" s="35">
        <f>SUMIF('Resource Demand - Activity'!$FT:$FT,Example!$G42,'Resource Demand - Activity'!BM:BM)</f>
        <v>0</v>
      </c>
      <c r="BS42" s="35">
        <f>SUMIF('Resource Demand - Activity'!$FT:$FT,Example!$G42,'Resource Demand - Activity'!BN:BN)</f>
        <v>0</v>
      </c>
      <c r="BT42" s="35">
        <f>SUMIF('Resource Demand - Activity'!$FT:$FT,Example!$G42,'Resource Demand - Activity'!BO:BO)</f>
        <v>0</v>
      </c>
      <c r="BU42" s="35">
        <f>SUMIF('Resource Demand - Activity'!$FT:$FT,Example!$G42,'Resource Demand - Activity'!BP:BP)</f>
        <v>0</v>
      </c>
      <c r="BV42" s="35">
        <f>SUMIF('Resource Demand - Activity'!$FT:$FT,Example!$G42,'Resource Demand - Activity'!BQ:BQ)</f>
        <v>0</v>
      </c>
      <c r="BW42" s="35">
        <f>SUMIF('Resource Demand - Activity'!$FT:$FT,Example!$G42,'Resource Demand - Activity'!BR:BR)</f>
        <v>0</v>
      </c>
      <c r="BX42" s="35">
        <f>SUMIF('Resource Demand - Activity'!$FT:$FT,Example!$G42,'Resource Demand - Activity'!BS:BS)</f>
        <v>0</v>
      </c>
      <c r="BY42" s="35">
        <f>SUMIF('Resource Demand - Activity'!$FT:$FT,Example!$G42,'Resource Demand - Activity'!BT:BT)</f>
        <v>0</v>
      </c>
      <c r="BZ42" s="35">
        <f>SUMIF('Resource Demand - Activity'!$FT:$FT,Example!$G42,'Resource Demand - Activity'!BU:BU)</f>
        <v>0</v>
      </c>
      <c r="CA42" s="35">
        <f>SUMIF('Resource Demand - Activity'!$FT:$FT,Example!$G42,'Resource Demand - Activity'!BV:BV)</f>
        <v>0</v>
      </c>
      <c r="CB42" s="35">
        <f>SUMIF('Resource Demand - Activity'!$FT:$FT,Example!$G42,'Resource Demand - Activity'!BW:BW)</f>
        <v>0</v>
      </c>
      <c r="CC42" s="35">
        <f>SUMIF('Resource Demand - Activity'!$FT:$FT,Example!$G42,'Resource Demand - Activity'!BX:BX)</f>
        <v>0</v>
      </c>
      <c r="CD42" s="35">
        <f>SUMIF('Resource Demand - Activity'!$FT:$FT,Example!$G42,'Resource Demand - Activity'!BY:BY)</f>
        <v>0</v>
      </c>
      <c r="CE42" s="35">
        <f>SUMIF('Resource Demand - Activity'!$FT:$FT,Example!$G42,'Resource Demand - Activity'!BZ:BZ)</f>
        <v>0</v>
      </c>
      <c r="CF42" s="35">
        <f>SUMIF('Resource Demand - Activity'!$FT:$FT,Example!$G42,'Resource Demand - Activity'!CA:CA)</f>
        <v>0</v>
      </c>
      <c r="CG42" s="35">
        <f>SUMIF('Resource Demand - Activity'!$FT:$FT,Example!$G42,'Resource Demand - Activity'!CB:CB)</f>
        <v>0</v>
      </c>
      <c r="CH42" s="35">
        <f>SUMIF('Resource Demand - Activity'!$FT:$FT,Example!$G42,'Resource Demand - Activity'!CC:CC)</f>
        <v>0</v>
      </c>
      <c r="CI42" s="35">
        <f>SUMIF('Resource Demand - Activity'!$FT:$FT,Example!$G42,'Resource Demand - Activity'!CD:CD)</f>
        <v>0</v>
      </c>
      <c r="CJ42" s="35">
        <f>SUMIF('Resource Demand - Activity'!$FT:$FT,Example!$G42,'Resource Demand - Activity'!CE:CE)</f>
        <v>0</v>
      </c>
      <c r="CK42" s="35">
        <f>SUMIF('Resource Demand - Activity'!$FT:$FT,Example!$G42,'Resource Demand - Activity'!CF:CF)</f>
        <v>0</v>
      </c>
      <c r="CL42" s="35">
        <f>SUMIF('Resource Demand - Activity'!$FT:$FT,Example!$G42,'Resource Demand - Activity'!CG:CG)</f>
        <v>0</v>
      </c>
      <c r="CM42" s="35">
        <f>SUMIF('Resource Demand - Activity'!$FT:$FT,Example!$G42,'Resource Demand - Activity'!CH:CH)</f>
        <v>0</v>
      </c>
      <c r="CN42" s="35">
        <f>SUMIF('Resource Demand - Activity'!$FT:$FT,Example!$G42,'Resource Demand - Activity'!CI:CI)</f>
        <v>0</v>
      </c>
      <c r="CO42" s="35">
        <f>SUMIF('Resource Demand - Activity'!$FT:$FT,Example!$G42,'Resource Demand - Activity'!CJ:CJ)</f>
        <v>0</v>
      </c>
      <c r="CP42" s="35">
        <f>SUMIF('Resource Demand - Activity'!$FT:$FT,Example!$G42,'Resource Demand - Activity'!CK:CK)</f>
        <v>0</v>
      </c>
      <c r="CQ42" s="35">
        <f>SUMIF('Resource Demand - Activity'!$FT:$FT,Example!$G42,'Resource Demand - Activity'!CL:CL)</f>
        <v>0</v>
      </c>
      <c r="CR42" s="35">
        <f>SUMIF('Resource Demand - Activity'!$FT:$FT,Example!$G42,'Resource Demand - Activity'!CM:CM)</f>
        <v>0</v>
      </c>
      <c r="CS42" s="35">
        <f>SUMIF('Resource Demand - Activity'!$FT:$FT,Example!$G42,'Resource Demand - Activity'!CN:CN)</f>
        <v>0</v>
      </c>
      <c r="CT42" s="35">
        <f>SUMIF('Resource Demand - Activity'!$FT:$FT,Example!$G42,'Resource Demand - Activity'!CO:CO)</f>
        <v>0</v>
      </c>
      <c r="CU42" s="35">
        <f>SUMIF('Resource Demand - Activity'!$FT:$FT,Example!$G42,'Resource Demand - Activity'!CP:CP)</f>
        <v>0</v>
      </c>
      <c r="CV42" s="35">
        <f>SUMIF('Resource Demand - Activity'!$FT:$FT,Example!$G42,'Resource Demand - Activity'!CQ:CQ)</f>
        <v>0</v>
      </c>
      <c r="CW42" s="35">
        <f>SUMIF('Resource Demand - Activity'!$FT:$FT,Example!$G42,'Resource Demand - Activity'!CR:CR)</f>
        <v>0</v>
      </c>
      <c r="CX42" s="35">
        <f>SUMIF('Resource Demand - Activity'!$FT:$FT,Example!$G42,'Resource Demand - Activity'!CS:CS)</f>
        <v>0</v>
      </c>
      <c r="CY42" s="36">
        <f>SUMIF('Resource Demand - Activity'!$FT:$FT,Example!$G42,'Resource Demand - Activity'!CT:CT)</f>
        <v>0</v>
      </c>
      <c r="CZ42" s="35">
        <f>SUMIF('Resource Demand - Activity'!$FT:$FT,Example!$G42,'Resource Demand - Activity'!CU:CU)</f>
        <v>0</v>
      </c>
      <c r="DA42" s="35">
        <f>SUMIF('Resource Demand - Activity'!$FT:$FT,Example!$G42,'Resource Demand - Activity'!CV:CV)</f>
        <v>0</v>
      </c>
      <c r="DB42" s="35">
        <f>SUMIF('Resource Demand - Activity'!$FT:$FT,Example!$G42,'Resource Demand - Activity'!CW:CW)</f>
        <v>0</v>
      </c>
      <c r="DC42" s="35">
        <f>SUMIF('Resource Demand - Activity'!$FT:$FT,Example!$G42,'Resource Demand - Activity'!CX:CX)</f>
        <v>0</v>
      </c>
      <c r="DD42" s="35">
        <f>SUMIF('Resource Demand - Activity'!$FT:$FT,Example!$G42,'Resource Demand - Activity'!CY:CY)</f>
        <v>0</v>
      </c>
      <c r="DE42" s="36">
        <f>SUMIF('Resource Demand - Activity'!$FT:$FT,Example!$G42,'Resource Demand - Activity'!CZ:CZ)</f>
        <v>0</v>
      </c>
      <c r="DF42" s="36">
        <f>SUMIF('Resource Demand - Activity'!$FT:$FT,Example!$G42,'Resource Demand - Activity'!DA:DA)</f>
        <v>0</v>
      </c>
      <c r="DG42" s="35">
        <f>SUMIF('Resource Demand - Activity'!$FT:$FT,Example!$G42,'Resource Demand - Activity'!DB:DB)</f>
        <v>0</v>
      </c>
      <c r="DH42" s="35">
        <f>SUMIF('Resource Demand - Activity'!$FT:$FT,Example!$G42,'Resource Demand - Activity'!DC:DC)</f>
        <v>0</v>
      </c>
      <c r="DI42" s="35">
        <f>SUMIF('Resource Demand - Activity'!$FT:$FT,Example!$G42,'Resource Demand - Activity'!DD:DD)</f>
        <v>0</v>
      </c>
      <c r="DJ42" s="35">
        <f>SUMIF('Resource Demand - Activity'!$FT:$FT,Example!$G42,'Resource Demand - Activity'!DE:DE)</f>
        <v>0</v>
      </c>
      <c r="DK42" s="35">
        <f>SUMIF('Resource Demand - Activity'!$FT:$FT,Example!$G42,'Resource Demand - Activity'!DF:DF)</f>
        <v>0</v>
      </c>
      <c r="DL42" s="35">
        <f>SUMIF('Resource Demand - Activity'!$FT:$FT,Example!$G42,'Resource Demand - Activity'!DG:DG)</f>
        <v>0</v>
      </c>
      <c r="DM42" s="35">
        <f>SUMIF('Resource Demand - Activity'!$FT:$FT,Example!$G42,'Resource Demand - Activity'!DH:DH)</f>
        <v>0</v>
      </c>
      <c r="DN42" s="35">
        <f>SUMIF('Resource Demand - Activity'!$FT:$FT,Example!$G42,'Resource Demand - Activity'!DI:DI)</f>
        <v>0</v>
      </c>
      <c r="DO42" s="35">
        <f>SUMIF('Resource Demand - Activity'!$FT:$FT,Example!$G42,'Resource Demand - Activity'!DJ:DJ)</f>
        <v>0</v>
      </c>
      <c r="DP42" s="35">
        <f>SUMIF('Resource Demand - Activity'!$FT:$FT,Example!$G42,'Resource Demand - Activity'!DK:DK)</f>
        <v>0</v>
      </c>
      <c r="DQ42" s="35">
        <f>SUMIF('Resource Demand - Activity'!$FT:$FT,Example!$G42,'Resource Demand - Activity'!DL:DL)</f>
        <v>0</v>
      </c>
      <c r="DR42" s="35">
        <f>SUMIF('Resource Demand - Activity'!$FT:$FT,Example!$G42,'Resource Demand - Activity'!DM:DM)</f>
        <v>0</v>
      </c>
      <c r="DS42" s="35">
        <f>SUMIF('Resource Demand - Activity'!$FT:$FT,Example!$G42,'Resource Demand - Activity'!DN:DN)</f>
        <v>0</v>
      </c>
      <c r="DT42" s="35">
        <f>SUMIF('Resource Demand - Activity'!$FT:$FT,Example!$G42,'Resource Demand - Activity'!DO:DO)</f>
        <v>0</v>
      </c>
      <c r="DU42" s="35">
        <f>SUMIF('Resource Demand - Activity'!$FT:$FT,Example!$G42,'Resource Demand - Activity'!DP:DP)</f>
        <v>0</v>
      </c>
      <c r="DV42" s="35">
        <f>SUMIF('Resource Demand - Activity'!$FT:$FT,Example!$G42,'Resource Demand - Activity'!DQ:DQ)</f>
        <v>0</v>
      </c>
      <c r="DW42" s="35">
        <f>SUMIF('Resource Demand - Activity'!$FT:$FT,Example!$G42,'Resource Demand - Activity'!DR:DR)</f>
        <v>0</v>
      </c>
      <c r="DX42" s="35">
        <f>SUMIF('Resource Demand - Activity'!$FT:$FT,Example!$G42,'Resource Demand - Activity'!DS:DS)</f>
        <v>0</v>
      </c>
      <c r="DY42" s="35">
        <f>SUMIF('Resource Demand - Activity'!$FT:$FT,Example!$G42,'Resource Demand - Activity'!DT:DT)</f>
        <v>0</v>
      </c>
      <c r="DZ42" s="35">
        <f>SUMIF('Resource Demand - Activity'!$FT:$FT,Example!$G42,'Resource Demand - Activity'!DU:DU)</f>
        <v>0</v>
      </c>
      <c r="EA42" s="35">
        <f>SUMIF('Resource Demand - Activity'!$FT:$FT,Example!$G42,'Resource Demand - Activity'!DV:DV)</f>
        <v>0</v>
      </c>
      <c r="EB42" s="35">
        <f>SUMIF('Resource Demand - Activity'!$FT:$FT,Example!$G42,'Resource Demand - Activity'!DW:DW)</f>
        <v>0</v>
      </c>
      <c r="EC42" s="35">
        <f>SUMIF('Resource Demand - Activity'!$FT:$FT,Example!$G42,'Resource Demand - Activity'!DX:DX)</f>
        <v>0</v>
      </c>
      <c r="ED42" s="35">
        <f>SUMIF('Resource Demand - Activity'!$FT:$FT,Example!$G42,'Resource Demand - Activity'!DY:DY)</f>
        <v>0</v>
      </c>
      <c r="EE42" s="36">
        <f>SUMIF('Resource Demand - Activity'!$FT:$FT,Example!$G42,'Resource Demand - Activity'!DZ:DZ)</f>
        <v>0</v>
      </c>
      <c r="EF42" s="35">
        <f>SUMIF('Resource Demand - Activity'!$FT:$FT,Example!$G42,'Resource Demand - Activity'!EA:EA)</f>
        <v>0</v>
      </c>
      <c r="EG42" s="35">
        <f>SUMIF('Resource Demand - Activity'!$FT:$FT,Example!$G42,'Resource Demand - Activity'!EB:EB)</f>
        <v>0</v>
      </c>
      <c r="EH42" s="35">
        <f>SUMIF('Resource Demand - Activity'!$FT:$FT,Example!$G42,'Resource Demand - Activity'!EC:EC)</f>
        <v>0</v>
      </c>
      <c r="EI42" s="35">
        <f>SUMIF('Resource Demand - Activity'!$FT:$FT,Example!$G42,'Resource Demand - Activity'!ED:ED)</f>
        <v>0</v>
      </c>
      <c r="EJ42" s="35">
        <f>SUMIF('Resource Demand - Activity'!$FT:$FT,Example!$G42,'Resource Demand - Activity'!EE:EE)</f>
        <v>0</v>
      </c>
      <c r="EK42" s="35">
        <f>SUMIF('Resource Demand - Activity'!$FT:$FT,Example!$G42,'Resource Demand - Activity'!EF:EF)</f>
        <v>0</v>
      </c>
      <c r="EL42" s="35">
        <f>SUMIF('Resource Demand - Activity'!$FT:$FT,Example!$G42,'Resource Demand - Activity'!EG:EG)</f>
        <v>0</v>
      </c>
      <c r="EM42" s="35">
        <f>SUMIF('Resource Demand - Activity'!$FT:$FT,Example!$G42,'Resource Demand - Activity'!EH:EH)</f>
        <v>0</v>
      </c>
      <c r="EN42" s="35">
        <f>SUMIF('Resource Demand - Activity'!$FT:$FT,Example!$G42,'Resource Demand - Activity'!EI:EI)</f>
        <v>0</v>
      </c>
      <c r="EO42" s="35">
        <f>SUMIF('Resource Demand - Activity'!$FT:$FT,Example!$G42,'Resource Demand - Activity'!EJ:EJ)</f>
        <v>0</v>
      </c>
      <c r="EP42" s="35">
        <f>SUMIF('Resource Demand - Activity'!$FT:$FT,Example!$G42,'Resource Demand - Activity'!EK:EK)</f>
        <v>0</v>
      </c>
      <c r="EQ42" s="35">
        <f>SUMIF('Resource Demand - Activity'!$FT:$FT,Example!$G42,'Resource Demand - Activity'!EL:EL)</f>
        <v>0</v>
      </c>
      <c r="ER42" s="35">
        <f>SUMIF('Resource Demand - Activity'!$FT:$FT,Example!$G42,'Resource Demand - Activity'!EM:EM)</f>
        <v>0</v>
      </c>
      <c r="ES42" s="35">
        <f>SUMIF('Resource Demand - Activity'!$FT:$FT,Example!$G42,'Resource Demand - Activity'!EN:EN)</f>
        <v>0</v>
      </c>
      <c r="ET42" s="35">
        <f>SUMIF('Resource Demand - Activity'!$FT:$FT,Example!$G42,'Resource Demand - Activity'!EO:EO)</f>
        <v>0</v>
      </c>
      <c r="EU42" s="35">
        <f>SUMIF('Resource Demand - Activity'!$FT:$FT,Example!$G42,'Resource Demand - Activity'!EP:EP)</f>
        <v>0</v>
      </c>
      <c r="EV42" s="35">
        <f>SUMIF('Resource Demand - Activity'!$FT:$FT,Example!$G42,'Resource Demand - Activity'!EQ:EQ)</f>
        <v>0</v>
      </c>
      <c r="EW42" s="35">
        <f>SUMIF('Resource Demand - Activity'!$FT:$FT,Example!$G42,'Resource Demand - Activity'!ER:ER)</f>
        <v>0</v>
      </c>
      <c r="EX42" s="35">
        <f>SUMIF('Resource Demand - Activity'!$FT:$FT,Example!$G42,'Resource Demand - Activity'!ES:ES)</f>
        <v>0</v>
      </c>
      <c r="EY42" s="35">
        <f>SUMIF('Resource Demand - Activity'!$FT:$FT,Example!$G42,'Resource Demand - Activity'!ET:ET)</f>
        <v>0</v>
      </c>
      <c r="EZ42" s="35">
        <f>SUMIF('Resource Demand - Activity'!$FT:$FT,Example!$G42,'Resource Demand - Activity'!EU:EU)</f>
        <v>0</v>
      </c>
      <c r="FA42" s="35">
        <f>SUMIF('Resource Demand - Activity'!$FT:$FT,Example!$G42,'Resource Demand - Activity'!EV:EV)</f>
        <v>0</v>
      </c>
      <c r="FB42" s="35">
        <f>SUMIF('Resource Demand - Activity'!$FT:$FT,Example!$G42,'Resource Demand - Activity'!EW:EW)</f>
        <v>0</v>
      </c>
      <c r="FC42" s="35">
        <f>SUMIF('Resource Demand - Activity'!$FT:$FT,Example!$G42,'Resource Demand - Activity'!EX:EX)</f>
        <v>0</v>
      </c>
      <c r="FD42" s="36">
        <f>SUMIF('Resource Demand - Activity'!$FT:$FT,Example!$G42,'Resource Demand - Activity'!EY:EY)</f>
        <v>0</v>
      </c>
      <c r="FE42" s="35">
        <f>SUMIF('Resource Demand - Activity'!$FT:$FT,Example!$G42,'Resource Demand - Activity'!EZ:EZ)</f>
        <v>0</v>
      </c>
      <c r="FF42" s="35">
        <f>SUMIF('Resource Demand - Activity'!$FT:$FT,Example!$G42,'Resource Demand - Activity'!FA:FA)</f>
        <v>0</v>
      </c>
      <c r="FG42" s="35">
        <f>SUMIF('Resource Demand - Activity'!$FT:$FT,Example!$G42,'Resource Demand - Activity'!FB:FB)</f>
        <v>0</v>
      </c>
      <c r="FH42" s="35">
        <f>SUMIF('Resource Demand - Activity'!$FT:$FT,Example!$G42,'Resource Demand - Activity'!FC:FC)</f>
        <v>0</v>
      </c>
      <c r="FI42" s="35">
        <f>SUMIF('Resource Demand - Activity'!$FT:$FT,Example!$G42,'Resource Demand - Activity'!FD:FD)</f>
        <v>0</v>
      </c>
      <c r="FJ42" s="35">
        <f>SUMIF('Resource Demand - Activity'!$FT:$FT,Example!$G42,'Resource Demand - Activity'!FE:FE)</f>
        <v>0</v>
      </c>
      <c r="FK42" s="35">
        <f>SUMIF('Resource Demand - Activity'!$FT:$FT,Example!$G42,'Resource Demand - Activity'!FF:FF)</f>
        <v>0</v>
      </c>
      <c r="FL42" s="35">
        <f>SUMIF('Resource Demand - Activity'!$FT:$FT,Example!$G42,'Resource Demand - Activity'!FG:FG)</f>
        <v>0</v>
      </c>
      <c r="FM42" s="35">
        <f>SUMIF('Resource Demand - Activity'!$FT:$FT,Example!$G42,'Resource Demand - Activity'!FH:FH)</f>
        <v>0</v>
      </c>
      <c r="FN42" s="35">
        <f>SUMIF('Resource Demand - Activity'!$FT:$FT,Example!$G42,'Resource Demand - Activity'!FI:FI)</f>
        <v>0</v>
      </c>
      <c r="FO42" s="35">
        <f>SUMIF('Resource Demand - Activity'!$FT:$FT,Example!$G42,'Resource Demand - Activity'!FJ:FJ)</f>
        <v>0</v>
      </c>
      <c r="FP42" s="35">
        <f>SUMIF('Resource Demand - Activity'!$FT:$FT,Example!$G42,'Resource Demand - Activity'!FK:FK)</f>
        <v>0</v>
      </c>
      <c r="FQ42" s="35">
        <f>SUMIF('Resource Demand - Activity'!$FT:$FT,Example!$G42,'Resource Demand - Activity'!FL:FL)</f>
        <v>0</v>
      </c>
      <c r="FR42" s="35">
        <f>SUMIF('Resource Demand - Activity'!$FT:$FT,Example!$G42,'Resource Demand - Activity'!FM:FM)</f>
        <v>0</v>
      </c>
      <c r="FS42" s="35">
        <f>SUMIF('Resource Demand - Activity'!$FT:$FT,Example!$G42,'Resource Demand - Activity'!FN:FN)</f>
        <v>0</v>
      </c>
      <c r="FT42" s="35">
        <f>SUMIF('Resource Demand - Activity'!$FT:$FT,Example!$G42,'Resource Demand - Activity'!FO:FO)</f>
        <v>0</v>
      </c>
      <c r="FU42" s="35">
        <f>SUMIF('Resource Demand - Activity'!$FT:$FT,Example!$G42,'Resource Demand - Activity'!FP:FP)</f>
        <v>0</v>
      </c>
      <c r="FV42" s="52">
        <f>SUMIF('Resource Demand - Activity'!$FT:$FT,Example!$G42,'Resource Demand - Activity'!FQ:FQ)</f>
        <v>0</v>
      </c>
    </row>
    <row r="43" spans="2:178" ht="12" customHeight="1">
      <c r="B43" s="143" t="s">
        <v>17</v>
      </c>
      <c r="C43" s="149">
        <f>C21</f>
        <v>20664</v>
      </c>
      <c r="D43" s="149">
        <f>D21</f>
        <v>78966</v>
      </c>
      <c r="E43" s="164"/>
      <c r="G43" s="64" t="str">
        <f t="shared" si="7"/>
        <v>6. SFCR Development &amp; Dry Run 6.1 PreparationSenior Accountant</v>
      </c>
      <c r="H43" s="61" t="s">
        <v>149</v>
      </c>
      <c r="I43" s="59" t="str">
        <f>INDEX('Resource Demand - Activity'!C:C,MATCH(Example!G43,'Resource Demand - Activity'!FT:FT,0))</f>
        <v>12 days</v>
      </c>
      <c r="J43" s="51">
        <f>SUMIF('Resource Demand - Activity'!$FT:$FT,Example!$G43,'Resource Demand - Activity'!E:E)</f>
        <v>0</v>
      </c>
      <c r="K43" s="35">
        <f>SUMIF('Resource Demand - Activity'!$FT:$FT,Example!$G43,'Resource Demand - Activity'!F:F)</f>
        <v>0</v>
      </c>
      <c r="L43" s="35">
        <f>SUMIF('Resource Demand - Activity'!$FT:$FT,Example!$G43,'Resource Demand - Activity'!G:G)</f>
        <v>0</v>
      </c>
      <c r="M43" s="35">
        <f>SUMIF('Resource Demand - Activity'!$FT:$FT,Example!$G43,'Resource Demand - Activity'!H:H)</f>
        <v>0</v>
      </c>
      <c r="N43" s="35">
        <f>SUMIF('Resource Demand - Activity'!$FT:$FT,Example!$G43,'Resource Demand - Activity'!I:I)</f>
        <v>0</v>
      </c>
      <c r="O43" s="35">
        <f>SUMIF('Resource Demand - Activity'!$FT:$FT,Example!$G43,'Resource Demand - Activity'!J:J)</f>
        <v>0</v>
      </c>
      <c r="P43" s="35">
        <f>SUMIF('Resource Demand - Activity'!$FT:$FT,Example!$G43,'Resource Demand - Activity'!K:K)</f>
        <v>0</v>
      </c>
      <c r="Q43" s="35">
        <f>SUMIF('Resource Demand - Activity'!$FT:$FT,Example!$G43,'Resource Demand - Activity'!L:L)</f>
        <v>0</v>
      </c>
      <c r="R43" s="35">
        <f>SUMIF('Resource Demand - Activity'!$FT:$FT,Example!$G43,'Resource Demand - Activity'!M:M)</f>
        <v>0</v>
      </c>
      <c r="S43" s="35">
        <f>SUMIF('Resource Demand - Activity'!$FT:$FT,Example!$G43,'Resource Demand - Activity'!N:N)</f>
        <v>0</v>
      </c>
      <c r="T43" s="35">
        <f>SUMIF('Resource Demand - Activity'!$FT:$FT,Example!$G43,'Resource Demand - Activity'!O:O)</f>
        <v>0</v>
      </c>
      <c r="U43" s="35">
        <f>SUMIF('Resource Demand - Activity'!$FT:$FT,Example!$G43,'Resource Demand - Activity'!P:P)</f>
        <v>0</v>
      </c>
      <c r="V43" s="35">
        <f>SUMIF('Resource Demand - Activity'!$FT:$FT,Example!$G43,'Resource Demand - Activity'!Q:Q)</f>
        <v>0</v>
      </c>
      <c r="W43" s="35">
        <f>SUMIF('Resource Demand - Activity'!$FT:$FT,Example!$G43,'Resource Demand - Activity'!R:R)</f>
        <v>0</v>
      </c>
      <c r="X43" s="35">
        <f>SUMIF('Resource Demand - Activity'!$FT:$FT,Example!$G43,'Resource Demand - Activity'!S:S)</f>
        <v>0</v>
      </c>
      <c r="Y43" s="35">
        <f>SUMIF('Resource Demand - Activity'!$FT:$FT,Example!$G43,'Resource Demand - Activity'!T:T)</f>
        <v>0</v>
      </c>
      <c r="Z43" s="35">
        <f>SUMIF('Resource Demand - Activity'!$FT:$FT,Example!$G43,'Resource Demand - Activity'!U:U)</f>
        <v>0</v>
      </c>
      <c r="AA43" s="35">
        <f>SUMIF('Resource Demand - Activity'!$FT:$FT,Example!$G43,'Resource Demand - Activity'!V:V)</f>
        <v>0</v>
      </c>
      <c r="AB43" s="35">
        <f>SUMIF('Resource Demand - Activity'!$FT:$FT,Example!$G43,'Resource Demand - Activity'!W:W)</f>
        <v>0</v>
      </c>
      <c r="AC43" s="35">
        <f>SUMIF('Resource Demand - Activity'!$FT:$FT,Example!$G43,'Resource Demand - Activity'!X:X)</f>
        <v>0</v>
      </c>
      <c r="AD43" s="35">
        <f>SUMIF('Resource Demand - Activity'!$FT:$FT,Example!$G43,'Resource Demand - Activity'!Y:Y)</f>
        <v>0</v>
      </c>
      <c r="AE43" s="35">
        <f>SUMIF('Resource Demand - Activity'!$FT:$FT,Example!$G43,'Resource Demand - Activity'!Z:Z)</f>
        <v>0</v>
      </c>
      <c r="AF43" s="35">
        <f>SUMIF('Resource Demand - Activity'!$FT:$FT,Example!$G43,'Resource Demand - Activity'!AA:AA)</f>
        <v>0</v>
      </c>
      <c r="AG43" s="35">
        <f>SUMIF('Resource Demand - Activity'!$FT:$FT,Example!$G43,'Resource Demand - Activity'!AB:AB)</f>
        <v>0</v>
      </c>
      <c r="AH43" s="35">
        <f>SUMIF('Resource Demand - Activity'!$FT:$FT,Example!$G43,'Resource Demand - Activity'!AC:AC)</f>
        <v>0</v>
      </c>
      <c r="AI43" s="35">
        <f>SUMIF('Resource Demand - Activity'!$FT:$FT,Example!$G43,'Resource Demand - Activity'!AD:AD)</f>
        <v>0</v>
      </c>
      <c r="AJ43" s="35">
        <f>SUMIF('Resource Demand - Activity'!$FT:$FT,Example!$G43,'Resource Demand - Activity'!AE:AE)</f>
        <v>0</v>
      </c>
      <c r="AK43" s="35">
        <f>SUMIF('Resource Demand - Activity'!$FT:$FT,Example!$G43,'Resource Demand - Activity'!AF:AF)</f>
        <v>0</v>
      </c>
      <c r="AL43" s="35">
        <f>SUMIF('Resource Demand - Activity'!$FT:$FT,Example!$G43,'Resource Demand - Activity'!AG:AG)</f>
        <v>0</v>
      </c>
      <c r="AM43" s="35">
        <f>SUMIF('Resource Demand - Activity'!$FT:$FT,Example!$G43,'Resource Demand - Activity'!AH:AH)</f>
        <v>0</v>
      </c>
      <c r="AN43" s="35">
        <f>SUMIF('Resource Demand - Activity'!$FT:$FT,Example!$G43,'Resource Demand - Activity'!AI:AI)</f>
        <v>0</v>
      </c>
      <c r="AO43" s="35">
        <f>SUMIF('Resource Demand - Activity'!$FT:$FT,Example!$G43,'Resource Demand - Activity'!AJ:AJ)</f>
        <v>0</v>
      </c>
      <c r="AP43" s="35">
        <f>SUMIF('Resource Demand - Activity'!$FT:$FT,Example!$G43,'Resource Demand - Activity'!AK:AK)</f>
        <v>0</v>
      </c>
      <c r="AQ43" s="36">
        <f>SUMIF('Resource Demand - Activity'!$FT:$FT,Example!$G43,'Resource Demand - Activity'!AL:AL)</f>
        <v>0</v>
      </c>
      <c r="AR43" s="36">
        <f>SUMIF('Resource Demand - Activity'!$FT:$FT,Example!$G43,'Resource Demand - Activity'!AM:AM)</f>
        <v>0</v>
      </c>
      <c r="AS43" s="36">
        <f>SUMIF('Resource Demand - Activity'!$FT:$FT,Example!$G43,'Resource Demand - Activity'!AN:AN)</f>
        <v>0</v>
      </c>
      <c r="AT43" s="36">
        <f>SUMIF('Resource Demand - Activity'!$FT:$FT,Example!$G43,'Resource Demand - Activity'!AO:AO)</f>
        <v>0</v>
      </c>
      <c r="AU43" s="36">
        <f>SUMIF('Resource Demand - Activity'!$FT:$FT,Example!$G43,'Resource Demand - Activity'!AP:AP)</f>
        <v>0</v>
      </c>
      <c r="AV43" s="36">
        <f>SUMIF('Resource Demand - Activity'!$FT:$FT,Example!$G43,'Resource Demand - Activity'!AQ:AQ)</f>
        <v>0</v>
      </c>
      <c r="AW43" s="36">
        <f>SUMIF('Resource Demand - Activity'!$FT:$FT,Example!$G43,'Resource Demand - Activity'!AR:AR)</f>
        <v>0</v>
      </c>
      <c r="AX43" s="35">
        <f>SUMIF('Resource Demand - Activity'!$FT:$FT,Example!$G43,'Resource Demand - Activity'!AS:AS)</f>
        <v>0</v>
      </c>
      <c r="AY43" s="35">
        <f>SUMIF('Resource Demand - Activity'!$FT:$FT,Example!$G43,'Resource Demand - Activity'!AT:AT)</f>
        <v>0</v>
      </c>
      <c r="AZ43" s="35">
        <f>SUMIF('Resource Demand - Activity'!$FT:$FT,Example!$G43,'Resource Demand - Activity'!AU:AU)</f>
        <v>0</v>
      </c>
      <c r="BA43" s="35">
        <f>SUMIF('Resource Demand - Activity'!$FT:$FT,Example!$G43,'Resource Demand - Activity'!AV:AV)</f>
        <v>0</v>
      </c>
      <c r="BB43" s="35">
        <f>SUMIF('Resource Demand - Activity'!$FT:$FT,Example!$G43,'Resource Demand - Activity'!AW:AW)</f>
        <v>0</v>
      </c>
      <c r="BC43" s="35">
        <f>SUMIF('Resource Demand - Activity'!$FT:$FT,Example!$G43,'Resource Demand - Activity'!AX:AX)</f>
        <v>0</v>
      </c>
      <c r="BD43" s="35">
        <f>SUMIF('Resource Demand - Activity'!$FT:$FT,Example!$G43,'Resource Demand - Activity'!AY:AY)</f>
        <v>0.5</v>
      </c>
      <c r="BE43" s="35">
        <f>SUMIF('Resource Demand - Activity'!$FT:$FT,Example!$G43,'Resource Demand - Activity'!AZ:AZ)</f>
        <v>0.5</v>
      </c>
      <c r="BF43" s="35">
        <f>SUMIF('Resource Demand - Activity'!$FT:$FT,Example!$G43,'Resource Demand - Activity'!BA:BA)</f>
        <v>0.5</v>
      </c>
      <c r="BG43" s="35">
        <f>SUMIF('Resource Demand - Activity'!$FT:$FT,Example!$G43,'Resource Demand - Activity'!BB:BB)</f>
        <v>0.5</v>
      </c>
      <c r="BH43" s="35">
        <f>SUMIF('Resource Demand - Activity'!$FT:$FT,Example!$G43,'Resource Demand - Activity'!BC:BC)</f>
        <v>0.5</v>
      </c>
      <c r="BI43" s="35">
        <f>SUMIF('Resource Demand - Activity'!$FT:$FT,Example!$G43,'Resource Demand - Activity'!BD:BD)</f>
        <v>0.5</v>
      </c>
      <c r="BJ43" s="35">
        <f>SUMIF('Resource Demand - Activity'!$FT:$FT,Example!$G43,'Resource Demand - Activity'!BE:BE)</f>
        <v>0.5</v>
      </c>
      <c r="BK43" s="35">
        <f>SUMIF('Resource Demand - Activity'!$FT:$FT,Example!$G43,'Resource Demand - Activity'!BF:BF)</f>
        <v>0.5</v>
      </c>
      <c r="BL43" s="35">
        <f>SUMIF('Resource Demand - Activity'!$FT:$FT,Example!$G43,'Resource Demand - Activity'!BG:BG)</f>
        <v>0.5</v>
      </c>
      <c r="BM43" s="35">
        <f>SUMIF('Resource Demand - Activity'!$FT:$FT,Example!$G43,'Resource Demand - Activity'!BH:BH)</f>
        <v>0.5</v>
      </c>
      <c r="BN43" s="35">
        <f>SUMIF('Resource Demand - Activity'!$FT:$FT,Example!$G43,'Resource Demand - Activity'!BI:BI)</f>
        <v>0.5</v>
      </c>
      <c r="BO43" s="35">
        <f>SUMIF('Resource Demand - Activity'!$FT:$FT,Example!$G43,'Resource Demand - Activity'!BJ:BJ)</f>
        <v>0.5</v>
      </c>
      <c r="BP43" s="35">
        <f>SUMIF('Resource Demand - Activity'!$FT:$FT,Example!$G43,'Resource Demand - Activity'!BK:BK)</f>
        <v>0.5</v>
      </c>
      <c r="BQ43" s="35">
        <f>SUMIF('Resource Demand - Activity'!$FT:$FT,Example!$G43,'Resource Demand - Activity'!BL:BL)</f>
        <v>0.5</v>
      </c>
      <c r="BR43" s="35">
        <f>SUMIF('Resource Demand - Activity'!$FT:$FT,Example!$G43,'Resource Demand - Activity'!BM:BM)</f>
        <v>0.5</v>
      </c>
      <c r="BS43" s="35">
        <f>SUMIF('Resource Demand - Activity'!$FT:$FT,Example!$G43,'Resource Demand - Activity'!BN:BN)</f>
        <v>0.5</v>
      </c>
      <c r="BT43" s="35">
        <f>SUMIF('Resource Demand - Activity'!$FT:$FT,Example!$G43,'Resource Demand - Activity'!BO:BO)</f>
        <v>0.5</v>
      </c>
      <c r="BU43" s="35">
        <f>SUMIF('Resource Demand - Activity'!$FT:$FT,Example!$G43,'Resource Demand - Activity'!BP:BP)</f>
        <v>0.5</v>
      </c>
      <c r="BV43" s="35">
        <f>SUMIF('Resource Demand - Activity'!$FT:$FT,Example!$G43,'Resource Demand - Activity'!BQ:BQ)</f>
        <v>0.5</v>
      </c>
      <c r="BW43" s="35">
        <f>SUMIF('Resource Demand - Activity'!$FT:$FT,Example!$G43,'Resource Demand - Activity'!BR:BR)</f>
        <v>0.5</v>
      </c>
      <c r="BX43" s="35">
        <f>SUMIF('Resource Demand - Activity'!$FT:$FT,Example!$G43,'Resource Demand - Activity'!BS:BS)</f>
        <v>0.5</v>
      </c>
      <c r="BY43" s="35">
        <f>SUMIF('Resource Demand - Activity'!$FT:$FT,Example!$G43,'Resource Demand - Activity'!BT:BT)</f>
        <v>0.5</v>
      </c>
      <c r="BZ43" s="35">
        <f>SUMIF('Resource Demand - Activity'!$FT:$FT,Example!$G43,'Resource Demand - Activity'!BU:BU)</f>
        <v>0.5</v>
      </c>
      <c r="CA43" s="35">
        <f>SUMIF('Resource Demand - Activity'!$FT:$FT,Example!$G43,'Resource Demand - Activity'!BV:BV)</f>
        <v>0.5</v>
      </c>
      <c r="CB43" s="35">
        <f>SUMIF('Resource Demand - Activity'!$FT:$FT,Example!$G43,'Resource Demand - Activity'!BW:BW)</f>
        <v>0</v>
      </c>
      <c r="CC43" s="35">
        <f>SUMIF('Resource Demand - Activity'!$FT:$FT,Example!$G43,'Resource Demand - Activity'!BX:BX)</f>
        <v>0</v>
      </c>
      <c r="CD43" s="35">
        <f>SUMIF('Resource Demand - Activity'!$FT:$FT,Example!$G43,'Resource Demand - Activity'!BY:BY)</f>
        <v>0</v>
      </c>
      <c r="CE43" s="35">
        <f>SUMIF('Resource Demand - Activity'!$FT:$FT,Example!$G43,'Resource Demand - Activity'!BZ:BZ)</f>
        <v>0</v>
      </c>
      <c r="CF43" s="35">
        <f>SUMIF('Resource Demand - Activity'!$FT:$FT,Example!$G43,'Resource Demand - Activity'!CA:CA)</f>
        <v>0</v>
      </c>
      <c r="CG43" s="35">
        <f>SUMIF('Resource Demand - Activity'!$FT:$FT,Example!$G43,'Resource Demand - Activity'!CB:CB)</f>
        <v>0</v>
      </c>
      <c r="CH43" s="35">
        <f>SUMIF('Resource Demand - Activity'!$FT:$FT,Example!$G43,'Resource Demand - Activity'!CC:CC)</f>
        <v>0</v>
      </c>
      <c r="CI43" s="35">
        <f>SUMIF('Resource Demand - Activity'!$FT:$FT,Example!$G43,'Resource Demand - Activity'!CD:CD)</f>
        <v>0</v>
      </c>
      <c r="CJ43" s="35">
        <f>SUMIF('Resource Demand - Activity'!$FT:$FT,Example!$G43,'Resource Demand - Activity'!CE:CE)</f>
        <v>0</v>
      </c>
      <c r="CK43" s="35">
        <f>SUMIF('Resource Demand - Activity'!$FT:$FT,Example!$G43,'Resource Demand - Activity'!CF:CF)</f>
        <v>0</v>
      </c>
      <c r="CL43" s="35">
        <f>SUMIF('Resource Demand - Activity'!$FT:$FT,Example!$G43,'Resource Demand - Activity'!CG:CG)</f>
        <v>0</v>
      </c>
      <c r="CM43" s="35">
        <f>SUMIF('Resource Demand - Activity'!$FT:$FT,Example!$G43,'Resource Demand - Activity'!CH:CH)</f>
        <v>0</v>
      </c>
      <c r="CN43" s="35">
        <f>SUMIF('Resource Demand - Activity'!$FT:$FT,Example!$G43,'Resource Demand - Activity'!CI:CI)</f>
        <v>0</v>
      </c>
      <c r="CO43" s="35">
        <f>SUMIF('Resource Demand - Activity'!$FT:$FT,Example!$G43,'Resource Demand - Activity'!CJ:CJ)</f>
        <v>0</v>
      </c>
      <c r="CP43" s="35">
        <f>SUMIF('Resource Demand - Activity'!$FT:$FT,Example!$G43,'Resource Demand - Activity'!CK:CK)</f>
        <v>0</v>
      </c>
      <c r="CQ43" s="35">
        <f>SUMIF('Resource Demand - Activity'!$FT:$FT,Example!$G43,'Resource Demand - Activity'!CL:CL)</f>
        <v>0</v>
      </c>
      <c r="CR43" s="35">
        <f>SUMIF('Resource Demand - Activity'!$FT:$FT,Example!$G43,'Resource Demand - Activity'!CM:CM)</f>
        <v>0</v>
      </c>
      <c r="CS43" s="35">
        <f>SUMIF('Resource Demand - Activity'!$FT:$FT,Example!$G43,'Resource Demand - Activity'!CN:CN)</f>
        <v>0</v>
      </c>
      <c r="CT43" s="35">
        <f>SUMIF('Resource Demand - Activity'!$FT:$FT,Example!$G43,'Resource Demand - Activity'!CO:CO)</f>
        <v>0</v>
      </c>
      <c r="CU43" s="35">
        <f>SUMIF('Resource Demand - Activity'!$FT:$FT,Example!$G43,'Resource Demand - Activity'!CP:CP)</f>
        <v>0</v>
      </c>
      <c r="CV43" s="35">
        <f>SUMIF('Resource Demand - Activity'!$FT:$FT,Example!$G43,'Resource Demand - Activity'!CQ:CQ)</f>
        <v>0</v>
      </c>
      <c r="CW43" s="35">
        <f>SUMIF('Resource Demand - Activity'!$FT:$FT,Example!$G43,'Resource Demand - Activity'!CR:CR)</f>
        <v>0</v>
      </c>
      <c r="CX43" s="35">
        <f>SUMIF('Resource Demand - Activity'!$FT:$FT,Example!$G43,'Resource Demand - Activity'!CS:CS)</f>
        <v>0</v>
      </c>
      <c r="CY43" s="36">
        <f>SUMIF('Resource Demand - Activity'!$FT:$FT,Example!$G43,'Resource Demand - Activity'!CT:CT)</f>
        <v>0</v>
      </c>
      <c r="CZ43" s="35">
        <f>SUMIF('Resource Demand - Activity'!$FT:$FT,Example!$G43,'Resource Demand - Activity'!CU:CU)</f>
        <v>0</v>
      </c>
      <c r="DA43" s="35">
        <f>SUMIF('Resource Demand - Activity'!$FT:$FT,Example!$G43,'Resource Demand - Activity'!CV:CV)</f>
        <v>0</v>
      </c>
      <c r="DB43" s="35">
        <f>SUMIF('Resource Demand - Activity'!$FT:$FT,Example!$G43,'Resource Demand - Activity'!CW:CW)</f>
        <v>0</v>
      </c>
      <c r="DC43" s="35">
        <f>SUMIF('Resource Demand - Activity'!$FT:$FT,Example!$G43,'Resource Demand - Activity'!CX:CX)</f>
        <v>0</v>
      </c>
      <c r="DD43" s="35">
        <f>SUMIF('Resource Demand - Activity'!$FT:$FT,Example!$G43,'Resource Demand - Activity'!CY:CY)</f>
        <v>0</v>
      </c>
      <c r="DE43" s="36">
        <f>SUMIF('Resource Demand - Activity'!$FT:$FT,Example!$G43,'Resource Demand - Activity'!CZ:CZ)</f>
        <v>0</v>
      </c>
      <c r="DF43" s="36">
        <f>SUMIF('Resource Demand - Activity'!$FT:$FT,Example!$G43,'Resource Demand - Activity'!DA:DA)</f>
        <v>0</v>
      </c>
      <c r="DG43" s="35">
        <f>SUMIF('Resource Demand - Activity'!$FT:$FT,Example!$G43,'Resource Demand - Activity'!DB:DB)</f>
        <v>0</v>
      </c>
      <c r="DH43" s="35">
        <f>SUMIF('Resource Demand - Activity'!$FT:$FT,Example!$G43,'Resource Demand - Activity'!DC:DC)</f>
        <v>0</v>
      </c>
      <c r="DI43" s="35">
        <f>SUMIF('Resource Demand - Activity'!$FT:$FT,Example!$G43,'Resource Demand - Activity'!DD:DD)</f>
        <v>0</v>
      </c>
      <c r="DJ43" s="35">
        <f>SUMIF('Resource Demand - Activity'!$FT:$FT,Example!$G43,'Resource Demand - Activity'!DE:DE)</f>
        <v>0</v>
      </c>
      <c r="DK43" s="35">
        <f>SUMIF('Resource Demand - Activity'!$FT:$FT,Example!$G43,'Resource Demand - Activity'!DF:DF)</f>
        <v>0</v>
      </c>
      <c r="DL43" s="35">
        <f>SUMIF('Resource Demand - Activity'!$FT:$FT,Example!$G43,'Resource Demand - Activity'!DG:DG)</f>
        <v>0</v>
      </c>
      <c r="DM43" s="35">
        <f>SUMIF('Resource Demand - Activity'!$FT:$FT,Example!$G43,'Resource Demand - Activity'!DH:DH)</f>
        <v>0</v>
      </c>
      <c r="DN43" s="35">
        <f>SUMIF('Resource Demand - Activity'!$FT:$FT,Example!$G43,'Resource Demand - Activity'!DI:DI)</f>
        <v>0</v>
      </c>
      <c r="DO43" s="35">
        <f>SUMIF('Resource Demand - Activity'!$FT:$FT,Example!$G43,'Resource Demand - Activity'!DJ:DJ)</f>
        <v>0</v>
      </c>
      <c r="DP43" s="35">
        <f>SUMIF('Resource Demand - Activity'!$FT:$FT,Example!$G43,'Resource Demand - Activity'!DK:DK)</f>
        <v>0</v>
      </c>
      <c r="DQ43" s="35">
        <f>SUMIF('Resource Demand - Activity'!$FT:$FT,Example!$G43,'Resource Demand - Activity'!DL:DL)</f>
        <v>0</v>
      </c>
      <c r="DR43" s="35">
        <f>SUMIF('Resource Demand - Activity'!$FT:$FT,Example!$G43,'Resource Demand - Activity'!DM:DM)</f>
        <v>0</v>
      </c>
      <c r="DS43" s="35">
        <f>SUMIF('Resource Demand - Activity'!$FT:$FT,Example!$G43,'Resource Demand - Activity'!DN:DN)</f>
        <v>0</v>
      </c>
      <c r="DT43" s="35">
        <f>SUMIF('Resource Demand - Activity'!$FT:$FT,Example!$G43,'Resource Demand - Activity'!DO:DO)</f>
        <v>0</v>
      </c>
      <c r="DU43" s="35">
        <f>SUMIF('Resource Demand - Activity'!$FT:$FT,Example!$G43,'Resource Demand - Activity'!DP:DP)</f>
        <v>0</v>
      </c>
      <c r="DV43" s="35">
        <f>SUMIF('Resource Demand - Activity'!$FT:$FT,Example!$G43,'Resource Demand - Activity'!DQ:DQ)</f>
        <v>0</v>
      </c>
      <c r="DW43" s="35">
        <f>SUMIF('Resource Demand - Activity'!$FT:$FT,Example!$G43,'Resource Demand - Activity'!DR:DR)</f>
        <v>0</v>
      </c>
      <c r="DX43" s="35">
        <f>SUMIF('Resource Demand - Activity'!$FT:$FT,Example!$G43,'Resource Demand - Activity'!DS:DS)</f>
        <v>0</v>
      </c>
      <c r="DY43" s="35">
        <f>SUMIF('Resource Demand - Activity'!$FT:$FT,Example!$G43,'Resource Demand - Activity'!DT:DT)</f>
        <v>0</v>
      </c>
      <c r="DZ43" s="35">
        <f>SUMIF('Resource Demand - Activity'!$FT:$FT,Example!$G43,'Resource Demand - Activity'!DU:DU)</f>
        <v>0</v>
      </c>
      <c r="EA43" s="35">
        <f>SUMIF('Resource Demand - Activity'!$FT:$FT,Example!$G43,'Resource Demand - Activity'!DV:DV)</f>
        <v>0</v>
      </c>
      <c r="EB43" s="35">
        <f>SUMIF('Resource Demand - Activity'!$FT:$FT,Example!$G43,'Resource Demand - Activity'!DW:DW)</f>
        <v>0</v>
      </c>
      <c r="EC43" s="35">
        <f>SUMIF('Resource Demand - Activity'!$FT:$FT,Example!$G43,'Resource Demand - Activity'!DX:DX)</f>
        <v>0</v>
      </c>
      <c r="ED43" s="35">
        <f>SUMIF('Resource Demand - Activity'!$FT:$FT,Example!$G43,'Resource Demand - Activity'!DY:DY)</f>
        <v>0</v>
      </c>
      <c r="EE43" s="36">
        <f>SUMIF('Resource Demand - Activity'!$FT:$FT,Example!$G43,'Resource Demand - Activity'!DZ:DZ)</f>
        <v>0</v>
      </c>
      <c r="EF43" s="35">
        <f>SUMIF('Resource Demand - Activity'!$FT:$FT,Example!$G43,'Resource Demand - Activity'!EA:EA)</f>
        <v>0</v>
      </c>
      <c r="EG43" s="35">
        <f>SUMIF('Resource Demand - Activity'!$FT:$FT,Example!$G43,'Resource Demand - Activity'!EB:EB)</f>
        <v>0</v>
      </c>
      <c r="EH43" s="35">
        <f>SUMIF('Resource Demand - Activity'!$FT:$FT,Example!$G43,'Resource Demand - Activity'!EC:EC)</f>
        <v>0</v>
      </c>
      <c r="EI43" s="35">
        <f>SUMIF('Resource Demand - Activity'!$FT:$FT,Example!$G43,'Resource Demand - Activity'!ED:ED)</f>
        <v>0</v>
      </c>
      <c r="EJ43" s="35">
        <f>SUMIF('Resource Demand - Activity'!$FT:$FT,Example!$G43,'Resource Demand - Activity'!EE:EE)</f>
        <v>0</v>
      </c>
      <c r="EK43" s="35">
        <f>SUMIF('Resource Demand - Activity'!$FT:$FT,Example!$G43,'Resource Demand - Activity'!EF:EF)</f>
        <v>0</v>
      </c>
      <c r="EL43" s="35">
        <f>SUMIF('Resource Demand - Activity'!$FT:$FT,Example!$G43,'Resource Demand - Activity'!EG:EG)</f>
        <v>0</v>
      </c>
      <c r="EM43" s="35">
        <f>SUMIF('Resource Demand - Activity'!$FT:$FT,Example!$G43,'Resource Demand - Activity'!EH:EH)</f>
        <v>0</v>
      </c>
      <c r="EN43" s="35">
        <f>SUMIF('Resource Demand - Activity'!$FT:$FT,Example!$G43,'Resource Demand - Activity'!EI:EI)</f>
        <v>0</v>
      </c>
      <c r="EO43" s="35">
        <f>SUMIF('Resource Demand - Activity'!$FT:$FT,Example!$G43,'Resource Demand - Activity'!EJ:EJ)</f>
        <v>0</v>
      </c>
      <c r="EP43" s="35">
        <f>SUMIF('Resource Demand - Activity'!$FT:$FT,Example!$G43,'Resource Demand - Activity'!EK:EK)</f>
        <v>0</v>
      </c>
      <c r="EQ43" s="35">
        <f>SUMIF('Resource Demand - Activity'!$FT:$FT,Example!$G43,'Resource Demand - Activity'!EL:EL)</f>
        <v>0</v>
      </c>
      <c r="ER43" s="35">
        <f>SUMIF('Resource Demand - Activity'!$FT:$FT,Example!$G43,'Resource Demand - Activity'!EM:EM)</f>
        <v>0</v>
      </c>
      <c r="ES43" s="35">
        <f>SUMIF('Resource Demand - Activity'!$FT:$FT,Example!$G43,'Resource Demand - Activity'!EN:EN)</f>
        <v>0</v>
      </c>
      <c r="ET43" s="35">
        <f>SUMIF('Resource Demand - Activity'!$FT:$FT,Example!$G43,'Resource Demand - Activity'!EO:EO)</f>
        <v>0</v>
      </c>
      <c r="EU43" s="35">
        <f>SUMIF('Resource Demand - Activity'!$FT:$FT,Example!$G43,'Resource Demand - Activity'!EP:EP)</f>
        <v>0</v>
      </c>
      <c r="EV43" s="35">
        <f>SUMIF('Resource Demand - Activity'!$FT:$FT,Example!$G43,'Resource Demand - Activity'!EQ:EQ)</f>
        <v>0</v>
      </c>
      <c r="EW43" s="35">
        <f>SUMIF('Resource Demand - Activity'!$FT:$FT,Example!$G43,'Resource Demand - Activity'!ER:ER)</f>
        <v>0</v>
      </c>
      <c r="EX43" s="35">
        <f>SUMIF('Resource Demand - Activity'!$FT:$FT,Example!$G43,'Resource Demand - Activity'!ES:ES)</f>
        <v>0</v>
      </c>
      <c r="EY43" s="35">
        <f>SUMIF('Resource Demand - Activity'!$FT:$FT,Example!$G43,'Resource Demand - Activity'!ET:ET)</f>
        <v>0</v>
      </c>
      <c r="EZ43" s="35">
        <f>SUMIF('Resource Demand - Activity'!$FT:$FT,Example!$G43,'Resource Demand - Activity'!EU:EU)</f>
        <v>0</v>
      </c>
      <c r="FA43" s="35">
        <f>SUMIF('Resource Demand - Activity'!$FT:$FT,Example!$G43,'Resource Demand - Activity'!EV:EV)</f>
        <v>0</v>
      </c>
      <c r="FB43" s="35">
        <f>SUMIF('Resource Demand - Activity'!$FT:$FT,Example!$G43,'Resource Demand - Activity'!EW:EW)</f>
        <v>0</v>
      </c>
      <c r="FC43" s="35">
        <f>SUMIF('Resource Demand - Activity'!$FT:$FT,Example!$G43,'Resource Demand - Activity'!EX:EX)</f>
        <v>0</v>
      </c>
      <c r="FD43" s="36">
        <f>SUMIF('Resource Demand - Activity'!$FT:$FT,Example!$G43,'Resource Demand - Activity'!EY:EY)</f>
        <v>0</v>
      </c>
      <c r="FE43" s="35">
        <f>SUMIF('Resource Demand - Activity'!$FT:$FT,Example!$G43,'Resource Demand - Activity'!EZ:EZ)</f>
        <v>0</v>
      </c>
      <c r="FF43" s="35">
        <f>SUMIF('Resource Demand - Activity'!$FT:$FT,Example!$G43,'Resource Demand - Activity'!FA:FA)</f>
        <v>0</v>
      </c>
      <c r="FG43" s="35">
        <f>SUMIF('Resource Demand - Activity'!$FT:$FT,Example!$G43,'Resource Demand - Activity'!FB:FB)</f>
        <v>0</v>
      </c>
      <c r="FH43" s="35">
        <f>SUMIF('Resource Demand - Activity'!$FT:$FT,Example!$G43,'Resource Demand - Activity'!FC:FC)</f>
        <v>0</v>
      </c>
      <c r="FI43" s="35">
        <f>SUMIF('Resource Demand - Activity'!$FT:$FT,Example!$G43,'Resource Demand - Activity'!FD:FD)</f>
        <v>0</v>
      </c>
      <c r="FJ43" s="35">
        <f>SUMIF('Resource Demand - Activity'!$FT:$FT,Example!$G43,'Resource Demand - Activity'!FE:FE)</f>
        <v>0</v>
      </c>
      <c r="FK43" s="35">
        <f>SUMIF('Resource Demand - Activity'!$FT:$FT,Example!$G43,'Resource Demand - Activity'!FF:FF)</f>
        <v>0</v>
      </c>
      <c r="FL43" s="35">
        <f>SUMIF('Resource Demand - Activity'!$FT:$FT,Example!$G43,'Resource Demand - Activity'!FG:FG)</f>
        <v>0</v>
      </c>
      <c r="FM43" s="35">
        <f>SUMIF('Resource Demand - Activity'!$FT:$FT,Example!$G43,'Resource Demand - Activity'!FH:FH)</f>
        <v>0</v>
      </c>
      <c r="FN43" s="35">
        <f>SUMIF('Resource Demand - Activity'!$FT:$FT,Example!$G43,'Resource Demand - Activity'!FI:FI)</f>
        <v>0</v>
      </c>
      <c r="FO43" s="35">
        <f>SUMIF('Resource Demand - Activity'!$FT:$FT,Example!$G43,'Resource Demand - Activity'!FJ:FJ)</f>
        <v>0</v>
      </c>
      <c r="FP43" s="35">
        <f>SUMIF('Resource Demand - Activity'!$FT:$FT,Example!$G43,'Resource Demand - Activity'!FK:FK)</f>
        <v>0</v>
      </c>
      <c r="FQ43" s="35">
        <f>SUMIF('Resource Demand - Activity'!$FT:$FT,Example!$G43,'Resource Demand - Activity'!FL:FL)</f>
        <v>0</v>
      </c>
      <c r="FR43" s="35">
        <f>SUMIF('Resource Demand - Activity'!$FT:$FT,Example!$G43,'Resource Demand - Activity'!FM:FM)</f>
        <v>0</v>
      </c>
      <c r="FS43" s="35">
        <f>SUMIF('Resource Demand - Activity'!$FT:$FT,Example!$G43,'Resource Demand - Activity'!FN:FN)</f>
        <v>0</v>
      </c>
      <c r="FT43" s="35">
        <f>SUMIF('Resource Demand - Activity'!$FT:$FT,Example!$G43,'Resource Demand - Activity'!FO:FO)</f>
        <v>0</v>
      </c>
      <c r="FU43" s="35">
        <f>SUMIF('Resource Demand - Activity'!$FT:$FT,Example!$G43,'Resource Demand - Activity'!FP:FP)</f>
        <v>0</v>
      </c>
      <c r="FV43" s="52">
        <f>SUMIF('Resource Demand - Activity'!$FT:$FT,Example!$G43,'Resource Demand - Activity'!FQ:FQ)</f>
        <v>0</v>
      </c>
    </row>
    <row r="44" spans="2:178" ht="12" customHeight="1">
      <c r="B44" s="143" t="s">
        <v>16</v>
      </c>
      <c r="C44" s="149">
        <f>C32</f>
        <v>17220</v>
      </c>
      <c r="D44" s="149">
        <f>D32</f>
        <v>66420</v>
      </c>
      <c r="E44" s="164"/>
      <c r="G44" s="64" t="str">
        <f t="shared" si="7"/>
        <v>6. SFCR Development &amp; Dry Run 6.5 Co-ordinationSenior Accountant</v>
      </c>
      <c r="H44" s="61" t="s">
        <v>150</v>
      </c>
      <c r="I44" s="59" t="str">
        <f>INDEX('Resource Demand - Activity'!C:C,MATCH(Example!G44,'Resource Demand - Activity'!FT:FT,0))</f>
        <v>5 days</v>
      </c>
      <c r="J44" s="51">
        <f>SUMIF('Resource Demand - Activity'!$FT:$FT,Example!$G44,'Resource Demand - Activity'!E:E)</f>
        <v>0</v>
      </c>
      <c r="K44" s="35">
        <f>SUMIF('Resource Demand - Activity'!$FT:$FT,Example!$G44,'Resource Demand - Activity'!F:F)</f>
        <v>0</v>
      </c>
      <c r="L44" s="35">
        <f>SUMIF('Resource Demand - Activity'!$FT:$FT,Example!$G44,'Resource Demand - Activity'!G:G)</f>
        <v>0</v>
      </c>
      <c r="M44" s="35">
        <f>SUMIF('Resource Demand - Activity'!$FT:$FT,Example!$G44,'Resource Demand - Activity'!H:H)</f>
        <v>0</v>
      </c>
      <c r="N44" s="35">
        <f>SUMIF('Resource Demand - Activity'!$FT:$FT,Example!$G44,'Resource Demand - Activity'!I:I)</f>
        <v>0</v>
      </c>
      <c r="O44" s="35">
        <f>SUMIF('Resource Demand - Activity'!$FT:$FT,Example!$G44,'Resource Demand - Activity'!J:J)</f>
        <v>0</v>
      </c>
      <c r="P44" s="35">
        <f>SUMIF('Resource Demand - Activity'!$FT:$FT,Example!$G44,'Resource Demand - Activity'!K:K)</f>
        <v>0</v>
      </c>
      <c r="Q44" s="35">
        <f>SUMIF('Resource Demand - Activity'!$FT:$FT,Example!$G44,'Resource Demand - Activity'!L:L)</f>
        <v>0</v>
      </c>
      <c r="R44" s="35">
        <f>SUMIF('Resource Demand - Activity'!$FT:$FT,Example!$G44,'Resource Demand - Activity'!M:M)</f>
        <v>0</v>
      </c>
      <c r="S44" s="35">
        <f>SUMIF('Resource Demand - Activity'!$FT:$FT,Example!$G44,'Resource Demand - Activity'!N:N)</f>
        <v>0</v>
      </c>
      <c r="T44" s="35">
        <f>SUMIF('Resource Demand - Activity'!$FT:$FT,Example!$G44,'Resource Demand - Activity'!O:O)</f>
        <v>0</v>
      </c>
      <c r="U44" s="35">
        <f>SUMIF('Resource Demand - Activity'!$FT:$FT,Example!$G44,'Resource Demand - Activity'!P:P)</f>
        <v>0</v>
      </c>
      <c r="V44" s="35">
        <f>SUMIF('Resource Demand - Activity'!$FT:$FT,Example!$G44,'Resource Demand - Activity'!Q:Q)</f>
        <v>0</v>
      </c>
      <c r="W44" s="35">
        <f>SUMIF('Resource Demand - Activity'!$FT:$FT,Example!$G44,'Resource Demand - Activity'!R:R)</f>
        <v>0</v>
      </c>
      <c r="X44" s="35">
        <f>SUMIF('Resource Demand - Activity'!$FT:$FT,Example!$G44,'Resource Demand - Activity'!S:S)</f>
        <v>0</v>
      </c>
      <c r="Y44" s="35">
        <f>SUMIF('Resource Demand - Activity'!$FT:$FT,Example!$G44,'Resource Demand - Activity'!T:T)</f>
        <v>0</v>
      </c>
      <c r="Z44" s="35">
        <f>SUMIF('Resource Demand - Activity'!$FT:$FT,Example!$G44,'Resource Demand - Activity'!U:U)</f>
        <v>0</v>
      </c>
      <c r="AA44" s="35">
        <f>SUMIF('Resource Demand - Activity'!$FT:$FT,Example!$G44,'Resource Demand - Activity'!V:V)</f>
        <v>0</v>
      </c>
      <c r="AB44" s="35">
        <f>SUMIF('Resource Demand - Activity'!$FT:$FT,Example!$G44,'Resource Demand - Activity'!W:W)</f>
        <v>0</v>
      </c>
      <c r="AC44" s="35">
        <f>SUMIF('Resource Demand - Activity'!$FT:$FT,Example!$G44,'Resource Demand - Activity'!X:X)</f>
        <v>0</v>
      </c>
      <c r="AD44" s="35">
        <f>SUMIF('Resource Demand - Activity'!$FT:$FT,Example!$G44,'Resource Demand - Activity'!Y:Y)</f>
        <v>0</v>
      </c>
      <c r="AE44" s="35">
        <f>SUMIF('Resource Demand - Activity'!$FT:$FT,Example!$G44,'Resource Demand - Activity'!Z:Z)</f>
        <v>0</v>
      </c>
      <c r="AF44" s="35">
        <f>SUMIF('Resource Demand - Activity'!$FT:$FT,Example!$G44,'Resource Demand - Activity'!AA:AA)</f>
        <v>0</v>
      </c>
      <c r="AG44" s="35">
        <f>SUMIF('Resource Demand - Activity'!$FT:$FT,Example!$G44,'Resource Demand - Activity'!AB:AB)</f>
        <v>0</v>
      </c>
      <c r="AH44" s="35">
        <f>SUMIF('Resource Demand - Activity'!$FT:$FT,Example!$G44,'Resource Demand - Activity'!AC:AC)</f>
        <v>0</v>
      </c>
      <c r="AI44" s="35">
        <f>SUMIF('Resource Demand - Activity'!$FT:$FT,Example!$G44,'Resource Demand - Activity'!AD:AD)</f>
        <v>0</v>
      </c>
      <c r="AJ44" s="35">
        <f>SUMIF('Resource Demand - Activity'!$FT:$FT,Example!$G44,'Resource Demand - Activity'!AE:AE)</f>
        <v>0</v>
      </c>
      <c r="AK44" s="35">
        <f>SUMIF('Resource Demand - Activity'!$FT:$FT,Example!$G44,'Resource Demand - Activity'!AF:AF)</f>
        <v>0</v>
      </c>
      <c r="AL44" s="35">
        <f>SUMIF('Resource Demand - Activity'!$FT:$FT,Example!$G44,'Resource Demand - Activity'!AG:AG)</f>
        <v>0</v>
      </c>
      <c r="AM44" s="35">
        <f>SUMIF('Resource Demand - Activity'!$FT:$FT,Example!$G44,'Resource Demand - Activity'!AH:AH)</f>
        <v>0</v>
      </c>
      <c r="AN44" s="35">
        <f>SUMIF('Resource Demand - Activity'!$FT:$FT,Example!$G44,'Resource Demand - Activity'!AI:AI)</f>
        <v>0</v>
      </c>
      <c r="AO44" s="35">
        <f>SUMIF('Resource Demand - Activity'!$FT:$FT,Example!$G44,'Resource Demand - Activity'!AJ:AJ)</f>
        <v>0</v>
      </c>
      <c r="AP44" s="35">
        <f>SUMIF('Resource Demand - Activity'!$FT:$FT,Example!$G44,'Resource Demand - Activity'!AK:AK)</f>
        <v>0</v>
      </c>
      <c r="AQ44" s="36">
        <f>SUMIF('Resource Demand - Activity'!$FT:$FT,Example!$G44,'Resource Demand - Activity'!AL:AL)</f>
        <v>0</v>
      </c>
      <c r="AR44" s="36">
        <f>SUMIF('Resource Demand - Activity'!$FT:$FT,Example!$G44,'Resource Demand - Activity'!AM:AM)</f>
        <v>0</v>
      </c>
      <c r="AS44" s="36">
        <f>SUMIF('Resource Demand - Activity'!$FT:$FT,Example!$G44,'Resource Demand - Activity'!AN:AN)</f>
        <v>0</v>
      </c>
      <c r="AT44" s="36">
        <f>SUMIF('Resource Demand - Activity'!$FT:$FT,Example!$G44,'Resource Demand - Activity'!AO:AO)</f>
        <v>0</v>
      </c>
      <c r="AU44" s="36">
        <f>SUMIF('Resource Demand - Activity'!$FT:$FT,Example!$G44,'Resource Demand - Activity'!AP:AP)</f>
        <v>0</v>
      </c>
      <c r="AV44" s="36">
        <f>SUMIF('Resource Demand - Activity'!$FT:$FT,Example!$G44,'Resource Demand - Activity'!AQ:AQ)</f>
        <v>0</v>
      </c>
      <c r="AW44" s="36">
        <f>SUMIF('Resource Demand - Activity'!$FT:$FT,Example!$G44,'Resource Demand - Activity'!AR:AR)</f>
        <v>0</v>
      </c>
      <c r="AX44" s="35">
        <f>SUMIF('Resource Demand - Activity'!$FT:$FT,Example!$G44,'Resource Demand - Activity'!AS:AS)</f>
        <v>0</v>
      </c>
      <c r="AY44" s="35">
        <f>SUMIF('Resource Demand - Activity'!$FT:$FT,Example!$G44,'Resource Demand - Activity'!AT:AT)</f>
        <v>0</v>
      </c>
      <c r="AZ44" s="35">
        <f>SUMIF('Resource Demand - Activity'!$FT:$FT,Example!$G44,'Resource Demand - Activity'!AU:AU)</f>
        <v>0</v>
      </c>
      <c r="BA44" s="35">
        <f>SUMIF('Resource Demand - Activity'!$FT:$FT,Example!$G44,'Resource Demand - Activity'!AV:AV)</f>
        <v>0</v>
      </c>
      <c r="BB44" s="35">
        <f>SUMIF('Resource Demand - Activity'!$FT:$FT,Example!$G44,'Resource Demand - Activity'!AW:AW)</f>
        <v>0</v>
      </c>
      <c r="BC44" s="35">
        <f>SUMIF('Resource Demand - Activity'!$FT:$FT,Example!$G44,'Resource Demand - Activity'!AX:AX)</f>
        <v>0</v>
      </c>
      <c r="BD44" s="35">
        <f>SUMIF('Resource Demand - Activity'!$FT:$FT,Example!$G44,'Resource Demand - Activity'!AY:AY)</f>
        <v>0</v>
      </c>
      <c r="BE44" s="35">
        <f>SUMIF('Resource Demand - Activity'!$FT:$FT,Example!$G44,'Resource Demand - Activity'!AZ:AZ)</f>
        <v>0</v>
      </c>
      <c r="BF44" s="35">
        <f>SUMIF('Resource Demand - Activity'!$FT:$FT,Example!$G44,'Resource Demand - Activity'!BA:BA)</f>
        <v>0</v>
      </c>
      <c r="BG44" s="35">
        <f>SUMIF('Resource Demand - Activity'!$FT:$FT,Example!$G44,'Resource Demand - Activity'!BB:BB)</f>
        <v>0</v>
      </c>
      <c r="BH44" s="35">
        <f>SUMIF('Resource Demand - Activity'!$FT:$FT,Example!$G44,'Resource Demand - Activity'!BC:BC)</f>
        <v>0</v>
      </c>
      <c r="BI44" s="35">
        <f>SUMIF('Resource Demand - Activity'!$FT:$FT,Example!$G44,'Resource Demand - Activity'!BD:BD)</f>
        <v>0</v>
      </c>
      <c r="BJ44" s="35">
        <f>SUMIF('Resource Demand - Activity'!$FT:$FT,Example!$G44,'Resource Demand - Activity'!BE:BE)</f>
        <v>0</v>
      </c>
      <c r="BK44" s="35">
        <f>SUMIF('Resource Demand - Activity'!$FT:$FT,Example!$G44,'Resource Demand - Activity'!BF:BF)</f>
        <v>0</v>
      </c>
      <c r="BL44" s="35">
        <f>SUMIF('Resource Demand - Activity'!$FT:$FT,Example!$G44,'Resource Demand - Activity'!BG:BG)</f>
        <v>0</v>
      </c>
      <c r="BM44" s="35">
        <f>SUMIF('Resource Demand - Activity'!$FT:$FT,Example!$G44,'Resource Demand - Activity'!BH:BH)</f>
        <v>0</v>
      </c>
      <c r="BN44" s="35">
        <f>SUMIF('Resource Demand - Activity'!$FT:$FT,Example!$G44,'Resource Demand - Activity'!BI:BI)</f>
        <v>0</v>
      </c>
      <c r="BO44" s="35">
        <f>SUMIF('Resource Demand - Activity'!$FT:$FT,Example!$G44,'Resource Demand - Activity'!BJ:BJ)</f>
        <v>0</v>
      </c>
      <c r="BP44" s="35">
        <f>SUMIF('Resource Demand - Activity'!$FT:$FT,Example!$G44,'Resource Demand - Activity'!BK:BK)</f>
        <v>0</v>
      </c>
      <c r="BQ44" s="35">
        <f>SUMIF('Resource Demand - Activity'!$FT:$FT,Example!$G44,'Resource Demand - Activity'!BL:BL)</f>
        <v>0</v>
      </c>
      <c r="BR44" s="35">
        <f>SUMIF('Resource Demand - Activity'!$FT:$FT,Example!$G44,'Resource Demand - Activity'!BM:BM)</f>
        <v>0.5</v>
      </c>
      <c r="BS44" s="35">
        <f>SUMIF('Resource Demand - Activity'!$FT:$FT,Example!$G44,'Resource Demand - Activity'!BN:BN)</f>
        <v>0.5</v>
      </c>
      <c r="BT44" s="35">
        <f>SUMIF('Resource Demand - Activity'!$FT:$FT,Example!$G44,'Resource Demand - Activity'!BO:BO)</f>
        <v>0.5</v>
      </c>
      <c r="BU44" s="35">
        <f>SUMIF('Resource Demand - Activity'!$FT:$FT,Example!$G44,'Resource Demand - Activity'!BP:BP)</f>
        <v>0.5</v>
      </c>
      <c r="BV44" s="35">
        <f>SUMIF('Resource Demand - Activity'!$FT:$FT,Example!$G44,'Resource Demand - Activity'!BQ:BQ)</f>
        <v>0.5</v>
      </c>
      <c r="BW44" s="35">
        <f>SUMIF('Resource Demand - Activity'!$FT:$FT,Example!$G44,'Resource Demand - Activity'!BR:BR)</f>
        <v>0.5</v>
      </c>
      <c r="BX44" s="35">
        <f>SUMIF('Resource Demand - Activity'!$FT:$FT,Example!$G44,'Resource Demand - Activity'!BS:BS)</f>
        <v>0.5</v>
      </c>
      <c r="BY44" s="35">
        <f>SUMIF('Resource Demand - Activity'!$FT:$FT,Example!$G44,'Resource Demand - Activity'!BT:BT)</f>
        <v>0.5</v>
      </c>
      <c r="BZ44" s="35">
        <f>SUMIF('Resource Demand - Activity'!$FT:$FT,Example!$G44,'Resource Demand - Activity'!BU:BU)</f>
        <v>0.5</v>
      </c>
      <c r="CA44" s="35">
        <f>SUMIF('Resource Demand - Activity'!$FT:$FT,Example!$G44,'Resource Demand - Activity'!BV:BV)</f>
        <v>0.5</v>
      </c>
      <c r="CB44" s="35">
        <f>SUMIF('Resource Demand - Activity'!$FT:$FT,Example!$G44,'Resource Demand - Activity'!BW:BW)</f>
        <v>0</v>
      </c>
      <c r="CC44" s="35">
        <f>SUMIF('Resource Demand - Activity'!$FT:$FT,Example!$G44,'Resource Demand - Activity'!BX:BX)</f>
        <v>0</v>
      </c>
      <c r="CD44" s="35">
        <f>SUMIF('Resource Demand - Activity'!$FT:$FT,Example!$G44,'Resource Demand - Activity'!BY:BY)</f>
        <v>0</v>
      </c>
      <c r="CE44" s="35">
        <f>SUMIF('Resource Demand - Activity'!$FT:$FT,Example!$G44,'Resource Demand - Activity'!BZ:BZ)</f>
        <v>0</v>
      </c>
      <c r="CF44" s="35">
        <f>SUMIF('Resource Demand - Activity'!$FT:$FT,Example!$G44,'Resource Demand - Activity'!CA:CA)</f>
        <v>0</v>
      </c>
      <c r="CG44" s="35">
        <f>SUMIF('Resource Demand - Activity'!$FT:$FT,Example!$G44,'Resource Demand - Activity'!CB:CB)</f>
        <v>0</v>
      </c>
      <c r="CH44" s="35">
        <f>SUMIF('Resource Demand - Activity'!$FT:$FT,Example!$G44,'Resource Demand - Activity'!CC:CC)</f>
        <v>0</v>
      </c>
      <c r="CI44" s="35">
        <f>SUMIF('Resource Demand - Activity'!$FT:$FT,Example!$G44,'Resource Demand - Activity'!CD:CD)</f>
        <v>0</v>
      </c>
      <c r="CJ44" s="35">
        <f>SUMIF('Resource Demand - Activity'!$FT:$FT,Example!$G44,'Resource Demand - Activity'!CE:CE)</f>
        <v>0</v>
      </c>
      <c r="CK44" s="35">
        <f>SUMIF('Resource Demand - Activity'!$FT:$FT,Example!$G44,'Resource Demand - Activity'!CF:CF)</f>
        <v>0</v>
      </c>
      <c r="CL44" s="35">
        <f>SUMIF('Resource Demand - Activity'!$FT:$FT,Example!$G44,'Resource Demand - Activity'!CG:CG)</f>
        <v>0</v>
      </c>
      <c r="CM44" s="35">
        <f>SUMIF('Resource Demand - Activity'!$FT:$FT,Example!$G44,'Resource Demand - Activity'!CH:CH)</f>
        <v>0</v>
      </c>
      <c r="CN44" s="35">
        <f>SUMIF('Resource Demand - Activity'!$FT:$FT,Example!$G44,'Resource Demand - Activity'!CI:CI)</f>
        <v>0</v>
      </c>
      <c r="CO44" s="35">
        <f>SUMIF('Resource Demand - Activity'!$FT:$FT,Example!$G44,'Resource Demand - Activity'!CJ:CJ)</f>
        <v>0</v>
      </c>
      <c r="CP44" s="35">
        <f>SUMIF('Resource Demand - Activity'!$FT:$FT,Example!$G44,'Resource Demand - Activity'!CK:CK)</f>
        <v>0</v>
      </c>
      <c r="CQ44" s="35">
        <f>SUMIF('Resource Demand - Activity'!$FT:$FT,Example!$G44,'Resource Demand - Activity'!CL:CL)</f>
        <v>0</v>
      </c>
      <c r="CR44" s="35">
        <f>SUMIF('Resource Demand - Activity'!$FT:$FT,Example!$G44,'Resource Demand - Activity'!CM:CM)</f>
        <v>0</v>
      </c>
      <c r="CS44" s="35">
        <f>SUMIF('Resource Demand - Activity'!$FT:$FT,Example!$G44,'Resource Demand - Activity'!CN:CN)</f>
        <v>0</v>
      </c>
      <c r="CT44" s="35">
        <f>SUMIF('Resource Demand - Activity'!$FT:$FT,Example!$G44,'Resource Demand - Activity'!CO:CO)</f>
        <v>0</v>
      </c>
      <c r="CU44" s="35">
        <f>SUMIF('Resource Demand - Activity'!$FT:$FT,Example!$G44,'Resource Demand - Activity'!CP:CP)</f>
        <v>0</v>
      </c>
      <c r="CV44" s="35">
        <f>SUMIF('Resource Demand - Activity'!$FT:$FT,Example!$G44,'Resource Demand - Activity'!CQ:CQ)</f>
        <v>0</v>
      </c>
      <c r="CW44" s="35">
        <f>SUMIF('Resource Demand - Activity'!$FT:$FT,Example!$G44,'Resource Demand - Activity'!CR:CR)</f>
        <v>0</v>
      </c>
      <c r="CX44" s="35">
        <f>SUMIF('Resource Demand - Activity'!$FT:$FT,Example!$G44,'Resource Demand - Activity'!CS:CS)</f>
        <v>0</v>
      </c>
      <c r="CY44" s="36">
        <f>SUMIF('Resource Demand - Activity'!$FT:$FT,Example!$G44,'Resource Demand - Activity'!CT:CT)</f>
        <v>0</v>
      </c>
      <c r="CZ44" s="35">
        <f>SUMIF('Resource Demand - Activity'!$FT:$FT,Example!$G44,'Resource Demand - Activity'!CU:CU)</f>
        <v>0</v>
      </c>
      <c r="DA44" s="35">
        <f>SUMIF('Resource Demand - Activity'!$FT:$FT,Example!$G44,'Resource Demand - Activity'!CV:CV)</f>
        <v>0</v>
      </c>
      <c r="DB44" s="35">
        <f>SUMIF('Resource Demand - Activity'!$FT:$FT,Example!$G44,'Resource Demand - Activity'!CW:CW)</f>
        <v>0</v>
      </c>
      <c r="DC44" s="35">
        <f>SUMIF('Resource Demand - Activity'!$FT:$FT,Example!$G44,'Resource Demand - Activity'!CX:CX)</f>
        <v>0</v>
      </c>
      <c r="DD44" s="35">
        <f>SUMIF('Resource Demand - Activity'!$FT:$FT,Example!$G44,'Resource Demand - Activity'!CY:CY)</f>
        <v>0</v>
      </c>
      <c r="DE44" s="36">
        <f>SUMIF('Resource Demand - Activity'!$FT:$FT,Example!$G44,'Resource Demand - Activity'!CZ:CZ)</f>
        <v>0</v>
      </c>
      <c r="DF44" s="36">
        <f>SUMIF('Resource Demand - Activity'!$FT:$FT,Example!$G44,'Resource Demand - Activity'!DA:DA)</f>
        <v>0</v>
      </c>
      <c r="DG44" s="35">
        <f>SUMIF('Resource Demand - Activity'!$FT:$FT,Example!$G44,'Resource Demand - Activity'!DB:DB)</f>
        <v>0</v>
      </c>
      <c r="DH44" s="35">
        <f>SUMIF('Resource Demand - Activity'!$FT:$FT,Example!$G44,'Resource Demand - Activity'!DC:DC)</f>
        <v>0</v>
      </c>
      <c r="DI44" s="35">
        <f>SUMIF('Resource Demand - Activity'!$FT:$FT,Example!$G44,'Resource Demand - Activity'!DD:DD)</f>
        <v>0</v>
      </c>
      <c r="DJ44" s="35">
        <f>SUMIF('Resource Demand - Activity'!$FT:$FT,Example!$G44,'Resource Demand - Activity'!DE:DE)</f>
        <v>0</v>
      </c>
      <c r="DK44" s="35">
        <f>SUMIF('Resource Demand - Activity'!$FT:$FT,Example!$G44,'Resource Demand - Activity'!DF:DF)</f>
        <v>0</v>
      </c>
      <c r="DL44" s="35">
        <f>SUMIF('Resource Demand - Activity'!$FT:$FT,Example!$G44,'Resource Demand - Activity'!DG:DG)</f>
        <v>0</v>
      </c>
      <c r="DM44" s="35">
        <f>SUMIF('Resource Demand - Activity'!$FT:$FT,Example!$G44,'Resource Demand - Activity'!DH:DH)</f>
        <v>0</v>
      </c>
      <c r="DN44" s="35">
        <f>SUMIF('Resource Demand - Activity'!$FT:$FT,Example!$G44,'Resource Demand - Activity'!DI:DI)</f>
        <v>0</v>
      </c>
      <c r="DO44" s="35">
        <f>SUMIF('Resource Demand - Activity'!$FT:$FT,Example!$G44,'Resource Demand - Activity'!DJ:DJ)</f>
        <v>0</v>
      </c>
      <c r="DP44" s="35">
        <f>SUMIF('Resource Demand - Activity'!$FT:$FT,Example!$G44,'Resource Demand - Activity'!DK:DK)</f>
        <v>0</v>
      </c>
      <c r="DQ44" s="35">
        <f>SUMIF('Resource Demand - Activity'!$FT:$FT,Example!$G44,'Resource Demand - Activity'!DL:DL)</f>
        <v>0</v>
      </c>
      <c r="DR44" s="35">
        <f>SUMIF('Resource Demand - Activity'!$FT:$FT,Example!$G44,'Resource Demand - Activity'!DM:DM)</f>
        <v>0</v>
      </c>
      <c r="DS44" s="35">
        <f>SUMIF('Resource Demand - Activity'!$FT:$FT,Example!$G44,'Resource Demand - Activity'!DN:DN)</f>
        <v>0</v>
      </c>
      <c r="DT44" s="35">
        <f>SUMIF('Resource Demand - Activity'!$FT:$FT,Example!$G44,'Resource Demand - Activity'!DO:DO)</f>
        <v>0</v>
      </c>
      <c r="DU44" s="35">
        <f>SUMIF('Resource Demand - Activity'!$FT:$FT,Example!$G44,'Resource Demand - Activity'!DP:DP)</f>
        <v>0</v>
      </c>
      <c r="DV44" s="35">
        <f>SUMIF('Resource Demand - Activity'!$FT:$FT,Example!$G44,'Resource Demand - Activity'!DQ:DQ)</f>
        <v>0</v>
      </c>
      <c r="DW44" s="35">
        <f>SUMIF('Resource Demand - Activity'!$FT:$FT,Example!$G44,'Resource Demand - Activity'!DR:DR)</f>
        <v>0</v>
      </c>
      <c r="DX44" s="35">
        <f>SUMIF('Resource Demand - Activity'!$FT:$FT,Example!$G44,'Resource Demand - Activity'!DS:DS)</f>
        <v>0</v>
      </c>
      <c r="DY44" s="35">
        <f>SUMIF('Resource Demand - Activity'!$FT:$FT,Example!$G44,'Resource Demand - Activity'!DT:DT)</f>
        <v>0</v>
      </c>
      <c r="DZ44" s="35">
        <f>SUMIF('Resource Demand - Activity'!$FT:$FT,Example!$G44,'Resource Demand - Activity'!DU:DU)</f>
        <v>0</v>
      </c>
      <c r="EA44" s="35">
        <f>SUMIF('Resource Demand - Activity'!$FT:$FT,Example!$G44,'Resource Demand - Activity'!DV:DV)</f>
        <v>0</v>
      </c>
      <c r="EB44" s="35">
        <f>SUMIF('Resource Demand - Activity'!$FT:$FT,Example!$G44,'Resource Demand - Activity'!DW:DW)</f>
        <v>0</v>
      </c>
      <c r="EC44" s="35">
        <f>SUMIF('Resource Demand - Activity'!$FT:$FT,Example!$G44,'Resource Demand - Activity'!DX:DX)</f>
        <v>0</v>
      </c>
      <c r="ED44" s="35">
        <f>SUMIF('Resource Demand - Activity'!$FT:$FT,Example!$G44,'Resource Demand - Activity'!DY:DY)</f>
        <v>0</v>
      </c>
      <c r="EE44" s="36">
        <f>SUMIF('Resource Demand - Activity'!$FT:$FT,Example!$G44,'Resource Demand - Activity'!DZ:DZ)</f>
        <v>0</v>
      </c>
      <c r="EF44" s="35">
        <f>SUMIF('Resource Demand - Activity'!$FT:$FT,Example!$G44,'Resource Demand - Activity'!EA:EA)</f>
        <v>0</v>
      </c>
      <c r="EG44" s="35">
        <f>SUMIF('Resource Demand - Activity'!$FT:$FT,Example!$G44,'Resource Demand - Activity'!EB:EB)</f>
        <v>0</v>
      </c>
      <c r="EH44" s="35">
        <f>SUMIF('Resource Demand - Activity'!$FT:$FT,Example!$G44,'Resource Demand - Activity'!EC:EC)</f>
        <v>0</v>
      </c>
      <c r="EI44" s="35">
        <f>SUMIF('Resource Demand - Activity'!$FT:$FT,Example!$G44,'Resource Demand - Activity'!ED:ED)</f>
        <v>0</v>
      </c>
      <c r="EJ44" s="35">
        <f>SUMIF('Resource Demand - Activity'!$FT:$FT,Example!$G44,'Resource Demand - Activity'!EE:EE)</f>
        <v>0</v>
      </c>
      <c r="EK44" s="35">
        <f>SUMIF('Resource Demand - Activity'!$FT:$FT,Example!$G44,'Resource Demand - Activity'!EF:EF)</f>
        <v>0</v>
      </c>
      <c r="EL44" s="35">
        <f>SUMIF('Resource Demand - Activity'!$FT:$FT,Example!$G44,'Resource Demand - Activity'!EG:EG)</f>
        <v>0</v>
      </c>
      <c r="EM44" s="35">
        <f>SUMIF('Resource Demand - Activity'!$FT:$FT,Example!$G44,'Resource Demand - Activity'!EH:EH)</f>
        <v>0</v>
      </c>
      <c r="EN44" s="35">
        <f>SUMIF('Resource Demand - Activity'!$FT:$FT,Example!$G44,'Resource Demand - Activity'!EI:EI)</f>
        <v>0</v>
      </c>
      <c r="EO44" s="35">
        <f>SUMIF('Resource Demand - Activity'!$FT:$FT,Example!$G44,'Resource Demand - Activity'!EJ:EJ)</f>
        <v>0</v>
      </c>
      <c r="EP44" s="35">
        <f>SUMIF('Resource Demand - Activity'!$FT:$FT,Example!$G44,'Resource Demand - Activity'!EK:EK)</f>
        <v>0</v>
      </c>
      <c r="EQ44" s="35">
        <f>SUMIF('Resource Demand - Activity'!$FT:$FT,Example!$G44,'Resource Demand - Activity'!EL:EL)</f>
        <v>0</v>
      </c>
      <c r="ER44" s="35">
        <f>SUMIF('Resource Demand - Activity'!$FT:$FT,Example!$G44,'Resource Demand - Activity'!EM:EM)</f>
        <v>0</v>
      </c>
      <c r="ES44" s="35">
        <f>SUMIF('Resource Demand - Activity'!$FT:$FT,Example!$G44,'Resource Demand - Activity'!EN:EN)</f>
        <v>0</v>
      </c>
      <c r="ET44" s="35">
        <f>SUMIF('Resource Demand - Activity'!$FT:$FT,Example!$G44,'Resource Demand - Activity'!EO:EO)</f>
        <v>0</v>
      </c>
      <c r="EU44" s="35">
        <f>SUMIF('Resource Demand - Activity'!$FT:$FT,Example!$G44,'Resource Demand - Activity'!EP:EP)</f>
        <v>0</v>
      </c>
      <c r="EV44" s="35">
        <f>SUMIF('Resource Demand - Activity'!$FT:$FT,Example!$G44,'Resource Demand - Activity'!EQ:EQ)</f>
        <v>0</v>
      </c>
      <c r="EW44" s="35">
        <f>SUMIF('Resource Demand - Activity'!$FT:$FT,Example!$G44,'Resource Demand - Activity'!ER:ER)</f>
        <v>0</v>
      </c>
      <c r="EX44" s="35">
        <f>SUMIF('Resource Demand - Activity'!$FT:$FT,Example!$G44,'Resource Demand - Activity'!ES:ES)</f>
        <v>0</v>
      </c>
      <c r="EY44" s="35">
        <f>SUMIF('Resource Demand - Activity'!$FT:$FT,Example!$G44,'Resource Demand - Activity'!ET:ET)</f>
        <v>0</v>
      </c>
      <c r="EZ44" s="35">
        <f>SUMIF('Resource Demand - Activity'!$FT:$FT,Example!$G44,'Resource Demand - Activity'!EU:EU)</f>
        <v>0</v>
      </c>
      <c r="FA44" s="35">
        <f>SUMIF('Resource Demand - Activity'!$FT:$FT,Example!$G44,'Resource Demand - Activity'!EV:EV)</f>
        <v>0</v>
      </c>
      <c r="FB44" s="35">
        <f>SUMIF('Resource Demand - Activity'!$FT:$FT,Example!$G44,'Resource Demand - Activity'!EW:EW)</f>
        <v>0</v>
      </c>
      <c r="FC44" s="35">
        <f>SUMIF('Resource Demand - Activity'!$FT:$FT,Example!$G44,'Resource Demand - Activity'!EX:EX)</f>
        <v>0</v>
      </c>
      <c r="FD44" s="36">
        <f>SUMIF('Resource Demand - Activity'!$FT:$FT,Example!$G44,'Resource Demand - Activity'!EY:EY)</f>
        <v>0</v>
      </c>
      <c r="FE44" s="35">
        <f>SUMIF('Resource Demand - Activity'!$FT:$FT,Example!$G44,'Resource Demand - Activity'!EZ:EZ)</f>
        <v>0</v>
      </c>
      <c r="FF44" s="35">
        <f>SUMIF('Resource Demand - Activity'!$FT:$FT,Example!$G44,'Resource Demand - Activity'!FA:FA)</f>
        <v>0</v>
      </c>
      <c r="FG44" s="35">
        <f>SUMIF('Resource Demand - Activity'!$FT:$FT,Example!$G44,'Resource Demand - Activity'!FB:FB)</f>
        <v>0</v>
      </c>
      <c r="FH44" s="35">
        <f>SUMIF('Resource Demand - Activity'!$FT:$FT,Example!$G44,'Resource Demand - Activity'!FC:FC)</f>
        <v>0</v>
      </c>
      <c r="FI44" s="35">
        <f>SUMIF('Resource Demand - Activity'!$FT:$FT,Example!$G44,'Resource Demand - Activity'!FD:FD)</f>
        <v>0</v>
      </c>
      <c r="FJ44" s="35">
        <f>SUMIF('Resource Demand - Activity'!$FT:$FT,Example!$G44,'Resource Demand - Activity'!FE:FE)</f>
        <v>0</v>
      </c>
      <c r="FK44" s="35">
        <f>SUMIF('Resource Demand - Activity'!$FT:$FT,Example!$G44,'Resource Demand - Activity'!FF:FF)</f>
        <v>0</v>
      </c>
      <c r="FL44" s="35">
        <f>SUMIF('Resource Demand - Activity'!$FT:$FT,Example!$G44,'Resource Demand - Activity'!FG:FG)</f>
        <v>0</v>
      </c>
      <c r="FM44" s="35">
        <f>SUMIF('Resource Demand - Activity'!$FT:$FT,Example!$G44,'Resource Demand - Activity'!FH:FH)</f>
        <v>0</v>
      </c>
      <c r="FN44" s="35">
        <f>SUMIF('Resource Demand - Activity'!$FT:$FT,Example!$G44,'Resource Demand - Activity'!FI:FI)</f>
        <v>0</v>
      </c>
      <c r="FO44" s="35">
        <f>SUMIF('Resource Demand - Activity'!$FT:$FT,Example!$G44,'Resource Demand - Activity'!FJ:FJ)</f>
        <v>0</v>
      </c>
      <c r="FP44" s="35">
        <f>SUMIF('Resource Demand - Activity'!$FT:$FT,Example!$G44,'Resource Demand - Activity'!FK:FK)</f>
        <v>0</v>
      </c>
      <c r="FQ44" s="35">
        <f>SUMIF('Resource Demand - Activity'!$FT:$FT,Example!$G44,'Resource Demand - Activity'!FL:FL)</f>
        <v>0</v>
      </c>
      <c r="FR44" s="35">
        <f>SUMIF('Resource Demand - Activity'!$FT:$FT,Example!$G44,'Resource Demand - Activity'!FM:FM)</f>
        <v>0</v>
      </c>
      <c r="FS44" s="35">
        <f>SUMIF('Resource Demand - Activity'!$FT:$FT,Example!$G44,'Resource Demand - Activity'!FN:FN)</f>
        <v>0</v>
      </c>
      <c r="FT44" s="35">
        <f>SUMIF('Resource Demand - Activity'!$FT:$FT,Example!$G44,'Resource Demand - Activity'!FO:FO)</f>
        <v>0</v>
      </c>
      <c r="FU44" s="35">
        <f>SUMIF('Resource Demand - Activity'!$FT:$FT,Example!$G44,'Resource Demand - Activity'!FP:FP)</f>
        <v>0</v>
      </c>
      <c r="FV44" s="52">
        <f>SUMIF('Resource Demand - Activity'!$FT:$FT,Example!$G44,'Resource Demand - Activity'!FQ:FQ)</f>
        <v>0</v>
      </c>
    </row>
    <row r="45" spans="2:178" ht="12" customHeight="1">
      <c r="B45" s="148"/>
      <c r="C45" s="150">
        <f>SUM(C43:C44)</f>
        <v>37884</v>
      </c>
      <c r="D45" s="150">
        <f>SUM(D43:D44)</f>
        <v>145386</v>
      </c>
      <c r="E45" s="148"/>
      <c r="G45" s="64" t="str">
        <f t="shared" si="7"/>
        <v>7. RSR Development &amp; Dry Run 7.1 PreparationSenior Accountant</v>
      </c>
      <c r="H45" s="61" t="s">
        <v>151</v>
      </c>
      <c r="I45" s="59" t="str">
        <f>INDEX('Resource Demand - Activity'!C:C,MATCH(Example!G45,'Resource Demand - Activity'!FT:FT,0))</f>
        <v>16 days</v>
      </c>
      <c r="J45" s="51">
        <f>SUMIF('Resource Demand - Activity'!$FT:$FT,Example!$G45,'Resource Demand - Activity'!E:E)</f>
        <v>0</v>
      </c>
      <c r="K45" s="35">
        <f>SUMIF('Resource Demand - Activity'!$FT:$FT,Example!$G45,'Resource Demand - Activity'!F:F)</f>
        <v>0</v>
      </c>
      <c r="L45" s="35">
        <f>SUMIF('Resource Demand - Activity'!$FT:$FT,Example!$G45,'Resource Demand - Activity'!G:G)</f>
        <v>0</v>
      </c>
      <c r="M45" s="35">
        <f>SUMIF('Resource Demand - Activity'!$FT:$FT,Example!$G45,'Resource Demand - Activity'!H:H)</f>
        <v>0</v>
      </c>
      <c r="N45" s="35">
        <f>SUMIF('Resource Demand - Activity'!$FT:$FT,Example!$G45,'Resource Demand - Activity'!I:I)</f>
        <v>0</v>
      </c>
      <c r="O45" s="35">
        <f>SUMIF('Resource Demand - Activity'!$FT:$FT,Example!$G45,'Resource Demand - Activity'!J:J)</f>
        <v>0</v>
      </c>
      <c r="P45" s="35">
        <f>SUMIF('Resource Demand - Activity'!$FT:$FT,Example!$G45,'Resource Demand - Activity'!K:K)</f>
        <v>0</v>
      </c>
      <c r="Q45" s="35">
        <f>SUMIF('Resource Demand - Activity'!$FT:$FT,Example!$G45,'Resource Demand - Activity'!L:L)</f>
        <v>0</v>
      </c>
      <c r="R45" s="35">
        <f>SUMIF('Resource Demand - Activity'!$FT:$FT,Example!$G45,'Resource Demand - Activity'!M:M)</f>
        <v>0</v>
      </c>
      <c r="S45" s="35">
        <f>SUMIF('Resource Demand - Activity'!$FT:$FT,Example!$G45,'Resource Demand - Activity'!N:N)</f>
        <v>0</v>
      </c>
      <c r="T45" s="35">
        <f>SUMIF('Resource Demand - Activity'!$FT:$FT,Example!$G45,'Resource Demand - Activity'!O:O)</f>
        <v>0</v>
      </c>
      <c r="U45" s="35">
        <f>SUMIF('Resource Demand - Activity'!$FT:$FT,Example!$G45,'Resource Demand - Activity'!P:P)</f>
        <v>0</v>
      </c>
      <c r="V45" s="35">
        <f>SUMIF('Resource Demand - Activity'!$FT:$FT,Example!$G45,'Resource Demand - Activity'!Q:Q)</f>
        <v>0</v>
      </c>
      <c r="W45" s="35">
        <f>SUMIF('Resource Demand - Activity'!$FT:$FT,Example!$G45,'Resource Demand - Activity'!R:R)</f>
        <v>0</v>
      </c>
      <c r="X45" s="35">
        <f>SUMIF('Resource Demand - Activity'!$FT:$FT,Example!$G45,'Resource Demand - Activity'!S:S)</f>
        <v>0</v>
      </c>
      <c r="Y45" s="35">
        <f>SUMIF('Resource Demand - Activity'!$FT:$FT,Example!$G45,'Resource Demand - Activity'!T:T)</f>
        <v>0</v>
      </c>
      <c r="Z45" s="35">
        <f>SUMIF('Resource Demand - Activity'!$FT:$FT,Example!$G45,'Resource Demand - Activity'!U:U)</f>
        <v>0</v>
      </c>
      <c r="AA45" s="35">
        <f>SUMIF('Resource Demand - Activity'!$FT:$FT,Example!$G45,'Resource Demand - Activity'!V:V)</f>
        <v>0</v>
      </c>
      <c r="AB45" s="35">
        <f>SUMIF('Resource Demand - Activity'!$FT:$FT,Example!$G45,'Resource Demand - Activity'!W:W)</f>
        <v>0</v>
      </c>
      <c r="AC45" s="35">
        <f>SUMIF('Resource Demand - Activity'!$FT:$FT,Example!$G45,'Resource Demand - Activity'!X:X)</f>
        <v>0</v>
      </c>
      <c r="AD45" s="35">
        <f>SUMIF('Resource Demand - Activity'!$FT:$FT,Example!$G45,'Resource Demand - Activity'!Y:Y)</f>
        <v>0</v>
      </c>
      <c r="AE45" s="35">
        <f>SUMIF('Resource Demand - Activity'!$FT:$FT,Example!$G45,'Resource Demand - Activity'!Z:Z)</f>
        <v>0</v>
      </c>
      <c r="AF45" s="35">
        <f>SUMIF('Resource Demand - Activity'!$FT:$FT,Example!$G45,'Resource Demand - Activity'!AA:AA)</f>
        <v>0</v>
      </c>
      <c r="AG45" s="35">
        <f>SUMIF('Resource Demand - Activity'!$FT:$FT,Example!$G45,'Resource Demand - Activity'!AB:AB)</f>
        <v>0</v>
      </c>
      <c r="AH45" s="35">
        <f>SUMIF('Resource Demand - Activity'!$FT:$FT,Example!$G45,'Resource Demand - Activity'!AC:AC)</f>
        <v>0</v>
      </c>
      <c r="AI45" s="35">
        <f>SUMIF('Resource Demand - Activity'!$FT:$FT,Example!$G45,'Resource Demand - Activity'!AD:AD)</f>
        <v>0</v>
      </c>
      <c r="AJ45" s="35">
        <f>SUMIF('Resource Demand - Activity'!$FT:$FT,Example!$G45,'Resource Demand - Activity'!AE:AE)</f>
        <v>0</v>
      </c>
      <c r="AK45" s="35">
        <f>SUMIF('Resource Demand - Activity'!$FT:$FT,Example!$G45,'Resource Demand - Activity'!AF:AF)</f>
        <v>0</v>
      </c>
      <c r="AL45" s="35">
        <f>SUMIF('Resource Demand - Activity'!$FT:$FT,Example!$G45,'Resource Demand - Activity'!AG:AG)</f>
        <v>0</v>
      </c>
      <c r="AM45" s="35">
        <f>SUMIF('Resource Demand - Activity'!$FT:$FT,Example!$G45,'Resource Demand - Activity'!AH:AH)</f>
        <v>0</v>
      </c>
      <c r="AN45" s="35">
        <f>SUMIF('Resource Demand - Activity'!$FT:$FT,Example!$G45,'Resource Demand - Activity'!AI:AI)</f>
        <v>0</v>
      </c>
      <c r="AO45" s="35">
        <f>SUMIF('Resource Demand - Activity'!$FT:$FT,Example!$G45,'Resource Demand - Activity'!AJ:AJ)</f>
        <v>0</v>
      </c>
      <c r="AP45" s="35">
        <f>SUMIF('Resource Demand - Activity'!$FT:$FT,Example!$G45,'Resource Demand - Activity'!AK:AK)</f>
        <v>0</v>
      </c>
      <c r="AQ45" s="36">
        <f>SUMIF('Resource Demand - Activity'!$FT:$FT,Example!$G45,'Resource Demand - Activity'!AL:AL)</f>
        <v>0</v>
      </c>
      <c r="AR45" s="36">
        <f>SUMIF('Resource Demand - Activity'!$FT:$FT,Example!$G45,'Resource Demand - Activity'!AM:AM)</f>
        <v>0</v>
      </c>
      <c r="AS45" s="36">
        <f>SUMIF('Resource Demand - Activity'!$FT:$FT,Example!$G45,'Resource Demand - Activity'!AN:AN)</f>
        <v>0</v>
      </c>
      <c r="AT45" s="36">
        <f>SUMIF('Resource Demand - Activity'!$FT:$FT,Example!$G45,'Resource Demand - Activity'!AO:AO)</f>
        <v>0</v>
      </c>
      <c r="AU45" s="36">
        <f>SUMIF('Resource Demand - Activity'!$FT:$FT,Example!$G45,'Resource Demand - Activity'!AP:AP)</f>
        <v>0</v>
      </c>
      <c r="AV45" s="36">
        <f>SUMIF('Resource Demand - Activity'!$FT:$FT,Example!$G45,'Resource Demand - Activity'!AQ:AQ)</f>
        <v>0</v>
      </c>
      <c r="AW45" s="36">
        <f>SUMIF('Resource Demand - Activity'!$FT:$FT,Example!$G45,'Resource Demand - Activity'!AR:AR)</f>
        <v>0</v>
      </c>
      <c r="AX45" s="35">
        <f>SUMIF('Resource Demand - Activity'!$FT:$FT,Example!$G45,'Resource Demand - Activity'!AS:AS)</f>
        <v>0</v>
      </c>
      <c r="AY45" s="35">
        <f>SUMIF('Resource Demand - Activity'!$FT:$FT,Example!$G45,'Resource Demand - Activity'!AT:AT)</f>
        <v>0</v>
      </c>
      <c r="AZ45" s="35">
        <f>SUMIF('Resource Demand - Activity'!$FT:$FT,Example!$G45,'Resource Demand - Activity'!AU:AU)</f>
        <v>0</v>
      </c>
      <c r="BA45" s="35">
        <f>SUMIF('Resource Demand - Activity'!$FT:$FT,Example!$G45,'Resource Demand - Activity'!AV:AV)</f>
        <v>0</v>
      </c>
      <c r="BB45" s="35">
        <f>SUMIF('Resource Demand - Activity'!$FT:$FT,Example!$G45,'Resource Demand - Activity'!AW:AW)</f>
        <v>0</v>
      </c>
      <c r="BC45" s="35">
        <f>SUMIF('Resource Demand - Activity'!$FT:$FT,Example!$G45,'Resource Demand - Activity'!AX:AX)</f>
        <v>0</v>
      </c>
      <c r="BD45" s="35">
        <f>SUMIF('Resource Demand - Activity'!$FT:$FT,Example!$G45,'Resource Demand - Activity'!AY:AY)</f>
        <v>0</v>
      </c>
      <c r="BE45" s="35">
        <f>SUMIF('Resource Demand - Activity'!$FT:$FT,Example!$G45,'Resource Demand - Activity'!AZ:AZ)</f>
        <v>0</v>
      </c>
      <c r="BF45" s="35">
        <f>SUMIF('Resource Demand - Activity'!$FT:$FT,Example!$G45,'Resource Demand - Activity'!BA:BA)</f>
        <v>0</v>
      </c>
      <c r="BG45" s="35">
        <f>SUMIF('Resource Demand - Activity'!$FT:$FT,Example!$G45,'Resource Demand - Activity'!BB:BB)</f>
        <v>0</v>
      </c>
      <c r="BH45" s="35">
        <f>SUMIF('Resource Demand - Activity'!$FT:$FT,Example!$G45,'Resource Demand - Activity'!BC:BC)</f>
        <v>0</v>
      </c>
      <c r="BI45" s="35">
        <f>SUMIF('Resource Demand - Activity'!$FT:$FT,Example!$G45,'Resource Demand - Activity'!BD:BD)</f>
        <v>0</v>
      </c>
      <c r="BJ45" s="35">
        <f>SUMIF('Resource Demand - Activity'!$FT:$FT,Example!$G45,'Resource Demand - Activity'!BE:BE)</f>
        <v>0</v>
      </c>
      <c r="BK45" s="35">
        <f>SUMIF('Resource Demand - Activity'!$FT:$FT,Example!$G45,'Resource Demand - Activity'!BF:BF)</f>
        <v>0</v>
      </c>
      <c r="BL45" s="35">
        <f>SUMIF('Resource Demand - Activity'!$FT:$FT,Example!$G45,'Resource Demand - Activity'!BG:BG)</f>
        <v>0</v>
      </c>
      <c r="BM45" s="35">
        <f>SUMIF('Resource Demand - Activity'!$FT:$FT,Example!$G45,'Resource Demand - Activity'!BH:BH)</f>
        <v>0</v>
      </c>
      <c r="BN45" s="35">
        <f>SUMIF('Resource Demand - Activity'!$FT:$FT,Example!$G45,'Resource Demand - Activity'!BI:BI)</f>
        <v>0</v>
      </c>
      <c r="BO45" s="35">
        <f>SUMIF('Resource Demand - Activity'!$FT:$FT,Example!$G45,'Resource Demand - Activity'!BJ:BJ)</f>
        <v>0</v>
      </c>
      <c r="BP45" s="35">
        <f>SUMIF('Resource Demand - Activity'!$FT:$FT,Example!$G45,'Resource Demand - Activity'!BK:BK)</f>
        <v>0</v>
      </c>
      <c r="BQ45" s="35">
        <f>SUMIF('Resource Demand - Activity'!$FT:$FT,Example!$G45,'Resource Demand - Activity'!BL:BL)</f>
        <v>0</v>
      </c>
      <c r="BR45" s="35">
        <f>SUMIF('Resource Demand - Activity'!$FT:$FT,Example!$G45,'Resource Demand - Activity'!BM:BM)</f>
        <v>0</v>
      </c>
      <c r="BS45" s="35">
        <f>SUMIF('Resource Demand - Activity'!$FT:$FT,Example!$G45,'Resource Demand - Activity'!BN:BN)</f>
        <v>0</v>
      </c>
      <c r="BT45" s="35">
        <f>SUMIF('Resource Demand - Activity'!$FT:$FT,Example!$G45,'Resource Demand - Activity'!BO:BO)</f>
        <v>0</v>
      </c>
      <c r="BU45" s="35">
        <f>SUMIF('Resource Demand - Activity'!$FT:$FT,Example!$G45,'Resource Demand - Activity'!BP:BP)</f>
        <v>0</v>
      </c>
      <c r="BV45" s="35">
        <f>SUMIF('Resource Demand - Activity'!$FT:$FT,Example!$G45,'Resource Demand - Activity'!BQ:BQ)</f>
        <v>0</v>
      </c>
      <c r="BW45" s="35">
        <f>SUMIF('Resource Demand - Activity'!$FT:$FT,Example!$G45,'Resource Demand - Activity'!BR:BR)</f>
        <v>0</v>
      </c>
      <c r="BX45" s="35">
        <f>SUMIF('Resource Demand - Activity'!$FT:$FT,Example!$G45,'Resource Demand - Activity'!BS:BS)</f>
        <v>0</v>
      </c>
      <c r="BY45" s="35">
        <f>SUMIF('Resource Demand - Activity'!$FT:$FT,Example!$G45,'Resource Demand - Activity'!BT:BT)</f>
        <v>0</v>
      </c>
      <c r="BZ45" s="35">
        <f>SUMIF('Resource Demand - Activity'!$FT:$FT,Example!$G45,'Resource Demand - Activity'!BU:BU)</f>
        <v>0</v>
      </c>
      <c r="CA45" s="35">
        <f>SUMIF('Resource Demand - Activity'!$FT:$FT,Example!$G45,'Resource Demand - Activity'!BV:BV)</f>
        <v>0</v>
      </c>
      <c r="CB45" s="35">
        <f>SUMIF('Resource Demand - Activity'!$FT:$FT,Example!$G45,'Resource Demand - Activity'!BW:BW)</f>
        <v>0</v>
      </c>
      <c r="CC45" s="35">
        <f>SUMIF('Resource Demand - Activity'!$FT:$FT,Example!$G45,'Resource Demand - Activity'!BX:BX)</f>
        <v>0</v>
      </c>
      <c r="CD45" s="35">
        <f>SUMIF('Resource Demand - Activity'!$FT:$FT,Example!$G45,'Resource Demand - Activity'!BY:BY)</f>
        <v>0</v>
      </c>
      <c r="CE45" s="35">
        <f>SUMIF('Resource Demand - Activity'!$FT:$FT,Example!$G45,'Resource Demand - Activity'!BZ:BZ)</f>
        <v>0</v>
      </c>
      <c r="CF45" s="35">
        <f>SUMIF('Resource Demand - Activity'!$FT:$FT,Example!$G45,'Resource Demand - Activity'!CA:CA)</f>
        <v>0</v>
      </c>
      <c r="CG45" s="35">
        <f>SUMIF('Resource Demand - Activity'!$FT:$FT,Example!$G45,'Resource Demand - Activity'!CB:CB)</f>
        <v>0.5</v>
      </c>
      <c r="CH45" s="35">
        <f>SUMIF('Resource Demand - Activity'!$FT:$FT,Example!$G45,'Resource Demand - Activity'!CC:CC)</f>
        <v>1</v>
      </c>
      <c r="CI45" s="35">
        <f>SUMIF('Resource Demand - Activity'!$FT:$FT,Example!$G45,'Resource Demand - Activity'!CD:CD)</f>
        <v>1</v>
      </c>
      <c r="CJ45" s="35">
        <f>SUMIF('Resource Demand - Activity'!$FT:$FT,Example!$G45,'Resource Demand - Activity'!CE:CE)</f>
        <v>0.5</v>
      </c>
      <c r="CK45" s="35">
        <f>SUMIF('Resource Demand - Activity'!$FT:$FT,Example!$G45,'Resource Demand - Activity'!CF:CF)</f>
        <v>1</v>
      </c>
      <c r="CL45" s="35">
        <f>SUMIF('Resource Demand - Activity'!$FT:$FT,Example!$G45,'Resource Demand - Activity'!CG:CG)</f>
        <v>1</v>
      </c>
      <c r="CM45" s="35">
        <f>SUMIF('Resource Demand - Activity'!$FT:$FT,Example!$G45,'Resource Demand - Activity'!CH:CH)</f>
        <v>0.5</v>
      </c>
      <c r="CN45" s="35">
        <f>SUMIF('Resource Demand - Activity'!$FT:$FT,Example!$G45,'Resource Demand - Activity'!CI:CI)</f>
        <v>1</v>
      </c>
      <c r="CO45" s="35">
        <f>SUMIF('Resource Demand - Activity'!$FT:$FT,Example!$G45,'Resource Demand - Activity'!CJ:CJ)</f>
        <v>1</v>
      </c>
      <c r="CP45" s="35">
        <f>SUMIF('Resource Demand - Activity'!$FT:$FT,Example!$G45,'Resource Demand - Activity'!CK:CK)</f>
        <v>0.5</v>
      </c>
      <c r="CQ45" s="35">
        <f>SUMIF('Resource Demand - Activity'!$FT:$FT,Example!$G45,'Resource Demand - Activity'!CL:CL)</f>
        <v>1</v>
      </c>
      <c r="CR45" s="35">
        <f>SUMIF('Resource Demand - Activity'!$FT:$FT,Example!$G45,'Resource Demand - Activity'!CM:CM)</f>
        <v>1</v>
      </c>
      <c r="CS45" s="35">
        <f>SUMIF('Resource Demand - Activity'!$FT:$FT,Example!$G45,'Resource Demand - Activity'!CN:CN)</f>
        <v>0.5</v>
      </c>
      <c r="CT45" s="35">
        <f>SUMIF('Resource Demand - Activity'!$FT:$FT,Example!$G45,'Resource Demand - Activity'!CO:CO)</f>
        <v>0</v>
      </c>
      <c r="CU45" s="35">
        <f>SUMIF('Resource Demand - Activity'!$FT:$FT,Example!$G45,'Resource Demand - Activity'!CP:CP)</f>
        <v>0</v>
      </c>
      <c r="CV45" s="35">
        <f>SUMIF('Resource Demand - Activity'!$FT:$FT,Example!$G45,'Resource Demand - Activity'!CQ:CQ)</f>
        <v>0</v>
      </c>
      <c r="CW45" s="35">
        <f>SUMIF('Resource Demand - Activity'!$FT:$FT,Example!$G45,'Resource Demand - Activity'!CR:CR)</f>
        <v>0</v>
      </c>
      <c r="CX45" s="35">
        <f>SUMIF('Resource Demand - Activity'!$FT:$FT,Example!$G45,'Resource Demand - Activity'!CS:CS)</f>
        <v>0</v>
      </c>
      <c r="CY45" s="36">
        <f>SUMIF('Resource Demand - Activity'!$FT:$FT,Example!$G45,'Resource Demand - Activity'!CT:CT)</f>
        <v>0</v>
      </c>
      <c r="CZ45" s="35">
        <f>SUMIF('Resource Demand - Activity'!$FT:$FT,Example!$G45,'Resource Demand - Activity'!CU:CU)</f>
        <v>0.5</v>
      </c>
      <c r="DA45" s="35">
        <f>SUMIF('Resource Demand - Activity'!$FT:$FT,Example!$G45,'Resource Demand - Activity'!CV:CV)</f>
        <v>0.5</v>
      </c>
      <c r="DB45" s="35">
        <f>SUMIF('Resource Demand - Activity'!$FT:$FT,Example!$G45,'Resource Demand - Activity'!CW:CW)</f>
        <v>0.5</v>
      </c>
      <c r="DC45" s="35">
        <f>SUMIF('Resource Demand - Activity'!$FT:$FT,Example!$G45,'Resource Demand - Activity'!CX:CX)</f>
        <v>0.5</v>
      </c>
      <c r="DD45" s="35">
        <f>SUMIF('Resource Demand - Activity'!$FT:$FT,Example!$G45,'Resource Demand - Activity'!CY:CY)</f>
        <v>0.5</v>
      </c>
      <c r="DE45" s="36">
        <f>SUMIF('Resource Demand - Activity'!$FT:$FT,Example!$G45,'Resource Demand - Activity'!CZ:CZ)</f>
        <v>0</v>
      </c>
      <c r="DF45" s="36">
        <f>SUMIF('Resource Demand - Activity'!$FT:$FT,Example!$G45,'Resource Demand - Activity'!DA:DA)</f>
        <v>0</v>
      </c>
      <c r="DG45" s="35">
        <f>SUMIF('Resource Demand - Activity'!$FT:$FT,Example!$G45,'Resource Demand - Activity'!DB:DB)</f>
        <v>0.5</v>
      </c>
      <c r="DH45" s="35">
        <f>SUMIF('Resource Demand - Activity'!$FT:$FT,Example!$G45,'Resource Demand - Activity'!DC:DC)</f>
        <v>0.5</v>
      </c>
      <c r="DI45" s="35">
        <f>SUMIF('Resource Demand - Activity'!$FT:$FT,Example!$G45,'Resource Demand - Activity'!DD:DD)</f>
        <v>0.5</v>
      </c>
      <c r="DJ45" s="35">
        <f>SUMIF('Resource Demand - Activity'!$FT:$FT,Example!$G45,'Resource Demand - Activity'!DE:DE)</f>
        <v>0.5</v>
      </c>
      <c r="DK45" s="35">
        <f>SUMIF('Resource Demand - Activity'!$FT:$FT,Example!$G45,'Resource Demand - Activity'!DF:DF)</f>
        <v>0.5</v>
      </c>
      <c r="DL45" s="35">
        <f>SUMIF('Resource Demand - Activity'!$FT:$FT,Example!$G45,'Resource Demand - Activity'!DG:DG)</f>
        <v>0</v>
      </c>
      <c r="DM45" s="35">
        <f>SUMIF('Resource Demand - Activity'!$FT:$FT,Example!$G45,'Resource Demand - Activity'!DH:DH)</f>
        <v>0</v>
      </c>
      <c r="DN45" s="35">
        <f>SUMIF('Resource Demand - Activity'!$FT:$FT,Example!$G45,'Resource Demand - Activity'!DI:DI)</f>
        <v>0</v>
      </c>
      <c r="DO45" s="35">
        <f>SUMIF('Resource Demand - Activity'!$FT:$FT,Example!$G45,'Resource Demand - Activity'!DJ:DJ)</f>
        <v>0</v>
      </c>
      <c r="DP45" s="35">
        <f>SUMIF('Resource Demand - Activity'!$FT:$FT,Example!$G45,'Resource Demand - Activity'!DK:DK)</f>
        <v>0</v>
      </c>
      <c r="DQ45" s="35">
        <f>SUMIF('Resource Demand - Activity'!$FT:$FT,Example!$G45,'Resource Demand - Activity'!DL:DL)</f>
        <v>0</v>
      </c>
      <c r="DR45" s="35">
        <f>SUMIF('Resource Demand - Activity'!$FT:$FT,Example!$G45,'Resource Demand - Activity'!DM:DM)</f>
        <v>0</v>
      </c>
      <c r="DS45" s="35">
        <f>SUMIF('Resource Demand - Activity'!$FT:$FT,Example!$G45,'Resource Demand - Activity'!DN:DN)</f>
        <v>0</v>
      </c>
      <c r="DT45" s="35">
        <f>SUMIF('Resource Demand - Activity'!$FT:$FT,Example!$G45,'Resource Demand - Activity'!DO:DO)</f>
        <v>0</v>
      </c>
      <c r="DU45" s="35">
        <f>SUMIF('Resource Demand - Activity'!$FT:$FT,Example!$G45,'Resource Demand - Activity'!DP:DP)</f>
        <v>0</v>
      </c>
      <c r="DV45" s="35">
        <f>SUMIF('Resource Demand - Activity'!$FT:$FT,Example!$G45,'Resource Demand - Activity'!DQ:DQ)</f>
        <v>0</v>
      </c>
      <c r="DW45" s="35">
        <f>SUMIF('Resource Demand - Activity'!$FT:$FT,Example!$G45,'Resource Demand - Activity'!DR:DR)</f>
        <v>0</v>
      </c>
      <c r="DX45" s="35">
        <f>SUMIF('Resource Demand - Activity'!$FT:$FT,Example!$G45,'Resource Demand - Activity'!DS:DS)</f>
        <v>0</v>
      </c>
      <c r="DY45" s="35">
        <f>SUMIF('Resource Demand - Activity'!$FT:$FT,Example!$G45,'Resource Demand - Activity'!DT:DT)</f>
        <v>0</v>
      </c>
      <c r="DZ45" s="35">
        <f>SUMIF('Resource Demand - Activity'!$FT:$FT,Example!$G45,'Resource Demand - Activity'!DU:DU)</f>
        <v>0</v>
      </c>
      <c r="EA45" s="35">
        <f>SUMIF('Resource Demand - Activity'!$FT:$FT,Example!$G45,'Resource Demand - Activity'!DV:DV)</f>
        <v>0</v>
      </c>
      <c r="EB45" s="35">
        <f>SUMIF('Resource Demand - Activity'!$FT:$FT,Example!$G45,'Resource Demand - Activity'!DW:DW)</f>
        <v>0</v>
      </c>
      <c r="EC45" s="35">
        <f>SUMIF('Resource Demand - Activity'!$FT:$FT,Example!$G45,'Resource Demand - Activity'!DX:DX)</f>
        <v>0</v>
      </c>
      <c r="ED45" s="35">
        <f>SUMIF('Resource Demand - Activity'!$FT:$FT,Example!$G45,'Resource Demand - Activity'!DY:DY)</f>
        <v>0</v>
      </c>
      <c r="EE45" s="36">
        <f>SUMIF('Resource Demand - Activity'!$FT:$FT,Example!$G45,'Resource Demand - Activity'!DZ:DZ)</f>
        <v>0</v>
      </c>
      <c r="EF45" s="35">
        <f>SUMIF('Resource Demand - Activity'!$FT:$FT,Example!$G45,'Resource Demand - Activity'!EA:EA)</f>
        <v>0</v>
      </c>
      <c r="EG45" s="35">
        <f>SUMIF('Resource Demand - Activity'!$FT:$FT,Example!$G45,'Resource Demand - Activity'!EB:EB)</f>
        <v>0</v>
      </c>
      <c r="EH45" s="35">
        <f>SUMIF('Resource Demand - Activity'!$FT:$FT,Example!$G45,'Resource Demand - Activity'!EC:EC)</f>
        <v>0</v>
      </c>
      <c r="EI45" s="35">
        <f>SUMIF('Resource Demand - Activity'!$FT:$FT,Example!$G45,'Resource Demand - Activity'!ED:ED)</f>
        <v>0</v>
      </c>
      <c r="EJ45" s="35">
        <f>SUMIF('Resource Demand - Activity'!$FT:$FT,Example!$G45,'Resource Demand - Activity'!EE:EE)</f>
        <v>0</v>
      </c>
      <c r="EK45" s="35">
        <f>SUMIF('Resource Demand - Activity'!$FT:$FT,Example!$G45,'Resource Demand - Activity'!EF:EF)</f>
        <v>0</v>
      </c>
      <c r="EL45" s="35">
        <f>SUMIF('Resource Demand - Activity'!$FT:$FT,Example!$G45,'Resource Demand - Activity'!EG:EG)</f>
        <v>0</v>
      </c>
      <c r="EM45" s="35">
        <f>SUMIF('Resource Demand - Activity'!$FT:$FT,Example!$G45,'Resource Demand - Activity'!EH:EH)</f>
        <v>0</v>
      </c>
      <c r="EN45" s="35">
        <f>SUMIF('Resource Demand - Activity'!$FT:$FT,Example!$G45,'Resource Demand - Activity'!EI:EI)</f>
        <v>0</v>
      </c>
      <c r="EO45" s="35">
        <f>SUMIF('Resource Demand - Activity'!$FT:$FT,Example!$G45,'Resource Demand - Activity'!EJ:EJ)</f>
        <v>0</v>
      </c>
      <c r="EP45" s="35">
        <f>SUMIF('Resource Demand - Activity'!$FT:$FT,Example!$G45,'Resource Demand - Activity'!EK:EK)</f>
        <v>0</v>
      </c>
      <c r="EQ45" s="35">
        <f>SUMIF('Resource Demand - Activity'!$FT:$FT,Example!$G45,'Resource Demand - Activity'!EL:EL)</f>
        <v>0</v>
      </c>
      <c r="ER45" s="35">
        <f>SUMIF('Resource Demand - Activity'!$FT:$FT,Example!$G45,'Resource Demand - Activity'!EM:EM)</f>
        <v>0</v>
      </c>
      <c r="ES45" s="35">
        <f>SUMIF('Resource Demand - Activity'!$FT:$FT,Example!$G45,'Resource Demand - Activity'!EN:EN)</f>
        <v>0</v>
      </c>
      <c r="ET45" s="35">
        <f>SUMIF('Resource Demand - Activity'!$FT:$FT,Example!$G45,'Resource Demand - Activity'!EO:EO)</f>
        <v>0</v>
      </c>
      <c r="EU45" s="35">
        <f>SUMIF('Resource Demand - Activity'!$FT:$FT,Example!$G45,'Resource Demand - Activity'!EP:EP)</f>
        <v>0</v>
      </c>
      <c r="EV45" s="35">
        <f>SUMIF('Resource Demand - Activity'!$FT:$FT,Example!$G45,'Resource Demand - Activity'!EQ:EQ)</f>
        <v>0</v>
      </c>
      <c r="EW45" s="35">
        <f>SUMIF('Resource Demand - Activity'!$FT:$FT,Example!$G45,'Resource Demand - Activity'!ER:ER)</f>
        <v>0</v>
      </c>
      <c r="EX45" s="35">
        <f>SUMIF('Resource Demand - Activity'!$FT:$FT,Example!$G45,'Resource Demand - Activity'!ES:ES)</f>
        <v>0</v>
      </c>
      <c r="EY45" s="35">
        <f>SUMIF('Resource Demand - Activity'!$FT:$FT,Example!$G45,'Resource Demand - Activity'!ET:ET)</f>
        <v>0</v>
      </c>
      <c r="EZ45" s="35">
        <f>SUMIF('Resource Demand - Activity'!$FT:$FT,Example!$G45,'Resource Demand - Activity'!EU:EU)</f>
        <v>0</v>
      </c>
      <c r="FA45" s="35">
        <f>SUMIF('Resource Demand - Activity'!$FT:$FT,Example!$G45,'Resource Demand - Activity'!EV:EV)</f>
        <v>0</v>
      </c>
      <c r="FB45" s="35">
        <f>SUMIF('Resource Demand - Activity'!$FT:$FT,Example!$G45,'Resource Demand - Activity'!EW:EW)</f>
        <v>0</v>
      </c>
      <c r="FC45" s="35">
        <f>SUMIF('Resource Demand - Activity'!$FT:$FT,Example!$G45,'Resource Demand - Activity'!EX:EX)</f>
        <v>0</v>
      </c>
      <c r="FD45" s="36">
        <f>SUMIF('Resource Demand - Activity'!$FT:$FT,Example!$G45,'Resource Demand - Activity'!EY:EY)</f>
        <v>0</v>
      </c>
      <c r="FE45" s="35">
        <f>SUMIF('Resource Demand - Activity'!$FT:$FT,Example!$G45,'Resource Demand - Activity'!EZ:EZ)</f>
        <v>0</v>
      </c>
      <c r="FF45" s="35">
        <f>SUMIF('Resource Demand - Activity'!$FT:$FT,Example!$G45,'Resource Demand - Activity'!FA:FA)</f>
        <v>0</v>
      </c>
      <c r="FG45" s="35">
        <f>SUMIF('Resource Demand - Activity'!$FT:$FT,Example!$G45,'Resource Demand - Activity'!FB:FB)</f>
        <v>0</v>
      </c>
      <c r="FH45" s="35">
        <f>SUMIF('Resource Demand - Activity'!$FT:$FT,Example!$G45,'Resource Demand - Activity'!FC:FC)</f>
        <v>0</v>
      </c>
      <c r="FI45" s="35">
        <f>SUMIF('Resource Demand - Activity'!$FT:$FT,Example!$G45,'Resource Demand - Activity'!FD:FD)</f>
        <v>0</v>
      </c>
      <c r="FJ45" s="35">
        <f>SUMIF('Resource Demand - Activity'!$FT:$FT,Example!$G45,'Resource Demand - Activity'!FE:FE)</f>
        <v>0</v>
      </c>
      <c r="FK45" s="35">
        <f>SUMIF('Resource Demand - Activity'!$FT:$FT,Example!$G45,'Resource Demand - Activity'!FF:FF)</f>
        <v>0</v>
      </c>
      <c r="FL45" s="35">
        <f>SUMIF('Resource Demand - Activity'!$FT:$FT,Example!$G45,'Resource Demand - Activity'!FG:FG)</f>
        <v>0</v>
      </c>
      <c r="FM45" s="35">
        <f>SUMIF('Resource Demand - Activity'!$FT:$FT,Example!$G45,'Resource Demand - Activity'!FH:FH)</f>
        <v>0</v>
      </c>
      <c r="FN45" s="35">
        <f>SUMIF('Resource Demand - Activity'!$FT:$FT,Example!$G45,'Resource Demand - Activity'!FI:FI)</f>
        <v>0</v>
      </c>
      <c r="FO45" s="35">
        <f>SUMIF('Resource Demand - Activity'!$FT:$FT,Example!$G45,'Resource Demand - Activity'!FJ:FJ)</f>
        <v>0</v>
      </c>
      <c r="FP45" s="35">
        <f>SUMIF('Resource Demand - Activity'!$FT:$FT,Example!$G45,'Resource Demand - Activity'!FK:FK)</f>
        <v>0</v>
      </c>
      <c r="FQ45" s="35">
        <f>SUMIF('Resource Demand - Activity'!$FT:$FT,Example!$G45,'Resource Demand - Activity'!FL:FL)</f>
        <v>0</v>
      </c>
      <c r="FR45" s="35">
        <f>SUMIF('Resource Demand - Activity'!$FT:$FT,Example!$G45,'Resource Demand - Activity'!FM:FM)</f>
        <v>0</v>
      </c>
      <c r="FS45" s="35">
        <f>SUMIF('Resource Demand - Activity'!$FT:$FT,Example!$G45,'Resource Demand - Activity'!FN:FN)</f>
        <v>0</v>
      </c>
      <c r="FT45" s="35">
        <f>SUMIF('Resource Demand - Activity'!$FT:$FT,Example!$G45,'Resource Demand - Activity'!FO:FO)</f>
        <v>0</v>
      </c>
      <c r="FU45" s="35">
        <f>SUMIF('Resource Demand - Activity'!$FT:$FT,Example!$G45,'Resource Demand - Activity'!FP:FP)</f>
        <v>0</v>
      </c>
      <c r="FV45" s="52">
        <f>SUMIF('Resource Demand - Activity'!$FT:$FT,Example!$G45,'Resource Demand - Activity'!FQ:FQ)</f>
        <v>0</v>
      </c>
    </row>
    <row r="46" spans="2:178" ht="12" customHeight="1">
      <c r="B46" s="148"/>
      <c r="C46" s="162">
        <f>SUM(C45:D45)</f>
        <v>183270</v>
      </c>
      <c r="D46" s="163"/>
      <c r="E46" s="148"/>
      <c r="G46" s="64" t="str">
        <f t="shared" si="7"/>
        <v>7. RSR Development &amp; Dry Run 7.5 Co-ordinationSenior Accountant</v>
      </c>
      <c r="H46" s="61" t="s">
        <v>152</v>
      </c>
      <c r="I46" s="59" t="str">
        <f>INDEX('Resource Demand - Activity'!C:C,MATCH(Example!G46,'Resource Demand - Activity'!FT:FT,0))</f>
        <v>8 days</v>
      </c>
      <c r="J46" s="51">
        <f>SUMIF('Resource Demand - Activity'!$FT:$FT,Example!$G46,'Resource Demand - Activity'!E:E)</f>
        <v>0</v>
      </c>
      <c r="K46" s="35">
        <f>SUMIF('Resource Demand - Activity'!$FT:$FT,Example!$G46,'Resource Demand - Activity'!F:F)</f>
        <v>0</v>
      </c>
      <c r="L46" s="35">
        <f>SUMIF('Resource Demand - Activity'!$FT:$FT,Example!$G46,'Resource Demand - Activity'!G:G)</f>
        <v>0</v>
      </c>
      <c r="M46" s="35">
        <f>SUMIF('Resource Demand - Activity'!$FT:$FT,Example!$G46,'Resource Demand - Activity'!H:H)</f>
        <v>0</v>
      </c>
      <c r="N46" s="35">
        <f>SUMIF('Resource Demand - Activity'!$FT:$FT,Example!$G46,'Resource Demand - Activity'!I:I)</f>
        <v>0</v>
      </c>
      <c r="O46" s="35">
        <f>SUMIF('Resource Demand - Activity'!$FT:$FT,Example!$G46,'Resource Demand - Activity'!J:J)</f>
        <v>0</v>
      </c>
      <c r="P46" s="35">
        <f>SUMIF('Resource Demand - Activity'!$FT:$FT,Example!$G46,'Resource Demand - Activity'!K:K)</f>
        <v>0</v>
      </c>
      <c r="Q46" s="35">
        <f>SUMIF('Resource Demand - Activity'!$FT:$FT,Example!$G46,'Resource Demand - Activity'!L:L)</f>
        <v>0</v>
      </c>
      <c r="R46" s="35">
        <f>SUMIF('Resource Demand - Activity'!$FT:$FT,Example!$G46,'Resource Demand - Activity'!M:M)</f>
        <v>0</v>
      </c>
      <c r="S46" s="35">
        <f>SUMIF('Resource Demand - Activity'!$FT:$FT,Example!$G46,'Resource Demand - Activity'!N:N)</f>
        <v>0</v>
      </c>
      <c r="T46" s="35">
        <f>SUMIF('Resource Demand - Activity'!$FT:$FT,Example!$G46,'Resource Demand - Activity'!O:O)</f>
        <v>0</v>
      </c>
      <c r="U46" s="35">
        <f>SUMIF('Resource Demand - Activity'!$FT:$FT,Example!$G46,'Resource Demand - Activity'!P:P)</f>
        <v>0</v>
      </c>
      <c r="V46" s="35">
        <f>SUMIF('Resource Demand - Activity'!$FT:$FT,Example!$G46,'Resource Demand - Activity'!Q:Q)</f>
        <v>0</v>
      </c>
      <c r="W46" s="35">
        <f>SUMIF('Resource Demand - Activity'!$FT:$FT,Example!$G46,'Resource Demand - Activity'!R:R)</f>
        <v>0</v>
      </c>
      <c r="X46" s="35">
        <f>SUMIF('Resource Demand - Activity'!$FT:$FT,Example!$G46,'Resource Demand - Activity'!S:S)</f>
        <v>0</v>
      </c>
      <c r="Y46" s="35">
        <f>SUMIF('Resource Demand - Activity'!$FT:$FT,Example!$G46,'Resource Demand - Activity'!T:T)</f>
        <v>0</v>
      </c>
      <c r="Z46" s="35">
        <f>SUMIF('Resource Demand - Activity'!$FT:$FT,Example!$G46,'Resource Demand - Activity'!U:U)</f>
        <v>0</v>
      </c>
      <c r="AA46" s="35">
        <f>SUMIF('Resource Demand - Activity'!$FT:$FT,Example!$G46,'Resource Demand - Activity'!V:V)</f>
        <v>0</v>
      </c>
      <c r="AB46" s="35">
        <f>SUMIF('Resource Demand - Activity'!$FT:$FT,Example!$G46,'Resource Demand - Activity'!W:W)</f>
        <v>0</v>
      </c>
      <c r="AC46" s="35">
        <f>SUMIF('Resource Demand - Activity'!$FT:$FT,Example!$G46,'Resource Demand - Activity'!X:X)</f>
        <v>0</v>
      </c>
      <c r="AD46" s="35">
        <f>SUMIF('Resource Demand - Activity'!$FT:$FT,Example!$G46,'Resource Demand - Activity'!Y:Y)</f>
        <v>0</v>
      </c>
      <c r="AE46" s="35">
        <f>SUMIF('Resource Demand - Activity'!$FT:$FT,Example!$G46,'Resource Demand - Activity'!Z:Z)</f>
        <v>0</v>
      </c>
      <c r="AF46" s="35">
        <f>SUMIF('Resource Demand - Activity'!$FT:$FT,Example!$G46,'Resource Demand - Activity'!AA:AA)</f>
        <v>0</v>
      </c>
      <c r="AG46" s="35">
        <f>SUMIF('Resource Demand - Activity'!$FT:$FT,Example!$G46,'Resource Demand - Activity'!AB:AB)</f>
        <v>0</v>
      </c>
      <c r="AH46" s="35">
        <f>SUMIF('Resource Demand - Activity'!$FT:$FT,Example!$G46,'Resource Demand - Activity'!AC:AC)</f>
        <v>0</v>
      </c>
      <c r="AI46" s="35">
        <f>SUMIF('Resource Demand - Activity'!$FT:$FT,Example!$G46,'Resource Demand - Activity'!AD:AD)</f>
        <v>0</v>
      </c>
      <c r="AJ46" s="35">
        <f>SUMIF('Resource Demand - Activity'!$FT:$FT,Example!$G46,'Resource Demand - Activity'!AE:AE)</f>
        <v>0</v>
      </c>
      <c r="AK46" s="35">
        <f>SUMIF('Resource Demand - Activity'!$FT:$FT,Example!$G46,'Resource Demand - Activity'!AF:AF)</f>
        <v>0</v>
      </c>
      <c r="AL46" s="35">
        <f>SUMIF('Resource Demand - Activity'!$FT:$FT,Example!$G46,'Resource Demand - Activity'!AG:AG)</f>
        <v>0</v>
      </c>
      <c r="AM46" s="35">
        <f>SUMIF('Resource Demand - Activity'!$FT:$FT,Example!$G46,'Resource Demand - Activity'!AH:AH)</f>
        <v>0</v>
      </c>
      <c r="AN46" s="35">
        <f>SUMIF('Resource Demand - Activity'!$FT:$FT,Example!$G46,'Resource Demand - Activity'!AI:AI)</f>
        <v>0</v>
      </c>
      <c r="AO46" s="35">
        <f>SUMIF('Resource Demand - Activity'!$FT:$FT,Example!$G46,'Resource Demand - Activity'!AJ:AJ)</f>
        <v>0</v>
      </c>
      <c r="AP46" s="35">
        <f>SUMIF('Resource Demand - Activity'!$FT:$FT,Example!$G46,'Resource Demand - Activity'!AK:AK)</f>
        <v>0</v>
      </c>
      <c r="AQ46" s="36">
        <f>SUMIF('Resource Demand - Activity'!$FT:$FT,Example!$G46,'Resource Demand - Activity'!AL:AL)</f>
        <v>0</v>
      </c>
      <c r="AR46" s="36">
        <f>SUMIF('Resource Demand - Activity'!$FT:$FT,Example!$G46,'Resource Demand - Activity'!AM:AM)</f>
        <v>0</v>
      </c>
      <c r="AS46" s="36">
        <f>SUMIF('Resource Demand - Activity'!$FT:$FT,Example!$G46,'Resource Demand - Activity'!AN:AN)</f>
        <v>0</v>
      </c>
      <c r="AT46" s="36">
        <f>SUMIF('Resource Demand - Activity'!$FT:$FT,Example!$G46,'Resource Demand - Activity'!AO:AO)</f>
        <v>0</v>
      </c>
      <c r="AU46" s="36">
        <f>SUMIF('Resource Demand - Activity'!$FT:$FT,Example!$G46,'Resource Demand - Activity'!AP:AP)</f>
        <v>0</v>
      </c>
      <c r="AV46" s="36">
        <f>SUMIF('Resource Demand - Activity'!$FT:$FT,Example!$G46,'Resource Demand - Activity'!AQ:AQ)</f>
        <v>0</v>
      </c>
      <c r="AW46" s="36">
        <f>SUMIF('Resource Demand - Activity'!$FT:$FT,Example!$G46,'Resource Demand - Activity'!AR:AR)</f>
        <v>0</v>
      </c>
      <c r="AX46" s="35">
        <f>SUMIF('Resource Demand - Activity'!$FT:$FT,Example!$G46,'Resource Demand - Activity'!AS:AS)</f>
        <v>0</v>
      </c>
      <c r="AY46" s="35">
        <f>SUMIF('Resource Demand - Activity'!$FT:$FT,Example!$G46,'Resource Demand - Activity'!AT:AT)</f>
        <v>0</v>
      </c>
      <c r="AZ46" s="35">
        <f>SUMIF('Resource Demand - Activity'!$FT:$FT,Example!$G46,'Resource Demand - Activity'!AU:AU)</f>
        <v>0</v>
      </c>
      <c r="BA46" s="35">
        <f>SUMIF('Resource Demand - Activity'!$FT:$FT,Example!$G46,'Resource Demand - Activity'!AV:AV)</f>
        <v>0</v>
      </c>
      <c r="BB46" s="35">
        <f>SUMIF('Resource Demand - Activity'!$FT:$FT,Example!$G46,'Resource Demand - Activity'!AW:AW)</f>
        <v>0</v>
      </c>
      <c r="BC46" s="35">
        <f>SUMIF('Resource Demand - Activity'!$FT:$FT,Example!$G46,'Resource Demand - Activity'!AX:AX)</f>
        <v>0</v>
      </c>
      <c r="BD46" s="35">
        <f>SUMIF('Resource Demand - Activity'!$FT:$FT,Example!$G46,'Resource Demand - Activity'!AY:AY)</f>
        <v>0</v>
      </c>
      <c r="BE46" s="35">
        <f>SUMIF('Resource Demand - Activity'!$FT:$FT,Example!$G46,'Resource Demand - Activity'!AZ:AZ)</f>
        <v>0</v>
      </c>
      <c r="BF46" s="35">
        <f>SUMIF('Resource Demand - Activity'!$FT:$FT,Example!$G46,'Resource Demand - Activity'!BA:BA)</f>
        <v>0</v>
      </c>
      <c r="BG46" s="35">
        <f>SUMIF('Resource Demand - Activity'!$FT:$FT,Example!$G46,'Resource Demand - Activity'!BB:BB)</f>
        <v>0</v>
      </c>
      <c r="BH46" s="35">
        <f>SUMIF('Resource Demand - Activity'!$FT:$FT,Example!$G46,'Resource Demand - Activity'!BC:BC)</f>
        <v>0</v>
      </c>
      <c r="BI46" s="35">
        <f>SUMIF('Resource Demand - Activity'!$FT:$FT,Example!$G46,'Resource Demand - Activity'!BD:BD)</f>
        <v>0</v>
      </c>
      <c r="BJ46" s="35">
        <f>SUMIF('Resource Demand - Activity'!$FT:$FT,Example!$G46,'Resource Demand - Activity'!BE:BE)</f>
        <v>0</v>
      </c>
      <c r="BK46" s="35">
        <f>SUMIF('Resource Demand - Activity'!$FT:$FT,Example!$G46,'Resource Demand - Activity'!BF:BF)</f>
        <v>0</v>
      </c>
      <c r="BL46" s="35">
        <f>SUMIF('Resource Demand - Activity'!$FT:$FT,Example!$G46,'Resource Demand - Activity'!BG:BG)</f>
        <v>0</v>
      </c>
      <c r="BM46" s="35">
        <f>SUMIF('Resource Demand - Activity'!$FT:$FT,Example!$G46,'Resource Demand - Activity'!BH:BH)</f>
        <v>0</v>
      </c>
      <c r="BN46" s="35">
        <f>SUMIF('Resource Demand - Activity'!$FT:$FT,Example!$G46,'Resource Demand - Activity'!BI:BI)</f>
        <v>0</v>
      </c>
      <c r="BO46" s="35">
        <f>SUMIF('Resource Demand - Activity'!$FT:$FT,Example!$G46,'Resource Demand - Activity'!BJ:BJ)</f>
        <v>0</v>
      </c>
      <c r="BP46" s="35">
        <f>SUMIF('Resource Demand - Activity'!$FT:$FT,Example!$G46,'Resource Demand - Activity'!BK:BK)</f>
        <v>0</v>
      </c>
      <c r="BQ46" s="35">
        <f>SUMIF('Resource Demand - Activity'!$FT:$FT,Example!$G46,'Resource Demand - Activity'!BL:BL)</f>
        <v>0</v>
      </c>
      <c r="BR46" s="35">
        <f>SUMIF('Resource Demand - Activity'!$FT:$FT,Example!$G46,'Resource Demand - Activity'!BM:BM)</f>
        <v>0</v>
      </c>
      <c r="BS46" s="35">
        <f>SUMIF('Resource Demand - Activity'!$FT:$FT,Example!$G46,'Resource Demand - Activity'!BN:BN)</f>
        <v>0</v>
      </c>
      <c r="BT46" s="35">
        <f>SUMIF('Resource Demand - Activity'!$FT:$FT,Example!$G46,'Resource Demand - Activity'!BO:BO)</f>
        <v>0</v>
      </c>
      <c r="BU46" s="35">
        <f>SUMIF('Resource Demand - Activity'!$FT:$FT,Example!$G46,'Resource Demand - Activity'!BP:BP)</f>
        <v>0</v>
      </c>
      <c r="BV46" s="35">
        <f>SUMIF('Resource Demand - Activity'!$FT:$FT,Example!$G46,'Resource Demand - Activity'!BQ:BQ)</f>
        <v>0</v>
      </c>
      <c r="BW46" s="35">
        <f>SUMIF('Resource Demand - Activity'!$FT:$FT,Example!$G46,'Resource Demand - Activity'!BR:BR)</f>
        <v>0</v>
      </c>
      <c r="BX46" s="35">
        <f>SUMIF('Resource Demand - Activity'!$FT:$FT,Example!$G46,'Resource Demand - Activity'!BS:BS)</f>
        <v>0</v>
      </c>
      <c r="BY46" s="35">
        <f>SUMIF('Resource Demand - Activity'!$FT:$FT,Example!$G46,'Resource Demand - Activity'!BT:BT)</f>
        <v>0</v>
      </c>
      <c r="BZ46" s="35">
        <f>SUMIF('Resource Demand - Activity'!$FT:$FT,Example!$G46,'Resource Demand - Activity'!BU:BU)</f>
        <v>0</v>
      </c>
      <c r="CA46" s="35">
        <f>SUMIF('Resource Demand - Activity'!$FT:$FT,Example!$G46,'Resource Demand - Activity'!BV:BV)</f>
        <v>0</v>
      </c>
      <c r="CB46" s="35">
        <f>SUMIF('Resource Demand - Activity'!$FT:$FT,Example!$G46,'Resource Demand - Activity'!BW:BW)</f>
        <v>0</v>
      </c>
      <c r="CC46" s="35">
        <f>SUMIF('Resource Demand - Activity'!$FT:$FT,Example!$G46,'Resource Demand - Activity'!BX:BX)</f>
        <v>0</v>
      </c>
      <c r="CD46" s="35">
        <f>SUMIF('Resource Demand - Activity'!$FT:$FT,Example!$G46,'Resource Demand - Activity'!BY:BY)</f>
        <v>0</v>
      </c>
      <c r="CE46" s="35">
        <f>SUMIF('Resource Demand - Activity'!$FT:$FT,Example!$G46,'Resource Demand - Activity'!BZ:BZ)</f>
        <v>0</v>
      </c>
      <c r="CF46" s="35">
        <f>SUMIF('Resource Demand - Activity'!$FT:$FT,Example!$G46,'Resource Demand - Activity'!CA:CA)</f>
        <v>0</v>
      </c>
      <c r="CG46" s="35">
        <f>SUMIF('Resource Demand - Activity'!$FT:$FT,Example!$G46,'Resource Demand - Activity'!CB:CB)</f>
        <v>0.5</v>
      </c>
      <c r="CH46" s="35">
        <f>SUMIF('Resource Demand - Activity'!$FT:$FT,Example!$G46,'Resource Demand - Activity'!CC:CC)</f>
        <v>0</v>
      </c>
      <c r="CI46" s="35">
        <f>SUMIF('Resource Demand - Activity'!$FT:$FT,Example!$G46,'Resource Demand - Activity'!CD:CD)</f>
        <v>0</v>
      </c>
      <c r="CJ46" s="35">
        <f>SUMIF('Resource Demand - Activity'!$FT:$FT,Example!$G46,'Resource Demand - Activity'!CE:CE)</f>
        <v>0.5</v>
      </c>
      <c r="CK46" s="35">
        <f>SUMIF('Resource Demand - Activity'!$FT:$FT,Example!$G46,'Resource Demand - Activity'!CF:CF)</f>
        <v>0</v>
      </c>
      <c r="CL46" s="35">
        <f>SUMIF('Resource Demand - Activity'!$FT:$FT,Example!$G46,'Resource Demand - Activity'!CG:CG)</f>
        <v>0</v>
      </c>
      <c r="CM46" s="35">
        <f>SUMIF('Resource Demand - Activity'!$FT:$FT,Example!$G46,'Resource Demand - Activity'!CH:CH)</f>
        <v>0.5</v>
      </c>
      <c r="CN46" s="35">
        <f>SUMIF('Resource Demand - Activity'!$FT:$FT,Example!$G46,'Resource Demand - Activity'!CI:CI)</f>
        <v>0</v>
      </c>
      <c r="CO46" s="35">
        <f>SUMIF('Resource Demand - Activity'!$FT:$FT,Example!$G46,'Resource Demand - Activity'!CJ:CJ)</f>
        <v>0</v>
      </c>
      <c r="CP46" s="35">
        <f>SUMIF('Resource Demand - Activity'!$FT:$FT,Example!$G46,'Resource Demand - Activity'!CK:CK)</f>
        <v>0.5</v>
      </c>
      <c r="CQ46" s="35">
        <f>SUMIF('Resource Demand - Activity'!$FT:$FT,Example!$G46,'Resource Demand - Activity'!CL:CL)</f>
        <v>0</v>
      </c>
      <c r="CR46" s="35">
        <f>SUMIF('Resource Demand - Activity'!$FT:$FT,Example!$G46,'Resource Demand - Activity'!CM:CM)</f>
        <v>0</v>
      </c>
      <c r="CS46" s="35">
        <f>SUMIF('Resource Demand - Activity'!$FT:$FT,Example!$G46,'Resource Demand - Activity'!CN:CN)</f>
        <v>0.5</v>
      </c>
      <c r="CT46" s="35">
        <f>SUMIF('Resource Demand - Activity'!$FT:$FT,Example!$G46,'Resource Demand - Activity'!CO:CO)</f>
        <v>0</v>
      </c>
      <c r="CU46" s="35">
        <f>SUMIF('Resource Demand - Activity'!$FT:$FT,Example!$G46,'Resource Demand - Activity'!CP:CP)</f>
        <v>0</v>
      </c>
      <c r="CV46" s="35">
        <f>SUMIF('Resource Demand - Activity'!$FT:$FT,Example!$G46,'Resource Demand - Activity'!CQ:CQ)</f>
        <v>0</v>
      </c>
      <c r="CW46" s="35">
        <f>SUMIF('Resource Demand - Activity'!$FT:$FT,Example!$G46,'Resource Demand - Activity'!CR:CR)</f>
        <v>0</v>
      </c>
      <c r="CX46" s="35">
        <f>SUMIF('Resource Demand - Activity'!$FT:$FT,Example!$G46,'Resource Demand - Activity'!CS:CS)</f>
        <v>0</v>
      </c>
      <c r="CY46" s="36">
        <f>SUMIF('Resource Demand - Activity'!$FT:$FT,Example!$G46,'Resource Demand - Activity'!CT:CT)</f>
        <v>0</v>
      </c>
      <c r="CZ46" s="35">
        <f>SUMIF('Resource Demand - Activity'!$FT:$FT,Example!$G46,'Resource Demand - Activity'!CU:CU)</f>
        <v>0.5</v>
      </c>
      <c r="DA46" s="35">
        <f>SUMIF('Resource Demand - Activity'!$FT:$FT,Example!$G46,'Resource Demand - Activity'!CV:CV)</f>
        <v>0.5</v>
      </c>
      <c r="DB46" s="35">
        <f>SUMIF('Resource Demand - Activity'!$FT:$FT,Example!$G46,'Resource Demand - Activity'!CW:CW)</f>
        <v>0.5</v>
      </c>
      <c r="DC46" s="35">
        <f>SUMIF('Resource Demand - Activity'!$FT:$FT,Example!$G46,'Resource Demand - Activity'!CX:CX)</f>
        <v>0.5</v>
      </c>
      <c r="DD46" s="35">
        <f>SUMIF('Resource Demand - Activity'!$FT:$FT,Example!$G46,'Resource Demand - Activity'!CY:CY)</f>
        <v>0.5</v>
      </c>
      <c r="DE46" s="36">
        <f>SUMIF('Resource Demand - Activity'!$FT:$FT,Example!$G46,'Resource Demand - Activity'!CZ:CZ)</f>
        <v>0</v>
      </c>
      <c r="DF46" s="36">
        <f>SUMIF('Resource Demand - Activity'!$FT:$FT,Example!$G46,'Resource Demand - Activity'!DA:DA)</f>
        <v>0</v>
      </c>
      <c r="DG46" s="35">
        <f>SUMIF('Resource Demand - Activity'!$FT:$FT,Example!$G46,'Resource Demand - Activity'!DB:DB)</f>
        <v>0.5</v>
      </c>
      <c r="DH46" s="35">
        <f>SUMIF('Resource Demand - Activity'!$FT:$FT,Example!$G46,'Resource Demand - Activity'!DC:DC)</f>
        <v>0.5</v>
      </c>
      <c r="DI46" s="35">
        <f>SUMIF('Resource Demand - Activity'!$FT:$FT,Example!$G46,'Resource Demand - Activity'!DD:DD)</f>
        <v>0.5</v>
      </c>
      <c r="DJ46" s="35">
        <f>SUMIF('Resource Demand - Activity'!$FT:$FT,Example!$G46,'Resource Demand - Activity'!DE:DE)</f>
        <v>0.5</v>
      </c>
      <c r="DK46" s="35">
        <f>SUMIF('Resource Demand - Activity'!$FT:$FT,Example!$G46,'Resource Demand - Activity'!DF:DF)</f>
        <v>0.5</v>
      </c>
      <c r="DL46" s="35">
        <f>SUMIF('Resource Demand - Activity'!$FT:$FT,Example!$G46,'Resource Demand - Activity'!DG:DG)</f>
        <v>0</v>
      </c>
      <c r="DM46" s="35">
        <f>SUMIF('Resource Demand - Activity'!$FT:$FT,Example!$G46,'Resource Demand - Activity'!DH:DH)</f>
        <v>0</v>
      </c>
      <c r="DN46" s="35">
        <f>SUMIF('Resource Demand - Activity'!$FT:$FT,Example!$G46,'Resource Demand - Activity'!DI:DI)</f>
        <v>0</v>
      </c>
      <c r="DO46" s="35">
        <f>SUMIF('Resource Demand - Activity'!$FT:$FT,Example!$G46,'Resource Demand - Activity'!DJ:DJ)</f>
        <v>0</v>
      </c>
      <c r="DP46" s="35">
        <f>SUMIF('Resource Demand - Activity'!$FT:$FT,Example!$G46,'Resource Demand - Activity'!DK:DK)</f>
        <v>0</v>
      </c>
      <c r="DQ46" s="35">
        <f>SUMIF('Resource Demand - Activity'!$FT:$FT,Example!$G46,'Resource Demand - Activity'!DL:DL)</f>
        <v>0</v>
      </c>
      <c r="DR46" s="35">
        <f>SUMIF('Resource Demand - Activity'!$FT:$FT,Example!$G46,'Resource Demand - Activity'!DM:DM)</f>
        <v>0</v>
      </c>
      <c r="DS46" s="35">
        <f>SUMIF('Resource Demand - Activity'!$FT:$FT,Example!$G46,'Resource Demand - Activity'!DN:DN)</f>
        <v>0</v>
      </c>
      <c r="DT46" s="35">
        <f>SUMIF('Resource Demand - Activity'!$FT:$FT,Example!$G46,'Resource Demand - Activity'!DO:DO)</f>
        <v>0</v>
      </c>
      <c r="DU46" s="35">
        <f>SUMIF('Resource Demand - Activity'!$FT:$FT,Example!$G46,'Resource Demand - Activity'!DP:DP)</f>
        <v>0</v>
      </c>
      <c r="DV46" s="35">
        <f>SUMIF('Resource Demand - Activity'!$FT:$FT,Example!$G46,'Resource Demand - Activity'!DQ:DQ)</f>
        <v>0</v>
      </c>
      <c r="DW46" s="35">
        <f>SUMIF('Resource Demand - Activity'!$FT:$FT,Example!$G46,'Resource Demand - Activity'!DR:DR)</f>
        <v>0</v>
      </c>
      <c r="DX46" s="35">
        <f>SUMIF('Resource Demand - Activity'!$FT:$FT,Example!$G46,'Resource Demand - Activity'!DS:DS)</f>
        <v>0</v>
      </c>
      <c r="DY46" s="35">
        <f>SUMIF('Resource Demand - Activity'!$FT:$FT,Example!$G46,'Resource Demand - Activity'!DT:DT)</f>
        <v>0</v>
      </c>
      <c r="DZ46" s="35">
        <f>SUMIF('Resource Demand - Activity'!$FT:$FT,Example!$G46,'Resource Demand - Activity'!DU:DU)</f>
        <v>0</v>
      </c>
      <c r="EA46" s="35">
        <f>SUMIF('Resource Demand - Activity'!$FT:$FT,Example!$G46,'Resource Demand - Activity'!DV:DV)</f>
        <v>0</v>
      </c>
      <c r="EB46" s="35">
        <f>SUMIF('Resource Demand - Activity'!$FT:$FT,Example!$G46,'Resource Demand - Activity'!DW:DW)</f>
        <v>0</v>
      </c>
      <c r="EC46" s="35">
        <f>SUMIF('Resource Demand - Activity'!$FT:$FT,Example!$G46,'Resource Demand - Activity'!DX:DX)</f>
        <v>0</v>
      </c>
      <c r="ED46" s="35">
        <f>SUMIF('Resource Demand - Activity'!$FT:$FT,Example!$G46,'Resource Demand - Activity'!DY:DY)</f>
        <v>0</v>
      </c>
      <c r="EE46" s="36">
        <f>SUMIF('Resource Demand - Activity'!$FT:$FT,Example!$G46,'Resource Demand - Activity'!DZ:DZ)</f>
        <v>0</v>
      </c>
      <c r="EF46" s="35">
        <f>SUMIF('Resource Demand - Activity'!$FT:$FT,Example!$G46,'Resource Demand - Activity'!EA:EA)</f>
        <v>0</v>
      </c>
      <c r="EG46" s="35">
        <f>SUMIF('Resource Demand - Activity'!$FT:$FT,Example!$G46,'Resource Demand - Activity'!EB:EB)</f>
        <v>0</v>
      </c>
      <c r="EH46" s="35">
        <f>SUMIF('Resource Demand - Activity'!$FT:$FT,Example!$G46,'Resource Demand - Activity'!EC:EC)</f>
        <v>0</v>
      </c>
      <c r="EI46" s="35">
        <f>SUMIF('Resource Demand - Activity'!$FT:$FT,Example!$G46,'Resource Demand - Activity'!ED:ED)</f>
        <v>0</v>
      </c>
      <c r="EJ46" s="35">
        <f>SUMIF('Resource Demand - Activity'!$FT:$FT,Example!$G46,'Resource Demand - Activity'!EE:EE)</f>
        <v>0</v>
      </c>
      <c r="EK46" s="35">
        <f>SUMIF('Resource Demand - Activity'!$FT:$FT,Example!$G46,'Resource Demand - Activity'!EF:EF)</f>
        <v>0</v>
      </c>
      <c r="EL46" s="35">
        <f>SUMIF('Resource Demand - Activity'!$FT:$FT,Example!$G46,'Resource Demand - Activity'!EG:EG)</f>
        <v>0</v>
      </c>
      <c r="EM46" s="35">
        <f>SUMIF('Resource Demand - Activity'!$FT:$FT,Example!$G46,'Resource Demand - Activity'!EH:EH)</f>
        <v>0</v>
      </c>
      <c r="EN46" s="35">
        <f>SUMIF('Resource Demand - Activity'!$FT:$FT,Example!$G46,'Resource Demand - Activity'!EI:EI)</f>
        <v>0</v>
      </c>
      <c r="EO46" s="35">
        <f>SUMIF('Resource Demand - Activity'!$FT:$FT,Example!$G46,'Resource Demand - Activity'!EJ:EJ)</f>
        <v>0</v>
      </c>
      <c r="EP46" s="35">
        <f>SUMIF('Resource Demand - Activity'!$FT:$FT,Example!$G46,'Resource Demand - Activity'!EK:EK)</f>
        <v>0</v>
      </c>
      <c r="EQ46" s="35">
        <f>SUMIF('Resource Demand - Activity'!$FT:$FT,Example!$G46,'Resource Demand - Activity'!EL:EL)</f>
        <v>0</v>
      </c>
      <c r="ER46" s="35">
        <f>SUMIF('Resource Demand - Activity'!$FT:$FT,Example!$G46,'Resource Demand - Activity'!EM:EM)</f>
        <v>0</v>
      </c>
      <c r="ES46" s="35">
        <f>SUMIF('Resource Demand - Activity'!$FT:$FT,Example!$G46,'Resource Demand - Activity'!EN:EN)</f>
        <v>0</v>
      </c>
      <c r="ET46" s="35">
        <f>SUMIF('Resource Demand - Activity'!$FT:$FT,Example!$G46,'Resource Demand - Activity'!EO:EO)</f>
        <v>0</v>
      </c>
      <c r="EU46" s="35">
        <f>SUMIF('Resource Demand - Activity'!$FT:$FT,Example!$G46,'Resource Demand - Activity'!EP:EP)</f>
        <v>0</v>
      </c>
      <c r="EV46" s="35">
        <f>SUMIF('Resource Demand - Activity'!$FT:$FT,Example!$G46,'Resource Demand - Activity'!EQ:EQ)</f>
        <v>0</v>
      </c>
      <c r="EW46" s="35">
        <f>SUMIF('Resource Demand - Activity'!$FT:$FT,Example!$G46,'Resource Demand - Activity'!ER:ER)</f>
        <v>0</v>
      </c>
      <c r="EX46" s="35">
        <f>SUMIF('Resource Demand - Activity'!$FT:$FT,Example!$G46,'Resource Demand - Activity'!ES:ES)</f>
        <v>0</v>
      </c>
      <c r="EY46" s="35">
        <f>SUMIF('Resource Demand - Activity'!$FT:$FT,Example!$G46,'Resource Demand - Activity'!ET:ET)</f>
        <v>0</v>
      </c>
      <c r="EZ46" s="35">
        <f>SUMIF('Resource Demand - Activity'!$FT:$FT,Example!$G46,'Resource Demand - Activity'!EU:EU)</f>
        <v>0</v>
      </c>
      <c r="FA46" s="35">
        <f>SUMIF('Resource Demand - Activity'!$FT:$FT,Example!$G46,'Resource Demand - Activity'!EV:EV)</f>
        <v>0</v>
      </c>
      <c r="FB46" s="35">
        <f>SUMIF('Resource Demand - Activity'!$FT:$FT,Example!$G46,'Resource Demand - Activity'!EW:EW)</f>
        <v>0</v>
      </c>
      <c r="FC46" s="35">
        <f>SUMIF('Resource Demand - Activity'!$FT:$FT,Example!$G46,'Resource Demand - Activity'!EX:EX)</f>
        <v>0</v>
      </c>
      <c r="FD46" s="36">
        <f>SUMIF('Resource Demand - Activity'!$FT:$FT,Example!$G46,'Resource Demand - Activity'!EY:EY)</f>
        <v>0</v>
      </c>
      <c r="FE46" s="35">
        <f>SUMIF('Resource Demand - Activity'!$FT:$FT,Example!$G46,'Resource Demand - Activity'!EZ:EZ)</f>
        <v>0</v>
      </c>
      <c r="FF46" s="35">
        <f>SUMIF('Resource Demand - Activity'!$FT:$FT,Example!$G46,'Resource Demand - Activity'!FA:FA)</f>
        <v>0</v>
      </c>
      <c r="FG46" s="35">
        <f>SUMIF('Resource Demand - Activity'!$FT:$FT,Example!$G46,'Resource Demand - Activity'!FB:FB)</f>
        <v>0</v>
      </c>
      <c r="FH46" s="35">
        <f>SUMIF('Resource Demand - Activity'!$FT:$FT,Example!$G46,'Resource Demand - Activity'!FC:FC)</f>
        <v>0</v>
      </c>
      <c r="FI46" s="35">
        <f>SUMIF('Resource Demand - Activity'!$FT:$FT,Example!$G46,'Resource Demand - Activity'!FD:FD)</f>
        <v>0</v>
      </c>
      <c r="FJ46" s="35">
        <f>SUMIF('Resource Demand - Activity'!$FT:$FT,Example!$G46,'Resource Demand - Activity'!FE:FE)</f>
        <v>0</v>
      </c>
      <c r="FK46" s="35">
        <f>SUMIF('Resource Demand - Activity'!$FT:$FT,Example!$G46,'Resource Demand - Activity'!FF:FF)</f>
        <v>0</v>
      </c>
      <c r="FL46" s="35">
        <f>SUMIF('Resource Demand - Activity'!$FT:$FT,Example!$G46,'Resource Demand - Activity'!FG:FG)</f>
        <v>0</v>
      </c>
      <c r="FM46" s="35">
        <f>SUMIF('Resource Demand - Activity'!$FT:$FT,Example!$G46,'Resource Demand - Activity'!FH:FH)</f>
        <v>0</v>
      </c>
      <c r="FN46" s="35">
        <f>SUMIF('Resource Demand - Activity'!$FT:$FT,Example!$G46,'Resource Demand - Activity'!FI:FI)</f>
        <v>0</v>
      </c>
      <c r="FO46" s="35">
        <f>SUMIF('Resource Demand - Activity'!$FT:$FT,Example!$G46,'Resource Demand - Activity'!FJ:FJ)</f>
        <v>0</v>
      </c>
      <c r="FP46" s="35">
        <f>SUMIF('Resource Demand - Activity'!$FT:$FT,Example!$G46,'Resource Demand - Activity'!FK:FK)</f>
        <v>0</v>
      </c>
      <c r="FQ46" s="35">
        <f>SUMIF('Resource Demand - Activity'!$FT:$FT,Example!$G46,'Resource Demand - Activity'!FL:FL)</f>
        <v>0</v>
      </c>
      <c r="FR46" s="35">
        <f>SUMIF('Resource Demand - Activity'!$FT:$FT,Example!$G46,'Resource Demand - Activity'!FM:FM)</f>
        <v>0</v>
      </c>
      <c r="FS46" s="35">
        <f>SUMIF('Resource Demand - Activity'!$FT:$FT,Example!$G46,'Resource Demand - Activity'!FN:FN)</f>
        <v>0</v>
      </c>
      <c r="FT46" s="35">
        <f>SUMIF('Resource Demand - Activity'!$FT:$FT,Example!$G46,'Resource Demand - Activity'!FO:FO)</f>
        <v>0</v>
      </c>
      <c r="FU46" s="35">
        <f>SUMIF('Resource Demand - Activity'!$FT:$FT,Example!$G46,'Resource Demand - Activity'!FP:FP)</f>
        <v>0</v>
      </c>
      <c r="FV46" s="52">
        <f>SUMIF('Resource Demand - Activity'!$FT:$FT,Example!$G46,'Resource Demand - Activity'!FQ:FQ)</f>
        <v>0</v>
      </c>
    </row>
    <row r="47" spans="2:178" ht="12" customHeight="1">
      <c r="B47" s="148"/>
      <c r="C47" s="148"/>
      <c r="D47" s="148"/>
      <c r="E47" s="148"/>
      <c r="G47" s="64" t="str">
        <f t="shared" si="7"/>
        <v>8. NSTs/ECB Development &amp; Reporting 8.1 DevelopmentSenior Accountant</v>
      </c>
      <c r="H47" s="61" t="s">
        <v>153</v>
      </c>
      <c r="I47" s="59" t="str">
        <f>INDEX('Resource Demand - Activity'!C:C,MATCH(Example!G47,'Resource Demand - Activity'!FT:FT,0))</f>
        <v>18 days</v>
      </c>
      <c r="J47" s="51">
        <f>SUMIF('Resource Demand - Activity'!$FT:$FT,Example!$G47,'Resource Demand - Activity'!E:E)</f>
        <v>0</v>
      </c>
      <c r="K47" s="35">
        <f>SUMIF('Resource Demand - Activity'!$FT:$FT,Example!$G47,'Resource Demand - Activity'!F:F)</f>
        <v>0</v>
      </c>
      <c r="L47" s="35">
        <f>SUMIF('Resource Demand - Activity'!$FT:$FT,Example!$G47,'Resource Demand - Activity'!G:G)</f>
        <v>0</v>
      </c>
      <c r="M47" s="35">
        <f>SUMIF('Resource Demand - Activity'!$FT:$FT,Example!$G47,'Resource Demand - Activity'!H:H)</f>
        <v>0</v>
      </c>
      <c r="N47" s="35">
        <f>SUMIF('Resource Demand - Activity'!$FT:$FT,Example!$G47,'Resource Demand - Activity'!I:I)</f>
        <v>0</v>
      </c>
      <c r="O47" s="35">
        <f>SUMIF('Resource Demand - Activity'!$FT:$FT,Example!$G47,'Resource Demand - Activity'!J:J)</f>
        <v>0</v>
      </c>
      <c r="P47" s="35">
        <f>SUMIF('Resource Demand - Activity'!$FT:$FT,Example!$G47,'Resource Demand - Activity'!K:K)</f>
        <v>0</v>
      </c>
      <c r="Q47" s="35">
        <f>SUMIF('Resource Demand - Activity'!$FT:$FT,Example!$G47,'Resource Demand - Activity'!L:L)</f>
        <v>0</v>
      </c>
      <c r="R47" s="35">
        <f>SUMIF('Resource Demand - Activity'!$FT:$FT,Example!$G47,'Resource Demand - Activity'!M:M)</f>
        <v>0</v>
      </c>
      <c r="S47" s="35">
        <f>SUMIF('Resource Demand - Activity'!$FT:$FT,Example!$G47,'Resource Demand - Activity'!N:N)</f>
        <v>0</v>
      </c>
      <c r="T47" s="35">
        <f>SUMIF('Resource Demand - Activity'!$FT:$FT,Example!$G47,'Resource Demand - Activity'!O:O)</f>
        <v>0</v>
      </c>
      <c r="U47" s="35">
        <f>SUMIF('Resource Demand - Activity'!$FT:$FT,Example!$G47,'Resource Demand - Activity'!P:P)</f>
        <v>0</v>
      </c>
      <c r="V47" s="35">
        <f>SUMIF('Resource Demand - Activity'!$FT:$FT,Example!$G47,'Resource Demand - Activity'!Q:Q)</f>
        <v>0</v>
      </c>
      <c r="W47" s="35">
        <f>SUMIF('Resource Demand - Activity'!$FT:$FT,Example!$G47,'Resource Demand - Activity'!R:R)</f>
        <v>0</v>
      </c>
      <c r="X47" s="35">
        <f>SUMIF('Resource Demand - Activity'!$FT:$FT,Example!$G47,'Resource Demand - Activity'!S:S)</f>
        <v>0</v>
      </c>
      <c r="Y47" s="35">
        <f>SUMIF('Resource Demand - Activity'!$FT:$FT,Example!$G47,'Resource Demand - Activity'!T:T)</f>
        <v>0</v>
      </c>
      <c r="Z47" s="35">
        <f>SUMIF('Resource Demand - Activity'!$FT:$FT,Example!$G47,'Resource Demand - Activity'!U:U)</f>
        <v>1</v>
      </c>
      <c r="AA47" s="35">
        <f>SUMIF('Resource Demand - Activity'!$FT:$FT,Example!$G47,'Resource Demand - Activity'!V:V)</f>
        <v>1</v>
      </c>
      <c r="AB47" s="35">
        <f>SUMIF('Resource Demand - Activity'!$FT:$FT,Example!$G47,'Resource Demand - Activity'!W:W)</f>
        <v>1</v>
      </c>
      <c r="AC47" s="35">
        <f>SUMIF('Resource Demand - Activity'!$FT:$FT,Example!$G47,'Resource Demand - Activity'!X:X)</f>
        <v>1</v>
      </c>
      <c r="AD47" s="35">
        <f>SUMIF('Resource Demand - Activity'!$FT:$FT,Example!$G47,'Resource Demand - Activity'!Y:Y)</f>
        <v>0</v>
      </c>
      <c r="AE47" s="35">
        <f>SUMIF('Resource Demand - Activity'!$FT:$FT,Example!$G47,'Resource Demand - Activity'!Z:Z)</f>
        <v>1</v>
      </c>
      <c r="AF47" s="35">
        <f>SUMIF('Resource Demand - Activity'!$FT:$FT,Example!$G47,'Resource Demand - Activity'!AA:AA)</f>
        <v>1</v>
      </c>
      <c r="AG47" s="35">
        <f>SUMIF('Resource Demand - Activity'!$FT:$FT,Example!$G47,'Resource Demand - Activity'!AB:AB)</f>
        <v>1</v>
      </c>
      <c r="AH47" s="35">
        <f>SUMIF('Resource Demand - Activity'!$FT:$FT,Example!$G47,'Resource Demand - Activity'!AC:AC)</f>
        <v>1</v>
      </c>
      <c r="AI47" s="35">
        <f>SUMIF('Resource Demand - Activity'!$FT:$FT,Example!$G47,'Resource Demand - Activity'!AD:AD)</f>
        <v>0</v>
      </c>
      <c r="AJ47" s="35">
        <f>SUMIF('Resource Demand - Activity'!$FT:$FT,Example!$G47,'Resource Demand - Activity'!AE:AE)</f>
        <v>0</v>
      </c>
      <c r="AK47" s="35">
        <f>SUMIF('Resource Demand - Activity'!$FT:$FT,Example!$G47,'Resource Demand - Activity'!AF:AF)</f>
        <v>0</v>
      </c>
      <c r="AL47" s="35">
        <f>SUMIF('Resource Demand - Activity'!$FT:$FT,Example!$G47,'Resource Demand - Activity'!AG:AG)</f>
        <v>0</v>
      </c>
      <c r="AM47" s="35">
        <f>SUMIF('Resource Demand - Activity'!$FT:$FT,Example!$G47,'Resource Demand - Activity'!AH:AH)</f>
        <v>0</v>
      </c>
      <c r="AN47" s="35">
        <f>SUMIF('Resource Demand - Activity'!$FT:$FT,Example!$G47,'Resource Demand - Activity'!AI:AI)</f>
        <v>0</v>
      </c>
      <c r="AO47" s="35">
        <f>SUMIF('Resource Demand - Activity'!$FT:$FT,Example!$G47,'Resource Demand - Activity'!AJ:AJ)</f>
        <v>1</v>
      </c>
      <c r="AP47" s="35">
        <f>SUMIF('Resource Demand - Activity'!$FT:$FT,Example!$G47,'Resource Demand - Activity'!AK:AK)</f>
        <v>1</v>
      </c>
      <c r="AQ47" s="36">
        <f>SUMIF('Resource Demand - Activity'!$FT:$FT,Example!$G47,'Resource Demand - Activity'!AL:AL)</f>
        <v>0</v>
      </c>
      <c r="AR47" s="36">
        <f>SUMIF('Resource Demand - Activity'!$FT:$FT,Example!$G47,'Resource Demand - Activity'!AM:AM)</f>
        <v>0</v>
      </c>
      <c r="AS47" s="36">
        <f>SUMIF('Resource Demand - Activity'!$FT:$FT,Example!$G47,'Resource Demand - Activity'!AN:AN)</f>
        <v>0</v>
      </c>
      <c r="AT47" s="36">
        <f>SUMIF('Resource Demand - Activity'!$FT:$FT,Example!$G47,'Resource Demand - Activity'!AO:AO)</f>
        <v>0</v>
      </c>
      <c r="AU47" s="36">
        <f>SUMIF('Resource Demand - Activity'!$FT:$FT,Example!$G47,'Resource Demand - Activity'!AP:AP)</f>
        <v>0</v>
      </c>
      <c r="AV47" s="36">
        <f>SUMIF('Resource Demand - Activity'!$FT:$FT,Example!$G47,'Resource Demand - Activity'!AQ:AQ)</f>
        <v>0</v>
      </c>
      <c r="AW47" s="36">
        <f>SUMIF('Resource Demand - Activity'!$FT:$FT,Example!$G47,'Resource Demand - Activity'!AR:AR)</f>
        <v>0</v>
      </c>
      <c r="AX47" s="35">
        <f>SUMIF('Resource Demand - Activity'!$FT:$FT,Example!$G47,'Resource Demand - Activity'!AS:AS)</f>
        <v>0</v>
      </c>
      <c r="AY47" s="35">
        <f>SUMIF('Resource Demand - Activity'!$FT:$FT,Example!$G47,'Resource Demand - Activity'!AT:AT)</f>
        <v>0</v>
      </c>
      <c r="AZ47" s="35">
        <f>SUMIF('Resource Demand - Activity'!$FT:$FT,Example!$G47,'Resource Demand - Activity'!AU:AU)</f>
        <v>0</v>
      </c>
      <c r="BA47" s="35">
        <f>SUMIF('Resource Demand - Activity'!$FT:$FT,Example!$G47,'Resource Demand - Activity'!AV:AV)</f>
        <v>1</v>
      </c>
      <c r="BB47" s="35">
        <f>SUMIF('Resource Demand - Activity'!$FT:$FT,Example!$G47,'Resource Demand - Activity'!AW:AW)</f>
        <v>1</v>
      </c>
      <c r="BC47" s="35">
        <f>SUMIF('Resource Demand - Activity'!$FT:$FT,Example!$G47,'Resource Demand - Activity'!AX:AX)</f>
        <v>1</v>
      </c>
      <c r="BD47" s="35">
        <f>SUMIF('Resource Demand - Activity'!$FT:$FT,Example!$G47,'Resource Demand - Activity'!AY:AY)</f>
        <v>0</v>
      </c>
      <c r="BE47" s="35">
        <f>SUMIF('Resource Demand - Activity'!$FT:$FT,Example!$G47,'Resource Demand - Activity'!AZ:AZ)</f>
        <v>0</v>
      </c>
      <c r="BF47" s="35">
        <f>SUMIF('Resource Demand - Activity'!$FT:$FT,Example!$G47,'Resource Demand - Activity'!BA:BA)</f>
        <v>0</v>
      </c>
      <c r="BG47" s="35">
        <f>SUMIF('Resource Demand - Activity'!$FT:$FT,Example!$G47,'Resource Demand - Activity'!BB:BB)</f>
        <v>0</v>
      </c>
      <c r="BH47" s="35">
        <f>SUMIF('Resource Demand - Activity'!$FT:$FT,Example!$G47,'Resource Demand - Activity'!BC:BC)</f>
        <v>0</v>
      </c>
      <c r="BI47" s="35">
        <f>SUMIF('Resource Demand - Activity'!$FT:$FT,Example!$G47,'Resource Demand - Activity'!BD:BD)</f>
        <v>0</v>
      </c>
      <c r="BJ47" s="35">
        <f>SUMIF('Resource Demand - Activity'!$FT:$FT,Example!$G47,'Resource Demand - Activity'!BE:BE)</f>
        <v>0</v>
      </c>
      <c r="BK47" s="35">
        <f>SUMIF('Resource Demand - Activity'!$FT:$FT,Example!$G47,'Resource Demand - Activity'!BF:BF)</f>
        <v>0</v>
      </c>
      <c r="BL47" s="35">
        <f>SUMIF('Resource Demand - Activity'!$FT:$FT,Example!$G47,'Resource Demand - Activity'!BG:BG)</f>
        <v>0</v>
      </c>
      <c r="BM47" s="35">
        <f>SUMIF('Resource Demand - Activity'!$FT:$FT,Example!$G47,'Resource Demand - Activity'!BH:BH)</f>
        <v>0</v>
      </c>
      <c r="BN47" s="35">
        <f>SUMIF('Resource Demand - Activity'!$FT:$FT,Example!$G47,'Resource Demand - Activity'!BI:BI)</f>
        <v>0</v>
      </c>
      <c r="BO47" s="35">
        <f>SUMIF('Resource Demand - Activity'!$FT:$FT,Example!$G47,'Resource Demand - Activity'!BJ:BJ)</f>
        <v>0</v>
      </c>
      <c r="BP47" s="35">
        <f>SUMIF('Resource Demand - Activity'!$FT:$FT,Example!$G47,'Resource Demand - Activity'!BK:BK)</f>
        <v>0</v>
      </c>
      <c r="BQ47" s="35">
        <f>SUMIF('Resource Demand - Activity'!$FT:$FT,Example!$G47,'Resource Demand - Activity'!BL:BL)</f>
        <v>0</v>
      </c>
      <c r="BR47" s="35">
        <f>SUMIF('Resource Demand - Activity'!$FT:$FT,Example!$G47,'Resource Demand - Activity'!BM:BM)</f>
        <v>0</v>
      </c>
      <c r="BS47" s="35">
        <f>SUMIF('Resource Demand - Activity'!$FT:$FT,Example!$G47,'Resource Demand - Activity'!BN:BN)</f>
        <v>0</v>
      </c>
      <c r="BT47" s="35">
        <f>SUMIF('Resource Demand - Activity'!$FT:$FT,Example!$G47,'Resource Demand - Activity'!BO:BO)</f>
        <v>0</v>
      </c>
      <c r="BU47" s="35">
        <f>SUMIF('Resource Demand - Activity'!$FT:$FT,Example!$G47,'Resource Demand - Activity'!BP:BP)</f>
        <v>0</v>
      </c>
      <c r="BV47" s="35">
        <f>SUMIF('Resource Demand - Activity'!$FT:$FT,Example!$G47,'Resource Demand - Activity'!BQ:BQ)</f>
        <v>0</v>
      </c>
      <c r="BW47" s="35">
        <f>SUMIF('Resource Demand - Activity'!$FT:$FT,Example!$G47,'Resource Demand - Activity'!BR:BR)</f>
        <v>0</v>
      </c>
      <c r="BX47" s="35">
        <f>SUMIF('Resource Demand - Activity'!$FT:$FT,Example!$G47,'Resource Demand - Activity'!BS:BS)</f>
        <v>0</v>
      </c>
      <c r="BY47" s="35">
        <f>SUMIF('Resource Demand - Activity'!$FT:$FT,Example!$G47,'Resource Demand - Activity'!BT:BT)</f>
        <v>0</v>
      </c>
      <c r="BZ47" s="35">
        <f>SUMIF('Resource Demand - Activity'!$FT:$FT,Example!$G47,'Resource Demand - Activity'!BU:BU)</f>
        <v>0</v>
      </c>
      <c r="CA47" s="35">
        <f>SUMIF('Resource Demand - Activity'!$FT:$FT,Example!$G47,'Resource Demand - Activity'!BV:BV)</f>
        <v>0</v>
      </c>
      <c r="CB47" s="35">
        <f>SUMIF('Resource Demand - Activity'!$FT:$FT,Example!$G47,'Resource Demand - Activity'!BW:BW)</f>
        <v>1</v>
      </c>
      <c r="CC47" s="35">
        <f>SUMIF('Resource Demand - Activity'!$FT:$FT,Example!$G47,'Resource Demand - Activity'!BX:BX)</f>
        <v>1</v>
      </c>
      <c r="CD47" s="35">
        <f>SUMIF('Resource Demand - Activity'!$FT:$FT,Example!$G47,'Resource Demand - Activity'!BY:BY)</f>
        <v>1</v>
      </c>
      <c r="CE47" s="35">
        <f>SUMIF('Resource Demand - Activity'!$FT:$FT,Example!$G47,'Resource Demand - Activity'!BZ:BZ)</f>
        <v>1</v>
      </c>
      <c r="CF47" s="35">
        <f>SUMIF('Resource Demand - Activity'!$FT:$FT,Example!$G47,'Resource Demand - Activity'!CA:CA)</f>
        <v>1</v>
      </c>
      <c r="CG47" s="35">
        <f>SUMIF('Resource Demand - Activity'!$FT:$FT,Example!$G47,'Resource Demand - Activity'!CB:CB)</f>
        <v>0</v>
      </c>
      <c r="CH47" s="35">
        <f>SUMIF('Resource Demand - Activity'!$FT:$FT,Example!$G47,'Resource Demand - Activity'!CC:CC)</f>
        <v>0</v>
      </c>
      <c r="CI47" s="35">
        <f>SUMIF('Resource Demand - Activity'!$FT:$FT,Example!$G47,'Resource Demand - Activity'!CD:CD)</f>
        <v>0</v>
      </c>
      <c r="CJ47" s="35">
        <f>SUMIF('Resource Demand - Activity'!$FT:$FT,Example!$G47,'Resource Demand - Activity'!CE:CE)</f>
        <v>0</v>
      </c>
      <c r="CK47" s="35">
        <f>SUMIF('Resource Demand - Activity'!$FT:$FT,Example!$G47,'Resource Demand - Activity'!CF:CF)</f>
        <v>0</v>
      </c>
      <c r="CL47" s="35">
        <f>SUMIF('Resource Demand - Activity'!$FT:$FT,Example!$G47,'Resource Demand - Activity'!CG:CG)</f>
        <v>0</v>
      </c>
      <c r="CM47" s="35">
        <f>SUMIF('Resource Demand - Activity'!$FT:$FT,Example!$G47,'Resource Demand - Activity'!CH:CH)</f>
        <v>0</v>
      </c>
      <c r="CN47" s="35">
        <f>SUMIF('Resource Demand - Activity'!$FT:$FT,Example!$G47,'Resource Demand - Activity'!CI:CI)</f>
        <v>0</v>
      </c>
      <c r="CO47" s="35">
        <f>SUMIF('Resource Demand - Activity'!$FT:$FT,Example!$G47,'Resource Demand - Activity'!CJ:CJ)</f>
        <v>0</v>
      </c>
      <c r="CP47" s="35">
        <f>SUMIF('Resource Demand - Activity'!$FT:$FT,Example!$G47,'Resource Demand - Activity'!CK:CK)</f>
        <v>0</v>
      </c>
      <c r="CQ47" s="35">
        <f>SUMIF('Resource Demand - Activity'!$FT:$FT,Example!$G47,'Resource Demand - Activity'!CL:CL)</f>
        <v>0</v>
      </c>
      <c r="CR47" s="35">
        <f>SUMIF('Resource Demand - Activity'!$FT:$FT,Example!$G47,'Resource Demand - Activity'!CM:CM)</f>
        <v>0</v>
      </c>
      <c r="CS47" s="35">
        <f>SUMIF('Resource Demand - Activity'!$FT:$FT,Example!$G47,'Resource Demand - Activity'!CN:CN)</f>
        <v>0</v>
      </c>
      <c r="CT47" s="35">
        <f>SUMIF('Resource Demand - Activity'!$FT:$FT,Example!$G47,'Resource Demand - Activity'!CO:CO)</f>
        <v>0</v>
      </c>
      <c r="CU47" s="35">
        <f>SUMIF('Resource Demand - Activity'!$FT:$FT,Example!$G47,'Resource Demand - Activity'!CP:CP)</f>
        <v>0</v>
      </c>
      <c r="CV47" s="35">
        <f>SUMIF('Resource Demand - Activity'!$FT:$FT,Example!$G47,'Resource Demand - Activity'!CQ:CQ)</f>
        <v>0</v>
      </c>
      <c r="CW47" s="35">
        <f>SUMIF('Resource Demand - Activity'!$FT:$FT,Example!$G47,'Resource Demand - Activity'!CR:CR)</f>
        <v>0</v>
      </c>
      <c r="CX47" s="35">
        <f>SUMIF('Resource Demand - Activity'!$FT:$FT,Example!$G47,'Resource Demand - Activity'!CS:CS)</f>
        <v>0</v>
      </c>
      <c r="CY47" s="36">
        <f>SUMIF('Resource Demand - Activity'!$FT:$FT,Example!$G47,'Resource Demand - Activity'!CT:CT)</f>
        <v>0</v>
      </c>
      <c r="CZ47" s="35">
        <f>SUMIF('Resource Demand - Activity'!$FT:$FT,Example!$G47,'Resource Demand - Activity'!CU:CU)</f>
        <v>0</v>
      </c>
      <c r="DA47" s="35">
        <f>SUMIF('Resource Demand - Activity'!$FT:$FT,Example!$G47,'Resource Demand - Activity'!CV:CV)</f>
        <v>0</v>
      </c>
      <c r="DB47" s="35">
        <f>SUMIF('Resource Demand - Activity'!$FT:$FT,Example!$G47,'Resource Demand - Activity'!CW:CW)</f>
        <v>0</v>
      </c>
      <c r="DC47" s="35">
        <f>SUMIF('Resource Demand - Activity'!$FT:$FT,Example!$G47,'Resource Demand - Activity'!CX:CX)</f>
        <v>0</v>
      </c>
      <c r="DD47" s="35">
        <f>SUMIF('Resource Demand - Activity'!$FT:$FT,Example!$G47,'Resource Demand - Activity'!CY:CY)</f>
        <v>0</v>
      </c>
      <c r="DE47" s="36">
        <f>SUMIF('Resource Demand - Activity'!$FT:$FT,Example!$G47,'Resource Demand - Activity'!CZ:CZ)</f>
        <v>0</v>
      </c>
      <c r="DF47" s="36">
        <f>SUMIF('Resource Demand - Activity'!$FT:$FT,Example!$G47,'Resource Demand - Activity'!DA:DA)</f>
        <v>0</v>
      </c>
      <c r="DG47" s="35">
        <f>SUMIF('Resource Demand - Activity'!$FT:$FT,Example!$G47,'Resource Demand - Activity'!DB:DB)</f>
        <v>0</v>
      </c>
      <c r="DH47" s="35">
        <f>SUMIF('Resource Demand - Activity'!$FT:$FT,Example!$G47,'Resource Demand - Activity'!DC:DC)</f>
        <v>0</v>
      </c>
      <c r="DI47" s="35">
        <f>SUMIF('Resource Demand - Activity'!$FT:$FT,Example!$G47,'Resource Demand - Activity'!DD:DD)</f>
        <v>0</v>
      </c>
      <c r="DJ47" s="35">
        <f>SUMIF('Resource Demand - Activity'!$FT:$FT,Example!$G47,'Resource Demand - Activity'!DE:DE)</f>
        <v>0</v>
      </c>
      <c r="DK47" s="35">
        <f>SUMIF('Resource Demand - Activity'!$FT:$FT,Example!$G47,'Resource Demand - Activity'!DF:DF)</f>
        <v>0</v>
      </c>
      <c r="DL47" s="35">
        <f>SUMIF('Resource Demand - Activity'!$FT:$FT,Example!$G47,'Resource Demand - Activity'!DG:DG)</f>
        <v>0</v>
      </c>
      <c r="DM47" s="35">
        <f>SUMIF('Resource Demand - Activity'!$FT:$FT,Example!$G47,'Resource Demand - Activity'!DH:DH)</f>
        <v>0</v>
      </c>
      <c r="DN47" s="35">
        <f>SUMIF('Resource Demand - Activity'!$FT:$FT,Example!$G47,'Resource Demand - Activity'!DI:DI)</f>
        <v>0</v>
      </c>
      <c r="DO47" s="35">
        <f>SUMIF('Resource Demand - Activity'!$FT:$FT,Example!$G47,'Resource Demand - Activity'!DJ:DJ)</f>
        <v>0</v>
      </c>
      <c r="DP47" s="35">
        <f>SUMIF('Resource Demand - Activity'!$FT:$FT,Example!$G47,'Resource Demand - Activity'!DK:DK)</f>
        <v>0</v>
      </c>
      <c r="DQ47" s="35">
        <f>SUMIF('Resource Demand - Activity'!$FT:$FT,Example!$G47,'Resource Demand - Activity'!DL:DL)</f>
        <v>0</v>
      </c>
      <c r="DR47" s="35">
        <f>SUMIF('Resource Demand - Activity'!$FT:$FT,Example!$G47,'Resource Demand - Activity'!DM:DM)</f>
        <v>0</v>
      </c>
      <c r="DS47" s="35">
        <f>SUMIF('Resource Demand - Activity'!$FT:$FT,Example!$G47,'Resource Demand - Activity'!DN:DN)</f>
        <v>0</v>
      </c>
      <c r="DT47" s="35">
        <f>SUMIF('Resource Demand - Activity'!$FT:$FT,Example!$G47,'Resource Demand - Activity'!DO:DO)</f>
        <v>0</v>
      </c>
      <c r="DU47" s="35">
        <f>SUMIF('Resource Demand - Activity'!$FT:$FT,Example!$G47,'Resource Demand - Activity'!DP:DP)</f>
        <v>0</v>
      </c>
      <c r="DV47" s="35">
        <f>SUMIF('Resource Demand - Activity'!$FT:$FT,Example!$G47,'Resource Demand - Activity'!DQ:DQ)</f>
        <v>0</v>
      </c>
      <c r="DW47" s="35">
        <f>SUMIF('Resource Demand - Activity'!$FT:$FT,Example!$G47,'Resource Demand - Activity'!DR:DR)</f>
        <v>0</v>
      </c>
      <c r="DX47" s="35">
        <f>SUMIF('Resource Demand - Activity'!$FT:$FT,Example!$G47,'Resource Demand - Activity'!DS:DS)</f>
        <v>0</v>
      </c>
      <c r="DY47" s="35">
        <f>SUMIF('Resource Demand - Activity'!$FT:$FT,Example!$G47,'Resource Demand - Activity'!DT:DT)</f>
        <v>0</v>
      </c>
      <c r="DZ47" s="35">
        <f>SUMIF('Resource Demand - Activity'!$FT:$FT,Example!$G47,'Resource Demand - Activity'!DU:DU)</f>
        <v>0</v>
      </c>
      <c r="EA47" s="35">
        <f>SUMIF('Resource Demand - Activity'!$FT:$FT,Example!$G47,'Resource Demand - Activity'!DV:DV)</f>
        <v>0</v>
      </c>
      <c r="EB47" s="35">
        <f>SUMIF('Resource Demand - Activity'!$FT:$FT,Example!$G47,'Resource Demand - Activity'!DW:DW)</f>
        <v>0</v>
      </c>
      <c r="EC47" s="35">
        <f>SUMIF('Resource Demand - Activity'!$FT:$FT,Example!$G47,'Resource Demand - Activity'!DX:DX)</f>
        <v>0</v>
      </c>
      <c r="ED47" s="35">
        <f>SUMIF('Resource Demand - Activity'!$FT:$FT,Example!$G47,'Resource Demand - Activity'!DY:DY)</f>
        <v>0</v>
      </c>
      <c r="EE47" s="36">
        <f>SUMIF('Resource Demand - Activity'!$FT:$FT,Example!$G47,'Resource Demand - Activity'!DZ:DZ)</f>
        <v>0</v>
      </c>
      <c r="EF47" s="35">
        <f>SUMIF('Resource Demand - Activity'!$FT:$FT,Example!$G47,'Resource Demand - Activity'!EA:EA)</f>
        <v>0</v>
      </c>
      <c r="EG47" s="35">
        <f>SUMIF('Resource Demand - Activity'!$FT:$FT,Example!$G47,'Resource Demand - Activity'!EB:EB)</f>
        <v>0</v>
      </c>
      <c r="EH47" s="35">
        <f>SUMIF('Resource Demand - Activity'!$FT:$FT,Example!$G47,'Resource Demand - Activity'!EC:EC)</f>
        <v>0</v>
      </c>
      <c r="EI47" s="35">
        <f>SUMIF('Resource Demand - Activity'!$FT:$FT,Example!$G47,'Resource Demand - Activity'!ED:ED)</f>
        <v>0</v>
      </c>
      <c r="EJ47" s="35">
        <f>SUMIF('Resource Demand - Activity'!$FT:$FT,Example!$G47,'Resource Demand - Activity'!EE:EE)</f>
        <v>0</v>
      </c>
      <c r="EK47" s="35">
        <f>SUMIF('Resource Demand - Activity'!$FT:$FT,Example!$G47,'Resource Demand - Activity'!EF:EF)</f>
        <v>0</v>
      </c>
      <c r="EL47" s="35">
        <f>SUMIF('Resource Demand - Activity'!$FT:$FT,Example!$G47,'Resource Demand - Activity'!EG:EG)</f>
        <v>0</v>
      </c>
      <c r="EM47" s="35">
        <f>SUMIF('Resource Demand - Activity'!$FT:$FT,Example!$G47,'Resource Demand - Activity'!EH:EH)</f>
        <v>0</v>
      </c>
      <c r="EN47" s="35">
        <f>SUMIF('Resource Demand - Activity'!$FT:$FT,Example!$G47,'Resource Demand - Activity'!EI:EI)</f>
        <v>0</v>
      </c>
      <c r="EO47" s="35">
        <f>SUMIF('Resource Demand - Activity'!$FT:$FT,Example!$G47,'Resource Demand - Activity'!EJ:EJ)</f>
        <v>0</v>
      </c>
      <c r="EP47" s="35">
        <f>SUMIF('Resource Demand - Activity'!$FT:$FT,Example!$G47,'Resource Demand - Activity'!EK:EK)</f>
        <v>0</v>
      </c>
      <c r="EQ47" s="35">
        <f>SUMIF('Resource Demand - Activity'!$FT:$FT,Example!$G47,'Resource Demand - Activity'!EL:EL)</f>
        <v>0</v>
      </c>
      <c r="ER47" s="35">
        <f>SUMIF('Resource Demand - Activity'!$FT:$FT,Example!$G47,'Resource Demand - Activity'!EM:EM)</f>
        <v>0</v>
      </c>
      <c r="ES47" s="35">
        <f>SUMIF('Resource Demand - Activity'!$FT:$FT,Example!$G47,'Resource Demand - Activity'!EN:EN)</f>
        <v>0</v>
      </c>
      <c r="ET47" s="35">
        <f>SUMIF('Resource Demand - Activity'!$FT:$FT,Example!$G47,'Resource Demand - Activity'!EO:EO)</f>
        <v>0</v>
      </c>
      <c r="EU47" s="35">
        <f>SUMIF('Resource Demand - Activity'!$FT:$FT,Example!$G47,'Resource Demand - Activity'!EP:EP)</f>
        <v>0</v>
      </c>
      <c r="EV47" s="35">
        <f>SUMIF('Resource Demand - Activity'!$FT:$FT,Example!$G47,'Resource Demand - Activity'!EQ:EQ)</f>
        <v>0</v>
      </c>
      <c r="EW47" s="35">
        <f>SUMIF('Resource Demand - Activity'!$FT:$FT,Example!$G47,'Resource Demand - Activity'!ER:ER)</f>
        <v>0</v>
      </c>
      <c r="EX47" s="35">
        <f>SUMIF('Resource Demand - Activity'!$FT:$FT,Example!$G47,'Resource Demand - Activity'!ES:ES)</f>
        <v>0</v>
      </c>
      <c r="EY47" s="35">
        <f>SUMIF('Resource Demand - Activity'!$FT:$FT,Example!$G47,'Resource Demand - Activity'!ET:ET)</f>
        <v>0</v>
      </c>
      <c r="EZ47" s="35">
        <f>SUMIF('Resource Demand - Activity'!$FT:$FT,Example!$G47,'Resource Demand - Activity'!EU:EU)</f>
        <v>0</v>
      </c>
      <c r="FA47" s="35">
        <f>SUMIF('Resource Demand - Activity'!$FT:$FT,Example!$G47,'Resource Demand - Activity'!EV:EV)</f>
        <v>0</v>
      </c>
      <c r="FB47" s="35">
        <f>SUMIF('Resource Demand - Activity'!$FT:$FT,Example!$G47,'Resource Demand - Activity'!EW:EW)</f>
        <v>0</v>
      </c>
      <c r="FC47" s="35">
        <f>SUMIF('Resource Demand - Activity'!$FT:$FT,Example!$G47,'Resource Demand - Activity'!EX:EX)</f>
        <v>0</v>
      </c>
      <c r="FD47" s="36">
        <f>SUMIF('Resource Demand - Activity'!$FT:$FT,Example!$G47,'Resource Demand - Activity'!EY:EY)</f>
        <v>0</v>
      </c>
      <c r="FE47" s="35">
        <f>SUMIF('Resource Demand - Activity'!$FT:$FT,Example!$G47,'Resource Demand - Activity'!EZ:EZ)</f>
        <v>0</v>
      </c>
      <c r="FF47" s="35">
        <f>SUMIF('Resource Demand - Activity'!$FT:$FT,Example!$G47,'Resource Demand - Activity'!FA:FA)</f>
        <v>0</v>
      </c>
      <c r="FG47" s="35">
        <f>SUMIF('Resource Demand - Activity'!$FT:$FT,Example!$G47,'Resource Demand - Activity'!FB:FB)</f>
        <v>0</v>
      </c>
      <c r="FH47" s="35">
        <f>SUMIF('Resource Demand - Activity'!$FT:$FT,Example!$G47,'Resource Demand - Activity'!FC:FC)</f>
        <v>0</v>
      </c>
      <c r="FI47" s="35">
        <f>SUMIF('Resource Demand - Activity'!$FT:$FT,Example!$G47,'Resource Demand - Activity'!FD:FD)</f>
        <v>0</v>
      </c>
      <c r="FJ47" s="35">
        <f>SUMIF('Resource Demand - Activity'!$FT:$FT,Example!$G47,'Resource Demand - Activity'!FE:FE)</f>
        <v>0</v>
      </c>
      <c r="FK47" s="35">
        <f>SUMIF('Resource Demand - Activity'!$FT:$FT,Example!$G47,'Resource Demand - Activity'!FF:FF)</f>
        <v>0</v>
      </c>
      <c r="FL47" s="35">
        <f>SUMIF('Resource Demand - Activity'!$FT:$FT,Example!$G47,'Resource Demand - Activity'!FG:FG)</f>
        <v>0</v>
      </c>
      <c r="FM47" s="35">
        <f>SUMIF('Resource Demand - Activity'!$FT:$FT,Example!$G47,'Resource Demand - Activity'!FH:FH)</f>
        <v>0</v>
      </c>
      <c r="FN47" s="35">
        <f>SUMIF('Resource Demand - Activity'!$FT:$FT,Example!$G47,'Resource Demand - Activity'!FI:FI)</f>
        <v>0</v>
      </c>
      <c r="FO47" s="35">
        <f>SUMIF('Resource Demand - Activity'!$FT:$FT,Example!$G47,'Resource Demand - Activity'!FJ:FJ)</f>
        <v>0</v>
      </c>
      <c r="FP47" s="35">
        <f>SUMIF('Resource Demand - Activity'!$FT:$FT,Example!$G47,'Resource Demand - Activity'!FK:FK)</f>
        <v>0</v>
      </c>
      <c r="FQ47" s="35">
        <f>SUMIF('Resource Demand - Activity'!$FT:$FT,Example!$G47,'Resource Demand - Activity'!FL:FL)</f>
        <v>0</v>
      </c>
      <c r="FR47" s="35">
        <f>SUMIF('Resource Demand - Activity'!$FT:$FT,Example!$G47,'Resource Demand - Activity'!FM:FM)</f>
        <v>0</v>
      </c>
      <c r="FS47" s="35">
        <f>SUMIF('Resource Demand - Activity'!$FT:$FT,Example!$G47,'Resource Demand - Activity'!FN:FN)</f>
        <v>0</v>
      </c>
      <c r="FT47" s="35">
        <f>SUMIF('Resource Demand - Activity'!$FT:$FT,Example!$G47,'Resource Demand - Activity'!FO:FO)</f>
        <v>0</v>
      </c>
      <c r="FU47" s="35">
        <f>SUMIF('Resource Demand - Activity'!$FT:$FT,Example!$G47,'Resource Demand - Activity'!FP:FP)</f>
        <v>0</v>
      </c>
      <c r="FV47" s="52">
        <f>SUMIF('Resource Demand - Activity'!$FT:$FT,Example!$G47,'Resource Demand - Activity'!FQ:FQ)</f>
        <v>0</v>
      </c>
    </row>
    <row r="48" spans="2:178" ht="12" customHeight="1">
      <c r="B48" s="147" t="s">
        <v>9</v>
      </c>
      <c r="C48" s="72">
        <v>2015</v>
      </c>
      <c r="D48" s="72" t="s">
        <v>191</v>
      </c>
      <c r="E48" s="164" t="s">
        <v>193</v>
      </c>
      <c r="G48" s="64" t="str">
        <f t="shared" si="7"/>
        <v>8. NSTs/ECB Development &amp; Reporting 8.2 ReviewSenior Accountant</v>
      </c>
      <c r="H48" s="61" t="s">
        <v>154</v>
      </c>
      <c r="I48" s="59" t="str">
        <f>INDEX('Resource Demand - Activity'!C:C,MATCH(Example!G48,'Resource Demand - Activity'!FT:FT,0))</f>
        <v>1 days</v>
      </c>
      <c r="J48" s="51">
        <f>SUMIF('Resource Demand - Activity'!$FT:$FT,Example!$G48,'Resource Demand - Activity'!E:E)</f>
        <v>0</v>
      </c>
      <c r="K48" s="35">
        <f>SUMIF('Resource Demand - Activity'!$FT:$FT,Example!$G48,'Resource Demand - Activity'!F:F)</f>
        <v>0</v>
      </c>
      <c r="L48" s="35">
        <f>SUMIF('Resource Demand - Activity'!$FT:$FT,Example!$G48,'Resource Demand - Activity'!G:G)</f>
        <v>0</v>
      </c>
      <c r="M48" s="35">
        <f>SUMIF('Resource Demand - Activity'!$FT:$FT,Example!$G48,'Resource Demand - Activity'!H:H)</f>
        <v>0</v>
      </c>
      <c r="N48" s="35">
        <f>SUMIF('Resource Demand - Activity'!$FT:$FT,Example!$G48,'Resource Demand - Activity'!I:I)</f>
        <v>0</v>
      </c>
      <c r="O48" s="35">
        <f>SUMIF('Resource Demand - Activity'!$FT:$FT,Example!$G48,'Resource Demand - Activity'!J:J)</f>
        <v>0</v>
      </c>
      <c r="P48" s="35">
        <f>SUMIF('Resource Demand - Activity'!$FT:$FT,Example!$G48,'Resource Demand - Activity'!K:K)</f>
        <v>0</v>
      </c>
      <c r="Q48" s="35">
        <f>SUMIF('Resource Demand - Activity'!$FT:$FT,Example!$G48,'Resource Demand - Activity'!L:L)</f>
        <v>0</v>
      </c>
      <c r="R48" s="35">
        <f>SUMIF('Resource Demand - Activity'!$FT:$FT,Example!$G48,'Resource Demand - Activity'!M:M)</f>
        <v>0</v>
      </c>
      <c r="S48" s="35">
        <f>SUMIF('Resource Demand - Activity'!$FT:$FT,Example!$G48,'Resource Demand - Activity'!N:N)</f>
        <v>0</v>
      </c>
      <c r="T48" s="35">
        <f>SUMIF('Resource Demand - Activity'!$FT:$FT,Example!$G48,'Resource Demand - Activity'!O:O)</f>
        <v>0</v>
      </c>
      <c r="U48" s="35">
        <f>SUMIF('Resource Demand - Activity'!$FT:$FT,Example!$G48,'Resource Demand - Activity'!P:P)</f>
        <v>0</v>
      </c>
      <c r="V48" s="35">
        <f>SUMIF('Resource Demand - Activity'!$FT:$FT,Example!$G48,'Resource Demand - Activity'!Q:Q)</f>
        <v>0</v>
      </c>
      <c r="W48" s="35">
        <f>SUMIF('Resource Demand - Activity'!$FT:$FT,Example!$G48,'Resource Demand - Activity'!R:R)</f>
        <v>0</v>
      </c>
      <c r="X48" s="35">
        <f>SUMIF('Resource Demand - Activity'!$FT:$FT,Example!$G48,'Resource Demand - Activity'!S:S)</f>
        <v>0</v>
      </c>
      <c r="Y48" s="35">
        <f>SUMIF('Resource Demand - Activity'!$FT:$FT,Example!$G48,'Resource Demand - Activity'!T:T)</f>
        <v>0</v>
      </c>
      <c r="Z48" s="35">
        <f>SUMIF('Resource Demand - Activity'!$FT:$FT,Example!$G48,'Resource Demand - Activity'!U:U)</f>
        <v>0</v>
      </c>
      <c r="AA48" s="35">
        <f>SUMIF('Resource Demand - Activity'!$FT:$FT,Example!$G48,'Resource Demand - Activity'!V:V)</f>
        <v>0</v>
      </c>
      <c r="AB48" s="35">
        <f>SUMIF('Resource Demand - Activity'!$FT:$FT,Example!$G48,'Resource Demand - Activity'!W:W)</f>
        <v>0</v>
      </c>
      <c r="AC48" s="35">
        <f>SUMIF('Resource Demand - Activity'!$FT:$FT,Example!$G48,'Resource Demand - Activity'!X:X)</f>
        <v>0</v>
      </c>
      <c r="AD48" s="35">
        <f>SUMIF('Resource Demand - Activity'!$FT:$FT,Example!$G48,'Resource Demand - Activity'!Y:Y)</f>
        <v>0</v>
      </c>
      <c r="AE48" s="35">
        <f>SUMIF('Resource Demand - Activity'!$FT:$FT,Example!$G48,'Resource Demand - Activity'!Z:Z)</f>
        <v>0</v>
      </c>
      <c r="AF48" s="35">
        <f>SUMIF('Resource Demand - Activity'!$FT:$FT,Example!$G48,'Resource Demand - Activity'!AA:AA)</f>
        <v>0</v>
      </c>
      <c r="AG48" s="35">
        <f>SUMIF('Resource Demand - Activity'!$FT:$FT,Example!$G48,'Resource Demand - Activity'!AB:AB)</f>
        <v>0</v>
      </c>
      <c r="AH48" s="35">
        <f>SUMIF('Resource Demand - Activity'!$FT:$FT,Example!$G48,'Resource Demand - Activity'!AC:AC)</f>
        <v>0</v>
      </c>
      <c r="AI48" s="35">
        <f>SUMIF('Resource Demand - Activity'!$FT:$FT,Example!$G48,'Resource Demand - Activity'!AD:AD)</f>
        <v>0</v>
      </c>
      <c r="AJ48" s="35">
        <f>SUMIF('Resource Demand - Activity'!$FT:$FT,Example!$G48,'Resource Demand - Activity'!AE:AE)</f>
        <v>0</v>
      </c>
      <c r="AK48" s="35">
        <f>SUMIF('Resource Demand - Activity'!$FT:$FT,Example!$G48,'Resource Demand - Activity'!AF:AF)</f>
        <v>0</v>
      </c>
      <c r="AL48" s="35">
        <f>SUMIF('Resource Demand - Activity'!$FT:$FT,Example!$G48,'Resource Demand - Activity'!AG:AG)</f>
        <v>0</v>
      </c>
      <c r="AM48" s="35">
        <f>SUMIF('Resource Demand - Activity'!$FT:$FT,Example!$G48,'Resource Demand - Activity'!AH:AH)</f>
        <v>0</v>
      </c>
      <c r="AN48" s="35">
        <f>SUMIF('Resource Demand - Activity'!$FT:$FT,Example!$G48,'Resource Demand - Activity'!AI:AI)</f>
        <v>0</v>
      </c>
      <c r="AO48" s="35">
        <f>SUMIF('Resource Demand - Activity'!$FT:$FT,Example!$G48,'Resource Demand - Activity'!AJ:AJ)</f>
        <v>0</v>
      </c>
      <c r="AP48" s="35">
        <f>SUMIF('Resource Demand - Activity'!$FT:$FT,Example!$G48,'Resource Demand - Activity'!AK:AK)</f>
        <v>0</v>
      </c>
      <c r="AQ48" s="36">
        <f>SUMIF('Resource Demand - Activity'!$FT:$FT,Example!$G48,'Resource Demand - Activity'!AL:AL)</f>
        <v>0</v>
      </c>
      <c r="AR48" s="36">
        <f>SUMIF('Resource Demand - Activity'!$FT:$FT,Example!$G48,'Resource Demand - Activity'!AM:AM)</f>
        <v>0</v>
      </c>
      <c r="AS48" s="36">
        <f>SUMIF('Resource Demand - Activity'!$FT:$FT,Example!$G48,'Resource Demand - Activity'!AN:AN)</f>
        <v>0</v>
      </c>
      <c r="AT48" s="36">
        <f>SUMIF('Resource Demand - Activity'!$FT:$FT,Example!$G48,'Resource Demand - Activity'!AO:AO)</f>
        <v>0</v>
      </c>
      <c r="AU48" s="36">
        <f>SUMIF('Resource Demand - Activity'!$FT:$FT,Example!$G48,'Resource Demand - Activity'!AP:AP)</f>
        <v>0</v>
      </c>
      <c r="AV48" s="36">
        <f>SUMIF('Resource Demand - Activity'!$FT:$FT,Example!$G48,'Resource Demand - Activity'!AQ:AQ)</f>
        <v>0</v>
      </c>
      <c r="AW48" s="36">
        <f>SUMIF('Resource Demand - Activity'!$FT:$FT,Example!$G48,'Resource Demand - Activity'!AR:AR)</f>
        <v>0</v>
      </c>
      <c r="AX48" s="35">
        <f>SUMIF('Resource Demand - Activity'!$FT:$FT,Example!$G48,'Resource Demand - Activity'!AS:AS)</f>
        <v>0</v>
      </c>
      <c r="AY48" s="35">
        <f>SUMIF('Resource Demand - Activity'!$FT:$FT,Example!$G48,'Resource Demand - Activity'!AT:AT)</f>
        <v>0</v>
      </c>
      <c r="AZ48" s="35">
        <f>SUMIF('Resource Demand - Activity'!$FT:$FT,Example!$G48,'Resource Demand - Activity'!AU:AU)</f>
        <v>0</v>
      </c>
      <c r="BA48" s="35">
        <f>SUMIF('Resource Demand - Activity'!$FT:$FT,Example!$G48,'Resource Demand - Activity'!AV:AV)</f>
        <v>0</v>
      </c>
      <c r="BB48" s="35">
        <f>SUMIF('Resource Demand - Activity'!$FT:$FT,Example!$G48,'Resource Demand - Activity'!AW:AW)</f>
        <v>0</v>
      </c>
      <c r="BC48" s="35">
        <f>SUMIF('Resource Demand - Activity'!$FT:$FT,Example!$G48,'Resource Demand - Activity'!AX:AX)</f>
        <v>0</v>
      </c>
      <c r="BD48" s="35">
        <f>SUMIF('Resource Demand - Activity'!$FT:$FT,Example!$G48,'Resource Demand - Activity'!AY:AY)</f>
        <v>0</v>
      </c>
      <c r="BE48" s="35">
        <f>SUMIF('Resource Demand - Activity'!$FT:$FT,Example!$G48,'Resource Demand - Activity'!AZ:AZ)</f>
        <v>0</v>
      </c>
      <c r="BF48" s="35">
        <f>SUMIF('Resource Demand - Activity'!$FT:$FT,Example!$G48,'Resource Demand - Activity'!BA:BA)</f>
        <v>0</v>
      </c>
      <c r="BG48" s="35">
        <f>SUMIF('Resource Demand - Activity'!$FT:$FT,Example!$G48,'Resource Demand - Activity'!BB:BB)</f>
        <v>0</v>
      </c>
      <c r="BH48" s="35">
        <f>SUMIF('Resource Demand - Activity'!$FT:$FT,Example!$G48,'Resource Demand - Activity'!BC:BC)</f>
        <v>0</v>
      </c>
      <c r="BI48" s="35">
        <f>SUMIF('Resource Demand - Activity'!$FT:$FT,Example!$G48,'Resource Demand - Activity'!BD:BD)</f>
        <v>0</v>
      </c>
      <c r="BJ48" s="35">
        <f>SUMIF('Resource Demand - Activity'!$FT:$FT,Example!$G48,'Resource Demand - Activity'!BE:BE)</f>
        <v>0</v>
      </c>
      <c r="BK48" s="35">
        <f>SUMIF('Resource Demand - Activity'!$FT:$FT,Example!$G48,'Resource Demand - Activity'!BF:BF)</f>
        <v>0</v>
      </c>
      <c r="BL48" s="35">
        <f>SUMIF('Resource Demand - Activity'!$FT:$FT,Example!$G48,'Resource Demand - Activity'!BG:BG)</f>
        <v>0</v>
      </c>
      <c r="BM48" s="35">
        <f>SUMIF('Resource Demand - Activity'!$FT:$FT,Example!$G48,'Resource Demand - Activity'!BH:BH)</f>
        <v>0</v>
      </c>
      <c r="BN48" s="35">
        <f>SUMIF('Resource Demand - Activity'!$FT:$FT,Example!$G48,'Resource Demand - Activity'!BI:BI)</f>
        <v>0</v>
      </c>
      <c r="BO48" s="35">
        <f>SUMIF('Resource Demand - Activity'!$FT:$FT,Example!$G48,'Resource Demand - Activity'!BJ:BJ)</f>
        <v>0</v>
      </c>
      <c r="BP48" s="35">
        <f>SUMIF('Resource Demand - Activity'!$FT:$FT,Example!$G48,'Resource Demand - Activity'!BK:BK)</f>
        <v>0</v>
      </c>
      <c r="BQ48" s="35">
        <f>SUMIF('Resource Demand - Activity'!$FT:$FT,Example!$G48,'Resource Demand - Activity'!BL:BL)</f>
        <v>0</v>
      </c>
      <c r="BR48" s="35">
        <f>SUMIF('Resource Demand - Activity'!$FT:$FT,Example!$G48,'Resource Demand - Activity'!BM:BM)</f>
        <v>0</v>
      </c>
      <c r="BS48" s="35">
        <f>SUMIF('Resource Demand - Activity'!$FT:$FT,Example!$G48,'Resource Demand - Activity'!BN:BN)</f>
        <v>0</v>
      </c>
      <c r="BT48" s="35">
        <f>SUMIF('Resource Demand - Activity'!$FT:$FT,Example!$G48,'Resource Demand - Activity'!BO:BO)</f>
        <v>0</v>
      </c>
      <c r="BU48" s="35">
        <f>SUMIF('Resource Demand - Activity'!$FT:$FT,Example!$G48,'Resource Demand - Activity'!BP:BP)</f>
        <v>0</v>
      </c>
      <c r="BV48" s="35">
        <f>SUMIF('Resource Demand - Activity'!$FT:$FT,Example!$G48,'Resource Demand - Activity'!BQ:BQ)</f>
        <v>0</v>
      </c>
      <c r="BW48" s="35">
        <f>SUMIF('Resource Demand - Activity'!$FT:$FT,Example!$G48,'Resource Demand - Activity'!BR:BR)</f>
        <v>0</v>
      </c>
      <c r="BX48" s="35">
        <f>SUMIF('Resource Demand - Activity'!$FT:$FT,Example!$G48,'Resource Demand - Activity'!BS:BS)</f>
        <v>0</v>
      </c>
      <c r="BY48" s="35">
        <f>SUMIF('Resource Demand - Activity'!$FT:$FT,Example!$G48,'Resource Demand - Activity'!BT:BT)</f>
        <v>0</v>
      </c>
      <c r="BZ48" s="35">
        <f>SUMIF('Resource Demand - Activity'!$FT:$FT,Example!$G48,'Resource Demand - Activity'!BU:BU)</f>
        <v>0</v>
      </c>
      <c r="CA48" s="35">
        <f>SUMIF('Resource Demand - Activity'!$FT:$FT,Example!$G48,'Resource Demand - Activity'!BV:BV)</f>
        <v>0</v>
      </c>
      <c r="CB48" s="35">
        <f>SUMIF('Resource Demand - Activity'!$FT:$FT,Example!$G48,'Resource Demand - Activity'!BW:BW)</f>
        <v>0</v>
      </c>
      <c r="CC48" s="35">
        <f>SUMIF('Resource Demand - Activity'!$FT:$FT,Example!$G48,'Resource Demand - Activity'!BX:BX)</f>
        <v>0</v>
      </c>
      <c r="CD48" s="35">
        <f>SUMIF('Resource Demand - Activity'!$FT:$FT,Example!$G48,'Resource Demand - Activity'!BY:BY)</f>
        <v>0</v>
      </c>
      <c r="CE48" s="35">
        <f>SUMIF('Resource Demand - Activity'!$FT:$FT,Example!$G48,'Resource Demand - Activity'!BZ:BZ)</f>
        <v>0</v>
      </c>
      <c r="CF48" s="35">
        <f>SUMIF('Resource Demand - Activity'!$FT:$FT,Example!$G48,'Resource Demand - Activity'!CA:CA)</f>
        <v>0</v>
      </c>
      <c r="CG48" s="35">
        <f>SUMIF('Resource Demand - Activity'!$FT:$FT,Example!$G48,'Resource Demand - Activity'!CB:CB)</f>
        <v>0</v>
      </c>
      <c r="CH48" s="35">
        <f>SUMIF('Resource Demand - Activity'!$FT:$FT,Example!$G48,'Resource Demand - Activity'!CC:CC)</f>
        <v>0</v>
      </c>
      <c r="CI48" s="35">
        <f>SUMIF('Resource Demand - Activity'!$FT:$FT,Example!$G48,'Resource Demand - Activity'!CD:CD)</f>
        <v>0</v>
      </c>
      <c r="CJ48" s="35">
        <f>SUMIF('Resource Demand - Activity'!$FT:$FT,Example!$G48,'Resource Demand - Activity'!CE:CE)</f>
        <v>0</v>
      </c>
      <c r="CK48" s="35">
        <f>SUMIF('Resource Demand - Activity'!$FT:$FT,Example!$G48,'Resource Demand - Activity'!CF:CF)</f>
        <v>0</v>
      </c>
      <c r="CL48" s="35">
        <f>SUMIF('Resource Demand - Activity'!$FT:$FT,Example!$G48,'Resource Demand - Activity'!CG:CG)</f>
        <v>0</v>
      </c>
      <c r="CM48" s="35">
        <f>SUMIF('Resource Demand - Activity'!$FT:$FT,Example!$G48,'Resource Demand - Activity'!CH:CH)</f>
        <v>0</v>
      </c>
      <c r="CN48" s="35">
        <f>SUMIF('Resource Demand - Activity'!$FT:$FT,Example!$G48,'Resource Demand - Activity'!CI:CI)</f>
        <v>0</v>
      </c>
      <c r="CO48" s="35">
        <f>SUMIF('Resource Demand - Activity'!$FT:$FT,Example!$G48,'Resource Demand - Activity'!CJ:CJ)</f>
        <v>0</v>
      </c>
      <c r="CP48" s="35">
        <f>SUMIF('Resource Demand - Activity'!$FT:$FT,Example!$G48,'Resource Demand - Activity'!CK:CK)</f>
        <v>0</v>
      </c>
      <c r="CQ48" s="35">
        <f>SUMIF('Resource Demand - Activity'!$FT:$FT,Example!$G48,'Resource Demand - Activity'!CL:CL)</f>
        <v>0</v>
      </c>
      <c r="CR48" s="35">
        <f>SUMIF('Resource Demand - Activity'!$FT:$FT,Example!$G48,'Resource Demand - Activity'!CM:CM)</f>
        <v>0</v>
      </c>
      <c r="CS48" s="35">
        <f>SUMIF('Resource Demand - Activity'!$FT:$FT,Example!$G48,'Resource Demand - Activity'!CN:CN)</f>
        <v>0</v>
      </c>
      <c r="CT48" s="35">
        <f>SUMIF('Resource Demand - Activity'!$FT:$FT,Example!$G48,'Resource Demand - Activity'!CO:CO)</f>
        <v>0</v>
      </c>
      <c r="CU48" s="35">
        <f>SUMIF('Resource Demand - Activity'!$FT:$FT,Example!$G48,'Resource Demand - Activity'!CP:CP)</f>
        <v>0</v>
      </c>
      <c r="CV48" s="35">
        <f>SUMIF('Resource Demand - Activity'!$FT:$FT,Example!$G48,'Resource Demand - Activity'!CQ:CQ)</f>
        <v>0</v>
      </c>
      <c r="CW48" s="35">
        <f>SUMIF('Resource Demand - Activity'!$FT:$FT,Example!$G48,'Resource Demand - Activity'!CR:CR)</f>
        <v>0</v>
      </c>
      <c r="CX48" s="35">
        <f>SUMIF('Resource Demand - Activity'!$FT:$FT,Example!$G48,'Resource Demand - Activity'!CS:CS)</f>
        <v>0</v>
      </c>
      <c r="CY48" s="36">
        <f>SUMIF('Resource Demand - Activity'!$FT:$FT,Example!$G48,'Resource Demand - Activity'!CT:CT)</f>
        <v>0</v>
      </c>
      <c r="CZ48" s="35">
        <f>SUMIF('Resource Demand - Activity'!$FT:$FT,Example!$G48,'Resource Demand - Activity'!CU:CU)</f>
        <v>0</v>
      </c>
      <c r="DA48" s="35">
        <f>SUMIF('Resource Demand - Activity'!$FT:$FT,Example!$G48,'Resource Demand - Activity'!CV:CV)</f>
        <v>0</v>
      </c>
      <c r="DB48" s="35">
        <f>SUMIF('Resource Demand - Activity'!$FT:$FT,Example!$G48,'Resource Demand - Activity'!CW:CW)</f>
        <v>0</v>
      </c>
      <c r="DC48" s="35">
        <f>SUMIF('Resource Demand - Activity'!$FT:$FT,Example!$G48,'Resource Demand - Activity'!CX:CX)</f>
        <v>0</v>
      </c>
      <c r="DD48" s="35">
        <f>SUMIF('Resource Demand - Activity'!$FT:$FT,Example!$G48,'Resource Demand - Activity'!CY:CY)</f>
        <v>0</v>
      </c>
      <c r="DE48" s="36">
        <f>SUMIF('Resource Demand - Activity'!$FT:$FT,Example!$G48,'Resource Demand - Activity'!CZ:CZ)</f>
        <v>0</v>
      </c>
      <c r="DF48" s="36">
        <f>SUMIF('Resource Demand - Activity'!$FT:$FT,Example!$G48,'Resource Demand - Activity'!DA:DA)</f>
        <v>0</v>
      </c>
      <c r="DG48" s="35">
        <f>SUMIF('Resource Demand - Activity'!$FT:$FT,Example!$G48,'Resource Demand - Activity'!DB:DB)</f>
        <v>0</v>
      </c>
      <c r="DH48" s="35">
        <f>SUMIF('Resource Demand - Activity'!$FT:$FT,Example!$G48,'Resource Demand - Activity'!DC:DC)</f>
        <v>0</v>
      </c>
      <c r="DI48" s="35">
        <f>SUMIF('Resource Demand - Activity'!$FT:$FT,Example!$G48,'Resource Demand - Activity'!DD:DD)</f>
        <v>0</v>
      </c>
      <c r="DJ48" s="35">
        <f>SUMIF('Resource Demand - Activity'!$FT:$FT,Example!$G48,'Resource Demand - Activity'!DE:DE)</f>
        <v>0</v>
      </c>
      <c r="DK48" s="35">
        <f>SUMIF('Resource Demand - Activity'!$FT:$FT,Example!$G48,'Resource Demand - Activity'!DF:DF)</f>
        <v>0</v>
      </c>
      <c r="DL48" s="35">
        <f>SUMIF('Resource Demand - Activity'!$FT:$FT,Example!$G48,'Resource Demand - Activity'!DG:DG)</f>
        <v>0</v>
      </c>
      <c r="DM48" s="35">
        <f>SUMIF('Resource Demand - Activity'!$FT:$FT,Example!$G48,'Resource Demand - Activity'!DH:DH)</f>
        <v>0</v>
      </c>
      <c r="DN48" s="35">
        <f>SUMIF('Resource Demand - Activity'!$FT:$FT,Example!$G48,'Resource Demand - Activity'!DI:DI)</f>
        <v>0</v>
      </c>
      <c r="DO48" s="35">
        <f>SUMIF('Resource Demand - Activity'!$FT:$FT,Example!$G48,'Resource Demand - Activity'!DJ:DJ)</f>
        <v>1</v>
      </c>
      <c r="DP48" s="35">
        <f>SUMIF('Resource Demand - Activity'!$FT:$FT,Example!$G48,'Resource Demand - Activity'!DK:DK)</f>
        <v>0</v>
      </c>
      <c r="DQ48" s="35">
        <f>SUMIF('Resource Demand - Activity'!$FT:$FT,Example!$G48,'Resource Demand - Activity'!DL:DL)</f>
        <v>0</v>
      </c>
      <c r="DR48" s="35">
        <f>SUMIF('Resource Demand - Activity'!$FT:$FT,Example!$G48,'Resource Demand - Activity'!DM:DM)</f>
        <v>0</v>
      </c>
      <c r="DS48" s="35">
        <f>SUMIF('Resource Demand - Activity'!$FT:$FT,Example!$G48,'Resource Demand - Activity'!DN:DN)</f>
        <v>0</v>
      </c>
      <c r="DT48" s="35">
        <f>SUMIF('Resource Demand - Activity'!$FT:$FT,Example!$G48,'Resource Demand - Activity'!DO:DO)</f>
        <v>0</v>
      </c>
      <c r="DU48" s="35">
        <f>SUMIF('Resource Demand - Activity'!$FT:$FT,Example!$G48,'Resource Demand - Activity'!DP:DP)</f>
        <v>0</v>
      </c>
      <c r="DV48" s="35">
        <f>SUMIF('Resource Demand - Activity'!$FT:$FT,Example!$G48,'Resource Demand - Activity'!DQ:DQ)</f>
        <v>0</v>
      </c>
      <c r="DW48" s="35">
        <f>SUMIF('Resource Demand - Activity'!$FT:$FT,Example!$G48,'Resource Demand - Activity'!DR:DR)</f>
        <v>0</v>
      </c>
      <c r="DX48" s="35">
        <f>SUMIF('Resource Demand - Activity'!$FT:$FT,Example!$G48,'Resource Demand - Activity'!DS:DS)</f>
        <v>0</v>
      </c>
      <c r="DY48" s="35">
        <f>SUMIF('Resource Demand - Activity'!$FT:$FT,Example!$G48,'Resource Demand - Activity'!DT:DT)</f>
        <v>0</v>
      </c>
      <c r="DZ48" s="35">
        <f>SUMIF('Resource Demand - Activity'!$FT:$FT,Example!$G48,'Resource Demand - Activity'!DU:DU)</f>
        <v>0</v>
      </c>
      <c r="EA48" s="35">
        <f>SUMIF('Resource Demand - Activity'!$FT:$FT,Example!$G48,'Resource Demand - Activity'!DV:DV)</f>
        <v>0</v>
      </c>
      <c r="EB48" s="35">
        <f>SUMIF('Resource Demand - Activity'!$FT:$FT,Example!$G48,'Resource Demand - Activity'!DW:DW)</f>
        <v>0</v>
      </c>
      <c r="EC48" s="35">
        <f>SUMIF('Resource Demand - Activity'!$FT:$FT,Example!$G48,'Resource Demand - Activity'!DX:DX)</f>
        <v>0</v>
      </c>
      <c r="ED48" s="35">
        <f>SUMIF('Resource Demand - Activity'!$FT:$FT,Example!$G48,'Resource Demand - Activity'!DY:DY)</f>
        <v>0</v>
      </c>
      <c r="EE48" s="36">
        <f>SUMIF('Resource Demand - Activity'!$FT:$FT,Example!$G48,'Resource Demand - Activity'!DZ:DZ)</f>
        <v>0</v>
      </c>
      <c r="EF48" s="35">
        <f>SUMIF('Resource Demand - Activity'!$FT:$FT,Example!$G48,'Resource Demand - Activity'!EA:EA)</f>
        <v>0</v>
      </c>
      <c r="EG48" s="35">
        <f>SUMIF('Resource Demand - Activity'!$FT:$FT,Example!$G48,'Resource Demand - Activity'!EB:EB)</f>
        <v>0</v>
      </c>
      <c r="EH48" s="35">
        <f>SUMIF('Resource Demand - Activity'!$FT:$FT,Example!$G48,'Resource Demand - Activity'!EC:EC)</f>
        <v>0</v>
      </c>
      <c r="EI48" s="35">
        <f>SUMIF('Resource Demand - Activity'!$FT:$FT,Example!$G48,'Resource Demand - Activity'!ED:ED)</f>
        <v>0</v>
      </c>
      <c r="EJ48" s="35">
        <f>SUMIF('Resource Demand - Activity'!$FT:$FT,Example!$G48,'Resource Demand - Activity'!EE:EE)</f>
        <v>0</v>
      </c>
      <c r="EK48" s="35">
        <f>SUMIF('Resource Demand - Activity'!$FT:$FT,Example!$G48,'Resource Demand - Activity'!EF:EF)</f>
        <v>0</v>
      </c>
      <c r="EL48" s="35">
        <f>SUMIF('Resource Demand - Activity'!$FT:$FT,Example!$G48,'Resource Demand - Activity'!EG:EG)</f>
        <v>0</v>
      </c>
      <c r="EM48" s="35">
        <f>SUMIF('Resource Demand - Activity'!$FT:$FT,Example!$G48,'Resource Demand - Activity'!EH:EH)</f>
        <v>0</v>
      </c>
      <c r="EN48" s="35">
        <f>SUMIF('Resource Demand - Activity'!$FT:$FT,Example!$G48,'Resource Demand - Activity'!EI:EI)</f>
        <v>0</v>
      </c>
      <c r="EO48" s="35">
        <f>SUMIF('Resource Demand - Activity'!$FT:$FT,Example!$G48,'Resource Demand - Activity'!EJ:EJ)</f>
        <v>0</v>
      </c>
      <c r="EP48" s="35">
        <f>SUMIF('Resource Demand - Activity'!$FT:$FT,Example!$G48,'Resource Demand - Activity'!EK:EK)</f>
        <v>0</v>
      </c>
      <c r="EQ48" s="35">
        <f>SUMIF('Resource Demand - Activity'!$FT:$FT,Example!$G48,'Resource Demand - Activity'!EL:EL)</f>
        <v>0</v>
      </c>
      <c r="ER48" s="35">
        <f>SUMIF('Resource Demand - Activity'!$FT:$FT,Example!$G48,'Resource Demand - Activity'!EM:EM)</f>
        <v>0</v>
      </c>
      <c r="ES48" s="35">
        <f>SUMIF('Resource Demand - Activity'!$FT:$FT,Example!$G48,'Resource Demand - Activity'!EN:EN)</f>
        <v>0</v>
      </c>
      <c r="ET48" s="35">
        <f>SUMIF('Resource Demand - Activity'!$FT:$FT,Example!$G48,'Resource Demand - Activity'!EO:EO)</f>
        <v>0</v>
      </c>
      <c r="EU48" s="35">
        <f>SUMIF('Resource Demand - Activity'!$FT:$FT,Example!$G48,'Resource Demand - Activity'!EP:EP)</f>
        <v>0</v>
      </c>
      <c r="EV48" s="35">
        <f>SUMIF('Resource Demand - Activity'!$FT:$FT,Example!$G48,'Resource Demand - Activity'!EQ:EQ)</f>
        <v>0</v>
      </c>
      <c r="EW48" s="35">
        <f>SUMIF('Resource Demand - Activity'!$FT:$FT,Example!$G48,'Resource Demand - Activity'!ER:ER)</f>
        <v>0</v>
      </c>
      <c r="EX48" s="35">
        <f>SUMIF('Resource Demand - Activity'!$FT:$FT,Example!$G48,'Resource Demand - Activity'!ES:ES)</f>
        <v>0</v>
      </c>
      <c r="EY48" s="35">
        <f>SUMIF('Resource Demand - Activity'!$FT:$FT,Example!$G48,'Resource Demand - Activity'!ET:ET)</f>
        <v>0</v>
      </c>
      <c r="EZ48" s="35">
        <f>SUMIF('Resource Demand - Activity'!$FT:$FT,Example!$G48,'Resource Demand - Activity'!EU:EU)</f>
        <v>0</v>
      </c>
      <c r="FA48" s="35">
        <f>SUMIF('Resource Demand - Activity'!$FT:$FT,Example!$G48,'Resource Demand - Activity'!EV:EV)</f>
        <v>0</v>
      </c>
      <c r="FB48" s="35">
        <f>SUMIF('Resource Demand - Activity'!$FT:$FT,Example!$G48,'Resource Demand - Activity'!EW:EW)</f>
        <v>0</v>
      </c>
      <c r="FC48" s="35">
        <f>SUMIF('Resource Demand - Activity'!$FT:$FT,Example!$G48,'Resource Demand - Activity'!EX:EX)</f>
        <v>0</v>
      </c>
      <c r="FD48" s="36">
        <f>SUMIF('Resource Demand - Activity'!$FT:$FT,Example!$G48,'Resource Demand - Activity'!EY:EY)</f>
        <v>0</v>
      </c>
      <c r="FE48" s="35">
        <f>SUMIF('Resource Demand - Activity'!$FT:$FT,Example!$G48,'Resource Demand - Activity'!EZ:EZ)</f>
        <v>0</v>
      </c>
      <c r="FF48" s="35">
        <f>SUMIF('Resource Demand - Activity'!$FT:$FT,Example!$G48,'Resource Demand - Activity'!FA:FA)</f>
        <v>0</v>
      </c>
      <c r="FG48" s="35">
        <f>SUMIF('Resource Demand - Activity'!$FT:$FT,Example!$G48,'Resource Demand - Activity'!FB:FB)</f>
        <v>0</v>
      </c>
      <c r="FH48" s="35">
        <f>SUMIF('Resource Demand - Activity'!$FT:$FT,Example!$G48,'Resource Demand - Activity'!FC:FC)</f>
        <v>0</v>
      </c>
      <c r="FI48" s="35">
        <f>SUMIF('Resource Demand - Activity'!$FT:$FT,Example!$G48,'Resource Demand - Activity'!FD:FD)</f>
        <v>0</v>
      </c>
      <c r="FJ48" s="35">
        <f>SUMIF('Resource Demand - Activity'!$FT:$FT,Example!$G48,'Resource Demand - Activity'!FE:FE)</f>
        <v>0</v>
      </c>
      <c r="FK48" s="35">
        <f>SUMIF('Resource Demand - Activity'!$FT:$FT,Example!$G48,'Resource Demand - Activity'!FF:FF)</f>
        <v>0</v>
      </c>
      <c r="FL48" s="35">
        <f>SUMIF('Resource Demand - Activity'!$FT:$FT,Example!$G48,'Resource Demand - Activity'!FG:FG)</f>
        <v>0</v>
      </c>
      <c r="FM48" s="35">
        <f>SUMIF('Resource Demand - Activity'!$FT:$FT,Example!$G48,'Resource Demand - Activity'!FH:FH)</f>
        <v>0</v>
      </c>
      <c r="FN48" s="35">
        <f>SUMIF('Resource Demand - Activity'!$FT:$FT,Example!$G48,'Resource Demand - Activity'!FI:FI)</f>
        <v>0</v>
      </c>
      <c r="FO48" s="35">
        <f>SUMIF('Resource Demand - Activity'!$FT:$FT,Example!$G48,'Resource Demand - Activity'!FJ:FJ)</f>
        <v>0</v>
      </c>
      <c r="FP48" s="35">
        <f>SUMIF('Resource Demand - Activity'!$FT:$FT,Example!$G48,'Resource Demand - Activity'!FK:FK)</f>
        <v>0</v>
      </c>
      <c r="FQ48" s="35">
        <f>SUMIF('Resource Demand - Activity'!$FT:$FT,Example!$G48,'Resource Demand - Activity'!FL:FL)</f>
        <v>0</v>
      </c>
      <c r="FR48" s="35">
        <f>SUMIF('Resource Demand - Activity'!$FT:$FT,Example!$G48,'Resource Demand - Activity'!FM:FM)</f>
        <v>0</v>
      </c>
      <c r="FS48" s="35">
        <f>SUMIF('Resource Demand - Activity'!$FT:$FT,Example!$G48,'Resource Demand - Activity'!FN:FN)</f>
        <v>0</v>
      </c>
      <c r="FT48" s="35">
        <f>SUMIF('Resource Demand - Activity'!$FT:$FT,Example!$G48,'Resource Demand - Activity'!FO:FO)</f>
        <v>0</v>
      </c>
      <c r="FU48" s="35">
        <f>SUMIF('Resource Demand - Activity'!$FT:$FT,Example!$G48,'Resource Demand - Activity'!FP:FP)</f>
        <v>0</v>
      </c>
      <c r="FV48" s="52">
        <f>SUMIF('Resource Demand - Activity'!$FT:$FT,Example!$G48,'Resource Demand - Activity'!FQ:FQ)</f>
        <v>0</v>
      </c>
    </row>
    <row r="49" spans="2:178" ht="12" customHeight="1">
      <c r="B49" s="143" t="s">
        <v>17</v>
      </c>
      <c r="C49" s="149">
        <f>C26</f>
        <v>30996</v>
      </c>
      <c r="D49" s="149">
        <f>D26</f>
        <v>118449</v>
      </c>
      <c r="E49" s="164"/>
      <c r="G49" s="64" t="str">
        <f t="shared" si="7"/>
        <v>10. BAU Transition 10.1 Opening BalancesSenior Accountant</v>
      </c>
      <c r="H49" s="61" t="s">
        <v>140</v>
      </c>
      <c r="I49" s="59" t="str">
        <f>INDEX('Resource Demand - Activity'!C:C,MATCH(Example!G49,'Resource Demand - Activity'!FT:FT,0))</f>
        <v>8 days</v>
      </c>
      <c r="J49" s="51">
        <f>SUMIF('Resource Demand - Activity'!$FT:$FT,Example!$G49,'Resource Demand - Activity'!E:E)</f>
        <v>0</v>
      </c>
      <c r="K49" s="35">
        <f>SUMIF('Resource Demand - Activity'!$FT:$FT,Example!$G49,'Resource Demand - Activity'!F:F)</f>
        <v>0</v>
      </c>
      <c r="L49" s="35">
        <f>SUMIF('Resource Demand - Activity'!$FT:$FT,Example!$G49,'Resource Demand - Activity'!G:G)</f>
        <v>0</v>
      </c>
      <c r="M49" s="35">
        <f>SUMIF('Resource Demand - Activity'!$FT:$FT,Example!$G49,'Resource Demand - Activity'!H:H)</f>
        <v>0</v>
      </c>
      <c r="N49" s="35">
        <f>SUMIF('Resource Demand - Activity'!$FT:$FT,Example!$G49,'Resource Demand - Activity'!I:I)</f>
        <v>0</v>
      </c>
      <c r="O49" s="35">
        <f>SUMIF('Resource Demand - Activity'!$FT:$FT,Example!$G49,'Resource Demand - Activity'!J:J)</f>
        <v>0</v>
      </c>
      <c r="P49" s="35">
        <f>SUMIF('Resource Demand - Activity'!$FT:$FT,Example!$G49,'Resource Demand - Activity'!K:K)</f>
        <v>0</v>
      </c>
      <c r="Q49" s="35">
        <f>SUMIF('Resource Demand - Activity'!$FT:$FT,Example!$G49,'Resource Demand - Activity'!L:L)</f>
        <v>0</v>
      </c>
      <c r="R49" s="35">
        <f>SUMIF('Resource Demand - Activity'!$FT:$FT,Example!$G49,'Resource Demand - Activity'!M:M)</f>
        <v>0</v>
      </c>
      <c r="S49" s="35">
        <f>SUMIF('Resource Demand - Activity'!$FT:$FT,Example!$G49,'Resource Demand - Activity'!N:N)</f>
        <v>0</v>
      </c>
      <c r="T49" s="35">
        <f>SUMIF('Resource Demand - Activity'!$FT:$FT,Example!$G49,'Resource Demand - Activity'!O:O)</f>
        <v>0</v>
      </c>
      <c r="U49" s="35">
        <f>SUMIF('Resource Demand - Activity'!$FT:$FT,Example!$G49,'Resource Demand - Activity'!P:P)</f>
        <v>0</v>
      </c>
      <c r="V49" s="35">
        <f>SUMIF('Resource Demand - Activity'!$FT:$FT,Example!$G49,'Resource Demand - Activity'!Q:Q)</f>
        <v>0</v>
      </c>
      <c r="W49" s="35">
        <f>SUMIF('Resource Demand - Activity'!$FT:$FT,Example!$G49,'Resource Demand - Activity'!R:R)</f>
        <v>0</v>
      </c>
      <c r="X49" s="35">
        <f>SUMIF('Resource Demand - Activity'!$FT:$FT,Example!$G49,'Resource Demand - Activity'!S:S)</f>
        <v>0</v>
      </c>
      <c r="Y49" s="35">
        <f>SUMIF('Resource Demand - Activity'!$FT:$FT,Example!$G49,'Resource Demand - Activity'!T:T)</f>
        <v>0</v>
      </c>
      <c r="Z49" s="35">
        <f>SUMIF('Resource Demand - Activity'!$FT:$FT,Example!$G49,'Resource Demand - Activity'!U:U)</f>
        <v>0</v>
      </c>
      <c r="AA49" s="35">
        <f>SUMIF('Resource Demand - Activity'!$FT:$FT,Example!$G49,'Resource Demand - Activity'!V:V)</f>
        <v>0</v>
      </c>
      <c r="AB49" s="35">
        <f>SUMIF('Resource Demand - Activity'!$FT:$FT,Example!$G49,'Resource Demand - Activity'!W:W)</f>
        <v>0</v>
      </c>
      <c r="AC49" s="35">
        <f>SUMIF('Resource Demand - Activity'!$FT:$FT,Example!$G49,'Resource Demand - Activity'!X:X)</f>
        <v>0</v>
      </c>
      <c r="AD49" s="35">
        <f>SUMIF('Resource Demand - Activity'!$FT:$FT,Example!$G49,'Resource Demand - Activity'!Y:Y)</f>
        <v>0</v>
      </c>
      <c r="AE49" s="35">
        <f>SUMIF('Resource Demand - Activity'!$FT:$FT,Example!$G49,'Resource Demand - Activity'!Z:Z)</f>
        <v>0</v>
      </c>
      <c r="AF49" s="35">
        <f>SUMIF('Resource Demand - Activity'!$FT:$FT,Example!$G49,'Resource Demand - Activity'!AA:AA)</f>
        <v>0</v>
      </c>
      <c r="AG49" s="35">
        <f>SUMIF('Resource Demand - Activity'!$FT:$FT,Example!$G49,'Resource Demand - Activity'!AB:AB)</f>
        <v>0</v>
      </c>
      <c r="AH49" s="35">
        <f>SUMIF('Resource Demand - Activity'!$FT:$FT,Example!$G49,'Resource Demand - Activity'!AC:AC)</f>
        <v>0</v>
      </c>
      <c r="AI49" s="35">
        <f>SUMIF('Resource Demand - Activity'!$FT:$FT,Example!$G49,'Resource Demand - Activity'!AD:AD)</f>
        <v>0</v>
      </c>
      <c r="AJ49" s="35">
        <f>SUMIF('Resource Demand - Activity'!$FT:$FT,Example!$G49,'Resource Demand - Activity'!AE:AE)</f>
        <v>0</v>
      </c>
      <c r="AK49" s="35">
        <f>SUMIF('Resource Demand - Activity'!$FT:$FT,Example!$G49,'Resource Demand - Activity'!AF:AF)</f>
        <v>0</v>
      </c>
      <c r="AL49" s="35">
        <f>SUMIF('Resource Demand - Activity'!$FT:$FT,Example!$G49,'Resource Demand - Activity'!AG:AG)</f>
        <v>0</v>
      </c>
      <c r="AM49" s="35">
        <f>SUMIF('Resource Demand - Activity'!$FT:$FT,Example!$G49,'Resource Demand - Activity'!AH:AH)</f>
        <v>0</v>
      </c>
      <c r="AN49" s="35">
        <f>SUMIF('Resource Demand - Activity'!$FT:$FT,Example!$G49,'Resource Demand - Activity'!AI:AI)</f>
        <v>0</v>
      </c>
      <c r="AO49" s="35">
        <f>SUMIF('Resource Demand - Activity'!$FT:$FT,Example!$G49,'Resource Demand - Activity'!AJ:AJ)</f>
        <v>0</v>
      </c>
      <c r="AP49" s="35">
        <f>SUMIF('Resource Demand - Activity'!$FT:$FT,Example!$G49,'Resource Demand - Activity'!AK:AK)</f>
        <v>0</v>
      </c>
      <c r="AQ49" s="36">
        <f>SUMIF('Resource Demand - Activity'!$FT:$FT,Example!$G49,'Resource Demand - Activity'!AL:AL)</f>
        <v>0</v>
      </c>
      <c r="AR49" s="36">
        <f>SUMIF('Resource Demand - Activity'!$FT:$FT,Example!$G49,'Resource Demand - Activity'!AM:AM)</f>
        <v>0</v>
      </c>
      <c r="AS49" s="36">
        <f>SUMIF('Resource Demand - Activity'!$FT:$FT,Example!$G49,'Resource Demand - Activity'!AN:AN)</f>
        <v>0</v>
      </c>
      <c r="AT49" s="36">
        <f>SUMIF('Resource Demand - Activity'!$FT:$FT,Example!$G49,'Resource Demand - Activity'!AO:AO)</f>
        <v>0</v>
      </c>
      <c r="AU49" s="36">
        <f>SUMIF('Resource Demand - Activity'!$FT:$FT,Example!$G49,'Resource Demand - Activity'!AP:AP)</f>
        <v>0</v>
      </c>
      <c r="AV49" s="36">
        <f>SUMIF('Resource Demand - Activity'!$FT:$FT,Example!$G49,'Resource Demand - Activity'!AQ:AQ)</f>
        <v>0</v>
      </c>
      <c r="AW49" s="36">
        <f>SUMIF('Resource Demand - Activity'!$FT:$FT,Example!$G49,'Resource Demand - Activity'!AR:AR)</f>
        <v>0</v>
      </c>
      <c r="AX49" s="35">
        <f>SUMIF('Resource Demand - Activity'!$FT:$FT,Example!$G49,'Resource Demand - Activity'!AS:AS)</f>
        <v>0</v>
      </c>
      <c r="AY49" s="35">
        <f>SUMIF('Resource Demand - Activity'!$FT:$FT,Example!$G49,'Resource Demand - Activity'!AT:AT)</f>
        <v>0</v>
      </c>
      <c r="AZ49" s="35">
        <f>SUMIF('Resource Demand - Activity'!$FT:$FT,Example!$G49,'Resource Demand - Activity'!AU:AU)</f>
        <v>0</v>
      </c>
      <c r="BA49" s="35">
        <f>SUMIF('Resource Demand - Activity'!$FT:$FT,Example!$G49,'Resource Demand - Activity'!AV:AV)</f>
        <v>0</v>
      </c>
      <c r="BB49" s="35">
        <f>SUMIF('Resource Demand - Activity'!$FT:$FT,Example!$G49,'Resource Demand - Activity'!AW:AW)</f>
        <v>0</v>
      </c>
      <c r="BC49" s="35">
        <f>SUMIF('Resource Demand - Activity'!$FT:$FT,Example!$G49,'Resource Demand - Activity'!AX:AX)</f>
        <v>0</v>
      </c>
      <c r="BD49" s="35">
        <f>SUMIF('Resource Demand - Activity'!$FT:$FT,Example!$G49,'Resource Demand - Activity'!AY:AY)</f>
        <v>0</v>
      </c>
      <c r="BE49" s="35">
        <f>SUMIF('Resource Demand - Activity'!$FT:$FT,Example!$G49,'Resource Demand - Activity'!AZ:AZ)</f>
        <v>0</v>
      </c>
      <c r="BF49" s="35">
        <f>SUMIF('Resource Demand - Activity'!$FT:$FT,Example!$G49,'Resource Demand - Activity'!BA:BA)</f>
        <v>0</v>
      </c>
      <c r="BG49" s="35">
        <f>SUMIF('Resource Demand - Activity'!$FT:$FT,Example!$G49,'Resource Demand - Activity'!BB:BB)</f>
        <v>0</v>
      </c>
      <c r="BH49" s="35">
        <f>SUMIF('Resource Demand - Activity'!$FT:$FT,Example!$G49,'Resource Demand - Activity'!BC:BC)</f>
        <v>0</v>
      </c>
      <c r="BI49" s="35">
        <f>SUMIF('Resource Demand - Activity'!$FT:$FT,Example!$G49,'Resource Demand - Activity'!BD:BD)</f>
        <v>0</v>
      </c>
      <c r="BJ49" s="35">
        <f>SUMIF('Resource Demand - Activity'!$FT:$FT,Example!$G49,'Resource Demand - Activity'!BE:BE)</f>
        <v>0</v>
      </c>
      <c r="BK49" s="35">
        <f>SUMIF('Resource Demand - Activity'!$FT:$FT,Example!$G49,'Resource Demand - Activity'!BF:BF)</f>
        <v>0</v>
      </c>
      <c r="BL49" s="35">
        <f>SUMIF('Resource Demand - Activity'!$FT:$FT,Example!$G49,'Resource Demand - Activity'!BG:BG)</f>
        <v>0</v>
      </c>
      <c r="BM49" s="35">
        <f>SUMIF('Resource Demand - Activity'!$FT:$FT,Example!$G49,'Resource Demand - Activity'!BH:BH)</f>
        <v>0</v>
      </c>
      <c r="BN49" s="35">
        <f>SUMIF('Resource Demand - Activity'!$FT:$FT,Example!$G49,'Resource Demand - Activity'!BI:BI)</f>
        <v>0</v>
      </c>
      <c r="BO49" s="35">
        <f>SUMIF('Resource Demand - Activity'!$FT:$FT,Example!$G49,'Resource Demand - Activity'!BJ:BJ)</f>
        <v>0</v>
      </c>
      <c r="BP49" s="35">
        <f>SUMIF('Resource Demand - Activity'!$FT:$FT,Example!$G49,'Resource Demand - Activity'!BK:BK)</f>
        <v>0</v>
      </c>
      <c r="BQ49" s="35">
        <f>SUMIF('Resource Demand - Activity'!$FT:$FT,Example!$G49,'Resource Demand - Activity'!BL:BL)</f>
        <v>0</v>
      </c>
      <c r="BR49" s="35">
        <f>SUMIF('Resource Demand - Activity'!$FT:$FT,Example!$G49,'Resource Demand - Activity'!BM:BM)</f>
        <v>0</v>
      </c>
      <c r="BS49" s="35">
        <f>SUMIF('Resource Demand - Activity'!$FT:$FT,Example!$G49,'Resource Demand - Activity'!BN:BN)</f>
        <v>0</v>
      </c>
      <c r="BT49" s="35">
        <f>SUMIF('Resource Demand - Activity'!$FT:$FT,Example!$G49,'Resource Demand - Activity'!BO:BO)</f>
        <v>0</v>
      </c>
      <c r="BU49" s="35">
        <f>SUMIF('Resource Demand - Activity'!$FT:$FT,Example!$G49,'Resource Demand - Activity'!BP:BP)</f>
        <v>0</v>
      </c>
      <c r="BV49" s="35">
        <f>SUMIF('Resource Demand - Activity'!$FT:$FT,Example!$G49,'Resource Demand - Activity'!BQ:BQ)</f>
        <v>0</v>
      </c>
      <c r="BW49" s="35">
        <f>SUMIF('Resource Demand - Activity'!$FT:$FT,Example!$G49,'Resource Demand - Activity'!BR:BR)</f>
        <v>0</v>
      </c>
      <c r="BX49" s="35">
        <f>SUMIF('Resource Demand - Activity'!$FT:$FT,Example!$G49,'Resource Demand - Activity'!BS:BS)</f>
        <v>0</v>
      </c>
      <c r="BY49" s="35">
        <f>SUMIF('Resource Demand - Activity'!$FT:$FT,Example!$G49,'Resource Demand - Activity'!BT:BT)</f>
        <v>0</v>
      </c>
      <c r="BZ49" s="35">
        <f>SUMIF('Resource Demand - Activity'!$FT:$FT,Example!$G49,'Resource Demand - Activity'!BU:BU)</f>
        <v>0</v>
      </c>
      <c r="CA49" s="35">
        <f>SUMIF('Resource Demand - Activity'!$FT:$FT,Example!$G49,'Resource Demand - Activity'!BV:BV)</f>
        <v>0</v>
      </c>
      <c r="CB49" s="35">
        <f>SUMIF('Resource Demand - Activity'!$FT:$FT,Example!$G49,'Resource Demand - Activity'!BW:BW)</f>
        <v>0</v>
      </c>
      <c r="CC49" s="35">
        <f>SUMIF('Resource Demand - Activity'!$FT:$FT,Example!$G49,'Resource Demand - Activity'!BX:BX)</f>
        <v>0</v>
      </c>
      <c r="CD49" s="35">
        <f>SUMIF('Resource Demand - Activity'!$FT:$FT,Example!$G49,'Resource Demand - Activity'!BY:BY)</f>
        <v>0</v>
      </c>
      <c r="CE49" s="35">
        <f>SUMIF('Resource Demand - Activity'!$FT:$FT,Example!$G49,'Resource Demand - Activity'!BZ:BZ)</f>
        <v>0</v>
      </c>
      <c r="CF49" s="35">
        <f>SUMIF('Resource Demand - Activity'!$FT:$FT,Example!$G49,'Resource Demand - Activity'!CA:CA)</f>
        <v>0</v>
      </c>
      <c r="CG49" s="35">
        <f>SUMIF('Resource Demand - Activity'!$FT:$FT,Example!$G49,'Resource Demand - Activity'!CB:CB)</f>
        <v>0</v>
      </c>
      <c r="CH49" s="35">
        <f>SUMIF('Resource Demand - Activity'!$FT:$FT,Example!$G49,'Resource Demand - Activity'!CC:CC)</f>
        <v>0</v>
      </c>
      <c r="CI49" s="35">
        <f>SUMIF('Resource Demand - Activity'!$FT:$FT,Example!$G49,'Resource Demand - Activity'!CD:CD)</f>
        <v>0</v>
      </c>
      <c r="CJ49" s="35">
        <f>SUMIF('Resource Demand - Activity'!$FT:$FT,Example!$G49,'Resource Demand - Activity'!CE:CE)</f>
        <v>0</v>
      </c>
      <c r="CK49" s="35">
        <f>SUMIF('Resource Demand - Activity'!$FT:$FT,Example!$G49,'Resource Demand - Activity'!CF:CF)</f>
        <v>0</v>
      </c>
      <c r="CL49" s="35">
        <f>SUMIF('Resource Demand - Activity'!$FT:$FT,Example!$G49,'Resource Demand - Activity'!CG:CG)</f>
        <v>0</v>
      </c>
      <c r="CM49" s="35">
        <f>SUMIF('Resource Demand - Activity'!$FT:$FT,Example!$G49,'Resource Demand - Activity'!CH:CH)</f>
        <v>0</v>
      </c>
      <c r="CN49" s="35">
        <f>SUMIF('Resource Demand - Activity'!$FT:$FT,Example!$G49,'Resource Demand - Activity'!CI:CI)</f>
        <v>0</v>
      </c>
      <c r="CO49" s="35">
        <f>SUMIF('Resource Demand - Activity'!$FT:$FT,Example!$G49,'Resource Demand - Activity'!CJ:CJ)</f>
        <v>0</v>
      </c>
      <c r="CP49" s="35">
        <f>SUMIF('Resource Demand - Activity'!$FT:$FT,Example!$G49,'Resource Demand - Activity'!CK:CK)</f>
        <v>0</v>
      </c>
      <c r="CQ49" s="35">
        <f>SUMIF('Resource Demand - Activity'!$FT:$FT,Example!$G49,'Resource Demand - Activity'!CL:CL)</f>
        <v>0</v>
      </c>
      <c r="CR49" s="35">
        <f>SUMIF('Resource Demand - Activity'!$FT:$FT,Example!$G49,'Resource Demand - Activity'!CM:CM)</f>
        <v>0</v>
      </c>
      <c r="CS49" s="35">
        <f>SUMIF('Resource Demand - Activity'!$FT:$FT,Example!$G49,'Resource Demand - Activity'!CN:CN)</f>
        <v>0</v>
      </c>
      <c r="CT49" s="35">
        <f>SUMIF('Resource Demand - Activity'!$FT:$FT,Example!$G49,'Resource Demand - Activity'!CO:CO)</f>
        <v>0</v>
      </c>
      <c r="CU49" s="35">
        <f>SUMIF('Resource Demand - Activity'!$FT:$FT,Example!$G49,'Resource Demand - Activity'!CP:CP)</f>
        <v>0</v>
      </c>
      <c r="CV49" s="35">
        <f>SUMIF('Resource Demand - Activity'!$FT:$FT,Example!$G49,'Resource Demand - Activity'!CQ:CQ)</f>
        <v>0</v>
      </c>
      <c r="CW49" s="35">
        <f>SUMIF('Resource Demand - Activity'!$FT:$FT,Example!$G49,'Resource Demand - Activity'!CR:CR)</f>
        <v>0</v>
      </c>
      <c r="CX49" s="35">
        <f>SUMIF('Resource Demand - Activity'!$FT:$FT,Example!$G49,'Resource Demand - Activity'!CS:CS)</f>
        <v>0</v>
      </c>
      <c r="CY49" s="36">
        <f>SUMIF('Resource Demand - Activity'!$FT:$FT,Example!$G49,'Resource Demand - Activity'!CT:CT)</f>
        <v>0</v>
      </c>
      <c r="CZ49" s="35">
        <f>SUMIF('Resource Demand - Activity'!$FT:$FT,Example!$G49,'Resource Demand - Activity'!CU:CU)</f>
        <v>0</v>
      </c>
      <c r="DA49" s="35">
        <f>SUMIF('Resource Demand - Activity'!$FT:$FT,Example!$G49,'Resource Demand - Activity'!CV:CV)</f>
        <v>0</v>
      </c>
      <c r="DB49" s="35">
        <f>SUMIF('Resource Demand - Activity'!$FT:$FT,Example!$G49,'Resource Demand - Activity'!CW:CW)</f>
        <v>0</v>
      </c>
      <c r="DC49" s="35">
        <f>SUMIF('Resource Demand - Activity'!$FT:$FT,Example!$G49,'Resource Demand - Activity'!CX:CX)</f>
        <v>0</v>
      </c>
      <c r="DD49" s="35">
        <f>SUMIF('Resource Demand - Activity'!$FT:$FT,Example!$G49,'Resource Demand - Activity'!CY:CY)</f>
        <v>0</v>
      </c>
      <c r="DE49" s="36">
        <f>SUMIF('Resource Demand - Activity'!$FT:$FT,Example!$G49,'Resource Demand - Activity'!CZ:CZ)</f>
        <v>0</v>
      </c>
      <c r="DF49" s="36">
        <f>SUMIF('Resource Demand - Activity'!$FT:$FT,Example!$G49,'Resource Demand - Activity'!DA:DA)</f>
        <v>0</v>
      </c>
      <c r="DG49" s="35">
        <f>SUMIF('Resource Demand - Activity'!$FT:$FT,Example!$G49,'Resource Demand - Activity'!DB:DB)</f>
        <v>0</v>
      </c>
      <c r="DH49" s="35">
        <f>SUMIF('Resource Demand - Activity'!$FT:$FT,Example!$G49,'Resource Demand - Activity'!DC:DC)</f>
        <v>0</v>
      </c>
      <c r="DI49" s="35">
        <f>SUMIF('Resource Demand - Activity'!$FT:$FT,Example!$G49,'Resource Demand - Activity'!DD:DD)</f>
        <v>0</v>
      </c>
      <c r="DJ49" s="35">
        <f>SUMIF('Resource Demand - Activity'!$FT:$FT,Example!$G49,'Resource Demand - Activity'!DE:DE)</f>
        <v>0</v>
      </c>
      <c r="DK49" s="35">
        <f>SUMIF('Resource Demand - Activity'!$FT:$FT,Example!$G49,'Resource Demand - Activity'!DF:DF)</f>
        <v>0</v>
      </c>
      <c r="DL49" s="35">
        <f>SUMIF('Resource Demand - Activity'!$FT:$FT,Example!$G49,'Resource Demand - Activity'!DG:DG)</f>
        <v>0</v>
      </c>
      <c r="DM49" s="35">
        <f>SUMIF('Resource Demand - Activity'!$FT:$FT,Example!$G49,'Resource Demand - Activity'!DH:DH)</f>
        <v>0</v>
      </c>
      <c r="DN49" s="35">
        <f>SUMIF('Resource Demand - Activity'!$FT:$FT,Example!$G49,'Resource Demand - Activity'!DI:DI)</f>
        <v>0</v>
      </c>
      <c r="DO49" s="35">
        <f>SUMIF('Resource Demand - Activity'!$FT:$FT,Example!$G49,'Resource Demand - Activity'!DJ:DJ)</f>
        <v>0</v>
      </c>
      <c r="DP49" s="35">
        <f>SUMIF('Resource Demand - Activity'!$FT:$FT,Example!$G49,'Resource Demand - Activity'!DK:DK)</f>
        <v>0</v>
      </c>
      <c r="DQ49" s="35">
        <f>SUMIF('Resource Demand - Activity'!$FT:$FT,Example!$G49,'Resource Demand - Activity'!DL:DL)</f>
        <v>0</v>
      </c>
      <c r="DR49" s="35">
        <f>SUMIF('Resource Demand - Activity'!$FT:$FT,Example!$G49,'Resource Demand - Activity'!DM:DM)</f>
        <v>0</v>
      </c>
      <c r="DS49" s="35">
        <f>SUMIF('Resource Demand - Activity'!$FT:$FT,Example!$G49,'Resource Demand - Activity'!DN:DN)</f>
        <v>0</v>
      </c>
      <c r="DT49" s="35">
        <f>SUMIF('Resource Demand - Activity'!$FT:$FT,Example!$G49,'Resource Demand - Activity'!DO:DO)</f>
        <v>0</v>
      </c>
      <c r="DU49" s="35">
        <f>SUMIF('Resource Demand - Activity'!$FT:$FT,Example!$G49,'Resource Demand - Activity'!DP:DP)</f>
        <v>0</v>
      </c>
      <c r="DV49" s="35">
        <f>SUMIF('Resource Demand - Activity'!$FT:$FT,Example!$G49,'Resource Demand - Activity'!DQ:DQ)</f>
        <v>0</v>
      </c>
      <c r="DW49" s="35">
        <f>SUMIF('Resource Demand - Activity'!$FT:$FT,Example!$G49,'Resource Demand - Activity'!DR:DR)</f>
        <v>0</v>
      </c>
      <c r="DX49" s="35">
        <f>SUMIF('Resource Demand - Activity'!$FT:$FT,Example!$G49,'Resource Demand - Activity'!DS:DS)</f>
        <v>0</v>
      </c>
      <c r="DY49" s="35">
        <f>SUMIF('Resource Demand - Activity'!$FT:$FT,Example!$G49,'Resource Demand - Activity'!DT:DT)</f>
        <v>0</v>
      </c>
      <c r="DZ49" s="35">
        <f>SUMIF('Resource Demand - Activity'!$FT:$FT,Example!$G49,'Resource Demand - Activity'!DU:DU)</f>
        <v>0</v>
      </c>
      <c r="EA49" s="35">
        <f>SUMIF('Resource Demand - Activity'!$FT:$FT,Example!$G49,'Resource Demand - Activity'!DV:DV)</f>
        <v>0</v>
      </c>
      <c r="EB49" s="35">
        <f>SUMIF('Resource Demand - Activity'!$FT:$FT,Example!$G49,'Resource Demand - Activity'!DW:DW)</f>
        <v>0</v>
      </c>
      <c r="EC49" s="35">
        <f>SUMIF('Resource Demand - Activity'!$FT:$FT,Example!$G49,'Resource Demand - Activity'!DX:DX)</f>
        <v>1</v>
      </c>
      <c r="ED49" s="35">
        <f>SUMIF('Resource Demand - Activity'!$FT:$FT,Example!$G49,'Resource Demand - Activity'!DY:DY)</f>
        <v>1</v>
      </c>
      <c r="EE49" s="36">
        <f>SUMIF('Resource Demand - Activity'!$FT:$FT,Example!$G49,'Resource Demand - Activity'!DZ:DZ)</f>
        <v>0</v>
      </c>
      <c r="EF49" s="35">
        <f>SUMIF('Resource Demand - Activity'!$FT:$FT,Example!$G49,'Resource Demand - Activity'!EA:EA)</f>
        <v>1</v>
      </c>
      <c r="EG49" s="35">
        <f>SUMIF('Resource Demand - Activity'!$FT:$FT,Example!$G49,'Resource Demand - Activity'!EB:EB)</f>
        <v>1</v>
      </c>
      <c r="EH49" s="35">
        <f>SUMIF('Resource Demand - Activity'!$FT:$FT,Example!$G49,'Resource Demand - Activity'!EC:EC)</f>
        <v>1</v>
      </c>
      <c r="EI49" s="35">
        <f>SUMIF('Resource Demand - Activity'!$FT:$FT,Example!$G49,'Resource Demand - Activity'!ED:ED)</f>
        <v>1</v>
      </c>
      <c r="EJ49" s="35">
        <f>SUMIF('Resource Demand - Activity'!$FT:$FT,Example!$G49,'Resource Demand - Activity'!EE:EE)</f>
        <v>1</v>
      </c>
      <c r="EK49" s="35">
        <f>SUMIF('Resource Demand - Activity'!$FT:$FT,Example!$G49,'Resource Demand - Activity'!EF:EF)</f>
        <v>1</v>
      </c>
      <c r="EL49" s="35">
        <f>SUMIF('Resource Demand - Activity'!$FT:$FT,Example!$G49,'Resource Demand - Activity'!EG:EG)</f>
        <v>0</v>
      </c>
      <c r="EM49" s="35">
        <f>SUMIF('Resource Demand - Activity'!$FT:$FT,Example!$G49,'Resource Demand - Activity'!EH:EH)</f>
        <v>0</v>
      </c>
      <c r="EN49" s="35">
        <f>SUMIF('Resource Demand - Activity'!$FT:$FT,Example!$G49,'Resource Demand - Activity'!EI:EI)</f>
        <v>0</v>
      </c>
      <c r="EO49" s="35">
        <f>SUMIF('Resource Demand - Activity'!$FT:$FT,Example!$G49,'Resource Demand - Activity'!EJ:EJ)</f>
        <v>0</v>
      </c>
      <c r="EP49" s="35">
        <f>SUMIF('Resource Demand - Activity'!$FT:$FT,Example!$G49,'Resource Demand - Activity'!EK:EK)</f>
        <v>0</v>
      </c>
      <c r="EQ49" s="35">
        <f>SUMIF('Resource Demand - Activity'!$FT:$FT,Example!$G49,'Resource Demand - Activity'!EL:EL)</f>
        <v>0</v>
      </c>
      <c r="ER49" s="35">
        <f>SUMIF('Resource Demand - Activity'!$FT:$FT,Example!$G49,'Resource Demand - Activity'!EM:EM)</f>
        <v>0</v>
      </c>
      <c r="ES49" s="35">
        <f>SUMIF('Resource Demand - Activity'!$FT:$FT,Example!$G49,'Resource Demand - Activity'!EN:EN)</f>
        <v>0</v>
      </c>
      <c r="ET49" s="35">
        <f>SUMIF('Resource Demand - Activity'!$FT:$FT,Example!$G49,'Resource Demand - Activity'!EO:EO)</f>
        <v>0</v>
      </c>
      <c r="EU49" s="35">
        <f>SUMIF('Resource Demand - Activity'!$FT:$FT,Example!$G49,'Resource Demand - Activity'!EP:EP)</f>
        <v>0</v>
      </c>
      <c r="EV49" s="35">
        <f>SUMIF('Resource Demand - Activity'!$FT:$FT,Example!$G49,'Resource Demand - Activity'!EQ:EQ)</f>
        <v>0</v>
      </c>
      <c r="EW49" s="35">
        <f>SUMIF('Resource Demand - Activity'!$FT:$FT,Example!$G49,'Resource Demand - Activity'!ER:ER)</f>
        <v>0</v>
      </c>
      <c r="EX49" s="35">
        <f>SUMIF('Resource Demand - Activity'!$FT:$FT,Example!$G49,'Resource Demand - Activity'!ES:ES)</f>
        <v>0</v>
      </c>
      <c r="EY49" s="35">
        <f>SUMIF('Resource Demand - Activity'!$FT:$FT,Example!$G49,'Resource Demand - Activity'!ET:ET)</f>
        <v>0</v>
      </c>
      <c r="EZ49" s="35">
        <f>SUMIF('Resource Demand - Activity'!$FT:$FT,Example!$G49,'Resource Demand - Activity'!EU:EU)</f>
        <v>0</v>
      </c>
      <c r="FA49" s="35">
        <f>SUMIF('Resource Demand - Activity'!$FT:$FT,Example!$G49,'Resource Demand - Activity'!EV:EV)</f>
        <v>0</v>
      </c>
      <c r="FB49" s="35">
        <f>SUMIF('Resource Demand - Activity'!$FT:$FT,Example!$G49,'Resource Demand - Activity'!EW:EW)</f>
        <v>0</v>
      </c>
      <c r="FC49" s="35">
        <f>SUMIF('Resource Demand - Activity'!$FT:$FT,Example!$G49,'Resource Demand - Activity'!EX:EX)</f>
        <v>0</v>
      </c>
      <c r="FD49" s="36">
        <f>SUMIF('Resource Demand - Activity'!$FT:$FT,Example!$G49,'Resource Demand - Activity'!EY:EY)</f>
        <v>0</v>
      </c>
      <c r="FE49" s="35">
        <f>SUMIF('Resource Demand - Activity'!$FT:$FT,Example!$G49,'Resource Demand - Activity'!EZ:EZ)</f>
        <v>0</v>
      </c>
      <c r="FF49" s="35">
        <f>SUMIF('Resource Demand - Activity'!$FT:$FT,Example!$G49,'Resource Demand - Activity'!FA:FA)</f>
        <v>0</v>
      </c>
      <c r="FG49" s="35">
        <f>SUMIF('Resource Demand - Activity'!$FT:$FT,Example!$G49,'Resource Demand - Activity'!FB:FB)</f>
        <v>0</v>
      </c>
      <c r="FH49" s="35">
        <f>SUMIF('Resource Demand - Activity'!$FT:$FT,Example!$G49,'Resource Demand - Activity'!FC:FC)</f>
        <v>0</v>
      </c>
      <c r="FI49" s="35">
        <f>SUMIF('Resource Demand - Activity'!$FT:$FT,Example!$G49,'Resource Demand - Activity'!FD:FD)</f>
        <v>0</v>
      </c>
      <c r="FJ49" s="35">
        <f>SUMIF('Resource Demand - Activity'!$FT:$FT,Example!$G49,'Resource Demand - Activity'!FE:FE)</f>
        <v>0</v>
      </c>
      <c r="FK49" s="35">
        <f>SUMIF('Resource Demand - Activity'!$FT:$FT,Example!$G49,'Resource Demand - Activity'!FF:FF)</f>
        <v>0</v>
      </c>
      <c r="FL49" s="35">
        <f>SUMIF('Resource Demand - Activity'!$FT:$FT,Example!$G49,'Resource Demand - Activity'!FG:FG)</f>
        <v>0</v>
      </c>
      <c r="FM49" s="35">
        <f>SUMIF('Resource Demand - Activity'!$FT:$FT,Example!$G49,'Resource Demand - Activity'!FH:FH)</f>
        <v>0</v>
      </c>
      <c r="FN49" s="35">
        <f>SUMIF('Resource Demand - Activity'!$FT:$FT,Example!$G49,'Resource Demand - Activity'!FI:FI)</f>
        <v>0</v>
      </c>
      <c r="FO49" s="35">
        <f>SUMIF('Resource Demand - Activity'!$FT:$FT,Example!$G49,'Resource Demand - Activity'!FJ:FJ)</f>
        <v>0</v>
      </c>
      <c r="FP49" s="35">
        <f>SUMIF('Resource Demand - Activity'!$FT:$FT,Example!$G49,'Resource Demand - Activity'!FK:FK)</f>
        <v>0</v>
      </c>
      <c r="FQ49" s="35">
        <f>SUMIF('Resource Demand - Activity'!$FT:$FT,Example!$G49,'Resource Demand - Activity'!FL:FL)</f>
        <v>0</v>
      </c>
      <c r="FR49" s="35">
        <f>SUMIF('Resource Demand - Activity'!$FT:$FT,Example!$G49,'Resource Demand - Activity'!FM:FM)</f>
        <v>0</v>
      </c>
      <c r="FS49" s="35">
        <f>SUMIF('Resource Demand - Activity'!$FT:$FT,Example!$G49,'Resource Demand - Activity'!FN:FN)</f>
        <v>0</v>
      </c>
      <c r="FT49" s="35">
        <f>SUMIF('Resource Demand - Activity'!$FT:$FT,Example!$G49,'Resource Demand - Activity'!FO:FO)</f>
        <v>0</v>
      </c>
      <c r="FU49" s="35">
        <f>SUMIF('Resource Demand - Activity'!$FT:$FT,Example!$G49,'Resource Demand - Activity'!FP:FP)</f>
        <v>0</v>
      </c>
      <c r="FV49" s="52">
        <f>SUMIF('Resource Demand - Activity'!$FT:$FT,Example!$G49,'Resource Demand - Activity'!FQ:FQ)</f>
        <v>0</v>
      </c>
    </row>
    <row r="50" spans="2:178" ht="12" customHeight="1">
      <c r="B50" s="143" t="s">
        <v>16</v>
      </c>
      <c r="C50" s="149">
        <f>C37</f>
        <v>24108</v>
      </c>
      <c r="D50" s="149">
        <f>D37</f>
        <v>92988</v>
      </c>
      <c r="E50" s="164"/>
      <c r="G50" s="64" t="str">
        <f t="shared" si="7"/>
        <v>10. BAU Transition 10.2 Quarterly Reporting (QRTs) Senior Accountant</v>
      </c>
      <c r="H50" s="61" t="s">
        <v>141</v>
      </c>
      <c r="I50" s="59" t="str">
        <f>INDEX('Resource Demand - Activity'!C:C,MATCH(Example!G50,'Resource Demand - Activity'!FT:FT,0))</f>
        <v>7 days</v>
      </c>
      <c r="J50" s="51">
        <f>SUMIF('Resource Demand - Activity'!$FT:$FT,Example!$G50,'Resource Demand - Activity'!E:E)</f>
        <v>0</v>
      </c>
      <c r="K50" s="35">
        <f>SUMIF('Resource Demand - Activity'!$FT:$FT,Example!$G50,'Resource Demand - Activity'!F:F)</f>
        <v>0</v>
      </c>
      <c r="L50" s="35">
        <f>SUMIF('Resource Demand - Activity'!$FT:$FT,Example!$G50,'Resource Demand - Activity'!G:G)</f>
        <v>0</v>
      </c>
      <c r="M50" s="35">
        <f>SUMIF('Resource Demand - Activity'!$FT:$FT,Example!$G50,'Resource Demand - Activity'!H:H)</f>
        <v>0</v>
      </c>
      <c r="N50" s="35">
        <f>SUMIF('Resource Demand - Activity'!$FT:$FT,Example!$G50,'Resource Demand - Activity'!I:I)</f>
        <v>0</v>
      </c>
      <c r="O50" s="35">
        <f>SUMIF('Resource Demand - Activity'!$FT:$FT,Example!$G50,'Resource Demand - Activity'!J:J)</f>
        <v>0</v>
      </c>
      <c r="P50" s="35">
        <f>SUMIF('Resource Demand - Activity'!$FT:$FT,Example!$G50,'Resource Demand - Activity'!K:K)</f>
        <v>0</v>
      </c>
      <c r="Q50" s="35">
        <f>SUMIF('Resource Demand - Activity'!$FT:$FT,Example!$G50,'Resource Demand - Activity'!L:L)</f>
        <v>0</v>
      </c>
      <c r="R50" s="35">
        <f>SUMIF('Resource Demand - Activity'!$FT:$FT,Example!$G50,'Resource Demand - Activity'!M:M)</f>
        <v>0</v>
      </c>
      <c r="S50" s="35">
        <f>SUMIF('Resource Demand - Activity'!$FT:$FT,Example!$G50,'Resource Demand - Activity'!N:N)</f>
        <v>0</v>
      </c>
      <c r="T50" s="35">
        <f>SUMIF('Resource Demand - Activity'!$FT:$FT,Example!$G50,'Resource Demand - Activity'!O:O)</f>
        <v>0</v>
      </c>
      <c r="U50" s="35">
        <f>SUMIF('Resource Demand - Activity'!$FT:$FT,Example!$G50,'Resource Demand - Activity'!P:P)</f>
        <v>0</v>
      </c>
      <c r="V50" s="35">
        <f>SUMIF('Resource Demand - Activity'!$FT:$FT,Example!$G50,'Resource Demand - Activity'!Q:Q)</f>
        <v>0</v>
      </c>
      <c r="W50" s="35">
        <f>SUMIF('Resource Demand - Activity'!$FT:$FT,Example!$G50,'Resource Demand - Activity'!R:R)</f>
        <v>0</v>
      </c>
      <c r="X50" s="35">
        <f>SUMIF('Resource Demand - Activity'!$FT:$FT,Example!$G50,'Resource Demand - Activity'!S:S)</f>
        <v>0</v>
      </c>
      <c r="Y50" s="35">
        <f>SUMIF('Resource Demand - Activity'!$FT:$FT,Example!$G50,'Resource Demand - Activity'!T:T)</f>
        <v>0</v>
      </c>
      <c r="Z50" s="35">
        <f>SUMIF('Resource Demand - Activity'!$FT:$FT,Example!$G50,'Resource Demand - Activity'!U:U)</f>
        <v>0</v>
      </c>
      <c r="AA50" s="35">
        <f>SUMIF('Resource Demand - Activity'!$FT:$FT,Example!$G50,'Resource Demand - Activity'!V:V)</f>
        <v>0</v>
      </c>
      <c r="AB50" s="35">
        <f>SUMIF('Resource Demand - Activity'!$FT:$FT,Example!$G50,'Resource Demand - Activity'!W:W)</f>
        <v>0</v>
      </c>
      <c r="AC50" s="35">
        <f>SUMIF('Resource Demand - Activity'!$FT:$FT,Example!$G50,'Resource Demand - Activity'!X:X)</f>
        <v>0</v>
      </c>
      <c r="AD50" s="35">
        <f>SUMIF('Resource Demand - Activity'!$FT:$FT,Example!$G50,'Resource Demand - Activity'!Y:Y)</f>
        <v>0</v>
      </c>
      <c r="AE50" s="35">
        <f>SUMIF('Resource Demand - Activity'!$FT:$FT,Example!$G50,'Resource Demand - Activity'!Z:Z)</f>
        <v>0</v>
      </c>
      <c r="AF50" s="35">
        <f>SUMIF('Resource Demand - Activity'!$FT:$FT,Example!$G50,'Resource Demand - Activity'!AA:AA)</f>
        <v>0</v>
      </c>
      <c r="AG50" s="35">
        <f>SUMIF('Resource Demand - Activity'!$FT:$FT,Example!$G50,'Resource Demand - Activity'!AB:AB)</f>
        <v>0</v>
      </c>
      <c r="AH50" s="35">
        <f>SUMIF('Resource Demand - Activity'!$FT:$FT,Example!$G50,'Resource Demand - Activity'!AC:AC)</f>
        <v>0</v>
      </c>
      <c r="AI50" s="35">
        <f>SUMIF('Resource Demand - Activity'!$FT:$FT,Example!$G50,'Resource Demand - Activity'!AD:AD)</f>
        <v>0</v>
      </c>
      <c r="AJ50" s="35">
        <f>SUMIF('Resource Demand - Activity'!$FT:$FT,Example!$G50,'Resource Demand - Activity'!AE:AE)</f>
        <v>0</v>
      </c>
      <c r="AK50" s="35">
        <f>SUMIF('Resource Demand - Activity'!$FT:$FT,Example!$G50,'Resource Demand - Activity'!AF:AF)</f>
        <v>0</v>
      </c>
      <c r="AL50" s="35">
        <f>SUMIF('Resource Demand - Activity'!$FT:$FT,Example!$G50,'Resource Demand - Activity'!AG:AG)</f>
        <v>0</v>
      </c>
      <c r="AM50" s="35">
        <f>SUMIF('Resource Demand - Activity'!$FT:$FT,Example!$G50,'Resource Demand - Activity'!AH:AH)</f>
        <v>0</v>
      </c>
      <c r="AN50" s="35">
        <f>SUMIF('Resource Demand - Activity'!$FT:$FT,Example!$G50,'Resource Demand - Activity'!AI:AI)</f>
        <v>0</v>
      </c>
      <c r="AO50" s="35">
        <f>SUMIF('Resource Demand - Activity'!$FT:$FT,Example!$G50,'Resource Demand - Activity'!AJ:AJ)</f>
        <v>0</v>
      </c>
      <c r="AP50" s="35">
        <f>SUMIF('Resource Demand - Activity'!$FT:$FT,Example!$G50,'Resource Demand - Activity'!AK:AK)</f>
        <v>0</v>
      </c>
      <c r="AQ50" s="36">
        <f>SUMIF('Resource Demand - Activity'!$FT:$FT,Example!$G50,'Resource Demand - Activity'!AL:AL)</f>
        <v>0</v>
      </c>
      <c r="AR50" s="36">
        <f>SUMIF('Resource Demand - Activity'!$FT:$FT,Example!$G50,'Resource Demand - Activity'!AM:AM)</f>
        <v>0</v>
      </c>
      <c r="AS50" s="36">
        <f>SUMIF('Resource Demand - Activity'!$FT:$FT,Example!$G50,'Resource Demand - Activity'!AN:AN)</f>
        <v>0</v>
      </c>
      <c r="AT50" s="36">
        <f>SUMIF('Resource Demand - Activity'!$FT:$FT,Example!$G50,'Resource Demand - Activity'!AO:AO)</f>
        <v>0</v>
      </c>
      <c r="AU50" s="36">
        <f>SUMIF('Resource Demand - Activity'!$FT:$FT,Example!$G50,'Resource Demand - Activity'!AP:AP)</f>
        <v>0</v>
      </c>
      <c r="AV50" s="36">
        <f>SUMIF('Resource Demand - Activity'!$FT:$FT,Example!$G50,'Resource Demand - Activity'!AQ:AQ)</f>
        <v>0</v>
      </c>
      <c r="AW50" s="36">
        <f>SUMIF('Resource Demand - Activity'!$FT:$FT,Example!$G50,'Resource Demand - Activity'!AR:AR)</f>
        <v>0</v>
      </c>
      <c r="AX50" s="35">
        <f>SUMIF('Resource Demand - Activity'!$FT:$FT,Example!$G50,'Resource Demand - Activity'!AS:AS)</f>
        <v>0</v>
      </c>
      <c r="AY50" s="35">
        <f>SUMIF('Resource Demand - Activity'!$FT:$FT,Example!$G50,'Resource Demand - Activity'!AT:AT)</f>
        <v>0</v>
      </c>
      <c r="AZ50" s="35">
        <f>SUMIF('Resource Demand - Activity'!$FT:$FT,Example!$G50,'Resource Demand - Activity'!AU:AU)</f>
        <v>0</v>
      </c>
      <c r="BA50" s="35">
        <f>SUMIF('Resource Demand - Activity'!$FT:$FT,Example!$G50,'Resource Demand - Activity'!AV:AV)</f>
        <v>0</v>
      </c>
      <c r="BB50" s="35">
        <f>SUMIF('Resource Demand - Activity'!$FT:$FT,Example!$G50,'Resource Demand - Activity'!AW:AW)</f>
        <v>0</v>
      </c>
      <c r="BC50" s="35">
        <f>SUMIF('Resource Demand - Activity'!$FT:$FT,Example!$G50,'Resource Demand - Activity'!AX:AX)</f>
        <v>0</v>
      </c>
      <c r="BD50" s="35">
        <f>SUMIF('Resource Demand - Activity'!$FT:$FT,Example!$G50,'Resource Demand - Activity'!AY:AY)</f>
        <v>0</v>
      </c>
      <c r="BE50" s="35">
        <f>SUMIF('Resource Demand - Activity'!$FT:$FT,Example!$G50,'Resource Demand - Activity'!AZ:AZ)</f>
        <v>0</v>
      </c>
      <c r="BF50" s="35">
        <f>SUMIF('Resource Demand - Activity'!$FT:$FT,Example!$G50,'Resource Demand - Activity'!BA:BA)</f>
        <v>0</v>
      </c>
      <c r="BG50" s="35">
        <f>SUMIF('Resource Demand - Activity'!$FT:$FT,Example!$G50,'Resource Demand - Activity'!BB:BB)</f>
        <v>0</v>
      </c>
      <c r="BH50" s="35">
        <f>SUMIF('Resource Demand - Activity'!$FT:$FT,Example!$G50,'Resource Demand - Activity'!BC:BC)</f>
        <v>0</v>
      </c>
      <c r="BI50" s="35">
        <f>SUMIF('Resource Demand - Activity'!$FT:$FT,Example!$G50,'Resource Demand - Activity'!BD:BD)</f>
        <v>0</v>
      </c>
      <c r="BJ50" s="35">
        <f>SUMIF('Resource Demand - Activity'!$FT:$FT,Example!$G50,'Resource Demand - Activity'!BE:BE)</f>
        <v>0</v>
      </c>
      <c r="BK50" s="35">
        <f>SUMIF('Resource Demand - Activity'!$FT:$FT,Example!$G50,'Resource Demand - Activity'!BF:BF)</f>
        <v>0</v>
      </c>
      <c r="BL50" s="35">
        <f>SUMIF('Resource Demand - Activity'!$FT:$FT,Example!$G50,'Resource Demand - Activity'!BG:BG)</f>
        <v>0</v>
      </c>
      <c r="BM50" s="35">
        <f>SUMIF('Resource Demand - Activity'!$FT:$FT,Example!$G50,'Resource Demand - Activity'!BH:BH)</f>
        <v>0</v>
      </c>
      <c r="BN50" s="35">
        <f>SUMIF('Resource Demand - Activity'!$FT:$FT,Example!$G50,'Resource Demand - Activity'!BI:BI)</f>
        <v>0</v>
      </c>
      <c r="BO50" s="35">
        <f>SUMIF('Resource Demand - Activity'!$FT:$FT,Example!$G50,'Resource Demand - Activity'!BJ:BJ)</f>
        <v>0</v>
      </c>
      <c r="BP50" s="35">
        <f>SUMIF('Resource Demand - Activity'!$FT:$FT,Example!$G50,'Resource Demand - Activity'!BK:BK)</f>
        <v>0</v>
      </c>
      <c r="BQ50" s="35">
        <f>SUMIF('Resource Demand - Activity'!$FT:$FT,Example!$G50,'Resource Demand - Activity'!BL:BL)</f>
        <v>0</v>
      </c>
      <c r="BR50" s="35">
        <f>SUMIF('Resource Demand - Activity'!$FT:$FT,Example!$G50,'Resource Demand - Activity'!BM:BM)</f>
        <v>0</v>
      </c>
      <c r="BS50" s="35">
        <f>SUMIF('Resource Demand - Activity'!$FT:$FT,Example!$G50,'Resource Demand - Activity'!BN:BN)</f>
        <v>0</v>
      </c>
      <c r="BT50" s="35">
        <f>SUMIF('Resource Demand - Activity'!$FT:$FT,Example!$G50,'Resource Demand - Activity'!BO:BO)</f>
        <v>0</v>
      </c>
      <c r="BU50" s="35">
        <f>SUMIF('Resource Demand - Activity'!$FT:$FT,Example!$G50,'Resource Demand - Activity'!BP:BP)</f>
        <v>0</v>
      </c>
      <c r="BV50" s="35">
        <f>SUMIF('Resource Demand - Activity'!$FT:$FT,Example!$G50,'Resource Demand - Activity'!BQ:BQ)</f>
        <v>0</v>
      </c>
      <c r="BW50" s="35">
        <f>SUMIF('Resource Demand - Activity'!$FT:$FT,Example!$G50,'Resource Demand - Activity'!BR:BR)</f>
        <v>0</v>
      </c>
      <c r="BX50" s="35">
        <f>SUMIF('Resource Demand - Activity'!$FT:$FT,Example!$G50,'Resource Demand - Activity'!BS:BS)</f>
        <v>0</v>
      </c>
      <c r="BY50" s="35">
        <f>SUMIF('Resource Demand - Activity'!$FT:$FT,Example!$G50,'Resource Demand - Activity'!BT:BT)</f>
        <v>0</v>
      </c>
      <c r="BZ50" s="35">
        <f>SUMIF('Resource Demand - Activity'!$FT:$FT,Example!$G50,'Resource Demand - Activity'!BU:BU)</f>
        <v>0</v>
      </c>
      <c r="CA50" s="35">
        <f>SUMIF('Resource Demand - Activity'!$FT:$FT,Example!$G50,'Resource Demand - Activity'!BV:BV)</f>
        <v>0</v>
      </c>
      <c r="CB50" s="35">
        <f>SUMIF('Resource Demand - Activity'!$FT:$FT,Example!$G50,'Resource Demand - Activity'!BW:BW)</f>
        <v>0</v>
      </c>
      <c r="CC50" s="35">
        <f>SUMIF('Resource Demand - Activity'!$FT:$FT,Example!$G50,'Resource Demand - Activity'!BX:BX)</f>
        <v>0</v>
      </c>
      <c r="CD50" s="35">
        <f>SUMIF('Resource Demand - Activity'!$FT:$FT,Example!$G50,'Resource Demand - Activity'!BY:BY)</f>
        <v>0</v>
      </c>
      <c r="CE50" s="35">
        <f>SUMIF('Resource Demand - Activity'!$FT:$FT,Example!$G50,'Resource Demand - Activity'!BZ:BZ)</f>
        <v>0</v>
      </c>
      <c r="CF50" s="35">
        <f>SUMIF('Resource Demand - Activity'!$FT:$FT,Example!$G50,'Resource Demand - Activity'!CA:CA)</f>
        <v>0</v>
      </c>
      <c r="CG50" s="35">
        <f>SUMIF('Resource Demand - Activity'!$FT:$FT,Example!$G50,'Resource Demand - Activity'!CB:CB)</f>
        <v>0</v>
      </c>
      <c r="CH50" s="35">
        <f>SUMIF('Resource Demand - Activity'!$FT:$FT,Example!$G50,'Resource Demand - Activity'!CC:CC)</f>
        <v>0</v>
      </c>
      <c r="CI50" s="35">
        <f>SUMIF('Resource Demand - Activity'!$FT:$FT,Example!$G50,'Resource Demand - Activity'!CD:CD)</f>
        <v>0</v>
      </c>
      <c r="CJ50" s="35">
        <f>SUMIF('Resource Demand - Activity'!$FT:$FT,Example!$G50,'Resource Demand - Activity'!CE:CE)</f>
        <v>0</v>
      </c>
      <c r="CK50" s="35">
        <f>SUMIF('Resource Demand - Activity'!$FT:$FT,Example!$G50,'Resource Demand - Activity'!CF:CF)</f>
        <v>0</v>
      </c>
      <c r="CL50" s="35">
        <f>SUMIF('Resource Demand - Activity'!$FT:$FT,Example!$G50,'Resource Demand - Activity'!CG:CG)</f>
        <v>0</v>
      </c>
      <c r="CM50" s="35">
        <f>SUMIF('Resource Demand - Activity'!$FT:$FT,Example!$G50,'Resource Demand - Activity'!CH:CH)</f>
        <v>0</v>
      </c>
      <c r="CN50" s="35">
        <f>SUMIF('Resource Demand - Activity'!$FT:$FT,Example!$G50,'Resource Demand - Activity'!CI:CI)</f>
        <v>0</v>
      </c>
      <c r="CO50" s="35">
        <f>SUMIF('Resource Demand - Activity'!$FT:$FT,Example!$G50,'Resource Demand - Activity'!CJ:CJ)</f>
        <v>0</v>
      </c>
      <c r="CP50" s="35">
        <f>SUMIF('Resource Demand - Activity'!$FT:$FT,Example!$G50,'Resource Demand - Activity'!CK:CK)</f>
        <v>0</v>
      </c>
      <c r="CQ50" s="35">
        <f>SUMIF('Resource Demand - Activity'!$FT:$FT,Example!$G50,'Resource Demand - Activity'!CL:CL)</f>
        <v>0</v>
      </c>
      <c r="CR50" s="35">
        <f>SUMIF('Resource Demand - Activity'!$FT:$FT,Example!$G50,'Resource Demand - Activity'!CM:CM)</f>
        <v>0</v>
      </c>
      <c r="CS50" s="35">
        <f>SUMIF('Resource Demand - Activity'!$FT:$FT,Example!$G50,'Resource Demand - Activity'!CN:CN)</f>
        <v>0</v>
      </c>
      <c r="CT50" s="35">
        <f>SUMIF('Resource Demand - Activity'!$FT:$FT,Example!$G50,'Resource Demand - Activity'!CO:CO)</f>
        <v>0</v>
      </c>
      <c r="CU50" s="35">
        <f>SUMIF('Resource Demand - Activity'!$FT:$FT,Example!$G50,'Resource Demand - Activity'!CP:CP)</f>
        <v>0</v>
      </c>
      <c r="CV50" s="35">
        <f>SUMIF('Resource Demand - Activity'!$FT:$FT,Example!$G50,'Resource Demand - Activity'!CQ:CQ)</f>
        <v>0</v>
      </c>
      <c r="CW50" s="35">
        <f>SUMIF('Resource Demand - Activity'!$FT:$FT,Example!$G50,'Resource Demand - Activity'!CR:CR)</f>
        <v>0</v>
      </c>
      <c r="CX50" s="35">
        <f>SUMIF('Resource Demand - Activity'!$FT:$FT,Example!$G50,'Resource Demand - Activity'!CS:CS)</f>
        <v>0</v>
      </c>
      <c r="CY50" s="36">
        <f>SUMIF('Resource Demand - Activity'!$FT:$FT,Example!$G50,'Resource Demand - Activity'!CT:CT)</f>
        <v>0</v>
      </c>
      <c r="CZ50" s="35">
        <f>SUMIF('Resource Demand - Activity'!$FT:$FT,Example!$G50,'Resource Demand - Activity'!CU:CU)</f>
        <v>0</v>
      </c>
      <c r="DA50" s="35">
        <f>SUMIF('Resource Demand - Activity'!$FT:$FT,Example!$G50,'Resource Demand - Activity'!CV:CV)</f>
        <v>0</v>
      </c>
      <c r="DB50" s="35">
        <f>SUMIF('Resource Demand - Activity'!$FT:$FT,Example!$G50,'Resource Demand - Activity'!CW:CW)</f>
        <v>0</v>
      </c>
      <c r="DC50" s="35">
        <f>SUMIF('Resource Demand - Activity'!$FT:$FT,Example!$G50,'Resource Demand - Activity'!CX:CX)</f>
        <v>0</v>
      </c>
      <c r="DD50" s="35">
        <f>SUMIF('Resource Demand - Activity'!$FT:$FT,Example!$G50,'Resource Demand - Activity'!CY:CY)</f>
        <v>0</v>
      </c>
      <c r="DE50" s="36">
        <f>SUMIF('Resource Demand - Activity'!$FT:$FT,Example!$G50,'Resource Demand - Activity'!CZ:CZ)</f>
        <v>0</v>
      </c>
      <c r="DF50" s="36">
        <f>SUMIF('Resource Demand - Activity'!$FT:$FT,Example!$G50,'Resource Demand - Activity'!DA:DA)</f>
        <v>0</v>
      </c>
      <c r="DG50" s="35">
        <f>SUMIF('Resource Demand - Activity'!$FT:$FT,Example!$G50,'Resource Demand - Activity'!DB:DB)</f>
        <v>0</v>
      </c>
      <c r="DH50" s="35">
        <f>SUMIF('Resource Demand - Activity'!$FT:$FT,Example!$G50,'Resource Demand - Activity'!DC:DC)</f>
        <v>0</v>
      </c>
      <c r="DI50" s="35">
        <f>SUMIF('Resource Demand - Activity'!$FT:$FT,Example!$G50,'Resource Demand - Activity'!DD:DD)</f>
        <v>0</v>
      </c>
      <c r="DJ50" s="35">
        <f>SUMIF('Resource Demand - Activity'!$FT:$FT,Example!$G50,'Resource Demand - Activity'!DE:DE)</f>
        <v>0</v>
      </c>
      <c r="DK50" s="35">
        <f>SUMIF('Resource Demand - Activity'!$FT:$FT,Example!$G50,'Resource Demand - Activity'!DF:DF)</f>
        <v>0</v>
      </c>
      <c r="DL50" s="35">
        <f>SUMIF('Resource Demand - Activity'!$FT:$FT,Example!$G50,'Resource Demand - Activity'!DG:DG)</f>
        <v>0</v>
      </c>
      <c r="DM50" s="35">
        <f>SUMIF('Resource Demand - Activity'!$FT:$FT,Example!$G50,'Resource Demand - Activity'!DH:DH)</f>
        <v>0</v>
      </c>
      <c r="DN50" s="35">
        <f>SUMIF('Resource Demand - Activity'!$FT:$FT,Example!$G50,'Resource Demand - Activity'!DI:DI)</f>
        <v>0</v>
      </c>
      <c r="DO50" s="35">
        <f>SUMIF('Resource Demand - Activity'!$FT:$FT,Example!$G50,'Resource Demand - Activity'!DJ:DJ)</f>
        <v>0</v>
      </c>
      <c r="DP50" s="35">
        <f>SUMIF('Resource Demand - Activity'!$FT:$FT,Example!$G50,'Resource Demand - Activity'!DK:DK)</f>
        <v>0</v>
      </c>
      <c r="DQ50" s="35">
        <f>SUMIF('Resource Demand - Activity'!$FT:$FT,Example!$G50,'Resource Demand - Activity'!DL:DL)</f>
        <v>0</v>
      </c>
      <c r="DR50" s="35">
        <f>SUMIF('Resource Demand - Activity'!$FT:$FT,Example!$G50,'Resource Demand - Activity'!DM:DM)</f>
        <v>0</v>
      </c>
      <c r="DS50" s="35">
        <f>SUMIF('Resource Demand - Activity'!$FT:$FT,Example!$G50,'Resource Demand - Activity'!DN:DN)</f>
        <v>0</v>
      </c>
      <c r="DT50" s="35">
        <f>SUMIF('Resource Demand - Activity'!$FT:$FT,Example!$G50,'Resource Demand - Activity'!DO:DO)</f>
        <v>0</v>
      </c>
      <c r="DU50" s="35">
        <f>SUMIF('Resource Demand - Activity'!$FT:$FT,Example!$G50,'Resource Demand - Activity'!DP:DP)</f>
        <v>0</v>
      </c>
      <c r="DV50" s="35">
        <f>SUMIF('Resource Demand - Activity'!$FT:$FT,Example!$G50,'Resource Demand - Activity'!DQ:DQ)</f>
        <v>0</v>
      </c>
      <c r="DW50" s="35">
        <f>SUMIF('Resource Demand - Activity'!$FT:$FT,Example!$G50,'Resource Demand - Activity'!DR:DR)</f>
        <v>0</v>
      </c>
      <c r="DX50" s="35">
        <f>SUMIF('Resource Demand - Activity'!$FT:$FT,Example!$G50,'Resource Demand - Activity'!DS:DS)</f>
        <v>0</v>
      </c>
      <c r="DY50" s="35">
        <f>SUMIF('Resource Demand - Activity'!$FT:$FT,Example!$G50,'Resource Demand - Activity'!DT:DT)</f>
        <v>0</v>
      </c>
      <c r="DZ50" s="35">
        <f>SUMIF('Resource Demand - Activity'!$FT:$FT,Example!$G50,'Resource Demand - Activity'!DU:DU)</f>
        <v>0</v>
      </c>
      <c r="EA50" s="35">
        <f>SUMIF('Resource Demand - Activity'!$FT:$FT,Example!$G50,'Resource Demand - Activity'!DV:DV)</f>
        <v>0</v>
      </c>
      <c r="EB50" s="35">
        <f>SUMIF('Resource Demand - Activity'!$FT:$FT,Example!$G50,'Resource Demand - Activity'!DW:DW)</f>
        <v>0</v>
      </c>
      <c r="EC50" s="35">
        <f>SUMIF('Resource Demand - Activity'!$FT:$FT,Example!$G50,'Resource Demand - Activity'!DX:DX)</f>
        <v>0</v>
      </c>
      <c r="ED50" s="35">
        <f>SUMIF('Resource Demand - Activity'!$FT:$FT,Example!$G50,'Resource Demand - Activity'!DY:DY)</f>
        <v>0</v>
      </c>
      <c r="EE50" s="36">
        <f>SUMIF('Resource Demand - Activity'!$FT:$FT,Example!$G50,'Resource Demand - Activity'!DZ:DZ)</f>
        <v>0</v>
      </c>
      <c r="EF50" s="35">
        <f>SUMIF('Resource Demand - Activity'!$FT:$FT,Example!$G50,'Resource Demand - Activity'!EA:EA)</f>
        <v>0</v>
      </c>
      <c r="EG50" s="35">
        <f>SUMIF('Resource Demand - Activity'!$FT:$FT,Example!$G50,'Resource Demand - Activity'!EB:EB)</f>
        <v>0</v>
      </c>
      <c r="EH50" s="35">
        <f>SUMIF('Resource Demand - Activity'!$FT:$FT,Example!$G50,'Resource Demand - Activity'!EC:EC)</f>
        <v>0</v>
      </c>
      <c r="EI50" s="35">
        <f>SUMIF('Resource Demand - Activity'!$FT:$FT,Example!$G50,'Resource Demand - Activity'!ED:ED)</f>
        <v>0</v>
      </c>
      <c r="EJ50" s="35">
        <f>SUMIF('Resource Demand - Activity'!$FT:$FT,Example!$G50,'Resource Demand - Activity'!EE:EE)</f>
        <v>0</v>
      </c>
      <c r="EK50" s="35">
        <f>SUMIF('Resource Demand - Activity'!$FT:$FT,Example!$G50,'Resource Demand - Activity'!EF:EF)</f>
        <v>0</v>
      </c>
      <c r="EL50" s="35">
        <f>SUMIF('Resource Demand - Activity'!$FT:$FT,Example!$G50,'Resource Demand - Activity'!EG:EG)</f>
        <v>1</v>
      </c>
      <c r="EM50" s="35">
        <f>SUMIF('Resource Demand - Activity'!$FT:$FT,Example!$G50,'Resource Demand - Activity'!EH:EH)</f>
        <v>1</v>
      </c>
      <c r="EN50" s="35">
        <f>SUMIF('Resource Demand - Activity'!$FT:$FT,Example!$G50,'Resource Demand - Activity'!EI:EI)</f>
        <v>1</v>
      </c>
      <c r="EO50" s="35">
        <f>SUMIF('Resource Demand - Activity'!$FT:$FT,Example!$G50,'Resource Demand - Activity'!EJ:EJ)</f>
        <v>1</v>
      </c>
      <c r="EP50" s="35">
        <f>SUMIF('Resource Demand - Activity'!$FT:$FT,Example!$G50,'Resource Demand - Activity'!EK:EK)</f>
        <v>1</v>
      </c>
      <c r="EQ50" s="35">
        <f>SUMIF('Resource Demand - Activity'!$FT:$FT,Example!$G50,'Resource Demand - Activity'!EL:EL)</f>
        <v>1</v>
      </c>
      <c r="ER50" s="35">
        <f>SUMIF('Resource Demand - Activity'!$FT:$FT,Example!$G50,'Resource Demand - Activity'!EM:EM)</f>
        <v>1</v>
      </c>
      <c r="ES50" s="35">
        <f>SUMIF('Resource Demand - Activity'!$FT:$FT,Example!$G50,'Resource Demand - Activity'!EN:EN)</f>
        <v>0</v>
      </c>
      <c r="ET50" s="35">
        <f>SUMIF('Resource Demand - Activity'!$FT:$FT,Example!$G50,'Resource Demand - Activity'!EO:EO)</f>
        <v>0</v>
      </c>
      <c r="EU50" s="35">
        <f>SUMIF('Resource Demand - Activity'!$FT:$FT,Example!$G50,'Resource Demand - Activity'!EP:EP)</f>
        <v>0</v>
      </c>
      <c r="EV50" s="35">
        <f>SUMIF('Resource Demand - Activity'!$FT:$FT,Example!$G50,'Resource Demand - Activity'!EQ:EQ)</f>
        <v>0</v>
      </c>
      <c r="EW50" s="35">
        <f>SUMIF('Resource Demand - Activity'!$FT:$FT,Example!$G50,'Resource Demand - Activity'!ER:ER)</f>
        <v>0</v>
      </c>
      <c r="EX50" s="35">
        <f>SUMIF('Resource Demand - Activity'!$FT:$FT,Example!$G50,'Resource Demand - Activity'!ES:ES)</f>
        <v>0</v>
      </c>
      <c r="EY50" s="35">
        <f>SUMIF('Resource Demand - Activity'!$FT:$FT,Example!$G50,'Resource Demand - Activity'!ET:ET)</f>
        <v>0</v>
      </c>
      <c r="EZ50" s="35">
        <f>SUMIF('Resource Demand - Activity'!$FT:$FT,Example!$G50,'Resource Demand - Activity'!EU:EU)</f>
        <v>0</v>
      </c>
      <c r="FA50" s="35">
        <f>SUMIF('Resource Demand - Activity'!$FT:$FT,Example!$G50,'Resource Demand - Activity'!EV:EV)</f>
        <v>0</v>
      </c>
      <c r="FB50" s="35">
        <f>SUMIF('Resource Demand - Activity'!$FT:$FT,Example!$G50,'Resource Demand - Activity'!EW:EW)</f>
        <v>0</v>
      </c>
      <c r="FC50" s="35">
        <f>SUMIF('Resource Demand - Activity'!$FT:$FT,Example!$G50,'Resource Demand - Activity'!EX:EX)</f>
        <v>0</v>
      </c>
      <c r="FD50" s="36">
        <f>SUMIF('Resource Demand - Activity'!$FT:$FT,Example!$G50,'Resource Demand - Activity'!EY:EY)</f>
        <v>0</v>
      </c>
      <c r="FE50" s="35">
        <f>SUMIF('Resource Demand - Activity'!$FT:$FT,Example!$G50,'Resource Demand - Activity'!EZ:EZ)</f>
        <v>0</v>
      </c>
      <c r="FF50" s="35">
        <f>SUMIF('Resource Demand - Activity'!$FT:$FT,Example!$G50,'Resource Demand - Activity'!FA:FA)</f>
        <v>0</v>
      </c>
      <c r="FG50" s="35">
        <f>SUMIF('Resource Demand - Activity'!$FT:$FT,Example!$G50,'Resource Demand - Activity'!FB:FB)</f>
        <v>0</v>
      </c>
      <c r="FH50" s="35">
        <f>SUMIF('Resource Demand - Activity'!$FT:$FT,Example!$G50,'Resource Demand - Activity'!FC:FC)</f>
        <v>0</v>
      </c>
      <c r="FI50" s="35">
        <f>SUMIF('Resource Demand - Activity'!$FT:$FT,Example!$G50,'Resource Demand - Activity'!FD:FD)</f>
        <v>0</v>
      </c>
      <c r="FJ50" s="35">
        <f>SUMIF('Resource Demand - Activity'!$FT:$FT,Example!$G50,'Resource Demand - Activity'!FE:FE)</f>
        <v>0</v>
      </c>
      <c r="FK50" s="35">
        <f>SUMIF('Resource Demand - Activity'!$FT:$FT,Example!$G50,'Resource Demand - Activity'!FF:FF)</f>
        <v>0</v>
      </c>
      <c r="FL50" s="35">
        <f>SUMIF('Resource Demand - Activity'!$FT:$FT,Example!$G50,'Resource Demand - Activity'!FG:FG)</f>
        <v>0</v>
      </c>
      <c r="FM50" s="35">
        <f>SUMIF('Resource Demand - Activity'!$FT:$FT,Example!$G50,'Resource Demand - Activity'!FH:FH)</f>
        <v>0</v>
      </c>
      <c r="FN50" s="35">
        <f>SUMIF('Resource Demand - Activity'!$FT:$FT,Example!$G50,'Resource Demand - Activity'!FI:FI)</f>
        <v>0</v>
      </c>
      <c r="FO50" s="35">
        <f>SUMIF('Resource Demand - Activity'!$FT:$FT,Example!$G50,'Resource Demand - Activity'!FJ:FJ)</f>
        <v>0</v>
      </c>
      <c r="FP50" s="35">
        <f>SUMIF('Resource Demand - Activity'!$FT:$FT,Example!$G50,'Resource Demand - Activity'!FK:FK)</f>
        <v>0</v>
      </c>
      <c r="FQ50" s="35">
        <f>SUMIF('Resource Demand - Activity'!$FT:$FT,Example!$G50,'Resource Demand - Activity'!FL:FL)</f>
        <v>0</v>
      </c>
      <c r="FR50" s="35">
        <f>SUMIF('Resource Demand - Activity'!$FT:$FT,Example!$G50,'Resource Demand - Activity'!FM:FM)</f>
        <v>0</v>
      </c>
      <c r="FS50" s="35">
        <f>SUMIF('Resource Demand - Activity'!$FT:$FT,Example!$G50,'Resource Demand - Activity'!FN:FN)</f>
        <v>0</v>
      </c>
      <c r="FT50" s="35">
        <f>SUMIF('Resource Demand - Activity'!$FT:$FT,Example!$G50,'Resource Demand - Activity'!FO:FO)</f>
        <v>0</v>
      </c>
      <c r="FU50" s="35">
        <f>SUMIF('Resource Demand - Activity'!$FT:$FT,Example!$G50,'Resource Demand - Activity'!FP:FP)</f>
        <v>0</v>
      </c>
      <c r="FV50" s="52">
        <f>SUMIF('Resource Demand - Activity'!$FT:$FT,Example!$G50,'Resource Demand - Activity'!FQ:FQ)</f>
        <v>0</v>
      </c>
    </row>
    <row r="51" spans="2:178" ht="12" customHeight="1">
      <c r="B51" s="148"/>
      <c r="C51" s="150">
        <f>SUM(C49:C50)</f>
        <v>55104</v>
      </c>
      <c r="D51" s="150">
        <f>SUM(D49:D50)</f>
        <v>211437</v>
      </c>
      <c r="E51" s="148"/>
      <c r="G51" s="64" t="str">
        <f t="shared" si="7"/>
        <v>10. BAU Transition 10.3 Quarterly Process DocumentationSenior Accountant</v>
      </c>
      <c r="H51" s="61" t="s">
        <v>155</v>
      </c>
      <c r="I51" s="59" t="str">
        <f>INDEX('Resource Demand - Activity'!C:C,MATCH(Example!G51,'Resource Demand - Activity'!FT:FT,0))</f>
        <v>0 days</v>
      </c>
      <c r="J51" s="51">
        <f>SUMIF('Resource Demand - Activity'!$FT:$FT,Example!$G51,'Resource Demand - Activity'!E:E)</f>
        <v>0</v>
      </c>
      <c r="K51" s="35">
        <f>SUMIF('Resource Demand - Activity'!$FT:$FT,Example!$G51,'Resource Demand - Activity'!F:F)</f>
        <v>0</v>
      </c>
      <c r="L51" s="35">
        <f>SUMIF('Resource Demand - Activity'!$FT:$FT,Example!$G51,'Resource Demand - Activity'!G:G)</f>
        <v>0</v>
      </c>
      <c r="M51" s="35">
        <f>SUMIF('Resource Demand - Activity'!$FT:$FT,Example!$G51,'Resource Demand - Activity'!H:H)</f>
        <v>0</v>
      </c>
      <c r="N51" s="35">
        <f>SUMIF('Resource Demand - Activity'!$FT:$FT,Example!$G51,'Resource Demand - Activity'!I:I)</f>
        <v>0</v>
      </c>
      <c r="O51" s="35">
        <f>SUMIF('Resource Demand - Activity'!$FT:$FT,Example!$G51,'Resource Demand - Activity'!J:J)</f>
        <v>0</v>
      </c>
      <c r="P51" s="35">
        <f>SUMIF('Resource Demand - Activity'!$FT:$FT,Example!$G51,'Resource Demand - Activity'!K:K)</f>
        <v>0</v>
      </c>
      <c r="Q51" s="35">
        <f>SUMIF('Resource Demand - Activity'!$FT:$FT,Example!$G51,'Resource Demand - Activity'!L:L)</f>
        <v>0</v>
      </c>
      <c r="R51" s="35">
        <f>SUMIF('Resource Demand - Activity'!$FT:$FT,Example!$G51,'Resource Demand - Activity'!M:M)</f>
        <v>0</v>
      </c>
      <c r="S51" s="35">
        <f>SUMIF('Resource Demand - Activity'!$FT:$FT,Example!$G51,'Resource Demand - Activity'!N:N)</f>
        <v>0</v>
      </c>
      <c r="T51" s="35">
        <f>SUMIF('Resource Demand - Activity'!$FT:$FT,Example!$G51,'Resource Demand - Activity'!O:O)</f>
        <v>0</v>
      </c>
      <c r="U51" s="35">
        <f>SUMIF('Resource Demand - Activity'!$FT:$FT,Example!$G51,'Resource Demand - Activity'!P:P)</f>
        <v>0</v>
      </c>
      <c r="V51" s="35">
        <f>SUMIF('Resource Demand - Activity'!$FT:$FT,Example!$G51,'Resource Demand - Activity'!Q:Q)</f>
        <v>0</v>
      </c>
      <c r="W51" s="35">
        <f>SUMIF('Resource Demand - Activity'!$FT:$FT,Example!$G51,'Resource Demand - Activity'!R:R)</f>
        <v>0</v>
      </c>
      <c r="X51" s="35">
        <f>SUMIF('Resource Demand - Activity'!$FT:$FT,Example!$G51,'Resource Demand - Activity'!S:S)</f>
        <v>0</v>
      </c>
      <c r="Y51" s="35">
        <f>SUMIF('Resource Demand - Activity'!$FT:$FT,Example!$G51,'Resource Demand - Activity'!T:T)</f>
        <v>0</v>
      </c>
      <c r="Z51" s="35">
        <f>SUMIF('Resource Demand - Activity'!$FT:$FT,Example!$G51,'Resource Demand - Activity'!U:U)</f>
        <v>0</v>
      </c>
      <c r="AA51" s="35">
        <f>SUMIF('Resource Demand - Activity'!$FT:$FT,Example!$G51,'Resource Demand - Activity'!V:V)</f>
        <v>0</v>
      </c>
      <c r="AB51" s="35">
        <f>SUMIF('Resource Demand - Activity'!$FT:$FT,Example!$G51,'Resource Demand - Activity'!W:W)</f>
        <v>0</v>
      </c>
      <c r="AC51" s="35">
        <f>SUMIF('Resource Demand - Activity'!$FT:$FT,Example!$G51,'Resource Demand - Activity'!X:X)</f>
        <v>0</v>
      </c>
      <c r="AD51" s="35">
        <f>SUMIF('Resource Demand - Activity'!$FT:$FT,Example!$G51,'Resource Demand - Activity'!Y:Y)</f>
        <v>0</v>
      </c>
      <c r="AE51" s="35">
        <f>SUMIF('Resource Demand - Activity'!$FT:$FT,Example!$G51,'Resource Demand - Activity'!Z:Z)</f>
        <v>0</v>
      </c>
      <c r="AF51" s="35">
        <f>SUMIF('Resource Demand - Activity'!$FT:$FT,Example!$G51,'Resource Demand - Activity'!AA:AA)</f>
        <v>0</v>
      </c>
      <c r="AG51" s="35">
        <f>SUMIF('Resource Demand - Activity'!$FT:$FT,Example!$G51,'Resource Demand - Activity'!AB:AB)</f>
        <v>0</v>
      </c>
      <c r="AH51" s="35">
        <f>SUMIF('Resource Demand - Activity'!$FT:$FT,Example!$G51,'Resource Demand - Activity'!AC:AC)</f>
        <v>0</v>
      </c>
      <c r="AI51" s="35">
        <f>SUMIF('Resource Demand - Activity'!$FT:$FT,Example!$G51,'Resource Demand - Activity'!AD:AD)</f>
        <v>0</v>
      </c>
      <c r="AJ51" s="35">
        <f>SUMIF('Resource Demand - Activity'!$FT:$FT,Example!$G51,'Resource Demand - Activity'!AE:AE)</f>
        <v>0</v>
      </c>
      <c r="AK51" s="35">
        <f>SUMIF('Resource Demand - Activity'!$FT:$FT,Example!$G51,'Resource Demand - Activity'!AF:AF)</f>
        <v>0</v>
      </c>
      <c r="AL51" s="35">
        <f>SUMIF('Resource Demand - Activity'!$FT:$FT,Example!$G51,'Resource Demand - Activity'!AG:AG)</f>
        <v>0</v>
      </c>
      <c r="AM51" s="35">
        <f>SUMIF('Resource Demand - Activity'!$FT:$FT,Example!$G51,'Resource Demand - Activity'!AH:AH)</f>
        <v>0</v>
      </c>
      <c r="AN51" s="35">
        <f>SUMIF('Resource Demand - Activity'!$FT:$FT,Example!$G51,'Resource Demand - Activity'!AI:AI)</f>
        <v>0</v>
      </c>
      <c r="AO51" s="35">
        <f>SUMIF('Resource Demand - Activity'!$FT:$FT,Example!$G51,'Resource Demand - Activity'!AJ:AJ)</f>
        <v>0</v>
      </c>
      <c r="AP51" s="35">
        <f>SUMIF('Resource Demand - Activity'!$FT:$FT,Example!$G51,'Resource Demand - Activity'!AK:AK)</f>
        <v>0</v>
      </c>
      <c r="AQ51" s="36">
        <f>SUMIF('Resource Demand - Activity'!$FT:$FT,Example!$G51,'Resource Demand - Activity'!AL:AL)</f>
        <v>0</v>
      </c>
      <c r="AR51" s="36">
        <f>SUMIF('Resource Demand - Activity'!$FT:$FT,Example!$G51,'Resource Demand - Activity'!AM:AM)</f>
        <v>0</v>
      </c>
      <c r="AS51" s="36">
        <f>SUMIF('Resource Demand - Activity'!$FT:$FT,Example!$G51,'Resource Demand - Activity'!AN:AN)</f>
        <v>0</v>
      </c>
      <c r="AT51" s="36">
        <f>SUMIF('Resource Demand - Activity'!$FT:$FT,Example!$G51,'Resource Demand - Activity'!AO:AO)</f>
        <v>0</v>
      </c>
      <c r="AU51" s="36">
        <f>SUMIF('Resource Demand - Activity'!$FT:$FT,Example!$G51,'Resource Demand - Activity'!AP:AP)</f>
        <v>0</v>
      </c>
      <c r="AV51" s="36">
        <f>SUMIF('Resource Demand - Activity'!$FT:$FT,Example!$G51,'Resource Demand - Activity'!AQ:AQ)</f>
        <v>0</v>
      </c>
      <c r="AW51" s="36">
        <f>SUMIF('Resource Demand - Activity'!$FT:$FT,Example!$G51,'Resource Demand - Activity'!AR:AR)</f>
        <v>0</v>
      </c>
      <c r="AX51" s="35">
        <f>SUMIF('Resource Demand - Activity'!$FT:$FT,Example!$G51,'Resource Demand - Activity'!AS:AS)</f>
        <v>0</v>
      </c>
      <c r="AY51" s="35">
        <f>SUMIF('Resource Demand - Activity'!$FT:$FT,Example!$G51,'Resource Demand - Activity'!AT:AT)</f>
        <v>0</v>
      </c>
      <c r="AZ51" s="35">
        <f>SUMIF('Resource Demand - Activity'!$FT:$FT,Example!$G51,'Resource Demand - Activity'!AU:AU)</f>
        <v>0</v>
      </c>
      <c r="BA51" s="35">
        <f>SUMIF('Resource Demand - Activity'!$FT:$FT,Example!$G51,'Resource Demand - Activity'!AV:AV)</f>
        <v>0</v>
      </c>
      <c r="BB51" s="35">
        <f>SUMIF('Resource Demand - Activity'!$FT:$FT,Example!$G51,'Resource Demand - Activity'!AW:AW)</f>
        <v>0</v>
      </c>
      <c r="BC51" s="35">
        <f>SUMIF('Resource Demand - Activity'!$FT:$FT,Example!$G51,'Resource Demand - Activity'!AX:AX)</f>
        <v>0</v>
      </c>
      <c r="BD51" s="35">
        <f>SUMIF('Resource Demand - Activity'!$FT:$FT,Example!$G51,'Resource Demand - Activity'!AY:AY)</f>
        <v>0</v>
      </c>
      <c r="BE51" s="35">
        <f>SUMIF('Resource Demand - Activity'!$FT:$FT,Example!$G51,'Resource Demand - Activity'!AZ:AZ)</f>
        <v>0</v>
      </c>
      <c r="BF51" s="35">
        <f>SUMIF('Resource Demand - Activity'!$FT:$FT,Example!$G51,'Resource Demand - Activity'!BA:BA)</f>
        <v>0</v>
      </c>
      <c r="BG51" s="35">
        <f>SUMIF('Resource Demand - Activity'!$FT:$FT,Example!$G51,'Resource Demand - Activity'!BB:BB)</f>
        <v>0</v>
      </c>
      <c r="BH51" s="35">
        <f>SUMIF('Resource Demand - Activity'!$FT:$FT,Example!$G51,'Resource Demand - Activity'!BC:BC)</f>
        <v>0</v>
      </c>
      <c r="BI51" s="35">
        <f>SUMIF('Resource Demand - Activity'!$FT:$FT,Example!$G51,'Resource Demand - Activity'!BD:BD)</f>
        <v>0</v>
      </c>
      <c r="BJ51" s="35">
        <f>SUMIF('Resource Demand - Activity'!$FT:$FT,Example!$G51,'Resource Demand - Activity'!BE:BE)</f>
        <v>0</v>
      </c>
      <c r="BK51" s="35">
        <f>SUMIF('Resource Demand - Activity'!$FT:$FT,Example!$G51,'Resource Demand - Activity'!BF:BF)</f>
        <v>0</v>
      </c>
      <c r="BL51" s="35">
        <f>SUMIF('Resource Demand - Activity'!$FT:$FT,Example!$G51,'Resource Demand - Activity'!BG:BG)</f>
        <v>0</v>
      </c>
      <c r="BM51" s="35">
        <f>SUMIF('Resource Demand - Activity'!$FT:$FT,Example!$G51,'Resource Demand - Activity'!BH:BH)</f>
        <v>0</v>
      </c>
      <c r="BN51" s="35">
        <f>SUMIF('Resource Demand - Activity'!$FT:$FT,Example!$G51,'Resource Demand - Activity'!BI:BI)</f>
        <v>0</v>
      </c>
      <c r="BO51" s="35">
        <f>SUMIF('Resource Demand - Activity'!$FT:$FT,Example!$G51,'Resource Demand - Activity'!BJ:BJ)</f>
        <v>0</v>
      </c>
      <c r="BP51" s="35">
        <f>SUMIF('Resource Demand - Activity'!$FT:$FT,Example!$G51,'Resource Demand - Activity'!BK:BK)</f>
        <v>0</v>
      </c>
      <c r="BQ51" s="35">
        <f>SUMIF('Resource Demand - Activity'!$FT:$FT,Example!$G51,'Resource Demand - Activity'!BL:BL)</f>
        <v>0</v>
      </c>
      <c r="BR51" s="35">
        <f>SUMIF('Resource Demand - Activity'!$FT:$FT,Example!$G51,'Resource Demand - Activity'!BM:BM)</f>
        <v>0</v>
      </c>
      <c r="BS51" s="35">
        <f>SUMIF('Resource Demand - Activity'!$FT:$FT,Example!$G51,'Resource Demand - Activity'!BN:BN)</f>
        <v>0</v>
      </c>
      <c r="BT51" s="35">
        <f>SUMIF('Resource Demand - Activity'!$FT:$FT,Example!$G51,'Resource Demand - Activity'!BO:BO)</f>
        <v>0</v>
      </c>
      <c r="BU51" s="35">
        <f>SUMIF('Resource Demand - Activity'!$FT:$FT,Example!$G51,'Resource Demand - Activity'!BP:BP)</f>
        <v>0</v>
      </c>
      <c r="BV51" s="35">
        <f>SUMIF('Resource Demand - Activity'!$FT:$FT,Example!$G51,'Resource Demand - Activity'!BQ:BQ)</f>
        <v>0</v>
      </c>
      <c r="BW51" s="35">
        <f>SUMIF('Resource Demand - Activity'!$FT:$FT,Example!$G51,'Resource Demand - Activity'!BR:BR)</f>
        <v>0</v>
      </c>
      <c r="BX51" s="35">
        <f>SUMIF('Resource Demand - Activity'!$FT:$FT,Example!$G51,'Resource Demand - Activity'!BS:BS)</f>
        <v>0</v>
      </c>
      <c r="BY51" s="35">
        <f>SUMIF('Resource Demand - Activity'!$FT:$FT,Example!$G51,'Resource Demand - Activity'!BT:BT)</f>
        <v>0</v>
      </c>
      <c r="BZ51" s="35">
        <f>SUMIF('Resource Demand - Activity'!$FT:$FT,Example!$G51,'Resource Demand - Activity'!BU:BU)</f>
        <v>0</v>
      </c>
      <c r="CA51" s="35">
        <f>SUMIF('Resource Demand - Activity'!$FT:$FT,Example!$G51,'Resource Demand - Activity'!BV:BV)</f>
        <v>0</v>
      </c>
      <c r="CB51" s="35">
        <f>SUMIF('Resource Demand - Activity'!$FT:$FT,Example!$G51,'Resource Demand - Activity'!BW:BW)</f>
        <v>0</v>
      </c>
      <c r="CC51" s="35">
        <f>SUMIF('Resource Demand - Activity'!$FT:$FT,Example!$G51,'Resource Demand - Activity'!BX:BX)</f>
        <v>0</v>
      </c>
      <c r="CD51" s="35">
        <f>SUMIF('Resource Demand - Activity'!$FT:$FT,Example!$G51,'Resource Demand - Activity'!BY:BY)</f>
        <v>0</v>
      </c>
      <c r="CE51" s="35">
        <f>SUMIF('Resource Demand - Activity'!$FT:$FT,Example!$G51,'Resource Demand - Activity'!BZ:BZ)</f>
        <v>0</v>
      </c>
      <c r="CF51" s="35">
        <f>SUMIF('Resource Demand - Activity'!$FT:$FT,Example!$G51,'Resource Demand - Activity'!CA:CA)</f>
        <v>0</v>
      </c>
      <c r="CG51" s="35">
        <f>SUMIF('Resource Demand - Activity'!$FT:$FT,Example!$G51,'Resource Demand - Activity'!CB:CB)</f>
        <v>0</v>
      </c>
      <c r="CH51" s="35">
        <f>SUMIF('Resource Demand - Activity'!$FT:$FT,Example!$G51,'Resource Demand - Activity'!CC:CC)</f>
        <v>0</v>
      </c>
      <c r="CI51" s="35">
        <f>SUMIF('Resource Demand - Activity'!$FT:$FT,Example!$G51,'Resource Demand - Activity'!CD:CD)</f>
        <v>0</v>
      </c>
      <c r="CJ51" s="35">
        <f>SUMIF('Resource Demand - Activity'!$FT:$FT,Example!$G51,'Resource Demand - Activity'!CE:CE)</f>
        <v>0</v>
      </c>
      <c r="CK51" s="35">
        <f>SUMIF('Resource Demand - Activity'!$FT:$FT,Example!$G51,'Resource Demand - Activity'!CF:CF)</f>
        <v>0</v>
      </c>
      <c r="CL51" s="35">
        <f>SUMIF('Resource Demand - Activity'!$FT:$FT,Example!$G51,'Resource Demand - Activity'!CG:CG)</f>
        <v>0</v>
      </c>
      <c r="CM51" s="35">
        <f>SUMIF('Resource Demand - Activity'!$FT:$FT,Example!$G51,'Resource Demand - Activity'!CH:CH)</f>
        <v>0</v>
      </c>
      <c r="CN51" s="35">
        <f>SUMIF('Resource Demand - Activity'!$FT:$FT,Example!$G51,'Resource Demand - Activity'!CI:CI)</f>
        <v>0</v>
      </c>
      <c r="CO51" s="35">
        <f>SUMIF('Resource Demand - Activity'!$FT:$FT,Example!$G51,'Resource Demand - Activity'!CJ:CJ)</f>
        <v>0</v>
      </c>
      <c r="CP51" s="35">
        <f>SUMIF('Resource Demand - Activity'!$FT:$FT,Example!$G51,'Resource Demand - Activity'!CK:CK)</f>
        <v>0</v>
      </c>
      <c r="CQ51" s="35">
        <f>SUMIF('Resource Demand - Activity'!$FT:$FT,Example!$G51,'Resource Demand - Activity'!CL:CL)</f>
        <v>0</v>
      </c>
      <c r="CR51" s="35">
        <f>SUMIF('Resource Demand - Activity'!$FT:$FT,Example!$G51,'Resource Demand - Activity'!CM:CM)</f>
        <v>0</v>
      </c>
      <c r="CS51" s="35">
        <f>SUMIF('Resource Demand - Activity'!$FT:$FT,Example!$G51,'Resource Demand - Activity'!CN:CN)</f>
        <v>0</v>
      </c>
      <c r="CT51" s="35">
        <f>SUMIF('Resource Demand - Activity'!$FT:$FT,Example!$G51,'Resource Demand - Activity'!CO:CO)</f>
        <v>0</v>
      </c>
      <c r="CU51" s="35">
        <f>SUMIF('Resource Demand - Activity'!$FT:$FT,Example!$G51,'Resource Demand - Activity'!CP:CP)</f>
        <v>0</v>
      </c>
      <c r="CV51" s="35">
        <f>SUMIF('Resource Demand - Activity'!$FT:$FT,Example!$G51,'Resource Demand - Activity'!CQ:CQ)</f>
        <v>0</v>
      </c>
      <c r="CW51" s="35">
        <f>SUMIF('Resource Demand - Activity'!$FT:$FT,Example!$G51,'Resource Demand - Activity'!CR:CR)</f>
        <v>0</v>
      </c>
      <c r="CX51" s="35">
        <f>SUMIF('Resource Demand - Activity'!$FT:$FT,Example!$G51,'Resource Demand - Activity'!CS:CS)</f>
        <v>0</v>
      </c>
      <c r="CY51" s="36">
        <f>SUMIF('Resource Demand - Activity'!$FT:$FT,Example!$G51,'Resource Demand - Activity'!CT:CT)</f>
        <v>0</v>
      </c>
      <c r="CZ51" s="35">
        <f>SUMIF('Resource Demand - Activity'!$FT:$FT,Example!$G51,'Resource Demand - Activity'!CU:CU)</f>
        <v>0</v>
      </c>
      <c r="DA51" s="35">
        <f>SUMIF('Resource Demand - Activity'!$FT:$FT,Example!$G51,'Resource Demand - Activity'!CV:CV)</f>
        <v>0</v>
      </c>
      <c r="DB51" s="35">
        <f>SUMIF('Resource Demand - Activity'!$FT:$FT,Example!$G51,'Resource Demand - Activity'!CW:CW)</f>
        <v>0</v>
      </c>
      <c r="DC51" s="35">
        <f>SUMIF('Resource Demand - Activity'!$FT:$FT,Example!$G51,'Resource Demand - Activity'!CX:CX)</f>
        <v>0</v>
      </c>
      <c r="DD51" s="35">
        <f>SUMIF('Resource Demand - Activity'!$FT:$FT,Example!$G51,'Resource Demand - Activity'!CY:CY)</f>
        <v>0</v>
      </c>
      <c r="DE51" s="36">
        <f>SUMIF('Resource Demand - Activity'!$FT:$FT,Example!$G51,'Resource Demand - Activity'!CZ:CZ)</f>
        <v>0</v>
      </c>
      <c r="DF51" s="36">
        <f>SUMIF('Resource Demand - Activity'!$FT:$FT,Example!$G51,'Resource Demand - Activity'!DA:DA)</f>
        <v>0</v>
      </c>
      <c r="DG51" s="35">
        <f>SUMIF('Resource Demand - Activity'!$FT:$FT,Example!$G51,'Resource Demand - Activity'!DB:DB)</f>
        <v>0</v>
      </c>
      <c r="DH51" s="35">
        <f>SUMIF('Resource Demand - Activity'!$FT:$FT,Example!$G51,'Resource Demand - Activity'!DC:DC)</f>
        <v>0</v>
      </c>
      <c r="DI51" s="35">
        <f>SUMIF('Resource Demand - Activity'!$FT:$FT,Example!$G51,'Resource Demand - Activity'!DD:DD)</f>
        <v>0</v>
      </c>
      <c r="DJ51" s="35">
        <f>SUMIF('Resource Demand - Activity'!$FT:$FT,Example!$G51,'Resource Demand - Activity'!DE:DE)</f>
        <v>0</v>
      </c>
      <c r="DK51" s="35">
        <f>SUMIF('Resource Demand - Activity'!$FT:$FT,Example!$G51,'Resource Demand - Activity'!DF:DF)</f>
        <v>0</v>
      </c>
      <c r="DL51" s="35">
        <f>SUMIF('Resource Demand - Activity'!$FT:$FT,Example!$G51,'Resource Demand - Activity'!DG:DG)</f>
        <v>0</v>
      </c>
      <c r="DM51" s="35">
        <f>SUMIF('Resource Demand - Activity'!$FT:$FT,Example!$G51,'Resource Demand - Activity'!DH:DH)</f>
        <v>0</v>
      </c>
      <c r="DN51" s="35">
        <f>SUMIF('Resource Demand - Activity'!$FT:$FT,Example!$G51,'Resource Demand - Activity'!DI:DI)</f>
        <v>0</v>
      </c>
      <c r="DO51" s="35">
        <f>SUMIF('Resource Demand - Activity'!$FT:$FT,Example!$G51,'Resource Demand - Activity'!DJ:DJ)</f>
        <v>0</v>
      </c>
      <c r="DP51" s="35">
        <f>SUMIF('Resource Demand - Activity'!$FT:$FT,Example!$G51,'Resource Demand - Activity'!DK:DK)</f>
        <v>0</v>
      </c>
      <c r="DQ51" s="35">
        <f>SUMIF('Resource Demand - Activity'!$FT:$FT,Example!$G51,'Resource Demand - Activity'!DL:DL)</f>
        <v>0</v>
      </c>
      <c r="DR51" s="35">
        <f>SUMIF('Resource Demand - Activity'!$FT:$FT,Example!$G51,'Resource Demand - Activity'!DM:DM)</f>
        <v>0</v>
      </c>
      <c r="DS51" s="35">
        <f>SUMIF('Resource Demand - Activity'!$FT:$FT,Example!$G51,'Resource Demand - Activity'!DN:DN)</f>
        <v>0</v>
      </c>
      <c r="DT51" s="35">
        <f>SUMIF('Resource Demand - Activity'!$FT:$FT,Example!$G51,'Resource Demand - Activity'!DO:DO)</f>
        <v>0</v>
      </c>
      <c r="DU51" s="35">
        <f>SUMIF('Resource Demand - Activity'!$FT:$FT,Example!$G51,'Resource Demand - Activity'!DP:DP)</f>
        <v>0</v>
      </c>
      <c r="DV51" s="35">
        <f>SUMIF('Resource Demand - Activity'!$FT:$FT,Example!$G51,'Resource Demand - Activity'!DQ:DQ)</f>
        <v>0</v>
      </c>
      <c r="DW51" s="35">
        <f>SUMIF('Resource Demand - Activity'!$FT:$FT,Example!$G51,'Resource Demand - Activity'!DR:DR)</f>
        <v>0</v>
      </c>
      <c r="DX51" s="35">
        <f>SUMIF('Resource Demand - Activity'!$FT:$FT,Example!$G51,'Resource Demand - Activity'!DS:DS)</f>
        <v>0</v>
      </c>
      <c r="DY51" s="35">
        <f>SUMIF('Resource Demand - Activity'!$FT:$FT,Example!$G51,'Resource Demand - Activity'!DT:DT)</f>
        <v>0</v>
      </c>
      <c r="DZ51" s="35">
        <f>SUMIF('Resource Demand - Activity'!$FT:$FT,Example!$G51,'Resource Demand - Activity'!DU:DU)</f>
        <v>0</v>
      </c>
      <c r="EA51" s="35">
        <f>SUMIF('Resource Demand - Activity'!$FT:$FT,Example!$G51,'Resource Demand - Activity'!DV:DV)</f>
        <v>0</v>
      </c>
      <c r="EB51" s="35">
        <f>SUMIF('Resource Demand - Activity'!$FT:$FT,Example!$G51,'Resource Demand - Activity'!DW:DW)</f>
        <v>0</v>
      </c>
      <c r="EC51" s="35">
        <f>SUMIF('Resource Demand - Activity'!$FT:$FT,Example!$G51,'Resource Demand - Activity'!DX:DX)</f>
        <v>0</v>
      </c>
      <c r="ED51" s="35">
        <f>SUMIF('Resource Demand - Activity'!$FT:$FT,Example!$G51,'Resource Demand - Activity'!DY:DY)</f>
        <v>0</v>
      </c>
      <c r="EE51" s="36">
        <f>SUMIF('Resource Demand - Activity'!$FT:$FT,Example!$G51,'Resource Demand - Activity'!DZ:DZ)</f>
        <v>0</v>
      </c>
      <c r="EF51" s="35">
        <f>SUMIF('Resource Demand - Activity'!$FT:$FT,Example!$G51,'Resource Demand - Activity'!EA:EA)</f>
        <v>0</v>
      </c>
      <c r="EG51" s="35">
        <f>SUMIF('Resource Demand - Activity'!$FT:$FT,Example!$G51,'Resource Demand - Activity'!EB:EB)</f>
        <v>0</v>
      </c>
      <c r="EH51" s="35">
        <f>SUMIF('Resource Demand - Activity'!$FT:$FT,Example!$G51,'Resource Demand - Activity'!EC:EC)</f>
        <v>0</v>
      </c>
      <c r="EI51" s="35">
        <f>SUMIF('Resource Demand - Activity'!$FT:$FT,Example!$G51,'Resource Demand - Activity'!ED:ED)</f>
        <v>0</v>
      </c>
      <c r="EJ51" s="35">
        <f>SUMIF('Resource Demand - Activity'!$FT:$FT,Example!$G51,'Resource Demand - Activity'!EE:EE)</f>
        <v>0</v>
      </c>
      <c r="EK51" s="35">
        <f>SUMIF('Resource Demand - Activity'!$FT:$FT,Example!$G51,'Resource Demand - Activity'!EF:EF)</f>
        <v>0</v>
      </c>
      <c r="EL51" s="35">
        <f>SUMIF('Resource Demand - Activity'!$FT:$FT,Example!$G51,'Resource Demand - Activity'!EG:EG)</f>
        <v>0</v>
      </c>
      <c r="EM51" s="35">
        <f>SUMIF('Resource Demand - Activity'!$FT:$FT,Example!$G51,'Resource Demand - Activity'!EH:EH)</f>
        <v>0</v>
      </c>
      <c r="EN51" s="35">
        <f>SUMIF('Resource Demand - Activity'!$FT:$FT,Example!$G51,'Resource Demand - Activity'!EI:EI)</f>
        <v>0</v>
      </c>
      <c r="EO51" s="35">
        <f>SUMIF('Resource Demand - Activity'!$FT:$FT,Example!$G51,'Resource Demand - Activity'!EJ:EJ)</f>
        <v>0</v>
      </c>
      <c r="EP51" s="35">
        <f>SUMIF('Resource Demand - Activity'!$FT:$FT,Example!$G51,'Resource Demand - Activity'!EK:EK)</f>
        <v>0</v>
      </c>
      <c r="EQ51" s="35">
        <f>SUMIF('Resource Demand - Activity'!$FT:$FT,Example!$G51,'Resource Demand - Activity'!EL:EL)</f>
        <v>0</v>
      </c>
      <c r="ER51" s="35">
        <f>SUMIF('Resource Demand - Activity'!$FT:$FT,Example!$G51,'Resource Demand - Activity'!EM:EM)</f>
        <v>0</v>
      </c>
      <c r="ES51" s="35">
        <f>SUMIF('Resource Demand - Activity'!$FT:$FT,Example!$G51,'Resource Demand - Activity'!EN:EN)</f>
        <v>0</v>
      </c>
      <c r="ET51" s="35">
        <f>SUMIF('Resource Demand - Activity'!$FT:$FT,Example!$G51,'Resource Demand - Activity'!EO:EO)</f>
        <v>0</v>
      </c>
      <c r="EU51" s="35">
        <f>SUMIF('Resource Demand - Activity'!$FT:$FT,Example!$G51,'Resource Demand - Activity'!EP:EP)</f>
        <v>0</v>
      </c>
      <c r="EV51" s="35">
        <f>SUMIF('Resource Demand - Activity'!$FT:$FT,Example!$G51,'Resource Demand - Activity'!EQ:EQ)</f>
        <v>0</v>
      </c>
      <c r="EW51" s="35">
        <f>SUMIF('Resource Demand - Activity'!$FT:$FT,Example!$G51,'Resource Demand - Activity'!ER:ER)</f>
        <v>0</v>
      </c>
      <c r="EX51" s="35">
        <f>SUMIF('Resource Demand - Activity'!$FT:$FT,Example!$G51,'Resource Demand - Activity'!ES:ES)</f>
        <v>0</v>
      </c>
      <c r="EY51" s="35">
        <f>SUMIF('Resource Demand - Activity'!$FT:$FT,Example!$G51,'Resource Demand - Activity'!ET:ET)</f>
        <v>0</v>
      </c>
      <c r="EZ51" s="35">
        <f>SUMIF('Resource Demand - Activity'!$FT:$FT,Example!$G51,'Resource Demand - Activity'!EU:EU)</f>
        <v>0</v>
      </c>
      <c r="FA51" s="35">
        <f>SUMIF('Resource Demand - Activity'!$FT:$FT,Example!$G51,'Resource Demand - Activity'!EV:EV)</f>
        <v>0</v>
      </c>
      <c r="FB51" s="35">
        <f>SUMIF('Resource Demand - Activity'!$FT:$FT,Example!$G51,'Resource Demand - Activity'!EW:EW)</f>
        <v>0</v>
      </c>
      <c r="FC51" s="35">
        <f>SUMIF('Resource Demand - Activity'!$FT:$FT,Example!$G51,'Resource Demand - Activity'!EX:EX)</f>
        <v>0</v>
      </c>
      <c r="FD51" s="36">
        <f>SUMIF('Resource Demand - Activity'!$FT:$FT,Example!$G51,'Resource Demand - Activity'!EY:EY)</f>
        <v>0</v>
      </c>
      <c r="FE51" s="35">
        <f>SUMIF('Resource Demand - Activity'!$FT:$FT,Example!$G51,'Resource Demand - Activity'!EZ:EZ)</f>
        <v>0</v>
      </c>
      <c r="FF51" s="35">
        <f>SUMIF('Resource Demand - Activity'!$FT:$FT,Example!$G51,'Resource Demand - Activity'!FA:FA)</f>
        <v>0</v>
      </c>
      <c r="FG51" s="35">
        <f>SUMIF('Resource Demand - Activity'!$FT:$FT,Example!$G51,'Resource Demand - Activity'!FB:FB)</f>
        <v>0</v>
      </c>
      <c r="FH51" s="35">
        <f>SUMIF('Resource Demand - Activity'!$FT:$FT,Example!$G51,'Resource Demand - Activity'!FC:FC)</f>
        <v>0</v>
      </c>
      <c r="FI51" s="35">
        <f>SUMIF('Resource Demand - Activity'!$FT:$FT,Example!$G51,'Resource Demand - Activity'!FD:FD)</f>
        <v>0</v>
      </c>
      <c r="FJ51" s="35">
        <f>SUMIF('Resource Demand - Activity'!$FT:$FT,Example!$G51,'Resource Demand - Activity'!FE:FE)</f>
        <v>0</v>
      </c>
      <c r="FK51" s="35">
        <f>SUMIF('Resource Demand - Activity'!$FT:$FT,Example!$G51,'Resource Demand - Activity'!FF:FF)</f>
        <v>0</v>
      </c>
      <c r="FL51" s="35">
        <f>SUMIF('Resource Demand - Activity'!$FT:$FT,Example!$G51,'Resource Demand - Activity'!FG:FG)</f>
        <v>0</v>
      </c>
      <c r="FM51" s="35">
        <f>SUMIF('Resource Demand - Activity'!$FT:$FT,Example!$G51,'Resource Demand - Activity'!FH:FH)</f>
        <v>0</v>
      </c>
      <c r="FN51" s="35">
        <f>SUMIF('Resource Demand - Activity'!$FT:$FT,Example!$G51,'Resource Demand - Activity'!FI:FI)</f>
        <v>0</v>
      </c>
      <c r="FO51" s="35">
        <f>SUMIF('Resource Demand - Activity'!$FT:$FT,Example!$G51,'Resource Demand - Activity'!FJ:FJ)</f>
        <v>0</v>
      </c>
      <c r="FP51" s="35">
        <f>SUMIF('Resource Demand - Activity'!$FT:$FT,Example!$G51,'Resource Demand - Activity'!FK:FK)</f>
        <v>0</v>
      </c>
      <c r="FQ51" s="35">
        <f>SUMIF('Resource Demand - Activity'!$FT:$FT,Example!$G51,'Resource Demand - Activity'!FL:FL)</f>
        <v>0</v>
      </c>
      <c r="FR51" s="35">
        <f>SUMIF('Resource Demand - Activity'!$FT:$FT,Example!$G51,'Resource Demand - Activity'!FM:FM)</f>
        <v>0</v>
      </c>
      <c r="FS51" s="35">
        <f>SUMIF('Resource Demand - Activity'!$FT:$FT,Example!$G51,'Resource Demand - Activity'!FN:FN)</f>
        <v>0</v>
      </c>
      <c r="FT51" s="35">
        <f>SUMIF('Resource Demand - Activity'!$FT:$FT,Example!$G51,'Resource Demand - Activity'!FO:FO)</f>
        <v>0</v>
      </c>
      <c r="FU51" s="35">
        <f>SUMIF('Resource Demand - Activity'!$FT:$FT,Example!$G51,'Resource Demand - Activity'!FP:FP)</f>
        <v>0</v>
      </c>
      <c r="FV51" s="52">
        <f>SUMIF('Resource Demand - Activity'!$FT:$FT,Example!$G51,'Resource Demand - Activity'!FQ:FQ)</f>
        <v>0</v>
      </c>
    </row>
    <row r="52" spans="2:178" ht="12" customHeight="1">
      <c r="B52" s="148"/>
      <c r="C52" s="162">
        <f>SUM(C51:D51)</f>
        <v>266541</v>
      </c>
      <c r="D52" s="163"/>
      <c r="E52" s="148"/>
      <c r="G52" s="64" t="str">
        <f t="shared" si="7"/>
        <v>10. BAU Transition 10.4 Annual Reporting (QRTs) Senior Accountant</v>
      </c>
      <c r="H52" s="61" t="s">
        <v>142</v>
      </c>
      <c r="I52" s="59" t="str">
        <f>INDEX('Resource Demand - Activity'!C:C,MATCH(Example!G52,'Resource Demand - Activity'!FT:FT,0))</f>
        <v>6 days</v>
      </c>
      <c r="J52" s="51">
        <f>SUMIF('Resource Demand - Activity'!$FT:$FT,Example!$G52,'Resource Demand - Activity'!E:E)</f>
        <v>0</v>
      </c>
      <c r="K52" s="35">
        <f>SUMIF('Resource Demand - Activity'!$FT:$FT,Example!$G52,'Resource Demand - Activity'!F:F)</f>
        <v>0</v>
      </c>
      <c r="L52" s="35">
        <f>SUMIF('Resource Demand - Activity'!$FT:$FT,Example!$G52,'Resource Demand - Activity'!G:G)</f>
        <v>0</v>
      </c>
      <c r="M52" s="35">
        <f>SUMIF('Resource Demand - Activity'!$FT:$FT,Example!$G52,'Resource Demand - Activity'!H:H)</f>
        <v>0</v>
      </c>
      <c r="N52" s="35">
        <f>SUMIF('Resource Demand - Activity'!$FT:$FT,Example!$G52,'Resource Demand - Activity'!I:I)</f>
        <v>0</v>
      </c>
      <c r="O52" s="35">
        <f>SUMIF('Resource Demand - Activity'!$FT:$FT,Example!$G52,'Resource Demand - Activity'!J:J)</f>
        <v>0</v>
      </c>
      <c r="P52" s="35">
        <f>SUMIF('Resource Demand - Activity'!$FT:$FT,Example!$G52,'Resource Demand - Activity'!K:K)</f>
        <v>0</v>
      </c>
      <c r="Q52" s="35">
        <f>SUMIF('Resource Demand - Activity'!$FT:$FT,Example!$G52,'Resource Demand - Activity'!L:L)</f>
        <v>0</v>
      </c>
      <c r="R52" s="35">
        <f>SUMIF('Resource Demand - Activity'!$FT:$FT,Example!$G52,'Resource Demand - Activity'!M:M)</f>
        <v>0</v>
      </c>
      <c r="S52" s="35">
        <f>SUMIF('Resource Demand - Activity'!$FT:$FT,Example!$G52,'Resource Demand - Activity'!N:N)</f>
        <v>0</v>
      </c>
      <c r="T52" s="35">
        <f>SUMIF('Resource Demand - Activity'!$FT:$FT,Example!$G52,'Resource Demand - Activity'!O:O)</f>
        <v>0</v>
      </c>
      <c r="U52" s="35">
        <f>SUMIF('Resource Demand - Activity'!$FT:$FT,Example!$G52,'Resource Demand - Activity'!P:P)</f>
        <v>0</v>
      </c>
      <c r="V52" s="35">
        <f>SUMIF('Resource Demand - Activity'!$FT:$FT,Example!$G52,'Resource Demand - Activity'!Q:Q)</f>
        <v>0</v>
      </c>
      <c r="W52" s="35">
        <f>SUMIF('Resource Demand - Activity'!$FT:$FT,Example!$G52,'Resource Demand - Activity'!R:R)</f>
        <v>0</v>
      </c>
      <c r="X52" s="35">
        <f>SUMIF('Resource Demand - Activity'!$FT:$FT,Example!$G52,'Resource Demand - Activity'!S:S)</f>
        <v>0</v>
      </c>
      <c r="Y52" s="35">
        <f>SUMIF('Resource Demand - Activity'!$FT:$FT,Example!$G52,'Resource Demand - Activity'!T:T)</f>
        <v>0</v>
      </c>
      <c r="Z52" s="35">
        <f>SUMIF('Resource Demand - Activity'!$FT:$FT,Example!$G52,'Resource Demand - Activity'!U:U)</f>
        <v>0</v>
      </c>
      <c r="AA52" s="35">
        <f>SUMIF('Resource Demand - Activity'!$FT:$FT,Example!$G52,'Resource Demand - Activity'!V:V)</f>
        <v>0</v>
      </c>
      <c r="AB52" s="35">
        <f>SUMIF('Resource Demand - Activity'!$FT:$FT,Example!$G52,'Resource Demand - Activity'!W:W)</f>
        <v>0</v>
      </c>
      <c r="AC52" s="35">
        <f>SUMIF('Resource Demand - Activity'!$FT:$FT,Example!$G52,'Resource Demand - Activity'!X:X)</f>
        <v>0</v>
      </c>
      <c r="AD52" s="35">
        <f>SUMIF('Resource Demand - Activity'!$FT:$FT,Example!$G52,'Resource Demand - Activity'!Y:Y)</f>
        <v>0</v>
      </c>
      <c r="AE52" s="35">
        <f>SUMIF('Resource Demand - Activity'!$FT:$FT,Example!$G52,'Resource Demand - Activity'!Z:Z)</f>
        <v>0</v>
      </c>
      <c r="AF52" s="35">
        <f>SUMIF('Resource Demand - Activity'!$FT:$FT,Example!$G52,'Resource Demand - Activity'!AA:AA)</f>
        <v>0</v>
      </c>
      <c r="AG52" s="35">
        <f>SUMIF('Resource Demand - Activity'!$FT:$FT,Example!$G52,'Resource Demand - Activity'!AB:AB)</f>
        <v>0</v>
      </c>
      <c r="AH52" s="35">
        <f>SUMIF('Resource Demand - Activity'!$FT:$FT,Example!$G52,'Resource Demand - Activity'!AC:AC)</f>
        <v>0</v>
      </c>
      <c r="AI52" s="35">
        <f>SUMIF('Resource Demand - Activity'!$FT:$FT,Example!$G52,'Resource Demand - Activity'!AD:AD)</f>
        <v>0</v>
      </c>
      <c r="AJ52" s="35">
        <f>SUMIF('Resource Demand - Activity'!$FT:$FT,Example!$G52,'Resource Demand - Activity'!AE:AE)</f>
        <v>0</v>
      </c>
      <c r="AK52" s="35">
        <f>SUMIF('Resource Demand - Activity'!$FT:$FT,Example!$G52,'Resource Demand - Activity'!AF:AF)</f>
        <v>0</v>
      </c>
      <c r="AL52" s="35">
        <f>SUMIF('Resource Demand - Activity'!$FT:$FT,Example!$G52,'Resource Demand - Activity'!AG:AG)</f>
        <v>0</v>
      </c>
      <c r="AM52" s="35">
        <f>SUMIF('Resource Demand - Activity'!$FT:$FT,Example!$G52,'Resource Demand - Activity'!AH:AH)</f>
        <v>0</v>
      </c>
      <c r="AN52" s="35">
        <f>SUMIF('Resource Demand - Activity'!$FT:$FT,Example!$G52,'Resource Demand - Activity'!AI:AI)</f>
        <v>0</v>
      </c>
      <c r="AO52" s="35">
        <f>SUMIF('Resource Demand - Activity'!$FT:$FT,Example!$G52,'Resource Demand - Activity'!AJ:AJ)</f>
        <v>0</v>
      </c>
      <c r="AP52" s="35">
        <f>SUMIF('Resource Demand - Activity'!$FT:$FT,Example!$G52,'Resource Demand - Activity'!AK:AK)</f>
        <v>0</v>
      </c>
      <c r="AQ52" s="36">
        <f>SUMIF('Resource Demand - Activity'!$FT:$FT,Example!$G52,'Resource Demand - Activity'!AL:AL)</f>
        <v>0</v>
      </c>
      <c r="AR52" s="36">
        <f>SUMIF('Resource Demand - Activity'!$FT:$FT,Example!$G52,'Resource Demand - Activity'!AM:AM)</f>
        <v>0</v>
      </c>
      <c r="AS52" s="36">
        <f>SUMIF('Resource Demand - Activity'!$FT:$FT,Example!$G52,'Resource Demand - Activity'!AN:AN)</f>
        <v>0</v>
      </c>
      <c r="AT52" s="36">
        <f>SUMIF('Resource Demand - Activity'!$FT:$FT,Example!$G52,'Resource Demand - Activity'!AO:AO)</f>
        <v>0</v>
      </c>
      <c r="AU52" s="36">
        <f>SUMIF('Resource Demand - Activity'!$FT:$FT,Example!$G52,'Resource Demand - Activity'!AP:AP)</f>
        <v>0</v>
      </c>
      <c r="AV52" s="36">
        <f>SUMIF('Resource Demand - Activity'!$FT:$FT,Example!$G52,'Resource Demand - Activity'!AQ:AQ)</f>
        <v>0</v>
      </c>
      <c r="AW52" s="36">
        <f>SUMIF('Resource Demand - Activity'!$FT:$FT,Example!$G52,'Resource Demand - Activity'!AR:AR)</f>
        <v>0</v>
      </c>
      <c r="AX52" s="35">
        <f>SUMIF('Resource Demand - Activity'!$FT:$FT,Example!$G52,'Resource Demand - Activity'!AS:AS)</f>
        <v>0</v>
      </c>
      <c r="AY52" s="35">
        <f>SUMIF('Resource Demand - Activity'!$FT:$FT,Example!$G52,'Resource Demand - Activity'!AT:AT)</f>
        <v>0</v>
      </c>
      <c r="AZ52" s="35">
        <f>SUMIF('Resource Demand - Activity'!$FT:$FT,Example!$G52,'Resource Demand - Activity'!AU:AU)</f>
        <v>0</v>
      </c>
      <c r="BA52" s="35">
        <f>SUMIF('Resource Demand - Activity'!$FT:$FT,Example!$G52,'Resource Demand - Activity'!AV:AV)</f>
        <v>0</v>
      </c>
      <c r="BB52" s="35">
        <f>SUMIF('Resource Demand - Activity'!$FT:$FT,Example!$G52,'Resource Demand - Activity'!AW:AW)</f>
        <v>0</v>
      </c>
      <c r="BC52" s="35">
        <f>SUMIF('Resource Demand - Activity'!$FT:$FT,Example!$G52,'Resource Demand - Activity'!AX:AX)</f>
        <v>0</v>
      </c>
      <c r="BD52" s="35">
        <f>SUMIF('Resource Demand - Activity'!$FT:$FT,Example!$G52,'Resource Demand - Activity'!AY:AY)</f>
        <v>0</v>
      </c>
      <c r="BE52" s="35">
        <f>SUMIF('Resource Demand - Activity'!$FT:$FT,Example!$G52,'Resource Demand - Activity'!AZ:AZ)</f>
        <v>0</v>
      </c>
      <c r="BF52" s="35">
        <f>SUMIF('Resource Demand - Activity'!$FT:$FT,Example!$G52,'Resource Demand - Activity'!BA:BA)</f>
        <v>0</v>
      </c>
      <c r="BG52" s="35">
        <f>SUMIF('Resource Demand - Activity'!$FT:$FT,Example!$G52,'Resource Demand - Activity'!BB:BB)</f>
        <v>0</v>
      </c>
      <c r="BH52" s="35">
        <f>SUMIF('Resource Demand - Activity'!$FT:$FT,Example!$G52,'Resource Demand - Activity'!BC:BC)</f>
        <v>0</v>
      </c>
      <c r="BI52" s="35">
        <f>SUMIF('Resource Demand - Activity'!$FT:$FT,Example!$G52,'Resource Demand - Activity'!BD:BD)</f>
        <v>0</v>
      </c>
      <c r="BJ52" s="35">
        <f>SUMIF('Resource Demand - Activity'!$FT:$FT,Example!$G52,'Resource Demand - Activity'!BE:BE)</f>
        <v>0</v>
      </c>
      <c r="BK52" s="35">
        <f>SUMIF('Resource Demand - Activity'!$FT:$FT,Example!$G52,'Resource Demand - Activity'!BF:BF)</f>
        <v>0</v>
      </c>
      <c r="BL52" s="35">
        <f>SUMIF('Resource Demand - Activity'!$FT:$FT,Example!$G52,'Resource Demand - Activity'!BG:BG)</f>
        <v>0</v>
      </c>
      <c r="BM52" s="35">
        <f>SUMIF('Resource Demand - Activity'!$FT:$FT,Example!$G52,'Resource Demand - Activity'!BH:BH)</f>
        <v>0</v>
      </c>
      <c r="BN52" s="35">
        <f>SUMIF('Resource Demand - Activity'!$FT:$FT,Example!$G52,'Resource Demand - Activity'!BI:BI)</f>
        <v>0</v>
      </c>
      <c r="BO52" s="35">
        <f>SUMIF('Resource Demand - Activity'!$FT:$FT,Example!$G52,'Resource Demand - Activity'!BJ:BJ)</f>
        <v>0</v>
      </c>
      <c r="BP52" s="35">
        <f>SUMIF('Resource Demand - Activity'!$FT:$FT,Example!$G52,'Resource Demand - Activity'!BK:BK)</f>
        <v>0</v>
      </c>
      <c r="BQ52" s="35">
        <f>SUMIF('Resource Demand - Activity'!$FT:$FT,Example!$G52,'Resource Demand - Activity'!BL:BL)</f>
        <v>0</v>
      </c>
      <c r="BR52" s="35">
        <f>SUMIF('Resource Demand - Activity'!$FT:$FT,Example!$G52,'Resource Demand - Activity'!BM:BM)</f>
        <v>0</v>
      </c>
      <c r="BS52" s="35">
        <f>SUMIF('Resource Demand - Activity'!$FT:$FT,Example!$G52,'Resource Demand - Activity'!BN:BN)</f>
        <v>0</v>
      </c>
      <c r="BT52" s="35">
        <f>SUMIF('Resource Demand - Activity'!$FT:$FT,Example!$G52,'Resource Demand - Activity'!BO:BO)</f>
        <v>0</v>
      </c>
      <c r="BU52" s="35">
        <f>SUMIF('Resource Demand - Activity'!$FT:$FT,Example!$G52,'Resource Demand - Activity'!BP:BP)</f>
        <v>0</v>
      </c>
      <c r="BV52" s="35">
        <f>SUMIF('Resource Demand - Activity'!$FT:$FT,Example!$G52,'Resource Demand - Activity'!BQ:BQ)</f>
        <v>0</v>
      </c>
      <c r="BW52" s="35">
        <f>SUMIF('Resource Demand - Activity'!$FT:$FT,Example!$G52,'Resource Demand - Activity'!BR:BR)</f>
        <v>0</v>
      </c>
      <c r="BX52" s="35">
        <f>SUMIF('Resource Demand - Activity'!$FT:$FT,Example!$G52,'Resource Demand - Activity'!BS:BS)</f>
        <v>0</v>
      </c>
      <c r="BY52" s="35">
        <f>SUMIF('Resource Demand - Activity'!$FT:$FT,Example!$G52,'Resource Demand - Activity'!BT:BT)</f>
        <v>0</v>
      </c>
      <c r="BZ52" s="35">
        <f>SUMIF('Resource Demand - Activity'!$FT:$FT,Example!$G52,'Resource Demand - Activity'!BU:BU)</f>
        <v>0</v>
      </c>
      <c r="CA52" s="35">
        <f>SUMIF('Resource Demand - Activity'!$FT:$FT,Example!$G52,'Resource Demand - Activity'!BV:BV)</f>
        <v>0</v>
      </c>
      <c r="CB52" s="35">
        <f>SUMIF('Resource Demand - Activity'!$FT:$FT,Example!$G52,'Resource Demand - Activity'!BW:BW)</f>
        <v>0</v>
      </c>
      <c r="CC52" s="35">
        <f>SUMIF('Resource Demand - Activity'!$FT:$FT,Example!$G52,'Resource Demand - Activity'!BX:BX)</f>
        <v>0</v>
      </c>
      <c r="CD52" s="35">
        <f>SUMIF('Resource Demand - Activity'!$FT:$FT,Example!$G52,'Resource Demand - Activity'!BY:BY)</f>
        <v>0</v>
      </c>
      <c r="CE52" s="35">
        <f>SUMIF('Resource Demand - Activity'!$FT:$FT,Example!$G52,'Resource Demand - Activity'!BZ:BZ)</f>
        <v>0</v>
      </c>
      <c r="CF52" s="35">
        <f>SUMIF('Resource Demand - Activity'!$FT:$FT,Example!$G52,'Resource Demand - Activity'!CA:CA)</f>
        <v>0</v>
      </c>
      <c r="CG52" s="35">
        <f>SUMIF('Resource Demand - Activity'!$FT:$FT,Example!$G52,'Resource Demand - Activity'!CB:CB)</f>
        <v>0</v>
      </c>
      <c r="CH52" s="35">
        <f>SUMIF('Resource Demand - Activity'!$FT:$FT,Example!$G52,'Resource Demand - Activity'!CC:CC)</f>
        <v>0</v>
      </c>
      <c r="CI52" s="35">
        <f>SUMIF('Resource Demand - Activity'!$FT:$FT,Example!$G52,'Resource Demand - Activity'!CD:CD)</f>
        <v>0</v>
      </c>
      <c r="CJ52" s="35">
        <f>SUMIF('Resource Demand - Activity'!$FT:$FT,Example!$G52,'Resource Demand - Activity'!CE:CE)</f>
        <v>0</v>
      </c>
      <c r="CK52" s="35">
        <f>SUMIF('Resource Demand - Activity'!$FT:$FT,Example!$G52,'Resource Demand - Activity'!CF:CF)</f>
        <v>0</v>
      </c>
      <c r="CL52" s="35">
        <f>SUMIF('Resource Demand - Activity'!$FT:$FT,Example!$G52,'Resource Demand - Activity'!CG:CG)</f>
        <v>0</v>
      </c>
      <c r="CM52" s="35">
        <f>SUMIF('Resource Demand - Activity'!$FT:$FT,Example!$G52,'Resource Demand - Activity'!CH:CH)</f>
        <v>0</v>
      </c>
      <c r="CN52" s="35">
        <f>SUMIF('Resource Demand - Activity'!$FT:$FT,Example!$G52,'Resource Demand - Activity'!CI:CI)</f>
        <v>0</v>
      </c>
      <c r="CO52" s="35">
        <f>SUMIF('Resource Demand - Activity'!$FT:$FT,Example!$G52,'Resource Demand - Activity'!CJ:CJ)</f>
        <v>0</v>
      </c>
      <c r="CP52" s="35">
        <f>SUMIF('Resource Demand - Activity'!$FT:$FT,Example!$G52,'Resource Demand - Activity'!CK:CK)</f>
        <v>0</v>
      </c>
      <c r="CQ52" s="35">
        <f>SUMIF('Resource Demand - Activity'!$FT:$FT,Example!$G52,'Resource Demand - Activity'!CL:CL)</f>
        <v>0</v>
      </c>
      <c r="CR52" s="35">
        <f>SUMIF('Resource Demand - Activity'!$FT:$FT,Example!$G52,'Resource Demand - Activity'!CM:CM)</f>
        <v>0</v>
      </c>
      <c r="CS52" s="35">
        <f>SUMIF('Resource Demand - Activity'!$FT:$FT,Example!$G52,'Resource Demand - Activity'!CN:CN)</f>
        <v>0</v>
      </c>
      <c r="CT52" s="35">
        <f>SUMIF('Resource Demand - Activity'!$FT:$FT,Example!$G52,'Resource Demand - Activity'!CO:CO)</f>
        <v>0</v>
      </c>
      <c r="CU52" s="35">
        <f>SUMIF('Resource Demand - Activity'!$FT:$FT,Example!$G52,'Resource Demand - Activity'!CP:CP)</f>
        <v>0</v>
      </c>
      <c r="CV52" s="35">
        <f>SUMIF('Resource Demand - Activity'!$FT:$FT,Example!$G52,'Resource Demand - Activity'!CQ:CQ)</f>
        <v>0</v>
      </c>
      <c r="CW52" s="35">
        <f>SUMIF('Resource Demand - Activity'!$FT:$FT,Example!$G52,'Resource Demand - Activity'!CR:CR)</f>
        <v>0</v>
      </c>
      <c r="CX52" s="35">
        <f>SUMIF('Resource Demand - Activity'!$FT:$FT,Example!$G52,'Resource Demand - Activity'!CS:CS)</f>
        <v>0</v>
      </c>
      <c r="CY52" s="36">
        <f>SUMIF('Resource Demand - Activity'!$FT:$FT,Example!$G52,'Resource Demand - Activity'!CT:CT)</f>
        <v>0</v>
      </c>
      <c r="CZ52" s="35">
        <f>SUMIF('Resource Demand - Activity'!$FT:$FT,Example!$G52,'Resource Demand - Activity'!CU:CU)</f>
        <v>0</v>
      </c>
      <c r="DA52" s="35">
        <f>SUMIF('Resource Demand - Activity'!$FT:$FT,Example!$G52,'Resource Demand - Activity'!CV:CV)</f>
        <v>0</v>
      </c>
      <c r="DB52" s="35">
        <f>SUMIF('Resource Demand - Activity'!$FT:$FT,Example!$G52,'Resource Demand - Activity'!CW:CW)</f>
        <v>0</v>
      </c>
      <c r="DC52" s="35">
        <f>SUMIF('Resource Demand - Activity'!$FT:$FT,Example!$G52,'Resource Demand - Activity'!CX:CX)</f>
        <v>0</v>
      </c>
      <c r="DD52" s="35">
        <f>SUMIF('Resource Demand - Activity'!$FT:$FT,Example!$G52,'Resource Demand - Activity'!CY:CY)</f>
        <v>0</v>
      </c>
      <c r="DE52" s="36">
        <f>SUMIF('Resource Demand - Activity'!$FT:$FT,Example!$G52,'Resource Demand - Activity'!CZ:CZ)</f>
        <v>0</v>
      </c>
      <c r="DF52" s="36">
        <f>SUMIF('Resource Demand - Activity'!$FT:$FT,Example!$G52,'Resource Demand - Activity'!DA:DA)</f>
        <v>0</v>
      </c>
      <c r="DG52" s="35">
        <f>SUMIF('Resource Demand - Activity'!$FT:$FT,Example!$G52,'Resource Demand - Activity'!DB:DB)</f>
        <v>0</v>
      </c>
      <c r="DH52" s="35">
        <f>SUMIF('Resource Demand - Activity'!$FT:$FT,Example!$G52,'Resource Demand - Activity'!DC:DC)</f>
        <v>0</v>
      </c>
      <c r="DI52" s="35">
        <f>SUMIF('Resource Demand - Activity'!$FT:$FT,Example!$G52,'Resource Demand - Activity'!DD:DD)</f>
        <v>0</v>
      </c>
      <c r="DJ52" s="35">
        <f>SUMIF('Resource Demand - Activity'!$FT:$FT,Example!$G52,'Resource Demand - Activity'!DE:DE)</f>
        <v>0</v>
      </c>
      <c r="DK52" s="35">
        <f>SUMIF('Resource Demand - Activity'!$FT:$FT,Example!$G52,'Resource Demand - Activity'!DF:DF)</f>
        <v>0</v>
      </c>
      <c r="DL52" s="35">
        <f>SUMIF('Resource Demand - Activity'!$FT:$FT,Example!$G52,'Resource Demand - Activity'!DG:DG)</f>
        <v>0</v>
      </c>
      <c r="DM52" s="35">
        <f>SUMIF('Resource Demand - Activity'!$FT:$FT,Example!$G52,'Resource Demand - Activity'!DH:DH)</f>
        <v>0</v>
      </c>
      <c r="DN52" s="35">
        <f>SUMIF('Resource Demand - Activity'!$FT:$FT,Example!$G52,'Resource Demand - Activity'!DI:DI)</f>
        <v>0</v>
      </c>
      <c r="DO52" s="35">
        <f>SUMIF('Resource Demand - Activity'!$FT:$FT,Example!$G52,'Resource Demand - Activity'!DJ:DJ)</f>
        <v>0</v>
      </c>
      <c r="DP52" s="35">
        <f>SUMIF('Resource Demand - Activity'!$FT:$FT,Example!$G52,'Resource Demand - Activity'!DK:DK)</f>
        <v>0</v>
      </c>
      <c r="DQ52" s="35">
        <f>SUMIF('Resource Demand - Activity'!$FT:$FT,Example!$G52,'Resource Demand - Activity'!DL:DL)</f>
        <v>0</v>
      </c>
      <c r="DR52" s="35">
        <f>SUMIF('Resource Demand - Activity'!$FT:$FT,Example!$G52,'Resource Demand - Activity'!DM:DM)</f>
        <v>0</v>
      </c>
      <c r="DS52" s="35">
        <f>SUMIF('Resource Demand - Activity'!$FT:$FT,Example!$G52,'Resource Demand - Activity'!DN:DN)</f>
        <v>0</v>
      </c>
      <c r="DT52" s="35">
        <f>SUMIF('Resource Demand - Activity'!$FT:$FT,Example!$G52,'Resource Demand - Activity'!DO:DO)</f>
        <v>0</v>
      </c>
      <c r="DU52" s="35">
        <f>SUMIF('Resource Demand - Activity'!$FT:$FT,Example!$G52,'Resource Demand - Activity'!DP:DP)</f>
        <v>0</v>
      </c>
      <c r="DV52" s="35">
        <f>SUMIF('Resource Demand - Activity'!$FT:$FT,Example!$G52,'Resource Demand - Activity'!DQ:DQ)</f>
        <v>0</v>
      </c>
      <c r="DW52" s="35">
        <f>SUMIF('Resource Demand - Activity'!$FT:$FT,Example!$G52,'Resource Demand - Activity'!DR:DR)</f>
        <v>0</v>
      </c>
      <c r="DX52" s="35">
        <f>SUMIF('Resource Demand - Activity'!$FT:$FT,Example!$G52,'Resource Demand - Activity'!DS:DS)</f>
        <v>0</v>
      </c>
      <c r="DY52" s="35">
        <f>SUMIF('Resource Demand - Activity'!$FT:$FT,Example!$G52,'Resource Demand - Activity'!DT:DT)</f>
        <v>0</v>
      </c>
      <c r="DZ52" s="35">
        <f>SUMIF('Resource Demand - Activity'!$FT:$FT,Example!$G52,'Resource Demand - Activity'!DU:DU)</f>
        <v>0</v>
      </c>
      <c r="EA52" s="35">
        <f>SUMIF('Resource Demand - Activity'!$FT:$FT,Example!$G52,'Resource Demand - Activity'!DV:DV)</f>
        <v>0</v>
      </c>
      <c r="EB52" s="35">
        <f>SUMIF('Resource Demand - Activity'!$FT:$FT,Example!$G52,'Resource Demand - Activity'!DW:DW)</f>
        <v>0</v>
      </c>
      <c r="EC52" s="35">
        <f>SUMIF('Resource Demand - Activity'!$FT:$FT,Example!$G52,'Resource Demand - Activity'!DX:DX)</f>
        <v>0</v>
      </c>
      <c r="ED52" s="35">
        <f>SUMIF('Resource Demand - Activity'!$FT:$FT,Example!$G52,'Resource Demand - Activity'!DY:DY)</f>
        <v>0</v>
      </c>
      <c r="EE52" s="36">
        <f>SUMIF('Resource Demand - Activity'!$FT:$FT,Example!$G52,'Resource Demand - Activity'!DZ:DZ)</f>
        <v>0</v>
      </c>
      <c r="EF52" s="35">
        <f>SUMIF('Resource Demand - Activity'!$FT:$FT,Example!$G52,'Resource Demand - Activity'!EA:EA)</f>
        <v>0</v>
      </c>
      <c r="EG52" s="35">
        <f>SUMIF('Resource Demand - Activity'!$FT:$FT,Example!$G52,'Resource Demand - Activity'!EB:EB)</f>
        <v>0</v>
      </c>
      <c r="EH52" s="35">
        <f>SUMIF('Resource Demand - Activity'!$FT:$FT,Example!$G52,'Resource Demand - Activity'!EC:EC)</f>
        <v>0</v>
      </c>
      <c r="EI52" s="35">
        <f>SUMIF('Resource Demand - Activity'!$FT:$FT,Example!$G52,'Resource Demand - Activity'!ED:ED)</f>
        <v>0</v>
      </c>
      <c r="EJ52" s="35">
        <f>SUMIF('Resource Demand - Activity'!$FT:$FT,Example!$G52,'Resource Demand - Activity'!EE:EE)</f>
        <v>0</v>
      </c>
      <c r="EK52" s="35">
        <f>SUMIF('Resource Demand - Activity'!$FT:$FT,Example!$G52,'Resource Demand - Activity'!EF:EF)</f>
        <v>0</v>
      </c>
      <c r="EL52" s="35">
        <f>SUMIF('Resource Demand - Activity'!$FT:$FT,Example!$G52,'Resource Demand - Activity'!EG:EG)</f>
        <v>0</v>
      </c>
      <c r="EM52" s="35">
        <f>SUMIF('Resource Demand - Activity'!$FT:$FT,Example!$G52,'Resource Demand - Activity'!EH:EH)</f>
        <v>0</v>
      </c>
      <c r="EN52" s="35">
        <f>SUMIF('Resource Demand - Activity'!$FT:$FT,Example!$G52,'Resource Demand - Activity'!EI:EI)</f>
        <v>0</v>
      </c>
      <c r="EO52" s="35">
        <f>SUMIF('Resource Demand - Activity'!$FT:$FT,Example!$G52,'Resource Demand - Activity'!EJ:EJ)</f>
        <v>0</v>
      </c>
      <c r="EP52" s="35">
        <f>SUMIF('Resource Demand - Activity'!$FT:$FT,Example!$G52,'Resource Demand - Activity'!EK:EK)</f>
        <v>0</v>
      </c>
      <c r="EQ52" s="35">
        <f>SUMIF('Resource Demand - Activity'!$FT:$FT,Example!$G52,'Resource Demand - Activity'!EL:EL)</f>
        <v>0</v>
      </c>
      <c r="ER52" s="35">
        <f>SUMIF('Resource Demand - Activity'!$FT:$FT,Example!$G52,'Resource Demand - Activity'!EM:EM)</f>
        <v>0</v>
      </c>
      <c r="ES52" s="35">
        <f>SUMIF('Resource Demand - Activity'!$FT:$FT,Example!$G52,'Resource Demand - Activity'!EN:EN)</f>
        <v>1</v>
      </c>
      <c r="ET52" s="35">
        <f>SUMIF('Resource Demand - Activity'!$FT:$FT,Example!$G52,'Resource Demand - Activity'!EO:EO)</f>
        <v>1</v>
      </c>
      <c r="EU52" s="35">
        <f>SUMIF('Resource Demand - Activity'!$FT:$FT,Example!$G52,'Resource Demand - Activity'!EP:EP)</f>
        <v>1</v>
      </c>
      <c r="EV52" s="35">
        <f>SUMIF('Resource Demand - Activity'!$FT:$FT,Example!$G52,'Resource Demand - Activity'!EQ:EQ)</f>
        <v>1</v>
      </c>
      <c r="EW52" s="35">
        <f>SUMIF('Resource Demand - Activity'!$FT:$FT,Example!$G52,'Resource Demand - Activity'!ER:ER)</f>
        <v>1</v>
      </c>
      <c r="EX52" s="35">
        <f>SUMIF('Resource Demand - Activity'!$FT:$FT,Example!$G52,'Resource Demand - Activity'!ES:ES)</f>
        <v>1</v>
      </c>
      <c r="EY52" s="35">
        <f>SUMIF('Resource Demand - Activity'!$FT:$FT,Example!$G52,'Resource Demand - Activity'!ET:ET)</f>
        <v>0</v>
      </c>
      <c r="EZ52" s="35">
        <f>SUMIF('Resource Demand - Activity'!$FT:$FT,Example!$G52,'Resource Demand - Activity'!EU:EU)</f>
        <v>0</v>
      </c>
      <c r="FA52" s="35">
        <f>SUMIF('Resource Demand - Activity'!$FT:$FT,Example!$G52,'Resource Demand - Activity'!EV:EV)</f>
        <v>0</v>
      </c>
      <c r="FB52" s="35">
        <f>SUMIF('Resource Demand - Activity'!$FT:$FT,Example!$G52,'Resource Demand - Activity'!EW:EW)</f>
        <v>0</v>
      </c>
      <c r="FC52" s="35">
        <f>SUMIF('Resource Demand - Activity'!$FT:$FT,Example!$G52,'Resource Demand - Activity'!EX:EX)</f>
        <v>0</v>
      </c>
      <c r="FD52" s="36">
        <f>SUMIF('Resource Demand - Activity'!$FT:$FT,Example!$G52,'Resource Demand - Activity'!EY:EY)</f>
        <v>0</v>
      </c>
      <c r="FE52" s="35">
        <f>SUMIF('Resource Demand - Activity'!$FT:$FT,Example!$G52,'Resource Demand - Activity'!EZ:EZ)</f>
        <v>0</v>
      </c>
      <c r="FF52" s="35">
        <f>SUMIF('Resource Demand - Activity'!$FT:$FT,Example!$G52,'Resource Demand - Activity'!FA:FA)</f>
        <v>0</v>
      </c>
      <c r="FG52" s="35">
        <f>SUMIF('Resource Demand - Activity'!$FT:$FT,Example!$G52,'Resource Demand - Activity'!FB:FB)</f>
        <v>0</v>
      </c>
      <c r="FH52" s="35">
        <f>SUMIF('Resource Demand - Activity'!$FT:$FT,Example!$G52,'Resource Demand - Activity'!FC:FC)</f>
        <v>0</v>
      </c>
      <c r="FI52" s="35">
        <f>SUMIF('Resource Demand - Activity'!$FT:$FT,Example!$G52,'Resource Demand - Activity'!FD:FD)</f>
        <v>0</v>
      </c>
      <c r="FJ52" s="35">
        <f>SUMIF('Resource Demand - Activity'!$FT:$FT,Example!$G52,'Resource Demand - Activity'!FE:FE)</f>
        <v>0</v>
      </c>
      <c r="FK52" s="35">
        <f>SUMIF('Resource Demand - Activity'!$FT:$FT,Example!$G52,'Resource Demand - Activity'!FF:FF)</f>
        <v>0</v>
      </c>
      <c r="FL52" s="35">
        <f>SUMIF('Resource Demand - Activity'!$FT:$FT,Example!$G52,'Resource Demand - Activity'!FG:FG)</f>
        <v>0</v>
      </c>
      <c r="FM52" s="35">
        <f>SUMIF('Resource Demand - Activity'!$FT:$FT,Example!$G52,'Resource Demand - Activity'!FH:FH)</f>
        <v>0</v>
      </c>
      <c r="FN52" s="35">
        <f>SUMIF('Resource Demand - Activity'!$FT:$FT,Example!$G52,'Resource Demand - Activity'!FI:FI)</f>
        <v>0</v>
      </c>
      <c r="FO52" s="35">
        <f>SUMIF('Resource Demand - Activity'!$FT:$FT,Example!$G52,'Resource Demand - Activity'!FJ:FJ)</f>
        <v>0</v>
      </c>
      <c r="FP52" s="35">
        <f>SUMIF('Resource Demand - Activity'!$FT:$FT,Example!$G52,'Resource Demand - Activity'!FK:FK)</f>
        <v>0</v>
      </c>
      <c r="FQ52" s="35">
        <f>SUMIF('Resource Demand - Activity'!$FT:$FT,Example!$G52,'Resource Demand - Activity'!FL:FL)</f>
        <v>0</v>
      </c>
      <c r="FR52" s="35">
        <f>SUMIF('Resource Demand - Activity'!$FT:$FT,Example!$G52,'Resource Demand - Activity'!FM:FM)</f>
        <v>0</v>
      </c>
      <c r="FS52" s="35">
        <f>SUMIF('Resource Demand - Activity'!$FT:$FT,Example!$G52,'Resource Demand - Activity'!FN:FN)</f>
        <v>0</v>
      </c>
      <c r="FT52" s="35">
        <f>SUMIF('Resource Demand - Activity'!$FT:$FT,Example!$G52,'Resource Demand - Activity'!FO:FO)</f>
        <v>0</v>
      </c>
      <c r="FU52" s="35">
        <f>SUMIF('Resource Demand - Activity'!$FT:$FT,Example!$G52,'Resource Demand - Activity'!FP:FP)</f>
        <v>0</v>
      </c>
      <c r="FV52" s="52">
        <f>SUMIF('Resource Demand - Activity'!$FT:$FT,Example!$G52,'Resource Demand - Activity'!FQ:FQ)</f>
        <v>0</v>
      </c>
    </row>
    <row r="53" spans="2:178" ht="12" customHeight="1">
      <c r="G53" s="64" t="str">
        <f t="shared" si="7"/>
        <v>10. BAU Transition 10.5 Annual Process DocumentationSenior Accountant</v>
      </c>
      <c r="H53" s="61" t="s">
        <v>156</v>
      </c>
      <c r="I53" s="59" t="str">
        <f>INDEX('Resource Demand - Activity'!C:C,MATCH(Example!G53,'Resource Demand - Activity'!FT:FT,0))</f>
        <v>0 days</v>
      </c>
      <c r="J53" s="51">
        <f>SUMIF('Resource Demand - Activity'!$FT:$FT,Example!$G53,'Resource Demand - Activity'!E:E)</f>
        <v>0</v>
      </c>
      <c r="K53" s="35">
        <f>SUMIF('Resource Demand - Activity'!$FT:$FT,Example!$G53,'Resource Demand - Activity'!F:F)</f>
        <v>0</v>
      </c>
      <c r="L53" s="35">
        <f>SUMIF('Resource Demand - Activity'!$FT:$FT,Example!$G53,'Resource Demand - Activity'!G:G)</f>
        <v>0</v>
      </c>
      <c r="M53" s="35">
        <f>SUMIF('Resource Demand - Activity'!$FT:$FT,Example!$G53,'Resource Demand - Activity'!H:H)</f>
        <v>0</v>
      </c>
      <c r="N53" s="35">
        <f>SUMIF('Resource Demand - Activity'!$FT:$FT,Example!$G53,'Resource Demand - Activity'!I:I)</f>
        <v>0</v>
      </c>
      <c r="O53" s="35">
        <f>SUMIF('Resource Demand - Activity'!$FT:$FT,Example!$G53,'Resource Demand - Activity'!J:J)</f>
        <v>0</v>
      </c>
      <c r="P53" s="35">
        <f>SUMIF('Resource Demand - Activity'!$FT:$FT,Example!$G53,'Resource Demand - Activity'!K:K)</f>
        <v>0</v>
      </c>
      <c r="Q53" s="35">
        <f>SUMIF('Resource Demand - Activity'!$FT:$FT,Example!$G53,'Resource Demand - Activity'!L:L)</f>
        <v>0</v>
      </c>
      <c r="R53" s="35">
        <f>SUMIF('Resource Demand - Activity'!$FT:$FT,Example!$G53,'Resource Demand - Activity'!M:M)</f>
        <v>0</v>
      </c>
      <c r="S53" s="35">
        <f>SUMIF('Resource Demand - Activity'!$FT:$FT,Example!$G53,'Resource Demand - Activity'!N:N)</f>
        <v>0</v>
      </c>
      <c r="T53" s="35">
        <f>SUMIF('Resource Demand - Activity'!$FT:$FT,Example!$G53,'Resource Demand - Activity'!O:O)</f>
        <v>0</v>
      </c>
      <c r="U53" s="35">
        <f>SUMIF('Resource Demand - Activity'!$FT:$FT,Example!$G53,'Resource Demand - Activity'!P:P)</f>
        <v>0</v>
      </c>
      <c r="V53" s="35">
        <f>SUMIF('Resource Demand - Activity'!$FT:$FT,Example!$G53,'Resource Demand - Activity'!Q:Q)</f>
        <v>0</v>
      </c>
      <c r="W53" s="35">
        <f>SUMIF('Resource Demand - Activity'!$FT:$FT,Example!$G53,'Resource Demand - Activity'!R:R)</f>
        <v>0</v>
      </c>
      <c r="X53" s="35">
        <f>SUMIF('Resource Demand - Activity'!$FT:$FT,Example!$G53,'Resource Demand - Activity'!S:S)</f>
        <v>0</v>
      </c>
      <c r="Y53" s="35">
        <f>SUMIF('Resource Demand - Activity'!$FT:$FT,Example!$G53,'Resource Demand - Activity'!T:T)</f>
        <v>0</v>
      </c>
      <c r="Z53" s="35">
        <f>SUMIF('Resource Demand - Activity'!$FT:$FT,Example!$G53,'Resource Demand - Activity'!U:U)</f>
        <v>0</v>
      </c>
      <c r="AA53" s="35">
        <f>SUMIF('Resource Demand - Activity'!$FT:$FT,Example!$G53,'Resource Demand - Activity'!V:V)</f>
        <v>0</v>
      </c>
      <c r="AB53" s="35">
        <f>SUMIF('Resource Demand - Activity'!$FT:$FT,Example!$G53,'Resource Demand - Activity'!W:W)</f>
        <v>0</v>
      </c>
      <c r="AC53" s="35">
        <f>SUMIF('Resource Demand - Activity'!$FT:$FT,Example!$G53,'Resource Demand - Activity'!X:X)</f>
        <v>0</v>
      </c>
      <c r="AD53" s="35">
        <f>SUMIF('Resource Demand - Activity'!$FT:$FT,Example!$G53,'Resource Demand - Activity'!Y:Y)</f>
        <v>0</v>
      </c>
      <c r="AE53" s="35">
        <f>SUMIF('Resource Demand - Activity'!$FT:$FT,Example!$G53,'Resource Demand - Activity'!Z:Z)</f>
        <v>0</v>
      </c>
      <c r="AF53" s="35">
        <f>SUMIF('Resource Demand - Activity'!$FT:$FT,Example!$G53,'Resource Demand - Activity'!AA:AA)</f>
        <v>0</v>
      </c>
      <c r="AG53" s="35">
        <f>SUMIF('Resource Demand - Activity'!$FT:$FT,Example!$G53,'Resource Demand - Activity'!AB:AB)</f>
        <v>0</v>
      </c>
      <c r="AH53" s="35">
        <f>SUMIF('Resource Demand - Activity'!$FT:$FT,Example!$G53,'Resource Demand - Activity'!AC:AC)</f>
        <v>0</v>
      </c>
      <c r="AI53" s="35">
        <f>SUMIF('Resource Demand - Activity'!$FT:$FT,Example!$G53,'Resource Demand - Activity'!AD:AD)</f>
        <v>0</v>
      </c>
      <c r="AJ53" s="35">
        <f>SUMIF('Resource Demand - Activity'!$FT:$FT,Example!$G53,'Resource Demand - Activity'!AE:AE)</f>
        <v>0</v>
      </c>
      <c r="AK53" s="35">
        <f>SUMIF('Resource Demand - Activity'!$FT:$FT,Example!$G53,'Resource Demand - Activity'!AF:AF)</f>
        <v>0</v>
      </c>
      <c r="AL53" s="35">
        <f>SUMIF('Resource Demand - Activity'!$FT:$FT,Example!$G53,'Resource Demand - Activity'!AG:AG)</f>
        <v>0</v>
      </c>
      <c r="AM53" s="35">
        <f>SUMIF('Resource Demand - Activity'!$FT:$FT,Example!$G53,'Resource Demand - Activity'!AH:AH)</f>
        <v>0</v>
      </c>
      <c r="AN53" s="35">
        <f>SUMIF('Resource Demand - Activity'!$FT:$FT,Example!$G53,'Resource Demand - Activity'!AI:AI)</f>
        <v>0</v>
      </c>
      <c r="AO53" s="35">
        <f>SUMIF('Resource Demand - Activity'!$FT:$FT,Example!$G53,'Resource Demand - Activity'!AJ:AJ)</f>
        <v>0</v>
      </c>
      <c r="AP53" s="35">
        <f>SUMIF('Resource Demand - Activity'!$FT:$FT,Example!$G53,'Resource Demand - Activity'!AK:AK)</f>
        <v>0</v>
      </c>
      <c r="AQ53" s="36">
        <f>SUMIF('Resource Demand - Activity'!$FT:$FT,Example!$G53,'Resource Demand - Activity'!AL:AL)</f>
        <v>0</v>
      </c>
      <c r="AR53" s="36">
        <f>SUMIF('Resource Demand - Activity'!$FT:$FT,Example!$G53,'Resource Demand - Activity'!AM:AM)</f>
        <v>0</v>
      </c>
      <c r="AS53" s="36">
        <f>SUMIF('Resource Demand - Activity'!$FT:$FT,Example!$G53,'Resource Demand - Activity'!AN:AN)</f>
        <v>0</v>
      </c>
      <c r="AT53" s="36">
        <f>SUMIF('Resource Demand - Activity'!$FT:$FT,Example!$G53,'Resource Demand - Activity'!AO:AO)</f>
        <v>0</v>
      </c>
      <c r="AU53" s="36">
        <f>SUMIF('Resource Demand - Activity'!$FT:$FT,Example!$G53,'Resource Demand - Activity'!AP:AP)</f>
        <v>0</v>
      </c>
      <c r="AV53" s="36">
        <f>SUMIF('Resource Demand - Activity'!$FT:$FT,Example!$G53,'Resource Demand - Activity'!AQ:AQ)</f>
        <v>0</v>
      </c>
      <c r="AW53" s="36">
        <f>SUMIF('Resource Demand - Activity'!$FT:$FT,Example!$G53,'Resource Demand - Activity'!AR:AR)</f>
        <v>0</v>
      </c>
      <c r="AX53" s="35">
        <f>SUMIF('Resource Demand - Activity'!$FT:$FT,Example!$G53,'Resource Demand - Activity'!AS:AS)</f>
        <v>0</v>
      </c>
      <c r="AY53" s="35">
        <f>SUMIF('Resource Demand - Activity'!$FT:$FT,Example!$G53,'Resource Demand - Activity'!AT:AT)</f>
        <v>0</v>
      </c>
      <c r="AZ53" s="35">
        <f>SUMIF('Resource Demand - Activity'!$FT:$FT,Example!$G53,'Resource Demand - Activity'!AU:AU)</f>
        <v>0</v>
      </c>
      <c r="BA53" s="35">
        <f>SUMIF('Resource Demand - Activity'!$FT:$FT,Example!$G53,'Resource Demand - Activity'!AV:AV)</f>
        <v>0</v>
      </c>
      <c r="BB53" s="35">
        <f>SUMIF('Resource Demand - Activity'!$FT:$FT,Example!$G53,'Resource Demand - Activity'!AW:AW)</f>
        <v>0</v>
      </c>
      <c r="BC53" s="35">
        <f>SUMIF('Resource Demand - Activity'!$FT:$FT,Example!$G53,'Resource Demand - Activity'!AX:AX)</f>
        <v>0</v>
      </c>
      <c r="BD53" s="35">
        <f>SUMIF('Resource Demand - Activity'!$FT:$FT,Example!$G53,'Resource Demand - Activity'!AY:AY)</f>
        <v>0</v>
      </c>
      <c r="BE53" s="35">
        <f>SUMIF('Resource Demand - Activity'!$FT:$FT,Example!$G53,'Resource Demand - Activity'!AZ:AZ)</f>
        <v>0</v>
      </c>
      <c r="BF53" s="35">
        <f>SUMIF('Resource Demand - Activity'!$FT:$FT,Example!$G53,'Resource Demand - Activity'!BA:BA)</f>
        <v>0</v>
      </c>
      <c r="BG53" s="35">
        <f>SUMIF('Resource Demand - Activity'!$FT:$FT,Example!$G53,'Resource Demand - Activity'!BB:BB)</f>
        <v>0</v>
      </c>
      <c r="BH53" s="35">
        <f>SUMIF('Resource Demand - Activity'!$FT:$FT,Example!$G53,'Resource Demand - Activity'!BC:BC)</f>
        <v>0</v>
      </c>
      <c r="BI53" s="35">
        <f>SUMIF('Resource Demand - Activity'!$FT:$FT,Example!$G53,'Resource Demand - Activity'!BD:BD)</f>
        <v>0</v>
      </c>
      <c r="BJ53" s="35">
        <f>SUMIF('Resource Demand - Activity'!$FT:$FT,Example!$G53,'Resource Demand - Activity'!BE:BE)</f>
        <v>0</v>
      </c>
      <c r="BK53" s="35">
        <f>SUMIF('Resource Demand - Activity'!$FT:$FT,Example!$G53,'Resource Demand - Activity'!BF:BF)</f>
        <v>0</v>
      </c>
      <c r="BL53" s="35">
        <f>SUMIF('Resource Demand - Activity'!$FT:$FT,Example!$G53,'Resource Demand - Activity'!BG:BG)</f>
        <v>0</v>
      </c>
      <c r="BM53" s="35">
        <f>SUMIF('Resource Demand - Activity'!$FT:$FT,Example!$G53,'Resource Demand - Activity'!BH:BH)</f>
        <v>0</v>
      </c>
      <c r="BN53" s="35">
        <f>SUMIF('Resource Demand - Activity'!$FT:$FT,Example!$G53,'Resource Demand - Activity'!BI:BI)</f>
        <v>0</v>
      </c>
      <c r="BO53" s="35">
        <f>SUMIF('Resource Demand - Activity'!$FT:$FT,Example!$G53,'Resource Demand - Activity'!BJ:BJ)</f>
        <v>0</v>
      </c>
      <c r="BP53" s="35">
        <f>SUMIF('Resource Demand - Activity'!$FT:$FT,Example!$G53,'Resource Demand - Activity'!BK:BK)</f>
        <v>0</v>
      </c>
      <c r="BQ53" s="35">
        <f>SUMIF('Resource Demand - Activity'!$FT:$FT,Example!$G53,'Resource Demand - Activity'!BL:BL)</f>
        <v>0</v>
      </c>
      <c r="BR53" s="35">
        <f>SUMIF('Resource Demand - Activity'!$FT:$FT,Example!$G53,'Resource Demand - Activity'!BM:BM)</f>
        <v>0</v>
      </c>
      <c r="BS53" s="35">
        <f>SUMIF('Resource Demand - Activity'!$FT:$FT,Example!$G53,'Resource Demand - Activity'!BN:BN)</f>
        <v>0</v>
      </c>
      <c r="BT53" s="35">
        <f>SUMIF('Resource Demand - Activity'!$FT:$FT,Example!$G53,'Resource Demand - Activity'!BO:BO)</f>
        <v>0</v>
      </c>
      <c r="BU53" s="35">
        <f>SUMIF('Resource Demand - Activity'!$FT:$FT,Example!$G53,'Resource Demand - Activity'!BP:BP)</f>
        <v>0</v>
      </c>
      <c r="BV53" s="35">
        <f>SUMIF('Resource Demand - Activity'!$FT:$FT,Example!$G53,'Resource Demand - Activity'!BQ:BQ)</f>
        <v>0</v>
      </c>
      <c r="BW53" s="35">
        <f>SUMIF('Resource Demand - Activity'!$FT:$FT,Example!$G53,'Resource Demand - Activity'!BR:BR)</f>
        <v>0</v>
      </c>
      <c r="BX53" s="35">
        <f>SUMIF('Resource Demand - Activity'!$FT:$FT,Example!$G53,'Resource Demand - Activity'!BS:BS)</f>
        <v>0</v>
      </c>
      <c r="BY53" s="35">
        <f>SUMIF('Resource Demand - Activity'!$FT:$FT,Example!$G53,'Resource Demand - Activity'!BT:BT)</f>
        <v>0</v>
      </c>
      <c r="BZ53" s="35">
        <f>SUMIF('Resource Demand - Activity'!$FT:$FT,Example!$G53,'Resource Demand - Activity'!BU:BU)</f>
        <v>0</v>
      </c>
      <c r="CA53" s="35">
        <f>SUMIF('Resource Demand - Activity'!$FT:$FT,Example!$G53,'Resource Demand - Activity'!BV:BV)</f>
        <v>0</v>
      </c>
      <c r="CB53" s="35">
        <f>SUMIF('Resource Demand - Activity'!$FT:$FT,Example!$G53,'Resource Demand - Activity'!BW:BW)</f>
        <v>0</v>
      </c>
      <c r="CC53" s="35">
        <f>SUMIF('Resource Demand - Activity'!$FT:$FT,Example!$G53,'Resource Demand - Activity'!BX:BX)</f>
        <v>0</v>
      </c>
      <c r="CD53" s="35">
        <f>SUMIF('Resource Demand - Activity'!$FT:$FT,Example!$G53,'Resource Demand - Activity'!BY:BY)</f>
        <v>0</v>
      </c>
      <c r="CE53" s="35">
        <f>SUMIF('Resource Demand - Activity'!$FT:$FT,Example!$G53,'Resource Demand - Activity'!BZ:BZ)</f>
        <v>0</v>
      </c>
      <c r="CF53" s="35">
        <f>SUMIF('Resource Demand - Activity'!$FT:$FT,Example!$G53,'Resource Demand - Activity'!CA:CA)</f>
        <v>0</v>
      </c>
      <c r="CG53" s="35">
        <f>SUMIF('Resource Demand - Activity'!$FT:$FT,Example!$G53,'Resource Demand - Activity'!CB:CB)</f>
        <v>0</v>
      </c>
      <c r="CH53" s="35">
        <f>SUMIF('Resource Demand - Activity'!$FT:$FT,Example!$G53,'Resource Demand - Activity'!CC:CC)</f>
        <v>0</v>
      </c>
      <c r="CI53" s="35">
        <f>SUMIF('Resource Demand - Activity'!$FT:$FT,Example!$G53,'Resource Demand - Activity'!CD:CD)</f>
        <v>0</v>
      </c>
      <c r="CJ53" s="35">
        <f>SUMIF('Resource Demand - Activity'!$FT:$FT,Example!$G53,'Resource Demand - Activity'!CE:CE)</f>
        <v>0</v>
      </c>
      <c r="CK53" s="35">
        <f>SUMIF('Resource Demand - Activity'!$FT:$FT,Example!$G53,'Resource Demand - Activity'!CF:CF)</f>
        <v>0</v>
      </c>
      <c r="CL53" s="35">
        <f>SUMIF('Resource Demand - Activity'!$FT:$FT,Example!$G53,'Resource Demand - Activity'!CG:CG)</f>
        <v>0</v>
      </c>
      <c r="CM53" s="35">
        <f>SUMIF('Resource Demand - Activity'!$FT:$FT,Example!$G53,'Resource Demand - Activity'!CH:CH)</f>
        <v>0</v>
      </c>
      <c r="CN53" s="35">
        <f>SUMIF('Resource Demand - Activity'!$FT:$FT,Example!$G53,'Resource Demand - Activity'!CI:CI)</f>
        <v>0</v>
      </c>
      <c r="CO53" s="35">
        <f>SUMIF('Resource Demand - Activity'!$FT:$FT,Example!$G53,'Resource Demand - Activity'!CJ:CJ)</f>
        <v>0</v>
      </c>
      <c r="CP53" s="35">
        <f>SUMIF('Resource Demand - Activity'!$FT:$FT,Example!$G53,'Resource Demand - Activity'!CK:CK)</f>
        <v>0</v>
      </c>
      <c r="CQ53" s="35">
        <f>SUMIF('Resource Demand - Activity'!$FT:$FT,Example!$G53,'Resource Demand - Activity'!CL:CL)</f>
        <v>0</v>
      </c>
      <c r="CR53" s="35">
        <f>SUMIF('Resource Demand - Activity'!$FT:$FT,Example!$G53,'Resource Demand - Activity'!CM:CM)</f>
        <v>0</v>
      </c>
      <c r="CS53" s="35">
        <f>SUMIF('Resource Demand - Activity'!$FT:$FT,Example!$G53,'Resource Demand - Activity'!CN:CN)</f>
        <v>0</v>
      </c>
      <c r="CT53" s="35">
        <f>SUMIF('Resource Demand - Activity'!$FT:$FT,Example!$G53,'Resource Demand - Activity'!CO:CO)</f>
        <v>0</v>
      </c>
      <c r="CU53" s="35">
        <f>SUMIF('Resource Demand - Activity'!$FT:$FT,Example!$G53,'Resource Demand - Activity'!CP:CP)</f>
        <v>0</v>
      </c>
      <c r="CV53" s="35">
        <f>SUMIF('Resource Demand - Activity'!$FT:$FT,Example!$G53,'Resource Demand - Activity'!CQ:CQ)</f>
        <v>0</v>
      </c>
      <c r="CW53" s="35">
        <f>SUMIF('Resource Demand - Activity'!$FT:$FT,Example!$G53,'Resource Demand - Activity'!CR:CR)</f>
        <v>0</v>
      </c>
      <c r="CX53" s="35">
        <f>SUMIF('Resource Demand - Activity'!$FT:$FT,Example!$G53,'Resource Demand - Activity'!CS:CS)</f>
        <v>0</v>
      </c>
      <c r="CY53" s="36">
        <f>SUMIF('Resource Demand - Activity'!$FT:$FT,Example!$G53,'Resource Demand - Activity'!CT:CT)</f>
        <v>0</v>
      </c>
      <c r="CZ53" s="35">
        <f>SUMIF('Resource Demand - Activity'!$FT:$FT,Example!$G53,'Resource Demand - Activity'!CU:CU)</f>
        <v>0</v>
      </c>
      <c r="DA53" s="35">
        <f>SUMIF('Resource Demand - Activity'!$FT:$FT,Example!$G53,'Resource Demand - Activity'!CV:CV)</f>
        <v>0</v>
      </c>
      <c r="DB53" s="35">
        <f>SUMIF('Resource Demand - Activity'!$FT:$FT,Example!$G53,'Resource Demand - Activity'!CW:CW)</f>
        <v>0</v>
      </c>
      <c r="DC53" s="35">
        <f>SUMIF('Resource Demand - Activity'!$FT:$FT,Example!$G53,'Resource Demand - Activity'!CX:CX)</f>
        <v>0</v>
      </c>
      <c r="DD53" s="35">
        <f>SUMIF('Resource Demand - Activity'!$FT:$FT,Example!$G53,'Resource Demand - Activity'!CY:CY)</f>
        <v>0</v>
      </c>
      <c r="DE53" s="36">
        <f>SUMIF('Resource Demand - Activity'!$FT:$FT,Example!$G53,'Resource Demand - Activity'!CZ:CZ)</f>
        <v>0</v>
      </c>
      <c r="DF53" s="36">
        <f>SUMIF('Resource Demand - Activity'!$FT:$FT,Example!$G53,'Resource Demand - Activity'!DA:DA)</f>
        <v>0</v>
      </c>
      <c r="DG53" s="35">
        <f>SUMIF('Resource Demand - Activity'!$FT:$FT,Example!$G53,'Resource Demand - Activity'!DB:DB)</f>
        <v>0</v>
      </c>
      <c r="DH53" s="35">
        <f>SUMIF('Resource Demand - Activity'!$FT:$FT,Example!$G53,'Resource Demand - Activity'!DC:DC)</f>
        <v>0</v>
      </c>
      <c r="DI53" s="35">
        <f>SUMIF('Resource Demand - Activity'!$FT:$FT,Example!$G53,'Resource Demand - Activity'!DD:DD)</f>
        <v>0</v>
      </c>
      <c r="DJ53" s="35">
        <f>SUMIF('Resource Demand - Activity'!$FT:$FT,Example!$G53,'Resource Demand - Activity'!DE:DE)</f>
        <v>0</v>
      </c>
      <c r="DK53" s="35">
        <f>SUMIF('Resource Demand - Activity'!$FT:$FT,Example!$G53,'Resource Demand - Activity'!DF:DF)</f>
        <v>0</v>
      </c>
      <c r="DL53" s="35">
        <f>SUMIF('Resource Demand - Activity'!$FT:$FT,Example!$G53,'Resource Demand - Activity'!DG:DG)</f>
        <v>0</v>
      </c>
      <c r="DM53" s="35">
        <f>SUMIF('Resource Demand - Activity'!$FT:$FT,Example!$G53,'Resource Demand - Activity'!DH:DH)</f>
        <v>0</v>
      </c>
      <c r="DN53" s="35">
        <f>SUMIF('Resource Demand - Activity'!$FT:$FT,Example!$G53,'Resource Demand - Activity'!DI:DI)</f>
        <v>0</v>
      </c>
      <c r="DO53" s="35">
        <f>SUMIF('Resource Demand - Activity'!$FT:$FT,Example!$G53,'Resource Demand - Activity'!DJ:DJ)</f>
        <v>0</v>
      </c>
      <c r="DP53" s="35">
        <f>SUMIF('Resource Demand - Activity'!$FT:$FT,Example!$G53,'Resource Demand - Activity'!DK:DK)</f>
        <v>0</v>
      </c>
      <c r="DQ53" s="35">
        <f>SUMIF('Resource Demand - Activity'!$FT:$FT,Example!$G53,'Resource Demand - Activity'!DL:DL)</f>
        <v>0</v>
      </c>
      <c r="DR53" s="35">
        <f>SUMIF('Resource Demand - Activity'!$FT:$FT,Example!$G53,'Resource Demand - Activity'!DM:DM)</f>
        <v>0</v>
      </c>
      <c r="DS53" s="35">
        <f>SUMIF('Resource Demand - Activity'!$FT:$FT,Example!$G53,'Resource Demand - Activity'!DN:DN)</f>
        <v>0</v>
      </c>
      <c r="DT53" s="35">
        <f>SUMIF('Resource Demand - Activity'!$FT:$FT,Example!$G53,'Resource Demand - Activity'!DO:DO)</f>
        <v>0</v>
      </c>
      <c r="DU53" s="35">
        <f>SUMIF('Resource Demand - Activity'!$FT:$FT,Example!$G53,'Resource Demand - Activity'!DP:DP)</f>
        <v>0</v>
      </c>
      <c r="DV53" s="35">
        <f>SUMIF('Resource Demand - Activity'!$FT:$FT,Example!$G53,'Resource Demand - Activity'!DQ:DQ)</f>
        <v>0</v>
      </c>
      <c r="DW53" s="35">
        <f>SUMIF('Resource Demand - Activity'!$FT:$FT,Example!$G53,'Resource Demand - Activity'!DR:DR)</f>
        <v>0</v>
      </c>
      <c r="DX53" s="35">
        <f>SUMIF('Resource Demand - Activity'!$FT:$FT,Example!$G53,'Resource Demand - Activity'!DS:DS)</f>
        <v>0</v>
      </c>
      <c r="DY53" s="35">
        <f>SUMIF('Resource Demand - Activity'!$FT:$FT,Example!$G53,'Resource Demand - Activity'!DT:DT)</f>
        <v>0</v>
      </c>
      <c r="DZ53" s="35">
        <f>SUMIF('Resource Demand - Activity'!$FT:$FT,Example!$G53,'Resource Demand - Activity'!DU:DU)</f>
        <v>0</v>
      </c>
      <c r="EA53" s="35">
        <f>SUMIF('Resource Demand - Activity'!$FT:$FT,Example!$G53,'Resource Demand - Activity'!DV:DV)</f>
        <v>0</v>
      </c>
      <c r="EB53" s="35">
        <f>SUMIF('Resource Demand - Activity'!$FT:$FT,Example!$G53,'Resource Demand - Activity'!DW:DW)</f>
        <v>0</v>
      </c>
      <c r="EC53" s="35">
        <f>SUMIF('Resource Demand - Activity'!$FT:$FT,Example!$G53,'Resource Demand - Activity'!DX:DX)</f>
        <v>0</v>
      </c>
      <c r="ED53" s="35">
        <f>SUMIF('Resource Demand - Activity'!$FT:$FT,Example!$G53,'Resource Demand - Activity'!DY:DY)</f>
        <v>0</v>
      </c>
      <c r="EE53" s="36">
        <f>SUMIF('Resource Demand - Activity'!$FT:$FT,Example!$G53,'Resource Demand - Activity'!DZ:DZ)</f>
        <v>0</v>
      </c>
      <c r="EF53" s="35">
        <f>SUMIF('Resource Demand - Activity'!$FT:$FT,Example!$G53,'Resource Demand - Activity'!EA:EA)</f>
        <v>0</v>
      </c>
      <c r="EG53" s="35">
        <f>SUMIF('Resource Demand - Activity'!$FT:$FT,Example!$G53,'Resource Demand - Activity'!EB:EB)</f>
        <v>0</v>
      </c>
      <c r="EH53" s="35">
        <f>SUMIF('Resource Demand - Activity'!$FT:$FT,Example!$G53,'Resource Demand - Activity'!EC:EC)</f>
        <v>0</v>
      </c>
      <c r="EI53" s="35">
        <f>SUMIF('Resource Demand - Activity'!$FT:$FT,Example!$G53,'Resource Demand - Activity'!ED:ED)</f>
        <v>0</v>
      </c>
      <c r="EJ53" s="35">
        <f>SUMIF('Resource Demand - Activity'!$FT:$FT,Example!$G53,'Resource Demand - Activity'!EE:EE)</f>
        <v>0</v>
      </c>
      <c r="EK53" s="35">
        <f>SUMIF('Resource Demand - Activity'!$FT:$FT,Example!$G53,'Resource Demand - Activity'!EF:EF)</f>
        <v>0</v>
      </c>
      <c r="EL53" s="35">
        <f>SUMIF('Resource Demand - Activity'!$FT:$FT,Example!$G53,'Resource Demand - Activity'!EG:EG)</f>
        <v>0</v>
      </c>
      <c r="EM53" s="35">
        <f>SUMIF('Resource Demand - Activity'!$FT:$FT,Example!$G53,'Resource Demand - Activity'!EH:EH)</f>
        <v>0</v>
      </c>
      <c r="EN53" s="35">
        <f>SUMIF('Resource Demand - Activity'!$FT:$FT,Example!$G53,'Resource Demand - Activity'!EI:EI)</f>
        <v>0</v>
      </c>
      <c r="EO53" s="35">
        <f>SUMIF('Resource Demand - Activity'!$FT:$FT,Example!$G53,'Resource Demand - Activity'!EJ:EJ)</f>
        <v>0</v>
      </c>
      <c r="EP53" s="35">
        <f>SUMIF('Resource Demand - Activity'!$FT:$FT,Example!$G53,'Resource Demand - Activity'!EK:EK)</f>
        <v>0</v>
      </c>
      <c r="EQ53" s="35">
        <f>SUMIF('Resource Demand - Activity'!$FT:$FT,Example!$G53,'Resource Demand - Activity'!EL:EL)</f>
        <v>0</v>
      </c>
      <c r="ER53" s="35">
        <f>SUMIF('Resource Demand - Activity'!$FT:$FT,Example!$G53,'Resource Demand - Activity'!EM:EM)</f>
        <v>0</v>
      </c>
      <c r="ES53" s="35">
        <f>SUMIF('Resource Demand - Activity'!$FT:$FT,Example!$G53,'Resource Demand - Activity'!EN:EN)</f>
        <v>0</v>
      </c>
      <c r="ET53" s="35">
        <f>SUMIF('Resource Demand - Activity'!$FT:$FT,Example!$G53,'Resource Demand - Activity'!EO:EO)</f>
        <v>0</v>
      </c>
      <c r="EU53" s="35">
        <f>SUMIF('Resource Demand - Activity'!$FT:$FT,Example!$G53,'Resource Demand - Activity'!EP:EP)</f>
        <v>0</v>
      </c>
      <c r="EV53" s="35">
        <f>SUMIF('Resource Demand - Activity'!$FT:$FT,Example!$G53,'Resource Demand - Activity'!EQ:EQ)</f>
        <v>0</v>
      </c>
      <c r="EW53" s="35">
        <f>SUMIF('Resource Demand - Activity'!$FT:$FT,Example!$G53,'Resource Demand - Activity'!ER:ER)</f>
        <v>0</v>
      </c>
      <c r="EX53" s="35">
        <f>SUMIF('Resource Demand - Activity'!$FT:$FT,Example!$G53,'Resource Demand - Activity'!ES:ES)</f>
        <v>0</v>
      </c>
      <c r="EY53" s="35">
        <f>SUMIF('Resource Demand - Activity'!$FT:$FT,Example!$G53,'Resource Demand - Activity'!ET:ET)</f>
        <v>0</v>
      </c>
      <c r="EZ53" s="35">
        <f>SUMIF('Resource Demand - Activity'!$FT:$FT,Example!$G53,'Resource Demand - Activity'!EU:EU)</f>
        <v>0</v>
      </c>
      <c r="FA53" s="35">
        <f>SUMIF('Resource Demand - Activity'!$FT:$FT,Example!$G53,'Resource Demand - Activity'!EV:EV)</f>
        <v>0</v>
      </c>
      <c r="FB53" s="35">
        <f>SUMIF('Resource Demand - Activity'!$FT:$FT,Example!$G53,'Resource Demand - Activity'!EW:EW)</f>
        <v>0</v>
      </c>
      <c r="FC53" s="35">
        <f>SUMIF('Resource Demand - Activity'!$FT:$FT,Example!$G53,'Resource Demand - Activity'!EX:EX)</f>
        <v>0</v>
      </c>
      <c r="FD53" s="36">
        <f>SUMIF('Resource Demand - Activity'!$FT:$FT,Example!$G53,'Resource Demand - Activity'!EY:EY)</f>
        <v>0</v>
      </c>
      <c r="FE53" s="35">
        <f>SUMIF('Resource Demand - Activity'!$FT:$FT,Example!$G53,'Resource Demand - Activity'!EZ:EZ)</f>
        <v>0</v>
      </c>
      <c r="FF53" s="35">
        <f>SUMIF('Resource Demand - Activity'!$FT:$FT,Example!$G53,'Resource Demand - Activity'!FA:FA)</f>
        <v>0</v>
      </c>
      <c r="FG53" s="35">
        <f>SUMIF('Resource Demand - Activity'!$FT:$FT,Example!$G53,'Resource Demand - Activity'!FB:FB)</f>
        <v>0</v>
      </c>
      <c r="FH53" s="35">
        <f>SUMIF('Resource Demand - Activity'!$FT:$FT,Example!$G53,'Resource Demand - Activity'!FC:FC)</f>
        <v>0</v>
      </c>
      <c r="FI53" s="35">
        <f>SUMIF('Resource Demand - Activity'!$FT:$FT,Example!$G53,'Resource Demand - Activity'!FD:FD)</f>
        <v>0</v>
      </c>
      <c r="FJ53" s="35">
        <f>SUMIF('Resource Demand - Activity'!$FT:$FT,Example!$G53,'Resource Demand - Activity'!FE:FE)</f>
        <v>0</v>
      </c>
      <c r="FK53" s="35">
        <f>SUMIF('Resource Demand - Activity'!$FT:$FT,Example!$G53,'Resource Demand - Activity'!FF:FF)</f>
        <v>0</v>
      </c>
      <c r="FL53" s="35">
        <f>SUMIF('Resource Demand - Activity'!$FT:$FT,Example!$G53,'Resource Demand - Activity'!FG:FG)</f>
        <v>0</v>
      </c>
      <c r="FM53" s="35">
        <f>SUMIF('Resource Demand - Activity'!$FT:$FT,Example!$G53,'Resource Demand - Activity'!FH:FH)</f>
        <v>0</v>
      </c>
      <c r="FN53" s="35">
        <f>SUMIF('Resource Demand - Activity'!$FT:$FT,Example!$G53,'Resource Demand - Activity'!FI:FI)</f>
        <v>0</v>
      </c>
      <c r="FO53" s="35">
        <f>SUMIF('Resource Demand - Activity'!$FT:$FT,Example!$G53,'Resource Demand - Activity'!FJ:FJ)</f>
        <v>0</v>
      </c>
      <c r="FP53" s="35">
        <f>SUMIF('Resource Demand - Activity'!$FT:$FT,Example!$G53,'Resource Demand - Activity'!FK:FK)</f>
        <v>0</v>
      </c>
      <c r="FQ53" s="35">
        <f>SUMIF('Resource Demand - Activity'!$FT:$FT,Example!$G53,'Resource Demand - Activity'!FL:FL)</f>
        <v>0</v>
      </c>
      <c r="FR53" s="35">
        <f>SUMIF('Resource Demand - Activity'!$FT:$FT,Example!$G53,'Resource Demand - Activity'!FM:FM)</f>
        <v>0</v>
      </c>
      <c r="FS53" s="35">
        <f>SUMIF('Resource Demand - Activity'!$FT:$FT,Example!$G53,'Resource Demand - Activity'!FN:FN)</f>
        <v>0</v>
      </c>
      <c r="FT53" s="35">
        <f>SUMIF('Resource Demand - Activity'!$FT:$FT,Example!$G53,'Resource Demand - Activity'!FO:FO)</f>
        <v>0</v>
      </c>
      <c r="FU53" s="35">
        <f>SUMIF('Resource Demand - Activity'!$FT:$FT,Example!$G53,'Resource Demand - Activity'!FP:FP)</f>
        <v>0</v>
      </c>
      <c r="FV53" s="52">
        <f>SUMIF('Resource Demand - Activity'!$FT:$FT,Example!$G53,'Resource Demand - Activity'!FQ:FQ)</f>
        <v>0</v>
      </c>
    </row>
    <row r="54" spans="2:178" ht="12" customHeight="1">
      <c r="G54" s="64" t="str">
        <f t="shared" si="7"/>
        <v>10. BAU Transition 10.6 SFCR Development &amp; Dry RunSenior Accountant</v>
      </c>
      <c r="H54" s="61" t="s">
        <v>157</v>
      </c>
      <c r="I54" s="59" t="str">
        <f>INDEX('Resource Demand - Activity'!C:C,MATCH(Example!G54,'Resource Demand - Activity'!FT:FT,0))</f>
        <v>7 days</v>
      </c>
      <c r="J54" s="51">
        <f>SUMIF('Resource Demand - Activity'!$FT:$FT,Example!$G54,'Resource Demand - Activity'!E:E)</f>
        <v>0</v>
      </c>
      <c r="K54" s="35">
        <f>SUMIF('Resource Demand - Activity'!$FT:$FT,Example!$G54,'Resource Demand - Activity'!F:F)</f>
        <v>0</v>
      </c>
      <c r="L54" s="35">
        <f>SUMIF('Resource Demand - Activity'!$FT:$FT,Example!$G54,'Resource Demand - Activity'!G:G)</f>
        <v>0</v>
      </c>
      <c r="M54" s="35">
        <f>SUMIF('Resource Demand - Activity'!$FT:$FT,Example!$G54,'Resource Demand - Activity'!H:H)</f>
        <v>0</v>
      </c>
      <c r="N54" s="35">
        <f>SUMIF('Resource Demand - Activity'!$FT:$FT,Example!$G54,'Resource Demand - Activity'!I:I)</f>
        <v>0</v>
      </c>
      <c r="O54" s="35">
        <f>SUMIF('Resource Demand - Activity'!$FT:$FT,Example!$G54,'Resource Demand - Activity'!J:J)</f>
        <v>0</v>
      </c>
      <c r="P54" s="35">
        <f>SUMIF('Resource Demand - Activity'!$FT:$FT,Example!$G54,'Resource Demand - Activity'!K:K)</f>
        <v>0</v>
      </c>
      <c r="Q54" s="35">
        <f>SUMIF('Resource Demand - Activity'!$FT:$FT,Example!$G54,'Resource Demand - Activity'!L:L)</f>
        <v>0</v>
      </c>
      <c r="R54" s="35">
        <f>SUMIF('Resource Demand - Activity'!$FT:$FT,Example!$G54,'Resource Demand - Activity'!M:M)</f>
        <v>0</v>
      </c>
      <c r="S54" s="35">
        <f>SUMIF('Resource Demand - Activity'!$FT:$FT,Example!$G54,'Resource Demand - Activity'!N:N)</f>
        <v>0</v>
      </c>
      <c r="T54" s="35">
        <f>SUMIF('Resource Demand - Activity'!$FT:$FT,Example!$G54,'Resource Demand - Activity'!O:O)</f>
        <v>0</v>
      </c>
      <c r="U54" s="35">
        <f>SUMIF('Resource Demand - Activity'!$FT:$FT,Example!$G54,'Resource Demand - Activity'!P:P)</f>
        <v>0</v>
      </c>
      <c r="V54" s="35">
        <f>SUMIF('Resource Demand - Activity'!$FT:$FT,Example!$G54,'Resource Demand - Activity'!Q:Q)</f>
        <v>0</v>
      </c>
      <c r="W54" s="35">
        <f>SUMIF('Resource Demand - Activity'!$FT:$FT,Example!$G54,'Resource Demand - Activity'!R:R)</f>
        <v>0</v>
      </c>
      <c r="X54" s="35">
        <f>SUMIF('Resource Demand - Activity'!$FT:$FT,Example!$G54,'Resource Demand - Activity'!S:S)</f>
        <v>0</v>
      </c>
      <c r="Y54" s="35">
        <f>SUMIF('Resource Demand - Activity'!$FT:$FT,Example!$G54,'Resource Demand - Activity'!T:T)</f>
        <v>0</v>
      </c>
      <c r="Z54" s="35">
        <f>SUMIF('Resource Demand - Activity'!$FT:$FT,Example!$G54,'Resource Demand - Activity'!U:U)</f>
        <v>0</v>
      </c>
      <c r="AA54" s="35">
        <f>SUMIF('Resource Demand - Activity'!$FT:$FT,Example!$G54,'Resource Demand - Activity'!V:V)</f>
        <v>0</v>
      </c>
      <c r="AB54" s="35">
        <f>SUMIF('Resource Demand - Activity'!$FT:$FT,Example!$G54,'Resource Demand - Activity'!W:W)</f>
        <v>0</v>
      </c>
      <c r="AC54" s="35">
        <f>SUMIF('Resource Demand - Activity'!$FT:$FT,Example!$G54,'Resource Demand - Activity'!X:X)</f>
        <v>0</v>
      </c>
      <c r="AD54" s="35">
        <f>SUMIF('Resource Demand - Activity'!$FT:$FT,Example!$G54,'Resource Demand - Activity'!Y:Y)</f>
        <v>0</v>
      </c>
      <c r="AE54" s="35">
        <f>SUMIF('Resource Demand - Activity'!$FT:$FT,Example!$G54,'Resource Demand - Activity'!Z:Z)</f>
        <v>0</v>
      </c>
      <c r="AF54" s="35">
        <f>SUMIF('Resource Demand - Activity'!$FT:$FT,Example!$G54,'Resource Demand - Activity'!AA:AA)</f>
        <v>0</v>
      </c>
      <c r="AG54" s="35">
        <f>SUMIF('Resource Demand - Activity'!$FT:$FT,Example!$G54,'Resource Demand - Activity'!AB:AB)</f>
        <v>0</v>
      </c>
      <c r="AH54" s="35">
        <f>SUMIF('Resource Demand - Activity'!$FT:$FT,Example!$G54,'Resource Demand - Activity'!AC:AC)</f>
        <v>0</v>
      </c>
      <c r="AI54" s="35">
        <f>SUMIF('Resource Demand - Activity'!$FT:$FT,Example!$G54,'Resource Demand - Activity'!AD:AD)</f>
        <v>0</v>
      </c>
      <c r="AJ54" s="35">
        <f>SUMIF('Resource Demand - Activity'!$FT:$FT,Example!$G54,'Resource Demand - Activity'!AE:AE)</f>
        <v>0</v>
      </c>
      <c r="AK54" s="35">
        <f>SUMIF('Resource Demand - Activity'!$FT:$FT,Example!$G54,'Resource Demand - Activity'!AF:AF)</f>
        <v>0</v>
      </c>
      <c r="AL54" s="35">
        <f>SUMIF('Resource Demand - Activity'!$FT:$FT,Example!$G54,'Resource Demand - Activity'!AG:AG)</f>
        <v>0</v>
      </c>
      <c r="AM54" s="35">
        <f>SUMIF('Resource Demand - Activity'!$FT:$FT,Example!$G54,'Resource Demand - Activity'!AH:AH)</f>
        <v>0</v>
      </c>
      <c r="AN54" s="35">
        <f>SUMIF('Resource Demand - Activity'!$FT:$FT,Example!$G54,'Resource Demand - Activity'!AI:AI)</f>
        <v>0</v>
      </c>
      <c r="AO54" s="35">
        <f>SUMIF('Resource Demand - Activity'!$FT:$FT,Example!$G54,'Resource Demand - Activity'!AJ:AJ)</f>
        <v>0</v>
      </c>
      <c r="AP54" s="35">
        <f>SUMIF('Resource Demand - Activity'!$FT:$FT,Example!$G54,'Resource Demand - Activity'!AK:AK)</f>
        <v>0</v>
      </c>
      <c r="AQ54" s="36">
        <f>SUMIF('Resource Demand - Activity'!$FT:$FT,Example!$G54,'Resource Demand - Activity'!AL:AL)</f>
        <v>0</v>
      </c>
      <c r="AR54" s="36">
        <f>SUMIF('Resource Demand - Activity'!$FT:$FT,Example!$G54,'Resource Demand - Activity'!AM:AM)</f>
        <v>0</v>
      </c>
      <c r="AS54" s="36">
        <f>SUMIF('Resource Demand - Activity'!$FT:$FT,Example!$G54,'Resource Demand - Activity'!AN:AN)</f>
        <v>0</v>
      </c>
      <c r="AT54" s="36">
        <f>SUMIF('Resource Demand - Activity'!$FT:$FT,Example!$G54,'Resource Demand - Activity'!AO:AO)</f>
        <v>0</v>
      </c>
      <c r="AU54" s="36">
        <f>SUMIF('Resource Demand - Activity'!$FT:$FT,Example!$G54,'Resource Demand - Activity'!AP:AP)</f>
        <v>0</v>
      </c>
      <c r="AV54" s="36">
        <f>SUMIF('Resource Demand - Activity'!$FT:$FT,Example!$G54,'Resource Demand - Activity'!AQ:AQ)</f>
        <v>0</v>
      </c>
      <c r="AW54" s="36">
        <f>SUMIF('Resource Demand - Activity'!$FT:$FT,Example!$G54,'Resource Demand - Activity'!AR:AR)</f>
        <v>0</v>
      </c>
      <c r="AX54" s="35">
        <f>SUMIF('Resource Demand - Activity'!$FT:$FT,Example!$G54,'Resource Demand - Activity'!AS:AS)</f>
        <v>0</v>
      </c>
      <c r="AY54" s="35">
        <f>SUMIF('Resource Demand - Activity'!$FT:$FT,Example!$G54,'Resource Demand - Activity'!AT:AT)</f>
        <v>0</v>
      </c>
      <c r="AZ54" s="35">
        <f>SUMIF('Resource Demand - Activity'!$FT:$FT,Example!$G54,'Resource Demand - Activity'!AU:AU)</f>
        <v>0</v>
      </c>
      <c r="BA54" s="35">
        <f>SUMIF('Resource Demand - Activity'!$FT:$FT,Example!$G54,'Resource Demand - Activity'!AV:AV)</f>
        <v>0</v>
      </c>
      <c r="BB54" s="35">
        <f>SUMIF('Resource Demand - Activity'!$FT:$FT,Example!$G54,'Resource Demand - Activity'!AW:AW)</f>
        <v>0</v>
      </c>
      <c r="BC54" s="35">
        <f>SUMIF('Resource Demand - Activity'!$FT:$FT,Example!$G54,'Resource Demand - Activity'!AX:AX)</f>
        <v>0</v>
      </c>
      <c r="BD54" s="35">
        <f>SUMIF('Resource Demand - Activity'!$FT:$FT,Example!$G54,'Resource Demand - Activity'!AY:AY)</f>
        <v>0</v>
      </c>
      <c r="BE54" s="35">
        <f>SUMIF('Resource Demand - Activity'!$FT:$FT,Example!$G54,'Resource Demand - Activity'!AZ:AZ)</f>
        <v>0</v>
      </c>
      <c r="BF54" s="35">
        <f>SUMIF('Resource Demand - Activity'!$FT:$FT,Example!$G54,'Resource Demand - Activity'!BA:BA)</f>
        <v>0</v>
      </c>
      <c r="BG54" s="35">
        <f>SUMIF('Resource Demand - Activity'!$FT:$FT,Example!$G54,'Resource Demand - Activity'!BB:BB)</f>
        <v>0</v>
      </c>
      <c r="BH54" s="35">
        <f>SUMIF('Resource Demand - Activity'!$FT:$FT,Example!$G54,'Resource Demand - Activity'!BC:BC)</f>
        <v>0</v>
      </c>
      <c r="BI54" s="35">
        <f>SUMIF('Resource Demand - Activity'!$FT:$FT,Example!$G54,'Resource Demand - Activity'!BD:BD)</f>
        <v>0</v>
      </c>
      <c r="BJ54" s="35">
        <f>SUMIF('Resource Demand - Activity'!$FT:$FT,Example!$G54,'Resource Demand - Activity'!BE:BE)</f>
        <v>0</v>
      </c>
      <c r="BK54" s="35">
        <f>SUMIF('Resource Demand - Activity'!$FT:$FT,Example!$G54,'Resource Demand - Activity'!BF:BF)</f>
        <v>0</v>
      </c>
      <c r="BL54" s="35">
        <f>SUMIF('Resource Demand - Activity'!$FT:$FT,Example!$G54,'Resource Demand - Activity'!BG:BG)</f>
        <v>0</v>
      </c>
      <c r="BM54" s="35">
        <f>SUMIF('Resource Demand - Activity'!$FT:$FT,Example!$G54,'Resource Demand - Activity'!BH:BH)</f>
        <v>0</v>
      </c>
      <c r="BN54" s="35">
        <f>SUMIF('Resource Demand - Activity'!$FT:$FT,Example!$G54,'Resource Demand - Activity'!BI:BI)</f>
        <v>0</v>
      </c>
      <c r="BO54" s="35">
        <f>SUMIF('Resource Demand - Activity'!$FT:$FT,Example!$G54,'Resource Demand - Activity'!BJ:BJ)</f>
        <v>0</v>
      </c>
      <c r="BP54" s="35">
        <f>SUMIF('Resource Demand - Activity'!$FT:$FT,Example!$G54,'Resource Demand - Activity'!BK:BK)</f>
        <v>0</v>
      </c>
      <c r="BQ54" s="35">
        <f>SUMIF('Resource Demand - Activity'!$FT:$FT,Example!$G54,'Resource Demand - Activity'!BL:BL)</f>
        <v>0</v>
      </c>
      <c r="BR54" s="35">
        <f>SUMIF('Resource Demand - Activity'!$FT:$FT,Example!$G54,'Resource Demand - Activity'!BM:BM)</f>
        <v>0</v>
      </c>
      <c r="BS54" s="35">
        <f>SUMIF('Resource Demand - Activity'!$FT:$FT,Example!$G54,'Resource Demand - Activity'!BN:BN)</f>
        <v>0</v>
      </c>
      <c r="BT54" s="35">
        <f>SUMIF('Resource Demand - Activity'!$FT:$FT,Example!$G54,'Resource Demand - Activity'!BO:BO)</f>
        <v>0</v>
      </c>
      <c r="BU54" s="35">
        <f>SUMIF('Resource Demand - Activity'!$FT:$FT,Example!$G54,'Resource Demand - Activity'!BP:BP)</f>
        <v>0</v>
      </c>
      <c r="BV54" s="35">
        <f>SUMIF('Resource Demand - Activity'!$FT:$FT,Example!$G54,'Resource Demand - Activity'!BQ:BQ)</f>
        <v>0</v>
      </c>
      <c r="BW54" s="35">
        <f>SUMIF('Resource Demand - Activity'!$FT:$FT,Example!$G54,'Resource Demand - Activity'!BR:BR)</f>
        <v>0</v>
      </c>
      <c r="BX54" s="35">
        <f>SUMIF('Resource Demand - Activity'!$FT:$FT,Example!$G54,'Resource Demand - Activity'!BS:BS)</f>
        <v>0</v>
      </c>
      <c r="BY54" s="35">
        <f>SUMIF('Resource Demand - Activity'!$FT:$FT,Example!$G54,'Resource Demand - Activity'!BT:BT)</f>
        <v>0</v>
      </c>
      <c r="BZ54" s="35">
        <f>SUMIF('Resource Demand - Activity'!$FT:$FT,Example!$G54,'Resource Demand - Activity'!BU:BU)</f>
        <v>0</v>
      </c>
      <c r="CA54" s="35">
        <f>SUMIF('Resource Demand - Activity'!$FT:$FT,Example!$G54,'Resource Demand - Activity'!BV:BV)</f>
        <v>0</v>
      </c>
      <c r="CB54" s="35">
        <f>SUMIF('Resource Demand - Activity'!$FT:$FT,Example!$G54,'Resource Demand - Activity'!BW:BW)</f>
        <v>0</v>
      </c>
      <c r="CC54" s="35">
        <f>SUMIF('Resource Demand - Activity'!$FT:$FT,Example!$G54,'Resource Demand - Activity'!BX:BX)</f>
        <v>0</v>
      </c>
      <c r="CD54" s="35">
        <f>SUMIF('Resource Demand - Activity'!$FT:$FT,Example!$G54,'Resource Demand - Activity'!BY:BY)</f>
        <v>0</v>
      </c>
      <c r="CE54" s="35">
        <f>SUMIF('Resource Demand - Activity'!$FT:$FT,Example!$G54,'Resource Demand - Activity'!BZ:BZ)</f>
        <v>0</v>
      </c>
      <c r="CF54" s="35">
        <f>SUMIF('Resource Demand - Activity'!$FT:$FT,Example!$G54,'Resource Demand - Activity'!CA:CA)</f>
        <v>0</v>
      </c>
      <c r="CG54" s="35">
        <f>SUMIF('Resource Demand - Activity'!$FT:$FT,Example!$G54,'Resource Demand - Activity'!CB:CB)</f>
        <v>0</v>
      </c>
      <c r="CH54" s="35">
        <f>SUMIF('Resource Demand - Activity'!$FT:$FT,Example!$G54,'Resource Demand - Activity'!CC:CC)</f>
        <v>0</v>
      </c>
      <c r="CI54" s="35">
        <f>SUMIF('Resource Demand - Activity'!$FT:$FT,Example!$G54,'Resource Demand - Activity'!CD:CD)</f>
        <v>0</v>
      </c>
      <c r="CJ54" s="35">
        <f>SUMIF('Resource Demand - Activity'!$FT:$FT,Example!$G54,'Resource Demand - Activity'!CE:CE)</f>
        <v>0</v>
      </c>
      <c r="CK54" s="35">
        <f>SUMIF('Resource Demand - Activity'!$FT:$FT,Example!$G54,'Resource Demand - Activity'!CF:CF)</f>
        <v>0</v>
      </c>
      <c r="CL54" s="35">
        <f>SUMIF('Resource Demand - Activity'!$FT:$FT,Example!$G54,'Resource Demand - Activity'!CG:CG)</f>
        <v>0</v>
      </c>
      <c r="CM54" s="35">
        <f>SUMIF('Resource Demand - Activity'!$FT:$FT,Example!$G54,'Resource Demand - Activity'!CH:CH)</f>
        <v>0</v>
      </c>
      <c r="CN54" s="35">
        <f>SUMIF('Resource Demand - Activity'!$FT:$FT,Example!$G54,'Resource Demand - Activity'!CI:CI)</f>
        <v>0</v>
      </c>
      <c r="CO54" s="35">
        <f>SUMIF('Resource Demand - Activity'!$FT:$FT,Example!$G54,'Resource Demand - Activity'!CJ:CJ)</f>
        <v>0</v>
      </c>
      <c r="CP54" s="35">
        <f>SUMIF('Resource Demand - Activity'!$FT:$FT,Example!$G54,'Resource Demand - Activity'!CK:CK)</f>
        <v>0</v>
      </c>
      <c r="CQ54" s="35">
        <f>SUMIF('Resource Demand - Activity'!$FT:$FT,Example!$G54,'Resource Demand - Activity'!CL:CL)</f>
        <v>0</v>
      </c>
      <c r="CR54" s="35">
        <f>SUMIF('Resource Demand - Activity'!$FT:$FT,Example!$G54,'Resource Demand - Activity'!CM:CM)</f>
        <v>0</v>
      </c>
      <c r="CS54" s="35">
        <f>SUMIF('Resource Demand - Activity'!$FT:$FT,Example!$G54,'Resource Demand - Activity'!CN:CN)</f>
        <v>0</v>
      </c>
      <c r="CT54" s="35">
        <f>SUMIF('Resource Demand - Activity'!$FT:$FT,Example!$G54,'Resource Demand - Activity'!CO:CO)</f>
        <v>0</v>
      </c>
      <c r="CU54" s="35">
        <f>SUMIF('Resource Demand - Activity'!$FT:$FT,Example!$G54,'Resource Demand - Activity'!CP:CP)</f>
        <v>0</v>
      </c>
      <c r="CV54" s="35">
        <f>SUMIF('Resource Demand - Activity'!$FT:$FT,Example!$G54,'Resource Demand - Activity'!CQ:CQ)</f>
        <v>0</v>
      </c>
      <c r="CW54" s="35">
        <f>SUMIF('Resource Demand - Activity'!$FT:$FT,Example!$G54,'Resource Demand - Activity'!CR:CR)</f>
        <v>0</v>
      </c>
      <c r="CX54" s="35">
        <f>SUMIF('Resource Demand - Activity'!$FT:$FT,Example!$G54,'Resource Demand - Activity'!CS:CS)</f>
        <v>0</v>
      </c>
      <c r="CY54" s="36">
        <f>SUMIF('Resource Demand - Activity'!$FT:$FT,Example!$G54,'Resource Demand - Activity'!CT:CT)</f>
        <v>0</v>
      </c>
      <c r="CZ54" s="35">
        <f>SUMIF('Resource Demand - Activity'!$FT:$FT,Example!$G54,'Resource Demand - Activity'!CU:CU)</f>
        <v>0</v>
      </c>
      <c r="DA54" s="35">
        <f>SUMIF('Resource Demand - Activity'!$FT:$FT,Example!$G54,'Resource Demand - Activity'!CV:CV)</f>
        <v>0</v>
      </c>
      <c r="DB54" s="35">
        <f>SUMIF('Resource Demand - Activity'!$FT:$FT,Example!$G54,'Resource Demand - Activity'!CW:CW)</f>
        <v>0</v>
      </c>
      <c r="DC54" s="35">
        <f>SUMIF('Resource Demand - Activity'!$FT:$FT,Example!$G54,'Resource Demand - Activity'!CX:CX)</f>
        <v>0</v>
      </c>
      <c r="DD54" s="35">
        <f>SUMIF('Resource Demand - Activity'!$FT:$FT,Example!$G54,'Resource Demand - Activity'!CY:CY)</f>
        <v>0</v>
      </c>
      <c r="DE54" s="36">
        <f>SUMIF('Resource Demand - Activity'!$FT:$FT,Example!$G54,'Resource Demand - Activity'!CZ:CZ)</f>
        <v>0</v>
      </c>
      <c r="DF54" s="36">
        <f>SUMIF('Resource Demand - Activity'!$FT:$FT,Example!$G54,'Resource Demand - Activity'!DA:DA)</f>
        <v>0</v>
      </c>
      <c r="DG54" s="35">
        <f>SUMIF('Resource Demand - Activity'!$FT:$FT,Example!$G54,'Resource Demand - Activity'!DB:DB)</f>
        <v>0</v>
      </c>
      <c r="DH54" s="35">
        <f>SUMIF('Resource Demand - Activity'!$FT:$FT,Example!$G54,'Resource Demand - Activity'!DC:DC)</f>
        <v>0</v>
      </c>
      <c r="DI54" s="35">
        <f>SUMIF('Resource Demand - Activity'!$FT:$FT,Example!$G54,'Resource Demand - Activity'!DD:DD)</f>
        <v>0</v>
      </c>
      <c r="DJ54" s="35">
        <f>SUMIF('Resource Demand - Activity'!$FT:$FT,Example!$G54,'Resource Demand - Activity'!DE:DE)</f>
        <v>0</v>
      </c>
      <c r="DK54" s="35">
        <f>SUMIF('Resource Demand - Activity'!$FT:$FT,Example!$G54,'Resource Demand - Activity'!DF:DF)</f>
        <v>0</v>
      </c>
      <c r="DL54" s="35">
        <f>SUMIF('Resource Demand - Activity'!$FT:$FT,Example!$G54,'Resource Demand - Activity'!DG:DG)</f>
        <v>0</v>
      </c>
      <c r="DM54" s="35">
        <f>SUMIF('Resource Demand - Activity'!$FT:$FT,Example!$G54,'Resource Demand - Activity'!DH:DH)</f>
        <v>0</v>
      </c>
      <c r="DN54" s="35">
        <f>SUMIF('Resource Demand - Activity'!$FT:$FT,Example!$G54,'Resource Demand - Activity'!DI:DI)</f>
        <v>0</v>
      </c>
      <c r="DO54" s="35">
        <f>SUMIF('Resource Demand - Activity'!$FT:$FT,Example!$G54,'Resource Demand - Activity'!DJ:DJ)</f>
        <v>0</v>
      </c>
      <c r="DP54" s="35">
        <f>SUMIF('Resource Demand - Activity'!$FT:$FT,Example!$G54,'Resource Demand - Activity'!DK:DK)</f>
        <v>0</v>
      </c>
      <c r="DQ54" s="35">
        <f>SUMIF('Resource Demand - Activity'!$FT:$FT,Example!$G54,'Resource Demand - Activity'!DL:DL)</f>
        <v>0</v>
      </c>
      <c r="DR54" s="35">
        <f>SUMIF('Resource Demand - Activity'!$FT:$FT,Example!$G54,'Resource Demand - Activity'!DM:DM)</f>
        <v>0</v>
      </c>
      <c r="DS54" s="35">
        <f>SUMIF('Resource Demand - Activity'!$FT:$FT,Example!$G54,'Resource Demand - Activity'!DN:DN)</f>
        <v>0</v>
      </c>
      <c r="DT54" s="35">
        <f>SUMIF('Resource Demand - Activity'!$FT:$FT,Example!$G54,'Resource Demand - Activity'!DO:DO)</f>
        <v>0</v>
      </c>
      <c r="DU54" s="35">
        <f>SUMIF('Resource Demand - Activity'!$FT:$FT,Example!$G54,'Resource Demand - Activity'!DP:DP)</f>
        <v>0</v>
      </c>
      <c r="DV54" s="35">
        <f>SUMIF('Resource Demand - Activity'!$FT:$FT,Example!$G54,'Resource Demand - Activity'!DQ:DQ)</f>
        <v>0</v>
      </c>
      <c r="DW54" s="35">
        <f>SUMIF('Resource Demand - Activity'!$FT:$FT,Example!$G54,'Resource Demand - Activity'!DR:DR)</f>
        <v>0</v>
      </c>
      <c r="DX54" s="35">
        <f>SUMIF('Resource Demand - Activity'!$FT:$FT,Example!$G54,'Resource Demand - Activity'!DS:DS)</f>
        <v>0</v>
      </c>
      <c r="DY54" s="35">
        <f>SUMIF('Resource Demand - Activity'!$FT:$FT,Example!$G54,'Resource Demand - Activity'!DT:DT)</f>
        <v>0</v>
      </c>
      <c r="DZ54" s="35">
        <f>SUMIF('Resource Demand - Activity'!$FT:$FT,Example!$G54,'Resource Demand - Activity'!DU:DU)</f>
        <v>0</v>
      </c>
      <c r="EA54" s="35">
        <f>SUMIF('Resource Demand - Activity'!$FT:$FT,Example!$G54,'Resource Demand - Activity'!DV:DV)</f>
        <v>0</v>
      </c>
      <c r="EB54" s="35">
        <f>SUMIF('Resource Demand - Activity'!$FT:$FT,Example!$G54,'Resource Demand - Activity'!DW:DW)</f>
        <v>0</v>
      </c>
      <c r="EC54" s="35">
        <f>SUMIF('Resource Demand - Activity'!$FT:$FT,Example!$G54,'Resource Demand - Activity'!DX:DX)</f>
        <v>0</v>
      </c>
      <c r="ED54" s="35">
        <f>SUMIF('Resource Demand - Activity'!$FT:$FT,Example!$G54,'Resource Demand - Activity'!DY:DY)</f>
        <v>0</v>
      </c>
      <c r="EE54" s="36">
        <f>SUMIF('Resource Demand - Activity'!$FT:$FT,Example!$G54,'Resource Demand - Activity'!DZ:DZ)</f>
        <v>0</v>
      </c>
      <c r="EF54" s="35">
        <f>SUMIF('Resource Demand - Activity'!$FT:$FT,Example!$G54,'Resource Demand - Activity'!EA:EA)</f>
        <v>0</v>
      </c>
      <c r="EG54" s="35">
        <f>SUMIF('Resource Demand - Activity'!$FT:$FT,Example!$G54,'Resource Demand - Activity'!EB:EB)</f>
        <v>0</v>
      </c>
      <c r="EH54" s="35">
        <f>SUMIF('Resource Demand - Activity'!$FT:$FT,Example!$G54,'Resource Demand - Activity'!EC:EC)</f>
        <v>0</v>
      </c>
      <c r="EI54" s="35">
        <f>SUMIF('Resource Demand - Activity'!$FT:$FT,Example!$G54,'Resource Demand - Activity'!ED:ED)</f>
        <v>0</v>
      </c>
      <c r="EJ54" s="35">
        <f>SUMIF('Resource Demand - Activity'!$FT:$FT,Example!$G54,'Resource Demand - Activity'!EE:EE)</f>
        <v>0</v>
      </c>
      <c r="EK54" s="35">
        <f>SUMIF('Resource Demand - Activity'!$FT:$FT,Example!$G54,'Resource Demand - Activity'!EF:EF)</f>
        <v>0</v>
      </c>
      <c r="EL54" s="35">
        <f>SUMIF('Resource Demand - Activity'!$FT:$FT,Example!$G54,'Resource Demand - Activity'!EG:EG)</f>
        <v>0</v>
      </c>
      <c r="EM54" s="35">
        <f>SUMIF('Resource Demand - Activity'!$FT:$FT,Example!$G54,'Resource Demand - Activity'!EH:EH)</f>
        <v>0</v>
      </c>
      <c r="EN54" s="35">
        <f>SUMIF('Resource Demand - Activity'!$FT:$FT,Example!$G54,'Resource Demand - Activity'!EI:EI)</f>
        <v>0</v>
      </c>
      <c r="EO54" s="35">
        <f>SUMIF('Resource Demand - Activity'!$FT:$FT,Example!$G54,'Resource Demand - Activity'!EJ:EJ)</f>
        <v>0</v>
      </c>
      <c r="EP54" s="35">
        <f>SUMIF('Resource Demand - Activity'!$FT:$FT,Example!$G54,'Resource Demand - Activity'!EK:EK)</f>
        <v>0</v>
      </c>
      <c r="EQ54" s="35">
        <f>SUMIF('Resource Demand - Activity'!$FT:$FT,Example!$G54,'Resource Demand - Activity'!EL:EL)</f>
        <v>0</v>
      </c>
      <c r="ER54" s="35">
        <f>SUMIF('Resource Demand - Activity'!$FT:$FT,Example!$G54,'Resource Demand - Activity'!EM:EM)</f>
        <v>0</v>
      </c>
      <c r="ES54" s="35">
        <f>SUMIF('Resource Demand - Activity'!$FT:$FT,Example!$G54,'Resource Demand - Activity'!EN:EN)</f>
        <v>0</v>
      </c>
      <c r="ET54" s="35">
        <f>SUMIF('Resource Demand - Activity'!$FT:$FT,Example!$G54,'Resource Demand - Activity'!EO:EO)</f>
        <v>0</v>
      </c>
      <c r="EU54" s="35">
        <f>SUMIF('Resource Demand - Activity'!$FT:$FT,Example!$G54,'Resource Demand - Activity'!EP:EP)</f>
        <v>0</v>
      </c>
      <c r="EV54" s="35">
        <f>SUMIF('Resource Demand - Activity'!$FT:$FT,Example!$G54,'Resource Demand - Activity'!EQ:EQ)</f>
        <v>0</v>
      </c>
      <c r="EW54" s="35">
        <f>SUMIF('Resource Demand - Activity'!$FT:$FT,Example!$G54,'Resource Demand - Activity'!ER:ER)</f>
        <v>0</v>
      </c>
      <c r="EX54" s="35">
        <f>SUMIF('Resource Demand - Activity'!$FT:$FT,Example!$G54,'Resource Demand - Activity'!ES:ES)</f>
        <v>0</v>
      </c>
      <c r="EY54" s="35">
        <f>SUMIF('Resource Demand - Activity'!$FT:$FT,Example!$G54,'Resource Demand - Activity'!ET:ET)</f>
        <v>0</v>
      </c>
      <c r="EZ54" s="35">
        <f>SUMIF('Resource Demand - Activity'!$FT:$FT,Example!$G54,'Resource Demand - Activity'!EU:EU)</f>
        <v>1</v>
      </c>
      <c r="FA54" s="35">
        <f>SUMIF('Resource Demand - Activity'!$FT:$FT,Example!$G54,'Resource Demand - Activity'!EV:EV)</f>
        <v>1</v>
      </c>
      <c r="FB54" s="35">
        <f>SUMIF('Resource Demand - Activity'!$FT:$FT,Example!$G54,'Resource Demand - Activity'!EW:EW)</f>
        <v>1</v>
      </c>
      <c r="FC54" s="35">
        <f>SUMIF('Resource Demand - Activity'!$FT:$FT,Example!$G54,'Resource Demand - Activity'!EX:EX)</f>
        <v>0</v>
      </c>
      <c r="FD54" s="36">
        <f>SUMIF('Resource Demand - Activity'!$FT:$FT,Example!$G54,'Resource Demand - Activity'!EY:EY)</f>
        <v>0</v>
      </c>
      <c r="FE54" s="35">
        <f>SUMIF('Resource Demand - Activity'!$FT:$FT,Example!$G54,'Resource Demand - Activity'!EZ:EZ)</f>
        <v>1</v>
      </c>
      <c r="FF54" s="35">
        <f>SUMIF('Resource Demand - Activity'!$FT:$FT,Example!$G54,'Resource Demand - Activity'!FA:FA)</f>
        <v>1</v>
      </c>
      <c r="FG54" s="35">
        <f>SUMIF('Resource Demand - Activity'!$FT:$FT,Example!$G54,'Resource Demand - Activity'!FB:FB)</f>
        <v>1</v>
      </c>
      <c r="FH54" s="35">
        <f>SUMIF('Resource Demand - Activity'!$FT:$FT,Example!$G54,'Resource Demand - Activity'!FC:FC)</f>
        <v>1</v>
      </c>
      <c r="FI54" s="35">
        <f>SUMIF('Resource Demand - Activity'!$FT:$FT,Example!$G54,'Resource Demand - Activity'!FD:FD)</f>
        <v>0</v>
      </c>
      <c r="FJ54" s="35">
        <f>SUMIF('Resource Demand - Activity'!$FT:$FT,Example!$G54,'Resource Demand - Activity'!FE:FE)</f>
        <v>0</v>
      </c>
      <c r="FK54" s="35">
        <f>SUMIF('Resource Demand - Activity'!$FT:$FT,Example!$G54,'Resource Demand - Activity'!FF:FF)</f>
        <v>0</v>
      </c>
      <c r="FL54" s="35">
        <f>SUMIF('Resource Demand - Activity'!$FT:$FT,Example!$G54,'Resource Demand - Activity'!FG:FG)</f>
        <v>0</v>
      </c>
      <c r="FM54" s="35">
        <f>SUMIF('Resource Demand - Activity'!$FT:$FT,Example!$G54,'Resource Demand - Activity'!FH:FH)</f>
        <v>0</v>
      </c>
      <c r="FN54" s="35">
        <f>SUMIF('Resource Demand - Activity'!$FT:$FT,Example!$G54,'Resource Demand - Activity'!FI:FI)</f>
        <v>0</v>
      </c>
      <c r="FO54" s="35">
        <f>SUMIF('Resource Demand - Activity'!$FT:$FT,Example!$G54,'Resource Demand - Activity'!FJ:FJ)</f>
        <v>0</v>
      </c>
      <c r="FP54" s="35">
        <f>SUMIF('Resource Demand - Activity'!$FT:$FT,Example!$G54,'Resource Demand - Activity'!FK:FK)</f>
        <v>0</v>
      </c>
      <c r="FQ54" s="35">
        <f>SUMIF('Resource Demand - Activity'!$FT:$FT,Example!$G54,'Resource Demand - Activity'!FL:FL)</f>
        <v>0</v>
      </c>
      <c r="FR54" s="35">
        <f>SUMIF('Resource Demand - Activity'!$FT:$FT,Example!$G54,'Resource Demand - Activity'!FM:FM)</f>
        <v>0</v>
      </c>
      <c r="FS54" s="35">
        <f>SUMIF('Resource Demand - Activity'!$FT:$FT,Example!$G54,'Resource Demand - Activity'!FN:FN)</f>
        <v>0</v>
      </c>
      <c r="FT54" s="35">
        <f>SUMIF('Resource Demand - Activity'!$FT:$FT,Example!$G54,'Resource Demand - Activity'!FO:FO)</f>
        <v>0</v>
      </c>
      <c r="FU54" s="35">
        <f>SUMIF('Resource Demand - Activity'!$FT:$FT,Example!$G54,'Resource Demand - Activity'!FP:FP)</f>
        <v>0</v>
      </c>
      <c r="FV54" s="52">
        <f>SUMIF('Resource Demand - Activity'!$FT:$FT,Example!$G54,'Resource Demand - Activity'!FQ:FQ)</f>
        <v>0</v>
      </c>
    </row>
    <row r="55" spans="2:178" ht="12" customHeight="1">
      <c r="G55" s="64" t="str">
        <f t="shared" si="7"/>
        <v>10. BAU Transition 10.7 RSR Development &amp; Dry RunSenior Accountant</v>
      </c>
      <c r="H55" s="61" t="s">
        <v>158</v>
      </c>
      <c r="I55" s="59" t="str">
        <f>INDEX('Resource Demand - Activity'!C:C,MATCH(Example!G55,'Resource Demand - Activity'!FT:FT,0))</f>
        <v>3 days</v>
      </c>
      <c r="J55" s="51">
        <f>SUMIF('Resource Demand - Activity'!$FT:$FT,Example!$G55,'Resource Demand - Activity'!E:E)</f>
        <v>0</v>
      </c>
      <c r="K55" s="35">
        <f>SUMIF('Resource Demand - Activity'!$FT:$FT,Example!$G55,'Resource Demand - Activity'!F:F)</f>
        <v>0</v>
      </c>
      <c r="L55" s="35">
        <f>SUMIF('Resource Demand - Activity'!$FT:$FT,Example!$G55,'Resource Demand - Activity'!G:G)</f>
        <v>0</v>
      </c>
      <c r="M55" s="35">
        <f>SUMIF('Resource Demand - Activity'!$FT:$FT,Example!$G55,'Resource Demand - Activity'!H:H)</f>
        <v>0</v>
      </c>
      <c r="N55" s="35">
        <f>SUMIF('Resource Demand - Activity'!$FT:$FT,Example!$G55,'Resource Demand - Activity'!I:I)</f>
        <v>0</v>
      </c>
      <c r="O55" s="35">
        <f>SUMIF('Resource Demand - Activity'!$FT:$FT,Example!$G55,'Resource Demand - Activity'!J:J)</f>
        <v>0</v>
      </c>
      <c r="P55" s="35">
        <f>SUMIF('Resource Demand - Activity'!$FT:$FT,Example!$G55,'Resource Demand - Activity'!K:K)</f>
        <v>0</v>
      </c>
      <c r="Q55" s="35">
        <f>SUMIF('Resource Demand - Activity'!$FT:$FT,Example!$G55,'Resource Demand - Activity'!L:L)</f>
        <v>0</v>
      </c>
      <c r="R55" s="35">
        <f>SUMIF('Resource Demand - Activity'!$FT:$FT,Example!$G55,'Resource Demand - Activity'!M:M)</f>
        <v>0</v>
      </c>
      <c r="S55" s="35">
        <f>SUMIF('Resource Demand - Activity'!$FT:$FT,Example!$G55,'Resource Demand - Activity'!N:N)</f>
        <v>0</v>
      </c>
      <c r="T55" s="35">
        <f>SUMIF('Resource Demand - Activity'!$FT:$FT,Example!$G55,'Resource Demand - Activity'!O:O)</f>
        <v>0</v>
      </c>
      <c r="U55" s="35">
        <f>SUMIF('Resource Demand - Activity'!$FT:$FT,Example!$G55,'Resource Demand - Activity'!P:P)</f>
        <v>0</v>
      </c>
      <c r="V55" s="35">
        <f>SUMIF('Resource Demand - Activity'!$FT:$FT,Example!$G55,'Resource Demand - Activity'!Q:Q)</f>
        <v>0</v>
      </c>
      <c r="W55" s="35">
        <f>SUMIF('Resource Demand - Activity'!$FT:$FT,Example!$G55,'Resource Demand - Activity'!R:R)</f>
        <v>0</v>
      </c>
      <c r="X55" s="35">
        <f>SUMIF('Resource Demand - Activity'!$FT:$FT,Example!$G55,'Resource Demand - Activity'!S:S)</f>
        <v>0</v>
      </c>
      <c r="Y55" s="35">
        <f>SUMIF('Resource Demand - Activity'!$FT:$FT,Example!$G55,'Resource Demand - Activity'!T:T)</f>
        <v>0</v>
      </c>
      <c r="Z55" s="35">
        <f>SUMIF('Resource Demand - Activity'!$FT:$FT,Example!$G55,'Resource Demand - Activity'!U:U)</f>
        <v>0</v>
      </c>
      <c r="AA55" s="35">
        <f>SUMIF('Resource Demand - Activity'!$FT:$FT,Example!$G55,'Resource Demand - Activity'!V:V)</f>
        <v>0</v>
      </c>
      <c r="AB55" s="35">
        <f>SUMIF('Resource Demand - Activity'!$FT:$FT,Example!$G55,'Resource Demand - Activity'!W:W)</f>
        <v>0</v>
      </c>
      <c r="AC55" s="35">
        <f>SUMIF('Resource Demand - Activity'!$FT:$FT,Example!$G55,'Resource Demand - Activity'!X:X)</f>
        <v>0</v>
      </c>
      <c r="AD55" s="35">
        <f>SUMIF('Resource Demand - Activity'!$FT:$FT,Example!$G55,'Resource Demand - Activity'!Y:Y)</f>
        <v>0</v>
      </c>
      <c r="AE55" s="35">
        <f>SUMIF('Resource Demand - Activity'!$FT:$FT,Example!$G55,'Resource Demand - Activity'!Z:Z)</f>
        <v>0</v>
      </c>
      <c r="AF55" s="35">
        <f>SUMIF('Resource Demand - Activity'!$FT:$FT,Example!$G55,'Resource Demand - Activity'!AA:AA)</f>
        <v>0</v>
      </c>
      <c r="AG55" s="35">
        <f>SUMIF('Resource Demand - Activity'!$FT:$FT,Example!$G55,'Resource Demand - Activity'!AB:AB)</f>
        <v>0</v>
      </c>
      <c r="AH55" s="35">
        <f>SUMIF('Resource Demand - Activity'!$FT:$FT,Example!$G55,'Resource Demand - Activity'!AC:AC)</f>
        <v>0</v>
      </c>
      <c r="AI55" s="35">
        <f>SUMIF('Resource Demand - Activity'!$FT:$FT,Example!$G55,'Resource Demand - Activity'!AD:AD)</f>
        <v>0</v>
      </c>
      <c r="AJ55" s="35">
        <f>SUMIF('Resource Demand - Activity'!$FT:$FT,Example!$G55,'Resource Demand - Activity'!AE:AE)</f>
        <v>0</v>
      </c>
      <c r="AK55" s="35">
        <f>SUMIF('Resource Demand - Activity'!$FT:$FT,Example!$G55,'Resource Demand - Activity'!AF:AF)</f>
        <v>0</v>
      </c>
      <c r="AL55" s="35">
        <f>SUMIF('Resource Demand - Activity'!$FT:$FT,Example!$G55,'Resource Demand - Activity'!AG:AG)</f>
        <v>0</v>
      </c>
      <c r="AM55" s="35">
        <f>SUMIF('Resource Demand - Activity'!$FT:$FT,Example!$G55,'Resource Demand - Activity'!AH:AH)</f>
        <v>0</v>
      </c>
      <c r="AN55" s="35">
        <f>SUMIF('Resource Demand - Activity'!$FT:$FT,Example!$G55,'Resource Demand - Activity'!AI:AI)</f>
        <v>0</v>
      </c>
      <c r="AO55" s="35">
        <f>SUMIF('Resource Demand - Activity'!$FT:$FT,Example!$G55,'Resource Demand - Activity'!AJ:AJ)</f>
        <v>0</v>
      </c>
      <c r="AP55" s="35">
        <f>SUMIF('Resource Demand - Activity'!$FT:$FT,Example!$G55,'Resource Demand - Activity'!AK:AK)</f>
        <v>0</v>
      </c>
      <c r="AQ55" s="36">
        <f>SUMIF('Resource Demand - Activity'!$FT:$FT,Example!$G55,'Resource Demand - Activity'!AL:AL)</f>
        <v>0</v>
      </c>
      <c r="AR55" s="36">
        <f>SUMIF('Resource Demand - Activity'!$FT:$FT,Example!$G55,'Resource Demand - Activity'!AM:AM)</f>
        <v>0</v>
      </c>
      <c r="AS55" s="36">
        <f>SUMIF('Resource Demand - Activity'!$FT:$FT,Example!$G55,'Resource Demand - Activity'!AN:AN)</f>
        <v>0</v>
      </c>
      <c r="AT55" s="36">
        <f>SUMIF('Resource Demand - Activity'!$FT:$FT,Example!$G55,'Resource Demand - Activity'!AO:AO)</f>
        <v>0</v>
      </c>
      <c r="AU55" s="36">
        <f>SUMIF('Resource Demand - Activity'!$FT:$FT,Example!$G55,'Resource Demand - Activity'!AP:AP)</f>
        <v>0</v>
      </c>
      <c r="AV55" s="36">
        <f>SUMIF('Resource Demand - Activity'!$FT:$FT,Example!$G55,'Resource Demand - Activity'!AQ:AQ)</f>
        <v>0</v>
      </c>
      <c r="AW55" s="36">
        <f>SUMIF('Resource Demand - Activity'!$FT:$FT,Example!$G55,'Resource Demand - Activity'!AR:AR)</f>
        <v>0</v>
      </c>
      <c r="AX55" s="35">
        <f>SUMIF('Resource Demand - Activity'!$FT:$FT,Example!$G55,'Resource Demand - Activity'!AS:AS)</f>
        <v>0</v>
      </c>
      <c r="AY55" s="35">
        <f>SUMIF('Resource Demand - Activity'!$FT:$FT,Example!$G55,'Resource Demand - Activity'!AT:AT)</f>
        <v>0</v>
      </c>
      <c r="AZ55" s="35">
        <f>SUMIF('Resource Demand - Activity'!$FT:$FT,Example!$G55,'Resource Demand - Activity'!AU:AU)</f>
        <v>0</v>
      </c>
      <c r="BA55" s="35">
        <f>SUMIF('Resource Demand - Activity'!$FT:$FT,Example!$G55,'Resource Demand - Activity'!AV:AV)</f>
        <v>0</v>
      </c>
      <c r="BB55" s="35">
        <f>SUMIF('Resource Demand - Activity'!$FT:$FT,Example!$G55,'Resource Demand - Activity'!AW:AW)</f>
        <v>0</v>
      </c>
      <c r="BC55" s="35">
        <f>SUMIF('Resource Demand - Activity'!$FT:$FT,Example!$G55,'Resource Demand - Activity'!AX:AX)</f>
        <v>0</v>
      </c>
      <c r="BD55" s="35">
        <f>SUMIF('Resource Demand - Activity'!$FT:$FT,Example!$G55,'Resource Demand - Activity'!AY:AY)</f>
        <v>0</v>
      </c>
      <c r="BE55" s="35">
        <f>SUMIF('Resource Demand - Activity'!$FT:$FT,Example!$G55,'Resource Demand - Activity'!AZ:AZ)</f>
        <v>0</v>
      </c>
      <c r="BF55" s="35">
        <f>SUMIF('Resource Demand - Activity'!$FT:$FT,Example!$G55,'Resource Demand - Activity'!BA:BA)</f>
        <v>0</v>
      </c>
      <c r="BG55" s="35">
        <f>SUMIF('Resource Demand - Activity'!$FT:$FT,Example!$G55,'Resource Demand - Activity'!BB:BB)</f>
        <v>0</v>
      </c>
      <c r="BH55" s="35">
        <f>SUMIF('Resource Demand - Activity'!$FT:$FT,Example!$G55,'Resource Demand - Activity'!BC:BC)</f>
        <v>0</v>
      </c>
      <c r="BI55" s="35">
        <f>SUMIF('Resource Demand - Activity'!$FT:$FT,Example!$G55,'Resource Demand - Activity'!BD:BD)</f>
        <v>0</v>
      </c>
      <c r="BJ55" s="35">
        <f>SUMIF('Resource Demand - Activity'!$FT:$FT,Example!$G55,'Resource Demand - Activity'!BE:BE)</f>
        <v>0</v>
      </c>
      <c r="BK55" s="35">
        <f>SUMIF('Resource Demand - Activity'!$FT:$FT,Example!$G55,'Resource Demand - Activity'!BF:BF)</f>
        <v>0</v>
      </c>
      <c r="BL55" s="35">
        <f>SUMIF('Resource Demand - Activity'!$FT:$FT,Example!$G55,'Resource Demand - Activity'!BG:BG)</f>
        <v>0</v>
      </c>
      <c r="BM55" s="35">
        <f>SUMIF('Resource Demand - Activity'!$FT:$FT,Example!$G55,'Resource Demand - Activity'!BH:BH)</f>
        <v>0</v>
      </c>
      <c r="BN55" s="35">
        <f>SUMIF('Resource Demand - Activity'!$FT:$FT,Example!$G55,'Resource Demand - Activity'!BI:BI)</f>
        <v>0</v>
      </c>
      <c r="BO55" s="35">
        <f>SUMIF('Resource Demand - Activity'!$FT:$FT,Example!$G55,'Resource Demand - Activity'!BJ:BJ)</f>
        <v>0</v>
      </c>
      <c r="BP55" s="35">
        <f>SUMIF('Resource Demand - Activity'!$FT:$FT,Example!$G55,'Resource Demand - Activity'!BK:BK)</f>
        <v>0</v>
      </c>
      <c r="BQ55" s="35">
        <f>SUMIF('Resource Demand - Activity'!$FT:$FT,Example!$G55,'Resource Demand - Activity'!BL:BL)</f>
        <v>0</v>
      </c>
      <c r="BR55" s="35">
        <f>SUMIF('Resource Demand - Activity'!$FT:$FT,Example!$G55,'Resource Demand - Activity'!BM:BM)</f>
        <v>0</v>
      </c>
      <c r="BS55" s="35">
        <f>SUMIF('Resource Demand - Activity'!$FT:$FT,Example!$G55,'Resource Demand - Activity'!BN:BN)</f>
        <v>0</v>
      </c>
      <c r="BT55" s="35">
        <f>SUMIF('Resource Demand - Activity'!$FT:$FT,Example!$G55,'Resource Demand - Activity'!BO:BO)</f>
        <v>0</v>
      </c>
      <c r="BU55" s="35">
        <f>SUMIF('Resource Demand - Activity'!$FT:$FT,Example!$G55,'Resource Demand - Activity'!BP:BP)</f>
        <v>0</v>
      </c>
      <c r="BV55" s="35">
        <f>SUMIF('Resource Demand - Activity'!$FT:$FT,Example!$G55,'Resource Demand - Activity'!BQ:BQ)</f>
        <v>0</v>
      </c>
      <c r="BW55" s="35">
        <f>SUMIF('Resource Demand - Activity'!$FT:$FT,Example!$G55,'Resource Demand - Activity'!BR:BR)</f>
        <v>0</v>
      </c>
      <c r="BX55" s="35">
        <f>SUMIF('Resource Demand - Activity'!$FT:$FT,Example!$G55,'Resource Demand - Activity'!BS:BS)</f>
        <v>0</v>
      </c>
      <c r="BY55" s="35">
        <f>SUMIF('Resource Demand - Activity'!$FT:$FT,Example!$G55,'Resource Demand - Activity'!BT:BT)</f>
        <v>0</v>
      </c>
      <c r="BZ55" s="35">
        <f>SUMIF('Resource Demand - Activity'!$FT:$FT,Example!$G55,'Resource Demand - Activity'!BU:BU)</f>
        <v>0</v>
      </c>
      <c r="CA55" s="35">
        <f>SUMIF('Resource Demand - Activity'!$FT:$FT,Example!$G55,'Resource Demand - Activity'!BV:BV)</f>
        <v>0</v>
      </c>
      <c r="CB55" s="35">
        <f>SUMIF('Resource Demand - Activity'!$FT:$FT,Example!$G55,'Resource Demand - Activity'!BW:BW)</f>
        <v>0</v>
      </c>
      <c r="CC55" s="35">
        <f>SUMIF('Resource Demand - Activity'!$FT:$FT,Example!$G55,'Resource Demand - Activity'!BX:BX)</f>
        <v>0</v>
      </c>
      <c r="CD55" s="35">
        <f>SUMIF('Resource Demand - Activity'!$FT:$FT,Example!$G55,'Resource Demand - Activity'!BY:BY)</f>
        <v>0</v>
      </c>
      <c r="CE55" s="35">
        <f>SUMIF('Resource Demand - Activity'!$FT:$FT,Example!$G55,'Resource Demand - Activity'!BZ:BZ)</f>
        <v>0</v>
      </c>
      <c r="CF55" s="35">
        <f>SUMIF('Resource Demand - Activity'!$FT:$FT,Example!$G55,'Resource Demand - Activity'!CA:CA)</f>
        <v>0</v>
      </c>
      <c r="CG55" s="35">
        <f>SUMIF('Resource Demand - Activity'!$FT:$FT,Example!$G55,'Resource Demand - Activity'!CB:CB)</f>
        <v>0</v>
      </c>
      <c r="CH55" s="35">
        <f>SUMIF('Resource Demand - Activity'!$FT:$FT,Example!$G55,'Resource Demand - Activity'!CC:CC)</f>
        <v>0</v>
      </c>
      <c r="CI55" s="35">
        <f>SUMIF('Resource Demand - Activity'!$FT:$FT,Example!$G55,'Resource Demand - Activity'!CD:CD)</f>
        <v>0</v>
      </c>
      <c r="CJ55" s="35">
        <f>SUMIF('Resource Demand - Activity'!$FT:$FT,Example!$G55,'Resource Demand - Activity'!CE:CE)</f>
        <v>0</v>
      </c>
      <c r="CK55" s="35">
        <f>SUMIF('Resource Demand - Activity'!$FT:$FT,Example!$G55,'Resource Demand - Activity'!CF:CF)</f>
        <v>0</v>
      </c>
      <c r="CL55" s="35">
        <f>SUMIF('Resource Demand - Activity'!$FT:$FT,Example!$G55,'Resource Demand - Activity'!CG:CG)</f>
        <v>0</v>
      </c>
      <c r="CM55" s="35">
        <f>SUMIF('Resource Demand - Activity'!$FT:$FT,Example!$G55,'Resource Demand - Activity'!CH:CH)</f>
        <v>0</v>
      </c>
      <c r="CN55" s="35">
        <f>SUMIF('Resource Demand - Activity'!$FT:$FT,Example!$G55,'Resource Demand - Activity'!CI:CI)</f>
        <v>0</v>
      </c>
      <c r="CO55" s="35">
        <f>SUMIF('Resource Demand - Activity'!$FT:$FT,Example!$G55,'Resource Demand - Activity'!CJ:CJ)</f>
        <v>0</v>
      </c>
      <c r="CP55" s="35">
        <f>SUMIF('Resource Demand - Activity'!$FT:$FT,Example!$G55,'Resource Demand - Activity'!CK:CK)</f>
        <v>0</v>
      </c>
      <c r="CQ55" s="35">
        <f>SUMIF('Resource Demand - Activity'!$FT:$FT,Example!$G55,'Resource Demand - Activity'!CL:CL)</f>
        <v>0</v>
      </c>
      <c r="CR55" s="35">
        <f>SUMIF('Resource Demand - Activity'!$FT:$FT,Example!$G55,'Resource Demand - Activity'!CM:CM)</f>
        <v>0</v>
      </c>
      <c r="CS55" s="35">
        <f>SUMIF('Resource Demand - Activity'!$FT:$FT,Example!$G55,'Resource Demand - Activity'!CN:CN)</f>
        <v>0</v>
      </c>
      <c r="CT55" s="35">
        <f>SUMIF('Resource Demand - Activity'!$FT:$FT,Example!$G55,'Resource Demand - Activity'!CO:CO)</f>
        <v>0</v>
      </c>
      <c r="CU55" s="35">
        <f>SUMIF('Resource Demand - Activity'!$FT:$FT,Example!$G55,'Resource Demand - Activity'!CP:CP)</f>
        <v>0</v>
      </c>
      <c r="CV55" s="35">
        <f>SUMIF('Resource Demand - Activity'!$FT:$FT,Example!$G55,'Resource Demand - Activity'!CQ:CQ)</f>
        <v>0</v>
      </c>
      <c r="CW55" s="35">
        <f>SUMIF('Resource Demand - Activity'!$FT:$FT,Example!$G55,'Resource Demand - Activity'!CR:CR)</f>
        <v>0</v>
      </c>
      <c r="CX55" s="35">
        <f>SUMIF('Resource Demand - Activity'!$FT:$FT,Example!$G55,'Resource Demand - Activity'!CS:CS)</f>
        <v>0</v>
      </c>
      <c r="CY55" s="36">
        <f>SUMIF('Resource Demand - Activity'!$FT:$FT,Example!$G55,'Resource Demand - Activity'!CT:CT)</f>
        <v>0</v>
      </c>
      <c r="CZ55" s="35">
        <f>SUMIF('Resource Demand - Activity'!$FT:$FT,Example!$G55,'Resource Demand - Activity'!CU:CU)</f>
        <v>0</v>
      </c>
      <c r="DA55" s="35">
        <f>SUMIF('Resource Demand - Activity'!$FT:$FT,Example!$G55,'Resource Demand - Activity'!CV:CV)</f>
        <v>0</v>
      </c>
      <c r="DB55" s="35">
        <f>SUMIF('Resource Demand - Activity'!$FT:$FT,Example!$G55,'Resource Demand - Activity'!CW:CW)</f>
        <v>0</v>
      </c>
      <c r="DC55" s="35">
        <f>SUMIF('Resource Demand - Activity'!$FT:$FT,Example!$G55,'Resource Demand - Activity'!CX:CX)</f>
        <v>0</v>
      </c>
      <c r="DD55" s="35">
        <f>SUMIF('Resource Demand - Activity'!$FT:$FT,Example!$G55,'Resource Demand - Activity'!CY:CY)</f>
        <v>0</v>
      </c>
      <c r="DE55" s="36">
        <f>SUMIF('Resource Demand - Activity'!$FT:$FT,Example!$G55,'Resource Demand - Activity'!CZ:CZ)</f>
        <v>0</v>
      </c>
      <c r="DF55" s="36">
        <f>SUMIF('Resource Demand - Activity'!$FT:$FT,Example!$G55,'Resource Demand - Activity'!DA:DA)</f>
        <v>0</v>
      </c>
      <c r="DG55" s="35">
        <f>SUMIF('Resource Demand - Activity'!$FT:$FT,Example!$G55,'Resource Demand - Activity'!DB:DB)</f>
        <v>0</v>
      </c>
      <c r="DH55" s="35">
        <f>SUMIF('Resource Demand - Activity'!$FT:$FT,Example!$G55,'Resource Demand - Activity'!DC:DC)</f>
        <v>0</v>
      </c>
      <c r="DI55" s="35">
        <f>SUMIF('Resource Demand - Activity'!$FT:$FT,Example!$G55,'Resource Demand - Activity'!DD:DD)</f>
        <v>0</v>
      </c>
      <c r="DJ55" s="35">
        <f>SUMIF('Resource Demand - Activity'!$FT:$FT,Example!$G55,'Resource Demand - Activity'!DE:DE)</f>
        <v>0</v>
      </c>
      <c r="DK55" s="35">
        <f>SUMIF('Resource Demand - Activity'!$FT:$FT,Example!$G55,'Resource Demand - Activity'!DF:DF)</f>
        <v>0</v>
      </c>
      <c r="DL55" s="35">
        <f>SUMIF('Resource Demand - Activity'!$FT:$FT,Example!$G55,'Resource Demand - Activity'!DG:DG)</f>
        <v>0</v>
      </c>
      <c r="DM55" s="35">
        <f>SUMIF('Resource Demand - Activity'!$FT:$FT,Example!$G55,'Resource Demand - Activity'!DH:DH)</f>
        <v>0</v>
      </c>
      <c r="DN55" s="35">
        <f>SUMIF('Resource Demand - Activity'!$FT:$FT,Example!$G55,'Resource Demand - Activity'!DI:DI)</f>
        <v>0</v>
      </c>
      <c r="DO55" s="35">
        <f>SUMIF('Resource Demand - Activity'!$FT:$FT,Example!$G55,'Resource Demand - Activity'!DJ:DJ)</f>
        <v>0</v>
      </c>
      <c r="DP55" s="35">
        <f>SUMIF('Resource Demand - Activity'!$FT:$FT,Example!$G55,'Resource Demand - Activity'!DK:DK)</f>
        <v>0</v>
      </c>
      <c r="DQ55" s="35">
        <f>SUMIF('Resource Demand - Activity'!$FT:$FT,Example!$G55,'Resource Demand - Activity'!DL:DL)</f>
        <v>0</v>
      </c>
      <c r="DR55" s="35">
        <f>SUMIF('Resource Demand - Activity'!$FT:$FT,Example!$G55,'Resource Demand - Activity'!DM:DM)</f>
        <v>0</v>
      </c>
      <c r="DS55" s="35">
        <f>SUMIF('Resource Demand - Activity'!$FT:$FT,Example!$G55,'Resource Demand - Activity'!DN:DN)</f>
        <v>0</v>
      </c>
      <c r="DT55" s="35">
        <f>SUMIF('Resource Demand - Activity'!$FT:$FT,Example!$G55,'Resource Demand - Activity'!DO:DO)</f>
        <v>0</v>
      </c>
      <c r="DU55" s="35">
        <f>SUMIF('Resource Demand - Activity'!$FT:$FT,Example!$G55,'Resource Demand - Activity'!DP:DP)</f>
        <v>0</v>
      </c>
      <c r="DV55" s="35">
        <f>SUMIF('Resource Demand - Activity'!$FT:$FT,Example!$G55,'Resource Demand - Activity'!DQ:DQ)</f>
        <v>0</v>
      </c>
      <c r="DW55" s="35">
        <f>SUMIF('Resource Demand - Activity'!$FT:$FT,Example!$G55,'Resource Demand - Activity'!DR:DR)</f>
        <v>0</v>
      </c>
      <c r="DX55" s="35">
        <f>SUMIF('Resource Demand - Activity'!$FT:$FT,Example!$G55,'Resource Demand - Activity'!DS:DS)</f>
        <v>0</v>
      </c>
      <c r="DY55" s="35">
        <f>SUMIF('Resource Demand - Activity'!$FT:$FT,Example!$G55,'Resource Demand - Activity'!DT:DT)</f>
        <v>0</v>
      </c>
      <c r="DZ55" s="35">
        <f>SUMIF('Resource Demand - Activity'!$FT:$FT,Example!$G55,'Resource Demand - Activity'!DU:DU)</f>
        <v>0</v>
      </c>
      <c r="EA55" s="35">
        <f>SUMIF('Resource Demand - Activity'!$FT:$FT,Example!$G55,'Resource Demand - Activity'!DV:DV)</f>
        <v>0</v>
      </c>
      <c r="EB55" s="35">
        <f>SUMIF('Resource Demand - Activity'!$FT:$FT,Example!$G55,'Resource Demand - Activity'!DW:DW)</f>
        <v>0</v>
      </c>
      <c r="EC55" s="35">
        <f>SUMIF('Resource Demand - Activity'!$FT:$FT,Example!$G55,'Resource Demand - Activity'!DX:DX)</f>
        <v>0</v>
      </c>
      <c r="ED55" s="35">
        <f>SUMIF('Resource Demand - Activity'!$FT:$FT,Example!$G55,'Resource Demand - Activity'!DY:DY)</f>
        <v>0</v>
      </c>
      <c r="EE55" s="36">
        <f>SUMIF('Resource Demand - Activity'!$FT:$FT,Example!$G55,'Resource Demand - Activity'!DZ:DZ)</f>
        <v>0</v>
      </c>
      <c r="EF55" s="35">
        <f>SUMIF('Resource Demand - Activity'!$FT:$FT,Example!$G55,'Resource Demand - Activity'!EA:EA)</f>
        <v>0</v>
      </c>
      <c r="EG55" s="35">
        <f>SUMIF('Resource Demand - Activity'!$FT:$FT,Example!$G55,'Resource Demand - Activity'!EB:EB)</f>
        <v>0</v>
      </c>
      <c r="EH55" s="35">
        <f>SUMIF('Resource Demand - Activity'!$FT:$FT,Example!$G55,'Resource Demand - Activity'!EC:EC)</f>
        <v>0</v>
      </c>
      <c r="EI55" s="35">
        <f>SUMIF('Resource Demand - Activity'!$FT:$FT,Example!$G55,'Resource Demand - Activity'!ED:ED)</f>
        <v>0</v>
      </c>
      <c r="EJ55" s="35">
        <f>SUMIF('Resource Demand - Activity'!$FT:$FT,Example!$G55,'Resource Demand - Activity'!EE:EE)</f>
        <v>0</v>
      </c>
      <c r="EK55" s="35">
        <f>SUMIF('Resource Demand - Activity'!$FT:$FT,Example!$G55,'Resource Demand - Activity'!EF:EF)</f>
        <v>0</v>
      </c>
      <c r="EL55" s="35">
        <f>SUMIF('Resource Demand - Activity'!$FT:$FT,Example!$G55,'Resource Demand - Activity'!EG:EG)</f>
        <v>0</v>
      </c>
      <c r="EM55" s="35">
        <f>SUMIF('Resource Demand - Activity'!$FT:$FT,Example!$G55,'Resource Demand - Activity'!EH:EH)</f>
        <v>0</v>
      </c>
      <c r="EN55" s="35">
        <f>SUMIF('Resource Demand - Activity'!$FT:$FT,Example!$G55,'Resource Demand - Activity'!EI:EI)</f>
        <v>0</v>
      </c>
      <c r="EO55" s="35">
        <f>SUMIF('Resource Demand - Activity'!$FT:$FT,Example!$G55,'Resource Demand - Activity'!EJ:EJ)</f>
        <v>0</v>
      </c>
      <c r="EP55" s="35">
        <f>SUMIF('Resource Demand - Activity'!$FT:$FT,Example!$G55,'Resource Demand - Activity'!EK:EK)</f>
        <v>0</v>
      </c>
      <c r="EQ55" s="35">
        <f>SUMIF('Resource Demand - Activity'!$FT:$FT,Example!$G55,'Resource Demand - Activity'!EL:EL)</f>
        <v>0</v>
      </c>
      <c r="ER55" s="35">
        <f>SUMIF('Resource Demand - Activity'!$FT:$FT,Example!$G55,'Resource Demand - Activity'!EM:EM)</f>
        <v>0</v>
      </c>
      <c r="ES55" s="35">
        <f>SUMIF('Resource Demand - Activity'!$FT:$FT,Example!$G55,'Resource Demand - Activity'!EN:EN)</f>
        <v>0</v>
      </c>
      <c r="ET55" s="35">
        <f>SUMIF('Resource Demand - Activity'!$FT:$FT,Example!$G55,'Resource Demand - Activity'!EO:EO)</f>
        <v>0</v>
      </c>
      <c r="EU55" s="35">
        <f>SUMIF('Resource Demand - Activity'!$FT:$FT,Example!$G55,'Resource Demand - Activity'!EP:EP)</f>
        <v>0</v>
      </c>
      <c r="EV55" s="35">
        <f>SUMIF('Resource Demand - Activity'!$FT:$FT,Example!$G55,'Resource Demand - Activity'!EQ:EQ)</f>
        <v>0</v>
      </c>
      <c r="EW55" s="35">
        <f>SUMIF('Resource Demand - Activity'!$FT:$FT,Example!$G55,'Resource Demand - Activity'!ER:ER)</f>
        <v>0</v>
      </c>
      <c r="EX55" s="35">
        <f>SUMIF('Resource Demand - Activity'!$FT:$FT,Example!$G55,'Resource Demand - Activity'!ES:ES)</f>
        <v>0</v>
      </c>
      <c r="EY55" s="35">
        <f>SUMIF('Resource Demand - Activity'!$FT:$FT,Example!$G55,'Resource Demand - Activity'!ET:ET)</f>
        <v>0</v>
      </c>
      <c r="EZ55" s="35">
        <f>SUMIF('Resource Demand - Activity'!$FT:$FT,Example!$G55,'Resource Demand - Activity'!EU:EU)</f>
        <v>0</v>
      </c>
      <c r="FA55" s="35">
        <f>SUMIF('Resource Demand - Activity'!$FT:$FT,Example!$G55,'Resource Demand - Activity'!EV:EV)</f>
        <v>0</v>
      </c>
      <c r="FB55" s="35">
        <f>SUMIF('Resource Demand - Activity'!$FT:$FT,Example!$G55,'Resource Demand - Activity'!EW:EW)</f>
        <v>0</v>
      </c>
      <c r="FC55" s="35">
        <f>SUMIF('Resource Demand - Activity'!$FT:$FT,Example!$G55,'Resource Demand - Activity'!EX:EX)</f>
        <v>0</v>
      </c>
      <c r="FD55" s="36">
        <f>SUMIF('Resource Demand - Activity'!$FT:$FT,Example!$G55,'Resource Demand - Activity'!EY:EY)</f>
        <v>0</v>
      </c>
      <c r="FE55" s="35">
        <f>SUMIF('Resource Demand - Activity'!$FT:$FT,Example!$G55,'Resource Demand - Activity'!EZ:EZ)</f>
        <v>0</v>
      </c>
      <c r="FF55" s="35">
        <f>SUMIF('Resource Demand - Activity'!$FT:$FT,Example!$G55,'Resource Demand - Activity'!FA:FA)</f>
        <v>0</v>
      </c>
      <c r="FG55" s="35">
        <f>SUMIF('Resource Demand - Activity'!$FT:$FT,Example!$G55,'Resource Demand - Activity'!FB:FB)</f>
        <v>0</v>
      </c>
      <c r="FH55" s="35">
        <f>SUMIF('Resource Demand - Activity'!$FT:$FT,Example!$G55,'Resource Demand - Activity'!FC:FC)</f>
        <v>0</v>
      </c>
      <c r="FI55" s="35">
        <f>SUMIF('Resource Demand - Activity'!$FT:$FT,Example!$G55,'Resource Demand - Activity'!FD:FD)</f>
        <v>1</v>
      </c>
      <c r="FJ55" s="35">
        <f>SUMIF('Resource Demand - Activity'!$FT:$FT,Example!$G55,'Resource Demand - Activity'!FE:FE)</f>
        <v>1</v>
      </c>
      <c r="FK55" s="35">
        <f>SUMIF('Resource Demand - Activity'!$FT:$FT,Example!$G55,'Resource Demand - Activity'!FF:FF)</f>
        <v>1</v>
      </c>
      <c r="FL55" s="35">
        <f>SUMIF('Resource Demand - Activity'!$FT:$FT,Example!$G55,'Resource Demand - Activity'!FG:FG)</f>
        <v>0</v>
      </c>
      <c r="FM55" s="35">
        <f>SUMIF('Resource Demand - Activity'!$FT:$FT,Example!$G55,'Resource Demand - Activity'!FH:FH)</f>
        <v>0</v>
      </c>
      <c r="FN55" s="35">
        <f>SUMIF('Resource Demand - Activity'!$FT:$FT,Example!$G55,'Resource Demand - Activity'!FI:FI)</f>
        <v>0</v>
      </c>
      <c r="FO55" s="35">
        <f>SUMIF('Resource Demand - Activity'!$FT:$FT,Example!$G55,'Resource Demand - Activity'!FJ:FJ)</f>
        <v>0</v>
      </c>
      <c r="FP55" s="35">
        <f>SUMIF('Resource Demand - Activity'!$FT:$FT,Example!$G55,'Resource Demand - Activity'!FK:FK)</f>
        <v>0</v>
      </c>
      <c r="FQ55" s="35">
        <f>SUMIF('Resource Demand - Activity'!$FT:$FT,Example!$G55,'Resource Demand - Activity'!FL:FL)</f>
        <v>0</v>
      </c>
      <c r="FR55" s="35">
        <f>SUMIF('Resource Demand - Activity'!$FT:$FT,Example!$G55,'Resource Demand - Activity'!FM:FM)</f>
        <v>0</v>
      </c>
      <c r="FS55" s="35">
        <f>SUMIF('Resource Demand - Activity'!$FT:$FT,Example!$G55,'Resource Demand - Activity'!FN:FN)</f>
        <v>0</v>
      </c>
      <c r="FT55" s="35">
        <f>SUMIF('Resource Demand - Activity'!$FT:$FT,Example!$G55,'Resource Demand - Activity'!FO:FO)</f>
        <v>0</v>
      </c>
      <c r="FU55" s="35">
        <f>SUMIF('Resource Demand - Activity'!$FT:$FT,Example!$G55,'Resource Demand - Activity'!FP:FP)</f>
        <v>0</v>
      </c>
      <c r="FV55" s="52">
        <f>SUMIF('Resource Demand - Activity'!$FT:$FT,Example!$G55,'Resource Demand - Activity'!FQ:FQ)</f>
        <v>0</v>
      </c>
    </row>
    <row r="56" spans="2:178" ht="12" customHeight="1">
      <c r="G56" s="64" t="str">
        <f t="shared" si="7"/>
        <v>10. BAU Transition 10.8 NSTs/ECB Development &amp; Reporting Senior Accountant</v>
      </c>
      <c r="H56" s="61" t="s">
        <v>143</v>
      </c>
      <c r="I56" s="59" t="str">
        <f>INDEX('Resource Demand - Activity'!C:C,MATCH(Example!G56,'Resource Demand - Activity'!FT:FT,0))</f>
        <v>6 days</v>
      </c>
      <c r="J56" s="53">
        <f>SUMIF('Resource Demand - Activity'!$FT:$FT,Example!$G56,'Resource Demand - Activity'!E:E)</f>
        <v>0</v>
      </c>
      <c r="K56" s="54">
        <f>SUMIF('Resource Demand - Activity'!$FT:$FT,Example!$G56,'Resource Demand - Activity'!F:F)</f>
        <v>0</v>
      </c>
      <c r="L56" s="54">
        <f>SUMIF('Resource Demand - Activity'!$FT:$FT,Example!$G56,'Resource Demand - Activity'!G:G)</f>
        <v>0</v>
      </c>
      <c r="M56" s="54">
        <f>SUMIF('Resource Demand - Activity'!$FT:$FT,Example!$G56,'Resource Demand - Activity'!H:H)</f>
        <v>0</v>
      </c>
      <c r="N56" s="54">
        <f>SUMIF('Resource Demand - Activity'!$FT:$FT,Example!$G56,'Resource Demand - Activity'!I:I)</f>
        <v>0</v>
      </c>
      <c r="O56" s="54">
        <f>SUMIF('Resource Demand - Activity'!$FT:$FT,Example!$G56,'Resource Demand - Activity'!J:J)</f>
        <v>0</v>
      </c>
      <c r="P56" s="54">
        <f>SUMIF('Resource Demand - Activity'!$FT:$FT,Example!$G56,'Resource Demand - Activity'!K:K)</f>
        <v>0</v>
      </c>
      <c r="Q56" s="54">
        <f>SUMIF('Resource Demand - Activity'!$FT:$FT,Example!$G56,'Resource Demand - Activity'!L:L)</f>
        <v>0</v>
      </c>
      <c r="R56" s="54">
        <f>SUMIF('Resource Demand - Activity'!$FT:$FT,Example!$G56,'Resource Demand - Activity'!M:M)</f>
        <v>0</v>
      </c>
      <c r="S56" s="54">
        <f>SUMIF('Resource Demand - Activity'!$FT:$FT,Example!$G56,'Resource Demand - Activity'!N:N)</f>
        <v>0</v>
      </c>
      <c r="T56" s="54">
        <f>SUMIF('Resource Demand - Activity'!$FT:$FT,Example!$G56,'Resource Demand - Activity'!O:O)</f>
        <v>0</v>
      </c>
      <c r="U56" s="54">
        <f>SUMIF('Resource Demand - Activity'!$FT:$FT,Example!$G56,'Resource Demand - Activity'!P:P)</f>
        <v>0</v>
      </c>
      <c r="V56" s="54">
        <f>SUMIF('Resource Demand - Activity'!$FT:$FT,Example!$G56,'Resource Demand - Activity'!Q:Q)</f>
        <v>0</v>
      </c>
      <c r="W56" s="54">
        <f>SUMIF('Resource Demand - Activity'!$FT:$FT,Example!$G56,'Resource Demand - Activity'!R:R)</f>
        <v>0</v>
      </c>
      <c r="X56" s="54">
        <f>SUMIF('Resource Demand - Activity'!$FT:$FT,Example!$G56,'Resource Demand - Activity'!S:S)</f>
        <v>0</v>
      </c>
      <c r="Y56" s="54">
        <f>SUMIF('Resource Demand - Activity'!$FT:$FT,Example!$G56,'Resource Demand - Activity'!T:T)</f>
        <v>0</v>
      </c>
      <c r="Z56" s="54">
        <f>SUMIF('Resource Demand - Activity'!$FT:$FT,Example!$G56,'Resource Demand - Activity'!U:U)</f>
        <v>0</v>
      </c>
      <c r="AA56" s="54">
        <f>SUMIF('Resource Demand - Activity'!$FT:$FT,Example!$G56,'Resource Demand - Activity'!V:V)</f>
        <v>0</v>
      </c>
      <c r="AB56" s="54">
        <f>SUMIF('Resource Demand - Activity'!$FT:$FT,Example!$G56,'Resource Demand - Activity'!W:W)</f>
        <v>0</v>
      </c>
      <c r="AC56" s="54">
        <f>SUMIF('Resource Demand - Activity'!$FT:$FT,Example!$G56,'Resource Demand - Activity'!X:X)</f>
        <v>0</v>
      </c>
      <c r="AD56" s="54">
        <f>SUMIF('Resource Demand - Activity'!$FT:$FT,Example!$G56,'Resource Demand - Activity'!Y:Y)</f>
        <v>0</v>
      </c>
      <c r="AE56" s="54">
        <f>SUMIF('Resource Demand - Activity'!$FT:$FT,Example!$G56,'Resource Demand - Activity'!Z:Z)</f>
        <v>0</v>
      </c>
      <c r="AF56" s="54">
        <f>SUMIF('Resource Demand - Activity'!$FT:$FT,Example!$G56,'Resource Demand - Activity'!AA:AA)</f>
        <v>0</v>
      </c>
      <c r="AG56" s="54">
        <f>SUMIF('Resource Demand - Activity'!$FT:$FT,Example!$G56,'Resource Demand - Activity'!AB:AB)</f>
        <v>0</v>
      </c>
      <c r="AH56" s="54">
        <f>SUMIF('Resource Demand - Activity'!$FT:$FT,Example!$G56,'Resource Demand - Activity'!AC:AC)</f>
        <v>0</v>
      </c>
      <c r="AI56" s="54">
        <f>SUMIF('Resource Demand - Activity'!$FT:$FT,Example!$G56,'Resource Demand - Activity'!AD:AD)</f>
        <v>0</v>
      </c>
      <c r="AJ56" s="54">
        <f>SUMIF('Resource Demand - Activity'!$FT:$FT,Example!$G56,'Resource Demand - Activity'!AE:AE)</f>
        <v>0</v>
      </c>
      <c r="AK56" s="54">
        <f>SUMIF('Resource Demand - Activity'!$FT:$FT,Example!$G56,'Resource Demand - Activity'!AF:AF)</f>
        <v>0</v>
      </c>
      <c r="AL56" s="54">
        <f>SUMIF('Resource Demand - Activity'!$FT:$FT,Example!$G56,'Resource Demand - Activity'!AG:AG)</f>
        <v>0</v>
      </c>
      <c r="AM56" s="54">
        <f>SUMIF('Resource Demand - Activity'!$FT:$FT,Example!$G56,'Resource Demand - Activity'!AH:AH)</f>
        <v>0</v>
      </c>
      <c r="AN56" s="54">
        <f>SUMIF('Resource Demand - Activity'!$FT:$FT,Example!$G56,'Resource Demand - Activity'!AI:AI)</f>
        <v>0</v>
      </c>
      <c r="AO56" s="54">
        <f>SUMIF('Resource Demand - Activity'!$FT:$FT,Example!$G56,'Resource Demand - Activity'!AJ:AJ)</f>
        <v>0</v>
      </c>
      <c r="AP56" s="54">
        <f>SUMIF('Resource Demand - Activity'!$FT:$FT,Example!$G56,'Resource Demand - Activity'!AK:AK)</f>
        <v>0</v>
      </c>
      <c r="AQ56" s="55">
        <f>SUMIF('Resource Demand - Activity'!$FT:$FT,Example!$G56,'Resource Demand - Activity'!AL:AL)</f>
        <v>0</v>
      </c>
      <c r="AR56" s="55">
        <f>SUMIF('Resource Demand - Activity'!$FT:$FT,Example!$G56,'Resource Demand - Activity'!AM:AM)</f>
        <v>0</v>
      </c>
      <c r="AS56" s="55">
        <f>SUMIF('Resource Demand - Activity'!$FT:$FT,Example!$G56,'Resource Demand - Activity'!AN:AN)</f>
        <v>0</v>
      </c>
      <c r="AT56" s="55">
        <f>SUMIF('Resource Demand - Activity'!$FT:$FT,Example!$G56,'Resource Demand - Activity'!AO:AO)</f>
        <v>0</v>
      </c>
      <c r="AU56" s="55">
        <f>SUMIF('Resource Demand - Activity'!$FT:$FT,Example!$G56,'Resource Demand - Activity'!AP:AP)</f>
        <v>0</v>
      </c>
      <c r="AV56" s="55">
        <f>SUMIF('Resource Demand - Activity'!$FT:$FT,Example!$G56,'Resource Demand - Activity'!AQ:AQ)</f>
        <v>0</v>
      </c>
      <c r="AW56" s="55">
        <f>SUMIF('Resource Demand - Activity'!$FT:$FT,Example!$G56,'Resource Demand - Activity'!AR:AR)</f>
        <v>0</v>
      </c>
      <c r="AX56" s="54">
        <f>SUMIF('Resource Demand - Activity'!$FT:$FT,Example!$G56,'Resource Demand - Activity'!AS:AS)</f>
        <v>0</v>
      </c>
      <c r="AY56" s="54">
        <f>SUMIF('Resource Demand - Activity'!$FT:$FT,Example!$G56,'Resource Demand - Activity'!AT:AT)</f>
        <v>0</v>
      </c>
      <c r="AZ56" s="54">
        <f>SUMIF('Resource Demand - Activity'!$FT:$FT,Example!$G56,'Resource Demand - Activity'!AU:AU)</f>
        <v>0</v>
      </c>
      <c r="BA56" s="54">
        <f>SUMIF('Resource Demand - Activity'!$FT:$FT,Example!$G56,'Resource Demand - Activity'!AV:AV)</f>
        <v>0</v>
      </c>
      <c r="BB56" s="54">
        <f>SUMIF('Resource Demand - Activity'!$FT:$FT,Example!$G56,'Resource Demand - Activity'!AW:AW)</f>
        <v>0</v>
      </c>
      <c r="BC56" s="54">
        <f>SUMIF('Resource Demand - Activity'!$FT:$FT,Example!$G56,'Resource Demand - Activity'!AX:AX)</f>
        <v>0</v>
      </c>
      <c r="BD56" s="54">
        <f>SUMIF('Resource Demand - Activity'!$FT:$FT,Example!$G56,'Resource Demand - Activity'!AY:AY)</f>
        <v>0</v>
      </c>
      <c r="BE56" s="54">
        <f>SUMIF('Resource Demand - Activity'!$FT:$FT,Example!$G56,'Resource Demand - Activity'!AZ:AZ)</f>
        <v>0</v>
      </c>
      <c r="BF56" s="54">
        <f>SUMIF('Resource Demand - Activity'!$FT:$FT,Example!$G56,'Resource Demand - Activity'!BA:BA)</f>
        <v>0</v>
      </c>
      <c r="BG56" s="54">
        <f>SUMIF('Resource Demand - Activity'!$FT:$FT,Example!$G56,'Resource Demand - Activity'!BB:BB)</f>
        <v>0</v>
      </c>
      <c r="BH56" s="54">
        <f>SUMIF('Resource Demand - Activity'!$FT:$FT,Example!$G56,'Resource Demand - Activity'!BC:BC)</f>
        <v>0</v>
      </c>
      <c r="BI56" s="54">
        <f>SUMIF('Resource Demand - Activity'!$FT:$FT,Example!$G56,'Resource Demand - Activity'!BD:BD)</f>
        <v>0</v>
      </c>
      <c r="BJ56" s="54">
        <f>SUMIF('Resource Demand - Activity'!$FT:$FT,Example!$G56,'Resource Demand - Activity'!BE:BE)</f>
        <v>0</v>
      </c>
      <c r="BK56" s="54">
        <f>SUMIF('Resource Demand - Activity'!$FT:$FT,Example!$G56,'Resource Demand - Activity'!BF:BF)</f>
        <v>0</v>
      </c>
      <c r="BL56" s="54">
        <f>SUMIF('Resource Demand - Activity'!$FT:$FT,Example!$G56,'Resource Demand - Activity'!BG:BG)</f>
        <v>0</v>
      </c>
      <c r="BM56" s="54">
        <f>SUMIF('Resource Demand - Activity'!$FT:$FT,Example!$G56,'Resource Demand - Activity'!BH:BH)</f>
        <v>0</v>
      </c>
      <c r="BN56" s="54">
        <f>SUMIF('Resource Demand - Activity'!$FT:$FT,Example!$G56,'Resource Demand - Activity'!BI:BI)</f>
        <v>0</v>
      </c>
      <c r="BO56" s="54">
        <f>SUMIF('Resource Demand - Activity'!$FT:$FT,Example!$G56,'Resource Demand - Activity'!BJ:BJ)</f>
        <v>0</v>
      </c>
      <c r="BP56" s="54">
        <f>SUMIF('Resource Demand - Activity'!$FT:$FT,Example!$G56,'Resource Demand - Activity'!BK:BK)</f>
        <v>0</v>
      </c>
      <c r="BQ56" s="54">
        <f>SUMIF('Resource Demand - Activity'!$FT:$FT,Example!$G56,'Resource Demand - Activity'!BL:BL)</f>
        <v>0</v>
      </c>
      <c r="BR56" s="54">
        <f>SUMIF('Resource Demand - Activity'!$FT:$FT,Example!$G56,'Resource Demand - Activity'!BM:BM)</f>
        <v>0</v>
      </c>
      <c r="BS56" s="54">
        <f>SUMIF('Resource Demand - Activity'!$FT:$FT,Example!$G56,'Resource Demand - Activity'!BN:BN)</f>
        <v>0</v>
      </c>
      <c r="BT56" s="54">
        <f>SUMIF('Resource Demand - Activity'!$FT:$FT,Example!$G56,'Resource Demand - Activity'!BO:BO)</f>
        <v>0</v>
      </c>
      <c r="BU56" s="54">
        <f>SUMIF('Resource Demand - Activity'!$FT:$FT,Example!$G56,'Resource Demand - Activity'!BP:BP)</f>
        <v>0</v>
      </c>
      <c r="BV56" s="54">
        <f>SUMIF('Resource Demand - Activity'!$FT:$FT,Example!$G56,'Resource Demand - Activity'!BQ:BQ)</f>
        <v>0</v>
      </c>
      <c r="BW56" s="54">
        <f>SUMIF('Resource Demand - Activity'!$FT:$FT,Example!$G56,'Resource Demand - Activity'!BR:BR)</f>
        <v>0</v>
      </c>
      <c r="BX56" s="54">
        <f>SUMIF('Resource Demand - Activity'!$FT:$FT,Example!$G56,'Resource Demand - Activity'!BS:BS)</f>
        <v>0</v>
      </c>
      <c r="BY56" s="54">
        <f>SUMIF('Resource Demand - Activity'!$FT:$FT,Example!$G56,'Resource Demand - Activity'!BT:BT)</f>
        <v>0</v>
      </c>
      <c r="BZ56" s="54">
        <f>SUMIF('Resource Demand - Activity'!$FT:$FT,Example!$G56,'Resource Demand - Activity'!BU:BU)</f>
        <v>0</v>
      </c>
      <c r="CA56" s="54">
        <f>SUMIF('Resource Demand - Activity'!$FT:$FT,Example!$G56,'Resource Demand - Activity'!BV:BV)</f>
        <v>0</v>
      </c>
      <c r="CB56" s="54">
        <f>SUMIF('Resource Demand - Activity'!$FT:$FT,Example!$G56,'Resource Demand - Activity'!BW:BW)</f>
        <v>0</v>
      </c>
      <c r="CC56" s="54">
        <f>SUMIF('Resource Demand - Activity'!$FT:$FT,Example!$G56,'Resource Demand - Activity'!BX:BX)</f>
        <v>0</v>
      </c>
      <c r="CD56" s="54">
        <f>SUMIF('Resource Demand - Activity'!$FT:$FT,Example!$G56,'Resource Demand - Activity'!BY:BY)</f>
        <v>0</v>
      </c>
      <c r="CE56" s="54">
        <f>SUMIF('Resource Demand - Activity'!$FT:$FT,Example!$G56,'Resource Demand - Activity'!BZ:BZ)</f>
        <v>0</v>
      </c>
      <c r="CF56" s="54">
        <f>SUMIF('Resource Demand - Activity'!$FT:$FT,Example!$G56,'Resource Demand - Activity'!CA:CA)</f>
        <v>0</v>
      </c>
      <c r="CG56" s="54">
        <f>SUMIF('Resource Demand - Activity'!$FT:$FT,Example!$G56,'Resource Demand - Activity'!CB:CB)</f>
        <v>0</v>
      </c>
      <c r="CH56" s="54">
        <f>SUMIF('Resource Demand - Activity'!$FT:$FT,Example!$G56,'Resource Demand - Activity'!CC:CC)</f>
        <v>0</v>
      </c>
      <c r="CI56" s="54">
        <f>SUMIF('Resource Demand - Activity'!$FT:$FT,Example!$G56,'Resource Demand - Activity'!CD:CD)</f>
        <v>0</v>
      </c>
      <c r="CJ56" s="54">
        <f>SUMIF('Resource Demand - Activity'!$FT:$FT,Example!$G56,'Resource Demand - Activity'!CE:CE)</f>
        <v>0</v>
      </c>
      <c r="CK56" s="54">
        <f>SUMIF('Resource Demand - Activity'!$FT:$FT,Example!$G56,'Resource Demand - Activity'!CF:CF)</f>
        <v>0</v>
      </c>
      <c r="CL56" s="54">
        <f>SUMIF('Resource Demand - Activity'!$FT:$FT,Example!$G56,'Resource Demand - Activity'!CG:CG)</f>
        <v>0</v>
      </c>
      <c r="CM56" s="54">
        <f>SUMIF('Resource Demand - Activity'!$FT:$FT,Example!$G56,'Resource Demand - Activity'!CH:CH)</f>
        <v>0</v>
      </c>
      <c r="CN56" s="54">
        <f>SUMIF('Resource Demand - Activity'!$FT:$FT,Example!$G56,'Resource Demand - Activity'!CI:CI)</f>
        <v>0</v>
      </c>
      <c r="CO56" s="54">
        <f>SUMIF('Resource Demand - Activity'!$FT:$FT,Example!$G56,'Resource Demand - Activity'!CJ:CJ)</f>
        <v>0</v>
      </c>
      <c r="CP56" s="54">
        <f>SUMIF('Resource Demand - Activity'!$FT:$FT,Example!$G56,'Resource Demand - Activity'!CK:CK)</f>
        <v>0</v>
      </c>
      <c r="CQ56" s="54">
        <f>SUMIF('Resource Demand - Activity'!$FT:$FT,Example!$G56,'Resource Demand - Activity'!CL:CL)</f>
        <v>0</v>
      </c>
      <c r="CR56" s="54">
        <f>SUMIF('Resource Demand - Activity'!$FT:$FT,Example!$G56,'Resource Demand - Activity'!CM:CM)</f>
        <v>0</v>
      </c>
      <c r="CS56" s="54">
        <f>SUMIF('Resource Demand - Activity'!$FT:$FT,Example!$G56,'Resource Demand - Activity'!CN:CN)</f>
        <v>0</v>
      </c>
      <c r="CT56" s="54">
        <f>SUMIF('Resource Demand - Activity'!$FT:$FT,Example!$G56,'Resource Demand - Activity'!CO:CO)</f>
        <v>0</v>
      </c>
      <c r="CU56" s="54">
        <f>SUMIF('Resource Demand - Activity'!$FT:$FT,Example!$G56,'Resource Demand - Activity'!CP:CP)</f>
        <v>0</v>
      </c>
      <c r="CV56" s="54">
        <f>SUMIF('Resource Demand - Activity'!$FT:$FT,Example!$G56,'Resource Demand - Activity'!CQ:CQ)</f>
        <v>0</v>
      </c>
      <c r="CW56" s="54">
        <f>SUMIF('Resource Demand - Activity'!$FT:$FT,Example!$G56,'Resource Demand - Activity'!CR:CR)</f>
        <v>0</v>
      </c>
      <c r="CX56" s="54">
        <f>SUMIF('Resource Demand - Activity'!$FT:$FT,Example!$G56,'Resource Demand - Activity'!CS:CS)</f>
        <v>0</v>
      </c>
      <c r="CY56" s="55">
        <f>SUMIF('Resource Demand - Activity'!$FT:$FT,Example!$G56,'Resource Demand - Activity'!CT:CT)</f>
        <v>0</v>
      </c>
      <c r="CZ56" s="54">
        <f>SUMIF('Resource Demand - Activity'!$FT:$FT,Example!$G56,'Resource Demand - Activity'!CU:CU)</f>
        <v>0</v>
      </c>
      <c r="DA56" s="54">
        <f>SUMIF('Resource Demand - Activity'!$FT:$FT,Example!$G56,'Resource Demand - Activity'!CV:CV)</f>
        <v>0</v>
      </c>
      <c r="DB56" s="54">
        <f>SUMIF('Resource Demand - Activity'!$FT:$FT,Example!$G56,'Resource Demand - Activity'!CW:CW)</f>
        <v>0</v>
      </c>
      <c r="DC56" s="54">
        <f>SUMIF('Resource Demand - Activity'!$FT:$FT,Example!$G56,'Resource Demand - Activity'!CX:CX)</f>
        <v>0</v>
      </c>
      <c r="DD56" s="54">
        <f>SUMIF('Resource Demand - Activity'!$FT:$FT,Example!$G56,'Resource Demand - Activity'!CY:CY)</f>
        <v>0</v>
      </c>
      <c r="DE56" s="55">
        <f>SUMIF('Resource Demand - Activity'!$FT:$FT,Example!$G56,'Resource Demand - Activity'!CZ:CZ)</f>
        <v>0</v>
      </c>
      <c r="DF56" s="55">
        <f>SUMIF('Resource Demand - Activity'!$FT:$FT,Example!$G56,'Resource Demand - Activity'!DA:DA)</f>
        <v>0</v>
      </c>
      <c r="DG56" s="54">
        <f>SUMIF('Resource Demand - Activity'!$FT:$FT,Example!$G56,'Resource Demand - Activity'!DB:DB)</f>
        <v>0</v>
      </c>
      <c r="DH56" s="54">
        <f>SUMIF('Resource Demand - Activity'!$FT:$FT,Example!$G56,'Resource Demand - Activity'!DC:DC)</f>
        <v>0</v>
      </c>
      <c r="DI56" s="54">
        <f>SUMIF('Resource Demand - Activity'!$FT:$FT,Example!$G56,'Resource Demand - Activity'!DD:DD)</f>
        <v>0</v>
      </c>
      <c r="DJ56" s="54">
        <f>SUMIF('Resource Demand - Activity'!$FT:$FT,Example!$G56,'Resource Demand - Activity'!DE:DE)</f>
        <v>0</v>
      </c>
      <c r="DK56" s="54">
        <f>SUMIF('Resource Demand - Activity'!$FT:$FT,Example!$G56,'Resource Demand - Activity'!DF:DF)</f>
        <v>0</v>
      </c>
      <c r="DL56" s="54">
        <f>SUMIF('Resource Demand - Activity'!$FT:$FT,Example!$G56,'Resource Demand - Activity'!DG:DG)</f>
        <v>0</v>
      </c>
      <c r="DM56" s="54">
        <f>SUMIF('Resource Demand - Activity'!$FT:$FT,Example!$G56,'Resource Demand - Activity'!DH:DH)</f>
        <v>0</v>
      </c>
      <c r="DN56" s="54">
        <f>SUMIF('Resource Demand - Activity'!$FT:$FT,Example!$G56,'Resource Demand - Activity'!DI:DI)</f>
        <v>0</v>
      </c>
      <c r="DO56" s="54">
        <f>SUMIF('Resource Demand - Activity'!$FT:$FT,Example!$G56,'Resource Demand - Activity'!DJ:DJ)</f>
        <v>0</v>
      </c>
      <c r="DP56" s="54">
        <f>SUMIF('Resource Demand - Activity'!$FT:$FT,Example!$G56,'Resource Demand - Activity'!DK:DK)</f>
        <v>0</v>
      </c>
      <c r="DQ56" s="54">
        <f>SUMIF('Resource Demand - Activity'!$FT:$FT,Example!$G56,'Resource Demand - Activity'!DL:DL)</f>
        <v>0</v>
      </c>
      <c r="DR56" s="54">
        <f>SUMIF('Resource Demand - Activity'!$FT:$FT,Example!$G56,'Resource Demand - Activity'!DM:DM)</f>
        <v>0</v>
      </c>
      <c r="DS56" s="54">
        <f>SUMIF('Resource Demand - Activity'!$FT:$FT,Example!$G56,'Resource Demand - Activity'!DN:DN)</f>
        <v>0</v>
      </c>
      <c r="DT56" s="54">
        <f>SUMIF('Resource Demand - Activity'!$FT:$FT,Example!$G56,'Resource Demand - Activity'!DO:DO)</f>
        <v>0</v>
      </c>
      <c r="DU56" s="54">
        <f>SUMIF('Resource Demand - Activity'!$FT:$FT,Example!$G56,'Resource Demand - Activity'!DP:DP)</f>
        <v>0</v>
      </c>
      <c r="DV56" s="54">
        <f>SUMIF('Resource Demand - Activity'!$FT:$FT,Example!$G56,'Resource Demand - Activity'!DQ:DQ)</f>
        <v>0</v>
      </c>
      <c r="DW56" s="54">
        <f>SUMIF('Resource Demand - Activity'!$FT:$FT,Example!$G56,'Resource Demand - Activity'!DR:DR)</f>
        <v>0</v>
      </c>
      <c r="DX56" s="54">
        <f>SUMIF('Resource Demand - Activity'!$FT:$FT,Example!$G56,'Resource Demand - Activity'!DS:DS)</f>
        <v>0</v>
      </c>
      <c r="DY56" s="54">
        <f>SUMIF('Resource Demand - Activity'!$FT:$FT,Example!$G56,'Resource Demand - Activity'!DT:DT)</f>
        <v>0</v>
      </c>
      <c r="DZ56" s="54">
        <f>SUMIF('Resource Demand - Activity'!$FT:$FT,Example!$G56,'Resource Demand - Activity'!DU:DU)</f>
        <v>0</v>
      </c>
      <c r="EA56" s="54">
        <f>SUMIF('Resource Demand - Activity'!$FT:$FT,Example!$G56,'Resource Demand - Activity'!DV:DV)</f>
        <v>0</v>
      </c>
      <c r="EB56" s="54">
        <f>SUMIF('Resource Demand - Activity'!$FT:$FT,Example!$G56,'Resource Demand - Activity'!DW:DW)</f>
        <v>0</v>
      </c>
      <c r="EC56" s="54">
        <f>SUMIF('Resource Demand - Activity'!$FT:$FT,Example!$G56,'Resource Demand - Activity'!DX:DX)</f>
        <v>0</v>
      </c>
      <c r="ED56" s="54">
        <f>SUMIF('Resource Demand - Activity'!$FT:$FT,Example!$G56,'Resource Demand - Activity'!DY:DY)</f>
        <v>0</v>
      </c>
      <c r="EE56" s="55">
        <f>SUMIF('Resource Demand - Activity'!$FT:$FT,Example!$G56,'Resource Demand - Activity'!DZ:DZ)</f>
        <v>0</v>
      </c>
      <c r="EF56" s="54">
        <f>SUMIF('Resource Demand - Activity'!$FT:$FT,Example!$G56,'Resource Demand - Activity'!EA:EA)</f>
        <v>0</v>
      </c>
      <c r="EG56" s="54">
        <f>SUMIF('Resource Demand - Activity'!$FT:$FT,Example!$G56,'Resource Demand - Activity'!EB:EB)</f>
        <v>0</v>
      </c>
      <c r="EH56" s="54">
        <f>SUMIF('Resource Demand - Activity'!$FT:$FT,Example!$G56,'Resource Demand - Activity'!EC:EC)</f>
        <v>0</v>
      </c>
      <c r="EI56" s="54">
        <f>SUMIF('Resource Demand - Activity'!$FT:$FT,Example!$G56,'Resource Demand - Activity'!ED:ED)</f>
        <v>0</v>
      </c>
      <c r="EJ56" s="54">
        <f>SUMIF('Resource Demand - Activity'!$FT:$FT,Example!$G56,'Resource Demand - Activity'!EE:EE)</f>
        <v>0</v>
      </c>
      <c r="EK56" s="54">
        <f>SUMIF('Resource Demand - Activity'!$FT:$FT,Example!$G56,'Resource Demand - Activity'!EF:EF)</f>
        <v>0</v>
      </c>
      <c r="EL56" s="54">
        <f>SUMIF('Resource Demand - Activity'!$FT:$FT,Example!$G56,'Resource Demand - Activity'!EG:EG)</f>
        <v>0</v>
      </c>
      <c r="EM56" s="54">
        <f>SUMIF('Resource Demand - Activity'!$FT:$FT,Example!$G56,'Resource Demand - Activity'!EH:EH)</f>
        <v>0</v>
      </c>
      <c r="EN56" s="54">
        <f>SUMIF('Resource Demand - Activity'!$FT:$FT,Example!$G56,'Resource Demand - Activity'!EI:EI)</f>
        <v>0</v>
      </c>
      <c r="EO56" s="54">
        <f>SUMIF('Resource Demand - Activity'!$FT:$FT,Example!$G56,'Resource Demand - Activity'!EJ:EJ)</f>
        <v>0</v>
      </c>
      <c r="EP56" s="54">
        <f>SUMIF('Resource Demand - Activity'!$FT:$FT,Example!$G56,'Resource Demand - Activity'!EK:EK)</f>
        <v>0</v>
      </c>
      <c r="EQ56" s="54">
        <f>SUMIF('Resource Demand - Activity'!$FT:$FT,Example!$G56,'Resource Demand - Activity'!EL:EL)</f>
        <v>0</v>
      </c>
      <c r="ER56" s="54">
        <f>SUMIF('Resource Demand - Activity'!$FT:$FT,Example!$G56,'Resource Demand - Activity'!EM:EM)</f>
        <v>0</v>
      </c>
      <c r="ES56" s="54">
        <f>SUMIF('Resource Demand - Activity'!$FT:$FT,Example!$G56,'Resource Demand - Activity'!EN:EN)</f>
        <v>0</v>
      </c>
      <c r="ET56" s="54">
        <f>SUMIF('Resource Demand - Activity'!$FT:$FT,Example!$G56,'Resource Demand - Activity'!EO:EO)</f>
        <v>0</v>
      </c>
      <c r="EU56" s="54">
        <f>SUMIF('Resource Demand - Activity'!$FT:$FT,Example!$G56,'Resource Demand - Activity'!EP:EP)</f>
        <v>0</v>
      </c>
      <c r="EV56" s="54">
        <f>SUMIF('Resource Demand - Activity'!$FT:$FT,Example!$G56,'Resource Demand - Activity'!EQ:EQ)</f>
        <v>0</v>
      </c>
      <c r="EW56" s="54">
        <f>SUMIF('Resource Demand - Activity'!$FT:$FT,Example!$G56,'Resource Demand - Activity'!ER:ER)</f>
        <v>0</v>
      </c>
      <c r="EX56" s="54">
        <f>SUMIF('Resource Demand - Activity'!$FT:$FT,Example!$G56,'Resource Demand - Activity'!ES:ES)</f>
        <v>0</v>
      </c>
      <c r="EY56" s="54">
        <f>SUMIF('Resource Demand - Activity'!$FT:$FT,Example!$G56,'Resource Demand - Activity'!ET:ET)</f>
        <v>0</v>
      </c>
      <c r="EZ56" s="54">
        <f>SUMIF('Resource Demand - Activity'!$FT:$FT,Example!$G56,'Resource Demand - Activity'!EU:EU)</f>
        <v>0</v>
      </c>
      <c r="FA56" s="54">
        <f>SUMIF('Resource Demand - Activity'!$FT:$FT,Example!$G56,'Resource Demand - Activity'!EV:EV)</f>
        <v>0</v>
      </c>
      <c r="FB56" s="54">
        <f>SUMIF('Resource Demand - Activity'!$FT:$FT,Example!$G56,'Resource Demand - Activity'!EW:EW)</f>
        <v>0</v>
      </c>
      <c r="FC56" s="54">
        <f>SUMIF('Resource Demand - Activity'!$FT:$FT,Example!$G56,'Resource Demand - Activity'!EX:EX)</f>
        <v>0</v>
      </c>
      <c r="FD56" s="55">
        <f>SUMIF('Resource Demand - Activity'!$FT:$FT,Example!$G56,'Resource Demand - Activity'!EY:EY)</f>
        <v>0</v>
      </c>
      <c r="FE56" s="54">
        <f>SUMIF('Resource Demand - Activity'!$FT:$FT,Example!$G56,'Resource Demand - Activity'!EZ:EZ)</f>
        <v>0</v>
      </c>
      <c r="FF56" s="54">
        <f>SUMIF('Resource Demand - Activity'!$FT:$FT,Example!$G56,'Resource Demand - Activity'!FA:FA)</f>
        <v>0</v>
      </c>
      <c r="FG56" s="54">
        <f>SUMIF('Resource Demand - Activity'!$FT:$FT,Example!$G56,'Resource Demand - Activity'!FB:FB)</f>
        <v>0</v>
      </c>
      <c r="FH56" s="54">
        <f>SUMIF('Resource Demand - Activity'!$FT:$FT,Example!$G56,'Resource Demand - Activity'!FC:FC)</f>
        <v>0</v>
      </c>
      <c r="FI56" s="54">
        <f>SUMIF('Resource Demand - Activity'!$FT:$FT,Example!$G56,'Resource Demand - Activity'!FD:FD)</f>
        <v>0</v>
      </c>
      <c r="FJ56" s="54">
        <f>SUMIF('Resource Demand - Activity'!$FT:$FT,Example!$G56,'Resource Demand - Activity'!FE:FE)</f>
        <v>0</v>
      </c>
      <c r="FK56" s="54">
        <f>SUMIF('Resource Demand - Activity'!$FT:$FT,Example!$G56,'Resource Demand - Activity'!FF:FF)</f>
        <v>0</v>
      </c>
      <c r="FL56" s="54">
        <f>SUMIF('Resource Demand - Activity'!$FT:$FT,Example!$G56,'Resource Demand - Activity'!FG:FG)</f>
        <v>1</v>
      </c>
      <c r="FM56" s="54">
        <f>SUMIF('Resource Demand - Activity'!$FT:$FT,Example!$G56,'Resource Demand - Activity'!FH:FH)</f>
        <v>1</v>
      </c>
      <c r="FN56" s="54">
        <f>SUMIF('Resource Demand - Activity'!$FT:$FT,Example!$G56,'Resource Demand - Activity'!FI:FI)</f>
        <v>1</v>
      </c>
      <c r="FO56" s="54">
        <f>SUMIF('Resource Demand - Activity'!$FT:$FT,Example!$G56,'Resource Demand - Activity'!FJ:FJ)</f>
        <v>1</v>
      </c>
      <c r="FP56" s="54">
        <f>SUMIF('Resource Demand - Activity'!$FT:$FT,Example!$G56,'Resource Demand - Activity'!FK:FK)</f>
        <v>1</v>
      </c>
      <c r="FQ56" s="54">
        <f>SUMIF('Resource Demand - Activity'!$FT:$FT,Example!$G56,'Resource Demand - Activity'!FL:FL)</f>
        <v>1</v>
      </c>
      <c r="FR56" s="54">
        <f>SUMIF('Resource Demand - Activity'!$FT:$FT,Example!$G56,'Resource Demand - Activity'!FM:FM)</f>
        <v>0</v>
      </c>
      <c r="FS56" s="54">
        <f>SUMIF('Resource Demand - Activity'!$FT:$FT,Example!$G56,'Resource Demand - Activity'!FN:FN)</f>
        <v>0</v>
      </c>
      <c r="FT56" s="54">
        <f>SUMIF('Resource Demand - Activity'!$FT:$FT,Example!$G56,'Resource Demand - Activity'!FO:FO)</f>
        <v>0</v>
      </c>
      <c r="FU56" s="54">
        <f>SUMIF('Resource Demand - Activity'!$FT:$FT,Example!$G56,'Resource Demand - Activity'!FP:FP)</f>
        <v>0</v>
      </c>
      <c r="FV56" s="56">
        <f>SUMIF('Resource Demand - Activity'!$FT:$FT,Example!$G56,'Resource Demand - Activity'!FQ:FQ)</f>
        <v>0</v>
      </c>
    </row>
    <row r="58" spans="2:178" s="1" customFormat="1" ht="12" customHeight="1">
      <c r="H58" s="73" t="s">
        <v>16</v>
      </c>
      <c r="I58" s="74" t="s">
        <v>7</v>
      </c>
      <c r="J58" s="171">
        <v>42309</v>
      </c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3"/>
      <c r="Z58" s="167">
        <v>42339</v>
      </c>
      <c r="AA58" s="168"/>
      <c r="AB58" s="168"/>
      <c r="AC58" s="168"/>
      <c r="AD58" s="168"/>
      <c r="AE58" s="168"/>
      <c r="AF58" s="168"/>
      <c r="AG58" s="168"/>
      <c r="AH58" s="168"/>
      <c r="AI58" s="168"/>
      <c r="AJ58" s="168"/>
      <c r="AK58" s="168"/>
      <c r="AL58" s="168"/>
      <c r="AM58" s="168"/>
      <c r="AN58" s="168"/>
      <c r="AO58" s="168"/>
      <c r="AP58" s="168"/>
      <c r="AQ58" s="168"/>
      <c r="AR58" s="168"/>
      <c r="AS58" s="168"/>
      <c r="AT58" s="168"/>
      <c r="AU58" s="168"/>
      <c r="AV58" s="169"/>
      <c r="AW58" s="167">
        <v>42370</v>
      </c>
      <c r="AX58" s="168"/>
      <c r="AY58" s="168"/>
      <c r="AZ58" s="168"/>
      <c r="BA58" s="168"/>
      <c r="BB58" s="168"/>
      <c r="BC58" s="168"/>
      <c r="BD58" s="168"/>
      <c r="BE58" s="168"/>
      <c r="BF58" s="168"/>
      <c r="BG58" s="168"/>
      <c r="BH58" s="168"/>
      <c r="BI58" s="168"/>
      <c r="BJ58" s="168"/>
      <c r="BK58" s="168"/>
      <c r="BL58" s="168"/>
      <c r="BM58" s="168"/>
      <c r="BN58" s="168"/>
      <c r="BO58" s="168"/>
      <c r="BP58" s="168"/>
      <c r="BQ58" s="169"/>
      <c r="BR58" s="167">
        <v>42401</v>
      </c>
      <c r="BS58" s="168"/>
      <c r="BT58" s="168"/>
      <c r="BU58" s="168"/>
      <c r="BV58" s="168"/>
      <c r="BW58" s="168"/>
      <c r="BX58" s="168"/>
      <c r="BY58" s="168"/>
      <c r="BZ58" s="168"/>
      <c r="CA58" s="168"/>
      <c r="CB58" s="168"/>
      <c r="CC58" s="168"/>
      <c r="CD58" s="168"/>
      <c r="CE58" s="168"/>
      <c r="CF58" s="168"/>
      <c r="CG58" s="168"/>
      <c r="CH58" s="168"/>
      <c r="CI58" s="168"/>
      <c r="CJ58" s="168"/>
      <c r="CK58" s="168"/>
      <c r="CL58" s="169"/>
      <c r="CM58" s="167">
        <v>42430</v>
      </c>
      <c r="CN58" s="168"/>
      <c r="CO58" s="168"/>
      <c r="CP58" s="168"/>
      <c r="CQ58" s="168"/>
      <c r="CR58" s="168"/>
      <c r="CS58" s="168"/>
      <c r="CT58" s="168"/>
      <c r="CU58" s="168"/>
      <c r="CV58" s="168"/>
      <c r="CW58" s="168"/>
      <c r="CX58" s="168"/>
      <c r="CY58" s="168"/>
      <c r="CZ58" s="168"/>
      <c r="DA58" s="168"/>
      <c r="DB58" s="168"/>
      <c r="DC58" s="168"/>
      <c r="DD58" s="168"/>
      <c r="DE58" s="168"/>
      <c r="DF58" s="168"/>
      <c r="DG58" s="168"/>
      <c r="DH58" s="168"/>
      <c r="DI58" s="169"/>
      <c r="DJ58" s="167">
        <v>42461</v>
      </c>
      <c r="DK58" s="168"/>
      <c r="DL58" s="168"/>
      <c r="DM58" s="168"/>
      <c r="DN58" s="168"/>
      <c r="DO58" s="168"/>
      <c r="DP58" s="168"/>
      <c r="DQ58" s="168"/>
      <c r="DR58" s="168"/>
      <c r="DS58" s="168"/>
      <c r="DT58" s="168"/>
      <c r="DU58" s="168"/>
      <c r="DV58" s="168"/>
      <c r="DW58" s="168"/>
      <c r="DX58" s="168"/>
      <c r="DY58" s="168"/>
      <c r="DZ58" s="168"/>
      <c r="EA58" s="168"/>
      <c r="EB58" s="168"/>
      <c r="EC58" s="168"/>
      <c r="ED58" s="168"/>
      <c r="EE58" s="169"/>
      <c r="EF58" s="167">
        <v>42491</v>
      </c>
      <c r="EG58" s="168"/>
      <c r="EH58" s="168"/>
      <c r="EI58" s="168"/>
      <c r="EJ58" s="168"/>
      <c r="EK58" s="168"/>
      <c r="EL58" s="168"/>
      <c r="EM58" s="168"/>
      <c r="EN58" s="168"/>
      <c r="EO58" s="168"/>
      <c r="EP58" s="168"/>
      <c r="EQ58" s="168"/>
      <c r="ER58" s="168"/>
      <c r="ES58" s="168"/>
      <c r="ET58" s="168"/>
      <c r="EU58" s="168"/>
      <c r="EV58" s="168"/>
      <c r="EW58" s="168"/>
      <c r="EX58" s="168"/>
      <c r="EY58" s="168"/>
      <c r="EZ58" s="168"/>
      <c r="FA58" s="167">
        <v>42522</v>
      </c>
      <c r="FB58" s="168"/>
      <c r="FC58" s="168"/>
      <c r="FD58" s="168"/>
      <c r="FE58" s="168"/>
      <c r="FF58" s="168"/>
      <c r="FG58" s="168"/>
      <c r="FH58" s="168"/>
      <c r="FI58" s="168"/>
      <c r="FJ58" s="168"/>
      <c r="FK58" s="168"/>
      <c r="FL58" s="168"/>
      <c r="FM58" s="168"/>
      <c r="FN58" s="168"/>
      <c r="FO58" s="168"/>
      <c r="FP58" s="168"/>
      <c r="FQ58" s="168"/>
      <c r="FR58" s="168"/>
      <c r="FS58" s="168"/>
      <c r="FT58" s="168"/>
      <c r="FU58" s="168"/>
      <c r="FV58" s="169"/>
    </row>
    <row r="59" spans="2:178" s="1" customFormat="1" ht="12" customHeight="1">
      <c r="H59" s="170" t="s">
        <v>186</v>
      </c>
      <c r="I59" s="152"/>
      <c r="J59" s="80">
        <f>SUM(J60:J75)</f>
        <v>0</v>
      </c>
      <c r="K59" s="81">
        <f t="shared" ref="K59:BV59" si="8">SUM(K60:K75)</f>
        <v>0</v>
      </c>
      <c r="L59" s="81">
        <f t="shared" si="8"/>
        <v>0</v>
      </c>
      <c r="M59" s="81">
        <f t="shared" si="8"/>
        <v>0</v>
      </c>
      <c r="N59" s="81">
        <f t="shared" si="8"/>
        <v>0</v>
      </c>
      <c r="O59" s="81">
        <f t="shared" si="8"/>
        <v>1</v>
      </c>
      <c r="P59" s="81">
        <f t="shared" si="8"/>
        <v>1</v>
      </c>
      <c r="Q59" s="81">
        <f t="shared" si="8"/>
        <v>1</v>
      </c>
      <c r="R59" s="81">
        <f t="shared" si="8"/>
        <v>1</v>
      </c>
      <c r="S59" s="81">
        <f t="shared" si="8"/>
        <v>1</v>
      </c>
      <c r="T59" s="81">
        <f t="shared" si="8"/>
        <v>1</v>
      </c>
      <c r="U59" s="81">
        <f t="shared" si="8"/>
        <v>1</v>
      </c>
      <c r="V59" s="81">
        <f t="shared" si="8"/>
        <v>1</v>
      </c>
      <c r="W59" s="81">
        <f t="shared" si="8"/>
        <v>1</v>
      </c>
      <c r="X59" s="81">
        <f t="shared" si="8"/>
        <v>1</v>
      </c>
      <c r="Y59" s="81">
        <f t="shared" si="8"/>
        <v>1</v>
      </c>
      <c r="Z59" s="81">
        <f t="shared" si="8"/>
        <v>1</v>
      </c>
      <c r="AA59" s="81">
        <f t="shared" si="8"/>
        <v>1</v>
      </c>
      <c r="AB59" s="81">
        <f t="shared" si="8"/>
        <v>1</v>
      </c>
      <c r="AC59" s="81">
        <f t="shared" si="8"/>
        <v>1</v>
      </c>
      <c r="AD59" s="81">
        <f t="shared" si="8"/>
        <v>1</v>
      </c>
      <c r="AE59" s="81">
        <f t="shared" si="8"/>
        <v>1</v>
      </c>
      <c r="AF59" s="81">
        <f t="shared" si="8"/>
        <v>1</v>
      </c>
      <c r="AG59" s="81">
        <f t="shared" si="8"/>
        <v>1</v>
      </c>
      <c r="AH59" s="81">
        <f t="shared" si="8"/>
        <v>1</v>
      </c>
      <c r="AI59" s="81">
        <f t="shared" si="8"/>
        <v>1</v>
      </c>
      <c r="AJ59" s="81">
        <f t="shared" si="8"/>
        <v>1</v>
      </c>
      <c r="AK59" s="81">
        <f t="shared" si="8"/>
        <v>1</v>
      </c>
      <c r="AL59" s="81">
        <f t="shared" si="8"/>
        <v>1</v>
      </c>
      <c r="AM59" s="81">
        <f t="shared" si="8"/>
        <v>1</v>
      </c>
      <c r="AN59" s="81">
        <f t="shared" si="8"/>
        <v>1</v>
      </c>
      <c r="AO59" s="81">
        <f t="shared" si="8"/>
        <v>1</v>
      </c>
      <c r="AP59" s="81">
        <f t="shared" si="8"/>
        <v>1</v>
      </c>
      <c r="AQ59" s="81">
        <f t="shared" si="8"/>
        <v>0</v>
      </c>
      <c r="AR59" s="81">
        <f t="shared" si="8"/>
        <v>0</v>
      </c>
      <c r="AS59" s="81">
        <f t="shared" si="8"/>
        <v>0</v>
      </c>
      <c r="AT59" s="81">
        <f t="shared" si="8"/>
        <v>0</v>
      </c>
      <c r="AU59" s="81">
        <f t="shared" si="8"/>
        <v>0</v>
      </c>
      <c r="AV59" s="81">
        <f t="shared" si="8"/>
        <v>0</v>
      </c>
      <c r="AW59" s="81">
        <f t="shared" si="8"/>
        <v>0</v>
      </c>
      <c r="AX59" s="81">
        <f t="shared" si="8"/>
        <v>1</v>
      </c>
      <c r="AY59" s="81">
        <f t="shared" si="8"/>
        <v>1</v>
      </c>
      <c r="AZ59" s="81">
        <f t="shared" si="8"/>
        <v>1</v>
      </c>
      <c r="BA59" s="81">
        <f t="shared" si="8"/>
        <v>1</v>
      </c>
      <c r="BB59" s="81">
        <f t="shared" si="8"/>
        <v>1</v>
      </c>
      <c r="BC59" s="81">
        <f t="shared" si="8"/>
        <v>1</v>
      </c>
      <c r="BD59" s="81">
        <f t="shared" si="8"/>
        <v>1</v>
      </c>
      <c r="BE59" s="81">
        <f t="shared" si="8"/>
        <v>1</v>
      </c>
      <c r="BF59" s="81">
        <f t="shared" si="8"/>
        <v>1</v>
      </c>
      <c r="BG59" s="81">
        <f t="shared" si="8"/>
        <v>1</v>
      </c>
      <c r="BH59" s="81">
        <f t="shared" si="8"/>
        <v>1</v>
      </c>
      <c r="BI59" s="81">
        <f t="shared" si="8"/>
        <v>1</v>
      </c>
      <c r="BJ59" s="81">
        <f t="shared" si="8"/>
        <v>1</v>
      </c>
      <c r="BK59" s="81">
        <f t="shared" si="8"/>
        <v>1</v>
      </c>
      <c r="BL59" s="81">
        <f t="shared" si="8"/>
        <v>1</v>
      </c>
      <c r="BM59" s="81">
        <f t="shared" si="8"/>
        <v>1</v>
      </c>
      <c r="BN59" s="81">
        <f t="shared" si="8"/>
        <v>1</v>
      </c>
      <c r="BO59" s="81">
        <f t="shared" si="8"/>
        <v>1</v>
      </c>
      <c r="BP59" s="81">
        <f t="shared" si="8"/>
        <v>1</v>
      </c>
      <c r="BQ59" s="81">
        <f t="shared" si="8"/>
        <v>1</v>
      </c>
      <c r="BR59" s="81">
        <f t="shared" si="8"/>
        <v>1</v>
      </c>
      <c r="BS59" s="81">
        <f t="shared" si="8"/>
        <v>1</v>
      </c>
      <c r="BT59" s="81">
        <f t="shared" si="8"/>
        <v>1</v>
      </c>
      <c r="BU59" s="81">
        <f t="shared" si="8"/>
        <v>1</v>
      </c>
      <c r="BV59" s="81">
        <f t="shared" si="8"/>
        <v>1</v>
      </c>
      <c r="BW59" s="81">
        <f t="shared" ref="BW59:EH59" si="9">SUM(BW60:BW75)</f>
        <v>1</v>
      </c>
      <c r="BX59" s="81">
        <f t="shared" si="9"/>
        <v>1</v>
      </c>
      <c r="BY59" s="81">
        <f t="shared" si="9"/>
        <v>1</v>
      </c>
      <c r="BZ59" s="81">
        <f t="shared" si="9"/>
        <v>1</v>
      </c>
      <c r="CA59" s="81">
        <f t="shared" si="9"/>
        <v>1</v>
      </c>
      <c r="CB59" s="81">
        <f t="shared" si="9"/>
        <v>1</v>
      </c>
      <c r="CC59" s="81">
        <f t="shared" si="9"/>
        <v>1</v>
      </c>
      <c r="CD59" s="81">
        <f t="shared" si="9"/>
        <v>1</v>
      </c>
      <c r="CE59" s="81">
        <f t="shared" si="9"/>
        <v>1</v>
      </c>
      <c r="CF59" s="81">
        <f t="shared" si="9"/>
        <v>1</v>
      </c>
      <c r="CG59" s="81">
        <f t="shared" si="9"/>
        <v>1</v>
      </c>
      <c r="CH59" s="81">
        <f t="shared" si="9"/>
        <v>1</v>
      </c>
      <c r="CI59" s="81">
        <f t="shared" si="9"/>
        <v>1</v>
      </c>
      <c r="CJ59" s="81">
        <f t="shared" si="9"/>
        <v>1</v>
      </c>
      <c r="CK59" s="81">
        <f t="shared" si="9"/>
        <v>1</v>
      </c>
      <c r="CL59" s="81">
        <f t="shared" si="9"/>
        <v>1</v>
      </c>
      <c r="CM59" s="81">
        <f t="shared" si="9"/>
        <v>1</v>
      </c>
      <c r="CN59" s="81">
        <f t="shared" si="9"/>
        <v>1</v>
      </c>
      <c r="CO59" s="81">
        <f t="shared" si="9"/>
        <v>1</v>
      </c>
      <c r="CP59" s="81">
        <f t="shared" si="9"/>
        <v>1</v>
      </c>
      <c r="CQ59" s="81">
        <f t="shared" si="9"/>
        <v>1</v>
      </c>
      <c r="CR59" s="81">
        <f t="shared" si="9"/>
        <v>1</v>
      </c>
      <c r="CS59" s="81">
        <f t="shared" si="9"/>
        <v>1</v>
      </c>
      <c r="CT59" s="81">
        <f t="shared" si="9"/>
        <v>1</v>
      </c>
      <c r="CU59" s="81">
        <f t="shared" si="9"/>
        <v>1</v>
      </c>
      <c r="CV59" s="81">
        <f t="shared" si="9"/>
        <v>1</v>
      </c>
      <c r="CW59" s="81">
        <f t="shared" si="9"/>
        <v>1</v>
      </c>
      <c r="CX59" s="81">
        <f t="shared" si="9"/>
        <v>1</v>
      </c>
      <c r="CY59" s="81">
        <f t="shared" si="9"/>
        <v>0</v>
      </c>
      <c r="CZ59" s="81">
        <f t="shared" si="9"/>
        <v>1</v>
      </c>
      <c r="DA59" s="81">
        <f t="shared" si="9"/>
        <v>1</v>
      </c>
      <c r="DB59" s="81">
        <f t="shared" si="9"/>
        <v>1</v>
      </c>
      <c r="DC59" s="81">
        <f t="shared" si="9"/>
        <v>1</v>
      </c>
      <c r="DD59" s="81">
        <f t="shared" si="9"/>
        <v>1</v>
      </c>
      <c r="DE59" s="81">
        <f t="shared" si="9"/>
        <v>0</v>
      </c>
      <c r="DF59" s="81">
        <f t="shared" si="9"/>
        <v>0</v>
      </c>
      <c r="DG59" s="81">
        <f t="shared" si="9"/>
        <v>0</v>
      </c>
      <c r="DH59" s="81">
        <f t="shared" si="9"/>
        <v>0</v>
      </c>
      <c r="DI59" s="81">
        <f t="shared" si="9"/>
        <v>0</v>
      </c>
      <c r="DJ59" s="81">
        <f t="shared" si="9"/>
        <v>0</v>
      </c>
      <c r="DK59" s="81">
        <f t="shared" si="9"/>
        <v>1</v>
      </c>
      <c r="DL59" s="81">
        <f t="shared" si="9"/>
        <v>1</v>
      </c>
      <c r="DM59" s="81">
        <f t="shared" si="9"/>
        <v>1</v>
      </c>
      <c r="DN59" s="81">
        <f t="shared" si="9"/>
        <v>1</v>
      </c>
      <c r="DO59" s="81">
        <f t="shared" si="9"/>
        <v>1</v>
      </c>
      <c r="DP59" s="81">
        <f t="shared" si="9"/>
        <v>1</v>
      </c>
      <c r="DQ59" s="81">
        <f t="shared" si="9"/>
        <v>1</v>
      </c>
      <c r="DR59" s="81">
        <f t="shared" si="9"/>
        <v>1</v>
      </c>
      <c r="DS59" s="81">
        <f t="shared" si="9"/>
        <v>1</v>
      </c>
      <c r="DT59" s="81">
        <f t="shared" si="9"/>
        <v>1</v>
      </c>
      <c r="DU59" s="81">
        <f t="shared" si="9"/>
        <v>1</v>
      </c>
      <c r="DV59" s="81">
        <f t="shared" si="9"/>
        <v>1</v>
      </c>
      <c r="DW59" s="81">
        <f t="shared" si="9"/>
        <v>1</v>
      </c>
      <c r="DX59" s="81">
        <f t="shared" si="9"/>
        <v>0</v>
      </c>
      <c r="DY59" s="81">
        <f t="shared" si="9"/>
        <v>0</v>
      </c>
      <c r="DZ59" s="81">
        <f t="shared" si="9"/>
        <v>0</v>
      </c>
      <c r="EA59" s="81">
        <f t="shared" si="9"/>
        <v>0</v>
      </c>
      <c r="EB59" s="81">
        <f t="shared" si="9"/>
        <v>0</v>
      </c>
      <c r="EC59" s="81">
        <f t="shared" si="9"/>
        <v>1</v>
      </c>
      <c r="ED59" s="81">
        <f t="shared" si="9"/>
        <v>1</v>
      </c>
      <c r="EE59" s="81">
        <f t="shared" si="9"/>
        <v>0</v>
      </c>
      <c r="EF59" s="81">
        <f t="shared" si="9"/>
        <v>1</v>
      </c>
      <c r="EG59" s="81">
        <f t="shared" si="9"/>
        <v>1</v>
      </c>
      <c r="EH59" s="81">
        <f t="shared" si="9"/>
        <v>1</v>
      </c>
      <c r="EI59" s="81">
        <f t="shared" ref="EI59:FV59" si="10">SUM(EI60:EI75)</f>
        <v>1</v>
      </c>
      <c r="EJ59" s="81">
        <f t="shared" si="10"/>
        <v>1</v>
      </c>
      <c r="EK59" s="81">
        <f t="shared" si="10"/>
        <v>1</v>
      </c>
      <c r="EL59" s="81">
        <f t="shared" si="10"/>
        <v>1</v>
      </c>
      <c r="EM59" s="81">
        <f t="shared" si="10"/>
        <v>1</v>
      </c>
      <c r="EN59" s="81">
        <f t="shared" si="10"/>
        <v>1</v>
      </c>
      <c r="EO59" s="81">
        <f t="shared" si="10"/>
        <v>1</v>
      </c>
      <c r="EP59" s="81">
        <f t="shared" si="10"/>
        <v>1</v>
      </c>
      <c r="EQ59" s="81">
        <f t="shared" si="10"/>
        <v>1</v>
      </c>
      <c r="ER59" s="81">
        <f t="shared" si="10"/>
        <v>1</v>
      </c>
      <c r="ES59" s="81">
        <f t="shared" si="10"/>
        <v>1</v>
      </c>
      <c r="ET59" s="81">
        <f t="shared" si="10"/>
        <v>1</v>
      </c>
      <c r="EU59" s="81">
        <f t="shared" si="10"/>
        <v>1</v>
      </c>
      <c r="EV59" s="81">
        <f t="shared" si="10"/>
        <v>1</v>
      </c>
      <c r="EW59" s="81">
        <f t="shared" si="10"/>
        <v>1</v>
      </c>
      <c r="EX59" s="81">
        <f t="shared" si="10"/>
        <v>1</v>
      </c>
      <c r="EY59" s="81">
        <f t="shared" si="10"/>
        <v>1</v>
      </c>
      <c r="EZ59" s="81">
        <f t="shared" si="10"/>
        <v>1</v>
      </c>
      <c r="FA59" s="81">
        <f t="shared" si="10"/>
        <v>1</v>
      </c>
      <c r="FB59" s="81">
        <f t="shared" si="10"/>
        <v>1</v>
      </c>
      <c r="FC59" s="81">
        <f t="shared" si="10"/>
        <v>1</v>
      </c>
      <c r="FD59" s="81">
        <f t="shared" si="10"/>
        <v>0</v>
      </c>
      <c r="FE59" s="81">
        <f t="shared" si="10"/>
        <v>1</v>
      </c>
      <c r="FF59" s="81">
        <f t="shared" si="10"/>
        <v>1</v>
      </c>
      <c r="FG59" s="81">
        <f t="shared" si="10"/>
        <v>1</v>
      </c>
      <c r="FH59" s="81">
        <f t="shared" si="10"/>
        <v>1</v>
      </c>
      <c r="FI59" s="81">
        <f t="shared" si="10"/>
        <v>1</v>
      </c>
      <c r="FJ59" s="81">
        <f t="shared" si="10"/>
        <v>1</v>
      </c>
      <c r="FK59" s="81">
        <f t="shared" si="10"/>
        <v>1</v>
      </c>
      <c r="FL59" s="81">
        <f t="shared" si="10"/>
        <v>1</v>
      </c>
      <c r="FM59" s="81">
        <f t="shared" si="10"/>
        <v>1</v>
      </c>
      <c r="FN59" s="81">
        <f t="shared" si="10"/>
        <v>1</v>
      </c>
      <c r="FO59" s="81">
        <f t="shared" si="10"/>
        <v>1</v>
      </c>
      <c r="FP59" s="81">
        <f t="shared" si="10"/>
        <v>0</v>
      </c>
      <c r="FQ59" s="81">
        <f t="shared" si="10"/>
        <v>0</v>
      </c>
      <c r="FR59" s="81">
        <f t="shared" si="10"/>
        <v>0</v>
      </c>
      <c r="FS59" s="81">
        <f t="shared" si="10"/>
        <v>0</v>
      </c>
      <c r="FT59" s="81">
        <f t="shared" si="10"/>
        <v>0</v>
      </c>
      <c r="FU59" s="81">
        <f t="shared" si="10"/>
        <v>0</v>
      </c>
      <c r="FV59" s="79">
        <f t="shared" si="10"/>
        <v>0</v>
      </c>
    </row>
    <row r="60" spans="2:178" s="63" customFormat="1" ht="12" customHeight="1">
      <c r="B60" s="1"/>
      <c r="G60" s="64" t="str">
        <f>H60&amp;$H$58</f>
        <v>1. Opening Balances  1.1 PreparationJunior Accountant</v>
      </c>
      <c r="H60" s="59" t="s">
        <v>159</v>
      </c>
      <c r="I60" s="59" t="str">
        <f>INDEX('Resource Demand - Activity'!C:C,MATCH(Example!G60,'Resource Demand - Activity'!FT:FT,0))</f>
        <v>3 days</v>
      </c>
      <c r="J60" s="51">
        <f>SUMIF('Resource Demand - Activity'!$FT:$FT,Example!$G60,'Resource Demand - Activity'!E:E)</f>
        <v>0</v>
      </c>
      <c r="K60" s="35">
        <f>SUMIF('Resource Demand - Activity'!$FT:$FT,Example!$G60,'Resource Demand - Activity'!F:F)</f>
        <v>0</v>
      </c>
      <c r="L60" s="35">
        <f>SUMIF('Resource Demand - Activity'!$FT:$FT,Example!$G60,'Resource Demand - Activity'!G:G)</f>
        <v>0</v>
      </c>
      <c r="M60" s="35">
        <f>SUMIF('Resource Demand - Activity'!$FT:$FT,Example!$G60,'Resource Demand - Activity'!H:H)</f>
        <v>0</v>
      </c>
      <c r="N60" s="35">
        <f>SUMIF('Resource Demand - Activity'!$FT:$FT,Example!$G60,'Resource Demand - Activity'!I:I)</f>
        <v>0</v>
      </c>
      <c r="O60" s="35">
        <f>SUMIF('Resource Demand - Activity'!$FT:$FT,Example!$G60,'Resource Demand - Activity'!J:J)</f>
        <v>1</v>
      </c>
      <c r="P60" s="35">
        <f>SUMIF('Resource Demand - Activity'!$FT:$FT,Example!$G60,'Resource Demand - Activity'!K:K)</f>
        <v>0</v>
      </c>
      <c r="Q60" s="35">
        <f>SUMIF('Resource Demand - Activity'!$FT:$FT,Example!$G60,'Resource Demand - Activity'!L:L)</f>
        <v>0</v>
      </c>
      <c r="R60" s="35">
        <f>SUMIF('Resource Demand - Activity'!$FT:$FT,Example!$G60,'Resource Demand - Activity'!M:M)</f>
        <v>0</v>
      </c>
      <c r="S60" s="35">
        <f>SUMIF('Resource Demand - Activity'!$FT:$FT,Example!$G60,'Resource Demand - Activity'!N:N)</f>
        <v>0</v>
      </c>
      <c r="T60" s="35">
        <f>SUMIF('Resource Demand - Activity'!$FT:$FT,Example!$G60,'Resource Demand - Activity'!O:O)</f>
        <v>0</v>
      </c>
      <c r="U60" s="35">
        <f>SUMIF('Resource Demand - Activity'!$FT:$FT,Example!$G60,'Resource Demand - Activity'!P:P)</f>
        <v>0</v>
      </c>
      <c r="V60" s="35">
        <f>SUMIF('Resource Demand - Activity'!$FT:$FT,Example!$G60,'Resource Demand - Activity'!Q:Q)</f>
        <v>0</v>
      </c>
      <c r="W60" s="35">
        <f>SUMIF('Resource Demand - Activity'!$FT:$FT,Example!$G60,'Resource Demand - Activity'!R:R)</f>
        <v>0</v>
      </c>
      <c r="X60" s="35">
        <f>SUMIF('Resource Demand - Activity'!$FT:$FT,Example!$G60,'Resource Demand - Activity'!S:S)</f>
        <v>0</v>
      </c>
      <c r="Y60" s="35">
        <f>SUMIF('Resource Demand - Activity'!$FT:$FT,Example!$G60,'Resource Demand - Activity'!T:T)</f>
        <v>0</v>
      </c>
      <c r="Z60" s="35">
        <f>SUMIF('Resource Demand - Activity'!$FT:$FT,Example!$G60,'Resource Demand - Activity'!U:U)</f>
        <v>0</v>
      </c>
      <c r="AA60" s="35">
        <f>SUMIF('Resource Demand - Activity'!$FT:$FT,Example!$G60,'Resource Demand - Activity'!V:V)</f>
        <v>0</v>
      </c>
      <c r="AB60" s="35">
        <f>SUMIF('Resource Demand - Activity'!$FT:$FT,Example!$G60,'Resource Demand - Activity'!W:W)</f>
        <v>0</v>
      </c>
      <c r="AC60" s="35">
        <f>SUMIF('Resource Demand - Activity'!$FT:$FT,Example!$G60,'Resource Demand - Activity'!X:X)</f>
        <v>0</v>
      </c>
      <c r="AD60" s="35">
        <f>SUMIF('Resource Demand - Activity'!$FT:$FT,Example!$G60,'Resource Demand - Activity'!Y:Y)</f>
        <v>0</v>
      </c>
      <c r="AE60" s="35">
        <f>SUMIF('Resource Demand - Activity'!$FT:$FT,Example!$G60,'Resource Demand - Activity'!Z:Z)</f>
        <v>0</v>
      </c>
      <c r="AF60" s="35">
        <f>SUMIF('Resource Demand - Activity'!$FT:$FT,Example!$G60,'Resource Demand - Activity'!AA:AA)</f>
        <v>0</v>
      </c>
      <c r="AG60" s="35">
        <f>SUMIF('Resource Demand - Activity'!$FT:$FT,Example!$G60,'Resource Demand - Activity'!AB:AB)</f>
        <v>0</v>
      </c>
      <c r="AH60" s="35">
        <f>SUMIF('Resource Demand - Activity'!$FT:$FT,Example!$G60,'Resource Demand - Activity'!AC:AC)</f>
        <v>0</v>
      </c>
      <c r="AI60" s="35">
        <f>SUMIF('Resource Demand - Activity'!$FT:$FT,Example!$G60,'Resource Demand - Activity'!AD:AD)</f>
        <v>0</v>
      </c>
      <c r="AJ60" s="35">
        <f>SUMIF('Resource Demand - Activity'!$FT:$FT,Example!$G60,'Resource Demand - Activity'!AE:AE)</f>
        <v>0</v>
      </c>
      <c r="AK60" s="35">
        <f>SUMIF('Resource Demand - Activity'!$FT:$FT,Example!$G60,'Resource Demand - Activity'!AF:AF)</f>
        <v>0</v>
      </c>
      <c r="AL60" s="35">
        <f>SUMIF('Resource Demand - Activity'!$FT:$FT,Example!$G60,'Resource Demand - Activity'!AG:AG)</f>
        <v>0</v>
      </c>
      <c r="AM60" s="35">
        <f>SUMIF('Resource Demand - Activity'!$FT:$FT,Example!$G60,'Resource Demand - Activity'!AH:AH)</f>
        <v>0</v>
      </c>
      <c r="AN60" s="35">
        <f>SUMIF('Resource Demand - Activity'!$FT:$FT,Example!$G60,'Resource Demand - Activity'!AI:AI)</f>
        <v>0</v>
      </c>
      <c r="AO60" s="35">
        <f>SUMIF('Resource Demand - Activity'!$FT:$FT,Example!$G60,'Resource Demand - Activity'!AJ:AJ)</f>
        <v>0</v>
      </c>
      <c r="AP60" s="35">
        <f>SUMIF('Resource Demand - Activity'!$FT:$FT,Example!$G60,'Resource Demand - Activity'!AK:AK)</f>
        <v>0</v>
      </c>
      <c r="AQ60" s="36">
        <f>SUMIF('Resource Demand - Activity'!$FT:$FT,Example!$G60,'Resource Demand - Activity'!AL:AL)</f>
        <v>0</v>
      </c>
      <c r="AR60" s="36">
        <f>SUMIF('Resource Demand - Activity'!$FT:$FT,Example!$G60,'Resource Demand - Activity'!AM:AM)</f>
        <v>0</v>
      </c>
      <c r="AS60" s="36">
        <f>SUMIF('Resource Demand - Activity'!$FT:$FT,Example!$G60,'Resource Demand - Activity'!AN:AN)</f>
        <v>0</v>
      </c>
      <c r="AT60" s="36">
        <f>SUMIF('Resource Demand - Activity'!$FT:$FT,Example!$G60,'Resource Demand - Activity'!AO:AO)</f>
        <v>0</v>
      </c>
      <c r="AU60" s="36">
        <f>SUMIF('Resource Demand - Activity'!$FT:$FT,Example!$G60,'Resource Demand - Activity'!AP:AP)</f>
        <v>0</v>
      </c>
      <c r="AV60" s="36">
        <f>SUMIF('Resource Demand - Activity'!$FT:$FT,Example!$G60,'Resource Demand - Activity'!AQ:AQ)</f>
        <v>0</v>
      </c>
      <c r="AW60" s="36">
        <f>SUMIF('Resource Demand - Activity'!$FT:$FT,Example!$G60,'Resource Demand - Activity'!AR:AR)</f>
        <v>0</v>
      </c>
      <c r="AX60" s="35">
        <f>SUMIF('Resource Demand - Activity'!$FT:$FT,Example!$G60,'Resource Demand - Activity'!AS:AS)</f>
        <v>0</v>
      </c>
      <c r="AY60" s="35">
        <f>SUMIF('Resource Demand - Activity'!$FT:$FT,Example!$G60,'Resource Demand - Activity'!AT:AT)</f>
        <v>0</v>
      </c>
      <c r="AZ60" s="35">
        <f>SUMIF('Resource Demand - Activity'!$FT:$FT,Example!$G60,'Resource Demand - Activity'!AU:AU)</f>
        <v>0</v>
      </c>
      <c r="BA60" s="35">
        <f>SUMIF('Resource Demand - Activity'!$FT:$FT,Example!$G60,'Resource Demand - Activity'!AV:AV)</f>
        <v>0</v>
      </c>
      <c r="BB60" s="35">
        <f>SUMIF('Resource Demand - Activity'!$FT:$FT,Example!$G60,'Resource Demand - Activity'!AW:AW)</f>
        <v>0</v>
      </c>
      <c r="BC60" s="35">
        <f>SUMIF('Resource Demand - Activity'!$FT:$FT,Example!$G60,'Resource Demand - Activity'!AX:AX)</f>
        <v>0</v>
      </c>
      <c r="BD60" s="35">
        <f>SUMIF('Resource Demand - Activity'!$FT:$FT,Example!$G60,'Resource Demand - Activity'!AY:AY)</f>
        <v>0</v>
      </c>
      <c r="BE60" s="35">
        <f>SUMIF('Resource Demand - Activity'!$FT:$FT,Example!$G60,'Resource Demand - Activity'!AZ:AZ)</f>
        <v>0</v>
      </c>
      <c r="BF60" s="35">
        <f>SUMIF('Resource Demand - Activity'!$FT:$FT,Example!$G60,'Resource Demand - Activity'!BA:BA)</f>
        <v>0</v>
      </c>
      <c r="BG60" s="35">
        <f>SUMIF('Resource Demand - Activity'!$FT:$FT,Example!$G60,'Resource Demand - Activity'!BB:BB)</f>
        <v>0</v>
      </c>
      <c r="BH60" s="35">
        <f>SUMIF('Resource Demand - Activity'!$FT:$FT,Example!$G60,'Resource Demand - Activity'!BC:BC)</f>
        <v>0</v>
      </c>
      <c r="BI60" s="35">
        <f>SUMIF('Resource Demand - Activity'!$FT:$FT,Example!$G60,'Resource Demand - Activity'!BD:BD)</f>
        <v>0</v>
      </c>
      <c r="BJ60" s="35">
        <f>SUMIF('Resource Demand - Activity'!$FT:$FT,Example!$G60,'Resource Demand - Activity'!BE:BE)</f>
        <v>0</v>
      </c>
      <c r="BK60" s="35">
        <f>SUMIF('Resource Demand - Activity'!$FT:$FT,Example!$G60,'Resource Demand - Activity'!BF:BF)</f>
        <v>0</v>
      </c>
      <c r="BL60" s="35">
        <f>SUMIF('Resource Demand - Activity'!$FT:$FT,Example!$G60,'Resource Demand - Activity'!BG:BG)</f>
        <v>0</v>
      </c>
      <c r="BM60" s="35">
        <f>SUMIF('Resource Demand - Activity'!$FT:$FT,Example!$G60,'Resource Demand - Activity'!BH:BH)</f>
        <v>0</v>
      </c>
      <c r="BN60" s="35">
        <f>SUMIF('Resource Demand - Activity'!$FT:$FT,Example!$G60,'Resource Demand - Activity'!BI:BI)</f>
        <v>0</v>
      </c>
      <c r="BO60" s="35">
        <f>SUMIF('Resource Demand - Activity'!$FT:$FT,Example!$G60,'Resource Demand - Activity'!BJ:BJ)</f>
        <v>0</v>
      </c>
      <c r="BP60" s="35">
        <f>SUMIF('Resource Demand - Activity'!$FT:$FT,Example!$G60,'Resource Demand - Activity'!BK:BK)</f>
        <v>0</v>
      </c>
      <c r="BQ60" s="35">
        <f>SUMIF('Resource Demand - Activity'!$FT:$FT,Example!$G60,'Resource Demand - Activity'!BL:BL)</f>
        <v>0</v>
      </c>
      <c r="BR60" s="35">
        <f>SUMIF('Resource Demand - Activity'!$FT:$FT,Example!$G60,'Resource Demand - Activity'!BM:BM)</f>
        <v>0</v>
      </c>
      <c r="BS60" s="35">
        <f>SUMIF('Resource Demand - Activity'!$FT:$FT,Example!$G60,'Resource Demand - Activity'!BN:BN)</f>
        <v>0</v>
      </c>
      <c r="BT60" s="35">
        <f>SUMIF('Resource Demand - Activity'!$FT:$FT,Example!$G60,'Resource Demand - Activity'!BO:BO)</f>
        <v>0</v>
      </c>
      <c r="BU60" s="35">
        <f>SUMIF('Resource Demand - Activity'!$FT:$FT,Example!$G60,'Resource Demand - Activity'!BP:BP)</f>
        <v>0</v>
      </c>
      <c r="BV60" s="35">
        <f>SUMIF('Resource Demand - Activity'!$FT:$FT,Example!$G60,'Resource Demand - Activity'!BQ:BQ)</f>
        <v>0</v>
      </c>
      <c r="BW60" s="35">
        <f>SUMIF('Resource Demand - Activity'!$FT:$FT,Example!$G60,'Resource Demand - Activity'!BR:BR)</f>
        <v>0</v>
      </c>
      <c r="BX60" s="35">
        <f>SUMIF('Resource Demand - Activity'!$FT:$FT,Example!$G60,'Resource Demand - Activity'!BS:BS)</f>
        <v>0</v>
      </c>
      <c r="BY60" s="35">
        <f>SUMIF('Resource Demand - Activity'!$FT:$FT,Example!$G60,'Resource Demand - Activity'!BT:BT)</f>
        <v>0</v>
      </c>
      <c r="BZ60" s="35">
        <f>SUMIF('Resource Demand - Activity'!$FT:$FT,Example!$G60,'Resource Demand - Activity'!BU:BU)</f>
        <v>0</v>
      </c>
      <c r="CA60" s="35">
        <f>SUMIF('Resource Demand - Activity'!$FT:$FT,Example!$G60,'Resource Demand - Activity'!BV:BV)</f>
        <v>0</v>
      </c>
      <c r="CB60" s="35">
        <f>SUMIF('Resource Demand - Activity'!$FT:$FT,Example!$G60,'Resource Demand - Activity'!BW:BW)</f>
        <v>0</v>
      </c>
      <c r="CC60" s="35">
        <f>SUMIF('Resource Demand - Activity'!$FT:$FT,Example!$G60,'Resource Demand - Activity'!BX:BX)</f>
        <v>0</v>
      </c>
      <c r="CD60" s="35">
        <f>SUMIF('Resource Demand - Activity'!$FT:$FT,Example!$G60,'Resource Demand - Activity'!BY:BY)</f>
        <v>0</v>
      </c>
      <c r="CE60" s="35">
        <f>SUMIF('Resource Demand - Activity'!$FT:$FT,Example!$G60,'Resource Demand - Activity'!BZ:BZ)</f>
        <v>0</v>
      </c>
      <c r="CF60" s="35">
        <f>SUMIF('Resource Demand - Activity'!$FT:$FT,Example!$G60,'Resource Demand - Activity'!CA:CA)</f>
        <v>0</v>
      </c>
      <c r="CG60" s="35">
        <f>SUMIF('Resource Demand - Activity'!$FT:$FT,Example!$G60,'Resource Demand - Activity'!CB:CB)</f>
        <v>0</v>
      </c>
      <c r="CH60" s="35">
        <f>SUMIF('Resource Demand - Activity'!$FT:$FT,Example!$G60,'Resource Demand - Activity'!CC:CC)</f>
        <v>0</v>
      </c>
      <c r="CI60" s="35">
        <f>SUMIF('Resource Demand - Activity'!$FT:$FT,Example!$G60,'Resource Demand - Activity'!CD:CD)</f>
        <v>0</v>
      </c>
      <c r="CJ60" s="35">
        <f>SUMIF('Resource Demand - Activity'!$FT:$FT,Example!$G60,'Resource Demand - Activity'!CE:CE)</f>
        <v>0</v>
      </c>
      <c r="CK60" s="35">
        <f>SUMIF('Resource Demand - Activity'!$FT:$FT,Example!$G60,'Resource Demand - Activity'!CF:CF)</f>
        <v>0</v>
      </c>
      <c r="CL60" s="35">
        <f>SUMIF('Resource Demand - Activity'!$FT:$FT,Example!$G60,'Resource Demand - Activity'!CG:CG)</f>
        <v>0</v>
      </c>
      <c r="CM60" s="35">
        <f>SUMIF('Resource Demand - Activity'!$FT:$FT,Example!$G60,'Resource Demand - Activity'!CH:CH)</f>
        <v>0</v>
      </c>
      <c r="CN60" s="35">
        <f>SUMIF('Resource Demand - Activity'!$FT:$FT,Example!$G60,'Resource Demand - Activity'!CI:CI)</f>
        <v>0</v>
      </c>
      <c r="CO60" s="35">
        <f>SUMIF('Resource Demand - Activity'!$FT:$FT,Example!$G60,'Resource Demand - Activity'!CJ:CJ)</f>
        <v>0</v>
      </c>
      <c r="CP60" s="35">
        <f>SUMIF('Resource Demand - Activity'!$FT:$FT,Example!$G60,'Resource Demand - Activity'!CK:CK)</f>
        <v>0</v>
      </c>
      <c r="CQ60" s="35">
        <f>SUMIF('Resource Demand - Activity'!$FT:$FT,Example!$G60,'Resource Demand - Activity'!CL:CL)</f>
        <v>0</v>
      </c>
      <c r="CR60" s="35">
        <f>SUMIF('Resource Demand - Activity'!$FT:$FT,Example!$G60,'Resource Demand - Activity'!CM:CM)</f>
        <v>0</v>
      </c>
      <c r="CS60" s="35">
        <f>SUMIF('Resource Demand - Activity'!$FT:$FT,Example!$G60,'Resource Demand - Activity'!CN:CN)</f>
        <v>0</v>
      </c>
      <c r="CT60" s="35">
        <f>SUMIF('Resource Demand - Activity'!$FT:$FT,Example!$G60,'Resource Demand - Activity'!CO:CO)</f>
        <v>0</v>
      </c>
      <c r="CU60" s="35">
        <f>SUMIF('Resource Demand - Activity'!$FT:$FT,Example!$G60,'Resource Demand - Activity'!CP:CP)</f>
        <v>0</v>
      </c>
      <c r="CV60" s="35">
        <f>SUMIF('Resource Demand - Activity'!$FT:$FT,Example!$G60,'Resource Demand - Activity'!CQ:CQ)</f>
        <v>0</v>
      </c>
      <c r="CW60" s="35">
        <f>SUMIF('Resource Demand - Activity'!$FT:$FT,Example!$G60,'Resource Demand - Activity'!CR:CR)</f>
        <v>0</v>
      </c>
      <c r="CX60" s="35">
        <f>SUMIF('Resource Demand - Activity'!$FT:$FT,Example!$G60,'Resource Demand - Activity'!CS:CS)</f>
        <v>0</v>
      </c>
      <c r="CY60" s="36">
        <f>SUMIF('Resource Demand - Activity'!$FT:$FT,Example!$G60,'Resource Demand - Activity'!CT:CT)</f>
        <v>0</v>
      </c>
      <c r="CZ60" s="35">
        <f>SUMIF('Resource Demand - Activity'!$FT:$FT,Example!$G60,'Resource Demand - Activity'!CU:CU)</f>
        <v>0</v>
      </c>
      <c r="DA60" s="35">
        <f>SUMIF('Resource Demand - Activity'!$FT:$FT,Example!$G60,'Resource Demand - Activity'!CV:CV)</f>
        <v>0</v>
      </c>
      <c r="DB60" s="35">
        <f>SUMIF('Resource Demand - Activity'!$FT:$FT,Example!$G60,'Resource Demand - Activity'!CW:CW)</f>
        <v>0</v>
      </c>
      <c r="DC60" s="35">
        <f>SUMIF('Resource Demand - Activity'!$FT:$FT,Example!$G60,'Resource Demand - Activity'!CX:CX)</f>
        <v>0</v>
      </c>
      <c r="DD60" s="35">
        <f>SUMIF('Resource Demand - Activity'!$FT:$FT,Example!$G60,'Resource Demand - Activity'!CY:CY)</f>
        <v>0</v>
      </c>
      <c r="DE60" s="36">
        <f>SUMIF('Resource Demand - Activity'!$FT:$FT,Example!$G60,'Resource Demand - Activity'!CZ:CZ)</f>
        <v>0</v>
      </c>
      <c r="DF60" s="36">
        <f>SUMIF('Resource Demand - Activity'!$FT:$FT,Example!$G60,'Resource Demand - Activity'!DA:DA)</f>
        <v>0</v>
      </c>
      <c r="DG60" s="35">
        <f>SUMIF('Resource Demand - Activity'!$FT:$FT,Example!$G60,'Resource Demand - Activity'!DB:DB)</f>
        <v>0</v>
      </c>
      <c r="DH60" s="35">
        <f>SUMIF('Resource Demand - Activity'!$FT:$FT,Example!$G60,'Resource Demand - Activity'!DC:DC)</f>
        <v>0</v>
      </c>
      <c r="DI60" s="35">
        <f>SUMIF('Resource Demand - Activity'!$FT:$FT,Example!$G60,'Resource Demand - Activity'!DD:DD)</f>
        <v>0</v>
      </c>
      <c r="DJ60" s="35">
        <f>SUMIF('Resource Demand - Activity'!$FT:$FT,Example!$G60,'Resource Demand - Activity'!DE:DE)</f>
        <v>0</v>
      </c>
      <c r="DK60" s="35">
        <f>SUMIF('Resource Demand - Activity'!$FT:$FT,Example!$G60,'Resource Demand - Activity'!DF:DF)</f>
        <v>0</v>
      </c>
      <c r="DL60" s="35">
        <f>SUMIF('Resource Demand - Activity'!$FT:$FT,Example!$G60,'Resource Demand - Activity'!DG:DG)</f>
        <v>0</v>
      </c>
      <c r="DM60" s="35">
        <f>SUMIF('Resource Demand - Activity'!$FT:$FT,Example!$G60,'Resource Demand - Activity'!DH:DH)</f>
        <v>0</v>
      </c>
      <c r="DN60" s="35">
        <f>SUMIF('Resource Demand - Activity'!$FT:$FT,Example!$G60,'Resource Demand - Activity'!DI:DI)</f>
        <v>0</v>
      </c>
      <c r="DO60" s="35">
        <f>SUMIF('Resource Demand - Activity'!$FT:$FT,Example!$G60,'Resource Demand - Activity'!DJ:DJ)</f>
        <v>0</v>
      </c>
      <c r="DP60" s="35">
        <f>SUMIF('Resource Demand - Activity'!$FT:$FT,Example!$G60,'Resource Demand - Activity'!DK:DK)</f>
        <v>0</v>
      </c>
      <c r="DQ60" s="35">
        <f>SUMIF('Resource Demand - Activity'!$FT:$FT,Example!$G60,'Resource Demand - Activity'!DL:DL)</f>
        <v>0</v>
      </c>
      <c r="DR60" s="35">
        <f>SUMIF('Resource Demand - Activity'!$FT:$FT,Example!$G60,'Resource Demand - Activity'!DM:DM)</f>
        <v>0</v>
      </c>
      <c r="DS60" s="35">
        <f>SUMIF('Resource Demand - Activity'!$FT:$FT,Example!$G60,'Resource Demand - Activity'!DN:DN)</f>
        <v>0</v>
      </c>
      <c r="DT60" s="35">
        <f>SUMIF('Resource Demand - Activity'!$FT:$FT,Example!$G60,'Resource Demand - Activity'!DO:DO)</f>
        <v>0</v>
      </c>
      <c r="DU60" s="35">
        <f>SUMIF('Resource Demand - Activity'!$FT:$FT,Example!$G60,'Resource Demand - Activity'!DP:DP)</f>
        <v>0</v>
      </c>
      <c r="DV60" s="35">
        <f>SUMIF('Resource Demand - Activity'!$FT:$FT,Example!$G60,'Resource Demand - Activity'!DQ:DQ)</f>
        <v>1</v>
      </c>
      <c r="DW60" s="35">
        <f>SUMIF('Resource Demand - Activity'!$FT:$FT,Example!$G60,'Resource Demand - Activity'!DR:DR)</f>
        <v>1</v>
      </c>
      <c r="DX60" s="35">
        <f>SUMIF('Resource Demand - Activity'!$FT:$FT,Example!$G60,'Resource Demand - Activity'!DS:DS)</f>
        <v>0</v>
      </c>
      <c r="DY60" s="35">
        <f>SUMIF('Resource Demand - Activity'!$FT:$FT,Example!$G60,'Resource Demand - Activity'!DT:DT)</f>
        <v>0</v>
      </c>
      <c r="DZ60" s="35">
        <f>SUMIF('Resource Demand - Activity'!$FT:$FT,Example!$G60,'Resource Demand - Activity'!DU:DU)</f>
        <v>0</v>
      </c>
      <c r="EA60" s="35">
        <f>SUMIF('Resource Demand - Activity'!$FT:$FT,Example!$G60,'Resource Demand - Activity'!DV:DV)</f>
        <v>0</v>
      </c>
      <c r="EB60" s="35">
        <f>SUMIF('Resource Demand - Activity'!$FT:$FT,Example!$G60,'Resource Demand - Activity'!DW:DW)</f>
        <v>0</v>
      </c>
      <c r="EC60" s="35">
        <f>SUMIF('Resource Demand - Activity'!$FT:$FT,Example!$G60,'Resource Demand - Activity'!DX:DX)</f>
        <v>0</v>
      </c>
      <c r="ED60" s="35">
        <f>SUMIF('Resource Demand - Activity'!$FT:$FT,Example!$G60,'Resource Demand - Activity'!DY:DY)</f>
        <v>0</v>
      </c>
      <c r="EE60" s="36">
        <f>SUMIF('Resource Demand - Activity'!$FT:$FT,Example!$G60,'Resource Demand - Activity'!DZ:DZ)</f>
        <v>0</v>
      </c>
      <c r="EF60" s="35">
        <f>SUMIF('Resource Demand - Activity'!$FT:$FT,Example!$G60,'Resource Demand - Activity'!EA:EA)</f>
        <v>0</v>
      </c>
      <c r="EG60" s="35">
        <f>SUMIF('Resource Demand - Activity'!$FT:$FT,Example!$G60,'Resource Demand - Activity'!EB:EB)</f>
        <v>0</v>
      </c>
      <c r="EH60" s="35">
        <f>SUMIF('Resource Demand - Activity'!$FT:$FT,Example!$G60,'Resource Demand - Activity'!EC:EC)</f>
        <v>0</v>
      </c>
      <c r="EI60" s="35">
        <f>SUMIF('Resource Demand - Activity'!$FT:$FT,Example!$G60,'Resource Demand - Activity'!ED:ED)</f>
        <v>0</v>
      </c>
      <c r="EJ60" s="35">
        <f>SUMIF('Resource Demand - Activity'!$FT:$FT,Example!$G60,'Resource Demand - Activity'!EE:EE)</f>
        <v>0</v>
      </c>
      <c r="EK60" s="35">
        <f>SUMIF('Resource Demand - Activity'!$FT:$FT,Example!$G60,'Resource Demand - Activity'!EF:EF)</f>
        <v>0</v>
      </c>
      <c r="EL60" s="35">
        <f>SUMIF('Resource Demand - Activity'!$FT:$FT,Example!$G60,'Resource Demand - Activity'!EG:EG)</f>
        <v>0</v>
      </c>
      <c r="EM60" s="35">
        <f>SUMIF('Resource Demand - Activity'!$FT:$FT,Example!$G60,'Resource Demand - Activity'!EH:EH)</f>
        <v>0</v>
      </c>
      <c r="EN60" s="35">
        <f>SUMIF('Resource Demand - Activity'!$FT:$FT,Example!$G60,'Resource Demand - Activity'!EI:EI)</f>
        <v>0</v>
      </c>
      <c r="EO60" s="35">
        <f>SUMIF('Resource Demand - Activity'!$FT:$FT,Example!$G60,'Resource Demand - Activity'!EJ:EJ)</f>
        <v>0</v>
      </c>
      <c r="EP60" s="35">
        <f>SUMIF('Resource Demand - Activity'!$FT:$FT,Example!$G60,'Resource Demand - Activity'!EK:EK)</f>
        <v>0</v>
      </c>
      <c r="EQ60" s="35">
        <f>SUMIF('Resource Demand - Activity'!$FT:$FT,Example!$G60,'Resource Demand - Activity'!EL:EL)</f>
        <v>0</v>
      </c>
      <c r="ER60" s="35">
        <f>SUMIF('Resource Demand - Activity'!$FT:$FT,Example!$G60,'Resource Demand - Activity'!EM:EM)</f>
        <v>0</v>
      </c>
      <c r="ES60" s="35">
        <f>SUMIF('Resource Demand - Activity'!$FT:$FT,Example!$G60,'Resource Demand - Activity'!EN:EN)</f>
        <v>0</v>
      </c>
      <c r="ET60" s="35">
        <f>SUMIF('Resource Demand - Activity'!$FT:$FT,Example!$G60,'Resource Demand - Activity'!EO:EO)</f>
        <v>0</v>
      </c>
      <c r="EU60" s="35">
        <f>SUMIF('Resource Demand - Activity'!$FT:$FT,Example!$G60,'Resource Demand - Activity'!EP:EP)</f>
        <v>0</v>
      </c>
      <c r="EV60" s="35">
        <f>SUMIF('Resource Demand - Activity'!$FT:$FT,Example!$G60,'Resource Demand - Activity'!EQ:EQ)</f>
        <v>0</v>
      </c>
      <c r="EW60" s="35">
        <f>SUMIF('Resource Demand - Activity'!$FT:$FT,Example!$G60,'Resource Demand - Activity'!ER:ER)</f>
        <v>0</v>
      </c>
      <c r="EX60" s="35">
        <f>SUMIF('Resource Demand - Activity'!$FT:$FT,Example!$G60,'Resource Demand - Activity'!ES:ES)</f>
        <v>0</v>
      </c>
      <c r="EY60" s="35">
        <f>SUMIF('Resource Demand - Activity'!$FT:$FT,Example!$G60,'Resource Demand - Activity'!ET:ET)</f>
        <v>0</v>
      </c>
      <c r="EZ60" s="35">
        <f>SUMIF('Resource Demand - Activity'!$FT:$FT,Example!$G60,'Resource Demand - Activity'!EU:EU)</f>
        <v>0</v>
      </c>
      <c r="FA60" s="35">
        <f>SUMIF('Resource Demand - Activity'!$FT:$FT,Example!$G60,'Resource Demand - Activity'!EV:EV)</f>
        <v>0</v>
      </c>
      <c r="FB60" s="35">
        <f>SUMIF('Resource Demand - Activity'!$FT:$FT,Example!$G60,'Resource Demand - Activity'!EW:EW)</f>
        <v>0</v>
      </c>
      <c r="FC60" s="35">
        <f>SUMIF('Resource Demand - Activity'!$FT:$FT,Example!$G60,'Resource Demand - Activity'!EX:EX)</f>
        <v>0</v>
      </c>
      <c r="FD60" s="36">
        <f>SUMIF('Resource Demand - Activity'!$FT:$FT,Example!$G60,'Resource Demand - Activity'!EY:EY)</f>
        <v>0</v>
      </c>
      <c r="FE60" s="35">
        <f>SUMIF('Resource Demand - Activity'!$FT:$FT,Example!$G60,'Resource Demand - Activity'!EZ:EZ)</f>
        <v>0</v>
      </c>
      <c r="FF60" s="35">
        <f>SUMIF('Resource Demand - Activity'!$FT:$FT,Example!$G60,'Resource Demand - Activity'!FA:FA)</f>
        <v>0</v>
      </c>
      <c r="FG60" s="35">
        <f>SUMIF('Resource Demand - Activity'!$FT:$FT,Example!$G60,'Resource Demand - Activity'!FB:FB)</f>
        <v>0</v>
      </c>
      <c r="FH60" s="35">
        <f>SUMIF('Resource Demand - Activity'!$FT:$FT,Example!$G60,'Resource Demand - Activity'!FC:FC)</f>
        <v>0</v>
      </c>
      <c r="FI60" s="35">
        <f>SUMIF('Resource Demand - Activity'!$FT:$FT,Example!$G60,'Resource Demand - Activity'!FD:FD)</f>
        <v>0</v>
      </c>
      <c r="FJ60" s="35">
        <f>SUMIF('Resource Demand - Activity'!$FT:$FT,Example!$G60,'Resource Demand - Activity'!FE:FE)</f>
        <v>0</v>
      </c>
      <c r="FK60" s="35">
        <f>SUMIF('Resource Demand - Activity'!$FT:$FT,Example!$G60,'Resource Demand - Activity'!FF:FF)</f>
        <v>0</v>
      </c>
      <c r="FL60" s="35">
        <f>SUMIF('Resource Demand - Activity'!$FT:$FT,Example!$G60,'Resource Demand - Activity'!FG:FG)</f>
        <v>0</v>
      </c>
      <c r="FM60" s="35">
        <f>SUMIF('Resource Demand - Activity'!$FT:$FT,Example!$G60,'Resource Demand - Activity'!FH:FH)</f>
        <v>0</v>
      </c>
      <c r="FN60" s="35">
        <f>SUMIF('Resource Demand - Activity'!$FT:$FT,Example!$G60,'Resource Demand - Activity'!FI:FI)</f>
        <v>0</v>
      </c>
      <c r="FO60" s="35">
        <f>SUMIF('Resource Demand - Activity'!$FT:$FT,Example!$G60,'Resource Demand - Activity'!FJ:FJ)</f>
        <v>0</v>
      </c>
      <c r="FP60" s="35">
        <f>SUMIF('Resource Demand - Activity'!$FT:$FT,Example!$G60,'Resource Demand - Activity'!FK:FK)</f>
        <v>0</v>
      </c>
      <c r="FQ60" s="35">
        <f>SUMIF('Resource Demand - Activity'!$FT:$FT,Example!$G60,'Resource Demand - Activity'!FL:FL)</f>
        <v>0</v>
      </c>
      <c r="FR60" s="35">
        <f>SUMIF('Resource Demand - Activity'!$FT:$FT,Example!$G60,'Resource Demand - Activity'!FM:FM)</f>
        <v>0</v>
      </c>
      <c r="FS60" s="35">
        <f>SUMIF('Resource Demand - Activity'!$FT:$FT,Example!$G60,'Resource Demand - Activity'!FN:FN)</f>
        <v>0</v>
      </c>
      <c r="FT60" s="35">
        <f>SUMIF('Resource Demand - Activity'!$FT:$FT,Example!$G60,'Resource Demand - Activity'!FO:FO)</f>
        <v>0</v>
      </c>
      <c r="FU60" s="35">
        <f>SUMIF('Resource Demand - Activity'!$FT:$FT,Example!$G60,'Resource Demand - Activity'!FP:FP)</f>
        <v>0</v>
      </c>
      <c r="FV60" s="52">
        <f>SUMIF('Resource Demand - Activity'!$FT:$FT,Example!$G60,'Resource Demand - Activity'!FQ:FQ)</f>
        <v>0</v>
      </c>
    </row>
    <row r="61" spans="2:178" s="63" customFormat="1" ht="12" customHeight="1">
      <c r="B61" s="1"/>
      <c r="G61" s="64" t="str">
        <f t="shared" ref="G61:G75" si="11">H61&amp;$H$58</f>
        <v>2. Quarterly Reporting (QRTs)  2.1 PreparationJunior Accountant</v>
      </c>
      <c r="H61" s="59" t="s">
        <v>160</v>
      </c>
      <c r="I61" s="59" t="str">
        <f>INDEX('Resource Demand - Activity'!C:C,MATCH(Example!G61,'Resource Demand - Activity'!FT:FT,0))</f>
        <v>6 days</v>
      </c>
      <c r="J61" s="51">
        <f>SUMIF('Resource Demand - Activity'!$FT:$FT,Example!$G61,'Resource Demand - Activity'!E:E)</f>
        <v>0</v>
      </c>
      <c r="K61" s="35">
        <f>SUMIF('Resource Demand - Activity'!$FT:$FT,Example!$G61,'Resource Demand - Activity'!F:F)</f>
        <v>0</v>
      </c>
      <c r="L61" s="35">
        <f>SUMIF('Resource Demand - Activity'!$FT:$FT,Example!$G61,'Resource Demand - Activity'!G:G)</f>
        <v>0</v>
      </c>
      <c r="M61" s="35">
        <f>SUMIF('Resource Demand - Activity'!$FT:$FT,Example!$G61,'Resource Demand - Activity'!H:H)</f>
        <v>0</v>
      </c>
      <c r="N61" s="35">
        <f>SUMIF('Resource Demand - Activity'!$FT:$FT,Example!$G61,'Resource Demand - Activity'!I:I)</f>
        <v>0</v>
      </c>
      <c r="O61" s="35">
        <f>SUMIF('Resource Demand - Activity'!$FT:$FT,Example!$G61,'Resource Demand - Activity'!J:J)</f>
        <v>0</v>
      </c>
      <c r="P61" s="35">
        <f>SUMIF('Resource Demand - Activity'!$FT:$FT,Example!$G61,'Resource Demand - Activity'!K:K)</f>
        <v>0</v>
      </c>
      <c r="Q61" s="35">
        <f>SUMIF('Resource Demand - Activity'!$FT:$FT,Example!$G61,'Resource Demand - Activity'!L:L)</f>
        <v>0</v>
      </c>
      <c r="R61" s="35">
        <f>SUMIF('Resource Demand - Activity'!$FT:$FT,Example!$G61,'Resource Demand - Activity'!M:M)</f>
        <v>0</v>
      </c>
      <c r="S61" s="35">
        <f>SUMIF('Resource Demand - Activity'!$FT:$FT,Example!$G61,'Resource Demand - Activity'!N:N)</f>
        <v>0</v>
      </c>
      <c r="T61" s="35">
        <f>SUMIF('Resource Demand - Activity'!$FT:$FT,Example!$G61,'Resource Demand - Activity'!O:O)</f>
        <v>0</v>
      </c>
      <c r="U61" s="35">
        <f>SUMIF('Resource Demand - Activity'!$FT:$FT,Example!$G61,'Resource Demand - Activity'!P:P)</f>
        <v>0</v>
      </c>
      <c r="V61" s="35">
        <f>SUMIF('Resource Demand - Activity'!$FT:$FT,Example!$G61,'Resource Demand - Activity'!Q:Q)</f>
        <v>0</v>
      </c>
      <c r="W61" s="35">
        <f>SUMIF('Resource Demand - Activity'!$FT:$FT,Example!$G61,'Resource Demand - Activity'!R:R)</f>
        <v>0</v>
      </c>
      <c r="X61" s="35">
        <f>SUMIF('Resource Demand - Activity'!$FT:$FT,Example!$G61,'Resource Demand - Activity'!S:S)</f>
        <v>0</v>
      </c>
      <c r="Y61" s="35">
        <f>SUMIF('Resource Demand - Activity'!$FT:$FT,Example!$G61,'Resource Demand - Activity'!T:T)</f>
        <v>0</v>
      </c>
      <c r="Z61" s="35">
        <f>SUMIF('Resource Demand - Activity'!$FT:$FT,Example!$G61,'Resource Demand - Activity'!U:U)</f>
        <v>0</v>
      </c>
      <c r="AA61" s="35">
        <f>SUMIF('Resource Demand - Activity'!$FT:$FT,Example!$G61,'Resource Demand - Activity'!V:V)</f>
        <v>0</v>
      </c>
      <c r="AB61" s="35">
        <f>SUMIF('Resource Demand - Activity'!$FT:$FT,Example!$G61,'Resource Demand - Activity'!W:W)</f>
        <v>0</v>
      </c>
      <c r="AC61" s="35">
        <f>SUMIF('Resource Demand - Activity'!$FT:$FT,Example!$G61,'Resource Demand - Activity'!X:X)</f>
        <v>0</v>
      </c>
      <c r="AD61" s="35">
        <f>SUMIF('Resource Demand - Activity'!$FT:$FT,Example!$G61,'Resource Demand - Activity'!Y:Y)</f>
        <v>0</v>
      </c>
      <c r="AE61" s="35">
        <f>SUMIF('Resource Demand - Activity'!$FT:$FT,Example!$G61,'Resource Demand - Activity'!Z:Z)</f>
        <v>0</v>
      </c>
      <c r="AF61" s="35">
        <f>SUMIF('Resource Demand - Activity'!$FT:$FT,Example!$G61,'Resource Demand - Activity'!AA:AA)</f>
        <v>0</v>
      </c>
      <c r="AG61" s="35">
        <f>SUMIF('Resource Demand - Activity'!$FT:$FT,Example!$G61,'Resource Demand - Activity'!AB:AB)</f>
        <v>0</v>
      </c>
      <c r="AH61" s="35">
        <f>SUMIF('Resource Demand - Activity'!$FT:$FT,Example!$G61,'Resource Demand - Activity'!AC:AC)</f>
        <v>0</v>
      </c>
      <c r="AI61" s="35">
        <f>SUMIF('Resource Demand - Activity'!$FT:$FT,Example!$G61,'Resource Demand - Activity'!AD:AD)</f>
        <v>0</v>
      </c>
      <c r="AJ61" s="35">
        <f>SUMIF('Resource Demand - Activity'!$FT:$FT,Example!$G61,'Resource Demand - Activity'!AE:AE)</f>
        <v>0</v>
      </c>
      <c r="AK61" s="35">
        <f>SUMIF('Resource Demand - Activity'!$FT:$FT,Example!$G61,'Resource Demand - Activity'!AF:AF)</f>
        <v>0</v>
      </c>
      <c r="AL61" s="35">
        <f>SUMIF('Resource Demand - Activity'!$FT:$FT,Example!$G61,'Resource Demand - Activity'!AG:AG)</f>
        <v>0</v>
      </c>
      <c r="AM61" s="35">
        <f>SUMIF('Resource Demand - Activity'!$FT:$FT,Example!$G61,'Resource Demand - Activity'!AH:AH)</f>
        <v>0</v>
      </c>
      <c r="AN61" s="35">
        <f>SUMIF('Resource Demand - Activity'!$FT:$FT,Example!$G61,'Resource Demand - Activity'!AI:AI)</f>
        <v>0</v>
      </c>
      <c r="AO61" s="35">
        <f>SUMIF('Resource Demand - Activity'!$FT:$FT,Example!$G61,'Resource Demand - Activity'!AJ:AJ)</f>
        <v>0</v>
      </c>
      <c r="AP61" s="35">
        <f>SUMIF('Resource Demand - Activity'!$FT:$FT,Example!$G61,'Resource Demand - Activity'!AK:AK)</f>
        <v>0</v>
      </c>
      <c r="AQ61" s="36">
        <f>SUMIF('Resource Demand - Activity'!$FT:$FT,Example!$G61,'Resource Demand - Activity'!AL:AL)</f>
        <v>0</v>
      </c>
      <c r="AR61" s="36">
        <f>SUMIF('Resource Demand - Activity'!$FT:$FT,Example!$G61,'Resource Demand - Activity'!AM:AM)</f>
        <v>0</v>
      </c>
      <c r="AS61" s="36">
        <f>SUMIF('Resource Demand - Activity'!$FT:$FT,Example!$G61,'Resource Demand - Activity'!AN:AN)</f>
        <v>0</v>
      </c>
      <c r="AT61" s="36">
        <f>SUMIF('Resource Demand - Activity'!$FT:$FT,Example!$G61,'Resource Demand - Activity'!AO:AO)</f>
        <v>0</v>
      </c>
      <c r="AU61" s="36">
        <f>SUMIF('Resource Demand - Activity'!$FT:$FT,Example!$G61,'Resource Demand - Activity'!AP:AP)</f>
        <v>0</v>
      </c>
      <c r="AV61" s="36">
        <f>SUMIF('Resource Demand - Activity'!$FT:$FT,Example!$G61,'Resource Demand - Activity'!AQ:AQ)</f>
        <v>0</v>
      </c>
      <c r="AW61" s="36">
        <f>SUMIF('Resource Demand - Activity'!$FT:$FT,Example!$G61,'Resource Demand - Activity'!AR:AR)</f>
        <v>0</v>
      </c>
      <c r="AX61" s="35">
        <f>SUMIF('Resource Demand - Activity'!$FT:$FT,Example!$G61,'Resource Demand - Activity'!AS:AS)</f>
        <v>0</v>
      </c>
      <c r="AY61" s="35">
        <f>SUMIF('Resource Demand - Activity'!$FT:$FT,Example!$G61,'Resource Demand - Activity'!AT:AT)</f>
        <v>0</v>
      </c>
      <c r="AZ61" s="35">
        <f>SUMIF('Resource Demand - Activity'!$FT:$FT,Example!$G61,'Resource Demand - Activity'!AU:AU)</f>
        <v>0</v>
      </c>
      <c r="BA61" s="35">
        <f>SUMIF('Resource Demand - Activity'!$FT:$FT,Example!$G61,'Resource Demand - Activity'!AV:AV)</f>
        <v>0</v>
      </c>
      <c r="BB61" s="35">
        <f>SUMIF('Resource Demand - Activity'!$FT:$FT,Example!$G61,'Resource Demand - Activity'!AW:AW)</f>
        <v>0</v>
      </c>
      <c r="BC61" s="35">
        <f>SUMIF('Resource Demand - Activity'!$FT:$FT,Example!$G61,'Resource Demand - Activity'!AX:AX)</f>
        <v>0</v>
      </c>
      <c r="BD61" s="35">
        <f>SUMIF('Resource Demand - Activity'!$FT:$FT,Example!$G61,'Resource Demand - Activity'!AY:AY)</f>
        <v>0</v>
      </c>
      <c r="BE61" s="35">
        <f>SUMIF('Resource Demand - Activity'!$FT:$FT,Example!$G61,'Resource Demand - Activity'!AZ:AZ)</f>
        <v>0</v>
      </c>
      <c r="BF61" s="35">
        <f>SUMIF('Resource Demand - Activity'!$FT:$FT,Example!$G61,'Resource Demand - Activity'!BA:BA)</f>
        <v>0</v>
      </c>
      <c r="BG61" s="35">
        <f>SUMIF('Resource Demand - Activity'!$FT:$FT,Example!$G61,'Resource Demand - Activity'!BB:BB)</f>
        <v>0</v>
      </c>
      <c r="BH61" s="35">
        <f>SUMIF('Resource Demand - Activity'!$FT:$FT,Example!$G61,'Resource Demand - Activity'!BC:BC)</f>
        <v>0</v>
      </c>
      <c r="BI61" s="35">
        <f>SUMIF('Resource Demand - Activity'!$FT:$FT,Example!$G61,'Resource Demand - Activity'!BD:BD)</f>
        <v>0</v>
      </c>
      <c r="BJ61" s="35">
        <f>SUMIF('Resource Demand - Activity'!$FT:$FT,Example!$G61,'Resource Demand - Activity'!BE:BE)</f>
        <v>0</v>
      </c>
      <c r="BK61" s="35">
        <f>SUMIF('Resource Demand - Activity'!$FT:$FT,Example!$G61,'Resource Demand - Activity'!BF:BF)</f>
        <v>0</v>
      </c>
      <c r="BL61" s="35">
        <f>SUMIF('Resource Demand - Activity'!$FT:$FT,Example!$G61,'Resource Demand - Activity'!BG:BG)</f>
        <v>0</v>
      </c>
      <c r="BM61" s="35">
        <f>SUMIF('Resource Demand - Activity'!$FT:$FT,Example!$G61,'Resource Demand - Activity'!BH:BH)</f>
        <v>0</v>
      </c>
      <c r="BN61" s="35">
        <f>SUMIF('Resource Demand - Activity'!$FT:$FT,Example!$G61,'Resource Demand - Activity'!BI:BI)</f>
        <v>0</v>
      </c>
      <c r="BO61" s="35">
        <f>SUMIF('Resource Demand - Activity'!$FT:$FT,Example!$G61,'Resource Demand - Activity'!BJ:BJ)</f>
        <v>0</v>
      </c>
      <c r="BP61" s="35">
        <f>SUMIF('Resource Demand - Activity'!$FT:$FT,Example!$G61,'Resource Demand - Activity'!BK:BK)</f>
        <v>0</v>
      </c>
      <c r="BQ61" s="35">
        <f>SUMIF('Resource Demand - Activity'!$FT:$FT,Example!$G61,'Resource Demand - Activity'!BL:BL)</f>
        <v>0</v>
      </c>
      <c r="BR61" s="35">
        <f>SUMIF('Resource Demand - Activity'!$FT:$FT,Example!$G61,'Resource Demand - Activity'!BM:BM)</f>
        <v>0</v>
      </c>
      <c r="BS61" s="35">
        <f>SUMIF('Resource Demand - Activity'!$FT:$FT,Example!$G61,'Resource Demand - Activity'!BN:BN)</f>
        <v>0</v>
      </c>
      <c r="BT61" s="35">
        <f>SUMIF('Resource Demand - Activity'!$FT:$FT,Example!$G61,'Resource Demand - Activity'!BO:BO)</f>
        <v>0</v>
      </c>
      <c r="BU61" s="35">
        <f>SUMIF('Resource Demand - Activity'!$FT:$FT,Example!$G61,'Resource Demand - Activity'!BP:BP)</f>
        <v>0</v>
      </c>
      <c r="BV61" s="35">
        <f>SUMIF('Resource Demand - Activity'!$FT:$FT,Example!$G61,'Resource Demand - Activity'!BQ:BQ)</f>
        <v>0</v>
      </c>
      <c r="BW61" s="35">
        <f>SUMIF('Resource Demand - Activity'!$FT:$FT,Example!$G61,'Resource Demand - Activity'!BR:BR)</f>
        <v>0</v>
      </c>
      <c r="BX61" s="35">
        <f>SUMIF('Resource Demand - Activity'!$FT:$FT,Example!$G61,'Resource Demand - Activity'!BS:BS)</f>
        <v>0</v>
      </c>
      <c r="BY61" s="35">
        <f>SUMIF('Resource Demand - Activity'!$FT:$FT,Example!$G61,'Resource Demand - Activity'!BT:BT)</f>
        <v>0</v>
      </c>
      <c r="BZ61" s="35">
        <f>SUMIF('Resource Demand - Activity'!$FT:$FT,Example!$G61,'Resource Demand - Activity'!BU:BU)</f>
        <v>0</v>
      </c>
      <c r="CA61" s="35">
        <f>SUMIF('Resource Demand - Activity'!$FT:$FT,Example!$G61,'Resource Demand - Activity'!BV:BV)</f>
        <v>0</v>
      </c>
      <c r="CB61" s="35">
        <f>SUMIF('Resource Demand - Activity'!$FT:$FT,Example!$G61,'Resource Demand - Activity'!BW:BW)</f>
        <v>0</v>
      </c>
      <c r="CC61" s="35">
        <f>SUMIF('Resource Demand - Activity'!$FT:$FT,Example!$G61,'Resource Demand - Activity'!BX:BX)</f>
        <v>0</v>
      </c>
      <c r="CD61" s="35">
        <f>SUMIF('Resource Demand - Activity'!$FT:$FT,Example!$G61,'Resource Demand - Activity'!BY:BY)</f>
        <v>0</v>
      </c>
      <c r="CE61" s="35">
        <f>SUMIF('Resource Demand - Activity'!$FT:$FT,Example!$G61,'Resource Demand - Activity'!BZ:BZ)</f>
        <v>0</v>
      </c>
      <c r="CF61" s="35">
        <f>SUMIF('Resource Demand - Activity'!$FT:$FT,Example!$G61,'Resource Demand - Activity'!CA:CA)</f>
        <v>0</v>
      </c>
      <c r="CG61" s="35">
        <f>SUMIF('Resource Demand - Activity'!$FT:$FT,Example!$G61,'Resource Demand - Activity'!CB:CB)</f>
        <v>0</v>
      </c>
      <c r="CH61" s="35">
        <f>SUMIF('Resource Demand - Activity'!$FT:$FT,Example!$G61,'Resource Demand - Activity'!CC:CC)</f>
        <v>0</v>
      </c>
      <c r="CI61" s="35">
        <f>SUMIF('Resource Demand - Activity'!$FT:$FT,Example!$G61,'Resource Demand - Activity'!CD:CD)</f>
        <v>0</v>
      </c>
      <c r="CJ61" s="35">
        <f>SUMIF('Resource Demand - Activity'!$FT:$FT,Example!$G61,'Resource Demand - Activity'!CE:CE)</f>
        <v>0</v>
      </c>
      <c r="CK61" s="35">
        <f>SUMIF('Resource Demand - Activity'!$FT:$FT,Example!$G61,'Resource Demand - Activity'!CF:CF)</f>
        <v>0</v>
      </c>
      <c r="CL61" s="35">
        <f>SUMIF('Resource Demand - Activity'!$FT:$FT,Example!$G61,'Resource Demand - Activity'!CG:CG)</f>
        <v>0</v>
      </c>
      <c r="CM61" s="35">
        <f>SUMIF('Resource Demand - Activity'!$FT:$FT,Example!$G61,'Resource Demand - Activity'!CH:CH)</f>
        <v>0</v>
      </c>
      <c r="CN61" s="35">
        <f>SUMIF('Resource Demand - Activity'!$FT:$FT,Example!$G61,'Resource Demand - Activity'!CI:CI)</f>
        <v>0</v>
      </c>
      <c r="CO61" s="35">
        <f>SUMIF('Resource Demand - Activity'!$FT:$FT,Example!$G61,'Resource Demand - Activity'!CJ:CJ)</f>
        <v>0</v>
      </c>
      <c r="CP61" s="35">
        <f>SUMIF('Resource Demand - Activity'!$FT:$FT,Example!$G61,'Resource Demand - Activity'!CK:CK)</f>
        <v>0</v>
      </c>
      <c r="CQ61" s="35">
        <f>SUMIF('Resource Demand - Activity'!$FT:$FT,Example!$G61,'Resource Demand - Activity'!CL:CL)</f>
        <v>0</v>
      </c>
      <c r="CR61" s="35">
        <f>SUMIF('Resource Demand - Activity'!$FT:$FT,Example!$G61,'Resource Demand - Activity'!CM:CM)</f>
        <v>0</v>
      </c>
      <c r="CS61" s="35">
        <f>SUMIF('Resource Demand - Activity'!$FT:$FT,Example!$G61,'Resource Demand - Activity'!CN:CN)</f>
        <v>0</v>
      </c>
      <c r="CT61" s="35">
        <f>SUMIF('Resource Demand - Activity'!$FT:$FT,Example!$G61,'Resource Demand - Activity'!CO:CO)</f>
        <v>0</v>
      </c>
      <c r="CU61" s="35">
        <f>SUMIF('Resource Demand - Activity'!$FT:$FT,Example!$G61,'Resource Demand - Activity'!CP:CP)</f>
        <v>0</v>
      </c>
      <c r="CV61" s="35">
        <f>SUMIF('Resource Demand - Activity'!$FT:$FT,Example!$G61,'Resource Demand - Activity'!CQ:CQ)</f>
        <v>0</v>
      </c>
      <c r="CW61" s="35">
        <f>SUMIF('Resource Demand - Activity'!$FT:$FT,Example!$G61,'Resource Demand - Activity'!CR:CR)</f>
        <v>0</v>
      </c>
      <c r="CX61" s="35">
        <f>SUMIF('Resource Demand - Activity'!$FT:$FT,Example!$G61,'Resource Demand - Activity'!CS:CS)</f>
        <v>0</v>
      </c>
      <c r="CY61" s="36">
        <f>SUMIF('Resource Demand - Activity'!$FT:$FT,Example!$G61,'Resource Demand - Activity'!CT:CT)</f>
        <v>0</v>
      </c>
      <c r="CZ61" s="35">
        <f>SUMIF('Resource Demand - Activity'!$FT:$FT,Example!$G61,'Resource Demand - Activity'!CU:CU)</f>
        <v>0</v>
      </c>
      <c r="DA61" s="35">
        <f>SUMIF('Resource Demand - Activity'!$FT:$FT,Example!$G61,'Resource Demand - Activity'!CV:CV)</f>
        <v>0</v>
      </c>
      <c r="DB61" s="35">
        <f>SUMIF('Resource Demand - Activity'!$FT:$FT,Example!$G61,'Resource Demand - Activity'!CW:CW)</f>
        <v>0</v>
      </c>
      <c r="DC61" s="35">
        <f>SUMIF('Resource Demand - Activity'!$FT:$FT,Example!$G61,'Resource Demand - Activity'!CX:CX)</f>
        <v>0</v>
      </c>
      <c r="DD61" s="35">
        <f>SUMIF('Resource Demand - Activity'!$FT:$FT,Example!$G61,'Resource Demand - Activity'!CY:CY)</f>
        <v>0</v>
      </c>
      <c r="DE61" s="36">
        <f>SUMIF('Resource Demand - Activity'!$FT:$FT,Example!$G61,'Resource Demand - Activity'!CZ:CZ)</f>
        <v>0</v>
      </c>
      <c r="DF61" s="36">
        <f>SUMIF('Resource Demand - Activity'!$FT:$FT,Example!$G61,'Resource Demand - Activity'!DA:DA)</f>
        <v>0</v>
      </c>
      <c r="DG61" s="35">
        <f>SUMIF('Resource Demand - Activity'!$FT:$FT,Example!$G61,'Resource Demand - Activity'!DB:DB)</f>
        <v>0</v>
      </c>
      <c r="DH61" s="35">
        <f>SUMIF('Resource Demand - Activity'!$FT:$FT,Example!$G61,'Resource Demand - Activity'!DC:DC)</f>
        <v>0</v>
      </c>
      <c r="DI61" s="35">
        <f>SUMIF('Resource Demand - Activity'!$FT:$FT,Example!$G61,'Resource Demand - Activity'!DD:DD)</f>
        <v>0</v>
      </c>
      <c r="DJ61" s="35">
        <f>SUMIF('Resource Demand - Activity'!$FT:$FT,Example!$G61,'Resource Demand - Activity'!DE:DE)</f>
        <v>0</v>
      </c>
      <c r="DK61" s="35">
        <f>SUMIF('Resource Demand - Activity'!$FT:$FT,Example!$G61,'Resource Demand - Activity'!DF:DF)</f>
        <v>0</v>
      </c>
      <c r="DL61" s="35">
        <f>SUMIF('Resource Demand - Activity'!$FT:$FT,Example!$G61,'Resource Demand - Activity'!DG:DG)</f>
        <v>0</v>
      </c>
      <c r="DM61" s="35">
        <f>SUMIF('Resource Demand - Activity'!$FT:$FT,Example!$G61,'Resource Demand - Activity'!DH:DH)</f>
        <v>0</v>
      </c>
      <c r="DN61" s="35">
        <f>SUMIF('Resource Demand - Activity'!$FT:$FT,Example!$G61,'Resource Demand - Activity'!DI:DI)</f>
        <v>0</v>
      </c>
      <c r="DO61" s="35">
        <f>SUMIF('Resource Demand - Activity'!$FT:$FT,Example!$G61,'Resource Demand - Activity'!DJ:DJ)</f>
        <v>0</v>
      </c>
      <c r="DP61" s="35">
        <f>SUMIF('Resource Demand - Activity'!$FT:$FT,Example!$G61,'Resource Demand - Activity'!DK:DK)</f>
        <v>1</v>
      </c>
      <c r="DQ61" s="35">
        <f>SUMIF('Resource Demand - Activity'!$FT:$FT,Example!$G61,'Resource Demand - Activity'!DL:DL)</f>
        <v>1</v>
      </c>
      <c r="DR61" s="35">
        <f>SUMIF('Resource Demand - Activity'!$FT:$FT,Example!$G61,'Resource Demand - Activity'!DM:DM)</f>
        <v>1</v>
      </c>
      <c r="DS61" s="35">
        <f>SUMIF('Resource Demand - Activity'!$FT:$FT,Example!$G61,'Resource Demand - Activity'!DN:DN)</f>
        <v>1</v>
      </c>
      <c r="DT61" s="35">
        <f>SUMIF('Resource Demand - Activity'!$FT:$FT,Example!$G61,'Resource Demand - Activity'!DO:DO)</f>
        <v>1</v>
      </c>
      <c r="DU61" s="35">
        <f>SUMIF('Resource Demand - Activity'!$FT:$FT,Example!$G61,'Resource Demand - Activity'!DP:DP)</f>
        <v>1</v>
      </c>
      <c r="DV61" s="35">
        <f>SUMIF('Resource Demand - Activity'!$FT:$FT,Example!$G61,'Resource Demand - Activity'!DQ:DQ)</f>
        <v>0</v>
      </c>
      <c r="DW61" s="35">
        <f>SUMIF('Resource Demand - Activity'!$FT:$FT,Example!$G61,'Resource Demand - Activity'!DR:DR)</f>
        <v>0</v>
      </c>
      <c r="DX61" s="35">
        <f>SUMIF('Resource Demand - Activity'!$FT:$FT,Example!$G61,'Resource Demand - Activity'!DS:DS)</f>
        <v>0</v>
      </c>
      <c r="DY61" s="35">
        <f>SUMIF('Resource Demand - Activity'!$FT:$FT,Example!$G61,'Resource Demand - Activity'!DT:DT)</f>
        <v>0</v>
      </c>
      <c r="DZ61" s="35">
        <f>SUMIF('Resource Demand - Activity'!$FT:$FT,Example!$G61,'Resource Demand - Activity'!DU:DU)</f>
        <v>0</v>
      </c>
      <c r="EA61" s="35">
        <f>SUMIF('Resource Demand - Activity'!$FT:$FT,Example!$G61,'Resource Demand - Activity'!DV:DV)</f>
        <v>0</v>
      </c>
      <c r="EB61" s="35">
        <f>SUMIF('Resource Demand - Activity'!$FT:$FT,Example!$G61,'Resource Demand - Activity'!DW:DW)</f>
        <v>0</v>
      </c>
      <c r="EC61" s="35">
        <f>SUMIF('Resource Demand - Activity'!$FT:$FT,Example!$G61,'Resource Demand - Activity'!DX:DX)</f>
        <v>0</v>
      </c>
      <c r="ED61" s="35">
        <f>SUMIF('Resource Demand - Activity'!$FT:$FT,Example!$G61,'Resource Demand - Activity'!DY:DY)</f>
        <v>0</v>
      </c>
      <c r="EE61" s="36">
        <f>SUMIF('Resource Demand - Activity'!$FT:$FT,Example!$G61,'Resource Demand - Activity'!DZ:DZ)</f>
        <v>0</v>
      </c>
      <c r="EF61" s="35">
        <f>SUMIF('Resource Demand - Activity'!$FT:$FT,Example!$G61,'Resource Demand - Activity'!EA:EA)</f>
        <v>0</v>
      </c>
      <c r="EG61" s="35">
        <f>SUMIF('Resource Demand - Activity'!$FT:$FT,Example!$G61,'Resource Demand - Activity'!EB:EB)</f>
        <v>0</v>
      </c>
      <c r="EH61" s="35">
        <f>SUMIF('Resource Demand - Activity'!$FT:$FT,Example!$G61,'Resource Demand - Activity'!EC:EC)</f>
        <v>0</v>
      </c>
      <c r="EI61" s="35">
        <f>SUMIF('Resource Demand - Activity'!$FT:$FT,Example!$G61,'Resource Demand - Activity'!ED:ED)</f>
        <v>0</v>
      </c>
      <c r="EJ61" s="35">
        <f>SUMIF('Resource Demand - Activity'!$FT:$FT,Example!$G61,'Resource Demand - Activity'!EE:EE)</f>
        <v>0</v>
      </c>
      <c r="EK61" s="35">
        <f>SUMIF('Resource Demand - Activity'!$FT:$FT,Example!$G61,'Resource Demand - Activity'!EF:EF)</f>
        <v>0</v>
      </c>
      <c r="EL61" s="35">
        <f>SUMIF('Resource Demand - Activity'!$FT:$FT,Example!$G61,'Resource Demand - Activity'!EG:EG)</f>
        <v>0</v>
      </c>
      <c r="EM61" s="35">
        <f>SUMIF('Resource Demand - Activity'!$FT:$FT,Example!$G61,'Resource Demand - Activity'!EH:EH)</f>
        <v>0</v>
      </c>
      <c r="EN61" s="35">
        <f>SUMIF('Resource Demand - Activity'!$FT:$FT,Example!$G61,'Resource Demand - Activity'!EI:EI)</f>
        <v>0</v>
      </c>
      <c r="EO61" s="35">
        <f>SUMIF('Resource Demand - Activity'!$FT:$FT,Example!$G61,'Resource Demand - Activity'!EJ:EJ)</f>
        <v>0</v>
      </c>
      <c r="EP61" s="35">
        <f>SUMIF('Resource Demand - Activity'!$FT:$FT,Example!$G61,'Resource Demand - Activity'!EK:EK)</f>
        <v>0</v>
      </c>
      <c r="EQ61" s="35">
        <f>SUMIF('Resource Demand - Activity'!$FT:$FT,Example!$G61,'Resource Demand - Activity'!EL:EL)</f>
        <v>0</v>
      </c>
      <c r="ER61" s="35">
        <f>SUMIF('Resource Demand - Activity'!$FT:$FT,Example!$G61,'Resource Demand - Activity'!EM:EM)</f>
        <v>0</v>
      </c>
      <c r="ES61" s="35">
        <f>SUMIF('Resource Demand - Activity'!$FT:$FT,Example!$G61,'Resource Demand - Activity'!EN:EN)</f>
        <v>0</v>
      </c>
      <c r="ET61" s="35">
        <f>SUMIF('Resource Demand - Activity'!$FT:$FT,Example!$G61,'Resource Demand - Activity'!EO:EO)</f>
        <v>0</v>
      </c>
      <c r="EU61" s="35">
        <f>SUMIF('Resource Demand - Activity'!$FT:$FT,Example!$G61,'Resource Demand - Activity'!EP:EP)</f>
        <v>0</v>
      </c>
      <c r="EV61" s="35">
        <f>SUMIF('Resource Demand - Activity'!$FT:$FT,Example!$G61,'Resource Demand - Activity'!EQ:EQ)</f>
        <v>0</v>
      </c>
      <c r="EW61" s="35">
        <f>SUMIF('Resource Demand - Activity'!$FT:$FT,Example!$G61,'Resource Demand - Activity'!ER:ER)</f>
        <v>0</v>
      </c>
      <c r="EX61" s="35">
        <f>SUMIF('Resource Demand - Activity'!$FT:$FT,Example!$G61,'Resource Demand - Activity'!ES:ES)</f>
        <v>0</v>
      </c>
      <c r="EY61" s="35">
        <f>SUMIF('Resource Demand - Activity'!$FT:$FT,Example!$G61,'Resource Demand - Activity'!ET:ET)</f>
        <v>0</v>
      </c>
      <c r="EZ61" s="35">
        <f>SUMIF('Resource Demand - Activity'!$FT:$FT,Example!$G61,'Resource Demand - Activity'!EU:EU)</f>
        <v>0</v>
      </c>
      <c r="FA61" s="35">
        <f>SUMIF('Resource Demand - Activity'!$FT:$FT,Example!$G61,'Resource Demand - Activity'!EV:EV)</f>
        <v>0</v>
      </c>
      <c r="FB61" s="35">
        <f>SUMIF('Resource Demand - Activity'!$FT:$FT,Example!$G61,'Resource Demand - Activity'!EW:EW)</f>
        <v>0</v>
      </c>
      <c r="FC61" s="35">
        <f>SUMIF('Resource Demand - Activity'!$FT:$FT,Example!$G61,'Resource Demand - Activity'!EX:EX)</f>
        <v>0</v>
      </c>
      <c r="FD61" s="36">
        <f>SUMIF('Resource Demand - Activity'!$FT:$FT,Example!$G61,'Resource Demand - Activity'!EY:EY)</f>
        <v>0</v>
      </c>
      <c r="FE61" s="35">
        <f>SUMIF('Resource Demand - Activity'!$FT:$FT,Example!$G61,'Resource Demand - Activity'!EZ:EZ)</f>
        <v>0</v>
      </c>
      <c r="FF61" s="35">
        <f>SUMIF('Resource Demand - Activity'!$FT:$FT,Example!$G61,'Resource Demand - Activity'!FA:FA)</f>
        <v>0</v>
      </c>
      <c r="FG61" s="35">
        <f>SUMIF('Resource Demand - Activity'!$FT:$FT,Example!$G61,'Resource Demand - Activity'!FB:FB)</f>
        <v>0</v>
      </c>
      <c r="FH61" s="35">
        <f>SUMIF('Resource Demand - Activity'!$FT:$FT,Example!$G61,'Resource Demand - Activity'!FC:FC)</f>
        <v>0</v>
      </c>
      <c r="FI61" s="35">
        <f>SUMIF('Resource Demand - Activity'!$FT:$FT,Example!$G61,'Resource Demand - Activity'!FD:FD)</f>
        <v>0</v>
      </c>
      <c r="FJ61" s="35">
        <f>SUMIF('Resource Demand - Activity'!$FT:$FT,Example!$G61,'Resource Demand - Activity'!FE:FE)</f>
        <v>0</v>
      </c>
      <c r="FK61" s="35">
        <f>SUMIF('Resource Demand - Activity'!$FT:$FT,Example!$G61,'Resource Demand - Activity'!FF:FF)</f>
        <v>0</v>
      </c>
      <c r="FL61" s="35">
        <f>SUMIF('Resource Demand - Activity'!$FT:$FT,Example!$G61,'Resource Demand - Activity'!FG:FG)</f>
        <v>0</v>
      </c>
      <c r="FM61" s="35">
        <f>SUMIF('Resource Demand - Activity'!$FT:$FT,Example!$G61,'Resource Demand - Activity'!FH:FH)</f>
        <v>0</v>
      </c>
      <c r="FN61" s="35">
        <f>SUMIF('Resource Demand - Activity'!$FT:$FT,Example!$G61,'Resource Demand - Activity'!FI:FI)</f>
        <v>0</v>
      </c>
      <c r="FO61" s="35">
        <f>SUMIF('Resource Demand - Activity'!$FT:$FT,Example!$G61,'Resource Demand - Activity'!FJ:FJ)</f>
        <v>0</v>
      </c>
      <c r="FP61" s="35">
        <f>SUMIF('Resource Demand - Activity'!$FT:$FT,Example!$G61,'Resource Demand - Activity'!FK:FK)</f>
        <v>0</v>
      </c>
      <c r="FQ61" s="35">
        <f>SUMIF('Resource Demand - Activity'!$FT:$FT,Example!$G61,'Resource Demand - Activity'!FL:FL)</f>
        <v>0</v>
      </c>
      <c r="FR61" s="35">
        <f>SUMIF('Resource Demand - Activity'!$FT:$FT,Example!$G61,'Resource Demand - Activity'!FM:FM)</f>
        <v>0</v>
      </c>
      <c r="FS61" s="35">
        <f>SUMIF('Resource Demand - Activity'!$FT:$FT,Example!$G61,'Resource Demand - Activity'!FN:FN)</f>
        <v>0</v>
      </c>
      <c r="FT61" s="35">
        <f>SUMIF('Resource Demand - Activity'!$FT:$FT,Example!$G61,'Resource Demand - Activity'!FO:FO)</f>
        <v>0</v>
      </c>
      <c r="FU61" s="35">
        <f>SUMIF('Resource Demand - Activity'!$FT:$FT,Example!$G61,'Resource Demand - Activity'!FP:FP)</f>
        <v>0</v>
      </c>
      <c r="FV61" s="52">
        <f>SUMIF('Resource Demand - Activity'!$FT:$FT,Example!$G61,'Resource Demand - Activity'!FQ:FQ)</f>
        <v>0</v>
      </c>
    </row>
    <row r="62" spans="2:178" s="63" customFormat="1" ht="12" customHeight="1">
      <c r="B62" s="1"/>
      <c r="G62" s="64" t="str">
        <f t="shared" si="11"/>
        <v>3. Quarterly Process Documentation 3.1 PreparationJunior Accountant</v>
      </c>
      <c r="H62" s="60" t="s">
        <v>161</v>
      </c>
      <c r="I62" s="59" t="str">
        <f>INDEX('Resource Demand - Activity'!C:C,MATCH(Example!G62,'Resource Demand - Activity'!FT:FT,0))</f>
        <v>12 days</v>
      </c>
      <c r="J62" s="51">
        <f>SUMIF('Resource Demand - Activity'!$FT:$FT,Example!$G62,'Resource Demand - Activity'!E:E)</f>
        <v>0</v>
      </c>
      <c r="K62" s="35">
        <f>SUMIF('Resource Demand - Activity'!$FT:$FT,Example!$G62,'Resource Demand - Activity'!F:F)</f>
        <v>0</v>
      </c>
      <c r="L62" s="35">
        <f>SUMIF('Resource Demand - Activity'!$FT:$FT,Example!$G62,'Resource Demand - Activity'!G:G)</f>
        <v>0</v>
      </c>
      <c r="M62" s="35">
        <f>SUMIF('Resource Demand - Activity'!$FT:$FT,Example!$G62,'Resource Demand - Activity'!H:H)</f>
        <v>0</v>
      </c>
      <c r="N62" s="35">
        <f>SUMIF('Resource Demand - Activity'!$FT:$FT,Example!$G62,'Resource Demand - Activity'!I:I)</f>
        <v>0</v>
      </c>
      <c r="O62" s="35">
        <f>SUMIF('Resource Demand - Activity'!$FT:$FT,Example!$G62,'Resource Demand - Activity'!J:J)</f>
        <v>0</v>
      </c>
      <c r="P62" s="35">
        <f>SUMIF('Resource Demand - Activity'!$FT:$FT,Example!$G62,'Resource Demand - Activity'!K:K)</f>
        <v>0</v>
      </c>
      <c r="Q62" s="35">
        <f>SUMIF('Resource Demand - Activity'!$FT:$FT,Example!$G62,'Resource Demand - Activity'!L:L)</f>
        <v>0</v>
      </c>
      <c r="R62" s="35">
        <f>SUMIF('Resource Demand - Activity'!$FT:$FT,Example!$G62,'Resource Demand - Activity'!M:M)</f>
        <v>0</v>
      </c>
      <c r="S62" s="35">
        <f>SUMIF('Resource Demand - Activity'!$FT:$FT,Example!$G62,'Resource Demand - Activity'!N:N)</f>
        <v>0</v>
      </c>
      <c r="T62" s="35">
        <f>SUMIF('Resource Demand - Activity'!$FT:$FT,Example!$G62,'Resource Demand - Activity'!O:O)</f>
        <v>1</v>
      </c>
      <c r="U62" s="35">
        <f>SUMIF('Resource Demand - Activity'!$FT:$FT,Example!$G62,'Resource Demand - Activity'!P:P)</f>
        <v>0</v>
      </c>
      <c r="V62" s="35">
        <f>SUMIF('Resource Demand - Activity'!$FT:$FT,Example!$G62,'Resource Demand - Activity'!Q:Q)</f>
        <v>0</v>
      </c>
      <c r="W62" s="35">
        <f>SUMIF('Resource Demand - Activity'!$FT:$FT,Example!$G62,'Resource Demand - Activity'!R:R)</f>
        <v>0</v>
      </c>
      <c r="X62" s="35">
        <f>SUMIF('Resource Demand - Activity'!$FT:$FT,Example!$G62,'Resource Demand - Activity'!S:S)</f>
        <v>0</v>
      </c>
      <c r="Y62" s="35">
        <f>SUMIF('Resource Demand - Activity'!$FT:$FT,Example!$G62,'Resource Demand - Activity'!T:T)</f>
        <v>0</v>
      </c>
      <c r="Z62" s="35">
        <f>SUMIF('Resource Demand - Activity'!$FT:$FT,Example!$G62,'Resource Demand - Activity'!U:U)</f>
        <v>0</v>
      </c>
      <c r="AA62" s="35">
        <f>SUMIF('Resource Demand - Activity'!$FT:$FT,Example!$G62,'Resource Demand - Activity'!V:V)</f>
        <v>0</v>
      </c>
      <c r="AB62" s="35">
        <f>SUMIF('Resource Demand - Activity'!$FT:$FT,Example!$G62,'Resource Demand - Activity'!W:W)</f>
        <v>0</v>
      </c>
      <c r="AC62" s="35">
        <f>SUMIF('Resource Demand - Activity'!$FT:$FT,Example!$G62,'Resource Demand - Activity'!X:X)</f>
        <v>0</v>
      </c>
      <c r="AD62" s="35">
        <f>SUMIF('Resource Demand - Activity'!$FT:$FT,Example!$G62,'Resource Demand - Activity'!Y:Y)</f>
        <v>0</v>
      </c>
      <c r="AE62" s="35">
        <f>SUMIF('Resource Demand - Activity'!$FT:$FT,Example!$G62,'Resource Demand - Activity'!Z:Z)</f>
        <v>0</v>
      </c>
      <c r="AF62" s="35">
        <f>SUMIF('Resource Demand - Activity'!$FT:$FT,Example!$G62,'Resource Demand - Activity'!AA:AA)</f>
        <v>0</v>
      </c>
      <c r="AG62" s="35">
        <f>SUMIF('Resource Demand - Activity'!$FT:$FT,Example!$G62,'Resource Demand - Activity'!AB:AB)</f>
        <v>0</v>
      </c>
      <c r="AH62" s="35">
        <f>SUMIF('Resource Demand - Activity'!$FT:$FT,Example!$G62,'Resource Demand - Activity'!AC:AC)</f>
        <v>0</v>
      </c>
      <c r="AI62" s="35">
        <f>SUMIF('Resource Demand - Activity'!$FT:$FT,Example!$G62,'Resource Demand - Activity'!AD:AD)</f>
        <v>0</v>
      </c>
      <c r="AJ62" s="35">
        <f>SUMIF('Resource Demand - Activity'!$FT:$FT,Example!$G62,'Resource Demand - Activity'!AE:AE)</f>
        <v>0</v>
      </c>
      <c r="AK62" s="35">
        <f>SUMIF('Resource Demand - Activity'!$FT:$FT,Example!$G62,'Resource Demand - Activity'!AF:AF)</f>
        <v>0</v>
      </c>
      <c r="AL62" s="35">
        <f>SUMIF('Resource Demand - Activity'!$FT:$FT,Example!$G62,'Resource Demand - Activity'!AG:AG)</f>
        <v>0</v>
      </c>
      <c r="AM62" s="35">
        <f>SUMIF('Resource Demand - Activity'!$FT:$FT,Example!$G62,'Resource Demand - Activity'!AH:AH)</f>
        <v>0</v>
      </c>
      <c r="AN62" s="35">
        <f>SUMIF('Resource Demand - Activity'!$FT:$FT,Example!$G62,'Resource Demand - Activity'!AI:AI)</f>
        <v>0</v>
      </c>
      <c r="AO62" s="35">
        <f>SUMIF('Resource Demand - Activity'!$FT:$FT,Example!$G62,'Resource Demand - Activity'!AJ:AJ)</f>
        <v>0</v>
      </c>
      <c r="AP62" s="35">
        <f>SUMIF('Resource Demand - Activity'!$FT:$FT,Example!$G62,'Resource Demand - Activity'!AK:AK)</f>
        <v>0</v>
      </c>
      <c r="AQ62" s="36">
        <f>SUMIF('Resource Demand - Activity'!$FT:$FT,Example!$G62,'Resource Demand - Activity'!AL:AL)</f>
        <v>0</v>
      </c>
      <c r="AR62" s="36">
        <f>SUMIF('Resource Demand - Activity'!$FT:$FT,Example!$G62,'Resource Demand - Activity'!AM:AM)</f>
        <v>0</v>
      </c>
      <c r="AS62" s="36">
        <f>SUMIF('Resource Demand - Activity'!$FT:$FT,Example!$G62,'Resource Demand - Activity'!AN:AN)</f>
        <v>0</v>
      </c>
      <c r="AT62" s="36">
        <f>SUMIF('Resource Demand - Activity'!$FT:$FT,Example!$G62,'Resource Demand - Activity'!AO:AO)</f>
        <v>0</v>
      </c>
      <c r="AU62" s="36">
        <f>SUMIF('Resource Demand - Activity'!$FT:$FT,Example!$G62,'Resource Demand - Activity'!AP:AP)</f>
        <v>0</v>
      </c>
      <c r="AV62" s="36">
        <f>SUMIF('Resource Demand - Activity'!$FT:$FT,Example!$G62,'Resource Demand - Activity'!AQ:AQ)</f>
        <v>0</v>
      </c>
      <c r="AW62" s="36">
        <f>SUMIF('Resource Demand - Activity'!$FT:$FT,Example!$G62,'Resource Demand - Activity'!AR:AR)</f>
        <v>0</v>
      </c>
      <c r="AX62" s="35">
        <f>SUMIF('Resource Demand - Activity'!$FT:$FT,Example!$G62,'Resource Demand - Activity'!AS:AS)</f>
        <v>1</v>
      </c>
      <c r="AY62" s="35">
        <f>SUMIF('Resource Demand - Activity'!$FT:$FT,Example!$G62,'Resource Demand - Activity'!AT:AT)</f>
        <v>1</v>
      </c>
      <c r="AZ62" s="35">
        <f>SUMIF('Resource Demand - Activity'!$FT:$FT,Example!$G62,'Resource Demand - Activity'!AU:AU)</f>
        <v>1</v>
      </c>
      <c r="BA62" s="35">
        <f>SUMIF('Resource Demand - Activity'!$FT:$FT,Example!$G62,'Resource Demand - Activity'!AV:AV)</f>
        <v>1</v>
      </c>
      <c r="BB62" s="35">
        <f>SUMIF('Resource Demand - Activity'!$FT:$FT,Example!$G62,'Resource Demand - Activity'!AW:AW)</f>
        <v>1</v>
      </c>
      <c r="BC62" s="35">
        <f>SUMIF('Resource Demand - Activity'!$FT:$FT,Example!$G62,'Resource Demand - Activity'!AX:AX)</f>
        <v>1</v>
      </c>
      <c r="BD62" s="35">
        <f>SUMIF('Resource Demand - Activity'!$FT:$FT,Example!$G62,'Resource Demand - Activity'!AY:AY)</f>
        <v>0</v>
      </c>
      <c r="BE62" s="35">
        <f>SUMIF('Resource Demand - Activity'!$FT:$FT,Example!$G62,'Resource Demand - Activity'!AZ:AZ)</f>
        <v>0</v>
      </c>
      <c r="BF62" s="35">
        <f>SUMIF('Resource Demand - Activity'!$FT:$FT,Example!$G62,'Resource Demand - Activity'!BA:BA)</f>
        <v>0</v>
      </c>
      <c r="BG62" s="35">
        <f>SUMIF('Resource Demand - Activity'!$FT:$FT,Example!$G62,'Resource Demand - Activity'!BB:BB)</f>
        <v>0</v>
      </c>
      <c r="BH62" s="35">
        <f>SUMIF('Resource Demand - Activity'!$FT:$FT,Example!$G62,'Resource Demand - Activity'!BC:BC)</f>
        <v>0</v>
      </c>
      <c r="BI62" s="35">
        <f>SUMIF('Resource Demand - Activity'!$FT:$FT,Example!$G62,'Resource Demand - Activity'!BD:BD)</f>
        <v>0</v>
      </c>
      <c r="BJ62" s="35">
        <f>SUMIF('Resource Demand - Activity'!$FT:$FT,Example!$G62,'Resource Demand - Activity'!BE:BE)</f>
        <v>0</v>
      </c>
      <c r="BK62" s="35">
        <f>SUMIF('Resource Demand - Activity'!$FT:$FT,Example!$G62,'Resource Demand - Activity'!BF:BF)</f>
        <v>0</v>
      </c>
      <c r="BL62" s="35">
        <f>SUMIF('Resource Demand - Activity'!$FT:$FT,Example!$G62,'Resource Demand - Activity'!BG:BG)</f>
        <v>0</v>
      </c>
      <c r="BM62" s="35">
        <f>SUMIF('Resource Demand - Activity'!$FT:$FT,Example!$G62,'Resource Demand - Activity'!BH:BH)</f>
        <v>0</v>
      </c>
      <c r="BN62" s="35">
        <f>SUMIF('Resource Demand - Activity'!$FT:$FT,Example!$G62,'Resource Demand - Activity'!BI:BI)</f>
        <v>0</v>
      </c>
      <c r="BO62" s="35">
        <f>SUMIF('Resource Demand - Activity'!$FT:$FT,Example!$G62,'Resource Demand - Activity'!BJ:BJ)</f>
        <v>0</v>
      </c>
      <c r="BP62" s="35">
        <f>SUMIF('Resource Demand - Activity'!$FT:$FT,Example!$G62,'Resource Demand - Activity'!BK:BK)</f>
        <v>0</v>
      </c>
      <c r="BQ62" s="35">
        <f>SUMIF('Resource Demand - Activity'!$FT:$FT,Example!$G62,'Resource Demand - Activity'!BL:BL)</f>
        <v>0</v>
      </c>
      <c r="BR62" s="35">
        <f>SUMIF('Resource Demand - Activity'!$FT:$FT,Example!$G62,'Resource Demand - Activity'!BM:BM)</f>
        <v>0</v>
      </c>
      <c r="BS62" s="35">
        <f>SUMIF('Resource Demand - Activity'!$FT:$FT,Example!$G62,'Resource Demand - Activity'!BN:BN)</f>
        <v>0</v>
      </c>
      <c r="BT62" s="35">
        <f>SUMIF('Resource Demand - Activity'!$FT:$FT,Example!$G62,'Resource Demand - Activity'!BO:BO)</f>
        <v>0</v>
      </c>
      <c r="BU62" s="35">
        <f>SUMIF('Resource Demand - Activity'!$FT:$FT,Example!$G62,'Resource Demand - Activity'!BP:BP)</f>
        <v>0</v>
      </c>
      <c r="BV62" s="35">
        <f>SUMIF('Resource Demand - Activity'!$FT:$FT,Example!$G62,'Resource Demand - Activity'!BQ:BQ)</f>
        <v>0</v>
      </c>
      <c r="BW62" s="35">
        <f>SUMIF('Resource Demand - Activity'!$FT:$FT,Example!$G62,'Resource Demand - Activity'!BR:BR)</f>
        <v>0</v>
      </c>
      <c r="BX62" s="35">
        <f>SUMIF('Resource Demand - Activity'!$FT:$FT,Example!$G62,'Resource Demand - Activity'!BS:BS)</f>
        <v>0</v>
      </c>
      <c r="BY62" s="35">
        <f>SUMIF('Resource Demand - Activity'!$FT:$FT,Example!$G62,'Resource Demand - Activity'!BT:BT)</f>
        <v>0</v>
      </c>
      <c r="BZ62" s="35">
        <f>SUMIF('Resource Demand - Activity'!$FT:$FT,Example!$G62,'Resource Demand - Activity'!BU:BU)</f>
        <v>0</v>
      </c>
      <c r="CA62" s="35">
        <f>SUMIF('Resource Demand - Activity'!$FT:$FT,Example!$G62,'Resource Demand - Activity'!BV:BV)</f>
        <v>0</v>
      </c>
      <c r="CB62" s="35">
        <f>SUMIF('Resource Demand - Activity'!$FT:$FT,Example!$G62,'Resource Demand - Activity'!BW:BW)</f>
        <v>0</v>
      </c>
      <c r="CC62" s="35">
        <f>SUMIF('Resource Demand - Activity'!$FT:$FT,Example!$G62,'Resource Demand - Activity'!BX:BX)</f>
        <v>0</v>
      </c>
      <c r="CD62" s="35">
        <f>SUMIF('Resource Demand - Activity'!$FT:$FT,Example!$G62,'Resource Demand - Activity'!BY:BY)</f>
        <v>0</v>
      </c>
      <c r="CE62" s="35">
        <f>SUMIF('Resource Demand - Activity'!$FT:$FT,Example!$G62,'Resource Demand - Activity'!BZ:BZ)</f>
        <v>0</v>
      </c>
      <c r="CF62" s="35">
        <f>SUMIF('Resource Demand - Activity'!$FT:$FT,Example!$G62,'Resource Demand - Activity'!CA:CA)</f>
        <v>0</v>
      </c>
      <c r="CG62" s="35">
        <f>SUMIF('Resource Demand - Activity'!$FT:$FT,Example!$G62,'Resource Demand - Activity'!CB:CB)</f>
        <v>0</v>
      </c>
      <c r="CH62" s="35">
        <f>SUMIF('Resource Demand - Activity'!$FT:$FT,Example!$G62,'Resource Demand - Activity'!CC:CC)</f>
        <v>0</v>
      </c>
      <c r="CI62" s="35">
        <f>SUMIF('Resource Demand - Activity'!$FT:$FT,Example!$G62,'Resource Demand - Activity'!CD:CD)</f>
        <v>0</v>
      </c>
      <c r="CJ62" s="35">
        <f>SUMIF('Resource Demand - Activity'!$FT:$FT,Example!$G62,'Resource Demand - Activity'!CE:CE)</f>
        <v>0</v>
      </c>
      <c r="CK62" s="35">
        <f>SUMIF('Resource Demand - Activity'!$FT:$FT,Example!$G62,'Resource Demand - Activity'!CF:CF)</f>
        <v>0</v>
      </c>
      <c r="CL62" s="35">
        <f>SUMIF('Resource Demand - Activity'!$FT:$FT,Example!$G62,'Resource Demand - Activity'!CG:CG)</f>
        <v>1</v>
      </c>
      <c r="CM62" s="35">
        <f>SUMIF('Resource Demand - Activity'!$FT:$FT,Example!$G62,'Resource Demand - Activity'!CH:CH)</f>
        <v>1</v>
      </c>
      <c r="CN62" s="35">
        <f>SUMIF('Resource Demand - Activity'!$FT:$FT,Example!$G62,'Resource Demand - Activity'!CI:CI)</f>
        <v>1</v>
      </c>
      <c r="CO62" s="35">
        <f>SUMIF('Resource Demand - Activity'!$FT:$FT,Example!$G62,'Resource Demand - Activity'!CJ:CJ)</f>
        <v>1</v>
      </c>
      <c r="CP62" s="35">
        <f>SUMIF('Resource Demand - Activity'!$FT:$FT,Example!$G62,'Resource Demand - Activity'!CK:CK)</f>
        <v>1</v>
      </c>
      <c r="CQ62" s="35">
        <f>SUMIF('Resource Demand - Activity'!$FT:$FT,Example!$G62,'Resource Demand - Activity'!CL:CL)</f>
        <v>0</v>
      </c>
      <c r="CR62" s="35">
        <f>SUMIF('Resource Demand - Activity'!$FT:$FT,Example!$G62,'Resource Demand - Activity'!CM:CM)</f>
        <v>0</v>
      </c>
      <c r="CS62" s="35">
        <f>SUMIF('Resource Demand - Activity'!$FT:$FT,Example!$G62,'Resource Demand - Activity'!CN:CN)</f>
        <v>0</v>
      </c>
      <c r="CT62" s="35">
        <f>SUMIF('Resource Demand - Activity'!$FT:$FT,Example!$G62,'Resource Demand - Activity'!CO:CO)</f>
        <v>0</v>
      </c>
      <c r="CU62" s="35">
        <f>SUMIF('Resource Demand - Activity'!$FT:$FT,Example!$G62,'Resource Demand - Activity'!CP:CP)</f>
        <v>0</v>
      </c>
      <c r="CV62" s="35">
        <f>SUMIF('Resource Demand - Activity'!$FT:$FT,Example!$G62,'Resource Demand - Activity'!CQ:CQ)</f>
        <v>0</v>
      </c>
      <c r="CW62" s="35">
        <f>SUMIF('Resource Demand - Activity'!$FT:$FT,Example!$G62,'Resource Demand - Activity'!CR:CR)</f>
        <v>0</v>
      </c>
      <c r="CX62" s="35">
        <f>SUMIF('Resource Demand - Activity'!$FT:$FT,Example!$G62,'Resource Demand - Activity'!CS:CS)</f>
        <v>0</v>
      </c>
      <c r="CY62" s="36">
        <f>SUMIF('Resource Demand - Activity'!$FT:$FT,Example!$G62,'Resource Demand - Activity'!CT:CT)</f>
        <v>0</v>
      </c>
      <c r="CZ62" s="35">
        <f>SUMIF('Resource Demand - Activity'!$FT:$FT,Example!$G62,'Resource Demand - Activity'!CU:CU)</f>
        <v>0</v>
      </c>
      <c r="DA62" s="35">
        <f>SUMIF('Resource Demand - Activity'!$FT:$FT,Example!$G62,'Resource Demand - Activity'!CV:CV)</f>
        <v>0</v>
      </c>
      <c r="DB62" s="35">
        <f>SUMIF('Resource Demand - Activity'!$FT:$FT,Example!$G62,'Resource Demand - Activity'!CW:CW)</f>
        <v>0</v>
      </c>
      <c r="DC62" s="35">
        <f>SUMIF('Resource Demand - Activity'!$FT:$FT,Example!$G62,'Resource Demand - Activity'!CX:CX)</f>
        <v>0</v>
      </c>
      <c r="DD62" s="35">
        <f>SUMIF('Resource Demand - Activity'!$FT:$FT,Example!$G62,'Resource Demand - Activity'!CY:CY)</f>
        <v>0</v>
      </c>
      <c r="DE62" s="36">
        <f>SUMIF('Resource Demand - Activity'!$FT:$FT,Example!$G62,'Resource Demand - Activity'!CZ:CZ)</f>
        <v>0</v>
      </c>
      <c r="DF62" s="36">
        <f>SUMIF('Resource Demand - Activity'!$FT:$FT,Example!$G62,'Resource Demand - Activity'!DA:DA)</f>
        <v>0</v>
      </c>
      <c r="DG62" s="35">
        <f>SUMIF('Resource Demand - Activity'!$FT:$FT,Example!$G62,'Resource Demand - Activity'!DB:DB)</f>
        <v>0</v>
      </c>
      <c r="DH62" s="35">
        <f>SUMIF('Resource Demand - Activity'!$FT:$FT,Example!$G62,'Resource Demand - Activity'!DC:DC)</f>
        <v>0</v>
      </c>
      <c r="DI62" s="35">
        <f>SUMIF('Resource Demand - Activity'!$FT:$FT,Example!$G62,'Resource Demand - Activity'!DD:DD)</f>
        <v>0</v>
      </c>
      <c r="DJ62" s="35">
        <f>SUMIF('Resource Demand - Activity'!$FT:$FT,Example!$G62,'Resource Demand - Activity'!DE:DE)</f>
        <v>0</v>
      </c>
      <c r="DK62" s="35">
        <f>SUMIF('Resource Demand - Activity'!$FT:$FT,Example!$G62,'Resource Demand - Activity'!DF:DF)</f>
        <v>0</v>
      </c>
      <c r="DL62" s="35">
        <f>SUMIF('Resource Demand - Activity'!$FT:$FT,Example!$G62,'Resource Demand - Activity'!DG:DG)</f>
        <v>0</v>
      </c>
      <c r="DM62" s="35">
        <f>SUMIF('Resource Demand - Activity'!$FT:$FT,Example!$G62,'Resource Demand - Activity'!DH:DH)</f>
        <v>0</v>
      </c>
      <c r="DN62" s="35">
        <f>SUMIF('Resource Demand - Activity'!$FT:$FT,Example!$G62,'Resource Demand - Activity'!DI:DI)</f>
        <v>0</v>
      </c>
      <c r="DO62" s="35">
        <f>SUMIF('Resource Demand - Activity'!$FT:$FT,Example!$G62,'Resource Demand - Activity'!DJ:DJ)</f>
        <v>0</v>
      </c>
      <c r="DP62" s="35">
        <f>SUMIF('Resource Demand - Activity'!$FT:$FT,Example!$G62,'Resource Demand - Activity'!DK:DK)</f>
        <v>0</v>
      </c>
      <c r="DQ62" s="35">
        <f>SUMIF('Resource Demand - Activity'!$FT:$FT,Example!$G62,'Resource Demand - Activity'!DL:DL)</f>
        <v>0</v>
      </c>
      <c r="DR62" s="35">
        <f>SUMIF('Resource Demand - Activity'!$FT:$FT,Example!$G62,'Resource Demand - Activity'!DM:DM)</f>
        <v>0</v>
      </c>
      <c r="DS62" s="35">
        <f>SUMIF('Resource Demand - Activity'!$FT:$FT,Example!$G62,'Resource Demand - Activity'!DN:DN)</f>
        <v>0</v>
      </c>
      <c r="DT62" s="35">
        <f>SUMIF('Resource Demand - Activity'!$FT:$FT,Example!$G62,'Resource Demand - Activity'!DO:DO)</f>
        <v>0</v>
      </c>
      <c r="DU62" s="35">
        <f>SUMIF('Resource Demand - Activity'!$FT:$FT,Example!$G62,'Resource Demand - Activity'!DP:DP)</f>
        <v>0</v>
      </c>
      <c r="DV62" s="35">
        <f>SUMIF('Resource Demand - Activity'!$FT:$FT,Example!$G62,'Resource Demand - Activity'!DQ:DQ)</f>
        <v>0</v>
      </c>
      <c r="DW62" s="35">
        <f>SUMIF('Resource Demand - Activity'!$FT:$FT,Example!$G62,'Resource Demand - Activity'!DR:DR)</f>
        <v>0</v>
      </c>
      <c r="DX62" s="35">
        <f>SUMIF('Resource Demand - Activity'!$FT:$FT,Example!$G62,'Resource Demand - Activity'!DS:DS)</f>
        <v>0</v>
      </c>
      <c r="DY62" s="35">
        <f>SUMIF('Resource Demand - Activity'!$FT:$FT,Example!$G62,'Resource Demand - Activity'!DT:DT)</f>
        <v>0</v>
      </c>
      <c r="DZ62" s="35">
        <f>SUMIF('Resource Demand - Activity'!$FT:$FT,Example!$G62,'Resource Demand - Activity'!DU:DU)</f>
        <v>0</v>
      </c>
      <c r="EA62" s="35">
        <f>SUMIF('Resource Demand - Activity'!$FT:$FT,Example!$G62,'Resource Demand - Activity'!DV:DV)</f>
        <v>0</v>
      </c>
      <c r="EB62" s="35">
        <f>SUMIF('Resource Demand - Activity'!$FT:$FT,Example!$G62,'Resource Demand - Activity'!DW:DW)</f>
        <v>0</v>
      </c>
      <c r="EC62" s="35">
        <f>SUMIF('Resource Demand - Activity'!$FT:$FT,Example!$G62,'Resource Demand - Activity'!DX:DX)</f>
        <v>0</v>
      </c>
      <c r="ED62" s="35">
        <f>SUMIF('Resource Demand - Activity'!$FT:$FT,Example!$G62,'Resource Demand - Activity'!DY:DY)</f>
        <v>0</v>
      </c>
      <c r="EE62" s="36">
        <f>SUMIF('Resource Demand - Activity'!$FT:$FT,Example!$G62,'Resource Demand - Activity'!DZ:DZ)</f>
        <v>0</v>
      </c>
      <c r="EF62" s="35">
        <f>SUMIF('Resource Demand - Activity'!$FT:$FT,Example!$G62,'Resource Demand - Activity'!EA:EA)</f>
        <v>0</v>
      </c>
      <c r="EG62" s="35">
        <f>SUMIF('Resource Demand - Activity'!$FT:$FT,Example!$G62,'Resource Demand - Activity'!EB:EB)</f>
        <v>0</v>
      </c>
      <c r="EH62" s="35">
        <f>SUMIF('Resource Demand - Activity'!$FT:$FT,Example!$G62,'Resource Demand - Activity'!EC:EC)</f>
        <v>0</v>
      </c>
      <c r="EI62" s="35">
        <f>SUMIF('Resource Demand - Activity'!$FT:$FT,Example!$G62,'Resource Demand - Activity'!ED:ED)</f>
        <v>0</v>
      </c>
      <c r="EJ62" s="35">
        <f>SUMIF('Resource Demand - Activity'!$FT:$FT,Example!$G62,'Resource Demand - Activity'!EE:EE)</f>
        <v>0</v>
      </c>
      <c r="EK62" s="35">
        <f>SUMIF('Resource Demand - Activity'!$FT:$FT,Example!$G62,'Resource Demand - Activity'!EF:EF)</f>
        <v>0</v>
      </c>
      <c r="EL62" s="35">
        <f>SUMIF('Resource Demand - Activity'!$FT:$FT,Example!$G62,'Resource Demand - Activity'!EG:EG)</f>
        <v>0</v>
      </c>
      <c r="EM62" s="35">
        <f>SUMIF('Resource Demand - Activity'!$FT:$FT,Example!$G62,'Resource Demand - Activity'!EH:EH)</f>
        <v>0</v>
      </c>
      <c r="EN62" s="35">
        <f>SUMIF('Resource Demand - Activity'!$FT:$FT,Example!$G62,'Resource Demand - Activity'!EI:EI)</f>
        <v>0</v>
      </c>
      <c r="EO62" s="35">
        <f>SUMIF('Resource Demand - Activity'!$FT:$FT,Example!$G62,'Resource Demand - Activity'!EJ:EJ)</f>
        <v>0</v>
      </c>
      <c r="EP62" s="35">
        <f>SUMIF('Resource Demand - Activity'!$FT:$FT,Example!$G62,'Resource Demand - Activity'!EK:EK)</f>
        <v>0</v>
      </c>
      <c r="EQ62" s="35">
        <f>SUMIF('Resource Demand - Activity'!$FT:$FT,Example!$G62,'Resource Demand - Activity'!EL:EL)</f>
        <v>0</v>
      </c>
      <c r="ER62" s="35">
        <f>SUMIF('Resource Demand - Activity'!$FT:$FT,Example!$G62,'Resource Demand - Activity'!EM:EM)</f>
        <v>0</v>
      </c>
      <c r="ES62" s="35">
        <f>SUMIF('Resource Demand - Activity'!$FT:$FT,Example!$G62,'Resource Demand - Activity'!EN:EN)</f>
        <v>0</v>
      </c>
      <c r="ET62" s="35">
        <f>SUMIF('Resource Demand - Activity'!$FT:$FT,Example!$G62,'Resource Demand - Activity'!EO:EO)</f>
        <v>0</v>
      </c>
      <c r="EU62" s="35">
        <f>SUMIF('Resource Demand - Activity'!$FT:$FT,Example!$G62,'Resource Demand - Activity'!EP:EP)</f>
        <v>0</v>
      </c>
      <c r="EV62" s="35">
        <f>SUMIF('Resource Demand - Activity'!$FT:$FT,Example!$G62,'Resource Demand - Activity'!EQ:EQ)</f>
        <v>0</v>
      </c>
      <c r="EW62" s="35">
        <f>SUMIF('Resource Demand - Activity'!$FT:$FT,Example!$G62,'Resource Demand - Activity'!ER:ER)</f>
        <v>0</v>
      </c>
      <c r="EX62" s="35">
        <f>SUMIF('Resource Demand - Activity'!$FT:$FT,Example!$G62,'Resource Demand - Activity'!ES:ES)</f>
        <v>0</v>
      </c>
      <c r="EY62" s="35">
        <f>SUMIF('Resource Demand - Activity'!$FT:$FT,Example!$G62,'Resource Demand - Activity'!ET:ET)</f>
        <v>0</v>
      </c>
      <c r="EZ62" s="35">
        <f>SUMIF('Resource Demand - Activity'!$FT:$FT,Example!$G62,'Resource Demand - Activity'!EU:EU)</f>
        <v>0</v>
      </c>
      <c r="FA62" s="35">
        <f>SUMIF('Resource Demand - Activity'!$FT:$FT,Example!$G62,'Resource Demand - Activity'!EV:EV)</f>
        <v>0</v>
      </c>
      <c r="FB62" s="35">
        <f>SUMIF('Resource Demand - Activity'!$FT:$FT,Example!$G62,'Resource Demand - Activity'!EW:EW)</f>
        <v>0</v>
      </c>
      <c r="FC62" s="35">
        <f>SUMIF('Resource Demand - Activity'!$FT:$FT,Example!$G62,'Resource Demand - Activity'!EX:EX)</f>
        <v>0</v>
      </c>
      <c r="FD62" s="36">
        <f>SUMIF('Resource Demand - Activity'!$FT:$FT,Example!$G62,'Resource Demand - Activity'!EY:EY)</f>
        <v>0</v>
      </c>
      <c r="FE62" s="35">
        <f>SUMIF('Resource Demand - Activity'!$FT:$FT,Example!$G62,'Resource Demand - Activity'!EZ:EZ)</f>
        <v>0</v>
      </c>
      <c r="FF62" s="35">
        <f>SUMIF('Resource Demand - Activity'!$FT:$FT,Example!$G62,'Resource Demand - Activity'!FA:FA)</f>
        <v>0</v>
      </c>
      <c r="FG62" s="35">
        <f>SUMIF('Resource Demand - Activity'!$FT:$FT,Example!$G62,'Resource Demand - Activity'!FB:FB)</f>
        <v>0</v>
      </c>
      <c r="FH62" s="35">
        <f>SUMIF('Resource Demand - Activity'!$FT:$FT,Example!$G62,'Resource Demand - Activity'!FC:FC)</f>
        <v>0</v>
      </c>
      <c r="FI62" s="35">
        <f>SUMIF('Resource Demand - Activity'!$FT:$FT,Example!$G62,'Resource Demand - Activity'!FD:FD)</f>
        <v>0</v>
      </c>
      <c r="FJ62" s="35">
        <f>SUMIF('Resource Demand - Activity'!$FT:$FT,Example!$G62,'Resource Demand - Activity'!FE:FE)</f>
        <v>0</v>
      </c>
      <c r="FK62" s="35">
        <f>SUMIF('Resource Demand - Activity'!$FT:$FT,Example!$G62,'Resource Demand - Activity'!FF:FF)</f>
        <v>0</v>
      </c>
      <c r="FL62" s="35">
        <f>SUMIF('Resource Demand - Activity'!$FT:$FT,Example!$G62,'Resource Demand - Activity'!FG:FG)</f>
        <v>0</v>
      </c>
      <c r="FM62" s="35">
        <f>SUMIF('Resource Demand - Activity'!$FT:$FT,Example!$G62,'Resource Demand - Activity'!FH:FH)</f>
        <v>0</v>
      </c>
      <c r="FN62" s="35">
        <f>SUMIF('Resource Demand - Activity'!$FT:$FT,Example!$G62,'Resource Demand - Activity'!FI:FI)</f>
        <v>0</v>
      </c>
      <c r="FO62" s="35">
        <f>SUMIF('Resource Demand - Activity'!$FT:$FT,Example!$G62,'Resource Demand - Activity'!FJ:FJ)</f>
        <v>0</v>
      </c>
      <c r="FP62" s="35">
        <f>SUMIF('Resource Demand - Activity'!$FT:$FT,Example!$G62,'Resource Demand - Activity'!FK:FK)</f>
        <v>0</v>
      </c>
      <c r="FQ62" s="35">
        <f>SUMIF('Resource Demand - Activity'!$FT:$FT,Example!$G62,'Resource Demand - Activity'!FL:FL)</f>
        <v>0</v>
      </c>
      <c r="FR62" s="35">
        <f>SUMIF('Resource Demand - Activity'!$FT:$FT,Example!$G62,'Resource Demand - Activity'!FM:FM)</f>
        <v>0</v>
      </c>
      <c r="FS62" s="35">
        <f>SUMIF('Resource Demand - Activity'!$FT:$FT,Example!$G62,'Resource Demand - Activity'!FN:FN)</f>
        <v>0</v>
      </c>
      <c r="FT62" s="35">
        <f>SUMIF('Resource Demand - Activity'!$FT:$FT,Example!$G62,'Resource Demand - Activity'!FO:FO)</f>
        <v>0</v>
      </c>
      <c r="FU62" s="35">
        <f>SUMIF('Resource Demand - Activity'!$FT:$FT,Example!$G62,'Resource Demand - Activity'!FP:FP)</f>
        <v>0</v>
      </c>
      <c r="FV62" s="52">
        <f>SUMIF('Resource Demand - Activity'!$FT:$FT,Example!$G62,'Resource Demand - Activity'!FQ:FQ)</f>
        <v>0</v>
      </c>
    </row>
    <row r="63" spans="2:178" s="63" customFormat="1" ht="12" customHeight="1">
      <c r="B63" s="1"/>
      <c r="G63" s="64" t="str">
        <f t="shared" si="11"/>
        <v>4. Annual Reporting (QRTs)  4.1 PreparationJunior Accountant</v>
      </c>
      <c r="H63" s="59" t="s">
        <v>162</v>
      </c>
      <c r="I63" s="59" t="str">
        <f>INDEX('Resource Demand - Activity'!C:C,MATCH(Example!G63,'Resource Demand - Activity'!FT:FT,0))</f>
        <v>18 days</v>
      </c>
      <c r="J63" s="51">
        <f>SUMIF('Resource Demand - Activity'!$FT:$FT,Example!$G63,'Resource Demand - Activity'!E:E)</f>
        <v>0</v>
      </c>
      <c r="K63" s="35">
        <f>SUMIF('Resource Demand - Activity'!$FT:$FT,Example!$G63,'Resource Demand - Activity'!F:F)</f>
        <v>0</v>
      </c>
      <c r="L63" s="35">
        <f>SUMIF('Resource Demand - Activity'!$FT:$FT,Example!$G63,'Resource Demand - Activity'!G:G)</f>
        <v>0</v>
      </c>
      <c r="M63" s="35">
        <f>SUMIF('Resource Demand - Activity'!$FT:$FT,Example!$G63,'Resource Demand - Activity'!H:H)</f>
        <v>0</v>
      </c>
      <c r="N63" s="35">
        <f>SUMIF('Resource Demand - Activity'!$FT:$FT,Example!$G63,'Resource Demand - Activity'!I:I)</f>
        <v>0</v>
      </c>
      <c r="O63" s="35">
        <f>SUMIF('Resource Demand - Activity'!$FT:$FT,Example!$G63,'Resource Demand - Activity'!J:J)</f>
        <v>0</v>
      </c>
      <c r="P63" s="35">
        <f>SUMIF('Resource Demand - Activity'!$FT:$FT,Example!$G63,'Resource Demand - Activity'!K:K)</f>
        <v>1</v>
      </c>
      <c r="Q63" s="35">
        <f>SUMIF('Resource Demand - Activity'!$FT:$FT,Example!$G63,'Resource Demand - Activity'!L:L)</f>
        <v>1</v>
      </c>
      <c r="R63" s="35">
        <f>SUMIF('Resource Demand - Activity'!$FT:$FT,Example!$G63,'Resource Demand - Activity'!M:M)</f>
        <v>1</v>
      </c>
      <c r="S63" s="35">
        <f>SUMIF('Resource Demand - Activity'!$FT:$FT,Example!$G63,'Resource Demand - Activity'!N:N)</f>
        <v>1</v>
      </c>
      <c r="T63" s="35">
        <f>SUMIF('Resource Demand - Activity'!$FT:$FT,Example!$G63,'Resource Demand - Activity'!O:O)</f>
        <v>0</v>
      </c>
      <c r="U63" s="35">
        <f>SUMIF('Resource Demand - Activity'!$FT:$FT,Example!$G63,'Resource Demand - Activity'!P:P)</f>
        <v>0</v>
      </c>
      <c r="V63" s="35">
        <f>SUMIF('Resource Demand - Activity'!$FT:$FT,Example!$G63,'Resource Demand - Activity'!Q:Q)</f>
        <v>0</v>
      </c>
      <c r="W63" s="35">
        <f>SUMIF('Resource Demand - Activity'!$FT:$FT,Example!$G63,'Resource Demand - Activity'!R:R)</f>
        <v>0</v>
      </c>
      <c r="X63" s="35">
        <f>SUMIF('Resource Demand - Activity'!$FT:$FT,Example!$G63,'Resource Demand - Activity'!S:S)</f>
        <v>0</v>
      </c>
      <c r="Y63" s="35">
        <f>SUMIF('Resource Demand - Activity'!$FT:$FT,Example!$G63,'Resource Demand - Activity'!T:T)</f>
        <v>0</v>
      </c>
      <c r="Z63" s="35">
        <f>SUMIF('Resource Demand - Activity'!$FT:$FT,Example!$G63,'Resource Demand - Activity'!U:U)</f>
        <v>0</v>
      </c>
      <c r="AA63" s="35">
        <f>SUMIF('Resource Demand - Activity'!$FT:$FT,Example!$G63,'Resource Demand - Activity'!V:V)</f>
        <v>0</v>
      </c>
      <c r="AB63" s="35">
        <f>SUMIF('Resource Demand - Activity'!$FT:$FT,Example!$G63,'Resource Demand - Activity'!W:W)</f>
        <v>0</v>
      </c>
      <c r="AC63" s="35">
        <f>SUMIF('Resource Demand - Activity'!$FT:$FT,Example!$G63,'Resource Demand - Activity'!X:X)</f>
        <v>0</v>
      </c>
      <c r="AD63" s="35">
        <f>SUMIF('Resource Demand - Activity'!$FT:$FT,Example!$G63,'Resource Demand - Activity'!Y:Y)</f>
        <v>0</v>
      </c>
      <c r="AE63" s="35">
        <f>SUMIF('Resource Demand - Activity'!$FT:$FT,Example!$G63,'Resource Demand - Activity'!Z:Z)</f>
        <v>0</v>
      </c>
      <c r="AF63" s="35">
        <f>SUMIF('Resource Demand - Activity'!$FT:$FT,Example!$G63,'Resource Demand - Activity'!AA:AA)</f>
        <v>0</v>
      </c>
      <c r="AG63" s="35">
        <f>SUMIF('Resource Demand - Activity'!$FT:$FT,Example!$G63,'Resource Demand - Activity'!AB:AB)</f>
        <v>0</v>
      </c>
      <c r="AH63" s="35">
        <f>SUMIF('Resource Demand - Activity'!$FT:$FT,Example!$G63,'Resource Demand - Activity'!AC:AC)</f>
        <v>0</v>
      </c>
      <c r="AI63" s="35">
        <f>SUMIF('Resource Demand - Activity'!$FT:$FT,Example!$G63,'Resource Demand - Activity'!AD:AD)</f>
        <v>0</v>
      </c>
      <c r="AJ63" s="35">
        <f>SUMIF('Resource Demand - Activity'!$FT:$FT,Example!$G63,'Resource Demand - Activity'!AE:AE)</f>
        <v>0</v>
      </c>
      <c r="AK63" s="35">
        <f>SUMIF('Resource Demand - Activity'!$FT:$FT,Example!$G63,'Resource Demand - Activity'!AF:AF)</f>
        <v>0</v>
      </c>
      <c r="AL63" s="35">
        <f>SUMIF('Resource Demand - Activity'!$FT:$FT,Example!$G63,'Resource Demand - Activity'!AG:AG)</f>
        <v>0</v>
      </c>
      <c r="AM63" s="35">
        <f>SUMIF('Resource Demand - Activity'!$FT:$FT,Example!$G63,'Resource Demand - Activity'!AH:AH)</f>
        <v>0</v>
      </c>
      <c r="AN63" s="35">
        <f>SUMIF('Resource Demand - Activity'!$FT:$FT,Example!$G63,'Resource Demand - Activity'!AI:AI)</f>
        <v>0</v>
      </c>
      <c r="AO63" s="35">
        <f>SUMIF('Resource Demand - Activity'!$FT:$FT,Example!$G63,'Resource Demand - Activity'!AJ:AJ)</f>
        <v>0</v>
      </c>
      <c r="AP63" s="35">
        <f>SUMIF('Resource Demand - Activity'!$FT:$FT,Example!$G63,'Resource Demand - Activity'!AK:AK)</f>
        <v>0</v>
      </c>
      <c r="AQ63" s="36">
        <f>SUMIF('Resource Demand - Activity'!$FT:$FT,Example!$G63,'Resource Demand - Activity'!AL:AL)</f>
        <v>0</v>
      </c>
      <c r="AR63" s="36">
        <f>SUMIF('Resource Demand - Activity'!$FT:$FT,Example!$G63,'Resource Demand - Activity'!AM:AM)</f>
        <v>0</v>
      </c>
      <c r="AS63" s="36">
        <f>SUMIF('Resource Demand - Activity'!$FT:$FT,Example!$G63,'Resource Demand - Activity'!AN:AN)</f>
        <v>0</v>
      </c>
      <c r="AT63" s="36">
        <f>SUMIF('Resource Demand - Activity'!$FT:$FT,Example!$G63,'Resource Demand - Activity'!AO:AO)</f>
        <v>0</v>
      </c>
      <c r="AU63" s="36">
        <f>SUMIF('Resource Demand - Activity'!$FT:$FT,Example!$G63,'Resource Demand - Activity'!AP:AP)</f>
        <v>0</v>
      </c>
      <c r="AV63" s="36">
        <f>SUMIF('Resource Demand - Activity'!$FT:$FT,Example!$G63,'Resource Demand - Activity'!AQ:AQ)</f>
        <v>0</v>
      </c>
      <c r="AW63" s="36">
        <f>SUMIF('Resource Demand - Activity'!$FT:$FT,Example!$G63,'Resource Demand - Activity'!AR:AR)</f>
        <v>0</v>
      </c>
      <c r="AX63" s="35">
        <f>SUMIF('Resource Demand - Activity'!$FT:$FT,Example!$G63,'Resource Demand - Activity'!AS:AS)</f>
        <v>0</v>
      </c>
      <c r="AY63" s="35">
        <f>SUMIF('Resource Demand - Activity'!$FT:$FT,Example!$G63,'Resource Demand - Activity'!AT:AT)</f>
        <v>0</v>
      </c>
      <c r="AZ63" s="35">
        <f>SUMIF('Resource Demand - Activity'!$FT:$FT,Example!$G63,'Resource Demand - Activity'!AU:AU)</f>
        <v>0</v>
      </c>
      <c r="BA63" s="35">
        <f>SUMIF('Resource Demand - Activity'!$FT:$FT,Example!$G63,'Resource Demand - Activity'!AV:AV)</f>
        <v>0</v>
      </c>
      <c r="BB63" s="35">
        <f>SUMIF('Resource Demand - Activity'!$FT:$FT,Example!$G63,'Resource Demand - Activity'!AW:AW)</f>
        <v>0</v>
      </c>
      <c r="BC63" s="35">
        <f>SUMIF('Resource Demand - Activity'!$FT:$FT,Example!$G63,'Resource Demand - Activity'!AX:AX)</f>
        <v>0</v>
      </c>
      <c r="BD63" s="35">
        <f>SUMIF('Resource Demand - Activity'!$FT:$FT,Example!$G63,'Resource Demand - Activity'!AY:AY)</f>
        <v>1</v>
      </c>
      <c r="BE63" s="35">
        <f>SUMIF('Resource Demand - Activity'!$FT:$FT,Example!$G63,'Resource Demand - Activity'!AZ:AZ)</f>
        <v>1</v>
      </c>
      <c r="BF63" s="35">
        <f>SUMIF('Resource Demand - Activity'!$FT:$FT,Example!$G63,'Resource Demand - Activity'!BA:BA)</f>
        <v>1</v>
      </c>
      <c r="BG63" s="35">
        <f>SUMIF('Resource Demand - Activity'!$FT:$FT,Example!$G63,'Resource Demand - Activity'!BB:BB)</f>
        <v>1</v>
      </c>
      <c r="BH63" s="35">
        <f>SUMIF('Resource Demand - Activity'!$FT:$FT,Example!$G63,'Resource Demand - Activity'!BC:BC)</f>
        <v>1</v>
      </c>
      <c r="BI63" s="35">
        <f>SUMIF('Resource Demand - Activity'!$FT:$FT,Example!$G63,'Resource Demand - Activity'!BD:BD)</f>
        <v>1</v>
      </c>
      <c r="BJ63" s="35">
        <f>SUMIF('Resource Demand - Activity'!$FT:$FT,Example!$G63,'Resource Demand - Activity'!BE:BE)</f>
        <v>1</v>
      </c>
      <c r="BK63" s="35">
        <f>SUMIF('Resource Demand - Activity'!$FT:$FT,Example!$G63,'Resource Demand - Activity'!BF:BF)</f>
        <v>1</v>
      </c>
      <c r="BL63" s="35">
        <f>SUMIF('Resource Demand - Activity'!$FT:$FT,Example!$G63,'Resource Demand - Activity'!BG:BG)</f>
        <v>1</v>
      </c>
      <c r="BM63" s="35">
        <f>SUMIF('Resource Demand - Activity'!$FT:$FT,Example!$G63,'Resource Demand - Activity'!BH:BH)</f>
        <v>1</v>
      </c>
      <c r="BN63" s="35">
        <f>SUMIF('Resource Demand - Activity'!$FT:$FT,Example!$G63,'Resource Demand - Activity'!BI:BI)</f>
        <v>1</v>
      </c>
      <c r="BO63" s="35">
        <f>SUMIF('Resource Demand - Activity'!$FT:$FT,Example!$G63,'Resource Demand - Activity'!BJ:BJ)</f>
        <v>1</v>
      </c>
      <c r="BP63" s="35">
        <f>SUMIF('Resource Demand - Activity'!$FT:$FT,Example!$G63,'Resource Demand - Activity'!BK:BK)</f>
        <v>1</v>
      </c>
      <c r="BQ63" s="35">
        <f>SUMIF('Resource Demand - Activity'!$FT:$FT,Example!$G63,'Resource Demand - Activity'!BL:BL)</f>
        <v>1</v>
      </c>
      <c r="BR63" s="35">
        <f>SUMIF('Resource Demand - Activity'!$FT:$FT,Example!$G63,'Resource Demand - Activity'!BM:BM)</f>
        <v>0</v>
      </c>
      <c r="BS63" s="35">
        <f>SUMIF('Resource Demand - Activity'!$FT:$FT,Example!$G63,'Resource Demand - Activity'!BN:BN)</f>
        <v>0</v>
      </c>
      <c r="BT63" s="35">
        <f>SUMIF('Resource Demand - Activity'!$FT:$FT,Example!$G63,'Resource Demand - Activity'!BO:BO)</f>
        <v>0</v>
      </c>
      <c r="BU63" s="35">
        <f>SUMIF('Resource Demand - Activity'!$FT:$FT,Example!$G63,'Resource Demand - Activity'!BP:BP)</f>
        <v>0</v>
      </c>
      <c r="BV63" s="35">
        <f>SUMIF('Resource Demand - Activity'!$FT:$FT,Example!$G63,'Resource Demand - Activity'!BQ:BQ)</f>
        <v>0</v>
      </c>
      <c r="BW63" s="35">
        <f>SUMIF('Resource Demand - Activity'!$FT:$FT,Example!$G63,'Resource Demand - Activity'!BR:BR)</f>
        <v>0</v>
      </c>
      <c r="BX63" s="35">
        <f>SUMIF('Resource Demand - Activity'!$FT:$FT,Example!$G63,'Resource Demand - Activity'!BS:BS)</f>
        <v>0</v>
      </c>
      <c r="BY63" s="35">
        <f>SUMIF('Resource Demand - Activity'!$FT:$FT,Example!$G63,'Resource Demand - Activity'!BT:BT)</f>
        <v>0</v>
      </c>
      <c r="BZ63" s="35">
        <f>SUMIF('Resource Demand - Activity'!$FT:$FT,Example!$G63,'Resource Demand - Activity'!BU:BU)</f>
        <v>0</v>
      </c>
      <c r="CA63" s="35">
        <f>SUMIF('Resource Demand - Activity'!$FT:$FT,Example!$G63,'Resource Demand - Activity'!BV:BV)</f>
        <v>0</v>
      </c>
      <c r="CB63" s="35">
        <f>SUMIF('Resource Demand - Activity'!$FT:$FT,Example!$G63,'Resource Demand - Activity'!BW:BW)</f>
        <v>0</v>
      </c>
      <c r="CC63" s="35">
        <f>SUMIF('Resource Demand - Activity'!$FT:$FT,Example!$G63,'Resource Demand - Activity'!BX:BX)</f>
        <v>0</v>
      </c>
      <c r="CD63" s="35">
        <f>SUMIF('Resource Demand - Activity'!$FT:$FT,Example!$G63,'Resource Demand - Activity'!BY:BY)</f>
        <v>0</v>
      </c>
      <c r="CE63" s="35">
        <f>SUMIF('Resource Demand - Activity'!$FT:$FT,Example!$G63,'Resource Demand - Activity'!BZ:BZ)</f>
        <v>0</v>
      </c>
      <c r="CF63" s="35">
        <f>SUMIF('Resource Demand - Activity'!$FT:$FT,Example!$G63,'Resource Demand - Activity'!CA:CA)</f>
        <v>0</v>
      </c>
      <c r="CG63" s="35">
        <f>SUMIF('Resource Demand - Activity'!$FT:$FT,Example!$G63,'Resource Demand - Activity'!CB:CB)</f>
        <v>0</v>
      </c>
      <c r="CH63" s="35">
        <f>SUMIF('Resource Demand - Activity'!$FT:$FT,Example!$G63,'Resource Demand - Activity'!CC:CC)</f>
        <v>0</v>
      </c>
      <c r="CI63" s="35">
        <f>SUMIF('Resource Demand - Activity'!$FT:$FT,Example!$G63,'Resource Demand - Activity'!CD:CD)</f>
        <v>0</v>
      </c>
      <c r="CJ63" s="35">
        <f>SUMIF('Resource Demand - Activity'!$FT:$FT,Example!$G63,'Resource Demand - Activity'!CE:CE)</f>
        <v>0</v>
      </c>
      <c r="CK63" s="35">
        <f>SUMIF('Resource Demand - Activity'!$FT:$FT,Example!$G63,'Resource Demand - Activity'!CF:CF)</f>
        <v>0</v>
      </c>
      <c r="CL63" s="35">
        <f>SUMIF('Resource Demand - Activity'!$FT:$FT,Example!$G63,'Resource Demand - Activity'!CG:CG)</f>
        <v>0</v>
      </c>
      <c r="CM63" s="35">
        <f>SUMIF('Resource Demand - Activity'!$FT:$FT,Example!$G63,'Resource Demand - Activity'!CH:CH)</f>
        <v>0</v>
      </c>
      <c r="CN63" s="35">
        <f>SUMIF('Resource Demand - Activity'!$FT:$FT,Example!$G63,'Resource Demand - Activity'!CI:CI)</f>
        <v>0</v>
      </c>
      <c r="CO63" s="35">
        <f>SUMIF('Resource Demand - Activity'!$FT:$FT,Example!$G63,'Resource Demand - Activity'!CJ:CJ)</f>
        <v>0</v>
      </c>
      <c r="CP63" s="35">
        <f>SUMIF('Resource Demand - Activity'!$FT:$FT,Example!$G63,'Resource Demand - Activity'!CK:CK)</f>
        <v>0</v>
      </c>
      <c r="CQ63" s="35">
        <f>SUMIF('Resource Demand - Activity'!$FT:$FT,Example!$G63,'Resource Demand - Activity'!CL:CL)</f>
        <v>0</v>
      </c>
      <c r="CR63" s="35">
        <f>SUMIF('Resource Demand - Activity'!$FT:$FT,Example!$G63,'Resource Demand - Activity'!CM:CM)</f>
        <v>0</v>
      </c>
      <c r="CS63" s="35">
        <f>SUMIF('Resource Demand - Activity'!$FT:$FT,Example!$G63,'Resource Demand - Activity'!CN:CN)</f>
        <v>0</v>
      </c>
      <c r="CT63" s="35">
        <f>SUMIF('Resource Demand - Activity'!$FT:$FT,Example!$G63,'Resource Demand - Activity'!CO:CO)</f>
        <v>0</v>
      </c>
      <c r="CU63" s="35">
        <f>SUMIF('Resource Demand - Activity'!$FT:$FT,Example!$G63,'Resource Demand - Activity'!CP:CP)</f>
        <v>0</v>
      </c>
      <c r="CV63" s="35">
        <f>SUMIF('Resource Demand - Activity'!$FT:$FT,Example!$G63,'Resource Demand - Activity'!CQ:CQ)</f>
        <v>0</v>
      </c>
      <c r="CW63" s="35">
        <f>SUMIF('Resource Demand - Activity'!$FT:$FT,Example!$G63,'Resource Demand - Activity'!CR:CR)</f>
        <v>0</v>
      </c>
      <c r="CX63" s="35">
        <f>SUMIF('Resource Demand - Activity'!$FT:$FT,Example!$G63,'Resource Demand - Activity'!CS:CS)</f>
        <v>0</v>
      </c>
      <c r="CY63" s="36">
        <f>SUMIF('Resource Demand - Activity'!$FT:$FT,Example!$G63,'Resource Demand - Activity'!CT:CT)</f>
        <v>0</v>
      </c>
      <c r="CZ63" s="35">
        <f>SUMIF('Resource Demand - Activity'!$FT:$FT,Example!$G63,'Resource Demand - Activity'!CU:CU)</f>
        <v>0</v>
      </c>
      <c r="DA63" s="35">
        <f>SUMIF('Resource Demand - Activity'!$FT:$FT,Example!$G63,'Resource Demand - Activity'!CV:CV)</f>
        <v>0</v>
      </c>
      <c r="DB63" s="35">
        <f>SUMIF('Resource Demand - Activity'!$FT:$FT,Example!$G63,'Resource Demand - Activity'!CW:CW)</f>
        <v>0</v>
      </c>
      <c r="DC63" s="35">
        <f>SUMIF('Resource Demand - Activity'!$FT:$FT,Example!$G63,'Resource Demand - Activity'!CX:CX)</f>
        <v>0</v>
      </c>
      <c r="DD63" s="35">
        <f>SUMIF('Resource Demand - Activity'!$FT:$FT,Example!$G63,'Resource Demand - Activity'!CY:CY)</f>
        <v>0</v>
      </c>
      <c r="DE63" s="36">
        <f>SUMIF('Resource Demand - Activity'!$FT:$FT,Example!$G63,'Resource Demand - Activity'!CZ:CZ)</f>
        <v>0</v>
      </c>
      <c r="DF63" s="36">
        <f>SUMIF('Resource Demand - Activity'!$FT:$FT,Example!$G63,'Resource Demand - Activity'!DA:DA)</f>
        <v>0</v>
      </c>
      <c r="DG63" s="35">
        <f>SUMIF('Resource Demand - Activity'!$FT:$FT,Example!$G63,'Resource Demand - Activity'!DB:DB)</f>
        <v>0</v>
      </c>
      <c r="DH63" s="35">
        <f>SUMIF('Resource Demand - Activity'!$FT:$FT,Example!$G63,'Resource Demand - Activity'!DC:DC)</f>
        <v>0</v>
      </c>
      <c r="DI63" s="35">
        <f>SUMIF('Resource Demand - Activity'!$FT:$FT,Example!$G63,'Resource Demand - Activity'!DD:DD)</f>
        <v>0</v>
      </c>
      <c r="DJ63" s="35">
        <f>SUMIF('Resource Demand - Activity'!$FT:$FT,Example!$G63,'Resource Demand - Activity'!DE:DE)</f>
        <v>0</v>
      </c>
      <c r="DK63" s="35">
        <f>SUMIF('Resource Demand - Activity'!$FT:$FT,Example!$G63,'Resource Demand - Activity'!DF:DF)</f>
        <v>0</v>
      </c>
      <c r="DL63" s="35">
        <f>SUMIF('Resource Demand - Activity'!$FT:$FT,Example!$G63,'Resource Demand - Activity'!DG:DG)</f>
        <v>0</v>
      </c>
      <c r="DM63" s="35">
        <f>SUMIF('Resource Demand - Activity'!$FT:$FT,Example!$G63,'Resource Demand - Activity'!DH:DH)</f>
        <v>0</v>
      </c>
      <c r="DN63" s="35">
        <f>SUMIF('Resource Demand - Activity'!$FT:$FT,Example!$G63,'Resource Demand - Activity'!DI:DI)</f>
        <v>0</v>
      </c>
      <c r="DO63" s="35">
        <f>SUMIF('Resource Demand - Activity'!$FT:$FT,Example!$G63,'Resource Demand - Activity'!DJ:DJ)</f>
        <v>0</v>
      </c>
      <c r="DP63" s="35">
        <f>SUMIF('Resource Demand - Activity'!$FT:$FT,Example!$G63,'Resource Demand - Activity'!DK:DK)</f>
        <v>0</v>
      </c>
      <c r="DQ63" s="35">
        <f>SUMIF('Resource Demand - Activity'!$FT:$FT,Example!$G63,'Resource Demand - Activity'!DL:DL)</f>
        <v>0</v>
      </c>
      <c r="DR63" s="35">
        <f>SUMIF('Resource Demand - Activity'!$FT:$FT,Example!$G63,'Resource Demand - Activity'!DM:DM)</f>
        <v>0</v>
      </c>
      <c r="DS63" s="35">
        <f>SUMIF('Resource Demand - Activity'!$FT:$FT,Example!$G63,'Resource Demand - Activity'!DN:DN)</f>
        <v>0</v>
      </c>
      <c r="DT63" s="35">
        <f>SUMIF('Resource Demand - Activity'!$FT:$FT,Example!$G63,'Resource Demand - Activity'!DO:DO)</f>
        <v>0</v>
      </c>
      <c r="DU63" s="35">
        <f>SUMIF('Resource Demand - Activity'!$FT:$FT,Example!$G63,'Resource Demand - Activity'!DP:DP)</f>
        <v>0</v>
      </c>
      <c r="DV63" s="35">
        <f>SUMIF('Resource Demand - Activity'!$FT:$FT,Example!$G63,'Resource Demand - Activity'!DQ:DQ)</f>
        <v>0</v>
      </c>
      <c r="DW63" s="35">
        <f>SUMIF('Resource Demand - Activity'!$FT:$FT,Example!$G63,'Resource Demand - Activity'!DR:DR)</f>
        <v>0</v>
      </c>
      <c r="DX63" s="35">
        <f>SUMIF('Resource Demand - Activity'!$FT:$FT,Example!$G63,'Resource Demand - Activity'!DS:DS)</f>
        <v>0</v>
      </c>
      <c r="DY63" s="35">
        <f>SUMIF('Resource Demand - Activity'!$FT:$FT,Example!$G63,'Resource Demand - Activity'!DT:DT)</f>
        <v>0</v>
      </c>
      <c r="DZ63" s="35">
        <f>SUMIF('Resource Demand - Activity'!$FT:$FT,Example!$G63,'Resource Demand - Activity'!DU:DU)</f>
        <v>0</v>
      </c>
      <c r="EA63" s="35">
        <f>SUMIF('Resource Demand - Activity'!$FT:$FT,Example!$G63,'Resource Demand - Activity'!DV:DV)</f>
        <v>0</v>
      </c>
      <c r="EB63" s="35">
        <f>SUMIF('Resource Demand - Activity'!$FT:$FT,Example!$G63,'Resource Demand - Activity'!DW:DW)</f>
        <v>0</v>
      </c>
      <c r="EC63" s="35">
        <f>SUMIF('Resource Demand - Activity'!$FT:$FT,Example!$G63,'Resource Demand - Activity'!DX:DX)</f>
        <v>0</v>
      </c>
      <c r="ED63" s="35">
        <f>SUMIF('Resource Demand - Activity'!$FT:$FT,Example!$G63,'Resource Demand - Activity'!DY:DY)</f>
        <v>0</v>
      </c>
      <c r="EE63" s="36">
        <f>SUMIF('Resource Demand - Activity'!$FT:$FT,Example!$G63,'Resource Demand - Activity'!DZ:DZ)</f>
        <v>0</v>
      </c>
      <c r="EF63" s="35">
        <f>SUMIF('Resource Demand - Activity'!$FT:$FT,Example!$G63,'Resource Demand - Activity'!EA:EA)</f>
        <v>0</v>
      </c>
      <c r="EG63" s="35">
        <f>SUMIF('Resource Demand - Activity'!$FT:$FT,Example!$G63,'Resource Demand - Activity'!EB:EB)</f>
        <v>0</v>
      </c>
      <c r="EH63" s="35">
        <f>SUMIF('Resource Demand - Activity'!$FT:$FT,Example!$G63,'Resource Demand - Activity'!EC:EC)</f>
        <v>0</v>
      </c>
      <c r="EI63" s="35">
        <f>SUMIF('Resource Demand - Activity'!$FT:$FT,Example!$G63,'Resource Demand - Activity'!ED:ED)</f>
        <v>0</v>
      </c>
      <c r="EJ63" s="35">
        <f>SUMIF('Resource Demand - Activity'!$FT:$FT,Example!$G63,'Resource Demand - Activity'!EE:EE)</f>
        <v>0</v>
      </c>
      <c r="EK63" s="35">
        <f>SUMIF('Resource Demand - Activity'!$FT:$FT,Example!$G63,'Resource Demand - Activity'!EF:EF)</f>
        <v>0</v>
      </c>
      <c r="EL63" s="35">
        <f>SUMIF('Resource Demand - Activity'!$FT:$FT,Example!$G63,'Resource Demand - Activity'!EG:EG)</f>
        <v>0</v>
      </c>
      <c r="EM63" s="35">
        <f>SUMIF('Resource Demand - Activity'!$FT:$FT,Example!$G63,'Resource Demand - Activity'!EH:EH)</f>
        <v>0</v>
      </c>
      <c r="EN63" s="35">
        <f>SUMIF('Resource Demand - Activity'!$FT:$FT,Example!$G63,'Resource Demand - Activity'!EI:EI)</f>
        <v>0</v>
      </c>
      <c r="EO63" s="35">
        <f>SUMIF('Resource Demand - Activity'!$FT:$FT,Example!$G63,'Resource Demand - Activity'!EJ:EJ)</f>
        <v>0</v>
      </c>
      <c r="EP63" s="35">
        <f>SUMIF('Resource Demand - Activity'!$FT:$FT,Example!$G63,'Resource Demand - Activity'!EK:EK)</f>
        <v>0</v>
      </c>
      <c r="EQ63" s="35">
        <f>SUMIF('Resource Demand - Activity'!$FT:$FT,Example!$G63,'Resource Demand - Activity'!EL:EL)</f>
        <v>0</v>
      </c>
      <c r="ER63" s="35">
        <f>SUMIF('Resource Demand - Activity'!$FT:$FT,Example!$G63,'Resource Demand - Activity'!EM:EM)</f>
        <v>0</v>
      </c>
      <c r="ES63" s="35">
        <f>SUMIF('Resource Demand - Activity'!$FT:$FT,Example!$G63,'Resource Demand - Activity'!EN:EN)</f>
        <v>0</v>
      </c>
      <c r="ET63" s="35">
        <f>SUMIF('Resource Demand - Activity'!$FT:$FT,Example!$G63,'Resource Demand - Activity'!EO:EO)</f>
        <v>0</v>
      </c>
      <c r="EU63" s="35">
        <f>SUMIF('Resource Demand - Activity'!$FT:$FT,Example!$G63,'Resource Demand - Activity'!EP:EP)</f>
        <v>0</v>
      </c>
      <c r="EV63" s="35">
        <f>SUMIF('Resource Demand - Activity'!$FT:$FT,Example!$G63,'Resource Demand - Activity'!EQ:EQ)</f>
        <v>0</v>
      </c>
      <c r="EW63" s="35">
        <f>SUMIF('Resource Demand - Activity'!$FT:$FT,Example!$G63,'Resource Demand - Activity'!ER:ER)</f>
        <v>0</v>
      </c>
      <c r="EX63" s="35">
        <f>SUMIF('Resource Demand - Activity'!$FT:$FT,Example!$G63,'Resource Demand - Activity'!ES:ES)</f>
        <v>0</v>
      </c>
      <c r="EY63" s="35">
        <f>SUMIF('Resource Demand - Activity'!$FT:$FT,Example!$G63,'Resource Demand - Activity'!ET:ET)</f>
        <v>0</v>
      </c>
      <c r="EZ63" s="35">
        <f>SUMIF('Resource Demand - Activity'!$FT:$FT,Example!$G63,'Resource Demand - Activity'!EU:EU)</f>
        <v>0</v>
      </c>
      <c r="FA63" s="35">
        <f>SUMIF('Resource Demand - Activity'!$FT:$FT,Example!$G63,'Resource Demand - Activity'!EV:EV)</f>
        <v>0</v>
      </c>
      <c r="FB63" s="35">
        <f>SUMIF('Resource Demand - Activity'!$FT:$FT,Example!$G63,'Resource Demand - Activity'!EW:EW)</f>
        <v>0</v>
      </c>
      <c r="FC63" s="35">
        <f>SUMIF('Resource Demand - Activity'!$FT:$FT,Example!$G63,'Resource Demand - Activity'!EX:EX)</f>
        <v>0</v>
      </c>
      <c r="FD63" s="36">
        <f>SUMIF('Resource Demand - Activity'!$FT:$FT,Example!$G63,'Resource Demand - Activity'!EY:EY)</f>
        <v>0</v>
      </c>
      <c r="FE63" s="35">
        <f>SUMIF('Resource Demand - Activity'!$FT:$FT,Example!$G63,'Resource Demand - Activity'!EZ:EZ)</f>
        <v>0</v>
      </c>
      <c r="FF63" s="35">
        <f>SUMIF('Resource Demand - Activity'!$FT:$FT,Example!$G63,'Resource Demand - Activity'!FA:FA)</f>
        <v>0</v>
      </c>
      <c r="FG63" s="35">
        <f>SUMIF('Resource Demand - Activity'!$FT:$FT,Example!$G63,'Resource Demand - Activity'!FB:FB)</f>
        <v>0</v>
      </c>
      <c r="FH63" s="35">
        <f>SUMIF('Resource Demand - Activity'!$FT:$FT,Example!$G63,'Resource Demand - Activity'!FC:FC)</f>
        <v>0</v>
      </c>
      <c r="FI63" s="35">
        <f>SUMIF('Resource Demand - Activity'!$FT:$FT,Example!$G63,'Resource Demand - Activity'!FD:FD)</f>
        <v>0</v>
      </c>
      <c r="FJ63" s="35">
        <f>SUMIF('Resource Demand - Activity'!$FT:$FT,Example!$G63,'Resource Demand - Activity'!FE:FE)</f>
        <v>0</v>
      </c>
      <c r="FK63" s="35">
        <f>SUMIF('Resource Demand - Activity'!$FT:$FT,Example!$G63,'Resource Demand - Activity'!FF:FF)</f>
        <v>0</v>
      </c>
      <c r="FL63" s="35">
        <f>SUMIF('Resource Demand - Activity'!$FT:$FT,Example!$G63,'Resource Demand - Activity'!FG:FG)</f>
        <v>0</v>
      </c>
      <c r="FM63" s="35">
        <f>SUMIF('Resource Demand - Activity'!$FT:$FT,Example!$G63,'Resource Demand - Activity'!FH:FH)</f>
        <v>0</v>
      </c>
      <c r="FN63" s="35">
        <f>SUMIF('Resource Demand - Activity'!$FT:$FT,Example!$G63,'Resource Demand - Activity'!FI:FI)</f>
        <v>0</v>
      </c>
      <c r="FO63" s="35">
        <f>SUMIF('Resource Demand - Activity'!$FT:$FT,Example!$G63,'Resource Demand - Activity'!FJ:FJ)</f>
        <v>0</v>
      </c>
      <c r="FP63" s="35">
        <f>SUMIF('Resource Demand - Activity'!$FT:$FT,Example!$G63,'Resource Demand - Activity'!FK:FK)</f>
        <v>0</v>
      </c>
      <c r="FQ63" s="35">
        <f>SUMIF('Resource Demand - Activity'!$FT:$FT,Example!$G63,'Resource Demand - Activity'!FL:FL)</f>
        <v>0</v>
      </c>
      <c r="FR63" s="35">
        <f>SUMIF('Resource Demand - Activity'!$FT:$FT,Example!$G63,'Resource Demand - Activity'!FM:FM)</f>
        <v>0</v>
      </c>
      <c r="FS63" s="35">
        <f>SUMIF('Resource Demand - Activity'!$FT:$FT,Example!$G63,'Resource Demand - Activity'!FN:FN)</f>
        <v>0</v>
      </c>
      <c r="FT63" s="35">
        <f>SUMIF('Resource Demand - Activity'!$FT:$FT,Example!$G63,'Resource Demand - Activity'!FO:FO)</f>
        <v>0</v>
      </c>
      <c r="FU63" s="35">
        <f>SUMIF('Resource Demand - Activity'!$FT:$FT,Example!$G63,'Resource Demand - Activity'!FP:FP)</f>
        <v>0</v>
      </c>
      <c r="FV63" s="52">
        <f>SUMIF('Resource Demand - Activity'!$FT:$FT,Example!$G63,'Resource Demand - Activity'!FQ:FQ)</f>
        <v>0</v>
      </c>
    </row>
    <row r="64" spans="2:178" s="63" customFormat="1" ht="12" customHeight="1">
      <c r="B64" s="1"/>
      <c r="G64" s="64" t="str">
        <f t="shared" si="11"/>
        <v>5. Annual Process Documentation 5.1 PreparationJunior Accountant</v>
      </c>
      <c r="H64" s="59" t="s">
        <v>163</v>
      </c>
      <c r="I64" s="59" t="str">
        <f>INDEX('Resource Demand - Activity'!C:C,MATCH(Example!G64,'Resource Demand - Activity'!FT:FT,0))</f>
        <v>22 days</v>
      </c>
      <c r="J64" s="51">
        <f>SUMIF('Resource Demand - Activity'!$FT:$FT,Example!$G64,'Resource Demand - Activity'!E:E)</f>
        <v>0</v>
      </c>
      <c r="K64" s="35">
        <f>SUMIF('Resource Demand - Activity'!$FT:$FT,Example!$G64,'Resource Demand - Activity'!F:F)</f>
        <v>0</v>
      </c>
      <c r="L64" s="35">
        <f>SUMIF('Resource Demand - Activity'!$FT:$FT,Example!$G64,'Resource Demand - Activity'!G:G)</f>
        <v>0</v>
      </c>
      <c r="M64" s="35">
        <f>SUMIF('Resource Demand - Activity'!$FT:$FT,Example!$G64,'Resource Demand - Activity'!H:H)</f>
        <v>0</v>
      </c>
      <c r="N64" s="35">
        <f>SUMIF('Resource Demand - Activity'!$FT:$FT,Example!$G64,'Resource Demand - Activity'!I:I)</f>
        <v>0</v>
      </c>
      <c r="O64" s="35">
        <f>SUMIF('Resource Demand - Activity'!$FT:$FT,Example!$G64,'Resource Demand - Activity'!J:J)</f>
        <v>0</v>
      </c>
      <c r="P64" s="35">
        <f>SUMIF('Resource Demand - Activity'!$FT:$FT,Example!$G64,'Resource Demand - Activity'!K:K)</f>
        <v>0</v>
      </c>
      <c r="Q64" s="35">
        <f>SUMIF('Resource Demand - Activity'!$FT:$FT,Example!$G64,'Resource Demand - Activity'!L:L)</f>
        <v>0</v>
      </c>
      <c r="R64" s="35">
        <f>SUMIF('Resource Demand - Activity'!$FT:$FT,Example!$G64,'Resource Demand - Activity'!M:M)</f>
        <v>0</v>
      </c>
      <c r="S64" s="35">
        <f>SUMIF('Resource Demand - Activity'!$FT:$FT,Example!$G64,'Resource Demand - Activity'!N:N)</f>
        <v>0</v>
      </c>
      <c r="T64" s="35">
        <f>SUMIF('Resource Demand - Activity'!$FT:$FT,Example!$G64,'Resource Demand - Activity'!O:O)</f>
        <v>0</v>
      </c>
      <c r="U64" s="35">
        <f>SUMIF('Resource Demand - Activity'!$FT:$FT,Example!$G64,'Resource Demand - Activity'!P:P)</f>
        <v>1</v>
      </c>
      <c r="V64" s="35">
        <f>SUMIF('Resource Demand - Activity'!$FT:$FT,Example!$G64,'Resource Demand - Activity'!Q:Q)</f>
        <v>1</v>
      </c>
      <c r="W64" s="35">
        <f>SUMIF('Resource Demand - Activity'!$FT:$FT,Example!$G64,'Resource Demand - Activity'!R:R)</f>
        <v>1</v>
      </c>
      <c r="X64" s="35">
        <f>SUMIF('Resource Demand - Activity'!$FT:$FT,Example!$G64,'Resource Demand - Activity'!S:S)</f>
        <v>1</v>
      </c>
      <c r="Y64" s="35">
        <f>SUMIF('Resource Demand - Activity'!$FT:$FT,Example!$G64,'Resource Demand - Activity'!T:T)</f>
        <v>1</v>
      </c>
      <c r="Z64" s="35">
        <f>SUMIF('Resource Demand - Activity'!$FT:$FT,Example!$G64,'Resource Demand - Activity'!U:U)</f>
        <v>1</v>
      </c>
      <c r="AA64" s="35">
        <f>SUMIF('Resource Demand - Activity'!$FT:$FT,Example!$G64,'Resource Demand - Activity'!V:V)</f>
        <v>1</v>
      </c>
      <c r="AB64" s="35">
        <f>SUMIF('Resource Demand - Activity'!$FT:$FT,Example!$G64,'Resource Demand - Activity'!W:W)</f>
        <v>1</v>
      </c>
      <c r="AC64" s="35">
        <f>SUMIF('Resource Demand - Activity'!$FT:$FT,Example!$G64,'Resource Demand - Activity'!X:X)</f>
        <v>1</v>
      </c>
      <c r="AD64" s="35">
        <f>SUMIF('Resource Demand - Activity'!$FT:$FT,Example!$G64,'Resource Demand - Activity'!Y:Y)</f>
        <v>1</v>
      </c>
      <c r="AE64" s="35">
        <f>SUMIF('Resource Demand - Activity'!$FT:$FT,Example!$G64,'Resource Demand - Activity'!Z:Z)</f>
        <v>1</v>
      </c>
      <c r="AF64" s="35">
        <f>SUMIF('Resource Demand - Activity'!$FT:$FT,Example!$G64,'Resource Demand - Activity'!AA:AA)</f>
        <v>1</v>
      </c>
      <c r="AG64" s="35">
        <f>SUMIF('Resource Demand - Activity'!$FT:$FT,Example!$G64,'Resource Demand - Activity'!AB:AB)</f>
        <v>1</v>
      </c>
      <c r="AH64" s="35">
        <f>SUMIF('Resource Demand - Activity'!$FT:$FT,Example!$G64,'Resource Demand - Activity'!AC:AC)</f>
        <v>1</v>
      </c>
      <c r="AI64" s="35">
        <f>SUMIF('Resource Demand - Activity'!$FT:$FT,Example!$G64,'Resource Demand - Activity'!AD:AD)</f>
        <v>1</v>
      </c>
      <c r="AJ64" s="35">
        <f>SUMIF('Resource Demand - Activity'!$FT:$FT,Example!$G64,'Resource Demand - Activity'!AE:AE)</f>
        <v>1</v>
      </c>
      <c r="AK64" s="35">
        <f>SUMIF('Resource Demand - Activity'!$FT:$FT,Example!$G64,'Resource Demand - Activity'!AF:AF)</f>
        <v>1</v>
      </c>
      <c r="AL64" s="35">
        <f>SUMIF('Resource Demand - Activity'!$FT:$FT,Example!$G64,'Resource Demand - Activity'!AG:AG)</f>
        <v>1</v>
      </c>
      <c r="AM64" s="35">
        <f>SUMIF('Resource Demand - Activity'!$FT:$FT,Example!$G64,'Resource Demand - Activity'!AH:AH)</f>
        <v>1</v>
      </c>
      <c r="AN64" s="35">
        <f>SUMIF('Resource Demand - Activity'!$FT:$FT,Example!$G64,'Resource Demand - Activity'!AI:AI)</f>
        <v>1</v>
      </c>
      <c r="AO64" s="35">
        <f>SUMIF('Resource Demand - Activity'!$FT:$FT,Example!$G64,'Resource Demand - Activity'!AJ:AJ)</f>
        <v>1</v>
      </c>
      <c r="AP64" s="35">
        <f>SUMIF('Resource Demand - Activity'!$FT:$FT,Example!$G64,'Resource Demand - Activity'!AK:AK)</f>
        <v>1</v>
      </c>
      <c r="AQ64" s="36">
        <f>SUMIF('Resource Demand - Activity'!$FT:$FT,Example!$G64,'Resource Demand - Activity'!AL:AL)</f>
        <v>0</v>
      </c>
      <c r="AR64" s="36">
        <f>SUMIF('Resource Demand - Activity'!$FT:$FT,Example!$G64,'Resource Demand - Activity'!AM:AM)</f>
        <v>0</v>
      </c>
      <c r="AS64" s="36">
        <f>SUMIF('Resource Demand - Activity'!$FT:$FT,Example!$G64,'Resource Demand - Activity'!AN:AN)</f>
        <v>0</v>
      </c>
      <c r="AT64" s="36">
        <f>SUMIF('Resource Demand - Activity'!$FT:$FT,Example!$G64,'Resource Demand - Activity'!AO:AO)</f>
        <v>0</v>
      </c>
      <c r="AU64" s="36">
        <f>SUMIF('Resource Demand - Activity'!$FT:$FT,Example!$G64,'Resource Demand - Activity'!AP:AP)</f>
        <v>0</v>
      </c>
      <c r="AV64" s="36">
        <f>SUMIF('Resource Demand - Activity'!$FT:$FT,Example!$G64,'Resource Demand - Activity'!AQ:AQ)</f>
        <v>0</v>
      </c>
      <c r="AW64" s="36">
        <f>SUMIF('Resource Demand - Activity'!$FT:$FT,Example!$G64,'Resource Demand - Activity'!AR:AR)</f>
        <v>0</v>
      </c>
      <c r="AX64" s="35">
        <f>SUMIF('Resource Demand - Activity'!$FT:$FT,Example!$G64,'Resource Demand - Activity'!AS:AS)</f>
        <v>0</v>
      </c>
      <c r="AY64" s="35">
        <f>SUMIF('Resource Demand - Activity'!$FT:$FT,Example!$G64,'Resource Demand - Activity'!AT:AT)</f>
        <v>0</v>
      </c>
      <c r="AZ64" s="35">
        <f>SUMIF('Resource Demand - Activity'!$FT:$FT,Example!$G64,'Resource Demand - Activity'!AU:AU)</f>
        <v>0</v>
      </c>
      <c r="BA64" s="35">
        <f>SUMIF('Resource Demand - Activity'!$FT:$FT,Example!$G64,'Resource Demand - Activity'!AV:AV)</f>
        <v>0</v>
      </c>
      <c r="BB64" s="35">
        <f>SUMIF('Resource Demand - Activity'!$FT:$FT,Example!$G64,'Resource Demand - Activity'!AW:AW)</f>
        <v>0</v>
      </c>
      <c r="BC64" s="35">
        <f>SUMIF('Resource Demand - Activity'!$FT:$FT,Example!$G64,'Resource Demand - Activity'!AX:AX)</f>
        <v>0</v>
      </c>
      <c r="BD64" s="35">
        <f>SUMIF('Resource Demand - Activity'!$FT:$FT,Example!$G64,'Resource Demand - Activity'!AY:AY)</f>
        <v>0</v>
      </c>
      <c r="BE64" s="35">
        <f>SUMIF('Resource Demand - Activity'!$FT:$FT,Example!$G64,'Resource Demand - Activity'!AZ:AZ)</f>
        <v>0</v>
      </c>
      <c r="BF64" s="35">
        <f>SUMIF('Resource Demand - Activity'!$FT:$FT,Example!$G64,'Resource Demand - Activity'!BA:BA)</f>
        <v>0</v>
      </c>
      <c r="BG64" s="35">
        <f>SUMIF('Resource Demand - Activity'!$FT:$FT,Example!$G64,'Resource Demand - Activity'!BB:BB)</f>
        <v>0</v>
      </c>
      <c r="BH64" s="35">
        <f>SUMIF('Resource Demand - Activity'!$FT:$FT,Example!$G64,'Resource Demand - Activity'!BC:BC)</f>
        <v>0</v>
      </c>
      <c r="BI64" s="35">
        <f>SUMIF('Resource Demand - Activity'!$FT:$FT,Example!$G64,'Resource Demand - Activity'!BD:BD)</f>
        <v>0</v>
      </c>
      <c r="BJ64" s="35">
        <f>SUMIF('Resource Demand - Activity'!$FT:$FT,Example!$G64,'Resource Demand - Activity'!BE:BE)</f>
        <v>0</v>
      </c>
      <c r="BK64" s="35">
        <f>SUMIF('Resource Demand - Activity'!$FT:$FT,Example!$G64,'Resource Demand - Activity'!BF:BF)</f>
        <v>0</v>
      </c>
      <c r="BL64" s="35">
        <f>SUMIF('Resource Demand - Activity'!$FT:$FT,Example!$G64,'Resource Demand - Activity'!BG:BG)</f>
        <v>0</v>
      </c>
      <c r="BM64" s="35">
        <f>SUMIF('Resource Demand - Activity'!$FT:$FT,Example!$G64,'Resource Demand - Activity'!BH:BH)</f>
        <v>0</v>
      </c>
      <c r="BN64" s="35">
        <f>SUMIF('Resource Demand - Activity'!$FT:$FT,Example!$G64,'Resource Demand - Activity'!BI:BI)</f>
        <v>0</v>
      </c>
      <c r="BO64" s="35">
        <f>SUMIF('Resource Demand - Activity'!$FT:$FT,Example!$G64,'Resource Demand - Activity'!BJ:BJ)</f>
        <v>0</v>
      </c>
      <c r="BP64" s="35">
        <f>SUMIF('Resource Demand - Activity'!$FT:$FT,Example!$G64,'Resource Demand - Activity'!BK:BK)</f>
        <v>0</v>
      </c>
      <c r="BQ64" s="35">
        <f>SUMIF('Resource Demand - Activity'!$FT:$FT,Example!$G64,'Resource Demand - Activity'!BL:BL)</f>
        <v>0</v>
      </c>
      <c r="BR64" s="35">
        <f>SUMIF('Resource Demand - Activity'!$FT:$FT,Example!$G64,'Resource Demand - Activity'!BM:BM)</f>
        <v>0</v>
      </c>
      <c r="BS64" s="35">
        <f>SUMIF('Resource Demand - Activity'!$FT:$FT,Example!$G64,'Resource Demand - Activity'!BN:BN)</f>
        <v>0</v>
      </c>
      <c r="BT64" s="35">
        <f>SUMIF('Resource Demand - Activity'!$FT:$FT,Example!$G64,'Resource Demand - Activity'!BO:BO)</f>
        <v>0</v>
      </c>
      <c r="BU64" s="35">
        <f>SUMIF('Resource Demand - Activity'!$FT:$FT,Example!$G64,'Resource Demand - Activity'!BP:BP)</f>
        <v>0</v>
      </c>
      <c r="BV64" s="35">
        <f>SUMIF('Resource Demand - Activity'!$FT:$FT,Example!$G64,'Resource Demand - Activity'!BQ:BQ)</f>
        <v>0</v>
      </c>
      <c r="BW64" s="35">
        <f>SUMIF('Resource Demand - Activity'!$FT:$FT,Example!$G64,'Resource Demand - Activity'!BR:BR)</f>
        <v>0</v>
      </c>
      <c r="BX64" s="35">
        <f>SUMIF('Resource Demand - Activity'!$FT:$FT,Example!$G64,'Resource Demand - Activity'!BS:BS)</f>
        <v>0</v>
      </c>
      <c r="BY64" s="35">
        <f>SUMIF('Resource Demand - Activity'!$FT:$FT,Example!$G64,'Resource Demand - Activity'!BT:BT)</f>
        <v>0</v>
      </c>
      <c r="BZ64" s="35">
        <f>SUMIF('Resource Demand - Activity'!$FT:$FT,Example!$G64,'Resource Demand - Activity'!BU:BU)</f>
        <v>0</v>
      </c>
      <c r="CA64" s="35">
        <f>SUMIF('Resource Demand - Activity'!$FT:$FT,Example!$G64,'Resource Demand - Activity'!BV:BV)</f>
        <v>0</v>
      </c>
      <c r="CB64" s="35">
        <f>SUMIF('Resource Demand - Activity'!$FT:$FT,Example!$G64,'Resource Demand - Activity'!BW:BW)</f>
        <v>0</v>
      </c>
      <c r="CC64" s="35">
        <f>SUMIF('Resource Demand - Activity'!$FT:$FT,Example!$G64,'Resource Demand - Activity'!BX:BX)</f>
        <v>0</v>
      </c>
      <c r="CD64" s="35">
        <f>SUMIF('Resource Demand - Activity'!$FT:$FT,Example!$G64,'Resource Demand - Activity'!BY:BY)</f>
        <v>0</v>
      </c>
      <c r="CE64" s="35">
        <f>SUMIF('Resource Demand - Activity'!$FT:$FT,Example!$G64,'Resource Demand - Activity'!BZ:BZ)</f>
        <v>0</v>
      </c>
      <c r="CF64" s="35">
        <f>SUMIF('Resource Demand - Activity'!$FT:$FT,Example!$G64,'Resource Demand - Activity'!CA:CA)</f>
        <v>0</v>
      </c>
      <c r="CG64" s="35">
        <f>SUMIF('Resource Demand - Activity'!$FT:$FT,Example!$G64,'Resource Demand - Activity'!CB:CB)</f>
        <v>0</v>
      </c>
      <c r="CH64" s="35">
        <f>SUMIF('Resource Demand - Activity'!$FT:$FT,Example!$G64,'Resource Demand - Activity'!CC:CC)</f>
        <v>0</v>
      </c>
      <c r="CI64" s="35">
        <f>SUMIF('Resource Demand - Activity'!$FT:$FT,Example!$G64,'Resource Demand - Activity'!CD:CD)</f>
        <v>0</v>
      </c>
      <c r="CJ64" s="35">
        <f>SUMIF('Resource Demand - Activity'!$FT:$FT,Example!$G64,'Resource Demand - Activity'!CE:CE)</f>
        <v>0</v>
      </c>
      <c r="CK64" s="35">
        <f>SUMIF('Resource Demand - Activity'!$FT:$FT,Example!$G64,'Resource Demand - Activity'!CF:CF)</f>
        <v>0</v>
      </c>
      <c r="CL64" s="35">
        <f>SUMIF('Resource Demand - Activity'!$FT:$FT,Example!$G64,'Resource Demand - Activity'!CG:CG)</f>
        <v>0</v>
      </c>
      <c r="CM64" s="35">
        <f>SUMIF('Resource Demand - Activity'!$FT:$FT,Example!$G64,'Resource Demand - Activity'!CH:CH)</f>
        <v>0</v>
      </c>
      <c r="CN64" s="35">
        <f>SUMIF('Resource Demand - Activity'!$FT:$FT,Example!$G64,'Resource Demand - Activity'!CI:CI)</f>
        <v>0</v>
      </c>
      <c r="CO64" s="35">
        <f>SUMIF('Resource Demand - Activity'!$FT:$FT,Example!$G64,'Resource Demand - Activity'!CJ:CJ)</f>
        <v>0</v>
      </c>
      <c r="CP64" s="35">
        <f>SUMIF('Resource Demand - Activity'!$FT:$FT,Example!$G64,'Resource Demand - Activity'!CK:CK)</f>
        <v>0</v>
      </c>
      <c r="CQ64" s="35">
        <f>SUMIF('Resource Demand - Activity'!$FT:$FT,Example!$G64,'Resource Demand - Activity'!CL:CL)</f>
        <v>0</v>
      </c>
      <c r="CR64" s="35">
        <f>SUMIF('Resource Demand - Activity'!$FT:$FT,Example!$G64,'Resource Demand - Activity'!CM:CM)</f>
        <v>0</v>
      </c>
      <c r="CS64" s="35">
        <f>SUMIF('Resource Demand - Activity'!$FT:$FT,Example!$G64,'Resource Demand - Activity'!CN:CN)</f>
        <v>0</v>
      </c>
      <c r="CT64" s="35">
        <f>SUMIF('Resource Demand - Activity'!$FT:$FT,Example!$G64,'Resource Demand - Activity'!CO:CO)</f>
        <v>0</v>
      </c>
      <c r="CU64" s="35">
        <f>SUMIF('Resource Demand - Activity'!$FT:$FT,Example!$G64,'Resource Demand - Activity'!CP:CP)</f>
        <v>0</v>
      </c>
      <c r="CV64" s="35">
        <f>SUMIF('Resource Demand - Activity'!$FT:$FT,Example!$G64,'Resource Demand - Activity'!CQ:CQ)</f>
        <v>0</v>
      </c>
      <c r="CW64" s="35">
        <f>SUMIF('Resource Demand - Activity'!$FT:$FT,Example!$G64,'Resource Demand - Activity'!CR:CR)</f>
        <v>0</v>
      </c>
      <c r="CX64" s="35">
        <f>SUMIF('Resource Demand - Activity'!$FT:$FT,Example!$G64,'Resource Demand - Activity'!CS:CS)</f>
        <v>0</v>
      </c>
      <c r="CY64" s="36">
        <f>SUMIF('Resource Demand - Activity'!$FT:$FT,Example!$G64,'Resource Demand - Activity'!CT:CT)</f>
        <v>0</v>
      </c>
      <c r="CZ64" s="35">
        <f>SUMIF('Resource Demand - Activity'!$FT:$FT,Example!$G64,'Resource Demand - Activity'!CU:CU)</f>
        <v>0</v>
      </c>
      <c r="DA64" s="35">
        <f>SUMIF('Resource Demand - Activity'!$FT:$FT,Example!$G64,'Resource Demand - Activity'!CV:CV)</f>
        <v>0</v>
      </c>
      <c r="DB64" s="35">
        <f>SUMIF('Resource Demand - Activity'!$FT:$FT,Example!$G64,'Resource Demand - Activity'!CW:CW)</f>
        <v>0</v>
      </c>
      <c r="DC64" s="35">
        <f>SUMIF('Resource Demand - Activity'!$FT:$FT,Example!$G64,'Resource Demand - Activity'!CX:CX)</f>
        <v>0</v>
      </c>
      <c r="DD64" s="35">
        <f>SUMIF('Resource Demand - Activity'!$FT:$FT,Example!$G64,'Resource Demand - Activity'!CY:CY)</f>
        <v>0</v>
      </c>
      <c r="DE64" s="36">
        <f>SUMIF('Resource Demand - Activity'!$FT:$FT,Example!$G64,'Resource Demand - Activity'!CZ:CZ)</f>
        <v>0</v>
      </c>
      <c r="DF64" s="36">
        <f>SUMIF('Resource Demand - Activity'!$FT:$FT,Example!$G64,'Resource Demand - Activity'!DA:DA)</f>
        <v>0</v>
      </c>
      <c r="DG64" s="35">
        <f>SUMIF('Resource Demand - Activity'!$FT:$FT,Example!$G64,'Resource Demand - Activity'!DB:DB)</f>
        <v>0</v>
      </c>
      <c r="DH64" s="35">
        <f>SUMIF('Resource Demand - Activity'!$FT:$FT,Example!$G64,'Resource Demand - Activity'!DC:DC)</f>
        <v>0</v>
      </c>
      <c r="DI64" s="35">
        <f>SUMIF('Resource Demand - Activity'!$FT:$FT,Example!$G64,'Resource Demand - Activity'!DD:DD)</f>
        <v>0</v>
      </c>
      <c r="DJ64" s="35">
        <f>SUMIF('Resource Demand - Activity'!$FT:$FT,Example!$G64,'Resource Demand - Activity'!DE:DE)</f>
        <v>0</v>
      </c>
      <c r="DK64" s="35">
        <f>SUMIF('Resource Demand - Activity'!$FT:$FT,Example!$G64,'Resource Demand - Activity'!DF:DF)</f>
        <v>0</v>
      </c>
      <c r="DL64" s="35">
        <f>SUMIF('Resource Demand - Activity'!$FT:$FT,Example!$G64,'Resource Demand - Activity'!DG:DG)</f>
        <v>0</v>
      </c>
      <c r="DM64" s="35">
        <f>SUMIF('Resource Demand - Activity'!$FT:$FT,Example!$G64,'Resource Demand - Activity'!DH:DH)</f>
        <v>0</v>
      </c>
      <c r="DN64" s="35">
        <f>SUMIF('Resource Demand - Activity'!$FT:$FT,Example!$G64,'Resource Demand - Activity'!DI:DI)</f>
        <v>0</v>
      </c>
      <c r="DO64" s="35">
        <f>SUMIF('Resource Demand - Activity'!$FT:$FT,Example!$G64,'Resource Demand - Activity'!DJ:DJ)</f>
        <v>0</v>
      </c>
      <c r="DP64" s="35">
        <f>SUMIF('Resource Demand - Activity'!$FT:$FT,Example!$G64,'Resource Demand - Activity'!DK:DK)</f>
        <v>0</v>
      </c>
      <c r="DQ64" s="35">
        <f>SUMIF('Resource Demand - Activity'!$FT:$FT,Example!$G64,'Resource Demand - Activity'!DL:DL)</f>
        <v>0</v>
      </c>
      <c r="DR64" s="35">
        <f>SUMIF('Resource Demand - Activity'!$FT:$FT,Example!$G64,'Resource Demand - Activity'!DM:DM)</f>
        <v>0</v>
      </c>
      <c r="DS64" s="35">
        <f>SUMIF('Resource Demand - Activity'!$FT:$FT,Example!$G64,'Resource Demand - Activity'!DN:DN)</f>
        <v>0</v>
      </c>
      <c r="DT64" s="35">
        <f>SUMIF('Resource Demand - Activity'!$FT:$FT,Example!$G64,'Resource Demand - Activity'!DO:DO)</f>
        <v>0</v>
      </c>
      <c r="DU64" s="35">
        <f>SUMIF('Resource Demand - Activity'!$FT:$FT,Example!$G64,'Resource Demand - Activity'!DP:DP)</f>
        <v>0</v>
      </c>
      <c r="DV64" s="35">
        <f>SUMIF('Resource Demand - Activity'!$FT:$FT,Example!$G64,'Resource Demand - Activity'!DQ:DQ)</f>
        <v>0</v>
      </c>
      <c r="DW64" s="35">
        <f>SUMIF('Resource Demand - Activity'!$FT:$FT,Example!$G64,'Resource Demand - Activity'!DR:DR)</f>
        <v>0</v>
      </c>
      <c r="DX64" s="35">
        <f>SUMIF('Resource Demand - Activity'!$FT:$FT,Example!$G64,'Resource Demand - Activity'!DS:DS)</f>
        <v>0</v>
      </c>
      <c r="DY64" s="35">
        <f>SUMIF('Resource Demand - Activity'!$FT:$FT,Example!$G64,'Resource Demand - Activity'!DT:DT)</f>
        <v>0</v>
      </c>
      <c r="DZ64" s="35">
        <f>SUMIF('Resource Demand - Activity'!$FT:$FT,Example!$G64,'Resource Demand - Activity'!DU:DU)</f>
        <v>0</v>
      </c>
      <c r="EA64" s="35">
        <f>SUMIF('Resource Demand - Activity'!$FT:$FT,Example!$G64,'Resource Demand - Activity'!DV:DV)</f>
        <v>0</v>
      </c>
      <c r="EB64" s="35">
        <f>SUMIF('Resource Demand - Activity'!$FT:$FT,Example!$G64,'Resource Demand - Activity'!DW:DW)</f>
        <v>0</v>
      </c>
      <c r="EC64" s="35">
        <f>SUMIF('Resource Demand - Activity'!$FT:$FT,Example!$G64,'Resource Demand - Activity'!DX:DX)</f>
        <v>0</v>
      </c>
      <c r="ED64" s="35">
        <f>SUMIF('Resource Demand - Activity'!$FT:$FT,Example!$G64,'Resource Demand - Activity'!DY:DY)</f>
        <v>0</v>
      </c>
      <c r="EE64" s="36">
        <f>SUMIF('Resource Demand - Activity'!$FT:$FT,Example!$G64,'Resource Demand - Activity'!DZ:DZ)</f>
        <v>0</v>
      </c>
      <c r="EF64" s="35">
        <f>SUMIF('Resource Demand - Activity'!$FT:$FT,Example!$G64,'Resource Demand - Activity'!EA:EA)</f>
        <v>0</v>
      </c>
      <c r="EG64" s="35">
        <f>SUMIF('Resource Demand - Activity'!$FT:$FT,Example!$G64,'Resource Demand - Activity'!EB:EB)</f>
        <v>0</v>
      </c>
      <c r="EH64" s="35">
        <f>SUMIF('Resource Demand - Activity'!$FT:$FT,Example!$G64,'Resource Demand - Activity'!EC:EC)</f>
        <v>0</v>
      </c>
      <c r="EI64" s="35">
        <f>SUMIF('Resource Demand - Activity'!$FT:$FT,Example!$G64,'Resource Demand - Activity'!ED:ED)</f>
        <v>0</v>
      </c>
      <c r="EJ64" s="35">
        <f>SUMIF('Resource Demand - Activity'!$FT:$FT,Example!$G64,'Resource Demand - Activity'!EE:EE)</f>
        <v>0</v>
      </c>
      <c r="EK64" s="35">
        <f>SUMIF('Resource Demand - Activity'!$FT:$FT,Example!$G64,'Resource Demand - Activity'!EF:EF)</f>
        <v>0</v>
      </c>
      <c r="EL64" s="35">
        <f>SUMIF('Resource Demand - Activity'!$FT:$FT,Example!$G64,'Resource Demand - Activity'!EG:EG)</f>
        <v>0</v>
      </c>
      <c r="EM64" s="35">
        <f>SUMIF('Resource Demand - Activity'!$FT:$FT,Example!$G64,'Resource Demand - Activity'!EH:EH)</f>
        <v>0</v>
      </c>
      <c r="EN64" s="35">
        <f>SUMIF('Resource Demand - Activity'!$FT:$FT,Example!$G64,'Resource Demand - Activity'!EI:EI)</f>
        <v>0</v>
      </c>
      <c r="EO64" s="35">
        <f>SUMIF('Resource Demand - Activity'!$FT:$FT,Example!$G64,'Resource Demand - Activity'!EJ:EJ)</f>
        <v>0</v>
      </c>
      <c r="EP64" s="35">
        <f>SUMIF('Resource Demand - Activity'!$FT:$FT,Example!$G64,'Resource Demand - Activity'!EK:EK)</f>
        <v>0</v>
      </c>
      <c r="EQ64" s="35">
        <f>SUMIF('Resource Demand - Activity'!$FT:$FT,Example!$G64,'Resource Demand - Activity'!EL:EL)</f>
        <v>0</v>
      </c>
      <c r="ER64" s="35">
        <f>SUMIF('Resource Demand - Activity'!$FT:$FT,Example!$G64,'Resource Demand - Activity'!EM:EM)</f>
        <v>0</v>
      </c>
      <c r="ES64" s="35">
        <f>SUMIF('Resource Demand - Activity'!$FT:$FT,Example!$G64,'Resource Demand - Activity'!EN:EN)</f>
        <v>0</v>
      </c>
      <c r="ET64" s="35">
        <f>SUMIF('Resource Demand - Activity'!$FT:$FT,Example!$G64,'Resource Demand - Activity'!EO:EO)</f>
        <v>0</v>
      </c>
      <c r="EU64" s="35">
        <f>SUMIF('Resource Demand - Activity'!$FT:$FT,Example!$G64,'Resource Demand - Activity'!EP:EP)</f>
        <v>0</v>
      </c>
      <c r="EV64" s="35">
        <f>SUMIF('Resource Demand - Activity'!$FT:$FT,Example!$G64,'Resource Demand - Activity'!EQ:EQ)</f>
        <v>0</v>
      </c>
      <c r="EW64" s="35">
        <f>SUMIF('Resource Demand - Activity'!$FT:$FT,Example!$G64,'Resource Demand - Activity'!ER:ER)</f>
        <v>0</v>
      </c>
      <c r="EX64" s="35">
        <f>SUMIF('Resource Demand - Activity'!$FT:$FT,Example!$G64,'Resource Demand - Activity'!ES:ES)</f>
        <v>0</v>
      </c>
      <c r="EY64" s="35">
        <f>SUMIF('Resource Demand - Activity'!$FT:$FT,Example!$G64,'Resource Demand - Activity'!ET:ET)</f>
        <v>0</v>
      </c>
      <c r="EZ64" s="35">
        <f>SUMIF('Resource Demand - Activity'!$FT:$FT,Example!$G64,'Resource Demand - Activity'!EU:EU)</f>
        <v>0</v>
      </c>
      <c r="FA64" s="35">
        <f>SUMIF('Resource Demand - Activity'!$FT:$FT,Example!$G64,'Resource Demand - Activity'!EV:EV)</f>
        <v>0</v>
      </c>
      <c r="FB64" s="35">
        <f>SUMIF('Resource Demand - Activity'!$FT:$FT,Example!$G64,'Resource Demand - Activity'!EW:EW)</f>
        <v>0</v>
      </c>
      <c r="FC64" s="35">
        <f>SUMIF('Resource Demand - Activity'!$FT:$FT,Example!$G64,'Resource Demand - Activity'!EX:EX)</f>
        <v>0</v>
      </c>
      <c r="FD64" s="36">
        <f>SUMIF('Resource Demand - Activity'!$FT:$FT,Example!$G64,'Resource Demand - Activity'!EY:EY)</f>
        <v>0</v>
      </c>
      <c r="FE64" s="35">
        <f>SUMIF('Resource Demand - Activity'!$FT:$FT,Example!$G64,'Resource Demand - Activity'!EZ:EZ)</f>
        <v>0</v>
      </c>
      <c r="FF64" s="35">
        <f>SUMIF('Resource Demand - Activity'!$FT:$FT,Example!$G64,'Resource Demand - Activity'!FA:FA)</f>
        <v>0</v>
      </c>
      <c r="FG64" s="35">
        <f>SUMIF('Resource Demand - Activity'!$FT:$FT,Example!$G64,'Resource Demand - Activity'!FB:FB)</f>
        <v>0</v>
      </c>
      <c r="FH64" s="35">
        <f>SUMIF('Resource Demand - Activity'!$FT:$FT,Example!$G64,'Resource Demand - Activity'!FC:FC)</f>
        <v>0</v>
      </c>
      <c r="FI64" s="35">
        <f>SUMIF('Resource Demand - Activity'!$FT:$FT,Example!$G64,'Resource Demand - Activity'!FD:FD)</f>
        <v>0</v>
      </c>
      <c r="FJ64" s="35">
        <f>SUMIF('Resource Demand - Activity'!$FT:$FT,Example!$G64,'Resource Demand - Activity'!FE:FE)</f>
        <v>0</v>
      </c>
      <c r="FK64" s="35">
        <f>SUMIF('Resource Demand - Activity'!$FT:$FT,Example!$G64,'Resource Demand - Activity'!FF:FF)</f>
        <v>0</v>
      </c>
      <c r="FL64" s="35">
        <f>SUMIF('Resource Demand - Activity'!$FT:$FT,Example!$G64,'Resource Demand - Activity'!FG:FG)</f>
        <v>0</v>
      </c>
      <c r="FM64" s="35">
        <f>SUMIF('Resource Demand - Activity'!$FT:$FT,Example!$G64,'Resource Demand - Activity'!FH:FH)</f>
        <v>0</v>
      </c>
      <c r="FN64" s="35">
        <f>SUMIF('Resource Demand - Activity'!$FT:$FT,Example!$G64,'Resource Demand - Activity'!FI:FI)</f>
        <v>0</v>
      </c>
      <c r="FO64" s="35">
        <f>SUMIF('Resource Demand - Activity'!$FT:$FT,Example!$G64,'Resource Demand - Activity'!FJ:FJ)</f>
        <v>0</v>
      </c>
      <c r="FP64" s="35">
        <f>SUMIF('Resource Demand - Activity'!$FT:$FT,Example!$G64,'Resource Demand - Activity'!FK:FK)</f>
        <v>0</v>
      </c>
      <c r="FQ64" s="35">
        <f>SUMIF('Resource Demand - Activity'!$FT:$FT,Example!$G64,'Resource Demand - Activity'!FL:FL)</f>
        <v>0</v>
      </c>
      <c r="FR64" s="35">
        <f>SUMIF('Resource Demand - Activity'!$FT:$FT,Example!$G64,'Resource Demand - Activity'!FM:FM)</f>
        <v>0</v>
      </c>
      <c r="FS64" s="35">
        <f>SUMIF('Resource Demand - Activity'!$FT:$FT,Example!$G64,'Resource Demand - Activity'!FN:FN)</f>
        <v>0</v>
      </c>
      <c r="FT64" s="35">
        <f>SUMIF('Resource Demand - Activity'!$FT:$FT,Example!$G64,'Resource Demand - Activity'!FO:FO)</f>
        <v>0</v>
      </c>
      <c r="FU64" s="35">
        <f>SUMIF('Resource Demand - Activity'!$FT:$FT,Example!$G64,'Resource Demand - Activity'!FP:FP)</f>
        <v>0</v>
      </c>
      <c r="FV64" s="52">
        <f>SUMIF('Resource Demand - Activity'!$FT:$FT,Example!$G64,'Resource Demand - Activity'!FQ:FQ)</f>
        <v>0</v>
      </c>
    </row>
    <row r="65" spans="2:178" s="63" customFormat="1" ht="12" customHeight="1">
      <c r="B65" s="1"/>
      <c r="G65" s="64" t="str">
        <f t="shared" si="11"/>
        <v>6. SFCR Development &amp; Dry Run 6.1 PreparationJunior Accountant</v>
      </c>
      <c r="H65" s="59" t="s">
        <v>149</v>
      </c>
      <c r="I65" s="59" t="str">
        <f>INDEX('Resource Demand - Activity'!C:C,MATCH(Example!G65,'Resource Demand - Activity'!FT:FT,0))</f>
        <v>10 days</v>
      </c>
      <c r="J65" s="51">
        <f>SUMIF('Resource Demand - Activity'!$FT:$FT,Example!$G65,'Resource Demand - Activity'!E:E)</f>
        <v>0</v>
      </c>
      <c r="K65" s="35">
        <f>SUMIF('Resource Demand - Activity'!$FT:$FT,Example!$G65,'Resource Demand - Activity'!F:F)</f>
        <v>0</v>
      </c>
      <c r="L65" s="35">
        <f>SUMIF('Resource Demand - Activity'!$FT:$FT,Example!$G65,'Resource Demand - Activity'!G:G)</f>
        <v>0</v>
      </c>
      <c r="M65" s="35">
        <f>SUMIF('Resource Demand - Activity'!$FT:$FT,Example!$G65,'Resource Demand - Activity'!H:H)</f>
        <v>0</v>
      </c>
      <c r="N65" s="35">
        <f>SUMIF('Resource Demand - Activity'!$FT:$FT,Example!$G65,'Resource Demand - Activity'!I:I)</f>
        <v>0</v>
      </c>
      <c r="O65" s="35">
        <f>SUMIF('Resource Demand - Activity'!$FT:$FT,Example!$G65,'Resource Demand - Activity'!J:J)</f>
        <v>0</v>
      </c>
      <c r="P65" s="35">
        <f>SUMIF('Resource Demand - Activity'!$FT:$FT,Example!$G65,'Resource Demand - Activity'!K:K)</f>
        <v>0</v>
      </c>
      <c r="Q65" s="35">
        <f>SUMIF('Resource Demand - Activity'!$FT:$FT,Example!$G65,'Resource Demand - Activity'!L:L)</f>
        <v>0</v>
      </c>
      <c r="R65" s="35">
        <f>SUMIF('Resource Demand - Activity'!$FT:$FT,Example!$G65,'Resource Demand - Activity'!M:M)</f>
        <v>0</v>
      </c>
      <c r="S65" s="35">
        <f>SUMIF('Resource Demand - Activity'!$FT:$FT,Example!$G65,'Resource Demand - Activity'!N:N)</f>
        <v>0</v>
      </c>
      <c r="T65" s="35">
        <f>SUMIF('Resource Demand - Activity'!$FT:$FT,Example!$G65,'Resource Demand - Activity'!O:O)</f>
        <v>0</v>
      </c>
      <c r="U65" s="35">
        <f>SUMIF('Resource Demand - Activity'!$FT:$FT,Example!$G65,'Resource Demand - Activity'!P:P)</f>
        <v>0</v>
      </c>
      <c r="V65" s="35">
        <f>SUMIF('Resource Demand - Activity'!$FT:$FT,Example!$G65,'Resource Demand - Activity'!Q:Q)</f>
        <v>0</v>
      </c>
      <c r="W65" s="35">
        <f>SUMIF('Resource Demand - Activity'!$FT:$FT,Example!$G65,'Resource Demand - Activity'!R:R)</f>
        <v>0</v>
      </c>
      <c r="X65" s="35">
        <f>SUMIF('Resource Demand - Activity'!$FT:$FT,Example!$G65,'Resource Demand - Activity'!S:S)</f>
        <v>0</v>
      </c>
      <c r="Y65" s="35">
        <f>SUMIF('Resource Demand - Activity'!$FT:$FT,Example!$G65,'Resource Demand - Activity'!T:T)</f>
        <v>0</v>
      </c>
      <c r="Z65" s="35">
        <f>SUMIF('Resource Demand - Activity'!$FT:$FT,Example!$G65,'Resource Demand - Activity'!U:U)</f>
        <v>0</v>
      </c>
      <c r="AA65" s="35">
        <f>SUMIF('Resource Demand - Activity'!$FT:$FT,Example!$G65,'Resource Demand - Activity'!V:V)</f>
        <v>0</v>
      </c>
      <c r="AB65" s="35">
        <f>SUMIF('Resource Demand - Activity'!$FT:$FT,Example!$G65,'Resource Demand - Activity'!W:W)</f>
        <v>0</v>
      </c>
      <c r="AC65" s="35">
        <f>SUMIF('Resource Demand - Activity'!$FT:$FT,Example!$G65,'Resource Demand - Activity'!X:X)</f>
        <v>0</v>
      </c>
      <c r="AD65" s="35">
        <f>SUMIF('Resource Demand - Activity'!$FT:$FT,Example!$G65,'Resource Demand - Activity'!Y:Y)</f>
        <v>0</v>
      </c>
      <c r="AE65" s="35">
        <f>SUMIF('Resource Demand - Activity'!$FT:$FT,Example!$G65,'Resource Demand - Activity'!Z:Z)</f>
        <v>0</v>
      </c>
      <c r="AF65" s="35">
        <f>SUMIF('Resource Demand - Activity'!$FT:$FT,Example!$G65,'Resource Demand - Activity'!AA:AA)</f>
        <v>0</v>
      </c>
      <c r="AG65" s="35">
        <f>SUMIF('Resource Demand - Activity'!$FT:$FT,Example!$G65,'Resource Demand - Activity'!AB:AB)</f>
        <v>0</v>
      </c>
      <c r="AH65" s="35">
        <f>SUMIF('Resource Demand - Activity'!$FT:$FT,Example!$G65,'Resource Demand - Activity'!AC:AC)</f>
        <v>0</v>
      </c>
      <c r="AI65" s="35">
        <f>SUMIF('Resource Demand - Activity'!$FT:$FT,Example!$G65,'Resource Demand - Activity'!AD:AD)</f>
        <v>0</v>
      </c>
      <c r="AJ65" s="35">
        <f>SUMIF('Resource Demand - Activity'!$FT:$FT,Example!$G65,'Resource Demand - Activity'!AE:AE)</f>
        <v>0</v>
      </c>
      <c r="AK65" s="35">
        <f>SUMIF('Resource Demand - Activity'!$FT:$FT,Example!$G65,'Resource Demand - Activity'!AF:AF)</f>
        <v>0</v>
      </c>
      <c r="AL65" s="35">
        <f>SUMIF('Resource Demand - Activity'!$FT:$FT,Example!$G65,'Resource Demand - Activity'!AG:AG)</f>
        <v>0</v>
      </c>
      <c r="AM65" s="35">
        <f>SUMIF('Resource Demand - Activity'!$FT:$FT,Example!$G65,'Resource Demand - Activity'!AH:AH)</f>
        <v>0</v>
      </c>
      <c r="AN65" s="35">
        <f>SUMIF('Resource Demand - Activity'!$FT:$FT,Example!$G65,'Resource Demand - Activity'!AI:AI)</f>
        <v>0</v>
      </c>
      <c r="AO65" s="35">
        <f>SUMIF('Resource Demand - Activity'!$FT:$FT,Example!$G65,'Resource Demand - Activity'!AJ:AJ)</f>
        <v>0</v>
      </c>
      <c r="AP65" s="35">
        <f>SUMIF('Resource Demand - Activity'!$FT:$FT,Example!$G65,'Resource Demand - Activity'!AK:AK)</f>
        <v>0</v>
      </c>
      <c r="AQ65" s="36">
        <f>SUMIF('Resource Demand - Activity'!$FT:$FT,Example!$G65,'Resource Demand - Activity'!AL:AL)</f>
        <v>0</v>
      </c>
      <c r="AR65" s="36">
        <f>SUMIF('Resource Demand - Activity'!$FT:$FT,Example!$G65,'Resource Demand - Activity'!AM:AM)</f>
        <v>0</v>
      </c>
      <c r="AS65" s="36">
        <f>SUMIF('Resource Demand - Activity'!$FT:$FT,Example!$G65,'Resource Demand - Activity'!AN:AN)</f>
        <v>0</v>
      </c>
      <c r="AT65" s="36">
        <f>SUMIF('Resource Demand - Activity'!$FT:$FT,Example!$G65,'Resource Demand - Activity'!AO:AO)</f>
        <v>0</v>
      </c>
      <c r="AU65" s="36">
        <f>SUMIF('Resource Demand - Activity'!$FT:$FT,Example!$G65,'Resource Demand - Activity'!AP:AP)</f>
        <v>0</v>
      </c>
      <c r="AV65" s="36">
        <f>SUMIF('Resource Demand - Activity'!$FT:$FT,Example!$G65,'Resource Demand - Activity'!AQ:AQ)</f>
        <v>0</v>
      </c>
      <c r="AW65" s="36">
        <f>SUMIF('Resource Demand - Activity'!$FT:$FT,Example!$G65,'Resource Demand - Activity'!AR:AR)</f>
        <v>0</v>
      </c>
      <c r="AX65" s="35">
        <f>SUMIF('Resource Demand - Activity'!$FT:$FT,Example!$G65,'Resource Demand - Activity'!AS:AS)</f>
        <v>0</v>
      </c>
      <c r="AY65" s="35">
        <f>SUMIF('Resource Demand - Activity'!$FT:$FT,Example!$G65,'Resource Demand - Activity'!AT:AT)</f>
        <v>0</v>
      </c>
      <c r="AZ65" s="35">
        <f>SUMIF('Resource Demand - Activity'!$FT:$FT,Example!$G65,'Resource Demand - Activity'!AU:AU)</f>
        <v>0</v>
      </c>
      <c r="BA65" s="35">
        <f>SUMIF('Resource Demand - Activity'!$FT:$FT,Example!$G65,'Resource Demand - Activity'!AV:AV)</f>
        <v>0</v>
      </c>
      <c r="BB65" s="35">
        <f>SUMIF('Resource Demand - Activity'!$FT:$FT,Example!$G65,'Resource Demand - Activity'!AW:AW)</f>
        <v>0</v>
      </c>
      <c r="BC65" s="35">
        <f>SUMIF('Resource Demand - Activity'!$FT:$FT,Example!$G65,'Resource Demand - Activity'!AX:AX)</f>
        <v>0</v>
      </c>
      <c r="BD65" s="35">
        <f>SUMIF('Resource Demand - Activity'!$FT:$FT,Example!$G65,'Resource Demand - Activity'!AY:AY)</f>
        <v>0</v>
      </c>
      <c r="BE65" s="35">
        <f>SUMIF('Resource Demand - Activity'!$FT:$FT,Example!$G65,'Resource Demand - Activity'!AZ:AZ)</f>
        <v>0</v>
      </c>
      <c r="BF65" s="35">
        <f>SUMIF('Resource Demand - Activity'!$FT:$FT,Example!$G65,'Resource Demand - Activity'!BA:BA)</f>
        <v>0</v>
      </c>
      <c r="BG65" s="35">
        <f>SUMIF('Resource Demand - Activity'!$FT:$FT,Example!$G65,'Resource Demand - Activity'!BB:BB)</f>
        <v>0</v>
      </c>
      <c r="BH65" s="35">
        <f>SUMIF('Resource Demand - Activity'!$FT:$FT,Example!$G65,'Resource Demand - Activity'!BC:BC)</f>
        <v>0</v>
      </c>
      <c r="BI65" s="35">
        <f>SUMIF('Resource Demand - Activity'!$FT:$FT,Example!$G65,'Resource Demand - Activity'!BD:BD)</f>
        <v>0</v>
      </c>
      <c r="BJ65" s="35">
        <f>SUMIF('Resource Demand - Activity'!$FT:$FT,Example!$G65,'Resource Demand - Activity'!BE:BE)</f>
        <v>0</v>
      </c>
      <c r="BK65" s="35">
        <f>SUMIF('Resource Demand - Activity'!$FT:$FT,Example!$G65,'Resource Demand - Activity'!BF:BF)</f>
        <v>0</v>
      </c>
      <c r="BL65" s="35">
        <f>SUMIF('Resource Demand - Activity'!$FT:$FT,Example!$G65,'Resource Demand - Activity'!BG:BG)</f>
        <v>0</v>
      </c>
      <c r="BM65" s="35">
        <f>SUMIF('Resource Demand - Activity'!$FT:$FT,Example!$G65,'Resource Demand - Activity'!BH:BH)</f>
        <v>0</v>
      </c>
      <c r="BN65" s="35">
        <f>SUMIF('Resource Demand - Activity'!$FT:$FT,Example!$G65,'Resource Demand - Activity'!BI:BI)</f>
        <v>0</v>
      </c>
      <c r="BO65" s="35">
        <f>SUMIF('Resource Demand - Activity'!$FT:$FT,Example!$G65,'Resource Demand - Activity'!BJ:BJ)</f>
        <v>0</v>
      </c>
      <c r="BP65" s="35">
        <f>SUMIF('Resource Demand - Activity'!$FT:$FT,Example!$G65,'Resource Demand - Activity'!BK:BK)</f>
        <v>0</v>
      </c>
      <c r="BQ65" s="35">
        <f>SUMIF('Resource Demand - Activity'!$FT:$FT,Example!$G65,'Resource Demand - Activity'!BL:BL)</f>
        <v>0</v>
      </c>
      <c r="BR65" s="35">
        <f>SUMIF('Resource Demand - Activity'!$FT:$FT,Example!$G65,'Resource Demand - Activity'!BM:BM)</f>
        <v>1</v>
      </c>
      <c r="BS65" s="35">
        <f>SUMIF('Resource Demand - Activity'!$FT:$FT,Example!$G65,'Resource Demand - Activity'!BN:BN)</f>
        <v>1</v>
      </c>
      <c r="BT65" s="35">
        <f>SUMIF('Resource Demand - Activity'!$FT:$FT,Example!$G65,'Resource Demand - Activity'!BO:BO)</f>
        <v>1</v>
      </c>
      <c r="BU65" s="35">
        <f>SUMIF('Resource Demand - Activity'!$FT:$FT,Example!$G65,'Resource Demand - Activity'!BP:BP)</f>
        <v>1</v>
      </c>
      <c r="BV65" s="35">
        <f>SUMIF('Resource Demand - Activity'!$FT:$FT,Example!$G65,'Resource Demand - Activity'!BQ:BQ)</f>
        <v>1</v>
      </c>
      <c r="BW65" s="35">
        <f>SUMIF('Resource Demand - Activity'!$FT:$FT,Example!$G65,'Resource Demand - Activity'!BR:BR)</f>
        <v>1</v>
      </c>
      <c r="BX65" s="35">
        <f>SUMIF('Resource Demand - Activity'!$FT:$FT,Example!$G65,'Resource Demand - Activity'!BS:BS)</f>
        <v>1</v>
      </c>
      <c r="BY65" s="35">
        <f>SUMIF('Resource Demand - Activity'!$FT:$FT,Example!$G65,'Resource Demand - Activity'!BT:BT)</f>
        <v>1</v>
      </c>
      <c r="BZ65" s="35">
        <f>SUMIF('Resource Demand - Activity'!$FT:$FT,Example!$G65,'Resource Demand - Activity'!BU:BU)</f>
        <v>1</v>
      </c>
      <c r="CA65" s="35">
        <f>SUMIF('Resource Demand - Activity'!$FT:$FT,Example!$G65,'Resource Demand - Activity'!BV:BV)</f>
        <v>1</v>
      </c>
      <c r="CB65" s="35">
        <f>SUMIF('Resource Demand - Activity'!$FT:$FT,Example!$G65,'Resource Demand - Activity'!BW:BW)</f>
        <v>0</v>
      </c>
      <c r="CC65" s="35">
        <f>SUMIF('Resource Demand - Activity'!$FT:$FT,Example!$G65,'Resource Demand - Activity'!BX:BX)</f>
        <v>0</v>
      </c>
      <c r="CD65" s="35">
        <f>SUMIF('Resource Demand - Activity'!$FT:$FT,Example!$G65,'Resource Demand - Activity'!BY:BY)</f>
        <v>0</v>
      </c>
      <c r="CE65" s="35">
        <f>SUMIF('Resource Demand - Activity'!$FT:$FT,Example!$G65,'Resource Demand - Activity'!BZ:BZ)</f>
        <v>0</v>
      </c>
      <c r="CF65" s="35">
        <f>SUMIF('Resource Demand - Activity'!$FT:$FT,Example!$G65,'Resource Demand - Activity'!CA:CA)</f>
        <v>0</v>
      </c>
      <c r="CG65" s="35">
        <f>SUMIF('Resource Demand - Activity'!$FT:$FT,Example!$G65,'Resource Demand - Activity'!CB:CB)</f>
        <v>0</v>
      </c>
      <c r="CH65" s="35">
        <f>SUMIF('Resource Demand - Activity'!$FT:$FT,Example!$G65,'Resource Demand - Activity'!CC:CC)</f>
        <v>0</v>
      </c>
      <c r="CI65" s="35">
        <f>SUMIF('Resource Demand - Activity'!$FT:$FT,Example!$G65,'Resource Demand - Activity'!CD:CD)</f>
        <v>0</v>
      </c>
      <c r="CJ65" s="35">
        <f>SUMIF('Resource Demand - Activity'!$FT:$FT,Example!$G65,'Resource Demand - Activity'!CE:CE)</f>
        <v>0</v>
      </c>
      <c r="CK65" s="35">
        <f>SUMIF('Resource Demand - Activity'!$FT:$FT,Example!$G65,'Resource Demand - Activity'!CF:CF)</f>
        <v>0</v>
      </c>
      <c r="CL65" s="35">
        <f>SUMIF('Resource Demand - Activity'!$FT:$FT,Example!$G65,'Resource Demand - Activity'!CG:CG)</f>
        <v>0</v>
      </c>
      <c r="CM65" s="35">
        <f>SUMIF('Resource Demand - Activity'!$FT:$FT,Example!$G65,'Resource Demand - Activity'!CH:CH)</f>
        <v>0</v>
      </c>
      <c r="CN65" s="35">
        <f>SUMIF('Resource Demand - Activity'!$FT:$FT,Example!$G65,'Resource Demand - Activity'!CI:CI)</f>
        <v>0</v>
      </c>
      <c r="CO65" s="35">
        <f>SUMIF('Resource Demand - Activity'!$FT:$FT,Example!$G65,'Resource Demand - Activity'!CJ:CJ)</f>
        <v>0</v>
      </c>
      <c r="CP65" s="35">
        <f>SUMIF('Resource Demand - Activity'!$FT:$FT,Example!$G65,'Resource Demand - Activity'!CK:CK)</f>
        <v>0</v>
      </c>
      <c r="CQ65" s="35">
        <f>SUMIF('Resource Demand - Activity'!$FT:$FT,Example!$G65,'Resource Demand - Activity'!CL:CL)</f>
        <v>0</v>
      </c>
      <c r="CR65" s="35">
        <f>SUMIF('Resource Demand - Activity'!$FT:$FT,Example!$G65,'Resource Demand - Activity'!CM:CM)</f>
        <v>0</v>
      </c>
      <c r="CS65" s="35">
        <f>SUMIF('Resource Demand - Activity'!$FT:$FT,Example!$G65,'Resource Demand - Activity'!CN:CN)</f>
        <v>0</v>
      </c>
      <c r="CT65" s="35">
        <f>SUMIF('Resource Demand - Activity'!$FT:$FT,Example!$G65,'Resource Demand - Activity'!CO:CO)</f>
        <v>0</v>
      </c>
      <c r="CU65" s="35">
        <f>SUMIF('Resource Demand - Activity'!$FT:$FT,Example!$G65,'Resource Demand - Activity'!CP:CP)</f>
        <v>0</v>
      </c>
      <c r="CV65" s="35">
        <f>SUMIF('Resource Demand - Activity'!$FT:$FT,Example!$G65,'Resource Demand - Activity'!CQ:CQ)</f>
        <v>0</v>
      </c>
      <c r="CW65" s="35">
        <f>SUMIF('Resource Demand - Activity'!$FT:$FT,Example!$G65,'Resource Demand - Activity'!CR:CR)</f>
        <v>0</v>
      </c>
      <c r="CX65" s="35">
        <f>SUMIF('Resource Demand - Activity'!$FT:$FT,Example!$G65,'Resource Demand - Activity'!CS:CS)</f>
        <v>0</v>
      </c>
      <c r="CY65" s="36">
        <f>SUMIF('Resource Demand - Activity'!$FT:$FT,Example!$G65,'Resource Demand - Activity'!CT:CT)</f>
        <v>0</v>
      </c>
      <c r="CZ65" s="35">
        <f>SUMIF('Resource Demand - Activity'!$FT:$FT,Example!$G65,'Resource Demand - Activity'!CU:CU)</f>
        <v>0</v>
      </c>
      <c r="DA65" s="35">
        <f>SUMIF('Resource Demand - Activity'!$FT:$FT,Example!$G65,'Resource Demand - Activity'!CV:CV)</f>
        <v>0</v>
      </c>
      <c r="DB65" s="35">
        <f>SUMIF('Resource Demand - Activity'!$FT:$FT,Example!$G65,'Resource Demand - Activity'!CW:CW)</f>
        <v>0</v>
      </c>
      <c r="DC65" s="35">
        <f>SUMIF('Resource Demand - Activity'!$FT:$FT,Example!$G65,'Resource Demand - Activity'!CX:CX)</f>
        <v>0</v>
      </c>
      <c r="DD65" s="35">
        <f>SUMIF('Resource Demand - Activity'!$FT:$FT,Example!$G65,'Resource Demand - Activity'!CY:CY)</f>
        <v>0</v>
      </c>
      <c r="DE65" s="36">
        <f>SUMIF('Resource Demand - Activity'!$FT:$FT,Example!$G65,'Resource Demand - Activity'!CZ:CZ)</f>
        <v>0</v>
      </c>
      <c r="DF65" s="36">
        <f>SUMIF('Resource Demand - Activity'!$FT:$FT,Example!$G65,'Resource Demand - Activity'!DA:DA)</f>
        <v>0</v>
      </c>
      <c r="DG65" s="35">
        <f>SUMIF('Resource Demand - Activity'!$FT:$FT,Example!$G65,'Resource Demand - Activity'!DB:DB)</f>
        <v>0</v>
      </c>
      <c r="DH65" s="35">
        <f>SUMIF('Resource Demand - Activity'!$FT:$FT,Example!$G65,'Resource Demand - Activity'!DC:DC)</f>
        <v>0</v>
      </c>
      <c r="DI65" s="35">
        <f>SUMIF('Resource Demand - Activity'!$FT:$FT,Example!$G65,'Resource Demand - Activity'!DD:DD)</f>
        <v>0</v>
      </c>
      <c r="DJ65" s="35">
        <f>SUMIF('Resource Demand - Activity'!$FT:$FT,Example!$G65,'Resource Demand - Activity'!DE:DE)</f>
        <v>0</v>
      </c>
      <c r="DK65" s="35">
        <f>SUMIF('Resource Demand - Activity'!$FT:$FT,Example!$G65,'Resource Demand - Activity'!DF:DF)</f>
        <v>0</v>
      </c>
      <c r="DL65" s="35">
        <f>SUMIF('Resource Demand - Activity'!$FT:$FT,Example!$G65,'Resource Demand - Activity'!DG:DG)</f>
        <v>0</v>
      </c>
      <c r="DM65" s="35">
        <f>SUMIF('Resource Demand - Activity'!$FT:$FT,Example!$G65,'Resource Demand - Activity'!DH:DH)</f>
        <v>0</v>
      </c>
      <c r="DN65" s="35">
        <f>SUMIF('Resource Demand - Activity'!$FT:$FT,Example!$G65,'Resource Demand - Activity'!DI:DI)</f>
        <v>0</v>
      </c>
      <c r="DO65" s="35">
        <f>SUMIF('Resource Demand - Activity'!$FT:$FT,Example!$G65,'Resource Demand - Activity'!DJ:DJ)</f>
        <v>0</v>
      </c>
      <c r="DP65" s="35">
        <f>SUMIF('Resource Demand - Activity'!$FT:$FT,Example!$G65,'Resource Demand - Activity'!DK:DK)</f>
        <v>0</v>
      </c>
      <c r="DQ65" s="35">
        <f>SUMIF('Resource Demand - Activity'!$FT:$FT,Example!$G65,'Resource Demand - Activity'!DL:DL)</f>
        <v>0</v>
      </c>
      <c r="DR65" s="35">
        <f>SUMIF('Resource Demand - Activity'!$FT:$FT,Example!$G65,'Resource Demand - Activity'!DM:DM)</f>
        <v>0</v>
      </c>
      <c r="DS65" s="35">
        <f>SUMIF('Resource Demand - Activity'!$FT:$FT,Example!$G65,'Resource Demand - Activity'!DN:DN)</f>
        <v>0</v>
      </c>
      <c r="DT65" s="35">
        <f>SUMIF('Resource Demand - Activity'!$FT:$FT,Example!$G65,'Resource Demand - Activity'!DO:DO)</f>
        <v>0</v>
      </c>
      <c r="DU65" s="35">
        <f>SUMIF('Resource Demand - Activity'!$FT:$FT,Example!$G65,'Resource Demand - Activity'!DP:DP)</f>
        <v>0</v>
      </c>
      <c r="DV65" s="35">
        <f>SUMIF('Resource Demand - Activity'!$FT:$FT,Example!$G65,'Resource Demand - Activity'!DQ:DQ)</f>
        <v>0</v>
      </c>
      <c r="DW65" s="35">
        <f>SUMIF('Resource Demand - Activity'!$FT:$FT,Example!$G65,'Resource Demand - Activity'!DR:DR)</f>
        <v>0</v>
      </c>
      <c r="DX65" s="35">
        <f>SUMIF('Resource Demand - Activity'!$FT:$FT,Example!$G65,'Resource Demand - Activity'!DS:DS)</f>
        <v>0</v>
      </c>
      <c r="DY65" s="35">
        <f>SUMIF('Resource Demand - Activity'!$FT:$FT,Example!$G65,'Resource Demand - Activity'!DT:DT)</f>
        <v>0</v>
      </c>
      <c r="DZ65" s="35">
        <f>SUMIF('Resource Demand - Activity'!$FT:$FT,Example!$G65,'Resource Demand - Activity'!DU:DU)</f>
        <v>0</v>
      </c>
      <c r="EA65" s="35">
        <f>SUMIF('Resource Demand - Activity'!$FT:$FT,Example!$G65,'Resource Demand - Activity'!DV:DV)</f>
        <v>0</v>
      </c>
      <c r="EB65" s="35">
        <f>SUMIF('Resource Demand - Activity'!$FT:$FT,Example!$G65,'Resource Demand - Activity'!DW:DW)</f>
        <v>0</v>
      </c>
      <c r="EC65" s="35">
        <f>SUMIF('Resource Demand - Activity'!$FT:$FT,Example!$G65,'Resource Demand - Activity'!DX:DX)</f>
        <v>0</v>
      </c>
      <c r="ED65" s="35">
        <f>SUMIF('Resource Demand - Activity'!$FT:$FT,Example!$G65,'Resource Demand - Activity'!DY:DY)</f>
        <v>0</v>
      </c>
      <c r="EE65" s="36">
        <f>SUMIF('Resource Demand - Activity'!$FT:$FT,Example!$G65,'Resource Demand - Activity'!DZ:DZ)</f>
        <v>0</v>
      </c>
      <c r="EF65" s="35">
        <f>SUMIF('Resource Demand - Activity'!$FT:$FT,Example!$G65,'Resource Demand - Activity'!EA:EA)</f>
        <v>0</v>
      </c>
      <c r="EG65" s="35">
        <f>SUMIF('Resource Demand - Activity'!$FT:$FT,Example!$G65,'Resource Demand - Activity'!EB:EB)</f>
        <v>0</v>
      </c>
      <c r="EH65" s="35">
        <f>SUMIF('Resource Demand - Activity'!$FT:$FT,Example!$G65,'Resource Demand - Activity'!EC:EC)</f>
        <v>0</v>
      </c>
      <c r="EI65" s="35">
        <f>SUMIF('Resource Demand - Activity'!$FT:$FT,Example!$G65,'Resource Demand - Activity'!ED:ED)</f>
        <v>0</v>
      </c>
      <c r="EJ65" s="35">
        <f>SUMIF('Resource Demand - Activity'!$FT:$FT,Example!$G65,'Resource Demand - Activity'!EE:EE)</f>
        <v>0</v>
      </c>
      <c r="EK65" s="35">
        <f>SUMIF('Resource Demand - Activity'!$FT:$FT,Example!$G65,'Resource Demand - Activity'!EF:EF)</f>
        <v>0</v>
      </c>
      <c r="EL65" s="35">
        <f>SUMIF('Resource Demand - Activity'!$FT:$FT,Example!$G65,'Resource Demand - Activity'!EG:EG)</f>
        <v>0</v>
      </c>
      <c r="EM65" s="35">
        <f>SUMIF('Resource Demand - Activity'!$FT:$FT,Example!$G65,'Resource Demand - Activity'!EH:EH)</f>
        <v>0</v>
      </c>
      <c r="EN65" s="35">
        <f>SUMIF('Resource Demand - Activity'!$FT:$FT,Example!$G65,'Resource Demand - Activity'!EI:EI)</f>
        <v>0</v>
      </c>
      <c r="EO65" s="35">
        <f>SUMIF('Resource Demand - Activity'!$FT:$FT,Example!$G65,'Resource Demand - Activity'!EJ:EJ)</f>
        <v>0</v>
      </c>
      <c r="EP65" s="35">
        <f>SUMIF('Resource Demand - Activity'!$FT:$FT,Example!$G65,'Resource Demand - Activity'!EK:EK)</f>
        <v>0</v>
      </c>
      <c r="EQ65" s="35">
        <f>SUMIF('Resource Demand - Activity'!$FT:$FT,Example!$G65,'Resource Demand - Activity'!EL:EL)</f>
        <v>0</v>
      </c>
      <c r="ER65" s="35">
        <f>SUMIF('Resource Demand - Activity'!$FT:$FT,Example!$G65,'Resource Demand - Activity'!EM:EM)</f>
        <v>0</v>
      </c>
      <c r="ES65" s="35">
        <f>SUMIF('Resource Demand - Activity'!$FT:$FT,Example!$G65,'Resource Demand - Activity'!EN:EN)</f>
        <v>0</v>
      </c>
      <c r="ET65" s="35">
        <f>SUMIF('Resource Demand - Activity'!$FT:$FT,Example!$G65,'Resource Demand - Activity'!EO:EO)</f>
        <v>0</v>
      </c>
      <c r="EU65" s="35">
        <f>SUMIF('Resource Demand - Activity'!$FT:$FT,Example!$G65,'Resource Demand - Activity'!EP:EP)</f>
        <v>0</v>
      </c>
      <c r="EV65" s="35">
        <f>SUMIF('Resource Demand - Activity'!$FT:$FT,Example!$G65,'Resource Demand - Activity'!EQ:EQ)</f>
        <v>0</v>
      </c>
      <c r="EW65" s="35">
        <f>SUMIF('Resource Demand - Activity'!$FT:$FT,Example!$G65,'Resource Demand - Activity'!ER:ER)</f>
        <v>0</v>
      </c>
      <c r="EX65" s="35">
        <f>SUMIF('Resource Demand - Activity'!$FT:$FT,Example!$G65,'Resource Demand - Activity'!ES:ES)</f>
        <v>0</v>
      </c>
      <c r="EY65" s="35">
        <f>SUMIF('Resource Demand - Activity'!$FT:$FT,Example!$G65,'Resource Demand - Activity'!ET:ET)</f>
        <v>0</v>
      </c>
      <c r="EZ65" s="35">
        <f>SUMIF('Resource Demand - Activity'!$FT:$FT,Example!$G65,'Resource Demand - Activity'!EU:EU)</f>
        <v>0</v>
      </c>
      <c r="FA65" s="35">
        <f>SUMIF('Resource Demand - Activity'!$FT:$FT,Example!$G65,'Resource Demand - Activity'!EV:EV)</f>
        <v>0</v>
      </c>
      <c r="FB65" s="35">
        <f>SUMIF('Resource Demand - Activity'!$FT:$FT,Example!$G65,'Resource Demand - Activity'!EW:EW)</f>
        <v>0</v>
      </c>
      <c r="FC65" s="35">
        <f>SUMIF('Resource Demand - Activity'!$FT:$FT,Example!$G65,'Resource Demand - Activity'!EX:EX)</f>
        <v>0</v>
      </c>
      <c r="FD65" s="36">
        <f>SUMIF('Resource Demand - Activity'!$FT:$FT,Example!$G65,'Resource Demand - Activity'!EY:EY)</f>
        <v>0</v>
      </c>
      <c r="FE65" s="35">
        <f>SUMIF('Resource Demand - Activity'!$FT:$FT,Example!$G65,'Resource Demand - Activity'!EZ:EZ)</f>
        <v>0</v>
      </c>
      <c r="FF65" s="35">
        <f>SUMIF('Resource Demand - Activity'!$FT:$FT,Example!$G65,'Resource Demand - Activity'!FA:FA)</f>
        <v>0</v>
      </c>
      <c r="FG65" s="35">
        <f>SUMIF('Resource Demand - Activity'!$FT:$FT,Example!$G65,'Resource Demand - Activity'!FB:FB)</f>
        <v>0</v>
      </c>
      <c r="FH65" s="35">
        <f>SUMIF('Resource Demand - Activity'!$FT:$FT,Example!$G65,'Resource Demand - Activity'!FC:FC)</f>
        <v>0</v>
      </c>
      <c r="FI65" s="35">
        <f>SUMIF('Resource Demand - Activity'!$FT:$FT,Example!$G65,'Resource Demand - Activity'!FD:FD)</f>
        <v>0</v>
      </c>
      <c r="FJ65" s="35">
        <f>SUMIF('Resource Demand - Activity'!$FT:$FT,Example!$G65,'Resource Demand - Activity'!FE:FE)</f>
        <v>0</v>
      </c>
      <c r="FK65" s="35">
        <f>SUMIF('Resource Demand - Activity'!$FT:$FT,Example!$G65,'Resource Demand - Activity'!FF:FF)</f>
        <v>0</v>
      </c>
      <c r="FL65" s="35">
        <f>SUMIF('Resource Demand - Activity'!$FT:$FT,Example!$G65,'Resource Demand - Activity'!FG:FG)</f>
        <v>0</v>
      </c>
      <c r="FM65" s="35">
        <f>SUMIF('Resource Demand - Activity'!$FT:$FT,Example!$G65,'Resource Demand - Activity'!FH:FH)</f>
        <v>0</v>
      </c>
      <c r="FN65" s="35">
        <f>SUMIF('Resource Demand - Activity'!$FT:$FT,Example!$G65,'Resource Demand - Activity'!FI:FI)</f>
        <v>0</v>
      </c>
      <c r="FO65" s="35">
        <f>SUMIF('Resource Demand - Activity'!$FT:$FT,Example!$G65,'Resource Demand - Activity'!FJ:FJ)</f>
        <v>0</v>
      </c>
      <c r="FP65" s="35">
        <f>SUMIF('Resource Demand - Activity'!$FT:$FT,Example!$G65,'Resource Demand - Activity'!FK:FK)</f>
        <v>0</v>
      </c>
      <c r="FQ65" s="35">
        <f>SUMIF('Resource Demand - Activity'!$FT:$FT,Example!$G65,'Resource Demand - Activity'!FL:FL)</f>
        <v>0</v>
      </c>
      <c r="FR65" s="35">
        <f>SUMIF('Resource Demand - Activity'!$FT:$FT,Example!$G65,'Resource Demand - Activity'!FM:FM)</f>
        <v>0</v>
      </c>
      <c r="FS65" s="35">
        <f>SUMIF('Resource Demand - Activity'!$FT:$FT,Example!$G65,'Resource Demand - Activity'!FN:FN)</f>
        <v>0</v>
      </c>
      <c r="FT65" s="35">
        <f>SUMIF('Resource Demand - Activity'!$FT:$FT,Example!$G65,'Resource Demand - Activity'!FO:FO)</f>
        <v>0</v>
      </c>
      <c r="FU65" s="35">
        <f>SUMIF('Resource Demand - Activity'!$FT:$FT,Example!$G65,'Resource Demand - Activity'!FP:FP)</f>
        <v>0</v>
      </c>
      <c r="FV65" s="52">
        <f>SUMIF('Resource Demand - Activity'!$FT:$FT,Example!$G65,'Resource Demand - Activity'!FQ:FQ)</f>
        <v>0</v>
      </c>
    </row>
    <row r="66" spans="2:178" s="63" customFormat="1" ht="12" customHeight="1">
      <c r="B66" s="1"/>
      <c r="G66" s="64" t="str">
        <f t="shared" si="11"/>
        <v>7. RSR Development &amp; Dry Run 7.1 PreparationJunior Accountant</v>
      </c>
      <c r="H66" s="59" t="s">
        <v>151</v>
      </c>
      <c r="I66" s="59" t="str">
        <f>INDEX('Resource Demand - Activity'!C:C,MATCH(Example!G66,'Resource Demand - Activity'!FT:FT,0))</f>
        <v>23 days</v>
      </c>
      <c r="J66" s="51">
        <f>SUMIF('Resource Demand - Activity'!$FT:$FT,Example!$G66,'Resource Demand - Activity'!E:E)</f>
        <v>0</v>
      </c>
      <c r="K66" s="35">
        <f>SUMIF('Resource Demand - Activity'!$FT:$FT,Example!$G66,'Resource Demand - Activity'!F:F)</f>
        <v>0</v>
      </c>
      <c r="L66" s="35">
        <f>SUMIF('Resource Demand - Activity'!$FT:$FT,Example!$G66,'Resource Demand - Activity'!G:G)</f>
        <v>0</v>
      </c>
      <c r="M66" s="35">
        <f>SUMIF('Resource Demand - Activity'!$FT:$FT,Example!$G66,'Resource Demand - Activity'!H:H)</f>
        <v>0</v>
      </c>
      <c r="N66" s="35">
        <f>SUMIF('Resource Demand - Activity'!$FT:$FT,Example!$G66,'Resource Demand - Activity'!I:I)</f>
        <v>0</v>
      </c>
      <c r="O66" s="35">
        <f>SUMIF('Resource Demand - Activity'!$FT:$FT,Example!$G66,'Resource Demand - Activity'!J:J)</f>
        <v>0</v>
      </c>
      <c r="P66" s="35">
        <f>SUMIF('Resource Demand - Activity'!$FT:$FT,Example!$G66,'Resource Demand - Activity'!K:K)</f>
        <v>0</v>
      </c>
      <c r="Q66" s="35">
        <f>SUMIF('Resource Demand - Activity'!$FT:$FT,Example!$G66,'Resource Demand - Activity'!L:L)</f>
        <v>0</v>
      </c>
      <c r="R66" s="35">
        <f>SUMIF('Resource Demand - Activity'!$FT:$FT,Example!$G66,'Resource Demand - Activity'!M:M)</f>
        <v>0</v>
      </c>
      <c r="S66" s="35">
        <f>SUMIF('Resource Demand - Activity'!$FT:$FT,Example!$G66,'Resource Demand - Activity'!N:N)</f>
        <v>0</v>
      </c>
      <c r="T66" s="35">
        <f>SUMIF('Resource Demand - Activity'!$FT:$FT,Example!$G66,'Resource Demand - Activity'!O:O)</f>
        <v>0</v>
      </c>
      <c r="U66" s="35">
        <f>SUMIF('Resource Demand - Activity'!$FT:$FT,Example!$G66,'Resource Demand - Activity'!P:P)</f>
        <v>0</v>
      </c>
      <c r="V66" s="35">
        <f>SUMIF('Resource Demand - Activity'!$FT:$FT,Example!$G66,'Resource Demand - Activity'!Q:Q)</f>
        <v>0</v>
      </c>
      <c r="W66" s="35">
        <f>SUMIF('Resource Demand - Activity'!$FT:$FT,Example!$G66,'Resource Demand - Activity'!R:R)</f>
        <v>0</v>
      </c>
      <c r="X66" s="35">
        <f>SUMIF('Resource Demand - Activity'!$FT:$FT,Example!$G66,'Resource Demand - Activity'!S:S)</f>
        <v>0</v>
      </c>
      <c r="Y66" s="35">
        <f>SUMIF('Resource Demand - Activity'!$FT:$FT,Example!$G66,'Resource Demand - Activity'!T:T)</f>
        <v>0</v>
      </c>
      <c r="Z66" s="35">
        <f>SUMIF('Resource Demand - Activity'!$FT:$FT,Example!$G66,'Resource Demand - Activity'!U:U)</f>
        <v>0</v>
      </c>
      <c r="AA66" s="35">
        <f>SUMIF('Resource Demand - Activity'!$FT:$FT,Example!$G66,'Resource Demand - Activity'!V:V)</f>
        <v>0</v>
      </c>
      <c r="AB66" s="35">
        <f>SUMIF('Resource Demand - Activity'!$FT:$FT,Example!$G66,'Resource Demand - Activity'!W:W)</f>
        <v>0</v>
      </c>
      <c r="AC66" s="35">
        <f>SUMIF('Resource Demand - Activity'!$FT:$FT,Example!$G66,'Resource Demand - Activity'!X:X)</f>
        <v>0</v>
      </c>
      <c r="AD66" s="35">
        <f>SUMIF('Resource Demand - Activity'!$FT:$FT,Example!$G66,'Resource Demand - Activity'!Y:Y)</f>
        <v>0</v>
      </c>
      <c r="AE66" s="35">
        <f>SUMIF('Resource Demand - Activity'!$FT:$FT,Example!$G66,'Resource Demand - Activity'!Z:Z)</f>
        <v>0</v>
      </c>
      <c r="AF66" s="35">
        <f>SUMIF('Resource Demand - Activity'!$FT:$FT,Example!$G66,'Resource Demand - Activity'!AA:AA)</f>
        <v>0</v>
      </c>
      <c r="AG66" s="35">
        <f>SUMIF('Resource Demand - Activity'!$FT:$FT,Example!$G66,'Resource Demand - Activity'!AB:AB)</f>
        <v>0</v>
      </c>
      <c r="AH66" s="35">
        <f>SUMIF('Resource Demand - Activity'!$FT:$FT,Example!$G66,'Resource Demand - Activity'!AC:AC)</f>
        <v>0</v>
      </c>
      <c r="AI66" s="35">
        <f>SUMIF('Resource Demand - Activity'!$FT:$FT,Example!$G66,'Resource Demand - Activity'!AD:AD)</f>
        <v>0</v>
      </c>
      <c r="AJ66" s="35">
        <f>SUMIF('Resource Demand - Activity'!$FT:$FT,Example!$G66,'Resource Demand - Activity'!AE:AE)</f>
        <v>0</v>
      </c>
      <c r="AK66" s="35">
        <f>SUMIF('Resource Demand - Activity'!$FT:$FT,Example!$G66,'Resource Demand - Activity'!AF:AF)</f>
        <v>0</v>
      </c>
      <c r="AL66" s="35">
        <f>SUMIF('Resource Demand - Activity'!$FT:$FT,Example!$G66,'Resource Demand - Activity'!AG:AG)</f>
        <v>0</v>
      </c>
      <c r="AM66" s="35">
        <f>SUMIF('Resource Demand - Activity'!$FT:$FT,Example!$G66,'Resource Demand - Activity'!AH:AH)</f>
        <v>0</v>
      </c>
      <c r="AN66" s="35">
        <f>SUMIF('Resource Demand - Activity'!$FT:$FT,Example!$G66,'Resource Demand - Activity'!AI:AI)</f>
        <v>0</v>
      </c>
      <c r="AO66" s="35">
        <f>SUMIF('Resource Demand - Activity'!$FT:$FT,Example!$G66,'Resource Demand - Activity'!AJ:AJ)</f>
        <v>0</v>
      </c>
      <c r="AP66" s="35">
        <f>SUMIF('Resource Demand - Activity'!$FT:$FT,Example!$G66,'Resource Demand - Activity'!AK:AK)</f>
        <v>0</v>
      </c>
      <c r="AQ66" s="36">
        <f>SUMIF('Resource Demand - Activity'!$FT:$FT,Example!$G66,'Resource Demand - Activity'!AL:AL)</f>
        <v>0</v>
      </c>
      <c r="AR66" s="36">
        <f>SUMIF('Resource Demand - Activity'!$FT:$FT,Example!$G66,'Resource Demand - Activity'!AM:AM)</f>
        <v>0</v>
      </c>
      <c r="AS66" s="36">
        <f>SUMIF('Resource Demand - Activity'!$FT:$FT,Example!$G66,'Resource Demand - Activity'!AN:AN)</f>
        <v>0</v>
      </c>
      <c r="AT66" s="36">
        <f>SUMIF('Resource Demand - Activity'!$FT:$FT,Example!$G66,'Resource Demand - Activity'!AO:AO)</f>
        <v>0</v>
      </c>
      <c r="AU66" s="36">
        <f>SUMIF('Resource Demand - Activity'!$FT:$FT,Example!$G66,'Resource Demand - Activity'!AP:AP)</f>
        <v>0</v>
      </c>
      <c r="AV66" s="36">
        <f>SUMIF('Resource Demand - Activity'!$FT:$FT,Example!$G66,'Resource Demand - Activity'!AQ:AQ)</f>
        <v>0</v>
      </c>
      <c r="AW66" s="36">
        <f>SUMIF('Resource Demand - Activity'!$FT:$FT,Example!$G66,'Resource Demand - Activity'!AR:AR)</f>
        <v>0</v>
      </c>
      <c r="AX66" s="35">
        <f>SUMIF('Resource Demand - Activity'!$FT:$FT,Example!$G66,'Resource Demand - Activity'!AS:AS)</f>
        <v>0</v>
      </c>
      <c r="AY66" s="35">
        <f>SUMIF('Resource Demand - Activity'!$FT:$FT,Example!$G66,'Resource Demand - Activity'!AT:AT)</f>
        <v>0</v>
      </c>
      <c r="AZ66" s="35">
        <f>SUMIF('Resource Demand - Activity'!$FT:$FT,Example!$G66,'Resource Demand - Activity'!AU:AU)</f>
        <v>0</v>
      </c>
      <c r="BA66" s="35">
        <f>SUMIF('Resource Demand - Activity'!$FT:$FT,Example!$G66,'Resource Demand - Activity'!AV:AV)</f>
        <v>0</v>
      </c>
      <c r="BB66" s="35">
        <f>SUMIF('Resource Demand - Activity'!$FT:$FT,Example!$G66,'Resource Demand - Activity'!AW:AW)</f>
        <v>0</v>
      </c>
      <c r="BC66" s="35">
        <f>SUMIF('Resource Demand - Activity'!$FT:$FT,Example!$G66,'Resource Demand - Activity'!AX:AX)</f>
        <v>0</v>
      </c>
      <c r="BD66" s="35">
        <f>SUMIF('Resource Demand - Activity'!$FT:$FT,Example!$G66,'Resource Demand - Activity'!AY:AY)</f>
        <v>0</v>
      </c>
      <c r="BE66" s="35">
        <f>SUMIF('Resource Demand - Activity'!$FT:$FT,Example!$G66,'Resource Demand - Activity'!AZ:AZ)</f>
        <v>0</v>
      </c>
      <c r="BF66" s="35">
        <f>SUMIF('Resource Demand - Activity'!$FT:$FT,Example!$G66,'Resource Demand - Activity'!BA:BA)</f>
        <v>0</v>
      </c>
      <c r="BG66" s="35">
        <f>SUMIF('Resource Demand - Activity'!$FT:$FT,Example!$G66,'Resource Demand - Activity'!BB:BB)</f>
        <v>0</v>
      </c>
      <c r="BH66" s="35">
        <f>SUMIF('Resource Demand - Activity'!$FT:$FT,Example!$G66,'Resource Demand - Activity'!BC:BC)</f>
        <v>0</v>
      </c>
      <c r="BI66" s="35">
        <f>SUMIF('Resource Demand - Activity'!$FT:$FT,Example!$G66,'Resource Demand - Activity'!BD:BD)</f>
        <v>0</v>
      </c>
      <c r="BJ66" s="35">
        <f>SUMIF('Resource Demand - Activity'!$FT:$FT,Example!$G66,'Resource Demand - Activity'!BE:BE)</f>
        <v>0</v>
      </c>
      <c r="BK66" s="35">
        <f>SUMIF('Resource Demand - Activity'!$FT:$FT,Example!$G66,'Resource Demand - Activity'!BF:BF)</f>
        <v>0</v>
      </c>
      <c r="BL66" s="35">
        <f>SUMIF('Resource Demand - Activity'!$FT:$FT,Example!$G66,'Resource Demand - Activity'!BG:BG)</f>
        <v>0</v>
      </c>
      <c r="BM66" s="35">
        <f>SUMIF('Resource Demand - Activity'!$FT:$FT,Example!$G66,'Resource Demand - Activity'!BH:BH)</f>
        <v>0</v>
      </c>
      <c r="BN66" s="35">
        <f>SUMIF('Resource Demand - Activity'!$FT:$FT,Example!$G66,'Resource Demand - Activity'!BI:BI)</f>
        <v>0</v>
      </c>
      <c r="BO66" s="35">
        <f>SUMIF('Resource Demand - Activity'!$FT:$FT,Example!$G66,'Resource Demand - Activity'!BJ:BJ)</f>
        <v>0</v>
      </c>
      <c r="BP66" s="35">
        <f>SUMIF('Resource Demand - Activity'!$FT:$FT,Example!$G66,'Resource Demand - Activity'!BK:BK)</f>
        <v>0</v>
      </c>
      <c r="BQ66" s="35">
        <f>SUMIF('Resource Demand - Activity'!$FT:$FT,Example!$G66,'Resource Demand - Activity'!BL:BL)</f>
        <v>0</v>
      </c>
      <c r="BR66" s="35">
        <f>SUMIF('Resource Demand - Activity'!$FT:$FT,Example!$G66,'Resource Demand - Activity'!BM:BM)</f>
        <v>0</v>
      </c>
      <c r="BS66" s="35">
        <f>SUMIF('Resource Demand - Activity'!$FT:$FT,Example!$G66,'Resource Demand - Activity'!BN:BN)</f>
        <v>0</v>
      </c>
      <c r="BT66" s="35">
        <f>SUMIF('Resource Demand - Activity'!$FT:$FT,Example!$G66,'Resource Demand - Activity'!BO:BO)</f>
        <v>0</v>
      </c>
      <c r="BU66" s="35">
        <f>SUMIF('Resource Demand - Activity'!$FT:$FT,Example!$G66,'Resource Demand - Activity'!BP:BP)</f>
        <v>0</v>
      </c>
      <c r="BV66" s="35">
        <f>SUMIF('Resource Demand - Activity'!$FT:$FT,Example!$G66,'Resource Demand - Activity'!BQ:BQ)</f>
        <v>0</v>
      </c>
      <c r="BW66" s="35">
        <f>SUMIF('Resource Demand - Activity'!$FT:$FT,Example!$G66,'Resource Demand - Activity'!BR:BR)</f>
        <v>0</v>
      </c>
      <c r="BX66" s="35">
        <f>SUMIF('Resource Demand - Activity'!$FT:$FT,Example!$G66,'Resource Demand - Activity'!BS:BS)</f>
        <v>0</v>
      </c>
      <c r="BY66" s="35">
        <f>SUMIF('Resource Demand - Activity'!$FT:$FT,Example!$G66,'Resource Demand - Activity'!BT:BT)</f>
        <v>0</v>
      </c>
      <c r="BZ66" s="35">
        <f>SUMIF('Resource Demand - Activity'!$FT:$FT,Example!$G66,'Resource Demand - Activity'!BU:BU)</f>
        <v>0</v>
      </c>
      <c r="CA66" s="35">
        <f>SUMIF('Resource Demand - Activity'!$FT:$FT,Example!$G66,'Resource Demand - Activity'!BV:BV)</f>
        <v>0</v>
      </c>
      <c r="CB66" s="35">
        <f>SUMIF('Resource Demand - Activity'!$FT:$FT,Example!$G66,'Resource Demand - Activity'!BW:BW)</f>
        <v>1</v>
      </c>
      <c r="CC66" s="35">
        <f>SUMIF('Resource Demand - Activity'!$FT:$FT,Example!$G66,'Resource Demand - Activity'!BX:BX)</f>
        <v>1</v>
      </c>
      <c r="CD66" s="35">
        <f>SUMIF('Resource Demand - Activity'!$FT:$FT,Example!$G66,'Resource Demand - Activity'!BY:BY)</f>
        <v>1</v>
      </c>
      <c r="CE66" s="35">
        <f>SUMIF('Resource Demand - Activity'!$FT:$FT,Example!$G66,'Resource Demand - Activity'!BZ:BZ)</f>
        <v>1</v>
      </c>
      <c r="CF66" s="35">
        <f>SUMIF('Resource Demand - Activity'!$FT:$FT,Example!$G66,'Resource Demand - Activity'!CA:CA)</f>
        <v>1</v>
      </c>
      <c r="CG66" s="35">
        <f>SUMIF('Resource Demand - Activity'!$FT:$FT,Example!$G66,'Resource Demand - Activity'!CB:CB)</f>
        <v>1</v>
      </c>
      <c r="CH66" s="35">
        <f>SUMIF('Resource Demand - Activity'!$FT:$FT,Example!$G66,'Resource Demand - Activity'!CC:CC)</f>
        <v>1</v>
      </c>
      <c r="CI66" s="35">
        <f>SUMIF('Resource Demand - Activity'!$FT:$FT,Example!$G66,'Resource Demand - Activity'!CD:CD)</f>
        <v>1</v>
      </c>
      <c r="CJ66" s="35">
        <f>SUMIF('Resource Demand - Activity'!$FT:$FT,Example!$G66,'Resource Demand - Activity'!CE:CE)</f>
        <v>1</v>
      </c>
      <c r="CK66" s="35">
        <f>SUMIF('Resource Demand - Activity'!$FT:$FT,Example!$G66,'Resource Demand - Activity'!CF:CF)</f>
        <v>1</v>
      </c>
      <c r="CL66" s="35">
        <f>SUMIF('Resource Demand - Activity'!$FT:$FT,Example!$G66,'Resource Demand - Activity'!CG:CG)</f>
        <v>0</v>
      </c>
      <c r="CM66" s="35">
        <f>SUMIF('Resource Demand - Activity'!$FT:$FT,Example!$G66,'Resource Demand - Activity'!CH:CH)</f>
        <v>0</v>
      </c>
      <c r="CN66" s="35">
        <f>SUMIF('Resource Demand - Activity'!$FT:$FT,Example!$G66,'Resource Demand - Activity'!CI:CI)</f>
        <v>0</v>
      </c>
      <c r="CO66" s="35">
        <f>SUMIF('Resource Demand - Activity'!$FT:$FT,Example!$G66,'Resource Demand - Activity'!CJ:CJ)</f>
        <v>0</v>
      </c>
      <c r="CP66" s="35">
        <f>SUMIF('Resource Demand - Activity'!$FT:$FT,Example!$G66,'Resource Demand - Activity'!CK:CK)</f>
        <v>0</v>
      </c>
      <c r="CQ66" s="35">
        <f>SUMIF('Resource Demand - Activity'!$FT:$FT,Example!$G66,'Resource Demand - Activity'!CL:CL)</f>
        <v>1</v>
      </c>
      <c r="CR66" s="35">
        <f>SUMIF('Resource Demand - Activity'!$FT:$FT,Example!$G66,'Resource Demand - Activity'!CM:CM)</f>
        <v>1</v>
      </c>
      <c r="CS66" s="35">
        <f>SUMIF('Resource Demand - Activity'!$FT:$FT,Example!$G66,'Resource Demand - Activity'!CN:CN)</f>
        <v>1</v>
      </c>
      <c r="CT66" s="35">
        <f>SUMIF('Resource Demand - Activity'!$FT:$FT,Example!$G66,'Resource Demand - Activity'!CO:CO)</f>
        <v>1</v>
      </c>
      <c r="CU66" s="35">
        <f>SUMIF('Resource Demand - Activity'!$FT:$FT,Example!$G66,'Resource Demand - Activity'!CP:CP)</f>
        <v>1</v>
      </c>
      <c r="CV66" s="35">
        <f>SUMIF('Resource Demand - Activity'!$FT:$FT,Example!$G66,'Resource Demand - Activity'!CQ:CQ)</f>
        <v>1</v>
      </c>
      <c r="CW66" s="35">
        <f>SUMIF('Resource Demand - Activity'!$FT:$FT,Example!$G66,'Resource Demand - Activity'!CR:CR)</f>
        <v>1</v>
      </c>
      <c r="CX66" s="35">
        <f>SUMIF('Resource Demand - Activity'!$FT:$FT,Example!$G66,'Resource Demand - Activity'!CS:CS)</f>
        <v>1</v>
      </c>
      <c r="CY66" s="36">
        <f>SUMIF('Resource Demand - Activity'!$FT:$FT,Example!$G66,'Resource Demand - Activity'!CT:CT)</f>
        <v>0</v>
      </c>
      <c r="CZ66" s="35">
        <f>SUMIF('Resource Demand - Activity'!$FT:$FT,Example!$G66,'Resource Demand - Activity'!CU:CU)</f>
        <v>1</v>
      </c>
      <c r="DA66" s="35">
        <f>SUMIF('Resource Demand - Activity'!$FT:$FT,Example!$G66,'Resource Demand - Activity'!CV:CV)</f>
        <v>1</v>
      </c>
      <c r="DB66" s="35">
        <f>SUMIF('Resource Demand - Activity'!$FT:$FT,Example!$G66,'Resource Demand - Activity'!CW:CW)</f>
        <v>1</v>
      </c>
      <c r="DC66" s="35">
        <f>SUMIF('Resource Demand - Activity'!$FT:$FT,Example!$G66,'Resource Demand - Activity'!CX:CX)</f>
        <v>1</v>
      </c>
      <c r="DD66" s="35">
        <f>SUMIF('Resource Demand - Activity'!$FT:$FT,Example!$G66,'Resource Demand - Activity'!CY:CY)</f>
        <v>1</v>
      </c>
      <c r="DE66" s="36">
        <f>SUMIF('Resource Demand - Activity'!$FT:$FT,Example!$G66,'Resource Demand - Activity'!CZ:CZ)</f>
        <v>0</v>
      </c>
      <c r="DF66" s="36">
        <f>SUMIF('Resource Demand - Activity'!$FT:$FT,Example!$G66,'Resource Demand - Activity'!DA:DA)</f>
        <v>0</v>
      </c>
      <c r="DG66" s="35">
        <f>SUMIF('Resource Demand - Activity'!$FT:$FT,Example!$G66,'Resource Demand - Activity'!DB:DB)</f>
        <v>0</v>
      </c>
      <c r="DH66" s="35">
        <f>SUMIF('Resource Demand - Activity'!$FT:$FT,Example!$G66,'Resource Demand - Activity'!DC:DC)</f>
        <v>0</v>
      </c>
      <c r="DI66" s="35">
        <f>SUMIF('Resource Demand - Activity'!$FT:$FT,Example!$G66,'Resource Demand - Activity'!DD:DD)</f>
        <v>0</v>
      </c>
      <c r="DJ66" s="35">
        <f>SUMIF('Resource Demand - Activity'!$FT:$FT,Example!$G66,'Resource Demand - Activity'!DE:DE)</f>
        <v>0</v>
      </c>
      <c r="DK66" s="35">
        <f>SUMIF('Resource Demand - Activity'!$FT:$FT,Example!$G66,'Resource Demand - Activity'!DF:DF)</f>
        <v>0</v>
      </c>
      <c r="DL66" s="35">
        <f>SUMIF('Resource Demand - Activity'!$FT:$FT,Example!$G66,'Resource Demand - Activity'!DG:DG)</f>
        <v>0</v>
      </c>
      <c r="DM66" s="35">
        <f>SUMIF('Resource Demand - Activity'!$FT:$FT,Example!$G66,'Resource Demand - Activity'!DH:DH)</f>
        <v>0</v>
      </c>
      <c r="DN66" s="35">
        <f>SUMIF('Resource Demand - Activity'!$FT:$FT,Example!$G66,'Resource Demand - Activity'!DI:DI)</f>
        <v>0</v>
      </c>
      <c r="DO66" s="35">
        <f>SUMIF('Resource Demand - Activity'!$FT:$FT,Example!$G66,'Resource Demand - Activity'!DJ:DJ)</f>
        <v>0</v>
      </c>
      <c r="DP66" s="35">
        <f>SUMIF('Resource Demand - Activity'!$FT:$FT,Example!$G66,'Resource Demand - Activity'!DK:DK)</f>
        <v>0</v>
      </c>
      <c r="DQ66" s="35">
        <f>SUMIF('Resource Demand - Activity'!$FT:$FT,Example!$G66,'Resource Demand - Activity'!DL:DL)</f>
        <v>0</v>
      </c>
      <c r="DR66" s="35">
        <f>SUMIF('Resource Demand - Activity'!$FT:$FT,Example!$G66,'Resource Demand - Activity'!DM:DM)</f>
        <v>0</v>
      </c>
      <c r="DS66" s="35">
        <f>SUMIF('Resource Demand - Activity'!$FT:$FT,Example!$G66,'Resource Demand - Activity'!DN:DN)</f>
        <v>0</v>
      </c>
      <c r="DT66" s="35">
        <f>SUMIF('Resource Demand - Activity'!$FT:$FT,Example!$G66,'Resource Demand - Activity'!DO:DO)</f>
        <v>0</v>
      </c>
      <c r="DU66" s="35">
        <f>SUMIF('Resource Demand - Activity'!$FT:$FT,Example!$G66,'Resource Demand - Activity'!DP:DP)</f>
        <v>0</v>
      </c>
      <c r="DV66" s="35">
        <f>SUMIF('Resource Demand - Activity'!$FT:$FT,Example!$G66,'Resource Demand - Activity'!DQ:DQ)</f>
        <v>0</v>
      </c>
      <c r="DW66" s="35">
        <f>SUMIF('Resource Demand - Activity'!$FT:$FT,Example!$G66,'Resource Demand - Activity'!DR:DR)</f>
        <v>0</v>
      </c>
      <c r="DX66" s="35">
        <f>SUMIF('Resource Demand - Activity'!$FT:$FT,Example!$G66,'Resource Demand - Activity'!DS:DS)</f>
        <v>0</v>
      </c>
      <c r="DY66" s="35">
        <f>SUMIF('Resource Demand - Activity'!$FT:$FT,Example!$G66,'Resource Demand - Activity'!DT:DT)</f>
        <v>0</v>
      </c>
      <c r="DZ66" s="35">
        <f>SUMIF('Resource Demand - Activity'!$FT:$FT,Example!$G66,'Resource Demand - Activity'!DU:DU)</f>
        <v>0</v>
      </c>
      <c r="EA66" s="35">
        <f>SUMIF('Resource Demand - Activity'!$FT:$FT,Example!$G66,'Resource Demand - Activity'!DV:DV)</f>
        <v>0</v>
      </c>
      <c r="EB66" s="35">
        <f>SUMIF('Resource Demand - Activity'!$FT:$FT,Example!$G66,'Resource Demand - Activity'!DW:DW)</f>
        <v>0</v>
      </c>
      <c r="EC66" s="35">
        <f>SUMIF('Resource Demand - Activity'!$FT:$FT,Example!$G66,'Resource Demand - Activity'!DX:DX)</f>
        <v>0</v>
      </c>
      <c r="ED66" s="35">
        <f>SUMIF('Resource Demand - Activity'!$FT:$FT,Example!$G66,'Resource Demand - Activity'!DY:DY)</f>
        <v>0</v>
      </c>
      <c r="EE66" s="36">
        <f>SUMIF('Resource Demand - Activity'!$FT:$FT,Example!$G66,'Resource Demand - Activity'!DZ:DZ)</f>
        <v>0</v>
      </c>
      <c r="EF66" s="35">
        <f>SUMIF('Resource Demand - Activity'!$FT:$FT,Example!$G66,'Resource Demand - Activity'!EA:EA)</f>
        <v>0</v>
      </c>
      <c r="EG66" s="35">
        <f>SUMIF('Resource Demand - Activity'!$FT:$FT,Example!$G66,'Resource Demand - Activity'!EB:EB)</f>
        <v>0</v>
      </c>
      <c r="EH66" s="35">
        <f>SUMIF('Resource Demand - Activity'!$FT:$FT,Example!$G66,'Resource Demand - Activity'!EC:EC)</f>
        <v>0</v>
      </c>
      <c r="EI66" s="35">
        <f>SUMIF('Resource Demand - Activity'!$FT:$FT,Example!$G66,'Resource Demand - Activity'!ED:ED)</f>
        <v>0</v>
      </c>
      <c r="EJ66" s="35">
        <f>SUMIF('Resource Demand - Activity'!$FT:$FT,Example!$G66,'Resource Demand - Activity'!EE:EE)</f>
        <v>0</v>
      </c>
      <c r="EK66" s="35">
        <f>SUMIF('Resource Demand - Activity'!$FT:$FT,Example!$G66,'Resource Demand - Activity'!EF:EF)</f>
        <v>0</v>
      </c>
      <c r="EL66" s="35">
        <f>SUMIF('Resource Demand - Activity'!$FT:$FT,Example!$G66,'Resource Demand - Activity'!EG:EG)</f>
        <v>0</v>
      </c>
      <c r="EM66" s="35">
        <f>SUMIF('Resource Demand - Activity'!$FT:$FT,Example!$G66,'Resource Demand - Activity'!EH:EH)</f>
        <v>0</v>
      </c>
      <c r="EN66" s="35">
        <f>SUMIF('Resource Demand - Activity'!$FT:$FT,Example!$G66,'Resource Demand - Activity'!EI:EI)</f>
        <v>0</v>
      </c>
      <c r="EO66" s="35">
        <f>SUMIF('Resource Demand - Activity'!$FT:$FT,Example!$G66,'Resource Demand - Activity'!EJ:EJ)</f>
        <v>0</v>
      </c>
      <c r="EP66" s="35">
        <f>SUMIF('Resource Demand - Activity'!$FT:$FT,Example!$G66,'Resource Demand - Activity'!EK:EK)</f>
        <v>0</v>
      </c>
      <c r="EQ66" s="35">
        <f>SUMIF('Resource Demand - Activity'!$FT:$FT,Example!$G66,'Resource Demand - Activity'!EL:EL)</f>
        <v>0</v>
      </c>
      <c r="ER66" s="35">
        <f>SUMIF('Resource Demand - Activity'!$FT:$FT,Example!$G66,'Resource Demand - Activity'!EM:EM)</f>
        <v>0</v>
      </c>
      <c r="ES66" s="35">
        <f>SUMIF('Resource Demand - Activity'!$FT:$FT,Example!$G66,'Resource Demand - Activity'!EN:EN)</f>
        <v>0</v>
      </c>
      <c r="ET66" s="35">
        <f>SUMIF('Resource Demand - Activity'!$FT:$FT,Example!$G66,'Resource Demand - Activity'!EO:EO)</f>
        <v>0</v>
      </c>
      <c r="EU66" s="35">
        <f>SUMIF('Resource Demand - Activity'!$FT:$FT,Example!$G66,'Resource Demand - Activity'!EP:EP)</f>
        <v>0</v>
      </c>
      <c r="EV66" s="35">
        <f>SUMIF('Resource Demand - Activity'!$FT:$FT,Example!$G66,'Resource Demand - Activity'!EQ:EQ)</f>
        <v>0</v>
      </c>
      <c r="EW66" s="35">
        <f>SUMIF('Resource Demand - Activity'!$FT:$FT,Example!$G66,'Resource Demand - Activity'!ER:ER)</f>
        <v>0</v>
      </c>
      <c r="EX66" s="35">
        <f>SUMIF('Resource Demand - Activity'!$FT:$FT,Example!$G66,'Resource Demand - Activity'!ES:ES)</f>
        <v>0</v>
      </c>
      <c r="EY66" s="35">
        <f>SUMIF('Resource Demand - Activity'!$FT:$FT,Example!$G66,'Resource Demand - Activity'!ET:ET)</f>
        <v>0</v>
      </c>
      <c r="EZ66" s="35">
        <f>SUMIF('Resource Demand - Activity'!$FT:$FT,Example!$G66,'Resource Demand - Activity'!EU:EU)</f>
        <v>0</v>
      </c>
      <c r="FA66" s="35">
        <f>SUMIF('Resource Demand - Activity'!$FT:$FT,Example!$G66,'Resource Demand - Activity'!EV:EV)</f>
        <v>0</v>
      </c>
      <c r="FB66" s="35">
        <f>SUMIF('Resource Demand - Activity'!$FT:$FT,Example!$G66,'Resource Demand - Activity'!EW:EW)</f>
        <v>0</v>
      </c>
      <c r="FC66" s="35">
        <f>SUMIF('Resource Demand - Activity'!$FT:$FT,Example!$G66,'Resource Demand - Activity'!EX:EX)</f>
        <v>0</v>
      </c>
      <c r="FD66" s="36">
        <f>SUMIF('Resource Demand - Activity'!$FT:$FT,Example!$G66,'Resource Demand - Activity'!EY:EY)</f>
        <v>0</v>
      </c>
      <c r="FE66" s="35">
        <f>SUMIF('Resource Demand - Activity'!$FT:$FT,Example!$G66,'Resource Demand - Activity'!EZ:EZ)</f>
        <v>0</v>
      </c>
      <c r="FF66" s="35">
        <f>SUMIF('Resource Demand - Activity'!$FT:$FT,Example!$G66,'Resource Demand - Activity'!FA:FA)</f>
        <v>0</v>
      </c>
      <c r="FG66" s="35">
        <f>SUMIF('Resource Demand - Activity'!$FT:$FT,Example!$G66,'Resource Demand - Activity'!FB:FB)</f>
        <v>0</v>
      </c>
      <c r="FH66" s="35">
        <f>SUMIF('Resource Demand - Activity'!$FT:$FT,Example!$G66,'Resource Demand - Activity'!FC:FC)</f>
        <v>0</v>
      </c>
      <c r="FI66" s="35">
        <f>SUMIF('Resource Demand - Activity'!$FT:$FT,Example!$G66,'Resource Demand - Activity'!FD:FD)</f>
        <v>0</v>
      </c>
      <c r="FJ66" s="35">
        <f>SUMIF('Resource Demand - Activity'!$FT:$FT,Example!$G66,'Resource Demand - Activity'!FE:FE)</f>
        <v>0</v>
      </c>
      <c r="FK66" s="35">
        <f>SUMIF('Resource Demand - Activity'!$FT:$FT,Example!$G66,'Resource Demand - Activity'!FF:FF)</f>
        <v>0</v>
      </c>
      <c r="FL66" s="35">
        <f>SUMIF('Resource Demand - Activity'!$FT:$FT,Example!$G66,'Resource Demand - Activity'!FG:FG)</f>
        <v>0</v>
      </c>
      <c r="FM66" s="35">
        <f>SUMIF('Resource Demand - Activity'!$FT:$FT,Example!$G66,'Resource Demand - Activity'!FH:FH)</f>
        <v>0</v>
      </c>
      <c r="FN66" s="35">
        <f>SUMIF('Resource Demand - Activity'!$FT:$FT,Example!$G66,'Resource Demand - Activity'!FI:FI)</f>
        <v>0</v>
      </c>
      <c r="FO66" s="35">
        <f>SUMIF('Resource Demand - Activity'!$FT:$FT,Example!$G66,'Resource Demand - Activity'!FJ:FJ)</f>
        <v>0</v>
      </c>
      <c r="FP66" s="35">
        <f>SUMIF('Resource Demand - Activity'!$FT:$FT,Example!$G66,'Resource Demand - Activity'!FK:FK)</f>
        <v>0</v>
      </c>
      <c r="FQ66" s="35">
        <f>SUMIF('Resource Demand - Activity'!$FT:$FT,Example!$G66,'Resource Demand - Activity'!FL:FL)</f>
        <v>0</v>
      </c>
      <c r="FR66" s="35">
        <f>SUMIF('Resource Demand - Activity'!$FT:$FT,Example!$G66,'Resource Demand - Activity'!FM:FM)</f>
        <v>0</v>
      </c>
      <c r="FS66" s="35">
        <f>SUMIF('Resource Demand - Activity'!$FT:$FT,Example!$G66,'Resource Demand - Activity'!FN:FN)</f>
        <v>0</v>
      </c>
      <c r="FT66" s="35">
        <f>SUMIF('Resource Demand - Activity'!$FT:$FT,Example!$G66,'Resource Demand - Activity'!FO:FO)</f>
        <v>0</v>
      </c>
      <c r="FU66" s="35">
        <f>SUMIF('Resource Demand - Activity'!$FT:$FT,Example!$G66,'Resource Demand - Activity'!FP:FP)</f>
        <v>0</v>
      </c>
      <c r="FV66" s="52">
        <f>SUMIF('Resource Demand - Activity'!$FT:$FT,Example!$G66,'Resource Demand - Activity'!FQ:FQ)</f>
        <v>0</v>
      </c>
    </row>
    <row r="67" spans="2:178" s="63" customFormat="1" ht="12" customHeight="1">
      <c r="B67" s="1"/>
      <c r="G67" s="64" t="str">
        <f t="shared" si="11"/>
        <v>8. NSTs/ECB Development &amp; Reporting 8.2 PreparationJunior Accountant</v>
      </c>
      <c r="H67" s="59" t="s">
        <v>164</v>
      </c>
      <c r="I67" s="59" t="str">
        <f>INDEX('Resource Demand - Activity'!C:C,MATCH(Example!G67,'Resource Demand - Activity'!FT:FT,0))</f>
        <v>5 days</v>
      </c>
      <c r="J67" s="51">
        <f>SUMIF('Resource Demand - Activity'!$FT:$FT,Example!$G67,'Resource Demand - Activity'!E:E)</f>
        <v>0</v>
      </c>
      <c r="K67" s="35">
        <f>SUMIF('Resource Demand - Activity'!$FT:$FT,Example!$G67,'Resource Demand - Activity'!F:F)</f>
        <v>0</v>
      </c>
      <c r="L67" s="35">
        <f>SUMIF('Resource Demand - Activity'!$FT:$FT,Example!$G67,'Resource Demand - Activity'!G:G)</f>
        <v>0</v>
      </c>
      <c r="M67" s="35">
        <f>SUMIF('Resource Demand - Activity'!$FT:$FT,Example!$G67,'Resource Demand - Activity'!H:H)</f>
        <v>0</v>
      </c>
      <c r="N67" s="35">
        <f>SUMIF('Resource Demand - Activity'!$FT:$FT,Example!$G67,'Resource Demand - Activity'!I:I)</f>
        <v>0</v>
      </c>
      <c r="O67" s="35">
        <f>SUMIF('Resource Demand - Activity'!$FT:$FT,Example!$G67,'Resource Demand - Activity'!J:J)</f>
        <v>0</v>
      </c>
      <c r="P67" s="35">
        <f>SUMIF('Resource Demand - Activity'!$FT:$FT,Example!$G67,'Resource Demand - Activity'!K:K)</f>
        <v>0</v>
      </c>
      <c r="Q67" s="35">
        <f>SUMIF('Resource Demand - Activity'!$FT:$FT,Example!$G67,'Resource Demand - Activity'!L:L)</f>
        <v>0</v>
      </c>
      <c r="R67" s="35">
        <f>SUMIF('Resource Demand - Activity'!$FT:$FT,Example!$G67,'Resource Demand - Activity'!M:M)</f>
        <v>0</v>
      </c>
      <c r="S67" s="35">
        <f>SUMIF('Resource Demand - Activity'!$FT:$FT,Example!$G67,'Resource Demand - Activity'!N:N)</f>
        <v>0</v>
      </c>
      <c r="T67" s="35">
        <f>SUMIF('Resource Demand - Activity'!$FT:$FT,Example!$G67,'Resource Demand - Activity'!O:O)</f>
        <v>0</v>
      </c>
      <c r="U67" s="35">
        <f>SUMIF('Resource Demand - Activity'!$FT:$FT,Example!$G67,'Resource Demand - Activity'!P:P)</f>
        <v>0</v>
      </c>
      <c r="V67" s="35">
        <f>SUMIF('Resource Demand - Activity'!$FT:$FT,Example!$G67,'Resource Demand - Activity'!Q:Q)</f>
        <v>0</v>
      </c>
      <c r="W67" s="35">
        <f>SUMIF('Resource Demand - Activity'!$FT:$FT,Example!$G67,'Resource Demand - Activity'!R:R)</f>
        <v>0</v>
      </c>
      <c r="X67" s="35">
        <f>SUMIF('Resource Demand - Activity'!$FT:$FT,Example!$G67,'Resource Demand - Activity'!S:S)</f>
        <v>0</v>
      </c>
      <c r="Y67" s="35">
        <f>SUMIF('Resource Demand - Activity'!$FT:$FT,Example!$G67,'Resource Demand - Activity'!T:T)</f>
        <v>0</v>
      </c>
      <c r="Z67" s="35">
        <f>SUMIF('Resource Demand - Activity'!$FT:$FT,Example!$G67,'Resource Demand - Activity'!U:U)</f>
        <v>0</v>
      </c>
      <c r="AA67" s="35">
        <f>SUMIF('Resource Demand - Activity'!$FT:$FT,Example!$G67,'Resource Demand - Activity'!V:V)</f>
        <v>0</v>
      </c>
      <c r="AB67" s="35">
        <f>SUMIF('Resource Demand - Activity'!$FT:$FT,Example!$G67,'Resource Demand - Activity'!W:W)</f>
        <v>0</v>
      </c>
      <c r="AC67" s="35">
        <f>SUMIF('Resource Demand - Activity'!$FT:$FT,Example!$G67,'Resource Demand - Activity'!X:X)</f>
        <v>0</v>
      </c>
      <c r="AD67" s="35">
        <f>SUMIF('Resource Demand - Activity'!$FT:$FT,Example!$G67,'Resource Demand - Activity'!Y:Y)</f>
        <v>0</v>
      </c>
      <c r="AE67" s="35">
        <f>SUMIF('Resource Demand - Activity'!$FT:$FT,Example!$G67,'Resource Demand - Activity'!Z:Z)</f>
        <v>0</v>
      </c>
      <c r="AF67" s="35">
        <f>SUMIF('Resource Demand - Activity'!$FT:$FT,Example!$G67,'Resource Demand - Activity'!AA:AA)</f>
        <v>0</v>
      </c>
      <c r="AG67" s="35">
        <f>SUMIF('Resource Demand - Activity'!$FT:$FT,Example!$G67,'Resource Demand - Activity'!AB:AB)</f>
        <v>0</v>
      </c>
      <c r="AH67" s="35">
        <f>SUMIF('Resource Demand - Activity'!$FT:$FT,Example!$G67,'Resource Demand - Activity'!AC:AC)</f>
        <v>0</v>
      </c>
      <c r="AI67" s="35">
        <f>SUMIF('Resource Demand - Activity'!$FT:$FT,Example!$G67,'Resource Demand - Activity'!AD:AD)</f>
        <v>0</v>
      </c>
      <c r="AJ67" s="35">
        <f>SUMIF('Resource Demand - Activity'!$FT:$FT,Example!$G67,'Resource Demand - Activity'!AE:AE)</f>
        <v>0</v>
      </c>
      <c r="AK67" s="35">
        <f>SUMIF('Resource Demand - Activity'!$FT:$FT,Example!$G67,'Resource Demand - Activity'!AF:AF)</f>
        <v>0</v>
      </c>
      <c r="AL67" s="35">
        <f>SUMIF('Resource Demand - Activity'!$FT:$FT,Example!$G67,'Resource Demand - Activity'!AG:AG)</f>
        <v>0</v>
      </c>
      <c r="AM67" s="35">
        <f>SUMIF('Resource Demand - Activity'!$FT:$FT,Example!$G67,'Resource Demand - Activity'!AH:AH)</f>
        <v>0</v>
      </c>
      <c r="AN67" s="35">
        <f>SUMIF('Resource Demand - Activity'!$FT:$FT,Example!$G67,'Resource Demand - Activity'!AI:AI)</f>
        <v>0</v>
      </c>
      <c r="AO67" s="35">
        <f>SUMIF('Resource Demand - Activity'!$FT:$FT,Example!$G67,'Resource Demand - Activity'!AJ:AJ)</f>
        <v>0</v>
      </c>
      <c r="AP67" s="35">
        <f>SUMIF('Resource Demand - Activity'!$FT:$FT,Example!$G67,'Resource Demand - Activity'!AK:AK)</f>
        <v>0</v>
      </c>
      <c r="AQ67" s="36">
        <f>SUMIF('Resource Demand - Activity'!$FT:$FT,Example!$G67,'Resource Demand - Activity'!AL:AL)</f>
        <v>0</v>
      </c>
      <c r="AR67" s="36">
        <f>SUMIF('Resource Demand - Activity'!$FT:$FT,Example!$G67,'Resource Demand - Activity'!AM:AM)</f>
        <v>0</v>
      </c>
      <c r="AS67" s="36">
        <f>SUMIF('Resource Demand - Activity'!$FT:$FT,Example!$G67,'Resource Demand - Activity'!AN:AN)</f>
        <v>0</v>
      </c>
      <c r="AT67" s="36">
        <f>SUMIF('Resource Demand - Activity'!$FT:$FT,Example!$G67,'Resource Demand - Activity'!AO:AO)</f>
        <v>0</v>
      </c>
      <c r="AU67" s="36">
        <f>SUMIF('Resource Demand - Activity'!$FT:$FT,Example!$G67,'Resource Demand - Activity'!AP:AP)</f>
        <v>0</v>
      </c>
      <c r="AV67" s="36">
        <f>SUMIF('Resource Demand - Activity'!$FT:$FT,Example!$G67,'Resource Demand - Activity'!AQ:AQ)</f>
        <v>0</v>
      </c>
      <c r="AW67" s="36">
        <f>SUMIF('Resource Demand - Activity'!$FT:$FT,Example!$G67,'Resource Demand - Activity'!AR:AR)</f>
        <v>0</v>
      </c>
      <c r="AX67" s="35">
        <f>SUMIF('Resource Demand - Activity'!$FT:$FT,Example!$G67,'Resource Demand - Activity'!AS:AS)</f>
        <v>0</v>
      </c>
      <c r="AY67" s="35">
        <f>SUMIF('Resource Demand - Activity'!$FT:$FT,Example!$G67,'Resource Demand - Activity'!AT:AT)</f>
        <v>0</v>
      </c>
      <c r="AZ67" s="35">
        <f>SUMIF('Resource Demand - Activity'!$FT:$FT,Example!$G67,'Resource Demand - Activity'!AU:AU)</f>
        <v>0</v>
      </c>
      <c r="BA67" s="35">
        <f>SUMIF('Resource Demand - Activity'!$FT:$FT,Example!$G67,'Resource Demand - Activity'!AV:AV)</f>
        <v>0</v>
      </c>
      <c r="BB67" s="35">
        <f>SUMIF('Resource Demand - Activity'!$FT:$FT,Example!$G67,'Resource Demand - Activity'!AW:AW)</f>
        <v>0</v>
      </c>
      <c r="BC67" s="35">
        <f>SUMIF('Resource Demand - Activity'!$FT:$FT,Example!$G67,'Resource Demand - Activity'!AX:AX)</f>
        <v>0</v>
      </c>
      <c r="BD67" s="35">
        <f>SUMIF('Resource Demand - Activity'!$FT:$FT,Example!$G67,'Resource Demand - Activity'!AY:AY)</f>
        <v>0</v>
      </c>
      <c r="BE67" s="35">
        <f>SUMIF('Resource Demand - Activity'!$FT:$FT,Example!$G67,'Resource Demand - Activity'!AZ:AZ)</f>
        <v>0</v>
      </c>
      <c r="BF67" s="35">
        <f>SUMIF('Resource Demand - Activity'!$FT:$FT,Example!$G67,'Resource Demand - Activity'!BA:BA)</f>
        <v>0</v>
      </c>
      <c r="BG67" s="35">
        <f>SUMIF('Resource Demand - Activity'!$FT:$FT,Example!$G67,'Resource Demand - Activity'!BB:BB)</f>
        <v>0</v>
      </c>
      <c r="BH67" s="35">
        <f>SUMIF('Resource Demand - Activity'!$FT:$FT,Example!$G67,'Resource Demand - Activity'!BC:BC)</f>
        <v>0</v>
      </c>
      <c r="BI67" s="35">
        <f>SUMIF('Resource Demand - Activity'!$FT:$FT,Example!$G67,'Resource Demand - Activity'!BD:BD)</f>
        <v>0</v>
      </c>
      <c r="BJ67" s="35">
        <f>SUMIF('Resource Demand - Activity'!$FT:$FT,Example!$G67,'Resource Demand - Activity'!BE:BE)</f>
        <v>0</v>
      </c>
      <c r="BK67" s="35">
        <f>SUMIF('Resource Demand - Activity'!$FT:$FT,Example!$G67,'Resource Demand - Activity'!BF:BF)</f>
        <v>0</v>
      </c>
      <c r="BL67" s="35">
        <f>SUMIF('Resource Demand - Activity'!$FT:$FT,Example!$G67,'Resource Demand - Activity'!BG:BG)</f>
        <v>0</v>
      </c>
      <c r="BM67" s="35">
        <f>SUMIF('Resource Demand - Activity'!$FT:$FT,Example!$G67,'Resource Demand - Activity'!BH:BH)</f>
        <v>0</v>
      </c>
      <c r="BN67" s="35">
        <f>SUMIF('Resource Demand - Activity'!$FT:$FT,Example!$G67,'Resource Demand - Activity'!BI:BI)</f>
        <v>0</v>
      </c>
      <c r="BO67" s="35">
        <f>SUMIF('Resource Demand - Activity'!$FT:$FT,Example!$G67,'Resource Demand - Activity'!BJ:BJ)</f>
        <v>0</v>
      </c>
      <c r="BP67" s="35">
        <f>SUMIF('Resource Demand - Activity'!$FT:$FT,Example!$G67,'Resource Demand - Activity'!BK:BK)</f>
        <v>0</v>
      </c>
      <c r="BQ67" s="35">
        <f>SUMIF('Resource Demand - Activity'!$FT:$FT,Example!$G67,'Resource Demand - Activity'!BL:BL)</f>
        <v>0</v>
      </c>
      <c r="BR67" s="35">
        <f>SUMIF('Resource Demand - Activity'!$FT:$FT,Example!$G67,'Resource Demand - Activity'!BM:BM)</f>
        <v>0</v>
      </c>
      <c r="BS67" s="35">
        <f>SUMIF('Resource Demand - Activity'!$FT:$FT,Example!$G67,'Resource Demand - Activity'!BN:BN)</f>
        <v>0</v>
      </c>
      <c r="BT67" s="35">
        <f>SUMIF('Resource Demand - Activity'!$FT:$FT,Example!$G67,'Resource Demand - Activity'!BO:BO)</f>
        <v>0</v>
      </c>
      <c r="BU67" s="35">
        <f>SUMIF('Resource Demand - Activity'!$FT:$FT,Example!$G67,'Resource Demand - Activity'!BP:BP)</f>
        <v>0</v>
      </c>
      <c r="BV67" s="35">
        <f>SUMIF('Resource Demand - Activity'!$FT:$FT,Example!$G67,'Resource Demand - Activity'!BQ:BQ)</f>
        <v>0</v>
      </c>
      <c r="BW67" s="35">
        <f>SUMIF('Resource Demand - Activity'!$FT:$FT,Example!$G67,'Resource Demand - Activity'!BR:BR)</f>
        <v>0</v>
      </c>
      <c r="BX67" s="35">
        <f>SUMIF('Resource Demand - Activity'!$FT:$FT,Example!$G67,'Resource Demand - Activity'!BS:BS)</f>
        <v>0</v>
      </c>
      <c r="BY67" s="35">
        <f>SUMIF('Resource Demand - Activity'!$FT:$FT,Example!$G67,'Resource Demand - Activity'!BT:BT)</f>
        <v>0</v>
      </c>
      <c r="BZ67" s="35">
        <f>SUMIF('Resource Demand - Activity'!$FT:$FT,Example!$G67,'Resource Demand - Activity'!BU:BU)</f>
        <v>0</v>
      </c>
      <c r="CA67" s="35">
        <f>SUMIF('Resource Demand - Activity'!$FT:$FT,Example!$G67,'Resource Demand - Activity'!BV:BV)</f>
        <v>0</v>
      </c>
      <c r="CB67" s="35">
        <f>SUMIF('Resource Demand - Activity'!$FT:$FT,Example!$G67,'Resource Demand - Activity'!BW:BW)</f>
        <v>0</v>
      </c>
      <c r="CC67" s="35">
        <f>SUMIF('Resource Demand - Activity'!$FT:$FT,Example!$G67,'Resource Demand - Activity'!BX:BX)</f>
        <v>0</v>
      </c>
      <c r="CD67" s="35">
        <f>SUMIF('Resource Demand - Activity'!$FT:$FT,Example!$G67,'Resource Demand - Activity'!BY:BY)</f>
        <v>0</v>
      </c>
      <c r="CE67" s="35">
        <f>SUMIF('Resource Demand - Activity'!$FT:$FT,Example!$G67,'Resource Demand - Activity'!BZ:BZ)</f>
        <v>0</v>
      </c>
      <c r="CF67" s="35">
        <f>SUMIF('Resource Demand - Activity'!$FT:$FT,Example!$G67,'Resource Demand - Activity'!CA:CA)</f>
        <v>0</v>
      </c>
      <c r="CG67" s="35">
        <f>SUMIF('Resource Demand - Activity'!$FT:$FT,Example!$G67,'Resource Demand - Activity'!CB:CB)</f>
        <v>0</v>
      </c>
      <c r="CH67" s="35">
        <f>SUMIF('Resource Demand - Activity'!$FT:$FT,Example!$G67,'Resource Demand - Activity'!CC:CC)</f>
        <v>0</v>
      </c>
      <c r="CI67" s="35">
        <f>SUMIF('Resource Demand - Activity'!$FT:$FT,Example!$G67,'Resource Demand - Activity'!CD:CD)</f>
        <v>0</v>
      </c>
      <c r="CJ67" s="35">
        <f>SUMIF('Resource Demand - Activity'!$FT:$FT,Example!$G67,'Resource Demand - Activity'!CE:CE)</f>
        <v>0</v>
      </c>
      <c r="CK67" s="35">
        <f>SUMIF('Resource Demand - Activity'!$FT:$FT,Example!$G67,'Resource Demand - Activity'!CF:CF)</f>
        <v>0</v>
      </c>
      <c r="CL67" s="35">
        <f>SUMIF('Resource Demand - Activity'!$FT:$FT,Example!$G67,'Resource Demand - Activity'!CG:CG)</f>
        <v>0</v>
      </c>
      <c r="CM67" s="35">
        <f>SUMIF('Resource Demand - Activity'!$FT:$FT,Example!$G67,'Resource Demand - Activity'!CH:CH)</f>
        <v>0</v>
      </c>
      <c r="CN67" s="35">
        <f>SUMIF('Resource Demand - Activity'!$FT:$FT,Example!$G67,'Resource Demand - Activity'!CI:CI)</f>
        <v>0</v>
      </c>
      <c r="CO67" s="35">
        <f>SUMIF('Resource Demand - Activity'!$FT:$FT,Example!$G67,'Resource Demand - Activity'!CJ:CJ)</f>
        <v>0</v>
      </c>
      <c r="CP67" s="35">
        <f>SUMIF('Resource Demand - Activity'!$FT:$FT,Example!$G67,'Resource Demand - Activity'!CK:CK)</f>
        <v>0</v>
      </c>
      <c r="CQ67" s="35">
        <f>SUMIF('Resource Demand - Activity'!$FT:$FT,Example!$G67,'Resource Demand - Activity'!CL:CL)</f>
        <v>0</v>
      </c>
      <c r="CR67" s="35">
        <f>SUMIF('Resource Demand - Activity'!$FT:$FT,Example!$G67,'Resource Demand - Activity'!CM:CM)</f>
        <v>0</v>
      </c>
      <c r="CS67" s="35">
        <f>SUMIF('Resource Demand - Activity'!$FT:$FT,Example!$G67,'Resource Demand - Activity'!CN:CN)</f>
        <v>0</v>
      </c>
      <c r="CT67" s="35">
        <f>SUMIF('Resource Demand - Activity'!$FT:$FT,Example!$G67,'Resource Demand - Activity'!CO:CO)</f>
        <v>0</v>
      </c>
      <c r="CU67" s="35">
        <f>SUMIF('Resource Demand - Activity'!$FT:$FT,Example!$G67,'Resource Demand - Activity'!CP:CP)</f>
        <v>0</v>
      </c>
      <c r="CV67" s="35">
        <f>SUMIF('Resource Demand - Activity'!$FT:$FT,Example!$G67,'Resource Demand - Activity'!CQ:CQ)</f>
        <v>0</v>
      </c>
      <c r="CW67" s="35">
        <f>SUMIF('Resource Demand - Activity'!$FT:$FT,Example!$G67,'Resource Demand - Activity'!CR:CR)</f>
        <v>0</v>
      </c>
      <c r="CX67" s="35">
        <f>SUMIF('Resource Demand - Activity'!$FT:$FT,Example!$G67,'Resource Demand - Activity'!CS:CS)</f>
        <v>0</v>
      </c>
      <c r="CY67" s="36">
        <f>SUMIF('Resource Demand - Activity'!$FT:$FT,Example!$G67,'Resource Demand - Activity'!CT:CT)</f>
        <v>0</v>
      </c>
      <c r="CZ67" s="35">
        <f>SUMIF('Resource Demand - Activity'!$FT:$FT,Example!$G67,'Resource Demand - Activity'!CU:CU)</f>
        <v>0</v>
      </c>
      <c r="DA67" s="35">
        <f>SUMIF('Resource Demand - Activity'!$FT:$FT,Example!$G67,'Resource Demand - Activity'!CV:CV)</f>
        <v>0</v>
      </c>
      <c r="DB67" s="35">
        <f>SUMIF('Resource Demand - Activity'!$FT:$FT,Example!$G67,'Resource Demand - Activity'!CW:CW)</f>
        <v>0</v>
      </c>
      <c r="DC67" s="35">
        <f>SUMIF('Resource Demand - Activity'!$FT:$FT,Example!$G67,'Resource Demand - Activity'!CX:CX)</f>
        <v>0</v>
      </c>
      <c r="DD67" s="35">
        <f>SUMIF('Resource Demand - Activity'!$FT:$FT,Example!$G67,'Resource Demand - Activity'!CY:CY)</f>
        <v>0</v>
      </c>
      <c r="DE67" s="36">
        <f>SUMIF('Resource Demand - Activity'!$FT:$FT,Example!$G67,'Resource Demand - Activity'!CZ:CZ)</f>
        <v>0</v>
      </c>
      <c r="DF67" s="36">
        <f>SUMIF('Resource Demand - Activity'!$FT:$FT,Example!$G67,'Resource Demand - Activity'!DA:DA)</f>
        <v>0</v>
      </c>
      <c r="DG67" s="35">
        <f>SUMIF('Resource Demand - Activity'!$FT:$FT,Example!$G67,'Resource Demand - Activity'!DB:DB)</f>
        <v>0</v>
      </c>
      <c r="DH67" s="35">
        <f>SUMIF('Resource Demand - Activity'!$FT:$FT,Example!$G67,'Resource Demand - Activity'!DC:DC)</f>
        <v>0</v>
      </c>
      <c r="DI67" s="35">
        <f>SUMIF('Resource Demand - Activity'!$FT:$FT,Example!$G67,'Resource Demand - Activity'!DD:DD)</f>
        <v>0</v>
      </c>
      <c r="DJ67" s="35">
        <f>SUMIF('Resource Demand - Activity'!$FT:$FT,Example!$G67,'Resource Demand - Activity'!DE:DE)</f>
        <v>0</v>
      </c>
      <c r="DK67" s="35">
        <f>SUMIF('Resource Demand - Activity'!$FT:$FT,Example!$G67,'Resource Demand - Activity'!DF:DF)</f>
        <v>1</v>
      </c>
      <c r="DL67" s="35">
        <f>SUMIF('Resource Demand - Activity'!$FT:$FT,Example!$G67,'Resource Demand - Activity'!DG:DG)</f>
        <v>1</v>
      </c>
      <c r="DM67" s="35">
        <f>SUMIF('Resource Demand - Activity'!$FT:$FT,Example!$G67,'Resource Demand - Activity'!DH:DH)</f>
        <v>1</v>
      </c>
      <c r="DN67" s="35">
        <f>SUMIF('Resource Demand - Activity'!$FT:$FT,Example!$G67,'Resource Demand - Activity'!DI:DI)</f>
        <v>1</v>
      </c>
      <c r="DO67" s="35">
        <f>SUMIF('Resource Demand - Activity'!$FT:$FT,Example!$G67,'Resource Demand - Activity'!DJ:DJ)</f>
        <v>1</v>
      </c>
      <c r="DP67" s="35">
        <f>SUMIF('Resource Demand - Activity'!$FT:$FT,Example!$G67,'Resource Demand - Activity'!DK:DK)</f>
        <v>0</v>
      </c>
      <c r="DQ67" s="35">
        <f>SUMIF('Resource Demand - Activity'!$FT:$FT,Example!$G67,'Resource Demand - Activity'!DL:DL)</f>
        <v>0</v>
      </c>
      <c r="DR67" s="35">
        <f>SUMIF('Resource Demand - Activity'!$FT:$FT,Example!$G67,'Resource Demand - Activity'!DM:DM)</f>
        <v>0</v>
      </c>
      <c r="DS67" s="35">
        <f>SUMIF('Resource Demand - Activity'!$FT:$FT,Example!$G67,'Resource Demand - Activity'!DN:DN)</f>
        <v>0</v>
      </c>
      <c r="DT67" s="35">
        <f>SUMIF('Resource Demand - Activity'!$FT:$FT,Example!$G67,'Resource Demand - Activity'!DO:DO)</f>
        <v>0</v>
      </c>
      <c r="DU67" s="35">
        <f>SUMIF('Resource Demand - Activity'!$FT:$FT,Example!$G67,'Resource Demand - Activity'!DP:DP)</f>
        <v>0</v>
      </c>
      <c r="DV67" s="35">
        <f>SUMIF('Resource Demand - Activity'!$FT:$FT,Example!$G67,'Resource Demand - Activity'!DQ:DQ)</f>
        <v>0</v>
      </c>
      <c r="DW67" s="35">
        <f>SUMIF('Resource Demand - Activity'!$FT:$FT,Example!$G67,'Resource Demand - Activity'!DR:DR)</f>
        <v>0</v>
      </c>
      <c r="DX67" s="35">
        <f>SUMIF('Resource Demand - Activity'!$FT:$FT,Example!$G67,'Resource Demand - Activity'!DS:DS)</f>
        <v>0</v>
      </c>
      <c r="DY67" s="35">
        <f>SUMIF('Resource Demand - Activity'!$FT:$FT,Example!$G67,'Resource Demand - Activity'!DT:DT)</f>
        <v>0</v>
      </c>
      <c r="DZ67" s="35">
        <f>SUMIF('Resource Demand - Activity'!$FT:$FT,Example!$G67,'Resource Demand - Activity'!DU:DU)</f>
        <v>0</v>
      </c>
      <c r="EA67" s="35">
        <f>SUMIF('Resource Demand - Activity'!$FT:$FT,Example!$G67,'Resource Demand - Activity'!DV:DV)</f>
        <v>0</v>
      </c>
      <c r="EB67" s="35">
        <f>SUMIF('Resource Demand - Activity'!$FT:$FT,Example!$G67,'Resource Demand - Activity'!DW:DW)</f>
        <v>0</v>
      </c>
      <c r="EC67" s="35">
        <f>SUMIF('Resource Demand - Activity'!$FT:$FT,Example!$G67,'Resource Demand - Activity'!DX:DX)</f>
        <v>0</v>
      </c>
      <c r="ED67" s="35">
        <f>SUMIF('Resource Demand - Activity'!$FT:$FT,Example!$G67,'Resource Demand - Activity'!DY:DY)</f>
        <v>0</v>
      </c>
      <c r="EE67" s="36">
        <f>SUMIF('Resource Demand - Activity'!$FT:$FT,Example!$G67,'Resource Demand - Activity'!DZ:DZ)</f>
        <v>0</v>
      </c>
      <c r="EF67" s="35">
        <f>SUMIF('Resource Demand - Activity'!$FT:$FT,Example!$G67,'Resource Demand - Activity'!EA:EA)</f>
        <v>0</v>
      </c>
      <c r="EG67" s="35">
        <f>SUMIF('Resource Demand - Activity'!$FT:$FT,Example!$G67,'Resource Demand - Activity'!EB:EB)</f>
        <v>0</v>
      </c>
      <c r="EH67" s="35">
        <f>SUMIF('Resource Demand - Activity'!$FT:$FT,Example!$G67,'Resource Demand - Activity'!EC:EC)</f>
        <v>0</v>
      </c>
      <c r="EI67" s="35">
        <f>SUMIF('Resource Demand - Activity'!$FT:$FT,Example!$G67,'Resource Demand - Activity'!ED:ED)</f>
        <v>0</v>
      </c>
      <c r="EJ67" s="35">
        <f>SUMIF('Resource Demand - Activity'!$FT:$FT,Example!$G67,'Resource Demand - Activity'!EE:EE)</f>
        <v>0</v>
      </c>
      <c r="EK67" s="35">
        <f>SUMIF('Resource Demand - Activity'!$FT:$FT,Example!$G67,'Resource Demand - Activity'!EF:EF)</f>
        <v>0</v>
      </c>
      <c r="EL67" s="35">
        <f>SUMIF('Resource Demand - Activity'!$FT:$FT,Example!$G67,'Resource Demand - Activity'!EG:EG)</f>
        <v>0</v>
      </c>
      <c r="EM67" s="35">
        <f>SUMIF('Resource Demand - Activity'!$FT:$FT,Example!$G67,'Resource Demand - Activity'!EH:EH)</f>
        <v>0</v>
      </c>
      <c r="EN67" s="35">
        <f>SUMIF('Resource Demand - Activity'!$FT:$FT,Example!$G67,'Resource Demand - Activity'!EI:EI)</f>
        <v>0</v>
      </c>
      <c r="EO67" s="35">
        <f>SUMIF('Resource Demand - Activity'!$FT:$FT,Example!$G67,'Resource Demand - Activity'!EJ:EJ)</f>
        <v>0</v>
      </c>
      <c r="EP67" s="35">
        <f>SUMIF('Resource Demand - Activity'!$FT:$FT,Example!$G67,'Resource Demand - Activity'!EK:EK)</f>
        <v>0</v>
      </c>
      <c r="EQ67" s="35">
        <f>SUMIF('Resource Demand - Activity'!$FT:$FT,Example!$G67,'Resource Demand - Activity'!EL:EL)</f>
        <v>0</v>
      </c>
      <c r="ER67" s="35">
        <f>SUMIF('Resource Demand - Activity'!$FT:$FT,Example!$G67,'Resource Demand - Activity'!EM:EM)</f>
        <v>0</v>
      </c>
      <c r="ES67" s="35">
        <f>SUMIF('Resource Demand - Activity'!$FT:$FT,Example!$G67,'Resource Demand - Activity'!EN:EN)</f>
        <v>0</v>
      </c>
      <c r="ET67" s="35">
        <f>SUMIF('Resource Demand - Activity'!$FT:$FT,Example!$G67,'Resource Demand - Activity'!EO:EO)</f>
        <v>0</v>
      </c>
      <c r="EU67" s="35">
        <f>SUMIF('Resource Demand - Activity'!$FT:$FT,Example!$G67,'Resource Demand - Activity'!EP:EP)</f>
        <v>0</v>
      </c>
      <c r="EV67" s="35">
        <f>SUMIF('Resource Demand - Activity'!$FT:$FT,Example!$G67,'Resource Demand - Activity'!EQ:EQ)</f>
        <v>0</v>
      </c>
      <c r="EW67" s="35">
        <f>SUMIF('Resource Demand - Activity'!$FT:$FT,Example!$G67,'Resource Demand - Activity'!ER:ER)</f>
        <v>0</v>
      </c>
      <c r="EX67" s="35">
        <f>SUMIF('Resource Demand - Activity'!$FT:$FT,Example!$G67,'Resource Demand - Activity'!ES:ES)</f>
        <v>0</v>
      </c>
      <c r="EY67" s="35">
        <f>SUMIF('Resource Demand - Activity'!$FT:$FT,Example!$G67,'Resource Demand - Activity'!ET:ET)</f>
        <v>0</v>
      </c>
      <c r="EZ67" s="35">
        <f>SUMIF('Resource Demand - Activity'!$FT:$FT,Example!$G67,'Resource Demand - Activity'!EU:EU)</f>
        <v>0</v>
      </c>
      <c r="FA67" s="35">
        <f>SUMIF('Resource Demand - Activity'!$FT:$FT,Example!$G67,'Resource Demand - Activity'!EV:EV)</f>
        <v>0</v>
      </c>
      <c r="FB67" s="35">
        <f>SUMIF('Resource Demand - Activity'!$FT:$FT,Example!$G67,'Resource Demand - Activity'!EW:EW)</f>
        <v>0</v>
      </c>
      <c r="FC67" s="35">
        <f>SUMIF('Resource Demand - Activity'!$FT:$FT,Example!$G67,'Resource Demand - Activity'!EX:EX)</f>
        <v>0</v>
      </c>
      <c r="FD67" s="36">
        <f>SUMIF('Resource Demand - Activity'!$FT:$FT,Example!$G67,'Resource Demand - Activity'!EY:EY)</f>
        <v>0</v>
      </c>
      <c r="FE67" s="35">
        <f>SUMIF('Resource Demand - Activity'!$FT:$FT,Example!$G67,'Resource Demand - Activity'!EZ:EZ)</f>
        <v>0</v>
      </c>
      <c r="FF67" s="35">
        <f>SUMIF('Resource Demand - Activity'!$FT:$FT,Example!$G67,'Resource Demand - Activity'!FA:FA)</f>
        <v>0</v>
      </c>
      <c r="FG67" s="35">
        <f>SUMIF('Resource Demand - Activity'!$FT:$FT,Example!$G67,'Resource Demand - Activity'!FB:FB)</f>
        <v>0</v>
      </c>
      <c r="FH67" s="35">
        <f>SUMIF('Resource Demand - Activity'!$FT:$FT,Example!$G67,'Resource Demand - Activity'!FC:FC)</f>
        <v>0</v>
      </c>
      <c r="FI67" s="35">
        <f>SUMIF('Resource Demand - Activity'!$FT:$FT,Example!$G67,'Resource Demand - Activity'!FD:FD)</f>
        <v>0</v>
      </c>
      <c r="FJ67" s="35">
        <f>SUMIF('Resource Demand - Activity'!$FT:$FT,Example!$G67,'Resource Demand - Activity'!FE:FE)</f>
        <v>0</v>
      </c>
      <c r="FK67" s="35">
        <f>SUMIF('Resource Demand - Activity'!$FT:$FT,Example!$G67,'Resource Demand - Activity'!FF:FF)</f>
        <v>0</v>
      </c>
      <c r="FL67" s="35">
        <f>SUMIF('Resource Demand - Activity'!$FT:$FT,Example!$G67,'Resource Demand - Activity'!FG:FG)</f>
        <v>0</v>
      </c>
      <c r="FM67" s="35">
        <f>SUMIF('Resource Demand - Activity'!$FT:$FT,Example!$G67,'Resource Demand - Activity'!FH:FH)</f>
        <v>0</v>
      </c>
      <c r="FN67" s="35">
        <f>SUMIF('Resource Demand - Activity'!$FT:$FT,Example!$G67,'Resource Demand - Activity'!FI:FI)</f>
        <v>0</v>
      </c>
      <c r="FO67" s="35">
        <f>SUMIF('Resource Demand - Activity'!$FT:$FT,Example!$G67,'Resource Demand - Activity'!FJ:FJ)</f>
        <v>0</v>
      </c>
      <c r="FP67" s="35">
        <f>SUMIF('Resource Demand - Activity'!$FT:$FT,Example!$G67,'Resource Demand - Activity'!FK:FK)</f>
        <v>0</v>
      </c>
      <c r="FQ67" s="35">
        <f>SUMIF('Resource Demand - Activity'!$FT:$FT,Example!$G67,'Resource Demand - Activity'!FL:FL)</f>
        <v>0</v>
      </c>
      <c r="FR67" s="35">
        <f>SUMIF('Resource Demand - Activity'!$FT:$FT,Example!$G67,'Resource Demand - Activity'!FM:FM)</f>
        <v>0</v>
      </c>
      <c r="FS67" s="35">
        <f>SUMIF('Resource Demand - Activity'!$FT:$FT,Example!$G67,'Resource Demand - Activity'!FN:FN)</f>
        <v>0</v>
      </c>
      <c r="FT67" s="35">
        <f>SUMIF('Resource Demand - Activity'!$FT:$FT,Example!$G67,'Resource Demand - Activity'!FO:FO)</f>
        <v>0</v>
      </c>
      <c r="FU67" s="35">
        <f>SUMIF('Resource Demand - Activity'!$FT:$FT,Example!$G67,'Resource Demand - Activity'!FP:FP)</f>
        <v>0</v>
      </c>
      <c r="FV67" s="52">
        <f>SUMIF('Resource Demand - Activity'!$FT:$FT,Example!$G67,'Resource Demand - Activity'!FQ:FQ)</f>
        <v>0</v>
      </c>
    </row>
    <row r="68" spans="2:178" s="63" customFormat="1" ht="12" customHeight="1">
      <c r="B68" s="1"/>
      <c r="G68" s="64" t="str">
        <f t="shared" si="11"/>
        <v>10. BAU Transition 10.1 Opening BalancesJunior Accountant</v>
      </c>
      <c r="H68" s="59" t="s">
        <v>140</v>
      </c>
      <c r="I68" s="59" t="str">
        <f>INDEX('Resource Demand - Activity'!C:C,MATCH(Example!G68,'Resource Demand - Activity'!FT:FT,0))</f>
        <v>5 days</v>
      </c>
      <c r="J68" s="51">
        <f>SUMIF('Resource Demand - Activity'!$FT:$FT,Example!$G68,'Resource Demand - Activity'!E:E)</f>
        <v>0</v>
      </c>
      <c r="K68" s="35">
        <f>SUMIF('Resource Demand - Activity'!$FT:$FT,Example!$G68,'Resource Demand - Activity'!F:F)</f>
        <v>0</v>
      </c>
      <c r="L68" s="35">
        <f>SUMIF('Resource Demand - Activity'!$FT:$FT,Example!$G68,'Resource Demand - Activity'!G:G)</f>
        <v>0</v>
      </c>
      <c r="M68" s="35">
        <f>SUMIF('Resource Demand - Activity'!$FT:$FT,Example!$G68,'Resource Demand - Activity'!H:H)</f>
        <v>0</v>
      </c>
      <c r="N68" s="35">
        <f>SUMIF('Resource Demand - Activity'!$FT:$FT,Example!$G68,'Resource Demand - Activity'!I:I)</f>
        <v>0</v>
      </c>
      <c r="O68" s="35">
        <f>SUMIF('Resource Demand - Activity'!$FT:$FT,Example!$G68,'Resource Demand - Activity'!J:J)</f>
        <v>0</v>
      </c>
      <c r="P68" s="35">
        <f>SUMIF('Resource Demand - Activity'!$FT:$FT,Example!$G68,'Resource Demand - Activity'!K:K)</f>
        <v>0</v>
      </c>
      <c r="Q68" s="35">
        <f>SUMIF('Resource Demand - Activity'!$FT:$FT,Example!$G68,'Resource Demand - Activity'!L:L)</f>
        <v>0</v>
      </c>
      <c r="R68" s="35">
        <f>SUMIF('Resource Demand - Activity'!$FT:$FT,Example!$G68,'Resource Demand - Activity'!M:M)</f>
        <v>0</v>
      </c>
      <c r="S68" s="35">
        <f>SUMIF('Resource Demand - Activity'!$FT:$FT,Example!$G68,'Resource Demand - Activity'!N:N)</f>
        <v>0</v>
      </c>
      <c r="T68" s="35">
        <f>SUMIF('Resource Demand - Activity'!$FT:$FT,Example!$G68,'Resource Demand - Activity'!O:O)</f>
        <v>0</v>
      </c>
      <c r="U68" s="35">
        <f>SUMIF('Resource Demand - Activity'!$FT:$FT,Example!$G68,'Resource Demand - Activity'!P:P)</f>
        <v>0</v>
      </c>
      <c r="V68" s="35">
        <f>SUMIF('Resource Demand - Activity'!$FT:$FT,Example!$G68,'Resource Demand - Activity'!Q:Q)</f>
        <v>0</v>
      </c>
      <c r="W68" s="35">
        <f>SUMIF('Resource Demand - Activity'!$FT:$FT,Example!$G68,'Resource Demand - Activity'!R:R)</f>
        <v>0</v>
      </c>
      <c r="X68" s="35">
        <f>SUMIF('Resource Demand - Activity'!$FT:$FT,Example!$G68,'Resource Demand - Activity'!S:S)</f>
        <v>0</v>
      </c>
      <c r="Y68" s="35">
        <f>SUMIF('Resource Demand - Activity'!$FT:$FT,Example!$G68,'Resource Demand - Activity'!T:T)</f>
        <v>0</v>
      </c>
      <c r="Z68" s="35">
        <f>SUMIF('Resource Demand - Activity'!$FT:$FT,Example!$G68,'Resource Demand - Activity'!U:U)</f>
        <v>0</v>
      </c>
      <c r="AA68" s="35">
        <f>SUMIF('Resource Demand - Activity'!$FT:$FT,Example!$G68,'Resource Demand - Activity'!V:V)</f>
        <v>0</v>
      </c>
      <c r="AB68" s="35">
        <f>SUMIF('Resource Demand - Activity'!$FT:$FT,Example!$G68,'Resource Demand - Activity'!W:W)</f>
        <v>0</v>
      </c>
      <c r="AC68" s="35">
        <f>SUMIF('Resource Demand - Activity'!$FT:$FT,Example!$G68,'Resource Demand - Activity'!X:X)</f>
        <v>0</v>
      </c>
      <c r="AD68" s="35">
        <f>SUMIF('Resource Demand - Activity'!$FT:$FT,Example!$G68,'Resource Demand - Activity'!Y:Y)</f>
        <v>0</v>
      </c>
      <c r="AE68" s="35">
        <f>SUMIF('Resource Demand - Activity'!$FT:$FT,Example!$G68,'Resource Demand - Activity'!Z:Z)</f>
        <v>0</v>
      </c>
      <c r="AF68" s="35">
        <f>SUMIF('Resource Demand - Activity'!$FT:$FT,Example!$G68,'Resource Demand - Activity'!AA:AA)</f>
        <v>0</v>
      </c>
      <c r="AG68" s="35">
        <f>SUMIF('Resource Demand - Activity'!$FT:$FT,Example!$G68,'Resource Demand - Activity'!AB:AB)</f>
        <v>0</v>
      </c>
      <c r="AH68" s="35">
        <f>SUMIF('Resource Demand - Activity'!$FT:$FT,Example!$G68,'Resource Demand - Activity'!AC:AC)</f>
        <v>0</v>
      </c>
      <c r="AI68" s="35">
        <f>SUMIF('Resource Demand - Activity'!$FT:$FT,Example!$G68,'Resource Demand - Activity'!AD:AD)</f>
        <v>0</v>
      </c>
      <c r="AJ68" s="35">
        <f>SUMIF('Resource Demand - Activity'!$FT:$FT,Example!$G68,'Resource Demand - Activity'!AE:AE)</f>
        <v>0</v>
      </c>
      <c r="AK68" s="35">
        <f>SUMIF('Resource Demand - Activity'!$FT:$FT,Example!$G68,'Resource Demand - Activity'!AF:AF)</f>
        <v>0</v>
      </c>
      <c r="AL68" s="35">
        <f>SUMIF('Resource Demand - Activity'!$FT:$FT,Example!$G68,'Resource Demand - Activity'!AG:AG)</f>
        <v>0</v>
      </c>
      <c r="AM68" s="35">
        <f>SUMIF('Resource Demand - Activity'!$FT:$FT,Example!$G68,'Resource Demand - Activity'!AH:AH)</f>
        <v>0</v>
      </c>
      <c r="AN68" s="35">
        <f>SUMIF('Resource Demand - Activity'!$FT:$FT,Example!$G68,'Resource Demand - Activity'!AI:AI)</f>
        <v>0</v>
      </c>
      <c r="AO68" s="35">
        <f>SUMIF('Resource Demand - Activity'!$FT:$FT,Example!$G68,'Resource Demand - Activity'!AJ:AJ)</f>
        <v>0</v>
      </c>
      <c r="AP68" s="35">
        <f>SUMIF('Resource Demand - Activity'!$FT:$FT,Example!$G68,'Resource Demand - Activity'!AK:AK)</f>
        <v>0</v>
      </c>
      <c r="AQ68" s="36">
        <f>SUMIF('Resource Demand - Activity'!$FT:$FT,Example!$G68,'Resource Demand - Activity'!AL:AL)</f>
        <v>0</v>
      </c>
      <c r="AR68" s="36">
        <f>SUMIF('Resource Demand - Activity'!$FT:$FT,Example!$G68,'Resource Demand - Activity'!AM:AM)</f>
        <v>0</v>
      </c>
      <c r="AS68" s="36">
        <f>SUMIF('Resource Demand - Activity'!$FT:$FT,Example!$G68,'Resource Demand - Activity'!AN:AN)</f>
        <v>0</v>
      </c>
      <c r="AT68" s="36">
        <f>SUMIF('Resource Demand - Activity'!$FT:$FT,Example!$G68,'Resource Demand - Activity'!AO:AO)</f>
        <v>0</v>
      </c>
      <c r="AU68" s="36">
        <f>SUMIF('Resource Demand - Activity'!$FT:$FT,Example!$G68,'Resource Demand - Activity'!AP:AP)</f>
        <v>0</v>
      </c>
      <c r="AV68" s="36">
        <f>SUMIF('Resource Demand - Activity'!$FT:$FT,Example!$G68,'Resource Demand - Activity'!AQ:AQ)</f>
        <v>0</v>
      </c>
      <c r="AW68" s="36">
        <f>SUMIF('Resource Demand - Activity'!$FT:$FT,Example!$G68,'Resource Demand - Activity'!AR:AR)</f>
        <v>0</v>
      </c>
      <c r="AX68" s="35">
        <f>SUMIF('Resource Demand - Activity'!$FT:$FT,Example!$G68,'Resource Demand - Activity'!AS:AS)</f>
        <v>0</v>
      </c>
      <c r="AY68" s="35">
        <f>SUMIF('Resource Demand - Activity'!$FT:$FT,Example!$G68,'Resource Demand - Activity'!AT:AT)</f>
        <v>0</v>
      </c>
      <c r="AZ68" s="35">
        <f>SUMIF('Resource Demand - Activity'!$FT:$FT,Example!$G68,'Resource Demand - Activity'!AU:AU)</f>
        <v>0</v>
      </c>
      <c r="BA68" s="35">
        <f>SUMIF('Resource Demand - Activity'!$FT:$FT,Example!$G68,'Resource Demand - Activity'!AV:AV)</f>
        <v>0</v>
      </c>
      <c r="BB68" s="35">
        <f>SUMIF('Resource Demand - Activity'!$FT:$FT,Example!$G68,'Resource Demand - Activity'!AW:AW)</f>
        <v>0</v>
      </c>
      <c r="BC68" s="35">
        <f>SUMIF('Resource Demand - Activity'!$FT:$FT,Example!$G68,'Resource Demand - Activity'!AX:AX)</f>
        <v>0</v>
      </c>
      <c r="BD68" s="35">
        <f>SUMIF('Resource Demand - Activity'!$FT:$FT,Example!$G68,'Resource Demand - Activity'!AY:AY)</f>
        <v>0</v>
      </c>
      <c r="BE68" s="35">
        <f>SUMIF('Resource Demand - Activity'!$FT:$FT,Example!$G68,'Resource Demand - Activity'!AZ:AZ)</f>
        <v>0</v>
      </c>
      <c r="BF68" s="35">
        <f>SUMIF('Resource Demand - Activity'!$FT:$FT,Example!$G68,'Resource Demand - Activity'!BA:BA)</f>
        <v>0</v>
      </c>
      <c r="BG68" s="35">
        <f>SUMIF('Resource Demand - Activity'!$FT:$FT,Example!$G68,'Resource Demand - Activity'!BB:BB)</f>
        <v>0</v>
      </c>
      <c r="BH68" s="35">
        <f>SUMIF('Resource Demand - Activity'!$FT:$FT,Example!$G68,'Resource Demand - Activity'!BC:BC)</f>
        <v>0</v>
      </c>
      <c r="BI68" s="35">
        <f>SUMIF('Resource Demand - Activity'!$FT:$FT,Example!$G68,'Resource Demand - Activity'!BD:BD)</f>
        <v>0</v>
      </c>
      <c r="BJ68" s="35">
        <f>SUMIF('Resource Demand - Activity'!$FT:$FT,Example!$G68,'Resource Demand - Activity'!BE:BE)</f>
        <v>0</v>
      </c>
      <c r="BK68" s="35">
        <f>SUMIF('Resource Demand - Activity'!$FT:$FT,Example!$G68,'Resource Demand - Activity'!BF:BF)</f>
        <v>0</v>
      </c>
      <c r="BL68" s="35">
        <f>SUMIF('Resource Demand - Activity'!$FT:$FT,Example!$G68,'Resource Demand - Activity'!BG:BG)</f>
        <v>0</v>
      </c>
      <c r="BM68" s="35">
        <f>SUMIF('Resource Demand - Activity'!$FT:$FT,Example!$G68,'Resource Demand - Activity'!BH:BH)</f>
        <v>0</v>
      </c>
      <c r="BN68" s="35">
        <f>SUMIF('Resource Demand - Activity'!$FT:$FT,Example!$G68,'Resource Demand - Activity'!BI:BI)</f>
        <v>0</v>
      </c>
      <c r="BO68" s="35">
        <f>SUMIF('Resource Demand - Activity'!$FT:$FT,Example!$G68,'Resource Demand - Activity'!BJ:BJ)</f>
        <v>0</v>
      </c>
      <c r="BP68" s="35">
        <f>SUMIF('Resource Demand - Activity'!$FT:$FT,Example!$G68,'Resource Demand - Activity'!BK:BK)</f>
        <v>0</v>
      </c>
      <c r="BQ68" s="35">
        <f>SUMIF('Resource Demand - Activity'!$FT:$FT,Example!$G68,'Resource Demand - Activity'!BL:BL)</f>
        <v>0</v>
      </c>
      <c r="BR68" s="35">
        <f>SUMIF('Resource Demand - Activity'!$FT:$FT,Example!$G68,'Resource Demand - Activity'!BM:BM)</f>
        <v>0</v>
      </c>
      <c r="BS68" s="35">
        <f>SUMIF('Resource Demand - Activity'!$FT:$FT,Example!$G68,'Resource Demand - Activity'!BN:BN)</f>
        <v>0</v>
      </c>
      <c r="BT68" s="35">
        <f>SUMIF('Resource Demand - Activity'!$FT:$FT,Example!$G68,'Resource Demand - Activity'!BO:BO)</f>
        <v>0</v>
      </c>
      <c r="BU68" s="35">
        <f>SUMIF('Resource Demand - Activity'!$FT:$FT,Example!$G68,'Resource Demand - Activity'!BP:BP)</f>
        <v>0</v>
      </c>
      <c r="BV68" s="35">
        <f>SUMIF('Resource Demand - Activity'!$FT:$FT,Example!$G68,'Resource Demand - Activity'!BQ:BQ)</f>
        <v>0</v>
      </c>
      <c r="BW68" s="35">
        <f>SUMIF('Resource Demand - Activity'!$FT:$FT,Example!$G68,'Resource Demand - Activity'!BR:BR)</f>
        <v>0</v>
      </c>
      <c r="BX68" s="35">
        <f>SUMIF('Resource Demand - Activity'!$FT:$FT,Example!$G68,'Resource Demand - Activity'!BS:BS)</f>
        <v>0</v>
      </c>
      <c r="BY68" s="35">
        <f>SUMIF('Resource Demand - Activity'!$FT:$FT,Example!$G68,'Resource Demand - Activity'!BT:BT)</f>
        <v>0</v>
      </c>
      <c r="BZ68" s="35">
        <f>SUMIF('Resource Demand - Activity'!$FT:$FT,Example!$G68,'Resource Demand - Activity'!BU:BU)</f>
        <v>0</v>
      </c>
      <c r="CA68" s="35">
        <f>SUMIF('Resource Demand - Activity'!$FT:$FT,Example!$G68,'Resource Demand - Activity'!BV:BV)</f>
        <v>0</v>
      </c>
      <c r="CB68" s="35">
        <f>SUMIF('Resource Demand - Activity'!$FT:$FT,Example!$G68,'Resource Demand - Activity'!BW:BW)</f>
        <v>0</v>
      </c>
      <c r="CC68" s="35">
        <f>SUMIF('Resource Demand - Activity'!$FT:$FT,Example!$G68,'Resource Demand - Activity'!BX:BX)</f>
        <v>0</v>
      </c>
      <c r="CD68" s="35">
        <f>SUMIF('Resource Demand - Activity'!$FT:$FT,Example!$G68,'Resource Demand - Activity'!BY:BY)</f>
        <v>0</v>
      </c>
      <c r="CE68" s="35">
        <f>SUMIF('Resource Demand - Activity'!$FT:$FT,Example!$G68,'Resource Demand - Activity'!BZ:BZ)</f>
        <v>0</v>
      </c>
      <c r="CF68" s="35">
        <f>SUMIF('Resource Demand - Activity'!$FT:$FT,Example!$G68,'Resource Demand - Activity'!CA:CA)</f>
        <v>0</v>
      </c>
      <c r="CG68" s="35">
        <f>SUMIF('Resource Demand - Activity'!$FT:$FT,Example!$G68,'Resource Demand - Activity'!CB:CB)</f>
        <v>0</v>
      </c>
      <c r="CH68" s="35">
        <f>SUMIF('Resource Demand - Activity'!$FT:$FT,Example!$G68,'Resource Demand - Activity'!CC:CC)</f>
        <v>0</v>
      </c>
      <c r="CI68" s="35">
        <f>SUMIF('Resource Demand - Activity'!$FT:$FT,Example!$G68,'Resource Demand - Activity'!CD:CD)</f>
        <v>0</v>
      </c>
      <c r="CJ68" s="35">
        <f>SUMIF('Resource Demand - Activity'!$FT:$FT,Example!$G68,'Resource Demand - Activity'!CE:CE)</f>
        <v>0</v>
      </c>
      <c r="CK68" s="35">
        <f>SUMIF('Resource Demand - Activity'!$FT:$FT,Example!$G68,'Resource Demand - Activity'!CF:CF)</f>
        <v>0</v>
      </c>
      <c r="CL68" s="35">
        <f>SUMIF('Resource Demand - Activity'!$FT:$FT,Example!$G68,'Resource Demand - Activity'!CG:CG)</f>
        <v>0</v>
      </c>
      <c r="CM68" s="35">
        <f>SUMIF('Resource Demand - Activity'!$FT:$FT,Example!$G68,'Resource Demand - Activity'!CH:CH)</f>
        <v>0</v>
      </c>
      <c r="CN68" s="35">
        <f>SUMIF('Resource Demand - Activity'!$FT:$FT,Example!$G68,'Resource Demand - Activity'!CI:CI)</f>
        <v>0</v>
      </c>
      <c r="CO68" s="35">
        <f>SUMIF('Resource Demand - Activity'!$FT:$FT,Example!$G68,'Resource Demand - Activity'!CJ:CJ)</f>
        <v>0</v>
      </c>
      <c r="CP68" s="35">
        <f>SUMIF('Resource Demand - Activity'!$FT:$FT,Example!$G68,'Resource Demand - Activity'!CK:CK)</f>
        <v>0</v>
      </c>
      <c r="CQ68" s="35">
        <f>SUMIF('Resource Demand - Activity'!$FT:$FT,Example!$G68,'Resource Demand - Activity'!CL:CL)</f>
        <v>0</v>
      </c>
      <c r="CR68" s="35">
        <f>SUMIF('Resource Demand - Activity'!$FT:$FT,Example!$G68,'Resource Demand - Activity'!CM:CM)</f>
        <v>0</v>
      </c>
      <c r="CS68" s="35">
        <f>SUMIF('Resource Demand - Activity'!$FT:$FT,Example!$G68,'Resource Demand - Activity'!CN:CN)</f>
        <v>0</v>
      </c>
      <c r="CT68" s="35">
        <f>SUMIF('Resource Demand - Activity'!$FT:$FT,Example!$G68,'Resource Demand - Activity'!CO:CO)</f>
        <v>0</v>
      </c>
      <c r="CU68" s="35">
        <f>SUMIF('Resource Demand - Activity'!$FT:$FT,Example!$G68,'Resource Demand - Activity'!CP:CP)</f>
        <v>0</v>
      </c>
      <c r="CV68" s="35">
        <f>SUMIF('Resource Demand - Activity'!$FT:$FT,Example!$G68,'Resource Demand - Activity'!CQ:CQ)</f>
        <v>0</v>
      </c>
      <c r="CW68" s="35">
        <f>SUMIF('Resource Demand - Activity'!$FT:$FT,Example!$G68,'Resource Demand - Activity'!CR:CR)</f>
        <v>0</v>
      </c>
      <c r="CX68" s="35">
        <f>SUMIF('Resource Demand - Activity'!$FT:$FT,Example!$G68,'Resource Demand - Activity'!CS:CS)</f>
        <v>0</v>
      </c>
      <c r="CY68" s="36">
        <f>SUMIF('Resource Demand - Activity'!$FT:$FT,Example!$G68,'Resource Demand - Activity'!CT:CT)</f>
        <v>0</v>
      </c>
      <c r="CZ68" s="35">
        <f>SUMIF('Resource Demand - Activity'!$FT:$FT,Example!$G68,'Resource Demand - Activity'!CU:CU)</f>
        <v>0</v>
      </c>
      <c r="DA68" s="35">
        <f>SUMIF('Resource Demand - Activity'!$FT:$FT,Example!$G68,'Resource Demand - Activity'!CV:CV)</f>
        <v>0</v>
      </c>
      <c r="DB68" s="35">
        <f>SUMIF('Resource Demand - Activity'!$FT:$FT,Example!$G68,'Resource Demand - Activity'!CW:CW)</f>
        <v>0</v>
      </c>
      <c r="DC68" s="35">
        <f>SUMIF('Resource Demand - Activity'!$FT:$FT,Example!$G68,'Resource Demand - Activity'!CX:CX)</f>
        <v>0</v>
      </c>
      <c r="DD68" s="35">
        <f>SUMIF('Resource Demand - Activity'!$FT:$FT,Example!$G68,'Resource Demand - Activity'!CY:CY)</f>
        <v>0</v>
      </c>
      <c r="DE68" s="36">
        <f>SUMIF('Resource Demand - Activity'!$FT:$FT,Example!$G68,'Resource Demand - Activity'!CZ:CZ)</f>
        <v>0</v>
      </c>
      <c r="DF68" s="36">
        <f>SUMIF('Resource Demand - Activity'!$FT:$FT,Example!$G68,'Resource Demand - Activity'!DA:DA)</f>
        <v>0</v>
      </c>
      <c r="DG68" s="35">
        <f>SUMIF('Resource Demand - Activity'!$FT:$FT,Example!$G68,'Resource Demand - Activity'!DB:DB)</f>
        <v>0</v>
      </c>
      <c r="DH68" s="35">
        <f>SUMIF('Resource Demand - Activity'!$FT:$FT,Example!$G68,'Resource Demand - Activity'!DC:DC)</f>
        <v>0</v>
      </c>
      <c r="DI68" s="35">
        <f>SUMIF('Resource Demand - Activity'!$FT:$FT,Example!$G68,'Resource Demand - Activity'!DD:DD)</f>
        <v>0</v>
      </c>
      <c r="DJ68" s="35">
        <f>SUMIF('Resource Demand - Activity'!$FT:$FT,Example!$G68,'Resource Demand - Activity'!DE:DE)</f>
        <v>0</v>
      </c>
      <c r="DK68" s="35">
        <f>SUMIF('Resource Demand - Activity'!$FT:$FT,Example!$G68,'Resource Demand - Activity'!DF:DF)</f>
        <v>0</v>
      </c>
      <c r="DL68" s="35">
        <f>SUMIF('Resource Demand - Activity'!$FT:$FT,Example!$G68,'Resource Demand - Activity'!DG:DG)</f>
        <v>0</v>
      </c>
      <c r="DM68" s="35">
        <f>SUMIF('Resource Demand - Activity'!$FT:$FT,Example!$G68,'Resource Demand - Activity'!DH:DH)</f>
        <v>0</v>
      </c>
      <c r="DN68" s="35">
        <f>SUMIF('Resource Demand - Activity'!$FT:$FT,Example!$G68,'Resource Demand - Activity'!DI:DI)</f>
        <v>0</v>
      </c>
      <c r="DO68" s="35">
        <f>SUMIF('Resource Demand - Activity'!$FT:$FT,Example!$G68,'Resource Demand - Activity'!DJ:DJ)</f>
        <v>0</v>
      </c>
      <c r="DP68" s="35">
        <f>SUMIF('Resource Demand - Activity'!$FT:$FT,Example!$G68,'Resource Demand - Activity'!DK:DK)</f>
        <v>0</v>
      </c>
      <c r="DQ68" s="35">
        <f>SUMIF('Resource Demand - Activity'!$FT:$FT,Example!$G68,'Resource Demand - Activity'!DL:DL)</f>
        <v>0</v>
      </c>
      <c r="DR68" s="35">
        <f>SUMIF('Resource Demand - Activity'!$FT:$FT,Example!$G68,'Resource Demand - Activity'!DM:DM)</f>
        <v>0</v>
      </c>
      <c r="DS68" s="35">
        <f>SUMIF('Resource Demand - Activity'!$FT:$FT,Example!$G68,'Resource Demand - Activity'!DN:DN)</f>
        <v>0</v>
      </c>
      <c r="DT68" s="35">
        <f>SUMIF('Resource Demand - Activity'!$FT:$FT,Example!$G68,'Resource Demand - Activity'!DO:DO)</f>
        <v>0</v>
      </c>
      <c r="DU68" s="35">
        <f>SUMIF('Resource Demand - Activity'!$FT:$FT,Example!$G68,'Resource Demand - Activity'!DP:DP)</f>
        <v>0</v>
      </c>
      <c r="DV68" s="35">
        <f>SUMIF('Resource Demand - Activity'!$FT:$FT,Example!$G68,'Resource Demand - Activity'!DQ:DQ)</f>
        <v>0</v>
      </c>
      <c r="DW68" s="35">
        <f>SUMIF('Resource Demand - Activity'!$FT:$FT,Example!$G68,'Resource Demand - Activity'!DR:DR)</f>
        <v>0</v>
      </c>
      <c r="DX68" s="35">
        <f>SUMIF('Resource Demand - Activity'!$FT:$FT,Example!$G68,'Resource Demand - Activity'!DS:DS)</f>
        <v>0</v>
      </c>
      <c r="DY68" s="35">
        <f>SUMIF('Resource Demand - Activity'!$FT:$FT,Example!$G68,'Resource Demand - Activity'!DT:DT)</f>
        <v>0</v>
      </c>
      <c r="DZ68" s="35">
        <f>SUMIF('Resource Demand - Activity'!$FT:$FT,Example!$G68,'Resource Demand - Activity'!DU:DU)</f>
        <v>0</v>
      </c>
      <c r="EA68" s="35">
        <f>SUMIF('Resource Demand - Activity'!$FT:$FT,Example!$G68,'Resource Demand - Activity'!DV:DV)</f>
        <v>0</v>
      </c>
      <c r="EB68" s="35">
        <f>SUMIF('Resource Demand - Activity'!$FT:$FT,Example!$G68,'Resource Demand - Activity'!DW:DW)</f>
        <v>0</v>
      </c>
      <c r="EC68" s="35">
        <f>SUMIF('Resource Demand - Activity'!$FT:$FT,Example!$G68,'Resource Demand - Activity'!DX:DX)</f>
        <v>1</v>
      </c>
      <c r="ED68" s="35">
        <f>SUMIF('Resource Demand - Activity'!$FT:$FT,Example!$G68,'Resource Demand - Activity'!DY:DY)</f>
        <v>1</v>
      </c>
      <c r="EE68" s="36">
        <f>SUMIF('Resource Demand - Activity'!$FT:$FT,Example!$G68,'Resource Demand - Activity'!DZ:DZ)</f>
        <v>0</v>
      </c>
      <c r="EF68" s="35">
        <f>SUMIF('Resource Demand - Activity'!$FT:$FT,Example!$G68,'Resource Demand - Activity'!EA:EA)</f>
        <v>1</v>
      </c>
      <c r="EG68" s="35">
        <f>SUMIF('Resource Demand - Activity'!$FT:$FT,Example!$G68,'Resource Demand - Activity'!EB:EB)</f>
        <v>1</v>
      </c>
      <c r="EH68" s="35">
        <f>SUMIF('Resource Demand - Activity'!$FT:$FT,Example!$G68,'Resource Demand - Activity'!EC:EC)</f>
        <v>1</v>
      </c>
      <c r="EI68" s="35">
        <f>SUMIF('Resource Demand - Activity'!$FT:$FT,Example!$G68,'Resource Demand - Activity'!ED:ED)</f>
        <v>0</v>
      </c>
      <c r="EJ68" s="35">
        <f>SUMIF('Resource Demand - Activity'!$FT:$FT,Example!$G68,'Resource Demand - Activity'!EE:EE)</f>
        <v>0</v>
      </c>
      <c r="EK68" s="35">
        <f>SUMIF('Resource Demand - Activity'!$FT:$FT,Example!$G68,'Resource Demand - Activity'!EF:EF)</f>
        <v>0</v>
      </c>
      <c r="EL68" s="35">
        <f>SUMIF('Resource Demand - Activity'!$FT:$FT,Example!$G68,'Resource Demand - Activity'!EG:EG)</f>
        <v>0</v>
      </c>
      <c r="EM68" s="35">
        <f>SUMIF('Resource Demand - Activity'!$FT:$FT,Example!$G68,'Resource Demand - Activity'!EH:EH)</f>
        <v>0</v>
      </c>
      <c r="EN68" s="35">
        <f>SUMIF('Resource Demand - Activity'!$FT:$FT,Example!$G68,'Resource Demand - Activity'!EI:EI)</f>
        <v>0</v>
      </c>
      <c r="EO68" s="35">
        <f>SUMIF('Resource Demand - Activity'!$FT:$FT,Example!$G68,'Resource Demand - Activity'!EJ:EJ)</f>
        <v>0</v>
      </c>
      <c r="EP68" s="35">
        <f>SUMIF('Resource Demand - Activity'!$FT:$FT,Example!$G68,'Resource Demand - Activity'!EK:EK)</f>
        <v>0</v>
      </c>
      <c r="EQ68" s="35">
        <f>SUMIF('Resource Demand - Activity'!$FT:$FT,Example!$G68,'Resource Demand - Activity'!EL:EL)</f>
        <v>0</v>
      </c>
      <c r="ER68" s="35">
        <f>SUMIF('Resource Demand - Activity'!$FT:$FT,Example!$G68,'Resource Demand - Activity'!EM:EM)</f>
        <v>0</v>
      </c>
      <c r="ES68" s="35">
        <f>SUMIF('Resource Demand - Activity'!$FT:$FT,Example!$G68,'Resource Demand - Activity'!EN:EN)</f>
        <v>0</v>
      </c>
      <c r="ET68" s="35">
        <f>SUMIF('Resource Demand - Activity'!$FT:$FT,Example!$G68,'Resource Demand - Activity'!EO:EO)</f>
        <v>0</v>
      </c>
      <c r="EU68" s="35">
        <f>SUMIF('Resource Demand - Activity'!$FT:$FT,Example!$G68,'Resource Demand - Activity'!EP:EP)</f>
        <v>0</v>
      </c>
      <c r="EV68" s="35">
        <f>SUMIF('Resource Demand - Activity'!$FT:$FT,Example!$G68,'Resource Demand - Activity'!EQ:EQ)</f>
        <v>0</v>
      </c>
      <c r="EW68" s="35">
        <f>SUMIF('Resource Demand - Activity'!$FT:$FT,Example!$G68,'Resource Demand - Activity'!ER:ER)</f>
        <v>0</v>
      </c>
      <c r="EX68" s="35">
        <f>SUMIF('Resource Demand - Activity'!$FT:$FT,Example!$G68,'Resource Demand - Activity'!ES:ES)</f>
        <v>0</v>
      </c>
      <c r="EY68" s="35">
        <f>SUMIF('Resource Demand - Activity'!$FT:$FT,Example!$G68,'Resource Demand - Activity'!ET:ET)</f>
        <v>0</v>
      </c>
      <c r="EZ68" s="35">
        <f>SUMIF('Resource Demand - Activity'!$FT:$FT,Example!$G68,'Resource Demand - Activity'!EU:EU)</f>
        <v>0</v>
      </c>
      <c r="FA68" s="35">
        <f>SUMIF('Resource Demand - Activity'!$FT:$FT,Example!$G68,'Resource Demand - Activity'!EV:EV)</f>
        <v>0</v>
      </c>
      <c r="FB68" s="35">
        <f>SUMIF('Resource Demand - Activity'!$FT:$FT,Example!$G68,'Resource Demand - Activity'!EW:EW)</f>
        <v>0</v>
      </c>
      <c r="FC68" s="35">
        <f>SUMIF('Resource Demand - Activity'!$FT:$FT,Example!$G68,'Resource Demand - Activity'!EX:EX)</f>
        <v>0</v>
      </c>
      <c r="FD68" s="36">
        <f>SUMIF('Resource Demand - Activity'!$FT:$FT,Example!$G68,'Resource Demand - Activity'!EY:EY)</f>
        <v>0</v>
      </c>
      <c r="FE68" s="35">
        <f>SUMIF('Resource Demand - Activity'!$FT:$FT,Example!$G68,'Resource Demand - Activity'!EZ:EZ)</f>
        <v>0</v>
      </c>
      <c r="FF68" s="35">
        <f>SUMIF('Resource Demand - Activity'!$FT:$FT,Example!$G68,'Resource Demand - Activity'!FA:FA)</f>
        <v>0</v>
      </c>
      <c r="FG68" s="35">
        <f>SUMIF('Resource Demand - Activity'!$FT:$FT,Example!$G68,'Resource Demand - Activity'!FB:FB)</f>
        <v>0</v>
      </c>
      <c r="FH68" s="35">
        <f>SUMIF('Resource Demand - Activity'!$FT:$FT,Example!$G68,'Resource Demand - Activity'!FC:FC)</f>
        <v>0</v>
      </c>
      <c r="FI68" s="35">
        <f>SUMIF('Resource Demand - Activity'!$FT:$FT,Example!$G68,'Resource Demand - Activity'!FD:FD)</f>
        <v>0</v>
      </c>
      <c r="FJ68" s="35">
        <f>SUMIF('Resource Demand - Activity'!$FT:$FT,Example!$G68,'Resource Demand - Activity'!FE:FE)</f>
        <v>0</v>
      </c>
      <c r="FK68" s="35">
        <f>SUMIF('Resource Demand - Activity'!$FT:$FT,Example!$G68,'Resource Demand - Activity'!FF:FF)</f>
        <v>0</v>
      </c>
      <c r="FL68" s="35">
        <f>SUMIF('Resource Demand - Activity'!$FT:$FT,Example!$G68,'Resource Demand - Activity'!FG:FG)</f>
        <v>0</v>
      </c>
      <c r="FM68" s="35">
        <f>SUMIF('Resource Demand - Activity'!$FT:$FT,Example!$G68,'Resource Demand - Activity'!FH:FH)</f>
        <v>0</v>
      </c>
      <c r="FN68" s="35">
        <f>SUMIF('Resource Demand - Activity'!$FT:$FT,Example!$G68,'Resource Demand - Activity'!FI:FI)</f>
        <v>0</v>
      </c>
      <c r="FO68" s="35">
        <f>SUMIF('Resource Demand - Activity'!$FT:$FT,Example!$G68,'Resource Demand - Activity'!FJ:FJ)</f>
        <v>0</v>
      </c>
      <c r="FP68" s="35">
        <f>SUMIF('Resource Demand - Activity'!$FT:$FT,Example!$G68,'Resource Demand - Activity'!FK:FK)</f>
        <v>0</v>
      </c>
      <c r="FQ68" s="35">
        <f>SUMIF('Resource Demand - Activity'!$FT:$FT,Example!$G68,'Resource Demand - Activity'!FL:FL)</f>
        <v>0</v>
      </c>
      <c r="FR68" s="35">
        <f>SUMIF('Resource Demand - Activity'!$FT:$FT,Example!$G68,'Resource Demand - Activity'!FM:FM)</f>
        <v>0</v>
      </c>
      <c r="FS68" s="35">
        <f>SUMIF('Resource Demand - Activity'!$FT:$FT,Example!$G68,'Resource Demand - Activity'!FN:FN)</f>
        <v>0</v>
      </c>
      <c r="FT68" s="35">
        <f>SUMIF('Resource Demand - Activity'!$FT:$FT,Example!$G68,'Resource Demand - Activity'!FO:FO)</f>
        <v>0</v>
      </c>
      <c r="FU68" s="35">
        <f>SUMIF('Resource Demand - Activity'!$FT:$FT,Example!$G68,'Resource Demand - Activity'!FP:FP)</f>
        <v>0</v>
      </c>
      <c r="FV68" s="52">
        <f>SUMIF('Resource Demand - Activity'!$FT:$FT,Example!$G68,'Resource Demand - Activity'!FQ:FQ)</f>
        <v>0</v>
      </c>
    </row>
    <row r="69" spans="2:178" s="63" customFormat="1" ht="12" customHeight="1">
      <c r="B69" s="1"/>
      <c r="G69" s="64" t="str">
        <f t="shared" si="11"/>
        <v>10. BAU Transition 10.2 Quarterly Reporting (QRTs) Junior Accountant</v>
      </c>
      <c r="H69" s="59" t="s">
        <v>141</v>
      </c>
      <c r="I69" s="59" t="str">
        <f>INDEX('Resource Demand - Activity'!C:C,MATCH(Example!G69,'Resource Demand - Activity'!FT:FT,0))</f>
        <v>7 days</v>
      </c>
      <c r="J69" s="51">
        <f>SUMIF('Resource Demand - Activity'!$FT:$FT,Example!$G69,'Resource Demand - Activity'!E:E)</f>
        <v>0</v>
      </c>
      <c r="K69" s="35">
        <f>SUMIF('Resource Demand - Activity'!$FT:$FT,Example!$G69,'Resource Demand - Activity'!F:F)</f>
        <v>0</v>
      </c>
      <c r="L69" s="35">
        <f>SUMIF('Resource Demand - Activity'!$FT:$FT,Example!$G69,'Resource Demand - Activity'!G:G)</f>
        <v>0</v>
      </c>
      <c r="M69" s="35">
        <f>SUMIF('Resource Demand - Activity'!$FT:$FT,Example!$G69,'Resource Demand - Activity'!H:H)</f>
        <v>0</v>
      </c>
      <c r="N69" s="35">
        <f>SUMIF('Resource Demand - Activity'!$FT:$FT,Example!$G69,'Resource Demand - Activity'!I:I)</f>
        <v>0</v>
      </c>
      <c r="O69" s="35">
        <f>SUMIF('Resource Demand - Activity'!$FT:$FT,Example!$G69,'Resource Demand - Activity'!J:J)</f>
        <v>0</v>
      </c>
      <c r="P69" s="35">
        <f>SUMIF('Resource Demand - Activity'!$FT:$FT,Example!$G69,'Resource Demand - Activity'!K:K)</f>
        <v>0</v>
      </c>
      <c r="Q69" s="35">
        <f>SUMIF('Resource Demand - Activity'!$FT:$FT,Example!$G69,'Resource Demand - Activity'!L:L)</f>
        <v>0</v>
      </c>
      <c r="R69" s="35">
        <f>SUMIF('Resource Demand - Activity'!$FT:$FT,Example!$G69,'Resource Demand - Activity'!M:M)</f>
        <v>0</v>
      </c>
      <c r="S69" s="35">
        <f>SUMIF('Resource Demand - Activity'!$FT:$FT,Example!$G69,'Resource Demand - Activity'!N:N)</f>
        <v>0</v>
      </c>
      <c r="T69" s="35">
        <f>SUMIF('Resource Demand - Activity'!$FT:$FT,Example!$G69,'Resource Demand - Activity'!O:O)</f>
        <v>0</v>
      </c>
      <c r="U69" s="35">
        <f>SUMIF('Resource Demand - Activity'!$FT:$FT,Example!$G69,'Resource Demand - Activity'!P:P)</f>
        <v>0</v>
      </c>
      <c r="V69" s="35">
        <f>SUMIF('Resource Demand - Activity'!$FT:$FT,Example!$G69,'Resource Demand - Activity'!Q:Q)</f>
        <v>0</v>
      </c>
      <c r="W69" s="35">
        <f>SUMIF('Resource Demand - Activity'!$FT:$FT,Example!$G69,'Resource Demand - Activity'!R:R)</f>
        <v>0</v>
      </c>
      <c r="X69" s="35">
        <f>SUMIF('Resource Demand - Activity'!$FT:$FT,Example!$G69,'Resource Demand - Activity'!S:S)</f>
        <v>0</v>
      </c>
      <c r="Y69" s="35">
        <f>SUMIF('Resource Demand - Activity'!$FT:$FT,Example!$G69,'Resource Demand - Activity'!T:T)</f>
        <v>0</v>
      </c>
      <c r="Z69" s="35">
        <f>SUMIF('Resource Demand - Activity'!$FT:$FT,Example!$G69,'Resource Demand - Activity'!U:U)</f>
        <v>0</v>
      </c>
      <c r="AA69" s="35">
        <f>SUMIF('Resource Demand - Activity'!$FT:$FT,Example!$G69,'Resource Demand - Activity'!V:V)</f>
        <v>0</v>
      </c>
      <c r="AB69" s="35">
        <f>SUMIF('Resource Demand - Activity'!$FT:$FT,Example!$G69,'Resource Demand - Activity'!W:W)</f>
        <v>0</v>
      </c>
      <c r="AC69" s="35">
        <f>SUMIF('Resource Demand - Activity'!$FT:$FT,Example!$G69,'Resource Demand - Activity'!X:X)</f>
        <v>0</v>
      </c>
      <c r="AD69" s="35">
        <f>SUMIF('Resource Demand - Activity'!$FT:$FT,Example!$G69,'Resource Demand - Activity'!Y:Y)</f>
        <v>0</v>
      </c>
      <c r="AE69" s="35">
        <f>SUMIF('Resource Demand - Activity'!$FT:$FT,Example!$G69,'Resource Demand - Activity'!Z:Z)</f>
        <v>0</v>
      </c>
      <c r="AF69" s="35">
        <f>SUMIF('Resource Demand - Activity'!$FT:$FT,Example!$G69,'Resource Demand - Activity'!AA:AA)</f>
        <v>0</v>
      </c>
      <c r="AG69" s="35">
        <f>SUMIF('Resource Demand - Activity'!$FT:$FT,Example!$G69,'Resource Demand - Activity'!AB:AB)</f>
        <v>0</v>
      </c>
      <c r="AH69" s="35">
        <f>SUMIF('Resource Demand - Activity'!$FT:$FT,Example!$G69,'Resource Demand - Activity'!AC:AC)</f>
        <v>0</v>
      </c>
      <c r="AI69" s="35">
        <f>SUMIF('Resource Demand - Activity'!$FT:$FT,Example!$G69,'Resource Demand - Activity'!AD:AD)</f>
        <v>0</v>
      </c>
      <c r="AJ69" s="35">
        <f>SUMIF('Resource Demand - Activity'!$FT:$FT,Example!$G69,'Resource Demand - Activity'!AE:AE)</f>
        <v>0</v>
      </c>
      <c r="AK69" s="35">
        <f>SUMIF('Resource Demand - Activity'!$FT:$FT,Example!$G69,'Resource Demand - Activity'!AF:AF)</f>
        <v>0</v>
      </c>
      <c r="AL69" s="35">
        <f>SUMIF('Resource Demand - Activity'!$FT:$FT,Example!$G69,'Resource Demand - Activity'!AG:AG)</f>
        <v>0</v>
      </c>
      <c r="AM69" s="35">
        <f>SUMIF('Resource Demand - Activity'!$FT:$FT,Example!$G69,'Resource Demand - Activity'!AH:AH)</f>
        <v>0</v>
      </c>
      <c r="AN69" s="35">
        <f>SUMIF('Resource Demand - Activity'!$FT:$FT,Example!$G69,'Resource Demand - Activity'!AI:AI)</f>
        <v>0</v>
      </c>
      <c r="AO69" s="35">
        <f>SUMIF('Resource Demand - Activity'!$FT:$FT,Example!$G69,'Resource Demand - Activity'!AJ:AJ)</f>
        <v>0</v>
      </c>
      <c r="AP69" s="35">
        <f>SUMIF('Resource Demand - Activity'!$FT:$FT,Example!$G69,'Resource Demand - Activity'!AK:AK)</f>
        <v>0</v>
      </c>
      <c r="AQ69" s="36">
        <f>SUMIF('Resource Demand - Activity'!$FT:$FT,Example!$G69,'Resource Demand - Activity'!AL:AL)</f>
        <v>0</v>
      </c>
      <c r="AR69" s="36">
        <f>SUMIF('Resource Demand - Activity'!$FT:$FT,Example!$G69,'Resource Demand - Activity'!AM:AM)</f>
        <v>0</v>
      </c>
      <c r="AS69" s="36">
        <f>SUMIF('Resource Demand - Activity'!$FT:$FT,Example!$G69,'Resource Demand - Activity'!AN:AN)</f>
        <v>0</v>
      </c>
      <c r="AT69" s="36">
        <f>SUMIF('Resource Demand - Activity'!$FT:$FT,Example!$G69,'Resource Demand - Activity'!AO:AO)</f>
        <v>0</v>
      </c>
      <c r="AU69" s="36">
        <f>SUMIF('Resource Demand - Activity'!$FT:$FT,Example!$G69,'Resource Demand - Activity'!AP:AP)</f>
        <v>0</v>
      </c>
      <c r="AV69" s="36">
        <f>SUMIF('Resource Demand - Activity'!$FT:$FT,Example!$G69,'Resource Demand - Activity'!AQ:AQ)</f>
        <v>0</v>
      </c>
      <c r="AW69" s="36">
        <f>SUMIF('Resource Demand - Activity'!$FT:$FT,Example!$G69,'Resource Demand - Activity'!AR:AR)</f>
        <v>0</v>
      </c>
      <c r="AX69" s="35">
        <f>SUMIF('Resource Demand - Activity'!$FT:$FT,Example!$G69,'Resource Demand - Activity'!AS:AS)</f>
        <v>0</v>
      </c>
      <c r="AY69" s="35">
        <f>SUMIF('Resource Demand - Activity'!$FT:$FT,Example!$G69,'Resource Demand - Activity'!AT:AT)</f>
        <v>0</v>
      </c>
      <c r="AZ69" s="35">
        <f>SUMIF('Resource Demand - Activity'!$FT:$FT,Example!$G69,'Resource Demand - Activity'!AU:AU)</f>
        <v>0</v>
      </c>
      <c r="BA69" s="35">
        <f>SUMIF('Resource Demand - Activity'!$FT:$FT,Example!$G69,'Resource Demand - Activity'!AV:AV)</f>
        <v>0</v>
      </c>
      <c r="BB69" s="35">
        <f>SUMIF('Resource Demand - Activity'!$FT:$FT,Example!$G69,'Resource Demand - Activity'!AW:AW)</f>
        <v>0</v>
      </c>
      <c r="BC69" s="35">
        <f>SUMIF('Resource Demand - Activity'!$FT:$FT,Example!$G69,'Resource Demand - Activity'!AX:AX)</f>
        <v>0</v>
      </c>
      <c r="BD69" s="35">
        <f>SUMIF('Resource Demand - Activity'!$FT:$FT,Example!$G69,'Resource Demand - Activity'!AY:AY)</f>
        <v>0</v>
      </c>
      <c r="BE69" s="35">
        <f>SUMIF('Resource Demand - Activity'!$FT:$FT,Example!$G69,'Resource Demand - Activity'!AZ:AZ)</f>
        <v>0</v>
      </c>
      <c r="BF69" s="35">
        <f>SUMIF('Resource Demand - Activity'!$FT:$FT,Example!$G69,'Resource Demand - Activity'!BA:BA)</f>
        <v>0</v>
      </c>
      <c r="BG69" s="35">
        <f>SUMIF('Resource Demand - Activity'!$FT:$FT,Example!$G69,'Resource Demand - Activity'!BB:BB)</f>
        <v>0</v>
      </c>
      <c r="BH69" s="35">
        <f>SUMIF('Resource Demand - Activity'!$FT:$FT,Example!$G69,'Resource Demand - Activity'!BC:BC)</f>
        <v>0</v>
      </c>
      <c r="BI69" s="35">
        <f>SUMIF('Resource Demand - Activity'!$FT:$FT,Example!$G69,'Resource Demand - Activity'!BD:BD)</f>
        <v>0</v>
      </c>
      <c r="BJ69" s="35">
        <f>SUMIF('Resource Demand - Activity'!$FT:$FT,Example!$G69,'Resource Demand - Activity'!BE:BE)</f>
        <v>0</v>
      </c>
      <c r="BK69" s="35">
        <f>SUMIF('Resource Demand - Activity'!$FT:$FT,Example!$G69,'Resource Demand - Activity'!BF:BF)</f>
        <v>0</v>
      </c>
      <c r="BL69" s="35">
        <f>SUMIF('Resource Demand - Activity'!$FT:$FT,Example!$G69,'Resource Demand - Activity'!BG:BG)</f>
        <v>0</v>
      </c>
      <c r="BM69" s="35">
        <f>SUMIF('Resource Demand - Activity'!$FT:$FT,Example!$G69,'Resource Demand - Activity'!BH:BH)</f>
        <v>0</v>
      </c>
      <c r="BN69" s="35">
        <f>SUMIF('Resource Demand - Activity'!$FT:$FT,Example!$G69,'Resource Demand - Activity'!BI:BI)</f>
        <v>0</v>
      </c>
      <c r="BO69" s="35">
        <f>SUMIF('Resource Demand - Activity'!$FT:$FT,Example!$G69,'Resource Demand - Activity'!BJ:BJ)</f>
        <v>0</v>
      </c>
      <c r="BP69" s="35">
        <f>SUMIF('Resource Demand - Activity'!$FT:$FT,Example!$G69,'Resource Demand - Activity'!BK:BK)</f>
        <v>0</v>
      </c>
      <c r="BQ69" s="35">
        <f>SUMIF('Resource Demand - Activity'!$FT:$FT,Example!$G69,'Resource Demand - Activity'!BL:BL)</f>
        <v>0</v>
      </c>
      <c r="BR69" s="35">
        <f>SUMIF('Resource Demand - Activity'!$FT:$FT,Example!$G69,'Resource Demand - Activity'!BM:BM)</f>
        <v>0</v>
      </c>
      <c r="BS69" s="35">
        <f>SUMIF('Resource Demand - Activity'!$FT:$FT,Example!$G69,'Resource Demand - Activity'!BN:BN)</f>
        <v>0</v>
      </c>
      <c r="BT69" s="35">
        <f>SUMIF('Resource Demand - Activity'!$FT:$FT,Example!$G69,'Resource Demand - Activity'!BO:BO)</f>
        <v>0</v>
      </c>
      <c r="BU69" s="35">
        <f>SUMIF('Resource Demand - Activity'!$FT:$FT,Example!$G69,'Resource Demand - Activity'!BP:BP)</f>
        <v>0</v>
      </c>
      <c r="BV69" s="35">
        <f>SUMIF('Resource Demand - Activity'!$FT:$FT,Example!$G69,'Resource Demand - Activity'!BQ:BQ)</f>
        <v>0</v>
      </c>
      <c r="BW69" s="35">
        <f>SUMIF('Resource Demand - Activity'!$FT:$FT,Example!$G69,'Resource Demand - Activity'!BR:BR)</f>
        <v>0</v>
      </c>
      <c r="BX69" s="35">
        <f>SUMIF('Resource Demand - Activity'!$FT:$FT,Example!$G69,'Resource Demand - Activity'!BS:BS)</f>
        <v>0</v>
      </c>
      <c r="BY69" s="35">
        <f>SUMIF('Resource Demand - Activity'!$FT:$FT,Example!$G69,'Resource Demand - Activity'!BT:BT)</f>
        <v>0</v>
      </c>
      <c r="BZ69" s="35">
        <f>SUMIF('Resource Demand - Activity'!$FT:$FT,Example!$G69,'Resource Demand - Activity'!BU:BU)</f>
        <v>0</v>
      </c>
      <c r="CA69" s="35">
        <f>SUMIF('Resource Demand - Activity'!$FT:$FT,Example!$G69,'Resource Demand - Activity'!BV:BV)</f>
        <v>0</v>
      </c>
      <c r="CB69" s="35">
        <f>SUMIF('Resource Demand - Activity'!$FT:$FT,Example!$G69,'Resource Demand - Activity'!BW:BW)</f>
        <v>0</v>
      </c>
      <c r="CC69" s="35">
        <f>SUMIF('Resource Demand - Activity'!$FT:$FT,Example!$G69,'Resource Demand - Activity'!BX:BX)</f>
        <v>0</v>
      </c>
      <c r="CD69" s="35">
        <f>SUMIF('Resource Demand - Activity'!$FT:$FT,Example!$G69,'Resource Demand - Activity'!BY:BY)</f>
        <v>0</v>
      </c>
      <c r="CE69" s="35">
        <f>SUMIF('Resource Demand - Activity'!$FT:$FT,Example!$G69,'Resource Demand - Activity'!BZ:BZ)</f>
        <v>0</v>
      </c>
      <c r="CF69" s="35">
        <f>SUMIF('Resource Demand - Activity'!$FT:$FT,Example!$G69,'Resource Demand - Activity'!CA:CA)</f>
        <v>0</v>
      </c>
      <c r="CG69" s="35">
        <f>SUMIF('Resource Demand - Activity'!$FT:$FT,Example!$G69,'Resource Demand - Activity'!CB:CB)</f>
        <v>0</v>
      </c>
      <c r="CH69" s="35">
        <f>SUMIF('Resource Demand - Activity'!$FT:$FT,Example!$G69,'Resource Demand - Activity'!CC:CC)</f>
        <v>0</v>
      </c>
      <c r="CI69" s="35">
        <f>SUMIF('Resource Demand - Activity'!$FT:$FT,Example!$G69,'Resource Demand - Activity'!CD:CD)</f>
        <v>0</v>
      </c>
      <c r="CJ69" s="35">
        <f>SUMIF('Resource Demand - Activity'!$FT:$FT,Example!$G69,'Resource Demand - Activity'!CE:CE)</f>
        <v>0</v>
      </c>
      <c r="CK69" s="35">
        <f>SUMIF('Resource Demand - Activity'!$FT:$FT,Example!$G69,'Resource Demand - Activity'!CF:CF)</f>
        <v>0</v>
      </c>
      <c r="CL69" s="35">
        <f>SUMIF('Resource Demand - Activity'!$FT:$FT,Example!$G69,'Resource Demand - Activity'!CG:CG)</f>
        <v>0</v>
      </c>
      <c r="CM69" s="35">
        <f>SUMIF('Resource Demand - Activity'!$FT:$FT,Example!$G69,'Resource Demand - Activity'!CH:CH)</f>
        <v>0</v>
      </c>
      <c r="CN69" s="35">
        <f>SUMIF('Resource Demand - Activity'!$FT:$FT,Example!$G69,'Resource Demand - Activity'!CI:CI)</f>
        <v>0</v>
      </c>
      <c r="CO69" s="35">
        <f>SUMIF('Resource Demand - Activity'!$FT:$FT,Example!$G69,'Resource Demand - Activity'!CJ:CJ)</f>
        <v>0</v>
      </c>
      <c r="CP69" s="35">
        <f>SUMIF('Resource Demand - Activity'!$FT:$FT,Example!$G69,'Resource Demand - Activity'!CK:CK)</f>
        <v>0</v>
      </c>
      <c r="CQ69" s="35">
        <f>SUMIF('Resource Demand - Activity'!$FT:$FT,Example!$G69,'Resource Demand - Activity'!CL:CL)</f>
        <v>0</v>
      </c>
      <c r="CR69" s="35">
        <f>SUMIF('Resource Demand - Activity'!$FT:$FT,Example!$G69,'Resource Demand - Activity'!CM:CM)</f>
        <v>0</v>
      </c>
      <c r="CS69" s="35">
        <f>SUMIF('Resource Demand - Activity'!$FT:$FT,Example!$G69,'Resource Demand - Activity'!CN:CN)</f>
        <v>0</v>
      </c>
      <c r="CT69" s="35">
        <f>SUMIF('Resource Demand - Activity'!$FT:$FT,Example!$G69,'Resource Demand - Activity'!CO:CO)</f>
        <v>0</v>
      </c>
      <c r="CU69" s="35">
        <f>SUMIF('Resource Demand - Activity'!$FT:$FT,Example!$G69,'Resource Demand - Activity'!CP:CP)</f>
        <v>0</v>
      </c>
      <c r="CV69" s="35">
        <f>SUMIF('Resource Demand - Activity'!$FT:$FT,Example!$G69,'Resource Demand - Activity'!CQ:CQ)</f>
        <v>0</v>
      </c>
      <c r="CW69" s="35">
        <f>SUMIF('Resource Demand - Activity'!$FT:$FT,Example!$G69,'Resource Demand - Activity'!CR:CR)</f>
        <v>0</v>
      </c>
      <c r="CX69" s="35">
        <f>SUMIF('Resource Demand - Activity'!$FT:$FT,Example!$G69,'Resource Demand - Activity'!CS:CS)</f>
        <v>0</v>
      </c>
      <c r="CY69" s="36">
        <f>SUMIF('Resource Demand - Activity'!$FT:$FT,Example!$G69,'Resource Demand - Activity'!CT:CT)</f>
        <v>0</v>
      </c>
      <c r="CZ69" s="35">
        <f>SUMIF('Resource Demand - Activity'!$FT:$FT,Example!$G69,'Resource Demand - Activity'!CU:CU)</f>
        <v>0</v>
      </c>
      <c r="DA69" s="35">
        <f>SUMIF('Resource Demand - Activity'!$FT:$FT,Example!$G69,'Resource Demand - Activity'!CV:CV)</f>
        <v>0</v>
      </c>
      <c r="DB69" s="35">
        <f>SUMIF('Resource Demand - Activity'!$FT:$FT,Example!$G69,'Resource Demand - Activity'!CW:CW)</f>
        <v>0</v>
      </c>
      <c r="DC69" s="35">
        <f>SUMIF('Resource Demand - Activity'!$FT:$FT,Example!$G69,'Resource Demand - Activity'!CX:CX)</f>
        <v>0</v>
      </c>
      <c r="DD69" s="35">
        <f>SUMIF('Resource Demand - Activity'!$FT:$FT,Example!$G69,'Resource Demand - Activity'!CY:CY)</f>
        <v>0</v>
      </c>
      <c r="DE69" s="36">
        <f>SUMIF('Resource Demand - Activity'!$FT:$FT,Example!$G69,'Resource Demand - Activity'!CZ:CZ)</f>
        <v>0</v>
      </c>
      <c r="DF69" s="36">
        <f>SUMIF('Resource Demand - Activity'!$FT:$FT,Example!$G69,'Resource Demand - Activity'!DA:DA)</f>
        <v>0</v>
      </c>
      <c r="DG69" s="35">
        <f>SUMIF('Resource Demand - Activity'!$FT:$FT,Example!$G69,'Resource Demand - Activity'!DB:DB)</f>
        <v>0</v>
      </c>
      <c r="DH69" s="35">
        <f>SUMIF('Resource Demand - Activity'!$FT:$FT,Example!$G69,'Resource Demand - Activity'!DC:DC)</f>
        <v>0</v>
      </c>
      <c r="DI69" s="35">
        <f>SUMIF('Resource Demand - Activity'!$FT:$FT,Example!$G69,'Resource Demand - Activity'!DD:DD)</f>
        <v>0</v>
      </c>
      <c r="DJ69" s="35">
        <f>SUMIF('Resource Demand - Activity'!$FT:$FT,Example!$G69,'Resource Demand - Activity'!DE:DE)</f>
        <v>0</v>
      </c>
      <c r="DK69" s="35">
        <f>SUMIF('Resource Demand - Activity'!$FT:$FT,Example!$G69,'Resource Demand - Activity'!DF:DF)</f>
        <v>0</v>
      </c>
      <c r="DL69" s="35">
        <f>SUMIF('Resource Demand - Activity'!$FT:$FT,Example!$G69,'Resource Demand - Activity'!DG:DG)</f>
        <v>0</v>
      </c>
      <c r="DM69" s="35">
        <f>SUMIF('Resource Demand - Activity'!$FT:$FT,Example!$G69,'Resource Demand - Activity'!DH:DH)</f>
        <v>0</v>
      </c>
      <c r="DN69" s="35">
        <f>SUMIF('Resource Demand - Activity'!$FT:$FT,Example!$G69,'Resource Demand - Activity'!DI:DI)</f>
        <v>0</v>
      </c>
      <c r="DO69" s="35">
        <f>SUMIF('Resource Demand - Activity'!$FT:$FT,Example!$G69,'Resource Demand - Activity'!DJ:DJ)</f>
        <v>0</v>
      </c>
      <c r="DP69" s="35">
        <f>SUMIF('Resource Demand - Activity'!$FT:$FT,Example!$G69,'Resource Demand - Activity'!DK:DK)</f>
        <v>0</v>
      </c>
      <c r="DQ69" s="35">
        <f>SUMIF('Resource Demand - Activity'!$FT:$FT,Example!$G69,'Resource Demand - Activity'!DL:DL)</f>
        <v>0</v>
      </c>
      <c r="DR69" s="35">
        <f>SUMIF('Resource Demand - Activity'!$FT:$FT,Example!$G69,'Resource Demand - Activity'!DM:DM)</f>
        <v>0</v>
      </c>
      <c r="DS69" s="35">
        <f>SUMIF('Resource Demand - Activity'!$FT:$FT,Example!$G69,'Resource Demand - Activity'!DN:DN)</f>
        <v>0</v>
      </c>
      <c r="DT69" s="35">
        <f>SUMIF('Resource Demand - Activity'!$FT:$FT,Example!$G69,'Resource Demand - Activity'!DO:DO)</f>
        <v>0</v>
      </c>
      <c r="DU69" s="35">
        <f>SUMIF('Resource Demand - Activity'!$FT:$FT,Example!$G69,'Resource Demand - Activity'!DP:DP)</f>
        <v>0</v>
      </c>
      <c r="DV69" s="35">
        <f>SUMIF('Resource Demand - Activity'!$FT:$FT,Example!$G69,'Resource Demand - Activity'!DQ:DQ)</f>
        <v>0</v>
      </c>
      <c r="DW69" s="35">
        <f>SUMIF('Resource Demand - Activity'!$FT:$FT,Example!$G69,'Resource Demand - Activity'!DR:DR)</f>
        <v>0</v>
      </c>
      <c r="DX69" s="35">
        <f>SUMIF('Resource Demand - Activity'!$FT:$FT,Example!$G69,'Resource Demand - Activity'!DS:DS)</f>
        <v>0</v>
      </c>
      <c r="DY69" s="35">
        <f>SUMIF('Resource Demand - Activity'!$FT:$FT,Example!$G69,'Resource Demand - Activity'!DT:DT)</f>
        <v>0</v>
      </c>
      <c r="DZ69" s="35">
        <f>SUMIF('Resource Demand - Activity'!$FT:$FT,Example!$G69,'Resource Demand - Activity'!DU:DU)</f>
        <v>0</v>
      </c>
      <c r="EA69" s="35">
        <f>SUMIF('Resource Demand - Activity'!$FT:$FT,Example!$G69,'Resource Demand - Activity'!DV:DV)</f>
        <v>0</v>
      </c>
      <c r="EB69" s="35">
        <f>SUMIF('Resource Demand - Activity'!$FT:$FT,Example!$G69,'Resource Demand - Activity'!DW:DW)</f>
        <v>0</v>
      </c>
      <c r="EC69" s="35">
        <f>SUMIF('Resource Demand - Activity'!$FT:$FT,Example!$G69,'Resource Demand - Activity'!DX:DX)</f>
        <v>0</v>
      </c>
      <c r="ED69" s="35">
        <f>SUMIF('Resource Demand - Activity'!$FT:$FT,Example!$G69,'Resource Demand - Activity'!DY:DY)</f>
        <v>0</v>
      </c>
      <c r="EE69" s="36">
        <f>SUMIF('Resource Demand - Activity'!$FT:$FT,Example!$G69,'Resource Demand - Activity'!DZ:DZ)</f>
        <v>0</v>
      </c>
      <c r="EF69" s="35">
        <f>SUMIF('Resource Demand - Activity'!$FT:$FT,Example!$G69,'Resource Demand - Activity'!EA:EA)</f>
        <v>0</v>
      </c>
      <c r="EG69" s="35">
        <f>SUMIF('Resource Demand - Activity'!$FT:$FT,Example!$G69,'Resource Demand - Activity'!EB:EB)</f>
        <v>0</v>
      </c>
      <c r="EH69" s="35">
        <f>SUMIF('Resource Demand - Activity'!$FT:$FT,Example!$G69,'Resource Demand - Activity'!EC:EC)</f>
        <v>0</v>
      </c>
      <c r="EI69" s="35">
        <f>SUMIF('Resource Demand - Activity'!$FT:$FT,Example!$G69,'Resource Demand - Activity'!ED:ED)</f>
        <v>1</v>
      </c>
      <c r="EJ69" s="35">
        <f>SUMIF('Resource Demand - Activity'!$FT:$FT,Example!$G69,'Resource Demand - Activity'!EE:EE)</f>
        <v>1</v>
      </c>
      <c r="EK69" s="35">
        <f>SUMIF('Resource Demand - Activity'!$FT:$FT,Example!$G69,'Resource Demand - Activity'!EF:EF)</f>
        <v>1</v>
      </c>
      <c r="EL69" s="35">
        <f>SUMIF('Resource Demand - Activity'!$FT:$FT,Example!$G69,'Resource Demand - Activity'!EG:EG)</f>
        <v>1</v>
      </c>
      <c r="EM69" s="35">
        <f>SUMIF('Resource Demand - Activity'!$FT:$FT,Example!$G69,'Resource Demand - Activity'!EH:EH)</f>
        <v>1</v>
      </c>
      <c r="EN69" s="35">
        <f>SUMIF('Resource Demand - Activity'!$FT:$FT,Example!$G69,'Resource Demand - Activity'!EI:EI)</f>
        <v>1</v>
      </c>
      <c r="EO69" s="35">
        <f>SUMIF('Resource Demand - Activity'!$FT:$FT,Example!$G69,'Resource Demand - Activity'!EJ:EJ)</f>
        <v>1</v>
      </c>
      <c r="EP69" s="35">
        <f>SUMIF('Resource Demand - Activity'!$FT:$FT,Example!$G69,'Resource Demand - Activity'!EK:EK)</f>
        <v>0</v>
      </c>
      <c r="EQ69" s="35">
        <f>SUMIF('Resource Demand - Activity'!$FT:$FT,Example!$G69,'Resource Demand - Activity'!EL:EL)</f>
        <v>0</v>
      </c>
      <c r="ER69" s="35">
        <f>SUMIF('Resource Demand - Activity'!$FT:$FT,Example!$G69,'Resource Demand - Activity'!EM:EM)</f>
        <v>0</v>
      </c>
      <c r="ES69" s="35">
        <f>SUMIF('Resource Demand - Activity'!$FT:$FT,Example!$G69,'Resource Demand - Activity'!EN:EN)</f>
        <v>0</v>
      </c>
      <c r="ET69" s="35">
        <f>SUMIF('Resource Demand - Activity'!$FT:$FT,Example!$G69,'Resource Demand - Activity'!EO:EO)</f>
        <v>0</v>
      </c>
      <c r="EU69" s="35">
        <f>SUMIF('Resource Demand - Activity'!$FT:$FT,Example!$G69,'Resource Demand - Activity'!EP:EP)</f>
        <v>0</v>
      </c>
      <c r="EV69" s="35">
        <f>SUMIF('Resource Demand - Activity'!$FT:$FT,Example!$G69,'Resource Demand - Activity'!EQ:EQ)</f>
        <v>0</v>
      </c>
      <c r="EW69" s="35">
        <f>SUMIF('Resource Demand - Activity'!$FT:$FT,Example!$G69,'Resource Demand - Activity'!ER:ER)</f>
        <v>0</v>
      </c>
      <c r="EX69" s="35">
        <f>SUMIF('Resource Demand - Activity'!$FT:$FT,Example!$G69,'Resource Demand - Activity'!ES:ES)</f>
        <v>0</v>
      </c>
      <c r="EY69" s="35">
        <f>SUMIF('Resource Demand - Activity'!$FT:$FT,Example!$G69,'Resource Demand - Activity'!ET:ET)</f>
        <v>0</v>
      </c>
      <c r="EZ69" s="35">
        <f>SUMIF('Resource Demand - Activity'!$FT:$FT,Example!$G69,'Resource Demand - Activity'!EU:EU)</f>
        <v>0</v>
      </c>
      <c r="FA69" s="35">
        <f>SUMIF('Resource Demand - Activity'!$FT:$FT,Example!$G69,'Resource Demand - Activity'!EV:EV)</f>
        <v>0</v>
      </c>
      <c r="FB69" s="35">
        <f>SUMIF('Resource Demand - Activity'!$FT:$FT,Example!$G69,'Resource Demand - Activity'!EW:EW)</f>
        <v>0</v>
      </c>
      <c r="FC69" s="35">
        <f>SUMIF('Resource Demand - Activity'!$FT:$FT,Example!$G69,'Resource Demand - Activity'!EX:EX)</f>
        <v>0</v>
      </c>
      <c r="FD69" s="36">
        <f>SUMIF('Resource Demand - Activity'!$FT:$FT,Example!$G69,'Resource Demand - Activity'!EY:EY)</f>
        <v>0</v>
      </c>
      <c r="FE69" s="35">
        <f>SUMIF('Resource Demand - Activity'!$FT:$FT,Example!$G69,'Resource Demand - Activity'!EZ:EZ)</f>
        <v>0</v>
      </c>
      <c r="FF69" s="35">
        <f>SUMIF('Resource Demand - Activity'!$FT:$FT,Example!$G69,'Resource Demand - Activity'!FA:FA)</f>
        <v>0</v>
      </c>
      <c r="FG69" s="35">
        <f>SUMIF('Resource Demand - Activity'!$FT:$FT,Example!$G69,'Resource Demand - Activity'!FB:FB)</f>
        <v>0</v>
      </c>
      <c r="FH69" s="35">
        <f>SUMIF('Resource Demand - Activity'!$FT:$FT,Example!$G69,'Resource Demand - Activity'!FC:FC)</f>
        <v>0</v>
      </c>
      <c r="FI69" s="35">
        <f>SUMIF('Resource Demand - Activity'!$FT:$FT,Example!$G69,'Resource Demand - Activity'!FD:FD)</f>
        <v>0</v>
      </c>
      <c r="FJ69" s="35">
        <f>SUMIF('Resource Demand - Activity'!$FT:$FT,Example!$G69,'Resource Demand - Activity'!FE:FE)</f>
        <v>0</v>
      </c>
      <c r="FK69" s="35">
        <f>SUMIF('Resource Demand - Activity'!$FT:$FT,Example!$G69,'Resource Demand - Activity'!FF:FF)</f>
        <v>0</v>
      </c>
      <c r="FL69" s="35">
        <f>SUMIF('Resource Demand - Activity'!$FT:$FT,Example!$G69,'Resource Demand - Activity'!FG:FG)</f>
        <v>0</v>
      </c>
      <c r="FM69" s="35">
        <f>SUMIF('Resource Demand - Activity'!$FT:$FT,Example!$G69,'Resource Demand - Activity'!FH:FH)</f>
        <v>0</v>
      </c>
      <c r="FN69" s="35">
        <f>SUMIF('Resource Demand - Activity'!$FT:$FT,Example!$G69,'Resource Demand - Activity'!FI:FI)</f>
        <v>0</v>
      </c>
      <c r="FO69" s="35">
        <f>SUMIF('Resource Demand - Activity'!$FT:$FT,Example!$G69,'Resource Demand - Activity'!FJ:FJ)</f>
        <v>0</v>
      </c>
      <c r="FP69" s="35">
        <f>SUMIF('Resource Demand - Activity'!$FT:$FT,Example!$G69,'Resource Demand - Activity'!FK:FK)</f>
        <v>0</v>
      </c>
      <c r="FQ69" s="35">
        <f>SUMIF('Resource Demand - Activity'!$FT:$FT,Example!$G69,'Resource Demand - Activity'!FL:FL)</f>
        <v>0</v>
      </c>
      <c r="FR69" s="35">
        <f>SUMIF('Resource Demand - Activity'!$FT:$FT,Example!$G69,'Resource Demand - Activity'!FM:FM)</f>
        <v>0</v>
      </c>
      <c r="FS69" s="35">
        <f>SUMIF('Resource Demand - Activity'!$FT:$FT,Example!$G69,'Resource Demand - Activity'!FN:FN)</f>
        <v>0</v>
      </c>
      <c r="FT69" s="35">
        <f>SUMIF('Resource Demand - Activity'!$FT:$FT,Example!$G69,'Resource Demand - Activity'!FO:FO)</f>
        <v>0</v>
      </c>
      <c r="FU69" s="35">
        <f>SUMIF('Resource Demand - Activity'!$FT:$FT,Example!$G69,'Resource Demand - Activity'!FP:FP)</f>
        <v>0</v>
      </c>
      <c r="FV69" s="52">
        <f>SUMIF('Resource Demand - Activity'!$FT:$FT,Example!$G69,'Resource Demand - Activity'!FQ:FQ)</f>
        <v>0</v>
      </c>
    </row>
    <row r="70" spans="2:178" s="63" customFormat="1" ht="12" customHeight="1">
      <c r="B70" s="1"/>
      <c r="G70" s="64" t="str">
        <f t="shared" si="11"/>
        <v>10. BAU Transition 10.3 Quarterly Process DocumentationJunior Accountant</v>
      </c>
      <c r="H70" s="59" t="s">
        <v>155</v>
      </c>
      <c r="I70" s="59" t="str">
        <f>INDEX('Resource Demand - Activity'!C:C,MATCH(Example!G70,'Resource Demand - Activity'!FT:FT,0))</f>
        <v>0 days</v>
      </c>
      <c r="J70" s="51">
        <f>SUMIF('Resource Demand - Activity'!$FT:$FT,Example!$G70,'Resource Demand - Activity'!E:E)</f>
        <v>0</v>
      </c>
      <c r="K70" s="35">
        <f>SUMIF('Resource Demand - Activity'!$FT:$FT,Example!$G70,'Resource Demand - Activity'!F:F)</f>
        <v>0</v>
      </c>
      <c r="L70" s="35">
        <f>SUMIF('Resource Demand - Activity'!$FT:$FT,Example!$G70,'Resource Demand - Activity'!G:G)</f>
        <v>0</v>
      </c>
      <c r="M70" s="35">
        <f>SUMIF('Resource Demand - Activity'!$FT:$FT,Example!$G70,'Resource Demand - Activity'!H:H)</f>
        <v>0</v>
      </c>
      <c r="N70" s="35">
        <f>SUMIF('Resource Demand - Activity'!$FT:$FT,Example!$G70,'Resource Demand - Activity'!I:I)</f>
        <v>0</v>
      </c>
      <c r="O70" s="35">
        <f>SUMIF('Resource Demand - Activity'!$FT:$FT,Example!$G70,'Resource Demand - Activity'!J:J)</f>
        <v>0</v>
      </c>
      <c r="P70" s="35">
        <f>SUMIF('Resource Demand - Activity'!$FT:$FT,Example!$G70,'Resource Demand - Activity'!K:K)</f>
        <v>0</v>
      </c>
      <c r="Q70" s="35">
        <f>SUMIF('Resource Demand - Activity'!$FT:$FT,Example!$G70,'Resource Demand - Activity'!L:L)</f>
        <v>0</v>
      </c>
      <c r="R70" s="35">
        <f>SUMIF('Resource Demand - Activity'!$FT:$FT,Example!$G70,'Resource Demand - Activity'!M:M)</f>
        <v>0</v>
      </c>
      <c r="S70" s="35">
        <f>SUMIF('Resource Demand - Activity'!$FT:$FT,Example!$G70,'Resource Demand - Activity'!N:N)</f>
        <v>0</v>
      </c>
      <c r="T70" s="35">
        <f>SUMIF('Resource Demand - Activity'!$FT:$FT,Example!$G70,'Resource Demand - Activity'!O:O)</f>
        <v>0</v>
      </c>
      <c r="U70" s="35">
        <f>SUMIF('Resource Demand - Activity'!$FT:$FT,Example!$G70,'Resource Demand - Activity'!P:P)</f>
        <v>0</v>
      </c>
      <c r="V70" s="35">
        <f>SUMIF('Resource Demand - Activity'!$FT:$FT,Example!$G70,'Resource Demand - Activity'!Q:Q)</f>
        <v>0</v>
      </c>
      <c r="W70" s="35">
        <f>SUMIF('Resource Demand - Activity'!$FT:$FT,Example!$G70,'Resource Demand - Activity'!R:R)</f>
        <v>0</v>
      </c>
      <c r="X70" s="35">
        <f>SUMIF('Resource Demand - Activity'!$FT:$FT,Example!$G70,'Resource Demand - Activity'!S:S)</f>
        <v>0</v>
      </c>
      <c r="Y70" s="35">
        <f>SUMIF('Resource Demand - Activity'!$FT:$FT,Example!$G70,'Resource Demand - Activity'!T:T)</f>
        <v>0</v>
      </c>
      <c r="Z70" s="35">
        <f>SUMIF('Resource Demand - Activity'!$FT:$FT,Example!$G70,'Resource Demand - Activity'!U:U)</f>
        <v>0</v>
      </c>
      <c r="AA70" s="35">
        <f>SUMIF('Resource Demand - Activity'!$FT:$FT,Example!$G70,'Resource Demand - Activity'!V:V)</f>
        <v>0</v>
      </c>
      <c r="AB70" s="35">
        <f>SUMIF('Resource Demand - Activity'!$FT:$FT,Example!$G70,'Resource Demand - Activity'!W:W)</f>
        <v>0</v>
      </c>
      <c r="AC70" s="35">
        <f>SUMIF('Resource Demand - Activity'!$FT:$FT,Example!$G70,'Resource Demand - Activity'!X:X)</f>
        <v>0</v>
      </c>
      <c r="AD70" s="35">
        <f>SUMIF('Resource Demand - Activity'!$FT:$FT,Example!$G70,'Resource Demand - Activity'!Y:Y)</f>
        <v>0</v>
      </c>
      <c r="AE70" s="35">
        <f>SUMIF('Resource Demand - Activity'!$FT:$FT,Example!$G70,'Resource Demand - Activity'!Z:Z)</f>
        <v>0</v>
      </c>
      <c r="AF70" s="35">
        <f>SUMIF('Resource Demand - Activity'!$FT:$FT,Example!$G70,'Resource Demand - Activity'!AA:AA)</f>
        <v>0</v>
      </c>
      <c r="AG70" s="35">
        <f>SUMIF('Resource Demand - Activity'!$FT:$FT,Example!$G70,'Resource Demand - Activity'!AB:AB)</f>
        <v>0</v>
      </c>
      <c r="AH70" s="35">
        <f>SUMIF('Resource Demand - Activity'!$FT:$FT,Example!$G70,'Resource Demand - Activity'!AC:AC)</f>
        <v>0</v>
      </c>
      <c r="AI70" s="35">
        <f>SUMIF('Resource Demand - Activity'!$FT:$FT,Example!$G70,'Resource Demand - Activity'!AD:AD)</f>
        <v>0</v>
      </c>
      <c r="AJ70" s="35">
        <f>SUMIF('Resource Demand - Activity'!$FT:$FT,Example!$G70,'Resource Demand - Activity'!AE:AE)</f>
        <v>0</v>
      </c>
      <c r="AK70" s="35">
        <f>SUMIF('Resource Demand - Activity'!$FT:$FT,Example!$G70,'Resource Demand - Activity'!AF:AF)</f>
        <v>0</v>
      </c>
      <c r="AL70" s="35">
        <f>SUMIF('Resource Demand - Activity'!$FT:$FT,Example!$G70,'Resource Demand - Activity'!AG:AG)</f>
        <v>0</v>
      </c>
      <c r="AM70" s="35">
        <f>SUMIF('Resource Demand - Activity'!$FT:$FT,Example!$G70,'Resource Demand - Activity'!AH:AH)</f>
        <v>0</v>
      </c>
      <c r="AN70" s="35">
        <f>SUMIF('Resource Demand - Activity'!$FT:$FT,Example!$G70,'Resource Demand - Activity'!AI:AI)</f>
        <v>0</v>
      </c>
      <c r="AO70" s="35">
        <f>SUMIF('Resource Demand - Activity'!$FT:$FT,Example!$G70,'Resource Demand - Activity'!AJ:AJ)</f>
        <v>0</v>
      </c>
      <c r="AP70" s="35">
        <f>SUMIF('Resource Demand - Activity'!$FT:$FT,Example!$G70,'Resource Demand - Activity'!AK:AK)</f>
        <v>0</v>
      </c>
      <c r="AQ70" s="36">
        <f>SUMIF('Resource Demand - Activity'!$FT:$FT,Example!$G70,'Resource Demand - Activity'!AL:AL)</f>
        <v>0</v>
      </c>
      <c r="AR70" s="36">
        <f>SUMIF('Resource Demand - Activity'!$FT:$FT,Example!$G70,'Resource Demand - Activity'!AM:AM)</f>
        <v>0</v>
      </c>
      <c r="AS70" s="36">
        <f>SUMIF('Resource Demand - Activity'!$FT:$FT,Example!$G70,'Resource Demand - Activity'!AN:AN)</f>
        <v>0</v>
      </c>
      <c r="AT70" s="36">
        <f>SUMIF('Resource Demand - Activity'!$FT:$FT,Example!$G70,'Resource Demand - Activity'!AO:AO)</f>
        <v>0</v>
      </c>
      <c r="AU70" s="36">
        <f>SUMIF('Resource Demand - Activity'!$FT:$FT,Example!$G70,'Resource Demand - Activity'!AP:AP)</f>
        <v>0</v>
      </c>
      <c r="AV70" s="36">
        <f>SUMIF('Resource Demand - Activity'!$FT:$FT,Example!$G70,'Resource Demand - Activity'!AQ:AQ)</f>
        <v>0</v>
      </c>
      <c r="AW70" s="36">
        <f>SUMIF('Resource Demand - Activity'!$FT:$FT,Example!$G70,'Resource Demand - Activity'!AR:AR)</f>
        <v>0</v>
      </c>
      <c r="AX70" s="35">
        <f>SUMIF('Resource Demand - Activity'!$FT:$FT,Example!$G70,'Resource Demand - Activity'!AS:AS)</f>
        <v>0</v>
      </c>
      <c r="AY70" s="35">
        <f>SUMIF('Resource Demand - Activity'!$FT:$FT,Example!$G70,'Resource Demand - Activity'!AT:AT)</f>
        <v>0</v>
      </c>
      <c r="AZ70" s="35">
        <f>SUMIF('Resource Demand - Activity'!$FT:$FT,Example!$G70,'Resource Demand - Activity'!AU:AU)</f>
        <v>0</v>
      </c>
      <c r="BA70" s="35">
        <f>SUMIF('Resource Demand - Activity'!$FT:$FT,Example!$G70,'Resource Demand - Activity'!AV:AV)</f>
        <v>0</v>
      </c>
      <c r="BB70" s="35">
        <f>SUMIF('Resource Demand - Activity'!$FT:$FT,Example!$G70,'Resource Demand - Activity'!AW:AW)</f>
        <v>0</v>
      </c>
      <c r="BC70" s="35">
        <f>SUMIF('Resource Demand - Activity'!$FT:$FT,Example!$G70,'Resource Demand - Activity'!AX:AX)</f>
        <v>0</v>
      </c>
      <c r="BD70" s="35">
        <f>SUMIF('Resource Demand - Activity'!$FT:$FT,Example!$G70,'Resource Demand - Activity'!AY:AY)</f>
        <v>0</v>
      </c>
      <c r="BE70" s="35">
        <f>SUMIF('Resource Demand - Activity'!$FT:$FT,Example!$G70,'Resource Demand - Activity'!AZ:AZ)</f>
        <v>0</v>
      </c>
      <c r="BF70" s="35">
        <f>SUMIF('Resource Demand - Activity'!$FT:$FT,Example!$G70,'Resource Demand - Activity'!BA:BA)</f>
        <v>0</v>
      </c>
      <c r="BG70" s="35">
        <f>SUMIF('Resource Demand - Activity'!$FT:$FT,Example!$G70,'Resource Demand - Activity'!BB:BB)</f>
        <v>0</v>
      </c>
      <c r="BH70" s="35">
        <f>SUMIF('Resource Demand - Activity'!$FT:$FT,Example!$G70,'Resource Demand - Activity'!BC:BC)</f>
        <v>0</v>
      </c>
      <c r="BI70" s="35">
        <f>SUMIF('Resource Demand - Activity'!$FT:$FT,Example!$G70,'Resource Demand - Activity'!BD:BD)</f>
        <v>0</v>
      </c>
      <c r="BJ70" s="35">
        <f>SUMIF('Resource Demand - Activity'!$FT:$FT,Example!$G70,'Resource Demand - Activity'!BE:BE)</f>
        <v>0</v>
      </c>
      <c r="BK70" s="35">
        <f>SUMIF('Resource Demand - Activity'!$FT:$FT,Example!$G70,'Resource Demand - Activity'!BF:BF)</f>
        <v>0</v>
      </c>
      <c r="BL70" s="35">
        <f>SUMIF('Resource Demand - Activity'!$FT:$FT,Example!$G70,'Resource Demand - Activity'!BG:BG)</f>
        <v>0</v>
      </c>
      <c r="BM70" s="35">
        <f>SUMIF('Resource Demand - Activity'!$FT:$FT,Example!$G70,'Resource Demand - Activity'!BH:BH)</f>
        <v>0</v>
      </c>
      <c r="BN70" s="35">
        <f>SUMIF('Resource Demand - Activity'!$FT:$FT,Example!$G70,'Resource Demand - Activity'!BI:BI)</f>
        <v>0</v>
      </c>
      <c r="BO70" s="35">
        <f>SUMIF('Resource Demand - Activity'!$FT:$FT,Example!$G70,'Resource Demand - Activity'!BJ:BJ)</f>
        <v>0</v>
      </c>
      <c r="BP70" s="35">
        <f>SUMIF('Resource Demand - Activity'!$FT:$FT,Example!$G70,'Resource Demand - Activity'!BK:BK)</f>
        <v>0</v>
      </c>
      <c r="BQ70" s="35">
        <f>SUMIF('Resource Demand - Activity'!$FT:$FT,Example!$G70,'Resource Demand - Activity'!BL:BL)</f>
        <v>0</v>
      </c>
      <c r="BR70" s="35">
        <f>SUMIF('Resource Demand - Activity'!$FT:$FT,Example!$G70,'Resource Demand - Activity'!BM:BM)</f>
        <v>0</v>
      </c>
      <c r="BS70" s="35">
        <f>SUMIF('Resource Demand - Activity'!$FT:$FT,Example!$G70,'Resource Demand - Activity'!BN:BN)</f>
        <v>0</v>
      </c>
      <c r="BT70" s="35">
        <f>SUMIF('Resource Demand - Activity'!$FT:$FT,Example!$G70,'Resource Demand - Activity'!BO:BO)</f>
        <v>0</v>
      </c>
      <c r="BU70" s="35">
        <f>SUMIF('Resource Demand - Activity'!$FT:$FT,Example!$G70,'Resource Demand - Activity'!BP:BP)</f>
        <v>0</v>
      </c>
      <c r="BV70" s="35">
        <f>SUMIF('Resource Demand - Activity'!$FT:$FT,Example!$G70,'Resource Demand - Activity'!BQ:BQ)</f>
        <v>0</v>
      </c>
      <c r="BW70" s="35">
        <f>SUMIF('Resource Demand - Activity'!$FT:$FT,Example!$G70,'Resource Demand - Activity'!BR:BR)</f>
        <v>0</v>
      </c>
      <c r="BX70" s="35">
        <f>SUMIF('Resource Demand - Activity'!$FT:$FT,Example!$G70,'Resource Demand - Activity'!BS:BS)</f>
        <v>0</v>
      </c>
      <c r="BY70" s="35">
        <f>SUMIF('Resource Demand - Activity'!$FT:$FT,Example!$G70,'Resource Demand - Activity'!BT:BT)</f>
        <v>0</v>
      </c>
      <c r="BZ70" s="35">
        <f>SUMIF('Resource Demand - Activity'!$FT:$FT,Example!$G70,'Resource Demand - Activity'!BU:BU)</f>
        <v>0</v>
      </c>
      <c r="CA70" s="35">
        <f>SUMIF('Resource Demand - Activity'!$FT:$FT,Example!$G70,'Resource Demand - Activity'!BV:BV)</f>
        <v>0</v>
      </c>
      <c r="CB70" s="35">
        <f>SUMIF('Resource Demand - Activity'!$FT:$FT,Example!$G70,'Resource Demand - Activity'!BW:BW)</f>
        <v>0</v>
      </c>
      <c r="CC70" s="35">
        <f>SUMIF('Resource Demand - Activity'!$FT:$FT,Example!$G70,'Resource Demand - Activity'!BX:BX)</f>
        <v>0</v>
      </c>
      <c r="CD70" s="35">
        <f>SUMIF('Resource Demand - Activity'!$FT:$FT,Example!$G70,'Resource Demand - Activity'!BY:BY)</f>
        <v>0</v>
      </c>
      <c r="CE70" s="35">
        <f>SUMIF('Resource Demand - Activity'!$FT:$FT,Example!$G70,'Resource Demand - Activity'!BZ:BZ)</f>
        <v>0</v>
      </c>
      <c r="CF70" s="35">
        <f>SUMIF('Resource Demand - Activity'!$FT:$FT,Example!$G70,'Resource Demand - Activity'!CA:CA)</f>
        <v>0</v>
      </c>
      <c r="CG70" s="35">
        <f>SUMIF('Resource Demand - Activity'!$FT:$FT,Example!$G70,'Resource Demand - Activity'!CB:CB)</f>
        <v>0</v>
      </c>
      <c r="CH70" s="35">
        <f>SUMIF('Resource Demand - Activity'!$FT:$FT,Example!$G70,'Resource Demand - Activity'!CC:CC)</f>
        <v>0</v>
      </c>
      <c r="CI70" s="35">
        <f>SUMIF('Resource Demand - Activity'!$FT:$FT,Example!$G70,'Resource Demand - Activity'!CD:CD)</f>
        <v>0</v>
      </c>
      <c r="CJ70" s="35">
        <f>SUMIF('Resource Demand - Activity'!$FT:$FT,Example!$G70,'Resource Demand - Activity'!CE:CE)</f>
        <v>0</v>
      </c>
      <c r="CK70" s="35">
        <f>SUMIF('Resource Demand - Activity'!$FT:$FT,Example!$G70,'Resource Demand - Activity'!CF:CF)</f>
        <v>0</v>
      </c>
      <c r="CL70" s="35">
        <f>SUMIF('Resource Demand - Activity'!$FT:$FT,Example!$G70,'Resource Demand - Activity'!CG:CG)</f>
        <v>0</v>
      </c>
      <c r="CM70" s="35">
        <f>SUMIF('Resource Demand - Activity'!$FT:$FT,Example!$G70,'Resource Demand - Activity'!CH:CH)</f>
        <v>0</v>
      </c>
      <c r="CN70" s="35">
        <f>SUMIF('Resource Demand - Activity'!$FT:$FT,Example!$G70,'Resource Demand - Activity'!CI:CI)</f>
        <v>0</v>
      </c>
      <c r="CO70" s="35">
        <f>SUMIF('Resource Demand - Activity'!$FT:$FT,Example!$G70,'Resource Demand - Activity'!CJ:CJ)</f>
        <v>0</v>
      </c>
      <c r="CP70" s="35">
        <f>SUMIF('Resource Demand - Activity'!$FT:$FT,Example!$G70,'Resource Demand - Activity'!CK:CK)</f>
        <v>0</v>
      </c>
      <c r="CQ70" s="35">
        <f>SUMIF('Resource Demand - Activity'!$FT:$FT,Example!$G70,'Resource Demand - Activity'!CL:CL)</f>
        <v>0</v>
      </c>
      <c r="CR70" s="35">
        <f>SUMIF('Resource Demand - Activity'!$FT:$FT,Example!$G70,'Resource Demand - Activity'!CM:CM)</f>
        <v>0</v>
      </c>
      <c r="CS70" s="35">
        <f>SUMIF('Resource Demand - Activity'!$FT:$FT,Example!$G70,'Resource Demand - Activity'!CN:CN)</f>
        <v>0</v>
      </c>
      <c r="CT70" s="35">
        <f>SUMIF('Resource Demand - Activity'!$FT:$FT,Example!$G70,'Resource Demand - Activity'!CO:CO)</f>
        <v>0</v>
      </c>
      <c r="CU70" s="35">
        <f>SUMIF('Resource Demand - Activity'!$FT:$FT,Example!$G70,'Resource Demand - Activity'!CP:CP)</f>
        <v>0</v>
      </c>
      <c r="CV70" s="35">
        <f>SUMIF('Resource Demand - Activity'!$FT:$FT,Example!$G70,'Resource Demand - Activity'!CQ:CQ)</f>
        <v>0</v>
      </c>
      <c r="CW70" s="35">
        <f>SUMIF('Resource Demand - Activity'!$FT:$FT,Example!$G70,'Resource Demand - Activity'!CR:CR)</f>
        <v>0</v>
      </c>
      <c r="CX70" s="35">
        <f>SUMIF('Resource Demand - Activity'!$FT:$FT,Example!$G70,'Resource Demand - Activity'!CS:CS)</f>
        <v>0</v>
      </c>
      <c r="CY70" s="36">
        <f>SUMIF('Resource Demand - Activity'!$FT:$FT,Example!$G70,'Resource Demand - Activity'!CT:CT)</f>
        <v>0</v>
      </c>
      <c r="CZ70" s="35">
        <f>SUMIF('Resource Demand - Activity'!$FT:$FT,Example!$G70,'Resource Demand - Activity'!CU:CU)</f>
        <v>0</v>
      </c>
      <c r="DA70" s="35">
        <f>SUMIF('Resource Demand - Activity'!$FT:$FT,Example!$G70,'Resource Demand - Activity'!CV:CV)</f>
        <v>0</v>
      </c>
      <c r="DB70" s="35">
        <f>SUMIF('Resource Demand - Activity'!$FT:$FT,Example!$G70,'Resource Demand - Activity'!CW:CW)</f>
        <v>0</v>
      </c>
      <c r="DC70" s="35">
        <f>SUMIF('Resource Demand - Activity'!$FT:$FT,Example!$G70,'Resource Demand - Activity'!CX:CX)</f>
        <v>0</v>
      </c>
      <c r="DD70" s="35">
        <f>SUMIF('Resource Demand - Activity'!$FT:$FT,Example!$G70,'Resource Demand - Activity'!CY:CY)</f>
        <v>0</v>
      </c>
      <c r="DE70" s="36">
        <f>SUMIF('Resource Demand - Activity'!$FT:$FT,Example!$G70,'Resource Demand - Activity'!CZ:CZ)</f>
        <v>0</v>
      </c>
      <c r="DF70" s="36">
        <f>SUMIF('Resource Demand - Activity'!$FT:$FT,Example!$G70,'Resource Demand - Activity'!DA:DA)</f>
        <v>0</v>
      </c>
      <c r="DG70" s="35">
        <f>SUMIF('Resource Demand - Activity'!$FT:$FT,Example!$G70,'Resource Demand - Activity'!DB:DB)</f>
        <v>0</v>
      </c>
      <c r="DH70" s="35">
        <f>SUMIF('Resource Demand - Activity'!$FT:$FT,Example!$G70,'Resource Demand - Activity'!DC:DC)</f>
        <v>0</v>
      </c>
      <c r="DI70" s="35">
        <f>SUMIF('Resource Demand - Activity'!$FT:$FT,Example!$G70,'Resource Demand - Activity'!DD:DD)</f>
        <v>0</v>
      </c>
      <c r="DJ70" s="35">
        <f>SUMIF('Resource Demand - Activity'!$FT:$FT,Example!$G70,'Resource Demand - Activity'!DE:DE)</f>
        <v>0</v>
      </c>
      <c r="DK70" s="35">
        <f>SUMIF('Resource Demand - Activity'!$FT:$FT,Example!$G70,'Resource Demand - Activity'!DF:DF)</f>
        <v>0</v>
      </c>
      <c r="DL70" s="35">
        <f>SUMIF('Resource Demand - Activity'!$FT:$FT,Example!$G70,'Resource Demand - Activity'!DG:DG)</f>
        <v>0</v>
      </c>
      <c r="DM70" s="35">
        <f>SUMIF('Resource Demand - Activity'!$FT:$FT,Example!$G70,'Resource Demand - Activity'!DH:DH)</f>
        <v>0</v>
      </c>
      <c r="DN70" s="35">
        <f>SUMIF('Resource Demand - Activity'!$FT:$FT,Example!$G70,'Resource Demand - Activity'!DI:DI)</f>
        <v>0</v>
      </c>
      <c r="DO70" s="35">
        <f>SUMIF('Resource Demand - Activity'!$FT:$FT,Example!$G70,'Resource Demand - Activity'!DJ:DJ)</f>
        <v>0</v>
      </c>
      <c r="DP70" s="35">
        <f>SUMIF('Resource Demand - Activity'!$FT:$FT,Example!$G70,'Resource Demand - Activity'!DK:DK)</f>
        <v>0</v>
      </c>
      <c r="DQ70" s="35">
        <f>SUMIF('Resource Demand - Activity'!$FT:$FT,Example!$G70,'Resource Demand - Activity'!DL:DL)</f>
        <v>0</v>
      </c>
      <c r="DR70" s="35">
        <f>SUMIF('Resource Demand - Activity'!$FT:$FT,Example!$G70,'Resource Demand - Activity'!DM:DM)</f>
        <v>0</v>
      </c>
      <c r="DS70" s="35">
        <f>SUMIF('Resource Demand - Activity'!$FT:$FT,Example!$G70,'Resource Demand - Activity'!DN:DN)</f>
        <v>0</v>
      </c>
      <c r="DT70" s="35">
        <f>SUMIF('Resource Demand - Activity'!$FT:$FT,Example!$G70,'Resource Demand - Activity'!DO:DO)</f>
        <v>0</v>
      </c>
      <c r="DU70" s="35">
        <f>SUMIF('Resource Demand - Activity'!$FT:$FT,Example!$G70,'Resource Demand - Activity'!DP:DP)</f>
        <v>0</v>
      </c>
      <c r="DV70" s="35">
        <f>SUMIF('Resource Demand - Activity'!$FT:$FT,Example!$G70,'Resource Demand - Activity'!DQ:DQ)</f>
        <v>0</v>
      </c>
      <c r="DW70" s="35">
        <f>SUMIF('Resource Demand - Activity'!$FT:$FT,Example!$G70,'Resource Demand - Activity'!DR:DR)</f>
        <v>0</v>
      </c>
      <c r="DX70" s="35">
        <f>SUMIF('Resource Demand - Activity'!$FT:$FT,Example!$G70,'Resource Demand - Activity'!DS:DS)</f>
        <v>0</v>
      </c>
      <c r="DY70" s="35">
        <f>SUMIF('Resource Demand - Activity'!$FT:$FT,Example!$G70,'Resource Demand - Activity'!DT:DT)</f>
        <v>0</v>
      </c>
      <c r="DZ70" s="35">
        <f>SUMIF('Resource Demand - Activity'!$FT:$FT,Example!$G70,'Resource Demand - Activity'!DU:DU)</f>
        <v>0</v>
      </c>
      <c r="EA70" s="35">
        <f>SUMIF('Resource Demand - Activity'!$FT:$FT,Example!$G70,'Resource Demand - Activity'!DV:DV)</f>
        <v>0</v>
      </c>
      <c r="EB70" s="35">
        <f>SUMIF('Resource Demand - Activity'!$FT:$FT,Example!$G70,'Resource Demand - Activity'!DW:DW)</f>
        <v>0</v>
      </c>
      <c r="EC70" s="35">
        <f>SUMIF('Resource Demand - Activity'!$FT:$FT,Example!$G70,'Resource Demand - Activity'!DX:DX)</f>
        <v>0</v>
      </c>
      <c r="ED70" s="35">
        <f>SUMIF('Resource Demand - Activity'!$FT:$FT,Example!$G70,'Resource Demand - Activity'!DY:DY)</f>
        <v>0</v>
      </c>
      <c r="EE70" s="36">
        <f>SUMIF('Resource Demand - Activity'!$FT:$FT,Example!$G70,'Resource Demand - Activity'!DZ:DZ)</f>
        <v>0</v>
      </c>
      <c r="EF70" s="35">
        <f>SUMIF('Resource Demand - Activity'!$FT:$FT,Example!$G70,'Resource Demand - Activity'!EA:EA)</f>
        <v>0</v>
      </c>
      <c r="EG70" s="35">
        <f>SUMIF('Resource Demand - Activity'!$FT:$FT,Example!$G70,'Resource Demand - Activity'!EB:EB)</f>
        <v>0</v>
      </c>
      <c r="EH70" s="35">
        <f>SUMIF('Resource Demand - Activity'!$FT:$FT,Example!$G70,'Resource Demand - Activity'!EC:EC)</f>
        <v>0</v>
      </c>
      <c r="EI70" s="35">
        <f>SUMIF('Resource Demand - Activity'!$FT:$FT,Example!$G70,'Resource Demand - Activity'!ED:ED)</f>
        <v>0</v>
      </c>
      <c r="EJ70" s="35">
        <f>SUMIF('Resource Demand - Activity'!$FT:$FT,Example!$G70,'Resource Demand - Activity'!EE:EE)</f>
        <v>0</v>
      </c>
      <c r="EK70" s="35">
        <f>SUMIF('Resource Demand - Activity'!$FT:$FT,Example!$G70,'Resource Demand - Activity'!EF:EF)</f>
        <v>0</v>
      </c>
      <c r="EL70" s="35">
        <f>SUMIF('Resource Demand - Activity'!$FT:$FT,Example!$G70,'Resource Demand - Activity'!EG:EG)</f>
        <v>0</v>
      </c>
      <c r="EM70" s="35">
        <f>SUMIF('Resource Demand - Activity'!$FT:$FT,Example!$G70,'Resource Demand - Activity'!EH:EH)</f>
        <v>0</v>
      </c>
      <c r="EN70" s="35">
        <f>SUMIF('Resource Demand - Activity'!$FT:$FT,Example!$G70,'Resource Demand - Activity'!EI:EI)</f>
        <v>0</v>
      </c>
      <c r="EO70" s="35">
        <f>SUMIF('Resource Demand - Activity'!$FT:$FT,Example!$G70,'Resource Demand - Activity'!EJ:EJ)</f>
        <v>0</v>
      </c>
      <c r="EP70" s="35">
        <f>SUMIF('Resource Demand - Activity'!$FT:$FT,Example!$G70,'Resource Demand - Activity'!EK:EK)</f>
        <v>0</v>
      </c>
      <c r="EQ70" s="35">
        <f>SUMIF('Resource Demand - Activity'!$FT:$FT,Example!$G70,'Resource Demand - Activity'!EL:EL)</f>
        <v>0</v>
      </c>
      <c r="ER70" s="35">
        <f>SUMIF('Resource Demand - Activity'!$FT:$FT,Example!$G70,'Resource Demand - Activity'!EM:EM)</f>
        <v>0</v>
      </c>
      <c r="ES70" s="35">
        <f>SUMIF('Resource Demand - Activity'!$FT:$FT,Example!$G70,'Resource Demand - Activity'!EN:EN)</f>
        <v>0</v>
      </c>
      <c r="ET70" s="35">
        <f>SUMIF('Resource Demand - Activity'!$FT:$FT,Example!$G70,'Resource Demand - Activity'!EO:EO)</f>
        <v>0</v>
      </c>
      <c r="EU70" s="35">
        <f>SUMIF('Resource Demand - Activity'!$FT:$FT,Example!$G70,'Resource Demand - Activity'!EP:EP)</f>
        <v>0</v>
      </c>
      <c r="EV70" s="35">
        <f>SUMIF('Resource Demand - Activity'!$FT:$FT,Example!$G70,'Resource Demand - Activity'!EQ:EQ)</f>
        <v>0</v>
      </c>
      <c r="EW70" s="35">
        <f>SUMIF('Resource Demand - Activity'!$FT:$FT,Example!$G70,'Resource Demand - Activity'!ER:ER)</f>
        <v>0</v>
      </c>
      <c r="EX70" s="35">
        <f>SUMIF('Resource Demand - Activity'!$FT:$FT,Example!$G70,'Resource Demand - Activity'!ES:ES)</f>
        <v>0</v>
      </c>
      <c r="EY70" s="35">
        <f>SUMIF('Resource Demand - Activity'!$FT:$FT,Example!$G70,'Resource Demand - Activity'!ET:ET)</f>
        <v>0</v>
      </c>
      <c r="EZ70" s="35">
        <f>SUMIF('Resource Demand - Activity'!$FT:$FT,Example!$G70,'Resource Demand - Activity'!EU:EU)</f>
        <v>0</v>
      </c>
      <c r="FA70" s="35">
        <f>SUMIF('Resource Demand - Activity'!$FT:$FT,Example!$G70,'Resource Demand - Activity'!EV:EV)</f>
        <v>0</v>
      </c>
      <c r="FB70" s="35">
        <f>SUMIF('Resource Demand - Activity'!$FT:$FT,Example!$G70,'Resource Demand - Activity'!EW:EW)</f>
        <v>0</v>
      </c>
      <c r="FC70" s="35">
        <f>SUMIF('Resource Demand - Activity'!$FT:$FT,Example!$G70,'Resource Demand - Activity'!EX:EX)</f>
        <v>0</v>
      </c>
      <c r="FD70" s="36">
        <f>SUMIF('Resource Demand - Activity'!$FT:$FT,Example!$G70,'Resource Demand - Activity'!EY:EY)</f>
        <v>0</v>
      </c>
      <c r="FE70" s="35">
        <f>SUMIF('Resource Demand - Activity'!$FT:$FT,Example!$G70,'Resource Demand - Activity'!EZ:EZ)</f>
        <v>0</v>
      </c>
      <c r="FF70" s="35">
        <f>SUMIF('Resource Demand - Activity'!$FT:$FT,Example!$G70,'Resource Demand - Activity'!FA:FA)</f>
        <v>0</v>
      </c>
      <c r="FG70" s="35">
        <f>SUMIF('Resource Demand - Activity'!$FT:$FT,Example!$G70,'Resource Demand - Activity'!FB:FB)</f>
        <v>0</v>
      </c>
      <c r="FH70" s="35">
        <f>SUMIF('Resource Demand - Activity'!$FT:$FT,Example!$G70,'Resource Demand - Activity'!FC:FC)</f>
        <v>0</v>
      </c>
      <c r="FI70" s="35">
        <f>SUMIF('Resource Demand - Activity'!$FT:$FT,Example!$G70,'Resource Demand - Activity'!FD:FD)</f>
        <v>0</v>
      </c>
      <c r="FJ70" s="35">
        <f>SUMIF('Resource Demand - Activity'!$FT:$FT,Example!$G70,'Resource Demand - Activity'!FE:FE)</f>
        <v>0</v>
      </c>
      <c r="FK70" s="35">
        <f>SUMIF('Resource Demand - Activity'!$FT:$FT,Example!$G70,'Resource Demand - Activity'!FF:FF)</f>
        <v>0</v>
      </c>
      <c r="FL70" s="35">
        <f>SUMIF('Resource Demand - Activity'!$FT:$FT,Example!$G70,'Resource Demand - Activity'!FG:FG)</f>
        <v>0</v>
      </c>
      <c r="FM70" s="35">
        <f>SUMIF('Resource Demand - Activity'!$FT:$FT,Example!$G70,'Resource Demand - Activity'!FH:FH)</f>
        <v>0</v>
      </c>
      <c r="FN70" s="35">
        <f>SUMIF('Resource Demand - Activity'!$FT:$FT,Example!$G70,'Resource Demand - Activity'!FI:FI)</f>
        <v>0</v>
      </c>
      <c r="FO70" s="35">
        <f>SUMIF('Resource Demand - Activity'!$FT:$FT,Example!$G70,'Resource Demand - Activity'!FJ:FJ)</f>
        <v>0</v>
      </c>
      <c r="FP70" s="35">
        <f>SUMIF('Resource Demand - Activity'!$FT:$FT,Example!$G70,'Resource Demand - Activity'!FK:FK)</f>
        <v>0</v>
      </c>
      <c r="FQ70" s="35">
        <f>SUMIF('Resource Demand - Activity'!$FT:$FT,Example!$G70,'Resource Demand - Activity'!FL:FL)</f>
        <v>0</v>
      </c>
      <c r="FR70" s="35">
        <f>SUMIF('Resource Demand - Activity'!$FT:$FT,Example!$G70,'Resource Demand - Activity'!FM:FM)</f>
        <v>0</v>
      </c>
      <c r="FS70" s="35">
        <f>SUMIF('Resource Demand - Activity'!$FT:$FT,Example!$G70,'Resource Demand - Activity'!FN:FN)</f>
        <v>0</v>
      </c>
      <c r="FT70" s="35">
        <f>SUMIF('Resource Demand - Activity'!$FT:$FT,Example!$G70,'Resource Demand - Activity'!FO:FO)</f>
        <v>0</v>
      </c>
      <c r="FU70" s="35">
        <f>SUMIF('Resource Demand - Activity'!$FT:$FT,Example!$G70,'Resource Demand - Activity'!FP:FP)</f>
        <v>0</v>
      </c>
      <c r="FV70" s="52">
        <f>SUMIF('Resource Demand - Activity'!$FT:$FT,Example!$G70,'Resource Demand - Activity'!FQ:FQ)</f>
        <v>0</v>
      </c>
    </row>
    <row r="71" spans="2:178" s="63" customFormat="1" ht="12" customHeight="1">
      <c r="B71" s="1"/>
      <c r="G71" s="64" t="str">
        <f t="shared" si="11"/>
        <v>10. BAU Transition 10.4 Annual Reporting (QRTs) Junior Accountant</v>
      </c>
      <c r="H71" s="59" t="s">
        <v>142</v>
      </c>
      <c r="I71" s="59" t="str">
        <f>INDEX('Resource Demand - Activity'!C:C,MATCH(Example!G71,'Resource Demand - Activity'!FT:FT,0))</f>
        <v>7 days</v>
      </c>
      <c r="J71" s="51">
        <f>SUMIF('Resource Demand - Activity'!$FT:$FT,Example!$G71,'Resource Demand - Activity'!E:E)</f>
        <v>0</v>
      </c>
      <c r="K71" s="35">
        <f>SUMIF('Resource Demand - Activity'!$FT:$FT,Example!$G71,'Resource Demand - Activity'!F:F)</f>
        <v>0</v>
      </c>
      <c r="L71" s="35">
        <f>SUMIF('Resource Demand - Activity'!$FT:$FT,Example!$G71,'Resource Demand - Activity'!G:G)</f>
        <v>0</v>
      </c>
      <c r="M71" s="35">
        <f>SUMIF('Resource Demand - Activity'!$FT:$FT,Example!$G71,'Resource Demand - Activity'!H:H)</f>
        <v>0</v>
      </c>
      <c r="N71" s="35">
        <f>SUMIF('Resource Demand - Activity'!$FT:$FT,Example!$G71,'Resource Demand - Activity'!I:I)</f>
        <v>0</v>
      </c>
      <c r="O71" s="35">
        <f>SUMIF('Resource Demand - Activity'!$FT:$FT,Example!$G71,'Resource Demand - Activity'!J:J)</f>
        <v>0</v>
      </c>
      <c r="P71" s="35">
        <f>SUMIF('Resource Demand - Activity'!$FT:$FT,Example!$G71,'Resource Demand - Activity'!K:K)</f>
        <v>0</v>
      </c>
      <c r="Q71" s="35">
        <f>SUMIF('Resource Demand - Activity'!$FT:$FT,Example!$G71,'Resource Demand - Activity'!L:L)</f>
        <v>0</v>
      </c>
      <c r="R71" s="35">
        <f>SUMIF('Resource Demand - Activity'!$FT:$FT,Example!$G71,'Resource Demand - Activity'!M:M)</f>
        <v>0</v>
      </c>
      <c r="S71" s="35">
        <f>SUMIF('Resource Demand - Activity'!$FT:$FT,Example!$G71,'Resource Demand - Activity'!N:N)</f>
        <v>0</v>
      </c>
      <c r="T71" s="35">
        <f>SUMIF('Resource Demand - Activity'!$FT:$FT,Example!$G71,'Resource Demand - Activity'!O:O)</f>
        <v>0</v>
      </c>
      <c r="U71" s="35">
        <f>SUMIF('Resource Demand - Activity'!$FT:$FT,Example!$G71,'Resource Demand - Activity'!P:P)</f>
        <v>0</v>
      </c>
      <c r="V71" s="35">
        <f>SUMIF('Resource Demand - Activity'!$FT:$FT,Example!$G71,'Resource Demand - Activity'!Q:Q)</f>
        <v>0</v>
      </c>
      <c r="W71" s="35">
        <f>SUMIF('Resource Demand - Activity'!$FT:$FT,Example!$G71,'Resource Demand - Activity'!R:R)</f>
        <v>0</v>
      </c>
      <c r="X71" s="35">
        <f>SUMIF('Resource Demand - Activity'!$FT:$FT,Example!$G71,'Resource Demand - Activity'!S:S)</f>
        <v>0</v>
      </c>
      <c r="Y71" s="35">
        <f>SUMIF('Resource Demand - Activity'!$FT:$FT,Example!$G71,'Resource Demand - Activity'!T:T)</f>
        <v>0</v>
      </c>
      <c r="Z71" s="35">
        <f>SUMIF('Resource Demand - Activity'!$FT:$FT,Example!$G71,'Resource Demand - Activity'!U:U)</f>
        <v>0</v>
      </c>
      <c r="AA71" s="35">
        <f>SUMIF('Resource Demand - Activity'!$FT:$FT,Example!$G71,'Resource Demand - Activity'!V:V)</f>
        <v>0</v>
      </c>
      <c r="AB71" s="35">
        <f>SUMIF('Resource Demand - Activity'!$FT:$FT,Example!$G71,'Resource Demand - Activity'!W:W)</f>
        <v>0</v>
      </c>
      <c r="AC71" s="35">
        <f>SUMIF('Resource Demand - Activity'!$FT:$FT,Example!$G71,'Resource Demand - Activity'!X:X)</f>
        <v>0</v>
      </c>
      <c r="AD71" s="35">
        <f>SUMIF('Resource Demand - Activity'!$FT:$FT,Example!$G71,'Resource Demand - Activity'!Y:Y)</f>
        <v>0</v>
      </c>
      <c r="AE71" s="35">
        <f>SUMIF('Resource Demand - Activity'!$FT:$FT,Example!$G71,'Resource Demand - Activity'!Z:Z)</f>
        <v>0</v>
      </c>
      <c r="AF71" s="35">
        <f>SUMIF('Resource Demand - Activity'!$FT:$FT,Example!$G71,'Resource Demand - Activity'!AA:AA)</f>
        <v>0</v>
      </c>
      <c r="AG71" s="35">
        <f>SUMIF('Resource Demand - Activity'!$FT:$FT,Example!$G71,'Resource Demand - Activity'!AB:AB)</f>
        <v>0</v>
      </c>
      <c r="AH71" s="35">
        <f>SUMIF('Resource Demand - Activity'!$FT:$FT,Example!$G71,'Resource Demand - Activity'!AC:AC)</f>
        <v>0</v>
      </c>
      <c r="AI71" s="35">
        <f>SUMIF('Resource Demand - Activity'!$FT:$FT,Example!$G71,'Resource Demand - Activity'!AD:AD)</f>
        <v>0</v>
      </c>
      <c r="AJ71" s="35">
        <f>SUMIF('Resource Demand - Activity'!$FT:$FT,Example!$G71,'Resource Demand - Activity'!AE:AE)</f>
        <v>0</v>
      </c>
      <c r="AK71" s="35">
        <f>SUMIF('Resource Demand - Activity'!$FT:$FT,Example!$G71,'Resource Demand - Activity'!AF:AF)</f>
        <v>0</v>
      </c>
      <c r="AL71" s="35">
        <f>SUMIF('Resource Demand - Activity'!$FT:$FT,Example!$G71,'Resource Demand - Activity'!AG:AG)</f>
        <v>0</v>
      </c>
      <c r="AM71" s="35">
        <f>SUMIF('Resource Demand - Activity'!$FT:$FT,Example!$G71,'Resource Demand - Activity'!AH:AH)</f>
        <v>0</v>
      </c>
      <c r="AN71" s="35">
        <f>SUMIF('Resource Demand - Activity'!$FT:$FT,Example!$G71,'Resource Demand - Activity'!AI:AI)</f>
        <v>0</v>
      </c>
      <c r="AO71" s="35">
        <f>SUMIF('Resource Demand - Activity'!$FT:$FT,Example!$G71,'Resource Demand - Activity'!AJ:AJ)</f>
        <v>0</v>
      </c>
      <c r="AP71" s="35">
        <f>SUMIF('Resource Demand - Activity'!$FT:$FT,Example!$G71,'Resource Demand - Activity'!AK:AK)</f>
        <v>0</v>
      </c>
      <c r="AQ71" s="36">
        <f>SUMIF('Resource Demand - Activity'!$FT:$FT,Example!$G71,'Resource Demand - Activity'!AL:AL)</f>
        <v>0</v>
      </c>
      <c r="AR71" s="36">
        <f>SUMIF('Resource Demand - Activity'!$FT:$FT,Example!$G71,'Resource Demand - Activity'!AM:AM)</f>
        <v>0</v>
      </c>
      <c r="AS71" s="36">
        <f>SUMIF('Resource Demand - Activity'!$FT:$FT,Example!$G71,'Resource Demand - Activity'!AN:AN)</f>
        <v>0</v>
      </c>
      <c r="AT71" s="36">
        <f>SUMIF('Resource Demand - Activity'!$FT:$FT,Example!$G71,'Resource Demand - Activity'!AO:AO)</f>
        <v>0</v>
      </c>
      <c r="AU71" s="36">
        <f>SUMIF('Resource Demand - Activity'!$FT:$FT,Example!$G71,'Resource Demand - Activity'!AP:AP)</f>
        <v>0</v>
      </c>
      <c r="AV71" s="36">
        <f>SUMIF('Resource Demand - Activity'!$FT:$FT,Example!$G71,'Resource Demand - Activity'!AQ:AQ)</f>
        <v>0</v>
      </c>
      <c r="AW71" s="36">
        <f>SUMIF('Resource Demand - Activity'!$FT:$FT,Example!$G71,'Resource Demand - Activity'!AR:AR)</f>
        <v>0</v>
      </c>
      <c r="AX71" s="35">
        <f>SUMIF('Resource Demand - Activity'!$FT:$FT,Example!$G71,'Resource Demand - Activity'!AS:AS)</f>
        <v>0</v>
      </c>
      <c r="AY71" s="35">
        <f>SUMIF('Resource Demand - Activity'!$FT:$FT,Example!$G71,'Resource Demand - Activity'!AT:AT)</f>
        <v>0</v>
      </c>
      <c r="AZ71" s="35">
        <f>SUMIF('Resource Demand - Activity'!$FT:$FT,Example!$G71,'Resource Demand - Activity'!AU:AU)</f>
        <v>0</v>
      </c>
      <c r="BA71" s="35">
        <f>SUMIF('Resource Demand - Activity'!$FT:$FT,Example!$G71,'Resource Demand - Activity'!AV:AV)</f>
        <v>0</v>
      </c>
      <c r="BB71" s="35">
        <f>SUMIF('Resource Demand - Activity'!$FT:$FT,Example!$G71,'Resource Demand - Activity'!AW:AW)</f>
        <v>0</v>
      </c>
      <c r="BC71" s="35">
        <f>SUMIF('Resource Demand - Activity'!$FT:$FT,Example!$G71,'Resource Demand - Activity'!AX:AX)</f>
        <v>0</v>
      </c>
      <c r="BD71" s="35">
        <f>SUMIF('Resource Demand - Activity'!$FT:$FT,Example!$G71,'Resource Demand - Activity'!AY:AY)</f>
        <v>0</v>
      </c>
      <c r="BE71" s="35">
        <f>SUMIF('Resource Demand - Activity'!$FT:$FT,Example!$G71,'Resource Demand - Activity'!AZ:AZ)</f>
        <v>0</v>
      </c>
      <c r="BF71" s="35">
        <f>SUMIF('Resource Demand - Activity'!$FT:$FT,Example!$G71,'Resource Demand - Activity'!BA:BA)</f>
        <v>0</v>
      </c>
      <c r="BG71" s="35">
        <f>SUMIF('Resource Demand - Activity'!$FT:$FT,Example!$G71,'Resource Demand - Activity'!BB:BB)</f>
        <v>0</v>
      </c>
      <c r="BH71" s="35">
        <f>SUMIF('Resource Demand - Activity'!$FT:$FT,Example!$G71,'Resource Demand - Activity'!BC:BC)</f>
        <v>0</v>
      </c>
      <c r="BI71" s="35">
        <f>SUMIF('Resource Demand - Activity'!$FT:$FT,Example!$G71,'Resource Demand - Activity'!BD:BD)</f>
        <v>0</v>
      </c>
      <c r="BJ71" s="35">
        <f>SUMIF('Resource Demand - Activity'!$FT:$FT,Example!$G71,'Resource Demand - Activity'!BE:BE)</f>
        <v>0</v>
      </c>
      <c r="BK71" s="35">
        <f>SUMIF('Resource Demand - Activity'!$FT:$FT,Example!$G71,'Resource Demand - Activity'!BF:BF)</f>
        <v>0</v>
      </c>
      <c r="BL71" s="35">
        <f>SUMIF('Resource Demand - Activity'!$FT:$FT,Example!$G71,'Resource Demand - Activity'!BG:BG)</f>
        <v>0</v>
      </c>
      <c r="BM71" s="35">
        <f>SUMIF('Resource Demand - Activity'!$FT:$FT,Example!$G71,'Resource Demand - Activity'!BH:BH)</f>
        <v>0</v>
      </c>
      <c r="BN71" s="35">
        <f>SUMIF('Resource Demand - Activity'!$FT:$FT,Example!$G71,'Resource Demand - Activity'!BI:BI)</f>
        <v>0</v>
      </c>
      <c r="BO71" s="35">
        <f>SUMIF('Resource Demand - Activity'!$FT:$FT,Example!$G71,'Resource Demand - Activity'!BJ:BJ)</f>
        <v>0</v>
      </c>
      <c r="BP71" s="35">
        <f>SUMIF('Resource Demand - Activity'!$FT:$FT,Example!$G71,'Resource Demand - Activity'!BK:BK)</f>
        <v>0</v>
      </c>
      <c r="BQ71" s="35">
        <f>SUMIF('Resource Demand - Activity'!$FT:$FT,Example!$G71,'Resource Demand - Activity'!BL:BL)</f>
        <v>0</v>
      </c>
      <c r="BR71" s="35">
        <f>SUMIF('Resource Demand - Activity'!$FT:$FT,Example!$G71,'Resource Demand - Activity'!BM:BM)</f>
        <v>0</v>
      </c>
      <c r="BS71" s="35">
        <f>SUMIF('Resource Demand - Activity'!$FT:$FT,Example!$G71,'Resource Demand - Activity'!BN:BN)</f>
        <v>0</v>
      </c>
      <c r="BT71" s="35">
        <f>SUMIF('Resource Demand - Activity'!$FT:$FT,Example!$G71,'Resource Demand - Activity'!BO:BO)</f>
        <v>0</v>
      </c>
      <c r="BU71" s="35">
        <f>SUMIF('Resource Demand - Activity'!$FT:$FT,Example!$G71,'Resource Demand - Activity'!BP:BP)</f>
        <v>0</v>
      </c>
      <c r="BV71" s="35">
        <f>SUMIF('Resource Demand - Activity'!$FT:$FT,Example!$G71,'Resource Demand - Activity'!BQ:BQ)</f>
        <v>0</v>
      </c>
      <c r="BW71" s="35">
        <f>SUMIF('Resource Demand - Activity'!$FT:$FT,Example!$G71,'Resource Demand - Activity'!BR:BR)</f>
        <v>0</v>
      </c>
      <c r="BX71" s="35">
        <f>SUMIF('Resource Demand - Activity'!$FT:$FT,Example!$G71,'Resource Demand - Activity'!BS:BS)</f>
        <v>0</v>
      </c>
      <c r="BY71" s="35">
        <f>SUMIF('Resource Demand - Activity'!$FT:$FT,Example!$G71,'Resource Demand - Activity'!BT:BT)</f>
        <v>0</v>
      </c>
      <c r="BZ71" s="35">
        <f>SUMIF('Resource Demand - Activity'!$FT:$FT,Example!$G71,'Resource Demand - Activity'!BU:BU)</f>
        <v>0</v>
      </c>
      <c r="CA71" s="35">
        <f>SUMIF('Resource Demand - Activity'!$FT:$FT,Example!$G71,'Resource Demand - Activity'!BV:BV)</f>
        <v>0</v>
      </c>
      <c r="CB71" s="35">
        <f>SUMIF('Resource Demand - Activity'!$FT:$FT,Example!$G71,'Resource Demand - Activity'!BW:BW)</f>
        <v>0</v>
      </c>
      <c r="CC71" s="35">
        <f>SUMIF('Resource Demand - Activity'!$FT:$FT,Example!$G71,'Resource Demand - Activity'!BX:BX)</f>
        <v>0</v>
      </c>
      <c r="CD71" s="35">
        <f>SUMIF('Resource Demand - Activity'!$FT:$FT,Example!$G71,'Resource Demand - Activity'!BY:BY)</f>
        <v>0</v>
      </c>
      <c r="CE71" s="35">
        <f>SUMIF('Resource Demand - Activity'!$FT:$FT,Example!$G71,'Resource Demand - Activity'!BZ:BZ)</f>
        <v>0</v>
      </c>
      <c r="CF71" s="35">
        <f>SUMIF('Resource Demand - Activity'!$FT:$FT,Example!$G71,'Resource Demand - Activity'!CA:CA)</f>
        <v>0</v>
      </c>
      <c r="CG71" s="35">
        <f>SUMIF('Resource Demand - Activity'!$FT:$FT,Example!$G71,'Resource Demand - Activity'!CB:CB)</f>
        <v>0</v>
      </c>
      <c r="CH71" s="35">
        <f>SUMIF('Resource Demand - Activity'!$FT:$FT,Example!$G71,'Resource Demand - Activity'!CC:CC)</f>
        <v>0</v>
      </c>
      <c r="CI71" s="35">
        <f>SUMIF('Resource Demand - Activity'!$FT:$FT,Example!$G71,'Resource Demand - Activity'!CD:CD)</f>
        <v>0</v>
      </c>
      <c r="CJ71" s="35">
        <f>SUMIF('Resource Demand - Activity'!$FT:$FT,Example!$G71,'Resource Demand - Activity'!CE:CE)</f>
        <v>0</v>
      </c>
      <c r="CK71" s="35">
        <f>SUMIF('Resource Demand - Activity'!$FT:$FT,Example!$G71,'Resource Demand - Activity'!CF:CF)</f>
        <v>0</v>
      </c>
      <c r="CL71" s="35">
        <f>SUMIF('Resource Demand - Activity'!$FT:$FT,Example!$G71,'Resource Demand - Activity'!CG:CG)</f>
        <v>0</v>
      </c>
      <c r="CM71" s="35">
        <f>SUMIF('Resource Demand - Activity'!$FT:$FT,Example!$G71,'Resource Demand - Activity'!CH:CH)</f>
        <v>0</v>
      </c>
      <c r="CN71" s="35">
        <f>SUMIF('Resource Demand - Activity'!$FT:$FT,Example!$G71,'Resource Demand - Activity'!CI:CI)</f>
        <v>0</v>
      </c>
      <c r="CO71" s="35">
        <f>SUMIF('Resource Demand - Activity'!$FT:$FT,Example!$G71,'Resource Demand - Activity'!CJ:CJ)</f>
        <v>0</v>
      </c>
      <c r="CP71" s="35">
        <f>SUMIF('Resource Demand - Activity'!$FT:$FT,Example!$G71,'Resource Demand - Activity'!CK:CK)</f>
        <v>0</v>
      </c>
      <c r="CQ71" s="35">
        <f>SUMIF('Resource Demand - Activity'!$FT:$FT,Example!$G71,'Resource Demand - Activity'!CL:CL)</f>
        <v>0</v>
      </c>
      <c r="CR71" s="35">
        <f>SUMIF('Resource Demand - Activity'!$FT:$FT,Example!$G71,'Resource Demand - Activity'!CM:CM)</f>
        <v>0</v>
      </c>
      <c r="CS71" s="35">
        <f>SUMIF('Resource Demand - Activity'!$FT:$FT,Example!$G71,'Resource Demand - Activity'!CN:CN)</f>
        <v>0</v>
      </c>
      <c r="CT71" s="35">
        <f>SUMIF('Resource Demand - Activity'!$FT:$FT,Example!$G71,'Resource Demand - Activity'!CO:CO)</f>
        <v>0</v>
      </c>
      <c r="CU71" s="35">
        <f>SUMIF('Resource Demand - Activity'!$FT:$FT,Example!$G71,'Resource Demand - Activity'!CP:CP)</f>
        <v>0</v>
      </c>
      <c r="CV71" s="35">
        <f>SUMIF('Resource Demand - Activity'!$FT:$FT,Example!$G71,'Resource Demand - Activity'!CQ:CQ)</f>
        <v>0</v>
      </c>
      <c r="CW71" s="35">
        <f>SUMIF('Resource Demand - Activity'!$FT:$FT,Example!$G71,'Resource Demand - Activity'!CR:CR)</f>
        <v>0</v>
      </c>
      <c r="CX71" s="35">
        <f>SUMIF('Resource Demand - Activity'!$FT:$FT,Example!$G71,'Resource Demand - Activity'!CS:CS)</f>
        <v>0</v>
      </c>
      <c r="CY71" s="36">
        <f>SUMIF('Resource Demand - Activity'!$FT:$FT,Example!$G71,'Resource Demand - Activity'!CT:CT)</f>
        <v>0</v>
      </c>
      <c r="CZ71" s="35">
        <f>SUMIF('Resource Demand - Activity'!$FT:$FT,Example!$G71,'Resource Demand - Activity'!CU:CU)</f>
        <v>0</v>
      </c>
      <c r="DA71" s="35">
        <f>SUMIF('Resource Demand - Activity'!$FT:$FT,Example!$G71,'Resource Demand - Activity'!CV:CV)</f>
        <v>0</v>
      </c>
      <c r="DB71" s="35">
        <f>SUMIF('Resource Demand - Activity'!$FT:$FT,Example!$G71,'Resource Demand - Activity'!CW:CW)</f>
        <v>0</v>
      </c>
      <c r="DC71" s="35">
        <f>SUMIF('Resource Demand - Activity'!$FT:$FT,Example!$G71,'Resource Demand - Activity'!CX:CX)</f>
        <v>0</v>
      </c>
      <c r="DD71" s="35">
        <f>SUMIF('Resource Demand - Activity'!$FT:$FT,Example!$G71,'Resource Demand - Activity'!CY:CY)</f>
        <v>0</v>
      </c>
      <c r="DE71" s="36">
        <f>SUMIF('Resource Demand - Activity'!$FT:$FT,Example!$G71,'Resource Demand - Activity'!CZ:CZ)</f>
        <v>0</v>
      </c>
      <c r="DF71" s="36">
        <f>SUMIF('Resource Demand - Activity'!$FT:$FT,Example!$G71,'Resource Demand - Activity'!DA:DA)</f>
        <v>0</v>
      </c>
      <c r="DG71" s="35">
        <f>SUMIF('Resource Demand - Activity'!$FT:$FT,Example!$G71,'Resource Demand - Activity'!DB:DB)</f>
        <v>0</v>
      </c>
      <c r="DH71" s="35">
        <f>SUMIF('Resource Demand - Activity'!$FT:$FT,Example!$G71,'Resource Demand - Activity'!DC:DC)</f>
        <v>0</v>
      </c>
      <c r="DI71" s="35">
        <f>SUMIF('Resource Demand - Activity'!$FT:$FT,Example!$G71,'Resource Demand - Activity'!DD:DD)</f>
        <v>0</v>
      </c>
      <c r="DJ71" s="35">
        <f>SUMIF('Resource Demand - Activity'!$FT:$FT,Example!$G71,'Resource Demand - Activity'!DE:DE)</f>
        <v>0</v>
      </c>
      <c r="DK71" s="35">
        <f>SUMIF('Resource Demand - Activity'!$FT:$FT,Example!$G71,'Resource Demand - Activity'!DF:DF)</f>
        <v>0</v>
      </c>
      <c r="DL71" s="35">
        <f>SUMIF('Resource Demand - Activity'!$FT:$FT,Example!$G71,'Resource Demand - Activity'!DG:DG)</f>
        <v>0</v>
      </c>
      <c r="DM71" s="35">
        <f>SUMIF('Resource Demand - Activity'!$FT:$FT,Example!$G71,'Resource Demand - Activity'!DH:DH)</f>
        <v>0</v>
      </c>
      <c r="DN71" s="35">
        <f>SUMIF('Resource Demand - Activity'!$FT:$FT,Example!$G71,'Resource Demand - Activity'!DI:DI)</f>
        <v>0</v>
      </c>
      <c r="DO71" s="35">
        <f>SUMIF('Resource Demand - Activity'!$FT:$FT,Example!$G71,'Resource Demand - Activity'!DJ:DJ)</f>
        <v>0</v>
      </c>
      <c r="DP71" s="35">
        <f>SUMIF('Resource Demand - Activity'!$FT:$FT,Example!$G71,'Resource Demand - Activity'!DK:DK)</f>
        <v>0</v>
      </c>
      <c r="DQ71" s="35">
        <f>SUMIF('Resource Demand - Activity'!$FT:$FT,Example!$G71,'Resource Demand - Activity'!DL:DL)</f>
        <v>0</v>
      </c>
      <c r="DR71" s="35">
        <f>SUMIF('Resource Demand - Activity'!$FT:$FT,Example!$G71,'Resource Demand - Activity'!DM:DM)</f>
        <v>0</v>
      </c>
      <c r="DS71" s="35">
        <f>SUMIF('Resource Demand - Activity'!$FT:$FT,Example!$G71,'Resource Demand - Activity'!DN:DN)</f>
        <v>0</v>
      </c>
      <c r="DT71" s="35">
        <f>SUMIF('Resource Demand - Activity'!$FT:$FT,Example!$G71,'Resource Demand - Activity'!DO:DO)</f>
        <v>0</v>
      </c>
      <c r="DU71" s="35">
        <f>SUMIF('Resource Demand - Activity'!$FT:$FT,Example!$G71,'Resource Demand - Activity'!DP:DP)</f>
        <v>0</v>
      </c>
      <c r="DV71" s="35">
        <f>SUMIF('Resource Demand - Activity'!$FT:$FT,Example!$G71,'Resource Demand - Activity'!DQ:DQ)</f>
        <v>0</v>
      </c>
      <c r="DW71" s="35">
        <f>SUMIF('Resource Demand - Activity'!$FT:$FT,Example!$G71,'Resource Demand - Activity'!DR:DR)</f>
        <v>0</v>
      </c>
      <c r="DX71" s="35">
        <f>SUMIF('Resource Demand - Activity'!$FT:$FT,Example!$G71,'Resource Demand - Activity'!DS:DS)</f>
        <v>0</v>
      </c>
      <c r="DY71" s="35">
        <f>SUMIF('Resource Demand - Activity'!$FT:$FT,Example!$G71,'Resource Demand - Activity'!DT:DT)</f>
        <v>0</v>
      </c>
      <c r="DZ71" s="35">
        <f>SUMIF('Resource Demand - Activity'!$FT:$FT,Example!$G71,'Resource Demand - Activity'!DU:DU)</f>
        <v>0</v>
      </c>
      <c r="EA71" s="35">
        <f>SUMIF('Resource Demand - Activity'!$FT:$FT,Example!$G71,'Resource Demand - Activity'!DV:DV)</f>
        <v>0</v>
      </c>
      <c r="EB71" s="35">
        <f>SUMIF('Resource Demand - Activity'!$FT:$FT,Example!$G71,'Resource Demand - Activity'!DW:DW)</f>
        <v>0</v>
      </c>
      <c r="EC71" s="35">
        <f>SUMIF('Resource Demand - Activity'!$FT:$FT,Example!$G71,'Resource Demand - Activity'!DX:DX)</f>
        <v>0</v>
      </c>
      <c r="ED71" s="35">
        <f>SUMIF('Resource Demand - Activity'!$FT:$FT,Example!$G71,'Resource Demand - Activity'!DY:DY)</f>
        <v>0</v>
      </c>
      <c r="EE71" s="36">
        <f>SUMIF('Resource Demand - Activity'!$FT:$FT,Example!$G71,'Resource Demand - Activity'!DZ:DZ)</f>
        <v>0</v>
      </c>
      <c r="EF71" s="35">
        <f>SUMIF('Resource Demand - Activity'!$FT:$FT,Example!$G71,'Resource Demand - Activity'!EA:EA)</f>
        <v>0</v>
      </c>
      <c r="EG71" s="35">
        <f>SUMIF('Resource Demand - Activity'!$FT:$FT,Example!$G71,'Resource Demand - Activity'!EB:EB)</f>
        <v>0</v>
      </c>
      <c r="EH71" s="35">
        <f>SUMIF('Resource Demand - Activity'!$FT:$FT,Example!$G71,'Resource Demand - Activity'!EC:EC)</f>
        <v>0</v>
      </c>
      <c r="EI71" s="35">
        <f>SUMIF('Resource Demand - Activity'!$FT:$FT,Example!$G71,'Resource Demand - Activity'!ED:ED)</f>
        <v>0</v>
      </c>
      <c r="EJ71" s="35">
        <f>SUMIF('Resource Demand - Activity'!$FT:$FT,Example!$G71,'Resource Demand - Activity'!EE:EE)</f>
        <v>0</v>
      </c>
      <c r="EK71" s="35">
        <f>SUMIF('Resource Demand - Activity'!$FT:$FT,Example!$G71,'Resource Demand - Activity'!EF:EF)</f>
        <v>0</v>
      </c>
      <c r="EL71" s="35">
        <f>SUMIF('Resource Demand - Activity'!$FT:$FT,Example!$G71,'Resource Demand - Activity'!EG:EG)</f>
        <v>0</v>
      </c>
      <c r="EM71" s="35">
        <f>SUMIF('Resource Demand - Activity'!$FT:$FT,Example!$G71,'Resource Demand - Activity'!EH:EH)</f>
        <v>0</v>
      </c>
      <c r="EN71" s="35">
        <f>SUMIF('Resource Demand - Activity'!$FT:$FT,Example!$G71,'Resource Demand - Activity'!EI:EI)</f>
        <v>0</v>
      </c>
      <c r="EO71" s="35">
        <f>SUMIF('Resource Demand - Activity'!$FT:$FT,Example!$G71,'Resource Demand - Activity'!EJ:EJ)</f>
        <v>0</v>
      </c>
      <c r="EP71" s="35">
        <f>SUMIF('Resource Demand - Activity'!$FT:$FT,Example!$G71,'Resource Demand - Activity'!EK:EK)</f>
        <v>1</v>
      </c>
      <c r="EQ71" s="35">
        <f>SUMIF('Resource Demand - Activity'!$FT:$FT,Example!$G71,'Resource Demand - Activity'!EL:EL)</f>
        <v>1</v>
      </c>
      <c r="ER71" s="35">
        <f>SUMIF('Resource Demand - Activity'!$FT:$FT,Example!$G71,'Resource Demand - Activity'!EM:EM)</f>
        <v>1</v>
      </c>
      <c r="ES71" s="35">
        <f>SUMIF('Resource Demand - Activity'!$FT:$FT,Example!$G71,'Resource Demand - Activity'!EN:EN)</f>
        <v>1</v>
      </c>
      <c r="ET71" s="35">
        <f>SUMIF('Resource Demand - Activity'!$FT:$FT,Example!$G71,'Resource Demand - Activity'!EO:EO)</f>
        <v>1</v>
      </c>
      <c r="EU71" s="35">
        <f>SUMIF('Resource Demand - Activity'!$FT:$FT,Example!$G71,'Resource Demand - Activity'!EP:EP)</f>
        <v>1</v>
      </c>
      <c r="EV71" s="35">
        <f>SUMIF('Resource Demand - Activity'!$FT:$FT,Example!$G71,'Resource Demand - Activity'!EQ:EQ)</f>
        <v>1</v>
      </c>
      <c r="EW71" s="35">
        <f>SUMIF('Resource Demand - Activity'!$FT:$FT,Example!$G71,'Resource Demand - Activity'!ER:ER)</f>
        <v>0</v>
      </c>
      <c r="EX71" s="35">
        <f>SUMIF('Resource Demand - Activity'!$FT:$FT,Example!$G71,'Resource Demand - Activity'!ES:ES)</f>
        <v>0</v>
      </c>
      <c r="EY71" s="35">
        <f>SUMIF('Resource Demand - Activity'!$FT:$FT,Example!$G71,'Resource Demand - Activity'!ET:ET)</f>
        <v>0</v>
      </c>
      <c r="EZ71" s="35">
        <f>SUMIF('Resource Demand - Activity'!$FT:$FT,Example!$G71,'Resource Demand - Activity'!EU:EU)</f>
        <v>0</v>
      </c>
      <c r="FA71" s="35">
        <f>SUMIF('Resource Demand - Activity'!$FT:$FT,Example!$G71,'Resource Demand - Activity'!EV:EV)</f>
        <v>0</v>
      </c>
      <c r="FB71" s="35">
        <f>SUMIF('Resource Demand - Activity'!$FT:$FT,Example!$G71,'Resource Demand - Activity'!EW:EW)</f>
        <v>0</v>
      </c>
      <c r="FC71" s="35">
        <f>SUMIF('Resource Demand - Activity'!$FT:$FT,Example!$G71,'Resource Demand - Activity'!EX:EX)</f>
        <v>0</v>
      </c>
      <c r="FD71" s="36">
        <f>SUMIF('Resource Demand - Activity'!$FT:$FT,Example!$G71,'Resource Demand - Activity'!EY:EY)</f>
        <v>0</v>
      </c>
      <c r="FE71" s="35">
        <f>SUMIF('Resource Demand - Activity'!$FT:$FT,Example!$G71,'Resource Demand - Activity'!EZ:EZ)</f>
        <v>0</v>
      </c>
      <c r="FF71" s="35">
        <f>SUMIF('Resource Demand - Activity'!$FT:$FT,Example!$G71,'Resource Demand - Activity'!FA:FA)</f>
        <v>0</v>
      </c>
      <c r="FG71" s="35">
        <f>SUMIF('Resource Demand - Activity'!$FT:$FT,Example!$G71,'Resource Demand - Activity'!FB:FB)</f>
        <v>0</v>
      </c>
      <c r="FH71" s="35">
        <f>SUMIF('Resource Demand - Activity'!$FT:$FT,Example!$G71,'Resource Demand - Activity'!FC:FC)</f>
        <v>0</v>
      </c>
      <c r="FI71" s="35">
        <f>SUMIF('Resource Demand - Activity'!$FT:$FT,Example!$G71,'Resource Demand - Activity'!FD:FD)</f>
        <v>0</v>
      </c>
      <c r="FJ71" s="35">
        <f>SUMIF('Resource Demand - Activity'!$FT:$FT,Example!$G71,'Resource Demand - Activity'!FE:FE)</f>
        <v>0</v>
      </c>
      <c r="FK71" s="35">
        <f>SUMIF('Resource Demand - Activity'!$FT:$FT,Example!$G71,'Resource Demand - Activity'!FF:FF)</f>
        <v>0</v>
      </c>
      <c r="FL71" s="35">
        <f>SUMIF('Resource Demand - Activity'!$FT:$FT,Example!$G71,'Resource Demand - Activity'!FG:FG)</f>
        <v>0</v>
      </c>
      <c r="FM71" s="35">
        <f>SUMIF('Resource Demand - Activity'!$FT:$FT,Example!$G71,'Resource Demand - Activity'!FH:FH)</f>
        <v>0</v>
      </c>
      <c r="FN71" s="35">
        <f>SUMIF('Resource Demand - Activity'!$FT:$FT,Example!$G71,'Resource Demand - Activity'!FI:FI)</f>
        <v>0</v>
      </c>
      <c r="FO71" s="35">
        <f>SUMIF('Resource Demand - Activity'!$FT:$FT,Example!$G71,'Resource Demand - Activity'!FJ:FJ)</f>
        <v>0</v>
      </c>
      <c r="FP71" s="35">
        <f>SUMIF('Resource Demand - Activity'!$FT:$FT,Example!$G71,'Resource Demand - Activity'!FK:FK)</f>
        <v>0</v>
      </c>
      <c r="FQ71" s="35">
        <f>SUMIF('Resource Demand - Activity'!$FT:$FT,Example!$G71,'Resource Demand - Activity'!FL:FL)</f>
        <v>0</v>
      </c>
      <c r="FR71" s="35">
        <f>SUMIF('Resource Demand - Activity'!$FT:$FT,Example!$G71,'Resource Demand - Activity'!FM:FM)</f>
        <v>0</v>
      </c>
      <c r="FS71" s="35">
        <f>SUMIF('Resource Demand - Activity'!$FT:$FT,Example!$G71,'Resource Demand - Activity'!FN:FN)</f>
        <v>0</v>
      </c>
      <c r="FT71" s="35">
        <f>SUMIF('Resource Demand - Activity'!$FT:$FT,Example!$G71,'Resource Demand - Activity'!FO:FO)</f>
        <v>0</v>
      </c>
      <c r="FU71" s="35">
        <f>SUMIF('Resource Demand - Activity'!$FT:$FT,Example!$G71,'Resource Demand - Activity'!FP:FP)</f>
        <v>0</v>
      </c>
      <c r="FV71" s="52">
        <f>SUMIF('Resource Demand - Activity'!$FT:$FT,Example!$G71,'Resource Demand - Activity'!FQ:FQ)</f>
        <v>0</v>
      </c>
    </row>
    <row r="72" spans="2:178" s="63" customFormat="1" ht="12" customHeight="1">
      <c r="B72" s="1"/>
      <c r="G72" s="64" t="str">
        <f t="shared" si="11"/>
        <v>10. BAU Transition 10.5 Annual Process DocumentationJunior Accountant</v>
      </c>
      <c r="H72" s="59" t="s">
        <v>156</v>
      </c>
      <c r="I72" s="59" t="str">
        <f>INDEX('Resource Demand - Activity'!C:C,MATCH(Example!G72,'Resource Demand - Activity'!FT:FT,0))</f>
        <v>0 days</v>
      </c>
      <c r="J72" s="51">
        <f>SUMIF('Resource Demand - Activity'!$FT:$FT,Example!$G72,'Resource Demand - Activity'!E:E)</f>
        <v>0</v>
      </c>
      <c r="K72" s="35">
        <f>SUMIF('Resource Demand - Activity'!$FT:$FT,Example!$G72,'Resource Demand - Activity'!F:F)</f>
        <v>0</v>
      </c>
      <c r="L72" s="35">
        <f>SUMIF('Resource Demand - Activity'!$FT:$FT,Example!$G72,'Resource Demand - Activity'!G:G)</f>
        <v>0</v>
      </c>
      <c r="M72" s="35">
        <f>SUMIF('Resource Demand - Activity'!$FT:$FT,Example!$G72,'Resource Demand - Activity'!H:H)</f>
        <v>0</v>
      </c>
      <c r="N72" s="35">
        <f>SUMIF('Resource Demand - Activity'!$FT:$FT,Example!$G72,'Resource Demand - Activity'!I:I)</f>
        <v>0</v>
      </c>
      <c r="O72" s="35">
        <f>SUMIF('Resource Demand - Activity'!$FT:$FT,Example!$G72,'Resource Demand - Activity'!J:J)</f>
        <v>0</v>
      </c>
      <c r="P72" s="35">
        <f>SUMIF('Resource Demand - Activity'!$FT:$FT,Example!$G72,'Resource Demand - Activity'!K:K)</f>
        <v>0</v>
      </c>
      <c r="Q72" s="35">
        <f>SUMIF('Resource Demand - Activity'!$FT:$FT,Example!$G72,'Resource Demand - Activity'!L:L)</f>
        <v>0</v>
      </c>
      <c r="R72" s="35">
        <f>SUMIF('Resource Demand - Activity'!$FT:$FT,Example!$G72,'Resource Demand - Activity'!M:M)</f>
        <v>0</v>
      </c>
      <c r="S72" s="35">
        <f>SUMIF('Resource Demand - Activity'!$FT:$FT,Example!$G72,'Resource Demand - Activity'!N:N)</f>
        <v>0</v>
      </c>
      <c r="T72" s="35">
        <f>SUMIF('Resource Demand - Activity'!$FT:$FT,Example!$G72,'Resource Demand - Activity'!O:O)</f>
        <v>0</v>
      </c>
      <c r="U72" s="35">
        <f>SUMIF('Resource Demand - Activity'!$FT:$FT,Example!$G72,'Resource Demand - Activity'!P:P)</f>
        <v>0</v>
      </c>
      <c r="V72" s="35">
        <f>SUMIF('Resource Demand - Activity'!$FT:$FT,Example!$G72,'Resource Demand - Activity'!Q:Q)</f>
        <v>0</v>
      </c>
      <c r="W72" s="35">
        <f>SUMIF('Resource Demand - Activity'!$FT:$FT,Example!$G72,'Resource Demand - Activity'!R:R)</f>
        <v>0</v>
      </c>
      <c r="X72" s="35">
        <f>SUMIF('Resource Demand - Activity'!$FT:$FT,Example!$G72,'Resource Demand - Activity'!S:S)</f>
        <v>0</v>
      </c>
      <c r="Y72" s="35">
        <f>SUMIF('Resource Demand - Activity'!$FT:$FT,Example!$G72,'Resource Demand - Activity'!T:T)</f>
        <v>0</v>
      </c>
      <c r="Z72" s="35">
        <f>SUMIF('Resource Demand - Activity'!$FT:$FT,Example!$G72,'Resource Demand - Activity'!U:U)</f>
        <v>0</v>
      </c>
      <c r="AA72" s="35">
        <f>SUMIF('Resource Demand - Activity'!$FT:$FT,Example!$G72,'Resource Demand - Activity'!V:V)</f>
        <v>0</v>
      </c>
      <c r="AB72" s="35">
        <f>SUMIF('Resource Demand - Activity'!$FT:$FT,Example!$G72,'Resource Demand - Activity'!W:W)</f>
        <v>0</v>
      </c>
      <c r="AC72" s="35">
        <f>SUMIF('Resource Demand - Activity'!$FT:$FT,Example!$G72,'Resource Demand - Activity'!X:X)</f>
        <v>0</v>
      </c>
      <c r="AD72" s="35">
        <f>SUMIF('Resource Demand - Activity'!$FT:$FT,Example!$G72,'Resource Demand - Activity'!Y:Y)</f>
        <v>0</v>
      </c>
      <c r="AE72" s="35">
        <f>SUMIF('Resource Demand - Activity'!$FT:$FT,Example!$G72,'Resource Demand - Activity'!Z:Z)</f>
        <v>0</v>
      </c>
      <c r="AF72" s="35">
        <f>SUMIF('Resource Demand - Activity'!$FT:$FT,Example!$G72,'Resource Demand - Activity'!AA:AA)</f>
        <v>0</v>
      </c>
      <c r="AG72" s="35">
        <f>SUMIF('Resource Demand - Activity'!$FT:$FT,Example!$G72,'Resource Demand - Activity'!AB:AB)</f>
        <v>0</v>
      </c>
      <c r="AH72" s="35">
        <f>SUMIF('Resource Demand - Activity'!$FT:$FT,Example!$G72,'Resource Demand - Activity'!AC:AC)</f>
        <v>0</v>
      </c>
      <c r="AI72" s="35">
        <f>SUMIF('Resource Demand - Activity'!$FT:$FT,Example!$G72,'Resource Demand - Activity'!AD:AD)</f>
        <v>0</v>
      </c>
      <c r="AJ72" s="35">
        <f>SUMIF('Resource Demand - Activity'!$FT:$FT,Example!$G72,'Resource Demand - Activity'!AE:AE)</f>
        <v>0</v>
      </c>
      <c r="AK72" s="35">
        <f>SUMIF('Resource Demand - Activity'!$FT:$FT,Example!$G72,'Resource Demand - Activity'!AF:AF)</f>
        <v>0</v>
      </c>
      <c r="AL72" s="35">
        <f>SUMIF('Resource Demand - Activity'!$FT:$FT,Example!$G72,'Resource Demand - Activity'!AG:AG)</f>
        <v>0</v>
      </c>
      <c r="AM72" s="35">
        <f>SUMIF('Resource Demand - Activity'!$FT:$FT,Example!$G72,'Resource Demand - Activity'!AH:AH)</f>
        <v>0</v>
      </c>
      <c r="AN72" s="35">
        <f>SUMIF('Resource Demand - Activity'!$FT:$FT,Example!$G72,'Resource Demand - Activity'!AI:AI)</f>
        <v>0</v>
      </c>
      <c r="AO72" s="35">
        <f>SUMIF('Resource Demand - Activity'!$FT:$FT,Example!$G72,'Resource Demand - Activity'!AJ:AJ)</f>
        <v>0</v>
      </c>
      <c r="AP72" s="35">
        <f>SUMIF('Resource Demand - Activity'!$FT:$FT,Example!$G72,'Resource Demand - Activity'!AK:AK)</f>
        <v>0</v>
      </c>
      <c r="AQ72" s="36">
        <f>SUMIF('Resource Demand - Activity'!$FT:$FT,Example!$G72,'Resource Demand - Activity'!AL:AL)</f>
        <v>0</v>
      </c>
      <c r="AR72" s="36">
        <f>SUMIF('Resource Demand - Activity'!$FT:$FT,Example!$G72,'Resource Demand - Activity'!AM:AM)</f>
        <v>0</v>
      </c>
      <c r="AS72" s="36">
        <f>SUMIF('Resource Demand - Activity'!$FT:$FT,Example!$G72,'Resource Demand - Activity'!AN:AN)</f>
        <v>0</v>
      </c>
      <c r="AT72" s="36">
        <f>SUMIF('Resource Demand - Activity'!$FT:$FT,Example!$G72,'Resource Demand - Activity'!AO:AO)</f>
        <v>0</v>
      </c>
      <c r="AU72" s="36">
        <f>SUMIF('Resource Demand - Activity'!$FT:$FT,Example!$G72,'Resource Demand - Activity'!AP:AP)</f>
        <v>0</v>
      </c>
      <c r="AV72" s="36">
        <f>SUMIF('Resource Demand - Activity'!$FT:$FT,Example!$G72,'Resource Demand - Activity'!AQ:AQ)</f>
        <v>0</v>
      </c>
      <c r="AW72" s="36">
        <f>SUMIF('Resource Demand - Activity'!$FT:$FT,Example!$G72,'Resource Demand - Activity'!AR:AR)</f>
        <v>0</v>
      </c>
      <c r="AX72" s="35">
        <f>SUMIF('Resource Demand - Activity'!$FT:$FT,Example!$G72,'Resource Demand - Activity'!AS:AS)</f>
        <v>0</v>
      </c>
      <c r="AY72" s="35">
        <f>SUMIF('Resource Demand - Activity'!$FT:$FT,Example!$G72,'Resource Demand - Activity'!AT:AT)</f>
        <v>0</v>
      </c>
      <c r="AZ72" s="35">
        <f>SUMIF('Resource Demand - Activity'!$FT:$FT,Example!$G72,'Resource Demand - Activity'!AU:AU)</f>
        <v>0</v>
      </c>
      <c r="BA72" s="35">
        <f>SUMIF('Resource Demand - Activity'!$FT:$FT,Example!$G72,'Resource Demand - Activity'!AV:AV)</f>
        <v>0</v>
      </c>
      <c r="BB72" s="35">
        <f>SUMIF('Resource Demand - Activity'!$FT:$FT,Example!$G72,'Resource Demand - Activity'!AW:AW)</f>
        <v>0</v>
      </c>
      <c r="BC72" s="35">
        <f>SUMIF('Resource Demand - Activity'!$FT:$FT,Example!$G72,'Resource Demand - Activity'!AX:AX)</f>
        <v>0</v>
      </c>
      <c r="BD72" s="35">
        <f>SUMIF('Resource Demand - Activity'!$FT:$FT,Example!$G72,'Resource Demand - Activity'!AY:AY)</f>
        <v>0</v>
      </c>
      <c r="BE72" s="35">
        <f>SUMIF('Resource Demand - Activity'!$FT:$FT,Example!$G72,'Resource Demand - Activity'!AZ:AZ)</f>
        <v>0</v>
      </c>
      <c r="BF72" s="35">
        <f>SUMIF('Resource Demand - Activity'!$FT:$FT,Example!$G72,'Resource Demand - Activity'!BA:BA)</f>
        <v>0</v>
      </c>
      <c r="BG72" s="35">
        <f>SUMIF('Resource Demand - Activity'!$FT:$FT,Example!$G72,'Resource Demand - Activity'!BB:BB)</f>
        <v>0</v>
      </c>
      <c r="BH72" s="35">
        <f>SUMIF('Resource Demand - Activity'!$FT:$FT,Example!$G72,'Resource Demand - Activity'!BC:BC)</f>
        <v>0</v>
      </c>
      <c r="BI72" s="35">
        <f>SUMIF('Resource Demand - Activity'!$FT:$FT,Example!$G72,'Resource Demand - Activity'!BD:BD)</f>
        <v>0</v>
      </c>
      <c r="BJ72" s="35">
        <f>SUMIF('Resource Demand - Activity'!$FT:$FT,Example!$G72,'Resource Demand - Activity'!BE:BE)</f>
        <v>0</v>
      </c>
      <c r="BK72" s="35">
        <f>SUMIF('Resource Demand - Activity'!$FT:$FT,Example!$G72,'Resource Demand - Activity'!BF:BF)</f>
        <v>0</v>
      </c>
      <c r="BL72" s="35">
        <f>SUMIF('Resource Demand - Activity'!$FT:$FT,Example!$G72,'Resource Demand - Activity'!BG:BG)</f>
        <v>0</v>
      </c>
      <c r="BM72" s="35">
        <f>SUMIF('Resource Demand - Activity'!$FT:$FT,Example!$G72,'Resource Demand - Activity'!BH:BH)</f>
        <v>0</v>
      </c>
      <c r="BN72" s="35">
        <f>SUMIF('Resource Demand - Activity'!$FT:$FT,Example!$G72,'Resource Demand - Activity'!BI:BI)</f>
        <v>0</v>
      </c>
      <c r="BO72" s="35">
        <f>SUMIF('Resource Demand - Activity'!$FT:$FT,Example!$G72,'Resource Demand - Activity'!BJ:BJ)</f>
        <v>0</v>
      </c>
      <c r="BP72" s="35">
        <f>SUMIF('Resource Demand - Activity'!$FT:$FT,Example!$G72,'Resource Demand - Activity'!BK:BK)</f>
        <v>0</v>
      </c>
      <c r="BQ72" s="35">
        <f>SUMIF('Resource Demand - Activity'!$FT:$FT,Example!$G72,'Resource Demand - Activity'!BL:BL)</f>
        <v>0</v>
      </c>
      <c r="BR72" s="35">
        <f>SUMIF('Resource Demand - Activity'!$FT:$FT,Example!$G72,'Resource Demand - Activity'!BM:BM)</f>
        <v>0</v>
      </c>
      <c r="BS72" s="35">
        <f>SUMIF('Resource Demand - Activity'!$FT:$FT,Example!$G72,'Resource Demand - Activity'!BN:BN)</f>
        <v>0</v>
      </c>
      <c r="BT72" s="35">
        <f>SUMIF('Resource Demand - Activity'!$FT:$FT,Example!$G72,'Resource Demand - Activity'!BO:BO)</f>
        <v>0</v>
      </c>
      <c r="BU72" s="35">
        <f>SUMIF('Resource Demand - Activity'!$FT:$FT,Example!$G72,'Resource Demand - Activity'!BP:BP)</f>
        <v>0</v>
      </c>
      <c r="BV72" s="35">
        <f>SUMIF('Resource Demand - Activity'!$FT:$FT,Example!$G72,'Resource Demand - Activity'!BQ:BQ)</f>
        <v>0</v>
      </c>
      <c r="BW72" s="35">
        <f>SUMIF('Resource Demand - Activity'!$FT:$FT,Example!$G72,'Resource Demand - Activity'!BR:BR)</f>
        <v>0</v>
      </c>
      <c r="BX72" s="35">
        <f>SUMIF('Resource Demand - Activity'!$FT:$FT,Example!$G72,'Resource Demand - Activity'!BS:BS)</f>
        <v>0</v>
      </c>
      <c r="BY72" s="35">
        <f>SUMIF('Resource Demand - Activity'!$FT:$FT,Example!$G72,'Resource Demand - Activity'!BT:BT)</f>
        <v>0</v>
      </c>
      <c r="BZ72" s="35">
        <f>SUMIF('Resource Demand - Activity'!$FT:$FT,Example!$G72,'Resource Demand - Activity'!BU:BU)</f>
        <v>0</v>
      </c>
      <c r="CA72" s="35">
        <f>SUMIF('Resource Demand - Activity'!$FT:$FT,Example!$G72,'Resource Demand - Activity'!BV:BV)</f>
        <v>0</v>
      </c>
      <c r="CB72" s="35">
        <f>SUMIF('Resource Demand - Activity'!$FT:$FT,Example!$G72,'Resource Demand - Activity'!BW:BW)</f>
        <v>0</v>
      </c>
      <c r="CC72" s="35">
        <f>SUMIF('Resource Demand - Activity'!$FT:$FT,Example!$G72,'Resource Demand - Activity'!BX:BX)</f>
        <v>0</v>
      </c>
      <c r="CD72" s="35">
        <f>SUMIF('Resource Demand - Activity'!$FT:$FT,Example!$G72,'Resource Demand - Activity'!BY:BY)</f>
        <v>0</v>
      </c>
      <c r="CE72" s="35">
        <f>SUMIF('Resource Demand - Activity'!$FT:$FT,Example!$G72,'Resource Demand - Activity'!BZ:BZ)</f>
        <v>0</v>
      </c>
      <c r="CF72" s="35">
        <f>SUMIF('Resource Demand - Activity'!$FT:$FT,Example!$G72,'Resource Demand - Activity'!CA:CA)</f>
        <v>0</v>
      </c>
      <c r="CG72" s="35">
        <f>SUMIF('Resource Demand - Activity'!$FT:$FT,Example!$G72,'Resource Demand - Activity'!CB:CB)</f>
        <v>0</v>
      </c>
      <c r="CH72" s="35">
        <f>SUMIF('Resource Demand - Activity'!$FT:$FT,Example!$G72,'Resource Demand - Activity'!CC:CC)</f>
        <v>0</v>
      </c>
      <c r="CI72" s="35">
        <f>SUMIF('Resource Demand - Activity'!$FT:$FT,Example!$G72,'Resource Demand - Activity'!CD:CD)</f>
        <v>0</v>
      </c>
      <c r="CJ72" s="35">
        <f>SUMIF('Resource Demand - Activity'!$FT:$FT,Example!$G72,'Resource Demand - Activity'!CE:CE)</f>
        <v>0</v>
      </c>
      <c r="CK72" s="35">
        <f>SUMIF('Resource Demand - Activity'!$FT:$FT,Example!$G72,'Resource Demand - Activity'!CF:CF)</f>
        <v>0</v>
      </c>
      <c r="CL72" s="35">
        <f>SUMIF('Resource Demand - Activity'!$FT:$FT,Example!$G72,'Resource Demand - Activity'!CG:CG)</f>
        <v>0</v>
      </c>
      <c r="CM72" s="35">
        <f>SUMIF('Resource Demand - Activity'!$FT:$FT,Example!$G72,'Resource Demand - Activity'!CH:CH)</f>
        <v>0</v>
      </c>
      <c r="CN72" s="35">
        <f>SUMIF('Resource Demand - Activity'!$FT:$FT,Example!$G72,'Resource Demand - Activity'!CI:CI)</f>
        <v>0</v>
      </c>
      <c r="CO72" s="35">
        <f>SUMIF('Resource Demand - Activity'!$FT:$FT,Example!$G72,'Resource Demand - Activity'!CJ:CJ)</f>
        <v>0</v>
      </c>
      <c r="CP72" s="35">
        <f>SUMIF('Resource Demand - Activity'!$FT:$FT,Example!$G72,'Resource Demand - Activity'!CK:CK)</f>
        <v>0</v>
      </c>
      <c r="CQ72" s="35">
        <f>SUMIF('Resource Demand - Activity'!$FT:$FT,Example!$G72,'Resource Demand - Activity'!CL:CL)</f>
        <v>0</v>
      </c>
      <c r="CR72" s="35">
        <f>SUMIF('Resource Demand - Activity'!$FT:$FT,Example!$G72,'Resource Demand - Activity'!CM:CM)</f>
        <v>0</v>
      </c>
      <c r="CS72" s="35">
        <f>SUMIF('Resource Demand - Activity'!$FT:$FT,Example!$G72,'Resource Demand - Activity'!CN:CN)</f>
        <v>0</v>
      </c>
      <c r="CT72" s="35">
        <f>SUMIF('Resource Demand - Activity'!$FT:$FT,Example!$G72,'Resource Demand - Activity'!CO:CO)</f>
        <v>0</v>
      </c>
      <c r="CU72" s="35">
        <f>SUMIF('Resource Demand - Activity'!$FT:$FT,Example!$G72,'Resource Demand - Activity'!CP:CP)</f>
        <v>0</v>
      </c>
      <c r="CV72" s="35">
        <f>SUMIF('Resource Demand - Activity'!$FT:$FT,Example!$G72,'Resource Demand - Activity'!CQ:CQ)</f>
        <v>0</v>
      </c>
      <c r="CW72" s="35">
        <f>SUMIF('Resource Demand - Activity'!$FT:$FT,Example!$G72,'Resource Demand - Activity'!CR:CR)</f>
        <v>0</v>
      </c>
      <c r="CX72" s="35">
        <f>SUMIF('Resource Demand - Activity'!$FT:$FT,Example!$G72,'Resource Demand - Activity'!CS:CS)</f>
        <v>0</v>
      </c>
      <c r="CY72" s="36">
        <f>SUMIF('Resource Demand - Activity'!$FT:$FT,Example!$G72,'Resource Demand - Activity'!CT:CT)</f>
        <v>0</v>
      </c>
      <c r="CZ72" s="35">
        <f>SUMIF('Resource Demand - Activity'!$FT:$FT,Example!$G72,'Resource Demand - Activity'!CU:CU)</f>
        <v>0</v>
      </c>
      <c r="DA72" s="35">
        <f>SUMIF('Resource Demand - Activity'!$FT:$FT,Example!$G72,'Resource Demand - Activity'!CV:CV)</f>
        <v>0</v>
      </c>
      <c r="DB72" s="35">
        <f>SUMIF('Resource Demand - Activity'!$FT:$FT,Example!$G72,'Resource Demand - Activity'!CW:CW)</f>
        <v>0</v>
      </c>
      <c r="DC72" s="35">
        <f>SUMIF('Resource Demand - Activity'!$FT:$FT,Example!$G72,'Resource Demand - Activity'!CX:CX)</f>
        <v>0</v>
      </c>
      <c r="DD72" s="35">
        <f>SUMIF('Resource Demand - Activity'!$FT:$FT,Example!$G72,'Resource Demand - Activity'!CY:CY)</f>
        <v>0</v>
      </c>
      <c r="DE72" s="36">
        <f>SUMIF('Resource Demand - Activity'!$FT:$FT,Example!$G72,'Resource Demand - Activity'!CZ:CZ)</f>
        <v>0</v>
      </c>
      <c r="DF72" s="36">
        <f>SUMIF('Resource Demand - Activity'!$FT:$FT,Example!$G72,'Resource Demand - Activity'!DA:DA)</f>
        <v>0</v>
      </c>
      <c r="DG72" s="35">
        <f>SUMIF('Resource Demand - Activity'!$FT:$FT,Example!$G72,'Resource Demand - Activity'!DB:DB)</f>
        <v>0</v>
      </c>
      <c r="DH72" s="35">
        <f>SUMIF('Resource Demand - Activity'!$FT:$FT,Example!$G72,'Resource Demand - Activity'!DC:DC)</f>
        <v>0</v>
      </c>
      <c r="DI72" s="35">
        <f>SUMIF('Resource Demand - Activity'!$FT:$FT,Example!$G72,'Resource Demand - Activity'!DD:DD)</f>
        <v>0</v>
      </c>
      <c r="DJ72" s="35">
        <f>SUMIF('Resource Demand - Activity'!$FT:$FT,Example!$G72,'Resource Demand - Activity'!DE:DE)</f>
        <v>0</v>
      </c>
      <c r="DK72" s="35">
        <f>SUMIF('Resource Demand - Activity'!$FT:$FT,Example!$G72,'Resource Demand - Activity'!DF:DF)</f>
        <v>0</v>
      </c>
      <c r="DL72" s="35">
        <f>SUMIF('Resource Demand - Activity'!$FT:$FT,Example!$G72,'Resource Demand - Activity'!DG:DG)</f>
        <v>0</v>
      </c>
      <c r="DM72" s="35">
        <f>SUMIF('Resource Demand - Activity'!$FT:$FT,Example!$G72,'Resource Demand - Activity'!DH:DH)</f>
        <v>0</v>
      </c>
      <c r="DN72" s="35">
        <f>SUMIF('Resource Demand - Activity'!$FT:$FT,Example!$G72,'Resource Demand - Activity'!DI:DI)</f>
        <v>0</v>
      </c>
      <c r="DO72" s="35">
        <f>SUMIF('Resource Demand - Activity'!$FT:$FT,Example!$G72,'Resource Demand - Activity'!DJ:DJ)</f>
        <v>0</v>
      </c>
      <c r="DP72" s="35">
        <f>SUMIF('Resource Demand - Activity'!$FT:$FT,Example!$G72,'Resource Demand - Activity'!DK:DK)</f>
        <v>0</v>
      </c>
      <c r="DQ72" s="35">
        <f>SUMIF('Resource Demand - Activity'!$FT:$FT,Example!$G72,'Resource Demand - Activity'!DL:DL)</f>
        <v>0</v>
      </c>
      <c r="DR72" s="35">
        <f>SUMIF('Resource Demand - Activity'!$FT:$FT,Example!$G72,'Resource Demand - Activity'!DM:DM)</f>
        <v>0</v>
      </c>
      <c r="DS72" s="35">
        <f>SUMIF('Resource Demand - Activity'!$FT:$FT,Example!$G72,'Resource Demand - Activity'!DN:DN)</f>
        <v>0</v>
      </c>
      <c r="DT72" s="35">
        <f>SUMIF('Resource Demand - Activity'!$FT:$FT,Example!$G72,'Resource Demand - Activity'!DO:DO)</f>
        <v>0</v>
      </c>
      <c r="DU72" s="35">
        <f>SUMIF('Resource Demand - Activity'!$FT:$FT,Example!$G72,'Resource Demand - Activity'!DP:DP)</f>
        <v>0</v>
      </c>
      <c r="DV72" s="35">
        <f>SUMIF('Resource Demand - Activity'!$FT:$FT,Example!$G72,'Resource Demand - Activity'!DQ:DQ)</f>
        <v>0</v>
      </c>
      <c r="DW72" s="35">
        <f>SUMIF('Resource Demand - Activity'!$FT:$FT,Example!$G72,'Resource Demand - Activity'!DR:DR)</f>
        <v>0</v>
      </c>
      <c r="DX72" s="35">
        <f>SUMIF('Resource Demand - Activity'!$FT:$FT,Example!$G72,'Resource Demand - Activity'!DS:DS)</f>
        <v>0</v>
      </c>
      <c r="DY72" s="35">
        <f>SUMIF('Resource Demand - Activity'!$FT:$FT,Example!$G72,'Resource Demand - Activity'!DT:DT)</f>
        <v>0</v>
      </c>
      <c r="DZ72" s="35">
        <f>SUMIF('Resource Demand - Activity'!$FT:$FT,Example!$G72,'Resource Demand - Activity'!DU:DU)</f>
        <v>0</v>
      </c>
      <c r="EA72" s="35">
        <f>SUMIF('Resource Demand - Activity'!$FT:$FT,Example!$G72,'Resource Demand - Activity'!DV:DV)</f>
        <v>0</v>
      </c>
      <c r="EB72" s="35">
        <f>SUMIF('Resource Demand - Activity'!$FT:$FT,Example!$G72,'Resource Demand - Activity'!DW:DW)</f>
        <v>0</v>
      </c>
      <c r="EC72" s="35">
        <f>SUMIF('Resource Demand - Activity'!$FT:$FT,Example!$G72,'Resource Demand - Activity'!DX:DX)</f>
        <v>0</v>
      </c>
      <c r="ED72" s="35">
        <f>SUMIF('Resource Demand - Activity'!$FT:$FT,Example!$G72,'Resource Demand - Activity'!DY:DY)</f>
        <v>0</v>
      </c>
      <c r="EE72" s="36">
        <f>SUMIF('Resource Demand - Activity'!$FT:$FT,Example!$G72,'Resource Demand - Activity'!DZ:DZ)</f>
        <v>0</v>
      </c>
      <c r="EF72" s="35">
        <f>SUMIF('Resource Demand - Activity'!$FT:$FT,Example!$G72,'Resource Demand - Activity'!EA:EA)</f>
        <v>0</v>
      </c>
      <c r="EG72" s="35">
        <f>SUMIF('Resource Demand - Activity'!$FT:$FT,Example!$G72,'Resource Demand - Activity'!EB:EB)</f>
        <v>0</v>
      </c>
      <c r="EH72" s="35">
        <f>SUMIF('Resource Demand - Activity'!$FT:$FT,Example!$G72,'Resource Demand - Activity'!EC:EC)</f>
        <v>0</v>
      </c>
      <c r="EI72" s="35">
        <f>SUMIF('Resource Demand - Activity'!$FT:$FT,Example!$G72,'Resource Demand - Activity'!ED:ED)</f>
        <v>0</v>
      </c>
      <c r="EJ72" s="35">
        <f>SUMIF('Resource Demand - Activity'!$FT:$FT,Example!$G72,'Resource Demand - Activity'!EE:EE)</f>
        <v>0</v>
      </c>
      <c r="EK72" s="35">
        <f>SUMIF('Resource Demand - Activity'!$FT:$FT,Example!$G72,'Resource Demand - Activity'!EF:EF)</f>
        <v>0</v>
      </c>
      <c r="EL72" s="35">
        <f>SUMIF('Resource Demand - Activity'!$FT:$FT,Example!$G72,'Resource Demand - Activity'!EG:EG)</f>
        <v>0</v>
      </c>
      <c r="EM72" s="35">
        <f>SUMIF('Resource Demand - Activity'!$FT:$FT,Example!$G72,'Resource Demand - Activity'!EH:EH)</f>
        <v>0</v>
      </c>
      <c r="EN72" s="35">
        <f>SUMIF('Resource Demand - Activity'!$FT:$FT,Example!$G72,'Resource Demand - Activity'!EI:EI)</f>
        <v>0</v>
      </c>
      <c r="EO72" s="35">
        <f>SUMIF('Resource Demand - Activity'!$FT:$FT,Example!$G72,'Resource Demand - Activity'!EJ:EJ)</f>
        <v>0</v>
      </c>
      <c r="EP72" s="35">
        <f>SUMIF('Resource Demand - Activity'!$FT:$FT,Example!$G72,'Resource Demand - Activity'!EK:EK)</f>
        <v>0</v>
      </c>
      <c r="EQ72" s="35">
        <f>SUMIF('Resource Demand - Activity'!$FT:$FT,Example!$G72,'Resource Demand - Activity'!EL:EL)</f>
        <v>0</v>
      </c>
      <c r="ER72" s="35">
        <f>SUMIF('Resource Demand - Activity'!$FT:$FT,Example!$G72,'Resource Demand - Activity'!EM:EM)</f>
        <v>0</v>
      </c>
      <c r="ES72" s="35">
        <f>SUMIF('Resource Demand - Activity'!$FT:$FT,Example!$G72,'Resource Demand - Activity'!EN:EN)</f>
        <v>0</v>
      </c>
      <c r="ET72" s="35">
        <f>SUMIF('Resource Demand - Activity'!$FT:$FT,Example!$G72,'Resource Demand - Activity'!EO:EO)</f>
        <v>0</v>
      </c>
      <c r="EU72" s="35">
        <f>SUMIF('Resource Demand - Activity'!$FT:$FT,Example!$G72,'Resource Demand - Activity'!EP:EP)</f>
        <v>0</v>
      </c>
      <c r="EV72" s="35">
        <f>SUMIF('Resource Demand - Activity'!$FT:$FT,Example!$G72,'Resource Demand - Activity'!EQ:EQ)</f>
        <v>0</v>
      </c>
      <c r="EW72" s="35">
        <f>SUMIF('Resource Demand - Activity'!$FT:$FT,Example!$G72,'Resource Demand - Activity'!ER:ER)</f>
        <v>0</v>
      </c>
      <c r="EX72" s="35">
        <f>SUMIF('Resource Demand - Activity'!$FT:$FT,Example!$G72,'Resource Demand - Activity'!ES:ES)</f>
        <v>0</v>
      </c>
      <c r="EY72" s="35">
        <f>SUMIF('Resource Demand - Activity'!$FT:$FT,Example!$G72,'Resource Demand - Activity'!ET:ET)</f>
        <v>0</v>
      </c>
      <c r="EZ72" s="35">
        <f>SUMIF('Resource Demand - Activity'!$FT:$FT,Example!$G72,'Resource Demand - Activity'!EU:EU)</f>
        <v>0</v>
      </c>
      <c r="FA72" s="35">
        <f>SUMIF('Resource Demand - Activity'!$FT:$FT,Example!$G72,'Resource Demand - Activity'!EV:EV)</f>
        <v>0</v>
      </c>
      <c r="FB72" s="35">
        <f>SUMIF('Resource Demand - Activity'!$FT:$FT,Example!$G72,'Resource Demand - Activity'!EW:EW)</f>
        <v>0</v>
      </c>
      <c r="FC72" s="35">
        <f>SUMIF('Resource Demand - Activity'!$FT:$FT,Example!$G72,'Resource Demand - Activity'!EX:EX)</f>
        <v>0</v>
      </c>
      <c r="FD72" s="36">
        <f>SUMIF('Resource Demand - Activity'!$FT:$FT,Example!$G72,'Resource Demand - Activity'!EY:EY)</f>
        <v>0</v>
      </c>
      <c r="FE72" s="35">
        <f>SUMIF('Resource Demand - Activity'!$FT:$FT,Example!$G72,'Resource Demand - Activity'!EZ:EZ)</f>
        <v>0</v>
      </c>
      <c r="FF72" s="35">
        <f>SUMIF('Resource Demand - Activity'!$FT:$FT,Example!$G72,'Resource Demand - Activity'!FA:FA)</f>
        <v>0</v>
      </c>
      <c r="FG72" s="35">
        <f>SUMIF('Resource Demand - Activity'!$FT:$FT,Example!$G72,'Resource Demand - Activity'!FB:FB)</f>
        <v>0</v>
      </c>
      <c r="FH72" s="35">
        <f>SUMIF('Resource Demand - Activity'!$FT:$FT,Example!$G72,'Resource Demand - Activity'!FC:FC)</f>
        <v>0</v>
      </c>
      <c r="FI72" s="35">
        <f>SUMIF('Resource Demand - Activity'!$FT:$FT,Example!$G72,'Resource Demand - Activity'!FD:FD)</f>
        <v>0</v>
      </c>
      <c r="FJ72" s="35">
        <f>SUMIF('Resource Demand - Activity'!$FT:$FT,Example!$G72,'Resource Demand - Activity'!FE:FE)</f>
        <v>0</v>
      </c>
      <c r="FK72" s="35">
        <f>SUMIF('Resource Demand - Activity'!$FT:$FT,Example!$G72,'Resource Demand - Activity'!FF:FF)</f>
        <v>0</v>
      </c>
      <c r="FL72" s="35">
        <f>SUMIF('Resource Demand - Activity'!$FT:$FT,Example!$G72,'Resource Demand - Activity'!FG:FG)</f>
        <v>0</v>
      </c>
      <c r="FM72" s="35">
        <f>SUMIF('Resource Demand - Activity'!$FT:$FT,Example!$G72,'Resource Demand - Activity'!FH:FH)</f>
        <v>0</v>
      </c>
      <c r="FN72" s="35">
        <f>SUMIF('Resource Demand - Activity'!$FT:$FT,Example!$G72,'Resource Demand - Activity'!FI:FI)</f>
        <v>0</v>
      </c>
      <c r="FO72" s="35">
        <f>SUMIF('Resource Demand - Activity'!$FT:$FT,Example!$G72,'Resource Demand - Activity'!FJ:FJ)</f>
        <v>0</v>
      </c>
      <c r="FP72" s="35">
        <f>SUMIF('Resource Demand - Activity'!$FT:$FT,Example!$G72,'Resource Demand - Activity'!FK:FK)</f>
        <v>0</v>
      </c>
      <c r="FQ72" s="35">
        <f>SUMIF('Resource Demand - Activity'!$FT:$FT,Example!$G72,'Resource Demand - Activity'!FL:FL)</f>
        <v>0</v>
      </c>
      <c r="FR72" s="35">
        <f>SUMIF('Resource Demand - Activity'!$FT:$FT,Example!$G72,'Resource Demand - Activity'!FM:FM)</f>
        <v>0</v>
      </c>
      <c r="FS72" s="35">
        <f>SUMIF('Resource Demand - Activity'!$FT:$FT,Example!$G72,'Resource Demand - Activity'!FN:FN)</f>
        <v>0</v>
      </c>
      <c r="FT72" s="35">
        <f>SUMIF('Resource Demand - Activity'!$FT:$FT,Example!$G72,'Resource Demand - Activity'!FO:FO)</f>
        <v>0</v>
      </c>
      <c r="FU72" s="35">
        <f>SUMIF('Resource Demand - Activity'!$FT:$FT,Example!$G72,'Resource Demand - Activity'!FP:FP)</f>
        <v>0</v>
      </c>
      <c r="FV72" s="52">
        <f>SUMIF('Resource Demand - Activity'!$FT:$FT,Example!$G72,'Resource Demand - Activity'!FQ:FQ)</f>
        <v>0</v>
      </c>
    </row>
    <row r="73" spans="2:178" s="63" customFormat="1" ht="12" customHeight="1">
      <c r="B73" s="1"/>
      <c r="G73" s="64" t="str">
        <f t="shared" si="11"/>
        <v>10. BAU Transition 10.6 SFCR Development &amp; Dry RunJunior Accountant</v>
      </c>
      <c r="H73" s="59" t="s">
        <v>157</v>
      </c>
      <c r="I73" s="59" t="str">
        <f>INDEX('Resource Demand - Activity'!C:C,MATCH(Example!G73,'Resource Demand - Activity'!FT:FT,0))</f>
        <v>6 days</v>
      </c>
      <c r="J73" s="51">
        <f>SUMIF('Resource Demand - Activity'!$FT:$FT,Example!$G73,'Resource Demand - Activity'!E:E)</f>
        <v>0</v>
      </c>
      <c r="K73" s="35">
        <f>SUMIF('Resource Demand - Activity'!$FT:$FT,Example!$G73,'Resource Demand - Activity'!F:F)</f>
        <v>0</v>
      </c>
      <c r="L73" s="35">
        <f>SUMIF('Resource Demand - Activity'!$FT:$FT,Example!$G73,'Resource Demand - Activity'!G:G)</f>
        <v>0</v>
      </c>
      <c r="M73" s="35">
        <f>SUMIF('Resource Demand - Activity'!$FT:$FT,Example!$G73,'Resource Demand - Activity'!H:H)</f>
        <v>0</v>
      </c>
      <c r="N73" s="35">
        <f>SUMIF('Resource Demand - Activity'!$FT:$FT,Example!$G73,'Resource Demand - Activity'!I:I)</f>
        <v>0</v>
      </c>
      <c r="O73" s="35">
        <f>SUMIF('Resource Demand - Activity'!$FT:$FT,Example!$G73,'Resource Demand - Activity'!J:J)</f>
        <v>0</v>
      </c>
      <c r="P73" s="35">
        <f>SUMIF('Resource Demand - Activity'!$FT:$FT,Example!$G73,'Resource Demand - Activity'!K:K)</f>
        <v>0</v>
      </c>
      <c r="Q73" s="35">
        <f>SUMIF('Resource Demand - Activity'!$FT:$FT,Example!$G73,'Resource Demand - Activity'!L:L)</f>
        <v>0</v>
      </c>
      <c r="R73" s="35">
        <f>SUMIF('Resource Demand - Activity'!$FT:$FT,Example!$G73,'Resource Demand - Activity'!M:M)</f>
        <v>0</v>
      </c>
      <c r="S73" s="35">
        <f>SUMIF('Resource Demand - Activity'!$FT:$FT,Example!$G73,'Resource Demand - Activity'!N:N)</f>
        <v>0</v>
      </c>
      <c r="T73" s="35">
        <f>SUMIF('Resource Demand - Activity'!$FT:$FT,Example!$G73,'Resource Demand - Activity'!O:O)</f>
        <v>0</v>
      </c>
      <c r="U73" s="35">
        <f>SUMIF('Resource Demand - Activity'!$FT:$FT,Example!$G73,'Resource Demand - Activity'!P:P)</f>
        <v>0</v>
      </c>
      <c r="V73" s="35">
        <f>SUMIF('Resource Demand - Activity'!$FT:$FT,Example!$G73,'Resource Demand - Activity'!Q:Q)</f>
        <v>0</v>
      </c>
      <c r="W73" s="35">
        <f>SUMIF('Resource Demand - Activity'!$FT:$FT,Example!$G73,'Resource Demand - Activity'!R:R)</f>
        <v>0</v>
      </c>
      <c r="X73" s="35">
        <f>SUMIF('Resource Demand - Activity'!$FT:$FT,Example!$G73,'Resource Demand - Activity'!S:S)</f>
        <v>0</v>
      </c>
      <c r="Y73" s="35">
        <f>SUMIF('Resource Demand - Activity'!$FT:$FT,Example!$G73,'Resource Demand - Activity'!T:T)</f>
        <v>0</v>
      </c>
      <c r="Z73" s="35">
        <f>SUMIF('Resource Demand - Activity'!$FT:$FT,Example!$G73,'Resource Demand - Activity'!U:U)</f>
        <v>0</v>
      </c>
      <c r="AA73" s="35">
        <f>SUMIF('Resource Demand - Activity'!$FT:$FT,Example!$G73,'Resource Demand - Activity'!V:V)</f>
        <v>0</v>
      </c>
      <c r="AB73" s="35">
        <f>SUMIF('Resource Demand - Activity'!$FT:$FT,Example!$G73,'Resource Demand - Activity'!W:W)</f>
        <v>0</v>
      </c>
      <c r="AC73" s="35">
        <f>SUMIF('Resource Demand - Activity'!$FT:$FT,Example!$G73,'Resource Demand - Activity'!X:X)</f>
        <v>0</v>
      </c>
      <c r="AD73" s="35">
        <f>SUMIF('Resource Demand - Activity'!$FT:$FT,Example!$G73,'Resource Demand - Activity'!Y:Y)</f>
        <v>0</v>
      </c>
      <c r="AE73" s="35">
        <f>SUMIF('Resource Demand - Activity'!$FT:$FT,Example!$G73,'Resource Demand - Activity'!Z:Z)</f>
        <v>0</v>
      </c>
      <c r="AF73" s="35">
        <f>SUMIF('Resource Demand - Activity'!$FT:$FT,Example!$G73,'Resource Demand - Activity'!AA:AA)</f>
        <v>0</v>
      </c>
      <c r="AG73" s="35">
        <f>SUMIF('Resource Demand - Activity'!$FT:$FT,Example!$G73,'Resource Demand - Activity'!AB:AB)</f>
        <v>0</v>
      </c>
      <c r="AH73" s="35">
        <f>SUMIF('Resource Demand - Activity'!$FT:$FT,Example!$G73,'Resource Demand - Activity'!AC:AC)</f>
        <v>0</v>
      </c>
      <c r="AI73" s="35">
        <f>SUMIF('Resource Demand - Activity'!$FT:$FT,Example!$G73,'Resource Demand - Activity'!AD:AD)</f>
        <v>0</v>
      </c>
      <c r="AJ73" s="35">
        <f>SUMIF('Resource Demand - Activity'!$FT:$FT,Example!$G73,'Resource Demand - Activity'!AE:AE)</f>
        <v>0</v>
      </c>
      <c r="AK73" s="35">
        <f>SUMIF('Resource Demand - Activity'!$FT:$FT,Example!$G73,'Resource Demand - Activity'!AF:AF)</f>
        <v>0</v>
      </c>
      <c r="AL73" s="35">
        <f>SUMIF('Resource Demand - Activity'!$FT:$FT,Example!$G73,'Resource Demand - Activity'!AG:AG)</f>
        <v>0</v>
      </c>
      <c r="AM73" s="35">
        <f>SUMIF('Resource Demand - Activity'!$FT:$FT,Example!$G73,'Resource Demand - Activity'!AH:AH)</f>
        <v>0</v>
      </c>
      <c r="AN73" s="35">
        <f>SUMIF('Resource Demand - Activity'!$FT:$FT,Example!$G73,'Resource Demand - Activity'!AI:AI)</f>
        <v>0</v>
      </c>
      <c r="AO73" s="35">
        <f>SUMIF('Resource Demand - Activity'!$FT:$FT,Example!$G73,'Resource Demand - Activity'!AJ:AJ)</f>
        <v>0</v>
      </c>
      <c r="AP73" s="35">
        <f>SUMIF('Resource Demand - Activity'!$FT:$FT,Example!$G73,'Resource Demand - Activity'!AK:AK)</f>
        <v>0</v>
      </c>
      <c r="AQ73" s="36">
        <f>SUMIF('Resource Demand - Activity'!$FT:$FT,Example!$G73,'Resource Demand - Activity'!AL:AL)</f>
        <v>0</v>
      </c>
      <c r="AR73" s="36">
        <f>SUMIF('Resource Demand - Activity'!$FT:$FT,Example!$G73,'Resource Demand - Activity'!AM:AM)</f>
        <v>0</v>
      </c>
      <c r="AS73" s="36">
        <f>SUMIF('Resource Demand - Activity'!$FT:$FT,Example!$G73,'Resource Demand - Activity'!AN:AN)</f>
        <v>0</v>
      </c>
      <c r="AT73" s="36">
        <f>SUMIF('Resource Demand - Activity'!$FT:$FT,Example!$G73,'Resource Demand - Activity'!AO:AO)</f>
        <v>0</v>
      </c>
      <c r="AU73" s="36">
        <f>SUMIF('Resource Demand - Activity'!$FT:$FT,Example!$G73,'Resource Demand - Activity'!AP:AP)</f>
        <v>0</v>
      </c>
      <c r="AV73" s="36">
        <f>SUMIF('Resource Demand - Activity'!$FT:$FT,Example!$G73,'Resource Demand - Activity'!AQ:AQ)</f>
        <v>0</v>
      </c>
      <c r="AW73" s="36">
        <f>SUMIF('Resource Demand - Activity'!$FT:$FT,Example!$G73,'Resource Demand - Activity'!AR:AR)</f>
        <v>0</v>
      </c>
      <c r="AX73" s="35">
        <f>SUMIF('Resource Demand - Activity'!$FT:$FT,Example!$G73,'Resource Demand - Activity'!AS:AS)</f>
        <v>0</v>
      </c>
      <c r="AY73" s="35">
        <f>SUMIF('Resource Demand - Activity'!$FT:$FT,Example!$G73,'Resource Demand - Activity'!AT:AT)</f>
        <v>0</v>
      </c>
      <c r="AZ73" s="35">
        <f>SUMIF('Resource Demand - Activity'!$FT:$FT,Example!$G73,'Resource Demand - Activity'!AU:AU)</f>
        <v>0</v>
      </c>
      <c r="BA73" s="35">
        <f>SUMIF('Resource Demand - Activity'!$FT:$FT,Example!$G73,'Resource Demand - Activity'!AV:AV)</f>
        <v>0</v>
      </c>
      <c r="BB73" s="35">
        <f>SUMIF('Resource Demand - Activity'!$FT:$FT,Example!$G73,'Resource Demand - Activity'!AW:AW)</f>
        <v>0</v>
      </c>
      <c r="BC73" s="35">
        <f>SUMIF('Resource Demand - Activity'!$FT:$FT,Example!$G73,'Resource Demand - Activity'!AX:AX)</f>
        <v>0</v>
      </c>
      <c r="BD73" s="35">
        <f>SUMIF('Resource Demand - Activity'!$FT:$FT,Example!$G73,'Resource Demand - Activity'!AY:AY)</f>
        <v>0</v>
      </c>
      <c r="BE73" s="35">
        <f>SUMIF('Resource Demand - Activity'!$FT:$FT,Example!$G73,'Resource Demand - Activity'!AZ:AZ)</f>
        <v>0</v>
      </c>
      <c r="BF73" s="35">
        <f>SUMIF('Resource Demand - Activity'!$FT:$FT,Example!$G73,'Resource Demand - Activity'!BA:BA)</f>
        <v>0</v>
      </c>
      <c r="BG73" s="35">
        <f>SUMIF('Resource Demand - Activity'!$FT:$FT,Example!$G73,'Resource Demand - Activity'!BB:BB)</f>
        <v>0</v>
      </c>
      <c r="BH73" s="35">
        <f>SUMIF('Resource Demand - Activity'!$FT:$FT,Example!$G73,'Resource Demand - Activity'!BC:BC)</f>
        <v>0</v>
      </c>
      <c r="BI73" s="35">
        <f>SUMIF('Resource Demand - Activity'!$FT:$FT,Example!$G73,'Resource Demand - Activity'!BD:BD)</f>
        <v>0</v>
      </c>
      <c r="BJ73" s="35">
        <f>SUMIF('Resource Demand - Activity'!$FT:$FT,Example!$G73,'Resource Demand - Activity'!BE:BE)</f>
        <v>0</v>
      </c>
      <c r="BK73" s="35">
        <f>SUMIF('Resource Demand - Activity'!$FT:$FT,Example!$G73,'Resource Demand - Activity'!BF:BF)</f>
        <v>0</v>
      </c>
      <c r="BL73" s="35">
        <f>SUMIF('Resource Demand - Activity'!$FT:$FT,Example!$G73,'Resource Demand - Activity'!BG:BG)</f>
        <v>0</v>
      </c>
      <c r="BM73" s="35">
        <f>SUMIF('Resource Demand - Activity'!$FT:$FT,Example!$G73,'Resource Demand - Activity'!BH:BH)</f>
        <v>0</v>
      </c>
      <c r="BN73" s="35">
        <f>SUMIF('Resource Demand - Activity'!$FT:$FT,Example!$G73,'Resource Demand - Activity'!BI:BI)</f>
        <v>0</v>
      </c>
      <c r="BO73" s="35">
        <f>SUMIF('Resource Demand - Activity'!$FT:$FT,Example!$G73,'Resource Demand - Activity'!BJ:BJ)</f>
        <v>0</v>
      </c>
      <c r="BP73" s="35">
        <f>SUMIF('Resource Demand - Activity'!$FT:$FT,Example!$G73,'Resource Demand - Activity'!BK:BK)</f>
        <v>0</v>
      </c>
      <c r="BQ73" s="35">
        <f>SUMIF('Resource Demand - Activity'!$FT:$FT,Example!$G73,'Resource Demand - Activity'!BL:BL)</f>
        <v>0</v>
      </c>
      <c r="BR73" s="35">
        <f>SUMIF('Resource Demand - Activity'!$FT:$FT,Example!$G73,'Resource Demand - Activity'!BM:BM)</f>
        <v>0</v>
      </c>
      <c r="BS73" s="35">
        <f>SUMIF('Resource Demand - Activity'!$FT:$FT,Example!$G73,'Resource Demand - Activity'!BN:BN)</f>
        <v>0</v>
      </c>
      <c r="BT73" s="35">
        <f>SUMIF('Resource Demand - Activity'!$FT:$FT,Example!$G73,'Resource Demand - Activity'!BO:BO)</f>
        <v>0</v>
      </c>
      <c r="BU73" s="35">
        <f>SUMIF('Resource Demand - Activity'!$FT:$FT,Example!$G73,'Resource Demand - Activity'!BP:BP)</f>
        <v>0</v>
      </c>
      <c r="BV73" s="35">
        <f>SUMIF('Resource Demand - Activity'!$FT:$FT,Example!$G73,'Resource Demand - Activity'!BQ:BQ)</f>
        <v>0</v>
      </c>
      <c r="BW73" s="35">
        <f>SUMIF('Resource Demand - Activity'!$FT:$FT,Example!$G73,'Resource Demand - Activity'!BR:BR)</f>
        <v>0</v>
      </c>
      <c r="BX73" s="35">
        <f>SUMIF('Resource Demand - Activity'!$FT:$FT,Example!$G73,'Resource Demand - Activity'!BS:BS)</f>
        <v>0</v>
      </c>
      <c r="BY73" s="35">
        <f>SUMIF('Resource Demand - Activity'!$FT:$FT,Example!$G73,'Resource Demand - Activity'!BT:BT)</f>
        <v>0</v>
      </c>
      <c r="BZ73" s="35">
        <f>SUMIF('Resource Demand - Activity'!$FT:$FT,Example!$G73,'Resource Demand - Activity'!BU:BU)</f>
        <v>0</v>
      </c>
      <c r="CA73" s="35">
        <f>SUMIF('Resource Demand - Activity'!$FT:$FT,Example!$G73,'Resource Demand - Activity'!BV:BV)</f>
        <v>0</v>
      </c>
      <c r="CB73" s="35">
        <f>SUMIF('Resource Demand - Activity'!$FT:$FT,Example!$G73,'Resource Demand - Activity'!BW:BW)</f>
        <v>0</v>
      </c>
      <c r="CC73" s="35">
        <f>SUMIF('Resource Demand - Activity'!$FT:$FT,Example!$G73,'Resource Demand - Activity'!BX:BX)</f>
        <v>0</v>
      </c>
      <c r="CD73" s="35">
        <f>SUMIF('Resource Demand - Activity'!$FT:$FT,Example!$G73,'Resource Demand - Activity'!BY:BY)</f>
        <v>0</v>
      </c>
      <c r="CE73" s="35">
        <f>SUMIF('Resource Demand - Activity'!$FT:$FT,Example!$G73,'Resource Demand - Activity'!BZ:BZ)</f>
        <v>0</v>
      </c>
      <c r="CF73" s="35">
        <f>SUMIF('Resource Demand - Activity'!$FT:$FT,Example!$G73,'Resource Demand - Activity'!CA:CA)</f>
        <v>0</v>
      </c>
      <c r="CG73" s="35">
        <f>SUMIF('Resource Demand - Activity'!$FT:$FT,Example!$G73,'Resource Demand - Activity'!CB:CB)</f>
        <v>0</v>
      </c>
      <c r="CH73" s="35">
        <f>SUMIF('Resource Demand - Activity'!$FT:$FT,Example!$G73,'Resource Demand - Activity'!CC:CC)</f>
        <v>0</v>
      </c>
      <c r="CI73" s="35">
        <f>SUMIF('Resource Demand - Activity'!$FT:$FT,Example!$G73,'Resource Demand - Activity'!CD:CD)</f>
        <v>0</v>
      </c>
      <c r="CJ73" s="35">
        <f>SUMIF('Resource Demand - Activity'!$FT:$FT,Example!$G73,'Resource Demand - Activity'!CE:CE)</f>
        <v>0</v>
      </c>
      <c r="CK73" s="35">
        <f>SUMIF('Resource Demand - Activity'!$FT:$FT,Example!$G73,'Resource Demand - Activity'!CF:CF)</f>
        <v>0</v>
      </c>
      <c r="CL73" s="35">
        <f>SUMIF('Resource Demand - Activity'!$FT:$FT,Example!$G73,'Resource Demand - Activity'!CG:CG)</f>
        <v>0</v>
      </c>
      <c r="CM73" s="35">
        <f>SUMIF('Resource Demand - Activity'!$FT:$FT,Example!$G73,'Resource Demand - Activity'!CH:CH)</f>
        <v>0</v>
      </c>
      <c r="CN73" s="35">
        <f>SUMIF('Resource Demand - Activity'!$FT:$FT,Example!$G73,'Resource Demand - Activity'!CI:CI)</f>
        <v>0</v>
      </c>
      <c r="CO73" s="35">
        <f>SUMIF('Resource Demand - Activity'!$FT:$FT,Example!$G73,'Resource Demand - Activity'!CJ:CJ)</f>
        <v>0</v>
      </c>
      <c r="CP73" s="35">
        <f>SUMIF('Resource Demand - Activity'!$FT:$FT,Example!$G73,'Resource Demand - Activity'!CK:CK)</f>
        <v>0</v>
      </c>
      <c r="CQ73" s="35">
        <f>SUMIF('Resource Demand - Activity'!$FT:$FT,Example!$G73,'Resource Demand - Activity'!CL:CL)</f>
        <v>0</v>
      </c>
      <c r="CR73" s="35">
        <f>SUMIF('Resource Demand - Activity'!$FT:$FT,Example!$G73,'Resource Demand - Activity'!CM:CM)</f>
        <v>0</v>
      </c>
      <c r="CS73" s="35">
        <f>SUMIF('Resource Demand - Activity'!$FT:$FT,Example!$G73,'Resource Demand - Activity'!CN:CN)</f>
        <v>0</v>
      </c>
      <c r="CT73" s="35">
        <f>SUMIF('Resource Demand - Activity'!$FT:$FT,Example!$G73,'Resource Demand - Activity'!CO:CO)</f>
        <v>0</v>
      </c>
      <c r="CU73" s="35">
        <f>SUMIF('Resource Demand - Activity'!$FT:$FT,Example!$G73,'Resource Demand - Activity'!CP:CP)</f>
        <v>0</v>
      </c>
      <c r="CV73" s="35">
        <f>SUMIF('Resource Demand - Activity'!$FT:$FT,Example!$G73,'Resource Demand - Activity'!CQ:CQ)</f>
        <v>0</v>
      </c>
      <c r="CW73" s="35">
        <f>SUMIF('Resource Demand - Activity'!$FT:$FT,Example!$G73,'Resource Demand - Activity'!CR:CR)</f>
        <v>0</v>
      </c>
      <c r="CX73" s="35">
        <f>SUMIF('Resource Demand - Activity'!$FT:$FT,Example!$G73,'Resource Demand - Activity'!CS:CS)</f>
        <v>0</v>
      </c>
      <c r="CY73" s="36">
        <f>SUMIF('Resource Demand - Activity'!$FT:$FT,Example!$G73,'Resource Demand - Activity'!CT:CT)</f>
        <v>0</v>
      </c>
      <c r="CZ73" s="35">
        <f>SUMIF('Resource Demand - Activity'!$FT:$FT,Example!$G73,'Resource Demand - Activity'!CU:CU)</f>
        <v>0</v>
      </c>
      <c r="DA73" s="35">
        <f>SUMIF('Resource Demand - Activity'!$FT:$FT,Example!$G73,'Resource Demand - Activity'!CV:CV)</f>
        <v>0</v>
      </c>
      <c r="DB73" s="35">
        <f>SUMIF('Resource Demand - Activity'!$FT:$FT,Example!$G73,'Resource Demand - Activity'!CW:CW)</f>
        <v>0</v>
      </c>
      <c r="DC73" s="35">
        <f>SUMIF('Resource Demand - Activity'!$FT:$FT,Example!$G73,'Resource Demand - Activity'!CX:CX)</f>
        <v>0</v>
      </c>
      <c r="DD73" s="35">
        <f>SUMIF('Resource Demand - Activity'!$FT:$FT,Example!$G73,'Resource Demand - Activity'!CY:CY)</f>
        <v>0</v>
      </c>
      <c r="DE73" s="36">
        <f>SUMIF('Resource Demand - Activity'!$FT:$FT,Example!$G73,'Resource Demand - Activity'!CZ:CZ)</f>
        <v>0</v>
      </c>
      <c r="DF73" s="36">
        <f>SUMIF('Resource Demand - Activity'!$FT:$FT,Example!$G73,'Resource Demand - Activity'!DA:DA)</f>
        <v>0</v>
      </c>
      <c r="DG73" s="35">
        <f>SUMIF('Resource Demand - Activity'!$FT:$FT,Example!$G73,'Resource Demand - Activity'!DB:DB)</f>
        <v>0</v>
      </c>
      <c r="DH73" s="35">
        <f>SUMIF('Resource Demand - Activity'!$FT:$FT,Example!$G73,'Resource Demand - Activity'!DC:DC)</f>
        <v>0</v>
      </c>
      <c r="DI73" s="35">
        <f>SUMIF('Resource Demand - Activity'!$FT:$FT,Example!$G73,'Resource Demand - Activity'!DD:DD)</f>
        <v>0</v>
      </c>
      <c r="DJ73" s="35">
        <f>SUMIF('Resource Demand - Activity'!$FT:$FT,Example!$G73,'Resource Demand - Activity'!DE:DE)</f>
        <v>0</v>
      </c>
      <c r="DK73" s="35">
        <f>SUMIF('Resource Demand - Activity'!$FT:$FT,Example!$G73,'Resource Demand - Activity'!DF:DF)</f>
        <v>0</v>
      </c>
      <c r="DL73" s="35">
        <f>SUMIF('Resource Demand - Activity'!$FT:$FT,Example!$G73,'Resource Demand - Activity'!DG:DG)</f>
        <v>0</v>
      </c>
      <c r="DM73" s="35">
        <f>SUMIF('Resource Demand - Activity'!$FT:$FT,Example!$G73,'Resource Demand - Activity'!DH:DH)</f>
        <v>0</v>
      </c>
      <c r="DN73" s="35">
        <f>SUMIF('Resource Demand - Activity'!$FT:$FT,Example!$G73,'Resource Demand - Activity'!DI:DI)</f>
        <v>0</v>
      </c>
      <c r="DO73" s="35">
        <f>SUMIF('Resource Demand - Activity'!$FT:$FT,Example!$G73,'Resource Demand - Activity'!DJ:DJ)</f>
        <v>0</v>
      </c>
      <c r="DP73" s="35">
        <f>SUMIF('Resource Demand - Activity'!$FT:$FT,Example!$G73,'Resource Demand - Activity'!DK:DK)</f>
        <v>0</v>
      </c>
      <c r="DQ73" s="35">
        <f>SUMIF('Resource Demand - Activity'!$FT:$FT,Example!$G73,'Resource Demand - Activity'!DL:DL)</f>
        <v>0</v>
      </c>
      <c r="DR73" s="35">
        <f>SUMIF('Resource Demand - Activity'!$FT:$FT,Example!$G73,'Resource Demand - Activity'!DM:DM)</f>
        <v>0</v>
      </c>
      <c r="DS73" s="35">
        <f>SUMIF('Resource Demand - Activity'!$FT:$FT,Example!$G73,'Resource Demand - Activity'!DN:DN)</f>
        <v>0</v>
      </c>
      <c r="DT73" s="35">
        <f>SUMIF('Resource Demand - Activity'!$FT:$FT,Example!$G73,'Resource Demand - Activity'!DO:DO)</f>
        <v>0</v>
      </c>
      <c r="DU73" s="35">
        <f>SUMIF('Resource Demand - Activity'!$FT:$FT,Example!$G73,'Resource Demand - Activity'!DP:DP)</f>
        <v>0</v>
      </c>
      <c r="DV73" s="35">
        <f>SUMIF('Resource Demand - Activity'!$FT:$FT,Example!$G73,'Resource Demand - Activity'!DQ:DQ)</f>
        <v>0</v>
      </c>
      <c r="DW73" s="35">
        <f>SUMIF('Resource Demand - Activity'!$FT:$FT,Example!$G73,'Resource Demand - Activity'!DR:DR)</f>
        <v>0</v>
      </c>
      <c r="DX73" s="35">
        <f>SUMIF('Resource Demand - Activity'!$FT:$FT,Example!$G73,'Resource Demand - Activity'!DS:DS)</f>
        <v>0</v>
      </c>
      <c r="DY73" s="35">
        <f>SUMIF('Resource Demand - Activity'!$FT:$FT,Example!$G73,'Resource Demand - Activity'!DT:DT)</f>
        <v>0</v>
      </c>
      <c r="DZ73" s="35">
        <f>SUMIF('Resource Demand - Activity'!$FT:$FT,Example!$G73,'Resource Demand - Activity'!DU:DU)</f>
        <v>0</v>
      </c>
      <c r="EA73" s="35">
        <f>SUMIF('Resource Demand - Activity'!$FT:$FT,Example!$G73,'Resource Demand - Activity'!DV:DV)</f>
        <v>0</v>
      </c>
      <c r="EB73" s="35">
        <f>SUMIF('Resource Demand - Activity'!$FT:$FT,Example!$G73,'Resource Demand - Activity'!DW:DW)</f>
        <v>0</v>
      </c>
      <c r="EC73" s="35">
        <f>SUMIF('Resource Demand - Activity'!$FT:$FT,Example!$G73,'Resource Demand - Activity'!DX:DX)</f>
        <v>0</v>
      </c>
      <c r="ED73" s="35">
        <f>SUMIF('Resource Demand - Activity'!$FT:$FT,Example!$G73,'Resource Demand - Activity'!DY:DY)</f>
        <v>0</v>
      </c>
      <c r="EE73" s="36">
        <f>SUMIF('Resource Demand - Activity'!$FT:$FT,Example!$G73,'Resource Demand - Activity'!DZ:DZ)</f>
        <v>0</v>
      </c>
      <c r="EF73" s="35">
        <f>SUMIF('Resource Demand - Activity'!$FT:$FT,Example!$G73,'Resource Demand - Activity'!EA:EA)</f>
        <v>0</v>
      </c>
      <c r="EG73" s="35">
        <f>SUMIF('Resource Demand - Activity'!$FT:$FT,Example!$G73,'Resource Demand - Activity'!EB:EB)</f>
        <v>0</v>
      </c>
      <c r="EH73" s="35">
        <f>SUMIF('Resource Demand - Activity'!$FT:$FT,Example!$G73,'Resource Demand - Activity'!EC:EC)</f>
        <v>0</v>
      </c>
      <c r="EI73" s="35">
        <f>SUMIF('Resource Demand - Activity'!$FT:$FT,Example!$G73,'Resource Demand - Activity'!ED:ED)</f>
        <v>0</v>
      </c>
      <c r="EJ73" s="35">
        <f>SUMIF('Resource Demand - Activity'!$FT:$FT,Example!$G73,'Resource Demand - Activity'!EE:EE)</f>
        <v>0</v>
      </c>
      <c r="EK73" s="35">
        <f>SUMIF('Resource Demand - Activity'!$FT:$FT,Example!$G73,'Resource Demand - Activity'!EF:EF)</f>
        <v>0</v>
      </c>
      <c r="EL73" s="35">
        <f>SUMIF('Resource Demand - Activity'!$FT:$FT,Example!$G73,'Resource Demand - Activity'!EG:EG)</f>
        <v>0</v>
      </c>
      <c r="EM73" s="35">
        <f>SUMIF('Resource Demand - Activity'!$FT:$FT,Example!$G73,'Resource Demand - Activity'!EH:EH)</f>
        <v>0</v>
      </c>
      <c r="EN73" s="35">
        <f>SUMIF('Resource Demand - Activity'!$FT:$FT,Example!$G73,'Resource Demand - Activity'!EI:EI)</f>
        <v>0</v>
      </c>
      <c r="EO73" s="35">
        <f>SUMIF('Resource Demand - Activity'!$FT:$FT,Example!$G73,'Resource Demand - Activity'!EJ:EJ)</f>
        <v>0</v>
      </c>
      <c r="EP73" s="35">
        <f>SUMIF('Resource Demand - Activity'!$FT:$FT,Example!$G73,'Resource Demand - Activity'!EK:EK)</f>
        <v>0</v>
      </c>
      <c r="EQ73" s="35">
        <f>SUMIF('Resource Demand - Activity'!$FT:$FT,Example!$G73,'Resource Demand - Activity'!EL:EL)</f>
        <v>0</v>
      </c>
      <c r="ER73" s="35">
        <f>SUMIF('Resource Demand - Activity'!$FT:$FT,Example!$G73,'Resource Demand - Activity'!EM:EM)</f>
        <v>0</v>
      </c>
      <c r="ES73" s="35">
        <f>SUMIF('Resource Demand - Activity'!$FT:$FT,Example!$G73,'Resource Demand - Activity'!EN:EN)</f>
        <v>0</v>
      </c>
      <c r="ET73" s="35">
        <f>SUMIF('Resource Demand - Activity'!$FT:$FT,Example!$G73,'Resource Demand - Activity'!EO:EO)</f>
        <v>0</v>
      </c>
      <c r="EU73" s="35">
        <f>SUMIF('Resource Demand - Activity'!$FT:$FT,Example!$G73,'Resource Demand - Activity'!EP:EP)</f>
        <v>0</v>
      </c>
      <c r="EV73" s="35">
        <f>SUMIF('Resource Demand - Activity'!$FT:$FT,Example!$G73,'Resource Demand - Activity'!EQ:EQ)</f>
        <v>0</v>
      </c>
      <c r="EW73" s="35">
        <f>SUMIF('Resource Demand - Activity'!$FT:$FT,Example!$G73,'Resource Demand - Activity'!ER:ER)</f>
        <v>1</v>
      </c>
      <c r="EX73" s="35">
        <f>SUMIF('Resource Demand - Activity'!$FT:$FT,Example!$G73,'Resource Demand - Activity'!ES:ES)</f>
        <v>1</v>
      </c>
      <c r="EY73" s="35">
        <f>SUMIF('Resource Demand - Activity'!$FT:$FT,Example!$G73,'Resource Demand - Activity'!ET:ET)</f>
        <v>1</v>
      </c>
      <c r="EZ73" s="35">
        <f>SUMIF('Resource Demand - Activity'!$FT:$FT,Example!$G73,'Resource Demand - Activity'!EU:EU)</f>
        <v>1</v>
      </c>
      <c r="FA73" s="35">
        <f>SUMIF('Resource Demand - Activity'!$FT:$FT,Example!$G73,'Resource Demand - Activity'!EV:EV)</f>
        <v>1</v>
      </c>
      <c r="FB73" s="35">
        <f>SUMIF('Resource Demand - Activity'!$FT:$FT,Example!$G73,'Resource Demand - Activity'!EW:EW)</f>
        <v>1</v>
      </c>
      <c r="FC73" s="35">
        <f>SUMIF('Resource Demand - Activity'!$FT:$FT,Example!$G73,'Resource Demand - Activity'!EX:EX)</f>
        <v>0</v>
      </c>
      <c r="FD73" s="36">
        <f>SUMIF('Resource Demand - Activity'!$FT:$FT,Example!$G73,'Resource Demand - Activity'!EY:EY)</f>
        <v>0</v>
      </c>
      <c r="FE73" s="35">
        <f>SUMIF('Resource Demand - Activity'!$FT:$FT,Example!$G73,'Resource Demand - Activity'!EZ:EZ)</f>
        <v>0</v>
      </c>
      <c r="FF73" s="35">
        <f>SUMIF('Resource Demand - Activity'!$FT:$FT,Example!$G73,'Resource Demand - Activity'!FA:FA)</f>
        <v>0</v>
      </c>
      <c r="FG73" s="35">
        <f>SUMIF('Resource Demand - Activity'!$FT:$FT,Example!$G73,'Resource Demand - Activity'!FB:FB)</f>
        <v>0</v>
      </c>
      <c r="FH73" s="35">
        <f>SUMIF('Resource Demand - Activity'!$FT:$FT,Example!$G73,'Resource Demand - Activity'!FC:FC)</f>
        <v>0</v>
      </c>
      <c r="FI73" s="35">
        <f>SUMIF('Resource Demand - Activity'!$FT:$FT,Example!$G73,'Resource Demand - Activity'!FD:FD)</f>
        <v>0</v>
      </c>
      <c r="FJ73" s="35">
        <f>SUMIF('Resource Demand - Activity'!$FT:$FT,Example!$G73,'Resource Demand - Activity'!FE:FE)</f>
        <v>0</v>
      </c>
      <c r="FK73" s="35">
        <f>SUMIF('Resource Demand - Activity'!$FT:$FT,Example!$G73,'Resource Demand - Activity'!FF:FF)</f>
        <v>0</v>
      </c>
      <c r="FL73" s="35">
        <f>SUMIF('Resource Demand - Activity'!$FT:$FT,Example!$G73,'Resource Demand - Activity'!FG:FG)</f>
        <v>0</v>
      </c>
      <c r="FM73" s="35">
        <f>SUMIF('Resource Demand - Activity'!$FT:$FT,Example!$G73,'Resource Demand - Activity'!FH:FH)</f>
        <v>0</v>
      </c>
      <c r="FN73" s="35">
        <f>SUMIF('Resource Demand - Activity'!$FT:$FT,Example!$G73,'Resource Demand - Activity'!FI:FI)</f>
        <v>0</v>
      </c>
      <c r="FO73" s="35">
        <f>SUMIF('Resource Demand - Activity'!$FT:$FT,Example!$G73,'Resource Demand - Activity'!FJ:FJ)</f>
        <v>0</v>
      </c>
      <c r="FP73" s="35">
        <f>SUMIF('Resource Demand - Activity'!$FT:$FT,Example!$G73,'Resource Demand - Activity'!FK:FK)</f>
        <v>0</v>
      </c>
      <c r="FQ73" s="35">
        <f>SUMIF('Resource Demand - Activity'!$FT:$FT,Example!$G73,'Resource Demand - Activity'!FL:FL)</f>
        <v>0</v>
      </c>
      <c r="FR73" s="35">
        <f>SUMIF('Resource Demand - Activity'!$FT:$FT,Example!$G73,'Resource Demand - Activity'!FM:FM)</f>
        <v>0</v>
      </c>
      <c r="FS73" s="35">
        <f>SUMIF('Resource Demand - Activity'!$FT:$FT,Example!$G73,'Resource Demand - Activity'!FN:FN)</f>
        <v>0</v>
      </c>
      <c r="FT73" s="35">
        <f>SUMIF('Resource Demand - Activity'!$FT:$FT,Example!$G73,'Resource Demand - Activity'!FO:FO)</f>
        <v>0</v>
      </c>
      <c r="FU73" s="35">
        <f>SUMIF('Resource Demand - Activity'!$FT:$FT,Example!$G73,'Resource Demand - Activity'!FP:FP)</f>
        <v>0</v>
      </c>
      <c r="FV73" s="52">
        <f>SUMIF('Resource Demand - Activity'!$FT:$FT,Example!$G73,'Resource Demand - Activity'!FQ:FQ)</f>
        <v>0</v>
      </c>
    </row>
    <row r="74" spans="2:178" s="63" customFormat="1" ht="12" customHeight="1">
      <c r="B74" s="1"/>
      <c r="G74" s="64" t="str">
        <f t="shared" si="11"/>
        <v>10. BAU Transition 10.7 RSR Development &amp; Dry RunJunior Accountant</v>
      </c>
      <c r="H74" s="59" t="s">
        <v>158</v>
      </c>
      <c r="I74" s="59" t="str">
        <f>INDEX('Resource Demand - Activity'!C:C,MATCH(Example!G74,'Resource Demand - Activity'!FT:FT,0))</f>
        <v>6 days</v>
      </c>
      <c r="J74" s="51">
        <f>SUMIF('Resource Demand - Activity'!$FT:$FT,Example!$G74,'Resource Demand - Activity'!E:E)</f>
        <v>0</v>
      </c>
      <c r="K74" s="35">
        <f>SUMIF('Resource Demand - Activity'!$FT:$FT,Example!$G74,'Resource Demand - Activity'!F:F)</f>
        <v>0</v>
      </c>
      <c r="L74" s="35">
        <f>SUMIF('Resource Demand - Activity'!$FT:$FT,Example!$G74,'Resource Demand - Activity'!G:G)</f>
        <v>0</v>
      </c>
      <c r="M74" s="35">
        <f>SUMIF('Resource Demand - Activity'!$FT:$FT,Example!$G74,'Resource Demand - Activity'!H:H)</f>
        <v>0</v>
      </c>
      <c r="N74" s="35">
        <f>SUMIF('Resource Demand - Activity'!$FT:$FT,Example!$G74,'Resource Demand - Activity'!I:I)</f>
        <v>0</v>
      </c>
      <c r="O74" s="35">
        <f>SUMIF('Resource Demand - Activity'!$FT:$FT,Example!$G74,'Resource Demand - Activity'!J:J)</f>
        <v>0</v>
      </c>
      <c r="P74" s="35">
        <f>SUMIF('Resource Demand - Activity'!$FT:$FT,Example!$G74,'Resource Demand - Activity'!K:K)</f>
        <v>0</v>
      </c>
      <c r="Q74" s="35">
        <f>SUMIF('Resource Demand - Activity'!$FT:$FT,Example!$G74,'Resource Demand - Activity'!L:L)</f>
        <v>0</v>
      </c>
      <c r="R74" s="35">
        <f>SUMIF('Resource Demand - Activity'!$FT:$FT,Example!$G74,'Resource Demand - Activity'!M:M)</f>
        <v>0</v>
      </c>
      <c r="S74" s="35">
        <f>SUMIF('Resource Demand - Activity'!$FT:$FT,Example!$G74,'Resource Demand - Activity'!N:N)</f>
        <v>0</v>
      </c>
      <c r="T74" s="35">
        <f>SUMIF('Resource Demand - Activity'!$FT:$FT,Example!$G74,'Resource Demand - Activity'!O:O)</f>
        <v>0</v>
      </c>
      <c r="U74" s="35">
        <f>SUMIF('Resource Demand - Activity'!$FT:$FT,Example!$G74,'Resource Demand - Activity'!P:P)</f>
        <v>0</v>
      </c>
      <c r="V74" s="35">
        <f>SUMIF('Resource Demand - Activity'!$FT:$FT,Example!$G74,'Resource Demand - Activity'!Q:Q)</f>
        <v>0</v>
      </c>
      <c r="W74" s="35">
        <f>SUMIF('Resource Demand - Activity'!$FT:$FT,Example!$G74,'Resource Demand - Activity'!R:R)</f>
        <v>0</v>
      </c>
      <c r="X74" s="35">
        <f>SUMIF('Resource Demand - Activity'!$FT:$FT,Example!$G74,'Resource Demand - Activity'!S:S)</f>
        <v>0</v>
      </c>
      <c r="Y74" s="35">
        <f>SUMIF('Resource Demand - Activity'!$FT:$FT,Example!$G74,'Resource Demand - Activity'!T:T)</f>
        <v>0</v>
      </c>
      <c r="Z74" s="35">
        <f>SUMIF('Resource Demand - Activity'!$FT:$FT,Example!$G74,'Resource Demand - Activity'!U:U)</f>
        <v>0</v>
      </c>
      <c r="AA74" s="35">
        <f>SUMIF('Resource Demand - Activity'!$FT:$FT,Example!$G74,'Resource Demand - Activity'!V:V)</f>
        <v>0</v>
      </c>
      <c r="AB74" s="35">
        <f>SUMIF('Resource Demand - Activity'!$FT:$FT,Example!$G74,'Resource Demand - Activity'!W:W)</f>
        <v>0</v>
      </c>
      <c r="AC74" s="35">
        <f>SUMIF('Resource Demand - Activity'!$FT:$FT,Example!$G74,'Resource Demand - Activity'!X:X)</f>
        <v>0</v>
      </c>
      <c r="AD74" s="35">
        <f>SUMIF('Resource Demand - Activity'!$FT:$FT,Example!$G74,'Resource Demand - Activity'!Y:Y)</f>
        <v>0</v>
      </c>
      <c r="AE74" s="35">
        <f>SUMIF('Resource Demand - Activity'!$FT:$FT,Example!$G74,'Resource Demand - Activity'!Z:Z)</f>
        <v>0</v>
      </c>
      <c r="AF74" s="35">
        <f>SUMIF('Resource Demand - Activity'!$FT:$FT,Example!$G74,'Resource Demand - Activity'!AA:AA)</f>
        <v>0</v>
      </c>
      <c r="AG74" s="35">
        <f>SUMIF('Resource Demand - Activity'!$FT:$FT,Example!$G74,'Resource Demand - Activity'!AB:AB)</f>
        <v>0</v>
      </c>
      <c r="AH74" s="35">
        <f>SUMIF('Resource Demand - Activity'!$FT:$FT,Example!$G74,'Resource Demand - Activity'!AC:AC)</f>
        <v>0</v>
      </c>
      <c r="AI74" s="35">
        <f>SUMIF('Resource Demand - Activity'!$FT:$FT,Example!$G74,'Resource Demand - Activity'!AD:AD)</f>
        <v>0</v>
      </c>
      <c r="AJ74" s="35">
        <f>SUMIF('Resource Demand - Activity'!$FT:$FT,Example!$G74,'Resource Demand - Activity'!AE:AE)</f>
        <v>0</v>
      </c>
      <c r="AK74" s="35">
        <f>SUMIF('Resource Demand - Activity'!$FT:$FT,Example!$G74,'Resource Demand - Activity'!AF:AF)</f>
        <v>0</v>
      </c>
      <c r="AL74" s="35">
        <f>SUMIF('Resource Demand - Activity'!$FT:$FT,Example!$G74,'Resource Demand - Activity'!AG:AG)</f>
        <v>0</v>
      </c>
      <c r="AM74" s="35">
        <f>SUMIF('Resource Demand - Activity'!$FT:$FT,Example!$G74,'Resource Demand - Activity'!AH:AH)</f>
        <v>0</v>
      </c>
      <c r="AN74" s="35">
        <f>SUMIF('Resource Demand - Activity'!$FT:$FT,Example!$G74,'Resource Demand - Activity'!AI:AI)</f>
        <v>0</v>
      </c>
      <c r="AO74" s="35">
        <f>SUMIF('Resource Demand - Activity'!$FT:$FT,Example!$G74,'Resource Demand - Activity'!AJ:AJ)</f>
        <v>0</v>
      </c>
      <c r="AP74" s="35">
        <f>SUMIF('Resource Demand - Activity'!$FT:$FT,Example!$G74,'Resource Demand - Activity'!AK:AK)</f>
        <v>0</v>
      </c>
      <c r="AQ74" s="36">
        <f>SUMIF('Resource Demand - Activity'!$FT:$FT,Example!$G74,'Resource Demand - Activity'!AL:AL)</f>
        <v>0</v>
      </c>
      <c r="AR74" s="36">
        <f>SUMIF('Resource Demand - Activity'!$FT:$FT,Example!$G74,'Resource Demand - Activity'!AM:AM)</f>
        <v>0</v>
      </c>
      <c r="AS74" s="36">
        <f>SUMIF('Resource Demand - Activity'!$FT:$FT,Example!$G74,'Resource Demand - Activity'!AN:AN)</f>
        <v>0</v>
      </c>
      <c r="AT74" s="36">
        <f>SUMIF('Resource Demand - Activity'!$FT:$FT,Example!$G74,'Resource Demand - Activity'!AO:AO)</f>
        <v>0</v>
      </c>
      <c r="AU74" s="36">
        <f>SUMIF('Resource Demand - Activity'!$FT:$FT,Example!$G74,'Resource Demand - Activity'!AP:AP)</f>
        <v>0</v>
      </c>
      <c r="AV74" s="36">
        <f>SUMIF('Resource Demand - Activity'!$FT:$FT,Example!$G74,'Resource Demand - Activity'!AQ:AQ)</f>
        <v>0</v>
      </c>
      <c r="AW74" s="36">
        <f>SUMIF('Resource Demand - Activity'!$FT:$FT,Example!$G74,'Resource Demand - Activity'!AR:AR)</f>
        <v>0</v>
      </c>
      <c r="AX74" s="35">
        <f>SUMIF('Resource Demand - Activity'!$FT:$FT,Example!$G74,'Resource Demand - Activity'!AS:AS)</f>
        <v>0</v>
      </c>
      <c r="AY74" s="35">
        <f>SUMIF('Resource Demand - Activity'!$FT:$FT,Example!$G74,'Resource Demand - Activity'!AT:AT)</f>
        <v>0</v>
      </c>
      <c r="AZ74" s="35">
        <f>SUMIF('Resource Demand - Activity'!$FT:$FT,Example!$G74,'Resource Demand - Activity'!AU:AU)</f>
        <v>0</v>
      </c>
      <c r="BA74" s="35">
        <f>SUMIF('Resource Demand - Activity'!$FT:$FT,Example!$G74,'Resource Demand - Activity'!AV:AV)</f>
        <v>0</v>
      </c>
      <c r="BB74" s="35">
        <f>SUMIF('Resource Demand - Activity'!$FT:$FT,Example!$G74,'Resource Demand - Activity'!AW:AW)</f>
        <v>0</v>
      </c>
      <c r="BC74" s="35">
        <f>SUMIF('Resource Demand - Activity'!$FT:$FT,Example!$G74,'Resource Demand - Activity'!AX:AX)</f>
        <v>0</v>
      </c>
      <c r="BD74" s="35">
        <f>SUMIF('Resource Demand - Activity'!$FT:$FT,Example!$G74,'Resource Demand - Activity'!AY:AY)</f>
        <v>0</v>
      </c>
      <c r="BE74" s="35">
        <f>SUMIF('Resource Demand - Activity'!$FT:$FT,Example!$G74,'Resource Demand - Activity'!AZ:AZ)</f>
        <v>0</v>
      </c>
      <c r="BF74" s="35">
        <f>SUMIF('Resource Demand - Activity'!$FT:$FT,Example!$G74,'Resource Demand - Activity'!BA:BA)</f>
        <v>0</v>
      </c>
      <c r="BG74" s="35">
        <f>SUMIF('Resource Demand - Activity'!$FT:$FT,Example!$G74,'Resource Demand - Activity'!BB:BB)</f>
        <v>0</v>
      </c>
      <c r="BH74" s="35">
        <f>SUMIF('Resource Demand - Activity'!$FT:$FT,Example!$G74,'Resource Demand - Activity'!BC:BC)</f>
        <v>0</v>
      </c>
      <c r="BI74" s="35">
        <f>SUMIF('Resource Demand - Activity'!$FT:$FT,Example!$G74,'Resource Demand - Activity'!BD:BD)</f>
        <v>0</v>
      </c>
      <c r="BJ74" s="35">
        <f>SUMIF('Resource Demand - Activity'!$FT:$FT,Example!$G74,'Resource Demand - Activity'!BE:BE)</f>
        <v>0</v>
      </c>
      <c r="BK74" s="35">
        <f>SUMIF('Resource Demand - Activity'!$FT:$FT,Example!$G74,'Resource Demand - Activity'!BF:BF)</f>
        <v>0</v>
      </c>
      <c r="BL74" s="35">
        <f>SUMIF('Resource Demand - Activity'!$FT:$FT,Example!$G74,'Resource Demand - Activity'!BG:BG)</f>
        <v>0</v>
      </c>
      <c r="BM74" s="35">
        <f>SUMIF('Resource Demand - Activity'!$FT:$FT,Example!$G74,'Resource Demand - Activity'!BH:BH)</f>
        <v>0</v>
      </c>
      <c r="BN74" s="35">
        <f>SUMIF('Resource Demand - Activity'!$FT:$FT,Example!$G74,'Resource Demand - Activity'!BI:BI)</f>
        <v>0</v>
      </c>
      <c r="BO74" s="35">
        <f>SUMIF('Resource Demand - Activity'!$FT:$FT,Example!$G74,'Resource Demand - Activity'!BJ:BJ)</f>
        <v>0</v>
      </c>
      <c r="BP74" s="35">
        <f>SUMIF('Resource Demand - Activity'!$FT:$FT,Example!$G74,'Resource Demand - Activity'!BK:BK)</f>
        <v>0</v>
      </c>
      <c r="BQ74" s="35">
        <f>SUMIF('Resource Demand - Activity'!$FT:$FT,Example!$G74,'Resource Demand - Activity'!BL:BL)</f>
        <v>0</v>
      </c>
      <c r="BR74" s="35">
        <f>SUMIF('Resource Demand - Activity'!$FT:$FT,Example!$G74,'Resource Demand - Activity'!BM:BM)</f>
        <v>0</v>
      </c>
      <c r="BS74" s="35">
        <f>SUMIF('Resource Demand - Activity'!$FT:$FT,Example!$G74,'Resource Demand - Activity'!BN:BN)</f>
        <v>0</v>
      </c>
      <c r="BT74" s="35">
        <f>SUMIF('Resource Demand - Activity'!$FT:$FT,Example!$G74,'Resource Demand - Activity'!BO:BO)</f>
        <v>0</v>
      </c>
      <c r="BU74" s="35">
        <f>SUMIF('Resource Demand - Activity'!$FT:$FT,Example!$G74,'Resource Demand - Activity'!BP:BP)</f>
        <v>0</v>
      </c>
      <c r="BV74" s="35">
        <f>SUMIF('Resource Demand - Activity'!$FT:$FT,Example!$G74,'Resource Demand - Activity'!BQ:BQ)</f>
        <v>0</v>
      </c>
      <c r="BW74" s="35">
        <f>SUMIF('Resource Demand - Activity'!$FT:$FT,Example!$G74,'Resource Demand - Activity'!BR:BR)</f>
        <v>0</v>
      </c>
      <c r="BX74" s="35">
        <f>SUMIF('Resource Demand - Activity'!$FT:$FT,Example!$G74,'Resource Demand - Activity'!BS:BS)</f>
        <v>0</v>
      </c>
      <c r="BY74" s="35">
        <f>SUMIF('Resource Demand - Activity'!$FT:$FT,Example!$G74,'Resource Demand - Activity'!BT:BT)</f>
        <v>0</v>
      </c>
      <c r="BZ74" s="35">
        <f>SUMIF('Resource Demand - Activity'!$FT:$FT,Example!$G74,'Resource Demand - Activity'!BU:BU)</f>
        <v>0</v>
      </c>
      <c r="CA74" s="35">
        <f>SUMIF('Resource Demand - Activity'!$FT:$FT,Example!$G74,'Resource Demand - Activity'!BV:BV)</f>
        <v>0</v>
      </c>
      <c r="CB74" s="35">
        <f>SUMIF('Resource Demand - Activity'!$FT:$FT,Example!$G74,'Resource Demand - Activity'!BW:BW)</f>
        <v>0</v>
      </c>
      <c r="CC74" s="35">
        <f>SUMIF('Resource Demand - Activity'!$FT:$FT,Example!$G74,'Resource Demand - Activity'!BX:BX)</f>
        <v>0</v>
      </c>
      <c r="CD74" s="35">
        <f>SUMIF('Resource Demand - Activity'!$FT:$FT,Example!$G74,'Resource Demand - Activity'!BY:BY)</f>
        <v>0</v>
      </c>
      <c r="CE74" s="35">
        <f>SUMIF('Resource Demand - Activity'!$FT:$FT,Example!$G74,'Resource Demand - Activity'!BZ:BZ)</f>
        <v>0</v>
      </c>
      <c r="CF74" s="35">
        <f>SUMIF('Resource Demand - Activity'!$FT:$FT,Example!$G74,'Resource Demand - Activity'!CA:CA)</f>
        <v>0</v>
      </c>
      <c r="CG74" s="35">
        <f>SUMIF('Resource Demand - Activity'!$FT:$FT,Example!$G74,'Resource Demand - Activity'!CB:CB)</f>
        <v>0</v>
      </c>
      <c r="CH74" s="35">
        <f>SUMIF('Resource Demand - Activity'!$FT:$FT,Example!$G74,'Resource Demand - Activity'!CC:CC)</f>
        <v>0</v>
      </c>
      <c r="CI74" s="35">
        <f>SUMIF('Resource Demand - Activity'!$FT:$FT,Example!$G74,'Resource Demand - Activity'!CD:CD)</f>
        <v>0</v>
      </c>
      <c r="CJ74" s="35">
        <f>SUMIF('Resource Demand - Activity'!$FT:$FT,Example!$G74,'Resource Demand - Activity'!CE:CE)</f>
        <v>0</v>
      </c>
      <c r="CK74" s="35">
        <f>SUMIF('Resource Demand - Activity'!$FT:$FT,Example!$G74,'Resource Demand - Activity'!CF:CF)</f>
        <v>0</v>
      </c>
      <c r="CL74" s="35">
        <f>SUMIF('Resource Demand - Activity'!$FT:$FT,Example!$G74,'Resource Demand - Activity'!CG:CG)</f>
        <v>0</v>
      </c>
      <c r="CM74" s="35">
        <f>SUMIF('Resource Demand - Activity'!$FT:$FT,Example!$G74,'Resource Demand - Activity'!CH:CH)</f>
        <v>0</v>
      </c>
      <c r="CN74" s="35">
        <f>SUMIF('Resource Demand - Activity'!$FT:$FT,Example!$G74,'Resource Demand - Activity'!CI:CI)</f>
        <v>0</v>
      </c>
      <c r="CO74" s="35">
        <f>SUMIF('Resource Demand - Activity'!$FT:$FT,Example!$G74,'Resource Demand - Activity'!CJ:CJ)</f>
        <v>0</v>
      </c>
      <c r="CP74" s="35">
        <f>SUMIF('Resource Demand - Activity'!$FT:$FT,Example!$G74,'Resource Demand - Activity'!CK:CK)</f>
        <v>0</v>
      </c>
      <c r="CQ74" s="35">
        <f>SUMIF('Resource Demand - Activity'!$FT:$FT,Example!$G74,'Resource Demand - Activity'!CL:CL)</f>
        <v>0</v>
      </c>
      <c r="CR74" s="35">
        <f>SUMIF('Resource Demand - Activity'!$FT:$FT,Example!$G74,'Resource Demand - Activity'!CM:CM)</f>
        <v>0</v>
      </c>
      <c r="CS74" s="35">
        <f>SUMIF('Resource Demand - Activity'!$FT:$FT,Example!$G74,'Resource Demand - Activity'!CN:CN)</f>
        <v>0</v>
      </c>
      <c r="CT74" s="35">
        <f>SUMIF('Resource Demand - Activity'!$FT:$FT,Example!$G74,'Resource Demand - Activity'!CO:CO)</f>
        <v>0</v>
      </c>
      <c r="CU74" s="35">
        <f>SUMIF('Resource Demand - Activity'!$FT:$FT,Example!$G74,'Resource Demand - Activity'!CP:CP)</f>
        <v>0</v>
      </c>
      <c r="CV74" s="35">
        <f>SUMIF('Resource Demand - Activity'!$FT:$FT,Example!$G74,'Resource Demand - Activity'!CQ:CQ)</f>
        <v>0</v>
      </c>
      <c r="CW74" s="35">
        <f>SUMIF('Resource Demand - Activity'!$FT:$FT,Example!$G74,'Resource Demand - Activity'!CR:CR)</f>
        <v>0</v>
      </c>
      <c r="CX74" s="35">
        <f>SUMIF('Resource Demand - Activity'!$FT:$FT,Example!$G74,'Resource Demand - Activity'!CS:CS)</f>
        <v>0</v>
      </c>
      <c r="CY74" s="36">
        <f>SUMIF('Resource Demand - Activity'!$FT:$FT,Example!$G74,'Resource Demand - Activity'!CT:CT)</f>
        <v>0</v>
      </c>
      <c r="CZ74" s="35">
        <f>SUMIF('Resource Demand - Activity'!$FT:$FT,Example!$G74,'Resource Demand - Activity'!CU:CU)</f>
        <v>0</v>
      </c>
      <c r="DA74" s="35">
        <f>SUMIF('Resource Demand - Activity'!$FT:$FT,Example!$G74,'Resource Demand - Activity'!CV:CV)</f>
        <v>0</v>
      </c>
      <c r="DB74" s="35">
        <f>SUMIF('Resource Demand - Activity'!$FT:$FT,Example!$G74,'Resource Demand - Activity'!CW:CW)</f>
        <v>0</v>
      </c>
      <c r="DC74" s="35">
        <f>SUMIF('Resource Demand - Activity'!$FT:$FT,Example!$G74,'Resource Demand - Activity'!CX:CX)</f>
        <v>0</v>
      </c>
      <c r="DD74" s="35">
        <f>SUMIF('Resource Demand - Activity'!$FT:$FT,Example!$G74,'Resource Demand - Activity'!CY:CY)</f>
        <v>0</v>
      </c>
      <c r="DE74" s="36">
        <f>SUMIF('Resource Demand - Activity'!$FT:$FT,Example!$G74,'Resource Demand - Activity'!CZ:CZ)</f>
        <v>0</v>
      </c>
      <c r="DF74" s="36">
        <f>SUMIF('Resource Demand - Activity'!$FT:$FT,Example!$G74,'Resource Demand - Activity'!DA:DA)</f>
        <v>0</v>
      </c>
      <c r="DG74" s="35">
        <f>SUMIF('Resource Demand - Activity'!$FT:$FT,Example!$G74,'Resource Demand - Activity'!DB:DB)</f>
        <v>0</v>
      </c>
      <c r="DH74" s="35">
        <f>SUMIF('Resource Demand - Activity'!$FT:$FT,Example!$G74,'Resource Demand - Activity'!DC:DC)</f>
        <v>0</v>
      </c>
      <c r="DI74" s="35">
        <f>SUMIF('Resource Demand - Activity'!$FT:$FT,Example!$G74,'Resource Demand - Activity'!DD:DD)</f>
        <v>0</v>
      </c>
      <c r="DJ74" s="35">
        <f>SUMIF('Resource Demand - Activity'!$FT:$FT,Example!$G74,'Resource Demand - Activity'!DE:DE)</f>
        <v>0</v>
      </c>
      <c r="DK74" s="35">
        <f>SUMIF('Resource Demand - Activity'!$FT:$FT,Example!$G74,'Resource Demand - Activity'!DF:DF)</f>
        <v>0</v>
      </c>
      <c r="DL74" s="35">
        <f>SUMIF('Resource Demand - Activity'!$FT:$FT,Example!$G74,'Resource Demand - Activity'!DG:DG)</f>
        <v>0</v>
      </c>
      <c r="DM74" s="35">
        <f>SUMIF('Resource Demand - Activity'!$FT:$FT,Example!$G74,'Resource Demand - Activity'!DH:DH)</f>
        <v>0</v>
      </c>
      <c r="DN74" s="35">
        <f>SUMIF('Resource Demand - Activity'!$FT:$FT,Example!$G74,'Resource Demand - Activity'!DI:DI)</f>
        <v>0</v>
      </c>
      <c r="DO74" s="35">
        <f>SUMIF('Resource Demand - Activity'!$FT:$FT,Example!$G74,'Resource Demand - Activity'!DJ:DJ)</f>
        <v>0</v>
      </c>
      <c r="DP74" s="35">
        <f>SUMIF('Resource Demand - Activity'!$FT:$FT,Example!$G74,'Resource Demand - Activity'!DK:DK)</f>
        <v>0</v>
      </c>
      <c r="DQ74" s="35">
        <f>SUMIF('Resource Demand - Activity'!$FT:$FT,Example!$G74,'Resource Demand - Activity'!DL:DL)</f>
        <v>0</v>
      </c>
      <c r="DR74" s="35">
        <f>SUMIF('Resource Demand - Activity'!$FT:$FT,Example!$G74,'Resource Demand - Activity'!DM:DM)</f>
        <v>0</v>
      </c>
      <c r="DS74" s="35">
        <f>SUMIF('Resource Demand - Activity'!$FT:$FT,Example!$G74,'Resource Demand - Activity'!DN:DN)</f>
        <v>0</v>
      </c>
      <c r="DT74" s="35">
        <f>SUMIF('Resource Demand - Activity'!$FT:$FT,Example!$G74,'Resource Demand - Activity'!DO:DO)</f>
        <v>0</v>
      </c>
      <c r="DU74" s="35">
        <f>SUMIF('Resource Demand - Activity'!$FT:$FT,Example!$G74,'Resource Demand - Activity'!DP:DP)</f>
        <v>0</v>
      </c>
      <c r="DV74" s="35">
        <f>SUMIF('Resource Demand - Activity'!$FT:$FT,Example!$G74,'Resource Demand - Activity'!DQ:DQ)</f>
        <v>0</v>
      </c>
      <c r="DW74" s="35">
        <f>SUMIF('Resource Demand - Activity'!$FT:$FT,Example!$G74,'Resource Demand - Activity'!DR:DR)</f>
        <v>0</v>
      </c>
      <c r="DX74" s="35">
        <f>SUMIF('Resource Demand - Activity'!$FT:$FT,Example!$G74,'Resource Demand - Activity'!DS:DS)</f>
        <v>0</v>
      </c>
      <c r="DY74" s="35">
        <f>SUMIF('Resource Demand - Activity'!$FT:$FT,Example!$G74,'Resource Demand - Activity'!DT:DT)</f>
        <v>0</v>
      </c>
      <c r="DZ74" s="35">
        <f>SUMIF('Resource Demand - Activity'!$FT:$FT,Example!$G74,'Resource Demand - Activity'!DU:DU)</f>
        <v>0</v>
      </c>
      <c r="EA74" s="35">
        <f>SUMIF('Resource Demand - Activity'!$FT:$FT,Example!$G74,'Resource Demand - Activity'!DV:DV)</f>
        <v>0</v>
      </c>
      <c r="EB74" s="35">
        <f>SUMIF('Resource Demand - Activity'!$FT:$FT,Example!$G74,'Resource Demand - Activity'!DW:DW)</f>
        <v>0</v>
      </c>
      <c r="EC74" s="35">
        <f>SUMIF('Resource Demand - Activity'!$FT:$FT,Example!$G74,'Resource Demand - Activity'!DX:DX)</f>
        <v>0</v>
      </c>
      <c r="ED74" s="35">
        <f>SUMIF('Resource Demand - Activity'!$FT:$FT,Example!$G74,'Resource Demand - Activity'!DY:DY)</f>
        <v>0</v>
      </c>
      <c r="EE74" s="36">
        <f>SUMIF('Resource Demand - Activity'!$FT:$FT,Example!$G74,'Resource Demand - Activity'!DZ:DZ)</f>
        <v>0</v>
      </c>
      <c r="EF74" s="35">
        <f>SUMIF('Resource Demand - Activity'!$FT:$FT,Example!$G74,'Resource Demand - Activity'!EA:EA)</f>
        <v>0</v>
      </c>
      <c r="EG74" s="35">
        <f>SUMIF('Resource Demand - Activity'!$FT:$FT,Example!$G74,'Resource Demand - Activity'!EB:EB)</f>
        <v>0</v>
      </c>
      <c r="EH74" s="35">
        <f>SUMIF('Resource Demand - Activity'!$FT:$FT,Example!$G74,'Resource Demand - Activity'!EC:EC)</f>
        <v>0</v>
      </c>
      <c r="EI74" s="35">
        <f>SUMIF('Resource Demand - Activity'!$FT:$FT,Example!$G74,'Resource Demand - Activity'!ED:ED)</f>
        <v>0</v>
      </c>
      <c r="EJ74" s="35">
        <f>SUMIF('Resource Demand - Activity'!$FT:$FT,Example!$G74,'Resource Demand - Activity'!EE:EE)</f>
        <v>0</v>
      </c>
      <c r="EK74" s="35">
        <f>SUMIF('Resource Demand - Activity'!$FT:$FT,Example!$G74,'Resource Demand - Activity'!EF:EF)</f>
        <v>0</v>
      </c>
      <c r="EL74" s="35">
        <f>SUMIF('Resource Demand - Activity'!$FT:$FT,Example!$G74,'Resource Demand - Activity'!EG:EG)</f>
        <v>0</v>
      </c>
      <c r="EM74" s="35">
        <f>SUMIF('Resource Demand - Activity'!$FT:$FT,Example!$G74,'Resource Demand - Activity'!EH:EH)</f>
        <v>0</v>
      </c>
      <c r="EN74" s="35">
        <f>SUMIF('Resource Demand - Activity'!$FT:$FT,Example!$G74,'Resource Demand - Activity'!EI:EI)</f>
        <v>0</v>
      </c>
      <c r="EO74" s="35">
        <f>SUMIF('Resource Demand - Activity'!$FT:$FT,Example!$G74,'Resource Demand - Activity'!EJ:EJ)</f>
        <v>0</v>
      </c>
      <c r="EP74" s="35">
        <f>SUMIF('Resource Demand - Activity'!$FT:$FT,Example!$G74,'Resource Demand - Activity'!EK:EK)</f>
        <v>0</v>
      </c>
      <c r="EQ74" s="35">
        <f>SUMIF('Resource Demand - Activity'!$FT:$FT,Example!$G74,'Resource Demand - Activity'!EL:EL)</f>
        <v>0</v>
      </c>
      <c r="ER74" s="35">
        <f>SUMIF('Resource Demand - Activity'!$FT:$FT,Example!$G74,'Resource Demand - Activity'!EM:EM)</f>
        <v>0</v>
      </c>
      <c r="ES74" s="35">
        <f>SUMIF('Resource Demand - Activity'!$FT:$FT,Example!$G74,'Resource Demand - Activity'!EN:EN)</f>
        <v>0</v>
      </c>
      <c r="ET74" s="35">
        <f>SUMIF('Resource Demand - Activity'!$FT:$FT,Example!$G74,'Resource Demand - Activity'!EO:EO)</f>
        <v>0</v>
      </c>
      <c r="EU74" s="35">
        <f>SUMIF('Resource Demand - Activity'!$FT:$FT,Example!$G74,'Resource Demand - Activity'!EP:EP)</f>
        <v>0</v>
      </c>
      <c r="EV74" s="35">
        <f>SUMIF('Resource Demand - Activity'!$FT:$FT,Example!$G74,'Resource Demand - Activity'!EQ:EQ)</f>
        <v>0</v>
      </c>
      <c r="EW74" s="35">
        <f>SUMIF('Resource Demand - Activity'!$FT:$FT,Example!$G74,'Resource Demand - Activity'!ER:ER)</f>
        <v>0</v>
      </c>
      <c r="EX74" s="35">
        <f>SUMIF('Resource Demand - Activity'!$FT:$FT,Example!$G74,'Resource Demand - Activity'!ES:ES)</f>
        <v>0</v>
      </c>
      <c r="EY74" s="35">
        <f>SUMIF('Resource Demand - Activity'!$FT:$FT,Example!$G74,'Resource Demand - Activity'!ET:ET)</f>
        <v>0</v>
      </c>
      <c r="EZ74" s="35">
        <f>SUMIF('Resource Demand - Activity'!$FT:$FT,Example!$G74,'Resource Demand - Activity'!EU:EU)</f>
        <v>0</v>
      </c>
      <c r="FA74" s="35">
        <f>SUMIF('Resource Demand - Activity'!$FT:$FT,Example!$G74,'Resource Demand - Activity'!EV:EV)</f>
        <v>0</v>
      </c>
      <c r="FB74" s="35">
        <f>SUMIF('Resource Demand - Activity'!$FT:$FT,Example!$G74,'Resource Demand - Activity'!EW:EW)</f>
        <v>0</v>
      </c>
      <c r="FC74" s="35">
        <f>SUMIF('Resource Demand - Activity'!$FT:$FT,Example!$G74,'Resource Demand - Activity'!EX:EX)</f>
        <v>1</v>
      </c>
      <c r="FD74" s="36">
        <f>SUMIF('Resource Demand - Activity'!$FT:$FT,Example!$G74,'Resource Demand - Activity'!EY:EY)</f>
        <v>0</v>
      </c>
      <c r="FE74" s="35">
        <f>SUMIF('Resource Demand - Activity'!$FT:$FT,Example!$G74,'Resource Demand - Activity'!EZ:EZ)</f>
        <v>1</v>
      </c>
      <c r="FF74" s="35">
        <f>SUMIF('Resource Demand - Activity'!$FT:$FT,Example!$G74,'Resource Demand - Activity'!FA:FA)</f>
        <v>1</v>
      </c>
      <c r="FG74" s="35">
        <f>SUMIF('Resource Demand - Activity'!$FT:$FT,Example!$G74,'Resource Demand - Activity'!FB:FB)</f>
        <v>1</v>
      </c>
      <c r="FH74" s="35">
        <f>SUMIF('Resource Demand - Activity'!$FT:$FT,Example!$G74,'Resource Demand - Activity'!FC:FC)</f>
        <v>1</v>
      </c>
      <c r="FI74" s="35">
        <f>SUMIF('Resource Demand - Activity'!$FT:$FT,Example!$G74,'Resource Demand - Activity'!FD:FD)</f>
        <v>1</v>
      </c>
      <c r="FJ74" s="35">
        <f>SUMIF('Resource Demand - Activity'!$FT:$FT,Example!$G74,'Resource Demand - Activity'!FE:FE)</f>
        <v>0</v>
      </c>
      <c r="FK74" s="35">
        <f>SUMIF('Resource Demand - Activity'!$FT:$FT,Example!$G74,'Resource Demand - Activity'!FF:FF)</f>
        <v>0</v>
      </c>
      <c r="FL74" s="35">
        <f>SUMIF('Resource Demand - Activity'!$FT:$FT,Example!$G74,'Resource Demand - Activity'!FG:FG)</f>
        <v>0</v>
      </c>
      <c r="FM74" s="35">
        <f>SUMIF('Resource Demand - Activity'!$FT:$FT,Example!$G74,'Resource Demand - Activity'!FH:FH)</f>
        <v>0</v>
      </c>
      <c r="FN74" s="35">
        <f>SUMIF('Resource Demand - Activity'!$FT:$FT,Example!$G74,'Resource Demand - Activity'!FI:FI)</f>
        <v>0</v>
      </c>
      <c r="FO74" s="35">
        <f>SUMIF('Resource Demand - Activity'!$FT:$FT,Example!$G74,'Resource Demand - Activity'!FJ:FJ)</f>
        <v>0</v>
      </c>
      <c r="FP74" s="35">
        <f>SUMIF('Resource Demand - Activity'!$FT:$FT,Example!$G74,'Resource Demand - Activity'!FK:FK)</f>
        <v>0</v>
      </c>
      <c r="FQ74" s="35">
        <f>SUMIF('Resource Demand - Activity'!$FT:$FT,Example!$G74,'Resource Demand - Activity'!FL:FL)</f>
        <v>0</v>
      </c>
      <c r="FR74" s="35">
        <f>SUMIF('Resource Demand - Activity'!$FT:$FT,Example!$G74,'Resource Demand - Activity'!FM:FM)</f>
        <v>0</v>
      </c>
      <c r="FS74" s="35">
        <f>SUMIF('Resource Demand - Activity'!$FT:$FT,Example!$G74,'Resource Demand - Activity'!FN:FN)</f>
        <v>0</v>
      </c>
      <c r="FT74" s="35">
        <f>SUMIF('Resource Demand - Activity'!$FT:$FT,Example!$G74,'Resource Demand - Activity'!FO:FO)</f>
        <v>0</v>
      </c>
      <c r="FU74" s="35">
        <f>SUMIF('Resource Demand - Activity'!$FT:$FT,Example!$G74,'Resource Demand - Activity'!FP:FP)</f>
        <v>0</v>
      </c>
      <c r="FV74" s="52">
        <f>SUMIF('Resource Demand - Activity'!$FT:$FT,Example!$G74,'Resource Demand - Activity'!FQ:FQ)</f>
        <v>0</v>
      </c>
    </row>
    <row r="75" spans="2:178" s="63" customFormat="1" ht="12" customHeight="1">
      <c r="B75" s="1"/>
      <c r="G75" s="64" t="str">
        <f t="shared" si="11"/>
        <v>10. BAU Transition 10.8 NSTs/ECB Development &amp; Reporting Junior Accountant</v>
      </c>
      <c r="H75" s="59" t="s">
        <v>143</v>
      </c>
      <c r="I75" s="59" t="str">
        <f>INDEX('Resource Demand - Activity'!C:C,MATCH(Example!G75,'Resource Demand - Activity'!FT:FT,0))</f>
        <v>6 days</v>
      </c>
      <c r="J75" s="53">
        <f>SUMIF('Resource Demand - Activity'!$FT:$FT,Example!$G75,'Resource Demand - Activity'!E:E)</f>
        <v>0</v>
      </c>
      <c r="K75" s="54">
        <f>SUMIF('Resource Demand - Activity'!$FT:$FT,Example!$G75,'Resource Demand - Activity'!F:F)</f>
        <v>0</v>
      </c>
      <c r="L75" s="54">
        <f>SUMIF('Resource Demand - Activity'!$FT:$FT,Example!$G75,'Resource Demand - Activity'!G:G)</f>
        <v>0</v>
      </c>
      <c r="M75" s="54">
        <f>SUMIF('Resource Demand - Activity'!$FT:$FT,Example!$G75,'Resource Demand - Activity'!H:H)</f>
        <v>0</v>
      </c>
      <c r="N75" s="54">
        <f>SUMIF('Resource Demand - Activity'!$FT:$FT,Example!$G75,'Resource Demand - Activity'!I:I)</f>
        <v>0</v>
      </c>
      <c r="O75" s="54">
        <f>SUMIF('Resource Demand - Activity'!$FT:$FT,Example!$G75,'Resource Demand - Activity'!J:J)</f>
        <v>0</v>
      </c>
      <c r="P75" s="54">
        <f>SUMIF('Resource Demand - Activity'!$FT:$FT,Example!$G75,'Resource Demand - Activity'!K:K)</f>
        <v>0</v>
      </c>
      <c r="Q75" s="54">
        <f>SUMIF('Resource Demand - Activity'!$FT:$FT,Example!$G75,'Resource Demand - Activity'!L:L)</f>
        <v>0</v>
      </c>
      <c r="R75" s="54">
        <f>SUMIF('Resource Demand - Activity'!$FT:$FT,Example!$G75,'Resource Demand - Activity'!M:M)</f>
        <v>0</v>
      </c>
      <c r="S75" s="54">
        <f>SUMIF('Resource Demand - Activity'!$FT:$FT,Example!$G75,'Resource Demand - Activity'!N:N)</f>
        <v>0</v>
      </c>
      <c r="T75" s="54">
        <f>SUMIF('Resource Demand - Activity'!$FT:$FT,Example!$G75,'Resource Demand - Activity'!O:O)</f>
        <v>0</v>
      </c>
      <c r="U75" s="54">
        <f>SUMIF('Resource Demand - Activity'!$FT:$FT,Example!$G75,'Resource Demand - Activity'!P:P)</f>
        <v>0</v>
      </c>
      <c r="V75" s="54">
        <f>SUMIF('Resource Demand - Activity'!$FT:$FT,Example!$G75,'Resource Demand - Activity'!Q:Q)</f>
        <v>0</v>
      </c>
      <c r="W75" s="54">
        <f>SUMIF('Resource Demand - Activity'!$FT:$FT,Example!$G75,'Resource Demand - Activity'!R:R)</f>
        <v>0</v>
      </c>
      <c r="X75" s="54">
        <f>SUMIF('Resource Demand - Activity'!$FT:$FT,Example!$G75,'Resource Demand - Activity'!S:S)</f>
        <v>0</v>
      </c>
      <c r="Y75" s="54">
        <f>SUMIF('Resource Demand - Activity'!$FT:$FT,Example!$G75,'Resource Demand - Activity'!T:T)</f>
        <v>0</v>
      </c>
      <c r="Z75" s="54">
        <f>SUMIF('Resource Demand - Activity'!$FT:$FT,Example!$G75,'Resource Demand - Activity'!U:U)</f>
        <v>0</v>
      </c>
      <c r="AA75" s="54">
        <f>SUMIF('Resource Demand - Activity'!$FT:$FT,Example!$G75,'Resource Demand - Activity'!V:V)</f>
        <v>0</v>
      </c>
      <c r="AB75" s="54">
        <f>SUMIF('Resource Demand - Activity'!$FT:$FT,Example!$G75,'Resource Demand - Activity'!W:W)</f>
        <v>0</v>
      </c>
      <c r="AC75" s="54">
        <f>SUMIF('Resource Demand - Activity'!$FT:$FT,Example!$G75,'Resource Demand - Activity'!X:X)</f>
        <v>0</v>
      </c>
      <c r="AD75" s="54">
        <f>SUMIF('Resource Demand - Activity'!$FT:$FT,Example!$G75,'Resource Demand - Activity'!Y:Y)</f>
        <v>0</v>
      </c>
      <c r="AE75" s="54">
        <f>SUMIF('Resource Demand - Activity'!$FT:$FT,Example!$G75,'Resource Demand - Activity'!Z:Z)</f>
        <v>0</v>
      </c>
      <c r="AF75" s="54">
        <f>SUMIF('Resource Demand - Activity'!$FT:$FT,Example!$G75,'Resource Demand - Activity'!AA:AA)</f>
        <v>0</v>
      </c>
      <c r="AG75" s="54">
        <f>SUMIF('Resource Demand - Activity'!$FT:$FT,Example!$G75,'Resource Demand - Activity'!AB:AB)</f>
        <v>0</v>
      </c>
      <c r="AH75" s="54">
        <f>SUMIF('Resource Demand - Activity'!$FT:$FT,Example!$G75,'Resource Demand - Activity'!AC:AC)</f>
        <v>0</v>
      </c>
      <c r="AI75" s="54">
        <f>SUMIF('Resource Demand - Activity'!$FT:$FT,Example!$G75,'Resource Demand - Activity'!AD:AD)</f>
        <v>0</v>
      </c>
      <c r="AJ75" s="54">
        <f>SUMIF('Resource Demand - Activity'!$FT:$FT,Example!$G75,'Resource Demand - Activity'!AE:AE)</f>
        <v>0</v>
      </c>
      <c r="AK75" s="54">
        <f>SUMIF('Resource Demand - Activity'!$FT:$FT,Example!$G75,'Resource Demand - Activity'!AF:AF)</f>
        <v>0</v>
      </c>
      <c r="AL75" s="54">
        <f>SUMIF('Resource Demand - Activity'!$FT:$FT,Example!$G75,'Resource Demand - Activity'!AG:AG)</f>
        <v>0</v>
      </c>
      <c r="AM75" s="54">
        <f>SUMIF('Resource Demand - Activity'!$FT:$FT,Example!$G75,'Resource Demand - Activity'!AH:AH)</f>
        <v>0</v>
      </c>
      <c r="AN75" s="54">
        <f>SUMIF('Resource Demand - Activity'!$FT:$FT,Example!$G75,'Resource Demand - Activity'!AI:AI)</f>
        <v>0</v>
      </c>
      <c r="AO75" s="54">
        <f>SUMIF('Resource Demand - Activity'!$FT:$FT,Example!$G75,'Resource Demand - Activity'!AJ:AJ)</f>
        <v>0</v>
      </c>
      <c r="AP75" s="54">
        <f>SUMIF('Resource Demand - Activity'!$FT:$FT,Example!$G75,'Resource Demand - Activity'!AK:AK)</f>
        <v>0</v>
      </c>
      <c r="AQ75" s="55">
        <f>SUMIF('Resource Demand - Activity'!$FT:$FT,Example!$G75,'Resource Demand - Activity'!AL:AL)</f>
        <v>0</v>
      </c>
      <c r="AR75" s="55">
        <f>SUMIF('Resource Demand - Activity'!$FT:$FT,Example!$G75,'Resource Demand - Activity'!AM:AM)</f>
        <v>0</v>
      </c>
      <c r="AS75" s="55">
        <f>SUMIF('Resource Demand - Activity'!$FT:$FT,Example!$G75,'Resource Demand - Activity'!AN:AN)</f>
        <v>0</v>
      </c>
      <c r="AT75" s="55">
        <f>SUMIF('Resource Demand - Activity'!$FT:$FT,Example!$G75,'Resource Demand - Activity'!AO:AO)</f>
        <v>0</v>
      </c>
      <c r="AU75" s="55">
        <f>SUMIF('Resource Demand - Activity'!$FT:$FT,Example!$G75,'Resource Demand - Activity'!AP:AP)</f>
        <v>0</v>
      </c>
      <c r="AV75" s="55">
        <f>SUMIF('Resource Demand - Activity'!$FT:$FT,Example!$G75,'Resource Demand - Activity'!AQ:AQ)</f>
        <v>0</v>
      </c>
      <c r="AW75" s="55">
        <f>SUMIF('Resource Demand - Activity'!$FT:$FT,Example!$G75,'Resource Demand - Activity'!AR:AR)</f>
        <v>0</v>
      </c>
      <c r="AX75" s="54">
        <f>SUMIF('Resource Demand - Activity'!$FT:$FT,Example!$G75,'Resource Demand - Activity'!AS:AS)</f>
        <v>0</v>
      </c>
      <c r="AY75" s="54">
        <f>SUMIF('Resource Demand - Activity'!$FT:$FT,Example!$G75,'Resource Demand - Activity'!AT:AT)</f>
        <v>0</v>
      </c>
      <c r="AZ75" s="54">
        <f>SUMIF('Resource Demand - Activity'!$FT:$FT,Example!$G75,'Resource Demand - Activity'!AU:AU)</f>
        <v>0</v>
      </c>
      <c r="BA75" s="54">
        <f>SUMIF('Resource Demand - Activity'!$FT:$FT,Example!$G75,'Resource Demand - Activity'!AV:AV)</f>
        <v>0</v>
      </c>
      <c r="BB75" s="54">
        <f>SUMIF('Resource Demand - Activity'!$FT:$FT,Example!$G75,'Resource Demand - Activity'!AW:AW)</f>
        <v>0</v>
      </c>
      <c r="BC75" s="54">
        <f>SUMIF('Resource Demand - Activity'!$FT:$FT,Example!$G75,'Resource Demand - Activity'!AX:AX)</f>
        <v>0</v>
      </c>
      <c r="BD75" s="54">
        <f>SUMIF('Resource Demand - Activity'!$FT:$FT,Example!$G75,'Resource Demand - Activity'!AY:AY)</f>
        <v>0</v>
      </c>
      <c r="BE75" s="54">
        <f>SUMIF('Resource Demand - Activity'!$FT:$FT,Example!$G75,'Resource Demand - Activity'!AZ:AZ)</f>
        <v>0</v>
      </c>
      <c r="BF75" s="54">
        <f>SUMIF('Resource Demand - Activity'!$FT:$FT,Example!$G75,'Resource Demand - Activity'!BA:BA)</f>
        <v>0</v>
      </c>
      <c r="BG75" s="54">
        <f>SUMIF('Resource Demand - Activity'!$FT:$FT,Example!$G75,'Resource Demand - Activity'!BB:BB)</f>
        <v>0</v>
      </c>
      <c r="BH75" s="54">
        <f>SUMIF('Resource Demand - Activity'!$FT:$FT,Example!$G75,'Resource Demand - Activity'!BC:BC)</f>
        <v>0</v>
      </c>
      <c r="BI75" s="54">
        <f>SUMIF('Resource Demand - Activity'!$FT:$FT,Example!$G75,'Resource Demand - Activity'!BD:BD)</f>
        <v>0</v>
      </c>
      <c r="BJ75" s="54">
        <f>SUMIF('Resource Demand - Activity'!$FT:$FT,Example!$G75,'Resource Demand - Activity'!BE:BE)</f>
        <v>0</v>
      </c>
      <c r="BK75" s="54">
        <f>SUMIF('Resource Demand - Activity'!$FT:$FT,Example!$G75,'Resource Demand - Activity'!BF:BF)</f>
        <v>0</v>
      </c>
      <c r="BL75" s="54">
        <f>SUMIF('Resource Demand - Activity'!$FT:$FT,Example!$G75,'Resource Demand - Activity'!BG:BG)</f>
        <v>0</v>
      </c>
      <c r="BM75" s="54">
        <f>SUMIF('Resource Demand - Activity'!$FT:$FT,Example!$G75,'Resource Demand - Activity'!BH:BH)</f>
        <v>0</v>
      </c>
      <c r="BN75" s="54">
        <f>SUMIF('Resource Demand - Activity'!$FT:$FT,Example!$G75,'Resource Demand - Activity'!BI:BI)</f>
        <v>0</v>
      </c>
      <c r="BO75" s="54">
        <f>SUMIF('Resource Demand - Activity'!$FT:$FT,Example!$G75,'Resource Demand - Activity'!BJ:BJ)</f>
        <v>0</v>
      </c>
      <c r="BP75" s="54">
        <f>SUMIF('Resource Demand - Activity'!$FT:$FT,Example!$G75,'Resource Demand - Activity'!BK:BK)</f>
        <v>0</v>
      </c>
      <c r="BQ75" s="54">
        <f>SUMIF('Resource Demand - Activity'!$FT:$FT,Example!$G75,'Resource Demand - Activity'!BL:BL)</f>
        <v>0</v>
      </c>
      <c r="BR75" s="54">
        <f>SUMIF('Resource Demand - Activity'!$FT:$FT,Example!$G75,'Resource Demand - Activity'!BM:BM)</f>
        <v>0</v>
      </c>
      <c r="BS75" s="54">
        <f>SUMIF('Resource Demand - Activity'!$FT:$FT,Example!$G75,'Resource Demand - Activity'!BN:BN)</f>
        <v>0</v>
      </c>
      <c r="BT75" s="54">
        <f>SUMIF('Resource Demand - Activity'!$FT:$FT,Example!$G75,'Resource Demand - Activity'!BO:BO)</f>
        <v>0</v>
      </c>
      <c r="BU75" s="54">
        <f>SUMIF('Resource Demand - Activity'!$FT:$FT,Example!$G75,'Resource Demand - Activity'!BP:BP)</f>
        <v>0</v>
      </c>
      <c r="BV75" s="54">
        <f>SUMIF('Resource Demand - Activity'!$FT:$FT,Example!$G75,'Resource Demand - Activity'!BQ:BQ)</f>
        <v>0</v>
      </c>
      <c r="BW75" s="54">
        <f>SUMIF('Resource Demand - Activity'!$FT:$FT,Example!$G75,'Resource Demand - Activity'!BR:BR)</f>
        <v>0</v>
      </c>
      <c r="BX75" s="54">
        <f>SUMIF('Resource Demand - Activity'!$FT:$FT,Example!$G75,'Resource Demand - Activity'!BS:BS)</f>
        <v>0</v>
      </c>
      <c r="BY75" s="54">
        <f>SUMIF('Resource Demand - Activity'!$FT:$FT,Example!$G75,'Resource Demand - Activity'!BT:BT)</f>
        <v>0</v>
      </c>
      <c r="BZ75" s="54">
        <f>SUMIF('Resource Demand - Activity'!$FT:$FT,Example!$G75,'Resource Demand - Activity'!BU:BU)</f>
        <v>0</v>
      </c>
      <c r="CA75" s="54">
        <f>SUMIF('Resource Demand - Activity'!$FT:$FT,Example!$G75,'Resource Demand - Activity'!BV:BV)</f>
        <v>0</v>
      </c>
      <c r="CB75" s="54">
        <f>SUMIF('Resource Demand - Activity'!$FT:$FT,Example!$G75,'Resource Demand - Activity'!BW:BW)</f>
        <v>0</v>
      </c>
      <c r="CC75" s="54">
        <f>SUMIF('Resource Demand - Activity'!$FT:$FT,Example!$G75,'Resource Demand - Activity'!BX:BX)</f>
        <v>0</v>
      </c>
      <c r="CD75" s="54">
        <f>SUMIF('Resource Demand - Activity'!$FT:$FT,Example!$G75,'Resource Demand - Activity'!BY:BY)</f>
        <v>0</v>
      </c>
      <c r="CE75" s="54">
        <f>SUMIF('Resource Demand - Activity'!$FT:$FT,Example!$G75,'Resource Demand - Activity'!BZ:BZ)</f>
        <v>0</v>
      </c>
      <c r="CF75" s="54">
        <f>SUMIF('Resource Demand - Activity'!$FT:$FT,Example!$G75,'Resource Demand - Activity'!CA:CA)</f>
        <v>0</v>
      </c>
      <c r="CG75" s="54">
        <f>SUMIF('Resource Demand - Activity'!$FT:$FT,Example!$G75,'Resource Demand - Activity'!CB:CB)</f>
        <v>0</v>
      </c>
      <c r="CH75" s="54">
        <f>SUMIF('Resource Demand - Activity'!$FT:$FT,Example!$G75,'Resource Demand - Activity'!CC:CC)</f>
        <v>0</v>
      </c>
      <c r="CI75" s="54">
        <f>SUMIF('Resource Demand - Activity'!$FT:$FT,Example!$G75,'Resource Demand - Activity'!CD:CD)</f>
        <v>0</v>
      </c>
      <c r="CJ75" s="54">
        <f>SUMIF('Resource Demand - Activity'!$FT:$FT,Example!$G75,'Resource Demand - Activity'!CE:CE)</f>
        <v>0</v>
      </c>
      <c r="CK75" s="54">
        <f>SUMIF('Resource Demand - Activity'!$FT:$FT,Example!$G75,'Resource Demand - Activity'!CF:CF)</f>
        <v>0</v>
      </c>
      <c r="CL75" s="54">
        <f>SUMIF('Resource Demand - Activity'!$FT:$FT,Example!$G75,'Resource Demand - Activity'!CG:CG)</f>
        <v>0</v>
      </c>
      <c r="CM75" s="54">
        <f>SUMIF('Resource Demand - Activity'!$FT:$FT,Example!$G75,'Resource Demand - Activity'!CH:CH)</f>
        <v>0</v>
      </c>
      <c r="CN75" s="54">
        <f>SUMIF('Resource Demand - Activity'!$FT:$FT,Example!$G75,'Resource Demand - Activity'!CI:CI)</f>
        <v>0</v>
      </c>
      <c r="CO75" s="54">
        <f>SUMIF('Resource Demand - Activity'!$FT:$FT,Example!$G75,'Resource Demand - Activity'!CJ:CJ)</f>
        <v>0</v>
      </c>
      <c r="CP75" s="54">
        <f>SUMIF('Resource Demand - Activity'!$FT:$FT,Example!$G75,'Resource Demand - Activity'!CK:CK)</f>
        <v>0</v>
      </c>
      <c r="CQ75" s="54">
        <f>SUMIF('Resource Demand - Activity'!$FT:$FT,Example!$G75,'Resource Demand - Activity'!CL:CL)</f>
        <v>0</v>
      </c>
      <c r="CR75" s="54">
        <f>SUMIF('Resource Demand - Activity'!$FT:$FT,Example!$G75,'Resource Demand - Activity'!CM:CM)</f>
        <v>0</v>
      </c>
      <c r="CS75" s="54">
        <f>SUMIF('Resource Demand - Activity'!$FT:$FT,Example!$G75,'Resource Demand - Activity'!CN:CN)</f>
        <v>0</v>
      </c>
      <c r="CT75" s="54">
        <f>SUMIF('Resource Demand - Activity'!$FT:$FT,Example!$G75,'Resource Demand - Activity'!CO:CO)</f>
        <v>0</v>
      </c>
      <c r="CU75" s="54">
        <f>SUMIF('Resource Demand - Activity'!$FT:$FT,Example!$G75,'Resource Demand - Activity'!CP:CP)</f>
        <v>0</v>
      </c>
      <c r="CV75" s="54">
        <f>SUMIF('Resource Demand - Activity'!$FT:$FT,Example!$G75,'Resource Demand - Activity'!CQ:CQ)</f>
        <v>0</v>
      </c>
      <c r="CW75" s="54">
        <f>SUMIF('Resource Demand - Activity'!$FT:$FT,Example!$G75,'Resource Demand - Activity'!CR:CR)</f>
        <v>0</v>
      </c>
      <c r="CX75" s="54">
        <f>SUMIF('Resource Demand - Activity'!$FT:$FT,Example!$G75,'Resource Demand - Activity'!CS:CS)</f>
        <v>0</v>
      </c>
      <c r="CY75" s="55">
        <f>SUMIF('Resource Demand - Activity'!$FT:$FT,Example!$G75,'Resource Demand - Activity'!CT:CT)</f>
        <v>0</v>
      </c>
      <c r="CZ75" s="54">
        <f>SUMIF('Resource Demand - Activity'!$FT:$FT,Example!$G75,'Resource Demand - Activity'!CU:CU)</f>
        <v>0</v>
      </c>
      <c r="DA75" s="54">
        <f>SUMIF('Resource Demand - Activity'!$FT:$FT,Example!$G75,'Resource Demand - Activity'!CV:CV)</f>
        <v>0</v>
      </c>
      <c r="DB75" s="54">
        <f>SUMIF('Resource Demand - Activity'!$FT:$FT,Example!$G75,'Resource Demand - Activity'!CW:CW)</f>
        <v>0</v>
      </c>
      <c r="DC75" s="54">
        <f>SUMIF('Resource Demand - Activity'!$FT:$FT,Example!$G75,'Resource Demand - Activity'!CX:CX)</f>
        <v>0</v>
      </c>
      <c r="DD75" s="54">
        <f>SUMIF('Resource Demand - Activity'!$FT:$FT,Example!$G75,'Resource Demand - Activity'!CY:CY)</f>
        <v>0</v>
      </c>
      <c r="DE75" s="55">
        <f>SUMIF('Resource Demand - Activity'!$FT:$FT,Example!$G75,'Resource Demand - Activity'!CZ:CZ)</f>
        <v>0</v>
      </c>
      <c r="DF75" s="55">
        <f>SUMIF('Resource Demand - Activity'!$FT:$FT,Example!$G75,'Resource Demand - Activity'!DA:DA)</f>
        <v>0</v>
      </c>
      <c r="DG75" s="54">
        <f>SUMIF('Resource Demand - Activity'!$FT:$FT,Example!$G75,'Resource Demand - Activity'!DB:DB)</f>
        <v>0</v>
      </c>
      <c r="DH75" s="54">
        <f>SUMIF('Resource Demand - Activity'!$FT:$FT,Example!$G75,'Resource Demand - Activity'!DC:DC)</f>
        <v>0</v>
      </c>
      <c r="DI75" s="54">
        <f>SUMIF('Resource Demand - Activity'!$FT:$FT,Example!$G75,'Resource Demand - Activity'!DD:DD)</f>
        <v>0</v>
      </c>
      <c r="DJ75" s="54">
        <f>SUMIF('Resource Demand - Activity'!$FT:$FT,Example!$G75,'Resource Demand - Activity'!DE:DE)</f>
        <v>0</v>
      </c>
      <c r="DK75" s="54">
        <f>SUMIF('Resource Demand - Activity'!$FT:$FT,Example!$G75,'Resource Demand - Activity'!DF:DF)</f>
        <v>0</v>
      </c>
      <c r="DL75" s="54">
        <f>SUMIF('Resource Demand - Activity'!$FT:$FT,Example!$G75,'Resource Demand - Activity'!DG:DG)</f>
        <v>0</v>
      </c>
      <c r="DM75" s="54">
        <f>SUMIF('Resource Demand - Activity'!$FT:$FT,Example!$G75,'Resource Demand - Activity'!DH:DH)</f>
        <v>0</v>
      </c>
      <c r="DN75" s="54">
        <f>SUMIF('Resource Demand - Activity'!$FT:$FT,Example!$G75,'Resource Demand - Activity'!DI:DI)</f>
        <v>0</v>
      </c>
      <c r="DO75" s="54">
        <f>SUMIF('Resource Demand - Activity'!$FT:$FT,Example!$G75,'Resource Demand - Activity'!DJ:DJ)</f>
        <v>0</v>
      </c>
      <c r="DP75" s="54">
        <f>SUMIF('Resource Demand - Activity'!$FT:$FT,Example!$G75,'Resource Demand - Activity'!DK:DK)</f>
        <v>0</v>
      </c>
      <c r="DQ75" s="54">
        <f>SUMIF('Resource Demand - Activity'!$FT:$FT,Example!$G75,'Resource Demand - Activity'!DL:DL)</f>
        <v>0</v>
      </c>
      <c r="DR75" s="54">
        <f>SUMIF('Resource Demand - Activity'!$FT:$FT,Example!$G75,'Resource Demand - Activity'!DM:DM)</f>
        <v>0</v>
      </c>
      <c r="DS75" s="54">
        <f>SUMIF('Resource Demand - Activity'!$FT:$FT,Example!$G75,'Resource Demand - Activity'!DN:DN)</f>
        <v>0</v>
      </c>
      <c r="DT75" s="54">
        <f>SUMIF('Resource Demand - Activity'!$FT:$FT,Example!$G75,'Resource Demand - Activity'!DO:DO)</f>
        <v>0</v>
      </c>
      <c r="DU75" s="54">
        <f>SUMIF('Resource Demand - Activity'!$FT:$FT,Example!$G75,'Resource Demand - Activity'!DP:DP)</f>
        <v>0</v>
      </c>
      <c r="DV75" s="54">
        <f>SUMIF('Resource Demand - Activity'!$FT:$FT,Example!$G75,'Resource Demand - Activity'!DQ:DQ)</f>
        <v>0</v>
      </c>
      <c r="DW75" s="54">
        <f>SUMIF('Resource Demand - Activity'!$FT:$FT,Example!$G75,'Resource Demand - Activity'!DR:DR)</f>
        <v>0</v>
      </c>
      <c r="DX75" s="54">
        <f>SUMIF('Resource Demand - Activity'!$FT:$FT,Example!$G75,'Resource Demand - Activity'!DS:DS)</f>
        <v>0</v>
      </c>
      <c r="DY75" s="54">
        <f>SUMIF('Resource Demand - Activity'!$FT:$FT,Example!$G75,'Resource Demand - Activity'!DT:DT)</f>
        <v>0</v>
      </c>
      <c r="DZ75" s="54">
        <f>SUMIF('Resource Demand - Activity'!$FT:$FT,Example!$G75,'Resource Demand - Activity'!DU:DU)</f>
        <v>0</v>
      </c>
      <c r="EA75" s="54">
        <f>SUMIF('Resource Demand - Activity'!$FT:$FT,Example!$G75,'Resource Demand - Activity'!DV:DV)</f>
        <v>0</v>
      </c>
      <c r="EB75" s="54">
        <f>SUMIF('Resource Demand - Activity'!$FT:$FT,Example!$G75,'Resource Demand - Activity'!DW:DW)</f>
        <v>0</v>
      </c>
      <c r="EC75" s="54">
        <f>SUMIF('Resource Demand - Activity'!$FT:$FT,Example!$G75,'Resource Demand - Activity'!DX:DX)</f>
        <v>0</v>
      </c>
      <c r="ED75" s="54">
        <f>SUMIF('Resource Demand - Activity'!$FT:$FT,Example!$G75,'Resource Demand - Activity'!DY:DY)</f>
        <v>0</v>
      </c>
      <c r="EE75" s="55">
        <f>SUMIF('Resource Demand - Activity'!$FT:$FT,Example!$G75,'Resource Demand - Activity'!DZ:DZ)</f>
        <v>0</v>
      </c>
      <c r="EF75" s="54">
        <f>SUMIF('Resource Demand - Activity'!$FT:$FT,Example!$G75,'Resource Demand - Activity'!EA:EA)</f>
        <v>0</v>
      </c>
      <c r="EG75" s="54">
        <f>SUMIF('Resource Demand - Activity'!$FT:$FT,Example!$G75,'Resource Demand - Activity'!EB:EB)</f>
        <v>0</v>
      </c>
      <c r="EH75" s="54">
        <f>SUMIF('Resource Demand - Activity'!$FT:$FT,Example!$G75,'Resource Demand - Activity'!EC:EC)</f>
        <v>0</v>
      </c>
      <c r="EI75" s="54">
        <f>SUMIF('Resource Demand - Activity'!$FT:$FT,Example!$G75,'Resource Demand - Activity'!ED:ED)</f>
        <v>0</v>
      </c>
      <c r="EJ75" s="54">
        <f>SUMIF('Resource Demand - Activity'!$FT:$FT,Example!$G75,'Resource Demand - Activity'!EE:EE)</f>
        <v>0</v>
      </c>
      <c r="EK75" s="54">
        <f>SUMIF('Resource Demand - Activity'!$FT:$FT,Example!$G75,'Resource Demand - Activity'!EF:EF)</f>
        <v>0</v>
      </c>
      <c r="EL75" s="54">
        <f>SUMIF('Resource Demand - Activity'!$FT:$FT,Example!$G75,'Resource Demand - Activity'!EG:EG)</f>
        <v>0</v>
      </c>
      <c r="EM75" s="54">
        <f>SUMIF('Resource Demand - Activity'!$FT:$FT,Example!$G75,'Resource Demand - Activity'!EH:EH)</f>
        <v>0</v>
      </c>
      <c r="EN75" s="54">
        <f>SUMIF('Resource Demand - Activity'!$FT:$FT,Example!$G75,'Resource Demand - Activity'!EI:EI)</f>
        <v>0</v>
      </c>
      <c r="EO75" s="54">
        <f>SUMIF('Resource Demand - Activity'!$FT:$FT,Example!$G75,'Resource Demand - Activity'!EJ:EJ)</f>
        <v>0</v>
      </c>
      <c r="EP75" s="54">
        <f>SUMIF('Resource Demand - Activity'!$FT:$FT,Example!$G75,'Resource Demand - Activity'!EK:EK)</f>
        <v>0</v>
      </c>
      <c r="EQ75" s="54">
        <f>SUMIF('Resource Demand - Activity'!$FT:$FT,Example!$G75,'Resource Demand - Activity'!EL:EL)</f>
        <v>0</v>
      </c>
      <c r="ER75" s="54">
        <f>SUMIF('Resource Demand - Activity'!$FT:$FT,Example!$G75,'Resource Demand - Activity'!EM:EM)</f>
        <v>0</v>
      </c>
      <c r="ES75" s="54">
        <f>SUMIF('Resource Demand - Activity'!$FT:$FT,Example!$G75,'Resource Demand - Activity'!EN:EN)</f>
        <v>0</v>
      </c>
      <c r="ET75" s="54">
        <f>SUMIF('Resource Demand - Activity'!$FT:$FT,Example!$G75,'Resource Demand - Activity'!EO:EO)</f>
        <v>0</v>
      </c>
      <c r="EU75" s="54">
        <f>SUMIF('Resource Demand - Activity'!$FT:$FT,Example!$G75,'Resource Demand - Activity'!EP:EP)</f>
        <v>0</v>
      </c>
      <c r="EV75" s="54">
        <f>SUMIF('Resource Demand - Activity'!$FT:$FT,Example!$G75,'Resource Demand - Activity'!EQ:EQ)</f>
        <v>0</v>
      </c>
      <c r="EW75" s="54">
        <f>SUMIF('Resource Demand - Activity'!$FT:$FT,Example!$G75,'Resource Demand - Activity'!ER:ER)</f>
        <v>0</v>
      </c>
      <c r="EX75" s="54">
        <f>SUMIF('Resource Demand - Activity'!$FT:$FT,Example!$G75,'Resource Demand - Activity'!ES:ES)</f>
        <v>0</v>
      </c>
      <c r="EY75" s="54">
        <f>SUMIF('Resource Demand - Activity'!$FT:$FT,Example!$G75,'Resource Demand - Activity'!ET:ET)</f>
        <v>0</v>
      </c>
      <c r="EZ75" s="54">
        <f>SUMIF('Resource Demand - Activity'!$FT:$FT,Example!$G75,'Resource Demand - Activity'!EU:EU)</f>
        <v>0</v>
      </c>
      <c r="FA75" s="54">
        <f>SUMIF('Resource Demand - Activity'!$FT:$FT,Example!$G75,'Resource Demand - Activity'!EV:EV)</f>
        <v>0</v>
      </c>
      <c r="FB75" s="54">
        <f>SUMIF('Resource Demand - Activity'!$FT:$FT,Example!$G75,'Resource Demand - Activity'!EW:EW)</f>
        <v>0</v>
      </c>
      <c r="FC75" s="54">
        <f>SUMIF('Resource Demand - Activity'!$FT:$FT,Example!$G75,'Resource Demand - Activity'!EX:EX)</f>
        <v>0</v>
      </c>
      <c r="FD75" s="55">
        <f>SUMIF('Resource Demand - Activity'!$FT:$FT,Example!$G75,'Resource Demand - Activity'!EY:EY)</f>
        <v>0</v>
      </c>
      <c r="FE75" s="54">
        <f>SUMIF('Resource Demand - Activity'!$FT:$FT,Example!$G75,'Resource Demand - Activity'!EZ:EZ)</f>
        <v>0</v>
      </c>
      <c r="FF75" s="54">
        <f>SUMIF('Resource Demand - Activity'!$FT:$FT,Example!$G75,'Resource Demand - Activity'!FA:FA)</f>
        <v>0</v>
      </c>
      <c r="FG75" s="54">
        <f>SUMIF('Resource Demand - Activity'!$FT:$FT,Example!$G75,'Resource Demand - Activity'!FB:FB)</f>
        <v>0</v>
      </c>
      <c r="FH75" s="54">
        <f>SUMIF('Resource Demand - Activity'!$FT:$FT,Example!$G75,'Resource Demand - Activity'!FC:FC)</f>
        <v>0</v>
      </c>
      <c r="FI75" s="54">
        <f>SUMIF('Resource Demand - Activity'!$FT:$FT,Example!$G75,'Resource Demand - Activity'!FD:FD)</f>
        <v>0</v>
      </c>
      <c r="FJ75" s="54">
        <f>SUMIF('Resource Demand - Activity'!$FT:$FT,Example!$G75,'Resource Demand - Activity'!FE:FE)</f>
        <v>1</v>
      </c>
      <c r="FK75" s="54">
        <f>SUMIF('Resource Demand - Activity'!$FT:$FT,Example!$G75,'Resource Demand - Activity'!FF:FF)</f>
        <v>1</v>
      </c>
      <c r="FL75" s="54">
        <f>SUMIF('Resource Demand - Activity'!$FT:$FT,Example!$G75,'Resource Demand - Activity'!FG:FG)</f>
        <v>1</v>
      </c>
      <c r="FM75" s="54">
        <f>SUMIF('Resource Demand - Activity'!$FT:$FT,Example!$G75,'Resource Demand - Activity'!FH:FH)</f>
        <v>1</v>
      </c>
      <c r="FN75" s="54">
        <f>SUMIF('Resource Demand - Activity'!$FT:$FT,Example!$G75,'Resource Demand - Activity'!FI:FI)</f>
        <v>1</v>
      </c>
      <c r="FO75" s="54">
        <f>SUMIF('Resource Demand - Activity'!$FT:$FT,Example!$G75,'Resource Demand - Activity'!FJ:FJ)</f>
        <v>1</v>
      </c>
      <c r="FP75" s="54">
        <f>SUMIF('Resource Demand - Activity'!$FT:$FT,Example!$G75,'Resource Demand - Activity'!FK:FK)</f>
        <v>0</v>
      </c>
      <c r="FQ75" s="54">
        <f>SUMIF('Resource Demand - Activity'!$FT:$FT,Example!$G75,'Resource Demand - Activity'!FL:FL)</f>
        <v>0</v>
      </c>
      <c r="FR75" s="54">
        <f>SUMIF('Resource Demand - Activity'!$FT:$FT,Example!$G75,'Resource Demand - Activity'!FM:FM)</f>
        <v>0</v>
      </c>
      <c r="FS75" s="54">
        <f>SUMIF('Resource Demand - Activity'!$FT:$FT,Example!$G75,'Resource Demand - Activity'!FN:FN)</f>
        <v>0</v>
      </c>
      <c r="FT75" s="54">
        <f>SUMIF('Resource Demand - Activity'!$FT:$FT,Example!$G75,'Resource Demand - Activity'!FO:FO)</f>
        <v>0</v>
      </c>
      <c r="FU75" s="54">
        <f>SUMIF('Resource Demand - Activity'!$FT:$FT,Example!$G75,'Resource Demand - Activity'!FP:FP)</f>
        <v>0</v>
      </c>
      <c r="FV75" s="56">
        <f>SUMIF('Resource Demand - Activity'!$FT:$FT,Example!$G75,'Resource Demand - Activity'!FQ:FQ)</f>
        <v>0</v>
      </c>
    </row>
    <row r="76" spans="2:178" s="63" customFormat="1" ht="12" customHeight="1">
      <c r="B76" s="1"/>
    </row>
    <row r="77" spans="2:178" s="63" customFormat="1" ht="12" customHeight="1">
      <c r="B77" s="1"/>
      <c r="H77" s="75" t="s">
        <v>18</v>
      </c>
      <c r="I77" s="75" t="s">
        <v>7</v>
      </c>
      <c r="J77" s="171">
        <v>42309</v>
      </c>
      <c r="K77" s="172"/>
      <c r="L77" s="172"/>
      <c r="M77" s="172"/>
      <c r="N77" s="172"/>
      <c r="O77" s="172"/>
      <c r="P77" s="172"/>
      <c r="Q77" s="172"/>
      <c r="R77" s="172"/>
      <c r="S77" s="172"/>
      <c r="T77" s="172"/>
      <c r="U77" s="172"/>
      <c r="V77" s="172"/>
      <c r="W77" s="172"/>
      <c r="X77" s="172"/>
      <c r="Y77" s="173"/>
      <c r="Z77" s="167">
        <v>42339</v>
      </c>
      <c r="AA77" s="168"/>
      <c r="AB77" s="168"/>
      <c r="AC77" s="168"/>
      <c r="AD77" s="168"/>
      <c r="AE77" s="168"/>
      <c r="AF77" s="168"/>
      <c r="AG77" s="168"/>
      <c r="AH77" s="168"/>
      <c r="AI77" s="168"/>
      <c r="AJ77" s="168"/>
      <c r="AK77" s="168"/>
      <c r="AL77" s="168"/>
      <c r="AM77" s="168"/>
      <c r="AN77" s="168"/>
      <c r="AO77" s="168"/>
      <c r="AP77" s="168"/>
      <c r="AQ77" s="168"/>
      <c r="AR77" s="168"/>
      <c r="AS77" s="168"/>
      <c r="AT77" s="168"/>
      <c r="AU77" s="168"/>
      <c r="AV77" s="169"/>
      <c r="AW77" s="167">
        <v>42370</v>
      </c>
      <c r="AX77" s="168"/>
      <c r="AY77" s="168"/>
      <c r="AZ77" s="168"/>
      <c r="BA77" s="168"/>
      <c r="BB77" s="168"/>
      <c r="BC77" s="168"/>
      <c r="BD77" s="168"/>
      <c r="BE77" s="168"/>
      <c r="BF77" s="168"/>
      <c r="BG77" s="168"/>
      <c r="BH77" s="168"/>
      <c r="BI77" s="168"/>
      <c r="BJ77" s="168"/>
      <c r="BK77" s="168"/>
      <c r="BL77" s="168"/>
      <c r="BM77" s="168"/>
      <c r="BN77" s="168"/>
      <c r="BO77" s="168"/>
      <c r="BP77" s="168"/>
      <c r="BQ77" s="169"/>
      <c r="BR77" s="167">
        <v>42401</v>
      </c>
      <c r="BS77" s="168"/>
      <c r="BT77" s="168"/>
      <c r="BU77" s="168"/>
      <c r="BV77" s="168"/>
      <c r="BW77" s="168"/>
      <c r="BX77" s="168"/>
      <c r="BY77" s="168"/>
      <c r="BZ77" s="168"/>
      <c r="CA77" s="168"/>
      <c r="CB77" s="168"/>
      <c r="CC77" s="168"/>
      <c r="CD77" s="168"/>
      <c r="CE77" s="168"/>
      <c r="CF77" s="168"/>
      <c r="CG77" s="168"/>
      <c r="CH77" s="168"/>
      <c r="CI77" s="168"/>
      <c r="CJ77" s="168"/>
      <c r="CK77" s="168"/>
      <c r="CL77" s="169"/>
      <c r="CM77" s="167">
        <v>42430</v>
      </c>
      <c r="CN77" s="168"/>
      <c r="CO77" s="168"/>
      <c r="CP77" s="168"/>
      <c r="CQ77" s="168"/>
      <c r="CR77" s="168"/>
      <c r="CS77" s="168"/>
      <c r="CT77" s="168"/>
      <c r="CU77" s="168"/>
      <c r="CV77" s="168"/>
      <c r="CW77" s="168"/>
      <c r="CX77" s="168"/>
      <c r="CY77" s="168"/>
      <c r="CZ77" s="168"/>
      <c r="DA77" s="168"/>
      <c r="DB77" s="168"/>
      <c r="DC77" s="168"/>
      <c r="DD77" s="168"/>
      <c r="DE77" s="168"/>
      <c r="DF77" s="168"/>
      <c r="DG77" s="168"/>
      <c r="DH77" s="168"/>
      <c r="DI77" s="169"/>
      <c r="DJ77" s="167">
        <v>42461</v>
      </c>
      <c r="DK77" s="168"/>
      <c r="DL77" s="168"/>
      <c r="DM77" s="168"/>
      <c r="DN77" s="168"/>
      <c r="DO77" s="168"/>
      <c r="DP77" s="168"/>
      <c r="DQ77" s="168"/>
      <c r="DR77" s="168"/>
      <c r="DS77" s="168"/>
      <c r="DT77" s="168"/>
      <c r="DU77" s="168"/>
      <c r="DV77" s="168"/>
      <c r="DW77" s="168"/>
      <c r="DX77" s="168"/>
      <c r="DY77" s="168"/>
      <c r="DZ77" s="168"/>
      <c r="EA77" s="168"/>
      <c r="EB77" s="168"/>
      <c r="EC77" s="168"/>
      <c r="ED77" s="168"/>
      <c r="EE77" s="169"/>
      <c r="EF77" s="167">
        <v>42491</v>
      </c>
      <c r="EG77" s="168"/>
      <c r="EH77" s="168"/>
      <c r="EI77" s="168"/>
      <c r="EJ77" s="168"/>
      <c r="EK77" s="168"/>
      <c r="EL77" s="168"/>
      <c r="EM77" s="168"/>
      <c r="EN77" s="168"/>
      <c r="EO77" s="168"/>
      <c r="EP77" s="168"/>
      <c r="EQ77" s="168"/>
      <c r="ER77" s="168"/>
      <c r="ES77" s="168"/>
      <c r="ET77" s="168"/>
      <c r="EU77" s="168"/>
      <c r="EV77" s="168"/>
      <c r="EW77" s="168"/>
      <c r="EX77" s="168"/>
      <c r="EY77" s="168"/>
      <c r="EZ77" s="168"/>
      <c r="FA77" s="167">
        <v>42522</v>
      </c>
      <c r="FB77" s="168"/>
      <c r="FC77" s="168"/>
      <c r="FD77" s="168"/>
      <c r="FE77" s="168"/>
      <c r="FF77" s="168"/>
      <c r="FG77" s="168"/>
      <c r="FH77" s="168"/>
      <c r="FI77" s="168"/>
      <c r="FJ77" s="168"/>
      <c r="FK77" s="168"/>
      <c r="FL77" s="168"/>
      <c r="FM77" s="168"/>
      <c r="FN77" s="168"/>
      <c r="FO77" s="168"/>
      <c r="FP77" s="168"/>
      <c r="FQ77" s="168"/>
      <c r="FR77" s="168"/>
      <c r="FS77" s="168"/>
      <c r="FT77" s="168"/>
      <c r="FU77" s="168"/>
      <c r="FV77" s="169"/>
    </row>
    <row r="78" spans="2:178" s="63" customFormat="1" ht="12" customHeight="1">
      <c r="B78" s="1"/>
      <c r="H78" s="170" t="s">
        <v>186</v>
      </c>
      <c r="I78" s="152"/>
      <c r="J78" s="80">
        <f>SUM(J79:J89)</f>
        <v>1</v>
      </c>
      <c r="K78" s="81">
        <f t="shared" ref="K78:BV78" si="12">SUM(K79:K89)</f>
        <v>1</v>
      </c>
      <c r="L78" s="81">
        <f t="shared" si="12"/>
        <v>1</v>
      </c>
      <c r="M78" s="81">
        <f t="shared" si="12"/>
        <v>1</v>
      </c>
      <c r="N78" s="81">
        <f t="shared" si="12"/>
        <v>1</v>
      </c>
      <c r="O78" s="81">
        <f t="shared" si="12"/>
        <v>1</v>
      </c>
      <c r="P78" s="81">
        <f t="shared" si="12"/>
        <v>1</v>
      </c>
      <c r="Q78" s="81">
        <f t="shared" si="12"/>
        <v>1</v>
      </c>
      <c r="R78" s="81">
        <f t="shared" si="12"/>
        <v>1</v>
      </c>
      <c r="S78" s="81">
        <f t="shared" si="12"/>
        <v>1</v>
      </c>
      <c r="T78" s="81">
        <f t="shared" si="12"/>
        <v>1</v>
      </c>
      <c r="U78" s="81">
        <f t="shared" si="12"/>
        <v>1</v>
      </c>
      <c r="V78" s="81">
        <f t="shared" si="12"/>
        <v>1</v>
      </c>
      <c r="W78" s="81">
        <f t="shared" si="12"/>
        <v>1</v>
      </c>
      <c r="X78" s="81">
        <f t="shared" si="12"/>
        <v>1</v>
      </c>
      <c r="Y78" s="81">
        <f t="shared" si="12"/>
        <v>1</v>
      </c>
      <c r="Z78" s="81">
        <f t="shared" si="12"/>
        <v>1</v>
      </c>
      <c r="AA78" s="81">
        <f t="shared" si="12"/>
        <v>1</v>
      </c>
      <c r="AB78" s="81">
        <f t="shared" si="12"/>
        <v>1</v>
      </c>
      <c r="AC78" s="81">
        <f t="shared" si="12"/>
        <v>1</v>
      </c>
      <c r="AD78" s="81">
        <f t="shared" si="12"/>
        <v>1</v>
      </c>
      <c r="AE78" s="81">
        <f t="shared" si="12"/>
        <v>1</v>
      </c>
      <c r="AF78" s="81">
        <f t="shared" si="12"/>
        <v>1</v>
      </c>
      <c r="AG78" s="81">
        <f t="shared" si="12"/>
        <v>1</v>
      </c>
      <c r="AH78" s="81">
        <f t="shared" si="12"/>
        <v>1</v>
      </c>
      <c r="AI78" s="81">
        <f t="shared" si="12"/>
        <v>1</v>
      </c>
      <c r="AJ78" s="81">
        <f t="shared" si="12"/>
        <v>1</v>
      </c>
      <c r="AK78" s="81">
        <f t="shared" si="12"/>
        <v>1</v>
      </c>
      <c r="AL78" s="81">
        <f t="shared" si="12"/>
        <v>1</v>
      </c>
      <c r="AM78" s="81">
        <f t="shared" si="12"/>
        <v>1</v>
      </c>
      <c r="AN78" s="81">
        <f t="shared" si="12"/>
        <v>1</v>
      </c>
      <c r="AO78" s="81">
        <f t="shared" si="12"/>
        <v>1</v>
      </c>
      <c r="AP78" s="81">
        <f t="shared" si="12"/>
        <v>1</v>
      </c>
      <c r="AQ78" s="81">
        <f t="shared" si="12"/>
        <v>0</v>
      </c>
      <c r="AR78" s="81">
        <f t="shared" si="12"/>
        <v>0</v>
      </c>
      <c r="AS78" s="81">
        <f t="shared" si="12"/>
        <v>0</v>
      </c>
      <c r="AT78" s="81">
        <f t="shared" si="12"/>
        <v>0</v>
      </c>
      <c r="AU78" s="81">
        <f t="shared" si="12"/>
        <v>0</v>
      </c>
      <c r="AV78" s="81">
        <f t="shared" si="12"/>
        <v>0</v>
      </c>
      <c r="AW78" s="81">
        <f t="shared" si="12"/>
        <v>0</v>
      </c>
      <c r="AX78" s="81">
        <f t="shared" si="12"/>
        <v>1</v>
      </c>
      <c r="AY78" s="81">
        <f t="shared" si="12"/>
        <v>1</v>
      </c>
      <c r="AZ78" s="81">
        <f t="shared" si="12"/>
        <v>1</v>
      </c>
      <c r="BA78" s="81">
        <f t="shared" si="12"/>
        <v>1</v>
      </c>
      <c r="BB78" s="81">
        <f t="shared" si="12"/>
        <v>1</v>
      </c>
      <c r="BC78" s="81">
        <f t="shared" si="12"/>
        <v>1</v>
      </c>
      <c r="BD78" s="81">
        <f t="shared" si="12"/>
        <v>1</v>
      </c>
      <c r="BE78" s="81">
        <f t="shared" si="12"/>
        <v>1</v>
      </c>
      <c r="BF78" s="81">
        <f t="shared" si="12"/>
        <v>1</v>
      </c>
      <c r="BG78" s="81">
        <f t="shared" si="12"/>
        <v>1</v>
      </c>
      <c r="BH78" s="81">
        <f t="shared" si="12"/>
        <v>1</v>
      </c>
      <c r="BI78" s="81">
        <f t="shared" si="12"/>
        <v>1</v>
      </c>
      <c r="BJ78" s="81">
        <f t="shared" si="12"/>
        <v>1</v>
      </c>
      <c r="BK78" s="81">
        <f t="shared" si="12"/>
        <v>1</v>
      </c>
      <c r="BL78" s="81">
        <f t="shared" si="12"/>
        <v>1</v>
      </c>
      <c r="BM78" s="81">
        <f t="shared" si="12"/>
        <v>1</v>
      </c>
      <c r="BN78" s="81">
        <f t="shared" si="12"/>
        <v>1</v>
      </c>
      <c r="BO78" s="81">
        <f t="shared" si="12"/>
        <v>1</v>
      </c>
      <c r="BP78" s="81">
        <f t="shared" si="12"/>
        <v>1</v>
      </c>
      <c r="BQ78" s="81">
        <f t="shared" si="12"/>
        <v>1</v>
      </c>
      <c r="BR78" s="81">
        <f t="shared" si="12"/>
        <v>1</v>
      </c>
      <c r="BS78" s="81">
        <f t="shared" si="12"/>
        <v>1</v>
      </c>
      <c r="BT78" s="81">
        <f t="shared" si="12"/>
        <v>1</v>
      </c>
      <c r="BU78" s="81">
        <f t="shared" si="12"/>
        <v>1</v>
      </c>
      <c r="BV78" s="81">
        <f t="shared" si="12"/>
        <v>1</v>
      </c>
      <c r="BW78" s="81">
        <f t="shared" ref="BW78:EH78" si="13">SUM(BW79:BW89)</f>
        <v>1</v>
      </c>
      <c r="BX78" s="81">
        <f t="shared" si="13"/>
        <v>1</v>
      </c>
      <c r="BY78" s="81">
        <f t="shared" si="13"/>
        <v>1</v>
      </c>
      <c r="BZ78" s="81">
        <f t="shared" si="13"/>
        <v>1</v>
      </c>
      <c r="CA78" s="81">
        <f t="shared" si="13"/>
        <v>1</v>
      </c>
      <c r="CB78" s="81">
        <f t="shared" si="13"/>
        <v>1</v>
      </c>
      <c r="CC78" s="81">
        <f t="shared" si="13"/>
        <v>1</v>
      </c>
      <c r="CD78" s="81">
        <f t="shared" si="13"/>
        <v>1</v>
      </c>
      <c r="CE78" s="81">
        <f t="shared" si="13"/>
        <v>1</v>
      </c>
      <c r="CF78" s="81">
        <f t="shared" si="13"/>
        <v>1</v>
      </c>
      <c r="CG78" s="81">
        <f t="shared" si="13"/>
        <v>1</v>
      </c>
      <c r="CH78" s="81">
        <f t="shared" si="13"/>
        <v>1</v>
      </c>
      <c r="CI78" s="81">
        <f t="shared" si="13"/>
        <v>1</v>
      </c>
      <c r="CJ78" s="81">
        <f t="shared" si="13"/>
        <v>0</v>
      </c>
      <c r="CK78" s="81">
        <f t="shared" si="13"/>
        <v>0</v>
      </c>
      <c r="CL78" s="81">
        <f t="shared" si="13"/>
        <v>0</v>
      </c>
      <c r="CM78" s="81">
        <f t="shared" si="13"/>
        <v>0</v>
      </c>
      <c r="CN78" s="81">
        <f t="shared" si="13"/>
        <v>0</v>
      </c>
      <c r="CO78" s="81">
        <f t="shared" si="13"/>
        <v>0</v>
      </c>
      <c r="CP78" s="81">
        <f t="shared" si="13"/>
        <v>0</v>
      </c>
      <c r="CQ78" s="81">
        <f t="shared" si="13"/>
        <v>0</v>
      </c>
      <c r="CR78" s="81">
        <f t="shared" si="13"/>
        <v>0</v>
      </c>
      <c r="CS78" s="81">
        <f t="shared" si="13"/>
        <v>0</v>
      </c>
      <c r="CT78" s="81">
        <f t="shared" si="13"/>
        <v>0</v>
      </c>
      <c r="CU78" s="81">
        <f t="shared" si="13"/>
        <v>0</v>
      </c>
      <c r="CV78" s="81">
        <f t="shared" si="13"/>
        <v>0</v>
      </c>
      <c r="CW78" s="81">
        <f t="shared" si="13"/>
        <v>0</v>
      </c>
      <c r="CX78" s="81">
        <f t="shared" si="13"/>
        <v>0</v>
      </c>
      <c r="CY78" s="81">
        <f t="shared" si="13"/>
        <v>0</v>
      </c>
      <c r="CZ78" s="81">
        <f t="shared" si="13"/>
        <v>0</v>
      </c>
      <c r="DA78" s="81">
        <f t="shared" si="13"/>
        <v>0</v>
      </c>
      <c r="DB78" s="81">
        <f t="shared" si="13"/>
        <v>0</v>
      </c>
      <c r="DC78" s="81">
        <f t="shared" si="13"/>
        <v>0</v>
      </c>
      <c r="DD78" s="81">
        <f t="shared" si="13"/>
        <v>0</v>
      </c>
      <c r="DE78" s="81">
        <f t="shared" si="13"/>
        <v>0</v>
      </c>
      <c r="DF78" s="81">
        <f t="shared" si="13"/>
        <v>0</v>
      </c>
      <c r="DG78" s="81">
        <f t="shared" si="13"/>
        <v>1</v>
      </c>
      <c r="DH78" s="81">
        <f t="shared" si="13"/>
        <v>1</v>
      </c>
      <c r="DI78" s="81">
        <f t="shared" si="13"/>
        <v>1</v>
      </c>
      <c r="DJ78" s="81">
        <f t="shared" si="13"/>
        <v>1</v>
      </c>
      <c r="DK78" s="81">
        <f t="shared" si="13"/>
        <v>1</v>
      </c>
      <c r="DL78" s="81">
        <f t="shared" si="13"/>
        <v>1</v>
      </c>
      <c r="DM78" s="81">
        <f t="shared" si="13"/>
        <v>1</v>
      </c>
      <c r="DN78" s="81">
        <f t="shared" si="13"/>
        <v>1</v>
      </c>
      <c r="DO78" s="81">
        <f t="shared" si="13"/>
        <v>1</v>
      </c>
      <c r="DP78" s="81">
        <f t="shared" si="13"/>
        <v>1</v>
      </c>
      <c r="DQ78" s="81">
        <f t="shared" si="13"/>
        <v>1</v>
      </c>
      <c r="DR78" s="81">
        <f t="shared" si="13"/>
        <v>1</v>
      </c>
      <c r="DS78" s="81">
        <f t="shared" si="13"/>
        <v>1</v>
      </c>
      <c r="DT78" s="81">
        <f t="shared" si="13"/>
        <v>1</v>
      </c>
      <c r="DU78" s="81">
        <f t="shared" si="13"/>
        <v>1</v>
      </c>
      <c r="DV78" s="81">
        <f t="shared" si="13"/>
        <v>1</v>
      </c>
      <c r="DW78" s="81">
        <f t="shared" si="13"/>
        <v>1</v>
      </c>
      <c r="DX78" s="81">
        <f t="shared" si="13"/>
        <v>1</v>
      </c>
      <c r="DY78" s="81">
        <f t="shared" si="13"/>
        <v>1</v>
      </c>
      <c r="DZ78" s="81">
        <f t="shared" si="13"/>
        <v>1</v>
      </c>
      <c r="EA78" s="81">
        <f t="shared" si="13"/>
        <v>1</v>
      </c>
      <c r="EB78" s="81">
        <f t="shared" si="13"/>
        <v>1</v>
      </c>
      <c r="EC78" s="81">
        <f t="shared" si="13"/>
        <v>1</v>
      </c>
      <c r="ED78" s="81">
        <f t="shared" si="13"/>
        <v>1</v>
      </c>
      <c r="EE78" s="81">
        <f t="shared" si="13"/>
        <v>0</v>
      </c>
      <c r="EF78" s="81">
        <f t="shared" si="13"/>
        <v>1</v>
      </c>
      <c r="EG78" s="81">
        <f t="shared" si="13"/>
        <v>1</v>
      </c>
      <c r="EH78" s="81">
        <f t="shared" si="13"/>
        <v>1</v>
      </c>
      <c r="EI78" s="81">
        <f t="shared" ref="EI78:FV78" si="14">SUM(EI79:EI89)</f>
        <v>1</v>
      </c>
      <c r="EJ78" s="81">
        <f t="shared" si="14"/>
        <v>1</v>
      </c>
      <c r="EK78" s="81">
        <f t="shared" si="14"/>
        <v>1</v>
      </c>
      <c r="EL78" s="81">
        <f t="shared" si="14"/>
        <v>1</v>
      </c>
      <c r="EM78" s="81">
        <f t="shared" si="14"/>
        <v>1</v>
      </c>
      <c r="EN78" s="81">
        <f t="shared" si="14"/>
        <v>1</v>
      </c>
      <c r="EO78" s="81">
        <f t="shared" si="14"/>
        <v>1</v>
      </c>
      <c r="EP78" s="81">
        <f t="shared" si="14"/>
        <v>1</v>
      </c>
      <c r="EQ78" s="81">
        <f t="shared" si="14"/>
        <v>1</v>
      </c>
      <c r="ER78" s="81">
        <f t="shared" si="14"/>
        <v>1</v>
      </c>
      <c r="ES78" s="81">
        <f t="shared" si="14"/>
        <v>1</v>
      </c>
      <c r="ET78" s="81">
        <f t="shared" si="14"/>
        <v>1</v>
      </c>
      <c r="EU78" s="81">
        <f t="shared" si="14"/>
        <v>1</v>
      </c>
      <c r="EV78" s="81">
        <f t="shared" si="14"/>
        <v>1</v>
      </c>
      <c r="EW78" s="81">
        <f t="shared" si="14"/>
        <v>1</v>
      </c>
      <c r="EX78" s="81">
        <f t="shared" si="14"/>
        <v>1</v>
      </c>
      <c r="EY78" s="81">
        <f t="shared" si="14"/>
        <v>1</v>
      </c>
      <c r="EZ78" s="81">
        <f t="shared" si="14"/>
        <v>1</v>
      </c>
      <c r="FA78" s="81">
        <f t="shared" si="14"/>
        <v>1</v>
      </c>
      <c r="FB78" s="81">
        <f t="shared" si="14"/>
        <v>1</v>
      </c>
      <c r="FC78" s="81">
        <f t="shared" si="14"/>
        <v>1</v>
      </c>
      <c r="FD78" s="81">
        <f t="shared" si="14"/>
        <v>0</v>
      </c>
      <c r="FE78" s="81">
        <f t="shared" si="14"/>
        <v>0</v>
      </c>
      <c r="FF78" s="81">
        <f t="shared" si="14"/>
        <v>0</v>
      </c>
      <c r="FG78" s="81">
        <f t="shared" si="14"/>
        <v>0</v>
      </c>
      <c r="FH78" s="81">
        <f t="shared" si="14"/>
        <v>0</v>
      </c>
      <c r="FI78" s="81">
        <f t="shared" si="14"/>
        <v>0</v>
      </c>
      <c r="FJ78" s="81">
        <f t="shared" si="14"/>
        <v>0</v>
      </c>
      <c r="FK78" s="81">
        <f t="shared" si="14"/>
        <v>0</v>
      </c>
      <c r="FL78" s="81">
        <f t="shared" si="14"/>
        <v>0</v>
      </c>
      <c r="FM78" s="81">
        <f t="shared" si="14"/>
        <v>1</v>
      </c>
      <c r="FN78" s="81">
        <f t="shared" si="14"/>
        <v>1</v>
      </c>
      <c r="FO78" s="81">
        <f t="shared" si="14"/>
        <v>1</v>
      </c>
      <c r="FP78" s="81">
        <f t="shared" si="14"/>
        <v>0</v>
      </c>
      <c r="FQ78" s="81">
        <f t="shared" si="14"/>
        <v>0</v>
      </c>
      <c r="FR78" s="81">
        <f t="shared" si="14"/>
        <v>0</v>
      </c>
      <c r="FS78" s="81">
        <f t="shared" si="14"/>
        <v>0</v>
      </c>
      <c r="FT78" s="81">
        <f t="shared" si="14"/>
        <v>0</v>
      </c>
      <c r="FU78" s="81">
        <f t="shared" si="14"/>
        <v>0</v>
      </c>
      <c r="FV78" s="79">
        <f t="shared" si="14"/>
        <v>0</v>
      </c>
    </row>
    <row r="79" spans="2:178" s="63" customFormat="1" ht="12" customHeight="1">
      <c r="G79" s="64" t="str">
        <f>H79&amp;$H$77</f>
        <v>1. Opening Balances  1.5 Technical SupportTM1 Analyst</v>
      </c>
      <c r="H79" s="82" t="s">
        <v>133</v>
      </c>
      <c r="I79" s="59" t="str">
        <f>INDEX('Resource Demand - Activity'!C:C,MATCH(Example!G79,'Resource Demand - Activity'!FT:FT,0))</f>
        <v>2 days</v>
      </c>
      <c r="J79" s="51">
        <f>SUMIF('Resource Demand - Activity'!$FT:$FT,Example!$G79,'Resource Demand - Activity'!E:E)</f>
        <v>0</v>
      </c>
      <c r="K79" s="35">
        <f>SUMIF('Resource Demand - Activity'!$FT:$FT,Example!$G79,'Resource Demand - Activity'!F:F)</f>
        <v>0</v>
      </c>
      <c r="L79" s="35">
        <f>SUMIF('Resource Demand - Activity'!$FT:$FT,Example!$G79,'Resource Demand - Activity'!G:G)</f>
        <v>0</v>
      </c>
      <c r="M79" s="35">
        <f>SUMIF('Resource Demand - Activity'!$FT:$FT,Example!$G79,'Resource Demand - Activity'!H:H)</f>
        <v>0</v>
      </c>
      <c r="N79" s="35">
        <f>SUMIF('Resource Demand - Activity'!$FT:$FT,Example!$G79,'Resource Demand - Activity'!I:I)</f>
        <v>0</v>
      </c>
      <c r="O79" s="35">
        <f>SUMIF('Resource Demand - Activity'!$FT:$FT,Example!$G79,'Resource Demand - Activity'!J:J)</f>
        <v>0</v>
      </c>
      <c r="P79" s="35">
        <f>SUMIF('Resource Demand - Activity'!$FT:$FT,Example!$G79,'Resource Demand - Activity'!K:K)</f>
        <v>0</v>
      </c>
      <c r="Q79" s="35">
        <f>SUMIF('Resource Demand - Activity'!$FT:$FT,Example!$G79,'Resource Demand - Activity'!L:L)</f>
        <v>0</v>
      </c>
      <c r="R79" s="35">
        <f>SUMIF('Resource Demand - Activity'!$FT:$FT,Example!$G79,'Resource Demand - Activity'!M:M)</f>
        <v>0</v>
      </c>
      <c r="S79" s="35">
        <f>SUMIF('Resource Demand - Activity'!$FT:$FT,Example!$G79,'Resource Demand - Activity'!N:N)</f>
        <v>0</v>
      </c>
      <c r="T79" s="35">
        <f>SUMIF('Resource Demand - Activity'!$FT:$FT,Example!$G79,'Resource Demand - Activity'!O:O)</f>
        <v>0</v>
      </c>
      <c r="U79" s="35">
        <f>SUMIF('Resource Demand - Activity'!$FT:$FT,Example!$G79,'Resource Demand - Activity'!P:P)</f>
        <v>0</v>
      </c>
      <c r="V79" s="35">
        <f>SUMIF('Resource Demand - Activity'!$FT:$FT,Example!$G79,'Resource Demand - Activity'!Q:Q)</f>
        <v>0</v>
      </c>
      <c r="W79" s="35">
        <f>SUMIF('Resource Demand - Activity'!$FT:$FT,Example!$G79,'Resource Demand - Activity'!R:R)</f>
        <v>0</v>
      </c>
      <c r="X79" s="35">
        <f>SUMIF('Resource Demand - Activity'!$FT:$FT,Example!$G79,'Resource Demand - Activity'!S:S)</f>
        <v>0</v>
      </c>
      <c r="Y79" s="35">
        <f>SUMIF('Resource Demand - Activity'!$FT:$FT,Example!$G79,'Resource Demand - Activity'!T:T)</f>
        <v>0</v>
      </c>
      <c r="Z79" s="35">
        <f>SUMIF('Resource Demand - Activity'!$FT:$FT,Example!$G79,'Resource Demand - Activity'!U:U)</f>
        <v>0</v>
      </c>
      <c r="AA79" s="35">
        <f>SUMIF('Resource Demand - Activity'!$FT:$FT,Example!$G79,'Resource Demand - Activity'!V:V)</f>
        <v>0</v>
      </c>
      <c r="AB79" s="35">
        <f>SUMIF('Resource Demand - Activity'!$FT:$FT,Example!$G79,'Resource Demand - Activity'!W:W)</f>
        <v>0</v>
      </c>
      <c r="AC79" s="35">
        <f>SUMIF('Resource Demand - Activity'!$FT:$FT,Example!$G79,'Resource Demand - Activity'!X:X)</f>
        <v>0</v>
      </c>
      <c r="AD79" s="35">
        <f>SUMIF('Resource Demand - Activity'!$FT:$FT,Example!$G79,'Resource Demand - Activity'!Y:Y)</f>
        <v>0</v>
      </c>
      <c r="AE79" s="35">
        <f>SUMIF('Resource Demand - Activity'!$FT:$FT,Example!$G79,'Resource Demand - Activity'!Z:Z)</f>
        <v>0</v>
      </c>
      <c r="AF79" s="35">
        <f>SUMIF('Resource Demand - Activity'!$FT:$FT,Example!$G79,'Resource Demand - Activity'!AA:AA)</f>
        <v>0</v>
      </c>
      <c r="AG79" s="35">
        <f>SUMIF('Resource Demand - Activity'!$FT:$FT,Example!$G79,'Resource Demand - Activity'!AB:AB)</f>
        <v>0</v>
      </c>
      <c r="AH79" s="35">
        <f>SUMIF('Resource Demand - Activity'!$FT:$FT,Example!$G79,'Resource Demand - Activity'!AC:AC)</f>
        <v>0</v>
      </c>
      <c r="AI79" s="35">
        <f>SUMIF('Resource Demand - Activity'!$FT:$FT,Example!$G79,'Resource Demand - Activity'!AD:AD)</f>
        <v>0</v>
      </c>
      <c r="AJ79" s="35">
        <f>SUMIF('Resource Demand - Activity'!$FT:$FT,Example!$G79,'Resource Demand - Activity'!AE:AE)</f>
        <v>0</v>
      </c>
      <c r="AK79" s="35">
        <f>SUMIF('Resource Demand - Activity'!$FT:$FT,Example!$G79,'Resource Demand - Activity'!AF:AF)</f>
        <v>0</v>
      </c>
      <c r="AL79" s="35">
        <f>SUMIF('Resource Demand - Activity'!$FT:$FT,Example!$G79,'Resource Demand - Activity'!AG:AG)</f>
        <v>0</v>
      </c>
      <c r="AM79" s="35">
        <f>SUMIF('Resource Demand - Activity'!$FT:$FT,Example!$G79,'Resource Demand - Activity'!AH:AH)</f>
        <v>0</v>
      </c>
      <c r="AN79" s="35">
        <f>SUMIF('Resource Demand - Activity'!$FT:$FT,Example!$G79,'Resource Demand - Activity'!AI:AI)</f>
        <v>0</v>
      </c>
      <c r="AO79" s="35">
        <f>SUMIF('Resource Demand - Activity'!$FT:$FT,Example!$G79,'Resource Demand - Activity'!AJ:AJ)</f>
        <v>0</v>
      </c>
      <c r="AP79" s="35">
        <f>SUMIF('Resource Demand - Activity'!$FT:$FT,Example!$G79,'Resource Demand - Activity'!AK:AK)</f>
        <v>0</v>
      </c>
      <c r="AQ79" s="36">
        <f>SUMIF('Resource Demand - Activity'!$FT:$FT,Example!$G79,'Resource Demand - Activity'!AL:AL)</f>
        <v>0</v>
      </c>
      <c r="AR79" s="36">
        <f>SUMIF('Resource Demand - Activity'!$FT:$FT,Example!$G79,'Resource Demand - Activity'!AM:AM)</f>
        <v>0</v>
      </c>
      <c r="AS79" s="36">
        <f>SUMIF('Resource Demand - Activity'!$FT:$FT,Example!$G79,'Resource Demand - Activity'!AN:AN)</f>
        <v>0</v>
      </c>
      <c r="AT79" s="36">
        <f>SUMIF('Resource Demand - Activity'!$FT:$FT,Example!$G79,'Resource Demand - Activity'!AO:AO)</f>
        <v>0</v>
      </c>
      <c r="AU79" s="36">
        <f>SUMIF('Resource Demand - Activity'!$FT:$FT,Example!$G79,'Resource Demand - Activity'!AP:AP)</f>
        <v>0</v>
      </c>
      <c r="AV79" s="36">
        <f>SUMIF('Resource Demand - Activity'!$FT:$FT,Example!$G79,'Resource Demand - Activity'!AQ:AQ)</f>
        <v>0</v>
      </c>
      <c r="AW79" s="36">
        <f>SUMIF('Resource Demand - Activity'!$FT:$FT,Example!$G79,'Resource Demand - Activity'!AR:AR)</f>
        <v>0</v>
      </c>
      <c r="AX79" s="35">
        <f>SUMIF('Resource Demand - Activity'!$FT:$FT,Example!$G79,'Resource Demand - Activity'!AS:AS)</f>
        <v>0</v>
      </c>
      <c r="AY79" s="35">
        <f>SUMIF('Resource Demand - Activity'!$FT:$FT,Example!$G79,'Resource Demand - Activity'!AT:AT)</f>
        <v>0</v>
      </c>
      <c r="AZ79" s="35">
        <f>SUMIF('Resource Demand - Activity'!$FT:$FT,Example!$G79,'Resource Demand - Activity'!AU:AU)</f>
        <v>0</v>
      </c>
      <c r="BA79" s="35">
        <f>SUMIF('Resource Demand - Activity'!$FT:$FT,Example!$G79,'Resource Demand - Activity'!AV:AV)</f>
        <v>0</v>
      </c>
      <c r="BB79" s="35">
        <f>SUMIF('Resource Demand - Activity'!$FT:$FT,Example!$G79,'Resource Demand - Activity'!AW:AW)</f>
        <v>0</v>
      </c>
      <c r="BC79" s="35">
        <f>SUMIF('Resource Demand - Activity'!$FT:$FT,Example!$G79,'Resource Demand - Activity'!AX:AX)</f>
        <v>0</v>
      </c>
      <c r="BD79" s="35">
        <f>SUMIF('Resource Demand - Activity'!$FT:$FT,Example!$G79,'Resource Demand - Activity'!AY:AY)</f>
        <v>0</v>
      </c>
      <c r="BE79" s="35">
        <f>SUMIF('Resource Demand - Activity'!$FT:$FT,Example!$G79,'Resource Demand - Activity'!AZ:AZ)</f>
        <v>0</v>
      </c>
      <c r="BF79" s="35">
        <f>SUMIF('Resource Demand - Activity'!$FT:$FT,Example!$G79,'Resource Demand - Activity'!BA:BA)</f>
        <v>0</v>
      </c>
      <c r="BG79" s="35">
        <f>SUMIF('Resource Demand - Activity'!$FT:$FT,Example!$G79,'Resource Demand - Activity'!BB:BB)</f>
        <v>0</v>
      </c>
      <c r="BH79" s="35">
        <f>SUMIF('Resource Demand - Activity'!$FT:$FT,Example!$G79,'Resource Demand - Activity'!BC:BC)</f>
        <v>0</v>
      </c>
      <c r="BI79" s="35">
        <f>SUMIF('Resource Demand - Activity'!$FT:$FT,Example!$G79,'Resource Demand - Activity'!BD:BD)</f>
        <v>0</v>
      </c>
      <c r="BJ79" s="35">
        <f>SUMIF('Resource Demand - Activity'!$FT:$FT,Example!$G79,'Resource Demand - Activity'!BE:BE)</f>
        <v>0</v>
      </c>
      <c r="BK79" s="35">
        <f>SUMIF('Resource Demand - Activity'!$FT:$FT,Example!$G79,'Resource Demand - Activity'!BF:BF)</f>
        <v>0</v>
      </c>
      <c r="BL79" s="35">
        <f>SUMIF('Resource Demand - Activity'!$FT:$FT,Example!$G79,'Resource Demand - Activity'!BG:BG)</f>
        <v>0</v>
      </c>
      <c r="BM79" s="35">
        <f>SUMIF('Resource Demand - Activity'!$FT:$FT,Example!$G79,'Resource Demand - Activity'!BH:BH)</f>
        <v>0</v>
      </c>
      <c r="BN79" s="35">
        <f>SUMIF('Resource Demand - Activity'!$FT:$FT,Example!$G79,'Resource Demand - Activity'!BI:BI)</f>
        <v>0</v>
      </c>
      <c r="BO79" s="35">
        <f>SUMIF('Resource Demand - Activity'!$FT:$FT,Example!$G79,'Resource Demand - Activity'!BJ:BJ)</f>
        <v>0</v>
      </c>
      <c r="BP79" s="35">
        <f>SUMIF('Resource Demand - Activity'!$FT:$FT,Example!$G79,'Resource Demand - Activity'!BK:BK)</f>
        <v>0</v>
      </c>
      <c r="BQ79" s="35">
        <f>SUMIF('Resource Demand - Activity'!$FT:$FT,Example!$G79,'Resource Demand - Activity'!BL:BL)</f>
        <v>0</v>
      </c>
      <c r="BR79" s="35">
        <f>SUMIF('Resource Demand - Activity'!$FT:$FT,Example!$G79,'Resource Demand - Activity'!BM:BM)</f>
        <v>0</v>
      </c>
      <c r="BS79" s="35">
        <f>SUMIF('Resource Demand - Activity'!$FT:$FT,Example!$G79,'Resource Demand - Activity'!BN:BN)</f>
        <v>0</v>
      </c>
      <c r="BT79" s="35">
        <f>SUMIF('Resource Demand - Activity'!$FT:$FT,Example!$G79,'Resource Demand - Activity'!BO:BO)</f>
        <v>0</v>
      </c>
      <c r="BU79" s="35">
        <f>SUMIF('Resource Demand - Activity'!$FT:$FT,Example!$G79,'Resource Demand - Activity'!BP:BP)</f>
        <v>0</v>
      </c>
      <c r="BV79" s="35">
        <f>SUMIF('Resource Demand - Activity'!$FT:$FT,Example!$G79,'Resource Demand - Activity'!BQ:BQ)</f>
        <v>0</v>
      </c>
      <c r="BW79" s="35">
        <f>SUMIF('Resource Demand - Activity'!$FT:$FT,Example!$G79,'Resource Demand - Activity'!BR:BR)</f>
        <v>0</v>
      </c>
      <c r="BX79" s="35">
        <f>SUMIF('Resource Demand - Activity'!$FT:$FT,Example!$G79,'Resource Demand - Activity'!BS:BS)</f>
        <v>0</v>
      </c>
      <c r="BY79" s="35">
        <f>SUMIF('Resource Demand - Activity'!$FT:$FT,Example!$G79,'Resource Demand - Activity'!BT:BT)</f>
        <v>0</v>
      </c>
      <c r="BZ79" s="35">
        <f>SUMIF('Resource Demand - Activity'!$FT:$FT,Example!$G79,'Resource Demand - Activity'!BU:BU)</f>
        <v>0</v>
      </c>
      <c r="CA79" s="35">
        <f>SUMIF('Resource Demand - Activity'!$FT:$FT,Example!$G79,'Resource Demand - Activity'!BV:BV)</f>
        <v>0</v>
      </c>
      <c r="CB79" s="35">
        <f>SUMIF('Resource Demand - Activity'!$FT:$FT,Example!$G79,'Resource Demand - Activity'!BW:BW)</f>
        <v>1</v>
      </c>
      <c r="CC79" s="35">
        <f>SUMIF('Resource Demand - Activity'!$FT:$FT,Example!$G79,'Resource Demand - Activity'!BX:BX)</f>
        <v>0</v>
      </c>
      <c r="CD79" s="35">
        <f>SUMIF('Resource Demand - Activity'!$FT:$FT,Example!$G79,'Resource Demand - Activity'!BY:BY)</f>
        <v>0</v>
      </c>
      <c r="CE79" s="35">
        <f>SUMIF('Resource Demand - Activity'!$FT:$FT,Example!$G79,'Resource Demand - Activity'!BZ:BZ)</f>
        <v>0</v>
      </c>
      <c r="CF79" s="35">
        <f>SUMIF('Resource Demand - Activity'!$FT:$FT,Example!$G79,'Resource Demand - Activity'!CA:CA)</f>
        <v>0</v>
      </c>
      <c r="CG79" s="35">
        <f>SUMIF('Resource Demand - Activity'!$FT:$FT,Example!$G79,'Resource Demand - Activity'!CB:CB)</f>
        <v>0</v>
      </c>
      <c r="CH79" s="35">
        <f>SUMIF('Resource Demand - Activity'!$FT:$FT,Example!$G79,'Resource Demand - Activity'!CC:CC)</f>
        <v>0</v>
      </c>
      <c r="CI79" s="35">
        <f>SUMIF('Resource Demand - Activity'!$FT:$FT,Example!$G79,'Resource Demand - Activity'!CD:CD)</f>
        <v>0</v>
      </c>
      <c r="CJ79" s="35">
        <f>SUMIF('Resource Demand - Activity'!$FT:$FT,Example!$G79,'Resource Demand - Activity'!CE:CE)</f>
        <v>0</v>
      </c>
      <c r="CK79" s="35">
        <f>SUMIF('Resource Demand - Activity'!$FT:$FT,Example!$G79,'Resource Demand - Activity'!CF:CF)</f>
        <v>0</v>
      </c>
      <c r="CL79" s="35">
        <f>SUMIF('Resource Demand - Activity'!$FT:$FT,Example!$G79,'Resource Demand - Activity'!CG:CG)</f>
        <v>0</v>
      </c>
      <c r="CM79" s="35">
        <f>SUMIF('Resource Demand - Activity'!$FT:$FT,Example!$G79,'Resource Demand - Activity'!CH:CH)</f>
        <v>0</v>
      </c>
      <c r="CN79" s="35">
        <f>SUMIF('Resource Demand - Activity'!$FT:$FT,Example!$G79,'Resource Demand - Activity'!CI:CI)</f>
        <v>0</v>
      </c>
      <c r="CO79" s="35">
        <f>SUMIF('Resource Demand - Activity'!$FT:$FT,Example!$G79,'Resource Demand - Activity'!CJ:CJ)</f>
        <v>0</v>
      </c>
      <c r="CP79" s="35">
        <f>SUMIF('Resource Demand - Activity'!$FT:$FT,Example!$G79,'Resource Demand - Activity'!CK:CK)</f>
        <v>0</v>
      </c>
      <c r="CQ79" s="35">
        <f>SUMIF('Resource Demand - Activity'!$FT:$FT,Example!$G79,'Resource Demand - Activity'!CL:CL)</f>
        <v>0</v>
      </c>
      <c r="CR79" s="35">
        <f>SUMIF('Resource Demand - Activity'!$FT:$FT,Example!$G79,'Resource Demand - Activity'!CM:CM)</f>
        <v>0</v>
      </c>
      <c r="CS79" s="35">
        <f>SUMIF('Resource Demand - Activity'!$FT:$FT,Example!$G79,'Resource Demand - Activity'!CN:CN)</f>
        <v>0</v>
      </c>
      <c r="CT79" s="35">
        <f>SUMIF('Resource Demand - Activity'!$FT:$FT,Example!$G79,'Resource Demand - Activity'!CO:CO)</f>
        <v>0</v>
      </c>
      <c r="CU79" s="35">
        <f>SUMIF('Resource Demand - Activity'!$FT:$FT,Example!$G79,'Resource Demand - Activity'!CP:CP)</f>
        <v>0</v>
      </c>
      <c r="CV79" s="35">
        <f>SUMIF('Resource Demand - Activity'!$FT:$FT,Example!$G79,'Resource Demand - Activity'!CQ:CQ)</f>
        <v>0</v>
      </c>
      <c r="CW79" s="35">
        <f>SUMIF('Resource Demand - Activity'!$FT:$FT,Example!$G79,'Resource Demand - Activity'!CR:CR)</f>
        <v>0</v>
      </c>
      <c r="CX79" s="35">
        <f>SUMIF('Resource Demand - Activity'!$FT:$FT,Example!$G79,'Resource Demand - Activity'!CS:CS)</f>
        <v>0</v>
      </c>
      <c r="CY79" s="36">
        <f>SUMIF('Resource Demand - Activity'!$FT:$FT,Example!$G79,'Resource Demand - Activity'!CT:CT)</f>
        <v>0</v>
      </c>
      <c r="CZ79" s="35">
        <f>SUMIF('Resource Demand - Activity'!$FT:$FT,Example!$G79,'Resource Demand - Activity'!CU:CU)</f>
        <v>0</v>
      </c>
      <c r="DA79" s="35">
        <f>SUMIF('Resource Demand - Activity'!$FT:$FT,Example!$G79,'Resource Demand - Activity'!CV:CV)</f>
        <v>0</v>
      </c>
      <c r="DB79" s="35">
        <f>SUMIF('Resource Demand - Activity'!$FT:$FT,Example!$G79,'Resource Demand - Activity'!CW:CW)</f>
        <v>0</v>
      </c>
      <c r="DC79" s="35">
        <f>SUMIF('Resource Demand - Activity'!$FT:$FT,Example!$G79,'Resource Demand - Activity'!CX:CX)</f>
        <v>0</v>
      </c>
      <c r="DD79" s="35">
        <f>SUMIF('Resource Demand - Activity'!$FT:$FT,Example!$G79,'Resource Demand - Activity'!CY:CY)</f>
        <v>0</v>
      </c>
      <c r="DE79" s="36">
        <f>SUMIF('Resource Demand - Activity'!$FT:$FT,Example!$G79,'Resource Demand - Activity'!CZ:CZ)</f>
        <v>0</v>
      </c>
      <c r="DF79" s="36">
        <f>SUMIF('Resource Demand - Activity'!$FT:$FT,Example!$G79,'Resource Demand - Activity'!DA:DA)</f>
        <v>0</v>
      </c>
      <c r="DG79" s="35">
        <f>SUMIF('Resource Demand - Activity'!$FT:$FT,Example!$G79,'Resource Demand - Activity'!DB:DB)</f>
        <v>0</v>
      </c>
      <c r="DH79" s="35">
        <f>SUMIF('Resource Demand - Activity'!$FT:$FT,Example!$G79,'Resource Demand - Activity'!DC:DC)</f>
        <v>0</v>
      </c>
      <c r="DI79" s="35">
        <f>SUMIF('Resource Demand - Activity'!$FT:$FT,Example!$G79,'Resource Demand - Activity'!DD:DD)</f>
        <v>0</v>
      </c>
      <c r="DJ79" s="35">
        <f>SUMIF('Resource Demand - Activity'!$FT:$FT,Example!$G79,'Resource Demand - Activity'!DE:DE)</f>
        <v>0</v>
      </c>
      <c r="DK79" s="35">
        <f>SUMIF('Resource Demand - Activity'!$FT:$FT,Example!$G79,'Resource Demand - Activity'!DF:DF)</f>
        <v>0</v>
      </c>
      <c r="DL79" s="35">
        <f>SUMIF('Resource Demand - Activity'!$FT:$FT,Example!$G79,'Resource Demand - Activity'!DG:DG)</f>
        <v>0</v>
      </c>
      <c r="DM79" s="35">
        <f>SUMIF('Resource Demand - Activity'!$FT:$FT,Example!$G79,'Resource Demand - Activity'!DH:DH)</f>
        <v>0</v>
      </c>
      <c r="DN79" s="35">
        <f>SUMIF('Resource Demand - Activity'!$FT:$FT,Example!$G79,'Resource Demand - Activity'!DI:DI)</f>
        <v>0</v>
      </c>
      <c r="DO79" s="35">
        <f>SUMIF('Resource Demand - Activity'!$FT:$FT,Example!$G79,'Resource Demand - Activity'!DJ:DJ)</f>
        <v>0</v>
      </c>
      <c r="DP79" s="35">
        <f>SUMIF('Resource Demand - Activity'!$FT:$FT,Example!$G79,'Resource Demand - Activity'!DK:DK)</f>
        <v>0</v>
      </c>
      <c r="DQ79" s="35">
        <f>SUMIF('Resource Demand - Activity'!$FT:$FT,Example!$G79,'Resource Demand - Activity'!DL:DL)</f>
        <v>0</v>
      </c>
      <c r="DR79" s="35">
        <f>SUMIF('Resource Demand - Activity'!$FT:$FT,Example!$G79,'Resource Demand - Activity'!DM:DM)</f>
        <v>0</v>
      </c>
      <c r="DS79" s="35">
        <f>SUMIF('Resource Demand - Activity'!$FT:$FT,Example!$G79,'Resource Demand - Activity'!DN:DN)</f>
        <v>0</v>
      </c>
      <c r="DT79" s="35">
        <f>SUMIF('Resource Demand - Activity'!$FT:$FT,Example!$G79,'Resource Demand - Activity'!DO:DO)</f>
        <v>0</v>
      </c>
      <c r="DU79" s="35">
        <f>SUMIF('Resource Demand - Activity'!$FT:$FT,Example!$G79,'Resource Demand - Activity'!DP:DP)</f>
        <v>0</v>
      </c>
      <c r="DV79" s="35">
        <f>SUMIF('Resource Demand - Activity'!$FT:$FT,Example!$G79,'Resource Demand - Activity'!DQ:DQ)</f>
        <v>0</v>
      </c>
      <c r="DW79" s="35">
        <f>SUMIF('Resource Demand - Activity'!$FT:$FT,Example!$G79,'Resource Demand - Activity'!DR:DR)</f>
        <v>0</v>
      </c>
      <c r="DX79" s="35">
        <f>SUMIF('Resource Demand - Activity'!$FT:$FT,Example!$G79,'Resource Demand - Activity'!DS:DS)</f>
        <v>0</v>
      </c>
      <c r="DY79" s="35">
        <f>SUMIF('Resource Demand - Activity'!$FT:$FT,Example!$G79,'Resource Demand - Activity'!DT:DT)</f>
        <v>0.5</v>
      </c>
      <c r="DZ79" s="35">
        <f>SUMIF('Resource Demand - Activity'!$FT:$FT,Example!$G79,'Resource Demand - Activity'!DU:DU)</f>
        <v>0</v>
      </c>
      <c r="EA79" s="35">
        <f>SUMIF('Resource Demand - Activity'!$FT:$FT,Example!$G79,'Resource Demand - Activity'!DV:DV)</f>
        <v>0</v>
      </c>
      <c r="EB79" s="35">
        <f>SUMIF('Resource Demand - Activity'!$FT:$FT,Example!$G79,'Resource Demand - Activity'!DW:DW)</f>
        <v>0</v>
      </c>
      <c r="EC79" s="35">
        <f>SUMIF('Resource Demand - Activity'!$FT:$FT,Example!$G79,'Resource Demand - Activity'!DX:DX)</f>
        <v>0</v>
      </c>
      <c r="ED79" s="35">
        <f>SUMIF('Resource Demand - Activity'!$FT:$FT,Example!$G79,'Resource Demand - Activity'!DY:DY)</f>
        <v>0</v>
      </c>
      <c r="EE79" s="36">
        <f>SUMIF('Resource Demand - Activity'!$FT:$FT,Example!$G79,'Resource Demand - Activity'!DZ:DZ)</f>
        <v>0</v>
      </c>
      <c r="EF79" s="35">
        <f>SUMIF('Resource Demand - Activity'!$FT:$FT,Example!$G79,'Resource Demand - Activity'!EA:EA)</f>
        <v>0</v>
      </c>
      <c r="EG79" s="35">
        <f>SUMIF('Resource Demand - Activity'!$FT:$FT,Example!$G79,'Resource Demand - Activity'!EB:EB)</f>
        <v>0</v>
      </c>
      <c r="EH79" s="35">
        <f>SUMIF('Resource Demand - Activity'!$FT:$FT,Example!$G79,'Resource Demand - Activity'!EC:EC)</f>
        <v>0</v>
      </c>
      <c r="EI79" s="35">
        <f>SUMIF('Resource Demand - Activity'!$FT:$FT,Example!$G79,'Resource Demand - Activity'!ED:ED)</f>
        <v>0</v>
      </c>
      <c r="EJ79" s="35">
        <f>SUMIF('Resource Demand - Activity'!$FT:$FT,Example!$G79,'Resource Demand - Activity'!EE:EE)</f>
        <v>0</v>
      </c>
      <c r="EK79" s="35">
        <f>SUMIF('Resource Demand - Activity'!$FT:$FT,Example!$G79,'Resource Demand - Activity'!EF:EF)</f>
        <v>0</v>
      </c>
      <c r="EL79" s="35">
        <f>SUMIF('Resource Demand - Activity'!$FT:$FT,Example!$G79,'Resource Demand - Activity'!EG:EG)</f>
        <v>0</v>
      </c>
      <c r="EM79" s="35">
        <f>SUMIF('Resource Demand - Activity'!$FT:$FT,Example!$G79,'Resource Demand - Activity'!EH:EH)</f>
        <v>0</v>
      </c>
      <c r="EN79" s="35">
        <f>SUMIF('Resource Demand - Activity'!$FT:$FT,Example!$G79,'Resource Demand - Activity'!EI:EI)</f>
        <v>0</v>
      </c>
      <c r="EO79" s="35">
        <f>SUMIF('Resource Demand - Activity'!$FT:$FT,Example!$G79,'Resource Demand - Activity'!EJ:EJ)</f>
        <v>0</v>
      </c>
      <c r="EP79" s="35">
        <f>SUMIF('Resource Demand - Activity'!$FT:$FT,Example!$G79,'Resource Demand - Activity'!EK:EK)</f>
        <v>0</v>
      </c>
      <c r="EQ79" s="35">
        <f>SUMIF('Resource Demand - Activity'!$FT:$FT,Example!$G79,'Resource Demand - Activity'!EL:EL)</f>
        <v>0</v>
      </c>
      <c r="ER79" s="35">
        <f>SUMIF('Resource Demand - Activity'!$FT:$FT,Example!$G79,'Resource Demand - Activity'!EM:EM)</f>
        <v>0</v>
      </c>
      <c r="ES79" s="35">
        <f>SUMIF('Resource Demand - Activity'!$FT:$FT,Example!$G79,'Resource Demand - Activity'!EN:EN)</f>
        <v>0</v>
      </c>
      <c r="ET79" s="35">
        <f>SUMIF('Resource Demand - Activity'!$FT:$FT,Example!$G79,'Resource Demand - Activity'!EO:EO)</f>
        <v>0</v>
      </c>
      <c r="EU79" s="35">
        <f>SUMIF('Resource Demand - Activity'!$FT:$FT,Example!$G79,'Resource Demand - Activity'!EP:EP)</f>
        <v>0</v>
      </c>
      <c r="EV79" s="35">
        <f>SUMIF('Resource Demand - Activity'!$FT:$FT,Example!$G79,'Resource Demand - Activity'!EQ:EQ)</f>
        <v>0</v>
      </c>
      <c r="EW79" s="35">
        <f>SUMIF('Resource Demand - Activity'!$FT:$FT,Example!$G79,'Resource Demand - Activity'!ER:ER)</f>
        <v>0</v>
      </c>
      <c r="EX79" s="35">
        <f>SUMIF('Resource Demand - Activity'!$FT:$FT,Example!$G79,'Resource Demand - Activity'!ES:ES)</f>
        <v>0</v>
      </c>
      <c r="EY79" s="35">
        <f>SUMIF('Resource Demand - Activity'!$FT:$FT,Example!$G79,'Resource Demand - Activity'!ET:ET)</f>
        <v>0</v>
      </c>
      <c r="EZ79" s="35">
        <f>SUMIF('Resource Demand - Activity'!$FT:$FT,Example!$G79,'Resource Demand - Activity'!EU:EU)</f>
        <v>0</v>
      </c>
      <c r="FA79" s="35">
        <f>SUMIF('Resource Demand - Activity'!$FT:$FT,Example!$G79,'Resource Demand - Activity'!EV:EV)</f>
        <v>0</v>
      </c>
      <c r="FB79" s="35">
        <f>SUMIF('Resource Demand - Activity'!$FT:$FT,Example!$G79,'Resource Demand - Activity'!EW:EW)</f>
        <v>0</v>
      </c>
      <c r="FC79" s="35">
        <f>SUMIF('Resource Demand - Activity'!$FT:$FT,Example!$G79,'Resource Demand - Activity'!EX:EX)</f>
        <v>0</v>
      </c>
      <c r="FD79" s="36">
        <f>SUMIF('Resource Demand - Activity'!$FT:$FT,Example!$G79,'Resource Demand - Activity'!EY:EY)</f>
        <v>0</v>
      </c>
      <c r="FE79" s="35">
        <f>SUMIF('Resource Demand - Activity'!$FT:$FT,Example!$G79,'Resource Demand - Activity'!EZ:EZ)</f>
        <v>0</v>
      </c>
      <c r="FF79" s="35">
        <f>SUMIF('Resource Demand - Activity'!$FT:$FT,Example!$G79,'Resource Demand - Activity'!FA:FA)</f>
        <v>0</v>
      </c>
      <c r="FG79" s="35">
        <f>SUMIF('Resource Demand - Activity'!$FT:$FT,Example!$G79,'Resource Demand - Activity'!FB:FB)</f>
        <v>0</v>
      </c>
      <c r="FH79" s="35">
        <f>SUMIF('Resource Demand - Activity'!$FT:$FT,Example!$G79,'Resource Demand - Activity'!FC:FC)</f>
        <v>0</v>
      </c>
      <c r="FI79" s="35">
        <f>SUMIF('Resource Demand - Activity'!$FT:$FT,Example!$G79,'Resource Demand - Activity'!FD:FD)</f>
        <v>0</v>
      </c>
      <c r="FJ79" s="35">
        <f>SUMIF('Resource Demand - Activity'!$FT:$FT,Example!$G79,'Resource Demand - Activity'!FE:FE)</f>
        <v>0</v>
      </c>
      <c r="FK79" s="35">
        <f>SUMIF('Resource Demand - Activity'!$FT:$FT,Example!$G79,'Resource Demand - Activity'!FF:FF)</f>
        <v>0</v>
      </c>
      <c r="FL79" s="35">
        <f>SUMIF('Resource Demand - Activity'!$FT:$FT,Example!$G79,'Resource Demand - Activity'!FG:FG)</f>
        <v>0</v>
      </c>
      <c r="FM79" s="35">
        <f>SUMIF('Resource Demand - Activity'!$FT:$FT,Example!$G79,'Resource Demand - Activity'!FH:FH)</f>
        <v>0</v>
      </c>
      <c r="FN79" s="35">
        <f>SUMIF('Resource Demand - Activity'!$FT:$FT,Example!$G79,'Resource Demand - Activity'!FI:FI)</f>
        <v>0</v>
      </c>
      <c r="FO79" s="35">
        <f>SUMIF('Resource Demand - Activity'!$FT:$FT,Example!$G79,'Resource Demand - Activity'!FJ:FJ)</f>
        <v>0</v>
      </c>
      <c r="FP79" s="35">
        <f>SUMIF('Resource Demand - Activity'!$FT:$FT,Example!$G79,'Resource Demand - Activity'!FK:FK)</f>
        <v>0</v>
      </c>
      <c r="FQ79" s="35">
        <f>SUMIF('Resource Demand - Activity'!$FT:$FT,Example!$G79,'Resource Demand - Activity'!FL:FL)</f>
        <v>0</v>
      </c>
      <c r="FR79" s="35">
        <f>SUMIF('Resource Demand - Activity'!$FT:$FT,Example!$G79,'Resource Demand - Activity'!FM:FM)</f>
        <v>0</v>
      </c>
      <c r="FS79" s="35">
        <f>SUMIF('Resource Demand - Activity'!$FT:$FT,Example!$G79,'Resource Demand - Activity'!FN:FN)</f>
        <v>0</v>
      </c>
      <c r="FT79" s="35">
        <f>SUMIF('Resource Demand - Activity'!$FT:$FT,Example!$G79,'Resource Demand - Activity'!FO:FO)</f>
        <v>0</v>
      </c>
      <c r="FU79" s="35">
        <f>SUMIF('Resource Demand - Activity'!$FT:$FT,Example!$G79,'Resource Demand - Activity'!FP:FP)</f>
        <v>0</v>
      </c>
      <c r="FV79" s="52">
        <f>SUMIF('Resource Demand - Activity'!$FT:$FT,Example!$G79,'Resource Demand - Activity'!FQ:FQ)</f>
        <v>0</v>
      </c>
    </row>
    <row r="80" spans="2:178" s="63" customFormat="1" ht="12" customHeight="1">
      <c r="G80" s="64" t="str">
        <f t="shared" ref="G80:G89" si="15">H80&amp;$H$77</f>
        <v>2. Quarterly Reporting (QRTs)  2.5 Technical SupportTM1 Analyst</v>
      </c>
      <c r="H80" s="82" t="s">
        <v>134</v>
      </c>
      <c r="I80" s="59" t="str">
        <f>INDEX('Resource Demand - Activity'!C:C,MATCH(Example!G80,'Resource Demand - Activity'!FT:FT,0))</f>
        <v>2 days</v>
      </c>
      <c r="J80" s="51">
        <f>SUMIF('Resource Demand - Activity'!$FT:$FT,Example!$G80,'Resource Demand - Activity'!E:E)</f>
        <v>0</v>
      </c>
      <c r="K80" s="35">
        <f>SUMIF('Resource Demand - Activity'!$FT:$FT,Example!$G80,'Resource Demand - Activity'!F:F)</f>
        <v>0</v>
      </c>
      <c r="L80" s="35">
        <f>SUMIF('Resource Demand - Activity'!$FT:$FT,Example!$G80,'Resource Demand - Activity'!G:G)</f>
        <v>0</v>
      </c>
      <c r="M80" s="35">
        <f>SUMIF('Resource Demand - Activity'!$FT:$FT,Example!$G80,'Resource Demand - Activity'!H:H)</f>
        <v>0</v>
      </c>
      <c r="N80" s="35">
        <f>SUMIF('Resource Demand - Activity'!$FT:$FT,Example!$G80,'Resource Demand - Activity'!I:I)</f>
        <v>0</v>
      </c>
      <c r="O80" s="35">
        <f>SUMIF('Resource Demand - Activity'!$FT:$FT,Example!$G80,'Resource Demand - Activity'!J:J)</f>
        <v>0</v>
      </c>
      <c r="P80" s="35">
        <f>SUMIF('Resource Demand - Activity'!$FT:$FT,Example!$G80,'Resource Demand - Activity'!K:K)</f>
        <v>0</v>
      </c>
      <c r="Q80" s="35">
        <f>SUMIF('Resource Demand - Activity'!$FT:$FT,Example!$G80,'Resource Demand - Activity'!L:L)</f>
        <v>0</v>
      </c>
      <c r="R80" s="35">
        <f>SUMIF('Resource Demand - Activity'!$FT:$FT,Example!$G80,'Resource Demand - Activity'!M:M)</f>
        <v>0</v>
      </c>
      <c r="S80" s="35">
        <f>SUMIF('Resource Demand - Activity'!$FT:$FT,Example!$G80,'Resource Demand - Activity'!N:N)</f>
        <v>0</v>
      </c>
      <c r="T80" s="35">
        <f>SUMIF('Resource Demand - Activity'!$FT:$FT,Example!$G80,'Resource Demand - Activity'!O:O)</f>
        <v>0</v>
      </c>
      <c r="U80" s="35">
        <f>SUMIF('Resource Demand - Activity'!$FT:$FT,Example!$G80,'Resource Demand - Activity'!P:P)</f>
        <v>0</v>
      </c>
      <c r="V80" s="35">
        <f>SUMIF('Resource Demand - Activity'!$FT:$FT,Example!$G80,'Resource Demand - Activity'!Q:Q)</f>
        <v>0</v>
      </c>
      <c r="W80" s="35">
        <f>SUMIF('Resource Demand - Activity'!$FT:$FT,Example!$G80,'Resource Demand - Activity'!R:R)</f>
        <v>0</v>
      </c>
      <c r="X80" s="35">
        <f>SUMIF('Resource Demand - Activity'!$FT:$FT,Example!$G80,'Resource Demand - Activity'!S:S)</f>
        <v>0</v>
      </c>
      <c r="Y80" s="35">
        <f>SUMIF('Resource Demand - Activity'!$FT:$FT,Example!$G80,'Resource Demand - Activity'!T:T)</f>
        <v>0</v>
      </c>
      <c r="Z80" s="35">
        <f>SUMIF('Resource Demand - Activity'!$FT:$FT,Example!$G80,'Resource Demand - Activity'!U:U)</f>
        <v>0</v>
      </c>
      <c r="AA80" s="35">
        <f>SUMIF('Resource Demand - Activity'!$FT:$FT,Example!$G80,'Resource Demand - Activity'!V:V)</f>
        <v>0</v>
      </c>
      <c r="AB80" s="35">
        <f>SUMIF('Resource Demand - Activity'!$FT:$FT,Example!$G80,'Resource Demand - Activity'!W:W)</f>
        <v>0</v>
      </c>
      <c r="AC80" s="35">
        <f>SUMIF('Resource Demand - Activity'!$FT:$FT,Example!$G80,'Resource Demand - Activity'!X:X)</f>
        <v>0</v>
      </c>
      <c r="AD80" s="35">
        <f>SUMIF('Resource Demand - Activity'!$FT:$FT,Example!$G80,'Resource Demand - Activity'!Y:Y)</f>
        <v>0</v>
      </c>
      <c r="AE80" s="35">
        <f>SUMIF('Resource Demand - Activity'!$FT:$FT,Example!$G80,'Resource Demand - Activity'!Z:Z)</f>
        <v>0</v>
      </c>
      <c r="AF80" s="35">
        <f>SUMIF('Resource Demand - Activity'!$FT:$FT,Example!$G80,'Resource Demand - Activity'!AA:AA)</f>
        <v>0</v>
      </c>
      <c r="AG80" s="35">
        <f>SUMIF('Resource Demand - Activity'!$FT:$FT,Example!$G80,'Resource Demand - Activity'!AB:AB)</f>
        <v>0</v>
      </c>
      <c r="AH80" s="35">
        <f>SUMIF('Resource Demand - Activity'!$FT:$FT,Example!$G80,'Resource Demand - Activity'!AC:AC)</f>
        <v>0</v>
      </c>
      <c r="AI80" s="35">
        <f>SUMIF('Resource Demand - Activity'!$FT:$FT,Example!$G80,'Resource Demand - Activity'!AD:AD)</f>
        <v>0</v>
      </c>
      <c r="AJ80" s="35">
        <f>SUMIF('Resource Demand - Activity'!$FT:$FT,Example!$G80,'Resource Demand - Activity'!AE:AE)</f>
        <v>0</v>
      </c>
      <c r="AK80" s="35">
        <f>SUMIF('Resource Demand - Activity'!$FT:$FT,Example!$G80,'Resource Demand - Activity'!AF:AF)</f>
        <v>0</v>
      </c>
      <c r="AL80" s="35">
        <f>SUMIF('Resource Demand - Activity'!$FT:$FT,Example!$G80,'Resource Demand - Activity'!AG:AG)</f>
        <v>0</v>
      </c>
      <c r="AM80" s="35">
        <f>SUMIF('Resource Demand - Activity'!$FT:$FT,Example!$G80,'Resource Demand - Activity'!AH:AH)</f>
        <v>0</v>
      </c>
      <c r="AN80" s="35">
        <f>SUMIF('Resource Demand - Activity'!$FT:$FT,Example!$G80,'Resource Demand - Activity'!AI:AI)</f>
        <v>0</v>
      </c>
      <c r="AO80" s="35">
        <f>SUMIF('Resource Demand - Activity'!$FT:$FT,Example!$G80,'Resource Demand - Activity'!AJ:AJ)</f>
        <v>0</v>
      </c>
      <c r="AP80" s="35">
        <f>SUMIF('Resource Demand - Activity'!$FT:$FT,Example!$G80,'Resource Demand - Activity'!AK:AK)</f>
        <v>0</v>
      </c>
      <c r="AQ80" s="36">
        <f>SUMIF('Resource Demand - Activity'!$FT:$FT,Example!$G80,'Resource Demand - Activity'!AL:AL)</f>
        <v>0</v>
      </c>
      <c r="AR80" s="36">
        <f>SUMIF('Resource Demand - Activity'!$FT:$FT,Example!$G80,'Resource Demand - Activity'!AM:AM)</f>
        <v>0</v>
      </c>
      <c r="AS80" s="36">
        <f>SUMIF('Resource Demand - Activity'!$FT:$FT,Example!$G80,'Resource Demand - Activity'!AN:AN)</f>
        <v>0</v>
      </c>
      <c r="AT80" s="36">
        <f>SUMIF('Resource Demand - Activity'!$FT:$FT,Example!$G80,'Resource Demand - Activity'!AO:AO)</f>
        <v>0</v>
      </c>
      <c r="AU80" s="36">
        <f>SUMIF('Resource Demand - Activity'!$FT:$FT,Example!$G80,'Resource Demand - Activity'!AP:AP)</f>
        <v>0</v>
      </c>
      <c r="AV80" s="36">
        <f>SUMIF('Resource Demand - Activity'!$FT:$FT,Example!$G80,'Resource Demand - Activity'!AQ:AQ)</f>
        <v>0</v>
      </c>
      <c r="AW80" s="36">
        <f>SUMIF('Resource Demand - Activity'!$FT:$FT,Example!$G80,'Resource Demand - Activity'!AR:AR)</f>
        <v>0</v>
      </c>
      <c r="AX80" s="35">
        <f>SUMIF('Resource Demand - Activity'!$FT:$FT,Example!$G80,'Resource Demand - Activity'!AS:AS)</f>
        <v>0</v>
      </c>
      <c r="AY80" s="35">
        <f>SUMIF('Resource Demand - Activity'!$FT:$FT,Example!$G80,'Resource Demand - Activity'!AT:AT)</f>
        <v>0</v>
      </c>
      <c r="AZ80" s="35">
        <f>SUMIF('Resource Demand - Activity'!$FT:$FT,Example!$G80,'Resource Demand - Activity'!AU:AU)</f>
        <v>0</v>
      </c>
      <c r="BA80" s="35">
        <f>SUMIF('Resource Demand - Activity'!$FT:$FT,Example!$G80,'Resource Demand - Activity'!AV:AV)</f>
        <v>0</v>
      </c>
      <c r="BB80" s="35">
        <f>SUMIF('Resource Demand - Activity'!$FT:$FT,Example!$G80,'Resource Demand - Activity'!AW:AW)</f>
        <v>0</v>
      </c>
      <c r="BC80" s="35">
        <f>SUMIF('Resource Demand - Activity'!$FT:$FT,Example!$G80,'Resource Demand - Activity'!AX:AX)</f>
        <v>0</v>
      </c>
      <c r="BD80" s="35">
        <f>SUMIF('Resource Demand - Activity'!$FT:$FT,Example!$G80,'Resource Demand - Activity'!AY:AY)</f>
        <v>0</v>
      </c>
      <c r="BE80" s="35">
        <f>SUMIF('Resource Demand - Activity'!$FT:$FT,Example!$G80,'Resource Demand - Activity'!AZ:AZ)</f>
        <v>0</v>
      </c>
      <c r="BF80" s="35">
        <f>SUMIF('Resource Demand - Activity'!$FT:$FT,Example!$G80,'Resource Demand - Activity'!BA:BA)</f>
        <v>0</v>
      </c>
      <c r="BG80" s="35">
        <f>SUMIF('Resource Demand - Activity'!$FT:$FT,Example!$G80,'Resource Demand - Activity'!BB:BB)</f>
        <v>0</v>
      </c>
      <c r="BH80" s="35">
        <f>SUMIF('Resource Demand - Activity'!$FT:$FT,Example!$G80,'Resource Demand - Activity'!BC:BC)</f>
        <v>0</v>
      </c>
      <c r="BI80" s="35">
        <f>SUMIF('Resource Demand - Activity'!$FT:$FT,Example!$G80,'Resource Demand - Activity'!BD:BD)</f>
        <v>0</v>
      </c>
      <c r="BJ80" s="35">
        <f>SUMIF('Resource Demand - Activity'!$FT:$FT,Example!$G80,'Resource Demand - Activity'!BE:BE)</f>
        <v>0</v>
      </c>
      <c r="BK80" s="35">
        <f>SUMIF('Resource Demand - Activity'!$FT:$FT,Example!$G80,'Resource Demand - Activity'!BF:BF)</f>
        <v>0</v>
      </c>
      <c r="BL80" s="35">
        <f>SUMIF('Resource Demand - Activity'!$FT:$FT,Example!$G80,'Resource Demand - Activity'!BG:BG)</f>
        <v>0</v>
      </c>
      <c r="BM80" s="35">
        <f>SUMIF('Resource Demand - Activity'!$FT:$FT,Example!$G80,'Resource Demand - Activity'!BH:BH)</f>
        <v>0</v>
      </c>
      <c r="BN80" s="35">
        <f>SUMIF('Resource Demand - Activity'!$FT:$FT,Example!$G80,'Resource Demand - Activity'!BI:BI)</f>
        <v>0</v>
      </c>
      <c r="BO80" s="35">
        <f>SUMIF('Resource Demand - Activity'!$FT:$FT,Example!$G80,'Resource Demand - Activity'!BJ:BJ)</f>
        <v>0</v>
      </c>
      <c r="BP80" s="35">
        <f>SUMIF('Resource Demand - Activity'!$FT:$FT,Example!$G80,'Resource Demand - Activity'!BK:BK)</f>
        <v>0</v>
      </c>
      <c r="BQ80" s="35">
        <f>SUMIF('Resource Demand - Activity'!$FT:$FT,Example!$G80,'Resource Demand - Activity'!BL:BL)</f>
        <v>0</v>
      </c>
      <c r="BR80" s="35">
        <f>SUMIF('Resource Demand - Activity'!$FT:$FT,Example!$G80,'Resource Demand - Activity'!BM:BM)</f>
        <v>0</v>
      </c>
      <c r="BS80" s="35">
        <f>SUMIF('Resource Demand - Activity'!$FT:$FT,Example!$G80,'Resource Demand - Activity'!BN:BN)</f>
        <v>0</v>
      </c>
      <c r="BT80" s="35">
        <f>SUMIF('Resource Demand - Activity'!$FT:$FT,Example!$G80,'Resource Demand - Activity'!BO:BO)</f>
        <v>0</v>
      </c>
      <c r="BU80" s="35">
        <f>SUMIF('Resource Demand - Activity'!$FT:$FT,Example!$G80,'Resource Demand - Activity'!BP:BP)</f>
        <v>0</v>
      </c>
      <c r="BV80" s="35">
        <f>SUMIF('Resource Demand - Activity'!$FT:$FT,Example!$G80,'Resource Demand - Activity'!BQ:BQ)</f>
        <v>0</v>
      </c>
      <c r="BW80" s="35">
        <f>SUMIF('Resource Demand - Activity'!$FT:$FT,Example!$G80,'Resource Demand - Activity'!BR:BR)</f>
        <v>0</v>
      </c>
      <c r="BX80" s="35">
        <f>SUMIF('Resource Demand - Activity'!$FT:$FT,Example!$G80,'Resource Demand - Activity'!BS:BS)</f>
        <v>0</v>
      </c>
      <c r="BY80" s="35">
        <f>SUMIF('Resource Demand - Activity'!$FT:$FT,Example!$G80,'Resource Demand - Activity'!BT:BT)</f>
        <v>0</v>
      </c>
      <c r="BZ80" s="35">
        <f>SUMIF('Resource Demand - Activity'!$FT:$FT,Example!$G80,'Resource Demand - Activity'!BU:BU)</f>
        <v>0</v>
      </c>
      <c r="CA80" s="35">
        <f>SUMIF('Resource Demand - Activity'!$FT:$FT,Example!$G80,'Resource Demand - Activity'!BV:BV)</f>
        <v>0</v>
      </c>
      <c r="CB80" s="35">
        <f>SUMIF('Resource Demand - Activity'!$FT:$FT,Example!$G80,'Resource Demand - Activity'!BW:BW)</f>
        <v>0</v>
      </c>
      <c r="CC80" s="35">
        <f>SUMIF('Resource Demand - Activity'!$FT:$FT,Example!$G80,'Resource Demand - Activity'!BX:BX)</f>
        <v>0</v>
      </c>
      <c r="CD80" s="35">
        <f>SUMIF('Resource Demand - Activity'!$FT:$FT,Example!$G80,'Resource Demand - Activity'!BY:BY)</f>
        <v>0</v>
      </c>
      <c r="CE80" s="35">
        <f>SUMIF('Resource Demand - Activity'!$FT:$FT,Example!$G80,'Resource Demand - Activity'!BZ:BZ)</f>
        <v>0</v>
      </c>
      <c r="CF80" s="35">
        <f>SUMIF('Resource Demand - Activity'!$FT:$FT,Example!$G80,'Resource Demand - Activity'!CA:CA)</f>
        <v>0</v>
      </c>
      <c r="CG80" s="35">
        <f>SUMIF('Resource Demand - Activity'!$FT:$FT,Example!$G80,'Resource Demand - Activity'!CB:CB)</f>
        <v>0</v>
      </c>
      <c r="CH80" s="35">
        <f>SUMIF('Resource Demand - Activity'!$FT:$FT,Example!$G80,'Resource Demand - Activity'!CC:CC)</f>
        <v>0</v>
      </c>
      <c r="CI80" s="35">
        <f>SUMIF('Resource Demand - Activity'!$FT:$FT,Example!$G80,'Resource Demand - Activity'!CD:CD)</f>
        <v>0</v>
      </c>
      <c r="CJ80" s="35">
        <f>SUMIF('Resource Demand - Activity'!$FT:$FT,Example!$G80,'Resource Demand - Activity'!CE:CE)</f>
        <v>0</v>
      </c>
      <c r="CK80" s="35">
        <f>SUMIF('Resource Demand - Activity'!$FT:$FT,Example!$G80,'Resource Demand - Activity'!CF:CF)</f>
        <v>0</v>
      </c>
      <c r="CL80" s="35">
        <f>SUMIF('Resource Demand - Activity'!$FT:$FT,Example!$G80,'Resource Demand - Activity'!CG:CG)</f>
        <v>0</v>
      </c>
      <c r="CM80" s="35">
        <f>SUMIF('Resource Demand - Activity'!$FT:$FT,Example!$G80,'Resource Demand - Activity'!CH:CH)</f>
        <v>0</v>
      </c>
      <c r="CN80" s="35">
        <f>SUMIF('Resource Demand - Activity'!$FT:$FT,Example!$G80,'Resource Demand - Activity'!CI:CI)</f>
        <v>0</v>
      </c>
      <c r="CO80" s="35">
        <f>SUMIF('Resource Demand - Activity'!$FT:$FT,Example!$G80,'Resource Demand - Activity'!CJ:CJ)</f>
        <v>0</v>
      </c>
      <c r="CP80" s="35">
        <f>SUMIF('Resource Demand - Activity'!$FT:$FT,Example!$G80,'Resource Demand - Activity'!CK:CK)</f>
        <v>0</v>
      </c>
      <c r="CQ80" s="35">
        <f>SUMIF('Resource Demand - Activity'!$FT:$FT,Example!$G80,'Resource Demand - Activity'!CL:CL)</f>
        <v>0</v>
      </c>
      <c r="CR80" s="35">
        <f>SUMIF('Resource Demand - Activity'!$FT:$FT,Example!$G80,'Resource Demand - Activity'!CM:CM)</f>
        <v>0</v>
      </c>
      <c r="CS80" s="35">
        <f>SUMIF('Resource Demand - Activity'!$FT:$FT,Example!$G80,'Resource Demand - Activity'!CN:CN)</f>
        <v>0</v>
      </c>
      <c r="CT80" s="35">
        <f>SUMIF('Resource Demand - Activity'!$FT:$FT,Example!$G80,'Resource Demand - Activity'!CO:CO)</f>
        <v>0</v>
      </c>
      <c r="CU80" s="35">
        <f>SUMIF('Resource Demand - Activity'!$FT:$FT,Example!$G80,'Resource Demand - Activity'!CP:CP)</f>
        <v>0</v>
      </c>
      <c r="CV80" s="35">
        <f>SUMIF('Resource Demand - Activity'!$FT:$FT,Example!$G80,'Resource Demand - Activity'!CQ:CQ)</f>
        <v>0</v>
      </c>
      <c r="CW80" s="35">
        <f>SUMIF('Resource Demand - Activity'!$FT:$FT,Example!$G80,'Resource Demand - Activity'!CR:CR)</f>
        <v>0</v>
      </c>
      <c r="CX80" s="35">
        <f>SUMIF('Resource Demand - Activity'!$FT:$FT,Example!$G80,'Resource Demand - Activity'!CS:CS)</f>
        <v>0</v>
      </c>
      <c r="CY80" s="36">
        <f>SUMIF('Resource Demand - Activity'!$FT:$FT,Example!$G80,'Resource Demand - Activity'!CT:CT)</f>
        <v>0</v>
      </c>
      <c r="CZ80" s="35">
        <f>SUMIF('Resource Demand - Activity'!$FT:$FT,Example!$G80,'Resource Demand - Activity'!CU:CU)</f>
        <v>0</v>
      </c>
      <c r="DA80" s="35">
        <f>SUMIF('Resource Demand - Activity'!$FT:$FT,Example!$G80,'Resource Demand - Activity'!CV:CV)</f>
        <v>0</v>
      </c>
      <c r="DB80" s="35">
        <f>SUMIF('Resource Demand - Activity'!$FT:$FT,Example!$G80,'Resource Demand - Activity'!CW:CW)</f>
        <v>0</v>
      </c>
      <c r="DC80" s="35">
        <f>SUMIF('Resource Demand - Activity'!$FT:$FT,Example!$G80,'Resource Demand - Activity'!CX:CX)</f>
        <v>0</v>
      </c>
      <c r="DD80" s="35">
        <f>SUMIF('Resource Demand - Activity'!$FT:$FT,Example!$G80,'Resource Demand - Activity'!CY:CY)</f>
        <v>0</v>
      </c>
      <c r="DE80" s="36">
        <f>SUMIF('Resource Demand - Activity'!$FT:$FT,Example!$G80,'Resource Demand - Activity'!CZ:CZ)</f>
        <v>0</v>
      </c>
      <c r="DF80" s="36">
        <f>SUMIF('Resource Demand - Activity'!$FT:$FT,Example!$G80,'Resource Demand - Activity'!DA:DA)</f>
        <v>0</v>
      </c>
      <c r="DG80" s="35">
        <f>SUMIF('Resource Demand - Activity'!$FT:$FT,Example!$G80,'Resource Demand - Activity'!DB:DB)</f>
        <v>0</v>
      </c>
      <c r="DH80" s="35">
        <f>SUMIF('Resource Demand - Activity'!$FT:$FT,Example!$G80,'Resource Demand - Activity'!DC:DC)</f>
        <v>0</v>
      </c>
      <c r="DI80" s="35">
        <f>SUMIF('Resource Demand - Activity'!$FT:$FT,Example!$G80,'Resource Demand - Activity'!DD:DD)</f>
        <v>0</v>
      </c>
      <c r="DJ80" s="35">
        <f>SUMIF('Resource Demand - Activity'!$FT:$FT,Example!$G80,'Resource Demand - Activity'!DE:DE)</f>
        <v>0</v>
      </c>
      <c r="DK80" s="35">
        <f>SUMIF('Resource Demand - Activity'!$FT:$FT,Example!$G80,'Resource Demand - Activity'!DF:DF)</f>
        <v>0</v>
      </c>
      <c r="DL80" s="35">
        <f>SUMIF('Resource Demand - Activity'!$FT:$FT,Example!$G80,'Resource Demand - Activity'!DG:DG)</f>
        <v>0</v>
      </c>
      <c r="DM80" s="35">
        <f>SUMIF('Resource Demand - Activity'!$FT:$FT,Example!$G80,'Resource Demand - Activity'!DH:DH)</f>
        <v>0</v>
      </c>
      <c r="DN80" s="35">
        <f>SUMIF('Resource Demand - Activity'!$FT:$FT,Example!$G80,'Resource Demand - Activity'!DI:DI)</f>
        <v>0</v>
      </c>
      <c r="DO80" s="35">
        <f>SUMIF('Resource Demand - Activity'!$FT:$FT,Example!$G80,'Resource Demand - Activity'!DJ:DJ)</f>
        <v>0</v>
      </c>
      <c r="DP80" s="35">
        <f>SUMIF('Resource Demand - Activity'!$FT:$FT,Example!$G80,'Resource Demand - Activity'!DK:DK)</f>
        <v>0</v>
      </c>
      <c r="DQ80" s="35">
        <f>SUMIF('Resource Demand - Activity'!$FT:$FT,Example!$G80,'Resource Demand - Activity'!DL:DL)</f>
        <v>0</v>
      </c>
      <c r="DR80" s="35">
        <f>SUMIF('Resource Demand - Activity'!$FT:$FT,Example!$G80,'Resource Demand - Activity'!DM:DM)</f>
        <v>0</v>
      </c>
      <c r="DS80" s="35">
        <f>SUMIF('Resource Demand - Activity'!$FT:$FT,Example!$G80,'Resource Demand - Activity'!DN:DN)</f>
        <v>0.5</v>
      </c>
      <c r="DT80" s="35">
        <f>SUMIF('Resource Demand - Activity'!$FT:$FT,Example!$G80,'Resource Demand - Activity'!DO:DO)</f>
        <v>0.5</v>
      </c>
      <c r="DU80" s="35">
        <f>SUMIF('Resource Demand - Activity'!$FT:$FT,Example!$G80,'Resource Demand - Activity'!DP:DP)</f>
        <v>0</v>
      </c>
      <c r="DV80" s="35">
        <f>SUMIF('Resource Demand - Activity'!$FT:$FT,Example!$G80,'Resource Demand - Activity'!DQ:DQ)</f>
        <v>0</v>
      </c>
      <c r="DW80" s="35">
        <f>SUMIF('Resource Demand - Activity'!$FT:$FT,Example!$G80,'Resource Demand - Activity'!DR:DR)</f>
        <v>0</v>
      </c>
      <c r="DX80" s="35">
        <f>SUMIF('Resource Demand - Activity'!$FT:$FT,Example!$G80,'Resource Demand - Activity'!DS:DS)</f>
        <v>0</v>
      </c>
      <c r="DY80" s="35">
        <f>SUMIF('Resource Demand - Activity'!$FT:$FT,Example!$G80,'Resource Demand - Activity'!DT:DT)</f>
        <v>0</v>
      </c>
      <c r="DZ80" s="35">
        <f>SUMIF('Resource Demand - Activity'!$FT:$FT,Example!$G80,'Resource Demand - Activity'!DU:DU)</f>
        <v>0</v>
      </c>
      <c r="EA80" s="35">
        <f>SUMIF('Resource Demand - Activity'!$FT:$FT,Example!$G80,'Resource Demand - Activity'!DV:DV)</f>
        <v>0</v>
      </c>
      <c r="EB80" s="35">
        <f>SUMIF('Resource Demand - Activity'!$FT:$FT,Example!$G80,'Resource Demand - Activity'!DW:DW)</f>
        <v>0</v>
      </c>
      <c r="EC80" s="35">
        <f>SUMIF('Resource Demand - Activity'!$FT:$FT,Example!$G80,'Resource Demand - Activity'!DX:DX)</f>
        <v>0</v>
      </c>
      <c r="ED80" s="35">
        <f>SUMIF('Resource Demand - Activity'!$FT:$FT,Example!$G80,'Resource Demand - Activity'!DY:DY)</f>
        <v>0</v>
      </c>
      <c r="EE80" s="36">
        <f>SUMIF('Resource Demand - Activity'!$FT:$FT,Example!$G80,'Resource Demand - Activity'!DZ:DZ)</f>
        <v>0</v>
      </c>
      <c r="EF80" s="35">
        <f>SUMIF('Resource Demand - Activity'!$FT:$FT,Example!$G80,'Resource Demand - Activity'!EA:EA)</f>
        <v>0</v>
      </c>
      <c r="EG80" s="35">
        <f>SUMIF('Resource Demand - Activity'!$FT:$FT,Example!$G80,'Resource Demand - Activity'!EB:EB)</f>
        <v>0</v>
      </c>
      <c r="EH80" s="35">
        <f>SUMIF('Resource Demand - Activity'!$FT:$FT,Example!$G80,'Resource Demand - Activity'!EC:EC)</f>
        <v>0</v>
      </c>
      <c r="EI80" s="35">
        <f>SUMIF('Resource Demand - Activity'!$FT:$FT,Example!$G80,'Resource Demand - Activity'!ED:ED)</f>
        <v>0</v>
      </c>
      <c r="EJ80" s="35">
        <f>SUMIF('Resource Demand - Activity'!$FT:$FT,Example!$G80,'Resource Demand - Activity'!EE:EE)</f>
        <v>0</v>
      </c>
      <c r="EK80" s="35">
        <f>SUMIF('Resource Demand - Activity'!$FT:$FT,Example!$G80,'Resource Demand - Activity'!EF:EF)</f>
        <v>0</v>
      </c>
      <c r="EL80" s="35">
        <f>SUMIF('Resource Demand - Activity'!$FT:$FT,Example!$G80,'Resource Demand - Activity'!EG:EG)</f>
        <v>0</v>
      </c>
      <c r="EM80" s="35">
        <f>SUMIF('Resource Demand - Activity'!$FT:$FT,Example!$G80,'Resource Demand - Activity'!EH:EH)</f>
        <v>0</v>
      </c>
      <c r="EN80" s="35">
        <f>SUMIF('Resource Demand - Activity'!$FT:$FT,Example!$G80,'Resource Demand - Activity'!EI:EI)</f>
        <v>0</v>
      </c>
      <c r="EO80" s="35">
        <f>SUMIF('Resource Demand - Activity'!$FT:$FT,Example!$G80,'Resource Demand - Activity'!EJ:EJ)</f>
        <v>0</v>
      </c>
      <c r="EP80" s="35">
        <f>SUMIF('Resource Demand - Activity'!$FT:$FT,Example!$G80,'Resource Demand - Activity'!EK:EK)</f>
        <v>0</v>
      </c>
      <c r="EQ80" s="35">
        <f>SUMIF('Resource Demand - Activity'!$FT:$FT,Example!$G80,'Resource Demand - Activity'!EL:EL)</f>
        <v>0</v>
      </c>
      <c r="ER80" s="35">
        <f>SUMIF('Resource Demand - Activity'!$FT:$FT,Example!$G80,'Resource Demand - Activity'!EM:EM)</f>
        <v>0</v>
      </c>
      <c r="ES80" s="35">
        <f>SUMIF('Resource Demand - Activity'!$FT:$FT,Example!$G80,'Resource Demand - Activity'!EN:EN)</f>
        <v>0</v>
      </c>
      <c r="ET80" s="35">
        <f>SUMIF('Resource Demand - Activity'!$FT:$FT,Example!$G80,'Resource Demand - Activity'!EO:EO)</f>
        <v>0.5</v>
      </c>
      <c r="EU80" s="35">
        <f>SUMIF('Resource Demand - Activity'!$FT:$FT,Example!$G80,'Resource Demand - Activity'!EP:EP)</f>
        <v>0</v>
      </c>
      <c r="EV80" s="35">
        <f>SUMIF('Resource Demand - Activity'!$FT:$FT,Example!$G80,'Resource Demand - Activity'!EQ:EQ)</f>
        <v>0</v>
      </c>
      <c r="EW80" s="35">
        <f>SUMIF('Resource Demand - Activity'!$FT:$FT,Example!$G80,'Resource Demand - Activity'!ER:ER)</f>
        <v>0</v>
      </c>
      <c r="EX80" s="35">
        <f>SUMIF('Resource Demand - Activity'!$FT:$FT,Example!$G80,'Resource Demand - Activity'!ES:ES)</f>
        <v>0</v>
      </c>
      <c r="EY80" s="35">
        <f>SUMIF('Resource Demand - Activity'!$FT:$FT,Example!$G80,'Resource Demand - Activity'!ET:ET)</f>
        <v>0</v>
      </c>
      <c r="EZ80" s="35">
        <f>SUMIF('Resource Demand - Activity'!$FT:$FT,Example!$G80,'Resource Demand - Activity'!EU:EU)</f>
        <v>0</v>
      </c>
      <c r="FA80" s="35">
        <f>SUMIF('Resource Demand - Activity'!$FT:$FT,Example!$G80,'Resource Demand - Activity'!EV:EV)</f>
        <v>0</v>
      </c>
      <c r="FB80" s="35">
        <f>SUMIF('Resource Demand - Activity'!$FT:$FT,Example!$G80,'Resource Demand - Activity'!EW:EW)</f>
        <v>0</v>
      </c>
      <c r="FC80" s="35">
        <f>SUMIF('Resource Demand - Activity'!$FT:$FT,Example!$G80,'Resource Demand - Activity'!EX:EX)</f>
        <v>0</v>
      </c>
      <c r="FD80" s="36">
        <f>SUMIF('Resource Demand - Activity'!$FT:$FT,Example!$G80,'Resource Demand - Activity'!EY:EY)</f>
        <v>0</v>
      </c>
      <c r="FE80" s="35">
        <f>SUMIF('Resource Demand - Activity'!$FT:$FT,Example!$G80,'Resource Demand - Activity'!EZ:EZ)</f>
        <v>0</v>
      </c>
      <c r="FF80" s="35">
        <f>SUMIF('Resource Demand - Activity'!$FT:$FT,Example!$G80,'Resource Demand - Activity'!FA:FA)</f>
        <v>0</v>
      </c>
      <c r="FG80" s="35">
        <f>SUMIF('Resource Demand - Activity'!$FT:$FT,Example!$G80,'Resource Demand - Activity'!FB:FB)</f>
        <v>0</v>
      </c>
      <c r="FH80" s="35">
        <f>SUMIF('Resource Demand - Activity'!$FT:$FT,Example!$G80,'Resource Demand - Activity'!FC:FC)</f>
        <v>0</v>
      </c>
      <c r="FI80" s="35">
        <f>SUMIF('Resource Demand - Activity'!$FT:$FT,Example!$G80,'Resource Demand - Activity'!FD:FD)</f>
        <v>0</v>
      </c>
      <c r="FJ80" s="35">
        <f>SUMIF('Resource Demand - Activity'!$FT:$FT,Example!$G80,'Resource Demand - Activity'!FE:FE)</f>
        <v>0</v>
      </c>
      <c r="FK80" s="35">
        <f>SUMIF('Resource Demand - Activity'!$FT:$FT,Example!$G80,'Resource Demand - Activity'!FF:FF)</f>
        <v>0</v>
      </c>
      <c r="FL80" s="35">
        <f>SUMIF('Resource Demand - Activity'!$FT:$FT,Example!$G80,'Resource Demand - Activity'!FG:FG)</f>
        <v>0</v>
      </c>
      <c r="FM80" s="35">
        <f>SUMIF('Resource Demand - Activity'!$FT:$FT,Example!$G80,'Resource Demand - Activity'!FH:FH)</f>
        <v>0</v>
      </c>
      <c r="FN80" s="35">
        <f>SUMIF('Resource Demand - Activity'!$FT:$FT,Example!$G80,'Resource Demand - Activity'!FI:FI)</f>
        <v>0</v>
      </c>
      <c r="FO80" s="35">
        <f>SUMIF('Resource Demand - Activity'!$FT:$FT,Example!$G80,'Resource Demand - Activity'!FJ:FJ)</f>
        <v>0</v>
      </c>
      <c r="FP80" s="35">
        <f>SUMIF('Resource Demand - Activity'!$FT:$FT,Example!$G80,'Resource Demand - Activity'!FK:FK)</f>
        <v>0</v>
      </c>
      <c r="FQ80" s="35">
        <f>SUMIF('Resource Demand - Activity'!$FT:$FT,Example!$G80,'Resource Demand - Activity'!FL:FL)</f>
        <v>0</v>
      </c>
      <c r="FR80" s="35">
        <f>SUMIF('Resource Demand - Activity'!$FT:$FT,Example!$G80,'Resource Demand - Activity'!FM:FM)</f>
        <v>0</v>
      </c>
      <c r="FS80" s="35">
        <f>SUMIF('Resource Demand - Activity'!$FT:$FT,Example!$G80,'Resource Demand - Activity'!FN:FN)</f>
        <v>0</v>
      </c>
      <c r="FT80" s="35">
        <f>SUMIF('Resource Demand - Activity'!$FT:$FT,Example!$G80,'Resource Demand - Activity'!FO:FO)</f>
        <v>0</v>
      </c>
      <c r="FU80" s="35">
        <f>SUMIF('Resource Demand - Activity'!$FT:$FT,Example!$G80,'Resource Demand - Activity'!FP:FP)</f>
        <v>0</v>
      </c>
      <c r="FV80" s="52">
        <f>SUMIF('Resource Demand - Activity'!$FT:$FT,Example!$G80,'Resource Demand - Activity'!FQ:FQ)</f>
        <v>0</v>
      </c>
    </row>
    <row r="81" spans="7:178" s="63" customFormat="1" ht="12" customHeight="1">
      <c r="G81" s="64" t="str">
        <f t="shared" si="15"/>
        <v>4. Annual Reporting (QRTs)  4.5 Technical SupportTM1 Analyst</v>
      </c>
      <c r="H81" s="82" t="s">
        <v>135</v>
      </c>
      <c r="I81" s="59" t="str">
        <f>INDEX('Resource Demand - Activity'!C:C,MATCH(Example!G81,'Resource Demand - Activity'!FT:FT,0))</f>
        <v>17 days</v>
      </c>
      <c r="J81" s="51">
        <f>SUMIF('Resource Demand - Activity'!$FT:$FT,Example!$G81,'Resource Demand - Activity'!E:E)</f>
        <v>0</v>
      </c>
      <c r="K81" s="35">
        <f>SUMIF('Resource Demand - Activity'!$FT:$FT,Example!$G81,'Resource Demand - Activity'!F:F)</f>
        <v>0</v>
      </c>
      <c r="L81" s="35">
        <f>SUMIF('Resource Demand - Activity'!$FT:$FT,Example!$G81,'Resource Demand - Activity'!G:G)</f>
        <v>0</v>
      </c>
      <c r="M81" s="35">
        <f>SUMIF('Resource Demand - Activity'!$FT:$FT,Example!$G81,'Resource Demand - Activity'!H:H)</f>
        <v>0</v>
      </c>
      <c r="N81" s="35">
        <f>SUMIF('Resource Demand - Activity'!$FT:$FT,Example!$G81,'Resource Demand - Activity'!I:I)</f>
        <v>0</v>
      </c>
      <c r="O81" s="35">
        <f>SUMIF('Resource Demand - Activity'!$FT:$FT,Example!$G81,'Resource Demand - Activity'!J:J)</f>
        <v>0</v>
      </c>
      <c r="P81" s="35">
        <f>SUMIF('Resource Demand - Activity'!$FT:$FT,Example!$G81,'Resource Demand - Activity'!K:K)</f>
        <v>0</v>
      </c>
      <c r="Q81" s="35">
        <f>SUMIF('Resource Demand - Activity'!$FT:$FT,Example!$G81,'Resource Demand - Activity'!L:L)</f>
        <v>0</v>
      </c>
      <c r="R81" s="35">
        <f>SUMIF('Resource Demand - Activity'!$FT:$FT,Example!$G81,'Resource Demand - Activity'!M:M)</f>
        <v>0</v>
      </c>
      <c r="S81" s="35">
        <f>SUMIF('Resource Demand - Activity'!$FT:$FT,Example!$G81,'Resource Demand - Activity'!N:N)</f>
        <v>0</v>
      </c>
      <c r="T81" s="35">
        <f>SUMIF('Resource Demand - Activity'!$FT:$FT,Example!$G81,'Resource Demand - Activity'!O:O)</f>
        <v>0</v>
      </c>
      <c r="U81" s="35">
        <f>SUMIF('Resource Demand - Activity'!$FT:$FT,Example!$G81,'Resource Demand - Activity'!P:P)</f>
        <v>0</v>
      </c>
      <c r="V81" s="35">
        <f>SUMIF('Resource Demand - Activity'!$FT:$FT,Example!$G81,'Resource Demand - Activity'!Q:Q)</f>
        <v>0</v>
      </c>
      <c r="W81" s="35">
        <f>SUMIF('Resource Demand - Activity'!$FT:$FT,Example!$G81,'Resource Demand - Activity'!R:R)</f>
        <v>0</v>
      </c>
      <c r="X81" s="35">
        <f>SUMIF('Resource Demand - Activity'!$FT:$FT,Example!$G81,'Resource Demand - Activity'!S:S)</f>
        <v>0</v>
      </c>
      <c r="Y81" s="35">
        <f>SUMIF('Resource Demand - Activity'!$FT:$FT,Example!$G81,'Resource Demand - Activity'!T:T)</f>
        <v>0</v>
      </c>
      <c r="Z81" s="35">
        <f>SUMIF('Resource Demand - Activity'!$FT:$FT,Example!$G81,'Resource Demand - Activity'!U:U)</f>
        <v>0</v>
      </c>
      <c r="AA81" s="35">
        <f>SUMIF('Resource Demand - Activity'!$FT:$FT,Example!$G81,'Resource Demand - Activity'!V:V)</f>
        <v>0</v>
      </c>
      <c r="AB81" s="35">
        <f>SUMIF('Resource Demand - Activity'!$FT:$FT,Example!$G81,'Resource Demand - Activity'!W:W)</f>
        <v>0.5</v>
      </c>
      <c r="AC81" s="35">
        <f>SUMIF('Resource Demand - Activity'!$FT:$FT,Example!$G81,'Resource Demand - Activity'!X:X)</f>
        <v>0.5</v>
      </c>
      <c r="AD81" s="35">
        <f>SUMIF('Resource Demand - Activity'!$FT:$FT,Example!$G81,'Resource Demand - Activity'!Y:Y)</f>
        <v>1</v>
      </c>
      <c r="AE81" s="35">
        <f>SUMIF('Resource Demand - Activity'!$FT:$FT,Example!$G81,'Resource Demand - Activity'!Z:Z)</f>
        <v>0.5</v>
      </c>
      <c r="AF81" s="35">
        <f>SUMIF('Resource Demand - Activity'!$FT:$FT,Example!$G81,'Resource Demand - Activity'!AA:AA)</f>
        <v>0.5</v>
      </c>
      <c r="AG81" s="35">
        <f>SUMIF('Resource Demand - Activity'!$FT:$FT,Example!$G81,'Resource Demand - Activity'!AB:AB)</f>
        <v>0</v>
      </c>
      <c r="AH81" s="35">
        <f>SUMIF('Resource Demand - Activity'!$FT:$FT,Example!$G81,'Resource Demand - Activity'!AC:AC)</f>
        <v>0</v>
      </c>
      <c r="AI81" s="35">
        <f>SUMIF('Resource Demand - Activity'!$FT:$FT,Example!$G81,'Resource Demand - Activity'!AD:AD)</f>
        <v>0</v>
      </c>
      <c r="AJ81" s="35">
        <f>SUMIF('Resource Demand - Activity'!$FT:$FT,Example!$G81,'Resource Demand - Activity'!AE:AE)</f>
        <v>0</v>
      </c>
      <c r="AK81" s="35">
        <f>SUMIF('Resource Demand - Activity'!$FT:$FT,Example!$G81,'Resource Demand - Activity'!AF:AF)</f>
        <v>0</v>
      </c>
      <c r="AL81" s="35">
        <f>SUMIF('Resource Demand - Activity'!$FT:$FT,Example!$G81,'Resource Demand - Activity'!AG:AG)</f>
        <v>0</v>
      </c>
      <c r="AM81" s="35">
        <f>SUMIF('Resource Demand - Activity'!$FT:$FT,Example!$G81,'Resource Demand - Activity'!AH:AH)</f>
        <v>0</v>
      </c>
      <c r="AN81" s="35">
        <f>SUMIF('Resource Demand - Activity'!$FT:$FT,Example!$G81,'Resource Demand - Activity'!AI:AI)</f>
        <v>0</v>
      </c>
      <c r="AO81" s="35">
        <f>SUMIF('Resource Demand - Activity'!$FT:$FT,Example!$G81,'Resource Demand - Activity'!AJ:AJ)</f>
        <v>0</v>
      </c>
      <c r="AP81" s="35">
        <f>SUMIF('Resource Demand - Activity'!$FT:$FT,Example!$G81,'Resource Demand - Activity'!AK:AK)</f>
        <v>0</v>
      </c>
      <c r="AQ81" s="36">
        <f>SUMIF('Resource Demand - Activity'!$FT:$FT,Example!$G81,'Resource Demand - Activity'!AL:AL)</f>
        <v>0</v>
      </c>
      <c r="AR81" s="36">
        <f>SUMIF('Resource Demand - Activity'!$FT:$FT,Example!$G81,'Resource Demand - Activity'!AM:AM)</f>
        <v>0</v>
      </c>
      <c r="AS81" s="36">
        <f>SUMIF('Resource Demand - Activity'!$FT:$FT,Example!$G81,'Resource Demand - Activity'!AN:AN)</f>
        <v>0</v>
      </c>
      <c r="AT81" s="36">
        <f>SUMIF('Resource Demand - Activity'!$FT:$FT,Example!$G81,'Resource Demand - Activity'!AO:AO)</f>
        <v>0</v>
      </c>
      <c r="AU81" s="36">
        <f>SUMIF('Resource Demand - Activity'!$FT:$FT,Example!$G81,'Resource Demand - Activity'!AP:AP)</f>
        <v>0</v>
      </c>
      <c r="AV81" s="36">
        <f>SUMIF('Resource Demand - Activity'!$FT:$FT,Example!$G81,'Resource Demand - Activity'!AQ:AQ)</f>
        <v>0</v>
      </c>
      <c r="AW81" s="36">
        <f>SUMIF('Resource Demand - Activity'!$FT:$FT,Example!$G81,'Resource Demand - Activity'!AR:AR)</f>
        <v>0</v>
      </c>
      <c r="AX81" s="35">
        <f>SUMIF('Resource Demand - Activity'!$FT:$FT,Example!$G81,'Resource Demand - Activity'!AS:AS)</f>
        <v>0</v>
      </c>
      <c r="AY81" s="35">
        <f>SUMIF('Resource Demand - Activity'!$FT:$FT,Example!$G81,'Resource Demand - Activity'!AT:AT)</f>
        <v>0</v>
      </c>
      <c r="AZ81" s="35">
        <f>SUMIF('Resource Demand - Activity'!$FT:$FT,Example!$G81,'Resource Demand - Activity'!AU:AU)</f>
        <v>0</v>
      </c>
      <c r="BA81" s="35">
        <f>SUMIF('Resource Demand - Activity'!$FT:$FT,Example!$G81,'Resource Demand - Activity'!AV:AV)</f>
        <v>0</v>
      </c>
      <c r="BB81" s="35">
        <f>SUMIF('Resource Demand - Activity'!$FT:$FT,Example!$G81,'Resource Demand - Activity'!AW:AW)</f>
        <v>0</v>
      </c>
      <c r="BC81" s="35">
        <f>SUMIF('Resource Demand - Activity'!$FT:$FT,Example!$G81,'Resource Demand - Activity'!AX:AX)</f>
        <v>0</v>
      </c>
      <c r="BD81" s="35">
        <f>SUMIF('Resource Demand - Activity'!$FT:$FT,Example!$G81,'Resource Demand - Activity'!AY:AY)</f>
        <v>1</v>
      </c>
      <c r="BE81" s="35">
        <f>SUMIF('Resource Demand - Activity'!$FT:$FT,Example!$G81,'Resource Demand - Activity'!AZ:AZ)</f>
        <v>1</v>
      </c>
      <c r="BF81" s="35">
        <f>SUMIF('Resource Demand - Activity'!$FT:$FT,Example!$G81,'Resource Demand - Activity'!BA:BA)</f>
        <v>1</v>
      </c>
      <c r="BG81" s="35">
        <f>SUMIF('Resource Demand - Activity'!$FT:$FT,Example!$G81,'Resource Demand - Activity'!BB:BB)</f>
        <v>1</v>
      </c>
      <c r="BH81" s="35">
        <f>SUMIF('Resource Demand - Activity'!$FT:$FT,Example!$G81,'Resource Demand - Activity'!BC:BC)</f>
        <v>1</v>
      </c>
      <c r="BI81" s="35">
        <f>SUMIF('Resource Demand - Activity'!$FT:$FT,Example!$G81,'Resource Demand - Activity'!BD:BD)</f>
        <v>1</v>
      </c>
      <c r="BJ81" s="35">
        <f>SUMIF('Resource Demand - Activity'!$FT:$FT,Example!$G81,'Resource Demand - Activity'!BE:BE)</f>
        <v>1</v>
      </c>
      <c r="BK81" s="35">
        <f>SUMIF('Resource Demand - Activity'!$FT:$FT,Example!$G81,'Resource Demand - Activity'!BF:BF)</f>
        <v>1</v>
      </c>
      <c r="BL81" s="35">
        <f>SUMIF('Resource Demand - Activity'!$FT:$FT,Example!$G81,'Resource Demand - Activity'!BG:BG)</f>
        <v>1</v>
      </c>
      <c r="BM81" s="35">
        <f>SUMIF('Resource Demand - Activity'!$FT:$FT,Example!$G81,'Resource Demand - Activity'!BH:BH)</f>
        <v>1</v>
      </c>
      <c r="BN81" s="35">
        <f>SUMIF('Resource Demand - Activity'!$FT:$FT,Example!$G81,'Resource Demand - Activity'!BI:BI)</f>
        <v>1</v>
      </c>
      <c r="BO81" s="35">
        <f>SUMIF('Resource Demand - Activity'!$FT:$FT,Example!$G81,'Resource Demand - Activity'!BJ:BJ)</f>
        <v>1</v>
      </c>
      <c r="BP81" s="35">
        <f>SUMIF('Resource Demand - Activity'!$FT:$FT,Example!$G81,'Resource Demand - Activity'!BK:BK)</f>
        <v>1</v>
      </c>
      <c r="BQ81" s="35">
        <f>SUMIF('Resource Demand - Activity'!$FT:$FT,Example!$G81,'Resource Demand - Activity'!BL:BL)</f>
        <v>1</v>
      </c>
      <c r="BR81" s="35">
        <f>SUMIF('Resource Demand - Activity'!$FT:$FT,Example!$G81,'Resource Demand - Activity'!BM:BM)</f>
        <v>0</v>
      </c>
      <c r="BS81" s="35">
        <f>SUMIF('Resource Demand - Activity'!$FT:$FT,Example!$G81,'Resource Demand - Activity'!BN:BN)</f>
        <v>0</v>
      </c>
      <c r="BT81" s="35">
        <f>SUMIF('Resource Demand - Activity'!$FT:$FT,Example!$G81,'Resource Demand - Activity'!BO:BO)</f>
        <v>0</v>
      </c>
      <c r="BU81" s="35">
        <f>SUMIF('Resource Demand - Activity'!$FT:$FT,Example!$G81,'Resource Demand - Activity'!BP:BP)</f>
        <v>0</v>
      </c>
      <c r="BV81" s="35">
        <f>SUMIF('Resource Demand - Activity'!$FT:$FT,Example!$G81,'Resource Demand - Activity'!BQ:BQ)</f>
        <v>0</v>
      </c>
      <c r="BW81" s="35">
        <f>SUMIF('Resource Demand - Activity'!$FT:$FT,Example!$G81,'Resource Demand - Activity'!BR:BR)</f>
        <v>0</v>
      </c>
      <c r="BX81" s="35">
        <f>SUMIF('Resource Demand - Activity'!$FT:$FT,Example!$G81,'Resource Demand - Activity'!BS:BS)</f>
        <v>0</v>
      </c>
      <c r="BY81" s="35">
        <f>SUMIF('Resource Demand - Activity'!$FT:$FT,Example!$G81,'Resource Demand - Activity'!BT:BT)</f>
        <v>0</v>
      </c>
      <c r="BZ81" s="35">
        <f>SUMIF('Resource Demand - Activity'!$FT:$FT,Example!$G81,'Resource Demand - Activity'!BU:BU)</f>
        <v>0</v>
      </c>
      <c r="CA81" s="35">
        <f>SUMIF('Resource Demand - Activity'!$FT:$FT,Example!$G81,'Resource Demand - Activity'!BV:BV)</f>
        <v>0</v>
      </c>
      <c r="CB81" s="35">
        <f>SUMIF('Resource Demand - Activity'!$FT:$FT,Example!$G81,'Resource Demand - Activity'!BW:BW)</f>
        <v>0</v>
      </c>
      <c r="CC81" s="35">
        <f>SUMIF('Resource Demand - Activity'!$FT:$FT,Example!$G81,'Resource Demand - Activity'!BX:BX)</f>
        <v>0</v>
      </c>
      <c r="CD81" s="35">
        <f>SUMIF('Resource Demand - Activity'!$FT:$FT,Example!$G81,'Resource Demand - Activity'!BY:BY)</f>
        <v>0</v>
      </c>
      <c r="CE81" s="35">
        <f>SUMIF('Resource Demand - Activity'!$FT:$FT,Example!$G81,'Resource Demand - Activity'!BZ:BZ)</f>
        <v>0</v>
      </c>
      <c r="CF81" s="35">
        <f>SUMIF('Resource Demand - Activity'!$FT:$FT,Example!$G81,'Resource Demand - Activity'!CA:CA)</f>
        <v>0</v>
      </c>
      <c r="CG81" s="35">
        <f>SUMIF('Resource Demand - Activity'!$FT:$FT,Example!$G81,'Resource Demand - Activity'!CB:CB)</f>
        <v>0</v>
      </c>
      <c r="CH81" s="35">
        <f>SUMIF('Resource Demand - Activity'!$FT:$FT,Example!$G81,'Resource Demand - Activity'!CC:CC)</f>
        <v>0</v>
      </c>
      <c r="CI81" s="35">
        <f>SUMIF('Resource Demand - Activity'!$FT:$FT,Example!$G81,'Resource Demand - Activity'!CD:CD)</f>
        <v>0</v>
      </c>
      <c r="CJ81" s="35">
        <f>SUMIF('Resource Demand - Activity'!$FT:$FT,Example!$G81,'Resource Demand - Activity'!CE:CE)</f>
        <v>0</v>
      </c>
      <c r="CK81" s="35">
        <f>SUMIF('Resource Demand - Activity'!$FT:$FT,Example!$G81,'Resource Demand - Activity'!CF:CF)</f>
        <v>0</v>
      </c>
      <c r="CL81" s="35">
        <f>SUMIF('Resource Demand - Activity'!$FT:$FT,Example!$G81,'Resource Demand - Activity'!CG:CG)</f>
        <v>0</v>
      </c>
      <c r="CM81" s="35">
        <f>SUMIF('Resource Demand - Activity'!$FT:$FT,Example!$G81,'Resource Demand - Activity'!CH:CH)</f>
        <v>0</v>
      </c>
      <c r="CN81" s="35">
        <f>SUMIF('Resource Demand - Activity'!$FT:$FT,Example!$G81,'Resource Demand - Activity'!CI:CI)</f>
        <v>0</v>
      </c>
      <c r="CO81" s="35">
        <f>SUMIF('Resource Demand - Activity'!$FT:$FT,Example!$G81,'Resource Demand - Activity'!CJ:CJ)</f>
        <v>0</v>
      </c>
      <c r="CP81" s="35">
        <f>SUMIF('Resource Demand - Activity'!$FT:$FT,Example!$G81,'Resource Demand - Activity'!CK:CK)</f>
        <v>0</v>
      </c>
      <c r="CQ81" s="35">
        <f>SUMIF('Resource Demand - Activity'!$FT:$FT,Example!$G81,'Resource Demand - Activity'!CL:CL)</f>
        <v>0</v>
      </c>
      <c r="CR81" s="35">
        <f>SUMIF('Resource Demand - Activity'!$FT:$FT,Example!$G81,'Resource Demand - Activity'!CM:CM)</f>
        <v>0</v>
      </c>
      <c r="CS81" s="35">
        <f>SUMIF('Resource Demand - Activity'!$FT:$FT,Example!$G81,'Resource Demand - Activity'!CN:CN)</f>
        <v>0</v>
      </c>
      <c r="CT81" s="35">
        <f>SUMIF('Resource Demand - Activity'!$FT:$FT,Example!$G81,'Resource Demand - Activity'!CO:CO)</f>
        <v>0</v>
      </c>
      <c r="CU81" s="35">
        <f>SUMIF('Resource Demand - Activity'!$FT:$FT,Example!$G81,'Resource Demand - Activity'!CP:CP)</f>
        <v>0</v>
      </c>
      <c r="CV81" s="35">
        <f>SUMIF('Resource Demand - Activity'!$FT:$FT,Example!$G81,'Resource Demand - Activity'!CQ:CQ)</f>
        <v>0</v>
      </c>
      <c r="CW81" s="35">
        <f>SUMIF('Resource Demand - Activity'!$FT:$FT,Example!$G81,'Resource Demand - Activity'!CR:CR)</f>
        <v>0</v>
      </c>
      <c r="CX81" s="35">
        <f>SUMIF('Resource Demand - Activity'!$FT:$FT,Example!$G81,'Resource Demand - Activity'!CS:CS)</f>
        <v>0</v>
      </c>
      <c r="CY81" s="36">
        <f>SUMIF('Resource Demand - Activity'!$FT:$FT,Example!$G81,'Resource Demand - Activity'!CT:CT)</f>
        <v>0</v>
      </c>
      <c r="CZ81" s="35">
        <f>SUMIF('Resource Demand - Activity'!$FT:$FT,Example!$G81,'Resource Demand - Activity'!CU:CU)</f>
        <v>0</v>
      </c>
      <c r="DA81" s="35">
        <f>SUMIF('Resource Demand - Activity'!$FT:$FT,Example!$G81,'Resource Demand - Activity'!CV:CV)</f>
        <v>0</v>
      </c>
      <c r="DB81" s="35">
        <f>SUMIF('Resource Demand - Activity'!$FT:$FT,Example!$G81,'Resource Demand - Activity'!CW:CW)</f>
        <v>0</v>
      </c>
      <c r="DC81" s="35">
        <f>SUMIF('Resource Demand - Activity'!$FT:$FT,Example!$G81,'Resource Demand - Activity'!CX:CX)</f>
        <v>0</v>
      </c>
      <c r="DD81" s="35">
        <f>SUMIF('Resource Demand - Activity'!$FT:$FT,Example!$G81,'Resource Demand - Activity'!CY:CY)</f>
        <v>0</v>
      </c>
      <c r="DE81" s="36">
        <f>SUMIF('Resource Demand - Activity'!$FT:$FT,Example!$G81,'Resource Demand - Activity'!CZ:CZ)</f>
        <v>0</v>
      </c>
      <c r="DF81" s="36">
        <f>SUMIF('Resource Demand - Activity'!$FT:$FT,Example!$G81,'Resource Demand - Activity'!DA:DA)</f>
        <v>0</v>
      </c>
      <c r="DG81" s="35">
        <f>SUMIF('Resource Demand - Activity'!$FT:$FT,Example!$G81,'Resource Demand - Activity'!DB:DB)</f>
        <v>0</v>
      </c>
      <c r="DH81" s="35">
        <f>SUMIF('Resource Demand - Activity'!$FT:$FT,Example!$G81,'Resource Demand - Activity'!DC:DC)</f>
        <v>0</v>
      </c>
      <c r="DI81" s="35">
        <f>SUMIF('Resource Demand - Activity'!$FT:$FT,Example!$G81,'Resource Demand - Activity'!DD:DD)</f>
        <v>0</v>
      </c>
      <c r="DJ81" s="35">
        <f>SUMIF('Resource Demand - Activity'!$FT:$FT,Example!$G81,'Resource Demand - Activity'!DE:DE)</f>
        <v>0</v>
      </c>
      <c r="DK81" s="35">
        <f>SUMIF('Resource Demand - Activity'!$FT:$FT,Example!$G81,'Resource Demand - Activity'!DF:DF)</f>
        <v>0</v>
      </c>
      <c r="DL81" s="35">
        <f>SUMIF('Resource Demand - Activity'!$FT:$FT,Example!$G81,'Resource Demand - Activity'!DG:DG)</f>
        <v>0</v>
      </c>
      <c r="DM81" s="35">
        <f>SUMIF('Resource Demand - Activity'!$FT:$FT,Example!$G81,'Resource Demand - Activity'!DH:DH)</f>
        <v>0</v>
      </c>
      <c r="DN81" s="35">
        <f>SUMIF('Resource Demand - Activity'!$FT:$FT,Example!$G81,'Resource Demand - Activity'!DI:DI)</f>
        <v>0</v>
      </c>
      <c r="DO81" s="35">
        <f>SUMIF('Resource Demand - Activity'!$FT:$FT,Example!$G81,'Resource Demand - Activity'!DJ:DJ)</f>
        <v>0</v>
      </c>
      <c r="DP81" s="35">
        <f>SUMIF('Resource Demand - Activity'!$FT:$FT,Example!$G81,'Resource Demand - Activity'!DK:DK)</f>
        <v>0</v>
      </c>
      <c r="DQ81" s="35">
        <f>SUMIF('Resource Demand - Activity'!$FT:$FT,Example!$G81,'Resource Demand - Activity'!DL:DL)</f>
        <v>0</v>
      </c>
      <c r="DR81" s="35">
        <f>SUMIF('Resource Demand - Activity'!$FT:$FT,Example!$G81,'Resource Demand - Activity'!DM:DM)</f>
        <v>0</v>
      </c>
      <c r="DS81" s="35">
        <f>SUMIF('Resource Demand - Activity'!$FT:$FT,Example!$G81,'Resource Demand - Activity'!DN:DN)</f>
        <v>0</v>
      </c>
      <c r="DT81" s="35">
        <f>SUMIF('Resource Demand - Activity'!$FT:$FT,Example!$G81,'Resource Demand - Activity'!DO:DO)</f>
        <v>0</v>
      </c>
      <c r="DU81" s="35">
        <f>SUMIF('Resource Demand - Activity'!$FT:$FT,Example!$G81,'Resource Demand - Activity'!DP:DP)</f>
        <v>0</v>
      </c>
      <c r="DV81" s="35">
        <f>SUMIF('Resource Demand - Activity'!$FT:$FT,Example!$G81,'Resource Demand - Activity'!DQ:DQ)</f>
        <v>0</v>
      </c>
      <c r="DW81" s="35">
        <f>SUMIF('Resource Demand - Activity'!$FT:$FT,Example!$G81,'Resource Demand - Activity'!DR:DR)</f>
        <v>0</v>
      </c>
      <c r="DX81" s="35">
        <f>SUMIF('Resource Demand - Activity'!$FT:$FT,Example!$G81,'Resource Demand - Activity'!DS:DS)</f>
        <v>0</v>
      </c>
      <c r="DY81" s="35">
        <f>SUMIF('Resource Demand - Activity'!$FT:$FT,Example!$G81,'Resource Demand - Activity'!DT:DT)</f>
        <v>0</v>
      </c>
      <c r="DZ81" s="35">
        <f>SUMIF('Resource Demand - Activity'!$FT:$FT,Example!$G81,'Resource Demand - Activity'!DU:DU)</f>
        <v>0</v>
      </c>
      <c r="EA81" s="35">
        <f>SUMIF('Resource Demand - Activity'!$FT:$FT,Example!$G81,'Resource Demand - Activity'!DV:DV)</f>
        <v>0</v>
      </c>
      <c r="EB81" s="35">
        <f>SUMIF('Resource Demand - Activity'!$FT:$FT,Example!$G81,'Resource Demand - Activity'!DW:DW)</f>
        <v>0</v>
      </c>
      <c r="EC81" s="35">
        <f>SUMIF('Resource Demand - Activity'!$FT:$FT,Example!$G81,'Resource Demand - Activity'!DX:DX)</f>
        <v>0</v>
      </c>
      <c r="ED81" s="35">
        <f>SUMIF('Resource Demand - Activity'!$FT:$FT,Example!$G81,'Resource Demand - Activity'!DY:DY)</f>
        <v>0</v>
      </c>
      <c r="EE81" s="36">
        <f>SUMIF('Resource Demand - Activity'!$FT:$FT,Example!$G81,'Resource Demand - Activity'!DZ:DZ)</f>
        <v>0</v>
      </c>
      <c r="EF81" s="35">
        <f>SUMIF('Resource Demand - Activity'!$FT:$FT,Example!$G81,'Resource Demand - Activity'!EA:EA)</f>
        <v>0</v>
      </c>
      <c r="EG81" s="35">
        <f>SUMIF('Resource Demand - Activity'!$FT:$FT,Example!$G81,'Resource Demand - Activity'!EB:EB)</f>
        <v>0</v>
      </c>
      <c r="EH81" s="35">
        <f>SUMIF('Resource Demand - Activity'!$FT:$FT,Example!$G81,'Resource Demand - Activity'!EC:EC)</f>
        <v>0</v>
      </c>
      <c r="EI81" s="35">
        <f>SUMIF('Resource Demand - Activity'!$FT:$FT,Example!$G81,'Resource Demand - Activity'!ED:ED)</f>
        <v>0</v>
      </c>
      <c r="EJ81" s="35">
        <f>SUMIF('Resource Demand - Activity'!$FT:$FT,Example!$G81,'Resource Demand - Activity'!EE:EE)</f>
        <v>0</v>
      </c>
      <c r="EK81" s="35">
        <f>SUMIF('Resource Demand - Activity'!$FT:$FT,Example!$G81,'Resource Demand - Activity'!EF:EF)</f>
        <v>0</v>
      </c>
      <c r="EL81" s="35">
        <f>SUMIF('Resource Demand - Activity'!$FT:$FT,Example!$G81,'Resource Demand - Activity'!EG:EG)</f>
        <v>0</v>
      </c>
      <c r="EM81" s="35">
        <f>SUMIF('Resource Demand - Activity'!$FT:$FT,Example!$G81,'Resource Demand - Activity'!EH:EH)</f>
        <v>0</v>
      </c>
      <c r="EN81" s="35">
        <f>SUMIF('Resource Demand - Activity'!$FT:$FT,Example!$G81,'Resource Demand - Activity'!EI:EI)</f>
        <v>0</v>
      </c>
      <c r="EO81" s="35">
        <f>SUMIF('Resource Demand - Activity'!$FT:$FT,Example!$G81,'Resource Demand - Activity'!EJ:EJ)</f>
        <v>0</v>
      </c>
      <c r="EP81" s="35">
        <f>SUMIF('Resource Demand - Activity'!$FT:$FT,Example!$G81,'Resource Demand - Activity'!EK:EK)</f>
        <v>0</v>
      </c>
      <c r="EQ81" s="35">
        <f>SUMIF('Resource Demand - Activity'!$FT:$FT,Example!$G81,'Resource Demand - Activity'!EL:EL)</f>
        <v>0</v>
      </c>
      <c r="ER81" s="35">
        <f>SUMIF('Resource Demand - Activity'!$FT:$FT,Example!$G81,'Resource Demand - Activity'!EM:EM)</f>
        <v>0</v>
      </c>
      <c r="ES81" s="35">
        <f>SUMIF('Resource Demand - Activity'!$FT:$FT,Example!$G81,'Resource Demand - Activity'!EN:EN)</f>
        <v>0</v>
      </c>
      <c r="ET81" s="35">
        <f>SUMIF('Resource Demand - Activity'!$FT:$FT,Example!$G81,'Resource Demand - Activity'!EO:EO)</f>
        <v>0</v>
      </c>
      <c r="EU81" s="35">
        <f>SUMIF('Resource Demand - Activity'!$FT:$FT,Example!$G81,'Resource Demand - Activity'!EP:EP)</f>
        <v>0</v>
      </c>
      <c r="EV81" s="35">
        <f>SUMIF('Resource Demand - Activity'!$FT:$FT,Example!$G81,'Resource Demand - Activity'!EQ:EQ)</f>
        <v>0</v>
      </c>
      <c r="EW81" s="35">
        <f>SUMIF('Resource Demand - Activity'!$FT:$FT,Example!$G81,'Resource Demand - Activity'!ER:ER)</f>
        <v>0</v>
      </c>
      <c r="EX81" s="35">
        <f>SUMIF('Resource Demand - Activity'!$FT:$FT,Example!$G81,'Resource Demand - Activity'!ES:ES)</f>
        <v>0</v>
      </c>
      <c r="EY81" s="35">
        <f>SUMIF('Resource Demand - Activity'!$FT:$FT,Example!$G81,'Resource Demand - Activity'!ET:ET)</f>
        <v>0</v>
      </c>
      <c r="EZ81" s="35">
        <f>SUMIF('Resource Demand - Activity'!$FT:$FT,Example!$G81,'Resource Demand - Activity'!EU:EU)</f>
        <v>0</v>
      </c>
      <c r="FA81" s="35">
        <f>SUMIF('Resource Demand - Activity'!$FT:$FT,Example!$G81,'Resource Demand - Activity'!EV:EV)</f>
        <v>0</v>
      </c>
      <c r="FB81" s="35">
        <f>SUMIF('Resource Demand - Activity'!$FT:$FT,Example!$G81,'Resource Demand - Activity'!EW:EW)</f>
        <v>0</v>
      </c>
      <c r="FC81" s="35">
        <f>SUMIF('Resource Demand - Activity'!$FT:$FT,Example!$G81,'Resource Demand - Activity'!EX:EX)</f>
        <v>0</v>
      </c>
      <c r="FD81" s="36">
        <f>SUMIF('Resource Demand - Activity'!$FT:$FT,Example!$G81,'Resource Demand - Activity'!EY:EY)</f>
        <v>0</v>
      </c>
      <c r="FE81" s="35">
        <f>SUMIF('Resource Demand - Activity'!$FT:$FT,Example!$G81,'Resource Demand - Activity'!EZ:EZ)</f>
        <v>0</v>
      </c>
      <c r="FF81" s="35">
        <f>SUMIF('Resource Demand - Activity'!$FT:$FT,Example!$G81,'Resource Demand - Activity'!FA:FA)</f>
        <v>0</v>
      </c>
      <c r="FG81" s="35">
        <f>SUMIF('Resource Demand - Activity'!$FT:$FT,Example!$G81,'Resource Demand - Activity'!FB:FB)</f>
        <v>0</v>
      </c>
      <c r="FH81" s="35">
        <f>SUMIF('Resource Demand - Activity'!$FT:$FT,Example!$G81,'Resource Demand - Activity'!FC:FC)</f>
        <v>0</v>
      </c>
      <c r="FI81" s="35">
        <f>SUMIF('Resource Demand - Activity'!$FT:$FT,Example!$G81,'Resource Demand - Activity'!FD:FD)</f>
        <v>0</v>
      </c>
      <c r="FJ81" s="35">
        <f>SUMIF('Resource Demand - Activity'!$FT:$FT,Example!$G81,'Resource Demand - Activity'!FE:FE)</f>
        <v>0</v>
      </c>
      <c r="FK81" s="35">
        <f>SUMIF('Resource Demand - Activity'!$FT:$FT,Example!$G81,'Resource Demand - Activity'!FF:FF)</f>
        <v>0</v>
      </c>
      <c r="FL81" s="35">
        <f>SUMIF('Resource Demand - Activity'!$FT:$FT,Example!$G81,'Resource Demand - Activity'!FG:FG)</f>
        <v>0</v>
      </c>
      <c r="FM81" s="35">
        <f>SUMIF('Resource Demand - Activity'!$FT:$FT,Example!$G81,'Resource Demand - Activity'!FH:FH)</f>
        <v>0</v>
      </c>
      <c r="FN81" s="35">
        <f>SUMIF('Resource Demand - Activity'!$FT:$FT,Example!$G81,'Resource Demand - Activity'!FI:FI)</f>
        <v>0</v>
      </c>
      <c r="FO81" s="35">
        <f>SUMIF('Resource Demand - Activity'!$FT:$FT,Example!$G81,'Resource Demand - Activity'!FJ:FJ)</f>
        <v>0</v>
      </c>
      <c r="FP81" s="35">
        <f>SUMIF('Resource Demand - Activity'!$FT:$FT,Example!$G81,'Resource Demand - Activity'!FK:FK)</f>
        <v>0</v>
      </c>
      <c r="FQ81" s="35">
        <f>SUMIF('Resource Demand - Activity'!$FT:$FT,Example!$G81,'Resource Demand - Activity'!FL:FL)</f>
        <v>0</v>
      </c>
      <c r="FR81" s="35">
        <f>SUMIF('Resource Demand - Activity'!$FT:$FT,Example!$G81,'Resource Demand - Activity'!FM:FM)</f>
        <v>0</v>
      </c>
      <c r="FS81" s="35">
        <f>SUMIF('Resource Demand - Activity'!$FT:$FT,Example!$G81,'Resource Demand - Activity'!FN:FN)</f>
        <v>0</v>
      </c>
      <c r="FT81" s="35">
        <f>SUMIF('Resource Demand - Activity'!$FT:$FT,Example!$G81,'Resource Demand - Activity'!FO:FO)</f>
        <v>0</v>
      </c>
      <c r="FU81" s="35">
        <f>SUMIF('Resource Demand - Activity'!$FT:$FT,Example!$G81,'Resource Demand - Activity'!FP:FP)</f>
        <v>0</v>
      </c>
      <c r="FV81" s="52">
        <f>SUMIF('Resource Demand - Activity'!$FT:$FT,Example!$G81,'Resource Demand - Activity'!FQ:FQ)</f>
        <v>0</v>
      </c>
    </row>
    <row r="82" spans="7:178" s="63" customFormat="1" ht="12" customHeight="1">
      <c r="G82" s="64" t="str">
        <f t="shared" si="15"/>
        <v>8. NSTs/ECB Development &amp; Reporting 8.5 Technical SupportTM1 Analyst</v>
      </c>
      <c r="H82" s="82" t="s">
        <v>136</v>
      </c>
      <c r="I82" s="59" t="str">
        <f>INDEX('Resource Demand - Activity'!C:C,MATCH(Example!G82,'Resource Demand - Activity'!FT:FT,0))</f>
        <v>9 days</v>
      </c>
      <c r="J82" s="51">
        <f>SUMIF('Resource Demand - Activity'!$FT:$FT,Example!$G82,'Resource Demand - Activity'!E:E)</f>
        <v>0</v>
      </c>
      <c r="K82" s="35">
        <f>SUMIF('Resource Demand - Activity'!$FT:$FT,Example!$G82,'Resource Demand - Activity'!F:F)</f>
        <v>0</v>
      </c>
      <c r="L82" s="35">
        <f>SUMIF('Resource Demand - Activity'!$FT:$FT,Example!$G82,'Resource Demand - Activity'!G:G)</f>
        <v>0</v>
      </c>
      <c r="M82" s="35">
        <f>SUMIF('Resource Demand - Activity'!$FT:$FT,Example!$G82,'Resource Demand - Activity'!H:H)</f>
        <v>0</v>
      </c>
      <c r="N82" s="35">
        <f>SUMIF('Resource Demand - Activity'!$FT:$FT,Example!$G82,'Resource Demand - Activity'!I:I)</f>
        <v>0</v>
      </c>
      <c r="O82" s="35">
        <f>SUMIF('Resource Demand - Activity'!$FT:$FT,Example!$G82,'Resource Demand - Activity'!J:J)</f>
        <v>0</v>
      </c>
      <c r="P82" s="35">
        <f>SUMIF('Resource Demand - Activity'!$FT:$FT,Example!$G82,'Resource Demand - Activity'!K:K)</f>
        <v>0</v>
      </c>
      <c r="Q82" s="35">
        <f>SUMIF('Resource Demand - Activity'!$FT:$FT,Example!$G82,'Resource Demand - Activity'!L:L)</f>
        <v>0</v>
      </c>
      <c r="R82" s="35">
        <f>SUMIF('Resource Demand - Activity'!$FT:$FT,Example!$G82,'Resource Demand - Activity'!M:M)</f>
        <v>0</v>
      </c>
      <c r="S82" s="35">
        <f>SUMIF('Resource Demand - Activity'!$FT:$FT,Example!$G82,'Resource Demand - Activity'!N:N)</f>
        <v>0</v>
      </c>
      <c r="T82" s="35">
        <f>SUMIF('Resource Demand - Activity'!$FT:$FT,Example!$G82,'Resource Demand - Activity'!O:O)</f>
        <v>0</v>
      </c>
      <c r="U82" s="35">
        <f>SUMIF('Resource Demand - Activity'!$FT:$FT,Example!$G82,'Resource Demand - Activity'!P:P)</f>
        <v>0</v>
      </c>
      <c r="V82" s="35">
        <f>SUMIF('Resource Demand - Activity'!$FT:$FT,Example!$G82,'Resource Demand - Activity'!Q:Q)</f>
        <v>0</v>
      </c>
      <c r="W82" s="35">
        <f>SUMIF('Resource Demand - Activity'!$FT:$FT,Example!$G82,'Resource Demand - Activity'!R:R)</f>
        <v>0</v>
      </c>
      <c r="X82" s="35">
        <f>SUMIF('Resource Demand - Activity'!$FT:$FT,Example!$G82,'Resource Demand - Activity'!S:S)</f>
        <v>0</v>
      </c>
      <c r="Y82" s="35">
        <f>SUMIF('Resource Demand - Activity'!$FT:$FT,Example!$G82,'Resource Demand - Activity'!T:T)</f>
        <v>0</v>
      </c>
      <c r="Z82" s="35">
        <f>SUMIF('Resource Demand - Activity'!$FT:$FT,Example!$G82,'Resource Demand - Activity'!U:U)</f>
        <v>1</v>
      </c>
      <c r="AA82" s="35">
        <f>SUMIF('Resource Demand - Activity'!$FT:$FT,Example!$G82,'Resource Demand - Activity'!V:V)</f>
        <v>1</v>
      </c>
      <c r="AB82" s="35">
        <f>SUMIF('Resource Demand - Activity'!$FT:$FT,Example!$G82,'Resource Demand - Activity'!W:W)</f>
        <v>0.5</v>
      </c>
      <c r="AC82" s="35">
        <f>SUMIF('Resource Demand - Activity'!$FT:$FT,Example!$G82,'Resource Demand - Activity'!X:X)</f>
        <v>0.5</v>
      </c>
      <c r="AD82" s="35">
        <f>SUMIF('Resource Demand - Activity'!$FT:$FT,Example!$G82,'Resource Demand - Activity'!Y:Y)</f>
        <v>0</v>
      </c>
      <c r="AE82" s="35">
        <f>SUMIF('Resource Demand - Activity'!$FT:$FT,Example!$G82,'Resource Demand - Activity'!Z:Z)</f>
        <v>0.5</v>
      </c>
      <c r="AF82" s="35">
        <f>SUMIF('Resource Demand - Activity'!$FT:$FT,Example!$G82,'Resource Demand - Activity'!AA:AA)</f>
        <v>0.5</v>
      </c>
      <c r="AG82" s="35">
        <f>SUMIF('Resource Demand - Activity'!$FT:$FT,Example!$G82,'Resource Demand - Activity'!AB:AB)</f>
        <v>1</v>
      </c>
      <c r="AH82" s="35">
        <f>SUMIF('Resource Demand - Activity'!$FT:$FT,Example!$G82,'Resource Demand - Activity'!AC:AC)</f>
        <v>1</v>
      </c>
      <c r="AI82" s="35">
        <f>SUMIF('Resource Demand - Activity'!$FT:$FT,Example!$G82,'Resource Demand - Activity'!AD:AD)</f>
        <v>0</v>
      </c>
      <c r="AJ82" s="35">
        <f>SUMIF('Resource Demand - Activity'!$FT:$FT,Example!$G82,'Resource Demand - Activity'!AE:AE)</f>
        <v>0</v>
      </c>
      <c r="AK82" s="35">
        <f>SUMIF('Resource Demand - Activity'!$FT:$FT,Example!$G82,'Resource Demand - Activity'!AF:AF)</f>
        <v>0</v>
      </c>
      <c r="AL82" s="35">
        <f>SUMIF('Resource Demand - Activity'!$FT:$FT,Example!$G82,'Resource Demand - Activity'!AG:AG)</f>
        <v>0</v>
      </c>
      <c r="AM82" s="35">
        <f>SUMIF('Resource Demand - Activity'!$FT:$FT,Example!$G82,'Resource Demand - Activity'!AH:AH)</f>
        <v>0</v>
      </c>
      <c r="AN82" s="35">
        <f>SUMIF('Resource Demand - Activity'!$FT:$FT,Example!$G82,'Resource Demand - Activity'!AI:AI)</f>
        <v>0</v>
      </c>
      <c r="AO82" s="35">
        <f>SUMIF('Resource Demand - Activity'!$FT:$FT,Example!$G82,'Resource Demand - Activity'!AJ:AJ)</f>
        <v>1</v>
      </c>
      <c r="AP82" s="35">
        <f>SUMIF('Resource Demand - Activity'!$FT:$FT,Example!$G82,'Resource Demand - Activity'!AK:AK)</f>
        <v>1</v>
      </c>
      <c r="AQ82" s="36">
        <f>SUMIF('Resource Demand - Activity'!$FT:$FT,Example!$G82,'Resource Demand - Activity'!AL:AL)</f>
        <v>0</v>
      </c>
      <c r="AR82" s="36">
        <f>SUMIF('Resource Demand - Activity'!$FT:$FT,Example!$G82,'Resource Demand - Activity'!AM:AM)</f>
        <v>0</v>
      </c>
      <c r="AS82" s="36">
        <f>SUMIF('Resource Demand - Activity'!$FT:$FT,Example!$G82,'Resource Demand - Activity'!AN:AN)</f>
        <v>0</v>
      </c>
      <c r="AT82" s="36">
        <f>SUMIF('Resource Demand - Activity'!$FT:$FT,Example!$G82,'Resource Demand - Activity'!AO:AO)</f>
        <v>0</v>
      </c>
      <c r="AU82" s="36">
        <f>SUMIF('Resource Demand - Activity'!$FT:$FT,Example!$G82,'Resource Demand - Activity'!AP:AP)</f>
        <v>0</v>
      </c>
      <c r="AV82" s="36">
        <f>SUMIF('Resource Demand - Activity'!$FT:$FT,Example!$G82,'Resource Demand - Activity'!AQ:AQ)</f>
        <v>0</v>
      </c>
      <c r="AW82" s="36">
        <f>SUMIF('Resource Demand - Activity'!$FT:$FT,Example!$G82,'Resource Demand - Activity'!AR:AR)</f>
        <v>0</v>
      </c>
      <c r="AX82" s="35">
        <f>SUMIF('Resource Demand - Activity'!$FT:$FT,Example!$G82,'Resource Demand - Activity'!AS:AS)</f>
        <v>0</v>
      </c>
      <c r="AY82" s="35">
        <f>SUMIF('Resource Demand - Activity'!$FT:$FT,Example!$G82,'Resource Demand - Activity'!AT:AT)</f>
        <v>0</v>
      </c>
      <c r="AZ82" s="35">
        <f>SUMIF('Resource Demand - Activity'!$FT:$FT,Example!$G82,'Resource Demand - Activity'!AU:AU)</f>
        <v>0</v>
      </c>
      <c r="BA82" s="35">
        <f>SUMIF('Resource Demand - Activity'!$FT:$FT,Example!$G82,'Resource Demand - Activity'!AV:AV)</f>
        <v>0</v>
      </c>
      <c r="BB82" s="35">
        <f>SUMIF('Resource Demand - Activity'!$FT:$FT,Example!$G82,'Resource Demand - Activity'!AW:AW)</f>
        <v>0</v>
      </c>
      <c r="BC82" s="35">
        <f>SUMIF('Resource Demand - Activity'!$FT:$FT,Example!$G82,'Resource Demand - Activity'!AX:AX)</f>
        <v>0</v>
      </c>
      <c r="BD82" s="35">
        <f>SUMIF('Resource Demand - Activity'!$FT:$FT,Example!$G82,'Resource Demand - Activity'!AY:AY)</f>
        <v>0</v>
      </c>
      <c r="BE82" s="35">
        <f>SUMIF('Resource Demand - Activity'!$FT:$FT,Example!$G82,'Resource Demand - Activity'!AZ:AZ)</f>
        <v>0</v>
      </c>
      <c r="BF82" s="35">
        <f>SUMIF('Resource Demand - Activity'!$FT:$FT,Example!$G82,'Resource Demand - Activity'!BA:BA)</f>
        <v>0</v>
      </c>
      <c r="BG82" s="35">
        <f>SUMIF('Resource Demand - Activity'!$FT:$FT,Example!$G82,'Resource Demand - Activity'!BB:BB)</f>
        <v>0</v>
      </c>
      <c r="BH82" s="35">
        <f>SUMIF('Resource Demand - Activity'!$FT:$FT,Example!$G82,'Resource Demand - Activity'!BC:BC)</f>
        <v>0</v>
      </c>
      <c r="BI82" s="35">
        <f>SUMIF('Resource Demand - Activity'!$FT:$FT,Example!$G82,'Resource Demand - Activity'!BD:BD)</f>
        <v>0</v>
      </c>
      <c r="BJ82" s="35">
        <f>SUMIF('Resource Demand - Activity'!$FT:$FT,Example!$G82,'Resource Demand - Activity'!BE:BE)</f>
        <v>0</v>
      </c>
      <c r="BK82" s="35">
        <f>SUMIF('Resource Demand - Activity'!$FT:$FT,Example!$G82,'Resource Demand - Activity'!BF:BF)</f>
        <v>0</v>
      </c>
      <c r="BL82" s="35">
        <f>SUMIF('Resource Demand - Activity'!$FT:$FT,Example!$G82,'Resource Demand - Activity'!BG:BG)</f>
        <v>0</v>
      </c>
      <c r="BM82" s="35">
        <f>SUMIF('Resource Demand - Activity'!$FT:$FT,Example!$G82,'Resource Demand - Activity'!BH:BH)</f>
        <v>0</v>
      </c>
      <c r="BN82" s="35">
        <f>SUMIF('Resource Demand - Activity'!$FT:$FT,Example!$G82,'Resource Demand - Activity'!BI:BI)</f>
        <v>0</v>
      </c>
      <c r="BO82" s="35">
        <f>SUMIF('Resource Demand - Activity'!$FT:$FT,Example!$G82,'Resource Demand - Activity'!BJ:BJ)</f>
        <v>0</v>
      </c>
      <c r="BP82" s="35">
        <f>SUMIF('Resource Demand - Activity'!$FT:$FT,Example!$G82,'Resource Demand - Activity'!BK:BK)</f>
        <v>0</v>
      </c>
      <c r="BQ82" s="35">
        <f>SUMIF('Resource Demand - Activity'!$FT:$FT,Example!$G82,'Resource Demand - Activity'!BL:BL)</f>
        <v>0</v>
      </c>
      <c r="BR82" s="35">
        <f>SUMIF('Resource Demand - Activity'!$FT:$FT,Example!$G82,'Resource Demand - Activity'!BM:BM)</f>
        <v>0</v>
      </c>
      <c r="BS82" s="35">
        <f>SUMIF('Resource Demand - Activity'!$FT:$FT,Example!$G82,'Resource Demand - Activity'!BN:BN)</f>
        <v>0</v>
      </c>
      <c r="BT82" s="35">
        <f>SUMIF('Resource Demand - Activity'!$FT:$FT,Example!$G82,'Resource Demand - Activity'!BO:BO)</f>
        <v>0</v>
      </c>
      <c r="BU82" s="35">
        <f>SUMIF('Resource Demand - Activity'!$FT:$FT,Example!$G82,'Resource Demand - Activity'!BP:BP)</f>
        <v>0</v>
      </c>
      <c r="BV82" s="35">
        <f>SUMIF('Resource Demand - Activity'!$FT:$FT,Example!$G82,'Resource Demand - Activity'!BQ:BQ)</f>
        <v>0</v>
      </c>
      <c r="BW82" s="35">
        <f>SUMIF('Resource Demand - Activity'!$FT:$FT,Example!$G82,'Resource Demand - Activity'!BR:BR)</f>
        <v>0</v>
      </c>
      <c r="BX82" s="35">
        <f>SUMIF('Resource Demand - Activity'!$FT:$FT,Example!$G82,'Resource Demand - Activity'!BS:BS)</f>
        <v>0</v>
      </c>
      <c r="BY82" s="35">
        <f>SUMIF('Resource Demand - Activity'!$FT:$FT,Example!$G82,'Resource Demand - Activity'!BT:BT)</f>
        <v>0</v>
      </c>
      <c r="BZ82" s="35">
        <f>SUMIF('Resource Demand - Activity'!$FT:$FT,Example!$G82,'Resource Demand - Activity'!BU:BU)</f>
        <v>0</v>
      </c>
      <c r="CA82" s="35">
        <f>SUMIF('Resource Demand - Activity'!$FT:$FT,Example!$G82,'Resource Demand - Activity'!BV:BV)</f>
        <v>0</v>
      </c>
      <c r="CB82" s="35">
        <f>SUMIF('Resource Demand - Activity'!$FT:$FT,Example!$G82,'Resource Demand - Activity'!BW:BW)</f>
        <v>0</v>
      </c>
      <c r="CC82" s="35">
        <f>SUMIF('Resource Demand - Activity'!$FT:$FT,Example!$G82,'Resource Demand - Activity'!BX:BX)</f>
        <v>0</v>
      </c>
      <c r="CD82" s="35">
        <f>SUMIF('Resource Demand - Activity'!$FT:$FT,Example!$G82,'Resource Demand - Activity'!BY:BY)</f>
        <v>0</v>
      </c>
      <c r="CE82" s="35">
        <f>SUMIF('Resource Demand - Activity'!$FT:$FT,Example!$G82,'Resource Demand - Activity'!BZ:BZ)</f>
        <v>0</v>
      </c>
      <c r="CF82" s="35">
        <f>SUMIF('Resource Demand - Activity'!$FT:$FT,Example!$G82,'Resource Demand - Activity'!CA:CA)</f>
        <v>0</v>
      </c>
      <c r="CG82" s="35">
        <f>SUMIF('Resource Demand - Activity'!$FT:$FT,Example!$G82,'Resource Demand - Activity'!CB:CB)</f>
        <v>0</v>
      </c>
      <c r="CH82" s="35">
        <f>SUMIF('Resource Demand - Activity'!$FT:$FT,Example!$G82,'Resource Demand - Activity'!CC:CC)</f>
        <v>0</v>
      </c>
      <c r="CI82" s="35">
        <f>SUMIF('Resource Demand - Activity'!$FT:$FT,Example!$G82,'Resource Demand - Activity'!CD:CD)</f>
        <v>0</v>
      </c>
      <c r="CJ82" s="35">
        <f>SUMIF('Resource Demand - Activity'!$FT:$FT,Example!$G82,'Resource Demand - Activity'!CE:CE)</f>
        <v>0</v>
      </c>
      <c r="CK82" s="35">
        <f>SUMIF('Resource Demand - Activity'!$FT:$FT,Example!$G82,'Resource Demand - Activity'!CF:CF)</f>
        <v>0</v>
      </c>
      <c r="CL82" s="35">
        <f>SUMIF('Resource Demand - Activity'!$FT:$FT,Example!$G82,'Resource Demand - Activity'!CG:CG)</f>
        <v>0</v>
      </c>
      <c r="CM82" s="35">
        <f>SUMIF('Resource Demand - Activity'!$FT:$FT,Example!$G82,'Resource Demand - Activity'!CH:CH)</f>
        <v>0</v>
      </c>
      <c r="CN82" s="35">
        <f>SUMIF('Resource Demand - Activity'!$FT:$FT,Example!$G82,'Resource Demand - Activity'!CI:CI)</f>
        <v>0</v>
      </c>
      <c r="CO82" s="35">
        <f>SUMIF('Resource Demand - Activity'!$FT:$FT,Example!$G82,'Resource Demand - Activity'!CJ:CJ)</f>
        <v>0</v>
      </c>
      <c r="CP82" s="35">
        <f>SUMIF('Resource Demand - Activity'!$FT:$FT,Example!$G82,'Resource Demand - Activity'!CK:CK)</f>
        <v>0</v>
      </c>
      <c r="CQ82" s="35">
        <f>SUMIF('Resource Demand - Activity'!$FT:$FT,Example!$G82,'Resource Demand - Activity'!CL:CL)</f>
        <v>0</v>
      </c>
      <c r="CR82" s="35">
        <f>SUMIF('Resource Demand - Activity'!$FT:$FT,Example!$G82,'Resource Demand - Activity'!CM:CM)</f>
        <v>0</v>
      </c>
      <c r="CS82" s="35">
        <f>SUMIF('Resource Demand - Activity'!$FT:$FT,Example!$G82,'Resource Demand - Activity'!CN:CN)</f>
        <v>0</v>
      </c>
      <c r="CT82" s="35">
        <f>SUMIF('Resource Demand - Activity'!$FT:$FT,Example!$G82,'Resource Demand - Activity'!CO:CO)</f>
        <v>0</v>
      </c>
      <c r="CU82" s="35">
        <f>SUMIF('Resource Demand - Activity'!$FT:$FT,Example!$G82,'Resource Demand - Activity'!CP:CP)</f>
        <v>0</v>
      </c>
      <c r="CV82" s="35">
        <f>SUMIF('Resource Demand - Activity'!$FT:$FT,Example!$G82,'Resource Demand - Activity'!CQ:CQ)</f>
        <v>0</v>
      </c>
      <c r="CW82" s="35">
        <f>SUMIF('Resource Demand - Activity'!$FT:$FT,Example!$G82,'Resource Demand - Activity'!CR:CR)</f>
        <v>0</v>
      </c>
      <c r="CX82" s="35">
        <f>SUMIF('Resource Demand - Activity'!$FT:$FT,Example!$G82,'Resource Demand - Activity'!CS:CS)</f>
        <v>0</v>
      </c>
      <c r="CY82" s="36">
        <f>SUMIF('Resource Demand - Activity'!$FT:$FT,Example!$G82,'Resource Demand - Activity'!CT:CT)</f>
        <v>0</v>
      </c>
      <c r="CZ82" s="35">
        <f>SUMIF('Resource Demand - Activity'!$FT:$FT,Example!$G82,'Resource Demand - Activity'!CU:CU)</f>
        <v>0</v>
      </c>
      <c r="DA82" s="35">
        <f>SUMIF('Resource Demand - Activity'!$FT:$FT,Example!$G82,'Resource Demand - Activity'!CV:CV)</f>
        <v>0</v>
      </c>
      <c r="DB82" s="35">
        <f>SUMIF('Resource Demand - Activity'!$FT:$FT,Example!$G82,'Resource Demand - Activity'!CW:CW)</f>
        <v>0</v>
      </c>
      <c r="DC82" s="35">
        <f>SUMIF('Resource Demand - Activity'!$FT:$FT,Example!$G82,'Resource Demand - Activity'!CX:CX)</f>
        <v>0</v>
      </c>
      <c r="DD82" s="35">
        <f>SUMIF('Resource Demand - Activity'!$FT:$FT,Example!$G82,'Resource Demand - Activity'!CY:CY)</f>
        <v>0</v>
      </c>
      <c r="DE82" s="36">
        <f>SUMIF('Resource Demand - Activity'!$FT:$FT,Example!$G82,'Resource Demand - Activity'!CZ:CZ)</f>
        <v>0</v>
      </c>
      <c r="DF82" s="36">
        <f>SUMIF('Resource Demand - Activity'!$FT:$FT,Example!$G82,'Resource Demand - Activity'!DA:DA)</f>
        <v>0</v>
      </c>
      <c r="DG82" s="35">
        <f>SUMIF('Resource Demand - Activity'!$FT:$FT,Example!$G82,'Resource Demand - Activity'!DB:DB)</f>
        <v>0</v>
      </c>
      <c r="DH82" s="35">
        <f>SUMIF('Resource Demand - Activity'!$FT:$FT,Example!$G82,'Resource Demand - Activity'!DC:DC)</f>
        <v>0</v>
      </c>
      <c r="DI82" s="35">
        <f>SUMIF('Resource Demand - Activity'!$FT:$FT,Example!$G82,'Resource Demand - Activity'!DD:DD)</f>
        <v>0</v>
      </c>
      <c r="DJ82" s="35">
        <f>SUMIF('Resource Demand - Activity'!$FT:$FT,Example!$G82,'Resource Demand - Activity'!DE:DE)</f>
        <v>0</v>
      </c>
      <c r="DK82" s="35">
        <f>SUMIF('Resource Demand - Activity'!$FT:$FT,Example!$G82,'Resource Demand - Activity'!DF:DF)</f>
        <v>0</v>
      </c>
      <c r="DL82" s="35">
        <f>SUMIF('Resource Demand - Activity'!$FT:$FT,Example!$G82,'Resource Demand - Activity'!DG:DG)</f>
        <v>0</v>
      </c>
      <c r="DM82" s="35">
        <f>SUMIF('Resource Demand - Activity'!$FT:$FT,Example!$G82,'Resource Demand - Activity'!DH:DH)</f>
        <v>0</v>
      </c>
      <c r="DN82" s="35">
        <f>SUMIF('Resource Demand - Activity'!$FT:$FT,Example!$G82,'Resource Demand - Activity'!DI:DI)</f>
        <v>0</v>
      </c>
      <c r="DO82" s="35">
        <f>SUMIF('Resource Demand - Activity'!$FT:$FT,Example!$G82,'Resource Demand - Activity'!DJ:DJ)</f>
        <v>0</v>
      </c>
      <c r="DP82" s="35">
        <f>SUMIF('Resource Demand - Activity'!$FT:$FT,Example!$G82,'Resource Demand - Activity'!DK:DK)</f>
        <v>0</v>
      </c>
      <c r="DQ82" s="35">
        <f>SUMIF('Resource Demand - Activity'!$FT:$FT,Example!$G82,'Resource Demand - Activity'!DL:DL)</f>
        <v>0</v>
      </c>
      <c r="DR82" s="35">
        <f>SUMIF('Resource Demand - Activity'!$FT:$FT,Example!$G82,'Resource Demand - Activity'!DM:DM)</f>
        <v>0</v>
      </c>
      <c r="DS82" s="35">
        <f>SUMIF('Resource Demand - Activity'!$FT:$FT,Example!$G82,'Resource Demand - Activity'!DN:DN)</f>
        <v>0</v>
      </c>
      <c r="DT82" s="35">
        <f>SUMIF('Resource Demand - Activity'!$FT:$FT,Example!$G82,'Resource Demand - Activity'!DO:DO)</f>
        <v>0</v>
      </c>
      <c r="DU82" s="35">
        <f>SUMIF('Resource Demand - Activity'!$FT:$FT,Example!$G82,'Resource Demand - Activity'!DP:DP)</f>
        <v>0</v>
      </c>
      <c r="DV82" s="35">
        <f>SUMIF('Resource Demand - Activity'!$FT:$FT,Example!$G82,'Resource Demand - Activity'!DQ:DQ)</f>
        <v>0</v>
      </c>
      <c r="DW82" s="35">
        <f>SUMIF('Resource Demand - Activity'!$FT:$FT,Example!$G82,'Resource Demand - Activity'!DR:DR)</f>
        <v>0</v>
      </c>
      <c r="DX82" s="35">
        <f>SUMIF('Resource Demand - Activity'!$FT:$FT,Example!$G82,'Resource Demand - Activity'!DS:DS)</f>
        <v>0</v>
      </c>
      <c r="DY82" s="35">
        <f>SUMIF('Resource Demand - Activity'!$FT:$FT,Example!$G82,'Resource Demand - Activity'!DT:DT)</f>
        <v>0</v>
      </c>
      <c r="DZ82" s="35">
        <f>SUMIF('Resource Demand - Activity'!$FT:$FT,Example!$G82,'Resource Demand - Activity'!DU:DU)</f>
        <v>0</v>
      </c>
      <c r="EA82" s="35">
        <f>SUMIF('Resource Demand - Activity'!$FT:$FT,Example!$G82,'Resource Demand - Activity'!DV:DV)</f>
        <v>0</v>
      </c>
      <c r="EB82" s="35">
        <f>SUMIF('Resource Demand - Activity'!$FT:$FT,Example!$G82,'Resource Demand - Activity'!DW:DW)</f>
        <v>0</v>
      </c>
      <c r="EC82" s="35">
        <f>SUMIF('Resource Demand - Activity'!$FT:$FT,Example!$G82,'Resource Demand - Activity'!DX:DX)</f>
        <v>0</v>
      </c>
      <c r="ED82" s="35">
        <f>SUMIF('Resource Demand - Activity'!$FT:$FT,Example!$G82,'Resource Demand - Activity'!DY:DY)</f>
        <v>0.5</v>
      </c>
      <c r="EE82" s="36">
        <f>SUMIF('Resource Demand - Activity'!$FT:$FT,Example!$G82,'Resource Demand - Activity'!DZ:DZ)</f>
        <v>0</v>
      </c>
      <c r="EF82" s="35">
        <f>SUMIF('Resource Demand - Activity'!$FT:$FT,Example!$G82,'Resource Demand - Activity'!EA:EA)</f>
        <v>0</v>
      </c>
      <c r="EG82" s="35">
        <f>SUMIF('Resource Demand - Activity'!$FT:$FT,Example!$G82,'Resource Demand - Activity'!EB:EB)</f>
        <v>0</v>
      </c>
      <c r="EH82" s="35">
        <f>SUMIF('Resource Demand - Activity'!$FT:$FT,Example!$G82,'Resource Demand - Activity'!EC:EC)</f>
        <v>0</v>
      </c>
      <c r="EI82" s="35">
        <f>SUMIF('Resource Demand - Activity'!$FT:$FT,Example!$G82,'Resource Demand - Activity'!ED:ED)</f>
        <v>0</v>
      </c>
      <c r="EJ82" s="35">
        <f>SUMIF('Resource Demand - Activity'!$FT:$FT,Example!$G82,'Resource Demand - Activity'!EE:EE)</f>
        <v>0</v>
      </c>
      <c r="EK82" s="35">
        <f>SUMIF('Resource Demand - Activity'!$FT:$FT,Example!$G82,'Resource Demand - Activity'!EF:EF)</f>
        <v>0</v>
      </c>
      <c r="EL82" s="35">
        <f>SUMIF('Resource Demand - Activity'!$FT:$FT,Example!$G82,'Resource Demand - Activity'!EG:EG)</f>
        <v>0</v>
      </c>
      <c r="EM82" s="35">
        <f>SUMIF('Resource Demand - Activity'!$FT:$FT,Example!$G82,'Resource Demand - Activity'!EH:EH)</f>
        <v>0</v>
      </c>
      <c r="EN82" s="35">
        <f>SUMIF('Resource Demand - Activity'!$FT:$FT,Example!$G82,'Resource Demand - Activity'!EI:EI)</f>
        <v>0</v>
      </c>
      <c r="EO82" s="35">
        <f>SUMIF('Resource Demand - Activity'!$FT:$FT,Example!$G82,'Resource Demand - Activity'!EJ:EJ)</f>
        <v>0</v>
      </c>
      <c r="EP82" s="35">
        <f>SUMIF('Resource Demand - Activity'!$FT:$FT,Example!$G82,'Resource Demand - Activity'!EK:EK)</f>
        <v>0</v>
      </c>
      <c r="EQ82" s="35">
        <f>SUMIF('Resource Demand - Activity'!$FT:$FT,Example!$G82,'Resource Demand - Activity'!EL:EL)</f>
        <v>0</v>
      </c>
      <c r="ER82" s="35">
        <f>SUMIF('Resource Demand - Activity'!$FT:$FT,Example!$G82,'Resource Demand - Activity'!EM:EM)</f>
        <v>0</v>
      </c>
      <c r="ES82" s="35">
        <f>SUMIF('Resource Demand - Activity'!$FT:$FT,Example!$G82,'Resource Demand - Activity'!EN:EN)</f>
        <v>0</v>
      </c>
      <c r="ET82" s="35">
        <f>SUMIF('Resource Demand - Activity'!$FT:$FT,Example!$G82,'Resource Demand - Activity'!EO:EO)</f>
        <v>0</v>
      </c>
      <c r="EU82" s="35">
        <f>SUMIF('Resource Demand - Activity'!$FT:$FT,Example!$G82,'Resource Demand - Activity'!EP:EP)</f>
        <v>0</v>
      </c>
      <c r="EV82" s="35">
        <f>SUMIF('Resource Demand - Activity'!$FT:$FT,Example!$G82,'Resource Demand - Activity'!EQ:EQ)</f>
        <v>0</v>
      </c>
      <c r="EW82" s="35">
        <f>SUMIF('Resource Demand - Activity'!$FT:$FT,Example!$G82,'Resource Demand - Activity'!ER:ER)</f>
        <v>0</v>
      </c>
      <c r="EX82" s="35">
        <f>SUMIF('Resource Demand - Activity'!$FT:$FT,Example!$G82,'Resource Demand - Activity'!ES:ES)</f>
        <v>0</v>
      </c>
      <c r="EY82" s="35">
        <f>SUMIF('Resource Demand - Activity'!$FT:$FT,Example!$G82,'Resource Demand - Activity'!ET:ET)</f>
        <v>0</v>
      </c>
      <c r="EZ82" s="35">
        <f>SUMIF('Resource Demand - Activity'!$FT:$FT,Example!$G82,'Resource Demand - Activity'!EU:EU)</f>
        <v>0</v>
      </c>
      <c r="FA82" s="35">
        <f>SUMIF('Resource Demand - Activity'!$FT:$FT,Example!$G82,'Resource Demand - Activity'!EV:EV)</f>
        <v>0</v>
      </c>
      <c r="FB82" s="35">
        <f>SUMIF('Resource Demand - Activity'!$FT:$FT,Example!$G82,'Resource Demand - Activity'!EW:EW)</f>
        <v>0</v>
      </c>
      <c r="FC82" s="35">
        <f>SUMIF('Resource Demand - Activity'!$FT:$FT,Example!$G82,'Resource Demand - Activity'!EX:EX)</f>
        <v>0</v>
      </c>
      <c r="FD82" s="36">
        <f>SUMIF('Resource Demand - Activity'!$FT:$FT,Example!$G82,'Resource Demand - Activity'!EY:EY)</f>
        <v>0</v>
      </c>
      <c r="FE82" s="35">
        <f>SUMIF('Resource Demand - Activity'!$FT:$FT,Example!$G82,'Resource Demand - Activity'!EZ:EZ)</f>
        <v>0</v>
      </c>
      <c r="FF82" s="35">
        <f>SUMIF('Resource Demand - Activity'!$FT:$FT,Example!$G82,'Resource Demand - Activity'!FA:FA)</f>
        <v>0</v>
      </c>
      <c r="FG82" s="35">
        <f>SUMIF('Resource Demand - Activity'!$FT:$FT,Example!$G82,'Resource Demand - Activity'!FB:FB)</f>
        <v>0</v>
      </c>
      <c r="FH82" s="35">
        <f>SUMIF('Resource Demand - Activity'!$FT:$FT,Example!$G82,'Resource Demand - Activity'!FC:FC)</f>
        <v>0</v>
      </c>
      <c r="FI82" s="35">
        <f>SUMIF('Resource Demand - Activity'!$FT:$FT,Example!$G82,'Resource Demand - Activity'!FD:FD)</f>
        <v>0</v>
      </c>
      <c r="FJ82" s="35">
        <f>SUMIF('Resource Demand - Activity'!$FT:$FT,Example!$G82,'Resource Demand - Activity'!FE:FE)</f>
        <v>0</v>
      </c>
      <c r="FK82" s="35">
        <f>SUMIF('Resource Demand - Activity'!$FT:$FT,Example!$G82,'Resource Demand - Activity'!FF:FF)</f>
        <v>0</v>
      </c>
      <c r="FL82" s="35">
        <f>SUMIF('Resource Demand - Activity'!$FT:$FT,Example!$G82,'Resource Demand - Activity'!FG:FG)</f>
        <v>0</v>
      </c>
      <c r="FM82" s="35">
        <f>SUMIF('Resource Demand - Activity'!$FT:$FT,Example!$G82,'Resource Demand - Activity'!FH:FH)</f>
        <v>0</v>
      </c>
      <c r="FN82" s="35">
        <f>SUMIF('Resource Demand - Activity'!$FT:$FT,Example!$G82,'Resource Demand - Activity'!FI:FI)</f>
        <v>0</v>
      </c>
      <c r="FO82" s="35">
        <f>SUMIF('Resource Demand - Activity'!$FT:$FT,Example!$G82,'Resource Demand - Activity'!FJ:FJ)</f>
        <v>0</v>
      </c>
      <c r="FP82" s="35">
        <f>SUMIF('Resource Demand - Activity'!$FT:$FT,Example!$G82,'Resource Demand - Activity'!FK:FK)</f>
        <v>0</v>
      </c>
      <c r="FQ82" s="35">
        <f>SUMIF('Resource Demand - Activity'!$FT:$FT,Example!$G82,'Resource Demand - Activity'!FL:FL)</f>
        <v>0</v>
      </c>
      <c r="FR82" s="35">
        <f>SUMIF('Resource Demand - Activity'!$FT:$FT,Example!$G82,'Resource Demand - Activity'!FM:FM)</f>
        <v>0</v>
      </c>
      <c r="FS82" s="35">
        <f>SUMIF('Resource Demand - Activity'!$FT:$FT,Example!$G82,'Resource Demand - Activity'!FN:FN)</f>
        <v>0</v>
      </c>
      <c r="FT82" s="35">
        <f>SUMIF('Resource Demand - Activity'!$FT:$FT,Example!$G82,'Resource Demand - Activity'!FO:FO)</f>
        <v>0</v>
      </c>
      <c r="FU82" s="35">
        <f>SUMIF('Resource Demand - Activity'!$FT:$FT,Example!$G82,'Resource Demand - Activity'!FP:FP)</f>
        <v>0</v>
      </c>
      <c r="FV82" s="52">
        <f>SUMIF('Resource Demand - Activity'!$FT:$FT,Example!$G82,'Resource Demand - Activity'!FQ:FQ)</f>
        <v>0</v>
      </c>
    </row>
    <row r="83" spans="7:178" s="63" customFormat="1" ht="12" customHeight="1">
      <c r="G83" s="64" t="str">
        <f t="shared" si="15"/>
        <v>9. Technical Support 9.1 UATTM1 Analyst</v>
      </c>
      <c r="H83" s="82" t="s">
        <v>137</v>
      </c>
      <c r="I83" s="59" t="str">
        <f>INDEX('Resource Demand - Activity'!C:C,MATCH(Example!G83,'Resource Demand - Activity'!FT:FT,0))</f>
        <v>31 days</v>
      </c>
      <c r="J83" s="51">
        <f>SUMIF('Resource Demand - Activity'!$FT:$FT,Example!$G83,'Resource Demand - Activity'!E:E)</f>
        <v>0.5</v>
      </c>
      <c r="K83" s="35">
        <f>SUMIF('Resource Demand - Activity'!$FT:$FT,Example!$G83,'Resource Demand - Activity'!F:F)</f>
        <v>0.5</v>
      </c>
      <c r="L83" s="35">
        <f>SUMIF('Resource Demand - Activity'!$FT:$FT,Example!$G83,'Resource Demand - Activity'!G:G)</f>
        <v>0.5</v>
      </c>
      <c r="M83" s="35">
        <f>SUMIF('Resource Demand - Activity'!$FT:$FT,Example!$G83,'Resource Demand - Activity'!H:H)</f>
        <v>0.5</v>
      </c>
      <c r="N83" s="35">
        <f>SUMIF('Resource Demand - Activity'!$FT:$FT,Example!$G83,'Resource Demand - Activity'!I:I)</f>
        <v>0.5</v>
      </c>
      <c r="O83" s="35">
        <f>SUMIF('Resource Demand - Activity'!$FT:$FT,Example!$G83,'Resource Demand - Activity'!J:J)</f>
        <v>0.5</v>
      </c>
      <c r="P83" s="35">
        <f>SUMIF('Resource Demand - Activity'!$FT:$FT,Example!$G83,'Resource Demand - Activity'!K:K)</f>
        <v>0.5</v>
      </c>
      <c r="Q83" s="35">
        <f>SUMIF('Resource Demand - Activity'!$FT:$FT,Example!$G83,'Resource Demand - Activity'!L:L)</f>
        <v>0.5</v>
      </c>
      <c r="R83" s="35">
        <f>SUMIF('Resource Demand - Activity'!$FT:$FT,Example!$G83,'Resource Demand - Activity'!M:M)</f>
        <v>0.5</v>
      </c>
      <c r="S83" s="35">
        <f>SUMIF('Resource Demand - Activity'!$FT:$FT,Example!$G83,'Resource Demand - Activity'!N:N)</f>
        <v>0.5</v>
      </c>
      <c r="T83" s="35">
        <f>SUMIF('Resource Demand - Activity'!$FT:$FT,Example!$G83,'Resource Demand - Activity'!O:O)</f>
        <v>0.5</v>
      </c>
      <c r="U83" s="35">
        <f>SUMIF('Resource Demand - Activity'!$FT:$FT,Example!$G83,'Resource Demand - Activity'!P:P)</f>
        <v>0.5</v>
      </c>
      <c r="V83" s="35">
        <f>SUMIF('Resource Demand - Activity'!$FT:$FT,Example!$G83,'Resource Demand - Activity'!Q:Q)</f>
        <v>0.5</v>
      </c>
      <c r="W83" s="35">
        <f>SUMIF('Resource Demand - Activity'!$FT:$FT,Example!$G83,'Resource Demand - Activity'!R:R)</f>
        <v>0.5</v>
      </c>
      <c r="X83" s="35">
        <f>SUMIF('Resource Demand - Activity'!$FT:$FT,Example!$G83,'Resource Demand - Activity'!S:S)</f>
        <v>0.5</v>
      </c>
      <c r="Y83" s="35">
        <f>SUMIF('Resource Demand - Activity'!$FT:$FT,Example!$G83,'Resource Demand - Activity'!T:T)</f>
        <v>0</v>
      </c>
      <c r="Z83" s="35">
        <f>SUMIF('Resource Demand - Activity'!$FT:$FT,Example!$G83,'Resource Demand - Activity'!U:U)</f>
        <v>0</v>
      </c>
      <c r="AA83" s="35">
        <f>SUMIF('Resource Demand - Activity'!$FT:$FT,Example!$G83,'Resource Demand - Activity'!V:V)</f>
        <v>0</v>
      </c>
      <c r="AB83" s="35">
        <f>SUMIF('Resource Demand - Activity'!$FT:$FT,Example!$G83,'Resource Demand - Activity'!W:W)</f>
        <v>0</v>
      </c>
      <c r="AC83" s="35">
        <f>SUMIF('Resource Demand - Activity'!$FT:$FT,Example!$G83,'Resource Demand - Activity'!X:X)</f>
        <v>0</v>
      </c>
      <c r="AD83" s="35">
        <f>SUMIF('Resource Demand - Activity'!$FT:$FT,Example!$G83,'Resource Demand - Activity'!Y:Y)</f>
        <v>0</v>
      </c>
      <c r="AE83" s="35">
        <f>SUMIF('Resource Demand - Activity'!$FT:$FT,Example!$G83,'Resource Demand - Activity'!Z:Z)</f>
        <v>0</v>
      </c>
      <c r="AF83" s="35">
        <f>SUMIF('Resource Demand - Activity'!$FT:$FT,Example!$G83,'Resource Demand - Activity'!AA:AA)</f>
        <v>0</v>
      </c>
      <c r="AG83" s="35">
        <f>SUMIF('Resource Demand - Activity'!$FT:$FT,Example!$G83,'Resource Demand - Activity'!AB:AB)</f>
        <v>0</v>
      </c>
      <c r="AH83" s="35">
        <f>SUMIF('Resource Demand - Activity'!$FT:$FT,Example!$G83,'Resource Demand - Activity'!AC:AC)</f>
        <v>0</v>
      </c>
      <c r="AI83" s="35">
        <f>SUMIF('Resource Demand - Activity'!$FT:$FT,Example!$G83,'Resource Demand - Activity'!AD:AD)</f>
        <v>0</v>
      </c>
      <c r="AJ83" s="35">
        <f>SUMIF('Resource Demand - Activity'!$FT:$FT,Example!$G83,'Resource Demand - Activity'!AE:AE)</f>
        <v>0</v>
      </c>
      <c r="AK83" s="35">
        <f>SUMIF('Resource Demand - Activity'!$FT:$FT,Example!$G83,'Resource Demand - Activity'!AF:AF)</f>
        <v>0</v>
      </c>
      <c r="AL83" s="35">
        <f>SUMIF('Resource Demand - Activity'!$FT:$FT,Example!$G83,'Resource Demand - Activity'!AG:AG)</f>
        <v>0</v>
      </c>
      <c r="AM83" s="35">
        <f>SUMIF('Resource Demand - Activity'!$FT:$FT,Example!$G83,'Resource Demand - Activity'!AH:AH)</f>
        <v>0</v>
      </c>
      <c r="AN83" s="35">
        <f>SUMIF('Resource Demand - Activity'!$FT:$FT,Example!$G83,'Resource Demand - Activity'!AI:AI)</f>
        <v>0</v>
      </c>
      <c r="AO83" s="35">
        <f>SUMIF('Resource Demand - Activity'!$FT:$FT,Example!$G83,'Resource Demand - Activity'!AJ:AJ)</f>
        <v>0</v>
      </c>
      <c r="AP83" s="35">
        <f>SUMIF('Resource Demand - Activity'!$FT:$FT,Example!$G83,'Resource Demand - Activity'!AK:AK)</f>
        <v>0</v>
      </c>
      <c r="AQ83" s="36">
        <f>SUMIF('Resource Demand - Activity'!$FT:$FT,Example!$G83,'Resource Demand - Activity'!AL:AL)</f>
        <v>0</v>
      </c>
      <c r="AR83" s="36">
        <f>SUMIF('Resource Demand - Activity'!$FT:$FT,Example!$G83,'Resource Demand - Activity'!AM:AM)</f>
        <v>0</v>
      </c>
      <c r="AS83" s="36">
        <f>SUMIF('Resource Demand - Activity'!$FT:$FT,Example!$G83,'Resource Demand - Activity'!AN:AN)</f>
        <v>0</v>
      </c>
      <c r="AT83" s="36">
        <f>SUMIF('Resource Demand - Activity'!$FT:$FT,Example!$G83,'Resource Demand - Activity'!AO:AO)</f>
        <v>0</v>
      </c>
      <c r="AU83" s="36">
        <f>SUMIF('Resource Demand - Activity'!$FT:$FT,Example!$G83,'Resource Demand - Activity'!AP:AP)</f>
        <v>0</v>
      </c>
      <c r="AV83" s="36">
        <f>SUMIF('Resource Demand - Activity'!$FT:$FT,Example!$G83,'Resource Demand - Activity'!AQ:AQ)</f>
        <v>0</v>
      </c>
      <c r="AW83" s="36">
        <f>SUMIF('Resource Demand - Activity'!$FT:$FT,Example!$G83,'Resource Demand - Activity'!AR:AR)</f>
        <v>0</v>
      </c>
      <c r="AX83" s="35">
        <f>SUMIF('Resource Demand - Activity'!$FT:$FT,Example!$G83,'Resource Demand - Activity'!AS:AS)</f>
        <v>0</v>
      </c>
      <c r="AY83" s="35">
        <f>SUMIF('Resource Demand - Activity'!$FT:$FT,Example!$G83,'Resource Demand - Activity'!AT:AT)</f>
        <v>0</v>
      </c>
      <c r="AZ83" s="35">
        <f>SUMIF('Resource Demand - Activity'!$FT:$FT,Example!$G83,'Resource Demand - Activity'!AU:AU)</f>
        <v>0</v>
      </c>
      <c r="BA83" s="35">
        <f>SUMIF('Resource Demand - Activity'!$FT:$FT,Example!$G83,'Resource Demand - Activity'!AV:AV)</f>
        <v>0</v>
      </c>
      <c r="BB83" s="35">
        <f>SUMIF('Resource Demand - Activity'!$FT:$FT,Example!$G83,'Resource Demand - Activity'!AW:AW)</f>
        <v>0</v>
      </c>
      <c r="BC83" s="35">
        <f>SUMIF('Resource Demand - Activity'!$FT:$FT,Example!$G83,'Resource Demand - Activity'!AX:AX)</f>
        <v>0</v>
      </c>
      <c r="BD83" s="35">
        <f>SUMIF('Resource Demand - Activity'!$FT:$FT,Example!$G83,'Resource Demand - Activity'!AY:AY)</f>
        <v>0</v>
      </c>
      <c r="BE83" s="35">
        <f>SUMIF('Resource Demand - Activity'!$FT:$FT,Example!$G83,'Resource Demand - Activity'!AZ:AZ)</f>
        <v>0</v>
      </c>
      <c r="BF83" s="35">
        <f>SUMIF('Resource Demand - Activity'!$FT:$FT,Example!$G83,'Resource Demand - Activity'!BA:BA)</f>
        <v>0</v>
      </c>
      <c r="BG83" s="35">
        <f>SUMIF('Resource Demand - Activity'!$FT:$FT,Example!$G83,'Resource Demand - Activity'!BB:BB)</f>
        <v>0</v>
      </c>
      <c r="BH83" s="35">
        <f>SUMIF('Resource Demand - Activity'!$FT:$FT,Example!$G83,'Resource Demand - Activity'!BC:BC)</f>
        <v>0</v>
      </c>
      <c r="BI83" s="35">
        <f>SUMIF('Resource Demand - Activity'!$FT:$FT,Example!$G83,'Resource Demand - Activity'!BD:BD)</f>
        <v>0</v>
      </c>
      <c r="BJ83" s="35">
        <f>SUMIF('Resource Demand - Activity'!$FT:$FT,Example!$G83,'Resource Demand - Activity'!BE:BE)</f>
        <v>0</v>
      </c>
      <c r="BK83" s="35">
        <f>SUMIF('Resource Demand - Activity'!$FT:$FT,Example!$G83,'Resource Demand - Activity'!BF:BF)</f>
        <v>0</v>
      </c>
      <c r="BL83" s="35">
        <f>SUMIF('Resource Demand - Activity'!$FT:$FT,Example!$G83,'Resource Demand - Activity'!BG:BG)</f>
        <v>0</v>
      </c>
      <c r="BM83" s="35">
        <f>SUMIF('Resource Demand - Activity'!$FT:$FT,Example!$G83,'Resource Demand - Activity'!BH:BH)</f>
        <v>0</v>
      </c>
      <c r="BN83" s="35">
        <f>SUMIF('Resource Demand - Activity'!$FT:$FT,Example!$G83,'Resource Demand - Activity'!BI:BI)</f>
        <v>0</v>
      </c>
      <c r="BO83" s="35">
        <f>SUMIF('Resource Demand - Activity'!$FT:$FT,Example!$G83,'Resource Demand - Activity'!BJ:BJ)</f>
        <v>0</v>
      </c>
      <c r="BP83" s="35">
        <f>SUMIF('Resource Demand - Activity'!$FT:$FT,Example!$G83,'Resource Demand - Activity'!BK:BK)</f>
        <v>0</v>
      </c>
      <c r="BQ83" s="35">
        <f>SUMIF('Resource Demand - Activity'!$FT:$FT,Example!$G83,'Resource Demand - Activity'!BL:BL)</f>
        <v>0</v>
      </c>
      <c r="BR83" s="35">
        <f>SUMIF('Resource Demand - Activity'!$FT:$FT,Example!$G83,'Resource Demand - Activity'!BM:BM)</f>
        <v>0.5</v>
      </c>
      <c r="BS83" s="35">
        <f>SUMIF('Resource Demand - Activity'!$FT:$FT,Example!$G83,'Resource Demand - Activity'!BN:BN)</f>
        <v>0.5</v>
      </c>
      <c r="BT83" s="35">
        <f>SUMIF('Resource Demand - Activity'!$FT:$FT,Example!$G83,'Resource Demand - Activity'!BO:BO)</f>
        <v>0.5</v>
      </c>
      <c r="BU83" s="35">
        <f>SUMIF('Resource Demand - Activity'!$FT:$FT,Example!$G83,'Resource Demand - Activity'!BP:BP)</f>
        <v>0.5</v>
      </c>
      <c r="BV83" s="35">
        <f>SUMIF('Resource Demand - Activity'!$FT:$FT,Example!$G83,'Resource Demand - Activity'!BQ:BQ)</f>
        <v>0.5</v>
      </c>
      <c r="BW83" s="35">
        <f>SUMIF('Resource Demand - Activity'!$FT:$FT,Example!$G83,'Resource Demand - Activity'!BR:BR)</f>
        <v>0.5</v>
      </c>
      <c r="BX83" s="35">
        <f>SUMIF('Resource Demand - Activity'!$FT:$FT,Example!$G83,'Resource Demand - Activity'!BS:BS)</f>
        <v>0.5</v>
      </c>
      <c r="BY83" s="35">
        <f>SUMIF('Resource Demand - Activity'!$FT:$FT,Example!$G83,'Resource Demand - Activity'!BT:BT)</f>
        <v>0.5</v>
      </c>
      <c r="BZ83" s="35">
        <f>SUMIF('Resource Demand - Activity'!$FT:$FT,Example!$G83,'Resource Demand - Activity'!BU:BU)</f>
        <v>0.5</v>
      </c>
      <c r="CA83" s="35">
        <f>SUMIF('Resource Demand - Activity'!$FT:$FT,Example!$G83,'Resource Demand - Activity'!BV:BV)</f>
        <v>0.5</v>
      </c>
      <c r="CB83" s="35">
        <f>SUMIF('Resource Demand - Activity'!$FT:$FT,Example!$G83,'Resource Demand - Activity'!BW:BW)</f>
        <v>0</v>
      </c>
      <c r="CC83" s="35">
        <f>SUMIF('Resource Demand - Activity'!$FT:$FT,Example!$G83,'Resource Demand - Activity'!BX:BX)</f>
        <v>0.5</v>
      </c>
      <c r="CD83" s="35">
        <f>SUMIF('Resource Demand - Activity'!$FT:$FT,Example!$G83,'Resource Demand - Activity'!BY:BY)</f>
        <v>0.5</v>
      </c>
      <c r="CE83" s="35">
        <f>SUMIF('Resource Demand - Activity'!$FT:$FT,Example!$G83,'Resource Demand - Activity'!BZ:BZ)</f>
        <v>0.5</v>
      </c>
      <c r="CF83" s="35">
        <f>SUMIF('Resource Demand - Activity'!$FT:$FT,Example!$G83,'Resource Demand - Activity'!CA:CA)</f>
        <v>0.5</v>
      </c>
      <c r="CG83" s="35">
        <f>SUMIF('Resource Demand - Activity'!$FT:$FT,Example!$G83,'Resource Demand - Activity'!CB:CB)</f>
        <v>0.5</v>
      </c>
      <c r="CH83" s="35">
        <f>SUMIF('Resource Demand - Activity'!$FT:$FT,Example!$G83,'Resource Demand - Activity'!CC:CC)</f>
        <v>0.5</v>
      </c>
      <c r="CI83" s="35">
        <f>SUMIF('Resource Demand - Activity'!$FT:$FT,Example!$G83,'Resource Demand - Activity'!CD:CD)</f>
        <v>0.5</v>
      </c>
      <c r="CJ83" s="35">
        <f>SUMIF('Resource Demand - Activity'!$FT:$FT,Example!$G83,'Resource Demand - Activity'!CE:CE)</f>
        <v>0</v>
      </c>
      <c r="CK83" s="35">
        <f>SUMIF('Resource Demand - Activity'!$FT:$FT,Example!$G83,'Resource Demand - Activity'!CF:CF)</f>
        <v>0</v>
      </c>
      <c r="CL83" s="35">
        <f>SUMIF('Resource Demand - Activity'!$FT:$FT,Example!$G83,'Resource Demand - Activity'!CG:CG)</f>
        <v>0</v>
      </c>
      <c r="CM83" s="35">
        <f>SUMIF('Resource Demand - Activity'!$FT:$FT,Example!$G83,'Resource Demand - Activity'!CH:CH)</f>
        <v>0</v>
      </c>
      <c r="CN83" s="35">
        <f>SUMIF('Resource Demand - Activity'!$FT:$FT,Example!$G83,'Resource Demand - Activity'!CI:CI)</f>
        <v>0</v>
      </c>
      <c r="CO83" s="35">
        <f>SUMIF('Resource Demand - Activity'!$FT:$FT,Example!$G83,'Resource Demand - Activity'!CJ:CJ)</f>
        <v>0</v>
      </c>
      <c r="CP83" s="35">
        <f>SUMIF('Resource Demand - Activity'!$FT:$FT,Example!$G83,'Resource Demand - Activity'!CK:CK)</f>
        <v>0</v>
      </c>
      <c r="CQ83" s="35">
        <f>SUMIF('Resource Demand - Activity'!$FT:$FT,Example!$G83,'Resource Demand - Activity'!CL:CL)</f>
        <v>0</v>
      </c>
      <c r="CR83" s="35">
        <f>SUMIF('Resource Demand - Activity'!$FT:$FT,Example!$G83,'Resource Demand - Activity'!CM:CM)</f>
        <v>0</v>
      </c>
      <c r="CS83" s="35">
        <f>SUMIF('Resource Demand - Activity'!$FT:$FT,Example!$G83,'Resource Demand - Activity'!CN:CN)</f>
        <v>0</v>
      </c>
      <c r="CT83" s="35">
        <f>SUMIF('Resource Demand - Activity'!$FT:$FT,Example!$G83,'Resource Demand - Activity'!CO:CO)</f>
        <v>0</v>
      </c>
      <c r="CU83" s="35">
        <f>SUMIF('Resource Demand - Activity'!$FT:$FT,Example!$G83,'Resource Demand - Activity'!CP:CP)</f>
        <v>0</v>
      </c>
      <c r="CV83" s="35">
        <f>SUMIF('Resource Demand - Activity'!$FT:$FT,Example!$G83,'Resource Demand - Activity'!CQ:CQ)</f>
        <v>0</v>
      </c>
      <c r="CW83" s="35">
        <f>SUMIF('Resource Demand - Activity'!$FT:$FT,Example!$G83,'Resource Demand - Activity'!CR:CR)</f>
        <v>0</v>
      </c>
      <c r="CX83" s="35">
        <f>SUMIF('Resource Demand - Activity'!$FT:$FT,Example!$G83,'Resource Demand - Activity'!CS:CS)</f>
        <v>0</v>
      </c>
      <c r="CY83" s="36">
        <f>SUMIF('Resource Demand - Activity'!$FT:$FT,Example!$G83,'Resource Demand - Activity'!CT:CT)</f>
        <v>0</v>
      </c>
      <c r="CZ83" s="35">
        <f>SUMIF('Resource Demand - Activity'!$FT:$FT,Example!$G83,'Resource Demand - Activity'!CU:CU)</f>
        <v>0</v>
      </c>
      <c r="DA83" s="35">
        <f>SUMIF('Resource Demand - Activity'!$FT:$FT,Example!$G83,'Resource Demand - Activity'!CV:CV)</f>
        <v>0</v>
      </c>
      <c r="DB83" s="35">
        <f>SUMIF('Resource Demand - Activity'!$FT:$FT,Example!$G83,'Resource Demand - Activity'!CW:CW)</f>
        <v>0</v>
      </c>
      <c r="DC83" s="35">
        <f>SUMIF('Resource Demand - Activity'!$FT:$FT,Example!$G83,'Resource Demand - Activity'!CX:CX)</f>
        <v>0</v>
      </c>
      <c r="DD83" s="35">
        <f>SUMIF('Resource Demand - Activity'!$FT:$FT,Example!$G83,'Resource Demand - Activity'!CY:CY)</f>
        <v>0</v>
      </c>
      <c r="DE83" s="36">
        <f>SUMIF('Resource Demand - Activity'!$FT:$FT,Example!$G83,'Resource Demand - Activity'!CZ:CZ)</f>
        <v>0</v>
      </c>
      <c r="DF83" s="36">
        <f>SUMIF('Resource Demand - Activity'!$FT:$FT,Example!$G83,'Resource Demand - Activity'!DA:DA)</f>
        <v>0</v>
      </c>
      <c r="DG83" s="35">
        <f>SUMIF('Resource Demand - Activity'!$FT:$FT,Example!$G83,'Resource Demand - Activity'!DB:DB)</f>
        <v>0</v>
      </c>
      <c r="DH83" s="35">
        <f>SUMIF('Resource Demand - Activity'!$FT:$FT,Example!$G83,'Resource Demand - Activity'!DC:DC)</f>
        <v>0</v>
      </c>
      <c r="DI83" s="35">
        <f>SUMIF('Resource Demand - Activity'!$FT:$FT,Example!$G83,'Resource Demand - Activity'!DD:DD)</f>
        <v>0</v>
      </c>
      <c r="DJ83" s="35">
        <f>SUMIF('Resource Demand - Activity'!$FT:$FT,Example!$G83,'Resource Demand - Activity'!DE:DE)</f>
        <v>0</v>
      </c>
      <c r="DK83" s="35">
        <f>SUMIF('Resource Demand - Activity'!$FT:$FT,Example!$G83,'Resource Demand - Activity'!DF:DF)</f>
        <v>0</v>
      </c>
      <c r="DL83" s="35">
        <f>SUMIF('Resource Demand - Activity'!$FT:$FT,Example!$G83,'Resource Demand - Activity'!DG:DG)</f>
        <v>0</v>
      </c>
      <c r="DM83" s="35">
        <f>SUMIF('Resource Demand - Activity'!$FT:$FT,Example!$G83,'Resource Demand - Activity'!DH:DH)</f>
        <v>0</v>
      </c>
      <c r="DN83" s="35">
        <f>SUMIF('Resource Demand - Activity'!$FT:$FT,Example!$G83,'Resource Demand - Activity'!DI:DI)</f>
        <v>0</v>
      </c>
      <c r="DO83" s="35">
        <f>SUMIF('Resource Demand - Activity'!$FT:$FT,Example!$G83,'Resource Demand - Activity'!DJ:DJ)</f>
        <v>0</v>
      </c>
      <c r="DP83" s="35">
        <f>SUMIF('Resource Demand - Activity'!$FT:$FT,Example!$G83,'Resource Demand - Activity'!DK:DK)</f>
        <v>0</v>
      </c>
      <c r="DQ83" s="35">
        <f>SUMIF('Resource Demand - Activity'!$FT:$FT,Example!$G83,'Resource Demand - Activity'!DL:DL)</f>
        <v>0</v>
      </c>
      <c r="DR83" s="35">
        <f>SUMIF('Resource Demand - Activity'!$FT:$FT,Example!$G83,'Resource Demand - Activity'!DM:DM)</f>
        <v>0</v>
      </c>
      <c r="DS83" s="35">
        <f>SUMIF('Resource Demand - Activity'!$FT:$FT,Example!$G83,'Resource Demand - Activity'!DN:DN)</f>
        <v>0</v>
      </c>
      <c r="DT83" s="35">
        <f>SUMIF('Resource Demand - Activity'!$FT:$FT,Example!$G83,'Resource Demand - Activity'!DO:DO)</f>
        <v>0</v>
      </c>
      <c r="DU83" s="35">
        <f>SUMIF('Resource Demand - Activity'!$FT:$FT,Example!$G83,'Resource Demand - Activity'!DP:DP)</f>
        <v>0</v>
      </c>
      <c r="DV83" s="35">
        <f>SUMIF('Resource Demand - Activity'!$FT:$FT,Example!$G83,'Resource Demand - Activity'!DQ:DQ)</f>
        <v>0</v>
      </c>
      <c r="DW83" s="35">
        <f>SUMIF('Resource Demand - Activity'!$FT:$FT,Example!$G83,'Resource Demand - Activity'!DR:DR)</f>
        <v>0</v>
      </c>
      <c r="DX83" s="35">
        <f>SUMIF('Resource Demand - Activity'!$FT:$FT,Example!$G83,'Resource Demand - Activity'!DS:DS)</f>
        <v>0</v>
      </c>
      <c r="DY83" s="35">
        <f>SUMIF('Resource Demand - Activity'!$FT:$FT,Example!$G83,'Resource Demand - Activity'!DT:DT)</f>
        <v>0</v>
      </c>
      <c r="DZ83" s="35">
        <f>SUMIF('Resource Demand - Activity'!$FT:$FT,Example!$G83,'Resource Demand - Activity'!DU:DU)</f>
        <v>0</v>
      </c>
      <c r="EA83" s="35">
        <f>SUMIF('Resource Demand - Activity'!$FT:$FT,Example!$G83,'Resource Demand - Activity'!DV:DV)</f>
        <v>0</v>
      </c>
      <c r="EB83" s="35">
        <f>SUMIF('Resource Demand - Activity'!$FT:$FT,Example!$G83,'Resource Demand - Activity'!DW:DW)</f>
        <v>0</v>
      </c>
      <c r="EC83" s="35">
        <f>SUMIF('Resource Demand - Activity'!$FT:$FT,Example!$G83,'Resource Demand - Activity'!DX:DX)</f>
        <v>0</v>
      </c>
      <c r="ED83" s="35">
        <f>SUMIF('Resource Demand - Activity'!$FT:$FT,Example!$G83,'Resource Demand - Activity'!DY:DY)</f>
        <v>0</v>
      </c>
      <c r="EE83" s="36">
        <f>SUMIF('Resource Demand - Activity'!$FT:$FT,Example!$G83,'Resource Demand - Activity'!DZ:DZ)</f>
        <v>0</v>
      </c>
      <c r="EF83" s="35">
        <f>SUMIF('Resource Demand - Activity'!$FT:$FT,Example!$G83,'Resource Demand - Activity'!EA:EA)</f>
        <v>0</v>
      </c>
      <c r="EG83" s="35">
        <f>SUMIF('Resource Demand - Activity'!$FT:$FT,Example!$G83,'Resource Demand - Activity'!EB:EB)</f>
        <v>0</v>
      </c>
      <c r="EH83" s="35">
        <f>SUMIF('Resource Demand - Activity'!$FT:$FT,Example!$G83,'Resource Demand - Activity'!EC:EC)</f>
        <v>0</v>
      </c>
      <c r="EI83" s="35">
        <f>SUMIF('Resource Demand - Activity'!$FT:$FT,Example!$G83,'Resource Demand - Activity'!ED:ED)</f>
        <v>0</v>
      </c>
      <c r="EJ83" s="35">
        <f>SUMIF('Resource Demand - Activity'!$FT:$FT,Example!$G83,'Resource Demand - Activity'!EE:EE)</f>
        <v>0</v>
      </c>
      <c r="EK83" s="35">
        <f>SUMIF('Resource Demand - Activity'!$FT:$FT,Example!$G83,'Resource Demand - Activity'!EF:EF)</f>
        <v>1</v>
      </c>
      <c r="EL83" s="35">
        <f>SUMIF('Resource Demand - Activity'!$FT:$FT,Example!$G83,'Resource Demand - Activity'!EG:EG)</f>
        <v>1</v>
      </c>
      <c r="EM83" s="35">
        <f>SUMIF('Resource Demand - Activity'!$FT:$FT,Example!$G83,'Resource Demand - Activity'!EH:EH)</f>
        <v>1</v>
      </c>
      <c r="EN83" s="35">
        <f>SUMIF('Resource Demand - Activity'!$FT:$FT,Example!$G83,'Resource Demand - Activity'!EI:EI)</f>
        <v>1</v>
      </c>
      <c r="EO83" s="35">
        <f>SUMIF('Resource Demand - Activity'!$FT:$FT,Example!$G83,'Resource Demand - Activity'!EJ:EJ)</f>
        <v>1</v>
      </c>
      <c r="EP83" s="35">
        <f>SUMIF('Resource Demand - Activity'!$FT:$FT,Example!$G83,'Resource Demand - Activity'!EK:EK)</f>
        <v>1</v>
      </c>
      <c r="EQ83" s="35">
        <f>SUMIF('Resource Demand - Activity'!$FT:$FT,Example!$G83,'Resource Demand - Activity'!EL:EL)</f>
        <v>1</v>
      </c>
      <c r="ER83" s="35">
        <f>SUMIF('Resource Demand - Activity'!$FT:$FT,Example!$G83,'Resource Demand - Activity'!EM:EM)</f>
        <v>1</v>
      </c>
      <c r="ES83" s="35">
        <f>SUMIF('Resource Demand - Activity'!$FT:$FT,Example!$G83,'Resource Demand - Activity'!EN:EN)</f>
        <v>1</v>
      </c>
      <c r="ET83" s="35">
        <f>SUMIF('Resource Demand - Activity'!$FT:$FT,Example!$G83,'Resource Demand - Activity'!EO:EO)</f>
        <v>0.5</v>
      </c>
      <c r="EU83" s="35">
        <f>SUMIF('Resource Demand - Activity'!$FT:$FT,Example!$G83,'Resource Demand - Activity'!EP:EP)</f>
        <v>1</v>
      </c>
      <c r="EV83" s="35">
        <f>SUMIF('Resource Demand - Activity'!$FT:$FT,Example!$G83,'Resource Demand - Activity'!EQ:EQ)</f>
        <v>1</v>
      </c>
      <c r="EW83" s="35">
        <f>SUMIF('Resource Demand - Activity'!$FT:$FT,Example!$G83,'Resource Demand - Activity'!ER:ER)</f>
        <v>1</v>
      </c>
      <c r="EX83" s="35">
        <f>SUMIF('Resource Demand - Activity'!$FT:$FT,Example!$G83,'Resource Demand - Activity'!ES:ES)</f>
        <v>1</v>
      </c>
      <c r="EY83" s="35">
        <f>SUMIF('Resource Demand - Activity'!$FT:$FT,Example!$G83,'Resource Demand - Activity'!ET:ET)</f>
        <v>1</v>
      </c>
      <c r="EZ83" s="35">
        <f>SUMIF('Resource Demand - Activity'!$FT:$FT,Example!$G83,'Resource Demand - Activity'!EU:EU)</f>
        <v>0</v>
      </c>
      <c r="FA83" s="35">
        <f>SUMIF('Resource Demand - Activity'!$FT:$FT,Example!$G83,'Resource Demand - Activity'!EV:EV)</f>
        <v>0</v>
      </c>
      <c r="FB83" s="35">
        <f>SUMIF('Resource Demand - Activity'!$FT:$FT,Example!$G83,'Resource Demand - Activity'!EW:EW)</f>
        <v>0</v>
      </c>
      <c r="FC83" s="35">
        <f>SUMIF('Resource Demand - Activity'!$FT:$FT,Example!$G83,'Resource Demand - Activity'!EX:EX)</f>
        <v>0</v>
      </c>
      <c r="FD83" s="36">
        <f>SUMIF('Resource Demand - Activity'!$FT:$FT,Example!$G83,'Resource Demand - Activity'!EY:EY)</f>
        <v>0</v>
      </c>
      <c r="FE83" s="35">
        <f>SUMIF('Resource Demand - Activity'!$FT:$FT,Example!$G83,'Resource Demand - Activity'!EZ:EZ)</f>
        <v>0</v>
      </c>
      <c r="FF83" s="35">
        <f>SUMIF('Resource Demand - Activity'!$FT:$FT,Example!$G83,'Resource Demand - Activity'!FA:FA)</f>
        <v>0</v>
      </c>
      <c r="FG83" s="35">
        <f>SUMIF('Resource Demand - Activity'!$FT:$FT,Example!$G83,'Resource Demand - Activity'!FB:FB)</f>
        <v>0</v>
      </c>
      <c r="FH83" s="35">
        <f>SUMIF('Resource Demand - Activity'!$FT:$FT,Example!$G83,'Resource Demand - Activity'!FC:FC)</f>
        <v>0</v>
      </c>
      <c r="FI83" s="35">
        <f>SUMIF('Resource Demand - Activity'!$FT:$FT,Example!$G83,'Resource Demand - Activity'!FD:FD)</f>
        <v>0</v>
      </c>
      <c r="FJ83" s="35">
        <f>SUMIF('Resource Demand - Activity'!$FT:$FT,Example!$G83,'Resource Demand - Activity'!FE:FE)</f>
        <v>0</v>
      </c>
      <c r="FK83" s="35">
        <f>SUMIF('Resource Demand - Activity'!$FT:$FT,Example!$G83,'Resource Demand - Activity'!FF:FF)</f>
        <v>0</v>
      </c>
      <c r="FL83" s="35">
        <f>SUMIF('Resource Demand - Activity'!$FT:$FT,Example!$G83,'Resource Demand - Activity'!FG:FG)</f>
        <v>0</v>
      </c>
      <c r="FM83" s="35">
        <f>SUMIF('Resource Demand - Activity'!$FT:$FT,Example!$G83,'Resource Demand - Activity'!FH:FH)</f>
        <v>0</v>
      </c>
      <c r="FN83" s="35">
        <f>SUMIF('Resource Demand - Activity'!$FT:$FT,Example!$G83,'Resource Demand - Activity'!FI:FI)</f>
        <v>0</v>
      </c>
      <c r="FO83" s="35">
        <f>SUMIF('Resource Demand - Activity'!$FT:$FT,Example!$G83,'Resource Demand - Activity'!FJ:FJ)</f>
        <v>0</v>
      </c>
      <c r="FP83" s="35">
        <f>SUMIF('Resource Demand - Activity'!$FT:$FT,Example!$G83,'Resource Demand - Activity'!FK:FK)</f>
        <v>0</v>
      </c>
      <c r="FQ83" s="35">
        <f>SUMIF('Resource Demand - Activity'!$FT:$FT,Example!$G83,'Resource Demand - Activity'!FL:FL)</f>
        <v>0</v>
      </c>
      <c r="FR83" s="35">
        <f>SUMIF('Resource Demand - Activity'!$FT:$FT,Example!$G83,'Resource Demand - Activity'!FM:FM)</f>
        <v>0</v>
      </c>
      <c r="FS83" s="35">
        <f>SUMIF('Resource Demand - Activity'!$FT:$FT,Example!$G83,'Resource Demand - Activity'!FN:FN)</f>
        <v>0</v>
      </c>
      <c r="FT83" s="35">
        <f>SUMIF('Resource Demand - Activity'!$FT:$FT,Example!$G83,'Resource Demand - Activity'!FO:FO)</f>
        <v>0</v>
      </c>
      <c r="FU83" s="35">
        <f>SUMIF('Resource Demand - Activity'!$FT:$FT,Example!$G83,'Resource Demand - Activity'!FP:FP)</f>
        <v>0</v>
      </c>
      <c r="FV83" s="52">
        <f>SUMIF('Resource Demand - Activity'!$FT:$FT,Example!$G83,'Resource Demand - Activity'!FQ:FQ)</f>
        <v>0</v>
      </c>
    </row>
    <row r="84" spans="7:178" s="63" customFormat="1" ht="12" customHeight="1">
      <c r="G84" s="64" t="str">
        <f t="shared" si="15"/>
        <v>9. Technical Support 9.2 CBI UploadsTM1 Analyst</v>
      </c>
      <c r="H84" s="82" t="s">
        <v>138</v>
      </c>
      <c r="I84" s="59" t="str">
        <f>INDEX('Resource Demand - Activity'!C:C,MATCH(Example!G84,'Resource Demand - Activity'!FT:FT,0))</f>
        <v>38 days</v>
      </c>
      <c r="J84" s="51">
        <f>SUMIF('Resource Demand - Activity'!$FT:$FT,Example!$G84,'Resource Demand - Activity'!E:E)</f>
        <v>0.5</v>
      </c>
      <c r="K84" s="35">
        <f>SUMIF('Resource Demand - Activity'!$FT:$FT,Example!$G84,'Resource Demand - Activity'!F:F)</f>
        <v>0.5</v>
      </c>
      <c r="L84" s="35">
        <f>SUMIF('Resource Demand - Activity'!$FT:$FT,Example!$G84,'Resource Demand - Activity'!G:G)</f>
        <v>0.5</v>
      </c>
      <c r="M84" s="35">
        <f>SUMIF('Resource Demand - Activity'!$FT:$FT,Example!$G84,'Resource Demand - Activity'!H:H)</f>
        <v>0.5</v>
      </c>
      <c r="N84" s="35">
        <f>SUMIF('Resource Demand - Activity'!$FT:$FT,Example!$G84,'Resource Demand - Activity'!I:I)</f>
        <v>0.5</v>
      </c>
      <c r="O84" s="35">
        <f>SUMIF('Resource Demand - Activity'!$FT:$FT,Example!$G84,'Resource Demand - Activity'!J:J)</f>
        <v>0.5</v>
      </c>
      <c r="P84" s="35">
        <f>SUMIF('Resource Demand - Activity'!$FT:$FT,Example!$G84,'Resource Demand - Activity'!K:K)</f>
        <v>0.5</v>
      </c>
      <c r="Q84" s="35">
        <f>SUMIF('Resource Demand - Activity'!$FT:$FT,Example!$G84,'Resource Demand - Activity'!L:L)</f>
        <v>0.5</v>
      </c>
      <c r="R84" s="35">
        <f>SUMIF('Resource Demand - Activity'!$FT:$FT,Example!$G84,'Resource Demand - Activity'!M:M)</f>
        <v>0.5</v>
      </c>
      <c r="S84" s="35">
        <f>SUMIF('Resource Demand - Activity'!$FT:$FT,Example!$G84,'Resource Demand - Activity'!N:N)</f>
        <v>0.5</v>
      </c>
      <c r="T84" s="35">
        <f>SUMIF('Resource Demand - Activity'!$FT:$FT,Example!$G84,'Resource Demand - Activity'!O:O)</f>
        <v>0.5</v>
      </c>
      <c r="U84" s="35">
        <f>SUMIF('Resource Demand - Activity'!$FT:$FT,Example!$G84,'Resource Demand - Activity'!P:P)</f>
        <v>0.5</v>
      </c>
      <c r="V84" s="35">
        <f>SUMIF('Resource Demand - Activity'!$FT:$FT,Example!$G84,'Resource Demand - Activity'!Q:Q)</f>
        <v>0.5</v>
      </c>
      <c r="W84" s="35">
        <f>SUMIF('Resource Demand - Activity'!$FT:$FT,Example!$G84,'Resource Demand - Activity'!R:R)</f>
        <v>0.5</v>
      </c>
      <c r="X84" s="35">
        <f>SUMIF('Resource Demand - Activity'!$FT:$FT,Example!$G84,'Resource Demand - Activity'!S:S)</f>
        <v>0.5</v>
      </c>
      <c r="Y84" s="35">
        <f>SUMIF('Resource Demand - Activity'!$FT:$FT,Example!$G84,'Resource Demand - Activity'!T:T)</f>
        <v>0</v>
      </c>
      <c r="Z84" s="35">
        <f>SUMIF('Resource Demand - Activity'!$FT:$FT,Example!$G84,'Resource Demand - Activity'!U:U)</f>
        <v>0</v>
      </c>
      <c r="AA84" s="35">
        <f>SUMIF('Resource Demand - Activity'!$FT:$FT,Example!$G84,'Resource Demand - Activity'!V:V)</f>
        <v>0</v>
      </c>
      <c r="AB84" s="35">
        <f>SUMIF('Resource Demand - Activity'!$FT:$FT,Example!$G84,'Resource Demand - Activity'!W:W)</f>
        <v>0</v>
      </c>
      <c r="AC84" s="35">
        <f>SUMIF('Resource Demand - Activity'!$FT:$FT,Example!$G84,'Resource Demand - Activity'!X:X)</f>
        <v>0</v>
      </c>
      <c r="AD84" s="35">
        <f>SUMIF('Resource Demand - Activity'!$FT:$FT,Example!$G84,'Resource Demand - Activity'!Y:Y)</f>
        <v>0</v>
      </c>
      <c r="AE84" s="35">
        <f>SUMIF('Resource Demand - Activity'!$FT:$FT,Example!$G84,'Resource Demand - Activity'!Z:Z)</f>
        <v>0</v>
      </c>
      <c r="AF84" s="35">
        <f>SUMIF('Resource Demand - Activity'!$FT:$FT,Example!$G84,'Resource Demand - Activity'!AA:AA)</f>
        <v>0</v>
      </c>
      <c r="AG84" s="35">
        <f>SUMIF('Resource Demand - Activity'!$FT:$FT,Example!$G84,'Resource Demand - Activity'!AB:AB)</f>
        <v>0</v>
      </c>
      <c r="AH84" s="35">
        <f>SUMIF('Resource Demand - Activity'!$FT:$FT,Example!$G84,'Resource Demand - Activity'!AC:AC)</f>
        <v>0</v>
      </c>
      <c r="AI84" s="35">
        <f>SUMIF('Resource Demand - Activity'!$FT:$FT,Example!$G84,'Resource Demand - Activity'!AD:AD)</f>
        <v>0</v>
      </c>
      <c r="AJ84" s="35">
        <f>SUMIF('Resource Demand - Activity'!$FT:$FT,Example!$G84,'Resource Demand - Activity'!AE:AE)</f>
        <v>0</v>
      </c>
      <c r="AK84" s="35">
        <f>SUMIF('Resource Demand - Activity'!$FT:$FT,Example!$G84,'Resource Demand - Activity'!AF:AF)</f>
        <v>0</v>
      </c>
      <c r="AL84" s="35">
        <f>SUMIF('Resource Demand - Activity'!$FT:$FT,Example!$G84,'Resource Demand - Activity'!AG:AG)</f>
        <v>0</v>
      </c>
      <c r="AM84" s="35">
        <f>SUMIF('Resource Demand - Activity'!$FT:$FT,Example!$G84,'Resource Demand - Activity'!AH:AH)</f>
        <v>0</v>
      </c>
      <c r="AN84" s="35">
        <f>SUMIF('Resource Demand - Activity'!$FT:$FT,Example!$G84,'Resource Demand - Activity'!AI:AI)</f>
        <v>0</v>
      </c>
      <c r="AO84" s="35">
        <f>SUMIF('Resource Demand - Activity'!$FT:$FT,Example!$G84,'Resource Demand - Activity'!AJ:AJ)</f>
        <v>0</v>
      </c>
      <c r="AP84" s="35">
        <f>SUMIF('Resource Demand - Activity'!$FT:$FT,Example!$G84,'Resource Demand - Activity'!AK:AK)</f>
        <v>0</v>
      </c>
      <c r="AQ84" s="36">
        <f>SUMIF('Resource Demand - Activity'!$FT:$FT,Example!$G84,'Resource Demand - Activity'!AL:AL)</f>
        <v>0</v>
      </c>
      <c r="AR84" s="36">
        <f>SUMIF('Resource Demand - Activity'!$FT:$FT,Example!$G84,'Resource Demand - Activity'!AM:AM)</f>
        <v>0</v>
      </c>
      <c r="AS84" s="36">
        <f>SUMIF('Resource Demand - Activity'!$FT:$FT,Example!$G84,'Resource Demand - Activity'!AN:AN)</f>
        <v>0</v>
      </c>
      <c r="AT84" s="36">
        <f>SUMIF('Resource Demand - Activity'!$FT:$FT,Example!$G84,'Resource Demand - Activity'!AO:AO)</f>
        <v>0</v>
      </c>
      <c r="AU84" s="36">
        <f>SUMIF('Resource Demand - Activity'!$FT:$FT,Example!$G84,'Resource Demand - Activity'!AP:AP)</f>
        <v>0</v>
      </c>
      <c r="AV84" s="36">
        <f>SUMIF('Resource Demand - Activity'!$FT:$FT,Example!$G84,'Resource Demand - Activity'!AQ:AQ)</f>
        <v>0</v>
      </c>
      <c r="AW84" s="36">
        <f>SUMIF('Resource Demand - Activity'!$FT:$FT,Example!$G84,'Resource Demand - Activity'!AR:AR)</f>
        <v>0</v>
      </c>
      <c r="AX84" s="35">
        <f>SUMIF('Resource Demand - Activity'!$FT:$FT,Example!$G84,'Resource Demand - Activity'!AS:AS)</f>
        <v>0</v>
      </c>
      <c r="AY84" s="35">
        <f>SUMIF('Resource Demand - Activity'!$FT:$FT,Example!$G84,'Resource Demand - Activity'!AT:AT)</f>
        <v>0</v>
      </c>
      <c r="AZ84" s="35">
        <f>SUMIF('Resource Demand - Activity'!$FT:$FT,Example!$G84,'Resource Demand - Activity'!AU:AU)</f>
        <v>0</v>
      </c>
      <c r="BA84" s="35">
        <f>SUMIF('Resource Demand - Activity'!$FT:$FT,Example!$G84,'Resource Demand - Activity'!AV:AV)</f>
        <v>0</v>
      </c>
      <c r="BB84" s="35">
        <f>SUMIF('Resource Demand - Activity'!$FT:$FT,Example!$G84,'Resource Demand - Activity'!AW:AW)</f>
        <v>0</v>
      </c>
      <c r="BC84" s="35">
        <f>SUMIF('Resource Demand - Activity'!$FT:$FT,Example!$G84,'Resource Demand - Activity'!AX:AX)</f>
        <v>0</v>
      </c>
      <c r="BD84" s="35">
        <f>SUMIF('Resource Demand - Activity'!$FT:$FT,Example!$G84,'Resource Demand - Activity'!AY:AY)</f>
        <v>0</v>
      </c>
      <c r="BE84" s="35">
        <f>SUMIF('Resource Demand - Activity'!$FT:$FT,Example!$G84,'Resource Demand - Activity'!AZ:AZ)</f>
        <v>0</v>
      </c>
      <c r="BF84" s="35">
        <f>SUMIF('Resource Demand - Activity'!$FT:$FT,Example!$G84,'Resource Demand - Activity'!BA:BA)</f>
        <v>0</v>
      </c>
      <c r="BG84" s="35">
        <f>SUMIF('Resource Demand - Activity'!$FT:$FT,Example!$G84,'Resource Demand - Activity'!BB:BB)</f>
        <v>0</v>
      </c>
      <c r="BH84" s="35">
        <f>SUMIF('Resource Demand - Activity'!$FT:$FT,Example!$G84,'Resource Demand - Activity'!BC:BC)</f>
        <v>0</v>
      </c>
      <c r="BI84" s="35">
        <f>SUMIF('Resource Demand - Activity'!$FT:$FT,Example!$G84,'Resource Demand - Activity'!BD:BD)</f>
        <v>0</v>
      </c>
      <c r="BJ84" s="35">
        <f>SUMIF('Resource Demand - Activity'!$FT:$FT,Example!$G84,'Resource Demand - Activity'!BE:BE)</f>
        <v>0</v>
      </c>
      <c r="BK84" s="35">
        <f>SUMIF('Resource Demand - Activity'!$FT:$FT,Example!$G84,'Resource Demand - Activity'!BF:BF)</f>
        <v>0</v>
      </c>
      <c r="BL84" s="35">
        <f>SUMIF('Resource Demand - Activity'!$FT:$FT,Example!$G84,'Resource Demand - Activity'!BG:BG)</f>
        <v>0</v>
      </c>
      <c r="BM84" s="35">
        <f>SUMIF('Resource Demand - Activity'!$FT:$FT,Example!$G84,'Resource Demand - Activity'!BH:BH)</f>
        <v>0</v>
      </c>
      <c r="BN84" s="35">
        <f>SUMIF('Resource Demand - Activity'!$FT:$FT,Example!$G84,'Resource Demand - Activity'!BI:BI)</f>
        <v>0</v>
      </c>
      <c r="BO84" s="35">
        <f>SUMIF('Resource Demand - Activity'!$FT:$FT,Example!$G84,'Resource Demand - Activity'!BJ:BJ)</f>
        <v>0</v>
      </c>
      <c r="BP84" s="35">
        <f>SUMIF('Resource Demand - Activity'!$FT:$FT,Example!$G84,'Resource Demand - Activity'!BK:BK)</f>
        <v>0</v>
      </c>
      <c r="BQ84" s="35">
        <f>SUMIF('Resource Demand - Activity'!$FT:$FT,Example!$G84,'Resource Demand - Activity'!BL:BL)</f>
        <v>0</v>
      </c>
      <c r="BR84" s="35">
        <f>SUMIF('Resource Demand - Activity'!$FT:$FT,Example!$G84,'Resource Demand - Activity'!BM:BM)</f>
        <v>0.5</v>
      </c>
      <c r="BS84" s="35">
        <f>SUMIF('Resource Demand - Activity'!$FT:$FT,Example!$G84,'Resource Demand - Activity'!BN:BN)</f>
        <v>0.5</v>
      </c>
      <c r="BT84" s="35">
        <f>SUMIF('Resource Demand - Activity'!$FT:$FT,Example!$G84,'Resource Demand - Activity'!BO:BO)</f>
        <v>0.5</v>
      </c>
      <c r="BU84" s="35">
        <f>SUMIF('Resource Demand - Activity'!$FT:$FT,Example!$G84,'Resource Demand - Activity'!BP:BP)</f>
        <v>0.5</v>
      </c>
      <c r="BV84" s="35">
        <f>SUMIF('Resource Demand - Activity'!$FT:$FT,Example!$G84,'Resource Demand - Activity'!BQ:BQ)</f>
        <v>0.5</v>
      </c>
      <c r="BW84" s="35">
        <f>SUMIF('Resource Demand - Activity'!$FT:$FT,Example!$G84,'Resource Demand - Activity'!BR:BR)</f>
        <v>0.5</v>
      </c>
      <c r="BX84" s="35">
        <f>SUMIF('Resource Demand - Activity'!$FT:$FT,Example!$G84,'Resource Demand - Activity'!BS:BS)</f>
        <v>0.5</v>
      </c>
      <c r="BY84" s="35">
        <f>SUMIF('Resource Demand - Activity'!$FT:$FT,Example!$G84,'Resource Demand - Activity'!BT:BT)</f>
        <v>0.5</v>
      </c>
      <c r="BZ84" s="35">
        <f>SUMIF('Resource Demand - Activity'!$FT:$FT,Example!$G84,'Resource Demand - Activity'!BU:BU)</f>
        <v>0.5</v>
      </c>
      <c r="CA84" s="35">
        <f>SUMIF('Resource Demand - Activity'!$FT:$FT,Example!$G84,'Resource Demand - Activity'!BV:BV)</f>
        <v>0.5</v>
      </c>
      <c r="CB84" s="35">
        <f>SUMIF('Resource Demand - Activity'!$FT:$FT,Example!$G84,'Resource Demand - Activity'!BW:BW)</f>
        <v>0</v>
      </c>
      <c r="CC84" s="35">
        <f>SUMIF('Resource Demand - Activity'!$FT:$FT,Example!$G84,'Resource Demand - Activity'!BX:BX)</f>
        <v>0.5</v>
      </c>
      <c r="CD84" s="35">
        <f>SUMIF('Resource Demand - Activity'!$FT:$FT,Example!$G84,'Resource Demand - Activity'!BY:BY)</f>
        <v>0.5</v>
      </c>
      <c r="CE84" s="35">
        <f>SUMIF('Resource Demand - Activity'!$FT:$FT,Example!$G84,'Resource Demand - Activity'!BZ:BZ)</f>
        <v>0.5</v>
      </c>
      <c r="CF84" s="35">
        <f>SUMIF('Resource Demand - Activity'!$FT:$FT,Example!$G84,'Resource Demand - Activity'!CA:CA)</f>
        <v>0.5</v>
      </c>
      <c r="CG84" s="35">
        <f>SUMIF('Resource Demand - Activity'!$FT:$FT,Example!$G84,'Resource Demand - Activity'!CB:CB)</f>
        <v>0.5</v>
      </c>
      <c r="CH84" s="35">
        <f>SUMIF('Resource Demand - Activity'!$FT:$FT,Example!$G84,'Resource Demand - Activity'!CC:CC)</f>
        <v>0.5</v>
      </c>
      <c r="CI84" s="35">
        <f>SUMIF('Resource Demand - Activity'!$FT:$FT,Example!$G84,'Resource Demand - Activity'!CD:CD)</f>
        <v>0.5</v>
      </c>
      <c r="CJ84" s="35">
        <f>SUMIF('Resource Demand - Activity'!$FT:$FT,Example!$G84,'Resource Demand - Activity'!CE:CE)</f>
        <v>0</v>
      </c>
      <c r="CK84" s="35">
        <f>SUMIF('Resource Demand - Activity'!$FT:$FT,Example!$G84,'Resource Demand - Activity'!CF:CF)</f>
        <v>0</v>
      </c>
      <c r="CL84" s="35">
        <f>SUMIF('Resource Demand - Activity'!$FT:$FT,Example!$G84,'Resource Demand - Activity'!CG:CG)</f>
        <v>0</v>
      </c>
      <c r="CM84" s="35">
        <f>SUMIF('Resource Demand - Activity'!$FT:$FT,Example!$G84,'Resource Demand - Activity'!CH:CH)</f>
        <v>0</v>
      </c>
      <c r="CN84" s="35">
        <f>SUMIF('Resource Demand - Activity'!$FT:$FT,Example!$G84,'Resource Demand - Activity'!CI:CI)</f>
        <v>0</v>
      </c>
      <c r="CO84" s="35">
        <f>SUMIF('Resource Demand - Activity'!$FT:$FT,Example!$G84,'Resource Demand - Activity'!CJ:CJ)</f>
        <v>0</v>
      </c>
      <c r="CP84" s="35">
        <f>SUMIF('Resource Demand - Activity'!$FT:$FT,Example!$G84,'Resource Demand - Activity'!CK:CK)</f>
        <v>0</v>
      </c>
      <c r="CQ84" s="35">
        <f>SUMIF('Resource Demand - Activity'!$FT:$FT,Example!$G84,'Resource Demand - Activity'!CL:CL)</f>
        <v>0</v>
      </c>
      <c r="CR84" s="35">
        <f>SUMIF('Resource Demand - Activity'!$FT:$FT,Example!$G84,'Resource Demand - Activity'!CM:CM)</f>
        <v>0</v>
      </c>
      <c r="CS84" s="35">
        <f>SUMIF('Resource Demand - Activity'!$FT:$FT,Example!$G84,'Resource Demand - Activity'!CN:CN)</f>
        <v>0</v>
      </c>
      <c r="CT84" s="35">
        <f>SUMIF('Resource Demand - Activity'!$FT:$FT,Example!$G84,'Resource Demand - Activity'!CO:CO)</f>
        <v>0</v>
      </c>
      <c r="CU84" s="35">
        <f>SUMIF('Resource Demand - Activity'!$FT:$FT,Example!$G84,'Resource Demand - Activity'!CP:CP)</f>
        <v>0</v>
      </c>
      <c r="CV84" s="35">
        <f>SUMIF('Resource Demand - Activity'!$FT:$FT,Example!$G84,'Resource Demand - Activity'!CQ:CQ)</f>
        <v>0</v>
      </c>
      <c r="CW84" s="35">
        <f>SUMIF('Resource Demand - Activity'!$FT:$FT,Example!$G84,'Resource Demand - Activity'!CR:CR)</f>
        <v>0</v>
      </c>
      <c r="CX84" s="35">
        <f>SUMIF('Resource Demand - Activity'!$FT:$FT,Example!$G84,'Resource Demand - Activity'!CS:CS)</f>
        <v>0</v>
      </c>
      <c r="CY84" s="36">
        <f>SUMIF('Resource Demand - Activity'!$FT:$FT,Example!$G84,'Resource Demand - Activity'!CT:CT)</f>
        <v>0</v>
      </c>
      <c r="CZ84" s="35">
        <f>SUMIF('Resource Demand - Activity'!$FT:$FT,Example!$G84,'Resource Demand - Activity'!CU:CU)</f>
        <v>0</v>
      </c>
      <c r="DA84" s="35">
        <f>SUMIF('Resource Demand - Activity'!$FT:$FT,Example!$G84,'Resource Demand - Activity'!CV:CV)</f>
        <v>0</v>
      </c>
      <c r="DB84" s="35">
        <f>SUMIF('Resource Demand - Activity'!$FT:$FT,Example!$G84,'Resource Demand - Activity'!CW:CW)</f>
        <v>0</v>
      </c>
      <c r="DC84" s="35">
        <f>SUMIF('Resource Demand - Activity'!$FT:$FT,Example!$G84,'Resource Demand - Activity'!CX:CX)</f>
        <v>0</v>
      </c>
      <c r="DD84" s="35">
        <f>SUMIF('Resource Demand - Activity'!$FT:$FT,Example!$G84,'Resource Demand - Activity'!CY:CY)</f>
        <v>0</v>
      </c>
      <c r="DE84" s="36">
        <f>SUMIF('Resource Demand - Activity'!$FT:$FT,Example!$G84,'Resource Demand - Activity'!CZ:CZ)</f>
        <v>0</v>
      </c>
      <c r="DF84" s="36">
        <f>SUMIF('Resource Demand - Activity'!$FT:$FT,Example!$G84,'Resource Demand - Activity'!DA:DA)</f>
        <v>0</v>
      </c>
      <c r="DG84" s="35">
        <f>SUMIF('Resource Demand - Activity'!$FT:$FT,Example!$G84,'Resource Demand - Activity'!DB:DB)</f>
        <v>1</v>
      </c>
      <c r="DH84" s="35">
        <f>SUMIF('Resource Demand - Activity'!$FT:$FT,Example!$G84,'Resource Demand - Activity'!DC:DC)</f>
        <v>1</v>
      </c>
      <c r="DI84" s="35">
        <f>SUMIF('Resource Demand - Activity'!$FT:$FT,Example!$G84,'Resource Demand - Activity'!DD:DD)</f>
        <v>1</v>
      </c>
      <c r="DJ84" s="35">
        <f>SUMIF('Resource Demand - Activity'!$FT:$FT,Example!$G84,'Resource Demand - Activity'!DE:DE)</f>
        <v>1</v>
      </c>
      <c r="DK84" s="35">
        <f>SUMIF('Resource Demand - Activity'!$FT:$FT,Example!$G84,'Resource Demand - Activity'!DF:DF)</f>
        <v>1</v>
      </c>
      <c r="DL84" s="35">
        <f>SUMIF('Resource Demand - Activity'!$FT:$FT,Example!$G84,'Resource Demand - Activity'!DG:DG)</f>
        <v>1</v>
      </c>
      <c r="DM84" s="35">
        <f>SUMIF('Resource Demand - Activity'!$FT:$FT,Example!$G84,'Resource Demand - Activity'!DH:DH)</f>
        <v>1</v>
      </c>
      <c r="DN84" s="35">
        <f>SUMIF('Resource Demand - Activity'!$FT:$FT,Example!$G84,'Resource Demand - Activity'!DI:DI)</f>
        <v>1</v>
      </c>
      <c r="DO84" s="35">
        <f>SUMIF('Resource Demand - Activity'!$FT:$FT,Example!$G84,'Resource Demand - Activity'!DJ:DJ)</f>
        <v>1</v>
      </c>
      <c r="DP84" s="35">
        <f>SUMIF('Resource Demand - Activity'!$FT:$FT,Example!$G84,'Resource Demand - Activity'!DK:DK)</f>
        <v>1</v>
      </c>
      <c r="DQ84" s="35">
        <f>SUMIF('Resource Demand - Activity'!$FT:$FT,Example!$G84,'Resource Demand - Activity'!DL:DL)</f>
        <v>1</v>
      </c>
      <c r="DR84" s="35">
        <f>SUMIF('Resource Demand - Activity'!$FT:$FT,Example!$G84,'Resource Demand - Activity'!DM:DM)</f>
        <v>1</v>
      </c>
      <c r="DS84" s="35">
        <f>SUMIF('Resource Demand - Activity'!$FT:$FT,Example!$G84,'Resource Demand - Activity'!DN:DN)</f>
        <v>0.5</v>
      </c>
      <c r="DT84" s="35">
        <f>SUMIF('Resource Demand - Activity'!$FT:$FT,Example!$G84,'Resource Demand - Activity'!DO:DO)</f>
        <v>0.5</v>
      </c>
      <c r="DU84" s="35">
        <f>SUMIF('Resource Demand - Activity'!$FT:$FT,Example!$G84,'Resource Demand - Activity'!DP:DP)</f>
        <v>1</v>
      </c>
      <c r="DV84" s="35">
        <f>SUMIF('Resource Demand - Activity'!$FT:$FT,Example!$G84,'Resource Demand - Activity'!DQ:DQ)</f>
        <v>1</v>
      </c>
      <c r="DW84" s="35">
        <f>SUMIF('Resource Demand - Activity'!$FT:$FT,Example!$G84,'Resource Demand - Activity'!DR:DR)</f>
        <v>1</v>
      </c>
      <c r="DX84" s="35">
        <f>SUMIF('Resource Demand - Activity'!$FT:$FT,Example!$G84,'Resource Demand - Activity'!DS:DS)</f>
        <v>1</v>
      </c>
      <c r="DY84" s="35">
        <f>SUMIF('Resource Demand - Activity'!$FT:$FT,Example!$G84,'Resource Demand - Activity'!DT:DT)</f>
        <v>0.5</v>
      </c>
      <c r="DZ84" s="35">
        <f>SUMIF('Resource Demand - Activity'!$FT:$FT,Example!$G84,'Resource Demand - Activity'!DU:DU)</f>
        <v>1</v>
      </c>
      <c r="EA84" s="35">
        <f>SUMIF('Resource Demand - Activity'!$FT:$FT,Example!$G84,'Resource Demand - Activity'!DV:DV)</f>
        <v>1</v>
      </c>
      <c r="EB84" s="35">
        <f>SUMIF('Resource Demand - Activity'!$FT:$FT,Example!$G84,'Resource Demand - Activity'!DW:DW)</f>
        <v>1</v>
      </c>
      <c r="EC84" s="35">
        <f>SUMIF('Resource Demand - Activity'!$FT:$FT,Example!$G84,'Resource Demand - Activity'!DX:DX)</f>
        <v>1</v>
      </c>
      <c r="ED84" s="35">
        <f>SUMIF('Resource Demand - Activity'!$FT:$FT,Example!$G84,'Resource Demand - Activity'!DY:DY)</f>
        <v>0.5</v>
      </c>
      <c r="EE84" s="36">
        <f>SUMIF('Resource Demand - Activity'!$FT:$FT,Example!$G84,'Resource Demand - Activity'!DZ:DZ)</f>
        <v>0</v>
      </c>
      <c r="EF84" s="35">
        <f>SUMIF('Resource Demand - Activity'!$FT:$FT,Example!$G84,'Resource Demand - Activity'!EA:EA)</f>
        <v>0</v>
      </c>
      <c r="EG84" s="35">
        <f>SUMIF('Resource Demand - Activity'!$FT:$FT,Example!$G84,'Resource Demand - Activity'!EB:EB)</f>
        <v>0</v>
      </c>
      <c r="EH84" s="35">
        <f>SUMIF('Resource Demand - Activity'!$FT:$FT,Example!$G84,'Resource Demand - Activity'!EC:EC)</f>
        <v>0</v>
      </c>
      <c r="EI84" s="35">
        <f>SUMIF('Resource Demand - Activity'!$FT:$FT,Example!$G84,'Resource Demand - Activity'!ED:ED)</f>
        <v>0</v>
      </c>
      <c r="EJ84" s="35">
        <f>SUMIF('Resource Demand - Activity'!$FT:$FT,Example!$G84,'Resource Demand - Activity'!EE:EE)</f>
        <v>0</v>
      </c>
      <c r="EK84" s="35">
        <f>SUMIF('Resource Demand - Activity'!$FT:$FT,Example!$G84,'Resource Demand - Activity'!EF:EF)</f>
        <v>0</v>
      </c>
      <c r="EL84" s="35">
        <f>SUMIF('Resource Demand - Activity'!$FT:$FT,Example!$G84,'Resource Demand - Activity'!EG:EG)</f>
        <v>0</v>
      </c>
      <c r="EM84" s="35">
        <f>SUMIF('Resource Demand - Activity'!$FT:$FT,Example!$G84,'Resource Demand - Activity'!EH:EH)</f>
        <v>0</v>
      </c>
      <c r="EN84" s="35">
        <f>SUMIF('Resource Demand - Activity'!$FT:$FT,Example!$G84,'Resource Demand - Activity'!EI:EI)</f>
        <v>0</v>
      </c>
      <c r="EO84" s="35">
        <f>SUMIF('Resource Demand - Activity'!$FT:$FT,Example!$G84,'Resource Demand - Activity'!EJ:EJ)</f>
        <v>0</v>
      </c>
      <c r="EP84" s="35">
        <f>SUMIF('Resource Demand - Activity'!$FT:$FT,Example!$G84,'Resource Demand - Activity'!EK:EK)</f>
        <v>0</v>
      </c>
      <c r="EQ84" s="35">
        <f>SUMIF('Resource Demand - Activity'!$FT:$FT,Example!$G84,'Resource Demand - Activity'!EL:EL)</f>
        <v>0</v>
      </c>
      <c r="ER84" s="35">
        <f>SUMIF('Resource Demand - Activity'!$FT:$FT,Example!$G84,'Resource Demand - Activity'!EM:EM)</f>
        <v>0</v>
      </c>
      <c r="ES84" s="35">
        <f>SUMIF('Resource Demand - Activity'!$FT:$FT,Example!$G84,'Resource Demand - Activity'!EN:EN)</f>
        <v>0</v>
      </c>
      <c r="ET84" s="35">
        <f>SUMIF('Resource Demand - Activity'!$FT:$FT,Example!$G84,'Resource Demand - Activity'!EO:EO)</f>
        <v>0</v>
      </c>
      <c r="EU84" s="35">
        <f>SUMIF('Resource Demand - Activity'!$FT:$FT,Example!$G84,'Resource Demand - Activity'!EP:EP)</f>
        <v>0</v>
      </c>
      <c r="EV84" s="35">
        <f>SUMIF('Resource Demand - Activity'!$FT:$FT,Example!$G84,'Resource Demand - Activity'!EQ:EQ)</f>
        <v>0</v>
      </c>
      <c r="EW84" s="35">
        <f>SUMIF('Resource Demand - Activity'!$FT:$FT,Example!$G84,'Resource Demand - Activity'!ER:ER)</f>
        <v>0</v>
      </c>
      <c r="EX84" s="35">
        <f>SUMIF('Resource Demand - Activity'!$FT:$FT,Example!$G84,'Resource Demand - Activity'!ES:ES)</f>
        <v>0</v>
      </c>
      <c r="EY84" s="35">
        <f>SUMIF('Resource Demand - Activity'!$FT:$FT,Example!$G84,'Resource Demand - Activity'!ET:ET)</f>
        <v>0</v>
      </c>
      <c r="EZ84" s="35">
        <f>SUMIF('Resource Demand - Activity'!$FT:$FT,Example!$G84,'Resource Demand - Activity'!EU:EU)</f>
        <v>0</v>
      </c>
      <c r="FA84" s="35">
        <f>SUMIF('Resource Demand - Activity'!$FT:$FT,Example!$G84,'Resource Demand - Activity'!EV:EV)</f>
        <v>0</v>
      </c>
      <c r="FB84" s="35">
        <f>SUMIF('Resource Demand - Activity'!$FT:$FT,Example!$G84,'Resource Demand - Activity'!EW:EW)</f>
        <v>0</v>
      </c>
      <c r="FC84" s="35">
        <f>SUMIF('Resource Demand - Activity'!$FT:$FT,Example!$G84,'Resource Demand - Activity'!EX:EX)</f>
        <v>0</v>
      </c>
      <c r="FD84" s="36">
        <f>SUMIF('Resource Demand - Activity'!$FT:$FT,Example!$G84,'Resource Demand - Activity'!EY:EY)</f>
        <v>0</v>
      </c>
      <c r="FE84" s="35">
        <f>SUMIF('Resource Demand - Activity'!$FT:$FT,Example!$G84,'Resource Demand - Activity'!EZ:EZ)</f>
        <v>0</v>
      </c>
      <c r="FF84" s="35">
        <f>SUMIF('Resource Demand - Activity'!$FT:$FT,Example!$G84,'Resource Demand - Activity'!FA:FA)</f>
        <v>0</v>
      </c>
      <c r="FG84" s="35">
        <f>SUMIF('Resource Demand - Activity'!$FT:$FT,Example!$G84,'Resource Demand - Activity'!FB:FB)</f>
        <v>0</v>
      </c>
      <c r="FH84" s="35">
        <f>SUMIF('Resource Demand - Activity'!$FT:$FT,Example!$G84,'Resource Demand - Activity'!FC:FC)</f>
        <v>0</v>
      </c>
      <c r="FI84" s="35">
        <f>SUMIF('Resource Demand - Activity'!$FT:$FT,Example!$G84,'Resource Demand - Activity'!FD:FD)</f>
        <v>0</v>
      </c>
      <c r="FJ84" s="35">
        <f>SUMIF('Resource Demand - Activity'!$FT:$FT,Example!$G84,'Resource Demand - Activity'!FE:FE)</f>
        <v>0</v>
      </c>
      <c r="FK84" s="35">
        <f>SUMIF('Resource Demand - Activity'!$FT:$FT,Example!$G84,'Resource Demand - Activity'!FF:FF)</f>
        <v>0</v>
      </c>
      <c r="FL84" s="35">
        <f>SUMIF('Resource Demand - Activity'!$FT:$FT,Example!$G84,'Resource Demand - Activity'!FG:FG)</f>
        <v>0</v>
      </c>
      <c r="FM84" s="35">
        <f>SUMIF('Resource Demand - Activity'!$FT:$FT,Example!$G84,'Resource Demand - Activity'!FH:FH)</f>
        <v>0</v>
      </c>
      <c r="FN84" s="35">
        <f>SUMIF('Resource Demand - Activity'!$FT:$FT,Example!$G84,'Resource Demand - Activity'!FI:FI)</f>
        <v>0</v>
      </c>
      <c r="FO84" s="35">
        <f>SUMIF('Resource Demand - Activity'!$FT:$FT,Example!$G84,'Resource Demand - Activity'!FJ:FJ)</f>
        <v>0</v>
      </c>
      <c r="FP84" s="35">
        <f>SUMIF('Resource Demand - Activity'!$FT:$FT,Example!$G84,'Resource Demand - Activity'!FK:FK)</f>
        <v>0</v>
      </c>
      <c r="FQ84" s="35">
        <f>SUMIF('Resource Demand - Activity'!$FT:$FT,Example!$G84,'Resource Demand - Activity'!FL:FL)</f>
        <v>0</v>
      </c>
      <c r="FR84" s="35">
        <f>SUMIF('Resource Demand - Activity'!$FT:$FT,Example!$G84,'Resource Demand - Activity'!FM:FM)</f>
        <v>0</v>
      </c>
      <c r="FS84" s="35">
        <f>SUMIF('Resource Demand - Activity'!$FT:$FT,Example!$G84,'Resource Demand - Activity'!FN:FN)</f>
        <v>0</v>
      </c>
      <c r="FT84" s="35">
        <f>SUMIF('Resource Demand - Activity'!$FT:$FT,Example!$G84,'Resource Demand - Activity'!FO:FO)</f>
        <v>0</v>
      </c>
      <c r="FU84" s="35">
        <f>SUMIF('Resource Demand - Activity'!$FT:$FT,Example!$G84,'Resource Demand - Activity'!FP:FP)</f>
        <v>0</v>
      </c>
      <c r="FV84" s="52">
        <f>SUMIF('Resource Demand - Activity'!$FT:$FT,Example!$G84,'Resource Demand - Activity'!FQ:FQ)</f>
        <v>0</v>
      </c>
    </row>
    <row r="85" spans="7:178" s="63" customFormat="1" ht="12" customHeight="1">
      <c r="G85" s="64" t="str">
        <f t="shared" si="15"/>
        <v>9. Technical Support 9.3 TM1 Mapping RequirementsTM1 Analyst</v>
      </c>
      <c r="H85" s="61" t="s">
        <v>139</v>
      </c>
      <c r="I85" s="59" t="str">
        <f>INDEX('Resource Demand - Activity'!C:C,MATCH(Example!G85,'Resource Demand - Activity'!FT:FT,0))</f>
        <v>13 days</v>
      </c>
      <c r="J85" s="51">
        <f>SUMIF('Resource Demand - Activity'!$FT:$FT,Example!$G85,'Resource Demand - Activity'!E:E)</f>
        <v>0</v>
      </c>
      <c r="K85" s="35">
        <f>SUMIF('Resource Demand - Activity'!$FT:$FT,Example!$G85,'Resource Demand - Activity'!F:F)</f>
        <v>0</v>
      </c>
      <c r="L85" s="35">
        <f>SUMIF('Resource Demand - Activity'!$FT:$FT,Example!$G85,'Resource Demand - Activity'!G:G)</f>
        <v>0</v>
      </c>
      <c r="M85" s="35">
        <f>SUMIF('Resource Demand - Activity'!$FT:$FT,Example!$G85,'Resource Demand - Activity'!H:H)</f>
        <v>0</v>
      </c>
      <c r="N85" s="35">
        <f>SUMIF('Resource Demand - Activity'!$FT:$FT,Example!$G85,'Resource Demand - Activity'!I:I)</f>
        <v>0</v>
      </c>
      <c r="O85" s="35">
        <f>SUMIF('Resource Demand - Activity'!$FT:$FT,Example!$G85,'Resource Demand - Activity'!J:J)</f>
        <v>0</v>
      </c>
      <c r="P85" s="35">
        <f>SUMIF('Resource Demand - Activity'!$FT:$FT,Example!$G85,'Resource Demand - Activity'!K:K)</f>
        <v>0</v>
      </c>
      <c r="Q85" s="35">
        <f>SUMIF('Resource Demand - Activity'!$FT:$FT,Example!$G85,'Resource Demand - Activity'!L:L)</f>
        <v>0</v>
      </c>
      <c r="R85" s="35">
        <f>SUMIF('Resource Demand - Activity'!$FT:$FT,Example!$G85,'Resource Demand - Activity'!M:M)</f>
        <v>0</v>
      </c>
      <c r="S85" s="35">
        <f>SUMIF('Resource Demand - Activity'!$FT:$FT,Example!$G85,'Resource Demand - Activity'!N:N)</f>
        <v>0</v>
      </c>
      <c r="T85" s="35">
        <f>SUMIF('Resource Demand - Activity'!$FT:$FT,Example!$G85,'Resource Demand - Activity'!O:O)</f>
        <v>0</v>
      </c>
      <c r="U85" s="35">
        <f>SUMIF('Resource Demand - Activity'!$FT:$FT,Example!$G85,'Resource Demand - Activity'!P:P)</f>
        <v>0</v>
      </c>
      <c r="V85" s="35">
        <f>SUMIF('Resource Demand - Activity'!$FT:$FT,Example!$G85,'Resource Demand - Activity'!Q:Q)</f>
        <v>0</v>
      </c>
      <c r="W85" s="35">
        <f>SUMIF('Resource Demand - Activity'!$FT:$FT,Example!$G85,'Resource Demand - Activity'!R:R)</f>
        <v>0</v>
      </c>
      <c r="X85" s="35">
        <f>SUMIF('Resource Demand - Activity'!$FT:$FT,Example!$G85,'Resource Demand - Activity'!S:S)</f>
        <v>0</v>
      </c>
      <c r="Y85" s="35">
        <f>SUMIF('Resource Demand - Activity'!$FT:$FT,Example!$G85,'Resource Demand - Activity'!T:T)</f>
        <v>1</v>
      </c>
      <c r="Z85" s="35">
        <f>SUMIF('Resource Demand - Activity'!$FT:$FT,Example!$G85,'Resource Demand - Activity'!U:U)</f>
        <v>0</v>
      </c>
      <c r="AA85" s="35">
        <f>SUMIF('Resource Demand - Activity'!$FT:$FT,Example!$G85,'Resource Demand - Activity'!V:V)</f>
        <v>0</v>
      </c>
      <c r="AB85" s="35">
        <f>SUMIF('Resource Demand - Activity'!$FT:$FT,Example!$G85,'Resource Demand - Activity'!W:W)</f>
        <v>0</v>
      </c>
      <c r="AC85" s="35">
        <f>SUMIF('Resource Demand - Activity'!$FT:$FT,Example!$G85,'Resource Demand - Activity'!X:X)</f>
        <v>0</v>
      </c>
      <c r="AD85" s="35">
        <f>SUMIF('Resource Demand - Activity'!$FT:$FT,Example!$G85,'Resource Demand - Activity'!Y:Y)</f>
        <v>0</v>
      </c>
      <c r="AE85" s="35">
        <f>SUMIF('Resource Demand - Activity'!$FT:$FT,Example!$G85,'Resource Demand - Activity'!Z:Z)</f>
        <v>0</v>
      </c>
      <c r="AF85" s="35">
        <f>SUMIF('Resource Demand - Activity'!$FT:$FT,Example!$G85,'Resource Demand - Activity'!AA:AA)</f>
        <v>0</v>
      </c>
      <c r="AG85" s="35">
        <f>SUMIF('Resource Demand - Activity'!$FT:$FT,Example!$G85,'Resource Demand - Activity'!AB:AB)</f>
        <v>0</v>
      </c>
      <c r="AH85" s="35">
        <f>SUMIF('Resource Demand - Activity'!$FT:$FT,Example!$G85,'Resource Demand - Activity'!AC:AC)</f>
        <v>0</v>
      </c>
      <c r="AI85" s="35">
        <f>SUMIF('Resource Demand - Activity'!$FT:$FT,Example!$G85,'Resource Demand - Activity'!AD:AD)</f>
        <v>1</v>
      </c>
      <c r="AJ85" s="35">
        <f>SUMIF('Resource Demand - Activity'!$FT:$FT,Example!$G85,'Resource Demand - Activity'!AE:AE)</f>
        <v>1</v>
      </c>
      <c r="AK85" s="35">
        <f>SUMIF('Resource Demand - Activity'!$FT:$FT,Example!$G85,'Resource Demand - Activity'!AF:AF)</f>
        <v>1</v>
      </c>
      <c r="AL85" s="35">
        <f>SUMIF('Resource Demand - Activity'!$FT:$FT,Example!$G85,'Resource Demand - Activity'!AG:AG)</f>
        <v>1</v>
      </c>
      <c r="AM85" s="35">
        <f>SUMIF('Resource Demand - Activity'!$FT:$FT,Example!$G85,'Resource Demand - Activity'!AH:AH)</f>
        <v>1</v>
      </c>
      <c r="AN85" s="35">
        <f>SUMIF('Resource Demand - Activity'!$FT:$FT,Example!$G85,'Resource Demand - Activity'!AI:AI)</f>
        <v>1</v>
      </c>
      <c r="AO85" s="35">
        <f>SUMIF('Resource Demand - Activity'!$FT:$FT,Example!$G85,'Resource Demand - Activity'!AJ:AJ)</f>
        <v>0</v>
      </c>
      <c r="AP85" s="35">
        <f>SUMIF('Resource Demand - Activity'!$FT:$FT,Example!$G85,'Resource Demand - Activity'!AK:AK)</f>
        <v>0</v>
      </c>
      <c r="AQ85" s="36">
        <f>SUMIF('Resource Demand - Activity'!$FT:$FT,Example!$G85,'Resource Demand - Activity'!AL:AL)</f>
        <v>0</v>
      </c>
      <c r="AR85" s="36">
        <f>SUMIF('Resource Demand - Activity'!$FT:$FT,Example!$G85,'Resource Demand - Activity'!AM:AM)</f>
        <v>0</v>
      </c>
      <c r="AS85" s="36">
        <f>SUMIF('Resource Demand - Activity'!$FT:$FT,Example!$G85,'Resource Demand - Activity'!AN:AN)</f>
        <v>0</v>
      </c>
      <c r="AT85" s="36">
        <f>SUMIF('Resource Demand - Activity'!$FT:$FT,Example!$G85,'Resource Demand - Activity'!AO:AO)</f>
        <v>0</v>
      </c>
      <c r="AU85" s="36">
        <f>SUMIF('Resource Demand - Activity'!$FT:$FT,Example!$G85,'Resource Demand - Activity'!AP:AP)</f>
        <v>0</v>
      </c>
      <c r="AV85" s="36">
        <f>SUMIF('Resource Demand - Activity'!$FT:$FT,Example!$G85,'Resource Demand - Activity'!AQ:AQ)</f>
        <v>0</v>
      </c>
      <c r="AW85" s="36">
        <f>SUMIF('Resource Demand - Activity'!$FT:$FT,Example!$G85,'Resource Demand - Activity'!AR:AR)</f>
        <v>0</v>
      </c>
      <c r="AX85" s="35">
        <f>SUMIF('Resource Demand - Activity'!$FT:$FT,Example!$G85,'Resource Demand - Activity'!AS:AS)</f>
        <v>1</v>
      </c>
      <c r="AY85" s="35">
        <f>SUMIF('Resource Demand - Activity'!$FT:$FT,Example!$G85,'Resource Demand - Activity'!AT:AT)</f>
        <v>1</v>
      </c>
      <c r="AZ85" s="35">
        <f>SUMIF('Resource Demand - Activity'!$FT:$FT,Example!$G85,'Resource Demand - Activity'!AU:AU)</f>
        <v>1</v>
      </c>
      <c r="BA85" s="35">
        <f>SUMIF('Resource Demand - Activity'!$FT:$FT,Example!$G85,'Resource Demand - Activity'!AV:AV)</f>
        <v>1</v>
      </c>
      <c r="BB85" s="35">
        <f>SUMIF('Resource Demand - Activity'!$FT:$FT,Example!$G85,'Resource Demand - Activity'!AW:AW)</f>
        <v>1</v>
      </c>
      <c r="BC85" s="35">
        <f>SUMIF('Resource Demand - Activity'!$FT:$FT,Example!$G85,'Resource Demand - Activity'!AX:AX)</f>
        <v>1</v>
      </c>
      <c r="BD85" s="35">
        <f>SUMIF('Resource Demand - Activity'!$FT:$FT,Example!$G85,'Resource Demand - Activity'!AY:AY)</f>
        <v>0</v>
      </c>
      <c r="BE85" s="35">
        <f>SUMIF('Resource Demand - Activity'!$FT:$FT,Example!$G85,'Resource Demand - Activity'!AZ:AZ)</f>
        <v>0</v>
      </c>
      <c r="BF85" s="35">
        <f>SUMIF('Resource Demand - Activity'!$FT:$FT,Example!$G85,'Resource Demand - Activity'!BA:BA)</f>
        <v>0</v>
      </c>
      <c r="BG85" s="35">
        <f>SUMIF('Resource Demand - Activity'!$FT:$FT,Example!$G85,'Resource Demand - Activity'!BB:BB)</f>
        <v>0</v>
      </c>
      <c r="BH85" s="35">
        <f>SUMIF('Resource Demand - Activity'!$FT:$FT,Example!$G85,'Resource Demand - Activity'!BC:BC)</f>
        <v>0</v>
      </c>
      <c r="BI85" s="35">
        <f>SUMIF('Resource Demand - Activity'!$FT:$FT,Example!$G85,'Resource Demand - Activity'!BD:BD)</f>
        <v>0</v>
      </c>
      <c r="BJ85" s="35">
        <f>SUMIF('Resource Demand - Activity'!$FT:$FT,Example!$G85,'Resource Demand - Activity'!BE:BE)</f>
        <v>0</v>
      </c>
      <c r="BK85" s="35">
        <f>SUMIF('Resource Demand - Activity'!$FT:$FT,Example!$G85,'Resource Demand - Activity'!BF:BF)</f>
        <v>0</v>
      </c>
      <c r="BL85" s="35">
        <f>SUMIF('Resource Demand - Activity'!$FT:$FT,Example!$G85,'Resource Demand - Activity'!BG:BG)</f>
        <v>0</v>
      </c>
      <c r="BM85" s="35">
        <f>SUMIF('Resource Demand - Activity'!$FT:$FT,Example!$G85,'Resource Demand - Activity'!BH:BH)</f>
        <v>0</v>
      </c>
      <c r="BN85" s="35">
        <f>SUMIF('Resource Demand - Activity'!$FT:$FT,Example!$G85,'Resource Demand - Activity'!BI:BI)</f>
        <v>0</v>
      </c>
      <c r="BO85" s="35">
        <f>SUMIF('Resource Demand - Activity'!$FT:$FT,Example!$G85,'Resource Demand - Activity'!BJ:BJ)</f>
        <v>0</v>
      </c>
      <c r="BP85" s="35">
        <f>SUMIF('Resource Demand - Activity'!$FT:$FT,Example!$G85,'Resource Demand - Activity'!BK:BK)</f>
        <v>0</v>
      </c>
      <c r="BQ85" s="35">
        <f>SUMIF('Resource Demand - Activity'!$FT:$FT,Example!$G85,'Resource Demand - Activity'!BL:BL)</f>
        <v>0</v>
      </c>
      <c r="BR85" s="35">
        <f>SUMIF('Resource Demand - Activity'!$FT:$FT,Example!$G85,'Resource Demand - Activity'!BM:BM)</f>
        <v>0</v>
      </c>
      <c r="BS85" s="35">
        <f>SUMIF('Resource Demand - Activity'!$FT:$FT,Example!$G85,'Resource Demand - Activity'!BN:BN)</f>
        <v>0</v>
      </c>
      <c r="BT85" s="35">
        <f>SUMIF('Resource Demand - Activity'!$FT:$FT,Example!$G85,'Resource Demand - Activity'!BO:BO)</f>
        <v>0</v>
      </c>
      <c r="BU85" s="35">
        <f>SUMIF('Resource Demand - Activity'!$FT:$FT,Example!$G85,'Resource Demand - Activity'!BP:BP)</f>
        <v>0</v>
      </c>
      <c r="BV85" s="35">
        <f>SUMIF('Resource Demand - Activity'!$FT:$FT,Example!$G85,'Resource Demand - Activity'!BQ:BQ)</f>
        <v>0</v>
      </c>
      <c r="BW85" s="35">
        <f>SUMIF('Resource Demand - Activity'!$FT:$FT,Example!$G85,'Resource Demand - Activity'!BR:BR)</f>
        <v>0</v>
      </c>
      <c r="BX85" s="35">
        <f>SUMIF('Resource Demand - Activity'!$FT:$FT,Example!$G85,'Resource Demand - Activity'!BS:BS)</f>
        <v>0</v>
      </c>
      <c r="BY85" s="35">
        <f>SUMIF('Resource Demand - Activity'!$FT:$FT,Example!$G85,'Resource Demand - Activity'!BT:BT)</f>
        <v>0</v>
      </c>
      <c r="BZ85" s="35">
        <f>SUMIF('Resource Demand - Activity'!$FT:$FT,Example!$G85,'Resource Demand - Activity'!BU:BU)</f>
        <v>0</v>
      </c>
      <c r="CA85" s="35">
        <f>SUMIF('Resource Demand - Activity'!$FT:$FT,Example!$G85,'Resource Demand - Activity'!BV:BV)</f>
        <v>0</v>
      </c>
      <c r="CB85" s="35">
        <f>SUMIF('Resource Demand - Activity'!$FT:$FT,Example!$G85,'Resource Demand - Activity'!BW:BW)</f>
        <v>0</v>
      </c>
      <c r="CC85" s="35">
        <f>SUMIF('Resource Demand - Activity'!$FT:$FT,Example!$G85,'Resource Demand - Activity'!BX:BX)</f>
        <v>0</v>
      </c>
      <c r="CD85" s="35">
        <f>SUMIF('Resource Demand - Activity'!$FT:$FT,Example!$G85,'Resource Demand - Activity'!BY:BY)</f>
        <v>0</v>
      </c>
      <c r="CE85" s="35">
        <f>SUMIF('Resource Demand - Activity'!$FT:$FT,Example!$G85,'Resource Demand - Activity'!BZ:BZ)</f>
        <v>0</v>
      </c>
      <c r="CF85" s="35">
        <f>SUMIF('Resource Demand - Activity'!$FT:$FT,Example!$G85,'Resource Demand - Activity'!CA:CA)</f>
        <v>0</v>
      </c>
      <c r="CG85" s="35">
        <f>SUMIF('Resource Demand - Activity'!$FT:$FT,Example!$G85,'Resource Demand - Activity'!CB:CB)</f>
        <v>0</v>
      </c>
      <c r="CH85" s="35">
        <f>SUMIF('Resource Demand - Activity'!$FT:$FT,Example!$G85,'Resource Demand - Activity'!CC:CC)</f>
        <v>0</v>
      </c>
      <c r="CI85" s="35">
        <f>SUMIF('Resource Demand - Activity'!$FT:$FT,Example!$G85,'Resource Demand - Activity'!CD:CD)</f>
        <v>0</v>
      </c>
      <c r="CJ85" s="35">
        <f>SUMIF('Resource Demand - Activity'!$FT:$FT,Example!$G85,'Resource Demand - Activity'!CE:CE)</f>
        <v>0</v>
      </c>
      <c r="CK85" s="35">
        <f>SUMIF('Resource Demand - Activity'!$FT:$FT,Example!$G85,'Resource Demand - Activity'!CF:CF)</f>
        <v>0</v>
      </c>
      <c r="CL85" s="35">
        <f>SUMIF('Resource Demand - Activity'!$FT:$FT,Example!$G85,'Resource Demand - Activity'!CG:CG)</f>
        <v>0</v>
      </c>
      <c r="CM85" s="35">
        <f>SUMIF('Resource Demand - Activity'!$FT:$FT,Example!$G85,'Resource Demand - Activity'!CH:CH)</f>
        <v>0</v>
      </c>
      <c r="CN85" s="35">
        <f>SUMIF('Resource Demand - Activity'!$FT:$FT,Example!$G85,'Resource Demand - Activity'!CI:CI)</f>
        <v>0</v>
      </c>
      <c r="CO85" s="35">
        <f>SUMIF('Resource Demand - Activity'!$FT:$FT,Example!$G85,'Resource Demand - Activity'!CJ:CJ)</f>
        <v>0</v>
      </c>
      <c r="CP85" s="35">
        <f>SUMIF('Resource Demand - Activity'!$FT:$FT,Example!$G85,'Resource Demand - Activity'!CK:CK)</f>
        <v>0</v>
      </c>
      <c r="CQ85" s="35">
        <f>SUMIF('Resource Demand - Activity'!$FT:$FT,Example!$G85,'Resource Demand - Activity'!CL:CL)</f>
        <v>0</v>
      </c>
      <c r="CR85" s="35">
        <f>SUMIF('Resource Demand - Activity'!$FT:$FT,Example!$G85,'Resource Demand - Activity'!CM:CM)</f>
        <v>0</v>
      </c>
      <c r="CS85" s="35">
        <f>SUMIF('Resource Demand - Activity'!$FT:$FT,Example!$G85,'Resource Demand - Activity'!CN:CN)</f>
        <v>0</v>
      </c>
      <c r="CT85" s="35">
        <f>SUMIF('Resource Demand - Activity'!$FT:$FT,Example!$G85,'Resource Demand - Activity'!CO:CO)</f>
        <v>0</v>
      </c>
      <c r="CU85" s="35">
        <f>SUMIF('Resource Demand - Activity'!$FT:$FT,Example!$G85,'Resource Demand - Activity'!CP:CP)</f>
        <v>0</v>
      </c>
      <c r="CV85" s="35">
        <f>SUMIF('Resource Demand - Activity'!$FT:$FT,Example!$G85,'Resource Demand - Activity'!CQ:CQ)</f>
        <v>0</v>
      </c>
      <c r="CW85" s="35">
        <f>SUMIF('Resource Demand - Activity'!$FT:$FT,Example!$G85,'Resource Demand - Activity'!CR:CR)</f>
        <v>0</v>
      </c>
      <c r="CX85" s="35">
        <f>SUMIF('Resource Demand - Activity'!$FT:$FT,Example!$G85,'Resource Demand - Activity'!CS:CS)</f>
        <v>0</v>
      </c>
      <c r="CY85" s="36">
        <f>SUMIF('Resource Demand - Activity'!$FT:$FT,Example!$G85,'Resource Demand - Activity'!CT:CT)</f>
        <v>0</v>
      </c>
      <c r="CZ85" s="35">
        <f>SUMIF('Resource Demand - Activity'!$FT:$FT,Example!$G85,'Resource Demand - Activity'!CU:CU)</f>
        <v>0</v>
      </c>
      <c r="DA85" s="35">
        <f>SUMIF('Resource Demand - Activity'!$FT:$FT,Example!$G85,'Resource Demand - Activity'!CV:CV)</f>
        <v>0</v>
      </c>
      <c r="DB85" s="35">
        <f>SUMIF('Resource Demand - Activity'!$FT:$FT,Example!$G85,'Resource Demand - Activity'!CW:CW)</f>
        <v>0</v>
      </c>
      <c r="DC85" s="35">
        <f>SUMIF('Resource Demand - Activity'!$FT:$FT,Example!$G85,'Resource Demand - Activity'!CX:CX)</f>
        <v>0</v>
      </c>
      <c r="DD85" s="35">
        <f>SUMIF('Resource Demand - Activity'!$FT:$FT,Example!$G85,'Resource Demand - Activity'!CY:CY)</f>
        <v>0</v>
      </c>
      <c r="DE85" s="36">
        <f>SUMIF('Resource Demand - Activity'!$FT:$FT,Example!$G85,'Resource Demand - Activity'!CZ:CZ)</f>
        <v>0</v>
      </c>
      <c r="DF85" s="36">
        <f>SUMIF('Resource Demand - Activity'!$FT:$FT,Example!$G85,'Resource Demand - Activity'!DA:DA)</f>
        <v>0</v>
      </c>
      <c r="DG85" s="35">
        <f>SUMIF('Resource Demand - Activity'!$FT:$FT,Example!$G85,'Resource Demand - Activity'!DB:DB)</f>
        <v>0</v>
      </c>
      <c r="DH85" s="35">
        <f>SUMIF('Resource Demand - Activity'!$FT:$FT,Example!$G85,'Resource Demand - Activity'!DC:DC)</f>
        <v>0</v>
      </c>
      <c r="DI85" s="35">
        <f>SUMIF('Resource Demand - Activity'!$FT:$FT,Example!$G85,'Resource Demand - Activity'!DD:DD)</f>
        <v>0</v>
      </c>
      <c r="DJ85" s="35">
        <f>SUMIF('Resource Demand - Activity'!$FT:$FT,Example!$G85,'Resource Demand - Activity'!DE:DE)</f>
        <v>0</v>
      </c>
      <c r="DK85" s="35">
        <f>SUMIF('Resource Demand - Activity'!$FT:$FT,Example!$G85,'Resource Demand - Activity'!DF:DF)</f>
        <v>0</v>
      </c>
      <c r="DL85" s="35">
        <f>SUMIF('Resource Demand - Activity'!$FT:$FT,Example!$G85,'Resource Demand - Activity'!DG:DG)</f>
        <v>0</v>
      </c>
      <c r="DM85" s="35">
        <f>SUMIF('Resource Demand - Activity'!$FT:$FT,Example!$G85,'Resource Demand - Activity'!DH:DH)</f>
        <v>0</v>
      </c>
      <c r="DN85" s="35">
        <f>SUMIF('Resource Demand - Activity'!$FT:$FT,Example!$G85,'Resource Demand - Activity'!DI:DI)</f>
        <v>0</v>
      </c>
      <c r="DO85" s="35">
        <f>SUMIF('Resource Demand - Activity'!$FT:$FT,Example!$G85,'Resource Demand - Activity'!DJ:DJ)</f>
        <v>0</v>
      </c>
      <c r="DP85" s="35">
        <f>SUMIF('Resource Demand - Activity'!$FT:$FT,Example!$G85,'Resource Demand - Activity'!DK:DK)</f>
        <v>0</v>
      </c>
      <c r="DQ85" s="35">
        <f>SUMIF('Resource Demand - Activity'!$FT:$FT,Example!$G85,'Resource Demand - Activity'!DL:DL)</f>
        <v>0</v>
      </c>
      <c r="DR85" s="35">
        <f>SUMIF('Resource Demand - Activity'!$FT:$FT,Example!$G85,'Resource Demand - Activity'!DM:DM)</f>
        <v>0</v>
      </c>
      <c r="DS85" s="35">
        <f>SUMIF('Resource Demand - Activity'!$FT:$FT,Example!$G85,'Resource Demand - Activity'!DN:DN)</f>
        <v>0</v>
      </c>
      <c r="DT85" s="35">
        <f>SUMIF('Resource Demand - Activity'!$FT:$FT,Example!$G85,'Resource Demand - Activity'!DO:DO)</f>
        <v>0</v>
      </c>
      <c r="DU85" s="35">
        <f>SUMIF('Resource Demand - Activity'!$FT:$FT,Example!$G85,'Resource Demand - Activity'!DP:DP)</f>
        <v>0</v>
      </c>
      <c r="DV85" s="35">
        <f>SUMIF('Resource Demand - Activity'!$FT:$FT,Example!$G85,'Resource Demand - Activity'!DQ:DQ)</f>
        <v>0</v>
      </c>
      <c r="DW85" s="35">
        <f>SUMIF('Resource Demand - Activity'!$FT:$FT,Example!$G85,'Resource Demand - Activity'!DR:DR)</f>
        <v>0</v>
      </c>
      <c r="DX85" s="35">
        <f>SUMIF('Resource Demand - Activity'!$FT:$FT,Example!$G85,'Resource Demand - Activity'!DS:DS)</f>
        <v>0</v>
      </c>
      <c r="DY85" s="35">
        <f>SUMIF('Resource Demand - Activity'!$FT:$FT,Example!$G85,'Resource Demand - Activity'!DT:DT)</f>
        <v>0</v>
      </c>
      <c r="DZ85" s="35">
        <f>SUMIF('Resource Demand - Activity'!$FT:$FT,Example!$G85,'Resource Demand - Activity'!DU:DU)</f>
        <v>0</v>
      </c>
      <c r="EA85" s="35">
        <f>SUMIF('Resource Demand - Activity'!$FT:$FT,Example!$G85,'Resource Demand - Activity'!DV:DV)</f>
        <v>0</v>
      </c>
      <c r="EB85" s="35">
        <f>SUMIF('Resource Demand - Activity'!$FT:$FT,Example!$G85,'Resource Demand - Activity'!DW:DW)</f>
        <v>0</v>
      </c>
      <c r="EC85" s="35">
        <f>SUMIF('Resource Demand - Activity'!$FT:$FT,Example!$G85,'Resource Demand - Activity'!DX:DX)</f>
        <v>0</v>
      </c>
      <c r="ED85" s="35">
        <f>SUMIF('Resource Demand - Activity'!$FT:$FT,Example!$G85,'Resource Demand - Activity'!DY:DY)</f>
        <v>0</v>
      </c>
      <c r="EE85" s="36">
        <f>SUMIF('Resource Demand - Activity'!$FT:$FT,Example!$G85,'Resource Demand - Activity'!DZ:DZ)</f>
        <v>0</v>
      </c>
      <c r="EF85" s="35">
        <f>SUMIF('Resource Demand - Activity'!$FT:$FT,Example!$G85,'Resource Demand - Activity'!EA:EA)</f>
        <v>0</v>
      </c>
      <c r="EG85" s="35">
        <f>SUMIF('Resource Demand - Activity'!$FT:$FT,Example!$G85,'Resource Demand - Activity'!EB:EB)</f>
        <v>0</v>
      </c>
      <c r="EH85" s="35">
        <f>SUMIF('Resource Demand - Activity'!$FT:$FT,Example!$G85,'Resource Demand - Activity'!EC:EC)</f>
        <v>0</v>
      </c>
      <c r="EI85" s="35">
        <f>SUMIF('Resource Demand - Activity'!$FT:$FT,Example!$G85,'Resource Demand - Activity'!ED:ED)</f>
        <v>0</v>
      </c>
      <c r="EJ85" s="35">
        <f>SUMIF('Resource Demand - Activity'!$FT:$FT,Example!$G85,'Resource Demand - Activity'!EE:EE)</f>
        <v>0</v>
      </c>
      <c r="EK85" s="35">
        <f>SUMIF('Resource Demand - Activity'!$FT:$FT,Example!$G85,'Resource Demand - Activity'!EF:EF)</f>
        <v>0</v>
      </c>
      <c r="EL85" s="35">
        <f>SUMIF('Resource Demand - Activity'!$FT:$FT,Example!$G85,'Resource Demand - Activity'!EG:EG)</f>
        <v>0</v>
      </c>
      <c r="EM85" s="35">
        <f>SUMIF('Resource Demand - Activity'!$FT:$FT,Example!$G85,'Resource Demand - Activity'!EH:EH)</f>
        <v>0</v>
      </c>
      <c r="EN85" s="35">
        <f>SUMIF('Resource Demand - Activity'!$FT:$FT,Example!$G85,'Resource Demand - Activity'!EI:EI)</f>
        <v>0</v>
      </c>
      <c r="EO85" s="35">
        <f>SUMIF('Resource Demand - Activity'!$FT:$FT,Example!$G85,'Resource Demand - Activity'!EJ:EJ)</f>
        <v>0</v>
      </c>
      <c r="EP85" s="35">
        <f>SUMIF('Resource Demand - Activity'!$FT:$FT,Example!$G85,'Resource Demand - Activity'!EK:EK)</f>
        <v>0</v>
      </c>
      <c r="EQ85" s="35">
        <f>SUMIF('Resource Demand - Activity'!$FT:$FT,Example!$G85,'Resource Demand - Activity'!EL:EL)</f>
        <v>0</v>
      </c>
      <c r="ER85" s="35">
        <f>SUMIF('Resource Demand - Activity'!$FT:$FT,Example!$G85,'Resource Demand - Activity'!EM:EM)</f>
        <v>0</v>
      </c>
      <c r="ES85" s="35">
        <f>SUMIF('Resource Demand - Activity'!$FT:$FT,Example!$G85,'Resource Demand - Activity'!EN:EN)</f>
        <v>0</v>
      </c>
      <c r="ET85" s="35">
        <f>SUMIF('Resource Demand - Activity'!$FT:$FT,Example!$G85,'Resource Demand - Activity'!EO:EO)</f>
        <v>0</v>
      </c>
      <c r="EU85" s="35">
        <f>SUMIF('Resource Demand - Activity'!$FT:$FT,Example!$G85,'Resource Demand - Activity'!EP:EP)</f>
        <v>0</v>
      </c>
      <c r="EV85" s="35">
        <f>SUMIF('Resource Demand - Activity'!$FT:$FT,Example!$G85,'Resource Demand - Activity'!EQ:EQ)</f>
        <v>0</v>
      </c>
      <c r="EW85" s="35">
        <f>SUMIF('Resource Demand - Activity'!$FT:$FT,Example!$G85,'Resource Demand - Activity'!ER:ER)</f>
        <v>0</v>
      </c>
      <c r="EX85" s="35">
        <f>SUMIF('Resource Demand - Activity'!$FT:$FT,Example!$G85,'Resource Demand - Activity'!ES:ES)</f>
        <v>0</v>
      </c>
      <c r="EY85" s="35">
        <f>SUMIF('Resource Demand - Activity'!$FT:$FT,Example!$G85,'Resource Demand - Activity'!ET:ET)</f>
        <v>0</v>
      </c>
      <c r="EZ85" s="35">
        <f>SUMIF('Resource Demand - Activity'!$FT:$FT,Example!$G85,'Resource Demand - Activity'!EU:EU)</f>
        <v>0</v>
      </c>
      <c r="FA85" s="35">
        <f>SUMIF('Resource Demand - Activity'!$FT:$FT,Example!$G85,'Resource Demand - Activity'!EV:EV)</f>
        <v>0</v>
      </c>
      <c r="FB85" s="35">
        <f>SUMIF('Resource Demand - Activity'!$FT:$FT,Example!$G85,'Resource Demand - Activity'!EW:EW)</f>
        <v>0</v>
      </c>
      <c r="FC85" s="35">
        <f>SUMIF('Resource Demand - Activity'!$FT:$FT,Example!$G85,'Resource Demand - Activity'!EX:EX)</f>
        <v>0</v>
      </c>
      <c r="FD85" s="36">
        <f>SUMIF('Resource Demand - Activity'!$FT:$FT,Example!$G85,'Resource Demand - Activity'!EY:EY)</f>
        <v>0</v>
      </c>
      <c r="FE85" s="35">
        <f>SUMIF('Resource Demand - Activity'!$FT:$FT,Example!$G85,'Resource Demand - Activity'!EZ:EZ)</f>
        <v>0</v>
      </c>
      <c r="FF85" s="35">
        <f>SUMIF('Resource Demand - Activity'!$FT:$FT,Example!$G85,'Resource Demand - Activity'!FA:FA)</f>
        <v>0</v>
      </c>
      <c r="FG85" s="35">
        <f>SUMIF('Resource Demand - Activity'!$FT:$FT,Example!$G85,'Resource Demand - Activity'!FB:FB)</f>
        <v>0</v>
      </c>
      <c r="FH85" s="35">
        <f>SUMIF('Resource Demand - Activity'!$FT:$FT,Example!$G85,'Resource Demand - Activity'!FC:FC)</f>
        <v>0</v>
      </c>
      <c r="FI85" s="35">
        <f>SUMIF('Resource Demand - Activity'!$FT:$FT,Example!$G85,'Resource Demand - Activity'!FD:FD)</f>
        <v>0</v>
      </c>
      <c r="FJ85" s="35">
        <f>SUMIF('Resource Demand - Activity'!$FT:$FT,Example!$G85,'Resource Demand - Activity'!FE:FE)</f>
        <v>0</v>
      </c>
      <c r="FK85" s="35">
        <f>SUMIF('Resource Demand - Activity'!$FT:$FT,Example!$G85,'Resource Demand - Activity'!FF:FF)</f>
        <v>0</v>
      </c>
      <c r="FL85" s="35">
        <f>SUMIF('Resource Demand - Activity'!$FT:$FT,Example!$G85,'Resource Demand - Activity'!FG:FG)</f>
        <v>0</v>
      </c>
      <c r="FM85" s="35">
        <f>SUMIF('Resource Demand - Activity'!$FT:$FT,Example!$G85,'Resource Demand - Activity'!FH:FH)</f>
        <v>0</v>
      </c>
      <c r="FN85" s="35">
        <f>SUMIF('Resource Demand - Activity'!$FT:$FT,Example!$G85,'Resource Demand - Activity'!FI:FI)</f>
        <v>0</v>
      </c>
      <c r="FO85" s="35">
        <f>SUMIF('Resource Demand - Activity'!$FT:$FT,Example!$G85,'Resource Demand - Activity'!FJ:FJ)</f>
        <v>0</v>
      </c>
      <c r="FP85" s="35">
        <f>SUMIF('Resource Demand - Activity'!$FT:$FT,Example!$G85,'Resource Demand - Activity'!FK:FK)</f>
        <v>0</v>
      </c>
      <c r="FQ85" s="35">
        <f>SUMIF('Resource Demand - Activity'!$FT:$FT,Example!$G85,'Resource Demand - Activity'!FL:FL)</f>
        <v>0</v>
      </c>
      <c r="FR85" s="35">
        <f>SUMIF('Resource Demand - Activity'!$FT:$FT,Example!$G85,'Resource Demand - Activity'!FM:FM)</f>
        <v>0</v>
      </c>
      <c r="FS85" s="35">
        <f>SUMIF('Resource Demand - Activity'!$FT:$FT,Example!$G85,'Resource Demand - Activity'!FN:FN)</f>
        <v>0</v>
      </c>
      <c r="FT85" s="35">
        <f>SUMIF('Resource Demand - Activity'!$FT:$FT,Example!$G85,'Resource Demand - Activity'!FO:FO)</f>
        <v>0</v>
      </c>
      <c r="FU85" s="35">
        <f>SUMIF('Resource Demand - Activity'!$FT:$FT,Example!$G85,'Resource Demand - Activity'!FP:FP)</f>
        <v>0</v>
      </c>
      <c r="FV85" s="52">
        <f>SUMIF('Resource Demand - Activity'!$FT:$FT,Example!$G85,'Resource Demand - Activity'!FQ:FQ)</f>
        <v>0</v>
      </c>
    </row>
    <row r="86" spans="7:178" s="63" customFormat="1" ht="12" customHeight="1">
      <c r="G86" s="64" t="str">
        <f t="shared" si="15"/>
        <v>10. BAU Transition 10.1 Opening BalancesTM1 Analyst</v>
      </c>
      <c r="H86" s="82" t="s">
        <v>140</v>
      </c>
      <c r="I86" s="59" t="str">
        <f>INDEX('Resource Demand - Activity'!C:C,MATCH(Example!G86,'Resource Demand - Activity'!FT:FT,0))</f>
        <v>5 days</v>
      </c>
      <c r="J86" s="51">
        <f>SUMIF('Resource Demand - Activity'!$FT:$FT,Example!$G86,'Resource Demand - Activity'!E:E)</f>
        <v>0</v>
      </c>
      <c r="K86" s="35">
        <f>SUMIF('Resource Demand - Activity'!$FT:$FT,Example!$G86,'Resource Demand - Activity'!F:F)</f>
        <v>0</v>
      </c>
      <c r="L86" s="35">
        <f>SUMIF('Resource Demand - Activity'!$FT:$FT,Example!$G86,'Resource Demand - Activity'!G:G)</f>
        <v>0</v>
      </c>
      <c r="M86" s="35">
        <f>SUMIF('Resource Demand - Activity'!$FT:$FT,Example!$G86,'Resource Demand - Activity'!H:H)</f>
        <v>0</v>
      </c>
      <c r="N86" s="35">
        <f>SUMIF('Resource Demand - Activity'!$FT:$FT,Example!$G86,'Resource Demand - Activity'!I:I)</f>
        <v>0</v>
      </c>
      <c r="O86" s="35">
        <f>SUMIF('Resource Demand - Activity'!$FT:$FT,Example!$G86,'Resource Demand - Activity'!J:J)</f>
        <v>0</v>
      </c>
      <c r="P86" s="35">
        <f>SUMIF('Resource Demand - Activity'!$FT:$FT,Example!$G86,'Resource Demand - Activity'!K:K)</f>
        <v>0</v>
      </c>
      <c r="Q86" s="35">
        <f>SUMIF('Resource Demand - Activity'!$FT:$FT,Example!$G86,'Resource Demand - Activity'!L:L)</f>
        <v>0</v>
      </c>
      <c r="R86" s="35">
        <f>SUMIF('Resource Demand - Activity'!$FT:$FT,Example!$G86,'Resource Demand - Activity'!M:M)</f>
        <v>0</v>
      </c>
      <c r="S86" s="35">
        <f>SUMIF('Resource Demand - Activity'!$FT:$FT,Example!$G86,'Resource Demand - Activity'!N:N)</f>
        <v>0</v>
      </c>
      <c r="T86" s="35">
        <f>SUMIF('Resource Demand - Activity'!$FT:$FT,Example!$G86,'Resource Demand - Activity'!O:O)</f>
        <v>0</v>
      </c>
      <c r="U86" s="35">
        <f>SUMIF('Resource Demand - Activity'!$FT:$FT,Example!$G86,'Resource Demand - Activity'!P:P)</f>
        <v>0</v>
      </c>
      <c r="V86" s="35">
        <f>SUMIF('Resource Demand - Activity'!$FT:$FT,Example!$G86,'Resource Demand - Activity'!Q:Q)</f>
        <v>0</v>
      </c>
      <c r="W86" s="35">
        <f>SUMIF('Resource Demand - Activity'!$FT:$FT,Example!$G86,'Resource Demand - Activity'!R:R)</f>
        <v>0</v>
      </c>
      <c r="X86" s="35">
        <f>SUMIF('Resource Demand - Activity'!$FT:$FT,Example!$G86,'Resource Demand - Activity'!S:S)</f>
        <v>0</v>
      </c>
      <c r="Y86" s="35">
        <f>SUMIF('Resource Demand - Activity'!$FT:$FT,Example!$G86,'Resource Demand - Activity'!T:T)</f>
        <v>0</v>
      </c>
      <c r="Z86" s="35">
        <f>SUMIF('Resource Demand - Activity'!$FT:$FT,Example!$G86,'Resource Demand - Activity'!U:U)</f>
        <v>0</v>
      </c>
      <c r="AA86" s="35">
        <f>SUMIF('Resource Demand - Activity'!$FT:$FT,Example!$G86,'Resource Demand - Activity'!V:V)</f>
        <v>0</v>
      </c>
      <c r="AB86" s="35">
        <f>SUMIF('Resource Demand - Activity'!$FT:$FT,Example!$G86,'Resource Demand - Activity'!W:W)</f>
        <v>0</v>
      </c>
      <c r="AC86" s="35">
        <f>SUMIF('Resource Demand - Activity'!$FT:$FT,Example!$G86,'Resource Demand - Activity'!X:X)</f>
        <v>0</v>
      </c>
      <c r="AD86" s="35">
        <f>SUMIF('Resource Demand - Activity'!$FT:$FT,Example!$G86,'Resource Demand - Activity'!Y:Y)</f>
        <v>0</v>
      </c>
      <c r="AE86" s="35">
        <f>SUMIF('Resource Demand - Activity'!$FT:$FT,Example!$G86,'Resource Demand - Activity'!Z:Z)</f>
        <v>0</v>
      </c>
      <c r="AF86" s="35">
        <f>SUMIF('Resource Demand - Activity'!$FT:$FT,Example!$G86,'Resource Demand - Activity'!AA:AA)</f>
        <v>0</v>
      </c>
      <c r="AG86" s="35">
        <f>SUMIF('Resource Demand - Activity'!$FT:$FT,Example!$G86,'Resource Demand - Activity'!AB:AB)</f>
        <v>0</v>
      </c>
      <c r="AH86" s="35">
        <f>SUMIF('Resource Demand - Activity'!$FT:$FT,Example!$G86,'Resource Demand - Activity'!AC:AC)</f>
        <v>0</v>
      </c>
      <c r="AI86" s="35">
        <f>SUMIF('Resource Demand - Activity'!$FT:$FT,Example!$G86,'Resource Demand - Activity'!AD:AD)</f>
        <v>0</v>
      </c>
      <c r="AJ86" s="35">
        <f>SUMIF('Resource Demand - Activity'!$FT:$FT,Example!$G86,'Resource Demand - Activity'!AE:AE)</f>
        <v>0</v>
      </c>
      <c r="AK86" s="35">
        <f>SUMIF('Resource Demand - Activity'!$FT:$FT,Example!$G86,'Resource Demand - Activity'!AF:AF)</f>
        <v>0</v>
      </c>
      <c r="AL86" s="35">
        <f>SUMIF('Resource Demand - Activity'!$FT:$FT,Example!$G86,'Resource Demand - Activity'!AG:AG)</f>
        <v>0</v>
      </c>
      <c r="AM86" s="35">
        <f>SUMIF('Resource Demand - Activity'!$FT:$FT,Example!$G86,'Resource Demand - Activity'!AH:AH)</f>
        <v>0</v>
      </c>
      <c r="AN86" s="35">
        <f>SUMIF('Resource Demand - Activity'!$FT:$FT,Example!$G86,'Resource Demand - Activity'!AI:AI)</f>
        <v>0</v>
      </c>
      <c r="AO86" s="35">
        <f>SUMIF('Resource Demand - Activity'!$FT:$FT,Example!$G86,'Resource Demand - Activity'!AJ:AJ)</f>
        <v>0</v>
      </c>
      <c r="AP86" s="35">
        <f>SUMIF('Resource Demand - Activity'!$FT:$FT,Example!$G86,'Resource Demand - Activity'!AK:AK)</f>
        <v>0</v>
      </c>
      <c r="AQ86" s="36">
        <f>SUMIF('Resource Demand - Activity'!$FT:$FT,Example!$G86,'Resource Demand - Activity'!AL:AL)</f>
        <v>0</v>
      </c>
      <c r="AR86" s="36">
        <f>SUMIF('Resource Demand - Activity'!$FT:$FT,Example!$G86,'Resource Demand - Activity'!AM:AM)</f>
        <v>0</v>
      </c>
      <c r="AS86" s="36">
        <f>SUMIF('Resource Demand - Activity'!$FT:$FT,Example!$G86,'Resource Demand - Activity'!AN:AN)</f>
        <v>0</v>
      </c>
      <c r="AT86" s="36">
        <f>SUMIF('Resource Demand - Activity'!$FT:$FT,Example!$G86,'Resource Demand - Activity'!AO:AO)</f>
        <v>0</v>
      </c>
      <c r="AU86" s="36">
        <f>SUMIF('Resource Demand - Activity'!$FT:$FT,Example!$G86,'Resource Demand - Activity'!AP:AP)</f>
        <v>0</v>
      </c>
      <c r="AV86" s="36">
        <f>SUMIF('Resource Demand - Activity'!$FT:$FT,Example!$G86,'Resource Demand - Activity'!AQ:AQ)</f>
        <v>0</v>
      </c>
      <c r="AW86" s="36">
        <f>SUMIF('Resource Demand - Activity'!$FT:$FT,Example!$G86,'Resource Demand - Activity'!AR:AR)</f>
        <v>0</v>
      </c>
      <c r="AX86" s="35">
        <f>SUMIF('Resource Demand - Activity'!$FT:$FT,Example!$G86,'Resource Demand - Activity'!AS:AS)</f>
        <v>0</v>
      </c>
      <c r="AY86" s="35">
        <f>SUMIF('Resource Demand - Activity'!$FT:$FT,Example!$G86,'Resource Demand - Activity'!AT:AT)</f>
        <v>0</v>
      </c>
      <c r="AZ86" s="35">
        <f>SUMIF('Resource Demand - Activity'!$FT:$FT,Example!$G86,'Resource Demand - Activity'!AU:AU)</f>
        <v>0</v>
      </c>
      <c r="BA86" s="35">
        <f>SUMIF('Resource Demand - Activity'!$FT:$FT,Example!$G86,'Resource Demand - Activity'!AV:AV)</f>
        <v>0</v>
      </c>
      <c r="BB86" s="35">
        <f>SUMIF('Resource Demand - Activity'!$FT:$FT,Example!$G86,'Resource Demand - Activity'!AW:AW)</f>
        <v>0</v>
      </c>
      <c r="BC86" s="35">
        <f>SUMIF('Resource Demand - Activity'!$FT:$FT,Example!$G86,'Resource Demand - Activity'!AX:AX)</f>
        <v>0</v>
      </c>
      <c r="BD86" s="35">
        <f>SUMIF('Resource Demand - Activity'!$FT:$FT,Example!$G86,'Resource Demand - Activity'!AY:AY)</f>
        <v>0</v>
      </c>
      <c r="BE86" s="35">
        <f>SUMIF('Resource Demand - Activity'!$FT:$FT,Example!$G86,'Resource Demand - Activity'!AZ:AZ)</f>
        <v>0</v>
      </c>
      <c r="BF86" s="35">
        <f>SUMIF('Resource Demand - Activity'!$FT:$FT,Example!$G86,'Resource Demand - Activity'!BA:BA)</f>
        <v>0</v>
      </c>
      <c r="BG86" s="35">
        <f>SUMIF('Resource Demand - Activity'!$FT:$FT,Example!$G86,'Resource Demand - Activity'!BB:BB)</f>
        <v>0</v>
      </c>
      <c r="BH86" s="35">
        <f>SUMIF('Resource Demand - Activity'!$FT:$FT,Example!$G86,'Resource Demand - Activity'!BC:BC)</f>
        <v>0</v>
      </c>
      <c r="BI86" s="35">
        <f>SUMIF('Resource Demand - Activity'!$FT:$FT,Example!$G86,'Resource Demand - Activity'!BD:BD)</f>
        <v>0</v>
      </c>
      <c r="BJ86" s="35">
        <f>SUMIF('Resource Demand - Activity'!$FT:$FT,Example!$G86,'Resource Demand - Activity'!BE:BE)</f>
        <v>0</v>
      </c>
      <c r="BK86" s="35">
        <f>SUMIF('Resource Demand - Activity'!$FT:$FT,Example!$G86,'Resource Demand - Activity'!BF:BF)</f>
        <v>0</v>
      </c>
      <c r="BL86" s="35">
        <f>SUMIF('Resource Demand - Activity'!$FT:$FT,Example!$G86,'Resource Demand - Activity'!BG:BG)</f>
        <v>0</v>
      </c>
      <c r="BM86" s="35">
        <f>SUMIF('Resource Demand - Activity'!$FT:$FT,Example!$G86,'Resource Demand - Activity'!BH:BH)</f>
        <v>0</v>
      </c>
      <c r="BN86" s="35">
        <f>SUMIF('Resource Demand - Activity'!$FT:$FT,Example!$G86,'Resource Demand - Activity'!BI:BI)</f>
        <v>0</v>
      </c>
      <c r="BO86" s="35">
        <f>SUMIF('Resource Demand - Activity'!$FT:$FT,Example!$G86,'Resource Demand - Activity'!BJ:BJ)</f>
        <v>0</v>
      </c>
      <c r="BP86" s="35">
        <f>SUMIF('Resource Demand - Activity'!$FT:$FT,Example!$G86,'Resource Demand - Activity'!BK:BK)</f>
        <v>0</v>
      </c>
      <c r="BQ86" s="35">
        <f>SUMIF('Resource Demand - Activity'!$FT:$FT,Example!$G86,'Resource Demand - Activity'!BL:BL)</f>
        <v>0</v>
      </c>
      <c r="BR86" s="35">
        <f>SUMIF('Resource Demand - Activity'!$FT:$FT,Example!$G86,'Resource Demand - Activity'!BM:BM)</f>
        <v>0</v>
      </c>
      <c r="BS86" s="35">
        <f>SUMIF('Resource Demand - Activity'!$FT:$FT,Example!$G86,'Resource Demand - Activity'!BN:BN)</f>
        <v>0</v>
      </c>
      <c r="BT86" s="35">
        <f>SUMIF('Resource Demand - Activity'!$FT:$FT,Example!$G86,'Resource Demand - Activity'!BO:BO)</f>
        <v>0</v>
      </c>
      <c r="BU86" s="35">
        <f>SUMIF('Resource Demand - Activity'!$FT:$FT,Example!$G86,'Resource Demand - Activity'!BP:BP)</f>
        <v>0</v>
      </c>
      <c r="BV86" s="35">
        <f>SUMIF('Resource Demand - Activity'!$FT:$FT,Example!$G86,'Resource Demand - Activity'!BQ:BQ)</f>
        <v>0</v>
      </c>
      <c r="BW86" s="35">
        <f>SUMIF('Resource Demand - Activity'!$FT:$FT,Example!$G86,'Resource Demand - Activity'!BR:BR)</f>
        <v>0</v>
      </c>
      <c r="BX86" s="35">
        <f>SUMIF('Resource Demand - Activity'!$FT:$FT,Example!$G86,'Resource Demand - Activity'!BS:BS)</f>
        <v>0</v>
      </c>
      <c r="BY86" s="35">
        <f>SUMIF('Resource Demand - Activity'!$FT:$FT,Example!$G86,'Resource Demand - Activity'!BT:BT)</f>
        <v>0</v>
      </c>
      <c r="BZ86" s="35">
        <f>SUMIF('Resource Demand - Activity'!$FT:$FT,Example!$G86,'Resource Demand - Activity'!BU:BU)</f>
        <v>0</v>
      </c>
      <c r="CA86" s="35">
        <f>SUMIF('Resource Demand - Activity'!$FT:$FT,Example!$G86,'Resource Demand - Activity'!BV:BV)</f>
        <v>0</v>
      </c>
      <c r="CB86" s="35">
        <f>SUMIF('Resource Demand - Activity'!$FT:$FT,Example!$G86,'Resource Demand - Activity'!BW:BW)</f>
        <v>0</v>
      </c>
      <c r="CC86" s="35">
        <f>SUMIF('Resource Demand - Activity'!$FT:$FT,Example!$G86,'Resource Demand - Activity'!BX:BX)</f>
        <v>0</v>
      </c>
      <c r="CD86" s="35">
        <f>SUMIF('Resource Demand - Activity'!$FT:$FT,Example!$G86,'Resource Demand - Activity'!BY:BY)</f>
        <v>0</v>
      </c>
      <c r="CE86" s="35">
        <f>SUMIF('Resource Demand - Activity'!$FT:$FT,Example!$G86,'Resource Demand - Activity'!BZ:BZ)</f>
        <v>0</v>
      </c>
      <c r="CF86" s="35">
        <f>SUMIF('Resource Demand - Activity'!$FT:$FT,Example!$G86,'Resource Demand - Activity'!CA:CA)</f>
        <v>0</v>
      </c>
      <c r="CG86" s="35">
        <f>SUMIF('Resource Demand - Activity'!$FT:$FT,Example!$G86,'Resource Demand - Activity'!CB:CB)</f>
        <v>0</v>
      </c>
      <c r="CH86" s="35">
        <f>SUMIF('Resource Demand - Activity'!$FT:$FT,Example!$G86,'Resource Demand - Activity'!CC:CC)</f>
        <v>0</v>
      </c>
      <c r="CI86" s="35">
        <f>SUMIF('Resource Demand - Activity'!$FT:$FT,Example!$G86,'Resource Demand - Activity'!CD:CD)</f>
        <v>0</v>
      </c>
      <c r="CJ86" s="35">
        <f>SUMIF('Resource Demand - Activity'!$FT:$FT,Example!$G86,'Resource Demand - Activity'!CE:CE)</f>
        <v>0</v>
      </c>
      <c r="CK86" s="35">
        <f>SUMIF('Resource Demand - Activity'!$FT:$FT,Example!$G86,'Resource Demand - Activity'!CF:CF)</f>
        <v>0</v>
      </c>
      <c r="CL86" s="35">
        <f>SUMIF('Resource Demand - Activity'!$FT:$FT,Example!$G86,'Resource Demand - Activity'!CG:CG)</f>
        <v>0</v>
      </c>
      <c r="CM86" s="35">
        <f>SUMIF('Resource Demand - Activity'!$FT:$FT,Example!$G86,'Resource Demand - Activity'!CH:CH)</f>
        <v>0</v>
      </c>
      <c r="CN86" s="35">
        <f>SUMIF('Resource Demand - Activity'!$FT:$FT,Example!$G86,'Resource Demand - Activity'!CI:CI)</f>
        <v>0</v>
      </c>
      <c r="CO86" s="35">
        <f>SUMIF('Resource Demand - Activity'!$FT:$FT,Example!$G86,'Resource Demand - Activity'!CJ:CJ)</f>
        <v>0</v>
      </c>
      <c r="CP86" s="35">
        <f>SUMIF('Resource Demand - Activity'!$FT:$FT,Example!$G86,'Resource Demand - Activity'!CK:CK)</f>
        <v>0</v>
      </c>
      <c r="CQ86" s="35">
        <f>SUMIF('Resource Demand - Activity'!$FT:$FT,Example!$G86,'Resource Demand - Activity'!CL:CL)</f>
        <v>0</v>
      </c>
      <c r="CR86" s="35">
        <f>SUMIF('Resource Demand - Activity'!$FT:$FT,Example!$G86,'Resource Demand - Activity'!CM:CM)</f>
        <v>0</v>
      </c>
      <c r="CS86" s="35">
        <f>SUMIF('Resource Demand - Activity'!$FT:$FT,Example!$G86,'Resource Demand - Activity'!CN:CN)</f>
        <v>0</v>
      </c>
      <c r="CT86" s="35">
        <f>SUMIF('Resource Demand - Activity'!$FT:$FT,Example!$G86,'Resource Demand - Activity'!CO:CO)</f>
        <v>0</v>
      </c>
      <c r="CU86" s="35">
        <f>SUMIF('Resource Demand - Activity'!$FT:$FT,Example!$G86,'Resource Demand - Activity'!CP:CP)</f>
        <v>0</v>
      </c>
      <c r="CV86" s="35">
        <f>SUMIF('Resource Demand - Activity'!$FT:$FT,Example!$G86,'Resource Demand - Activity'!CQ:CQ)</f>
        <v>0</v>
      </c>
      <c r="CW86" s="35">
        <f>SUMIF('Resource Demand - Activity'!$FT:$FT,Example!$G86,'Resource Demand - Activity'!CR:CR)</f>
        <v>0</v>
      </c>
      <c r="CX86" s="35">
        <f>SUMIF('Resource Demand - Activity'!$FT:$FT,Example!$G86,'Resource Demand - Activity'!CS:CS)</f>
        <v>0</v>
      </c>
      <c r="CY86" s="36">
        <f>SUMIF('Resource Demand - Activity'!$FT:$FT,Example!$G86,'Resource Demand - Activity'!CT:CT)</f>
        <v>0</v>
      </c>
      <c r="CZ86" s="35">
        <f>SUMIF('Resource Demand - Activity'!$FT:$FT,Example!$G86,'Resource Demand - Activity'!CU:CU)</f>
        <v>0</v>
      </c>
      <c r="DA86" s="35">
        <f>SUMIF('Resource Demand - Activity'!$FT:$FT,Example!$G86,'Resource Demand - Activity'!CV:CV)</f>
        <v>0</v>
      </c>
      <c r="DB86" s="35">
        <f>SUMIF('Resource Demand - Activity'!$FT:$FT,Example!$G86,'Resource Demand - Activity'!CW:CW)</f>
        <v>0</v>
      </c>
      <c r="DC86" s="35">
        <f>SUMIF('Resource Demand - Activity'!$FT:$FT,Example!$G86,'Resource Demand - Activity'!CX:CX)</f>
        <v>0</v>
      </c>
      <c r="DD86" s="35">
        <f>SUMIF('Resource Demand - Activity'!$FT:$FT,Example!$G86,'Resource Demand - Activity'!CY:CY)</f>
        <v>0</v>
      </c>
      <c r="DE86" s="36">
        <f>SUMIF('Resource Demand - Activity'!$FT:$FT,Example!$G86,'Resource Demand - Activity'!CZ:CZ)</f>
        <v>0</v>
      </c>
      <c r="DF86" s="36">
        <f>SUMIF('Resource Demand - Activity'!$FT:$FT,Example!$G86,'Resource Demand - Activity'!DA:DA)</f>
        <v>0</v>
      </c>
      <c r="DG86" s="35">
        <f>SUMIF('Resource Demand - Activity'!$FT:$FT,Example!$G86,'Resource Demand - Activity'!DB:DB)</f>
        <v>0</v>
      </c>
      <c r="DH86" s="35">
        <f>SUMIF('Resource Demand - Activity'!$FT:$FT,Example!$G86,'Resource Demand - Activity'!DC:DC)</f>
        <v>0</v>
      </c>
      <c r="DI86" s="35">
        <f>SUMIF('Resource Demand - Activity'!$FT:$FT,Example!$G86,'Resource Demand - Activity'!DD:DD)</f>
        <v>0</v>
      </c>
      <c r="DJ86" s="35">
        <f>SUMIF('Resource Demand - Activity'!$FT:$FT,Example!$G86,'Resource Demand - Activity'!DE:DE)</f>
        <v>0</v>
      </c>
      <c r="DK86" s="35">
        <f>SUMIF('Resource Demand - Activity'!$FT:$FT,Example!$G86,'Resource Demand - Activity'!DF:DF)</f>
        <v>0</v>
      </c>
      <c r="DL86" s="35">
        <f>SUMIF('Resource Demand - Activity'!$FT:$FT,Example!$G86,'Resource Demand - Activity'!DG:DG)</f>
        <v>0</v>
      </c>
      <c r="DM86" s="35">
        <f>SUMIF('Resource Demand - Activity'!$FT:$FT,Example!$G86,'Resource Demand - Activity'!DH:DH)</f>
        <v>0</v>
      </c>
      <c r="DN86" s="35">
        <f>SUMIF('Resource Demand - Activity'!$FT:$FT,Example!$G86,'Resource Demand - Activity'!DI:DI)</f>
        <v>0</v>
      </c>
      <c r="DO86" s="35">
        <f>SUMIF('Resource Demand - Activity'!$FT:$FT,Example!$G86,'Resource Demand - Activity'!DJ:DJ)</f>
        <v>0</v>
      </c>
      <c r="DP86" s="35">
        <f>SUMIF('Resource Demand - Activity'!$FT:$FT,Example!$G86,'Resource Demand - Activity'!DK:DK)</f>
        <v>0</v>
      </c>
      <c r="DQ86" s="35">
        <f>SUMIF('Resource Demand - Activity'!$FT:$FT,Example!$G86,'Resource Demand - Activity'!DL:DL)</f>
        <v>0</v>
      </c>
      <c r="DR86" s="35">
        <f>SUMIF('Resource Demand - Activity'!$FT:$FT,Example!$G86,'Resource Demand - Activity'!DM:DM)</f>
        <v>0</v>
      </c>
      <c r="DS86" s="35">
        <f>SUMIF('Resource Demand - Activity'!$FT:$FT,Example!$G86,'Resource Demand - Activity'!DN:DN)</f>
        <v>0</v>
      </c>
      <c r="DT86" s="35">
        <f>SUMIF('Resource Demand - Activity'!$FT:$FT,Example!$G86,'Resource Demand - Activity'!DO:DO)</f>
        <v>0</v>
      </c>
      <c r="DU86" s="35">
        <f>SUMIF('Resource Demand - Activity'!$FT:$FT,Example!$G86,'Resource Demand - Activity'!DP:DP)</f>
        <v>0</v>
      </c>
      <c r="DV86" s="35">
        <f>SUMIF('Resource Demand - Activity'!$FT:$FT,Example!$G86,'Resource Demand - Activity'!DQ:DQ)</f>
        <v>0</v>
      </c>
      <c r="DW86" s="35">
        <f>SUMIF('Resource Demand - Activity'!$FT:$FT,Example!$G86,'Resource Demand - Activity'!DR:DR)</f>
        <v>0</v>
      </c>
      <c r="DX86" s="35">
        <f>SUMIF('Resource Demand - Activity'!$FT:$FT,Example!$G86,'Resource Demand - Activity'!DS:DS)</f>
        <v>0</v>
      </c>
      <c r="DY86" s="35">
        <f>SUMIF('Resource Demand - Activity'!$FT:$FT,Example!$G86,'Resource Demand - Activity'!DT:DT)</f>
        <v>0</v>
      </c>
      <c r="DZ86" s="35">
        <f>SUMIF('Resource Demand - Activity'!$FT:$FT,Example!$G86,'Resource Demand - Activity'!DU:DU)</f>
        <v>0</v>
      </c>
      <c r="EA86" s="35">
        <f>SUMIF('Resource Demand - Activity'!$FT:$FT,Example!$G86,'Resource Demand - Activity'!DV:DV)</f>
        <v>0</v>
      </c>
      <c r="EB86" s="35">
        <f>SUMIF('Resource Demand - Activity'!$FT:$FT,Example!$G86,'Resource Demand - Activity'!DW:DW)</f>
        <v>0</v>
      </c>
      <c r="EC86" s="35">
        <f>SUMIF('Resource Demand - Activity'!$FT:$FT,Example!$G86,'Resource Demand - Activity'!DX:DX)</f>
        <v>0</v>
      </c>
      <c r="ED86" s="35">
        <f>SUMIF('Resource Demand - Activity'!$FT:$FT,Example!$G86,'Resource Demand - Activity'!DY:DY)</f>
        <v>0</v>
      </c>
      <c r="EE86" s="36">
        <f>SUMIF('Resource Demand - Activity'!$FT:$FT,Example!$G86,'Resource Demand - Activity'!DZ:DZ)</f>
        <v>0</v>
      </c>
      <c r="EF86" s="35">
        <f>SUMIF('Resource Demand - Activity'!$FT:$FT,Example!$G86,'Resource Demand - Activity'!EA:EA)</f>
        <v>1</v>
      </c>
      <c r="EG86" s="35">
        <f>SUMIF('Resource Demand - Activity'!$FT:$FT,Example!$G86,'Resource Demand - Activity'!EB:EB)</f>
        <v>1</v>
      </c>
      <c r="EH86" s="35">
        <f>SUMIF('Resource Demand - Activity'!$FT:$FT,Example!$G86,'Resource Demand - Activity'!EC:EC)</f>
        <v>1</v>
      </c>
      <c r="EI86" s="35">
        <f>SUMIF('Resource Demand - Activity'!$FT:$FT,Example!$G86,'Resource Demand - Activity'!ED:ED)</f>
        <v>1</v>
      </c>
      <c r="EJ86" s="35">
        <f>SUMIF('Resource Demand - Activity'!$FT:$FT,Example!$G86,'Resource Demand - Activity'!EE:EE)</f>
        <v>1</v>
      </c>
      <c r="EK86" s="35">
        <f>SUMIF('Resource Demand - Activity'!$FT:$FT,Example!$G86,'Resource Demand - Activity'!EF:EF)</f>
        <v>0</v>
      </c>
      <c r="EL86" s="35">
        <f>SUMIF('Resource Demand - Activity'!$FT:$FT,Example!$G86,'Resource Demand - Activity'!EG:EG)</f>
        <v>0</v>
      </c>
      <c r="EM86" s="35">
        <f>SUMIF('Resource Demand - Activity'!$FT:$FT,Example!$G86,'Resource Demand - Activity'!EH:EH)</f>
        <v>0</v>
      </c>
      <c r="EN86" s="35">
        <f>SUMIF('Resource Demand - Activity'!$FT:$FT,Example!$G86,'Resource Demand - Activity'!EI:EI)</f>
        <v>0</v>
      </c>
      <c r="EO86" s="35">
        <f>SUMIF('Resource Demand - Activity'!$FT:$FT,Example!$G86,'Resource Demand - Activity'!EJ:EJ)</f>
        <v>0</v>
      </c>
      <c r="EP86" s="35">
        <f>SUMIF('Resource Demand - Activity'!$FT:$FT,Example!$G86,'Resource Demand - Activity'!EK:EK)</f>
        <v>0</v>
      </c>
      <c r="EQ86" s="35">
        <f>SUMIF('Resource Demand - Activity'!$FT:$FT,Example!$G86,'Resource Demand - Activity'!EL:EL)</f>
        <v>0</v>
      </c>
      <c r="ER86" s="35">
        <f>SUMIF('Resource Demand - Activity'!$FT:$FT,Example!$G86,'Resource Demand - Activity'!EM:EM)</f>
        <v>0</v>
      </c>
      <c r="ES86" s="35">
        <f>SUMIF('Resource Demand - Activity'!$FT:$FT,Example!$G86,'Resource Demand - Activity'!EN:EN)</f>
        <v>0</v>
      </c>
      <c r="ET86" s="35">
        <f>SUMIF('Resource Demand - Activity'!$FT:$FT,Example!$G86,'Resource Demand - Activity'!EO:EO)</f>
        <v>0</v>
      </c>
      <c r="EU86" s="35">
        <f>SUMIF('Resource Demand - Activity'!$FT:$FT,Example!$G86,'Resource Demand - Activity'!EP:EP)</f>
        <v>0</v>
      </c>
      <c r="EV86" s="35">
        <f>SUMIF('Resource Demand - Activity'!$FT:$FT,Example!$G86,'Resource Demand - Activity'!EQ:EQ)</f>
        <v>0</v>
      </c>
      <c r="EW86" s="35">
        <f>SUMIF('Resource Demand - Activity'!$FT:$FT,Example!$G86,'Resource Demand - Activity'!ER:ER)</f>
        <v>0</v>
      </c>
      <c r="EX86" s="35">
        <f>SUMIF('Resource Demand - Activity'!$FT:$FT,Example!$G86,'Resource Demand - Activity'!ES:ES)</f>
        <v>0</v>
      </c>
      <c r="EY86" s="35">
        <f>SUMIF('Resource Demand - Activity'!$FT:$FT,Example!$G86,'Resource Demand - Activity'!ET:ET)</f>
        <v>0</v>
      </c>
      <c r="EZ86" s="35">
        <f>SUMIF('Resource Demand - Activity'!$FT:$FT,Example!$G86,'Resource Demand - Activity'!EU:EU)</f>
        <v>0</v>
      </c>
      <c r="FA86" s="35">
        <f>SUMIF('Resource Demand - Activity'!$FT:$FT,Example!$G86,'Resource Demand - Activity'!EV:EV)</f>
        <v>0</v>
      </c>
      <c r="FB86" s="35">
        <f>SUMIF('Resource Demand - Activity'!$FT:$FT,Example!$G86,'Resource Demand - Activity'!EW:EW)</f>
        <v>0</v>
      </c>
      <c r="FC86" s="35">
        <f>SUMIF('Resource Demand - Activity'!$FT:$FT,Example!$G86,'Resource Demand - Activity'!EX:EX)</f>
        <v>0</v>
      </c>
      <c r="FD86" s="36">
        <f>SUMIF('Resource Demand - Activity'!$FT:$FT,Example!$G86,'Resource Demand - Activity'!EY:EY)</f>
        <v>0</v>
      </c>
      <c r="FE86" s="35">
        <f>SUMIF('Resource Demand - Activity'!$FT:$FT,Example!$G86,'Resource Demand - Activity'!EZ:EZ)</f>
        <v>0</v>
      </c>
      <c r="FF86" s="35">
        <f>SUMIF('Resource Demand - Activity'!$FT:$FT,Example!$G86,'Resource Demand - Activity'!FA:FA)</f>
        <v>0</v>
      </c>
      <c r="FG86" s="35">
        <f>SUMIF('Resource Demand - Activity'!$FT:$FT,Example!$G86,'Resource Demand - Activity'!FB:FB)</f>
        <v>0</v>
      </c>
      <c r="FH86" s="35">
        <f>SUMIF('Resource Demand - Activity'!$FT:$FT,Example!$G86,'Resource Demand - Activity'!FC:FC)</f>
        <v>0</v>
      </c>
      <c r="FI86" s="35">
        <f>SUMIF('Resource Demand - Activity'!$FT:$FT,Example!$G86,'Resource Demand - Activity'!FD:FD)</f>
        <v>0</v>
      </c>
      <c r="FJ86" s="35">
        <f>SUMIF('Resource Demand - Activity'!$FT:$FT,Example!$G86,'Resource Demand - Activity'!FE:FE)</f>
        <v>0</v>
      </c>
      <c r="FK86" s="35">
        <f>SUMIF('Resource Demand - Activity'!$FT:$FT,Example!$G86,'Resource Demand - Activity'!FF:FF)</f>
        <v>0</v>
      </c>
      <c r="FL86" s="35">
        <f>SUMIF('Resource Demand - Activity'!$FT:$FT,Example!$G86,'Resource Demand - Activity'!FG:FG)</f>
        <v>0</v>
      </c>
      <c r="FM86" s="35">
        <f>SUMIF('Resource Demand - Activity'!$FT:$FT,Example!$G86,'Resource Demand - Activity'!FH:FH)</f>
        <v>0</v>
      </c>
      <c r="FN86" s="35">
        <f>SUMIF('Resource Demand - Activity'!$FT:$FT,Example!$G86,'Resource Demand - Activity'!FI:FI)</f>
        <v>0</v>
      </c>
      <c r="FO86" s="35">
        <f>SUMIF('Resource Demand - Activity'!$FT:$FT,Example!$G86,'Resource Demand - Activity'!FJ:FJ)</f>
        <v>0</v>
      </c>
      <c r="FP86" s="35">
        <f>SUMIF('Resource Demand - Activity'!$FT:$FT,Example!$G86,'Resource Demand - Activity'!FK:FK)</f>
        <v>0</v>
      </c>
      <c r="FQ86" s="35">
        <f>SUMIF('Resource Demand - Activity'!$FT:$FT,Example!$G86,'Resource Demand - Activity'!FL:FL)</f>
        <v>0</v>
      </c>
      <c r="FR86" s="35">
        <f>SUMIF('Resource Demand - Activity'!$FT:$FT,Example!$G86,'Resource Demand - Activity'!FM:FM)</f>
        <v>0</v>
      </c>
      <c r="FS86" s="35">
        <f>SUMIF('Resource Demand - Activity'!$FT:$FT,Example!$G86,'Resource Demand - Activity'!FN:FN)</f>
        <v>0</v>
      </c>
      <c r="FT86" s="35">
        <f>SUMIF('Resource Demand - Activity'!$FT:$FT,Example!$G86,'Resource Demand - Activity'!FO:FO)</f>
        <v>0</v>
      </c>
      <c r="FU86" s="35">
        <f>SUMIF('Resource Demand - Activity'!$FT:$FT,Example!$G86,'Resource Demand - Activity'!FP:FP)</f>
        <v>0</v>
      </c>
      <c r="FV86" s="52">
        <f>SUMIF('Resource Demand - Activity'!$FT:$FT,Example!$G86,'Resource Demand - Activity'!FQ:FQ)</f>
        <v>0</v>
      </c>
    </row>
    <row r="87" spans="7:178" s="63" customFormat="1" ht="12" customHeight="1">
      <c r="G87" s="64" t="str">
        <f t="shared" si="15"/>
        <v>10. BAU Transition 10.2 Quarterly Reporting (QRTs) TM1 Analyst</v>
      </c>
      <c r="H87" s="82" t="s">
        <v>141</v>
      </c>
      <c r="I87" s="59" t="str">
        <f>INDEX('Resource Demand - Activity'!C:C,MATCH(Example!G87,'Resource Demand - Activity'!FT:FT,0))</f>
        <v>4 days</v>
      </c>
      <c r="J87" s="51">
        <f>SUMIF('Resource Demand - Activity'!$FT:$FT,Example!$G87,'Resource Demand - Activity'!E:E)</f>
        <v>0</v>
      </c>
      <c r="K87" s="35">
        <f>SUMIF('Resource Demand - Activity'!$FT:$FT,Example!$G87,'Resource Demand - Activity'!F:F)</f>
        <v>0</v>
      </c>
      <c r="L87" s="35">
        <f>SUMIF('Resource Demand - Activity'!$FT:$FT,Example!$G87,'Resource Demand - Activity'!G:G)</f>
        <v>0</v>
      </c>
      <c r="M87" s="35">
        <f>SUMIF('Resource Demand - Activity'!$FT:$FT,Example!$G87,'Resource Demand - Activity'!H:H)</f>
        <v>0</v>
      </c>
      <c r="N87" s="35">
        <f>SUMIF('Resource Demand - Activity'!$FT:$FT,Example!$G87,'Resource Demand - Activity'!I:I)</f>
        <v>0</v>
      </c>
      <c r="O87" s="35">
        <f>SUMIF('Resource Demand - Activity'!$FT:$FT,Example!$G87,'Resource Demand - Activity'!J:J)</f>
        <v>0</v>
      </c>
      <c r="P87" s="35">
        <f>SUMIF('Resource Demand - Activity'!$FT:$FT,Example!$G87,'Resource Demand - Activity'!K:K)</f>
        <v>0</v>
      </c>
      <c r="Q87" s="35">
        <f>SUMIF('Resource Demand - Activity'!$FT:$FT,Example!$G87,'Resource Demand - Activity'!L:L)</f>
        <v>0</v>
      </c>
      <c r="R87" s="35">
        <f>SUMIF('Resource Demand - Activity'!$FT:$FT,Example!$G87,'Resource Demand - Activity'!M:M)</f>
        <v>0</v>
      </c>
      <c r="S87" s="35">
        <f>SUMIF('Resource Demand - Activity'!$FT:$FT,Example!$G87,'Resource Demand - Activity'!N:N)</f>
        <v>0</v>
      </c>
      <c r="T87" s="35">
        <f>SUMIF('Resource Demand - Activity'!$FT:$FT,Example!$G87,'Resource Demand - Activity'!O:O)</f>
        <v>0</v>
      </c>
      <c r="U87" s="35">
        <f>SUMIF('Resource Demand - Activity'!$FT:$FT,Example!$G87,'Resource Demand - Activity'!P:P)</f>
        <v>0</v>
      </c>
      <c r="V87" s="35">
        <f>SUMIF('Resource Demand - Activity'!$FT:$FT,Example!$G87,'Resource Demand - Activity'!Q:Q)</f>
        <v>0</v>
      </c>
      <c r="W87" s="35">
        <f>SUMIF('Resource Demand - Activity'!$FT:$FT,Example!$G87,'Resource Demand - Activity'!R:R)</f>
        <v>0</v>
      </c>
      <c r="X87" s="35">
        <f>SUMIF('Resource Demand - Activity'!$FT:$FT,Example!$G87,'Resource Demand - Activity'!S:S)</f>
        <v>0</v>
      </c>
      <c r="Y87" s="35">
        <f>SUMIF('Resource Demand - Activity'!$FT:$FT,Example!$G87,'Resource Demand - Activity'!T:T)</f>
        <v>0</v>
      </c>
      <c r="Z87" s="35">
        <f>SUMIF('Resource Demand - Activity'!$FT:$FT,Example!$G87,'Resource Demand - Activity'!U:U)</f>
        <v>0</v>
      </c>
      <c r="AA87" s="35">
        <f>SUMIF('Resource Demand - Activity'!$FT:$FT,Example!$G87,'Resource Demand - Activity'!V:V)</f>
        <v>0</v>
      </c>
      <c r="AB87" s="35">
        <f>SUMIF('Resource Demand - Activity'!$FT:$FT,Example!$G87,'Resource Demand - Activity'!W:W)</f>
        <v>0</v>
      </c>
      <c r="AC87" s="35">
        <f>SUMIF('Resource Demand - Activity'!$FT:$FT,Example!$G87,'Resource Demand - Activity'!X:X)</f>
        <v>0</v>
      </c>
      <c r="AD87" s="35">
        <f>SUMIF('Resource Demand - Activity'!$FT:$FT,Example!$G87,'Resource Demand - Activity'!Y:Y)</f>
        <v>0</v>
      </c>
      <c r="AE87" s="35">
        <f>SUMIF('Resource Demand - Activity'!$FT:$FT,Example!$G87,'Resource Demand - Activity'!Z:Z)</f>
        <v>0</v>
      </c>
      <c r="AF87" s="35">
        <f>SUMIF('Resource Demand - Activity'!$FT:$FT,Example!$G87,'Resource Demand - Activity'!AA:AA)</f>
        <v>0</v>
      </c>
      <c r="AG87" s="35">
        <f>SUMIF('Resource Demand - Activity'!$FT:$FT,Example!$G87,'Resource Demand - Activity'!AB:AB)</f>
        <v>0</v>
      </c>
      <c r="AH87" s="35">
        <f>SUMIF('Resource Demand - Activity'!$FT:$FT,Example!$G87,'Resource Demand - Activity'!AC:AC)</f>
        <v>0</v>
      </c>
      <c r="AI87" s="35">
        <f>SUMIF('Resource Demand - Activity'!$FT:$FT,Example!$G87,'Resource Demand - Activity'!AD:AD)</f>
        <v>0</v>
      </c>
      <c r="AJ87" s="35">
        <f>SUMIF('Resource Demand - Activity'!$FT:$FT,Example!$G87,'Resource Demand - Activity'!AE:AE)</f>
        <v>0</v>
      </c>
      <c r="AK87" s="35">
        <f>SUMIF('Resource Demand - Activity'!$FT:$FT,Example!$G87,'Resource Demand - Activity'!AF:AF)</f>
        <v>0</v>
      </c>
      <c r="AL87" s="35">
        <f>SUMIF('Resource Demand - Activity'!$FT:$FT,Example!$G87,'Resource Demand - Activity'!AG:AG)</f>
        <v>0</v>
      </c>
      <c r="AM87" s="35">
        <f>SUMIF('Resource Demand - Activity'!$FT:$FT,Example!$G87,'Resource Demand - Activity'!AH:AH)</f>
        <v>0</v>
      </c>
      <c r="AN87" s="35">
        <f>SUMIF('Resource Demand - Activity'!$FT:$FT,Example!$G87,'Resource Demand - Activity'!AI:AI)</f>
        <v>0</v>
      </c>
      <c r="AO87" s="35">
        <f>SUMIF('Resource Demand - Activity'!$FT:$FT,Example!$G87,'Resource Demand - Activity'!AJ:AJ)</f>
        <v>0</v>
      </c>
      <c r="AP87" s="35">
        <f>SUMIF('Resource Demand - Activity'!$FT:$FT,Example!$G87,'Resource Demand - Activity'!AK:AK)</f>
        <v>0</v>
      </c>
      <c r="AQ87" s="36">
        <f>SUMIF('Resource Demand - Activity'!$FT:$FT,Example!$G87,'Resource Demand - Activity'!AL:AL)</f>
        <v>0</v>
      </c>
      <c r="AR87" s="36">
        <f>SUMIF('Resource Demand - Activity'!$FT:$FT,Example!$G87,'Resource Demand - Activity'!AM:AM)</f>
        <v>0</v>
      </c>
      <c r="AS87" s="36">
        <f>SUMIF('Resource Demand - Activity'!$FT:$FT,Example!$G87,'Resource Demand - Activity'!AN:AN)</f>
        <v>0</v>
      </c>
      <c r="AT87" s="36">
        <f>SUMIF('Resource Demand - Activity'!$FT:$FT,Example!$G87,'Resource Demand - Activity'!AO:AO)</f>
        <v>0</v>
      </c>
      <c r="AU87" s="36">
        <f>SUMIF('Resource Demand - Activity'!$FT:$FT,Example!$G87,'Resource Demand - Activity'!AP:AP)</f>
        <v>0</v>
      </c>
      <c r="AV87" s="36">
        <f>SUMIF('Resource Demand - Activity'!$FT:$FT,Example!$G87,'Resource Demand - Activity'!AQ:AQ)</f>
        <v>0</v>
      </c>
      <c r="AW87" s="36">
        <f>SUMIF('Resource Demand - Activity'!$FT:$FT,Example!$G87,'Resource Demand - Activity'!AR:AR)</f>
        <v>0</v>
      </c>
      <c r="AX87" s="35">
        <f>SUMIF('Resource Demand - Activity'!$FT:$FT,Example!$G87,'Resource Demand - Activity'!AS:AS)</f>
        <v>0</v>
      </c>
      <c r="AY87" s="35">
        <f>SUMIF('Resource Demand - Activity'!$FT:$FT,Example!$G87,'Resource Demand - Activity'!AT:AT)</f>
        <v>0</v>
      </c>
      <c r="AZ87" s="35">
        <f>SUMIF('Resource Demand - Activity'!$FT:$FT,Example!$G87,'Resource Demand - Activity'!AU:AU)</f>
        <v>0</v>
      </c>
      <c r="BA87" s="35">
        <f>SUMIF('Resource Demand - Activity'!$FT:$FT,Example!$G87,'Resource Demand - Activity'!AV:AV)</f>
        <v>0</v>
      </c>
      <c r="BB87" s="35">
        <f>SUMIF('Resource Demand - Activity'!$FT:$FT,Example!$G87,'Resource Demand - Activity'!AW:AW)</f>
        <v>0</v>
      </c>
      <c r="BC87" s="35">
        <f>SUMIF('Resource Demand - Activity'!$FT:$FT,Example!$G87,'Resource Demand - Activity'!AX:AX)</f>
        <v>0</v>
      </c>
      <c r="BD87" s="35">
        <f>SUMIF('Resource Demand - Activity'!$FT:$FT,Example!$G87,'Resource Demand - Activity'!AY:AY)</f>
        <v>0</v>
      </c>
      <c r="BE87" s="35">
        <f>SUMIF('Resource Demand - Activity'!$FT:$FT,Example!$G87,'Resource Demand - Activity'!AZ:AZ)</f>
        <v>0</v>
      </c>
      <c r="BF87" s="35">
        <f>SUMIF('Resource Demand - Activity'!$FT:$FT,Example!$G87,'Resource Demand - Activity'!BA:BA)</f>
        <v>0</v>
      </c>
      <c r="BG87" s="35">
        <f>SUMIF('Resource Demand - Activity'!$FT:$FT,Example!$G87,'Resource Demand - Activity'!BB:BB)</f>
        <v>0</v>
      </c>
      <c r="BH87" s="35">
        <f>SUMIF('Resource Demand - Activity'!$FT:$FT,Example!$G87,'Resource Demand - Activity'!BC:BC)</f>
        <v>0</v>
      </c>
      <c r="BI87" s="35">
        <f>SUMIF('Resource Demand - Activity'!$FT:$FT,Example!$G87,'Resource Demand - Activity'!BD:BD)</f>
        <v>0</v>
      </c>
      <c r="BJ87" s="35">
        <f>SUMIF('Resource Demand - Activity'!$FT:$FT,Example!$G87,'Resource Demand - Activity'!BE:BE)</f>
        <v>0</v>
      </c>
      <c r="BK87" s="35">
        <f>SUMIF('Resource Demand - Activity'!$FT:$FT,Example!$G87,'Resource Demand - Activity'!BF:BF)</f>
        <v>0</v>
      </c>
      <c r="BL87" s="35">
        <f>SUMIF('Resource Demand - Activity'!$FT:$FT,Example!$G87,'Resource Demand - Activity'!BG:BG)</f>
        <v>0</v>
      </c>
      <c r="BM87" s="35">
        <f>SUMIF('Resource Demand - Activity'!$FT:$FT,Example!$G87,'Resource Demand - Activity'!BH:BH)</f>
        <v>0</v>
      </c>
      <c r="BN87" s="35">
        <f>SUMIF('Resource Demand - Activity'!$FT:$FT,Example!$G87,'Resource Demand - Activity'!BI:BI)</f>
        <v>0</v>
      </c>
      <c r="BO87" s="35">
        <f>SUMIF('Resource Demand - Activity'!$FT:$FT,Example!$G87,'Resource Demand - Activity'!BJ:BJ)</f>
        <v>0</v>
      </c>
      <c r="BP87" s="35">
        <f>SUMIF('Resource Demand - Activity'!$FT:$FT,Example!$G87,'Resource Demand - Activity'!BK:BK)</f>
        <v>0</v>
      </c>
      <c r="BQ87" s="35">
        <f>SUMIF('Resource Demand - Activity'!$FT:$FT,Example!$G87,'Resource Demand - Activity'!BL:BL)</f>
        <v>0</v>
      </c>
      <c r="BR87" s="35">
        <f>SUMIF('Resource Demand - Activity'!$FT:$FT,Example!$G87,'Resource Demand - Activity'!BM:BM)</f>
        <v>0</v>
      </c>
      <c r="BS87" s="35">
        <f>SUMIF('Resource Demand - Activity'!$FT:$FT,Example!$G87,'Resource Demand - Activity'!BN:BN)</f>
        <v>0</v>
      </c>
      <c r="BT87" s="35">
        <f>SUMIF('Resource Demand - Activity'!$FT:$FT,Example!$G87,'Resource Demand - Activity'!BO:BO)</f>
        <v>0</v>
      </c>
      <c r="BU87" s="35">
        <f>SUMIF('Resource Demand - Activity'!$FT:$FT,Example!$G87,'Resource Demand - Activity'!BP:BP)</f>
        <v>0</v>
      </c>
      <c r="BV87" s="35">
        <f>SUMIF('Resource Demand - Activity'!$FT:$FT,Example!$G87,'Resource Demand - Activity'!BQ:BQ)</f>
        <v>0</v>
      </c>
      <c r="BW87" s="35">
        <f>SUMIF('Resource Demand - Activity'!$FT:$FT,Example!$G87,'Resource Demand - Activity'!BR:BR)</f>
        <v>0</v>
      </c>
      <c r="BX87" s="35">
        <f>SUMIF('Resource Demand - Activity'!$FT:$FT,Example!$G87,'Resource Demand - Activity'!BS:BS)</f>
        <v>0</v>
      </c>
      <c r="BY87" s="35">
        <f>SUMIF('Resource Demand - Activity'!$FT:$FT,Example!$G87,'Resource Demand - Activity'!BT:BT)</f>
        <v>0</v>
      </c>
      <c r="BZ87" s="35">
        <f>SUMIF('Resource Demand - Activity'!$FT:$FT,Example!$G87,'Resource Demand - Activity'!BU:BU)</f>
        <v>0</v>
      </c>
      <c r="CA87" s="35">
        <f>SUMIF('Resource Demand - Activity'!$FT:$FT,Example!$G87,'Resource Demand - Activity'!BV:BV)</f>
        <v>0</v>
      </c>
      <c r="CB87" s="35">
        <f>SUMIF('Resource Demand - Activity'!$FT:$FT,Example!$G87,'Resource Demand - Activity'!BW:BW)</f>
        <v>0</v>
      </c>
      <c r="CC87" s="35">
        <f>SUMIF('Resource Demand - Activity'!$FT:$FT,Example!$G87,'Resource Demand - Activity'!BX:BX)</f>
        <v>0</v>
      </c>
      <c r="CD87" s="35">
        <f>SUMIF('Resource Demand - Activity'!$FT:$FT,Example!$G87,'Resource Demand - Activity'!BY:BY)</f>
        <v>0</v>
      </c>
      <c r="CE87" s="35">
        <f>SUMIF('Resource Demand - Activity'!$FT:$FT,Example!$G87,'Resource Demand - Activity'!BZ:BZ)</f>
        <v>0</v>
      </c>
      <c r="CF87" s="35">
        <f>SUMIF('Resource Demand - Activity'!$FT:$FT,Example!$G87,'Resource Demand - Activity'!CA:CA)</f>
        <v>0</v>
      </c>
      <c r="CG87" s="35">
        <f>SUMIF('Resource Demand - Activity'!$FT:$FT,Example!$G87,'Resource Demand - Activity'!CB:CB)</f>
        <v>0</v>
      </c>
      <c r="CH87" s="35">
        <f>SUMIF('Resource Demand - Activity'!$FT:$FT,Example!$G87,'Resource Demand - Activity'!CC:CC)</f>
        <v>0</v>
      </c>
      <c r="CI87" s="35">
        <f>SUMIF('Resource Demand - Activity'!$FT:$FT,Example!$G87,'Resource Demand - Activity'!CD:CD)</f>
        <v>0</v>
      </c>
      <c r="CJ87" s="35">
        <f>SUMIF('Resource Demand - Activity'!$FT:$FT,Example!$G87,'Resource Demand - Activity'!CE:CE)</f>
        <v>0</v>
      </c>
      <c r="CK87" s="35">
        <f>SUMIF('Resource Demand - Activity'!$FT:$FT,Example!$G87,'Resource Demand - Activity'!CF:CF)</f>
        <v>0</v>
      </c>
      <c r="CL87" s="35">
        <f>SUMIF('Resource Demand - Activity'!$FT:$FT,Example!$G87,'Resource Demand - Activity'!CG:CG)</f>
        <v>0</v>
      </c>
      <c r="CM87" s="35">
        <f>SUMIF('Resource Demand - Activity'!$FT:$FT,Example!$G87,'Resource Demand - Activity'!CH:CH)</f>
        <v>0</v>
      </c>
      <c r="CN87" s="35">
        <f>SUMIF('Resource Demand - Activity'!$FT:$FT,Example!$G87,'Resource Demand - Activity'!CI:CI)</f>
        <v>0</v>
      </c>
      <c r="CO87" s="35">
        <f>SUMIF('Resource Demand - Activity'!$FT:$FT,Example!$G87,'Resource Demand - Activity'!CJ:CJ)</f>
        <v>0</v>
      </c>
      <c r="CP87" s="35">
        <f>SUMIF('Resource Demand - Activity'!$FT:$FT,Example!$G87,'Resource Demand - Activity'!CK:CK)</f>
        <v>0</v>
      </c>
      <c r="CQ87" s="35">
        <f>SUMIF('Resource Demand - Activity'!$FT:$FT,Example!$G87,'Resource Demand - Activity'!CL:CL)</f>
        <v>0</v>
      </c>
      <c r="CR87" s="35">
        <f>SUMIF('Resource Demand - Activity'!$FT:$FT,Example!$G87,'Resource Demand - Activity'!CM:CM)</f>
        <v>0</v>
      </c>
      <c r="CS87" s="35">
        <f>SUMIF('Resource Demand - Activity'!$FT:$FT,Example!$G87,'Resource Demand - Activity'!CN:CN)</f>
        <v>0</v>
      </c>
      <c r="CT87" s="35">
        <f>SUMIF('Resource Demand - Activity'!$FT:$FT,Example!$G87,'Resource Demand - Activity'!CO:CO)</f>
        <v>0</v>
      </c>
      <c r="CU87" s="35">
        <f>SUMIF('Resource Demand - Activity'!$FT:$FT,Example!$G87,'Resource Demand - Activity'!CP:CP)</f>
        <v>0</v>
      </c>
      <c r="CV87" s="35">
        <f>SUMIF('Resource Demand - Activity'!$FT:$FT,Example!$G87,'Resource Demand - Activity'!CQ:CQ)</f>
        <v>0</v>
      </c>
      <c r="CW87" s="35">
        <f>SUMIF('Resource Demand - Activity'!$FT:$FT,Example!$G87,'Resource Demand - Activity'!CR:CR)</f>
        <v>0</v>
      </c>
      <c r="CX87" s="35">
        <f>SUMIF('Resource Demand - Activity'!$FT:$FT,Example!$G87,'Resource Demand - Activity'!CS:CS)</f>
        <v>0</v>
      </c>
      <c r="CY87" s="36">
        <f>SUMIF('Resource Demand - Activity'!$FT:$FT,Example!$G87,'Resource Demand - Activity'!CT:CT)</f>
        <v>0</v>
      </c>
      <c r="CZ87" s="35">
        <f>SUMIF('Resource Demand - Activity'!$FT:$FT,Example!$G87,'Resource Demand - Activity'!CU:CU)</f>
        <v>0</v>
      </c>
      <c r="DA87" s="35">
        <f>SUMIF('Resource Demand - Activity'!$FT:$FT,Example!$G87,'Resource Demand - Activity'!CV:CV)</f>
        <v>0</v>
      </c>
      <c r="DB87" s="35">
        <f>SUMIF('Resource Demand - Activity'!$FT:$FT,Example!$G87,'Resource Demand - Activity'!CW:CW)</f>
        <v>0</v>
      </c>
      <c r="DC87" s="35">
        <f>SUMIF('Resource Demand - Activity'!$FT:$FT,Example!$G87,'Resource Demand - Activity'!CX:CX)</f>
        <v>0</v>
      </c>
      <c r="DD87" s="35">
        <f>SUMIF('Resource Demand - Activity'!$FT:$FT,Example!$G87,'Resource Demand - Activity'!CY:CY)</f>
        <v>0</v>
      </c>
      <c r="DE87" s="36">
        <f>SUMIF('Resource Demand - Activity'!$FT:$FT,Example!$G87,'Resource Demand - Activity'!CZ:CZ)</f>
        <v>0</v>
      </c>
      <c r="DF87" s="36">
        <f>SUMIF('Resource Demand - Activity'!$FT:$FT,Example!$G87,'Resource Demand - Activity'!DA:DA)</f>
        <v>0</v>
      </c>
      <c r="DG87" s="35">
        <f>SUMIF('Resource Demand - Activity'!$FT:$FT,Example!$G87,'Resource Demand - Activity'!DB:DB)</f>
        <v>0</v>
      </c>
      <c r="DH87" s="35">
        <f>SUMIF('Resource Demand - Activity'!$FT:$FT,Example!$G87,'Resource Demand - Activity'!DC:DC)</f>
        <v>0</v>
      </c>
      <c r="DI87" s="35">
        <f>SUMIF('Resource Demand - Activity'!$FT:$FT,Example!$G87,'Resource Demand - Activity'!DD:DD)</f>
        <v>0</v>
      </c>
      <c r="DJ87" s="35">
        <f>SUMIF('Resource Demand - Activity'!$FT:$FT,Example!$G87,'Resource Demand - Activity'!DE:DE)</f>
        <v>0</v>
      </c>
      <c r="DK87" s="35">
        <f>SUMIF('Resource Demand - Activity'!$FT:$FT,Example!$G87,'Resource Demand - Activity'!DF:DF)</f>
        <v>0</v>
      </c>
      <c r="DL87" s="35">
        <f>SUMIF('Resource Demand - Activity'!$FT:$FT,Example!$G87,'Resource Demand - Activity'!DG:DG)</f>
        <v>0</v>
      </c>
      <c r="DM87" s="35">
        <f>SUMIF('Resource Demand - Activity'!$FT:$FT,Example!$G87,'Resource Demand - Activity'!DH:DH)</f>
        <v>0</v>
      </c>
      <c r="DN87" s="35">
        <f>SUMIF('Resource Demand - Activity'!$FT:$FT,Example!$G87,'Resource Demand - Activity'!DI:DI)</f>
        <v>0</v>
      </c>
      <c r="DO87" s="35">
        <f>SUMIF('Resource Demand - Activity'!$FT:$FT,Example!$G87,'Resource Demand - Activity'!DJ:DJ)</f>
        <v>0</v>
      </c>
      <c r="DP87" s="35">
        <f>SUMIF('Resource Demand - Activity'!$FT:$FT,Example!$G87,'Resource Demand - Activity'!DK:DK)</f>
        <v>0</v>
      </c>
      <c r="DQ87" s="35">
        <f>SUMIF('Resource Demand - Activity'!$FT:$FT,Example!$G87,'Resource Demand - Activity'!DL:DL)</f>
        <v>0</v>
      </c>
      <c r="DR87" s="35">
        <f>SUMIF('Resource Demand - Activity'!$FT:$FT,Example!$G87,'Resource Demand - Activity'!DM:DM)</f>
        <v>0</v>
      </c>
      <c r="DS87" s="35">
        <f>SUMIF('Resource Demand - Activity'!$FT:$FT,Example!$G87,'Resource Demand - Activity'!DN:DN)</f>
        <v>0</v>
      </c>
      <c r="DT87" s="35">
        <f>SUMIF('Resource Demand - Activity'!$FT:$FT,Example!$G87,'Resource Demand - Activity'!DO:DO)</f>
        <v>0</v>
      </c>
      <c r="DU87" s="35">
        <f>SUMIF('Resource Demand - Activity'!$FT:$FT,Example!$G87,'Resource Demand - Activity'!DP:DP)</f>
        <v>0</v>
      </c>
      <c r="DV87" s="35">
        <f>SUMIF('Resource Demand - Activity'!$FT:$FT,Example!$G87,'Resource Demand - Activity'!DQ:DQ)</f>
        <v>0</v>
      </c>
      <c r="DW87" s="35">
        <f>SUMIF('Resource Demand - Activity'!$FT:$FT,Example!$G87,'Resource Demand - Activity'!DR:DR)</f>
        <v>0</v>
      </c>
      <c r="DX87" s="35">
        <f>SUMIF('Resource Demand - Activity'!$FT:$FT,Example!$G87,'Resource Demand - Activity'!DS:DS)</f>
        <v>0</v>
      </c>
      <c r="DY87" s="35">
        <f>SUMIF('Resource Demand - Activity'!$FT:$FT,Example!$G87,'Resource Demand - Activity'!DT:DT)</f>
        <v>0</v>
      </c>
      <c r="DZ87" s="35">
        <f>SUMIF('Resource Demand - Activity'!$FT:$FT,Example!$G87,'Resource Demand - Activity'!DU:DU)</f>
        <v>0</v>
      </c>
      <c r="EA87" s="35">
        <f>SUMIF('Resource Demand - Activity'!$FT:$FT,Example!$G87,'Resource Demand - Activity'!DV:DV)</f>
        <v>0</v>
      </c>
      <c r="EB87" s="35">
        <f>SUMIF('Resource Demand - Activity'!$FT:$FT,Example!$G87,'Resource Demand - Activity'!DW:DW)</f>
        <v>0</v>
      </c>
      <c r="EC87" s="35">
        <f>SUMIF('Resource Demand - Activity'!$FT:$FT,Example!$G87,'Resource Demand - Activity'!DX:DX)</f>
        <v>0</v>
      </c>
      <c r="ED87" s="35">
        <f>SUMIF('Resource Demand - Activity'!$FT:$FT,Example!$G87,'Resource Demand - Activity'!DY:DY)</f>
        <v>0</v>
      </c>
      <c r="EE87" s="36">
        <f>SUMIF('Resource Demand - Activity'!$FT:$FT,Example!$G87,'Resource Demand - Activity'!DZ:DZ)</f>
        <v>0</v>
      </c>
      <c r="EF87" s="35">
        <f>SUMIF('Resource Demand - Activity'!$FT:$FT,Example!$G87,'Resource Demand - Activity'!EA:EA)</f>
        <v>0</v>
      </c>
      <c r="EG87" s="35">
        <f>SUMIF('Resource Demand - Activity'!$FT:$FT,Example!$G87,'Resource Demand - Activity'!EB:EB)</f>
        <v>0</v>
      </c>
      <c r="EH87" s="35">
        <f>SUMIF('Resource Demand - Activity'!$FT:$FT,Example!$G87,'Resource Demand - Activity'!EC:EC)</f>
        <v>0</v>
      </c>
      <c r="EI87" s="35">
        <f>SUMIF('Resource Demand - Activity'!$FT:$FT,Example!$G87,'Resource Demand - Activity'!ED:ED)</f>
        <v>0</v>
      </c>
      <c r="EJ87" s="35">
        <f>SUMIF('Resource Demand - Activity'!$FT:$FT,Example!$G87,'Resource Demand - Activity'!EE:EE)</f>
        <v>0</v>
      </c>
      <c r="EK87" s="35">
        <f>SUMIF('Resource Demand - Activity'!$FT:$FT,Example!$G87,'Resource Demand - Activity'!EF:EF)</f>
        <v>0</v>
      </c>
      <c r="EL87" s="35">
        <f>SUMIF('Resource Demand - Activity'!$FT:$FT,Example!$G87,'Resource Demand - Activity'!EG:EG)</f>
        <v>0</v>
      </c>
      <c r="EM87" s="35">
        <f>SUMIF('Resource Demand - Activity'!$FT:$FT,Example!$G87,'Resource Demand - Activity'!EH:EH)</f>
        <v>0</v>
      </c>
      <c r="EN87" s="35">
        <f>SUMIF('Resource Demand - Activity'!$FT:$FT,Example!$G87,'Resource Demand - Activity'!EI:EI)</f>
        <v>0</v>
      </c>
      <c r="EO87" s="35">
        <f>SUMIF('Resource Demand - Activity'!$FT:$FT,Example!$G87,'Resource Demand - Activity'!EJ:EJ)</f>
        <v>0</v>
      </c>
      <c r="EP87" s="35">
        <f>SUMIF('Resource Demand - Activity'!$FT:$FT,Example!$G87,'Resource Demand - Activity'!EK:EK)</f>
        <v>0</v>
      </c>
      <c r="EQ87" s="35">
        <f>SUMIF('Resource Demand - Activity'!$FT:$FT,Example!$G87,'Resource Demand - Activity'!EL:EL)</f>
        <v>0</v>
      </c>
      <c r="ER87" s="35">
        <f>SUMIF('Resource Demand - Activity'!$FT:$FT,Example!$G87,'Resource Demand - Activity'!EM:EM)</f>
        <v>0</v>
      </c>
      <c r="ES87" s="35">
        <f>SUMIF('Resource Demand - Activity'!$FT:$FT,Example!$G87,'Resource Demand - Activity'!EN:EN)</f>
        <v>0</v>
      </c>
      <c r="ET87" s="35">
        <f>SUMIF('Resource Demand - Activity'!$FT:$FT,Example!$G87,'Resource Demand - Activity'!EO:EO)</f>
        <v>0</v>
      </c>
      <c r="EU87" s="35">
        <f>SUMIF('Resource Demand - Activity'!$FT:$FT,Example!$G87,'Resource Demand - Activity'!EP:EP)</f>
        <v>0</v>
      </c>
      <c r="EV87" s="35">
        <f>SUMIF('Resource Demand - Activity'!$FT:$FT,Example!$G87,'Resource Demand - Activity'!EQ:EQ)</f>
        <v>0</v>
      </c>
      <c r="EW87" s="35">
        <f>SUMIF('Resource Demand - Activity'!$FT:$FT,Example!$G87,'Resource Demand - Activity'!ER:ER)</f>
        <v>0</v>
      </c>
      <c r="EX87" s="35">
        <f>SUMIF('Resource Demand - Activity'!$FT:$FT,Example!$G87,'Resource Demand - Activity'!ES:ES)</f>
        <v>0</v>
      </c>
      <c r="EY87" s="35">
        <f>SUMIF('Resource Demand - Activity'!$FT:$FT,Example!$G87,'Resource Demand - Activity'!ET:ET)</f>
        <v>0</v>
      </c>
      <c r="EZ87" s="35">
        <f>SUMIF('Resource Demand - Activity'!$FT:$FT,Example!$G87,'Resource Demand - Activity'!EU:EU)</f>
        <v>1</v>
      </c>
      <c r="FA87" s="35">
        <f>SUMIF('Resource Demand - Activity'!$FT:$FT,Example!$G87,'Resource Demand - Activity'!EV:EV)</f>
        <v>1</v>
      </c>
      <c r="FB87" s="35">
        <f>SUMIF('Resource Demand - Activity'!$FT:$FT,Example!$G87,'Resource Demand - Activity'!EW:EW)</f>
        <v>1</v>
      </c>
      <c r="FC87" s="35">
        <f>SUMIF('Resource Demand - Activity'!$FT:$FT,Example!$G87,'Resource Demand - Activity'!EX:EX)</f>
        <v>1</v>
      </c>
      <c r="FD87" s="36">
        <f>SUMIF('Resource Demand - Activity'!$FT:$FT,Example!$G87,'Resource Demand - Activity'!EY:EY)</f>
        <v>0</v>
      </c>
      <c r="FE87" s="35">
        <f>SUMIF('Resource Demand - Activity'!$FT:$FT,Example!$G87,'Resource Demand - Activity'!EZ:EZ)</f>
        <v>0</v>
      </c>
      <c r="FF87" s="35">
        <f>SUMIF('Resource Demand - Activity'!$FT:$FT,Example!$G87,'Resource Demand - Activity'!FA:FA)</f>
        <v>0</v>
      </c>
      <c r="FG87" s="35">
        <f>SUMIF('Resource Demand - Activity'!$FT:$FT,Example!$G87,'Resource Demand - Activity'!FB:FB)</f>
        <v>0</v>
      </c>
      <c r="FH87" s="35">
        <f>SUMIF('Resource Demand - Activity'!$FT:$FT,Example!$G87,'Resource Demand - Activity'!FC:FC)</f>
        <v>0</v>
      </c>
      <c r="FI87" s="35">
        <f>SUMIF('Resource Demand - Activity'!$FT:$FT,Example!$G87,'Resource Demand - Activity'!FD:FD)</f>
        <v>0</v>
      </c>
      <c r="FJ87" s="35">
        <f>SUMIF('Resource Demand - Activity'!$FT:$FT,Example!$G87,'Resource Demand - Activity'!FE:FE)</f>
        <v>0</v>
      </c>
      <c r="FK87" s="35">
        <f>SUMIF('Resource Demand - Activity'!$FT:$FT,Example!$G87,'Resource Demand - Activity'!FF:FF)</f>
        <v>0</v>
      </c>
      <c r="FL87" s="35">
        <f>SUMIF('Resource Demand - Activity'!$FT:$FT,Example!$G87,'Resource Demand - Activity'!FG:FG)</f>
        <v>0</v>
      </c>
      <c r="FM87" s="35">
        <f>SUMIF('Resource Demand - Activity'!$FT:$FT,Example!$G87,'Resource Demand - Activity'!FH:FH)</f>
        <v>0</v>
      </c>
      <c r="FN87" s="35">
        <f>SUMIF('Resource Demand - Activity'!$FT:$FT,Example!$G87,'Resource Demand - Activity'!FI:FI)</f>
        <v>0</v>
      </c>
      <c r="FO87" s="35">
        <f>SUMIF('Resource Demand - Activity'!$FT:$FT,Example!$G87,'Resource Demand - Activity'!FJ:FJ)</f>
        <v>0</v>
      </c>
      <c r="FP87" s="35">
        <f>SUMIF('Resource Demand - Activity'!$FT:$FT,Example!$G87,'Resource Demand - Activity'!FK:FK)</f>
        <v>0</v>
      </c>
      <c r="FQ87" s="35">
        <f>SUMIF('Resource Demand - Activity'!$FT:$FT,Example!$G87,'Resource Demand - Activity'!FL:FL)</f>
        <v>0</v>
      </c>
      <c r="FR87" s="35">
        <f>SUMIF('Resource Demand - Activity'!$FT:$FT,Example!$G87,'Resource Demand - Activity'!FM:FM)</f>
        <v>0</v>
      </c>
      <c r="FS87" s="35">
        <f>SUMIF('Resource Demand - Activity'!$FT:$FT,Example!$G87,'Resource Demand - Activity'!FN:FN)</f>
        <v>0</v>
      </c>
      <c r="FT87" s="35">
        <f>SUMIF('Resource Demand - Activity'!$FT:$FT,Example!$G87,'Resource Demand - Activity'!FO:FO)</f>
        <v>0</v>
      </c>
      <c r="FU87" s="35">
        <f>SUMIF('Resource Demand - Activity'!$FT:$FT,Example!$G87,'Resource Demand - Activity'!FP:FP)</f>
        <v>0</v>
      </c>
      <c r="FV87" s="52">
        <f>SUMIF('Resource Demand - Activity'!$FT:$FT,Example!$G87,'Resource Demand - Activity'!FQ:FQ)</f>
        <v>0</v>
      </c>
    </row>
    <row r="88" spans="7:178" s="63" customFormat="1" ht="12" customHeight="1">
      <c r="G88" s="64" t="str">
        <f t="shared" si="15"/>
        <v>10. BAU Transition 10.4 Annual Reporting (QRTs) TM1 Analyst</v>
      </c>
      <c r="H88" s="82" t="s">
        <v>142</v>
      </c>
      <c r="I88" s="59" t="str">
        <f>INDEX('Resource Demand - Activity'!C:C,MATCH(Example!G88,'Resource Demand - Activity'!FT:FT,0))</f>
        <v>0 days</v>
      </c>
      <c r="J88" s="51">
        <f>SUMIF('Resource Demand - Activity'!$FT:$FT,Example!$G88,'Resource Demand - Activity'!E:E)</f>
        <v>0</v>
      </c>
      <c r="K88" s="35">
        <f>SUMIF('Resource Demand - Activity'!$FT:$FT,Example!$G88,'Resource Demand - Activity'!F:F)</f>
        <v>0</v>
      </c>
      <c r="L88" s="35">
        <f>SUMIF('Resource Demand - Activity'!$FT:$FT,Example!$G88,'Resource Demand - Activity'!G:G)</f>
        <v>0</v>
      </c>
      <c r="M88" s="35">
        <f>SUMIF('Resource Demand - Activity'!$FT:$FT,Example!$G88,'Resource Demand - Activity'!H:H)</f>
        <v>0</v>
      </c>
      <c r="N88" s="35">
        <f>SUMIF('Resource Demand - Activity'!$FT:$FT,Example!$G88,'Resource Demand - Activity'!I:I)</f>
        <v>0</v>
      </c>
      <c r="O88" s="35">
        <f>SUMIF('Resource Demand - Activity'!$FT:$FT,Example!$G88,'Resource Demand - Activity'!J:J)</f>
        <v>0</v>
      </c>
      <c r="P88" s="35">
        <f>SUMIF('Resource Demand - Activity'!$FT:$FT,Example!$G88,'Resource Demand - Activity'!K:K)</f>
        <v>0</v>
      </c>
      <c r="Q88" s="35">
        <f>SUMIF('Resource Demand - Activity'!$FT:$FT,Example!$G88,'Resource Demand - Activity'!L:L)</f>
        <v>0</v>
      </c>
      <c r="R88" s="35">
        <f>SUMIF('Resource Demand - Activity'!$FT:$FT,Example!$G88,'Resource Demand - Activity'!M:M)</f>
        <v>0</v>
      </c>
      <c r="S88" s="35">
        <f>SUMIF('Resource Demand - Activity'!$FT:$FT,Example!$G88,'Resource Demand - Activity'!N:N)</f>
        <v>0</v>
      </c>
      <c r="T88" s="35">
        <f>SUMIF('Resource Demand - Activity'!$FT:$FT,Example!$G88,'Resource Demand - Activity'!O:O)</f>
        <v>0</v>
      </c>
      <c r="U88" s="35">
        <f>SUMIF('Resource Demand - Activity'!$FT:$FT,Example!$G88,'Resource Demand - Activity'!P:P)</f>
        <v>0</v>
      </c>
      <c r="V88" s="35">
        <f>SUMIF('Resource Demand - Activity'!$FT:$FT,Example!$G88,'Resource Demand - Activity'!Q:Q)</f>
        <v>0</v>
      </c>
      <c r="W88" s="35">
        <f>SUMIF('Resource Demand - Activity'!$FT:$FT,Example!$G88,'Resource Demand - Activity'!R:R)</f>
        <v>0</v>
      </c>
      <c r="X88" s="35">
        <f>SUMIF('Resource Demand - Activity'!$FT:$FT,Example!$G88,'Resource Demand - Activity'!S:S)</f>
        <v>0</v>
      </c>
      <c r="Y88" s="35">
        <f>SUMIF('Resource Demand - Activity'!$FT:$FT,Example!$G88,'Resource Demand - Activity'!T:T)</f>
        <v>0</v>
      </c>
      <c r="Z88" s="35">
        <f>SUMIF('Resource Demand - Activity'!$FT:$FT,Example!$G88,'Resource Demand - Activity'!U:U)</f>
        <v>0</v>
      </c>
      <c r="AA88" s="35">
        <f>SUMIF('Resource Demand - Activity'!$FT:$FT,Example!$G88,'Resource Demand - Activity'!V:V)</f>
        <v>0</v>
      </c>
      <c r="AB88" s="35">
        <f>SUMIF('Resource Demand - Activity'!$FT:$FT,Example!$G88,'Resource Demand - Activity'!W:W)</f>
        <v>0</v>
      </c>
      <c r="AC88" s="35">
        <f>SUMIF('Resource Demand - Activity'!$FT:$FT,Example!$G88,'Resource Demand - Activity'!X:X)</f>
        <v>0</v>
      </c>
      <c r="AD88" s="35">
        <f>SUMIF('Resource Demand - Activity'!$FT:$FT,Example!$G88,'Resource Demand - Activity'!Y:Y)</f>
        <v>0</v>
      </c>
      <c r="AE88" s="35">
        <f>SUMIF('Resource Demand - Activity'!$FT:$FT,Example!$G88,'Resource Demand - Activity'!Z:Z)</f>
        <v>0</v>
      </c>
      <c r="AF88" s="35">
        <f>SUMIF('Resource Demand - Activity'!$FT:$FT,Example!$G88,'Resource Demand - Activity'!AA:AA)</f>
        <v>0</v>
      </c>
      <c r="AG88" s="35">
        <f>SUMIF('Resource Demand - Activity'!$FT:$FT,Example!$G88,'Resource Demand - Activity'!AB:AB)</f>
        <v>0</v>
      </c>
      <c r="AH88" s="35">
        <f>SUMIF('Resource Demand - Activity'!$FT:$FT,Example!$G88,'Resource Demand - Activity'!AC:AC)</f>
        <v>0</v>
      </c>
      <c r="AI88" s="35">
        <f>SUMIF('Resource Demand - Activity'!$FT:$FT,Example!$G88,'Resource Demand - Activity'!AD:AD)</f>
        <v>0</v>
      </c>
      <c r="AJ88" s="35">
        <f>SUMIF('Resource Demand - Activity'!$FT:$FT,Example!$G88,'Resource Demand - Activity'!AE:AE)</f>
        <v>0</v>
      </c>
      <c r="AK88" s="35">
        <f>SUMIF('Resource Demand - Activity'!$FT:$FT,Example!$G88,'Resource Demand - Activity'!AF:AF)</f>
        <v>0</v>
      </c>
      <c r="AL88" s="35">
        <f>SUMIF('Resource Demand - Activity'!$FT:$FT,Example!$G88,'Resource Demand - Activity'!AG:AG)</f>
        <v>0</v>
      </c>
      <c r="AM88" s="35">
        <f>SUMIF('Resource Demand - Activity'!$FT:$FT,Example!$G88,'Resource Demand - Activity'!AH:AH)</f>
        <v>0</v>
      </c>
      <c r="AN88" s="35">
        <f>SUMIF('Resource Demand - Activity'!$FT:$FT,Example!$G88,'Resource Demand - Activity'!AI:AI)</f>
        <v>0</v>
      </c>
      <c r="AO88" s="35">
        <f>SUMIF('Resource Demand - Activity'!$FT:$FT,Example!$G88,'Resource Demand - Activity'!AJ:AJ)</f>
        <v>0</v>
      </c>
      <c r="AP88" s="35">
        <f>SUMIF('Resource Demand - Activity'!$FT:$FT,Example!$G88,'Resource Demand - Activity'!AK:AK)</f>
        <v>0</v>
      </c>
      <c r="AQ88" s="36">
        <f>SUMIF('Resource Demand - Activity'!$FT:$FT,Example!$G88,'Resource Demand - Activity'!AL:AL)</f>
        <v>0</v>
      </c>
      <c r="AR88" s="36">
        <f>SUMIF('Resource Demand - Activity'!$FT:$FT,Example!$G88,'Resource Demand - Activity'!AM:AM)</f>
        <v>0</v>
      </c>
      <c r="AS88" s="36">
        <f>SUMIF('Resource Demand - Activity'!$FT:$FT,Example!$G88,'Resource Demand - Activity'!AN:AN)</f>
        <v>0</v>
      </c>
      <c r="AT88" s="36">
        <f>SUMIF('Resource Demand - Activity'!$FT:$FT,Example!$G88,'Resource Demand - Activity'!AO:AO)</f>
        <v>0</v>
      </c>
      <c r="AU88" s="36">
        <f>SUMIF('Resource Demand - Activity'!$FT:$FT,Example!$G88,'Resource Demand - Activity'!AP:AP)</f>
        <v>0</v>
      </c>
      <c r="AV88" s="36">
        <f>SUMIF('Resource Demand - Activity'!$FT:$FT,Example!$G88,'Resource Demand - Activity'!AQ:AQ)</f>
        <v>0</v>
      </c>
      <c r="AW88" s="36">
        <f>SUMIF('Resource Demand - Activity'!$FT:$FT,Example!$G88,'Resource Demand - Activity'!AR:AR)</f>
        <v>0</v>
      </c>
      <c r="AX88" s="35">
        <f>SUMIF('Resource Demand - Activity'!$FT:$FT,Example!$G88,'Resource Demand - Activity'!AS:AS)</f>
        <v>0</v>
      </c>
      <c r="AY88" s="35">
        <f>SUMIF('Resource Demand - Activity'!$FT:$FT,Example!$G88,'Resource Demand - Activity'!AT:AT)</f>
        <v>0</v>
      </c>
      <c r="AZ88" s="35">
        <f>SUMIF('Resource Demand - Activity'!$FT:$FT,Example!$G88,'Resource Demand - Activity'!AU:AU)</f>
        <v>0</v>
      </c>
      <c r="BA88" s="35">
        <f>SUMIF('Resource Demand - Activity'!$FT:$FT,Example!$G88,'Resource Demand - Activity'!AV:AV)</f>
        <v>0</v>
      </c>
      <c r="BB88" s="35">
        <f>SUMIF('Resource Demand - Activity'!$FT:$FT,Example!$G88,'Resource Demand - Activity'!AW:AW)</f>
        <v>0</v>
      </c>
      <c r="BC88" s="35">
        <f>SUMIF('Resource Demand - Activity'!$FT:$FT,Example!$G88,'Resource Demand - Activity'!AX:AX)</f>
        <v>0</v>
      </c>
      <c r="BD88" s="35">
        <f>SUMIF('Resource Demand - Activity'!$FT:$FT,Example!$G88,'Resource Demand - Activity'!AY:AY)</f>
        <v>0</v>
      </c>
      <c r="BE88" s="35">
        <f>SUMIF('Resource Demand - Activity'!$FT:$FT,Example!$G88,'Resource Demand - Activity'!AZ:AZ)</f>
        <v>0</v>
      </c>
      <c r="BF88" s="35">
        <f>SUMIF('Resource Demand - Activity'!$FT:$FT,Example!$G88,'Resource Demand - Activity'!BA:BA)</f>
        <v>0</v>
      </c>
      <c r="BG88" s="35">
        <f>SUMIF('Resource Demand - Activity'!$FT:$FT,Example!$G88,'Resource Demand - Activity'!BB:BB)</f>
        <v>0</v>
      </c>
      <c r="BH88" s="35">
        <f>SUMIF('Resource Demand - Activity'!$FT:$FT,Example!$G88,'Resource Demand - Activity'!BC:BC)</f>
        <v>0</v>
      </c>
      <c r="BI88" s="35">
        <f>SUMIF('Resource Demand - Activity'!$FT:$FT,Example!$G88,'Resource Demand - Activity'!BD:BD)</f>
        <v>0</v>
      </c>
      <c r="BJ88" s="35">
        <f>SUMIF('Resource Demand - Activity'!$FT:$FT,Example!$G88,'Resource Demand - Activity'!BE:BE)</f>
        <v>0</v>
      </c>
      <c r="BK88" s="35">
        <f>SUMIF('Resource Demand - Activity'!$FT:$FT,Example!$G88,'Resource Demand - Activity'!BF:BF)</f>
        <v>0</v>
      </c>
      <c r="BL88" s="35">
        <f>SUMIF('Resource Demand - Activity'!$FT:$FT,Example!$G88,'Resource Demand - Activity'!BG:BG)</f>
        <v>0</v>
      </c>
      <c r="BM88" s="35">
        <f>SUMIF('Resource Demand - Activity'!$FT:$FT,Example!$G88,'Resource Demand - Activity'!BH:BH)</f>
        <v>0</v>
      </c>
      <c r="BN88" s="35">
        <f>SUMIF('Resource Demand - Activity'!$FT:$FT,Example!$G88,'Resource Demand - Activity'!BI:BI)</f>
        <v>0</v>
      </c>
      <c r="BO88" s="35">
        <f>SUMIF('Resource Demand - Activity'!$FT:$FT,Example!$G88,'Resource Demand - Activity'!BJ:BJ)</f>
        <v>0</v>
      </c>
      <c r="BP88" s="35">
        <f>SUMIF('Resource Demand - Activity'!$FT:$FT,Example!$G88,'Resource Demand - Activity'!BK:BK)</f>
        <v>0</v>
      </c>
      <c r="BQ88" s="35">
        <f>SUMIF('Resource Demand - Activity'!$FT:$FT,Example!$G88,'Resource Demand - Activity'!BL:BL)</f>
        <v>0</v>
      </c>
      <c r="BR88" s="35">
        <f>SUMIF('Resource Demand - Activity'!$FT:$FT,Example!$G88,'Resource Demand - Activity'!BM:BM)</f>
        <v>0</v>
      </c>
      <c r="BS88" s="35">
        <f>SUMIF('Resource Demand - Activity'!$FT:$FT,Example!$G88,'Resource Demand - Activity'!BN:BN)</f>
        <v>0</v>
      </c>
      <c r="BT88" s="35">
        <f>SUMIF('Resource Demand - Activity'!$FT:$FT,Example!$G88,'Resource Demand - Activity'!BO:BO)</f>
        <v>0</v>
      </c>
      <c r="BU88" s="35">
        <f>SUMIF('Resource Demand - Activity'!$FT:$FT,Example!$G88,'Resource Demand - Activity'!BP:BP)</f>
        <v>0</v>
      </c>
      <c r="BV88" s="35">
        <f>SUMIF('Resource Demand - Activity'!$FT:$FT,Example!$G88,'Resource Demand - Activity'!BQ:BQ)</f>
        <v>0</v>
      </c>
      <c r="BW88" s="35">
        <f>SUMIF('Resource Demand - Activity'!$FT:$FT,Example!$G88,'Resource Demand - Activity'!BR:BR)</f>
        <v>0</v>
      </c>
      <c r="BX88" s="35">
        <f>SUMIF('Resource Demand - Activity'!$FT:$FT,Example!$G88,'Resource Demand - Activity'!BS:BS)</f>
        <v>0</v>
      </c>
      <c r="BY88" s="35">
        <f>SUMIF('Resource Demand - Activity'!$FT:$FT,Example!$G88,'Resource Demand - Activity'!BT:BT)</f>
        <v>0</v>
      </c>
      <c r="BZ88" s="35">
        <f>SUMIF('Resource Demand - Activity'!$FT:$FT,Example!$G88,'Resource Demand - Activity'!BU:BU)</f>
        <v>0</v>
      </c>
      <c r="CA88" s="35">
        <f>SUMIF('Resource Demand - Activity'!$FT:$FT,Example!$G88,'Resource Demand - Activity'!BV:BV)</f>
        <v>0</v>
      </c>
      <c r="CB88" s="35">
        <f>SUMIF('Resource Demand - Activity'!$FT:$FT,Example!$G88,'Resource Demand - Activity'!BW:BW)</f>
        <v>0</v>
      </c>
      <c r="CC88" s="35">
        <f>SUMIF('Resource Demand - Activity'!$FT:$FT,Example!$G88,'Resource Demand - Activity'!BX:BX)</f>
        <v>0</v>
      </c>
      <c r="CD88" s="35">
        <f>SUMIF('Resource Demand - Activity'!$FT:$FT,Example!$G88,'Resource Demand - Activity'!BY:BY)</f>
        <v>0</v>
      </c>
      <c r="CE88" s="35">
        <f>SUMIF('Resource Demand - Activity'!$FT:$FT,Example!$G88,'Resource Demand - Activity'!BZ:BZ)</f>
        <v>0</v>
      </c>
      <c r="CF88" s="35">
        <f>SUMIF('Resource Demand - Activity'!$FT:$FT,Example!$G88,'Resource Demand - Activity'!CA:CA)</f>
        <v>0</v>
      </c>
      <c r="CG88" s="35">
        <f>SUMIF('Resource Demand - Activity'!$FT:$FT,Example!$G88,'Resource Demand - Activity'!CB:CB)</f>
        <v>0</v>
      </c>
      <c r="CH88" s="35">
        <f>SUMIF('Resource Demand - Activity'!$FT:$FT,Example!$G88,'Resource Demand - Activity'!CC:CC)</f>
        <v>0</v>
      </c>
      <c r="CI88" s="35">
        <f>SUMIF('Resource Demand - Activity'!$FT:$FT,Example!$G88,'Resource Demand - Activity'!CD:CD)</f>
        <v>0</v>
      </c>
      <c r="CJ88" s="35">
        <f>SUMIF('Resource Demand - Activity'!$FT:$FT,Example!$G88,'Resource Demand - Activity'!CE:CE)</f>
        <v>0</v>
      </c>
      <c r="CK88" s="35">
        <f>SUMIF('Resource Demand - Activity'!$FT:$FT,Example!$G88,'Resource Demand - Activity'!CF:CF)</f>
        <v>0</v>
      </c>
      <c r="CL88" s="35">
        <f>SUMIF('Resource Demand - Activity'!$FT:$FT,Example!$G88,'Resource Demand - Activity'!CG:CG)</f>
        <v>0</v>
      </c>
      <c r="CM88" s="35">
        <f>SUMIF('Resource Demand - Activity'!$FT:$FT,Example!$G88,'Resource Demand - Activity'!CH:CH)</f>
        <v>0</v>
      </c>
      <c r="CN88" s="35">
        <f>SUMIF('Resource Demand - Activity'!$FT:$FT,Example!$G88,'Resource Demand - Activity'!CI:CI)</f>
        <v>0</v>
      </c>
      <c r="CO88" s="35">
        <f>SUMIF('Resource Demand - Activity'!$FT:$FT,Example!$G88,'Resource Demand - Activity'!CJ:CJ)</f>
        <v>0</v>
      </c>
      <c r="CP88" s="35">
        <f>SUMIF('Resource Demand - Activity'!$FT:$FT,Example!$G88,'Resource Demand - Activity'!CK:CK)</f>
        <v>0</v>
      </c>
      <c r="CQ88" s="35">
        <f>SUMIF('Resource Demand - Activity'!$FT:$FT,Example!$G88,'Resource Demand - Activity'!CL:CL)</f>
        <v>0</v>
      </c>
      <c r="CR88" s="35">
        <f>SUMIF('Resource Demand - Activity'!$FT:$FT,Example!$G88,'Resource Demand - Activity'!CM:CM)</f>
        <v>0</v>
      </c>
      <c r="CS88" s="35">
        <f>SUMIF('Resource Demand - Activity'!$FT:$FT,Example!$G88,'Resource Demand - Activity'!CN:CN)</f>
        <v>0</v>
      </c>
      <c r="CT88" s="35">
        <f>SUMIF('Resource Demand - Activity'!$FT:$FT,Example!$G88,'Resource Demand - Activity'!CO:CO)</f>
        <v>0</v>
      </c>
      <c r="CU88" s="35">
        <f>SUMIF('Resource Demand - Activity'!$FT:$FT,Example!$G88,'Resource Demand - Activity'!CP:CP)</f>
        <v>0</v>
      </c>
      <c r="CV88" s="35">
        <f>SUMIF('Resource Demand - Activity'!$FT:$FT,Example!$G88,'Resource Demand - Activity'!CQ:CQ)</f>
        <v>0</v>
      </c>
      <c r="CW88" s="35">
        <f>SUMIF('Resource Demand - Activity'!$FT:$FT,Example!$G88,'Resource Demand - Activity'!CR:CR)</f>
        <v>0</v>
      </c>
      <c r="CX88" s="35">
        <f>SUMIF('Resource Demand - Activity'!$FT:$FT,Example!$G88,'Resource Demand - Activity'!CS:CS)</f>
        <v>0</v>
      </c>
      <c r="CY88" s="36">
        <f>SUMIF('Resource Demand - Activity'!$FT:$FT,Example!$G88,'Resource Demand - Activity'!CT:CT)</f>
        <v>0</v>
      </c>
      <c r="CZ88" s="35">
        <f>SUMIF('Resource Demand - Activity'!$FT:$FT,Example!$G88,'Resource Demand - Activity'!CU:CU)</f>
        <v>0</v>
      </c>
      <c r="DA88" s="35">
        <f>SUMIF('Resource Demand - Activity'!$FT:$FT,Example!$G88,'Resource Demand - Activity'!CV:CV)</f>
        <v>0</v>
      </c>
      <c r="DB88" s="35">
        <f>SUMIF('Resource Demand - Activity'!$FT:$FT,Example!$G88,'Resource Demand - Activity'!CW:CW)</f>
        <v>0</v>
      </c>
      <c r="DC88" s="35">
        <f>SUMIF('Resource Demand - Activity'!$FT:$FT,Example!$G88,'Resource Demand - Activity'!CX:CX)</f>
        <v>0</v>
      </c>
      <c r="DD88" s="35">
        <f>SUMIF('Resource Demand - Activity'!$FT:$FT,Example!$G88,'Resource Demand - Activity'!CY:CY)</f>
        <v>0</v>
      </c>
      <c r="DE88" s="36">
        <f>SUMIF('Resource Demand - Activity'!$FT:$FT,Example!$G88,'Resource Demand - Activity'!CZ:CZ)</f>
        <v>0</v>
      </c>
      <c r="DF88" s="36">
        <f>SUMIF('Resource Demand - Activity'!$FT:$FT,Example!$G88,'Resource Demand - Activity'!DA:DA)</f>
        <v>0</v>
      </c>
      <c r="DG88" s="35">
        <f>SUMIF('Resource Demand - Activity'!$FT:$FT,Example!$G88,'Resource Demand - Activity'!DB:DB)</f>
        <v>0</v>
      </c>
      <c r="DH88" s="35">
        <f>SUMIF('Resource Demand - Activity'!$FT:$FT,Example!$G88,'Resource Demand - Activity'!DC:DC)</f>
        <v>0</v>
      </c>
      <c r="DI88" s="35">
        <f>SUMIF('Resource Demand - Activity'!$FT:$FT,Example!$G88,'Resource Demand - Activity'!DD:DD)</f>
        <v>0</v>
      </c>
      <c r="DJ88" s="35">
        <f>SUMIF('Resource Demand - Activity'!$FT:$FT,Example!$G88,'Resource Demand - Activity'!DE:DE)</f>
        <v>0</v>
      </c>
      <c r="DK88" s="35">
        <f>SUMIF('Resource Demand - Activity'!$FT:$FT,Example!$G88,'Resource Demand - Activity'!DF:DF)</f>
        <v>0</v>
      </c>
      <c r="DL88" s="35">
        <f>SUMIF('Resource Demand - Activity'!$FT:$FT,Example!$G88,'Resource Demand - Activity'!DG:DG)</f>
        <v>0</v>
      </c>
      <c r="DM88" s="35">
        <f>SUMIF('Resource Demand - Activity'!$FT:$FT,Example!$G88,'Resource Demand - Activity'!DH:DH)</f>
        <v>0</v>
      </c>
      <c r="DN88" s="35">
        <f>SUMIF('Resource Demand - Activity'!$FT:$FT,Example!$G88,'Resource Demand - Activity'!DI:DI)</f>
        <v>0</v>
      </c>
      <c r="DO88" s="35">
        <f>SUMIF('Resource Demand - Activity'!$FT:$FT,Example!$G88,'Resource Demand - Activity'!DJ:DJ)</f>
        <v>0</v>
      </c>
      <c r="DP88" s="35">
        <f>SUMIF('Resource Demand - Activity'!$FT:$FT,Example!$G88,'Resource Demand - Activity'!DK:DK)</f>
        <v>0</v>
      </c>
      <c r="DQ88" s="35">
        <f>SUMIF('Resource Demand - Activity'!$FT:$FT,Example!$G88,'Resource Demand - Activity'!DL:DL)</f>
        <v>0</v>
      </c>
      <c r="DR88" s="35">
        <f>SUMIF('Resource Demand - Activity'!$FT:$FT,Example!$G88,'Resource Demand - Activity'!DM:DM)</f>
        <v>0</v>
      </c>
      <c r="DS88" s="35">
        <f>SUMIF('Resource Demand - Activity'!$FT:$FT,Example!$G88,'Resource Demand - Activity'!DN:DN)</f>
        <v>0</v>
      </c>
      <c r="DT88" s="35">
        <f>SUMIF('Resource Demand - Activity'!$FT:$FT,Example!$G88,'Resource Demand - Activity'!DO:DO)</f>
        <v>0</v>
      </c>
      <c r="DU88" s="35">
        <f>SUMIF('Resource Demand - Activity'!$FT:$FT,Example!$G88,'Resource Demand - Activity'!DP:DP)</f>
        <v>0</v>
      </c>
      <c r="DV88" s="35">
        <f>SUMIF('Resource Demand - Activity'!$FT:$FT,Example!$G88,'Resource Demand - Activity'!DQ:DQ)</f>
        <v>0</v>
      </c>
      <c r="DW88" s="35">
        <f>SUMIF('Resource Demand - Activity'!$FT:$FT,Example!$G88,'Resource Demand - Activity'!DR:DR)</f>
        <v>0</v>
      </c>
      <c r="DX88" s="35">
        <f>SUMIF('Resource Demand - Activity'!$FT:$FT,Example!$G88,'Resource Demand - Activity'!DS:DS)</f>
        <v>0</v>
      </c>
      <c r="DY88" s="35">
        <f>SUMIF('Resource Demand - Activity'!$FT:$FT,Example!$G88,'Resource Demand - Activity'!DT:DT)</f>
        <v>0</v>
      </c>
      <c r="DZ88" s="35">
        <f>SUMIF('Resource Demand - Activity'!$FT:$FT,Example!$G88,'Resource Demand - Activity'!DU:DU)</f>
        <v>0</v>
      </c>
      <c r="EA88" s="35">
        <f>SUMIF('Resource Demand - Activity'!$FT:$FT,Example!$G88,'Resource Demand - Activity'!DV:DV)</f>
        <v>0</v>
      </c>
      <c r="EB88" s="35">
        <f>SUMIF('Resource Demand - Activity'!$FT:$FT,Example!$G88,'Resource Demand - Activity'!DW:DW)</f>
        <v>0</v>
      </c>
      <c r="EC88" s="35">
        <f>SUMIF('Resource Demand - Activity'!$FT:$FT,Example!$G88,'Resource Demand - Activity'!DX:DX)</f>
        <v>0</v>
      </c>
      <c r="ED88" s="35">
        <f>SUMIF('Resource Demand - Activity'!$FT:$FT,Example!$G88,'Resource Demand - Activity'!DY:DY)</f>
        <v>0</v>
      </c>
      <c r="EE88" s="36">
        <f>SUMIF('Resource Demand - Activity'!$FT:$FT,Example!$G88,'Resource Demand - Activity'!DZ:DZ)</f>
        <v>0</v>
      </c>
      <c r="EF88" s="35">
        <f>SUMIF('Resource Demand - Activity'!$FT:$FT,Example!$G88,'Resource Demand - Activity'!EA:EA)</f>
        <v>0</v>
      </c>
      <c r="EG88" s="35">
        <f>SUMIF('Resource Demand - Activity'!$FT:$FT,Example!$G88,'Resource Demand - Activity'!EB:EB)</f>
        <v>0</v>
      </c>
      <c r="EH88" s="35">
        <f>SUMIF('Resource Demand - Activity'!$FT:$FT,Example!$G88,'Resource Demand - Activity'!EC:EC)</f>
        <v>0</v>
      </c>
      <c r="EI88" s="35">
        <f>SUMIF('Resource Demand - Activity'!$FT:$FT,Example!$G88,'Resource Demand - Activity'!ED:ED)</f>
        <v>0</v>
      </c>
      <c r="EJ88" s="35">
        <f>SUMIF('Resource Demand - Activity'!$FT:$FT,Example!$G88,'Resource Demand - Activity'!EE:EE)</f>
        <v>0</v>
      </c>
      <c r="EK88" s="35">
        <f>SUMIF('Resource Demand - Activity'!$FT:$FT,Example!$G88,'Resource Demand - Activity'!EF:EF)</f>
        <v>0</v>
      </c>
      <c r="EL88" s="35">
        <f>SUMIF('Resource Demand - Activity'!$FT:$FT,Example!$G88,'Resource Demand - Activity'!EG:EG)</f>
        <v>0</v>
      </c>
      <c r="EM88" s="35">
        <f>SUMIF('Resource Demand - Activity'!$FT:$FT,Example!$G88,'Resource Demand - Activity'!EH:EH)</f>
        <v>0</v>
      </c>
      <c r="EN88" s="35">
        <f>SUMIF('Resource Demand - Activity'!$FT:$FT,Example!$G88,'Resource Demand - Activity'!EI:EI)</f>
        <v>0</v>
      </c>
      <c r="EO88" s="35">
        <f>SUMIF('Resource Demand - Activity'!$FT:$FT,Example!$G88,'Resource Demand - Activity'!EJ:EJ)</f>
        <v>0</v>
      </c>
      <c r="EP88" s="35">
        <f>SUMIF('Resource Demand - Activity'!$FT:$FT,Example!$G88,'Resource Demand - Activity'!EK:EK)</f>
        <v>0</v>
      </c>
      <c r="EQ88" s="35">
        <f>SUMIF('Resource Demand - Activity'!$FT:$FT,Example!$G88,'Resource Demand - Activity'!EL:EL)</f>
        <v>0</v>
      </c>
      <c r="ER88" s="35">
        <f>SUMIF('Resource Demand - Activity'!$FT:$FT,Example!$G88,'Resource Demand - Activity'!EM:EM)</f>
        <v>0</v>
      </c>
      <c r="ES88" s="35">
        <f>SUMIF('Resource Demand - Activity'!$FT:$FT,Example!$G88,'Resource Demand - Activity'!EN:EN)</f>
        <v>0</v>
      </c>
      <c r="ET88" s="35">
        <f>SUMIF('Resource Demand - Activity'!$FT:$FT,Example!$G88,'Resource Demand - Activity'!EO:EO)</f>
        <v>0</v>
      </c>
      <c r="EU88" s="35">
        <f>SUMIF('Resource Demand - Activity'!$FT:$FT,Example!$G88,'Resource Demand - Activity'!EP:EP)</f>
        <v>0</v>
      </c>
      <c r="EV88" s="35">
        <f>SUMIF('Resource Demand - Activity'!$FT:$FT,Example!$G88,'Resource Demand - Activity'!EQ:EQ)</f>
        <v>0</v>
      </c>
      <c r="EW88" s="35">
        <f>SUMIF('Resource Demand - Activity'!$FT:$FT,Example!$G88,'Resource Demand - Activity'!ER:ER)</f>
        <v>0</v>
      </c>
      <c r="EX88" s="35">
        <f>SUMIF('Resource Demand - Activity'!$FT:$FT,Example!$G88,'Resource Demand - Activity'!ES:ES)</f>
        <v>0</v>
      </c>
      <c r="EY88" s="35">
        <f>SUMIF('Resource Demand - Activity'!$FT:$FT,Example!$G88,'Resource Demand - Activity'!ET:ET)</f>
        <v>0</v>
      </c>
      <c r="EZ88" s="35">
        <f>SUMIF('Resource Demand - Activity'!$FT:$FT,Example!$G88,'Resource Demand - Activity'!EU:EU)</f>
        <v>0</v>
      </c>
      <c r="FA88" s="35">
        <f>SUMIF('Resource Demand - Activity'!$FT:$FT,Example!$G88,'Resource Demand - Activity'!EV:EV)</f>
        <v>0</v>
      </c>
      <c r="FB88" s="35">
        <f>SUMIF('Resource Demand - Activity'!$FT:$FT,Example!$G88,'Resource Demand - Activity'!EW:EW)</f>
        <v>0</v>
      </c>
      <c r="FC88" s="35">
        <f>SUMIF('Resource Demand - Activity'!$FT:$FT,Example!$G88,'Resource Demand - Activity'!EX:EX)</f>
        <v>0</v>
      </c>
      <c r="FD88" s="36">
        <f>SUMIF('Resource Demand - Activity'!$FT:$FT,Example!$G88,'Resource Demand - Activity'!EY:EY)</f>
        <v>0</v>
      </c>
      <c r="FE88" s="35">
        <f>SUMIF('Resource Demand - Activity'!$FT:$FT,Example!$G88,'Resource Demand - Activity'!EZ:EZ)</f>
        <v>0</v>
      </c>
      <c r="FF88" s="35">
        <f>SUMIF('Resource Demand - Activity'!$FT:$FT,Example!$G88,'Resource Demand - Activity'!FA:FA)</f>
        <v>0</v>
      </c>
      <c r="FG88" s="35">
        <f>SUMIF('Resource Demand - Activity'!$FT:$FT,Example!$G88,'Resource Demand - Activity'!FB:FB)</f>
        <v>0</v>
      </c>
      <c r="FH88" s="35">
        <f>SUMIF('Resource Demand - Activity'!$FT:$FT,Example!$G88,'Resource Demand - Activity'!FC:FC)</f>
        <v>0</v>
      </c>
      <c r="FI88" s="35">
        <f>SUMIF('Resource Demand - Activity'!$FT:$FT,Example!$G88,'Resource Demand - Activity'!FD:FD)</f>
        <v>0</v>
      </c>
      <c r="FJ88" s="35">
        <f>SUMIF('Resource Demand - Activity'!$FT:$FT,Example!$G88,'Resource Demand - Activity'!FE:FE)</f>
        <v>0</v>
      </c>
      <c r="FK88" s="35">
        <f>SUMIF('Resource Demand - Activity'!$FT:$FT,Example!$G88,'Resource Demand - Activity'!FF:FF)</f>
        <v>0</v>
      </c>
      <c r="FL88" s="35">
        <f>SUMIF('Resource Demand - Activity'!$FT:$FT,Example!$G88,'Resource Demand - Activity'!FG:FG)</f>
        <v>0</v>
      </c>
      <c r="FM88" s="35">
        <f>SUMIF('Resource Demand - Activity'!$FT:$FT,Example!$G88,'Resource Demand - Activity'!FH:FH)</f>
        <v>0</v>
      </c>
      <c r="FN88" s="35">
        <f>SUMIF('Resource Demand - Activity'!$FT:$FT,Example!$G88,'Resource Demand - Activity'!FI:FI)</f>
        <v>0</v>
      </c>
      <c r="FO88" s="35">
        <f>SUMIF('Resource Demand - Activity'!$FT:$FT,Example!$G88,'Resource Demand - Activity'!FJ:FJ)</f>
        <v>0</v>
      </c>
      <c r="FP88" s="35">
        <f>SUMIF('Resource Demand - Activity'!$FT:$FT,Example!$G88,'Resource Demand - Activity'!FK:FK)</f>
        <v>0</v>
      </c>
      <c r="FQ88" s="35">
        <f>SUMIF('Resource Demand - Activity'!$FT:$FT,Example!$G88,'Resource Demand - Activity'!FL:FL)</f>
        <v>0</v>
      </c>
      <c r="FR88" s="35">
        <f>SUMIF('Resource Demand - Activity'!$FT:$FT,Example!$G88,'Resource Demand - Activity'!FM:FM)</f>
        <v>0</v>
      </c>
      <c r="FS88" s="35">
        <f>SUMIF('Resource Demand - Activity'!$FT:$FT,Example!$G88,'Resource Demand - Activity'!FN:FN)</f>
        <v>0</v>
      </c>
      <c r="FT88" s="35">
        <f>SUMIF('Resource Demand - Activity'!$FT:$FT,Example!$G88,'Resource Demand - Activity'!FO:FO)</f>
        <v>0</v>
      </c>
      <c r="FU88" s="35">
        <f>SUMIF('Resource Demand - Activity'!$FT:$FT,Example!$G88,'Resource Demand - Activity'!FP:FP)</f>
        <v>0</v>
      </c>
      <c r="FV88" s="52">
        <f>SUMIF('Resource Demand - Activity'!$FT:$FT,Example!$G88,'Resource Demand - Activity'!FQ:FQ)</f>
        <v>0</v>
      </c>
    </row>
    <row r="89" spans="7:178" s="63" customFormat="1" ht="12" customHeight="1">
      <c r="G89" s="64" t="str">
        <f t="shared" si="15"/>
        <v>10. BAU Transition 10.8 NSTs/ECB Development &amp; Reporting TM1 Analyst</v>
      </c>
      <c r="H89" s="82" t="s">
        <v>143</v>
      </c>
      <c r="I89" s="59" t="str">
        <f>INDEX('Resource Demand - Activity'!C:C,MATCH(Example!G89,'Resource Demand - Activity'!FT:FT,0))</f>
        <v>3 days</v>
      </c>
      <c r="J89" s="53">
        <f>SUMIF('Resource Demand - Activity'!$FT:$FT,Example!$G89,'Resource Demand - Activity'!E:E)</f>
        <v>0</v>
      </c>
      <c r="K89" s="54">
        <f>SUMIF('Resource Demand - Activity'!$FT:$FT,Example!$G89,'Resource Demand - Activity'!F:F)</f>
        <v>0</v>
      </c>
      <c r="L89" s="54">
        <f>SUMIF('Resource Demand - Activity'!$FT:$FT,Example!$G89,'Resource Demand - Activity'!G:G)</f>
        <v>0</v>
      </c>
      <c r="M89" s="54">
        <f>SUMIF('Resource Demand - Activity'!$FT:$FT,Example!$G89,'Resource Demand - Activity'!H:H)</f>
        <v>0</v>
      </c>
      <c r="N89" s="54">
        <f>SUMIF('Resource Demand - Activity'!$FT:$FT,Example!$G89,'Resource Demand - Activity'!I:I)</f>
        <v>0</v>
      </c>
      <c r="O89" s="54">
        <f>SUMIF('Resource Demand - Activity'!$FT:$FT,Example!$G89,'Resource Demand - Activity'!J:J)</f>
        <v>0</v>
      </c>
      <c r="P89" s="54">
        <f>SUMIF('Resource Demand - Activity'!$FT:$FT,Example!$G89,'Resource Demand - Activity'!K:K)</f>
        <v>0</v>
      </c>
      <c r="Q89" s="54">
        <f>SUMIF('Resource Demand - Activity'!$FT:$FT,Example!$G89,'Resource Demand - Activity'!L:L)</f>
        <v>0</v>
      </c>
      <c r="R89" s="54">
        <f>SUMIF('Resource Demand - Activity'!$FT:$FT,Example!$G89,'Resource Demand - Activity'!M:M)</f>
        <v>0</v>
      </c>
      <c r="S89" s="54">
        <f>SUMIF('Resource Demand - Activity'!$FT:$FT,Example!$G89,'Resource Demand - Activity'!N:N)</f>
        <v>0</v>
      </c>
      <c r="T89" s="54">
        <f>SUMIF('Resource Demand - Activity'!$FT:$FT,Example!$G89,'Resource Demand - Activity'!O:O)</f>
        <v>0</v>
      </c>
      <c r="U89" s="54">
        <f>SUMIF('Resource Demand - Activity'!$FT:$FT,Example!$G89,'Resource Demand - Activity'!P:P)</f>
        <v>0</v>
      </c>
      <c r="V89" s="54">
        <f>SUMIF('Resource Demand - Activity'!$FT:$FT,Example!$G89,'Resource Demand - Activity'!Q:Q)</f>
        <v>0</v>
      </c>
      <c r="W89" s="54">
        <f>SUMIF('Resource Demand - Activity'!$FT:$FT,Example!$G89,'Resource Demand - Activity'!R:R)</f>
        <v>0</v>
      </c>
      <c r="X89" s="54">
        <f>SUMIF('Resource Demand - Activity'!$FT:$FT,Example!$G89,'Resource Demand - Activity'!S:S)</f>
        <v>0</v>
      </c>
      <c r="Y89" s="54">
        <f>SUMIF('Resource Demand - Activity'!$FT:$FT,Example!$G89,'Resource Demand - Activity'!T:T)</f>
        <v>0</v>
      </c>
      <c r="Z89" s="54">
        <f>SUMIF('Resource Demand - Activity'!$FT:$FT,Example!$G89,'Resource Demand - Activity'!U:U)</f>
        <v>0</v>
      </c>
      <c r="AA89" s="54">
        <f>SUMIF('Resource Demand - Activity'!$FT:$FT,Example!$G89,'Resource Demand - Activity'!V:V)</f>
        <v>0</v>
      </c>
      <c r="AB89" s="54">
        <f>SUMIF('Resource Demand - Activity'!$FT:$FT,Example!$G89,'Resource Demand - Activity'!W:W)</f>
        <v>0</v>
      </c>
      <c r="AC89" s="54">
        <f>SUMIF('Resource Demand - Activity'!$FT:$FT,Example!$G89,'Resource Demand - Activity'!X:X)</f>
        <v>0</v>
      </c>
      <c r="AD89" s="54">
        <f>SUMIF('Resource Demand - Activity'!$FT:$FT,Example!$G89,'Resource Demand - Activity'!Y:Y)</f>
        <v>0</v>
      </c>
      <c r="AE89" s="54">
        <f>SUMIF('Resource Demand - Activity'!$FT:$FT,Example!$G89,'Resource Demand - Activity'!Z:Z)</f>
        <v>0</v>
      </c>
      <c r="AF89" s="54">
        <f>SUMIF('Resource Demand - Activity'!$FT:$FT,Example!$G89,'Resource Demand - Activity'!AA:AA)</f>
        <v>0</v>
      </c>
      <c r="AG89" s="54">
        <f>SUMIF('Resource Demand - Activity'!$FT:$FT,Example!$G89,'Resource Demand - Activity'!AB:AB)</f>
        <v>0</v>
      </c>
      <c r="AH89" s="54">
        <f>SUMIF('Resource Demand - Activity'!$FT:$FT,Example!$G89,'Resource Demand - Activity'!AC:AC)</f>
        <v>0</v>
      </c>
      <c r="AI89" s="54">
        <f>SUMIF('Resource Demand - Activity'!$FT:$FT,Example!$G89,'Resource Demand - Activity'!AD:AD)</f>
        <v>0</v>
      </c>
      <c r="AJ89" s="54">
        <f>SUMIF('Resource Demand - Activity'!$FT:$FT,Example!$G89,'Resource Demand - Activity'!AE:AE)</f>
        <v>0</v>
      </c>
      <c r="AK89" s="54">
        <f>SUMIF('Resource Demand - Activity'!$FT:$FT,Example!$G89,'Resource Demand - Activity'!AF:AF)</f>
        <v>0</v>
      </c>
      <c r="AL89" s="54">
        <f>SUMIF('Resource Demand - Activity'!$FT:$FT,Example!$G89,'Resource Demand - Activity'!AG:AG)</f>
        <v>0</v>
      </c>
      <c r="AM89" s="54">
        <f>SUMIF('Resource Demand - Activity'!$FT:$FT,Example!$G89,'Resource Demand - Activity'!AH:AH)</f>
        <v>0</v>
      </c>
      <c r="AN89" s="54">
        <f>SUMIF('Resource Demand - Activity'!$FT:$FT,Example!$G89,'Resource Demand - Activity'!AI:AI)</f>
        <v>0</v>
      </c>
      <c r="AO89" s="54">
        <f>SUMIF('Resource Demand - Activity'!$FT:$FT,Example!$G89,'Resource Demand - Activity'!AJ:AJ)</f>
        <v>0</v>
      </c>
      <c r="AP89" s="54">
        <f>SUMIF('Resource Demand - Activity'!$FT:$FT,Example!$G89,'Resource Demand - Activity'!AK:AK)</f>
        <v>0</v>
      </c>
      <c r="AQ89" s="55">
        <f>SUMIF('Resource Demand - Activity'!$FT:$FT,Example!$G89,'Resource Demand - Activity'!AL:AL)</f>
        <v>0</v>
      </c>
      <c r="AR89" s="55">
        <f>SUMIF('Resource Demand - Activity'!$FT:$FT,Example!$G89,'Resource Demand - Activity'!AM:AM)</f>
        <v>0</v>
      </c>
      <c r="AS89" s="55">
        <f>SUMIF('Resource Demand - Activity'!$FT:$FT,Example!$G89,'Resource Demand - Activity'!AN:AN)</f>
        <v>0</v>
      </c>
      <c r="AT89" s="55">
        <f>SUMIF('Resource Demand - Activity'!$FT:$FT,Example!$G89,'Resource Demand - Activity'!AO:AO)</f>
        <v>0</v>
      </c>
      <c r="AU89" s="55">
        <f>SUMIF('Resource Demand - Activity'!$FT:$FT,Example!$G89,'Resource Demand - Activity'!AP:AP)</f>
        <v>0</v>
      </c>
      <c r="AV89" s="55">
        <f>SUMIF('Resource Demand - Activity'!$FT:$FT,Example!$G89,'Resource Demand - Activity'!AQ:AQ)</f>
        <v>0</v>
      </c>
      <c r="AW89" s="55">
        <f>SUMIF('Resource Demand - Activity'!$FT:$FT,Example!$G89,'Resource Demand - Activity'!AR:AR)</f>
        <v>0</v>
      </c>
      <c r="AX89" s="54">
        <f>SUMIF('Resource Demand - Activity'!$FT:$FT,Example!$G89,'Resource Demand - Activity'!AS:AS)</f>
        <v>0</v>
      </c>
      <c r="AY89" s="54">
        <f>SUMIF('Resource Demand - Activity'!$FT:$FT,Example!$G89,'Resource Demand - Activity'!AT:AT)</f>
        <v>0</v>
      </c>
      <c r="AZ89" s="54">
        <f>SUMIF('Resource Demand - Activity'!$FT:$FT,Example!$G89,'Resource Demand - Activity'!AU:AU)</f>
        <v>0</v>
      </c>
      <c r="BA89" s="54">
        <f>SUMIF('Resource Demand - Activity'!$FT:$FT,Example!$G89,'Resource Demand - Activity'!AV:AV)</f>
        <v>0</v>
      </c>
      <c r="BB89" s="54">
        <f>SUMIF('Resource Demand - Activity'!$FT:$FT,Example!$G89,'Resource Demand - Activity'!AW:AW)</f>
        <v>0</v>
      </c>
      <c r="BC89" s="54">
        <f>SUMIF('Resource Demand - Activity'!$FT:$FT,Example!$G89,'Resource Demand - Activity'!AX:AX)</f>
        <v>0</v>
      </c>
      <c r="BD89" s="54">
        <f>SUMIF('Resource Demand - Activity'!$FT:$FT,Example!$G89,'Resource Demand - Activity'!AY:AY)</f>
        <v>0</v>
      </c>
      <c r="BE89" s="54">
        <f>SUMIF('Resource Demand - Activity'!$FT:$FT,Example!$G89,'Resource Demand - Activity'!AZ:AZ)</f>
        <v>0</v>
      </c>
      <c r="BF89" s="54">
        <f>SUMIF('Resource Demand - Activity'!$FT:$FT,Example!$G89,'Resource Demand - Activity'!BA:BA)</f>
        <v>0</v>
      </c>
      <c r="BG89" s="54">
        <f>SUMIF('Resource Demand - Activity'!$FT:$FT,Example!$G89,'Resource Demand - Activity'!BB:BB)</f>
        <v>0</v>
      </c>
      <c r="BH89" s="54">
        <f>SUMIF('Resource Demand - Activity'!$FT:$FT,Example!$G89,'Resource Demand - Activity'!BC:BC)</f>
        <v>0</v>
      </c>
      <c r="BI89" s="54">
        <f>SUMIF('Resource Demand - Activity'!$FT:$FT,Example!$G89,'Resource Demand - Activity'!BD:BD)</f>
        <v>0</v>
      </c>
      <c r="BJ89" s="54">
        <f>SUMIF('Resource Demand - Activity'!$FT:$FT,Example!$G89,'Resource Demand - Activity'!BE:BE)</f>
        <v>0</v>
      </c>
      <c r="BK89" s="54">
        <f>SUMIF('Resource Demand - Activity'!$FT:$FT,Example!$G89,'Resource Demand - Activity'!BF:BF)</f>
        <v>0</v>
      </c>
      <c r="BL89" s="54">
        <f>SUMIF('Resource Demand - Activity'!$FT:$FT,Example!$G89,'Resource Demand - Activity'!BG:BG)</f>
        <v>0</v>
      </c>
      <c r="BM89" s="54">
        <f>SUMIF('Resource Demand - Activity'!$FT:$FT,Example!$G89,'Resource Demand - Activity'!BH:BH)</f>
        <v>0</v>
      </c>
      <c r="BN89" s="54">
        <f>SUMIF('Resource Demand - Activity'!$FT:$FT,Example!$G89,'Resource Demand - Activity'!BI:BI)</f>
        <v>0</v>
      </c>
      <c r="BO89" s="54">
        <f>SUMIF('Resource Demand - Activity'!$FT:$FT,Example!$G89,'Resource Demand - Activity'!BJ:BJ)</f>
        <v>0</v>
      </c>
      <c r="BP89" s="54">
        <f>SUMIF('Resource Demand - Activity'!$FT:$FT,Example!$G89,'Resource Demand - Activity'!BK:BK)</f>
        <v>0</v>
      </c>
      <c r="BQ89" s="54">
        <f>SUMIF('Resource Demand - Activity'!$FT:$FT,Example!$G89,'Resource Demand - Activity'!BL:BL)</f>
        <v>0</v>
      </c>
      <c r="BR89" s="54">
        <f>SUMIF('Resource Demand - Activity'!$FT:$FT,Example!$G89,'Resource Demand - Activity'!BM:BM)</f>
        <v>0</v>
      </c>
      <c r="BS89" s="54">
        <f>SUMIF('Resource Demand - Activity'!$FT:$FT,Example!$G89,'Resource Demand - Activity'!BN:BN)</f>
        <v>0</v>
      </c>
      <c r="BT89" s="54">
        <f>SUMIF('Resource Demand - Activity'!$FT:$FT,Example!$G89,'Resource Demand - Activity'!BO:BO)</f>
        <v>0</v>
      </c>
      <c r="BU89" s="54">
        <f>SUMIF('Resource Demand - Activity'!$FT:$FT,Example!$G89,'Resource Demand - Activity'!BP:BP)</f>
        <v>0</v>
      </c>
      <c r="BV89" s="54">
        <f>SUMIF('Resource Demand - Activity'!$FT:$FT,Example!$G89,'Resource Demand - Activity'!BQ:BQ)</f>
        <v>0</v>
      </c>
      <c r="BW89" s="54">
        <f>SUMIF('Resource Demand - Activity'!$FT:$FT,Example!$G89,'Resource Demand - Activity'!BR:BR)</f>
        <v>0</v>
      </c>
      <c r="BX89" s="54">
        <f>SUMIF('Resource Demand - Activity'!$FT:$FT,Example!$G89,'Resource Demand - Activity'!BS:BS)</f>
        <v>0</v>
      </c>
      <c r="BY89" s="54">
        <f>SUMIF('Resource Demand - Activity'!$FT:$FT,Example!$G89,'Resource Demand - Activity'!BT:BT)</f>
        <v>0</v>
      </c>
      <c r="BZ89" s="54">
        <f>SUMIF('Resource Demand - Activity'!$FT:$FT,Example!$G89,'Resource Demand - Activity'!BU:BU)</f>
        <v>0</v>
      </c>
      <c r="CA89" s="54">
        <f>SUMIF('Resource Demand - Activity'!$FT:$FT,Example!$G89,'Resource Demand - Activity'!BV:BV)</f>
        <v>0</v>
      </c>
      <c r="CB89" s="54">
        <f>SUMIF('Resource Demand - Activity'!$FT:$FT,Example!$G89,'Resource Demand - Activity'!BW:BW)</f>
        <v>0</v>
      </c>
      <c r="CC89" s="54">
        <f>SUMIF('Resource Demand - Activity'!$FT:$FT,Example!$G89,'Resource Demand - Activity'!BX:BX)</f>
        <v>0</v>
      </c>
      <c r="CD89" s="54">
        <f>SUMIF('Resource Demand - Activity'!$FT:$FT,Example!$G89,'Resource Demand - Activity'!BY:BY)</f>
        <v>0</v>
      </c>
      <c r="CE89" s="54">
        <f>SUMIF('Resource Demand - Activity'!$FT:$FT,Example!$G89,'Resource Demand - Activity'!BZ:BZ)</f>
        <v>0</v>
      </c>
      <c r="CF89" s="54">
        <f>SUMIF('Resource Demand - Activity'!$FT:$FT,Example!$G89,'Resource Demand - Activity'!CA:CA)</f>
        <v>0</v>
      </c>
      <c r="CG89" s="54">
        <f>SUMIF('Resource Demand - Activity'!$FT:$FT,Example!$G89,'Resource Demand - Activity'!CB:CB)</f>
        <v>0</v>
      </c>
      <c r="CH89" s="54">
        <f>SUMIF('Resource Demand - Activity'!$FT:$FT,Example!$G89,'Resource Demand - Activity'!CC:CC)</f>
        <v>0</v>
      </c>
      <c r="CI89" s="54">
        <f>SUMIF('Resource Demand - Activity'!$FT:$FT,Example!$G89,'Resource Demand - Activity'!CD:CD)</f>
        <v>0</v>
      </c>
      <c r="CJ89" s="54">
        <f>SUMIF('Resource Demand - Activity'!$FT:$FT,Example!$G89,'Resource Demand - Activity'!CE:CE)</f>
        <v>0</v>
      </c>
      <c r="CK89" s="54">
        <f>SUMIF('Resource Demand - Activity'!$FT:$FT,Example!$G89,'Resource Demand - Activity'!CF:CF)</f>
        <v>0</v>
      </c>
      <c r="CL89" s="54">
        <f>SUMIF('Resource Demand - Activity'!$FT:$FT,Example!$G89,'Resource Demand - Activity'!CG:CG)</f>
        <v>0</v>
      </c>
      <c r="CM89" s="54">
        <f>SUMIF('Resource Demand - Activity'!$FT:$FT,Example!$G89,'Resource Demand - Activity'!CH:CH)</f>
        <v>0</v>
      </c>
      <c r="CN89" s="54">
        <f>SUMIF('Resource Demand - Activity'!$FT:$FT,Example!$G89,'Resource Demand - Activity'!CI:CI)</f>
        <v>0</v>
      </c>
      <c r="CO89" s="54">
        <f>SUMIF('Resource Demand - Activity'!$FT:$FT,Example!$G89,'Resource Demand - Activity'!CJ:CJ)</f>
        <v>0</v>
      </c>
      <c r="CP89" s="54">
        <f>SUMIF('Resource Demand - Activity'!$FT:$FT,Example!$G89,'Resource Demand - Activity'!CK:CK)</f>
        <v>0</v>
      </c>
      <c r="CQ89" s="54">
        <f>SUMIF('Resource Demand - Activity'!$FT:$FT,Example!$G89,'Resource Demand - Activity'!CL:CL)</f>
        <v>0</v>
      </c>
      <c r="CR89" s="54">
        <f>SUMIF('Resource Demand - Activity'!$FT:$FT,Example!$G89,'Resource Demand - Activity'!CM:CM)</f>
        <v>0</v>
      </c>
      <c r="CS89" s="54">
        <f>SUMIF('Resource Demand - Activity'!$FT:$FT,Example!$G89,'Resource Demand - Activity'!CN:CN)</f>
        <v>0</v>
      </c>
      <c r="CT89" s="54">
        <f>SUMIF('Resource Demand - Activity'!$FT:$FT,Example!$G89,'Resource Demand - Activity'!CO:CO)</f>
        <v>0</v>
      </c>
      <c r="CU89" s="54">
        <f>SUMIF('Resource Demand - Activity'!$FT:$FT,Example!$G89,'Resource Demand - Activity'!CP:CP)</f>
        <v>0</v>
      </c>
      <c r="CV89" s="54">
        <f>SUMIF('Resource Demand - Activity'!$FT:$FT,Example!$G89,'Resource Demand - Activity'!CQ:CQ)</f>
        <v>0</v>
      </c>
      <c r="CW89" s="54">
        <f>SUMIF('Resource Demand - Activity'!$FT:$FT,Example!$G89,'Resource Demand - Activity'!CR:CR)</f>
        <v>0</v>
      </c>
      <c r="CX89" s="54">
        <f>SUMIF('Resource Demand - Activity'!$FT:$FT,Example!$G89,'Resource Demand - Activity'!CS:CS)</f>
        <v>0</v>
      </c>
      <c r="CY89" s="55">
        <f>SUMIF('Resource Demand - Activity'!$FT:$FT,Example!$G89,'Resource Demand - Activity'!CT:CT)</f>
        <v>0</v>
      </c>
      <c r="CZ89" s="54">
        <f>SUMIF('Resource Demand - Activity'!$FT:$FT,Example!$G89,'Resource Demand - Activity'!CU:CU)</f>
        <v>0</v>
      </c>
      <c r="DA89" s="54">
        <f>SUMIF('Resource Demand - Activity'!$FT:$FT,Example!$G89,'Resource Demand - Activity'!CV:CV)</f>
        <v>0</v>
      </c>
      <c r="DB89" s="54">
        <f>SUMIF('Resource Demand - Activity'!$FT:$FT,Example!$G89,'Resource Demand - Activity'!CW:CW)</f>
        <v>0</v>
      </c>
      <c r="DC89" s="54">
        <f>SUMIF('Resource Demand - Activity'!$FT:$FT,Example!$G89,'Resource Demand - Activity'!CX:CX)</f>
        <v>0</v>
      </c>
      <c r="DD89" s="54">
        <f>SUMIF('Resource Demand - Activity'!$FT:$FT,Example!$G89,'Resource Demand - Activity'!CY:CY)</f>
        <v>0</v>
      </c>
      <c r="DE89" s="55">
        <f>SUMIF('Resource Demand - Activity'!$FT:$FT,Example!$G89,'Resource Demand - Activity'!CZ:CZ)</f>
        <v>0</v>
      </c>
      <c r="DF89" s="55">
        <f>SUMIF('Resource Demand - Activity'!$FT:$FT,Example!$G89,'Resource Demand - Activity'!DA:DA)</f>
        <v>0</v>
      </c>
      <c r="DG89" s="54">
        <f>SUMIF('Resource Demand - Activity'!$FT:$FT,Example!$G89,'Resource Demand - Activity'!DB:DB)</f>
        <v>0</v>
      </c>
      <c r="DH89" s="54">
        <f>SUMIF('Resource Demand - Activity'!$FT:$FT,Example!$G89,'Resource Demand - Activity'!DC:DC)</f>
        <v>0</v>
      </c>
      <c r="DI89" s="54">
        <f>SUMIF('Resource Demand - Activity'!$FT:$FT,Example!$G89,'Resource Demand - Activity'!DD:DD)</f>
        <v>0</v>
      </c>
      <c r="DJ89" s="54">
        <f>SUMIF('Resource Demand - Activity'!$FT:$FT,Example!$G89,'Resource Demand - Activity'!DE:DE)</f>
        <v>0</v>
      </c>
      <c r="DK89" s="54">
        <f>SUMIF('Resource Demand - Activity'!$FT:$FT,Example!$G89,'Resource Demand - Activity'!DF:DF)</f>
        <v>0</v>
      </c>
      <c r="DL89" s="54">
        <f>SUMIF('Resource Demand - Activity'!$FT:$FT,Example!$G89,'Resource Demand - Activity'!DG:DG)</f>
        <v>0</v>
      </c>
      <c r="DM89" s="54">
        <f>SUMIF('Resource Demand - Activity'!$FT:$FT,Example!$G89,'Resource Demand - Activity'!DH:DH)</f>
        <v>0</v>
      </c>
      <c r="DN89" s="54">
        <f>SUMIF('Resource Demand - Activity'!$FT:$FT,Example!$G89,'Resource Demand - Activity'!DI:DI)</f>
        <v>0</v>
      </c>
      <c r="DO89" s="54">
        <f>SUMIF('Resource Demand - Activity'!$FT:$FT,Example!$G89,'Resource Demand - Activity'!DJ:DJ)</f>
        <v>0</v>
      </c>
      <c r="DP89" s="54">
        <f>SUMIF('Resource Demand - Activity'!$FT:$FT,Example!$G89,'Resource Demand - Activity'!DK:DK)</f>
        <v>0</v>
      </c>
      <c r="DQ89" s="54">
        <f>SUMIF('Resource Demand - Activity'!$FT:$FT,Example!$G89,'Resource Demand - Activity'!DL:DL)</f>
        <v>0</v>
      </c>
      <c r="DR89" s="54">
        <f>SUMIF('Resource Demand - Activity'!$FT:$FT,Example!$G89,'Resource Demand - Activity'!DM:DM)</f>
        <v>0</v>
      </c>
      <c r="DS89" s="54">
        <f>SUMIF('Resource Demand - Activity'!$FT:$FT,Example!$G89,'Resource Demand - Activity'!DN:DN)</f>
        <v>0</v>
      </c>
      <c r="DT89" s="54">
        <f>SUMIF('Resource Demand - Activity'!$FT:$FT,Example!$G89,'Resource Demand - Activity'!DO:DO)</f>
        <v>0</v>
      </c>
      <c r="DU89" s="54">
        <f>SUMIF('Resource Demand - Activity'!$FT:$FT,Example!$G89,'Resource Demand - Activity'!DP:DP)</f>
        <v>0</v>
      </c>
      <c r="DV89" s="54">
        <f>SUMIF('Resource Demand - Activity'!$FT:$FT,Example!$G89,'Resource Demand - Activity'!DQ:DQ)</f>
        <v>0</v>
      </c>
      <c r="DW89" s="54">
        <f>SUMIF('Resource Demand - Activity'!$FT:$FT,Example!$G89,'Resource Demand - Activity'!DR:DR)</f>
        <v>0</v>
      </c>
      <c r="DX89" s="54">
        <f>SUMIF('Resource Demand - Activity'!$FT:$FT,Example!$G89,'Resource Demand - Activity'!DS:DS)</f>
        <v>0</v>
      </c>
      <c r="DY89" s="54">
        <f>SUMIF('Resource Demand - Activity'!$FT:$FT,Example!$G89,'Resource Demand - Activity'!DT:DT)</f>
        <v>0</v>
      </c>
      <c r="DZ89" s="54">
        <f>SUMIF('Resource Demand - Activity'!$FT:$FT,Example!$G89,'Resource Demand - Activity'!DU:DU)</f>
        <v>0</v>
      </c>
      <c r="EA89" s="54">
        <f>SUMIF('Resource Demand - Activity'!$FT:$FT,Example!$G89,'Resource Demand - Activity'!DV:DV)</f>
        <v>0</v>
      </c>
      <c r="EB89" s="54">
        <f>SUMIF('Resource Demand - Activity'!$FT:$FT,Example!$G89,'Resource Demand - Activity'!DW:DW)</f>
        <v>0</v>
      </c>
      <c r="EC89" s="54">
        <f>SUMIF('Resource Demand - Activity'!$FT:$FT,Example!$G89,'Resource Demand - Activity'!DX:DX)</f>
        <v>0</v>
      </c>
      <c r="ED89" s="54">
        <f>SUMIF('Resource Demand - Activity'!$FT:$FT,Example!$G89,'Resource Demand - Activity'!DY:DY)</f>
        <v>0</v>
      </c>
      <c r="EE89" s="55">
        <f>SUMIF('Resource Demand - Activity'!$FT:$FT,Example!$G89,'Resource Demand - Activity'!DZ:DZ)</f>
        <v>0</v>
      </c>
      <c r="EF89" s="54">
        <f>SUMIF('Resource Demand - Activity'!$FT:$FT,Example!$G89,'Resource Demand - Activity'!EA:EA)</f>
        <v>0</v>
      </c>
      <c r="EG89" s="54">
        <f>SUMIF('Resource Demand - Activity'!$FT:$FT,Example!$G89,'Resource Demand - Activity'!EB:EB)</f>
        <v>0</v>
      </c>
      <c r="EH89" s="54">
        <f>SUMIF('Resource Demand - Activity'!$FT:$FT,Example!$G89,'Resource Demand - Activity'!EC:EC)</f>
        <v>0</v>
      </c>
      <c r="EI89" s="54">
        <f>SUMIF('Resource Demand - Activity'!$FT:$FT,Example!$G89,'Resource Demand - Activity'!ED:ED)</f>
        <v>0</v>
      </c>
      <c r="EJ89" s="54">
        <f>SUMIF('Resource Demand - Activity'!$FT:$FT,Example!$G89,'Resource Demand - Activity'!EE:EE)</f>
        <v>0</v>
      </c>
      <c r="EK89" s="54">
        <f>SUMIF('Resource Demand - Activity'!$FT:$FT,Example!$G89,'Resource Demand - Activity'!EF:EF)</f>
        <v>0</v>
      </c>
      <c r="EL89" s="54">
        <f>SUMIF('Resource Demand - Activity'!$FT:$FT,Example!$G89,'Resource Demand - Activity'!EG:EG)</f>
        <v>0</v>
      </c>
      <c r="EM89" s="54">
        <f>SUMIF('Resource Demand - Activity'!$FT:$FT,Example!$G89,'Resource Demand - Activity'!EH:EH)</f>
        <v>0</v>
      </c>
      <c r="EN89" s="54">
        <f>SUMIF('Resource Demand - Activity'!$FT:$FT,Example!$G89,'Resource Demand - Activity'!EI:EI)</f>
        <v>0</v>
      </c>
      <c r="EO89" s="54">
        <f>SUMIF('Resource Demand - Activity'!$FT:$FT,Example!$G89,'Resource Demand - Activity'!EJ:EJ)</f>
        <v>0</v>
      </c>
      <c r="EP89" s="54">
        <f>SUMIF('Resource Demand - Activity'!$FT:$FT,Example!$G89,'Resource Demand - Activity'!EK:EK)</f>
        <v>0</v>
      </c>
      <c r="EQ89" s="54">
        <f>SUMIF('Resource Demand - Activity'!$FT:$FT,Example!$G89,'Resource Demand - Activity'!EL:EL)</f>
        <v>0</v>
      </c>
      <c r="ER89" s="54">
        <f>SUMIF('Resource Demand - Activity'!$FT:$FT,Example!$G89,'Resource Demand - Activity'!EM:EM)</f>
        <v>0</v>
      </c>
      <c r="ES89" s="54">
        <f>SUMIF('Resource Demand - Activity'!$FT:$FT,Example!$G89,'Resource Demand - Activity'!EN:EN)</f>
        <v>0</v>
      </c>
      <c r="ET89" s="54">
        <f>SUMIF('Resource Demand - Activity'!$FT:$FT,Example!$G89,'Resource Demand - Activity'!EO:EO)</f>
        <v>0</v>
      </c>
      <c r="EU89" s="54">
        <f>SUMIF('Resource Demand - Activity'!$FT:$FT,Example!$G89,'Resource Demand - Activity'!EP:EP)</f>
        <v>0</v>
      </c>
      <c r="EV89" s="54">
        <f>SUMIF('Resource Demand - Activity'!$FT:$FT,Example!$G89,'Resource Demand - Activity'!EQ:EQ)</f>
        <v>0</v>
      </c>
      <c r="EW89" s="54">
        <f>SUMIF('Resource Demand - Activity'!$FT:$FT,Example!$G89,'Resource Demand - Activity'!ER:ER)</f>
        <v>0</v>
      </c>
      <c r="EX89" s="54">
        <f>SUMIF('Resource Demand - Activity'!$FT:$FT,Example!$G89,'Resource Demand - Activity'!ES:ES)</f>
        <v>0</v>
      </c>
      <c r="EY89" s="54">
        <f>SUMIF('Resource Demand - Activity'!$FT:$FT,Example!$G89,'Resource Demand - Activity'!ET:ET)</f>
        <v>0</v>
      </c>
      <c r="EZ89" s="54">
        <f>SUMIF('Resource Demand - Activity'!$FT:$FT,Example!$G89,'Resource Demand - Activity'!EU:EU)</f>
        <v>0</v>
      </c>
      <c r="FA89" s="54">
        <f>SUMIF('Resource Demand - Activity'!$FT:$FT,Example!$G89,'Resource Demand - Activity'!EV:EV)</f>
        <v>0</v>
      </c>
      <c r="FB89" s="54">
        <f>SUMIF('Resource Demand - Activity'!$FT:$FT,Example!$G89,'Resource Demand - Activity'!EW:EW)</f>
        <v>0</v>
      </c>
      <c r="FC89" s="54">
        <f>SUMIF('Resource Demand - Activity'!$FT:$FT,Example!$G89,'Resource Demand - Activity'!EX:EX)</f>
        <v>0</v>
      </c>
      <c r="FD89" s="55">
        <f>SUMIF('Resource Demand - Activity'!$FT:$FT,Example!$G89,'Resource Demand - Activity'!EY:EY)</f>
        <v>0</v>
      </c>
      <c r="FE89" s="54">
        <f>SUMIF('Resource Demand - Activity'!$FT:$FT,Example!$G89,'Resource Demand - Activity'!EZ:EZ)</f>
        <v>0</v>
      </c>
      <c r="FF89" s="54">
        <f>SUMIF('Resource Demand - Activity'!$FT:$FT,Example!$G89,'Resource Demand - Activity'!FA:FA)</f>
        <v>0</v>
      </c>
      <c r="FG89" s="54">
        <f>SUMIF('Resource Demand - Activity'!$FT:$FT,Example!$G89,'Resource Demand - Activity'!FB:FB)</f>
        <v>0</v>
      </c>
      <c r="FH89" s="54">
        <f>SUMIF('Resource Demand - Activity'!$FT:$FT,Example!$G89,'Resource Demand - Activity'!FC:FC)</f>
        <v>0</v>
      </c>
      <c r="FI89" s="54">
        <f>SUMIF('Resource Demand - Activity'!$FT:$FT,Example!$G89,'Resource Demand - Activity'!FD:FD)</f>
        <v>0</v>
      </c>
      <c r="FJ89" s="54">
        <f>SUMIF('Resource Demand - Activity'!$FT:$FT,Example!$G89,'Resource Demand - Activity'!FE:FE)</f>
        <v>0</v>
      </c>
      <c r="FK89" s="54">
        <f>SUMIF('Resource Demand - Activity'!$FT:$FT,Example!$G89,'Resource Demand - Activity'!FF:FF)</f>
        <v>0</v>
      </c>
      <c r="FL89" s="54">
        <f>SUMIF('Resource Demand - Activity'!$FT:$FT,Example!$G89,'Resource Demand - Activity'!FG:FG)</f>
        <v>0</v>
      </c>
      <c r="FM89" s="54">
        <f>SUMIF('Resource Demand - Activity'!$FT:$FT,Example!$G89,'Resource Demand - Activity'!FH:FH)</f>
        <v>1</v>
      </c>
      <c r="FN89" s="54">
        <f>SUMIF('Resource Demand - Activity'!$FT:$FT,Example!$G89,'Resource Demand - Activity'!FI:FI)</f>
        <v>1</v>
      </c>
      <c r="FO89" s="54">
        <f>SUMIF('Resource Demand - Activity'!$FT:$FT,Example!$G89,'Resource Demand - Activity'!FJ:FJ)</f>
        <v>1</v>
      </c>
      <c r="FP89" s="54">
        <f>SUMIF('Resource Demand - Activity'!$FT:$FT,Example!$G89,'Resource Demand - Activity'!FK:FK)</f>
        <v>0</v>
      </c>
      <c r="FQ89" s="54">
        <f>SUMIF('Resource Demand - Activity'!$FT:$FT,Example!$G89,'Resource Demand - Activity'!FL:FL)</f>
        <v>0</v>
      </c>
      <c r="FR89" s="54">
        <f>SUMIF('Resource Demand - Activity'!$FT:$FT,Example!$G89,'Resource Demand - Activity'!FM:FM)</f>
        <v>0</v>
      </c>
      <c r="FS89" s="54">
        <f>SUMIF('Resource Demand - Activity'!$FT:$FT,Example!$G89,'Resource Demand - Activity'!FN:FN)</f>
        <v>0</v>
      </c>
      <c r="FT89" s="54">
        <f>SUMIF('Resource Demand - Activity'!$FT:$FT,Example!$G89,'Resource Demand - Activity'!FO:FO)</f>
        <v>0</v>
      </c>
      <c r="FU89" s="54">
        <f>SUMIF('Resource Demand - Activity'!$FT:$FT,Example!$G89,'Resource Demand - Activity'!FP:FP)</f>
        <v>0</v>
      </c>
      <c r="FV89" s="56">
        <f>SUMIF('Resource Demand - Activity'!$FT:$FT,Example!$G89,'Resource Demand - Activity'!FQ:FQ)</f>
        <v>0</v>
      </c>
    </row>
    <row r="90" spans="7:178" s="63" customFormat="1" ht="12" customHeight="1"/>
  </sheetData>
  <mergeCells count="49">
    <mergeCell ref="H59:I59"/>
    <mergeCell ref="H78:I78"/>
    <mergeCell ref="DJ77:EE77"/>
    <mergeCell ref="EF77:EZ77"/>
    <mergeCell ref="FA77:FV77"/>
    <mergeCell ref="J77:Y77"/>
    <mergeCell ref="Z77:AV77"/>
    <mergeCell ref="AW77:BQ77"/>
    <mergeCell ref="BR77:CL77"/>
    <mergeCell ref="CM77:DI77"/>
    <mergeCell ref="DJ58:EE58"/>
    <mergeCell ref="EF58:EZ58"/>
    <mergeCell ref="FA58:FV58"/>
    <mergeCell ref="J36:Y36"/>
    <mergeCell ref="Z36:AV36"/>
    <mergeCell ref="AW36:BQ36"/>
    <mergeCell ref="BR36:CL36"/>
    <mergeCell ref="CM36:DI36"/>
    <mergeCell ref="DJ36:EE36"/>
    <mergeCell ref="EF36:EZ36"/>
    <mergeCell ref="FA36:FV36"/>
    <mergeCell ref="J58:Y58"/>
    <mergeCell ref="Z58:AV58"/>
    <mergeCell ref="AW58:BQ58"/>
    <mergeCell ref="BR58:CL58"/>
    <mergeCell ref="CM58:DI58"/>
    <mergeCell ref="DJ1:EE1"/>
    <mergeCell ref="EF1:EZ1"/>
    <mergeCell ref="FA1:FV1"/>
    <mergeCell ref="H37:I37"/>
    <mergeCell ref="J1:Y1"/>
    <mergeCell ref="Z1:AV1"/>
    <mergeCell ref="AW1:BQ1"/>
    <mergeCell ref="BR1:CL1"/>
    <mergeCell ref="CM1:DI1"/>
    <mergeCell ref="H2:I2"/>
    <mergeCell ref="C46:D46"/>
    <mergeCell ref="E42:E44"/>
    <mergeCell ref="E48:E50"/>
    <mergeCell ref="C52:D52"/>
    <mergeCell ref="E15:E17"/>
    <mergeCell ref="E19:E21"/>
    <mergeCell ref="E24:E26"/>
    <mergeCell ref="E30:E32"/>
    <mergeCell ref="E35:E37"/>
    <mergeCell ref="C22:D22"/>
    <mergeCell ref="C27:D27"/>
    <mergeCell ref="C33:D33"/>
    <mergeCell ref="C38:D38"/>
  </mergeCells>
  <conditionalFormatting sqref="FD16:FV16 J16:EX16 J17:FV17 J18:EV18 J19:FG19 J20:FQ20 J3:J20 J4:AP32 AX3:CX32 CZ3:DD32 DG3:ED32 EF3:FC32 FE3:FV32 J37:FV56 J21:FV34 J2:FV15 J59:FV75 J78:FV89">
    <cfRule type="expression" dxfId="7" priority="70">
      <formula>IF(AND(J2&gt;0),1,0)=1</formula>
    </cfRule>
  </conditionalFormatting>
  <conditionalFormatting sqref="J77:FV89">
    <cfRule type="expression" dxfId="6" priority="98">
      <formula>IF(AND(J77&gt;0,#REF!="L"),1,0)=1</formula>
    </cfRule>
    <cfRule type="expression" dxfId="5" priority="99">
      <formula>IF(AND(J77&gt;0,#REF!="M"),1,0)=1</formula>
    </cfRule>
    <cfRule type="expression" dxfId="4" priority="100">
      <formula>IF(AND(J77&gt;0,#REF!="H"),1,0)=1</formula>
    </cfRule>
  </conditionalFormatting>
  <conditionalFormatting sqref="J36:FV37 J1:FV2 J58:FV75 J77:FV89">
    <cfRule type="expression" dxfId="3" priority="104">
      <formula>IF(AND(ISNUMBER(J1),#REF!="T"),1,0)=1</formula>
    </cfRule>
  </conditionalFormatting>
  <conditionalFormatting sqref="J79:FV89 J36:FV37 J1:FV2 J58:FV75">
    <cfRule type="expression" dxfId="2" priority="114">
      <formula>IF(AND(J1&gt;0,#REF!="L"),1,0)=1</formula>
    </cfRule>
    <cfRule type="expression" dxfId="1" priority="115">
      <formula>IF(AND(J1&gt;0,#REF!="M"),1,0)=1</formula>
    </cfRule>
    <cfRule type="expression" dxfId="0" priority="116">
      <formula>IF(AND(J1&gt;0,#REF!="H"),1,0)=1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A1:C255"/>
  <sheetViews>
    <sheetView topLeftCell="A43" workbookViewId="0">
      <selection activeCell="B60" sqref="B60"/>
    </sheetView>
  </sheetViews>
  <sheetFormatPr defaultRowHeight="15"/>
  <cols>
    <col min="1" max="1" width="9.42578125" style="17" bestFit="1" customWidth="1"/>
    <col min="2" max="2" width="9" style="2" bestFit="1" customWidth="1"/>
  </cols>
  <sheetData>
    <row r="1" spans="1:3">
      <c r="A1" s="17" t="s">
        <v>41</v>
      </c>
      <c r="B1" s="2" t="s">
        <v>0</v>
      </c>
    </row>
    <row r="2" spans="1:3">
      <c r="A2" s="1" t="s">
        <v>20</v>
      </c>
      <c r="B2" s="16">
        <v>42310</v>
      </c>
      <c r="C2" s="1" t="s">
        <v>42</v>
      </c>
    </row>
    <row r="3" spans="1:3">
      <c r="A3" s="1" t="s">
        <v>21</v>
      </c>
      <c r="B3" s="16">
        <v>42311</v>
      </c>
      <c r="C3" s="1" t="s">
        <v>43</v>
      </c>
    </row>
    <row r="4" spans="1:3">
      <c r="A4" s="1" t="s">
        <v>22</v>
      </c>
      <c r="B4" s="16">
        <v>42312</v>
      </c>
      <c r="C4" s="1" t="s">
        <v>44</v>
      </c>
    </row>
    <row r="5" spans="1:3">
      <c r="A5" s="1" t="s">
        <v>23</v>
      </c>
      <c r="B5" s="16">
        <v>42313</v>
      </c>
      <c r="C5" s="1" t="s">
        <v>45</v>
      </c>
    </row>
    <row r="6" spans="1:3">
      <c r="A6" s="1" t="s">
        <v>24</v>
      </c>
      <c r="B6" s="16">
        <v>42314</v>
      </c>
      <c r="C6" s="1" t="s">
        <v>46</v>
      </c>
    </row>
    <row r="7" spans="1:3">
      <c r="A7" s="1" t="s">
        <v>3</v>
      </c>
      <c r="B7" s="16">
        <v>42315</v>
      </c>
      <c r="C7" s="1" t="s">
        <v>47</v>
      </c>
    </row>
    <row r="8" spans="1:3">
      <c r="A8" s="1" t="s">
        <v>3</v>
      </c>
      <c r="B8" s="16">
        <v>42316</v>
      </c>
      <c r="C8" s="1" t="s">
        <v>48</v>
      </c>
    </row>
    <row r="9" spans="1:3">
      <c r="A9" s="1" t="s">
        <v>25</v>
      </c>
      <c r="B9" s="16">
        <v>42317</v>
      </c>
      <c r="C9" s="1" t="s">
        <v>42</v>
      </c>
    </row>
    <row r="10" spans="1:3">
      <c r="A10" s="1" t="s">
        <v>26</v>
      </c>
      <c r="B10" s="16">
        <v>42318</v>
      </c>
      <c r="C10" s="1" t="s">
        <v>43</v>
      </c>
    </row>
    <row r="11" spans="1:3">
      <c r="A11" s="1" t="s">
        <v>27</v>
      </c>
      <c r="B11" s="16">
        <v>42319</v>
      </c>
      <c r="C11" s="1" t="s">
        <v>44</v>
      </c>
    </row>
    <row r="12" spans="1:3">
      <c r="A12" s="1" t="s">
        <v>28</v>
      </c>
      <c r="B12" s="16">
        <v>42320</v>
      </c>
      <c r="C12" s="1" t="s">
        <v>45</v>
      </c>
    </row>
    <row r="13" spans="1:3">
      <c r="A13" s="1" t="s">
        <v>29</v>
      </c>
      <c r="B13" s="16">
        <v>42321</v>
      </c>
      <c r="C13" s="1" t="s">
        <v>46</v>
      </c>
    </row>
    <row r="14" spans="1:3">
      <c r="A14" s="1" t="s">
        <v>3</v>
      </c>
      <c r="B14" s="16">
        <v>42322</v>
      </c>
      <c r="C14" s="1" t="s">
        <v>47</v>
      </c>
    </row>
    <row r="15" spans="1:3">
      <c r="A15" s="1" t="s">
        <v>3</v>
      </c>
      <c r="B15" s="16">
        <v>42323</v>
      </c>
      <c r="C15" s="1" t="s">
        <v>48</v>
      </c>
    </row>
    <row r="16" spans="1:3">
      <c r="A16" s="1" t="s">
        <v>30</v>
      </c>
      <c r="B16" s="16">
        <v>42324</v>
      </c>
      <c r="C16" s="1" t="s">
        <v>42</v>
      </c>
    </row>
    <row r="17" spans="1:3">
      <c r="A17" s="1" t="s">
        <v>31</v>
      </c>
      <c r="B17" s="16">
        <v>42325</v>
      </c>
      <c r="C17" s="1" t="s">
        <v>43</v>
      </c>
    </row>
    <row r="18" spans="1:3">
      <c r="A18" s="1" t="s">
        <v>32</v>
      </c>
      <c r="B18" s="16">
        <v>42326</v>
      </c>
      <c r="C18" s="1" t="s">
        <v>44</v>
      </c>
    </row>
    <row r="19" spans="1:3">
      <c r="A19" s="1" t="s">
        <v>33</v>
      </c>
      <c r="B19" s="16">
        <v>42327</v>
      </c>
      <c r="C19" s="1" t="s">
        <v>45</v>
      </c>
    </row>
    <row r="20" spans="1:3">
      <c r="A20" s="1" t="s">
        <v>34</v>
      </c>
      <c r="B20" s="16">
        <v>42328</v>
      </c>
      <c r="C20" s="1" t="s">
        <v>46</v>
      </c>
    </row>
    <row r="21" spans="1:3">
      <c r="A21" s="1" t="s">
        <v>3</v>
      </c>
      <c r="B21" s="16">
        <v>42329</v>
      </c>
      <c r="C21" s="1" t="s">
        <v>47</v>
      </c>
    </row>
    <row r="22" spans="1:3">
      <c r="A22" s="1" t="s">
        <v>3</v>
      </c>
      <c r="B22" s="16">
        <v>42330</v>
      </c>
      <c r="C22" s="1" t="s">
        <v>48</v>
      </c>
    </row>
    <row r="23" spans="1:3">
      <c r="A23" s="1" t="s">
        <v>35</v>
      </c>
      <c r="B23" s="16">
        <v>42331</v>
      </c>
      <c r="C23" s="1" t="s">
        <v>42</v>
      </c>
    </row>
    <row r="24" spans="1:3">
      <c r="A24" s="1" t="s">
        <v>36</v>
      </c>
      <c r="B24" s="16">
        <v>42332</v>
      </c>
      <c r="C24" s="1" t="s">
        <v>43</v>
      </c>
    </row>
    <row r="25" spans="1:3">
      <c r="A25" s="1" t="s">
        <v>37</v>
      </c>
      <c r="B25" s="16">
        <v>42333</v>
      </c>
      <c r="C25" s="1" t="s">
        <v>44</v>
      </c>
    </row>
    <row r="26" spans="1:3">
      <c r="A26" s="1" t="s">
        <v>38</v>
      </c>
      <c r="B26" s="16">
        <v>42334</v>
      </c>
      <c r="C26" s="1" t="s">
        <v>45</v>
      </c>
    </row>
    <row r="27" spans="1:3">
      <c r="A27" s="1" t="s">
        <v>39</v>
      </c>
      <c r="B27" s="16">
        <v>42335</v>
      </c>
      <c r="C27" s="1" t="s">
        <v>46</v>
      </c>
    </row>
    <row r="28" spans="1:3">
      <c r="A28" s="1" t="s">
        <v>3</v>
      </c>
      <c r="B28" s="16">
        <v>42336</v>
      </c>
      <c r="C28" s="1" t="s">
        <v>47</v>
      </c>
    </row>
    <row r="29" spans="1:3">
      <c r="A29" s="1" t="s">
        <v>3</v>
      </c>
      <c r="B29" s="16">
        <v>42337</v>
      </c>
      <c r="C29" s="1" t="s">
        <v>48</v>
      </c>
    </row>
    <row r="30" spans="1:3">
      <c r="A30" s="1" t="s">
        <v>40</v>
      </c>
      <c r="B30" s="16">
        <v>42338</v>
      </c>
      <c r="C30" s="1" t="s">
        <v>42</v>
      </c>
    </row>
    <row r="31" spans="1:3">
      <c r="A31" s="1" t="s">
        <v>20</v>
      </c>
      <c r="B31" s="16">
        <v>42339</v>
      </c>
      <c r="C31" s="1" t="s">
        <v>43</v>
      </c>
    </row>
    <row r="32" spans="1:3">
      <c r="A32" s="1" t="s">
        <v>21</v>
      </c>
      <c r="B32" s="16">
        <v>42340</v>
      </c>
      <c r="C32" s="1" t="s">
        <v>44</v>
      </c>
    </row>
    <row r="33" spans="1:3">
      <c r="A33" s="1" t="s">
        <v>22</v>
      </c>
      <c r="B33" s="16">
        <v>42341</v>
      </c>
      <c r="C33" s="1" t="s">
        <v>45</v>
      </c>
    </row>
    <row r="34" spans="1:3">
      <c r="A34" s="1" t="s">
        <v>23</v>
      </c>
      <c r="B34" s="16">
        <v>42342</v>
      </c>
      <c r="C34" s="1" t="s">
        <v>46</v>
      </c>
    </row>
    <row r="35" spans="1:3">
      <c r="A35" s="1" t="s">
        <v>3</v>
      </c>
      <c r="B35" s="16">
        <v>42343</v>
      </c>
      <c r="C35" s="1" t="s">
        <v>47</v>
      </c>
    </row>
    <row r="36" spans="1:3">
      <c r="A36" s="1" t="s">
        <v>3</v>
      </c>
      <c r="B36" s="16">
        <v>42344</v>
      </c>
      <c r="C36" s="1" t="s">
        <v>48</v>
      </c>
    </row>
    <row r="37" spans="1:3">
      <c r="A37" s="1" t="s">
        <v>24</v>
      </c>
      <c r="B37" s="16">
        <v>42345</v>
      </c>
      <c r="C37" s="1" t="s">
        <v>42</v>
      </c>
    </row>
    <row r="38" spans="1:3">
      <c r="A38" s="1" t="s">
        <v>25</v>
      </c>
      <c r="B38" s="16">
        <v>42346</v>
      </c>
      <c r="C38" s="1" t="s">
        <v>43</v>
      </c>
    </row>
    <row r="39" spans="1:3">
      <c r="A39" s="1" t="s">
        <v>26</v>
      </c>
      <c r="B39" s="16">
        <v>42347</v>
      </c>
      <c r="C39" s="1" t="s">
        <v>44</v>
      </c>
    </row>
    <row r="40" spans="1:3">
      <c r="A40" s="1" t="s">
        <v>27</v>
      </c>
      <c r="B40" s="16">
        <v>42348</v>
      </c>
      <c r="C40" s="1" t="s">
        <v>45</v>
      </c>
    </row>
    <row r="41" spans="1:3">
      <c r="A41" s="1" t="s">
        <v>28</v>
      </c>
      <c r="B41" s="16">
        <v>42349</v>
      </c>
      <c r="C41" s="1" t="s">
        <v>46</v>
      </c>
    </row>
    <row r="42" spans="1:3">
      <c r="A42" s="1" t="s">
        <v>3</v>
      </c>
      <c r="B42" s="16">
        <v>42350</v>
      </c>
      <c r="C42" s="1" t="s">
        <v>47</v>
      </c>
    </row>
    <row r="43" spans="1:3">
      <c r="A43" s="1" t="s">
        <v>3</v>
      </c>
      <c r="B43" s="16">
        <v>42351</v>
      </c>
      <c r="C43" s="1" t="s">
        <v>48</v>
      </c>
    </row>
    <row r="44" spans="1:3">
      <c r="A44" s="1" t="s">
        <v>29</v>
      </c>
      <c r="B44" s="16">
        <v>42352</v>
      </c>
      <c r="C44" s="1" t="s">
        <v>42</v>
      </c>
    </row>
    <row r="45" spans="1:3">
      <c r="A45" s="1" t="s">
        <v>30</v>
      </c>
      <c r="B45" s="16">
        <v>42353</v>
      </c>
      <c r="C45" s="1" t="s">
        <v>43</v>
      </c>
    </row>
    <row r="46" spans="1:3">
      <c r="A46" s="1" t="s">
        <v>31</v>
      </c>
      <c r="B46" s="16">
        <v>42354</v>
      </c>
      <c r="C46" s="1" t="s">
        <v>44</v>
      </c>
    </row>
    <row r="47" spans="1:3">
      <c r="A47" s="1" t="s">
        <v>32</v>
      </c>
      <c r="B47" s="16">
        <v>42355</v>
      </c>
      <c r="C47" s="1" t="s">
        <v>45</v>
      </c>
    </row>
    <row r="48" spans="1:3">
      <c r="A48" s="1" t="s">
        <v>33</v>
      </c>
      <c r="B48" s="16">
        <v>42356</v>
      </c>
      <c r="C48" s="1" t="s">
        <v>46</v>
      </c>
    </row>
    <row r="49" spans="1:3">
      <c r="A49" s="1" t="s">
        <v>3</v>
      </c>
      <c r="B49" s="16">
        <v>42357</v>
      </c>
      <c r="C49" s="1" t="s">
        <v>47</v>
      </c>
    </row>
    <row r="50" spans="1:3">
      <c r="A50" s="1" t="s">
        <v>3</v>
      </c>
      <c r="B50" s="16">
        <v>42358</v>
      </c>
      <c r="C50" s="1" t="s">
        <v>48</v>
      </c>
    </row>
    <row r="51" spans="1:3">
      <c r="A51" s="1" t="s">
        <v>34</v>
      </c>
      <c r="B51" s="16">
        <v>42359</v>
      </c>
      <c r="C51" s="1" t="s">
        <v>42</v>
      </c>
    </row>
    <row r="52" spans="1:3">
      <c r="A52" s="1" t="s">
        <v>35</v>
      </c>
      <c r="B52" s="16">
        <v>42360</v>
      </c>
      <c r="C52" s="1" t="s">
        <v>43</v>
      </c>
    </row>
    <row r="53" spans="1:3">
      <c r="A53" s="1" t="s">
        <v>36</v>
      </c>
      <c r="B53" s="16">
        <v>42361</v>
      </c>
      <c r="C53" s="1" t="s">
        <v>44</v>
      </c>
    </row>
    <row r="54" spans="1:3">
      <c r="A54" s="1" t="s">
        <v>50</v>
      </c>
      <c r="B54" s="16">
        <v>42362</v>
      </c>
      <c r="C54" s="1" t="s">
        <v>45</v>
      </c>
    </row>
    <row r="55" spans="1:3">
      <c r="A55" s="1" t="s">
        <v>3</v>
      </c>
      <c r="B55" s="16">
        <v>42363</v>
      </c>
      <c r="C55" s="1" t="s">
        <v>46</v>
      </c>
    </row>
    <row r="56" spans="1:3">
      <c r="A56" s="1" t="s">
        <v>3</v>
      </c>
      <c r="B56" s="16">
        <v>42364</v>
      </c>
      <c r="C56" s="1" t="s">
        <v>47</v>
      </c>
    </row>
    <row r="57" spans="1:3">
      <c r="A57" s="1" t="s">
        <v>3</v>
      </c>
      <c r="B57" s="16">
        <v>42365</v>
      </c>
      <c r="C57" s="1" t="s">
        <v>48</v>
      </c>
    </row>
    <row r="58" spans="1:3">
      <c r="A58" s="1" t="s">
        <v>3</v>
      </c>
      <c r="B58" s="16">
        <v>42366</v>
      </c>
      <c r="C58" s="1" t="s">
        <v>42</v>
      </c>
    </row>
    <row r="59" spans="1:3">
      <c r="A59" s="1" t="s">
        <v>3</v>
      </c>
      <c r="B59" s="16">
        <v>42367</v>
      </c>
      <c r="C59" s="1" t="s">
        <v>43</v>
      </c>
    </row>
    <row r="60" spans="1:3">
      <c r="A60" s="1" t="s">
        <v>3</v>
      </c>
      <c r="B60" s="16">
        <v>42368</v>
      </c>
      <c r="C60" s="1" t="s">
        <v>44</v>
      </c>
    </row>
    <row r="61" spans="1:3">
      <c r="A61" s="1" t="s">
        <v>3</v>
      </c>
      <c r="B61" s="16">
        <v>42369</v>
      </c>
      <c r="C61" s="1" t="s">
        <v>45</v>
      </c>
    </row>
    <row r="62" spans="1:3">
      <c r="A62" s="1" t="s">
        <v>3</v>
      </c>
      <c r="B62" s="16">
        <v>42370</v>
      </c>
      <c r="C62" s="1" t="s">
        <v>46</v>
      </c>
    </row>
    <row r="63" spans="1:3">
      <c r="A63" s="1" t="s">
        <v>3</v>
      </c>
      <c r="B63" s="16">
        <v>42371</v>
      </c>
      <c r="C63" s="1" t="s">
        <v>47</v>
      </c>
    </row>
    <row r="64" spans="1:3">
      <c r="A64" s="1" t="s">
        <v>3</v>
      </c>
      <c r="B64" s="16">
        <v>42372</v>
      </c>
      <c r="C64" s="1" t="s">
        <v>48</v>
      </c>
    </row>
    <row r="65" spans="1:3">
      <c r="A65" s="1" t="s">
        <v>20</v>
      </c>
      <c r="B65" s="16">
        <v>42373</v>
      </c>
      <c r="C65" s="1" t="s">
        <v>42</v>
      </c>
    </row>
    <row r="66" spans="1:3">
      <c r="A66" s="1" t="s">
        <v>21</v>
      </c>
      <c r="B66" s="16">
        <v>42374</v>
      </c>
      <c r="C66" s="1" t="s">
        <v>43</v>
      </c>
    </row>
    <row r="67" spans="1:3">
      <c r="A67" s="1" t="s">
        <v>22</v>
      </c>
      <c r="B67" s="16">
        <v>42375</v>
      </c>
      <c r="C67" s="1" t="s">
        <v>44</v>
      </c>
    </row>
    <row r="68" spans="1:3">
      <c r="A68" s="1" t="s">
        <v>23</v>
      </c>
      <c r="B68" s="16">
        <v>42376</v>
      </c>
      <c r="C68" s="1" t="s">
        <v>45</v>
      </c>
    </row>
    <row r="69" spans="1:3">
      <c r="A69" s="1" t="s">
        <v>24</v>
      </c>
      <c r="B69" s="16">
        <v>42377</v>
      </c>
      <c r="C69" s="1" t="s">
        <v>46</v>
      </c>
    </row>
    <row r="70" spans="1:3">
      <c r="A70" s="1" t="s">
        <v>3</v>
      </c>
      <c r="B70" s="16">
        <v>42378</v>
      </c>
      <c r="C70" s="1" t="s">
        <v>47</v>
      </c>
    </row>
    <row r="71" spans="1:3">
      <c r="A71" s="1" t="s">
        <v>3</v>
      </c>
      <c r="B71" s="16">
        <v>42379</v>
      </c>
      <c r="C71" s="1" t="s">
        <v>48</v>
      </c>
    </row>
    <row r="72" spans="1:3">
      <c r="A72" s="1" t="s">
        <v>25</v>
      </c>
      <c r="B72" s="16">
        <v>42380</v>
      </c>
      <c r="C72" s="1" t="s">
        <v>42</v>
      </c>
    </row>
    <row r="73" spans="1:3">
      <c r="A73" s="1" t="s">
        <v>26</v>
      </c>
      <c r="B73" s="16">
        <v>42381</v>
      </c>
      <c r="C73" s="1" t="s">
        <v>43</v>
      </c>
    </row>
    <row r="74" spans="1:3">
      <c r="A74" s="1" t="s">
        <v>27</v>
      </c>
      <c r="B74" s="16">
        <v>42382</v>
      </c>
      <c r="C74" s="1" t="s">
        <v>44</v>
      </c>
    </row>
    <row r="75" spans="1:3">
      <c r="A75" s="1" t="s">
        <v>28</v>
      </c>
      <c r="B75" s="16">
        <v>42383</v>
      </c>
      <c r="C75" s="1" t="s">
        <v>45</v>
      </c>
    </row>
    <row r="76" spans="1:3">
      <c r="A76" s="1" t="s">
        <v>29</v>
      </c>
      <c r="B76" s="16">
        <v>42384</v>
      </c>
      <c r="C76" s="1" t="s">
        <v>46</v>
      </c>
    </row>
    <row r="77" spans="1:3">
      <c r="A77" s="1" t="s">
        <v>3</v>
      </c>
      <c r="B77" s="16">
        <v>42385</v>
      </c>
      <c r="C77" s="1" t="s">
        <v>47</v>
      </c>
    </row>
    <row r="78" spans="1:3">
      <c r="A78" s="1" t="s">
        <v>3</v>
      </c>
      <c r="B78" s="16">
        <v>42386</v>
      </c>
      <c r="C78" s="1" t="s">
        <v>48</v>
      </c>
    </row>
    <row r="79" spans="1:3">
      <c r="A79" s="1" t="s">
        <v>30</v>
      </c>
      <c r="B79" s="16">
        <v>42387</v>
      </c>
      <c r="C79" s="1" t="s">
        <v>42</v>
      </c>
    </row>
    <row r="80" spans="1:3">
      <c r="A80" s="1" t="s">
        <v>31</v>
      </c>
      <c r="B80" s="16">
        <v>42388</v>
      </c>
      <c r="C80" s="1" t="s">
        <v>43</v>
      </c>
    </row>
    <row r="81" spans="1:3">
      <c r="A81" s="1" t="s">
        <v>32</v>
      </c>
      <c r="B81" s="16">
        <v>42389</v>
      </c>
      <c r="C81" s="1" t="s">
        <v>44</v>
      </c>
    </row>
    <row r="82" spans="1:3">
      <c r="A82" s="1" t="s">
        <v>33</v>
      </c>
      <c r="B82" s="16">
        <v>42390</v>
      </c>
      <c r="C82" s="1" t="s">
        <v>45</v>
      </c>
    </row>
    <row r="83" spans="1:3">
      <c r="A83" s="1" t="s">
        <v>34</v>
      </c>
      <c r="B83" s="16">
        <v>42391</v>
      </c>
      <c r="C83" s="1" t="s">
        <v>46</v>
      </c>
    </row>
    <row r="84" spans="1:3">
      <c r="A84" s="1" t="s">
        <v>3</v>
      </c>
      <c r="B84" s="16">
        <v>42392</v>
      </c>
      <c r="C84" s="1" t="s">
        <v>47</v>
      </c>
    </row>
    <row r="85" spans="1:3">
      <c r="A85" s="1" t="s">
        <v>3</v>
      </c>
      <c r="B85" s="16">
        <v>42393</v>
      </c>
      <c r="C85" s="1" t="s">
        <v>48</v>
      </c>
    </row>
    <row r="86" spans="1:3">
      <c r="A86" s="1" t="s">
        <v>35</v>
      </c>
      <c r="B86" s="16">
        <v>42394</v>
      </c>
      <c r="C86" s="1" t="s">
        <v>42</v>
      </c>
    </row>
    <row r="87" spans="1:3">
      <c r="A87" s="1" t="s">
        <v>36</v>
      </c>
      <c r="B87" s="16">
        <v>42395</v>
      </c>
      <c r="C87" s="1" t="s">
        <v>43</v>
      </c>
    </row>
    <row r="88" spans="1:3">
      <c r="A88" s="1" t="s">
        <v>37</v>
      </c>
      <c r="B88" s="16">
        <v>42396</v>
      </c>
      <c r="C88" s="1" t="s">
        <v>44</v>
      </c>
    </row>
    <row r="89" spans="1:3">
      <c r="A89" s="1" t="s">
        <v>38</v>
      </c>
      <c r="B89" s="16">
        <v>42397</v>
      </c>
      <c r="C89" s="1" t="s">
        <v>45</v>
      </c>
    </row>
    <row r="90" spans="1:3">
      <c r="A90" s="1" t="s">
        <v>39</v>
      </c>
      <c r="B90" s="16">
        <v>42398</v>
      </c>
      <c r="C90" s="1" t="s">
        <v>46</v>
      </c>
    </row>
    <row r="91" spans="1:3">
      <c r="A91" s="1" t="s">
        <v>3</v>
      </c>
      <c r="B91" s="16">
        <v>42399</v>
      </c>
      <c r="C91" s="1" t="s">
        <v>47</v>
      </c>
    </row>
    <row r="92" spans="1:3">
      <c r="A92" s="1" t="s">
        <v>3</v>
      </c>
      <c r="B92" s="16">
        <v>42400</v>
      </c>
      <c r="C92" s="1" t="s">
        <v>48</v>
      </c>
    </row>
    <row r="93" spans="1:3">
      <c r="A93" s="1" t="s">
        <v>20</v>
      </c>
      <c r="B93" s="16">
        <v>42401</v>
      </c>
      <c r="C93" s="1" t="s">
        <v>42</v>
      </c>
    </row>
    <row r="94" spans="1:3">
      <c r="A94" s="1" t="s">
        <v>21</v>
      </c>
      <c r="B94" s="16">
        <v>42402</v>
      </c>
      <c r="C94" s="1" t="s">
        <v>43</v>
      </c>
    </row>
    <row r="95" spans="1:3">
      <c r="A95" s="1" t="s">
        <v>22</v>
      </c>
      <c r="B95" s="16">
        <v>42403</v>
      </c>
      <c r="C95" s="1" t="s">
        <v>44</v>
      </c>
    </row>
    <row r="96" spans="1:3">
      <c r="A96" s="1" t="s">
        <v>23</v>
      </c>
      <c r="B96" s="16">
        <v>42404</v>
      </c>
      <c r="C96" s="1" t="s">
        <v>45</v>
      </c>
    </row>
    <row r="97" spans="1:3">
      <c r="A97" s="1" t="s">
        <v>24</v>
      </c>
      <c r="B97" s="16">
        <v>42405</v>
      </c>
      <c r="C97" s="1" t="s">
        <v>46</v>
      </c>
    </row>
    <row r="98" spans="1:3">
      <c r="A98" s="1" t="s">
        <v>3</v>
      </c>
      <c r="B98" s="16">
        <v>42406</v>
      </c>
      <c r="C98" s="1" t="s">
        <v>47</v>
      </c>
    </row>
    <row r="99" spans="1:3">
      <c r="A99" s="1" t="s">
        <v>3</v>
      </c>
      <c r="B99" s="16">
        <v>42407</v>
      </c>
      <c r="C99" s="1" t="s">
        <v>48</v>
      </c>
    </row>
    <row r="100" spans="1:3">
      <c r="A100" s="1" t="s">
        <v>25</v>
      </c>
      <c r="B100" s="16">
        <v>42408</v>
      </c>
      <c r="C100" s="1" t="s">
        <v>42</v>
      </c>
    </row>
    <row r="101" spans="1:3">
      <c r="A101" s="1" t="s">
        <v>26</v>
      </c>
      <c r="B101" s="16">
        <v>42409</v>
      </c>
      <c r="C101" s="1" t="s">
        <v>43</v>
      </c>
    </row>
    <row r="102" spans="1:3">
      <c r="A102" s="1" t="s">
        <v>27</v>
      </c>
      <c r="B102" s="16">
        <v>42410</v>
      </c>
      <c r="C102" s="1" t="s">
        <v>44</v>
      </c>
    </row>
    <row r="103" spans="1:3">
      <c r="A103" s="1" t="s">
        <v>28</v>
      </c>
      <c r="B103" s="16">
        <v>42411</v>
      </c>
      <c r="C103" s="1" t="s">
        <v>45</v>
      </c>
    </row>
    <row r="104" spans="1:3">
      <c r="A104" s="1" t="s">
        <v>29</v>
      </c>
      <c r="B104" s="16">
        <v>42412</v>
      </c>
      <c r="C104" s="1" t="s">
        <v>46</v>
      </c>
    </row>
    <row r="105" spans="1:3">
      <c r="A105" s="1" t="s">
        <v>3</v>
      </c>
      <c r="B105" s="16">
        <v>42413</v>
      </c>
      <c r="C105" s="1" t="s">
        <v>47</v>
      </c>
    </row>
    <row r="106" spans="1:3">
      <c r="A106" s="1" t="s">
        <v>3</v>
      </c>
      <c r="B106" s="16">
        <v>42414</v>
      </c>
      <c r="C106" s="1" t="s">
        <v>48</v>
      </c>
    </row>
    <row r="107" spans="1:3">
      <c r="A107" s="1" t="s">
        <v>30</v>
      </c>
      <c r="B107" s="16">
        <v>42415</v>
      </c>
      <c r="C107" s="1" t="s">
        <v>42</v>
      </c>
    </row>
    <row r="108" spans="1:3">
      <c r="A108" s="1" t="s">
        <v>31</v>
      </c>
      <c r="B108" s="16">
        <v>42416</v>
      </c>
      <c r="C108" s="1" t="s">
        <v>43</v>
      </c>
    </row>
    <row r="109" spans="1:3">
      <c r="A109" s="1" t="s">
        <v>32</v>
      </c>
      <c r="B109" s="16">
        <v>42417</v>
      </c>
      <c r="C109" s="1" t="s">
        <v>44</v>
      </c>
    </row>
    <row r="110" spans="1:3">
      <c r="A110" s="1" t="s">
        <v>33</v>
      </c>
      <c r="B110" s="16">
        <v>42418</v>
      </c>
      <c r="C110" s="1" t="s">
        <v>45</v>
      </c>
    </row>
    <row r="111" spans="1:3">
      <c r="A111" s="1" t="s">
        <v>34</v>
      </c>
      <c r="B111" s="16">
        <v>42419</v>
      </c>
      <c r="C111" s="1" t="s">
        <v>46</v>
      </c>
    </row>
    <row r="112" spans="1:3">
      <c r="A112" s="1" t="s">
        <v>3</v>
      </c>
      <c r="B112" s="16">
        <v>42420</v>
      </c>
      <c r="C112" s="1" t="s">
        <v>47</v>
      </c>
    </row>
    <row r="113" spans="1:3">
      <c r="A113" s="1" t="s">
        <v>3</v>
      </c>
      <c r="B113" s="16">
        <v>42421</v>
      </c>
      <c r="C113" s="1" t="s">
        <v>48</v>
      </c>
    </row>
    <row r="114" spans="1:3">
      <c r="A114" s="1" t="s">
        <v>35</v>
      </c>
      <c r="B114" s="16">
        <v>42422</v>
      </c>
      <c r="C114" s="1" t="s">
        <v>42</v>
      </c>
    </row>
    <row r="115" spans="1:3">
      <c r="A115" s="1" t="s">
        <v>36</v>
      </c>
      <c r="B115" s="16">
        <v>42423</v>
      </c>
      <c r="C115" s="1" t="s">
        <v>43</v>
      </c>
    </row>
    <row r="116" spans="1:3">
      <c r="A116" s="1" t="s">
        <v>37</v>
      </c>
      <c r="B116" s="16">
        <v>42424</v>
      </c>
      <c r="C116" s="1" t="s">
        <v>44</v>
      </c>
    </row>
    <row r="117" spans="1:3">
      <c r="A117" s="1" t="s">
        <v>38</v>
      </c>
      <c r="B117" s="16">
        <v>42425</v>
      </c>
      <c r="C117" s="1" t="s">
        <v>45</v>
      </c>
    </row>
    <row r="118" spans="1:3">
      <c r="A118" s="1" t="s">
        <v>39</v>
      </c>
      <c r="B118" s="16">
        <v>42426</v>
      </c>
      <c r="C118" s="1" t="s">
        <v>46</v>
      </c>
    </row>
    <row r="119" spans="1:3">
      <c r="A119" s="1" t="s">
        <v>40</v>
      </c>
      <c r="B119" s="16">
        <v>42427</v>
      </c>
      <c r="C119" s="1" t="s">
        <v>47</v>
      </c>
    </row>
    <row r="120" spans="1:3">
      <c r="A120" s="1" t="s">
        <v>3</v>
      </c>
      <c r="B120" s="16">
        <v>42428</v>
      </c>
      <c r="C120" s="1" t="s">
        <v>48</v>
      </c>
    </row>
    <row r="121" spans="1:3">
      <c r="A121" s="1" t="s">
        <v>40</v>
      </c>
      <c r="B121" s="16">
        <v>42429</v>
      </c>
      <c r="C121" s="1" t="s">
        <v>42</v>
      </c>
    </row>
    <row r="122" spans="1:3">
      <c r="A122" s="1" t="s">
        <v>20</v>
      </c>
      <c r="B122" s="16">
        <v>42430</v>
      </c>
      <c r="C122" s="1" t="s">
        <v>43</v>
      </c>
    </row>
    <row r="123" spans="1:3">
      <c r="A123" s="1" t="s">
        <v>21</v>
      </c>
      <c r="B123" s="16">
        <v>42431</v>
      </c>
      <c r="C123" s="1" t="s">
        <v>44</v>
      </c>
    </row>
    <row r="124" spans="1:3">
      <c r="A124" s="1" t="s">
        <v>22</v>
      </c>
      <c r="B124" s="16">
        <v>42432</v>
      </c>
      <c r="C124" s="1" t="s">
        <v>45</v>
      </c>
    </row>
    <row r="125" spans="1:3">
      <c r="A125" s="1" t="s">
        <v>23</v>
      </c>
      <c r="B125" s="16">
        <v>42433</v>
      </c>
      <c r="C125" s="1" t="s">
        <v>46</v>
      </c>
    </row>
    <row r="126" spans="1:3">
      <c r="A126" s="1" t="s">
        <v>3</v>
      </c>
      <c r="B126" s="16">
        <v>42434</v>
      </c>
      <c r="C126" s="1" t="s">
        <v>47</v>
      </c>
    </row>
    <row r="127" spans="1:3">
      <c r="A127" s="1" t="s">
        <v>3</v>
      </c>
      <c r="B127" s="16">
        <v>42435</v>
      </c>
      <c r="C127" s="1" t="s">
        <v>48</v>
      </c>
    </row>
    <row r="128" spans="1:3">
      <c r="A128" s="1" t="s">
        <v>24</v>
      </c>
      <c r="B128" s="16">
        <v>42436</v>
      </c>
      <c r="C128" s="1" t="s">
        <v>42</v>
      </c>
    </row>
    <row r="129" spans="1:3">
      <c r="A129" s="1" t="s">
        <v>25</v>
      </c>
      <c r="B129" s="16">
        <v>42437</v>
      </c>
      <c r="C129" s="1" t="s">
        <v>43</v>
      </c>
    </row>
    <row r="130" spans="1:3">
      <c r="A130" s="1" t="s">
        <v>26</v>
      </c>
      <c r="B130" s="16">
        <v>42438</v>
      </c>
      <c r="C130" s="1" t="s">
        <v>44</v>
      </c>
    </row>
    <row r="131" spans="1:3">
      <c r="A131" s="1" t="s">
        <v>27</v>
      </c>
      <c r="B131" s="16">
        <v>42439</v>
      </c>
      <c r="C131" s="1" t="s">
        <v>45</v>
      </c>
    </row>
    <row r="132" spans="1:3">
      <c r="A132" s="1" t="s">
        <v>28</v>
      </c>
      <c r="B132" s="16">
        <v>42440</v>
      </c>
      <c r="C132" s="1" t="s">
        <v>46</v>
      </c>
    </row>
    <row r="133" spans="1:3">
      <c r="A133" s="1" t="s">
        <v>3</v>
      </c>
      <c r="B133" s="16">
        <v>42441</v>
      </c>
      <c r="C133" s="1" t="s">
        <v>47</v>
      </c>
    </row>
    <row r="134" spans="1:3">
      <c r="A134" s="1" t="s">
        <v>3</v>
      </c>
      <c r="B134" s="16">
        <v>42442</v>
      </c>
      <c r="C134" s="1" t="s">
        <v>48</v>
      </c>
    </row>
    <row r="135" spans="1:3">
      <c r="A135" s="1" t="s">
        <v>29</v>
      </c>
      <c r="B135" s="16">
        <v>42443</v>
      </c>
      <c r="C135" s="1" t="s">
        <v>42</v>
      </c>
    </row>
    <row r="136" spans="1:3">
      <c r="A136" s="1" t="s">
        <v>30</v>
      </c>
      <c r="B136" s="16">
        <v>42444</v>
      </c>
      <c r="C136" s="1" t="s">
        <v>43</v>
      </c>
    </row>
    <row r="137" spans="1:3">
      <c r="A137" s="1" t="s">
        <v>31</v>
      </c>
      <c r="B137" s="16">
        <v>42445</v>
      </c>
      <c r="C137" s="1" t="s">
        <v>44</v>
      </c>
    </row>
    <row r="138" spans="1:3">
      <c r="A138" s="1" t="s">
        <v>3</v>
      </c>
      <c r="B138" s="16">
        <v>42446</v>
      </c>
      <c r="C138" s="1" t="s">
        <v>45</v>
      </c>
    </row>
    <row r="139" spans="1:3">
      <c r="A139" s="1" t="s">
        <v>32</v>
      </c>
      <c r="B139" s="16">
        <v>42447</v>
      </c>
      <c r="C139" s="1" t="s">
        <v>46</v>
      </c>
    </row>
    <row r="140" spans="1:3">
      <c r="A140" s="1" t="s">
        <v>3</v>
      </c>
      <c r="B140" s="16">
        <v>42448</v>
      </c>
      <c r="C140" s="1" t="s">
        <v>47</v>
      </c>
    </row>
    <row r="141" spans="1:3">
      <c r="A141" s="1" t="s">
        <v>3</v>
      </c>
      <c r="B141" s="16">
        <v>42449</v>
      </c>
      <c r="C141" s="1" t="s">
        <v>48</v>
      </c>
    </row>
    <row r="142" spans="1:3">
      <c r="A142" s="1" t="s">
        <v>33</v>
      </c>
      <c r="B142" s="16">
        <v>42450</v>
      </c>
      <c r="C142" s="1" t="s">
        <v>42</v>
      </c>
    </row>
    <row r="143" spans="1:3">
      <c r="A143" s="1" t="s">
        <v>34</v>
      </c>
      <c r="B143" s="16">
        <v>42451</v>
      </c>
      <c r="C143" s="1" t="s">
        <v>43</v>
      </c>
    </row>
    <row r="144" spans="1:3">
      <c r="A144" s="1" t="s">
        <v>35</v>
      </c>
      <c r="B144" s="16">
        <v>42452</v>
      </c>
      <c r="C144" s="1" t="s">
        <v>44</v>
      </c>
    </row>
    <row r="145" spans="1:3">
      <c r="A145" s="1" t="s">
        <v>36</v>
      </c>
      <c r="B145" s="16">
        <v>42453</v>
      </c>
      <c r="C145" s="1" t="s">
        <v>45</v>
      </c>
    </row>
    <row r="146" spans="1:3">
      <c r="A146" s="1"/>
      <c r="B146" s="16">
        <v>42454</v>
      </c>
      <c r="C146" s="1" t="s">
        <v>46</v>
      </c>
    </row>
    <row r="147" spans="1:3">
      <c r="A147" s="1" t="s">
        <v>3</v>
      </c>
      <c r="B147" s="16">
        <v>42455</v>
      </c>
      <c r="C147" s="1" t="s">
        <v>47</v>
      </c>
    </row>
    <row r="148" spans="1:3">
      <c r="A148" s="1" t="s">
        <v>3</v>
      </c>
      <c r="B148" s="16">
        <v>42456</v>
      </c>
      <c r="C148" s="1" t="s">
        <v>48</v>
      </c>
    </row>
    <row r="149" spans="1:3">
      <c r="A149" s="1" t="s">
        <v>3</v>
      </c>
      <c r="B149" s="16">
        <v>42457</v>
      </c>
      <c r="C149" s="1" t="s">
        <v>42</v>
      </c>
    </row>
    <row r="150" spans="1:3">
      <c r="A150" s="1" t="s">
        <v>37</v>
      </c>
      <c r="B150" s="16">
        <v>42458</v>
      </c>
      <c r="C150" s="1" t="s">
        <v>43</v>
      </c>
    </row>
    <row r="151" spans="1:3">
      <c r="A151" s="1" t="s">
        <v>38</v>
      </c>
      <c r="B151" s="16">
        <v>42459</v>
      </c>
      <c r="C151" s="1" t="s">
        <v>44</v>
      </c>
    </row>
    <row r="152" spans="1:3">
      <c r="A152" s="1" t="s">
        <v>39</v>
      </c>
      <c r="B152" s="16">
        <v>42460</v>
      </c>
      <c r="C152" s="1" t="s">
        <v>45</v>
      </c>
    </row>
    <row r="153" spans="1:3">
      <c r="A153" s="1" t="s">
        <v>20</v>
      </c>
      <c r="B153" s="16">
        <v>42461</v>
      </c>
      <c r="C153" s="1" t="s">
        <v>46</v>
      </c>
    </row>
    <row r="154" spans="1:3">
      <c r="A154" s="1" t="s">
        <v>3</v>
      </c>
      <c r="B154" s="16">
        <v>42462</v>
      </c>
      <c r="C154" s="1" t="s">
        <v>47</v>
      </c>
    </row>
    <row r="155" spans="1:3">
      <c r="A155" s="1" t="s">
        <v>3</v>
      </c>
      <c r="B155" s="16">
        <v>42463</v>
      </c>
      <c r="C155" s="1" t="s">
        <v>48</v>
      </c>
    </row>
    <row r="156" spans="1:3">
      <c r="A156" s="1" t="s">
        <v>21</v>
      </c>
      <c r="B156" s="16">
        <v>42464</v>
      </c>
      <c r="C156" s="1" t="s">
        <v>42</v>
      </c>
    </row>
    <row r="157" spans="1:3">
      <c r="A157" s="1" t="s">
        <v>22</v>
      </c>
      <c r="B157" s="16">
        <v>42465</v>
      </c>
      <c r="C157" s="1" t="s">
        <v>43</v>
      </c>
    </row>
    <row r="158" spans="1:3">
      <c r="A158" s="1" t="s">
        <v>23</v>
      </c>
      <c r="B158" s="16">
        <v>42466</v>
      </c>
      <c r="C158" s="1" t="s">
        <v>44</v>
      </c>
    </row>
    <row r="159" spans="1:3">
      <c r="A159" s="1" t="s">
        <v>24</v>
      </c>
      <c r="B159" s="16">
        <v>42467</v>
      </c>
      <c r="C159" s="1" t="s">
        <v>45</v>
      </c>
    </row>
    <row r="160" spans="1:3">
      <c r="A160" s="1" t="s">
        <v>25</v>
      </c>
      <c r="B160" s="16">
        <v>42468</v>
      </c>
      <c r="C160" s="1" t="s">
        <v>46</v>
      </c>
    </row>
    <row r="161" spans="1:3">
      <c r="A161" s="1" t="s">
        <v>3</v>
      </c>
      <c r="B161" s="16">
        <v>42469</v>
      </c>
      <c r="C161" s="1" t="s">
        <v>47</v>
      </c>
    </row>
    <row r="162" spans="1:3">
      <c r="A162" s="1" t="s">
        <v>3</v>
      </c>
      <c r="B162" s="16">
        <v>42470</v>
      </c>
      <c r="C162" s="1" t="s">
        <v>48</v>
      </c>
    </row>
    <row r="163" spans="1:3">
      <c r="A163" s="1" t="s">
        <v>26</v>
      </c>
      <c r="B163" s="16">
        <v>42471</v>
      </c>
      <c r="C163" s="1" t="s">
        <v>42</v>
      </c>
    </row>
    <row r="164" spans="1:3">
      <c r="A164" s="1" t="s">
        <v>27</v>
      </c>
      <c r="B164" s="16">
        <v>42472</v>
      </c>
      <c r="C164" s="1" t="s">
        <v>43</v>
      </c>
    </row>
    <row r="165" spans="1:3">
      <c r="A165" s="1" t="s">
        <v>28</v>
      </c>
      <c r="B165" s="16">
        <v>42473</v>
      </c>
      <c r="C165" s="1" t="s">
        <v>44</v>
      </c>
    </row>
    <row r="166" spans="1:3">
      <c r="A166" s="1" t="s">
        <v>29</v>
      </c>
      <c r="B166" s="16">
        <v>42474</v>
      </c>
      <c r="C166" s="1" t="s">
        <v>45</v>
      </c>
    </row>
    <row r="167" spans="1:3">
      <c r="A167" s="1" t="s">
        <v>30</v>
      </c>
      <c r="B167" s="16">
        <v>42475</v>
      </c>
      <c r="C167" s="1" t="s">
        <v>46</v>
      </c>
    </row>
    <row r="168" spans="1:3">
      <c r="A168" s="1" t="s">
        <v>3</v>
      </c>
      <c r="B168" s="16">
        <v>42476</v>
      </c>
      <c r="C168" s="1" t="s">
        <v>47</v>
      </c>
    </row>
    <row r="169" spans="1:3">
      <c r="A169" s="1" t="s">
        <v>3</v>
      </c>
      <c r="B169" s="16">
        <v>42477</v>
      </c>
      <c r="C169" s="1" t="s">
        <v>48</v>
      </c>
    </row>
    <row r="170" spans="1:3">
      <c r="A170" s="1" t="s">
        <v>31</v>
      </c>
      <c r="B170" s="16">
        <v>42478</v>
      </c>
      <c r="C170" s="1" t="s">
        <v>42</v>
      </c>
    </row>
    <row r="171" spans="1:3">
      <c r="A171" s="1" t="s">
        <v>32</v>
      </c>
      <c r="B171" s="16">
        <v>42479</v>
      </c>
      <c r="C171" s="1" t="s">
        <v>43</v>
      </c>
    </row>
    <row r="172" spans="1:3">
      <c r="A172" s="1" t="s">
        <v>33</v>
      </c>
      <c r="B172" s="16">
        <v>42480</v>
      </c>
      <c r="C172" s="1" t="s">
        <v>44</v>
      </c>
    </row>
    <row r="173" spans="1:3">
      <c r="A173" s="1" t="s">
        <v>34</v>
      </c>
      <c r="B173" s="16">
        <v>42481</v>
      </c>
      <c r="C173" s="1" t="s">
        <v>45</v>
      </c>
    </row>
    <row r="174" spans="1:3">
      <c r="A174" s="1" t="s">
        <v>35</v>
      </c>
      <c r="B174" s="16">
        <v>42482</v>
      </c>
      <c r="C174" s="1" t="s">
        <v>46</v>
      </c>
    </row>
    <row r="175" spans="1:3">
      <c r="A175" s="1" t="s">
        <v>3</v>
      </c>
      <c r="B175" s="16">
        <v>42483</v>
      </c>
      <c r="C175" s="1" t="s">
        <v>47</v>
      </c>
    </row>
    <row r="176" spans="1:3">
      <c r="A176" s="1" t="s">
        <v>3</v>
      </c>
      <c r="B176" s="16">
        <v>42484</v>
      </c>
      <c r="C176" s="1" t="s">
        <v>48</v>
      </c>
    </row>
    <row r="177" spans="1:3">
      <c r="A177" s="1" t="s">
        <v>36</v>
      </c>
      <c r="B177" s="16">
        <v>42485</v>
      </c>
      <c r="C177" s="1" t="s">
        <v>42</v>
      </c>
    </row>
    <row r="178" spans="1:3">
      <c r="A178" s="1" t="s">
        <v>37</v>
      </c>
      <c r="B178" s="16">
        <v>42486</v>
      </c>
      <c r="C178" s="1" t="s">
        <v>43</v>
      </c>
    </row>
    <row r="179" spans="1:3">
      <c r="A179" s="1" t="s">
        <v>38</v>
      </c>
      <c r="B179" s="16">
        <v>42487</v>
      </c>
      <c r="C179" s="1" t="s">
        <v>44</v>
      </c>
    </row>
    <row r="180" spans="1:3">
      <c r="A180" s="1" t="s">
        <v>39</v>
      </c>
      <c r="B180" s="16">
        <v>42488</v>
      </c>
      <c r="C180" s="1" t="s">
        <v>45</v>
      </c>
    </row>
    <row r="181" spans="1:3">
      <c r="A181" s="1" t="s">
        <v>40</v>
      </c>
      <c r="B181" s="16">
        <v>42489</v>
      </c>
      <c r="C181" s="1" t="s">
        <v>46</v>
      </c>
    </row>
    <row r="182" spans="1:3">
      <c r="A182" s="1" t="s">
        <v>3</v>
      </c>
      <c r="B182" s="16">
        <v>42490</v>
      </c>
      <c r="C182" s="1" t="s">
        <v>47</v>
      </c>
    </row>
    <row r="183" spans="1:3">
      <c r="A183" s="1" t="s">
        <v>3</v>
      </c>
      <c r="B183" s="16">
        <v>42491</v>
      </c>
      <c r="C183" s="1" t="s">
        <v>48</v>
      </c>
    </row>
    <row r="184" spans="1:3">
      <c r="A184" s="1" t="s">
        <v>3</v>
      </c>
      <c r="B184" s="16">
        <v>42492</v>
      </c>
      <c r="C184" s="1" t="s">
        <v>42</v>
      </c>
    </row>
    <row r="185" spans="1:3">
      <c r="A185" s="1" t="s">
        <v>20</v>
      </c>
      <c r="B185" s="16">
        <v>42493</v>
      </c>
      <c r="C185" s="1" t="s">
        <v>43</v>
      </c>
    </row>
    <row r="186" spans="1:3">
      <c r="A186" s="1" t="s">
        <v>21</v>
      </c>
      <c r="B186" s="16">
        <v>42494</v>
      </c>
      <c r="C186" s="1" t="s">
        <v>44</v>
      </c>
    </row>
    <row r="187" spans="1:3">
      <c r="A187" s="1" t="s">
        <v>22</v>
      </c>
      <c r="B187" s="16">
        <v>42495</v>
      </c>
      <c r="C187" s="1" t="s">
        <v>45</v>
      </c>
    </row>
    <row r="188" spans="1:3">
      <c r="A188" s="1" t="s">
        <v>23</v>
      </c>
      <c r="B188" s="16">
        <v>42496</v>
      </c>
      <c r="C188" s="1" t="s">
        <v>46</v>
      </c>
    </row>
    <row r="189" spans="1:3">
      <c r="A189" s="1" t="s">
        <v>3</v>
      </c>
      <c r="B189" s="16">
        <v>42497</v>
      </c>
      <c r="C189" s="1" t="s">
        <v>47</v>
      </c>
    </row>
    <row r="190" spans="1:3">
      <c r="A190" s="1" t="s">
        <v>3</v>
      </c>
      <c r="B190" s="16">
        <v>42498</v>
      </c>
      <c r="C190" s="1" t="s">
        <v>48</v>
      </c>
    </row>
    <row r="191" spans="1:3">
      <c r="A191" s="1" t="s">
        <v>24</v>
      </c>
      <c r="B191" s="16">
        <v>42499</v>
      </c>
      <c r="C191" s="1" t="s">
        <v>42</v>
      </c>
    </row>
    <row r="192" spans="1:3">
      <c r="A192" s="1" t="s">
        <v>25</v>
      </c>
      <c r="B192" s="16">
        <v>42500</v>
      </c>
      <c r="C192" s="1" t="s">
        <v>43</v>
      </c>
    </row>
    <row r="193" spans="1:3">
      <c r="A193" s="1" t="s">
        <v>26</v>
      </c>
      <c r="B193" s="16">
        <v>42501</v>
      </c>
      <c r="C193" s="1" t="s">
        <v>44</v>
      </c>
    </row>
    <row r="194" spans="1:3">
      <c r="A194" s="1" t="s">
        <v>27</v>
      </c>
      <c r="B194" s="16">
        <v>42502</v>
      </c>
      <c r="C194" s="1" t="s">
        <v>45</v>
      </c>
    </row>
    <row r="195" spans="1:3">
      <c r="A195" s="1" t="s">
        <v>28</v>
      </c>
      <c r="B195" s="16">
        <v>42503</v>
      </c>
      <c r="C195" s="1" t="s">
        <v>46</v>
      </c>
    </row>
    <row r="196" spans="1:3">
      <c r="A196" s="1" t="s">
        <v>3</v>
      </c>
      <c r="B196" s="16">
        <v>42504</v>
      </c>
      <c r="C196" s="1" t="s">
        <v>47</v>
      </c>
    </row>
    <row r="197" spans="1:3">
      <c r="A197" s="1" t="s">
        <v>3</v>
      </c>
      <c r="B197" s="16">
        <v>42505</v>
      </c>
      <c r="C197" s="1" t="s">
        <v>48</v>
      </c>
    </row>
    <row r="198" spans="1:3">
      <c r="A198" s="1" t="s">
        <v>29</v>
      </c>
      <c r="B198" s="16">
        <v>42506</v>
      </c>
      <c r="C198" s="1" t="s">
        <v>42</v>
      </c>
    </row>
    <row r="199" spans="1:3">
      <c r="A199" s="1" t="s">
        <v>30</v>
      </c>
      <c r="B199" s="16">
        <v>42507</v>
      </c>
      <c r="C199" s="1" t="s">
        <v>43</v>
      </c>
    </row>
    <row r="200" spans="1:3">
      <c r="A200" s="1" t="s">
        <v>31</v>
      </c>
      <c r="B200" s="16">
        <v>42508</v>
      </c>
      <c r="C200" s="1" t="s">
        <v>44</v>
      </c>
    </row>
    <row r="201" spans="1:3">
      <c r="A201" s="1" t="s">
        <v>32</v>
      </c>
      <c r="B201" s="16">
        <v>42509</v>
      </c>
      <c r="C201" s="1" t="s">
        <v>45</v>
      </c>
    </row>
    <row r="202" spans="1:3">
      <c r="A202" s="1" t="s">
        <v>33</v>
      </c>
      <c r="B202" s="16">
        <v>42510</v>
      </c>
      <c r="C202" s="1" t="s">
        <v>46</v>
      </c>
    </row>
    <row r="203" spans="1:3">
      <c r="A203" s="1" t="s">
        <v>3</v>
      </c>
      <c r="B203" s="16">
        <v>42511</v>
      </c>
      <c r="C203" s="1" t="s">
        <v>47</v>
      </c>
    </row>
    <row r="204" spans="1:3">
      <c r="A204" s="1" t="s">
        <v>3</v>
      </c>
      <c r="B204" s="16">
        <v>42512</v>
      </c>
      <c r="C204" s="1" t="s">
        <v>48</v>
      </c>
    </row>
    <row r="205" spans="1:3">
      <c r="A205" s="1" t="s">
        <v>34</v>
      </c>
      <c r="B205" s="16">
        <v>42513</v>
      </c>
      <c r="C205" s="1" t="s">
        <v>42</v>
      </c>
    </row>
    <row r="206" spans="1:3">
      <c r="A206" s="1" t="s">
        <v>35</v>
      </c>
      <c r="B206" s="16">
        <v>42514</v>
      </c>
      <c r="C206" s="1" t="s">
        <v>43</v>
      </c>
    </row>
    <row r="207" spans="1:3">
      <c r="A207" s="1" t="s">
        <v>36</v>
      </c>
      <c r="B207" s="16">
        <v>42515</v>
      </c>
      <c r="C207" s="1" t="s">
        <v>44</v>
      </c>
    </row>
    <row r="208" spans="1:3">
      <c r="A208" s="1" t="s">
        <v>37</v>
      </c>
      <c r="B208" s="16">
        <v>42516</v>
      </c>
      <c r="C208" s="1" t="s">
        <v>45</v>
      </c>
    </row>
    <row r="209" spans="1:3">
      <c r="A209" s="1" t="s">
        <v>38</v>
      </c>
      <c r="B209" s="16">
        <v>42517</v>
      </c>
      <c r="C209" s="1" t="s">
        <v>46</v>
      </c>
    </row>
    <row r="210" spans="1:3">
      <c r="A210" s="1" t="s">
        <v>3</v>
      </c>
      <c r="B210" s="16">
        <v>42518</v>
      </c>
      <c r="C210" s="1" t="s">
        <v>47</v>
      </c>
    </row>
    <row r="211" spans="1:3">
      <c r="A211" s="1" t="s">
        <v>3</v>
      </c>
      <c r="B211" s="16">
        <v>42519</v>
      </c>
      <c r="C211" s="1" t="s">
        <v>48</v>
      </c>
    </row>
    <row r="212" spans="1:3">
      <c r="A212" s="1" t="s">
        <v>39</v>
      </c>
      <c r="B212" s="16">
        <v>42520</v>
      </c>
      <c r="C212" s="1" t="s">
        <v>42</v>
      </c>
    </row>
    <row r="213" spans="1:3">
      <c r="A213" s="1" t="s">
        <v>40</v>
      </c>
      <c r="B213" s="16">
        <v>42521</v>
      </c>
      <c r="C213" s="1" t="s">
        <v>43</v>
      </c>
    </row>
    <row r="214" spans="1:3">
      <c r="A214" s="1" t="s">
        <v>20</v>
      </c>
      <c r="B214" s="16">
        <v>42522</v>
      </c>
      <c r="C214" s="1" t="s">
        <v>44</v>
      </c>
    </row>
    <row r="215" spans="1:3">
      <c r="A215" s="1" t="s">
        <v>21</v>
      </c>
      <c r="B215" s="16">
        <v>42523</v>
      </c>
      <c r="C215" s="1" t="s">
        <v>45</v>
      </c>
    </row>
    <row r="216" spans="1:3">
      <c r="A216" s="1" t="s">
        <v>22</v>
      </c>
      <c r="B216" s="16">
        <v>42524</v>
      </c>
      <c r="C216" s="1" t="s">
        <v>46</v>
      </c>
    </row>
    <row r="217" spans="1:3">
      <c r="A217" s="1" t="s">
        <v>3</v>
      </c>
      <c r="B217" s="16">
        <v>42525</v>
      </c>
      <c r="C217" s="1" t="s">
        <v>47</v>
      </c>
    </row>
    <row r="218" spans="1:3">
      <c r="A218" s="1" t="s">
        <v>3</v>
      </c>
      <c r="B218" s="16">
        <v>42526</v>
      </c>
      <c r="C218" s="1" t="s">
        <v>48</v>
      </c>
    </row>
    <row r="219" spans="1:3">
      <c r="A219" s="1" t="s">
        <v>3</v>
      </c>
      <c r="B219" s="16">
        <v>42527</v>
      </c>
      <c r="C219" s="1" t="s">
        <v>42</v>
      </c>
    </row>
    <row r="220" spans="1:3">
      <c r="A220" s="1" t="s">
        <v>23</v>
      </c>
      <c r="B220" s="16">
        <v>42528</v>
      </c>
      <c r="C220" s="1" t="s">
        <v>43</v>
      </c>
    </row>
    <row r="221" spans="1:3">
      <c r="A221" s="1" t="s">
        <v>24</v>
      </c>
      <c r="B221" s="16">
        <v>42529</v>
      </c>
      <c r="C221" s="1" t="s">
        <v>44</v>
      </c>
    </row>
    <row r="222" spans="1:3">
      <c r="A222" s="1" t="s">
        <v>25</v>
      </c>
      <c r="B222" s="16">
        <v>42530</v>
      </c>
      <c r="C222" s="1" t="s">
        <v>45</v>
      </c>
    </row>
    <row r="223" spans="1:3">
      <c r="A223" s="1" t="s">
        <v>26</v>
      </c>
      <c r="B223" s="16">
        <v>42531</v>
      </c>
      <c r="C223" s="1" t="s">
        <v>46</v>
      </c>
    </row>
    <row r="224" spans="1:3">
      <c r="A224" s="1" t="s">
        <v>3</v>
      </c>
      <c r="B224" s="16">
        <v>42532</v>
      </c>
      <c r="C224" s="1" t="s">
        <v>47</v>
      </c>
    </row>
    <row r="225" spans="1:3">
      <c r="A225" s="1" t="s">
        <v>3</v>
      </c>
      <c r="B225" s="16">
        <v>42533</v>
      </c>
      <c r="C225" s="1" t="s">
        <v>48</v>
      </c>
    </row>
    <row r="226" spans="1:3">
      <c r="A226" s="1" t="s">
        <v>27</v>
      </c>
      <c r="B226" s="16">
        <v>42534</v>
      </c>
      <c r="C226" s="1" t="s">
        <v>42</v>
      </c>
    </row>
    <row r="227" spans="1:3">
      <c r="A227" s="1" t="s">
        <v>28</v>
      </c>
      <c r="B227" s="16">
        <v>42535</v>
      </c>
      <c r="C227" s="1" t="s">
        <v>43</v>
      </c>
    </row>
    <row r="228" spans="1:3">
      <c r="A228" s="1" t="s">
        <v>29</v>
      </c>
      <c r="B228" s="16">
        <v>42536</v>
      </c>
      <c r="C228" s="1" t="s">
        <v>44</v>
      </c>
    </row>
    <row r="229" spans="1:3">
      <c r="A229" s="1" t="s">
        <v>30</v>
      </c>
      <c r="B229" s="16">
        <v>42537</v>
      </c>
      <c r="C229" s="1" t="s">
        <v>45</v>
      </c>
    </row>
    <row r="230" spans="1:3">
      <c r="A230" s="1" t="s">
        <v>31</v>
      </c>
      <c r="B230" s="16">
        <v>42538</v>
      </c>
      <c r="C230" s="1" t="s">
        <v>46</v>
      </c>
    </row>
    <row r="231" spans="1:3">
      <c r="A231" s="1" t="s">
        <v>3</v>
      </c>
      <c r="B231" s="16">
        <v>42539</v>
      </c>
      <c r="C231" s="1" t="s">
        <v>47</v>
      </c>
    </row>
    <row r="232" spans="1:3">
      <c r="A232" s="1" t="s">
        <v>3</v>
      </c>
      <c r="B232" s="16">
        <v>42540</v>
      </c>
      <c r="C232" s="1" t="s">
        <v>48</v>
      </c>
    </row>
    <row r="233" spans="1:3">
      <c r="A233" s="1" t="s">
        <v>32</v>
      </c>
      <c r="B233" s="16">
        <v>42541</v>
      </c>
      <c r="C233" s="1" t="s">
        <v>42</v>
      </c>
    </row>
    <row r="234" spans="1:3">
      <c r="A234" s="1" t="s">
        <v>33</v>
      </c>
      <c r="B234" s="16">
        <v>42542</v>
      </c>
      <c r="C234" s="1" t="s">
        <v>43</v>
      </c>
    </row>
    <row r="235" spans="1:3">
      <c r="A235" s="1" t="s">
        <v>34</v>
      </c>
      <c r="B235" s="16">
        <v>42543</v>
      </c>
      <c r="C235" s="1" t="s">
        <v>44</v>
      </c>
    </row>
    <row r="236" spans="1:3">
      <c r="A236" s="1" t="s">
        <v>35</v>
      </c>
      <c r="B236" s="16">
        <v>42544</v>
      </c>
      <c r="C236" s="1" t="s">
        <v>45</v>
      </c>
    </row>
    <row r="237" spans="1:3">
      <c r="A237" s="1" t="s">
        <v>36</v>
      </c>
      <c r="B237" s="16">
        <v>42545</v>
      </c>
      <c r="C237" s="1" t="s">
        <v>46</v>
      </c>
    </row>
    <row r="238" spans="1:3">
      <c r="A238" s="1" t="s">
        <v>3</v>
      </c>
      <c r="B238" s="16">
        <v>42546</v>
      </c>
      <c r="C238" s="1" t="s">
        <v>47</v>
      </c>
    </row>
    <row r="239" spans="1:3">
      <c r="A239" s="1" t="s">
        <v>3</v>
      </c>
      <c r="B239" s="16">
        <v>42547</v>
      </c>
      <c r="C239" s="1" t="s">
        <v>48</v>
      </c>
    </row>
    <row r="240" spans="1:3">
      <c r="A240" s="1" t="s">
        <v>37</v>
      </c>
      <c r="B240" s="16">
        <v>42548</v>
      </c>
      <c r="C240" s="1" t="s">
        <v>42</v>
      </c>
    </row>
    <row r="241" spans="1:3">
      <c r="A241" s="1" t="s">
        <v>38</v>
      </c>
      <c r="B241" s="16">
        <v>42549</v>
      </c>
      <c r="C241" s="1" t="s">
        <v>43</v>
      </c>
    </row>
    <row r="242" spans="1:3">
      <c r="A242" s="1" t="s">
        <v>39</v>
      </c>
      <c r="B242" s="16">
        <v>42550</v>
      </c>
      <c r="C242" s="1" t="s">
        <v>44</v>
      </c>
    </row>
    <row r="243" spans="1:3">
      <c r="A243" s="1" t="s">
        <v>40</v>
      </c>
      <c r="B243" s="16">
        <v>42551</v>
      </c>
      <c r="C243" s="1" t="s">
        <v>45</v>
      </c>
    </row>
    <row r="244" spans="1:3">
      <c r="A244" s="1" t="s">
        <v>20</v>
      </c>
      <c r="B244" s="16">
        <v>42552</v>
      </c>
      <c r="C244" s="1" t="s">
        <v>46</v>
      </c>
    </row>
    <row r="245" spans="1:3">
      <c r="A245" s="1" t="s">
        <v>3</v>
      </c>
      <c r="B245" s="16">
        <v>42553</v>
      </c>
      <c r="C245" s="1" t="s">
        <v>47</v>
      </c>
    </row>
    <row r="246" spans="1:3">
      <c r="A246" s="1" t="s">
        <v>3</v>
      </c>
      <c r="B246" s="16">
        <v>42554</v>
      </c>
      <c r="C246" s="1" t="s">
        <v>48</v>
      </c>
    </row>
    <row r="247" spans="1:3">
      <c r="A247" s="1" t="s">
        <v>20</v>
      </c>
      <c r="B247" s="16">
        <v>42555</v>
      </c>
      <c r="C247" s="1" t="s">
        <v>42</v>
      </c>
    </row>
    <row r="248" spans="1:3">
      <c r="A248" s="1" t="s">
        <v>21</v>
      </c>
      <c r="B248" s="16">
        <v>42556</v>
      </c>
      <c r="C248" s="1" t="s">
        <v>43</v>
      </c>
    </row>
    <row r="249" spans="1:3">
      <c r="A249" s="1" t="s">
        <v>22</v>
      </c>
      <c r="B249" s="16">
        <v>42557</v>
      </c>
      <c r="C249" s="1" t="s">
        <v>44</v>
      </c>
    </row>
    <row r="250" spans="1:3">
      <c r="A250" s="1" t="s">
        <v>23</v>
      </c>
      <c r="B250" s="16">
        <v>42557</v>
      </c>
      <c r="C250" s="1" t="s">
        <v>45</v>
      </c>
    </row>
    <row r="251" spans="1:3">
      <c r="A251" s="1" t="s">
        <v>24</v>
      </c>
      <c r="B251" s="16">
        <v>42557</v>
      </c>
      <c r="C251" s="1" t="s">
        <v>46</v>
      </c>
    </row>
    <row r="252" spans="1:3">
      <c r="A252" s="1" t="s">
        <v>3</v>
      </c>
      <c r="B252" s="16">
        <v>42558</v>
      </c>
    </row>
    <row r="253" spans="1:3">
      <c r="A253" s="1" t="s">
        <v>3</v>
      </c>
      <c r="B253" s="16">
        <v>42559</v>
      </c>
    </row>
    <row r="254" spans="1:3">
      <c r="A254" s="1" t="s">
        <v>25</v>
      </c>
      <c r="B254" s="16">
        <v>42560</v>
      </c>
    </row>
    <row r="255" spans="1:3">
      <c r="A255" s="1" t="s">
        <v>26</v>
      </c>
      <c r="B255" s="16">
        <v>42561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Resource Demand - Activity</vt:lpstr>
      <vt:lpstr>Example</vt:lpstr>
      <vt:lpstr>WorkingDays</vt:lpstr>
    </vt:vector>
  </TitlesOfParts>
  <Company>Royal &amp; Sun Alliance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x_acc_mohan</dc:creator>
  <cp:lastModifiedBy>x_acc_mohan</cp:lastModifiedBy>
  <cp:lastPrinted>2015-09-18T16:25:36Z</cp:lastPrinted>
  <dcterms:created xsi:type="dcterms:W3CDTF">2015-08-04T11:30:32Z</dcterms:created>
  <dcterms:modified xsi:type="dcterms:W3CDTF">2015-11-05T11:05:15Z</dcterms:modified>
</cp:coreProperties>
</file>