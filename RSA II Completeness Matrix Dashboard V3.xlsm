
<file path=[Content_Types].xml><?xml version="1.0" encoding="utf-8"?>
<Types xmlns="http://schemas.openxmlformats.org/package/2006/content-types">
  <Default Extension="bin" ContentType="application/vnd.openxmlformats-officedocument.spreadsheetml.printerSettings"/>
  <Override PartName="/xl/charts/chart6.xml" ContentType="application/vnd.openxmlformats-officedocument.drawingml.chart+xml"/>
  <Override PartName="/xl/charts/chart7.xml" ContentType="application/vnd.openxmlformats-officedocument.drawingml.chart+xml"/>
  <Override PartName="/xl/charts/chart10.xml" ContentType="application/vnd.openxmlformats-officedocument.drawingml.chart+xml"/>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harts/chart8.xml" ContentType="application/vnd.openxmlformats-officedocument.drawingml.chart+xml"/>
  <Override PartName="/xl/charts/chart9.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0" windowWidth="15360" windowHeight="7320" firstSheet="6" activeTab="8"/>
  </bookViews>
  <sheets>
    <sheet name="RSAI plc" sheetId="14" state="hidden" r:id="rId1"/>
    <sheet name="RSA Re" sheetId="15" state="hidden" r:id="rId2"/>
    <sheet name="MIC" sheetId="16" state="hidden" r:id="rId3"/>
    <sheet name="Codan" sheetId="17" state="hidden" r:id="rId4"/>
    <sheet name="Priv" sheetId="18" state="hidden" r:id="rId5"/>
    <sheet name="Holmia" sheetId="13" state="hidden" r:id="rId6"/>
    <sheet name="Overview" sheetId="27" r:id="rId7"/>
    <sheet name="Completion Matrix" sheetId="31" r:id="rId8"/>
    <sheet name="Dashboard 1" sheetId="25" r:id="rId9"/>
    <sheet name="Dashboard 3" sheetId="19" r:id="rId10"/>
    <sheet name="Sheet1" sheetId="5" state="hidden" r:id="rId11"/>
    <sheet name="Policies" sheetId="28" r:id="rId12"/>
    <sheet name="Policies (2)" sheetId="30" r:id="rId13"/>
  </sheets>
  <externalReferences>
    <externalReference r:id="rId14"/>
  </externalReferences>
  <definedNames>
    <definedName name="_xlnm._FilterDatabase" localSheetId="3" hidden="1">Codan!$A$2:$P$426</definedName>
    <definedName name="_xlnm._FilterDatabase" localSheetId="7" hidden="1">'Completion Matrix'!$A$7:$O$59</definedName>
    <definedName name="_xlnm._FilterDatabase" localSheetId="8" hidden="1">'Dashboard 1'!$G$3:$L$64</definedName>
    <definedName name="_xlnm._FilterDatabase" localSheetId="9" hidden="1">'Dashboard 3'!$B$72:$C$95</definedName>
    <definedName name="_xlnm._FilterDatabase" localSheetId="5" hidden="1">Holmia!$A$2:$P$373</definedName>
    <definedName name="_xlnm._FilterDatabase" localSheetId="2" hidden="1">MIC!$A$2:$P$426</definedName>
    <definedName name="_xlnm._FilterDatabase" localSheetId="6" hidden="1">Overview!$B$7:$C$7</definedName>
    <definedName name="_xlnm._FilterDatabase" localSheetId="12" hidden="1">'Policies (2)'!$A$3:$K$46</definedName>
    <definedName name="_xlnm._FilterDatabase" localSheetId="4" hidden="1">Priv!$A$2:$P$426</definedName>
    <definedName name="_xlnm._FilterDatabase" localSheetId="1" hidden="1">'RSA Re'!$A$2:$P$426</definedName>
    <definedName name="_xlnm._FilterDatabase" localSheetId="0" hidden="1">'RSAI plc'!$A$2:$P$426</definedName>
    <definedName name="_xlnm.Print_Area" localSheetId="3">Codan!$A$1:$N$426</definedName>
    <definedName name="_xlnm.Print_Area" localSheetId="7">'Completion Matrix'!$A$6:$N$56</definedName>
    <definedName name="_xlnm.Print_Area" localSheetId="5">Holmia!$A$1:$N$373</definedName>
    <definedName name="_xlnm.Print_Area" localSheetId="2">MIC!$A$1:$N$426</definedName>
    <definedName name="_xlnm.Print_Area" localSheetId="4">Priv!$A$1:$N$426</definedName>
    <definedName name="_xlnm.Print_Area" localSheetId="1">'RSA Re'!$A$1:$N$426</definedName>
    <definedName name="_xlnm.Print_Area" localSheetId="0">'RSAI plc'!$A$1:$N$426</definedName>
    <definedName name="_xlnm.Print_Titles" localSheetId="3">Codan!$1:$2</definedName>
    <definedName name="_xlnm.Print_Titles" localSheetId="7">'Completion Matrix'!$6:$7</definedName>
    <definedName name="_xlnm.Print_Titles" localSheetId="5">Holmia!$1:$2</definedName>
    <definedName name="_xlnm.Print_Titles" localSheetId="2">MIC!$1:$2</definedName>
    <definedName name="_xlnm.Print_Titles" localSheetId="4">Priv!$1:$2</definedName>
    <definedName name="_xlnm.Print_Titles" localSheetId="1">'RSA Re'!$1:$2</definedName>
    <definedName name="_xlnm.Print_Titles" localSheetId="0">'RSAI plc'!$1:$2</definedName>
  </definedNames>
  <calcPr calcId="125725"/>
</workbook>
</file>

<file path=xl/calcChain.xml><?xml version="1.0" encoding="utf-8"?>
<calcChain xmlns="http://schemas.openxmlformats.org/spreadsheetml/2006/main">
  <c r="O79" i="27"/>
  <c r="N79"/>
  <c r="M79"/>
  <c r="L79"/>
  <c r="AI78"/>
  <c r="O78"/>
  <c r="N78"/>
  <c r="M78"/>
  <c r="L78"/>
  <c r="AI77"/>
  <c r="O76"/>
  <c r="N76"/>
  <c r="M76"/>
  <c r="L76"/>
  <c r="O75"/>
  <c r="N75"/>
  <c r="M75"/>
  <c r="L75"/>
  <c r="AI74"/>
  <c r="O74"/>
  <c r="N74"/>
  <c r="M74"/>
  <c r="L74"/>
  <c r="AI73"/>
  <c r="O73"/>
  <c r="N73"/>
  <c r="M73"/>
  <c r="L73"/>
  <c r="AI72"/>
  <c r="O72"/>
  <c r="N72"/>
  <c r="M72"/>
  <c r="L72"/>
  <c r="AI71"/>
  <c r="O70"/>
  <c r="N70"/>
  <c r="M70"/>
  <c r="L70"/>
  <c r="O69"/>
  <c r="N69"/>
  <c r="M69"/>
  <c r="L69"/>
  <c r="AI67"/>
  <c r="O67"/>
  <c r="N67"/>
  <c r="M67"/>
  <c r="L67"/>
  <c r="AI66"/>
  <c r="O66"/>
  <c r="N66"/>
  <c r="M66"/>
  <c r="L66"/>
  <c r="AI65"/>
  <c r="O65"/>
  <c r="N65"/>
  <c r="M65"/>
  <c r="L65"/>
  <c r="AI64"/>
  <c r="O64"/>
  <c r="N64"/>
  <c r="M64"/>
  <c r="L64"/>
  <c r="AI63"/>
  <c r="O63"/>
  <c r="N63"/>
  <c r="M63"/>
  <c r="L63"/>
  <c r="AI62"/>
  <c r="O62"/>
  <c r="N62"/>
  <c r="M62"/>
  <c r="L62"/>
  <c r="AI61"/>
  <c r="O61"/>
  <c r="N61"/>
  <c r="M61"/>
  <c r="L61"/>
  <c r="AI60"/>
  <c r="O60"/>
  <c r="N60"/>
  <c r="M60"/>
  <c r="L60"/>
  <c r="AI59"/>
  <c r="O59"/>
  <c r="N59"/>
  <c r="M59"/>
  <c r="L59"/>
  <c r="AI58"/>
  <c r="O58"/>
  <c r="N58"/>
  <c r="M58"/>
  <c r="L58"/>
  <c r="O56"/>
  <c r="N56"/>
  <c r="M56"/>
  <c r="L56"/>
  <c r="AI55"/>
  <c r="O55"/>
  <c r="N55"/>
  <c r="M55"/>
  <c r="L55"/>
  <c r="AI54"/>
  <c r="O54"/>
  <c r="N54"/>
  <c r="M54"/>
  <c r="L54"/>
  <c r="O53"/>
  <c r="N53"/>
  <c r="M53"/>
  <c r="L53"/>
  <c r="O52"/>
  <c r="N52"/>
  <c r="M52"/>
  <c r="L52"/>
  <c r="AI51"/>
  <c r="O51"/>
  <c r="N51"/>
  <c r="M51"/>
  <c r="L51"/>
  <c r="AI50"/>
  <c r="O50"/>
  <c r="N50"/>
  <c r="M50"/>
  <c r="L50"/>
  <c r="AI49"/>
  <c r="O49"/>
  <c r="N49"/>
  <c r="M49"/>
  <c r="L49"/>
  <c r="AI48"/>
  <c r="AI47"/>
  <c r="O47"/>
  <c r="N47"/>
  <c r="M47"/>
  <c r="L47"/>
  <c r="AI46"/>
  <c r="O46"/>
  <c r="N46"/>
  <c r="M46"/>
  <c r="L46"/>
  <c r="AI45"/>
  <c r="O45"/>
  <c r="N45"/>
  <c r="M45"/>
  <c r="L45"/>
  <c r="AI44"/>
  <c r="O44"/>
  <c r="N44"/>
  <c r="M44"/>
  <c r="L44"/>
  <c r="O43"/>
  <c r="N43"/>
  <c r="M43"/>
  <c r="L43"/>
  <c r="O42"/>
  <c r="N42"/>
  <c r="AI32"/>
  <c r="AI31"/>
  <c r="AI30"/>
  <c r="AI27"/>
  <c r="AI26"/>
  <c r="AI23"/>
  <c r="AI22"/>
  <c r="AI21"/>
  <c r="AI20"/>
  <c r="AI19"/>
  <c r="AI18"/>
  <c r="AI17"/>
  <c r="AI16"/>
  <c r="AI15"/>
  <c r="AI14"/>
  <c r="AI13"/>
  <c r="AI12"/>
  <c r="AI10"/>
  <c r="AI9"/>
  <c r="AI8"/>
  <c r="AI7"/>
  <c r="M42"/>
  <c r="L42"/>
  <c r="AI41"/>
  <c r="O41"/>
  <c r="N41"/>
  <c r="M41"/>
  <c r="L41"/>
  <c r="AI40"/>
  <c r="O40"/>
  <c r="N40"/>
  <c r="M40"/>
  <c r="L40"/>
  <c r="AI39"/>
  <c r="O39"/>
  <c r="N39"/>
  <c r="M39"/>
  <c r="L39"/>
  <c r="AI38"/>
  <c r="O38"/>
  <c r="N38"/>
  <c r="M38"/>
  <c r="L38"/>
  <c r="AI37"/>
  <c r="O37"/>
  <c r="N37"/>
  <c r="M37"/>
  <c r="L37"/>
  <c r="O36"/>
  <c r="N36"/>
  <c r="M36"/>
  <c r="L36"/>
  <c r="AI35"/>
  <c r="O35"/>
  <c r="N35"/>
  <c r="M35"/>
  <c r="L35"/>
  <c r="AI34"/>
  <c r="O34"/>
  <c r="N34"/>
  <c r="M34"/>
  <c r="L34"/>
  <c r="O33"/>
  <c r="N33"/>
  <c r="M33"/>
  <c r="L33"/>
  <c r="M31"/>
  <c r="N31"/>
  <c r="O31"/>
  <c r="L31"/>
  <c r="O22"/>
  <c r="O23"/>
  <c r="O24"/>
  <c r="O25"/>
  <c r="O26"/>
  <c r="O27"/>
  <c r="O28"/>
  <c r="O29"/>
  <c r="N22"/>
  <c r="N23"/>
  <c r="N24"/>
  <c r="N25"/>
  <c r="N26"/>
  <c r="N27"/>
  <c r="N28"/>
  <c r="N29"/>
  <c r="M22"/>
  <c r="M23"/>
  <c r="M24"/>
  <c r="M25"/>
  <c r="M26"/>
  <c r="M27"/>
  <c r="M28"/>
  <c r="M29"/>
  <c r="M21"/>
  <c r="N21"/>
  <c r="O21"/>
  <c r="L22"/>
  <c r="L23"/>
  <c r="L24"/>
  <c r="L25"/>
  <c r="L26"/>
  <c r="L27"/>
  <c r="L28"/>
  <c r="L29"/>
  <c r="L21"/>
  <c r="F79"/>
  <c r="G79"/>
  <c r="H79"/>
  <c r="E79"/>
  <c r="F78"/>
  <c r="G78"/>
  <c r="H78"/>
  <c r="E78"/>
  <c r="H73"/>
  <c r="H74"/>
  <c r="H75"/>
  <c r="H76"/>
  <c r="G73"/>
  <c r="G74"/>
  <c r="G75"/>
  <c r="G76"/>
  <c r="F73"/>
  <c r="F74"/>
  <c r="F75"/>
  <c r="F76"/>
  <c r="E73"/>
  <c r="E74"/>
  <c r="E75"/>
  <c r="E76"/>
  <c r="F72"/>
  <c r="G72"/>
  <c r="H72"/>
  <c r="E72"/>
  <c r="F70"/>
  <c r="G70"/>
  <c r="H70"/>
  <c r="F69"/>
  <c r="G69"/>
  <c r="H69"/>
  <c r="E70"/>
  <c r="E69"/>
  <c r="H59"/>
  <c r="H60"/>
  <c r="H61"/>
  <c r="H62"/>
  <c r="H63"/>
  <c r="H64"/>
  <c r="H65"/>
  <c r="H66"/>
  <c r="H67"/>
  <c r="G59"/>
  <c r="G60"/>
  <c r="G61"/>
  <c r="G62"/>
  <c r="G63"/>
  <c r="G64"/>
  <c r="G65"/>
  <c r="G66"/>
  <c r="G67"/>
  <c r="F59"/>
  <c r="F60"/>
  <c r="F61"/>
  <c r="F62"/>
  <c r="F63"/>
  <c r="F64"/>
  <c r="F65"/>
  <c r="F66"/>
  <c r="F67"/>
  <c r="E59"/>
  <c r="E60"/>
  <c r="E61"/>
  <c r="E62"/>
  <c r="E63"/>
  <c r="E64"/>
  <c r="E65"/>
  <c r="E66"/>
  <c r="E67"/>
  <c r="F58"/>
  <c r="G58"/>
  <c r="H58"/>
  <c r="E58"/>
  <c r="H50"/>
  <c r="H51"/>
  <c r="H52"/>
  <c r="H53"/>
  <c r="H54"/>
  <c r="H55"/>
  <c r="H56"/>
  <c r="G50"/>
  <c r="G51"/>
  <c r="G52"/>
  <c r="G53"/>
  <c r="G54"/>
  <c r="G55"/>
  <c r="G56"/>
  <c r="F50"/>
  <c r="F51"/>
  <c r="F52"/>
  <c r="F53"/>
  <c r="F54"/>
  <c r="F55"/>
  <c r="F56"/>
  <c r="E50"/>
  <c r="E51"/>
  <c r="E52"/>
  <c r="E53"/>
  <c r="E54"/>
  <c r="E55"/>
  <c r="E56"/>
  <c r="F49"/>
  <c r="G49"/>
  <c r="H49"/>
  <c r="E49"/>
  <c r="H34"/>
  <c r="H35"/>
  <c r="H36"/>
  <c r="H37"/>
  <c r="H38"/>
  <c r="H39"/>
  <c r="H40"/>
  <c r="H41"/>
  <c r="H42"/>
  <c r="H43"/>
  <c r="H44"/>
  <c r="H45"/>
  <c r="H46"/>
  <c r="H47"/>
  <c r="G34"/>
  <c r="G35"/>
  <c r="G36"/>
  <c r="G37"/>
  <c r="G38"/>
  <c r="G39"/>
  <c r="G40"/>
  <c r="G41"/>
  <c r="G42"/>
  <c r="G43"/>
  <c r="G44"/>
  <c r="G45"/>
  <c r="G46"/>
  <c r="G47"/>
  <c r="F34"/>
  <c r="F35"/>
  <c r="F36"/>
  <c r="F37"/>
  <c r="F38"/>
  <c r="F39"/>
  <c r="F40"/>
  <c r="F41"/>
  <c r="F42"/>
  <c r="F43"/>
  <c r="F44"/>
  <c r="F45"/>
  <c r="F46"/>
  <c r="F47"/>
  <c r="E34"/>
  <c r="E35"/>
  <c r="E36"/>
  <c r="E37"/>
  <c r="E38"/>
  <c r="E39"/>
  <c r="E40"/>
  <c r="E41"/>
  <c r="E42"/>
  <c r="E43"/>
  <c r="E44"/>
  <c r="E45"/>
  <c r="E46"/>
  <c r="E47"/>
  <c r="F33"/>
  <c r="G33"/>
  <c r="H33"/>
  <c r="E33"/>
  <c r="F31"/>
  <c r="G31"/>
  <c r="H31"/>
  <c r="E31"/>
  <c r="H22"/>
  <c r="H23"/>
  <c r="H24"/>
  <c r="H25"/>
  <c r="H26"/>
  <c r="H27"/>
  <c r="H28"/>
  <c r="H29"/>
  <c r="H21"/>
  <c r="G22"/>
  <c r="G23"/>
  <c r="G24"/>
  <c r="G25"/>
  <c r="G26"/>
  <c r="G27"/>
  <c r="G28"/>
  <c r="G29"/>
  <c r="G21"/>
  <c r="F22"/>
  <c r="F23"/>
  <c r="F24"/>
  <c r="F25"/>
  <c r="F26"/>
  <c r="F27"/>
  <c r="F28"/>
  <c r="F29"/>
  <c r="F21"/>
  <c r="E23"/>
  <c r="E24"/>
  <c r="E25"/>
  <c r="E26"/>
  <c r="E27"/>
  <c r="E28"/>
  <c r="E29"/>
  <c r="E22"/>
  <c r="E21"/>
  <c r="P78" l="1"/>
  <c r="C9"/>
  <c r="C10"/>
  <c r="C11"/>
  <c r="C12"/>
  <c r="C13"/>
  <c r="C14"/>
  <c r="C15"/>
  <c r="C8"/>
  <c r="O84"/>
  <c r="L84"/>
  <c r="O30"/>
  <c r="N30"/>
  <c r="M30"/>
  <c r="L30"/>
  <c r="H30"/>
  <c r="F30"/>
  <c r="G30"/>
  <c r="F84"/>
  <c r="G84"/>
  <c r="H84"/>
  <c r="E84"/>
  <c r="C16" l="1"/>
  <c r="P30"/>
  <c r="I31"/>
  <c r="P31"/>
  <c r="L32"/>
  <c r="P45"/>
  <c r="P37"/>
  <c r="I34"/>
  <c r="M32"/>
  <c r="P40"/>
  <c r="I43"/>
  <c r="P44"/>
  <c r="P41"/>
  <c r="P36"/>
  <c r="F32"/>
  <c r="I36"/>
  <c r="P47"/>
  <c r="P46"/>
  <c r="P43"/>
  <c r="P42"/>
  <c r="P39"/>
  <c r="P38"/>
  <c r="P35"/>
  <c r="P34"/>
  <c r="E32"/>
  <c r="I42"/>
  <c r="E30"/>
  <c r="I30" s="1"/>
  <c r="P76"/>
  <c r="P73"/>
  <c r="P74"/>
  <c r="P75"/>
  <c r="P69"/>
  <c r="P70"/>
  <c r="P33"/>
  <c r="P54"/>
  <c r="P50"/>
  <c r="P55"/>
  <c r="P51"/>
  <c r="P56"/>
  <c r="P52"/>
  <c r="P49"/>
  <c r="P53"/>
  <c r="O68"/>
  <c r="N68"/>
  <c r="F68"/>
  <c r="I70"/>
  <c r="I69"/>
  <c r="G68"/>
  <c r="E68"/>
  <c r="I54"/>
  <c r="I50"/>
  <c r="H68"/>
  <c r="I55"/>
  <c r="I51"/>
  <c r="I56"/>
  <c r="I52"/>
  <c r="I53"/>
  <c r="M68"/>
  <c r="L68"/>
  <c r="N48"/>
  <c r="L48"/>
  <c r="O48"/>
  <c r="M48"/>
  <c r="N32"/>
  <c r="H48"/>
  <c r="G48"/>
  <c r="F48"/>
  <c r="E20"/>
  <c r="O32" l="1"/>
  <c r="P32" s="1"/>
  <c r="I58"/>
  <c r="I59"/>
  <c r="I60"/>
  <c r="I61"/>
  <c r="I62"/>
  <c r="I63"/>
  <c r="I64"/>
  <c r="I65"/>
  <c r="I66"/>
  <c r="I67"/>
  <c r="P72"/>
  <c r="P58"/>
  <c r="P59"/>
  <c r="P60"/>
  <c r="P61"/>
  <c r="P62"/>
  <c r="P63"/>
  <c r="P64"/>
  <c r="P65"/>
  <c r="P66"/>
  <c r="P67"/>
  <c r="I46"/>
  <c r="I68"/>
  <c r="I72"/>
  <c r="I73"/>
  <c r="I74"/>
  <c r="I75"/>
  <c r="I21"/>
  <c r="I22"/>
  <c r="I23"/>
  <c r="I24"/>
  <c r="I25"/>
  <c r="I26"/>
  <c r="I27"/>
  <c r="I28"/>
  <c r="I29"/>
  <c r="I33"/>
  <c r="I35"/>
  <c r="I37"/>
  <c r="I38"/>
  <c r="I39"/>
  <c r="I40"/>
  <c r="I41"/>
  <c r="I44"/>
  <c r="I45"/>
  <c r="I47"/>
  <c r="I76"/>
  <c r="E48"/>
  <c r="I49"/>
  <c r="P68"/>
  <c r="G32"/>
  <c r="H32"/>
  <c r="P48"/>
  <c r="P79"/>
  <c r="P21"/>
  <c r="P22"/>
  <c r="P23"/>
  <c r="P24"/>
  <c r="P25"/>
  <c r="P26"/>
  <c r="P27"/>
  <c r="P28"/>
  <c r="P29"/>
  <c r="I78"/>
  <c r="I79"/>
  <c r="I48" l="1"/>
  <c r="E71"/>
  <c r="F71"/>
  <c r="G71"/>
  <c r="H71"/>
  <c r="L71"/>
  <c r="M71"/>
  <c r="N71"/>
  <c r="O71"/>
  <c r="E77"/>
  <c r="F77"/>
  <c r="G77"/>
  <c r="H77"/>
  <c r="L77"/>
  <c r="M77"/>
  <c r="N77"/>
  <c r="O77"/>
  <c r="F20"/>
  <c r="G20"/>
  <c r="H20"/>
  <c r="L20"/>
  <c r="M20"/>
  <c r="N20"/>
  <c r="O20"/>
  <c r="E57"/>
  <c r="F57"/>
  <c r="G57"/>
  <c r="H57"/>
  <c r="L57"/>
  <c r="M57"/>
  <c r="N57"/>
  <c r="O57"/>
  <c r="C95" i="19"/>
  <c r="C94"/>
  <c r="C93"/>
  <c r="C92"/>
  <c r="C91"/>
  <c r="C90"/>
  <c r="C89"/>
  <c r="C88"/>
  <c r="C87"/>
  <c r="C86"/>
  <c r="C85"/>
  <c r="C84"/>
  <c r="C83"/>
  <c r="C82"/>
  <c r="C81"/>
  <c r="C80"/>
  <c r="C79"/>
  <c r="C78"/>
  <c r="C77"/>
  <c r="C76"/>
  <c r="C75"/>
  <c r="C74"/>
  <c r="C73"/>
  <c r="CF68"/>
  <c r="BS68"/>
  <c r="BF68"/>
  <c r="CF67"/>
  <c r="BS67"/>
  <c r="BF67"/>
  <c r="CF64"/>
  <c r="BS64"/>
  <c r="BG64"/>
  <c r="BF64"/>
  <c r="CF63"/>
  <c r="BS63"/>
  <c r="BG63"/>
  <c r="BF63"/>
  <c r="CF62"/>
  <c r="BS62"/>
  <c r="BG62"/>
  <c r="BF62"/>
  <c r="CF61"/>
  <c r="BS61"/>
  <c r="BG61"/>
  <c r="BF61"/>
  <c r="CF60"/>
  <c r="BS60"/>
  <c r="BG60"/>
  <c r="BF60"/>
  <c r="CF59"/>
  <c r="BS59"/>
  <c r="BG59"/>
  <c r="BF59"/>
  <c r="CF58"/>
  <c r="BS58"/>
  <c r="BG58"/>
  <c r="BF58"/>
  <c r="CF57"/>
  <c r="BS57"/>
  <c r="BG57"/>
  <c r="BF57"/>
  <c r="CF56"/>
  <c r="BS56"/>
  <c r="BG56"/>
  <c r="BF56"/>
  <c r="CF55"/>
  <c r="BS55"/>
  <c r="BG55"/>
  <c r="BF55"/>
  <c r="CF54"/>
  <c r="BS54"/>
  <c r="BG54"/>
  <c r="BF54"/>
  <c r="CF53"/>
  <c r="BS53"/>
  <c r="BG53"/>
  <c r="BF53"/>
  <c r="CF52"/>
  <c r="BS52"/>
  <c r="BG52"/>
  <c r="BF52"/>
  <c r="CF51"/>
  <c r="BS51"/>
  <c r="BG51"/>
  <c r="BF51"/>
  <c r="CF50"/>
  <c r="BS50"/>
  <c r="BG50"/>
  <c r="BF50"/>
  <c r="CF49"/>
  <c r="BS49"/>
  <c r="BG49"/>
  <c r="BF49"/>
  <c r="CF46"/>
  <c r="BS46"/>
  <c r="BF46"/>
  <c r="CF45"/>
  <c r="BS45"/>
  <c r="BF45"/>
  <c r="CF42"/>
  <c r="BS42"/>
  <c r="BG42"/>
  <c r="BF42"/>
  <c r="CF41"/>
  <c r="BS41"/>
  <c r="BG41"/>
  <c r="BF41"/>
  <c r="CF40"/>
  <c r="BS40"/>
  <c r="BG40"/>
  <c r="BF40"/>
  <c r="CF39"/>
  <c r="BS39"/>
  <c r="BG39"/>
  <c r="BF39"/>
  <c r="CF38"/>
  <c r="BS38"/>
  <c r="BG38"/>
  <c r="BF38"/>
  <c r="CF37"/>
  <c r="BS37"/>
  <c r="BG37"/>
  <c r="BF37"/>
  <c r="CF36"/>
  <c r="BS36"/>
  <c r="BG36"/>
  <c r="BF36"/>
  <c r="CF35"/>
  <c r="BS35"/>
  <c r="BG35"/>
  <c r="BF35"/>
  <c r="CF34"/>
  <c r="BS34"/>
  <c r="BG34"/>
  <c r="BF34"/>
  <c r="CF33"/>
  <c r="BS33"/>
  <c r="BG33"/>
  <c r="BF33"/>
  <c r="CF32"/>
  <c r="BS32"/>
  <c r="BG32"/>
  <c r="BF32"/>
  <c r="CF31"/>
  <c r="BS31"/>
  <c r="BG31"/>
  <c r="CF30"/>
  <c r="BS30"/>
  <c r="BG30"/>
  <c r="CF29"/>
  <c r="BS29"/>
  <c r="BG29"/>
  <c r="CF28"/>
  <c r="BS28"/>
  <c r="BG28"/>
  <c r="CF27"/>
  <c r="BS27"/>
  <c r="BG27"/>
  <c r="CF24"/>
  <c r="BS24"/>
  <c r="BF24"/>
  <c r="CF23"/>
  <c r="BS23"/>
  <c r="BF23"/>
  <c r="CF20"/>
  <c r="BS20"/>
  <c r="BG20"/>
  <c r="BF20"/>
  <c r="CF19"/>
  <c r="BS19"/>
  <c r="BG19"/>
  <c r="BF19"/>
  <c r="CF18"/>
  <c r="BS18"/>
  <c r="BG18"/>
  <c r="BF18"/>
  <c r="CF17"/>
  <c r="BS17"/>
  <c r="BG17"/>
  <c r="BF17"/>
  <c r="CF16"/>
  <c r="BS16"/>
  <c r="BG16"/>
  <c r="BF16"/>
  <c r="CF15"/>
  <c r="BS15"/>
  <c r="BG15"/>
  <c r="BF15"/>
  <c r="CF14"/>
  <c r="BS14"/>
  <c r="BG14"/>
  <c r="BF14"/>
  <c r="AA14"/>
  <c r="Z14"/>
  <c r="Y14"/>
  <c r="X14"/>
  <c r="W14"/>
  <c r="V14"/>
  <c r="U14"/>
  <c r="T14"/>
  <c r="S14"/>
  <c r="R14"/>
  <c r="Q14"/>
  <c r="P14"/>
  <c r="CF13"/>
  <c r="BS13"/>
  <c r="BG13"/>
  <c r="BF13"/>
  <c r="AA13"/>
  <c r="Z13"/>
  <c r="Y13"/>
  <c r="X13"/>
  <c r="W13"/>
  <c r="V13"/>
  <c r="U13"/>
  <c r="T13"/>
  <c r="S13"/>
  <c r="R13"/>
  <c r="Q13"/>
  <c r="P13"/>
  <c r="H13"/>
  <c r="CF12"/>
  <c r="BS12"/>
  <c r="BG12"/>
  <c r="AA12"/>
  <c r="Z12"/>
  <c r="Y12"/>
  <c r="X12"/>
  <c r="W12"/>
  <c r="V12"/>
  <c r="U12"/>
  <c r="T12"/>
  <c r="S12"/>
  <c r="R12"/>
  <c r="Q12"/>
  <c r="P12"/>
  <c r="H12"/>
  <c r="CF11"/>
  <c r="BS11"/>
  <c r="BG11"/>
  <c r="AA11"/>
  <c r="Z11"/>
  <c r="Y11"/>
  <c r="X11"/>
  <c r="W11"/>
  <c r="V11"/>
  <c r="U11"/>
  <c r="T11"/>
  <c r="S11"/>
  <c r="R11"/>
  <c r="Q11"/>
  <c r="P11"/>
  <c r="H11"/>
  <c r="CF10"/>
  <c r="BS10"/>
  <c r="BG10"/>
  <c r="AA10"/>
  <c r="Z10"/>
  <c r="Y10"/>
  <c r="X10"/>
  <c r="W10"/>
  <c r="V10"/>
  <c r="U10"/>
  <c r="T10"/>
  <c r="S10"/>
  <c r="R10"/>
  <c r="Q10"/>
  <c r="P10"/>
  <c r="H10"/>
  <c r="CF9"/>
  <c r="BS9"/>
  <c r="BG9"/>
  <c r="AA9"/>
  <c r="Z9"/>
  <c r="Y9"/>
  <c r="X9"/>
  <c r="W9"/>
  <c r="V9"/>
  <c r="U9"/>
  <c r="T9"/>
  <c r="S9"/>
  <c r="R9"/>
  <c r="Q9"/>
  <c r="P9"/>
  <c r="H9"/>
  <c r="CF8"/>
  <c r="BS8"/>
  <c r="BG8"/>
  <c r="AA8"/>
  <c r="Z8"/>
  <c r="Y8"/>
  <c r="X8"/>
  <c r="W8"/>
  <c r="V8"/>
  <c r="U8"/>
  <c r="T8"/>
  <c r="S8"/>
  <c r="R8"/>
  <c r="Q8"/>
  <c r="P8"/>
  <c r="L8"/>
  <c r="H8"/>
  <c r="CF7"/>
  <c r="BS7"/>
  <c r="BG7"/>
  <c r="AA7"/>
  <c r="Z7"/>
  <c r="Y7"/>
  <c r="X7"/>
  <c r="W7"/>
  <c r="V7"/>
  <c r="U7"/>
  <c r="T7"/>
  <c r="S7"/>
  <c r="R7"/>
  <c r="Q7"/>
  <c r="P7"/>
  <c r="L7"/>
  <c r="H7"/>
  <c r="CF6"/>
  <c r="BS6"/>
  <c r="BG6"/>
  <c r="AA6"/>
  <c r="Z6"/>
  <c r="Y6"/>
  <c r="X6"/>
  <c r="W6"/>
  <c r="V6"/>
  <c r="U6"/>
  <c r="T6"/>
  <c r="S6"/>
  <c r="R6"/>
  <c r="Q6"/>
  <c r="P6"/>
  <c r="L6"/>
  <c r="H6"/>
  <c r="C6"/>
  <c r="CF5"/>
  <c r="BS5"/>
  <c r="BG5"/>
  <c r="AA5"/>
  <c r="Z5"/>
  <c r="Y5"/>
  <c r="X5"/>
  <c r="W5"/>
  <c r="V5"/>
  <c r="U5"/>
  <c r="T5"/>
  <c r="S5"/>
  <c r="R5"/>
  <c r="Q5"/>
  <c r="P5"/>
  <c r="L5"/>
  <c r="H5"/>
  <c r="O80" i="27" l="1"/>
  <c r="O85" s="1"/>
  <c r="L80"/>
  <c r="L85" s="1"/>
  <c r="M80"/>
  <c r="M85" s="1"/>
  <c r="N80"/>
  <c r="N85" s="1"/>
  <c r="E80"/>
  <c r="E85" s="1"/>
  <c r="H80"/>
  <c r="H85" s="1"/>
  <c r="F80"/>
  <c r="F85" s="1"/>
  <c r="G80"/>
  <c r="G85" s="1"/>
  <c r="I77"/>
  <c r="I71"/>
  <c r="P57"/>
  <c r="P20"/>
  <c r="P77"/>
  <c r="P71"/>
  <c r="I20"/>
  <c r="AI75"/>
  <c r="AI24"/>
  <c r="AI52"/>
  <c r="F14" i="19"/>
  <c r="F13"/>
  <c r="F12"/>
  <c r="F11"/>
  <c r="F10"/>
  <c r="F9"/>
  <c r="F8"/>
  <c r="F7"/>
  <c r="F6"/>
  <c r="F5"/>
  <c r="BF12"/>
  <c r="BF11"/>
  <c r="BF10"/>
  <c r="BF9"/>
  <c r="BF8"/>
  <c r="BF27"/>
  <c r="BF31"/>
  <c r="BF30"/>
  <c r="BF29"/>
  <c r="BF28"/>
  <c r="BF7"/>
  <c r="BF6"/>
  <c r="BF5"/>
  <c r="L82" i="27" l="1"/>
  <c r="J20"/>
  <c r="Q20"/>
  <c r="E82"/>
  <c r="E81" l="1"/>
  <c r="N81"/>
  <c r="M81"/>
  <c r="O81"/>
  <c r="L81"/>
  <c r="H81"/>
  <c r="G81"/>
  <c r="F81"/>
  <c r="CF65" i="19"/>
  <c r="BS65"/>
  <c r="BE42"/>
  <c r="CF43"/>
  <c r="BS43"/>
  <c r="BE14"/>
  <c r="G14"/>
  <c r="AB10" l="1"/>
  <c r="BE10"/>
  <c r="AB12"/>
  <c r="BE16"/>
  <c r="BE17"/>
  <c r="BE18"/>
  <c r="BE19"/>
  <c r="BE20"/>
  <c r="BE55"/>
  <c r="BE56"/>
  <c r="BE57"/>
  <c r="BE58"/>
  <c r="BE59"/>
  <c r="BE60"/>
  <c r="BE61"/>
  <c r="BE62"/>
  <c r="BE63"/>
  <c r="BE64"/>
  <c r="AB9"/>
  <c r="AB11"/>
  <c r="BE11"/>
  <c r="AB13"/>
  <c r="BE13"/>
  <c r="BE12"/>
  <c r="AB14"/>
  <c r="BE49"/>
  <c r="BE50"/>
  <c r="BE51"/>
  <c r="BE52"/>
  <c r="BE53"/>
  <c r="BE54"/>
  <c r="BF65"/>
  <c r="BE8"/>
  <c r="BE9"/>
  <c r="BE27"/>
  <c r="BE28"/>
  <c r="BE29"/>
  <c r="BE30"/>
  <c r="BE31"/>
  <c r="BE32"/>
  <c r="BE33"/>
  <c r="BE34"/>
  <c r="BE35"/>
  <c r="BE36"/>
  <c r="BE37"/>
  <c r="BE38"/>
  <c r="BE39"/>
  <c r="BE40"/>
  <c r="BE41"/>
  <c r="BF43"/>
  <c r="BE15"/>
  <c r="AB7" l="1"/>
  <c r="BE7"/>
  <c r="AB8"/>
  <c r="BE6"/>
  <c r="L9"/>
  <c r="CF21"/>
  <c r="BS21"/>
  <c r="I5"/>
  <c r="G5"/>
  <c r="G15" s="1"/>
  <c r="AB5" l="1"/>
  <c r="C5"/>
  <c r="C7" s="1"/>
  <c r="F15"/>
  <c r="BE5"/>
  <c r="BF21"/>
  <c r="BQ75" s="1"/>
  <c r="AB6"/>
  <c r="L12" i="27"/>
</calcChain>
</file>

<file path=xl/connections.xml><?xml version="1.0" encoding="utf-8"?>
<connections xmlns="http://schemas.openxmlformats.org/spreadsheetml/2006/main">
  <connection id="1" sourceFile="K:\217 Solvency II\Project Management\Project Plans\2015 Planning\Solvency II - Control Framework\Completion Matrix\RSA II Completeness Matrix - Capital(FOR).xlsx" keepAlive="1" name="Capital" type="5" refreshedVersion="0" new="1" background="1" saveData="1">
    <dbPr connection="Provider=Microsoft.ACE.OLEDB.12.0;Password=&quot;&quot;;User ID=Admin;Data Source=K:\217 Solvency II\Project Management\Project Plans\2015 Planning\Solvency II - Control Framework\Completion Matrix\RSA II Completeness Matrix - Capital(FOR).xlsx;Mode=Share Deny Write;Extended Properties=&quot;HDR=NO;&quot;;Jet OLEDB:System database=&quot;&quot;;Jet OLEDB:Registry Path=&quot;&quot;;Jet OLEDB:Database Password=&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 command="'Sheet 1$'" commandType="3"/>
  </connection>
</connections>
</file>

<file path=xl/sharedStrings.xml><?xml version="1.0" encoding="utf-8"?>
<sst xmlns="http://schemas.openxmlformats.org/spreadsheetml/2006/main" count="10464" uniqueCount="925">
  <si>
    <t>SOLVENCY II REQUIREMENTS - L1, L2, L3</t>
  </si>
  <si>
    <t>PRE-IMPLEMENTATION "CURRENT" COMPLIANCE</t>
  </si>
  <si>
    <t>POST-IMPLEMENTATION "BAU" COMPLIANCE</t>
  </si>
  <si>
    <t>Level 1 SII Directive Article #</t>
  </si>
  <si>
    <t>Level 1 Directive Article Title</t>
  </si>
  <si>
    <t>L2 Delegated Act Article #</t>
  </si>
  <si>
    <t>L3 Set 1 Guidelines</t>
  </si>
  <si>
    <t>Existing evidence of compliance</t>
  </si>
  <si>
    <t>Assurance / review performed</t>
  </si>
  <si>
    <t>Evidence</t>
  </si>
  <si>
    <t>Review process / controls</t>
  </si>
  <si>
    <t>Assurance</t>
  </si>
  <si>
    <t>Subject matter</t>
  </si>
  <si>
    <t>N/A - reference only</t>
  </si>
  <si>
    <t>Scope</t>
  </si>
  <si>
    <t>Statutory systems</t>
  </si>
  <si>
    <t>Exclusion from scope due to size</t>
  </si>
  <si>
    <t>Operations</t>
  </si>
  <si>
    <t>Assistance</t>
  </si>
  <si>
    <t>Mutual undertakings</t>
  </si>
  <si>
    <t>Institutions</t>
  </si>
  <si>
    <t>Operations and activities</t>
  </si>
  <si>
    <t>Organisations, undertakings and institutions</t>
  </si>
  <si>
    <t>Reinsurance</t>
  </si>
  <si>
    <t>Reinsurance undertakings closing their activity</t>
  </si>
  <si>
    <t>Definitions</t>
  </si>
  <si>
    <t>Principle of authorisation</t>
  </si>
  <si>
    <t>N/A - Authorisations</t>
  </si>
  <si>
    <t>Scope of authorisation</t>
  </si>
  <si>
    <t>Ancillary risks</t>
  </si>
  <si>
    <t>Legal form of the insurance or reinsurance undertaking</t>
  </si>
  <si>
    <t>Conditions for authorisation</t>
  </si>
  <si>
    <t>Close links</t>
  </si>
  <si>
    <t>Head office of insurance undertakings and reinsurance undertakings</t>
  </si>
  <si>
    <t>Policy conditions and scales of premiums</t>
  </si>
  <si>
    <t>N/A - Supervisory authority</t>
  </si>
  <si>
    <t>Economic requirements of the market</t>
  </si>
  <si>
    <t>Scheme of operations</t>
  </si>
  <si>
    <t>Shareholders and members with qualifying holdings</t>
  </si>
  <si>
    <t>Refusal of authorisation</t>
  </si>
  <si>
    <t>Prior consultation of the authorities of other Member States</t>
  </si>
  <si>
    <t>Main objective of supervision</t>
  </si>
  <si>
    <t>Guidelines on supervisory review process</t>
  </si>
  <si>
    <t>Financial stability and pro-cyclicality</t>
  </si>
  <si>
    <t>General principles of supervision</t>
  </si>
  <si>
    <t>Supervisory authorities and scope of supervision</t>
  </si>
  <si>
    <t>Transparency and accountability</t>
  </si>
  <si>
    <t>Prohibition of refusal of reinsurance contracts or retrocession contracts</t>
  </si>
  <si>
    <t>Supervision of branches established in another Member State</t>
  </si>
  <si>
    <t>General supervisory powers</t>
  </si>
  <si>
    <t>Information to be provided for supervisory purposes</t>
  </si>
  <si>
    <t>RSR</t>
  </si>
  <si>
    <t>Internal Model Validation Report - group / regional</t>
  </si>
  <si>
    <t>Supervisory review process</t>
  </si>
  <si>
    <t>Capital add-on</t>
  </si>
  <si>
    <t>Supervision of outsourced functions and activities</t>
  </si>
  <si>
    <t>Transfer of portfolio</t>
  </si>
  <si>
    <t>Responsibility of the administrative, management or supervisory body</t>
  </si>
  <si>
    <t>General governance requirements</t>
  </si>
  <si>
    <t>Fit and proper requirements for persons who effectively run the undertaking or have other key functions</t>
  </si>
  <si>
    <t>Proof of good repute</t>
  </si>
  <si>
    <t>Risk management</t>
  </si>
  <si>
    <t>Guidelines on Systems of Governance GL 17 - 26</t>
  </si>
  <si>
    <t>BRC &amp; GAMC - Investment Limits</t>
  </si>
  <si>
    <t>Group Investments Strategy document &amp; TOR</t>
  </si>
  <si>
    <t>Own risk and solvency assessment</t>
  </si>
  <si>
    <t>Internal control</t>
  </si>
  <si>
    <t>Guidelines on Systems of Governance GL 38 - 39</t>
  </si>
  <si>
    <t>PISA Process</t>
  </si>
  <si>
    <t>Internal audit</t>
  </si>
  <si>
    <t>Guidelines on Systems of Governance GL 40 - 45</t>
  </si>
  <si>
    <t>Actuarial function</t>
  </si>
  <si>
    <t>Data limitations log</t>
  </si>
  <si>
    <t>Outsourcing</t>
  </si>
  <si>
    <t>Guidelines on Systems of Governance GL 14, 60 - 64</t>
  </si>
  <si>
    <t>SMART source - O/S arrangements</t>
  </si>
  <si>
    <t>Implementing measures</t>
  </si>
  <si>
    <t>Report on solvency and financial condition: contents</t>
  </si>
  <si>
    <t>SFCR</t>
  </si>
  <si>
    <t>Group credit risk management policy</t>
  </si>
  <si>
    <t>Information for and reports by CEIOPS</t>
  </si>
  <si>
    <t>Report on solvency and financial condition: applicable principles</t>
  </si>
  <si>
    <t>Report on solvency and financial condition: updates and additional voluntary information</t>
  </si>
  <si>
    <t>Report on solvency and financial condition: policy and approval</t>
  </si>
  <si>
    <t>Solvency and financial condition report: implementing measures</t>
  </si>
  <si>
    <t>Acquisitions</t>
  </si>
  <si>
    <t>N/A - M&amp;A</t>
  </si>
  <si>
    <t>Assessment period</t>
  </si>
  <si>
    <t>Assessment</t>
  </si>
  <si>
    <t>Acquisitions by regulated financial undertakings</t>
  </si>
  <si>
    <t>Information to the supervisory authority by the insurance or reinsurance undertaking</t>
  </si>
  <si>
    <t>Qualifying holdings, powers of the supervisory authority</t>
  </si>
  <si>
    <t>Voting rights</t>
  </si>
  <si>
    <t>Professional secrecy</t>
  </si>
  <si>
    <t>Exchange of information between supervisory authorities of Member States</t>
  </si>
  <si>
    <t>Cooperation agreements with third countries</t>
  </si>
  <si>
    <t>Use of confidential information</t>
  </si>
  <si>
    <t>Exchange of information with other authorities</t>
  </si>
  <si>
    <t>Disclosure of information to government administrations responsible for financial legislation</t>
  </si>
  <si>
    <t>Transmission of information to central banks and monetary authorities</t>
  </si>
  <si>
    <t>Supervisory convergence</t>
  </si>
  <si>
    <t>Duties of auditors</t>
  </si>
  <si>
    <t>Pursuit of life and non-life insurance activity</t>
  </si>
  <si>
    <t>Separation of life and non-life insurance management</t>
  </si>
  <si>
    <t>Valuation of assets and liabilities</t>
  </si>
  <si>
    <t>Basis of preparation document</t>
  </si>
  <si>
    <t>General provisions</t>
  </si>
  <si>
    <t>Calculation of technical provisions</t>
  </si>
  <si>
    <t>Other elements to be taken into account in the calculation of technical provisions</t>
  </si>
  <si>
    <t>Valuation of financial guarantees and contractual options included in insurance and reinsurance contracts</t>
  </si>
  <si>
    <t>NA - reference only</t>
  </si>
  <si>
    <t>Segmentation</t>
  </si>
  <si>
    <t>Recoverables from reinsurance contracts and special purpose vehicles</t>
  </si>
  <si>
    <t>Data quality and application of approximations, including case-by-case approaches, for technical provisions</t>
  </si>
  <si>
    <t>Data Directory</t>
  </si>
  <si>
    <t>Comparison against experience</t>
  </si>
  <si>
    <t>Appropriateness of the level of technical provisions</t>
  </si>
  <si>
    <t>Increase of technical provisions</t>
  </si>
  <si>
    <t>Own funds</t>
  </si>
  <si>
    <t>Capital management policy</t>
  </si>
  <si>
    <t>Basic own funds</t>
  </si>
  <si>
    <t>Ancillary own funds</t>
  </si>
  <si>
    <t>Guidelines on ancillary own funds</t>
  </si>
  <si>
    <t>N/A - product type</t>
  </si>
  <si>
    <t>Supervisory approval of ancillary own funds</t>
  </si>
  <si>
    <t>Surplus funds</t>
  </si>
  <si>
    <t>Characteristics and features used to classify own funds into tiers</t>
  </si>
  <si>
    <t>Capital report</t>
  </si>
  <si>
    <t>Main criteria for the classification into tiers</t>
  </si>
  <si>
    <t>Classification of own funds into tiers</t>
  </si>
  <si>
    <t>Classification of specific insurance own-fund items</t>
  </si>
  <si>
    <t>Eligibility and limits applicable to Tiers 1, 2 and  3</t>
  </si>
  <si>
    <t>Guidelines on ring-fenced funds</t>
  </si>
  <si>
    <t>Calculation of the Solvency Capital Requirement</t>
  </si>
  <si>
    <t>Scope of the Internal Model</t>
  </si>
  <si>
    <t>Structural Design of the Calculation Kernel</t>
  </si>
  <si>
    <t>Capital Model: Methods used to Calculate the PDF of Basic Own Funds</t>
  </si>
  <si>
    <t>Frequency of calculation</t>
  </si>
  <si>
    <t>Structure of the standard formula</t>
  </si>
  <si>
    <t>Guidelines on the loss-absorbing capacity of technical provisions and deferred taxes</t>
  </si>
  <si>
    <t>Design of the Basic Solvency Capital Requirement</t>
  </si>
  <si>
    <t>Guidelines on basis risk</t>
  </si>
  <si>
    <t>Guidelines on look-through approach</t>
  </si>
  <si>
    <t>Guidelines on the treatment of market and counterparty risk exposures in the standard formula</t>
  </si>
  <si>
    <t>Calculation of the Basic Solvency Capital Requirement</t>
  </si>
  <si>
    <t>Guidelines on application of outwards reinsurance arrangements to the non-life underwriting risk sub-module</t>
  </si>
  <si>
    <t>Guidelines on application of the life underwriting risk module</t>
  </si>
  <si>
    <t>Guidelines on health catastrophe risk sub-module</t>
  </si>
  <si>
    <t>Calculation of the equity risk sub-module: symmetric adjustment mechanism</t>
  </si>
  <si>
    <t>Capital requirement for operational risk</t>
  </si>
  <si>
    <t>Adjustment for the loss-absorbing capacity of technical provisions and deferred taxes</t>
  </si>
  <si>
    <t>Simplifications in the standard formula</t>
  </si>
  <si>
    <t>Significant deviations from the assumptions underlying the standard formula calculation</t>
  </si>
  <si>
    <t>N/A - standard formula</t>
  </si>
  <si>
    <t>General provisions for the approval of full and partial internal models</t>
  </si>
  <si>
    <t>Guidelines on the use of internal models GL 1 - 4</t>
  </si>
  <si>
    <t>RSA Group SII Application Document</t>
  </si>
  <si>
    <t>RSA Group SII Common Application Package</t>
  </si>
  <si>
    <t>Specific provisions for the approval of partial internal models</t>
  </si>
  <si>
    <t>Policy for changing the full and partial internal models</t>
  </si>
  <si>
    <t>Guidelines on the use of internal models GL 6 - 10</t>
  </si>
  <si>
    <t xml:space="preserve">Model Development Log </t>
  </si>
  <si>
    <t>The Internal Model Change policy</t>
  </si>
  <si>
    <t>Responsibilities of the administrative, management or supervisory bodies</t>
  </si>
  <si>
    <t>Guidelines on the use of internal models GL 12, 13</t>
  </si>
  <si>
    <t>IMGC, BRC &amp; Board ToR</t>
  </si>
  <si>
    <t>Reversion to the standard formula</t>
  </si>
  <si>
    <t>Non-compliance of the internal model</t>
  </si>
  <si>
    <t>Use test</t>
  </si>
  <si>
    <t>Guidelines on the use of internal models GL 11 - 15</t>
  </si>
  <si>
    <t>Uses of the Internal Model</t>
  </si>
  <si>
    <t>Use Test and Board Engagement</t>
  </si>
  <si>
    <t>IMGC Terms of Reference;</t>
  </si>
  <si>
    <t>IMAP Capital Report - Group / regional</t>
  </si>
  <si>
    <t>ORSA Report Group / regional</t>
  </si>
  <si>
    <t>Group Board Training - Q1 2015</t>
  </si>
  <si>
    <t>Statistical quality standards</t>
  </si>
  <si>
    <t>Guidelines on the use of internal models GL 16 - 27</t>
  </si>
  <si>
    <t>Data Assumptions - group / regional</t>
  </si>
  <si>
    <t>Data Policy (Internal Model and Technical Provisions);</t>
  </si>
  <si>
    <t>Data Quality Assessments Reports - group / regional</t>
  </si>
  <si>
    <t xml:space="preserve">Data Standards &amp; Guidelines (Internal Model and Technical Provisions); </t>
  </si>
  <si>
    <t>Data update - group / regional</t>
  </si>
  <si>
    <t>Design of the Calculation Kernel</t>
  </si>
  <si>
    <t>Group Data Flow Diagram</t>
  </si>
  <si>
    <t>Group Process for Construction of Accounts for Internal Model;</t>
  </si>
  <si>
    <t>Group Process for Running CAT Events Project-Set;</t>
  </si>
  <si>
    <t>Group Process for Running Credit Risk Project-Set</t>
  </si>
  <si>
    <t>Group Process for running ESG and Investments and Economics Project-Set;</t>
  </si>
  <si>
    <t>Group Process for Running Global Reinsurance Project-Set;</t>
  </si>
  <si>
    <t>All Internal Model Parameterisation and project set documents</t>
  </si>
  <si>
    <t>Group-wide Approach for Parameterisation of explicit Dependencies and Shocks;</t>
  </si>
  <si>
    <t>Group-wide Approach for Parameterisation of Prior Year Volatility;</t>
  </si>
  <si>
    <t>Group-wide Approach for Parameterisation of Underwriting;</t>
  </si>
  <si>
    <t>Groupwide Consolidated Balance Sheets</t>
  </si>
  <si>
    <t>Internal Model Document Structure &amp; Inventory</t>
  </si>
  <si>
    <t>Internal Model Expert Judgement Principles</t>
  </si>
  <si>
    <t>Calibration standards</t>
  </si>
  <si>
    <t>Guidelines on the use of internal models GL 28 - 30</t>
  </si>
  <si>
    <t>Profit and loss attribution</t>
  </si>
  <si>
    <t>Guidelines on the use of internal models GL 31</t>
  </si>
  <si>
    <t>P&amp;L Attribution results - Group / regional</t>
  </si>
  <si>
    <t>Validation standards</t>
  </si>
  <si>
    <t>Guidelines on the use of internal models GL 32 - 42</t>
  </si>
  <si>
    <t>Validation process Standard Operating Procedure</t>
  </si>
  <si>
    <t>Documentation standards</t>
  </si>
  <si>
    <t>Guidelines on the use of internal models GL 43 - 49</t>
  </si>
  <si>
    <t>Does a standards and expectations document exist?</t>
  </si>
  <si>
    <t>Internal Model Documentation Management Process</t>
  </si>
  <si>
    <t>Internal Model Governance Framework Group / regional</t>
  </si>
  <si>
    <t>Internal model change policy and procedures</t>
  </si>
  <si>
    <t>Internal Model Systems</t>
  </si>
  <si>
    <t>ESG Model Design</t>
  </si>
  <si>
    <t>Internal Model Systems Architecture</t>
  </si>
  <si>
    <t>External models and data</t>
  </si>
  <si>
    <t>Guidelines on the use of internal models GL 50 - 57</t>
  </si>
  <si>
    <t>Calculation of the Minimum Capital Requirement</t>
  </si>
  <si>
    <t>Transitional arrangements regarding compliance with the Minimum Capital Requirement</t>
  </si>
  <si>
    <t>Prudent person principle</t>
  </si>
  <si>
    <t>Guidelines on Systems of Governance GL 27 - 35</t>
  </si>
  <si>
    <t>Group liquidity risk management policy</t>
  </si>
  <si>
    <t>Group market risk management policy</t>
  </si>
  <si>
    <t>Financial control framework (UK investment portfolio)</t>
  </si>
  <si>
    <t>External fund managers arrangement (AXA)</t>
  </si>
  <si>
    <t>Freedom of investment</t>
  </si>
  <si>
    <t>Localisation of assets and prohibition of pledging of assets</t>
  </si>
  <si>
    <t>Identification and notification of deteriorating financial conditions by the insurance and reinsurance undertaking</t>
  </si>
  <si>
    <t>Non-Compliance with technical provisions</t>
  </si>
  <si>
    <t>Non-Compliance with the Solvency Capital Requirement</t>
  </si>
  <si>
    <t>Non-Compliance with the Minimum Capital Requirement</t>
  </si>
  <si>
    <t>Prohibition of free disposal of assets located within the territory of a Member State</t>
  </si>
  <si>
    <t>Supervisory powers in deteriorating financial conditions</t>
  </si>
  <si>
    <t>Recovery plan and finance scheme</t>
  </si>
  <si>
    <t>Withdrawal of authorisation</t>
  </si>
  <si>
    <t>Conditions for branch establishment</t>
  </si>
  <si>
    <t>N/A - org structure</t>
  </si>
  <si>
    <t>Communication of information</t>
  </si>
  <si>
    <t>Prior notification to the home Member State</t>
  </si>
  <si>
    <t>Notification by the home Member State</t>
  </si>
  <si>
    <t>Changes in the nature of the risks or commitments</t>
  </si>
  <si>
    <t>Compulsory insurance on third party motor vehicle liability</t>
  </si>
  <si>
    <t>Non-discrimination of persons pursuing claims</t>
  </si>
  <si>
    <t>Representative</t>
  </si>
  <si>
    <t>Language</t>
  </si>
  <si>
    <t>Prior notification and prior approval</t>
  </si>
  <si>
    <t>Insurance undertakings not complying with the legal provisions</t>
  </si>
  <si>
    <t>Advertising</t>
  </si>
  <si>
    <t>Taxes on premiums</t>
  </si>
  <si>
    <t>Reinsurance undertakings not complying with the legal provisions</t>
  </si>
  <si>
    <t>Statistical information on cross-border activities</t>
  </si>
  <si>
    <t>Winding-up of insurance undertakings</t>
  </si>
  <si>
    <t>Winding-up of reinsurance undertakings</t>
  </si>
  <si>
    <t>Principle of authorisation and conditions</t>
  </si>
  <si>
    <t>Scheme of operations of the branch</t>
  </si>
  <si>
    <t>Technical provisions</t>
  </si>
  <si>
    <t>Solvency Capital Requirement and Minimum Capital Requirement</t>
  </si>
  <si>
    <t>Advantages to undertakings authorised in more than one Member State</t>
  </si>
  <si>
    <t>Accounting, prudential and statistical information and undertakings in difficulty</t>
  </si>
  <si>
    <t>Separation of non-life and life business</t>
  </si>
  <si>
    <t>Withdrawal of authorisation for undertakings authorised in more than one Member State</t>
  </si>
  <si>
    <t>Agreements with third countries</t>
  </si>
  <si>
    <t>Equivalence</t>
  </si>
  <si>
    <t>Prohibition of pledging of assets</t>
  </si>
  <si>
    <t>Principle and conditions for conducting reinsurance activity</t>
  </si>
  <si>
    <t>Information from Member States to the Commission</t>
  </si>
  <si>
    <t>Third-country treatment of Community insurance and reinsurance undertakings</t>
  </si>
  <si>
    <t>Applicable Law</t>
  </si>
  <si>
    <t>Related obligations</t>
  </si>
  <si>
    <t>General good</t>
  </si>
  <si>
    <t>Non-life insurance</t>
  </si>
  <si>
    <t>Life insurance</t>
  </si>
  <si>
    <t>General Information for policy holders</t>
  </si>
  <si>
    <t>Additional information in the case of non-life insurance offered under the right of establishment or the freedom to provide services</t>
  </si>
  <si>
    <t>Information for policy holders</t>
  </si>
  <si>
    <t>Cancellation period</t>
  </si>
  <si>
    <t>Policy Conditions</t>
  </si>
  <si>
    <t>Abolition of monopolies</t>
  </si>
  <si>
    <t>Participation in national guarantee schemes</t>
  </si>
  <si>
    <t>Community co-insurance operations</t>
  </si>
  <si>
    <t>Participation in Community co-insurance</t>
  </si>
  <si>
    <t>Statistical data</t>
  </si>
  <si>
    <t>Treatment of co-insurance contracts in winding-up proceedings</t>
  </si>
  <si>
    <t>Exchange of information between supervisory authorities</t>
  </si>
  <si>
    <t>Cooperation on implementation</t>
  </si>
  <si>
    <t>Activities similar to tourist assistance</t>
  </si>
  <si>
    <t>Scope of this Section</t>
  </si>
  <si>
    <t>Separate contracts</t>
  </si>
  <si>
    <t>Management of claims</t>
  </si>
  <si>
    <t>Free choice of lawyer</t>
  </si>
  <si>
    <t>Exception to the free choice of lawyer</t>
  </si>
  <si>
    <t>Arbitration</t>
  </si>
  <si>
    <t>Conflict of interest</t>
  </si>
  <si>
    <t>Abolition of specialisation of legal expenses insurance</t>
  </si>
  <si>
    <t>Health insurance as an alternative to social security</t>
  </si>
  <si>
    <t>Compulsory insurance against accidents at work</t>
  </si>
  <si>
    <t>Prohibition on compulsory ceding of part of underwriting</t>
  </si>
  <si>
    <t>Premiums for new business</t>
  </si>
  <si>
    <t>Finite reinsurance</t>
  </si>
  <si>
    <t>Special purpose vehicles</t>
  </si>
  <si>
    <t>Guidelines on group solvency</t>
  </si>
  <si>
    <t>Cases of application of group supervision</t>
  </si>
  <si>
    <t>Scope of group supervision</t>
  </si>
  <si>
    <t>Ultimate parent undertaking at Community level</t>
  </si>
  <si>
    <t>Ultimate parent undertaking at national level</t>
  </si>
  <si>
    <t>Parent undertaking covering several Member States</t>
  </si>
  <si>
    <t>Supervision of group solvency</t>
  </si>
  <si>
    <t>Choice of method</t>
  </si>
  <si>
    <t>Inclusion of proportional share</t>
  </si>
  <si>
    <t>Elimination of double use of eligible own funds</t>
  </si>
  <si>
    <t>Elimination of the intra-group creation of capital</t>
  </si>
  <si>
    <t>Valuation</t>
  </si>
  <si>
    <t>Related insurance and reinsurance undertakings</t>
  </si>
  <si>
    <t>Intermediate insurance holding companies</t>
  </si>
  <si>
    <t>Related third-country insurance and reinsurance undertakings</t>
  </si>
  <si>
    <t>Related credit institutions, investment firms and financial institutions</t>
  </si>
  <si>
    <t>Non-availability of the necessary information</t>
  </si>
  <si>
    <t>Method 1 (Default method): Accounting consolidation-based method</t>
  </si>
  <si>
    <t>Internal Model</t>
  </si>
  <si>
    <t>Group capital add-on</t>
  </si>
  <si>
    <t>Method 2 (Alternative method): Deduction and aggregation method</t>
  </si>
  <si>
    <t>Group solvency of an insurance holding company</t>
  </si>
  <si>
    <t>Subsidiaries of an insurance or reinsurance undertaking: conditions</t>
  </si>
  <si>
    <t>Subsidiaries of an insurance or reinsurance undertaking: decision on the application</t>
  </si>
  <si>
    <t>Subsidiaries of an insurance or reinsurance undertaking: determination of the Solvency Capital Requirement</t>
  </si>
  <si>
    <t>Subsidiaries of an insurance or reinsurance undertaking: non-compliance with the Solvency and Minimum Capital Requirements</t>
  </si>
  <si>
    <t>Subsidiaries of an insurance or reinsurance undertaking: end of derogations for a subsidiary</t>
  </si>
  <si>
    <t>Subsidiaries of an insurance or reinsurance undertaking: implementing measures</t>
  </si>
  <si>
    <t>Review</t>
  </si>
  <si>
    <t>N/A - supervisory authority</t>
  </si>
  <si>
    <t>Subsidiaries of an insurance holding company</t>
  </si>
  <si>
    <t>Supervision of risk concentration</t>
  </si>
  <si>
    <t>Supervision of intra-group transactions</t>
  </si>
  <si>
    <t>Supervision of the system of governance</t>
  </si>
  <si>
    <t>Guidelines on Systems of Governance GL 65 - 70</t>
  </si>
  <si>
    <t>Group Supervisor</t>
  </si>
  <si>
    <t>Rights and duties of the group supervisor and the other supervisors College of supervisors</t>
  </si>
  <si>
    <t>Cooperation and exchange of information between supervisory authorities</t>
  </si>
  <si>
    <t>Consultation between supervisory authorities</t>
  </si>
  <si>
    <t>Requests from the group supervisor to other supervisory authorities</t>
  </si>
  <si>
    <t>Cooperation with authorities responsible for credit institutions and investment firms</t>
  </si>
  <si>
    <t>Professional secrecy and confidentiality</t>
  </si>
  <si>
    <t>Access to information</t>
  </si>
  <si>
    <t>Verification of information</t>
  </si>
  <si>
    <t>Group solvency and financial condition report</t>
  </si>
  <si>
    <t>Administrative, management or supervisory body of insurance holding companies</t>
  </si>
  <si>
    <t>Enforcement measures</t>
  </si>
  <si>
    <t>Reporting of CEIOPS</t>
  </si>
  <si>
    <t>Parent undertakings outside the Community: verification of equivalence</t>
  </si>
  <si>
    <t>Parent undertakings outside the Community: equivalence</t>
  </si>
  <si>
    <t>Parent undertakings outside the Community: absence of equivalence</t>
  </si>
  <si>
    <t>Parent undertakings outside the Community: levels</t>
  </si>
  <si>
    <t>Cooperation with third-country supervisory authorities</t>
  </si>
  <si>
    <t>Intra-group transactions</t>
  </si>
  <si>
    <t>Cooperation with third countries</t>
  </si>
  <si>
    <t>Scope of this Title</t>
  </si>
  <si>
    <t>N/A - reorganisation and winding up only</t>
  </si>
  <si>
    <t>Adoption of reorganisation measures applicable law</t>
  </si>
  <si>
    <t>Information to the supervisory authorities</t>
  </si>
  <si>
    <t>Publication of decisions on reorganisation measures</t>
  </si>
  <si>
    <t>Information to known creditors right to lodge claims</t>
  </si>
  <si>
    <t>Opening of winding-up proceedings information to the supervisory authorities</t>
  </si>
  <si>
    <t>Applicable law</t>
  </si>
  <si>
    <t>Treatment of insurance claims</t>
  </si>
  <si>
    <t>Special register</t>
  </si>
  <si>
    <t>Subrogation to a guarantee scheme</t>
  </si>
  <si>
    <t>Representation of preferential claims by assets</t>
  </si>
  <si>
    <t>Withdrawal of the authorisation</t>
  </si>
  <si>
    <t>Publication of decisions on winding-up proceedings</t>
  </si>
  <si>
    <t>Information to known creditors</t>
  </si>
  <si>
    <t>Right to lodge claims</t>
  </si>
  <si>
    <t>Languages and form</t>
  </si>
  <si>
    <t>Regular information to the creditors</t>
  </si>
  <si>
    <t>Effects on certain contracts and rights</t>
  </si>
  <si>
    <t>Rights in rem of third parties</t>
  </si>
  <si>
    <t>Reservation of title</t>
  </si>
  <si>
    <t>Set-off</t>
  </si>
  <si>
    <t>Regulated markets</t>
  </si>
  <si>
    <t>Detrimental acts</t>
  </si>
  <si>
    <t>Protection of third-party purchasers</t>
  </si>
  <si>
    <t>Lawsuits pending</t>
  </si>
  <si>
    <t>Administrators and liquidators</t>
  </si>
  <si>
    <t>Registration in a public register</t>
  </si>
  <si>
    <t>Treatment of branches of third-country insurance undertakings</t>
  </si>
  <si>
    <t>Right to apply to the courts</t>
  </si>
  <si>
    <t>Cooperation between the Member States and the Commission</t>
  </si>
  <si>
    <t>Euro</t>
  </si>
  <si>
    <t>Revision of amounts expressed in euro</t>
  </si>
  <si>
    <t>Committee procedure</t>
  </si>
  <si>
    <t>Notifications submitted prior to entry into force of the laws, regulations and administrative provisions necessary to comply with Articles 57 to 63</t>
  </si>
  <si>
    <t>Amendments to Directive 2003/41/EC</t>
  </si>
  <si>
    <t>Duration-based equity risk sub-module</t>
  </si>
  <si>
    <t>Derogations and abolition of restrictive measures</t>
  </si>
  <si>
    <t>Rights acquired by existing branches and insurance undertakings</t>
  </si>
  <si>
    <t>Transitional period for Articles 57(3) and 60(6) of Directive 2005/68/EC</t>
  </si>
  <si>
    <t>Right acquired by existing reinsurance undertakings</t>
  </si>
  <si>
    <t>Transposition</t>
  </si>
  <si>
    <t>Repeal</t>
  </si>
  <si>
    <t>Entry into force</t>
  </si>
  <si>
    <t>Addressees</t>
  </si>
  <si>
    <t>DELEGATED ACTS NOT ALIGNED TO L1 SII DIRECTIVE TEXT</t>
  </si>
  <si>
    <t>315 - 317</t>
  </si>
  <si>
    <t>304, 305, 307 - 311, 372</t>
  </si>
  <si>
    <t>257, 276, 278 - 286</t>
  </si>
  <si>
    <t>259 - 261, 269</t>
  </si>
  <si>
    <t>262, 306</t>
  </si>
  <si>
    <t>266, 270</t>
  </si>
  <si>
    <t>290 - 297, 301, 359, 365</t>
  </si>
  <si>
    <t>298, 302, 363, 369</t>
  </si>
  <si>
    <t>2, 7 - 16, 263, 267</t>
  </si>
  <si>
    <t>19 - 21</t>
  </si>
  <si>
    <t>80 - 81</t>
  </si>
  <si>
    <t>3 - 6, 83 - 89, 208 - 215, 285</t>
  </si>
  <si>
    <t>113 -203, 256</t>
  </si>
  <si>
    <t>25, 26, 206, 207</t>
  </si>
  <si>
    <t>90 - 112, 149</t>
  </si>
  <si>
    <t>216 - 220</t>
  </si>
  <si>
    <t>228 - 237</t>
  </si>
  <si>
    <t>241, 242</t>
  </si>
  <si>
    <t>243 - 246</t>
  </si>
  <si>
    <t>248 - 253</t>
  </si>
  <si>
    <t>254, 255</t>
  </si>
  <si>
    <t>288, 289</t>
  </si>
  <si>
    <t>360, 366, 374</t>
  </si>
  <si>
    <t>318 - 327</t>
  </si>
  <si>
    <t>328, 335 - 340, 343, 346, 356</t>
  </si>
  <si>
    <t>329 - 334, 344, 345, 347, 350</t>
  </si>
  <si>
    <t>378 - 380</t>
  </si>
  <si>
    <t>173, 300, 312, 313, 362, 368, 363</t>
  </si>
  <si>
    <t>Compliance</t>
  </si>
  <si>
    <t>Risk</t>
  </si>
  <si>
    <t>Audit</t>
  </si>
  <si>
    <t>Actuarial</t>
  </si>
  <si>
    <t>Reporting</t>
  </si>
  <si>
    <t>EMERIC REVIEW COLUMN</t>
  </si>
  <si>
    <t>RSA ownership - by business function</t>
  </si>
  <si>
    <t>NA</t>
  </si>
  <si>
    <t>Other - HR, legal, IT</t>
  </si>
  <si>
    <t>Investments</t>
  </si>
  <si>
    <t>Capital</t>
  </si>
  <si>
    <t>PA design assurance - Digest section 17 IA</t>
  </si>
  <si>
    <t>KPMG balance sheet review</t>
  </si>
  <si>
    <t>Deloitte policy review</t>
  </si>
  <si>
    <t>NA - reorganisation and winding up</t>
  </si>
  <si>
    <t>CGAC control reporting</t>
  </si>
  <si>
    <t>62 - 67, 79</t>
  </si>
  <si>
    <t>69 - 78, 80</t>
  </si>
  <si>
    <t>80 - 82</t>
  </si>
  <si>
    <t>draft RSR information</t>
  </si>
  <si>
    <t>CGAC review</t>
  </si>
  <si>
    <t>Draft AQRT</t>
  </si>
  <si>
    <t>Status of operational capabilities</t>
  </si>
  <si>
    <t>Meet requirements at 01/01/2016?</t>
  </si>
  <si>
    <t>Deloitte policy review (covering System of Governance annex pertaining to System of Governance requirements)</t>
  </si>
  <si>
    <t>Fit and proper policy
Regulatory Compliance Policy</t>
  </si>
  <si>
    <t>Fit and Proper Policy
Regulatory Compliance Policy</t>
  </si>
  <si>
    <t>System of Governance Document, including annex detailing the component parts of the System of Governance (Group and Entity)
Governance Maps (UK only)
Board minutes approving the System of Governance Document
Board Risk Committee pack
Board and Board Risk Committee minutes</t>
  </si>
  <si>
    <t>SoG Approval Process
CGAC control reporting</t>
  </si>
  <si>
    <t>Deloitte policy review (covering System of Governance annex pertaining to System of Governance requirements)
PwC review of governance control framework (Project OPAL)</t>
  </si>
  <si>
    <t>System of Governance Document, including annex detailing the component parts of the System of Governance (Group and Entity)
Internal Control Policy
Regulatory Compliance Policy</t>
  </si>
  <si>
    <t>Improvements Needed</t>
  </si>
  <si>
    <t xml:space="preserve">Fit and Proper policy to be implemented by end 2015
</t>
  </si>
  <si>
    <t>Internal Control Policy being approved by Sept BRC
Minor amendment being made to Compliance Policy - see art 41</t>
  </si>
  <si>
    <t>Significant Improvements Needed</t>
  </si>
  <si>
    <t>264, 265, 272</t>
  </si>
  <si>
    <t>Group internal audit review
Deloitte policy review</t>
  </si>
  <si>
    <t>Board review</t>
  </si>
  <si>
    <t>Risk assurance on capital report and operating plan</t>
  </si>
  <si>
    <t>Independent internal review</t>
  </si>
  <si>
    <t>Ready</t>
  </si>
  <si>
    <t>Application document</t>
  </si>
  <si>
    <t>risk assurance</t>
  </si>
  <si>
    <t>Board approved
IMGC review</t>
  </si>
  <si>
    <t>IMGC review</t>
  </si>
  <si>
    <t>Internal model validation</t>
  </si>
  <si>
    <t>Model change log</t>
  </si>
  <si>
    <t>IMGC review
Board approval</t>
  </si>
  <si>
    <t>BRC, Board ToRs
Committees minutes</t>
  </si>
  <si>
    <t>Committees annual self assessment</t>
  </si>
  <si>
    <t>internal model validation</t>
  </si>
  <si>
    <t>internal model validation
IMGC review</t>
  </si>
  <si>
    <t>Internal model validation report</t>
  </si>
  <si>
    <t>Finance</t>
  </si>
  <si>
    <t>GIA review</t>
  </si>
  <si>
    <t>Internal model Validation report</t>
  </si>
  <si>
    <t>IMGC review
BRC review</t>
  </si>
  <si>
    <t>IMAP process</t>
  </si>
  <si>
    <t>IM validation</t>
  </si>
  <si>
    <t>IMGC review
Internal model technical working group</t>
  </si>
  <si>
    <t>Risk policies are updated to close gaps identified during Deloitte's policy review, presented to the September BRC
Risk management procedure document presented to the BRC in September for approval</t>
  </si>
  <si>
    <t>Guidelines on Systems of Governance GL 17 - 26, 67-70</t>
  </si>
  <si>
    <t>PISA risk assessment to GAC
Control reports
BRC reports
Integrated assurance report
Group business strategy and risk appetite document refresh
BRC &amp; GAMC - Investment Limits
Stress &amp; scenario testing reports
Model change log
Model validation report</t>
  </si>
  <si>
    <t xml:space="preserve">CGAC control reporting
GAC review of PISA risk assessment
BRC review of risk profiles
Regional controls committees
Regional risk committees
IMGC review
</t>
  </si>
  <si>
    <t>ad hoc GIA reviews
IM Validation</t>
  </si>
  <si>
    <t>N/A</t>
  </si>
  <si>
    <t>Team responsible for making application for major change to be identified
Policy finalisation pending feedback from the PRA during the approval process</t>
  </si>
  <si>
    <t>ORSA policy to be finalised and approved by the BRC
Planning process to be amended to reflect ORSA requirements</t>
  </si>
  <si>
    <t>GAC review</t>
  </si>
  <si>
    <t>Group Audit Plan
Audit reports</t>
  </si>
  <si>
    <t xml:space="preserve">GL 46 - 51, 53 (System of Governance)
GL 8 - 14 (Technical Provisions)
GL 83 - 85, 86, 88
</t>
  </si>
  <si>
    <t xml:space="preserve">2014 draft approved by the Design Authority; reviewed by Deloitte
KPMG balance sheet review
KPMG balance sheet review
KPMG balance sheet review
</t>
  </si>
  <si>
    <t xml:space="preserve">Annually approval of Actuarial Function Terms of Reference by CGAC and BRC
BAU governance processes and Control Environment
</t>
  </si>
  <si>
    <t>BAU audit by external auditors</t>
  </si>
  <si>
    <t>17, 18, 22, 23, 27 - 30, 32 - 37, 38 - 40, 43 - 54, 56, 57, 58, 59, 60, 61, 181</t>
  </si>
  <si>
    <t>GL 68, 38, 39, 40, 31, 63, 64, 65, 66, 67, 44 - 51, 53 - 60, 69 - 77, 82
PRA SS5/14</t>
  </si>
  <si>
    <t>KPMG balance sheet review
KPMG balance sheet review
KPMG balance sheet review</t>
  </si>
  <si>
    <t>Basis of Preparation Document
Process for Group consolidation
Insert RSA Re docs</t>
  </si>
  <si>
    <t>BAU Control Environment</t>
  </si>
  <si>
    <t>24, 25, 31</t>
  </si>
  <si>
    <t>GL 41, 43, 26, 28 - 34, 15, 16, 27, 35 - 37, 24, 25</t>
  </si>
  <si>
    <t>GL 17 - 23</t>
  </si>
  <si>
    <t>Status (where there is a gap - including People, Process, IT)</t>
  </si>
  <si>
    <t>41, 42</t>
  </si>
  <si>
    <t>GL 78 - 81</t>
  </si>
  <si>
    <t>Data quality policy
Data limitations log
Group data quality assessment tool
Group Data Quality Assessment Report</t>
  </si>
  <si>
    <t>GL 87</t>
  </si>
  <si>
    <t>Actual vs. Expected process
Actuarial Function Report</t>
  </si>
  <si>
    <t>AvE process to be defined and implemented</t>
  </si>
  <si>
    <t>Actuarial Function Report</t>
  </si>
  <si>
    <t>N/A regulator request</t>
  </si>
  <si>
    <t>274 (4h &amp; 4i)</t>
  </si>
  <si>
    <t>Contracts containing appropriate SII wording</t>
  </si>
  <si>
    <t>N/A - Regulatory statement only</t>
  </si>
  <si>
    <t>258, 268, 275</t>
  </si>
  <si>
    <t>Guidelines on Systems of Governance GL 1- 10</t>
  </si>
  <si>
    <t>Guidelines on Systems of Governance GL 11 - 16</t>
  </si>
  <si>
    <t>N/A - relates to regulator to regulator protocols</t>
  </si>
  <si>
    <t>274 (excl. 4h &amp; 4i)</t>
  </si>
  <si>
    <t xml:space="preserve">Third party contracts policy (TPCP)
</t>
  </si>
  <si>
    <t>BAU gap analysis and remediation of external outsourcing arrangements (procurement)</t>
  </si>
  <si>
    <t>Internal and external outsourcing agreements</t>
  </si>
  <si>
    <t>Outsourcing agreement templates</t>
  </si>
  <si>
    <t>Confirmed as Solvency II compliant by Pinsent Mason</t>
  </si>
  <si>
    <t>N/A - no entities conducting life and non-life</t>
  </si>
  <si>
    <t>N/A at Group. Scandi to confirm</t>
  </si>
  <si>
    <t>Compliance Policy
Capital Management Policy</t>
  </si>
  <si>
    <t>N/A - no risk function not centralised</t>
  </si>
  <si>
    <t>Group ORSA Report</t>
  </si>
  <si>
    <t xml:space="preserve">Group Risk Management Procedures </t>
  </si>
  <si>
    <t>NA - Standard Formula</t>
  </si>
  <si>
    <t>BRC review</t>
  </si>
  <si>
    <t>draft RSR</t>
  </si>
  <si>
    <t>Draft RSR responsibility matrix</t>
  </si>
  <si>
    <t>draft SFCR</t>
  </si>
  <si>
    <t>Draft QQRT</t>
  </si>
  <si>
    <t>Quarterly QRT: drafted and dry run, process and people gaps</t>
  </si>
  <si>
    <t>Annual QRT: drafted and dry run, process and people gaps, IT infrastructure not yet ready, data requirements to be defined</t>
  </si>
  <si>
    <t>External audit for parts of it</t>
  </si>
  <si>
    <t>SFCR reporting process</t>
  </si>
  <si>
    <t>RSR reporting procedure</t>
  </si>
  <si>
    <t>draft RSR to be  populated and gaps to be confirmed</t>
  </si>
  <si>
    <t>Condition and process for SFCR updates outside the annual process are to be defined</t>
  </si>
  <si>
    <t>Process not defined yet, needs to be defined</t>
  </si>
  <si>
    <t xml:space="preserve">
KPMG balance sheet review
</t>
  </si>
  <si>
    <t>draft SFCR structure defined, and draft SFCR being prepared
Process to produce in BaU, inc timing and systems, not finalised</t>
  </si>
  <si>
    <t>GAC review
Disclosure review</t>
  </si>
  <si>
    <t>QRTs</t>
  </si>
  <si>
    <t>QRTs
Capital report
SFCR</t>
  </si>
  <si>
    <t>Capital management policy
Basis of preparation document
QRTs
Capital report
SFCR</t>
  </si>
  <si>
    <t>process for feeding into AQRT and SFCR to be defined</t>
  </si>
  <si>
    <t>Guidelines on Systems of Governance GL 36 - 37
Guidelines on ancillary own funds
Guidelines on classification of own funds</t>
  </si>
  <si>
    <t>Guidelines on ancillary own funds
Guidelines on classification of own funds</t>
  </si>
  <si>
    <t>Process for quarterly and monthly calculation are not finalised</t>
  </si>
  <si>
    <t>IMGC</t>
  </si>
  <si>
    <t>policies are updated to close gaps identified during Deloitte's policy review, presented to the September BRC</t>
  </si>
  <si>
    <t xml:space="preserve">System of Governance Document, including annex detailing the component parts of the System of Governance (Group and Entity)
SoG Approval Process
Governance Maps (UK only)
Board minutes approving the System of Governance Document
Board Risk Committee pack
Board and Board Risk Committee minutes
</t>
  </si>
  <si>
    <t xml:space="preserve">System of Governance Document, including annex detailing the component parts of the System of Governance (Group and Entity)
Internal Control Policy
Regulatory Compliance Policy
</t>
  </si>
  <si>
    <t xml:space="preserve">GIA Charter
Group Audit Committee Terms of Reference (Section 10.4 ‘Internal Audit’
Organisation chart
All GIA staff are required to confirm their independence on an annual basis
The GIA effectiveness review performed by EY concluded that GIA was independent &amp; objective
GIA Annual Plan Process 
GIA Audit Manual
GIA Annual Plan
GIA quarterly report to the GAC
</t>
  </si>
  <si>
    <t xml:space="preserve">Group Actuarial Function Terms of Reference
Group Actuarial Function Report
Quarterly Technical Provisions results - Group, RSAI plc, RSA RE
Annual Technical Provisions results - Group, RSAI plc, RSA RE
Group Assurance Document
Standards &amp; expectations document
Basis of Preparation Document
Data Policy
Data limitations log
Group data quality assessment tool
Group Data Quality Assessment Report
Process for the assessment of IT systems used in the calculation of technical provisions
Group Reserving Policy
</t>
  </si>
  <si>
    <t xml:space="preserve">Minor amendments being made for 2015
Draft Group 2015 report. Resource required to deliver in BAU
Annual process including Actuarial Function Report
Resource to manage in BAU
Resource to manage in BAU; migration of tool from Lotus Notes
Draft 2015 report. Resource required to deliver in BAU
Gap identified by PA Consulting
Policy text and controls being updated and presented to Sept BRC
</t>
  </si>
  <si>
    <t>Group Actuarial Function Terms of Reference
Actuarial Function Reports - Group, RSAI plc, RSA RE
Group Reserving Policy
Reserving Committee minutes
Audit Committee minutes
Board minutes (Group and UK Cluster Board)
Minutes of AF meetings 
Outcomes from Group assurance reviews
Quarterly Technical Provisions results - Group, RSAI plc, RSA RE 
Annual Technical Provisions results - Group, RSAI plc, RSA RE
Data Policy
Data limitations log
Group Data Quality Assessment Report</t>
  </si>
  <si>
    <r>
      <rPr>
        <sz val="10"/>
        <rFont val="Arial"/>
        <family val="2"/>
      </rPr>
      <t>Basis of Preparation Document
Process for Group consolidation
Insert RSA Re docs</t>
    </r>
    <r>
      <rPr>
        <strike/>
        <sz val="10"/>
        <rFont val="Arial"/>
        <family val="2"/>
      </rPr>
      <t xml:space="preserve">
</t>
    </r>
  </si>
  <si>
    <r>
      <t xml:space="preserve">Basis of Preparation Document
Process for Group consolidation
Insert RSA Re docs
</t>
    </r>
    <r>
      <rPr>
        <strike/>
        <sz val="10"/>
        <rFont val="Arial"/>
        <family val="2"/>
      </rPr>
      <t xml:space="preserve">
</t>
    </r>
  </si>
  <si>
    <r>
      <t>Basis of Preparation Document
Process for Group consolidation
Insert RSA Re docs</t>
    </r>
    <r>
      <rPr>
        <strike/>
        <sz val="10"/>
        <rFont val="Arial"/>
        <family val="2"/>
      </rPr>
      <t xml:space="preserve">
</t>
    </r>
  </si>
  <si>
    <t xml:space="preserve">Basis of Preparation Document
Process for Group consolidation
Insert RSA Re docs
</t>
  </si>
  <si>
    <t>Model Development Log 
Internal Model Change Policy
Model change log</t>
  </si>
  <si>
    <t>Validation process Standard Operating Procedure
Internal Model Validation policy
Annual Validation report to Boards / BRC
Model Change Log and supporting papers of significant changes
IMGC minutes 
Internal Model validation approach</t>
  </si>
  <si>
    <t xml:space="preserve">Group System of Governance document
Internal Control Policy
ORSA Policy
</t>
  </si>
  <si>
    <t xml:space="preserve">Basis of Preparation Document
</t>
  </si>
  <si>
    <t xml:space="preserve">Review by risk, and clear allocation of responsibilities
</t>
  </si>
  <si>
    <t>L1 requirements not relevant to RSA's SII response and rationale</t>
  </si>
  <si>
    <t>System of Governance document is being presented to BRC in Sept as a final draft for Board approval in Oct. Not all components have been reviewed by Deloitte
Enhanced SoG approval process meeting SII requirements rolled out in 2016
Policies, where there are gaps, are being updated and presented to the Sept BRC
Governance mapping activity ongoing at Group throughout Q3</t>
  </si>
  <si>
    <t>To review in BOP:
Future management actions
Other things to review:
OCR reporting IBNER, IBNYR</t>
  </si>
  <si>
    <t>Documentation of compliance with the requirements to be defined
BaU operating  model to be defined</t>
  </si>
  <si>
    <t>IMAP capital model report - group / regional</t>
  </si>
  <si>
    <t>Internal model documentation inventory (Yvonne Di Renzo)</t>
  </si>
  <si>
    <t>Group risk appetite and strategy document</t>
  </si>
  <si>
    <t>Holmia only</t>
  </si>
  <si>
    <t>Evidence to be determined</t>
  </si>
  <si>
    <t>N/A - regulator only</t>
  </si>
  <si>
    <t>Strategy</t>
  </si>
  <si>
    <t>Assess requirement and determine if formal response required, e.g. a procedure</t>
  </si>
  <si>
    <t xml:space="preserve">ORSA policy
ORSA report
Board papers with ORSA flags
Board minutes where ORSA is approved
Capital report
Quarterly reserves assurance report
</t>
  </si>
  <si>
    <t>ORSA report
ORSA flags
Capital report
Operating plan document
Quarterly reserves review</t>
  </si>
  <si>
    <t>Significant Gap</t>
  </si>
  <si>
    <t>Minor Gap</t>
  </si>
  <si>
    <t>No Gap</t>
  </si>
  <si>
    <t>See article 48</t>
  </si>
  <si>
    <t xml:space="preserve">QRT for SCR
ORSA policy
Capital management policy
</t>
  </si>
  <si>
    <t>222, 223, 226</t>
  </si>
  <si>
    <t>See article 48 - Actuarial Function</t>
  </si>
  <si>
    <t>No gap at Group as it does not issue policy documents. Gap to be determined regionally following guidance from Group Compliance</t>
  </si>
  <si>
    <t>QRTs
Capital report
SFCR</t>
  </si>
  <si>
    <t xml:space="preserve">P&amp;L attribution Methodology and process to be refined as a full economic plan is available
</t>
  </si>
  <si>
    <t xml:space="preserve">P&amp;L Attribution results - Group / regional
P&amp;L attribution process
</t>
  </si>
  <si>
    <t>CGAC approach on ownership of the Third Party Contracts policy to be implemented</t>
  </si>
  <si>
    <t xml:space="preserve">
Confirm link between Capital &amp; Compliance in Capital Mgt Policy</t>
  </si>
  <si>
    <t>See L1 Art 244, 245
Review requirements and ensure evidence is appropriate</t>
  </si>
  <si>
    <t xml:space="preserve">
GAMC TOR, Investment Mandate and Limits
Group business strategy and risk appetite documentBoard risk induction, Solvency II training
Scandinavian Registration of Assets Policy
</t>
  </si>
  <si>
    <t xml:space="preserve">Reserving / insurance risk policy, Underwriting Policy, Market Risk Policy, Liquidity Risk Policy, Operational Risk Policy, Reinsurance Risk Policy, Reinsurance Credit Risk Policy
System of Governance documents at Group and within Entities
Risk management procedure document
GCC risk committee papers and minutes
GAMC papers and minutes
BRC papers and minutes
PISA scores
Capital Model Methods used to calculate the PDF of Basic Own Funds
Structural Design of the Calculation Kernel
Model Documentation &amp; Model Change Log
IMGC ToR
Group CRO and Risk Directors TORs
Observations Log, status updates
Stress and scenario testing reports
</t>
  </si>
  <si>
    <t xml:space="preserve">Deloitte policy review
2013 PwC review / 2012 E&amp;Y Review
PA design assurance - digest section 14
GIA PISA review
Iterative process with the PRA
</t>
  </si>
  <si>
    <t>Capital Model Methods used to calculate the PDF of Basic Own Funds
Structural Design of the Calculation Kernel</t>
  </si>
  <si>
    <t xml:space="preserve">Capital management policy
Basis of preparation document
QRTs
Capital report
</t>
  </si>
  <si>
    <t xml:space="preserve">Capital management policy
Basis of preparation document
QRTs
Capital report
</t>
  </si>
  <si>
    <t>External annual audit</t>
  </si>
  <si>
    <t>Standard Formula co only</t>
  </si>
  <si>
    <t>N/A - Group only</t>
  </si>
  <si>
    <t>N/A - Internal Model co</t>
  </si>
  <si>
    <t>Guidelines on ancillary own funds, Guidelines on group solvency</t>
  </si>
  <si>
    <t xml:space="preserve">Guidelines on the use of internal models GL 58 - 64, Guidelines on ancillary own funds, Guidelines on group solvency
</t>
  </si>
  <si>
    <t>N/A - Holmia only</t>
  </si>
  <si>
    <t>N/a - Holmia only</t>
  </si>
  <si>
    <t>Response in CAP to be added</t>
  </si>
  <si>
    <t>Top Line</t>
  </si>
  <si>
    <t>Gaps</t>
  </si>
  <si>
    <t>Ownership</t>
  </si>
  <si>
    <t>Total</t>
  </si>
  <si>
    <t>Status</t>
  </si>
  <si>
    <t>Red</t>
  </si>
  <si>
    <t>Amber</t>
  </si>
  <si>
    <t>Green</t>
  </si>
  <si>
    <t>RAG</t>
  </si>
  <si>
    <t>L1 requirements not relevant</t>
  </si>
  <si>
    <t>Status of capabilities</t>
  </si>
  <si>
    <t>Status (where there is a gap)</t>
  </si>
  <si>
    <t>Total Gaps</t>
  </si>
  <si>
    <t>Blue</t>
  </si>
  <si>
    <t>Priority</t>
  </si>
  <si>
    <t>Priotiy</t>
  </si>
  <si>
    <t>Blanks</t>
  </si>
  <si>
    <t>Applicable</t>
  </si>
  <si>
    <t>Non applicable</t>
  </si>
  <si>
    <t>Title</t>
  </si>
  <si>
    <t>#</t>
  </si>
  <si>
    <t>Operational Capabilities</t>
  </si>
  <si>
    <t>Article #</t>
  </si>
  <si>
    <t>Blank</t>
  </si>
  <si>
    <t>No.</t>
  </si>
  <si>
    <t>Business Function</t>
  </si>
  <si>
    <t>Reviewed</t>
  </si>
  <si>
    <t>Understood</t>
  </si>
  <si>
    <t>Relevant L1 Articles</t>
  </si>
  <si>
    <t>Complete</t>
  </si>
  <si>
    <t>Yes</t>
  </si>
  <si>
    <t>Relevant L2 Articles</t>
  </si>
  <si>
    <t>Relevant L3 Guidelines</t>
  </si>
  <si>
    <t>Available</t>
  </si>
  <si>
    <t>Localised</t>
  </si>
  <si>
    <t>Provide commentary if Group inputs are amended</t>
  </si>
  <si>
    <t>No</t>
  </si>
  <si>
    <t>GL 46 - 51, 53 (System of Governance)
GL 8 - 14 (Technical Provisions)
GL 83 - 85, 86, 88</t>
  </si>
  <si>
    <t>Quarterly Technical Provisions results
Annual Technical Provisions results
Standards &amp; expectations document
Basis of Preparation Document
Data Quality Assessment Report
Process for the assessment of IT systems used in the calculation of technical provisions
Ireland Reserving Policy</t>
  </si>
  <si>
    <t>PwC 2014Q3 technical provisions review
KPMG balance sheet review</t>
  </si>
  <si>
    <t>Annual process relating to production of Actuarial Function Report
Resources to complete documenation and AF Report</t>
  </si>
  <si>
    <t>Ireland Actuarial Function Terms of Reference
Ireland Actuarial Function Reports
Ireland Reserving Policy
Ireland Reserving Committee minutes
Ireland Audit Committee minutes
Ireland Board minutes
Quarterly Technical Provisions results
Annual Technical Provisions results
Ireland Data Quality Assessment Report</t>
  </si>
  <si>
    <t>Annual approval of Actuarial Function Terms of Reference by CGAC and BRC
BAU governance processes and Control Environment</t>
  </si>
  <si>
    <t>Added PwC review where appropriate</t>
  </si>
  <si>
    <t>To consider for possible refinement:
1. Expense provisions
2. Bound but not incepted policies
3. Salvage and subrogation cash in-flows
4. SRV currency split
5. Timing of reinsurance cashflows
6. More accurate allowance for possible PPO claims</t>
  </si>
  <si>
    <t xml:space="preserve">To consider for possible refinement:
1. Expense provisions
</t>
  </si>
  <si>
    <t>To consider for possible refinement:
1. Timing of reinsurance cashflows</t>
  </si>
  <si>
    <t xml:space="preserve">Existing evidence Capital Report not available for Ireland; Post-implementation BAU compliance added. </t>
  </si>
  <si>
    <t>Existing evidence Capital Report not available for Ireland ; PwC review of SF calcs ; Post -implementation BAU compliance added</t>
  </si>
  <si>
    <t>CMC Review</t>
  </si>
  <si>
    <t>Compliance details updated in relation to Std Formula</t>
  </si>
  <si>
    <t>Existing evidence Capital Report not available for Ireland ; Compliance details updated in relation to Std Formula ; Minor Gap in relation to PPOs.</t>
  </si>
  <si>
    <t>Existing evidence Capital Report not available for Ireland ; Compliance details updated in relation to Std Formula</t>
  </si>
  <si>
    <t>CMC Review; External Audit in relation of SF</t>
  </si>
  <si>
    <t>Minor Gap, status commentary unchanged.  CMC Review, External Audit in relation to SF</t>
  </si>
  <si>
    <t>Capital report
SFCR (from 2017)
RCR (from 2017)
Process Document</t>
  </si>
  <si>
    <t>Internal model validation
BAU audit of SF by external auditors</t>
  </si>
  <si>
    <t xml:space="preserve">SF calculations spreadsheets
Capital Model: Scope of the Internal Model
Capital Model: Structural Design of the Calculation Kernel
Capital Model: Methods used to Calculate the PDF of Basic Own Funds
</t>
  </si>
  <si>
    <t>PwC review of SF calcs</t>
  </si>
  <si>
    <t xml:space="preserve">   </t>
  </si>
  <si>
    <t>QRT for SCR
ORSA policy
Capital management policy</t>
  </si>
  <si>
    <t>(SF) Process for quarterly and monthly calculation are not finalised</t>
  </si>
  <si>
    <t>QRTs
Process Document</t>
  </si>
  <si>
    <t xml:space="preserve">SF calculation spreadsheets
</t>
  </si>
  <si>
    <t>Assumed this adjustment will be calculated by GCC and provided to regions</t>
  </si>
  <si>
    <t>Capital report
SFCR</t>
  </si>
  <si>
    <t>Basis of preparation document
Capital management policy</t>
  </si>
  <si>
    <t xml:space="preserve">KPMG balance sheet review </t>
  </si>
  <si>
    <t xml:space="preserve"> </t>
  </si>
  <si>
    <t>BAU audit of SF by external auditors</t>
  </si>
  <si>
    <t>Deloitte policy review   Confirmed as Solvency II compliant by Pinsent Mason</t>
  </si>
  <si>
    <t xml:space="preserve">PISA Process   </t>
  </si>
  <si>
    <t>Existing Evidence</t>
  </si>
  <si>
    <t>Solvency II Requirements</t>
  </si>
  <si>
    <t>BRC;
CMC;
Investment Limits;
Liquidity risk policy;
Credit risk policy;
Risk appetite and strategy document;
Market risk policy;
Financial control framework (Ireland investment portfolio),;
Investments Strategy document; &amp;
TOR External fund managers arrangement (AXA).</t>
  </si>
  <si>
    <t>Deloitte policy review.</t>
  </si>
  <si>
    <t>Where necessary policies will be updated to close gaps identified during Deloitte's policy review and presented to the BRC for approval and implementation.</t>
  </si>
  <si>
    <t>BRC;
CMC;
Investment Limits;
Liquidity risk policy;
Credit risk policy;
Risk appetite and strategy document;
Market risk policy;
Financial control framework (Ireland investment portfolio);
Investments Strategy document; &amp;
TOR External fund managers arrangement (AXA).</t>
  </si>
  <si>
    <t>Liquidity risk policy;
Credit risk policy;
Risk appetite and strategy document;
Market risk policy;
Financial control framework (Ireland investment portfolio);
Investments Strategy document; &amp;
TOR External fund managers arrangement (AXA)</t>
  </si>
  <si>
    <t>Draft RSR information;
Draft Quarterly QRT's Dry Runs;
Draft Annual QRT's Dry Runs; &amp;
Interim Reporting submitted to CBI &amp; EIOPA.</t>
  </si>
  <si>
    <t>Draft RSR; &amp;
Draft RSR responsibility matrix.</t>
  </si>
  <si>
    <t>Draft RSR to be  populated and gaps to be confirmed;
Quarterly QRT's - drafted and dry run, process and people gaps;
Annual QRT's - drafted and dry run, process and people gaps;
IT infrastructure not yet ready; &amp;
Data requirements to be defined.</t>
  </si>
  <si>
    <t>RSR reporting procedure; &amp;
ORSA reporting procedure.</t>
  </si>
  <si>
    <t>Draft SFCR; &amp;
Draft SFCR responsibility matrix.</t>
  </si>
  <si>
    <t>Draft SFCR structure defined and draft SFCR being prepared; &amp;
Process to produce in BaU, inc timing and systems, not finalised.</t>
  </si>
  <si>
    <t>SFCR reporting procedure.</t>
  </si>
  <si>
    <t>Process not defined yet, needs to be defined; &amp;
Policy to be drafted once process defined.</t>
  </si>
  <si>
    <t>SFCR reporting Policy</t>
  </si>
  <si>
    <t>Expanded the level of reviewers to include CMC, Audit Commitee &amp; the Board.</t>
  </si>
  <si>
    <t>Process for feeding into Annual &amp; Quarterly QRT's and SFCR to be defined.</t>
  </si>
  <si>
    <t>CMC;
Audit Committee;
Board; &amp;
BRC.</t>
  </si>
  <si>
    <t>BAU audit by external auditors.</t>
  </si>
  <si>
    <t>Referenced Interim Reporting to CBI in Current Evidence; and
Referenced ORSA reporting process in Future Evidence.</t>
  </si>
  <si>
    <t>Referenced Interim Reporting to CBI in Current Evidence; &amp;
Amended the Gap to be "Significant" from "Minor" to conform to the RSR.</t>
  </si>
  <si>
    <t>BAU Evidence reflected as SFCR Policy that is specifically requested not SFCR Process as per original.</t>
  </si>
  <si>
    <t>Article 267 of Level 2 (sub paragraph 2) requires a Valuation Policy, consequently there is a Gap however this can be rectified by converting the "Basis of Preparation" document to a Policy Document.</t>
  </si>
  <si>
    <t>CMC;
Board;
BRC;
Audit Committee; &amp;
Controls Committee.</t>
  </si>
  <si>
    <t>PISA;
Control Committee Reports;
BRC Reports;
Risk Department reviews;
GIA Reviews; &amp;
BAU audit by External Auditors.</t>
  </si>
  <si>
    <t>Board;
Audit Committee;
BRC; &amp;
Controls Committee</t>
  </si>
  <si>
    <t>BRC Reports;
Risk &amp; Compliance Department Reviews;
GIA Reviews; &amp;
External audit for parts of it.</t>
  </si>
  <si>
    <t>Draft SFCR information;
Draft Quarterly QRT's Dry Runs;
Draft Annual QRT's Dry Runs; &amp;
Interim Reporting submitted to CBI &amp; EIOPA.</t>
  </si>
  <si>
    <t>Change "Basis of Preparation" document to a Policy Document.</t>
  </si>
  <si>
    <t>Valuation Policy</t>
  </si>
  <si>
    <t>Board;
CMC;
Audit Committee;
BRC;
Controls Committee; &amp;
BAU Control Environment.</t>
  </si>
  <si>
    <t>BRC Reports;
Risk &amp; Compliance Department Reviews;
GIA Reviews; &amp;
BAU audit by external auditors.</t>
  </si>
  <si>
    <t>All Group approved artifacts (policies etc) are localised, approved and implemented</t>
  </si>
  <si>
    <t>Capital (Finance)</t>
  </si>
  <si>
    <t xml:space="preserve">Policy </t>
  </si>
  <si>
    <t>Current</t>
  </si>
  <si>
    <t xml:space="preserve">Version </t>
  </si>
  <si>
    <t>Executive</t>
  </si>
  <si>
    <t xml:space="preserve">Owner </t>
  </si>
  <si>
    <t>Overall</t>
  </si>
  <si>
    <t xml:space="preserve">RSA Ireland Managing Owner </t>
  </si>
  <si>
    <t>RSA NI</t>
  </si>
  <si>
    <t xml:space="preserve">Managing Owner </t>
  </si>
  <si>
    <t>123.ie</t>
  </si>
  <si>
    <t xml:space="preserve">Insurance Risk </t>
  </si>
  <si>
    <t xml:space="preserve">Enda Brazel </t>
  </si>
  <si>
    <t>M Blackburn /</t>
  </si>
  <si>
    <t xml:space="preserve">B Costello </t>
  </si>
  <si>
    <t xml:space="preserve">Neal Brown </t>
  </si>
  <si>
    <t xml:space="preserve">N/A </t>
  </si>
  <si>
    <t xml:space="preserve">Claims </t>
  </si>
  <si>
    <t xml:space="preserve">Geoff Jones </t>
  </si>
  <si>
    <t xml:space="preserve">Garrett Walsh </t>
  </si>
  <si>
    <t xml:space="preserve">Celine Gillen </t>
  </si>
  <si>
    <t xml:space="preserve">Reinsurance </t>
  </si>
  <si>
    <t xml:space="preserve">Kerry McConnell </t>
  </si>
  <si>
    <t xml:space="preserve">Eileen O’Brien* </t>
  </si>
  <si>
    <t xml:space="preserve">Reserving </t>
  </si>
  <si>
    <t xml:space="preserve">Ferghal O’Regan </t>
  </si>
  <si>
    <t xml:space="preserve">Underwriting </t>
  </si>
  <si>
    <t xml:space="preserve">Credit Risk </t>
  </si>
  <si>
    <t>Kerry McConnell</t>
  </si>
  <si>
    <t xml:space="preserve">Carl Strickland </t>
  </si>
  <si>
    <t xml:space="preserve">Des Doherty </t>
  </si>
  <si>
    <t xml:space="preserve">Garrett Owens </t>
  </si>
  <si>
    <t xml:space="preserve">Insurance Operations Credit Risk </t>
  </si>
  <si>
    <t xml:space="preserve">Reinsurance Credit Risk </t>
  </si>
  <si>
    <t xml:space="preserve">Eileen O’Brien </t>
  </si>
  <si>
    <t xml:space="preserve">Market Risk </t>
  </si>
  <si>
    <t xml:space="preserve">Evan Loftus </t>
  </si>
  <si>
    <t xml:space="preserve">Liquidity Risk </t>
  </si>
  <si>
    <t xml:space="preserve">Controllership </t>
  </si>
  <si>
    <t xml:space="preserve">Operational Risk </t>
  </si>
  <si>
    <t xml:space="preserve">Keith Kiernan </t>
  </si>
  <si>
    <t xml:space="preserve">Vincent McIvor </t>
  </si>
  <si>
    <t xml:space="preserve">Leah Ward </t>
  </si>
  <si>
    <t xml:space="preserve">Acceptable Usage Policy </t>
  </si>
  <si>
    <t xml:space="preserve">Dualta Currie </t>
  </si>
  <si>
    <t xml:space="preserve">Ken Ryan </t>
  </si>
  <si>
    <t xml:space="preserve">AML &amp; Sanctions </t>
  </si>
  <si>
    <t xml:space="preserve">Natacha Craven </t>
  </si>
  <si>
    <t>John Beadle</t>
  </si>
  <si>
    <t xml:space="preserve">Anti Corruption Compliance </t>
  </si>
  <si>
    <t xml:space="preserve">?? </t>
  </si>
  <si>
    <t xml:space="preserve">Declan Hickey </t>
  </si>
  <si>
    <t xml:space="preserve">Broker Remuneration </t>
  </si>
  <si>
    <t xml:space="preserve">Darren O’Neill </t>
  </si>
  <si>
    <t xml:space="preserve">Colin Moynagh </t>
  </si>
  <si>
    <t xml:space="preserve">Business Continuity Management </t>
  </si>
  <si>
    <t xml:space="preserve">Community &amp; Charitable </t>
  </si>
  <si>
    <t xml:space="preserve">Elaine Loftus </t>
  </si>
  <si>
    <t xml:space="preserve">Competition Law </t>
  </si>
  <si>
    <t>Keith Kiernan</t>
  </si>
  <si>
    <t xml:space="preserve">James Murray </t>
  </si>
  <si>
    <t xml:space="preserve">Richard Glavin </t>
  </si>
  <si>
    <t xml:space="preserve">Conflicts of Interest, Hospitality &amp; Gifts </t>
  </si>
  <si>
    <t xml:space="preserve">Wendy Cree </t>
  </si>
  <si>
    <t xml:space="preserve">Data Management </t>
  </si>
  <si>
    <t xml:space="preserve">Data Protection </t>
  </si>
  <si>
    <t xml:space="preserve">Delegated Authority Framework </t>
  </si>
  <si>
    <t xml:space="preserve">Disclosure </t>
  </si>
  <si>
    <t xml:space="preserve">Jack McIlduff </t>
  </si>
  <si>
    <t xml:space="preserve">End User Computing Applications </t>
  </si>
  <si>
    <t xml:space="preserve">Environmental </t>
  </si>
  <si>
    <t>Natacha Craven</t>
  </si>
  <si>
    <t xml:space="preserve">Bronagh O’Sullivan </t>
  </si>
  <si>
    <t xml:space="preserve">Fraud </t>
  </si>
  <si>
    <t xml:space="preserve">John Beadle </t>
  </si>
  <si>
    <t xml:space="preserve">Human Rights </t>
  </si>
  <si>
    <t xml:space="preserve">Information Security </t>
  </si>
  <si>
    <t xml:space="preserve">Information Technology </t>
  </si>
  <si>
    <t xml:space="preserve">Alan Mullin </t>
  </si>
  <si>
    <t xml:space="preserve">Insider Information </t>
  </si>
  <si>
    <t xml:space="preserve">Insurance Purchasing </t>
  </si>
  <si>
    <t xml:space="preserve">Intellectual Property </t>
  </si>
  <si>
    <t xml:space="preserve">Padraig O’Neill </t>
  </si>
  <si>
    <t xml:space="preserve">Legal Risk </t>
  </si>
  <si>
    <t xml:space="preserve">Mergers, Acquisitions &amp; Disposals </t>
  </si>
  <si>
    <t xml:space="preserve">Siobhan Teevan </t>
  </si>
  <si>
    <t xml:space="preserve">People Risk </t>
  </si>
  <si>
    <t xml:space="preserve">Joan Spellman </t>
  </si>
  <si>
    <t xml:space="preserve">Physical &amp; Environmental Security </t>
  </si>
  <si>
    <t xml:space="preserve">Regulatory Compliance </t>
  </si>
  <si>
    <t xml:space="preserve">Aoife Martin </t>
  </si>
  <si>
    <t xml:space="preserve">Donncha Connolly </t>
  </si>
  <si>
    <t xml:space="preserve">Elaine Carr </t>
  </si>
  <si>
    <t xml:space="preserve">Deirdre Haverty </t>
  </si>
  <si>
    <t xml:space="preserve">Reputation Management </t>
  </si>
  <si>
    <t xml:space="preserve">Social Media </t>
  </si>
  <si>
    <t xml:space="preserve">Alan Holmes </t>
  </si>
  <si>
    <t xml:space="preserve">Third Party Contracts </t>
  </si>
  <si>
    <t>Joanna Clancy</t>
  </si>
  <si>
    <t>Des Doherty</t>
  </si>
  <si>
    <t xml:space="preserve">Whistleblowing </t>
  </si>
  <si>
    <r>
      <t>1</t>
    </r>
    <r>
      <rPr>
        <sz val="10"/>
        <rFont val="Arial"/>
        <family val="2"/>
      </rPr>
      <t xml:space="preserve">Daniel Parker </t>
    </r>
  </si>
  <si>
    <r>
      <t>1</t>
    </r>
    <r>
      <rPr>
        <sz val="10"/>
        <rFont val="Arial"/>
        <family val="2"/>
      </rPr>
      <t xml:space="preserve">Padraig O’Neill </t>
    </r>
  </si>
  <si>
    <t>Data quality assessment tool
Data Quality Assessment Report</t>
  </si>
  <si>
    <t>Resourcing to complete in BAU needs to be identified</t>
  </si>
  <si>
    <t>Guidelines on basis risk
Guidelines on look-through approach
Guidelines on the treatment of market and counterparty risk exposures in the standard formula</t>
  </si>
  <si>
    <t>SF data requirements and calculation process needs to be documented once final calculation method is decided (i.e. use Igloo SF or spreadsheets)</t>
  </si>
  <si>
    <t>Guidelines on application of outwards reinsurance arrangements to the non-life underwriting risk sub-module
Guidelines on application of the life underwriting risk module Guidelines on basis risk
Guidelines on health catastrophe risk sub-module Guidelines on look-through approach
Guidelines on the treatment of market and counterparty risk exposures in the standard formula</t>
  </si>
  <si>
    <t>SF data requirements and calculation process needs to be documented once final calculation method is decided (i.e. use Igloo SF or spreadsheets);
More accurate allowance for PPO required.</t>
  </si>
  <si>
    <t>Capital Report</t>
  </si>
  <si>
    <t>Assess requirement and determine if formal response required, e.g. a procedure to follow if SCR is breached</t>
  </si>
  <si>
    <t>Capital management policy
Capital Risk Appetite Framework</t>
  </si>
  <si>
    <t>M Blackburn / B Costello</t>
  </si>
  <si>
    <t xml:space="preserve">M Blackburn / B Costello </t>
  </si>
  <si>
    <t>Owner</t>
  </si>
  <si>
    <t>Solvency II</t>
  </si>
  <si>
    <t>BAU</t>
  </si>
  <si>
    <t>Group</t>
  </si>
  <si>
    <t>Local Executive</t>
  </si>
  <si>
    <t>Local Managing</t>
  </si>
  <si>
    <t>Locally</t>
  </si>
  <si>
    <t xml:space="preserve">Reviewed / </t>
  </si>
  <si>
    <t>BRC Approval</t>
  </si>
  <si>
    <t>Scheduled</t>
  </si>
  <si>
    <t>Compliant Version</t>
  </si>
  <si>
    <t>?</t>
  </si>
  <si>
    <t>Managing Owner</t>
  </si>
  <si>
    <t>Group Chief Actuary:</t>
  </si>
  <si>
    <t>Group Investment Director:</t>
  </si>
  <si>
    <t>Group Treasurer:</t>
  </si>
  <si>
    <t>Group Chief Procurement Officer:</t>
  </si>
  <si>
    <t>Internal Control Procedures</t>
  </si>
  <si>
    <t>Risk Management Procedures</t>
  </si>
  <si>
    <t>Group Regulatory Compliance Director:</t>
  </si>
  <si>
    <t>ORSA Policy</t>
  </si>
  <si>
    <t>Data Policy</t>
  </si>
  <si>
    <t>RPAs</t>
  </si>
  <si>
    <t>x</t>
  </si>
  <si>
    <t>Actuarial Function Terms of Reference</t>
  </si>
  <si>
    <t>Capital Management Policy</t>
  </si>
  <si>
    <t>Fit and Proper Policy</t>
  </si>
  <si>
    <t>Internal Audit Charter</t>
  </si>
  <si>
    <t>Remuneration Policy</t>
  </si>
  <si>
    <t>Technical Delegated Authority Framework (External Arrangements)</t>
  </si>
  <si>
    <t>Technical Delegated Authority Framework Internal Arrangements)</t>
  </si>
  <si>
    <t>Additional from Delloite Assessment</t>
  </si>
  <si>
    <t>External audit of SF</t>
  </si>
  <si>
    <t>SF calculations spreadsheets
QRT for SCR</t>
  </si>
  <si>
    <t>Capital report
Process Document</t>
  </si>
  <si>
    <t>Assess requirement and determine if formal response required, e.g. a procedure to follow if MCR is breached</t>
  </si>
  <si>
    <t xml:space="preserve">Imp. Needed </t>
  </si>
  <si>
    <t>Sign. Imp. Needed</t>
  </si>
  <si>
    <t xml:space="preserve"> Existing Evidence Meets Requirements</t>
  </si>
  <si>
    <t>Other</t>
  </si>
  <si>
    <t>Authorisation</t>
  </si>
  <si>
    <t>Group Only</t>
  </si>
  <si>
    <t>Product Type</t>
  </si>
  <si>
    <t>Regulatory Only</t>
  </si>
  <si>
    <t>IM Company</t>
  </si>
  <si>
    <t>Org. Structure</t>
  </si>
  <si>
    <t>Reason</t>
  </si>
  <si>
    <t>Reference</t>
  </si>
  <si>
    <t>Reorg./wind up</t>
  </si>
  <si>
    <t>Proposal Forms</t>
  </si>
  <si>
    <t xml:space="preserve">GIA Charter
Group Audit Committee Terms of Reference (Section 10.4 ‘Internal Audit’
RSAII Audit Committee Terms of Reference (Section 10.7)
Organisation chart
All GIA staff are required to confirm their independence on an annual basis
The GIA effectiveness review performed by EY concluded that GIA was independent &amp; objective
GIA Annual Plan Process 
GIA Audit Manual
GIA Annual Plan
GIA quarterly report to the GAC
GIA quarterly report to the RSAII Audit Committee, including Control Environment Opinion
</t>
  </si>
  <si>
    <t>Deloitte policy review (Concerns raised)</t>
  </si>
  <si>
    <t xml:space="preserve">The Third Party Contracts Policy contains detail around contract terms and the requirements contained in Article 274 (h) &amp; (i) are contained therein. 
However the TDAF document is inconsistent with the TPC Policy. The Deloitte review identified Solvency II compliance gaps in the TDAF document which have not being closed. It is unclear as to action being taken at GCC to address this issue.    
At present there are some outsourcing arrangements where contracts are not in place and these are planned to be remediated by 01/01/16. 
There is an outstanding query as to whether Delegated Authority arrangements are to be considered outsourcing. </t>
  </si>
  <si>
    <t>Third Party Contracts Policy
Delegated Authority Framework</t>
  </si>
  <si>
    <t xml:space="preserve">System of Governance Document
SoG Approval Process
Board minutes approving the System of Governance Document
Board Risk Committee pack
Board and Board Risk Committee minutes
Remuneration Committee Terms of Reference and Committee Minutes
Fit and Proper Policy
Data Management Policy
Information Security Policy
Business Continuity Procedures
Conflicts of Interest Policy
</t>
  </si>
  <si>
    <t xml:space="preserve">Not all evidence is available as yet. 
RSAII SoG is currently not Solvency II compliant. System of Governance document is being presented to BRC in Sept as a final draft for Board approval in Oct. Not all components have been reviewed by Deloitte.   Final SII compliant Group version of SoG will need to be localised. 
Enhanced SoG approval process meeting SII requirements rolled out in 2016
Detail contained in Conflicts of Interest Policy does not appear to be sufficient to meet SII requirements. GCC have advised that Policies, where there are gaps, are being updated and presented to the Sept BRC. Final SII compliant group version will need to be localised and approved by RSAII Board.
It is understood that a Remuneration Policy, a Risk Management Policy and an Internal Controls Policy are all being developed at GCC for sharing with local entities but .these have not been received to date. Final SII compliant group version will need to be localised and approved by RSAII Board.
</t>
  </si>
  <si>
    <t>System of Governance Document
Board minutes approving the System of Governance Document
Board Risk Committee pack
Board and Board Risk Committee minutes
Remuneration Policy
Remuneration Committee Terms of Reference and Committee Minutes
Fit and Proper Policy
Data Management Policy
Information Security Policy
Business Continuity Procedures
Conflicts of Interest Policy
Risk Management Policy
Internal Controls Policy</t>
  </si>
  <si>
    <t xml:space="preserve">SoG Approval Process
</t>
  </si>
  <si>
    <t xml:space="preserve">Minor amendments being made to Regulatory Compliance Policy. Final version is being presented to BRC in Sept.  Final SII compliant Group version of this policy will need to be localised and approved by the Board.. </t>
  </si>
  <si>
    <t>PISA Process
SoG tbc</t>
  </si>
  <si>
    <t xml:space="preserve">System of Governance Document
Regulatory Compliance Policy
</t>
  </si>
  <si>
    <t xml:space="preserve">Not all evidence is available as yet. 
It is understood that an Internal Controls Policy is being developed at GCC for sharing with local entities but .this have not been received to date. Final SII compliant group version will need to be localised and approved by RSAII Board.
Minor amendments being made to Regulatory Compliance Policy. Final version is being presented to BRC in Sept.  Final SII compliant Group version of this policy will need to be localised and approved by the Board.. 
</t>
  </si>
  <si>
    <t>System of Governance Document
Internal Control Policy
Regulatory Compliance Policy</t>
  </si>
  <si>
    <t xml:space="preserve">Third party contracts policy (TPCP)
 </t>
  </si>
  <si>
    <t xml:space="preserve">The Third Party Contracts Policy contains detail around contract terms and the requirements contained in Article 274  are contained therein. 
However the TDAF document is inconsistent with the TPC Policy. The Deloitte review identified Solvency II compliance gaps in the TDAF document which have not being closed.It is unclear as to action being taken at GCC to address this issue. 
At present there are some outsourcing arrangements where contracts are not in place and these are planned to be remediated by 01/01/16. 
There is an outstanding query as to whether Delegated Authority arrangements are to be considered outsourcing. </t>
  </si>
  <si>
    <t xml:space="preserve">Third Party Contracts Policy
Delegated Authority Framework
SMART source - O/S arrangements Internal and external outsourcing agreements Internal and external outsourcing agreements </t>
  </si>
  <si>
    <t xml:space="preserve">Regulatory Compliance Policy
</t>
  </si>
  <si>
    <t>Not all evidence is available as yet. 
Minor amendments being made to Regulatory Compliance Policy. Final version is being presented to BRC in Sept.  Final SII compliant Group version of this policy will need to be localised and approved by the Board.. 
It is understood that a Capital Management Policy is being developed at GCC for sharing with local entities but .this have not been received to date. Final SII compliant group version will need to be localised and approved by RSAII Board.</t>
  </si>
  <si>
    <t>Capital Management Policy
Regulatory Compliance Policy</t>
  </si>
  <si>
    <t>RSAII Terms of Business
Policy Wordings</t>
  </si>
  <si>
    <t>The information required is provided in both the RSAII Terms of Business and generally is also contained within Policy Wordings. For much business (ie broker) the policyholder will only see these documents after the contract is concluded not before. However contracts are subject to cooling off period as required by Distance Marketing Directive.</t>
  </si>
  <si>
    <t xml:space="preserve">RSAII operate on a freedom of services basis in various EC countries. This is usually business which is RoI based but with some foreign exposures. 
In these cases the policyholder/broker will be dealing with RSAII directly and the information required by this Article will be provided.  </t>
  </si>
  <si>
    <t xml:space="preserve">Reserving, Insurance risk policy, Underwriting Policy, Market Risk Policy, Liquidity Risk Policy, Operational Risk Policy, Reinsurance Risk Policy, Reinsurance Credit Risk Policy
Data Policy, Standards &amp; Guidelines, DQA Report, Reputational risk policy
System of Governance (non Solvency II compliant) 
Risk Management procedure document
Risk Manual
ET Risk Committee, BRC papers and minutes
PISA scores
Risk Appetite Statements
Risk Profiles (including Emerging RIsks)
Risk Events (process, reporting)
Operational Risk Process &amp; Procedure Guide
Operational Risk ICA Scenarios
New Lines of Business Development Framework
Stress and scenario testing reports
</t>
  </si>
  <si>
    <t xml:space="preserve">Deloitte policy review (Concerns raised)
PA Design Assurance - Digest 14
2nd Line PISA challenge
2nd Line Policy Testing
2nd Line Reporting review currently being conducted by Internal Audit
 </t>
  </si>
  <si>
    <t xml:space="preserve">Awaiting refreshed / new Risk policies from Group Risk (September 2015), reviewed for SII compliance by Deloitte, signed off by the Design Authority to confirm that all gaps are closed and the policies, as circulated to Regions, are Solvency II compliant.  Review of draft policies submitted to DA (3/08/2015) indicates further work is required at Group and some of the Solvency II requirements have not been included. 
Awaiting relevant artifacts (including new procedure guides) that have been reviewed by Group Risk, signed off by the Design Authority (September 2015) as Solvency II Compliant.  These include the Internal Audit Charter, Actuarial Function ToR, Risk Management procedure, Internal Controls Procedure. 
Current Gaps 
- no documented risk strategy
- no procedure on decision making,
- Data Policy not reviewed by Deloitte to determine if Solvency II compliant
- Liquidity / Market risk policies do not reference requirements, in the manner the text describes in respect of derivatives, off balance sheet items (irrespective of whether the business engages in this activity)
- elements of the ICS may not be adequate and could benefit from improvements (no control testing by 2nd Line, limited testing of the corporate governance framework, no testing of the DAF, no testing of risk appetite metrics)
Weaknesses (improvements required)
- embed stress and scenario testing in BAU
- risk appetite alignment / consistency in policies,
- timeline for review of policies should align with risk appetite refresh
- 2nd Line involvement in strategic affairs such that we can evidence detailed reporting on risk exposures and advising on risk matters.
- appropriate governance to be put in place for procedure guides (treat as for policy or not ?)
</t>
  </si>
  <si>
    <t>Group and local business strategy and risk appetite refresh document
Risk Management Policies (as described in current evidence with new policies as referred to in Status column
Investment Limits Framework to the Board
Risk Management Strategy (documented)
Documented procedure on decision making
PISA 1st Line risk assessment, 2nd Line challegne
Risk and Control reports to ET Risk Meeting (Integrated assurance report covering 1st line control validation and 2nd line control testing, 3rd line audit)
Stress &amp; Scenario Testing - process and reporting
BRC reports (including PISA)</t>
  </si>
  <si>
    <t xml:space="preserve">Risk &amp; Control reporting to ET Risk Meeting
2nd Line review / challenge of PISA risk assessment
ET review of functional risk profiles
Board and BRC review of key risk information including the Risk Profile &amp; Emerging Risk Profile
Regional (UK&amp;WE) Risk &amp; Control committees
 </t>
  </si>
  <si>
    <t xml:space="preserve">3rd Line GIA reviews
2nd Line Assurance Testing
1st Line Control validation
Group testing on local functions / activity (IS, Compliance, FCF, Reserving)
</t>
  </si>
  <si>
    <t>Draft ORSA policy
Reserving Policy
2014 FLAOR report, process, CBI engagement
Board minutes where ORSA is approved
Capital report
BRC Committee papers / minutes
UK&amp;WE Risk Committee papers / minutew (RSAII submission)
SF Calculation spreadsheets
QRTs for SCR, SF
Basis of preparation document
TP Results (Qtrly, Annual)
Standards &amp; Expectations document
DQA Tool, Report</t>
  </si>
  <si>
    <t>Awaiting release of approved ORSA policy which is being finalised and approved by the Group BRC (September 2015)
Internal Model to used to support calculation of the SCR
- approach to 2015 ORSA not yet agreed (this would help evidence a number of ORSA requirements)</t>
  </si>
  <si>
    <t xml:space="preserve">ORSA report
Approved ORSA Policy
Approved Capital Management Policy
Reserving Policy
Actuarial Function ToR, Reports
DQA Tool, Report
TP Results (Qtrly, Annual)
ORSA flags
QRTs 
Capital report
Operating Plan
</t>
  </si>
  <si>
    <t>Risk &amp; Compliance assurance on capital report and operating plan</t>
  </si>
  <si>
    <t xml:space="preserve">Audit Committee Terms of Reference and Audit Committee Reporting are localised </t>
  </si>
</sst>
</file>

<file path=xl/styles.xml><?xml version="1.0" encoding="utf-8"?>
<styleSheet xmlns="http://schemas.openxmlformats.org/spreadsheetml/2006/main">
  <fonts count="22">
    <font>
      <sz val="11"/>
      <color theme="1"/>
      <name val="Calibri"/>
      <family val="2"/>
      <scheme val="minor"/>
    </font>
    <font>
      <sz val="10"/>
      <color theme="1"/>
      <name val="Arial"/>
      <family val="2"/>
    </font>
    <font>
      <b/>
      <sz val="11"/>
      <color theme="0"/>
      <name val="Calibri"/>
      <family val="2"/>
      <scheme val="minor"/>
    </font>
    <font>
      <sz val="11"/>
      <color theme="0"/>
      <name val="Calibri"/>
      <family val="2"/>
      <scheme val="minor"/>
    </font>
    <font>
      <b/>
      <sz val="10"/>
      <color theme="0"/>
      <name val="Arial"/>
      <family val="2"/>
    </font>
    <font>
      <sz val="10"/>
      <color theme="0"/>
      <name val="Arial"/>
      <family val="2"/>
    </font>
    <font>
      <sz val="10"/>
      <color theme="1"/>
      <name val="Arial"/>
      <family val="2"/>
    </font>
    <font>
      <sz val="10"/>
      <color rgb="FFFF0000"/>
      <name val="Arial"/>
      <family val="2"/>
    </font>
    <font>
      <sz val="11"/>
      <color rgb="FFFF0000"/>
      <name val="Calibri"/>
      <family val="2"/>
      <scheme val="minor"/>
    </font>
    <font>
      <sz val="10"/>
      <name val="Arial"/>
      <family val="2"/>
    </font>
    <font>
      <strike/>
      <sz val="10"/>
      <name val="Arial"/>
      <family val="2"/>
    </font>
    <font>
      <sz val="11"/>
      <name val="Calibri"/>
      <family val="2"/>
      <scheme val="minor"/>
    </font>
    <font>
      <b/>
      <sz val="11"/>
      <color theme="1"/>
      <name val="Calibri"/>
      <family val="2"/>
      <scheme val="minor"/>
    </font>
    <font>
      <b/>
      <sz val="9"/>
      <color theme="1"/>
      <name val="Calibri"/>
      <family val="2"/>
      <scheme val="minor"/>
    </font>
    <font>
      <sz val="9"/>
      <color theme="1"/>
      <name val="Calibri"/>
      <family val="2"/>
      <scheme val="minor"/>
    </font>
    <font>
      <sz val="10"/>
      <name val="Calibri"/>
      <family val="2"/>
      <scheme val="minor"/>
    </font>
    <font>
      <b/>
      <sz val="11"/>
      <color rgb="FF000000"/>
      <name val="Calibri"/>
      <family val="2"/>
      <scheme val="minor"/>
    </font>
    <font>
      <b/>
      <sz val="10"/>
      <color theme="1"/>
      <name val="Arial"/>
      <family val="2"/>
    </font>
    <font>
      <sz val="11"/>
      <color theme="1"/>
      <name val="Calibri"/>
      <family val="2"/>
      <scheme val="minor"/>
    </font>
    <font>
      <b/>
      <sz val="11"/>
      <color rgb="FFFFFFFF"/>
      <name val="Arial"/>
      <family val="2"/>
    </font>
    <font>
      <b/>
      <sz val="10"/>
      <name val="Arial"/>
      <family val="2"/>
    </font>
    <font>
      <vertAlign val="superscript"/>
      <sz val="10"/>
      <name val="Arial"/>
      <family val="2"/>
    </font>
  </fonts>
  <fills count="24">
    <fill>
      <patternFill patternType="none"/>
    </fill>
    <fill>
      <patternFill patternType="gray125"/>
    </fill>
    <fill>
      <patternFill patternType="solid">
        <fgColor rgb="FF7030A0"/>
        <bgColor indexed="64"/>
      </patternFill>
    </fill>
    <fill>
      <patternFill patternType="solid">
        <fgColor theme="3"/>
        <bgColor indexed="64"/>
      </patternFill>
    </fill>
    <fill>
      <patternFill patternType="solid">
        <fgColor theme="1"/>
        <bgColor indexed="64"/>
      </patternFill>
    </fill>
    <fill>
      <patternFill patternType="solid">
        <fgColor theme="0" tint="-4.9989318521683403E-2"/>
        <bgColor indexed="64"/>
      </patternFill>
    </fill>
    <fill>
      <patternFill patternType="lightUp">
        <bgColor theme="0" tint="-4.9989318521683403E-2"/>
      </patternFill>
    </fill>
    <fill>
      <patternFill patternType="solid">
        <fgColor theme="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rgb="FF92D050"/>
        <bgColor indexed="64"/>
      </patternFill>
    </fill>
    <fill>
      <patternFill patternType="solid">
        <fgColor theme="0" tint="-0.34998626667073579"/>
        <bgColor indexed="64"/>
      </patternFill>
    </fill>
    <fill>
      <patternFill patternType="solid">
        <fgColor theme="2" tint="-0.499984740745262"/>
        <bgColor indexed="64"/>
      </patternFill>
    </fill>
    <fill>
      <patternFill patternType="solid">
        <fgColor rgb="FFFFFF00"/>
        <bgColor indexed="64"/>
      </patternFill>
    </fill>
    <fill>
      <patternFill patternType="solid">
        <fgColor rgb="FF5A2D7F"/>
        <bgColor indexed="64"/>
      </patternFill>
    </fill>
    <fill>
      <patternFill patternType="solid">
        <fgColor rgb="FF00B0F0"/>
        <bgColor indexed="64"/>
      </patternFill>
    </fill>
    <fill>
      <patternFill patternType="solid">
        <fgColor rgb="FFEFF1EC"/>
        <bgColor indexed="64"/>
      </patternFill>
    </fill>
    <fill>
      <patternFill patternType="solid">
        <fgColor rgb="FF00B050"/>
        <bgColor indexed="64"/>
      </patternFill>
    </fill>
    <fill>
      <patternFill patternType="solid">
        <fgColor rgb="FFEBEEE9"/>
        <bgColor indexed="64"/>
      </patternFill>
    </fill>
    <fill>
      <patternFill patternType="solid">
        <fgColor rgb="FFFFCC00"/>
        <bgColor indexed="64"/>
      </patternFill>
    </fill>
    <fill>
      <patternFill patternType="solid">
        <fgColor rgb="FFE8E6DC"/>
        <bgColor indexed="64"/>
      </patternFill>
    </fill>
    <fill>
      <patternFill patternType="solid">
        <fgColor rgb="FFFFC000"/>
        <bgColor indexed="64"/>
      </patternFill>
    </fill>
    <fill>
      <patternFill patternType="solid">
        <fgColor rgb="FFF2F2F2"/>
        <bgColor indexed="64"/>
      </patternFill>
    </fill>
  </fills>
  <borders count="48">
    <border>
      <left/>
      <right/>
      <top/>
      <bottom/>
      <diagonal/>
    </border>
    <border>
      <left style="thin">
        <color theme="0" tint="-0.249977111117893"/>
      </left>
      <right/>
      <top style="medium">
        <color theme="0" tint="-0.249977111117893"/>
      </top>
      <bottom style="medium">
        <color theme="0" tint="-0.249977111117893"/>
      </bottom>
      <diagonal/>
    </border>
    <border>
      <left/>
      <right/>
      <top style="medium">
        <color theme="0" tint="-0.249977111117893"/>
      </top>
      <bottom style="medium">
        <color theme="0" tint="-0.249977111117893"/>
      </bottom>
      <diagonal/>
    </border>
    <border>
      <left/>
      <right style="medium">
        <color theme="0" tint="-0.249977111117893"/>
      </right>
      <top style="medium">
        <color theme="0" tint="-0.249977111117893"/>
      </top>
      <bottom style="medium">
        <color theme="0" tint="-0.249977111117893"/>
      </bottom>
      <diagonal/>
    </border>
    <border>
      <left style="medium">
        <color theme="0" tint="-0.249977111117893"/>
      </left>
      <right/>
      <top style="medium">
        <color theme="0" tint="-0.249977111117893"/>
      </top>
      <bottom style="medium">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style="thin">
        <color theme="0" tint="-0.249977111117893"/>
      </left>
      <right/>
      <top/>
      <bottom style="thin">
        <color theme="0" tint="-0.249977111117893"/>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diagonal/>
    </border>
    <border>
      <left style="thin">
        <color theme="0" tint="-0.14996795556505021"/>
      </left>
      <right style="thin">
        <color theme="0" tint="-0.14996795556505021"/>
      </right>
      <top/>
      <bottom style="thin">
        <color theme="0" tint="-0.14996795556505021"/>
      </bottom>
      <diagonal/>
    </border>
    <border>
      <left/>
      <right/>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6795556505021"/>
      </left>
      <right/>
      <top style="thin">
        <color theme="0" tint="-0.14996795556505021"/>
      </top>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top/>
      <bottom/>
      <diagonal/>
    </border>
    <border>
      <left style="thin">
        <color theme="0" tint="-0.14996795556505021"/>
      </left>
      <right/>
      <top/>
      <bottom style="thin">
        <color theme="0" tint="-0.14996795556505021"/>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0" tint="-0.249977111117893"/>
      </left>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rgb="FF1B1A12"/>
      </left>
      <right style="medium">
        <color rgb="FFFFFFFF"/>
      </right>
      <top style="medium">
        <color rgb="FF1B1A12"/>
      </top>
      <bottom/>
      <diagonal/>
    </border>
    <border>
      <left style="medium">
        <color rgb="FF1B1A12"/>
      </left>
      <right style="medium">
        <color rgb="FFFFFFFF"/>
      </right>
      <top/>
      <bottom style="medium">
        <color rgb="FF1B1A12"/>
      </bottom>
      <diagonal/>
    </border>
    <border>
      <left style="medium">
        <color rgb="FFFFFFFF"/>
      </left>
      <right style="medium">
        <color rgb="FFFFFFFF"/>
      </right>
      <top style="medium">
        <color rgb="FF1B1A12"/>
      </top>
      <bottom/>
      <diagonal/>
    </border>
    <border>
      <left style="medium">
        <color rgb="FFFFFFFF"/>
      </left>
      <right style="medium">
        <color rgb="FFFFFFFF"/>
      </right>
      <top/>
      <bottom style="medium">
        <color rgb="FF1B1A12"/>
      </bottom>
      <diagonal/>
    </border>
    <border>
      <left style="medium">
        <color rgb="FFFFFFFF"/>
      </left>
      <right style="medium">
        <color rgb="FF1B1A12"/>
      </right>
      <top style="medium">
        <color rgb="FF1B1A12"/>
      </top>
      <bottom/>
      <diagonal/>
    </border>
    <border>
      <left style="medium">
        <color rgb="FFFFFFFF"/>
      </left>
      <right style="medium">
        <color rgb="FF1B1A12"/>
      </right>
      <top/>
      <bottom style="medium">
        <color rgb="FF1B1A12"/>
      </bottom>
      <diagonal/>
    </border>
    <border>
      <left style="medium">
        <color rgb="FF1B1A12"/>
      </left>
      <right style="medium">
        <color rgb="FF1B1A12"/>
      </right>
      <top style="medium">
        <color rgb="FF1B1A12"/>
      </top>
      <bottom style="medium">
        <color rgb="FF1B1A12"/>
      </bottom>
      <diagonal/>
    </border>
    <border>
      <left style="medium">
        <color rgb="FF1B1A12"/>
      </left>
      <right style="medium">
        <color rgb="FF1B1A12"/>
      </right>
      <top style="medium">
        <color rgb="FF1B1A12"/>
      </top>
      <bottom/>
      <diagonal/>
    </border>
    <border>
      <left style="medium">
        <color rgb="FF1B1A12"/>
      </left>
      <right style="medium">
        <color rgb="FF1B1A12"/>
      </right>
      <top/>
      <bottom style="medium">
        <color rgb="FF1B1A12"/>
      </bottom>
      <diagonal/>
    </border>
    <border>
      <left style="medium">
        <color indexed="64"/>
      </left>
      <right style="medium">
        <color indexed="64"/>
      </right>
      <top style="medium">
        <color indexed="64"/>
      </top>
      <bottom style="medium">
        <color indexed="64"/>
      </bottom>
      <diagonal/>
    </border>
    <border>
      <left style="medium">
        <color rgb="FF1B1A12"/>
      </left>
      <right style="medium">
        <color rgb="FF1B1A12"/>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1B1A12"/>
      </left>
      <right/>
      <top/>
      <bottom/>
      <diagonal/>
    </border>
    <border>
      <left/>
      <right style="medium">
        <color rgb="FF1B1A12"/>
      </right>
      <top/>
      <bottom/>
      <diagonal/>
    </border>
  </borders>
  <cellStyleXfs count="2">
    <xf numFmtId="0" fontId="0" fillId="0" borderId="0"/>
    <xf numFmtId="9" fontId="18" fillId="0" borderId="0" applyFont="0" applyFill="0" applyBorder="0" applyAlignment="0" applyProtection="0"/>
  </cellStyleXfs>
  <cellXfs count="250">
    <xf numFmtId="0" fontId="0" fillId="0" borderId="0" xfId="0"/>
    <xf numFmtId="0" fontId="4" fillId="2" borderId="1" xfId="0" applyFont="1" applyFill="1" applyBorder="1" applyAlignment="1">
      <alignment vertical="top"/>
    </xf>
    <xf numFmtId="0" fontId="5" fillId="2" borderId="2" xfId="0" applyFont="1" applyFill="1" applyBorder="1" applyAlignment="1">
      <alignment vertical="top"/>
    </xf>
    <xf numFmtId="0" fontId="5" fillId="2" borderId="2" xfId="0" applyFont="1" applyFill="1" applyBorder="1" applyAlignment="1">
      <alignment horizontal="center" vertical="top"/>
    </xf>
    <xf numFmtId="0" fontId="5" fillId="2" borderId="3" xfId="0" applyFont="1" applyFill="1" applyBorder="1" applyAlignment="1">
      <alignment vertical="top"/>
    </xf>
    <xf numFmtId="0" fontId="4" fillId="3" borderId="4" xfId="0" applyFont="1" applyFill="1" applyBorder="1" applyAlignment="1">
      <alignment horizontal="left" vertical="top"/>
    </xf>
    <xf numFmtId="0" fontId="3" fillId="3" borderId="2" xfId="0" applyFont="1" applyFill="1" applyBorder="1"/>
    <xf numFmtId="0" fontId="2" fillId="4" borderId="2" xfId="0" applyFont="1" applyFill="1" applyBorder="1" applyAlignment="1">
      <alignment vertical="top"/>
    </xf>
    <xf numFmtId="0" fontId="6" fillId="0" borderId="0" xfId="0" applyFont="1"/>
    <xf numFmtId="0" fontId="4" fillId="2" borderId="5" xfId="0" applyFont="1" applyFill="1" applyBorder="1" applyAlignment="1">
      <alignment horizontal="left" vertical="top" wrapText="1"/>
    </xf>
    <xf numFmtId="0" fontId="4" fillId="2" borderId="5" xfId="0" applyFont="1" applyFill="1" applyBorder="1" applyAlignment="1">
      <alignment horizontal="center" vertical="top" wrapText="1"/>
    </xf>
    <xf numFmtId="0" fontId="4" fillId="2" borderId="5" xfId="0" applyFont="1" applyFill="1" applyBorder="1" applyAlignment="1">
      <alignment vertical="top" wrapText="1"/>
    </xf>
    <xf numFmtId="0" fontId="4" fillId="3" borderId="5" xfId="0" applyFont="1" applyFill="1" applyBorder="1" applyAlignment="1">
      <alignment horizontal="left" vertical="top" wrapText="1"/>
    </xf>
    <xf numFmtId="0" fontId="4" fillId="4" borderId="5" xfId="0" applyFont="1" applyFill="1" applyBorder="1" applyAlignment="1">
      <alignment horizontal="left" vertical="top" wrapText="1"/>
    </xf>
    <xf numFmtId="0" fontId="6" fillId="8" borderId="6" xfId="0" applyFont="1" applyFill="1" applyBorder="1" applyAlignment="1">
      <alignment horizontal="center" vertical="top" wrapText="1"/>
    </xf>
    <xf numFmtId="0" fontId="6" fillId="8" borderId="7" xfId="0" applyFont="1" applyFill="1" applyBorder="1" applyAlignment="1">
      <alignment horizontal="center" vertical="top" wrapText="1"/>
    </xf>
    <xf numFmtId="0" fontId="3" fillId="0" borderId="0" xfId="0" applyFont="1"/>
    <xf numFmtId="0" fontId="6" fillId="8" borderId="0" xfId="0" applyFont="1" applyFill="1" applyBorder="1" applyAlignment="1">
      <alignment vertical="top" wrapText="1"/>
    </xf>
    <xf numFmtId="0" fontId="6" fillId="8" borderId="12" xfId="0" applyFont="1" applyFill="1" applyBorder="1" applyAlignment="1">
      <alignment vertical="top" wrapText="1"/>
    </xf>
    <xf numFmtId="0" fontId="6" fillId="8" borderId="13" xfId="0" applyFont="1" applyFill="1" applyBorder="1" applyAlignment="1">
      <alignment horizontal="center" vertical="top" wrapText="1"/>
    </xf>
    <xf numFmtId="0" fontId="6" fillId="8" borderId="13" xfId="0" applyFont="1" applyFill="1" applyBorder="1" applyAlignment="1">
      <alignment vertical="top" wrapText="1"/>
    </xf>
    <xf numFmtId="0" fontId="6" fillId="8" borderId="13" xfId="0" applyFont="1" applyFill="1" applyBorder="1" applyAlignment="1">
      <alignment horizontal="left" vertical="top" wrapText="1"/>
    </xf>
    <xf numFmtId="0" fontId="6" fillId="8" borderId="21" xfId="0" applyFont="1" applyFill="1" applyBorder="1" applyAlignment="1">
      <alignment vertical="top" wrapText="1"/>
    </xf>
    <xf numFmtId="0" fontId="4" fillId="4" borderId="6" xfId="0" applyFont="1" applyFill="1" applyBorder="1" applyAlignment="1">
      <alignment horizontal="left" vertical="top" wrapText="1"/>
    </xf>
    <xf numFmtId="0" fontId="0" fillId="9" borderId="19" xfId="0" applyFill="1" applyBorder="1" applyAlignment="1">
      <alignment horizontal="center"/>
    </xf>
    <xf numFmtId="0" fontId="0" fillId="2" borderId="18" xfId="0" applyFill="1" applyBorder="1" applyAlignment="1">
      <alignment horizontal="center"/>
    </xf>
    <xf numFmtId="0" fontId="4" fillId="2" borderId="20" xfId="0" applyFont="1" applyFill="1" applyBorder="1" applyAlignment="1">
      <alignment horizontal="center" vertical="top" wrapText="1"/>
    </xf>
    <xf numFmtId="0" fontId="0" fillId="9" borderId="20" xfId="0" applyFill="1" applyBorder="1" applyAlignment="1">
      <alignment horizontal="center"/>
    </xf>
    <xf numFmtId="0" fontId="0" fillId="0" borderId="0" xfId="0" applyAlignment="1">
      <alignment horizontal="center"/>
    </xf>
    <xf numFmtId="0" fontId="9" fillId="7" borderId="9" xfId="0" applyFont="1" applyFill="1" applyBorder="1" applyAlignment="1">
      <alignment horizontal="left" vertical="top" wrapText="1"/>
    </xf>
    <xf numFmtId="0" fontId="7" fillId="5" borderId="10" xfId="0" applyFont="1" applyFill="1" applyBorder="1" applyAlignment="1">
      <alignment vertical="top" wrapText="1"/>
    </xf>
    <xf numFmtId="0" fontId="7" fillId="5" borderId="16" xfId="0" applyFont="1" applyFill="1" applyBorder="1" applyAlignment="1">
      <alignment vertical="top" wrapText="1"/>
    </xf>
    <xf numFmtId="0" fontId="7" fillId="0" borderId="0" xfId="0" applyFont="1"/>
    <xf numFmtId="0" fontId="8" fillId="0" borderId="0" xfId="0" applyFont="1"/>
    <xf numFmtId="0" fontId="9" fillId="5" borderId="10" xfId="0" applyFont="1" applyFill="1" applyBorder="1" applyAlignment="1">
      <alignment horizontal="center" vertical="top" wrapText="1"/>
    </xf>
    <xf numFmtId="0" fontId="9" fillId="5" borderId="10" xfId="0" applyFont="1" applyFill="1" applyBorder="1" applyAlignment="1">
      <alignment vertical="top" wrapText="1"/>
    </xf>
    <xf numFmtId="0" fontId="7" fillId="7" borderId="8" xfId="0" applyFont="1" applyFill="1" applyBorder="1" applyAlignment="1">
      <alignment vertical="top" wrapText="1"/>
    </xf>
    <xf numFmtId="0" fontId="9" fillId="5" borderId="9" xfId="0" applyFont="1" applyFill="1" applyBorder="1" applyAlignment="1">
      <alignment horizontal="center" vertical="top" wrapText="1"/>
    </xf>
    <xf numFmtId="0" fontId="9" fillId="6" borderId="9" xfId="0" applyFont="1" applyFill="1" applyBorder="1" applyAlignment="1">
      <alignment horizontal="left" vertical="top" wrapText="1"/>
    </xf>
    <xf numFmtId="0" fontId="11" fillId="9" borderId="18" xfId="0" applyFont="1" applyFill="1" applyBorder="1" applyAlignment="1">
      <alignment horizontal="center"/>
    </xf>
    <xf numFmtId="0" fontId="9" fillId="0" borderId="0" xfId="0" applyFont="1"/>
    <xf numFmtId="0" fontId="11" fillId="0" borderId="0" xfId="0" applyFont="1"/>
    <xf numFmtId="0" fontId="9" fillId="7" borderId="8" xfId="0" applyFont="1" applyFill="1" applyBorder="1" applyAlignment="1">
      <alignment horizontal="center" vertical="top" wrapText="1"/>
    </xf>
    <xf numFmtId="0" fontId="9" fillId="7" borderId="8" xfId="0" applyFont="1" applyFill="1" applyBorder="1" applyAlignment="1">
      <alignment vertical="top" wrapText="1"/>
    </xf>
    <xf numFmtId="0" fontId="9" fillId="6" borderId="8" xfId="0" applyFont="1" applyFill="1" applyBorder="1" applyAlignment="1">
      <alignment horizontal="left" vertical="top" wrapText="1"/>
    </xf>
    <xf numFmtId="0" fontId="11" fillId="9" borderId="19" xfId="0" applyFont="1" applyFill="1" applyBorder="1" applyAlignment="1">
      <alignment horizontal="center"/>
    </xf>
    <xf numFmtId="0" fontId="9" fillId="6" borderId="10" xfId="0" applyFont="1" applyFill="1" applyBorder="1" applyAlignment="1">
      <alignment horizontal="left" vertical="top" wrapText="1"/>
    </xf>
    <xf numFmtId="0" fontId="9" fillId="5" borderId="16" xfId="0" applyFont="1" applyFill="1" applyBorder="1" applyAlignment="1">
      <alignment vertical="top" wrapText="1"/>
    </xf>
    <xf numFmtId="0" fontId="9" fillId="7" borderId="9" xfId="0" applyFont="1" applyFill="1" applyBorder="1" applyAlignment="1">
      <alignment horizontal="center" vertical="top" wrapText="1"/>
    </xf>
    <xf numFmtId="0" fontId="9" fillId="7" borderId="9" xfId="0" applyFont="1" applyFill="1" applyBorder="1" applyAlignment="1">
      <alignment vertical="top" wrapText="1"/>
    </xf>
    <xf numFmtId="0" fontId="9" fillId="7" borderId="14" xfId="0" applyFont="1" applyFill="1" applyBorder="1" applyAlignment="1">
      <alignment vertical="top" wrapText="1"/>
    </xf>
    <xf numFmtId="0" fontId="9" fillId="7" borderId="11" xfId="0" applyFont="1" applyFill="1" applyBorder="1" applyAlignment="1">
      <alignment horizontal="center" vertical="top" wrapText="1"/>
    </xf>
    <xf numFmtId="0" fontId="9" fillId="7" borderId="11" xfId="0" applyFont="1" applyFill="1" applyBorder="1" applyAlignment="1">
      <alignment vertical="top" wrapText="1"/>
    </xf>
    <xf numFmtId="0" fontId="9" fillId="7" borderId="11" xfId="0" applyFont="1" applyFill="1" applyBorder="1" applyAlignment="1">
      <alignment horizontal="left" vertical="top" wrapText="1"/>
    </xf>
    <xf numFmtId="0" fontId="9" fillId="7" borderId="17" xfId="0" applyFont="1" applyFill="1" applyBorder="1" applyAlignment="1">
      <alignment vertical="top" wrapText="1"/>
    </xf>
    <xf numFmtId="0" fontId="9" fillId="7" borderId="10" xfId="0" applyFont="1" applyFill="1" applyBorder="1" applyAlignment="1">
      <alignment horizontal="center" vertical="top" wrapText="1"/>
    </xf>
    <xf numFmtId="0" fontId="9" fillId="7" borderId="10" xfId="0" applyFont="1" applyFill="1" applyBorder="1" applyAlignment="1">
      <alignment vertical="top" wrapText="1"/>
    </xf>
    <xf numFmtId="0" fontId="9" fillId="7" borderId="10" xfId="0" applyFont="1" applyFill="1" applyBorder="1" applyAlignment="1">
      <alignment horizontal="left" vertical="top" wrapText="1"/>
    </xf>
    <xf numFmtId="0" fontId="9" fillId="7" borderId="16" xfId="0" applyFont="1" applyFill="1" applyBorder="1" applyAlignment="1">
      <alignment vertical="top" wrapText="1"/>
    </xf>
    <xf numFmtId="0" fontId="9" fillId="5" borderId="10" xfId="0" applyFont="1" applyFill="1" applyBorder="1" applyAlignment="1">
      <alignment vertical="top"/>
    </xf>
    <xf numFmtId="0" fontId="9" fillId="5" borderId="10" xfId="0" applyFont="1" applyFill="1" applyBorder="1" applyAlignment="1">
      <alignment horizontal="left" vertical="top"/>
    </xf>
    <xf numFmtId="0" fontId="9" fillId="5" borderId="16" xfId="0" applyFont="1" applyFill="1" applyBorder="1" applyAlignment="1">
      <alignment vertical="top"/>
    </xf>
    <xf numFmtId="0" fontId="9" fillId="5" borderId="10" xfId="0" applyFont="1" applyFill="1" applyBorder="1" applyAlignment="1">
      <alignment horizontal="center" vertical="top"/>
    </xf>
    <xf numFmtId="0" fontId="9" fillId="7" borderId="9" xfId="0" applyFont="1" applyFill="1" applyBorder="1" applyAlignment="1">
      <alignment horizontal="center" vertical="top"/>
    </xf>
    <xf numFmtId="0" fontId="9" fillId="7" borderId="9" xfId="0" applyFont="1" applyFill="1" applyBorder="1" applyAlignment="1">
      <alignment vertical="top"/>
    </xf>
    <xf numFmtId="0" fontId="9" fillId="7" borderId="8" xfId="0" applyFont="1" applyFill="1" applyBorder="1" applyAlignment="1">
      <alignment horizontal="left" vertical="top" wrapText="1"/>
    </xf>
    <xf numFmtId="0" fontId="9" fillId="7" borderId="15" xfId="0" applyFont="1" applyFill="1" applyBorder="1" applyAlignment="1">
      <alignment vertical="top" wrapText="1"/>
    </xf>
    <xf numFmtId="0" fontId="9" fillId="7" borderId="14" xfId="0" applyFont="1" applyFill="1" applyBorder="1" applyAlignment="1">
      <alignment horizontal="left" vertical="top" wrapText="1"/>
    </xf>
    <xf numFmtId="0" fontId="9" fillId="7" borderId="16" xfId="0" applyFont="1" applyFill="1" applyBorder="1" applyAlignment="1">
      <alignment horizontal="left" vertical="top" wrapText="1"/>
    </xf>
    <xf numFmtId="0" fontId="9" fillId="7" borderId="17" xfId="0" applyFont="1" applyFill="1" applyBorder="1" applyAlignment="1">
      <alignment horizontal="left" vertical="top" wrapText="1"/>
    </xf>
    <xf numFmtId="0" fontId="9" fillId="6" borderId="11" xfId="0" applyFont="1" applyFill="1" applyBorder="1" applyAlignment="1">
      <alignment horizontal="left" vertical="top" wrapText="1"/>
    </xf>
    <xf numFmtId="0" fontId="9" fillId="8" borderId="6" xfId="0" applyFont="1" applyFill="1" applyBorder="1" applyAlignment="1">
      <alignment horizontal="left" vertical="top"/>
    </xf>
    <xf numFmtId="0" fontId="9" fillId="8" borderId="0" xfId="0" applyFont="1" applyFill="1" applyBorder="1" applyAlignment="1">
      <alignment vertical="top" wrapText="1"/>
    </xf>
    <xf numFmtId="0" fontId="9" fillId="8" borderId="13" xfId="0" applyFont="1" applyFill="1" applyBorder="1" applyAlignment="1">
      <alignment horizontal="center" vertical="top" wrapText="1"/>
    </xf>
    <xf numFmtId="0" fontId="9" fillId="8" borderId="13" xfId="0" applyFont="1" applyFill="1" applyBorder="1" applyAlignment="1">
      <alignment vertical="top" wrapText="1"/>
    </xf>
    <xf numFmtId="0" fontId="9" fillId="8" borderId="13" xfId="0" applyFont="1" applyFill="1" applyBorder="1" applyAlignment="1">
      <alignment horizontal="left" vertical="top" wrapText="1"/>
    </xf>
    <xf numFmtId="0" fontId="9" fillId="8" borderId="21" xfId="0" applyFont="1" applyFill="1" applyBorder="1" applyAlignment="1">
      <alignment vertical="top" wrapText="1"/>
    </xf>
    <xf numFmtId="0" fontId="9" fillId="8" borderId="6" xfId="0" applyFont="1" applyFill="1" applyBorder="1" applyAlignment="1">
      <alignment horizontal="center" vertical="top" wrapText="1"/>
    </xf>
    <xf numFmtId="0" fontId="8" fillId="9" borderId="19" xfId="0" applyFont="1" applyFill="1" applyBorder="1" applyAlignment="1">
      <alignment horizontal="center"/>
    </xf>
    <xf numFmtId="0" fontId="7" fillId="7" borderId="15" xfId="0" applyFont="1" applyFill="1" applyBorder="1" applyAlignment="1">
      <alignment vertical="top" wrapText="1"/>
    </xf>
    <xf numFmtId="0" fontId="9" fillId="5" borderId="10" xfId="0" applyFont="1" applyFill="1" applyBorder="1" applyAlignment="1">
      <alignment horizontal="left" vertical="top" wrapText="1"/>
    </xf>
    <xf numFmtId="0" fontId="9" fillId="5" borderId="9" xfId="0" applyFont="1" applyFill="1" applyBorder="1" applyAlignment="1">
      <alignment vertical="top" wrapText="1"/>
    </xf>
    <xf numFmtId="0" fontId="10" fillId="5" borderId="10" xfId="0" applyFont="1" applyFill="1" applyBorder="1" applyAlignment="1">
      <alignment horizontal="left" vertical="top" wrapText="1"/>
    </xf>
    <xf numFmtId="0" fontId="12" fillId="0" borderId="22" xfId="0" applyFont="1" applyBorder="1"/>
    <xf numFmtId="0" fontId="14" fillId="0" borderId="22" xfId="0" applyFont="1" applyBorder="1"/>
    <xf numFmtId="0" fontId="14" fillId="0" borderId="22" xfId="0" applyFont="1" applyBorder="1" applyAlignment="1">
      <alignment horizontal="center"/>
    </xf>
    <xf numFmtId="0" fontId="14" fillId="0" borderId="0" xfId="0" applyFont="1"/>
    <xf numFmtId="0" fontId="13" fillId="10" borderId="22" xfId="0" applyFont="1" applyFill="1" applyBorder="1" applyAlignment="1">
      <alignment horizontal="center" vertical="center" wrapText="1"/>
    </xf>
    <xf numFmtId="0" fontId="13" fillId="10" borderId="26" xfId="0" applyFont="1" applyFill="1" applyBorder="1" applyAlignment="1">
      <alignment horizontal="center" vertical="center" wrapText="1"/>
    </xf>
    <xf numFmtId="0" fontId="13" fillId="0" borderId="22" xfId="0" applyFont="1" applyBorder="1"/>
    <xf numFmtId="0" fontId="14" fillId="11" borderId="22" xfId="0" applyFont="1" applyFill="1" applyBorder="1" applyAlignment="1">
      <alignment wrapText="1"/>
    </xf>
    <xf numFmtId="0" fontId="14" fillId="0" borderId="22" xfId="0" applyFont="1" applyBorder="1" applyAlignment="1">
      <alignment wrapText="1"/>
    </xf>
    <xf numFmtId="0" fontId="14" fillId="0" borderId="22" xfId="0" applyFont="1" applyBorder="1" applyAlignment="1">
      <alignment horizontal="center" vertical="center"/>
    </xf>
    <xf numFmtId="0" fontId="0" fillId="0" borderId="22" xfId="0" applyBorder="1" applyAlignment="1">
      <alignment horizontal="center" vertical="center" wrapText="1"/>
    </xf>
    <xf numFmtId="0" fontId="0" fillId="0" borderId="22" xfId="0" applyBorder="1"/>
    <xf numFmtId="0" fontId="0" fillId="0" borderId="22" xfId="0" applyBorder="1" applyAlignment="1">
      <alignment horizontal="center"/>
    </xf>
    <xf numFmtId="0" fontId="0" fillId="0" borderId="0" xfId="0" applyBorder="1" applyAlignment="1">
      <alignment horizontal="center"/>
    </xf>
    <xf numFmtId="0" fontId="13" fillId="10" borderId="22" xfId="0" applyFont="1" applyFill="1" applyBorder="1" applyAlignment="1">
      <alignment horizontal="center" vertical="center"/>
    </xf>
    <xf numFmtId="0" fontId="13" fillId="10" borderId="22" xfId="0" applyFont="1" applyFill="1" applyBorder="1" applyAlignment="1">
      <alignment vertical="center"/>
    </xf>
    <xf numFmtId="0" fontId="0" fillId="0" borderId="0" xfId="0" applyAlignment="1">
      <alignment wrapText="1"/>
    </xf>
    <xf numFmtId="0" fontId="9" fillId="5" borderId="22" xfId="0" applyFont="1" applyFill="1" applyBorder="1" applyAlignment="1">
      <alignment vertical="top" wrapText="1"/>
    </xf>
    <xf numFmtId="0" fontId="9" fillId="7" borderId="22" xfId="0" applyFont="1" applyFill="1" applyBorder="1" applyAlignment="1">
      <alignment vertical="top" wrapText="1"/>
    </xf>
    <xf numFmtId="0" fontId="9" fillId="7" borderId="22" xfId="0" applyFont="1" applyFill="1" applyBorder="1" applyAlignment="1">
      <alignment horizontal="left" vertical="top" wrapText="1"/>
    </xf>
    <xf numFmtId="0" fontId="12" fillId="0" borderId="0" xfId="0" applyFont="1" applyAlignment="1">
      <alignment horizontal="center" vertical="center" wrapText="1"/>
    </xf>
    <xf numFmtId="0" fontId="12" fillId="0" borderId="0" xfId="0" applyFont="1"/>
    <xf numFmtId="0" fontId="9" fillId="5" borderId="22" xfId="0" applyFont="1" applyFill="1" applyBorder="1" applyAlignment="1">
      <alignment horizontal="center" vertical="center" wrapText="1"/>
    </xf>
    <xf numFmtId="0" fontId="9" fillId="7" borderId="22" xfId="0" applyFont="1" applyFill="1" applyBorder="1" applyAlignment="1">
      <alignment horizontal="center" vertical="center" wrapText="1"/>
    </xf>
    <xf numFmtId="0" fontId="0" fillId="14" borderId="0" xfId="0" applyFill="1"/>
    <xf numFmtId="0" fontId="4" fillId="3" borderId="5" xfId="0" applyFont="1" applyFill="1" applyBorder="1" applyAlignment="1">
      <alignment horizontal="center" vertical="top" wrapText="1"/>
    </xf>
    <xf numFmtId="0" fontId="0" fillId="0" borderId="0" xfId="0" applyBorder="1"/>
    <xf numFmtId="0" fontId="0" fillId="0" borderId="22" xfId="0" applyFont="1" applyBorder="1" applyAlignment="1">
      <alignment horizontal="center"/>
    </xf>
    <xf numFmtId="0" fontId="4" fillId="3" borderId="29" xfId="0" applyFont="1" applyFill="1" applyBorder="1" applyAlignment="1">
      <alignment horizontal="center" vertical="top" wrapText="1"/>
    </xf>
    <xf numFmtId="0" fontId="0" fillId="0" borderId="0" xfId="0" applyAlignment="1">
      <alignment horizontal="left" vertical="top"/>
    </xf>
    <xf numFmtId="0" fontId="4" fillId="2" borderId="1" xfId="0" applyFont="1" applyFill="1" applyBorder="1" applyAlignment="1">
      <alignment horizontal="left" vertical="top"/>
    </xf>
    <xf numFmtId="0" fontId="5" fillId="2" borderId="2" xfId="0" applyFont="1" applyFill="1" applyBorder="1" applyAlignment="1">
      <alignment horizontal="left" vertical="top"/>
    </xf>
    <xf numFmtId="0" fontId="0" fillId="0" borderId="22" xfId="0" applyBorder="1" applyAlignment="1">
      <alignment horizontal="left" vertical="top"/>
    </xf>
    <xf numFmtId="0" fontId="0" fillId="0" borderId="22" xfId="0" applyBorder="1" applyAlignment="1">
      <alignment horizontal="left" vertical="top" wrapText="1"/>
    </xf>
    <xf numFmtId="0" fontId="0" fillId="0" borderId="0" xfId="0" applyAlignment="1">
      <alignment horizontal="left" vertical="top" wrapText="1"/>
    </xf>
    <xf numFmtId="0" fontId="5" fillId="2" borderId="2" xfId="0" applyFont="1" applyFill="1" applyBorder="1" applyAlignment="1">
      <alignment horizontal="left" vertical="top" wrapText="1"/>
    </xf>
    <xf numFmtId="0" fontId="5" fillId="2" borderId="3" xfId="0" applyFont="1" applyFill="1" applyBorder="1" applyAlignment="1">
      <alignment horizontal="left" vertical="top" wrapText="1"/>
    </xf>
    <xf numFmtId="0" fontId="3" fillId="3" borderId="2" xfId="0" applyFont="1" applyFill="1" applyBorder="1" applyAlignment="1">
      <alignment horizontal="left" vertical="top" wrapText="1"/>
    </xf>
    <xf numFmtId="0" fontId="4" fillId="3" borderId="4" xfId="0" applyFont="1" applyFill="1" applyBorder="1" applyAlignment="1">
      <alignment horizontal="left" vertical="top" wrapText="1"/>
    </xf>
    <xf numFmtId="0" fontId="2" fillId="4" borderId="2" xfId="0" applyFont="1" applyFill="1" applyBorder="1" applyAlignment="1">
      <alignment horizontal="left" vertical="top" wrapText="1"/>
    </xf>
    <xf numFmtId="0" fontId="12" fillId="0" borderId="22" xfId="0" applyFont="1" applyBorder="1" applyAlignment="1">
      <alignment horizontal="left" vertical="top" wrapText="1"/>
    </xf>
    <xf numFmtId="0" fontId="12" fillId="13" borderId="22" xfId="0" applyFont="1" applyFill="1" applyBorder="1" applyAlignment="1">
      <alignment horizontal="center" vertical="center"/>
    </xf>
    <xf numFmtId="0" fontId="12" fillId="13" borderId="22" xfId="0" applyFont="1" applyFill="1" applyBorder="1" applyAlignment="1">
      <alignment horizontal="center" vertical="center"/>
    </xf>
    <xf numFmtId="0" fontId="12" fillId="0" borderId="22" xfId="0" applyFont="1" applyBorder="1" applyAlignment="1">
      <alignment horizontal="left" vertical="top" indent="1"/>
    </xf>
    <xf numFmtId="0" fontId="15" fillId="0" borderId="22" xfId="0" applyFont="1" applyBorder="1" applyAlignment="1">
      <alignment horizontal="center" vertical="top"/>
    </xf>
    <xf numFmtId="0" fontId="15" fillId="0" borderId="22" xfId="0" applyFont="1" applyBorder="1" applyAlignment="1">
      <alignment horizontal="left" vertical="top"/>
    </xf>
    <xf numFmtId="0" fontId="4" fillId="3" borderId="22" xfId="0" applyFont="1" applyFill="1" applyBorder="1" applyAlignment="1">
      <alignment horizontal="center" vertical="top" wrapText="1"/>
    </xf>
    <xf numFmtId="0" fontId="6" fillId="0" borderId="0" xfId="0" applyFont="1" applyBorder="1"/>
    <xf numFmtId="0" fontId="6" fillId="0" borderId="22" xfId="0" applyFont="1" applyBorder="1" applyAlignment="1">
      <alignment horizontal="center"/>
    </xf>
    <xf numFmtId="0" fontId="6" fillId="0" borderId="22" xfId="0" applyFont="1" applyBorder="1"/>
    <xf numFmtId="0" fontId="17" fillId="0" borderId="22" xfId="0" applyFont="1" applyBorder="1"/>
    <xf numFmtId="0" fontId="0" fillId="0" borderId="0" xfId="0" applyAlignment="1">
      <alignment horizontal="left"/>
    </xf>
    <xf numFmtId="0" fontId="9" fillId="5" borderId="22" xfId="0" applyFont="1" applyFill="1" applyBorder="1" applyAlignment="1">
      <alignment horizontal="left" vertical="center" wrapText="1"/>
    </xf>
    <xf numFmtId="0" fontId="9" fillId="5" borderId="22" xfId="0" applyFont="1" applyFill="1" applyBorder="1" applyAlignment="1">
      <alignment horizontal="left" vertical="top" wrapText="1"/>
    </xf>
    <xf numFmtId="0" fontId="9" fillId="7" borderId="22" xfId="0" applyFont="1" applyFill="1" applyBorder="1" applyAlignment="1">
      <alignment horizontal="left" vertical="center" wrapText="1"/>
    </xf>
    <xf numFmtId="0" fontId="12" fillId="0" borderId="22" xfId="0" applyFont="1" applyBorder="1" applyAlignment="1">
      <alignment horizontal="center"/>
    </xf>
    <xf numFmtId="0" fontId="4" fillId="3" borderId="24" xfId="0" applyFont="1" applyFill="1" applyBorder="1" applyAlignment="1">
      <alignment horizontal="center" vertical="top" wrapText="1"/>
    </xf>
    <xf numFmtId="0" fontId="12" fillId="0" borderId="0" xfId="0" applyFont="1" applyBorder="1"/>
    <xf numFmtId="0" fontId="12" fillId="0" borderId="0" xfId="0" applyFont="1" applyBorder="1" applyAlignment="1">
      <alignment horizontal="center" vertical="center" wrapText="1"/>
    </xf>
    <xf numFmtId="0" fontId="9" fillId="5" borderId="27" xfId="0" applyFont="1" applyFill="1" applyBorder="1" applyAlignment="1">
      <alignment horizontal="center" vertical="center" wrapText="1"/>
    </xf>
    <xf numFmtId="0" fontId="9" fillId="5" borderId="27" xfId="0" applyFont="1" applyFill="1" applyBorder="1" applyAlignment="1">
      <alignment vertical="top" wrapText="1"/>
    </xf>
    <xf numFmtId="0" fontId="9" fillId="5" borderId="28" xfId="0" applyFont="1" applyFill="1" applyBorder="1" applyAlignment="1">
      <alignment horizontal="center" vertical="center" wrapText="1"/>
    </xf>
    <xf numFmtId="0" fontId="9" fillId="5" borderId="28" xfId="0" applyFont="1" applyFill="1" applyBorder="1" applyAlignment="1">
      <alignment vertical="top" wrapText="1"/>
    </xf>
    <xf numFmtId="0" fontId="17" fillId="0" borderId="22" xfId="0" applyFont="1" applyBorder="1" applyAlignment="1">
      <alignment horizontal="center"/>
    </xf>
    <xf numFmtId="0" fontId="12" fillId="0" borderId="0" xfId="0" applyFont="1" applyBorder="1" applyAlignment="1">
      <alignment horizontal="center"/>
    </xf>
    <xf numFmtId="0" fontId="12" fillId="0" borderId="22" xfId="0" applyFont="1" applyBorder="1" applyAlignment="1">
      <alignment horizontal="center"/>
    </xf>
    <xf numFmtId="0" fontId="12" fillId="0" borderId="0" xfId="0" applyFont="1" applyBorder="1" applyAlignment="1">
      <alignment horizontal="center" vertical="center"/>
    </xf>
    <xf numFmtId="0" fontId="12" fillId="0" borderId="0" xfId="0" applyFont="1" applyBorder="1" applyAlignment="1">
      <alignment vertical="center"/>
    </xf>
    <xf numFmtId="0" fontId="6" fillId="0" borderId="0" xfId="0" applyFont="1" applyAlignment="1">
      <alignment horizontal="center"/>
    </xf>
    <xf numFmtId="0" fontId="19" fillId="15" borderId="35" xfId="0" applyFont="1" applyFill="1" applyBorder="1" applyAlignment="1">
      <alignment horizontal="center" vertical="center" wrapText="1" readingOrder="1"/>
    </xf>
    <xf numFmtId="0" fontId="19" fillId="15" borderId="36" xfId="0" applyFont="1" applyFill="1" applyBorder="1" applyAlignment="1">
      <alignment horizontal="center" vertical="center" wrapText="1" readingOrder="1"/>
    </xf>
    <xf numFmtId="0" fontId="19" fillId="15" borderId="37" xfId="0" applyFont="1" applyFill="1" applyBorder="1" applyAlignment="1">
      <alignment horizontal="center" vertical="center" wrapText="1" readingOrder="1"/>
    </xf>
    <xf numFmtId="0" fontId="19" fillId="15" borderId="38" xfId="0" applyFont="1" applyFill="1" applyBorder="1" applyAlignment="1">
      <alignment horizontal="center" vertical="center" wrapText="1" readingOrder="1"/>
    </xf>
    <xf numFmtId="0" fontId="9" fillId="0" borderId="40" xfId="0" applyFont="1" applyBorder="1" applyAlignment="1">
      <alignment horizontal="center" vertical="center" wrapText="1" readingOrder="1"/>
    </xf>
    <xf numFmtId="0" fontId="9" fillId="0" borderId="41" xfId="0" applyFont="1" applyBorder="1" applyAlignment="1">
      <alignment horizontal="center" vertical="center" wrapText="1" readingOrder="1"/>
    </xf>
    <xf numFmtId="0" fontId="9" fillId="18" borderId="39" xfId="0" applyFont="1" applyFill="1" applyBorder="1" applyAlignment="1">
      <alignment horizontal="left" vertical="center" wrapText="1" indent="1" readingOrder="1"/>
    </xf>
    <xf numFmtId="0" fontId="9" fillId="0" borderId="39" xfId="0" applyFont="1" applyBorder="1" applyAlignment="1">
      <alignment horizontal="center" vertical="center" wrapText="1" readingOrder="1"/>
    </xf>
    <xf numFmtId="0" fontId="9" fillId="17" borderId="39" xfId="0" applyFont="1" applyFill="1" applyBorder="1" applyAlignment="1">
      <alignment horizontal="center" vertical="center" wrapText="1" readingOrder="1"/>
    </xf>
    <xf numFmtId="0" fontId="9" fillId="16" borderId="39" xfId="0" applyFont="1" applyFill="1" applyBorder="1" applyAlignment="1">
      <alignment horizontal="left" vertical="center" wrapText="1" indent="1" readingOrder="1"/>
    </xf>
    <xf numFmtId="0" fontId="9" fillId="19" borderId="39" xfId="0" applyFont="1" applyFill="1" applyBorder="1" applyAlignment="1">
      <alignment horizontal="center" vertical="center" wrapText="1" readingOrder="1"/>
    </xf>
    <xf numFmtId="0" fontId="9" fillId="20" borderId="39" xfId="0" applyFont="1" applyFill="1" applyBorder="1" applyAlignment="1">
      <alignment horizontal="left" vertical="center" wrapText="1" indent="1" readingOrder="1"/>
    </xf>
    <xf numFmtId="0" fontId="9" fillId="21" borderId="39" xfId="0" applyFont="1" applyFill="1" applyBorder="1" applyAlignment="1">
      <alignment horizontal="center" vertical="center" wrapText="1" readingOrder="1"/>
    </xf>
    <xf numFmtId="0" fontId="20" fillId="16" borderId="39" xfId="0" applyFont="1" applyFill="1" applyBorder="1" applyAlignment="1">
      <alignment horizontal="left" vertical="center" wrapText="1" indent="1" readingOrder="1"/>
    </xf>
    <xf numFmtId="0" fontId="20" fillId="0" borderId="39" xfId="0" applyFont="1" applyBorder="1" applyAlignment="1">
      <alignment horizontal="center" vertical="center" wrapText="1" readingOrder="1"/>
    </xf>
    <xf numFmtId="0" fontId="9" fillId="0" borderId="39" xfId="0" applyFont="1" applyBorder="1" applyAlignment="1">
      <alignment horizontal="left" vertical="center" wrapText="1" indent="1" readingOrder="1"/>
    </xf>
    <xf numFmtId="0" fontId="9" fillId="14" borderId="39" xfId="0" applyFont="1" applyFill="1" applyBorder="1" applyAlignment="1">
      <alignment horizontal="center" vertical="center" wrapText="1" readingOrder="1"/>
    </xf>
    <xf numFmtId="0" fontId="20" fillId="14" borderId="39" xfId="0" applyFont="1" applyFill="1" applyBorder="1" applyAlignment="1">
      <alignment horizontal="center" vertical="center" wrapText="1" readingOrder="1"/>
    </xf>
    <xf numFmtId="0" fontId="20" fillId="22" borderId="39" xfId="0" applyFont="1" applyFill="1" applyBorder="1" applyAlignment="1">
      <alignment horizontal="left" vertical="center" wrapText="1" indent="1" readingOrder="1"/>
    </xf>
    <xf numFmtId="0" fontId="20" fillId="0" borderId="39" xfId="0" applyFont="1" applyBorder="1" applyAlignment="1">
      <alignment horizontal="left" vertical="center" wrapText="1" indent="1" readingOrder="1"/>
    </xf>
    <xf numFmtId="0" fontId="21" fillId="0" borderId="39" xfId="0" applyFont="1" applyBorder="1" applyAlignment="1">
      <alignment horizontal="center" vertical="center" wrapText="1" readingOrder="1"/>
    </xf>
    <xf numFmtId="0" fontId="9" fillId="0" borderId="40" xfId="0" applyFont="1" applyBorder="1" applyAlignment="1">
      <alignment horizontal="center" vertical="center" wrapText="1" readingOrder="1"/>
    </xf>
    <xf numFmtId="0" fontId="9" fillId="0" borderId="40" xfId="0" applyFont="1" applyBorder="1" applyAlignment="1">
      <alignment horizontal="left" vertical="center" wrapText="1" readingOrder="1"/>
    </xf>
    <xf numFmtId="0" fontId="9" fillId="0" borderId="39" xfId="0" applyFont="1" applyBorder="1" applyAlignment="1">
      <alignment horizontal="left" vertical="center" wrapText="1" readingOrder="1"/>
    </xf>
    <xf numFmtId="0" fontId="20" fillId="0" borderId="40" xfId="0" applyFont="1" applyBorder="1" applyAlignment="1">
      <alignment horizontal="left" vertical="center" wrapText="1" readingOrder="1"/>
    </xf>
    <xf numFmtId="0" fontId="9" fillId="0" borderId="43" xfId="0" applyFont="1" applyBorder="1" applyAlignment="1">
      <alignment horizontal="center" vertical="center" wrapText="1" readingOrder="1"/>
    </xf>
    <xf numFmtId="0" fontId="19" fillId="15" borderId="44" xfId="0" applyFont="1" applyFill="1" applyBorder="1" applyAlignment="1">
      <alignment horizontal="center" vertical="center" wrapText="1" readingOrder="1"/>
    </xf>
    <xf numFmtId="0" fontId="19" fillId="15" borderId="45" xfId="0" applyFont="1" applyFill="1" applyBorder="1" applyAlignment="1">
      <alignment horizontal="center" vertical="center" wrapText="1" readingOrder="1"/>
    </xf>
    <xf numFmtId="0" fontId="9" fillId="0" borderId="43" xfId="0" applyFont="1" applyBorder="1" applyAlignment="1">
      <alignment horizontal="left" vertical="center" wrapText="1" readingOrder="1"/>
    </xf>
    <xf numFmtId="0" fontId="19" fillId="15" borderId="45" xfId="0" applyFont="1" applyFill="1" applyBorder="1" applyAlignment="1">
      <alignment vertical="center" wrapText="1" readingOrder="1"/>
    </xf>
    <xf numFmtId="0" fontId="9" fillId="0" borderId="0" xfId="0" applyFont="1" applyFill="1" applyBorder="1" applyAlignment="1">
      <alignment horizontal="left" vertical="center" wrapText="1" readingOrder="1"/>
    </xf>
    <xf numFmtId="0" fontId="9" fillId="0" borderId="46" xfId="0" applyFont="1" applyBorder="1" applyAlignment="1">
      <alignment horizontal="center" vertical="center" wrapText="1" readingOrder="1"/>
    </xf>
    <xf numFmtId="0" fontId="9" fillId="0" borderId="47" xfId="0" applyFont="1" applyBorder="1" applyAlignment="1">
      <alignment horizontal="center" vertical="center" wrapText="1" readingOrder="1"/>
    </xf>
    <xf numFmtId="49" fontId="9" fillId="0" borderId="42" xfId="0" applyNumberFormat="1" applyFont="1" applyBorder="1" applyAlignment="1">
      <alignment horizontal="center" vertical="center" wrapText="1" readingOrder="1"/>
    </xf>
    <xf numFmtId="0" fontId="1" fillId="23" borderId="26" xfId="0" applyFont="1" applyFill="1" applyBorder="1" applyAlignment="1">
      <alignment horizontal="left" vertical="top"/>
    </xf>
    <xf numFmtId="0" fontId="7" fillId="23" borderId="26" xfId="0" applyFont="1" applyFill="1" applyBorder="1" applyAlignment="1">
      <alignment horizontal="left" vertical="top"/>
    </xf>
    <xf numFmtId="0" fontId="7" fillId="23" borderId="26" xfId="0" applyFont="1" applyFill="1" applyBorder="1"/>
    <xf numFmtId="0" fontId="7" fillId="23" borderId="26" xfId="0" applyFont="1" applyFill="1" applyBorder="1" applyAlignment="1">
      <alignment horizontal="left" vertical="top" wrapText="1"/>
    </xf>
    <xf numFmtId="0" fontId="12" fillId="0" borderId="22" xfId="0" applyFont="1" applyBorder="1" applyAlignment="1">
      <alignment horizontal="center"/>
    </xf>
    <xf numFmtId="0" fontId="12" fillId="13" borderId="22" xfId="0" applyFont="1" applyFill="1" applyBorder="1" applyAlignment="1">
      <alignment horizontal="center" vertical="center"/>
    </xf>
    <xf numFmtId="0" fontId="1" fillId="0" borderId="0" xfId="0" applyFont="1" applyAlignment="1">
      <alignment horizontal="center"/>
    </xf>
    <xf numFmtId="0" fontId="0" fillId="0" borderId="22" xfId="0" applyFont="1" applyBorder="1" applyAlignment="1">
      <alignment horizontal="left" wrapText="1"/>
    </xf>
    <xf numFmtId="0" fontId="0" fillId="0" borderId="22" xfId="0" applyBorder="1" applyAlignment="1">
      <alignment horizontal="left" wrapText="1"/>
    </xf>
    <xf numFmtId="0" fontId="11" fillId="0" borderId="0" xfId="0" applyFont="1" applyAlignment="1">
      <alignment horizontal="center"/>
    </xf>
    <xf numFmtId="0" fontId="11" fillId="0" borderId="0" xfId="0" applyFont="1" applyBorder="1"/>
    <xf numFmtId="0" fontId="11" fillId="0" borderId="22" xfId="0" applyFont="1" applyBorder="1" applyAlignment="1">
      <alignment horizontal="center"/>
    </xf>
    <xf numFmtId="0" fontId="12" fillId="0" borderId="22" xfId="0" applyFont="1" applyBorder="1" applyAlignment="1">
      <alignment vertical="top"/>
    </xf>
    <xf numFmtId="0" fontId="0" fillId="0" borderId="22" xfId="0" applyBorder="1" applyAlignment="1">
      <alignment horizontal="center" vertical="top"/>
    </xf>
    <xf numFmtId="0" fontId="12" fillId="0" borderId="22" xfId="0" applyFont="1" applyBorder="1" applyAlignment="1">
      <alignment horizontal="center" vertical="top"/>
    </xf>
    <xf numFmtId="9" fontId="12" fillId="0" borderId="22" xfId="1" applyFont="1" applyBorder="1" applyAlignment="1">
      <alignment horizontal="center" vertical="top"/>
    </xf>
    <xf numFmtId="0" fontId="0" fillId="0" borderId="30" xfId="0" applyBorder="1" applyAlignment="1">
      <alignment horizontal="center" vertical="top"/>
    </xf>
    <xf numFmtId="0" fontId="0" fillId="0" borderId="23" xfId="0" applyBorder="1" applyAlignment="1">
      <alignment horizontal="center" vertical="top"/>
    </xf>
    <xf numFmtId="0" fontId="9" fillId="5" borderId="10" xfId="0" applyFont="1" applyFill="1" applyBorder="1" applyAlignment="1">
      <alignment horizontal="left" vertical="top" wrapText="1"/>
    </xf>
    <xf numFmtId="0" fontId="9" fillId="5" borderId="11" xfId="0" applyFont="1" applyFill="1" applyBorder="1" applyAlignment="1">
      <alignment horizontal="left" vertical="top" wrapText="1"/>
    </xf>
    <xf numFmtId="0" fontId="9" fillId="5" borderId="9" xfId="0" applyFont="1" applyFill="1" applyBorder="1" applyAlignment="1">
      <alignment vertical="top" wrapText="1"/>
    </xf>
    <xf numFmtId="0" fontId="9" fillId="5" borderId="11" xfId="0" applyFont="1" applyFill="1" applyBorder="1" applyAlignment="1">
      <alignment vertical="top" wrapText="1"/>
    </xf>
    <xf numFmtId="0" fontId="9" fillId="5" borderId="9" xfId="0" applyFont="1" applyFill="1" applyBorder="1" applyAlignment="1">
      <alignment horizontal="left" vertical="top" wrapText="1"/>
    </xf>
    <xf numFmtId="0" fontId="10" fillId="5" borderId="10" xfId="0" applyFont="1" applyFill="1" applyBorder="1" applyAlignment="1">
      <alignment horizontal="left" vertical="top" wrapText="1"/>
    </xf>
    <xf numFmtId="0" fontId="10" fillId="5" borderId="11" xfId="0" applyFont="1" applyFill="1" applyBorder="1" applyAlignment="1">
      <alignment horizontal="left" vertical="top" wrapText="1"/>
    </xf>
    <xf numFmtId="0" fontId="12" fillId="0" borderId="30" xfId="0" applyFont="1" applyBorder="1" applyAlignment="1">
      <alignment horizontal="center"/>
    </xf>
    <xf numFmtId="0" fontId="12" fillId="0" borderId="31" xfId="0" applyFont="1" applyBorder="1" applyAlignment="1">
      <alignment horizontal="center"/>
    </xf>
    <xf numFmtId="0" fontId="12" fillId="0" borderId="32" xfId="0" applyFont="1" applyBorder="1" applyAlignment="1">
      <alignment horizontal="center"/>
    </xf>
    <xf numFmtId="0" fontId="12" fillId="13" borderId="27" xfId="0" applyFont="1" applyFill="1" applyBorder="1" applyAlignment="1">
      <alignment horizontal="center" vertical="center"/>
    </xf>
    <xf numFmtId="0" fontId="12" fillId="13" borderId="28" xfId="0" applyFont="1" applyFill="1" applyBorder="1" applyAlignment="1">
      <alignment horizontal="center" vertical="center"/>
    </xf>
    <xf numFmtId="0" fontId="12" fillId="12" borderId="23" xfId="0" applyFont="1" applyFill="1" applyBorder="1" applyAlignment="1">
      <alignment horizontal="left" vertical="center"/>
    </xf>
    <xf numFmtId="0" fontId="12" fillId="12" borderId="25" xfId="0" applyFont="1" applyFill="1" applyBorder="1" applyAlignment="1">
      <alignment horizontal="left" vertical="center"/>
    </xf>
    <xf numFmtId="0" fontId="12" fillId="12" borderId="24" xfId="0" applyFont="1" applyFill="1" applyBorder="1" applyAlignment="1">
      <alignment horizontal="left" vertical="center"/>
    </xf>
    <xf numFmtId="0" fontId="12" fillId="0" borderId="0" xfId="0" applyFont="1" applyBorder="1" applyAlignment="1">
      <alignment horizontal="center" vertical="center"/>
    </xf>
    <xf numFmtId="0" fontId="12" fillId="0" borderId="27" xfId="0" applyFont="1" applyBorder="1" applyAlignment="1">
      <alignment horizontal="center" vertical="center"/>
    </xf>
    <xf numFmtId="0" fontId="12" fillId="0" borderId="26" xfId="0" applyFont="1" applyBorder="1" applyAlignment="1">
      <alignment horizontal="center" vertical="center"/>
    </xf>
    <xf numFmtId="0" fontId="12" fillId="0" borderId="28" xfId="0" applyFont="1" applyBorder="1" applyAlignment="1">
      <alignment horizontal="center" vertical="center"/>
    </xf>
    <xf numFmtId="0" fontId="12" fillId="12" borderId="27" xfId="0" applyFont="1" applyFill="1" applyBorder="1" applyAlignment="1">
      <alignment horizontal="center" vertical="center"/>
    </xf>
    <xf numFmtId="0" fontId="12" fillId="12" borderId="26" xfId="0" applyFont="1" applyFill="1" applyBorder="1" applyAlignment="1">
      <alignment horizontal="center" vertical="center"/>
    </xf>
    <xf numFmtId="0" fontId="12" fillId="12" borderId="28" xfId="0" applyFont="1" applyFill="1" applyBorder="1" applyAlignment="1">
      <alignment horizontal="center" vertical="center"/>
    </xf>
    <xf numFmtId="0" fontId="12" fillId="13" borderId="22" xfId="0" applyFont="1" applyFill="1" applyBorder="1" applyAlignment="1">
      <alignment horizontal="center" vertical="center"/>
    </xf>
    <xf numFmtId="0" fontId="4" fillId="3" borderId="23" xfId="0" applyFont="1" applyFill="1" applyBorder="1" applyAlignment="1">
      <alignment horizontal="center" vertical="top" wrapText="1"/>
    </xf>
    <xf numFmtId="0" fontId="4" fillId="3" borderId="25" xfId="0" applyFont="1" applyFill="1" applyBorder="1" applyAlignment="1">
      <alignment horizontal="center" vertical="top" wrapText="1"/>
    </xf>
    <xf numFmtId="0" fontId="4" fillId="3" borderId="24" xfId="0" applyFont="1" applyFill="1" applyBorder="1" applyAlignment="1">
      <alignment horizontal="center" vertical="top" wrapText="1"/>
    </xf>
    <xf numFmtId="0" fontId="12" fillId="0" borderId="22" xfId="0" applyFont="1" applyBorder="1" applyAlignment="1">
      <alignment horizontal="center" vertical="center"/>
    </xf>
    <xf numFmtId="0" fontId="11" fillId="0" borderId="0" xfId="0" applyFont="1" applyBorder="1" applyAlignment="1">
      <alignment horizontal="left"/>
    </xf>
    <xf numFmtId="0" fontId="17" fillId="0" borderId="22" xfId="0" applyFont="1" applyBorder="1" applyAlignment="1">
      <alignment horizontal="left"/>
    </xf>
    <xf numFmtId="0" fontId="0" fillId="0" borderId="22" xfId="0" applyBorder="1" applyAlignment="1">
      <alignment horizontal="left"/>
    </xf>
    <xf numFmtId="0" fontId="4" fillId="3" borderId="22" xfId="0" applyFont="1" applyFill="1" applyBorder="1" applyAlignment="1">
      <alignment horizontal="center" vertical="top" wrapText="1"/>
    </xf>
    <xf numFmtId="0" fontId="11" fillId="0" borderId="22" xfId="0" applyFont="1" applyBorder="1" applyAlignment="1">
      <alignment horizontal="left"/>
    </xf>
    <xf numFmtId="0" fontId="13" fillId="10" borderId="23" xfId="0" applyFont="1" applyFill="1" applyBorder="1" applyAlignment="1">
      <alignment horizontal="center" vertical="center"/>
    </xf>
    <xf numFmtId="0" fontId="13" fillId="10" borderId="24" xfId="0" applyFont="1" applyFill="1" applyBorder="1" applyAlignment="1">
      <alignment horizontal="center" vertical="center"/>
    </xf>
    <xf numFmtId="0" fontId="13" fillId="10" borderId="23" xfId="0" applyFont="1" applyFill="1"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14" fillId="0" borderId="22" xfId="0" applyFont="1" applyBorder="1" applyAlignment="1">
      <alignment horizontal="center" vertical="center"/>
    </xf>
    <xf numFmtId="0" fontId="9" fillId="16" borderId="40" xfId="0" applyFont="1" applyFill="1" applyBorder="1" applyAlignment="1">
      <alignment horizontal="left" vertical="center" wrapText="1" indent="1" readingOrder="1"/>
    </xf>
    <xf numFmtId="0" fontId="9" fillId="16" borderId="41" xfId="0" applyFont="1" applyFill="1" applyBorder="1" applyAlignment="1">
      <alignment horizontal="left" vertical="center" wrapText="1" indent="1" readingOrder="1"/>
    </xf>
    <xf numFmtId="0" fontId="9" fillId="0" borderId="40" xfId="0" applyFont="1" applyBorder="1" applyAlignment="1">
      <alignment horizontal="center" vertical="center" wrapText="1" readingOrder="1"/>
    </xf>
    <xf numFmtId="0" fontId="9" fillId="0" borderId="41" xfId="0" applyFont="1" applyBorder="1" applyAlignment="1">
      <alignment horizontal="center" vertical="center" wrapText="1" readingOrder="1"/>
    </xf>
    <xf numFmtId="0" fontId="9" fillId="17" borderId="40" xfId="0" applyFont="1" applyFill="1" applyBorder="1" applyAlignment="1">
      <alignment horizontal="center" vertical="center" wrapText="1" readingOrder="1"/>
    </xf>
    <xf numFmtId="0" fontId="9" fillId="17" borderId="41" xfId="0" applyFont="1" applyFill="1" applyBorder="1" applyAlignment="1">
      <alignment horizontal="center" vertical="center" wrapText="1" readingOrder="1"/>
    </xf>
    <xf numFmtId="0" fontId="19" fillId="15" borderId="33" xfId="0" applyFont="1" applyFill="1" applyBorder="1" applyAlignment="1">
      <alignment horizontal="center" vertical="center" wrapText="1" readingOrder="1"/>
    </xf>
    <xf numFmtId="0" fontId="19" fillId="15" borderId="34" xfId="0" applyFont="1" applyFill="1" applyBorder="1" applyAlignment="1">
      <alignment horizontal="center" vertical="center" wrapText="1" readingOrder="1"/>
    </xf>
  </cellXfs>
  <cellStyles count="2">
    <cellStyle name="Normal" xfId="0" builtinId="0"/>
    <cellStyle name="Percent" xfId="1" builtinId="5"/>
  </cellStyles>
  <dxfs count="27">
    <dxf>
      <fill>
        <patternFill>
          <bgColor theme="4"/>
        </patternFill>
      </fill>
    </dxf>
    <dxf>
      <fill>
        <patternFill>
          <bgColor theme="4"/>
        </patternFill>
      </fill>
    </dxf>
    <dxf>
      <fill>
        <patternFill>
          <bgColor theme="9" tint="-0.24994659260841701"/>
        </patternFill>
      </fill>
    </dxf>
    <dxf>
      <fill>
        <patternFill>
          <bgColor rgb="FFFF0000"/>
        </patternFill>
      </fill>
    </dxf>
    <dxf>
      <fill>
        <patternFill>
          <bgColor theme="9" tint="-0.24994659260841701"/>
        </patternFill>
      </fill>
    </dxf>
    <dxf>
      <fill>
        <patternFill>
          <bgColor rgb="FFFF0000"/>
        </patternFill>
      </fill>
    </dxf>
    <dxf>
      <fill>
        <patternFill>
          <bgColor theme="9" tint="-0.24994659260841701"/>
        </patternFill>
      </fill>
    </dxf>
    <dxf>
      <fill>
        <patternFill>
          <bgColor rgb="FFFF0000"/>
        </patternFill>
      </fill>
    </dxf>
    <dxf>
      <fill>
        <patternFill>
          <bgColor theme="6" tint="0.39994506668294322"/>
        </patternFill>
      </fill>
    </dxf>
    <dxf>
      <fill>
        <patternFill>
          <bgColor theme="6" tint="0.39994506668294322"/>
        </patternFill>
      </fill>
    </dxf>
    <dxf>
      <fill>
        <patternFill>
          <bgColor theme="5" tint="0.39994506668294322"/>
        </patternFill>
      </fill>
    </dxf>
    <dxf>
      <fill>
        <patternFill>
          <bgColor theme="6" tint="0.39994506668294322"/>
        </patternFill>
      </fill>
    </dxf>
    <dxf>
      <fill>
        <patternFill>
          <bgColor theme="6" tint="0.39994506668294322"/>
        </patternFill>
      </fill>
    </dxf>
    <dxf>
      <fill>
        <patternFill>
          <bgColor theme="6" tint="0.39994506668294322"/>
        </patternFill>
      </fill>
    </dxf>
    <dxf>
      <fill>
        <patternFill>
          <bgColor theme="5" tint="0.39994506668294322"/>
        </patternFill>
      </fill>
    </dxf>
    <dxf>
      <fill>
        <patternFill>
          <bgColor theme="6" tint="0.39994506668294322"/>
        </patternFill>
      </fill>
    </dxf>
    <dxf>
      <fill>
        <patternFill>
          <bgColor theme="5" tint="0.39994506668294322"/>
        </patternFill>
      </fill>
    </dxf>
    <dxf>
      <fill>
        <patternFill>
          <bgColor theme="6" tint="0.39994506668294322"/>
        </patternFill>
      </fill>
    </dxf>
    <dxf>
      <fill>
        <patternFill>
          <bgColor theme="5" tint="0.39994506668294322"/>
        </patternFill>
      </fill>
    </dxf>
    <dxf>
      <fill>
        <patternFill>
          <bgColor theme="6" tint="0.39994506668294322"/>
        </patternFill>
      </fill>
    </dxf>
    <dxf>
      <fill>
        <patternFill>
          <bgColor theme="5" tint="0.39994506668294322"/>
        </patternFill>
      </fill>
    </dxf>
    <dxf>
      <fill>
        <patternFill>
          <bgColor theme="6" tint="0.39994506668294322"/>
        </patternFill>
      </fill>
    </dxf>
    <dxf>
      <fill>
        <patternFill>
          <bgColor theme="5" tint="0.39994506668294322"/>
        </patternFill>
      </fill>
    </dxf>
    <dxf>
      <fill>
        <patternFill>
          <bgColor theme="6" tint="0.39994506668294322"/>
        </patternFill>
      </fill>
    </dxf>
    <dxf>
      <fill>
        <patternFill>
          <bgColor theme="5" tint="0.39994506668294322"/>
        </patternFill>
      </fill>
    </dxf>
    <dxf>
      <fill>
        <patternFill>
          <bgColor theme="6" tint="0.39994506668294322"/>
        </patternFill>
      </fill>
    </dxf>
    <dxf>
      <fill>
        <patternFill>
          <bgColor theme="5" tint="0.39994506668294322"/>
        </patternFill>
      </fill>
    </dxf>
  </dxfs>
  <tableStyles count="0" defaultTableStyle="TableStyleMedium2" defaultPivotStyle="PivotStyleLight16"/>
  <colors>
    <mruColors>
      <color rgb="FFFF3300"/>
      <color rgb="FFFF6600"/>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IE"/>
  <c:style val="26"/>
  <c:chart>
    <c:autoTitleDeleted val="1"/>
    <c:plotArea>
      <c:layout/>
      <c:barChart>
        <c:barDir val="col"/>
        <c:grouping val="clustered"/>
        <c:ser>
          <c:idx val="0"/>
          <c:order val="0"/>
          <c:dLbls>
            <c:dLbl>
              <c:idx val="2"/>
              <c:layout>
                <c:manualLayout>
                  <c:x val="-5.3228494793332104E-3"/>
                  <c:y val="-5.0245566692004645E-3"/>
                </c:manualLayout>
              </c:layout>
              <c:showVal val="1"/>
            </c:dLbl>
            <c:dLbl>
              <c:idx val="4"/>
              <c:layout>
                <c:manualLayout>
                  <c:x val="-7.5537059226292533E-3"/>
                  <c:y val="-1.4783333571506812E-2"/>
                </c:manualLayout>
              </c:layout>
              <c:showVal val="1"/>
            </c:dLbl>
            <c:showVal val="1"/>
          </c:dLbls>
          <c:cat>
            <c:strRef>
              <c:f>Overview!$B$8:$B$15</c:f>
              <c:strCache>
                <c:ptCount val="8"/>
                <c:pt idx="0">
                  <c:v>Actuarial</c:v>
                </c:pt>
                <c:pt idx="1">
                  <c:v>Audit</c:v>
                </c:pt>
                <c:pt idx="2">
                  <c:v>Capital</c:v>
                </c:pt>
                <c:pt idx="3">
                  <c:v>Capital (Finance)</c:v>
                </c:pt>
                <c:pt idx="4">
                  <c:v>Compliance</c:v>
                </c:pt>
                <c:pt idx="5">
                  <c:v>Investments</c:v>
                </c:pt>
                <c:pt idx="6">
                  <c:v>Reporting</c:v>
                </c:pt>
                <c:pt idx="7">
                  <c:v>Risk</c:v>
                </c:pt>
              </c:strCache>
            </c:strRef>
          </c:cat>
          <c:val>
            <c:numRef>
              <c:f>Overview!$C$8:$C$15</c:f>
              <c:numCache>
                <c:formatCode>General</c:formatCode>
                <c:ptCount val="8"/>
                <c:pt idx="0">
                  <c:v>9</c:v>
                </c:pt>
                <c:pt idx="1">
                  <c:v>1</c:v>
                </c:pt>
                <c:pt idx="2">
                  <c:v>15</c:v>
                </c:pt>
                <c:pt idx="3">
                  <c:v>8</c:v>
                </c:pt>
                <c:pt idx="4">
                  <c:v>10</c:v>
                </c:pt>
                <c:pt idx="5">
                  <c:v>2</c:v>
                </c:pt>
                <c:pt idx="6">
                  <c:v>5</c:v>
                </c:pt>
                <c:pt idx="7">
                  <c:v>2</c:v>
                </c:pt>
              </c:numCache>
            </c:numRef>
          </c:val>
        </c:ser>
        <c:gapWidth val="100"/>
        <c:axId val="144358016"/>
        <c:axId val="144356480"/>
      </c:barChart>
      <c:valAx>
        <c:axId val="144356480"/>
        <c:scaling>
          <c:orientation val="minMax"/>
        </c:scaling>
        <c:axPos val="l"/>
        <c:majorGridlines/>
        <c:numFmt formatCode="General" sourceLinked="1"/>
        <c:tickLblPos val="nextTo"/>
        <c:crossAx val="144358016"/>
        <c:crosses val="autoZero"/>
        <c:crossBetween val="between"/>
      </c:valAx>
      <c:catAx>
        <c:axId val="144358016"/>
        <c:scaling>
          <c:orientation val="minMax"/>
        </c:scaling>
        <c:axPos val="b"/>
        <c:numFmt formatCode="General" sourceLinked="1"/>
        <c:tickLblPos val="nextTo"/>
        <c:crossAx val="144356480"/>
        <c:crosses val="autoZero"/>
        <c:auto val="1"/>
        <c:lblAlgn val="ctr"/>
        <c:lblOffset val="100"/>
      </c:catAx>
    </c:plotArea>
    <c:plotVisOnly val="1"/>
  </c:chart>
  <c:printSettings>
    <c:headerFooter/>
    <c:pageMargins b="0.75000000000000611" l="0.70000000000000062" r="0.70000000000000062" t="0.7500000000000061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IE"/>
  <c:chart>
    <c:title>
      <c:tx>
        <c:rich>
          <a:bodyPr/>
          <a:lstStyle/>
          <a:p>
            <a:pPr>
              <a:defRPr/>
            </a:pPr>
            <a:r>
              <a:rPr lang="en-IE"/>
              <a:t>Operational Capabilities</a:t>
            </a:r>
          </a:p>
        </c:rich>
      </c:tx>
      <c:layout/>
    </c:title>
    <c:plotArea>
      <c:layout/>
      <c:pieChart>
        <c:varyColors val="1"/>
        <c:ser>
          <c:idx val="2"/>
          <c:order val="2"/>
          <c:dLbls>
            <c:dLbl>
              <c:idx val="3"/>
              <c:layout>
                <c:manualLayout>
                  <c:x val="-3.6813300670250931E-2"/>
                  <c:y val="-1.6163701321336803E-2"/>
                </c:manualLayout>
              </c:layout>
              <c:showVal val="1"/>
              <c:showPercent val="1"/>
            </c:dLbl>
            <c:showVal val="1"/>
            <c:showPercent val="1"/>
            <c:showLeaderLines val="1"/>
          </c:dLbls>
          <c:cat>
            <c:strRef>
              <c:f>Overview!$L$84:$O$84</c:f>
              <c:strCache>
                <c:ptCount val="4"/>
                <c:pt idx="0">
                  <c:v>Ready</c:v>
                </c:pt>
                <c:pt idx="1">
                  <c:v>Imp. Needed </c:v>
                </c:pt>
                <c:pt idx="2">
                  <c:v>Sign. Imp. Needed</c:v>
                </c:pt>
                <c:pt idx="3">
                  <c:v>Priority</c:v>
                </c:pt>
              </c:strCache>
            </c:strRef>
          </c:cat>
          <c:val>
            <c:numRef>
              <c:f>Overview!$L$85:$O$85</c:f>
              <c:numCache>
                <c:formatCode>General</c:formatCode>
                <c:ptCount val="4"/>
                <c:pt idx="0">
                  <c:v>20</c:v>
                </c:pt>
                <c:pt idx="1">
                  <c:v>27</c:v>
                </c:pt>
                <c:pt idx="2">
                  <c:v>4</c:v>
                </c:pt>
                <c:pt idx="3">
                  <c:v>1</c:v>
                </c:pt>
              </c:numCache>
            </c:numRef>
          </c:val>
        </c:ser>
        <c:ser>
          <c:idx val="3"/>
          <c:order val="3"/>
          <c:dLbls>
            <c:showVal val="1"/>
            <c:showLeaderLines val="1"/>
          </c:dLbls>
          <c:cat>
            <c:strRef>
              <c:f>Overview!$L$84:$O$84</c:f>
              <c:strCache>
                <c:ptCount val="4"/>
                <c:pt idx="0">
                  <c:v>Ready</c:v>
                </c:pt>
                <c:pt idx="1">
                  <c:v>Imp. Needed </c:v>
                </c:pt>
                <c:pt idx="2">
                  <c:v>Sign. Imp. Needed</c:v>
                </c:pt>
                <c:pt idx="3">
                  <c:v>Priority</c:v>
                </c:pt>
              </c:strCache>
            </c:strRef>
          </c:cat>
          <c:val>
            <c:numRef>
              <c:f>Overview!$L$85:$O$85</c:f>
              <c:numCache>
                <c:formatCode>General</c:formatCode>
                <c:ptCount val="4"/>
                <c:pt idx="0">
                  <c:v>20</c:v>
                </c:pt>
                <c:pt idx="1">
                  <c:v>27</c:v>
                </c:pt>
                <c:pt idx="2">
                  <c:v>4</c:v>
                </c:pt>
                <c:pt idx="3">
                  <c:v>1</c:v>
                </c:pt>
              </c:numCache>
            </c:numRef>
          </c:val>
        </c:ser>
        <c:ser>
          <c:idx val="1"/>
          <c:order val="1"/>
          <c:dLbls>
            <c:showVal val="1"/>
            <c:showLeaderLines val="1"/>
          </c:dLbls>
          <c:cat>
            <c:strRef>
              <c:f>Overview!$L$84:$O$84</c:f>
              <c:strCache>
                <c:ptCount val="4"/>
                <c:pt idx="0">
                  <c:v>Ready</c:v>
                </c:pt>
                <c:pt idx="1">
                  <c:v>Imp. Needed </c:v>
                </c:pt>
                <c:pt idx="2">
                  <c:v>Sign. Imp. Needed</c:v>
                </c:pt>
                <c:pt idx="3">
                  <c:v>Priority</c:v>
                </c:pt>
              </c:strCache>
            </c:strRef>
          </c:cat>
          <c:val>
            <c:numRef>
              <c:f>Overview!$L$85:$O$85</c:f>
              <c:numCache>
                <c:formatCode>General</c:formatCode>
                <c:ptCount val="4"/>
                <c:pt idx="0">
                  <c:v>20</c:v>
                </c:pt>
                <c:pt idx="1">
                  <c:v>27</c:v>
                </c:pt>
                <c:pt idx="2">
                  <c:v>4</c:v>
                </c:pt>
                <c:pt idx="3">
                  <c:v>1</c:v>
                </c:pt>
              </c:numCache>
            </c:numRef>
          </c:val>
        </c:ser>
        <c:ser>
          <c:idx val="0"/>
          <c:order val="0"/>
          <c:dLbls>
            <c:dLbl>
              <c:idx val="3"/>
              <c:delete val="1"/>
            </c:dLbl>
            <c:showVal val="1"/>
            <c:showPercent val="1"/>
            <c:showLeaderLines val="1"/>
          </c:dLbls>
          <c:cat>
            <c:strRef>
              <c:f>Overview!$L$84:$O$84</c:f>
              <c:strCache>
                <c:ptCount val="4"/>
                <c:pt idx="0">
                  <c:v>Ready</c:v>
                </c:pt>
                <c:pt idx="1">
                  <c:v>Imp. Needed </c:v>
                </c:pt>
                <c:pt idx="2">
                  <c:v>Sign. Imp. Needed</c:v>
                </c:pt>
                <c:pt idx="3">
                  <c:v>Priority</c:v>
                </c:pt>
              </c:strCache>
            </c:strRef>
          </c:cat>
          <c:val>
            <c:numRef>
              <c:f>Overview!$L$85:$O$85</c:f>
              <c:numCache>
                <c:formatCode>General</c:formatCode>
                <c:ptCount val="4"/>
                <c:pt idx="0">
                  <c:v>20</c:v>
                </c:pt>
                <c:pt idx="1">
                  <c:v>27</c:v>
                </c:pt>
                <c:pt idx="2">
                  <c:v>4</c:v>
                </c:pt>
                <c:pt idx="3">
                  <c:v>1</c:v>
                </c:pt>
              </c:numCache>
            </c:numRef>
          </c:val>
        </c:ser>
        <c:dLbls>
          <c:showVal val="1"/>
        </c:dLbls>
        <c:firstSliceAng val="0"/>
      </c:pieChart>
    </c:plotArea>
    <c:legend>
      <c:legendPos val="b"/>
      <c:layout/>
    </c:legend>
    <c:plotVisOnly val="1"/>
  </c:chart>
  <c:printSettings>
    <c:headerFooter/>
    <c:pageMargins b="0.75000000000000355" l="0.70000000000000062" r="0.70000000000000062" t="0.7500000000000035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IE"/>
  <c:chart>
    <c:title>
      <c:tx>
        <c:rich>
          <a:bodyPr/>
          <a:lstStyle/>
          <a:p>
            <a:pPr>
              <a:defRPr/>
            </a:pPr>
            <a:r>
              <a:rPr lang="en-IE"/>
              <a:t> Existing Evidence Meets Requirements</a:t>
            </a:r>
          </a:p>
        </c:rich>
      </c:tx>
      <c:layout/>
    </c:title>
    <c:plotArea>
      <c:layout/>
      <c:pieChart>
        <c:varyColors val="1"/>
        <c:ser>
          <c:idx val="0"/>
          <c:order val="0"/>
          <c:dLbls>
            <c:dLbl>
              <c:idx val="3"/>
              <c:layout>
                <c:manualLayout>
                  <c:x val="-4.1245699230206101E-2"/>
                  <c:y val="-9.2518338898656544E-3"/>
                </c:manualLayout>
              </c:layout>
              <c:dLblPos val="bestFit"/>
              <c:showVal val="1"/>
              <c:showPercent val="1"/>
            </c:dLbl>
            <c:dLblPos val="bestFit"/>
            <c:showVal val="1"/>
            <c:showPercent val="1"/>
            <c:showLeaderLines val="1"/>
          </c:dLbls>
          <c:cat>
            <c:strRef>
              <c:f>Overview!$E$84:$H$84</c:f>
              <c:strCache>
                <c:ptCount val="4"/>
                <c:pt idx="0">
                  <c:v>No Gap</c:v>
                </c:pt>
                <c:pt idx="1">
                  <c:v>Minor Gap</c:v>
                </c:pt>
                <c:pt idx="2">
                  <c:v>Significant Gap</c:v>
                </c:pt>
                <c:pt idx="3">
                  <c:v>Priority</c:v>
                </c:pt>
              </c:strCache>
            </c:strRef>
          </c:cat>
          <c:val>
            <c:numRef>
              <c:f>Overview!$E$85:$H$85</c:f>
              <c:numCache>
                <c:formatCode>General</c:formatCode>
                <c:ptCount val="4"/>
                <c:pt idx="0">
                  <c:v>30</c:v>
                </c:pt>
                <c:pt idx="1">
                  <c:v>13</c:v>
                </c:pt>
                <c:pt idx="2">
                  <c:v>8</c:v>
                </c:pt>
                <c:pt idx="3">
                  <c:v>1</c:v>
                </c:pt>
              </c:numCache>
            </c:numRef>
          </c:val>
        </c:ser>
        <c:dLbls>
          <c:showVal val="1"/>
        </c:dLbls>
        <c:firstSliceAng val="0"/>
      </c:pieChart>
    </c:plotArea>
    <c:legend>
      <c:legendPos val="b"/>
      <c:layout/>
    </c:legend>
    <c:plotVisOnly val="1"/>
  </c:chart>
  <c:printSettings>
    <c:headerFooter/>
    <c:pageMargins b="0.75000000000000377" l="0.70000000000000062" r="0.70000000000000062" t="0.75000000000000377"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IE"/>
  <c:style val="26"/>
  <c:chart>
    <c:autoTitleDeleted val="1"/>
    <c:plotArea>
      <c:layout/>
      <c:barChart>
        <c:barDir val="col"/>
        <c:grouping val="clustered"/>
        <c:ser>
          <c:idx val="0"/>
          <c:order val="0"/>
          <c:dLbls>
            <c:dLbl>
              <c:idx val="2"/>
              <c:layout>
                <c:manualLayout>
                  <c:x val="-5.3228494793332104E-3"/>
                  <c:y val="-5.0245566692004645E-3"/>
                </c:manualLayout>
              </c:layout>
              <c:showVal val="1"/>
            </c:dLbl>
            <c:dLbl>
              <c:idx val="4"/>
              <c:layout>
                <c:manualLayout>
                  <c:x val="-7.5537059226292533E-3"/>
                  <c:y val="-1.4783333571506812E-2"/>
                </c:manualLayout>
              </c:layout>
              <c:showVal val="1"/>
            </c:dLbl>
            <c:showVal val="1"/>
          </c:dLbls>
          <c:cat>
            <c:strRef>
              <c:f>Overview!$I$3:$I$11</c:f>
              <c:strCache>
                <c:ptCount val="9"/>
                <c:pt idx="0">
                  <c:v>Reference</c:v>
                </c:pt>
                <c:pt idx="1">
                  <c:v>Regulatory Only</c:v>
                </c:pt>
                <c:pt idx="2">
                  <c:v>Org. Structure</c:v>
                </c:pt>
                <c:pt idx="3">
                  <c:v>Reorg./wind up</c:v>
                </c:pt>
                <c:pt idx="4">
                  <c:v>Product Type</c:v>
                </c:pt>
                <c:pt idx="5">
                  <c:v>Group Only</c:v>
                </c:pt>
                <c:pt idx="6">
                  <c:v>Authorisation</c:v>
                </c:pt>
                <c:pt idx="7">
                  <c:v>IM Company</c:v>
                </c:pt>
                <c:pt idx="8">
                  <c:v>Other</c:v>
                </c:pt>
              </c:strCache>
            </c:strRef>
          </c:cat>
          <c:val>
            <c:numRef>
              <c:f>Overview!$L$3:$L$11</c:f>
              <c:numCache>
                <c:formatCode>General</c:formatCode>
                <c:ptCount val="9"/>
                <c:pt idx="0">
                  <c:v>62</c:v>
                </c:pt>
                <c:pt idx="1">
                  <c:v>43</c:v>
                </c:pt>
                <c:pt idx="2">
                  <c:v>40</c:v>
                </c:pt>
                <c:pt idx="3">
                  <c:v>32</c:v>
                </c:pt>
                <c:pt idx="4">
                  <c:v>27</c:v>
                </c:pt>
                <c:pt idx="5">
                  <c:v>19</c:v>
                </c:pt>
                <c:pt idx="6">
                  <c:v>10</c:v>
                </c:pt>
                <c:pt idx="7">
                  <c:v>10</c:v>
                </c:pt>
                <c:pt idx="8">
                  <c:v>17</c:v>
                </c:pt>
              </c:numCache>
            </c:numRef>
          </c:val>
        </c:ser>
        <c:gapWidth val="100"/>
        <c:axId val="153874432"/>
        <c:axId val="153864448"/>
      </c:barChart>
      <c:valAx>
        <c:axId val="153864448"/>
        <c:scaling>
          <c:orientation val="minMax"/>
        </c:scaling>
        <c:axPos val="l"/>
        <c:majorGridlines/>
        <c:numFmt formatCode="General" sourceLinked="1"/>
        <c:tickLblPos val="nextTo"/>
        <c:crossAx val="153874432"/>
        <c:crosses val="autoZero"/>
        <c:crossBetween val="between"/>
      </c:valAx>
      <c:catAx>
        <c:axId val="153874432"/>
        <c:scaling>
          <c:orientation val="minMax"/>
        </c:scaling>
        <c:axPos val="b"/>
        <c:numFmt formatCode="General" sourceLinked="1"/>
        <c:tickLblPos val="nextTo"/>
        <c:crossAx val="153864448"/>
        <c:crosses val="autoZero"/>
        <c:auto val="1"/>
        <c:lblAlgn val="ctr"/>
        <c:lblOffset val="100"/>
      </c:catAx>
    </c:plotArea>
    <c:plotVisOnly val="1"/>
  </c:chart>
  <c:printSettings>
    <c:headerFooter/>
    <c:pageMargins b="0.75000000000000633" l="0.70000000000000062" r="0.70000000000000062" t="0.75000000000000633"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IE"/>
  <c:style val="26"/>
  <c:chart>
    <c:title>
      <c:tx>
        <c:rich>
          <a:bodyPr/>
          <a:lstStyle/>
          <a:p>
            <a:pPr>
              <a:defRPr/>
            </a:pPr>
            <a:r>
              <a:rPr lang="en-US"/>
              <a:t>Assigned</a:t>
            </a:r>
            <a:r>
              <a:rPr lang="en-US" baseline="0"/>
              <a:t> vs Un-Assigned</a:t>
            </a:r>
            <a:endParaRPr lang="en-US"/>
          </a:p>
        </c:rich>
      </c:tx>
    </c:title>
    <c:plotArea>
      <c:layout/>
      <c:pieChart>
        <c:varyColors val="1"/>
        <c:ser>
          <c:idx val="0"/>
          <c:order val="0"/>
          <c:tx>
            <c:strRef>
              <c:f>'Dashboard 3'!$B$4</c:f>
              <c:strCache>
                <c:ptCount val="1"/>
                <c:pt idx="0">
                  <c:v>Gaps</c:v>
                </c:pt>
              </c:strCache>
            </c:strRef>
          </c:tx>
          <c:dLbls>
            <c:showVal val="1"/>
            <c:showPercent val="1"/>
            <c:showLeaderLines val="1"/>
          </c:dLbls>
          <c:cat>
            <c:strRef>
              <c:f>'Dashboard 3'!$B$5:$B$6</c:f>
              <c:strCache>
                <c:ptCount val="2"/>
                <c:pt idx="0">
                  <c:v>Applicable</c:v>
                </c:pt>
                <c:pt idx="1">
                  <c:v>Non applicable</c:v>
                </c:pt>
              </c:strCache>
            </c:strRef>
          </c:cat>
          <c:val>
            <c:numRef>
              <c:f>'Dashboard 3'!$C$5:$C$6</c:f>
              <c:numCache>
                <c:formatCode>General</c:formatCode>
                <c:ptCount val="2"/>
                <c:pt idx="0">
                  <c:v>0</c:v>
                </c:pt>
                <c:pt idx="1">
                  <c:v>0</c:v>
                </c:pt>
              </c:numCache>
            </c:numRef>
          </c:val>
        </c:ser>
        <c:dLbls>
          <c:showPercent val="1"/>
        </c:dLbls>
        <c:firstSliceAng val="0"/>
      </c:pieChart>
    </c:plotArea>
    <c:legend>
      <c:legendPos val="t"/>
    </c:legend>
    <c:plotVisOnly val="1"/>
  </c:chart>
  <c:printSettings>
    <c:headerFooter/>
    <c:pageMargins b="0.75000000000000477" l="0.70000000000000062" r="0.70000000000000062" t="0.75000000000000477"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IE"/>
  <c:style val="26"/>
  <c:chart>
    <c:title>
      <c:tx>
        <c:rich>
          <a:bodyPr/>
          <a:lstStyle/>
          <a:p>
            <a:pPr>
              <a:defRPr/>
            </a:pPr>
            <a:r>
              <a:rPr lang="en-US"/>
              <a:t>RAG Status</a:t>
            </a:r>
          </a:p>
        </c:rich>
      </c:tx>
    </c:title>
    <c:plotArea>
      <c:layout/>
      <c:pieChart>
        <c:varyColors val="1"/>
        <c:ser>
          <c:idx val="0"/>
          <c:order val="0"/>
          <c:tx>
            <c:strRef>
              <c:f>'Dashboard 3'!$K$4</c:f>
              <c:strCache>
                <c:ptCount val="1"/>
                <c:pt idx="0">
                  <c:v>Status</c:v>
                </c:pt>
              </c:strCache>
            </c:strRef>
          </c:tx>
          <c:dPt>
            <c:idx val="0"/>
            <c:spPr>
              <a:solidFill>
                <a:schemeClr val="accent2">
                  <a:lumMod val="75000"/>
                </a:schemeClr>
              </a:solidFill>
            </c:spPr>
          </c:dPt>
          <c:dPt>
            <c:idx val="1"/>
            <c:spPr>
              <a:solidFill>
                <a:schemeClr val="accent6">
                  <a:lumMod val="75000"/>
                </a:schemeClr>
              </a:solidFill>
            </c:spPr>
          </c:dPt>
          <c:dLbls>
            <c:showVal val="1"/>
            <c:showPercent val="1"/>
            <c:showLeaderLines val="1"/>
          </c:dLbls>
          <c:cat>
            <c:strRef>
              <c:f>'Dashboard 3'!$K$5:$K$8</c:f>
              <c:strCache>
                <c:ptCount val="4"/>
                <c:pt idx="0">
                  <c:v>Blue</c:v>
                </c:pt>
                <c:pt idx="1">
                  <c:v>Red</c:v>
                </c:pt>
                <c:pt idx="2">
                  <c:v>Amber</c:v>
                </c:pt>
                <c:pt idx="3">
                  <c:v>Green</c:v>
                </c:pt>
              </c:strCache>
            </c:strRef>
          </c:cat>
          <c:val>
            <c:numRef>
              <c:f>'Dashboard 3'!$L$5:$L$8</c:f>
              <c:numCache>
                <c:formatCode>General</c:formatCode>
                <c:ptCount val="4"/>
                <c:pt idx="0">
                  <c:v>0</c:v>
                </c:pt>
                <c:pt idx="1">
                  <c:v>0</c:v>
                </c:pt>
                <c:pt idx="2">
                  <c:v>0</c:v>
                </c:pt>
                <c:pt idx="3">
                  <c:v>0</c:v>
                </c:pt>
              </c:numCache>
            </c:numRef>
          </c:val>
        </c:ser>
        <c:dLbls>
          <c:showPercent val="1"/>
        </c:dLbls>
        <c:firstSliceAng val="0"/>
      </c:pieChart>
    </c:plotArea>
    <c:legend>
      <c:legendPos val="t"/>
    </c:legend>
    <c:plotVisOnly val="1"/>
  </c:chart>
  <c:printSettings>
    <c:headerFooter/>
    <c:pageMargins b="0.750000000000005" l="0.70000000000000062" r="0.70000000000000062" t="0.75000000000000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IE"/>
  <c:chart>
    <c:title>
      <c:tx>
        <c:rich>
          <a:bodyPr/>
          <a:lstStyle/>
          <a:p>
            <a:pPr>
              <a:defRPr/>
            </a:pPr>
            <a:r>
              <a:rPr lang="en-IE"/>
              <a:t>Gaps</a:t>
            </a:r>
          </a:p>
        </c:rich>
      </c:tx>
      <c:overlay val="1"/>
    </c:title>
    <c:plotArea>
      <c:layout>
        <c:manualLayout>
          <c:layoutTarget val="inner"/>
          <c:xMode val="edge"/>
          <c:yMode val="edge"/>
          <c:x val="4.1172015934556404E-2"/>
          <c:y val="0.19954870224555263"/>
          <c:w val="0.93989122933237923"/>
          <c:h val="0.6154989587237949"/>
        </c:manualLayout>
      </c:layout>
      <c:barChart>
        <c:barDir val="col"/>
        <c:grouping val="stacked"/>
        <c:ser>
          <c:idx val="0"/>
          <c:order val="0"/>
          <c:tx>
            <c:strRef>
              <c:f>'Dashboard 3'!$O$5</c:f>
              <c:strCache>
                <c:ptCount val="1"/>
                <c:pt idx="0">
                  <c:v>Reporting</c:v>
                </c:pt>
              </c:strCache>
            </c:strRef>
          </c:tx>
          <c:cat>
            <c:multiLvlStrRef>
              <c:f>'Dashboard 3'!$P$4:$X$4</c:f>
            </c:multiLvlStrRef>
          </c:cat>
          <c:val>
            <c:numRef>
              <c:f>'Dashboard 3'!$P$5:$X$5</c:f>
            </c:numRef>
          </c:val>
        </c:ser>
        <c:ser>
          <c:idx val="1"/>
          <c:order val="1"/>
          <c:tx>
            <c:strRef>
              <c:f>'Dashboard 3'!$O$6</c:f>
              <c:strCache>
                <c:ptCount val="1"/>
                <c:pt idx="0">
                  <c:v>Risk</c:v>
                </c:pt>
              </c:strCache>
            </c:strRef>
          </c:tx>
          <c:cat>
            <c:multiLvlStrRef>
              <c:f>'Dashboard 3'!$P$4:$X$4</c:f>
            </c:multiLvlStrRef>
          </c:cat>
          <c:val>
            <c:numRef>
              <c:f>'Dashboard 3'!$P$6:$X$6</c:f>
            </c:numRef>
          </c:val>
        </c:ser>
        <c:ser>
          <c:idx val="2"/>
          <c:order val="2"/>
          <c:tx>
            <c:strRef>
              <c:f>'Dashboard 3'!$O$7</c:f>
              <c:strCache>
                <c:ptCount val="1"/>
                <c:pt idx="0">
                  <c:v>Audit</c:v>
                </c:pt>
              </c:strCache>
            </c:strRef>
          </c:tx>
          <c:cat>
            <c:multiLvlStrRef>
              <c:f>'Dashboard 3'!$P$4:$X$4</c:f>
            </c:multiLvlStrRef>
          </c:cat>
          <c:val>
            <c:numRef>
              <c:f>'Dashboard 3'!$P$7:$X$7</c:f>
            </c:numRef>
          </c:val>
        </c:ser>
        <c:ser>
          <c:idx val="3"/>
          <c:order val="3"/>
          <c:tx>
            <c:strRef>
              <c:f>'Dashboard 3'!$O$8</c:f>
              <c:strCache>
                <c:ptCount val="1"/>
                <c:pt idx="0">
                  <c:v>Actuarial</c:v>
                </c:pt>
              </c:strCache>
            </c:strRef>
          </c:tx>
          <c:cat>
            <c:multiLvlStrRef>
              <c:f>'Dashboard 3'!$P$4:$X$4</c:f>
            </c:multiLvlStrRef>
          </c:cat>
          <c:val>
            <c:numRef>
              <c:f>'Dashboard 3'!$P$8:$X$8</c:f>
            </c:numRef>
          </c:val>
        </c:ser>
        <c:ser>
          <c:idx val="4"/>
          <c:order val="4"/>
          <c:tx>
            <c:strRef>
              <c:f>'Dashboard 3'!$O$9</c:f>
              <c:strCache>
                <c:ptCount val="1"/>
                <c:pt idx="0">
                  <c:v>Finance</c:v>
                </c:pt>
              </c:strCache>
            </c:strRef>
          </c:tx>
          <c:cat>
            <c:multiLvlStrRef>
              <c:f>'Dashboard 3'!$P$4:$X$4</c:f>
            </c:multiLvlStrRef>
          </c:cat>
          <c:val>
            <c:numRef>
              <c:f>'Dashboard 3'!$P$9:$X$9</c:f>
            </c:numRef>
          </c:val>
        </c:ser>
        <c:ser>
          <c:idx val="5"/>
          <c:order val="5"/>
          <c:tx>
            <c:strRef>
              <c:f>'Dashboard 3'!$O$10</c:f>
              <c:strCache>
                <c:ptCount val="1"/>
                <c:pt idx="0">
                  <c:v>Strategy</c:v>
                </c:pt>
              </c:strCache>
            </c:strRef>
          </c:tx>
          <c:cat>
            <c:multiLvlStrRef>
              <c:f>'Dashboard 3'!$P$4:$X$4</c:f>
            </c:multiLvlStrRef>
          </c:cat>
          <c:val>
            <c:numRef>
              <c:f>'Dashboard 3'!$P$10:$X$10</c:f>
            </c:numRef>
          </c:val>
        </c:ser>
        <c:ser>
          <c:idx val="6"/>
          <c:order val="6"/>
          <c:tx>
            <c:strRef>
              <c:f>'Dashboard 3'!$O$11</c:f>
              <c:strCache>
                <c:ptCount val="1"/>
                <c:pt idx="0">
                  <c:v>Compliance</c:v>
                </c:pt>
              </c:strCache>
            </c:strRef>
          </c:tx>
          <c:cat>
            <c:multiLvlStrRef>
              <c:f>'Dashboard 3'!$P$4:$X$4</c:f>
            </c:multiLvlStrRef>
          </c:cat>
          <c:val>
            <c:numRef>
              <c:f>'Dashboard 3'!$P$11:$X$11</c:f>
            </c:numRef>
          </c:val>
        </c:ser>
        <c:ser>
          <c:idx val="7"/>
          <c:order val="7"/>
          <c:tx>
            <c:strRef>
              <c:f>'Dashboard 3'!$O$12</c:f>
              <c:strCache>
                <c:ptCount val="1"/>
                <c:pt idx="0">
                  <c:v>Capital</c:v>
                </c:pt>
              </c:strCache>
            </c:strRef>
          </c:tx>
          <c:cat>
            <c:multiLvlStrRef>
              <c:f>'Dashboard 3'!$P$4:$X$4</c:f>
            </c:multiLvlStrRef>
          </c:cat>
          <c:val>
            <c:numRef>
              <c:f>'Dashboard 3'!$P$12:$X$12</c:f>
            </c:numRef>
          </c:val>
        </c:ser>
        <c:ser>
          <c:idx val="8"/>
          <c:order val="8"/>
          <c:tx>
            <c:strRef>
              <c:f>'Dashboard 3'!$O$13</c:f>
              <c:strCache>
                <c:ptCount val="1"/>
                <c:pt idx="0">
                  <c:v>Investments</c:v>
                </c:pt>
              </c:strCache>
            </c:strRef>
          </c:tx>
          <c:cat>
            <c:multiLvlStrRef>
              <c:f>'Dashboard 3'!$P$4:$X$4</c:f>
            </c:multiLvlStrRef>
          </c:cat>
          <c:val>
            <c:numRef>
              <c:f>'Dashboard 3'!$P$13:$X$13</c:f>
            </c:numRef>
          </c:val>
        </c:ser>
        <c:overlap val="100"/>
        <c:axId val="154602880"/>
        <c:axId val="155116672"/>
      </c:barChart>
      <c:catAx>
        <c:axId val="154602880"/>
        <c:scaling>
          <c:orientation val="minMax"/>
        </c:scaling>
        <c:axPos val="b"/>
        <c:tickLblPos val="nextTo"/>
        <c:crossAx val="155116672"/>
        <c:crosses val="autoZero"/>
        <c:auto val="1"/>
        <c:lblAlgn val="ctr"/>
        <c:lblOffset val="100"/>
      </c:catAx>
      <c:valAx>
        <c:axId val="155116672"/>
        <c:scaling>
          <c:orientation val="minMax"/>
        </c:scaling>
        <c:axPos val="l"/>
        <c:majorGridlines/>
        <c:numFmt formatCode="General" sourceLinked="1"/>
        <c:tickLblPos val="nextTo"/>
        <c:crossAx val="154602880"/>
        <c:crosses val="autoZero"/>
        <c:crossBetween val="between"/>
      </c:valAx>
    </c:plotArea>
    <c:legend>
      <c:legendPos val="r"/>
      <c:layout>
        <c:manualLayout>
          <c:xMode val="edge"/>
          <c:yMode val="edge"/>
          <c:x val="9.0693739424703879E-2"/>
          <c:y val="1.7909252697705543E-2"/>
          <c:w val="0.85954589178890761"/>
          <c:h val="0.24465882764864758"/>
        </c:manualLayout>
      </c:layout>
    </c:legend>
    <c:plotVisOnly val="1"/>
  </c:chart>
  <c:printSettings>
    <c:headerFooter/>
    <c:pageMargins b="0.75000000000000477" l="0.70000000000000062" r="0.70000000000000062" t="0.75000000000000477"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IE"/>
  <c:chart>
    <c:title>
      <c:tx>
        <c:rich>
          <a:bodyPr/>
          <a:lstStyle/>
          <a:p>
            <a:pPr>
              <a:defRPr/>
            </a:pPr>
            <a:r>
              <a:rPr lang="en-US"/>
              <a:t>RAG Status</a:t>
            </a:r>
          </a:p>
        </c:rich>
      </c:tx>
      <c:overlay val="1"/>
    </c:title>
    <c:plotArea>
      <c:layout>
        <c:manualLayout>
          <c:layoutTarget val="inner"/>
          <c:xMode val="edge"/>
          <c:yMode val="edge"/>
          <c:x val="4.1172015934556404E-2"/>
          <c:y val="0.19954870224555263"/>
          <c:w val="0.93989122933237945"/>
          <c:h val="0.61549895872379512"/>
        </c:manualLayout>
      </c:layout>
      <c:barChart>
        <c:barDir val="col"/>
        <c:grouping val="stacked"/>
        <c:ser>
          <c:idx val="0"/>
          <c:order val="0"/>
          <c:tx>
            <c:strRef>
              <c:f>'Dashboard 3'!$Y$4</c:f>
              <c:strCache>
                <c:ptCount val="1"/>
                <c:pt idx="0">
                  <c:v>Red</c:v>
                </c:pt>
              </c:strCache>
            </c:strRef>
          </c:tx>
          <c:spPr>
            <a:solidFill>
              <a:schemeClr val="accent2">
                <a:lumMod val="75000"/>
              </a:schemeClr>
            </a:solidFill>
          </c:spPr>
          <c:cat>
            <c:multiLvlStrRef>
              <c:f>'Dashboard 3'!$O$5:$O$13</c:f>
            </c:multiLvlStrRef>
          </c:cat>
          <c:val>
            <c:numRef>
              <c:f>'Dashboard 3'!$Y$5:$Y$13</c:f>
            </c:numRef>
          </c:val>
        </c:ser>
        <c:ser>
          <c:idx val="1"/>
          <c:order val="1"/>
          <c:tx>
            <c:strRef>
              <c:f>'Dashboard 3'!$Z$4</c:f>
              <c:strCache>
                <c:ptCount val="1"/>
                <c:pt idx="0">
                  <c:v>Amber</c:v>
                </c:pt>
              </c:strCache>
            </c:strRef>
          </c:tx>
          <c:spPr>
            <a:solidFill>
              <a:schemeClr val="accent6">
                <a:lumMod val="75000"/>
              </a:schemeClr>
            </a:solidFill>
          </c:spPr>
          <c:cat>
            <c:multiLvlStrRef>
              <c:f>'Dashboard 3'!$O$5:$O$13</c:f>
            </c:multiLvlStrRef>
          </c:cat>
          <c:val>
            <c:numRef>
              <c:f>'Dashboard 3'!$Z$5:$Z$13</c:f>
            </c:numRef>
          </c:val>
        </c:ser>
        <c:ser>
          <c:idx val="2"/>
          <c:order val="2"/>
          <c:tx>
            <c:strRef>
              <c:f>'Dashboard 3'!$AA$4</c:f>
              <c:strCache>
                <c:ptCount val="1"/>
                <c:pt idx="0">
                  <c:v>Green</c:v>
                </c:pt>
              </c:strCache>
            </c:strRef>
          </c:tx>
          <c:cat>
            <c:multiLvlStrRef>
              <c:f>'Dashboard 3'!$O$5:$O$13</c:f>
            </c:multiLvlStrRef>
          </c:cat>
          <c:val>
            <c:numRef>
              <c:f>'Dashboard 3'!$AA$5:$AA$13</c:f>
            </c:numRef>
          </c:val>
        </c:ser>
        <c:overlap val="100"/>
        <c:axId val="154703744"/>
        <c:axId val="154705280"/>
      </c:barChart>
      <c:catAx>
        <c:axId val="154703744"/>
        <c:scaling>
          <c:orientation val="minMax"/>
        </c:scaling>
        <c:axPos val="b"/>
        <c:tickLblPos val="nextTo"/>
        <c:crossAx val="154705280"/>
        <c:crosses val="autoZero"/>
        <c:auto val="1"/>
        <c:lblAlgn val="ctr"/>
        <c:lblOffset val="100"/>
      </c:catAx>
      <c:valAx>
        <c:axId val="154705280"/>
        <c:scaling>
          <c:orientation val="minMax"/>
        </c:scaling>
        <c:axPos val="l"/>
        <c:majorGridlines/>
        <c:numFmt formatCode="General" sourceLinked="1"/>
        <c:tickLblPos val="nextTo"/>
        <c:crossAx val="154703744"/>
        <c:crosses val="autoZero"/>
        <c:crossBetween val="between"/>
      </c:valAx>
    </c:plotArea>
    <c:legend>
      <c:legendPos val="r"/>
      <c:layout>
        <c:manualLayout>
          <c:xMode val="edge"/>
          <c:yMode val="edge"/>
          <c:x val="0.21522842639594039"/>
          <c:y val="4.5189722781018377E-2"/>
          <c:w val="0.54480472174480732"/>
          <c:h val="0.18499139161544681"/>
        </c:manualLayout>
      </c:layout>
    </c:legend>
    <c:plotVisOnly val="1"/>
  </c:chart>
  <c:printSettings>
    <c:headerFooter/>
    <c:pageMargins b="0.750000000000005" l="0.70000000000000062" r="0.70000000000000062" t="0.75000000000000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IE"/>
  <c:chart>
    <c:title>
      <c:tx>
        <c:rich>
          <a:bodyPr/>
          <a:lstStyle/>
          <a:p>
            <a:pPr>
              <a:defRPr/>
            </a:pPr>
            <a:r>
              <a:rPr lang="en-IE"/>
              <a:t>Gaps</a:t>
            </a:r>
          </a:p>
        </c:rich>
      </c:tx>
      <c:overlay val="1"/>
    </c:title>
    <c:plotArea>
      <c:layout>
        <c:manualLayout>
          <c:layoutTarget val="inner"/>
          <c:xMode val="edge"/>
          <c:yMode val="edge"/>
          <c:x val="4.1172015934556404E-2"/>
          <c:y val="0.24004843218249158"/>
          <c:w val="0.93989122933237945"/>
          <c:h val="0.57499922767611289"/>
        </c:manualLayout>
      </c:layout>
      <c:barChart>
        <c:barDir val="col"/>
        <c:grouping val="stacked"/>
        <c:ser>
          <c:idx val="0"/>
          <c:order val="0"/>
          <c:tx>
            <c:strRef>
              <c:f>'Dashboard 3'!$P$4</c:f>
              <c:strCache>
                <c:ptCount val="1"/>
                <c:pt idx="0">
                  <c:v>L1 requirements not relevant</c:v>
                </c:pt>
              </c:strCache>
            </c:strRef>
          </c:tx>
          <c:cat>
            <c:multiLvlStrRef>
              <c:f>'Dashboard 3'!$O$5:$O$13</c:f>
            </c:multiLvlStrRef>
          </c:cat>
          <c:val>
            <c:numRef>
              <c:f>'Dashboard 3'!$P$5:$P$13</c:f>
            </c:numRef>
          </c:val>
        </c:ser>
        <c:ser>
          <c:idx val="1"/>
          <c:order val="1"/>
          <c:tx>
            <c:strRef>
              <c:f>'Dashboard 3'!$Q$4</c:f>
              <c:strCache>
                <c:ptCount val="1"/>
                <c:pt idx="0">
                  <c:v>Existing evidence of compliance</c:v>
                </c:pt>
              </c:strCache>
            </c:strRef>
          </c:tx>
          <c:cat>
            <c:multiLvlStrRef>
              <c:f>'Dashboard 3'!$O$5:$O$13</c:f>
            </c:multiLvlStrRef>
          </c:cat>
          <c:val>
            <c:numRef>
              <c:f>'Dashboard 3'!$Q$5:$Q$13</c:f>
            </c:numRef>
          </c:val>
        </c:ser>
        <c:ser>
          <c:idx val="2"/>
          <c:order val="2"/>
          <c:tx>
            <c:strRef>
              <c:f>'Dashboard 3'!$R$4</c:f>
              <c:strCache>
                <c:ptCount val="1"/>
                <c:pt idx="0">
                  <c:v>Assurance / review performed</c:v>
                </c:pt>
              </c:strCache>
            </c:strRef>
          </c:tx>
          <c:cat>
            <c:multiLvlStrRef>
              <c:f>'Dashboard 3'!$O$5:$O$13</c:f>
            </c:multiLvlStrRef>
          </c:cat>
          <c:val>
            <c:numRef>
              <c:f>'Dashboard 3'!$R$5:$R$13</c:f>
            </c:numRef>
          </c:val>
        </c:ser>
        <c:ser>
          <c:idx val="3"/>
          <c:order val="3"/>
          <c:tx>
            <c:strRef>
              <c:f>'Dashboard 3'!$S$4</c:f>
              <c:strCache>
                <c:ptCount val="1"/>
                <c:pt idx="0">
                  <c:v>Meet requirements at 01/01/2016?</c:v>
                </c:pt>
              </c:strCache>
            </c:strRef>
          </c:tx>
          <c:cat>
            <c:multiLvlStrRef>
              <c:f>'Dashboard 3'!$O$5:$O$13</c:f>
            </c:multiLvlStrRef>
          </c:cat>
          <c:val>
            <c:numRef>
              <c:f>'Dashboard 3'!$S$5:$S$13</c:f>
            </c:numRef>
          </c:val>
        </c:ser>
        <c:ser>
          <c:idx val="4"/>
          <c:order val="4"/>
          <c:tx>
            <c:strRef>
              <c:f>'Dashboard 3'!$T$4</c:f>
              <c:strCache>
                <c:ptCount val="1"/>
                <c:pt idx="0">
                  <c:v>Status of capabilities</c:v>
                </c:pt>
              </c:strCache>
            </c:strRef>
          </c:tx>
          <c:cat>
            <c:multiLvlStrRef>
              <c:f>'Dashboard 3'!$O$5:$O$13</c:f>
            </c:multiLvlStrRef>
          </c:cat>
          <c:val>
            <c:numRef>
              <c:f>'Dashboard 3'!$T$5:$T$13</c:f>
            </c:numRef>
          </c:val>
        </c:ser>
        <c:ser>
          <c:idx val="5"/>
          <c:order val="5"/>
          <c:tx>
            <c:strRef>
              <c:f>'Dashboard 3'!$U$4</c:f>
              <c:strCache>
                <c:ptCount val="1"/>
                <c:pt idx="0">
                  <c:v>Status (where there is a gap)</c:v>
                </c:pt>
              </c:strCache>
            </c:strRef>
          </c:tx>
          <c:cat>
            <c:multiLvlStrRef>
              <c:f>'Dashboard 3'!$O$5:$O$13</c:f>
            </c:multiLvlStrRef>
          </c:cat>
          <c:val>
            <c:numRef>
              <c:f>'Dashboard 3'!$U$5:$U$13</c:f>
            </c:numRef>
          </c:val>
        </c:ser>
        <c:ser>
          <c:idx val="6"/>
          <c:order val="6"/>
          <c:tx>
            <c:strRef>
              <c:f>'Dashboard 3'!$V$4</c:f>
              <c:strCache>
                <c:ptCount val="1"/>
                <c:pt idx="0">
                  <c:v>Evidence</c:v>
                </c:pt>
              </c:strCache>
            </c:strRef>
          </c:tx>
          <c:cat>
            <c:multiLvlStrRef>
              <c:f>'Dashboard 3'!$O$5:$O$13</c:f>
            </c:multiLvlStrRef>
          </c:cat>
          <c:val>
            <c:numRef>
              <c:f>'Dashboard 3'!$V$5:$V$13</c:f>
            </c:numRef>
          </c:val>
        </c:ser>
        <c:ser>
          <c:idx val="7"/>
          <c:order val="7"/>
          <c:tx>
            <c:strRef>
              <c:f>'Dashboard 3'!$W$4</c:f>
              <c:strCache>
                <c:ptCount val="1"/>
                <c:pt idx="0">
                  <c:v>Review process / controls</c:v>
                </c:pt>
              </c:strCache>
            </c:strRef>
          </c:tx>
          <c:cat>
            <c:multiLvlStrRef>
              <c:f>'Dashboard 3'!$O$5:$O$13</c:f>
            </c:multiLvlStrRef>
          </c:cat>
          <c:val>
            <c:numRef>
              <c:f>'Dashboard 3'!$W$5:$W$13</c:f>
            </c:numRef>
          </c:val>
        </c:ser>
        <c:ser>
          <c:idx val="8"/>
          <c:order val="8"/>
          <c:tx>
            <c:strRef>
              <c:f>'Dashboard 3'!$X$4</c:f>
              <c:strCache>
                <c:ptCount val="1"/>
                <c:pt idx="0">
                  <c:v>Assurance</c:v>
                </c:pt>
              </c:strCache>
            </c:strRef>
          </c:tx>
          <c:cat>
            <c:multiLvlStrRef>
              <c:f>'Dashboard 3'!$O$5:$O$13</c:f>
            </c:multiLvlStrRef>
          </c:cat>
          <c:val>
            <c:numRef>
              <c:f>'Dashboard 3'!$X$5:$X$13</c:f>
            </c:numRef>
          </c:val>
        </c:ser>
        <c:overlap val="100"/>
        <c:axId val="155276800"/>
        <c:axId val="155278336"/>
      </c:barChart>
      <c:catAx>
        <c:axId val="155276800"/>
        <c:scaling>
          <c:orientation val="minMax"/>
        </c:scaling>
        <c:axPos val="b"/>
        <c:tickLblPos val="nextTo"/>
        <c:crossAx val="155278336"/>
        <c:crosses val="autoZero"/>
        <c:auto val="1"/>
        <c:lblAlgn val="ctr"/>
        <c:lblOffset val="100"/>
      </c:catAx>
      <c:valAx>
        <c:axId val="155278336"/>
        <c:scaling>
          <c:orientation val="minMax"/>
        </c:scaling>
        <c:axPos val="l"/>
        <c:majorGridlines/>
        <c:numFmt formatCode="General" sourceLinked="1"/>
        <c:tickLblPos val="nextTo"/>
        <c:crossAx val="155276800"/>
        <c:crosses val="autoZero"/>
        <c:crossBetween val="between"/>
      </c:valAx>
    </c:plotArea>
    <c:legend>
      <c:legendPos val="r"/>
      <c:layout>
        <c:manualLayout>
          <c:xMode val="edge"/>
          <c:yMode val="edge"/>
          <c:x val="3.6795200219429759E-2"/>
          <c:y val="6.1782124937093813E-2"/>
          <c:w val="0.96021043837529563"/>
          <c:h val="0.16946380790560706"/>
        </c:manualLayout>
      </c:layout>
    </c:legend>
    <c:plotVisOnly val="1"/>
  </c:chart>
  <c:printSettings>
    <c:headerFooter/>
    <c:pageMargins b="0.750000000000005" l="0.70000000000000062" r="0.70000000000000062" t="0.75000000000000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IE"/>
  <c:chart>
    <c:title/>
    <c:plotArea>
      <c:layout>
        <c:manualLayout>
          <c:layoutTarget val="inner"/>
          <c:xMode val="edge"/>
          <c:yMode val="edge"/>
          <c:x val="8.9541827762820561E-2"/>
          <c:y val="0.24887386380662471"/>
          <c:w val="0.51325649510131233"/>
          <c:h val="0.6520043382660351"/>
        </c:manualLayout>
      </c:layout>
      <c:doughnutChart>
        <c:varyColors val="1"/>
        <c:ser>
          <c:idx val="0"/>
          <c:order val="0"/>
          <c:tx>
            <c:strRef>
              <c:f>'Dashboard 3'!$BB$5</c:f>
              <c:strCache>
                <c:ptCount val="1"/>
                <c:pt idx="0">
                  <c:v>Reporting</c:v>
                </c:pt>
              </c:strCache>
            </c:strRef>
          </c:tx>
          <c:dLbls>
            <c:dLbl>
              <c:idx val="6"/>
              <c:layout>
                <c:manualLayout>
                  <c:x val="0"/>
                  <c:y val="4.0872387680497363E-2"/>
                </c:manualLayout>
              </c:layout>
              <c:showVal val="1"/>
              <c:showCatName val="1"/>
            </c:dLbl>
            <c:dLbl>
              <c:idx val="9"/>
              <c:showCatName val="1"/>
            </c:dLbl>
            <c:showVal val="1"/>
            <c:showCatName val="1"/>
            <c:showLeaderLines val="1"/>
          </c:dLbls>
          <c:cat>
            <c:multiLvlStrRef>
              <c:f>'Dashboard 3'!$BE$5:$BE$20</c:f>
            </c:multiLvlStrRef>
          </c:cat>
          <c:val>
            <c:numRef>
              <c:f>'Dashboard 3'!$BG$5:$BG$20</c:f>
            </c:numRef>
          </c:val>
        </c:ser>
        <c:firstSliceAng val="0"/>
        <c:holeSize val="50"/>
      </c:doughnutChart>
    </c:plotArea>
    <c:plotVisOnly val="1"/>
    <c:dispBlanksAs val="zero"/>
  </c:chart>
  <c:printSettings>
    <c:headerFooter/>
    <c:pageMargins b="0.75000000000000422" l="0.70000000000000062" r="0.70000000000000062" t="0.75000000000000422"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554005</xdr:colOff>
      <xdr:row>1</xdr:row>
      <xdr:rowOff>54428</xdr:rowOff>
    </xdr:from>
    <xdr:to>
      <xdr:col>7</xdr:col>
      <xdr:colOff>485969</xdr:colOff>
      <xdr:row>15</xdr:row>
      <xdr:rowOff>126352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544284</xdr:colOff>
      <xdr:row>82</xdr:row>
      <xdr:rowOff>136077</xdr:rowOff>
    </xdr:from>
    <xdr:to>
      <xdr:col>15</xdr:col>
      <xdr:colOff>14677</xdr:colOff>
      <xdr:row>104</xdr:row>
      <xdr:rowOff>143791</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54428</xdr:colOff>
      <xdr:row>83</xdr:row>
      <xdr:rowOff>13614</xdr:rowOff>
    </xdr:from>
    <xdr:to>
      <xdr:col>8</xdr:col>
      <xdr:colOff>82713</xdr:colOff>
      <xdr:row>105</xdr:row>
      <xdr:rowOff>21328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371475</xdr:colOff>
      <xdr:row>1</xdr:row>
      <xdr:rowOff>63953</xdr:rowOff>
    </xdr:from>
    <xdr:to>
      <xdr:col>19</xdr:col>
      <xdr:colOff>151039</xdr:colOff>
      <xdr:row>15</xdr:row>
      <xdr:rowOff>135877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47625</xdr:colOff>
      <xdr:row>16</xdr:row>
      <xdr:rowOff>161925</xdr:rowOff>
    </xdr:from>
    <xdr:to>
      <xdr:col>4</xdr:col>
      <xdr:colOff>1295400</xdr:colOff>
      <xdr:row>31</xdr:row>
      <xdr:rowOff>47625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323850</xdr:colOff>
      <xdr:row>16</xdr:row>
      <xdr:rowOff>161925</xdr:rowOff>
    </xdr:from>
    <xdr:to>
      <xdr:col>10</xdr:col>
      <xdr:colOff>571500</xdr:colOff>
      <xdr:row>31</xdr:row>
      <xdr:rowOff>47625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600075</xdr:colOff>
      <xdr:row>14</xdr:row>
      <xdr:rowOff>171449</xdr:rowOff>
    </xdr:from>
    <xdr:to>
      <xdr:col>28</xdr:col>
      <xdr:colOff>190500</xdr:colOff>
      <xdr:row>34</xdr:row>
      <xdr:rowOff>85725</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19050</xdr:colOff>
      <xdr:row>35</xdr:row>
      <xdr:rowOff>95250</xdr:rowOff>
    </xdr:from>
    <xdr:to>
      <xdr:col>28</xdr:col>
      <xdr:colOff>219075</xdr:colOff>
      <xdr:row>55</xdr:row>
      <xdr:rowOff>9526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148441</xdr:colOff>
      <xdr:row>13</xdr:row>
      <xdr:rowOff>139782</xdr:rowOff>
    </xdr:from>
    <xdr:to>
      <xdr:col>50</xdr:col>
      <xdr:colOff>13606</xdr:colOff>
      <xdr:row>39</xdr:row>
      <xdr:rowOff>13607</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59</xdr:col>
      <xdr:colOff>66261</xdr:colOff>
      <xdr:row>4</xdr:row>
      <xdr:rowOff>69272</xdr:rowOff>
    </xdr:from>
    <xdr:to>
      <xdr:col>64</xdr:col>
      <xdr:colOff>281609</xdr:colOff>
      <xdr:row>19</xdr:row>
      <xdr:rowOff>8281</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49</xdr:row>
      <xdr:rowOff>0</xdr:rowOff>
    </xdr:from>
    <xdr:to>
      <xdr:col>6</xdr:col>
      <xdr:colOff>419100</xdr:colOff>
      <xdr:row>52</xdr:row>
      <xdr:rowOff>114300</xdr:rowOff>
    </xdr:to>
    <xdr:pic>
      <xdr:nvPicPr>
        <xdr:cNvPr id="5121"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609600" y="10744200"/>
          <a:ext cx="7334250" cy="685800"/>
        </a:xfrm>
        <a:prstGeom prst="rect">
          <a:avLst/>
        </a:prstGeom>
        <a:noFill/>
        <a:ln w="1">
          <a:noFill/>
          <a:miter lim="800000"/>
          <a:headEnd/>
          <a:tailEnd type="none" w="med" len="med"/>
        </a:ln>
        <a:effec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SA%20II%20Completeness%20Matrix%20v0.2%20(DA%20approved%20-%20RSAII%20NA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RSAI Ire"/>
      <sheetName val="Completion Matrix"/>
      <sheetName val="Sheet2"/>
    </sheetNames>
    <sheetDataSet>
      <sheetData sheetId="0"/>
      <sheetData sheetId="1">
        <row r="6">
          <cell r="E6"/>
          <cell r="F6" t="str">
            <v>PRE-IMPLEMENTATION "CURRENT" COMPLIANCE</v>
          </cell>
          <cell r="G6"/>
          <cell r="H6"/>
          <cell r="I6"/>
          <cell r="J6"/>
          <cell r="K6"/>
          <cell r="L6" t="str">
            <v>POST-IMPLEMENTATION "BAU" COMPLIANCE</v>
          </cell>
          <cell r="M6"/>
          <cell r="N6"/>
        </row>
        <row r="7">
          <cell r="E7" t="str">
            <v>RSA ownership - by business function</v>
          </cell>
          <cell r="F7" t="str">
            <v>L1 requirements not relevant to RSA's SII response and rationale</v>
          </cell>
          <cell r="G7" t="str">
            <v>Existing evidence of compliance</v>
          </cell>
          <cell r="H7" t="str">
            <v>Assurance / review performed</v>
          </cell>
          <cell r="I7" t="str">
            <v>Meet requirements at 01/01/2016?</v>
          </cell>
          <cell r="J7" t="str">
            <v>Status of operational capabilities</v>
          </cell>
          <cell r="K7" t="str">
            <v>Status (where there is a gap - including People, Process, IT)</v>
          </cell>
          <cell r="L7" t="str">
            <v>Evidence</v>
          </cell>
          <cell r="M7" t="str">
            <v>Review process / controls</v>
          </cell>
          <cell r="N7" t="str">
            <v>Assurance</v>
          </cell>
        </row>
        <row r="8">
          <cell r="E8" t="str">
            <v>Reporting</v>
          </cell>
          <cell r="F8"/>
          <cell r="G8" t="str">
            <v>Draft RSR information;
Draft Quarterly QRT's Dry Runs;
Draft Annual QRT's Dry Runs; &amp;
Interim Reporting submitted to CBI &amp; EIOPA.</v>
          </cell>
          <cell r="H8" t="str">
            <v>Draft RSR; &amp;
Draft RSR responsibility matrix.</v>
          </cell>
          <cell r="I8" t="str">
            <v>Significant Gap</v>
          </cell>
          <cell r="J8" t="str">
            <v>Significant Improvements Needed</v>
          </cell>
          <cell r="K8" t="str">
            <v>Draft RSR to be  populated and gaps to be confirmed;
Quarterly QRT's - drafted and dry run, process and people gaps;
Annual QRT's - drafted and dry run, process and people gaps;
IT infrastructure not yet ready; &amp;
Data requirements to be defined.</v>
          </cell>
          <cell r="L8" t="str">
            <v>RSR reporting procedure; &amp;
ORSA reporting procedure.</v>
          </cell>
          <cell r="M8" t="str">
            <v>Board;
Audit Committee;
BRC; &amp;
Controls Committee</v>
          </cell>
          <cell r="N8" t="str">
            <v>BRC Reports;
Risk &amp; Compliance Department Reviews;
GIA Reviews; &amp;
External audit for parts of it.</v>
          </cell>
        </row>
        <row r="9">
          <cell r="E9" t="str">
            <v>Compliance</v>
          </cell>
          <cell r="F9"/>
          <cell r="G9" t="str">
            <v xml:space="preserve">Third party contracts policy (TPCP)
</v>
          </cell>
          <cell r="H9" t="str">
            <v>Deloitte policy review</v>
          </cell>
          <cell r="I9" t="str">
            <v>Minor Gap</v>
          </cell>
          <cell r="J9" t="str">
            <v>Improvements Needed</v>
          </cell>
          <cell r="K9" t="str">
            <v>CGAC approach on ownership of the Third Party Contracts policy to be implemented</v>
          </cell>
          <cell r="L9" t="str">
            <v>Contracts containing appropriate SII wording</v>
          </cell>
          <cell r="M9" t="str">
            <v>CGAC review</v>
          </cell>
          <cell r="N9"/>
        </row>
        <row r="10">
          <cell r="E10" t="str">
            <v>Compliance</v>
          </cell>
          <cell r="F10"/>
          <cell r="G10" t="str">
            <v xml:space="preserve">System of Governance Document, including annex detailing the component parts of the System of Governance (Group and Entity)
SoG Approval Process
Governance Maps (UK only)
Board minutes approving the System of Governance Document
Board Risk Committee pack
Board and Board Risk Committee minutes
</v>
          </cell>
          <cell r="H10" t="str">
            <v>Deloitte policy review (covering System of Governance annex pertaining to System of Governance requirements)</v>
          </cell>
          <cell r="I10" t="str">
            <v>Minor Gap</v>
          </cell>
          <cell r="J10" t="str">
            <v>Improvements Needed</v>
          </cell>
          <cell r="K10" t="str">
            <v>System of Governance document is being presented to BRC in Sept as a final draft for Board approval in Oct. Not all components have been reviewed by Deloitte
Enhanced SoG approval process meeting SII requirements rolled out in 2016
Policies, where there are gaps, are being updated and presented to the Sept BRC
Governance mapping activity ongoing at Group throughout Q3</v>
          </cell>
          <cell r="L10" t="str">
            <v>System of Governance Document, including annex detailing the component parts of the System of Governance (Group and Entity)
Governance Maps (UK only)
Board minutes approving the System of Governance Document
Board Risk Committee pack
Board and Board Risk Committee minutes</v>
          </cell>
          <cell r="M10" t="str">
            <v>SoG Approval Process
CGAC control reporting</v>
          </cell>
          <cell r="N10"/>
        </row>
        <row r="11">
          <cell r="E11" t="str">
            <v>Compliance</v>
          </cell>
          <cell r="F11"/>
          <cell r="G11" t="str">
            <v>Fit and proper policy
Regulatory Compliance Policy</v>
          </cell>
          <cell r="H11" t="str">
            <v>Deloitte policy review</v>
          </cell>
          <cell r="I11" t="str">
            <v>No Gap</v>
          </cell>
          <cell r="J11" t="str">
            <v>Improvements Needed</v>
          </cell>
          <cell r="K11" t="str">
            <v xml:space="preserve">Fit and Proper policy to be implemented by end 2015
</v>
          </cell>
          <cell r="L11" t="str">
            <v>Fit and Proper Policy
Regulatory Compliance Policy</v>
          </cell>
          <cell r="M11" t="str">
            <v>CGAC control reporting</v>
          </cell>
          <cell r="N11" t="str">
            <v>PISA Process</v>
          </cell>
        </row>
        <row r="12">
          <cell r="E12" t="str">
            <v>Risk</v>
          </cell>
          <cell r="F12"/>
          <cell r="G12" t="str">
            <v xml:space="preserve">Reserving / insurance risk policy, Underwriting Policy, Market Risk Policy, Liquidity Risk Policy, Operational Risk Policy, Reinsurance Risk Policy, Reinsurance Credit Risk Policy
Data Policy, Standards &amp; Guidelines, DQA Report
System of Governance (non Solvency II compliant) documents at Group and within Entities
Risk management procedure document
Risk Manual
GAMC papers and minutes
ET Risk Committee, BRC papers and minutes
PISA scores
Risk Appetite Statements
Risk Profiles (including Emerging RIsks)
Risk Events (process, reporting)
Capital Model Methods used to calculate the PDF of Basic Own Funds
Structural Design of the Calculation Kernel
Model Documentation &amp; Model Change Log
IMGC ToR
Group CRO and Risk Directors TORs
Observations Log, status updates
Stress and scenario testing reports
 GAMC TOR, Investment Mandate and Limits
</v>
          </cell>
          <cell r="H12" t="str">
            <v xml:space="preserve">Deloitte policy review ?? (Concern raised)
2013 PwC review / 2012 E&amp;Y Review
PA Design Assurance - Digest 14
GIA 2nd Line PISA review
2nd Line Reporting review currently being conducted by Internal Audit
 </v>
          </cell>
          <cell r="I12" t="str">
            <v>Minor Gap</v>
          </cell>
          <cell r="J12" t="str">
            <v>Improvements Needed</v>
          </cell>
          <cell r="K12" t="str">
            <v>Awaiting refreshed / new Risk policies from Group Risk (September 2015), that has been reviewed by Deloitte, signed off by the Design Authority which ensures all gaps are closed and the policies when circulated to Regions is Solvency II compliant
Awaiting relevant artifacts (including new procedures guides) that have been reviewed by Group Risk, signed off by the Design Authority (September 2015) as Solvency II Compliant.  These include the Internal Audit Charter, Actuarial Function ToR, Risk management procedure, Internal Controls Procedure.
Gaps - no documented risk strategy, no procedure on decision making, Data Policy not referenced as a Solvency II policy and not included in the Deloitte review, Liquidity / Market risk policy does not reference, in the manner the requirements describe, derivatives, off balance sheet items (irrespective of whether the business engages in this activity)
Weaknesses - embedd stress and scenario testing in BAU, risk appetite alignment / consistency in policiees, timeline for review of policies should align with risk appetite refresh</v>
          </cell>
          <cell r="L12" t="str">
            <v xml:space="preserve">PISA risk assessment to BRC
Risk and Control reports to ET Risk Meeting
BRC reports
Integrated assurance report
Group and local business strategy and risk appetite refresh document
Investment Limits Framework (and limits) to the Board
Stress &amp; scenario testing reports
Model change log
Model validation report </v>
          </cell>
          <cell r="M12" t="str">
            <v xml:space="preserve">Risk &amp; Control reporting to ET Risk Meeting
2nd Line review / challenge of PISA risk assessment
ET review of functional risk profiles
Board and BRC review of Risk Profile &amp; Emerging Risk Profile
Regional (UK&amp;WE) Risk &amp; Control committees
 </v>
          </cell>
          <cell r="N12" t="str">
            <v xml:space="preserve">3rd Line GIA reviews
2md Line Assurance Testing
Group testing on local functions / activity (IS, Compliance, FCF, Reserving)
IM Validation </v>
          </cell>
        </row>
        <row r="13">
          <cell r="E13" t="str">
            <v>Risk</v>
          </cell>
          <cell r="F13"/>
          <cell r="G13" t="str">
            <v xml:space="preserve">ORSA policy
ORSA / FLAOR report
Board papers with ORSA flags
Board minutes where ORSA is approved
Capital report
Quarterly reserves assurance report ????
ET Risk Committee papers / minutes
BRC Committee papers / minutes
UK&amp;WE Risk Committee papers / minutew (RSAII submission)
</v>
          </cell>
          <cell r="H13" t="str">
            <v>Group internal audit review
Deloitte policy review ?? (Concerns raised)</v>
          </cell>
          <cell r="I13" t="str">
            <v>Minor Gap</v>
          </cell>
          <cell r="J13" t="str">
            <v>Improvements Needed</v>
          </cell>
          <cell r="K13" t="str">
            <v>Awaiting release of approved ORSA policy which is being finalised and approved by the Group BRC
Planning process to be amended to reflect ORSA requirements
Awaiting initiation of the 2015 FLAOR process
Internal Model to used to support calculation of the SCR</v>
          </cell>
          <cell r="L13" t="str">
            <v>ORSA report
ORSA flags
Capital report
Operating plan document
Quarterly reserves review</v>
          </cell>
          <cell r="M13" t="str">
            <v>Board review</v>
          </cell>
          <cell r="N13" t="str">
            <v>Risk assurance on capital report and operating plan</v>
          </cell>
        </row>
        <row r="14">
          <cell r="E14" t="str">
            <v>Compliance</v>
          </cell>
          <cell r="F14"/>
          <cell r="G14" t="str">
            <v xml:space="preserve">System of Governance Document, including annex detailing the component parts of the System of Governance (Group and Entity)
Internal Control Policy
Regulatory Compliance Policy
</v>
          </cell>
          <cell r="H14" t="str">
            <v>Deloitte policy review (covering System of Governance annex pertaining to System of Governance requirements)
PwC review of governance control framework (Project OPAL)</v>
          </cell>
          <cell r="I14" t="str">
            <v>Minor Gap</v>
          </cell>
          <cell r="J14" t="str">
            <v>Improvements Needed</v>
          </cell>
          <cell r="K14" t="str">
            <v>Internal Control Policy being approved by Sept BRC
Minor amendment being made to Compliance Policy - see art 41</v>
          </cell>
          <cell r="L14" t="str">
            <v>System of Governance Document, including annex detailing the component parts of the System of Governance (Group and Entity)
Internal Control Policy
Regulatory Compliance Policy</v>
          </cell>
          <cell r="M14" t="str">
            <v>SoG Approval Process
CGAC control reporting</v>
          </cell>
          <cell r="N14" t="str">
            <v>PISA Process</v>
          </cell>
        </row>
        <row r="15">
          <cell r="E15" t="str">
            <v>Audit</v>
          </cell>
          <cell r="F15"/>
          <cell r="G15" t="str">
            <v xml:space="preserve">GIA Charter
Group Audit Committee Terms of Reference (Section 10.4 ‘Internal Audit’
Ireland Audit Committee Terms of Reference (Section 10.7)
Organisation chart
All GIA staff are required to confirm their independence on an annual basis
The GIA effectiveness review performed by EY concluded that GIA was independent &amp; objective
GIA Annual Plan Process 
GIA Audit Manual
GIA Annual Plan
GIA quarterly report to the GAC
GIA quarterly report to the Irish Audit Committee 
</v>
          </cell>
          <cell r="H15" t="str">
            <v>PA design assurance - Digest section 17 IA</v>
          </cell>
          <cell r="I15" t="str">
            <v>No Gap</v>
          </cell>
          <cell r="J15" t="str">
            <v>Ready</v>
          </cell>
          <cell r="K15"/>
          <cell r="L15" t="str">
            <v>Group Audit Plan
Audit reports</v>
          </cell>
          <cell r="M15" t="str">
            <v>GAC review</v>
          </cell>
          <cell r="N15"/>
        </row>
        <row r="16">
          <cell r="E16" t="str">
            <v>Actuarial</v>
          </cell>
          <cell r="F16"/>
          <cell r="G16" t="str">
            <v>Quarterly Technical Provisions results
Annual Technical Provisions results
Standards &amp; expectations document
Basis of Preparation Document
Data Quality Assessment Report
Process for the assessment of IT systems used in the calculation of technical provisions
Ireland Reserving Policy</v>
          </cell>
          <cell r="H16" t="str">
            <v>PwC 2014Q3 technical provisions review
KPMG balance sheet review</v>
          </cell>
          <cell r="I16" t="str">
            <v>Minor Gap</v>
          </cell>
          <cell r="J16" t="str">
            <v>Improvements Needed</v>
          </cell>
          <cell r="K16" t="str">
            <v>Annual process relating to production of Actuarial Function Report
Resources to complete documenation and AF Report</v>
          </cell>
          <cell r="L16" t="str">
            <v>Ireland Actuarial Function Terms of Reference
Ireland Actuarial Function Reports
Ireland Reserving Policy
Ireland Reserving Committee minutes
Ireland Audit Committee minutes
Ireland Board minutes
Quarterly Technical Provisions results
Annual Technical Provisions results
Ireland Data Quality Assessment Report</v>
          </cell>
          <cell r="M16" t="str">
            <v>Annual approval of Actuarial Function Terms of Reference by CGAC and BRC
BAU governance processes and Control Environment</v>
          </cell>
          <cell r="N16" t="str">
            <v>BAU audit by external auditors</v>
          </cell>
        </row>
        <row r="17">
          <cell r="E17" t="str">
            <v>Compliance</v>
          </cell>
          <cell r="F17"/>
          <cell r="G17" t="str">
            <v>Third party contracts policy (TPCP)
 BAU gap analysis and remediation of external outsourcing arrangements (procurement) BAU gap analysis and remediation of external outsourcing arrangements (procurement) Outsourcing agreement templates</v>
          </cell>
          <cell r="H17" t="str">
            <v>Deloitte policy review   Confirmed as Solvency II compliant by Pinsent Mason</v>
          </cell>
          <cell r="I17" t="str">
            <v>Minor Gap</v>
          </cell>
          <cell r="J17" t="str">
            <v>Improvements Needed</v>
          </cell>
          <cell r="K17" t="str">
            <v xml:space="preserve">CGAC approach on ownership of the Third Party Contracts policy to be implemented   </v>
          </cell>
          <cell r="L17" t="str">
            <v xml:space="preserve">SMART source - O/S arrangements Internal and external outsourcing agreements Internal and external outsourcing agreements </v>
          </cell>
          <cell r="M17" t="str">
            <v xml:space="preserve">CGAC control reporting   </v>
          </cell>
          <cell r="N17" t="str">
            <v xml:space="preserve">PISA Process   </v>
          </cell>
        </row>
        <row r="18">
          <cell r="E18" t="str">
            <v>Reporting</v>
          </cell>
          <cell r="F18"/>
          <cell r="G18" t="str">
            <v>Draft SFCR information;
Draft Quarterly QRT's Dry Runs;
Draft Annual QRT's Dry Runs; &amp;
Interim Reporting submitted to CBI &amp; EIOPA.</v>
          </cell>
          <cell r="H18" t="str">
            <v>Draft SFCR; &amp;
Draft SFCR responsibility matrix.</v>
          </cell>
          <cell r="I18" t="str">
            <v>Significant Gap</v>
          </cell>
          <cell r="J18" t="str">
            <v>Significant Improvements Needed</v>
          </cell>
          <cell r="K18" t="str">
            <v>Draft SFCR structure defined and draft SFCR being prepared; &amp;
Process to produce in BaU, inc timing and systems, not finalised.</v>
          </cell>
          <cell r="L18" t="str">
            <v>SFCR reporting procedure.</v>
          </cell>
          <cell r="M18" t="str">
            <v>Board;
Audit Committee;
BRC; &amp;
Controls Committee</v>
          </cell>
          <cell r="N18" t="str">
            <v>BRC Reports;
Risk &amp; Compliance Department Reviews;
GIA Reviews; &amp;
External audit for parts of it.</v>
          </cell>
        </row>
        <row r="19">
          <cell r="E19" t="str">
            <v>Reporting</v>
          </cell>
          <cell r="F19"/>
          <cell r="G19" t="str">
            <v>N/A</v>
          </cell>
          <cell r="H19"/>
          <cell r="I19" t="str">
            <v>Significant Gap</v>
          </cell>
          <cell r="J19" t="str">
            <v>Significant Improvements Needed</v>
          </cell>
          <cell r="K19" t="str">
            <v>Condition and process for SFCR updates outside the annual process are to be defined</v>
          </cell>
          <cell r="L19" t="str">
            <v>SFCR reporting procedure.</v>
          </cell>
          <cell r="M19" t="str">
            <v>Board;
Audit Committee;
BRC; &amp;
Controls Committee</v>
          </cell>
          <cell r="N19" t="str">
            <v>BRC Reports;
Risk &amp; Compliance Department Reviews;
GIA Reviews; &amp;
External audit for parts of it.</v>
          </cell>
        </row>
        <row r="20">
          <cell r="E20" t="str">
            <v>Reporting</v>
          </cell>
          <cell r="F20"/>
          <cell r="G20" t="str">
            <v>N/A</v>
          </cell>
          <cell r="H20"/>
          <cell r="I20" t="str">
            <v>Significant Gap</v>
          </cell>
          <cell r="J20" t="str">
            <v>Significant Improvements Needed</v>
          </cell>
          <cell r="K20" t="str">
            <v>Process not defined yet, needs to be defined; &amp;
Policy to be drafted once process defined.</v>
          </cell>
          <cell r="L20" t="str">
            <v>SFCR reporting Policy</v>
          </cell>
          <cell r="M20" t="str">
            <v>Board;
Audit Committee;
BRC; &amp;
Controls Committee</v>
          </cell>
          <cell r="N20" t="str">
            <v>BRC Reports;
Risk &amp; Compliance Department Reviews;
GIA Reviews; &amp;
External audit for parts of it.</v>
          </cell>
        </row>
        <row r="21">
          <cell r="E21" t="str">
            <v>Reporting</v>
          </cell>
          <cell r="F21"/>
          <cell r="G21" t="str">
            <v>Basis of preparation document</v>
          </cell>
          <cell r="H21" t="str">
            <v>KPMG balance sheet review</v>
          </cell>
          <cell r="I21" t="str">
            <v>Minor Gap</v>
          </cell>
          <cell r="J21" t="str">
            <v>Improvements Needed</v>
          </cell>
          <cell r="K21" t="str">
            <v>Change "Basis of Preparation" document to a Policy Document.</v>
          </cell>
          <cell r="L21" t="str">
            <v>Valuation Policy</v>
          </cell>
          <cell r="M21" t="str">
            <v>Board;
CMC;
Audit Committee;
BRC;
Controls Committee; &amp;
BAU Control Environment.</v>
          </cell>
          <cell r="N21" t="str">
            <v>BRC Reports;
Risk &amp; Compliance Department Reviews;
GIA Reviews; &amp;
BAU audit by external auditors.</v>
          </cell>
        </row>
        <row r="22">
          <cell r="E22" t="str">
            <v>Actuarial</v>
          </cell>
          <cell r="F22"/>
          <cell r="G22" t="str">
            <v xml:space="preserve">Basis of Preparation Document
</v>
          </cell>
          <cell r="H22" t="str">
            <v>PwC 2014Q3 technical provisions review
KPMG balance sheet review</v>
          </cell>
          <cell r="I22" t="str">
            <v>No Gap</v>
          </cell>
          <cell r="J22" t="str">
            <v>Ready</v>
          </cell>
          <cell r="K22"/>
          <cell r="L22" t="str">
            <v xml:space="preserve">Basis of Preparation Document
</v>
          </cell>
          <cell r="M22" t="str">
            <v>BAU Control Environment</v>
          </cell>
          <cell r="N22" t="str">
            <v>BAU audit by external auditors</v>
          </cell>
        </row>
        <row r="23">
          <cell r="E23" t="str">
            <v>Actuarial</v>
          </cell>
          <cell r="F23"/>
          <cell r="G23" t="str">
            <v xml:space="preserve">Basis of Preparation Document
</v>
          </cell>
          <cell r="H23" t="str">
            <v>PwC 2014Q3 technical provisions review
KPMG balance sheet review</v>
          </cell>
          <cell r="I23" t="str">
            <v>Minor Gap</v>
          </cell>
          <cell r="J23" t="str">
            <v>Ready</v>
          </cell>
          <cell r="K23" t="str">
            <v>To consider for possible refinement:
1. Expense provisions
2. Bound but not incepted policies
3. Salvage and subrogation cash in-flows
4. SRV currency split
5. Timing of reinsurance cashflows
6. More accurate allowance for possible PPO claims</v>
          </cell>
          <cell r="L23" t="str">
            <v xml:space="preserve">Basis of Preparation Document
</v>
          </cell>
          <cell r="M23" t="str">
            <v>BAU Control Environment</v>
          </cell>
          <cell r="N23" t="str">
            <v>BAU audit by external auditors</v>
          </cell>
        </row>
        <row r="24">
          <cell r="E24" t="str">
            <v>Actuarial</v>
          </cell>
          <cell r="F24"/>
          <cell r="G24" t="str">
            <v xml:space="preserve">Basis of Preparation Document
</v>
          </cell>
          <cell r="H24" t="str">
            <v>PwC 2014Q3 technical provisions review
KPMG balance sheet review</v>
          </cell>
          <cell r="I24" t="str">
            <v>Minor Gap</v>
          </cell>
          <cell r="J24" t="str">
            <v>Ready</v>
          </cell>
          <cell r="K24" t="str">
            <v xml:space="preserve">To consider for possible refinement:
1. Expense provisions
</v>
          </cell>
          <cell r="L24" t="str">
            <v xml:space="preserve">Basis of Preparation Document
</v>
          </cell>
          <cell r="M24" t="str">
            <v>BAU Control Environment</v>
          </cell>
          <cell r="N24" t="str">
            <v>BAU audit by external auditors</v>
          </cell>
        </row>
        <row r="25">
          <cell r="E25" t="str">
            <v>Actuarial</v>
          </cell>
          <cell r="F25"/>
          <cell r="G25" t="str">
            <v xml:space="preserve">Basis of Preparation Document
</v>
          </cell>
          <cell r="H25" t="str">
            <v>PwC 2014Q3 technical provisions review
KPMG balance sheet review</v>
          </cell>
          <cell r="I25" t="str">
            <v>No Gap</v>
          </cell>
          <cell r="J25" t="str">
            <v>Ready</v>
          </cell>
          <cell r="K25"/>
          <cell r="L25" t="str">
            <v xml:space="preserve">Basis of Preparation Document
</v>
          </cell>
          <cell r="M25" t="str">
            <v>BAU Control Environment</v>
          </cell>
          <cell r="N25" t="str">
            <v>BAU audit by external auditors</v>
          </cell>
        </row>
        <row r="26">
          <cell r="E26" t="str">
            <v>Actuarial</v>
          </cell>
          <cell r="F26"/>
          <cell r="G26" t="str">
            <v xml:space="preserve">Basis of Preparation Document
</v>
          </cell>
          <cell r="H26" t="str">
            <v>PwC 2014Q3 technical provisions review
KPMG balance sheet review</v>
          </cell>
          <cell r="I26" t="str">
            <v>Minor Gap</v>
          </cell>
          <cell r="J26" t="str">
            <v>Ready</v>
          </cell>
          <cell r="K26" t="str">
            <v>To consider for possible refinement:
1. Timing of reinsurance cashflows</v>
          </cell>
          <cell r="L26" t="str">
            <v xml:space="preserve">Basis of Preparation Document
</v>
          </cell>
          <cell r="M26" t="str">
            <v>BAU Control Environment</v>
          </cell>
          <cell r="N26" t="str">
            <v>BAU audit by external auditors</v>
          </cell>
        </row>
        <row r="27">
          <cell r="E27" t="str">
            <v>Actuarial</v>
          </cell>
          <cell r="F27"/>
          <cell r="G27" t="str">
            <v>Data quality assessment tool
Data Quality Assessment Report</v>
          </cell>
          <cell r="H27"/>
          <cell r="I27" t="str">
            <v>No Gap</v>
          </cell>
          <cell r="J27" t="str">
            <v>Improvements Needed</v>
          </cell>
          <cell r="K27" t="str">
            <v>Resourcing to complete in BAU needs to be identified</v>
          </cell>
          <cell r="L27" t="str">
            <v>Data quality assessment tool
Data Quality Assessment Report</v>
          </cell>
          <cell r="M27"/>
          <cell r="N27"/>
        </row>
        <row r="28">
          <cell r="E28" t="str">
            <v>Actuarial</v>
          </cell>
          <cell r="F28"/>
          <cell r="G28" t="str">
            <v>Actual vs. Expected process
Actuarial Function Report</v>
          </cell>
          <cell r="H28"/>
          <cell r="I28" t="str">
            <v>Minor Gap</v>
          </cell>
          <cell r="J28" t="str">
            <v>Improvements Needed</v>
          </cell>
          <cell r="K28" t="str">
            <v>AvE process to be defined and implemented</v>
          </cell>
          <cell r="L28" t="str">
            <v>Actuarial Function Report</v>
          </cell>
          <cell r="M28" t="str">
            <v>BAU Control Environment</v>
          </cell>
          <cell r="N28"/>
        </row>
        <row r="29">
          <cell r="E29" t="str">
            <v>Actuarial</v>
          </cell>
          <cell r="F29"/>
          <cell r="G29" t="str">
            <v>Actuarial Function Report</v>
          </cell>
          <cell r="H29"/>
          <cell r="I29" t="str">
            <v>No Gap</v>
          </cell>
          <cell r="J29" t="str">
            <v>Ready</v>
          </cell>
          <cell r="K29"/>
          <cell r="L29" t="str">
            <v>Actuarial Function Report</v>
          </cell>
          <cell r="M29" t="str">
            <v>BAU Control Environment</v>
          </cell>
          <cell r="N29" t="str">
            <v>BAU audit by external auditors</v>
          </cell>
        </row>
        <row r="30">
          <cell r="E30" t="str">
            <v>Capital (Finance)</v>
          </cell>
          <cell r="F30"/>
          <cell r="G30" t="str">
            <v xml:space="preserve">Capital management policy
Basis of preparation document
QRTs
Capital report
</v>
          </cell>
          <cell r="H30" t="str">
            <v xml:space="preserve">
KPMG balance sheet review
</v>
          </cell>
          <cell r="I30" t="str">
            <v>No Gap</v>
          </cell>
          <cell r="J30" t="str">
            <v>Improvements Needed</v>
          </cell>
          <cell r="K30" t="str">
            <v>Process for feeding into Annual &amp; Quarterly QRT's and SFCR to be defined.</v>
          </cell>
          <cell r="L30" t="str">
            <v>QRTs
Capital report
SFCR</v>
          </cell>
          <cell r="M30" t="str">
            <v>CMC;
Audit Committee;
Board; &amp;
BRC.</v>
          </cell>
          <cell r="N30" t="str">
            <v>BAU audit by external auditors.</v>
          </cell>
        </row>
        <row r="31">
          <cell r="E31" t="str">
            <v>Capital (Finance)</v>
          </cell>
          <cell r="F31"/>
          <cell r="G31" t="str">
            <v xml:space="preserve">Capital management policy
Basis of preparation document
QRTs
Capital report
</v>
          </cell>
          <cell r="H31" t="str">
            <v xml:space="preserve">
KPMG balance sheet review
</v>
          </cell>
          <cell r="I31" t="str">
            <v>No Gap</v>
          </cell>
          <cell r="J31" t="str">
            <v>Improvements Needed</v>
          </cell>
          <cell r="K31" t="str">
            <v>Process for feeding into Annual &amp; Quarterly QRT's and SFCR to be defined.</v>
          </cell>
          <cell r="L31" t="str">
            <v>QRTs
Capital report
SFCR</v>
          </cell>
          <cell r="M31" t="str">
            <v>CMC;
Audit Committee;
Board; &amp;
BRC.</v>
          </cell>
          <cell r="N31" t="str">
            <v>BAU audit by external auditors</v>
          </cell>
        </row>
        <row r="32">
          <cell r="E32" t="str">
            <v>Capital (Finance)</v>
          </cell>
          <cell r="F32"/>
          <cell r="G32" t="str">
            <v xml:space="preserve">Capital management policy
Basis of preparation document
QRTs
Capital report
</v>
          </cell>
          <cell r="H32" t="str">
            <v xml:space="preserve">
KPMG balance sheet review
</v>
          </cell>
          <cell r="I32" t="str">
            <v>No Gap</v>
          </cell>
          <cell r="J32" t="str">
            <v>Improvements Needed</v>
          </cell>
          <cell r="K32" t="str">
            <v>Process for feeding into Annual &amp; Quarterly QRT's and SFCR to be defined.</v>
          </cell>
          <cell r="L32" t="str">
            <v>QRTs
Capital report
SFCR</v>
          </cell>
          <cell r="M32" t="str">
            <v>CMC;
Audit Committee;
Board; &amp;
BRC.</v>
          </cell>
          <cell r="N32" t="str">
            <v>BAU audit by external auditors</v>
          </cell>
        </row>
        <row r="33">
          <cell r="E33" t="str">
            <v>Capital (Finance)</v>
          </cell>
          <cell r="F33"/>
          <cell r="G33" t="str">
            <v xml:space="preserve">Capital management policy
Basis of preparation document
QRTs
Capital report
</v>
          </cell>
          <cell r="H33" t="str">
            <v xml:space="preserve">
KPMG balance sheet review
</v>
          </cell>
          <cell r="I33" t="str">
            <v>No Gap</v>
          </cell>
          <cell r="J33" t="str">
            <v>Improvements Needed</v>
          </cell>
          <cell r="K33" t="str">
            <v>Process for feeding into Annual &amp; Quarterly QRT's and SFCR to be defined.</v>
          </cell>
          <cell r="L33" t="str">
            <v>QRTs
Capital report
SFCR</v>
          </cell>
          <cell r="M33" t="str">
            <v>CMC;
Audit Committee;
Board; &amp;
BRC.</v>
          </cell>
          <cell r="N33" t="str">
            <v>BAU audit by external auditors</v>
          </cell>
        </row>
        <row r="34">
          <cell r="E34" t="str">
            <v>Capital (Finance)</v>
          </cell>
          <cell r="F34"/>
          <cell r="G34" t="str">
            <v xml:space="preserve">Capital management policy
Basis of preparation document
QRTs
Capital report
</v>
          </cell>
          <cell r="H34" t="str">
            <v xml:space="preserve">
KPMG balance sheet review
</v>
          </cell>
          <cell r="I34" t="str">
            <v>No Gap</v>
          </cell>
          <cell r="J34" t="str">
            <v>Improvements Needed</v>
          </cell>
          <cell r="K34" t="str">
            <v>Process for feeding into Annual &amp; Quarterly QRT's and SFCR to be defined.</v>
          </cell>
          <cell r="L34" t="str">
            <v>QRTs
Capital report
SFCR</v>
          </cell>
          <cell r="M34" t="str">
            <v>CMC;
Audit Committee;
Board; &amp;
BRC.</v>
          </cell>
          <cell r="N34" t="str">
            <v>BAU audit by external auditors</v>
          </cell>
        </row>
        <row r="35">
          <cell r="E35" t="str">
            <v>Capital (Finance)</v>
          </cell>
          <cell r="F35"/>
          <cell r="G35" t="str">
            <v xml:space="preserve">Capital management policy
Basis of preparation document
QRTs
Capital report
</v>
          </cell>
          <cell r="H35" t="str">
            <v xml:space="preserve">
KPMG balance sheet review
</v>
          </cell>
          <cell r="I35" t="str">
            <v>No Gap</v>
          </cell>
          <cell r="J35" t="str">
            <v>Improvements Needed</v>
          </cell>
          <cell r="K35" t="str">
            <v>Process for feeding into Annual &amp; Quarterly QRT's and SFCR to be defined.</v>
          </cell>
          <cell r="L35" t="str">
            <v>QRTs
Capital report
SFCR</v>
          </cell>
          <cell r="M35" t="str">
            <v>CMC;
Audit Committee;
Board; &amp;
BRC.</v>
          </cell>
          <cell r="N35" t="str">
            <v>BAU audit by external auditors</v>
          </cell>
        </row>
        <row r="36">
          <cell r="E36" t="str">
            <v>Capital (Finance)</v>
          </cell>
          <cell r="F36"/>
          <cell r="G36" t="str">
            <v xml:space="preserve">Capital management policy
Basis of preparation document
QRTs
Capital report
</v>
          </cell>
          <cell r="H36" t="str">
            <v xml:space="preserve">
KPMG balance sheet review
</v>
          </cell>
          <cell r="I36" t="str">
            <v>No Gap</v>
          </cell>
          <cell r="J36" t="str">
            <v>Improvements Needed</v>
          </cell>
          <cell r="K36" t="str">
            <v>Process for feeding into Annual &amp; Quarterly QRT's and SFCR to be defined.</v>
          </cell>
          <cell r="L36" t="str">
            <v>QRTs
Capital report
SFCR</v>
          </cell>
          <cell r="M36" t="str">
            <v>CMC;
Audit Committee;
Board; &amp;
BRC.</v>
          </cell>
          <cell r="N36" t="str">
            <v>BAU audit by external auditors</v>
          </cell>
        </row>
        <row r="37">
          <cell r="E37" t="str">
            <v>Capital (Finance)</v>
          </cell>
          <cell r="F37"/>
          <cell r="G37" t="str">
            <v>Capital management policy
Basis of preparation document
QRTs
Capital report
SFCR</v>
          </cell>
          <cell r="H37" t="str">
            <v xml:space="preserve">
KPMG balance sheet review
</v>
          </cell>
          <cell r="I37" t="str">
            <v>No Gap</v>
          </cell>
          <cell r="J37" t="str">
            <v>Improvements Needed</v>
          </cell>
          <cell r="K37" t="str">
            <v>Process for feeding into Annual &amp; Quarterly QRT's and SFCR to be defined.</v>
          </cell>
          <cell r="L37" t="str">
            <v>QRTs
Capital report
SFCR</v>
          </cell>
          <cell r="M37" t="str">
            <v>CMC;
Audit Committee;
Board; &amp;
BRC.</v>
          </cell>
          <cell r="N37" t="str">
            <v>BAU audit by external auditors</v>
          </cell>
        </row>
        <row r="38">
          <cell r="E38" t="str">
            <v>Capital</v>
          </cell>
          <cell r="F38"/>
          <cell r="G38"/>
          <cell r="H38"/>
          <cell r="I38" t="str">
            <v>No Gap</v>
          </cell>
          <cell r="J38" t="str">
            <v>Ready</v>
          </cell>
          <cell r="K38"/>
          <cell r="L38" t="str">
            <v>Capital report
SFCR (from 2017)
RCR (from 2017)
Process Document</v>
          </cell>
          <cell r="M38" t="str">
            <v>CMC Review</v>
          </cell>
          <cell r="N38" t="str">
            <v>Internal model validation
BAU audit of SF by external auditors</v>
          </cell>
        </row>
        <row r="39">
          <cell r="E39" t="str">
            <v>Capital</v>
          </cell>
          <cell r="F39"/>
          <cell r="G39" t="str">
            <v xml:space="preserve">SF calculations spreadsheets
Capital Model: Scope of the Internal Model
Capital Model: Structural Design of the Calculation Kernel
Capital Model: Methods used to Calculate the PDF of Basic Own Funds
</v>
          </cell>
          <cell r="H39" t="str">
            <v>PwC review of SF calcs</v>
          </cell>
          <cell r="I39" t="str">
            <v>No Gap</v>
          </cell>
          <cell r="J39" t="str">
            <v>Ready</v>
          </cell>
          <cell r="K39" t="str">
            <v xml:space="preserve">   </v>
          </cell>
          <cell r="L39" t="str">
            <v>Capital report
SFCR (from 2017)
RCR (from 2017)
Process Document</v>
          </cell>
          <cell r="M39" t="str">
            <v>CMC Review</v>
          </cell>
          <cell r="N39" t="str">
            <v>Internal model validation
BAU audit of SF by external auditors</v>
          </cell>
        </row>
        <row r="40">
          <cell r="E40" t="str">
            <v>Capital</v>
          </cell>
          <cell r="F40"/>
          <cell r="G40" t="str">
            <v>QRT for SCR
ORSA policy
Capital management policy</v>
          </cell>
          <cell r="H40"/>
          <cell r="I40" t="str">
            <v>No Gap</v>
          </cell>
          <cell r="J40" t="str">
            <v>Improvements Needed</v>
          </cell>
          <cell r="K40" t="str">
            <v>(SF) Process for quarterly and monthly calculation are not finalised</v>
          </cell>
          <cell r="L40" t="str">
            <v>QRTs
Process Document</v>
          </cell>
          <cell r="M40" t="str">
            <v>CMC Review</v>
          </cell>
          <cell r="N40"/>
        </row>
        <row r="41">
          <cell r="E41" t="str">
            <v>Capital</v>
          </cell>
          <cell r="F41"/>
          <cell r="G41" t="str">
            <v>SF calculations spreadsheets
QRT for SCR</v>
          </cell>
          <cell r="H41" t="str">
            <v>PwC review of SF calcs</v>
          </cell>
          <cell r="I41" t="str">
            <v>No Gap</v>
          </cell>
          <cell r="J41" t="str">
            <v>Ready</v>
          </cell>
          <cell r="K41"/>
          <cell r="L41" t="str">
            <v>Capital report
Process Document</v>
          </cell>
          <cell r="M41" t="str">
            <v>CMC Review</v>
          </cell>
          <cell r="N41" t="str">
            <v>BAU audit of SF by external auditors</v>
          </cell>
        </row>
        <row r="42">
          <cell r="E42" t="str">
            <v>Capital</v>
          </cell>
          <cell r="F42"/>
          <cell r="G42" t="str">
            <v>Capital management policy</v>
          </cell>
          <cell r="H42" t="str">
            <v>PwC review of SF calcs</v>
          </cell>
          <cell r="I42" t="str">
            <v>No Gap</v>
          </cell>
          <cell r="J42" t="str">
            <v>Improvements Needed</v>
          </cell>
          <cell r="K42" t="str">
            <v>SF data requirements and calculation process needs to be documented once final calculation method is decided (i.e. use Igloo SF or spreadsheets)</v>
          </cell>
          <cell r="L42"/>
          <cell r="M42"/>
          <cell r="N42"/>
        </row>
        <row r="43">
          <cell r="E43" t="str">
            <v>Capital</v>
          </cell>
          <cell r="F43"/>
          <cell r="G43" t="str">
            <v xml:space="preserve">SF calculation spreadsheets
</v>
          </cell>
          <cell r="H43" t="str">
            <v>PwC review of SF calcs</v>
          </cell>
          <cell r="I43" t="str">
            <v>Minor Gap</v>
          </cell>
          <cell r="J43" t="str">
            <v>Improvements Needed</v>
          </cell>
          <cell r="K43" t="str">
            <v>SF data requirements and calculation process needs to be documented once final calculation method is decided (i.e. use Igloo SF or spreadsheets);
More accurate allowance for PPO required.</v>
          </cell>
          <cell r="L43" t="str">
            <v>Capital Report</v>
          </cell>
          <cell r="M43"/>
          <cell r="N43"/>
        </row>
        <row r="44">
          <cell r="E44" t="str">
            <v>Capital</v>
          </cell>
          <cell r="F44"/>
          <cell r="G44"/>
          <cell r="H44"/>
          <cell r="I44" t="str">
            <v>No Gap</v>
          </cell>
          <cell r="J44" t="str">
            <v>Ready</v>
          </cell>
          <cell r="K44" t="str">
            <v>Assumed this adjustment will be calculated by GCC and provided to regions</v>
          </cell>
          <cell r="L44"/>
          <cell r="M44"/>
          <cell r="N44"/>
        </row>
        <row r="45">
          <cell r="E45" t="str">
            <v>Capital</v>
          </cell>
          <cell r="F45"/>
          <cell r="G45" t="str">
            <v xml:space="preserve">SF calculation spreadsheets
</v>
          </cell>
          <cell r="H45" t="str">
            <v>PwC review of SF calcs</v>
          </cell>
          <cell r="I45" t="str">
            <v>No Gap</v>
          </cell>
          <cell r="J45" t="str">
            <v>Ready</v>
          </cell>
          <cell r="K45"/>
          <cell r="L45" t="str">
            <v>Capital report
SFCR</v>
          </cell>
          <cell r="M45" t="str">
            <v>CMC Review</v>
          </cell>
          <cell r="N45" t="str">
            <v>Internal model validation
BAU audit of SF by external auditors</v>
          </cell>
        </row>
        <row r="46">
          <cell r="E46" t="str">
            <v>Capital</v>
          </cell>
          <cell r="F46"/>
          <cell r="G46"/>
          <cell r="H46"/>
          <cell r="I46" t="str">
            <v>No Gap</v>
          </cell>
          <cell r="J46" t="str">
            <v>Ready</v>
          </cell>
          <cell r="K46"/>
          <cell r="L46"/>
          <cell r="M46"/>
          <cell r="N46"/>
        </row>
        <row r="47">
          <cell r="E47" t="str">
            <v>Capital</v>
          </cell>
          <cell r="F47"/>
          <cell r="G47" t="str">
            <v xml:space="preserve">SF calculation spreadsheets
</v>
          </cell>
          <cell r="H47" t="str">
            <v>PwC review of SF calcs</v>
          </cell>
          <cell r="I47" t="str">
            <v>No Gap</v>
          </cell>
          <cell r="J47" t="str">
            <v>Ready</v>
          </cell>
          <cell r="K47"/>
          <cell r="L47" t="str">
            <v>Capital report
Process Document</v>
          </cell>
          <cell r="M47" t="str">
            <v>CMC Review</v>
          </cell>
          <cell r="N47" t="str">
            <v>BAU audit of SF by external auditors</v>
          </cell>
        </row>
        <row r="48">
          <cell r="E48" t="str">
            <v>Capital</v>
          </cell>
          <cell r="F48"/>
          <cell r="G48"/>
          <cell r="H48"/>
          <cell r="I48" t="str">
            <v>No Gap</v>
          </cell>
          <cell r="J48" t="str">
            <v>Ready</v>
          </cell>
          <cell r="K48"/>
          <cell r="L48"/>
          <cell r="M48"/>
          <cell r="N48"/>
        </row>
        <row r="49">
          <cell r="E49" t="str">
            <v>Capital</v>
          </cell>
          <cell r="F49"/>
          <cell r="G49" t="str">
            <v>Basis of preparation document
Capital management policy</v>
          </cell>
          <cell r="H49" t="str">
            <v xml:space="preserve">KPMG balance sheet review </v>
          </cell>
          <cell r="I49" t="str">
            <v>No Gap</v>
          </cell>
          <cell r="J49" t="str">
            <v>Ready</v>
          </cell>
          <cell r="K49" t="str">
            <v xml:space="preserve"> </v>
          </cell>
          <cell r="L49" t="str">
            <v>Basis of preparation document
Capital management policy</v>
          </cell>
          <cell r="M49" t="str">
            <v>CMC Review</v>
          </cell>
          <cell r="N49" t="str">
            <v>BAU audit of SF by external auditors</v>
          </cell>
        </row>
        <row r="50">
          <cell r="E50" t="str">
            <v>Capital</v>
          </cell>
          <cell r="F50"/>
          <cell r="G50" t="str">
            <v>Basis of preparation document
Capital management policy</v>
          </cell>
          <cell r="H50" t="str">
            <v xml:space="preserve">KPMG balance sheet review </v>
          </cell>
          <cell r="I50" t="str">
            <v>No Gap</v>
          </cell>
          <cell r="J50" t="str">
            <v>Ready</v>
          </cell>
          <cell r="K50" t="str">
            <v xml:space="preserve"> </v>
          </cell>
          <cell r="L50" t="str">
            <v>Basis of preparation document
Capital management policy</v>
          </cell>
          <cell r="M50" t="str">
            <v>CMC Review</v>
          </cell>
          <cell r="N50" t="str">
            <v>BAU audit of SF by external auditors</v>
          </cell>
        </row>
        <row r="51">
          <cell r="E51" t="str">
            <v>Investments</v>
          </cell>
          <cell r="F51"/>
          <cell r="G51" t="str">
            <v>BRC;
CMC;
Investment Limits;
Liquidity risk policy;
Credit risk policy;
Risk appetite and strategy document;
Market risk policy;
Financial control framework (Ireland investment portfolio),;
Investments Strategy document; &amp;
TOR External fund managers arrangement (AXA).</v>
          </cell>
          <cell r="H51" t="str">
            <v>Deloitte policy review.</v>
          </cell>
          <cell r="I51" t="str">
            <v>No Gap</v>
          </cell>
          <cell r="J51" t="str">
            <v>Improvements Needed</v>
          </cell>
          <cell r="K51" t="str">
            <v>Where necessary policies will be updated to close gaps identified during Deloitte's policy review and presented to the BRC for approval and implementation.</v>
          </cell>
          <cell r="L51" t="str">
            <v>BRC;
CMC;
Investment Limits;
Liquidity risk policy;
Credit risk policy;
Risk appetite and strategy document;
Market risk policy;
Financial control framework (Ireland investment portfolio);
Investments Strategy document; &amp;
TOR External fund managers arrangement (AXA).</v>
          </cell>
          <cell r="M51" t="str">
            <v>CMC;
Board;
BRC;
Audit Committee; &amp;
Controls Committee.</v>
          </cell>
          <cell r="N51" t="str">
            <v>PISA;
Control Committee Reports;
BRC Reports;
Risk Department reviews;
GIA Reviews; &amp;
BAU audit by External Auditors.</v>
          </cell>
        </row>
        <row r="52">
          <cell r="E52" t="str">
            <v>Investments</v>
          </cell>
          <cell r="F52"/>
          <cell r="G52" t="str">
            <v>Liquidity risk policy;
Credit risk policy;
Risk appetite and strategy document;
Market risk policy;
Financial control framework (Ireland investment portfolio);
Investments Strategy document; &amp;
TOR External fund managers arrangement (AXA)</v>
          </cell>
          <cell r="H52" t="str">
            <v>Deloitte policy review.</v>
          </cell>
          <cell r="I52" t="str">
            <v>No Gap</v>
          </cell>
          <cell r="J52" t="str">
            <v>Improvements Needed</v>
          </cell>
          <cell r="K52" t="str">
            <v>Where necessary policies will be updated to close gaps identified during Deloitte's policy review and presented to the BRC for approval and implementation.</v>
          </cell>
          <cell r="L52" t="str">
            <v>BRC;
CMC;
Investment Limits;
Liquidity risk policy;
Credit risk policy;
Risk appetite and strategy document;
Market risk policy;
Financial control framework (Ireland investment portfolio);
Investments Strategy document; &amp;
TOR External fund managers arrangement (AXA).</v>
          </cell>
          <cell r="M52" t="str">
            <v>CMC;
Board;
BRC;
Audit Committee; &amp;
Controls Committee.</v>
          </cell>
          <cell r="N52" t="str">
            <v>PISA;
Control Committee Reports;
BRC Reports;
Risk Department reviews;
GIA Reviews; &amp;
BAU audit by External Auditors.</v>
          </cell>
        </row>
        <row r="53">
          <cell r="E53" t="str">
            <v>Compliance</v>
          </cell>
          <cell r="F53"/>
          <cell r="G53" t="str">
            <v>Compliance Policy
Capital Management Policy</v>
          </cell>
          <cell r="H53"/>
          <cell r="I53" t="str">
            <v>Minor Gap</v>
          </cell>
          <cell r="J53" t="str">
            <v>Improvements Needed</v>
          </cell>
          <cell r="K53" t="str">
            <v xml:space="preserve">
Confirm link between Capital &amp; Compliance in Capital Mgt Policy</v>
          </cell>
          <cell r="L53"/>
          <cell r="M53"/>
          <cell r="N53"/>
        </row>
        <row r="54">
          <cell r="E54" t="str">
            <v>Capital</v>
          </cell>
          <cell r="F54"/>
          <cell r="G54"/>
          <cell r="H54"/>
          <cell r="I54" t="str">
            <v>Minor Gap</v>
          </cell>
          <cell r="J54" t="str">
            <v>Improvements Needed</v>
          </cell>
          <cell r="K54" t="str">
            <v>Assess requirement and determine if formal response required, e.g. a procedure to follow if SCR is breached</v>
          </cell>
          <cell r="L54" t="str">
            <v>Capital management policy
Capital Risk Appetite Framework</v>
          </cell>
          <cell r="M54" t="str">
            <v>CMC Review</v>
          </cell>
          <cell r="N54" t="str">
            <v>BAU audit of SF by external auditors</v>
          </cell>
        </row>
        <row r="55">
          <cell r="E55" t="str">
            <v>Capital</v>
          </cell>
          <cell r="F55"/>
          <cell r="G55"/>
          <cell r="H55"/>
          <cell r="I55" t="str">
            <v>Minor Gap</v>
          </cell>
          <cell r="J55" t="str">
            <v>Improvements Needed</v>
          </cell>
          <cell r="K55" t="str">
            <v>Assess requirement and determine if formal response required, e.g. a procedure to follow if MCR is breached</v>
          </cell>
          <cell r="L55" t="str">
            <v>Capital management policy
Capital Risk Appetite Framework</v>
          </cell>
          <cell r="M55" t="str">
            <v>CMC Review</v>
          </cell>
          <cell r="N55" t="str">
            <v>BAU audit of SF by external auditors</v>
          </cell>
        </row>
        <row r="56">
          <cell r="E56" t="str">
            <v>Compliance</v>
          </cell>
          <cell r="F56"/>
          <cell r="G56"/>
          <cell r="H56"/>
          <cell r="I56" t="str">
            <v>No Gap</v>
          </cell>
          <cell r="J56" t="str">
            <v>Ready</v>
          </cell>
          <cell r="K56" t="str">
            <v>No gap at Group as it does not issue policy documents. Gap to be determined regionally following guidance from Group Compliance</v>
          </cell>
          <cell r="L56"/>
          <cell r="M56"/>
          <cell r="N56"/>
        </row>
        <row r="57">
          <cell r="E57" t="str">
            <v>Compliance</v>
          </cell>
          <cell r="F57"/>
          <cell r="G57"/>
          <cell r="H57"/>
          <cell r="I57" t="str">
            <v>No Gap</v>
          </cell>
          <cell r="J57" t="str">
            <v>Ready</v>
          </cell>
          <cell r="K57" t="str">
            <v>No gap at Group as it does not issue policy documents. Gap to be determined regionally following guidance from Group Compliance</v>
          </cell>
          <cell r="L57"/>
          <cell r="M57"/>
          <cell r="N57"/>
        </row>
        <row r="58">
          <cell r="E58" t="str">
            <v>Compliance</v>
          </cell>
          <cell r="F58"/>
          <cell r="G58"/>
          <cell r="H58"/>
          <cell r="I58" t="str">
            <v>Minor Gap</v>
          </cell>
          <cell r="J58" t="str">
            <v>Improvements Needed</v>
          </cell>
          <cell r="K58" t="str">
            <v>Evidence to be determined</v>
          </cell>
          <cell r="L58"/>
          <cell r="M58"/>
          <cell r="N58"/>
        </row>
        <row r="59">
          <cell r="E59" t="str">
            <v>Compliance</v>
          </cell>
          <cell r="F59"/>
          <cell r="G59" t="str">
            <v>Fit and proper policy
Regulatory Compliance Policy</v>
          </cell>
          <cell r="H59" t="str">
            <v>Deloitte policy review</v>
          </cell>
          <cell r="I59" t="str">
            <v>No Gap</v>
          </cell>
          <cell r="J59" t="str">
            <v>Improvements Needed</v>
          </cell>
          <cell r="K59" t="str">
            <v xml:space="preserve">Fit and Proper policy to be implemented by end 2015
</v>
          </cell>
          <cell r="L59" t="str">
            <v>Fit and Proper Policy
Regulatory Compliance Policy</v>
          </cell>
          <cell r="M59" t="str">
            <v>CGAC control reporting</v>
          </cell>
          <cell r="N59" t="str">
            <v>PISA Process</v>
          </cell>
        </row>
        <row r="60">
          <cell r="E60"/>
          <cell r="F60"/>
          <cell r="G60"/>
          <cell r="H60"/>
          <cell r="I60"/>
          <cell r="J60"/>
          <cell r="K60"/>
          <cell r="L60"/>
          <cell r="M60"/>
          <cell r="N60"/>
        </row>
        <row r="61">
          <cell r="E61"/>
          <cell r="F61"/>
          <cell r="G61"/>
          <cell r="H61"/>
          <cell r="I61"/>
          <cell r="J61"/>
          <cell r="K61"/>
          <cell r="L61"/>
          <cell r="M61"/>
          <cell r="N61"/>
        </row>
        <row r="62">
          <cell r="E62"/>
          <cell r="F62"/>
          <cell r="G62"/>
          <cell r="H62"/>
          <cell r="I62"/>
          <cell r="J62"/>
          <cell r="K62"/>
          <cell r="L62"/>
          <cell r="M62"/>
          <cell r="N62"/>
        </row>
        <row r="63">
          <cell r="E63"/>
          <cell r="F63"/>
          <cell r="G63"/>
          <cell r="H63"/>
          <cell r="I63"/>
          <cell r="J63"/>
          <cell r="K63"/>
          <cell r="L63"/>
          <cell r="M63"/>
          <cell r="N63"/>
        </row>
        <row r="64">
          <cell r="E64"/>
          <cell r="F64"/>
          <cell r="G64"/>
          <cell r="H64"/>
          <cell r="I64"/>
          <cell r="J64"/>
          <cell r="K64"/>
          <cell r="L64"/>
          <cell r="M64"/>
          <cell r="N64"/>
        </row>
        <row r="161">
          <cell r="E161"/>
          <cell r="F161"/>
          <cell r="G161"/>
          <cell r="H161"/>
          <cell r="I161"/>
          <cell r="J161"/>
          <cell r="K161"/>
          <cell r="L161"/>
          <cell r="M161"/>
          <cell r="N161"/>
        </row>
        <row r="162">
          <cell r="E162"/>
          <cell r="F162"/>
          <cell r="G162"/>
          <cell r="H162"/>
          <cell r="I162"/>
          <cell r="J162"/>
          <cell r="K162"/>
          <cell r="L162"/>
          <cell r="M162"/>
          <cell r="N162"/>
        </row>
        <row r="163">
          <cell r="E163"/>
          <cell r="F163"/>
          <cell r="G163"/>
          <cell r="H163"/>
          <cell r="I163"/>
          <cell r="J163"/>
          <cell r="K163"/>
          <cell r="L163"/>
          <cell r="M163"/>
          <cell r="N163"/>
        </row>
        <row r="164">
          <cell r="E164"/>
          <cell r="F164"/>
          <cell r="G164"/>
          <cell r="H164"/>
          <cell r="I164"/>
          <cell r="J164"/>
          <cell r="K164"/>
          <cell r="L164"/>
          <cell r="M164"/>
          <cell r="N164"/>
        </row>
        <row r="165">
          <cell r="E165"/>
          <cell r="F165"/>
          <cell r="G165"/>
          <cell r="H165"/>
          <cell r="I165"/>
          <cell r="J165"/>
          <cell r="K165"/>
          <cell r="L165"/>
          <cell r="M165"/>
          <cell r="N165"/>
        </row>
        <row r="166">
          <cell r="E166"/>
          <cell r="F166"/>
          <cell r="G166"/>
          <cell r="H166"/>
          <cell r="I166"/>
          <cell r="J166"/>
          <cell r="K166"/>
          <cell r="L166"/>
          <cell r="M166"/>
          <cell r="N166"/>
        </row>
        <row r="167">
          <cell r="E167"/>
          <cell r="F167"/>
          <cell r="G167"/>
          <cell r="H167"/>
          <cell r="I167"/>
          <cell r="J167"/>
          <cell r="K167"/>
          <cell r="L167"/>
          <cell r="M167"/>
          <cell r="N167"/>
        </row>
        <row r="168">
          <cell r="E168"/>
          <cell r="F168"/>
          <cell r="G168"/>
          <cell r="H168"/>
          <cell r="I168"/>
          <cell r="J168"/>
          <cell r="K168"/>
          <cell r="L168"/>
          <cell r="M168"/>
          <cell r="N168"/>
        </row>
        <row r="169">
          <cell r="E169"/>
          <cell r="F169"/>
          <cell r="G169"/>
          <cell r="H169"/>
          <cell r="I169"/>
          <cell r="J169"/>
          <cell r="K169"/>
          <cell r="L169"/>
          <cell r="M169"/>
          <cell r="N169"/>
        </row>
        <row r="170">
          <cell r="E170"/>
          <cell r="F170"/>
          <cell r="G170"/>
          <cell r="H170"/>
          <cell r="I170"/>
          <cell r="J170"/>
          <cell r="K170"/>
          <cell r="L170"/>
          <cell r="M170"/>
          <cell r="N170"/>
        </row>
        <row r="171">
          <cell r="E171"/>
          <cell r="F171"/>
          <cell r="G171"/>
          <cell r="H171"/>
          <cell r="I171"/>
          <cell r="J171"/>
          <cell r="K171"/>
          <cell r="L171"/>
          <cell r="M171"/>
          <cell r="N171"/>
        </row>
        <row r="172">
          <cell r="E172"/>
          <cell r="F172"/>
          <cell r="G172"/>
          <cell r="H172"/>
          <cell r="I172"/>
          <cell r="J172"/>
          <cell r="K172"/>
          <cell r="L172"/>
          <cell r="M172"/>
          <cell r="N172"/>
        </row>
        <row r="173">
          <cell r="E173"/>
          <cell r="F173"/>
          <cell r="G173"/>
          <cell r="H173"/>
          <cell r="I173"/>
          <cell r="J173"/>
          <cell r="K173"/>
          <cell r="L173"/>
          <cell r="M173"/>
          <cell r="N173"/>
        </row>
        <row r="174">
          <cell r="E174"/>
          <cell r="F174"/>
          <cell r="G174"/>
          <cell r="H174"/>
          <cell r="I174"/>
          <cell r="J174"/>
          <cell r="K174"/>
          <cell r="L174"/>
          <cell r="M174"/>
          <cell r="N174"/>
        </row>
        <row r="175">
          <cell r="E175"/>
          <cell r="F175"/>
          <cell r="G175"/>
          <cell r="H175"/>
          <cell r="I175"/>
          <cell r="J175"/>
          <cell r="K175"/>
          <cell r="L175"/>
          <cell r="M175"/>
          <cell r="N175"/>
        </row>
        <row r="176">
          <cell r="E176"/>
          <cell r="F176"/>
          <cell r="G176"/>
          <cell r="H176"/>
          <cell r="I176"/>
          <cell r="J176"/>
          <cell r="K176"/>
          <cell r="L176"/>
          <cell r="M176"/>
          <cell r="N176"/>
        </row>
        <row r="177">
          <cell r="E177"/>
          <cell r="F177"/>
          <cell r="G177"/>
          <cell r="H177"/>
          <cell r="I177"/>
          <cell r="J177"/>
          <cell r="K177"/>
          <cell r="L177"/>
          <cell r="M177"/>
          <cell r="N177"/>
        </row>
        <row r="178">
          <cell r="E178"/>
          <cell r="F178"/>
          <cell r="G178"/>
          <cell r="H178"/>
          <cell r="I178"/>
          <cell r="J178"/>
          <cell r="K178"/>
          <cell r="L178"/>
          <cell r="M178"/>
          <cell r="N178"/>
        </row>
        <row r="179">
          <cell r="E179"/>
          <cell r="F179"/>
          <cell r="G179"/>
          <cell r="H179"/>
          <cell r="I179"/>
          <cell r="J179"/>
          <cell r="K179"/>
          <cell r="L179"/>
          <cell r="M179"/>
          <cell r="N179"/>
        </row>
        <row r="180">
          <cell r="E180"/>
          <cell r="F180"/>
          <cell r="G180"/>
          <cell r="H180"/>
          <cell r="I180"/>
          <cell r="J180"/>
          <cell r="K180"/>
          <cell r="L180"/>
          <cell r="M180"/>
          <cell r="N180"/>
        </row>
        <row r="181">
          <cell r="E181"/>
          <cell r="F181"/>
          <cell r="G181"/>
          <cell r="H181"/>
          <cell r="I181"/>
          <cell r="J181"/>
          <cell r="K181"/>
          <cell r="L181"/>
          <cell r="M181"/>
          <cell r="N181"/>
        </row>
        <row r="182">
          <cell r="E182"/>
          <cell r="F182"/>
          <cell r="G182"/>
          <cell r="H182"/>
          <cell r="I182"/>
          <cell r="J182"/>
          <cell r="K182"/>
          <cell r="L182"/>
          <cell r="M182"/>
          <cell r="N182"/>
        </row>
        <row r="183">
          <cell r="E183"/>
          <cell r="F183"/>
          <cell r="G183"/>
          <cell r="H183"/>
          <cell r="I183"/>
          <cell r="J183"/>
          <cell r="K183"/>
          <cell r="L183"/>
          <cell r="M183"/>
          <cell r="N183"/>
        </row>
        <row r="184">
          <cell r="E184"/>
          <cell r="F184"/>
          <cell r="G184"/>
          <cell r="H184"/>
          <cell r="I184"/>
          <cell r="J184"/>
          <cell r="K184"/>
          <cell r="L184"/>
          <cell r="M184"/>
          <cell r="N184"/>
        </row>
        <row r="185">
          <cell r="E185"/>
          <cell r="F185"/>
          <cell r="G185"/>
          <cell r="H185"/>
          <cell r="I185"/>
          <cell r="J185"/>
          <cell r="K185"/>
          <cell r="L185"/>
          <cell r="M185"/>
          <cell r="N185"/>
        </row>
        <row r="186">
          <cell r="E186"/>
          <cell r="F186"/>
          <cell r="G186"/>
          <cell r="H186"/>
          <cell r="I186"/>
          <cell r="J186"/>
          <cell r="K186"/>
          <cell r="L186"/>
          <cell r="M186"/>
          <cell r="N186"/>
        </row>
        <row r="187">
          <cell r="E187"/>
          <cell r="F187"/>
          <cell r="G187"/>
          <cell r="H187"/>
          <cell r="I187"/>
          <cell r="J187"/>
          <cell r="K187"/>
          <cell r="L187"/>
          <cell r="M187"/>
          <cell r="N187"/>
        </row>
        <row r="188">
          <cell r="E188"/>
          <cell r="F188"/>
          <cell r="G188"/>
          <cell r="H188"/>
          <cell r="I188"/>
          <cell r="J188"/>
          <cell r="K188"/>
          <cell r="L188"/>
          <cell r="M188"/>
          <cell r="N188"/>
        </row>
        <row r="189">
          <cell r="E189"/>
          <cell r="F189"/>
          <cell r="G189"/>
          <cell r="H189"/>
          <cell r="I189"/>
          <cell r="J189"/>
          <cell r="K189"/>
          <cell r="L189"/>
          <cell r="M189"/>
          <cell r="N189"/>
        </row>
        <row r="190">
          <cell r="E190"/>
          <cell r="F190"/>
          <cell r="G190"/>
          <cell r="H190"/>
          <cell r="I190"/>
          <cell r="J190"/>
          <cell r="K190"/>
          <cell r="L190"/>
          <cell r="M190"/>
          <cell r="N190"/>
        </row>
        <row r="191">
          <cell r="E191"/>
          <cell r="F191"/>
          <cell r="G191"/>
          <cell r="H191"/>
          <cell r="I191"/>
          <cell r="J191"/>
          <cell r="K191"/>
          <cell r="L191"/>
          <cell r="M191"/>
          <cell r="N191"/>
        </row>
        <row r="192">
          <cell r="E192"/>
          <cell r="F192"/>
          <cell r="G192"/>
          <cell r="H192"/>
          <cell r="I192"/>
          <cell r="J192"/>
          <cell r="K192"/>
          <cell r="L192"/>
          <cell r="M192"/>
          <cell r="N192"/>
        </row>
        <row r="193">
          <cell r="E193"/>
          <cell r="F193"/>
          <cell r="G193"/>
          <cell r="H193"/>
          <cell r="I193"/>
          <cell r="J193"/>
          <cell r="K193"/>
          <cell r="L193"/>
          <cell r="M193"/>
          <cell r="N193"/>
        </row>
        <row r="194">
          <cell r="E194"/>
          <cell r="F194"/>
          <cell r="G194"/>
          <cell r="H194"/>
          <cell r="I194"/>
          <cell r="J194"/>
          <cell r="K194"/>
          <cell r="L194"/>
          <cell r="M194"/>
          <cell r="N194"/>
        </row>
        <row r="195">
          <cell r="E195"/>
          <cell r="F195"/>
          <cell r="G195"/>
          <cell r="H195"/>
          <cell r="I195"/>
          <cell r="J195"/>
          <cell r="K195"/>
          <cell r="L195"/>
          <cell r="M195"/>
          <cell r="N195"/>
        </row>
        <row r="196">
          <cell r="E196"/>
          <cell r="F196"/>
          <cell r="G196"/>
          <cell r="H196"/>
          <cell r="I196"/>
          <cell r="J196"/>
          <cell r="K196"/>
          <cell r="L196"/>
          <cell r="M196"/>
          <cell r="N196"/>
        </row>
        <row r="197">
          <cell r="E197"/>
          <cell r="F197"/>
          <cell r="G197"/>
          <cell r="H197"/>
          <cell r="I197"/>
          <cell r="J197"/>
          <cell r="K197"/>
          <cell r="L197"/>
          <cell r="M197"/>
          <cell r="N197"/>
        </row>
        <row r="198">
          <cell r="E198"/>
          <cell r="F198"/>
          <cell r="G198"/>
          <cell r="H198"/>
          <cell r="I198"/>
          <cell r="J198"/>
          <cell r="K198"/>
          <cell r="L198"/>
          <cell r="M198"/>
          <cell r="N198"/>
        </row>
        <row r="199">
          <cell r="E199"/>
          <cell r="F199"/>
          <cell r="G199"/>
          <cell r="H199"/>
          <cell r="I199"/>
          <cell r="J199"/>
          <cell r="K199"/>
          <cell r="L199"/>
          <cell r="M199"/>
          <cell r="N199"/>
        </row>
        <row r="200">
          <cell r="E200"/>
          <cell r="F200"/>
          <cell r="G200"/>
          <cell r="H200"/>
          <cell r="I200"/>
          <cell r="J200"/>
          <cell r="K200"/>
          <cell r="L200"/>
          <cell r="M200"/>
          <cell r="N200"/>
        </row>
        <row r="201">
          <cell r="E201"/>
          <cell r="F201"/>
          <cell r="G201"/>
          <cell r="H201"/>
          <cell r="I201"/>
          <cell r="J201"/>
          <cell r="K201"/>
          <cell r="L201"/>
          <cell r="M201"/>
          <cell r="N201"/>
        </row>
        <row r="202">
          <cell r="E202"/>
          <cell r="F202"/>
          <cell r="G202"/>
          <cell r="H202"/>
          <cell r="I202"/>
          <cell r="J202"/>
          <cell r="K202"/>
          <cell r="L202"/>
          <cell r="M202"/>
          <cell r="N202"/>
        </row>
        <row r="203">
          <cell r="E203"/>
          <cell r="F203"/>
          <cell r="G203"/>
          <cell r="H203"/>
          <cell r="I203"/>
          <cell r="J203"/>
          <cell r="K203"/>
          <cell r="L203"/>
          <cell r="M203"/>
          <cell r="N203"/>
        </row>
        <row r="204">
          <cell r="E204"/>
          <cell r="F204"/>
          <cell r="G204"/>
          <cell r="H204"/>
          <cell r="I204"/>
          <cell r="J204"/>
          <cell r="K204"/>
          <cell r="L204"/>
          <cell r="M204"/>
          <cell r="N204"/>
        </row>
        <row r="205">
          <cell r="E205"/>
          <cell r="F205"/>
          <cell r="G205"/>
          <cell r="H205"/>
          <cell r="I205"/>
          <cell r="J205"/>
          <cell r="K205"/>
          <cell r="L205"/>
          <cell r="M205"/>
          <cell r="N205"/>
        </row>
        <row r="206">
          <cell r="E206"/>
          <cell r="F206"/>
          <cell r="G206"/>
          <cell r="H206"/>
          <cell r="I206"/>
          <cell r="J206"/>
          <cell r="K206"/>
          <cell r="L206"/>
          <cell r="M206"/>
          <cell r="N206"/>
        </row>
        <row r="207">
          <cell r="E207"/>
          <cell r="F207"/>
          <cell r="G207"/>
          <cell r="H207"/>
          <cell r="I207"/>
          <cell r="J207"/>
          <cell r="K207"/>
          <cell r="L207"/>
          <cell r="M207"/>
          <cell r="N207"/>
        </row>
        <row r="208">
          <cell r="E208"/>
          <cell r="F208"/>
          <cell r="G208"/>
          <cell r="H208"/>
          <cell r="I208"/>
          <cell r="J208"/>
          <cell r="K208"/>
          <cell r="L208"/>
          <cell r="M208"/>
          <cell r="N208"/>
        </row>
        <row r="209">
          <cell r="E209"/>
          <cell r="F209"/>
          <cell r="G209"/>
          <cell r="H209"/>
          <cell r="I209"/>
          <cell r="J209"/>
          <cell r="K209"/>
          <cell r="L209"/>
          <cell r="M209"/>
          <cell r="N209"/>
        </row>
        <row r="210">
          <cell r="E210"/>
          <cell r="F210"/>
          <cell r="G210"/>
          <cell r="H210"/>
          <cell r="I210"/>
          <cell r="J210"/>
          <cell r="K210"/>
          <cell r="L210"/>
          <cell r="M210"/>
          <cell r="N210"/>
        </row>
        <row r="211">
          <cell r="E211"/>
          <cell r="F211"/>
          <cell r="G211"/>
          <cell r="H211"/>
          <cell r="I211"/>
          <cell r="J211"/>
          <cell r="K211"/>
          <cell r="L211"/>
          <cell r="M211"/>
          <cell r="N211"/>
        </row>
        <row r="212">
          <cell r="E212"/>
          <cell r="F212"/>
          <cell r="G212"/>
          <cell r="H212"/>
          <cell r="I212"/>
          <cell r="J212"/>
          <cell r="K212"/>
          <cell r="L212"/>
          <cell r="M212"/>
          <cell r="N212"/>
        </row>
        <row r="213">
          <cell r="E213"/>
          <cell r="F213"/>
          <cell r="G213"/>
          <cell r="H213"/>
          <cell r="I213"/>
          <cell r="J213"/>
          <cell r="K213"/>
          <cell r="L213"/>
          <cell r="M213"/>
          <cell r="N213"/>
        </row>
        <row r="214">
          <cell r="E214"/>
          <cell r="F214"/>
          <cell r="G214"/>
          <cell r="H214"/>
          <cell r="I214"/>
          <cell r="J214"/>
          <cell r="K214"/>
          <cell r="L214"/>
          <cell r="M214"/>
          <cell r="N214"/>
        </row>
        <row r="215">
          <cell r="E215"/>
          <cell r="F215"/>
          <cell r="G215"/>
          <cell r="H215"/>
          <cell r="I215"/>
          <cell r="J215"/>
          <cell r="K215"/>
          <cell r="L215"/>
          <cell r="M215"/>
          <cell r="N215"/>
        </row>
        <row r="216">
          <cell r="E216"/>
          <cell r="F216"/>
          <cell r="G216"/>
          <cell r="H216"/>
          <cell r="I216"/>
          <cell r="J216"/>
          <cell r="K216"/>
          <cell r="L216"/>
          <cell r="M216"/>
          <cell r="N216"/>
        </row>
        <row r="217">
          <cell r="E217"/>
          <cell r="F217"/>
          <cell r="G217"/>
          <cell r="H217"/>
          <cell r="I217"/>
          <cell r="J217"/>
          <cell r="K217"/>
          <cell r="L217"/>
          <cell r="M217"/>
          <cell r="N217"/>
        </row>
        <row r="218">
          <cell r="E218"/>
          <cell r="F218"/>
          <cell r="G218"/>
          <cell r="H218"/>
          <cell r="I218"/>
          <cell r="J218"/>
          <cell r="K218"/>
          <cell r="L218"/>
          <cell r="M218"/>
          <cell r="N218"/>
        </row>
        <row r="219">
          <cell r="E219"/>
          <cell r="F219"/>
          <cell r="G219"/>
          <cell r="H219"/>
          <cell r="I219"/>
          <cell r="J219"/>
          <cell r="K219"/>
          <cell r="L219"/>
          <cell r="M219"/>
          <cell r="N219"/>
        </row>
        <row r="220">
          <cell r="E220"/>
          <cell r="F220"/>
          <cell r="G220"/>
          <cell r="H220"/>
          <cell r="I220"/>
          <cell r="J220"/>
          <cell r="K220"/>
          <cell r="L220"/>
          <cell r="M220"/>
          <cell r="N220"/>
        </row>
        <row r="221">
          <cell r="E221"/>
          <cell r="F221"/>
          <cell r="G221"/>
          <cell r="H221"/>
          <cell r="I221"/>
          <cell r="J221"/>
          <cell r="K221"/>
          <cell r="L221"/>
          <cell r="M221"/>
          <cell r="N221"/>
        </row>
        <row r="222">
          <cell r="E222"/>
          <cell r="F222"/>
          <cell r="G222"/>
          <cell r="H222"/>
          <cell r="I222"/>
          <cell r="J222"/>
          <cell r="K222"/>
          <cell r="L222"/>
          <cell r="M222"/>
          <cell r="N222"/>
        </row>
        <row r="223">
          <cell r="E223"/>
          <cell r="F223"/>
          <cell r="G223"/>
          <cell r="H223"/>
          <cell r="I223"/>
          <cell r="J223"/>
          <cell r="K223"/>
          <cell r="L223"/>
          <cell r="M223"/>
          <cell r="N223"/>
        </row>
        <row r="224">
          <cell r="E224"/>
          <cell r="F224"/>
          <cell r="G224"/>
          <cell r="H224"/>
          <cell r="I224"/>
          <cell r="J224"/>
          <cell r="K224"/>
          <cell r="L224"/>
          <cell r="M224"/>
          <cell r="N224"/>
        </row>
        <row r="225">
          <cell r="E225"/>
          <cell r="F225"/>
          <cell r="G225"/>
          <cell r="H225"/>
          <cell r="I225"/>
          <cell r="J225"/>
          <cell r="K225"/>
          <cell r="L225"/>
          <cell r="M225"/>
          <cell r="N225"/>
        </row>
        <row r="226">
          <cell r="E226"/>
          <cell r="F226"/>
          <cell r="G226"/>
          <cell r="H226"/>
          <cell r="I226"/>
          <cell r="J226"/>
          <cell r="K226"/>
          <cell r="L226"/>
          <cell r="M226"/>
          <cell r="N226"/>
        </row>
        <row r="227">
          <cell r="E227"/>
          <cell r="F227"/>
          <cell r="G227"/>
          <cell r="H227"/>
          <cell r="I227"/>
          <cell r="J227"/>
          <cell r="K227"/>
          <cell r="L227"/>
          <cell r="M227"/>
          <cell r="N227"/>
        </row>
        <row r="228">
          <cell r="E228"/>
          <cell r="F228"/>
          <cell r="G228"/>
          <cell r="H228"/>
          <cell r="I228"/>
          <cell r="J228"/>
          <cell r="K228"/>
          <cell r="L228"/>
          <cell r="M228"/>
          <cell r="N228"/>
        </row>
        <row r="229">
          <cell r="E229"/>
          <cell r="F229"/>
          <cell r="G229"/>
          <cell r="H229"/>
          <cell r="I229"/>
          <cell r="J229"/>
          <cell r="K229"/>
          <cell r="L229"/>
          <cell r="M229"/>
          <cell r="N229"/>
        </row>
        <row r="230">
          <cell r="E230"/>
          <cell r="F230"/>
          <cell r="G230"/>
          <cell r="H230"/>
          <cell r="I230"/>
          <cell r="J230"/>
          <cell r="K230"/>
          <cell r="L230"/>
          <cell r="M230"/>
          <cell r="N230"/>
        </row>
        <row r="231">
          <cell r="E231"/>
          <cell r="F231"/>
          <cell r="G231"/>
          <cell r="H231"/>
          <cell r="I231"/>
          <cell r="J231"/>
          <cell r="K231"/>
          <cell r="L231"/>
          <cell r="M231"/>
          <cell r="N231"/>
        </row>
        <row r="232">
          <cell r="E232"/>
          <cell r="F232"/>
          <cell r="G232"/>
          <cell r="H232"/>
          <cell r="I232"/>
          <cell r="J232"/>
          <cell r="K232"/>
          <cell r="L232"/>
          <cell r="M232"/>
          <cell r="N232"/>
        </row>
        <row r="233">
          <cell r="E233"/>
          <cell r="F233"/>
          <cell r="G233"/>
          <cell r="H233"/>
          <cell r="I233"/>
          <cell r="J233"/>
          <cell r="K233"/>
          <cell r="L233"/>
          <cell r="M233"/>
          <cell r="N233"/>
        </row>
        <row r="234">
          <cell r="E234"/>
          <cell r="F234"/>
          <cell r="G234"/>
          <cell r="H234"/>
          <cell r="I234"/>
          <cell r="J234"/>
          <cell r="K234"/>
          <cell r="L234"/>
          <cell r="M234"/>
          <cell r="N234"/>
        </row>
        <row r="235">
          <cell r="E235"/>
          <cell r="F235"/>
          <cell r="G235"/>
          <cell r="H235"/>
          <cell r="I235"/>
          <cell r="J235"/>
          <cell r="K235"/>
          <cell r="L235"/>
          <cell r="M235"/>
          <cell r="N235"/>
        </row>
        <row r="236">
          <cell r="E236"/>
          <cell r="F236"/>
          <cell r="G236"/>
          <cell r="H236"/>
          <cell r="I236"/>
          <cell r="J236"/>
          <cell r="K236"/>
          <cell r="L236"/>
          <cell r="M236"/>
          <cell r="N236"/>
        </row>
        <row r="237">
          <cell r="E237"/>
          <cell r="F237"/>
          <cell r="G237"/>
          <cell r="H237"/>
          <cell r="I237"/>
          <cell r="J237"/>
          <cell r="K237"/>
          <cell r="L237"/>
          <cell r="M237"/>
          <cell r="N237"/>
        </row>
        <row r="238">
          <cell r="E238"/>
          <cell r="F238"/>
          <cell r="G238"/>
          <cell r="H238"/>
          <cell r="I238"/>
          <cell r="J238"/>
          <cell r="K238"/>
          <cell r="L238"/>
          <cell r="M238"/>
          <cell r="N238"/>
        </row>
        <row r="239">
          <cell r="E239"/>
          <cell r="F239"/>
          <cell r="G239"/>
          <cell r="H239"/>
          <cell r="I239"/>
          <cell r="J239"/>
          <cell r="K239"/>
          <cell r="L239"/>
          <cell r="M239"/>
          <cell r="N239"/>
        </row>
        <row r="240">
          <cell r="E240"/>
          <cell r="F240"/>
          <cell r="G240"/>
          <cell r="H240"/>
          <cell r="I240"/>
          <cell r="J240"/>
          <cell r="K240"/>
          <cell r="L240"/>
          <cell r="M240"/>
          <cell r="N240"/>
        </row>
        <row r="241">
          <cell r="E241"/>
          <cell r="F241"/>
          <cell r="G241"/>
          <cell r="H241"/>
          <cell r="I241"/>
          <cell r="J241"/>
          <cell r="K241"/>
          <cell r="L241"/>
          <cell r="M241"/>
          <cell r="N241"/>
        </row>
        <row r="242">
          <cell r="E242"/>
          <cell r="F242"/>
          <cell r="G242"/>
          <cell r="H242"/>
          <cell r="I242"/>
          <cell r="J242"/>
          <cell r="K242"/>
          <cell r="L242"/>
          <cell r="M242"/>
          <cell r="N242"/>
        </row>
        <row r="243">
          <cell r="E243"/>
          <cell r="F243"/>
          <cell r="G243"/>
          <cell r="H243"/>
          <cell r="I243"/>
          <cell r="J243"/>
          <cell r="K243"/>
          <cell r="L243"/>
          <cell r="M243"/>
          <cell r="N243"/>
        </row>
        <row r="244">
          <cell r="E244"/>
          <cell r="F244"/>
          <cell r="G244"/>
          <cell r="H244"/>
          <cell r="I244"/>
          <cell r="J244"/>
          <cell r="K244"/>
          <cell r="L244"/>
          <cell r="M244"/>
          <cell r="N244"/>
        </row>
        <row r="245">
          <cell r="E245"/>
          <cell r="F245"/>
          <cell r="G245"/>
          <cell r="H245"/>
          <cell r="I245"/>
          <cell r="J245"/>
          <cell r="K245"/>
          <cell r="L245"/>
          <cell r="M245"/>
          <cell r="N245"/>
        </row>
        <row r="246">
          <cell r="E246"/>
          <cell r="F246"/>
          <cell r="G246"/>
          <cell r="H246"/>
          <cell r="I246"/>
          <cell r="J246"/>
          <cell r="K246"/>
          <cell r="L246"/>
          <cell r="M246"/>
          <cell r="N246"/>
        </row>
        <row r="247">
          <cell r="E247"/>
          <cell r="F247"/>
          <cell r="G247"/>
          <cell r="H247"/>
          <cell r="I247"/>
          <cell r="J247"/>
          <cell r="K247"/>
          <cell r="L247"/>
          <cell r="M247"/>
          <cell r="N247"/>
        </row>
        <row r="248">
          <cell r="E248"/>
          <cell r="F248"/>
          <cell r="G248"/>
          <cell r="H248"/>
          <cell r="I248"/>
          <cell r="J248"/>
          <cell r="K248"/>
          <cell r="L248"/>
          <cell r="M248"/>
          <cell r="N248"/>
        </row>
        <row r="249">
          <cell r="E249"/>
          <cell r="F249"/>
          <cell r="G249"/>
          <cell r="H249"/>
          <cell r="I249"/>
          <cell r="J249"/>
          <cell r="K249"/>
          <cell r="L249"/>
          <cell r="M249"/>
          <cell r="N249"/>
        </row>
        <row r="250">
          <cell r="E250"/>
          <cell r="F250"/>
          <cell r="G250"/>
          <cell r="H250"/>
          <cell r="I250"/>
          <cell r="J250"/>
          <cell r="K250"/>
          <cell r="L250"/>
          <cell r="M250"/>
          <cell r="N250"/>
        </row>
        <row r="251">
          <cell r="E251"/>
          <cell r="F251"/>
          <cell r="G251"/>
          <cell r="H251"/>
          <cell r="I251"/>
          <cell r="J251"/>
          <cell r="K251"/>
          <cell r="L251"/>
          <cell r="M251"/>
          <cell r="N251"/>
        </row>
        <row r="252">
          <cell r="E252"/>
          <cell r="F252"/>
          <cell r="G252"/>
          <cell r="H252"/>
          <cell r="I252"/>
          <cell r="J252"/>
          <cell r="K252"/>
          <cell r="L252"/>
          <cell r="M252"/>
          <cell r="N252"/>
        </row>
        <row r="253">
          <cell r="E253"/>
          <cell r="F253"/>
          <cell r="G253"/>
          <cell r="H253"/>
          <cell r="I253"/>
          <cell r="J253"/>
          <cell r="K253"/>
          <cell r="L253"/>
          <cell r="M253"/>
          <cell r="N253"/>
        </row>
        <row r="254">
          <cell r="E254"/>
          <cell r="F254"/>
          <cell r="G254"/>
          <cell r="H254"/>
          <cell r="I254"/>
          <cell r="J254"/>
          <cell r="K254"/>
          <cell r="L254"/>
          <cell r="M254"/>
          <cell r="N254"/>
        </row>
        <row r="255">
          <cell r="E255"/>
          <cell r="F255"/>
          <cell r="G255"/>
          <cell r="H255"/>
          <cell r="I255"/>
          <cell r="J255"/>
          <cell r="K255"/>
          <cell r="L255"/>
          <cell r="M255"/>
          <cell r="N255"/>
        </row>
        <row r="256">
          <cell r="E256"/>
          <cell r="F256"/>
          <cell r="G256"/>
          <cell r="H256"/>
          <cell r="I256"/>
          <cell r="J256"/>
          <cell r="K256"/>
          <cell r="L256"/>
          <cell r="M256"/>
          <cell r="N256"/>
        </row>
        <row r="257">
          <cell r="E257"/>
          <cell r="F257"/>
          <cell r="G257"/>
          <cell r="H257"/>
          <cell r="I257"/>
          <cell r="J257"/>
          <cell r="K257"/>
          <cell r="L257"/>
          <cell r="M257"/>
          <cell r="N257"/>
        </row>
        <row r="258">
          <cell r="E258"/>
          <cell r="F258"/>
          <cell r="G258"/>
          <cell r="H258"/>
          <cell r="I258"/>
          <cell r="J258"/>
          <cell r="K258"/>
          <cell r="L258"/>
          <cell r="M258"/>
          <cell r="N258"/>
        </row>
        <row r="259">
          <cell r="E259"/>
          <cell r="F259"/>
          <cell r="G259"/>
          <cell r="H259"/>
          <cell r="I259"/>
          <cell r="J259"/>
          <cell r="K259"/>
          <cell r="L259"/>
          <cell r="M259"/>
          <cell r="N259"/>
        </row>
        <row r="260">
          <cell r="E260"/>
          <cell r="F260"/>
          <cell r="G260"/>
          <cell r="H260"/>
          <cell r="I260"/>
          <cell r="J260"/>
          <cell r="K260"/>
          <cell r="L260"/>
          <cell r="M260"/>
          <cell r="N260"/>
        </row>
        <row r="261">
          <cell r="E261"/>
          <cell r="F261"/>
          <cell r="G261"/>
          <cell r="H261"/>
          <cell r="I261"/>
          <cell r="J261"/>
          <cell r="K261"/>
          <cell r="L261"/>
          <cell r="M261"/>
          <cell r="N261"/>
        </row>
        <row r="262">
          <cell r="E262"/>
          <cell r="F262"/>
          <cell r="G262"/>
          <cell r="H262"/>
          <cell r="I262"/>
          <cell r="J262"/>
          <cell r="K262"/>
          <cell r="L262"/>
          <cell r="M262"/>
          <cell r="N262"/>
        </row>
        <row r="263">
          <cell r="E263"/>
          <cell r="F263"/>
          <cell r="G263"/>
          <cell r="H263"/>
          <cell r="I263"/>
          <cell r="J263"/>
          <cell r="K263"/>
          <cell r="L263"/>
          <cell r="M263"/>
          <cell r="N263"/>
        </row>
        <row r="264">
          <cell r="E264"/>
          <cell r="F264"/>
          <cell r="G264"/>
          <cell r="H264"/>
          <cell r="I264"/>
          <cell r="J264"/>
          <cell r="K264"/>
          <cell r="L264"/>
          <cell r="M264"/>
          <cell r="N264"/>
        </row>
        <row r="265">
          <cell r="E265"/>
          <cell r="F265"/>
          <cell r="G265"/>
          <cell r="H265"/>
          <cell r="I265"/>
          <cell r="J265"/>
          <cell r="K265"/>
          <cell r="L265"/>
          <cell r="M265"/>
          <cell r="N265"/>
        </row>
        <row r="266">
          <cell r="E266"/>
          <cell r="F266"/>
          <cell r="G266"/>
          <cell r="H266"/>
          <cell r="I266"/>
          <cell r="J266"/>
          <cell r="K266"/>
          <cell r="L266"/>
          <cell r="M266"/>
          <cell r="N266"/>
        </row>
        <row r="267">
          <cell r="E267"/>
          <cell r="F267"/>
          <cell r="G267"/>
          <cell r="H267"/>
          <cell r="I267"/>
          <cell r="J267"/>
          <cell r="K267"/>
          <cell r="L267"/>
          <cell r="M267"/>
          <cell r="N267"/>
        </row>
        <row r="268">
          <cell r="E268"/>
          <cell r="F268"/>
          <cell r="G268"/>
          <cell r="H268"/>
          <cell r="I268"/>
          <cell r="J268"/>
          <cell r="K268"/>
          <cell r="L268"/>
          <cell r="M268"/>
          <cell r="N268"/>
        </row>
        <row r="269">
          <cell r="E269"/>
          <cell r="F269"/>
          <cell r="G269"/>
          <cell r="H269"/>
          <cell r="I269"/>
          <cell r="J269"/>
          <cell r="K269"/>
          <cell r="L269"/>
          <cell r="M269"/>
          <cell r="N269"/>
        </row>
        <row r="270">
          <cell r="E270"/>
          <cell r="F270"/>
          <cell r="G270"/>
          <cell r="H270"/>
          <cell r="I270"/>
          <cell r="J270"/>
          <cell r="K270"/>
          <cell r="L270"/>
          <cell r="M270"/>
          <cell r="N270"/>
        </row>
        <row r="271">
          <cell r="E271"/>
          <cell r="F271"/>
          <cell r="G271"/>
          <cell r="H271"/>
          <cell r="I271"/>
          <cell r="J271"/>
          <cell r="K271"/>
          <cell r="L271"/>
          <cell r="M271"/>
          <cell r="N271"/>
        </row>
        <row r="272">
          <cell r="E272"/>
          <cell r="F272"/>
          <cell r="G272"/>
          <cell r="H272"/>
          <cell r="I272"/>
          <cell r="J272"/>
          <cell r="K272"/>
          <cell r="L272"/>
          <cell r="M272"/>
          <cell r="N272"/>
        </row>
        <row r="273">
          <cell r="E273"/>
          <cell r="F273"/>
          <cell r="G273"/>
          <cell r="H273"/>
          <cell r="I273"/>
          <cell r="J273"/>
          <cell r="K273"/>
          <cell r="L273"/>
          <cell r="M273"/>
          <cell r="N273"/>
        </row>
        <row r="274">
          <cell r="E274"/>
          <cell r="F274"/>
          <cell r="G274"/>
          <cell r="H274"/>
          <cell r="I274"/>
          <cell r="J274"/>
          <cell r="K274"/>
          <cell r="L274"/>
          <cell r="M274"/>
          <cell r="N274"/>
        </row>
        <row r="275">
          <cell r="E275"/>
          <cell r="F275"/>
          <cell r="G275"/>
          <cell r="H275"/>
          <cell r="I275"/>
          <cell r="J275"/>
          <cell r="K275"/>
          <cell r="L275"/>
          <cell r="M275"/>
          <cell r="N275"/>
        </row>
        <row r="276">
          <cell r="E276"/>
          <cell r="F276"/>
          <cell r="G276"/>
          <cell r="H276"/>
          <cell r="I276"/>
          <cell r="J276"/>
          <cell r="K276"/>
          <cell r="L276"/>
          <cell r="M276"/>
          <cell r="N276"/>
        </row>
        <row r="277">
          <cell r="E277"/>
          <cell r="F277"/>
          <cell r="G277"/>
          <cell r="H277"/>
          <cell r="I277"/>
          <cell r="J277"/>
          <cell r="K277"/>
          <cell r="L277"/>
          <cell r="M277"/>
          <cell r="N277"/>
        </row>
        <row r="278">
          <cell r="E278"/>
          <cell r="F278"/>
          <cell r="G278"/>
          <cell r="H278"/>
          <cell r="I278"/>
          <cell r="J278"/>
          <cell r="K278"/>
          <cell r="L278"/>
          <cell r="M278"/>
          <cell r="N278"/>
        </row>
        <row r="279">
          <cell r="E279"/>
          <cell r="F279"/>
          <cell r="G279"/>
          <cell r="H279"/>
          <cell r="I279"/>
          <cell r="J279"/>
          <cell r="K279"/>
          <cell r="L279"/>
          <cell r="M279"/>
          <cell r="N279"/>
        </row>
        <row r="280">
          <cell r="E280"/>
          <cell r="F280"/>
          <cell r="G280"/>
          <cell r="H280"/>
          <cell r="I280"/>
          <cell r="J280"/>
          <cell r="K280"/>
          <cell r="L280"/>
          <cell r="M280"/>
          <cell r="N280"/>
        </row>
        <row r="281">
          <cell r="E281"/>
          <cell r="F281"/>
          <cell r="G281"/>
          <cell r="H281"/>
          <cell r="I281"/>
          <cell r="J281"/>
          <cell r="K281"/>
          <cell r="L281"/>
          <cell r="M281"/>
          <cell r="N281"/>
        </row>
        <row r="282">
          <cell r="E282"/>
          <cell r="F282"/>
          <cell r="G282"/>
          <cell r="H282"/>
          <cell r="I282"/>
          <cell r="J282"/>
          <cell r="K282"/>
          <cell r="L282"/>
          <cell r="M282"/>
          <cell r="N282"/>
        </row>
        <row r="283">
          <cell r="E283"/>
          <cell r="F283"/>
          <cell r="G283"/>
          <cell r="H283"/>
          <cell r="I283"/>
          <cell r="J283"/>
          <cell r="K283"/>
          <cell r="L283"/>
          <cell r="M283"/>
          <cell r="N283"/>
        </row>
        <row r="284">
          <cell r="E284"/>
          <cell r="F284"/>
          <cell r="G284"/>
          <cell r="H284"/>
          <cell r="I284"/>
          <cell r="J284"/>
          <cell r="K284"/>
          <cell r="L284"/>
          <cell r="M284"/>
          <cell r="N284"/>
        </row>
        <row r="285">
          <cell r="E285"/>
          <cell r="F285"/>
          <cell r="G285"/>
          <cell r="H285"/>
          <cell r="I285"/>
          <cell r="J285"/>
          <cell r="K285"/>
          <cell r="L285"/>
          <cell r="M285"/>
          <cell r="N285"/>
        </row>
        <row r="286">
          <cell r="E286"/>
          <cell r="F286"/>
          <cell r="G286"/>
          <cell r="H286"/>
          <cell r="I286"/>
          <cell r="J286"/>
          <cell r="K286"/>
          <cell r="L286"/>
          <cell r="M286"/>
          <cell r="N286"/>
        </row>
        <row r="287">
          <cell r="E287"/>
          <cell r="F287"/>
          <cell r="G287"/>
          <cell r="H287"/>
          <cell r="I287"/>
          <cell r="J287"/>
          <cell r="K287"/>
          <cell r="L287"/>
          <cell r="M287"/>
          <cell r="N287"/>
        </row>
        <row r="288">
          <cell r="E288"/>
          <cell r="F288"/>
          <cell r="G288"/>
          <cell r="H288"/>
          <cell r="I288"/>
          <cell r="J288"/>
          <cell r="K288"/>
          <cell r="L288"/>
          <cell r="M288"/>
          <cell r="N288"/>
        </row>
        <row r="289">
          <cell r="E289"/>
          <cell r="F289"/>
          <cell r="G289"/>
          <cell r="H289"/>
          <cell r="I289"/>
          <cell r="J289"/>
          <cell r="K289"/>
          <cell r="L289"/>
          <cell r="M289"/>
          <cell r="N289"/>
        </row>
        <row r="290">
          <cell r="E290"/>
          <cell r="F290"/>
          <cell r="G290"/>
          <cell r="H290"/>
          <cell r="I290"/>
          <cell r="J290"/>
          <cell r="K290"/>
          <cell r="L290"/>
          <cell r="M290"/>
          <cell r="N290"/>
        </row>
        <row r="291">
          <cell r="E291"/>
          <cell r="F291"/>
          <cell r="G291"/>
          <cell r="H291"/>
          <cell r="I291"/>
          <cell r="J291"/>
          <cell r="K291"/>
          <cell r="L291"/>
          <cell r="M291"/>
          <cell r="N291"/>
        </row>
        <row r="292">
          <cell r="E292"/>
          <cell r="F292"/>
          <cell r="G292"/>
          <cell r="H292"/>
          <cell r="I292"/>
          <cell r="J292"/>
          <cell r="K292"/>
          <cell r="L292"/>
          <cell r="M292"/>
          <cell r="N292"/>
        </row>
        <row r="293">
          <cell r="E293"/>
          <cell r="F293"/>
          <cell r="G293"/>
          <cell r="H293"/>
          <cell r="I293"/>
          <cell r="J293"/>
          <cell r="K293"/>
          <cell r="L293"/>
          <cell r="M293"/>
          <cell r="N293"/>
        </row>
        <row r="294">
          <cell r="E294"/>
          <cell r="F294"/>
          <cell r="G294"/>
          <cell r="H294"/>
          <cell r="I294"/>
          <cell r="J294"/>
          <cell r="K294"/>
          <cell r="L294"/>
          <cell r="M294"/>
          <cell r="N294"/>
        </row>
        <row r="295">
          <cell r="E295"/>
          <cell r="F295"/>
          <cell r="G295"/>
          <cell r="H295"/>
          <cell r="I295"/>
          <cell r="J295"/>
          <cell r="K295"/>
          <cell r="L295"/>
          <cell r="M295"/>
          <cell r="N295"/>
        </row>
        <row r="296">
          <cell r="E296"/>
          <cell r="F296"/>
          <cell r="G296"/>
          <cell r="H296"/>
          <cell r="I296"/>
          <cell r="J296"/>
          <cell r="K296"/>
          <cell r="L296"/>
          <cell r="M296"/>
          <cell r="N296"/>
        </row>
        <row r="297">
          <cell r="E297"/>
          <cell r="F297"/>
          <cell r="G297"/>
          <cell r="H297"/>
          <cell r="I297"/>
          <cell r="J297"/>
          <cell r="K297"/>
          <cell r="L297"/>
          <cell r="M297"/>
          <cell r="N297"/>
        </row>
        <row r="298">
          <cell r="E298"/>
          <cell r="F298"/>
          <cell r="G298"/>
          <cell r="H298"/>
          <cell r="I298"/>
          <cell r="J298"/>
          <cell r="K298"/>
          <cell r="L298"/>
          <cell r="M298"/>
          <cell r="N298"/>
        </row>
        <row r="299">
          <cell r="E299"/>
          <cell r="F299"/>
          <cell r="G299"/>
          <cell r="H299"/>
          <cell r="I299"/>
          <cell r="J299"/>
          <cell r="K299"/>
          <cell r="L299"/>
          <cell r="M299"/>
          <cell r="N299"/>
        </row>
        <row r="300">
          <cell r="E300"/>
          <cell r="F300"/>
          <cell r="G300"/>
          <cell r="H300"/>
          <cell r="I300"/>
          <cell r="J300"/>
          <cell r="K300"/>
          <cell r="L300"/>
          <cell r="M300"/>
          <cell r="N300"/>
        </row>
        <row r="301">
          <cell r="E301"/>
          <cell r="F301"/>
          <cell r="G301"/>
          <cell r="H301"/>
          <cell r="I301"/>
          <cell r="J301"/>
          <cell r="K301"/>
          <cell r="L301"/>
          <cell r="M301"/>
          <cell r="N301"/>
        </row>
        <row r="302">
          <cell r="E302"/>
          <cell r="F302"/>
          <cell r="G302"/>
          <cell r="H302"/>
          <cell r="I302"/>
          <cell r="J302"/>
          <cell r="K302"/>
          <cell r="L302"/>
          <cell r="M302"/>
          <cell r="N302"/>
        </row>
        <row r="303">
          <cell r="E303"/>
          <cell r="F303"/>
          <cell r="G303"/>
          <cell r="H303"/>
          <cell r="I303"/>
          <cell r="J303"/>
          <cell r="K303"/>
          <cell r="L303"/>
          <cell r="M303"/>
          <cell r="N303"/>
        </row>
        <row r="304">
          <cell r="E304"/>
          <cell r="F304"/>
          <cell r="G304"/>
          <cell r="H304"/>
          <cell r="I304"/>
          <cell r="J304"/>
          <cell r="K304"/>
          <cell r="L304"/>
          <cell r="M304"/>
          <cell r="N304"/>
        </row>
        <row r="305">
          <cell r="E305"/>
          <cell r="F305"/>
          <cell r="G305"/>
          <cell r="H305"/>
          <cell r="I305"/>
          <cell r="J305"/>
          <cell r="K305"/>
          <cell r="L305"/>
          <cell r="M305"/>
          <cell r="N305"/>
        </row>
        <row r="306">
          <cell r="E306"/>
          <cell r="F306"/>
          <cell r="G306"/>
          <cell r="H306"/>
          <cell r="I306"/>
          <cell r="J306"/>
          <cell r="K306"/>
          <cell r="L306"/>
          <cell r="M306"/>
          <cell r="N306"/>
        </row>
        <row r="307">
          <cell r="E307"/>
          <cell r="I307"/>
          <cell r="J307"/>
        </row>
        <row r="308">
          <cell r="E308"/>
          <cell r="I308"/>
          <cell r="J308"/>
        </row>
        <row r="309">
          <cell r="E309"/>
          <cell r="I309"/>
          <cell r="J309"/>
        </row>
        <row r="310">
          <cell r="E310"/>
          <cell r="I310"/>
          <cell r="J310"/>
        </row>
        <row r="311">
          <cell r="E311"/>
          <cell r="I311"/>
          <cell r="J311"/>
        </row>
        <row r="312">
          <cell r="E312"/>
          <cell r="I312"/>
          <cell r="J312"/>
        </row>
        <row r="313">
          <cell r="E313"/>
          <cell r="I313"/>
          <cell r="J313"/>
        </row>
        <row r="314">
          <cell r="E314"/>
          <cell r="I314"/>
          <cell r="J314"/>
        </row>
        <row r="315">
          <cell r="E315"/>
          <cell r="I315"/>
          <cell r="J315"/>
        </row>
        <row r="316">
          <cell r="E316"/>
          <cell r="I316"/>
          <cell r="J316"/>
        </row>
        <row r="317">
          <cell r="E317"/>
          <cell r="I317"/>
          <cell r="J317"/>
        </row>
        <row r="318">
          <cell r="E318"/>
          <cell r="I318"/>
          <cell r="J318"/>
        </row>
        <row r="319">
          <cell r="E319"/>
          <cell r="I319"/>
          <cell r="J319"/>
        </row>
        <row r="320">
          <cell r="E320"/>
          <cell r="I320"/>
          <cell r="J320"/>
        </row>
        <row r="321">
          <cell r="E321"/>
          <cell r="I321"/>
          <cell r="J321"/>
        </row>
        <row r="322">
          <cell r="E322"/>
          <cell r="I322"/>
          <cell r="J322"/>
        </row>
        <row r="323">
          <cell r="E323"/>
          <cell r="I323"/>
          <cell r="J323"/>
        </row>
        <row r="324">
          <cell r="E324"/>
          <cell r="I324"/>
          <cell r="J324"/>
        </row>
        <row r="325">
          <cell r="E325"/>
          <cell r="I325"/>
          <cell r="J325"/>
        </row>
        <row r="326">
          <cell r="E326"/>
          <cell r="I326"/>
          <cell r="J326"/>
        </row>
        <row r="327">
          <cell r="E327"/>
          <cell r="I327"/>
          <cell r="J327"/>
        </row>
        <row r="328">
          <cell r="E328"/>
          <cell r="I328"/>
          <cell r="J328"/>
        </row>
        <row r="329">
          <cell r="E329"/>
          <cell r="I329"/>
          <cell r="J329"/>
        </row>
        <row r="330">
          <cell r="E330"/>
          <cell r="I330"/>
          <cell r="J330"/>
        </row>
        <row r="331">
          <cell r="E331"/>
          <cell r="I331"/>
          <cell r="J331"/>
        </row>
        <row r="332">
          <cell r="E332"/>
          <cell r="I332"/>
          <cell r="J332"/>
        </row>
        <row r="333">
          <cell r="E333"/>
          <cell r="I333"/>
          <cell r="J333"/>
        </row>
        <row r="334">
          <cell r="E334"/>
          <cell r="I334"/>
          <cell r="J334"/>
        </row>
        <row r="335">
          <cell r="E335"/>
          <cell r="I335"/>
          <cell r="J335"/>
        </row>
        <row r="336">
          <cell r="E336"/>
          <cell r="I336"/>
          <cell r="J336"/>
        </row>
        <row r="337">
          <cell r="E337"/>
          <cell r="I337"/>
          <cell r="J337"/>
        </row>
        <row r="338">
          <cell r="E338"/>
          <cell r="I338"/>
          <cell r="J338"/>
        </row>
        <row r="339">
          <cell r="E339"/>
          <cell r="I339"/>
          <cell r="J339"/>
        </row>
        <row r="340">
          <cell r="E340"/>
          <cell r="I340"/>
          <cell r="J340"/>
        </row>
        <row r="341">
          <cell r="E341"/>
          <cell r="I341"/>
          <cell r="J341"/>
        </row>
        <row r="342">
          <cell r="E342"/>
          <cell r="I342"/>
          <cell r="J342"/>
        </row>
        <row r="343">
          <cell r="E343"/>
          <cell r="I343"/>
          <cell r="J343"/>
        </row>
        <row r="344">
          <cell r="E344"/>
          <cell r="I344"/>
          <cell r="J344"/>
        </row>
        <row r="345">
          <cell r="E345"/>
          <cell r="I345"/>
          <cell r="J345"/>
        </row>
        <row r="346">
          <cell r="E346"/>
          <cell r="I346"/>
          <cell r="J346"/>
        </row>
        <row r="347">
          <cell r="E347"/>
          <cell r="I347"/>
          <cell r="J347"/>
        </row>
        <row r="348">
          <cell r="E348"/>
          <cell r="I348"/>
          <cell r="J348"/>
        </row>
        <row r="349">
          <cell r="E349"/>
          <cell r="I349"/>
          <cell r="J349"/>
        </row>
        <row r="350">
          <cell r="E350"/>
          <cell r="I350"/>
          <cell r="J350"/>
        </row>
        <row r="351">
          <cell r="E351"/>
          <cell r="I351"/>
          <cell r="J351"/>
        </row>
        <row r="352">
          <cell r="E352"/>
          <cell r="I352"/>
          <cell r="J352"/>
        </row>
        <row r="353">
          <cell r="E353"/>
          <cell r="I353"/>
          <cell r="J353"/>
        </row>
        <row r="354">
          <cell r="E354"/>
          <cell r="I354"/>
          <cell r="J354"/>
        </row>
        <row r="355">
          <cell r="E355"/>
          <cell r="I355"/>
          <cell r="J355"/>
        </row>
        <row r="356">
          <cell r="E356"/>
          <cell r="I356"/>
          <cell r="J356"/>
        </row>
        <row r="357">
          <cell r="E357"/>
          <cell r="I357"/>
          <cell r="J357"/>
        </row>
        <row r="358">
          <cell r="E358"/>
          <cell r="I358"/>
          <cell r="J358"/>
        </row>
        <row r="359">
          <cell r="E359"/>
          <cell r="I359"/>
          <cell r="J359"/>
        </row>
        <row r="360">
          <cell r="E360"/>
          <cell r="I360"/>
          <cell r="J360"/>
        </row>
        <row r="361">
          <cell r="E361"/>
          <cell r="I361"/>
          <cell r="J361"/>
        </row>
        <row r="362">
          <cell r="E362"/>
          <cell r="I362"/>
          <cell r="J362"/>
        </row>
        <row r="363">
          <cell r="E363"/>
          <cell r="I363"/>
          <cell r="J363"/>
        </row>
        <row r="364">
          <cell r="E364"/>
          <cell r="I364"/>
          <cell r="J364"/>
        </row>
        <row r="365">
          <cell r="E365"/>
          <cell r="I365"/>
          <cell r="J365"/>
        </row>
        <row r="366">
          <cell r="E366"/>
          <cell r="I366"/>
          <cell r="J366"/>
        </row>
        <row r="367">
          <cell r="E367"/>
          <cell r="I367"/>
          <cell r="J367"/>
        </row>
        <row r="368">
          <cell r="E368"/>
          <cell r="I368"/>
          <cell r="J368"/>
        </row>
        <row r="369">
          <cell r="E369"/>
          <cell r="I369"/>
          <cell r="J369"/>
        </row>
        <row r="370">
          <cell r="E370"/>
          <cell r="I370"/>
          <cell r="J370"/>
        </row>
        <row r="371">
          <cell r="E371"/>
          <cell r="I371"/>
          <cell r="J371"/>
        </row>
        <row r="372">
          <cell r="E372"/>
          <cell r="I372"/>
          <cell r="J372"/>
        </row>
        <row r="373">
          <cell r="E373"/>
          <cell r="I373"/>
          <cell r="J373"/>
        </row>
        <row r="374">
          <cell r="E374"/>
          <cell r="I374"/>
          <cell r="J374"/>
        </row>
        <row r="375">
          <cell r="E375"/>
          <cell r="I375"/>
          <cell r="J375"/>
        </row>
        <row r="376">
          <cell r="E376"/>
          <cell r="I376"/>
          <cell r="J376"/>
        </row>
        <row r="377">
          <cell r="E377"/>
          <cell r="I377"/>
          <cell r="J377"/>
        </row>
        <row r="378">
          <cell r="E378"/>
          <cell r="I378"/>
          <cell r="J378"/>
        </row>
        <row r="379">
          <cell r="E379"/>
          <cell r="I379"/>
          <cell r="J379"/>
        </row>
        <row r="380">
          <cell r="E380"/>
          <cell r="I380"/>
          <cell r="J380"/>
        </row>
        <row r="381">
          <cell r="E381"/>
          <cell r="I381"/>
          <cell r="J381"/>
        </row>
      </sheetData>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sheetPr codeName="Sheet1">
    <pageSetUpPr fitToPage="1"/>
  </sheetPr>
  <dimension ref="A1:P427"/>
  <sheetViews>
    <sheetView zoomScale="80" zoomScaleNormal="80" workbookViewId="0">
      <pane xSplit="5" ySplit="2" topLeftCell="F3" activePane="bottomRight" state="frozen"/>
      <selection pane="topRight" activeCell="F1" sqref="F1"/>
      <selection pane="bottomLeft" activeCell="A3" sqref="A3"/>
      <selection pane="bottomRight" activeCell="G204" sqref="G204"/>
    </sheetView>
  </sheetViews>
  <sheetFormatPr defaultRowHeight="15"/>
  <cols>
    <col min="1" max="1" width="11.7109375" customWidth="1"/>
    <col min="2" max="2" width="31.85546875" customWidth="1"/>
    <col min="3" max="3" width="17.85546875" customWidth="1"/>
    <col min="4" max="4" width="25.5703125" customWidth="1"/>
    <col min="5" max="5" width="20.42578125" customWidth="1"/>
    <col min="6" max="6" width="27.7109375" customWidth="1"/>
    <col min="7" max="7" width="53.5703125" customWidth="1"/>
    <col min="8" max="8" width="37.7109375" customWidth="1"/>
    <col min="9" max="9" width="17.85546875" customWidth="1"/>
    <col min="10" max="10" width="21.28515625" customWidth="1"/>
    <col min="11" max="11" width="48.42578125" customWidth="1"/>
    <col min="12" max="12" width="37.7109375" customWidth="1"/>
    <col min="13" max="13" width="31.42578125" customWidth="1"/>
    <col min="14" max="14" width="30.42578125" customWidth="1"/>
    <col min="15" max="15" width="12.5703125" style="28" hidden="1" customWidth="1"/>
    <col min="20" max="20" width="8.7109375" customWidth="1"/>
  </cols>
  <sheetData>
    <row r="1" spans="1:16" ht="15.75" thickBot="1">
      <c r="A1" s="1" t="s">
        <v>0</v>
      </c>
      <c r="B1" s="2"/>
      <c r="C1" s="3"/>
      <c r="D1" s="4"/>
      <c r="E1" s="2"/>
      <c r="F1" s="5" t="s">
        <v>1</v>
      </c>
      <c r="G1" s="5"/>
      <c r="H1" s="6"/>
      <c r="I1" s="6"/>
      <c r="J1" s="6"/>
      <c r="K1" s="6"/>
      <c r="L1" s="7" t="s">
        <v>2</v>
      </c>
      <c r="M1" s="7"/>
      <c r="N1" s="7"/>
      <c r="O1" s="25"/>
      <c r="P1" s="8"/>
    </row>
    <row r="2" spans="1:16" ht="56.25" customHeight="1">
      <c r="A2" s="9" t="s">
        <v>3</v>
      </c>
      <c r="B2" s="9" t="s">
        <v>4</v>
      </c>
      <c r="C2" s="10" t="s">
        <v>5</v>
      </c>
      <c r="D2" s="11" t="s">
        <v>6</v>
      </c>
      <c r="E2" s="11" t="s">
        <v>434</v>
      </c>
      <c r="F2" s="12" t="s">
        <v>579</v>
      </c>
      <c r="G2" s="12" t="s">
        <v>7</v>
      </c>
      <c r="H2" s="12" t="s">
        <v>8</v>
      </c>
      <c r="I2" s="12" t="s">
        <v>451</v>
      </c>
      <c r="J2" s="12" t="s">
        <v>450</v>
      </c>
      <c r="K2" s="12" t="s">
        <v>510</v>
      </c>
      <c r="L2" s="13" t="s">
        <v>9</v>
      </c>
      <c r="M2" s="13" t="s">
        <v>10</v>
      </c>
      <c r="N2" s="23" t="s">
        <v>11</v>
      </c>
      <c r="O2" s="26" t="s">
        <v>433</v>
      </c>
      <c r="P2" s="8"/>
    </row>
    <row r="3" spans="1:16" s="41" customFormat="1" ht="30" customHeight="1">
      <c r="A3" s="37">
        <v>1</v>
      </c>
      <c r="B3" s="81" t="s">
        <v>12</v>
      </c>
      <c r="C3" s="37"/>
      <c r="D3" s="81"/>
      <c r="E3" s="81" t="s">
        <v>435</v>
      </c>
      <c r="F3" s="81" t="s">
        <v>13</v>
      </c>
      <c r="G3" s="38"/>
      <c r="H3" s="38"/>
      <c r="I3" s="38"/>
      <c r="J3" s="38"/>
      <c r="K3" s="38"/>
      <c r="L3" s="38"/>
      <c r="M3" s="38"/>
      <c r="N3" s="38"/>
      <c r="O3" s="39"/>
      <c r="P3" s="40"/>
    </row>
    <row r="4" spans="1:16" s="41" customFormat="1" ht="30" customHeight="1">
      <c r="A4" s="42">
        <v>2</v>
      </c>
      <c r="B4" s="43" t="s">
        <v>14</v>
      </c>
      <c r="C4" s="42"/>
      <c r="D4" s="43"/>
      <c r="E4" s="43" t="s">
        <v>435</v>
      </c>
      <c r="F4" s="43" t="s">
        <v>13</v>
      </c>
      <c r="G4" s="44"/>
      <c r="H4" s="44"/>
      <c r="I4" s="44"/>
      <c r="J4" s="44"/>
      <c r="K4" s="44"/>
      <c r="L4" s="44"/>
      <c r="M4" s="44"/>
      <c r="N4" s="44"/>
      <c r="O4" s="45"/>
      <c r="P4" s="40"/>
    </row>
    <row r="5" spans="1:16" s="41" customFormat="1" ht="30" customHeight="1">
      <c r="A5" s="34">
        <v>3</v>
      </c>
      <c r="B5" s="35" t="s">
        <v>15</v>
      </c>
      <c r="C5" s="34"/>
      <c r="D5" s="35"/>
      <c r="E5" s="35" t="s">
        <v>435</v>
      </c>
      <c r="F5" s="35" t="s">
        <v>13</v>
      </c>
      <c r="G5" s="46"/>
      <c r="H5" s="46"/>
      <c r="I5" s="46"/>
      <c r="J5" s="46"/>
      <c r="K5" s="46"/>
      <c r="L5" s="46"/>
      <c r="M5" s="46"/>
      <c r="N5" s="46"/>
      <c r="O5" s="45"/>
      <c r="P5" s="40"/>
    </row>
    <row r="6" spans="1:16" s="41" customFormat="1" ht="30" customHeight="1">
      <c r="A6" s="42">
        <v>4</v>
      </c>
      <c r="B6" s="43" t="s">
        <v>16</v>
      </c>
      <c r="C6" s="42"/>
      <c r="D6" s="43"/>
      <c r="E6" s="43" t="s">
        <v>435</v>
      </c>
      <c r="F6" s="43" t="s">
        <v>13</v>
      </c>
      <c r="G6" s="44"/>
      <c r="H6" s="44"/>
      <c r="I6" s="44"/>
      <c r="J6" s="44"/>
      <c r="K6" s="44"/>
      <c r="L6" s="44"/>
      <c r="M6" s="44"/>
      <c r="N6" s="44"/>
      <c r="O6" s="45"/>
      <c r="P6" s="40"/>
    </row>
    <row r="7" spans="1:16" s="41" customFormat="1" ht="30" customHeight="1">
      <c r="A7" s="34">
        <v>5</v>
      </c>
      <c r="B7" s="35" t="s">
        <v>17</v>
      </c>
      <c r="C7" s="34"/>
      <c r="D7" s="35"/>
      <c r="E7" s="35" t="s">
        <v>435</v>
      </c>
      <c r="F7" s="35" t="s">
        <v>13</v>
      </c>
      <c r="G7" s="46"/>
      <c r="H7" s="46"/>
      <c r="I7" s="46"/>
      <c r="J7" s="46"/>
      <c r="K7" s="46"/>
      <c r="L7" s="46"/>
      <c r="M7" s="46"/>
      <c r="N7" s="46"/>
      <c r="O7" s="45"/>
      <c r="P7" s="40"/>
    </row>
    <row r="8" spans="1:16" s="41" customFormat="1" ht="30" customHeight="1">
      <c r="A8" s="42">
        <v>6</v>
      </c>
      <c r="B8" s="43" t="s">
        <v>18</v>
      </c>
      <c r="C8" s="42"/>
      <c r="D8" s="43"/>
      <c r="E8" s="43" t="s">
        <v>435</v>
      </c>
      <c r="F8" s="43" t="s">
        <v>13</v>
      </c>
      <c r="G8" s="44"/>
      <c r="H8" s="44"/>
      <c r="I8" s="44"/>
      <c r="J8" s="44"/>
      <c r="K8" s="44"/>
      <c r="L8" s="44"/>
      <c r="M8" s="44"/>
      <c r="N8" s="44"/>
      <c r="O8" s="45"/>
      <c r="P8" s="40"/>
    </row>
    <row r="9" spans="1:16" s="41" customFormat="1" ht="30" customHeight="1">
      <c r="A9" s="34">
        <v>7</v>
      </c>
      <c r="B9" s="35" t="s">
        <v>19</v>
      </c>
      <c r="C9" s="34"/>
      <c r="D9" s="35"/>
      <c r="E9" s="35" t="s">
        <v>435</v>
      </c>
      <c r="F9" s="35" t="s">
        <v>13</v>
      </c>
      <c r="G9" s="46"/>
      <c r="H9" s="46"/>
      <c r="I9" s="46"/>
      <c r="J9" s="46"/>
      <c r="K9" s="46"/>
      <c r="L9" s="46"/>
      <c r="M9" s="46"/>
      <c r="N9" s="46"/>
      <c r="O9" s="45"/>
      <c r="P9" s="40"/>
    </row>
    <row r="10" spans="1:16" s="41" customFormat="1" ht="30" customHeight="1">
      <c r="A10" s="42">
        <v>8</v>
      </c>
      <c r="B10" s="43" t="s">
        <v>20</v>
      </c>
      <c r="C10" s="42"/>
      <c r="D10" s="43"/>
      <c r="E10" s="43" t="s">
        <v>435</v>
      </c>
      <c r="F10" s="43" t="s">
        <v>13</v>
      </c>
      <c r="G10" s="44"/>
      <c r="H10" s="44"/>
      <c r="I10" s="44"/>
      <c r="J10" s="44"/>
      <c r="K10" s="44"/>
      <c r="L10" s="44"/>
      <c r="M10" s="44"/>
      <c r="N10" s="44"/>
      <c r="O10" s="45"/>
      <c r="P10" s="40"/>
    </row>
    <row r="11" spans="1:16" s="41" customFormat="1" ht="30" customHeight="1">
      <c r="A11" s="34">
        <v>9</v>
      </c>
      <c r="B11" s="35" t="s">
        <v>21</v>
      </c>
      <c r="C11" s="34"/>
      <c r="D11" s="35"/>
      <c r="E11" s="35" t="s">
        <v>435</v>
      </c>
      <c r="F11" s="35" t="s">
        <v>13</v>
      </c>
      <c r="G11" s="46"/>
      <c r="H11" s="46"/>
      <c r="I11" s="46"/>
      <c r="J11" s="46"/>
      <c r="K11" s="46"/>
      <c r="L11" s="46"/>
      <c r="M11" s="46"/>
      <c r="N11" s="46"/>
      <c r="O11" s="45"/>
      <c r="P11" s="40"/>
    </row>
    <row r="12" spans="1:16" s="41" customFormat="1" ht="30" customHeight="1">
      <c r="A12" s="42">
        <v>10</v>
      </c>
      <c r="B12" s="43" t="s">
        <v>22</v>
      </c>
      <c r="C12" s="42"/>
      <c r="D12" s="43"/>
      <c r="E12" s="43" t="s">
        <v>435</v>
      </c>
      <c r="F12" s="43" t="s">
        <v>13</v>
      </c>
      <c r="G12" s="44"/>
      <c r="H12" s="44"/>
      <c r="I12" s="44"/>
      <c r="J12" s="44"/>
      <c r="K12" s="44"/>
      <c r="L12" s="44"/>
      <c r="M12" s="44"/>
      <c r="N12" s="44"/>
      <c r="O12" s="45"/>
      <c r="P12" s="40"/>
    </row>
    <row r="13" spans="1:16" s="41" customFormat="1" ht="30" customHeight="1">
      <c r="A13" s="34">
        <v>11</v>
      </c>
      <c r="B13" s="35" t="s">
        <v>23</v>
      </c>
      <c r="C13" s="34"/>
      <c r="D13" s="35"/>
      <c r="E13" s="35" t="s">
        <v>435</v>
      </c>
      <c r="F13" s="35" t="s">
        <v>13</v>
      </c>
      <c r="G13" s="46"/>
      <c r="H13" s="46"/>
      <c r="I13" s="46"/>
      <c r="J13" s="46"/>
      <c r="K13" s="46"/>
      <c r="L13" s="46"/>
      <c r="M13" s="46"/>
      <c r="N13" s="46"/>
      <c r="O13" s="45"/>
      <c r="P13" s="40"/>
    </row>
    <row r="14" spans="1:16" s="41" customFormat="1" ht="30" customHeight="1">
      <c r="A14" s="42">
        <v>12</v>
      </c>
      <c r="B14" s="43" t="s">
        <v>24</v>
      </c>
      <c r="C14" s="42"/>
      <c r="D14" s="43"/>
      <c r="E14" s="43" t="s">
        <v>435</v>
      </c>
      <c r="F14" s="43" t="s">
        <v>13</v>
      </c>
      <c r="G14" s="44"/>
      <c r="H14" s="44"/>
      <c r="I14" s="44"/>
      <c r="J14" s="44"/>
      <c r="K14" s="44"/>
      <c r="L14" s="44"/>
      <c r="M14" s="44"/>
      <c r="N14" s="44"/>
      <c r="O14" s="45"/>
      <c r="P14" s="40"/>
    </row>
    <row r="15" spans="1:16" s="41" customFormat="1" ht="30" customHeight="1">
      <c r="A15" s="34">
        <v>13</v>
      </c>
      <c r="B15" s="35" t="s">
        <v>25</v>
      </c>
      <c r="C15" s="34"/>
      <c r="D15" s="35"/>
      <c r="E15" s="35" t="s">
        <v>435</v>
      </c>
      <c r="F15" s="35" t="s">
        <v>13</v>
      </c>
      <c r="G15" s="46"/>
      <c r="H15" s="46"/>
      <c r="I15" s="46"/>
      <c r="J15" s="46"/>
      <c r="K15" s="46"/>
      <c r="L15" s="46"/>
      <c r="M15" s="46"/>
      <c r="N15" s="46"/>
      <c r="O15" s="45"/>
      <c r="P15" s="40"/>
    </row>
    <row r="16" spans="1:16" s="41" customFormat="1" ht="30" customHeight="1">
      <c r="A16" s="42">
        <v>14</v>
      </c>
      <c r="B16" s="43" t="s">
        <v>26</v>
      </c>
      <c r="C16" s="42"/>
      <c r="D16" s="43"/>
      <c r="E16" s="43" t="s">
        <v>435</v>
      </c>
      <c r="F16" s="43" t="s">
        <v>27</v>
      </c>
      <c r="G16" s="44"/>
      <c r="H16" s="44"/>
      <c r="I16" s="44"/>
      <c r="J16" s="44"/>
      <c r="K16" s="44"/>
      <c r="L16" s="44"/>
      <c r="M16" s="44"/>
      <c r="N16" s="44"/>
      <c r="O16" s="45"/>
      <c r="P16" s="40"/>
    </row>
    <row r="17" spans="1:16" s="41" customFormat="1" ht="30" customHeight="1">
      <c r="A17" s="34">
        <v>15</v>
      </c>
      <c r="B17" s="35" t="s">
        <v>28</v>
      </c>
      <c r="C17" s="34"/>
      <c r="D17" s="35"/>
      <c r="E17" s="35" t="s">
        <v>435</v>
      </c>
      <c r="F17" s="35" t="s">
        <v>27</v>
      </c>
      <c r="G17" s="46"/>
      <c r="H17" s="46"/>
      <c r="I17" s="46"/>
      <c r="J17" s="46"/>
      <c r="K17" s="46"/>
      <c r="L17" s="46"/>
      <c r="M17" s="46"/>
      <c r="N17" s="46"/>
      <c r="O17" s="45"/>
      <c r="P17" s="40"/>
    </row>
    <row r="18" spans="1:16" s="41" customFormat="1" ht="30" customHeight="1">
      <c r="A18" s="42">
        <v>16</v>
      </c>
      <c r="B18" s="43" t="s">
        <v>29</v>
      </c>
      <c r="C18" s="42"/>
      <c r="D18" s="43"/>
      <c r="E18" s="43" t="s">
        <v>435</v>
      </c>
      <c r="F18" s="43" t="s">
        <v>27</v>
      </c>
      <c r="G18" s="44"/>
      <c r="H18" s="44"/>
      <c r="I18" s="44"/>
      <c r="J18" s="44"/>
      <c r="K18" s="44"/>
      <c r="L18" s="44"/>
      <c r="M18" s="44"/>
      <c r="N18" s="44"/>
      <c r="O18" s="45"/>
      <c r="P18" s="40"/>
    </row>
    <row r="19" spans="1:16" s="41" customFormat="1" ht="30" customHeight="1">
      <c r="A19" s="34">
        <v>17</v>
      </c>
      <c r="B19" s="35" t="s">
        <v>30</v>
      </c>
      <c r="C19" s="34"/>
      <c r="D19" s="35"/>
      <c r="E19" s="35" t="s">
        <v>435</v>
      </c>
      <c r="F19" s="35" t="s">
        <v>27</v>
      </c>
      <c r="G19" s="46"/>
      <c r="H19" s="46"/>
      <c r="I19" s="46"/>
      <c r="J19" s="46"/>
      <c r="K19" s="46"/>
      <c r="L19" s="46"/>
      <c r="M19" s="46"/>
      <c r="N19" s="46"/>
      <c r="O19" s="45"/>
      <c r="P19" s="40"/>
    </row>
    <row r="20" spans="1:16" s="41" customFormat="1" ht="30" customHeight="1">
      <c r="A20" s="42">
        <v>18</v>
      </c>
      <c r="B20" s="43" t="s">
        <v>31</v>
      </c>
      <c r="C20" s="42"/>
      <c r="D20" s="43"/>
      <c r="E20" s="43" t="s">
        <v>435</v>
      </c>
      <c r="F20" s="43" t="s">
        <v>27</v>
      </c>
      <c r="G20" s="44"/>
      <c r="H20" s="44"/>
      <c r="I20" s="44"/>
      <c r="J20" s="44"/>
      <c r="K20" s="44"/>
      <c r="L20" s="44"/>
      <c r="M20" s="44"/>
      <c r="N20" s="44"/>
      <c r="O20" s="45"/>
      <c r="P20" s="40"/>
    </row>
    <row r="21" spans="1:16" s="41" customFormat="1" ht="30" customHeight="1">
      <c r="A21" s="34">
        <v>19</v>
      </c>
      <c r="B21" s="35" t="s">
        <v>32</v>
      </c>
      <c r="C21" s="34"/>
      <c r="D21" s="35"/>
      <c r="E21" s="35" t="s">
        <v>435</v>
      </c>
      <c r="F21" s="35" t="s">
        <v>27</v>
      </c>
      <c r="G21" s="46"/>
      <c r="H21" s="46"/>
      <c r="I21" s="46"/>
      <c r="J21" s="46"/>
      <c r="K21" s="46"/>
      <c r="L21" s="46"/>
      <c r="M21" s="46"/>
      <c r="N21" s="46"/>
      <c r="O21" s="45"/>
      <c r="P21" s="40"/>
    </row>
    <row r="22" spans="1:16" s="41" customFormat="1" ht="30" customHeight="1">
      <c r="A22" s="42">
        <v>20</v>
      </c>
      <c r="B22" s="43" t="s">
        <v>33</v>
      </c>
      <c r="C22" s="42"/>
      <c r="D22" s="43"/>
      <c r="E22" s="43" t="s">
        <v>435</v>
      </c>
      <c r="F22" s="43" t="s">
        <v>13</v>
      </c>
      <c r="G22" s="44"/>
      <c r="H22" s="44"/>
      <c r="I22" s="44"/>
      <c r="J22" s="44"/>
      <c r="K22" s="44"/>
      <c r="L22" s="44"/>
      <c r="M22" s="44"/>
      <c r="N22" s="44"/>
      <c r="O22" s="45"/>
      <c r="P22" s="40"/>
    </row>
    <row r="23" spans="1:16" s="41" customFormat="1" ht="30" customHeight="1">
      <c r="A23" s="34">
        <v>21</v>
      </c>
      <c r="B23" s="35" t="s">
        <v>34</v>
      </c>
      <c r="C23" s="34"/>
      <c r="D23" s="35"/>
      <c r="E23" s="35" t="s">
        <v>435</v>
      </c>
      <c r="F23" s="35" t="s">
        <v>35</v>
      </c>
      <c r="G23" s="46"/>
      <c r="H23" s="46"/>
      <c r="I23" s="46"/>
      <c r="J23" s="46"/>
      <c r="K23" s="46"/>
      <c r="L23" s="46"/>
      <c r="M23" s="46"/>
      <c r="N23" s="46"/>
      <c r="O23" s="45"/>
      <c r="P23" s="40"/>
    </row>
    <row r="24" spans="1:16" s="41" customFormat="1" ht="30" customHeight="1">
      <c r="A24" s="42">
        <v>22</v>
      </c>
      <c r="B24" s="43" t="s">
        <v>36</v>
      </c>
      <c r="C24" s="42"/>
      <c r="D24" s="43"/>
      <c r="E24" s="43" t="s">
        <v>435</v>
      </c>
      <c r="F24" s="43" t="s">
        <v>35</v>
      </c>
      <c r="G24" s="44"/>
      <c r="H24" s="44"/>
      <c r="I24" s="44"/>
      <c r="J24" s="44"/>
      <c r="K24" s="44"/>
      <c r="L24" s="44"/>
      <c r="M24" s="44"/>
      <c r="N24" s="44"/>
      <c r="O24" s="45"/>
      <c r="P24" s="40"/>
    </row>
    <row r="25" spans="1:16" s="41" customFormat="1" ht="30" customHeight="1">
      <c r="A25" s="34">
        <v>23</v>
      </c>
      <c r="B25" s="35" t="s">
        <v>37</v>
      </c>
      <c r="C25" s="34"/>
      <c r="D25" s="35"/>
      <c r="E25" s="35" t="s">
        <v>435</v>
      </c>
      <c r="F25" s="35" t="s">
        <v>27</v>
      </c>
      <c r="G25" s="46"/>
      <c r="H25" s="46"/>
      <c r="I25" s="46"/>
      <c r="J25" s="46"/>
      <c r="K25" s="46"/>
      <c r="L25" s="46"/>
      <c r="M25" s="46"/>
      <c r="N25" s="46"/>
      <c r="O25" s="45"/>
      <c r="P25" s="40"/>
    </row>
    <row r="26" spans="1:16" s="41" customFormat="1" ht="30" customHeight="1">
      <c r="A26" s="42">
        <v>24</v>
      </c>
      <c r="B26" s="43" t="s">
        <v>38</v>
      </c>
      <c r="C26" s="42"/>
      <c r="D26" s="43"/>
      <c r="E26" s="43" t="s">
        <v>435</v>
      </c>
      <c r="F26" s="43" t="s">
        <v>27</v>
      </c>
      <c r="G26" s="44"/>
      <c r="H26" s="44"/>
      <c r="I26" s="44"/>
      <c r="J26" s="44"/>
      <c r="K26" s="44"/>
      <c r="L26" s="44"/>
      <c r="M26" s="44"/>
      <c r="N26" s="44"/>
      <c r="O26" s="45"/>
      <c r="P26" s="40"/>
    </row>
    <row r="27" spans="1:16" s="41" customFormat="1" ht="30" customHeight="1">
      <c r="A27" s="34">
        <v>25</v>
      </c>
      <c r="B27" s="35" t="s">
        <v>39</v>
      </c>
      <c r="C27" s="34"/>
      <c r="D27" s="35"/>
      <c r="E27" s="35" t="s">
        <v>435</v>
      </c>
      <c r="F27" s="35" t="s">
        <v>27</v>
      </c>
      <c r="G27" s="46"/>
      <c r="H27" s="46"/>
      <c r="I27" s="46"/>
      <c r="J27" s="46"/>
      <c r="K27" s="46"/>
      <c r="L27" s="46"/>
      <c r="M27" s="46"/>
      <c r="N27" s="46"/>
      <c r="O27" s="45"/>
      <c r="P27" s="40"/>
    </row>
    <row r="28" spans="1:16" s="41" customFormat="1" ht="30" customHeight="1">
      <c r="A28" s="42">
        <v>26</v>
      </c>
      <c r="B28" s="43" t="s">
        <v>40</v>
      </c>
      <c r="C28" s="42"/>
      <c r="D28" s="43"/>
      <c r="E28" s="43" t="s">
        <v>435</v>
      </c>
      <c r="F28" s="43" t="s">
        <v>27</v>
      </c>
      <c r="G28" s="44"/>
      <c r="H28" s="44"/>
      <c r="I28" s="44"/>
      <c r="J28" s="44"/>
      <c r="K28" s="44"/>
      <c r="L28" s="44"/>
      <c r="M28" s="44"/>
      <c r="N28" s="44"/>
      <c r="O28" s="45"/>
      <c r="P28" s="40"/>
    </row>
    <row r="29" spans="1:16" s="41" customFormat="1" ht="30" customHeight="1">
      <c r="A29" s="34">
        <v>27</v>
      </c>
      <c r="B29" s="35" t="s">
        <v>41</v>
      </c>
      <c r="C29" s="34"/>
      <c r="D29" s="35" t="s">
        <v>42</v>
      </c>
      <c r="E29" s="35" t="s">
        <v>435</v>
      </c>
      <c r="F29" s="35" t="s">
        <v>35</v>
      </c>
      <c r="G29" s="46"/>
      <c r="H29" s="46"/>
      <c r="I29" s="46"/>
      <c r="J29" s="46"/>
      <c r="K29" s="46"/>
      <c r="L29" s="46"/>
      <c r="M29" s="46"/>
      <c r="N29" s="46"/>
      <c r="O29" s="45"/>
      <c r="P29" s="40"/>
    </row>
    <row r="30" spans="1:16" s="41" customFormat="1" ht="30" customHeight="1">
      <c r="A30" s="42">
        <v>28</v>
      </c>
      <c r="B30" s="43" t="s">
        <v>43</v>
      </c>
      <c r="C30" s="42"/>
      <c r="D30" s="43"/>
      <c r="E30" s="43" t="s">
        <v>435</v>
      </c>
      <c r="F30" s="43" t="s">
        <v>35</v>
      </c>
      <c r="G30" s="44"/>
      <c r="H30" s="44"/>
      <c r="I30" s="44"/>
      <c r="J30" s="44"/>
      <c r="K30" s="44"/>
      <c r="L30" s="44"/>
      <c r="M30" s="44"/>
      <c r="N30" s="44"/>
      <c r="O30" s="45"/>
      <c r="P30" s="40"/>
    </row>
    <row r="31" spans="1:16" s="41" customFormat="1" ht="30" customHeight="1">
      <c r="A31" s="34">
        <v>29</v>
      </c>
      <c r="B31" s="35" t="s">
        <v>44</v>
      </c>
      <c r="C31" s="34"/>
      <c r="D31" s="35" t="s">
        <v>42</v>
      </c>
      <c r="E31" s="35" t="s">
        <v>435</v>
      </c>
      <c r="F31" s="35" t="s">
        <v>35</v>
      </c>
      <c r="G31" s="46"/>
      <c r="H31" s="46"/>
      <c r="I31" s="46"/>
      <c r="J31" s="46"/>
      <c r="K31" s="46"/>
      <c r="L31" s="46"/>
      <c r="M31" s="46"/>
      <c r="N31" s="46"/>
      <c r="O31" s="45"/>
      <c r="P31" s="40"/>
    </row>
    <row r="32" spans="1:16" s="41" customFormat="1" ht="30" customHeight="1">
      <c r="A32" s="42">
        <v>30</v>
      </c>
      <c r="B32" s="43" t="s">
        <v>45</v>
      </c>
      <c r="C32" s="42"/>
      <c r="D32" s="43"/>
      <c r="E32" s="43" t="s">
        <v>435</v>
      </c>
      <c r="F32" s="43" t="s">
        <v>35</v>
      </c>
      <c r="G32" s="44"/>
      <c r="H32" s="44"/>
      <c r="I32" s="44"/>
      <c r="J32" s="44"/>
      <c r="K32" s="44"/>
      <c r="L32" s="44"/>
      <c r="M32" s="44"/>
      <c r="N32" s="44"/>
      <c r="O32" s="45"/>
      <c r="P32" s="40"/>
    </row>
    <row r="33" spans="1:16" s="41" customFormat="1" ht="30" customHeight="1">
      <c r="A33" s="34">
        <v>31</v>
      </c>
      <c r="B33" s="35" t="s">
        <v>46</v>
      </c>
      <c r="C33" s="34" t="s">
        <v>400</v>
      </c>
      <c r="D33" s="35"/>
      <c r="E33" s="35" t="s">
        <v>435</v>
      </c>
      <c r="F33" s="35" t="s">
        <v>35</v>
      </c>
      <c r="G33" s="46"/>
      <c r="H33" s="46"/>
      <c r="I33" s="46"/>
      <c r="J33" s="46"/>
      <c r="K33" s="46"/>
      <c r="L33" s="46"/>
      <c r="M33" s="46"/>
      <c r="N33" s="46"/>
      <c r="O33" s="45"/>
      <c r="P33" s="40"/>
    </row>
    <row r="34" spans="1:16" s="41" customFormat="1" ht="30" customHeight="1">
      <c r="A34" s="42">
        <v>32</v>
      </c>
      <c r="B34" s="43" t="s">
        <v>47</v>
      </c>
      <c r="C34" s="42"/>
      <c r="D34" s="43"/>
      <c r="E34" s="43" t="s">
        <v>435</v>
      </c>
      <c r="F34" s="43" t="s">
        <v>35</v>
      </c>
      <c r="G34" s="44"/>
      <c r="H34" s="44"/>
      <c r="I34" s="44"/>
      <c r="J34" s="44"/>
      <c r="K34" s="44"/>
      <c r="L34" s="44"/>
      <c r="M34" s="44"/>
      <c r="N34" s="44"/>
      <c r="O34" s="45"/>
      <c r="P34" s="40"/>
    </row>
    <row r="35" spans="1:16" s="41" customFormat="1" ht="30" customHeight="1">
      <c r="A35" s="34">
        <v>33</v>
      </c>
      <c r="B35" s="35" t="s">
        <v>48</v>
      </c>
      <c r="C35" s="34"/>
      <c r="D35" s="35"/>
      <c r="E35" s="35" t="s">
        <v>435</v>
      </c>
      <c r="F35" s="35" t="s">
        <v>35</v>
      </c>
      <c r="G35" s="46"/>
      <c r="H35" s="46"/>
      <c r="I35" s="46"/>
      <c r="J35" s="46"/>
      <c r="K35" s="46"/>
      <c r="L35" s="46"/>
      <c r="M35" s="46"/>
      <c r="N35" s="46"/>
      <c r="O35" s="45"/>
      <c r="P35" s="40"/>
    </row>
    <row r="36" spans="1:16" s="41" customFormat="1" ht="30" customHeight="1">
      <c r="A36" s="42">
        <v>34</v>
      </c>
      <c r="B36" s="43" t="s">
        <v>49</v>
      </c>
      <c r="C36" s="42"/>
      <c r="D36" s="43" t="s">
        <v>42</v>
      </c>
      <c r="E36" s="43" t="s">
        <v>435</v>
      </c>
      <c r="F36" s="43" t="s">
        <v>35</v>
      </c>
      <c r="G36" s="44"/>
      <c r="H36" s="44"/>
      <c r="I36" s="44"/>
      <c r="J36" s="44"/>
      <c r="K36" s="44"/>
      <c r="L36" s="44"/>
      <c r="M36" s="44"/>
      <c r="N36" s="44"/>
      <c r="O36" s="45"/>
      <c r="P36" s="40"/>
    </row>
    <row r="37" spans="1:16" s="41" customFormat="1" ht="30" customHeight="1">
      <c r="A37" s="34">
        <v>35</v>
      </c>
      <c r="B37" s="35" t="s">
        <v>50</v>
      </c>
      <c r="C37" s="34" t="s">
        <v>401</v>
      </c>
      <c r="D37" s="35"/>
      <c r="E37" s="35" t="s">
        <v>432</v>
      </c>
      <c r="F37" s="35"/>
      <c r="G37" s="80" t="s">
        <v>447</v>
      </c>
      <c r="H37" s="35" t="s">
        <v>540</v>
      </c>
      <c r="I37" s="35" t="s">
        <v>593</v>
      </c>
      <c r="J37" s="80" t="s">
        <v>462</v>
      </c>
      <c r="K37" s="35" t="s">
        <v>549</v>
      </c>
      <c r="L37" s="35" t="s">
        <v>51</v>
      </c>
      <c r="M37" s="35" t="s">
        <v>496</v>
      </c>
      <c r="N37" s="47"/>
      <c r="O37" s="45"/>
      <c r="P37" s="40"/>
    </row>
    <row r="38" spans="1:16" s="41" customFormat="1" ht="30" customHeight="1">
      <c r="A38" s="34"/>
      <c r="B38" s="35"/>
      <c r="C38" s="34"/>
      <c r="D38" s="35"/>
      <c r="E38" s="35"/>
      <c r="F38" s="35"/>
      <c r="G38" s="80" t="s">
        <v>543</v>
      </c>
      <c r="H38" s="35" t="s">
        <v>541</v>
      </c>
      <c r="I38" s="35"/>
      <c r="J38" s="80"/>
      <c r="K38" s="35" t="s">
        <v>544</v>
      </c>
      <c r="L38" s="35" t="s">
        <v>548</v>
      </c>
      <c r="M38" s="35"/>
      <c r="N38" s="47"/>
      <c r="O38" s="45"/>
      <c r="P38" s="40"/>
    </row>
    <row r="39" spans="1:16" s="41" customFormat="1" ht="30" customHeight="1">
      <c r="A39" s="34"/>
      <c r="B39" s="35"/>
      <c r="C39" s="34"/>
      <c r="D39" s="35"/>
      <c r="E39" s="35"/>
      <c r="F39" s="35"/>
      <c r="G39" s="80" t="s">
        <v>449</v>
      </c>
      <c r="H39" s="35"/>
      <c r="I39" s="35"/>
      <c r="J39" s="80"/>
      <c r="K39" s="35" t="s">
        <v>545</v>
      </c>
      <c r="L39" s="35"/>
      <c r="M39" s="35"/>
      <c r="N39" s="47"/>
      <c r="O39" s="45"/>
      <c r="P39" s="40"/>
    </row>
    <row r="40" spans="1:16" s="41" customFormat="1" ht="30" customHeight="1">
      <c r="A40" s="42">
        <v>36</v>
      </c>
      <c r="B40" s="43" t="s">
        <v>53</v>
      </c>
      <c r="C40" s="42"/>
      <c r="D40" s="43" t="s">
        <v>42</v>
      </c>
      <c r="E40" s="43" t="s">
        <v>435</v>
      </c>
      <c r="F40" s="43" t="s">
        <v>35</v>
      </c>
      <c r="G40" s="44"/>
      <c r="H40" s="44"/>
      <c r="I40" s="44"/>
      <c r="J40" s="44"/>
      <c r="K40" s="44"/>
      <c r="L40" s="44"/>
      <c r="M40" s="44"/>
      <c r="N40" s="44"/>
      <c r="O40" s="45"/>
      <c r="P40" s="40"/>
    </row>
    <row r="41" spans="1:16" s="41" customFormat="1" ht="30" customHeight="1">
      <c r="A41" s="34">
        <v>37</v>
      </c>
      <c r="B41" s="35" t="s">
        <v>54</v>
      </c>
      <c r="C41" s="34" t="s">
        <v>402</v>
      </c>
      <c r="D41" s="35"/>
      <c r="E41" s="35" t="s">
        <v>435</v>
      </c>
      <c r="F41" s="35" t="s">
        <v>35</v>
      </c>
      <c r="G41" s="46"/>
      <c r="H41" s="46"/>
      <c r="I41" s="46"/>
      <c r="J41" s="46"/>
      <c r="K41" s="46"/>
      <c r="L41" s="46"/>
      <c r="M41" s="46"/>
      <c r="N41" s="46"/>
      <c r="O41" s="45"/>
      <c r="P41" s="40"/>
    </row>
    <row r="42" spans="1:16" s="41" customFormat="1" ht="30" customHeight="1">
      <c r="A42" s="48">
        <v>38</v>
      </c>
      <c r="B42" s="49" t="s">
        <v>55</v>
      </c>
      <c r="C42" s="48" t="s">
        <v>519</v>
      </c>
      <c r="D42" s="49"/>
      <c r="E42" s="49" t="s">
        <v>428</v>
      </c>
      <c r="F42" s="49"/>
      <c r="G42" s="49" t="s">
        <v>527</v>
      </c>
      <c r="H42" s="49" t="s">
        <v>441</v>
      </c>
      <c r="I42" s="49" t="s">
        <v>594</v>
      </c>
      <c r="J42" s="29" t="s">
        <v>459</v>
      </c>
      <c r="K42" s="49" t="s">
        <v>604</v>
      </c>
      <c r="L42" s="49" t="s">
        <v>520</v>
      </c>
      <c r="M42" s="49" t="s">
        <v>448</v>
      </c>
      <c r="N42" s="50"/>
      <c r="O42" s="45"/>
      <c r="P42" s="40"/>
    </row>
    <row r="43" spans="1:16" s="41" customFormat="1" ht="30" customHeight="1">
      <c r="A43" s="34">
        <v>39</v>
      </c>
      <c r="B43" s="35" t="s">
        <v>56</v>
      </c>
      <c r="C43" s="34"/>
      <c r="D43" s="35"/>
      <c r="E43" s="35" t="s">
        <v>428</v>
      </c>
      <c r="F43" s="35" t="s">
        <v>86</v>
      </c>
      <c r="G43" s="46"/>
      <c r="H43" s="46"/>
      <c r="I43" s="46"/>
      <c r="J43" s="46"/>
      <c r="K43" s="46"/>
      <c r="L43" s="46"/>
      <c r="M43" s="46"/>
      <c r="N43" s="46"/>
      <c r="O43" s="45"/>
      <c r="P43" s="40"/>
    </row>
    <row r="44" spans="1:16" s="41" customFormat="1" ht="57" customHeight="1">
      <c r="A44" s="42">
        <v>40</v>
      </c>
      <c r="B44" s="43" t="s">
        <v>57</v>
      </c>
      <c r="C44" s="42"/>
      <c r="D44" s="43"/>
      <c r="E44" s="43" t="s">
        <v>428</v>
      </c>
      <c r="F44" s="43" t="s">
        <v>521</v>
      </c>
      <c r="G44" s="46"/>
      <c r="H44" s="46"/>
      <c r="I44" s="46"/>
      <c r="J44" s="46"/>
      <c r="K44" s="46"/>
      <c r="L44" s="46"/>
      <c r="M44" s="46"/>
      <c r="N44" s="46"/>
      <c r="O44" s="45"/>
      <c r="P44" s="40"/>
    </row>
    <row r="45" spans="1:16" s="41" customFormat="1" ht="186.75" customHeight="1">
      <c r="A45" s="34">
        <v>41</v>
      </c>
      <c r="B45" s="35" t="s">
        <v>58</v>
      </c>
      <c r="C45" s="34" t="s">
        <v>522</v>
      </c>
      <c r="D45" s="35" t="s">
        <v>523</v>
      </c>
      <c r="E45" s="35" t="s">
        <v>428</v>
      </c>
      <c r="F45" s="35"/>
      <c r="G45" s="80" t="s">
        <v>564</v>
      </c>
      <c r="H45" s="35" t="s">
        <v>452</v>
      </c>
      <c r="I45" s="35" t="s">
        <v>595</v>
      </c>
      <c r="J45" s="80" t="s">
        <v>459</v>
      </c>
      <c r="K45" s="35" t="s">
        <v>580</v>
      </c>
      <c r="L45" s="35" t="s">
        <v>455</v>
      </c>
      <c r="M45" s="35" t="s">
        <v>456</v>
      </c>
      <c r="N45" s="47"/>
      <c r="O45" s="45"/>
      <c r="P45" s="40"/>
    </row>
    <row r="46" spans="1:16" s="41" customFormat="1" ht="69.75" customHeight="1">
      <c r="A46" s="48">
        <v>42</v>
      </c>
      <c r="B46" s="49" t="s">
        <v>59</v>
      </c>
      <c r="C46" s="48">
        <v>273</v>
      </c>
      <c r="D46" s="49" t="s">
        <v>524</v>
      </c>
      <c r="E46" s="49" t="s">
        <v>428</v>
      </c>
      <c r="F46" s="49"/>
      <c r="G46" s="29" t="s">
        <v>453</v>
      </c>
      <c r="H46" s="49" t="s">
        <v>441</v>
      </c>
      <c r="I46" s="49" t="s">
        <v>595</v>
      </c>
      <c r="J46" s="29" t="s">
        <v>459</v>
      </c>
      <c r="K46" s="49" t="s">
        <v>460</v>
      </c>
      <c r="L46" s="49" t="s">
        <v>454</v>
      </c>
      <c r="M46" s="49" t="s">
        <v>443</v>
      </c>
      <c r="N46" s="50" t="s">
        <v>68</v>
      </c>
      <c r="O46" s="45"/>
      <c r="P46" s="40"/>
    </row>
    <row r="47" spans="1:16" s="41" customFormat="1" ht="30" customHeight="1">
      <c r="A47" s="34">
        <v>43</v>
      </c>
      <c r="B47" s="35" t="s">
        <v>60</v>
      </c>
      <c r="C47" s="34"/>
      <c r="D47" s="35"/>
      <c r="E47" s="35" t="s">
        <v>428</v>
      </c>
      <c r="F47" s="35" t="s">
        <v>525</v>
      </c>
      <c r="G47" s="46"/>
      <c r="H47" s="46"/>
      <c r="I47" s="46"/>
      <c r="J47" s="46"/>
      <c r="K47" s="46"/>
      <c r="L47" s="46"/>
      <c r="M47" s="46"/>
      <c r="N47" s="46"/>
      <c r="O47" s="45">
        <v>1</v>
      </c>
      <c r="P47" s="40"/>
    </row>
    <row r="48" spans="1:16" s="41" customFormat="1" ht="405" customHeight="1">
      <c r="A48" s="48">
        <v>44</v>
      </c>
      <c r="B48" s="49" t="s">
        <v>61</v>
      </c>
      <c r="C48" s="48" t="s">
        <v>403</v>
      </c>
      <c r="D48" s="49" t="s">
        <v>489</v>
      </c>
      <c r="E48" s="49" t="s">
        <v>429</v>
      </c>
      <c r="F48" s="49"/>
      <c r="G48" s="29" t="s">
        <v>608</v>
      </c>
      <c r="H48" s="49" t="s">
        <v>609</v>
      </c>
      <c r="I48" s="49" t="s">
        <v>595</v>
      </c>
      <c r="J48" s="29" t="s">
        <v>468</v>
      </c>
      <c r="K48" s="49" t="s">
        <v>488</v>
      </c>
      <c r="L48" s="49" t="s">
        <v>490</v>
      </c>
      <c r="M48" s="49" t="s">
        <v>491</v>
      </c>
      <c r="N48" s="50" t="s">
        <v>492</v>
      </c>
      <c r="O48" s="45"/>
      <c r="P48" s="40"/>
    </row>
    <row r="49" spans="1:16" s="41" customFormat="1" ht="104.25" customHeight="1">
      <c r="A49" s="55"/>
      <c r="B49" s="56"/>
      <c r="C49" s="55"/>
      <c r="D49" s="56"/>
      <c r="E49" s="56"/>
      <c r="F49" s="56"/>
      <c r="G49" s="57" t="s">
        <v>607</v>
      </c>
      <c r="H49" s="56"/>
      <c r="I49" s="56"/>
      <c r="J49" s="57"/>
      <c r="K49" s="56"/>
      <c r="L49" s="56"/>
      <c r="M49" s="56"/>
      <c r="N49" s="58"/>
      <c r="O49" s="45"/>
      <c r="P49" s="40"/>
    </row>
    <row r="50" spans="1:16" s="41" customFormat="1" ht="153">
      <c r="A50" s="34">
        <v>45</v>
      </c>
      <c r="B50" s="35" t="s">
        <v>65</v>
      </c>
      <c r="C50" s="34" t="s">
        <v>404</v>
      </c>
      <c r="D50" s="35" t="s">
        <v>62</v>
      </c>
      <c r="E50" s="35" t="s">
        <v>429</v>
      </c>
      <c r="F50" s="35"/>
      <c r="G50" s="80" t="s">
        <v>591</v>
      </c>
      <c r="H50" s="35" t="s">
        <v>464</v>
      </c>
      <c r="I50" s="35" t="s">
        <v>595</v>
      </c>
      <c r="J50" s="80" t="s">
        <v>459</v>
      </c>
      <c r="K50" s="35" t="s">
        <v>495</v>
      </c>
      <c r="L50" s="35" t="s">
        <v>592</v>
      </c>
      <c r="M50" s="35" t="s">
        <v>465</v>
      </c>
      <c r="N50" s="47" t="s">
        <v>466</v>
      </c>
      <c r="O50" s="45"/>
      <c r="P50" s="40"/>
    </row>
    <row r="51" spans="1:16" s="41" customFormat="1" ht="127.5">
      <c r="A51" s="48">
        <v>46</v>
      </c>
      <c r="B51" s="49" t="s">
        <v>66</v>
      </c>
      <c r="C51" s="48" t="s">
        <v>405</v>
      </c>
      <c r="D51" s="49" t="s">
        <v>67</v>
      </c>
      <c r="E51" s="49" t="s">
        <v>428</v>
      </c>
      <c r="F51" s="49"/>
      <c r="G51" s="29" t="s">
        <v>565</v>
      </c>
      <c r="H51" s="49" t="s">
        <v>457</v>
      </c>
      <c r="I51" s="49" t="s">
        <v>595</v>
      </c>
      <c r="J51" s="29" t="s">
        <v>459</v>
      </c>
      <c r="K51" s="49" t="s">
        <v>461</v>
      </c>
      <c r="L51" s="49" t="s">
        <v>458</v>
      </c>
      <c r="M51" s="49" t="s">
        <v>456</v>
      </c>
      <c r="N51" s="50" t="s">
        <v>68</v>
      </c>
      <c r="O51" s="45"/>
      <c r="P51" s="40"/>
    </row>
    <row r="52" spans="1:16" s="41" customFormat="1" ht="267.75">
      <c r="A52" s="34">
        <v>47</v>
      </c>
      <c r="B52" s="35" t="s">
        <v>69</v>
      </c>
      <c r="C52" s="34">
        <v>271</v>
      </c>
      <c r="D52" s="35" t="s">
        <v>70</v>
      </c>
      <c r="E52" s="35" t="s">
        <v>430</v>
      </c>
      <c r="F52" s="35"/>
      <c r="G52" s="80" t="s">
        <v>566</v>
      </c>
      <c r="H52" s="35" t="s">
        <v>439</v>
      </c>
      <c r="I52" s="35" t="s">
        <v>595</v>
      </c>
      <c r="J52" s="80" t="s">
        <v>468</v>
      </c>
      <c r="K52" s="35"/>
      <c r="L52" s="35" t="s">
        <v>497</v>
      </c>
      <c r="M52" s="35" t="s">
        <v>496</v>
      </c>
      <c r="N52" s="47"/>
      <c r="O52" s="45"/>
      <c r="P52" s="40"/>
    </row>
    <row r="53" spans="1:16" s="41" customFormat="1" ht="395.25">
      <c r="A53" s="48">
        <v>48</v>
      </c>
      <c r="B53" s="49" t="s">
        <v>71</v>
      </c>
      <c r="C53" s="48" t="s">
        <v>463</v>
      </c>
      <c r="D53" s="49" t="s">
        <v>498</v>
      </c>
      <c r="E53" s="49" t="s">
        <v>431</v>
      </c>
      <c r="F53" s="49"/>
      <c r="G53" s="29" t="s">
        <v>567</v>
      </c>
      <c r="H53" s="49" t="s">
        <v>499</v>
      </c>
      <c r="I53" s="49" t="s">
        <v>594</v>
      </c>
      <c r="J53" s="29" t="s">
        <v>459</v>
      </c>
      <c r="K53" s="49" t="s">
        <v>568</v>
      </c>
      <c r="L53" s="49" t="s">
        <v>569</v>
      </c>
      <c r="M53" s="49" t="s">
        <v>500</v>
      </c>
      <c r="N53" s="50" t="s">
        <v>501</v>
      </c>
      <c r="O53" s="40"/>
    </row>
    <row r="54" spans="1:16" s="41" customFormat="1" ht="38.25">
      <c r="A54" s="34">
        <v>49</v>
      </c>
      <c r="B54" s="35" t="s">
        <v>73</v>
      </c>
      <c r="C54" s="34" t="s">
        <v>526</v>
      </c>
      <c r="D54" s="35" t="s">
        <v>74</v>
      </c>
      <c r="E54" s="35" t="s">
        <v>428</v>
      </c>
      <c r="F54" s="35"/>
      <c r="G54" s="80" t="s">
        <v>527</v>
      </c>
      <c r="H54" s="35" t="s">
        <v>441</v>
      </c>
      <c r="I54" s="35" t="s">
        <v>594</v>
      </c>
      <c r="J54" s="80" t="s">
        <v>459</v>
      </c>
      <c r="K54" s="35" t="s">
        <v>604</v>
      </c>
      <c r="L54" s="35" t="s">
        <v>75</v>
      </c>
      <c r="M54" s="35" t="s">
        <v>443</v>
      </c>
      <c r="N54" s="47" t="s">
        <v>68</v>
      </c>
      <c r="O54" s="45"/>
      <c r="P54" s="40"/>
    </row>
    <row r="55" spans="1:16" s="41" customFormat="1" ht="30" customHeight="1">
      <c r="A55" s="34"/>
      <c r="B55" s="35"/>
      <c r="C55" s="34"/>
      <c r="D55" s="35"/>
      <c r="E55" s="35"/>
      <c r="F55" s="35"/>
      <c r="G55" s="80" t="s">
        <v>528</v>
      </c>
      <c r="H55" s="35"/>
      <c r="I55" s="35"/>
      <c r="J55" s="80"/>
      <c r="K55" s="35"/>
      <c r="L55" s="35" t="s">
        <v>529</v>
      </c>
      <c r="M55" s="35"/>
      <c r="N55" s="47"/>
      <c r="O55" s="45"/>
      <c r="P55" s="40"/>
    </row>
    <row r="56" spans="1:16" s="41" customFormat="1" ht="30" customHeight="1">
      <c r="A56" s="34"/>
      <c r="B56" s="35"/>
      <c r="C56" s="34"/>
      <c r="D56" s="35"/>
      <c r="E56" s="35"/>
      <c r="F56" s="35"/>
      <c r="G56" s="35" t="s">
        <v>530</v>
      </c>
      <c r="H56" s="35" t="s">
        <v>531</v>
      </c>
      <c r="I56" s="35"/>
      <c r="J56" s="80"/>
      <c r="K56" s="35"/>
      <c r="L56" s="35"/>
      <c r="N56" s="47"/>
      <c r="O56" s="45"/>
      <c r="P56" s="40"/>
    </row>
    <row r="57" spans="1:16" s="41" customFormat="1" ht="30" customHeight="1">
      <c r="A57" s="42">
        <v>50</v>
      </c>
      <c r="B57" s="43" t="s">
        <v>76</v>
      </c>
      <c r="C57" s="42"/>
      <c r="D57" s="43"/>
      <c r="E57" s="43" t="s">
        <v>435</v>
      </c>
      <c r="F57" s="43" t="s">
        <v>13</v>
      </c>
      <c r="G57" s="44"/>
      <c r="H57" s="44"/>
      <c r="I57" s="44"/>
      <c r="J57" s="44"/>
      <c r="K57" s="44"/>
      <c r="L57" s="44"/>
      <c r="M57" s="44"/>
      <c r="N57" s="44"/>
      <c r="O57" s="45"/>
      <c r="P57" s="40"/>
    </row>
    <row r="58" spans="1:16" s="41" customFormat="1" ht="59.25" customHeight="1">
      <c r="A58" s="34">
        <v>51</v>
      </c>
      <c r="B58" s="35" t="s">
        <v>77</v>
      </c>
      <c r="C58" s="34" t="s">
        <v>406</v>
      </c>
      <c r="D58" s="59"/>
      <c r="E58" s="59" t="s">
        <v>432</v>
      </c>
      <c r="F58" s="59"/>
      <c r="G58" s="60" t="s">
        <v>542</v>
      </c>
      <c r="H58" s="59"/>
      <c r="I58" s="35" t="s">
        <v>594</v>
      </c>
      <c r="J58" s="80" t="s">
        <v>462</v>
      </c>
      <c r="K58" s="35" t="s">
        <v>553</v>
      </c>
      <c r="L58" s="59" t="s">
        <v>78</v>
      </c>
      <c r="M58" s="35" t="s">
        <v>554</v>
      </c>
      <c r="N58" s="61" t="s">
        <v>546</v>
      </c>
      <c r="O58" s="45"/>
      <c r="P58" s="40"/>
    </row>
    <row r="59" spans="1:16" s="41" customFormat="1" ht="30" customHeight="1">
      <c r="A59" s="42">
        <v>52</v>
      </c>
      <c r="B59" s="43" t="s">
        <v>80</v>
      </c>
      <c r="C59" s="42"/>
      <c r="D59" s="43"/>
      <c r="E59" s="43" t="s">
        <v>435</v>
      </c>
      <c r="F59" s="43" t="s">
        <v>35</v>
      </c>
      <c r="G59" s="44"/>
      <c r="H59" s="44"/>
      <c r="I59" s="44"/>
      <c r="J59" s="44"/>
      <c r="K59" s="44"/>
      <c r="L59" s="44"/>
      <c r="M59" s="44"/>
      <c r="N59" s="44"/>
      <c r="O59" s="45"/>
      <c r="P59" s="40"/>
    </row>
    <row r="60" spans="1:16" s="41" customFormat="1" ht="30" customHeight="1">
      <c r="A60" s="34">
        <v>53</v>
      </c>
      <c r="B60" s="35" t="s">
        <v>81</v>
      </c>
      <c r="C60" s="34">
        <v>299</v>
      </c>
      <c r="D60" s="35"/>
      <c r="E60" s="35" t="s">
        <v>435</v>
      </c>
      <c r="F60" s="35" t="s">
        <v>13</v>
      </c>
      <c r="G60" s="46"/>
      <c r="H60" s="44"/>
      <c r="I60" s="44"/>
      <c r="J60" s="46"/>
      <c r="K60" s="44"/>
      <c r="L60" s="44"/>
      <c r="M60" s="44"/>
      <c r="N60" s="44"/>
      <c r="O60" s="45"/>
      <c r="P60" s="40"/>
    </row>
    <row r="61" spans="1:16" s="41" customFormat="1" ht="30" customHeight="1">
      <c r="A61" s="34"/>
      <c r="B61" s="35"/>
      <c r="C61" s="34">
        <v>361</v>
      </c>
      <c r="D61" s="35"/>
      <c r="E61" s="35"/>
      <c r="F61" s="35"/>
      <c r="G61" s="46"/>
      <c r="H61" s="44"/>
      <c r="I61" s="44"/>
      <c r="J61" s="46"/>
      <c r="K61" s="44"/>
      <c r="L61" s="44"/>
      <c r="M61" s="44"/>
      <c r="N61" s="44"/>
      <c r="O61" s="45"/>
      <c r="P61" s="40"/>
    </row>
    <row r="62" spans="1:16" s="41" customFormat="1" ht="30" customHeight="1">
      <c r="A62" s="34"/>
      <c r="B62" s="35"/>
      <c r="C62" s="34">
        <v>367</v>
      </c>
      <c r="D62" s="35"/>
      <c r="E62" s="35"/>
      <c r="F62" s="35"/>
      <c r="G62" s="46"/>
      <c r="H62" s="44"/>
      <c r="I62" s="44"/>
      <c r="J62" s="46"/>
      <c r="K62" s="44"/>
      <c r="L62" s="44"/>
      <c r="M62" s="44"/>
      <c r="N62" s="44"/>
      <c r="O62" s="45"/>
      <c r="P62" s="40"/>
    </row>
    <row r="63" spans="1:16" s="41" customFormat="1" ht="48" customHeight="1">
      <c r="A63" s="48">
        <v>54</v>
      </c>
      <c r="B63" s="49" t="s">
        <v>82</v>
      </c>
      <c r="C63" s="48" t="s">
        <v>407</v>
      </c>
      <c r="D63" s="49"/>
      <c r="E63" s="49" t="s">
        <v>432</v>
      </c>
      <c r="F63" s="49"/>
      <c r="G63" s="49" t="s">
        <v>493</v>
      </c>
      <c r="H63" s="49"/>
      <c r="I63" s="49" t="s">
        <v>593</v>
      </c>
      <c r="J63" s="49" t="s">
        <v>462</v>
      </c>
      <c r="K63" s="49" t="s">
        <v>550</v>
      </c>
      <c r="L63" s="49" t="s">
        <v>547</v>
      </c>
      <c r="M63" s="49"/>
      <c r="N63" s="50"/>
      <c r="O63" s="45"/>
      <c r="P63" s="40"/>
    </row>
    <row r="64" spans="1:16" s="41" customFormat="1" ht="33.75" customHeight="1">
      <c r="A64" s="34">
        <v>55</v>
      </c>
      <c r="B64" s="35" t="s">
        <v>83</v>
      </c>
      <c r="C64" s="34"/>
      <c r="D64" s="35"/>
      <c r="E64" s="35" t="s">
        <v>432</v>
      </c>
      <c r="F64" s="35"/>
      <c r="G64" s="35" t="s">
        <v>493</v>
      </c>
      <c r="H64" s="35"/>
      <c r="I64" s="35" t="s">
        <v>593</v>
      </c>
      <c r="J64" s="35" t="s">
        <v>462</v>
      </c>
      <c r="K64" s="35" t="s">
        <v>551</v>
      </c>
      <c r="L64" s="35" t="s">
        <v>547</v>
      </c>
      <c r="M64" s="35"/>
      <c r="N64" s="35"/>
      <c r="O64" s="45">
        <v>1</v>
      </c>
      <c r="P64" s="40"/>
    </row>
    <row r="65" spans="1:16" s="41" customFormat="1" ht="30" customHeight="1">
      <c r="A65" s="42">
        <v>56</v>
      </c>
      <c r="B65" s="43" t="s">
        <v>84</v>
      </c>
      <c r="C65" s="42"/>
      <c r="D65" s="43"/>
      <c r="E65" s="43" t="s">
        <v>435</v>
      </c>
      <c r="F65" s="43" t="s">
        <v>13</v>
      </c>
      <c r="G65" s="44"/>
      <c r="H65" s="44"/>
      <c r="I65" s="44"/>
      <c r="J65" s="44"/>
      <c r="K65" s="44"/>
      <c r="L65" s="44"/>
      <c r="M65" s="44"/>
      <c r="N65" s="44"/>
      <c r="O65" s="45"/>
      <c r="P65" s="40"/>
    </row>
    <row r="66" spans="1:16" s="41" customFormat="1" ht="30" customHeight="1">
      <c r="A66" s="34">
        <v>57</v>
      </c>
      <c r="B66" s="35" t="s">
        <v>85</v>
      </c>
      <c r="C66" s="34"/>
      <c r="D66" s="35"/>
      <c r="E66" s="35" t="s">
        <v>589</v>
      </c>
      <c r="F66" s="35" t="s">
        <v>86</v>
      </c>
      <c r="G66" s="46"/>
      <c r="H66" s="44"/>
      <c r="I66" s="44"/>
      <c r="J66" s="46"/>
      <c r="K66" s="44"/>
      <c r="L66" s="44"/>
      <c r="M66" s="44"/>
      <c r="N66" s="44"/>
      <c r="O66" s="45"/>
      <c r="P66" s="40"/>
    </row>
    <row r="67" spans="1:16" s="41" customFormat="1" ht="30" customHeight="1">
      <c r="A67" s="42">
        <v>58</v>
      </c>
      <c r="B67" s="43" t="s">
        <v>87</v>
      </c>
      <c r="C67" s="42"/>
      <c r="D67" s="43"/>
      <c r="E67" s="43" t="s">
        <v>589</v>
      </c>
      <c r="F67" s="43" t="s">
        <v>86</v>
      </c>
      <c r="G67" s="44"/>
      <c r="H67" s="44"/>
      <c r="I67" s="44"/>
      <c r="J67" s="44"/>
      <c r="K67" s="44"/>
      <c r="L67" s="44"/>
      <c r="M67" s="44"/>
      <c r="N67" s="44"/>
      <c r="O67" s="45"/>
      <c r="P67" s="40"/>
    </row>
    <row r="68" spans="1:16" s="41" customFormat="1" ht="30" customHeight="1">
      <c r="A68" s="34">
        <v>59</v>
      </c>
      <c r="B68" s="35" t="s">
        <v>88</v>
      </c>
      <c r="C68" s="34"/>
      <c r="D68" s="35"/>
      <c r="E68" s="35" t="s">
        <v>589</v>
      </c>
      <c r="F68" s="35" t="s">
        <v>86</v>
      </c>
      <c r="G68" s="46"/>
      <c r="H68" s="44"/>
      <c r="I68" s="44"/>
      <c r="J68" s="46"/>
      <c r="K68" s="44"/>
      <c r="L68" s="44"/>
      <c r="M68" s="44"/>
      <c r="N68" s="44"/>
      <c r="O68" s="45"/>
      <c r="P68" s="40"/>
    </row>
    <row r="69" spans="1:16" s="41" customFormat="1" ht="30" customHeight="1">
      <c r="A69" s="42">
        <v>60</v>
      </c>
      <c r="B69" s="43" t="s">
        <v>89</v>
      </c>
      <c r="C69" s="42"/>
      <c r="D69" s="43"/>
      <c r="E69" s="43" t="s">
        <v>589</v>
      </c>
      <c r="F69" s="43" t="s">
        <v>86</v>
      </c>
      <c r="G69" s="44"/>
      <c r="H69" s="44"/>
      <c r="I69" s="44"/>
      <c r="J69" s="44"/>
      <c r="K69" s="44"/>
      <c r="L69" s="44"/>
      <c r="M69" s="44"/>
      <c r="N69" s="44"/>
      <c r="O69" s="45"/>
      <c r="P69" s="40"/>
    </row>
    <row r="70" spans="1:16" s="41" customFormat="1" ht="63.75" customHeight="1">
      <c r="A70" s="34">
        <v>61</v>
      </c>
      <c r="B70" s="35" t="s">
        <v>90</v>
      </c>
      <c r="C70" s="34"/>
      <c r="D70" s="35"/>
      <c r="E70" s="35" t="s">
        <v>589</v>
      </c>
      <c r="F70" s="35" t="s">
        <v>86</v>
      </c>
      <c r="G70" s="46"/>
      <c r="H70" s="44"/>
      <c r="I70" s="44"/>
      <c r="J70" s="46"/>
      <c r="K70" s="44"/>
      <c r="L70" s="44"/>
      <c r="M70" s="44"/>
      <c r="N70" s="44"/>
      <c r="O70" s="45"/>
      <c r="P70" s="40"/>
    </row>
    <row r="71" spans="1:16" s="41" customFormat="1" ht="45" customHeight="1">
      <c r="A71" s="42">
        <v>62</v>
      </c>
      <c r="B71" s="43" t="s">
        <v>91</v>
      </c>
      <c r="C71" s="42"/>
      <c r="D71" s="43"/>
      <c r="E71" s="43" t="s">
        <v>435</v>
      </c>
      <c r="F71" s="43" t="s">
        <v>86</v>
      </c>
      <c r="G71" s="44"/>
      <c r="H71" s="44"/>
      <c r="I71" s="44"/>
      <c r="J71" s="44"/>
      <c r="K71" s="44"/>
      <c r="L71" s="44"/>
      <c r="M71" s="44"/>
      <c r="N71" s="44"/>
      <c r="O71" s="45"/>
      <c r="P71" s="40"/>
    </row>
    <row r="72" spans="1:16" s="41" customFormat="1" ht="30" customHeight="1">
      <c r="A72" s="34">
        <v>63</v>
      </c>
      <c r="B72" s="35" t="s">
        <v>92</v>
      </c>
      <c r="C72" s="34"/>
      <c r="D72" s="35"/>
      <c r="E72" s="35" t="s">
        <v>435</v>
      </c>
      <c r="F72" s="35" t="s">
        <v>86</v>
      </c>
      <c r="G72" s="46"/>
      <c r="H72" s="44"/>
      <c r="I72" s="44"/>
      <c r="J72" s="46"/>
      <c r="K72" s="44"/>
      <c r="L72" s="44"/>
      <c r="M72" s="44"/>
      <c r="N72" s="44"/>
      <c r="O72" s="45"/>
      <c r="P72" s="40"/>
    </row>
    <row r="73" spans="1:16" s="41" customFormat="1" ht="30" customHeight="1">
      <c r="A73" s="42">
        <v>64</v>
      </c>
      <c r="B73" s="43" t="s">
        <v>93</v>
      </c>
      <c r="C73" s="42"/>
      <c r="D73" s="43"/>
      <c r="E73" s="43" t="s">
        <v>435</v>
      </c>
      <c r="F73" s="43" t="s">
        <v>35</v>
      </c>
      <c r="G73" s="44"/>
      <c r="H73" s="44"/>
      <c r="I73" s="44"/>
      <c r="J73" s="44"/>
      <c r="K73" s="44"/>
      <c r="L73" s="44"/>
      <c r="M73" s="44"/>
      <c r="N73" s="44"/>
      <c r="O73" s="45"/>
      <c r="P73" s="40"/>
    </row>
    <row r="74" spans="1:16" s="41" customFormat="1" ht="30" customHeight="1">
      <c r="A74" s="34">
        <v>65</v>
      </c>
      <c r="B74" s="35" t="s">
        <v>94</v>
      </c>
      <c r="C74" s="34"/>
      <c r="D74" s="35"/>
      <c r="E74" s="35" t="s">
        <v>435</v>
      </c>
      <c r="F74" s="35" t="s">
        <v>35</v>
      </c>
      <c r="G74" s="46"/>
      <c r="H74" s="44"/>
      <c r="I74" s="44"/>
      <c r="J74" s="46"/>
      <c r="K74" s="44"/>
      <c r="L74" s="44"/>
      <c r="M74" s="44"/>
      <c r="N74" s="44"/>
      <c r="O74" s="45"/>
      <c r="P74" s="40"/>
    </row>
    <row r="75" spans="1:16" s="41" customFormat="1" ht="30" customHeight="1">
      <c r="A75" s="42">
        <v>66</v>
      </c>
      <c r="B75" s="43" t="s">
        <v>95</v>
      </c>
      <c r="C75" s="42"/>
      <c r="D75" s="43"/>
      <c r="E75" s="43" t="s">
        <v>435</v>
      </c>
      <c r="F75" s="43" t="s">
        <v>35</v>
      </c>
      <c r="G75" s="44"/>
      <c r="H75" s="44"/>
      <c r="I75" s="44"/>
      <c r="J75" s="44"/>
      <c r="K75" s="44"/>
      <c r="L75" s="44"/>
      <c r="M75" s="44"/>
      <c r="N75" s="44"/>
      <c r="O75" s="45"/>
      <c r="P75" s="40"/>
    </row>
    <row r="76" spans="1:16" s="41" customFormat="1" ht="30" customHeight="1">
      <c r="A76" s="34">
        <v>67</v>
      </c>
      <c r="B76" s="35" t="s">
        <v>96</v>
      </c>
      <c r="C76" s="34"/>
      <c r="D76" s="35"/>
      <c r="E76" s="35" t="s">
        <v>435</v>
      </c>
      <c r="F76" s="35" t="s">
        <v>35</v>
      </c>
      <c r="G76" s="46"/>
      <c r="H76" s="44"/>
      <c r="I76" s="44"/>
      <c r="J76" s="46"/>
      <c r="K76" s="44"/>
      <c r="L76" s="44"/>
      <c r="M76" s="44"/>
      <c r="N76" s="44"/>
      <c r="O76" s="45"/>
      <c r="P76" s="40"/>
    </row>
    <row r="77" spans="1:16" s="41" customFormat="1" ht="30" customHeight="1">
      <c r="A77" s="42">
        <v>68</v>
      </c>
      <c r="B77" s="43" t="s">
        <v>97</v>
      </c>
      <c r="C77" s="42"/>
      <c r="D77" s="43"/>
      <c r="E77" s="43" t="s">
        <v>435</v>
      </c>
      <c r="F77" s="43" t="s">
        <v>35</v>
      </c>
      <c r="G77" s="44"/>
      <c r="H77" s="44"/>
      <c r="I77" s="44"/>
      <c r="J77" s="44"/>
      <c r="K77" s="44"/>
      <c r="L77" s="44"/>
      <c r="M77" s="44"/>
      <c r="N77" s="44"/>
      <c r="O77" s="45"/>
      <c r="P77" s="40"/>
    </row>
    <row r="78" spans="1:16" s="41" customFormat="1" ht="63.75" customHeight="1">
      <c r="A78" s="34">
        <v>69</v>
      </c>
      <c r="B78" s="35" t="s">
        <v>98</v>
      </c>
      <c r="C78" s="34"/>
      <c r="D78" s="35"/>
      <c r="E78" s="35" t="s">
        <v>435</v>
      </c>
      <c r="F78" s="35" t="s">
        <v>35</v>
      </c>
      <c r="G78" s="46"/>
      <c r="H78" s="44"/>
      <c r="I78" s="44"/>
      <c r="J78" s="46"/>
      <c r="K78" s="44"/>
      <c r="L78" s="44"/>
      <c r="M78" s="44"/>
      <c r="N78" s="44"/>
      <c r="O78" s="45"/>
      <c r="P78" s="40"/>
    </row>
    <row r="79" spans="1:16" s="41" customFormat="1" ht="51.75" customHeight="1">
      <c r="A79" s="42">
        <v>70</v>
      </c>
      <c r="B79" s="43" t="s">
        <v>99</v>
      </c>
      <c r="C79" s="42"/>
      <c r="D79" s="43"/>
      <c r="E79" s="43" t="s">
        <v>435</v>
      </c>
      <c r="F79" s="43" t="s">
        <v>35</v>
      </c>
      <c r="G79" s="44"/>
      <c r="H79" s="44"/>
      <c r="I79" s="44"/>
      <c r="J79" s="44"/>
      <c r="K79" s="44"/>
      <c r="L79" s="44"/>
      <c r="M79" s="44"/>
      <c r="N79" s="44"/>
      <c r="O79" s="45"/>
      <c r="P79" s="40"/>
    </row>
    <row r="80" spans="1:16" s="41" customFormat="1" ht="30" customHeight="1">
      <c r="A80" s="34">
        <v>71</v>
      </c>
      <c r="B80" s="35" t="s">
        <v>100</v>
      </c>
      <c r="C80" s="34"/>
      <c r="D80" s="35" t="s">
        <v>42</v>
      </c>
      <c r="E80" s="35" t="s">
        <v>435</v>
      </c>
      <c r="F80" s="35" t="s">
        <v>35</v>
      </c>
      <c r="G80" s="46"/>
      <c r="H80" s="44"/>
      <c r="I80" s="44"/>
      <c r="J80" s="46"/>
      <c r="K80" s="44"/>
      <c r="L80" s="44"/>
      <c r="M80" s="44"/>
      <c r="N80" s="44"/>
      <c r="O80" s="45"/>
      <c r="P80" s="40"/>
    </row>
    <row r="81" spans="1:16" s="41" customFormat="1" ht="30" customHeight="1">
      <c r="A81" s="42">
        <v>72</v>
      </c>
      <c r="B81" s="43" t="s">
        <v>101</v>
      </c>
      <c r="C81" s="42"/>
      <c r="D81" s="43"/>
      <c r="E81" s="43" t="s">
        <v>435</v>
      </c>
      <c r="F81" s="43" t="s">
        <v>35</v>
      </c>
      <c r="G81" s="44"/>
      <c r="H81" s="44"/>
      <c r="I81" s="44"/>
      <c r="J81" s="44"/>
      <c r="K81" s="44"/>
      <c r="L81" s="44"/>
      <c r="M81" s="44"/>
      <c r="N81" s="44"/>
      <c r="O81" s="45"/>
      <c r="P81" s="40"/>
    </row>
    <row r="82" spans="1:16" s="41" customFormat="1" ht="30" customHeight="1">
      <c r="A82" s="34">
        <v>73</v>
      </c>
      <c r="B82" s="35" t="s">
        <v>102</v>
      </c>
      <c r="C82" s="34"/>
      <c r="D82" s="35"/>
      <c r="E82" s="35" t="s">
        <v>428</v>
      </c>
      <c r="F82" s="35" t="s">
        <v>532</v>
      </c>
      <c r="G82" s="46"/>
      <c r="H82" s="46"/>
      <c r="I82" s="46"/>
      <c r="J82" s="46"/>
      <c r="K82" s="46"/>
      <c r="L82" s="46"/>
      <c r="M82" s="46"/>
      <c r="N82" s="46"/>
      <c r="O82" s="45"/>
      <c r="P82" s="40"/>
    </row>
    <row r="83" spans="1:16" s="41" customFormat="1" ht="30" customHeight="1">
      <c r="A83" s="42">
        <v>74</v>
      </c>
      <c r="B83" s="43" t="s">
        <v>103</v>
      </c>
      <c r="C83" s="42">
        <v>287</v>
      </c>
      <c r="D83" s="43"/>
      <c r="E83" s="43" t="s">
        <v>428</v>
      </c>
      <c r="F83" s="43" t="s">
        <v>533</v>
      </c>
      <c r="G83" s="46"/>
      <c r="H83" s="46"/>
      <c r="I83" s="46"/>
      <c r="J83" s="46"/>
      <c r="K83" s="46"/>
      <c r="L83" s="46"/>
      <c r="M83" s="46"/>
      <c r="N83" s="46"/>
      <c r="O83" s="45"/>
      <c r="P83" s="40"/>
    </row>
    <row r="84" spans="1:16" s="41" customFormat="1" ht="30" customHeight="1">
      <c r="A84" s="34">
        <v>75</v>
      </c>
      <c r="B84" s="35" t="s">
        <v>104</v>
      </c>
      <c r="C84" s="62" t="s">
        <v>408</v>
      </c>
      <c r="D84" s="59"/>
      <c r="E84" s="59" t="s">
        <v>432</v>
      </c>
      <c r="F84" s="59"/>
      <c r="G84" s="60" t="s">
        <v>105</v>
      </c>
      <c r="H84" s="59" t="s">
        <v>440</v>
      </c>
      <c r="I84" s="59" t="s">
        <v>595</v>
      </c>
      <c r="J84" s="60" t="s">
        <v>468</v>
      </c>
      <c r="K84" s="59"/>
      <c r="L84" s="60" t="s">
        <v>105</v>
      </c>
      <c r="M84" s="60" t="s">
        <v>506</v>
      </c>
      <c r="N84" s="60" t="s">
        <v>501</v>
      </c>
      <c r="O84" s="45"/>
      <c r="P84" s="40"/>
    </row>
    <row r="85" spans="1:16" s="41" customFormat="1" ht="30" customHeight="1">
      <c r="A85" s="48">
        <v>76</v>
      </c>
      <c r="B85" s="49" t="s">
        <v>106</v>
      </c>
      <c r="C85" s="63"/>
      <c r="D85" s="64"/>
      <c r="E85" s="64" t="s">
        <v>431</v>
      </c>
      <c r="F85" s="64"/>
      <c r="G85" s="29" t="s">
        <v>577</v>
      </c>
      <c r="H85" s="64" t="s">
        <v>440</v>
      </c>
      <c r="I85" s="64" t="s">
        <v>594</v>
      </c>
      <c r="J85" s="29" t="s">
        <v>468</v>
      </c>
      <c r="K85" s="64"/>
      <c r="L85" s="29" t="s">
        <v>577</v>
      </c>
      <c r="M85" s="49" t="s">
        <v>506</v>
      </c>
      <c r="N85" s="50" t="s">
        <v>501</v>
      </c>
      <c r="O85" s="45"/>
      <c r="P85" s="40"/>
    </row>
    <row r="86" spans="1:16" s="41" customFormat="1" ht="76.5">
      <c r="A86" s="34">
        <v>77</v>
      </c>
      <c r="B86" s="81" t="s">
        <v>107</v>
      </c>
      <c r="C86" s="80" t="s">
        <v>502</v>
      </c>
      <c r="D86" s="35" t="s">
        <v>503</v>
      </c>
      <c r="E86" s="35" t="s">
        <v>431</v>
      </c>
      <c r="F86" s="35"/>
      <c r="G86" s="82" t="s">
        <v>570</v>
      </c>
      <c r="H86" s="35" t="s">
        <v>504</v>
      </c>
      <c r="I86" s="35" t="s">
        <v>595</v>
      </c>
      <c r="J86" s="80" t="s">
        <v>459</v>
      </c>
      <c r="K86" s="35" t="s">
        <v>581</v>
      </c>
      <c r="L86" s="35" t="s">
        <v>505</v>
      </c>
      <c r="M86" s="35" t="s">
        <v>506</v>
      </c>
      <c r="N86" s="47" t="s">
        <v>501</v>
      </c>
      <c r="O86" s="40"/>
    </row>
    <row r="87" spans="1:16" s="41" customFormat="1" ht="89.25">
      <c r="A87" s="48">
        <v>78</v>
      </c>
      <c r="B87" s="49" t="s">
        <v>108</v>
      </c>
      <c r="C87" s="29" t="s">
        <v>507</v>
      </c>
      <c r="D87" s="29" t="s">
        <v>508</v>
      </c>
      <c r="E87" s="49" t="s">
        <v>431</v>
      </c>
      <c r="F87" s="49"/>
      <c r="G87" s="29" t="s">
        <v>571</v>
      </c>
      <c r="H87" s="49" t="s">
        <v>504</v>
      </c>
      <c r="I87" s="49" t="s">
        <v>595</v>
      </c>
      <c r="J87" s="29" t="s">
        <v>468</v>
      </c>
      <c r="K87" s="49"/>
      <c r="L87" s="29" t="s">
        <v>572</v>
      </c>
      <c r="M87" s="49" t="s">
        <v>506</v>
      </c>
      <c r="N87" s="50" t="s">
        <v>501</v>
      </c>
      <c r="O87" s="40"/>
    </row>
    <row r="88" spans="1:16" s="41" customFormat="1" ht="78.75" customHeight="1">
      <c r="A88" s="34">
        <v>79</v>
      </c>
      <c r="B88" s="35" t="s">
        <v>109</v>
      </c>
      <c r="C88" s="34"/>
      <c r="D88" s="35"/>
      <c r="E88" s="35" t="s">
        <v>435</v>
      </c>
      <c r="F88" s="35" t="s">
        <v>110</v>
      </c>
      <c r="G88" s="46"/>
      <c r="H88" s="44"/>
      <c r="I88" s="44"/>
      <c r="J88" s="46"/>
      <c r="K88" s="44"/>
      <c r="L88" s="44"/>
      <c r="M88" s="44"/>
      <c r="N88" s="44"/>
      <c r="O88" s="45"/>
      <c r="P88" s="40"/>
    </row>
    <row r="89" spans="1:16" s="41" customFormat="1" ht="30" customHeight="1">
      <c r="A89" s="42">
        <v>80</v>
      </c>
      <c r="B89" s="43" t="s">
        <v>111</v>
      </c>
      <c r="C89" s="65">
        <v>55</v>
      </c>
      <c r="D89" s="43" t="s">
        <v>509</v>
      </c>
      <c r="E89" s="43" t="s">
        <v>431</v>
      </c>
      <c r="F89" s="43"/>
      <c r="G89" s="29" t="s">
        <v>571</v>
      </c>
      <c r="H89" s="43" t="s">
        <v>504</v>
      </c>
      <c r="I89" s="43" t="s">
        <v>595</v>
      </c>
      <c r="J89" s="65" t="s">
        <v>468</v>
      </c>
      <c r="K89" s="43"/>
      <c r="L89" s="29" t="s">
        <v>572</v>
      </c>
      <c r="M89" s="43" t="s">
        <v>506</v>
      </c>
      <c r="N89" s="66" t="s">
        <v>501</v>
      </c>
      <c r="O89" s="40"/>
    </row>
    <row r="90" spans="1:16" s="41" customFormat="1" ht="38.25">
      <c r="A90" s="34">
        <v>81</v>
      </c>
      <c r="B90" s="35" t="s">
        <v>112</v>
      </c>
      <c r="C90" s="80" t="s">
        <v>511</v>
      </c>
      <c r="D90" s="35" t="s">
        <v>512</v>
      </c>
      <c r="E90" s="35" t="s">
        <v>431</v>
      </c>
      <c r="F90" s="35"/>
      <c r="G90" s="204" t="s">
        <v>573</v>
      </c>
      <c r="H90" s="206" t="s">
        <v>504</v>
      </c>
      <c r="I90" s="35" t="s">
        <v>595</v>
      </c>
      <c r="J90" s="208" t="s">
        <v>468</v>
      </c>
      <c r="K90" s="35"/>
      <c r="L90" s="209" t="s">
        <v>570</v>
      </c>
      <c r="M90" s="35" t="s">
        <v>506</v>
      </c>
      <c r="N90" s="47" t="s">
        <v>501</v>
      </c>
      <c r="O90" s="40"/>
    </row>
    <row r="91" spans="1:16" s="41" customFormat="1" ht="33" customHeight="1">
      <c r="A91" s="34"/>
      <c r="B91" s="35"/>
      <c r="C91" s="34"/>
      <c r="D91" s="35"/>
      <c r="E91" s="35" t="s">
        <v>431</v>
      </c>
      <c r="F91" s="35"/>
      <c r="G91" s="205"/>
      <c r="H91" s="207"/>
      <c r="I91" s="35"/>
      <c r="J91" s="205"/>
      <c r="K91" s="35"/>
      <c r="L91" s="210"/>
      <c r="M91" s="35"/>
      <c r="N91" s="47"/>
      <c r="O91" s="40"/>
    </row>
    <row r="92" spans="1:16" s="41" customFormat="1" ht="102.75" customHeight="1">
      <c r="A92" s="48">
        <v>82</v>
      </c>
      <c r="B92" s="49" t="s">
        <v>113</v>
      </c>
      <c r="C92" s="48" t="s">
        <v>409</v>
      </c>
      <c r="D92" s="49"/>
      <c r="E92" s="49" t="s">
        <v>431</v>
      </c>
      <c r="F92" s="49"/>
      <c r="G92" s="29" t="s">
        <v>513</v>
      </c>
      <c r="H92" s="49"/>
      <c r="I92" s="49" t="s">
        <v>595</v>
      </c>
      <c r="J92" s="29" t="s">
        <v>459</v>
      </c>
      <c r="K92" s="49" t="s">
        <v>596</v>
      </c>
      <c r="L92" s="29" t="s">
        <v>513</v>
      </c>
      <c r="M92" s="49"/>
      <c r="N92" s="50"/>
      <c r="O92" s="40"/>
    </row>
    <row r="93" spans="1:16" s="41" customFormat="1" ht="37.5" customHeight="1">
      <c r="A93" s="34">
        <v>83</v>
      </c>
      <c r="B93" s="35" t="s">
        <v>115</v>
      </c>
      <c r="C93" s="34"/>
      <c r="D93" s="35" t="s">
        <v>514</v>
      </c>
      <c r="E93" s="35" t="s">
        <v>431</v>
      </c>
      <c r="F93" s="35"/>
      <c r="G93" s="80" t="s">
        <v>515</v>
      </c>
      <c r="H93" s="35"/>
      <c r="I93" s="35" t="s">
        <v>594</v>
      </c>
      <c r="J93" s="80" t="s">
        <v>459</v>
      </c>
      <c r="K93" s="35" t="s">
        <v>516</v>
      </c>
      <c r="L93" s="35" t="s">
        <v>517</v>
      </c>
      <c r="M93" s="35" t="s">
        <v>506</v>
      </c>
      <c r="N93" s="47"/>
      <c r="O93" s="40"/>
    </row>
    <row r="94" spans="1:16" s="41" customFormat="1" ht="35.25" customHeight="1">
      <c r="A94" s="42">
        <v>84</v>
      </c>
      <c r="B94" s="43" t="s">
        <v>116</v>
      </c>
      <c r="C94" s="42"/>
      <c r="D94" s="43"/>
      <c r="E94" s="43" t="s">
        <v>431</v>
      </c>
      <c r="F94" s="43"/>
      <c r="G94" s="65" t="s">
        <v>517</v>
      </c>
      <c r="H94" s="43"/>
      <c r="I94" s="43" t="s">
        <v>595</v>
      </c>
      <c r="J94" s="65" t="s">
        <v>459</v>
      </c>
      <c r="K94" s="43"/>
      <c r="L94" s="43" t="s">
        <v>517</v>
      </c>
      <c r="M94" s="43" t="s">
        <v>506</v>
      </c>
      <c r="N94" s="66"/>
      <c r="O94" s="40"/>
    </row>
    <row r="95" spans="1:16" s="41" customFormat="1" ht="35.25" customHeight="1">
      <c r="A95" s="34">
        <v>85</v>
      </c>
      <c r="B95" s="35" t="s">
        <v>117</v>
      </c>
      <c r="C95" s="34"/>
      <c r="D95" s="35"/>
      <c r="E95" s="35" t="s">
        <v>431</v>
      </c>
      <c r="F95" s="35" t="s">
        <v>518</v>
      </c>
      <c r="G95" s="44"/>
      <c r="H95" s="44"/>
      <c r="I95" s="44"/>
      <c r="J95" s="44"/>
      <c r="K95" s="44"/>
      <c r="L95" s="44"/>
      <c r="M95" s="44"/>
      <c r="N95" s="44"/>
      <c r="O95" s="40"/>
    </row>
    <row r="96" spans="1:16" s="41" customFormat="1" ht="30" customHeight="1">
      <c r="A96" s="42">
        <v>86</v>
      </c>
      <c r="B96" s="43" t="s">
        <v>76</v>
      </c>
      <c r="C96" s="42"/>
      <c r="D96" s="43"/>
      <c r="E96" s="43" t="s">
        <v>431</v>
      </c>
      <c r="F96" s="43" t="s">
        <v>13</v>
      </c>
      <c r="G96" s="44"/>
      <c r="H96" s="44"/>
      <c r="I96" s="44"/>
      <c r="J96" s="44"/>
      <c r="K96" s="44"/>
      <c r="L96" s="44"/>
      <c r="M96" s="44"/>
      <c r="N96" s="44"/>
      <c r="O96" s="45"/>
      <c r="P96" s="40"/>
    </row>
    <row r="97" spans="1:16" s="41" customFormat="1" ht="127.5">
      <c r="A97" s="34">
        <v>87</v>
      </c>
      <c r="B97" s="35" t="s">
        <v>118</v>
      </c>
      <c r="C97" s="34"/>
      <c r="D97" s="35"/>
      <c r="E97" s="35" t="s">
        <v>438</v>
      </c>
      <c r="F97" s="35"/>
      <c r="G97" s="80" t="s">
        <v>611</v>
      </c>
      <c r="H97" s="35" t="s">
        <v>552</v>
      </c>
      <c r="I97" s="35" t="s">
        <v>595</v>
      </c>
      <c r="J97" s="80" t="s">
        <v>459</v>
      </c>
      <c r="K97" s="35" t="s">
        <v>558</v>
      </c>
      <c r="L97" s="35" t="s">
        <v>601</v>
      </c>
      <c r="M97" s="35" t="s">
        <v>539</v>
      </c>
      <c r="N97" s="47" t="s">
        <v>501</v>
      </c>
      <c r="O97" s="45"/>
      <c r="P97" s="40"/>
    </row>
    <row r="98" spans="1:16" s="41" customFormat="1" ht="127.5">
      <c r="A98" s="48">
        <v>88</v>
      </c>
      <c r="B98" s="49" t="s">
        <v>120</v>
      </c>
      <c r="C98" s="48">
        <v>68</v>
      </c>
      <c r="D98" s="49"/>
      <c r="E98" s="49" t="s">
        <v>438</v>
      </c>
      <c r="F98" s="49"/>
      <c r="G98" s="29" t="s">
        <v>611</v>
      </c>
      <c r="H98" s="49" t="s">
        <v>552</v>
      </c>
      <c r="I98" s="49" t="s">
        <v>595</v>
      </c>
      <c r="J98" s="29" t="s">
        <v>459</v>
      </c>
      <c r="K98" s="49" t="s">
        <v>558</v>
      </c>
      <c r="L98" s="49" t="s">
        <v>601</v>
      </c>
      <c r="M98" s="49" t="s">
        <v>539</v>
      </c>
      <c r="N98" s="50" t="s">
        <v>501</v>
      </c>
      <c r="O98" s="45"/>
      <c r="P98" s="40"/>
    </row>
    <row r="99" spans="1:16" s="41" customFormat="1" ht="30" customHeight="1">
      <c r="A99" s="34">
        <v>89</v>
      </c>
      <c r="B99" s="35" t="s">
        <v>121</v>
      </c>
      <c r="C99" s="34"/>
      <c r="D99" s="35" t="s">
        <v>122</v>
      </c>
      <c r="E99" s="35" t="s">
        <v>435</v>
      </c>
      <c r="F99" s="35" t="s">
        <v>123</v>
      </c>
      <c r="G99" s="46"/>
      <c r="H99" s="44"/>
      <c r="I99" s="44"/>
      <c r="J99" s="46"/>
      <c r="K99" s="44"/>
      <c r="L99" s="44"/>
      <c r="M99" s="44"/>
      <c r="N99" s="44"/>
      <c r="O99" s="45"/>
      <c r="P99" s="40"/>
    </row>
    <row r="100" spans="1:16" s="41" customFormat="1" ht="30" customHeight="1">
      <c r="A100" s="48">
        <v>90</v>
      </c>
      <c r="B100" s="49" t="s">
        <v>124</v>
      </c>
      <c r="C100" s="48" t="s">
        <v>444</v>
      </c>
      <c r="D100" s="49" t="s">
        <v>122</v>
      </c>
      <c r="E100" s="49" t="s">
        <v>435</v>
      </c>
      <c r="F100" s="49" t="s">
        <v>123</v>
      </c>
      <c r="G100" s="38"/>
      <c r="H100" s="44"/>
      <c r="I100" s="44"/>
      <c r="J100" s="38"/>
      <c r="K100" s="44"/>
      <c r="L100" s="44"/>
      <c r="M100" s="44"/>
      <c r="N100" s="44"/>
      <c r="O100" s="45"/>
      <c r="P100" s="40"/>
    </row>
    <row r="101" spans="1:16" s="41" customFormat="1" ht="127.5">
      <c r="A101" s="34">
        <v>91</v>
      </c>
      <c r="B101" s="35" t="s">
        <v>125</v>
      </c>
      <c r="C101" s="34"/>
      <c r="D101" s="35"/>
      <c r="E101" s="35" t="s">
        <v>438</v>
      </c>
      <c r="F101" s="35"/>
      <c r="G101" s="80" t="s">
        <v>611</v>
      </c>
      <c r="H101" s="35" t="s">
        <v>552</v>
      </c>
      <c r="I101" s="35" t="s">
        <v>595</v>
      </c>
      <c r="J101" s="80" t="s">
        <v>459</v>
      </c>
      <c r="K101" s="35" t="s">
        <v>558</v>
      </c>
      <c r="L101" s="35" t="s">
        <v>601</v>
      </c>
      <c r="M101" s="35" t="s">
        <v>539</v>
      </c>
      <c r="N101" s="47" t="s">
        <v>501</v>
      </c>
      <c r="O101" s="45"/>
      <c r="P101" s="40"/>
    </row>
    <row r="102" spans="1:16" s="41" customFormat="1" ht="30" customHeight="1">
      <c r="A102" s="42">
        <v>92</v>
      </c>
      <c r="B102" s="43" t="s">
        <v>76</v>
      </c>
      <c r="C102" s="42">
        <v>68</v>
      </c>
      <c r="D102" s="43"/>
      <c r="E102" s="43" t="s">
        <v>435</v>
      </c>
      <c r="F102" s="43" t="s">
        <v>13</v>
      </c>
      <c r="G102" s="44"/>
      <c r="H102" s="44"/>
      <c r="I102" s="44"/>
      <c r="J102" s="44"/>
      <c r="K102" s="44"/>
      <c r="L102" s="44"/>
      <c r="M102" s="44"/>
      <c r="N102" s="44"/>
      <c r="O102" s="45"/>
      <c r="P102" s="40"/>
    </row>
    <row r="103" spans="1:16" s="41" customFormat="1" ht="127.5">
      <c r="A103" s="34">
        <v>93</v>
      </c>
      <c r="B103" s="35" t="s">
        <v>126</v>
      </c>
      <c r="C103" s="34" t="s">
        <v>445</v>
      </c>
      <c r="D103" s="35" t="s">
        <v>559</v>
      </c>
      <c r="E103" s="35" t="s">
        <v>438</v>
      </c>
      <c r="F103" s="35"/>
      <c r="G103" s="80" t="s">
        <v>611</v>
      </c>
      <c r="H103" s="35" t="s">
        <v>552</v>
      </c>
      <c r="I103" s="35" t="s">
        <v>595</v>
      </c>
      <c r="J103" s="80" t="s">
        <v>459</v>
      </c>
      <c r="K103" s="35" t="s">
        <v>558</v>
      </c>
      <c r="L103" s="35" t="s">
        <v>601</v>
      </c>
      <c r="M103" s="35" t="s">
        <v>539</v>
      </c>
      <c r="N103" s="47" t="s">
        <v>501</v>
      </c>
      <c r="O103" s="45"/>
      <c r="P103" s="40"/>
    </row>
    <row r="104" spans="1:16" s="41" customFormat="1" ht="114.75">
      <c r="A104" s="48">
        <v>94</v>
      </c>
      <c r="B104" s="49" t="s">
        <v>128</v>
      </c>
      <c r="C104" s="48" t="s">
        <v>445</v>
      </c>
      <c r="D104" s="49" t="s">
        <v>560</v>
      </c>
      <c r="E104" s="49" t="s">
        <v>438</v>
      </c>
      <c r="F104" s="49"/>
      <c r="G104" s="29" t="s">
        <v>612</v>
      </c>
      <c r="H104" s="49" t="s">
        <v>552</v>
      </c>
      <c r="I104" s="49" t="s">
        <v>595</v>
      </c>
      <c r="J104" s="29" t="s">
        <v>459</v>
      </c>
      <c r="K104" s="49" t="s">
        <v>558</v>
      </c>
      <c r="L104" s="49" t="s">
        <v>601</v>
      </c>
      <c r="M104" s="49" t="s">
        <v>539</v>
      </c>
      <c r="N104" s="50" t="s">
        <v>501</v>
      </c>
      <c r="O104" s="45"/>
      <c r="P104" s="40"/>
    </row>
    <row r="105" spans="1:16" s="41" customFormat="1" ht="127.5">
      <c r="A105" s="34">
        <v>95</v>
      </c>
      <c r="B105" s="35" t="s">
        <v>129</v>
      </c>
      <c r="C105" s="34" t="s">
        <v>445</v>
      </c>
      <c r="D105" s="35" t="s">
        <v>560</v>
      </c>
      <c r="E105" s="35" t="s">
        <v>438</v>
      </c>
      <c r="F105" s="35"/>
      <c r="G105" s="80" t="s">
        <v>611</v>
      </c>
      <c r="H105" s="35" t="s">
        <v>552</v>
      </c>
      <c r="I105" s="35" t="s">
        <v>595</v>
      </c>
      <c r="J105" s="80" t="s">
        <v>459</v>
      </c>
      <c r="K105" s="35" t="s">
        <v>558</v>
      </c>
      <c r="L105" s="35" t="s">
        <v>601</v>
      </c>
      <c r="M105" s="35" t="s">
        <v>539</v>
      </c>
      <c r="N105" s="47" t="s">
        <v>501</v>
      </c>
      <c r="O105" s="45"/>
      <c r="P105" s="40"/>
    </row>
    <row r="106" spans="1:16" s="41" customFormat="1" ht="127.5">
      <c r="A106" s="48">
        <v>96</v>
      </c>
      <c r="B106" s="49" t="s">
        <v>130</v>
      </c>
      <c r="C106" s="48">
        <v>80</v>
      </c>
      <c r="D106" s="49" t="s">
        <v>122</v>
      </c>
      <c r="E106" s="49" t="s">
        <v>438</v>
      </c>
      <c r="F106" s="49"/>
      <c r="G106" s="29" t="s">
        <v>611</v>
      </c>
      <c r="H106" s="49" t="s">
        <v>552</v>
      </c>
      <c r="I106" s="49" t="s">
        <v>595</v>
      </c>
      <c r="J106" s="29" t="s">
        <v>459</v>
      </c>
      <c r="K106" s="49" t="s">
        <v>558</v>
      </c>
      <c r="L106" s="49" t="s">
        <v>601</v>
      </c>
      <c r="M106" s="49" t="s">
        <v>539</v>
      </c>
      <c r="N106" s="50" t="s">
        <v>501</v>
      </c>
      <c r="O106" s="45"/>
      <c r="P106" s="40"/>
    </row>
    <row r="107" spans="1:16" s="41" customFormat="1" ht="30" customHeight="1">
      <c r="A107" s="34">
        <v>97</v>
      </c>
      <c r="B107" s="35" t="s">
        <v>76</v>
      </c>
      <c r="C107" s="34"/>
      <c r="D107" s="35"/>
      <c r="E107" s="35" t="s">
        <v>435</v>
      </c>
      <c r="F107" s="35" t="s">
        <v>13</v>
      </c>
      <c r="G107" s="46"/>
      <c r="H107" s="44"/>
      <c r="I107" s="44"/>
      <c r="J107" s="46"/>
      <c r="K107" s="44"/>
      <c r="L107" s="44"/>
      <c r="M107" s="44"/>
      <c r="N107" s="44"/>
      <c r="O107" s="45"/>
      <c r="P107" s="40"/>
    </row>
    <row r="108" spans="1:16" s="41" customFormat="1" ht="30" customHeight="1">
      <c r="A108" s="42">
        <v>98</v>
      </c>
      <c r="B108" s="43" t="s">
        <v>131</v>
      </c>
      <c r="C108" s="42" t="s">
        <v>446</v>
      </c>
      <c r="D108" s="43"/>
      <c r="E108" s="43" t="s">
        <v>438</v>
      </c>
      <c r="F108" s="43"/>
      <c r="G108" s="29" t="s">
        <v>557</v>
      </c>
      <c r="H108" s="49" t="s">
        <v>552</v>
      </c>
      <c r="I108" s="49" t="s">
        <v>595</v>
      </c>
      <c r="J108" s="29" t="s">
        <v>459</v>
      </c>
      <c r="K108" s="49" t="s">
        <v>558</v>
      </c>
      <c r="L108" s="49" t="s">
        <v>556</v>
      </c>
      <c r="M108" s="49" t="s">
        <v>539</v>
      </c>
      <c r="N108" s="50" t="s">
        <v>501</v>
      </c>
      <c r="O108" s="45"/>
      <c r="P108" s="40"/>
    </row>
    <row r="109" spans="1:16" s="41" customFormat="1" ht="30" customHeight="1">
      <c r="A109" s="34">
        <v>99</v>
      </c>
      <c r="B109" s="35" t="s">
        <v>76</v>
      </c>
      <c r="C109" s="34" t="s">
        <v>410</v>
      </c>
      <c r="D109" s="80" t="s">
        <v>132</v>
      </c>
      <c r="E109" s="80" t="s">
        <v>435</v>
      </c>
      <c r="F109" s="80" t="s">
        <v>13</v>
      </c>
      <c r="G109" s="46"/>
      <c r="H109" s="44"/>
      <c r="I109" s="44"/>
      <c r="J109" s="46"/>
      <c r="K109" s="44"/>
      <c r="L109" s="44"/>
      <c r="M109" s="44"/>
      <c r="N109" s="44"/>
      <c r="O109" s="45"/>
      <c r="P109" s="40"/>
    </row>
    <row r="110" spans="1:16" s="41" customFormat="1" ht="30" customHeight="1">
      <c r="A110" s="34"/>
      <c r="B110" s="35"/>
      <c r="C110" s="34"/>
      <c r="D110" s="35"/>
      <c r="E110" s="35"/>
      <c r="F110" s="35"/>
      <c r="G110" s="46"/>
      <c r="H110" s="44"/>
      <c r="I110" s="44"/>
      <c r="J110" s="46"/>
      <c r="K110" s="44"/>
      <c r="L110" s="44"/>
      <c r="M110" s="44"/>
      <c r="N110" s="44"/>
      <c r="O110" s="45"/>
      <c r="P110" s="40"/>
    </row>
    <row r="111" spans="1:16" s="41" customFormat="1" ht="30" customHeight="1">
      <c r="A111" s="42">
        <v>100</v>
      </c>
      <c r="B111" s="43" t="s">
        <v>106</v>
      </c>
      <c r="C111" s="42"/>
      <c r="D111" s="43"/>
      <c r="E111" s="43" t="s">
        <v>438</v>
      </c>
      <c r="F111" s="43"/>
      <c r="G111" s="65" t="s">
        <v>127</v>
      </c>
      <c r="H111" s="43"/>
      <c r="I111" s="43" t="s">
        <v>595</v>
      </c>
      <c r="J111" s="65" t="s">
        <v>468</v>
      </c>
      <c r="K111" s="43"/>
      <c r="L111" s="43"/>
      <c r="M111" s="43"/>
      <c r="N111" s="66"/>
      <c r="O111" s="45"/>
      <c r="P111" s="40"/>
    </row>
    <row r="112" spans="1:16" s="41" customFormat="1" ht="30" customHeight="1">
      <c r="A112" s="34">
        <v>101</v>
      </c>
      <c r="B112" s="35" t="s">
        <v>133</v>
      </c>
      <c r="C112" s="34" t="s">
        <v>411</v>
      </c>
      <c r="D112" s="59"/>
      <c r="E112" s="59" t="s">
        <v>438</v>
      </c>
      <c r="F112" s="59"/>
      <c r="G112" s="60" t="s">
        <v>134</v>
      </c>
      <c r="H112" s="59"/>
      <c r="I112" s="59" t="s">
        <v>595</v>
      </c>
      <c r="J112" s="60" t="s">
        <v>468</v>
      </c>
      <c r="K112" s="59"/>
      <c r="L112" s="59"/>
      <c r="M112" s="59" t="s">
        <v>472</v>
      </c>
      <c r="N112" s="61" t="s">
        <v>473</v>
      </c>
      <c r="O112" s="45"/>
      <c r="P112" s="40"/>
    </row>
    <row r="113" spans="1:16" s="41" customFormat="1" ht="30" customHeight="1">
      <c r="A113" s="34"/>
      <c r="B113" s="35"/>
      <c r="C113" s="62"/>
      <c r="D113" s="59"/>
      <c r="E113" s="59"/>
      <c r="F113" s="59"/>
      <c r="G113" s="60" t="s">
        <v>135</v>
      </c>
      <c r="H113" s="59"/>
      <c r="I113" s="59"/>
      <c r="J113" s="60"/>
      <c r="K113" s="59"/>
      <c r="L113" s="59"/>
      <c r="M113" s="59"/>
      <c r="N113" s="61"/>
      <c r="O113" s="45"/>
      <c r="P113" s="40"/>
    </row>
    <row r="114" spans="1:16" s="41" customFormat="1" ht="30" customHeight="1">
      <c r="A114" s="34"/>
      <c r="B114" s="35"/>
      <c r="C114" s="62"/>
      <c r="D114" s="59"/>
      <c r="E114" s="59"/>
      <c r="F114" s="59"/>
      <c r="G114" s="80" t="s">
        <v>136</v>
      </c>
      <c r="H114" s="59"/>
      <c r="I114" s="59"/>
      <c r="J114" s="60"/>
      <c r="K114" s="59"/>
      <c r="L114" s="59"/>
      <c r="M114" s="59"/>
      <c r="N114" s="61"/>
      <c r="O114" s="45"/>
      <c r="P114" s="40"/>
    </row>
    <row r="115" spans="1:16" s="41" customFormat="1" ht="30" customHeight="1">
      <c r="A115" s="34"/>
      <c r="B115" s="35"/>
      <c r="C115" s="62"/>
      <c r="D115" s="59"/>
      <c r="E115" s="59"/>
      <c r="F115" s="59"/>
      <c r="G115" s="60" t="s">
        <v>127</v>
      </c>
      <c r="H115" s="59"/>
      <c r="I115" s="59"/>
      <c r="J115" s="60"/>
      <c r="K115" s="59"/>
      <c r="L115" s="59"/>
      <c r="M115" s="59"/>
      <c r="N115" s="61"/>
      <c r="O115" s="45"/>
      <c r="P115" s="40"/>
    </row>
    <row r="116" spans="1:16" s="41" customFormat="1" ht="30" customHeight="1">
      <c r="A116" s="34"/>
      <c r="B116" s="35"/>
      <c r="C116" s="34"/>
      <c r="D116" s="35"/>
      <c r="E116" s="35"/>
      <c r="F116" s="35"/>
      <c r="G116" s="80"/>
      <c r="H116" s="35"/>
      <c r="I116" s="35"/>
      <c r="J116" s="80"/>
      <c r="K116" s="35"/>
      <c r="L116" s="35"/>
      <c r="M116" s="35"/>
      <c r="N116" s="47"/>
      <c r="O116" s="45"/>
      <c r="P116" s="40"/>
    </row>
    <row r="117" spans="1:16" s="41" customFormat="1" ht="76.5">
      <c r="A117" s="48">
        <v>102</v>
      </c>
      <c r="B117" s="49" t="s">
        <v>137</v>
      </c>
      <c r="C117" s="48"/>
      <c r="D117" s="49"/>
      <c r="E117" s="49" t="s">
        <v>438</v>
      </c>
      <c r="F117" s="49"/>
      <c r="G117" s="29" t="s">
        <v>597</v>
      </c>
      <c r="H117" s="49"/>
      <c r="I117" s="49" t="s">
        <v>595</v>
      </c>
      <c r="J117" s="29" t="s">
        <v>459</v>
      </c>
      <c r="K117" s="49" t="s">
        <v>561</v>
      </c>
      <c r="L117" s="49" t="s">
        <v>555</v>
      </c>
      <c r="M117" s="49" t="s">
        <v>472</v>
      </c>
      <c r="N117" s="50"/>
      <c r="O117" s="45"/>
      <c r="P117" s="40"/>
    </row>
    <row r="118" spans="1:16" s="41" customFormat="1" ht="63.75" customHeight="1">
      <c r="A118" s="34">
        <v>103</v>
      </c>
      <c r="B118" s="35" t="s">
        <v>138</v>
      </c>
      <c r="C118" s="34">
        <v>205</v>
      </c>
      <c r="D118" s="35" t="s">
        <v>139</v>
      </c>
      <c r="E118" s="35"/>
      <c r="F118" s="35" t="s">
        <v>538</v>
      </c>
      <c r="G118" s="46"/>
      <c r="H118" s="44"/>
      <c r="I118" s="44"/>
      <c r="J118" s="46"/>
      <c r="K118" s="44"/>
      <c r="L118" s="44"/>
      <c r="M118" s="44"/>
      <c r="N118" s="44"/>
      <c r="O118" s="45"/>
      <c r="P118" s="40"/>
    </row>
    <row r="119" spans="1:16" s="41" customFormat="1" ht="30" customHeight="1">
      <c r="A119" s="48">
        <v>104</v>
      </c>
      <c r="B119" s="49" t="s">
        <v>140</v>
      </c>
      <c r="C119" s="48">
        <v>90</v>
      </c>
      <c r="D119" s="49" t="s">
        <v>141</v>
      </c>
      <c r="E119" s="49" t="s">
        <v>438</v>
      </c>
      <c r="F119" s="49" t="s">
        <v>538</v>
      </c>
      <c r="G119" s="46"/>
      <c r="H119" s="44"/>
      <c r="I119" s="44"/>
      <c r="J119" s="46"/>
      <c r="K119" s="44"/>
      <c r="L119" s="44"/>
      <c r="M119" s="44"/>
      <c r="N119" s="44"/>
      <c r="O119" s="45"/>
      <c r="P119" s="40"/>
    </row>
    <row r="120" spans="1:16" s="41" customFormat="1" ht="30" customHeight="1">
      <c r="A120" s="55"/>
      <c r="B120" s="56"/>
      <c r="C120" s="55"/>
      <c r="D120" s="56" t="s">
        <v>142</v>
      </c>
      <c r="E120" s="56"/>
      <c r="F120" s="56" t="s">
        <v>538</v>
      </c>
      <c r="G120" s="46"/>
      <c r="H120" s="44"/>
      <c r="I120" s="44"/>
      <c r="J120" s="46"/>
      <c r="K120" s="44"/>
      <c r="L120" s="44"/>
      <c r="M120" s="44"/>
      <c r="N120" s="44"/>
      <c r="O120" s="45"/>
      <c r="P120" s="40"/>
    </row>
    <row r="121" spans="1:16" s="41" customFormat="1" ht="67.5" customHeight="1">
      <c r="A121" s="51"/>
      <c r="B121" s="52"/>
      <c r="C121" s="51"/>
      <c r="D121" s="52" t="s">
        <v>143</v>
      </c>
      <c r="E121" s="52"/>
      <c r="F121" s="52" t="s">
        <v>538</v>
      </c>
      <c r="G121" s="46"/>
      <c r="H121" s="44"/>
      <c r="I121" s="44"/>
      <c r="J121" s="46"/>
      <c r="K121" s="44"/>
      <c r="L121" s="44"/>
      <c r="M121" s="44"/>
      <c r="N121" s="44"/>
      <c r="O121" s="45"/>
      <c r="P121" s="40"/>
    </row>
    <row r="122" spans="1:16" s="41" customFormat="1" ht="51">
      <c r="A122" s="34">
        <v>105</v>
      </c>
      <c r="B122" s="35" t="s">
        <v>144</v>
      </c>
      <c r="C122" s="34" t="s">
        <v>412</v>
      </c>
      <c r="D122" s="35" t="s">
        <v>145</v>
      </c>
      <c r="E122" s="35" t="s">
        <v>438</v>
      </c>
      <c r="F122" s="35" t="s">
        <v>538</v>
      </c>
      <c r="G122" s="46"/>
      <c r="H122" s="44"/>
      <c r="I122" s="44"/>
      <c r="J122" s="46"/>
      <c r="K122" s="44"/>
      <c r="L122" s="44"/>
      <c r="M122" s="44"/>
      <c r="N122" s="44"/>
      <c r="O122" s="45">
        <v>1</v>
      </c>
      <c r="P122" s="40"/>
    </row>
    <row r="123" spans="1:16" s="41" customFormat="1" ht="30" customHeight="1">
      <c r="A123" s="34"/>
      <c r="B123" s="35"/>
      <c r="C123" s="34"/>
      <c r="D123" s="35" t="s">
        <v>146</v>
      </c>
      <c r="E123" s="35"/>
      <c r="F123" s="35" t="s">
        <v>538</v>
      </c>
      <c r="G123" s="46"/>
      <c r="H123" s="44"/>
      <c r="I123" s="44"/>
      <c r="J123" s="46"/>
      <c r="K123" s="44"/>
      <c r="L123" s="44"/>
      <c r="M123" s="44"/>
      <c r="N123" s="44"/>
      <c r="O123" s="45"/>
      <c r="P123" s="40"/>
    </row>
    <row r="124" spans="1:16" s="41" customFormat="1" ht="30" customHeight="1">
      <c r="A124" s="34"/>
      <c r="B124" s="35"/>
      <c r="C124" s="34"/>
      <c r="D124" s="35" t="s">
        <v>141</v>
      </c>
      <c r="E124" s="35"/>
      <c r="F124" s="35" t="s">
        <v>538</v>
      </c>
      <c r="G124" s="46"/>
      <c r="H124" s="44"/>
      <c r="I124" s="44"/>
      <c r="J124" s="46"/>
      <c r="K124" s="44"/>
      <c r="L124" s="44"/>
      <c r="M124" s="44"/>
      <c r="N124" s="44"/>
      <c r="O124" s="45"/>
      <c r="P124" s="40"/>
    </row>
    <row r="125" spans="1:16" s="41" customFormat="1" ht="30" customHeight="1">
      <c r="A125" s="34"/>
      <c r="B125" s="35"/>
      <c r="C125" s="34"/>
      <c r="D125" s="35" t="s">
        <v>147</v>
      </c>
      <c r="E125" s="35"/>
      <c r="F125" s="35" t="s">
        <v>538</v>
      </c>
      <c r="G125" s="46"/>
      <c r="H125" s="44"/>
      <c r="I125" s="44"/>
      <c r="J125" s="46"/>
      <c r="K125" s="44"/>
      <c r="L125" s="44"/>
      <c r="M125" s="44"/>
      <c r="N125" s="44"/>
      <c r="O125" s="45"/>
      <c r="P125" s="40"/>
    </row>
    <row r="126" spans="1:16" s="41" customFormat="1" ht="30" customHeight="1">
      <c r="A126" s="34"/>
      <c r="B126" s="35"/>
      <c r="C126" s="34"/>
      <c r="D126" s="35" t="s">
        <v>142</v>
      </c>
      <c r="E126" s="35"/>
      <c r="F126" s="35" t="s">
        <v>538</v>
      </c>
      <c r="G126" s="46"/>
      <c r="H126" s="44"/>
      <c r="I126" s="44"/>
      <c r="J126" s="46"/>
      <c r="K126" s="44"/>
      <c r="L126" s="44"/>
      <c r="M126" s="44"/>
      <c r="N126" s="44"/>
      <c r="O126" s="45"/>
      <c r="P126" s="40"/>
    </row>
    <row r="127" spans="1:16" s="41" customFormat="1" ht="30" customHeight="1">
      <c r="A127" s="34"/>
      <c r="B127" s="35"/>
      <c r="C127" s="34"/>
      <c r="D127" s="35" t="s">
        <v>143</v>
      </c>
      <c r="E127" s="35"/>
      <c r="F127" s="35" t="s">
        <v>538</v>
      </c>
      <c r="G127" s="46"/>
      <c r="H127" s="44"/>
      <c r="I127" s="44"/>
      <c r="J127" s="46"/>
      <c r="K127" s="44"/>
      <c r="L127" s="44"/>
      <c r="M127" s="44"/>
      <c r="N127" s="44"/>
      <c r="O127" s="45"/>
      <c r="P127" s="40"/>
    </row>
    <row r="128" spans="1:16" s="41" customFormat="1" ht="52.5" customHeight="1">
      <c r="A128" s="42">
        <v>106</v>
      </c>
      <c r="B128" s="43" t="s">
        <v>148</v>
      </c>
      <c r="C128" s="42">
        <v>172</v>
      </c>
      <c r="D128" s="43"/>
      <c r="E128" s="43" t="s">
        <v>438</v>
      </c>
      <c r="F128" s="43" t="s">
        <v>538</v>
      </c>
      <c r="G128" s="46"/>
      <c r="H128" s="44"/>
      <c r="I128" s="44"/>
      <c r="J128" s="46"/>
      <c r="K128" s="44"/>
      <c r="L128" s="44"/>
      <c r="M128" s="44"/>
      <c r="N128" s="44"/>
      <c r="O128" s="45"/>
      <c r="P128" s="40"/>
    </row>
    <row r="129" spans="1:16" s="41" customFormat="1" ht="30" customHeight="1">
      <c r="A129" s="34">
        <v>107</v>
      </c>
      <c r="B129" s="35" t="s">
        <v>149</v>
      </c>
      <c r="C129" s="34">
        <v>204</v>
      </c>
      <c r="D129" s="35"/>
      <c r="E129" s="35" t="s">
        <v>438</v>
      </c>
      <c r="F129" s="35" t="s">
        <v>538</v>
      </c>
      <c r="G129" s="46"/>
      <c r="H129" s="44"/>
      <c r="I129" s="44"/>
      <c r="J129" s="46"/>
      <c r="K129" s="44"/>
      <c r="L129" s="44"/>
      <c r="M129" s="44"/>
      <c r="N129" s="44"/>
      <c r="O129" s="45">
        <v>1</v>
      </c>
      <c r="P129" s="40"/>
    </row>
    <row r="130" spans="1:16" s="41" customFormat="1" ht="63.75" customHeight="1">
      <c r="A130" s="48">
        <v>108</v>
      </c>
      <c r="B130" s="49" t="s">
        <v>150</v>
      </c>
      <c r="C130" s="48" t="s">
        <v>413</v>
      </c>
      <c r="D130" s="49" t="s">
        <v>139</v>
      </c>
      <c r="E130" s="49" t="s">
        <v>438</v>
      </c>
      <c r="F130" s="49" t="s">
        <v>538</v>
      </c>
      <c r="G130" s="46"/>
      <c r="H130" s="44"/>
      <c r="I130" s="44"/>
      <c r="J130" s="46"/>
      <c r="K130" s="44"/>
      <c r="L130" s="44"/>
      <c r="M130" s="44"/>
      <c r="N130" s="44"/>
      <c r="O130" s="45">
        <v>1</v>
      </c>
      <c r="P130" s="40"/>
    </row>
    <row r="131" spans="1:16" s="41" customFormat="1" ht="30" customHeight="1">
      <c r="A131" s="34">
        <v>109</v>
      </c>
      <c r="B131" s="35" t="s">
        <v>151</v>
      </c>
      <c r="C131" s="34" t="s">
        <v>414</v>
      </c>
      <c r="D131" s="35"/>
      <c r="E131" s="35" t="s">
        <v>435</v>
      </c>
      <c r="F131" s="35" t="s">
        <v>13</v>
      </c>
      <c r="G131" s="46"/>
      <c r="H131" s="44"/>
      <c r="I131" s="44"/>
      <c r="J131" s="46"/>
      <c r="K131" s="44"/>
      <c r="L131" s="44"/>
      <c r="M131" s="44"/>
      <c r="N131" s="44"/>
      <c r="O131" s="45"/>
      <c r="P131" s="40"/>
    </row>
    <row r="132" spans="1:16" s="41" customFormat="1" ht="54.75" customHeight="1">
      <c r="A132" s="42">
        <v>110</v>
      </c>
      <c r="B132" s="43" t="s">
        <v>152</v>
      </c>
      <c r="C132" s="42"/>
      <c r="D132" s="43"/>
      <c r="E132" s="43" t="s">
        <v>435</v>
      </c>
      <c r="F132" s="43" t="s">
        <v>153</v>
      </c>
      <c r="G132" s="44"/>
      <c r="H132" s="44"/>
      <c r="I132" s="44"/>
      <c r="J132" s="44"/>
      <c r="K132" s="44"/>
      <c r="L132" s="44"/>
      <c r="M132" s="44"/>
      <c r="N132" s="44"/>
      <c r="O132" s="45">
        <v>1</v>
      </c>
      <c r="P132" s="40"/>
    </row>
    <row r="133" spans="1:16" s="41" customFormat="1" ht="30" customHeight="1">
      <c r="A133" s="34">
        <v>111</v>
      </c>
      <c r="B133" s="35" t="s">
        <v>76</v>
      </c>
      <c r="C133" s="34" t="s">
        <v>415</v>
      </c>
      <c r="D133" s="35"/>
      <c r="E133" s="35" t="s">
        <v>435</v>
      </c>
      <c r="F133" s="35" t="s">
        <v>13</v>
      </c>
      <c r="G133" s="46"/>
      <c r="H133" s="44"/>
      <c r="I133" s="44"/>
      <c r="J133" s="46"/>
      <c r="K133" s="44"/>
      <c r="L133" s="44"/>
      <c r="M133" s="44"/>
      <c r="N133" s="44"/>
      <c r="O133" s="45"/>
      <c r="P133" s="40"/>
    </row>
    <row r="134" spans="1:16" s="41" customFormat="1" ht="30" customHeight="1">
      <c r="A134" s="34"/>
      <c r="B134" s="35"/>
      <c r="C134" s="34"/>
      <c r="D134" s="35"/>
      <c r="E134" s="35"/>
      <c r="F134" s="35"/>
      <c r="G134" s="46"/>
      <c r="H134" s="44"/>
      <c r="I134" s="44"/>
      <c r="J134" s="46"/>
      <c r="K134" s="44"/>
      <c r="L134" s="44"/>
      <c r="M134" s="44"/>
      <c r="N134" s="44"/>
      <c r="O134" s="45"/>
      <c r="P134" s="40"/>
    </row>
    <row r="135" spans="1:16" s="41" customFormat="1" ht="30" customHeight="1">
      <c r="A135" s="34"/>
      <c r="B135" s="35"/>
      <c r="C135" s="34"/>
      <c r="D135" s="35"/>
      <c r="E135" s="35"/>
      <c r="F135" s="35"/>
      <c r="G135" s="46"/>
      <c r="H135" s="44"/>
      <c r="I135" s="44"/>
      <c r="J135" s="46"/>
      <c r="K135" s="44"/>
      <c r="L135" s="44"/>
      <c r="M135" s="44"/>
      <c r="N135" s="44"/>
      <c r="O135" s="45"/>
      <c r="P135" s="40"/>
    </row>
    <row r="136" spans="1:16" s="41" customFormat="1" ht="30" customHeight="1">
      <c r="A136" s="48">
        <v>112</v>
      </c>
      <c r="B136" s="49" t="s">
        <v>154</v>
      </c>
      <c r="C136" s="48">
        <v>239</v>
      </c>
      <c r="D136" s="49" t="s">
        <v>155</v>
      </c>
      <c r="E136" s="49" t="s">
        <v>438</v>
      </c>
      <c r="F136" s="49"/>
      <c r="G136" s="29" t="s">
        <v>156</v>
      </c>
      <c r="H136" s="49" t="s">
        <v>467</v>
      </c>
      <c r="I136" s="49" t="s">
        <v>595</v>
      </c>
      <c r="J136" s="29" t="s">
        <v>468</v>
      </c>
      <c r="K136" s="49"/>
      <c r="L136" s="49" t="s">
        <v>469</v>
      </c>
      <c r="M136" s="49" t="s">
        <v>471</v>
      </c>
      <c r="N136" s="50" t="s">
        <v>470</v>
      </c>
      <c r="O136" s="45"/>
      <c r="P136" s="40"/>
    </row>
    <row r="137" spans="1:16" s="41" customFormat="1" ht="30" customHeight="1">
      <c r="A137" s="55"/>
      <c r="B137" s="56"/>
      <c r="C137" s="55"/>
      <c r="D137" s="56"/>
      <c r="E137" s="56"/>
      <c r="F137" s="56"/>
      <c r="G137" s="57" t="s">
        <v>157</v>
      </c>
      <c r="H137" s="56"/>
      <c r="I137" s="56"/>
      <c r="J137" s="57"/>
      <c r="K137" s="56"/>
      <c r="L137" s="56"/>
      <c r="M137" s="56"/>
      <c r="N137" s="58"/>
      <c r="O137" s="45"/>
      <c r="P137" s="40"/>
    </row>
    <row r="138" spans="1:16" s="41" customFormat="1" ht="30" customHeight="1">
      <c r="A138" s="51"/>
      <c r="B138" s="52"/>
      <c r="C138" s="51"/>
      <c r="D138" s="52"/>
      <c r="E138" s="52"/>
      <c r="F138" s="52"/>
      <c r="G138" s="53" t="s">
        <v>127</v>
      </c>
      <c r="H138" s="52"/>
      <c r="I138" s="52"/>
      <c r="J138" s="53"/>
      <c r="K138" s="52"/>
      <c r="L138" s="52"/>
      <c r="M138" s="52"/>
      <c r="N138" s="54"/>
      <c r="O138" s="45"/>
      <c r="P138" s="40"/>
    </row>
    <row r="139" spans="1:16" s="41" customFormat="1" ht="44.25" customHeight="1">
      <c r="A139" s="34">
        <v>113</v>
      </c>
      <c r="B139" s="35" t="s">
        <v>158</v>
      </c>
      <c r="C139" s="34"/>
      <c r="D139" s="35"/>
      <c r="E139" s="35" t="s">
        <v>435</v>
      </c>
      <c r="F139" s="35" t="s">
        <v>13</v>
      </c>
      <c r="G139" s="46"/>
      <c r="H139" s="44"/>
      <c r="I139" s="44"/>
      <c r="J139" s="46"/>
      <c r="K139" s="44"/>
      <c r="L139" s="44"/>
      <c r="M139" s="44"/>
      <c r="N139" s="44"/>
      <c r="O139" s="45"/>
      <c r="P139" s="40"/>
    </row>
    <row r="140" spans="1:16" s="41" customFormat="1" ht="30" customHeight="1">
      <c r="A140" s="42">
        <v>114</v>
      </c>
      <c r="B140" s="43" t="s">
        <v>76</v>
      </c>
      <c r="C140" s="42"/>
      <c r="D140" s="43"/>
      <c r="E140" s="43" t="s">
        <v>435</v>
      </c>
      <c r="F140" s="43" t="s">
        <v>13</v>
      </c>
      <c r="G140" s="44"/>
      <c r="H140" s="44"/>
      <c r="I140" s="44"/>
      <c r="J140" s="44"/>
      <c r="K140" s="44"/>
      <c r="L140" s="44"/>
      <c r="M140" s="44"/>
      <c r="N140" s="44"/>
      <c r="O140" s="45"/>
      <c r="P140" s="40"/>
    </row>
    <row r="141" spans="1:16" s="41" customFormat="1" ht="51">
      <c r="A141" s="34">
        <v>115</v>
      </c>
      <c r="B141" s="35" t="s">
        <v>159</v>
      </c>
      <c r="C141" s="34"/>
      <c r="D141" s="35" t="s">
        <v>160</v>
      </c>
      <c r="E141" s="35" t="s">
        <v>429</v>
      </c>
      <c r="F141" s="35"/>
      <c r="G141" s="80" t="s">
        <v>574</v>
      </c>
      <c r="H141" s="35" t="s">
        <v>472</v>
      </c>
      <c r="I141" s="35" t="s">
        <v>595</v>
      </c>
      <c r="J141" s="80" t="s">
        <v>459</v>
      </c>
      <c r="K141" s="35" t="s">
        <v>494</v>
      </c>
      <c r="L141" s="35" t="s">
        <v>474</v>
      </c>
      <c r="M141" s="35" t="s">
        <v>475</v>
      </c>
      <c r="N141" s="47" t="s">
        <v>473</v>
      </c>
      <c r="O141" s="45"/>
      <c r="P141" s="40"/>
    </row>
    <row r="142" spans="1:16" s="41" customFormat="1" ht="30" customHeight="1">
      <c r="A142" s="34"/>
      <c r="B142" s="35"/>
      <c r="C142" s="34"/>
      <c r="D142" s="35"/>
      <c r="E142" s="35"/>
      <c r="F142" s="35"/>
      <c r="G142" s="80" t="s">
        <v>162</v>
      </c>
      <c r="H142" s="35"/>
      <c r="I142" s="35"/>
      <c r="J142" s="80"/>
      <c r="K142" s="35"/>
      <c r="L142" s="35"/>
      <c r="M142" s="35"/>
      <c r="N142" s="47"/>
      <c r="O142" s="45"/>
      <c r="P142" s="40"/>
    </row>
    <row r="143" spans="1:16" s="41" customFormat="1" ht="30" customHeight="1">
      <c r="A143" s="48">
        <v>116</v>
      </c>
      <c r="B143" s="49" t="s">
        <v>163</v>
      </c>
      <c r="C143" s="48"/>
      <c r="D143" s="49" t="s">
        <v>164</v>
      </c>
      <c r="E143" s="49" t="s">
        <v>429</v>
      </c>
      <c r="F143" s="49"/>
      <c r="G143" s="49" t="s">
        <v>156</v>
      </c>
      <c r="H143" s="49"/>
      <c r="I143" s="49" t="s">
        <v>595</v>
      </c>
      <c r="J143" s="49" t="s">
        <v>468</v>
      </c>
      <c r="K143" s="49"/>
      <c r="L143" s="49" t="s">
        <v>476</v>
      </c>
      <c r="M143" s="49" t="s">
        <v>477</v>
      </c>
      <c r="N143" s="50"/>
      <c r="O143" s="45"/>
      <c r="P143" s="40"/>
    </row>
    <row r="144" spans="1:16" s="41" customFormat="1" ht="30" customHeight="1">
      <c r="A144" s="55"/>
      <c r="B144" s="56"/>
      <c r="C144" s="55"/>
      <c r="D144" s="56"/>
      <c r="E144" s="56"/>
      <c r="F144" s="56"/>
      <c r="G144" s="56" t="s">
        <v>157</v>
      </c>
      <c r="H144" s="56"/>
      <c r="I144" s="56"/>
      <c r="J144" s="56"/>
      <c r="K144" s="56"/>
      <c r="L144" s="56"/>
      <c r="M144" s="56"/>
      <c r="N144" s="58"/>
      <c r="O144" s="45"/>
      <c r="P144" s="40"/>
    </row>
    <row r="145" spans="1:16" s="41" customFormat="1" ht="30" customHeight="1">
      <c r="A145" s="55"/>
      <c r="B145" s="56"/>
      <c r="C145" s="55"/>
      <c r="D145" s="56"/>
      <c r="E145" s="56"/>
      <c r="F145" s="56"/>
      <c r="G145" s="56" t="s">
        <v>165</v>
      </c>
      <c r="H145" s="56"/>
      <c r="I145" s="56"/>
      <c r="J145" s="56"/>
      <c r="K145" s="56"/>
      <c r="L145" s="56"/>
      <c r="M145" s="56"/>
      <c r="N145" s="58"/>
      <c r="O145" s="45"/>
      <c r="P145" s="40"/>
    </row>
    <row r="146" spans="1:16" s="41" customFormat="1" ht="30" customHeight="1">
      <c r="A146" s="51"/>
      <c r="B146" s="52"/>
      <c r="C146" s="51"/>
      <c r="D146" s="52"/>
      <c r="E146" s="52"/>
      <c r="F146" s="52"/>
      <c r="G146" s="52"/>
      <c r="H146" s="52"/>
      <c r="I146" s="52"/>
      <c r="J146" s="52"/>
      <c r="K146" s="52"/>
      <c r="L146" s="52"/>
      <c r="M146" s="52"/>
      <c r="N146" s="54"/>
      <c r="O146" s="45"/>
      <c r="P146" s="40"/>
    </row>
    <row r="147" spans="1:16" s="41" customFormat="1" ht="30" customHeight="1">
      <c r="A147" s="34">
        <v>117</v>
      </c>
      <c r="B147" s="35" t="s">
        <v>166</v>
      </c>
      <c r="C147" s="34"/>
      <c r="D147" s="35"/>
      <c r="E147" s="35" t="s">
        <v>435</v>
      </c>
      <c r="F147" s="35" t="s">
        <v>13</v>
      </c>
      <c r="G147" s="46"/>
      <c r="H147" s="44"/>
      <c r="I147" s="44"/>
      <c r="J147" s="46"/>
      <c r="K147" s="44"/>
      <c r="L147" s="44"/>
      <c r="M147" s="44"/>
      <c r="N147" s="44"/>
      <c r="O147" s="45"/>
      <c r="P147" s="40"/>
    </row>
    <row r="148" spans="1:16" s="41" customFormat="1" ht="30" customHeight="1">
      <c r="A148" s="42">
        <v>118</v>
      </c>
      <c r="B148" s="43" t="s">
        <v>167</v>
      </c>
      <c r="C148" s="42"/>
      <c r="D148" s="43"/>
      <c r="E148" s="43" t="s">
        <v>429</v>
      </c>
      <c r="F148" s="43" t="s">
        <v>13</v>
      </c>
      <c r="G148" s="44"/>
      <c r="H148" s="44"/>
      <c r="I148" s="44"/>
      <c r="J148" s="44"/>
      <c r="K148" s="44"/>
      <c r="L148" s="44"/>
      <c r="M148" s="44"/>
      <c r="N148" s="44"/>
      <c r="O148" s="45"/>
      <c r="P148" s="40"/>
    </row>
    <row r="149" spans="1:16" s="41" customFormat="1" ht="60" customHeight="1">
      <c r="A149" s="34">
        <v>119</v>
      </c>
      <c r="B149" s="35" t="s">
        <v>152</v>
      </c>
      <c r="C149" s="34"/>
      <c r="D149" s="35"/>
      <c r="E149" s="35" t="s">
        <v>429</v>
      </c>
      <c r="F149" s="35" t="s">
        <v>13</v>
      </c>
      <c r="G149" s="46"/>
      <c r="H149" s="44"/>
      <c r="I149" s="44"/>
      <c r="J149" s="46"/>
      <c r="K149" s="44"/>
      <c r="L149" s="44"/>
      <c r="M149" s="44"/>
      <c r="N149" s="44"/>
      <c r="O149" s="45"/>
      <c r="P149" s="40"/>
    </row>
    <row r="150" spans="1:16" s="41" customFormat="1" ht="30" customHeight="1">
      <c r="A150" s="48">
        <v>120</v>
      </c>
      <c r="B150" s="49" t="s">
        <v>168</v>
      </c>
      <c r="C150" s="48" t="s">
        <v>598</v>
      </c>
      <c r="D150" s="49" t="s">
        <v>169</v>
      </c>
      <c r="E150" s="49" t="s">
        <v>438</v>
      </c>
      <c r="F150" s="49"/>
      <c r="G150" s="29" t="s">
        <v>170</v>
      </c>
      <c r="H150" s="49" t="s">
        <v>478</v>
      </c>
      <c r="I150" s="49" t="s">
        <v>595</v>
      </c>
      <c r="J150" s="29" t="s">
        <v>462</v>
      </c>
      <c r="K150" s="49" t="s">
        <v>582</v>
      </c>
      <c r="L150" s="49"/>
      <c r="M150" s="49" t="s">
        <v>562</v>
      </c>
      <c r="N150" s="50" t="s">
        <v>478</v>
      </c>
      <c r="O150" s="45">
        <v>1</v>
      </c>
      <c r="P150" s="40"/>
    </row>
    <row r="151" spans="1:16" s="41" customFormat="1" ht="30" customHeight="1">
      <c r="A151" s="55"/>
      <c r="B151" s="56"/>
      <c r="C151" s="55"/>
      <c r="D151" s="56"/>
      <c r="E151" s="56"/>
      <c r="F151" s="56"/>
      <c r="G151" s="57" t="s">
        <v>171</v>
      </c>
      <c r="H151" s="56"/>
      <c r="I151" s="56"/>
      <c r="J151" s="57"/>
      <c r="K151" s="56"/>
      <c r="L151" s="56"/>
      <c r="M151" s="56"/>
      <c r="N151" s="58"/>
      <c r="O151" s="45"/>
      <c r="P151" s="40"/>
    </row>
    <row r="152" spans="1:16" s="41" customFormat="1" ht="30" customHeight="1">
      <c r="A152" s="55"/>
      <c r="B152" s="56"/>
      <c r="C152" s="55"/>
      <c r="D152" s="56"/>
      <c r="E152" s="56"/>
      <c r="F152" s="56"/>
      <c r="G152" s="57" t="s">
        <v>136</v>
      </c>
      <c r="H152" s="56"/>
      <c r="I152" s="56"/>
      <c r="J152" s="57"/>
      <c r="K152" s="56"/>
      <c r="L152" s="56"/>
      <c r="M152" s="56"/>
      <c r="N152" s="58"/>
      <c r="O152" s="45"/>
      <c r="P152" s="40"/>
    </row>
    <row r="153" spans="1:16" s="41" customFormat="1" ht="30" customHeight="1">
      <c r="A153" s="55"/>
      <c r="B153" s="56"/>
      <c r="C153" s="55"/>
      <c r="D153" s="56"/>
      <c r="E153" s="56"/>
      <c r="F153" s="56"/>
      <c r="G153" s="57" t="s">
        <v>172</v>
      </c>
      <c r="H153" s="56"/>
      <c r="I153" s="56"/>
      <c r="J153" s="57"/>
      <c r="K153" s="56"/>
      <c r="L153" s="56"/>
      <c r="M153" s="56"/>
      <c r="N153" s="58"/>
      <c r="O153" s="45"/>
      <c r="P153" s="40"/>
    </row>
    <row r="154" spans="1:16" s="41" customFormat="1" ht="30" customHeight="1">
      <c r="A154" s="55"/>
      <c r="B154" s="56"/>
      <c r="C154" s="55"/>
      <c r="D154" s="56"/>
      <c r="E154" s="56"/>
      <c r="F154" s="56"/>
      <c r="G154" s="57" t="s">
        <v>173</v>
      </c>
      <c r="H154" s="56"/>
      <c r="I154" s="56"/>
      <c r="J154" s="57"/>
      <c r="K154" s="56"/>
      <c r="L154" s="56"/>
      <c r="M154" s="56"/>
      <c r="N154" s="58"/>
      <c r="O154" s="45"/>
      <c r="P154" s="40"/>
    </row>
    <row r="155" spans="1:16" s="41" customFormat="1" ht="30" customHeight="1">
      <c r="A155" s="55"/>
      <c r="B155" s="56"/>
      <c r="C155" s="55"/>
      <c r="D155" s="56"/>
      <c r="E155" s="56"/>
      <c r="F155" s="56"/>
      <c r="G155" s="57" t="s">
        <v>174</v>
      </c>
      <c r="H155" s="56"/>
      <c r="I155" s="56"/>
      <c r="J155" s="57"/>
      <c r="K155" s="56"/>
      <c r="L155" s="56"/>
      <c r="M155" s="56"/>
      <c r="N155" s="58"/>
      <c r="O155" s="45"/>
      <c r="P155" s="40"/>
    </row>
    <row r="156" spans="1:16" s="41" customFormat="1" ht="30" customHeight="1">
      <c r="A156" s="51"/>
      <c r="B156" s="52"/>
      <c r="C156" s="51"/>
      <c r="D156" s="52"/>
      <c r="E156" s="52"/>
      <c r="F156" s="52"/>
      <c r="G156" s="53" t="s">
        <v>175</v>
      </c>
      <c r="H156" s="52"/>
      <c r="I156" s="52"/>
      <c r="J156" s="53"/>
      <c r="K156" s="52"/>
      <c r="L156" s="52"/>
      <c r="M156" s="52"/>
      <c r="N156" s="54"/>
      <c r="O156" s="45"/>
      <c r="P156" s="40"/>
    </row>
    <row r="157" spans="1:16" s="41" customFormat="1" ht="30" customHeight="1">
      <c r="A157" s="34">
        <v>121</v>
      </c>
      <c r="B157" s="35" t="s">
        <v>176</v>
      </c>
      <c r="C157" s="34" t="s">
        <v>416</v>
      </c>
      <c r="D157" s="35" t="s">
        <v>177</v>
      </c>
      <c r="E157" s="35" t="s">
        <v>431</v>
      </c>
      <c r="F157" s="35"/>
      <c r="G157" s="80" t="s">
        <v>136</v>
      </c>
      <c r="H157" s="35" t="s">
        <v>473</v>
      </c>
      <c r="I157" s="35" t="s">
        <v>595</v>
      </c>
      <c r="J157" s="80" t="s">
        <v>459</v>
      </c>
      <c r="K157" s="35" t="s">
        <v>599</v>
      </c>
      <c r="L157" s="80" t="s">
        <v>180</v>
      </c>
      <c r="M157" s="35" t="s">
        <v>562</v>
      </c>
      <c r="N157" s="47" t="s">
        <v>478</v>
      </c>
      <c r="O157" s="45">
        <v>1</v>
      </c>
      <c r="P157" s="40"/>
    </row>
    <row r="158" spans="1:16" s="41" customFormat="1" ht="30" customHeight="1">
      <c r="A158" s="34"/>
      <c r="B158" s="35"/>
      <c r="C158" s="34"/>
      <c r="D158" s="35"/>
      <c r="E158" s="35"/>
      <c r="F158" s="35"/>
      <c r="G158" s="80" t="s">
        <v>178</v>
      </c>
      <c r="H158" s="35"/>
      <c r="I158" s="35"/>
      <c r="J158" s="80"/>
      <c r="K158" s="35"/>
      <c r="L158" s="80" t="s">
        <v>178</v>
      </c>
      <c r="M158" s="35"/>
      <c r="N158" s="47"/>
      <c r="O158" s="45"/>
      <c r="P158" s="40"/>
    </row>
    <row r="159" spans="1:16" s="41" customFormat="1" ht="30" customHeight="1">
      <c r="A159" s="34"/>
      <c r="B159" s="35"/>
      <c r="C159" s="34"/>
      <c r="D159" s="35"/>
      <c r="E159" s="35"/>
      <c r="F159" s="35"/>
      <c r="G159" s="80" t="s">
        <v>179</v>
      </c>
      <c r="H159" s="35"/>
      <c r="I159" s="35"/>
      <c r="J159" s="80"/>
      <c r="K159" s="35"/>
      <c r="L159" s="80" t="s">
        <v>182</v>
      </c>
      <c r="M159" s="35"/>
      <c r="N159" s="47"/>
      <c r="O159" s="45"/>
      <c r="P159" s="40"/>
    </row>
    <row r="160" spans="1:16" s="41" customFormat="1" ht="30" customHeight="1">
      <c r="A160" s="34"/>
      <c r="B160" s="35"/>
      <c r="C160" s="34"/>
      <c r="D160" s="35"/>
      <c r="E160" s="35"/>
      <c r="F160" s="35"/>
      <c r="G160" s="80" t="s">
        <v>180</v>
      </c>
      <c r="H160" s="35"/>
      <c r="I160" s="35"/>
      <c r="J160" s="80"/>
      <c r="K160" s="35"/>
      <c r="L160" s="80" t="s">
        <v>194</v>
      </c>
      <c r="M160" s="35"/>
      <c r="N160" s="47"/>
      <c r="O160" s="45"/>
      <c r="P160" s="40"/>
    </row>
    <row r="161" spans="1:16" s="41" customFormat="1" ht="30" customHeight="1">
      <c r="A161" s="34"/>
      <c r="B161" s="35"/>
      <c r="C161" s="34"/>
      <c r="D161" s="35"/>
      <c r="E161" s="35"/>
      <c r="F161" s="35"/>
      <c r="G161" s="80" t="s">
        <v>181</v>
      </c>
      <c r="H161" s="35"/>
      <c r="I161" s="35"/>
      <c r="J161" s="80"/>
      <c r="K161" s="35"/>
      <c r="L161" s="80"/>
      <c r="M161" s="35"/>
      <c r="N161" s="47"/>
      <c r="O161" s="45"/>
      <c r="P161" s="40"/>
    </row>
    <row r="162" spans="1:16" s="41" customFormat="1" ht="30" customHeight="1">
      <c r="A162" s="34"/>
      <c r="B162" s="35"/>
      <c r="C162" s="34"/>
      <c r="D162" s="35"/>
      <c r="E162" s="35"/>
      <c r="F162" s="35"/>
      <c r="G162" s="80" t="s">
        <v>182</v>
      </c>
      <c r="H162" s="35"/>
      <c r="I162" s="35"/>
      <c r="J162" s="80"/>
      <c r="K162" s="35"/>
      <c r="L162" s="80"/>
      <c r="M162" s="35"/>
      <c r="N162" s="47"/>
      <c r="O162" s="45"/>
      <c r="P162" s="40"/>
    </row>
    <row r="163" spans="1:16" s="41" customFormat="1" ht="30" customHeight="1">
      <c r="A163" s="34"/>
      <c r="B163" s="35"/>
      <c r="C163" s="34"/>
      <c r="D163" s="35"/>
      <c r="E163" s="35"/>
      <c r="F163" s="35"/>
      <c r="G163" s="80" t="s">
        <v>183</v>
      </c>
      <c r="H163" s="35"/>
      <c r="I163" s="35"/>
      <c r="J163" s="80"/>
      <c r="K163" s="35"/>
      <c r="L163" s="80"/>
      <c r="M163" s="35"/>
      <c r="N163" s="47"/>
      <c r="O163" s="45"/>
      <c r="P163" s="40"/>
    </row>
    <row r="164" spans="1:16" s="41" customFormat="1" ht="30" customHeight="1">
      <c r="A164" s="34"/>
      <c r="B164" s="35"/>
      <c r="C164" s="34"/>
      <c r="D164" s="35"/>
      <c r="E164" s="35"/>
      <c r="F164" s="35"/>
      <c r="G164" s="80" t="s">
        <v>184</v>
      </c>
      <c r="H164" s="35"/>
      <c r="I164" s="35"/>
      <c r="J164" s="80"/>
      <c r="K164" s="35"/>
      <c r="L164" s="80"/>
      <c r="M164" s="35"/>
      <c r="N164" s="47"/>
      <c r="O164" s="45"/>
      <c r="P164" s="40"/>
    </row>
    <row r="165" spans="1:16" s="41" customFormat="1" ht="30" customHeight="1">
      <c r="A165" s="34"/>
      <c r="B165" s="35"/>
      <c r="C165" s="34"/>
      <c r="D165" s="35"/>
      <c r="E165" s="35"/>
      <c r="F165" s="35"/>
      <c r="G165" s="80" t="s">
        <v>185</v>
      </c>
      <c r="H165" s="35"/>
      <c r="I165" s="35"/>
      <c r="J165" s="80"/>
      <c r="K165" s="35"/>
      <c r="L165" s="80"/>
      <c r="M165" s="35"/>
      <c r="N165" s="47"/>
      <c r="O165" s="45"/>
      <c r="P165" s="40"/>
    </row>
    <row r="166" spans="1:16" s="41" customFormat="1" ht="30" customHeight="1">
      <c r="A166" s="34"/>
      <c r="B166" s="35"/>
      <c r="C166" s="34"/>
      <c r="D166" s="35"/>
      <c r="E166" s="35"/>
      <c r="F166" s="35"/>
      <c r="G166" s="80" t="s">
        <v>186</v>
      </c>
      <c r="H166" s="35"/>
      <c r="I166" s="35"/>
      <c r="J166" s="80"/>
      <c r="K166" s="35"/>
      <c r="L166" s="80"/>
      <c r="M166" s="35"/>
      <c r="N166" s="47"/>
      <c r="O166" s="45"/>
      <c r="P166" s="40"/>
    </row>
    <row r="167" spans="1:16" s="41" customFormat="1" ht="30" customHeight="1">
      <c r="A167" s="34"/>
      <c r="B167" s="35"/>
      <c r="C167" s="34"/>
      <c r="D167" s="35"/>
      <c r="E167" s="35"/>
      <c r="F167" s="35"/>
      <c r="G167" s="80" t="s">
        <v>187</v>
      </c>
      <c r="H167" s="35"/>
      <c r="I167" s="35"/>
      <c r="J167" s="80"/>
      <c r="K167" s="35"/>
      <c r="L167" s="80"/>
      <c r="M167" s="35"/>
      <c r="N167" s="47"/>
      <c r="O167" s="45"/>
      <c r="P167" s="40"/>
    </row>
    <row r="168" spans="1:16" s="41" customFormat="1" ht="30" customHeight="1">
      <c r="A168" s="34"/>
      <c r="B168" s="35"/>
      <c r="C168" s="34"/>
      <c r="D168" s="35"/>
      <c r="E168" s="35"/>
      <c r="F168" s="35"/>
      <c r="G168" s="80" t="s">
        <v>188</v>
      </c>
      <c r="H168" s="35"/>
      <c r="I168" s="35"/>
      <c r="J168" s="80"/>
      <c r="K168" s="35"/>
      <c r="L168" s="80"/>
      <c r="M168" s="35"/>
      <c r="N168" s="47"/>
      <c r="O168" s="45"/>
      <c r="P168" s="40"/>
    </row>
    <row r="169" spans="1:16" s="41" customFormat="1" ht="30" customHeight="1">
      <c r="A169" s="34"/>
      <c r="B169" s="35"/>
      <c r="C169" s="34"/>
      <c r="D169" s="35"/>
      <c r="E169" s="35"/>
      <c r="F169" s="35"/>
      <c r="G169" s="80" t="s">
        <v>189</v>
      </c>
      <c r="H169" s="35"/>
      <c r="I169" s="35"/>
      <c r="J169" s="80"/>
      <c r="K169" s="35"/>
      <c r="L169" s="80"/>
      <c r="M169" s="35"/>
      <c r="N169" s="47"/>
      <c r="O169" s="45"/>
      <c r="P169" s="40"/>
    </row>
    <row r="170" spans="1:16" s="41" customFormat="1" ht="30" customHeight="1">
      <c r="A170" s="34"/>
      <c r="B170" s="35"/>
      <c r="C170" s="34"/>
      <c r="D170" s="35"/>
      <c r="E170" s="35"/>
      <c r="F170" s="35"/>
      <c r="G170" s="80" t="s">
        <v>190</v>
      </c>
      <c r="H170" s="35"/>
      <c r="I170" s="35"/>
      <c r="J170" s="80"/>
      <c r="K170" s="35"/>
      <c r="L170" s="80"/>
      <c r="M170" s="35"/>
      <c r="N170" s="47"/>
      <c r="O170" s="45"/>
      <c r="P170" s="40"/>
    </row>
    <row r="171" spans="1:16" s="41" customFormat="1" ht="30" customHeight="1">
      <c r="A171" s="34"/>
      <c r="B171" s="35"/>
      <c r="C171" s="34"/>
      <c r="D171" s="35"/>
      <c r="E171" s="35"/>
      <c r="F171" s="35"/>
      <c r="G171" s="80" t="s">
        <v>191</v>
      </c>
      <c r="H171" s="35"/>
      <c r="I171" s="35"/>
      <c r="J171" s="80"/>
      <c r="K171" s="35"/>
      <c r="L171" s="80"/>
      <c r="M171" s="35"/>
      <c r="N171" s="47"/>
      <c r="O171" s="45"/>
      <c r="P171" s="40"/>
    </row>
    <row r="172" spans="1:16" s="41" customFormat="1" ht="30" customHeight="1">
      <c r="A172" s="34"/>
      <c r="B172" s="35"/>
      <c r="C172" s="34"/>
      <c r="D172" s="35"/>
      <c r="E172" s="35"/>
      <c r="F172" s="35"/>
      <c r="G172" s="80" t="s">
        <v>192</v>
      </c>
      <c r="H172" s="35"/>
      <c r="I172" s="35"/>
      <c r="J172" s="80"/>
      <c r="K172" s="35"/>
      <c r="L172" s="80"/>
      <c r="M172" s="35"/>
      <c r="N172" s="47"/>
      <c r="O172" s="45"/>
      <c r="P172" s="40"/>
    </row>
    <row r="173" spans="1:16" s="41" customFormat="1" ht="30" customHeight="1">
      <c r="A173" s="34"/>
      <c r="B173" s="35"/>
      <c r="C173" s="34"/>
      <c r="D173" s="35"/>
      <c r="E173" s="35"/>
      <c r="F173" s="35"/>
      <c r="G173" s="80" t="s">
        <v>193</v>
      </c>
      <c r="H173" s="35"/>
      <c r="I173" s="35"/>
      <c r="J173" s="80"/>
      <c r="K173" s="35"/>
      <c r="L173" s="80"/>
      <c r="M173" s="35"/>
      <c r="N173" s="47"/>
      <c r="O173" s="45"/>
      <c r="P173" s="40"/>
    </row>
    <row r="174" spans="1:16" s="41" customFormat="1" ht="30" customHeight="1">
      <c r="A174" s="34"/>
      <c r="B174" s="35"/>
      <c r="C174" s="34"/>
      <c r="D174" s="35"/>
      <c r="E174" s="35"/>
      <c r="F174" s="35"/>
      <c r="G174" s="80" t="s">
        <v>194</v>
      </c>
      <c r="H174" s="35"/>
      <c r="I174" s="35"/>
      <c r="J174" s="80"/>
      <c r="K174" s="35"/>
      <c r="L174" s="80"/>
      <c r="M174" s="35"/>
      <c r="N174" s="47"/>
      <c r="O174" s="45"/>
      <c r="P174" s="40"/>
    </row>
    <row r="175" spans="1:16" s="41" customFormat="1" ht="30" customHeight="1">
      <c r="A175" s="34"/>
      <c r="B175" s="35"/>
      <c r="C175" s="34"/>
      <c r="D175" s="35"/>
      <c r="E175" s="35"/>
      <c r="F175" s="35"/>
      <c r="G175" s="80" t="s">
        <v>583</v>
      </c>
      <c r="H175" s="35"/>
      <c r="I175" s="35"/>
      <c r="J175" s="80"/>
      <c r="K175" s="35"/>
      <c r="L175" s="80"/>
      <c r="M175" s="35"/>
      <c r="N175" s="47"/>
      <c r="O175" s="45"/>
      <c r="P175" s="40"/>
    </row>
    <row r="176" spans="1:16" s="41" customFormat="1" ht="30" customHeight="1">
      <c r="A176" s="34"/>
      <c r="B176" s="35"/>
      <c r="C176" s="34"/>
      <c r="D176" s="35"/>
      <c r="E176" s="35"/>
      <c r="F176" s="35"/>
      <c r="G176" s="80" t="s">
        <v>195</v>
      </c>
      <c r="H176" s="35"/>
      <c r="I176" s="35"/>
      <c r="J176" s="80"/>
      <c r="K176" s="35"/>
      <c r="L176" s="80"/>
      <c r="M176" s="35"/>
      <c r="N176" s="47"/>
      <c r="O176" s="45"/>
      <c r="P176" s="40"/>
    </row>
    <row r="177" spans="1:16" s="41" customFormat="1" ht="30" customHeight="1">
      <c r="A177" s="34"/>
      <c r="B177" s="35"/>
      <c r="C177" s="34"/>
      <c r="D177" s="35"/>
      <c r="E177" s="35"/>
      <c r="F177" s="35"/>
      <c r="G177" s="80" t="s">
        <v>196</v>
      </c>
      <c r="H177" s="35"/>
      <c r="I177" s="35"/>
      <c r="J177" s="80"/>
      <c r="K177" s="35"/>
      <c r="L177" s="80"/>
      <c r="M177" s="35"/>
      <c r="N177" s="47"/>
      <c r="O177" s="45"/>
      <c r="P177" s="40"/>
    </row>
    <row r="178" spans="1:16" s="41" customFormat="1" ht="30" customHeight="1">
      <c r="A178" s="34"/>
      <c r="B178" s="35"/>
      <c r="C178" s="34"/>
      <c r="D178" s="35"/>
      <c r="E178" s="35"/>
      <c r="F178" s="35"/>
      <c r="G178" s="80" t="s">
        <v>179</v>
      </c>
      <c r="H178" s="35"/>
      <c r="I178" s="35"/>
      <c r="J178" s="80"/>
      <c r="K178" s="35"/>
      <c r="L178" s="80"/>
      <c r="M178" s="35"/>
      <c r="N178" s="47"/>
      <c r="O178" s="45"/>
      <c r="P178" s="40"/>
    </row>
    <row r="179" spans="1:16" s="41" customFormat="1" ht="30" customHeight="1">
      <c r="A179" s="34"/>
      <c r="B179" s="35"/>
      <c r="C179" s="34"/>
      <c r="D179" s="35"/>
      <c r="E179" s="35"/>
      <c r="F179" s="35"/>
      <c r="G179" s="80" t="s">
        <v>114</v>
      </c>
      <c r="H179" s="35"/>
      <c r="I179" s="35"/>
      <c r="J179" s="80"/>
      <c r="K179" s="35"/>
      <c r="L179" s="80"/>
      <c r="M179" s="35"/>
      <c r="N179" s="47"/>
      <c r="O179" s="45"/>
      <c r="P179" s="40"/>
    </row>
    <row r="180" spans="1:16" s="41" customFormat="1" ht="68.25" customHeight="1">
      <c r="A180" s="42">
        <v>122</v>
      </c>
      <c r="B180" s="43" t="s">
        <v>197</v>
      </c>
      <c r="C180" s="42">
        <v>238</v>
      </c>
      <c r="D180" s="43" t="s">
        <v>198</v>
      </c>
      <c r="E180" s="43" t="s">
        <v>431</v>
      </c>
      <c r="F180" s="43"/>
      <c r="G180" s="43" t="s">
        <v>610</v>
      </c>
      <c r="H180" s="43" t="s">
        <v>479</v>
      </c>
      <c r="I180" s="43" t="s">
        <v>595</v>
      </c>
      <c r="J180" s="43" t="s">
        <v>468</v>
      </c>
      <c r="K180" s="43"/>
      <c r="L180" s="43" t="s">
        <v>610</v>
      </c>
      <c r="M180" s="43" t="s">
        <v>472</v>
      </c>
      <c r="N180" s="43" t="s">
        <v>480</v>
      </c>
      <c r="O180" s="45"/>
      <c r="P180" s="40"/>
    </row>
    <row r="181" spans="1:16" s="41" customFormat="1" ht="51">
      <c r="A181" s="34">
        <v>123</v>
      </c>
      <c r="B181" s="35" t="s">
        <v>199</v>
      </c>
      <c r="C181" s="34">
        <v>240</v>
      </c>
      <c r="D181" s="35" t="s">
        <v>200</v>
      </c>
      <c r="E181" s="35" t="s">
        <v>481</v>
      </c>
      <c r="F181" s="35"/>
      <c r="G181" s="80" t="s">
        <v>603</v>
      </c>
      <c r="H181" s="35" t="s">
        <v>478</v>
      </c>
      <c r="I181" s="35" t="s">
        <v>595</v>
      </c>
      <c r="J181" s="80" t="s">
        <v>459</v>
      </c>
      <c r="K181" s="35" t="s">
        <v>602</v>
      </c>
      <c r="L181" s="35"/>
      <c r="M181" s="35" t="s">
        <v>484</v>
      </c>
      <c r="N181" s="47" t="s">
        <v>480</v>
      </c>
      <c r="O181" s="45">
        <v>1</v>
      </c>
      <c r="P181" s="40"/>
    </row>
    <row r="182" spans="1:16" s="41" customFormat="1" ht="179.25" customHeight="1">
      <c r="A182" s="48">
        <v>124</v>
      </c>
      <c r="B182" s="49" t="s">
        <v>202</v>
      </c>
      <c r="C182" s="48" t="s">
        <v>417</v>
      </c>
      <c r="D182" s="49" t="s">
        <v>203</v>
      </c>
      <c r="E182" s="49" t="s">
        <v>429</v>
      </c>
      <c r="F182" s="49"/>
      <c r="G182" s="29" t="s">
        <v>575</v>
      </c>
      <c r="H182" s="49" t="s">
        <v>482</v>
      </c>
      <c r="I182" s="49" t="s">
        <v>595</v>
      </c>
      <c r="J182" s="29" t="s">
        <v>468</v>
      </c>
      <c r="K182" s="49"/>
      <c r="L182" s="49" t="s">
        <v>483</v>
      </c>
      <c r="M182" s="49" t="s">
        <v>484</v>
      </c>
      <c r="N182" s="50" t="s">
        <v>482</v>
      </c>
      <c r="O182" s="45"/>
      <c r="P182" s="40"/>
    </row>
    <row r="183" spans="1:16" s="41" customFormat="1" ht="30" customHeight="1">
      <c r="A183" s="34">
        <v>125</v>
      </c>
      <c r="B183" s="35" t="s">
        <v>205</v>
      </c>
      <c r="C183" s="34" t="s">
        <v>418</v>
      </c>
      <c r="D183" s="35" t="s">
        <v>206</v>
      </c>
      <c r="E183" s="35" t="s">
        <v>438</v>
      </c>
      <c r="F183" s="35"/>
      <c r="G183" s="80" t="s">
        <v>179</v>
      </c>
      <c r="H183" s="35" t="s">
        <v>485</v>
      </c>
      <c r="I183" s="35" t="s">
        <v>594</v>
      </c>
      <c r="J183" s="80" t="s">
        <v>462</v>
      </c>
      <c r="K183" s="35" t="s">
        <v>578</v>
      </c>
      <c r="L183" s="35" t="s">
        <v>584</v>
      </c>
      <c r="M183" s="35" t="s">
        <v>487</v>
      </c>
      <c r="N183" s="47" t="s">
        <v>486</v>
      </c>
      <c r="O183" s="45">
        <v>1</v>
      </c>
      <c r="P183" s="40"/>
    </row>
    <row r="184" spans="1:16" s="41" customFormat="1" ht="30" customHeight="1">
      <c r="A184" s="34"/>
      <c r="B184" s="35"/>
      <c r="C184" s="34"/>
      <c r="D184" s="35"/>
      <c r="E184" s="35"/>
      <c r="F184" s="35"/>
      <c r="G184" s="80" t="s">
        <v>208</v>
      </c>
      <c r="H184" s="35"/>
      <c r="I184" s="35"/>
      <c r="J184" s="80"/>
      <c r="K184" s="35" t="s">
        <v>207</v>
      </c>
      <c r="L184" s="35"/>
      <c r="M184" s="35"/>
      <c r="N184" s="47"/>
      <c r="O184" s="45"/>
      <c r="P184" s="40"/>
    </row>
    <row r="185" spans="1:16" s="41" customFormat="1" ht="30" customHeight="1">
      <c r="A185" s="34"/>
      <c r="B185" s="35"/>
      <c r="C185" s="34"/>
      <c r="D185" s="35"/>
      <c r="E185" s="35"/>
      <c r="F185" s="35"/>
      <c r="G185" s="80" t="s">
        <v>209</v>
      </c>
      <c r="H185" s="35"/>
      <c r="I185" s="35"/>
      <c r="J185" s="80"/>
      <c r="K185" s="35"/>
      <c r="L185" s="35"/>
      <c r="M185" s="35"/>
      <c r="N185" s="47"/>
      <c r="O185" s="45"/>
      <c r="P185" s="40"/>
    </row>
    <row r="186" spans="1:16" s="41" customFormat="1" ht="30" customHeight="1">
      <c r="A186" s="34"/>
      <c r="B186" s="35"/>
      <c r="C186" s="34"/>
      <c r="D186" s="35"/>
      <c r="E186" s="35"/>
      <c r="F186" s="35"/>
      <c r="G186" s="80" t="s">
        <v>210</v>
      </c>
      <c r="H186" s="35"/>
      <c r="I186" s="35"/>
      <c r="J186" s="80"/>
      <c r="K186" s="35"/>
      <c r="L186" s="35"/>
      <c r="M186" s="35"/>
      <c r="N186" s="47"/>
      <c r="O186" s="45"/>
      <c r="P186" s="40"/>
    </row>
    <row r="187" spans="1:16" s="41" customFormat="1" ht="30" customHeight="1">
      <c r="A187" s="34"/>
      <c r="B187" s="35"/>
      <c r="C187" s="34"/>
      <c r="D187" s="35"/>
      <c r="E187" s="35"/>
      <c r="F187" s="35"/>
      <c r="G187" s="80" t="s">
        <v>211</v>
      </c>
      <c r="H187" s="35"/>
      <c r="I187" s="35"/>
      <c r="J187" s="80"/>
      <c r="K187" s="35"/>
      <c r="L187" s="35"/>
      <c r="M187" s="35"/>
      <c r="N187" s="47"/>
      <c r="O187" s="45"/>
      <c r="P187" s="40"/>
    </row>
    <row r="188" spans="1:16" s="41" customFormat="1" ht="30" customHeight="1">
      <c r="A188" s="34"/>
      <c r="B188" s="35"/>
      <c r="C188" s="34"/>
      <c r="D188" s="35"/>
      <c r="E188" s="35"/>
      <c r="F188" s="35"/>
      <c r="G188" s="80" t="s">
        <v>136</v>
      </c>
      <c r="H188" s="35"/>
      <c r="I188" s="35"/>
      <c r="J188" s="80"/>
      <c r="K188" s="35"/>
      <c r="L188" s="35"/>
      <c r="M188" s="35"/>
      <c r="N188" s="47"/>
      <c r="O188" s="45"/>
      <c r="P188" s="40"/>
    </row>
    <row r="189" spans="1:16" s="41" customFormat="1" ht="30" customHeight="1">
      <c r="A189" s="34"/>
      <c r="B189" s="35"/>
      <c r="C189" s="34"/>
      <c r="D189" s="35"/>
      <c r="E189" s="35"/>
      <c r="F189" s="35"/>
      <c r="G189" s="80" t="s">
        <v>195</v>
      </c>
      <c r="H189" s="35"/>
      <c r="I189" s="35"/>
      <c r="J189" s="80"/>
      <c r="K189" s="35"/>
      <c r="L189" s="35"/>
      <c r="M189" s="35"/>
      <c r="N189" s="47"/>
      <c r="O189" s="45"/>
      <c r="P189" s="40"/>
    </row>
    <row r="190" spans="1:16" s="41" customFormat="1" ht="30" customHeight="1">
      <c r="A190" s="34"/>
      <c r="B190" s="35"/>
      <c r="C190" s="34"/>
      <c r="D190" s="35"/>
      <c r="E190" s="35"/>
      <c r="F190" s="35"/>
      <c r="G190" s="80" t="s">
        <v>114</v>
      </c>
      <c r="H190" s="35"/>
      <c r="I190" s="35"/>
      <c r="J190" s="80"/>
      <c r="K190" s="35"/>
      <c r="L190" s="35"/>
      <c r="M190" s="35"/>
      <c r="N190" s="47"/>
      <c r="O190" s="45"/>
      <c r="P190" s="40"/>
    </row>
    <row r="191" spans="1:16" s="41" customFormat="1" ht="30" customHeight="1">
      <c r="A191" s="34"/>
      <c r="B191" s="35"/>
      <c r="C191" s="34"/>
      <c r="D191" s="35"/>
      <c r="E191" s="35"/>
      <c r="F191" s="35"/>
      <c r="G191" s="80" t="s">
        <v>72</v>
      </c>
      <c r="H191" s="35"/>
      <c r="I191" s="35"/>
      <c r="J191" s="80"/>
      <c r="K191" s="35"/>
      <c r="L191" s="35"/>
      <c r="M191" s="35"/>
      <c r="N191" s="47"/>
      <c r="O191" s="45"/>
      <c r="P191" s="40"/>
    </row>
    <row r="192" spans="1:16" s="41" customFormat="1" ht="30" customHeight="1">
      <c r="A192" s="34"/>
      <c r="B192" s="35"/>
      <c r="C192" s="34"/>
      <c r="D192" s="35"/>
      <c r="E192" s="35"/>
      <c r="F192" s="35"/>
      <c r="G192" s="80" t="s">
        <v>178</v>
      </c>
      <c r="H192" s="35"/>
      <c r="I192" s="35"/>
      <c r="J192" s="80"/>
      <c r="K192" s="35"/>
      <c r="L192" s="35"/>
      <c r="M192" s="35"/>
      <c r="N192" s="47"/>
      <c r="O192" s="45"/>
      <c r="P192" s="40"/>
    </row>
    <row r="193" spans="1:16" s="41" customFormat="1" ht="30" customHeight="1">
      <c r="A193" s="34"/>
      <c r="B193" s="35"/>
      <c r="C193" s="34"/>
      <c r="D193" s="35"/>
      <c r="E193" s="35"/>
      <c r="F193" s="35"/>
      <c r="G193" s="80" t="s">
        <v>180</v>
      </c>
      <c r="H193" s="35"/>
      <c r="I193" s="35"/>
      <c r="J193" s="80"/>
      <c r="K193" s="35"/>
      <c r="L193" s="35"/>
      <c r="M193" s="35"/>
      <c r="N193" s="47"/>
      <c r="O193" s="45"/>
      <c r="P193" s="40"/>
    </row>
    <row r="194" spans="1:16" s="41" customFormat="1" ht="30" customHeight="1">
      <c r="A194" s="34"/>
      <c r="B194" s="35"/>
      <c r="C194" s="34"/>
      <c r="D194" s="35"/>
      <c r="E194" s="35"/>
      <c r="F194" s="35"/>
      <c r="G194" s="80" t="s">
        <v>182</v>
      </c>
      <c r="H194" s="35"/>
      <c r="I194" s="35"/>
      <c r="J194" s="80"/>
      <c r="K194" s="35"/>
      <c r="L194" s="35"/>
      <c r="M194" s="35"/>
      <c r="N194" s="47"/>
      <c r="O194" s="45"/>
      <c r="P194" s="40"/>
    </row>
    <row r="195" spans="1:16" s="41" customFormat="1" ht="30" customHeight="1">
      <c r="A195" s="34"/>
      <c r="B195" s="35"/>
      <c r="C195" s="34"/>
      <c r="D195" s="35"/>
      <c r="E195" s="35"/>
      <c r="F195" s="35"/>
      <c r="G195" s="80" t="s">
        <v>181</v>
      </c>
      <c r="H195" s="35"/>
      <c r="I195" s="35"/>
      <c r="J195" s="80"/>
      <c r="K195" s="35"/>
      <c r="L195" s="35"/>
      <c r="M195" s="35"/>
      <c r="N195" s="47"/>
      <c r="O195" s="45"/>
      <c r="P195" s="40"/>
    </row>
    <row r="196" spans="1:16" s="41" customFormat="1" ht="30" customHeight="1">
      <c r="A196" s="34"/>
      <c r="B196" s="35"/>
      <c r="C196" s="34"/>
      <c r="D196" s="35"/>
      <c r="E196" s="35"/>
      <c r="F196" s="35"/>
      <c r="G196" s="80" t="s">
        <v>134</v>
      </c>
      <c r="H196" s="35"/>
      <c r="I196" s="35"/>
      <c r="J196" s="80"/>
      <c r="K196" s="35"/>
      <c r="L196" s="35"/>
      <c r="M196" s="35"/>
      <c r="N196" s="47"/>
      <c r="O196" s="45"/>
      <c r="P196" s="40"/>
    </row>
    <row r="197" spans="1:16" s="41" customFormat="1" ht="30" customHeight="1">
      <c r="A197" s="34"/>
      <c r="B197" s="35"/>
      <c r="C197" s="34"/>
      <c r="D197" s="35"/>
      <c r="E197" s="35"/>
      <c r="F197" s="35"/>
      <c r="G197" s="80" t="s">
        <v>173</v>
      </c>
      <c r="H197" s="35"/>
      <c r="I197" s="35"/>
      <c r="J197" s="80"/>
      <c r="K197" s="35"/>
      <c r="L197" s="35"/>
      <c r="M197" s="35"/>
      <c r="N197" s="47"/>
      <c r="O197" s="45"/>
      <c r="P197" s="40"/>
    </row>
    <row r="198" spans="1:16" s="41" customFormat="1" ht="30" customHeight="1">
      <c r="A198" s="34"/>
      <c r="B198" s="35"/>
      <c r="C198" s="34"/>
      <c r="D198" s="35"/>
      <c r="E198" s="35"/>
      <c r="F198" s="35"/>
      <c r="G198" s="80" t="s">
        <v>204</v>
      </c>
      <c r="H198" s="35"/>
      <c r="I198" s="35"/>
      <c r="J198" s="80"/>
      <c r="K198" s="35"/>
      <c r="L198" s="35"/>
      <c r="M198" s="35"/>
      <c r="N198" s="47"/>
      <c r="O198" s="45"/>
      <c r="P198" s="40"/>
    </row>
    <row r="199" spans="1:16" s="41" customFormat="1" ht="30" customHeight="1">
      <c r="A199" s="34"/>
      <c r="B199" s="35"/>
      <c r="C199" s="34"/>
      <c r="D199" s="35"/>
      <c r="E199" s="35"/>
      <c r="F199" s="35"/>
      <c r="G199" s="80" t="s">
        <v>201</v>
      </c>
      <c r="H199" s="35"/>
      <c r="I199" s="35"/>
      <c r="J199" s="80"/>
      <c r="K199" s="35"/>
      <c r="L199" s="35"/>
      <c r="M199" s="35"/>
      <c r="N199" s="47"/>
      <c r="O199" s="45"/>
      <c r="P199" s="40"/>
    </row>
    <row r="200" spans="1:16" s="41" customFormat="1" ht="30" customHeight="1">
      <c r="A200" s="34"/>
      <c r="B200" s="35"/>
      <c r="C200" s="34"/>
      <c r="D200" s="35"/>
      <c r="E200" s="35"/>
      <c r="F200" s="35"/>
      <c r="G200" s="80" t="s">
        <v>52</v>
      </c>
      <c r="H200" s="35"/>
      <c r="I200" s="35"/>
      <c r="J200" s="80"/>
      <c r="K200" s="35"/>
      <c r="L200" s="35"/>
      <c r="M200" s="35"/>
      <c r="N200" s="47"/>
      <c r="O200" s="45"/>
      <c r="P200" s="40"/>
    </row>
    <row r="201" spans="1:16" s="41" customFormat="1" ht="30" customHeight="1">
      <c r="A201" s="34"/>
      <c r="B201" s="35"/>
      <c r="C201" s="34"/>
      <c r="D201" s="35"/>
      <c r="E201" s="35"/>
      <c r="F201" s="35"/>
      <c r="G201" s="80" t="s">
        <v>212</v>
      </c>
      <c r="H201" s="35"/>
      <c r="I201" s="35"/>
      <c r="J201" s="80"/>
      <c r="K201" s="35"/>
      <c r="L201" s="35"/>
      <c r="M201" s="35"/>
      <c r="N201" s="47"/>
      <c r="O201" s="45"/>
      <c r="P201" s="40"/>
    </row>
    <row r="202" spans="1:16" s="41" customFormat="1" ht="30" customHeight="1">
      <c r="A202" s="34"/>
      <c r="B202" s="35"/>
      <c r="C202" s="34"/>
      <c r="D202" s="35"/>
      <c r="E202" s="35"/>
      <c r="F202" s="35"/>
      <c r="G202" s="80" t="s">
        <v>213</v>
      </c>
      <c r="H202" s="35"/>
      <c r="I202" s="35"/>
      <c r="J202" s="80"/>
      <c r="K202" s="35"/>
      <c r="L202" s="35"/>
      <c r="M202" s="35"/>
      <c r="N202" s="47"/>
      <c r="O202" s="45"/>
      <c r="P202" s="40"/>
    </row>
    <row r="203" spans="1:16" s="41" customFormat="1" ht="30" customHeight="1">
      <c r="A203" s="34"/>
      <c r="B203" s="35"/>
      <c r="C203" s="34"/>
      <c r="D203" s="35"/>
      <c r="E203" s="35"/>
      <c r="F203" s="35"/>
      <c r="G203" s="80" t="s">
        <v>161</v>
      </c>
      <c r="H203" s="35"/>
      <c r="I203" s="35"/>
      <c r="J203" s="80"/>
      <c r="K203" s="35"/>
      <c r="L203" s="35"/>
      <c r="M203" s="35"/>
      <c r="N203" s="47"/>
      <c r="O203" s="45"/>
      <c r="P203" s="40"/>
    </row>
    <row r="204" spans="1:16" s="41" customFormat="1" ht="30" customHeight="1">
      <c r="A204" s="42">
        <v>126</v>
      </c>
      <c r="B204" s="43" t="s">
        <v>214</v>
      </c>
      <c r="C204" s="42">
        <v>247</v>
      </c>
      <c r="D204" s="43" t="s">
        <v>215</v>
      </c>
      <c r="E204" s="43" t="s">
        <v>431</v>
      </c>
      <c r="F204" s="43"/>
      <c r="G204" s="65" t="s">
        <v>621</v>
      </c>
      <c r="H204" s="43"/>
      <c r="I204" s="43"/>
      <c r="J204" s="65"/>
      <c r="K204" s="43"/>
      <c r="L204" s="43"/>
      <c r="M204" s="43"/>
      <c r="N204" s="66"/>
      <c r="O204" s="45">
        <v>1</v>
      </c>
      <c r="P204" s="40"/>
    </row>
    <row r="205" spans="1:16" s="41" customFormat="1" ht="30" customHeight="1">
      <c r="A205" s="34">
        <v>127</v>
      </c>
      <c r="B205" s="35" t="s">
        <v>76</v>
      </c>
      <c r="C205" s="34"/>
      <c r="D205" s="35"/>
      <c r="E205" s="35" t="s">
        <v>435</v>
      </c>
      <c r="F205" s="35" t="s">
        <v>13</v>
      </c>
      <c r="G205" s="46"/>
      <c r="H205" s="44"/>
      <c r="I205" s="44"/>
      <c r="J205" s="46"/>
      <c r="K205" s="44"/>
      <c r="L205" s="44"/>
      <c r="M205" s="44"/>
      <c r="N205" s="44"/>
      <c r="O205" s="45"/>
      <c r="P205" s="40"/>
    </row>
    <row r="206" spans="1:16" s="41" customFormat="1" ht="30" customHeight="1">
      <c r="A206" s="48">
        <v>128</v>
      </c>
      <c r="B206" s="49" t="s">
        <v>106</v>
      </c>
      <c r="C206" s="48"/>
      <c r="D206" s="49"/>
      <c r="E206" s="49" t="s">
        <v>438</v>
      </c>
      <c r="F206" s="49"/>
      <c r="G206" s="29" t="s">
        <v>105</v>
      </c>
      <c r="H206" s="49" t="s">
        <v>440</v>
      </c>
      <c r="I206" s="49" t="s">
        <v>595</v>
      </c>
      <c r="J206" s="29" t="s">
        <v>468</v>
      </c>
      <c r="K206" s="49"/>
      <c r="L206" s="29" t="s">
        <v>105</v>
      </c>
      <c r="M206" s="49" t="s">
        <v>613</v>
      </c>
      <c r="N206" s="50"/>
      <c r="O206" s="45"/>
      <c r="P206" s="40"/>
    </row>
    <row r="207" spans="1:16" s="41" customFormat="1" ht="30" customHeight="1">
      <c r="A207" s="51"/>
      <c r="B207" s="52"/>
      <c r="C207" s="51"/>
      <c r="D207" s="52"/>
      <c r="E207" s="52"/>
      <c r="F207" s="52"/>
      <c r="G207" s="53" t="s">
        <v>119</v>
      </c>
      <c r="H207" s="52"/>
      <c r="I207" s="52"/>
      <c r="J207" s="53"/>
      <c r="K207" s="52"/>
      <c r="L207" s="53" t="s">
        <v>119</v>
      </c>
      <c r="M207" s="52"/>
      <c r="N207" s="54"/>
      <c r="O207" s="45"/>
      <c r="P207" s="40"/>
    </row>
    <row r="208" spans="1:16" s="41" customFormat="1" ht="30" customHeight="1">
      <c r="A208" s="34">
        <v>129</v>
      </c>
      <c r="B208" s="35" t="s">
        <v>216</v>
      </c>
      <c r="C208" s="34" t="s">
        <v>419</v>
      </c>
      <c r="D208" s="35"/>
      <c r="E208" s="35" t="s">
        <v>438</v>
      </c>
      <c r="F208" s="35"/>
      <c r="G208" s="35" t="s">
        <v>105</v>
      </c>
      <c r="H208" s="35" t="s">
        <v>440</v>
      </c>
      <c r="I208" s="35" t="s">
        <v>595</v>
      </c>
      <c r="J208" s="35" t="s">
        <v>468</v>
      </c>
      <c r="K208" s="35"/>
      <c r="L208" s="35" t="s">
        <v>105</v>
      </c>
      <c r="M208" s="35" t="s">
        <v>613</v>
      </c>
      <c r="N208" s="47"/>
      <c r="O208" s="45"/>
      <c r="P208" s="40"/>
    </row>
    <row r="209" spans="1:16" s="41" customFormat="1" ht="30" customHeight="1">
      <c r="A209" s="34"/>
      <c r="B209" s="35"/>
      <c r="C209" s="34"/>
      <c r="D209" s="35"/>
      <c r="E209" s="35"/>
      <c r="F209" s="35"/>
      <c r="G209" s="35" t="s">
        <v>119</v>
      </c>
      <c r="H209" s="35"/>
      <c r="I209" s="35"/>
      <c r="J209" s="35"/>
      <c r="K209" s="35"/>
      <c r="L209" s="35" t="s">
        <v>119</v>
      </c>
      <c r="M209" s="35"/>
      <c r="N209" s="47"/>
      <c r="O209" s="45"/>
      <c r="P209" s="40"/>
    </row>
    <row r="210" spans="1:16" s="41" customFormat="1" ht="30" customHeight="1">
      <c r="A210" s="42">
        <v>130</v>
      </c>
      <c r="B210" s="43" t="s">
        <v>76</v>
      </c>
      <c r="C210" s="42"/>
      <c r="D210" s="43"/>
      <c r="E210" s="43" t="s">
        <v>435</v>
      </c>
      <c r="F210" s="43" t="s">
        <v>13</v>
      </c>
      <c r="G210" s="44"/>
      <c r="H210" s="44"/>
      <c r="I210" s="44"/>
      <c r="J210" s="44"/>
      <c r="K210" s="44"/>
      <c r="L210" s="44"/>
      <c r="M210" s="44"/>
      <c r="N210" s="44"/>
      <c r="O210" s="45"/>
      <c r="P210" s="40"/>
    </row>
    <row r="211" spans="1:16" s="41" customFormat="1" ht="30" customHeight="1">
      <c r="A211" s="34">
        <v>131</v>
      </c>
      <c r="B211" s="35" t="s">
        <v>217</v>
      </c>
      <c r="C211" s="34">
        <v>253</v>
      </c>
      <c r="D211" s="35"/>
      <c r="E211" s="35" t="s">
        <v>435</v>
      </c>
      <c r="F211" s="35" t="s">
        <v>13</v>
      </c>
      <c r="G211" s="46"/>
      <c r="H211" s="44"/>
      <c r="I211" s="44"/>
      <c r="J211" s="46"/>
      <c r="K211" s="44"/>
      <c r="L211" s="44"/>
      <c r="M211" s="44"/>
      <c r="N211" s="44"/>
      <c r="O211" s="45"/>
      <c r="P211" s="40"/>
    </row>
    <row r="212" spans="1:16" s="41" customFormat="1" ht="30" customHeight="1">
      <c r="A212" s="48">
        <v>132</v>
      </c>
      <c r="B212" s="49" t="s">
        <v>218</v>
      </c>
      <c r="C212" s="48"/>
      <c r="D212" s="49" t="s">
        <v>219</v>
      </c>
      <c r="E212" s="49" t="s">
        <v>437</v>
      </c>
      <c r="F212" s="49"/>
      <c r="G212" s="29" t="s">
        <v>63</v>
      </c>
      <c r="H212" s="49" t="s">
        <v>441</v>
      </c>
      <c r="I212" s="49" t="s">
        <v>595</v>
      </c>
      <c r="J212" s="29" t="s">
        <v>459</v>
      </c>
      <c r="K212" s="49" t="s">
        <v>563</v>
      </c>
      <c r="L212" s="29" t="s">
        <v>63</v>
      </c>
      <c r="M212" s="49" t="s">
        <v>443</v>
      </c>
      <c r="N212" s="50"/>
      <c r="O212" s="45"/>
      <c r="P212" s="40"/>
    </row>
    <row r="213" spans="1:16" s="41" customFormat="1" ht="30" customHeight="1">
      <c r="A213" s="55"/>
      <c r="B213" s="56"/>
      <c r="C213" s="55"/>
      <c r="D213" s="56"/>
      <c r="E213" s="56"/>
      <c r="F213" s="56"/>
      <c r="G213" s="57" t="s">
        <v>220</v>
      </c>
      <c r="H213" s="56"/>
      <c r="I213" s="56"/>
      <c r="J213" s="57"/>
      <c r="K213" s="56"/>
      <c r="L213" s="57" t="s">
        <v>220</v>
      </c>
      <c r="M213" s="56"/>
      <c r="N213" s="58"/>
      <c r="O213" s="45"/>
      <c r="P213" s="40"/>
    </row>
    <row r="214" spans="1:16" s="41" customFormat="1" ht="30" customHeight="1">
      <c r="A214" s="55"/>
      <c r="B214" s="56"/>
      <c r="C214" s="55"/>
      <c r="D214" s="56"/>
      <c r="E214" s="56"/>
      <c r="F214" s="56"/>
      <c r="G214" s="57" t="s">
        <v>79</v>
      </c>
      <c r="H214" s="56"/>
      <c r="I214" s="56"/>
      <c r="J214" s="57"/>
      <c r="K214" s="56"/>
      <c r="L214" s="57" t="s">
        <v>79</v>
      </c>
      <c r="M214" s="56"/>
      <c r="N214" s="58"/>
      <c r="O214" s="45"/>
      <c r="P214" s="40"/>
    </row>
    <row r="215" spans="1:16" s="41" customFormat="1" ht="30" customHeight="1">
      <c r="A215" s="55"/>
      <c r="B215" s="56"/>
      <c r="C215" s="55"/>
      <c r="D215" s="56"/>
      <c r="E215" s="56"/>
      <c r="F215" s="56"/>
      <c r="G215" s="57" t="s">
        <v>585</v>
      </c>
      <c r="H215" s="56"/>
      <c r="I215" s="56"/>
      <c r="J215" s="57"/>
      <c r="K215" s="56"/>
      <c r="L215" s="57" t="s">
        <v>585</v>
      </c>
      <c r="M215" s="56"/>
      <c r="N215" s="58"/>
      <c r="O215" s="45"/>
      <c r="P215" s="40"/>
    </row>
    <row r="216" spans="1:16" s="41" customFormat="1" ht="30" customHeight="1">
      <c r="A216" s="55"/>
      <c r="B216" s="56"/>
      <c r="C216" s="55"/>
      <c r="D216" s="56"/>
      <c r="E216" s="56"/>
      <c r="F216" s="56"/>
      <c r="G216" s="57" t="s">
        <v>221</v>
      </c>
      <c r="H216" s="56"/>
      <c r="I216" s="56"/>
      <c r="J216" s="57"/>
      <c r="K216" s="56"/>
      <c r="L216" s="57" t="s">
        <v>221</v>
      </c>
      <c r="M216" s="56"/>
      <c r="N216" s="58"/>
      <c r="O216" s="45"/>
      <c r="P216" s="40"/>
    </row>
    <row r="217" spans="1:16" s="41" customFormat="1" ht="30" customHeight="1">
      <c r="A217" s="55"/>
      <c r="B217" s="56"/>
      <c r="C217" s="55"/>
      <c r="D217" s="56"/>
      <c r="E217" s="56"/>
      <c r="F217" s="56"/>
      <c r="G217" s="57" t="s">
        <v>222</v>
      </c>
      <c r="H217" s="56"/>
      <c r="I217" s="56"/>
      <c r="J217" s="57"/>
      <c r="K217" s="56"/>
      <c r="L217" s="57" t="s">
        <v>222</v>
      </c>
      <c r="M217" s="56"/>
      <c r="N217" s="58"/>
      <c r="O217" s="45"/>
      <c r="P217" s="40"/>
    </row>
    <row r="218" spans="1:16" s="41" customFormat="1" ht="30" customHeight="1">
      <c r="A218" s="55"/>
      <c r="B218" s="56"/>
      <c r="C218" s="55"/>
      <c r="D218" s="56"/>
      <c r="E218" s="56"/>
      <c r="F218" s="56"/>
      <c r="G218" s="57" t="s">
        <v>64</v>
      </c>
      <c r="H218" s="56"/>
      <c r="I218" s="56"/>
      <c r="J218" s="57"/>
      <c r="K218" s="56"/>
      <c r="L218" s="57" t="s">
        <v>64</v>
      </c>
      <c r="M218" s="56"/>
      <c r="N218" s="58"/>
      <c r="O218" s="45"/>
      <c r="P218" s="40"/>
    </row>
    <row r="219" spans="1:16" s="41" customFormat="1" ht="30" customHeight="1">
      <c r="A219" s="51"/>
      <c r="B219" s="52"/>
      <c r="C219" s="51"/>
      <c r="D219" s="52"/>
      <c r="E219" s="52"/>
      <c r="F219" s="52"/>
      <c r="G219" s="53" t="s">
        <v>223</v>
      </c>
      <c r="H219" s="52"/>
      <c r="I219" s="52"/>
      <c r="J219" s="53"/>
      <c r="K219" s="52"/>
      <c r="L219" s="53" t="s">
        <v>223</v>
      </c>
      <c r="M219" s="52"/>
      <c r="N219" s="54"/>
      <c r="O219" s="45"/>
      <c r="P219" s="40"/>
    </row>
    <row r="220" spans="1:16" s="41" customFormat="1" ht="30" customHeight="1">
      <c r="A220" s="34">
        <v>133</v>
      </c>
      <c r="B220" s="35" t="s">
        <v>224</v>
      </c>
      <c r="C220" s="34"/>
      <c r="D220" s="35"/>
      <c r="E220" s="35" t="s">
        <v>437</v>
      </c>
      <c r="F220" s="35" t="s">
        <v>35</v>
      </c>
      <c r="G220" s="46"/>
      <c r="H220" s="44"/>
      <c r="I220" s="44"/>
      <c r="J220" s="46"/>
      <c r="K220" s="44"/>
      <c r="L220" s="44"/>
      <c r="M220" s="44"/>
      <c r="N220" s="44"/>
      <c r="O220" s="45"/>
      <c r="P220" s="40"/>
    </row>
    <row r="221" spans="1:16" s="41" customFormat="1" ht="30" customHeight="1">
      <c r="A221" s="48">
        <v>134</v>
      </c>
      <c r="B221" s="29" t="s">
        <v>225</v>
      </c>
      <c r="C221" s="29"/>
      <c r="D221" s="29"/>
      <c r="E221" s="29" t="s">
        <v>437</v>
      </c>
      <c r="F221" s="29"/>
      <c r="G221" s="29" t="s">
        <v>220</v>
      </c>
      <c r="H221" s="49" t="s">
        <v>441</v>
      </c>
      <c r="I221" s="49" t="s">
        <v>595</v>
      </c>
      <c r="J221" s="29" t="s">
        <v>459</v>
      </c>
      <c r="K221" s="49" t="s">
        <v>563</v>
      </c>
      <c r="L221" s="29" t="s">
        <v>220</v>
      </c>
      <c r="M221" s="29" t="s">
        <v>443</v>
      </c>
      <c r="N221" s="67"/>
      <c r="O221" s="45"/>
      <c r="P221" s="40"/>
    </row>
    <row r="222" spans="1:16" s="41" customFormat="1" ht="30" customHeight="1">
      <c r="A222" s="55"/>
      <c r="B222" s="57"/>
      <c r="C222" s="57"/>
      <c r="D222" s="57"/>
      <c r="E222" s="57"/>
      <c r="F222" s="57"/>
      <c r="G222" s="57" t="s">
        <v>79</v>
      </c>
      <c r="H222" s="57"/>
      <c r="I222" s="57"/>
      <c r="J222" s="57"/>
      <c r="K222" s="57"/>
      <c r="L222" s="57" t="s">
        <v>79</v>
      </c>
      <c r="M222" s="57"/>
      <c r="N222" s="68"/>
      <c r="O222" s="45"/>
      <c r="P222" s="40"/>
    </row>
    <row r="223" spans="1:16" s="41" customFormat="1" ht="30" customHeight="1">
      <c r="A223" s="55"/>
      <c r="B223" s="57"/>
      <c r="C223" s="57"/>
      <c r="D223" s="57"/>
      <c r="E223" s="57"/>
      <c r="F223" s="57"/>
      <c r="G223" s="57" t="s">
        <v>585</v>
      </c>
      <c r="H223" s="57"/>
      <c r="I223" s="57"/>
      <c r="J223" s="57"/>
      <c r="K223" s="57"/>
      <c r="L223" s="57" t="s">
        <v>585</v>
      </c>
      <c r="M223" s="57"/>
      <c r="N223" s="68"/>
      <c r="O223" s="45"/>
      <c r="P223" s="40"/>
    </row>
    <row r="224" spans="1:16" s="41" customFormat="1" ht="30" customHeight="1">
      <c r="A224" s="55"/>
      <c r="B224" s="57"/>
      <c r="C224" s="57"/>
      <c r="D224" s="57"/>
      <c r="E224" s="57"/>
      <c r="F224" s="57"/>
      <c r="G224" s="57" t="s">
        <v>221</v>
      </c>
      <c r="H224" s="57"/>
      <c r="I224" s="57"/>
      <c r="J224" s="57"/>
      <c r="K224" s="57"/>
      <c r="L224" s="57" t="s">
        <v>221</v>
      </c>
      <c r="M224" s="57"/>
      <c r="N224" s="68"/>
      <c r="O224" s="45"/>
      <c r="P224" s="40"/>
    </row>
    <row r="225" spans="1:16" s="41" customFormat="1" ht="30" customHeight="1">
      <c r="A225" s="55"/>
      <c r="B225" s="57"/>
      <c r="C225" s="57"/>
      <c r="D225" s="57"/>
      <c r="E225" s="57"/>
      <c r="F225" s="57"/>
      <c r="G225" s="57" t="s">
        <v>222</v>
      </c>
      <c r="H225" s="57"/>
      <c r="I225" s="57"/>
      <c r="J225" s="57"/>
      <c r="K225" s="57"/>
      <c r="L225" s="57" t="s">
        <v>222</v>
      </c>
      <c r="M225" s="57"/>
      <c r="N225" s="68"/>
      <c r="O225" s="45"/>
      <c r="P225" s="40"/>
    </row>
    <row r="226" spans="1:16" s="41" customFormat="1" ht="30" customHeight="1">
      <c r="A226" s="55"/>
      <c r="B226" s="57"/>
      <c r="C226" s="57"/>
      <c r="D226" s="57"/>
      <c r="E226" s="57"/>
      <c r="F226" s="57"/>
      <c r="G226" s="57" t="s">
        <v>64</v>
      </c>
      <c r="H226" s="57"/>
      <c r="I226" s="57"/>
      <c r="J226" s="57"/>
      <c r="K226" s="57"/>
      <c r="L226" s="57" t="s">
        <v>64</v>
      </c>
      <c r="M226" s="57"/>
      <c r="N226" s="68"/>
      <c r="O226" s="45"/>
      <c r="P226" s="40"/>
    </row>
    <row r="227" spans="1:16" s="41" customFormat="1" ht="30" customHeight="1">
      <c r="A227" s="51"/>
      <c r="B227" s="53"/>
      <c r="C227" s="53"/>
      <c r="D227" s="53"/>
      <c r="E227" s="53"/>
      <c r="F227" s="53"/>
      <c r="G227" s="53" t="s">
        <v>223</v>
      </c>
      <c r="H227" s="53"/>
      <c r="I227" s="53"/>
      <c r="J227" s="53"/>
      <c r="K227" s="53"/>
      <c r="L227" s="53" t="s">
        <v>223</v>
      </c>
      <c r="M227" s="53"/>
      <c r="N227" s="69"/>
      <c r="O227" s="45"/>
      <c r="P227" s="40"/>
    </row>
    <row r="228" spans="1:16" s="41" customFormat="1" ht="30" customHeight="1">
      <c r="A228" s="34">
        <v>135</v>
      </c>
      <c r="B228" s="35" t="s">
        <v>76</v>
      </c>
      <c r="C228" s="34" t="s">
        <v>420</v>
      </c>
      <c r="D228" s="35"/>
      <c r="E228" s="35" t="s">
        <v>435</v>
      </c>
      <c r="F228" s="35" t="s">
        <v>13</v>
      </c>
      <c r="G228" s="46"/>
      <c r="H228" s="44"/>
      <c r="I228" s="44"/>
      <c r="J228" s="46"/>
      <c r="K228" s="44"/>
      <c r="L228" s="44"/>
      <c r="M228" s="44"/>
      <c r="N228" s="44"/>
      <c r="O228" s="45"/>
      <c r="P228" s="40"/>
    </row>
    <row r="229" spans="1:16" s="41" customFormat="1" ht="75.75" customHeight="1">
      <c r="A229" s="42">
        <v>136</v>
      </c>
      <c r="B229" s="43" t="s">
        <v>226</v>
      </c>
      <c r="C229" s="42"/>
      <c r="D229" s="43"/>
      <c r="E229" s="43" t="s">
        <v>428</v>
      </c>
      <c r="F229" s="43"/>
      <c r="G229" s="43" t="s">
        <v>534</v>
      </c>
      <c r="H229" s="43"/>
      <c r="I229" s="43"/>
      <c r="J229" s="43"/>
      <c r="K229" s="43" t="s">
        <v>605</v>
      </c>
      <c r="L229" s="43"/>
      <c r="M229" s="43"/>
      <c r="N229" s="43"/>
      <c r="O229" s="45"/>
      <c r="P229" s="40"/>
    </row>
    <row r="230" spans="1:16" s="41" customFormat="1" ht="30" customHeight="1">
      <c r="A230" s="34">
        <v>137</v>
      </c>
      <c r="B230" s="35" t="s">
        <v>227</v>
      </c>
      <c r="C230" s="34"/>
      <c r="D230" s="35"/>
      <c r="E230" s="35" t="s">
        <v>431</v>
      </c>
      <c r="F230" s="35" t="s">
        <v>442</v>
      </c>
      <c r="G230" s="46"/>
      <c r="H230" s="44"/>
      <c r="I230" s="44"/>
      <c r="J230" s="46"/>
      <c r="K230" s="44"/>
      <c r="L230" s="44"/>
      <c r="M230" s="44"/>
      <c r="N230" s="44"/>
      <c r="O230" s="45"/>
      <c r="P230" s="40"/>
    </row>
    <row r="231" spans="1:16" s="41" customFormat="1" ht="30" customHeight="1">
      <c r="A231" s="48">
        <v>138</v>
      </c>
      <c r="B231" s="49" t="s">
        <v>228</v>
      </c>
      <c r="C231" s="48" t="s">
        <v>421</v>
      </c>
      <c r="D231" s="49"/>
      <c r="E231" s="43" t="s">
        <v>438</v>
      </c>
      <c r="F231" s="43"/>
      <c r="G231" s="29"/>
      <c r="H231" s="49"/>
      <c r="I231" s="49"/>
      <c r="J231" s="29"/>
      <c r="K231" s="49" t="s">
        <v>590</v>
      </c>
      <c r="L231" s="49"/>
      <c r="M231" s="49"/>
      <c r="N231" s="50"/>
      <c r="O231" s="45">
        <v>1</v>
      </c>
      <c r="P231" s="40"/>
    </row>
    <row r="232" spans="1:16" s="41" customFormat="1" ht="30" customHeight="1">
      <c r="A232" s="34">
        <v>139</v>
      </c>
      <c r="B232" s="35" t="s">
        <v>229</v>
      </c>
      <c r="C232" s="34"/>
      <c r="D232" s="35"/>
      <c r="E232" s="35" t="s">
        <v>438</v>
      </c>
      <c r="F232" s="35"/>
      <c r="G232" s="80"/>
      <c r="H232" s="35"/>
      <c r="I232" s="80"/>
      <c r="J232" s="80"/>
      <c r="K232" s="80" t="s">
        <v>590</v>
      </c>
      <c r="L232" s="35"/>
      <c r="M232" s="35"/>
      <c r="N232" s="47"/>
      <c r="O232" s="45">
        <v>1</v>
      </c>
      <c r="P232" s="40"/>
    </row>
    <row r="233" spans="1:16" s="41" customFormat="1" ht="30" customHeight="1">
      <c r="A233" s="42">
        <v>140</v>
      </c>
      <c r="B233" s="43" t="s">
        <v>230</v>
      </c>
      <c r="C233" s="42"/>
      <c r="D233" s="43"/>
      <c r="E233" s="43" t="s">
        <v>435</v>
      </c>
      <c r="F233" s="43" t="s">
        <v>35</v>
      </c>
      <c r="G233" s="44"/>
      <c r="H233" s="44"/>
      <c r="I233" s="44"/>
      <c r="J233" s="44"/>
      <c r="K233" s="44"/>
      <c r="L233" s="44"/>
      <c r="M233" s="44"/>
      <c r="N233" s="44"/>
      <c r="O233" s="45"/>
      <c r="P233" s="40"/>
    </row>
    <row r="234" spans="1:16" s="41" customFormat="1" ht="30" customHeight="1">
      <c r="A234" s="34">
        <v>141</v>
      </c>
      <c r="B234" s="35" t="s">
        <v>231</v>
      </c>
      <c r="C234" s="34"/>
      <c r="D234" s="35"/>
      <c r="E234" s="35" t="s">
        <v>435</v>
      </c>
      <c r="F234" s="35" t="s">
        <v>35</v>
      </c>
      <c r="G234" s="46"/>
      <c r="H234" s="44"/>
      <c r="I234" s="44"/>
      <c r="J234" s="46"/>
      <c r="K234" s="44"/>
      <c r="L234" s="44"/>
      <c r="M234" s="44"/>
      <c r="N234" s="44"/>
      <c r="O234" s="45"/>
      <c r="P234" s="40"/>
    </row>
    <row r="235" spans="1:16" s="41" customFormat="1" ht="30" customHeight="1">
      <c r="A235" s="42">
        <v>142</v>
      </c>
      <c r="B235" s="43" t="s">
        <v>232</v>
      </c>
      <c r="C235" s="42"/>
      <c r="D235" s="43"/>
      <c r="E235" s="43" t="s">
        <v>435</v>
      </c>
      <c r="F235" s="43" t="s">
        <v>442</v>
      </c>
      <c r="G235" s="44"/>
      <c r="H235" s="44"/>
      <c r="I235" s="44"/>
      <c r="J235" s="44"/>
      <c r="K235" s="44"/>
      <c r="L235" s="44"/>
      <c r="M235" s="44"/>
      <c r="N235" s="44"/>
      <c r="O235" s="45"/>
      <c r="P235" s="40"/>
    </row>
    <row r="236" spans="1:16" s="41" customFormat="1" ht="30" customHeight="1">
      <c r="A236" s="34">
        <v>143</v>
      </c>
      <c r="B236" s="35" t="s">
        <v>76</v>
      </c>
      <c r="C236" s="34"/>
      <c r="D236" s="35"/>
      <c r="E236" s="35" t="s">
        <v>435</v>
      </c>
      <c r="F236" s="35" t="s">
        <v>13</v>
      </c>
      <c r="G236" s="46"/>
      <c r="H236" s="44"/>
      <c r="I236" s="44"/>
      <c r="J236" s="46"/>
      <c r="K236" s="44"/>
      <c r="L236" s="44"/>
      <c r="M236" s="44"/>
      <c r="N236" s="44"/>
      <c r="O236" s="45"/>
      <c r="P236" s="40"/>
    </row>
    <row r="237" spans="1:16" s="41" customFormat="1" ht="30" customHeight="1">
      <c r="A237" s="42">
        <v>144</v>
      </c>
      <c r="B237" s="43" t="s">
        <v>233</v>
      </c>
      <c r="C237" s="42"/>
      <c r="D237" s="43"/>
      <c r="E237" s="43" t="s">
        <v>435</v>
      </c>
      <c r="F237" s="43" t="s">
        <v>35</v>
      </c>
      <c r="G237" s="44"/>
      <c r="H237" s="44"/>
      <c r="I237" s="44"/>
      <c r="J237" s="44"/>
      <c r="K237" s="44"/>
      <c r="L237" s="44"/>
      <c r="M237" s="44"/>
      <c r="N237" s="44"/>
      <c r="O237" s="45"/>
      <c r="P237" s="40"/>
    </row>
    <row r="238" spans="1:16" s="41" customFormat="1" ht="30" customHeight="1">
      <c r="A238" s="34">
        <v>145</v>
      </c>
      <c r="B238" s="35" t="s">
        <v>234</v>
      </c>
      <c r="C238" s="34"/>
      <c r="D238" s="35"/>
      <c r="E238" s="35" t="s">
        <v>435</v>
      </c>
      <c r="F238" s="35" t="s">
        <v>235</v>
      </c>
      <c r="G238" s="46"/>
      <c r="H238" s="44"/>
      <c r="I238" s="44"/>
      <c r="J238" s="46"/>
      <c r="K238" s="44"/>
      <c r="L238" s="44"/>
      <c r="M238" s="44"/>
      <c r="N238" s="44"/>
      <c r="O238" s="45"/>
      <c r="P238" s="40"/>
    </row>
    <row r="239" spans="1:16" s="41" customFormat="1" ht="30" customHeight="1">
      <c r="A239" s="42">
        <v>146</v>
      </c>
      <c r="B239" s="43" t="s">
        <v>236</v>
      </c>
      <c r="C239" s="42"/>
      <c r="D239" s="43"/>
      <c r="E239" s="43" t="s">
        <v>435</v>
      </c>
      <c r="F239" s="43" t="s">
        <v>235</v>
      </c>
      <c r="G239" s="44"/>
      <c r="H239" s="44"/>
      <c r="I239" s="44"/>
      <c r="J239" s="44"/>
      <c r="K239" s="44"/>
      <c r="L239" s="44"/>
      <c r="M239" s="44"/>
      <c r="N239" s="44"/>
      <c r="O239" s="45"/>
      <c r="P239" s="40"/>
    </row>
    <row r="240" spans="1:16" s="41" customFormat="1" ht="30" customHeight="1">
      <c r="A240" s="34">
        <v>147</v>
      </c>
      <c r="B240" s="35" t="s">
        <v>237</v>
      </c>
      <c r="C240" s="34"/>
      <c r="D240" s="35"/>
      <c r="E240" s="35" t="s">
        <v>435</v>
      </c>
      <c r="F240" s="35" t="s">
        <v>235</v>
      </c>
      <c r="G240" s="46"/>
      <c r="H240" s="44"/>
      <c r="I240" s="44"/>
      <c r="J240" s="46"/>
      <c r="K240" s="44"/>
      <c r="L240" s="44"/>
      <c r="M240" s="44"/>
      <c r="N240" s="44"/>
      <c r="O240" s="45"/>
      <c r="P240" s="40"/>
    </row>
    <row r="241" spans="1:16" s="41" customFormat="1" ht="30" customHeight="1">
      <c r="A241" s="42">
        <v>148</v>
      </c>
      <c r="B241" s="43" t="s">
        <v>238</v>
      </c>
      <c r="C241" s="42"/>
      <c r="D241" s="43"/>
      <c r="E241" s="43" t="s">
        <v>435</v>
      </c>
      <c r="F241" s="43" t="s">
        <v>235</v>
      </c>
      <c r="G241" s="44"/>
      <c r="H241" s="44"/>
      <c r="I241" s="44"/>
      <c r="J241" s="44"/>
      <c r="K241" s="44"/>
      <c r="L241" s="44"/>
      <c r="M241" s="44"/>
      <c r="N241" s="44"/>
      <c r="O241" s="45"/>
      <c r="P241" s="40"/>
    </row>
    <row r="242" spans="1:16" s="41" customFormat="1" ht="30" customHeight="1">
      <c r="A242" s="34">
        <v>149</v>
      </c>
      <c r="B242" s="35" t="s">
        <v>239</v>
      </c>
      <c r="C242" s="34"/>
      <c r="D242" s="35"/>
      <c r="E242" s="35" t="s">
        <v>435</v>
      </c>
      <c r="F242" s="35" t="s">
        <v>235</v>
      </c>
      <c r="G242" s="46"/>
      <c r="H242" s="44"/>
      <c r="I242" s="44"/>
      <c r="J242" s="46"/>
      <c r="K242" s="44"/>
      <c r="L242" s="44"/>
      <c r="M242" s="44"/>
      <c r="N242" s="44"/>
      <c r="O242" s="45"/>
      <c r="P242" s="40"/>
    </row>
    <row r="243" spans="1:16" s="41" customFormat="1" ht="30" customHeight="1">
      <c r="A243" s="42">
        <v>150</v>
      </c>
      <c r="B243" s="43" t="s">
        <v>240</v>
      </c>
      <c r="C243" s="42"/>
      <c r="D243" s="43"/>
      <c r="E243" s="43" t="s">
        <v>435</v>
      </c>
      <c r="F243" s="43" t="s">
        <v>235</v>
      </c>
      <c r="G243" s="44"/>
      <c r="H243" s="44"/>
      <c r="I243" s="44"/>
      <c r="J243" s="44"/>
      <c r="K243" s="44"/>
      <c r="L243" s="44"/>
      <c r="M243" s="44"/>
      <c r="N243" s="44"/>
      <c r="O243" s="45"/>
      <c r="P243" s="40"/>
    </row>
    <row r="244" spans="1:16" s="41" customFormat="1" ht="30" customHeight="1">
      <c r="A244" s="34">
        <v>151</v>
      </c>
      <c r="B244" s="35" t="s">
        <v>241</v>
      </c>
      <c r="C244" s="34"/>
      <c r="D244" s="35"/>
      <c r="E244" s="35" t="s">
        <v>435</v>
      </c>
      <c r="F244" s="35" t="s">
        <v>235</v>
      </c>
      <c r="G244" s="46"/>
      <c r="H244" s="44"/>
      <c r="I244" s="44"/>
      <c r="J244" s="46"/>
      <c r="K244" s="44"/>
      <c r="L244" s="44"/>
      <c r="M244" s="44"/>
      <c r="N244" s="44"/>
      <c r="O244" s="45"/>
      <c r="P244" s="40"/>
    </row>
    <row r="245" spans="1:16" s="41" customFormat="1" ht="30" customHeight="1">
      <c r="A245" s="42">
        <v>152</v>
      </c>
      <c r="B245" s="43" t="s">
        <v>242</v>
      </c>
      <c r="C245" s="42"/>
      <c r="D245" s="43"/>
      <c r="E245" s="43" t="s">
        <v>435</v>
      </c>
      <c r="F245" s="43" t="s">
        <v>235</v>
      </c>
      <c r="G245" s="44"/>
      <c r="H245" s="44"/>
      <c r="I245" s="44"/>
      <c r="J245" s="44"/>
      <c r="K245" s="44"/>
      <c r="L245" s="44"/>
      <c r="M245" s="44"/>
      <c r="N245" s="44"/>
      <c r="O245" s="45"/>
      <c r="P245" s="40"/>
    </row>
    <row r="246" spans="1:16" s="41" customFormat="1" ht="30" customHeight="1">
      <c r="A246" s="34">
        <v>153</v>
      </c>
      <c r="B246" s="35" t="s">
        <v>243</v>
      </c>
      <c r="C246" s="34" t="s">
        <v>422</v>
      </c>
      <c r="D246" s="35"/>
      <c r="E246" s="35" t="s">
        <v>435</v>
      </c>
      <c r="F246" s="35" t="s">
        <v>235</v>
      </c>
      <c r="G246" s="46"/>
      <c r="H246" s="44"/>
      <c r="I246" s="44"/>
      <c r="J246" s="46"/>
      <c r="K246" s="44"/>
      <c r="L246" s="44"/>
      <c r="M246" s="44"/>
      <c r="N246" s="44"/>
      <c r="O246" s="45"/>
      <c r="P246" s="40"/>
    </row>
    <row r="247" spans="1:16" s="41" customFormat="1" ht="30" customHeight="1">
      <c r="A247" s="42">
        <v>154</v>
      </c>
      <c r="B247" s="43" t="s">
        <v>244</v>
      </c>
      <c r="C247" s="42"/>
      <c r="D247" s="43"/>
      <c r="E247" s="43" t="s">
        <v>435</v>
      </c>
      <c r="F247" s="43" t="s">
        <v>235</v>
      </c>
      <c r="G247" s="44"/>
      <c r="H247" s="44"/>
      <c r="I247" s="44"/>
      <c r="J247" s="44"/>
      <c r="K247" s="44"/>
      <c r="L247" s="44"/>
      <c r="M247" s="44"/>
      <c r="N247" s="44"/>
      <c r="O247" s="45"/>
      <c r="P247" s="40"/>
    </row>
    <row r="248" spans="1:16" s="41" customFormat="1" ht="30" customHeight="1">
      <c r="A248" s="34">
        <v>155</v>
      </c>
      <c r="B248" s="35" t="s">
        <v>245</v>
      </c>
      <c r="C248" s="34"/>
      <c r="D248" s="35"/>
      <c r="E248" s="35" t="s">
        <v>435</v>
      </c>
      <c r="F248" s="35" t="s">
        <v>235</v>
      </c>
      <c r="G248" s="46"/>
      <c r="H248" s="44"/>
      <c r="I248" s="44"/>
      <c r="J248" s="46"/>
      <c r="K248" s="44"/>
      <c r="L248" s="44"/>
      <c r="M248" s="44"/>
      <c r="N248" s="44"/>
      <c r="O248" s="45"/>
      <c r="P248" s="40"/>
    </row>
    <row r="249" spans="1:16" s="41" customFormat="1" ht="30" customHeight="1">
      <c r="A249" s="42">
        <v>156</v>
      </c>
      <c r="B249" s="43" t="s">
        <v>246</v>
      </c>
      <c r="C249" s="42"/>
      <c r="D249" s="43"/>
      <c r="E249" s="43" t="s">
        <v>435</v>
      </c>
      <c r="F249" s="43" t="s">
        <v>235</v>
      </c>
      <c r="G249" s="44"/>
      <c r="H249" s="44"/>
      <c r="I249" s="44"/>
      <c r="J249" s="44"/>
      <c r="K249" s="44"/>
      <c r="L249" s="44"/>
      <c r="M249" s="44"/>
      <c r="N249" s="44"/>
      <c r="O249" s="45"/>
      <c r="P249" s="40"/>
    </row>
    <row r="250" spans="1:16" s="41" customFormat="1" ht="30" customHeight="1">
      <c r="A250" s="34">
        <v>157</v>
      </c>
      <c r="B250" s="35" t="s">
        <v>247</v>
      </c>
      <c r="C250" s="34"/>
      <c r="D250" s="35"/>
      <c r="E250" s="35" t="s">
        <v>435</v>
      </c>
      <c r="F250" s="35" t="s">
        <v>235</v>
      </c>
      <c r="G250" s="46"/>
      <c r="H250" s="44"/>
      <c r="I250" s="44"/>
      <c r="J250" s="46"/>
      <c r="K250" s="44"/>
      <c r="L250" s="44"/>
      <c r="M250" s="44"/>
      <c r="N250" s="44"/>
      <c r="O250" s="45"/>
      <c r="P250" s="40"/>
    </row>
    <row r="251" spans="1:16" s="41" customFormat="1" ht="30" customHeight="1">
      <c r="A251" s="42">
        <v>158</v>
      </c>
      <c r="B251" s="43" t="s">
        <v>248</v>
      </c>
      <c r="C251" s="42"/>
      <c r="D251" s="43"/>
      <c r="E251" s="43" t="s">
        <v>435</v>
      </c>
      <c r="F251" s="43" t="s">
        <v>235</v>
      </c>
      <c r="G251" s="44"/>
      <c r="H251" s="44"/>
      <c r="I251" s="44"/>
      <c r="J251" s="44"/>
      <c r="K251" s="44"/>
      <c r="L251" s="44"/>
      <c r="M251" s="44"/>
      <c r="N251" s="44"/>
      <c r="O251" s="45"/>
      <c r="P251" s="40"/>
    </row>
    <row r="252" spans="1:16" s="41" customFormat="1" ht="30" customHeight="1">
      <c r="A252" s="34">
        <v>159</v>
      </c>
      <c r="B252" s="35" t="s">
        <v>249</v>
      </c>
      <c r="C252" s="34"/>
      <c r="D252" s="35"/>
      <c r="E252" s="35" t="s">
        <v>435</v>
      </c>
      <c r="F252" s="35" t="s">
        <v>235</v>
      </c>
      <c r="G252" s="46"/>
      <c r="H252" s="44"/>
      <c r="I252" s="44"/>
      <c r="J252" s="46"/>
      <c r="K252" s="44"/>
      <c r="L252" s="44"/>
      <c r="M252" s="44"/>
      <c r="N252" s="44"/>
      <c r="O252" s="45"/>
      <c r="P252" s="40"/>
    </row>
    <row r="253" spans="1:16" s="41" customFormat="1" ht="30" customHeight="1">
      <c r="A253" s="42">
        <v>160</v>
      </c>
      <c r="B253" s="43" t="s">
        <v>250</v>
      </c>
      <c r="C253" s="42"/>
      <c r="D253" s="43"/>
      <c r="E253" s="43" t="s">
        <v>435</v>
      </c>
      <c r="F253" s="43" t="s">
        <v>235</v>
      </c>
      <c r="G253" s="44"/>
      <c r="H253" s="44"/>
      <c r="I253" s="44"/>
      <c r="J253" s="44"/>
      <c r="K253" s="44"/>
      <c r="L253" s="44"/>
      <c r="M253" s="44"/>
      <c r="N253" s="44"/>
      <c r="O253" s="45"/>
      <c r="P253" s="40"/>
    </row>
    <row r="254" spans="1:16" s="41" customFormat="1" ht="30" customHeight="1">
      <c r="A254" s="34">
        <v>161</v>
      </c>
      <c r="B254" s="35" t="s">
        <v>251</v>
      </c>
      <c r="C254" s="34"/>
      <c r="D254" s="35"/>
      <c r="E254" s="35" t="s">
        <v>435</v>
      </c>
      <c r="F254" s="35" t="s">
        <v>235</v>
      </c>
      <c r="G254" s="46"/>
      <c r="H254" s="44"/>
      <c r="I254" s="44"/>
      <c r="J254" s="46"/>
      <c r="K254" s="44"/>
      <c r="L254" s="44"/>
      <c r="M254" s="44"/>
      <c r="N254" s="44"/>
      <c r="O254" s="45"/>
      <c r="P254" s="40"/>
    </row>
    <row r="255" spans="1:16" s="41" customFormat="1" ht="30" customHeight="1">
      <c r="A255" s="42">
        <v>162</v>
      </c>
      <c r="B255" s="43" t="s">
        <v>252</v>
      </c>
      <c r="C255" s="42"/>
      <c r="D255" s="43"/>
      <c r="E255" s="43" t="s">
        <v>435</v>
      </c>
      <c r="F255" s="43" t="s">
        <v>235</v>
      </c>
      <c r="G255" s="44"/>
      <c r="H255" s="44"/>
      <c r="I255" s="44"/>
      <c r="J255" s="44"/>
      <c r="K255" s="44"/>
      <c r="L255" s="44"/>
      <c r="M255" s="44"/>
      <c r="N255" s="44"/>
      <c r="O255" s="45"/>
      <c r="P255" s="40"/>
    </row>
    <row r="256" spans="1:16" s="41" customFormat="1" ht="30" customHeight="1">
      <c r="A256" s="34">
        <v>163</v>
      </c>
      <c r="B256" s="35" t="s">
        <v>253</v>
      </c>
      <c r="C256" s="34"/>
      <c r="D256" s="35"/>
      <c r="E256" s="35" t="s">
        <v>435</v>
      </c>
      <c r="F256" s="35" t="s">
        <v>235</v>
      </c>
      <c r="G256" s="46"/>
      <c r="H256" s="44"/>
      <c r="I256" s="44"/>
      <c r="J256" s="46"/>
      <c r="K256" s="44"/>
      <c r="L256" s="44"/>
      <c r="M256" s="44"/>
      <c r="N256" s="44"/>
      <c r="O256" s="45"/>
      <c r="P256" s="40"/>
    </row>
    <row r="257" spans="1:16" s="41" customFormat="1" ht="30" customHeight="1">
      <c r="A257" s="42">
        <v>164</v>
      </c>
      <c r="B257" s="43" t="s">
        <v>56</v>
      </c>
      <c r="C257" s="42"/>
      <c r="D257" s="43"/>
      <c r="E257" s="43" t="s">
        <v>435</v>
      </c>
      <c r="F257" s="43" t="s">
        <v>235</v>
      </c>
      <c r="G257" s="44"/>
      <c r="H257" s="44"/>
      <c r="I257" s="44"/>
      <c r="J257" s="44"/>
      <c r="K257" s="44"/>
      <c r="L257" s="44"/>
      <c r="M257" s="44"/>
      <c r="N257" s="44"/>
      <c r="O257" s="45"/>
      <c r="P257" s="40"/>
    </row>
    <row r="258" spans="1:16" s="41" customFormat="1" ht="30" customHeight="1">
      <c r="A258" s="34">
        <v>165</v>
      </c>
      <c r="B258" s="35" t="s">
        <v>254</v>
      </c>
      <c r="C258" s="34"/>
      <c r="D258" s="35"/>
      <c r="E258" s="35" t="s">
        <v>435</v>
      </c>
      <c r="F258" s="35" t="s">
        <v>235</v>
      </c>
      <c r="G258" s="46"/>
      <c r="H258" s="44"/>
      <c r="I258" s="44"/>
      <c r="J258" s="46"/>
      <c r="K258" s="44"/>
      <c r="L258" s="44"/>
      <c r="M258" s="44"/>
      <c r="N258" s="44"/>
      <c r="O258" s="45"/>
      <c r="P258" s="40"/>
    </row>
    <row r="259" spans="1:16" s="41" customFormat="1" ht="30" customHeight="1">
      <c r="A259" s="42">
        <v>166</v>
      </c>
      <c r="B259" s="43" t="s">
        <v>255</v>
      </c>
      <c r="C259" s="42"/>
      <c r="D259" s="43"/>
      <c r="E259" s="43" t="s">
        <v>435</v>
      </c>
      <c r="F259" s="43" t="s">
        <v>235</v>
      </c>
      <c r="G259" s="44"/>
      <c r="H259" s="44"/>
      <c r="I259" s="44"/>
      <c r="J259" s="44"/>
      <c r="K259" s="44"/>
      <c r="L259" s="44"/>
      <c r="M259" s="44"/>
      <c r="N259" s="44"/>
      <c r="O259" s="45"/>
      <c r="P259" s="40"/>
    </row>
    <row r="260" spans="1:16" s="41" customFormat="1" ht="30" customHeight="1">
      <c r="A260" s="34">
        <v>167</v>
      </c>
      <c r="B260" s="35" t="s">
        <v>256</v>
      </c>
      <c r="C260" s="34"/>
      <c r="D260" s="35"/>
      <c r="E260" s="35" t="s">
        <v>435</v>
      </c>
      <c r="F260" s="35" t="s">
        <v>235</v>
      </c>
      <c r="G260" s="46"/>
      <c r="H260" s="44"/>
      <c r="I260" s="44"/>
      <c r="J260" s="46"/>
      <c r="K260" s="44"/>
      <c r="L260" s="44"/>
      <c r="M260" s="44"/>
      <c r="N260" s="44"/>
      <c r="O260" s="45"/>
      <c r="P260" s="40"/>
    </row>
    <row r="261" spans="1:16" s="41" customFormat="1" ht="30" customHeight="1">
      <c r="A261" s="42">
        <v>168</v>
      </c>
      <c r="B261" s="43" t="s">
        <v>257</v>
      </c>
      <c r="C261" s="42"/>
      <c r="D261" s="43"/>
      <c r="E261" s="43" t="s">
        <v>435</v>
      </c>
      <c r="F261" s="43" t="s">
        <v>235</v>
      </c>
      <c r="G261" s="44"/>
      <c r="H261" s="44"/>
      <c r="I261" s="44"/>
      <c r="J261" s="44"/>
      <c r="K261" s="44"/>
      <c r="L261" s="44"/>
      <c r="M261" s="44"/>
      <c r="N261" s="44"/>
      <c r="O261" s="45"/>
      <c r="P261" s="40"/>
    </row>
    <row r="262" spans="1:16" s="41" customFormat="1" ht="30" customHeight="1">
      <c r="A262" s="34">
        <v>169</v>
      </c>
      <c r="B262" s="35" t="s">
        <v>258</v>
      </c>
      <c r="C262" s="34"/>
      <c r="D262" s="35"/>
      <c r="E262" s="35" t="s">
        <v>435</v>
      </c>
      <c r="F262" s="35" t="s">
        <v>235</v>
      </c>
      <c r="G262" s="46"/>
      <c r="H262" s="44"/>
      <c r="I262" s="44"/>
      <c r="J262" s="46"/>
      <c r="K262" s="44"/>
      <c r="L262" s="44"/>
      <c r="M262" s="44"/>
      <c r="N262" s="44"/>
      <c r="O262" s="45"/>
      <c r="P262" s="40"/>
    </row>
    <row r="263" spans="1:16" s="41" customFormat="1" ht="30" customHeight="1">
      <c r="A263" s="42">
        <v>170</v>
      </c>
      <c r="B263" s="43" t="s">
        <v>259</v>
      </c>
      <c r="C263" s="42"/>
      <c r="D263" s="43"/>
      <c r="E263" s="43" t="s">
        <v>435</v>
      </c>
      <c r="F263" s="43" t="s">
        <v>235</v>
      </c>
      <c r="G263" s="44"/>
      <c r="H263" s="44"/>
      <c r="I263" s="44"/>
      <c r="J263" s="44"/>
      <c r="K263" s="44"/>
      <c r="L263" s="44"/>
      <c r="M263" s="44"/>
      <c r="N263" s="44"/>
      <c r="O263" s="45"/>
      <c r="P263" s="40"/>
    </row>
    <row r="264" spans="1:16" s="41" customFormat="1" ht="30" customHeight="1">
      <c r="A264" s="34">
        <v>171</v>
      </c>
      <c r="B264" s="35" t="s">
        <v>260</v>
      </c>
      <c r="C264" s="34"/>
      <c r="D264" s="35"/>
      <c r="E264" s="35" t="s">
        <v>435</v>
      </c>
      <c r="F264" s="35" t="s">
        <v>235</v>
      </c>
      <c r="G264" s="46"/>
      <c r="H264" s="44"/>
      <c r="I264" s="44"/>
      <c r="J264" s="46"/>
      <c r="K264" s="44"/>
      <c r="L264" s="44"/>
      <c r="M264" s="44"/>
      <c r="N264" s="44"/>
      <c r="O264" s="45"/>
      <c r="P264" s="40"/>
    </row>
    <row r="265" spans="1:16" s="41" customFormat="1" ht="30" customHeight="1">
      <c r="A265" s="42">
        <v>172</v>
      </c>
      <c r="B265" s="43" t="s">
        <v>261</v>
      </c>
      <c r="C265" s="42"/>
      <c r="D265" s="43"/>
      <c r="E265" s="43" t="s">
        <v>435</v>
      </c>
      <c r="F265" s="43" t="s">
        <v>235</v>
      </c>
      <c r="G265" s="44"/>
      <c r="H265" s="44"/>
      <c r="I265" s="44"/>
      <c r="J265" s="44"/>
      <c r="K265" s="44"/>
      <c r="L265" s="44"/>
      <c r="M265" s="44"/>
      <c r="N265" s="44"/>
      <c r="O265" s="45"/>
      <c r="P265" s="40"/>
    </row>
    <row r="266" spans="1:16" s="41" customFormat="1" ht="30" customHeight="1">
      <c r="A266" s="34">
        <v>173</v>
      </c>
      <c r="B266" s="35" t="s">
        <v>262</v>
      </c>
      <c r="C266" s="34"/>
      <c r="D266" s="35"/>
      <c r="E266" s="35" t="s">
        <v>435</v>
      </c>
      <c r="F266" s="35" t="s">
        <v>235</v>
      </c>
      <c r="G266" s="46"/>
      <c r="H266" s="44"/>
      <c r="I266" s="44"/>
      <c r="J266" s="46"/>
      <c r="K266" s="44"/>
      <c r="L266" s="44"/>
      <c r="M266" s="44"/>
      <c r="N266" s="44"/>
      <c r="O266" s="45"/>
      <c r="P266" s="40"/>
    </row>
    <row r="267" spans="1:16" s="41" customFormat="1" ht="30" customHeight="1">
      <c r="A267" s="42">
        <v>174</v>
      </c>
      <c r="B267" s="43" t="s">
        <v>263</v>
      </c>
      <c r="C267" s="42"/>
      <c r="D267" s="43"/>
      <c r="E267" s="43" t="s">
        <v>435</v>
      </c>
      <c r="F267" s="43" t="s">
        <v>235</v>
      </c>
      <c r="G267" s="44"/>
      <c r="H267" s="44"/>
      <c r="I267" s="44"/>
      <c r="J267" s="44"/>
      <c r="K267" s="44"/>
      <c r="L267" s="44"/>
      <c r="M267" s="44"/>
      <c r="N267" s="44"/>
      <c r="O267" s="45"/>
      <c r="P267" s="40"/>
    </row>
    <row r="268" spans="1:16" s="41" customFormat="1" ht="30" customHeight="1">
      <c r="A268" s="34">
        <v>175</v>
      </c>
      <c r="B268" s="35" t="s">
        <v>260</v>
      </c>
      <c r="C268" s="34"/>
      <c r="D268" s="35"/>
      <c r="E268" s="35" t="s">
        <v>435</v>
      </c>
      <c r="F268" s="35" t="s">
        <v>235</v>
      </c>
      <c r="G268" s="46"/>
      <c r="H268" s="44"/>
      <c r="I268" s="44"/>
      <c r="J268" s="46"/>
      <c r="K268" s="44"/>
      <c r="L268" s="44"/>
      <c r="M268" s="44"/>
      <c r="N268" s="44"/>
      <c r="O268" s="45"/>
      <c r="P268" s="40"/>
    </row>
    <row r="269" spans="1:16" s="41" customFormat="1" ht="30" customHeight="1">
      <c r="A269" s="42">
        <v>176</v>
      </c>
      <c r="B269" s="43" t="s">
        <v>264</v>
      </c>
      <c r="C269" s="42"/>
      <c r="D269" s="43"/>
      <c r="E269" s="43" t="s">
        <v>435</v>
      </c>
      <c r="F269" s="43" t="s">
        <v>235</v>
      </c>
      <c r="G269" s="44"/>
      <c r="H269" s="44"/>
      <c r="I269" s="44"/>
      <c r="J269" s="44"/>
      <c r="K269" s="44"/>
      <c r="L269" s="44"/>
      <c r="M269" s="44"/>
      <c r="N269" s="44"/>
      <c r="O269" s="45"/>
      <c r="P269" s="40"/>
    </row>
    <row r="270" spans="1:16" s="41" customFormat="1" ht="30" customHeight="1">
      <c r="A270" s="34">
        <v>177</v>
      </c>
      <c r="B270" s="35" t="s">
        <v>265</v>
      </c>
      <c r="C270" s="34"/>
      <c r="D270" s="35"/>
      <c r="E270" s="35" t="s">
        <v>435</v>
      </c>
      <c r="F270" s="35" t="s">
        <v>235</v>
      </c>
      <c r="G270" s="46"/>
      <c r="H270" s="44"/>
      <c r="I270" s="44"/>
      <c r="J270" s="46"/>
      <c r="K270" s="44"/>
      <c r="L270" s="44"/>
      <c r="M270" s="44"/>
      <c r="N270" s="44"/>
      <c r="O270" s="45"/>
      <c r="P270" s="40"/>
    </row>
    <row r="271" spans="1:16" s="41" customFormat="1" ht="30" customHeight="1">
      <c r="A271" s="42">
        <v>178</v>
      </c>
      <c r="B271" s="43" t="s">
        <v>266</v>
      </c>
      <c r="C271" s="42"/>
      <c r="D271" s="43"/>
      <c r="E271" s="43" t="s">
        <v>435</v>
      </c>
      <c r="F271" s="43" t="s">
        <v>123</v>
      </c>
      <c r="G271" s="44"/>
      <c r="H271" s="44"/>
      <c r="I271" s="44"/>
      <c r="J271" s="44"/>
      <c r="K271" s="44"/>
      <c r="L271" s="44"/>
      <c r="M271" s="44"/>
      <c r="N271" s="44"/>
      <c r="O271" s="45"/>
      <c r="P271" s="40"/>
    </row>
    <row r="272" spans="1:16" s="41" customFormat="1" ht="30" customHeight="1">
      <c r="A272" s="34">
        <v>179</v>
      </c>
      <c r="B272" s="35" t="s">
        <v>267</v>
      </c>
      <c r="C272" s="34"/>
      <c r="D272" s="35"/>
      <c r="E272" s="35" t="s">
        <v>435</v>
      </c>
      <c r="F272" s="35" t="s">
        <v>123</v>
      </c>
      <c r="G272" s="46"/>
      <c r="H272" s="44"/>
      <c r="I272" s="44"/>
      <c r="J272" s="46"/>
      <c r="K272" s="44"/>
      <c r="L272" s="44"/>
      <c r="M272" s="44"/>
      <c r="N272" s="44"/>
      <c r="O272" s="45"/>
      <c r="P272" s="40"/>
    </row>
    <row r="273" spans="1:16" s="41" customFormat="1" ht="30" customHeight="1">
      <c r="A273" s="42">
        <v>180</v>
      </c>
      <c r="B273" s="43" t="s">
        <v>268</v>
      </c>
      <c r="C273" s="42"/>
      <c r="D273" s="43"/>
      <c r="E273" s="43" t="s">
        <v>435</v>
      </c>
      <c r="F273" s="43" t="s">
        <v>123</v>
      </c>
      <c r="G273" s="44"/>
      <c r="H273" s="44"/>
      <c r="I273" s="44"/>
      <c r="J273" s="44"/>
      <c r="K273" s="44"/>
      <c r="L273" s="44"/>
      <c r="M273" s="44"/>
      <c r="N273" s="44"/>
      <c r="O273" s="45"/>
      <c r="P273" s="40"/>
    </row>
    <row r="274" spans="1:16" s="41" customFormat="1" ht="30" customHeight="1">
      <c r="A274" s="34">
        <v>181</v>
      </c>
      <c r="B274" s="35" t="s">
        <v>269</v>
      </c>
      <c r="C274" s="34"/>
      <c r="D274" s="35"/>
      <c r="E274" s="35" t="s">
        <v>435</v>
      </c>
      <c r="F274" s="35" t="s">
        <v>123</v>
      </c>
      <c r="G274" s="46"/>
      <c r="H274" s="44"/>
      <c r="I274" s="44"/>
      <c r="J274" s="46"/>
      <c r="K274" s="44"/>
      <c r="L274" s="44"/>
      <c r="M274" s="44"/>
      <c r="N274" s="44"/>
      <c r="O274" s="45"/>
      <c r="P274" s="40"/>
    </row>
    <row r="275" spans="1:16" s="41" customFormat="1" ht="30" customHeight="1">
      <c r="A275" s="42">
        <v>182</v>
      </c>
      <c r="B275" s="43" t="s">
        <v>270</v>
      </c>
      <c r="C275" s="42"/>
      <c r="D275" s="43"/>
      <c r="E275" s="43" t="s">
        <v>435</v>
      </c>
      <c r="F275" s="43" t="s">
        <v>123</v>
      </c>
      <c r="G275" s="44"/>
      <c r="H275" s="44"/>
      <c r="I275" s="44"/>
      <c r="J275" s="44"/>
      <c r="K275" s="44"/>
      <c r="L275" s="44"/>
      <c r="M275" s="44"/>
      <c r="N275" s="44"/>
      <c r="O275" s="45"/>
      <c r="P275" s="40"/>
    </row>
    <row r="276" spans="1:16" s="33" customFormat="1" ht="38.25">
      <c r="A276" s="34">
        <v>183</v>
      </c>
      <c r="B276" s="35" t="s">
        <v>271</v>
      </c>
      <c r="C276" s="34"/>
      <c r="D276" s="35"/>
      <c r="E276" s="35" t="s">
        <v>428</v>
      </c>
      <c r="F276" s="35"/>
      <c r="G276" s="35"/>
      <c r="H276" s="35"/>
      <c r="I276" s="35" t="s">
        <v>595</v>
      </c>
      <c r="J276" s="35" t="s">
        <v>468</v>
      </c>
      <c r="K276" s="35" t="s">
        <v>600</v>
      </c>
      <c r="L276" s="30"/>
      <c r="M276" s="30"/>
      <c r="N276" s="31"/>
      <c r="O276" s="78"/>
      <c r="P276" s="32"/>
    </row>
    <row r="277" spans="1:16" s="33" customFormat="1" ht="51">
      <c r="A277" s="42">
        <v>184</v>
      </c>
      <c r="B277" s="43" t="s">
        <v>272</v>
      </c>
      <c r="C277" s="42"/>
      <c r="D277" s="43"/>
      <c r="E277" s="43" t="s">
        <v>428</v>
      </c>
      <c r="F277" s="43"/>
      <c r="G277" s="43"/>
      <c r="H277" s="43"/>
      <c r="I277" s="43" t="s">
        <v>595</v>
      </c>
      <c r="J277" s="43" t="s">
        <v>468</v>
      </c>
      <c r="K277" s="43" t="s">
        <v>600</v>
      </c>
      <c r="L277" s="36"/>
      <c r="M277" s="36"/>
      <c r="N277" s="79"/>
      <c r="O277" s="78"/>
      <c r="P277" s="32"/>
    </row>
    <row r="278" spans="1:16" s="33" customFormat="1" ht="30" customHeight="1">
      <c r="A278" s="34">
        <v>185</v>
      </c>
      <c r="B278" s="35" t="s">
        <v>273</v>
      </c>
      <c r="C278" s="34"/>
      <c r="D278" s="35"/>
      <c r="E278" s="35" t="s">
        <v>428</v>
      </c>
      <c r="F278" s="35" t="s">
        <v>619</v>
      </c>
      <c r="G278" s="44"/>
      <c r="H278" s="44"/>
      <c r="I278" s="44"/>
      <c r="J278" s="44"/>
      <c r="K278" s="44"/>
      <c r="L278" s="44"/>
      <c r="M278" s="44"/>
      <c r="N278" s="44"/>
      <c r="O278" s="78"/>
      <c r="P278" s="32"/>
    </row>
    <row r="279" spans="1:16" s="33" customFormat="1" ht="30" customHeight="1">
      <c r="A279" s="42">
        <v>186</v>
      </c>
      <c r="B279" s="43" t="s">
        <v>274</v>
      </c>
      <c r="C279" s="42"/>
      <c r="D279" s="43"/>
      <c r="E279" s="43" t="s">
        <v>428</v>
      </c>
      <c r="F279" s="43" t="s">
        <v>620</v>
      </c>
      <c r="G279" s="44"/>
      <c r="H279" s="44"/>
      <c r="I279" s="44"/>
      <c r="J279" s="44"/>
      <c r="K279" s="44"/>
      <c r="L279" s="44"/>
      <c r="M279" s="44"/>
      <c r="N279" s="44"/>
      <c r="O279" s="78"/>
      <c r="P279" s="32"/>
    </row>
    <row r="280" spans="1:16" s="33" customFormat="1" ht="30" customHeight="1">
      <c r="A280" s="34">
        <v>187</v>
      </c>
      <c r="B280" s="35" t="s">
        <v>275</v>
      </c>
      <c r="C280" s="34"/>
      <c r="D280" s="35"/>
      <c r="E280" s="35" t="s">
        <v>428</v>
      </c>
      <c r="F280" s="35" t="s">
        <v>588</v>
      </c>
      <c r="G280" s="44"/>
      <c r="H280" s="44"/>
      <c r="I280" s="44"/>
      <c r="J280" s="44"/>
      <c r="K280" s="44"/>
      <c r="L280" s="44"/>
      <c r="M280" s="44"/>
      <c r="N280" s="44"/>
      <c r="O280" s="78"/>
      <c r="P280" s="32"/>
    </row>
    <row r="281" spans="1:16" s="33" customFormat="1" ht="30" customHeight="1">
      <c r="A281" s="42">
        <v>188</v>
      </c>
      <c r="B281" s="43" t="s">
        <v>276</v>
      </c>
      <c r="C281" s="42"/>
      <c r="D281" s="43"/>
      <c r="E281" s="43" t="s">
        <v>428</v>
      </c>
      <c r="F281" s="43" t="s">
        <v>588</v>
      </c>
      <c r="G281" s="44"/>
      <c r="H281" s="44"/>
      <c r="I281" s="44"/>
      <c r="J281" s="44"/>
      <c r="K281" s="44"/>
      <c r="L281" s="44"/>
      <c r="M281" s="44"/>
      <c r="N281" s="44"/>
      <c r="O281" s="78"/>
      <c r="P281" s="32"/>
    </row>
    <row r="282" spans="1:16" s="33" customFormat="1" ht="30" customHeight="1">
      <c r="A282" s="34">
        <v>189</v>
      </c>
      <c r="B282" s="35" t="s">
        <v>277</v>
      </c>
      <c r="C282" s="34"/>
      <c r="D282" s="35"/>
      <c r="E282" s="35" t="s">
        <v>428</v>
      </c>
      <c r="F282" s="35"/>
      <c r="G282" s="35"/>
      <c r="H282" s="35"/>
      <c r="I282" s="35"/>
      <c r="J282" s="35"/>
      <c r="K282" s="35" t="s">
        <v>587</v>
      </c>
      <c r="L282" s="30"/>
      <c r="M282" s="30"/>
      <c r="N282" s="31"/>
      <c r="O282" s="78"/>
      <c r="P282" s="32"/>
    </row>
    <row r="283" spans="1:16" s="41" customFormat="1" ht="30" customHeight="1">
      <c r="A283" s="42">
        <v>190</v>
      </c>
      <c r="B283" s="43" t="s">
        <v>278</v>
      </c>
      <c r="C283" s="42"/>
      <c r="D283" s="43"/>
      <c r="E283" s="43" t="s">
        <v>435</v>
      </c>
      <c r="F283" s="43" t="s">
        <v>123</v>
      </c>
      <c r="G283" s="44"/>
      <c r="H283" s="44"/>
      <c r="I283" s="44"/>
      <c r="J283" s="44"/>
      <c r="K283" s="44"/>
      <c r="L283" s="44"/>
      <c r="M283" s="44"/>
      <c r="N283" s="44"/>
      <c r="O283" s="45"/>
      <c r="P283" s="40"/>
    </row>
    <row r="284" spans="1:16" s="41" customFormat="1" ht="30" customHeight="1">
      <c r="A284" s="34">
        <v>191</v>
      </c>
      <c r="B284" s="35" t="s">
        <v>279</v>
      </c>
      <c r="C284" s="34"/>
      <c r="D284" s="35"/>
      <c r="E284" s="35" t="s">
        <v>435</v>
      </c>
      <c r="F284" s="35" t="s">
        <v>123</v>
      </c>
      <c r="G284" s="46"/>
      <c r="H284" s="44"/>
      <c r="I284" s="44"/>
      <c r="J284" s="46"/>
      <c r="K284" s="44"/>
      <c r="L284" s="44"/>
      <c r="M284" s="44"/>
      <c r="N284" s="44"/>
      <c r="O284" s="45"/>
      <c r="P284" s="40"/>
    </row>
    <row r="285" spans="1:16" s="41" customFormat="1" ht="30" customHeight="1">
      <c r="A285" s="48">
        <v>192</v>
      </c>
      <c r="B285" s="49" t="s">
        <v>254</v>
      </c>
      <c r="C285" s="48">
        <v>68</v>
      </c>
      <c r="D285" s="49"/>
      <c r="E285" s="49" t="s">
        <v>435</v>
      </c>
      <c r="F285" s="49" t="s">
        <v>123</v>
      </c>
      <c r="G285" s="38"/>
      <c r="H285" s="44"/>
      <c r="I285" s="44"/>
      <c r="J285" s="38"/>
      <c r="K285" s="44"/>
      <c r="L285" s="44"/>
      <c r="M285" s="44"/>
      <c r="N285" s="44"/>
      <c r="O285" s="45"/>
      <c r="P285" s="40"/>
    </row>
    <row r="286" spans="1:16" s="41" customFormat="1" ht="30" customHeight="1">
      <c r="A286" s="51"/>
      <c r="B286" s="52"/>
      <c r="C286" s="51"/>
      <c r="D286" s="52"/>
      <c r="E286" s="52" t="s">
        <v>435</v>
      </c>
      <c r="F286" s="52"/>
      <c r="G286" s="70"/>
      <c r="H286" s="44"/>
      <c r="I286" s="44"/>
      <c r="J286" s="70"/>
      <c r="K286" s="44"/>
      <c r="L286" s="44"/>
      <c r="M286" s="44"/>
      <c r="N286" s="44"/>
      <c r="O286" s="45"/>
      <c r="P286" s="40"/>
    </row>
    <row r="287" spans="1:16" s="41" customFormat="1" ht="30" customHeight="1">
      <c r="A287" s="34">
        <v>193</v>
      </c>
      <c r="B287" s="35" t="s">
        <v>280</v>
      </c>
      <c r="C287" s="34"/>
      <c r="D287" s="35"/>
      <c r="E287" s="35" t="s">
        <v>435</v>
      </c>
      <c r="F287" s="35" t="s">
        <v>123</v>
      </c>
      <c r="G287" s="46"/>
      <c r="H287" s="44"/>
      <c r="I287" s="44"/>
      <c r="J287" s="46"/>
      <c r="K287" s="44"/>
      <c r="L287" s="44"/>
      <c r="M287" s="44"/>
      <c r="N287" s="44"/>
      <c r="O287" s="45"/>
      <c r="P287" s="40"/>
    </row>
    <row r="288" spans="1:16" s="41" customFormat="1" ht="30" customHeight="1">
      <c r="A288" s="42">
        <v>194</v>
      </c>
      <c r="B288" s="43" t="s">
        <v>281</v>
      </c>
      <c r="C288" s="42"/>
      <c r="D288" s="43"/>
      <c r="E288" s="43" t="s">
        <v>435</v>
      </c>
      <c r="F288" s="43" t="s">
        <v>123</v>
      </c>
      <c r="G288" s="44"/>
      <c r="H288" s="44"/>
      <c r="I288" s="44"/>
      <c r="J288" s="44"/>
      <c r="K288" s="44"/>
      <c r="L288" s="44"/>
      <c r="M288" s="44"/>
      <c r="N288" s="44"/>
      <c r="O288" s="45"/>
      <c r="P288" s="40"/>
    </row>
    <row r="289" spans="1:16" s="41" customFormat="1" ht="30" customHeight="1">
      <c r="A289" s="34">
        <v>195</v>
      </c>
      <c r="B289" s="35" t="s">
        <v>282</v>
      </c>
      <c r="C289" s="34"/>
      <c r="D289" s="35"/>
      <c r="E289" s="35" t="s">
        <v>435</v>
      </c>
      <c r="F289" s="35" t="s">
        <v>35</v>
      </c>
      <c r="G289" s="46"/>
      <c r="H289" s="44"/>
      <c r="I289" s="44"/>
      <c r="J289" s="46"/>
      <c r="K289" s="44"/>
      <c r="L289" s="44"/>
      <c r="M289" s="44"/>
      <c r="N289" s="44"/>
      <c r="O289" s="45"/>
      <c r="P289" s="40"/>
    </row>
    <row r="290" spans="1:16" s="41" customFormat="1" ht="30" customHeight="1">
      <c r="A290" s="42">
        <v>196</v>
      </c>
      <c r="B290" s="43" t="s">
        <v>283</v>
      </c>
      <c r="C290" s="42"/>
      <c r="D290" s="43"/>
      <c r="E290" s="43" t="s">
        <v>435</v>
      </c>
      <c r="F290" s="43" t="s">
        <v>35</v>
      </c>
      <c r="G290" s="44"/>
      <c r="H290" s="44"/>
      <c r="I290" s="44"/>
      <c r="J290" s="44"/>
      <c r="K290" s="44"/>
      <c r="L290" s="44"/>
      <c r="M290" s="44"/>
      <c r="N290" s="44"/>
      <c r="O290" s="45"/>
      <c r="P290" s="40"/>
    </row>
    <row r="291" spans="1:16" s="41" customFormat="1" ht="30" customHeight="1">
      <c r="A291" s="34">
        <v>197</v>
      </c>
      <c r="B291" s="35" t="s">
        <v>284</v>
      </c>
      <c r="C291" s="34"/>
      <c r="D291" s="35"/>
      <c r="E291" s="35" t="s">
        <v>435</v>
      </c>
      <c r="F291" s="35" t="s">
        <v>123</v>
      </c>
      <c r="G291" s="46"/>
      <c r="H291" s="44"/>
      <c r="I291" s="44"/>
      <c r="J291" s="46"/>
      <c r="K291" s="44"/>
      <c r="L291" s="44"/>
      <c r="M291" s="44"/>
      <c r="N291" s="44"/>
      <c r="O291" s="45"/>
      <c r="P291" s="40"/>
    </row>
    <row r="292" spans="1:16" s="41" customFormat="1" ht="30" customHeight="1">
      <c r="A292" s="42">
        <v>198</v>
      </c>
      <c r="B292" s="43" t="s">
        <v>285</v>
      </c>
      <c r="C292" s="42"/>
      <c r="D292" s="43"/>
      <c r="E292" s="43" t="s">
        <v>435</v>
      </c>
      <c r="F292" s="43" t="s">
        <v>123</v>
      </c>
      <c r="G292" s="44"/>
      <c r="H292" s="44"/>
      <c r="I292" s="44"/>
      <c r="J292" s="44"/>
      <c r="K292" s="44"/>
      <c r="L292" s="44"/>
      <c r="M292" s="44"/>
      <c r="N292" s="44"/>
      <c r="O292" s="45"/>
      <c r="P292" s="40"/>
    </row>
    <row r="293" spans="1:16" s="41" customFormat="1" ht="30" customHeight="1">
      <c r="A293" s="34">
        <v>199</v>
      </c>
      <c r="B293" s="35" t="s">
        <v>286</v>
      </c>
      <c r="C293" s="34"/>
      <c r="D293" s="35"/>
      <c r="E293" s="35" t="s">
        <v>435</v>
      </c>
      <c r="F293" s="35" t="s">
        <v>123</v>
      </c>
      <c r="G293" s="46"/>
      <c r="H293" s="44"/>
      <c r="I293" s="44"/>
      <c r="J293" s="46"/>
      <c r="K293" s="44"/>
      <c r="L293" s="44"/>
      <c r="M293" s="44"/>
      <c r="N293" s="44"/>
      <c r="O293" s="45"/>
      <c r="P293" s="40"/>
    </row>
    <row r="294" spans="1:16" s="41" customFormat="1" ht="30" customHeight="1">
      <c r="A294" s="42">
        <v>200</v>
      </c>
      <c r="B294" s="43" t="s">
        <v>287</v>
      </c>
      <c r="C294" s="42"/>
      <c r="D294" s="43"/>
      <c r="E294" s="43" t="s">
        <v>435</v>
      </c>
      <c r="F294" s="43" t="s">
        <v>123</v>
      </c>
      <c r="G294" s="44"/>
      <c r="H294" s="44"/>
      <c r="I294" s="44"/>
      <c r="J294" s="44"/>
      <c r="K294" s="44"/>
      <c r="L294" s="44"/>
      <c r="M294" s="44"/>
      <c r="N294" s="44"/>
      <c r="O294" s="45"/>
      <c r="P294" s="40"/>
    </row>
    <row r="295" spans="1:16" s="41" customFormat="1" ht="30" customHeight="1">
      <c r="A295" s="34">
        <v>201</v>
      </c>
      <c r="B295" s="35" t="s">
        <v>288</v>
      </c>
      <c r="C295" s="34"/>
      <c r="D295" s="35"/>
      <c r="E295" s="35" t="s">
        <v>435</v>
      </c>
      <c r="F295" s="35" t="s">
        <v>123</v>
      </c>
      <c r="G295" s="46"/>
      <c r="H295" s="44"/>
      <c r="I295" s="44"/>
      <c r="J295" s="46"/>
      <c r="K295" s="44"/>
      <c r="L295" s="44"/>
      <c r="M295" s="44"/>
      <c r="N295" s="44"/>
      <c r="O295" s="45"/>
      <c r="P295" s="40"/>
    </row>
    <row r="296" spans="1:16" s="41" customFormat="1" ht="30" customHeight="1">
      <c r="A296" s="42">
        <v>202</v>
      </c>
      <c r="B296" s="43" t="s">
        <v>289</v>
      </c>
      <c r="C296" s="42"/>
      <c r="D296" s="43"/>
      <c r="E296" s="43" t="s">
        <v>435</v>
      </c>
      <c r="F296" s="43" t="s">
        <v>123</v>
      </c>
      <c r="G296" s="44"/>
      <c r="H296" s="44"/>
      <c r="I296" s="44"/>
      <c r="J296" s="44"/>
      <c r="K296" s="44"/>
      <c r="L296" s="44"/>
      <c r="M296" s="44"/>
      <c r="N296" s="44"/>
      <c r="O296" s="45"/>
      <c r="P296" s="40"/>
    </row>
    <row r="297" spans="1:16" s="41" customFormat="1" ht="30" customHeight="1">
      <c r="A297" s="34">
        <v>203</v>
      </c>
      <c r="B297" s="35" t="s">
        <v>290</v>
      </c>
      <c r="C297" s="34"/>
      <c r="D297" s="35"/>
      <c r="E297" s="35" t="s">
        <v>435</v>
      </c>
      <c r="F297" s="35" t="s">
        <v>123</v>
      </c>
      <c r="G297" s="46"/>
      <c r="H297" s="44"/>
      <c r="I297" s="44"/>
      <c r="J297" s="46"/>
      <c r="K297" s="44"/>
      <c r="L297" s="44"/>
      <c r="M297" s="44"/>
      <c r="N297" s="44"/>
      <c r="O297" s="45"/>
      <c r="P297" s="40"/>
    </row>
    <row r="298" spans="1:16" s="41" customFormat="1" ht="30" customHeight="1">
      <c r="A298" s="42">
        <v>204</v>
      </c>
      <c r="B298" s="43" t="s">
        <v>291</v>
      </c>
      <c r="C298" s="42"/>
      <c r="D298" s="43"/>
      <c r="E298" s="43" t="s">
        <v>435</v>
      </c>
      <c r="F298" s="43" t="s">
        <v>123</v>
      </c>
      <c r="G298" s="44"/>
      <c r="H298" s="44"/>
      <c r="I298" s="44"/>
      <c r="J298" s="44"/>
      <c r="K298" s="44"/>
      <c r="L298" s="44"/>
      <c r="M298" s="44"/>
      <c r="N298" s="44"/>
      <c r="O298" s="45"/>
      <c r="P298" s="40"/>
    </row>
    <row r="299" spans="1:16" s="41" customFormat="1" ht="30" customHeight="1">
      <c r="A299" s="34">
        <v>205</v>
      </c>
      <c r="B299" s="35" t="s">
        <v>292</v>
      </c>
      <c r="C299" s="34"/>
      <c r="D299" s="35"/>
      <c r="E299" s="35" t="s">
        <v>435</v>
      </c>
      <c r="F299" s="35" t="s">
        <v>123</v>
      </c>
      <c r="G299" s="46"/>
      <c r="H299" s="44"/>
      <c r="I299" s="44"/>
      <c r="J299" s="46"/>
      <c r="K299" s="44"/>
      <c r="L299" s="44"/>
      <c r="M299" s="44"/>
      <c r="N299" s="44"/>
      <c r="O299" s="45"/>
      <c r="P299" s="40"/>
    </row>
    <row r="300" spans="1:16" s="41" customFormat="1" ht="30" customHeight="1">
      <c r="A300" s="42">
        <v>206</v>
      </c>
      <c r="B300" s="43" t="s">
        <v>293</v>
      </c>
      <c r="C300" s="42"/>
      <c r="D300" s="43"/>
      <c r="E300" s="43" t="s">
        <v>435</v>
      </c>
      <c r="F300" s="43" t="s">
        <v>123</v>
      </c>
      <c r="G300" s="44"/>
      <c r="H300" s="44"/>
      <c r="I300" s="44"/>
      <c r="J300" s="44"/>
      <c r="K300" s="44"/>
      <c r="L300" s="44"/>
      <c r="M300" s="44"/>
      <c r="N300" s="44"/>
      <c r="O300" s="45"/>
      <c r="P300" s="40"/>
    </row>
    <row r="301" spans="1:16" s="41" customFormat="1" ht="30" customHeight="1">
      <c r="A301" s="34">
        <v>207</v>
      </c>
      <c r="B301" s="35" t="s">
        <v>294</v>
      </c>
      <c r="C301" s="34"/>
      <c r="D301" s="35"/>
      <c r="E301" s="35" t="s">
        <v>435</v>
      </c>
      <c r="F301" s="35" t="s">
        <v>123</v>
      </c>
      <c r="G301" s="46"/>
      <c r="H301" s="44"/>
      <c r="I301" s="44"/>
      <c r="J301" s="46"/>
      <c r="K301" s="44"/>
      <c r="L301" s="44"/>
      <c r="M301" s="44"/>
      <c r="N301" s="44"/>
      <c r="O301" s="45"/>
      <c r="P301" s="40"/>
    </row>
    <row r="302" spans="1:16" s="41" customFormat="1" ht="30" customHeight="1">
      <c r="A302" s="42">
        <v>208</v>
      </c>
      <c r="B302" s="43" t="s">
        <v>295</v>
      </c>
      <c r="C302" s="42"/>
      <c r="D302" s="43"/>
      <c r="E302" s="43" t="s">
        <v>435</v>
      </c>
      <c r="F302" s="43" t="s">
        <v>123</v>
      </c>
      <c r="G302" s="44"/>
      <c r="H302" s="44"/>
      <c r="I302" s="44"/>
      <c r="J302" s="44"/>
      <c r="K302" s="44"/>
      <c r="L302" s="44"/>
      <c r="M302" s="44"/>
      <c r="N302" s="44"/>
      <c r="O302" s="45"/>
      <c r="P302" s="40"/>
    </row>
    <row r="303" spans="1:16" s="41" customFormat="1" ht="30" customHeight="1">
      <c r="A303" s="34">
        <v>209</v>
      </c>
      <c r="B303" s="35" t="s">
        <v>296</v>
      </c>
      <c r="C303" s="34"/>
      <c r="D303" s="35"/>
      <c r="E303" s="35" t="s">
        <v>435</v>
      </c>
      <c r="F303" s="35" t="s">
        <v>123</v>
      </c>
      <c r="G303" s="46"/>
      <c r="H303" s="44"/>
      <c r="I303" s="44"/>
      <c r="J303" s="46"/>
      <c r="K303" s="44"/>
      <c r="L303" s="44"/>
      <c r="M303" s="44"/>
      <c r="N303" s="44"/>
      <c r="O303" s="45"/>
      <c r="P303" s="40"/>
    </row>
    <row r="304" spans="1:16" s="41" customFormat="1" ht="30" customHeight="1">
      <c r="A304" s="42">
        <v>210</v>
      </c>
      <c r="B304" s="43" t="s">
        <v>297</v>
      </c>
      <c r="C304" s="42"/>
      <c r="D304" s="43"/>
      <c r="E304" s="43" t="s">
        <v>435</v>
      </c>
      <c r="F304" s="43" t="s">
        <v>123</v>
      </c>
      <c r="G304" s="44"/>
      <c r="H304" s="44"/>
      <c r="I304" s="44"/>
      <c r="J304" s="44"/>
      <c r="K304" s="44"/>
      <c r="L304" s="44"/>
      <c r="M304" s="44"/>
      <c r="N304" s="44"/>
      <c r="O304" s="45"/>
      <c r="P304" s="40"/>
    </row>
    <row r="305" spans="1:16" s="41" customFormat="1" ht="30" customHeight="1">
      <c r="A305" s="34">
        <v>211</v>
      </c>
      <c r="B305" s="35" t="s">
        <v>298</v>
      </c>
      <c r="C305" s="34" t="s">
        <v>423</v>
      </c>
      <c r="D305" s="35"/>
      <c r="E305" s="35" t="s">
        <v>435</v>
      </c>
      <c r="F305" s="35" t="s">
        <v>123</v>
      </c>
      <c r="G305" s="46"/>
      <c r="H305" s="44"/>
      <c r="I305" s="44"/>
      <c r="J305" s="46"/>
      <c r="K305" s="44"/>
      <c r="L305" s="44"/>
      <c r="M305" s="44"/>
      <c r="N305" s="44"/>
      <c r="O305" s="45"/>
      <c r="P305" s="40"/>
    </row>
    <row r="306" spans="1:16" s="41" customFormat="1" ht="30" customHeight="1">
      <c r="A306" s="42">
        <v>212</v>
      </c>
      <c r="B306" s="43" t="s">
        <v>25</v>
      </c>
      <c r="C306" s="42"/>
      <c r="D306" s="43" t="s">
        <v>299</v>
      </c>
      <c r="E306" s="43" t="s">
        <v>435</v>
      </c>
      <c r="F306" s="43" t="s">
        <v>13</v>
      </c>
      <c r="G306" s="44"/>
      <c r="H306" s="44"/>
      <c r="I306" s="44"/>
      <c r="J306" s="44"/>
      <c r="K306" s="44"/>
      <c r="L306" s="44"/>
      <c r="M306" s="44"/>
      <c r="N306" s="44"/>
      <c r="O306" s="45"/>
      <c r="P306" s="40"/>
    </row>
    <row r="307" spans="1:16" s="41" customFormat="1" ht="30" customHeight="1">
      <c r="A307" s="34">
        <v>213</v>
      </c>
      <c r="B307" s="35" t="s">
        <v>300</v>
      </c>
      <c r="C307" s="34"/>
      <c r="D307" s="35" t="s">
        <v>299</v>
      </c>
      <c r="E307" s="35" t="s">
        <v>435</v>
      </c>
      <c r="F307" s="35" t="s">
        <v>13</v>
      </c>
      <c r="G307" s="46"/>
      <c r="H307" s="44"/>
      <c r="I307" s="44"/>
      <c r="J307" s="46"/>
      <c r="K307" s="44"/>
      <c r="L307" s="44"/>
      <c r="M307" s="44"/>
      <c r="N307" s="44"/>
      <c r="O307" s="45"/>
      <c r="P307" s="40"/>
    </row>
    <row r="308" spans="1:16" s="41" customFormat="1" ht="30" customHeight="1">
      <c r="A308" s="34"/>
      <c r="B308" s="35"/>
      <c r="C308" s="34"/>
      <c r="D308" s="35" t="s">
        <v>42</v>
      </c>
      <c r="E308" s="35" t="s">
        <v>435</v>
      </c>
      <c r="F308" s="35"/>
      <c r="G308" s="46"/>
      <c r="H308" s="44"/>
      <c r="I308" s="44"/>
      <c r="J308" s="46"/>
      <c r="K308" s="44"/>
      <c r="L308" s="44"/>
      <c r="M308" s="44"/>
      <c r="N308" s="44"/>
      <c r="O308" s="45"/>
      <c r="P308" s="40"/>
    </row>
    <row r="309" spans="1:16" s="41" customFormat="1" ht="30" customHeight="1">
      <c r="A309" s="42">
        <v>214</v>
      </c>
      <c r="B309" s="43" t="s">
        <v>301</v>
      </c>
      <c r="C309" s="42"/>
      <c r="D309" s="43" t="s">
        <v>299</v>
      </c>
      <c r="E309" s="43" t="s">
        <v>435</v>
      </c>
      <c r="F309" s="43" t="s">
        <v>13</v>
      </c>
      <c r="G309" s="44"/>
      <c r="H309" s="44"/>
      <c r="I309" s="44"/>
      <c r="J309" s="44"/>
      <c r="K309" s="44"/>
      <c r="L309" s="44"/>
      <c r="M309" s="44"/>
      <c r="N309" s="44"/>
      <c r="O309" s="45"/>
      <c r="P309" s="40"/>
    </row>
    <row r="310" spans="1:16" s="41" customFormat="1" ht="30" customHeight="1">
      <c r="A310" s="34">
        <v>215</v>
      </c>
      <c r="B310" s="35" t="s">
        <v>302</v>
      </c>
      <c r="C310" s="34"/>
      <c r="D310" s="35" t="s">
        <v>299</v>
      </c>
      <c r="E310" s="35" t="s">
        <v>435</v>
      </c>
      <c r="F310" s="35" t="s">
        <v>13</v>
      </c>
      <c r="G310" s="46"/>
      <c r="H310" s="44"/>
      <c r="I310" s="44"/>
      <c r="J310" s="46"/>
      <c r="K310" s="44"/>
      <c r="L310" s="44"/>
      <c r="M310" s="44"/>
      <c r="N310" s="44"/>
      <c r="O310" s="45"/>
      <c r="P310" s="40"/>
    </row>
    <row r="311" spans="1:16" s="41" customFormat="1" ht="25.5">
      <c r="A311" s="42">
        <v>216</v>
      </c>
      <c r="B311" s="43" t="s">
        <v>303</v>
      </c>
      <c r="C311" s="42"/>
      <c r="D311" s="43" t="s">
        <v>299</v>
      </c>
      <c r="E311" s="43" t="s">
        <v>438</v>
      </c>
      <c r="F311" s="43" t="s">
        <v>615</v>
      </c>
      <c r="G311" s="46"/>
      <c r="H311" s="44"/>
      <c r="I311" s="44"/>
      <c r="J311" s="44"/>
      <c r="K311" s="44"/>
      <c r="L311" s="44"/>
      <c r="M311" s="44"/>
      <c r="N311" s="44"/>
      <c r="O311" s="45"/>
      <c r="P311" s="40"/>
    </row>
    <row r="312" spans="1:16" s="41" customFormat="1" ht="30" customHeight="1">
      <c r="A312" s="34">
        <v>217</v>
      </c>
      <c r="B312" s="35" t="s">
        <v>304</v>
      </c>
      <c r="C312" s="34"/>
      <c r="D312" s="35" t="s">
        <v>299</v>
      </c>
      <c r="E312" s="35" t="s">
        <v>438</v>
      </c>
      <c r="F312" s="35" t="s">
        <v>615</v>
      </c>
      <c r="G312" s="46"/>
      <c r="H312" s="44"/>
      <c r="I312" s="44"/>
      <c r="J312" s="44"/>
      <c r="K312" s="44"/>
      <c r="L312" s="44"/>
      <c r="M312" s="44"/>
      <c r="N312" s="44"/>
      <c r="O312" s="45"/>
      <c r="P312" s="40"/>
    </row>
    <row r="313" spans="1:16" s="41" customFormat="1" ht="25.5">
      <c r="A313" s="48">
        <v>218</v>
      </c>
      <c r="B313" s="49" t="s">
        <v>305</v>
      </c>
      <c r="C313" s="48"/>
      <c r="D313" s="49" t="s">
        <v>299</v>
      </c>
      <c r="E313" s="49" t="s">
        <v>438</v>
      </c>
      <c r="F313" s="49" t="s">
        <v>615</v>
      </c>
      <c r="G313" s="46"/>
      <c r="H313" s="44"/>
      <c r="I313" s="44"/>
      <c r="J313" s="44"/>
      <c r="K313" s="44"/>
      <c r="L313" s="44"/>
      <c r="M313" s="44"/>
      <c r="N313" s="44"/>
      <c r="O313" s="45"/>
      <c r="P313" s="40"/>
    </row>
    <row r="314" spans="1:16" s="41" customFormat="1" ht="25.5">
      <c r="A314" s="34">
        <v>219</v>
      </c>
      <c r="B314" s="35" t="s">
        <v>137</v>
      </c>
      <c r="C314" s="34"/>
      <c r="D314" s="35" t="s">
        <v>299</v>
      </c>
      <c r="E314" s="35" t="s">
        <v>438</v>
      </c>
      <c r="F314" s="35" t="s">
        <v>615</v>
      </c>
      <c r="G314" s="46"/>
      <c r="H314" s="44"/>
      <c r="I314" s="44"/>
      <c r="J314" s="44"/>
      <c r="K314" s="44"/>
      <c r="L314" s="44"/>
      <c r="M314" s="44"/>
      <c r="N314" s="44"/>
      <c r="O314" s="45"/>
      <c r="P314" s="40"/>
    </row>
    <row r="315" spans="1:16" s="41" customFormat="1" ht="25.5">
      <c r="A315" s="48">
        <v>220</v>
      </c>
      <c r="B315" s="49" t="s">
        <v>306</v>
      </c>
      <c r="C315" s="48">
        <v>341</v>
      </c>
      <c r="D315" s="49" t="s">
        <v>299</v>
      </c>
      <c r="E315" s="49" t="s">
        <v>438</v>
      </c>
      <c r="F315" s="49" t="s">
        <v>615</v>
      </c>
      <c r="G315" s="46"/>
      <c r="H315" s="44"/>
      <c r="I315" s="44"/>
      <c r="J315" s="44"/>
      <c r="K315" s="44"/>
      <c r="L315" s="44"/>
      <c r="M315" s="44"/>
      <c r="N315" s="44"/>
      <c r="O315" s="45"/>
      <c r="P315" s="40"/>
    </row>
    <row r="316" spans="1:16" s="41" customFormat="1" ht="30" customHeight="1">
      <c r="A316" s="34">
        <v>221</v>
      </c>
      <c r="B316" s="35" t="s">
        <v>307</v>
      </c>
      <c r="C316" s="34"/>
      <c r="D316" s="35" t="s">
        <v>299</v>
      </c>
      <c r="E316" s="35" t="s">
        <v>438</v>
      </c>
      <c r="F316" s="35" t="s">
        <v>615</v>
      </c>
      <c r="G316" s="46"/>
      <c r="H316" s="44"/>
      <c r="I316" s="44"/>
      <c r="J316" s="44"/>
      <c r="K316" s="44"/>
      <c r="L316" s="44"/>
      <c r="M316" s="44"/>
      <c r="N316" s="44"/>
      <c r="O316" s="45"/>
      <c r="P316" s="40"/>
    </row>
    <row r="317" spans="1:16" s="41" customFormat="1" ht="25.5">
      <c r="A317" s="48">
        <v>222</v>
      </c>
      <c r="B317" s="49" t="s">
        <v>308</v>
      </c>
      <c r="C317" s="48"/>
      <c r="D317" s="49" t="s">
        <v>299</v>
      </c>
      <c r="E317" s="49" t="s">
        <v>438</v>
      </c>
      <c r="F317" s="49" t="s">
        <v>615</v>
      </c>
      <c r="G317" s="46"/>
      <c r="H317" s="44"/>
      <c r="I317" s="44"/>
      <c r="J317" s="44"/>
      <c r="K317" s="44"/>
      <c r="L317" s="44"/>
      <c r="M317" s="44"/>
      <c r="N317" s="44"/>
      <c r="O317" s="45"/>
      <c r="P317" s="40"/>
    </row>
    <row r="318" spans="1:16" s="41" customFormat="1" ht="25.5">
      <c r="A318" s="34">
        <v>223</v>
      </c>
      <c r="B318" s="35" t="s">
        <v>309</v>
      </c>
      <c r="C318" s="34">
        <v>342</v>
      </c>
      <c r="D318" s="35" t="s">
        <v>299</v>
      </c>
      <c r="E318" s="35" t="s">
        <v>438</v>
      </c>
      <c r="F318" s="35" t="s">
        <v>615</v>
      </c>
      <c r="G318" s="46"/>
      <c r="H318" s="44"/>
      <c r="I318" s="44"/>
      <c r="J318" s="44"/>
      <c r="K318" s="44"/>
      <c r="L318" s="44"/>
      <c r="M318" s="44"/>
      <c r="N318" s="44"/>
      <c r="O318" s="45"/>
      <c r="P318" s="40"/>
    </row>
    <row r="319" spans="1:16" s="41" customFormat="1" ht="25.5">
      <c r="A319" s="42">
        <v>224</v>
      </c>
      <c r="B319" s="43" t="s">
        <v>310</v>
      </c>
      <c r="C319" s="42"/>
      <c r="D319" s="43" t="s">
        <v>299</v>
      </c>
      <c r="E319" s="43" t="s">
        <v>438</v>
      </c>
      <c r="F319" s="43" t="s">
        <v>615</v>
      </c>
      <c r="G319" s="46"/>
      <c r="H319" s="44"/>
      <c r="I319" s="44"/>
      <c r="J319" s="44"/>
      <c r="K319" s="44"/>
      <c r="L319" s="44"/>
      <c r="M319" s="44"/>
      <c r="N319" s="44"/>
      <c r="O319" s="45"/>
      <c r="P319" s="40"/>
    </row>
    <row r="320" spans="1:16" s="41" customFormat="1" ht="30" customHeight="1">
      <c r="A320" s="34">
        <v>225</v>
      </c>
      <c r="B320" s="35" t="s">
        <v>311</v>
      </c>
      <c r="C320" s="34"/>
      <c r="D320" s="35" t="s">
        <v>299</v>
      </c>
      <c r="E320" s="35" t="s">
        <v>438</v>
      </c>
      <c r="F320" s="35" t="s">
        <v>615</v>
      </c>
      <c r="G320" s="46"/>
      <c r="H320" s="44"/>
      <c r="I320" s="44"/>
      <c r="J320" s="44"/>
      <c r="K320" s="44"/>
      <c r="L320" s="44"/>
      <c r="M320" s="44"/>
      <c r="N320" s="44"/>
      <c r="O320" s="45"/>
      <c r="P320" s="40"/>
    </row>
    <row r="321" spans="1:16" s="41" customFormat="1" ht="30" customHeight="1">
      <c r="A321" s="48">
        <v>226</v>
      </c>
      <c r="B321" s="49" t="s">
        <v>312</v>
      </c>
      <c r="C321" s="48"/>
      <c r="D321" s="29" t="s">
        <v>122</v>
      </c>
      <c r="E321" s="29" t="s">
        <v>438</v>
      </c>
      <c r="F321" s="29" t="s">
        <v>615</v>
      </c>
      <c r="G321" s="46"/>
      <c r="H321" s="44"/>
      <c r="I321" s="44"/>
      <c r="J321" s="44"/>
      <c r="K321" s="44"/>
      <c r="L321" s="44"/>
      <c r="M321" s="44"/>
      <c r="N321" s="44"/>
      <c r="O321" s="45"/>
      <c r="P321" s="40"/>
    </row>
    <row r="322" spans="1:16" s="41" customFormat="1" ht="30" customHeight="1">
      <c r="A322" s="51"/>
      <c r="B322" s="52"/>
      <c r="C322" s="51"/>
      <c r="D322" s="53" t="s">
        <v>299</v>
      </c>
      <c r="E322" s="53"/>
      <c r="F322" s="53"/>
      <c r="G322" s="46"/>
      <c r="H322" s="44"/>
      <c r="I322" s="44"/>
      <c r="J322" s="44"/>
      <c r="K322" s="44"/>
      <c r="L322" s="44"/>
      <c r="M322" s="44"/>
      <c r="N322" s="44"/>
      <c r="O322" s="45"/>
      <c r="P322" s="40"/>
    </row>
    <row r="323" spans="1:16" s="41" customFormat="1" ht="30" customHeight="1">
      <c r="A323" s="34">
        <v>227</v>
      </c>
      <c r="B323" s="35" t="s">
        <v>313</v>
      </c>
      <c r="C323" s="34"/>
      <c r="D323" s="80" t="s">
        <v>122</v>
      </c>
      <c r="E323" s="80" t="s">
        <v>438</v>
      </c>
      <c r="F323" s="80" t="s">
        <v>615</v>
      </c>
      <c r="G323" s="46"/>
      <c r="H323" s="44"/>
      <c r="I323" s="44"/>
      <c r="J323" s="44"/>
      <c r="K323" s="44"/>
      <c r="L323" s="44"/>
      <c r="M323" s="44"/>
      <c r="N323" s="44"/>
      <c r="O323" s="45"/>
      <c r="P323" s="40"/>
    </row>
    <row r="324" spans="1:16" s="41" customFormat="1" ht="30" customHeight="1">
      <c r="A324" s="48">
        <v>228</v>
      </c>
      <c r="B324" s="49" t="s">
        <v>314</v>
      </c>
      <c r="C324" s="48"/>
      <c r="D324" s="29" t="s">
        <v>122</v>
      </c>
      <c r="E324" s="29"/>
      <c r="F324" s="29" t="s">
        <v>493</v>
      </c>
      <c r="G324" s="46"/>
      <c r="H324" s="46"/>
      <c r="I324" s="46"/>
      <c r="J324" s="46"/>
      <c r="K324" s="46"/>
      <c r="L324" s="46"/>
      <c r="M324" s="46"/>
      <c r="N324" s="46"/>
      <c r="O324" s="45"/>
      <c r="P324" s="40"/>
    </row>
    <row r="325" spans="1:16" s="41" customFormat="1" ht="38.25">
      <c r="A325" s="34">
        <v>229</v>
      </c>
      <c r="B325" s="35" t="s">
        <v>315</v>
      </c>
      <c r="C325" s="34"/>
      <c r="D325" s="80" t="s">
        <v>617</v>
      </c>
      <c r="E325" s="80" t="s">
        <v>438</v>
      </c>
      <c r="F325" s="80" t="s">
        <v>615</v>
      </c>
      <c r="G325" s="46"/>
      <c r="H325" s="46"/>
      <c r="I325" s="46"/>
      <c r="J325" s="46"/>
      <c r="K325" s="46"/>
      <c r="L325" s="46"/>
      <c r="M325" s="46"/>
      <c r="N325" s="46"/>
      <c r="O325" s="45"/>
      <c r="P325" s="40"/>
    </row>
    <row r="326" spans="1:16" s="41" customFormat="1" ht="38.25">
      <c r="A326" s="48">
        <v>230</v>
      </c>
      <c r="B326" s="49" t="s">
        <v>316</v>
      </c>
      <c r="C326" s="48" t="s">
        <v>424</v>
      </c>
      <c r="D326" s="49" t="s">
        <v>617</v>
      </c>
      <c r="E326" s="49" t="s">
        <v>438</v>
      </c>
      <c r="F326" s="49" t="s">
        <v>615</v>
      </c>
      <c r="G326" s="46"/>
      <c r="H326" s="46"/>
      <c r="I326" s="46"/>
      <c r="J326" s="46"/>
      <c r="K326" s="46"/>
      <c r="L326" s="46"/>
      <c r="M326" s="46"/>
      <c r="N326" s="46"/>
      <c r="O326" s="45"/>
      <c r="P326" s="40"/>
    </row>
    <row r="327" spans="1:16" s="41" customFormat="1" ht="30" customHeight="1">
      <c r="A327" s="55"/>
      <c r="B327" s="56"/>
      <c r="C327" s="55"/>
      <c r="D327" s="56"/>
      <c r="E327" s="56"/>
      <c r="F327" s="56"/>
      <c r="G327" s="46"/>
      <c r="H327" s="46"/>
      <c r="I327" s="46"/>
      <c r="J327" s="46"/>
      <c r="K327" s="46"/>
      <c r="L327" s="46"/>
      <c r="M327" s="46"/>
      <c r="N327" s="46"/>
      <c r="O327" s="45"/>
      <c r="P327" s="40"/>
    </row>
    <row r="328" spans="1:16" s="41" customFormat="1" ht="74.25" customHeight="1">
      <c r="A328" s="34">
        <v>231</v>
      </c>
      <c r="B328" s="35" t="s">
        <v>317</v>
      </c>
      <c r="C328" s="34" t="s">
        <v>425</v>
      </c>
      <c r="D328" s="35" t="s">
        <v>618</v>
      </c>
      <c r="E328" s="35" t="s">
        <v>438</v>
      </c>
      <c r="F328" s="35" t="s">
        <v>615</v>
      </c>
      <c r="G328" s="46"/>
      <c r="H328" s="46"/>
      <c r="I328" s="46"/>
      <c r="J328" s="46"/>
      <c r="K328" s="46"/>
      <c r="L328" s="46"/>
      <c r="M328" s="46"/>
      <c r="N328" s="46"/>
      <c r="O328" s="45"/>
      <c r="P328" s="40"/>
    </row>
    <row r="329" spans="1:16" s="41" customFormat="1" ht="30" customHeight="1">
      <c r="A329" s="42">
        <v>232</v>
      </c>
      <c r="B329" s="43" t="s">
        <v>318</v>
      </c>
      <c r="C329" s="42"/>
      <c r="D329" s="43" t="s">
        <v>122</v>
      </c>
      <c r="E329" s="43" t="s">
        <v>435</v>
      </c>
      <c r="F329" s="43" t="s">
        <v>35</v>
      </c>
      <c r="G329" s="44"/>
      <c r="H329" s="44"/>
      <c r="I329" s="44"/>
      <c r="J329" s="44"/>
      <c r="K329" s="44"/>
      <c r="L329" s="44"/>
      <c r="M329" s="44"/>
      <c r="N329" s="44"/>
      <c r="O329" s="45"/>
      <c r="P329" s="40"/>
    </row>
    <row r="330" spans="1:16" s="41" customFormat="1" ht="30" customHeight="1">
      <c r="A330" s="34">
        <v>233</v>
      </c>
      <c r="B330" s="35" t="s">
        <v>319</v>
      </c>
      <c r="C330" s="34">
        <v>328</v>
      </c>
      <c r="D330" s="35" t="s">
        <v>122</v>
      </c>
      <c r="E330" s="35" t="s">
        <v>435</v>
      </c>
      <c r="F330" s="35" t="s">
        <v>13</v>
      </c>
      <c r="G330" s="46"/>
      <c r="H330" s="44"/>
      <c r="I330" s="44"/>
      <c r="J330" s="46"/>
      <c r="K330" s="44"/>
      <c r="L330" s="44"/>
      <c r="M330" s="44"/>
      <c r="N330" s="44"/>
      <c r="O330" s="45"/>
      <c r="P330" s="40"/>
    </row>
    <row r="331" spans="1:16" s="41" customFormat="1" ht="30" customHeight="1">
      <c r="A331" s="42">
        <v>234</v>
      </c>
      <c r="B331" s="43" t="s">
        <v>76</v>
      </c>
      <c r="C331" s="42"/>
      <c r="D331" s="43" t="s">
        <v>122</v>
      </c>
      <c r="E331" s="43" t="s">
        <v>435</v>
      </c>
      <c r="F331" s="43" t="s">
        <v>13</v>
      </c>
      <c r="G331" s="44"/>
      <c r="H331" s="44"/>
      <c r="I331" s="44"/>
      <c r="J331" s="44"/>
      <c r="K331" s="44"/>
      <c r="L331" s="44"/>
      <c r="M331" s="44"/>
      <c r="N331" s="44"/>
      <c r="O331" s="45"/>
      <c r="P331" s="40"/>
    </row>
    <row r="332" spans="1:16" s="41" customFormat="1" ht="30" customHeight="1">
      <c r="A332" s="34">
        <v>235</v>
      </c>
      <c r="B332" s="35" t="s">
        <v>320</v>
      </c>
      <c r="C332" s="34"/>
      <c r="D332" s="35" t="s">
        <v>122</v>
      </c>
      <c r="E332" s="35" t="s">
        <v>435</v>
      </c>
      <c r="F332" s="35" t="s">
        <v>13</v>
      </c>
      <c r="G332" s="46"/>
      <c r="H332" s="44"/>
      <c r="I332" s="44"/>
      <c r="J332" s="46"/>
      <c r="K332" s="44"/>
      <c r="L332" s="44"/>
      <c r="M332" s="44"/>
      <c r="N332" s="44"/>
      <c r="O332" s="45"/>
      <c r="P332" s="40"/>
    </row>
    <row r="333" spans="1:16" s="41" customFormat="1" ht="32.25" customHeight="1">
      <c r="A333" s="42">
        <v>236</v>
      </c>
      <c r="B333" s="43" t="s">
        <v>321</v>
      </c>
      <c r="C333" s="42"/>
      <c r="D333" s="43"/>
      <c r="E333" s="43" t="s">
        <v>435</v>
      </c>
      <c r="F333" s="43" t="s">
        <v>235</v>
      </c>
      <c r="G333" s="44"/>
      <c r="H333" s="44"/>
      <c r="I333" s="44"/>
      <c r="J333" s="44"/>
      <c r="K333" s="44"/>
      <c r="L333" s="44"/>
      <c r="M333" s="44"/>
      <c r="N333" s="44"/>
      <c r="O333" s="45"/>
      <c r="P333" s="40"/>
    </row>
    <row r="334" spans="1:16" s="41" customFormat="1" ht="45.75" customHeight="1">
      <c r="A334" s="34">
        <v>237</v>
      </c>
      <c r="B334" s="35" t="s">
        <v>322</v>
      </c>
      <c r="C334" s="34"/>
      <c r="D334" s="35"/>
      <c r="E334" s="35" t="s">
        <v>435</v>
      </c>
      <c r="F334" s="35" t="s">
        <v>153</v>
      </c>
      <c r="G334" s="46"/>
      <c r="H334" s="44"/>
      <c r="I334" s="44"/>
      <c r="J334" s="46"/>
      <c r="K334" s="44"/>
      <c r="L334" s="44"/>
      <c r="M334" s="44"/>
      <c r="N334" s="44"/>
      <c r="O334" s="45"/>
      <c r="P334" s="40"/>
    </row>
    <row r="335" spans="1:16" s="41" customFormat="1" ht="60.75" customHeight="1">
      <c r="A335" s="42">
        <v>238</v>
      </c>
      <c r="B335" s="43" t="s">
        <v>323</v>
      </c>
      <c r="C335" s="42"/>
      <c r="D335" s="43"/>
      <c r="E335" s="43" t="s">
        <v>435</v>
      </c>
      <c r="F335" s="43" t="s">
        <v>153</v>
      </c>
      <c r="G335" s="44"/>
      <c r="H335" s="44"/>
      <c r="I335" s="44"/>
      <c r="J335" s="44"/>
      <c r="K335" s="44"/>
      <c r="L335" s="44"/>
      <c r="M335" s="44"/>
      <c r="N335" s="44"/>
      <c r="O335" s="45"/>
      <c r="P335" s="40"/>
    </row>
    <row r="336" spans="1:16" s="41" customFormat="1" ht="57.75" customHeight="1">
      <c r="A336" s="34">
        <v>239</v>
      </c>
      <c r="B336" s="35" t="s">
        <v>324</v>
      </c>
      <c r="C336" s="34"/>
      <c r="D336" s="35"/>
      <c r="E336" s="35" t="s">
        <v>435</v>
      </c>
      <c r="F336" s="35" t="s">
        <v>153</v>
      </c>
      <c r="G336" s="46"/>
      <c r="H336" s="44"/>
      <c r="I336" s="44"/>
      <c r="J336" s="46"/>
      <c r="K336" s="44"/>
      <c r="L336" s="44"/>
      <c r="M336" s="44"/>
      <c r="N336" s="44"/>
      <c r="O336" s="45"/>
      <c r="P336" s="40"/>
    </row>
    <row r="337" spans="1:16" s="41" customFormat="1" ht="44.25" customHeight="1">
      <c r="A337" s="42">
        <v>240</v>
      </c>
      <c r="B337" s="43" t="s">
        <v>325</v>
      </c>
      <c r="C337" s="42"/>
      <c r="D337" s="43"/>
      <c r="E337" s="43" t="s">
        <v>435</v>
      </c>
      <c r="F337" s="43" t="s">
        <v>13</v>
      </c>
      <c r="G337" s="44"/>
      <c r="H337" s="44"/>
      <c r="I337" s="44"/>
      <c r="J337" s="44"/>
      <c r="K337" s="44"/>
      <c r="L337" s="44"/>
      <c r="M337" s="44"/>
      <c r="N337" s="44"/>
      <c r="O337" s="45"/>
      <c r="P337" s="40"/>
    </row>
    <row r="338" spans="1:16" s="41" customFormat="1" ht="48" customHeight="1">
      <c r="A338" s="34">
        <v>241</v>
      </c>
      <c r="B338" s="35" t="s">
        <v>326</v>
      </c>
      <c r="C338" s="34"/>
      <c r="D338" s="35"/>
      <c r="E338" s="35" t="s">
        <v>435</v>
      </c>
      <c r="F338" s="35" t="s">
        <v>13</v>
      </c>
      <c r="G338" s="46"/>
      <c r="H338" s="44"/>
      <c r="I338" s="44"/>
      <c r="J338" s="46"/>
      <c r="K338" s="44"/>
      <c r="L338" s="44"/>
      <c r="M338" s="44"/>
      <c r="N338" s="44"/>
      <c r="O338" s="45"/>
      <c r="P338" s="40"/>
    </row>
    <row r="339" spans="1:16" s="41" customFormat="1" ht="30" customHeight="1">
      <c r="A339" s="42">
        <v>242</v>
      </c>
      <c r="B339" s="43" t="s">
        <v>327</v>
      </c>
      <c r="C339" s="42"/>
      <c r="D339" s="43"/>
      <c r="E339" s="43" t="s">
        <v>435</v>
      </c>
      <c r="F339" s="43" t="s">
        <v>328</v>
      </c>
      <c r="G339" s="44"/>
      <c r="H339" s="44"/>
      <c r="I339" s="44"/>
      <c r="J339" s="44"/>
      <c r="K339" s="44"/>
      <c r="L339" s="44"/>
      <c r="M339" s="44"/>
      <c r="N339" s="44"/>
      <c r="O339" s="45"/>
      <c r="P339" s="40"/>
    </row>
    <row r="340" spans="1:16" s="41" customFormat="1" ht="30" customHeight="1">
      <c r="A340" s="34">
        <v>243</v>
      </c>
      <c r="B340" s="35" t="s">
        <v>329</v>
      </c>
      <c r="C340" s="34"/>
      <c r="D340" s="35"/>
      <c r="E340" s="35"/>
      <c r="F340" s="35" t="s">
        <v>535</v>
      </c>
      <c r="G340" s="46"/>
      <c r="H340" s="46"/>
      <c r="I340" s="46"/>
      <c r="J340" s="46"/>
      <c r="K340" s="46"/>
      <c r="L340" s="46"/>
      <c r="M340" s="46"/>
      <c r="N340" s="46"/>
      <c r="O340" s="45"/>
      <c r="P340" s="40"/>
    </row>
    <row r="341" spans="1:16" s="41" customFormat="1" ht="30" customHeight="1">
      <c r="A341" s="42">
        <v>244</v>
      </c>
      <c r="B341" s="43" t="s">
        <v>330</v>
      </c>
      <c r="C341" s="42">
        <v>376</v>
      </c>
      <c r="D341" s="43"/>
      <c r="E341" s="43" t="s">
        <v>429</v>
      </c>
      <c r="F341" s="43" t="s">
        <v>615</v>
      </c>
      <c r="G341" s="46"/>
      <c r="H341" s="46"/>
      <c r="I341" s="46"/>
      <c r="J341" s="46"/>
      <c r="K341" s="46"/>
      <c r="L341" s="46"/>
      <c r="M341" s="46"/>
      <c r="N341" s="46"/>
      <c r="O341" s="45"/>
      <c r="P341" s="40"/>
    </row>
    <row r="342" spans="1:16" s="41" customFormat="1" ht="30" customHeight="1">
      <c r="A342" s="34">
        <v>245</v>
      </c>
      <c r="B342" s="35" t="s">
        <v>331</v>
      </c>
      <c r="C342" s="62">
        <v>377</v>
      </c>
      <c r="D342" s="59"/>
      <c r="E342" s="59" t="s">
        <v>428</v>
      </c>
      <c r="F342" s="59" t="s">
        <v>615</v>
      </c>
      <c r="G342" s="46"/>
      <c r="H342" s="46"/>
      <c r="I342" s="46"/>
      <c r="J342" s="46"/>
      <c r="K342" s="46"/>
      <c r="L342" s="46"/>
      <c r="M342" s="46"/>
      <c r="N342" s="46"/>
      <c r="O342" s="45"/>
      <c r="P342" s="40"/>
    </row>
    <row r="343" spans="1:16" s="41" customFormat="1" ht="30" customHeight="1">
      <c r="A343" s="48">
        <v>246</v>
      </c>
      <c r="B343" s="49" t="s">
        <v>332</v>
      </c>
      <c r="C343" s="48"/>
      <c r="D343" s="49" t="s">
        <v>333</v>
      </c>
      <c r="E343" s="49" t="s">
        <v>428</v>
      </c>
      <c r="F343" s="49" t="s">
        <v>615</v>
      </c>
      <c r="G343" s="46"/>
      <c r="H343" s="46"/>
      <c r="I343" s="46"/>
      <c r="J343" s="46"/>
      <c r="K343" s="46"/>
      <c r="L343" s="46"/>
      <c r="M343" s="46"/>
      <c r="N343" s="46"/>
      <c r="O343" s="45"/>
      <c r="P343" s="40"/>
    </row>
    <row r="344" spans="1:16" s="41" customFormat="1" ht="30" customHeight="1">
      <c r="A344" s="34">
        <v>247</v>
      </c>
      <c r="B344" s="35" t="s">
        <v>334</v>
      </c>
      <c r="C344" s="34"/>
      <c r="D344" s="35"/>
      <c r="E344" s="35" t="s">
        <v>435</v>
      </c>
      <c r="F344" s="35" t="s">
        <v>13</v>
      </c>
      <c r="G344" s="46"/>
      <c r="H344" s="44"/>
      <c r="I344" s="44"/>
      <c r="J344" s="46"/>
      <c r="K344" s="44"/>
      <c r="L344" s="44"/>
      <c r="M344" s="44"/>
      <c r="N344" s="44"/>
      <c r="O344" s="45"/>
      <c r="P344" s="40"/>
    </row>
    <row r="345" spans="1:16" s="41" customFormat="1" ht="30" customHeight="1">
      <c r="A345" s="42">
        <v>248</v>
      </c>
      <c r="B345" s="43" t="s">
        <v>335</v>
      </c>
      <c r="C345" s="42"/>
      <c r="D345" s="43" t="s">
        <v>42</v>
      </c>
      <c r="E345" s="43" t="s">
        <v>435</v>
      </c>
      <c r="F345" s="43" t="s">
        <v>13</v>
      </c>
      <c r="G345" s="44"/>
      <c r="H345" s="44"/>
      <c r="I345" s="44"/>
      <c r="J345" s="44"/>
      <c r="K345" s="44"/>
      <c r="L345" s="44"/>
      <c r="M345" s="44"/>
      <c r="N345" s="44"/>
      <c r="O345" s="45"/>
      <c r="P345" s="40"/>
    </row>
    <row r="346" spans="1:16" s="41" customFormat="1" ht="30" customHeight="1">
      <c r="A346" s="34">
        <v>249</v>
      </c>
      <c r="B346" s="35" t="s">
        <v>336</v>
      </c>
      <c r="C346" s="34"/>
      <c r="D346" s="35" t="s">
        <v>42</v>
      </c>
      <c r="E346" s="35" t="s">
        <v>435</v>
      </c>
      <c r="F346" s="35" t="s">
        <v>35</v>
      </c>
      <c r="G346" s="46"/>
      <c r="H346" s="44"/>
      <c r="I346" s="44"/>
      <c r="J346" s="46"/>
      <c r="K346" s="44"/>
      <c r="L346" s="44"/>
      <c r="M346" s="44"/>
      <c r="N346" s="44"/>
      <c r="O346" s="45"/>
      <c r="P346" s="40"/>
    </row>
    <row r="347" spans="1:16" s="41" customFormat="1" ht="30" customHeight="1">
      <c r="A347" s="42">
        <v>250</v>
      </c>
      <c r="B347" s="43" t="s">
        <v>337</v>
      </c>
      <c r="C347" s="42"/>
      <c r="D347" s="43" t="s">
        <v>42</v>
      </c>
      <c r="E347" s="43" t="s">
        <v>435</v>
      </c>
      <c r="F347" s="43" t="s">
        <v>35</v>
      </c>
      <c r="G347" s="44"/>
      <c r="H347" s="44"/>
      <c r="I347" s="44"/>
      <c r="J347" s="44"/>
      <c r="K347" s="44"/>
      <c r="L347" s="44"/>
      <c r="M347" s="44"/>
      <c r="N347" s="44"/>
      <c r="O347" s="45"/>
      <c r="P347" s="40"/>
    </row>
    <row r="348" spans="1:16" s="41" customFormat="1" ht="30" customHeight="1">
      <c r="A348" s="34">
        <v>251</v>
      </c>
      <c r="B348" s="35" t="s">
        <v>338</v>
      </c>
      <c r="C348" s="34"/>
      <c r="D348" s="35"/>
      <c r="E348" s="35" t="s">
        <v>435</v>
      </c>
      <c r="F348" s="35" t="s">
        <v>35</v>
      </c>
      <c r="G348" s="46"/>
      <c r="H348" s="44"/>
      <c r="I348" s="44"/>
      <c r="J348" s="46"/>
      <c r="K348" s="44"/>
      <c r="L348" s="44"/>
      <c r="M348" s="44"/>
      <c r="N348" s="44"/>
      <c r="O348" s="45"/>
      <c r="P348" s="40"/>
    </row>
    <row r="349" spans="1:16" s="41" customFormat="1" ht="30" customHeight="1">
      <c r="A349" s="42">
        <v>252</v>
      </c>
      <c r="B349" s="43" t="s">
        <v>339</v>
      </c>
      <c r="C349" s="42"/>
      <c r="D349" s="43"/>
      <c r="E349" s="43" t="s">
        <v>435</v>
      </c>
      <c r="F349" s="43" t="s">
        <v>35</v>
      </c>
      <c r="G349" s="44"/>
      <c r="H349" s="44"/>
      <c r="I349" s="44"/>
      <c r="J349" s="44"/>
      <c r="K349" s="44"/>
      <c r="L349" s="44"/>
      <c r="M349" s="44"/>
      <c r="N349" s="44"/>
      <c r="O349" s="45"/>
      <c r="P349" s="40"/>
    </row>
    <row r="350" spans="1:16" s="41" customFormat="1" ht="30" customHeight="1">
      <c r="A350" s="34">
        <v>253</v>
      </c>
      <c r="B350" s="35" t="s">
        <v>340</v>
      </c>
      <c r="C350" s="34"/>
      <c r="D350" s="35"/>
      <c r="E350" s="35" t="s">
        <v>435</v>
      </c>
      <c r="F350" s="35" t="s">
        <v>35</v>
      </c>
      <c r="G350" s="46"/>
      <c r="H350" s="44"/>
      <c r="I350" s="44"/>
      <c r="J350" s="46"/>
      <c r="K350" s="44"/>
      <c r="L350" s="44"/>
      <c r="M350" s="44"/>
      <c r="N350" s="44"/>
      <c r="O350" s="45"/>
      <c r="P350" s="40"/>
    </row>
    <row r="351" spans="1:16" s="41" customFormat="1" ht="30" customHeight="1">
      <c r="A351" s="42">
        <v>254</v>
      </c>
      <c r="B351" s="43" t="s">
        <v>341</v>
      </c>
      <c r="C351" s="42"/>
      <c r="D351" s="43"/>
      <c r="E351" s="43" t="s">
        <v>435</v>
      </c>
      <c r="F351" s="43" t="s">
        <v>13</v>
      </c>
      <c r="G351" s="44"/>
      <c r="H351" s="44"/>
      <c r="I351" s="44"/>
      <c r="J351" s="44"/>
      <c r="K351" s="44"/>
      <c r="L351" s="44"/>
      <c r="M351" s="44"/>
      <c r="N351" s="44"/>
      <c r="O351" s="45"/>
      <c r="P351" s="40"/>
    </row>
    <row r="352" spans="1:16" s="41" customFormat="1" ht="30" customHeight="1">
      <c r="A352" s="34">
        <v>255</v>
      </c>
      <c r="B352" s="35" t="s">
        <v>342</v>
      </c>
      <c r="C352" s="34"/>
      <c r="D352" s="35" t="s">
        <v>42</v>
      </c>
      <c r="E352" s="35" t="s">
        <v>435</v>
      </c>
      <c r="F352" s="35" t="s">
        <v>35</v>
      </c>
      <c r="G352" s="46"/>
      <c r="H352" s="44"/>
      <c r="I352" s="44"/>
      <c r="J352" s="46"/>
      <c r="K352" s="44"/>
      <c r="L352" s="44"/>
      <c r="M352" s="44"/>
      <c r="N352" s="44"/>
      <c r="O352" s="45"/>
      <c r="P352" s="40"/>
    </row>
    <row r="353" spans="1:16" s="41" customFormat="1" ht="25.5">
      <c r="A353" s="48">
        <v>256</v>
      </c>
      <c r="B353" s="49" t="s">
        <v>343</v>
      </c>
      <c r="C353" s="48">
        <v>370</v>
      </c>
      <c r="D353" s="49"/>
      <c r="E353" s="49" t="s">
        <v>432</v>
      </c>
      <c r="F353" s="49" t="s">
        <v>615</v>
      </c>
      <c r="G353" s="46"/>
      <c r="H353" s="46"/>
      <c r="I353" s="46"/>
      <c r="J353" s="46"/>
      <c r="K353" s="46"/>
      <c r="L353" s="46"/>
      <c r="M353" s="46"/>
      <c r="N353" s="46"/>
      <c r="O353" s="45"/>
      <c r="P353" s="40"/>
    </row>
    <row r="354" spans="1:16" s="41" customFormat="1" ht="30" customHeight="1">
      <c r="A354" s="34">
        <v>257</v>
      </c>
      <c r="B354" s="35" t="s">
        <v>344</v>
      </c>
      <c r="C354" s="34"/>
      <c r="D354" s="35"/>
      <c r="E354" s="35" t="s">
        <v>428</v>
      </c>
      <c r="F354" s="35"/>
      <c r="G354" s="80" t="s">
        <v>453</v>
      </c>
      <c r="H354" s="35" t="s">
        <v>441</v>
      </c>
      <c r="I354" s="35" t="s">
        <v>595</v>
      </c>
      <c r="J354" s="80" t="s">
        <v>459</v>
      </c>
      <c r="K354" s="35" t="s">
        <v>460</v>
      </c>
      <c r="L354" s="35" t="s">
        <v>454</v>
      </c>
      <c r="M354" s="35" t="s">
        <v>443</v>
      </c>
      <c r="N354" s="47" t="s">
        <v>68</v>
      </c>
      <c r="O354" s="45"/>
      <c r="P354" s="40"/>
    </row>
    <row r="355" spans="1:16" s="41" customFormat="1" ht="30" customHeight="1">
      <c r="A355" s="42">
        <v>258</v>
      </c>
      <c r="B355" s="43" t="s">
        <v>345</v>
      </c>
      <c r="C355" s="42"/>
      <c r="D355" s="43"/>
      <c r="E355" s="43" t="s">
        <v>435</v>
      </c>
      <c r="F355" s="43" t="s">
        <v>35</v>
      </c>
      <c r="G355" s="44"/>
      <c r="H355" s="44"/>
      <c r="I355" s="44"/>
      <c r="J355" s="44"/>
      <c r="K355" s="44"/>
      <c r="L355" s="44"/>
      <c r="M355" s="44"/>
      <c r="N355" s="44"/>
      <c r="O355" s="45"/>
      <c r="P355" s="40"/>
    </row>
    <row r="356" spans="1:16" s="41" customFormat="1" ht="30" customHeight="1">
      <c r="A356" s="34">
        <v>259</v>
      </c>
      <c r="B356" s="35" t="s">
        <v>346</v>
      </c>
      <c r="C356" s="34"/>
      <c r="D356" s="35"/>
      <c r="E356" s="35" t="s">
        <v>435</v>
      </c>
      <c r="F356" s="35" t="s">
        <v>35</v>
      </c>
      <c r="G356" s="46"/>
      <c r="H356" s="44"/>
      <c r="I356" s="44"/>
      <c r="J356" s="46"/>
      <c r="K356" s="44"/>
      <c r="L356" s="44"/>
      <c r="M356" s="44"/>
      <c r="N356" s="44"/>
      <c r="O356" s="45"/>
      <c r="P356" s="40"/>
    </row>
    <row r="357" spans="1:16" s="41" customFormat="1" ht="43.5" customHeight="1">
      <c r="A357" s="48">
        <v>260</v>
      </c>
      <c r="B357" s="49" t="s">
        <v>347</v>
      </c>
      <c r="C357" s="48" t="s">
        <v>426</v>
      </c>
      <c r="D357" s="49"/>
      <c r="E357" s="49" t="s">
        <v>435</v>
      </c>
      <c r="F357" s="49" t="s">
        <v>235</v>
      </c>
      <c r="G357" s="38"/>
      <c r="H357" s="44"/>
      <c r="I357" s="44"/>
      <c r="J357" s="38"/>
      <c r="K357" s="44"/>
      <c r="L357" s="44"/>
      <c r="M357" s="44"/>
      <c r="N357" s="44"/>
      <c r="O357" s="45"/>
      <c r="P357" s="40"/>
    </row>
    <row r="358" spans="1:16" s="41" customFormat="1" ht="30" customHeight="1">
      <c r="A358" s="34">
        <v>261</v>
      </c>
      <c r="B358" s="35" t="s">
        <v>348</v>
      </c>
      <c r="C358" s="34"/>
      <c r="D358" s="35" t="s">
        <v>299</v>
      </c>
      <c r="E358" s="35" t="s">
        <v>435</v>
      </c>
      <c r="F358" s="35" t="s">
        <v>235</v>
      </c>
      <c r="G358" s="46"/>
      <c r="H358" s="44"/>
      <c r="I358" s="44"/>
      <c r="J358" s="46"/>
      <c r="K358" s="44"/>
      <c r="L358" s="44"/>
      <c r="M358" s="44"/>
      <c r="N358" s="44"/>
      <c r="O358" s="45"/>
      <c r="P358" s="40"/>
    </row>
    <row r="359" spans="1:16" s="41" customFormat="1" ht="42" customHeight="1">
      <c r="A359" s="42">
        <v>262</v>
      </c>
      <c r="B359" s="43" t="s">
        <v>349</v>
      </c>
      <c r="C359" s="42"/>
      <c r="D359" s="43" t="s">
        <v>299</v>
      </c>
      <c r="E359" s="43" t="s">
        <v>435</v>
      </c>
      <c r="F359" s="43" t="s">
        <v>235</v>
      </c>
      <c r="G359" s="44"/>
      <c r="H359" s="44"/>
      <c r="I359" s="44"/>
      <c r="J359" s="44"/>
      <c r="K359" s="44"/>
      <c r="L359" s="44"/>
      <c r="M359" s="44"/>
      <c r="N359" s="44"/>
      <c r="O359" s="45"/>
      <c r="P359" s="40"/>
    </row>
    <row r="360" spans="1:16" s="41" customFormat="1" ht="30" customHeight="1">
      <c r="A360" s="34">
        <v>263</v>
      </c>
      <c r="B360" s="35" t="s">
        <v>350</v>
      </c>
      <c r="C360" s="34"/>
      <c r="D360" s="35" t="s">
        <v>299</v>
      </c>
      <c r="E360" s="35" t="s">
        <v>435</v>
      </c>
      <c r="F360" s="35" t="s">
        <v>235</v>
      </c>
      <c r="G360" s="46"/>
      <c r="H360" s="44"/>
      <c r="I360" s="44"/>
      <c r="J360" s="46"/>
      <c r="K360" s="44"/>
      <c r="L360" s="44"/>
      <c r="M360" s="44"/>
      <c r="N360" s="44"/>
      <c r="O360" s="45"/>
      <c r="P360" s="40"/>
    </row>
    <row r="361" spans="1:16" s="41" customFormat="1" ht="30" customHeight="1">
      <c r="A361" s="42">
        <v>264</v>
      </c>
      <c r="B361" s="43" t="s">
        <v>351</v>
      </c>
      <c r="C361" s="42"/>
      <c r="D361" s="43"/>
      <c r="E361" s="43" t="s">
        <v>435</v>
      </c>
      <c r="F361" s="43" t="s">
        <v>35</v>
      </c>
      <c r="G361" s="44"/>
      <c r="H361" s="44"/>
      <c r="I361" s="44"/>
      <c r="J361" s="44"/>
      <c r="K361" s="44"/>
      <c r="L361" s="44"/>
      <c r="M361" s="44"/>
      <c r="N361" s="44"/>
      <c r="O361" s="45"/>
      <c r="P361" s="40"/>
    </row>
    <row r="362" spans="1:16" s="41" customFormat="1" ht="30" customHeight="1">
      <c r="A362" s="34">
        <v>265</v>
      </c>
      <c r="B362" s="35" t="s">
        <v>352</v>
      </c>
      <c r="C362" s="34"/>
      <c r="D362" s="35"/>
      <c r="E362" s="35" t="s">
        <v>435</v>
      </c>
      <c r="F362" s="35" t="s">
        <v>235</v>
      </c>
      <c r="G362" s="46"/>
      <c r="H362" s="44"/>
      <c r="I362" s="44"/>
      <c r="J362" s="46"/>
      <c r="K362" s="44"/>
      <c r="L362" s="44"/>
      <c r="M362" s="44"/>
      <c r="N362" s="44"/>
      <c r="O362" s="45"/>
      <c r="P362" s="40"/>
    </row>
    <row r="363" spans="1:16" s="41" customFormat="1" ht="30" customHeight="1">
      <c r="A363" s="42">
        <v>266</v>
      </c>
      <c r="B363" s="43" t="s">
        <v>353</v>
      </c>
      <c r="C363" s="42"/>
      <c r="D363" s="43"/>
      <c r="E363" s="43" t="s">
        <v>435</v>
      </c>
      <c r="F363" s="43" t="s">
        <v>235</v>
      </c>
      <c r="G363" s="44"/>
      <c r="H363" s="44"/>
      <c r="I363" s="44"/>
      <c r="J363" s="44"/>
      <c r="K363" s="44"/>
      <c r="L363" s="44"/>
      <c r="M363" s="44"/>
      <c r="N363" s="44"/>
      <c r="O363" s="45"/>
      <c r="P363" s="40"/>
    </row>
    <row r="364" spans="1:16" s="41" customFormat="1" ht="30" customHeight="1">
      <c r="A364" s="34">
        <v>267</v>
      </c>
      <c r="B364" s="35" t="s">
        <v>354</v>
      </c>
      <c r="C364" s="34"/>
      <c r="D364" s="35"/>
      <c r="E364" s="35" t="s">
        <v>435</v>
      </c>
      <c r="F364" s="35" t="s">
        <v>355</v>
      </c>
      <c r="G364" s="46"/>
      <c r="H364" s="44"/>
      <c r="I364" s="44"/>
      <c r="J364" s="46"/>
      <c r="K364" s="44"/>
      <c r="L364" s="44"/>
      <c r="M364" s="44"/>
      <c r="N364" s="44"/>
      <c r="O364" s="45"/>
      <c r="P364" s="40"/>
    </row>
    <row r="365" spans="1:16" s="41" customFormat="1" ht="30" customHeight="1">
      <c r="A365" s="42">
        <v>268</v>
      </c>
      <c r="B365" s="43" t="s">
        <v>25</v>
      </c>
      <c r="C365" s="42"/>
      <c r="D365" s="43"/>
      <c r="E365" s="43" t="s">
        <v>435</v>
      </c>
      <c r="F365" s="43" t="s">
        <v>355</v>
      </c>
      <c r="G365" s="44"/>
      <c r="H365" s="44"/>
      <c r="I365" s="44"/>
      <c r="J365" s="44"/>
      <c r="K365" s="44"/>
      <c r="L365" s="44"/>
      <c r="M365" s="44"/>
      <c r="N365" s="44"/>
      <c r="O365" s="45"/>
      <c r="P365" s="40"/>
    </row>
    <row r="366" spans="1:16" s="41" customFormat="1" ht="30" customHeight="1">
      <c r="A366" s="34">
        <v>269</v>
      </c>
      <c r="B366" s="35" t="s">
        <v>356</v>
      </c>
      <c r="C366" s="34"/>
      <c r="D366" s="35"/>
      <c r="E366" s="35" t="s">
        <v>435</v>
      </c>
      <c r="F366" s="35" t="s">
        <v>355</v>
      </c>
      <c r="G366" s="46"/>
      <c r="H366" s="44"/>
      <c r="I366" s="44"/>
      <c r="J366" s="46"/>
      <c r="K366" s="44"/>
      <c r="L366" s="44"/>
      <c r="M366" s="44"/>
      <c r="N366" s="44"/>
      <c r="O366" s="45"/>
      <c r="P366" s="40"/>
    </row>
    <row r="367" spans="1:16" s="41" customFormat="1" ht="30" customHeight="1">
      <c r="A367" s="42">
        <v>270</v>
      </c>
      <c r="B367" s="43" t="s">
        <v>357</v>
      </c>
      <c r="C367" s="42"/>
      <c r="D367" s="43"/>
      <c r="E367" s="43" t="s">
        <v>435</v>
      </c>
      <c r="F367" s="43" t="s">
        <v>355</v>
      </c>
      <c r="G367" s="44"/>
      <c r="H367" s="44"/>
      <c r="I367" s="44"/>
      <c r="J367" s="44"/>
      <c r="K367" s="44"/>
      <c r="L367" s="44"/>
      <c r="M367" s="44"/>
      <c r="N367" s="44"/>
      <c r="O367" s="45"/>
      <c r="P367" s="40"/>
    </row>
    <row r="368" spans="1:16" s="41" customFormat="1" ht="30" customHeight="1">
      <c r="A368" s="34">
        <v>271</v>
      </c>
      <c r="B368" s="35" t="s">
        <v>358</v>
      </c>
      <c r="C368" s="34"/>
      <c r="D368" s="35"/>
      <c r="E368" s="35" t="s">
        <v>435</v>
      </c>
      <c r="F368" s="35" t="s">
        <v>355</v>
      </c>
      <c r="G368" s="46"/>
      <c r="H368" s="44"/>
      <c r="I368" s="44"/>
      <c r="J368" s="46"/>
      <c r="K368" s="44"/>
      <c r="L368" s="44"/>
      <c r="M368" s="44"/>
      <c r="N368" s="44"/>
      <c r="O368" s="45"/>
      <c r="P368" s="40"/>
    </row>
    <row r="369" spans="1:16" s="41" customFormat="1" ht="30" customHeight="1">
      <c r="A369" s="42">
        <v>272</v>
      </c>
      <c r="B369" s="43" t="s">
        <v>359</v>
      </c>
      <c r="C369" s="42"/>
      <c r="D369" s="43"/>
      <c r="E369" s="43" t="s">
        <v>435</v>
      </c>
      <c r="F369" s="43" t="s">
        <v>355</v>
      </c>
      <c r="G369" s="44"/>
      <c r="H369" s="44"/>
      <c r="I369" s="44"/>
      <c r="J369" s="44"/>
      <c r="K369" s="44"/>
      <c r="L369" s="44"/>
      <c r="M369" s="44"/>
      <c r="N369" s="44"/>
      <c r="O369" s="45"/>
      <c r="P369" s="40"/>
    </row>
    <row r="370" spans="1:16" s="41" customFormat="1" ht="41.25" customHeight="1">
      <c r="A370" s="34">
        <v>273</v>
      </c>
      <c r="B370" s="35" t="s">
        <v>360</v>
      </c>
      <c r="C370" s="34"/>
      <c r="D370" s="35"/>
      <c r="E370" s="35" t="s">
        <v>435</v>
      </c>
      <c r="F370" s="35" t="s">
        <v>355</v>
      </c>
      <c r="G370" s="46"/>
      <c r="H370" s="44"/>
      <c r="I370" s="44"/>
      <c r="J370" s="46"/>
      <c r="K370" s="44"/>
      <c r="L370" s="44"/>
      <c r="M370" s="44"/>
      <c r="N370" s="44"/>
      <c r="O370" s="45"/>
      <c r="P370" s="40"/>
    </row>
    <row r="371" spans="1:16" s="41" customFormat="1" ht="30" customHeight="1">
      <c r="A371" s="42">
        <v>274</v>
      </c>
      <c r="B371" s="43" t="s">
        <v>361</v>
      </c>
      <c r="C371" s="42"/>
      <c r="D371" s="43"/>
      <c r="E371" s="43" t="s">
        <v>435</v>
      </c>
      <c r="F371" s="43" t="s">
        <v>355</v>
      </c>
      <c r="G371" s="44"/>
      <c r="H371" s="44"/>
      <c r="I371" s="44"/>
      <c r="J371" s="44"/>
      <c r="K371" s="44"/>
      <c r="L371" s="44"/>
      <c r="M371" s="44"/>
      <c r="N371" s="44"/>
      <c r="O371" s="45"/>
      <c r="P371" s="40"/>
    </row>
    <row r="372" spans="1:16" s="41" customFormat="1" ht="30" customHeight="1">
      <c r="A372" s="34">
        <v>275</v>
      </c>
      <c r="B372" s="35" t="s">
        <v>362</v>
      </c>
      <c r="C372" s="34"/>
      <c r="D372" s="35"/>
      <c r="E372" s="35" t="s">
        <v>435</v>
      </c>
      <c r="F372" s="35" t="s">
        <v>355</v>
      </c>
      <c r="G372" s="46"/>
      <c r="H372" s="44"/>
      <c r="I372" s="44"/>
      <c r="J372" s="46"/>
      <c r="K372" s="44"/>
      <c r="L372" s="44"/>
      <c r="M372" s="44"/>
      <c r="N372" s="44"/>
      <c r="O372" s="45"/>
      <c r="P372" s="40"/>
    </row>
    <row r="373" spans="1:16" s="41" customFormat="1" ht="30" customHeight="1">
      <c r="A373" s="42">
        <v>276</v>
      </c>
      <c r="B373" s="43" t="s">
        <v>363</v>
      </c>
      <c r="C373" s="42"/>
      <c r="D373" s="43"/>
      <c r="E373" s="43" t="s">
        <v>435</v>
      </c>
      <c r="F373" s="43" t="s">
        <v>355</v>
      </c>
      <c r="G373" s="44"/>
      <c r="H373" s="44"/>
      <c r="I373" s="44"/>
      <c r="J373" s="44"/>
      <c r="K373" s="44"/>
      <c r="L373" s="44"/>
      <c r="M373" s="44"/>
      <c r="N373" s="44"/>
      <c r="O373" s="45"/>
      <c r="P373" s="40"/>
    </row>
    <row r="374" spans="1:16" s="41" customFormat="1" ht="30" customHeight="1">
      <c r="A374" s="34">
        <v>277</v>
      </c>
      <c r="B374" s="35" t="s">
        <v>364</v>
      </c>
      <c r="C374" s="34"/>
      <c r="D374" s="35"/>
      <c r="E374" s="35" t="s">
        <v>435</v>
      </c>
      <c r="F374" s="35" t="s">
        <v>355</v>
      </c>
      <c r="G374" s="46"/>
      <c r="H374" s="44"/>
      <c r="I374" s="44"/>
      <c r="J374" s="46"/>
      <c r="K374" s="44"/>
      <c r="L374" s="44"/>
      <c r="M374" s="44"/>
      <c r="N374" s="44"/>
      <c r="O374" s="45"/>
      <c r="P374" s="40"/>
    </row>
    <row r="375" spans="1:16" s="41" customFormat="1" ht="30" customHeight="1">
      <c r="A375" s="42">
        <v>278</v>
      </c>
      <c r="B375" s="43" t="s">
        <v>365</v>
      </c>
      <c r="C375" s="42"/>
      <c r="D375" s="43"/>
      <c r="E375" s="43" t="s">
        <v>435</v>
      </c>
      <c r="F375" s="43" t="s">
        <v>355</v>
      </c>
      <c r="G375" s="44"/>
      <c r="H375" s="44"/>
      <c r="I375" s="44"/>
      <c r="J375" s="44"/>
      <c r="K375" s="44"/>
      <c r="L375" s="44"/>
      <c r="M375" s="44"/>
      <c r="N375" s="44"/>
      <c r="O375" s="45"/>
      <c r="P375" s="40"/>
    </row>
    <row r="376" spans="1:16" s="41" customFormat="1" ht="30" customHeight="1">
      <c r="A376" s="34">
        <v>279</v>
      </c>
      <c r="B376" s="35" t="s">
        <v>366</v>
      </c>
      <c r="C376" s="34"/>
      <c r="D376" s="35"/>
      <c r="E376" s="35" t="s">
        <v>435</v>
      </c>
      <c r="F376" s="35" t="s">
        <v>355</v>
      </c>
      <c r="G376" s="46"/>
      <c r="H376" s="44"/>
      <c r="I376" s="44"/>
      <c r="J376" s="46"/>
      <c r="K376" s="44"/>
      <c r="L376" s="44"/>
      <c r="M376" s="44"/>
      <c r="N376" s="44"/>
      <c r="O376" s="45"/>
      <c r="P376" s="40"/>
    </row>
    <row r="377" spans="1:16" s="41" customFormat="1" ht="30" customHeight="1">
      <c r="A377" s="42">
        <v>280</v>
      </c>
      <c r="B377" s="43" t="s">
        <v>367</v>
      </c>
      <c r="C377" s="42"/>
      <c r="D377" s="43"/>
      <c r="E377" s="43" t="s">
        <v>435</v>
      </c>
      <c r="F377" s="43" t="s">
        <v>355</v>
      </c>
      <c r="G377" s="44"/>
      <c r="H377" s="44"/>
      <c r="I377" s="44"/>
      <c r="J377" s="44"/>
      <c r="K377" s="44"/>
      <c r="L377" s="44"/>
      <c r="M377" s="44"/>
      <c r="N377" s="44"/>
      <c r="O377" s="45"/>
      <c r="P377" s="40"/>
    </row>
    <row r="378" spans="1:16" s="41" customFormat="1" ht="30" customHeight="1">
      <c r="A378" s="34">
        <v>281</v>
      </c>
      <c r="B378" s="35" t="s">
        <v>368</v>
      </c>
      <c r="C378" s="34"/>
      <c r="D378" s="35"/>
      <c r="E378" s="35" t="s">
        <v>435</v>
      </c>
      <c r="F378" s="35" t="s">
        <v>355</v>
      </c>
      <c r="G378" s="46"/>
      <c r="H378" s="44"/>
      <c r="I378" s="44"/>
      <c r="J378" s="46"/>
      <c r="K378" s="44"/>
      <c r="L378" s="44"/>
      <c r="M378" s="44"/>
      <c r="N378" s="44"/>
      <c r="O378" s="45"/>
      <c r="P378" s="40"/>
    </row>
    <row r="379" spans="1:16" s="41" customFormat="1" ht="30" customHeight="1">
      <c r="A379" s="42">
        <v>282</v>
      </c>
      <c r="B379" s="43" t="s">
        <v>369</v>
      </c>
      <c r="C379" s="42"/>
      <c r="D379" s="43"/>
      <c r="E379" s="43" t="s">
        <v>435</v>
      </c>
      <c r="F379" s="43" t="s">
        <v>355</v>
      </c>
      <c r="G379" s="44"/>
      <c r="H379" s="44"/>
      <c r="I379" s="44"/>
      <c r="J379" s="44"/>
      <c r="K379" s="44"/>
      <c r="L379" s="44"/>
      <c r="M379" s="44"/>
      <c r="N379" s="44"/>
      <c r="O379" s="45"/>
      <c r="P379" s="40"/>
    </row>
    <row r="380" spans="1:16" s="41" customFormat="1" ht="30" customHeight="1">
      <c r="A380" s="34">
        <v>283</v>
      </c>
      <c r="B380" s="35" t="s">
        <v>370</v>
      </c>
      <c r="C380" s="34"/>
      <c r="D380" s="35"/>
      <c r="E380" s="35" t="s">
        <v>435</v>
      </c>
      <c r="F380" s="35" t="s">
        <v>355</v>
      </c>
      <c r="G380" s="46"/>
      <c r="H380" s="44"/>
      <c r="I380" s="44"/>
      <c r="J380" s="46"/>
      <c r="K380" s="44"/>
      <c r="L380" s="44"/>
      <c r="M380" s="44"/>
      <c r="N380" s="44"/>
      <c r="O380" s="45"/>
      <c r="P380" s="40"/>
    </row>
    <row r="381" spans="1:16" s="41" customFormat="1" ht="30" customHeight="1">
      <c r="A381" s="42">
        <v>284</v>
      </c>
      <c r="B381" s="43" t="s">
        <v>371</v>
      </c>
      <c r="C381" s="42"/>
      <c r="D381" s="43"/>
      <c r="E381" s="43" t="s">
        <v>435</v>
      </c>
      <c r="F381" s="43" t="s">
        <v>355</v>
      </c>
      <c r="G381" s="44"/>
      <c r="H381" s="44"/>
      <c r="I381" s="44"/>
      <c r="J381" s="44"/>
      <c r="K381" s="44"/>
      <c r="L381" s="44"/>
      <c r="M381" s="44"/>
      <c r="N381" s="44"/>
      <c r="O381" s="45"/>
      <c r="P381" s="40"/>
    </row>
    <row r="382" spans="1:16" s="41" customFormat="1" ht="30" customHeight="1">
      <c r="A382" s="34">
        <v>285</v>
      </c>
      <c r="B382" s="35" t="s">
        <v>372</v>
      </c>
      <c r="C382" s="34"/>
      <c r="D382" s="35"/>
      <c r="E382" s="35" t="s">
        <v>435</v>
      </c>
      <c r="F382" s="35" t="s">
        <v>355</v>
      </c>
      <c r="G382" s="46"/>
      <c r="H382" s="44"/>
      <c r="I382" s="44"/>
      <c r="J382" s="46"/>
      <c r="K382" s="44"/>
      <c r="L382" s="44"/>
      <c r="M382" s="44"/>
      <c r="N382" s="44"/>
      <c r="O382" s="45"/>
      <c r="P382" s="40"/>
    </row>
    <row r="383" spans="1:16" s="41" customFormat="1" ht="30" customHeight="1">
      <c r="A383" s="42">
        <v>286</v>
      </c>
      <c r="B383" s="43" t="s">
        <v>373</v>
      </c>
      <c r="C383" s="42"/>
      <c r="D383" s="43"/>
      <c r="E383" s="43" t="s">
        <v>435</v>
      </c>
      <c r="F383" s="43" t="s">
        <v>355</v>
      </c>
      <c r="G383" s="44"/>
      <c r="H383" s="44"/>
      <c r="I383" s="44"/>
      <c r="J383" s="44"/>
      <c r="K383" s="44"/>
      <c r="L383" s="44"/>
      <c r="M383" s="44"/>
      <c r="N383" s="44"/>
      <c r="O383" s="45"/>
      <c r="P383" s="40"/>
    </row>
    <row r="384" spans="1:16" s="41" customFormat="1" ht="30" customHeight="1">
      <c r="A384" s="34">
        <v>287</v>
      </c>
      <c r="B384" s="35" t="s">
        <v>374</v>
      </c>
      <c r="C384" s="34"/>
      <c r="D384" s="35"/>
      <c r="E384" s="35" t="s">
        <v>435</v>
      </c>
      <c r="F384" s="35" t="s">
        <v>355</v>
      </c>
      <c r="G384" s="46"/>
      <c r="H384" s="44"/>
      <c r="I384" s="44"/>
      <c r="J384" s="46"/>
      <c r="K384" s="44"/>
      <c r="L384" s="44"/>
      <c r="M384" s="44"/>
      <c r="N384" s="44"/>
      <c r="O384" s="45"/>
      <c r="P384" s="40"/>
    </row>
    <row r="385" spans="1:16" s="41" customFormat="1" ht="30" customHeight="1">
      <c r="A385" s="42">
        <v>288</v>
      </c>
      <c r="B385" s="43" t="s">
        <v>375</v>
      </c>
      <c r="C385" s="42"/>
      <c r="D385" s="43"/>
      <c r="E385" s="43" t="s">
        <v>435</v>
      </c>
      <c r="F385" s="43" t="s">
        <v>355</v>
      </c>
      <c r="G385" s="44"/>
      <c r="H385" s="44"/>
      <c r="I385" s="44"/>
      <c r="J385" s="44"/>
      <c r="K385" s="44"/>
      <c r="L385" s="44"/>
      <c r="M385" s="44"/>
      <c r="N385" s="44"/>
      <c r="O385" s="45"/>
      <c r="P385" s="40"/>
    </row>
    <row r="386" spans="1:16" s="41" customFormat="1" ht="30" customHeight="1">
      <c r="A386" s="34">
        <v>289</v>
      </c>
      <c r="B386" s="35" t="s">
        <v>376</v>
      </c>
      <c r="C386" s="34"/>
      <c r="D386" s="35"/>
      <c r="E386" s="35" t="s">
        <v>435</v>
      </c>
      <c r="F386" s="35" t="s">
        <v>355</v>
      </c>
      <c r="G386" s="46"/>
      <c r="H386" s="44"/>
      <c r="I386" s="44"/>
      <c r="J386" s="46"/>
      <c r="K386" s="44"/>
      <c r="L386" s="44"/>
      <c r="M386" s="44"/>
      <c r="N386" s="44"/>
      <c r="O386" s="45"/>
      <c r="P386" s="40"/>
    </row>
    <row r="387" spans="1:16" s="41" customFormat="1" ht="30" customHeight="1">
      <c r="A387" s="42">
        <v>290</v>
      </c>
      <c r="B387" s="43" t="s">
        <v>377</v>
      </c>
      <c r="C387" s="42"/>
      <c r="D387" s="43"/>
      <c r="E387" s="43" t="s">
        <v>435</v>
      </c>
      <c r="F387" s="43" t="s">
        <v>355</v>
      </c>
      <c r="G387" s="44"/>
      <c r="H387" s="44"/>
      <c r="I387" s="44"/>
      <c r="J387" s="44"/>
      <c r="K387" s="44"/>
      <c r="L387" s="44"/>
      <c r="M387" s="44"/>
      <c r="N387" s="44"/>
      <c r="O387" s="45"/>
      <c r="P387" s="40"/>
    </row>
    <row r="388" spans="1:16" s="41" customFormat="1" ht="30" customHeight="1">
      <c r="A388" s="34">
        <v>291</v>
      </c>
      <c r="B388" s="35" t="s">
        <v>378</v>
      </c>
      <c r="C388" s="34"/>
      <c r="D388" s="35"/>
      <c r="E388" s="35" t="s">
        <v>435</v>
      </c>
      <c r="F388" s="35" t="s">
        <v>355</v>
      </c>
      <c r="G388" s="46"/>
      <c r="H388" s="44"/>
      <c r="I388" s="44"/>
      <c r="J388" s="46"/>
      <c r="K388" s="44"/>
      <c r="L388" s="44"/>
      <c r="M388" s="44"/>
      <c r="N388" s="44"/>
      <c r="O388" s="45"/>
      <c r="P388" s="40"/>
    </row>
    <row r="389" spans="1:16" s="41" customFormat="1" ht="30" customHeight="1">
      <c r="A389" s="42">
        <v>292</v>
      </c>
      <c r="B389" s="43" t="s">
        <v>379</v>
      </c>
      <c r="C389" s="42"/>
      <c r="D389" s="43"/>
      <c r="E389" s="43" t="s">
        <v>435</v>
      </c>
      <c r="F389" s="43" t="s">
        <v>355</v>
      </c>
      <c r="G389" s="44"/>
      <c r="H389" s="44"/>
      <c r="I389" s="44"/>
      <c r="J389" s="44"/>
      <c r="K389" s="44"/>
      <c r="L389" s="44"/>
      <c r="M389" s="44"/>
      <c r="N389" s="44"/>
      <c r="O389" s="45"/>
      <c r="P389" s="40"/>
    </row>
    <row r="390" spans="1:16" s="41" customFormat="1" ht="30" customHeight="1">
      <c r="A390" s="34">
        <v>293</v>
      </c>
      <c r="B390" s="35" t="s">
        <v>380</v>
      </c>
      <c r="C390" s="34"/>
      <c r="D390" s="35"/>
      <c r="E390" s="35" t="s">
        <v>435</v>
      </c>
      <c r="F390" s="35" t="s">
        <v>355</v>
      </c>
      <c r="G390" s="46"/>
      <c r="H390" s="44"/>
      <c r="I390" s="44"/>
      <c r="J390" s="46"/>
      <c r="K390" s="44"/>
      <c r="L390" s="44"/>
      <c r="M390" s="44"/>
      <c r="N390" s="44"/>
      <c r="O390" s="45"/>
      <c r="P390" s="40"/>
    </row>
    <row r="391" spans="1:16" s="41" customFormat="1" ht="30" customHeight="1">
      <c r="A391" s="42">
        <v>294</v>
      </c>
      <c r="B391" s="43" t="s">
        <v>381</v>
      </c>
      <c r="C391" s="42"/>
      <c r="D391" s="43"/>
      <c r="E391" s="43" t="s">
        <v>435</v>
      </c>
      <c r="F391" s="43" t="s">
        <v>355</v>
      </c>
      <c r="G391" s="44"/>
      <c r="H391" s="44"/>
      <c r="I391" s="44"/>
      <c r="J391" s="44"/>
      <c r="K391" s="44"/>
      <c r="L391" s="44"/>
      <c r="M391" s="44"/>
      <c r="N391" s="44"/>
      <c r="O391" s="45"/>
      <c r="P391" s="40"/>
    </row>
    <row r="392" spans="1:16" s="41" customFormat="1" ht="30" customHeight="1">
      <c r="A392" s="34">
        <v>295</v>
      </c>
      <c r="B392" s="35" t="s">
        <v>93</v>
      </c>
      <c r="C392" s="34"/>
      <c r="D392" s="35"/>
      <c r="E392" s="35" t="s">
        <v>435</v>
      </c>
      <c r="F392" s="35" t="s">
        <v>355</v>
      </c>
      <c r="G392" s="46"/>
      <c r="H392" s="44"/>
      <c r="I392" s="44"/>
      <c r="J392" s="46"/>
      <c r="K392" s="44"/>
      <c r="L392" s="44"/>
      <c r="M392" s="44"/>
      <c r="N392" s="44"/>
      <c r="O392" s="45"/>
      <c r="P392" s="40"/>
    </row>
    <row r="393" spans="1:16" s="41" customFormat="1" ht="30" customHeight="1">
      <c r="A393" s="42">
        <v>296</v>
      </c>
      <c r="B393" s="43" t="s">
        <v>382</v>
      </c>
      <c r="C393" s="42"/>
      <c r="D393" s="43"/>
      <c r="E393" s="43" t="s">
        <v>435</v>
      </c>
      <c r="F393" s="43" t="s">
        <v>355</v>
      </c>
      <c r="G393" s="44"/>
      <c r="H393" s="44"/>
      <c r="I393" s="44"/>
      <c r="J393" s="44"/>
      <c r="K393" s="44"/>
      <c r="L393" s="44"/>
      <c r="M393" s="44"/>
      <c r="N393" s="44"/>
      <c r="O393" s="45"/>
      <c r="P393" s="40"/>
    </row>
    <row r="394" spans="1:16" s="41" customFormat="1" ht="30" customHeight="1">
      <c r="A394" s="34">
        <v>297</v>
      </c>
      <c r="B394" s="35" t="s">
        <v>383</v>
      </c>
      <c r="C394" s="34"/>
      <c r="D394" s="35"/>
      <c r="E394" s="35" t="s">
        <v>435</v>
      </c>
      <c r="F394" s="35" t="s">
        <v>13</v>
      </c>
      <c r="G394" s="46"/>
      <c r="H394" s="44"/>
      <c r="I394" s="44"/>
      <c r="J394" s="46"/>
      <c r="K394" s="44"/>
      <c r="L394" s="44"/>
      <c r="M394" s="44"/>
      <c r="N394" s="44"/>
      <c r="O394" s="45"/>
      <c r="P394" s="40"/>
    </row>
    <row r="395" spans="1:16" s="41" customFormat="1" ht="30" customHeight="1">
      <c r="A395" s="42">
        <v>298</v>
      </c>
      <c r="B395" s="43" t="s">
        <v>384</v>
      </c>
      <c r="C395" s="42"/>
      <c r="D395" s="43"/>
      <c r="E395" s="43" t="s">
        <v>435</v>
      </c>
      <c r="F395" s="43" t="s">
        <v>35</v>
      </c>
      <c r="G395" s="44"/>
      <c r="H395" s="44"/>
      <c r="I395" s="44"/>
      <c r="J395" s="44"/>
      <c r="K395" s="44"/>
      <c r="L395" s="44"/>
      <c r="M395" s="44"/>
      <c r="N395" s="44"/>
      <c r="O395" s="45"/>
      <c r="P395" s="40"/>
    </row>
    <row r="396" spans="1:16" s="41" customFormat="1" ht="30" customHeight="1">
      <c r="A396" s="34">
        <v>299</v>
      </c>
      <c r="B396" s="35" t="s">
        <v>385</v>
      </c>
      <c r="C396" s="34"/>
      <c r="D396" s="35"/>
      <c r="E396" s="35" t="s">
        <v>435</v>
      </c>
      <c r="F396" s="35" t="s">
        <v>13</v>
      </c>
      <c r="G396" s="46"/>
      <c r="H396" s="44"/>
      <c r="I396" s="44"/>
      <c r="J396" s="46"/>
      <c r="K396" s="44"/>
      <c r="L396" s="44"/>
      <c r="M396" s="44"/>
      <c r="N396" s="44"/>
      <c r="O396" s="45"/>
      <c r="P396" s="40"/>
    </row>
    <row r="397" spans="1:16" s="41" customFormat="1" ht="30" customHeight="1">
      <c r="A397" s="42">
        <v>300</v>
      </c>
      <c r="B397" s="43" t="s">
        <v>386</v>
      </c>
      <c r="C397" s="42"/>
      <c r="D397" s="43"/>
      <c r="E397" s="43" t="s">
        <v>435</v>
      </c>
      <c r="F397" s="43" t="s">
        <v>13</v>
      </c>
      <c r="G397" s="44"/>
      <c r="H397" s="44"/>
      <c r="I397" s="44"/>
      <c r="J397" s="44"/>
      <c r="K397" s="44"/>
      <c r="L397" s="44"/>
      <c r="M397" s="44"/>
      <c r="N397" s="44"/>
      <c r="O397" s="45"/>
      <c r="P397" s="40"/>
    </row>
    <row r="398" spans="1:16" s="41" customFormat="1" ht="30" customHeight="1">
      <c r="A398" s="34">
        <v>301</v>
      </c>
      <c r="B398" s="35" t="s">
        <v>387</v>
      </c>
      <c r="C398" s="34"/>
      <c r="D398" s="35"/>
      <c r="E398" s="35" t="s">
        <v>435</v>
      </c>
      <c r="F398" s="35" t="s">
        <v>13</v>
      </c>
      <c r="G398" s="46"/>
      <c r="H398" s="44"/>
      <c r="I398" s="44"/>
      <c r="J398" s="46"/>
      <c r="K398" s="44"/>
      <c r="L398" s="44"/>
      <c r="M398" s="44"/>
      <c r="N398" s="44"/>
      <c r="O398" s="45"/>
      <c r="P398" s="40"/>
    </row>
    <row r="399" spans="1:16" s="41" customFormat="1" ht="30" customHeight="1">
      <c r="A399" s="42">
        <v>302</v>
      </c>
      <c r="B399" s="43" t="s">
        <v>388</v>
      </c>
      <c r="C399" s="42"/>
      <c r="D399" s="43"/>
      <c r="E399" s="43" t="s">
        <v>435</v>
      </c>
      <c r="F399" s="43" t="s">
        <v>13</v>
      </c>
      <c r="G399" s="44"/>
      <c r="H399" s="44"/>
      <c r="I399" s="44"/>
      <c r="J399" s="44"/>
      <c r="K399" s="44"/>
      <c r="L399" s="44"/>
      <c r="M399" s="44"/>
      <c r="N399" s="44"/>
      <c r="O399" s="45"/>
      <c r="P399" s="40"/>
    </row>
    <row r="400" spans="1:16" s="41" customFormat="1" ht="30" customHeight="1">
      <c r="A400" s="34">
        <v>303</v>
      </c>
      <c r="B400" s="35" t="s">
        <v>389</v>
      </c>
      <c r="C400" s="34"/>
      <c r="D400" s="35"/>
      <c r="E400" s="35" t="s">
        <v>435</v>
      </c>
      <c r="F400" s="35" t="s">
        <v>13</v>
      </c>
      <c r="G400" s="46"/>
      <c r="H400" s="44"/>
      <c r="I400" s="44"/>
      <c r="J400" s="46"/>
      <c r="K400" s="44"/>
      <c r="L400" s="44"/>
      <c r="M400" s="44"/>
      <c r="N400" s="44"/>
      <c r="O400" s="45"/>
      <c r="P400" s="40"/>
    </row>
    <row r="401" spans="1:16" s="41" customFormat="1" ht="30" customHeight="1">
      <c r="A401" s="42">
        <v>304</v>
      </c>
      <c r="B401" s="43" t="s">
        <v>390</v>
      </c>
      <c r="C401" s="42"/>
      <c r="D401" s="43"/>
      <c r="E401" s="43" t="s">
        <v>435</v>
      </c>
      <c r="F401" s="43" t="s">
        <v>13</v>
      </c>
      <c r="G401" s="44"/>
      <c r="H401" s="44"/>
      <c r="I401" s="44"/>
      <c r="J401" s="44"/>
      <c r="K401" s="44"/>
      <c r="L401" s="44"/>
      <c r="M401" s="44"/>
      <c r="N401" s="44"/>
      <c r="O401" s="45"/>
      <c r="P401" s="40"/>
    </row>
    <row r="402" spans="1:16" s="41" customFormat="1" ht="30" customHeight="1">
      <c r="A402" s="34">
        <v>305</v>
      </c>
      <c r="B402" s="35" t="s">
        <v>391</v>
      </c>
      <c r="C402" s="34"/>
      <c r="D402" s="35"/>
      <c r="E402" s="35" t="s">
        <v>435</v>
      </c>
      <c r="F402" s="35" t="s">
        <v>13</v>
      </c>
      <c r="G402" s="46"/>
      <c r="H402" s="44"/>
      <c r="I402" s="44"/>
      <c r="J402" s="46"/>
      <c r="K402" s="44"/>
      <c r="L402" s="44"/>
      <c r="M402" s="44"/>
      <c r="N402" s="44"/>
      <c r="O402" s="45"/>
      <c r="P402" s="40"/>
    </row>
    <row r="403" spans="1:16" s="41" customFormat="1" ht="30" customHeight="1">
      <c r="A403" s="42">
        <v>306</v>
      </c>
      <c r="B403" s="43" t="s">
        <v>392</v>
      </c>
      <c r="C403" s="42"/>
      <c r="D403" s="43"/>
      <c r="E403" s="43" t="s">
        <v>435</v>
      </c>
      <c r="F403" s="43" t="s">
        <v>13</v>
      </c>
      <c r="G403" s="44"/>
      <c r="H403" s="44"/>
      <c r="I403" s="44"/>
      <c r="J403" s="44"/>
      <c r="K403" s="44"/>
      <c r="L403" s="44"/>
      <c r="M403" s="44"/>
      <c r="N403" s="44"/>
      <c r="O403" s="45"/>
      <c r="P403" s="40"/>
    </row>
    <row r="404" spans="1:16" s="41" customFormat="1" ht="30" customHeight="1">
      <c r="A404" s="34">
        <v>307</v>
      </c>
      <c r="B404" s="35" t="s">
        <v>393</v>
      </c>
      <c r="C404" s="34">
        <v>371</v>
      </c>
      <c r="D404" s="35"/>
      <c r="E404" s="35" t="s">
        <v>435</v>
      </c>
      <c r="F404" s="35" t="s">
        <v>13</v>
      </c>
      <c r="G404" s="46"/>
      <c r="H404" s="44"/>
      <c r="I404" s="44"/>
      <c r="J404" s="46"/>
      <c r="K404" s="44"/>
      <c r="L404" s="44"/>
      <c r="M404" s="44"/>
      <c r="N404" s="44"/>
      <c r="O404" s="45"/>
      <c r="P404" s="40"/>
    </row>
    <row r="405" spans="1:16" s="41" customFormat="1" ht="30" customHeight="1">
      <c r="A405" s="48">
        <v>308</v>
      </c>
      <c r="B405" s="49" t="s">
        <v>394</v>
      </c>
      <c r="C405" s="48" t="s">
        <v>427</v>
      </c>
      <c r="D405" s="49"/>
      <c r="E405" s="49" t="s">
        <v>435</v>
      </c>
      <c r="F405" s="49" t="s">
        <v>13</v>
      </c>
      <c r="G405" s="38"/>
      <c r="H405" s="44"/>
      <c r="I405" s="44"/>
      <c r="J405" s="38"/>
      <c r="K405" s="44"/>
      <c r="L405" s="44"/>
      <c r="M405" s="44"/>
      <c r="N405" s="44"/>
      <c r="O405" s="45"/>
      <c r="P405" s="40"/>
    </row>
    <row r="406" spans="1:16" s="41" customFormat="1" ht="30" customHeight="1">
      <c r="A406" s="34">
        <v>309</v>
      </c>
      <c r="B406" s="35" t="s">
        <v>395</v>
      </c>
      <c r="C406" s="34">
        <v>221</v>
      </c>
      <c r="D406" s="35"/>
      <c r="E406" s="35" t="s">
        <v>435</v>
      </c>
      <c r="F406" s="35" t="s">
        <v>13</v>
      </c>
      <c r="G406" s="46"/>
      <c r="H406" s="44"/>
      <c r="I406" s="44"/>
      <c r="J406" s="46"/>
      <c r="K406" s="44"/>
      <c r="L406" s="44"/>
      <c r="M406" s="44"/>
      <c r="N406" s="44"/>
      <c r="O406" s="45"/>
      <c r="P406" s="40"/>
    </row>
    <row r="407" spans="1:16" s="41" customFormat="1" ht="30" customHeight="1">
      <c r="A407" s="42">
        <v>310</v>
      </c>
      <c r="B407" s="43" t="s">
        <v>396</v>
      </c>
      <c r="C407" s="42"/>
      <c r="D407" s="43"/>
      <c r="E407" s="43" t="s">
        <v>435</v>
      </c>
      <c r="F407" s="43" t="s">
        <v>13</v>
      </c>
      <c r="G407" s="44"/>
      <c r="H407" s="44"/>
      <c r="I407" s="44"/>
      <c r="J407" s="44"/>
      <c r="K407" s="44"/>
      <c r="L407" s="44"/>
      <c r="M407" s="44"/>
      <c r="N407" s="44"/>
      <c r="O407" s="45"/>
      <c r="P407" s="40"/>
    </row>
    <row r="408" spans="1:16" s="41" customFormat="1" ht="30" customHeight="1">
      <c r="A408" s="34">
        <v>311</v>
      </c>
      <c r="B408" s="35" t="s">
        <v>397</v>
      </c>
      <c r="C408" s="34"/>
      <c r="D408" s="35"/>
      <c r="E408" s="35" t="s">
        <v>435</v>
      </c>
      <c r="F408" s="35" t="s">
        <v>13</v>
      </c>
      <c r="G408" s="46"/>
      <c r="H408" s="44"/>
      <c r="I408" s="44"/>
      <c r="J408" s="46"/>
      <c r="K408" s="44"/>
      <c r="L408" s="44"/>
      <c r="M408" s="44"/>
      <c r="N408" s="44"/>
      <c r="O408" s="45"/>
      <c r="P408" s="40"/>
    </row>
    <row r="409" spans="1:16" s="41" customFormat="1" ht="30" customHeight="1">
      <c r="A409" s="42">
        <v>312</v>
      </c>
      <c r="B409" s="43" t="s">
        <v>398</v>
      </c>
      <c r="C409" s="48"/>
      <c r="D409" s="49"/>
      <c r="E409" s="49" t="s">
        <v>435</v>
      </c>
      <c r="F409" s="49" t="s">
        <v>13</v>
      </c>
      <c r="G409" s="38"/>
      <c r="H409" s="44"/>
      <c r="I409" s="44"/>
      <c r="J409" s="38"/>
      <c r="K409" s="44"/>
      <c r="L409" s="44"/>
      <c r="M409" s="44"/>
      <c r="N409" s="44"/>
      <c r="O409" s="45"/>
      <c r="P409" s="40"/>
    </row>
    <row r="410" spans="1:16" s="41" customFormat="1" ht="30" customHeight="1">
      <c r="A410" s="71" t="s">
        <v>399</v>
      </c>
      <c r="B410" s="72"/>
      <c r="C410" s="73">
        <v>1</v>
      </c>
      <c r="D410" s="74"/>
      <c r="E410" s="74"/>
      <c r="F410" s="74"/>
      <c r="G410" s="75"/>
      <c r="H410" s="74"/>
      <c r="I410" s="74"/>
      <c r="J410" s="74"/>
      <c r="K410" s="74"/>
      <c r="L410" s="74"/>
      <c r="M410" s="74"/>
      <c r="N410" s="76"/>
      <c r="O410" s="45"/>
      <c r="P410" s="40"/>
    </row>
    <row r="411" spans="1:16" s="41" customFormat="1" ht="30" customHeight="1">
      <c r="A411" s="77"/>
      <c r="B411" s="72"/>
      <c r="C411" s="73">
        <v>35</v>
      </c>
      <c r="D411" s="74"/>
      <c r="E411" s="74"/>
      <c r="F411" s="74"/>
      <c r="G411" s="75"/>
      <c r="H411" s="74"/>
      <c r="I411" s="74"/>
      <c r="J411" s="74"/>
      <c r="K411" s="74"/>
      <c r="L411" s="74"/>
      <c r="M411" s="74"/>
      <c r="N411" s="76"/>
      <c r="O411" s="45"/>
      <c r="P411" s="40"/>
    </row>
    <row r="412" spans="1:16" s="41" customFormat="1" ht="30" customHeight="1">
      <c r="A412" s="77"/>
      <c r="B412" s="72"/>
      <c r="C412" s="73">
        <v>303</v>
      </c>
      <c r="D412" s="74"/>
      <c r="E412" s="74"/>
      <c r="F412" s="74"/>
      <c r="G412" s="75"/>
      <c r="H412" s="74"/>
      <c r="I412" s="74"/>
      <c r="J412" s="74"/>
      <c r="K412" s="74"/>
      <c r="L412" s="74"/>
      <c r="M412" s="74"/>
      <c r="N412" s="76"/>
      <c r="O412" s="45"/>
      <c r="P412" s="40"/>
    </row>
    <row r="413" spans="1:16" s="41" customFormat="1" ht="30" customHeight="1">
      <c r="A413" s="77"/>
      <c r="B413" s="72"/>
      <c r="C413" s="73">
        <v>314</v>
      </c>
      <c r="D413" s="74"/>
      <c r="E413" s="74"/>
      <c r="F413" s="74"/>
      <c r="G413" s="75"/>
      <c r="H413" s="74"/>
      <c r="I413" s="74"/>
      <c r="J413" s="74"/>
      <c r="K413" s="74"/>
      <c r="L413" s="74"/>
      <c r="M413" s="74"/>
      <c r="N413" s="76"/>
      <c r="O413" s="45"/>
      <c r="P413" s="40"/>
    </row>
    <row r="414" spans="1:16" s="41" customFormat="1" ht="30" customHeight="1">
      <c r="A414" s="77"/>
      <c r="B414" s="72"/>
      <c r="C414" s="73">
        <v>348</v>
      </c>
      <c r="D414" s="74"/>
      <c r="E414" s="74"/>
      <c r="F414" s="74"/>
      <c r="G414" s="75"/>
      <c r="H414" s="74"/>
      <c r="I414" s="74"/>
      <c r="J414" s="74"/>
      <c r="K414" s="74"/>
      <c r="L414" s="74"/>
      <c r="M414" s="74"/>
      <c r="N414" s="76"/>
      <c r="O414" s="45"/>
      <c r="P414" s="40"/>
    </row>
    <row r="415" spans="1:16" s="41" customFormat="1" ht="30" customHeight="1">
      <c r="A415" s="77"/>
      <c r="B415" s="72"/>
      <c r="C415" s="73">
        <v>349</v>
      </c>
      <c r="D415" s="74"/>
      <c r="E415" s="74"/>
      <c r="F415" s="74"/>
      <c r="G415" s="75"/>
      <c r="H415" s="74"/>
      <c r="I415" s="74"/>
      <c r="J415" s="74"/>
      <c r="K415" s="74"/>
      <c r="L415" s="74"/>
      <c r="M415" s="74"/>
      <c r="N415" s="76"/>
      <c r="O415" s="45"/>
      <c r="P415" s="40"/>
    </row>
    <row r="416" spans="1:16" s="41" customFormat="1" ht="30" customHeight="1">
      <c r="A416" s="77"/>
      <c r="B416" s="72"/>
      <c r="C416" s="73">
        <v>351</v>
      </c>
      <c r="D416" s="74"/>
      <c r="E416" s="74"/>
      <c r="F416" s="74"/>
      <c r="G416" s="75"/>
      <c r="H416" s="74"/>
      <c r="I416" s="74"/>
      <c r="J416" s="74"/>
      <c r="K416" s="74"/>
      <c r="L416" s="74"/>
      <c r="M416" s="74"/>
      <c r="N416" s="76"/>
      <c r="O416" s="45"/>
      <c r="P416" s="40"/>
    </row>
    <row r="417" spans="1:16" s="41" customFormat="1" ht="30" customHeight="1">
      <c r="A417" s="77"/>
      <c r="B417" s="72"/>
      <c r="C417" s="73">
        <v>352</v>
      </c>
      <c r="D417" s="74"/>
      <c r="E417" s="74"/>
      <c r="F417" s="74"/>
      <c r="G417" s="75"/>
      <c r="H417" s="74"/>
      <c r="I417" s="74"/>
      <c r="J417" s="74"/>
      <c r="K417" s="74"/>
      <c r="L417" s="74"/>
      <c r="M417" s="74"/>
      <c r="N417" s="76"/>
      <c r="O417" s="45"/>
      <c r="P417" s="40"/>
    </row>
    <row r="418" spans="1:16" ht="30" customHeight="1">
      <c r="A418" s="14"/>
      <c r="B418" s="17"/>
      <c r="C418" s="19">
        <v>353</v>
      </c>
      <c r="D418" s="20"/>
      <c r="E418" s="20"/>
      <c r="F418" s="20"/>
      <c r="G418" s="21"/>
      <c r="H418" s="20"/>
      <c r="I418" s="20"/>
      <c r="J418" s="20"/>
      <c r="K418" s="20"/>
      <c r="L418" s="20"/>
      <c r="M418" s="20"/>
      <c r="N418" s="22"/>
      <c r="O418" s="24"/>
      <c r="P418" s="8"/>
    </row>
    <row r="419" spans="1:16" ht="30" customHeight="1">
      <c r="A419" s="14"/>
      <c r="B419" s="17"/>
      <c r="C419" s="19">
        <v>354</v>
      </c>
      <c r="D419" s="20"/>
      <c r="E419" s="20"/>
      <c r="F419" s="20"/>
      <c r="G419" s="21"/>
      <c r="H419" s="20"/>
      <c r="I419" s="20"/>
      <c r="J419" s="20"/>
      <c r="K419" s="20"/>
      <c r="L419" s="20"/>
      <c r="M419" s="20"/>
      <c r="N419" s="22"/>
      <c r="O419" s="24"/>
      <c r="P419" s="8"/>
    </row>
    <row r="420" spans="1:16" ht="30" customHeight="1">
      <c r="A420" s="14"/>
      <c r="B420" s="17"/>
      <c r="C420" s="19">
        <v>355</v>
      </c>
      <c r="D420" s="20"/>
      <c r="E420" s="20"/>
      <c r="F420" s="20"/>
      <c r="G420" s="21"/>
      <c r="H420" s="20"/>
      <c r="I420" s="20"/>
      <c r="J420" s="20"/>
      <c r="K420" s="20"/>
      <c r="L420" s="20"/>
      <c r="M420" s="20"/>
      <c r="N420" s="22"/>
      <c r="O420" s="24"/>
      <c r="P420" s="8"/>
    </row>
    <row r="421" spans="1:16" ht="30" customHeight="1">
      <c r="A421" s="14"/>
      <c r="B421" s="17"/>
      <c r="C421" s="19">
        <v>356</v>
      </c>
      <c r="D421" s="20"/>
      <c r="E421" s="20"/>
      <c r="F421" s="20"/>
      <c r="G421" s="21"/>
      <c r="H421" s="20"/>
      <c r="I421" s="20"/>
      <c r="J421" s="20"/>
      <c r="K421" s="20"/>
      <c r="L421" s="20"/>
      <c r="M421" s="20"/>
      <c r="N421" s="22"/>
      <c r="O421" s="24"/>
      <c r="P421" s="8"/>
    </row>
    <row r="422" spans="1:16" ht="30" customHeight="1">
      <c r="A422" s="14"/>
      <c r="B422" s="17"/>
      <c r="C422" s="19">
        <v>357</v>
      </c>
      <c r="D422" s="20"/>
      <c r="E422" s="20"/>
      <c r="F422" s="20"/>
      <c r="G422" s="21"/>
      <c r="H422" s="20"/>
      <c r="I422" s="20"/>
      <c r="J422" s="20"/>
      <c r="K422" s="20"/>
      <c r="L422" s="20"/>
      <c r="M422" s="20"/>
      <c r="N422" s="22"/>
      <c r="O422" s="24"/>
      <c r="P422" s="8"/>
    </row>
    <row r="423" spans="1:16" ht="30" customHeight="1">
      <c r="A423" s="14"/>
      <c r="B423" s="17"/>
      <c r="C423" s="19">
        <v>358</v>
      </c>
      <c r="D423" s="20"/>
      <c r="E423" s="20"/>
      <c r="F423" s="20"/>
      <c r="G423" s="21"/>
      <c r="H423" s="20"/>
      <c r="I423" s="20"/>
      <c r="J423" s="20"/>
      <c r="K423" s="20"/>
      <c r="L423" s="20"/>
      <c r="M423" s="20"/>
      <c r="N423" s="22"/>
      <c r="O423" s="24"/>
      <c r="P423" s="8"/>
    </row>
    <row r="424" spans="1:16" ht="30" customHeight="1">
      <c r="A424" s="14"/>
      <c r="B424" s="17"/>
      <c r="C424" s="19">
        <v>364</v>
      </c>
      <c r="D424" s="20"/>
      <c r="E424" s="20"/>
      <c r="F424" s="20"/>
      <c r="G424" s="21"/>
      <c r="H424" s="20"/>
      <c r="I424" s="20"/>
      <c r="J424" s="20"/>
      <c r="K424" s="20"/>
      <c r="L424" s="20"/>
      <c r="M424" s="20"/>
      <c r="N424" s="22"/>
      <c r="O424" s="24"/>
      <c r="P424" s="8"/>
    </row>
    <row r="425" spans="1:16" ht="30" customHeight="1">
      <c r="A425" s="14"/>
      <c r="B425" s="17"/>
      <c r="C425" s="19">
        <v>375</v>
      </c>
      <c r="D425" s="20"/>
      <c r="E425" s="20"/>
      <c r="F425" s="20"/>
      <c r="G425" s="21"/>
      <c r="H425" s="20"/>
      <c r="I425" s="20"/>
      <c r="J425" s="20"/>
      <c r="K425" s="20"/>
      <c r="L425" s="20"/>
      <c r="M425" s="20"/>
      <c r="N425" s="22"/>
      <c r="O425" s="24"/>
      <c r="P425" s="8"/>
    </row>
    <row r="426" spans="1:16" ht="30" customHeight="1">
      <c r="A426" s="15"/>
      <c r="B426" s="18"/>
      <c r="C426" s="19">
        <v>381</v>
      </c>
      <c r="D426" s="20"/>
      <c r="E426" s="20"/>
      <c r="F426" s="20"/>
      <c r="G426" s="21"/>
      <c r="H426" s="20"/>
      <c r="I426" s="20"/>
      <c r="J426" s="20"/>
      <c r="K426" s="20"/>
      <c r="L426" s="20"/>
      <c r="M426" s="20"/>
      <c r="N426" s="22"/>
      <c r="O426" s="27"/>
      <c r="P426" s="8"/>
    </row>
    <row r="427" spans="1:16" ht="30" customHeight="1">
      <c r="A427" s="16"/>
      <c r="B427" s="16"/>
    </row>
  </sheetData>
  <mergeCells count="4">
    <mergeCell ref="G90:G91"/>
    <mergeCell ref="H90:H91"/>
    <mergeCell ref="J90:J91"/>
    <mergeCell ref="L90:L91"/>
  </mergeCells>
  <dataValidations count="2">
    <dataValidation type="list" allowBlank="1" showInputMessage="1" showErrorMessage="1" sqref="J45:J46 J92:J179 J84:J90 J181:J279 J48:J81 J3:J43 J282:J319 J325:J339 J341:J426">
      <formula1>"Ready, Improvements Needed, Significant Improvements Needed, Priority"</formula1>
    </dataValidation>
    <dataValidation type="list" allowBlank="1" showInputMessage="1" showErrorMessage="1" sqref="I3:I409">
      <formula1>"No Gap,Minor Gap,Significant Gap,Priority"</formula1>
    </dataValidation>
  </dataValidations>
  <pageMargins left="0.70866141732283472" right="0.70866141732283472" top="0.74803149606299213" bottom="0.74803149606299213" header="0.31496062992125984" footer="0.31496062992125984"/>
  <pageSetup paperSize="8" scale="46" fitToHeight="0" orientation="landscape" r:id="rId1"/>
</worksheet>
</file>

<file path=xl/worksheets/sheet2.xml><?xml version="1.0" encoding="utf-8"?>
<worksheet xmlns="http://schemas.openxmlformats.org/spreadsheetml/2006/main" xmlns:r="http://schemas.openxmlformats.org/officeDocument/2006/relationships">
  <sheetPr codeName="Sheet2">
    <pageSetUpPr fitToPage="1"/>
  </sheetPr>
  <dimension ref="A1:P427"/>
  <sheetViews>
    <sheetView zoomScale="80" zoomScaleNormal="80" workbookViewId="0">
      <pane xSplit="5" ySplit="2" topLeftCell="F3" activePane="bottomRight" state="frozen"/>
      <selection pane="topRight" activeCell="F1" sqref="F1"/>
      <selection pane="bottomLeft" activeCell="A3" sqref="A3"/>
      <selection pane="bottomRight" activeCell="G204" sqref="G204"/>
    </sheetView>
  </sheetViews>
  <sheetFormatPr defaultRowHeight="15"/>
  <cols>
    <col min="1" max="1" width="11.7109375" customWidth="1"/>
    <col min="2" max="2" width="31.85546875" customWidth="1"/>
    <col min="3" max="3" width="17.85546875" customWidth="1"/>
    <col min="4" max="4" width="25.5703125" customWidth="1"/>
    <col min="5" max="5" width="20.42578125" customWidth="1"/>
    <col min="6" max="6" width="27.7109375" customWidth="1"/>
    <col min="7" max="7" width="53.5703125" customWidth="1"/>
    <col min="8" max="8" width="37.7109375" customWidth="1"/>
    <col min="9" max="9" width="17.85546875" customWidth="1"/>
    <col min="10" max="10" width="21.28515625" customWidth="1"/>
    <col min="11" max="11" width="48.42578125" customWidth="1"/>
    <col min="12" max="12" width="37.7109375" customWidth="1"/>
    <col min="13" max="13" width="31.42578125" customWidth="1"/>
    <col min="14" max="14" width="30.42578125" customWidth="1"/>
    <col min="15" max="15" width="12.5703125" style="28" hidden="1" customWidth="1"/>
    <col min="20" max="20" width="8.7109375" customWidth="1"/>
  </cols>
  <sheetData>
    <row r="1" spans="1:16" ht="15.75" thickBot="1">
      <c r="A1" s="1" t="s">
        <v>0</v>
      </c>
      <c r="B1" s="2"/>
      <c r="C1" s="3"/>
      <c r="D1" s="4"/>
      <c r="E1" s="2"/>
      <c r="F1" s="5" t="s">
        <v>1</v>
      </c>
      <c r="G1" s="5"/>
      <c r="H1" s="6"/>
      <c r="I1" s="6"/>
      <c r="J1" s="6"/>
      <c r="K1" s="6"/>
      <c r="L1" s="7" t="s">
        <v>2</v>
      </c>
      <c r="M1" s="7"/>
      <c r="N1" s="7"/>
      <c r="O1" s="25"/>
      <c r="P1" s="8"/>
    </row>
    <row r="2" spans="1:16" ht="56.25" customHeight="1">
      <c r="A2" s="9" t="s">
        <v>3</v>
      </c>
      <c r="B2" s="9" t="s">
        <v>4</v>
      </c>
      <c r="C2" s="10" t="s">
        <v>5</v>
      </c>
      <c r="D2" s="11" t="s">
        <v>6</v>
      </c>
      <c r="E2" s="11" t="s">
        <v>434</v>
      </c>
      <c r="F2" s="12" t="s">
        <v>579</v>
      </c>
      <c r="G2" s="12" t="s">
        <v>7</v>
      </c>
      <c r="H2" s="12" t="s">
        <v>8</v>
      </c>
      <c r="I2" s="12" t="s">
        <v>451</v>
      </c>
      <c r="J2" s="12" t="s">
        <v>450</v>
      </c>
      <c r="K2" s="12" t="s">
        <v>510</v>
      </c>
      <c r="L2" s="13" t="s">
        <v>9</v>
      </c>
      <c r="M2" s="13" t="s">
        <v>10</v>
      </c>
      <c r="N2" s="23" t="s">
        <v>11</v>
      </c>
      <c r="O2" s="26" t="s">
        <v>433</v>
      </c>
      <c r="P2" s="8"/>
    </row>
    <row r="3" spans="1:16" s="41" customFormat="1" ht="30" customHeight="1">
      <c r="A3" s="37">
        <v>1</v>
      </c>
      <c r="B3" s="81" t="s">
        <v>12</v>
      </c>
      <c r="C3" s="37"/>
      <c r="D3" s="81"/>
      <c r="E3" s="81" t="s">
        <v>435</v>
      </c>
      <c r="F3" s="81" t="s">
        <v>13</v>
      </c>
      <c r="G3" s="38"/>
      <c r="H3" s="38"/>
      <c r="I3" s="38"/>
      <c r="J3" s="38"/>
      <c r="K3" s="38"/>
      <c r="L3" s="38"/>
      <c r="M3" s="38"/>
      <c r="N3" s="38"/>
      <c r="O3" s="39"/>
      <c r="P3" s="40"/>
    </row>
    <row r="4" spans="1:16" s="41" customFormat="1" ht="30" customHeight="1">
      <c r="A4" s="42">
        <v>2</v>
      </c>
      <c r="B4" s="43" t="s">
        <v>14</v>
      </c>
      <c r="C4" s="42"/>
      <c r="D4" s="43"/>
      <c r="E4" s="43" t="s">
        <v>435</v>
      </c>
      <c r="F4" s="43" t="s">
        <v>13</v>
      </c>
      <c r="G4" s="44"/>
      <c r="H4" s="44"/>
      <c r="I4" s="44"/>
      <c r="J4" s="44"/>
      <c r="K4" s="44"/>
      <c r="L4" s="44"/>
      <c r="M4" s="44"/>
      <c r="N4" s="44"/>
      <c r="O4" s="45"/>
      <c r="P4" s="40"/>
    </row>
    <row r="5" spans="1:16" s="41" customFormat="1" ht="30" customHeight="1">
      <c r="A5" s="34">
        <v>3</v>
      </c>
      <c r="B5" s="35" t="s">
        <v>15</v>
      </c>
      <c r="C5" s="34"/>
      <c r="D5" s="35"/>
      <c r="E5" s="35" t="s">
        <v>435</v>
      </c>
      <c r="F5" s="35" t="s">
        <v>13</v>
      </c>
      <c r="G5" s="46"/>
      <c r="H5" s="46"/>
      <c r="I5" s="46"/>
      <c r="J5" s="46"/>
      <c r="K5" s="46"/>
      <c r="L5" s="46"/>
      <c r="M5" s="46"/>
      <c r="N5" s="46"/>
      <c r="O5" s="45"/>
      <c r="P5" s="40"/>
    </row>
    <row r="6" spans="1:16" s="41" customFormat="1" ht="30" customHeight="1">
      <c r="A6" s="42">
        <v>4</v>
      </c>
      <c r="B6" s="43" t="s">
        <v>16</v>
      </c>
      <c r="C6" s="42"/>
      <c r="D6" s="43"/>
      <c r="E6" s="43" t="s">
        <v>435</v>
      </c>
      <c r="F6" s="43" t="s">
        <v>13</v>
      </c>
      <c r="G6" s="44"/>
      <c r="H6" s="44"/>
      <c r="I6" s="44"/>
      <c r="J6" s="44"/>
      <c r="K6" s="44"/>
      <c r="L6" s="44"/>
      <c r="M6" s="44"/>
      <c r="N6" s="44"/>
      <c r="O6" s="45"/>
      <c r="P6" s="40"/>
    </row>
    <row r="7" spans="1:16" s="41" customFormat="1" ht="30" customHeight="1">
      <c r="A7" s="34">
        <v>5</v>
      </c>
      <c r="B7" s="35" t="s">
        <v>17</v>
      </c>
      <c r="C7" s="34"/>
      <c r="D7" s="35"/>
      <c r="E7" s="35" t="s">
        <v>435</v>
      </c>
      <c r="F7" s="35" t="s">
        <v>13</v>
      </c>
      <c r="G7" s="46"/>
      <c r="H7" s="46"/>
      <c r="I7" s="46"/>
      <c r="J7" s="46"/>
      <c r="K7" s="46"/>
      <c r="L7" s="46"/>
      <c r="M7" s="46"/>
      <c r="N7" s="46"/>
      <c r="O7" s="45"/>
      <c r="P7" s="40"/>
    </row>
    <row r="8" spans="1:16" s="41" customFormat="1" ht="30" customHeight="1">
      <c r="A8" s="42">
        <v>6</v>
      </c>
      <c r="B8" s="43" t="s">
        <v>18</v>
      </c>
      <c r="C8" s="42"/>
      <c r="D8" s="43"/>
      <c r="E8" s="43" t="s">
        <v>435</v>
      </c>
      <c r="F8" s="43" t="s">
        <v>13</v>
      </c>
      <c r="G8" s="44"/>
      <c r="H8" s="44"/>
      <c r="I8" s="44"/>
      <c r="J8" s="44"/>
      <c r="K8" s="44"/>
      <c r="L8" s="44"/>
      <c r="M8" s="44"/>
      <c r="N8" s="44"/>
      <c r="O8" s="45"/>
      <c r="P8" s="40"/>
    </row>
    <row r="9" spans="1:16" s="41" customFormat="1" ht="30" customHeight="1">
      <c r="A9" s="34">
        <v>7</v>
      </c>
      <c r="B9" s="35" t="s">
        <v>19</v>
      </c>
      <c r="C9" s="34"/>
      <c r="D9" s="35"/>
      <c r="E9" s="35" t="s">
        <v>435</v>
      </c>
      <c r="F9" s="35" t="s">
        <v>13</v>
      </c>
      <c r="G9" s="46"/>
      <c r="H9" s="46"/>
      <c r="I9" s="46"/>
      <c r="J9" s="46"/>
      <c r="K9" s="46"/>
      <c r="L9" s="46"/>
      <c r="M9" s="46"/>
      <c r="N9" s="46"/>
      <c r="O9" s="45"/>
      <c r="P9" s="40"/>
    </row>
    <row r="10" spans="1:16" s="41" customFormat="1" ht="30" customHeight="1">
      <c r="A10" s="42">
        <v>8</v>
      </c>
      <c r="B10" s="43" t="s">
        <v>20</v>
      </c>
      <c r="C10" s="42"/>
      <c r="D10" s="43"/>
      <c r="E10" s="43" t="s">
        <v>435</v>
      </c>
      <c r="F10" s="43" t="s">
        <v>13</v>
      </c>
      <c r="G10" s="44"/>
      <c r="H10" s="44"/>
      <c r="I10" s="44"/>
      <c r="J10" s="44"/>
      <c r="K10" s="44"/>
      <c r="L10" s="44"/>
      <c r="M10" s="44"/>
      <c r="N10" s="44"/>
      <c r="O10" s="45"/>
      <c r="P10" s="40"/>
    </row>
    <row r="11" spans="1:16" s="41" customFormat="1" ht="30" customHeight="1">
      <c r="A11" s="34">
        <v>9</v>
      </c>
      <c r="B11" s="35" t="s">
        <v>21</v>
      </c>
      <c r="C11" s="34"/>
      <c r="D11" s="35"/>
      <c r="E11" s="35" t="s">
        <v>435</v>
      </c>
      <c r="F11" s="35" t="s">
        <v>13</v>
      </c>
      <c r="G11" s="46"/>
      <c r="H11" s="46"/>
      <c r="I11" s="46"/>
      <c r="J11" s="46"/>
      <c r="K11" s="46"/>
      <c r="L11" s="46"/>
      <c r="M11" s="46"/>
      <c r="N11" s="46"/>
      <c r="O11" s="45"/>
      <c r="P11" s="40"/>
    </row>
    <row r="12" spans="1:16" s="41" customFormat="1" ht="30" customHeight="1">
      <c r="A12" s="42">
        <v>10</v>
      </c>
      <c r="B12" s="43" t="s">
        <v>22</v>
      </c>
      <c r="C12" s="42"/>
      <c r="D12" s="43"/>
      <c r="E12" s="43" t="s">
        <v>435</v>
      </c>
      <c r="F12" s="43" t="s">
        <v>13</v>
      </c>
      <c r="G12" s="44"/>
      <c r="H12" s="44"/>
      <c r="I12" s="44"/>
      <c r="J12" s="44"/>
      <c r="K12" s="44"/>
      <c r="L12" s="44"/>
      <c r="M12" s="44"/>
      <c r="N12" s="44"/>
      <c r="O12" s="45"/>
      <c r="P12" s="40"/>
    </row>
    <row r="13" spans="1:16" s="41" customFormat="1" ht="30" customHeight="1">
      <c r="A13" s="34">
        <v>11</v>
      </c>
      <c r="B13" s="35" t="s">
        <v>23</v>
      </c>
      <c r="C13" s="34"/>
      <c r="D13" s="35"/>
      <c r="E13" s="35" t="s">
        <v>435</v>
      </c>
      <c r="F13" s="35" t="s">
        <v>13</v>
      </c>
      <c r="G13" s="46"/>
      <c r="H13" s="46"/>
      <c r="I13" s="46"/>
      <c r="J13" s="46"/>
      <c r="K13" s="46"/>
      <c r="L13" s="46"/>
      <c r="M13" s="46"/>
      <c r="N13" s="46"/>
      <c r="O13" s="45"/>
      <c r="P13" s="40"/>
    </row>
    <row r="14" spans="1:16" s="41" customFormat="1" ht="30" customHeight="1">
      <c r="A14" s="42">
        <v>12</v>
      </c>
      <c r="B14" s="43" t="s">
        <v>24</v>
      </c>
      <c r="C14" s="42"/>
      <c r="D14" s="43"/>
      <c r="E14" s="43" t="s">
        <v>435</v>
      </c>
      <c r="F14" s="43" t="s">
        <v>13</v>
      </c>
      <c r="G14" s="44"/>
      <c r="H14" s="44"/>
      <c r="I14" s="44"/>
      <c r="J14" s="44"/>
      <c r="K14" s="44"/>
      <c r="L14" s="44"/>
      <c r="M14" s="44"/>
      <c r="N14" s="44"/>
      <c r="O14" s="45"/>
      <c r="P14" s="40"/>
    </row>
    <row r="15" spans="1:16" s="41" customFormat="1" ht="30" customHeight="1">
      <c r="A15" s="34">
        <v>13</v>
      </c>
      <c r="B15" s="35" t="s">
        <v>25</v>
      </c>
      <c r="C15" s="34"/>
      <c r="D15" s="35"/>
      <c r="E15" s="35" t="s">
        <v>435</v>
      </c>
      <c r="F15" s="35" t="s">
        <v>13</v>
      </c>
      <c r="G15" s="46"/>
      <c r="H15" s="46"/>
      <c r="I15" s="46"/>
      <c r="J15" s="46"/>
      <c r="K15" s="46"/>
      <c r="L15" s="46"/>
      <c r="M15" s="46"/>
      <c r="N15" s="46"/>
      <c r="O15" s="45"/>
      <c r="P15" s="40"/>
    </row>
    <row r="16" spans="1:16" s="41" customFormat="1" ht="30" customHeight="1">
      <c r="A16" s="42">
        <v>14</v>
      </c>
      <c r="B16" s="43" t="s">
        <v>26</v>
      </c>
      <c r="C16" s="42"/>
      <c r="D16" s="43"/>
      <c r="E16" s="43" t="s">
        <v>435</v>
      </c>
      <c r="F16" s="43" t="s">
        <v>27</v>
      </c>
      <c r="G16" s="44"/>
      <c r="H16" s="44"/>
      <c r="I16" s="44"/>
      <c r="J16" s="44"/>
      <c r="K16" s="44"/>
      <c r="L16" s="44"/>
      <c r="M16" s="44"/>
      <c r="N16" s="44"/>
      <c r="O16" s="45"/>
      <c r="P16" s="40"/>
    </row>
    <row r="17" spans="1:16" s="41" customFormat="1" ht="30" customHeight="1">
      <c r="A17" s="34">
        <v>15</v>
      </c>
      <c r="B17" s="35" t="s">
        <v>28</v>
      </c>
      <c r="C17" s="34"/>
      <c r="D17" s="35"/>
      <c r="E17" s="35" t="s">
        <v>435</v>
      </c>
      <c r="F17" s="35" t="s">
        <v>27</v>
      </c>
      <c r="G17" s="46"/>
      <c r="H17" s="46"/>
      <c r="I17" s="46"/>
      <c r="J17" s="46"/>
      <c r="K17" s="46"/>
      <c r="L17" s="46"/>
      <c r="M17" s="46"/>
      <c r="N17" s="46"/>
      <c r="O17" s="45"/>
      <c r="P17" s="40"/>
    </row>
    <row r="18" spans="1:16" s="41" customFormat="1" ht="30" customHeight="1">
      <c r="A18" s="42">
        <v>16</v>
      </c>
      <c r="B18" s="43" t="s">
        <v>29</v>
      </c>
      <c r="C18" s="42"/>
      <c r="D18" s="43"/>
      <c r="E18" s="43" t="s">
        <v>435</v>
      </c>
      <c r="F18" s="43" t="s">
        <v>27</v>
      </c>
      <c r="G18" s="44"/>
      <c r="H18" s="44"/>
      <c r="I18" s="44"/>
      <c r="J18" s="44"/>
      <c r="K18" s="44"/>
      <c r="L18" s="44"/>
      <c r="M18" s="44"/>
      <c r="N18" s="44"/>
      <c r="O18" s="45"/>
      <c r="P18" s="40"/>
    </row>
    <row r="19" spans="1:16" s="41" customFormat="1" ht="30" customHeight="1">
      <c r="A19" s="34">
        <v>17</v>
      </c>
      <c r="B19" s="35" t="s">
        <v>30</v>
      </c>
      <c r="C19" s="34"/>
      <c r="D19" s="35"/>
      <c r="E19" s="35" t="s">
        <v>435</v>
      </c>
      <c r="F19" s="35" t="s">
        <v>27</v>
      </c>
      <c r="G19" s="46"/>
      <c r="H19" s="46"/>
      <c r="I19" s="46"/>
      <c r="J19" s="46"/>
      <c r="K19" s="46"/>
      <c r="L19" s="46"/>
      <c r="M19" s="46"/>
      <c r="N19" s="46"/>
      <c r="O19" s="45"/>
      <c r="P19" s="40"/>
    </row>
    <row r="20" spans="1:16" s="41" customFormat="1" ht="30" customHeight="1">
      <c r="A20" s="42">
        <v>18</v>
      </c>
      <c r="B20" s="43" t="s">
        <v>31</v>
      </c>
      <c r="C20" s="42"/>
      <c r="D20" s="43"/>
      <c r="E20" s="43" t="s">
        <v>435</v>
      </c>
      <c r="F20" s="43" t="s">
        <v>27</v>
      </c>
      <c r="G20" s="44"/>
      <c r="H20" s="44"/>
      <c r="I20" s="44"/>
      <c r="J20" s="44"/>
      <c r="K20" s="44"/>
      <c r="L20" s="44"/>
      <c r="M20" s="44"/>
      <c r="N20" s="44"/>
      <c r="O20" s="45"/>
      <c r="P20" s="40"/>
    </row>
    <row r="21" spans="1:16" s="41" customFormat="1" ht="30" customHeight="1">
      <c r="A21" s="34">
        <v>19</v>
      </c>
      <c r="B21" s="35" t="s">
        <v>32</v>
      </c>
      <c r="C21" s="34"/>
      <c r="D21" s="35"/>
      <c r="E21" s="35" t="s">
        <v>435</v>
      </c>
      <c r="F21" s="35" t="s">
        <v>27</v>
      </c>
      <c r="G21" s="46"/>
      <c r="H21" s="46"/>
      <c r="I21" s="46"/>
      <c r="J21" s="46"/>
      <c r="K21" s="46"/>
      <c r="L21" s="46"/>
      <c r="M21" s="46"/>
      <c r="N21" s="46"/>
      <c r="O21" s="45"/>
      <c r="P21" s="40"/>
    </row>
    <row r="22" spans="1:16" s="41" customFormat="1" ht="30" customHeight="1">
      <c r="A22" s="42">
        <v>20</v>
      </c>
      <c r="B22" s="43" t="s">
        <v>33</v>
      </c>
      <c r="C22" s="42"/>
      <c r="D22" s="43"/>
      <c r="E22" s="43" t="s">
        <v>435</v>
      </c>
      <c r="F22" s="43" t="s">
        <v>13</v>
      </c>
      <c r="G22" s="44"/>
      <c r="H22" s="44"/>
      <c r="I22" s="44"/>
      <c r="J22" s="44"/>
      <c r="K22" s="44"/>
      <c r="L22" s="44"/>
      <c r="M22" s="44"/>
      <c r="N22" s="44"/>
      <c r="O22" s="45"/>
      <c r="P22" s="40"/>
    </row>
    <row r="23" spans="1:16" s="41" customFormat="1" ht="30" customHeight="1">
      <c r="A23" s="34">
        <v>21</v>
      </c>
      <c r="B23" s="35" t="s">
        <v>34</v>
      </c>
      <c r="C23" s="34"/>
      <c r="D23" s="35"/>
      <c r="E23" s="35" t="s">
        <v>435</v>
      </c>
      <c r="F23" s="35" t="s">
        <v>35</v>
      </c>
      <c r="G23" s="46"/>
      <c r="H23" s="46"/>
      <c r="I23" s="46"/>
      <c r="J23" s="46"/>
      <c r="K23" s="46"/>
      <c r="L23" s="46"/>
      <c r="M23" s="46"/>
      <c r="N23" s="46"/>
      <c r="O23" s="45"/>
      <c r="P23" s="40"/>
    </row>
    <row r="24" spans="1:16" s="41" customFormat="1" ht="30" customHeight="1">
      <c r="A24" s="42">
        <v>22</v>
      </c>
      <c r="B24" s="43" t="s">
        <v>36</v>
      </c>
      <c r="C24" s="42"/>
      <c r="D24" s="43"/>
      <c r="E24" s="43" t="s">
        <v>435</v>
      </c>
      <c r="F24" s="43" t="s">
        <v>35</v>
      </c>
      <c r="G24" s="44"/>
      <c r="H24" s="44"/>
      <c r="I24" s="44"/>
      <c r="J24" s="44"/>
      <c r="K24" s="44"/>
      <c r="L24" s="44"/>
      <c r="M24" s="44"/>
      <c r="N24" s="44"/>
      <c r="O24" s="45"/>
      <c r="P24" s="40"/>
    </row>
    <row r="25" spans="1:16" s="41" customFormat="1" ht="30" customHeight="1">
      <c r="A25" s="34">
        <v>23</v>
      </c>
      <c r="B25" s="35" t="s">
        <v>37</v>
      </c>
      <c r="C25" s="34"/>
      <c r="D25" s="35"/>
      <c r="E25" s="35" t="s">
        <v>435</v>
      </c>
      <c r="F25" s="35" t="s">
        <v>27</v>
      </c>
      <c r="G25" s="46"/>
      <c r="H25" s="46"/>
      <c r="I25" s="46"/>
      <c r="J25" s="46"/>
      <c r="K25" s="46"/>
      <c r="L25" s="46"/>
      <c r="M25" s="46"/>
      <c r="N25" s="46"/>
      <c r="O25" s="45"/>
      <c r="P25" s="40"/>
    </row>
    <row r="26" spans="1:16" s="41" customFormat="1" ht="30" customHeight="1">
      <c r="A26" s="42">
        <v>24</v>
      </c>
      <c r="B26" s="43" t="s">
        <v>38</v>
      </c>
      <c r="C26" s="42"/>
      <c r="D26" s="43"/>
      <c r="E26" s="43" t="s">
        <v>435</v>
      </c>
      <c r="F26" s="43" t="s">
        <v>27</v>
      </c>
      <c r="G26" s="44"/>
      <c r="H26" s="44"/>
      <c r="I26" s="44"/>
      <c r="J26" s="44"/>
      <c r="K26" s="44"/>
      <c r="L26" s="44"/>
      <c r="M26" s="44"/>
      <c r="N26" s="44"/>
      <c r="O26" s="45"/>
      <c r="P26" s="40"/>
    </row>
    <row r="27" spans="1:16" s="41" customFormat="1" ht="30" customHeight="1">
      <c r="A27" s="34">
        <v>25</v>
      </c>
      <c r="B27" s="35" t="s">
        <v>39</v>
      </c>
      <c r="C27" s="34"/>
      <c r="D27" s="35"/>
      <c r="E27" s="35" t="s">
        <v>435</v>
      </c>
      <c r="F27" s="35" t="s">
        <v>27</v>
      </c>
      <c r="G27" s="46"/>
      <c r="H27" s="46"/>
      <c r="I27" s="46"/>
      <c r="J27" s="46"/>
      <c r="K27" s="46"/>
      <c r="L27" s="46"/>
      <c r="M27" s="46"/>
      <c r="N27" s="46"/>
      <c r="O27" s="45"/>
      <c r="P27" s="40"/>
    </row>
    <row r="28" spans="1:16" s="41" customFormat="1" ht="30" customHeight="1">
      <c r="A28" s="42">
        <v>26</v>
      </c>
      <c r="B28" s="43" t="s">
        <v>40</v>
      </c>
      <c r="C28" s="42"/>
      <c r="D28" s="43"/>
      <c r="E28" s="43" t="s">
        <v>435</v>
      </c>
      <c r="F28" s="43" t="s">
        <v>27</v>
      </c>
      <c r="G28" s="44"/>
      <c r="H28" s="44"/>
      <c r="I28" s="44"/>
      <c r="J28" s="44"/>
      <c r="K28" s="44"/>
      <c r="L28" s="44"/>
      <c r="M28" s="44"/>
      <c r="N28" s="44"/>
      <c r="O28" s="45"/>
      <c r="P28" s="40"/>
    </row>
    <row r="29" spans="1:16" s="41" customFormat="1" ht="30" customHeight="1">
      <c r="A29" s="34">
        <v>27</v>
      </c>
      <c r="B29" s="35" t="s">
        <v>41</v>
      </c>
      <c r="C29" s="34"/>
      <c r="D29" s="35" t="s">
        <v>42</v>
      </c>
      <c r="E29" s="35" t="s">
        <v>435</v>
      </c>
      <c r="F29" s="35" t="s">
        <v>35</v>
      </c>
      <c r="G29" s="46"/>
      <c r="H29" s="46"/>
      <c r="I29" s="46"/>
      <c r="J29" s="46"/>
      <c r="K29" s="46"/>
      <c r="L29" s="46"/>
      <c r="M29" s="46"/>
      <c r="N29" s="46"/>
      <c r="O29" s="45"/>
      <c r="P29" s="40"/>
    </row>
    <row r="30" spans="1:16" s="41" customFormat="1" ht="30" customHeight="1">
      <c r="A30" s="42">
        <v>28</v>
      </c>
      <c r="B30" s="43" t="s">
        <v>43</v>
      </c>
      <c r="C30" s="42"/>
      <c r="D30" s="43"/>
      <c r="E30" s="43" t="s">
        <v>435</v>
      </c>
      <c r="F30" s="43" t="s">
        <v>35</v>
      </c>
      <c r="G30" s="44"/>
      <c r="H30" s="44"/>
      <c r="I30" s="44"/>
      <c r="J30" s="44"/>
      <c r="K30" s="44"/>
      <c r="L30" s="44"/>
      <c r="M30" s="44"/>
      <c r="N30" s="44"/>
      <c r="O30" s="45"/>
      <c r="P30" s="40"/>
    </row>
    <row r="31" spans="1:16" s="41" customFormat="1" ht="30" customHeight="1">
      <c r="A31" s="34">
        <v>29</v>
      </c>
      <c r="B31" s="35" t="s">
        <v>44</v>
      </c>
      <c r="C31" s="34"/>
      <c r="D31" s="35" t="s">
        <v>42</v>
      </c>
      <c r="E31" s="35" t="s">
        <v>435</v>
      </c>
      <c r="F31" s="35" t="s">
        <v>35</v>
      </c>
      <c r="G31" s="46"/>
      <c r="H31" s="46"/>
      <c r="I31" s="46"/>
      <c r="J31" s="46"/>
      <c r="K31" s="46"/>
      <c r="L31" s="46"/>
      <c r="M31" s="46"/>
      <c r="N31" s="46"/>
      <c r="O31" s="45"/>
      <c r="P31" s="40"/>
    </row>
    <row r="32" spans="1:16" s="41" customFormat="1" ht="30" customHeight="1">
      <c r="A32" s="42">
        <v>30</v>
      </c>
      <c r="B32" s="43" t="s">
        <v>45</v>
      </c>
      <c r="C32" s="42"/>
      <c r="D32" s="43"/>
      <c r="E32" s="43" t="s">
        <v>435</v>
      </c>
      <c r="F32" s="43" t="s">
        <v>35</v>
      </c>
      <c r="G32" s="44"/>
      <c r="H32" s="44"/>
      <c r="I32" s="44"/>
      <c r="J32" s="44"/>
      <c r="K32" s="44"/>
      <c r="L32" s="44"/>
      <c r="M32" s="44"/>
      <c r="N32" s="44"/>
      <c r="O32" s="45"/>
      <c r="P32" s="40"/>
    </row>
    <row r="33" spans="1:16" s="41" customFormat="1" ht="30" customHeight="1">
      <c r="A33" s="34">
        <v>31</v>
      </c>
      <c r="B33" s="35" t="s">
        <v>46</v>
      </c>
      <c r="C33" s="34" t="s">
        <v>400</v>
      </c>
      <c r="D33" s="35"/>
      <c r="E33" s="35" t="s">
        <v>435</v>
      </c>
      <c r="F33" s="35" t="s">
        <v>35</v>
      </c>
      <c r="G33" s="46"/>
      <c r="H33" s="46"/>
      <c r="I33" s="46"/>
      <c r="J33" s="46"/>
      <c r="K33" s="46"/>
      <c r="L33" s="46"/>
      <c r="M33" s="46"/>
      <c r="N33" s="46"/>
      <c r="O33" s="45"/>
      <c r="P33" s="40"/>
    </row>
    <row r="34" spans="1:16" s="41" customFormat="1" ht="30" customHeight="1">
      <c r="A34" s="42">
        <v>32</v>
      </c>
      <c r="B34" s="43" t="s">
        <v>47</v>
      </c>
      <c r="C34" s="42"/>
      <c r="D34" s="43"/>
      <c r="E34" s="43" t="s">
        <v>435</v>
      </c>
      <c r="F34" s="43" t="s">
        <v>35</v>
      </c>
      <c r="G34" s="44"/>
      <c r="H34" s="44"/>
      <c r="I34" s="44"/>
      <c r="J34" s="44"/>
      <c r="K34" s="44"/>
      <c r="L34" s="44"/>
      <c r="M34" s="44"/>
      <c r="N34" s="44"/>
      <c r="O34" s="45"/>
      <c r="P34" s="40"/>
    </row>
    <row r="35" spans="1:16" s="41" customFormat="1" ht="30" customHeight="1">
      <c r="A35" s="34">
        <v>33</v>
      </c>
      <c r="B35" s="35" t="s">
        <v>48</v>
      </c>
      <c r="C35" s="34"/>
      <c r="D35" s="35"/>
      <c r="E35" s="35" t="s">
        <v>435</v>
      </c>
      <c r="F35" s="35" t="s">
        <v>35</v>
      </c>
      <c r="G35" s="46"/>
      <c r="H35" s="46"/>
      <c r="I35" s="46"/>
      <c r="J35" s="46"/>
      <c r="K35" s="46"/>
      <c r="L35" s="46"/>
      <c r="M35" s="46"/>
      <c r="N35" s="46"/>
      <c r="O35" s="45"/>
      <c r="P35" s="40"/>
    </row>
    <row r="36" spans="1:16" s="41" customFormat="1" ht="30" customHeight="1">
      <c r="A36" s="42">
        <v>34</v>
      </c>
      <c r="B36" s="43" t="s">
        <v>49</v>
      </c>
      <c r="C36" s="42"/>
      <c r="D36" s="43" t="s">
        <v>42</v>
      </c>
      <c r="E36" s="43" t="s">
        <v>435</v>
      </c>
      <c r="F36" s="43" t="s">
        <v>35</v>
      </c>
      <c r="G36" s="44"/>
      <c r="H36" s="44"/>
      <c r="I36" s="44"/>
      <c r="J36" s="44"/>
      <c r="K36" s="44"/>
      <c r="L36" s="44"/>
      <c r="M36" s="44"/>
      <c r="N36" s="44"/>
      <c r="O36" s="45"/>
      <c r="P36" s="40"/>
    </row>
    <row r="37" spans="1:16" s="41" customFormat="1" ht="30" customHeight="1">
      <c r="A37" s="34">
        <v>35</v>
      </c>
      <c r="B37" s="35" t="s">
        <v>50</v>
      </c>
      <c r="C37" s="34" t="s">
        <v>401</v>
      </c>
      <c r="D37" s="35"/>
      <c r="E37" s="35" t="s">
        <v>432</v>
      </c>
      <c r="F37" s="35"/>
      <c r="G37" s="80" t="s">
        <v>447</v>
      </c>
      <c r="H37" s="35" t="s">
        <v>540</v>
      </c>
      <c r="I37" s="35" t="s">
        <v>593</v>
      </c>
      <c r="J37" s="80" t="s">
        <v>462</v>
      </c>
      <c r="K37" s="35" t="s">
        <v>549</v>
      </c>
      <c r="L37" s="35" t="s">
        <v>51</v>
      </c>
      <c r="M37" s="35" t="s">
        <v>496</v>
      </c>
      <c r="N37" s="47"/>
      <c r="O37" s="45"/>
      <c r="P37" s="40"/>
    </row>
    <row r="38" spans="1:16" s="41" customFormat="1" ht="30" customHeight="1">
      <c r="A38" s="34"/>
      <c r="B38" s="35"/>
      <c r="C38" s="34"/>
      <c r="D38" s="35"/>
      <c r="E38" s="35"/>
      <c r="F38" s="35"/>
      <c r="G38" s="80" t="s">
        <v>543</v>
      </c>
      <c r="H38" s="35" t="s">
        <v>541</v>
      </c>
      <c r="I38" s="35"/>
      <c r="J38" s="80"/>
      <c r="K38" s="35" t="s">
        <v>544</v>
      </c>
      <c r="L38" s="35" t="s">
        <v>548</v>
      </c>
      <c r="M38" s="35"/>
      <c r="N38" s="47"/>
      <c r="O38" s="45"/>
      <c r="P38" s="40"/>
    </row>
    <row r="39" spans="1:16" s="41" customFormat="1" ht="30" customHeight="1">
      <c r="A39" s="34"/>
      <c r="B39" s="35"/>
      <c r="C39" s="34"/>
      <c r="D39" s="35"/>
      <c r="E39" s="35"/>
      <c r="F39" s="35"/>
      <c r="G39" s="80" t="s">
        <v>449</v>
      </c>
      <c r="H39" s="35"/>
      <c r="I39" s="35"/>
      <c r="J39" s="80"/>
      <c r="K39" s="35" t="s">
        <v>545</v>
      </c>
      <c r="L39" s="35"/>
      <c r="M39" s="35"/>
      <c r="N39" s="47"/>
      <c r="O39" s="45"/>
      <c r="P39" s="40"/>
    </row>
    <row r="40" spans="1:16" s="41" customFormat="1" ht="30" customHeight="1">
      <c r="A40" s="42">
        <v>36</v>
      </c>
      <c r="B40" s="43" t="s">
        <v>53</v>
      </c>
      <c r="C40" s="42"/>
      <c r="D40" s="43" t="s">
        <v>42</v>
      </c>
      <c r="E40" s="43" t="s">
        <v>435</v>
      </c>
      <c r="F40" s="43" t="s">
        <v>35</v>
      </c>
      <c r="G40" s="44"/>
      <c r="H40" s="44"/>
      <c r="I40" s="44"/>
      <c r="J40" s="44"/>
      <c r="K40" s="44"/>
      <c r="L40" s="44"/>
      <c r="M40" s="44"/>
      <c r="N40" s="44"/>
      <c r="O40" s="45"/>
      <c r="P40" s="40"/>
    </row>
    <row r="41" spans="1:16" s="41" customFormat="1" ht="30" customHeight="1">
      <c r="A41" s="34">
        <v>37</v>
      </c>
      <c r="B41" s="35" t="s">
        <v>54</v>
      </c>
      <c r="C41" s="34" t="s">
        <v>402</v>
      </c>
      <c r="D41" s="35"/>
      <c r="E41" s="35" t="s">
        <v>435</v>
      </c>
      <c r="F41" s="35" t="s">
        <v>35</v>
      </c>
      <c r="G41" s="46"/>
      <c r="H41" s="46"/>
      <c r="I41" s="46"/>
      <c r="J41" s="46"/>
      <c r="K41" s="46"/>
      <c r="L41" s="46"/>
      <c r="M41" s="46"/>
      <c r="N41" s="46"/>
      <c r="O41" s="45"/>
      <c r="P41" s="40"/>
    </row>
    <row r="42" spans="1:16" s="41" customFormat="1" ht="30" customHeight="1">
      <c r="A42" s="48">
        <v>38</v>
      </c>
      <c r="B42" s="49" t="s">
        <v>55</v>
      </c>
      <c r="C42" s="48" t="s">
        <v>519</v>
      </c>
      <c r="D42" s="49"/>
      <c r="E42" s="49" t="s">
        <v>428</v>
      </c>
      <c r="F42" s="49"/>
      <c r="G42" s="49" t="s">
        <v>527</v>
      </c>
      <c r="H42" s="49" t="s">
        <v>441</v>
      </c>
      <c r="I42" s="49" t="s">
        <v>594</v>
      </c>
      <c r="J42" s="29" t="s">
        <v>459</v>
      </c>
      <c r="K42" s="49" t="s">
        <v>604</v>
      </c>
      <c r="L42" s="49" t="s">
        <v>520</v>
      </c>
      <c r="M42" s="49" t="s">
        <v>448</v>
      </c>
      <c r="N42" s="50"/>
      <c r="O42" s="45"/>
      <c r="P42" s="40"/>
    </row>
    <row r="43" spans="1:16" s="41" customFormat="1" ht="30" customHeight="1">
      <c r="A43" s="34">
        <v>39</v>
      </c>
      <c r="B43" s="35" t="s">
        <v>56</v>
      </c>
      <c r="C43" s="34"/>
      <c r="D43" s="35"/>
      <c r="E43" s="35" t="s">
        <v>428</v>
      </c>
      <c r="F43" s="35" t="s">
        <v>86</v>
      </c>
      <c r="G43" s="46"/>
      <c r="H43" s="46"/>
      <c r="I43" s="46"/>
      <c r="J43" s="46"/>
      <c r="K43" s="46"/>
      <c r="L43" s="46"/>
      <c r="M43" s="46"/>
      <c r="N43" s="46"/>
      <c r="O43" s="45"/>
      <c r="P43" s="40"/>
    </row>
    <row r="44" spans="1:16" s="41" customFormat="1" ht="57" customHeight="1">
      <c r="A44" s="42">
        <v>40</v>
      </c>
      <c r="B44" s="43" t="s">
        <v>57</v>
      </c>
      <c r="C44" s="42"/>
      <c r="D44" s="43"/>
      <c r="E44" s="43" t="s">
        <v>428</v>
      </c>
      <c r="F44" s="43" t="s">
        <v>521</v>
      </c>
      <c r="G44" s="46"/>
      <c r="H44" s="46"/>
      <c r="I44" s="46"/>
      <c r="J44" s="46"/>
      <c r="K44" s="46"/>
      <c r="L44" s="46"/>
      <c r="M44" s="46"/>
      <c r="N44" s="46"/>
      <c r="O44" s="45"/>
      <c r="P44" s="40"/>
    </row>
    <row r="45" spans="1:16" s="41" customFormat="1" ht="186.75" customHeight="1">
      <c r="A45" s="34">
        <v>41</v>
      </c>
      <c r="B45" s="35" t="s">
        <v>58</v>
      </c>
      <c r="C45" s="34" t="s">
        <v>522</v>
      </c>
      <c r="D45" s="35" t="s">
        <v>523</v>
      </c>
      <c r="E45" s="35" t="s">
        <v>428</v>
      </c>
      <c r="F45" s="35"/>
      <c r="G45" s="80" t="s">
        <v>564</v>
      </c>
      <c r="H45" s="35" t="s">
        <v>452</v>
      </c>
      <c r="I45" s="35" t="s">
        <v>595</v>
      </c>
      <c r="J45" s="80" t="s">
        <v>459</v>
      </c>
      <c r="K45" s="35" t="s">
        <v>580</v>
      </c>
      <c r="L45" s="35" t="s">
        <v>455</v>
      </c>
      <c r="M45" s="35" t="s">
        <v>456</v>
      </c>
      <c r="N45" s="47"/>
      <c r="O45" s="45"/>
      <c r="P45" s="40"/>
    </row>
    <row r="46" spans="1:16" s="41" customFormat="1" ht="69.75" customHeight="1">
      <c r="A46" s="48">
        <v>42</v>
      </c>
      <c r="B46" s="49" t="s">
        <v>59</v>
      </c>
      <c r="C46" s="48">
        <v>273</v>
      </c>
      <c r="D46" s="49" t="s">
        <v>524</v>
      </c>
      <c r="E46" s="49" t="s">
        <v>428</v>
      </c>
      <c r="F46" s="49"/>
      <c r="G46" s="29" t="s">
        <v>453</v>
      </c>
      <c r="H46" s="49" t="s">
        <v>441</v>
      </c>
      <c r="I46" s="49" t="s">
        <v>595</v>
      </c>
      <c r="J46" s="29" t="s">
        <v>459</v>
      </c>
      <c r="K46" s="49" t="s">
        <v>460</v>
      </c>
      <c r="L46" s="49" t="s">
        <v>454</v>
      </c>
      <c r="M46" s="49" t="s">
        <v>443</v>
      </c>
      <c r="N46" s="50" t="s">
        <v>68</v>
      </c>
      <c r="O46" s="45"/>
      <c r="P46" s="40"/>
    </row>
    <row r="47" spans="1:16" s="41" customFormat="1" ht="30" customHeight="1">
      <c r="A47" s="34">
        <v>43</v>
      </c>
      <c r="B47" s="35" t="s">
        <v>60</v>
      </c>
      <c r="C47" s="34"/>
      <c r="D47" s="35"/>
      <c r="E47" s="35" t="s">
        <v>428</v>
      </c>
      <c r="F47" s="35" t="s">
        <v>525</v>
      </c>
      <c r="G47" s="46"/>
      <c r="H47" s="46"/>
      <c r="I47" s="46"/>
      <c r="J47" s="46"/>
      <c r="K47" s="46"/>
      <c r="L47" s="46"/>
      <c r="M47" s="46"/>
      <c r="N47" s="46"/>
      <c r="O47" s="45">
        <v>1</v>
      </c>
      <c r="P47" s="40"/>
    </row>
    <row r="48" spans="1:16" s="41" customFormat="1" ht="405" customHeight="1">
      <c r="A48" s="48">
        <v>44</v>
      </c>
      <c r="B48" s="49" t="s">
        <v>61</v>
      </c>
      <c r="C48" s="48" t="s">
        <v>403</v>
      </c>
      <c r="D48" s="49" t="s">
        <v>489</v>
      </c>
      <c r="E48" s="49" t="s">
        <v>429</v>
      </c>
      <c r="F48" s="49"/>
      <c r="G48" s="29" t="s">
        <v>608</v>
      </c>
      <c r="H48" s="49" t="s">
        <v>609</v>
      </c>
      <c r="I48" s="49" t="s">
        <v>595</v>
      </c>
      <c r="J48" s="29" t="s">
        <v>468</v>
      </c>
      <c r="K48" s="49" t="s">
        <v>488</v>
      </c>
      <c r="L48" s="49" t="s">
        <v>490</v>
      </c>
      <c r="M48" s="49" t="s">
        <v>491</v>
      </c>
      <c r="N48" s="50" t="s">
        <v>492</v>
      </c>
      <c r="O48" s="45"/>
      <c r="P48" s="40"/>
    </row>
    <row r="49" spans="1:16" s="41" customFormat="1" ht="104.25" customHeight="1">
      <c r="A49" s="55"/>
      <c r="B49" s="56"/>
      <c r="C49" s="55"/>
      <c r="D49" s="56"/>
      <c r="E49" s="56"/>
      <c r="F49" s="56"/>
      <c r="G49" s="57" t="s">
        <v>607</v>
      </c>
      <c r="H49" s="56"/>
      <c r="I49" s="56"/>
      <c r="J49" s="57"/>
      <c r="K49" s="56"/>
      <c r="L49" s="56"/>
      <c r="M49" s="56"/>
      <c r="N49" s="58"/>
      <c r="O49" s="45"/>
      <c r="P49" s="40"/>
    </row>
    <row r="50" spans="1:16" s="41" customFormat="1" ht="153">
      <c r="A50" s="34">
        <v>45</v>
      </c>
      <c r="B50" s="35" t="s">
        <v>65</v>
      </c>
      <c r="C50" s="34" t="s">
        <v>404</v>
      </c>
      <c r="D50" s="35" t="s">
        <v>62</v>
      </c>
      <c r="E50" s="35" t="s">
        <v>429</v>
      </c>
      <c r="F50" s="35"/>
      <c r="G50" s="80" t="s">
        <v>591</v>
      </c>
      <c r="H50" s="35" t="s">
        <v>464</v>
      </c>
      <c r="I50" s="35" t="s">
        <v>595</v>
      </c>
      <c r="J50" s="80" t="s">
        <v>459</v>
      </c>
      <c r="K50" s="35" t="s">
        <v>495</v>
      </c>
      <c r="L50" s="35" t="s">
        <v>592</v>
      </c>
      <c r="M50" s="35" t="s">
        <v>465</v>
      </c>
      <c r="N50" s="47" t="s">
        <v>466</v>
      </c>
      <c r="O50" s="45"/>
      <c r="P50" s="40"/>
    </row>
    <row r="51" spans="1:16" s="41" customFormat="1" ht="127.5">
      <c r="A51" s="48">
        <v>46</v>
      </c>
      <c r="B51" s="49" t="s">
        <v>66</v>
      </c>
      <c r="C51" s="48" t="s">
        <v>405</v>
      </c>
      <c r="D51" s="49" t="s">
        <v>67</v>
      </c>
      <c r="E51" s="49" t="s">
        <v>428</v>
      </c>
      <c r="F51" s="49"/>
      <c r="G51" s="29" t="s">
        <v>565</v>
      </c>
      <c r="H51" s="49" t="s">
        <v>457</v>
      </c>
      <c r="I51" s="49" t="s">
        <v>595</v>
      </c>
      <c r="J51" s="29" t="s">
        <v>459</v>
      </c>
      <c r="K51" s="49" t="s">
        <v>461</v>
      </c>
      <c r="L51" s="49" t="s">
        <v>458</v>
      </c>
      <c r="M51" s="49" t="s">
        <v>456</v>
      </c>
      <c r="N51" s="50" t="s">
        <v>68</v>
      </c>
      <c r="O51" s="45"/>
      <c r="P51" s="40"/>
    </row>
    <row r="52" spans="1:16" s="41" customFormat="1" ht="267.75">
      <c r="A52" s="34">
        <v>47</v>
      </c>
      <c r="B52" s="35" t="s">
        <v>69</v>
      </c>
      <c r="C52" s="34">
        <v>271</v>
      </c>
      <c r="D52" s="35" t="s">
        <v>70</v>
      </c>
      <c r="E52" s="35" t="s">
        <v>430</v>
      </c>
      <c r="F52" s="35"/>
      <c r="G52" s="80" t="s">
        <v>566</v>
      </c>
      <c r="H52" s="35" t="s">
        <v>439</v>
      </c>
      <c r="I52" s="35" t="s">
        <v>595</v>
      </c>
      <c r="J52" s="80" t="s">
        <v>468</v>
      </c>
      <c r="K52" s="35"/>
      <c r="L52" s="35" t="s">
        <v>497</v>
      </c>
      <c r="M52" s="35" t="s">
        <v>496</v>
      </c>
      <c r="N52" s="47"/>
      <c r="O52" s="45"/>
      <c r="P52" s="40"/>
    </row>
    <row r="53" spans="1:16" s="41" customFormat="1" ht="395.25">
      <c r="A53" s="48">
        <v>48</v>
      </c>
      <c r="B53" s="49" t="s">
        <v>71</v>
      </c>
      <c r="C53" s="48" t="s">
        <v>463</v>
      </c>
      <c r="D53" s="49" t="s">
        <v>498</v>
      </c>
      <c r="E53" s="49" t="s">
        <v>431</v>
      </c>
      <c r="F53" s="49"/>
      <c r="G53" s="29" t="s">
        <v>567</v>
      </c>
      <c r="H53" s="49" t="s">
        <v>499</v>
      </c>
      <c r="I53" s="49" t="s">
        <v>594</v>
      </c>
      <c r="J53" s="29" t="s">
        <v>459</v>
      </c>
      <c r="K53" s="49" t="s">
        <v>568</v>
      </c>
      <c r="L53" s="49" t="s">
        <v>569</v>
      </c>
      <c r="M53" s="49" t="s">
        <v>500</v>
      </c>
      <c r="N53" s="50" t="s">
        <v>501</v>
      </c>
      <c r="O53" s="40"/>
    </row>
    <row r="54" spans="1:16" s="41" customFormat="1" ht="38.25">
      <c r="A54" s="34">
        <v>49</v>
      </c>
      <c r="B54" s="35" t="s">
        <v>73</v>
      </c>
      <c r="C54" s="34" t="s">
        <v>526</v>
      </c>
      <c r="D54" s="35" t="s">
        <v>74</v>
      </c>
      <c r="E54" s="35" t="s">
        <v>428</v>
      </c>
      <c r="F54" s="35"/>
      <c r="G54" s="80" t="s">
        <v>527</v>
      </c>
      <c r="H54" s="35" t="s">
        <v>441</v>
      </c>
      <c r="I54" s="35" t="s">
        <v>594</v>
      </c>
      <c r="J54" s="80" t="s">
        <v>459</v>
      </c>
      <c r="K54" s="35" t="s">
        <v>604</v>
      </c>
      <c r="L54" s="35" t="s">
        <v>75</v>
      </c>
      <c r="M54" s="35" t="s">
        <v>443</v>
      </c>
      <c r="N54" s="47" t="s">
        <v>68</v>
      </c>
      <c r="O54" s="45"/>
      <c r="P54" s="40"/>
    </row>
    <row r="55" spans="1:16" s="41" customFormat="1" ht="30" customHeight="1">
      <c r="A55" s="34"/>
      <c r="B55" s="35"/>
      <c r="C55" s="34"/>
      <c r="D55" s="35"/>
      <c r="E55" s="35"/>
      <c r="F55" s="35"/>
      <c r="G55" s="80" t="s">
        <v>528</v>
      </c>
      <c r="H55" s="35"/>
      <c r="I55" s="35"/>
      <c r="J55" s="80"/>
      <c r="K55" s="35"/>
      <c r="L55" s="35" t="s">
        <v>529</v>
      </c>
      <c r="M55" s="35"/>
      <c r="N55" s="47"/>
      <c r="O55" s="45"/>
      <c r="P55" s="40"/>
    </row>
    <row r="56" spans="1:16" s="41" customFormat="1" ht="30" customHeight="1">
      <c r="A56" s="34"/>
      <c r="B56" s="35"/>
      <c r="C56" s="34"/>
      <c r="D56" s="35"/>
      <c r="E56" s="35"/>
      <c r="F56" s="35"/>
      <c r="G56" s="35" t="s">
        <v>530</v>
      </c>
      <c r="H56" s="35" t="s">
        <v>531</v>
      </c>
      <c r="I56" s="35"/>
      <c r="J56" s="80"/>
      <c r="K56" s="35"/>
      <c r="L56" s="35"/>
      <c r="N56" s="47"/>
      <c r="O56" s="45"/>
      <c r="P56" s="40"/>
    </row>
    <row r="57" spans="1:16" s="41" customFormat="1" ht="30" customHeight="1">
      <c r="A57" s="42">
        <v>50</v>
      </c>
      <c r="B57" s="43" t="s">
        <v>76</v>
      </c>
      <c r="C57" s="42"/>
      <c r="D57" s="43"/>
      <c r="E57" s="43" t="s">
        <v>435</v>
      </c>
      <c r="F57" s="43" t="s">
        <v>13</v>
      </c>
      <c r="G57" s="44"/>
      <c r="H57" s="44"/>
      <c r="I57" s="44"/>
      <c r="J57" s="44"/>
      <c r="K57" s="44"/>
      <c r="L57" s="44"/>
      <c r="M57" s="44"/>
      <c r="N57" s="44"/>
      <c r="O57" s="45"/>
      <c r="P57" s="40"/>
    </row>
    <row r="58" spans="1:16" s="41" customFormat="1" ht="59.25" customHeight="1">
      <c r="A58" s="34">
        <v>51</v>
      </c>
      <c r="B58" s="35" t="s">
        <v>77</v>
      </c>
      <c r="C58" s="34" t="s">
        <v>406</v>
      </c>
      <c r="D58" s="59"/>
      <c r="E58" s="59" t="s">
        <v>432</v>
      </c>
      <c r="F58" s="59"/>
      <c r="G58" s="60" t="s">
        <v>542</v>
      </c>
      <c r="H58" s="59"/>
      <c r="I58" s="35" t="s">
        <v>594</v>
      </c>
      <c r="J58" s="80" t="s">
        <v>462</v>
      </c>
      <c r="K58" s="35" t="s">
        <v>553</v>
      </c>
      <c r="L58" s="59" t="s">
        <v>78</v>
      </c>
      <c r="M58" s="35" t="s">
        <v>554</v>
      </c>
      <c r="N58" s="61" t="s">
        <v>546</v>
      </c>
      <c r="O58" s="45"/>
      <c r="P58" s="40"/>
    </row>
    <row r="59" spans="1:16" s="41" customFormat="1" ht="30" customHeight="1">
      <c r="A59" s="42">
        <v>52</v>
      </c>
      <c r="B59" s="43" t="s">
        <v>80</v>
      </c>
      <c r="C59" s="42"/>
      <c r="D59" s="43"/>
      <c r="E59" s="43" t="s">
        <v>435</v>
      </c>
      <c r="F59" s="43" t="s">
        <v>35</v>
      </c>
      <c r="G59" s="44"/>
      <c r="H59" s="44"/>
      <c r="I59" s="44"/>
      <c r="J59" s="44"/>
      <c r="K59" s="44"/>
      <c r="L59" s="44"/>
      <c r="M59" s="44"/>
      <c r="N59" s="44"/>
      <c r="O59" s="45"/>
      <c r="P59" s="40"/>
    </row>
    <row r="60" spans="1:16" s="41" customFormat="1" ht="30" customHeight="1">
      <c r="A60" s="34">
        <v>53</v>
      </c>
      <c r="B60" s="35" t="s">
        <v>81</v>
      </c>
      <c r="C60" s="34">
        <v>299</v>
      </c>
      <c r="D60" s="35"/>
      <c r="E60" s="35" t="s">
        <v>435</v>
      </c>
      <c r="F60" s="35" t="s">
        <v>13</v>
      </c>
      <c r="G60" s="46"/>
      <c r="H60" s="44"/>
      <c r="I60" s="44"/>
      <c r="J60" s="46"/>
      <c r="K60" s="44"/>
      <c r="L60" s="44"/>
      <c r="M60" s="44"/>
      <c r="N60" s="44"/>
      <c r="O60" s="45"/>
      <c r="P60" s="40"/>
    </row>
    <row r="61" spans="1:16" s="41" customFormat="1" ht="30" customHeight="1">
      <c r="A61" s="34"/>
      <c r="B61" s="35"/>
      <c r="C61" s="34">
        <v>361</v>
      </c>
      <c r="D61" s="35"/>
      <c r="E61" s="35"/>
      <c r="F61" s="35"/>
      <c r="G61" s="46"/>
      <c r="H61" s="44"/>
      <c r="I61" s="44"/>
      <c r="J61" s="46"/>
      <c r="K61" s="44"/>
      <c r="L61" s="44"/>
      <c r="M61" s="44"/>
      <c r="N61" s="44"/>
      <c r="O61" s="45"/>
      <c r="P61" s="40"/>
    </row>
    <row r="62" spans="1:16" s="41" customFormat="1" ht="30" customHeight="1">
      <c r="A62" s="34"/>
      <c r="B62" s="35"/>
      <c r="C62" s="34">
        <v>367</v>
      </c>
      <c r="D62" s="35"/>
      <c r="E62" s="35"/>
      <c r="F62" s="35"/>
      <c r="G62" s="46"/>
      <c r="H62" s="44"/>
      <c r="I62" s="44"/>
      <c r="J62" s="46"/>
      <c r="K62" s="44"/>
      <c r="L62" s="44"/>
      <c r="M62" s="44"/>
      <c r="N62" s="44"/>
      <c r="O62" s="45"/>
      <c r="P62" s="40"/>
    </row>
    <row r="63" spans="1:16" s="41" customFormat="1" ht="48" customHeight="1">
      <c r="A63" s="48">
        <v>54</v>
      </c>
      <c r="B63" s="49" t="s">
        <v>82</v>
      </c>
      <c r="C63" s="48" t="s">
        <v>407</v>
      </c>
      <c r="D63" s="49"/>
      <c r="E63" s="49" t="s">
        <v>432</v>
      </c>
      <c r="F63" s="49"/>
      <c r="G63" s="49" t="s">
        <v>493</v>
      </c>
      <c r="H63" s="49"/>
      <c r="I63" s="49" t="s">
        <v>593</v>
      </c>
      <c r="J63" s="49" t="s">
        <v>462</v>
      </c>
      <c r="K63" s="49" t="s">
        <v>550</v>
      </c>
      <c r="L63" s="49" t="s">
        <v>547</v>
      </c>
      <c r="M63" s="49"/>
      <c r="N63" s="50"/>
      <c r="O63" s="45"/>
      <c r="P63" s="40"/>
    </row>
    <row r="64" spans="1:16" s="41" customFormat="1" ht="33.75" customHeight="1">
      <c r="A64" s="34">
        <v>55</v>
      </c>
      <c r="B64" s="35" t="s">
        <v>83</v>
      </c>
      <c r="C64" s="34"/>
      <c r="D64" s="35"/>
      <c r="E64" s="35" t="s">
        <v>432</v>
      </c>
      <c r="F64" s="35"/>
      <c r="G64" s="35" t="s">
        <v>493</v>
      </c>
      <c r="H64" s="35"/>
      <c r="I64" s="35" t="s">
        <v>593</v>
      </c>
      <c r="J64" s="35" t="s">
        <v>462</v>
      </c>
      <c r="K64" s="35" t="s">
        <v>551</v>
      </c>
      <c r="L64" s="35" t="s">
        <v>547</v>
      </c>
      <c r="M64" s="35"/>
      <c r="N64" s="35"/>
      <c r="O64" s="45">
        <v>1</v>
      </c>
      <c r="P64" s="40"/>
    </row>
    <row r="65" spans="1:16" s="41" customFormat="1" ht="30" customHeight="1">
      <c r="A65" s="42">
        <v>56</v>
      </c>
      <c r="B65" s="43" t="s">
        <v>84</v>
      </c>
      <c r="C65" s="42"/>
      <c r="D65" s="43"/>
      <c r="E65" s="43" t="s">
        <v>435</v>
      </c>
      <c r="F65" s="43" t="s">
        <v>13</v>
      </c>
      <c r="G65" s="44"/>
      <c r="H65" s="44"/>
      <c r="I65" s="44"/>
      <c r="J65" s="44"/>
      <c r="K65" s="44"/>
      <c r="L65" s="44"/>
      <c r="M65" s="44"/>
      <c r="N65" s="44"/>
      <c r="O65" s="45"/>
      <c r="P65" s="40"/>
    </row>
    <row r="66" spans="1:16" s="41" customFormat="1" ht="30" customHeight="1">
      <c r="A66" s="34">
        <v>57</v>
      </c>
      <c r="B66" s="35" t="s">
        <v>85</v>
      </c>
      <c r="C66" s="34"/>
      <c r="D66" s="35"/>
      <c r="E66" s="35" t="s">
        <v>589</v>
      </c>
      <c r="F66" s="35" t="s">
        <v>86</v>
      </c>
      <c r="G66" s="46"/>
      <c r="H66" s="44"/>
      <c r="I66" s="44"/>
      <c r="J66" s="46"/>
      <c r="K66" s="44"/>
      <c r="L66" s="44"/>
      <c r="M66" s="44"/>
      <c r="N66" s="44"/>
      <c r="O66" s="45"/>
      <c r="P66" s="40"/>
    </row>
    <row r="67" spans="1:16" s="41" customFormat="1" ht="30" customHeight="1">
      <c r="A67" s="42">
        <v>58</v>
      </c>
      <c r="B67" s="43" t="s">
        <v>87</v>
      </c>
      <c r="C67" s="42"/>
      <c r="D67" s="43"/>
      <c r="E67" s="43" t="s">
        <v>589</v>
      </c>
      <c r="F67" s="43" t="s">
        <v>86</v>
      </c>
      <c r="G67" s="44"/>
      <c r="H67" s="44"/>
      <c r="I67" s="44"/>
      <c r="J67" s="44"/>
      <c r="K67" s="44"/>
      <c r="L67" s="44"/>
      <c r="M67" s="44"/>
      <c r="N67" s="44"/>
      <c r="O67" s="45"/>
      <c r="P67" s="40"/>
    </row>
    <row r="68" spans="1:16" s="41" customFormat="1" ht="30" customHeight="1">
      <c r="A68" s="34">
        <v>59</v>
      </c>
      <c r="B68" s="35" t="s">
        <v>88</v>
      </c>
      <c r="C68" s="34"/>
      <c r="D68" s="35"/>
      <c r="E68" s="35" t="s">
        <v>589</v>
      </c>
      <c r="F68" s="35" t="s">
        <v>86</v>
      </c>
      <c r="G68" s="46"/>
      <c r="H68" s="44"/>
      <c r="I68" s="44"/>
      <c r="J68" s="46"/>
      <c r="K68" s="44"/>
      <c r="L68" s="44"/>
      <c r="M68" s="44"/>
      <c r="N68" s="44"/>
      <c r="O68" s="45"/>
      <c r="P68" s="40"/>
    </row>
    <row r="69" spans="1:16" s="41" customFormat="1" ht="30" customHeight="1">
      <c r="A69" s="42">
        <v>60</v>
      </c>
      <c r="B69" s="43" t="s">
        <v>89</v>
      </c>
      <c r="C69" s="42"/>
      <c r="D69" s="43"/>
      <c r="E69" s="43" t="s">
        <v>589</v>
      </c>
      <c r="F69" s="43" t="s">
        <v>86</v>
      </c>
      <c r="G69" s="44"/>
      <c r="H69" s="44"/>
      <c r="I69" s="44"/>
      <c r="J69" s="44"/>
      <c r="K69" s="44"/>
      <c r="L69" s="44"/>
      <c r="M69" s="44"/>
      <c r="N69" s="44"/>
      <c r="O69" s="45"/>
      <c r="P69" s="40"/>
    </row>
    <row r="70" spans="1:16" s="41" customFormat="1" ht="63.75" customHeight="1">
      <c r="A70" s="34">
        <v>61</v>
      </c>
      <c r="B70" s="35" t="s">
        <v>90</v>
      </c>
      <c r="C70" s="34"/>
      <c r="D70" s="35"/>
      <c r="E70" s="35" t="s">
        <v>589</v>
      </c>
      <c r="F70" s="35" t="s">
        <v>86</v>
      </c>
      <c r="G70" s="46"/>
      <c r="H70" s="44"/>
      <c r="I70" s="44"/>
      <c r="J70" s="46"/>
      <c r="K70" s="44"/>
      <c r="L70" s="44"/>
      <c r="M70" s="44"/>
      <c r="N70" s="44"/>
      <c r="O70" s="45"/>
      <c r="P70" s="40"/>
    </row>
    <row r="71" spans="1:16" s="41" customFormat="1" ht="45" customHeight="1">
      <c r="A71" s="42">
        <v>62</v>
      </c>
      <c r="B71" s="43" t="s">
        <v>91</v>
      </c>
      <c r="C71" s="42"/>
      <c r="D71" s="43"/>
      <c r="E71" s="43" t="s">
        <v>435</v>
      </c>
      <c r="F71" s="43" t="s">
        <v>86</v>
      </c>
      <c r="G71" s="44"/>
      <c r="H71" s="44"/>
      <c r="I71" s="44"/>
      <c r="J71" s="44"/>
      <c r="K71" s="44"/>
      <c r="L71" s="44"/>
      <c r="M71" s="44"/>
      <c r="N71" s="44"/>
      <c r="O71" s="45"/>
      <c r="P71" s="40"/>
    </row>
    <row r="72" spans="1:16" s="41" customFormat="1" ht="30" customHeight="1">
      <c r="A72" s="34">
        <v>63</v>
      </c>
      <c r="B72" s="35" t="s">
        <v>92</v>
      </c>
      <c r="C72" s="34"/>
      <c r="D72" s="35"/>
      <c r="E72" s="35" t="s">
        <v>435</v>
      </c>
      <c r="F72" s="35" t="s">
        <v>86</v>
      </c>
      <c r="G72" s="46"/>
      <c r="H72" s="44"/>
      <c r="I72" s="44"/>
      <c r="J72" s="46"/>
      <c r="K72" s="44"/>
      <c r="L72" s="44"/>
      <c r="M72" s="44"/>
      <c r="N72" s="44"/>
      <c r="O72" s="45"/>
      <c r="P72" s="40"/>
    </row>
    <row r="73" spans="1:16" s="41" customFormat="1" ht="30" customHeight="1">
      <c r="A73" s="42">
        <v>64</v>
      </c>
      <c r="B73" s="43" t="s">
        <v>93</v>
      </c>
      <c r="C73" s="42"/>
      <c r="D73" s="43"/>
      <c r="E73" s="43" t="s">
        <v>435</v>
      </c>
      <c r="F73" s="43" t="s">
        <v>35</v>
      </c>
      <c r="G73" s="44"/>
      <c r="H73" s="44"/>
      <c r="I73" s="44"/>
      <c r="J73" s="44"/>
      <c r="K73" s="44"/>
      <c r="L73" s="44"/>
      <c r="M73" s="44"/>
      <c r="N73" s="44"/>
      <c r="O73" s="45"/>
      <c r="P73" s="40"/>
    </row>
    <row r="74" spans="1:16" s="41" customFormat="1" ht="30" customHeight="1">
      <c r="A74" s="34">
        <v>65</v>
      </c>
      <c r="B74" s="35" t="s">
        <v>94</v>
      </c>
      <c r="C74" s="34"/>
      <c r="D74" s="35"/>
      <c r="E74" s="35" t="s">
        <v>435</v>
      </c>
      <c r="F74" s="35" t="s">
        <v>35</v>
      </c>
      <c r="G74" s="46"/>
      <c r="H74" s="44"/>
      <c r="I74" s="44"/>
      <c r="J74" s="46"/>
      <c r="K74" s="44"/>
      <c r="L74" s="44"/>
      <c r="M74" s="44"/>
      <c r="N74" s="44"/>
      <c r="O74" s="45"/>
      <c r="P74" s="40"/>
    </row>
    <row r="75" spans="1:16" s="41" customFormat="1" ht="30" customHeight="1">
      <c r="A75" s="42">
        <v>66</v>
      </c>
      <c r="B75" s="43" t="s">
        <v>95</v>
      </c>
      <c r="C75" s="42"/>
      <c r="D75" s="43"/>
      <c r="E75" s="43" t="s">
        <v>435</v>
      </c>
      <c r="F75" s="43" t="s">
        <v>35</v>
      </c>
      <c r="G75" s="44"/>
      <c r="H75" s="44"/>
      <c r="I75" s="44"/>
      <c r="J75" s="44"/>
      <c r="K75" s="44"/>
      <c r="L75" s="44"/>
      <c r="M75" s="44"/>
      <c r="N75" s="44"/>
      <c r="O75" s="45"/>
      <c r="P75" s="40"/>
    </row>
    <row r="76" spans="1:16" s="41" customFormat="1" ht="30" customHeight="1">
      <c r="A76" s="34">
        <v>67</v>
      </c>
      <c r="B76" s="35" t="s">
        <v>96</v>
      </c>
      <c r="C76" s="34"/>
      <c r="D76" s="35"/>
      <c r="E76" s="35" t="s">
        <v>435</v>
      </c>
      <c r="F76" s="35" t="s">
        <v>35</v>
      </c>
      <c r="G76" s="46"/>
      <c r="H76" s="44"/>
      <c r="I76" s="44"/>
      <c r="J76" s="46"/>
      <c r="K76" s="44"/>
      <c r="L76" s="44"/>
      <c r="M76" s="44"/>
      <c r="N76" s="44"/>
      <c r="O76" s="45"/>
      <c r="P76" s="40"/>
    </row>
    <row r="77" spans="1:16" s="41" customFormat="1" ht="30" customHeight="1">
      <c r="A77" s="42">
        <v>68</v>
      </c>
      <c r="B77" s="43" t="s">
        <v>97</v>
      </c>
      <c r="C77" s="42"/>
      <c r="D77" s="43"/>
      <c r="E77" s="43" t="s">
        <v>435</v>
      </c>
      <c r="F77" s="43" t="s">
        <v>35</v>
      </c>
      <c r="G77" s="44"/>
      <c r="H77" s="44"/>
      <c r="I77" s="44"/>
      <c r="J77" s="44"/>
      <c r="K77" s="44"/>
      <c r="L77" s="44"/>
      <c r="M77" s="44"/>
      <c r="N77" s="44"/>
      <c r="O77" s="45"/>
      <c r="P77" s="40"/>
    </row>
    <row r="78" spans="1:16" s="41" customFormat="1" ht="63.75" customHeight="1">
      <c r="A78" s="34">
        <v>69</v>
      </c>
      <c r="B78" s="35" t="s">
        <v>98</v>
      </c>
      <c r="C78" s="34"/>
      <c r="D78" s="35"/>
      <c r="E78" s="35" t="s">
        <v>435</v>
      </c>
      <c r="F78" s="35" t="s">
        <v>35</v>
      </c>
      <c r="G78" s="46"/>
      <c r="H78" s="44"/>
      <c r="I78" s="44"/>
      <c r="J78" s="46"/>
      <c r="K78" s="44"/>
      <c r="L78" s="44"/>
      <c r="M78" s="44"/>
      <c r="N78" s="44"/>
      <c r="O78" s="45"/>
      <c r="P78" s="40"/>
    </row>
    <row r="79" spans="1:16" s="41" customFormat="1" ht="51.75" customHeight="1">
      <c r="A79" s="42">
        <v>70</v>
      </c>
      <c r="B79" s="43" t="s">
        <v>99</v>
      </c>
      <c r="C79" s="42"/>
      <c r="D79" s="43"/>
      <c r="E79" s="43" t="s">
        <v>435</v>
      </c>
      <c r="F79" s="43" t="s">
        <v>35</v>
      </c>
      <c r="G79" s="44"/>
      <c r="H79" s="44"/>
      <c r="I79" s="44"/>
      <c r="J79" s="44"/>
      <c r="K79" s="44"/>
      <c r="L79" s="44"/>
      <c r="M79" s="44"/>
      <c r="N79" s="44"/>
      <c r="O79" s="45"/>
      <c r="P79" s="40"/>
    </row>
    <row r="80" spans="1:16" s="41" customFormat="1" ht="30" customHeight="1">
      <c r="A80" s="34">
        <v>71</v>
      </c>
      <c r="B80" s="35" t="s">
        <v>100</v>
      </c>
      <c r="C80" s="34"/>
      <c r="D80" s="35" t="s">
        <v>42</v>
      </c>
      <c r="E80" s="35" t="s">
        <v>435</v>
      </c>
      <c r="F80" s="35" t="s">
        <v>35</v>
      </c>
      <c r="G80" s="46"/>
      <c r="H80" s="44"/>
      <c r="I80" s="44"/>
      <c r="J80" s="46"/>
      <c r="K80" s="44"/>
      <c r="L80" s="44"/>
      <c r="M80" s="44"/>
      <c r="N80" s="44"/>
      <c r="O80" s="45"/>
      <c r="P80" s="40"/>
    </row>
    <row r="81" spans="1:16" s="41" customFormat="1" ht="30" customHeight="1">
      <c r="A81" s="42">
        <v>72</v>
      </c>
      <c r="B81" s="43" t="s">
        <v>101</v>
      </c>
      <c r="C81" s="42"/>
      <c r="D81" s="43"/>
      <c r="E81" s="43" t="s">
        <v>435</v>
      </c>
      <c r="F81" s="43" t="s">
        <v>35</v>
      </c>
      <c r="G81" s="44"/>
      <c r="H81" s="44"/>
      <c r="I81" s="44"/>
      <c r="J81" s="44"/>
      <c r="K81" s="44"/>
      <c r="L81" s="44"/>
      <c r="M81" s="44"/>
      <c r="N81" s="44"/>
      <c r="O81" s="45"/>
      <c r="P81" s="40"/>
    </row>
    <row r="82" spans="1:16" s="41" customFormat="1" ht="30" customHeight="1">
      <c r="A82" s="34">
        <v>73</v>
      </c>
      <c r="B82" s="35" t="s">
        <v>102</v>
      </c>
      <c r="C82" s="34"/>
      <c r="D82" s="35"/>
      <c r="E82" s="35" t="s">
        <v>428</v>
      </c>
      <c r="F82" s="35" t="s">
        <v>532</v>
      </c>
      <c r="G82" s="46"/>
      <c r="H82" s="46"/>
      <c r="I82" s="46"/>
      <c r="J82" s="46"/>
      <c r="K82" s="46"/>
      <c r="L82" s="46"/>
      <c r="M82" s="46"/>
      <c r="N82" s="46"/>
      <c r="O82" s="45"/>
      <c r="P82" s="40"/>
    </row>
    <row r="83" spans="1:16" s="41" customFormat="1" ht="30" customHeight="1">
      <c r="A83" s="42">
        <v>74</v>
      </c>
      <c r="B83" s="43" t="s">
        <v>103</v>
      </c>
      <c r="C83" s="42">
        <v>287</v>
      </c>
      <c r="D83" s="43"/>
      <c r="E83" s="43" t="s">
        <v>428</v>
      </c>
      <c r="F83" s="43" t="s">
        <v>533</v>
      </c>
      <c r="G83" s="46"/>
      <c r="H83" s="46"/>
      <c r="I83" s="46"/>
      <c r="J83" s="46"/>
      <c r="K83" s="46"/>
      <c r="L83" s="46"/>
      <c r="M83" s="46"/>
      <c r="N83" s="46"/>
      <c r="O83" s="45"/>
      <c r="P83" s="40"/>
    </row>
    <row r="84" spans="1:16" s="41" customFormat="1" ht="30" customHeight="1">
      <c r="A84" s="34">
        <v>75</v>
      </c>
      <c r="B84" s="35" t="s">
        <v>104</v>
      </c>
      <c r="C84" s="62" t="s">
        <v>408</v>
      </c>
      <c r="D84" s="59"/>
      <c r="E84" s="59" t="s">
        <v>432</v>
      </c>
      <c r="F84" s="59"/>
      <c r="G84" s="60" t="s">
        <v>105</v>
      </c>
      <c r="H84" s="59" t="s">
        <v>440</v>
      </c>
      <c r="I84" s="59" t="s">
        <v>595</v>
      </c>
      <c r="J84" s="60" t="s">
        <v>468</v>
      </c>
      <c r="K84" s="59"/>
      <c r="L84" s="60" t="s">
        <v>105</v>
      </c>
      <c r="M84" s="60" t="s">
        <v>506</v>
      </c>
      <c r="N84" s="60" t="s">
        <v>501</v>
      </c>
      <c r="O84" s="45"/>
      <c r="P84" s="40"/>
    </row>
    <row r="85" spans="1:16" s="41" customFormat="1" ht="30" customHeight="1">
      <c r="A85" s="48">
        <v>76</v>
      </c>
      <c r="B85" s="49" t="s">
        <v>106</v>
      </c>
      <c r="C85" s="63"/>
      <c r="D85" s="64"/>
      <c r="E85" s="64" t="s">
        <v>431</v>
      </c>
      <c r="F85" s="64"/>
      <c r="G85" s="29" t="s">
        <v>577</v>
      </c>
      <c r="H85" s="64" t="s">
        <v>440</v>
      </c>
      <c r="I85" s="64" t="s">
        <v>594</v>
      </c>
      <c r="J85" s="29" t="s">
        <v>468</v>
      </c>
      <c r="K85" s="64"/>
      <c r="L85" s="29" t="s">
        <v>577</v>
      </c>
      <c r="M85" s="49" t="s">
        <v>506</v>
      </c>
      <c r="N85" s="50" t="s">
        <v>501</v>
      </c>
      <c r="O85" s="45"/>
      <c r="P85" s="40"/>
    </row>
    <row r="86" spans="1:16" s="41" customFormat="1" ht="76.5">
      <c r="A86" s="34">
        <v>77</v>
      </c>
      <c r="B86" s="81" t="s">
        <v>107</v>
      </c>
      <c r="C86" s="80" t="s">
        <v>502</v>
      </c>
      <c r="D86" s="35" t="s">
        <v>503</v>
      </c>
      <c r="E86" s="35" t="s">
        <v>431</v>
      </c>
      <c r="F86" s="35"/>
      <c r="G86" s="82" t="s">
        <v>570</v>
      </c>
      <c r="H86" s="35" t="s">
        <v>504</v>
      </c>
      <c r="I86" s="35" t="s">
        <v>595</v>
      </c>
      <c r="J86" s="80" t="s">
        <v>459</v>
      </c>
      <c r="K86" s="35" t="s">
        <v>581</v>
      </c>
      <c r="L86" s="35" t="s">
        <v>505</v>
      </c>
      <c r="M86" s="35" t="s">
        <v>506</v>
      </c>
      <c r="N86" s="47" t="s">
        <v>501</v>
      </c>
      <c r="O86" s="40"/>
    </row>
    <row r="87" spans="1:16" s="41" customFormat="1" ht="89.25">
      <c r="A87" s="48">
        <v>78</v>
      </c>
      <c r="B87" s="49" t="s">
        <v>108</v>
      </c>
      <c r="C87" s="29" t="s">
        <v>507</v>
      </c>
      <c r="D87" s="29" t="s">
        <v>508</v>
      </c>
      <c r="E87" s="49" t="s">
        <v>431</v>
      </c>
      <c r="F87" s="49"/>
      <c r="G87" s="29" t="s">
        <v>571</v>
      </c>
      <c r="H87" s="49" t="s">
        <v>504</v>
      </c>
      <c r="I87" s="49" t="s">
        <v>595</v>
      </c>
      <c r="J87" s="29" t="s">
        <v>468</v>
      </c>
      <c r="K87" s="49"/>
      <c r="L87" s="29" t="s">
        <v>572</v>
      </c>
      <c r="M87" s="49" t="s">
        <v>506</v>
      </c>
      <c r="N87" s="50" t="s">
        <v>501</v>
      </c>
      <c r="O87" s="40"/>
    </row>
    <row r="88" spans="1:16" s="41" customFormat="1" ht="78.75" customHeight="1">
      <c r="A88" s="34">
        <v>79</v>
      </c>
      <c r="B88" s="35" t="s">
        <v>109</v>
      </c>
      <c r="C88" s="34"/>
      <c r="D88" s="35"/>
      <c r="E88" s="35" t="s">
        <v>435</v>
      </c>
      <c r="F88" s="35" t="s">
        <v>110</v>
      </c>
      <c r="G88" s="46"/>
      <c r="H88" s="44"/>
      <c r="I88" s="44"/>
      <c r="J88" s="46"/>
      <c r="K88" s="44"/>
      <c r="L88" s="44"/>
      <c r="M88" s="44"/>
      <c r="N88" s="44"/>
      <c r="O88" s="45"/>
      <c r="P88" s="40"/>
    </row>
    <row r="89" spans="1:16" s="41" customFormat="1" ht="30" customHeight="1">
      <c r="A89" s="42">
        <v>80</v>
      </c>
      <c r="B89" s="43" t="s">
        <v>111</v>
      </c>
      <c r="C89" s="65">
        <v>55</v>
      </c>
      <c r="D89" s="43" t="s">
        <v>509</v>
      </c>
      <c r="E89" s="43" t="s">
        <v>431</v>
      </c>
      <c r="F89" s="43"/>
      <c r="G89" s="29" t="s">
        <v>571</v>
      </c>
      <c r="H89" s="43" t="s">
        <v>504</v>
      </c>
      <c r="I89" s="43" t="s">
        <v>595</v>
      </c>
      <c r="J89" s="65" t="s">
        <v>468</v>
      </c>
      <c r="K89" s="43"/>
      <c r="L89" s="29" t="s">
        <v>572</v>
      </c>
      <c r="M89" s="43" t="s">
        <v>506</v>
      </c>
      <c r="N89" s="66" t="s">
        <v>501</v>
      </c>
      <c r="O89" s="40"/>
    </row>
    <row r="90" spans="1:16" s="41" customFormat="1" ht="38.25">
      <c r="A90" s="34">
        <v>81</v>
      </c>
      <c r="B90" s="35" t="s">
        <v>112</v>
      </c>
      <c r="C90" s="80" t="s">
        <v>511</v>
      </c>
      <c r="D90" s="35" t="s">
        <v>512</v>
      </c>
      <c r="E90" s="35" t="s">
        <v>431</v>
      </c>
      <c r="F90" s="35"/>
      <c r="G90" s="204" t="s">
        <v>573</v>
      </c>
      <c r="H90" s="206" t="s">
        <v>504</v>
      </c>
      <c r="I90" s="35" t="s">
        <v>595</v>
      </c>
      <c r="J90" s="208" t="s">
        <v>468</v>
      </c>
      <c r="K90" s="35"/>
      <c r="L90" s="209" t="s">
        <v>570</v>
      </c>
      <c r="M90" s="35" t="s">
        <v>506</v>
      </c>
      <c r="N90" s="47" t="s">
        <v>501</v>
      </c>
      <c r="O90" s="40"/>
    </row>
    <row r="91" spans="1:16" s="41" customFormat="1" ht="33" customHeight="1">
      <c r="A91" s="34"/>
      <c r="B91" s="35"/>
      <c r="C91" s="34"/>
      <c r="D91" s="35"/>
      <c r="E91" s="35" t="s">
        <v>431</v>
      </c>
      <c r="F91" s="35"/>
      <c r="G91" s="205"/>
      <c r="H91" s="207"/>
      <c r="I91" s="35"/>
      <c r="J91" s="205"/>
      <c r="K91" s="35"/>
      <c r="L91" s="210"/>
      <c r="M91" s="35"/>
      <c r="N91" s="47"/>
      <c r="O91" s="40"/>
    </row>
    <row r="92" spans="1:16" s="41" customFormat="1" ht="102.75" customHeight="1">
      <c r="A92" s="48">
        <v>82</v>
      </c>
      <c r="B92" s="49" t="s">
        <v>113</v>
      </c>
      <c r="C92" s="48" t="s">
        <v>409</v>
      </c>
      <c r="D92" s="49"/>
      <c r="E92" s="49" t="s">
        <v>431</v>
      </c>
      <c r="F92" s="49"/>
      <c r="G92" s="29" t="s">
        <v>513</v>
      </c>
      <c r="H92" s="49"/>
      <c r="I92" s="49" t="s">
        <v>595</v>
      </c>
      <c r="J92" s="29" t="s">
        <v>459</v>
      </c>
      <c r="K92" s="49" t="s">
        <v>596</v>
      </c>
      <c r="L92" s="29" t="s">
        <v>513</v>
      </c>
      <c r="M92" s="49"/>
      <c r="N92" s="50"/>
      <c r="O92" s="40"/>
    </row>
    <row r="93" spans="1:16" s="41" customFormat="1" ht="37.5" customHeight="1">
      <c r="A93" s="34">
        <v>83</v>
      </c>
      <c r="B93" s="35" t="s">
        <v>115</v>
      </c>
      <c r="C93" s="34"/>
      <c r="D93" s="35" t="s">
        <v>514</v>
      </c>
      <c r="E93" s="35" t="s">
        <v>431</v>
      </c>
      <c r="F93" s="35"/>
      <c r="G93" s="80" t="s">
        <v>515</v>
      </c>
      <c r="H93" s="35"/>
      <c r="I93" s="35" t="s">
        <v>594</v>
      </c>
      <c r="J93" s="80" t="s">
        <v>459</v>
      </c>
      <c r="K93" s="35" t="s">
        <v>516</v>
      </c>
      <c r="L93" s="35" t="s">
        <v>517</v>
      </c>
      <c r="M93" s="35" t="s">
        <v>506</v>
      </c>
      <c r="N93" s="47"/>
      <c r="O93" s="40"/>
    </row>
    <row r="94" spans="1:16" s="41" customFormat="1" ht="35.25" customHeight="1">
      <c r="A94" s="42">
        <v>84</v>
      </c>
      <c r="B94" s="43" t="s">
        <v>116</v>
      </c>
      <c r="C94" s="42"/>
      <c r="D94" s="43"/>
      <c r="E94" s="43" t="s">
        <v>431</v>
      </c>
      <c r="F94" s="43"/>
      <c r="G94" s="65" t="s">
        <v>517</v>
      </c>
      <c r="H94" s="43"/>
      <c r="I94" s="43" t="s">
        <v>595</v>
      </c>
      <c r="J94" s="65" t="s">
        <v>459</v>
      </c>
      <c r="K94" s="43"/>
      <c r="L94" s="43" t="s">
        <v>517</v>
      </c>
      <c r="M94" s="43" t="s">
        <v>506</v>
      </c>
      <c r="N94" s="66"/>
      <c r="O94" s="40"/>
    </row>
    <row r="95" spans="1:16" s="41" customFormat="1" ht="35.25" customHeight="1">
      <c r="A95" s="34">
        <v>85</v>
      </c>
      <c r="B95" s="35" t="s">
        <v>117</v>
      </c>
      <c r="C95" s="34"/>
      <c r="D95" s="35"/>
      <c r="E95" s="35" t="s">
        <v>431</v>
      </c>
      <c r="F95" s="35" t="s">
        <v>518</v>
      </c>
      <c r="G95" s="44"/>
      <c r="H95" s="44"/>
      <c r="I95" s="44"/>
      <c r="J95" s="44"/>
      <c r="K95" s="44"/>
      <c r="L95" s="44"/>
      <c r="M95" s="44"/>
      <c r="N95" s="44"/>
      <c r="O95" s="40"/>
    </row>
    <row r="96" spans="1:16" s="41" customFormat="1" ht="30" customHeight="1">
      <c r="A96" s="42">
        <v>86</v>
      </c>
      <c r="B96" s="43" t="s">
        <v>76</v>
      </c>
      <c r="C96" s="42"/>
      <c r="D96" s="43"/>
      <c r="E96" s="43" t="s">
        <v>431</v>
      </c>
      <c r="F96" s="43" t="s">
        <v>13</v>
      </c>
      <c r="G96" s="44"/>
      <c r="H96" s="44"/>
      <c r="I96" s="44"/>
      <c r="J96" s="44"/>
      <c r="K96" s="44"/>
      <c r="L96" s="44"/>
      <c r="M96" s="44"/>
      <c r="N96" s="44"/>
      <c r="O96" s="45"/>
      <c r="P96" s="40"/>
    </row>
    <row r="97" spans="1:16" s="41" customFormat="1" ht="127.5">
      <c r="A97" s="34">
        <v>87</v>
      </c>
      <c r="B97" s="35" t="s">
        <v>118</v>
      </c>
      <c r="C97" s="34"/>
      <c r="D97" s="35"/>
      <c r="E97" s="35" t="s">
        <v>438</v>
      </c>
      <c r="F97" s="35"/>
      <c r="G97" s="80" t="s">
        <v>611</v>
      </c>
      <c r="H97" s="35" t="s">
        <v>552</v>
      </c>
      <c r="I97" s="35" t="s">
        <v>595</v>
      </c>
      <c r="J97" s="80" t="s">
        <v>459</v>
      </c>
      <c r="K97" s="35" t="s">
        <v>558</v>
      </c>
      <c r="L97" s="35" t="s">
        <v>601</v>
      </c>
      <c r="M97" s="35" t="s">
        <v>539</v>
      </c>
      <c r="N97" s="47" t="s">
        <v>501</v>
      </c>
      <c r="O97" s="45"/>
      <c r="P97" s="40"/>
    </row>
    <row r="98" spans="1:16" s="41" customFormat="1" ht="127.5">
      <c r="A98" s="48">
        <v>88</v>
      </c>
      <c r="B98" s="49" t="s">
        <v>120</v>
      </c>
      <c r="C98" s="48">
        <v>68</v>
      </c>
      <c r="D98" s="49"/>
      <c r="E98" s="49" t="s">
        <v>438</v>
      </c>
      <c r="F98" s="49"/>
      <c r="G98" s="29" t="s">
        <v>611</v>
      </c>
      <c r="H98" s="49" t="s">
        <v>552</v>
      </c>
      <c r="I98" s="49" t="s">
        <v>595</v>
      </c>
      <c r="J98" s="29" t="s">
        <v>459</v>
      </c>
      <c r="K98" s="49" t="s">
        <v>558</v>
      </c>
      <c r="L98" s="49" t="s">
        <v>601</v>
      </c>
      <c r="M98" s="49" t="s">
        <v>539</v>
      </c>
      <c r="N98" s="50" t="s">
        <v>501</v>
      </c>
      <c r="O98" s="45"/>
      <c r="P98" s="40"/>
    </row>
    <row r="99" spans="1:16" s="41" customFormat="1" ht="30" customHeight="1">
      <c r="A99" s="34">
        <v>89</v>
      </c>
      <c r="B99" s="35" t="s">
        <v>121</v>
      </c>
      <c r="C99" s="34"/>
      <c r="D99" s="35" t="s">
        <v>122</v>
      </c>
      <c r="E99" s="35" t="s">
        <v>435</v>
      </c>
      <c r="F99" s="35" t="s">
        <v>123</v>
      </c>
      <c r="G99" s="46"/>
      <c r="H99" s="44"/>
      <c r="I99" s="44"/>
      <c r="J99" s="46"/>
      <c r="K99" s="44"/>
      <c r="L99" s="44"/>
      <c r="M99" s="44"/>
      <c r="N99" s="44"/>
      <c r="O99" s="45"/>
      <c r="P99" s="40"/>
    </row>
    <row r="100" spans="1:16" s="41" customFormat="1" ht="30" customHeight="1">
      <c r="A100" s="48">
        <v>90</v>
      </c>
      <c r="B100" s="49" t="s">
        <v>124</v>
      </c>
      <c r="C100" s="48" t="s">
        <v>444</v>
      </c>
      <c r="D100" s="49" t="s">
        <v>122</v>
      </c>
      <c r="E100" s="49" t="s">
        <v>435</v>
      </c>
      <c r="F100" s="49" t="s">
        <v>123</v>
      </c>
      <c r="G100" s="38"/>
      <c r="H100" s="44"/>
      <c r="I100" s="44"/>
      <c r="J100" s="38"/>
      <c r="K100" s="44"/>
      <c r="L100" s="44"/>
      <c r="M100" s="44"/>
      <c r="N100" s="44"/>
      <c r="O100" s="45"/>
      <c r="P100" s="40"/>
    </row>
    <row r="101" spans="1:16" s="41" customFormat="1" ht="127.5">
      <c r="A101" s="34">
        <v>91</v>
      </c>
      <c r="B101" s="35" t="s">
        <v>125</v>
      </c>
      <c r="C101" s="34"/>
      <c r="D101" s="35"/>
      <c r="E101" s="35" t="s">
        <v>438</v>
      </c>
      <c r="F101" s="35"/>
      <c r="G101" s="80" t="s">
        <v>611</v>
      </c>
      <c r="H101" s="35" t="s">
        <v>552</v>
      </c>
      <c r="I101" s="35" t="s">
        <v>595</v>
      </c>
      <c r="J101" s="80" t="s">
        <v>459</v>
      </c>
      <c r="K101" s="35" t="s">
        <v>558</v>
      </c>
      <c r="L101" s="35" t="s">
        <v>601</v>
      </c>
      <c r="M101" s="35" t="s">
        <v>539</v>
      </c>
      <c r="N101" s="47" t="s">
        <v>501</v>
      </c>
      <c r="O101" s="45"/>
      <c r="P101" s="40"/>
    </row>
    <row r="102" spans="1:16" s="41" customFormat="1" ht="30" customHeight="1">
      <c r="A102" s="42">
        <v>92</v>
      </c>
      <c r="B102" s="43" t="s">
        <v>76</v>
      </c>
      <c r="C102" s="42">
        <v>68</v>
      </c>
      <c r="D102" s="43"/>
      <c r="E102" s="43" t="s">
        <v>435</v>
      </c>
      <c r="F102" s="43" t="s">
        <v>13</v>
      </c>
      <c r="G102" s="44"/>
      <c r="H102" s="44"/>
      <c r="I102" s="44"/>
      <c r="J102" s="44"/>
      <c r="K102" s="44"/>
      <c r="L102" s="44"/>
      <c r="M102" s="44"/>
      <c r="N102" s="44"/>
      <c r="O102" s="45"/>
      <c r="P102" s="40"/>
    </row>
    <row r="103" spans="1:16" s="41" customFormat="1" ht="127.5">
      <c r="A103" s="34">
        <v>93</v>
      </c>
      <c r="B103" s="35" t="s">
        <v>126</v>
      </c>
      <c r="C103" s="34" t="s">
        <v>445</v>
      </c>
      <c r="D103" s="35" t="s">
        <v>559</v>
      </c>
      <c r="E103" s="35" t="s">
        <v>438</v>
      </c>
      <c r="F103" s="35"/>
      <c r="G103" s="80" t="s">
        <v>611</v>
      </c>
      <c r="H103" s="35" t="s">
        <v>552</v>
      </c>
      <c r="I103" s="35" t="s">
        <v>595</v>
      </c>
      <c r="J103" s="80" t="s">
        <v>459</v>
      </c>
      <c r="K103" s="35" t="s">
        <v>558</v>
      </c>
      <c r="L103" s="35" t="s">
        <v>601</v>
      </c>
      <c r="M103" s="35" t="s">
        <v>539</v>
      </c>
      <c r="N103" s="47" t="s">
        <v>501</v>
      </c>
      <c r="O103" s="45"/>
      <c r="P103" s="40"/>
    </row>
    <row r="104" spans="1:16" s="41" customFormat="1" ht="114.75">
      <c r="A104" s="48">
        <v>94</v>
      </c>
      <c r="B104" s="49" t="s">
        <v>128</v>
      </c>
      <c r="C104" s="48" t="s">
        <v>445</v>
      </c>
      <c r="D104" s="49" t="s">
        <v>560</v>
      </c>
      <c r="E104" s="49" t="s">
        <v>438</v>
      </c>
      <c r="F104" s="49"/>
      <c r="G104" s="29" t="s">
        <v>612</v>
      </c>
      <c r="H104" s="49" t="s">
        <v>552</v>
      </c>
      <c r="I104" s="49" t="s">
        <v>595</v>
      </c>
      <c r="J104" s="29" t="s">
        <v>459</v>
      </c>
      <c r="K104" s="49" t="s">
        <v>558</v>
      </c>
      <c r="L104" s="49" t="s">
        <v>601</v>
      </c>
      <c r="M104" s="49" t="s">
        <v>539</v>
      </c>
      <c r="N104" s="50" t="s">
        <v>501</v>
      </c>
      <c r="O104" s="45"/>
      <c r="P104" s="40"/>
    </row>
    <row r="105" spans="1:16" s="41" customFormat="1" ht="127.5">
      <c r="A105" s="34">
        <v>95</v>
      </c>
      <c r="B105" s="35" t="s">
        <v>129</v>
      </c>
      <c r="C105" s="34" t="s">
        <v>445</v>
      </c>
      <c r="D105" s="35" t="s">
        <v>560</v>
      </c>
      <c r="E105" s="35" t="s">
        <v>438</v>
      </c>
      <c r="F105" s="35"/>
      <c r="G105" s="80" t="s">
        <v>611</v>
      </c>
      <c r="H105" s="35" t="s">
        <v>552</v>
      </c>
      <c r="I105" s="35" t="s">
        <v>595</v>
      </c>
      <c r="J105" s="80" t="s">
        <v>459</v>
      </c>
      <c r="K105" s="35" t="s">
        <v>558</v>
      </c>
      <c r="L105" s="35" t="s">
        <v>601</v>
      </c>
      <c r="M105" s="35" t="s">
        <v>539</v>
      </c>
      <c r="N105" s="47" t="s">
        <v>501</v>
      </c>
      <c r="O105" s="45"/>
      <c r="P105" s="40"/>
    </row>
    <row r="106" spans="1:16" s="41" customFormat="1" ht="127.5">
      <c r="A106" s="48">
        <v>96</v>
      </c>
      <c r="B106" s="49" t="s">
        <v>130</v>
      </c>
      <c r="C106" s="48">
        <v>80</v>
      </c>
      <c r="D106" s="49" t="s">
        <v>122</v>
      </c>
      <c r="E106" s="49" t="s">
        <v>438</v>
      </c>
      <c r="F106" s="49"/>
      <c r="G106" s="29" t="s">
        <v>611</v>
      </c>
      <c r="H106" s="49" t="s">
        <v>552</v>
      </c>
      <c r="I106" s="49" t="s">
        <v>595</v>
      </c>
      <c r="J106" s="29" t="s">
        <v>459</v>
      </c>
      <c r="K106" s="49" t="s">
        <v>558</v>
      </c>
      <c r="L106" s="49" t="s">
        <v>601</v>
      </c>
      <c r="M106" s="49" t="s">
        <v>539</v>
      </c>
      <c r="N106" s="50" t="s">
        <v>501</v>
      </c>
      <c r="O106" s="45"/>
      <c r="P106" s="40"/>
    </row>
    <row r="107" spans="1:16" s="41" customFormat="1" ht="30" customHeight="1">
      <c r="A107" s="34">
        <v>97</v>
      </c>
      <c r="B107" s="35" t="s">
        <v>76</v>
      </c>
      <c r="C107" s="34"/>
      <c r="D107" s="35"/>
      <c r="E107" s="35" t="s">
        <v>435</v>
      </c>
      <c r="F107" s="35" t="s">
        <v>13</v>
      </c>
      <c r="G107" s="46"/>
      <c r="H107" s="44"/>
      <c r="I107" s="44"/>
      <c r="J107" s="46"/>
      <c r="K107" s="44"/>
      <c r="L107" s="44"/>
      <c r="M107" s="44"/>
      <c r="N107" s="44"/>
      <c r="O107" s="45"/>
      <c r="P107" s="40"/>
    </row>
    <row r="108" spans="1:16" s="41" customFormat="1" ht="30" customHeight="1">
      <c r="A108" s="42">
        <v>98</v>
      </c>
      <c r="B108" s="43" t="s">
        <v>131</v>
      </c>
      <c r="C108" s="42" t="s">
        <v>446</v>
      </c>
      <c r="D108" s="43"/>
      <c r="E108" s="43" t="s">
        <v>438</v>
      </c>
      <c r="F108" s="43"/>
      <c r="G108" s="29" t="s">
        <v>557</v>
      </c>
      <c r="H108" s="49" t="s">
        <v>552</v>
      </c>
      <c r="I108" s="49" t="s">
        <v>595</v>
      </c>
      <c r="J108" s="29" t="s">
        <v>459</v>
      </c>
      <c r="K108" s="49" t="s">
        <v>558</v>
      </c>
      <c r="L108" s="49" t="s">
        <v>556</v>
      </c>
      <c r="M108" s="49" t="s">
        <v>539</v>
      </c>
      <c r="N108" s="50" t="s">
        <v>501</v>
      </c>
      <c r="O108" s="45"/>
      <c r="P108" s="40"/>
    </row>
    <row r="109" spans="1:16" s="41" customFormat="1" ht="30" customHeight="1">
      <c r="A109" s="34">
        <v>99</v>
      </c>
      <c r="B109" s="35" t="s">
        <v>76</v>
      </c>
      <c r="C109" s="34" t="s">
        <v>410</v>
      </c>
      <c r="D109" s="80" t="s">
        <v>132</v>
      </c>
      <c r="E109" s="80" t="s">
        <v>435</v>
      </c>
      <c r="F109" s="80" t="s">
        <v>13</v>
      </c>
      <c r="G109" s="46"/>
      <c r="H109" s="44"/>
      <c r="I109" s="44"/>
      <c r="J109" s="46"/>
      <c r="K109" s="44"/>
      <c r="L109" s="44"/>
      <c r="M109" s="44"/>
      <c r="N109" s="44"/>
      <c r="O109" s="45"/>
      <c r="P109" s="40"/>
    </row>
    <row r="110" spans="1:16" s="41" customFormat="1" ht="30" customHeight="1">
      <c r="A110" s="34"/>
      <c r="B110" s="35"/>
      <c r="C110" s="34"/>
      <c r="D110" s="35"/>
      <c r="E110" s="35"/>
      <c r="F110" s="35"/>
      <c r="G110" s="46"/>
      <c r="H110" s="44"/>
      <c r="I110" s="44"/>
      <c r="J110" s="46"/>
      <c r="K110" s="44"/>
      <c r="L110" s="44"/>
      <c r="M110" s="44"/>
      <c r="N110" s="44"/>
      <c r="O110" s="45"/>
      <c r="P110" s="40"/>
    </row>
    <row r="111" spans="1:16" s="41" customFormat="1" ht="30" customHeight="1">
      <c r="A111" s="42">
        <v>100</v>
      </c>
      <c r="B111" s="43" t="s">
        <v>106</v>
      </c>
      <c r="C111" s="42"/>
      <c r="D111" s="43"/>
      <c r="E111" s="43" t="s">
        <v>438</v>
      </c>
      <c r="F111" s="43"/>
      <c r="G111" s="65" t="s">
        <v>127</v>
      </c>
      <c r="H111" s="43"/>
      <c r="I111" s="43" t="s">
        <v>595</v>
      </c>
      <c r="J111" s="65" t="s">
        <v>468</v>
      </c>
      <c r="K111" s="43"/>
      <c r="L111" s="43"/>
      <c r="M111" s="43"/>
      <c r="N111" s="66"/>
      <c r="O111" s="45"/>
      <c r="P111" s="40"/>
    </row>
    <row r="112" spans="1:16" s="41" customFormat="1" ht="30" customHeight="1">
      <c r="A112" s="34">
        <v>101</v>
      </c>
      <c r="B112" s="35" t="s">
        <v>133</v>
      </c>
      <c r="C112" s="34" t="s">
        <v>411</v>
      </c>
      <c r="D112" s="59"/>
      <c r="E112" s="59" t="s">
        <v>438</v>
      </c>
      <c r="F112" s="59"/>
      <c r="G112" s="60" t="s">
        <v>134</v>
      </c>
      <c r="H112" s="59"/>
      <c r="I112" s="59" t="s">
        <v>595</v>
      </c>
      <c r="J112" s="60" t="s">
        <v>468</v>
      </c>
      <c r="K112" s="59"/>
      <c r="L112" s="59"/>
      <c r="M112" s="59" t="s">
        <v>472</v>
      </c>
      <c r="N112" s="61" t="s">
        <v>473</v>
      </c>
      <c r="O112" s="45"/>
      <c r="P112" s="40"/>
    </row>
    <row r="113" spans="1:16" s="41" customFormat="1" ht="30" customHeight="1">
      <c r="A113" s="34"/>
      <c r="B113" s="35"/>
      <c r="C113" s="62"/>
      <c r="D113" s="59"/>
      <c r="E113" s="59"/>
      <c r="F113" s="59"/>
      <c r="G113" s="60" t="s">
        <v>135</v>
      </c>
      <c r="H113" s="59"/>
      <c r="I113" s="59"/>
      <c r="J113" s="60"/>
      <c r="K113" s="59"/>
      <c r="L113" s="59"/>
      <c r="M113" s="59"/>
      <c r="N113" s="61"/>
      <c r="O113" s="45"/>
      <c r="P113" s="40"/>
    </row>
    <row r="114" spans="1:16" s="41" customFormat="1" ht="30" customHeight="1">
      <c r="A114" s="34"/>
      <c r="B114" s="35"/>
      <c r="C114" s="62"/>
      <c r="D114" s="59"/>
      <c r="E114" s="59"/>
      <c r="F114" s="59"/>
      <c r="G114" s="80" t="s">
        <v>136</v>
      </c>
      <c r="H114" s="59"/>
      <c r="I114" s="59"/>
      <c r="J114" s="60"/>
      <c r="K114" s="59"/>
      <c r="L114" s="59"/>
      <c r="M114" s="59"/>
      <c r="N114" s="61"/>
      <c r="O114" s="45"/>
      <c r="P114" s="40"/>
    </row>
    <row r="115" spans="1:16" s="41" customFormat="1" ht="30" customHeight="1">
      <c r="A115" s="34"/>
      <c r="B115" s="35"/>
      <c r="C115" s="62"/>
      <c r="D115" s="59"/>
      <c r="E115" s="59"/>
      <c r="F115" s="59"/>
      <c r="G115" s="60" t="s">
        <v>127</v>
      </c>
      <c r="H115" s="59"/>
      <c r="I115" s="59"/>
      <c r="J115" s="60"/>
      <c r="K115" s="59"/>
      <c r="L115" s="59"/>
      <c r="M115" s="59"/>
      <c r="N115" s="61"/>
      <c r="O115" s="45"/>
      <c r="P115" s="40"/>
    </row>
    <row r="116" spans="1:16" s="41" customFormat="1" ht="30" customHeight="1">
      <c r="A116" s="34"/>
      <c r="B116" s="35"/>
      <c r="C116" s="34"/>
      <c r="D116" s="35"/>
      <c r="E116" s="35"/>
      <c r="F116" s="35"/>
      <c r="G116" s="80"/>
      <c r="H116" s="35"/>
      <c r="I116" s="35"/>
      <c r="J116" s="80"/>
      <c r="K116" s="35"/>
      <c r="L116" s="35"/>
      <c r="M116" s="35"/>
      <c r="N116" s="47"/>
      <c r="O116" s="45"/>
      <c r="P116" s="40"/>
    </row>
    <row r="117" spans="1:16" s="41" customFormat="1" ht="76.5">
      <c r="A117" s="48">
        <v>102</v>
      </c>
      <c r="B117" s="49" t="s">
        <v>137</v>
      </c>
      <c r="C117" s="48"/>
      <c r="D117" s="49"/>
      <c r="E117" s="49" t="s">
        <v>438</v>
      </c>
      <c r="F117" s="49"/>
      <c r="G117" s="29" t="s">
        <v>597</v>
      </c>
      <c r="H117" s="49"/>
      <c r="I117" s="49" t="s">
        <v>595</v>
      </c>
      <c r="J117" s="29" t="s">
        <v>459</v>
      </c>
      <c r="K117" s="49" t="s">
        <v>561</v>
      </c>
      <c r="L117" s="49" t="s">
        <v>555</v>
      </c>
      <c r="M117" s="49" t="s">
        <v>472</v>
      </c>
      <c r="N117" s="50"/>
      <c r="O117" s="45"/>
      <c r="P117" s="40"/>
    </row>
    <row r="118" spans="1:16" s="41" customFormat="1" ht="63.75" customHeight="1">
      <c r="A118" s="34">
        <v>103</v>
      </c>
      <c r="B118" s="35" t="s">
        <v>138</v>
      </c>
      <c r="C118" s="34">
        <v>205</v>
      </c>
      <c r="D118" s="35" t="s">
        <v>139</v>
      </c>
      <c r="E118" s="35"/>
      <c r="F118" s="35" t="s">
        <v>538</v>
      </c>
      <c r="G118" s="46"/>
      <c r="H118" s="44"/>
      <c r="I118" s="44"/>
      <c r="J118" s="46"/>
      <c r="K118" s="44"/>
      <c r="L118" s="44"/>
      <c r="M118" s="44"/>
      <c r="N118" s="44"/>
      <c r="O118" s="45"/>
      <c r="P118" s="40"/>
    </row>
    <row r="119" spans="1:16" s="41" customFormat="1" ht="30" customHeight="1">
      <c r="A119" s="48">
        <v>104</v>
      </c>
      <c r="B119" s="49" t="s">
        <v>140</v>
      </c>
      <c r="C119" s="48">
        <v>90</v>
      </c>
      <c r="D119" s="49" t="s">
        <v>141</v>
      </c>
      <c r="E119" s="49" t="s">
        <v>438</v>
      </c>
      <c r="F119" s="49" t="s">
        <v>538</v>
      </c>
      <c r="G119" s="46"/>
      <c r="H119" s="44"/>
      <c r="I119" s="44"/>
      <c r="J119" s="46"/>
      <c r="K119" s="44"/>
      <c r="L119" s="44"/>
      <c r="M119" s="44"/>
      <c r="N119" s="44"/>
      <c r="O119" s="45"/>
      <c r="P119" s="40"/>
    </row>
    <row r="120" spans="1:16" s="41" customFormat="1" ht="30" customHeight="1">
      <c r="A120" s="55"/>
      <c r="B120" s="56"/>
      <c r="C120" s="55"/>
      <c r="D120" s="56" t="s">
        <v>142</v>
      </c>
      <c r="E120" s="56"/>
      <c r="F120" s="56" t="s">
        <v>538</v>
      </c>
      <c r="G120" s="46"/>
      <c r="H120" s="44"/>
      <c r="I120" s="44"/>
      <c r="J120" s="46"/>
      <c r="K120" s="44"/>
      <c r="L120" s="44"/>
      <c r="M120" s="44"/>
      <c r="N120" s="44"/>
      <c r="O120" s="45"/>
      <c r="P120" s="40"/>
    </row>
    <row r="121" spans="1:16" s="41" customFormat="1" ht="67.5" customHeight="1">
      <c r="A121" s="51"/>
      <c r="B121" s="52"/>
      <c r="C121" s="51"/>
      <c r="D121" s="52" t="s">
        <v>143</v>
      </c>
      <c r="E121" s="52"/>
      <c r="F121" s="52" t="s">
        <v>538</v>
      </c>
      <c r="G121" s="46"/>
      <c r="H121" s="44"/>
      <c r="I121" s="44"/>
      <c r="J121" s="46"/>
      <c r="K121" s="44"/>
      <c r="L121" s="44"/>
      <c r="M121" s="44"/>
      <c r="N121" s="44"/>
      <c r="O121" s="45"/>
      <c r="P121" s="40"/>
    </row>
    <row r="122" spans="1:16" s="41" customFormat="1" ht="51">
      <c r="A122" s="34">
        <v>105</v>
      </c>
      <c r="B122" s="35" t="s">
        <v>144</v>
      </c>
      <c r="C122" s="34" t="s">
        <v>412</v>
      </c>
      <c r="D122" s="35" t="s">
        <v>145</v>
      </c>
      <c r="E122" s="35" t="s">
        <v>438</v>
      </c>
      <c r="F122" s="35" t="s">
        <v>538</v>
      </c>
      <c r="G122" s="46"/>
      <c r="H122" s="44"/>
      <c r="I122" s="44"/>
      <c r="J122" s="46"/>
      <c r="K122" s="44"/>
      <c r="L122" s="44"/>
      <c r="M122" s="44"/>
      <c r="N122" s="44"/>
      <c r="O122" s="45">
        <v>1</v>
      </c>
      <c r="P122" s="40"/>
    </row>
    <row r="123" spans="1:16" s="41" customFormat="1" ht="30" customHeight="1">
      <c r="A123" s="34"/>
      <c r="B123" s="35"/>
      <c r="C123" s="34"/>
      <c r="D123" s="35" t="s">
        <v>146</v>
      </c>
      <c r="E123" s="35"/>
      <c r="F123" s="35" t="s">
        <v>538</v>
      </c>
      <c r="G123" s="46"/>
      <c r="H123" s="44"/>
      <c r="I123" s="44"/>
      <c r="J123" s="46"/>
      <c r="K123" s="44"/>
      <c r="L123" s="44"/>
      <c r="M123" s="44"/>
      <c r="N123" s="44"/>
      <c r="O123" s="45"/>
      <c r="P123" s="40"/>
    </row>
    <row r="124" spans="1:16" s="41" customFormat="1" ht="30" customHeight="1">
      <c r="A124" s="34"/>
      <c r="B124" s="35"/>
      <c r="C124" s="34"/>
      <c r="D124" s="35" t="s">
        <v>141</v>
      </c>
      <c r="E124" s="35"/>
      <c r="F124" s="35" t="s">
        <v>538</v>
      </c>
      <c r="G124" s="46"/>
      <c r="H124" s="44"/>
      <c r="I124" s="44"/>
      <c r="J124" s="46"/>
      <c r="K124" s="44"/>
      <c r="L124" s="44"/>
      <c r="M124" s="44"/>
      <c r="N124" s="44"/>
      <c r="O124" s="45"/>
      <c r="P124" s="40"/>
    </row>
    <row r="125" spans="1:16" s="41" customFormat="1" ht="30" customHeight="1">
      <c r="A125" s="34"/>
      <c r="B125" s="35"/>
      <c r="C125" s="34"/>
      <c r="D125" s="35" t="s">
        <v>147</v>
      </c>
      <c r="E125" s="35"/>
      <c r="F125" s="35" t="s">
        <v>538</v>
      </c>
      <c r="G125" s="46"/>
      <c r="H125" s="44"/>
      <c r="I125" s="44"/>
      <c r="J125" s="46"/>
      <c r="K125" s="44"/>
      <c r="L125" s="44"/>
      <c r="M125" s="44"/>
      <c r="N125" s="44"/>
      <c r="O125" s="45"/>
      <c r="P125" s="40"/>
    </row>
    <row r="126" spans="1:16" s="41" customFormat="1" ht="30" customHeight="1">
      <c r="A126" s="34"/>
      <c r="B126" s="35"/>
      <c r="C126" s="34"/>
      <c r="D126" s="35" t="s">
        <v>142</v>
      </c>
      <c r="E126" s="35"/>
      <c r="F126" s="35" t="s">
        <v>538</v>
      </c>
      <c r="G126" s="46"/>
      <c r="H126" s="44"/>
      <c r="I126" s="44"/>
      <c r="J126" s="46"/>
      <c r="K126" s="44"/>
      <c r="L126" s="44"/>
      <c r="M126" s="44"/>
      <c r="N126" s="44"/>
      <c r="O126" s="45"/>
      <c r="P126" s="40"/>
    </row>
    <row r="127" spans="1:16" s="41" customFormat="1" ht="30" customHeight="1">
      <c r="A127" s="34"/>
      <c r="B127" s="35"/>
      <c r="C127" s="34"/>
      <c r="D127" s="35" t="s">
        <v>143</v>
      </c>
      <c r="E127" s="35"/>
      <c r="F127" s="35" t="s">
        <v>538</v>
      </c>
      <c r="G127" s="46"/>
      <c r="H127" s="44"/>
      <c r="I127" s="44"/>
      <c r="J127" s="46"/>
      <c r="K127" s="44"/>
      <c r="L127" s="44"/>
      <c r="M127" s="44"/>
      <c r="N127" s="44"/>
      <c r="O127" s="45"/>
      <c r="P127" s="40"/>
    </row>
    <row r="128" spans="1:16" s="41" customFormat="1" ht="52.5" customHeight="1">
      <c r="A128" s="42">
        <v>106</v>
      </c>
      <c r="B128" s="43" t="s">
        <v>148</v>
      </c>
      <c r="C128" s="42">
        <v>172</v>
      </c>
      <c r="D128" s="43"/>
      <c r="E128" s="43" t="s">
        <v>438</v>
      </c>
      <c r="F128" s="43" t="s">
        <v>538</v>
      </c>
      <c r="G128" s="46"/>
      <c r="H128" s="44"/>
      <c r="I128" s="44"/>
      <c r="J128" s="46"/>
      <c r="K128" s="44"/>
      <c r="L128" s="44"/>
      <c r="M128" s="44"/>
      <c r="N128" s="44"/>
      <c r="O128" s="45"/>
      <c r="P128" s="40"/>
    </row>
    <row r="129" spans="1:16" s="41" customFormat="1" ht="30" customHeight="1">
      <c r="A129" s="34">
        <v>107</v>
      </c>
      <c r="B129" s="35" t="s">
        <v>149</v>
      </c>
      <c r="C129" s="34">
        <v>204</v>
      </c>
      <c r="D129" s="35"/>
      <c r="E129" s="35" t="s">
        <v>438</v>
      </c>
      <c r="F129" s="35" t="s">
        <v>538</v>
      </c>
      <c r="G129" s="46"/>
      <c r="H129" s="44"/>
      <c r="I129" s="44"/>
      <c r="J129" s="46"/>
      <c r="K129" s="44"/>
      <c r="L129" s="44"/>
      <c r="M129" s="44"/>
      <c r="N129" s="44"/>
      <c r="O129" s="45">
        <v>1</v>
      </c>
      <c r="P129" s="40"/>
    </row>
    <row r="130" spans="1:16" s="41" customFormat="1" ht="63.75" customHeight="1">
      <c r="A130" s="48">
        <v>108</v>
      </c>
      <c r="B130" s="49" t="s">
        <v>150</v>
      </c>
      <c r="C130" s="48" t="s">
        <v>413</v>
      </c>
      <c r="D130" s="49" t="s">
        <v>139</v>
      </c>
      <c r="E130" s="49" t="s">
        <v>438</v>
      </c>
      <c r="F130" s="49" t="s">
        <v>538</v>
      </c>
      <c r="G130" s="46"/>
      <c r="H130" s="44"/>
      <c r="I130" s="44"/>
      <c r="J130" s="46"/>
      <c r="K130" s="44"/>
      <c r="L130" s="44"/>
      <c r="M130" s="44"/>
      <c r="N130" s="44"/>
      <c r="O130" s="45">
        <v>1</v>
      </c>
      <c r="P130" s="40"/>
    </row>
    <row r="131" spans="1:16" s="41" customFormat="1" ht="30" customHeight="1">
      <c r="A131" s="34">
        <v>109</v>
      </c>
      <c r="B131" s="35" t="s">
        <v>151</v>
      </c>
      <c r="C131" s="34" t="s">
        <v>414</v>
      </c>
      <c r="D131" s="35"/>
      <c r="E131" s="35" t="s">
        <v>435</v>
      </c>
      <c r="F131" s="35" t="s">
        <v>13</v>
      </c>
      <c r="G131" s="46"/>
      <c r="H131" s="44"/>
      <c r="I131" s="44"/>
      <c r="J131" s="46"/>
      <c r="K131" s="44"/>
      <c r="L131" s="44"/>
      <c r="M131" s="44"/>
      <c r="N131" s="44"/>
      <c r="O131" s="45"/>
      <c r="P131" s="40"/>
    </row>
    <row r="132" spans="1:16" s="41" customFormat="1" ht="54.75" customHeight="1">
      <c r="A132" s="42">
        <v>110</v>
      </c>
      <c r="B132" s="43" t="s">
        <v>152</v>
      </c>
      <c r="C132" s="42"/>
      <c r="D132" s="43"/>
      <c r="E132" s="43" t="s">
        <v>435</v>
      </c>
      <c r="F132" s="43" t="s">
        <v>153</v>
      </c>
      <c r="G132" s="44"/>
      <c r="H132" s="44"/>
      <c r="I132" s="44"/>
      <c r="J132" s="44"/>
      <c r="K132" s="44"/>
      <c r="L132" s="44"/>
      <c r="M132" s="44"/>
      <c r="N132" s="44"/>
      <c r="O132" s="45">
        <v>1</v>
      </c>
      <c r="P132" s="40"/>
    </row>
    <row r="133" spans="1:16" s="41" customFormat="1" ht="30" customHeight="1">
      <c r="A133" s="34">
        <v>111</v>
      </c>
      <c r="B133" s="35" t="s">
        <v>76</v>
      </c>
      <c r="C133" s="34" t="s">
        <v>415</v>
      </c>
      <c r="D133" s="35"/>
      <c r="E133" s="35" t="s">
        <v>435</v>
      </c>
      <c r="F133" s="35" t="s">
        <v>13</v>
      </c>
      <c r="G133" s="46"/>
      <c r="H133" s="44"/>
      <c r="I133" s="44"/>
      <c r="J133" s="46"/>
      <c r="K133" s="44"/>
      <c r="L133" s="44"/>
      <c r="M133" s="44"/>
      <c r="N133" s="44"/>
      <c r="O133" s="45"/>
      <c r="P133" s="40"/>
    </row>
    <row r="134" spans="1:16" s="41" customFormat="1" ht="30" customHeight="1">
      <c r="A134" s="34"/>
      <c r="B134" s="35"/>
      <c r="C134" s="34"/>
      <c r="D134" s="35"/>
      <c r="E134" s="35"/>
      <c r="F134" s="35"/>
      <c r="G134" s="46"/>
      <c r="H134" s="44"/>
      <c r="I134" s="44"/>
      <c r="J134" s="46"/>
      <c r="K134" s="44"/>
      <c r="L134" s="44"/>
      <c r="M134" s="44"/>
      <c r="N134" s="44"/>
      <c r="O134" s="45"/>
      <c r="P134" s="40"/>
    </row>
    <row r="135" spans="1:16" s="41" customFormat="1" ht="30" customHeight="1">
      <c r="A135" s="34"/>
      <c r="B135" s="35"/>
      <c r="C135" s="34"/>
      <c r="D135" s="35"/>
      <c r="E135" s="35"/>
      <c r="F135" s="35"/>
      <c r="G135" s="46"/>
      <c r="H135" s="44"/>
      <c r="I135" s="44"/>
      <c r="J135" s="46"/>
      <c r="K135" s="44"/>
      <c r="L135" s="44"/>
      <c r="M135" s="44"/>
      <c r="N135" s="44"/>
      <c r="O135" s="45"/>
      <c r="P135" s="40"/>
    </row>
    <row r="136" spans="1:16" s="41" customFormat="1" ht="30" customHeight="1">
      <c r="A136" s="48">
        <v>112</v>
      </c>
      <c r="B136" s="49" t="s">
        <v>154</v>
      </c>
      <c r="C136" s="48">
        <v>239</v>
      </c>
      <c r="D136" s="49" t="s">
        <v>155</v>
      </c>
      <c r="E136" s="49" t="s">
        <v>438</v>
      </c>
      <c r="F136" s="49"/>
      <c r="G136" s="29" t="s">
        <v>156</v>
      </c>
      <c r="H136" s="49" t="s">
        <v>467</v>
      </c>
      <c r="I136" s="49" t="s">
        <v>595</v>
      </c>
      <c r="J136" s="29" t="s">
        <v>468</v>
      </c>
      <c r="K136" s="49"/>
      <c r="L136" s="49" t="s">
        <v>469</v>
      </c>
      <c r="M136" s="49" t="s">
        <v>471</v>
      </c>
      <c r="N136" s="50" t="s">
        <v>470</v>
      </c>
      <c r="O136" s="45"/>
      <c r="P136" s="40"/>
    </row>
    <row r="137" spans="1:16" s="41" customFormat="1" ht="30" customHeight="1">
      <c r="A137" s="55"/>
      <c r="B137" s="56"/>
      <c r="C137" s="55"/>
      <c r="D137" s="56"/>
      <c r="E137" s="56"/>
      <c r="F137" s="56"/>
      <c r="G137" s="57" t="s">
        <v>157</v>
      </c>
      <c r="H137" s="56"/>
      <c r="I137" s="56"/>
      <c r="J137" s="57"/>
      <c r="K137" s="56"/>
      <c r="L137" s="56"/>
      <c r="M137" s="56"/>
      <c r="N137" s="58"/>
      <c r="O137" s="45"/>
      <c r="P137" s="40"/>
    </row>
    <row r="138" spans="1:16" s="41" customFormat="1" ht="30" customHeight="1">
      <c r="A138" s="51"/>
      <c r="B138" s="52"/>
      <c r="C138" s="51"/>
      <c r="D138" s="52"/>
      <c r="E138" s="52"/>
      <c r="F138" s="52"/>
      <c r="G138" s="53" t="s">
        <v>127</v>
      </c>
      <c r="H138" s="52"/>
      <c r="I138" s="52"/>
      <c r="J138" s="53"/>
      <c r="K138" s="52"/>
      <c r="L138" s="52"/>
      <c r="M138" s="52"/>
      <c r="N138" s="54"/>
      <c r="O138" s="45"/>
      <c r="P138" s="40"/>
    </row>
    <row r="139" spans="1:16" s="41" customFormat="1" ht="44.25" customHeight="1">
      <c r="A139" s="34">
        <v>113</v>
      </c>
      <c r="B139" s="35" t="s">
        <v>158</v>
      </c>
      <c r="C139" s="34"/>
      <c r="D139" s="35"/>
      <c r="E139" s="35" t="s">
        <v>435</v>
      </c>
      <c r="F139" s="35" t="s">
        <v>13</v>
      </c>
      <c r="G139" s="46"/>
      <c r="H139" s="44"/>
      <c r="I139" s="44"/>
      <c r="J139" s="46"/>
      <c r="K139" s="44"/>
      <c r="L139" s="44"/>
      <c r="M139" s="44"/>
      <c r="N139" s="44"/>
      <c r="O139" s="45"/>
      <c r="P139" s="40"/>
    </row>
    <row r="140" spans="1:16" s="41" customFormat="1" ht="30" customHeight="1">
      <c r="A140" s="42">
        <v>114</v>
      </c>
      <c r="B140" s="43" t="s">
        <v>76</v>
      </c>
      <c r="C140" s="42"/>
      <c r="D140" s="43"/>
      <c r="E140" s="43" t="s">
        <v>435</v>
      </c>
      <c r="F140" s="43" t="s">
        <v>13</v>
      </c>
      <c r="G140" s="44"/>
      <c r="H140" s="44"/>
      <c r="I140" s="44"/>
      <c r="J140" s="44"/>
      <c r="K140" s="44"/>
      <c r="L140" s="44"/>
      <c r="M140" s="44"/>
      <c r="N140" s="44"/>
      <c r="O140" s="45"/>
      <c r="P140" s="40"/>
    </row>
    <row r="141" spans="1:16" s="41" customFormat="1" ht="51">
      <c r="A141" s="34">
        <v>115</v>
      </c>
      <c r="B141" s="35" t="s">
        <v>159</v>
      </c>
      <c r="C141" s="34"/>
      <c r="D141" s="35" t="s">
        <v>160</v>
      </c>
      <c r="E141" s="35" t="s">
        <v>429</v>
      </c>
      <c r="F141" s="35"/>
      <c r="G141" s="80" t="s">
        <v>574</v>
      </c>
      <c r="H141" s="35" t="s">
        <v>472</v>
      </c>
      <c r="I141" s="35" t="s">
        <v>595</v>
      </c>
      <c r="J141" s="80" t="s">
        <v>459</v>
      </c>
      <c r="K141" s="35" t="s">
        <v>494</v>
      </c>
      <c r="L141" s="35" t="s">
        <v>474</v>
      </c>
      <c r="M141" s="35" t="s">
        <v>475</v>
      </c>
      <c r="N141" s="47" t="s">
        <v>473</v>
      </c>
      <c r="O141" s="45"/>
      <c r="P141" s="40"/>
    </row>
    <row r="142" spans="1:16" s="41" customFormat="1" ht="30" customHeight="1">
      <c r="A142" s="34"/>
      <c r="B142" s="35"/>
      <c r="C142" s="34"/>
      <c r="D142" s="35"/>
      <c r="E142" s="35"/>
      <c r="F142" s="35"/>
      <c r="G142" s="80" t="s">
        <v>162</v>
      </c>
      <c r="H142" s="35"/>
      <c r="I142" s="35"/>
      <c r="J142" s="80"/>
      <c r="K142" s="35"/>
      <c r="L142" s="35"/>
      <c r="M142" s="35"/>
      <c r="N142" s="47"/>
      <c r="O142" s="45"/>
      <c r="P142" s="40"/>
    </row>
    <row r="143" spans="1:16" s="41" customFormat="1" ht="30" customHeight="1">
      <c r="A143" s="48">
        <v>116</v>
      </c>
      <c r="B143" s="49" t="s">
        <v>163</v>
      </c>
      <c r="C143" s="48"/>
      <c r="D143" s="49" t="s">
        <v>164</v>
      </c>
      <c r="E143" s="49" t="s">
        <v>429</v>
      </c>
      <c r="F143" s="49"/>
      <c r="G143" s="49" t="s">
        <v>156</v>
      </c>
      <c r="H143" s="49"/>
      <c r="I143" s="49" t="s">
        <v>595</v>
      </c>
      <c r="J143" s="49" t="s">
        <v>468</v>
      </c>
      <c r="K143" s="49"/>
      <c r="L143" s="49" t="s">
        <v>476</v>
      </c>
      <c r="M143" s="49" t="s">
        <v>477</v>
      </c>
      <c r="N143" s="50"/>
      <c r="O143" s="45"/>
      <c r="P143" s="40"/>
    </row>
    <row r="144" spans="1:16" s="41" customFormat="1" ht="30" customHeight="1">
      <c r="A144" s="55"/>
      <c r="B144" s="56"/>
      <c r="C144" s="55"/>
      <c r="D144" s="56"/>
      <c r="E144" s="56"/>
      <c r="F144" s="56"/>
      <c r="G144" s="56" t="s">
        <v>157</v>
      </c>
      <c r="H144" s="56"/>
      <c r="I144" s="56"/>
      <c r="J144" s="56"/>
      <c r="K144" s="56"/>
      <c r="L144" s="56"/>
      <c r="M144" s="56"/>
      <c r="N144" s="58"/>
      <c r="O144" s="45"/>
      <c r="P144" s="40"/>
    </row>
    <row r="145" spans="1:16" s="41" customFormat="1" ht="30" customHeight="1">
      <c r="A145" s="55"/>
      <c r="B145" s="56"/>
      <c r="C145" s="55"/>
      <c r="D145" s="56"/>
      <c r="E145" s="56"/>
      <c r="F145" s="56"/>
      <c r="G145" s="56" t="s">
        <v>165</v>
      </c>
      <c r="H145" s="56"/>
      <c r="I145" s="56"/>
      <c r="J145" s="56"/>
      <c r="K145" s="56"/>
      <c r="L145" s="56"/>
      <c r="M145" s="56"/>
      <c r="N145" s="58"/>
      <c r="O145" s="45"/>
      <c r="P145" s="40"/>
    </row>
    <row r="146" spans="1:16" s="41" customFormat="1" ht="30" customHeight="1">
      <c r="A146" s="51"/>
      <c r="B146" s="52"/>
      <c r="C146" s="51"/>
      <c r="D146" s="52"/>
      <c r="E146" s="52"/>
      <c r="F146" s="52"/>
      <c r="G146" s="52"/>
      <c r="H146" s="52"/>
      <c r="I146" s="52"/>
      <c r="J146" s="52"/>
      <c r="K146" s="52"/>
      <c r="L146" s="52"/>
      <c r="M146" s="52"/>
      <c r="N146" s="54"/>
      <c r="O146" s="45"/>
      <c r="P146" s="40"/>
    </row>
    <row r="147" spans="1:16" s="41" customFormat="1" ht="30" customHeight="1">
      <c r="A147" s="34">
        <v>117</v>
      </c>
      <c r="B147" s="35" t="s">
        <v>166</v>
      </c>
      <c r="C147" s="34"/>
      <c r="D147" s="35"/>
      <c r="E147" s="35" t="s">
        <v>435</v>
      </c>
      <c r="F147" s="35" t="s">
        <v>13</v>
      </c>
      <c r="G147" s="46"/>
      <c r="H147" s="44"/>
      <c r="I147" s="44"/>
      <c r="J147" s="46"/>
      <c r="K147" s="44"/>
      <c r="L147" s="44"/>
      <c r="M147" s="44"/>
      <c r="N147" s="44"/>
      <c r="O147" s="45"/>
      <c r="P147" s="40"/>
    </row>
    <row r="148" spans="1:16" s="41" customFormat="1" ht="30" customHeight="1">
      <c r="A148" s="42">
        <v>118</v>
      </c>
      <c r="B148" s="43" t="s">
        <v>167</v>
      </c>
      <c r="C148" s="42"/>
      <c r="D148" s="43"/>
      <c r="E148" s="43" t="s">
        <v>429</v>
      </c>
      <c r="F148" s="43" t="s">
        <v>13</v>
      </c>
      <c r="G148" s="44"/>
      <c r="H148" s="44"/>
      <c r="I148" s="44"/>
      <c r="J148" s="44"/>
      <c r="K148" s="44"/>
      <c r="L148" s="44"/>
      <c r="M148" s="44"/>
      <c r="N148" s="44"/>
      <c r="O148" s="45"/>
      <c r="P148" s="40"/>
    </row>
    <row r="149" spans="1:16" s="41" customFormat="1" ht="60" customHeight="1">
      <c r="A149" s="34">
        <v>119</v>
      </c>
      <c r="B149" s="35" t="s">
        <v>152</v>
      </c>
      <c r="C149" s="34"/>
      <c r="D149" s="35"/>
      <c r="E149" s="35" t="s">
        <v>429</v>
      </c>
      <c r="F149" s="35" t="s">
        <v>13</v>
      </c>
      <c r="G149" s="46"/>
      <c r="H149" s="44"/>
      <c r="I149" s="44"/>
      <c r="J149" s="46"/>
      <c r="K149" s="44"/>
      <c r="L149" s="44"/>
      <c r="M149" s="44"/>
      <c r="N149" s="44"/>
      <c r="O149" s="45"/>
      <c r="P149" s="40"/>
    </row>
    <row r="150" spans="1:16" s="41" customFormat="1" ht="30" customHeight="1">
      <c r="A150" s="48">
        <v>120</v>
      </c>
      <c r="B150" s="49" t="s">
        <v>168</v>
      </c>
      <c r="C150" s="48" t="s">
        <v>598</v>
      </c>
      <c r="D150" s="49" t="s">
        <v>169</v>
      </c>
      <c r="E150" s="49" t="s">
        <v>438</v>
      </c>
      <c r="F150" s="49"/>
      <c r="G150" s="29" t="s">
        <v>170</v>
      </c>
      <c r="H150" s="49" t="s">
        <v>478</v>
      </c>
      <c r="I150" s="49" t="s">
        <v>595</v>
      </c>
      <c r="J150" s="29" t="s">
        <v>462</v>
      </c>
      <c r="K150" s="49" t="s">
        <v>582</v>
      </c>
      <c r="L150" s="49"/>
      <c r="M150" s="49" t="s">
        <v>562</v>
      </c>
      <c r="N150" s="50" t="s">
        <v>478</v>
      </c>
      <c r="O150" s="45">
        <v>1</v>
      </c>
      <c r="P150" s="40"/>
    </row>
    <row r="151" spans="1:16" s="41" customFormat="1" ht="30" customHeight="1">
      <c r="A151" s="55"/>
      <c r="B151" s="56"/>
      <c r="C151" s="55"/>
      <c r="D151" s="56"/>
      <c r="E151" s="56"/>
      <c r="F151" s="56"/>
      <c r="G151" s="57" t="s">
        <v>171</v>
      </c>
      <c r="H151" s="56"/>
      <c r="I151" s="56"/>
      <c r="J151" s="57"/>
      <c r="K151" s="56"/>
      <c r="L151" s="56"/>
      <c r="M151" s="56"/>
      <c r="N151" s="58"/>
      <c r="O151" s="45"/>
      <c r="P151" s="40"/>
    </row>
    <row r="152" spans="1:16" s="41" customFormat="1" ht="30" customHeight="1">
      <c r="A152" s="55"/>
      <c r="B152" s="56"/>
      <c r="C152" s="55"/>
      <c r="D152" s="56"/>
      <c r="E152" s="56"/>
      <c r="F152" s="56"/>
      <c r="G152" s="57" t="s">
        <v>136</v>
      </c>
      <c r="H152" s="56"/>
      <c r="I152" s="56"/>
      <c r="J152" s="57"/>
      <c r="K152" s="56"/>
      <c r="L152" s="56"/>
      <c r="M152" s="56"/>
      <c r="N152" s="58"/>
      <c r="O152" s="45"/>
      <c r="P152" s="40"/>
    </row>
    <row r="153" spans="1:16" s="41" customFormat="1" ht="30" customHeight="1">
      <c r="A153" s="55"/>
      <c r="B153" s="56"/>
      <c r="C153" s="55"/>
      <c r="D153" s="56"/>
      <c r="E153" s="56"/>
      <c r="F153" s="56"/>
      <c r="G153" s="57" t="s">
        <v>172</v>
      </c>
      <c r="H153" s="56"/>
      <c r="I153" s="56"/>
      <c r="J153" s="57"/>
      <c r="K153" s="56"/>
      <c r="L153" s="56"/>
      <c r="M153" s="56"/>
      <c r="N153" s="58"/>
      <c r="O153" s="45"/>
      <c r="P153" s="40"/>
    </row>
    <row r="154" spans="1:16" s="41" customFormat="1" ht="30" customHeight="1">
      <c r="A154" s="55"/>
      <c r="B154" s="56"/>
      <c r="C154" s="55"/>
      <c r="D154" s="56"/>
      <c r="E154" s="56"/>
      <c r="F154" s="56"/>
      <c r="G154" s="57" t="s">
        <v>173</v>
      </c>
      <c r="H154" s="56"/>
      <c r="I154" s="56"/>
      <c r="J154" s="57"/>
      <c r="K154" s="56"/>
      <c r="L154" s="56"/>
      <c r="M154" s="56"/>
      <c r="N154" s="58"/>
      <c r="O154" s="45"/>
      <c r="P154" s="40"/>
    </row>
    <row r="155" spans="1:16" s="41" customFormat="1" ht="30" customHeight="1">
      <c r="A155" s="55"/>
      <c r="B155" s="56"/>
      <c r="C155" s="55"/>
      <c r="D155" s="56"/>
      <c r="E155" s="56"/>
      <c r="F155" s="56"/>
      <c r="G155" s="57" t="s">
        <v>174</v>
      </c>
      <c r="H155" s="56"/>
      <c r="I155" s="56"/>
      <c r="J155" s="57"/>
      <c r="K155" s="56"/>
      <c r="L155" s="56"/>
      <c r="M155" s="56"/>
      <c r="N155" s="58"/>
      <c r="O155" s="45"/>
      <c r="P155" s="40"/>
    </row>
    <row r="156" spans="1:16" s="41" customFormat="1" ht="30" customHeight="1">
      <c r="A156" s="51"/>
      <c r="B156" s="52"/>
      <c r="C156" s="51"/>
      <c r="D156" s="52"/>
      <c r="E156" s="52"/>
      <c r="F156" s="52"/>
      <c r="G156" s="53" t="s">
        <v>175</v>
      </c>
      <c r="H156" s="52"/>
      <c r="I156" s="52"/>
      <c r="J156" s="53"/>
      <c r="K156" s="52"/>
      <c r="L156" s="52"/>
      <c r="M156" s="52"/>
      <c r="N156" s="54"/>
      <c r="O156" s="45"/>
      <c r="P156" s="40"/>
    </row>
    <row r="157" spans="1:16" s="41" customFormat="1" ht="30" customHeight="1">
      <c r="A157" s="34">
        <v>121</v>
      </c>
      <c r="B157" s="35" t="s">
        <v>176</v>
      </c>
      <c r="C157" s="34" t="s">
        <v>416</v>
      </c>
      <c r="D157" s="35" t="s">
        <v>177</v>
      </c>
      <c r="E157" s="35" t="s">
        <v>431</v>
      </c>
      <c r="F157" s="35"/>
      <c r="G157" s="80" t="s">
        <v>136</v>
      </c>
      <c r="H157" s="35" t="s">
        <v>473</v>
      </c>
      <c r="I157" s="35" t="s">
        <v>595</v>
      </c>
      <c r="J157" s="80" t="s">
        <v>459</v>
      </c>
      <c r="K157" s="35" t="s">
        <v>599</v>
      </c>
      <c r="L157" s="80" t="s">
        <v>180</v>
      </c>
      <c r="M157" s="35" t="s">
        <v>562</v>
      </c>
      <c r="N157" s="47" t="s">
        <v>478</v>
      </c>
      <c r="O157" s="45">
        <v>1</v>
      </c>
      <c r="P157" s="40"/>
    </row>
    <row r="158" spans="1:16" s="41" customFormat="1" ht="30" customHeight="1">
      <c r="A158" s="34"/>
      <c r="B158" s="35"/>
      <c r="C158" s="34"/>
      <c r="D158" s="35"/>
      <c r="E158" s="35"/>
      <c r="F158" s="35"/>
      <c r="G158" s="80" t="s">
        <v>178</v>
      </c>
      <c r="H158" s="35"/>
      <c r="I158" s="35"/>
      <c r="J158" s="80"/>
      <c r="K158" s="35"/>
      <c r="L158" s="80" t="s">
        <v>178</v>
      </c>
      <c r="M158" s="35"/>
      <c r="N158" s="47"/>
      <c r="O158" s="45"/>
      <c r="P158" s="40"/>
    </row>
    <row r="159" spans="1:16" s="41" customFormat="1" ht="30" customHeight="1">
      <c r="A159" s="34"/>
      <c r="B159" s="35"/>
      <c r="C159" s="34"/>
      <c r="D159" s="35"/>
      <c r="E159" s="35"/>
      <c r="F159" s="35"/>
      <c r="G159" s="80" t="s">
        <v>179</v>
      </c>
      <c r="H159" s="35"/>
      <c r="I159" s="35"/>
      <c r="J159" s="80"/>
      <c r="K159" s="35"/>
      <c r="L159" s="80" t="s">
        <v>182</v>
      </c>
      <c r="M159" s="35"/>
      <c r="N159" s="47"/>
      <c r="O159" s="45"/>
      <c r="P159" s="40"/>
    </row>
    <row r="160" spans="1:16" s="41" customFormat="1" ht="30" customHeight="1">
      <c r="A160" s="34"/>
      <c r="B160" s="35"/>
      <c r="C160" s="34"/>
      <c r="D160" s="35"/>
      <c r="E160" s="35"/>
      <c r="F160" s="35"/>
      <c r="G160" s="80" t="s">
        <v>180</v>
      </c>
      <c r="H160" s="35"/>
      <c r="I160" s="35"/>
      <c r="J160" s="80"/>
      <c r="K160" s="35"/>
      <c r="L160" s="80" t="s">
        <v>194</v>
      </c>
      <c r="M160" s="35"/>
      <c r="N160" s="47"/>
      <c r="O160" s="45"/>
      <c r="P160" s="40"/>
    </row>
    <row r="161" spans="1:16" s="41" customFormat="1" ht="30" customHeight="1">
      <c r="A161" s="34"/>
      <c r="B161" s="35"/>
      <c r="C161" s="34"/>
      <c r="D161" s="35"/>
      <c r="E161" s="35"/>
      <c r="F161" s="35"/>
      <c r="G161" s="80" t="s">
        <v>181</v>
      </c>
      <c r="H161" s="35"/>
      <c r="I161" s="35"/>
      <c r="J161" s="80"/>
      <c r="K161" s="35"/>
      <c r="L161" s="80"/>
      <c r="M161" s="35"/>
      <c r="N161" s="47"/>
      <c r="O161" s="45"/>
      <c r="P161" s="40"/>
    </row>
    <row r="162" spans="1:16" s="41" customFormat="1" ht="30" customHeight="1">
      <c r="A162" s="34"/>
      <c r="B162" s="35"/>
      <c r="C162" s="34"/>
      <c r="D162" s="35"/>
      <c r="E162" s="35"/>
      <c r="F162" s="35"/>
      <c r="G162" s="80" t="s">
        <v>182</v>
      </c>
      <c r="H162" s="35"/>
      <c r="I162" s="35"/>
      <c r="J162" s="80"/>
      <c r="K162" s="35"/>
      <c r="L162" s="80"/>
      <c r="M162" s="35"/>
      <c r="N162" s="47"/>
      <c r="O162" s="45"/>
      <c r="P162" s="40"/>
    </row>
    <row r="163" spans="1:16" s="41" customFormat="1" ht="30" customHeight="1">
      <c r="A163" s="34"/>
      <c r="B163" s="35"/>
      <c r="C163" s="34"/>
      <c r="D163" s="35"/>
      <c r="E163" s="35"/>
      <c r="F163" s="35"/>
      <c r="G163" s="80" t="s">
        <v>183</v>
      </c>
      <c r="H163" s="35"/>
      <c r="I163" s="35"/>
      <c r="J163" s="80"/>
      <c r="K163" s="35"/>
      <c r="L163" s="80"/>
      <c r="M163" s="35"/>
      <c r="N163" s="47"/>
      <c r="O163" s="45"/>
      <c r="P163" s="40"/>
    </row>
    <row r="164" spans="1:16" s="41" customFormat="1" ht="30" customHeight="1">
      <c r="A164" s="34"/>
      <c r="B164" s="35"/>
      <c r="C164" s="34"/>
      <c r="D164" s="35"/>
      <c r="E164" s="35"/>
      <c r="F164" s="35"/>
      <c r="G164" s="80" t="s">
        <v>184</v>
      </c>
      <c r="H164" s="35"/>
      <c r="I164" s="35"/>
      <c r="J164" s="80"/>
      <c r="K164" s="35"/>
      <c r="L164" s="80"/>
      <c r="M164" s="35"/>
      <c r="N164" s="47"/>
      <c r="O164" s="45"/>
      <c r="P164" s="40"/>
    </row>
    <row r="165" spans="1:16" s="41" customFormat="1" ht="30" customHeight="1">
      <c r="A165" s="34"/>
      <c r="B165" s="35"/>
      <c r="C165" s="34"/>
      <c r="D165" s="35"/>
      <c r="E165" s="35"/>
      <c r="F165" s="35"/>
      <c r="G165" s="80" t="s">
        <v>185</v>
      </c>
      <c r="H165" s="35"/>
      <c r="I165" s="35"/>
      <c r="J165" s="80"/>
      <c r="K165" s="35"/>
      <c r="L165" s="80"/>
      <c r="M165" s="35"/>
      <c r="N165" s="47"/>
      <c r="O165" s="45"/>
      <c r="P165" s="40"/>
    </row>
    <row r="166" spans="1:16" s="41" customFormat="1" ht="30" customHeight="1">
      <c r="A166" s="34"/>
      <c r="B166" s="35"/>
      <c r="C166" s="34"/>
      <c r="D166" s="35"/>
      <c r="E166" s="35"/>
      <c r="F166" s="35"/>
      <c r="G166" s="80" t="s">
        <v>186</v>
      </c>
      <c r="H166" s="35"/>
      <c r="I166" s="35"/>
      <c r="J166" s="80"/>
      <c r="K166" s="35"/>
      <c r="L166" s="80"/>
      <c r="M166" s="35"/>
      <c r="N166" s="47"/>
      <c r="O166" s="45"/>
      <c r="P166" s="40"/>
    </row>
    <row r="167" spans="1:16" s="41" customFormat="1" ht="30" customHeight="1">
      <c r="A167" s="34"/>
      <c r="B167" s="35"/>
      <c r="C167" s="34"/>
      <c r="D167" s="35"/>
      <c r="E167" s="35"/>
      <c r="F167" s="35"/>
      <c r="G167" s="80" t="s">
        <v>187</v>
      </c>
      <c r="H167" s="35"/>
      <c r="I167" s="35"/>
      <c r="J167" s="80"/>
      <c r="K167" s="35"/>
      <c r="L167" s="80"/>
      <c r="M167" s="35"/>
      <c r="N167" s="47"/>
      <c r="O167" s="45"/>
      <c r="P167" s="40"/>
    </row>
    <row r="168" spans="1:16" s="41" customFormat="1" ht="30" customHeight="1">
      <c r="A168" s="34"/>
      <c r="B168" s="35"/>
      <c r="C168" s="34"/>
      <c r="D168" s="35"/>
      <c r="E168" s="35"/>
      <c r="F168" s="35"/>
      <c r="G168" s="80" t="s">
        <v>188</v>
      </c>
      <c r="H168" s="35"/>
      <c r="I168" s="35"/>
      <c r="J168" s="80"/>
      <c r="K168" s="35"/>
      <c r="L168" s="80"/>
      <c r="M168" s="35"/>
      <c r="N168" s="47"/>
      <c r="O168" s="45"/>
      <c r="P168" s="40"/>
    </row>
    <row r="169" spans="1:16" s="41" customFormat="1" ht="30" customHeight="1">
      <c r="A169" s="34"/>
      <c r="B169" s="35"/>
      <c r="C169" s="34"/>
      <c r="D169" s="35"/>
      <c r="E169" s="35"/>
      <c r="F169" s="35"/>
      <c r="G169" s="80" t="s">
        <v>189</v>
      </c>
      <c r="H169" s="35"/>
      <c r="I169" s="35"/>
      <c r="J169" s="80"/>
      <c r="K169" s="35"/>
      <c r="L169" s="80"/>
      <c r="M169" s="35"/>
      <c r="N169" s="47"/>
      <c r="O169" s="45"/>
      <c r="P169" s="40"/>
    </row>
    <row r="170" spans="1:16" s="41" customFormat="1" ht="30" customHeight="1">
      <c r="A170" s="34"/>
      <c r="B170" s="35"/>
      <c r="C170" s="34"/>
      <c r="D170" s="35"/>
      <c r="E170" s="35"/>
      <c r="F170" s="35"/>
      <c r="G170" s="80" t="s">
        <v>190</v>
      </c>
      <c r="H170" s="35"/>
      <c r="I170" s="35"/>
      <c r="J170" s="80"/>
      <c r="K170" s="35"/>
      <c r="L170" s="80"/>
      <c r="M170" s="35"/>
      <c r="N170" s="47"/>
      <c r="O170" s="45"/>
      <c r="P170" s="40"/>
    </row>
    <row r="171" spans="1:16" s="41" customFormat="1" ht="30" customHeight="1">
      <c r="A171" s="34"/>
      <c r="B171" s="35"/>
      <c r="C171" s="34"/>
      <c r="D171" s="35"/>
      <c r="E171" s="35"/>
      <c r="F171" s="35"/>
      <c r="G171" s="80" t="s">
        <v>191</v>
      </c>
      <c r="H171" s="35"/>
      <c r="I171" s="35"/>
      <c r="J171" s="80"/>
      <c r="K171" s="35"/>
      <c r="L171" s="80"/>
      <c r="M171" s="35"/>
      <c r="N171" s="47"/>
      <c r="O171" s="45"/>
      <c r="P171" s="40"/>
    </row>
    <row r="172" spans="1:16" s="41" customFormat="1" ht="30" customHeight="1">
      <c r="A172" s="34"/>
      <c r="B172" s="35"/>
      <c r="C172" s="34"/>
      <c r="D172" s="35"/>
      <c r="E172" s="35"/>
      <c r="F172" s="35"/>
      <c r="G172" s="80" t="s">
        <v>192</v>
      </c>
      <c r="H172" s="35"/>
      <c r="I172" s="35"/>
      <c r="J172" s="80"/>
      <c r="K172" s="35"/>
      <c r="L172" s="80"/>
      <c r="M172" s="35"/>
      <c r="N172" s="47"/>
      <c r="O172" s="45"/>
      <c r="P172" s="40"/>
    </row>
    <row r="173" spans="1:16" s="41" customFormat="1" ht="30" customHeight="1">
      <c r="A173" s="34"/>
      <c r="B173" s="35"/>
      <c r="C173" s="34"/>
      <c r="D173" s="35"/>
      <c r="E173" s="35"/>
      <c r="F173" s="35"/>
      <c r="G173" s="80" t="s">
        <v>193</v>
      </c>
      <c r="H173" s="35"/>
      <c r="I173" s="35"/>
      <c r="J173" s="80"/>
      <c r="K173" s="35"/>
      <c r="L173" s="80"/>
      <c r="M173" s="35"/>
      <c r="N173" s="47"/>
      <c r="O173" s="45"/>
      <c r="P173" s="40"/>
    </row>
    <row r="174" spans="1:16" s="41" customFormat="1" ht="30" customHeight="1">
      <c r="A174" s="34"/>
      <c r="B174" s="35"/>
      <c r="C174" s="34"/>
      <c r="D174" s="35"/>
      <c r="E174" s="35"/>
      <c r="F174" s="35"/>
      <c r="G174" s="80" t="s">
        <v>194</v>
      </c>
      <c r="H174" s="35"/>
      <c r="I174" s="35"/>
      <c r="J174" s="80"/>
      <c r="K174" s="35"/>
      <c r="L174" s="80"/>
      <c r="M174" s="35"/>
      <c r="N174" s="47"/>
      <c r="O174" s="45"/>
      <c r="P174" s="40"/>
    </row>
    <row r="175" spans="1:16" s="41" customFormat="1" ht="30" customHeight="1">
      <c r="A175" s="34"/>
      <c r="B175" s="35"/>
      <c r="C175" s="34"/>
      <c r="D175" s="35"/>
      <c r="E175" s="35"/>
      <c r="F175" s="35"/>
      <c r="G175" s="80" t="s">
        <v>583</v>
      </c>
      <c r="H175" s="35"/>
      <c r="I175" s="35"/>
      <c r="J175" s="80"/>
      <c r="K175" s="35"/>
      <c r="L175" s="80"/>
      <c r="M175" s="35"/>
      <c r="N175" s="47"/>
      <c r="O175" s="45"/>
      <c r="P175" s="40"/>
    </row>
    <row r="176" spans="1:16" s="41" customFormat="1" ht="30" customHeight="1">
      <c r="A176" s="34"/>
      <c r="B176" s="35"/>
      <c r="C176" s="34"/>
      <c r="D176" s="35"/>
      <c r="E176" s="35"/>
      <c r="F176" s="35"/>
      <c r="G176" s="80" t="s">
        <v>195</v>
      </c>
      <c r="H176" s="35"/>
      <c r="I176" s="35"/>
      <c r="J176" s="80"/>
      <c r="K176" s="35"/>
      <c r="L176" s="80"/>
      <c r="M176" s="35"/>
      <c r="N176" s="47"/>
      <c r="O176" s="45"/>
      <c r="P176" s="40"/>
    </row>
    <row r="177" spans="1:16" s="41" customFormat="1" ht="30" customHeight="1">
      <c r="A177" s="34"/>
      <c r="B177" s="35"/>
      <c r="C177" s="34"/>
      <c r="D177" s="35"/>
      <c r="E177" s="35"/>
      <c r="F177" s="35"/>
      <c r="G177" s="80" t="s">
        <v>196</v>
      </c>
      <c r="H177" s="35"/>
      <c r="I177" s="35"/>
      <c r="J177" s="80"/>
      <c r="K177" s="35"/>
      <c r="L177" s="80"/>
      <c r="M177" s="35"/>
      <c r="N177" s="47"/>
      <c r="O177" s="45"/>
      <c r="P177" s="40"/>
    </row>
    <row r="178" spans="1:16" s="41" customFormat="1" ht="30" customHeight="1">
      <c r="A178" s="34"/>
      <c r="B178" s="35"/>
      <c r="C178" s="34"/>
      <c r="D178" s="35"/>
      <c r="E178" s="35"/>
      <c r="F178" s="35"/>
      <c r="G178" s="80" t="s">
        <v>179</v>
      </c>
      <c r="H178" s="35"/>
      <c r="I178" s="35"/>
      <c r="J178" s="80"/>
      <c r="K178" s="35"/>
      <c r="L178" s="80"/>
      <c r="M178" s="35"/>
      <c r="N178" s="47"/>
      <c r="O178" s="45"/>
      <c r="P178" s="40"/>
    </row>
    <row r="179" spans="1:16" s="41" customFormat="1" ht="30" customHeight="1">
      <c r="A179" s="34"/>
      <c r="B179" s="35"/>
      <c r="C179" s="34"/>
      <c r="D179" s="35"/>
      <c r="E179" s="35"/>
      <c r="F179" s="35"/>
      <c r="G179" s="80" t="s">
        <v>114</v>
      </c>
      <c r="H179" s="35"/>
      <c r="I179" s="35"/>
      <c r="J179" s="80"/>
      <c r="K179" s="35"/>
      <c r="L179" s="80"/>
      <c r="M179" s="35"/>
      <c r="N179" s="47"/>
      <c r="O179" s="45"/>
      <c r="P179" s="40"/>
    </row>
    <row r="180" spans="1:16" s="41" customFormat="1" ht="68.25" customHeight="1">
      <c r="A180" s="42">
        <v>122</v>
      </c>
      <c r="B180" s="43" t="s">
        <v>197</v>
      </c>
      <c r="C180" s="42">
        <v>238</v>
      </c>
      <c r="D180" s="43" t="s">
        <v>198</v>
      </c>
      <c r="E180" s="43" t="s">
        <v>431</v>
      </c>
      <c r="F180" s="43"/>
      <c r="G180" s="43" t="s">
        <v>610</v>
      </c>
      <c r="H180" s="43" t="s">
        <v>479</v>
      </c>
      <c r="I180" s="43" t="s">
        <v>595</v>
      </c>
      <c r="J180" s="43" t="s">
        <v>468</v>
      </c>
      <c r="K180" s="43"/>
      <c r="L180" s="43" t="s">
        <v>610</v>
      </c>
      <c r="M180" s="43" t="s">
        <v>472</v>
      </c>
      <c r="N180" s="43" t="s">
        <v>480</v>
      </c>
      <c r="O180" s="45"/>
      <c r="P180" s="40"/>
    </row>
    <row r="181" spans="1:16" s="41" customFormat="1" ht="51">
      <c r="A181" s="34">
        <v>123</v>
      </c>
      <c r="B181" s="35" t="s">
        <v>199</v>
      </c>
      <c r="C181" s="34">
        <v>240</v>
      </c>
      <c r="D181" s="35" t="s">
        <v>200</v>
      </c>
      <c r="E181" s="35" t="s">
        <v>481</v>
      </c>
      <c r="F181" s="35"/>
      <c r="G181" s="80" t="s">
        <v>603</v>
      </c>
      <c r="H181" s="35" t="s">
        <v>478</v>
      </c>
      <c r="I181" s="35" t="s">
        <v>595</v>
      </c>
      <c r="J181" s="80" t="s">
        <v>459</v>
      </c>
      <c r="K181" s="35" t="s">
        <v>602</v>
      </c>
      <c r="L181" s="35"/>
      <c r="M181" s="35" t="s">
        <v>484</v>
      </c>
      <c r="N181" s="47" t="s">
        <v>480</v>
      </c>
      <c r="O181" s="45">
        <v>1</v>
      </c>
      <c r="P181" s="40"/>
    </row>
    <row r="182" spans="1:16" s="41" customFormat="1" ht="179.25" customHeight="1">
      <c r="A182" s="48">
        <v>124</v>
      </c>
      <c r="B182" s="49" t="s">
        <v>202</v>
      </c>
      <c r="C182" s="48" t="s">
        <v>417</v>
      </c>
      <c r="D182" s="49" t="s">
        <v>203</v>
      </c>
      <c r="E182" s="49" t="s">
        <v>429</v>
      </c>
      <c r="F182" s="49"/>
      <c r="G182" s="29" t="s">
        <v>575</v>
      </c>
      <c r="H182" s="49" t="s">
        <v>482</v>
      </c>
      <c r="I182" s="49" t="s">
        <v>595</v>
      </c>
      <c r="J182" s="29" t="s">
        <v>468</v>
      </c>
      <c r="K182" s="49"/>
      <c r="L182" s="49" t="s">
        <v>483</v>
      </c>
      <c r="M182" s="49" t="s">
        <v>484</v>
      </c>
      <c r="N182" s="50" t="s">
        <v>482</v>
      </c>
      <c r="O182" s="45"/>
      <c r="P182" s="40"/>
    </row>
    <row r="183" spans="1:16" s="41" customFormat="1" ht="30" customHeight="1">
      <c r="A183" s="34">
        <v>125</v>
      </c>
      <c r="B183" s="35" t="s">
        <v>205</v>
      </c>
      <c r="C183" s="34" t="s">
        <v>418</v>
      </c>
      <c r="D183" s="35" t="s">
        <v>206</v>
      </c>
      <c r="E183" s="35" t="s">
        <v>438</v>
      </c>
      <c r="F183" s="35"/>
      <c r="G183" s="80" t="s">
        <v>179</v>
      </c>
      <c r="H183" s="35" t="s">
        <v>485</v>
      </c>
      <c r="I183" s="35" t="s">
        <v>594</v>
      </c>
      <c r="J183" s="80" t="s">
        <v>462</v>
      </c>
      <c r="K183" s="35" t="s">
        <v>578</v>
      </c>
      <c r="L183" s="35" t="s">
        <v>584</v>
      </c>
      <c r="M183" s="35" t="s">
        <v>487</v>
      </c>
      <c r="N183" s="47" t="s">
        <v>486</v>
      </c>
      <c r="O183" s="45">
        <v>1</v>
      </c>
      <c r="P183" s="40"/>
    </row>
    <row r="184" spans="1:16" s="41" customFormat="1" ht="30" customHeight="1">
      <c r="A184" s="34"/>
      <c r="B184" s="35"/>
      <c r="C184" s="34"/>
      <c r="D184" s="35"/>
      <c r="E184" s="35"/>
      <c r="F184" s="35"/>
      <c r="G184" s="80" t="s">
        <v>208</v>
      </c>
      <c r="H184" s="35"/>
      <c r="I184" s="35"/>
      <c r="J184" s="80"/>
      <c r="K184" s="35" t="s">
        <v>207</v>
      </c>
      <c r="L184" s="35"/>
      <c r="M184" s="35"/>
      <c r="N184" s="47"/>
      <c r="O184" s="45"/>
      <c r="P184" s="40"/>
    </row>
    <row r="185" spans="1:16" s="41" customFormat="1" ht="30" customHeight="1">
      <c r="A185" s="34"/>
      <c r="B185" s="35"/>
      <c r="C185" s="34"/>
      <c r="D185" s="35"/>
      <c r="E185" s="35"/>
      <c r="F185" s="35"/>
      <c r="G185" s="80" t="s">
        <v>209</v>
      </c>
      <c r="H185" s="35"/>
      <c r="I185" s="35"/>
      <c r="J185" s="80"/>
      <c r="K185" s="35"/>
      <c r="L185" s="35"/>
      <c r="M185" s="35"/>
      <c r="N185" s="47"/>
      <c r="O185" s="45"/>
      <c r="P185" s="40"/>
    </row>
    <row r="186" spans="1:16" s="41" customFormat="1" ht="30" customHeight="1">
      <c r="A186" s="34"/>
      <c r="B186" s="35"/>
      <c r="C186" s="34"/>
      <c r="D186" s="35"/>
      <c r="E186" s="35"/>
      <c r="F186" s="35"/>
      <c r="G186" s="80" t="s">
        <v>210</v>
      </c>
      <c r="H186" s="35"/>
      <c r="I186" s="35"/>
      <c r="J186" s="80"/>
      <c r="K186" s="35"/>
      <c r="L186" s="35"/>
      <c r="M186" s="35"/>
      <c r="N186" s="47"/>
      <c r="O186" s="45"/>
      <c r="P186" s="40"/>
    </row>
    <row r="187" spans="1:16" s="41" customFormat="1" ht="30" customHeight="1">
      <c r="A187" s="34"/>
      <c r="B187" s="35"/>
      <c r="C187" s="34"/>
      <c r="D187" s="35"/>
      <c r="E187" s="35"/>
      <c r="F187" s="35"/>
      <c r="G187" s="80" t="s">
        <v>211</v>
      </c>
      <c r="H187" s="35"/>
      <c r="I187" s="35"/>
      <c r="J187" s="80"/>
      <c r="K187" s="35"/>
      <c r="L187" s="35"/>
      <c r="M187" s="35"/>
      <c r="N187" s="47"/>
      <c r="O187" s="45"/>
      <c r="P187" s="40"/>
    </row>
    <row r="188" spans="1:16" s="41" customFormat="1" ht="30" customHeight="1">
      <c r="A188" s="34"/>
      <c r="B188" s="35"/>
      <c r="C188" s="34"/>
      <c r="D188" s="35"/>
      <c r="E188" s="35"/>
      <c r="F188" s="35"/>
      <c r="G188" s="80" t="s">
        <v>136</v>
      </c>
      <c r="H188" s="35"/>
      <c r="I188" s="35"/>
      <c r="J188" s="80"/>
      <c r="K188" s="35"/>
      <c r="L188" s="35"/>
      <c r="M188" s="35"/>
      <c r="N188" s="47"/>
      <c r="O188" s="45"/>
      <c r="P188" s="40"/>
    </row>
    <row r="189" spans="1:16" s="41" customFormat="1" ht="30" customHeight="1">
      <c r="A189" s="34"/>
      <c r="B189" s="35"/>
      <c r="C189" s="34"/>
      <c r="D189" s="35"/>
      <c r="E189" s="35"/>
      <c r="F189" s="35"/>
      <c r="G189" s="80" t="s">
        <v>195</v>
      </c>
      <c r="H189" s="35"/>
      <c r="I189" s="35"/>
      <c r="J189" s="80"/>
      <c r="K189" s="35"/>
      <c r="L189" s="35"/>
      <c r="M189" s="35"/>
      <c r="N189" s="47"/>
      <c r="O189" s="45"/>
      <c r="P189" s="40"/>
    </row>
    <row r="190" spans="1:16" s="41" customFormat="1" ht="30" customHeight="1">
      <c r="A190" s="34"/>
      <c r="B190" s="35"/>
      <c r="C190" s="34"/>
      <c r="D190" s="35"/>
      <c r="E190" s="35"/>
      <c r="F190" s="35"/>
      <c r="G190" s="80" t="s">
        <v>114</v>
      </c>
      <c r="H190" s="35"/>
      <c r="I190" s="35"/>
      <c r="J190" s="80"/>
      <c r="K190" s="35"/>
      <c r="L190" s="35"/>
      <c r="M190" s="35"/>
      <c r="N190" s="47"/>
      <c r="O190" s="45"/>
      <c r="P190" s="40"/>
    </row>
    <row r="191" spans="1:16" s="41" customFormat="1" ht="30" customHeight="1">
      <c r="A191" s="34"/>
      <c r="B191" s="35"/>
      <c r="C191" s="34"/>
      <c r="D191" s="35"/>
      <c r="E191" s="35"/>
      <c r="F191" s="35"/>
      <c r="G191" s="80" t="s">
        <v>72</v>
      </c>
      <c r="H191" s="35"/>
      <c r="I191" s="35"/>
      <c r="J191" s="80"/>
      <c r="K191" s="35"/>
      <c r="L191" s="35"/>
      <c r="M191" s="35"/>
      <c r="N191" s="47"/>
      <c r="O191" s="45"/>
      <c r="P191" s="40"/>
    </row>
    <row r="192" spans="1:16" s="41" customFormat="1" ht="30" customHeight="1">
      <c r="A192" s="34"/>
      <c r="B192" s="35"/>
      <c r="C192" s="34"/>
      <c r="D192" s="35"/>
      <c r="E192" s="35"/>
      <c r="F192" s="35"/>
      <c r="G192" s="80" t="s">
        <v>178</v>
      </c>
      <c r="H192" s="35"/>
      <c r="I192" s="35"/>
      <c r="J192" s="80"/>
      <c r="K192" s="35"/>
      <c r="L192" s="35"/>
      <c r="M192" s="35"/>
      <c r="N192" s="47"/>
      <c r="O192" s="45"/>
      <c r="P192" s="40"/>
    </row>
    <row r="193" spans="1:16" s="41" customFormat="1" ht="30" customHeight="1">
      <c r="A193" s="34"/>
      <c r="B193" s="35"/>
      <c r="C193" s="34"/>
      <c r="D193" s="35"/>
      <c r="E193" s="35"/>
      <c r="F193" s="35"/>
      <c r="G193" s="80" t="s">
        <v>180</v>
      </c>
      <c r="H193" s="35"/>
      <c r="I193" s="35"/>
      <c r="J193" s="80"/>
      <c r="K193" s="35"/>
      <c r="L193" s="35"/>
      <c r="M193" s="35"/>
      <c r="N193" s="47"/>
      <c r="O193" s="45"/>
      <c r="P193" s="40"/>
    </row>
    <row r="194" spans="1:16" s="41" customFormat="1" ht="30" customHeight="1">
      <c r="A194" s="34"/>
      <c r="B194" s="35"/>
      <c r="C194" s="34"/>
      <c r="D194" s="35"/>
      <c r="E194" s="35"/>
      <c r="F194" s="35"/>
      <c r="G194" s="80" t="s">
        <v>182</v>
      </c>
      <c r="H194" s="35"/>
      <c r="I194" s="35"/>
      <c r="J194" s="80"/>
      <c r="K194" s="35"/>
      <c r="L194" s="35"/>
      <c r="M194" s="35"/>
      <c r="N194" s="47"/>
      <c r="O194" s="45"/>
      <c r="P194" s="40"/>
    </row>
    <row r="195" spans="1:16" s="41" customFormat="1" ht="30" customHeight="1">
      <c r="A195" s="34"/>
      <c r="B195" s="35"/>
      <c r="C195" s="34"/>
      <c r="D195" s="35"/>
      <c r="E195" s="35"/>
      <c r="F195" s="35"/>
      <c r="G195" s="80" t="s">
        <v>181</v>
      </c>
      <c r="H195" s="35"/>
      <c r="I195" s="35"/>
      <c r="J195" s="80"/>
      <c r="K195" s="35"/>
      <c r="L195" s="35"/>
      <c r="M195" s="35"/>
      <c r="N195" s="47"/>
      <c r="O195" s="45"/>
      <c r="P195" s="40"/>
    </row>
    <row r="196" spans="1:16" s="41" customFormat="1" ht="30" customHeight="1">
      <c r="A196" s="34"/>
      <c r="B196" s="35"/>
      <c r="C196" s="34"/>
      <c r="D196" s="35"/>
      <c r="E196" s="35"/>
      <c r="F196" s="35"/>
      <c r="G196" s="80" t="s">
        <v>134</v>
      </c>
      <c r="H196" s="35"/>
      <c r="I196" s="35"/>
      <c r="J196" s="80"/>
      <c r="K196" s="35"/>
      <c r="L196" s="35"/>
      <c r="M196" s="35"/>
      <c r="N196" s="47"/>
      <c r="O196" s="45"/>
      <c r="P196" s="40"/>
    </row>
    <row r="197" spans="1:16" s="41" customFormat="1" ht="30" customHeight="1">
      <c r="A197" s="34"/>
      <c r="B197" s="35"/>
      <c r="C197" s="34"/>
      <c r="D197" s="35"/>
      <c r="E197" s="35"/>
      <c r="F197" s="35"/>
      <c r="G197" s="80" t="s">
        <v>173</v>
      </c>
      <c r="H197" s="35"/>
      <c r="I197" s="35"/>
      <c r="J197" s="80"/>
      <c r="K197" s="35"/>
      <c r="L197" s="35"/>
      <c r="M197" s="35"/>
      <c r="N197" s="47"/>
      <c r="O197" s="45"/>
      <c r="P197" s="40"/>
    </row>
    <row r="198" spans="1:16" s="41" customFormat="1" ht="30" customHeight="1">
      <c r="A198" s="34"/>
      <c r="B198" s="35"/>
      <c r="C198" s="34"/>
      <c r="D198" s="35"/>
      <c r="E198" s="35"/>
      <c r="F198" s="35"/>
      <c r="G198" s="80" t="s">
        <v>204</v>
      </c>
      <c r="H198" s="35"/>
      <c r="I198" s="35"/>
      <c r="J198" s="80"/>
      <c r="K198" s="35"/>
      <c r="L198" s="35"/>
      <c r="M198" s="35"/>
      <c r="N198" s="47"/>
      <c r="O198" s="45"/>
      <c r="P198" s="40"/>
    </row>
    <row r="199" spans="1:16" s="41" customFormat="1" ht="30" customHeight="1">
      <c r="A199" s="34"/>
      <c r="B199" s="35"/>
      <c r="C199" s="34"/>
      <c r="D199" s="35"/>
      <c r="E199" s="35"/>
      <c r="F199" s="35"/>
      <c r="G199" s="80" t="s">
        <v>201</v>
      </c>
      <c r="H199" s="35"/>
      <c r="I199" s="35"/>
      <c r="J199" s="80"/>
      <c r="K199" s="35"/>
      <c r="L199" s="35"/>
      <c r="M199" s="35"/>
      <c r="N199" s="47"/>
      <c r="O199" s="45"/>
      <c r="P199" s="40"/>
    </row>
    <row r="200" spans="1:16" s="41" customFormat="1" ht="30" customHeight="1">
      <c r="A200" s="34"/>
      <c r="B200" s="35"/>
      <c r="C200" s="34"/>
      <c r="D200" s="35"/>
      <c r="E200" s="35"/>
      <c r="F200" s="35"/>
      <c r="G200" s="80" t="s">
        <v>52</v>
      </c>
      <c r="H200" s="35"/>
      <c r="I200" s="35"/>
      <c r="J200" s="80"/>
      <c r="K200" s="35"/>
      <c r="L200" s="35"/>
      <c r="M200" s="35"/>
      <c r="N200" s="47"/>
      <c r="O200" s="45"/>
      <c r="P200" s="40"/>
    </row>
    <row r="201" spans="1:16" s="41" customFormat="1" ht="30" customHeight="1">
      <c r="A201" s="34"/>
      <c r="B201" s="35"/>
      <c r="C201" s="34"/>
      <c r="D201" s="35"/>
      <c r="E201" s="35"/>
      <c r="F201" s="35"/>
      <c r="G201" s="80" t="s">
        <v>212</v>
      </c>
      <c r="H201" s="35"/>
      <c r="I201" s="35"/>
      <c r="J201" s="80"/>
      <c r="K201" s="35"/>
      <c r="L201" s="35"/>
      <c r="M201" s="35"/>
      <c r="N201" s="47"/>
      <c r="O201" s="45"/>
      <c r="P201" s="40"/>
    </row>
    <row r="202" spans="1:16" s="41" customFormat="1" ht="30" customHeight="1">
      <c r="A202" s="34"/>
      <c r="B202" s="35"/>
      <c r="C202" s="34"/>
      <c r="D202" s="35"/>
      <c r="E202" s="35"/>
      <c r="F202" s="35"/>
      <c r="G202" s="80" t="s">
        <v>213</v>
      </c>
      <c r="H202" s="35"/>
      <c r="I202" s="35"/>
      <c r="J202" s="80"/>
      <c r="K202" s="35"/>
      <c r="L202" s="35"/>
      <c r="M202" s="35"/>
      <c r="N202" s="47"/>
      <c r="O202" s="45"/>
      <c r="P202" s="40"/>
    </row>
    <row r="203" spans="1:16" s="41" customFormat="1" ht="30" customHeight="1">
      <c r="A203" s="34"/>
      <c r="B203" s="35"/>
      <c r="C203" s="34"/>
      <c r="D203" s="35"/>
      <c r="E203" s="35"/>
      <c r="F203" s="35"/>
      <c r="G203" s="80" t="s">
        <v>161</v>
      </c>
      <c r="H203" s="35"/>
      <c r="I203" s="35"/>
      <c r="J203" s="80"/>
      <c r="K203" s="35"/>
      <c r="L203" s="35"/>
      <c r="M203" s="35"/>
      <c r="N203" s="47"/>
      <c r="O203" s="45"/>
      <c r="P203" s="40"/>
    </row>
    <row r="204" spans="1:16" s="41" customFormat="1" ht="30" customHeight="1">
      <c r="A204" s="42">
        <v>126</v>
      </c>
      <c r="B204" s="43" t="s">
        <v>214</v>
      </c>
      <c r="C204" s="42">
        <v>247</v>
      </c>
      <c r="D204" s="43" t="s">
        <v>215</v>
      </c>
      <c r="E204" s="43" t="s">
        <v>431</v>
      </c>
      <c r="F204" s="43"/>
      <c r="G204" s="65" t="s">
        <v>621</v>
      </c>
      <c r="H204" s="43"/>
      <c r="I204" s="43"/>
      <c r="J204" s="65"/>
      <c r="K204" s="43"/>
      <c r="L204" s="43"/>
      <c r="M204" s="43"/>
      <c r="N204" s="66"/>
      <c r="O204" s="45">
        <v>1</v>
      </c>
      <c r="P204" s="40"/>
    </row>
    <row r="205" spans="1:16" s="41" customFormat="1" ht="30" customHeight="1">
      <c r="A205" s="34">
        <v>127</v>
      </c>
      <c r="B205" s="35" t="s">
        <v>76</v>
      </c>
      <c r="C205" s="34"/>
      <c r="D205" s="35"/>
      <c r="E205" s="35" t="s">
        <v>435</v>
      </c>
      <c r="F205" s="35" t="s">
        <v>13</v>
      </c>
      <c r="G205" s="46"/>
      <c r="H205" s="44"/>
      <c r="I205" s="44"/>
      <c r="J205" s="46"/>
      <c r="K205" s="44"/>
      <c r="L205" s="44"/>
      <c r="M205" s="44"/>
      <c r="N205" s="44"/>
      <c r="O205" s="45"/>
      <c r="P205" s="40"/>
    </row>
    <row r="206" spans="1:16" s="41" customFormat="1" ht="30" customHeight="1">
      <c r="A206" s="48">
        <v>128</v>
      </c>
      <c r="B206" s="49" t="s">
        <v>106</v>
      </c>
      <c r="C206" s="48"/>
      <c r="D206" s="49"/>
      <c r="E206" s="49" t="s">
        <v>438</v>
      </c>
      <c r="F206" s="49"/>
      <c r="G206" s="29" t="s">
        <v>105</v>
      </c>
      <c r="H206" s="49" t="s">
        <v>440</v>
      </c>
      <c r="I206" s="49" t="s">
        <v>595</v>
      </c>
      <c r="J206" s="29" t="s">
        <v>468</v>
      </c>
      <c r="K206" s="49"/>
      <c r="L206" s="29" t="s">
        <v>105</v>
      </c>
      <c r="M206" s="49" t="s">
        <v>613</v>
      </c>
      <c r="N206" s="50"/>
      <c r="O206" s="45"/>
      <c r="P206" s="40"/>
    </row>
    <row r="207" spans="1:16" s="41" customFormat="1" ht="30" customHeight="1">
      <c r="A207" s="51"/>
      <c r="B207" s="52"/>
      <c r="C207" s="51"/>
      <c r="D207" s="52"/>
      <c r="E207" s="52"/>
      <c r="F207" s="52"/>
      <c r="G207" s="53" t="s">
        <v>119</v>
      </c>
      <c r="H207" s="52"/>
      <c r="I207" s="52"/>
      <c r="J207" s="53"/>
      <c r="K207" s="52"/>
      <c r="L207" s="53" t="s">
        <v>119</v>
      </c>
      <c r="M207" s="52"/>
      <c r="N207" s="54"/>
      <c r="O207" s="45"/>
      <c r="P207" s="40"/>
    </row>
    <row r="208" spans="1:16" s="41" customFormat="1" ht="30" customHeight="1">
      <c r="A208" s="34">
        <v>129</v>
      </c>
      <c r="B208" s="35" t="s">
        <v>216</v>
      </c>
      <c r="C208" s="34" t="s">
        <v>419</v>
      </c>
      <c r="D208" s="35"/>
      <c r="E208" s="35" t="s">
        <v>438</v>
      </c>
      <c r="F208" s="35"/>
      <c r="G208" s="35" t="s">
        <v>105</v>
      </c>
      <c r="H208" s="35" t="s">
        <v>440</v>
      </c>
      <c r="I208" s="35" t="s">
        <v>595</v>
      </c>
      <c r="J208" s="35" t="s">
        <v>468</v>
      </c>
      <c r="K208" s="35"/>
      <c r="L208" s="35" t="s">
        <v>105</v>
      </c>
      <c r="M208" s="35" t="s">
        <v>613</v>
      </c>
      <c r="N208" s="47"/>
      <c r="O208" s="45"/>
      <c r="P208" s="40"/>
    </row>
    <row r="209" spans="1:16" s="41" customFormat="1" ht="30" customHeight="1">
      <c r="A209" s="34"/>
      <c r="B209" s="35"/>
      <c r="C209" s="34"/>
      <c r="D209" s="35"/>
      <c r="E209" s="35"/>
      <c r="F209" s="35"/>
      <c r="G209" s="35" t="s">
        <v>119</v>
      </c>
      <c r="H209" s="35"/>
      <c r="I209" s="35"/>
      <c r="J209" s="35"/>
      <c r="K209" s="35"/>
      <c r="L209" s="35" t="s">
        <v>119</v>
      </c>
      <c r="M209" s="35"/>
      <c r="N209" s="47"/>
      <c r="O209" s="45"/>
      <c r="P209" s="40"/>
    </row>
    <row r="210" spans="1:16" s="41" customFormat="1" ht="30" customHeight="1">
      <c r="A210" s="42">
        <v>130</v>
      </c>
      <c r="B210" s="43" t="s">
        <v>76</v>
      </c>
      <c r="C210" s="42"/>
      <c r="D210" s="43"/>
      <c r="E210" s="43" t="s">
        <v>435</v>
      </c>
      <c r="F210" s="43" t="s">
        <v>13</v>
      </c>
      <c r="G210" s="44"/>
      <c r="H210" s="44"/>
      <c r="I210" s="44"/>
      <c r="J210" s="44"/>
      <c r="K210" s="44"/>
      <c r="L210" s="44"/>
      <c r="M210" s="44"/>
      <c r="N210" s="44"/>
      <c r="O210" s="45"/>
      <c r="P210" s="40"/>
    </row>
    <row r="211" spans="1:16" s="41" customFormat="1" ht="30" customHeight="1">
      <c r="A211" s="34">
        <v>131</v>
      </c>
      <c r="B211" s="35" t="s">
        <v>217</v>
      </c>
      <c r="C211" s="34">
        <v>253</v>
      </c>
      <c r="D211" s="35"/>
      <c r="E211" s="35" t="s">
        <v>435</v>
      </c>
      <c r="F211" s="35" t="s">
        <v>13</v>
      </c>
      <c r="G211" s="46"/>
      <c r="H211" s="44"/>
      <c r="I211" s="44"/>
      <c r="J211" s="46"/>
      <c r="K211" s="44"/>
      <c r="L211" s="44"/>
      <c r="M211" s="44"/>
      <c r="N211" s="44"/>
      <c r="O211" s="45"/>
      <c r="P211" s="40"/>
    </row>
    <row r="212" spans="1:16" s="41" customFormat="1" ht="30" customHeight="1">
      <c r="A212" s="48">
        <v>132</v>
      </c>
      <c r="B212" s="49" t="s">
        <v>218</v>
      </c>
      <c r="C212" s="48"/>
      <c r="D212" s="49" t="s">
        <v>219</v>
      </c>
      <c r="E212" s="49" t="s">
        <v>437</v>
      </c>
      <c r="F212" s="49"/>
      <c r="G212" s="29" t="s">
        <v>63</v>
      </c>
      <c r="H212" s="49" t="s">
        <v>441</v>
      </c>
      <c r="I212" s="49" t="s">
        <v>595</v>
      </c>
      <c r="J212" s="29" t="s">
        <v>459</v>
      </c>
      <c r="K212" s="49" t="s">
        <v>563</v>
      </c>
      <c r="L212" s="29" t="s">
        <v>63</v>
      </c>
      <c r="M212" s="49" t="s">
        <v>443</v>
      </c>
      <c r="N212" s="50"/>
      <c r="O212" s="45"/>
      <c r="P212" s="40"/>
    </row>
    <row r="213" spans="1:16" s="41" customFormat="1" ht="30" customHeight="1">
      <c r="A213" s="55"/>
      <c r="B213" s="56"/>
      <c r="C213" s="55"/>
      <c r="D213" s="56"/>
      <c r="E213" s="56"/>
      <c r="F213" s="56"/>
      <c r="G213" s="57" t="s">
        <v>220</v>
      </c>
      <c r="H213" s="56"/>
      <c r="I213" s="56"/>
      <c r="J213" s="57"/>
      <c r="K213" s="56"/>
      <c r="L213" s="57" t="s">
        <v>220</v>
      </c>
      <c r="M213" s="56"/>
      <c r="N213" s="58"/>
      <c r="O213" s="45"/>
      <c r="P213" s="40"/>
    </row>
    <row r="214" spans="1:16" s="41" customFormat="1" ht="30" customHeight="1">
      <c r="A214" s="55"/>
      <c r="B214" s="56"/>
      <c r="C214" s="55"/>
      <c r="D214" s="56"/>
      <c r="E214" s="56"/>
      <c r="F214" s="56"/>
      <c r="G214" s="57" t="s">
        <v>79</v>
      </c>
      <c r="H214" s="56"/>
      <c r="I214" s="56"/>
      <c r="J214" s="57"/>
      <c r="K214" s="56"/>
      <c r="L214" s="57" t="s">
        <v>79</v>
      </c>
      <c r="M214" s="56"/>
      <c r="N214" s="58"/>
      <c r="O214" s="45"/>
      <c r="P214" s="40"/>
    </row>
    <row r="215" spans="1:16" s="41" customFormat="1" ht="30" customHeight="1">
      <c r="A215" s="55"/>
      <c r="B215" s="56"/>
      <c r="C215" s="55"/>
      <c r="D215" s="56"/>
      <c r="E215" s="56"/>
      <c r="F215" s="56"/>
      <c r="G215" s="57" t="s">
        <v>585</v>
      </c>
      <c r="H215" s="56"/>
      <c r="I215" s="56"/>
      <c r="J215" s="57"/>
      <c r="K215" s="56"/>
      <c r="L215" s="57" t="s">
        <v>585</v>
      </c>
      <c r="M215" s="56"/>
      <c r="N215" s="58"/>
      <c r="O215" s="45"/>
      <c r="P215" s="40"/>
    </row>
    <row r="216" spans="1:16" s="41" customFormat="1" ht="30" customHeight="1">
      <c r="A216" s="55"/>
      <c r="B216" s="56"/>
      <c r="C216" s="55"/>
      <c r="D216" s="56"/>
      <c r="E216" s="56"/>
      <c r="F216" s="56"/>
      <c r="G216" s="57" t="s">
        <v>221</v>
      </c>
      <c r="H216" s="56"/>
      <c r="I216" s="56"/>
      <c r="J216" s="57"/>
      <c r="K216" s="56"/>
      <c r="L216" s="57" t="s">
        <v>221</v>
      </c>
      <c r="M216" s="56"/>
      <c r="N216" s="58"/>
      <c r="O216" s="45"/>
      <c r="P216" s="40"/>
    </row>
    <row r="217" spans="1:16" s="41" customFormat="1" ht="30" customHeight="1">
      <c r="A217" s="55"/>
      <c r="B217" s="56"/>
      <c r="C217" s="55"/>
      <c r="D217" s="56"/>
      <c r="E217" s="56"/>
      <c r="F217" s="56"/>
      <c r="G217" s="57" t="s">
        <v>222</v>
      </c>
      <c r="H217" s="56"/>
      <c r="I217" s="56"/>
      <c r="J217" s="57"/>
      <c r="K217" s="56"/>
      <c r="L217" s="57" t="s">
        <v>222</v>
      </c>
      <c r="M217" s="56"/>
      <c r="N217" s="58"/>
      <c r="O217" s="45"/>
      <c r="P217" s="40"/>
    </row>
    <row r="218" spans="1:16" s="41" customFormat="1" ht="30" customHeight="1">
      <c r="A218" s="55"/>
      <c r="B218" s="56"/>
      <c r="C218" s="55"/>
      <c r="D218" s="56"/>
      <c r="E218" s="56"/>
      <c r="F218" s="56"/>
      <c r="G218" s="57" t="s">
        <v>64</v>
      </c>
      <c r="H218" s="56"/>
      <c r="I218" s="56"/>
      <c r="J218" s="57"/>
      <c r="K218" s="56"/>
      <c r="L218" s="57" t="s">
        <v>64</v>
      </c>
      <c r="M218" s="56"/>
      <c r="N218" s="58"/>
      <c r="O218" s="45"/>
      <c r="P218" s="40"/>
    </row>
    <row r="219" spans="1:16" s="41" customFormat="1" ht="30" customHeight="1">
      <c r="A219" s="51"/>
      <c r="B219" s="52"/>
      <c r="C219" s="51"/>
      <c r="D219" s="52"/>
      <c r="E219" s="52"/>
      <c r="F219" s="52"/>
      <c r="G219" s="53" t="s">
        <v>223</v>
      </c>
      <c r="H219" s="52"/>
      <c r="I219" s="52"/>
      <c r="J219" s="53"/>
      <c r="K219" s="52"/>
      <c r="L219" s="53" t="s">
        <v>223</v>
      </c>
      <c r="M219" s="52"/>
      <c r="N219" s="54"/>
      <c r="O219" s="45"/>
      <c r="P219" s="40"/>
    </row>
    <row r="220" spans="1:16" s="41" customFormat="1" ht="30" customHeight="1">
      <c r="A220" s="34">
        <v>133</v>
      </c>
      <c r="B220" s="35" t="s">
        <v>224</v>
      </c>
      <c r="C220" s="34"/>
      <c r="D220" s="35"/>
      <c r="E220" s="35" t="s">
        <v>437</v>
      </c>
      <c r="F220" s="35" t="s">
        <v>35</v>
      </c>
      <c r="G220" s="46"/>
      <c r="H220" s="44"/>
      <c r="I220" s="44"/>
      <c r="J220" s="46"/>
      <c r="K220" s="44"/>
      <c r="L220" s="44"/>
      <c r="M220" s="44"/>
      <c r="N220" s="44"/>
      <c r="O220" s="45"/>
      <c r="P220" s="40"/>
    </row>
    <row r="221" spans="1:16" s="41" customFormat="1" ht="30" customHeight="1">
      <c r="A221" s="48">
        <v>134</v>
      </c>
      <c r="B221" s="29" t="s">
        <v>225</v>
      </c>
      <c r="C221" s="29"/>
      <c r="D221" s="29"/>
      <c r="E221" s="29" t="s">
        <v>437</v>
      </c>
      <c r="F221" s="29"/>
      <c r="G221" s="29" t="s">
        <v>220</v>
      </c>
      <c r="H221" s="49" t="s">
        <v>441</v>
      </c>
      <c r="I221" s="49" t="s">
        <v>595</v>
      </c>
      <c r="J221" s="29" t="s">
        <v>459</v>
      </c>
      <c r="K221" s="49" t="s">
        <v>563</v>
      </c>
      <c r="L221" s="29" t="s">
        <v>220</v>
      </c>
      <c r="M221" s="29" t="s">
        <v>443</v>
      </c>
      <c r="N221" s="67"/>
      <c r="O221" s="45"/>
      <c r="P221" s="40"/>
    </row>
    <row r="222" spans="1:16" s="41" customFormat="1" ht="30" customHeight="1">
      <c r="A222" s="55"/>
      <c r="B222" s="57"/>
      <c r="C222" s="57"/>
      <c r="D222" s="57"/>
      <c r="E222" s="57"/>
      <c r="F222" s="57"/>
      <c r="G222" s="57" t="s">
        <v>79</v>
      </c>
      <c r="H222" s="57"/>
      <c r="I222" s="57"/>
      <c r="J222" s="57"/>
      <c r="K222" s="57"/>
      <c r="L222" s="57" t="s">
        <v>79</v>
      </c>
      <c r="M222" s="57"/>
      <c r="N222" s="68"/>
      <c r="O222" s="45"/>
      <c r="P222" s="40"/>
    </row>
    <row r="223" spans="1:16" s="41" customFormat="1" ht="30" customHeight="1">
      <c r="A223" s="55"/>
      <c r="B223" s="57"/>
      <c r="C223" s="57"/>
      <c r="D223" s="57"/>
      <c r="E223" s="57"/>
      <c r="F223" s="57"/>
      <c r="G223" s="57" t="s">
        <v>585</v>
      </c>
      <c r="H223" s="57"/>
      <c r="I223" s="57"/>
      <c r="J223" s="57"/>
      <c r="K223" s="57"/>
      <c r="L223" s="57" t="s">
        <v>585</v>
      </c>
      <c r="M223" s="57"/>
      <c r="N223" s="68"/>
      <c r="O223" s="45"/>
      <c r="P223" s="40"/>
    </row>
    <row r="224" spans="1:16" s="41" customFormat="1" ht="30" customHeight="1">
      <c r="A224" s="55"/>
      <c r="B224" s="57"/>
      <c r="C224" s="57"/>
      <c r="D224" s="57"/>
      <c r="E224" s="57"/>
      <c r="F224" s="57"/>
      <c r="G224" s="57" t="s">
        <v>221</v>
      </c>
      <c r="H224" s="57"/>
      <c r="I224" s="57"/>
      <c r="J224" s="57"/>
      <c r="K224" s="57"/>
      <c r="L224" s="57" t="s">
        <v>221</v>
      </c>
      <c r="M224" s="57"/>
      <c r="N224" s="68"/>
      <c r="O224" s="45"/>
      <c r="P224" s="40"/>
    </row>
    <row r="225" spans="1:16" s="41" customFormat="1" ht="30" customHeight="1">
      <c r="A225" s="55"/>
      <c r="B225" s="57"/>
      <c r="C225" s="57"/>
      <c r="D225" s="57"/>
      <c r="E225" s="57"/>
      <c r="F225" s="57"/>
      <c r="G225" s="57" t="s">
        <v>222</v>
      </c>
      <c r="H225" s="57"/>
      <c r="I225" s="57"/>
      <c r="J225" s="57"/>
      <c r="K225" s="57"/>
      <c r="L225" s="57" t="s">
        <v>222</v>
      </c>
      <c r="M225" s="57"/>
      <c r="N225" s="68"/>
      <c r="O225" s="45"/>
      <c r="P225" s="40"/>
    </row>
    <row r="226" spans="1:16" s="41" customFormat="1" ht="30" customHeight="1">
      <c r="A226" s="55"/>
      <c r="B226" s="57"/>
      <c r="C226" s="57"/>
      <c r="D226" s="57"/>
      <c r="E226" s="57"/>
      <c r="F226" s="57"/>
      <c r="G226" s="57" t="s">
        <v>64</v>
      </c>
      <c r="H226" s="57"/>
      <c r="I226" s="57"/>
      <c r="J226" s="57"/>
      <c r="K226" s="57"/>
      <c r="L226" s="57" t="s">
        <v>64</v>
      </c>
      <c r="M226" s="57"/>
      <c r="N226" s="68"/>
      <c r="O226" s="45"/>
      <c r="P226" s="40"/>
    </row>
    <row r="227" spans="1:16" s="41" customFormat="1" ht="30" customHeight="1">
      <c r="A227" s="51"/>
      <c r="B227" s="53"/>
      <c r="C227" s="53"/>
      <c r="D227" s="53"/>
      <c r="E227" s="53"/>
      <c r="F227" s="53"/>
      <c r="G227" s="53" t="s">
        <v>223</v>
      </c>
      <c r="H227" s="53"/>
      <c r="I227" s="53"/>
      <c r="J227" s="53"/>
      <c r="K227" s="53"/>
      <c r="L227" s="53" t="s">
        <v>223</v>
      </c>
      <c r="M227" s="53"/>
      <c r="N227" s="69"/>
      <c r="O227" s="45"/>
      <c r="P227" s="40"/>
    </row>
    <row r="228" spans="1:16" s="41" customFormat="1" ht="30" customHeight="1">
      <c r="A228" s="34">
        <v>135</v>
      </c>
      <c r="B228" s="35" t="s">
        <v>76</v>
      </c>
      <c r="C228" s="34" t="s">
        <v>420</v>
      </c>
      <c r="D228" s="35"/>
      <c r="E228" s="35" t="s">
        <v>435</v>
      </c>
      <c r="F228" s="35" t="s">
        <v>13</v>
      </c>
      <c r="G228" s="46"/>
      <c r="H228" s="44"/>
      <c r="I228" s="44"/>
      <c r="J228" s="46"/>
      <c r="K228" s="44"/>
      <c r="L228" s="44"/>
      <c r="M228" s="44"/>
      <c r="N228" s="44"/>
      <c r="O228" s="45"/>
      <c r="P228" s="40"/>
    </row>
    <row r="229" spans="1:16" s="41" customFormat="1" ht="75.75" customHeight="1">
      <c r="A229" s="42">
        <v>136</v>
      </c>
      <c r="B229" s="43" t="s">
        <v>226</v>
      </c>
      <c r="C229" s="42"/>
      <c r="D229" s="43"/>
      <c r="E229" s="43" t="s">
        <v>428</v>
      </c>
      <c r="F229" s="43"/>
      <c r="G229" s="43" t="s">
        <v>534</v>
      </c>
      <c r="H229" s="43"/>
      <c r="I229" s="43"/>
      <c r="J229" s="43"/>
      <c r="K229" s="43" t="s">
        <v>605</v>
      </c>
      <c r="L229" s="43"/>
      <c r="M229" s="43"/>
      <c r="N229" s="43"/>
      <c r="O229" s="45"/>
      <c r="P229" s="40"/>
    </row>
    <row r="230" spans="1:16" s="41" customFormat="1" ht="30" customHeight="1">
      <c r="A230" s="34">
        <v>137</v>
      </c>
      <c r="B230" s="35" t="s">
        <v>227</v>
      </c>
      <c r="C230" s="34"/>
      <c r="D230" s="35"/>
      <c r="E230" s="35" t="s">
        <v>431</v>
      </c>
      <c r="F230" s="35" t="s">
        <v>442</v>
      </c>
      <c r="G230" s="46"/>
      <c r="H230" s="44"/>
      <c r="I230" s="44"/>
      <c r="J230" s="46"/>
      <c r="K230" s="44"/>
      <c r="L230" s="44"/>
      <c r="M230" s="44"/>
      <c r="N230" s="44"/>
      <c r="O230" s="45"/>
      <c r="P230" s="40"/>
    </row>
    <row r="231" spans="1:16" s="41" customFormat="1" ht="30" customHeight="1">
      <c r="A231" s="48">
        <v>138</v>
      </c>
      <c r="B231" s="49" t="s">
        <v>228</v>
      </c>
      <c r="C231" s="48" t="s">
        <v>421</v>
      </c>
      <c r="D231" s="49"/>
      <c r="E231" s="43" t="s">
        <v>438</v>
      </c>
      <c r="F231" s="43"/>
      <c r="G231" s="29"/>
      <c r="H231" s="49"/>
      <c r="I231" s="49"/>
      <c r="J231" s="29"/>
      <c r="K231" s="49" t="s">
        <v>590</v>
      </c>
      <c r="L231" s="49"/>
      <c r="M231" s="49"/>
      <c r="N231" s="50"/>
      <c r="O231" s="45">
        <v>1</v>
      </c>
      <c r="P231" s="40"/>
    </row>
    <row r="232" spans="1:16" s="41" customFormat="1" ht="30" customHeight="1">
      <c r="A232" s="34">
        <v>139</v>
      </c>
      <c r="B232" s="35" t="s">
        <v>229</v>
      </c>
      <c r="C232" s="34"/>
      <c r="D232" s="35"/>
      <c r="E232" s="35" t="s">
        <v>438</v>
      </c>
      <c r="F232" s="35"/>
      <c r="G232" s="80"/>
      <c r="H232" s="35"/>
      <c r="I232" s="80"/>
      <c r="J232" s="80"/>
      <c r="K232" s="80" t="s">
        <v>590</v>
      </c>
      <c r="L232" s="35"/>
      <c r="M232" s="35"/>
      <c r="N232" s="47"/>
      <c r="O232" s="45">
        <v>1</v>
      </c>
      <c r="P232" s="40"/>
    </row>
    <row r="233" spans="1:16" s="41" customFormat="1" ht="30" customHeight="1">
      <c r="A233" s="42">
        <v>140</v>
      </c>
      <c r="B233" s="43" t="s">
        <v>230</v>
      </c>
      <c r="C233" s="42"/>
      <c r="D233" s="43"/>
      <c r="E233" s="43" t="s">
        <v>435</v>
      </c>
      <c r="F233" s="43" t="s">
        <v>35</v>
      </c>
      <c r="G233" s="44"/>
      <c r="H233" s="44"/>
      <c r="I233" s="44"/>
      <c r="J233" s="44"/>
      <c r="K233" s="44"/>
      <c r="L233" s="44"/>
      <c r="M233" s="44"/>
      <c r="N233" s="44"/>
      <c r="O233" s="45"/>
      <c r="P233" s="40"/>
    </row>
    <row r="234" spans="1:16" s="41" customFormat="1" ht="30" customHeight="1">
      <c r="A234" s="34">
        <v>141</v>
      </c>
      <c r="B234" s="35" t="s">
        <v>231</v>
      </c>
      <c r="C234" s="34"/>
      <c r="D234" s="35"/>
      <c r="E234" s="35" t="s">
        <v>435</v>
      </c>
      <c r="F234" s="35" t="s">
        <v>35</v>
      </c>
      <c r="G234" s="46"/>
      <c r="H234" s="44"/>
      <c r="I234" s="44"/>
      <c r="J234" s="46"/>
      <c r="K234" s="44"/>
      <c r="L234" s="44"/>
      <c r="M234" s="44"/>
      <c r="N234" s="44"/>
      <c r="O234" s="45"/>
      <c r="P234" s="40"/>
    </row>
    <row r="235" spans="1:16" s="41" customFormat="1" ht="30" customHeight="1">
      <c r="A235" s="42">
        <v>142</v>
      </c>
      <c r="B235" s="43" t="s">
        <v>232</v>
      </c>
      <c r="C235" s="42"/>
      <c r="D235" s="43"/>
      <c r="E235" s="43" t="s">
        <v>435</v>
      </c>
      <c r="F235" s="43" t="s">
        <v>442</v>
      </c>
      <c r="G235" s="44"/>
      <c r="H235" s="44"/>
      <c r="I235" s="44"/>
      <c r="J235" s="44"/>
      <c r="K235" s="44"/>
      <c r="L235" s="44"/>
      <c r="M235" s="44"/>
      <c r="N235" s="44"/>
      <c r="O235" s="45"/>
      <c r="P235" s="40"/>
    </row>
    <row r="236" spans="1:16" s="41" customFormat="1" ht="30" customHeight="1">
      <c r="A236" s="34">
        <v>143</v>
      </c>
      <c r="B236" s="35" t="s">
        <v>76</v>
      </c>
      <c r="C236" s="34"/>
      <c r="D236" s="35"/>
      <c r="E236" s="35" t="s">
        <v>435</v>
      </c>
      <c r="F236" s="35" t="s">
        <v>13</v>
      </c>
      <c r="G236" s="46"/>
      <c r="H236" s="44"/>
      <c r="I236" s="44"/>
      <c r="J236" s="46"/>
      <c r="K236" s="44"/>
      <c r="L236" s="44"/>
      <c r="M236" s="44"/>
      <c r="N236" s="44"/>
      <c r="O236" s="45"/>
      <c r="P236" s="40"/>
    </row>
    <row r="237" spans="1:16" s="41" customFormat="1" ht="30" customHeight="1">
      <c r="A237" s="42">
        <v>144</v>
      </c>
      <c r="B237" s="43" t="s">
        <v>233</v>
      </c>
      <c r="C237" s="42"/>
      <c r="D237" s="43"/>
      <c r="E237" s="43" t="s">
        <v>435</v>
      </c>
      <c r="F237" s="43" t="s">
        <v>35</v>
      </c>
      <c r="G237" s="44"/>
      <c r="H237" s="44"/>
      <c r="I237" s="44"/>
      <c r="J237" s="44"/>
      <c r="K237" s="44"/>
      <c r="L237" s="44"/>
      <c r="M237" s="44"/>
      <c r="N237" s="44"/>
      <c r="O237" s="45"/>
      <c r="P237" s="40"/>
    </row>
    <row r="238" spans="1:16" s="41" customFormat="1" ht="30" customHeight="1">
      <c r="A238" s="34">
        <v>145</v>
      </c>
      <c r="B238" s="35" t="s">
        <v>234</v>
      </c>
      <c r="C238" s="34"/>
      <c r="D238" s="35"/>
      <c r="E238" s="35" t="s">
        <v>435</v>
      </c>
      <c r="F238" s="35" t="s">
        <v>235</v>
      </c>
      <c r="G238" s="46"/>
      <c r="H238" s="44"/>
      <c r="I238" s="44"/>
      <c r="J238" s="46"/>
      <c r="K238" s="44"/>
      <c r="L238" s="44"/>
      <c r="M238" s="44"/>
      <c r="N238" s="44"/>
      <c r="O238" s="45"/>
      <c r="P238" s="40"/>
    </row>
    <row r="239" spans="1:16" s="41" customFormat="1" ht="30" customHeight="1">
      <c r="A239" s="42">
        <v>146</v>
      </c>
      <c r="B239" s="43" t="s">
        <v>236</v>
      </c>
      <c r="C239" s="42"/>
      <c r="D239" s="43"/>
      <c r="E239" s="43" t="s">
        <v>435</v>
      </c>
      <c r="F239" s="43" t="s">
        <v>235</v>
      </c>
      <c r="G239" s="44"/>
      <c r="H239" s="44"/>
      <c r="I239" s="44"/>
      <c r="J239" s="44"/>
      <c r="K239" s="44"/>
      <c r="L239" s="44"/>
      <c r="M239" s="44"/>
      <c r="N239" s="44"/>
      <c r="O239" s="45"/>
      <c r="P239" s="40"/>
    </row>
    <row r="240" spans="1:16" s="41" customFormat="1" ht="30" customHeight="1">
      <c r="A240" s="34">
        <v>147</v>
      </c>
      <c r="B240" s="35" t="s">
        <v>237</v>
      </c>
      <c r="C240" s="34"/>
      <c r="D240" s="35"/>
      <c r="E240" s="35" t="s">
        <v>435</v>
      </c>
      <c r="F240" s="35" t="s">
        <v>235</v>
      </c>
      <c r="G240" s="46"/>
      <c r="H240" s="44"/>
      <c r="I240" s="44"/>
      <c r="J240" s="46"/>
      <c r="K240" s="44"/>
      <c r="L240" s="44"/>
      <c r="M240" s="44"/>
      <c r="N240" s="44"/>
      <c r="O240" s="45"/>
      <c r="P240" s="40"/>
    </row>
    <row r="241" spans="1:16" s="41" customFormat="1" ht="30" customHeight="1">
      <c r="A241" s="42">
        <v>148</v>
      </c>
      <c r="B241" s="43" t="s">
        <v>238</v>
      </c>
      <c r="C241" s="42"/>
      <c r="D241" s="43"/>
      <c r="E241" s="43" t="s">
        <v>435</v>
      </c>
      <c r="F241" s="43" t="s">
        <v>235</v>
      </c>
      <c r="G241" s="44"/>
      <c r="H241" s="44"/>
      <c r="I241" s="44"/>
      <c r="J241" s="44"/>
      <c r="K241" s="44"/>
      <c r="L241" s="44"/>
      <c r="M241" s="44"/>
      <c r="N241" s="44"/>
      <c r="O241" s="45"/>
      <c r="P241" s="40"/>
    </row>
    <row r="242" spans="1:16" s="41" customFormat="1" ht="30" customHeight="1">
      <c r="A242" s="34">
        <v>149</v>
      </c>
      <c r="B242" s="35" t="s">
        <v>239</v>
      </c>
      <c r="C242" s="34"/>
      <c r="D242" s="35"/>
      <c r="E242" s="35" t="s">
        <v>435</v>
      </c>
      <c r="F242" s="35" t="s">
        <v>235</v>
      </c>
      <c r="G242" s="46"/>
      <c r="H242" s="44"/>
      <c r="I242" s="44"/>
      <c r="J242" s="46"/>
      <c r="K242" s="44"/>
      <c r="L242" s="44"/>
      <c r="M242" s="44"/>
      <c r="N242" s="44"/>
      <c r="O242" s="45"/>
      <c r="P242" s="40"/>
    </row>
    <row r="243" spans="1:16" s="41" customFormat="1" ht="30" customHeight="1">
      <c r="A243" s="42">
        <v>150</v>
      </c>
      <c r="B243" s="43" t="s">
        <v>240</v>
      </c>
      <c r="C243" s="42"/>
      <c r="D243" s="43"/>
      <c r="E243" s="43" t="s">
        <v>435</v>
      </c>
      <c r="F243" s="43" t="s">
        <v>235</v>
      </c>
      <c r="G243" s="44"/>
      <c r="H243" s="44"/>
      <c r="I243" s="44"/>
      <c r="J243" s="44"/>
      <c r="K243" s="44"/>
      <c r="L243" s="44"/>
      <c r="M243" s="44"/>
      <c r="N243" s="44"/>
      <c r="O243" s="45"/>
      <c r="P243" s="40"/>
    </row>
    <row r="244" spans="1:16" s="41" customFormat="1" ht="30" customHeight="1">
      <c r="A244" s="34">
        <v>151</v>
      </c>
      <c r="B244" s="35" t="s">
        <v>241</v>
      </c>
      <c r="C244" s="34"/>
      <c r="D244" s="35"/>
      <c r="E244" s="35" t="s">
        <v>435</v>
      </c>
      <c r="F244" s="35" t="s">
        <v>235</v>
      </c>
      <c r="G244" s="46"/>
      <c r="H244" s="44"/>
      <c r="I244" s="44"/>
      <c r="J244" s="46"/>
      <c r="K244" s="44"/>
      <c r="L244" s="44"/>
      <c r="M244" s="44"/>
      <c r="N244" s="44"/>
      <c r="O244" s="45"/>
      <c r="P244" s="40"/>
    </row>
    <row r="245" spans="1:16" s="41" customFormat="1" ht="30" customHeight="1">
      <c r="A245" s="42">
        <v>152</v>
      </c>
      <c r="B245" s="43" t="s">
        <v>242</v>
      </c>
      <c r="C245" s="42"/>
      <c r="D245" s="43"/>
      <c r="E245" s="43" t="s">
        <v>435</v>
      </c>
      <c r="F245" s="43" t="s">
        <v>235</v>
      </c>
      <c r="G245" s="44"/>
      <c r="H245" s="44"/>
      <c r="I245" s="44"/>
      <c r="J245" s="44"/>
      <c r="K245" s="44"/>
      <c r="L245" s="44"/>
      <c r="M245" s="44"/>
      <c r="N245" s="44"/>
      <c r="O245" s="45"/>
      <c r="P245" s="40"/>
    </row>
    <row r="246" spans="1:16" s="41" customFormat="1" ht="30" customHeight="1">
      <c r="A246" s="34">
        <v>153</v>
      </c>
      <c r="B246" s="35" t="s">
        <v>243</v>
      </c>
      <c r="C246" s="34" t="s">
        <v>422</v>
      </c>
      <c r="D246" s="35"/>
      <c r="E246" s="35" t="s">
        <v>435</v>
      </c>
      <c r="F246" s="35" t="s">
        <v>235</v>
      </c>
      <c r="G246" s="46"/>
      <c r="H246" s="44"/>
      <c r="I246" s="44"/>
      <c r="J246" s="46"/>
      <c r="K246" s="44"/>
      <c r="L246" s="44"/>
      <c r="M246" s="44"/>
      <c r="N246" s="44"/>
      <c r="O246" s="45"/>
      <c r="P246" s="40"/>
    </row>
    <row r="247" spans="1:16" s="41" customFormat="1" ht="30" customHeight="1">
      <c r="A247" s="42">
        <v>154</v>
      </c>
      <c r="B247" s="43" t="s">
        <v>244</v>
      </c>
      <c r="C247" s="42"/>
      <c r="D247" s="43"/>
      <c r="E247" s="43" t="s">
        <v>435</v>
      </c>
      <c r="F247" s="43" t="s">
        <v>235</v>
      </c>
      <c r="G247" s="44"/>
      <c r="H247" s="44"/>
      <c r="I247" s="44"/>
      <c r="J247" s="44"/>
      <c r="K247" s="44"/>
      <c r="L247" s="44"/>
      <c r="M247" s="44"/>
      <c r="N247" s="44"/>
      <c r="O247" s="45"/>
      <c r="P247" s="40"/>
    </row>
    <row r="248" spans="1:16" s="41" customFormat="1" ht="30" customHeight="1">
      <c r="A248" s="34">
        <v>155</v>
      </c>
      <c r="B248" s="35" t="s">
        <v>245</v>
      </c>
      <c r="C248" s="34"/>
      <c r="D248" s="35"/>
      <c r="E248" s="35" t="s">
        <v>435</v>
      </c>
      <c r="F248" s="35" t="s">
        <v>235</v>
      </c>
      <c r="G248" s="46"/>
      <c r="H248" s="44"/>
      <c r="I248" s="44"/>
      <c r="J248" s="46"/>
      <c r="K248" s="44"/>
      <c r="L248" s="44"/>
      <c r="M248" s="44"/>
      <c r="N248" s="44"/>
      <c r="O248" s="45"/>
      <c r="P248" s="40"/>
    </row>
    <row r="249" spans="1:16" s="41" customFormat="1" ht="30" customHeight="1">
      <c r="A249" s="42">
        <v>156</v>
      </c>
      <c r="B249" s="43" t="s">
        <v>246</v>
      </c>
      <c r="C249" s="42"/>
      <c r="D249" s="43"/>
      <c r="E249" s="43" t="s">
        <v>435</v>
      </c>
      <c r="F249" s="43" t="s">
        <v>235</v>
      </c>
      <c r="G249" s="44"/>
      <c r="H249" s="44"/>
      <c r="I249" s="44"/>
      <c r="J249" s="44"/>
      <c r="K249" s="44"/>
      <c r="L249" s="44"/>
      <c r="M249" s="44"/>
      <c r="N249" s="44"/>
      <c r="O249" s="45"/>
      <c r="P249" s="40"/>
    </row>
    <row r="250" spans="1:16" s="41" customFormat="1" ht="30" customHeight="1">
      <c r="A250" s="34">
        <v>157</v>
      </c>
      <c r="B250" s="35" t="s">
        <v>247</v>
      </c>
      <c r="C250" s="34"/>
      <c r="D250" s="35"/>
      <c r="E250" s="35" t="s">
        <v>435</v>
      </c>
      <c r="F250" s="35" t="s">
        <v>235</v>
      </c>
      <c r="G250" s="46"/>
      <c r="H250" s="44"/>
      <c r="I250" s="44"/>
      <c r="J250" s="46"/>
      <c r="K250" s="44"/>
      <c r="L250" s="44"/>
      <c r="M250" s="44"/>
      <c r="N250" s="44"/>
      <c r="O250" s="45"/>
      <c r="P250" s="40"/>
    </row>
    <row r="251" spans="1:16" s="41" customFormat="1" ht="30" customHeight="1">
      <c r="A251" s="42">
        <v>158</v>
      </c>
      <c r="B251" s="43" t="s">
        <v>248</v>
      </c>
      <c r="C251" s="42"/>
      <c r="D251" s="43"/>
      <c r="E251" s="43" t="s">
        <v>435</v>
      </c>
      <c r="F251" s="43" t="s">
        <v>235</v>
      </c>
      <c r="G251" s="44"/>
      <c r="H251" s="44"/>
      <c r="I251" s="44"/>
      <c r="J251" s="44"/>
      <c r="K251" s="44"/>
      <c r="L251" s="44"/>
      <c r="M251" s="44"/>
      <c r="N251" s="44"/>
      <c r="O251" s="45"/>
      <c r="P251" s="40"/>
    </row>
    <row r="252" spans="1:16" s="41" customFormat="1" ht="30" customHeight="1">
      <c r="A252" s="34">
        <v>159</v>
      </c>
      <c r="B252" s="35" t="s">
        <v>249</v>
      </c>
      <c r="C252" s="34"/>
      <c r="D252" s="35"/>
      <c r="E252" s="35" t="s">
        <v>435</v>
      </c>
      <c r="F252" s="35" t="s">
        <v>235</v>
      </c>
      <c r="G252" s="46"/>
      <c r="H252" s="44"/>
      <c r="I252" s="44"/>
      <c r="J252" s="46"/>
      <c r="K252" s="44"/>
      <c r="L252" s="44"/>
      <c r="M252" s="44"/>
      <c r="N252" s="44"/>
      <c r="O252" s="45"/>
      <c r="P252" s="40"/>
    </row>
    <row r="253" spans="1:16" s="41" customFormat="1" ht="30" customHeight="1">
      <c r="A253" s="42">
        <v>160</v>
      </c>
      <c r="B253" s="43" t="s">
        <v>250</v>
      </c>
      <c r="C253" s="42"/>
      <c r="D253" s="43"/>
      <c r="E253" s="43" t="s">
        <v>435</v>
      </c>
      <c r="F253" s="43" t="s">
        <v>235</v>
      </c>
      <c r="G253" s="44"/>
      <c r="H253" s="44"/>
      <c r="I253" s="44"/>
      <c r="J253" s="44"/>
      <c r="K253" s="44"/>
      <c r="L253" s="44"/>
      <c r="M253" s="44"/>
      <c r="N253" s="44"/>
      <c r="O253" s="45"/>
      <c r="P253" s="40"/>
    </row>
    <row r="254" spans="1:16" s="41" customFormat="1" ht="30" customHeight="1">
      <c r="A254" s="34">
        <v>161</v>
      </c>
      <c r="B254" s="35" t="s">
        <v>251</v>
      </c>
      <c r="C254" s="34"/>
      <c r="D254" s="35"/>
      <c r="E254" s="35" t="s">
        <v>435</v>
      </c>
      <c r="F254" s="35" t="s">
        <v>235</v>
      </c>
      <c r="G254" s="46"/>
      <c r="H254" s="44"/>
      <c r="I254" s="44"/>
      <c r="J254" s="46"/>
      <c r="K254" s="44"/>
      <c r="L254" s="44"/>
      <c r="M254" s="44"/>
      <c r="N254" s="44"/>
      <c r="O254" s="45"/>
      <c r="P254" s="40"/>
    </row>
    <row r="255" spans="1:16" s="41" customFormat="1" ht="30" customHeight="1">
      <c r="A255" s="42">
        <v>162</v>
      </c>
      <c r="B255" s="43" t="s">
        <v>252</v>
      </c>
      <c r="C255" s="42"/>
      <c r="D255" s="43"/>
      <c r="E255" s="43" t="s">
        <v>435</v>
      </c>
      <c r="F255" s="43" t="s">
        <v>235</v>
      </c>
      <c r="G255" s="44"/>
      <c r="H255" s="44"/>
      <c r="I255" s="44"/>
      <c r="J255" s="44"/>
      <c r="K255" s="44"/>
      <c r="L255" s="44"/>
      <c r="M255" s="44"/>
      <c r="N255" s="44"/>
      <c r="O255" s="45"/>
      <c r="P255" s="40"/>
    </row>
    <row r="256" spans="1:16" s="41" customFormat="1" ht="30" customHeight="1">
      <c r="A256" s="34">
        <v>163</v>
      </c>
      <c r="B256" s="35" t="s">
        <v>253</v>
      </c>
      <c r="C256" s="34"/>
      <c r="D256" s="35"/>
      <c r="E256" s="35" t="s">
        <v>435</v>
      </c>
      <c r="F256" s="35" t="s">
        <v>235</v>
      </c>
      <c r="G256" s="46"/>
      <c r="H256" s="44"/>
      <c r="I256" s="44"/>
      <c r="J256" s="46"/>
      <c r="K256" s="44"/>
      <c r="L256" s="44"/>
      <c r="M256" s="44"/>
      <c r="N256" s="44"/>
      <c r="O256" s="45"/>
      <c r="P256" s="40"/>
    </row>
    <row r="257" spans="1:16" s="41" customFormat="1" ht="30" customHeight="1">
      <c r="A257" s="42">
        <v>164</v>
      </c>
      <c r="B257" s="43" t="s">
        <v>56</v>
      </c>
      <c r="C257" s="42"/>
      <c r="D257" s="43"/>
      <c r="E257" s="43" t="s">
        <v>435</v>
      </c>
      <c r="F257" s="43" t="s">
        <v>235</v>
      </c>
      <c r="G257" s="44"/>
      <c r="H257" s="44"/>
      <c r="I257" s="44"/>
      <c r="J257" s="44"/>
      <c r="K257" s="44"/>
      <c r="L257" s="44"/>
      <c r="M257" s="44"/>
      <c r="N257" s="44"/>
      <c r="O257" s="45"/>
      <c r="P257" s="40"/>
    </row>
    <row r="258" spans="1:16" s="41" customFormat="1" ht="30" customHeight="1">
      <c r="A258" s="34">
        <v>165</v>
      </c>
      <c r="B258" s="35" t="s">
        <v>254</v>
      </c>
      <c r="C258" s="34"/>
      <c r="D258" s="35"/>
      <c r="E258" s="35" t="s">
        <v>435</v>
      </c>
      <c r="F258" s="35" t="s">
        <v>235</v>
      </c>
      <c r="G258" s="46"/>
      <c r="H258" s="44"/>
      <c r="I258" s="44"/>
      <c r="J258" s="46"/>
      <c r="K258" s="44"/>
      <c r="L258" s="44"/>
      <c r="M258" s="44"/>
      <c r="N258" s="44"/>
      <c r="O258" s="45"/>
      <c r="P258" s="40"/>
    </row>
    <row r="259" spans="1:16" s="41" customFormat="1" ht="30" customHeight="1">
      <c r="A259" s="42">
        <v>166</v>
      </c>
      <c r="B259" s="43" t="s">
        <v>255</v>
      </c>
      <c r="C259" s="42"/>
      <c r="D259" s="43"/>
      <c r="E259" s="43" t="s">
        <v>435</v>
      </c>
      <c r="F259" s="43" t="s">
        <v>235</v>
      </c>
      <c r="G259" s="44"/>
      <c r="H259" s="44"/>
      <c r="I259" s="44"/>
      <c r="J259" s="44"/>
      <c r="K259" s="44"/>
      <c r="L259" s="44"/>
      <c r="M259" s="44"/>
      <c r="N259" s="44"/>
      <c r="O259" s="45"/>
      <c r="P259" s="40"/>
    </row>
    <row r="260" spans="1:16" s="41" customFormat="1" ht="30" customHeight="1">
      <c r="A260" s="34">
        <v>167</v>
      </c>
      <c r="B260" s="35" t="s">
        <v>256</v>
      </c>
      <c r="C260" s="34"/>
      <c r="D260" s="35"/>
      <c r="E260" s="35" t="s">
        <v>435</v>
      </c>
      <c r="F260" s="35" t="s">
        <v>235</v>
      </c>
      <c r="G260" s="46"/>
      <c r="H260" s="44"/>
      <c r="I260" s="44"/>
      <c r="J260" s="46"/>
      <c r="K260" s="44"/>
      <c r="L260" s="44"/>
      <c r="M260" s="44"/>
      <c r="N260" s="44"/>
      <c r="O260" s="45"/>
      <c r="P260" s="40"/>
    </row>
    <row r="261" spans="1:16" s="41" customFormat="1" ht="30" customHeight="1">
      <c r="A261" s="42">
        <v>168</v>
      </c>
      <c r="B261" s="43" t="s">
        <v>257</v>
      </c>
      <c r="C261" s="42"/>
      <c r="D261" s="43"/>
      <c r="E261" s="43" t="s">
        <v>435</v>
      </c>
      <c r="F261" s="43" t="s">
        <v>235</v>
      </c>
      <c r="G261" s="44"/>
      <c r="H261" s="44"/>
      <c r="I261" s="44"/>
      <c r="J261" s="44"/>
      <c r="K261" s="44"/>
      <c r="L261" s="44"/>
      <c r="M261" s="44"/>
      <c r="N261" s="44"/>
      <c r="O261" s="45"/>
      <c r="P261" s="40"/>
    </row>
    <row r="262" spans="1:16" s="41" customFormat="1" ht="30" customHeight="1">
      <c r="A262" s="34">
        <v>169</v>
      </c>
      <c r="B262" s="35" t="s">
        <v>258</v>
      </c>
      <c r="C262" s="34"/>
      <c r="D262" s="35"/>
      <c r="E262" s="35" t="s">
        <v>435</v>
      </c>
      <c r="F262" s="35" t="s">
        <v>235</v>
      </c>
      <c r="G262" s="46"/>
      <c r="H262" s="44"/>
      <c r="I262" s="44"/>
      <c r="J262" s="46"/>
      <c r="K262" s="44"/>
      <c r="L262" s="44"/>
      <c r="M262" s="44"/>
      <c r="N262" s="44"/>
      <c r="O262" s="45"/>
      <c r="P262" s="40"/>
    </row>
    <row r="263" spans="1:16" s="41" customFormat="1" ht="30" customHeight="1">
      <c r="A263" s="42">
        <v>170</v>
      </c>
      <c r="B263" s="43" t="s">
        <v>259</v>
      </c>
      <c r="C263" s="42"/>
      <c r="D263" s="43"/>
      <c r="E263" s="43" t="s">
        <v>435</v>
      </c>
      <c r="F263" s="43" t="s">
        <v>235</v>
      </c>
      <c r="G263" s="44"/>
      <c r="H263" s="44"/>
      <c r="I263" s="44"/>
      <c r="J263" s="44"/>
      <c r="K263" s="44"/>
      <c r="L263" s="44"/>
      <c r="M263" s="44"/>
      <c r="N263" s="44"/>
      <c r="O263" s="45"/>
      <c r="P263" s="40"/>
    </row>
    <row r="264" spans="1:16" s="41" customFormat="1" ht="30" customHeight="1">
      <c r="A264" s="34">
        <v>171</v>
      </c>
      <c r="B264" s="35" t="s">
        <v>260</v>
      </c>
      <c r="C264" s="34"/>
      <c r="D264" s="35"/>
      <c r="E264" s="35" t="s">
        <v>435</v>
      </c>
      <c r="F264" s="35" t="s">
        <v>235</v>
      </c>
      <c r="G264" s="46"/>
      <c r="H264" s="44"/>
      <c r="I264" s="44"/>
      <c r="J264" s="46"/>
      <c r="K264" s="44"/>
      <c r="L264" s="44"/>
      <c r="M264" s="44"/>
      <c r="N264" s="44"/>
      <c r="O264" s="45"/>
      <c r="P264" s="40"/>
    </row>
    <row r="265" spans="1:16" s="41" customFormat="1" ht="30" customHeight="1">
      <c r="A265" s="42">
        <v>172</v>
      </c>
      <c r="B265" s="43" t="s">
        <v>261</v>
      </c>
      <c r="C265" s="42"/>
      <c r="D265" s="43"/>
      <c r="E265" s="43" t="s">
        <v>435</v>
      </c>
      <c r="F265" s="43" t="s">
        <v>235</v>
      </c>
      <c r="G265" s="44"/>
      <c r="H265" s="44"/>
      <c r="I265" s="44"/>
      <c r="J265" s="44"/>
      <c r="K265" s="44"/>
      <c r="L265" s="44"/>
      <c r="M265" s="44"/>
      <c r="N265" s="44"/>
      <c r="O265" s="45"/>
      <c r="P265" s="40"/>
    </row>
    <row r="266" spans="1:16" s="41" customFormat="1" ht="30" customHeight="1">
      <c r="A266" s="34">
        <v>173</v>
      </c>
      <c r="B266" s="35" t="s">
        <v>262</v>
      </c>
      <c r="C266" s="34"/>
      <c r="D266" s="35"/>
      <c r="E266" s="35" t="s">
        <v>435</v>
      </c>
      <c r="F266" s="35" t="s">
        <v>235</v>
      </c>
      <c r="G266" s="46"/>
      <c r="H266" s="44"/>
      <c r="I266" s="44"/>
      <c r="J266" s="46"/>
      <c r="K266" s="44"/>
      <c r="L266" s="44"/>
      <c r="M266" s="44"/>
      <c r="N266" s="44"/>
      <c r="O266" s="45"/>
      <c r="P266" s="40"/>
    </row>
    <row r="267" spans="1:16" s="41" customFormat="1" ht="30" customHeight="1">
      <c r="A267" s="42">
        <v>174</v>
      </c>
      <c r="B267" s="43" t="s">
        <v>263</v>
      </c>
      <c r="C267" s="42"/>
      <c r="D267" s="43"/>
      <c r="E267" s="43" t="s">
        <v>435</v>
      </c>
      <c r="F267" s="43" t="s">
        <v>235</v>
      </c>
      <c r="G267" s="44"/>
      <c r="H267" s="44"/>
      <c r="I267" s="44"/>
      <c r="J267" s="44"/>
      <c r="K267" s="44"/>
      <c r="L267" s="44"/>
      <c r="M267" s="44"/>
      <c r="N267" s="44"/>
      <c r="O267" s="45"/>
      <c r="P267" s="40"/>
    </row>
    <row r="268" spans="1:16" s="41" customFormat="1" ht="30" customHeight="1">
      <c r="A268" s="34">
        <v>175</v>
      </c>
      <c r="B268" s="35" t="s">
        <v>260</v>
      </c>
      <c r="C268" s="34"/>
      <c r="D268" s="35"/>
      <c r="E268" s="35" t="s">
        <v>435</v>
      </c>
      <c r="F268" s="35" t="s">
        <v>235</v>
      </c>
      <c r="G268" s="46"/>
      <c r="H268" s="44"/>
      <c r="I268" s="44"/>
      <c r="J268" s="46"/>
      <c r="K268" s="44"/>
      <c r="L268" s="44"/>
      <c r="M268" s="44"/>
      <c r="N268" s="44"/>
      <c r="O268" s="45"/>
      <c r="P268" s="40"/>
    </row>
    <row r="269" spans="1:16" s="41" customFormat="1" ht="30" customHeight="1">
      <c r="A269" s="42">
        <v>176</v>
      </c>
      <c r="B269" s="43" t="s">
        <v>264</v>
      </c>
      <c r="C269" s="42"/>
      <c r="D269" s="43"/>
      <c r="E269" s="43" t="s">
        <v>435</v>
      </c>
      <c r="F269" s="43" t="s">
        <v>235</v>
      </c>
      <c r="G269" s="44"/>
      <c r="H269" s="44"/>
      <c r="I269" s="44"/>
      <c r="J269" s="44"/>
      <c r="K269" s="44"/>
      <c r="L269" s="44"/>
      <c r="M269" s="44"/>
      <c r="N269" s="44"/>
      <c r="O269" s="45"/>
      <c r="P269" s="40"/>
    </row>
    <row r="270" spans="1:16" s="41" customFormat="1" ht="30" customHeight="1">
      <c r="A270" s="34">
        <v>177</v>
      </c>
      <c r="B270" s="35" t="s">
        <v>265</v>
      </c>
      <c r="C270" s="34"/>
      <c r="D270" s="35"/>
      <c r="E270" s="35" t="s">
        <v>435</v>
      </c>
      <c r="F270" s="35" t="s">
        <v>235</v>
      </c>
      <c r="G270" s="46"/>
      <c r="H270" s="44"/>
      <c r="I270" s="44"/>
      <c r="J270" s="46"/>
      <c r="K270" s="44"/>
      <c r="L270" s="44"/>
      <c r="M270" s="44"/>
      <c r="N270" s="44"/>
      <c r="O270" s="45"/>
      <c r="P270" s="40"/>
    </row>
    <row r="271" spans="1:16" s="41" customFormat="1" ht="30" customHeight="1">
      <c r="A271" s="42">
        <v>178</v>
      </c>
      <c r="B271" s="43" t="s">
        <v>266</v>
      </c>
      <c r="C271" s="42"/>
      <c r="D271" s="43"/>
      <c r="E271" s="43" t="s">
        <v>435</v>
      </c>
      <c r="F271" s="43" t="s">
        <v>123</v>
      </c>
      <c r="G271" s="44"/>
      <c r="H271" s="44"/>
      <c r="I271" s="44"/>
      <c r="J271" s="44"/>
      <c r="K271" s="44"/>
      <c r="L271" s="44"/>
      <c r="M271" s="44"/>
      <c r="N271" s="44"/>
      <c r="O271" s="45"/>
      <c r="P271" s="40"/>
    </row>
    <row r="272" spans="1:16" s="41" customFormat="1" ht="30" customHeight="1">
      <c r="A272" s="34">
        <v>179</v>
      </c>
      <c r="B272" s="35" t="s">
        <v>267</v>
      </c>
      <c r="C272" s="34"/>
      <c r="D272" s="35"/>
      <c r="E272" s="35" t="s">
        <v>435</v>
      </c>
      <c r="F272" s="35" t="s">
        <v>123</v>
      </c>
      <c r="G272" s="46"/>
      <c r="H272" s="44"/>
      <c r="I272" s="44"/>
      <c r="J272" s="46"/>
      <c r="K272" s="44"/>
      <c r="L272" s="44"/>
      <c r="M272" s="44"/>
      <c r="N272" s="44"/>
      <c r="O272" s="45"/>
      <c r="P272" s="40"/>
    </row>
    <row r="273" spans="1:16" s="41" customFormat="1" ht="30" customHeight="1">
      <c r="A273" s="42">
        <v>180</v>
      </c>
      <c r="B273" s="43" t="s">
        <v>268</v>
      </c>
      <c r="C273" s="42"/>
      <c r="D273" s="43"/>
      <c r="E273" s="43" t="s">
        <v>435</v>
      </c>
      <c r="F273" s="43" t="s">
        <v>123</v>
      </c>
      <c r="G273" s="44"/>
      <c r="H273" s="44"/>
      <c r="I273" s="44"/>
      <c r="J273" s="44"/>
      <c r="K273" s="44"/>
      <c r="L273" s="44"/>
      <c r="M273" s="44"/>
      <c r="N273" s="44"/>
      <c r="O273" s="45"/>
      <c r="P273" s="40"/>
    </row>
    <row r="274" spans="1:16" s="41" customFormat="1" ht="30" customHeight="1">
      <c r="A274" s="34">
        <v>181</v>
      </c>
      <c r="B274" s="35" t="s">
        <v>269</v>
      </c>
      <c r="C274" s="34"/>
      <c r="D274" s="35"/>
      <c r="E274" s="35" t="s">
        <v>435</v>
      </c>
      <c r="F274" s="35" t="s">
        <v>123</v>
      </c>
      <c r="G274" s="46"/>
      <c r="H274" s="44"/>
      <c r="I274" s="44"/>
      <c r="J274" s="46"/>
      <c r="K274" s="44"/>
      <c r="L274" s="44"/>
      <c r="M274" s="44"/>
      <c r="N274" s="44"/>
      <c r="O274" s="45"/>
      <c r="P274" s="40"/>
    </row>
    <row r="275" spans="1:16" s="41" customFormat="1" ht="30" customHeight="1">
      <c r="A275" s="42">
        <v>182</v>
      </c>
      <c r="B275" s="43" t="s">
        <v>270</v>
      </c>
      <c r="C275" s="42"/>
      <c r="D275" s="43"/>
      <c r="E275" s="43" t="s">
        <v>435</v>
      </c>
      <c r="F275" s="43" t="s">
        <v>123</v>
      </c>
      <c r="G275" s="44"/>
      <c r="H275" s="44"/>
      <c r="I275" s="44"/>
      <c r="J275" s="44"/>
      <c r="K275" s="44"/>
      <c r="L275" s="44"/>
      <c r="M275" s="44"/>
      <c r="N275" s="44"/>
      <c r="O275" s="45"/>
      <c r="P275" s="40"/>
    </row>
    <row r="276" spans="1:16" s="33" customFormat="1" ht="38.25">
      <c r="A276" s="34">
        <v>183</v>
      </c>
      <c r="B276" s="35" t="s">
        <v>271</v>
      </c>
      <c r="C276" s="34"/>
      <c r="D276" s="35"/>
      <c r="E276" s="35" t="s">
        <v>428</v>
      </c>
      <c r="F276" s="35"/>
      <c r="G276" s="35"/>
      <c r="H276" s="35"/>
      <c r="I276" s="35" t="s">
        <v>595</v>
      </c>
      <c r="J276" s="35" t="s">
        <v>468</v>
      </c>
      <c r="K276" s="35" t="s">
        <v>600</v>
      </c>
      <c r="L276" s="30"/>
      <c r="M276" s="30"/>
      <c r="N276" s="31"/>
      <c r="O276" s="78"/>
      <c r="P276" s="32"/>
    </row>
    <row r="277" spans="1:16" s="33" customFormat="1" ht="51">
      <c r="A277" s="42">
        <v>184</v>
      </c>
      <c r="B277" s="43" t="s">
        <v>272</v>
      </c>
      <c r="C277" s="42"/>
      <c r="D277" s="43"/>
      <c r="E277" s="43" t="s">
        <v>428</v>
      </c>
      <c r="F277" s="43"/>
      <c r="G277" s="43"/>
      <c r="H277" s="43"/>
      <c r="I277" s="43" t="s">
        <v>595</v>
      </c>
      <c r="J277" s="43" t="s">
        <v>468</v>
      </c>
      <c r="K277" s="43" t="s">
        <v>600</v>
      </c>
      <c r="L277" s="36"/>
      <c r="M277" s="36"/>
      <c r="N277" s="79"/>
      <c r="O277" s="78"/>
      <c r="P277" s="32"/>
    </row>
    <row r="278" spans="1:16" s="33" customFormat="1" ht="30" customHeight="1">
      <c r="A278" s="34">
        <v>185</v>
      </c>
      <c r="B278" s="35" t="s">
        <v>273</v>
      </c>
      <c r="C278" s="34"/>
      <c r="D278" s="35"/>
      <c r="E278" s="35" t="s">
        <v>428</v>
      </c>
      <c r="F278" s="35" t="s">
        <v>619</v>
      </c>
      <c r="G278" s="44"/>
      <c r="H278" s="44"/>
      <c r="I278" s="44"/>
      <c r="J278" s="44"/>
      <c r="K278" s="44"/>
      <c r="L278" s="44"/>
      <c r="M278" s="44"/>
      <c r="N278" s="44"/>
      <c r="O278" s="78"/>
      <c r="P278" s="32"/>
    </row>
    <row r="279" spans="1:16" s="33" customFormat="1" ht="30" customHeight="1">
      <c r="A279" s="42">
        <v>186</v>
      </c>
      <c r="B279" s="43" t="s">
        <v>274</v>
      </c>
      <c r="C279" s="42"/>
      <c r="D279" s="43"/>
      <c r="E279" s="43" t="s">
        <v>428</v>
      </c>
      <c r="F279" s="43" t="s">
        <v>620</v>
      </c>
      <c r="G279" s="44"/>
      <c r="H279" s="44"/>
      <c r="I279" s="44"/>
      <c r="J279" s="44"/>
      <c r="K279" s="44"/>
      <c r="L279" s="44"/>
      <c r="M279" s="44"/>
      <c r="N279" s="44"/>
      <c r="O279" s="78"/>
      <c r="P279" s="32"/>
    </row>
    <row r="280" spans="1:16" s="33" customFormat="1" ht="30" customHeight="1">
      <c r="A280" s="34">
        <v>187</v>
      </c>
      <c r="B280" s="35" t="s">
        <v>275</v>
      </c>
      <c r="C280" s="34"/>
      <c r="D280" s="35"/>
      <c r="E280" s="35" t="s">
        <v>428</v>
      </c>
      <c r="F280" s="35" t="s">
        <v>588</v>
      </c>
      <c r="G280" s="44"/>
      <c r="H280" s="44"/>
      <c r="I280" s="44"/>
      <c r="J280" s="44"/>
      <c r="K280" s="44"/>
      <c r="L280" s="44"/>
      <c r="M280" s="44"/>
      <c r="N280" s="44"/>
      <c r="O280" s="78"/>
      <c r="P280" s="32"/>
    </row>
    <row r="281" spans="1:16" s="33" customFormat="1" ht="30" customHeight="1">
      <c r="A281" s="42">
        <v>188</v>
      </c>
      <c r="B281" s="43" t="s">
        <v>276</v>
      </c>
      <c r="C281" s="42"/>
      <c r="D281" s="43"/>
      <c r="E281" s="43" t="s">
        <v>428</v>
      </c>
      <c r="F281" s="43" t="s">
        <v>588</v>
      </c>
      <c r="G281" s="44"/>
      <c r="H281" s="44"/>
      <c r="I281" s="44"/>
      <c r="J281" s="44"/>
      <c r="K281" s="44"/>
      <c r="L281" s="44"/>
      <c r="M281" s="44"/>
      <c r="N281" s="44"/>
      <c r="O281" s="78"/>
      <c r="P281" s="32"/>
    </row>
    <row r="282" spans="1:16" s="33" customFormat="1" ht="30" customHeight="1">
      <c r="A282" s="34">
        <v>189</v>
      </c>
      <c r="B282" s="35" t="s">
        <v>277</v>
      </c>
      <c r="C282" s="34"/>
      <c r="D282" s="35"/>
      <c r="E282" s="35" t="s">
        <v>428</v>
      </c>
      <c r="F282" s="35"/>
      <c r="G282" s="35"/>
      <c r="H282" s="35"/>
      <c r="I282" s="35"/>
      <c r="J282" s="35"/>
      <c r="K282" s="35" t="s">
        <v>587</v>
      </c>
      <c r="L282" s="30"/>
      <c r="M282" s="30"/>
      <c r="N282" s="31"/>
      <c r="O282" s="78"/>
      <c r="P282" s="32"/>
    </row>
    <row r="283" spans="1:16" s="41" customFormat="1" ht="30" customHeight="1">
      <c r="A283" s="42">
        <v>190</v>
      </c>
      <c r="B283" s="43" t="s">
        <v>278</v>
      </c>
      <c r="C283" s="42"/>
      <c r="D283" s="43"/>
      <c r="E283" s="43" t="s">
        <v>435</v>
      </c>
      <c r="F283" s="43" t="s">
        <v>123</v>
      </c>
      <c r="G283" s="44"/>
      <c r="H283" s="44"/>
      <c r="I283" s="44"/>
      <c r="J283" s="44"/>
      <c r="K283" s="44"/>
      <c r="L283" s="44"/>
      <c r="M283" s="44"/>
      <c r="N283" s="44"/>
      <c r="O283" s="45"/>
      <c r="P283" s="40"/>
    </row>
    <row r="284" spans="1:16" s="41" customFormat="1" ht="30" customHeight="1">
      <c r="A284" s="34">
        <v>191</v>
      </c>
      <c r="B284" s="35" t="s">
        <v>279</v>
      </c>
      <c r="C284" s="34"/>
      <c r="D284" s="35"/>
      <c r="E284" s="35" t="s">
        <v>435</v>
      </c>
      <c r="F284" s="35" t="s">
        <v>123</v>
      </c>
      <c r="G284" s="46"/>
      <c r="H284" s="44"/>
      <c r="I284" s="44"/>
      <c r="J284" s="46"/>
      <c r="K284" s="44"/>
      <c r="L284" s="44"/>
      <c r="M284" s="44"/>
      <c r="N284" s="44"/>
      <c r="O284" s="45"/>
      <c r="P284" s="40"/>
    </row>
    <row r="285" spans="1:16" s="41" customFormat="1" ht="30" customHeight="1">
      <c r="A285" s="48">
        <v>192</v>
      </c>
      <c r="B285" s="49" t="s">
        <v>254</v>
      </c>
      <c r="C285" s="48">
        <v>68</v>
      </c>
      <c r="D285" s="49"/>
      <c r="E285" s="49" t="s">
        <v>435</v>
      </c>
      <c r="F285" s="49" t="s">
        <v>123</v>
      </c>
      <c r="G285" s="38"/>
      <c r="H285" s="44"/>
      <c r="I285" s="44"/>
      <c r="J285" s="38"/>
      <c r="K285" s="44"/>
      <c r="L285" s="44"/>
      <c r="M285" s="44"/>
      <c r="N285" s="44"/>
      <c r="O285" s="45"/>
      <c r="P285" s="40"/>
    </row>
    <row r="286" spans="1:16" s="41" customFormat="1" ht="30" customHeight="1">
      <c r="A286" s="51"/>
      <c r="B286" s="52"/>
      <c r="C286" s="51"/>
      <c r="D286" s="52"/>
      <c r="E286" s="52" t="s">
        <v>435</v>
      </c>
      <c r="F286" s="52"/>
      <c r="G286" s="70"/>
      <c r="H286" s="44"/>
      <c r="I286" s="44"/>
      <c r="J286" s="70"/>
      <c r="K286" s="44"/>
      <c r="L286" s="44"/>
      <c r="M286" s="44"/>
      <c r="N286" s="44"/>
      <c r="O286" s="45"/>
      <c r="P286" s="40"/>
    </row>
    <row r="287" spans="1:16" s="41" customFormat="1" ht="30" customHeight="1">
      <c r="A287" s="34">
        <v>193</v>
      </c>
      <c r="B287" s="35" t="s">
        <v>280</v>
      </c>
      <c r="C287" s="34"/>
      <c r="D287" s="35"/>
      <c r="E287" s="35" t="s">
        <v>435</v>
      </c>
      <c r="F287" s="35" t="s">
        <v>123</v>
      </c>
      <c r="G287" s="46"/>
      <c r="H287" s="44"/>
      <c r="I287" s="44"/>
      <c r="J287" s="46"/>
      <c r="K287" s="44"/>
      <c r="L287" s="44"/>
      <c r="M287" s="44"/>
      <c r="N287" s="44"/>
      <c r="O287" s="45"/>
      <c r="P287" s="40"/>
    </row>
    <row r="288" spans="1:16" s="41" customFormat="1" ht="30" customHeight="1">
      <c r="A288" s="42">
        <v>194</v>
      </c>
      <c r="B288" s="43" t="s">
        <v>281</v>
      </c>
      <c r="C288" s="42"/>
      <c r="D288" s="43"/>
      <c r="E288" s="43" t="s">
        <v>435</v>
      </c>
      <c r="F288" s="43" t="s">
        <v>123</v>
      </c>
      <c r="G288" s="44"/>
      <c r="H288" s="44"/>
      <c r="I288" s="44"/>
      <c r="J288" s="44"/>
      <c r="K288" s="44"/>
      <c r="L288" s="44"/>
      <c r="M288" s="44"/>
      <c r="N288" s="44"/>
      <c r="O288" s="45"/>
      <c r="P288" s="40"/>
    </row>
    <row r="289" spans="1:16" s="41" customFormat="1" ht="30" customHeight="1">
      <c r="A289" s="34">
        <v>195</v>
      </c>
      <c r="B289" s="35" t="s">
        <v>282</v>
      </c>
      <c r="C289" s="34"/>
      <c r="D289" s="35"/>
      <c r="E289" s="35" t="s">
        <v>435</v>
      </c>
      <c r="F289" s="35" t="s">
        <v>35</v>
      </c>
      <c r="G289" s="46"/>
      <c r="H289" s="44"/>
      <c r="I289" s="44"/>
      <c r="J289" s="46"/>
      <c r="K289" s="44"/>
      <c r="L289" s="44"/>
      <c r="M289" s="44"/>
      <c r="N289" s="44"/>
      <c r="O289" s="45"/>
      <c r="P289" s="40"/>
    </row>
    <row r="290" spans="1:16" s="41" customFormat="1" ht="30" customHeight="1">
      <c r="A290" s="42">
        <v>196</v>
      </c>
      <c r="B290" s="43" t="s">
        <v>283</v>
      </c>
      <c r="C290" s="42"/>
      <c r="D290" s="43"/>
      <c r="E290" s="43" t="s">
        <v>435</v>
      </c>
      <c r="F290" s="43" t="s">
        <v>35</v>
      </c>
      <c r="G290" s="44"/>
      <c r="H290" s="44"/>
      <c r="I290" s="44"/>
      <c r="J290" s="44"/>
      <c r="K290" s="44"/>
      <c r="L290" s="44"/>
      <c r="M290" s="44"/>
      <c r="N290" s="44"/>
      <c r="O290" s="45"/>
      <c r="P290" s="40"/>
    </row>
    <row r="291" spans="1:16" s="41" customFormat="1" ht="30" customHeight="1">
      <c r="A291" s="34">
        <v>197</v>
      </c>
      <c r="B291" s="35" t="s">
        <v>284</v>
      </c>
      <c r="C291" s="34"/>
      <c r="D291" s="35"/>
      <c r="E291" s="35" t="s">
        <v>435</v>
      </c>
      <c r="F291" s="35" t="s">
        <v>123</v>
      </c>
      <c r="G291" s="46"/>
      <c r="H291" s="44"/>
      <c r="I291" s="44"/>
      <c r="J291" s="46"/>
      <c r="K291" s="44"/>
      <c r="L291" s="44"/>
      <c r="M291" s="44"/>
      <c r="N291" s="44"/>
      <c r="O291" s="45"/>
      <c r="P291" s="40"/>
    </row>
    <row r="292" spans="1:16" s="41" customFormat="1" ht="30" customHeight="1">
      <c r="A292" s="42">
        <v>198</v>
      </c>
      <c r="B292" s="43" t="s">
        <v>285</v>
      </c>
      <c r="C292" s="42"/>
      <c r="D292" s="43"/>
      <c r="E292" s="43" t="s">
        <v>435</v>
      </c>
      <c r="F292" s="43" t="s">
        <v>123</v>
      </c>
      <c r="G292" s="44"/>
      <c r="H292" s="44"/>
      <c r="I292" s="44"/>
      <c r="J292" s="44"/>
      <c r="K292" s="44"/>
      <c r="L292" s="44"/>
      <c r="M292" s="44"/>
      <c r="N292" s="44"/>
      <c r="O292" s="45"/>
      <c r="P292" s="40"/>
    </row>
    <row r="293" spans="1:16" s="41" customFormat="1" ht="30" customHeight="1">
      <c r="A293" s="34">
        <v>199</v>
      </c>
      <c r="B293" s="35" t="s">
        <v>286</v>
      </c>
      <c r="C293" s="34"/>
      <c r="D293" s="35"/>
      <c r="E293" s="35" t="s">
        <v>435</v>
      </c>
      <c r="F293" s="35" t="s">
        <v>123</v>
      </c>
      <c r="G293" s="46"/>
      <c r="H293" s="44"/>
      <c r="I293" s="44"/>
      <c r="J293" s="46"/>
      <c r="K293" s="44"/>
      <c r="L293" s="44"/>
      <c r="M293" s="44"/>
      <c r="N293" s="44"/>
      <c r="O293" s="45"/>
      <c r="P293" s="40"/>
    </row>
    <row r="294" spans="1:16" s="41" customFormat="1" ht="30" customHeight="1">
      <c r="A294" s="42">
        <v>200</v>
      </c>
      <c r="B294" s="43" t="s">
        <v>287</v>
      </c>
      <c r="C294" s="42"/>
      <c r="D294" s="43"/>
      <c r="E294" s="43" t="s">
        <v>435</v>
      </c>
      <c r="F294" s="43" t="s">
        <v>123</v>
      </c>
      <c r="G294" s="44"/>
      <c r="H294" s="44"/>
      <c r="I294" s="44"/>
      <c r="J294" s="44"/>
      <c r="K294" s="44"/>
      <c r="L294" s="44"/>
      <c r="M294" s="44"/>
      <c r="N294" s="44"/>
      <c r="O294" s="45"/>
      <c r="P294" s="40"/>
    </row>
    <row r="295" spans="1:16" s="41" customFormat="1" ht="30" customHeight="1">
      <c r="A295" s="34">
        <v>201</v>
      </c>
      <c r="B295" s="35" t="s">
        <v>288</v>
      </c>
      <c r="C295" s="34"/>
      <c r="D295" s="35"/>
      <c r="E295" s="35" t="s">
        <v>435</v>
      </c>
      <c r="F295" s="35" t="s">
        <v>123</v>
      </c>
      <c r="G295" s="46"/>
      <c r="H295" s="44"/>
      <c r="I295" s="44"/>
      <c r="J295" s="46"/>
      <c r="K295" s="44"/>
      <c r="L295" s="44"/>
      <c r="M295" s="44"/>
      <c r="N295" s="44"/>
      <c r="O295" s="45"/>
      <c r="P295" s="40"/>
    </row>
    <row r="296" spans="1:16" s="41" customFormat="1" ht="30" customHeight="1">
      <c r="A296" s="42">
        <v>202</v>
      </c>
      <c r="B296" s="43" t="s">
        <v>289</v>
      </c>
      <c r="C296" s="42"/>
      <c r="D296" s="43"/>
      <c r="E296" s="43" t="s">
        <v>435</v>
      </c>
      <c r="F296" s="43" t="s">
        <v>123</v>
      </c>
      <c r="G296" s="44"/>
      <c r="H296" s="44"/>
      <c r="I296" s="44"/>
      <c r="J296" s="44"/>
      <c r="K296" s="44"/>
      <c r="L296" s="44"/>
      <c r="M296" s="44"/>
      <c r="N296" s="44"/>
      <c r="O296" s="45"/>
      <c r="P296" s="40"/>
    </row>
    <row r="297" spans="1:16" s="41" customFormat="1" ht="30" customHeight="1">
      <c r="A297" s="34">
        <v>203</v>
      </c>
      <c r="B297" s="35" t="s">
        <v>290</v>
      </c>
      <c r="C297" s="34"/>
      <c r="D297" s="35"/>
      <c r="E297" s="35" t="s">
        <v>435</v>
      </c>
      <c r="F297" s="35" t="s">
        <v>123</v>
      </c>
      <c r="G297" s="46"/>
      <c r="H297" s="44"/>
      <c r="I297" s="44"/>
      <c r="J297" s="46"/>
      <c r="K297" s="44"/>
      <c r="L297" s="44"/>
      <c r="M297" s="44"/>
      <c r="N297" s="44"/>
      <c r="O297" s="45"/>
      <c r="P297" s="40"/>
    </row>
    <row r="298" spans="1:16" s="41" customFormat="1" ht="30" customHeight="1">
      <c r="A298" s="42">
        <v>204</v>
      </c>
      <c r="B298" s="43" t="s">
        <v>291</v>
      </c>
      <c r="C298" s="42"/>
      <c r="D298" s="43"/>
      <c r="E298" s="43" t="s">
        <v>435</v>
      </c>
      <c r="F298" s="43" t="s">
        <v>123</v>
      </c>
      <c r="G298" s="44"/>
      <c r="H298" s="44"/>
      <c r="I298" s="44"/>
      <c r="J298" s="44"/>
      <c r="K298" s="44"/>
      <c r="L298" s="44"/>
      <c r="M298" s="44"/>
      <c r="N298" s="44"/>
      <c r="O298" s="45"/>
      <c r="P298" s="40"/>
    </row>
    <row r="299" spans="1:16" s="41" customFormat="1" ht="30" customHeight="1">
      <c r="A299" s="34">
        <v>205</v>
      </c>
      <c r="B299" s="35" t="s">
        <v>292</v>
      </c>
      <c r="C299" s="34"/>
      <c r="D299" s="35"/>
      <c r="E299" s="35" t="s">
        <v>435</v>
      </c>
      <c r="F299" s="35" t="s">
        <v>123</v>
      </c>
      <c r="G299" s="46"/>
      <c r="H299" s="44"/>
      <c r="I299" s="44"/>
      <c r="J299" s="46"/>
      <c r="K299" s="44"/>
      <c r="L299" s="44"/>
      <c r="M299" s="44"/>
      <c r="N299" s="44"/>
      <c r="O299" s="45"/>
      <c r="P299" s="40"/>
    </row>
    <row r="300" spans="1:16" s="41" customFormat="1" ht="30" customHeight="1">
      <c r="A300" s="42">
        <v>206</v>
      </c>
      <c r="B300" s="43" t="s">
        <v>293</v>
      </c>
      <c r="C300" s="42"/>
      <c r="D300" s="43"/>
      <c r="E300" s="43" t="s">
        <v>435</v>
      </c>
      <c r="F300" s="43" t="s">
        <v>123</v>
      </c>
      <c r="G300" s="44"/>
      <c r="H300" s="44"/>
      <c r="I300" s="44"/>
      <c r="J300" s="44"/>
      <c r="K300" s="44"/>
      <c r="L300" s="44"/>
      <c r="M300" s="44"/>
      <c r="N300" s="44"/>
      <c r="O300" s="45"/>
      <c r="P300" s="40"/>
    </row>
    <row r="301" spans="1:16" s="41" customFormat="1" ht="30" customHeight="1">
      <c r="A301" s="34">
        <v>207</v>
      </c>
      <c r="B301" s="35" t="s">
        <v>294</v>
      </c>
      <c r="C301" s="34"/>
      <c r="D301" s="35"/>
      <c r="E301" s="35" t="s">
        <v>435</v>
      </c>
      <c r="F301" s="35" t="s">
        <v>123</v>
      </c>
      <c r="G301" s="46"/>
      <c r="H301" s="44"/>
      <c r="I301" s="44"/>
      <c r="J301" s="46"/>
      <c r="K301" s="44"/>
      <c r="L301" s="44"/>
      <c r="M301" s="44"/>
      <c r="N301" s="44"/>
      <c r="O301" s="45"/>
      <c r="P301" s="40"/>
    </row>
    <row r="302" spans="1:16" s="41" customFormat="1" ht="30" customHeight="1">
      <c r="A302" s="42">
        <v>208</v>
      </c>
      <c r="B302" s="43" t="s">
        <v>295</v>
      </c>
      <c r="C302" s="42"/>
      <c r="D302" s="43"/>
      <c r="E302" s="43" t="s">
        <v>435</v>
      </c>
      <c r="F302" s="43" t="s">
        <v>123</v>
      </c>
      <c r="G302" s="44"/>
      <c r="H302" s="44"/>
      <c r="I302" s="44"/>
      <c r="J302" s="44"/>
      <c r="K302" s="44"/>
      <c r="L302" s="44"/>
      <c r="M302" s="44"/>
      <c r="N302" s="44"/>
      <c r="O302" s="45"/>
      <c r="P302" s="40"/>
    </row>
    <row r="303" spans="1:16" s="41" customFormat="1" ht="30" customHeight="1">
      <c r="A303" s="34">
        <v>209</v>
      </c>
      <c r="B303" s="35" t="s">
        <v>296</v>
      </c>
      <c r="C303" s="34"/>
      <c r="D303" s="35"/>
      <c r="E303" s="35" t="s">
        <v>435</v>
      </c>
      <c r="F303" s="35" t="s">
        <v>123</v>
      </c>
      <c r="G303" s="46"/>
      <c r="H303" s="44"/>
      <c r="I303" s="44"/>
      <c r="J303" s="46"/>
      <c r="K303" s="44"/>
      <c r="L303" s="44"/>
      <c r="M303" s="44"/>
      <c r="N303" s="44"/>
      <c r="O303" s="45"/>
      <c r="P303" s="40"/>
    </row>
    <row r="304" spans="1:16" s="41" customFormat="1" ht="30" customHeight="1">
      <c r="A304" s="42">
        <v>210</v>
      </c>
      <c r="B304" s="43" t="s">
        <v>297</v>
      </c>
      <c r="C304" s="42"/>
      <c r="D304" s="43"/>
      <c r="E304" s="43" t="s">
        <v>435</v>
      </c>
      <c r="F304" s="43" t="s">
        <v>123</v>
      </c>
      <c r="G304" s="44"/>
      <c r="H304" s="44"/>
      <c r="I304" s="44"/>
      <c r="J304" s="44"/>
      <c r="K304" s="44"/>
      <c r="L304" s="44"/>
      <c r="M304" s="44"/>
      <c r="N304" s="44"/>
      <c r="O304" s="45"/>
      <c r="P304" s="40"/>
    </row>
    <row r="305" spans="1:16" s="41" customFormat="1" ht="30" customHeight="1">
      <c r="A305" s="34">
        <v>211</v>
      </c>
      <c r="B305" s="35" t="s">
        <v>298</v>
      </c>
      <c r="C305" s="34" t="s">
        <v>423</v>
      </c>
      <c r="D305" s="35"/>
      <c r="E305" s="35" t="s">
        <v>435</v>
      </c>
      <c r="F305" s="35" t="s">
        <v>123</v>
      </c>
      <c r="G305" s="46"/>
      <c r="H305" s="44"/>
      <c r="I305" s="44"/>
      <c r="J305" s="46"/>
      <c r="K305" s="44"/>
      <c r="L305" s="44"/>
      <c r="M305" s="44"/>
      <c r="N305" s="44"/>
      <c r="O305" s="45"/>
      <c r="P305" s="40"/>
    </row>
    <row r="306" spans="1:16" s="41" customFormat="1" ht="30" customHeight="1">
      <c r="A306" s="42">
        <v>212</v>
      </c>
      <c r="B306" s="43" t="s">
        <v>25</v>
      </c>
      <c r="C306" s="42"/>
      <c r="D306" s="43" t="s">
        <v>299</v>
      </c>
      <c r="E306" s="43" t="s">
        <v>435</v>
      </c>
      <c r="F306" s="43" t="s">
        <v>13</v>
      </c>
      <c r="G306" s="44"/>
      <c r="H306" s="44"/>
      <c r="I306" s="44"/>
      <c r="J306" s="44"/>
      <c r="K306" s="44"/>
      <c r="L306" s="44"/>
      <c r="M306" s="44"/>
      <c r="N306" s="44"/>
      <c r="O306" s="45"/>
      <c r="P306" s="40"/>
    </row>
    <row r="307" spans="1:16" s="41" customFormat="1" ht="30" customHeight="1">
      <c r="A307" s="34">
        <v>213</v>
      </c>
      <c r="B307" s="35" t="s">
        <v>300</v>
      </c>
      <c r="C307" s="34"/>
      <c r="D307" s="35" t="s">
        <v>299</v>
      </c>
      <c r="E307" s="35" t="s">
        <v>435</v>
      </c>
      <c r="F307" s="35" t="s">
        <v>13</v>
      </c>
      <c r="G307" s="46"/>
      <c r="H307" s="44"/>
      <c r="I307" s="44"/>
      <c r="J307" s="46"/>
      <c r="K307" s="44"/>
      <c r="L307" s="44"/>
      <c r="M307" s="44"/>
      <c r="N307" s="44"/>
      <c r="O307" s="45"/>
      <c r="P307" s="40"/>
    </row>
    <row r="308" spans="1:16" s="41" customFormat="1" ht="30" customHeight="1">
      <c r="A308" s="34"/>
      <c r="B308" s="35"/>
      <c r="C308" s="34"/>
      <c r="D308" s="35" t="s">
        <v>42</v>
      </c>
      <c r="E308" s="35" t="s">
        <v>435</v>
      </c>
      <c r="F308" s="35"/>
      <c r="G308" s="46"/>
      <c r="H308" s="44"/>
      <c r="I308" s="44"/>
      <c r="J308" s="46"/>
      <c r="K308" s="44"/>
      <c r="L308" s="44"/>
      <c r="M308" s="44"/>
      <c r="N308" s="44"/>
      <c r="O308" s="45"/>
      <c r="P308" s="40"/>
    </row>
    <row r="309" spans="1:16" s="41" customFormat="1" ht="30" customHeight="1">
      <c r="A309" s="42">
        <v>214</v>
      </c>
      <c r="B309" s="43" t="s">
        <v>301</v>
      </c>
      <c r="C309" s="42"/>
      <c r="D309" s="43" t="s">
        <v>299</v>
      </c>
      <c r="E309" s="43" t="s">
        <v>435</v>
      </c>
      <c r="F309" s="43" t="s">
        <v>13</v>
      </c>
      <c r="G309" s="44"/>
      <c r="H309" s="44"/>
      <c r="I309" s="44"/>
      <c r="J309" s="44"/>
      <c r="K309" s="44"/>
      <c r="L309" s="44"/>
      <c r="M309" s="44"/>
      <c r="N309" s="44"/>
      <c r="O309" s="45"/>
      <c r="P309" s="40"/>
    </row>
    <row r="310" spans="1:16" s="41" customFormat="1" ht="30" customHeight="1">
      <c r="A310" s="34">
        <v>215</v>
      </c>
      <c r="B310" s="35" t="s">
        <v>302</v>
      </c>
      <c r="C310" s="34"/>
      <c r="D310" s="35" t="s">
        <v>299</v>
      </c>
      <c r="E310" s="35" t="s">
        <v>435</v>
      </c>
      <c r="F310" s="35" t="s">
        <v>13</v>
      </c>
      <c r="G310" s="46"/>
      <c r="H310" s="44"/>
      <c r="I310" s="44"/>
      <c r="J310" s="46"/>
      <c r="K310" s="44"/>
      <c r="L310" s="44"/>
      <c r="M310" s="44"/>
      <c r="N310" s="44"/>
      <c r="O310" s="45"/>
      <c r="P310" s="40"/>
    </row>
    <row r="311" spans="1:16" s="41" customFormat="1" ht="25.5">
      <c r="A311" s="42">
        <v>216</v>
      </c>
      <c r="B311" s="43" t="s">
        <v>303</v>
      </c>
      <c r="C311" s="42"/>
      <c r="D311" s="43" t="s">
        <v>299</v>
      </c>
      <c r="E311" s="43" t="s">
        <v>438</v>
      </c>
      <c r="F311" s="43" t="s">
        <v>615</v>
      </c>
      <c r="G311" s="46"/>
      <c r="H311" s="44"/>
      <c r="I311" s="44"/>
      <c r="J311" s="44"/>
      <c r="K311" s="44"/>
      <c r="L311" s="44"/>
      <c r="M311" s="44"/>
      <c r="N311" s="44"/>
      <c r="O311" s="45"/>
      <c r="P311" s="40"/>
    </row>
    <row r="312" spans="1:16" s="41" customFormat="1" ht="30" customHeight="1">
      <c r="A312" s="34">
        <v>217</v>
      </c>
      <c r="B312" s="35" t="s">
        <v>304</v>
      </c>
      <c r="C312" s="34"/>
      <c r="D312" s="35" t="s">
        <v>299</v>
      </c>
      <c r="E312" s="35" t="s">
        <v>438</v>
      </c>
      <c r="F312" s="35" t="s">
        <v>615</v>
      </c>
      <c r="G312" s="46"/>
      <c r="H312" s="44"/>
      <c r="I312" s="44"/>
      <c r="J312" s="44"/>
      <c r="K312" s="44"/>
      <c r="L312" s="44"/>
      <c r="M312" s="44"/>
      <c r="N312" s="44"/>
      <c r="O312" s="45"/>
      <c r="P312" s="40"/>
    </row>
    <row r="313" spans="1:16" s="41" customFormat="1" ht="25.5">
      <c r="A313" s="48">
        <v>218</v>
      </c>
      <c r="B313" s="49" t="s">
        <v>305</v>
      </c>
      <c r="C313" s="48"/>
      <c r="D313" s="49" t="s">
        <v>299</v>
      </c>
      <c r="E313" s="49" t="s">
        <v>438</v>
      </c>
      <c r="F313" s="49" t="s">
        <v>615</v>
      </c>
      <c r="G313" s="46"/>
      <c r="H313" s="44"/>
      <c r="I313" s="44"/>
      <c r="J313" s="44"/>
      <c r="K313" s="44"/>
      <c r="L313" s="44"/>
      <c r="M313" s="44"/>
      <c r="N313" s="44"/>
      <c r="O313" s="45"/>
      <c r="P313" s="40"/>
    </row>
    <row r="314" spans="1:16" s="41" customFormat="1" ht="25.5">
      <c r="A314" s="34">
        <v>219</v>
      </c>
      <c r="B314" s="35" t="s">
        <v>137</v>
      </c>
      <c r="C314" s="34"/>
      <c r="D314" s="35" t="s">
        <v>299</v>
      </c>
      <c r="E314" s="35" t="s">
        <v>438</v>
      </c>
      <c r="F314" s="35" t="s">
        <v>615</v>
      </c>
      <c r="G314" s="46"/>
      <c r="H314" s="44"/>
      <c r="I314" s="44"/>
      <c r="J314" s="44"/>
      <c r="K314" s="44"/>
      <c r="L314" s="44"/>
      <c r="M314" s="44"/>
      <c r="N314" s="44"/>
      <c r="O314" s="45"/>
      <c r="P314" s="40"/>
    </row>
    <row r="315" spans="1:16" s="41" customFormat="1" ht="25.5">
      <c r="A315" s="48">
        <v>220</v>
      </c>
      <c r="B315" s="49" t="s">
        <v>306</v>
      </c>
      <c r="C315" s="48">
        <v>341</v>
      </c>
      <c r="D315" s="49" t="s">
        <v>299</v>
      </c>
      <c r="E315" s="49" t="s">
        <v>438</v>
      </c>
      <c r="F315" s="49" t="s">
        <v>615</v>
      </c>
      <c r="G315" s="46"/>
      <c r="H315" s="44"/>
      <c r="I315" s="44"/>
      <c r="J315" s="44"/>
      <c r="K315" s="44"/>
      <c r="L315" s="44"/>
      <c r="M315" s="44"/>
      <c r="N315" s="44"/>
      <c r="O315" s="45"/>
      <c r="P315" s="40"/>
    </row>
    <row r="316" spans="1:16" s="41" customFormat="1" ht="30" customHeight="1">
      <c r="A316" s="34">
        <v>221</v>
      </c>
      <c r="B316" s="35" t="s">
        <v>307</v>
      </c>
      <c r="C316" s="34"/>
      <c r="D316" s="35" t="s">
        <v>299</v>
      </c>
      <c r="E316" s="35" t="s">
        <v>438</v>
      </c>
      <c r="F316" s="35" t="s">
        <v>615</v>
      </c>
      <c r="G316" s="46"/>
      <c r="H316" s="44"/>
      <c r="I316" s="44"/>
      <c r="J316" s="44"/>
      <c r="K316" s="44"/>
      <c r="L316" s="44"/>
      <c r="M316" s="44"/>
      <c r="N316" s="44"/>
      <c r="O316" s="45"/>
      <c r="P316" s="40"/>
    </row>
    <row r="317" spans="1:16" s="41" customFormat="1" ht="25.5">
      <c r="A317" s="48">
        <v>222</v>
      </c>
      <c r="B317" s="49" t="s">
        <v>308</v>
      </c>
      <c r="C317" s="48"/>
      <c r="D317" s="49" t="s">
        <v>299</v>
      </c>
      <c r="E317" s="49" t="s">
        <v>438</v>
      </c>
      <c r="F317" s="49" t="s">
        <v>615</v>
      </c>
      <c r="G317" s="46"/>
      <c r="H317" s="44"/>
      <c r="I317" s="44"/>
      <c r="J317" s="44"/>
      <c r="K317" s="44"/>
      <c r="L317" s="44"/>
      <c r="M317" s="44"/>
      <c r="N317" s="44"/>
      <c r="O317" s="45"/>
      <c r="P317" s="40"/>
    </row>
    <row r="318" spans="1:16" s="41" customFormat="1" ht="25.5">
      <c r="A318" s="34">
        <v>223</v>
      </c>
      <c r="B318" s="35" t="s">
        <v>309</v>
      </c>
      <c r="C318" s="34">
        <v>342</v>
      </c>
      <c r="D318" s="35" t="s">
        <v>299</v>
      </c>
      <c r="E318" s="35" t="s">
        <v>438</v>
      </c>
      <c r="F318" s="35" t="s">
        <v>615</v>
      </c>
      <c r="G318" s="46"/>
      <c r="H318" s="44"/>
      <c r="I318" s="44"/>
      <c r="J318" s="44"/>
      <c r="K318" s="44"/>
      <c r="L318" s="44"/>
      <c r="M318" s="44"/>
      <c r="N318" s="44"/>
      <c r="O318" s="45"/>
      <c r="P318" s="40"/>
    </row>
    <row r="319" spans="1:16" s="41" customFormat="1" ht="25.5">
      <c r="A319" s="42">
        <v>224</v>
      </c>
      <c r="B319" s="43" t="s">
        <v>310</v>
      </c>
      <c r="C319" s="42"/>
      <c r="D319" s="43" t="s">
        <v>299</v>
      </c>
      <c r="E319" s="43" t="s">
        <v>438</v>
      </c>
      <c r="F319" s="43" t="s">
        <v>615</v>
      </c>
      <c r="G319" s="46"/>
      <c r="H319" s="44"/>
      <c r="I319" s="44"/>
      <c r="J319" s="44"/>
      <c r="K319" s="44"/>
      <c r="L319" s="44"/>
      <c r="M319" s="44"/>
      <c r="N319" s="44"/>
      <c r="O319" s="45"/>
      <c r="P319" s="40"/>
    </row>
    <row r="320" spans="1:16" s="41" customFormat="1" ht="30" customHeight="1">
      <c r="A320" s="34">
        <v>225</v>
      </c>
      <c r="B320" s="35" t="s">
        <v>311</v>
      </c>
      <c r="C320" s="34"/>
      <c r="D320" s="35" t="s">
        <v>299</v>
      </c>
      <c r="E320" s="35" t="s">
        <v>438</v>
      </c>
      <c r="F320" s="35" t="s">
        <v>615</v>
      </c>
      <c r="G320" s="46"/>
      <c r="H320" s="44"/>
      <c r="I320" s="44"/>
      <c r="J320" s="44"/>
      <c r="K320" s="44"/>
      <c r="L320" s="44"/>
      <c r="M320" s="44"/>
      <c r="N320" s="44"/>
      <c r="O320" s="45"/>
      <c r="P320" s="40"/>
    </row>
    <row r="321" spans="1:16" s="41" customFormat="1" ht="30" customHeight="1">
      <c r="A321" s="48">
        <v>226</v>
      </c>
      <c r="B321" s="49" t="s">
        <v>312</v>
      </c>
      <c r="C321" s="48"/>
      <c r="D321" s="29" t="s">
        <v>122</v>
      </c>
      <c r="E321" s="29" t="s">
        <v>438</v>
      </c>
      <c r="F321" s="29" t="s">
        <v>615</v>
      </c>
      <c r="G321" s="46"/>
      <c r="H321" s="44"/>
      <c r="I321" s="44"/>
      <c r="J321" s="44"/>
      <c r="K321" s="44"/>
      <c r="L321" s="44"/>
      <c r="M321" s="44"/>
      <c r="N321" s="44"/>
      <c r="O321" s="45"/>
      <c r="P321" s="40"/>
    </row>
    <row r="322" spans="1:16" s="41" customFormat="1" ht="30" customHeight="1">
      <c r="A322" s="51"/>
      <c r="B322" s="52"/>
      <c r="C322" s="51"/>
      <c r="D322" s="53" t="s">
        <v>299</v>
      </c>
      <c r="E322" s="53"/>
      <c r="F322" s="53"/>
      <c r="G322" s="46"/>
      <c r="H322" s="44"/>
      <c r="I322" s="44"/>
      <c r="J322" s="44"/>
      <c r="K322" s="44"/>
      <c r="L322" s="44"/>
      <c r="M322" s="44"/>
      <c r="N322" s="44"/>
      <c r="O322" s="45"/>
      <c r="P322" s="40"/>
    </row>
    <row r="323" spans="1:16" s="41" customFormat="1" ht="30" customHeight="1">
      <c r="A323" s="34">
        <v>227</v>
      </c>
      <c r="B323" s="35" t="s">
        <v>313</v>
      </c>
      <c r="C323" s="34"/>
      <c r="D323" s="80" t="s">
        <v>122</v>
      </c>
      <c r="E323" s="80" t="s">
        <v>438</v>
      </c>
      <c r="F323" s="80" t="s">
        <v>615</v>
      </c>
      <c r="G323" s="46"/>
      <c r="H323" s="44"/>
      <c r="I323" s="44"/>
      <c r="J323" s="44"/>
      <c r="K323" s="44"/>
      <c r="L323" s="44"/>
      <c r="M323" s="44"/>
      <c r="N323" s="44"/>
      <c r="O323" s="45"/>
      <c r="P323" s="40"/>
    </row>
    <row r="324" spans="1:16" s="41" customFormat="1" ht="30" customHeight="1">
      <c r="A324" s="48">
        <v>228</v>
      </c>
      <c r="B324" s="49" t="s">
        <v>314</v>
      </c>
      <c r="C324" s="48"/>
      <c r="D324" s="29" t="s">
        <v>122</v>
      </c>
      <c r="E324" s="29"/>
      <c r="F324" s="29" t="s">
        <v>493</v>
      </c>
      <c r="G324" s="46"/>
      <c r="H324" s="46"/>
      <c r="I324" s="46"/>
      <c r="J324" s="46"/>
      <c r="K324" s="46"/>
      <c r="L324" s="46"/>
      <c r="M324" s="46"/>
      <c r="N324" s="46"/>
      <c r="O324" s="45"/>
      <c r="P324" s="40"/>
    </row>
    <row r="325" spans="1:16" s="41" customFormat="1" ht="38.25">
      <c r="A325" s="34">
        <v>229</v>
      </c>
      <c r="B325" s="35" t="s">
        <v>315</v>
      </c>
      <c r="C325" s="34"/>
      <c r="D325" s="80" t="s">
        <v>617</v>
      </c>
      <c r="E325" s="80" t="s">
        <v>438</v>
      </c>
      <c r="F325" s="80" t="s">
        <v>615</v>
      </c>
      <c r="G325" s="46"/>
      <c r="H325" s="46"/>
      <c r="I325" s="46"/>
      <c r="J325" s="46"/>
      <c r="K325" s="46"/>
      <c r="L325" s="46"/>
      <c r="M325" s="46"/>
      <c r="N325" s="46"/>
      <c r="O325" s="45"/>
      <c r="P325" s="40"/>
    </row>
    <row r="326" spans="1:16" s="41" customFormat="1" ht="38.25">
      <c r="A326" s="48">
        <v>230</v>
      </c>
      <c r="B326" s="49" t="s">
        <v>316</v>
      </c>
      <c r="C326" s="48" t="s">
        <v>424</v>
      </c>
      <c r="D326" s="49" t="s">
        <v>617</v>
      </c>
      <c r="E326" s="49" t="s">
        <v>438</v>
      </c>
      <c r="F326" s="49" t="s">
        <v>615</v>
      </c>
      <c r="G326" s="46"/>
      <c r="H326" s="46"/>
      <c r="I326" s="46"/>
      <c r="J326" s="46"/>
      <c r="K326" s="46"/>
      <c r="L326" s="46"/>
      <c r="M326" s="46"/>
      <c r="N326" s="46"/>
      <c r="O326" s="45"/>
      <c r="P326" s="40"/>
    </row>
    <row r="327" spans="1:16" s="41" customFormat="1" ht="30" customHeight="1">
      <c r="A327" s="55"/>
      <c r="B327" s="56"/>
      <c r="C327" s="55"/>
      <c r="D327" s="56"/>
      <c r="E327" s="56"/>
      <c r="F327" s="56"/>
      <c r="G327" s="46"/>
      <c r="H327" s="46"/>
      <c r="I327" s="46"/>
      <c r="J327" s="46"/>
      <c r="K327" s="46"/>
      <c r="L327" s="46"/>
      <c r="M327" s="46"/>
      <c r="N327" s="46"/>
      <c r="O327" s="45"/>
      <c r="P327" s="40"/>
    </row>
    <row r="328" spans="1:16" s="41" customFormat="1" ht="74.25" customHeight="1">
      <c r="A328" s="34">
        <v>231</v>
      </c>
      <c r="B328" s="35" t="s">
        <v>317</v>
      </c>
      <c r="C328" s="34" t="s">
        <v>425</v>
      </c>
      <c r="D328" s="35" t="s">
        <v>618</v>
      </c>
      <c r="E328" s="35" t="s">
        <v>438</v>
      </c>
      <c r="F328" s="35" t="s">
        <v>615</v>
      </c>
      <c r="G328" s="46"/>
      <c r="H328" s="46"/>
      <c r="I328" s="46"/>
      <c r="J328" s="46"/>
      <c r="K328" s="46"/>
      <c r="L328" s="46"/>
      <c r="M328" s="46"/>
      <c r="N328" s="46"/>
      <c r="O328" s="45"/>
      <c r="P328" s="40"/>
    </row>
    <row r="329" spans="1:16" s="41" customFormat="1" ht="30" customHeight="1">
      <c r="A329" s="42">
        <v>232</v>
      </c>
      <c r="B329" s="43" t="s">
        <v>318</v>
      </c>
      <c r="C329" s="42"/>
      <c r="D329" s="43" t="s">
        <v>122</v>
      </c>
      <c r="E329" s="43" t="s">
        <v>435</v>
      </c>
      <c r="F329" s="43" t="s">
        <v>35</v>
      </c>
      <c r="G329" s="44"/>
      <c r="H329" s="44"/>
      <c r="I329" s="44"/>
      <c r="J329" s="44"/>
      <c r="K329" s="44"/>
      <c r="L329" s="44"/>
      <c r="M329" s="44"/>
      <c r="N329" s="44"/>
      <c r="O329" s="45"/>
      <c r="P329" s="40"/>
    </row>
    <row r="330" spans="1:16" s="41" customFormat="1" ht="30" customHeight="1">
      <c r="A330" s="34">
        <v>233</v>
      </c>
      <c r="B330" s="35" t="s">
        <v>319</v>
      </c>
      <c r="C330" s="34">
        <v>328</v>
      </c>
      <c r="D330" s="35" t="s">
        <v>122</v>
      </c>
      <c r="E330" s="35" t="s">
        <v>435</v>
      </c>
      <c r="F330" s="35" t="s">
        <v>13</v>
      </c>
      <c r="G330" s="46"/>
      <c r="H330" s="44"/>
      <c r="I330" s="44"/>
      <c r="J330" s="46"/>
      <c r="K330" s="44"/>
      <c r="L330" s="44"/>
      <c r="M330" s="44"/>
      <c r="N330" s="44"/>
      <c r="O330" s="45"/>
      <c r="P330" s="40"/>
    </row>
    <row r="331" spans="1:16" s="41" customFormat="1" ht="30" customHeight="1">
      <c r="A331" s="42">
        <v>234</v>
      </c>
      <c r="B331" s="43" t="s">
        <v>76</v>
      </c>
      <c r="C331" s="42"/>
      <c r="D331" s="43" t="s">
        <v>122</v>
      </c>
      <c r="E331" s="43" t="s">
        <v>435</v>
      </c>
      <c r="F331" s="43" t="s">
        <v>13</v>
      </c>
      <c r="G331" s="44"/>
      <c r="H331" s="44"/>
      <c r="I331" s="44"/>
      <c r="J331" s="44"/>
      <c r="K331" s="44"/>
      <c r="L331" s="44"/>
      <c r="M331" s="44"/>
      <c r="N331" s="44"/>
      <c r="O331" s="45"/>
      <c r="P331" s="40"/>
    </row>
    <row r="332" spans="1:16" s="41" customFormat="1" ht="30" customHeight="1">
      <c r="A332" s="34">
        <v>235</v>
      </c>
      <c r="B332" s="35" t="s">
        <v>320</v>
      </c>
      <c r="C332" s="34"/>
      <c r="D332" s="35" t="s">
        <v>122</v>
      </c>
      <c r="E332" s="35" t="s">
        <v>435</v>
      </c>
      <c r="F332" s="35" t="s">
        <v>13</v>
      </c>
      <c r="G332" s="46"/>
      <c r="H332" s="44"/>
      <c r="I332" s="44"/>
      <c r="J332" s="46"/>
      <c r="K332" s="44"/>
      <c r="L332" s="44"/>
      <c r="M332" s="44"/>
      <c r="N332" s="44"/>
      <c r="O332" s="45"/>
      <c r="P332" s="40"/>
    </row>
    <row r="333" spans="1:16" s="41" customFormat="1" ht="32.25" customHeight="1">
      <c r="A333" s="42">
        <v>236</v>
      </c>
      <c r="B333" s="43" t="s">
        <v>321</v>
      </c>
      <c r="C333" s="42"/>
      <c r="D333" s="43"/>
      <c r="E333" s="43" t="s">
        <v>435</v>
      </c>
      <c r="F333" s="43" t="s">
        <v>235</v>
      </c>
      <c r="G333" s="44"/>
      <c r="H333" s="44"/>
      <c r="I333" s="44"/>
      <c r="J333" s="44"/>
      <c r="K333" s="44"/>
      <c r="L333" s="44"/>
      <c r="M333" s="44"/>
      <c r="N333" s="44"/>
      <c r="O333" s="45"/>
      <c r="P333" s="40"/>
    </row>
    <row r="334" spans="1:16" s="41" customFormat="1" ht="45.75" customHeight="1">
      <c r="A334" s="34">
        <v>237</v>
      </c>
      <c r="B334" s="35" t="s">
        <v>322</v>
      </c>
      <c r="C334" s="34"/>
      <c r="D334" s="35"/>
      <c r="E334" s="35" t="s">
        <v>435</v>
      </c>
      <c r="F334" s="35" t="s">
        <v>153</v>
      </c>
      <c r="G334" s="46"/>
      <c r="H334" s="44"/>
      <c r="I334" s="44"/>
      <c r="J334" s="46"/>
      <c r="K334" s="44"/>
      <c r="L334" s="44"/>
      <c r="M334" s="44"/>
      <c r="N334" s="44"/>
      <c r="O334" s="45"/>
      <c r="P334" s="40"/>
    </row>
    <row r="335" spans="1:16" s="41" customFormat="1" ht="60.75" customHeight="1">
      <c r="A335" s="42">
        <v>238</v>
      </c>
      <c r="B335" s="43" t="s">
        <v>323</v>
      </c>
      <c r="C335" s="42"/>
      <c r="D335" s="43"/>
      <c r="E335" s="43" t="s">
        <v>435</v>
      </c>
      <c r="F335" s="43" t="s">
        <v>153</v>
      </c>
      <c r="G335" s="44"/>
      <c r="H335" s="44"/>
      <c r="I335" s="44"/>
      <c r="J335" s="44"/>
      <c r="K335" s="44"/>
      <c r="L335" s="44"/>
      <c r="M335" s="44"/>
      <c r="N335" s="44"/>
      <c r="O335" s="45"/>
      <c r="P335" s="40"/>
    </row>
    <row r="336" spans="1:16" s="41" customFormat="1" ht="57.75" customHeight="1">
      <c r="A336" s="34">
        <v>239</v>
      </c>
      <c r="B336" s="35" t="s">
        <v>324</v>
      </c>
      <c r="C336" s="34"/>
      <c r="D336" s="35"/>
      <c r="E336" s="35" t="s">
        <v>435</v>
      </c>
      <c r="F336" s="35" t="s">
        <v>153</v>
      </c>
      <c r="G336" s="46"/>
      <c r="H336" s="44"/>
      <c r="I336" s="44"/>
      <c r="J336" s="46"/>
      <c r="K336" s="44"/>
      <c r="L336" s="44"/>
      <c r="M336" s="44"/>
      <c r="N336" s="44"/>
      <c r="O336" s="45"/>
      <c r="P336" s="40"/>
    </row>
    <row r="337" spans="1:16" s="41" customFormat="1" ht="44.25" customHeight="1">
      <c r="A337" s="42">
        <v>240</v>
      </c>
      <c r="B337" s="43" t="s">
        <v>325</v>
      </c>
      <c r="C337" s="42"/>
      <c r="D337" s="43"/>
      <c r="E337" s="43" t="s">
        <v>435</v>
      </c>
      <c r="F337" s="43" t="s">
        <v>13</v>
      </c>
      <c r="G337" s="44"/>
      <c r="H337" s="44"/>
      <c r="I337" s="44"/>
      <c r="J337" s="44"/>
      <c r="K337" s="44"/>
      <c r="L337" s="44"/>
      <c r="M337" s="44"/>
      <c r="N337" s="44"/>
      <c r="O337" s="45"/>
      <c r="P337" s="40"/>
    </row>
    <row r="338" spans="1:16" s="41" customFormat="1" ht="48" customHeight="1">
      <c r="A338" s="34">
        <v>241</v>
      </c>
      <c r="B338" s="35" t="s">
        <v>326</v>
      </c>
      <c r="C338" s="34"/>
      <c r="D338" s="35"/>
      <c r="E338" s="35" t="s">
        <v>435</v>
      </c>
      <c r="F338" s="35" t="s">
        <v>13</v>
      </c>
      <c r="G338" s="46"/>
      <c r="H338" s="44"/>
      <c r="I338" s="44"/>
      <c r="J338" s="46"/>
      <c r="K338" s="44"/>
      <c r="L338" s="44"/>
      <c r="M338" s="44"/>
      <c r="N338" s="44"/>
      <c r="O338" s="45"/>
      <c r="P338" s="40"/>
    </row>
    <row r="339" spans="1:16" s="41" customFormat="1" ht="30" customHeight="1">
      <c r="A339" s="42">
        <v>242</v>
      </c>
      <c r="B339" s="43" t="s">
        <v>327</v>
      </c>
      <c r="C339" s="42"/>
      <c r="D339" s="43"/>
      <c r="E339" s="43" t="s">
        <v>435</v>
      </c>
      <c r="F339" s="43" t="s">
        <v>328</v>
      </c>
      <c r="G339" s="44"/>
      <c r="H339" s="44"/>
      <c r="I339" s="44"/>
      <c r="J339" s="44"/>
      <c r="K339" s="44"/>
      <c r="L339" s="44"/>
      <c r="M339" s="44"/>
      <c r="N339" s="44"/>
      <c r="O339" s="45"/>
      <c r="P339" s="40"/>
    </row>
    <row r="340" spans="1:16" s="41" customFormat="1" ht="30" customHeight="1">
      <c r="A340" s="34">
        <v>243</v>
      </c>
      <c r="B340" s="35" t="s">
        <v>329</v>
      </c>
      <c r="C340" s="34"/>
      <c r="D340" s="35"/>
      <c r="E340" s="35"/>
      <c r="F340" s="35" t="s">
        <v>535</v>
      </c>
      <c r="G340" s="46"/>
      <c r="H340" s="46"/>
      <c r="I340" s="46"/>
      <c r="J340" s="46"/>
      <c r="K340" s="46"/>
      <c r="L340" s="46"/>
      <c r="M340" s="46"/>
      <c r="N340" s="46"/>
      <c r="O340" s="45"/>
      <c r="P340" s="40"/>
    </row>
    <row r="341" spans="1:16" s="41" customFormat="1" ht="30" customHeight="1">
      <c r="A341" s="42">
        <v>244</v>
      </c>
      <c r="B341" s="43" t="s">
        <v>330</v>
      </c>
      <c r="C341" s="42">
        <v>376</v>
      </c>
      <c r="D341" s="43"/>
      <c r="E341" s="43" t="s">
        <v>429</v>
      </c>
      <c r="F341" s="43" t="s">
        <v>615</v>
      </c>
      <c r="G341" s="46"/>
      <c r="H341" s="46"/>
      <c r="I341" s="46"/>
      <c r="J341" s="46"/>
      <c r="K341" s="46"/>
      <c r="L341" s="46"/>
      <c r="M341" s="46"/>
      <c r="N341" s="46"/>
      <c r="O341" s="45"/>
      <c r="P341" s="40"/>
    </row>
    <row r="342" spans="1:16" s="41" customFormat="1" ht="30" customHeight="1">
      <c r="A342" s="34">
        <v>245</v>
      </c>
      <c r="B342" s="35" t="s">
        <v>331</v>
      </c>
      <c r="C342" s="62">
        <v>377</v>
      </c>
      <c r="D342" s="59"/>
      <c r="E342" s="59" t="s">
        <v>428</v>
      </c>
      <c r="F342" s="59" t="s">
        <v>615</v>
      </c>
      <c r="G342" s="46"/>
      <c r="H342" s="46"/>
      <c r="I342" s="46"/>
      <c r="J342" s="46"/>
      <c r="K342" s="46"/>
      <c r="L342" s="46"/>
      <c r="M342" s="46"/>
      <c r="N342" s="46"/>
      <c r="O342" s="45"/>
      <c r="P342" s="40"/>
    </row>
    <row r="343" spans="1:16" s="41" customFormat="1" ht="30" customHeight="1">
      <c r="A343" s="48">
        <v>246</v>
      </c>
      <c r="B343" s="49" t="s">
        <v>332</v>
      </c>
      <c r="C343" s="48"/>
      <c r="D343" s="49" t="s">
        <v>333</v>
      </c>
      <c r="E343" s="49" t="s">
        <v>428</v>
      </c>
      <c r="F343" s="49" t="s">
        <v>615</v>
      </c>
      <c r="G343" s="46"/>
      <c r="H343" s="46"/>
      <c r="I343" s="46"/>
      <c r="J343" s="46"/>
      <c r="K343" s="46"/>
      <c r="L343" s="46"/>
      <c r="M343" s="46"/>
      <c r="N343" s="46"/>
      <c r="O343" s="45"/>
      <c r="P343" s="40"/>
    </row>
    <row r="344" spans="1:16" s="41" customFormat="1" ht="30" customHeight="1">
      <c r="A344" s="34">
        <v>247</v>
      </c>
      <c r="B344" s="35" t="s">
        <v>334</v>
      </c>
      <c r="C344" s="34"/>
      <c r="D344" s="35"/>
      <c r="E344" s="35" t="s">
        <v>435</v>
      </c>
      <c r="F344" s="35" t="s">
        <v>13</v>
      </c>
      <c r="G344" s="46"/>
      <c r="H344" s="44"/>
      <c r="I344" s="44"/>
      <c r="J344" s="46"/>
      <c r="K344" s="44"/>
      <c r="L344" s="44"/>
      <c r="M344" s="44"/>
      <c r="N344" s="44"/>
      <c r="O344" s="45"/>
      <c r="P344" s="40"/>
    </row>
    <row r="345" spans="1:16" s="41" customFormat="1" ht="30" customHeight="1">
      <c r="A345" s="42">
        <v>248</v>
      </c>
      <c r="B345" s="43" t="s">
        <v>335</v>
      </c>
      <c r="C345" s="42"/>
      <c r="D345" s="43" t="s">
        <v>42</v>
      </c>
      <c r="E345" s="43" t="s">
        <v>435</v>
      </c>
      <c r="F345" s="43" t="s">
        <v>13</v>
      </c>
      <c r="G345" s="44"/>
      <c r="H345" s="44"/>
      <c r="I345" s="44"/>
      <c r="J345" s="44"/>
      <c r="K345" s="44"/>
      <c r="L345" s="44"/>
      <c r="M345" s="44"/>
      <c r="N345" s="44"/>
      <c r="O345" s="45"/>
      <c r="P345" s="40"/>
    </row>
    <row r="346" spans="1:16" s="41" customFormat="1" ht="30" customHeight="1">
      <c r="A346" s="34">
        <v>249</v>
      </c>
      <c r="B346" s="35" t="s">
        <v>336</v>
      </c>
      <c r="C346" s="34"/>
      <c r="D346" s="35" t="s">
        <v>42</v>
      </c>
      <c r="E346" s="35" t="s">
        <v>435</v>
      </c>
      <c r="F346" s="35" t="s">
        <v>35</v>
      </c>
      <c r="G346" s="46"/>
      <c r="H346" s="44"/>
      <c r="I346" s="44"/>
      <c r="J346" s="46"/>
      <c r="K346" s="44"/>
      <c r="L346" s="44"/>
      <c r="M346" s="44"/>
      <c r="N346" s="44"/>
      <c r="O346" s="45"/>
      <c r="P346" s="40"/>
    </row>
    <row r="347" spans="1:16" s="41" customFormat="1" ht="30" customHeight="1">
      <c r="A347" s="42">
        <v>250</v>
      </c>
      <c r="B347" s="43" t="s">
        <v>337</v>
      </c>
      <c r="C347" s="42"/>
      <c r="D347" s="43" t="s">
        <v>42</v>
      </c>
      <c r="E347" s="43" t="s">
        <v>435</v>
      </c>
      <c r="F347" s="43" t="s">
        <v>35</v>
      </c>
      <c r="G347" s="44"/>
      <c r="H347" s="44"/>
      <c r="I347" s="44"/>
      <c r="J347" s="44"/>
      <c r="K347" s="44"/>
      <c r="L347" s="44"/>
      <c r="M347" s="44"/>
      <c r="N347" s="44"/>
      <c r="O347" s="45"/>
      <c r="P347" s="40"/>
    </row>
    <row r="348" spans="1:16" s="41" customFormat="1" ht="30" customHeight="1">
      <c r="A348" s="34">
        <v>251</v>
      </c>
      <c r="B348" s="35" t="s">
        <v>338</v>
      </c>
      <c r="C348" s="34"/>
      <c r="D348" s="35"/>
      <c r="E348" s="35" t="s">
        <v>435</v>
      </c>
      <c r="F348" s="35" t="s">
        <v>35</v>
      </c>
      <c r="G348" s="46"/>
      <c r="H348" s="44"/>
      <c r="I348" s="44"/>
      <c r="J348" s="46"/>
      <c r="K348" s="44"/>
      <c r="L348" s="44"/>
      <c r="M348" s="44"/>
      <c r="N348" s="44"/>
      <c r="O348" s="45"/>
      <c r="P348" s="40"/>
    </row>
    <row r="349" spans="1:16" s="41" customFormat="1" ht="30" customHeight="1">
      <c r="A349" s="42">
        <v>252</v>
      </c>
      <c r="B349" s="43" t="s">
        <v>339</v>
      </c>
      <c r="C349" s="42"/>
      <c r="D349" s="43"/>
      <c r="E349" s="43" t="s">
        <v>435</v>
      </c>
      <c r="F349" s="43" t="s">
        <v>35</v>
      </c>
      <c r="G349" s="44"/>
      <c r="H349" s="44"/>
      <c r="I349" s="44"/>
      <c r="J349" s="44"/>
      <c r="K349" s="44"/>
      <c r="L349" s="44"/>
      <c r="M349" s="44"/>
      <c r="N349" s="44"/>
      <c r="O349" s="45"/>
      <c r="P349" s="40"/>
    </row>
    <row r="350" spans="1:16" s="41" customFormat="1" ht="30" customHeight="1">
      <c r="A350" s="34">
        <v>253</v>
      </c>
      <c r="B350" s="35" t="s">
        <v>340</v>
      </c>
      <c r="C350" s="34"/>
      <c r="D350" s="35"/>
      <c r="E350" s="35" t="s">
        <v>435</v>
      </c>
      <c r="F350" s="35" t="s">
        <v>35</v>
      </c>
      <c r="G350" s="46"/>
      <c r="H350" s="44"/>
      <c r="I350" s="44"/>
      <c r="J350" s="46"/>
      <c r="K350" s="44"/>
      <c r="L350" s="44"/>
      <c r="M350" s="44"/>
      <c r="N350" s="44"/>
      <c r="O350" s="45"/>
      <c r="P350" s="40"/>
    </row>
    <row r="351" spans="1:16" s="41" customFormat="1" ht="30" customHeight="1">
      <c r="A351" s="42">
        <v>254</v>
      </c>
      <c r="B351" s="43" t="s">
        <v>341</v>
      </c>
      <c r="C351" s="42"/>
      <c r="D351" s="43"/>
      <c r="E351" s="43" t="s">
        <v>435</v>
      </c>
      <c r="F351" s="43" t="s">
        <v>13</v>
      </c>
      <c r="G351" s="44"/>
      <c r="H351" s="44"/>
      <c r="I351" s="44"/>
      <c r="J351" s="44"/>
      <c r="K351" s="44"/>
      <c r="L351" s="44"/>
      <c r="M351" s="44"/>
      <c r="N351" s="44"/>
      <c r="O351" s="45"/>
      <c r="P351" s="40"/>
    </row>
    <row r="352" spans="1:16" s="41" customFormat="1" ht="30" customHeight="1">
      <c r="A352" s="34">
        <v>255</v>
      </c>
      <c r="B352" s="35" t="s">
        <v>342</v>
      </c>
      <c r="C352" s="34"/>
      <c r="D352" s="35" t="s">
        <v>42</v>
      </c>
      <c r="E352" s="35" t="s">
        <v>435</v>
      </c>
      <c r="F352" s="35" t="s">
        <v>35</v>
      </c>
      <c r="G352" s="46"/>
      <c r="H352" s="44"/>
      <c r="I352" s="44"/>
      <c r="J352" s="46"/>
      <c r="K352" s="44"/>
      <c r="L352" s="44"/>
      <c r="M352" s="44"/>
      <c r="N352" s="44"/>
      <c r="O352" s="45"/>
      <c r="P352" s="40"/>
    </row>
    <row r="353" spans="1:16" s="41" customFormat="1" ht="25.5">
      <c r="A353" s="48">
        <v>256</v>
      </c>
      <c r="B353" s="49" t="s">
        <v>343</v>
      </c>
      <c r="C353" s="48">
        <v>370</v>
      </c>
      <c r="D353" s="49"/>
      <c r="E353" s="49" t="s">
        <v>432</v>
      </c>
      <c r="F353" s="49" t="s">
        <v>615</v>
      </c>
      <c r="G353" s="46"/>
      <c r="H353" s="46"/>
      <c r="I353" s="46"/>
      <c r="J353" s="46"/>
      <c r="K353" s="46"/>
      <c r="L353" s="46"/>
      <c r="M353" s="46"/>
      <c r="N353" s="46"/>
      <c r="O353" s="45"/>
      <c r="P353" s="40"/>
    </row>
    <row r="354" spans="1:16" s="41" customFormat="1" ht="30" customHeight="1">
      <c r="A354" s="34">
        <v>257</v>
      </c>
      <c r="B354" s="35" t="s">
        <v>344</v>
      </c>
      <c r="C354" s="34"/>
      <c r="D354" s="35"/>
      <c r="E354" s="35" t="s">
        <v>428</v>
      </c>
      <c r="F354" s="35"/>
      <c r="G354" s="80" t="s">
        <v>453</v>
      </c>
      <c r="H354" s="35" t="s">
        <v>441</v>
      </c>
      <c r="I354" s="35" t="s">
        <v>595</v>
      </c>
      <c r="J354" s="80" t="s">
        <v>459</v>
      </c>
      <c r="K354" s="35" t="s">
        <v>460</v>
      </c>
      <c r="L354" s="35" t="s">
        <v>454</v>
      </c>
      <c r="M354" s="35" t="s">
        <v>443</v>
      </c>
      <c r="N354" s="47" t="s">
        <v>68</v>
      </c>
      <c r="O354" s="45"/>
      <c r="P354" s="40"/>
    </row>
    <row r="355" spans="1:16" s="41" customFormat="1" ht="30" customHeight="1">
      <c r="A355" s="42">
        <v>258</v>
      </c>
      <c r="B355" s="43" t="s">
        <v>345</v>
      </c>
      <c r="C355" s="42"/>
      <c r="D355" s="43"/>
      <c r="E355" s="43" t="s">
        <v>435</v>
      </c>
      <c r="F355" s="43" t="s">
        <v>35</v>
      </c>
      <c r="G355" s="44"/>
      <c r="H355" s="44"/>
      <c r="I355" s="44"/>
      <c r="J355" s="44"/>
      <c r="K355" s="44"/>
      <c r="L355" s="44"/>
      <c r="M355" s="44"/>
      <c r="N355" s="44"/>
      <c r="O355" s="45"/>
      <c r="P355" s="40"/>
    </row>
    <row r="356" spans="1:16" s="41" customFormat="1" ht="30" customHeight="1">
      <c r="A356" s="34">
        <v>259</v>
      </c>
      <c r="B356" s="35" t="s">
        <v>346</v>
      </c>
      <c r="C356" s="34"/>
      <c r="D356" s="35"/>
      <c r="E356" s="35" t="s">
        <v>435</v>
      </c>
      <c r="F356" s="35" t="s">
        <v>35</v>
      </c>
      <c r="G356" s="46"/>
      <c r="H356" s="44"/>
      <c r="I356" s="44"/>
      <c r="J356" s="46"/>
      <c r="K356" s="44"/>
      <c r="L356" s="44"/>
      <c r="M356" s="44"/>
      <c r="N356" s="44"/>
      <c r="O356" s="45"/>
      <c r="P356" s="40"/>
    </row>
    <row r="357" spans="1:16" s="41" customFormat="1" ht="43.5" customHeight="1">
      <c r="A357" s="48">
        <v>260</v>
      </c>
      <c r="B357" s="49" t="s">
        <v>347</v>
      </c>
      <c r="C357" s="48" t="s">
        <v>426</v>
      </c>
      <c r="D357" s="49"/>
      <c r="E357" s="49" t="s">
        <v>435</v>
      </c>
      <c r="F357" s="49" t="s">
        <v>235</v>
      </c>
      <c r="G357" s="38"/>
      <c r="H357" s="44"/>
      <c r="I357" s="44"/>
      <c r="J357" s="38"/>
      <c r="K357" s="44"/>
      <c r="L357" s="44"/>
      <c r="M357" s="44"/>
      <c r="N357" s="44"/>
      <c r="O357" s="45"/>
      <c r="P357" s="40"/>
    </row>
    <row r="358" spans="1:16" s="41" customFormat="1" ht="30" customHeight="1">
      <c r="A358" s="34">
        <v>261</v>
      </c>
      <c r="B358" s="35" t="s">
        <v>348</v>
      </c>
      <c r="C358" s="34"/>
      <c r="D358" s="35" t="s">
        <v>299</v>
      </c>
      <c r="E358" s="35" t="s">
        <v>435</v>
      </c>
      <c r="F358" s="35" t="s">
        <v>235</v>
      </c>
      <c r="G358" s="46"/>
      <c r="H358" s="44"/>
      <c r="I358" s="44"/>
      <c r="J358" s="46"/>
      <c r="K358" s="44"/>
      <c r="L358" s="44"/>
      <c r="M358" s="44"/>
      <c r="N358" s="44"/>
      <c r="O358" s="45"/>
      <c r="P358" s="40"/>
    </row>
    <row r="359" spans="1:16" s="41" customFormat="1" ht="42" customHeight="1">
      <c r="A359" s="42">
        <v>262</v>
      </c>
      <c r="B359" s="43" t="s">
        <v>349</v>
      </c>
      <c r="C359" s="42"/>
      <c r="D359" s="43" t="s">
        <v>299</v>
      </c>
      <c r="E359" s="43" t="s">
        <v>435</v>
      </c>
      <c r="F359" s="43" t="s">
        <v>235</v>
      </c>
      <c r="G359" s="44"/>
      <c r="H359" s="44"/>
      <c r="I359" s="44"/>
      <c r="J359" s="44"/>
      <c r="K359" s="44"/>
      <c r="L359" s="44"/>
      <c r="M359" s="44"/>
      <c r="N359" s="44"/>
      <c r="O359" s="45"/>
      <c r="P359" s="40"/>
    </row>
    <row r="360" spans="1:16" s="41" customFormat="1" ht="30" customHeight="1">
      <c r="A360" s="34">
        <v>263</v>
      </c>
      <c r="B360" s="35" t="s">
        <v>350</v>
      </c>
      <c r="C360" s="34"/>
      <c r="D360" s="35" t="s">
        <v>299</v>
      </c>
      <c r="E360" s="35" t="s">
        <v>435</v>
      </c>
      <c r="F360" s="35" t="s">
        <v>235</v>
      </c>
      <c r="G360" s="46"/>
      <c r="H360" s="44"/>
      <c r="I360" s="44"/>
      <c r="J360" s="46"/>
      <c r="K360" s="44"/>
      <c r="L360" s="44"/>
      <c r="M360" s="44"/>
      <c r="N360" s="44"/>
      <c r="O360" s="45"/>
      <c r="P360" s="40"/>
    </row>
    <row r="361" spans="1:16" s="41" customFormat="1" ht="30" customHeight="1">
      <c r="A361" s="42">
        <v>264</v>
      </c>
      <c r="B361" s="43" t="s">
        <v>351</v>
      </c>
      <c r="C361" s="42"/>
      <c r="D361" s="43"/>
      <c r="E361" s="43" t="s">
        <v>435</v>
      </c>
      <c r="F361" s="43" t="s">
        <v>35</v>
      </c>
      <c r="G361" s="44"/>
      <c r="H361" s="44"/>
      <c r="I361" s="44"/>
      <c r="J361" s="44"/>
      <c r="K361" s="44"/>
      <c r="L361" s="44"/>
      <c r="M361" s="44"/>
      <c r="N361" s="44"/>
      <c r="O361" s="45"/>
      <c r="P361" s="40"/>
    </row>
    <row r="362" spans="1:16" s="41" customFormat="1" ht="30" customHeight="1">
      <c r="A362" s="34">
        <v>265</v>
      </c>
      <c r="B362" s="35" t="s">
        <v>352</v>
      </c>
      <c r="C362" s="34"/>
      <c r="D362" s="35"/>
      <c r="E362" s="35" t="s">
        <v>435</v>
      </c>
      <c r="F362" s="35" t="s">
        <v>235</v>
      </c>
      <c r="G362" s="46"/>
      <c r="H362" s="44"/>
      <c r="I362" s="44"/>
      <c r="J362" s="46"/>
      <c r="K362" s="44"/>
      <c r="L362" s="44"/>
      <c r="M362" s="44"/>
      <c r="N362" s="44"/>
      <c r="O362" s="45"/>
      <c r="P362" s="40"/>
    </row>
    <row r="363" spans="1:16" s="41" customFormat="1" ht="30" customHeight="1">
      <c r="A363" s="42">
        <v>266</v>
      </c>
      <c r="B363" s="43" t="s">
        <v>353</v>
      </c>
      <c r="C363" s="42"/>
      <c r="D363" s="43"/>
      <c r="E363" s="43" t="s">
        <v>435</v>
      </c>
      <c r="F363" s="43" t="s">
        <v>235</v>
      </c>
      <c r="G363" s="44"/>
      <c r="H363" s="44"/>
      <c r="I363" s="44"/>
      <c r="J363" s="44"/>
      <c r="K363" s="44"/>
      <c r="L363" s="44"/>
      <c r="M363" s="44"/>
      <c r="N363" s="44"/>
      <c r="O363" s="45"/>
      <c r="P363" s="40"/>
    </row>
    <row r="364" spans="1:16" s="41" customFormat="1" ht="30" customHeight="1">
      <c r="A364" s="34">
        <v>267</v>
      </c>
      <c r="B364" s="35" t="s">
        <v>354</v>
      </c>
      <c r="C364" s="34"/>
      <c r="D364" s="35"/>
      <c r="E364" s="35" t="s">
        <v>435</v>
      </c>
      <c r="F364" s="35" t="s">
        <v>355</v>
      </c>
      <c r="G364" s="46"/>
      <c r="H364" s="44"/>
      <c r="I364" s="44"/>
      <c r="J364" s="46"/>
      <c r="K364" s="44"/>
      <c r="L364" s="44"/>
      <c r="M364" s="44"/>
      <c r="N364" s="44"/>
      <c r="O364" s="45"/>
      <c r="P364" s="40"/>
    </row>
    <row r="365" spans="1:16" s="41" customFormat="1" ht="30" customHeight="1">
      <c r="A365" s="42">
        <v>268</v>
      </c>
      <c r="B365" s="43" t="s">
        <v>25</v>
      </c>
      <c r="C365" s="42"/>
      <c r="D365" s="43"/>
      <c r="E365" s="43" t="s">
        <v>435</v>
      </c>
      <c r="F365" s="43" t="s">
        <v>355</v>
      </c>
      <c r="G365" s="44"/>
      <c r="H365" s="44"/>
      <c r="I365" s="44"/>
      <c r="J365" s="44"/>
      <c r="K365" s="44"/>
      <c r="L365" s="44"/>
      <c r="M365" s="44"/>
      <c r="N365" s="44"/>
      <c r="O365" s="45"/>
      <c r="P365" s="40"/>
    </row>
    <row r="366" spans="1:16" s="41" customFormat="1" ht="30" customHeight="1">
      <c r="A366" s="34">
        <v>269</v>
      </c>
      <c r="B366" s="35" t="s">
        <v>356</v>
      </c>
      <c r="C366" s="34"/>
      <c r="D366" s="35"/>
      <c r="E366" s="35" t="s">
        <v>435</v>
      </c>
      <c r="F366" s="35" t="s">
        <v>355</v>
      </c>
      <c r="G366" s="46"/>
      <c r="H366" s="44"/>
      <c r="I366" s="44"/>
      <c r="J366" s="46"/>
      <c r="K366" s="44"/>
      <c r="L366" s="44"/>
      <c r="M366" s="44"/>
      <c r="N366" s="44"/>
      <c r="O366" s="45"/>
      <c r="P366" s="40"/>
    </row>
    <row r="367" spans="1:16" s="41" customFormat="1" ht="30" customHeight="1">
      <c r="A367" s="42">
        <v>270</v>
      </c>
      <c r="B367" s="43" t="s">
        <v>357</v>
      </c>
      <c r="C367" s="42"/>
      <c r="D367" s="43"/>
      <c r="E367" s="43" t="s">
        <v>435</v>
      </c>
      <c r="F367" s="43" t="s">
        <v>355</v>
      </c>
      <c r="G367" s="44"/>
      <c r="H367" s="44"/>
      <c r="I367" s="44"/>
      <c r="J367" s="44"/>
      <c r="K367" s="44"/>
      <c r="L367" s="44"/>
      <c r="M367" s="44"/>
      <c r="N367" s="44"/>
      <c r="O367" s="45"/>
      <c r="P367" s="40"/>
    </row>
    <row r="368" spans="1:16" s="41" customFormat="1" ht="30" customHeight="1">
      <c r="A368" s="34">
        <v>271</v>
      </c>
      <c r="B368" s="35" t="s">
        <v>358</v>
      </c>
      <c r="C368" s="34"/>
      <c r="D368" s="35"/>
      <c r="E368" s="35" t="s">
        <v>435</v>
      </c>
      <c r="F368" s="35" t="s">
        <v>355</v>
      </c>
      <c r="G368" s="46"/>
      <c r="H368" s="44"/>
      <c r="I368" s="44"/>
      <c r="J368" s="46"/>
      <c r="K368" s="44"/>
      <c r="L368" s="44"/>
      <c r="M368" s="44"/>
      <c r="N368" s="44"/>
      <c r="O368" s="45"/>
      <c r="P368" s="40"/>
    </row>
    <row r="369" spans="1:16" s="41" customFormat="1" ht="30" customHeight="1">
      <c r="A369" s="42">
        <v>272</v>
      </c>
      <c r="B369" s="43" t="s">
        <v>359</v>
      </c>
      <c r="C369" s="42"/>
      <c r="D369" s="43"/>
      <c r="E369" s="43" t="s">
        <v>435</v>
      </c>
      <c r="F369" s="43" t="s">
        <v>355</v>
      </c>
      <c r="G369" s="44"/>
      <c r="H369" s="44"/>
      <c r="I369" s="44"/>
      <c r="J369" s="44"/>
      <c r="K369" s="44"/>
      <c r="L369" s="44"/>
      <c r="M369" s="44"/>
      <c r="N369" s="44"/>
      <c r="O369" s="45"/>
      <c r="P369" s="40"/>
    </row>
    <row r="370" spans="1:16" s="41" customFormat="1" ht="41.25" customHeight="1">
      <c r="A370" s="34">
        <v>273</v>
      </c>
      <c r="B370" s="35" t="s">
        <v>360</v>
      </c>
      <c r="C370" s="34"/>
      <c r="D370" s="35"/>
      <c r="E370" s="35" t="s">
        <v>435</v>
      </c>
      <c r="F370" s="35" t="s">
        <v>355</v>
      </c>
      <c r="G370" s="46"/>
      <c r="H370" s="44"/>
      <c r="I370" s="44"/>
      <c r="J370" s="46"/>
      <c r="K370" s="44"/>
      <c r="L370" s="44"/>
      <c r="M370" s="44"/>
      <c r="N370" s="44"/>
      <c r="O370" s="45"/>
      <c r="P370" s="40"/>
    </row>
    <row r="371" spans="1:16" s="41" customFormat="1" ht="30" customHeight="1">
      <c r="A371" s="42">
        <v>274</v>
      </c>
      <c r="B371" s="43" t="s">
        <v>361</v>
      </c>
      <c r="C371" s="42"/>
      <c r="D371" s="43"/>
      <c r="E371" s="43" t="s">
        <v>435</v>
      </c>
      <c r="F371" s="43" t="s">
        <v>355</v>
      </c>
      <c r="G371" s="44"/>
      <c r="H371" s="44"/>
      <c r="I371" s="44"/>
      <c r="J371" s="44"/>
      <c r="K371" s="44"/>
      <c r="L371" s="44"/>
      <c r="M371" s="44"/>
      <c r="N371" s="44"/>
      <c r="O371" s="45"/>
      <c r="P371" s="40"/>
    </row>
    <row r="372" spans="1:16" s="41" customFormat="1" ht="30" customHeight="1">
      <c r="A372" s="34">
        <v>275</v>
      </c>
      <c r="B372" s="35" t="s">
        <v>362</v>
      </c>
      <c r="C372" s="34"/>
      <c r="D372" s="35"/>
      <c r="E372" s="35" t="s">
        <v>435</v>
      </c>
      <c r="F372" s="35" t="s">
        <v>355</v>
      </c>
      <c r="G372" s="46"/>
      <c r="H372" s="44"/>
      <c r="I372" s="44"/>
      <c r="J372" s="46"/>
      <c r="K372" s="44"/>
      <c r="L372" s="44"/>
      <c r="M372" s="44"/>
      <c r="N372" s="44"/>
      <c r="O372" s="45"/>
      <c r="P372" s="40"/>
    </row>
    <row r="373" spans="1:16" s="41" customFormat="1" ht="30" customHeight="1">
      <c r="A373" s="42">
        <v>276</v>
      </c>
      <c r="B373" s="43" t="s">
        <v>363</v>
      </c>
      <c r="C373" s="42"/>
      <c r="D373" s="43"/>
      <c r="E373" s="43" t="s">
        <v>435</v>
      </c>
      <c r="F373" s="43" t="s">
        <v>355</v>
      </c>
      <c r="G373" s="44"/>
      <c r="H373" s="44"/>
      <c r="I373" s="44"/>
      <c r="J373" s="44"/>
      <c r="K373" s="44"/>
      <c r="L373" s="44"/>
      <c r="M373" s="44"/>
      <c r="N373" s="44"/>
      <c r="O373" s="45"/>
      <c r="P373" s="40"/>
    </row>
    <row r="374" spans="1:16" s="41" customFormat="1" ht="30" customHeight="1">
      <c r="A374" s="34">
        <v>277</v>
      </c>
      <c r="B374" s="35" t="s">
        <v>364</v>
      </c>
      <c r="C374" s="34"/>
      <c r="D374" s="35"/>
      <c r="E374" s="35" t="s">
        <v>435</v>
      </c>
      <c r="F374" s="35" t="s">
        <v>355</v>
      </c>
      <c r="G374" s="46"/>
      <c r="H374" s="44"/>
      <c r="I374" s="44"/>
      <c r="J374" s="46"/>
      <c r="K374" s="44"/>
      <c r="L374" s="44"/>
      <c r="M374" s="44"/>
      <c r="N374" s="44"/>
      <c r="O374" s="45"/>
      <c r="P374" s="40"/>
    </row>
    <row r="375" spans="1:16" s="41" customFormat="1" ht="30" customHeight="1">
      <c r="A375" s="42">
        <v>278</v>
      </c>
      <c r="B375" s="43" t="s">
        <v>365</v>
      </c>
      <c r="C375" s="42"/>
      <c r="D375" s="43"/>
      <c r="E375" s="43" t="s">
        <v>435</v>
      </c>
      <c r="F375" s="43" t="s">
        <v>355</v>
      </c>
      <c r="G375" s="44"/>
      <c r="H375" s="44"/>
      <c r="I375" s="44"/>
      <c r="J375" s="44"/>
      <c r="K375" s="44"/>
      <c r="L375" s="44"/>
      <c r="M375" s="44"/>
      <c r="N375" s="44"/>
      <c r="O375" s="45"/>
      <c r="P375" s="40"/>
    </row>
    <row r="376" spans="1:16" s="41" customFormat="1" ht="30" customHeight="1">
      <c r="A376" s="34">
        <v>279</v>
      </c>
      <c r="B376" s="35" t="s">
        <v>366</v>
      </c>
      <c r="C376" s="34"/>
      <c r="D376" s="35"/>
      <c r="E376" s="35" t="s">
        <v>435</v>
      </c>
      <c r="F376" s="35" t="s">
        <v>355</v>
      </c>
      <c r="G376" s="46"/>
      <c r="H376" s="44"/>
      <c r="I376" s="44"/>
      <c r="J376" s="46"/>
      <c r="K376" s="44"/>
      <c r="L376" s="44"/>
      <c r="M376" s="44"/>
      <c r="N376" s="44"/>
      <c r="O376" s="45"/>
      <c r="P376" s="40"/>
    </row>
    <row r="377" spans="1:16" s="41" customFormat="1" ht="30" customHeight="1">
      <c r="A377" s="42">
        <v>280</v>
      </c>
      <c r="B377" s="43" t="s">
        <v>367</v>
      </c>
      <c r="C377" s="42"/>
      <c r="D377" s="43"/>
      <c r="E377" s="43" t="s">
        <v>435</v>
      </c>
      <c r="F377" s="43" t="s">
        <v>355</v>
      </c>
      <c r="G377" s="44"/>
      <c r="H377" s="44"/>
      <c r="I377" s="44"/>
      <c r="J377" s="44"/>
      <c r="K377" s="44"/>
      <c r="L377" s="44"/>
      <c r="M377" s="44"/>
      <c r="N377" s="44"/>
      <c r="O377" s="45"/>
      <c r="P377" s="40"/>
    </row>
    <row r="378" spans="1:16" s="41" customFormat="1" ht="30" customHeight="1">
      <c r="A378" s="34">
        <v>281</v>
      </c>
      <c r="B378" s="35" t="s">
        <v>368</v>
      </c>
      <c r="C378" s="34"/>
      <c r="D378" s="35"/>
      <c r="E378" s="35" t="s">
        <v>435</v>
      </c>
      <c r="F378" s="35" t="s">
        <v>355</v>
      </c>
      <c r="G378" s="46"/>
      <c r="H378" s="44"/>
      <c r="I378" s="44"/>
      <c r="J378" s="46"/>
      <c r="K378" s="44"/>
      <c r="L378" s="44"/>
      <c r="M378" s="44"/>
      <c r="N378" s="44"/>
      <c r="O378" s="45"/>
      <c r="P378" s="40"/>
    </row>
    <row r="379" spans="1:16" s="41" customFormat="1" ht="30" customHeight="1">
      <c r="A379" s="42">
        <v>282</v>
      </c>
      <c r="B379" s="43" t="s">
        <v>369</v>
      </c>
      <c r="C379" s="42"/>
      <c r="D379" s="43"/>
      <c r="E379" s="43" t="s">
        <v>435</v>
      </c>
      <c r="F379" s="43" t="s">
        <v>355</v>
      </c>
      <c r="G379" s="44"/>
      <c r="H379" s="44"/>
      <c r="I379" s="44"/>
      <c r="J379" s="44"/>
      <c r="K379" s="44"/>
      <c r="L379" s="44"/>
      <c r="M379" s="44"/>
      <c r="N379" s="44"/>
      <c r="O379" s="45"/>
      <c r="P379" s="40"/>
    </row>
    <row r="380" spans="1:16" s="41" customFormat="1" ht="30" customHeight="1">
      <c r="A380" s="34">
        <v>283</v>
      </c>
      <c r="B380" s="35" t="s">
        <v>370</v>
      </c>
      <c r="C380" s="34"/>
      <c r="D380" s="35"/>
      <c r="E380" s="35" t="s">
        <v>435</v>
      </c>
      <c r="F380" s="35" t="s">
        <v>355</v>
      </c>
      <c r="G380" s="46"/>
      <c r="H380" s="44"/>
      <c r="I380" s="44"/>
      <c r="J380" s="46"/>
      <c r="K380" s="44"/>
      <c r="L380" s="44"/>
      <c r="M380" s="44"/>
      <c r="N380" s="44"/>
      <c r="O380" s="45"/>
      <c r="P380" s="40"/>
    </row>
    <row r="381" spans="1:16" s="41" customFormat="1" ht="30" customHeight="1">
      <c r="A381" s="42">
        <v>284</v>
      </c>
      <c r="B381" s="43" t="s">
        <v>371</v>
      </c>
      <c r="C381" s="42"/>
      <c r="D381" s="43"/>
      <c r="E381" s="43" t="s">
        <v>435</v>
      </c>
      <c r="F381" s="43" t="s">
        <v>355</v>
      </c>
      <c r="G381" s="44"/>
      <c r="H381" s="44"/>
      <c r="I381" s="44"/>
      <c r="J381" s="44"/>
      <c r="K381" s="44"/>
      <c r="L381" s="44"/>
      <c r="M381" s="44"/>
      <c r="N381" s="44"/>
      <c r="O381" s="45"/>
      <c r="P381" s="40"/>
    </row>
    <row r="382" spans="1:16" s="41" customFormat="1" ht="30" customHeight="1">
      <c r="A382" s="34">
        <v>285</v>
      </c>
      <c r="B382" s="35" t="s">
        <v>372</v>
      </c>
      <c r="C382" s="34"/>
      <c r="D382" s="35"/>
      <c r="E382" s="35" t="s">
        <v>435</v>
      </c>
      <c r="F382" s="35" t="s">
        <v>355</v>
      </c>
      <c r="G382" s="46"/>
      <c r="H382" s="44"/>
      <c r="I382" s="44"/>
      <c r="J382" s="46"/>
      <c r="K382" s="44"/>
      <c r="L382" s="44"/>
      <c r="M382" s="44"/>
      <c r="N382" s="44"/>
      <c r="O382" s="45"/>
      <c r="P382" s="40"/>
    </row>
    <row r="383" spans="1:16" s="41" customFormat="1" ht="30" customHeight="1">
      <c r="A383" s="42">
        <v>286</v>
      </c>
      <c r="B383" s="43" t="s">
        <v>373</v>
      </c>
      <c r="C383" s="42"/>
      <c r="D383" s="43"/>
      <c r="E383" s="43" t="s">
        <v>435</v>
      </c>
      <c r="F383" s="43" t="s">
        <v>355</v>
      </c>
      <c r="G383" s="44"/>
      <c r="H383" s="44"/>
      <c r="I383" s="44"/>
      <c r="J383" s="44"/>
      <c r="K383" s="44"/>
      <c r="L383" s="44"/>
      <c r="M383" s="44"/>
      <c r="N383" s="44"/>
      <c r="O383" s="45"/>
      <c r="P383" s="40"/>
    </row>
    <row r="384" spans="1:16" s="41" customFormat="1" ht="30" customHeight="1">
      <c r="A384" s="34">
        <v>287</v>
      </c>
      <c r="B384" s="35" t="s">
        <v>374</v>
      </c>
      <c r="C384" s="34"/>
      <c r="D384" s="35"/>
      <c r="E384" s="35" t="s">
        <v>435</v>
      </c>
      <c r="F384" s="35" t="s">
        <v>355</v>
      </c>
      <c r="G384" s="46"/>
      <c r="H384" s="44"/>
      <c r="I384" s="44"/>
      <c r="J384" s="46"/>
      <c r="K384" s="44"/>
      <c r="L384" s="44"/>
      <c r="M384" s="44"/>
      <c r="N384" s="44"/>
      <c r="O384" s="45"/>
      <c r="P384" s="40"/>
    </row>
    <row r="385" spans="1:16" s="41" customFormat="1" ht="30" customHeight="1">
      <c r="A385" s="42">
        <v>288</v>
      </c>
      <c r="B385" s="43" t="s">
        <v>375</v>
      </c>
      <c r="C385" s="42"/>
      <c r="D385" s="43"/>
      <c r="E385" s="43" t="s">
        <v>435</v>
      </c>
      <c r="F385" s="43" t="s">
        <v>355</v>
      </c>
      <c r="G385" s="44"/>
      <c r="H385" s="44"/>
      <c r="I385" s="44"/>
      <c r="J385" s="44"/>
      <c r="K385" s="44"/>
      <c r="L385" s="44"/>
      <c r="M385" s="44"/>
      <c r="N385" s="44"/>
      <c r="O385" s="45"/>
      <c r="P385" s="40"/>
    </row>
    <row r="386" spans="1:16" s="41" customFormat="1" ht="30" customHeight="1">
      <c r="A386" s="34">
        <v>289</v>
      </c>
      <c r="B386" s="35" t="s">
        <v>376</v>
      </c>
      <c r="C386" s="34"/>
      <c r="D386" s="35"/>
      <c r="E386" s="35" t="s">
        <v>435</v>
      </c>
      <c r="F386" s="35" t="s">
        <v>355</v>
      </c>
      <c r="G386" s="46"/>
      <c r="H386" s="44"/>
      <c r="I386" s="44"/>
      <c r="J386" s="46"/>
      <c r="K386" s="44"/>
      <c r="L386" s="44"/>
      <c r="M386" s="44"/>
      <c r="N386" s="44"/>
      <c r="O386" s="45"/>
      <c r="P386" s="40"/>
    </row>
    <row r="387" spans="1:16" s="41" customFormat="1" ht="30" customHeight="1">
      <c r="A387" s="42">
        <v>290</v>
      </c>
      <c r="B387" s="43" t="s">
        <v>377</v>
      </c>
      <c r="C387" s="42"/>
      <c r="D387" s="43"/>
      <c r="E387" s="43" t="s">
        <v>435</v>
      </c>
      <c r="F387" s="43" t="s">
        <v>355</v>
      </c>
      <c r="G387" s="44"/>
      <c r="H387" s="44"/>
      <c r="I387" s="44"/>
      <c r="J387" s="44"/>
      <c r="K387" s="44"/>
      <c r="L387" s="44"/>
      <c r="M387" s="44"/>
      <c r="N387" s="44"/>
      <c r="O387" s="45"/>
      <c r="P387" s="40"/>
    </row>
    <row r="388" spans="1:16" s="41" customFormat="1" ht="30" customHeight="1">
      <c r="A388" s="34">
        <v>291</v>
      </c>
      <c r="B388" s="35" t="s">
        <v>378</v>
      </c>
      <c r="C388" s="34"/>
      <c r="D388" s="35"/>
      <c r="E388" s="35" t="s">
        <v>435</v>
      </c>
      <c r="F388" s="35" t="s">
        <v>355</v>
      </c>
      <c r="G388" s="46"/>
      <c r="H388" s="44"/>
      <c r="I388" s="44"/>
      <c r="J388" s="46"/>
      <c r="K388" s="44"/>
      <c r="L388" s="44"/>
      <c r="M388" s="44"/>
      <c r="N388" s="44"/>
      <c r="O388" s="45"/>
      <c r="P388" s="40"/>
    </row>
    <row r="389" spans="1:16" s="41" customFormat="1" ht="30" customHeight="1">
      <c r="A389" s="42">
        <v>292</v>
      </c>
      <c r="B389" s="43" t="s">
        <v>379</v>
      </c>
      <c r="C389" s="42"/>
      <c r="D389" s="43"/>
      <c r="E389" s="43" t="s">
        <v>435</v>
      </c>
      <c r="F389" s="43" t="s">
        <v>355</v>
      </c>
      <c r="G389" s="44"/>
      <c r="H389" s="44"/>
      <c r="I389" s="44"/>
      <c r="J389" s="44"/>
      <c r="K389" s="44"/>
      <c r="L389" s="44"/>
      <c r="M389" s="44"/>
      <c r="N389" s="44"/>
      <c r="O389" s="45"/>
      <c r="P389" s="40"/>
    </row>
    <row r="390" spans="1:16" s="41" customFormat="1" ht="30" customHeight="1">
      <c r="A390" s="34">
        <v>293</v>
      </c>
      <c r="B390" s="35" t="s">
        <v>380</v>
      </c>
      <c r="C390" s="34"/>
      <c r="D390" s="35"/>
      <c r="E390" s="35" t="s">
        <v>435</v>
      </c>
      <c r="F390" s="35" t="s">
        <v>355</v>
      </c>
      <c r="G390" s="46"/>
      <c r="H390" s="44"/>
      <c r="I390" s="44"/>
      <c r="J390" s="46"/>
      <c r="K390" s="44"/>
      <c r="L390" s="44"/>
      <c r="M390" s="44"/>
      <c r="N390" s="44"/>
      <c r="O390" s="45"/>
      <c r="P390" s="40"/>
    </row>
    <row r="391" spans="1:16" s="41" customFormat="1" ht="30" customHeight="1">
      <c r="A391" s="42">
        <v>294</v>
      </c>
      <c r="B391" s="43" t="s">
        <v>381</v>
      </c>
      <c r="C391" s="42"/>
      <c r="D391" s="43"/>
      <c r="E391" s="43" t="s">
        <v>435</v>
      </c>
      <c r="F391" s="43" t="s">
        <v>355</v>
      </c>
      <c r="G391" s="44"/>
      <c r="H391" s="44"/>
      <c r="I391" s="44"/>
      <c r="J391" s="44"/>
      <c r="K391" s="44"/>
      <c r="L391" s="44"/>
      <c r="M391" s="44"/>
      <c r="N391" s="44"/>
      <c r="O391" s="45"/>
      <c r="P391" s="40"/>
    </row>
    <row r="392" spans="1:16" s="41" customFormat="1" ht="30" customHeight="1">
      <c r="A392" s="34">
        <v>295</v>
      </c>
      <c r="B392" s="35" t="s">
        <v>93</v>
      </c>
      <c r="C392" s="34"/>
      <c r="D392" s="35"/>
      <c r="E392" s="35" t="s">
        <v>435</v>
      </c>
      <c r="F392" s="35" t="s">
        <v>355</v>
      </c>
      <c r="G392" s="46"/>
      <c r="H392" s="44"/>
      <c r="I392" s="44"/>
      <c r="J392" s="46"/>
      <c r="K392" s="44"/>
      <c r="L392" s="44"/>
      <c r="M392" s="44"/>
      <c r="N392" s="44"/>
      <c r="O392" s="45"/>
      <c r="P392" s="40"/>
    </row>
    <row r="393" spans="1:16" s="41" customFormat="1" ht="30" customHeight="1">
      <c r="A393" s="42">
        <v>296</v>
      </c>
      <c r="B393" s="43" t="s">
        <v>382</v>
      </c>
      <c r="C393" s="42"/>
      <c r="D393" s="43"/>
      <c r="E393" s="43" t="s">
        <v>435</v>
      </c>
      <c r="F393" s="43" t="s">
        <v>355</v>
      </c>
      <c r="G393" s="44"/>
      <c r="H393" s="44"/>
      <c r="I393" s="44"/>
      <c r="J393" s="44"/>
      <c r="K393" s="44"/>
      <c r="L393" s="44"/>
      <c r="M393" s="44"/>
      <c r="N393" s="44"/>
      <c r="O393" s="45"/>
      <c r="P393" s="40"/>
    </row>
    <row r="394" spans="1:16" s="41" customFormat="1" ht="30" customHeight="1">
      <c r="A394" s="34">
        <v>297</v>
      </c>
      <c r="B394" s="35" t="s">
        <v>383</v>
      </c>
      <c r="C394" s="34"/>
      <c r="D394" s="35"/>
      <c r="E394" s="35" t="s">
        <v>435</v>
      </c>
      <c r="F394" s="35" t="s">
        <v>13</v>
      </c>
      <c r="G394" s="46"/>
      <c r="H394" s="44"/>
      <c r="I394" s="44"/>
      <c r="J394" s="46"/>
      <c r="K394" s="44"/>
      <c r="L394" s="44"/>
      <c r="M394" s="44"/>
      <c r="N394" s="44"/>
      <c r="O394" s="45"/>
      <c r="P394" s="40"/>
    </row>
    <row r="395" spans="1:16" s="41" customFormat="1" ht="30" customHeight="1">
      <c r="A395" s="42">
        <v>298</v>
      </c>
      <c r="B395" s="43" t="s">
        <v>384</v>
      </c>
      <c r="C395" s="42"/>
      <c r="D395" s="43"/>
      <c r="E395" s="43" t="s">
        <v>435</v>
      </c>
      <c r="F395" s="43" t="s">
        <v>35</v>
      </c>
      <c r="G395" s="44"/>
      <c r="H395" s="44"/>
      <c r="I395" s="44"/>
      <c r="J395" s="44"/>
      <c r="K395" s="44"/>
      <c r="L395" s="44"/>
      <c r="M395" s="44"/>
      <c r="N395" s="44"/>
      <c r="O395" s="45"/>
      <c r="P395" s="40"/>
    </row>
    <row r="396" spans="1:16" s="41" customFormat="1" ht="30" customHeight="1">
      <c r="A396" s="34">
        <v>299</v>
      </c>
      <c r="B396" s="35" t="s">
        <v>385</v>
      </c>
      <c r="C396" s="34"/>
      <c r="D396" s="35"/>
      <c r="E396" s="35" t="s">
        <v>435</v>
      </c>
      <c r="F396" s="35" t="s">
        <v>13</v>
      </c>
      <c r="G396" s="46"/>
      <c r="H396" s="44"/>
      <c r="I396" s="44"/>
      <c r="J396" s="46"/>
      <c r="K396" s="44"/>
      <c r="L396" s="44"/>
      <c r="M396" s="44"/>
      <c r="N396" s="44"/>
      <c r="O396" s="45"/>
      <c r="P396" s="40"/>
    </row>
    <row r="397" spans="1:16" s="41" customFormat="1" ht="30" customHeight="1">
      <c r="A397" s="42">
        <v>300</v>
      </c>
      <c r="B397" s="43" t="s">
        <v>386</v>
      </c>
      <c r="C397" s="42"/>
      <c r="D397" s="43"/>
      <c r="E397" s="43" t="s">
        <v>435</v>
      </c>
      <c r="F397" s="43" t="s">
        <v>13</v>
      </c>
      <c r="G397" s="44"/>
      <c r="H397" s="44"/>
      <c r="I397" s="44"/>
      <c r="J397" s="44"/>
      <c r="K397" s="44"/>
      <c r="L397" s="44"/>
      <c r="M397" s="44"/>
      <c r="N397" s="44"/>
      <c r="O397" s="45"/>
      <c r="P397" s="40"/>
    </row>
    <row r="398" spans="1:16" s="41" customFormat="1" ht="30" customHeight="1">
      <c r="A398" s="34">
        <v>301</v>
      </c>
      <c r="B398" s="35" t="s">
        <v>387</v>
      </c>
      <c r="C398" s="34"/>
      <c r="D398" s="35"/>
      <c r="E398" s="35" t="s">
        <v>435</v>
      </c>
      <c r="F398" s="35" t="s">
        <v>13</v>
      </c>
      <c r="G398" s="46"/>
      <c r="H398" s="44"/>
      <c r="I398" s="44"/>
      <c r="J398" s="46"/>
      <c r="K398" s="44"/>
      <c r="L398" s="44"/>
      <c r="M398" s="44"/>
      <c r="N398" s="44"/>
      <c r="O398" s="45"/>
      <c r="P398" s="40"/>
    </row>
    <row r="399" spans="1:16" s="41" customFormat="1" ht="30" customHeight="1">
      <c r="A399" s="42">
        <v>302</v>
      </c>
      <c r="B399" s="43" t="s">
        <v>388</v>
      </c>
      <c r="C399" s="42"/>
      <c r="D399" s="43"/>
      <c r="E399" s="43" t="s">
        <v>435</v>
      </c>
      <c r="F399" s="43" t="s">
        <v>13</v>
      </c>
      <c r="G399" s="44"/>
      <c r="H399" s="44"/>
      <c r="I399" s="44"/>
      <c r="J399" s="44"/>
      <c r="K399" s="44"/>
      <c r="L399" s="44"/>
      <c r="M399" s="44"/>
      <c r="N399" s="44"/>
      <c r="O399" s="45"/>
      <c r="P399" s="40"/>
    </row>
    <row r="400" spans="1:16" s="41" customFormat="1" ht="30" customHeight="1">
      <c r="A400" s="34">
        <v>303</v>
      </c>
      <c r="B400" s="35" t="s">
        <v>389</v>
      </c>
      <c r="C400" s="34"/>
      <c r="D400" s="35"/>
      <c r="E400" s="35" t="s">
        <v>435</v>
      </c>
      <c r="F400" s="35" t="s">
        <v>13</v>
      </c>
      <c r="G400" s="46"/>
      <c r="H400" s="44"/>
      <c r="I400" s="44"/>
      <c r="J400" s="46"/>
      <c r="K400" s="44"/>
      <c r="L400" s="44"/>
      <c r="M400" s="44"/>
      <c r="N400" s="44"/>
      <c r="O400" s="45"/>
      <c r="P400" s="40"/>
    </row>
    <row r="401" spans="1:16" s="41" customFormat="1" ht="30" customHeight="1">
      <c r="A401" s="42">
        <v>304</v>
      </c>
      <c r="B401" s="43" t="s">
        <v>390</v>
      </c>
      <c r="C401" s="42"/>
      <c r="D401" s="43"/>
      <c r="E401" s="43" t="s">
        <v>435</v>
      </c>
      <c r="F401" s="43" t="s">
        <v>13</v>
      </c>
      <c r="G401" s="44"/>
      <c r="H401" s="44"/>
      <c r="I401" s="44"/>
      <c r="J401" s="44"/>
      <c r="K401" s="44"/>
      <c r="L401" s="44"/>
      <c r="M401" s="44"/>
      <c r="N401" s="44"/>
      <c r="O401" s="45"/>
      <c r="P401" s="40"/>
    </row>
    <row r="402" spans="1:16" s="41" customFormat="1" ht="30" customHeight="1">
      <c r="A402" s="34">
        <v>305</v>
      </c>
      <c r="B402" s="35" t="s">
        <v>391</v>
      </c>
      <c r="C402" s="34"/>
      <c r="D402" s="35"/>
      <c r="E402" s="35" t="s">
        <v>435</v>
      </c>
      <c r="F402" s="35" t="s">
        <v>13</v>
      </c>
      <c r="G402" s="46"/>
      <c r="H402" s="44"/>
      <c r="I402" s="44"/>
      <c r="J402" s="46"/>
      <c r="K402" s="44"/>
      <c r="L402" s="44"/>
      <c r="M402" s="44"/>
      <c r="N402" s="44"/>
      <c r="O402" s="45"/>
      <c r="P402" s="40"/>
    </row>
    <row r="403" spans="1:16" s="41" customFormat="1" ht="30" customHeight="1">
      <c r="A403" s="42">
        <v>306</v>
      </c>
      <c r="B403" s="43" t="s">
        <v>392</v>
      </c>
      <c r="C403" s="42"/>
      <c r="D403" s="43"/>
      <c r="E403" s="43" t="s">
        <v>435</v>
      </c>
      <c r="F403" s="43" t="s">
        <v>13</v>
      </c>
      <c r="G403" s="44"/>
      <c r="H403" s="44"/>
      <c r="I403" s="44"/>
      <c r="J403" s="44"/>
      <c r="K403" s="44"/>
      <c r="L403" s="44"/>
      <c r="M403" s="44"/>
      <c r="N403" s="44"/>
      <c r="O403" s="45"/>
      <c r="P403" s="40"/>
    </row>
    <row r="404" spans="1:16" s="41" customFormat="1" ht="30" customHeight="1">
      <c r="A404" s="34">
        <v>307</v>
      </c>
      <c r="B404" s="35" t="s">
        <v>393</v>
      </c>
      <c r="C404" s="34">
        <v>371</v>
      </c>
      <c r="D404" s="35"/>
      <c r="E404" s="35" t="s">
        <v>435</v>
      </c>
      <c r="F404" s="35" t="s">
        <v>13</v>
      </c>
      <c r="G404" s="46"/>
      <c r="H404" s="44"/>
      <c r="I404" s="44"/>
      <c r="J404" s="46"/>
      <c r="K404" s="44"/>
      <c r="L404" s="44"/>
      <c r="M404" s="44"/>
      <c r="N404" s="44"/>
      <c r="O404" s="45"/>
      <c r="P404" s="40"/>
    </row>
    <row r="405" spans="1:16" s="41" customFormat="1" ht="30" customHeight="1">
      <c r="A405" s="48">
        <v>308</v>
      </c>
      <c r="B405" s="49" t="s">
        <v>394</v>
      </c>
      <c r="C405" s="48" t="s">
        <v>427</v>
      </c>
      <c r="D405" s="49"/>
      <c r="E405" s="49" t="s">
        <v>435</v>
      </c>
      <c r="F405" s="49" t="s">
        <v>13</v>
      </c>
      <c r="G405" s="38"/>
      <c r="H405" s="44"/>
      <c r="I405" s="44"/>
      <c r="J405" s="38"/>
      <c r="K405" s="44"/>
      <c r="L405" s="44"/>
      <c r="M405" s="44"/>
      <c r="N405" s="44"/>
      <c r="O405" s="45"/>
      <c r="P405" s="40"/>
    </row>
    <row r="406" spans="1:16" s="41" customFormat="1" ht="30" customHeight="1">
      <c r="A406" s="34">
        <v>309</v>
      </c>
      <c r="B406" s="35" t="s">
        <v>395</v>
      </c>
      <c r="C406" s="34">
        <v>221</v>
      </c>
      <c r="D406" s="35"/>
      <c r="E406" s="35" t="s">
        <v>435</v>
      </c>
      <c r="F406" s="35" t="s">
        <v>13</v>
      </c>
      <c r="G406" s="46"/>
      <c r="H406" s="44"/>
      <c r="I406" s="44"/>
      <c r="J406" s="46"/>
      <c r="K406" s="44"/>
      <c r="L406" s="44"/>
      <c r="M406" s="44"/>
      <c r="N406" s="44"/>
      <c r="O406" s="45"/>
      <c r="P406" s="40"/>
    </row>
    <row r="407" spans="1:16" s="41" customFormat="1" ht="30" customHeight="1">
      <c r="A407" s="42">
        <v>310</v>
      </c>
      <c r="B407" s="43" t="s">
        <v>396</v>
      </c>
      <c r="C407" s="42"/>
      <c r="D407" s="43"/>
      <c r="E407" s="43" t="s">
        <v>435</v>
      </c>
      <c r="F407" s="43" t="s">
        <v>13</v>
      </c>
      <c r="G407" s="44"/>
      <c r="H407" s="44"/>
      <c r="I407" s="44"/>
      <c r="J407" s="44"/>
      <c r="K407" s="44"/>
      <c r="L407" s="44"/>
      <c r="M407" s="44"/>
      <c r="N407" s="44"/>
      <c r="O407" s="45"/>
      <c r="P407" s="40"/>
    </row>
    <row r="408" spans="1:16" s="41" customFormat="1" ht="30" customHeight="1">
      <c r="A408" s="34">
        <v>311</v>
      </c>
      <c r="B408" s="35" t="s">
        <v>397</v>
      </c>
      <c r="C408" s="34"/>
      <c r="D408" s="35"/>
      <c r="E408" s="35" t="s">
        <v>435</v>
      </c>
      <c r="F408" s="35" t="s">
        <v>13</v>
      </c>
      <c r="G408" s="46"/>
      <c r="H408" s="44"/>
      <c r="I408" s="44"/>
      <c r="J408" s="46"/>
      <c r="K408" s="44"/>
      <c r="L408" s="44"/>
      <c r="M408" s="44"/>
      <c r="N408" s="44"/>
      <c r="O408" s="45"/>
      <c r="P408" s="40"/>
    </row>
    <row r="409" spans="1:16" s="41" customFormat="1" ht="30" customHeight="1">
      <c r="A409" s="42">
        <v>312</v>
      </c>
      <c r="B409" s="43" t="s">
        <v>398</v>
      </c>
      <c r="C409" s="48"/>
      <c r="D409" s="49"/>
      <c r="E409" s="49" t="s">
        <v>435</v>
      </c>
      <c r="F409" s="49" t="s">
        <v>13</v>
      </c>
      <c r="G409" s="38"/>
      <c r="H409" s="44"/>
      <c r="I409" s="44"/>
      <c r="J409" s="38"/>
      <c r="K409" s="44"/>
      <c r="L409" s="44"/>
      <c r="M409" s="44"/>
      <c r="N409" s="44"/>
      <c r="O409" s="45"/>
      <c r="P409" s="40"/>
    </row>
    <row r="410" spans="1:16" s="41" customFormat="1" ht="30" customHeight="1">
      <c r="A410" s="71" t="s">
        <v>399</v>
      </c>
      <c r="B410" s="72"/>
      <c r="C410" s="73">
        <v>1</v>
      </c>
      <c r="D410" s="74"/>
      <c r="E410" s="74"/>
      <c r="F410" s="74"/>
      <c r="G410" s="75"/>
      <c r="H410" s="74"/>
      <c r="I410" s="74"/>
      <c r="J410" s="74"/>
      <c r="K410" s="74"/>
      <c r="L410" s="74"/>
      <c r="M410" s="74"/>
      <c r="N410" s="76"/>
      <c r="O410" s="45"/>
      <c r="P410" s="40"/>
    </row>
    <row r="411" spans="1:16" s="41" customFormat="1" ht="30" customHeight="1">
      <c r="A411" s="77"/>
      <c r="B411" s="72"/>
      <c r="C411" s="73">
        <v>35</v>
      </c>
      <c r="D411" s="74"/>
      <c r="E411" s="74"/>
      <c r="F411" s="74"/>
      <c r="G411" s="75"/>
      <c r="H411" s="74"/>
      <c r="I411" s="74"/>
      <c r="J411" s="74"/>
      <c r="K411" s="74"/>
      <c r="L411" s="74"/>
      <c r="M411" s="74"/>
      <c r="N411" s="76"/>
      <c r="O411" s="45"/>
      <c r="P411" s="40"/>
    </row>
    <row r="412" spans="1:16" s="41" customFormat="1" ht="30" customHeight="1">
      <c r="A412" s="77"/>
      <c r="B412" s="72"/>
      <c r="C412" s="73">
        <v>303</v>
      </c>
      <c r="D412" s="74"/>
      <c r="E412" s="74"/>
      <c r="F412" s="74"/>
      <c r="G412" s="75"/>
      <c r="H412" s="74"/>
      <c r="I412" s="74"/>
      <c r="J412" s="74"/>
      <c r="K412" s="74"/>
      <c r="L412" s="74"/>
      <c r="M412" s="74"/>
      <c r="N412" s="76"/>
      <c r="O412" s="45"/>
      <c r="P412" s="40"/>
    </row>
    <row r="413" spans="1:16" s="41" customFormat="1" ht="30" customHeight="1">
      <c r="A413" s="77"/>
      <c r="B413" s="72"/>
      <c r="C413" s="73">
        <v>314</v>
      </c>
      <c r="D413" s="74"/>
      <c r="E413" s="74"/>
      <c r="F413" s="74"/>
      <c r="G413" s="75"/>
      <c r="H413" s="74"/>
      <c r="I413" s="74"/>
      <c r="J413" s="74"/>
      <c r="K413" s="74"/>
      <c r="L413" s="74"/>
      <c r="M413" s="74"/>
      <c r="N413" s="76"/>
      <c r="O413" s="45"/>
      <c r="P413" s="40"/>
    </row>
    <row r="414" spans="1:16" s="41" customFormat="1" ht="30" customHeight="1">
      <c r="A414" s="77"/>
      <c r="B414" s="72"/>
      <c r="C414" s="73">
        <v>348</v>
      </c>
      <c r="D414" s="74"/>
      <c r="E414" s="74"/>
      <c r="F414" s="74"/>
      <c r="G414" s="75"/>
      <c r="H414" s="74"/>
      <c r="I414" s="74"/>
      <c r="J414" s="74"/>
      <c r="K414" s="74"/>
      <c r="L414" s="74"/>
      <c r="M414" s="74"/>
      <c r="N414" s="76"/>
      <c r="O414" s="45"/>
      <c r="P414" s="40"/>
    </row>
    <row r="415" spans="1:16" s="41" customFormat="1" ht="30" customHeight="1">
      <c r="A415" s="77"/>
      <c r="B415" s="72"/>
      <c r="C415" s="73">
        <v>349</v>
      </c>
      <c r="D415" s="74"/>
      <c r="E415" s="74"/>
      <c r="F415" s="74"/>
      <c r="G415" s="75"/>
      <c r="H415" s="74"/>
      <c r="I415" s="74"/>
      <c r="J415" s="74"/>
      <c r="K415" s="74"/>
      <c r="L415" s="74"/>
      <c r="M415" s="74"/>
      <c r="N415" s="76"/>
      <c r="O415" s="45"/>
      <c r="P415" s="40"/>
    </row>
    <row r="416" spans="1:16" s="41" customFormat="1" ht="30" customHeight="1">
      <c r="A416" s="77"/>
      <c r="B416" s="72"/>
      <c r="C416" s="73">
        <v>351</v>
      </c>
      <c r="D416" s="74"/>
      <c r="E416" s="74"/>
      <c r="F416" s="74"/>
      <c r="G416" s="75"/>
      <c r="H416" s="74"/>
      <c r="I416" s="74"/>
      <c r="J416" s="74"/>
      <c r="K416" s="74"/>
      <c r="L416" s="74"/>
      <c r="M416" s="74"/>
      <c r="N416" s="76"/>
      <c r="O416" s="45"/>
      <c r="P416" s="40"/>
    </row>
    <row r="417" spans="1:16" s="41" customFormat="1" ht="30" customHeight="1">
      <c r="A417" s="77"/>
      <c r="B417" s="72"/>
      <c r="C417" s="73">
        <v>352</v>
      </c>
      <c r="D417" s="74"/>
      <c r="E417" s="74"/>
      <c r="F417" s="74"/>
      <c r="G417" s="75"/>
      <c r="H417" s="74"/>
      <c r="I417" s="74"/>
      <c r="J417" s="74"/>
      <c r="K417" s="74"/>
      <c r="L417" s="74"/>
      <c r="M417" s="74"/>
      <c r="N417" s="76"/>
      <c r="O417" s="45"/>
      <c r="P417" s="40"/>
    </row>
    <row r="418" spans="1:16" ht="30" customHeight="1">
      <c r="A418" s="14"/>
      <c r="B418" s="17"/>
      <c r="C418" s="19">
        <v>353</v>
      </c>
      <c r="D418" s="20"/>
      <c r="E418" s="20"/>
      <c r="F418" s="20"/>
      <c r="G418" s="21"/>
      <c r="H418" s="20"/>
      <c r="I418" s="20"/>
      <c r="J418" s="20"/>
      <c r="K418" s="20"/>
      <c r="L418" s="20"/>
      <c r="M418" s="20"/>
      <c r="N418" s="22"/>
      <c r="O418" s="24"/>
      <c r="P418" s="8"/>
    </row>
    <row r="419" spans="1:16" ht="30" customHeight="1">
      <c r="A419" s="14"/>
      <c r="B419" s="17"/>
      <c r="C419" s="19">
        <v>354</v>
      </c>
      <c r="D419" s="20"/>
      <c r="E419" s="20"/>
      <c r="F419" s="20"/>
      <c r="G419" s="21"/>
      <c r="H419" s="20"/>
      <c r="I419" s="20"/>
      <c r="J419" s="20"/>
      <c r="K419" s="20"/>
      <c r="L419" s="20"/>
      <c r="M419" s="20"/>
      <c r="N419" s="22"/>
      <c r="O419" s="24"/>
      <c r="P419" s="8"/>
    </row>
    <row r="420" spans="1:16" ht="30" customHeight="1">
      <c r="A420" s="14"/>
      <c r="B420" s="17"/>
      <c r="C420" s="19">
        <v>355</v>
      </c>
      <c r="D420" s="20"/>
      <c r="E420" s="20"/>
      <c r="F420" s="20"/>
      <c r="G420" s="21"/>
      <c r="H420" s="20"/>
      <c r="I420" s="20"/>
      <c r="J420" s="20"/>
      <c r="K420" s="20"/>
      <c r="L420" s="20"/>
      <c r="M420" s="20"/>
      <c r="N420" s="22"/>
      <c r="O420" s="24"/>
      <c r="P420" s="8"/>
    </row>
    <row r="421" spans="1:16" ht="30" customHeight="1">
      <c r="A421" s="14"/>
      <c r="B421" s="17"/>
      <c r="C421" s="19">
        <v>356</v>
      </c>
      <c r="D421" s="20"/>
      <c r="E421" s="20"/>
      <c r="F421" s="20"/>
      <c r="G421" s="21"/>
      <c r="H421" s="20"/>
      <c r="I421" s="20"/>
      <c r="J421" s="20"/>
      <c r="K421" s="20"/>
      <c r="L421" s="20"/>
      <c r="M421" s="20"/>
      <c r="N421" s="22"/>
      <c r="O421" s="24"/>
      <c r="P421" s="8"/>
    </row>
    <row r="422" spans="1:16" ht="30" customHeight="1">
      <c r="A422" s="14"/>
      <c r="B422" s="17"/>
      <c r="C422" s="19">
        <v>357</v>
      </c>
      <c r="D422" s="20"/>
      <c r="E422" s="20"/>
      <c r="F422" s="20"/>
      <c r="G422" s="21"/>
      <c r="H422" s="20"/>
      <c r="I422" s="20"/>
      <c r="J422" s="20"/>
      <c r="K422" s="20"/>
      <c r="L422" s="20"/>
      <c r="M422" s="20"/>
      <c r="N422" s="22"/>
      <c r="O422" s="24"/>
      <c r="P422" s="8"/>
    </row>
    <row r="423" spans="1:16" ht="30" customHeight="1">
      <c r="A423" s="14"/>
      <c r="B423" s="17"/>
      <c r="C423" s="19">
        <v>358</v>
      </c>
      <c r="D423" s="20"/>
      <c r="E423" s="20"/>
      <c r="F423" s="20"/>
      <c r="G423" s="21"/>
      <c r="H423" s="20"/>
      <c r="I423" s="20"/>
      <c r="J423" s="20"/>
      <c r="K423" s="20"/>
      <c r="L423" s="20"/>
      <c r="M423" s="20"/>
      <c r="N423" s="22"/>
      <c r="O423" s="24"/>
      <c r="P423" s="8"/>
    </row>
    <row r="424" spans="1:16" ht="30" customHeight="1">
      <c r="A424" s="14"/>
      <c r="B424" s="17"/>
      <c r="C424" s="19">
        <v>364</v>
      </c>
      <c r="D424" s="20"/>
      <c r="E424" s="20"/>
      <c r="F424" s="20"/>
      <c r="G424" s="21"/>
      <c r="H424" s="20"/>
      <c r="I424" s="20"/>
      <c r="J424" s="20"/>
      <c r="K424" s="20"/>
      <c r="L424" s="20"/>
      <c r="M424" s="20"/>
      <c r="N424" s="22"/>
      <c r="O424" s="24"/>
      <c r="P424" s="8"/>
    </row>
    <row r="425" spans="1:16" ht="30" customHeight="1">
      <c r="A425" s="14"/>
      <c r="B425" s="17"/>
      <c r="C425" s="19">
        <v>375</v>
      </c>
      <c r="D425" s="20"/>
      <c r="E425" s="20"/>
      <c r="F425" s="20"/>
      <c r="G425" s="21"/>
      <c r="H425" s="20"/>
      <c r="I425" s="20"/>
      <c r="J425" s="20"/>
      <c r="K425" s="20"/>
      <c r="L425" s="20"/>
      <c r="M425" s="20"/>
      <c r="N425" s="22"/>
      <c r="O425" s="24"/>
      <c r="P425" s="8"/>
    </row>
    <row r="426" spans="1:16" ht="30" customHeight="1">
      <c r="A426" s="15"/>
      <c r="B426" s="18"/>
      <c r="C426" s="19">
        <v>381</v>
      </c>
      <c r="D426" s="20"/>
      <c r="E426" s="20"/>
      <c r="F426" s="20"/>
      <c r="G426" s="21"/>
      <c r="H426" s="20"/>
      <c r="I426" s="20"/>
      <c r="J426" s="20"/>
      <c r="K426" s="20"/>
      <c r="L426" s="20"/>
      <c r="M426" s="20"/>
      <c r="N426" s="22"/>
      <c r="O426" s="27"/>
      <c r="P426" s="8"/>
    </row>
    <row r="427" spans="1:16" ht="30" customHeight="1">
      <c r="A427" s="16"/>
      <c r="B427" s="16"/>
    </row>
  </sheetData>
  <mergeCells count="4">
    <mergeCell ref="G90:G91"/>
    <mergeCell ref="H90:H91"/>
    <mergeCell ref="J90:J91"/>
    <mergeCell ref="L90:L91"/>
  </mergeCells>
  <dataValidations count="2">
    <dataValidation type="list" allowBlank="1" showInputMessage="1" showErrorMessage="1" sqref="I3:I409">
      <formula1>"No Gap,Minor Gap,Significant Gap,Priority"</formula1>
    </dataValidation>
    <dataValidation type="list" allowBlank="1" showInputMessage="1" showErrorMessage="1" sqref="J45:J46 J92:J179 J84:J90 J181:J279 J48:J81 J3:J43 J282:J319 J325:J339 J341:J426">
      <formula1>"Ready, Improvements Needed, Significant Improvements Needed, Priority"</formula1>
    </dataValidation>
  </dataValidations>
  <pageMargins left="0.70866141732283472" right="0.70866141732283472" top="0.74803149606299213" bottom="0.74803149606299213" header="0.31496062992125984" footer="0.31496062992125984"/>
  <pageSetup paperSize="8" scale="46" fitToHeight="0" orientation="landscape" r:id="rId1"/>
</worksheet>
</file>

<file path=xl/worksheets/sheet3.xml><?xml version="1.0" encoding="utf-8"?>
<worksheet xmlns="http://schemas.openxmlformats.org/spreadsheetml/2006/main" xmlns:r="http://schemas.openxmlformats.org/officeDocument/2006/relationships">
  <sheetPr codeName="Sheet3">
    <pageSetUpPr fitToPage="1"/>
  </sheetPr>
  <dimension ref="A1:P427"/>
  <sheetViews>
    <sheetView zoomScale="80" zoomScaleNormal="80" workbookViewId="0">
      <pane xSplit="5" ySplit="2" topLeftCell="F3" activePane="bottomRight" state="frozen"/>
      <selection pane="topRight" activeCell="F1" sqref="F1"/>
      <selection pane="bottomLeft" activeCell="A3" sqref="A3"/>
      <selection pane="bottomRight" activeCell="G204" sqref="G204"/>
    </sheetView>
  </sheetViews>
  <sheetFormatPr defaultRowHeight="15"/>
  <cols>
    <col min="1" max="1" width="11.7109375" customWidth="1"/>
    <col min="2" max="2" width="31.85546875" customWidth="1"/>
    <col min="3" max="3" width="17.85546875" customWidth="1"/>
    <col min="4" max="4" width="25.5703125" customWidth="1"/>
    <col min="5" max="5" width="20.42578125" customWidth="1"/>
    <col min="6" max="6" width="27.7109375" customWidth="1"/>
    <col min="7" max="7" width="53.5703125" customWidth="1"/>
    <col min="8" max="8" width="37.7109375" customWidth="1"/>
    <col min="9" max="9" width="17.85546875" customWidth="1"/>
    <col min="10" max="10" width="21.28515625" customWidth="1"/>
    <col min="11" max="11" width="48.42578125" customWidth="1"/>
    <col min="12" max="12" width="37.7109375" customWidth="1"/>
    <col min="13" max="13" width="31.42578125" customWidth="1"/>
    <col min="14" max="14" width="30.42578125" customWidth="1"/>
    <col min="15" max="15" width="12.5703125" style="28" hidden="1" customWidth="1"/>
    <col min="20" max="20" width="8.7109375" customWidth="1"/>
  </cols>
  <sheetData>
    <row r="1" spans="1:16" ht="15.75" thickBot="1">
      <c r="A1" s="1" t="s">
        <v>0</v>
      </c>
      <c r="B1" s="2"/>
      <c r="C1" s="3"/>
      <c r="D1" s="4"/>
      <c r="E1" s="2"/>
      <c r="F1" s="5" t="s">
        <v>1</v>
      </c>
      <c r="G1" s="5"/>
      <c r="H1" s="6"/>
      <c r="I1" s="6"/>
      <c r="J1" s="6"/>
      <c r="K1" s="6"/>
      <c r="L1" s="7" t="s">
        <v>2</v>
      </c>
      <c r="M1" s="7"/>
      <c r="N1" s="7"/>
      <c r="O1" s="25"/>
      <c r="P1" s="8"/>
    </row>
    <row r="2" spans="1:16" ht="56.25" customHeight="1">
      <c r="A2" s="9" t="s">
        <v>3</v>
      </c>
      <c r="B2" s="9" t="s">
        <v>4</v>
      </c>
      <c r="C2" s="10" t="s">
        <v>5</v>
      </c>
      <c r="D2" s="11" t="s">
        <v>6</v>
      </c>
      <c r="E2" s="11" t="s">
        <v>434</v>
      </c>
      <c r="F2" s="12" t="s">
        <v>579</v>
      </c>
      <c r="G2" s="12" t="s">
        <v>7</v>
      </c>
      <c r="H2" s="12" t="s">
        <v>8</v>
      </c>
      <c r="I2" s="12" t="s">
        <v>451</v>
      </c>
      <c r="J2" s="12" t="s">
        <v>450</v>
      </c>
      <c r="K2" s="12" t="s">
        <v>510</v>
      </c>
      <c r="L2" s="13" t="s">
        <v>9</v>
      </c>
      <c r="M2" s="13" t="s">
        <v>10</v>
      </c>
      <c r="N2" s="23" t="s">
        <v>11</v>
      </c>
      <c r="O2" s="26" t="s">
        <v>433</v>
      </c>
      <c r="P2" s="8"/>
    </row>
    <row r="3" spans="1:16" s="41" customFormat="1" ht="30" customHeight="1">
      <c r="A3" s="37">
        <v>1</v>
      </c>
      <c r="B3" s="81" t="s">
        <v>12</v>
      </c>
      <c r="C3" s="37"/>
      <c r="D3" s="81"/>
      <c r="E3" s="81" t="s">
        <v>435</v>
      </c>
      <c r="F3" s="81" t="s">
        <v>13</v>
      </c>
      <c r="G3" s="38"/>
      <c r="H3" s="38"/>
      <c r="I3" s="38"/>
      <c r="J3" s="38"/>
      <c r="K3" s="38"/>
      <c r="L3" s="38"/>
      <c r="M3" s="38"/>
      <c r="N3" s="38"/>
      <c r="O3" s="39"/>
      <c r="P3" s="40"/>
    </row>
    <row r="4" spans="1:16" s="41" customFormat="1" ht="30" customHeight="1">
      <c r="A4" s="42">
        <v>2</v>
      </c>
      <c r="B4" s="43" t="s">
        <v>14</v>
      </c>
      <c r="C4" s="42"/>
      <c r="D4" s="43"/>
      <c r="E4" s="43" t="s">
        <v>435</v>
      </c>
      <c r="F4" s="43" t="s">
        <v>13</v>
      </c>
      <c r="G4" s="44"/>
      <c r="H4" s="44"/>
      <c r="I4" s="44"/>
      <c r="J4" s="44"/>
      <c r="K4" s="44"/>
      <c r="L4" s="44"/>
      <c r="M4" s="44"/>
      <c r="N4" s="44"/>
      <c r="O4" s="45"/>
      <c r="P4" s="40"/>
    </row>
    <row r="5" spans="1:16" s="41" customFormat="1" ht="30" customHeight="1">
      <c r="A5" s="34">
        <v>3</v>
      </c>
      <c r="B5" s="35" t="s">
        <v>15</v>
      </c>
      <c r="C5" s="34"/>
      <c r="D5" s="35"/>
      <c r="E5" s="35" t="s">
        <v>435</v>
      </c>
      <c r="F5" s="35" t="s">
        <v>13</v>
      </c>
      <c r="G5" s="46"/>
      <c r="H5" s="46"/>
      <c r="I5" s="46"/>
      <c r="J5" s="46"/>
      <c r="K5" s="46"/>
      <c r="L5" s="46"/>
      <c r="M5" s="46"/>
      <c r="N5" s="46"/>
      <c r="O5" s="45"/>
      <c r="P5" s="40"/>
    </row>
    <row r="6" spans="1:16" s="41" customFormat="1" ht="30" customHeight="1">
      <c r="A6" s="42">
        <v>4</v>
      </c>
      <c r="B6" s="43" t="s">
        <v>16</v>
      </c>
      <c r="C6" s="42"/>
      <c r="D6" s="43"/>
      <c r="E6" s="43" t="s">
        <v>435</v>
      </c>
      <c r="F6" s="43" t="s">
        <v>13</v>
      </c>
      <c r="G6" s="44"/>
      <c r="H6" s="44"/>
      <c r="I6" s="44"/>
      <c r="J6" s="44"/>
      <c r="K6" s="44"/>
      <c r="L6" s="44"/>
      <c r="M6" s="44"/>
      <c r="N6" s="44"/>
      <c r="O6" s="45"/>
      <c r="P6" s="40"/>
    </row>
    <row r="7" spans="1:16" s="41" customFormat="1" ht="30" customHeight="1">
      <c r="A7" s="34">
        <v>5</v>
      </c>
      <c r="B7" s="35" t="s">
        <v>17</v>
      </c>
      <c r="C7" s="34"/>
      <c r="D7" s="35"/>
      <c r="E7" s="35" t="s">
        <v>435</v>
      </c>
      <c r="F7" s="35" t="s">
        <v>13</v>
      </c>
      <c r="G7" s="46"/>
      <c r="H7" s="46"/>
      <c r="I7" s="46"/>
      <c r="J7" s="46"/>
      <c r="K7" s="46"/>
      <c r="L7" s="46"/>
      <c r="M7" s="46"/>
      <c r="N7" s="46"/>
      <c r="O7" s="45"/>
      <c r="P7" s="40"/>
    </row>
    <row r="8" spans="1:16" s="41" customFormat="1" ht="30" customHeight="1">
      <c r="A8" s="42">
        <v>6</v>
      </c>
      <c r="B8" s="43" t="s">
        <v>18</v>
      </c>
      <c r="C8" s="42"/>
      <c r="D8" s="43"/>
      <c r="E8" s="43" t="s">
        <v>435</v>
      </c>
      <c r="F8" s="43" t="s">
        <v>13</v>
      </c>
      <c r="G8" s="44"/>
      <c r="H8" s="44"/>
      <c r="I8" s="44"/>
      <c r="J8" s="44"/>
      <c r="K8" s="44"/>
      <c r="L8" s="44"/>
      <c r="M8" s="44"/>
      <c r="N8" s="44"/>
      <c r="O8" s="45"/>
      <c r="P8" s="40"/>
    </row>
    <row r="9" spans="1:16" s="41" customFormat="1" ht="30" customHeight="1">
      <c r="A9" s="34">
        <v>7</v>
      </c>
      <c r="B9" s="35" t="s">
        <v>19</v>
      </c>
      <c r="C9" s="34"/>
      <c r="D9" s="35"/>
      <c r="E9" s="35" t="s">
        <v>435</v>
      </c>
      <c r="F9" s="35" t="s">
        <v>13</v>
      </c>
      <c r="G9" s="46"/>
      <c r="H9" s="46"/>
      <c r="I9" s="46"/>
      <c r="J9" s="46"/>
      <c r="K9" s="46"/>
      <c r="L9" s="46"/>
      <c r="M9" s="46"/>
      <c r="N9" s="46"/>
      <c r="O9" s="45"/>
      <c r="P9" s="40"/>
    </row>
    <row r="10" spans="1:16" s="41" customFormat="1" ht="30" customHeight="1">
      <c r="A10" s="42">
        <v>8</v>
      </c>
      <c r="B10" s="43" t="s">
        <v>20</v>
      </c>
      <c r="C10" s="42"/>
      <c r="D10" s="43"/>
      <c r="E10" s="43" t="s">
        <v>435</v>
      </c>
      <c r="F10" s="43" t="s">
        <v>13</v>
      </c>
      <c r="G10" s="44"/>
      <c r="H10" s="44"/>
      <c r="I10" s="44"/>
      <c r="J10" s="44"/>
      <c r="K10" s="44"/>
      <c r="L10" s="44"/>
      <c r="M10" s="44"/>
      <c r="N10" s="44"/>
      <c r="O10" s="45"/>
      <c r="P10" s="40"/>
    </row>
    <row r="11" spans="1:16" s="41" customFormat="1" ht="30" customHeight="1">
      <c r="A11" s="34">
        <v>9</v>
      </c>
      <c r="B11" s="35" t="s">
        <v>21</v>
      </c>
      <c r="C11" s="34"/>
      <c r="D11" s="35"/>
      <c r="E11" s="35" t="s">
        <v>435</v>
      </c>
      <c r="F11" s="35" t="s">
        <v>13</v>
      </c>
      <c r="G11" s="46"/>
      <c r="H11" s="46"/>
      <c r="I11" s="46"/>
      <c r="J11" s="46"/>
      <c r="K11" s="46"/>
      <c r="L11" s="46"/>
      <c r="M11" s="46"/>
      <c r="N11" s="46"/>
      <c r="O11" s="45"/>
      <c r="P11" s="40"/>
    </row>
    <row r="12" spans="1:16" s="41" customFormat="1" ht="30" customHeight="1">
      <c r="A12" s="42">
        <v>10</v>
      </c>
      <c r="B12" s="43" t="s">
        <v>22</v>
      </c>
      <c r="C12" s="42"/>
      <c r="D12" s="43"/>
      <c r="E12" s="43" t="s">
        <v>435</v>
      </c>
      <c r="F12" s="43" t="s">
        <v>13</v>
      </c>
      <c r="G12" s="44"/>
      <c r="H12" s="44"/>
      <c r="I12" s="44"/>
      <c r="J12" s="44"/>
      <c r="K12" s="44"/>
      <c r="L12" s="44"/>
      <c r="M12" s="44"/>
      <c r="N12" s="44"/>
      <c r="O12" s="45"/>
      <c r="P12" s="40"/>
    </row>
    <row r="13" spans="1:16" s="41" customFormat="1" ht="30" customHeight="1">
      <c r="A13" s="34">
        <v>11</v>
      </c>
      <c r="B13" s="35" t="s">
        <v>23</v>
      </c>
      <c r="C13" s="34"/>
      <c r="D13" s="35"/>
      <c r="E13" s="35" t="s">
        <v>435</v>
      </c>
      <c r="F13" s="35" t="s">
        <v>13</v>
      </c>
      <c r="G13" s="46"/>
      <c r="H13" s="46"/>
      <c r="I13" s="46"/>
      <c r="J13" s="46"/>
      <c r="K13" s="46"/>
      <c r="L13" s="46"/>
      <c r="M13" s="46"/>
      <c r="N13" s="46"/>
      <c r="O13" s="45"/>
      <c r="P13" s="40"/>
    </row>
    <row r="14" spans="1:16" s="41" customFormat="1" ht="30" customHeight="1">
      <c r="A14" s="42">
        <v>12</v>
      </c>
      <c r="B14" s="43" t="s">
        <v>24</v>
      </c>
      <c r="C14" s="42"/>
      <c r="D14" s="43"/>
      <c r="E14" s="43" t="s">
        <v>435</v>
      </c>
      <c r="F14" s="43" t="s">
        <v>13</v>
      </c>
      <c r="G14" s="44"/>
      <c r="H14" s="44"/>
      <c r="I14" s="44"/>
      <c r="J14" s="44"/>
      <c r="K14" s="44"/>
      <c r="L14" s="44"/>
      <c r="M14" s="44"/>
      <c r="N14" s="44"/>
      <c r="O14" s="45"/>
      <c r="P14" s="40"/>
    </row>
    <row r="15" spans="1:16" s="41" customFormat="1" ht="30" customHeight="1">
      <c r="A15" s="34">
        <v>13</v>
      </c>
      <c r="B15" s="35" t="s">
        <v>25</v>
      </c>
      <c r="C15" s="34"/>
      <c r="D15" s="35"/>
      <c r="E15" s="35" t="s">
        <v>435</v>
      </c>
      <c r="F15" s="35" t="s">
        <v>13</v>
      </c>
      <c r="G15" s="46"/>
      <c r="H15" s="46"/>
      <c r="I15" s="46"/>
      <c r="J15" s="46"/>
      <c r="K15" s="46"/>
      <c r="L15" s="46"/>
      <c r="M15" s="46"/>
      <c r="N15" s="46"/>
      <c r="O15" s="45"/>
      <c r="P15" s="40"/>
    </row>
    <row r="16" spans="1:16" s="41" customFormat="1" ht="30" customHeight="1">
      <c r="A16" s="42">
        <v>14</v>
      </c>
      <c r="B16" s="43" t="s">
        <v>26</v>
      </c>
      <c r="C16" s="42"/>
      <c r="D16" s="43"/>
      <c r="E16" s="43" t="s">
        <v>435</v>
      </c>
      <c r="F16" s="43" t="s">
        <v>27</v>
      </c>
      <c r="G16" s="44"/>
      <c r="H16" s="44"/>
      <c r="I16" s="44"/>
      <c r="J16" s="44"/>
      <c r="K16" s="44"/>
      <c r="L16" s="44"/>
      <c r="M16" s="44"/>
      <c r="N16" s="44"/>
      <c r="O16" s="45"/>
      <c r="P16" s="40"/>
    </row>
    <row r="17" spans="1:16" s="41" customFormat="1" ht="30" customHeight="1">
      <c r="A17" s="34">
        <v>15</v>
      </c>
      <c r="B17" s="35" t="s">
        <v>28</v>
      </c>
      <c r="C17" s="34"/>
      <c r="D17" s="35"/>
      <c r="E17" s="35" t="s">
        <v>435</v>
      </c>
      <c r="F17" s="35" t="s">
        <v>27</v>
      </c>
      <c r="G17" s="46"/>
      <c r="H17" s="46"/>
      <c r="I17" s="46"/>
      <c r="J17" s="46"/>
      <c r="K17" s="46"/>
      <c r="L17" s="46"/>
      <c r="M17" s="46"/>
      <c r="N17" s="46"/>
      <c r="O17" s="45"/>
      <c r="P17" s="40"/>
    </row>
    <row r="18" spans="1:16" s="41" customFormat="1" ht="30" customHeight="1">
      <c r="A18" s="42">
        <v>16</v>
      </c>
      <c r="B18" s="43" t="s">
        <v>29</v>
      </c>
      <c r="C18" s="42"/>
      <c r="D18" s="43"/>
      <c r="E18" s="43" t="s">
        <v>435</v>
      </c>
      <c r="F18" s="43" t="s">
        <v>27</v>
      </c>
      <c r="G18" s="44"/>
      <c r="H18" s="44"/>
      <c r="I18" s="44"/>
      <c r="J18" s="44"/>
      <c r="K18" s="44"/>
      <c r="L18" s="44"/>
      <c r="M18" s="44"/>
      <c r="N18" s="44"/>
      <c r="O18" s="45"/>
      <c r="P18" s="40"/>
    </row>
    <row r="19" spans="1:16" s="41" customFormat="1" ht="30" customHeight="1">
      <c r="A19" s="34">
        <v>17</v>
      </c>
      <c r="B19" s="35" t="s">
        <v>30</v>
      </c>
      <c r="C19" s="34"/>
      <c r="D19" s="35"/>
      <c r="E19" s="35" t="s">
        <v>435</v>
      </c>
      <c r="F19" s="35" t="s">
        <v>27</v>
      </c>
      <c r="G19" s="46"/>
      <c r="H19" s="46"/>
      <c r="I19" s="46"/>
      <c r="J19" s="46"/>
      <c r="K19" s="46"/>
      <c r="L19" s="46"/>
      <c r="M19" s="46"/>
      <c r="N19" s="46"/>
      <c r="O19" s="45"/>
      <c r="P19" s="40"/>
    </row>
    <row r="20" spans="1:16" s="41" customFormat="1" ht="30" customHeight="1">
      <c r="A20" s="42">
        <v>18</v>
      </c>
      <c r="B20" s="43" t="s">
        <v>31</v>
      </c>
      <c r="C20" s="42"/>
      <c r="D20" s="43"/>
      <c r="E20" s="43" t="s">
        <v>435</v>
      </c>
      <c r="F20" s="43" t="s">
        <v>27</v>
      </c>
      <c r="G20" s="44"/>
      <c r="H20" s="44"/>
      <c r="I20" s="44"/>
      <c r="J20" s="44"/>
      <c r="K20" s="44"/>
      <c r="L20" s="44"/>
      <c r="M20" s="44"/>
      <c r="N20" s="44"/>
      <c r="O20" s="45"/>
      <c r="P20" s="40"/>
    </row>
    <row r="21" spans="1:16" s="41" customFormat="1" ht="30" customHeight="1">
      <c r="A21" s="34">
        <v>19</v>
      </c>
      <c r="B21" s="35" t="s">
        <v>32</v>
      </c>
      <c r="C21" s="34"/>
      <c r="D21" s="35"/>
      <c r="E21" s="35" t="s">
        <v>435</v>
      </c>
      <c r="F21" s="35" t="s">
        <v>27</v>
      </c>
      <c r="G21" s="46"/>
      <c r="H21" s="46"/>
      <c r="I21" s="46"/>
      <c r="J21" s="46"/>
      <c r="K21" s="46"/>
      <c r="L21" s="46"/>
      <c r="M21" s="46"/>
      <c r="N21" s="46"/>
      <c r="O21" s="45"/>
      <c r="P21" s="40"/>
    </row>
    <row r="22" spans="1:16" s="41" customFormat="1" ht="30" customHeight="1">
      <c r="A22" s="42">
        <v>20</v>
      </c>
      <c r="B22" s="43" t="s">
        <v>33</v>
      </c>
      <c r="C22" s="42"/>
      <c r="D22" s="43"/>
      <c r="E22" s="43" t="s">
        <v>435</v>
      </c>
      <c r="F22" s="43" t="s">
        <v>13</v>
      </c>
      <c r="G22" s="44"/>
      <c r="H22" s="44"/>
      <c r="I22" s="44"/>
      <c r="J22" s="44"/>
      <c r="K22" s="44"/>
      <c r="L22" s="44"/>
      <c r="M22" s="44"/>
      <c r="N22" s="44"/>
      <c r="O22" s="45"/>
      <c r="P22" s="40"/>
    </row>
    <row r="23" spans="1:16" s="41" customFormat="1" ht="30" customHeight="1">
      <c r="A23" s="34">
        <v>21</v>
      </c>
      <c r="B23" s="35" t="s">
        <v>34</v>
      </c>
      <c r="C23" s="34"/>
      <c r="D23" s="35"/>
      <c r="E23" s="35" t="s">
        <v>435</v>
      </c>
      <c r="F23" s="35" t="s">
        <v>35</v>
      </c>
      <c r="G23" s="46"/>
      <c r="H23" s="46"/>
      <c r="I23" s="46"/>
      <c r="J23" s="46"/>
      <c r="K23" s="46"/>
      <c r="L23" s="46"/>
      <c r="M23" s="46"/>
      <c r="N23" s="46"/>
      <c r="O23" s="45"/>
      <c r="P23" s="40"/>
    </row>
    <row r="24" spans="1:16" s="41" customFormat="1" ht="30" customHeight="1">
      <c r="A24" s="42">
        <v>22</v>
      </c>
      <c r="B24" s="43" t="s">
        <v>36</v>
      </c>
      <c r="C24" s="42"/>
      <c r="D24" s="43"/>
      <c r="E24" s="43" t="s">
        <v>435</v>
      </c>
      <c r="F24" s="43" t="s">
        <v>35</v>
      </c>
      <c r="G24" s="44"/>
      <c r="H24" s="44"/>
      <c r="I24" s="44"/>
      <c r="J24" s="44"/>
      <c r="K24" s="44"/>
      <c r="L24" s="44"/>
      <c r="M24" s="44"/>
      <c r="N24" s="44"/>
      <c r="O24" s="45"/>
      <c r="P24" s="40"/>
    </row>
    <row r="25" spans="1:16" s="41" customFormat="1" ht="30" customHeight="1">
      <c r="A25" s="34">
        <v>23</v>
      </c>
      <c r="B25" s="35" t="s">
        <v>37</v>
      </c>
      <c r="C25" s="34"/>
      <c r="D25" s="35"/>
      <c r="E25" s="35" t="s">
        <v>435</v>
      </c>
      <c r="F25" s="35" t="s">
        <v>27</v>
      </c>
      <c r="G25" s="46"/>
      <c r="H25" s="46"/>
      <c r="I25" s="46"/>
      <c r="J25" s="46"/>
      <c r="K25" s="46"/>
      <c r="L25" s="46"/>
      <c r="M25" s="46"/>
      <c r="N25" s="46"/>
      <c r="O25" s="45"/>
      <c r="P25" s="40"/>
    </row>
    <row r="26" spans="1:16" s="41" customFormat="1" ht="30" customHeight="1">
      <c r="A26" s="42">
        <v>24</v>
      </c>
      <c r="B26" s="43" t="s">
        <v>38</v>
      </c>
      <c r="C26" s="42"/>
      <c r="D26" s="43"/>
      <c r="E26" s="43" t="s">
        <v>435</v>
      </c>
      <c r="F26" s="43" t="s">
        <v>27</v>
      </c>
      <c r="G26" s="44"/>
      <c r="H26" s="44"/>
      <c r="I26" s="44"/>
      <c r="J26" s="44"/>
      <c r="K26" s="44"/>
      <c r="L26" s="44"/>
      <c r="M26" s="44"/>
      <c r="N26" s="44"/>
      <c r="O26" s="45"/>
      <c r="P26" s="40"/>
    </row>
    <row r="27" spans="1:16" s="41" customFormat="1" ht="30" customHeight="1">
      <c r="A27" s="34">
        <v>25</v>
      </c>
      <c r="B27" s="35" t="s">
        <v>39</v>
      </c>
      <c r="C27" s="34"/>
      <c r="D27" s="35"/>
      <c r="E27" s="35" t="s">
        <v>435</v>
      </c>
      <c r="F27" s="35" t="s">
        <v>27</v>
      </c>
      <c r="G27" s="46"/>
      <c r="H27" s="46"/>
      <c r="I27" s="46"/>
      <c r="J27" s="46"/>
      <c r="K27" s="46"/>
      <c r="L27" s="46"/>
      <c r="M27" s="46"/>
      <c r="N27" s="46"/>
      <c r="O27" s="45"/>
      <c r="P27" s="40"/>
    </row>
    <row r="28" spans="1:16" s="41" customFormat="1" ht="30" customHeight="1">
      <c r="A28" s="42">
        <v>26</v>
      </c>
      <c r="B28" s="43" t="s">
        <v>40</v>
      </c>
      <c r="C28" s="42"/>
      <c r="D28" s="43"/>
      <c r="E28" s="43" t="s">
        <v>435</v>
      </c>
      <c r="F28" s="43" t="s">
        <v>27</v>
      </c>
      <c r="G28" s="44"/>
      <c r="H28" s="44"/>
      <c r="I28" s="44"/>
      <c r="J28" s="44"/>
      <c r="K28" s="44"/>
      <c r="L28" s="44"/>
      <c r="M28" s="44"/>
      <c r="N28" s="44"/>
      <c r="O28" s="45"/>
      <c r="P28" s="40"/>
    </row>
    <row r="29" spans="1:16" s="41" customFormat="1" ht="30" customHeight="1">
      <c r="A29" s="34">
        <v>27</v>
      </c>
      <c r="B29" s="35" t="s">
        <v>41</v>
      </c>
      <c r="C29" s="34"/>
      <c r="D29" s="35" t="s">
        <v>42</v>
      </c>
      <c r="E29" s="35" t="s">
        <v>435</v>
      </c>
      <c r="F29" s="35" t="s">
        <v>35</v>
      </c>
      <c r="G29" s="46"/>
      <c r="H29" s="46"/>
      <c r="I29" s="46"/>
      <c r="J29" s="46"/>
      <c r="K29" s="46"/>
      <c r="L29" s="46"/>
      <c r="M29" s="46"/>
      <c r="N29" s="46"/>
      <c r="O29" s="45"/>
      <c r="P29" s="40"/>
    </row>
    <row r="30" spans="1:16" s="41" customFormat="1" ht="30" customHeight="1">
      <c r="A30" s="42">
        <v>28</v>
      </c>
      <c r="B30" s="43" t="s">
        <v>43</v>
      </c>
      <c r="C30" s="42"/>
      <c r="D30" s="43"/>
      <c r="E30" s="43" t="s">
        <v>435</v>
      </c>
      <c r="F30" s="43" t="s">
        <v>35</v>
      </c>
      <c r="G30" s="44"/>
      <c r="H30" s="44"/>
      <c r="I30" s="44"/>
      <c r="J30" s="44"/>
      <c r="K30" s="44"/>
      <c r="L30" s="44"/>
      <c r="M30" s="44"/>
      <c r="N30" s="44"/>
      <c r="O30" s="45"/>
      <c r="P30" s="40"/>
    </row>
    <row r="31" spans="1:16" s="41" customFormat="1" ht="30" customHeight="1">
      <c r="A31" s="34">
        <v>29</v>
      </c>
      <c r="B31" s="35" t="s">
        <v>44</v>
      </c>
      <c r="C31" s="34"/>
      <c r="D31" s="35" t="s">
        <v>42</v>
      </c>
      <c r="E31" s="35" t="s">
        <v>435</v>
      </c>
      <c r="F31" s="35" t="s">
        <v>35</v>
      </c>
      <c r="G31" s="46"/>
      <c r="H31" s="46"/>
      <c r="I31" s="46"/>
      <c r="J31" s="46"/>
      <c r="K31" s="46"/>
      <c r="L31" s="46"/>
      <c r="M31" s="46"/>
      <c r="N31" s="46"/>
      <c r="O31" s="45"/>
      <c r="P31" s="40"/>
    </row>
    <row r="32" spans="1:16" s="41" customFormat="1" ht="30" customHeight="1">
      <c r="A32" s="42">
        <v>30</v>
      </c>
      <c r="B32" s="43" t="s">
        <v>45</v>
      </c>
      <c r="C32" s="42"/>
      <c r="D32" s="43"/>
      <c r="E32" s="43" t="s">
        <v>435</v>
      </c>
      <c r="F32" s="43" t="s">
        <v>35</v>
      </c>
      <c r="G32" s="44"/>
      <c r="H32" s="44"/>
      <c r="I32" s="44"/>
      <c r="J32" s="44"/>
      <c r="K32" s="44"/>
      <c r="L32" s="44"/>
      <c r="M32" s="44"/>
      <c r="N32" s="44"/>
      <c r="O32" s="45"/>
      <c r="P32" s="40"/>
    </row>
    <row r="33" spans="1:16" s="41" customFormat="1" ht="30" customHeight="1">
      <c r="A33" s="34">
        <v>31</v>
      </c>
      <c r="B33" s="35" t="s">
        <v>46</v>
      </c>
      <c r="C33" s="34" t="s">
        <v>400</v>
      </c>
      <c r="D33" s="35"/>
      <c r="E33" s="35" t="s">
        <v>435</v>
      </c>
      <c r="F33" s="35" t="s">
        <v>35</v>
      </c>
      <c r="G33" s="46"/>
      <c r="H33" s="46"/>
      <c r="I33" s="46"/>
      <c r="J33" s="46"/>
      <c r="K33" s="46"/>
      <c r="L33" s="46"/>
      <c r="M33" s="46"/>
      <c r="N33" s="46"/>
      <c r="O33" s="45"/>
      <c r="P33" s="40"/>
    </row>
    <row r="34" spans="1:16" s="41" customFormat="1" ht="30" customHeight="1">
      <c r="A34" s="42">
        <v>32</v>
      </c>
      <c r="B34" s="43" t="s">
        <v>47</v>
      </c>
      <c r="C34" s="42"/>
      <c r="D34" s="43"/>
      <c r="E34" s="43" t="s">
        <v>435</v>
      </c>
      <c r="F34" s="43" t="s">
        <v>35</v>
      </c>
      <c r="G34" s="44"/>
      <c r="H34" s="44"/>
      <c r="I34" s="44"/>
      <c r="J34" s="44"/>
      <c r="K34" s="44"/>
      <c r="L34" s="44"/>
      <c r="M34" s="44"/>
      <c r="N34" s="44"/>
      <c r="O34" s="45"/>
      <c r="P34" s="40"/>
    </row>
    <row r="35" spans="1:16" s="41" customFormat="1" ht="30" customHeight="1">
      <c r="A35" s="34">
        <v>33</v>
      </c>
      <c r="B35" s="35" t="s">
        <v>48</v>
      </c>
      <c r="C35" s="34"/>
      <c r="D35" s="35"/>
      <c r="E35" s="35" t="s">
        <v>435</v>
      </c>
      <c r="F35" s="35" t="s">
        <v>35</v>
      </c>
      <c r="G35" s="46"/>
      <c r="H35" s="46"/>
      <c r="I35" s="46"/>
      <c r="J35" s="46"/>
      <c r="K35" s="46"/>
      <c r="L35" s="46"/>
      <c r="M35" s="46"/>
      <c r="N35" s="46"/>
      <c r="O35" s="45"/>
      <c r="P35" s="40"/>
    </row>
    <row r="36" spans="1:16" s="41" customFormat="1" ht="30" customHeight="1">
      <c r="A36" s="42">
        <v>34</v>
      </c>
      <c r="B36" s="43" t="s">
        <v>49</v>
      </c>
      <c r="C36" s="42"/>
      <c r="D36" s="43" t="s">
        <v>42</v>
      </c>
      <c r="E36" s="43" t="s">
        <v>435</v>
      </c>
      <c r="F36" s="43" t="s">
        <v>35</v>
      </c>
      <c r="G36" s="44"/>
      <c r="H36" s="44"/>
      <c r="I36" s="44"/>
      <c r="J36" s="44"/>
      <c r="K36" s="44"/>
      <c r="L36" s="44"/>
      <c r="M36" s="44"/>
      <c r="N36" s="44"/>
      <c r="O36" s="45"/>
      <c r="P36" s="40"/>
    </row>
    <row r="37" spans="1:16" s="41" customFormat="1" ht="30" customHeight="1">
      <c r="A37" s="34">
        <v>35</v>
      </c>
      <c r="B37" s="35" t="s">
        <v>50</v>
      </c>
      <c r="C37" s="34" t="s">
        <v>401</v>
      </c>
      <c r="D37" s="35"/>
      <c r="E37" s="35" t="s">
        <v>432</v>
      </c>
      <c r="F37" s="35"/>
      <c r="G37" s="80" t="s">
        <v>447</v>
      </c>
      <c r="H37" s="35" t="s">
        <v>540</v>
      </c>
      <c r="I37" s="35" t="s">
        <v>593</v>
      </c>
      <c r="J37" s="80" t="s">
        <v>462</v>
      </c>
      <c r="K37" s="35" t="s">
        <v>549</v>
      </c>
      <c r="L37" s="35" t="s">
        <v>51</v>
      </c>
      <c r="M37" s="35" t="s">
        <v>496</v>
      </c>
      <c r="N37" s="47"/>
      <c r="O37" s="45"/>
      <c r="P37" s="40"/>
    </row>
    <row r="38" spans="1:16" s="41" customFormat="1" ht="30" customHeight="1">
      <c r="A38" s="34"/>
      <c r="B38" s="35"/>
      <c r="C38" s="34"/>
      <c r="D38" s="35"/>
      <c r="E38" s="35"/>
      <c r="F38" s="35"/>
      <c r="G38" s="80" t="s">
        <v>543</v>
      </c>
      <c r="H38" s="35" t="s">
        <v>541</v>
      </c>
      <c r="I38" s="35"/>
      <c r="J38" s="80"/>
      <c r="K38" s="35" t="s">
        <v>544</v>
      </c>
      <c r="L38" s="35" t="s">
        <v>548</v>
      </c>
      <c r="M38" s="35"/>
      <c r="N38" s="47"/>
      <c r="O38" s="45"/>
      <c r="P38" s="40"/>
    </row>
    <row r="39" spans="1:16" s="41" customFormat="1" ht="30" customHeight="1">
      <c r="A39" s="34"/>
      <c r="B39" s="35"/>
      <c r="C39" s="34"/>
      <c r="D39" s="35"/>
      <c r="E39" s="35"/>
      <c r="F39" s="35"/>
      <c r="G39" s="80" t="s">
        <v>449</v>
      </c>
      <c r="H39" s="35"/>
      <c r="I39" s="35"/>
      <c r="J39" s="80"/>
      <c r="K39" s="35" t="s">
        <v>545</v>
      </c>
      <c r="L39" s="35"/>
      <c r="M39" s="35"/>
      <c r="N39" s="47"/>
      <c r="O39" s="45"/>
      <c r="P39" s="40"/>
    </row>
    <row r="40" spans="1:16" s="41" customFormat="1" ht="30" customHeight="1">
      <c r="A40" s="42">
        <v>36</v>
      </c>
      <c r="B40" s="43" t="s">
        <v>53</v>
      </c>
      <c r="C40" s="42"/>
      <c r="D40" s="43" t="s">
        <v>42</v>
      </c>
      <c r="E40" s="43" t="s">
        <v>435</v>
      </c>
      <c r="F40" s="43" t="s">
        <v>35</v>
      </c>
      <c r="G40" s="44"/>
      <c r="H40" s="44"/>
      <c r="I40" s="44"/>
      <c r="J40" s="44"/>
      <c r="K40" s="44"/>
      <c r="L40" s="44"/>
      <c r="M40" s="44"/>
      <c r="N40" s="44"/>
      <c r="O40" s="45"/>
      <c r="P40" s="40"/>
    </row>
    <row r="41" spans="1:16" s="41" customFormat="1" ht="30" customHeight="1">
      <c r="A41" s="34">
        <v>37</v>
      </c>
      <c r="B41" s="35" t="s">
        <v>54</v>
      </c>
      <c r="C41" s="34" t="s">
        <v>402</v>
      </c>
      <c r="D41" s="35"/>
      <c r="E41" s="35" t="s">
        <v>435</v>
      </c>
      <c r="F41" s="35" t="s">
        <v>35</v>
      </c>
      <c r="G41" s="46"/>
      <c r="H41" s="46"/>
      <c r="I41" s="46"/>
      <c r="J41" s="46"/>
      <c r="K41" s="46"/>
      <c r="L41" s="46"/>
      <c r="M41" s="46"/>
      <c r="N41" s="46"/>
      <c r="O41" s="45"/>
      <c r="P41" s="40"/>
    </row>
    <row r="42" spans="1:16" s="41" customFormat="1" ht="30" customHeight="1">
      <c r="A42" s="48">
        <v>38</v>
      </c>
      <c r="B42" s="49" t="s">
        <v>55</v>
      </c>
      <c r="C42" s="48" t="s">
        <v>519</v>
      </c>
      <c r="D42" s="49"/>
      <c r="E42" s="49" t="s">
        <v>428</v>
      </c>
      <c r="F42" s="49"/>
      <c r="G42" s="49" t="s">
        <v>527</v>
      </c>
      <c r="H42" s="49" t="s">
        <v>441</v>
      </c>
      <c r="I42" s="49" t="s">
        <v>594</v>
      </c>
      <c r="J42" s="29" t="s">
        <v>459</v>
      </c>
      <c r="K42" s="49" t="s">
        <v>604</v>
      </c>
      <c r="L42" s="49" t="s">
        <v>520</v>
      </c>
      <c r="M42" s="49" t="s">
        <v>448</v>
      </c>
      <c r="N42" s="50"/>
      <c r="O42" s="45"/>
      <c r="P42" s="40"/>
    </row>
    <row r="43" spans="1:16" s="41" customFormat="1" ht="30" customHeight="1">
      <c r="A43" s="34">
        <v>39</v>
      </c>
      <c r="B43" s="35" t="s">
        <v>56</v>
      </c>
      <c r="C43" s="34"/>
      <c r="D43" s="35"/>
      <c r="E43" s="35" t="s">
        <v>428</v>
      </c>
      <c r="F43" s="35" t="s">
        <v>86</v>
      </c>
      <c r="G43" s="46"/>
      <c r="H43" s="46"/>
      <c r="I43" s="46"/>
      <c r="J43" s="46"/>
      <c r="K43" s="46"/>
      <c r="L43" s="46"/>
      <c r="M43" s="46"/>
      <c r="N43" s="46"/>
      <c r="O43" s="45"/>
      <c r="P43" s="40"/>
    </row>
    <row r="44" spans="1:16" s="41" customFormat="1" ht="57" customHeight="1">
      <c r="A44" s="42">
        <v>40</v>
      </c>
      <c r="B44" s="43" t="s">
        <v>57</v>
      </c>
      <c r="C44" s="42"/>
      <c r="D44" s="43"/>
      <c r="E44" s="43" t="s">
        <v>428</v>
      </c>
      <c r="F44" s="43" t="s">
        <v>521</v>
      </c>
      <c r="G44" s="46"/>
      <c r="H44" s="46"/>
      <c r="I44" s="46"/>
      <c r="J44" s="46"/>
      <c r="K44" s="46"/>
      <c r="L44" s="46"/>
      <c r="M44" s="46"/>
      <c r="N44" s="46"/>
      <c r="O44" s="45"/>
      <c r="P44" s="40"/>
    </row>
    <row r="45" spans="1:16" s="41" customFormat="1" ht="186.75" customHeight="1">
      <c r="A45" s="34">
        <v>41</v>
      </c>
      <c r="B45" s="35" t="s">
        <v>58</v>
      </c>
      <c r="C45" s="34" t="s">
        <v>522</v>
      </c>
      <c r="D45" s="35" t="s">
        <v>523</v>
      </c>
      <c r="E45" s="35" t="s">
        <v>428</v>
      </c>
      <c r="F45" s="35"/>
      <c r="G45" s="80" t="s">
        <v>564</v>
      </c>
      <c r="H45" s="35" t="s">
        <v>452</v>
      </c>
      <c r="I45" s="35" t="s">
        <v>595</v>
      </c>
      <c r="J45" s="80" t="s">
        <v>459</v>
      </c>
      <c r="K45" s="35" t="s">
        <v>580</v>
      </c>
      <c r="L45" s="35" t="s">
        <v>455</v>
      </c>
      <c r="M45" s="35" t="s">
        <v>456</v>
      </c>
      <c r="N45" s="47"/>
      <c r="O45" s="45"/>
      <c r="P45" s="40"/>
    </row>
    <row r="46" spans="1:16" s="41" customFormat="1" ht="69.75" customHeight="1">
      <c r="A46" s="48">
        <v>42</v>
      </c>
      <c r="B46" s="49" t="s">
        <v>59</v>
      </c>
      <c r="C46" s="48">
        <v>273</v>
      </c>
      <c r="D46" s="49" t="s">
        <v>524</v>
      </c>
      <c r="E46" s="49" t="s">
        <v>428</v>
      </c>
      <c r="F46" s="49"/>
      <c r="G46" s="29" t="s">
        <v>453</v>
      </c>
      <c r="H46" s="49" t="s">
        <v>441</v>
      </c>
      <c r="I46" s="49" t="s">
        <v>595</v>
      </c>
      <c r="J46" s="29" t="s">
        <v>459</v>
      </c>
      <c r="K46" s="49" t="s">
        <v>460</v>
      </c>
      <c r="L46" s="49" t="s">
        <v>454</v>
      </c>
      <c r="M46" s="49" t="s">
        <v>443</v>
      </c>
      <c r="N46" s="50" t="s">
        <v>68</v>
      </c>
      <c r="O46" s="45"/>
      <c r="P46" s="40"/>
    </row>
    <row r="47" spans="1:16" s="41" customFormat="1" ht="30" customHeight="1">
      <c r="A47" s="34">
        <v>43</v>
      </c>
      <c r="B47" s="35" t="s">
        <v>60</v>
      </c>
      <c r="C47" s="34"/>
      <c r="D47" s="35"/>
      <c r="E47" s="35" t="s">
        <v>428</v>
      </c>
      <c r="F47" s="35" t="s">
        <v>525</v>
      </c>
      <c r="G47" s="46"/>
      <c r="H47" s="46"/>
      <c r="I47" s="46"/>
      <c r="J47" s="46"/>
      <c r="K47" s="46"/>
      <c r="L47" s="46"/>
      <c r="M47" s="46"/>
      <c r="N47" s="46"/>
      <c r="O47" s="45">
        <v>1</v>
      </c>
      <c r="P47" s="40"/>
    </row>
    <row r="48" spans="1:16" s="41" customFormat="1" ht="405" customHeight="1">
      <c r="A48" s="48">
        <v>44</v>
      </c>
      <c r="B48" s="49" t="s">
        <v>61</v>
      </c>
      <c r="C48" s="48" t="s">
        <v>403</v>
      </c>
      <c r="D48" s="49" t="s">
        <v>489</v>
      </c>
      <c r="E48" s="49" t="s">
        <v>429</v>
      </c>
      <c r="F48" s="49"/>
      <c r="G48" s="29" t="s">
        <v>608</v>
      </c>
      <c r="H48" s="49" t="s">
        <v>609</v>
      </c>
      <c r="I48" s="49" t="s">
        <v>595</v>
      </c>
      <c r="J48" s="29" t="s">
        <v>468</v>
      </c>
      <c r="K48" s="49" t="s">
        <v>488</v>
      </c>
      <c r="L48" s="49" t="s">
        <v>490</v>
      </c>
      <c r="M48" s="49" t="s">
        <v>491</v>
      </c>
      <c r="N48" s="50" t="s">
        <v>492</v>
      </c>
      <c r="O48" s="45"/>
      <c r="P48" s="40"/>
    </row>
    <row r="49" spans="1:16" s="41" customFormat="1" ht="104.25" customHeight="1">
      <c r="A49" s="55"/>
      <c r="B49" s="56"/>
      <c r="C49" s="55"/>
      <c r="D49" s="56"/>
      <c r="E49" s="56"/>
      <c r="F49" s="56"/>
      <c r="G49" s="57" t="s">
        <v>607</v>
      </c>
      <c r="H49" s="56"/>
      <c r="I49" s="56"/>
      <c r="J49" s="57"/>
      <c r="K49" s="56"/>
      <c r="L49" s="56"/>
      <c r="M49" s="56"/>
      <c r="N49" s="58"/>
      <c r="O49" s="45"/>
      <c r="P49" s="40"/>
    </row>
    <row r="50" spans="1:16" s="41" customFormat="1" ht="153">
      <c r="A50" s="34">
        <v>45</v>
      </c>
      <c r="B50" s="35" t="s">
        <v>65</v>
      </c>
      <c r="C50" s="34" t="s">
        <v>404</v>
      </c>
      <c r="D50" s="35" t="s">
        <v>62</v>
      </c>
      <c r="E50" s="35" t="s">
        <v>429</v>
      </c>
      <c r="F50" s="35"/>
      <c r="G50" s="80" t="s">
        <v>591</v>
      </c>
      <c r="H50" s="35" t="s">
        <v>464</v>
      </c>
      <c r="I50" s="35" t="s">
        <v>595</v>
      </c>
      <c r="J50" s="80" t="s">
        <v>459</v>
      </c>
      <c r="K50" s="35" t="s">
        <v>495</v>
      </c>
      <c r="L50" s="35" t="s">
        <v>592</v>
      </c>
      <c r="M50" s="35" t="s">
        <v>465</v>
      </c>
      <c r="N50" s="47" t="s">
        <v>466</v>
      </c>
      <c r="O50" s="45"/>
      <c r="P50" s="40"/>
    </row>
    <row r="51" spans="1:16" s="41" customFormat="1" ht="127.5">
      <c r="A51" s="48">
        <v>46</v>
      </c>
      <c r="B51" s="49" t="s">
        <v>66</v>
      </c>
      <c r="C51" s="48" t="s">
        <v>405</v>
      </c>
      <c r="D51" s="49" t="s">
        <v>67</v>
      </c>
      <c r="E51" s="49" t="s">
        <v>428</v>
      </c>
      <c r="F51" s="49"/>
      <c r="G51" s="29" t="s">
        <v>565</v>
      </c>
      <c r="H51" s="49" t="s">
        <v>457</v>
      </c>
      <c r="I51" s="49" t="s">
        <v>595</v>
      </c>
      <c r="J51" s="29" t="s">
        <v>459</v>
      </c>
      <c r="K51" s="49" t="s">
        <v>461</v>
      </c>
      <c r="L51" s="49" t="s">
        <v>458</v>
      </c>
      <c r="M51" s="49" t="s">
        <v>456</v>
      </c>
      <c r="N51" s="50" t="s">
        <v>68</v>
      </c>
      <c r="O51" s="45"/>
      <c r="P51" s="40"/>
    </row>
    <row r="52" spans="1:16" s="41" customFormat="1" ht="267.75">
      <c r="A52" s="34">
        <v>47</v>
      </c>
      <c r="B52" s="35" t="s">
        <v>69</v>
      </c>
      <c r="C52" s="34">
        <v>271</v>
      </c>
      <c r="D52" s="35" t="s">
        <v>70</v>
      </c>
      <c r="E52" s="35" t="s">
        <v>430</v>
      </c>
      <c r="F52" s="35"/>
      <c r="G52" s="80" t="s">
        <v>566</v>
      </c>
      <c r="H52" s="35" t="s">
        <v>439</v>
      </c>
      <c r="I52" s="35" t="s">
        <v>595</v>
      </c>
      <c r="J52" s="80" t="s">
        <v>468</v>
      </c>
      <c r="K52" s="35"/>
      <c r="L52" s="35" t="s">
        <v>497</v>
      </c>
      <c r="M52" s="35" t="s">
        <v>496</v>
      </c>
      <c r="N52" s="47"/>
      <c r="O52" s="45"/>
      <c r="P52" s="40"/>
    </row>
    <row r="53" spans="1:16" s="41" customFormat="1" ht="395.25">
      <c r="A53" s="48">
        <v>48</v>
      </c>
      <c r="B53" s="49" t="s">
        <v>71</v>
      </c>
      <c r="C53" s="48" t="s">
        <v>463</v>
      </c>
      <c r="D53" s="49" t="s">
        <v>498</v>
      </c>
      <c r="E53" s="49" t="s">
        <v>431</v>
      </c>
      <c r="F53" s="49"/>
      <c r="G53" s="29" t="s">
        <v>567</v>
      </c>
      <c r="H53" s="49" t="s">
        <v>499</v>
      </c>
      <c r="I53" s="49" t="s">
        <v>594</v>
      </c>
      <c r="J53" s="29" t="s">
        <v>459</v>
      </c>
      <c r="K53" s="49" t="s">
        <v>568</v>
      </c>
      <c r="L53" s="49" t="s">
        <v>569</v>
      </c>
      <c r="M53" s="49" t="s">
        <v>500</v>
      </c>
      <c r="N53" s="50" t="s">
        <v>501</v>
      </c>
      <c r="O53" s="40"/>
    </row>
    <row r="54" spans="1:16" s="41" customFormat="1" ht="38.25">
      <c r="A54" s="34">
        <v>49</v>
      </c>
      <c r="B54" s="35" t="s">
        <v>73</v>
      </c>
      <c r="C54" s="34" t="s">
        <v>526</v>
      </c>
      <c r="D54" s="35" t="s">
        <v>74</v>
      </c>
      <c r="E54" s="35" t="s">
        <v>428</v>
      </c>
      <c r="F54" s="35"/>
      <c r="G54" s="80" t="s">
        <v>527</v>
      </c>
      <c r="H54" s="35" t="s">
        <v>441</v>
      </c>
      <c r="I54" s="35" t="s">
        <v>594</v>
      </c>
      <c r="J54" s="80" t="s">
        <v>459</v>
      </c>
      <c r="K54" s="35" t="s">
        <v>604</v>
      </c>
      <c r="L54" s="35" t="s">
        <v>75</v>
      </c>
      <c r="M54" s="35" t="s">
        <v>443</v>
      </c>
      <c r="N54" s="47" t="s">
        <v>68</v>
      </c>
      <c r="O54" s="45"/>
      <c r="P54" s="40"/>
    </row>
    <row r="55" spans="1:16" s="41" customFormat="1" ht="30" customHeight="1">
      <c r="A55" s="34"/>
      <c r="B55" s="35"/>
      <c r="C55" s="34"/>
      <c r="D55" s="35"/>
      <c r="E55" s="35"/>
      <c r="F55" s="35"/>
      <c r="G55" s="80" t="s">
        <v>528</v>
      </c>
      <c r="H55" s="35"/>
      <c r="I55" s="35"/>
      <c r="J55" s="80"/>
      <c r="K55" s="35"/>
      <c r="L55" s="35" t="s">
        <v>529</v>
      </c>
      <c r="M55" s="35"/>
      <c r="N55" s="47"/>
      <c r="O55" s="45"/>
      <c r="P55" s="40"/>
    </row>
    <row r="56" spans="1:16" s="41" customFormat="1" ht="30" customHeight="1">
      <c r="A56" s="34"/>
      <c r="B56" s="35"/>
      <c r="C56" s="34"/>
      <c r="D56" s="35"/>
      <c r="E56" s="35"/>
      <c r="F56" s="35"/>
      <c r="G56" s="35" t="s">
        <v>530</v>
      </c>
      <c r="H56" s="35" t="s">
        <v>531</v>
      </c>
      <c r="I56" s="35"/>
      <c r="J56" s="80"/>
      <c r="K56" s="35"/>
      <c r="L56" s="35"/>
      <c r="N56" s="47"/>
      <c r="O56" s="45"/>
      <c r="P56" s="40"/>
    </row>
    <row r="57" spans="1:16" s="41" customFormat="1" ht="30" customHeight="1">
      <c r="A57" s="42">
        <v>50</v>
      </c>
      <c r="B57" s="43" t="s">
        <v>76</v>
      </c>
      <c r="C57" s="42"/>
      <c r="D57" s="43"/>
      <c r="E57" s="43" t="s">
        <v>435</v>
      </c>
      <c r="F57" s="43" t="s">
        <v>13</v>
      </c>
      <c r="G57" s="44"/>
      <c r="H57" s="44"/>
      <c r="I57" s="44"/>
      <c r="J57" s="44"/>
      <c r="K57" s="44"/>
      <c r="L57" s="44"/>
      <c r="M57" s="44"/>
      <c r="N57" s="44"/>
      <c r="O57" s="45"/>
      <c r="P57" s="40"/>
    </row>
    <row r="58" spans="1:16" s="41" customFormat="1" ht="59.25" customHeight="1">
      <c r="A58" s="34">
        <v>51</v>
      </c>
      <c r="B58" s="35" t="s">
        <v>77</v>
      </c>
      <c r="C58" s="34" t="s">
        <v>406</v>
      </c>
      <c r="D58" s="59"/>
      <c r="E58" s="59" t="s">
        <v>432</v>
      </c>
      <c r="F58" s="59"/>
      <c r="G58" s="60" t="s">
        <v>542</v>
      </c>
      <c r="H58" s="59"/>
      <c r="I58" s="35" t="s">
        <v>594</v>
      </c>
      <c r="J58" s="80" t="s">
        <v>462</v>
      </c>
      <c r="K58" s="35" t="s">
        <v>553</v>
      </c>
      <c r="L58" s="59" t="s">
        <v>78</v>
      </c>
      <c r="M58" s="35" t="s">
        <v>554</v>
      </c>
      <c r="N58" s="61" t="s">
        <v>546</v>
      </c>
      <c r="O58" s="45"/>
      <c r="P58" s="40"/>
    </row>
    <row r="59" spans="1:16" s="41" customFormat="1" ht="30" customHeight="1">
      <c r="A59" s="42">
        <v>52</v>
      </c>
      <c r="B59" s="43" t="s">
        <v>80</v>
      </c>
      <c r="C59" s="42"/>
      <c r="D59" s="43"/>
      <c r="E59" s="43" t="s">
        <v>435</v>
      </c>
      <c r="F59" s="43" t="s">
        <v>35</v>
      </c>
      <c r="G59" s="44"/>
      <c r="H59" s="44"/>
      <c r="I59" s="44"/>
      <c r="J59" s="44"/>
      <c r="K59" s="44"/>
      <c r="L59" s="44"/>
      <c r="M59" s="44"/>
      <c r="N59" s="44"/>
      <c r="O59" s="45"/>
      <c r="P59" s="40"/>
    </row>
    <row r="60" spans="1:16" s="41" customFormat="1" ht="30" customHeight="1">
      <c r="A60" s="34">
        <v>53</v>
      </c>
      <c r="B60" s="35" t="s">
        <v>81</v>
      </c>
      <c r="C60" s="34">
        <v>299</v>
      </c>
      <c r="D60" s="35"/>
      <c r="E60" s="35" t="s">
        <v>435</v>
      </c>
      <c r="F60" s="35" t="s">
        <v>13</v>
      </c>
      <c r="G60" s="46"/>
      <c r="H60" s="44"/>
      <c r="I60" s="44"/>
      <c r="J60" s="46"/>
      <c r="K60" s="44"/>
      <c r="L60" s="44"/>
      <c r="M60" s="44"/>
      <c r="N60" s="44"/>
      <c r="O60" s="45"/>
      <c r="P60" s="40"/>
    </row>
    <row r="61" spans="1:16" s="41" customFormat="1" ht="30" customHeight="1">
      <c r="A61" s="34"/>
      <c r="B61" s="35"/>
      <c r="C61" s="34">
        <v>361</v>
      </c>
      <c r="D61" s="35"/>
      <c r="E61" s="35"/>
      <c r="F61" s="35"/>
      <c r="G61" s="46"/>
      <c r="H61" s="44"/>
      <c r="I61" s="44"/>
      <c r="J61" s="46"/>
      <c r="K61" s="44"/>
      <c r="L61" s="44"/>
      <c r="M61" s="44"/>
      <c r="N61" s="44"/>
      <c r="O61" s="45"/>
      <c r="P61" s="40"/>
    </row>
    <row r="62" spans="1:16" s="41" customFormat="1" ht="30" customHeight="1">
      <c r="A62" s="34"/>
      <c r="B62" s="35"/>
      <c r="C62" s="34">
        <v>367</v>
      </c>
      <c r="D62" s="35"/>
      <c r="E62" s="35"/>
      <c r="F62" s="35"/>
      <c r="G62" s="46"/>
      <c r="H62" s="44"/>
      <c r="I62" s="44"/>
      <c r="J62" s="46"/>
      <c r="K62" s="44"/>
      <c r="L62" s="44"/>
      <c r="M62" s="44"/>
      <c r="N62" s="44"/>
      <c r="O62" s="45"/>
      <c r="P62" s="40"/>
    </row>
    <row r="63" spans="1:16" s="41" customFormat="1" ht="48" customHeight="1">
      <c r="A63" s="48">
        <v>54</v>
      </c>
      <c r="B63" s="49" t="s">
        <v>82</v>
      </c>
      <c r="C63" s="48" t="s">
        <v>407</v>
      </c>
      <c r="D63" s="49"/>
      <c r="E63" s="49" t="s">
        <v>432</v>
      </c>
      <c r="F63" s="49"/>
      <c r="G63" s="49" t="s">
        <v>493</v>
      </c>
      <c r="H63" s="49"/>
      <c r="I63" s="49" t="s">
        <v>593</v>
      </c>
      <c r="J63" s="49" t="s">
        <v>462</v>
      </c>
      <c r="K63" s="49" t="s">
        <v>550</v>
      </c>
      <c r="L63" s="49" t="s">
        <v>547</v>
      </c>
      <c r="M63" s="49"/>
      <c r="N63" s="50"/>
      <c r="O63" s="45"/>
      <c r="P63" s="40"/>
    </row>
    <row r="64" spans="1:16" s="41" customFormat="1" ht="33.75" customHeight="1">
      <c r="A64" s="34">
        <v>55</v>
      </c>
      <c r="B64" s="35" t="s">
        <v>83</v>
      </c>
      <c r="C64" s="34"/>
      <c r="D64" s="35"/>
      <c r="E64" s="35" t="s">
        <v>432</v>
      </c>
      <c r="F64" s="35"/>
      <c r="G64" s="35" t="s">
        <v>493</v>
      </c>
      <c r="H64" s="35"/>
      <c r="I64" s="35" t="s">
        <v>593</v>
      </c>
      <c r="J64" s="35" t="s">
        <v>462</v>
      </c>
      <c r="K64" s="35" t="s">
        <v>551</v>
      </c>
      <c r="L64" s="35" t="s">
        <v>547</v>
      </c>
      <c r="M64" s="35"/>
      <c r="N64" s="35"/>
      <c r="O64" s="45">
        <v>1</v>
      </c>
      <c r="P64" s="40"/>
    </row>
    <row r="65" spans="1:16" s="41" customFormat="1" ht="30" customHeight="1">
      <c r="A65" s="42">
        <v>56</v>
      </c>
      <c r="B65" s="43" t="s">
        <v>84</v>
      </c>
      <c r="C65" s="42"/>
      <c r="D65" s="43"/>
      <c r="E65" s="43" t="s">
        <v>435</v>
      </c>
      <c r="F65" s="43" t="s">
        <v>13</v>
      </c>
      <c r="G65" s="44"/>
      <c r="H65" s="44"/>
      <c r="I65" s="44"/>
      <c r="J65" s="44"/>
      <c r="K65" s="44"/>
      <c r="L65" s="44"/>
      <c r="M65" s="44"/>
      <c r="N65" s="44"/>
      <c r="O65" s="45"/>
      <c r="P65" s="40"/>
    </row>
    <row r="66" spans="1:16" s="41" customFormat="1" ht="30" customHeight="1">
      <c r="A66" s="34">
        <v>57</v>
      </c>
      <c r="B66" s="35" t="s">
        <v>85</v>
      </c>
      <c r="C66" s="34"/>
      <c r="D66" s="35"/>
      <c r="E66" s="35" t="s">
        <v>589</v>
      </c>
      <c r="F66" s="35" t="s">
        <v>86</v>
      </c>
      <c r="G66" s="46"/>
      <c r="H66" s="44"/>
      <c r="I66" s="44"/>
      <c r="J66" s="46"/>
      <c r="K66" s="44"/>
      <c r="L66" s="44"/>
      <c r="M66" s="44"/>
      <c r="N66" s="44"/>
      <c r="O66" s="45"/>
      <c r="P66" s="40"/>
    </row>
    <row r="67" spans="1:16" s="41" customFormat="1" ht="30" customHeight="1">
      <c r="A67" s="42">
        <v>58</v>
      </c>
      <c r="B67" s="43" t="s">
        <v>87</v>
      </c>
      <c r="C67" s="42"/>
      <c r="D67" s="43"/>
      <c r="E67" s="43" t="s">
        <v>589</v>
      </c>
      <c r="F67" s="43" t="s">
        <v>86</v>
      </c>
      <c r="G67" s="44"/>
      <c r="H67" s="44"/>
      <c r="I67" s="44"/>
      <c r="J67" s="44"/>
      <c r="K67" s="44"/>
      <c r="L67" s="44"/>
      <c r="M67" s="44"/>
      <c r="N67" s="44"/>
      <c r="O67" s="45"/>
      <c r="P67" s="40"/>
    </row>
    <row r="68" spans="1:16" s="41" customFormat="1" ht="30" customHeight="1">
      <c r="A68" s="34">
        <v>59</v>
      </c>
      <c r="B68" s="35" t="s">
        <v>88</v>
      </c>
      <c r="C68" s="34"/>
      <c r="D68" s="35"/>
      <c r="E68" s="35" t="s">
        <v>589</v>
      </c>
      <c r="F68" s="35" t="s">
        <v>86</v>
      </c>
      <c r="G68" s="46"/>
      <c r="H68" s="44"/>
      <c r="I68" s="44"/>
      <c r="J68" s="46"/>
      <c r="K68" s="44"/>
      <c r="L68" s="44"/>
      <c r="M68" s="44"/>
      <c r="N68" s="44"/>
      <c r="O68" s="45"/>
      <c r="P68" s="40"/>
    </row>
    <row r="69" spans="1:16" s="41" customFormat="1" ht="30" customHeight="1">
      <c r="A69" s="42">
        <v>60</v>
      </c>
      <c r="B69" s="43" t="s">
        <v>89</v>
      </c>
      <c r="C69" s="42"/>
      <c r="D69" s="43"/>
      <c r="E69" s="43" t="s">
        <v>589</v>
      </c>
      <c r="F69" s="43" t="s">
        <v>86</v>
      </c>
      <c r="G69" s="44"/>
      <c r="H69" s="44"/>
      <c r="I69" s="44"/>
      <c r="J69" s="44"/>
      <c r="K69" s="44"/>
      <c r="L69" s="44"/>
      <c r="M69" s="44"/>
      <c r="N69" s="44"/>
      <c r="O69" s="45"/>
      <c r="P69" s="40"/>
    </row>
    <row r="70" spans="1:16" s="41" customFormat="1" ht="63.75" customHeight="1">
      <c r="A70" s="34">
        <v>61</v>
      </c>
      <c r="B70" s="35" t="s">
        <v>90</v>
      </c>
      <c r="C70" s="34"/>
      <c r="D70" s="35"/>
      <c r="E70" s="35" t="s">
        <v>589</v>
      </c>
      <c r="F70" s="35" t="s">
        <v>86</v>
      </c>
      <c r="G70" s="46"/>
      <c r="H70" s="44"/>
      <c r="I70" s="44"/>
      <c r="J70" s="46"/>
      <c r="K70" s="44"/>
      <c r="L70" s="44"/>
      <c r="M70" s="44"/>
      <c r="N70" s="44"/>
      <c r="O70" s="45"/>
      <c r="P70" s="40"/>
    </row>
    <row r="71" spans="1:16" s="41" customFormat="1" ht="45" customHeight="1">
      <c r="A71" s="42">
        <v>62</v>
      </c>
      <c r="B71" s="43" t="s">
        <v>91</v>
      </c>
      <c r="C71" s="42"/>
      <c r="D71" s="43"/>
      <c r="E71" s="43" t="s">
        <v>435</v>
      </c>
      <c r="F71" s="43" t="s">
        <v>86</v>
      </c>
      <c r="G71" s="44"/>
      <c r="H71" s="44"/>
      <c r="I71" s="44"/>
      <c r="J71" s="44"/>
      <c r="K71" s="44"/>
      <c r="L71" s="44"/>
      <c r="M71" s="44"/>
      <c r="N71" s="44"/>
      <c r="O71" s="45"/>
      <c r="P71" s="40"/>
    </row>
    <row r="72" spans="1:16" s="41" customFormat="1" ht="30" customHeight="1">
      <c r="A72" s="34">
        <v>63</v>
      </c>
      <c r="B72" s="35" t="s">
        <v>92</v>
      </c>
      <c r="C72" s="34"/>
      <c r="D72" s="35"/>
      <c r="E72" s="35" t="s">
        <v>435</v>
      </c>
      <c r="F72" s="35" t="s">
        <v>86</v>
      </c>
      <c r="G72" s="46"/>
      <c r="H72" s="44"/>
      <c r="I72" s="44"/>
      <c r="J72" s="46"/>
      <c r="K72" s="44"/>
      <c r="L72" s="44"/>
      <c r="M72" s="44"/>
      <c r="N72" s="44"/>
      <c r="O72" s="45"/>
      <c r="P72" s="40"/>
    </row>
    <row r="73" spans="1:16" s="41" customFormat="1" ht="30" customHeight="1">
      <c r="A73" s="42">
        <v>64</v>
      </c>
      <c r="B73" s="43" t="s">
        <v>93</v>
      </c>
      <c r="C73" s="42"/>
      <c r="D73" s="43"/>
      <c r="E73" s="43" t="s">
        <v>435</v>
      </c>
      <c r="F73" s="43" t="s">
        <v>35</v>
      </c>
      <c r="G73" s="44"/>
      <c r="H73" s="44"/>
      <c r="I73" s="44"/>
      <c r="J73" s="44"/>
      <c r="K73" s="44"/>
      <c r="L73" s="44"/>
      <c r="M73" s="44"/>
      <c r="N73" s="44"/>
      <c r="O73" s="45"/>
      <c r="P73" s="40"/>
    </row>
    <row r="74" spans="1:16" s="41" customFormat="1" ht="30" customHeight="1">
      <c r="A74" s="34">
        <v>65</v>
      </c>
      <c r="B74" s="35" t="s">
        <v>94</v>
      </c>
      <c r="C74" s="34"/>
      <c r="D74" s="35"/>
      <c r="E74" s="35" t="s">
        <v>435</v>
      </c>
      <c r="F74" s="35" t="s">
        <v>35</v>
      </c>
      <c r="G74" s="46"/>
      <c r="H74" s="44"/>
      <c r="I74" s="44"/>
      <c r="J74" s="46"/>
      <c r="K74" s="44"/>
      <c r="L74" s="44"/>
      <c r="M74" s="44"/>
      <c r="N74" s="44"/>
      <c r="O74" s="45"/>
      <c r="P74" s="40"/>
    </row>
    <row r="75" spans="1:16" s="41" customFormat="1" ht="30" customHeight="1">
      <c r="A75" s="42">
        <v>66</v>
      </c>
      <c r="B75" s="43" t="s">
        <v>95</v>
      </c>
      <c r="C75" s="42"/>
      <c r="D75" s="43"/>
      <c r="E75" s="43" t="s">
        <v>435</v>
      </c>
      <c r="F75" s="43" t="s">
        <v>35</v>
      </c>
      <c r="G75" s="44"/>
      <c r="H75" s="44"/>
      <c r="I75" s="44"/>
      <c r="J75" s="44"/>
      <c r="K75" s="44"/>
      <c r="L75" s="44"/>
      <c r="M75" s="44"/>
      <c r="N75" s="44"/>
      <c r="O75" s="45"/>
      <c r="P75" s="40"/>
    </row>
    <row r="76" spans="1:16" s="41" customFormat="1" ht="30" customHeight="1">
      <c r="A76" s="34">
        <v>67</v>
      </c>
      <c r="B76" s="35" t="s">
        <v>96</v>
      </c>
      <c r="C76" s="34"/>
      <c r="D76" s="35"/>
      <c r="E76" s="35" t="s">
        <v>435</v>
      </c>
      <c r="F76" s="35" t="s">
        <v>35</v>
      </c>
      <c r="G76" s="46"/>
      <c r="H76" s="44"/>
      <c r="I76" s="44"/>
      <c r="J76" s="46"/>
      <c r="K76" s="44"/>
      <c r="L76" s="44"/>
      <c r="M76" s="44"/>
      <c r="N76" s="44"/>
      <c r="O76" s="45"/>
      <c r="P76" s="40"/>
    </row>
    <row r="77" spans="1:16" s="41" customFormat="1" ht="30" customHeight="1">
      <c r="A77" s="42">
        <v>68</v>
      </c>
      <c r="B77" s="43" t="s">
        <v>97</v>
      </c>
      <c r="C77" s="42"/>
      <c r="D77" s="43"/>
      <c r="E77" s="43" t="s">
        <v>435</v>
      </c>
      <c r="F77" s="43" t="s">
        <v>35</v>
      </c>
      <c r="G77" s="44"/>
      <c r="H77" s="44"/>
      <c r="I77" s="44"/>
      <c r="J77" s="44"/>
      <c r="K77" s="44"/>
      <c r="L77" s="44"/>
      <c r="M77" s="44"/>
      <c r="N77" s="44"/>
      <c r="O77" s="45"/>
      <c r="P77" s="40"/>
    </row>
    <row r="78" spans="1:16" s="41" customFormat="1" ht="63.75" customHeight="1">
      <c r="A78" s="34">
        <v>69</v>
      </c>
      <c r="B78" s="35" t="s">
        <v>98</v>
      </c>
      <c r="C78" s="34"/>
      <c r="D78" s="35"/>
      <c r="E78" s="35" t="s">
        <v>435</v>
      </c>
      <c r="F78" s="35" t="s">
        <v>35</v>
      </c>
      <c r="G78" s="46"/>
      <c r="H78" s="44"/>
      <c r="I78" s="44"/>
      <c r="J78" s="46"/>
      <c r="K78" s="44"/>
      <c r="L78" s="44"/>
      <c r="M78" s="44"/>
      <c r="N78" s="44"/>
      <c r="O78" s="45"/>
      <c r="P78" s="40"/>
    </row>
    <row r="79" spans="1:16" s="41" customFormat="1" ht="51.75" customHeight="1">
      <c r="A79" s="42">
        <v>70</v>
      </c>
      <c r="B79" s="43" t="s">
        <v>99</v>
      </c>
      <c r="C79" s="42"/>
      <c r="D79" s="43"/>
      <c r="E79" s="43" t="s">
        <v>435</v>
      </c>
      <c r="F79" s="43" t="s">
        <v>35</v>
      </c>
      <c r="G79" s="44"/>
      <c r="H79" s="44"/>
      <c r="I79" s="44"/>
      <c r="J79" s="44"/>
      <c r="K79" s="44"/>
      <c r="L79" s="44"/>
      <c r="M79" s="44"/>
      <c r="N79" s="44"/>
      <c r="O79" s="45"/>
      <c r="P79" s="40"/>
    </row>
    <row r="80" spans="1:16" s="41" customFormat="1" ht="30" customHeight="1">
      <c r="A80" s="34">
        <v>71</v>
      </c>
      <c r="B80" s="35" t="s">
        <v>100</v>
      </c>
      <c r="C80" s="34"/>
      <c r="D80" s="35" t="s">
        <v>42</v>
      </c>
      <c r="E80" s="35" t="s">
        <v>435</v>
      </c>
      <c r="F80" s="35" t="s">
        <v>35</v>
      </c>
      <c r="G80" s="46"/>
      <c r="H80" s="44"/>
      <c r="I80" s="44"/>
      <c r="J80" s="46"/>
      <c r="K80" s="44"/>
      <c r="L80" s="44"/>
      <c r="M80" s="44"/>
      <c r="N80" s="44"/>
      <c r="O80" s="45"/>
      <c r="P80" s="40"/>
    </row>
    <row r="81" spans="1:16" s="41" customFormat="1" ht="30" customHeight="1">
      <c r="A81" s="42">
        <v>72</v>
      </c>
      <c r="B81" s="43" t="s">
        <v>101</v>
      </c>
      <c r="C81" s="42"/>
      <c r="D81" s="43"/>
      <c r="E81" s="43" t="s">
        <v>435</v>
      </c>
      <c r="F81" s="43" t="s">
        <v>35</v>
      </c>
      <c r="G81" s="44"/>
      <c r="H81" s="44"/>
      <c r="I81" s="44"/>
      <c r="J81" s="44"/>
      <c r="K81" s="44"/>
      <c r="L81" s="44"/>
      <c r="M81" s="44"/>
      <c r="N81" s="44"/>
      <c r="O81" s="45"/>
      <c r="P81" s="40"/>
    </row>
    <row r="82" spans="1:16" s="41" customFormat="1" ht="30" customHeight="1">
      <c r="A82" s="34">
        <v>73</v>
      </c>
      <c r="B82" s="35" t="s">
        <v>102</v>
      </c>
      <c r="C82" s="34"/>
      <c r="D82" s="35"/>
      <c r="E82" s="35" t="s">
        <v>428</v>
      </c>
      <c r="F82" s="35" t="s">
        <v>532</v>
      </c>
      <c r="G82" s="46"/>
      <c r="H82" s="46"/>
      <c r="I82" s="46"/>
      <c r="J82" s="46"/>
      <c r="K82" s="46"/>
      <c r="L82" s="46"/>
      <c r="M82" s="46"/>
      <c r="N82" s="46"/>
      <c r="O82" s="45"/>
      <c r="P82" s="40"/>
    </row>
    <row r="83" spans="1:16" s="41" customFormat="1" ht="30" customHeight="1">
      <c r="A83" s="42">
        <v>74</v>
      </c>
      <c r="B83" s="43" t="s">
        <v>103</v>
      </c>
      <c r="C83" s="42">
        <v>287</v>
      </c>
      <c r="D83" s="43"/>
      <c r="E83" s="43" t="s">
        <v>428</v>
      </c>
      <c r="F83" s="43" t="s">
        <v>533</v>
      </c>
      <c r="G83" s="46"/>
      <c r="H83" s="46"/>
      <c r="I83" s="46"/>
      <c r="J83" s="46"/>
      <c r="K83" s="46"/>
      <c r="L83" s="46"/>
      <c r="M83" s="46"/>
      <c r="N83" s="46"/>
      <c r="O83" s="45"/>
      <c r="P83" s="40"/>
    </row>
    <row r="84" spans="1:16" s="41" customFormat="1" ht="30" customHeight="1">
      <c r="A84" s="34">
        <v>75</v>
      </c>
      <c r="B84" s="35" t="s">
        <v>104</v>
      </c>
      <c r="C84" s="62" t="s">
        <v>408</v>
      </c>
      <c r="D84" s="59"/>
      <c r="E84" s="59" t="s">
        <v>432</v>
      </c>
      <c r="F84" s="59"/>
      <c r="G84" s="60" t="s">
        <v>105</v>
      </c>
      <c r="H84" s="59" t="s">
        <v>440</v>
      </c>
      <c r="I84" s="59" t="s">
        <v>595</v>
      </c>
      <c r="J84" s="60" t="s">
        <v>468</v>
      </c>
      <c r="K84" s="59"/>
      <c r="L84" s="60" t="s">
        <v>105</v>
      </c>
      <c r="M84" s="60" t="s">
        <v>506</v>
      </c>
      <c r="N84" s="60" t="s">
        <v>501</v>
      </c>
      <c r="O84" s="45"/>
      <c r="P84" s="40"/>
    </row>
    <row r="85" spans="1:16" s="41" customFormat="1" ht="30" customHeight="1">
      <c r="A85" s="48">
        <v>76</v>
      </c>
      <c r="B85" s="49" t="s">
        <v>106</v>
      </c>
      <c r="C85" s="63"/>
      <c r="D85" s="64"/>
      <c r="E85" s="64" t="s">
        <v>431</v>
      </c>
      <c r="F85" s="64"/>
      <c r="G85" s="29" t="s">
        <v>577</v>
      </c>
      <c r="H85" s="64" t="s">
        <v>440</v>
      </c>
      <c r="I85" s="64" t="s">
        <v>594</v>
      </c>
      <c r="J85" s="29" t="s">
        <v>468</v>
      </c>
      <c r="K85" s="64"/>
      <c r="L85" s="29" t="s">
        <v>577</v>
      </c>
      <c r="M85" s="49" t="s">
        <v>506</v>
      </c>
      <c r="N85" s="50" t="s">
        <v>501</v>
      </c>
      <c r="O85" s="45"/>
      <c r="P85" s="40"/>
    </row>
    <row r="86" spans="1:16" s="41" customFormat="1" ht="76.5">
      <c r="A86" s="34">
        <v>77</v>
      </c>
      <c r="B86" s="81" t="s">
        <v>107</v>
      </c>
      <c r="C86" s="80" t="s">
        <v>502</v>
      </c>
      <c r="D86" s="35" t="s">
        <v>503</v>
      </c>
      <c r="E86" s="35" t="s">
        <v>431</v>
      </c>
      <c r="F86" s="35"/>
      <c r="G86" s="82" t="s">
        <v>570</v>
      </c>
      <c r="H86" s="35" t="s">
        <v>504</v>
      </c>
      <c r="I86" s="35" t="s">
        <v>595</v>
      </c>
      <c r="J86" s="80" t="s">
        <v>459</v>
      </c>
      <c r="K86" s="35" t="s">
        <v>581</v>
      </c>
      <c r="L86" s="35" t="s">
        <v>505</v>
      </c>
      <c r="M86" s="35" t="s">
        <v>506</v>
      </c>
      <c r="N86" s="47" t="s">
        <v>501</v>
      </c>
      <c r="O86" s="40"/>
    </row>
    <row r="87" spans="1:16" s="41" customFormat="1" ht="89.25">
      <c r="A87" s="48">
        <v>78</v>
      </c>
      <c r="B87" s="49" t="s">
        <v>108</v>
      </c>
      <c r="C87" s="29" t="s">
        <v>507</v>
      </c>
      <c r="D87" s="29" t="s">
        <v>508</v>
      </c>
      <c r="E87" s="49" t="s">
        <v>431</v>
      </c>
      <c r="F87" s="49"/>
      <c r="G87" s="29" t="s">
        <v>571</v>
      </c>
      <c r="H87" s="49" t="s">
        <v>504</v>
      </c>
      <c r="I87" s="49" t="s">
        <v>595</v>
      </c>
      <c r="J87" s="29" t="s">
        <v>468</v>
      </c>
      <c r="K87" s="49"/>
      <c r="L87" s="29" t="s">
        <v>572</v>
      </c>
      <c r="M87" s="49" t="s">
        <v>506</v>
      </c>
      <c r="N87" s="50" t="s">
        <v>501</v>
      </c>
      <c r="O87" s="40"/>
    </row>
    <row r="88" spans="1:16" s="41" customFormat="1" ht="78.75" customHeight="1">
      <c r="A88" s="34">
        <v>79</v>
      </c>
      <c r="B88" s="35" t="s">
        <v>109</v>
      </c>
      <c r="C88" s="34"/>
      <c r="D88" s="35"/>
      <c r="E88" s="35" t="s">
        <v>435</v>
      </c>
      <c r="F88" s="35" t="s">
        <v>110</v>
      </c>
      <c r="G88" s="46"/>
      <c r="H88" s="44"/>
      <c r="I88" s="44"/>
      <c r="J88" s="46"/>
      <c r="K88" s="44"/>
      <c r="L88" s="44"/>
      <c r="M88" s="44"/>
      <c r="N88" s="44"/>
      <c r="O88" s="45"/>
      <c r="P88" s="40"/>
    </row>
    <row r="89" spans="1:16" s="41" customFormat="1" ht="30" customHeight="1">
      <c r="A89" s="42">
        <v>80</v>
      </c>
      <c r="B89" s="43" t="s">
        <v>111</v>
      </c>
      <c r="C89" s="65">
        <v>55</v>
      </c>
      <c r="D89" s="43" t="s">
        <v>509</v>
      </c>
      <c r="E89" s="43" t="s">
        <v>431</v>
      </c>
      <c r="F89" s="43"/>
      <c r="G89" s="29" t="s">
        <v>571</v>
      </c>
      <c r="H89" s="43" t="s">
        <v>504</v>
      </c>
      <c r="I89" s="43" t="s">
        <v>595</v>
      </c>
      <c r="J89" s="65" t="s">
        <v>468</v>
      </c>
      <c r="K89" s="43"/>
      <c r="L89" s="29" t="s">
        <v>572</v>
      </c>
      <c r="M89" s="43" t="s">
        <v>506</v>
      </c>
      <c r="N89" s="66" t="s">
        <v>501</v>
      </c>
      <c r="O89" s="40"/>
    </row>
    <row r="90" spans="1:16" s="41" customFormat="1" ht="38.25">
      <c r="A90" s="34">
        <v>81</v>
      </c>
      <c r="B90" s="35" t="s">
        <v>112</v>
      </c>
      <c r="C90" s="80" t="s">
        <v>511</v>
      </c>
      <c r="D90" s="35" t="s">
        <v>512</v>
      </c>
      <c r="E90" s="35" t="s">
        <v>431</v>
      </c>
      <c r="F90" s="35"/>
      <c r="G90" s="204" t="s">
        <v>573</v>
      </c>
      <c r="H90" s="206" t="s">
        <v>504</v>
      </c>
      <c r="I90" s="35" t="s">
        <v>595</v>
      </c>
      <c r="J90" s="208" t="s">
        <v>468</v>
      </c>
      <c r="K90" s="35"/>
      <c r="L90" s="209" t="s">
        <v>570</v>
      </c>
      <c r="M90" s="35" t="s">
        <v>506</v>
      </c>
      <c r="N90" s="47" t="s">
        <v>501</v>
      </c>
      <c r="O90" s="40"/>
    </row>
    <row r="91" spans="1:16" s="41" customFormat="1" ht="33" customHeight="1">
      <c r="A91" s="34"/>
      <c r="B91" s="35"/>
      <c r="C91" s="34"/>
      <c r="D91" s="35"/>
      <c r="E91" s="35" t="s">
        <v>431</v>
      </c>
      <c r="F91" s="35"/>
      <c r="G91" s="205"/>
      <c r="H91" s="207"/>
      <c r="I91" s="35"/>
      <c r="J91" s="205"/>
      <c r="K91" s="35"/>
      <c r="L91" s="210"/>
      <c r="M91" s="35"/>
      <c r="N91" s="47"/>
      <c r="O91" s="40"/>
    </row>
    <row r="92" spans="1:16" s="41" customFormat="1" ht="102.75" customHeight="1">
      <c r="A92" s="48">
        <v>82</v>
      </c>
      <c r="B92" s="49" t="s">
        <v>113</v>
      </c>
      <c r="C92" s="48" t="s">
        <v>409</v>
      </c>
      <c r="D92" s="49"/>
      <c r="E92" s="49" t="s">
        <v>431</v>
      </c>
      <c r="F92" s="49"/>
      <c r="G92" s="29" t="s">
        <v>513</v>
      </c>
      <c r="H92" s="49"/>
      <c r="I92" s="49" t="s">
        <v>595</v>
      </c>
      <c r="J92" s="29" t="s">
        <v>459</v>
      </c>
      <c r="K92" s="49" t="s">
        <v>596</v>
      </c>
      <c r="L92" s="29" t="s">
        <v>513</v>
      </c>
      <c r="M92" s="49"/>
      <c r="N92" s="50"/>
      <c r="O92" s="40"/>
    </row>
    <row r="93" spans="1:16" s="41" customFormat="1" ht="37.5" customHeight="1">
      <c r="A93" s="34">
        <v>83</v>
      </c>
      <c r="B93" s="35" t="s">
        <v>115</v>
      </c>
      <c r="C93" s="34"/>
      <c r="D93" s="35" t="s">
        <v>514</v>
      </c>
      <c r="E93" s="35" t="s">
        <v>431</v>
      </c>
      <c r="F93" s="35"/>
      <c r="G93" s="80" t="s">
        <v>515</v>
      </c>
      <c r="H93" s="35"/>
      <c r="I93" s="35" t="s">
        <v>594</v>
      </c>
      <c r="J93" s="80" t="s">
        <v>459</v>
      </c>
      <c r="K93" s="35" t="s">
        <v>516</v>
      </c>
      <c r="L93" s="35" t="s">
        <v>517</v>
      </c>
      <c r="M93" s="35" t="s">
        <v>506</v>
      </c>
      <c r="N93" s="47"/>
      <c r="O93" s="40"/>
    </row>
    <row r="94" spans="1:16" s="41" customFormat="1" ht="35.25" customHeight="1">
      <c r="A94" s="42">
        <v>84</v>
      </c>
      <c r="B94" s="43" t="s">
        <v>116</v>
      </c>
      <c r="C94" s="42"/>
      <c r="D94" s="43"/>
      <c r="E94" s="43" t="s">
        <v>431</v>
      </c>
      <c r="F94" s="43"/>
      <c r="G94" s="65" t="s">
        <v>517</v>
      </c>
      <c r="H94" s="43"/>
      <c r="I94" s="43" t="s">
        <v>595</v>
      </c>
      <c r="J94" s="65" t="s">
        <v>459</v>
      </c>
      <c r="K94" s="43"/>
      <c r="L94" s="43" t="s">
        <v>517</v>
      </c>
      <c r="M94" s="43" t="s">
        <v>506</v>
      </c>
      <c r="N94" s="66"/>
      <c r="O94" s="40"/>
    </row>
    <row r="95" spans="1:16" s="41" customFormat="1" ht="35.25" customHeight="1">
      <c r="A95" s="34">
        <v>85</v>
      </c>
      <c r="B95" s="35" t="s">
        <v>117</v>
      </c>
      <c r="C95" s="34"/>
      <c r="D95" s="35"/>
      <c r="E95" s="35" t="s">
        <v>431</v>
      </c>
      <c r="F95" s="35" t="s">
        <v>518</v>
      </c>
      <c r="G95" s="44"/>
      <c r="H95" s="44"/>
      <c r="I95" s="44"/>
      <c r="J95" s="44"/>
      <c r="K95" s="44"/>
      <c r="L95" s="44"/>
      <c r="M95" s="44"/>
      <c r="N95" s="44"/>
      <c r="O95" s="40"/>
    </row>
    <row r="96" spans="1:16" s="41" customFormat="1" ht="30" customHeight="1">
      <c r="A96" s="42">
        <v>86</v>
      </c>
      <c r="B96" s="43" t="s">
        <v>76</v>
      </c>
      <c r="C96" s="42"/>
      <c r="D96" s="43"/>
      <c r="E96" s="43" t="s">
        <v>431</v>
      </c>
      <c r="F96" s="43" t="s">
        <v>13</v>
      </c>
      <c r="G96" s="44"/>
      <c r="H96" s="44"/>
      <c r="I96" s="44"/>
      <c r="J96" s="44"/>
      <c r="K96" s="44"/>
      <c r="L96" s="44"/>
      <c r="M96" s="44"/>
      <c r="N96" s="44"/>
      <c r="O96" s="45"/>
      <c r="P96" s="40"/>
    </row>
    <row r="97" spans="1:16" s="41" customFormat="1" ht="127.5">
      <c r="A97" s="34">
        <v>87</v>
      </c>
      <c r="B97" s="35" t="s">
        <v>118</v>
      </c>
      <c r="C97" s="34"/>
      <c r="D97" s="35"/>
      <c r="E97" s="35" t="s">
        <v>438</v>
      </c>
      <c r="F97" s="35"/>
      <c r="G97" s="80" t="s">
        <v>611</v>
      </c>
      <c r="H97" s="35" t="s">
        <v>552</v>
      </c>
      <c r="I97" s="35" t="s">
        <v>595</v>
      </c>
      <c r="J97" s="80" t="s">
        <v>459</v>
      </c>
      <c r="K97" s="35" t="s">
        <v>558</v>
      </c>
      <c r="L97" s="35" t="s">
        <v>601</v>
      </c>
      <c r="M97" s="35" t="s">
        <v>539</v>
      </c>
      <c r="N97" s="47" t="s">
        <v>501</v>
      </c>
      <c r="O97" s="45"/>
      <c r="P97" s="40"/>
    </row>
    <row r="98" spans="1:16" s="41" customFormat="1" ht="127.5">
      <c r="A98" s="48">
        <v>88</v>
      </c>
      <c r="B98" s="49" t="s">
        <v>120</v>
      </c>
      <c r="C98" s="48">
        <v>68</v>
      </c>
      <c r="D98" s="49"/>
      <c r="E98" s="49" t="s">
        <v>438</v>
      </c>
      <c r="F98" s="49"/>
      <c r="G98" s="29" t="s">
        <v>611</v>
      </c>
      <c r="H98" s="49" t="s">
        <v>552</v>
      </c>
      <c r="I98" s="49" t="s">
        <v>595</v>
      </c>
      <c r="J98" s="29" t="s">
        <v>459</v>
      </c>
      <c r="K98" s="49" t="s">
        <v>558</v>
      </c>
      <c r="L98" s="49" t="s">
        <v>601</v>
      </c>
      <c r="M98" s="49" t="s">
        <v>539</v>
      </c>
      <c r="N98" s="50" t="s">
        <v>501</v>
      </c>
      <c r="O98" s="45"/>
      <c r="P98" s="40"/>
    </row>
    <row r="99" spans="1:16" s="41" customFormat="1" ht="30" customHeight="1">
      <c r="A99" s="34">
        <v>89</v>
      </c>
      <c r="B99" s="35" t="s">
        <v>121</v>
      </c>
      <c r="C99" s="34"/>
      <c r="D99" s="35" t="s">
        <v>122</v>
      </c>
      <c r="E99" s="35" t="s">
        <v>435</v>
      </c>
      <c r="F99" s="35" t="s">
        <v>123</v>
      </c>
      <c r="G99" s="46"/>
      <c r="H99" s="44"/>
      <c r="I99" s="44"/>
      <c r="J99" s="46"/>
      <c r="K99" s="44"/>
      <c r="L99" s="44"/>
      <c r="M99" s="44"/>
      <c r="N99" s="44"/>
      <c r="O99" s="45"/>
      <c r="P99" s="40"/>
    </row>
    <row r="100" spans="1:16" s="41" customFormat="1" ht="30" customHeight="1">
      <c r="A100" s="48">
        <v>90</v>
      </c>
      <c r="B100" s="49" t="s">
        <v>124</v>
      </c>
      <c r="C100" s="48" t="s">
        <v>444</v>
      </c>
      <c r="D100" s="49" t="s">
        <v>122</v>
      </c>
      <c r="E100" s="49" t="s">
        <v>435</v>
      </c>
      <c r="F100" s="49" t="s">
        <v>123</v>
      </c>
      <c r="G100" s="38"/>
      <c r="H100" s="44"/>
      <c r="I100" s="44"/>
      <c r="J100" s="38"/>
      <c r="K100" s="44"/>
      <c r="L100" s="44"/>
      <c r="M100" s="44"/>
      <c r="N100" s="44"/>
      <c r="O100" s="45"/>
      <c r="P100" s="40"/>
    </row>
    <row r="101" spans="1:16" s="41" customFormat="1" ht="127.5">
      <c r="A101" s="34">
        <v>91</v>
      </c>
      <c r="B101" s="35" t="s">
        <v>125</v>
      </c>
      <c r="C101" s="34"/>
      <c r="D101" s="35"/>
      <c r="E101" s="35" t="s">
        <v>438</v>
      </c>
      <c r="F101" s="35"/>
      <c r="G101" s="80" t="s">
        <v>611</v>
      </c>
      <c r="H101" s="35" t="s">
        <v>552</v>
      </c>
      <c r="I101" s="35" t="s">
        <v>595</v>
      </c>
      <c r="J101" s="80" t="s">
        <v>459</v>
      </c>
      <c r="K101" s="35" t="s">
        <v>558</v>
      </c>
      <c r="L101" s="35" t="s">
        <v>601</v>
      </c>
      <c r="M101" s="35" t="s">
        <v>539</v>
      </c>
      <c r="N101" s="47" t="s">
        <v>501</v>
      </c>
      <c r="O101" s="45"/>
      <c r="P101" s="40"/>
    </row>
    <row r="102" spans="1:16" s="41" customFormat="1" ht="30" customHeight="1">
      <c r="A102" s="42">
        <v>92</v>
      </c>
      <c r="B102" s="43" t="s">
        <v>76</v>
      </c>
      <c r="C102" s="42">
        <v>68</v>
      </c>
      <c r="D102" s="43"/>
      <c r="E102" s="43" t="s">
        <v>435</v>
      </c>
      <c r="F102" s="43" t="s">
        <v>13</v>
      </c>
      <c r="G102" s="44"/>
      <c r="H102" s="44"/>
      <c r="I102" s="44"/>
      <c r="J102" s="44"/>
      <c r="K102" s="44"/>
      <c r="L102" s="44"/>
      <c r="M102" s="44"/>
      <c r="N102" s="44"/>
      <c r="O102" s="45"/>
      <c r="P102" s="40"/>
    </row>
    <row r="103" spans="1:16" s="41" customFormat="1" ht="127.5">
      <c r="A103" s="34">
        <v>93</v>
      </c>
      <c r="B103" s="35" t="s">
        <v>126</v>
      </c>
      <c r="C103" s="34" t="s">
        <v>445</v>
      </c>
      <c r="D103" s="35" t="s">
        <v>559</v>
      </c>
      <c r="E103" s="35" t="s">
        <v>438</v>
      </c>
      <c r="F103" s="35"/>
      <c r="G103" s="80" t="s">
        <v>611</v>
      </c>
      <c r="H103" s="35" t="s">
        <v>552</v>
      </c>
      <c r="I103" s="35" t="s">
        <v>595</v>
      </c>
      <c r="J103" s="80" t="s">
        <v>459</v>
      </c>
      <c r="K103" s="35" t="s">
        <v>558</v>
      </c>
      <c r="L103" s="35" t="s">
        <v>601</v>
      </c>
      <c r="M103" s="35" t="s">
        <v>539</v>
      </c>
      <c r="N103" s="47" t="s">
        <v>501</v>
      </c>
      <c r="O103" s="45"/>
      <c r="P103" s="40"/>
    </row>
    <row r="104" spans="1:16" s="41" customFormat="1" ht="114.75">
      <c r="A104" s="48">
        <v>94</v>
      </c>
      <c r="B104" s="49" t="s">
        <v>128</v>
      </c>
      <c r="C104" s="48" t="s">
        <v>445</v>
      </c>
      <c r="D104" s="49" t="s">
        <v>560</v>
      </c>
      <c r="E104" s="49" t="s">
        <v>438</v>
      </c>
      <c r="F104" s="49"/>
      <c r="G104" s="29" t="s">
        <v>612</v>
      </c>
      <c r="H104" s="49" t="s">
        <v>552</v>
      </c>
      <c r="I104" s="49" t="s">
        <v>595</v>
      </c>
      <c r="J104" s="29" t="s">
        <v>459</v>
      </c>
      <c r="K104" s="49" t="s">
        <v>558</v>
      </c>
      <c r="L104" s="49" t="s">
        <v>601</v>
      </c>
      <c r="M104" s="49" t="s">
        <v>539</v>
      </c>
      <c r="N104" s="50" t="s">
        <v>501</v>
      </c>
      <c r="O104" s="45"/>
      <c r="P104" s="40"/>
    </row>
    <row r="105" spans="1:16" s="41" customFormat="1" ht="127.5">
      <c r="A105" s="34">
        <v>95</v>
      </c>
      <c r="B105" s="35" t="s">
        <v>129</v>
      </c>
      <c r="C105" s="34" t="s">
        <v>445</v>
      </c>
      <c r="D105" s="35" t="s">
        <v>560</v>
      </c>
      <c r="E105" s="35" t="s">
        <v>438</v>
      </c>
      <c r="F105" s="35"/>
      <c r="G105" s="80" t="s">
        <v>611</v>
      </c>
      <c r="H105" s="35" t="s">
        <v>552</v>
      </c>
      <c r="I105" s="35" t="s">
        <v>595</v>
      </c>
      <c r="J105" s="80" t="s">
        <v>459</v>
      </c>
      <c r="K105" s="35" t="s">
        <v>558</v>
      </c>
      <c r="L105" s="35" t="s">
        <v>601</v>
      </c>
      <c r="M105" s="35" t="s">
        <v>539</v>
      </c>
      <c r="N105" s="47" t="s">
        <v>501</v>
      </c>
      <c r="O105" s="45"/>
      <c r="P105" s="40"/>
    </row>
    <row r="106" spans="1:16" s="41" customFormat="1" ht="127.5">
      <c r="A106" s="48">
        <v>96</v>
      </c>
      <c r="B106" s="49" t="s">
        <v>130</v>
      </c>
      <c r="C106" s="48">
        <v>80</v>
      </c>
      <c r="D106" s="49" t="s">
        <v>122</v>
      </c>
      <c r="E106" s="49" t="s">
        <v>438</v>
      </c>
      <c r="F106" s="49"/>
      <c r="G106" s="29" t="s">
        <v>611</v>
      </c>
      <c r="H106" s="49" t="s">
        <v>552</v>
      </c>
      <c r="I106" s="49" t="s">
        <v>595</v>
      </c>
      <c r="J106" s="29" t="s">
        <v>459</v>
      </c>
      <c r="K106" s="49" t="s">
        <v>558</v>
      </c>
      <c r="L106" s="49" t="s">
        <v>601</v>
      </c>
      <c r="M106" s="49" t="s">
        <v>539</v>
      </c>
      <c r="N106" s="50" t="s">
        <v>501</v>
      </c>
      <c r="O106" s="45"/>
      <c r="P106" s="40"/>
    </row>
    <row r="107" spans="1:16" s="41" customFormat="1" ht="30" customHeight="1">
      <c r="A107" s="34">
        <v>97</v>
      </c>
      <c r="B107" s="35" t="s">
        <v>76</v>
      </c>
      <c r="C107" s="34"/>
      <c r="D107" s="35"/>
      <c r="E107" s="35" t="s">
        <v>435</v>
      </c>
      <c r="F107" s="35" t="s">
        <v>13</v>
      </c>
      <c r="G107" s="46"/>
      <c r="H107" s="44"/>
      <c r="I107" s="44"/>
      <c r="J107" s="46"/>
      <c r="K107" s="44"/>
      <c r="L107" s="44"/>
      <c r="M107" s="44"/>
      <c r="N107" s="44"/>
      <c r="O107" s="45"/>
      <c r="P107" s="40"/>
    </row>
    <row r="108" spans="1:16" s="41" customFormat="1" ht="30" customHeight="1">
      <c r="A108" s="42">
        <v>98</v>
      </c>
      <c r="B108" s="43" t="s">
        <v>131</v>
      </c>
      <c r="C108" s="42" t="s">
        <v>446</v>
      </c>
      <c r="D108" s="43"/>
      <c r="E108" s="43" t="s">
        <v>438</v>
      </c>
      <c r="F108" s="43"/>
      <c r="G108" s="29" t="s">
        <v>557</v>
      </c>
      <c r="H108" s="49" t="s">
        <v>552</v>
      </c>
      <c r="I108" s="49" t="s">
        <v>595</v>
      </c>
      <c r="J108" s="29" t="s">
        <v>459</v>
      </c>
      <c r="K108" s="49" t="s">
        <v>558</v>
      </c>
      <c r="L108" s="49" t="s">
        <v>556</v>
      </c>
      <c r="M108" s="49" t="s">
        <v>539</v>
      </c>
      <c r="N108" s="50" t="s">
        <v>501</v>
      </c>
      <c r="O108" s="45"/>
      <c r="P108" s="40"/>
    </row>
    <row r="109" spans="1:16" s="41" customFormat="1" ht="30" customHeight="1">
      <c r="A109" s="34">
        <v>99</v>
      </c>
      <c r="B109" s="35" t="s">
        <v>76</v>
      </c>
      <c r="C109" s="34" t="s">
        <v>410</v>
      </c>
      <c r="D109" s="80" t="s">
        <v>132</v>
      </c>
      <c r="E109" s="80" t="s">
        <v>435</v>
      </c>
      <c r="F109" s="80" t="s">
        <v>13</v>
      </c>
      <c r="G109" s="46"/>
      <c r="H109" s="44"/>
      <c r="I109" s="44"/>
      <c r="J109" s="46"/>
      <c r="K109" s="44"/>
      <c r="L109" s="44"/>
      <c r="M109" s="44"/>
      <c r="N109" s="44"/>
      <c r="O109" s="45"/>
      <c r="P109" s="40"/>
    </row>
    <row r="110" spans="1:16" s="41" customFormat="1" ht="30" customHeight="1">
      <c r="A110" s="34"/>
      <c r="B110" s="35"/>
      <c r="C110" s="34"/>
      <c r="D110" s="35"/>
      <c r="E110" s="35"/>
      <c r="F110" s="35"/>
      <c r="G110" s="46"/>
      <c r="H110" s="44"/>
      <c r="I110" s="44"/>
      <c r="J110" s="46"/>
      <c r="K110" s="44"/>
      <c r="L110" s="44"/>
      <c r="M110" s="44"/>
      <c r="N110" s="44"/>
      <c r="O110" s="45"/>
      <c r="P110" s="40"/>
    </row>
    <row r="111" spans="1:16" s="41" customFormat="1" ht="30" customHeight="1">
      <c r="A111" s="42">
        <v>100</v>
      </c>
      <c r="B111" s="43" t="s">
        <v>106</v>
      </c>
      <c r="C111" s="42"/>
      <c r="D111" s="43"/>
      <c r="E111" s="43" t="s">
        <v>438</v>
      </c>
      <c r="F111" s="43"/>
      <c r="G111" s="65" t="s">
        <v>127</v>
      </c>
      <c r="H111" s="43"/>
      <c r="I111" s="43" t="s">
        <v>595</v>
      </c>
      <c r="J111" s="65" t="s">
        <v>468</v>
      </c>
      <c r="K111" s="43"/>
      <c r="L111" s="43"/>
      <c r="M111" s="43"/>
      <c r="N111" s="66"/>
      <c r="O111" s="45"/>
      <c r="P111" s="40"/>
    </row>
    <row r="112" spans="1:16" s="41" customFormat="1" ht="30" customHeight="1">
      <c r="A112" s="34">
        <v>101</v>
      </c>
      <c r="B112" s="35" t="s">
        <v>133</v>
      </c>
      <c r="C112" s="34" t="s">
        <v>411</v>
      </c>
      <c r="D112" s="59"/>
      <c r="E112" s="59" t="s">
        <v>438</v>
      </c>
      <c r="F112" s="59"/>
      <c r="G112" s="60" t="s">
        <v>134</v>
      </c>
      <c r="H112" s="59"/>
      <c r="I112" s="59" t="s">
        <v>595</v>
      </c>
      <c r="J112" s="60" t="s">
        <v>468</v>
      </c>
      <c r="K112" s="59"/>
      <c r="L112" s="59"/>
      <c r="M112" s="59" t="s">
        <v>472</v>
      </c>
      <c r="N112" s="61" t="s">
        <v>473</v>
      </c>
      <c r="O112" s="45"/>
      <c r="P112" s="40"/>
    </row>
    <row r="113" spans="1:16" s="41" customFormat="1" ht="30" customHeight="1">
      <c r="A113" s="34"/>
      <c r="B113" s="35"/>
      <c r="C113" s="62"/>
      <c r="D113" s="59"/>
      <c r="E113" s="59"/>
      <c r="F113" s="59"/>
      <c r="G113" s="60" t="s">
        <v>135</v>
      </c>
      <c r="H113" s="59"/>
      <c r="I113" s="59"/>
      <c r="J113" s="60"/>
      <c r="K113" s="59"/>
      <c r="L113" s="59"/>
      <c r="M113" s="59"/>
      <c r="N113" s="61"/>
      <c r="O113" s="45"/>
      <c r="P113" s="40"/>
    </row>
    <row r="114" spans="1:16" s="41" customFormat="1" ht="30" customHeight="1">
      <c r="A114" s="34"/>
      <c r="B114" s="35"/>
      <c r="C114" s="62"/>
      <c r="D114" s="59"/>
      <c r="E114" s="59"/>
      <c r="F114" s="59"/>
      <c r="G114" s="80" t="s">
        <v>136</v>
      </c>
      <c r="H114" s="59"/>
      <c r="I114" s="59"/>
      <c r="J114" s="60"/>
      <c r="K114" s="59"/>
      <c r="L114" s="59"/>
      <c r="M114" s="59"/>
      <c r="N114" s="61"/>
      <c r="O114" s="45"/>
      <c r="P114" s="40"/>
    </row>
    <row r="115" spans="1:16" s="41" customFormat="1" ht="30" customHeight="1">
      <c r="A115" s="34"/>
      <c r="B115" s="35"/>
      <c r="C115" s="62"/>
      <c r="D115" s="59"/>
      <c r="E115" s="59"/>
      <c r="F115" s="59"/>
      <c r="G115" s="60" t="s">
        <v>127</v>
      </c>
      <c r="H115" s="59"/>
      <c r="I115" s="59"/>
      <c r="J115" s="60"/>
      <c r="K115" s="59"/>
      <c r="L115" s="59"/>
      <c r="M115" s="59"/>
      <c r="N115" s="61"/>
      <c r="O115" s="45"/>
      <c r="P115" s="40"/>
    </row>
    <row r="116" spans="1:16" s="41" customFormat="1" ht="30" customHeight="1">
      <c r="A116" s="34"/>
      <c r="B116" s="35"/>
      <c r="C116" s="34"/>
      <c r="D116" s="35"/>
      <c r="E116" s="35"/>
      <c r="F116" s="35"/>
      <c r="G116" s="80"/>
      <c r="H116" s="35"/>
      <c r="I116" s="35"/>
      <c r="J116" s="80"/>
      <c r="K116" s="35"/>
      <c r="L116" s="35"/>
      <c r="M116" s="35"/>
      <c r="N116" s="47"/>
      <c r="O116" s="45"/>
      <c r="P116" s="40"/>
    </row>
    <row r="117" spans="1:16" s="41" customFormat="1" ht="76.5">
      <c r="A117" s="48">
        <v>102</v>
      </c>
      <c r="B117" s="49" t="s">
        <v>137</v>
      </c>
      <c r="C117" s="48"/>
      <c r="D117" s="49"/>
      <c r="E117" s="49" t="s">
        <v>438</v>
      </c>
      <c r="F117" s="49"/>
      <c r="G117" s="29" t="s">
        <v>597</v>
      </c>
      <c r="H117" s="49"/>
      <c r="I117" s="49" t="s">
        <v>595</v>
      </c>
      <c r="J117" s="29" t="s">
        <v>459</v>
      </c>
      <c r="K117" s="49" t="s">
        <v>561</v>
      </c>
      <c r="L117" s="49" t="s">
        <v>555</v>
      </c>
      <c r="M117" s="49" t="s">
        <v>472</v>
      </c>
      <c r="N117" s="50"/>
      <c r="O117" s="45"/>
      <c r="P117" s="40"/>
    </row>
    <row r="118" spans="1:16" s="41" customFormat="1" ht="63.75" customHeight="1">
      <c r="A118" s="34">
        <v>103</v>
      </c>
      <c r="B118" s="35" t="s">
        <v>138</v>
      </c>
      <c r="C118" s="34">
        <v>205</v>
      </c>
      <c r="D118" s="35" t="s">
        <v>139</v>
      </c>
      <c r="E118" s="35"/>
      <c r="F118" s="35" t="s">
        <v>538</v>
      </c>
      <c r="G118" s="46"/>
      <c r="H118" s="44"/>
      <c r="I118" s="44"/>
      <c r="J118" s="46"/>
      <c r="K118" s="44"/>
      <c r="L118" s="44"/>
      <c r="M118" s="44"/>
      <c r="N118" s="44"/>
      <c r="O118" s="45"/>
      <c r="P118" s="40"/>
    </row>
    <row r="119" spans="1:16" s="41" customFormat="1" ht="30" customHeight="1">
      <c r="A119" s="48">
        <v>104</v>
      </c>
      <c r="B119" s="49" t="s">
        <v>140</v>
      </c>
      <c r="C119" s="48">
        <v>90</v>
      </c>
      <c r="D119" s="49" t="s">
        <v>141</v>
      </c>
      <c r="E119" s="49" t="s">
        <v>438</v>
      </c>
      <c r="F119" s="49" t="s">
        <v>538</v>
      </c>
      <c r="G119" s="46"/>
      <c r="H119" s="44"/>
      <c r="I119" s="44"/>
      <c r="J119" s="46"/>
      <c r="K119" s="44"/>
      <c r="L119" s="44"/>
      <c r="M119" s="44"/>
      <c r="N119" s="44"/>
      <c r="O119" s="45"/>
      <c r="P119" s="40"/>
    </row>
    <row r="120" spans="1:16" s="41" customFormat="1" ht="30" customHeight="1">
      <c r="A120" s="55"/>
      <c r="B120" s="56"/>
      <c r="C120" s="55"/>
      <c r="D120" s="56" t="s">
        <v>142</v>
      </c>
      <c r="E120" s="56"/>
      <c r="F120" s="56" t="s">
        <v>538</v>
      </c>
      <c r="G120" s="46"/>
      <c r="H120" s="44"/>
      <c r="I120" s="44"/>
      <c r="J120" s="46"/>
      <c r="K120" s="44"/>
      <c r="L120" s="44"/>
      <c r="M120" s="44"/>
      <c r="N120" s="44"/>
      <c r="O120" s="45"/>
      <c r="P120" s="40"/>
    </row>
    <row r="121" spans="1:16" s="41" customFormat="1" ht="67.5" customHeight="1">
      <c r="A121" s="51"/>
      <c r="B121" s="52"/>
      <c r="C121" s="51"/>
      <c r="D121" s="52" t="s">
        <v>143</v>
      </c>
      <c r="E121" s="52"/>
      <c r="F121" s="52" t="s">
        <v>538</v>
      </c>
      <c r="G121" s="46"/>
      <c r="H121" s="44"/>
      <c r="I121" s="44"/>
      <c r="J121" s="46"/>
      <c r="K121" s="44"/>
      <c r="L121" s="44"/>
      <c r="M121" s="44"/>
      <c r="N121" s="44"/>
      <c r="O121" s="45"/>
      <c r="P121" s="40"/>
    </row>
    <row r="122" spans="1:16" s="41" customFormat="1" ht="51">
      <c r="A122" s="34">
        <v>105</v>
      </c>
      <c r="B122" s="35" t="s">
        <v>144</v>
      </c>
      <c r="C122" s="34" t="s">
        <v>412</v>
      </c>
      <c r="D122" s="35" t="s">
        <v>145</v>
      </c>
      <c r="E122" s="35" t="s">
        <v>438</v>
      </c>
      <c r="F122" s="35" t="s">
        <v>538</v>
      </c>
      <c r="G122" s="46"/>
      <c r="H122" s="44"/>
      <c r="I122" s="44"/>
      <c r="J122" s="46"/>
      <c r="K122" s="44"/>
      <c r="L122" s="44"/>
      <c r="M122" s="44"/>
      <c r="N122" s="44"/>
      <c r="O122" s="45">
        <v>1</v>
      </c>
      <c r="P122" s="40"/>
    </row>
    <row r="123" spans="1:16" s="41" customFormat="1" ht="30" customHeight="1">
      <c r="A123" s="34"/>
      <c r="B123" s="35"/>
      <c r="C123" s="34"/>
      <c r="D123" s="35" t="s">
        <v>146</v>
      </c>
      <c r="E123" s="35"/>
      <c r="F123" s="35" t="s">
        <v>538</v>
      </c>
      <c r="G123" s="46"/>
      <c r="H123" s="44"/>
      <c r="I123" s="44"/>
      <c r="J123" s="46"/>
      <c r="K123" s="44"/>
      <c r="L123" s="44"/>
      <c r="M123" s="44"/>
      <c r="N123" s="44"/>
      <c r="O123" s="45"/>
      <c r="P123" s="40"/>
    </row>
    <row r="124" spans="1:16" s="41" customFormat="1" ht="30" customHeight="1">
      <c r="A124" s="34"/>
      <c r="B124" s="35"/>
      <c r="C124" s="34"/>
      <c r="D124" s="35" t="s">
        <v>141</v>
      </c>
      <c r="E124" s="35"/>
      <c r="F124" s="35" t="s">
        <v>538</v>
      </c>
      <c r="G124" s="46"/>
      <c r="H124" s="44"/>
      <c r="I124" s="44"/>
      <c r="J124" s="46"/>
      <c r="K124" s="44"/>
      <c r="L124" s="44"/>
      <c r="M124" s="44"/>
      <c r="N124" s="44"/>
      <c r="O124" s="45"/>
      <c r="P124" s="40"/>
    </row>
    <row r="125" spans="1:16" s="41" customFormat="1" ht="30" customHeight="1">
      <c r="A125" s="34"/>
      <c r="B125" s="35"/>
      <c r="C125" s="34"/>
      <c r="D125" s="35" t="s">
        <v>147</v>
      </c>
      <c r="E125" s="35"/>
      <c r="F125" s="35" t="s">
        <v>538</v>
      </c>
      <c r="G125" s="46"/>
      <c r="H125" s="44"/>
      <c r="I125" s="44"/>
      <c r="J125" s="46"/>
      <c r="K125" s="44"/>
      <c r="L125" s="44"/>
      <c r="M125" s="44"/>
      <c r="N125" s="44"/>
      <c r="O125" s="45"/>
      <c r="P125" s="40"/>
    </row>
    <row r="126" spans="1:16" s="41" customFormat="1" ht="30" customHeight="1">
      <c r="A126" s="34"/>
      <c r="B126" s="35"/>
      <c r="C126" s="34"/>
      <c r="D126" s="35" t="s">
        <v>142</v>
      </c>
      <c r="E126" s="35"/>
      <c r="F126" s="35" t="s">
        <v>538</v>
      </c>
      <c r="G126" s="46"/>
      <c r="H126" s="44"/>
      <c r="I126" s="44"/>
      <c r="J126" s="46"/>
      <c r="K126" s="44"/>
      <c r="L126" s="44"/>
      <c r="M126" s="44"/>
      <c r="N126" s="44"/>
      <c r="O126" s="45"/>
      <c r="P126" s="40"/>
    </row>
    <row r="127" spans="1:16" s="41" customFormat="1" ht="30" customHeight="1">
      <c r="A127" s="34"/>
      <c r="B127" s="35"/>
      <c r="C127" s="34"/>
      <c r="D127" s="35" t="s">
        <v>143</v>
      </c>
      <c r="E127" s="35"/>
      <c r="F127" s="35" t="s">
        <v>538</v>
      </c>
      <c r="G127" s="46"/>
      <c r="H127" s="44"/>
      <c r="I127" s="44"/>
      <c r="J127" s="46"/>
      <c r="K127" s="44"/>
      <c r="L127" s="44"/>
      <c r="M127" s="44"/>
      <c r="N127" s="44"/>
      <c r="O127" s="45"/>
      <c r="P127" s="40"/>
    </row>
    <row r="128" spans="1:16" s="41" customFormat="1" ht="52.5" customHeight="1">
      <c r="A128" s="42">
        <v>106</v>
      </c>
      <c r="B128" s="43" t="s">
        <v>148</v>
      </c>
      <c r="C128" s="42">
        <v>172</v>
      </c>
      <c r="D128" s="43"/>
      <c r="E128" s="43" t="s">
        <v>438</v>
      </c>
      <c r="F128" s="43" t="s">
        <v>538</v>
      </c>
      <c r="G128" s="46"/>
      <c r="H128" s="44"/>
      <c r="I128" s="44"/>
      <c r="J128" s="46"/>
      <c r="K128" s="44"/>
      <c r="L128" s="44"/>
      <c r="M128" s="44"/>
      <c r="N128" s="44"/>
      <c r="O128" s="45"/>
      <c r="P128" s="40"/>
    </row>
    <row r="129" spans="1:16" s="41" customFormat="1" ht="30" customHeight="1">
      <c r="A129" s="34">
        <v>107</v>
      </c>
      <c r="B129" s="35" t="s">
        <v>149</v>
      </c>
      <c r="C129" s="34">
        <v>204</v>
      </c>
      <c r="D129" s="35"/>
      <c r="E129" s="35" t="s">
        <v>438</v>
      </c>
      <c r="F129" s="35" t="s">
        <v>538</v>
      </c>
      <c r="G129" s="46"/>
      <c r="H129" s="44"/>
      <c r="I129" s="44"/>
      <c r="J129" s="46"/>
      <c r="K129" s="44"/>
      <c r="L129" s="44"/>
      <c r="M129" s="44"/>
      <c r="N129" s="44"/>
      <c r="O129" s="45">
        <v>1</v>
      </c>
      <c r="P129" s="40"/>
    </row>
    <row r="130" spans="1:16" s="41" customFormat="1" ht="63.75" customHeight="1">
      <c r="A130" s="48">
        <v>108</v>
      </c>
      <c r="B130" s="49" t="s">
        <v>150</v>
      </c>
      <c r="C130" s="48" t="s">
        <v>413</v>
      </c>
      <c r="D130" s="49" t="s">
        <v>139</v>
      </c>
      <c r="E130" s="49" t="s">
        <v>438</v>
      </c>
      <c r="F130" s="49" t="s">
        <v>538</v>
      </c>
      <c r="G130" s="46"/>
      <c r="H130" s="44"/>
      <c r="I130" s="44"/>
      <c r="J130" s="46"/>
      <c r="K130" s="44"/>
      <c r="L130" s="44"/>
      <c r="M130" s="44"/>
      <c r="N130" s="44"/>
      <c r="O130" s="45">
        <v>1</v>
      </c>
      <c r="P130" s="40"/>
    </row>
    <row r="131" spans="1:16" s="41" customFormat="1" ht="30" customHeight="1">
      <c r="A131" s="34">
        <v>109</v>
      </c>
      <c r="B131" s="35" t="s">
        <v>151</v>
      </c>
      <c r="C131" s="34" t="s">
        <v>414</v>
      </c>
      <c r="D131" s="35"/>
      <c r="E131" s="35" t="s">
        <v>435</v>
      </c>
      <c r="F131" s="35" t="s">
        <v>13</v>
      </c>
      <c r="G131" s="46"/>
      <c r="H131" s="44"/>
      <c r="I131" s="44"/>
      <c r="J131" s="46"/>
      <c r="K131" s="44"/>
      <c r="L131" s="44"/>
      <c r="M131" s="44"/>
      <c r="N131" s="44"/>
      <c r="O131" s="45"/>
      <c r="P131" s="40"/>
    </row>
    <row r="132" spans="1:16" s="41" customFormat="1" ht="54.75" customHeight="1">
      <c r="A132" s="42">
        <v>110</v>
      </c>
      <c r="B132" s="43" t="s">
        <v>152</v>
      </c>
      <c r="C132" s="42"/>
      <c r="D132" s="43"/>
      <c r="E132" s="43" t="s">
        <v>435</v>
      </c>
      <c r="F132" s="43" t="s">
        <v>153</v>
      </c>
      <c r="G132" s="44"/>
      <c r="H132" s="44"/>
      <c r="I132" s="44"/>
      <c r="J132" s="44"/>
      <c r="K132" s="44"/>
      <c r="L132" s="44"/>
      <c r="M132" s="44"/>
      <c r="N132" s="44"/>
      <c r="O132" s="45">
        <v>1</v>
      </c>
      <c r="P132" s="40"/>
    </row>
    <row r="133" spans="1:16" s="41" customFormat="1" ht="30" customHeight="1">
      <c r="A133" s="34">
        <v>111</v>
      </c>
      <c r="B133" s="35" t="s">
        <v>76</v>
      </c>
      <c r="C133" s="34" t="s">
        <v>415</v>
      </c>
      <c r="D133" s="35"/>
      <c r="E133" s="35" t="s">
        <v>435</v>
      </c>
      <c r="F133" s="35" t="s">
        <v>13</v>
      </c>
      <c r="G133" s="46"/>
      <c r="H133" s="44"/>
      <c r="I133" s="44"/>
      <c r="J133" s="46"/>
      <c r="K133" s="44"/>
      <c r="L133" s="44"/>
      <c r="M133" s="44"/>
      <c r="N133" s="44"/>
      <c r="O133" s="45"/>
      <c r="P133" s="40"/>
    </row>
    <row r="134" spans="1:16" s="41" customFormat="1" ht="30" customHeight="1">
      <c r="A134" s="34"/>
      <c r="B134" s="35"/>
      <c r="C134" s="34"/>
      <c r="D134" s="35"/>
      <c r="E134" s="35"/>
      <c r="F134" s="35"/>
      <c r="G134" s="46"/>
      <c r="H134" s="44"/>
      <c r="I134" s="44"/>
      <c r="J134" s="46"/>
      <c r="K134" s="44"/>
      <c r="L134" s="44"/>
      <c r="M134" s="44"/>
      <c r="N134" s="44"/>
      <c r="O134" s="45"/>
      <c r="P134" s="40"/>
    </row>
    <row r="135" spans="1:16" s="41" customFormat="1" ht="30" customHeight="1">
      <c r="A135" s="34"/>
      <c r="B135" s="35"/>
      <c r="C135" s="34"/>
      <c r="D135" s="35"/>
      <c r="E135" s="35"/>
      <c r="F135" s="35"/>
      <c r="G135" s="46"/>
      <c r="H135" s="44"/>
      <c r="I135" s="44"/>
      <c r="J135" s="46"/>
      <c r="K135" s="44"/>
      <c r="L135" s="44"/>
      <c r="M135" s="44"/>
      <c r="N135" s="44"/>
      <c r="O135" s="45"/>
      <c r="P135" s="40"/>
    </row>
    <row r="136" spans="1:16" s="41" customFormat="1" ht="30" customHeight="1">
      <c r="A136" s="48">
        <v>112</v>
      </c>
      <c r="B136" s="49" t="s">
        <v>154</v>
      </c>
      <c r="C136" s="48">
        <v>239</v>
      </c>
      <c r="D136" s="49" t="s">
        <v>155</v>
      </c>
      <c r="E136" s="49" t="s">
        <v>438</v>
      </c>
      <c r="F136" s="49"/>
      <c r="G136" s="29" t="s">
        <v>156</v>
      </c>
      <c r="H136" s="49" t="s">
        <v>467</v>
      </c>
      <c r="I136" s="49" t="s">
        <v>595</v>
      </c>
      <c r="J136" s="29" t="s">
        <v>468</v>
      </c>
      <c r="K136" s="49"/>
      <c r="L136" s="49" t="s">
        <v>469</v>
      </c>
      <c r="M136" s="49" t="s">
        <v>471</v>
      </c>
      <c r="N136" s="50" t="s">
        <v>470</v>
      </c>
      <c r="O136" s="45"/>
      <c r="P136" s="40"/>
    </row>
    <row r="137" spans="1:16" s="41" customFormat="1" ht="30" customHeight="1">
      <c r="A137" s="55"/>
      <c r="B137" s="56"/>
      <c r="C137" s="55"/>
      <c r="D137" s="56"/>
      <c r="E137" s="56"/>
      <c r="F137" s="56"/>
      <c r="G137" s="57" t="s">
        <v>157</v>
      </c>
      <c r="H137" s="56"/>
      <c r="I137" s="56"/>
      <c r="J137" s="57"/>
      <c r="K137" s="56"/>
      <c r="L137" s="56"/>
      <c r="M137" s="56"/>
      <c r="N137" s="58"/>
      <c r="O137" s="45"/>
      <c r="P137" s="40"/>
    </row>
    <row r="138" spans="1:16" s="41" customFormat="1" ht="30" customHeight="1">
      <c r="A138" s="51"/>
      <c r="B138" s="52"/>
      <c r="C138" s="51"/>
      <c r="D138" s="52"/>
      <c r="E138" s="52"/>
      <c r="F138" s="52"/>
      <c r="G138" s="53" t="s">
        <v>127</v>
      </c>
      <c r="H138" s="52"/>
      <c r="I138" s="52"/>
      <c r="J138" s="53"/>
      <c r="K138" s="52"/>
      <c r="L138" s="52"/>
      <c r="M138" s="52"/>
      <c r="N138" s="54"/>
      <c r="O138" s="45"/>
      <c r="P138" s="40"/>
    </row>
    <row r="139" spans="1:16" s="41" customFormat="1" ht="44.25" customHeight="1">
      <c r="A139" s="34">
        <v>113</v>
      </c>
      <c r="B139" s="35" t="s">
        <v>158</v>
      </c>
      <c r="C139" s="34"/>
      <c r="D139" s="35"/>
      <c r="E139" s="35" t="s">
        <v>435</v>
      </c>
      <c r="F139" s="35" t="s">
        <v>13</v>
      </c>
      <c r="G139" s="46"/>
      <c r="H139" s="44"/>
      <c r="I139" s="44"/>
      <c r="J139" s="46"/>
      <c r="K139" s="44"/>
      <c r="L139" s="44"/>
      <c r="M139" s="44"/>
      <c r="N139" s="44"/>
      <c r="O139" s="45"/>
      <c r="P139" s="40"/>
    </row>
    <row r="140" spans="1:16" s="41" customFormat="1" ht="30" customHeight="1">
      <c r="A140" s="42">
        <v>114</v>
      </c>
      <c r="B140" s="43" t="s">
        <v>76</v>
      </c>
      <c r="C140" s="42"/>
      <c r="D140" s="43"/>
      <c r="E140" s="43" t="s">
        <v>435</v>
      </c>
      <c r="F140" s="43" t="s">
        <v>13</v>
      </c>
      <c r="G140" s="44"/>
      <c r="H140" s="44"/>
      <c r="I140" s="44"/>
      <c r="J140" s="44"/>
      <c r="K140" s="44"/>
      <c r="L140" s="44"/>
      <c r="M140" s="44"/>
      <c r="N140" s="44"/>
      <c r="O140" s="45"/>
      <c r="P140" s="40"/>
    </row>
    <row r="141" spans="1:16" s="41" customFormat="1" ht="51">
      <c r="A141" s="34">
        <v>115</v>
      </c>
      <c r="B141" s="35" t="s">
        <v>159</v>
      </c>
      <c r="C141" s="34"/>
      <c r="D141" s="35" t="s">
        <v>160</v>
      </c>
      <c r="E141" s="35" t="s">
        <v>429</v>
      </c>
      <c r="F141" s="35"/>
      <c r="G141" s="80" t="s">
        <v>574</v>
      </c>
      <c r="H141" s="35" t="s">
        <v>472</v>
      </c>
      <c r="I141" s="35" t="s">
        <v>595</v>
      </c>
      <c r="J141" s="80" t="s">
        <v>459</v>
      </c>
      <c r="K141" s="35" t="s">
        <v>494</v>
      </c>
      <c r="L141" s="35" t="s">
        <v>474</v>
      </c>
      <c r="M141" s="35" t="s">
        <v>475</v>
      </c>
      <c r="N141" s="47" t="s">
        <v>473</v>
      </c>
      <c r="O141" s="45"/>
      <c r="P141" s="40"/>
    </row>
    <row r="142" spans="1:16" s="41" customFormat="1" ht="30" customHeight="1">
      <c r="A142" s="34"/>
      <c r="B142" s="35"/>
      <c r="C142" s="34"/>
      <c r="D142" s="35"/>
      <c r="E142" s="35"/>
      <c r="F142" s="35"/>
      <c r="G142" s="80" t="s">
        <v>162</v>
      </c>
      <c r="H142" s="35"/>
      <c r="I142" s="35"/>
      <c r="J142" s="80"/>
      <c r="K142" s="35"/>
      <c r="L142" s="35"/>
      <c r="M142" s="35"/>
      <c r="N142" s="47"/>
      <c r="O142" s="45"/>
      <c r="P142" s="40"/>
    </row>
    <row r="143" spans="1:16" s="41" customFormat="1" ht="30" customHeight="1">
      <c r="A143" s="48">
        <v>116</v>
      </c>
      <c r="B143" s="49" t="s">
        <v>163</v>
      </c>
      <c r="C143" s="48"/>
      <c r="D143" s="49" t="s">
        <v>164</v>
      </c>
      <c r="E143" s="49" t="s">
        <v>429</v>
      </c>
      <c r="F143" s="49"/>
      <c r="G143" s="49" t="s">
        <v>156</v>
      </c>
      <c r="H143" s="49"/>
      <c r="I143" s="49" t="s">
        <v>595</v>
      </c>
      <c r="J143" s="49" t="s">
        <v>468</v>
      </c>
      <c r="K143" s="49"/>
      <c r="L143" s="49" t="s">
        <v>476</v>
      </c>
      <c r="M143" s="49" t="s">
        <v>477</v>
      </c>
      <c r="N143" s="50"/>
      <c r="O143" s="45"/>
      <c r="P143" s="40"/>
    </row>
    <row r="144" spans="1:16" s="41" customFormat="1" ht="30" customHeight="1">
      <c r="A144" s="55"/>
      <c r="B144" s="56"/>
      <c r="C144" s="55"/>
      <c r="D144" s="56"/>
      <c r="E144" s="56"/>
      <c r="F144" s="56"/>
      <c r="G144" s="56" t="s">
        <v>157</v>
      </c>
      <c r="H144" s="56"/>
      <c r="I144" s="56"/>
      <c r="J144" s="56"/>
      <c r="K144" s="56"/>
      <c r="L144" s="56"/>
      <c r="M144" s="56"/>
      <c r="N144" s="58"/>
      <c r="O144" s="45"/>
      <c r="P144" s="40"/>
    </row>
    <row r="145" spans="1:16" s="41" customFormat="1" ht="30" customHeight="1">
      <c r="A145" s="55"/>
      <c r="B145" s="56"/>
      <c r="C145" s="55"/>
      <c r="D145" s="56"/>
      <c r="E145" s="56"/>
      <c r="F145" s="56"/>
      <c r="G145" s="56" t="s">
        <v>165</v>
      </c>
      <c r="H145" s="56"/>
      <c r="I145" s="56"/>
      <c r="J145" s="56"/>
      <c r="K145" s="56"/>
      <c r="L145" s="56"/>
      <c r="M145" s="56"/>
      <c r="N145" s="58"/>
      <c r="O145" s="45"/>
      <c r="P145" s="40"/>
    </row>
    <row r="146" spans="1:16" s="41" customFormat="1" ht="30" customHeight="1">
      <c r="A146" s="51"/>
      <c r="B146" s="52"/>
      <c r="C146" s="51"/>
      <c r="D146" s="52"/>
      <c r="E146" s="52"/>
      <c r="F146" s="52"/>
      <c r="G146" s="52"/>
      <c r="H146" s="52"/>
      <c r="I146" s="52"/>
      <c r="J146" s="52"/>
      <c r="K146" s="52"/>
      <c r="L146" s="52"/>
      <c r="M146" s="52"/>
      <c r="N146" s="54"/>
      <c r="O146" s="45"/>
      <c r="P146" s="40"/>
    </row>
    <row r="147" spans="1:16" s="41" customFormat="1" ht="30" customHeight="1">
      <c r="A147" s="34">
        <v>117</v>
      </c>
      <c r="B147" s="35" t="s">
        <v>166</v>
      </c>
      <c r="C147" s="34"/>
      <c r="D147" s="35"/>
      <c r="E147" s="35" t="s">
        <v>435</v>
      </c>
      <c r="F147" s="35" t="s">
        <v>13</v>
      </c>
      <c r="G147" s="46"/>
      <c r="H147" s="44"/>
      <c r="I147" s="44"/>
      <c r="J147" s="46"/>
      <c r="K147" s="44"/>
      <c r="L147" s="44"/>
      <c r="M147" s="44"/>
      <c r="N147" s="44"/>
      <c r="O147" s="45"/>
      <c r="P147" s="40"/>
    </row>
    <row r="148" spans="1:16" s="41" customFormat="1" ht="30" customHeight="1">
      <c r="A148" s="42">
        <v>118</v>
      </c>
      <c r="B148" s="43" t="s">
        <v>167</v>
      </c>
      <c r="C148" s="42"/>
      <c r="D148" s="43"/>
      <c r="E148" s="43" t="s">
        <v>429</v>
      </c>
      <c r="F148" s="43" t="s">
        <v>13</v>
      </c>
      <c r="G148" s="44"/>
      <c r="H148" s="44"/>
      <c r="I148" s="44"/>
      <c r="J148" s="44"/>
      <c r="K148" s="44"/>
      <c r="L148" s="44"/>
      <c r="M148" s="44"/>
      <c r="N148" s="44"/>
      <c r="O148" s="45"/>
      <c r="P148" s="40"/>
    </row>
    <row r="149" spans="1:16" s="41" customFormat="1" ht="60" customHeight="1">
      <c r="A149" s="34">
        <v>119</v>
      </c>
      <c r="B149" s="35" t="s">
        <v>152</v>
      </c>
      <c r="C149" s="34"/>
      <c r="D149" s="35"/>
      <c r="E149" s="35" t="s">
        <v>429</v>
      </c>
      <c r="F149" s="35" t="s">
        <v>13</v>
      </c>
      <c r="G149" s="46"/>
      <c r="H149" s="44"/>
      <c r="I149" s="44"/>
      <c r="J149" s="46"/>
      <c r="K149" s="44"/>
      <c r="L149" s="44"/>
      <c r="M149" s="44"/>
      <c r="N149" s="44"/>
      <c r="O149" s="45"/>
      <c r="P149" s="40"/>
    </row>
    <row r="150" spans="1:16" s="41" customFormat="1" ht="30" customHeight="1">
      <c r="A150" s="48">
        <v>120</v>
      </c>
      <c r="B150" s="49" t="s">
        <v>168</v>
      </c>
      <c r="C150" s="48" t="s">
        <v>598</v>
      </c>
      <c r="D150" s="49" t="s">
        <v>169</v>
      </c>
      <c r="E150" s="49" t="s">
        <v>438</v>
      </c>
      <c r="F150" s="49"/>
      <c r="G150" s="29" t="s">
        <v>170</v>
      </c>
      <c r="H150" s="49" t="s">
        <v>478</v>
      </c>
      <c r="I150" s="49" t="s">
        <v>595</v>
      </c>
      <c r="J150" s="29" t="s">
        <v>462</v>
      </c>
      <c r="K150" s="49" t="s">
        <v>582</v>
      </c>
      <c r="L150" s="49"/>
      <c r="M150" s="49" t="s">
        <v>562</v>
      </c>
      <c r="N150" s="50" t="s">
        <v>478</v>
      </c>
      <c r="O150" s="45">
        <v>1</v>
      </c>
      <c r="P150" s="40"/>
    </row>
    <row r="151" spans="1:16" s="41" customFormat="1" ht="30" customHeight="1">
      <c r="A151" s="55"/>
      <c r="B151" s="56"/>
      <c r="C151" s="55"/>
      <c r="D151" s="56"/>
      <c r="E151" s="56"/>
      <c r="F151" s="56"/>
      <c r="G151" s="57" t="s">
        <v>171</v>
      </c>
      <c r="H151" s="56"/>
      <c r="I151" s="56"/>
      <c r="J151" s="57"/>
      <c r="K151" s="56"/>
      <c r="L151" s="56"/>
      <c r="M151" s="56"/>
      <c r="N151" s="58"/>
      <c r="O151" s="45"/>
      <c r="P151" s="40"/>
    </row>
    <row r="152" spans="1:16" s="41" customFormat="1" ht="30" customHeight="1">
      <c r="A152" s="55"/>
      <c r="B152" s="56"/>
      <c r="C152" s="55"/>
      <c r="D152" s="56"/>
      <c r="E152" s="56"/>
      <c r="F152" s="56"/>
      <c r="G152" s="57" t="s">
        <v>136</v>
      </c>
      <c r="H152" s="56"/>
      <c r="I152" s="56"/>
      <c r="J152" s="57"/>
      <c r="K152" s="56"/>
      <c r="L152" s="56"/>
      <c r="M152" s="56"/>
      <c r="N152" s="58"/>
      <c r="O152" s="45"/>
      <c r="P152" s="40"/>
    </row>
    <row r="153" spans="1:16" s="41" customFormat="1" ht="30" customHeight="1">
      <c r="A153" s="55"/>
      <c r="B153" s="56"/>
      <c r="C153" s="55"/>
      <c r="D153" s="56"/>
      <c r="E153" s="56"/>
      <c r="F153" s="56"/>
      <c r="G153" s="57" t="s">
        <v>172</v>
      </c>
      <c r="H153" s="56"/>
      <c r="I153" s="56"/>
      <c r="J153" s="57"/>
      <c r="K153" s="56"/>
      <c r="L153" s="56"/>
      <c r="M153" s="56"/>
      <c r="N153" s="58"/>
      <c r="O153" s="45"/>
      <c r="P153" s="40"/>
    </row>
    <row r="154" spans="1:16" s="41" customFormat="1" ht="30" customHeight="1">
      <c r="A154" s="55"/>
      <c r="B154" s="56"/>
      <c r="C154" s="55"/>
      <c r="D154" s="56"/>
      <c r="E154" s="56"/>
      <c r="F154" s="56"/>
      <c r="G154" s="57" t="s">
        <v>173</v>
      </c>
      <c r="H154" s="56"/>
      <c r="I154" s="56"/>
      <c r="J154" s="57"/>
      <c r="K154" s="56"/>
      <c r="L154" s="56"/>
      <c r="M154" s="56"/>
      <c r="N154" s="58"/>
      <c r="O154" s="45"/>
      <c r="P154" s="40"/>
    </row>
    <row r="155" spans="1:16" s="41" customFormat="1" ht="30" customHeight="1">
      <c r="A155" s="55"/>
      <c r="B155" s="56"/>
      <c r="C155" s="55"/>
      <c r="D155" s="56"/>
      <c r="E155" s="56"/>
      <c r="F155" s="56"/>
      <c r="G155" s="57" t="s">
        <v>174</v>
      </c>
      <c r="H155" s="56"/>
      <c r="I155" s="56"/>
      <c r="J155" s="57"/>
      <c r="K155" s="56"/>
      <c r="L155" s="56"/>
      <c r="M155" s="56"/>
      <c r="N155" s="58"/>
      <c r="O155" s="45"/>
      <c r="P155" s="40"/>
    </row>
    <row r="156" spans="1:16" s="41" customFormat="1" ht="30" customHeight="1">
      <c r="A156" s="51"/>
      <c r="B156" s="52"/>
      <c r="C156" s="51"/>
      <c r="D156" s="52"/>
      <c r="E156" s="52"/>
      <c r="F156" s="52"/>
      <c r="G156" s="53" t="s">
        <v>175</v>
      </c>
      <c r="H156" s="52"/>
      <c r="I156" s="52"/>
      <c r="J156" s="53"/>
      <c r="K156" s="52"/>
      <c r="L156" s="52"/>
      <c r="M156" s="52"/>
      <c r="N156" s="54"/>
      <c r="O156" s="45"/>
      <c r="P156" s="40"/>
    </row>
    <row r="157" spans="1:16" s="41" customFormat="1" ht="30" customHeight="1">
      <c r="A157" s="34">
        <v>121</v>
      </c>
      <c r="B157" s="35" t="s">
        <v>176</v>
      </c>
      <c r="C157" s="34" t="s">
        <v>416</v>
      </c>
      <c r="D157" s="35" t="s">
        <v>177</v>
      </c>
      <c r="E157" s="35" t="s">
        <v>431</v>
      </c>
      <c r="F157" s="35"/>
      <c r="G157" s="80" t="s">
        <v>136</v>
      </c>
      <c r="H157" s="35" t="s">
        <v>473</v>
      </c>
      <c r="I157" s="35" t="s">
        <v>595</v>
      </c>
      <c r="J157" s="80" t="s">
        <v>459</v>
      </c>
      <c r="K157" s="35" t="s">
        <v>599</v>
      </c>
      <c r="L157" s="80" t="s">
        <v>180</v>
      </c>
      <c r="M157" s="35" t="s">
        <v>562</v>
      </c>
      <c r="N157" s="47" t="s">
        <v>478</v>
      </c>
      <c r="O157" s="45">
        <v>1</v>
      </c>
      <c r="P157" s="40"/>
    </row>
    <row r="158" spans="1:16" s="41" customFormat="1" ht="30" customHeight="1">
      <c r="A158" s="34"/>
      <c r="B158" s="35"/>
      <c r="C158" s="34"/>
      <c r="D158" s="35"/>
      <c r="E158" s="35"/>
      <c r="F158" s="35"/>
      <c r="G158" s="80" t="s">
        <v>178</v>
      </c>
      <c r="H158" s="35"/>
      <c r="I158" s="35"/>
      <c r="J158" s="80"/>
      <c r="K158" s="35"/>
      <c r="L158" s="80" t="s">
        <v>178</v>
      </c>
      <c r="M158" s="35"/>
      <c r="N158" s="47"/>
      <c r="O158" s="45"/>
      <c r="P158" s="40"/>
    </row>
    <row r="159" spans="1:16" s="41" customFormat="1" ht="30" customHeight="1">
      <c r="A159" s="34"/>
      <c r="B159" s="35"/>
      <c r="C159" s="34"/>
      <c r="D159" s="35"/>
      <c r="E159" s="35"/>
      <c r="F159" s="35"/>
      <c r="G159" s="80" t="s">
        <v>179</v>
      </c>
      <c r="H159" s="35"/>
      <c r="I159" s="35"/>
      <c r="J159" s="80"/>
      <c r="K159" s="35"/>
      <c r="L159" s="80" t="s">
        <v>182</v>
      </c>
      <c r="M159" s="35"/>
      <c r="N159" s="47"/>
      <c r="O159" s="45"/>
      <c r="P159" s="40"/>
    </row>
    <row r="160" spans="1:16" s="41" customFormat="1" ht="30" customHeight="1">
      <c r="A160" s="34"/>
      <c r="B160" s="35"/>
      <c r="C160" s="34"/>
      <c r="D160" s="35"/>
      <c r="E160" s="35"/>
      <c r="F160" s="35"/>
      <c r="G160" s="80" t="s">
        <v>180</v>
      </c>
      <c r="H160" s="35"/>
      <c r="I160" s="35"/>
      <c r="J160" s="80"/>
      <c r="K160" s="35"/>
      <c r="L160" s="80" t="s">
        <v>194</v>
      </c>
      <c r="M160" s="35"/>
      <c r="N160" s="47"/>
      <c r="O160" s="45"/>
      <c r="P160" s="40"/>
    </row>
    <row r="161" spans="1:16" s="41" customFormat="1" ht="30" customHeight="1">
      <c r="A161" s="34"/>
      <c r="B161" s="35"/>
      <c r="C161" s="34"/>
      <c r="D161" s="35"/>
      <c r="E161" s="35"/>
      <c r="F161" s="35"/>
      <c r="G161" s="80" t="s">
        <v>181</v>
      </c>
      <c r="H161" s="35"/>
      <c r="I161" s="35"/>
      <c r="J161" s="80"/>
      <c r="K161" s="35"/>
      <c r="L161" s="80"/>
      <c r="M161" s="35"/>
      <c r="N161" s="47"/>
      <c r="O161" s="45"/>
      <c r="P161" s="40"/>
    </row>
    <row r="162" spans="1:16" s="41" customFormat="1" ht="30" customHeight="1">
      <c r="A162" s="34"/>
      <c r="B162" s="35"/>
      <c r="C162" s="34"/>
      <c r="D162" s="35"/>
      <c r="E162" s="35"/>
      <c r="F162" s="35"/>
      <c r="G162" s="80" t="s">
        <v>182</v>
      </c>
      <c r="H162" s="35"/>
      <c r="I162" s="35"/>
      <c r="J162" s="80"/>
      <c r="K162" s="35"/>
      <c r="L162" s="80"/>
      <c r="M162" s="35"/>
      <c r="N162" s="47"/>
      <c r="O162" s="45"/>
      <c r="P162" s="40"/>
    </row>
    <row r="163" spans="1:16" s="41" customFormat="1" ht="30" customHeight="1">
      <c r="A163" s="34"/>
      <c r="B163" s="35"/>
      <c r="C163" s="34"/>
      <c r="D163" s="35"/>
      <c r="E163" s="35"/>
      <c r="F163" s="35"/>
      <c r="G163" s="80" t="s">
        <v>183</v>
      </c>
      <c r="H163" s="35"/>
      <c r="I163" s="35"/>
      <c r="J163" s="80"/>
      <c r="K163" s="35"/>
      <c r="L163" s="80"/>
      <c r="M163" s="35"/>
      <c r="N163" s="47"/>
      <c r="O163" s="45"/>
      <c r="P163" s="40"/>
    </row>
    <row r="164" spans="1:16" s="41" customFormat="1" ht="30" customHeight="1">
      <c r="A164" s="34"/>
      <c r="B164" s="35"/>
      <c r="C164" s="34"/>
      <c r="D164" s="35"/>
      <c r="E164" s="35"/>
      <c r="F164" s="35"/>
      <c r="G164" s="80" t="s">
        <v>184</v>
      </c>
      <c r="H164" s="35"/>
      <c r="I164" s="35"/>
      <c r="J164" s="80"/>
      <c r="K164" s="35"/>
      <c r="L164" s="80"/>
      <c r="M164" s="35"/>
      <c r="N164" s="47"/>
      <c r="O164" s="45"/>
      <c r="P164" s="40"/>
    </row>
    <row r="165" spans="1:16" s="41" customFormat="1" ht="30" customHeight="1">
      <c r="A165" s="34"/>
      <c r="B165" s="35"/>
      <c r="C165" s="34"/>
      <c r="D165" s="35"/>
      <c r="E165" s="35"/>
      <c r="F165" s="35"/>
      <c r="G165" s="80" t="s">
        <v>185</v>
      </c>
      <c r="H165" s="35"/>
      <c r="I165" s="35"/>
      <c r="J165" s="80"/>
      <c r="K165" s="35"/>
      <c r="L165" s="80"/>
      <c r="M165" s="35"/>
      <c r="N165" s="47"/>
      <c r="O165" s="45"/>
      <c r="P165" s="40"/>
    </row>
    <row r="166" spans="1:16" s="41" customFormat="1" ht="30" customHeight="1">
      <c r="A166" s="34"/>
      <c r="B166" s="35"/>
      <c r="C166" s="34"/>
      <c r="D166" s="35"/>
      <c r="E166" s="35"/>
      <c r="F166" s="35"/>
      <c r="G166" s="80" t="s">
        <v>186</v>
      </c>
      <c r="H166" s="35"/>
      <c r="I166" s="35"/>
      <c r="J166" s="80"/>
      <c r="K166" s="35"/>
      <c r="L166" s="80"/>
      <c r="M166" s="35"/>
      <c r="N166" s="47"/>
      <c r="O166" s="45"/>
      <c r="P166" s="40"/>
    </row>
    <row r="167" spans="1:16" s="41" customFormat="1" ht="30" customHeight="1">
      <c r="A167" s="34"/>
      <c r="B167" s="35"/>
      <c r="C167" s="34"/>
      <c r="D167" s="35"/>
      <c r="E167" s="35"/>
      <c r="F167" s="35"/>
      <c r="G167" s="80" t="s">
        <v>187</v>
      </c>
      <c r="H167" s="35"/>
      <c r="I167" s="35"/>
      <c r="J167" s="80"/>
      <c r="K167" s="35"/>
      <c r="L167" s="80"/>
      <c r="M167" s="35"/>
      <c r="N167" s="47"/>
      <c r="O167" s="45"/>
      <c r="P167" s="40"/>
    </row>
    <row r="168" spans="1:16" s="41" customFormat="1" ht="30" customHeight="1">
      <c r="A168" s="34"/>
      <c r="B168" s="35"/>
      <c r="C168" s="34"/>
      <c r="D168" s="35"/>
      <c r="E168" s="35"/>
      <c r="F168" s="35"/>
      <c r="G168" s="80" t="s">
        <v>188</v>
      </c>
      <c r="H168" s="35"/>
      <c r="I168" s="35"/>
      <c r="J168" s="80"/>
      <c r="K168" s="35"/>
      <c r="L168" s="80"/>
      <c r="M168" s="35"/>
      <c r="N168" s="47"/>
      <c r="O168" s="45"/>
      <c r="P168" s="40"/>
    </row>
    <row r="169" spans="1:16" s="41" customFormat="1" ht="30" customHeight="1">
      <c r="A169" s="34"/>
      <c r="B169" s="35"/>
      <c r="C169" s="34"/>
      <c r="D169" s="35"/>
      <c r="E169" s="35"/>
      <c r="F169" s="35"/>
      <c r="G169" s="80" t="s">
        <v>189</v>
      </c>
      <c r="H169" s="35"/>
      <c r="I169" s="35"/>
      <c r="J169" s="80"/>
      <c r="K169" s="35"/>
      <c r="L169" s="80"/>
      <c r="M169" s="35"/>
      <c r="N169" s="47"/>
      <c r="O169" s="45"/>
      <c r="P169" s="40"/>
    </row>
    <row r="170" spans="1:16" s="41" customFormat="1" ht="30" customHeight="1">
      <c r="A170" s="34"/>
      <c r="B170" s="35"/>
      <c r="C170" s="34"/>
      <c r="D170" s="35"/>
      <c r="E170" s="35"/>
      <c r="F170" s="35"/>
      <c r="G170" s="80" t="s">
        <v>190</v>
      </c>
      <c r="H170" s="35"/>
      <c r="I170" s="35"/>
      <c r="J170" s="80"/>
      <c r="K170" s="35"/>
      <c r="L170" s="80"/>
      <c r="M170" s="35"/>
      <c r="N170" s="47"/>
      <c r="O170" s="45"/>
      <c r="P170" s="40"/>
    </row>
    <row r="171" spans="1:16" s="41" customFormat="1" ht="30" customHeight="1">
      <c r="A171" s="34"/>
      <c r="B171" s="35"/>
      <c r="C171" s="34"/>
      <c r="D171" s="35"/>
      <c r="E171" s="35"/>
      <c r="F171" s="35"/>
      <c r="G171" s="80" t="s">
        <v>191</v>
      </c>
      <c r="H171" s="35"/>
      <c r="I171" s="35"/>
      <c r="J171" s="80"/>
      <c r="K171" s="35"/>
      <c r="L171" s="80"/>
      <c r="M171" s="35"/>
      <c r="N171" s="47"/>
      <c r="O171" s="45"/>
      <c r="P171" s="40"/>
    </row>
    <row r="172" spans="1:16" s="41" customFormat="1" ht="30" customHeight="1">
      <c r="A172" s="34"/>
      <c r="B172" s="35"/>
      <c r="C172" s="34"/>
      <c r="D172" s="35"/>
      <c r="E172" s="35"/>
      <c r="F172" s="35"/>
      <c r="G172" s="80" t="s">
        <v>192</v>
      </c>
      <c r="H172" s="35"/>
      <c r="I172" s="35"/>
      <c r="J172" s="80"/>
      <c r="K172" s="35"/>
      <c r="L172" s="80"/>
      <c r="M172" s="35"/>
      <c r="N172" s="47"/>
      <c r="O172" s="45"/>
      <c r="P172" s="40"/>
    </row>
    <row r="173" spans="1:16" s="41" customFormat="1" ht="30" customHeight="1">
      <c r="A173" s="34"/>
      <c r="B173" s="35"/>
      <c r="C173" s="34"/>
      <c r="D173" s="35"/>
      <c r="E173" s="35"/>
      <c r="F173" s="35"/>
      <c r="G173" s="80" t="s">
        <v>193</v>
      </c>
      <c r="H173" s="35"/>
      <c r="I173" s="35"/>
      <c r="J173" s="80"/>
      <c r="K173" s="35"/>
      <c r="L173" s="80"/>
      <c r="M173" s="35"/>
      <c r="N173" s="47"/>
      <c r="O173" s="45"/>
      <c r="P173" s="40"/>
    </row>
    <row r="174" spans="1:16" s="41" customFormat="1" ht="30" customHeight="1">
      <c r="A174" s="34"/>
      <c r="B174" s="35"/>
      <c r="C174" s="34"/>
      <c r="D174" s="35"/>
      <c r="E174" s="35"/>
      <c r="F174" s="35"/>
      <c r="G174" s="80" t="s">
        <v>194</v>
      </c>
      <c r="H174" s="35"/>
      <c r="I174" s="35"/>
      <c r="J174" s="80"/>
      <c r="K174" s="35"/>
      <c r="L174" s="80"/>
      <c r="M174" s="35"/>
      <c r="N174" s="47"/>
      <c r="O174" s="45"/>
      <c r="P174" s="40"/>
    </row>
    <row r="175" spans="1:16" s="41" customFormat="1" ht="30" customHeight="1">
      <c r="A175" s="34"/>
      <c r="B175" s="35"/>
      <c r="C175" s="34"/>
      <c r="D175" s="35"/>
      <c r="E175" s="35"/>
      <c r="F175" s="35"/>
      <c r="G175" s="80" t="s">
        <v>583</v>
      </c>
      <c r="H175" s="35"/>
      <c r="I175" s="35"/>
      <c r="J175" s="80"/>
      <c r="K175" s="35"/>
      <c r="L175" s="80"/>
      <c r="M175" s="35"/>
      <c r="N175" s="47"/>
      <c r="O175" s="45"/>
      <c r="P175" s="40"/>
    </row>
    <row r="176" spans="1:16" s="41" customFormat="1" ht="30" customHeight="1">
      <c r="A176" s="34"/>
      <c r="B176" s="35"/>
      <c r="C176" s="34"/>
      <c r="D176" s="35"/>
      <c r="E176" s="35"/>
      <c r="F176" s="35"/>
      <c r="G176" s="80" t="s">
        <v>195</v>
      </c>
      <c r="H176" s="35"/>
      <c r="I176" s="35"/>
      <c r="J176" s="80"/>
      <c r="K176" s="35"/>
      <c r="L176" s="80"/>
      <c r="M176" s="35"/>
      <c r="N176" s="47"/>
      <c r="O176" s="45"/>
      <c r="P176" s="40"/>
    </row>
    <row r="177" spans="1:16" s="41" customFormat="1" ht="30" customHeight="1">
      <c r="A177" s="34"/>
      <c r="B177" s="35"/>
      <c r="C177" s="34"/>
      <c r="D177" s="35"/>
      <c r="E177" s="35"/>
      <c r="F177" s="35"/>
      <c r="G177" s="80" t="s">
        <v>196</v>
      </c>
      <c r="H177" s="35"/>
      <c r="I177" s="35"/>
      <c r="J177" s="80"/>
      <c r="K177" s="35"/>
      <c r="L177" s="80"/>
      <c r="M177" s="35"/>
      <c r="N177" s="47"/>
      <c r="O177" s="45"/>
      <c r="P177" s="40"/>
    </row>
    <row r="178" spans="1:16" s="41" customFormat="1" ht="30" customHeight="1">
      <c r="A178" s="34"/>
      <c r="B178" s="35"/>
      <c r="C178" s="34"/>
      <c r="D178" s="35"/>
      <c r="E178" s="35"/>
      <c r="F178" s="35"/>
      <c r="G178" s="80" t="s">
        <v>179</v>
      </c>
      <c r="H178" s="35"/>
      <c r="I178" s="35"/>
      <c r="J178" s="80"/>
      <c r="K178" s="35"/>
      <c r="L178" s="80"/>
      <c r="M178" s="35"/>
      <c r="N178" s="47"/>
      <c r="O178" s="45"/>
      <c r="P178" s="40"/>
    </row>
    <row r="179" spans="1:16" s="41" customFormat="1" ht="30" customHeight="1">
      <c r="A179" s="34"/>
      <c r="B179" s="35"/>
      <c r="C179" s="34"/>
      <c r="D179" s="35"/>
      <c r="E179" s="35"/>
      <c r="F179" s="35"/>
      <c r="G179" s="80" t="s">
        <v>114</v>
      </c>
      <c r="H179" s="35"/>
      <c r="I179" s="35"/>
      <c r="J179" s="80"/>
      <c r="K179" s="35"/>
      <c r="L179" s="80"/>
      <c r="M179" s="35"/>
      <c r="N179" s="47"/>
      <c r="O179" s="45"/>
      <c r="P179" s="40"/>
    </row>
    <row r="180" spans="1:16" s="41" customFormat="1" ht="68.25" customHeight="1">
      <c r="A180" s="42">
        <v>122</v>
      </c>
      <c r="B180" s="43" t="s">
        <v>197</v>
      </c>
      <c r="C180" s="42">
        <v>238</v>
      </c>
      <c r="D180" s="43" t="s">
        <v>198</v>
      </c>
      <c r="E180" s="43" t="s">
        <v>431</v>
      </c>
      <c r="F180" s="43"/>
      <c r="G180" s="43" t="s">
        <v>610</v>
      </c>
      <c r="H180" s="43" t="s">
        <v>479</v>
      </c>
      <c r="I180" s="43" t="s">
        <v>595</v>
      </c>
      <c r="J180" s="43" t="s">
        <v>468</v>
      </c>
      <c r="K180" s="43"/>
      <c r="L180" s="43" t="s">
        <v>610</v>
      </c>
      <c r="M180" s="43" t="s">
        <v>472</v>
      </c>
      <c r="N180" s="43" t="s">
        <v>480</v>
      </c>
      <c r="O180" s="45"/>
      <c r="P180" s="40"/>
    </row>
    <row r="181" spans="1:16" s="41" customFormat="1" ht="51">
      <c r="A181" s="34">
        <v>123</v>
      </c>
      <c r="B181" s="35" t="s">
        <v>199</v>
      </c>
      <c r="C181" s="34">
        <v>240</v>
      </c>
      <c r="D181" s="35" t="s">
        <v>200</v>
      </c>
      <c r="E181" s="35" t="s">
        <v>481</v>
      </c>
      <c r="F181" s="35"/>
      <c r="G181" s="80" t="s">
        <v>603</v>
      </c>
      <c r="H181" s="35" t="s">
        <v>478</v>
      </c>
      <c r="I181" s="35" t="s">
        <v>595</v>
      </c>
      <c r="J181" s="80" t="s">
        <v>459</v>
      </c>
      <c r="K181" s="35" t="s">
        <v>602</v>
      </c>
      <c r="L181" s="35"/>
      <c r="M181" s="35" t="s">
        <v>484</v>
      </c>
      <c r="N181" s="47" t="s">
        <v>480</v>
      </c>
      <c r="O181" s="45">
        <v>1</v>
      </c>
      <c r="P181" s="40"/>
    </row>
    <row r="182" spans="1:16" s="41" customFormat="1" ht="179.25" customHeight="1">
      <c r="A182" s="48">
        <v>124</v>
      </c>
      <c r="B182" s="49" t="s">
        <v>202</v>
      </c>
      <c r="C182" s="48" t="s">
        <v>417</v>
      </c>
      <c r="D182" s="49" t="s">
        <v>203</v>
      </c>
      <c r="E182" s="49" t="s">
        <v>429</v>
      </c>
      <c r="F182" s="49"/>
      <c r="G182" s="29" t="s">
        <v>575</v>
      </c>
      <c r="H182" s="49" t="s">
        <v>482</v>
      </c>
      <c r="I182" s="49" t="s">
        <v>595</v>
      </c>
      <c r="J182" s="29" t="s">
        <v>468</v>
      </c>
      <c r="K182" s="49"/>
      <c r="L182" s="49" t="s">
        <v>483</v>
      </c>
      <c r="M182" s="49" t="s">
        <v>484</v>
      </c>
      <c r="N182" s="50" t="s">
        <v>482</v>
      </c>
      <c r="O182" s="45"/>
      <c r="P182" s="40"/>
    </row>
    <row r="183" spans="1:16" s="41" customFormat="1" ht="30" customHeight="1">
      <c r="A183" s="34">
        <v>125</v>
      </c>
      <c r="B183" s="35" t="s">
        <v>205</v>
      </c>
      <c r="C183" s="34" t="s">
        <v>418</v>
      </c>
      <c r="D183" s="35" t="s">
        <v>206</v>
      </c>
      <c r="E183" s="35" t="s">
        <v>438</v>
      </c>
      <c r="F183" s="35"/>
      <c r="G183" s="80" t="s">
        <v>179</v>
      </c>
      <c r="H183" s="35" t="s">
        <v>485</v>
      </c>
      <c r="I183" s="35" t="s">
        <v>594</v>
      </c>
      <c r="J183" s="80" t="s">
        <v>462</v>
      </c>
      <c r="K183" s="35" t="s">
        <v>578</v>
      </c>
      <c r="L183" s="35" t="s">
        <v>584</v>
      </c>
      <c r="M183" s="35" t="s">
        <v>487</v>
      </c>
      <c r="N183" s="47" t="s">
        <v>486</v>
      </c>
      <c r="O183" s="45">
        <v>1</v>
      </c>
      <c r="P183" s="40"/>
    </row>
    <row r="184" spans="1:16" s="41" customFormat="1" ht="30" customHeight="1">
      <c r="A184" s="34"/>
      <c r="B184" s="35"/>
      <c r="C184" s="34"/>
      <c r="D184" s="35"/>
      <c r="E184" s="35"/>
      <c r="F184" s="35"/>
      <c r="G184" s="80" t="s">
        <v>208</v>
      </c>
      <c r="H184" s="35"/>
      <c r="I184" s="35"/>
      <c r="J184" s="80"/>
      <c r="K184" s="35" t="s">
        <v>207</v>
      </c>
      <c r="L184" s="35"/>
      <c r="M184" s="35"/>
      <c r="N184" s="47"/>
      <c r="O184" s="45"/>
      <c r="P184" s="40"/>
    </row>
    <row r="185" spans="1:16" s="41" customFormat="1" ht="30" customHeight="1">
      <c r="A185" s="34"/>
      <c r="B185" s="35"/>
      <c r="C185" s="34"/>
      <c r="D185" s="35"/>
      <c r="E185" s="35"/>
      <c r="F185" s="35"/>
      <c r="G185" s="80" t="s">
        <v>209</v>
      </c>
      <c r="H185" s="35"/>
      <c r="I185" s="35"/>
      <c r="J185" s="80"/>
      <c r="K185" s="35"/>
      <c r="L185" s="35"/>
      <c r="M185" s="35"/>
      <c r="N185" s="47"/>
      <c r="O185" s="45"/>
      <c r="P185" s="40"/>
    </row>
    <row r="186" spans="1:16" s="41" customFormat="1" ht="30" customHeight="1">
      <c r="A186" s="34"/>
      <c r="B186" s="35"/>
      <c r="C186" s="34"/>
      <c r="D186" s="35"/>
      <c r="E186" s="35"/>
      <c r="F186" s="35"/>
      <c r="G186" s="80" t="s">
        <v>210</v>
      </c>
      <c r="H186" s="35"/>
      <c r="I186" s="35"/>
      <c r="J186" s="80"/>
      <c r="K186" s="35"/>
      <c r="L186" s="35"/>
      <c r="M186" s="35"/>
      <c r="N186" s="47"/>
      <c r="O186" s="45"/>
      <c r="P186" s="40"/>
    </row>
    <row r="187" spans="1:16" s="41" customFormat="1" ht="30" customHeight="1">
      <c r="A187" s="34"/>
      <c r="B187" s="35"/>
      <c r="C187" s="34"/>
      <c r="D187" s="35"/>
      <c r="E187" s="35"/>
      <c r="F187" s="35"/>
      <c r="G187" s="80" t="s">
        <v>211</v>
      </c>
      <c r="H187" s="35"/>
      <c r="I187" s="35"/>
      <c r="J187" s="80"/>
      <c r="K187" s="35"/>
      <c r="L187" s="35"/>
      <c r="M187" s="35"/>
      <c r="N187" s="47"/>
      <c r="O187" s="45"/>
      <c r="P187" s="40"/>
    </row>
    <row r="188" spans="1:16" s="41" customFormat="1" ht="30" customHeight="1">
      <c r="A188" s="34"/>
      <c r="B188" s="35"/>
      <c r="C188" s="34"/>
      <c r="D188" s="35"/>
      <c r="E188" s="35"/>
      <c r="F188" s="35"/>
      <c r="G188" s="80" t="s">
        <v>136</v>
      </c>
      <c r="H188" s="35"/>
      <c r="I188" s="35"/>
      <c r="J188" s="80"/>
      <c r="K188" s="35"/>
      <c r="L188" s="35"/>
      <c r="M188" s="35"/>
      <c r="N188" s="47"/>
      <c r="O188" s="45"/>
      <c r="P188" s="40"/>
    </row>
    <row r="189" spans="1:16" s="41" customFormat="1" ht="30" customHeight="1">
      <c r="A189" s="34"/>
      <c r="B189" s="35"/>
      <c r="C189" s="34"/>
      <c r="D189" s="35"/>
      <c r="E189" s="35"/>
      <c r="F189" s="35"/>
      <c r="G189" s="80" t="s">
        <v>195</v>
      </c>
      <c r="H189" s="35"/>
      <c r="I189" s="35"/>
      <c r="J189" s="80"/>
      <c r="K189" s="35"/>
      <c r="L189" s="35"/>
      <c r="M189" s="35"/>
      <c r="N189" s="47"/>
      <c r="O189" s="45"/>
      <c r="P189" s="40"/>
    </row>
    <row r="190" spans="1:16" s="41" customFormat="1" ht="30" customHeight="1">
      <c r="A190" s="34"/>
      <c r="B190" s="35"/>
      <c r="C190" s="34"/>
      <c r="D190" s="35"/>
      <c r="E190" s="35"/>
      <c r="F190" s="35"/>
      <c r="G190" s="80" t="s">
        <v>114</v>
      </c>
      <c r="H190" s="35"/>
      <c r="I190" s="35"/>
      <c r="J190" s="80"/>
      <c r="K190" s="35"/>
      <c r="L190" s="35"/>
      <c r="M190" s="35"/>
      <c r="N190" s="47"/>
      <c r="O190" s="45"/>
      <c r="P190" s="40"/>
    </row>
    <row r="191" spans="1:16" s="41" customFormat="1" ht="30" customHeight="1">
      <c r="A191" s="34"/>
      <c r="B191" s="35"/>
      <c r="C191" s="34"/>
      <c r="D191" s="35"/>
      <c r="E191" s="35"/>
      <c r="F191" s="35"/>
      <c r="G191" s="80" t="s">
        <v>72</v>
      </c>
      <c r="H191" s="35"/>
      <c r="I191" s="35"/>
      <c r="J191" s="80"/>
      <c r="K191" s="35"/>
      <c r="L191" s="35"/>
      <c r="M191" s="35"/>
      <c r="N191" s="47"/>
      <c r="O191" s="45"/>
      <c r="P191" s="40"/>
    </row>
    <row r="192" spans="1:16" s="41" customFormat="1" ht="30" customHeight="1">
      <c r="A192" s="34"/>
      <c r="B192" s="35"/>
      <c r="C192" s="34"/>
      <c r="D192" s="35"/>
      <c r="E192" s="35"/>
      <c r="F192" s="35"/>
      <c r="G192" s="80" t="s">
        <v>178</v>
      </c>
      <c r="H192" s="35"/>
      <c r="I192" s="35"/>
      <c r="J192" s="80"/>
      <c r="K192" s="35"/>
      <c r="L192" s="35"/>
      <c r="M192" s="35"/>
      <c r="N192" s="47"/>
      <c r="O192" s="45"/>
      <c r="P192" s="40"/>
    </row>
    <row r="193" spans="1:16" s="41" customFormat="1" ht="30" customHeight="1">
      <c r="A193" s="34"/>
      <c r="B193" s="35"/>
      <c r="C193" s="34"/>
      <c r="D193" s="35"/>
      <c r="E193" s="35"/>
      <c r="F193" s="35"/>
      <c r="G193" s="80" t="s">
        <v>180</v>
      </c>
      <c r="H193" s="35"/>
      <c r="I193" s="35"/>
      <c r="J193" s="80"/>
      <c r="K193" s="35"/>
      <c r="L193" s="35"/>
      <c r="M193" s="35"/>
      <c r="N193" s="47"/>
      <c r="O193" s="45"/>
      <c r="P193" s="40"/>
    </row>
    <row r="194" spans="1:16" s="41" customFormat="1" ht="30" customHeight="1">
      <c r="A194" s="34"/>
      <c r="B194" s="35"/>
      <c r="C194" s="34"/>
      <c r="D194" s="35"/>
      <c r="E194" s="35"/>
      <c r="F194" s="35"/>
      <c r="G194" s="80" t="s">
        <v>182</v>
      </c>
      <c r="H194" s="35"/>
      <c r="I194" s="35"/>
      <c r="J194" s="80"/>
      <c r="K194" s="35"/>
      <c r="L194" s="35"/>
      <c r="M194" s="35"/>
      <c r="N194" s="47"/>
      <c r="O194" s="45"/>
      <c r="P194" s="40"/>
    </row>
    <row r="195" spans="1:16" s="41" customFormat="1" ht="30" customHeight="1">
      <c r="A195" s="34"/>
      <c r="B195" s="35"/>
      <c r="C195" s="34"/>
      <c r="D195" s="35"/>
      <c r="E195" s="35"/>
      <c r="F195" s="35"/>
      <c r="G195" s="80" t="s">
        <v>181</v>
      </c>
      <c r="H195" s="35"/>
      <c r="I195" s="35"/>
      <c r="J195" s="80"/>
      <c r="K195" s="35"/>
      <c r="L195" s="35"/>
      <c r="M195" s="35"/>
      <c r="N195" s="47"/>
      <c r="O195" s="45"/>
      <c r="P195" s="40"/>
    </row>
    <row r="196" spans="1:16" s="41" customFormat="1" ht="30" customHeight="1">
      <c r="A196" s="34"/>
      <c r="B196" s="35"/>
      <c r="C196" s="34"/>
      <c r="D196" s="35"/>
      <c r="E196" s="35"/>
      <c r="F196" s="35"/>
      <c r="G196" s="80" t="s">
        <v>134</v>
      </c>
      <c r="H196" s="35"/>
      <c r="I196" s="35"/>
      <c r="J196" s="80"/>
      <c r="K196" s="35"/>
      <c r="L196" s="35"/>
      <c r="M196" s="35"/>
      <c r="N196" s="47"/>
      <c r="O196" s="45"/>
      <c r="P196" s="40"/>
    </row>
    <row r="197" spans="1:16" s="41" customFormat="1" ht="30" customHeight="1">
      <c r="A197" s="34"/>
      <c r="B197" s="35"/>
      <c r="C197" s="34"/>
      <c r="D197" s="35"/>
      <c r="E197" s="35"/>
      <c r="F197" s="35"/>
      <c r="G197" s="80" t="s">
        <v>173</v>
      </c>
      <c r="H197" s="35"/>
      <c r="I197" s="35"/>
      <c r="J197" s="80"/>
      <c r="K197" s="35"/>
      <c r="L197" s="35"/>
      <c r="M197" s="35"/>
      <c r="N197" s="47"/>
      <c r="O197" s="45"/>
      <c r="P197" s="40"/>
    </row>
    <row r="198" spans="1:16" s="41" customFormat="1" ht="30" customHeight="1">
      <c r="A198" s="34"/>
      <c r="B198" s="35"/>
      <c r="C198" s="34"/>
      <c r="D198" s="35"/>
      <c r="E198" s="35"/>
      <c r="F198" s="35"/>
      <c r="G198" s="80" t="s">
        <v>204</v>
      </c>
      <c r="H198" s="35"/>
      <c r="I198" s="35"/>
      <c r="J198" s="80"/>
      <c r="K198" s="35"/>
      <c r="L198" s="35"/>
      <c r="M198" s="35"/>
      <c r="N198" s="47"/>
      <c r="O198" s="45"/>
      <c r="P198" s="40"/>
    </row>
    <row r="199" spans="1:16" s="41" customFormat="1" ht="30" customHeight="1">
      <c r="A199" s="34"/>
      <c r="B199" s="35"/>
      <c r="C199" s="34"/>
      <c r="D199" s="35"/>
      <c r="E199" s="35"/>
      <c r="F199" s="35"/>
      <c r="G199" s="80" t="s">
        <v>201</v>
      </c>
      <c r="H199" s="35"/>
      <c r="I199" s="35"/>
      <c r="J199" s="80"/>
      <c r="K199" s="35"/>
      <c r="L199" s="35"/>
      <c r="M199" s="35"/>
      <c r="N199" s="47"/>
      <c r="O199" s="45"/>
      <c r="P199" s="40"/>
    </row>
    <row r="200" spans="1:16" s="41" customFormat="1" ht="30" customHeight="1">
      <c r="A200" s="34"/>
      <c r="B200" s="35"/>
      <c r="C200" s="34"/>
      <c r="D200" s="35"/>
      <c r="E200" s="35"/>
      <c r="F200" s="35"/>
      <c r="G200" s="80" t="s">
        <v>52</v>
      </c>
      <c r="H200" s="35"/>
      <c r="I200" s="35"/>
      <c r="J200" s="80"/>
      <c r="K200" s="35"/>
      <c r="L200" s="35"/>
      <c r="M200" s="35"/>
      <c r="N200" s="47"/>
      <c r="O200" s="45"/>
      <c r="P200" s="40"/>
    </row>
    <row r="201" spans="1:16" s="41" customFormat="1" ht="30" customHeight="1">
      <c r="A201" s="34"/>
      <c r="B201" s="35"/>
      <c r="C201" s="34"/>
      <c r="D201" s="35"/>
      <c r="E201" s="35"/>
      <c r="F201" s="35"/>
      <c r="G201" s="80" t="s">
        <v>212</v>
      </c>
      <c r="H201" s="35"/>
      <c r="I201" s="35"/>
      <c r="J201" s="80"/>
      <c r="K201" s="35"/>
      <c r="L201" s="35"/>
      <c r="M201" s="35"/>
      <c r="N201" s="47"/>
      <c r="O201" s="45"/>
      <c r="P201" s="40"/>
    </row>
    <row r="202" spans="1:16" s="41" customFormat="1" ht="30" customHeight="1">
      <c r="A202" s="34"/>
      <c r="B202" s="35"/>
      <c r="C202" s="34"/>
      <c r="D202" s="35"/>
      <c r="E202" s="35"/>
      <c r="F202" s="35"/>
      <c r="G202" s="80" t="s">
        <v>213</v>
      </c>
      <c r="H202" s="35"/>
      <c r="I202" s="35"/>
      <c r="J202" s="80"/>
      <c r="K202" s="35"/>
      <c r="L202" s="35"/>
      <c r="M202" s="35"/>
      <c r="N202" s="47"/>
      <c r="O202" s="45"/>
      <c r="P202" s="40"/>
    </row>
    <row r="203" spans="1:16" s="41" customFormat="1" ht="30" customHeight="1">
      <c r="A203" s="34"/>
      <c r="B203" s="35"/>
      <c r="C203" s="34"/>
      <c r="D203" s="35"/>
      <c r="E203" s="35"/>
      <c r="F203" s="35"/>
      <c r="G203" s="80" t="s">
        <v>161</v>
      </c>
      <c r="H203" s="35"/>
      <c r="I203" s="35"/>
      <c r="J203" s="80"/>
      <c r="K203" s="35"/>
      <c r="L203" s="35"/>
      <c r="M203" s="35"/>
      <c r="N203" s="47"/>
      <c r="O203" s="45"/>
      <c r="P203" s="40"/>
    </row>
    <row r="204" spans="1:16" s="41" customFormat="1" ht="30" customHeight="1">
      <c r="A204" s="42">
        <v>126</v>
      </c>
      <c r="B204" s="43" t="s">
        <v>214</v>
      </c>
      <c r="C204" s="42">
        <v>247</v>
      </c>
      <c r="D204" s="43" t="s">
        <v>215</v>
      </c>
      <c r="E204" s="43" t="s">
        <v>431</v>
      </c>
      <c r="F204" s="43"/>
      <c r="G204" s="65" t="s">
        <v>621</v>
      </c>
      <c r="H204" s="43"/>
      <c r="I204" s="43"/>
      <c r="J204" s="65"/>
      <c r="K204" s="43"/>
      <c r="L204" s="43"/>
      <c r="M204" s="43"/>
      <c r="N204" s="66"/>
      <c r="O204" s="45">
        <v>1</v>
      </c>
      <c r="P204" s="40"/>
    </row>
    <row r="205" spans="1:16" s="41" customFormat="1" ht="30" customHeight="1">
      <c r="A205" s="34">
        <v>127</v>
      </c>
      <c r="B205" s="35" t="s">
        <v>76</v>
      </c>
      <c r="C205" s="34"/>
      <c r="D205" s="35"/>
      <c r="E205" s="35" t="s">
        <v>435</v>
      </c>
      <c r="F205" s="35" t="s">
        <v>13</v>
      </c>
      <c r="G205" s="46"/>
      <c r="H205" s="44"/>
      <c r="I205" s="44"/>
      <c r="J205" s="46"/>
      <c r="K205" s="44"/>
      <c r="L205" s="44"/>
      <c r="M205" s="44"/>
      <c r="N205" s="44"/>
      <c r="O205" s="45"/>
      <c r="P205" s="40"/>
    </row>
    <row r="206" spans="1:16" s="41" customFormat="1" ht="30" customHeight="1">
      <c r="A206" s="48">
        <v>128</v>
      </c>
      <c r="B206" s="49" t="s">
        <v>106</v>
      </c>
      <c r="C206" s="48"/>
      <c r="D206" s="49"/>
      <c r="E206" s="49" t="s">
        <v>438</v>
      </c>
      <c r="F206" s="49"/>
      <c r="G206" s="29" t="s">
        <v>105</v>
      </c>
      <c r="H206" s="49" t="s">
        <v>440</v>
      </c>
      <c r="I206" s="49" t="s">
        <v>595</v>
      </c>
      <c r="J206" s="29" t="s">
        <v>468</v>
      </c>
      <c r="K206" s="49"/>
      <c r="L206" s="29" t="s">
        <v>105</v>
      </c>
      <c r="M206" s="49" t="s">
        <v>613</v>
      </c>
      <c r="N206" s="50"/>
      <c r="O206" s="45"/>
      <c r="P206" s="40"/>
    </row>
    <row r="207" spans="1:16" s="41" customFormat="1" ht="30" customHeight="1">
      <c r="A207" s="51"/>
      <c r="B207" s="52"/>
      <c r="C207" s="51"/>
      <c r="D207" s="52"/>
      <c r="E207" s="52"/>
      <c r="F207" s="52"/>
      <c r="G207" s="53" t="s">
        <v>119</v>
      </c>
      <c r="H207" s="52"/>
      <c r="I207" s="52"/>
      <c r="J207" s="53"/>
      <c r="K207" s="52"/>
      <c r="L207" s="53" t="s">
        <v>119</v>
      </c>
      <c r="M207" s="52"/>
      <c r="N207" s="54"/>
      <c r="O207" s="45"/>
      <c r="P207" s="40"/>
    </row>
    <row r="208" spans="1:16" s="41" customFormat="1" ht="30" customHeight="1">
      <c r="A208" s="34">
        <v>129</v>
      </c>
      <c r="B208" s="35" t="s">
        <v>216</v>
      </c>
      <c r="C208" s="34" t="s">
        <v>419</v>
      </c>
      <c r="D208" s="35"/>
      <c r="E208" s="35" t="s">
        <v>438</v>
      </c>
      <c r="F208" s="35"/>
      <c r="G208" s="35" t="s">
        <v>105</v>
      </c>
      <c r="H208" s="35" t="s">
        <v>440</v>
      </c>
      <c r="I208" s="35" t="s">
        <v>595</v>
      </c>
      <c r="J208" s="35" t="s">
        <v>468</v>
      </c>
      <c r="K208" s="35"/>
      <c r="L208" s="35" t="s">
        <v>105</v>
      </c>
      <c r="M208" s="35" t="s">
        <v>613</v>
      </c>
      <c r="N208" s="47"/>
      <c r="O208" s="45"/>
      <c r="P208" s="40"/>
    </row>
    <row r="209" spans="1:16" s="41" customFormat="1" ht="30" customHeight="1">
      <c r="A209" s="34"/>
      <c r="B209" s="35"/>
      <c r="C209" s="34"/>
      <c r="D209" s="35"/>
      <c r="E209" s="35"/>
      <c r="F209" s="35"/>
      <c r="G209" s="35" t="s">
        <v>119</v>
      </c>
      <c r="H209" s="35"/>
      <c r="I209" s="35"/>
      <c r="J209" s="35"/>
      <c r="K209" s="35"/>
      <c r="L209" s="35" t="s">
        <v>119</v>
      </c>
      <c r="M209" s="35"/>
      <c r="N209" s="47"/>
      <c r="O209" s="45"/>
      <c r="P209" s="40"/>
    </row>
    <row r="210" spans="1:16" s="41" customFormat="1" ht="30" customHeight="1">
      <c r="A210" s="42">
        <v>130</v>
      </c>
      <c r="B210" s="43" t="s">
        <v>76</v>
      </c>
      <c r="C210" s="42"/>
      <c r="D210" s="43"/>
      <c r="E210" s="43" t="s">
        <v>435</v>
      </c>
      <c r="F210" s="43" t="s">
        <v>13</v>
      </c>
      <c r="G210" s="44"/>
      <c r="H210" s="44"/>
      <c r="I210" s="44"/>
      <c r="J210" s="44"/>
      <c r="K210" s="44"/>
      <c r="L210" s="44"/>
      <c r="M210" s="44"/>
      <c r="N210" s="44"/>
      <c r="O210" s="45"/>
      <c r="P210" s="40"/>
    </row>
    <row r="211" spans="1:16" s="41" customFormat="1" ht="30" customHeight="1">
      <c r="A211" s="34">
        <v>131</v>
      </c>
      <c r="B211" s="35" t="s">
        <v>217</v>
      </c>
      <c r="C211" s="34">
        <v>253</v>
      </c>
      <c r="D211" s="35"/>
      <c r="E211" s="35" t="s">
        <v>435</v>
      </c>
      <c r="F211" s="35" t="s">
        <v>13</v>
      </c>
      <c r="G211" s="46"/>
      <c r="H211" s="44"/>
      <c r="I211" s="44"/>
      <c r="J211" s="46"/>
      <c r="K211" s="44"/>
      <c r="L211" s="44"/>
      <c r="M211" s="44"/>
      <c r="N211" s="44"/>
      <c r="O211" s="45"/>
      <c r="P211" s="40"/>
    </row>
    <row r="212" spans="1:16" s="41" customFormat="1" ht="30" customHeight="1">
      <c r="A212" s="48">
        <v>132</v>
      </c>
      <c r="B212" s="49" t="s">
        <v>218</v>
      </c>
      <c r="C212" s="48"/>
      <c r="D212" s="49" t="s">
        <v>219</v>
      </c>
      <c r="E212" s="49" t="s">
        <v>437</v>
      </c>
      <c r="F212" s="49"/>
      <c r="G212" s="29" t="s">
        <v>63</v>
      </c>
      <c r="H212" s="49" t="s">
        <v>441</v>
      </c>
      <c r="I212" s="49" t="s">
        <v>595</v>
      </c>
      <c r="J212" s="29" t="s">
        <v>459</v>
      </c>
      <c r="K212" s="49" t="s">
        <v>563</v>
      </c>
      <c r="L212" s="29" t="s">
        <v>63</v>
      </c>
      <c r="M212" s="49" t="s">
        <v>443</v>
      </c>
      <c r="N212" s="50"/>
      <c r="O212" s="45"/>
      <c r="P212" s="40"/>
    </row>
    <row r="213" spans="1:16" s="41" customFormat="1" ht="30" customHeight="1">
      <c r="A213" s="55"/>
      <c r="B213" s="56"/>
      <c r="C213" s="55"/>
      <c r="D213" s="56"/>
      <c r="E213" s="56"/>
      <c r="F213" s="56"/>
      <c r="G213" s="57" t="s">
        <v>220</v>
      </c>
      <c r="H213" s="56"/>
      <c r="I213" s="56"/>
      <c r="J213" s="57"/>
      <c r="K213" s="56"/>
      <c r="L213" s="57" t="s">
        <v>220</v>
      </c>
      <c r="M213" s="56"/>
      <c r="N213" s="58"/>
      <c r="O213" s="45"/>
      <c r="P213" s="40"/>
    </row>
    <row r="214" spans="1:16" s="41" customFormat="1" ht="30" customHeight="1">
      <c r="A214" s="55"/>
      <c r="B214" s="56"/>
      <c r="C214" s="55"/>
      <c r="D214" s="56"/>
      <c r="E214" s="56"/>
      <c r="F214" s="56"/>
      <c r="G214" s="57" t="s">
        <v>79</v>
      </c>
      <c r="H214" s="56"/>
      <c r="I214" s="56"/>
      <c r="J214" s="57"/>
      <c r="K214" s="56"/>
      <c r="L214" s="57" t="s">
        <v>79</v>
      </c>
      <c r="M214" s="56"/>
      <c r="N214" s="58"/>
      <c r="O214" s="45"/>
      <c r="P214" s="40"/>
    </row>
    <row r="215" spans="1:16" s="41" customFormat="1" ht="30" customHeight="1">
      <c r="A215" s="55"/>
      <c r="B215" s="56"/>
      <c r="C215" s="55"/>
      <c r="D215" s="56"/>
      <c r="E215" s="56"/>
      <c r="F215" s="56"/>
      <c r="G215" s="57" t="s">
        <v>585</v>
      </c>
      <c r="H215" s="56"/>
      <c r="I215" s="56"/>
      <c r="J215" s="57"/>
      <c r="K215" s="56"/>
      <c r="L215" s="57" t="s">
        <v>585</v>
      </c>
      <c r="M215" s="56"/>
      <c r="N215" s="58"/>
      <c r="O215" s="45"/>
      <c r="P215" s="40"/>
    </row>
    <row r="216" spans="1:16" s="41" customFormat="1" ht="30" customHeight="1">
      <c r="A216" s="55"/>
      <c r="B216" s="56"/>
      <c r="C216" s="55"/>
      <c r="D216" s="56"/>
      <c r="E216" s="56"/>
      <c r="F216" s="56"/>
      <c r="G216" s="57" t="s">
        <v>221</v>
      </c>
      <c r="H216" s="56"/>
      <c r="I216" s="56"/>
      <c r="J216" s="57"/>
      <c r="K216" s="56"/>
      <c r="L216" s="57" t="s">
        <v>221</v>
      </c>
      <c r="M216" s="56"/>
      <c r="N216" s="58"/>
      <c r="O216" s="45"/>
      <c r="P216" s="40"/>
    </row>
    <row r="217" spans="1:16" s="41" customFormat="1" ht="30" customHeight="1">
      <c r="A217" s="55"/>
      <c r="B217" s="56"/>
      <c r="C217" s="55"/>
      <c r="D217" s="56"/>
      <c r="E217" s="56"/>
      <c r="F217" s="56"/>
      <c r="G217" s="57" t="s">
        <v>222</v>
      </c>
      <c r="H217" s="56"/>
      <c r="I217" s="56"/>
      <c r="J217" s="57"/>
      <c r="K217" s="56"/>
      <c r="L217" s="57" t="s">
        <v>222</v>
      </c>
      <c r="M217" s="56"/>
      <c r="N217" s="58"/>
      <c r="O217" s="45"/>
      <c r="P217" s="40"/>
    </row>
    <row r="218" spans="1:16" s="41" customFormat="1" ht="30" customHeight="1">
      <c r="A218" s="55"/>
      <c r="B218" s="56"/>
      <c r="C218" s="55"/>
      <c r="D218" s="56"/>
      <c r="E218" s="56"/>
      <c r="F218" s="56"/>
      <c r="G218" s="57" t="s">
        <v>64</v>
      </c>
      <c r="H218" s="56"/>
      <c r="I218" s="56"/>
      <c r="J218" s="57"/>
      <c r="K218" s="56"/>
      <c r="L218" s="57" t="s">
        <v>64</v>
      </c>
      <c r="M218" s="56"/>
      <c r="N218" s="58"/>
      <c r="O218" s="45"/>
      <c r="P218" s="40"/>
    </row>
    <row r="219" spans="1:16" s="41" customFormat="1" ht="30" customHeight="1">
      <c r="A219" s="51"/>
      <c r="B219" s="52"/>
      <c r="C219" s="51"/>
      <c r="D219" s="52"/>
      <c r="E219" s="52"/>
      <c r="F219" s="52"/>
      <c r="G219" s="53" t="s">
        <v>223</v>
      </c>
      <c r="H219" s="52"/>
      <c r="I219" s="52"/>
      <c r="J219" s="53"/>
      <c r="K219" s="52"/>
      <c r="L219" s="53" t="s">
        <v>223</v>
      </c>
      <c r="M219" s="52"/>
      <c r="N219" s="54"/>
      <c r="O219" s="45"/>
      <c r="P219" s="40"/>
    </row>
    <row r="220" spans="1:16" s="41" customFormat="1" ht="30" customHeight="1">
      <c r="A220" s="34">
        <v>133</v>
      </c>
      <c r="B220" s="35" t="s">
        <v>224</v>
      </c>
      <c r="C220" s="34"/>
      <c r="D220" s="35"/>
      <c r="E220" s="35" t="s">
        <v>437</v>
      </c>
      <c r="F220" s="35" t="s">
        <v>35</v>
      </c>
      <c r="G220" s="46"/>
      <c r="H220" s="44"/>
      <c r="I220" s="44"/>
      <c r="J220" s="46"/>
      <c r="K220" s="44"/>
      <c r="L220" s="44"/>
      <c r="M220" s="44"/>
      <c r="N220" s="44"/>
      <c r="O220" s="45"/>
      <c r="P220" s="40"/>
    </row>
    <row r="221" spans="1:16" s="41" customFormat="1" ht="30" customHeight="1">
      <c r="A221" s="48">
        <v>134</v>
      </c>
      <c r="B221" s="29" t="s">
        <v>225</v>
      </c>
      <c r="C221" s="29"/>
      <c r="D221" s="29"/>
      <c r="E221" s="29" t="s">
        <v>437</v>
      </c>
      <c r="F221" s="29"/>
      <c r="G221" s="29" t="s">
        <v>220</v>
      </c>
      <c r="H221" s="49" t="s">
        <v>441</v>
      </c>
      <c r="I221" s="49" t="s">
        <v>595</v>
      </c>
      <c r="J221" s="29" t="s">
        <v>459</v>
      </c>
      <c r="K221" s="49" t="s">
        <v>563</v>
      </c>
      <c r="L221" s="29" t="s">
        <v>220</v>
      </c>
      <c r="M221" s="29" t="s">
        <v>443</v>
      </c>
      <c r="N221" s="67"/>
      <c r="O221" s="45"/>
      <c r="P221" s="40"/>
    </row>
    <row r="222" spans="1:16" s="41" customFormat="1" ht="30" customHeight="1">
      <c r="A222" s="55"/>
      <c r="B222" s="57"/>
      <c r="C222" s="57"/>
      <c r="D222" s="57"/>
      <c r="E222" s="57"/>
      <c r="F222" s="57"/>
      <c r="G222" s="57" t="s">
        <v>79</v>
      </c>
      <c r="H222" s="57"/>
      <c r="I222" s="57"/>
      <c r="J222" s="57"/>
      <c r="K222" s="57"/>
      <c r="L222" s="57" t="s">
        <v>79</v>
      </c>
      <c r="M222" s="57"/>
      <c r="N222" s="68"/>
      <c r="O222" s="45"/>
      <c r="P222" s="40"/>
    </row>
    <row r="223" spans="1:16" s="41" customFormat="1" ht="30" customHeight="1">
      <c r="A223" s="55"/>
      <c r="B223" s="57"/>
      <c r="C223" s="57"/>
      <c r="D223" s="57"/>
      <c r="E223" s="57"/>
      <c r="F223" s="57"/>
      <c r="G223" s="57" t="s">
        <v>585</v>
      </c>
      <c r="H223" s="57"/>
      <c r="I223" s="57"/>
      <c r="J223" s="57"/>
      <c r="K223" s="57"/>
      <c r="L223" s="57" t="s">
        <v>585</v>
      </c>
      <c r="M223" s="57"/>
      <c r="N223" s="68"/>
      <c r="O223" s="45"/>
      <c r="P223" s="40"/>
    </row>
    <row r="224" spans="1:16" s="41" customFormat="1" ht="30" customHeight="1">
      <c r="A224" s="55"/>
      <c r="B224" s="57"/>
      <c r="C224" s="57"/>
      <c r="D224" s="57"/>
      <c r="E224" s="57"/>
      <c r="F224" s="57"/>
      <c r="G224" s="57" t="s">
        <v>221</v>
      </c>
      <c r="H224" s="57"/>
      <c r="I224" s="57"/>
      <c r="J224" s="57"/>
      <c r="K224" s="57"/>
      <c r="L224" s="57" t="s">
        <v>221</v>
      </c>
      <c r="M224" s="57"/>
      <c r="N224" s="68"/>
      <c r="O224" s="45"/>
      <c r="P224" s="40"/>
    </row>
    <row r="225" spans="1:16" s="41" customFormat="1" ht="30" customHeight="1">
      <c r="A225" s="55"/>
      <c r="B225" s="57"/>
      <c r="C225" s="57"/>
      <c r="D225" s="57"/>
      <c r="E225" s="57"/>
      <c r="F225" s="57"/>
      <c r="G225" s="57" t="s">
        <v>222</v>
      </c>
      <c r="H225" s="57"/>
      <c r="I225" s="57"/>
      <c r="J225" s="57"/>
      <c r="K225" s="57"/>
      <c r="L225" s="57" t="s">
        <v>222</v>
      </c>
      <c r="M225" s="57"/>
      <c r="N225" s="68"/>
      <c r="O225" s="45"/>
      <c r="P225" s="40"/>
    </row>
    <row r="226" spans="1:16" s="41" customFormat="1" ht="30" customHeight="1">
      <c r="A226" s="55"/>
      <c r="B226" s="57"/>
      <c r="C226" s="57"/>
      <c r="D226" s="57"/>
      <c r="E226" s="57"/>
      <c r="F226" s="57"/>
      <c r="G226" s="57" t="s">
        <v>64</v>
      </c>
      <c r="H226" s="57"/>
      <c r="I226" s="57"/>
      <c r="J226" s="57"/>
      <c r="K226" s="57"/>
      <c r="L226" s="57" t="s">
        <v>64</v>
      </c>
      <c r="M226" s="57"/>
      <c r="N226" s="68"/>
      <c r="O226" s="45"/>
      <c r="P226" s="40"/>
    </row>
    <row r="227" spans="1:16" s="41" customFormat="1" ht="30" customHeight="1">
      <c r="A227" s="51"/>
      <c r="B227" s="53"/>
      <c r="C227" s="53"/>
      <c r="D227" s="53"/>
      <c r="E227" s="53"/>
      <c r="F227" s="53"/>
      <c r="G227" s="53" t="s">
        <v>223</v>
      </c>
      <c r="H227" s="53"/>
      <c r="I227" s="53"/>
      <c r="J227" s="53"/>
      <c r="K227" s="53"/>
      <c r="L227" s="53" t="s">
        <v>223</v>
      </c>
      <c r="M227" s="53"/>
      <c r="N227" s="69"/>
      <c r="O227" s="45"/>
      <c r="P227" s="40"/>
    </row>
    <row r="228" spans="1:16" s="41" customFormat="1" ht="30" customHeight="1">
      <c r="A228" s="34">
        <v>135</v>
      </c>
      <c r="B228" s="35" t="s">
        <v>76</v>
      </c>
      <c r="C228" s="34" t="s">
        <v>420</v>
      </c>
      <c r="D228" s="35"/>
      <c r="E228" s="35" t="s">
        <v>435</v>
      </c>
      <c r="F228" s="35" t="s">
        <v>13</v>
      </c>
      <c r="G228" s="46"/>
      <c r="H228" s="44"/>
      <c r="I228" s="44"/>
      <c r="J228" s="46"/>
      <c r="K228" s="44"/>
      <c r="L228" s="44"/>
      <c r="M228" s="44"/>
      <c r="N228" s="44"/>
      <c r="O228" s="45"/>
      <c r="P228" s="40"/>
    </row>
    <row r="229" spans="1:16" s="41" customFormat="1" ht="75.75" customHeight="1">
      <c r="A229" s="42">
        <v>136</v>
      </c>
      <c r="B229" s="43" t="s">
        <v>226</v>
      </c>
      <c r="C229" s="42"/>
      <c r="D229" s="43"/>
      <c r="E229" s="43" t="s">
        <v>428</v>
      </c>
      <c r="F229" s="43"/>
      <c r="G229" s="43" t="s">
        <v>534</v>
      </c>
      <c r="H229" s="43"/>
      <c r="I229" s="43"/>
      <c r="J229" s="43"/>
      <c r="K229" s="43" t="s">
        <v>605</v>
      </c>
      <c r="L229" s="43"/>
      <c r="M229" s="43"/>
      <c r="N229" s="43"/>
      <c r="O229" s="45"/>
      <c r="P229" s="40"/>
    </row>
    <row r="230" spans="1:16" s="41" customFormat="1" ht="30" customHeight="1">
      <c r="A230" s="34">
        <v>137</v>
      </c>
      <c r="B230" s="35" t="s">
        <v>227</v>
      </c>
      <c r="C230" s="34"/>
      <c r="D230" s="35"/>
      <c r="E230" s="35" t="s">
        <v>431</v>
      </c>
      <c r="F230" s="35" t="s">
        <v>442</v>
      </c>
      <c r="G230" s="46"/>
      <c r="H230" s="44"/>
      <c r="I230" s="44"/>
      <c r="J230" s="46"/>
      <c r="K230" s="44"/>
      <c r="L230" s="44"/>
      <c r="M230" s="44"/>
      <c r="N230" s="44"/>
      <c r="O230" s="45"/>
      <c r="P230" s="40"/>
    </row>
    <row r="231" spans="1:16" s="41" customFormat="1" ht="30" customHeight="1">
      <c r="A231" s="48">
        <v>138</v>
      </c>
      <c r="B231" s="49" t="s">
        <v>228</v>
      </c>
      <c r="C231" s="48" t="s">
        <v>421</v>
      </c>
      <c r="D231" s="49"/>
      <c r="E231" s="43" t="s">
        <v>438</v>
      </c>
      <c r="F231" s="43"/>
      <c r="G231" s="29"/>
      <c r="H231" s="49"/>
      <c r="I231" s="49"/>
      <c r="J231" s="29"/>
      <c r="K231" s="49" t="s">
        <v>590</v>
      </c>
      <c r="L231" s="49"/>
      <c r="M231" s="49"/>
      <c r="N231" s="50"/>
      <c r="O231" s="45">
        <v>1</v>
      </c>
      <c r="P231" s="40"/>
    </row>
    <row r="232" spans="1:16" s="41" customFormat="1" ht="30" customHeight="1">
      <c r="A232" s="34">
        <v>139</v>
      </c>
      <c r="B232" s="35" t="s">
        <v>229</v>
      </c>
      <c r="C232" s="34"/>
      <c r="D232" s="35"/>
      <c r="E232" s="35" t="s">
        <v>438</v>
      </c>
      <c r="F232" s="35"/>
      <c r="G232" s="80"/>
      <c r="H232" s="35"/>
      <c r="I232" s="80"/>
      <c r="J232" s="80"/>
      <c r="K232" s="80" t="s">
        <v>590</v>
      </c>
      <c r="L232" s="35"/>
      <c r="M232" s="35"/>
      <c r="N232" s="47"/>
      <c r="O232" s="45">
        <v>1</v>
      </c>
      <c r="P232" s="40"/>
    </row>
    <row r="233" spans="1:16" s="41" customFormat="1" ht="30" customHeight="1">
      <c r="A233" s="42">
        <v>140</v>
      </c>
      <c r="B233" s="43" t="s">
        <v>230</v>
      </c>
      <c r="C233" s="42"/>
      <c r="D233" s="43"/>
      <c r="E233" s="43" t="s">
        <v>435</v>
      </c>
      <c r="F233" s="43" t="s">
        <v>35</v>
      </c>
      <c r="G233" s="44"/>
      <c r="H233" s="44"/>
      <c r="I233" s="44"/>
      <c r="J233" s="44"/>
      <c r="K233" s="44"/>
      <c r="L233" s="44"/>
      <c r="M233" s="44"/>
      <c r="N233" s="44"/>
      <c r="O233" s="45"/>
      <c r="P233" s="40"/>
    </row>
    <row r="234" spans="1:16" s="41" customFormat="1" ht="30" customHeight="1">
      <c r="A234" s="34">
        <v>141</v>
      </c>
      <c r="B234" s="35" t="s">
        <v>231</v>
      </c>
      <c r="C234" s="34"/>
      <c r="D234" s="35"/>
      <c r="E234" s="35" t="s">
        <v>435</v>
      </c>
      <c r="F234" s="35" t="s">
        <v>35</v>
      </c>
      <c r="G234" s="46"/>
      <c r="H234" s="44"/>
      <c r="I234" s="44"/>
      <c r="J234" s="46"/>
      <c r="K234" s="44"/>
      <c r="L234" s="44"/>
      <c r="M234" s="44"/>
      <c r="N234" s="44"/>
      <c r="O234" s="45"/>
      <c r="P234" s="40"/>
    </row>
    <row r="235" spans="1:16" s="41" customFormat="1" ht="30" customHeight="1">
      <c r="A235" s="42">
        <v>142</v>
      </c>
      <c r="B235" s="43" t="s">
        <v>232</v>
      </c>
      <c r="C235" s="42"/>
      <c r="D235" s="43"/>
      <c r="E235" s="43" t="s">
        <v>435</v>
      </c>
      <c r="F235" s="43" t="s">
        <v>442</v>
      </c>
      <c r="G235" s="44"/>
      <c r="H235" s="44"/>
      <c r="I235" s="44"/>
      <c r="J235" s="44"/>
      <c r="K235" s="44"/>
      <c r="L235" s="44"/>
      <c r="M235" s="44"/>
      <c r="N235" s="44"/>
      <c r="O235" s="45"/>
      <c r="P235" s="40"/>
    </row>
    <row r="236" spans="1:16" s="41" customFormat="1" ht="30" customHeight="1">
      <c r="A236" s="34">
        <v>143</v>
      </c>
      <c r="B236" s="35" t="s">
        <v>76</v>
      </c>
      <c r="C236" s="34"/>
      <c r="D236" s="35"/>
      <c r="E236" s="35" t="s">
        <v>435</v>
      </c>
      <c r="F236" s="35" t="s">
        <v>13</v>
      </c>
      <c r="G236" s="46"/>
      <c r="H236" s="44"/>
      <c r="I236" s="44"/>
      <c r="J236" s="46"/>
      <c r="K236" s="44"/>
      <c r="L236" s="44"/>
      <c r="M236" s="44"/>
      <c r="N236" s="44"/>
      <c r="O236" s="45"/>
      <c r="P236" s="40"/>
    </row>
    <row r="237" spans="1:16" s="41" customFormat="1" ht="30" customHeight="1">
      <c r="A237" s="42">
        <v>144</v>
      </c>
      <c r="B237" s="43" t="s">
        <v>233</v>
      </c>
      <c r="C237" s="42"/>
      <c r="D237" s="43"/>
      <c r="E237" s="43" t="s">
        <v>435</v>
      </c>
      <c r="F237" s="43" t="s">
        <v>35</v>
      </c>
      <c r="G237" s="44"/>
      <c r="H237" s="44"/>
      <c r="I237" s="44"/>
      <c r="J237" s="44"/>
      <c r="K237" s="44"/>
      <c r="L237" s="44"/>
      <c r="M237" s="44"/>
      <c r="N237" s="44"/>
      <c r="O237" s="45"/>
      <c r="P237" s="40"/>
    </row>
    <row r="238" spans="1:16" s="41" customFormat="1" ht="30" customHeight="1">
      <c r="A238" s="34">
        <v>145</v>
      </c>
      <c r="B238" s="35" t="s">
        <v>234</v>
      </c>
      <c r="C238" s="34"/>
      <c r="D238" s="35"/>
      <c r="E238" s="35" t="s">
        <v>435</v>
      </c>
      <c r="F238" s="35" t="s">
        <v>235</v>
      </c>
      <c r="G238" s="46"/>
      <c r="H238" s="44"/>
      <c r="I238" s="44"/>
      <c r="J238" s="46"/>
      <c r="K238" s="44"/>
      <c r="L238" s="44"/>
      <c r="M238" s="44"/>
      <c r="N238" s="44"/>
      <c r="O238" s="45"/>
      <c r="P238" s="40"/>
    </row>
    <row r="239" spans="1:16" s="41" customFormat="1" ht="30" customHeight="1">
      <c r="A239" s="42">
        <v>146</v>
      </c>
      <c r="B239" s="43" t="s">
        <v>236</v>
      </c>
      <c r="C239" s="42"/>
      <c r="D239" s="43"/>
      <c r="E239" s="43" t="s">
        <v>435</v>
      </c>
      <c r="F239" s="43" t="s">
        <v>235</v>
      </c>
      <c r="G239" s="44"/>
      <c r="H239" s="44"/>
      <c r="I239" s="44"/>
      <c r="J239" s="44"/>
      <c r="K239" s="44"/>
      <c r="L239" s="44"/>
      <c r="M239" s="44"/>
      <c r="N239" s="44"/>
      <c r="O239" s="45"/>
      <c r="P239" s="40"/>
    </row>
    <row r="240" spans="1:16" s="41" customFormat="1" ht="30" customHeight="1">
      <c r="A240" s="34">
        <v>147</v>
      </c>
      <c r="B240" s="35" t="s">
        <v>237</v>
      </c>
      <c r="C240" s="34"/>
      <c r="D240" s="35"/>
      <c r="E240" s="35" t="s">
        <v>435</v>
      </c>
      <c r="F240" s="35" t="s">
        <v>235</v>
      </c>
      <c r="G240" s="46"/>
      <c r="H240" s="44"/>
      <c r="I240" s="44"/>
      <c r="J240" s="46"/>
      <c r="K240" s="44"/>
      <c r="L240" s="44"/>
      <c r="M240" s="44"/>
      <c r="N240" s="44"/>
      <c r="O240" s="45"/>
      <c r="P240" s="40"/>
    </row>
    <row r="241" spans="1:16" s="41" customFormat="1" ht="30" customHeight="1">
      <c r="A241" s="42">
        <v>148</v>
      </c>
      <c r="B241" s="43" t="s">
        <v>238</v>
      </c>
      <c r="C241" s="42"/>
      <c r="D241" s="43"/>
      <c r="E241" s="43" t="s">
        <v>435</v>
      </c>
      <c r="F241" s="43" t="s">
        <v>235</v>
      </c>
      <c r="G241" s="44"/>
      <c r="H241" s="44"/>
      <c r="I241" s="44"/>
      <c r="J241" s="44"/>
      <c r="K241" s="44"/>
      <c r="L241" s="44"/>
      <c r="M241" s="44"/>
      <c r="N241" s="44"/>
      <c r="O241" s="45"/>
      <c r="P241" s="40"/>
    </row>
    <row r="242" spans="1:16" s="41" customFormat="1" ht="30" customHeight="1">
      <c r="A242" s="34">
        <v>149</v>
      </c>
      <c r="B242" s="35" t="s">
        <v>239</v>
      </c>
      <c r="C242" s="34"/>
      <c r="D242" s="35"/>
      <c r="E242" s="35" t="s">
        <v>435</v>
      </c>
      <c r="F242" s="35" t="s">
        <v>235</v>
      </c>
      <c r="G242" s="46"/>
      <c r="H242" s="44"/>
      <c r="I242" s="44"/>
      <c r="J242" s="46"/>
      <c r="K242" s="44"/>
      <c r="L242" s="44"/>
      <c r="M242" s="44"/>
      <c r="N242" s="44"/>
      <c r="O242" s="45"/>
      <c r="P242" s="40"/>
    </row>
    <row r="243" spans="1:16" s="41" customFormat="1" ht="30" customHeight="1">
      <c r="A243" s="42">
        <v>150</v>
      </c>
      <c r="B243" s="43" t="s">
        <v>240</v>
      </c>
      <c r="C243" s="42"/>
      <c r="D243" s="43"/>
      <c r="E243" s="43" t="s">
        <v>435</v>
      </c>
      <c r="F243" s="43" t="s">
        <v>235</v>
      </c>
      <c r="G243" s="44"/>
      <c r="H243" s="44"/>
      <c r="I243" s="44"/>
      <c r="J243" s="44"/>
      <c r="K243" s="44"/>
      <c r="L243" s="44"/>
      <c r="M243" s="44"/>
      <c r="N243" s="44"/>
      <c r="O243" s="45"/>
      <c r="P243" s="40"/>
    </row>
    <row r="244" spans="1:16" s="41" customFormat="1" ht="30" customHeight="1">
      <c r="A244" s="34">
        <v>151</v>
      </c>
      <c r="B244" s="35" t="s">
        <v>241</v>
      </c>
      <c r="C244" s="34"/>
      <c r="D244" s="35"/>
      <c r="E244" s="35" t="s">
        <v>435</v>
      </c>
      <c r="F244" s="35" t="s">
        <v>235</v>
      </c>
      <c r="G244" s="46"/>
      <c r="H244" s="44"/>
      <c r="I244" s="44"/>
      <c r="J244" s="46"/>
      <c r="K244" s="44"/>
      <c r="L244" s="44"/>
      <c r="M244" s="44"/>
      <c r="N244" s="44"/>
      <c r="O244" s="45"/>
      <c r="P244" s="40"/>
    </row>
    <row r="245" spans="1:16" s="41" customFormat="1" ht="30" customHeight="1">
      <c r="A245" s="42">
        <v>152</v>
      </c>
      <c r="B245" s="43" t="s">
        <v>242</v>
      </c>
      <c r="C245" s="42"/>
      <c r="D245" s="43"/>
      <c r="E245" s="43" t="s">
        <v>435</v>
      </c>
      <c r="F245" s="43" t="s">
        <v>235</v>
      </c>
      <c r="G245" s="44"/>
      <c r="H245" s="44"/>
      <c r="I245" s="44"/>
      <c r="J245" s="44"/>
      <c r="K245" s="44"/>
      <c r="L245" s="44"/>
      <c r="M245" s="44"/>
      <c r="N245" s="44"/>
      <c r="O245" s="45"/>
      <c r="P245" s="40"/>
    </row>
    <row r="246" spans="1:16" s="41" customFormat="1" ht="30" customHeight="1">
      <c r="A246" s="34">
        <v>153</v>
      </c>
      <c r="B246" s="35" t="s">
        <v>243</v>
      </c>
      <c r="C246" s="34" t="s">
        <v>422</v>
      </c>
      <c r="D246" s="35"/>
      <c r="E246" s="35" t="s">
        <v>435</v>
      </c>
      <c r="F246" s="35" t="s">
        <v>235</v>
      </c>
      <c r="G246" s="46"/>
      <c r="H246" s="44"/>
      <c r="I246" s="44"/>
      <c r="J246" s="46"/>
      <c r="K246" s="44"/>
      <c r="L246" s="44"/>
      <c r="M246" s="44"/>
      <c r="N246" s="44"/>
      <c r="O246" s="45"/>
      <c r="P246" s="40"/>
    </row>
    <row r="247" spans="1:16" s="41" customFormat="1" ht="30" customHeight="1">
      <c r="A247" s="42">
        <v>154</v>
      </c>
      <c r="B247" s="43" t="s">
        <v>244</v>
      </c>
      <c r="C247" s="42"/>
      <c r="D247" s="43"/>
      <c r="E247" s="43" t="s">
        <v>435</v>
      </c>
      <c r="F247" s="43" t="s">
        <v>235</v>
      </c>
      <c r="G247" s="44"/>
      <c r="H247" s="44"/>
      <c r="I247" s="44"/>
      <c r="J247" s="44"/>
      <c r="K247" s="44"/>
      <c r="L247" s="44"/>
      <c r="M247" s="44"/>
      <c r="N247" s="44"/>
      <c r="O247" s="45"/>
      <c r="P247" s="40"/>
    </row>
    <row r="248" spans="1:16" s="41" customFormat="1" ht="30" customHeight="1">
      <c r="A248" s="34">
        <v>155</v>
      </c>
      <c r="B248" s="35" t="s">
        <v>245</v>
      </c>
      <c r="C248" s="34"/>
      <c r="D248" s="35"/>
      <c r="E248" s="35" t="s">
        <v>435</v>
      </c>
      <c r="F248" s="35" t="s">
        <v>235</v>
      </c>
      <c r="G248" s="46"/>
      <c r="H248" s="44"/>
      <c r="I248" s="44"/>
      <c r="J248" s="46"/>
      <c r="K248" s="44"/>
      <c r="L248" s="44"/>
      <c r="M248" s="44"/>
      <c r="N248" s="44"/>
      <c r="O248" s="45"/>
      <c r="P248" s="40"/>
    </row>
    <row r="249" spans="1:16" s="41" customFormat="1" ht="30" customHeight="1">
      <c r="A249" s="42">
        <v>156</v>
      </c>
      <c r="B249" s="43" t="s">
        <v>246</v>
      </c>
      <c r="C249" s="42"/>
      <c r="D249" s="43"/>
      <c r="E249" s="43" t="s">
        <v>435</v>
      </c>
      <c r="F249" s="43" t="s">
        <v>235</v>
      </c>
      <c r="G249" s="44"/>
      <c r="H249" s="44"/>
      <c r="I249" s="44"/>
      <c r="J249" s="44"/>
      <c r="K249" s="44"/>
      <c r="L249" s="44"/>
      <c r="M249" s="44"/>
      <c r="N249" s="44"/>
      <c r="O249" s="45"/>
      <c r="P249" s="40"/>
    </row>
    <row r="250" spans="1:16" s="41" customFormat="1" ht="30" customHeight="1">
      <c r="A250" s="34">
        <v>157</v>
      </c>
      <c r="B250" s="35" t="s">
        <v>247</v>
      </c>
      <c r="C250" s="34"/>
      <c r="D250" s="35"/>
      <c r="E250" s="35" t="s">
        <v>435</v>
      </c>
      <c r="F250" s="35" t="s">
        <v>235</v>
      </c>
      <c r="G250" s="46"/>
      <c r="H250" s="44"/>
      <c r="I250" s="44"/>
      <c r="J250" s="46"/>
      <c r="K250" s="44"/>
      <c r="L250" s="44"/>
      <c r="M250" s="44"/>
      <c r="N250" s="44"/>
      <c r="O250" s="45"/>
      <c r="P250" s="40"/>
    </row>
    <row r="251" spans="1:16" s="41" customFormat="1" ht="30" customHeight="1">
      <c r="A251" s="42">
        <v>158</v>
      </c>
      <c r="B251" s="43" t="s">
        <v>248</v>
      </c>
      <c r="C251" s="42"/>
      <c r="D251" s="43"/>
      <c r="E251" s="43" t="s">
        <v>435</v>
      </c>
      <c r="F251" s="43" t="s">
        <v>235</v>
      </c>
      <c r="G251" s="44"/>
      <c r="H251" s="44"/>
      <c r="I251" s="44"/>
      <c r="J251" s="44"/>
      <c r="K251" s="44"/>
      <c r="L251" s="44"/>
      <c r="M251" s="44"/>
      <c r="N251" s="44"/>
      <c r="O251" s="45"/>
      <c r="P251" s="40"/>
    </row>
    <row r="252" spans="1:16" s="41" customFormat="1" ht="30" customHeight="1">
      <c r="A252" s="34">
        <v>159</v>
      </c>
      <c r="B252" s="35" t="s">
        <v>249</v>
      </c>
      <c r="C252" s="34"/>
      <c r="D252" s="35"/>
      <c r="E252" s="35" t="s">
        <v>435</v>
      </c>
      <c r="F252" s="35" t="s">
        <v>235</v>
      </c>
      <c r="G252" s="46"/>
      <c r="H252" s="44"/>
      <c r="I252" s="44"/>
      <c r="J252" s="46"/>
      <c r="K252" s="44"/>
      <c r="L252" s="44"/>
      <c r="M252" s="44"/>
      <c r="N252" s="44"/>
      <c r="O252" s="45"/>
      <c r="P252" s="40"/>
    </row>
    <row r="253" spans="1:16" s="41" customFormat="1" ht="30" customHeight="1">
      <c r="A253" s="42">
        <v>160</v>
      </c>
      <c r="B253" s="43" t="s">
        <v>250</v>
      </c>
      <c r="C253" s="42"/>
      <c r="D253" s="43"/>
      <c r="E253" s="43" t="s">
        <v>435</v>
      </c>
      <c r="F253" s="43" t="s">
        <v>235</v>
      </c>
      <c r="G253" s="44"/>
      <c r="H253" s="44"/>
      <c r="I253" s="44"/>
      <c r="J253" s="44"/>
      <c r="K253" s="44"/>
      <c r="L253" s="44"/>
      <c r="M253" s="44"/>
      <c r="N253" s="44"/>
      <c r="O253" s="45"/>
      <c r="P253" s="40"/>
    </row>
    <row r="254" spans="1:16" s="41" customFormat="1" ht="30" customHeight="1">
      <c r="A254" s="34">
        <v>161</v>
      </c>
      <c r="B254" s="35" t="s">
        <v>251</v>
      </c>
      <c r="C254" s="34"/>
      <c r="D254" s="35"/>
      <c r="E254" s="35" t="s">
        <v>435</v>
      </c>
      <c r="F254" s="35" t="s">
        <v>235</v>
      </c>
      <c r="G254" s="46"/>
      <c r="H254" s="44"/>
      <c r="I254" s="44"/>
      <c r="J254" s="46"/>
      <c r="K254" s="44"/>
      <c r="L254" s="44"/>
      <c r="M254" s="44"/>
      <c r="N254" s="44"/>
      <c r="O254" s="45"/>
      <c r="P254" s="40"/>
    </row>
    <row r="255" spans="1:16" s="41" customFormat="1" ht="30" customHeight="1">
      <c r="A255" s="42">
        <v>162</v>
      </c>
      <c r="B255" s="43" t="s">
        <v>252</v>
      </c>
      <c r="C255" s="42"/>
      <c r="D255" s="43"/>
      <c r="E255" s="43" t="s">
        <v>435</v>
      </c>
      <c r="F255" s="43" t="s">
        <v>235</v>
      </c>
      <c r="G255" s="44"/>
      <c r="H255" s="44"/>
      <c r="I255" s="44"/>
      <c r="J255" s="44"/>
      <c r="K255" s="44"/>
      <c r="L255" s="44"/>
      <c r="M255" s="44"/>
      <c r="N255" s="44"/>
      <c r="O255" s="45"/>
      <c r="P255" s="40"/>
    </row>
    <row r="256" spans="1:16" s="41" customFormat="1" ht="30" customHeight="1">
      <c r="A256" s="34">
        <v>163</v>
      </c>
      <c r="B256" s="35" t="s">
        <v>253</v>
      </c>
      <c r="C256" s="34"/>
      <c r="D256" s="35"/>
      <c r="E256" s="35" t="s">
        <v>435</v>
      </c>
      <c r="F256" s="35" t="s">
        <v>235</v>
      </c>
      <c r="G256" s="46"/>
      <c r="H256" s="44"/>
      <c r="I256" s="44"/>
      <c r="J256" s="46"/>
      <c r="K256" s="44"/>
      <c r="L256" s="44"/>
      <c r="M256" s="44"/>
      <c r="N256" s="44"/>
      <c r="O256" s="45"/>
      <c r="P256" s="40"/>
    </row>
    <row r="257" spans="1:16" s="41" customFormat="1" ht="30" customHeight="1">
      <c r="A257" s="42">
        <v>164</v>
      </c>
      <c r="B257" s="43" t="s">
        <v>56</v>
      </c>
      <c r="C257" s="42"/>
      <c r="D257" s="43"/>
      <c r="E257" s="43" t="s">
        <v>435</v>
      </c>
      <c r="F257" s="43" t="s">
        <v>235</v>
      </c>
      <c r="G257" s="44"/>
      <c r="H257" s="44"/>
      <c r="I257" s="44"/>
      <c r="J257" s="44"/>
      <c r="K257" s="44"/>
      <c r="L257" s="44"/>
      <c r="M257" s="44"/>
      <c r="N257" s="44"/>
      <c r="O257" s="45"/>
      <c r="P257" s="40"/>
    </row>
    <row r="258" spans="1:16" s="41" customFormat="1" ht="30" customHeight="1">
      <c r="A258" s="34">
        <v>165</v>
      </c>
      <c r="B258" s="35" t="s">
        <v>254</v>
      </c>
      <c r="C258" s="34"/>
      <c r="D258" s="35"/>
      <c r="E258" s="35" t="s">
        <v>435</v>
      </c>
      <c r="F258" s="35" t="s">
        <v>235</v>
      </c>
      <c r="G258" s="46"/>
      <c r="H258" s="44"/>
      <c r="I258" s="44"/>
      <c r="J258" s="46"/>
      <c r="K258" s="44"/>
      <c r="L258" s="44"/>
      <c r="M258" s="44"/>
      <c r="N258" s="44"/>
      <c r="O258" s="45"/>
      <c r="P258" s="40"/>
    </row>
    <row r="259" spans="1:16" s="41" customFormat="1" ht="30" customHeight="1">
      <c r="A259" s="42">
        <v>166</v>
      </c>
      <c r="B259" s="43" t="s">
        <v>255</v>
      </c>
      <c r="C259" s="42"/>
      <c r="D259" s="43"/>
      <c r="E259" s="43" t="s">
        <v>435</v>
      </c>
      <c r="F259" s="43" t="s">
        <v>235</v>
      </c>
      <c r="G259" s="44"/>
      <c r="H259" s="44"/>
      <c r="I259" s="44"/>
      <c r="J259" s="44"/>
      <c r="K259" s="44"/>
      <c r="L259" s="44"/>
      <c r="M259" s="44"/>
      <c r="N259" s="44"/>
      <c r="O259" s="45"/>
      <c r="P259" s="40"/>
    </row>
    <row r="260" spans="1:16" s="41" customFormat="1" ht="30" customHeight="1">
      <c r="A260" s="34">
        <v>167</v>
      </c>
      <c r="B260" s="35" t="s">
        <v>256</v>
      </c>
      <c r="C260" s="34"/>
      <c r="D260" s="35"/>
      <c r="E260" s="35" t="s">
        <v>435</v>
      </c>
      <c r="F260" s="35" t="s">
        <v>235</v>
      </c>
      <c r="G260" s="46"/>
      <c r="H260" s="44"/>
      <c r="I260" s="44"/>
      <c r="J260" s="46"/>
      <c r="K260" s="44"/>
      <c r="L260" s="44"/>
      <c r="M260" s="44"/>
      <c r="N260" s="44"/>
      <c r="O260" s="45"/>
      <c r="P260" s="40"/>
    </row>
    <row r="261" spans="1:16" s="41" customFormat="1" ht="30" customHeight="1">
      <c r="A261" s="42">
        <v>168</v>
      </c>
      <c r="B261" s="43" t="s">
        <v>257</v>
      </c>
      <c r="C261" s="42"/>
      <c r="D261" s="43"/>
      <c r="E261" s="43" t="s">
        <v>435</v>
      </c>
      <c r="F261" s="43" t="s">
        <v>235</v>
      </c>
      <c r="G261" s="44"/>
      <c r="H261" s="44"/>
      <c r="I261" s="44"/>
      <c r="J261" s="44"/>
      <c r="K261" s="44"/>
      <c r="L261" s="44"/>
      <c r="M261" s="44"/>
      <c r="N261" s="44"/>
      <c r="O261" s="45"/>
      <c r="P261" s="40"/>
    </row>
    <row r="262" spans="1:16" s="41" customFormat="1" ht="30" customHeight="1">
      <c r="A262" s="34">
        <v>169</v>
      </c>
      <c r="B262" s="35" t="s">
        <v>258</v>
      </c>
      <c r="C262" s="34"/>
      <c r="D262" s="35"/>
      <c r="E262" s="35" t="s">
        <v>435</v>
      </c>
      <c r="F262" s="35" t="s">
        <v>235</v>
      </c>
      <c r="G262" s="46"/>
      <c r="H262" s="44"/>
      <c r="I262" s="44"/>
      <c r="J262" s="46"/>
      <c r="K262" s="44"/>
      <c r="L262" s="44"/>
      <c r="M262" s="44"/>
      <c r="N262" s="44"/>
      <c r="O262" s="45"/>
      <c r="P262" s="40"/>
    </row>
    <row r="263" spans="1:16" s="41" customFormat="1" ht="30" customHeight="1">
      <c r="A263" s="42">
        <v>170</v>
      </c>
      <c r="B263" s="43" t="s">
        <v>259</v>
      </c>
      <c r="C263" s="42"/>
      <c r="D263" s="43"/>
      <c r="E263" s="43" t="s">
        <v>435</v>
      </c>
      <c r="F263" s="43" t="s">
        <v>235</v>
      </c>
      <c r="G263" s="44"/>
      <c r="H263" s="44"/>
      <c r="I263" s="44"/>
      <c r="J263" s="44"/>
      <c r="K263" s="44"/>
      <c r="L263" s="44"/>
      <c r="M263" s="44"/>
      <c r="N263" s="44"/>
      <c r="O263" s="45"/>
      <c r="P263" s="40"/>
    </row>
    <row r="264" spans="1:16" s="41" customFormat="1" ht="30" customHeight="1">
      <c r="A264" s="34">
        <v>171</v>
      </c>
      <c r="B264" s="35" t="s">
        <v>260</v>
      </c>
      <c r="C264" s="34"/>
      <c r="D264" s="35"/>
      <c r="E264" s="35" t="s">
        <v>435</v>
      </c>
      <c r="F264" s="35" t="s">
        <v>235</v>
      </c>
      <c r="G264" s="46"/>
      <c r="H264" s="44"/>
      <c r="I264" s="44"/>
      <c r="J264" s="46"/>
      <c r="K264" s="44"/>
      <c r="L264" s="44"/>
      <c r="M264" s="44"/>
      <c r="N264" s="44"/>
      <c r="O264" s="45"/>
      <c r="P264" s="40"/>
    </row>
    <row r="265" spans="1:16" s="41" customFormat="1" ht="30" customHeight="1">
      <c r="A265" s="42">
        <v>172</v>
      </c>
      <c r="B265" s="43" t="s">
        <v>261</v>
      </c>
      <c r="C265" s="42"/>
      <c r="D265" s="43"/>
      <c r="E265" s="43" t="s">
        <v>435</v>
      </c>
      <c r="F265" s="43" t="s">
        <v>235</v>
      </c>
      <c r="G265" s="44"/>
      <c r="H265" s="44"/>
      <c r="I265" s="44"/>
      <c r="J265" s="44"/>
      <c r="K265" s="44"/>
      <c r="L265" s="44"/>
      <c r="M265" s="44"/>
      <c r="N265" s="44"/>
      <c r="O265" s="45"/>
      <c r="P265" s="40"/>
    </row>
    <row r="266" spans="1:16" s="41" customFormat="1" ht="30" customHeight="1">
      <c r="A266" s="34">
        <v>173</v>
      </c>
      <c r="B266" s="35" t="s">
        <v>262</v>
      </c>
      <c r="C266" s="34"/>
      <c r="D266" s="35"/>
      <c r="E266" s="35" t="s">
        <v>435</v>
      </c>
      <c r="F266" s="35" t="s">
        <v>235</v>
      </c>
      <c r="G266" s="46"/>
      <c r="H266" s="44"/>
      <c r="I266" s="44"/>
      <c r="J266" s="46"/>
      <c r="K266" s="44"/>
      <c r="L266" s="44"/>
      <c r="M266" s="44"/>
      <c r="N266" s="44"/>
      <c r="O266" s="45"/>
      <c r="P266" s="40"/>
    </row>
    <row r="267" spans="1:16" s="41" customFormat="1" ht="30" customHeight="1">
      <c r="A267" s="42">
        <v>174</v>
      </c>
      <c r="B267" s="43" t="s">
        <v>263</v>
      </c>
      <c r="C267" s="42"/>
      <c r="D267" s="43"/>
      <c r="E267" s="43" t="s">
        <v>435</v>
      </c>
      <c r="F267" s="43" t="s">
        <v>235</v>
      </c>
      <c r="G267" s="44"/>
      <c r="H267" s="44"/>
      <c r="I267" s="44"/>
      <c r="J267" s="44"/>
      <c r="K267" s="44"/>
      <c r="L267" s="44"/>
      <c r="M267" s="44"/>
      <c r="N267" s="44"/>
      <c r="O267" s="45"/>
      <c r="P267" s="40"/>
    </row>
    <row r="268" spans="1:16" s="41" customFormat="1" ht="30" customHeight="1">
      <c r="A268" s="34">
        <v>175</v>
      </c>
      <c r="B268" s="35" t="s">
        <v>260</v>
      </c>
      <c r="C268" s="34"/>
      <c r="D268" s="35"/>
      <c r="E268" s="35" t="s">
        <v>435</v>
      </c>
      <c r="F268" s="35" t="s">
        <v>235</v>
      </c>
      <c r="G268" s="46"/>
      <c r="H268" s="44"/>
      <c r="I268" s="44"/>
      <c r="J268" s="46"/>
      <c r="K268" s="44"/>
      <c r="L268" s="44"/>
      <c r="M268" s="44"/>
      <c r="N268" s="44"/>
      <c r="O268" s="45"/>
      <c r="P268" s="40"/>
    </row>
    <row r="269" spans="1:16" s="41" customFormat="1" ht="30" customHeight="1">
      <c r="A269" s="42">
        <v>176</v>
      </c>
      <c r="B269" s="43" t="s">
        <v>264</v>
      </c>
      <c r="C269" s="42"/>
      <c r="D269" s="43"/>
      <c r="E269" s="43" t="s">
        <v>435</v>
      </c>
      <c r="F269" s="43" t="s">
        <v>235</v>
      </c>
      <c r="G269" s="44"/>
      <c r="H269" s="44"/>
      <c r="I269" s="44"/>
      <c r="J269" s="44"/>
      <c r="K269" s="44"/>
      <c r="L269" s="44"/>
      <c r="M269" s="44"/>
      <c r="N269" s="44"/>
      <c r="O269" s="45"/>
      <c r="P269" s="40"/>
    </row>
    <row r="270" spans="1:16" s="41" customFormat="1" ht="30" customHeight="1">
      <c r="A270" s="34">
        <v>177</v>
      </c>
      <c r="B270" s="35" t="s">
        <v>265</v>
      </c>
      <c r="C270" s="34"/>
      <c r="D270" s="35"/>
      <c r="E270" s="35" t="s">
        <v>435</v>
      </c>
      <c r="F270" s="35" t="s">
        <v>235</v>
      </c>
      <c r="G270" s="46"/>
      <c r="H270" s="44"/>
      <c r="I270" s="44"/>
      <c r="J270" s="46"/>
      <c r="K270" s="44"/>
      <c r="L270" s="44"/>
      <c r="M270" s="44"/>
      <c r="N270" s="44"/>
      <c r="O270" s="45"/>
      <c r="P270" s="40"/>
    </row>
    <row r="271" spans="1:16" s="41" customFormat="1" ht="30" customHeight="1">
      <c r="A271" s="42">
        <v>178</v>
      </c>
      <c r="B271" s="43" t="s">
        <v>266</v>
      </c>
      <c r="C271" s="42"/>
      <c r="D271" s="43"/>
      <c r="E271" s="43" t="s">
        <v>435</v>
      </c>
      <c r="F271" s="43" t="s">
        <v>123</v>
      </c>
      <c r="G271" s="44"/>
      <c r="H271" s="44"/>
      <c r="I271" s="44"/>
      <c r="J271" s="44"/>
      <c r="K271" s="44"/>
      <c r="L271" s="44"/>
      <c r="M271" s="44"/>
      <c r="N271" s="44"/>
      <c r="O271" s="45"/>
      <c r="P271" s="40"/>
    </row>
    <row r="272" spans="1:16" s="41" customFormat="1" ht="30" customHeight="1">
      <c r="A272" s="34">
        <v>179</v>
      </c>
      <c r="B272" s="35" t="s">
        <v>267</v>
      </c>
      <c r="C272" s="34"/>
      <c r="D272" s="35"/>
      <c r="E272" s="35" t="s">
        <v>435</v>
      </c>
      <c r="F272" s="35" t="s">
        <v>123</v>
      </c>
      <c r="G272" s="46"/>
      <c r="H272" s="44"/>
      <c r="I272" s="44"/>
      <c r="J272" s="46"/>
      <c r="K272" s="44"/>
      <c r="L272" s="44"/>
      <c r="M272" s="44"/>
      <c r="N272" s="44"/>
      <c r="O272" s="45"/>
      <c r="P272" s="40"/>
    </row>
    <row r="273" spans="1:16" s="41" customFormat="1" ht="30" customHeight="1">
      <c r="A273" s="42">
        <v>180</v>
      </c>
      <c r="B273" s="43" t="s">
        <v>268</v>
      </c>
      <c r="C273" s="42"/>
      <c r="D273" s="43"/>
      <c r="E273" s="43" t="s">
        <v>435</v>
      </c>
      <c r="F273" s="43" t="s">
        <v>123</v>
      </c>
      <c r="G273" s="44"/>
      <c r="H273" s="44"/>
      <c r="I273" s="44"/>
      <c r="J273" s="44"/>
      <c r="K273" s="44"/>
      <c r="L273" s="44"/>
      <c r="M273" s="44"/>
      <c r="N273" s="44"/>
      <c r="O273" s="45"/>
      <c r="P273" s="40"/>
    </row>
    <row r="274" spans="1:16" s="41" customFormat="1" ht="30" customHeight="1">
      <c r="A274" s="34">
        <v>181</v>
      </c>
      <c r="B274" s="35" t="s">
        <v>269</v>
      </c>
      <c r="C274" s="34"/>
      <c r="D274" s="35"/>
      <c r="E274" s="35" t="s">
        <v>435</v>
      </c>
      <c r="F274" s="35" t="s">
        <v>123</v>
      </c>
      <c r="G274" s="46"/>
      <c r="H274" s="44"/>
      <c r="I274" s="44"/>
      <c r="J274" s="46"/>
      <c r="K274" s="44"/>
      <c r="L274" s="44"/>
      <c r="M274" s="44"/>
      <c r="N274" s="44"/>
      <c r="O274" s="45"/>
      <c r="P274" s="40"/>
    </row>
    <row r="275" spans="1:16" s="41" customFormat="1" ht="30" customHeight="1">
      <c r="A275" s="42">
        <v>182</v>
      </c>
      <c r="B275" s="43" t="s">
        <v>270</v>
      </c>
      <c r="C275" s="42"/>
      <c r="D275" s="43"/>
      <c r="E275" s="43" t="s">
        <v>435</v>
      </c>
      <c r="F275" s="43" t="s">
        <v>123</v>
      </c>
      <c r="G275" s="44"/>
      <c r="H275" s="44"/>
      <c r="I275" s="44"/>
      <c r="J275" s="44"/>
      <c r="K275" s="44"/>
      <c r="L275" s="44"/>
      <c r="M275" s="44"/>
      <c r="N275" s="44"/>
      <c r="O275" s="45"/>
      <c r="P275" s="40"/>
    </row>
    <row r="276" spans="1:16" s="33" customFormat="1" ht="38.25">
      <c r="A276" s="34">
        <v>183</v>
      </c>
      <c r="B276" s="35" t="s">
        <v>271</v>
      </c>
      <c r="C276" s="34"/>
      <c r="D276" s="35"/>
      <c r="E276" s="35" t="s">
        <v>428</v>
      </c>
      <c r="F276" s="35"/>
      <c r="G276" s="35"/>
      <c r="H276" s="35"/>
      <c r="I276" s="35" t="s">
        <v>595</v>
      </c>
      <c r="J276" s="35" t="s">
        <v>468</v>
      </c>
      <c r="K276" s="35" t="s">
        <v>600</v>
      </c>
      <c r="L276" s="30"/>
      <c r="M276" s="30"/>
      <c r="N276" s="31"/>
      <c r="O276" s="78"/>
      <c r="P276" s="32"/>
    </row>
    <row r="277" spans="1:16" s="33" customFormat="1" ht="51">
      <c r="A277" s="42">
        <v>184</v>
      </c>
      <c r="B277" s="43" t="s">
        <v>272</v>
      </c>
      <c r="C277" s="42"/>
      <c r="D277" s="43"/>
      <c r="E277" s="43" t="s">
        <v>428</v>
      </c>
      <c r="F277" s="43"/>
      <c r="G277" s="43"/>
      <c r="H277" s="43"/>
      <c r="I277" s="43" t="s">
        <v>595</v>
      </c>
      <c r="J277" s="43" t="s">
        <v>468</v>
      </c>
      <c r="K277" s="43" t="s">
        <v>600</v>
      </c>
      <c r="L277" s="36"/>
      <c r="M277" s="36"/>
      <c r="N277" s="79"/>
      <c r="O277" s="78"/>
      <c r="P277" s="32"/>
    </row>
    <row r="278" spans="1:16" s="33" customFormat="1" ht="30" customHeight="1">
      <c r="A278" s="34">
        <v>185</v>
      </c>
      <c r="B278" s="35" t="s">
        <v>273</v>
      </c>
      <c r="C278" s="34"/>
      <c r="D278" s="35"/>
      <c r="E278" s="35" t="s">
        <v>428</v>
      </c>
      <c r="F278" s="35" t="s">
        <v>619</v>
      </c>
      <c r="G278" s="44"/>
      <c r="H278" s="44"/>
      <c r="I278" s="44"/>
      <c r="J278" s="44"/>
      <c r="K278" s="44"/>
      <c r="L278" s="44"/>
      <c r="M278" s="44"/>
      <c r="N278" s="44"/>
      <c r="O278" s="78"/>
      <c r="P278" s="32"/>
    </row>
    <row r="279" spans="1:16" s="33" customFormat="1" ht="30" customHeight="1">
      <c r="A279" s="42">
        <v>186</v>
      </c>
      <c r="B279" s="43" t="s">
        <v>274</v>
      </c>
      <c r="C279" s="42"/>
      <c r="D279" s="43"/>
      <c r="E279" s="43" t="s">
        <v>428</v>
      </c>
      <c r="F279" s="43" t="s">
        <v>620</v>
      </c>
      <c r="G279" s="44"/>
      <c r="H279" s="44"/>
      <c r="I279" s="44"/>
      <c r="J279" s="44"/>
      <c r="K279" s="44"/>
      <c r="L279" s="44"/>
      <c r="M279" s="44"/>
      <c r="N279" s="44"/>
      <c r="O279" s="78"/>
      <c r="P279" s="32"/>
    </row>
    <row r="280" spans="1:16" s="33" customFormat="1" ht="30" customHeight="1">
      <c r="A280" s="34">
        <v>187</v>
      </c>
      <c r="B280" s="35" t="s">
        <v>275</v>
      </c>
      <c r="C280" s="34"/>
      <c r="D280" s="35"/>
      <c r="E280" s="35" t="s">
        <v>428</v>
      </c>
      <c r="F280" s="35" t="s">
        <v>588</v>
      </c>
      <c r="G280" s="44"/>
      <c r="H280" s="44"/>
      <c r="I280" s="44"/>
      <c r="J280" s="44"/>
      <c r="K280" s="44"/>
      <c r="L280" s="44"/>
      <c r="M280" s="44"/>
      <c r="N280" s="44"/>
      <c r="O280" s="78"/>
      <c r="P280" s="32"/>
    </row>
    <row r="281" spans="1:16" s="33" customFormat="1" ht="30" customHeight="1">
      <c r="A281" s="42">
        <v>188</v>
      </c>
      <c r="B281" s="43" t="s">
        <v>276</v>
      </c>
      <c r="C281" s="42"/>
      <c r="D281" s="43"/>
      <c r="E281" s="43" t="s">
        <v>428</v>
      </c>
      <c r="F281" s="43" t="s">
        <v>588</v>
      </c>
      <c r="G281" s="44"/>
      <c r="H281" s="44"/>
      <c r="I281" s="44"/>
      <c r="J281" s="44"/>
      <c r="K281" s="44"/>
      <c r="L281" s="44"/>
      <c r="M281" s="44"/>
      <c r="N281" s="44"/>
      <c r="O281" s="78"/>
      <c r="P281" s="32"/>
    </row>
    <row r="282" spans="1:16" s="33" customFormat="1" ht="30" customHeight="1">
      <c r="A282" s="34">
        <v>189</v>
      </c>
      <c r="B282" s="35" t="s">
        <v>277</v>
      </c>
      <c r="C282" s="34"/>
      <c r="D282" s="35"/>
      <c r="E282" s="35" t="s">
        <v>428</v>
      </c>
      <c r="F282" s="35"/>
      <c r="G282" s="35"/>
      <c r="H282" s="35"/>
      <c r="I282" s="35"/>
      <c r="J282" s="35"/>
      <c r="K282" s="35" t="s">
        <v>587</v>
      </c>
      <c r="L282" s="30"/>
      <c r="M282" s="30"/>
      <c r="N282" s="31"/>
      <c r="O282" s="78"/>
      <c r="P282" s="32"/>
    </row>
    <row r="283" spans="1:16" s="41" customFormat="1" ht="30" customHeight="1">
      <c r="A283" s="42">
        <v>190</v>
      </c>
      <c r="B283" s="43" t="s">
        <v>278</v>
      </c>
      <c r="C283" s="42"/>
      <c r="D283" s="43"/>
      <c r="E283" s="43" t="s">
        <v>435</v>
      </c>
      <c r="F283" s="43" t="s">
        <v>123</v>
      </c>
      <c r="G283" s="44"/>
      <c r="H283" s="44"/>
      <c r="I283" s="44"/>
      <c r="J283" s="44"/>
      <c r="K283" s="44"/>
      <c r="L283" s="44"/>
      <c r="M283" s="44"/>
      <c r="N283" s="44"/>
      <c r="O283" s="45"/>
      <c r="P283" s="40"/>
    </row>
    <row r="284" spans="1:16" s="41" customFormat="1" ht="30" customHeight="1">
      <c r="A284" s="34">
        <v>191</v>
      </c>
      <c r="B284" s="35" t="s">
        <v>279</v>
      </c>
      <c r="C284" s="34"/>
      <c r="D284" s="35"/>
      <c r="E284" s="35" t="s">
        <v>435</v>
      </c>
      <c r="F284" s="35" t="s">
        <v>123</v>
      </c>
      <c r="G284" s="46"/>
      <c r="H284" s="44"/>
      <c r="I284" s="44"/>
      <c r="J284" s="46"/>
      <c r="K284" s="44"/>
      <c r="L284" s="44"/>
      <c r="M284" s="44"/>
      <c r="N284" s="44"/>
      <c r="O284" s="45"/>
      <c r="P284" s="40"/>
    </row>
    <row r="285" spans="1:16" s="41" customFormat="1" ht="30" customHeight="1">
      <c r="A285" s="48">
        <v>192</v>
      </c>
      <c r="B285" s="49" t="s">
        <v>254</v>
      </c>
      <c r="C285" s="48">
        <v>68</v>
      </c>
      <c r="D285" s="49"/>
      <c r="E285" s="49" t="s">
        <v>435</v>
      </c>
      <c r="F285" s="49" t="s">
        <v>123</v>
      </c>
      <c r="G285" s="38"/>
      <c r="H285" s="44"/>
      <c r="I285" s="44"/>
      <c r="J285" s="38"/>
      <c r="K285" s="44"/>
      <c r="L285" s="44"/>
      <c r="M285" s="44"/>
      <c r="N285" s="44"/>
      <c r="O285" s="45"/>
      <c r="P285" s="40"/>
    </row>
    <row r="286" spans="1:16" s="41" customFormat="1" ht="30" customHeight="1">
      <c r="A286" s="51"/>
      <c r="B286" s="52"/>
      <c r="C286" s="51"/>
      <c r="D286" s="52"/>
      <c r="E286" s="52" t="s">
        <v>435</v>
      </c>
      <c r="F286" s="52"/>
      <c r="G286" s="70"/>
      <c r="H286" s="44"/>
      <c r="I286" s="44"/>
      <c r="J286" s="70"/>
      <c r="K286" s="44"/>
      <c r="L286" s="44"/>
      <c r="M286" s="44"/>
      <c r="N286" s="44"/>
      <c r="O286" s="45"/>
      <c r="P286" s="40"/>
    </row>
    <row r="287" spans="1:16" s="41" customFormat="1" ht="30" customHeight="1">
      <c r="A287" s="34">
        <v>193</v>
      </c>
      <c r="B287" s="35" t="s">
        <v>280</v>
      </c>
      <c r="C287" s="34"/>
      <c r="D287" s="35"/>
      <c r="E287" s="35" t="s">
        <v>435</v>
      </c>
      <c r="F287" s="35" t="s">
        <v>123</v>
      </c>
      <c r="G287" s="46"/>
      <c r="H287" s="44"/>
      <c r="I287" s="44"/>
      <c r="J287" s="46"/>
      <c r="K287" s="44"/>
      <c r="L287" s="44"/>
      <c r="M287" s="44"/>
      <c r="N287" s="44"/>
      <c r="O287" s="45"/>
      <c r="P287" s="40"/>
    </row>
    <row r="288" spans="1:16" s="41" customFormat="1" ht="30" customHeight="1">
      <c r="A288" s="42">
        <v>194</v>
      </c>
      <c r="B288" s="43" t="s">
        <v>281</v>
      </c>
      <c r="C288" s="42"/>
      <c r="D288" s="43"/>
      <c r="E288" s="43" t="s">
        <v>435</v>
      </c>
      <c r="F288" s="43" t="s">
        <v>123</v>
      </c>
      <c r="G288" s="44"/>
      <c r="H288" s="44"/>
      <c r="I288" s="44"/>
      <c r="J288" s="44"/>
      <c r="K288" s="44"/>
      <c r="L288" s="44"/>
      <c r="M288" s="44"/>
      <c r="N288" s="44"/>
      <c r="O288" s="45"/>
      <c r="P288" s="40"/>
    </row>
    <row r="289" spans="1:16" s="41" customFormat="1" ht="30" customHeight="1">
      <c r="A289" s="34">
        <v>195</v>
      </c>
      <c r="B289" s="35" t="s">
        <v>282</v>
      </c>
      <c r="C289" s="34"/>
      <c r="D289" s="35"/>
      <c r="E289" s="35" t="s">
        <v>435</v>
      </c>
      <c r="F289" s="35" t="s">
        <v>35</v>
      </c>
      <c r="G289" s="46"/>
      <c r="H289" s="44"/>
      <c r="I289" s="44"/>
      <c r="J289" s="46"/>
      <c r="K289" s="44"/>
      <c r="L289" s="44"/>
      <c r="M289" s="44"/>
      <c r="N289" s="44"/>
      <c r="O289" s="45"/>
      <c r="P289" s="40"/>
    </row>
    <row r="290" spans="1:16" s="41" customFormat="1" ht="30" customHeight="1">
      <c r="A290" s="42">
        <v>196</v>
      </c>
      <c r="B290" s="43" t="s">
        <v>283</v>
      </c>
      <c r="C290" s="42"/>
      <c r="D290" s="43"/>
      <c r="E290" s="43" t="s">
        <v>435</v>
      </c>
      <c r="F290" s="43" t="s">
        <v>35</v>
      </c>
      <c r="G290" s="44"/>
      <c r="H290" s="44"/>
      <c r="I290" s="44"/>
      <c r="J290" s="44"/>
      <c r="K290" s="44"/>
      <c r="L290" s="44"/>
      <c r="M290" s="44"/>
      <c r="N290" s="44"/>
      <c r="O290" s="45"/>
      <c r="P290" s="40"/>
    </row>
    <row r="291" spans="1:16" s="41" customFormat="1" ht="30" customHeight="1">
      <c r="A291" s="34">
        <v>197</v>
      </c>
      <c r="B291" s="35" t="s">
        <v>284</v>
      </c>
      <c r="C291" s="34"/>
      <c r="D291" s="35"/>
      <c r="E291" s="35" t="s">
        <v>435</v>
      </c>
      <c r="F291" s="35" t="s">
        <v>123</v>
      </c>
      <c r="G291" s="46"/>
      <c r="H291" s="44"/>
      <c r="I291" s="44"/>
      <c r="J291" s="46"/>
      <c r="K291" s="44"/>
      <c r="L291" s="44"/>
      <c r="M291" s="44"/>
      <c r="N291" s="44"/>
      <c r="O291" s="45"/>
      <c r="P291" s="40"/>
    </row>
    <row r="292" spans="1:16" s="41" customFormat="1" ht="30" customHeight="1">
      <c r="A292" s="42">
        <v>198</v>
      </c>
      <c r="B292" s="43" t="s">
        <v>285</v>
      </c>
      <c r="C292" s="42"/>
      <c r="D292" s="43"/>
      <c r="E292" s="43" t="s">
        <v>435</v>
      </c>
      <c r="F292" s="43" t="s">
        <v>123</v>
      </c>
      <c r="G292" s="44"/>
      <c r="H292" s="44"/>
      <c r="I292" s="44"/>
      <c r="J292" s="44"/>
      <c r="K292" s="44"/>
      <c r="L292" s="44"/>
      <c r="M292" s="44"/>
      <c r="N292" s="44"/>
      <c r="O292" s="45"/>
      <c r="P292" s="40"/>
    </row>
    <row r="293" spans="1:16" s="41" customFormat="1" ht="30" customHeight="1">
      <c r="A293" s="34">
        <v>199</v>
      </c>
      <c r="B293" s="35" t="s">
        <v>286</v>
      </c>
      <c r="C293" s="34"/>
      <c r="D293" s="35"/>
      <c r="E293" s="35" t="s">
        <v>435</v>
      </c>
      <c r="F293" s="35" t="s">
        <v>123</v>
      </c>
      <c r="G293" s="46"/>
      <c r="H293" s="44"/>
      <c r="I293" s="44"/>
      <c r="J293" s="46"/>
      <c r="K293" s="44"/>
      <c r="L293" s="44"/>
      <c r="M293" s="44"/>
      <c r="N293" s="44"/>
      <c r="O293" s="45"/>
      <c r="P293" s="40"/>
    </row>
    <row r="294" spans="1:16" s="41" customFormat="1" ht="30" customHeight="1">
      <c r="A294" s="42">
        <v>200</v>
      </c>
      <c r="B294" s="43" t="s">
        <v>287</v>
      </c>
      <c r="C294" s="42"/>
      <c r="D294" s="43"/>
      <c r="E294" s="43" t="s">
        <v>435</v>
      </c>
      <c r="F294" s="43" t="s">
        <v>123</v>
      </c>
      <c r="G294" s="44"/>
      <c r="H294" s="44"/>
      <c r="I294" s="44"/>
      <c r="J294" s="44"/>
      <c r="K294" s="44"/>
      <c r="L294" s="44"/>
      <c r="M294" s="44"/>
      <c r="N294" s="44"/>
      <c r="O294" s="45"/>
      <c r="P294" s="40"/>
    </row>
    <row r="295" spans="1:16" s="41" customFormat="1" ht="30" customHeight="1">
      <c r="A295" s="34">
        <v>201</v>
      </c>
      <c r="B295" s="35" t="s">
        <v>288</v>
      </c>
      <c r="C295" s="34"/>
      <c r="D295" s="35"/>
      <c r="E295" s="35" t="s">
        <v>435</v>
      </c>
      <c r="F295" s="35" t="s">
        <v>123</v>
      </c>
      <c r="G295" s="46"/>
      <c r="H295" s="44"/>
      <c r="I295" s="44"/>
      <c r="J295" s="46"/>
      <c r="K295" s="44"/>
      <c r="L295" s="44"/>
      <c r="M295" s="44"/>
      <c r="N295" s="44"/>
      <c r="O295" s="45"/>
      <c r="P295" s="40"/>
    </row>
    <row r="296" spans="1:16" s="41" customFormat="1" ht="30" customHeight="1">
      <c r="A296" s="42">
        <v>202</v>
      </c>
      <c r="B296" s="43" t="s">
        <v>289</v>
      </c>
      <c r="C296" s="42"/>
      <c r="D296" s="43"/>
      <c r="E296" s="43" t="s">
        <v>435</v>
      </c>
      <c r="F296" s="43" t="s">
        <v>123</v>
      </c>
      <c r="G296" s="44"/>
      <c r="H296" s="44"/>
      <c r="I296" s="44"/>
      <c r="J296" s="44"/>
      <c r="K296" s="44"/>
      <c r="L296" s="44"/>
      <c r="M296" s="44"/>
      <c r="N296" s="44"/>
      <c r="O296" s="45"/>
      <c r="P296" s="40"/>
    </row>
    <row r="297" spans="1:16" s="41" customFormat="1" ht="30" customHeight="1">
      <c r="A297" s="34">
        <v>203</v>
      </c>
      <c r="B297" s="35" t="s">
        <v>290</v>
      </c>
      <c r="C297" s="34"/>
      <c r="D297" s="35"/>
      <c r="E297" s="35" t="s">
        <v>435</v>
      </c>
      <c r="F297" s="35" t="s">
        <v>123</v>
      </c>
      <c r="G297" s="46"/>
      <c r="H297" s="44"/>
      <c r="I297" s="44"/>
      <c r="J297" s="46"/>
      <c r="K297" s="44"/>
      <c r="L297" s="44"/>
      <c r="M297" s="44"/>
      <c r="N297" s="44"/>
      <c r="O297" s="45"/>
      <c r="P297" s="40"/>
    </row>
    <row r="298" spans="1:16" s="41" customFormat="1" ht="30" customHeight="1">
      <c r="A298" s="42">
        <v>204</v>
      </c>
      <c r="B298" s="43" t="s">
        <v>291</v>
      </c>
      <c r="C298" s="42"/>
      <c r="D298" s="43"/>
      <c r="E298" s="43" t="s">
        <v>435</v>
      </c>
      <c r="F298" s="43" t="s">
        <v>123</v>
      </c>
      <c r="G298" s="44"/>
      <c r="H298" s="44"/>
      <c r="I298" s="44"/>
      <c r="J298" s="44"/>
      <c r="K298" s="44"/>
      <c r="L298" s="44"/>
      <c r="M298" s="44"/>
      <c r="N298" s="44"/>
      <c r="O298" s="45"/>
      <c r="P298" s="40"/>
    </row>
    <row r="299" spans="1:16" s="41" customFormat="1" ht="30" customHeight="1">
      <c r="A299" s="34">
        <v>205</v>
      </c>
      <c r="B299" s="35" t="s">
        <v>292</v>
      </c>
      <c r="C299" s="34"/>
      <c r="D299" s="35"/>
      <c r="E299" s="35" t="s">
        <v>435</v>
      </c>
      <c r="F299" s="35" t="s">
        <v>123</v>
      </c>
      <c r="G299" s="46"/>
      <c r="H299" s="44"/>
      <c r="I299" s="44"/>
      <c r="J299" s="46"/>
      <c r="K299" s="44"/>
      <c r="L299" s="44"/>
      <c r="M299" s="44"/>
      <c r="N299" s="44"/>
      <c r="O299" s="45"/>
      <c r="P299" s="40"/>
    </row>
    <row r="300" spans="1:16" s="41" customFormat="1" ht="30" customHeight="1">
      <c r="A300" s="42">
        <v>206</v>
      </c>
      <c r="B300" s="43" t="s">
        <v>293</v>
      </c>
      <c r="C300" s="42"/>
      <c r="D300" s="43"/>
      <c r="E300" s="43" t="s">
        <v>435</v>
      </c>
      <c r="F300" s="43" t="s">
        <v>123</v>
      </c>
      <c r="G300" s="44"/>
      <c r="H300" s="44"/>
      <c r="I300" s="44"/>
      <c r="J300" s="44"/>
      <c r="K300" s="44"/>
      <c r="L300" s="44"/>
      <c r="M300" s="44"/>
      <c r="N300" s="44"/>
      <c r="O300" s="45"/>
      <c r="P300" s="40"/>
    </row>
    <row r="301" spans="1:16" s="41" customFormat="1" ht="30" customHeight="1">
      <c r="A301" s="34">
        <v>207</v>
      </c>
      <c r="B301" s="35" t="s">
        <v>294</v>
      </c>
      <c r="C301" s="34"/>
      <c r="D301" s="35"/>
      <c r="E301" s="35" t="s">
        <v>435</v>
      </c>
      <c r="F301" s="35" t="s">
        <v>123</v>
      </c>
      <c r="G301" s="46"/>
      <c r="H301" s="44"/>
      <c r="I301" s="44"/>
      <c r="J301" s="46"/>
      <c r="K301" s="44"/>
      <c r="L301" s="44"/>
      <c r="M301" s="44"/>
      <c r="N301" s="44"/>
      <c r="O301" s="45"/>
      <c r="P301" s="40"/>
    </row>
    <row r="302" spans="1:16" s="41" customFormat="1" ht="30" customHeight="1">
      <c r="A302" s="42">
        <v>208</v>
      </c>
      <c r="B302" s="43" t="s">
        <v>295</v>
      </c>
      <c r="C302" s="42"/>
      <c r="D302" s="43"/>
      <c r="E302" s="43" t="s">
        <v>435</v>
      </c>
      <c r="F302" s="43" t="s">
        <v>123</v>
      </c>
      <c r="G302" s="44"/>
      <c r="H302" s="44"/>
      <c r="I302" s="44"/>
      <c r="J302" s="44"/>
      <c r="K302" s="44"/>
      <c r="L302" s="44"/>
      <c r="M302" s="44"/>
      <c r="N302" s="44"/>
      <c r="O302" s="45"/>
      <c r="P302" s="40"/>
    </row>
    <row r="303" spans="1:16" s="41" customFormat="1" ht="30" customHeight="1">
      <c r="A303" s="34">
        <v>209</v>
      </c>
      <c r="B303" s="35" t="s">
        <v>296</v>
      </c>
      <c r="C303" s="34"/>
      <c r="D303" s="35"/>
      <c r="E303" s="35" t="s">
        <v>435</v>
      </c>
      <c r="F303" s="35" t="s">
        <v>123</v>
      </c>
      <c r="G303" s="46"/>
      <c r="H303" s="44"/>
      <c r="I303" s="44"/>
      <c r="J303" s="46"/>
      <c r="K303" s="44"/>
      <c r="L303" s="44"/>
      <c r="M303" s="44"/>
      <c r="N303" s="44"/>
      <c r="O303" s="45"/>
      <c r="P303" s="40"/>
    </row>
    <row r="304" spans="1:16" s="41" customFormat="1" ht="30" customHeight="1">
      <c r="A304" s="42">
        <v>210</v>
      </c>
      <c r="B304" s="43" t="s">
        <v>297</v>
      </c>
      <c r="C304" s="42"/>
      <c r="D304" s="43"/>
      <c r="E304" s="43" t="s">
        <v>435</v>
      </c>
      <c r="F304" s="43" t="s">
        <v>123</v>
      </c>
      <c r="G304" s="44"/>
      <c r="H304" s="44"/>
      <c r="I304" s="44"/>
      <c r="J304" s="44"/>
      <c r="K304" s="44"/>
      <c r="L304" s="44"/>
      <c r="M304" s="44"/>
      <c r="N304" s="44"/>
      <c r="O304" s="45"/>
      <c r="P304" s="40"/>
    </row>
    <row r="305" spans="1:16" s="41" customFormat="1" ht="30" customHeight="1">
      <c r="A305" s="34">
        <v>211</v>
      </c>
      <c r="B305" s="35" t="s">
        <v>298</v>
      </c>
      <c r="C305" s="34" t="s">
        <v>423</v>
      </c>
      <c r="D305" s="35"/>
      <c r="E305" s="35" t="s">
        <v>435</v>
      </c>
      <c r="F305" s="35" t="s">
        <v>123</v>
      </c>
      <c r="G305" s="46"/>
      <c r="H305" s="44"/>
      <c r="I305" s="44"/>
      <c r="J305" s="46"/>
      <c r="K305" s="44"/>
      <c r="L305" s="44"/>
      <c r="M305" s="44"/>
      <c r="N305" s="44"/>
      <c r="O305" s="45"/>
      <c r="P305" s="40"/>
    </row>
    <row r="306" spans="1:16" s="41" customFormat="1" ht="30" customHeight="1">
      <c r="A306" s="42">
        <v>212</v>
      </c>
      <c r="B306" s="43" t="s">
        <v>25</v>
      </c>
      <c r="C306" s="42"/>
      <c r="D306" s="43" t="s">
        <v>299</v>
      </c>
      <c r="E306" s="43" t="s">
        <v>435</v>
      </c>
      <c r="F306" s="43" t="s">
        <v>13</v>
      </c>
      <c r="G306" s="44"/>
      <c r="H306" s="44"/>
      <c r="I306" s="44"/>
      <c r="J306" s="44"/>
      <c r="K306" s="44"/>
      <c r="L306" s="44"/>
      <c r="M306" s="44"/>
      <c r="N306" s="44"/>
      <c r="O306" s="45"/>
      <c r="P306" s="40"/>
    </row>
    <row r="307" spans="1:16" s="41" customFormat="1" ht="30" customHeight="1">
      <c r="A307" s="34">
        <v>213</v>
      </c>
      <c r="B307" s="35" t="s">
        <v>300</v>
      </c>
      <c r="C307" s="34"/>
      <c r="D307" s="35" t="s">
        <v>299</v>
      </c>
      <c r="E307" s="35" t="s">
        <v>435</v>
      </c>
      <c r="F307" s="35" t="s">
        <v>13</v>
      </c>
      <c r="G307" s="46"/>
      <c r="H307" s="44"/>
      <c r="I307" s="44"/>
      <c r="J307" s="46"/>
      <c r="K307" s="44"/>
      <c r="L307" s="44"/>
      <c r="M307" s="44"/>
      <c r="N307" s="44"/>
      <c r="O307" s="45"/>
      <c r="P307" s="40"/>
    </row>
    <row r="308" spans="1:16" s="41" customFormat="1" ht="30" customHeight="1">
      <c r="A308" s="34"/>
      <c r="B308" s="35"/>
      <c r="C308" s="34"/>
      <c r="D308" s="35" t="s">
        <v>42</v>
      </c>
      <c r="E308" s="35" t="s">
        <v>435</v>
      </c>
      <c r="F308" s="35"/>
      <c r="G308" s="46"/>
      <c r="H308" s="44"/>
      <c r="I308" s="44"/>
      <c r="J308" s="46"/>
      <c r="K308" s="44"/>
      <c r="L308" s="44"/>
      <c r="M308" s="44"/>
      <c r="N308" s="44"/>
      <c r="O308" s="45"/>
      <c r="P308" s="40"/>
    </row>
    <row r="309" spans="1:16" s="41" customFormat="1" ht="30" customHeight="1">
      <c r="A309" s="42">
        <v>214</v>
      </c>
      <c r="B309" s="43" t="s">
        <v>301</v>
      </c>
      <c r="C309" s="42"/>
      <c r="D309" s="43" t="s">
        <v>299</v>
      </c>
      <c r="E309" s="43" t="s">
        <v>435</v>
      </c>
      <c r="F309" s="43" t="s">
        <v>13</v>
      </c>
      <c r="G309" s="44"/>
      <c r="H309" s="44"/>
      <c r="I309" s="44"/>
      <c r="J309" s="44"/>
      <c r="K309" s="44"/>
      <c r="L309" s="44"/>
      <c r="M309" s="44"/>
      <c r="N309" s="44"/>
      <c r="O309" s="45"/>
      <c r="P309" s="40"/>
    </row>
    <row r="310" spans="1:16" s="41" customFormat="1" ht="30" customHeight="1">
      <c r="A310" s="34">
        <v>215</v>
      </c>
      <c r="B310" s="35" t="s">
        <v>302</v>
      </c>
      <c r="C310" s="34"/>
      <c r="D310" s="35" t="s">
        <v>299</v>
      </c>
      <c r="E310" s="35" t="s">
        <v>435</v>
      </c>
      <c r="F310" s="35" t="s">
        <v>13</v>
      </c>
      <c r="G310" s="46"/>
      <c r="H310" s="44"/>
      <c r="I310" s="44"/>
      <c r="J310" s="46"/>
      <c r="K310" s="44"/>
      <c r="L310" s="44"/>
      <c r="M310" s="44"/>
      <c r="N310" s="44"/>
      <c r="O310" s="45"/>
      <c r="P310" s="40"/>
    </row>
    <row r="311" spans="1:16" s="41" customFormat="1" ht="25.5">
      <c r="A311" s="42">
        <v>216</v>
      </c>
      <c r="B311" s="43" t="s">
        <v>303</v>
      </c>
      <c r="C311" s="42"/>
      <c r="D311" s="43" t="s">
        <v>299</v>
      </c>
      <c r="E311" s="43" t="s">
        <v>438</v>
      </c>
      <c r="F311" s="43" t="s">
        <v>615</v>
      </c>
      <c r="G311" s="46"/>
      <c r="H311" s="44"/>
      <c r="I311" s="44"/>
      <c r="J311" s="44"/>
      <c r="K311" s="44"/>
      <c r="L311" s="44"/>
      <c r="M311" s="44"/>
      <c r="N311" s="44"/>
      <c r="O311" s="45"/>
      <c r="P311" s="40"/>
    </row>
    <row r="312" spans="1:16" s="41" customFormat="1" ht="30" customHeight="1">
      <c r="A312" s="34">
        <v>217</v>
      </c>
      <c r="B312" s="35" t="s">
        <v>304</v>
      </c>
      <c r="C312" s="34"/>
      <c r="D312" s="35" t="s">
        <v>299</v>
      </c>
      <c r="E312" s="35" t="s">
        <v>438</v>
      </c>
      <c r="F312" s="35" t="s">
        <v>615</v>
      </c>
      <c r="G312" s="46"/>
      <c r="H312" s="44"/>
      <c r="I312" s="44"/>
      <c r="J312" s="44"/>
      <c r="K312" s="44"/>
      <c r="L312" s="44"/>
      <c r="M312" s="44"/>
      <c r="N312" s="44"/>
      <c r="O312" s="45"/>
      <c r="P312" s="40"/>
    </row>
    <row r="313" spans="1:16" s="41" customFormat="1" ht="25.5">
      <c r="A313" s="48">
        <v>218</v>
      </c>
      <c r="B313" s="49" t="s">
        <v>305</v>
      </c>
      <c r="C313" s="48"/>
      <c r="D313" s="49" t="s">
        <v>299</v>
      </c>
      <c r="E313" s="49" t="s">
        <v>438</v>
      </c>
      <c r="F313" s="49" t="s">
        <v>615</v>
      </c>
      <c r="G313" s="46"/>
      <c r="H313" s="44"/>
      <c r="I313" s="44"/>
      <c r="J313" s="44"/>
      <c r="K313" s="44"/>
      <c r="L313" s="44"/>
      <c r="M313" s="44"/>
      <c r="N313" s="44"/>
      <c r="O313" s="45"/>
      <c r="P313" s="40"/>
    </row>
    <row r="314" spans="1:16" s="41" customFormat="1" ht="25.5">
      <c r="A314" s="34">
        <v>219</v>
      </c>
      <c r="B314" s="35" t="s">
        <v>137</v>
      </c>
      <c r="C314" s="34"/>
      <c r="D314" s="35" t="s">
        <v>299</v>
      </c>
      <c r="E314" s="35" t="s">
        <v>438</v>
      </c>
      <c r="F314" s="35" t="s">
        <v>615</v>
      </c>
      <c r="G314" s="46"/>
      <c r="H314" s="44"/>
      <c r="I314" s="44"/>
      <c r="J314" s="44"/>
      <c r="K314" s="44"/>
      <c r="L314" s="44"/>
      <c r="M314" s="44"/>
      <c r="N314" s="44"/>
      <c r="O314" s="45"/>
      <c r="P314" s="40"/>
    </row>
    <row r="315" spans="1:16" s="41" customFormat="1" ht="25.5">
      <c r="A315" s="48">
        <v>220</v>
      </c>
      <c r="B315" s="49" t="s">
        <v>306</v>
      </c>
      <c r="C315" s="48">
        <v>341</v>
      </c>
      <c r="D315" s="49" t="s">
        <v>299</v>
      </c>
      <c r="E315" s="49" t="s">
        <v>438</v>
      </c>
      <c r="F315" s="49" t="s">
        <v>615</v>
      </c>
      <c r="G315" s="46"/>
      <c r="H315" s="44"/>
      <c r="I315" s="44"/>
      <c r="J315" s="44"/>
      <c r="K315" s="44"/>
      <c r="L315" s="44"/>
      <c r="M315" s="44"/>
      <c r="N315" s="44"/>
      <c r="O315" s="45"/>
      <c r="P315" s="40"/>
    </row>
    <row r="316" spans="1:16" s="41" customFormat="1" ht="30" customHeight="1">
      <c r="A316" s="34">
        <v>221</v>
      </c>
      <c r="B316" s="35" t="s">
        <v>307</v>
      </c>
      <c r="C316" s="34"/>
      <c r="D316" s="35" t="s">
        <v>299</v>
      </c>
      <c r="E316" s="35" t="s">
        <v>438</v>
      </c>
      <c r="F316" s="35" t="s">
        <v>615</v>
      </c>
      <c r="G316" s="46"/>
      <c r="H316" s="44"/>
      <c r="I316" s="44"/>
      <c r="J316" s="44"/>
      <c r="K316" s="44"/>
      <c r="L316" s="44"/>
      <c r="M316" s="44"/>
      <c r="N316" s="44"/>
      <c r="O316" s="45"/>
      <c r="P316" s="40"/>
    </row>
    <row r="317" spans="1:16" s="41" customFormat="1" ht="25.5">
      <c r="A317" s="48">
        <v>222</v>
      </c>
      <c r="B317" s="49" t="s">
        <v>308</v>
      </c>
      <c r="C317" s="48"/>
      <c r="D317" s="49" t="s">
        <v>299</v>
      </c>
      <c r="E317" s="49" t="s">
        <v>438</v>
      </c>
      <c r="F317" s="49" t="s">
        <v>615</v>
      </c>
      <c r="G317" s="46"/>
      <c r="H317" s="44"/>
      <c r="I317" s="44"/>
      <c r="J317" s="44"/>
      <c r="K317" s="44"/>
      <c r="L317" s="44"/>
      <c r="M317" s="44"/>
      <c r="N317" s="44"/>
      <c r="O317" s="45"/>
      <c r="P317" s="40"/>
    </row>
    <row r="318" spans="1:16" s="41" customFormat="1" ht="25.5">
      <c r="A318" s="34">
        <v>223</v>
      </c>
      <c r="B318" s="35" t="s">
        <v>309</v>
      </c>
      <c r="C318" s="34">
        <v>342</v>
      </c>
      <c r="D318" s="35" t="s">
        <v>299</v>
      </c>
      <c r="E318" s="35" t="s">
        <v>438</v>
      </c>
      <c r="F318" s="35" t="s">
        <v>615</v>
      </c>
      <c r="G318" s="46"/>
      <c r="H318" s="44"/>
      <c r="I318" s="44"/>
      <c r="J318" s="44"/>
      <c r="K318" s="44"/>
      <c r="L318" s="44"/>
      <c r="M318" s="44"/>
      <c r="N318" s="44"/>
      <c r="O318" s="45"/>
      <c r="P318" s="40"/>
    </row>
    <row r="319" spans="1:16" s="41" customFormat="1" ht="25.5">
      <c r="A319" s="42">
        <v>224</v>
      </c>
      <c r="B319" s="43" t="s">
        <v>310</v>
      </c>
      <c r="C319" s="42"/>
      <c r="D319" s="43" t="s">
        <v>299</v>
      </c>
      <c r="E319" s="43" t="s">
        <v>438</v>
      </c>
      <c r="F319" s="43" t="s">
        <v>615</v>
      </c>
      <c r="G319" s="46"/>
      <c r="H319" s="44"/>
      <c r="I319" s="44"/>
      <c r="J319" s="44"/>
      <c r="K319" s="44"/>
      <c r="L319" s="44"/>
      <c r="M319" s="44"/>
      <c r="N319" s="44"/>
      <c r="O319" s="45"/>
      <c r="P319" s="40"/>
    </row>
    <row r="320" spans="1:16" s="41" customFormat="1" ht="30" customHeight="1">
      <c r="A320" s="34">
        <v>225</v>
      </c>
      <c r="B320" s="35" t="s">
        <v>311</v>
      </c>
      <c r="C320" s="34"/>
      <c r="D320" s="35" t="s">
        <v>299</v>
      </c>
      <c r="E320" s="35" t="s">
        <v>438</v>
      </c>
      <c r="F320" s="35" t="s">
        <v>615</v>
      </c>
      <c r="G320" s="46"/>
      <c r="H320" s="44"/>
      <c r="I320" s="44"/>
      <c r="J320" s="44"/>
      <c r="K320" s="44"/>
      <c r="L320" s="44"/>
      <c r="M320" s="44"/>
      <c r="N320" s="44"/>
      <c r="O320" s="45"/>
      <c r="P320" s="40"/>
    </row>
    <row r="321" spans="1:16" s="41" customFormat="1" ht="30" customHeight="1">
      <c r="A321" s="48">
        <v>226</v>
      </c>
      <c r="B321" s="49" t="s">
        <v>312</v>
      </c>
      <c r="C321" s="48"/>
      <c r="D321" s="29" t="s">
        <v>122</v>
      </c>
      <c r="E321" s="29" t="s">
        <v>438</v>
      </c>
      <c r="F321" s="29" t="s">
        <v>615</v>
      </c>
      <c r="G321" s="46"/>
      <c r="H321" s="44"/>
      <c r="I321" s="44"/>
      <c r="J321" s="44"/>
      <c r="K321" s="44"/>
      <c r="L321" s="44"/>
      <c r="M321" s="44"/>
      <c r="N321" s="44"/>
      <c r="O321" s="45"/>
      <c r="P321" s="40"/>
    </row>
    <row r="322" spans="1:16" s="41" customFormat="1" ht="30" customHeight="1">
      <c r="A322" s="51"/>
      <c r="B322" s="52"/>
      <c r="C322" s="51"/>
      <c r="D322" s="53" t="s">
        <v>299</v>
      </c>
      <c r="E322" s="53"/>
      <c r="F322" s="53"/>
      <c r="G322" s="46"/>
      <c r="H322" s="44"/>
      <c r="I322" s="44"/>
      <c r="J322" s="44"/>
      <c r="K322" s="44"/>
      <c r="L322" s="44"/>
      <c r="M322" s="44"/>
      <c r="N322" s="44"/>
      <c r="O322" s="45"/>
      <c r="P322" s="40"/>
    </row>
    <row r="323" spans="1:16" s="41" customFormat="1" ht="30" customHeight="1">
      <c r="A323" s="34">
        <v>227</v>
      </c>
      <c r="B323" s="35" t="s">
        <v>313</v>
      </c>
      <c r="C323" s="34"/>
      <c r="D323" s="80" t="s">
        <v>122</v>
      </c>
      <c r="E323" s="80" t="s">
        <v>438</v>
      </c>
      <c r="F323" s="80" t="s">
        <v>615</v>
      </c>
      <c r="G323" s="46"/>
      <c r="H323" s="44"/>
      <c r="I323" s="44"/>
      <c r="J323" s="44"/>
      <c r="K323" s="44"/>
      <c r="L323" s="44"/>
      <c r="M323" s="44"/>
      <c r="N323" s="44"/>
      <c r="O323" s="45"/>
      <c r="P323" s="40"/>
    </row>
    <row r="324" spans="1:16" s="41" customFormat="1" ht="30" customHeight="1">
      <c r="A324" s="48">
        <v>228</v>
      </c>
      <c r="B324" s="49" t="s">
        <v>314</v>
      </c>
      <c r="C324" s="48"/>
      <c r="D324" s="29" t="s">
        <v>122</v>
      </c>
      <c r="E324" s="29"/>
      <c r="F324" s="29" t="s">
        <v>493</v>
      </c>
      <c r="G324" s="46"/>
      <c r="H324" s="46"/>
      <c r="I324" s="46"/>
      <c r="J324" s="46"/>
      <c r="K324" s="46"/>
      <c r="L324" s="46"/>
      <c r="M324" s="46"/>
      <c r="N324" s="46"/>
      <c r="O324" s="45"/>
      <c r="P324" s="40"/>
    </row>
    <row r="325" spans="1:16" s="41" customFormat="1" ht="38.25">
      <c r="A325" s="34">
        <v>229</v>
      </c>
      <c r="B325" s="35" t="s">
        <v>315</v>
      </c>
      <c r="C325" s="34"/>
      <c r="D325" s="80" t="s">
        <v>617</v>
      </c>
      <c r="E325" s="80" t="s">
        <v>438</v>
      </c>
      <c r="F325" s="80" t="s">
        <v>615</v>
      </c>
      <c r="G325" s="46"/>
      <c r="H325" s="46"/>
      <c r="I325" s="46"/>
      <c r="J325" s="46"/>
      <c r="K325" s="46"/>
      <c r="L325" s="46"/>
      <c r="M325" s="46"/>
      <c r="N325" s="46"/>
      <c r="O325" s="45"/>
      <c r="P325" s="40"/>
    </row>
    <row r="326" spans="1:16" s="41" customFormat="1" ht="38.25">
      <c r="A326" s="48">
        <v>230</v>
      </c>
      <c r="B326" s="49" t="s">
        <v>316</v>
      </c>
      <c r="C326" s="48" t="s">
        <v>424</v>
      </c>
      <c r="D326" s="49" t="s">
        <v>617</v>
      </c>
      <c r="E326" s="49" t="s">
        <v>438</v>
      </c>
      <c r="F326" s="49" t="s">
        <v>615</v>
      </c>
      <c r="G326" s="46"/>
      <c r="H326" s="46"/>
      <c r="I326" s="46"/>
      <c r="J326" s="46"/>
      <c r="K326" s="46"/>
      <c r="L326" s="46"/>
      <c r="M326" s="46"/>
      <c r="N326" s="46"/>
      <c r="O326" s="45"/>
      <c r="P326" s="40"/>
    </row>
    <row r="327" spans="1:16" s="41" customFormat="1" ht="30" customHeight="1">
      <c r="A327" s="55"/>
      <c r="B327" s="56"/>
      <c r="C327" s="55"/>
      <c r="D327" s="56"/>
      <c r="E327" s="56"/>
      <c r="F327" s="56"/>
      <c r="G327" s="46"/>
      <c r="H327" s="46"/>
      <c r="I327" s="46"/>
      <c r="J327" s="46"/>
      <c r="K327" s="46"/>
      <c r="L327" s="46"/>
      <c r="M327" s="46"/>
      <c r="N327" s="46"/>
      <c r="O327" s="45"/>
      <c r="P327" s="40"/>
    </row>
    <row r="328" spans="1:16" s="41" customFormat="1" ht="74.25" customHeight="1">
      <c r="A328" s="34">
        <v>231</v>
      </c>
      <c r="B328" s="35" t="s">
        <v>317</v>
      </c>
      <c r="C328" s="34" t="s">
        <v>425</v>
      </c>
      <c r="D328" s="35" t="s">
        <v>618</v>
      </c>
      <c r="E328" s="35" t="s">
        <v>438</v>
      </c>
      <c r="F328" s="35" t="s">
        <v>615</v>
      </c>
      <c r="G328" s="46"/>
      <c r="H328" s="46"/>
      <c r="I328" s="46"/>
      <c r="J328" s="46"/>
      <c r="K328" s="46"/>
      <c r="L328" s="46"/>
      <c r="M328" s="46"/>
      <c r="N328" s="46"/>
      <c r="O328" s="45"/>
      <c r="P328" s="40"/>
    </row>
    <row r="329" spans="1:16" s="41" customFormat="1" ht="30" customHeight="1">
      <c r="A329" s="42">
        <v>232</v>
      </c>
      <c r="B329" s="43" t="s">
        <v>318</v>
      </c>
      <c r="C329" s="42"/>
      <c r="D329" s="43" t="s">
        <v>122</v>
      </c>
      <c r="E329" s="43" t="s">
        <v>435</v>
      </c>
      <c r="F329" s="43" t="s">
        <v>35</v>
      </c>
      <c r="G329" s="44"/>
      <c r="H329" s="44"/>
      <c r="I329" s="44"/>
      <c r="J329" s="44"/>
      <c r="K329" s="44"/>
      <c r="L329" s="44"/>
      <c r="M329" s="44"/>
      <c r="N329" s="44"/>
      <c r="O329" s="45"/>
      <c r="P329" s="40"/>
    </row>
    <row r="330" spans="1:16" s="41" customFormat="1" ht="30" customHeight="1">
      <c r="A330" s="34">
        <v>233</v>
      </c>
      <c r="B330" s="35" t="s">
        <v>319</v>
      </c>
      <c r="C330" s="34">
        <v>328</v>
      </c>
      <c r="D330" s="35" t="s">
        <v>122</v>
      </c>
      <c r="E330" s="35" t="s">
        <v>435</v>
      </c>
      <c r="F330" s="35" t="s">
        <v>13</v>
      </c>
      <c r="G330" s="46"/>
      <c r="H330" s="44"/>
      <c r="I330" s="44"/>
      <c r="J330" s="46"/>
      <c r="K330" s="44"/>
      <c r="L330" s="44"/>
      <c r="M330" s="44"/>
      <c r="N330" s="44"/>
      <c r="O330" s="45"/>
      <c r="P330" s="40"/>
    </row>
    <row r="331" spans="1:16" s="41" customFormat="1" ht="30" customHeight="1">
      <c r="A331" s="42">
        <v>234</v>
      </c>
      <c r="B331" s="43" t="s">
        <v>76</v>
      </c>
      <c r="C331" s="42"/>
      <c r="D331" s="43" t="s">
        <v>122</v>
      </c>
      <c r="E331" s="43" t="s">
        <v>435</v>
      </c>
      <c r="F331" s="43" t="s">
        <v>13</v>
      </c>
      <c r="G331" s="44"/>
      <c r="H331" s="44"/>
      <c r="I331" s="44"/>
      <c r="J331" s="44"/>
      <c r="K331" s="44"/>
      <c r="L331" s="44"/>
      <c r="M331" s="44"/>
      <c r="N331" s="44"/>
      <c r="O331" s="45"/>
      <c r="P331" s="40"/>
    </row>
    <row r="332" spans="1:16" s="41" customFormat="1" ht="30" customHeight="1">
      <c r="A332" s="34">
        <v>235</v>
      </c>
      <c r="B332" s="35" t="s">
        <v>320</v>
      </c>
      <c r="C332" s="34"/>
      <c r="D332" s="35" t="s">
        <v>122</v>
      </c>
      <c r="E332" s="35" t="s">
        <v>435</v>
      </c>
      <c r="F332" s="35" t="s">
        <v>13</v>
      </c>
      <c r="G332" s="46"/>
      <c r="H332" s="44"/>
      <c r="I332" s="44"/>
      <c r="J332" s="46"/>
      <c r="K332" s="44"/>
      <c r="L332" s="44"/>
      <c r="M332" s="44"/>
      <c r="N332" s="44"/>
      <c r="O332" s="45"/>
      <c r="P332" s="40"/>
    </row>
    <row r="333" spans="1:16" s="41" customFormat="1" ht="32.25" customHeight="1">
      <c r="A333" s="42">
        <v>236</v>
      </c>
      <c r="B333" s="43" t="s">
        <v>321</v>
      </c>
      <c r="C333" s="42"/>
      <c r="D333" s="43"/>
      <c r="E333" s="43" t="s">
        <v>435</v>
      </c>
      <c r="F333" s="43" t="s">
        <v>235</v>
      </c>
      <c r="G333" s="44"/>
      <c r="H333" s="44"/>
      <c r="I333" s="44"/>
      <c r="J333" s="44"/>
      <c r="K333" s="44"/>
      <c r="L333" s="44"/>
      <c r="M333" s="44"/>
      <c r="N333" s="44"/>
      <c r="O333" s="45"/>
      <c r="P333" s="40"/>
    </row>
    <row r="334" spans="1:16" s="41" customFormat="1" ht="45.75" customHeight="1">
      <c r="A334" s="34">
        <v>237</v>
      </c>
      <c r="B334" s="35" t="s">
        <v>322</v>
      </c>
      <c r="C334" s="34"/>
      <c r="D334" s="35"/>
      <c r="E334" s="35" t="s">
        <v>435</v>
      </c>
      <c r="F334" s="35" t="s">
        <v>153</v>
      </c>
      <c r="G334" s="46"/>
      <c r="H334" s="44"/>
      <c r="I334" s="44"/>
      <c r="J334" s="46"/>
      <c r="K334" s="44"/>
      <c r="L334" s="44"/>
      <c r="M334" s="44"/>
      <c r="N334" s="44"/>
      <c r="O334" s="45"/>
      <c r="P334" s="40"/>
    </row>
    <row r="335" spans="1:16" s="41" customFormat="1" ht="60.75" customHeight="1">
      <c r="A335" s="42">
        <v>238</v>
      </c>
      <c r="B335" s="43" t="s">
        <v>323</v>
      </c>
      <c r="C335" s="42"/>
      <c r="D335" s="43"/>
      <c r="E335" s="43" t="s">
        <v>435</v>
      </c>
      <c r="F335" s="43" t="s">
        <v>153</v>
      </c>
      <c r="G335" s="44"/>
      <c r="H335" s="44"/>
      <c r="I335" s="44"/>
      <c r="J335" s="44"/>
      <c r="K335" s="44"/>
      <c r="L335" s="44"/>
      <c r="M335" s="44"/>
      <c r="N335" s="44"/>
      <c r="O335" s="45"/>
      <c r="P335" s="40"/>
    </row>
    <row r="336" spans="1:16" s="41" customFormat="1" ht="57.75" customHeight="1">
      <c r="A336" s="34">
        <v>239</v>
      </c>
      <c r="B336" s="35" t="s">
        <v>324</v>
      </c>
      <c r="C336" s="34"/>
      <c r="D336" s="35"/>
      <c r="E336" s="35" t="s">
        <v>435</v>
      </c>
      <c r="F336" s="35" t="s">
        <v>153</v>
      </c>
      <c r="G336" s="46"/>
      <c r="H336" s="44"/>
      <c r="I336" s="44"/>
      <c r="J336" s="46"/>
      <c r="K336" s="44"/>
      <c r="L336" s="44"/>
      <c r="M336" s="44"/>
      <c r="N336" s="44"/>
      <c r="O336" s="45"/>
      <c r="P336" s="40"/>
    </row>
    <row r="337" spans="1:16" s="41" customFormat="1" ht="44.25" customHeight="1">
      <c r="A337" s="42">
        <v>240</v>
      </c>
      <c r="B337" s="43" t="s">
        <v>325</v>
      </c>
      <c r="C337" s="42"/>
      <c r="D337" s="43"/>
      <c r="E337" s="43" t="s">
        <v>435</v>
      </c>
      <c r="F337" s="43" t="s">
        <v>13</v>
      </c>
      <c r="G337" s="44"/>
      <c r="H337" s="44"/>
      <c r="I337" s="44"/>
      <c r="J337" s="44"/>
      <c r="K337" s="44"/>
      <c r="L337" s="44"/>
      <c r="M337" s="44"/>
      <c r="N337" s="44"/>
      <c r="O337" s="45"/>
      <c r="P337" s="40"/>
    </row>
    <row r="338" spans="1:16" s="41" customFormat="1" ht="48" customHeight="1">
      <c r="A338" s="34">
        <v>241</v>
      </c>
      <c r="B338" s="35" t="s">
        <v>326</v>
      </c>
      <c r="C338" s="34"/>
      <c r="D338" s="35"/>
      <c r="E338" s="35" t="s">
        <v>435</v>
      </c>
      <c r="F338" s="35" t="s">
        <v>13</v>
      </c>
      <c r="G338" s="46"/>
      <c r="H338" s="44"/>
      <c r="I338" s="44"/>
      <c r="J338" s="46"/>
      <c r="K338" s="44"/>
      <c r="L338" s="44"/>
      <c r="M338" s="44"/>
      <c r="N338" s="44"/>
      <c r="O338" s="45"/>
      <c r="P338" s="40"/>
    </row>
    <row r="339" spans="1:16" s="41" customFormat="1" ht="30" customHeight="1">
      <c r="A339" s="42">
        <v>242</v>
      </c>
      <c r="B339" s="43" t="s">
        <v>327</v>
      </c>
      <c r="C339" s="42"/>
      <c r="D339" s="43"/>
      <c r="E339" s="43" t="s">
        <v>435</v>
      </c>
      <c r="F339" s="43" t="s">
        <v>328</v>
      </c>
      <c r="G339" s="44"/>
      <c r="H339" s="44"/>
      <c r="I339" s="44"/>
      <c r="J339" s="44"/>
      <c r="K339" s="44"/>
      <c r="L339" s="44"/>
      <c r="M339" s="44"/>
      <c r="N339" s="44"/>
      <c r="O339" s="45"/>
      <c r="P339" s="40"/>
    </row>
    <row r="340" spans="1:16" s="41" customFormat="1" ht="30" customHeight="1">
      <c r="A340" s="34">
        <v>243</v>
      </c>
      <c r="B340" s="35" t="s">
        <v>329</v>
      </c>
      <c r="C340" s="34"/>
      <c r="D340" s="35"/>
      <c r="E340" s="35"/>
      <c r="F340" s="35" t="s">
        <v>535</v>
      </c>
      <c r="G340" s="46"/>
      <c r="H340" s="46"/>
      <c r="I340" s="46"/>
      <c r="J340" s="46"/>
      <c r="K340" s="46"/>
      <c r="L340" s="46"/>
      <c r="M340" s="46"/>
      <c r="N340" s="46"/>
      <c r="O340" s="45"/>
      <c r="P340" s="40"/>
    </row>
    <row r="341" spans="1:16" s="41" customFormat="1" ht="30" customHeight="1">
      <c r="A341" s="42">
        <v>244</v>
      </c>
      <c r="B341" s="43" t="s">
        <v>330</v>
      </c>
      <c r="C341" s="42">
        <v>376</v>
      </c>
      <c r="D341" s="43"/>
      <c r="E341" s="43" t="s">
        <v>429</v>
      </c>
      <c r="F341" s="43" t="s">
        <v>615</v>
      </c>
      <c r="G341" s="46"/>
      <c r="H341" s="46"/>
      <c r="I341" s="46"/>
      <c r="J341" s="46"/>
      <c r="K341" s="46"/>
      <c r="L341" s="46"/>
      <c r="M341" s="46"/>
      <c r="N341" s="46"/>
      <c r="O341" s="45"/>
      <c r="P341" s="40"/>
    </row>
    <row r="342" spans="1:16" s="41" customFormat="1" ht="30" customHeight="1">
      <c r="A342" s="34">
        <v>245</v>
      </c>
      <c r="B342" s="35" t="s">
        <v>331</v>
      </c>
      <c r="C342" s="62">
        <v>377</v>
      </c>
      <c r="D342" s="59"/>
      <c r="E342" s="59" t="s">
        <v>428</v>
      </c>
      <c r="F342" s="59" t="s">
        <v>615</v>
      </c>
      <c r="G342" s="46"/>
      <c r="H342" s="46"/>
      <c r="I342" s="46"/>
      <c r="J342" s="46"/>
      <c r="K342" s="46"/>
      <c r="L342" s="46"/>
      <c r="M342" s="46"/>
      <c r="N342" s="46"/>
      <c r="O342" s="45"/>
      <c r="P342" s="40"/>
    </row>
    <row r="343" spans="1:16" s="41" customFormat="1" ht="30" customHeight="1">
      <c r="A343" s="48">
        <v>246</v>
      </c>
      <c r="B343" s="49" t="s">
        <v>332</v>
      </c>
      <c r="C343" s="48"/>
      <c r="D343" s="49" t="s">
        <v>333</v>
      </c>
      <c r="E343" s="49" t="s">
        <v>428</v>
      </c>
      <c r="F343" s="49" t="s">
        <v>615</v>
      </c>
      <c r="G343" s="46"/>
      <c r="H343" s="46"/>
      <c r="I343" s="46"/>
      <c r="J343" s="46"/>
      <c r="K343" s="46"/>
      <c r="L343" s="46"/>
      <c r="M343" s="46"/>
      <c r="N343" s="46"/>
      <c r="O343" s="45"/>
      <c r="P343" s="40"/>
    </row>
    <row r="344" spans="1:16" s="41" customFormat="1" ht="30" customHeight="1">
      <c r="A344" s="34">
        <v>247</v>
      </c>
      <c r="B344" s="35" t="s">
        <v>334</v>
      </c>
      <c r="C344" s="34"/>
      <c r="D344" s="35"/>
      <c r="E344" s="35" t="s">
        <v>435</v>
      </c>
      <c r="F344" s="35" t="s">
        <v>13</v>
      </c>
      <c r="G344" s="46"/>
      <c r="H344" s="44"/>
      <c r="I344" s="44"/>
      <c r="J344" s="46"/>
      <c r="K344" s="44"/>
      <c r="L344" s="44"/>
      <c r="M344" s="44"/>
      <c r="N344" s="44"/>
      <c r="O344" s="45"/>
      <c r="P344" s="40"/>
    </row>
    <row r="345" spans="1:16" s="41" customFormat="1" ht="30" customHeight="1">
      <c r="A345" s="42">
        <v>248</v>
      </c>
      <c r="B345" s="43" t="s">
        <v>335</v>
      </c>
      <c r="C345" s="42"/>
      <c r="D345" s="43" t="s">
        <v>42</v>
      </c>
      <c r="E345" s="43" t="s">
        <v>435</v>
      </c>
      <c r="F345" s="43" t="s">
        <v>13</v>
      </c>
      <c r="G345" s="44"/>
      <c r="H345" s="44"/>
      <c r="I345" s="44"/>
      <c r="J345" s="44"/>
      <c r="K345" s="44"/>
      <c r="L345" s="44"/>
      <c r="M345" s="44"/>
      <c r="N345" s="44"/>
      <c r="O345" s="45"/>
      <c r="P345" s="40"/>
    </row>
    <row r="346" spans="1:16" s="41" customFormat="1" ht="30" customHeight="1">
      <c r="A346" s="34">
        <v>249</v>
      </c>
      <c r="B346" s="35" t="s">
        <v>336</v>
      </c>
      <c r="C346" s="34"/>
      <c r="D346" s="35" t="s">
        <v>42</v>
      </c>
      <c r="E346" s="35" t="s">
        <v>435</v>
      </c>
      <c r="F346" s="35" t="s">
        <v>35</v>
      </c>
      <c r="G346" s="46"/>
      <c r="H346" s="44"/>
      <c r="I346" s="44"/>
      <c r="J346" s="46"/>
      <c r="K346" s="44"/>
      <c r="L346" s="44"/>
      <c r="M346" s="44"/>
      <c r="N346" s="44"/>
      <c r="O346" s="45"/>
      <c r="P346" s="40"/>
    </row>
    <row r="347" spans="1:16" s="41" customFormat="1" ht="30" customHeight="1">
      <c r="A347" s="42">
        <v>250</v>
      </c>
      <c r="B347" s="43" t="s">
        <v>337</v>
      </c>
      <c r="C347" s="42"/>
      <c r="D347" s="43" t="s">
        <v>42</v>
      </c>
      <c r="E347" s="43" t="s">
        <v>435</v>
      </c>
      <c r="F347" s="43" t="s">
        <v>35</v>
      </c>
      <c r="G347" s="44"/>
      <c r="H347" s="44"/>
      <c r="I347" s="44"/>
      <c r="J347" s="44"/>
      <c r="K347" s="44"/>
      <c r="L347" s="44"/>
      <c r="M347" s="44"/>
      <c r="N347" s="44"/>
      <c r="O347" s="45"/>
      <c r="P347" s="40"/>
    </row>
    <row r="348" spans="1:16" s="41" customFormat="1" ht="30" customHeight="1">
      <c r="A348" s="34">
        <v>251</v>
      </c>
      <c r="B348" s="35" t="s">
        <v>338</v>
      </c>
      <c r="C348" s="34"/>
      <c r="D348" s="35"/>
      <c r="E348" s="35" t="s">
        <v>435</v>
      </c>
      <c r="F348" s="35" t="s">
        <v>35</v>
      </c>
      <c r="G348" s="46"/>
      <c r="H348" s="44"/>
      <c r="I348" s="44"/>
      <c r="J348" s="46"/>
      <c r="K348" s="44"/>
      <c r="L348" s="44"/>
      <c r="M348" s="44"/>
      <c r="N348" s="44"/>
      <c r="O348" s="45"/>
      <c r="P348" s="40"/>
    </row>
    <row r="349" spans="1:16" s="41" customFormat="1" ht="30" customHeight="1">
      <c r="A349" s="42">
        <v>252</v>
      </c>
      <c r="B349" s="43" t="s">
        <v>339</v>
      </c>
      <c r="C349" s="42"/>
      <c r="D349" s="43"/>
      <c r="E349" s="43" t="s">
        <v>435</v>
      </c>
      <c r="F349" s="43" t="s">
        <v>35</v>
      </c>
      <c r="G349" s="44"/>
      <c r="H349" s="44"/>
      <c r="I349" s="44"/>
      <c r="J349" s="44"/>
      <c r="K349" s="44"/>
      <c r="L349" s="44"/>
      <c r="M349" s="44"/>
      <c r="N349" s="44"/>
      <c r="O349" s="45"/>
      <c r="P349" s="40"/>
    </row>
    <row r="350" spans="1:16" s="41" customFormat="1" ht="30" customHeight="1">
      <c r="A350" s="34">
        <v>253</v>
      </c>
      <c r="B350" s="35" t="s">
        <v>340</v>
      </c>
      <c r="C350" s="34"/>
      <c r="D350" s="35"/>
      <c r="E350" s="35" t="s">
        <v>435</v>
      </c>
      <c r="F350" s="35" t="s">
        <v>35</v>
      </c>
      <c r="G350" s="46"/>
      <c r="H350" s="44"/>
      <c r="I350" s="44"/>
      <c r="J350" s="46"/>
      <c r="K350" s="44"/>
      <c r="L350" s="44"/>
      <c r="M350" s="44"/>
      <c r="N350" s="44"/>
      <c r="O350" s="45"/>
      <c r="P350" s="40"/>
    </row>
    <row r="351" spans="1:16" s="41" customFormat="1" ht="30" customHeight="1">
      <c r="A351" s="42">
        <v>254</v>
      </c>
      <c r="B351" s="43" t="s">
        <v>341</v>
      </c>
      <c r="C351" s="42"/>
      <c r="D351" s="43"/>
      <c r="E351" s="43" t="s">
        <v>435</v>
      </c>
      <c r="F351" s="43" t="s">
        <v>13</v>
      </c>
      <c r="G351" s="44"/>
      <c r="H351" s="44"/>
      <c r="I351" s="44"/>
      <c r="J351" s="44"/>
      <c r="K351" s="44"/>
      <c r="L351" s="44"/>
      <c r="M351" s="44"/>
      <c r="N351" s="44"/>
      <c r="O351" s="45"/>
      <c r="P351" s="40"/>
    </row>
    <row r="352" spans="1:16" s="41" customFormat="1" ht="30" customHeight="1">
      <c r="A352" s="34">
        <v>255</v>
      </c>
      <c r="B352" s="35" t="s">
        <v>342</v>
      </c>
      <c r="C352" s="34"/>
      <c r="D352" s="35" t="s">
        <v>42</v>
      </c>
      <c r="E352" s="35" t="s">
        <v>435</v>
      </c>
      <c r="F352" s="35" t="s">
        <v>35</v>
      </c>
      <c r="G352" s="46"/>
      <c r="H352" s="44"/>
      <c r="I352" s="44"/>
      <c r="J352" s="46"/>
      <c r="K352" s="44"/>
      <c r="L352" s="44"/>
      <c r="M352" s="44"/>
      <c r="N352" s="44"/>
      <c r="O352" s="45"/>
      <c r="P352" s="40"/>
    </row>
    <row r="353" spans="1:16" s="41" customFormat="1" ht="25.5">
      <c r="A353" s="48">
        <v>256</v>
      </c>
      <c r="B353" s="49" t="s">
        <v>343</v>
      </c>
      <c r="C353" s="48">
        <v>370</v>
      </c>
      <c r="D353" s="49"/>
      <c r="E353" s="49" t="s">
        <v>432</v>
      </c>
      <c r="F353" s="49" t="s">
        <v>615</v>
      </c>
      <c r="G353" s="46"/>
      <c r="H353" s="46"/>
      <c r="I353" s="46"/>
      <c r="J353" s="46"/>
      <c r="K353" s="46"/>
      <c r="L353" s="46"/>
      <c r="M353" s="46"/>
      <c r="N353" s="46"/>
      <c r="O353" s="45"/>
      <c r="P353" s="40"/>
    </row>
    <row r="354" spans="1:16" s="41" customFormat="1" ht="30" customHeight="1">
      <c r="A354" s="34">
        <v>257</v>
      </c>
      <c r="B354" s="35" t="s">
        <v>344</v>
      </c>
      <c r="C354" s="34"/>
      <c r="D354" s="35"/>
      <c r="E354" s="35" t="s">
        <v>428</v>
      </c>
      <c r="F354" s="35"/>
      <c r="G354" s="80" t="s">
        <v>453</v>
      </c>
      <c r="H354" s="35" t="s">
        <v>441</v>
      </c>
      <c r="I354" s="35" t="s">
        <v>595</v>
      </c>
      <c r="J354" s="80" t="s">
        <v>459</v>
      </c>
      <c r="K354" s="35" t="s">
        <v>460</v>
      </c>
      <c r="L354" s="35" t="s">
        <v>454</v>
      </c>
      <c r="M354" s="35" t="s">
        <v>443</v>
      </c>
      <c r="N354" s="47" t="s">
        <v>68</v>
      </c>
      <c r="O354" s="45"/>
      <c r="P354" s="40"/>
    </row>
    <row r="355" spans="1:16" s="41" customFormat="1" ht="30" customHeight="1">
      <c r="A355" s="42">
        <v>258</v>
      </c>
      <c r="B355" s="43" t="s">
        <v>345</v>
      </c>
      <c r="C355" s="42"/>
      <c r="D355" s="43"/>
      <c r="E355" s="43" t="s">
        <v>435</v>
      </c>
      <c r="F355" s="43" t="s">
        <v>35</v>
      </c>
      <c r="G355" s="44"/>
      <c r="H355" s="44"/>
      <c r="I355" s="44"/>
      <c r="J355" s="44"/>
      <c r="K355" s="44"/>
      <c r="L355" s="44"/>
      <c r="M355" s="44"/>
      <c r="N355" s="44"/>
      <c r="O355" s="45"/>
      <c r="P355" s="40"/>
    </row>
    <row r="356" spans="1:16" s="41" customFormat="1" ht="30" customHeight="1">
      <c r="A356" s="34">
        <v>259</v>
      </c>
      <c r="B356" s="35" t="s">
        <v>346</v>
      </c>
      <c r="C356" s="34"/>
      <c r="D356" s="35"/>
      <c r="E356" s="35" t="s">
        <v>435</v>
      </c>
      <c r="F356" s="35" t="s">
        <v>35</v>
      </c>
      <c r="G356" s="46"/>
      <c r="H356" s="44"/>
      <c r="I356" s="44"/>
      <c r="J356" s="46"/>
      <c r="K356" s="44"/>
      <c r="L356" s="44"/>
      <c r="M356" s="44"/>
      <c r="N356" s="44"/>
      <c r="O356" s="45"/>
      <c r="P356" s="40"/>
    </row>
    <row r="357" spans="1:16" s="41" customFormat="1" ht="43.5" customHeight="1">
      <c r="A357" s="48">
        <v>260</v>
      </c>
      <c r="B357" s="49" t="s">
        <v>347</v>
      </c>
      <c r="C357" s="48" t="s">
        <v>426</v>
      </c>
      <c r="D357" s="49"/>
      <c r="E357" s="49" t="s">
        <v>435</v>
      </c>
      <c r="F357" s="49" t="s">
        <v>235</v>
      </c>
      <c r="G357" s="38"/>
      <c r="H357" s="44"/>
      <c r="I357" s="44"/>
      <c r="J357" s="38"/>
      <c r="K357" s="44"/>
      <c r="L357" s="44"/>
      <c r="M357" s="44"/>
      <c r="N357" s="44"/>
      <c r="O357" s="45"/>
      <c r="P357" s="40"/>
    </row>
    <row r="358" spans="1:16" s="41" customFormat="1" ht="30" customHeight="1">
      <c r="A358" s="34">
        <v>261</v>
      </c>
      <c r="B358" s="35" t="s">
        <v>348</v>
      </c>
      <c r="C358" s="34"/>
      <c r="D358" s="35" t="s">
        <v>299</v>
      </c>
      <c r="E358" s="35" t="s">
        <v>435</v>
      </c>
      <c r="F358" s="35" t="s">
        <v>235</v>
      </c>
      <c r="G358" s="46"/>
      <c r="H358" s="44"/>
      <c r="I358" s="44"/>
      <c r="J358" s="46"/>
      <c r="K358" s="44"/>
      <c r="L358" s="44"/>
      <c r="M358" s="44"/>
      <c r="N358" s="44"/>
      <c r="O358" s="45"/>
      <c r="P358" s="40"/>
    </row>
    <row r="359" spans="1:16" s="41" customFormat="1" ht="42" customHeight="1">
      <c r="A359" s="42">
        <v>262</v>
      </c>
      <c r="B359" s="43" t="s">
        <v>349</v>
      </c>
      <c r="C359" s="42"/>
      <c r="D359" s="43" t="s">
        <v>299</v>
      </c>
      <c r="E359" s="43" t="s">
        <v>435</v>
      </c>
      <c r="F359" s="43" t="s">
        <v>235</v>
      </c>
      <c r="G359" s="44"/>
      <c r="H359" s="44"/>
      <c r="I359" s="44"/>
      <c r="J359" s="44"/>
      <c r="K359" s="44"/>
      <c r="L359" s="44"/>
      <c r="M359" s="44"/>
      <c r="N359" s="44"/>
      <c r="O359" s="45"/>
      <c r="P359" s="40"/>
    </row>
    <row r="360" spans="1:16" s="41" customFormat="1" ht="30" customHeight="1">
      <c r="A360" s="34">
        <v>263</v>
      </c>
      <c r="B360" s="35" t="s">
        <v>350</v>
      </c>
      <c r="C360" s="34"/>
      <c r="D360" s="35" t="s">
        <v>299</v>
      </c>
      <c r="E360" s="35" t="s">
        <v>435</v>
      </c>
      <c r="F360" s="35" t="s">
        <v>235</v>
      </c>
      <c r="G360" s="46"/>
      <c r="H360" s="44"/>
      <c r="I360" s="44"/>
      <c r="J360" s="46"/>
      <c r="K360" s="44"/>
      <c r="L360" s="44"/>
      <c r="M360" s="44"/>
      <c r="N360" s="44"/>
      <c r="O360" s="45"/>
      <c r="P360" s="40"/>
    </row>
    <row r="361" spans="1:16" s="41" customFormat="1" ht="30" customHeight="1">
      <c r="A361" s="42">
        <v>264</v>
      </c>
      <c r="B361" s="43" t="s">
        <v>351</v>
      </c>
      <c r="C361" s="42"/>
      <c r="D361" s="43"/>
      <c r="E361" s="43" t="s">
        <v>435</v>
      </c>
      <c r="F361" s="43" t="s">
        <v>35</v>
      </c>
      <c r="G361" s="44"/>
      <c r="H361" s="44"/>
      <c r="I361" s="44"/>
      <c r="J361" s="44"/>
      <c r="K361" s="44"/>
      <c r="L361" s="44"/>
      <c r="M361" s="44"/>
      <c r="N361" s="44"/>
      <c r="O361" s="45"/>
      <c r="P361" s="40"/>
    </row>
    <row r="362" spans="1:16" s="41" customFormat="1" ht="30" customHeight="1">
      <c r="A362" s="34">
        <v>265</v>
      </c>
      <c r="B362" s="35" t="s">
        <v>352</v>
      </c>
      <c r="C362" s="34"/>
      <c r="D362" s="35"/>
      <c r="E362" s="35" t="s">
        <v>435</v>
      </c>
      <c r="F362" s="35" t="s">
        <v>235</v>
      </c>
      <c r="G362" s="46"/>
      <c r="H362" s="44"/>
      <c r="I362" s="44"/>
      <c r="J362" s="46"/>
      <c r="K362" s="44"/>
      <c r="L362" s="44"/>
      <c r="M362" s="44"/>
      <c r="N362" s="44"/>
      <c r="O362" s="45"/>
      <c r="P362" s="40"/>
    </row>
    <row r="363" spans="1:16" s="41" customFormat="1" ht="30" customHeight="1">
      <c r="A363" s="42">
        <v>266</v>
      </c>
      <c r="B363" s="43" t="s">
        <v>353</v>
      </c>
      <c r="C363" s="42"/>
      <c r="D363" s="43"/>
      <c r="E363" s="43" t="s">
        <v>435</v>
      </c>
      <c r="F363" s="43" t="s">
        <v>235</v>
      </c>
      <c r="G363" s="44"/>
      <c r="H363" s="44"/>
      <c r="I363" s="44"/>
      <c r="J363" s="44"/>
      <c r="K363" s="44"/>
      <c r="L363" s="44"/>
      <c r="M363" s="44"/>
      <c r="N363" s="44"/>
      <c r="O363" s="45"/>
      <c r="P363" s="40"/>
    </row>
    <row r="364" spans="1:16" s="41" customFormat="1" ht="30" customHeight="1">
      <c r="A364" s="34">
        <v>267</v>
      </c>
      <c r="B364" s="35" t="s">
        <v>354</v>
      </c>
      <c r="C364" s="34"/>
      <c r="D364" s="35"/>
      <c r="E364" s="35" t="s">
        <v>435</v>
      </c>
      <c r="F364" s="35" t="s">
        <v>355</v>
      </c>
      <c r="G364" s="46"/>
      <c r="H364" s="44"/>
      <c r="I364" s="44"/>
      <c r="J364" s="46"/>
      <c r="K364" s="44"/>
      <c r="L364" s="44"/>
      <c r="M364" s="44"/>
      <c r="N364" s="44"/>
      <c r="O364" s="45"/>
      <c r="P364" s="40"/>
    </row>
    <row r="365" spans="1:16" s="41" customFormat="1" ht="30" customHeight="1">
      <c r="A365" s="42">
        <v>268</v>
      </c>
      <c r="B365" s="43" t="s">
        <v>25</v>
      </c>
      <c r="C365" s="42"/>
      <c r="D365" s="43"/>
      <c r="E365" s="43" t="s">
        <v>435</v>
      </c>
      <c r="F365" s="43" t="s">
        <v>355</v>
      </c>
      <c r="G365" s="44"/>
      <c r="H365" s="44"/>
      <c r="I365" s="44"/>
      <c r="J365" s="44"/>
      <c r="K365" s="44"/>
      <c r="L365" s="44"/>
      <c r="M365" s="44"/>
      <c r="N365" s="44"/>
      <c r="O365" s="45"/>
      <c r="P365" s="40"/>
    </row>
    <row r="366" spans="1:16" s="41" customFormat="1" ht="30" customHeight="1">
      <c r="A366" s="34">
        <v>269</v>
      </c>
      <c r="B366" s="35" t="s">
        <v>356</v>
      </c>
      <c r="C366" s="34"/>
      <c r="D366" s="35"/>
      <c r="E366" s="35" t="s">
        <v>435</v>
      </c>
      <c r="F366" s="35" t="s">
        <v>355</v>
      </c>
      <c r="G366" s="46"/>
      <c r="H366" s="44"/>
      <c r="I366" s="44"/>
      <c r="J366" s="46"/>
      <c r="K366" s="44"/>
      <c r="L366" s="44"/>
      <c r="M366" s="44"/>
      <c r="N366" s="44"/>
      <c r="O366" s="45"/>
      <c r="P366" s="40"/>
    </row>
    <row r="367" spans="1:16" s="41" customFormat="1" ht="30" customHeight="1">
      <c r="A367" s="42">
        <v>270</v>
      </c>
      <c r="B367" s="43" t="s">
        <v>357</v>
      </c>
      <c r="C367" s="42"/>
      <c r="D367" s="43"/>
      <c r="E367" s="43" t="s">
        <v>435</v>
      </c>
      <c r="F367" s="43" t="s">
        <v>355</v>
      </c>
      <c r="G367" s="44"/>
      <c r="H367" s="44"/>
      <c r="I367" s="44"/>
      <c r="J367" s="44"/>
      <c r="K367" s="44"/>
      <c r="L367" s="44"/>
      <c r="M367" s="44"/>
      <c r="N367" s="44"/>
      <c r="O367" s="45"/>
      <c r="P367" s="40"/>
    </row>
    <row r="368" spans="1:16" s="41" customFormat="1" ht="30" customHeight="1">
      <c r="A368" s="34">
        <v>271</v>
      </c>
      <c r="B368" s="35" t="s">
        <v>358</v>
      </c>
      <c r="C368" s="34"/>
      <c r="D368" s="35"/>
      <c r="E368" s="35" t="s">
        <v>435</v>
      </c>
      <c r="F368" s="35" t="s">
        <v>355</v>
      </c>
      <c r="G368" s="46"/>
      <c r="H368" s="44"/>
      <c r="I368" s="44"/>
      <c r="J368" s="46"/>
      <c r="K368" s="44"/>
      <c r="L368" s="44"/>
      <c r="M368" s="44"/>
      <c r="N368" s="44"/>
      <c r="O368" s="45"/>
      <c r="P368" s="40"/>
    </row>
    <row r="369" spans="1:16" s="41" customFormat="1" ht="30" customHeight="1">
      <c r="A369" s="42">
        <v>272</v>
      </c>
      <c r="B369" s="43" t="s">
        <v>359</v>
      </c>
      <c r="C369" s="42"/>
      <c r="D369" s="43"/>
      <c r="E369" s="43" t="s">
        <v>435</v>
      </c>
      <c r="F369" s="43" t="s">
        <v>355</v>
      </c>
      <c r="G369" s="44"/>
      <c r="H369" s="44"/>
      <c r="I369" s="44"/>
      <c r="J369" s="44"/>
      <c r="K369" s="44"/>
      <c r="L369" s="44"/>
      <c r="M369" s="44"/>
      <c r="N369" s="44"/>
      <c r="O369" s="45"/>
      <c r="P369" s="40"/>
    </row>
    <row r="370" spans="1:16" s="41" customFormat="1" ht="41.25" customHeight="1">
      <c r="A370" s="34">
        <v>273</v>
      </c>
      <c r="B370" s="35" t="s">
        <v>360</v>
      </c>
      <c r="C370" s="34"/>
      <c r="D370" s="35"/>
      <c r="E370" s="35" t="s">
        <v>435</v>
      </c>
      <c r="F370" s="35" t="s">
        <v>355</v>
      </c>
      <c r="G370" s="46"/>
      <c r="H370" s="44"/>
      <c r="I370" s="44"/>
      <c r="J370" s="46"/>
      <c r="K370" s="44"/>
      <c r="L370" s="44"/>
      <c r="M370" s="44"/>
      <c r="N370" s="44"/>
      <c r="O370" s="45"/>
      <c r="P370" s="40"/>
    </row>
    <row r="371" spans="1:16" s="41" customFormat="1" ht="30" customHeight="1">
      <c r="A371" s="42">
        <v>274</v>
      </c>
      <c r="B371" s="43" t="s">
        <v>361</v>
      </c>
      <c r="C371" s="42"/>
      <c r="D371" s="43"/>
      <c r="E371" s="43" t="s">
        <v>435</v>
      </c>
      <c r="F371" s="43" t="s">
        <v>355</v>
      </c>
      <c r="G371" s="44"/>
      <c r="H371" s="44"/>
      <c r="I371" s="44"/>
      <c r="J371" s="44"/>
      <c r="K371" s="44"/>
      <c r="L371" s="44"/>
      <c r="M371" s="44"/>
      <c r="N371" s="44"/>
      <c r="O371" s="45"/>
      <c r="P371" s="40"/>
    </row>
    <row r="372" spans="1:16" s="41" customFormat="1" ht="30" customHeight="1">
      <c r="A372" s="34">
        <v>275</v>
      </c>
      <c r="B372" s="35" t="s">
        <v>362</v>
      </c>
      <c r="C372" s="34"/>
      <c r="D372" s="35"/>
      <c r="E372" s="35" t="s">
        <v>435</v>
      </c>
      <c r="F372" s="35" t="s">
        <v>355</v>
      </c>
      <c r="G372" s="46"/>
      <c r="H372" s="44"/>
      <c r="I372" s="44"/>
      <c r="J372" s="46"/>
      <c r="K372" s="44"/>
      <c r="L372" s="44"/>
      <c r="M372" s="44"/>
      <c r="N372" s="44"/>
      <c r="O372" s="45"/>
      <c r="P372" s="40"/>
    </row>
    <row r="373" spans="1:16" s="41" customFormat="1" ht="30" customHeight="1">
      <c r="A373" s="42">
        <v>276</v>
      </c>
      <c r="B373" s="43" t="s">
        <v>363</v>
      </c>
      <c r="C373" s="42"/>
      <c r="D373" s="43"/>
      <c r="E373" s="43" t="s">
        <v>435</v>
      </c>
      <c r="F373" s="43" t="s">
        <v>355</v>
      </c>
      <c r="G373" s="44"/>
      <c r="H373" s="44"/>
      <c r="I373" s="44"/>
      <c r="J373" s="44"/>
      <c r="K373" s="44"/>
      <c r="L373" s="44"/>
      <c r="M373" s="44"/>
      <c r="N373" s="44"/>
      <c r="O373" s="45"/>
      <c r="P373" s="40"/>
    </row>
    <row r="374" spans="1:16" s="41" customFormat="1" ht="30" customHeight="1">
      <c r="A374" s="34">
        <v>277</v>
      </c>
      <c r="B374" s="35" t="s">
        <v>364</v>
      </c>
      <c r="C374" s="34"/>
      <c r="D374" s="35"/>
      <c r="E374" s="35" t="s">
        <v>435</v>
      </c>
      <c r="F374" s="35" t="s">
        <v>355</v>
      </c>
      <c r="G374" s="46"/>
      <c r="H374" s="44"/>
      <c r="I374" s="44"/>
      <c r="J374" s="46"/>
      <c r="K374" s="44"/>
      <c r="L374" s="44"/>
      <c r="M374" s="44"/>
      <c r="N374" s="44"/>
      <c r="O374" s="45"/>
      <c r="P374" s="40"/>
    </row>
    <row r="375" spans="1:16" s="41" customFormat="1" ht="30" customHeight="1">
      <c r="A375" s="42">
        <v>278</v>
      </c>
      <c r="B375" s="43" t="s">
        <v>365</v>
      </c>
      <c r="C375" s="42"/>
      <c r="D375" s="43"/>
      <c r="E375" s="43" t="s">
        <v>435</v>
      </c>
      <c r="F375" s="43" t="s">
        <v>355</v>
      </c>
      <c r="G375" s="44"/>
      <c r="H375" s="44"/>
      <c r="I375" s="44"/>
      <c r="J375" s="44"/>
      <c r="K375" s="44"/>
      <c r="L375" s="44"/>
      <c r="M375" s="44"/>
      <c r="N375" s="44"/>
      <c r="O375" s="45"/>
      <c r="P375" s="40"/>
    </row>
    <row r="376" spans="1:16" s="41" customFormat="1" ht="30" customHeight="1">
      <c r="A376" s="34">
        <v>279</v>
      </c>
      <c r="B376" s="35" t="s">
        <v>366</v>
      </c>
      <c r="C376" s="34"/>
      <c r="D376" s="35"/>
      <c r="E376" s="35" t="s">
        <v>435</v>
      </c>
      <c r="F376" s="35" t="s">
        <v>355</v>
      </c>
      <c r="G376" s="46"/>
      <c r="H376" s="44"/>
      <c r="I376" s="44"/>
      <c r="J376" s="46"/>
      <c r="K376" s="44"/>
      <c r="L376" s="44"/>
      <c r="M376" s="44"/>
      <c r="N376" s="44"/>
      <c r="O376" s="45"/>
      <c r="P376" s="40"/>
    </row>
    <row r="377" spans="1:16" s="41" customFormat="1" ht="30" customHeight="1">
      <c r="A377" s="42">
        <v>280</v>
      </c>
      <c r="B377" s="43" t="s">
        <v>367</v>
      </c>
      <c r="C377" s="42"/>
      <c r="D377" s="43"/>
      <c r="E377" s="43" t="s">
        <v>435</v>
      </c>
      <c r="F377" s="43" t="s">
        <v>355</v>
      </c>
      <c r="G377" s="44"/>
      <c r="H377" s="44"/>
      <c r="I377" s="44"/>
      <c r="J377" s="44"/>
      <c r="K377" s="44"/>
      <c r="L377" s="44"/>
      <c r="M377" s="44"/>
      <c r="N377" s="44"/>
      <c r="O377" s="45"/>
      <c r="P377" s="40"/>
    </row>
    <row r="378" spans="1:16" s="41" customFormat="1" ht="30" customHeight="1">
      <c r="A378" s="34">
        <v>281</v>
      </c>
      <c r="B378" s="35" t="s">
        <v>368</v>
      </c>
      <c r="C378" s="34"/>
      <c r="D378" s="35"/>
      <c r="E378" s="35" t="s">
        <v>435</v>
      </c>
      <c r="F378" s="35" t="s">
        <v>355</v>
      </c>
      <c r="G378" s="46"/>
      <c r="H378" s="44"/>
      <c r="I378" s="44"/>
      <c r="J378" s="46"/>
      <c r="K378" s="44"/>
      <c r="L378" s="44"/>
      <c r="M378" s="44"/>
      <c r="N378" s="44"/>
      <c r="O378" s="45"/>
      <c r="P378" s="40"/>
    </row>
    <row r="379" spans="1:16" s="41" customFormat="1" ht="30" customHeight="1">
      <c r="A379" s="42">
        <v>282</v>
      </c>
      <c r="B379" s="43" t="s">
        <v>369</v>
      </c>
      <c r="C379" s="42"/>
      <c r="D379" s="43"/>
      <c r="E379" s="43" t="s">
        <v>435</v>
      </c>
      <c r="F379" s="43" t="s">
        <v>355</v>
      </c>
      <c r="G379" s="44"/>
      <c r="H379" s="44"/>
      <c r="I379" s="44"/>
      <c r="J379" s="44"/>
      <c r="K379" s="44"/>
      <c r="L379" s="44"/>
      <c r="M379" s="44"/>
      <c r="N379" s="44"/>
      <c r="O379" s="45"/>
      <c r="P379" s="40"/>
    </row>
    <row r="380" spans="1:16" s="41" customFormat="1" ht="30" customHeight="1">
      <c r="A380" s="34">
        <v>283</v>
      </c>
      <c r="B380" s="35" t="s">
        <v>370</v>
      </c>
      <c r="C380" s="34"/>
      <c r="D380" s="35"/>
      <c r="E380" s="35" t="s">
        <v>435</v>
      </c>
      <c r="F380" s="35" t="s">
        <v>355</v>
      </c>
      <c r="G380" s="46"/>
      <c r="H380" s="44"/>
      <c r="I380" s="44"/>
      <c r="J380" s="46"/>
      <c r="K380" s="44"/>
      <c r="L380" s="44"/>
      <c r="M380" s="44"/>
      <c r="N380" s="44"/>
      <c r="O380" s="45"/>
      <c r="P380" s="40"/>
    </row>
    <row r="381" spans="1:16" s="41" customFormat="1" ht="30" customHeight="1">
      <c r="A381" s="42">
        <v>284</v>
      </c>
      <c r="B381" s="43" t="s">
        <v>371</v>
      </c>
      <c r="C381" s="42"/>
      <c r="D381" s="43"/>
      <c r="E381" s="43" t="s">
        <v>435</v>
      </c>
      <c r="F381" s="43" t="s">
        <v>355</v>
      </c>
      <c r="G381" s="44"/>
      <c r="H381" s="44"/>
      <c r="I381" s="44"/>
      <c r="J381" s="44"/>
      <c r="K381" s="44"/>
      <c r="L381" s="44"/>
      <c r="M381" s="44"/>
      <c r="N381" s="44"/>
      <c r="O381" s="45"/>
      <c r="P381" s="40"/>
    </row>
    <row r="382" spans="1:16" s="41" customFormat="1" ht="30" customHeight="1">
      <c r="A382" s="34">
        <v>285</v>
      </c>
      <c r="B382" s="35" t="s">
        <v>372</v>
      </c>
      <c r="C382" s="34"/>
      <c r="D382" s="35"/>
      <c r="E382" s="35" t="s">
        <v>435</v>
      </c>
      <c r="F382" s="35" t="s">
        <v>355</v>
      </c>
      <c r="G382" s="46"/>
      <c r="H382" s="44"/>
      <c r="I382" s="44"/>
      <c r="J382" s="46"/>
      <c r="K382" s="44"/>
      <c r="L382" s="44"/>
      <c r="M382" s="44"/>
      <c r="N382" s="44"/>
      <c r="O382" s="45"/>
      <c r="P382" s="40"/>
    </row>
    <row r="383" spans="1:16" s="41" customFormat="1" ht="30" customHeight="1">
      <c r="A383" s="42">
        <v>286</v>
      </c>
      <c r="B383" s="43" t="s">
        <v>373</v>
      </c>
      <c r="C383" s="42"/>
      <c r="D383" s="43"/>
      <c r="E383" s="43" t="s">
        <v>435</v>
      </c>
      <c r="F383" s="43" t="s">
        <v>355</v>
      </c>
      <c r="G383" s="44"/>
      <c r="H383" s="44"/>
      <c r="I383" s="44"/>
      <c r="J383" s="44"/>
      <c r="K383" s="44"/>
      <c r="L383" s="44"/>
      <c r="M383" s="44"/>
      <c r="N383" s="44"/>
      <c r="O383" s="45"/>
      <c r="P383" s="40"/>
    </row>
    <row r="384" spans="1:16" s="41" customFormat="1" ht="30" customHeight="1">
      <c r="A384" s="34">
        <v>287</v>
      </c>
      <c r="B384" s="35" t="s">
        <v>374</v>
      </c>
      <c r="C384" s="34"/>
      <c r="D384" s="35"/>
      <c r="E384" s="35" t="s">
        <v>435</v>
      </c>
      <c r="F384" s="35" t="s">
        <v>355</v>
      </c>
      <c r="G384" s="46"/>
      <c r="H384" s="44"/>
      <c r="I384" s="44"/>
      <c r="J384" s="46"/>
      <c r="K384" s="44"/>
      <c r="L384" s="44"/>
      <c r="M384" s="44"/>
      <c r="N384" s="44"/>
      <c r="O384" s="45"/>
      <c r="P384" s="40"/>
    </row>
    <row r="385" spans="1:16" s="41" customFormat="1" ht="30" customHeight="1">
      <c r="A385" s="42">
        <v>288</v>
      </c>
      <c r="B385" s="43" t="s">
        <v>375</v>
      </c>
      <c r="C385" s="42"/>
      <c r="D385" s="43"/>
      <c r="E385" s="43" t="s">
        <v>435</v>
      </c>
      <c r="F385" s="43" t="s">
        <v>355</v>
      </c>
      <c r="G385" s="44"/>
      <c r="H385" s="44"/>
      <c r="I385" s="44"/>
      <c r="J385" s="44"/>
      <c r="K385" s="44"/>
      <c r="L385" s="44"/>
      <c r="M385" s="44"/>
      <c r="N385" s="44"/>
      <c r="O385" s="45"/>
      <c r="P385" s="40"/>
    </row>
    <row r="386" spans="1:16" s="41" customFormat="1" ht="30" customHeight="1">
      <c r="A386" s="34">
        <v>289</v>
      </c>
      <c r="B386" s="35" t="s">
        <v>376</v>
      </c>
      <c r="C386" s="34"/>
      <c r="D386" s="35"/>
      <c r="E386" s="35" t="s">
        <v>435</v>
      </c>
      <c r="F386" s="35" t="s">
        <v>355</v>
      </c>
      <c r="G386" s="46"/>
      <c r="H386" s="44"/>
      <c r="I386" s="44"/>
      <c r="J386" s="46"/>
      <c r="K386" s="44"/>
      <c r="L386" s="44"/>
      <c r="M386" s="44"/>
      <c r="N386" s="44"/>
      <c r="O386" s="45"/>
      <c r="P386" s="40"/>
    </row>
    <row r="387" spans="1:16" s="41" customFormat="1" ht="30" customHeight="1">
      <c r="A387" s="42">
        <v>290</v>
      </c>
      <c r="B387" s="43" t="s">
        <v>377</v>
      </c>
      <c r="C387" s="42"/>
      <c r="D387" s="43"/>
      <c r="E387" s="43" t="s">
        <v>435</v>
      </c>
      <c r="F387" s="43" t="s">
        <v>355</v>
      </c>
      <c r="G387" s="44"/>
      <c r="H387" s="44"/>
      <c r="I387" s="44"/>
      <c r="J387" s="44"/>
      <c r="K387" s="44"/>
      <c r="L387" s="44"/>
      <c r="M387" s="44"/>
      <c r="N387" s="44"/>
      <c r="O387" s="45"/>
      <c r="P387" s="40"/>
    </row>
    <row r="388" spans="1:16" s="41" customFormat="1" ht="30" customHeight="1">
      <c r="A388" s="34">
        <v>291</v>
      </c>
      <c r="B388" s="35" t="s">
        <v>378</v>
      </c>
      <c r="C388" s="34"/>
      <c r="D388" s="35"/>
      <c r="E388" s="35" t="s">
        <v>435</v>
      </c>
      <c r="F388" s="35" t="s">
        <v>355</v>
      </c>
      <c r="G388" s="46"/>
      <c r="H388" s="44"/>
      <c r="I388" s="44"/>
      <c r="J388" s="46"/>
      <c r="K388" s="44"/>
      <c r="L388" s="44"/>
      <c r="M388" s="44"/>
      <c r="N388" s="44"/>
      <c r="O388" s="45"/>
      <c r="P388" s="40"/>
    </row>
    <row r="389" spans="1:16" s="41" customFormat="1" ht="30" customHeight="1">
      <c r="A389" s="42">
        <v>292</v>
      </c>
      <c r="B389" s="43" t="s">
        <v>379</v>
      </c>
      <c r="C389" s="42"/>
      <c r="D389" s="43"/>
      <c r="E389" s="43" t="s">
        <v>435</v>
      </c>
      <c r="F389" s="43" t="s">
        <v>355</v>
      </c>
      <c r="G389" s="44"/>
      <c r="H389" s="44"/>
      <c r="I389" s="44"/>
      <c r="J389" s="44"/>
      <c r="K389" s="44"/>
      <c r="L389" s="44"/>
      <c r="M389" s="44"/>
      <c r="N389" s="44"/>
      <c r="O389" s="45"/>
      <c r="P389" s="40"/>
    </row>
    <row r="390" spans="1:16" s="41" customFormat="1" ht="30" customHeight="1">
      <c r="A390" s="34">
        <v>293</v>
      </c>
      <c r="B390" s="35" t="s">
        <v>380</v>
      </c>
      <c r="C390" s="34"/>
      <c r="D390" s="35"/>
      <c r="E390" s="35" t="s">
        <v>435</v>
      </c>
      <c r="F390" s="35" t="s">
        <v>355</v>
      </c>
      <c r="G390" s="46"/>
      <c r="H390" s="44"/>
      <c r="I390" s="44"/>
      <c r="J390" s="46"/>
      <c r="K390" s="44"/>
      <c r="L390" s="44"/>
      <c r="M390" s="44"/>
      <c r="N390" s="44"/>
      <c r="O390" s="45"/>
      <c r="P390" s="40"/>
    </row>
    <row r="391" spans="1:16" s="41" customFormat="1" ht="30" customHeight="1">
      <c r="A391" s="42">
        <v>294</v>
      </c>
      <c r="B391" s="43" t="s">
        <v>381</v>
      </c>
      <c r="C391" s="42"/>
      <c r="D391" s="43"/>
      <c r="E391" s="43" t="s">
        <v>435</v>
      </c>
      <c r="F391" s="43" t="s">
        <v>355</v>
      </c>
      <c r="G391" s="44"/>
      <c r="H391" s="44"/>
      <c r="I391" s="44"/>
      <c r="J391" s="44"/>
      <c r="K391" s="44"/>
      <c r="L391" s="44"/>
      <c r="M391" s="44"/>
      <c r="N391" s="44"/>
      <c r="O391" s="45"/>
      <c r="P391" s="40"/>
    </row>
    <row r="392" spans="1:16" s="41" customFormat="1" ht="30" customHeight="1">
      <c r="A392" s="34">
        <v>295</v>
      </c>
      <c r="B392" s="35" t="s">
        <v>93</v>
      </c>
      <c r="C392" s="34"/>
      <c r="D392" s="35"/>
      <c r="E392" s="35" t="s">
        <v>435</v>
      </c>
      <c r="F392" s="35" t="s">
        <v>355</v>
      </c>
      <c r="G392" s="46"/>
      <c r="H392" s="44"/>
      <c r="I392" s="44"/>
      <c r="J392" s="46"/>
      <c r="K392" s="44"/>
      <c r="L392" s="44"/>
      <c r="M392" s="44"/>
      <c r="N392" s="44"/>
      <c r="O392" s="45"/>
      <c r="P392" s="40"/>
    </row>
    <row r="393" spans="1:16" s="41" customFormat="1" ht="30" customHeight="1">
      <c r="A393" s="42">
        <v>296</v>
      </c>
      <c r="B393" s="43" t="s">
        <v>382</v>
      </c>
      <c r="C393" s="42"/>
      <c r="D393" s="43"/>
      <c r="E393" s="43" t="s">
        <v>435</v>
      </c>
      <c r="F393" s="43" t="s">
        <v>355</v>
      </c>
      <c r="G393" s="44"/>
      <c r="H393" s="44"/>
      <c r="I393" s="44"/>
      <c r="J393" s="44"/>
      <c r="K393" s="44"/>
      <c r="L393" s="44"/>
      <c r="M393" s="44"/>
      <c r="N393" s="44"/>
      <c r="O393" s="45"/>
      <c r="P393" s="40"/>
    </row>
    <row r="394" spans="1:16" s="41" customFormat="1" ht="30" customHeight="1">
      <c r="A394" s="34">
        <v>297</v>
      </c>
      <c r="B394" s="35" t="s">
        <v>383</v>
      </c>
      <c r="C394" s="34"/>
      <c r="D394" s="35"/>
      <c r="E394" s="35" t="s">
        <v>435</v>
      </c>
      <c r="F394" s="35" t="s">
        <v>13</v>
      </c>
      <c r="G394" s="46"/>
      <c r="H394" s="44"/>
      <c r="I394" s="44"/>
      <c r="J394" s="46"/>
      <c r="K394" s="44"/>
      <c r="L394" s="44"/>
      <c r="M394" s="44"/>
      <c r="N394" s="44"/>
      <c r="O394" s="45"/>
      <c r="P394" s="40"/>
    </row>
    <row r="395" spans="1:16" s="41" customFormat="1" ht="30" customHeight="1">
      <c r="A395" s="42">
        <v>298</v>
      </c>
      <c r="B395" s="43" t="s">
        <v>384</v>
      </c>
      <c r="C395" s="42"/>
      <c r="D395" s="43"/>
      <c r="E395" s="43" t="s">
        <v>435</v>
      </c>
      <c r="F395" s="43" t="s">
        <v>35</v>
      </c>
      <c r="G395" s="44"/>
      <c r="H395" s="44"/>
      <c r="I395" s="44"/>
      <c r="J395" s="44"/>
      <c r="K395" s="44"/>
      <c r="L395" s="44"/>
      <c r="M395" s="44"/>
      <c r="N395" s="44"/>
      <c r="O395" s="45"/>
      <c r="P395" s="40"/>
    </row>
    <row r="396" spans="1:16" s="41" customFormat="1" ht="30" customHeight="1">
      <c r="A396" s="34">
        <v>299</v>
      </c>
      <c r="B396" s="35" t="s">
        <v>385</v>
      </c>
      <c r="C396" s="34"/>
      <c r="D396" s="35"/>
      <c r="E396" s="35" t="s">
        <v>435</v>
      </c>
      <c r="F396" s="35" t="s">
        <v>13</v>
      </c>
      <c r="G396" s="46"/>
      <c r="H396" s="44"/>
      <c r="I396" s="44"/>
      <c r="J396" s="46"/>
      <c r="K396" s="44"/>
      <c r="L396" s="44"/>
      <c r="M396" s="44"/>
      <c r="N396" s="44"/>
      <c r="O396" s="45"/>
      <c r="P396" s="40"/>
    </row>
    <row r="397" spans="1:16" s="41" customFormat="1" ht="30" customHeight="1">
      <c r="A397" s="42">
        <v>300</v>
      </c>
      <c r="B397" s="43" t="s">
        <v>386</v>
      </c>
      <c r="C397" s="42"/>
      <c r="D397" s="43"/>
      <c r="E397" s="43" t="s">
        <v>435</v>
      </c>
      <c r="F397" s="43" t="s">
        <v>13</v>
      </c>
      <c r="G397" s="44"/>
      <c r="H397" s="44"/>
      <c r="I397" s="44"/>
      <c r="J397" s="44"/>
      <c r="K397" s="44"/>
      <c r="L397" s="44"/>
      <c r="M397" s="44"/>
      <c r="N397" s="44"/>
      <c r="O397" s="45"/>
      <c r="P397" s="40"/>
    </row>
    <row r="398" spans="1:16" s="41" customFormat="1" ht="30" customHeight="1">
      <c r="A398" s="34">
        <v>301</v>
      </c>
      <c r="B398" s="35" t="s">
        <v>387</v>
      </c>
      <c r="C398" s="34"/>
      <c r="D398" s="35"/>
      <c r="E398" s="35" t="s">
        <v>435</v>
      </c>
      <c r="F398" s="35" t="s">
        <v>13</v>
      </c>
      <c r="G398" s="46"/>
      <c r="H398" s="44"/>
      <c r="I398" s="44"/>
      <c r="J398" s="46"/>
      <c r="K398" s="44"/>
      <c r="L398" s="44"/>
      <c r="M398" s="44"/>
      <c r="N398" s="44"/>
      <c r="O398" s="45"/>
      <c r="P398" s="40"/>
    </row>
    <row r="399" spans="1:16" s="41" customFormat="1" ht="30" customHeight="1">
      <c r="A399" s="42">
        <v>302</v>
      </c>
      <c r="B399" s="43" t="s">
        <v>388</v>
      </c>
      <c r="C399" s="42"/>
      <c r="D399" s="43"/>
      <c r="E399" s="43" t="s">
        <v>435</v>
      </c>
      <c r="F399" s="43" t="s">
        <v>13</v>
      </c>
      <c r="G399" s="44"/>
      <c r="H399" s="44"/>
      <c r="I399" s="44"/>
      <c r="J399" s="44"/>
      <c r="K399" s="44"/>
      <c r="L399" s="44"/>
      <c r="M399" s="44"/>
      <c r="N399" s="44"/>
      <c r="O399" s="45"/>
      <c r="P399" s="40"/>
    </row>
    <row r="400" spans="1:16" s="41" customFormat="1" ht="30" customHeight="1">
      <c r="A400" s="34">
        <v>303</v>
      </c>
      <c r="B400" s="35" t="s">
        <v>389</v>
      </c>
      <c r="C400" s="34"/>
      <c r="D400" s="35"/>
      <c r="E400" s="35" t="s">
        <v>435</v>
      </c>
      <c r="F400" s="35" t="s">
        <v>13</v>
      </c>
      <c r="G400" s="46"/>
      <c r="H400" s="44"/>
      <c r="I400" s="44"/>
      <c r="J400" s="46"/>
      <c r="K400" s="44"/>
      <c r="L400" s="44"/>
      <c r="M400" s="44"/>
      <c r="N400" s="44"/>
      <c r="O400" s="45"/>
      <c r="P400" s="40"/>
    </row>
    <row r="401" spans="1:16" s="41" customFormat="1" ht="30" customHeight="1">
      <c r="A401" s="42">
        <v>304</v>
      </c>
      <c r="B401" s="43" t="s">
        <v>390</v>
      </c>
      <c r="C401" s="42"/>
      <c r="D401" s="43"/>
      <c r="E401" s="43" t="s">
        <v>435</v>
      </c>
      <c r="F401" s="43" t="s">
        <v>13</v>
      </c>
      <c r="G401" s="44"/>
      <c r="H401" s="44"/>
      <c r="I401" s="44"/>
      <c r="J401" s="44"/>
      <c r="K401" s="44"/>
      <c r="L401" s="44"/>
      <c r="M401" s="44"/>
      <c r="N401" s="44"/>
      <c r="O401" s="45"/>
      <c r="P401" s="40"/>
    </row>
    <row r="402" spans="1:16" s="41" customFormat="1" ht="30" customHeight="1">
      <c r="A402" s="34">
        <v>305</v>
      </c>
      <c r="B402" s="35" t="s">
        <v>391</v>
      </c>
      <c r="C402" s="34"/>
      <c r="D402" s="35"/>
      <c r="E402" s="35" t="s">
        <v>435</v>
      </c>
      <c r="F402" s="35" t="s">
        <v>13</v>
      </c>
      <c r="G402" s="46"/>
      <c r="H402" s="44"/>
      <c r="I402" s="44"/>
      <c r="J402" s="46"/>
      <c r="K402" s="44"/>
      <c r="L402" s="44"/>
      <c r="M402" s="44"/>
      <c r="N402" s="44"/>
      <c r="O402" s="45"/>
      <c r="P402" s="40"/>
    </row>
    <row r="403" spans="1:16" s="41" customFormat="1" ht="30" customHeight="1">
      <c r="A403" s="42">
        <v>306</v>
      </c>
      <c r="B403" s="43" t="s">
        <v>392</v>
      </c>
      <c r="C403" s="42"/>
      <c r="D403" s="43"/>
      <c r="E403" s="43" t="s">
        <v>435</v>
      </c>
      <c r="F403" s="43" t="s">
        <v>13</v>
      </c>
      <c r="G403" s="44"/>
      <c r="H403" s="44"/>
      <c r="I403" s="44"/>
      <c r="J403" s="44"/>
      <c r="K403" s="44"/>
      <c r="L403" s="44"/>
      <c r="M403" s="44"/>
      <c r="N403" s="44"/>
      <c r="O403" s="45"/>
      <c r="P403" s="40"/>
    </row>
    <row r="404" spans="1:16" s="41" customFormat="1" ht="30" customHeight="1">
      <c r="A404" s="34">
        <v>307</v>
      </c>
      <c r="B404" s="35" t="s">
        <v>393</v>
      </c>
      <c r="C404" s="34">
        <v>371</v>
      </c>
      <c r="D404" s="35"/>
      <c r="E404" s="35" t="s">
        <v>435</v>
      </c>
      <c r="F404" s="35" t="s">
        <v>13</v>
      </c>
      <c r="G404" s="46"/>
      <c r="H404" s="44"/>
      <c r="I404" s="44"/>
      <c r="J404" s="46"/>
      <c r="K404" s="44"/>
      <c r="L404" s="44"/>
      <c r="M404" s="44"/>
      <c r="N404" s="44"/>
      <c r="O404" s="45"/>
      <c r="P404" s="40"/>
    </row>
    <row r="405" spans="1:16" s="41" customFormat="1" ht="30" customHeight="1">
      <c r="A405" s="48">
        <v>308</v>
      </c>
      <c r="B405" s="49" t="s">
        <v>394</v>
      </c>
      <c r="C405" s="48" t="s">
        <v>427</v>
      </c>
      <c r="D405" s="49"/>
      <c r="E405" s="49" t="s">
        <v>435</v>
      </c>
      <c r="F405" s="49" t="s">
        <v>13</v>
      </c>
      <c r="G405" s="38"/>
      <c r="H405" s="44"/>
      <c r="I405" s="44"/>
      <c r="J405" s="38"/>
      <c r="K405" s="44"/>
      <c r="L405" s="44"/>
      <c r="M405" s="44"/>
      <c r="N405" s="44"/>
      <c r="O405" s="45"/>
      <c r="P405" s="40"/>
    </row>
    <row r="406" spans="1:16" s="41" customFormat="1" ht="30" customHeight="1">
      <c r="A406" s="34">
        <v>309</v>
      </c>
      <c r="B406" s="35" t="s">
        <v>395</v>
      </c>
      <c r="C406" s="34">
        <v>221</v>
      </c>
      <c r="D406" s="35"/>
      <c r="E406" s="35" t="s">
        <v>435</v>
      </c>
      <c r="F406" s="35" t="s">
        <v>13</v>
      </c>
      <c r="G406" s="46"/>
      <c r="H406" s="44"/>
      <c r="I406" s="44"/>
      <c r="J406" s="46"/>
      <c r="K406" s="44"/>
      <c r="L406" s="44"/>
      <c r="M406" s="44"/>
      <c r="N406" s="44"/>
      <c r="O406" s="45"/>
      <c r="P406" s="40"/>
    </row>
    <row r="407" spans="1:16" s="41" customFormat="1" ht="30" customHeight="1">
      <c r="A407" s="42">
        <v>310</v>
      </c>
      <c r="B407" s="43" t="s">
        <v>396</v>
      </c>
      <c r="C407" s="42"/>
      <c r="D407" s="43"/>
      <c r="E407" s="43" t="s">
        <v>435</v>
      </c>
      <c r="F407" s="43" t="s">
        <v>13</v>
      </c>
      <c r="G407" s="44"/>
      <c r="H407" s="44"/>
      <c r="I407" s="44"/>
      <c r="J407" s="44"/>
      <c r="K407" s="44"/>
      <c r="L407" s="44"/>
      <c r="M407" s="44"/>
      <c r="N407" s="44"/>
      <c r="O407" s="45"/>
      <c r="P407" s="40"/>
    </row>
    <row r="408" spans="1:16" s="41" customFormat="1" ht="30" customHeight="1">
      <c r="A408" s="34">
        <v>311</v>
      </c>
      <c r="B408" s="35" t="s">
        <v>397</v>
      </c>
      <c r="C408" s="34"/>
      <c r="D408" s="35"/>
      <c r="E408" s="35" t="s">
        <v>435</v>
      </c>
      <c r="F408" s="35" t="s">
        <v>13</v>
      </c>
      <c r="G408" s="46"/>
      <c r="H408" s="44"/>
      <c r="I408" s="44"/>
      <c r="J408" s="46"/>
      <c r="K408" s="44"/>
      <c r="L408" s="44"/>
      <c r="M408" s="44"/>
      <c r="N408" s="44"/>
      <c r="O408" s="45"/>
      <c r="P408" s="40"/>
    </row>
    <row r="409" spans="1:16" s="41" customFormat="1" ht="30" customHeight="1">
      <c r="A409" s="42">
        <v>312</v>
      </c>
      <c r="B409" s="43" t="s">
        <v>398</v>
      </c>
      <c r="C409" s="48"/>
      <c r="D409" s="49"/>
      <c r="E409" s="49" t="s">
        <v>435</v>
      </c>
      <c r="F409" s="49" t="s">
        <v>13</v>
      </c>
      <c r="G409" s="38"/>
      <c r="H409" s="44"/>
      <c r="I409" s="44"/>
      <c r="J409" s="38"/>
      <c r="K409" s="44"/>
      <c r="L409" s="44"/>
      <c r="M409" s="44"/>
      <c r="N409" s="44"/>
      <c r="O409" s="45"/>
      <c r="P409" s="40"/>
    </row>
    <row r="410" spans="1:16" s="41" customFormat="1" ht="30" customHeight="1">
      <c r="A410" s="71" t="s">
        <v>399</v>
      </c>
      <c r="B410" s="72"/>
      <c r="C410" s="73">
        <v>1</v>
      </c>
      <c r="D410" s="74"/>
      <c r="E410" s="74"/>
      <c r="F410" s="74"/>
      <c r="G410" s="75"/>
      <c r="H410" s="74"/>
      <c r="I410" s="74"/>
      <c r="J410" s="74"/>
      <c r="K410" s="74"/>
      <c r="L410" s="74"/>
      <c r="M410" s="74"/>
      <c r="N410" s="76"/>
      <c r="O410" s="45"/>
      <c r="P410" s="40"/>
    </row>
    <row r="411" spans="1:16" s="41" customFormat="1" ht="30" customHeight="1">
      <c r="A411" s="77"/>
      <c r="B411" s="72"/>
      <c r="C411" s="73">
        <v>35</v>
      </c>
      <c r="D411" s="74"/>
      <c r="E411" s="74"/>
      <c r="F411" s="74"/>
      <c r="G411" s="75"/>
      <c r="H411" s="74"/>
      <c r="I411" s="74"/>
      <c r="J411" s="74"/>
      <c r="K411" s="74"/>
      <c r="L411" s="74"/>
      <c r="M411" s="74"/>
      <c r="N411" s="76"/>
      <c r="O411" s="45"/>
      <c r="P411" s="40"/>
    </row>
    <row r="412" spans="1:16" s="41" customFormat="1" ht="30" customHeight="1">
      <c r="A412" s="77"/>
      <c r="B412" s="72"/>
      <c r="C412" s="73">
        <v>303</v>
      </c>
      <c r="D412" s="74"/>
      <c r="E412" s="74"/>
      <c r="F412" s="74"/>
      <c r="G412" s="75"/>
      <c r="H412" s="74"/>
      <c r="I412" s="74"/>
      <c r="J412" s="74"/>
      <c r="K412" s="74"/>
      <c r="L412" s="74"/>
      <c r="M412" s="74"/>
      <c r="N412" s="76"/>
      <c r="O412" s="45"/>
      <c r="P412" s="40"/>
    </row>
    <row r="413" spans="1:16" s="41" customFormat="1" ht="30" customHeight="1">
      <c r="A413" s="77"/>
      <c r="B413" s="72"/>
      <c r="C413" s="73">
        <v>314</v>
      </c>
      <c r="D413" s="74"/>
      <c r="E413" s="74"/>
      <c r="F413" s="74"/>
      <c r="G413" s="75"/>
      <c r="H413" s="74"/>
      <c r="I413" s="74"/>
      <c r="J413" s="74"/>
      <c r="K413" s="74"/>
      <c r="L413" s="74"/>
      <c r="M413" s="74"/>
      <c r="N413" s="76"/>
      <c r="O413" s="45"/>
      <c r="P413" s="40"/>
    </row>
    <row r="414" spans="1:16" s="41" customFormat="1" ht="30" customHeight="1">
      <c r="A414" s="77"/>
      <c r="B414" s="72"/>
      <c r="C414" s="73">
        <v>348</v>
      </c>
      <c r="D414" s="74"/>
      <c r="E414" s="74"/>
      <c r="F414" s="74"/>
      <c r="G414" s="75"/>
      <c r="H414" s="74"/>
      <c r="I414" s="74"/>
      <c r="J414" s="74"/>
      <c r="K414" s="74"/>
      <c r="L414" s="74"/>
      <c r="M414" s="74"/>
      <c r="N414" s="76"/>
      <c r="O414" s="45"/>
      <c r="P414" s="40"/>
    </row>
    <row r="415" spans="1:16" s="41" customFormat="1" ht="30" customHeight="1">
      <c r="A415" s="77"/>
      <c r="B415" s="72"/>
      <c r="C415" s="73">
        <v>349</v>
      </c>
      <c r="D415" s="74"/>
      <c r="E415" s="74"/>
      <c r="F415" s="74"/>
      <c r="G415" s="75"/>
      <c r="H415" s="74"/>
      <c r="I415" s="74"/>
      <c r="J415" s="74"/>
      <c r="K415" s="74"/>
      <c r="L415" s="74"/>
      <c r="M415" s="74"/>
      <c r="N415" s="76"/>
      <c r="O415" s="45"/>
      <c r="P415" s="40"/>
    </row>
    <row r="416" spans="1:16" s="41" customFormat="1" ht="30" customHeight="1">
      <c r="A416" s="77"/>
      <c r="B416" s="72"/>
      <c r="C416" s="73">
        <v>351</v>
      </c>
      <c r="D416" s="74"/>
      <c r="E416" s="74"/>
      <c r="F416" s="74"/>
      <c r="G416" s="75"/>
      <c r="H416" s="74"/>
      <c r="I416" s="74"/>
      <c r="J416" s="74"/>
      <c r="K416" s="74"/>
      <c r="L416" s="74"/>
      <c r="M416" s="74"/>
      <c r="N416" s="76"/>
      <c r="O416" s="45"/>
      <c r="P416" s="40"/>
    </row>
    <row r="417" spans="1:16" s="41" customFormat="1" ht="30" customHeight="1">
      <c r="A417" s="77"/>
      <c r="B417" s="72"/>
      <c r="C417" s="73">
        <v>352</v>
      </c>
      <c r="D417" s="74"/>
      <c r="E417" s="74"/>
      <c r="F417" s="74"/>
      <c r="G417" s="75"/>
      <c r="H417" s="74"/>
      <c r="I417" s="74"/>
      <c r="J417" s="74"/>
      <c r="K417" s="74"/>
      <c r="L417" s="74"/>
      <c r="M417" s="74"/>
      <c r="N417" s="76"/>
      <c r="O417" s="45"/>
      <c r="P417" s="40"/>
    </row>
    <row r="418" spans="1:16" ht="30" customHeight="1">
      <c r="A418" s="14"/>
      <c r="B418" s="17"/>
      <c r="C418" s="19">
        <v>353</v>
      </c>
      <c r="D418" s="20"/>
      <c r="E418" s="20"/>
      <c r="F418" s="20"/>
      <c r="G418" s="21"/>
      <c r="H418" s="20"/>
      <c r="I418" s="20"/>
      <c r="J418" s="20"/>
      <c r="K418" s="20"/>
      <c r="L418" s="20"/>
      <c r="M418" s="20"/>
      <c r="N418" s="22"/>
      <c r="O418" s="24"/>
      <c r="P418" s="8"/>
    </row>
    <row r="419" spans="1:16" ht="30" customHeight="1">
      <c r="A419" s="14"/>
      <c r="B419" s="17"/>
      <c r="C419" s="19">
        <v>354</v>
      </c>
      <c r="D419" s="20"/>
      <c r="E419" s="20"/>
      <c r="F419" s="20"/>
      <c r="G419" s="21"/>
      <c r="H419" s="20"/>
      <c r="I419" s="20"/>
      <c r="J419" s="20"/>
      <c r="K419" s="20"/>
      <c r="L419" s="20"/>
      <c r="M419" s="20"/>
      <c r="N419" s="22"/>
      <c r="O419" s="24"/>
      <c r="P419" s="8"/>
    </row>
    <row r="420" spans="1:16" ht="30" customHeight="1">
      <c r="A420" s="14"/>
      <c r="B420" s="17"/>
      <c r="C420" s="19">
        <v>355</v>
      </c>
      <c r="D420" s="20"/>
      <c r="E420" s="20"/>
      <c r="F420" s="20"/>
      <c r="G420" s="21"/>
      <c r="H420" s="20"/>
      <c r="I420" s="20"/>
      <c r="J420" s="20"/>
      <c r="K420" s="20"/>
      <c r="L420" s="20"/>
      <c r="M420" s="20"/>
      <c r="N420" s="22"/>
      <c r="O420" s="24"/>
      <c r="P420" s="8"/>
    </row>
    <row r="421" spans="1:16" ht="30" customHeight="1">
      <c r="A421" s="14"/>
      <c r="B421" s="17"/>
      <c r="C421" s="19">
        <v>356</v>
      </c>
      <c r="D421" s="20"/>
      <c r="E421" s="20"/>
      <c r="F421" s="20"/>
      <c r="G421" s="21"/>
      <c r="H421" s="20"/>
      <c r="I421" s="20"/>
      <c r="J421" s="20"/>
      <c r="K421" s="20"/>
      <c r="L421" s="20"/>
      <c r="M421" s="20"/>
      <c r="N421" s="22"/>
      <c r="O421" s="24"/>
      <c r="P421" s="8"/>
    </row>
    <row r="422" spans="1:16" ht="30" customHeight="1">
      <c r="A422" s="14"/>
      <c r="B422" s="17"/>
      <c r="C422" s="19">
        <v>357</v>
      </c>
      <c r="D422" s="20"/>
      <c r="E422" s="20"/>
      <c r="F422" s="20"/>
      <c r="G422" s="21"/>
      <c r="H422" s="20"/>
      <c r="I422" s="20"/>
      <c r="J422" s="20"/>
      <c r="K422" s="20"/>
      <c r="L422" s="20"/>
      <c r="M422" s="20"/>
      <c r="N422" s="22"/>
      <c r="O422" s="24"/>
      <c r="P422" s="8"/>
    </row>
    <row r="423" spans="1:16" ht="30" customHeight="1">
      <c r="A423" s="14"/>
      <c r="B423" s="17"/>
      <c r="C423" s="19">
        <v>358</v>
      </c>
      <c r="D423" s="20"/>
      <c r="E423" s="20"/>
      <c r="F423" s="20"/>
      <c r="G423" s="21"/>
      <c r="H423" s="20"/>
      <c r="I423" s="20"/>
      <c r="J423" s="20"/>
      <c r="K423" s="20"/>
      <c r="L423" s="20"/>
      <c r="M423" s="20"/>
      <c r="N423" s="22"/>
      <c r="O423" s="24"/>
      <c r="P423" s="8"/>
    </row>
    <row r="424" spans="1:16" ht="30" customHeight="1">
      <c r="A424" s="14"/>
      <c r="B424" s="17"/>
      <c r="C424" s="19">
        <v>364</v>
      </c>
      <c r="D424" s="20"/>
      <c r="E424" s="20"/>
      <c r="F424" s="20"/>
      <c r="G424" s="21"/>
      <c r="H424" s="20"/>
      <c r="I424" s="20"/>
      <c r="J424" s="20"/>
      <c r="K424" s="20"/>
      <c r="L424" s="20"/>
      <c r="M424" s="20"/>
      <c r="N424" s="22"/>
      <c r="O424" s="24"/>
      <c r="P424" s="8"/>
    </row>
    <row r="425" spans="1:16" ht="30" customHeight="1">
      <c r="A425" s="14"/>
      <c r="B425" s="17"/>
      <c r="C425" s="19">
        <v>375</v>
      </c>
      <c r="D425" s="20"/>
      <c r="E425" s="20"/>
      <c r="F425" s="20"/>
      <c r="G425" s="21"/>
      <c r="H425" s="20"/>
      <c r="I425" s="20"/>
      <c r="J425" s="20"/>
      <c r="K425" s="20"/>
      <c r="L425" s="20"/>
      <c r="M425" s="20"/>
      <c r="N425" s="22"/>
      <c r="O425" s="24"/>
      <c r="P425" s="8"/>
    </row>
    <row r="426" spans="1:16" ht="30" customHeight="1">
      <c r="A426" s="15"/>
      <c r="B426" s="18"/>
      <c r="C426" s="19">
        <v>381</v>
      </c>
      <c r="D426" s="20"/>
      <c r="E426" s="20"/>
      <c r="F426" s="20"/>
      <c r="G426" s="21"/>
      <c r="H426" s="20"/>
      <c r="I426" s="20"/>
      <c r="J426" s="20"/>
      <c r="K426" s="20"/>
      <c r="L426" s="20"/>
      <c r="M426" s="20"/>
      <c r="N426" s="22"/>
      <c r="O426" s="27"/>
      <c r="P426" s="8"/>
    </row>
    <row r="427" spans="1:16" ht="30" customHeight="1">
      <c r="A427" s="16"/>
      <c r="B427" s="16"/>
    </row>
  </sheetData>
  <mergeCells count="4">
    <mergeCell ref="G90:G91"/>
    <mergeCell ref="H90:H91"/>
    <mergeCell ref="J90:J91"/>
    <mergeCell ref="L90:L91"/>
  </mergeCells>
  <dataValidations count="2">
    <dataValidation type="list" allowBlank="1" showInputMessage="1" showErrorMessage="1" sqref="J45:J46 J92:J179 J84:J90 J181:J279 J48:J81 J3:J43 J282:J319 J325:J339 J341:J426">
      <formula1>"Ready, Improvements Needed, Significant Improvements Needed, Priority"</formula1>
    </dataValidation>
    <dataValidation type="list" allowBlank="1" showInputMessage="1" showErrorMessage="1" sqref="I3:I409">
      <formula1>"No Gap,Minor Gap,Significant Gap,Priority"</formula1>
    </dataValidation>
  </dataValidations>
  <pageMargins left="0.70866141732283472" right="0.70866141732283472" top="0.74803149606299213" bottom="0.74803149606299213" header="0.31496062992125984" footer="0.31496062992125984"/>
  <pageSetup paperSize="8" scale="46" fitToHeight="0" orientation="landscape" r:id="rId1"/>
</worksheet>
</file>

<file path=xl/worksheets/sheet4.xml><?xml version="1.0" encoding="utf-8"?>
<worksheet xmlns="http://schemas.openxmlformats.org/spreadsheetml/2006/main" xmlns:r="http://schemas.openxmlformats.org/officeDocument/2006/relationships">
  <sheetPr codeName="Sheet4">
    <pageSetUpPr fitToPage="1"/>
  </sheetPr>
  <dimension ref="A1:P427"/>
  <sheetViews>
    <sheetView zoomScale="80" zoomScaleNormal="80" workbookViewId="0">
      <pane xSplit="5" ySplit="2" topLeftCell="F3" activePane="bottomRight" state="frozen"/>
      <selection pane="topRight" activeCell="F1" sqref="F1"/>
      <selection pane="bottomLeft" activeCell="A3" sqref="A3"/>
      <selection pane="bottomRight" activeCell="G204" sqref="G204"/>
    </sheetView>
  </sheetViews>
  <sheetFormatPr defaultRowHeight="15"/>
  <cols>
    <col min="1" max="1" width="11.7109375" customWidth="1"/>
    <col min="2" max="2" width="31.85546875" customWidth="1"/>
    <col min="3" max="3" width="17.85546875" customWidth="1"/>
    <col min="4" max="4" width="25.5703125" customWidth="1"/>
    <col min="5" max="5" width="20.42578125" customWidth="1"/>
    <col min="6" max="6" width="27.7109375" customWidth="1"/>
    <col min="7" max="7" width="53.5703125" customWidth="1"/>
    <col min="8" max="8" width="37.7109375" customWidth="1"/>
    <col min="9" max="9" width="17.85546875" customWidth="1"/>
    <col min="10" max="10" width="21.28515625" customWidth="1"/>
    <col min="11" max="11" width="48.42578125" customWidth="1"/>
    <col min="12" max="12" width="37.7109375" customWidth="1"/>
    <col min="13" max="13" width="31.42578125" customWidth="1"/>
    <col min="14" max="14" width="30.42578125" customWidth="1"/>
    <col min="15" max="15" width="12.5703125" style="28" hidden="1" customWidth="1"/>
    <col min="20" max="20" width="8.7109375" customWidth="1"/>
  </cols>
  <sheetData>
    <row r="1" spans="1:16" ht="15.75" thickBot="1">
      <c r="A1" s="1" t="s">
        <v>0</v>
      </c>
      <c r="B1" s="2"/>
      <c r="C1" s="3"/>
      <c r="D1" s="4"/>
      <c r="E1" s="2"/>
      <c r="F1" s="5" t="s">
        <v>1</v>
      </c>
      <c r="G1" s="5"/>
      <c r="H1" s="6"/>
      <c r="I1" s="6"/>
      <c r="J1" s="6"/>
      <c r="K1" s="6"/>
      <c r="L1" s="7" t="s">
        <v>2</v>
      </c>
      <c r="M1" s="7"/>
      <c r="N1" s="7"/>
      <c r="O1" s="25"/>
      <c r="P1" s="8"/>
    </row>
    <row r="2" spans="1:16" ht="56.25" customHeight="1">
      <c r="A2" s="9" t="s">
        <v>3</v>
      </c>
      <c r="B2" s="9" t="s">
        <v>4</v>
      </c>
      <c r="C2" s="10" t="s">
        <v>5</v>
      </c>
      <c r="D2" s="11" t="s">
        <v>6</v>
      </c>
      <c r="E2" s="11" t="s">
        <v>434</v>
      </c>
      <c r="F2" s="12" t="s">
        <v>579</v>
      </c>
      <c r="G2" s="12" t="s">
        <v>7</v>
      </c>
      <c r="H2" s="12" t="s">
        <v>8</v>
      </c>
      <c r="I2" s="12" t="s">
        <v>451</v>
      </c>
      <c r="J2" s="12" t="s">
        <v>450</v>
      </c>
      <c r="K2" s="12" t="s">
        <v>510</v>
      </c>
      <c r="L2" s="13" t="s">
        <v>9</v>
      </c>
      <c r="M2" s="13" t="s">
        <v>10</v>
      </c>
      <c r="N2" s="23" t="s">
        <v>11</v>
      </c>
      <c r="O2" s="26" t="s">
        <v>433</v>
      </c>
      <c r="P2" s="8"/>
    </row>
    <row r="3" spans="1:16" s="41" customFormat="1" ht="30" customHeight="1">
      <c r="A3" s="37">
        <v>1</v>
      </c>
      <c r="B3" s="81" t="s">
        <v>12</v>
      </c>
      <c r="C3" s="37"/>
      <c r="D3" s="81"/>
      <c r="E3" s="81" t="s">
        <v>435</v>
      </c>
      <c r="F3" s="81" t="s">
        <v>13</v>
      </c>
      <c r="G3" s="38"/>
      <c r="H3" s="38"/>
      <c r="I3" s="38"/>
      <c r="J3" s="38"/>
      <c r="K3" s="38"/>
      <c r="L3" s="38"/>
      <c r="M3" s="38"/>
      <c r="N3" s="38"/>
      <c r="O3" s="39"/>
      <c r="P3" s="40"/>
    </row>
    <row r="4" spans="1:16" s="41" customFormat="1" ht="30" customHeight="1">
      <c r="A4" s="42">
        <v>2</v>
      </c>
      <c r="B4" s="43" t="s">
        <v>14</v>
      </c>
      <c r="C4" s="42"/>
      <c r="D4" s="43"/>
      <c r="E4" s="43" t="s">
        <v>435</v>
      </c>
      <c r="F4" s="43" t="s">
        <v>13</v>
      </c>
      <c r="G4" s="44"/>
      <c r="H4" s="44"/>
      <c r="I4" s="44"/>
      <c r="J4" s="44"/>
      <c r="K4" s="44"/>
      <c r="L4" s="44"/>
      <c r="M4" s="44"/>
      <c r="N4" s="44"/>
      <c r="O4" s="45"/>
      <c r="P4" s="40"/>
    </row>
    <row r="5" spans="1:16" s="41" customFormat="1" ht="30" customHeight="1">
      <c r="A5" s="34">
        <v>3</v>
      </c>
      <c r="B5" s="35" t="s">
        <v>15</v>
      </c>
      <c r="C5" s="34"/>
      <c r="D5" s="35"/>
      <c r="E5" s="35" t="s">
        <v>435</v>
      </c>
      <c r="F5" s="35" t="s">
        <v>13</v>
      </c>
      <c r="G5" s="46"/>
      <c r="H5" s="46"/>
      <c r="I5" s="46"/>
      <c r="J5" s="46"/>
      <c r="K5" s="46"/>
      <c r="L5" s="46"/>
      <c r="M5" s="46"/>
      <c r="N5" s="46"/>
      <c r="O5" s="45"/>
      <c r="P5" s="40"/>
    </row>
    <row r="6" spans="1:16" s="41" customFormat="1" ht="30" customHeight="1">
      <c r="A6" s="42">
        <v>4</v>
      </c>
      <c r="B6" s="43" t="s">
        <v>16</v>
      </c>
      <c r="C6" s="42"/>
      <c r="D6" s="43"/>
      <c r="E6" s="43" t="s">
        <v>435</v>
      </c>
      <c r="F6" s="43" t="s">
        <v>13</v>
      </c>
      <c r="G6" s="44"/>
      <c r="H6" s="44"/>
      <c r="I6" s="44"/>
      <c r="J6" s="44"/>
      <c r="K6" s="44"/>
      <c r="L6" s="44"/>
      <c r="M6" s="44"/>
      <c r="N6" s="44"/>
      <c r="O6" s="45"/>
      <c r="P6" s="40"/>
    </row>
    <row r="7" spans="1:16" s="41" customFormat="1" ht="30" customHeight="1">
      <c r="A7" s="34">
        <v>5</v>
      </c>
      <c r="B7" s="35" t="s">
        <v>17</v>
      </c>
      <c r="C7" s="34"/>
      <c r="D7" s="35"/>
      <c r="E7" s="35" t="s">
        <v>435</v>
      </c>
      <c r="F7" s="35" t="s">
        <v>13</v>
      </c>
      <c r="G7" s="46"/>
      <c r="H7" s="46"/>
      <c r="I7" s="46"/>
      <c r="J7" s="46"/>
      <c r="K7" s="46"/>
      <c r="L7" s="46"/>
      <c r="M7" s="46"/>
      <c r="N7" s="46"/>
      <c r="O7" s="45"/>
      <c r="P7" s="40"/>
    </row>
    <row r="8" spans="1:16" s="41" customFormat="1" ht="30" customHeight="1">
      <c r="A8" s="42">
        <v>6</v>
      </c>
      <c r="B8" s="43" t="s">
        <v>18</v>
      </c>
      <c r="C8" s="42"/>
      <c r="D8" s="43"/>
      <c r="E8" s="43" t="s">
        <v>435</v>
      </c>
      <c r="F8" s="43" t="s">
        <v>13</v>
      </c>
      <c r="G8" s="44"/>
      <c r="H8" s="44"/>
      <c r="I8" s="44"/>
      <c r="J8" s="44"/>
      <c r="K8" s="44"/>
      <c r="L8" s="44"/>
      <c r="M8" s="44"/>
      <c r="N8" s="44"/>
      <c r="O8" s="45"/>
      <c r="P8" s="40"/>
    </row>
    <row r="9" spans="1:16" s="41" customFormat="1" ht="30" customHeight="1">
      <c r="A9" s="34">
        <v>7</v>
      </c>
      <c r="B9" s="35" t="s">
        <v>19</v>
      </c>
      <c r="C9" s="34"/>
      <c r="D9" s="35"/>
      <c r="E9" s="35" t="s">
        <v>435</v>
      </c>
      <c r="F9" s="35" t="s">
        <v>13</v>
      </c>
      <c r="G9" s="46"/>
      <c r="H9" s="46"/>
      <c r="I9" s="46"/>
      <c r="J9" s="46"/>
      <c r="K9" s="46"/>
      <c r="L9" s="46"/>
      <c r="M9" s="46"/>
      <c r="N9" s="46"/>
      <c r="O9" s="45"/>
      <c r="P9" s="40"/>
    </row>
    <row r="10" spans="1:16" s="41" customFormat="1" ht="30" customHeight="1">
      <c r="A10" s="42">
        <v>8</v>
      </c>
      <c r="B10" s="43" t="s">
        <v>20</v>
      </c>
      <c r="C10" s="42"/>
      <c r="D10" s="43"/>
      <c r="E10" s="43" t="s">
        <v>435</v>
      </c>
      <c r="F10" s="43" t="s">
        <v>13</v>
      </c>
      <c r="G10" s="44"/>
      <c r="H10" s="44"/>
      <c r="I10" s="44"/>
      <c r="J10" s="44"/>
      <c r="K10" s="44"/>
      <c r="L10" s="44"/>
      <c r="M10" s="44"/>
      <c r="N10" s="44"/>
      <c r="O10" s="45"/>
      <c r="P10" s="40"/>
    </row>
    <row r="11" spans="1:16" s="41" customFormat="1" ht="30" customHeight="1">
      <c r="A11" s="34">
        <v>9</v>
      </c>
      <c r="B11" s="35" t="s">
        <v>21</v>
      </c>
      <c r="C11" s="34"/>
      <c r="D11" s="35"/>
      <c r="E11" s="35" t="s">
        <v>435</v>
      </c>
      <c r="F11" s="35" t="s">
        <v>13</v>
      </c>
      <c r="G11" s="46"/>
      <c r="H11" s="46"/>
      <c r="I11" s="46"/>
      <c r="J11" s="46"/>
      <c r="K11" s="46"/>
      <c r="L11" s="46"/>
      <c r="M11" s="46"/>
      <c r="N11" s="46"/>
      <c r="O11" s="45"/>
      <c r="P11" s="40"/>
    </row>
    <row r="12" spans="1:16" s="41" customFormat="1" ht="30" customHeight="1">
      <c r="A12" s="42">
        <v>10</v>
      </c>
      <c r="B12" s="43" t="s">
        <v>22</v>
      </c>
      <c r="C12" s="42"/>
      <c r="D12" s="43"/>
      <c r="E12" s="43" t="s">
        <v>435</v>
      </c>
      <c r="F12" s="43" t="s">
        <v>13</v>
      </c>
      <c r="G12" s="44"/>
      <c r="H12" s="44"/>
      <c r="I12" s="44"/>
      <c r="J12" s="44"/>
      <c r="K12" s="44"/>
      <c r="L12" s="44"/>
      <c r="M12" s="44"/>
      <c r="N12" s="44"/>
      <c r="O12" s="45"/>
      <c r="P12" s="40"/>
    </row>
    <row r="13" spans="1:16" s="41" customFormat="1" ht="30" customHeight="1">
      <c r="A13" s="34">
        <v>11</v>
      </c>
      <c r="B13" s="35" t="s">
        <v>23</v>
      </c>
      <c r="C13" s="34"/>
      <c r="D13" s="35"/>
      <c r="E13" s="35" t="s">
        <v>435</v>
      </c>
      <c r="F13" s="35" t="s">
        <v>13</v>
      </c>
      <c r="G13" s="46"/>
      <c r="H13" s="46"/>
      <c r="I13" s="46"/>
      <c r="J13" s="46"/>
      <c r="K13" s="46"/>
      <c r="L13" s="46"/>
      <c r="M13" s="46"/>
      <c r="N13" s="46"/>
      <c r="O13" s="45"/>
      <c r="P13" s="40"/>
    </row>
    <row r="14" spans="1:16" s="41" customFormat="1" ht="30" customHeight="1">
      <c r="A14" s="42">
        <v>12</v>
      </c>
      <c r="B14" s="43" t="s">
        <v>24</v>
      </c>
      <c r="C14" s="42"/>
      <c r="D14" s="43"/>
      <c r="E14" s="43" t="s">
        <v>435</v>
      </c>
      <c r="F14" s="43" t="s">
        <v>13</v>
      </c>
      <c r="G14" s="44"/>
      <c r="H14" s="44"/>
      <c r="I14" s="44"/>
      <c r="J14" s="44"/>
      <c r="K14" s="44"/>
      <c r="L14" s="44"/>
      <c r="M14" s="44"/>
      <c r="N14" s="44"/>
      <c r="O14" s="45"/>
      <c r="P14" s="40"/>
    </row>
    <row r="15" spans="1:16" s="41" customFormat="1" ht="30" customHeight="1">
      <c r="A15" s="34">
        <v>13</v>
      </c>
      <c r="B15" s="35" t="s">
        <v>25</v>
      </c>
      <c r="C15" s="34"/>
      <c r="D15" s="35"/>
      <c r="E15" s="35" t="s">
        <v>435</v>
      </c>
      <c r="F15" s="35" t="s">
        <v>13</v>
      </c>
      <c r="G15" s="46"/>
      <c r="H15" s="46"/>
      <c r="I15" s="46"/>
      <c r="J15" s="46"/>
      <c r="K15" s="46"/>
      <c r="L15" s="46"/>
      <c r="M15" s="46"/>
      <c r="N15" s="46"/>
      <c r="O15" s="45"/>
      <c r="P15" s="40"/>
    </row>
    <row r="16" spans="1:16" s="41" customFormat="1" ht="30" customHeight="1">
      <c r="A16" s="42">
        <v>14</v>
      </c>
      <c r="B16" s="43" t="s">
        <v>26</v>
      </c>
      <c r="C16" s="42"/>
      <c r="D16" s="43"/>
      <c r="E16" s="43" t="s">
        <v>435</v>
      </c>
      <c r="F16" s="43" t="s">
        <v>27</v>
      </c>
      <c r="G16" s="44"/>
      <c r="H16" s="44"/>
      <c r="I16" s="44"/>
      <c r="J16" s="44"/>
      <c r="K16" s="44"/>
      <c r="L16" s="44"/>
      <c r="M16" s="44"/>
      <c r="N16" s="44"/>
      <c r="O16" s="45"/>
      <c r="P16" s="40"/>
    </row>
    <row r="17" spans="1:16" s="41" customFormat="1" ht="30" customHeight="1">
      <c r="A17" s="34">
        <v>15</v>
      </c>
      <c r="B17" s="35" t="s">
        <v>28</v>
      </c>
      <c r="C17" s="34"/>
      <c r="D17" s="35"/>
      <c r="E17" s="35" t="s">
        <v>435</v>
      </c>
      <c r="F17" s="35" t="s">
        <v>27</v>
      </c>
      <c r="G17" s="46"/>
      <c r="H17" s="46"/>
      <c r="I17" s="46"/>
      <c r="J17" s="46"/>
      <c r="K17" s="46"/>
      <c r="L17" s="46"/>
      <c r="M17" s="46"/>
      <c r="N17" s="46"/>
      <c r="O17" s="45"/>
      <c r="P17" s="40"/>
    </row>
    <row r="18" spans="1:16" s="41" customFormat="1" ht="30" customHeight="1">
      <c r="A18" s="42">
        <v>16</v>
      </c>
      <c r="B18" s="43" t="s">
        <v>29</v>
      </c>
      <c r="C18" s="42"/>
      <c r="D18" s="43"/>
      <c r="E18" s="43" t="s">
        <v>435</v>
      </c>
      <c r="F18" s="43" t="s">
        <v>27</v>
      </c>
      <c r="G18" s="44"/>
      <c r="H18" s="44"/>
      <c r="I18" s="44"/>
      <c r="J18" s="44"/>
      <c r="K18" s="44"/>
      <c r="L18" s="44"/>
      <c r="M18" s="44"/>
      <c r="N18" s="44"/>
      <c r="O18" s="45"/>
      <c r="P18" s="40"/>
    </row>
    <row r="19" spans="1:16" s="41" customFormat="1" ht="30" customHeight="1">
      <c r="A19" s="34">
        <v>17</v>
      </c>
      <c r="B19" s="35" t="s">
        <v>30</v>
      </c>
      <c r="C19" s="34"/>
      <c r="D19" s="35"/>
      <c r="E19" s="35" t="s">
        <v>435</v>
      </c>
      <c r="F19" s="35" t="s">
        <v>27</v>
      </c>
      <c r="G19" s="46"/>
      <c r="H19" s="46"/>
      <c r="I19" s="46"/>
      <c r="J19" s="46"/>
      <c r="K19" s="46"/>
      <c r="L19" s="46"/>
      <c r="M19" s="46"/>
      <c r="N19" s="46"/>
      <c r="O19" s="45"/>
      <c r="P19" s="40"/>
    </row>
    <row r="20" spans="1:16" s="41" customFormat="1" ht="30" customHeight="1">
      <c r="A20" s="42">
        <v>18</v>
      </c>
      <c r="B20" s="43" t="s">
        <v>31</v>
      </c>
      <c r="C20" s="42"/>
      <c r="D20" s="43"/>
      <c r="E20" s="43" t="s">
        <v>435</v>
      </c>
      <c r="F20" s="43" t="s">
        <v>27</v>
      </c>
      <c r="G20" s="44"/>
      <c r="H20" s="44"/>
      <c r="I20" s="44"/>
      <c r="J20" s="44"/>
      <c r="K20" s="44"/>
      <c r="L20" s="44"/>
      <c r="M20" s="44"/>
      <c r="N20" s="44"/>
      <c r="O20" s="45"/>
      <c r="P20" s="40"/>
    </row>
    <row r="21" spans="1:16" s="41" customFormat="1" ht="30" customHeight="1">
      <c r="A21" s="34">
        <v>19</v>
      </c>
      <c r="B21" s="35" t="s">
        <v>32</v>
      </c>
      <c r="C21" s="34"/>
      <c r="D21" s="35"/>
      <c r="E21" s="35" t="s">
        <v>435</v>
      </c>
      <c r="F21" s="35" t="s">
        <v>27</v>
      </c>
      <c r="G21" s="46"/>
      <c r="H21" s="46"/>
      <c r="I21" s="46"/>
      <c r="J21" s="46"/>
      <c r="K21" s="46"/>
      <c r="L21" s="46"/>
      <c r="M21" s="46"/>
      <c r="N21" s="46"/>
      <c r="O21" s="45"/>
      <c r="P21" s="40"/>
    </row>
    <row r="22" spans="1:16" s="41" customFormat="1" ht="30" customHeight="1">
      <c r="A22" s="42">
        <v>20</v>
      </c>
      <c r="B22" s="43" t="s">
        <v>33</v>
      </c>
      <c r="C22" s="42"/>
      <c r="D22" s="43"/>
      <c r="E22" s="43" t="s">
        <v>435</v>
      </c>
      <c r="F22" s="43" t="s">
        <v>13</v>
      </c>
      <c r="G22" s="44"/>
      <c r="H22" s="44"/>
      <c r="I22" s="44"/>
      <c r="J22" s="44"/>
      <c r="K22" s="44"/>
      <c r="L22" s="44"/>
      <c r="M22" s="44"/>
      <c r="N22" s="44"/>
      <c r="O22" s="45"/>
      <c r="P22" s="40"/>
    </row>
    <row r="23" spans="1:16" s="41" customFormat="1" ht="30" customHeight="1">
      <c r="A23" s="34">
        <v>21</v>
      </c>
      <c r="B23" s="35" t="s">
        <v>34</v>
      </c>
      <c r="C23" s="34"/>
      <c r="D23" s="35"/>
      <c r="E23" s="35" t="s">
        <v>435</v>
      </c>
      <c r="F23" s="35" t="s">
        <v>35</v>
      </c>
      <c r="G23" s="46"/>
      <c r="H23" s="46"/>
      <c r="I23" s="46"/>
      <c r="J23" s="46"/>
      <c r="K23" s="46"/>
      <c r="L23" s="46"/>
      <c r="M23" s="46"/>
      <c r="N23" s="46"/>
      <c r="O23" s="45"/>
      <c r="P23" s="40"/>
    </row>
    <row r="24" spans="1:16" s="41" customFormat="1" ht="30" customHeight="1">
      <c r="A24" s="42">
        <v>22</v>
      </c>
      <c r="B24" s="43" t="s">
        <v>36</v>
      </c>
      <c r="C24" s="42"/>
      <c r="D24" s="43"/>
      <c r="E24" s="43" t="s">
        <v>435</v>
      </c>
      <c r="F24" s="43" t="s">
        <v>35</v>
      </c>
      <c r="G24" s="44"/>
      <c r="H24" s="44"/>
      <c r="I24" s="44"/>
      <c r="J24" s="44"/>
      <c r="K24" s="44"/>
      <c r="L24" s="44"/>
      <c r="M24" s="44"/>
      <c r="N24" s="44"/>
      <c r="O24" s="45"/>
      <c r="P24" s="40"/>
    </row>
    <row r="25" spans="1:16" s="41" customFormat="1" ht="30" customHeight="1">
      <c r="A25" s="34">
        <v>23</v>
      </c>
      <c r="B25" s="35" t="s">
        <v>37</v>
      </c>
      <c r="C25" s="34"/>
      <c r="D25" s="35"/>
      <c r="E25" s="35" t="s">
        <v>435</v>
      </c>
      <c r="F25" s="35" t="s">
        <v>27</v>
      </c>
      <c r="G25" s="46"/>
      <c r="H25" s="46"/>
      <c r="I25" s="46"/>
      <c r="J25" s="46"/>
      <c r="K25" s="46"/>
      <c r="L25" s="46"/>
      <c r="M25" s="46"/>
      <c r="N25" s="46"/>
      <c r="O25" s="45"/>
      <c r="P25" s="40"/>
    </row>
    <row r="26" spans="1:16" s="41" customFormat="1" ht="30" customHeight="1">
      <c r="A26" s="42">
        <v>24</v>
      </c>
      <c r="B26" s="43" t="s">
        <v>38</v>
      </c>
      <c r="C26" s="42"/>
      <c r="D26" s="43"/>
      <c r="E26" s="43" t="s">
        <v>435</v>
      </c>
      <c r="F26" s="43" t="s">
        <v>27</v>
      </c>
      <c r="G26" s="44"/>
      <c r="H26" s="44"/>
      <c r="I26" s="44"/>
      <c r="J26" s="44"/>
      <c r="K26" s="44"/>
      <c r="L26" s="44"/>
      <c r="M26" s="44"/>
      <c r="N26" s="44"/>
      <c r="O26" s="45"/>
      <c r="P26" s="40"/>
    </row>
    <row r="27" spans="1:16" s="41" customFormat="1" ht="30" customHeight="1">
      <c r="A27" s="34">
        <v>25</v>
      </c>
      <c r="B27" s="35" t="s">
        <v>39</v>
      </c>
      <c r="C27" s="34"/>
      <c r="D27" s="35"/>
      <c r="E27" s="35" t="s">
        <v>435</v>
      </c>
      <c r="F27" s="35" t="s">
        <v>27</v>
      </c>
      <c r="G27" s="46"/>
      <c r="H27" s="46"/>
      <c r="I27" s="46"/>
      <c r="J27" s="46"/>
      <c r="K27" s="46"/>
      <c r="L27" s="46"/>
      <c r="M27" s="46"/>
      <c r="N27" s="46"/>
      <c r="O27" s="45"/>
      <c r="P27" s="40"/>
    </row>
    <row r="28" spans="1:16" s="41" customFormat="1" ht="30" customHeight="1">
      <c r="A28" s="42">
        <v>26</v>
      </c>
      <c r="B28" s="43" t="s">
        <v>40</v>
      </c>
      <c r="C28" s="42"/>
      <c r="D28" s="43"/>
      <c r="E28" s="43" t="s">
        <v>435</v>
      </c>
      <c r="F28" s="43" t="s">
        <v>27</v>
      </c>
      <c r="G28" s="44"/>
      <c r="H28" s="44"/>
      <c r="I28" s="44"/>
      <c r="J28" s="44"/>
      <c r="K28" s="44"/>
      <c r="L28" s="44"/>
      <c r="M28" s="44"/>
      <c r="N28" s="44"/>
      <c r="O28" s="45"/>
      <c r="P28" s="40"/>
    </row>
    <row r="29" spans="1:16" s="41" customFormat="1" ht="30" customHeight="1">
      <c r="A29" s="34">
        <v>27</v>
      </c>
      <c r="B29" s="35" t="s">
        <v>41</v>
      </c>
      <c r="C29" s="34"/>
      <c r="D29" s="35" t="s">
        <v>42</v>
      </c>
      <c r="E29" s="35" t="s">
        <v>435</v>
      </c>
      <c r="F29" s="35" t="s">
        <v>35</v>
      </c>
      <c r="G29" s="46"/>
      <c r="H29" s="46"/>
      <c r="I29" s="46"/>
      <c r="J29" s="46"/>
      <c r="K29" s="46"/>
      <c r="L29" s="46"/>
      <c r="M29" s="46"/>
      <c r="N29" s="46"/>
      <c r="O29" s="45"/>
      <c r="P29" s="40"/>
    </row>
    <row r="30" spans="1:16" s="41" customFormat="1" ht="30" customHeight="1">
      <c r="A30" s="42">
        <v>28</v>
      </c>
      <c r="B30" s="43" t="s">
        <v>43</v>
      </c>
      <c r="C30" s="42"/>
      <c r="D30" s="43"/>
      <c r="E30" s="43" t="s">
        <v>435</v>
      </c>
      <c r="F30" s="43" t="s">
        <v>35</v>
      </c>
      <c r="G30" s="44"/>
      <c r="H30" s="44"/>
      <c r="I30" s="44"/>
      <c r="J30" s="44"/>
      <c r="K30" s="44"/>
      <c r="L30" s="44"/>
      <c r="M30" s="44"/>
      <c r="N30" s="44"/>
      <c r="O30" s="45"/>
      <c r="P30" s="40"/>
    </row>
    <row r="31" spans="1:16" s="41" customFormat="1" ht="30" customHeight="1">
      <c r="A31" s="34">
        <v>29</v>
      </c>
      <c r="B31" s="35" t="s">
        <v>44</v>
      </c>
      <c r="C31" s="34"/>
      <c r="D31" s="35" t="s">
        <v>42</v>
      </c>
      <c r="E31" s="35" t="s">
        <v>435</v>
      </c>
      <c r="F31" s="35" t="s">
        <v>35</v>
      </c>
      <c r="G31" s="46"/>
      <c r="H31" s="46"/>
      <c r="I31" s="46"/>
      <c r="J31" s="46"/>
      <c r="K31" s="46"/>
      <c r="L31" s="46"/>
      <c r="M31" s="46"/>
      <c r="N31" s="46"/>
      <c r="O31" s="45"/>
      <c r="P31" s="40"/>
    </row>
    <row r="32" spans="1:16" s="41" customFormat="1" ht="30" customHeight="1">
      <c r="A32" s="42">
        <v>30</v>
      </c>
      <c r="B32" s="43" t="s">
        <v>45</v>
      </c>
      <c r="C32" s="42"/>
      <c r="D32" s="43"/>
      <c r="E32" s="43" t="s">
        <v>435</v>
      </c>
      <c r="F32" s="43" t="s">
        <v>35</v>
      </c>
      <c r="G32" s="44"/>
      <c r="H32" s="44"/>
      <c r="I32" s="44"/>
      <c r="J32" s="44"/>
      <c r="K32" s="44"/>
      <c r="L32" s="44"/>
      <c r="M32" s="44"/>
      <c r="N32" s="44"/>
      <c r="O32" s="45"/>
      <c r="P32" s="40"/>
    </row>
    <row r="33" spans="1:16" s="41" customFormat="1" ht="30" customHeight="1">
      <c r="A33" s="34">
        <v>31</v>
      </c>
      <c r="B33" s="35" t="s">
        <v>46</v>
      </c>
      <c r="C33" s="34" t="s">
        <v>400</v>
      </c>
      <c r="D33" s="35"/>
      <c r="E33" s="35" t="s">
        <v>435</v>
      </c>
      <c r="F33" s="35" t="s">
        <v>35</v>
      </c>
      <c r="G33" s="46"/>
      <c r="H33" s="46"/>
      <c r="I33" s="46"/>
      <c r="J33" s="46"/>
      <c r="K33" s="46"/>
      <c r="L33" s="46"/>
      <c r="M33" s="46"/>
      <c r="N33" s="46"/>
      <c r="O33" s="45"/>
      <c r="P33" s="40"/>
    </row>
    <row r="34" spans="1:16" s="41" customFormat="1" ht="30" customHeight="1">
      <c r="A34" s="42">
        <v>32</v>
      </c>
      <c r="B34" s="43" t="s">
        <v>47</v>
      </c>
      <c r="C34" s="42"/>
      <c r="D34" s="43"/>
      <c r="E34" s="43" t="s">
        <v>435</v>
      </c>
      <c r="F34" s="43" t="s">
        <v>35</v>
      </c>
      <c r="G34" s="44"/>
      <c r="H34" s="44"/>
      <c r="I34" s="44"/>
      <c r="J34" s="44"/>
      <c r="K34" s="44"/>
      <c r="L34" s="44"/>
      <c r="M34" s="44"/>
      <c r="N34" s="44"/>
      <c r="O34" s="45"/>
      <c r="P34" s="40"/>
    </row>
    <row r="35" spans="1:16" s="41" customFormat="1" ht="30" customHeight="1">
      <c r="A35" s="34">
        <v>33</v>
      </c>
      <c r="B35" s="35" t="s">
        <v>48</v>
      </c>
      <c r="C35" s="34"/>
      <c r="D35" s="35"/>
      <c r="E35" s="35" t="s">
        <v>435</v>
      </c>
      <c r="F35" s="35" t="s">
        <v>35</v>
      </c>
      <c r="G35" s="46"/>
      <c r="H35" s="46"/>
      <c r="I35" s="46"/>
      <c r="J35" s="46"/>
      <c r="K35" s="46"/>
      <c r="L35" s="46"/>
      <c r="M35" s="46"/>
      <c r="N35" s="46"/>
      <c r="O35" s="45"/>
      <c r="P35" s="40"/>
    </row>
    <row r="36" spans="1:16" s="41" customFormat="1" ht="30" customHeight="1">
      <c r="A36" s="42">
        <v>34</v>
      </c>
      <c r="B36" s="43" t="s">
        <v>49</v>
      </c>
      <c r="C36" s="42"/>
      <c r="D36" s="43" t="s">
        <v>42</v>
      </c>
      <c r="E36" s="43" t="s">
        <v>435</v>
      </c>
      <c r="F36" s="43" t="s">
        <v>35</v>
      </c>
      <c r="G36" s="44"/>
      <c r="H36" s="44"/>
      <c r="I36" s="44"/>
      <c r="J36" s="44"/>
      <c r="K36" s="44"/>
      <c r="L36" s="44"/>
      <c r="M36" s="44"/>
      <c r="N36" s="44"/>
      <c r="O36" s="45"/>
      <c r="P36" s="40"/>
    </row>
    <row r="37" spans="1:16" s="41" customFormat="1" ht="30" customHeight="1">
      <c r="A37" s="34">
        <v>35</v>
      </c>
      <c r="B37" s="35" t="s">
        <v>50</v>
      </c>
      <c r="C37" s="34" t="s">
        <v>401</v>
      </c>
      <c r="D37" s="35"/>
      <c r="E37" s="35" t="s">
        <v>432</v>
      </c>
      <c r="F37" s="35"/>
      <c r="G37" s="80" t="s">
        <v>447</v>
      </c>
      <c r="H37" s="35" t="s">
        <v>540</v>
      </c>
      <c r="I37" s="35" t="s">
        <v>593</v>
      </c>
      <c r="J37" s="80" t="s">
        <v>462</v>
      </c>
      <c r="K37" s="35" t="s">
        <v>549</v>
      </c>
      <c r="L37" s="35" t="s">
        <v>51</v>
      </c>
      <c r="M37" s="35" t="s">
        <v>496</v>
      </c>
      <c r="N37" s="47"/>
      <c r="O37" s="45"/>
      <c r="P37" s="40"/>
    </row>
    <row r="38" spans="1:16" s="41" customFormat="1" ht="30" customHeight="1">
      <c r="A38" s="34"/>
      <c r="B38" s="35"/>
      <c r="C38" s="34"/>
      <c r="D38" s="35"/>
      <c r="E38" s="35"/>
      <c r="F38" s="35"/>
      <c r="G38" s="80" t="s">
        <v>543</v>
      </c>
      <c r="H38" s="35" t="s">
        <v>541</v>
      </c>
      <c r="I38" s="35"/>
      <c r="J38" s="80"/>
      <c r="K38" s="35" t="s">
        <v>544</v>
      </c>
      <c r="L38" s="35" t="s">
        <v>548</v>
      </c>
      <c r="M38" s="35"/>
      <c r="N38" s="47"/>
      <c r="O38" s="45"/>
      <c r="P38" s="40"/>
    </row>
    <row r="39" spans="1:16" s="41" customFormat="1" ht="30" customHeight="1">
      <c r="A39" s="34"/>
      <c r="B39" s="35"/>
      <c r="C39" s="34"/>
      <c r="D39" s="35"/>
      <c r="E39" s="35"/>
      <c r="F39" s="35"/>
      <c r="G39" s="80" t="s">
        <v>449</v>
      </c>
      <c r="H39" s="35"/>
      <c r="I39" s="35"/>
      <c r="J39" s="80"/>
      <c r="K39" s="35" t="s">
        <v>545</v>
      </c>
      <c r="L39" s="35"/>
      <c r="M39" s="35"/>
      <c r="N39" s="47"/>
      <c r="O39" s="45"/>
      <c r="P39" s="40"/>
    </row>
    <row r="40" spans="1:16" s="41" customFormat="1" ht="30" customHeight="1">
      <c r="A40" s="42">
        <v>36</v>
      </c>
      <c r="B40" s="43" t="s">
        <v>53</v>
      </c>
      <c r="C40" s="42"/>
      <c r="D40" s="43" t="s">
        <v>42</v>
      </c>
      <c r="E40" s="43" t="s">
        <v>435</v>
      </c>
      <c r="F40" s="43" t="s">
        <v>35</v>
      </c>
      <c r="G40" s="44"/>
      <c r="H40" s="44"/>
      <c r="I40" s="44"/>
      <c r="J40" s="44"/>
      <c r="K40" s="44"/>
      <c r="L40" s="44"/>
      <c r="M40" s="44"/>
      <c r="N40" s="44"/>
      <c r="O40" s="45"/>
      <c r="P40" s="40"/>
    </row>
    <row r="41" spans="1:16" s="41" customFormat="1" ht="30" customHeight="1">
      <c r="A41" s="34">
        <v>37</v>
      </c>
      <c r="B41" s="35" t="s">
        <v>54</v>
      </c>
      <c r="C41" s="34" t="s">
        <v>402</v>
      </c>
      <c r="D41" s="35"/>
      <c r="E41" s="35" t="s">
        <v>435</v>
      </c>
      <c r="F41" s="35" t="s">
        <v>35</v>
      </c>
      <c r="G41" s="46"/>
      <c r="H41" s="46"/>
      <c r="I41" s="46"/>
      <c r="J41" s="46"/>
      <c r="K41" s="46"/>
      <c r="L41" s="46"/>
      <c r="M41" s="46"/>
      <c r="N41" s="46"/>
      <c r="O41" s="45"/>
      <c r="P41" s="40"/>
    </row>
    <row r="42" spans="1:16" s="41" customFormat="1" ht="30" customHeight="1">
      <c r="A42" s="48">
        <v>38</v>
      </c>
      <c r="B42" s="49" t="s">
        <v>55</v>
      </c>
      <c r="C42" s="48" t="s">
        <v>519</v>
      </c>
      <c r="D42" s="49"/>
      <c r="E42" s="49" t="s">
        <v>428</v>
      </c>
      <c r="F42" s="49"/>
      <c r="G42" s="49" t="s">
        <v>527</v>
      </c>
      <c r="H42" s="49" t="s">
        <v>441</v>
      </c>
      <c r="I42" s="49" t="s">
        <v>594</v>
      </c>
      <c r="J42" s="29" t="s">
        <v>459</v>
      </c>
      <c r="K42" s="49" t="s">
        <v>604</v>
      </c>
      <c r="L42" s="49" t="s">
        <v>520</v>
      </c>
      <c r="M42" s="49" t="s">
        <v>448</v>
      </c>
      <c r="N42" s="50"/>
      <c r="O42" s="45"/>
      <c r="P42" s="40"/>
    </row>
    <row r="43" spans="1:16" s="41" customFormat="1" ht="30" customHeight="1">
      <c r="A43" s="34">
        <v>39</v>
      </c>
      <c r="B43" s="35" t="s">
        <v>56</v>
      </c>
      <c r="C43" s="34"/>
      <c r="D43" s="35"/>
      <c r="E43" s="35" t="s">
        <v>428</v>
      </c>
      <c r="F43" s="35" t="s">
        <v>86</v>
      </c>
      <c r="G43" s="46"/>
      <c r="H43" s="46"/>
      <c r="I43" s="46"/>
      <c r="J43" s="46"/>
      <c r="K43" s="46"/>
      <c r="L43" s="46"/>
      <c r="M43" s="46"/>
      <c r="N43" s="46"/>
      <c r="O43" s="45"/>
      <c r="P43" s="40"/>
    </row>
    <row r="44" spans="1:16" s="41" customFormat="1" ht="57" customHeight="1">
      <c r="A44" s="42">
        <v>40</v>
      </c>
      <c r="B44" s="43" t="s">
        <v>57</v>
      </c>
      <c r="C44" s="42"/>
      <c r="D44" s="43"/>
      <c r="E44" s="43" t="s">
        <v>428</v>
      </c>
      <c r="F44" s="43" t="s">
        <v>521</v>
      </c>
      <c r="G44" s="46"/>
      <c r="H44" s="46"/>
      <c r="I44" s="46"/>
      <c r="J44" s="46"/>
      <c r="K44" s="46"/>
      <c r="L44" s="46"/>
      <c r="M44" s="46"/>
      <c r="N44" s="46"/>
      <c r="O44" s="45"/>
      <c r="P44" s="40"/>
    </row>
    <row r="45" spans="1:16" s="41" customFormat="1" ht="186.75" customHeight="1">
      <c r="A45" s="34">
        <v>41</v>
      </c>
      <c r="B45" s="35" t="s">
        <v>58</v>
      </c>
      <c r="C45" s="34" t="s">
        <v>522</v>
      </c>
      <c r="D45" s="35" t="s">
        <v>523</v>
      </c>
      <c r="E45" s="35" t="s">
        <v>428</v>
      </c>
      <c r="F45" s="35"/>
      <c r="G45" s="80" t="s">
        <v>564</v>
      </c>
      <c r="H45" s="35" t="s">
        <v>452</v>
      </c>
      <c r="I45" s="35" t="s">
        <v>595</v>
      </c>
      <c r="J45" s="80" t="s">
        <v>459</v>
      </c>
      <c r="K45" s="35" t="s">
        <v>580</v>
      </c>
      <c r="L45" s="35" t="s">
        <v>455</v>
      </c>
      <c r="M45" s="35" t="s">
        <v>456</v>
      </c>
      <c r="N45" s="47"/>
      <c r="O45" s="45"/>
      <c r="P45" s="40"/>
    </row>
    <row r="46" spans="1:16" s="41" customFormat="1" ht="69.75" customHeight="1">
      <c r="A46" s="48">
        <v>42</v>
      </c>
      <c r="B46" s="49" t="s">
        <v>59</v>
      </c>
      <c r="C46" s="48">
        <v>273</v>
      </c>
      <c r="D46" s="49" t="s">
        <v>524</v>
      </c>
      <c r="E46" s="49" t="s">
        <v>428</v>
      </c>
      <c r="F46" s="49"/>
      <c r="G46" s="29" t="s">
        <v>453</v>
      </c>
      <c r="H46" s="49" t="s">
        <v>441</v>
      </c>
      <c r="I46" s="49" t="s">
        <v>595</v>
      </c>
      <c r="J46" s="29" t="s">
        <v>459</v>
      </c>
      <c r="K46" s="49" t="s">
        <v>460</v>
      </c>
      <c r="L46" s="49" t="s">
        <v>454</v>
      </c>
      <c r="M46" s="49" t="s">
        <v>443</v>
      </c>
      <c r="N46" s="50" t="s">
        <v>68</v>
      </c>
      <c r="O46" s="45"/>
      <c r="P46" s="40"/>
    </row>
    <row r="47" spans="1:16" s="41" customFormat="1" ht="30" customHeight="1">
      <c r="A47" s="34">
        <v>43</v>
      </c>
      <c r="B47" s="35" t="s">
        <v>60</v>
      </c>
      <c r="C47" s="34"/>
      <c r="D47" s="35"/>
      <c r="E47" s="35" t="s">
        <v>428</v>
      </c>
      <c r="F47" s="35" t="s">
        <v>525</v>
      </c>
      <c r="G47" s="46"/>
      <c r="H47" s="46"/>
      <c r="I47" s="46"/>
      <c r="J47" s="46"/>
      <c r="K47" s="46"/>
      <c r="L47" s="46"/>
      <c r="M47" s="46"/>
      <c r="N47" s="46"/>
      <c r="O47" s="45">
        <v>1</v>
      </c>
      <c r="P47" s="40"/>
    </row>
    <row r="48" spans="1:16" s="41" customFormat="1" ht="405" customHeight="1">
      <c r="A48" s="48">
        <v>44</v>
      </c>
      <c r="B48" s="49" t="s">
        <v>61</v>
      </c>
      <c r="C48" s="48" t="s">
        <v>403</v>
      </c>
      <c r="D48" s="49" t="s">
        <v>489</v>
      </c>
      <c r="E48" s="49" t="s">
        <v>429</v>
      </c>
      <c r="F48" s="49"/>
      <c r="G48" s="29" t="s">
        <v>608</v>
      </c>
      <c r="H48" s="49" t="s">
        <v>609</v>
      </c>
      <c r="I48" s="49" t="s">
        <v>595</v>
      </c>
      <c r="J48" s="29" t="s">
        <v>468</v>
      </c>
      <c r="K48" s="49" t="s">
        <v>488</v>
      </c>
      <c r="L48" s="49" t="s">
        <v>490</v>
      </c>
      <c r="M48" s="49" t="s">
        <v>491</v>
      </c>
      <c r="N48" s="50" t="s">
        <v>492</v>
      </c>
      <c r="O48" s="45"/>
      <c r="P48" s="40"/>
    </row>
    <row r="49" spans="1:16" s="41" customFormat="1" ht="104.25" customHeight="1">
      <c r="A49" s="55"/>
      <c r="B49" s="56"/>
      <c r="C49" s="55"/>
      <c r="D49" s="56"/>
      <c r="E49" s="56"/>
      <c r="F49" s="56"/>
      <c r="G49" s="57" t="s">
        <v>607</v>
      </c>
      <c r="H49" s="56"/>
      <c r="I49" s="56"/>
      <c r="J49" s="57"/>
      <c r="K49" s="56"/>
      <c r="L49" s="56"/>
      <c r="M49" s="56"/>
      <c r="N49" s="58"/>
      <c r="O49" s="45"/>
      <c r="P49" s="40"/>
    </row>
    <row r="50" spans="1:16" s="41" customFormat="1" ht="153">
      <c r="A50" s="34">
        <v>45</v>
      </c>
      <c r="B50" s="35" t="s">
        <v>65</v>
      </c>
      <c r="C50" s="34" t="s">
        <v>404</v>
      </c>
      <c r="D50" s="35" t="s">
        <v>62</v>
      </c>
      <c r="E50" s="35" t="s">
        <v>429</v>
      </c>
      <c r="F50" s="35"/>
      <c r="G50" s="80" t="s">
        <v>591</v>
      </c>
      <c r="H50" s="35" t="s">
        <v>464</v>
      </c>
      <c r="I50" s="35" t="s">
        <v>595</v>
      </c>
      <c r="J50" s="80" t="s">
        <v>459</v>
      </c>
      <c r="K50" s="35" t="s">
        <v>495</v>
      </c>
      <c r="L50" s="35" t="s">
        <v>592</v>
      </c>
      <c r="M50" s="35" t="s">
        <v>465</v>
      </c>
      <c r="N50" s="47" t="s">
        <v>466</v>
      </c>
      <c r="O50" s="45"/>
      <c r="P50" s="40"/>
    </row>
    <row r="51" spans="1:16" s="41" customFormat="1" ht="127.5">
      <c r="A51" s="48">
        <v>46</v>
      </c>
      <c r="B51" s="49" t="s">
        <v>66</v>
      </c>
      <c r="C51" s="48" t="s">
        <v>405</v>
      </c>
      <c r="D51" s="49" t="s">
        <v>67</v>
      </c>
      <c r="E51" s="49" t="s">
        <v>428</v>
      </c>
      <c r="F51" s="49"/>
      <c r="G51" s="29" t="s">
        <v>565</v>
      </c>
      <c r="H51" s="49" t="s">
        <v>457</v>
      </c>
      <c r="I51" s="49" t="s">
        <v>595</v>
      </c>
      <c r="J51" s="29" t="s">
        <v>459</v>
      </c>
      <c r="K51" s="49" t="s">
        <v>461</v>
      </c>
      <c r="L51" s="49" t="s">
        <v>458</v>
      </c>
      <c r="M51" s="49" t="s">
        <v>456</v>
      </c>
      <c r="N51" s="50" t="s">
        <v>68</v>
      </c>
      <c r="O51" s="45"/>
      <c r="P51" s="40"/>
    </row>
    <row r="52" spans="1:16" s="41" customFormat="1" ht="267.75">
      <c r="A52" s="34">
        <v>47</v>
      </c>
      <c r="B52" s="35" t="s">
        <v>69</v>
      </c>
      <c r="C52" s="34">
        <v>271</v>
      </c>
      <c r="D52" s="35" t="s">
        <v>70</v>
      </c>
      <c r="E52" s="35" t="s">
        <v>430</v>
      </c>
      <c r="F52" s="35"/>
      <c r="G52" s="80" t="s">
        <v>566</v>
      </c>
      <c r="H52" s="35" t="s">
        <v>439</v>
      </c>
      <c r="I52" s="35" t="s">
        <v>595</v>
      </c>
      <c r="J52" s="80" t="s">
        <v>468</v>
      </c>
      <c r="K52" s="35"/>
      <c r="L52" s="35" t="s">
        <v>497</v>
      </c>
      <c r="M52" s="35" t="s">
        <v>496</v>
      </c>
      <c r="N52" s="47"/>
      <c r="O52" s="45"/>
      <c r="P52" s="40"/>
    </row>
    <row r="53" spans="1:16" s="41" customFormat="1" ht="395.25">
      <c r="A53" s="48">
        <v>48</v>
      </c>
      <c r="B53" s="49" t="s">
        <v>71</v>
      </c>
      <c r="C53" s="48" t="s">
        <v>463</v>
      </c>
      <c r="D53" s="49" t="s">
        <v>498</v>
      </c>
      <c r="E53" s="49" t="s">
        <v>431</v>
      </c>
      <c r="F53" s="49"/>
      <c r="G53" s="29" t="s">
        <v>567</v>
      </c>
      <c r="H53" s="49" t="s">
        <v>499</v>
      </c>
      <c r="I53" s="49" t="s">
        <v>594</v>
      </c>
      <c r="J53" s="29" t="s">
        <v>459</v>
      </c>
      <c r="K53" s="49" t="s">
        <v>568</v>
      </c>
      <c r="L53" s="49" t="s">
        <v>569</v>
      </c>
      <c r="M53" s="49" t="s">
        <v>500</v>
      </c>
      <c r="N53" s="50" t="s">
        <v>501</v>
      </c>
      <c r="O53" s="40"/>
    </row>
    <row r="54" spans="1:16" s="41" customFormat="1" ht="38.25">
      <c r="A54" s="34">
        <v>49</v>
      </c>
      <c r="B54" s="35" t="s">
        <v>73</v>
      </c>
      <c r="C54" s="34" t="s">
        <v>526</v>
      </c>
      <c r="D54" s="35" t="s">
        <v>74</v>
      </c>
      <c r="E54" s="35" t="s">
        <v>428</v>
      </c>
      <c r="F54" s="35"/>
      <c r="G54" s="80" t="s">
        <v>527</v>
      </c>
      <c r="H54" s="35" t="s">
        <v>441</v>
      </c>
      <c r="I54" s="35" t="s">
        <v>594</v>
      </c>
      <c r="J54" s="80" t="s">
        <v>459</v>
      </c>
      <c r="K54" s="35" t="s">
        <v>604</v>
      </c>
      <c r="L54" s="35" t="s">
        <v>75</v>
      </c>
      <c r="M54" s="35" t="s">
        <v>443</v>
      </c>
      <c r="N54" s="47" t="s">
        <v>68</v>
      </c>
      <c r="O54" s="45"/>
      <c r="P54" s="40"/>
    </row>
    <row r="55" spans="1:16" s="41" customFormat="1" ht="30" customHeight="1">
      <c r="A55" s="34"/>
      <c r="B55" s="35"/>
      <c r="C55" s="34"/>
      <c r="D55" s="35"/>
      <c r="E55" s="35"/>
      <c r="F55" s="35"/>
      <c r="G55" s="80" t="s">
        <v>528</v>
      </c>
      <c r="H55" s="35"/>
      <c r="I55" s="35"/>
      <c r="J55" s="80"/>
      <c r="K55" s="35"/>
      <c r="L55" s="35" t="s">
        <v>529</v>
      </c>
      <c r="M55" s="35"/>
      <c r="N55" s="47"/>
      <c r="O55" s="45"/>
      <c r="P55" s="40"/>
    </row>
    <row r="56" spans="1:16" s="41" customFormat="1" ht="30" customHeight="1">
      <c r="A56" s="34"/>
      <c r="B56" s="35"/>
      <c r="C56" s="34"/>
      <c r="D56" s="35"/>
      <c r="E56" s="35"/>
      <c r="F56" s="35"/>
      <c r="G56" s="35" t="s">
        <v>530</v>
      </c>
      <c r="H56" s="35" t="s">
        <v>531</v>
      </c>
      <c r="I56" s="35"/>
      <c r="J56" s="80"/>
      <c r="K56" s="35"/>
      <c r="L56" s="35"/>
      <c r="N56" s="47"/>
      <c r="O56" s="45"/>
      <c r="P56" s="40"/>
    </row>
    <row r="57" spans="1:16" s="41" customFormat="1" ht="30" customHeight="1">
      <c r="A57" s="42">
        <v>50</v>
      </c>
      <c r="B57" s="43" t="s">
        <v>76</v>
      </c>
      <c r="C57" s="42"/>
      <c r="D57" s="43"/>
      <c r="E57" s="43" t="s">
        <v>435</v>
      </c>
      <c r="F57" s="43" t="s">
        <v>13</v>
      </c>
      <c r="G57" s="44"/>
      <c r="H57" s="44"/>
      <c r="I57" s="44"/>
      <c r="J57" s="44"/>
      <c r="K57" s="44"/>
      <c r="L57" s="44"/>
      <c r="M57" s="44"/>
      <c r="N57" s="44"/>
      <c r="O57" s="45"/>
      <c r="P57" s="40"/>
    </row>
    <row r="58" spans="1:16" s="41" customFormat="1" ht="59.25" customHeight="1">
      <c r="A58" s="34">
        <v>51</v>
      </c>
      <c r="B58" s="35" t="s">
        <v>77</v>
      </c>
      <c r="C58" s="34" t="s">
        <v>406</v>
      </c>
      <c r="D58" s="59"/>
      <c r="E58" s="59" t="s">
        <v>432</v>
      </c>
      <c r="F58" s="59"/>
      <c r="G58" s="60" t="s">
        <v>542</v>
      </c>
      <c r="H58" s="59"/>
      <c r="I58" s="35" t="s">
        <v>594</v>
      </c>
      <c r="J58" s="80" t="s">
        <v>462</v>
      </c>
      <c r="K58" s="35" t="s">
        <v>553</v>
      </c>
      <c r="L58" s="59" t="s">
        <v>78</v>
      </c>
      <c r="M58" s="35" t="s">
        <v>554</v>
      </c>
      <c r="N58" s="61" t="s">
        <v>546</v>
      </c>
      <c r="O58" s="45"/>
      <c r="P58" s="40"/>
    </row>
    <row r="59" spans="1:16" s="41" customFormat="1" ht="30" customHeight="1">
      <c r="A59" s="42">
        <v>52</v>
      </c>
      <c r="B59" s="43" t="s">
        <v>80</v>
      </c>
      <c r="C59" s="42"/>
      <c r="D59" s="43"/>
      <c r="E59" s="43" t="s">
        <v>435</v>
      </c>
      <c r="F59" s="43" t="s">
        <v>35</v>
      </c>
      <c r="G59" s="44"/>
      <c r="H59" s="44"/>
      <c r="I59" s="44"/>
      <c r="J59" s="44"/>
      <c r="K59" s="44"/>
      <c r="L59" s="44"/>
      <c r="M59" s="44"/>
      <c r="N59" s="44"/>
      <c r="O59" s="45"/>
      <c r="P59" s="40"/>
    </row>
    <row r="60" spans="1:16" s="41" customFormat="1" ht="30" customHeight="1">
      <c r="A60" s="34">
        <v>53</v>
      </c>
      <c r="B60" s="35" t="s">
        <v>81</v>
      </c>
      <c r="C60" s="34">
        <v>299</v>
      </c>
      <c r="D60" s="35"/>
      <c r="E60" s="35" t="s">
        <v>435</v>
      </c>
      <c r="F60" s="35" t="s">
        <v>13</v>
      </c>
      <c r="G60" s="46"/>
      <c r="H60" s="44"/>
      <c r="I60" s="44"/>
      <c r="J60" s="46"/>
      <c r="K60" s="44"/>
      <c r="L60" s="44"/>
      <c r="M60" s="44"/>
      <c r="N60" s="44"/>
      <c r="O60" s="45"/>
      <c r="P60" s="40"/>
    </row>
    <row r="61" spans="1:16" s="41" customFormat="1" ht="30" customHeight="1">
      <c r="A61" s="34"/>
      <c r="B61" s="35"/>
      <c r="C61" s="34">
        <v>361</v>
      </c>
      <c r="D61" s="35"/>
      <c r="E61" s="35"/>
      <c r="F61" s="35"/>
      <c r="G61" s="46"/>
      <c r="H61" s="44"/>
      <c r="I61" s="44"/>
      <c r="J61" s="46"/>
      <c r="K61" s="44"/>
      <c r="L61" s="44"/>
      <c r="M61" s="44"/>
      <c r="N61" s="44"/>
      <c r="O61" s="45"/>
      <c r="P61" s="40"/>
    </row>
    <row r="62" spans="1:16" s="41" customFormat="1" ht="30" customHeight="1">
      <c r="A62" s="34"/>
      <c r="B62" s="35"/>
      <c r="C62" s="34">
        <v>367</v>
      </c>
      <c r="D62" s="35"/>
      <c r="E62" s="35"/>
      <c r="F62" s="35"/>
      <c r="G62" s="46"/>
      <c r="H62" s="44"/>
      <c r="I62" s="44"/>
      <c r="J62" s="46"/>
      <c r="K62" s="44"/>
      <c r="L62" s="44"/>
      <c r="M62" s="44"/>
      <c r="N62" s="44"/>
      <c r="O62" s="45"/>
      <c r="P62" s="40"/>
    </row>
    <row r="63" spans="1:16" s="41" customFormat="1" ht="48" customHeight="1">
      <c r="A63" s="48">
        <v>54</v>
      </c>
      <c r="B63" s="49" t="s">
        <v>82</v>
      </c>
      <c r="C63" s="48" t="s">
        <v>407</v>
      </c>
      <c r="D63" s="49"/>
      <c r="E63" s="49" t="s">
        <v>432</v>
      </c>
      <c r="F63" s="49"/>
      <c r="G63" s="49" t="s">
        <v>493</v>
      </c>
      <c r="H63" s="49"/>
      <c r="I63" s="49" t="s">
        <v>593</v>
      </c>
      <c r="J63" s="49" t="s">
        <v>462</v>
      </c>
      <c r="K63" s="49" t="s">
        <v>550</v>
      </c>
      <c r="L63" s="49" t="s">
        <v>547</v>
      </c>
      <c r="M63" s="49"/>
      <c r="N63" s="50"/>
      <c r="O63" s="45"/>
      <c r="P63" s="40"/>
    </row>
    <row r="64" spans="1:16" s="41" customFormat="1" ht="33.75" customHeight="1">
      <c r="A64" s="34">
        <v>55</v>
      </c>
      <c r="B64" s="35" t="s">
        <v>83</v>
      </c>
      <c r="C64" s="34"/>
      <c r="D64" s="35"/>
      <c r="E64" s="35" t="s">
        <v>432</v>
      </c>
      <c r="F64" s="35"/>
      <c r="G64" s="35" t="s">
        <v>493</v>
      </c>
      <c r="H64" s="35"/>
      <c r="I64" s="35" t="s">
        <v>593</v>
      </c>
      <c r="J64" s="35" t="s">
        <v>462</v>
      </c>
      <c r="K64" s="35" t="s">
        <v>551</v>
      </c>
      <c r="L64" s="35" t="s">
        <v>547</v>
      </c>
      <c r="M64" s="35"/>
      <c r="N64" s="35"/>
      <c r="O64" s="45">
        <v>1</v>
      </c>
      <c r="P64" s="40"/>
    </row>
    <row r="65" spans="1:16" s="41" customFormat="1" ht="30" customHeight="1">
      <c r="A65" s="42">
        <v>56</v>
      </c>
      <c r="B65" s="43" t="s">
        <v>84</v>
      </c>
      <c r="C65" s="42"/>
      <c r="D65" s="43"/>
      <c r="E65" s="43" t="s">
        <v>435</v>
      </c>
      <c r="F65" s="43" t="s">
        <v>13</v>
      </c>
      <c r="G65" s="44"/>
      <c r="H65" s="44"/>
      <c r="I65" s="44"/>
      <c r="J65" s="44"/>
      <c r="K65" s="44"/>
      <c r="L65" s="44"/>
      <c r="M65" s="44"/>
      <c r="N65" s="44"/>
      <c r="O65" s="45"/>
      <c r="P65" s="40"/>
    </row>
    <row r="66" spans="1:16" s="41" customFormat="1" ht="30" customHeight="1">
      <c r="A66" s="34">
        <v>57</v>
      </c>
      <c r="B66" s="35" t="s">
        <v>85</v>
      </c>
      <c r="C66" s="34"/>
      <c r="D66" s="35"/>
      <c r="E66" s="35" t="s">
        <v>589</v>
      </c>
      <c r="F66" s="35" t="s">
        <v>86</v>
      </c>
      <c r="G66" s="46"/>
      <c r="H66" s="44"/>
      <c r="I66" s="44"/>
      <c r="J66" s="46"/>
      <c r="K66" s="44"/>
      <c r="L66" s="44"/>
      <c r="M66" s="44"/>
      <c r="N66" s="44"/>
      <c r="O66" s="45"/>
      <c r="P66" s="40"/>
    </row>
    <row r="67" spans="1:16" s="41" customFormat="1" ht="30" customHeight="1">
      <c r="A67" s="42">
        <v>58</v>
      </c>
      <c r="B67" s="43" t="s">
        <v>87</v>
      </c>
      <c r="C67" s="42"/>
      <c r="D67" s="43"/>
      <c r="E67" s="43" t="s">
        <v>589</v>
      </c>
      <c r="F67" s="43" t="s">
        <v>86</v>
      </c>
      <c r="G67" s="44"/>
      <c r="H67" s="44"/>
      <c r="I67" s="44"/>
      <c r="J67" s="44"/>
      <c r="K67" s="44"/>
      <c r="L67" s="44"/>
      <c r="M67" s="44"/>
      <c r="N67" s="44"/>
      <c r="O67" s="45"/>
      <c r="P67" s="40"/>
    </row>
    <row r="68" spans="1:16" s="41" customFormat="1" ht="30" customHeight="1">
      <c r="A68" s="34">
        <v>59</v>
      </c>
      <c r="B68" s="35" t="s">
        <v>88</v>
      </c>
      <c r="C68" s="34"/>
      <c r="D68" s="35"/>
      <c r="E68" s="35" t="s">
        <v>589</v>
      </c>
      <c r="F68" s="35" t="s">
        <v>86</v>
      </c>
      <c r="G68" s="46"/>
      <c r="H68" s="44"/>
      <c r="I68" s="44"/>
      <c r="J68" s="46"/>
      <c r="K68" s="44"/>
      <c r="L68" s="44"/>
      <c r="M68" s="44"/>
      <c r="N68" s="44"/>
      <c r="O68" s="45"/>
      <c r="P68" s="40"/>
    </row>
    <row r="69" spans="1:16" s="41" customFormat="1" ht="30" customHeight="1">
      <c r="A69" s="42">
        <v>60</v>
      </c>
      <c r="B69" s="43" t="s">
        <v>89</v>
      </c>
      <c r="C69" s="42"/>
      <c r="D69" s="43"/>
      <c r="E69" s="43" t="s">
        <v>589</v>
      </c>
      <c r="F69" s="43" t="s">
        <v>86</v>
      </c>
      <c r="G69" s="44"/>
      <c r="H69" s="44"/>
      <c r="I69" s="44"/>
      <c r="J69" s="44"/>
      <c r="K69" s="44"/>
      <c r="L69" s="44"/>
      <c r="M69" s="44"/>
      <c r="N69" s="44"/>
      <c r="O69" s="45"/>
      <c r="P69" s="40"/>
    </row>
    <row r="70" spans="1:16" s="41" customFormat="1" ht="63.75" customHeight="1">
      <c r="A70" s="34">
        <v>61</v>
      </c>
      <c r="B70" s="35" t="s">
        <v>90</v>
      </c>
      <c r="C70" s="34"/>
      <c r="D70" s="35"/>
      <c r="E70" s="35" t="s">
        <v>589</v>
      </c>
      <c r="F70" s="35" t="s">
        <v>86</v>
      </c>
      <c r="G70" s="46"/>
      <c r="H70" s="44"/>
      <c r="I70" s="44"/>
      <c r="J70" s="46"/>
      <c r="K70" s="44"/>
      <c r="L70" s="44"/>
      <c r="M70" s="44"/>
      <c r="N70" s="44"/>
      <c r="O70" s="45"/>
      <c r="P70" s="40"/>
    </row>
    <row r="71" spans="1:16" s="41" customFormat="1" ht="45" customHeight="1">
      <c r="A71" s="42">
        <v>62</v>
      </c>
      <c r="B71" s="43" t="s">
        <v>91</v>
      </c>
      <c r="C71" s="42"/>
      <c r="D71" s="43"/>
      <c r="E71" s="43" t="s">
        <v>435</v>
      </c>
      <c r="F71" s="43" t="s">
        <v>86</v>
      </c>
      <c r="G71" s="44"/>
      <c r="H71" s="44"/>
      <c r="I71" s="44"/>
      <c r="J71" s="44"/>
      <c r="K71" s="44"/>
      <c r="L71" s="44"/>
      <c r="M71" s="44"/>
      <c r="N71" s="44"/>
      <c r="O71" s="45"/>
      <c r="P71" s="40"/>
    </row>
    <row r="72" spans="1:16" s="41" customFormat="1" ht="30" customHeight="1">
      <c r="A72" s="34">
        <v>63</v>
      </c>
      <c r="B72" s="35" t="s">
        <v>92</v>
      </c>
      <c r="C72" s="34"/>
      <c r="D72" s="35"/>
      <c r="E72" s="35" t="s">
        <v>435</v>
      </c>
      <c r="F72" s="35" t="s">
        <v>86</v>
      </c>
      <c r="G72" s="46"/>
      <c r="H72" s="44"/>
      <c r="I72" s="44"/>
      <c r="J72" s="46"/>
      <c r="K72" s="44"/>
      <c r="L72" s="44"/>
      <c r="M72" s="44"/>
      <c r="N72" s="44"/>
      <c r="O72" s="45"/>
      <c r="P72" s="40"/>
    </row>
    <row r="73" spans="1:16" s="41" customFormat="1" ht="30" customHeight="1">
      <c r="A73" s="42">
        <v>64</v>
      </c>
      <c r="B73" s="43" t="s">
        <v>93</v>
      </c>
      <c r="C73" s="42"/>
      <c r="D73" s="43"/>
      <c r="E73" s="43" t="s">
        <v>435</v>
      </c>
      <c r="F73" s="43" t="s">
        <v>35</v>
      </c>
      <c r="G73" s="44"/>
      <c r="H73" s="44"/>
      <c r="I73" s="44"/>
      <c r="J73" s="44"/>
      <c r="K73" s="44"/>
      <c r="L73" s="44"/>
      <c r="M73" s="44"/>
      <c r="N73" s="44"/>
      <c r="O73" s="45"/>
      <c r="P73" s="40"/>
    </row>
    <row r="74" spans="1:16" s="41" customFormat="1" ht="30" customHeight="1">
      <c r="A74" s="34">
        <v>65</v>
      </c>
      <c r="B74" s="35" t="s">
        <v>94</v>
      </c>
      <c r="C74" s="34"/>
      <c r="D74" s="35"/>
      <c r="E74" s="35" t="s">
        <v>435</v>
      </c>
      <c r="F74" s="35" t="s">
        <v>35</v>
      </c>
      <c r="G74" s="46"/>
      <c r="H74" s="44"/>
      <c r="I74" s="44"/>
      <c r="J74" s="46"/>
      <c r="K74" s="44"/>
      <c r="L74" s="44"/>
      <c r="M74" s="44"/>
      <c r="N74" s="44"/>
      <c r="O74" s="45"/>
      <c r="P74" s="40"/>
    </row>
    <row r="75" spans="1:16" s="41" customFormat="1" ht="30" customHeight="1">
      <c r="A75" s="42">
        <v>66</v>
      </c>
      <c r="B75" s="43" t="s">
        <v>95</v>
      </c>
      <c r="C75" s="42"/>
      <c r="D75" s="43"/>
      <c r="E75" s="43" t="s">
        <v>435</v>
      </c>
      <c r="F75" s="43" t="s">
        <v>35</v>
      </c>
      <c r="G75" s="44"/>
      <c r="H75" s="44"/>
      <c r="I75" s="44"/>
      <c r="J75" s="44"/>
      <c r="K75" s="44"/>
      <c r="L75" s="44"/>
      <c r="M75" s="44"/>
      <c r="N75" s="44"/>
      <c r="O75" s="45"/>
      <c r="P75" s="40"/>
    </row>
    <row r="76" spans="1:16" s="41" customFormat="1" ht="30" customHeight="1">
      <c r="A76" s="34">
        <v>67</v>
      </c>
      <c r="B76" s="35" t="s">
        <v>96</v>
      </c>
      <c r="C76" s="34"/>
      <c r="D76" s="35"/>
      <c r="E76" s="35" t="s">
        <v>435</v>
      </c>
      <c r="F76" s="35" t="s">
        <v>35</v>
      </c>
      <c r="G76" s="46"/>
      <c r="H76" s="44"/>
      <c r="I76" s="44"/>
      <c r="J76" s="46"/>
      <c r="K76" s="44"/>
      <c r="L76" s="44"/>
      <c r="M76" s="44"/>
      <c r="N76" s="44"/>
      <c r="O76" s="45"/>
      <c r="P76" s="40"/>
    </row>
    <row r="77" spans="1:16" s="41" customFormat="1" ht="30" customHeight="1">
      <c r="A77" s="42">
        <v>68</v>
      </c>
      <c r="B77" s="43" t="s">
        <v>97</v>
      </c>
      <c r="C77" s="42"/>
      <c r="D77" s="43"/>
      <c r="E77" s="43" t="s">
        <v>435</v>
      </c>
      <c r="F77" s="43" t="s">
        <v>35</v>
      </c>
      <c r="G77" s="44"/>
      <c r="H77" s="44"/>
      <c r="I77" s="44"/>
      <c r="J77" s="44"/>
      <c r="K77" s="44"/>
      <c r="L77" s="44"/>
      <c r="M77" s="44"/>
      <c r="N77" s="44"/>
      <c r="O77" s="45"/>
      <c r="P77" s="40"/>
    </row>
    <row r="78" spans="1:16" s="41" customFormat="1" ht="63.75" customHeight="1">
      <c r="A78" s="34">
        <v>69</v>
      </c>
      <c r="B78" s="35" t="s">
        <v>98</v>
      </c>
      <c r="C78" s="34"/>
      <c r="D78" s="35"/>
      <c r="E78" s="35" t="s">
        <v>435</v>
      </c>
      <c r="F78" s="35" t="s">
        <v>35</v>
      </c>
      <c r="G78" s="46"/>
      <c r="H78" s="44"/>
      <c r="I78" s="44"/>
      <c r="J78" s="46"/>
      <c r="K78" s="44"/>
      <c r="L78" s="44"/>
      <c r="M78" s="44"/>
      <c r="N78" s="44"/>
      <c r="O78" s="45"/>
      <c r="P78" s="40"/>
    </row>
    <row r="79" spans="1:16" s="41" customFormat="1" ht="51.75" customHeight="1">
      <c r="A79" s="42">
        <v>70</v>
      </c>
      <c r="B79" s="43" t="s">
        <v>99</v>
      </c>
      <c r="C79" s="42"/>
      <c r="D79" s="43"/>
      <c r="E79" s="43" t="s">
        <v>435</v>
      </c>
      <c r="F79" s="43" t="s">
        <v>35</v>
      </c>
      <c r="G79" s="44"/>
      <c r="H79" s="44"/>
      <c r="I79" s="44"/>
      <c r="J79" s="44"/>
      <c r="K79" s="44"/>
      <c r="L79" s="44"/>
      <c r="M79" s="44"/>
      <c r="N79" s="44"/>
      <c r="O79" s="45"/>
      <c r="P79" s="40"/>
    </row>
    <row r="80" spans="1:16" s="41" customFormat="1" ht="30" customHeight="1">
      <c r="A80" s="34">
        <v>71</v>
      </c>
      <c r="B80" s="35" t="s">
        <v>100</v>
      </c>
      <c r="C80" s="34"/>
      <c r="D80" s="35" t="s">
        <v>42</v>
      </c>
      <c r="E80" s="35" t="s">
        <v>435</v>
      </c>
      <c r="F80" s="35" t="s">
        <v>35</v>
      </c>
      <c r="G80" s="46"/>
      <c r="H80" s="44"/>
      <c r="I80" s="44"/>
      <c r="J80" s="46"/>
      <c r="K80" s="44"/>
      <c r="L80" s="44"/>
      <c r="M80" s="44"/>
      <c r="N80" s="44"/>
      <c r="O80" s="45"/>
      <c r="P80" s="40"/>
    </row>
    <row r="81" spans="1:16" s="41" customFormat="1" ht="30" customHeight="1">
      <c r="A81" s="42">
        <v>72</v>
      </c>
      <c r="B81" s="43" t="s">
        <v>101</v>
      </c>
      <c r="C81" s="42"/>
      <c r="D81" s="43"/>
      <c r="E81" s="43" t="s">
        <v>435</v>
      </c>
      <c r="F81" s="43" t="s">
        <v>35</v>
      </c>
      <c r="G81" s="44"/>
      <c r="H81" s="44"/>
      <c r="I81" s="44"/>
      <c r="J81" s="44"/>
      <c r="K81" s="44"/>
      <c r="L81" s="44"/>
      <c r="M81" s="44"/>
      <c r="N81" s="44"/>
      <c r="O81" s="45"/>
      <c r="P81" s="40"/>
    </row>
    <row r="82" spans="1:16" s="41" customFormat="1" ht="30" customHeight="1">
      <c r="A82" s="34">
        <v>73</v>
      </c>
      <c r="B82" s="35" t="s">
        <v>102</v>
      </c>
      <c r="C82" s="34"/>
      <c r="D82" s="35"/>
      <c r="E82" s="35" t="s">
        <v>428</v>
      </c>
      <c r="F82" s="35" t="s">
        <v>532</v>
      </c>
      <c r="G82" s="46"/>
      <c r="H82" s="46"/>
      <c r="I82" s="46"/>
      <c r="J82" s="46"/>
      <c r="K82" s="46"/>
      <c r="L82" s="46"/>
      <c r="M82" s="46"/>
      <c r="N82" s="46"/>
      <c r="O82" s="45"/>
      <c r="P82" s="40"/>
    </row>
    <row r="83" spans="1:16" s="41" customFormat="1" ht="30" customHeight="1">
      <c r="A83" s="42">
        <v>74</v>
      </c>
      <c r="B83" s="43" t="s">
        <v>103</v>
      </c>
      <c r="C83" s="42">
        <v>287</v>
      </c>
      <c r="D83" s="43"/>
      <c r="E83" s="43" t="s">
        <v>428</v>
      </c>
      <c r="F83" s="43" t="s">
        <v>533</v>
      </c>
      <c r="G83" s="46"/>
      <c r="H83" s="46"/>
      <c r="I83" s="46"/>
      <c r="J83" s="46"/>
      <c r="K83" s="46"/>
      <c r="L83" s="46"/>
      <c r="M83" s="46"/>
      <c r="N83" s="46"/>
      <c r="O83" s="45"/>
      <c r="P83" s="40"/>
    </row>
    <row r="84" spans="1:16" s="41" customFormat="1" ht="30" customHeight="1">
      <c r="A84" s="34">
        <v>75</v>
      </c>
      <c r="B84" s="35" t="s">
        <v>104</v>
      </c>
      <c r="C84" s="62" t="s">
        <v>408</v>
      </c>
      <c r="D84" s="59"/>
      <c r="E84" s="59" t="s">
        <v>432</v>
      </c>
      <c r="F84" s="59"/>
      <c r="G84" s="60" t="s">
        <v>105</v>
      </c>
      <c r="H84" s="59" t="s">
        <v>440</v>
      </c>
      <c r="I84" s="59" t="s">
        <v>595</v>
      </c>
      <c r="J84" s="60" t="s">
        <v>468</v>
      </c>
      <c r="K84" s="59"/>
      <c r="L84" s="60" t="s">
        <v>105</v>
      </c>
      <c r="M84" s="60" t="s">
        <v>506</v>
      </c>
      <c r="N84" s="60" t="s">
        <v>501</v>
      </c>
      <c r="O84" s="45"/>
      <c r="P84" s="40"/>
    </row>
    <row r="85" spans="1:16" s="41" customFormat="1" ht="30" customHeight="1">
      <c r="A85" s="48">
        <v>76</v>
      </c>
      <c r="B85" s="49" t="s">
        <v>106</v>
      </c>
      <c r="C85" s="63"/>
      <c r="D85" s="64"/>
      <c r="E85" s="64" t="s">
        <v>431</v>
      </c>
      <c r="F85" s="64"/>
      <c r="G85" s="29" t="s">
        <v>577</v>
      </c>
      <c r="H85" s="64" t="s">
        <v>440</v>
      </c>
      <c r="I85" s="64" t="s">
        <v>594</v>
      </c>
      <c r="J85" s="29" t="s">
        <v>468</v>
      </c>
      <c r="K85" s="64"/>
      <c r="L85" s="29" t="s">
        <v>577</v>
      </c>
      <c r="M85" s="49" t="s">
        <v>506</v>
      </c>
      <c r="N85" s="50" t="s">
        <v>501</v>
      </c>
      <c r="O85" s="45"/>
      <c r="P85" s="40"/>
    </row>
    <row r="86" spans="1:16" s="41" customFormat="1" ht="76.5">
      <c r="A86" s="34">
        <v>77</v>
      </c>
      <c r="B86" s="81" t="s">
        <v>107</v>
      </c>
      <c r="C86" s="80" t="s">
        <v>502</v>
      </c>
      <c r="D86" s="35" t="s">
        <v>503</v>
      </c>
      <c r="E86" s="35" t="s">
        <v>431</v>
      </c>
      <c r="F86" s="35"/>
      <c r="G86" s="82" t="s">
        <v>570</v>
      </c>
      <c r="H86" s="35" t="s">
        <v>504</v>
      </c>
      <c r="I86" s="35" t="s">
        <v>595</v>
      </c>
      <c r="J86" s="80" t="s">
        <v>459</v>
      </c>
      <c r="K86" s="35" t="s">
        <v>581</v>
      </c>
      <c r="L86" s="35" t="s">
        <v>505</v>
      </c>
      <c r="M86" s="35" t="s">
        <v>506</v>
      </c>
      <c r="N86" s="47" t="s">
        <v>501</v>
      </c>
      <c r="O86" s="40"/>
    </row>
    <row r="87" spans="1:16" s="41" customFormat="1" ht="89.25">
      <c r="A87" s="48">
        <v>78</v>
      </c>
      <c r="B87" s="49" t="s">
        <v>108</v>
      </c>
      <c r="C87" s="29" t="s">
        <v>507</v>
      </c>
      <c r="D87" s="29" t="s">
        <v>508</v>
      </c>
      <c r="E87" s="49" t="s">
        <v>431</v>
      </c>
      <c r="F87" s="49"/>
      <c r="G87" s="29" t="s">
        <v>571</v>
      </c>
      <c r="H87" s="49" t="s">
        <v>504</v>
      </c>
      <c r="I87" s="49" t="s">
        <v>595</v>
      </c>
      <c r="J87" s="29" t="s">
        <v>468</v>
      </c>
      <c r="K87" s="49"/>
      <c r="L87" s="29" t="s">
        <v>572</v>
      </c>
      <c r="M87" s="49" t="s">
        <v>506</v>
      </c>
      <c r="N87" s="50" t="s">
        <v>501</v>
      </c>
      <c r="O87" s="40"/>
    </row>
    <row r="88" spans="1:16" s="41" customFormat="1" ht="78.75" customHeight="1">
      <c r="A88" s="34">
        <v>79</v>
      </c>
      <c r="B88" s="35" t="s">
        <v>109</v>
      </c>
      <c r="C88" s="34"/>
      <c r="D88" s="35"/>
      <c r="E88" s="35" t="s">
        <v>435</v>
      </c>
      <c r="F88" s="35" t="s">
        <v>110</v>
      </c>
      <c r="G88" s="46"/>
      <c r="H88" s="44"/>
      <c r="I88" s="44"/>
      <c r="J88" s="46"/>
      <c r="K88" s="44"/>
      <c r="L88" s="44"/>
      <c r="M88" s="44"/>
      <c r="N88" s="44"/>
      <c r="O88" s="45"/>
      <c r="P88" s="40"/>
    </row>
    <row r="89" spans="1:16" s="41" customFormat="1" ht="30" customHeight="1">
      <c r="A89" s="42">
        <v>80</v>
      </c>
      <c r="B89" s="43" t="s">
        <v>111</v>
      </c>
      <c r="C89" s="65">
        <v>55</v>
      </c>
      <c r="D89" s="43" t="s">
        <v>509</v>
      </c>
      <c r="E89" s="43" t="s">
        <v>431</v>
      </c>
      <c r="F89" s="43"/>
      <c r="G89" s="29" t="s">
        <v>571</v>
      </c>
      <c r="H89" s="43" t="s">
        <v>504</v>
      </c>
      <c r="I89" s="43" t="s">
        <v>595</v>
      </c>
      <c r="J89" s="65" t="s">
        <v>468</v>
      </c>
      <c r="K89" s="43"/>
      <c r="L89" s="29" t="s">
        <v>572</v>
      </c>
      <c r="M89" s="43" t="s">
        <v>506</v>
      </c>
      <c r="N89" s="66" t="s">
        <v>501</v>
      </c>
      <c r="O89" s="40"/>
    </row>
    <row r="90" spans="1:16" s="41" customFormat="1" ht="38.25">
      <c r="A90" s="34">
        <v>81</v>
      </c>
      <c r="B90" s="35" t="s">
        <v>112</v>
      </c>
      <c r="C90" s="80" t="s">
        <v>511</v>
      </c>
      <c r="D90" s="35" t="s">
        <v>512</v>
      </c>
      <c r="E90" s="35" t="s">
        <v>431</v>
      </c>
      <c r="F90" s="35"/>
      <c r="G90" s="204" t="s">
        <v>573</v>
      </c>
      <c r="H90" s="206" t="s">
        <v>504</v>
      </c>
      <c r="I90" s="35" t="s">
        <v>595</v>
      </c>
      <c r="J90" s="208" t="s">
        <v>468</v>
      </c>
      <c r="K90" s="35"/>
      <c r="L90" s="209" t="s">
        <v>570</v>
      </c>
      <c r="M90" s="35" t="s">
        <v>506</v>
      </c>
      <c r="N90" s="47" t="s">
        <v>501</v>
      </c>
      <c r="O90" s="40"/>
    </row>
    <row r="91" spans="1:16" s="41" customFormat="1" ht="33" customHeight="1">
      <c r="A91" s="34"/>
      <c r="B91" s="35"/>
      <c r="C91" s="34"/>
      <c r="D91" s="35"/>
      <c r="E91" s="35" t="s">
        <v>431</v>
      </c>
      <c r="F91" s="35"/>
      <c r="G91" s="205"/>
      <c r="H91" s="207"/>
      <c r="I91" s="35"/>
      <c r="J91" s="205"/>
      <c r="K91" s="35"/>
      <c r="L91" s="210"/>
      <c r="M91" s="35"/>
      <c r="N91" s="47"/>
      <c r="O91" s="40"/>
    </row>
    <row r="92" spans="1:16" s="41" customFormat="1" ht="102.75" customHeight="1">
      <c r="A92" s="48">
        <v>82</v>
      </c>
      <c r="B92" s="49" t="s">
        <v>113</v>
      </c>
      <c r="C92" s="48" t="s">
        <v>409</v>
      </c>
      <c r="D92" s="49"/>
      <c r="E92" s="49" t="s">
        <v>431</v>
      </c>
      <c r="F92" s="49"/>
      <c r="G92" s="29" t="s">
        <v>513</v>
      </c>
      <c r="H92" s="49"/>
      <c r="I92" s="49" t="s">
        <v>595</v>
      </c>
      <c r="J92" s="29" t="s">
        <v>459</v>
      </c>
      <c r="K92" s="49" t="s">
        <v>596</v>
      </c>
      <c r="L92" s="29" t="s">
        <v>513</v>
      </c>
      <c r="M92" s="49"/>
      <c r="N92" s="50"/>
      <c r="O92" s="40"/>
    </row>
    <row r="93" spans="1:16" s="41" customFormat="1" ht="37.5" customHeight="1">
      <c r="A93" s="34">
        <v>83</v>
      </c>
      <c r="B93" s="35" t="s">
        <v>115</v>
      </c>
      <c r="C93" s="34"/>
      <c r="D93" s="35" t="s">
        <v>514</v>
      </c>
      <c r="E93" s="35" t="s">
        <v>431</v>
      </c>
      <c r="F93" s="35"/>
      <c r="G93" s="80" t="s">
        <v>515</v>
      </c>
      <c r="H93" s="35"/>
      <c r="I93" s="35" t="s">
        <v>594</v>
      </c>
      <c r="J93" s="80" t="s">
        <v>459</v>
      </c>
      <c r="K93" s="35" t="s">
        <v>516</v>
      </c>
      <c r="L93" s="35" t="s">
        <v>517</v>
      </c>
      <c r="M93" s="35" t="s">
        <v>506</v>
      </c>
      <c r="N93" s="47"/>
      <c r="O93" s="40"/>
    </row>
    <row r="94" spans="1:16" s="41" customFormat="1" ht="35.25" customHeight="1">
      <c r="A94" s="42">
        <v>84</v>
      </c>
      <c r="B94" s="43" t="s">
        <v>116</v>
      </c>
      <c r="C94" s="42"/>
      <c r="D94" s="43"/>
      <c r="E94" s="43" t="s">
        <v>431</v>
      </c>
      <c r="F94" s="43"/>
      <c r="G94" s="65" t="s">
        <v>517</v>
      </c>
      <c r="H94" s="43"/>
      <c r="I94" s="43" t="s">
        <v>595</v>
      </c>
      <c r="J94" s="65" t="s">
        <v>459</v>
      </c>
      <c r="K94" s="43"/>
      <c r="L94" s="43" t="s">
        <v>517</v>
      </c>
      <c r="M94" s="43" t="s">
        <v>506</v>
      </c>
      <c r="N94" s="66"/>
      <c r="O94" s="40"/>
    </row>
    <row r="95" spans="1:16" s="41" customFormat="1" ht="35.25" customHeight="1">
      <c r="A95" s="34">
        <v>85</v>
      </c>
      <c r="B95" s="35" t="s">
        <v>117</v>
      </c>
      <c r="C95" s="34"/>
      <c r="D95" s="35"/>
      <c r="E95" s="35" t="s">
        <v>431</v>
      </c>
      <c r="F95" s="35" t="s">
        <v>518</v>
      </c>
      <c r="G95" s="44"/>
      <c r="H95" s="44"/>
      <c r="I95" s="44"/>
      <c r="J95" s="44"/>
      <c r="K95" s="44"/>
      <c r="L95" s="44"/>
      <c r="M95" s="44"/>
      <c r="N95" s="44"/>
      <c r="O95" s="40"/>
    </row>
    <row r="96" spans="1:16" s="41" customFormat="1" ht="30" customHeight="1">
      <c r="A96" s="42">
        <v>86</v>
      </c>
      <c r="B96" s="43" t="s">
        <v>76</v>
      </c>
      <c r="C96" s="42"/>
      <c r="D96" s="43"/>
      <c r="E96" s="43" t="s">
        <v>431</v>
      </c>
      <c r="F96" s="43" t="s">
        <v>13</v>
      </c>
      <c r="G96" s="44"/>
      <c r="H96" s="44"/>
      <c r="I96" s="44"/>
      <c r="J96" s="44"/>
      <c r="K96" s="44"/>
      <c r="L96" s="44"/>
      <c r="M96" s="44"/>
      <c r="N96" s="44"/>
      <c r="O96" s="45"/>
      <c r="P96" s="40"/>
    </row>
    <row r="97" spans="1:16" s="41" customFormat="1" ht="127.5">
      <c r="A97" s="34">
        <v>87</v>
      </c>
      <c r="B97" s="35" t="s">
        <v>118</v>
      </c>
      <c r="C97" s="34"/>
      <c r="D97" s="35"/>
      <c r="E97" s="35" t="s">
        <v>438</v>
      </c>
      <c r="F97" s="35"/>
      <c r="G97" s="80" t="s">
        <v>611</v>
      </c>
      <c r="H97" s="35" t="s">
        <v>552</v>
      </c>
      <c r="I97" s="35" t="s">
        <v>595</v>
      </c>
      <c r="J97" s="80" t="s">
        <v>459</v>
      </c>
      <c r="K97" s="35" t="s">
        <v>558</v>
      </c>
      <c r="L97" s="35" t="s">
        <v>601</v>
      </c>
      <c r="M97" s="35" t="s">
        <v>539</v>
      </c>
      <c r="N97" s="47" t="s">
        <v>501</v>
      </c>
      <c r="O97" s="45"/>
      <c r="P97" s="40"/>
    </row>
    <row r="98" spans="1:16" s="41" customFormat="1" ht="127.5">
      <c r="A98" s="48">
        <v>88</v>
      </c>
      <c r="B98" s="49" t="s">
        <v>120</v>
      </c>
      <c r="C98" s="48">
        <v>68</v>
      </c>
      <c r="D98" s="49"/>
      <c r="E98" s="49" t="s">
        <v>438</v>
      </c>
      <c r="F98" s="49"/>
      <c r="G98" s="29" t="s">
        <v>611</v>
      </c>
      <c r="H98" s="49" t="s">
        <v>552</v>
      </c>
      <c r="I98" s="49" t="s">
        <v>595</v>
      </c>
      <c r="J98" s="29" t="s">
        <v>459</v>
      </c>
      <c r="K98" s="49" t="s">
        <v>558</v>
      </c>
      <c r="L98" s="49" t="s">
        <v>601</v>
      </c>
      <c r="M98" s="49" t="s">
        <v>539</v>
      </c>
      <c r="N98" s="50" t="s">
        <v>501</v>
      </c>
      <c r="O98" s="45"/>
      <c r="P98" s="40"/>
    </row>
    <row r="99" spans="1:16" s="41" customFormat="1" ht="30" customHeight="1">
      <c r="A99" s="34">
        <v>89</v>
      </c>
      <c r="B99" s="35" t="s">
        <v>121</v>
      </c>
      <c r="C99" s="34"/>
      <c r="D99" s="35" t="s">
        <v>122</v>
      </c>
      <c r="E99" s="35" t="s">
        <v>435</v>
      </c>
      <c r="F99" s="35" t="s">
        <v>123</v>
      </c>
      <c r="G99" s="46"/>
      <c r="H99" s="44"/>
      <c r="I99" s="44"/>
      <c r="J99" s="46"/>
      <c r="K99" s="44"/>
      <c r="L99" s="44"/>
      <c r="M99" s="44"/>
      <c r="N99" s="44"/>
      <c r="O99" s="45"/>
      <c r="P99" s="40"/>
    </row>
    <row r="100" spans="1:16" s="41" customFormat="1" ht="30" customHeight="1">
      <c r="A100" s="48">
        <v>90</v>
      </c>
      <c r="B100" s="49" t="s">
        <v>124</v>
      </c>
      <c r="C100" s="48" t="s">
        <v>444</v>
      </c>
      <c r="D100" s="49" t="s">
        <v>122</v>
      </c>
      <c r="E100" s="49" t="s">
        <v>435</v>
      </c>
      <c r="F100" s="49" t="s">
        <v>123</v>
      </c>
      <c r="G100" s="38"/>
      <c r="H100" s="44"/>
      <c r="I100" s="44"/>
      <c r="J100" s="38"/>
      <c r="K100" s="44"/>
      <c r="L100" s="44"/>
      <c r="M100" s="44"/>
      <c r="N100" s="44"/>
      <c r="O100" s="45"/>
      <c r="P100" s="40"/>
    </row>
    <row r="101" spans="1:16" s="41" customFormat="1" ht="127.5">
      <c r="A101" s="34">
        <v>91</v>
      </c>
      <c r="B101" s="35" t="s">
        <v>125</v>
      </c>
      <c r="C101" s="34"/>
      <c r="D101" s="35"/>
      <c r="E101" s="35" t="s">
        <v>438</v>
      </c>
      <c r="F101" s="35"/>
      <c r="G101" s="80" t="s">
        <v>611</v>
      </c>
      <c r="H101" s="35" t="s">
        <v>552</v>
      </c>
      <c r="I101" s="35" t="s">
        <v>595</v>
      </c>
      <c r="J101" s="80" t="s">
        <v>459</v>
      </c>
      <c r="K101" s="35" t="s">
        <v>558</v>
      </c>
      <c r="L101" s="35" t="s">
        <v>601</v>
      </c>
      <c r="M101" s="35" t="s">
        <v>539</v>
      </c>
      <c r="N101" s="47" t="s">
        <v>501</v>
      </c>
      <c r="O101" s="45"/>
      <c r="P101" s="40"/>
    </row>
    <row r="102" spans="1:16" s="41" customFormat="1" ht="30" customHeight="1">
      <c r="A102" s="42">
        <v>92</v>
      </c>
      <c r="B102" s="43" t="s">
        <v>76</v>
      </c>
      <c r="C102" s="42">
        <v>68</v>
      </c>
      <c r="D102" s="43"/>
      <c r="E102" s="43" t="s">
        <v>435</v>
      </c>
      <c r="F102" s="43" t="s">
        <v>13</v>
      </c>
      <c r="G102" s="44"/>
      <c r="H102" s="44"/>
      <c r="I102" s="44"/>
      <c r="J102" s="44"/>
      <c r="K102" s="44"/>
      <c r="L102" s="44"/>
      <c r="M102" s="44"/>
      <c r="N102" s="44"/>
      <c r="O102" s="45"/>
      <c r="P102" s="40"/>
    </row>
    <row r="103" spans="1:16" s="41" customFormat="1" ht="127.5">
      <c r="A103" s="34">
        <v>93</v>
      </c>
      <c r="B103" s="35" t="s">
        <v>126</v>
      </c>
      <c r="C103" s="34" t="s">
        <v>445</v>
      </c>
      <c r="D103" s="35" t="s">
        <v>559</v>
      </c>
      <c r="E103" s="35" t="s">
        <v>438</v>
      </c>
      <c r="F103" s="35"/>
      <c r="G103" s="80" t="s">
        <v>611</v>
      </c>
      <c r="H103" s="35" t="s">
        <v>552</v>
      </c>
      <c r="I103" s="35" t="s">
        <v>595</v>
      </c>
      <c r="J103" s="80" t="s">
        <v>459</v>
      </c>
      <c r="K103" s="35" t="s">
        <v>558</v>
      </c>
      <c r="L103" s="35" t="s">
        <v>601</v>
      </c>
      <c r="M103" s="35" t="s">
        <v>539</v>
      </c>
      <c r="N103" s="47" t="s">
        <v>501</v>
      </c>
      <c r="O103" s="45"/>
      <c r="P103" s="40"/>
    </row>
    <row r="104" spans="1:16" s="41" customFormat="1" ht="114.75">
      <c r="A104" s="48">
        <v>94</v>
      </c>
      <c r="B104" s="49" t="s">
        <v>128</v>
      </c>
      <c r="C104" s="48" t="s">
        <v>445</v>
      </c>
      <c r="D104" s="49" t="s">
        <v>560</v>
      </c>
      <c r="E104" s="49" t="s">
        <v>438</v>
      </c>
      <c r="F104" s="49"/>
      <c r="G104" s="29" t="s">
        <v>612</v>
      </c>
      <c r="H104" s="49" t="s">
        <v>552</v>
      </c>
      <c r="I104" s="49" t="s">
        <v>595</v>
      </c>
      <c r="J104" s="29" t="s">
        <v>459</v>
      </c>
      <c r="K104" s="49" t="s">
        <v>558</v>
      </c>
      <c r="L104" s="49" t="s">
        <v>601</v>
      </c>
      <c r="M104" s="49" t="s">
        <v>539</v>
      </c>
      <c r="N104" s="50" t="s">
        <v>501</v>
      </c>
      <c r="O104" s="45"/>
      <c r="P104" s="40"/>
    </row>
    <row r="105" spans="1:16" s="41" customFormat="1" ht="127.5">
      <c r="A105" s="34">
        <v>95</v>
      </c>
      <c r="B105" s="35" t="s">
        <v>129</v>
      </c>
      <c r="C105" s="34" t="s">
        <v>445</v>
      </c>
      <c r="D105" s="35" t="s">
        <v>560</v>
      </c>
      <c r="E105" s="35" t="s">
        <v>438</v>
      </c>
      <c r="F105" s="35"/>
      <c r="G105" s="80" t="s">
        <v>611</v>
      </c>
      <c r="H105" s="35" t="s">
        <v>552</v>
      </c>
      <c r="I105" s="35" t="s">
        <v>595</v>
      </c>
      <c r="J105" s="80" t="s">
        <v>459</v>
      </c>
      <c r="K105" s="35" t="s">
        <v>558</v>
      </c>
      <c r="L105" s="35" t="s">
        <v>601</v>
      </c>
      <c r="M105" s="35" t="s">
        <v>539</v>
      </c>
      <c r="N105" s="47" t="s">
        <v>501</v>
      </c>
      <c r="O105" s="45"/>
      <c r="P105" s="40"/>
    </row>
    <row r="106" spans="1:16" s="41" customFormat="1" ht="127.5">
      <c r="A106" s="48">
        <v>96</v>
      </c>
      <c r="B106" s="49" t="s">
        <v>130</v>
      </c>
      <c r="C106" s="48">
        <v>80</v>
      </c>
      <c r="D106" s="49" t="s">
        <v>122</v>
      </c>
      <c r="E106" s="49" t="s">
        <v>438</v>
      </c>
      <c r="F106" s="49"/>
      <c r="G106" s="29" t="s">
        <v>611</v>
      </c>
      <c r="H106" s="49" t="s">
        <v>552</v>
      </c>
      <c r="I106" s="49" t="s">
        <v>595</v>
      </c>
      <c r="J106" s="29" t="s">
        <v>459</v>
      </c>
      <c r="K106" s="49" t="s">
        <v>558</v>
      </c>
      <c r="L106" s="49" t="s">
        <v>601</v>
      </c>
      <c r="M106" s="49" t="s">
        <v>539</v>
      </c>
      <c r="N106" s="50" t="s">
        <v>501</v>
      </c>
      <c r="O106" s="45"/>
      <c r="P106" s="40"/>
    </row>
    <row r="107" spans="1:16" s="41" customFormat="1" ht="30" customHeight="1">
      <c r="A107" s="34">
        <v>97</v>
      </c>
      <c r="B107" s="35" t="s">
        <v>76</v>
      </c>
      <c r="C107" s="34"/>
      <c r="D107" s="35"/>
      <c r="E107" s="35" t="s">
        <v>435</v>
      </c>
      <c r="F107" s="35" t="s">
        <v>13</v>
      </c>
      <c r="G107" s="46"/>
      <c r="H107" s="44"/>
      <c r="I107" s="44"/>
      <c r="J107" s="46"/>
      <c r="K107" s="44"/>
      <c r="L107" s="44"/>
      <c r="M107" s="44"/>
      <c r="N107" s="44"/>
      <c r="O107" s="45"/>
      <c r="P107" s="40"/>
    </row>
    <row r="108" spans="1:16" s="41" customFormat="1" ht="30" customHeight="1">
      <c r="A108" s="42">
        <v>98</v>
      </c>
      <c r="B108" s="43" t="s">
        <v>131</v>
      </c>
      <c r="C108" s="42" t="s">
        <v>446</v>
      </c>
      <c r="D108" s="43"/>
      <c r="E108" s="43" t="s">
        <v>438</v>
      </c>
      <c r="F108" s="43"/>
      <c r="G108" s="29" t="s">
        <v>557</v>
      </c>
      <c r="H108" s="49" t="s">
        <v>552</v>
      </c>
      <c r="I108" s="49" t="s">
        <v>595</v>
      </c>
      <c r="J108" s="29" t="s">
        <v>459</v>
      </c>
      <c r="K108" s="49" t="s">
        <v>558</v>
      </c>
      <c r="L108" s="49" t="s">
        <v>556</v>
      </c>
      <c r="M108" s="49" t="s">
        <v>539</v>
      </c>
      <c r="N108" s="50" t="s">
        <v>501</v>
      </c>
      <c r="O108" s="45"/>
      <c r="P108" s="40"/>
    </row>
    <row r="109" spans="1:16" s="41" customFormat="1" ht="30" customHeight="1">
      <c r="A109" s="34">
        <v>99</v>
      </c>
      <c r="B109" s="35" t="s">
        <v>76</v>
      </c>
      <c r="C109" s="34" t="s">
        <v>410</v>
      </c>
      <c r="D109" s="80" t="s">
        <v>132</v>
      </c>
      <c r="E109" s="80" t="s">
        <v>435</v>
      </c>
      <c r="F109" s="80" t="s">
        <v>13</v>
      </c>
      <c r="G109" s="46"/>
      <c r="H109" s="44"/>
      <c r="I109" s="44"/>
      <c r="J109" s="46"/>
      <c r="K109" s="44"/>
      <c r="L109" s="44"/>
      <c r="M109" s="44"/>
      <c r="N109" s="44"/>
      <c r="O109" s="45"/>
      <c r="P109" s="40"/>
    </row>
    <row r="110" spans="1:16" s="41" customFormat="1" ht="30" customHeight="1">
      <c r="A110" s="34"/>
      <c r="B110" s="35"/>
      <c r="C110" s="34"/>
      <c r="D110" s="35"/>
      <c r="E110" s="35"/>
      <c r="F110" s="35"/>
      <c r="G110" s="46"/>
      <c r="H110" s="44"/>
      <c r="I110" s="44"/>
      <c r="J110" s="46"/>
      <c r="K110" s="44"/>
      <c r="L110" s="44"/>
      <c r="M110" s="44"/>
      <c r="N110" s="44"/>
      <c r="O110" s="45"/>
      <c r="P110" s="40"/>
    </row>
    <row r="111" spans="1:16" s="41" customFormat="1" ht="30" customHeight="1">
      <c r="A111" s="42">
        <v>100</v>
      </c>
      <c r="B111" s="43" t="s">
        <v>106</v>
      </c>
      <c r="C111" s="42"/>
      <c r="D111" s="43"/>
      <c r="E111" s="43" t="s">
        <v>438</v>
      </c>
      <c r="F111" s="43"/>
      <c r="G111" s="65" t="s">
        <v>127</v>
      </c>
      <c r="H111" s="43"/>
      <c r="I111" s="43" t="s">
        <v>595</v>
      </c>
      <c r="J111" s="65" t="s">
        <v>468</v>
      </c>
      <c r="K111" s="43"/>
      <c r="L111" s="43"/>
      <c r="M111" s="43"/>
      <c r="N111" s="66"/>
      <c r="O111" s="45"/>
      <c r="P111" s="40"/>
    </row>
    <row r="112" spans="1:16" s="41" customFormat="1" ht="30" customHeight="1">
      <c r="A112" s="34">
        <v>101</v>
      </c>
      <c r="B112" s="35" t="s">
        <v>133</v>
      </c>
      <c r="C112" s="34" t="s">
        <v>411</v>
      </c>
      <c r="D112" s="59"/>
      <c r="E112" s="59" t="s">
        <v>438</v>
      </c>
      <c r="F112" s="59"/>
      <c r="G112" s="60" t="s">
        <v>134</v>
      </c>
      <c r="H112" s="59"/>
      <c r="I112" s="59" t="s">
        <v>595</v>
      </c>
      <c r="J112" s="60" t="s">
        <v>468</v>
      </c>
      <c r="K112" s="59"/>
      <c r="L112" s="59"/>
      <c r="M112" s="59" t="s">
        <v>472</v>
      </c>
      <c r="N112" s="61" t="s">
        <v>473</v>
      </c>
      <c r="O112" s="45"/>
      <c r="P112" s="40"/>
    </row>
    <row r="113" spans="1:16" s="41" customFormat="1" ht="30" customHeight="1">
      <c r="A113" s="34"/>
      <c r="B113" s="35"/>
      <c r="C113" s="62"/>
      <c r="D113" s="59"/>
      <c r="E113" s="59"/>
      <c r="F113" s="59"/>
      <c r="G113" s="60" t="s">
        <v>135</v>
      </c>
      <c r="H113" s="59"/>
      <c r="I113" s="59"/>
      <c r="J113" s="60"/>
      <c r="K113" s="59"/>
      <c r="L113" s="59"/>
      <c r="M113" s="59"/>
      <c r="N113" s="61"/>
      <c r="O113" s="45"/>
      <c r="P113" s="40"/>
    </row>
    <row r="114" spans="1:16" s="41" customFormat="1" ht="30" customHeight="1">
      <c r="A114" s="34"/>
      <c r="B114" s="35"/>
      <c r="C114" s="62"/>
      <c r="D114" s="59"/>
      <c r="E114" s="59"/>
      <c r="F114" s="59"/>
      <c r="G114" s="80" t="s">
        <v>136</v>
      </c>
      <c r="H114" s="59"/>
      <c r="I114" s="59"/>
      <c r="J114" s="60"/>
      <c r="K114" s="59"/>
      <c r="L114" s="59"/>
      <c r="M114" s="59"/>
      <c r="N114" s="61"/>
      <c r="O114" s="45"/>
      <c r="P114" s="40"/>
    </row>
    <row r="115" spans="1:16" s="41" customFormat="1" ht="30" customHeight="1">
      <c r="A115" s="34"/>
      <c r="B115" s="35"/>
      <c r="C115" s="62"/>
      <c r="D115" s="59"/>
      <c r="E115" s="59"/>
      <c r="F115" s="59"/>
      <c r="G115" s="60" t="s">
        <v>127</v>
      </c>
      <c r="H115" s="59"/>
      <c r="I115" s="59"/>
      <c r="J115" s="60"/>
      <c r="K115" s="59"/>
      <c r="L115" s="59"/>
      <c r="M115" s="59"/>
      <c r="N115" s="61"/>
      <c r="O115" s="45"/>
      <c r="P115" s="40"/>
    </row>
    <row r="116" spans="1:16" s="41" customFormat="1" ht="30" customHeight="1">
      <c r="A116" s="34"/>
      <c r="B116" s="35"/>
      <c r="C116" s="34"/>
      <c r="D116" s="35"/>
      <c r="E116" s="35"/>
      <c r="F116" s="35"/>
      <c r="G116" s="80"/>
      <c r="H116" s="35"/>
      <c r="I116" s="35"/>
      <c r="J116" s="80"/>
      <c r="K116" s="35"/>
      <c r="L116" s="35"/>
      <c r="M116" s="35"/>
      <c r="N116" s="47"/>
      <c r="O116" s="45"/>
      <c r="P116" s="40"/>
    </row>
    <row r="117" spans="1:16" s="41" customFormat="1" ht="76.5">
      <c r="A117" s="48">
        <v>102</v>
      </c>
      <c r="B117" s="49" t="s">
        <v>137</v>
      </c>
      <c r="C117" s="48"/>
      <c r="D117" s="49"/>
      <c r="E117" s="49" t="s">
        <v>438</v>
      </c>
      <c r="F117" s="49"/>
      <c r="G117" s="29" t="s">
        <v>597</v>
      </c>
      <c r="H117" s="49"/>
      <c r="I117" s="49" t="s">
        <v>595</v>
      </c>
      <c r="J117" s="29" t="s">
        <v>459</v>
      </c>
      <c r="K117" s="49" t="s">
        <v>561</v>
      </c>
      <c r="L117" s="49" t="s">
        <v>555</v>
      </c>
      <c r="M117" s="49" t="s">
        <v>472</v>
      </c>
      <c r="N117" s="50"/>
      <c r="O117" s="45"/>
      <c r="P117" s="40"/>
    </row>
    <row r="118" spans="1:16" s="41" customFormat="1" ht="63.75" customHeight="1">
      <c r="A118" s="34">
        <v>103</v>
      </c>
      <c r="B118" s="35" t="s">
        <v>138</v>
      </c>
      <c r="C118" s="34">
        <v>205</v>
      </c>
      <c r="D118" s="35" t="s">
        <v>139</v>
      </c>
      <c r="E118" s="35"/>
      <c r="F118" s="35" t="s">
        <v>538</v>
      </c>
      <c r="G118" s="46"/>
      <c r="H118" s="44"/>
      <c r="I118" s="44"/>
      <c r="J118" s="46"/>
      <c r="K118" s="44"/>
      <c r="L118" s="44"/>
      <c r="M118" s="44"/>
      <c r="N118" s="44"/>
      <c r="O118" s="45"/>
      <c r="P118" s="40"/>
    </row>
    <row r="119" spans="1:16" s="41" customFormat="1" ht="30" customHeight="1">
      <c r="A119" s="48">
        <v>104</v>
      </c>
      <c r="B119" s="49" t="s">
        <v>140</v>
      </c>
      <c r="C119" s="48">
        <v>90</v>
      </c>
      <c r="D119" s="49" t="s">
        <v>141</v>
      </c>
      <c r="E119" s="49" t="s">
        <v>438</v>
      </c>
      <c r="F119" s="49" t="s">
        <v>538</v>
      </c>
      <c r="G119" s="46"/>
      <c r="H119" s="44"/>
      <c r="I119" s="44"/>
      <c r="J119" s="46"/>
      <c r="K119" s="44"/>
      <c r="L119" s="44"/>
      <c r="M119" s="44"/>
      <c r="N119" s="44"/>
      <c r="O119" s="45"/>
      <c r="P119" s="40"/>
    </row>
    <row r="120" spans="1:16" s="41" customFormat="1" ht="30" customHeight="1">
      <c r="A120" s="55"/>
      <c r="B120" s="56"/>
      <c r="C120" s="55"/>
      <c r="D120" s="56" t="s">
        <v>142</v>
      </c>
      <c r="E120" s="56"/>
      <c r="F120" s="56" t="s">
        <v>538</v>
      </c>
      <c r="G120" s="46"/>
      <c r="H120" s="44"/>
      <c r="I120" s="44"/>
      <c r="J120" s="46"/>
      <c r="K120" s="44"/>
      <c r="L120" s="44"/>
      <c r="M120" s="44"/>
      <c r="N120" s="44"/>
      <c r="O120" s="45"/>
      <c r="P120" s="40"/>
    </row>
    <row r="121" spans="1:16" s="41" customFormat="1" ht="67.5" customHeight="1">
      <c r="A121" s="51"/>
      <c r="B121" s="52"/>
      <c r="C121" s="51"/>
      <c r="D121" s="52" t="s">
        <v>143</v>
      </c>
      <c r="E121" s="52"/>
      <c r="F121" s="52" t="s">
        <v>538</v>
      </c>
      <c r="G121" s="46"/>
      <c r="H121" s="44"/>
      <c r="I121" s="44"/>
      <c r="J121" s="46"/>
      <c r="K121" s="44"/>
      <c r="L121" s="44"/>
      <c r="M121" s="44"/>
      <c r="N121" s="44"/>
      <c r="O121" s="45"/>
      <c r="P121" s="40"/>
    </row>
    <row r="122" spans="1:16" s="41" customFormat="1" ht="51">
      <c r="A122" s="34">
        <v>105</v>
      </c>
      <c r="B122" s="35" t="s">
        <v>144</v>
      </c>
      <c r="C122" s="34" t="s">
        <v>412</v>
      </c>
      <c r="D122" s="35" t="s">
        <v>145</v>
      </c>
      <c r="E122" s="35" t="s">
        <v>438</v>
      </c>
      <c r="F122" s="35" t="s">
        <v>538</v>
      </c>
      <c r="G122" s="46"/>
      <c r="H122" s="44"/>
      <c r="I122" s="44"/>
      <c r="J122" s="46"/>
      <c r="K122" s="44"/>
      <c r="L122" s="44"/>
      <c r="M122" s="44"/>
      <c r="N122" s="44"/>
      <c r="O122" s="45">
        <v>1</v>
      </c>
      <c r="P122" s="40"/>
    </row>
    <row r="123" spans="1:16" s="41" customFormat="1" ht="30" customHeight="1">
      <c r="A123" s="34"/>
      <c r="B123" s="35"/>
      <c r="C123" s="34"/>
      <c r="D123" s="35" t="s">
        <v>146</v>
      </c>
      <c r="E123" s="35"/>
      <c r="F123" s="35" t="s">
        <v>538</v>
      </c>
      <c r="G123" s="46"/>
      <c r="H123" s="44"/>
      <c r="I123" s="44"/>
      <c r="J123" s="46"/>
      <c r="K123" s="44"/>
      <c r="L123" s="44"/>
      <c r="M123" s="44"/>
      <c r="N123" s="44"/>
      <c r="O123" s="45"/>
      <c r="P123" s="40"/>
    </row>
    <row r="124" spans="1:16" s="41" customFormat="1" ht="30" customHeight="1">
      <c r="A124" s="34"/>
      <c r="B124" s="35"/>
      <c r="C124" s="34"/>
      <c r="D124" s="35" t="s">
        <v>141</v>
      </c>
      <c r="E124" s="35"/>
      <c r="F124" s="35" t="s">
        <v>538</v>
      </c>
      <c r="G124" s="46"/>
      <c r="H124" s="44"/>
      <c r="I124" s="44"/>
      <c r="J124" s="46"/>
      <c r="K124" s="44"/>
      <c r="L124" s="44"/>
      <c r="M124" s="44"/>
      <c r="N124" s="44"/>
      <c r="O124" s="45"/>
      <c r="P124" s="40"/>
    </row>
    <row r="125" spans="1:16" s="41" customFormat="1" ht="30" customHeight="1">
      <c r="A125" s="34"/>
      <c r="B125" s="35"/>
      <c r="C125" s="34"/>
      <c r="D125" s="35" t="s">
        <v>147</v>
      </c>
      <c r="E125" s="35"/>
      <c r="F125" s="35" t="s">
        <v>538</v>
      </c>
      <c r="G125" s="46"/>
      <c r="H125" s="44"/>
      <c r="I125" s="44"/>
      <c r="J125" s="46"/>
      <c r="K125" s="44"/>
      <c r="L125" s="44"/>
      <c r="M125" s="44"/>
      <c r="N125" s="44"/>
      <c r="O125" s="45"/>
      <c r="P125" s="40"/>
    </row>
    <row r="126" spans="1:16" s="41" customFormat="1" ht="30" customHeight="1">
      <c r="A126" s="34"/>
      <c r="B126" s="35"/>
      <c r="C126" s="34"/>
      <c r="D126" s="35" t="s">
        <v>142</v>
      </c>
      <c r="E126" s="35"/>
      <c r="F126" s="35" t="s">
        <v>538</v>
      </c>
      <c r="G126" s="46"/>
      <c r="H126" s="44"/>
      <c r="I126" s="44"/>
      <c r="J126" s="46"/>
      <c r="K126" s="44"/>
      <c r="L126" s="44"/>
      <c r="M126" s="44"/>
      <c r="N126" s="44"/>
      <c r="O126" s="45"/>
      <c r="P126" s="40"/>
    </row>
    <row r="127" spans="1:16" s="41" customFormat="1" ht="30" customHeight="1">
      <c r="A127" s="34"/>
      <c r="B127" s="35"/>
      <c r="C127" s="34"/>
      <c r="D127" s="35" t="s">
        <v>143</v>
      </c>
      <c r="E127" s="35"/>
      <c r="F127" s="35" t="s">
        <v>538</v>
      </c>
      <c r="G127" s="46"/>
      <c r="H127" s="44"/>
      <c r="I127" s="44"/>
      <c r="J127" s="46"/>
      <c r="K127" s="44"/>
      <c r="L127" s="44"/>
      <c r="M127" s="44"/>
      <c r="N127" s="44"/>
      <c r="O127" s="45"/>
      <c r="P127" s="40"/>
    </row>
    <row r="128" spans="1:16" s="41" customFormat="1" ht="52.5" customHeight="1">
      <c r="A128" s="42">
        <v>106</v>
      </c>
      <c r="B128" s="43" t="s">
        <v>148</v>
      </c>
      <c r="C128" s="42">
        <v>172</v>
      </c>
      <c r="D128" s="43"/>
      <c r="E128" s="43" t="s">
        <v>438</v>
      </c>
      <c r="F128" s="43" t="s">
        <v>538</v>
      </c>
      <c r="G128" s="46"/>
      <c r="H128" s="44"/>
      <c r="I128" s="44"/>
      <c r="J128" s="46"/>
      <c r="K128" s="44"/>
      <c r="L128" s="44"/>
      <c r="M128" s="44"/>
      <c r="N128" s="44"/>
      <c r="O128" s="45"/>
      <c r="P128" s="40"/>
    </row>
    <row r="129" spans="1:16" s="41" customFormat="1" ht="30" customHeight="1">
      <c r="A129" s="34">
        <v>107</v>
      </c>
      <c r="B129" s="35" t="s">
        <v>149</v>
      </c>
      <c r="C129" s="34">
        <v>204</v>
      </c>
      <c r="D129" s="35"/>
      <c r="E129" s="35" t="s">
        <v>438</v>
      </c>
      <c r="F129" s="35" t="s">
        <v>538</v>
      </c>
      <c r="G129" s="46"/>
      <c r="H129" s="44"/>
      <c r="I129" s="44"/>
      <c r="J129" s="46"/>
      <c r="K129" s="44"/>
      <c r="L129" s="44"/>
      <c r="M129" s="44"/>
      <c r="N129" s="44"/>
      <c r="O129" s="45">
        <v>1</v>
      </c>
      <c r="P129" s="40"/>
    </row>
    <row r="130" spans="1:16" s="41" customFormat="1" ht="63.75" customHeight="1">
      <c r="A130" s="48">
        <v>108</v>
      </c>
      <c r="B130" s="49" t="s">
        <v>150</v>
      </c>
      <c r="C130" s="48" t="s">
        <v>413</v>
      </c>
      <c r="D130" s="49" t="s">
        <v>139</v>
      </c>
      <c r="E130" s="49" t="s">
        <v>438</v>
      </c>
      <c r="F130" s="49" t="s">
        <v>538</v>
      </c>
      <c r="G130" s="46"/>
      <c r="H130" s="44"/>
      <c r="I130" s="44"/>
      <c r="J130" s="46"/>
      <c r="K130" s="44"/>
      <c r="L130" s="44"/>
      <c r="M130" s="44"/>
      <c r="N130" s="44"/>
      <c r="O130" s="45">
        <v>1</v>
      </c>
      <c r="P130" s="40"/>
    </row>
    <row r="131" spans="1:16" s="41" customFormat="1" ht="30" customHeight="1">
      <c r="A131" s="34">
        <v>109</v>
      </c>
      <c r="B131" s="35" t="s">
        <v>151</v>
      </c>
      <c r="C131" s="34" t="s">
        <v>414</v>
      </c>
      <c r="D131" s="35"/>
      <c r="E131" s="35" t="s">
        <v>435</v>
      </c>
      <c r="F131" s="35" t="s">
        <v>13</v>
      </c>
      <c r="G131" s="46"/>
      <c r="H131" s="44"/>
      <c r="I131" s="44"/>
      <c r="J131" s="46"/>
      <c r="K131" s="44"/>
      <c r="L131" s="44"/>
      <c r="M131" s="44"/>
      <c r="N131" s="44"/>
      <c r="O131" s="45"/>
      <c r="P131" s="40"/>
    </row>
    <row r="132" spans="1:16" s="41" customFormat="1" ht="54.75" customHeight="1">
      <c r="A132" s="42">
        <v>110</v>
      </c>
      <c r="B132" s="43" t="s">
        <v>152</v>
      </c>
      <c r="C132" s="42"/>
      <c r="D132" s="43"/>
      <c r="E132" s="43" t="s">
        <v>435</v>
      </c>
      <c r="F132" s="43" t="s">
        <v>153</v>
      </c>
      <c r="G132" s="44"/>
      <c r="H132" s="44"/>
      <c r="I132" s="44"/>
      <c r="J132" s="44"/>
      <c r="K132" s="44"/>
      <c r="L132" s="44"/>
      <c r="M132" s="44"/>
      <c r="N132" s="44"/>
      <c r="O132" s="45">
        <v>1</v>
      </c>
      <c r="P132" s="40"/>
    </row>
    <row r="133" spans="1:16" s="41" customFormat="1" ht="30" customHeight="1">
      <c r="A133" s="34">
        <v>111</v>
      </c>
      <c r="B133" s="35" t="s">
        <v>76</v>
      </c>
      <c r="C133" s="34" t="s">
        <v>415</v>
      </c>
      <c r="D133" s="35"/>
      <c r="E133" s="35" t="s">
        <v>435</v>
      </c>
      <c r="F133" s="35" t="s">
        <v>13</v>
      </c>
      <c r="G133" s="46"/>
      <c r="H133" s="44"/>
      <c r="I133" s="44"/>
      <c r="J133" s="46"/>
      <c r="K133" s="44"/>
      <c r="L133" s="44"/>
      <c r="M133" s="44"/>
      <c r="N133" s="44"/>
      <c r="O133" s="45"/>
      <c r="P133" s="40"/>
    </row>
    <row r="134" spans="1:16" s="41" customFormat="1" ht="30" customHeight="1">
      <c r="A134" s="34"/>
      <c r="B134" s="35"/>
      <c r="C134" s="34"/>
      <c r="D134" s="35"/>
      <c r="E134" s="35"/>
      <c r="F134" s="35"/>
      <c r="G134" s="46"/>
      <c r="H134" s="44"/>
      <c r="I134" s="44"/>
      <c r="J134" s="46"/>
      <c r="K134" s="44"/>
      <c r="L134" s="44"/>
      <c r="M134" s="44"/>
      <c r="N134" s="44"/>
      <c r="O134" s="45"/>
      <c r="P134" s="40"/>
    </row>
    <row r="135" spans="1:16" s="41" customFormat="1" ht="30" customHeight="1">
      <c r="A135" s="34"/>
      <c r="B135" s="35"/>
      <c r="C135" s="34"/>
      <c r="D135" s="35"/>
      <c r="E135" s="35"/>
      <c r="F135" s="35"/>
      <c r="G135" s="46"/>
      <c r="H135" s="44"/>
      <c r="I135" s="44"/>
      <c r="J135" s="46"/>
      <c r="K135" s="44"/>
      <c r="L135" s="44"/>
      <c r="M135" s="44"/>
      <c r="N135" s="44"/>
      <c r="O135" s="45"/>
      <c r="P135" s="40"/>
    </row>
    <row r="136" spans="1:16" s="41" customFormat="1" ht="30" customHeight="1">
      <c r="A136" s="48">
        <v>112</v>
      </c>
      <c r="B136" s="49" t="s">
        <v>154</v>
      </c>
      <c r="C136" s="48">
        <v>239</v>
      </c>
      <c r="D136" s="49" t="s">
        <v>155</v>
      </c>
      <c r="E136" s="49" t="s">
        <v>438</v>
      </c>
      <c r="F136" s="49"/>
      <c r="G136" s="29" t="s">
        <v>156</v>
      </c>
      <c r="H136" s="49" t="s">
        <v>467</v>
      </c>
      <c r="I136" s="49" t="s">
        <v>595</v>
      </c>
      <c r="J136" s="29" t="s">
        <v>468</v>
      </c>
      <c r="K136" s="49"/>
      <c r="L136" s="49" t="s">
        <v>469</v>
      </c>
      <c r="M136" s="49" t="s">
        <v>471</v>
      </c>
      <c r="N136" s="50" t="s">
        <v>470</v>
      </c>
      <c r="O136" s="45"/>
      <c r="P136" s="40"/>
    </row>
    <row r="137" spans="1:16" s="41" customFormat="1" ht="30" customHeight="1">
      <c r="A137" s="55"/>
      <c r="B137" s="56"/>
      <c r="C137" s="55"/>
      <c r="D137" s="56"/>
      <c r="E137" s="56"/>
      <c r="F137" s="56"/>
      <c r="G137" s="57" t="s">
        <v>157</v>
      </c>
      <c r="H137" s="56"/>
      <c r="I137" s="56"/>
      <c r="J137" s="57"/>
      <c r="K137" s="56"/>
      <c r="L137" s="56"/>
      <c r="M137" s="56"/>
      <c r="N137" s="58"/>
      <c r="O137" s="45"/>
      <c r="P137" s="40"/>
    </row>
    <row r="138" spans="1:16" s="41" customFormat="1" ht="30" customHeight="1">
      <c r="A138" s="51"/>
      <c r="B138" s="52"/>
      <c r="C138" s="51"/>
      <c r="D138" s="52"/>
      <c r="E138" s="52"/>
      <c r="F138" s="52"/>
      <c r="G138" s="53" t="s">
        <v>127</v>
      </c>
      <c r="H138" s="52"/>
      <c r="I138" s="52"/>
      <c r="J138" s="53"/>
      <c r="K138" s="52"/>
      <c r="L138" s="52"/>
      <c r="M138" s="52"/>
      <c r="N138" s="54"/>
      <c r="O138" s="45"/>
      <c r="P138" s="40"/>
    </row>
    <row r="139" spans="1:16" s="41" customFormat="1" ht="44.25" customHeight="1">
      <c r="A139" s="34">
        <v>113</v>
      </c>
      <c r="B139" s="35" t="s">
        <v>158</v>
      </c>
      <c r="C139" s="34"/>
      <c r="D139" s="35"/>
      <c r="E139" s="35" t="s">
        <v>435</v>
      </c>
      <c r="F139" s="35" t="s">
        <v>13</v>
      </c>
      <c r="G139" s="46"/>
      <c r="H139" s="44"/>
      <c r="I139" s="44"/>
      <c r="J139" s="46"/>
      <c r="K139" s="44"/>
      <c r="L139" s="44"/>
      <c r="M139" s="44"/>
      <c r="N139" s="44"/>
      <c r="O139" s="45"/>
      <c r="P139" s="40"/>
    </row>
    <row r="140" spans="1:16" s="41" customFormat="1" ht="30" customHeight="1">
      <c r="A140" s="42">
        <v>114</v>
      </c>
      <c r="B140" s="43" t="s">
        <v>76</v>
      </c>
      <c r="C140" s="42"/>
      <c r="D140" s="43"/>
      <c r="E140" s="43" t="s">
        <v>435</v>
      </c>
      <c r="F140" s="43" t="s">
        <v>13</v>
      </c>
      <c r="G140" s="44"/>
      <c r="H140" s="44"/>
      <c r="I140" s="44"/>
      <c r="J140" s="44"/>
      <c r="K140" s="44"/>
      <c r="L140" s="44"/>
      <c r="M140" s="44"/>
      <c r="N140" s="44"/>
      <c r="O140" s="45"/>
      <c r="P140" s="40"/>
    </row>
    <row r="141" spans="1:16" s="41" customFormat="1" ht="51">
      <c r="A141" s="34">
        <v>115</v>
      </c>
      <c r="B141" s="35" t="s">
        <v>159</v>
      </c>
      <c r="C141" s="34"/>
      <c r="D141" s="35" t="s">
        <v>160</v>
      </c>
      <c r="E141" s="35" t="s">
        <v>429</v>
      </c>
      <c r="F141" s="35"/>
      <c r="G141" s="80" t="s">
        <v>574</v>
      </c>
      <c r="H141" s="35" t="s">
        <v>472</v>
      </c>
      <c r="I141" s="35" t="s">
        <v>595</v>
      </c>
      <c r="J141" s="80" t="s">
        <v>459</v>
      </c>
      <c r="K141" s="35" t="s">
        <v>494</v>
      </c>
      <c r="L141" s="35" t="s">
        <v>474</v>
      </c>
      <c r="M141" s="35" t="s">
        <v>475</v>
      </c>
      <c r="N141" s="47" t="s">
        <v>473</v>
      </c>
      <c r="O141" s="45"/>
      <c r="P141" s="40"/>
    </row>
    <row r="142" spans="1:16" s="41" customFormat="1" ht="30" customHeight="1">
      <c r="A142" s="34"/>
      <c r="B142" s="35"/>
      <c r="C142" s="34"/>
      <c r="D142" s="35"/>
      <c r="E142" s="35"/>
      <c r="F142" s="35"/>
      <c r="G142" s="80" t="s">
        <v>162</v>
      </c>
      <c r="H142" s="35"/>
      <c r="I142" s="35"/>
      <c r="J142" s="80"/>
      <c r="K142" s="35"/>
      <c r="L142" s="35"/>
      <c r="M142" s="35"/>
      <c r="N142" s="47"/>
      <c r="O142" s="45"/>
      <c r="P142" s="40"/>
    </row>
    <row r="143" spans="1:16" s="41" customFormat="1" ht="30" customHeight="1">
      <c r="A143" s="48">
        <v>116</v>
      </c>
      <c r="B143" s="49" t="s">
        <v>163</v>
      </c>
      <c r="C143" s="48"/>
      <c r="D143" s="49" t="s">
        <v>164</v>
      </c>
      <c r="E143" s="49" t="s">
        <v>429</v>
      </c>
      <c r="F143" s="49"/>
      <c r="G143" s="49" t="s">
        <v>156</v>
      </c>
      <c r="H143" s="49"/>
      <c r="I143" s="49" t="s">
        <v>595</v>
      </c>
      <c r="J143" s="49" t="s">
        <v>468</v>
      </c>
      <c r="K143" s="49"/>
      <c r="L143" s="49" t="s">
        <v>476</v>
      </c>
      <c r="M143" s="49" t="s">
        <v>477</v>
      </c>
      <c r="N143" s="50"/>
      <c r="O143" s="45"/>
      <c r="P143" s="40"/>
    </row>
    <row r="144" spans="1:16" s="41" customFormat="1" ht="30" customHeight="1">
      <c r="A144" s="55"/>
      <c r="B144" s="56"/>
      <c r="C144" s="55"/>
      <c r="D144" s="56"/>
      <c r="E144" s="56"/>
      <c r="F144" s="56"/>
      <c r="G144" s="56" t="s">
        <v>157</v>
      </c>
      <c r="H144" s="56"/>
      <c r="I144" s="56"/>
      <c r="J144" s="56"/>
      <c r="K144" s="56"/>
      <c r="L144" s="56"/>
      <c r="M144" s="56"/>
      <c r="N144" s="58"/>
      <c r="O144" s="45"/>
      <c r="P144" s="40"/>
    </row>
    <row r="145" spans="1:16" s="41" customFormat="1" ht="30" customHeight="1">
      <c r="A145" s="55"/>
      <c r="B145" s="56"/>
      <c r="C145" s="55"/>
      <c r="D145" s="56"/>
      <c r="E145" s="56"/>
      <c r="F145" s="56"/>
      <c r="G145" s="56" t="s">
        <v>165</v>
      </c>
      <c r="H145" s="56"/>
      <c r="I145" s="56"/>
      <c r="J145" s="56"/>
      <c r="K145" s="56"/>
      <c r="L145" s="56"/>
      <c r="M145" s="56"/>
      <c r="N145" s="58"/>
      <c r="O145" s="45"/>
      <c r="P145" s="40"/>
    </row>
    <row r="146" spans="1:16" s="41" customFormat="1" ht="30" customHeight="1">
      <c r="A146" s="51"/>
      <c r="B146" s="52"/>
      <c r="C146" s="51"/>
      <c r="D146" s="52"/>
      <c r="E146" s="52"/>
      <c r="F146" s="52"/>
      <c r="G146" s="52"/>
      <c r="H146" s="52"/>
      <c r="I146" s="52"/>
      <c r="J146" s="52"/>
      <c r="K146" s="52"/>
      <c r="L146" s="52"/>
      <c r="M146" s="52"/>
      <c r="N146" s="54"/>
      <c r="O146" s="45"/>
      <c r="P146" s="40"/>
    </row>
    <row r="147" spans="1:16" s="41" customFormat="1" ht="30" customHeight="1">
      <c r="A147" s="34">
        <v>117</v>
      </c>
      <c r="B147" s="35" t="s">
        <v>166</v>
      </c>
      <c r="C147" s="34"/>
      <c r="D147" s="35"/>
      <c r="E147" s="35" t="s">
        <v>435</v>
      </c>
      <c r="F147" s="35" t="s">
        <v>13</v>
      </c>
      <c r="G147" s="46"/>
      <c r="H147" s="44"/>
      <c r="I147" s="44"/>
      <c r="J147" s="46"/>
      <c r="K147" s="44"/>
      <c r="L147" s="44"/>
      <c r="M147" s="44"/>
      <c r="N147" s="44"/>
      <c r="O147" s="45"/>
      <c r="P147" s="40"/>
    </row>
    <row r="148" spans="1:16" s="41" customFormat="1" ht="30" customHeight="1">
      <c r="A148" s="42">
        <v>118</v>
      </c>
      <c r="B148" s="43" t="s">
        <v>167</v>
      </c>
      <c r="C148" s="42"/>
      <c r="D148" s="43"/>
      <c r="E148" s="43" t="s">
        <v>429</v>
      </c>
      <c r="F148" s="43" t="s">
        <v>13</v>
      </c>
      <c r="G148" s="44"/>
      <c r="H148" s="44"/>
      <c r="I148" s="44"/>
      <c r="J148" s="44"/>
      <c r="K148" s="44"/>
      <c r="L148" s="44"/>
      <c r="M148" s="44"/>
      <c r="N148" s="44"/>
      <c r="O148" s="45"/>
      <c r="P148" s="40"/>
    </row>
    <row r="149" spans="1:16" s="41" customFormat="1" ht="60" customHeight="1">
      <c r="A149" s="34">
        <v>119</v>
      </c>
      <c r="B149" s="35" t="s">
        <v>152</v>
      </c>
      <c r="C149" s="34"/>
      <c r="D149" s="35"/>
      <c r="E149" s="35" t="s">
        <v>429</v>
      </c>
      <c r="F149" s="35" t="s">
        <v>13</v>
      </c>
      <c r="G149" s="46"/>
      <c r="H149" s="44"/>
      <c r="I149" s="44"/>
      <c r="J149" s="46"/>
      <c r="K149" s="44"/>
      <c r="L149" s="44"/>
      <c r="M149" s="44"/>
      <c r="N149" s="44"/>
      <c r="O149" s="45"/>
      <c r="P149" s="40"/>
    </row>
    <row r="150" spans="1:16" s="41" customFormat="1" ht="30" customHeight="1">
      <c r="A150" s="48">
        <v>120</v>
      </c>
      <c r="B150" s="49" t="s">
        <v>168</v>
      </c>
      <c r="C150" s="48" t="s">
        <v>598</v>
      </c>
      <c r="D150" s="49" t="s">
        <v>169</v>
      </c>
      <c r="E150" s="49" t="s">
        <v>438</v>
      </c>
      <c r="F150" s="49"/>
      <c r="G150" s="29" t="s">
        <v>170</v>
      </c>
      <c r="H150" s="49" t="s">
        <v>478</v>
      </c>
      <c r="I150" s="49" t="s">
        <v>595</v>
      </c>
      <c r="J150" s="29" t="s">
        <v>462</v>
      </c>
      <c r="K150" s="49" t="s">
        <v>582</v>
      </c>
      <c r="L150" s="49"/>
      <c r="M150" s="49" t="s">
        <v>562</v>
      </c>
      <c r="N150" s="50" t="s">
        <v>478</v>
      </c>
      <c r="O150" s="45">
        <v>1</v>
      </c>
      <c r="P150" s="40"/>
    </row>
    <row r="151" spans="1:16" s="41" customFormat="1" ht="30" customHeight="1">
      <c r="A151" s="55"/>
      <c r="B151" s="56"/>
      <c r="C151" s="55"/>
      <c r="D151" s="56"/>
      <c r="E151" s="56"/>
      <c r="F151" s="56"/>
      <c r="G151" s="57" t="s">
        <v>171</v>
      </c>
      <c r="H151" s="56"/>
      <c r="I151" s="56"/>
      <c r="J151" s="57"/>
      <c r="K151" s="56"/>
      <c r="L151" s="56"/>
      <c r="M151" s="56"/>
      <c r="N151" s="58"/>
      <c r="O151" s="45"/>
      <c r="P151" s="40"/>
    </row>
    <row r="152" spans="1:16" s="41" customFormat="1" ht="30" customHeight="1">
      <c r="A152" s="55"/>
      <c r="B152" s="56"/>
      <c r="C152" s="55"/>
      <c r="D152" s="56"/>
      <c r="E152" s="56"/>
      <c r="F152" s="56"/>
      <c r="G152" s="57" t="s">
        <v>136</v>
      </c>
      <c r="H152" s="56"/>
      <c r="I152" s="56"/>
      <c r="J152" s="57"/>
      <c r="K152" s="56"/>
      <c r="L152" s="56"/>
      <c r="M152" s="56"/>
      <c r="N152" s="58"/>
      <c r="O152" s="45"/>
      <c r="P152" s="40"/>
    </row>
    <row r="153" spans="1:16" s="41" customFormat="1" ht="30" customHeight="1">
      <c r="A153" s="55"/>
      <c r="B153" s="56"/>
      <c r="C153" s="55"/>
      <c r="D153" s="56"/>
      <c r="E153" s="56"/>
      <c r="F153" s="56"/>
      <c r="G153" s="57" t="s">
        <v>172</v>
      </c>
      <c r="H153" s="56"/>
      <c r="I153" s="56"/>
      <c r="J153" s="57"/>
      <c r="K153" s="56"/>
      <c r="L153" s="56"/>
      <c r="M153" s="56"/>
      <c r="N153" s="58"/>
      <c r="O153" s="45"/>
      <c r="P153" s="40"/>
    </row>
    <row r="154" spans="1:16" s="41" customFormat="1" ht="30" customHeight="1">
      <c r="A154" s="55"/>
      <c r="B154" s="56"/>
      <c r="C154" s="55"/>
      <c r="D154" s="56"/>
      <c r="E154" s="56"/>
      <c r="F154" s="56"/>
      <c r="G154" s="57" t="s">
        <v>173</v>
      </c>
      <c r="H154" s="56"/>
      <c r="I154" s="56"/>
      <c r="J154" s="57"/>
      <c r="K154" s="56"/>
      <c r="L154" s="56"/>
      <c r="M154" s="56"/>
      <c r="N154" s="58"/>
      <c r="O154" s="45"/>
      <c r="P154" s="40"/>
    </row>
    <row r="155" spans="1:16" s="41" customFormat="1" ht="30" customHeight="1">
      <c r="A155" s="55"/>
      <c r="B155" s="56"/>
      <c r="C155" s="55"/>
      <c r="D155" s="56"/>
      <c r="E155" s="56"/>
      <c r="F155" s="56"/>
      <c r="G155" s="57" t="s">
        <v>174</v>
      </c>
      <c r="H155" s="56"/>
      <c r="I155" s="56"/>
      <c r="J155" s="57"/>
      <c r="K155" s="56"/>
      <c r="L155" s="56"/>
      <c r="M155" s="56"/>
      <c r="N155" s="58"/>
      <c r="O155" s="45"/>
      <c r="P155" s="40"/>
    </row>
    <row r="156" spans="1:16" s="41" customFormat="1" ht="30" customHeight="1">
      <c r="A156" s="51"/>
      <c r="B156" s="52"/>
      <c r="C156" s="51"/>
      <c r="D156" s="52"/>
      <c r="E156" s="52"/>
      <c r="F156" s="52"/>
      <c r="G156" s="53" t="s">
        <v>175</v>
      </c>
      <c r="H156" s="52"/>
      <c r="I156" s="52"/>
      <c r="J156" s="53"/>
      <c r="K156" s="52"/>
      <c r="L156" s="52"/>
      <c r="M156" s="52"/>
      <c r="N156" s="54"/>
      <c r="O156" s="45"/>
      <c r="P156" s="40"/>
    </row>
    <row r="157" spans="1:16" s="41" customFormat="1" ht="30" customHeight="1">
      <c r="A157" s="34">
        <v>121</v>
      </c>
      <c r="B157" s="35" t="s">
        <v>176</v>
      </c>
      <c r="C157" s="34" t="s">
        <v>416</v>
      </c>
      <c r="D157" s="35" t="s">
        <v>177</v>
      </c>
      <c r="E157" s="35" t="s">
        <v>431</v>
      </c>
      <c r="F157" s="35"/>
      <c r="G157" s="80" t="s">
        <v>136</v>
      </c>
      <c r="H157" s="35" t="s">
        <v>473</v>
      </c>
      <c r="I157" s="35" t="s">
        <v>595</v>
      </c>
      <c r="J157" s="80" t="s">
        <v>459</v>
      </c>
      <c r="K157" s="35" t="s">
        <v>599</v>
      </c>
      <c r="L157" s="80" t="s">
        <v>180</v>
      </c>
      <c r="M157" s="35" t="s">
        <v>562</v>
      </c>
      <c r="N157" s="47" t="s">
        <v>478</v>
      </c>
      <c r="O157" s="45">
        <v>1</v>
      </c>
      <c r="P157" s="40"/>
    </row>
    <row r="158" spans="1:16" s="41" customFormat="1" ht="30" customHeight="1">
      <c r="A158" s="34"/>
      <c r="B158" s="35"/>
      <c r="C158" s="34"/>
      <c r="D158" s="35"/>
      <c r="E158" s="35"/>
      <c r="F158" s="35"/>
      <c r="G158" s="80" t="s">
        <v>178</v>
      </c>
      <c r="H158" s="35"/>
      <c r="I158" s="35"/>
      <c r="J158" s="80"/>
      <c r="K158" s="35"/>
      <c r="L158" s="80" t="s">
        <v>178</v>
      </c>
      <c r="M158" s="35"/>
      <c r="N158" s="47"/>
      <c r="O158" s="45"/>
      <c r="P158" s="40"/>
    </row>
    <row r="159" spans="1:16" s="41" customFormat="1" ht="30" customHeight="1">
      <c r="A159" s="34"/>
      <c r="B159" s="35"/>
      <c r="C159" s="34"/>
      <c r="D159" s="35"/>
      <c r="E159" s="35"/>
      <c r="F159" s="35"/>
      <c r="G159" s="80" t="s">
        <v>179</v>
      </c>
      <c r="H159" s="35"/>
      <c r="I159" s="35"/>
      <c r="J159" s="80"/>
      <c r="K159" s="35"/>
      <c r="L159" s="80" t="s">
        <v>182</v>
      </c>
      <c r="M159" s="35"/>
      <c r="N159" s="47"/>
      <c r="O159" s="45"/>
      <c r="P159" s="40"/>
    </row>
    <row r="160" spans="1:16" s="41" customFormat="1" ht="30" customHeight="1">
      <c r="A160" s="34"/>
      <c r="B160" s="35"/>
      <c r="C160" s="34"/>
      <c r="D160" s="35"/>
      <c r="E160" s="35"/>
      <c r="F160" s="35"/>
      <c r="G160" s="80" t="s">
        <v>180</v>
      </c>
      <c r="H160" s="35"/>
      <c r="I160" s="35"/>
      <c r="J160" s="80"/>
      <c r="K160" s="35"/>
      <c r="L160" s="80" t="s">
        <v>194</v>
      </c>
      <c r="M160" s="35"/>
      <c r="N160" s="47"/>
      <c r="O160" s="45"/>
      <c r="P160" s="40"/>
    </row>
    <row r="161" spans="1:16" s="41" customFormat="1" ht="30" customHeight="1">
      <c r="A161" s="34"/>
      <c r="B161" s="35"/>
      <c r="C161" s="34"/>
      <c r="D161" s="35"/>
      <c r="E161" s="35"/>
      <c r="F161" s="35"/>
      <c r="G161" s="80" t="s">
        <v>181</v>
      </c>
      <c r="H161" s="35"/>
      <c r="I161" s="35"/>
      <c r="J161" s="80"/>
      <c r="K161" s="35"/>
      <c r="L161" s="80"/>
      <c r="M161" s="35"/>
      <c r="N161" s="47"/>
      <c r="O161" s="45"/>
      <c r="P161" s="40"/>
    </row>
    <row r="162" spans="1:16" s="41" customFormat="1" ht="30" customHeight="1">
      <c r="A162" s="34"/>
      <c r="B162" s="35"/>
      <c r="C162" s="34"/>
      <c r="D162" s="35"/>
      <c r="E162" s="35"/>
      <c r="F162" s="35"/>
      <c r="G162" s="80" t="s">
        <v>182</v>
      </c>
      <c r="H162" s="35"/>
      <c r="I162" s="35"/>
      <c r="J162" s="80"/>
      <c r="K162" s="35"/>
      <c r="L162" s="80"/>
      <c r="M162" s="35"/>
      <c r="N162" s="47"/>
      <c r="O162" s="45"/>
      <c r="P162" s="40"/>
    </row>
    <row r="163" spans="1:16" s="41" customFormat="1" ht="30" customHeight="1">
      <c r="A163" s="34"/>
      <c r="B163" s="35"/>
      <c r="C163" s="34"/>
      <c r="D163" s="35"/>
      <c r="E163" s="35"/>
      <c r="F163" s="35"/>
      <c r="G163" s="80" t="s">
        <v>183</v>
      </c>
      <c r="H163" s="35"/>
      <c r="I163" s="35"/>
      <c r="J163" s="80"/>
      <c r="K163" s="35"/>
      <c r="L163" s="80"/>
      <c r="M163" s="35"/>
      <c r="N163" s="47"/>
      <c r="O163" s="45"/>
      <c r="P163" s="40"/>
    </row>
    <row r="164" spans="1:16" s="41" customFormat="1" ht="30" customHeight="1">
      <c r="A164" s="34"/>
      <c r="B164" s="35"/>
      <c r="C164" s="34"/>
      <c r="D164" s="35"/>
      <c r="E164" s="35"/>
      <c r="F164" s="35"/>
      <c r="G164" s="80" t="s">
        <v>184</v>
      </c>
      <c r="H164" s="35"/>
      <c r="I164" s="35"/>
      <c r="J164" s="80"/>
      <c r="K164" s="35"/>
      <c r="L164" s="80"/>
      <c r="M164" s="35"/>
      <c r="N164" s="47"/>
      <c r="O164" s="45"/>
      <c r="P164" s="40"/>
    </row>
    <row r="165" spans="1:16" s="41" customFormat="1" ht="30" customHeight="1">
      <c r="A165" s="34"/>
      <c r="B165" s="35"/>
      <c r="C165" s="34"/>
      <c r="D165" s="35"/>
      <c r="E165" s="35"/>
      <c r="F165" s="35"/>
      <c r="G165" s="80" t="s">
        <v>185</v>
      </c>
      <c r="H165" s="35"/>
      <c r="I165" s="35"/>
      <c r="J165" s="80"/>
      <c r="K165" s="35"/>
      <c r="L165" s="80"/>
      <c r="M165" s="35"/>
      <c r="N165" s="47"/>
      <c r="O165" s="45"/>
      <c r="P165" s="40"/>
    </row>
    <row r="166" spans="1:16" s="41" customFormat="1" ht="30" customHeight="1">
      <c r="A166" s="34"/>
      <c r="B166" s="35"/>
      <c r="C166" s="34"/>
      <c r="D166" s="35"/>
      <c r="E166" s="35"/>
      <c r="F166" s="35"/>
      <c r="G166" s="80" t="s">
        <v>186</v>
      </c>
      <c r="H166" s="35"/>
      <c r="I166" s="35"/>
      <c r="J166" s="80"/>
      <c r="K166" s="35"/>
      <c r="L166" s="80"/>
      <c r="M166" s="35"/>
      <c r="N166" s="47"/>
      <c r="O166" s="45"/>
      <c r="P166" s="40"/>
    </row>
    <row r="167" spans="1:16" s="41" customFormat="1" ht="30" customHeight="1">
      <c r="A167" s="34"/>
      <c r="B167" s="35"/>
      <c r="C167" s="34"/>
      <c r="D167" s="35"/>
      <c r="E167" s="35"/>
      <c r="F167" s="35"/>
      <c r="G167" s="80" t="s">
        <v>187</v>
      </c>
      <c r="H167" s="35"/>
      <c r="I167" s="35"/>
      <c r="J167" s="80"/>
      <c r="K167" s="35"/>
      <c r="L167" s="80"/>
      <c r="M167" s="35"/>
      <c r="N167" s="47"/>
      <c r="O167" s="45"/>
      <c r="P167" s="40"/>
    </row>
    <row r="168" spans="1:16" s="41" customFormat="1" ht="30" customHeight="1">
      <c r="A168" s="34"/>
      <c r="B168" s="35"/>
      <c r="C168" s="34"/>
      <c r="D168" s="35"/>
      <c r="E168" s="35"/>
      <c r="F168" s="35"/>
      <c r="G168" s="80" t="s">
        <v>188</v>
      </c>
      <c r="H168" s="35"/>
      <c r="I168" s="35"/>
      <c r="J168" s="80"/>
      <c r="K168" s="35"/>
      <c r="L168" s="80"/>
      <c r="M168" s="35"/>
      <c r="N168" s="47"/>
      <c r="O168" s="45"/>
      <c r="P168" s="40"/>
    </row>
    <row r="169" spans="1:16" s="41" customFormat="1" ht="30" customHeight="1">
      <c r="A169" s="34"/>
      <c r="B169" s="35"/>
      <c r="C169" s="34"/>
      <c r="D169" s="35"/>
      <c r="E169" s="35"/>
      <c r="F169" s="35"/>
      <c r="G169" s="80" t="s">
        <v>189</v>
      </c>
      <c r="H169" s="35"/>
      <c r="I169" s="35"/>
      <c r="J169" s="80"/>
      <c r="K169" s="35"/>
      <c r="L169" s="80"/>
      <c r="M169" s="35"/>
      <c r="N169" s="47"/>
      <c r="O169" s="45"/>
      <c r="P169" s="40"/>
    </row>
    <row r="170" spans="1:16" s="41" customFormat="1" ht="30" customHeight="1">
      <c r="A170" s="34"/>
      <c r="B170" s="35"/>
      <c r="C170" s="34"/>
      <c r="D170" s="35"/>
      <c r="E170" s="35"/>
      <c r="F170" s="35"/>
      <c r="G170" s="80" t="s">
        <v>190</v>
      </c>
      <c r="H170" s="35"/>
      <c r="I170" s="35"/>
      <c r="J170" s="80"/>
      <c r="K170" s="35"/>
      <c r="L170" s="80"/>
      <c r="M170" s="35"/>
      <c r="N170" s="47"/>
      <c r="O170" s="45"/>
      <c r="P170" s="40"/>
    </row>
    <row r="171" spans="1:16" s="41" customFormat="1" ht="30" customHeight="1">
      <c r="A171" s="34"/>
      <c r="B171" s="35"/>
      <c r="C171" s="34"/>
      <c r="D171" s="35"/>
      <c r="E171" s="35"/>
      <c r="F171" s="35"/>
      <c r="G171" s="80" t="s">
        <v>191</v>
      </c>
      <c r="H171" s="35"/>
      <c r="I171" s="35"/>
      <c r="J171" s="80"/>
      <c r="K171" s="35"/>
      <c r="L171" s="80"/>
      <c r="M171" s="35"/>
      <c r="N171" s="47"/>
      <c r="O171" s="45"/>
      <c r="P171" s="40"/>
    </row>
    <row r="172" spans="1:16" s="41" customFormat="1" ht="30" customHeight="1">
      <c r="A172" s="34"/>
      <c r="B172" s="35"/>
      <c r="C172" s="34"/>
      <c r="D172" s="35"/>
      <c r="E172" s="35"/>
      <c r="F172" s="35"/>
      <c r="G172" s="80" t="s">
        <v>192</v>
      </c>
      <c r="H172" s="35"/>
      <c r="I172" s="35"/>
      <c r="J172" s="80"/>
      <c r="K172" s="35"/>
      <c r="L172" s="80"/>
      <c r="M172" s="35"/>
      <c r="N172" s="47"/>
      <c r="O172" s="45"/>
      <c r="P172" s="40"/>
    </row>
    <row r="173" spans="1:16" s="41" customFormat="1" ht="30" customHeight="1">
      <c r="A173" s="34"/>
      <c r="B173" s="35"/>
      <c r="C173" s="34"/>
      <c r="D173" s="35"/>
      <c r="E173" s="35"/>
      <c r="F173" s="35"/>
      <c r="G173" s="80" t="s">
        <v>193</v>
      </c>
      <c r="H173" s="35"/>
      <c r="I173" s="35"/>
      <c r="J173" s="80"/>
      <c r="K173" s="35"/>
      <c r="L173" s="80"/>
      <c r="M173" s="35"/>
      <c r="N173" s="47"/>
      <c r="O173" s="45"/>
      <c r="P173" s="40"/>
    </row>
    <row r="174" spans="1:16" s="41" customFormat="1" ht="30" customHeight="1">
      <c r="A174" s="34"/>
      <c r="B174" s="35"/>
      <c r="C174" s="34"/>
      <c r="D174" s="35"/>
      <c r="E174" s="35"/>
      <c r="F174" s="35"/>
      <c r="G174" s="80" t="s">
        <v>194</v>
      </c>
      <c r="H174" s="35"/>
      <c r="I174" s="35"/>
      <c r="J174" s="80"/>
      <c r="K174" s="35"/>
      <c r="L174" s="80"/>
      <c r="M174" s="35"/>
      <c r="N174" s="47"/>
      <c r="O174" s="45"/>
      <c r="P174" s="40"/>
    </row>
    <row r="175" spans="1:16" s="41" customFormat="1" ht="30" customHeight="1">
      <c r="A175" s="34"/>
      <c r="B175" s="35"/>
      <c r="C175" s="34"/>
      <c r="D175" s="35"/>
      <c r="E175" s="35"/>
      <c r="F175" s="35"/>
      <c r="G175" s="80" t="s">
        <v>583</v>
      </c>
      <c r="H175" s="35"/>
      <c r="I175" s="35"/>
      <c r="J175" s="80"/>
      <c r="K175" s="35"/>
      <c r="L175" s="80"/>
      <c r="M175" s="35"/>
      <c r="N175" s="47"/>
      <c r="O175" s="45"/>
      <c r="P175" s="40"/>
    </row>
    <row r="176" spans="1:16" s="41" customFormat="1" ht="30" customHeight="1">
      <c r="A176" s="34"/>
      <c r="B176" s="35"/>
      <c r="C176" s="34"/>
      <c r="D176" s="35"/>
      <c r="E176" s="35"/>
      <c r="F176" s="35"/>
      <c r="G176" s="80" t="s">
        <v>195</v>
      </c>
      <c r="H176" s="35"/>
      <c r="I176" s="35"/>
      <c r="J176" s="80"/>
      <c r="K176" s="35"/>
      <c r="L176" s="80"/>
      <c r="M176" s="35"/>
      <c r="N176" s="47"/>
      <c r="O176" s="45"/>
      <c r="P176" s="40"/>
    </row>
    <row r="177" spans="1:16" s="41" customFormat="1" ht="30" customHeight="1">
      <c r="A177" s="34"/>
      <c r="B177" s="35"/>
      <c r="C177" s="34"/>
      <c r="D177" s="35"/>
      <c r="E177" s="35"/>
      <c r="F177" s="35"/>
      <c r="G177" s="80" t="s">
        <v>196</v>
      </c>
      <c r="H177" s="35"/>
      <c r="I177" s="35"/>
      <c r="J177" s="80"/>
      <c r="K177" s="35"/>
      <c r="L177" s="80"/>
      <c r="M177" s="35"/>
      <c r="N177" s="47"/>
      <c r="O177" s="45"/>
      <c r="P177" s="40"/>
    </row>
    <row r="178" spans="1:16" s="41" customFormat="1" ht="30" customHeight="1">
      <c r="A178" s="34"/>
      <c r="B178" s="35"/>
      <c r="C178" s="34"/>
      <c r="D178" s="35"/>
      <c r="E178" s="35"/>
      <c r="F178" s="35"/>
      <c r="G178" s="80" t="s">
        <v>179</v>
      </c>
      <c r="H178" s="35"/>
      <c r="I178" s="35"/>
      <c r="J178" s="80"/>
      <c r="K178" s="35"/>
      <c r="L178" s="80"/>
      <c r="M178" s="35"/>
      <c r="N178" s="47"/>
      <c r="O178" s="45"/>
      <c r="P178" s="40"/>
    </row>
    <row r="179" spans="1:16" s="41" customFormat="1" ht="30" customHeight="1">
      <c r="A179" s="34"/>
      <c r="B179" s="35"/>
      <c r="C179" s="34"/>
      <c r="D179" s="35"/>
      <c r="E179" s="35"/>
      <c r="F179" s="35"/>
      <c r="G179" s="80" t="s">
        <v>114</v>
      </c>
      <c r="H179" s="35"/>
      <c r="I179" s="35"/>
      <c r="J179" s="80"/>
      <c r="K179" s="35"/>
      <c r="L179" s="80"/>
      <c r="M179" s="35"/>
      <c r="N179" s="47"/>
      <c r="O179" s="45"/>
      <c r="P179" s="40"/>
    </row>
    <row r="180" spans="1:16" s="41" customFormat="1" ht="68.25" customHeight="1">
      <c r="A180" s="42">
        <v>122</v>
      </c>
      <c r="B180" s="43" t="s">
        <v>197</v>
      </c>
      <c r="C180" s="42">
        <v>238</v>
      </c>
      <c r="D180" s="43" t="s">
        <v>198</v>
      </c>
      <c r="E180" s="43" t="s">
        <v>431</v>
      </c>
      <c r="F180" s="43"/>
      <c r="G180" s="43" t="s">
        <v>610</v>
      </c>
      <c r="H180" s="43" t="s">
        <v>479</v>
      </c>
      <c r="I180" s="43" t="s">
        <v>595</v>
      </c>
      <c r="J180" s="43" t="s">
        <v>468</v>
      </c>
      <c r="K180" s="43"/>
      <c r="L180" s="43" t="s">
        <v>610</v>
      </c>
      <c r="M180" s="43" t="s">
        <v>472</v>
      </c>
      <c r="N180" s="43" t="s">
        <v>480</v>
      </c>
      <c r="O180" s="45"/>
      <c r="P180" s="40"/>
    </row>
    <row r="181" spans="1:16" s="41" customFormat="1" ht="51">
      <c r="A181" s="34">
        <v>123</v>
      </c>
      <c r="B181" s="35" t="s">
        <v>199</v>
      </c>
      <c r="C181" s="34">
        <v>240</v>
      </c>
      <c r="D181" s="35" t="s">
        <v>200</v>
      </c>
      <c r="E181" s="35" t="s">
        <v>481</v>
      </c>
      <c r="F181" s="35"/>
      <c r="G181" s="80" t="s">
        <v>603</v>
      </c>
      <c r="H181" s="35" t="s">
        <v>478</v>
      </c>
      <c r="I181" s="35" t="s">
        <v>595</v>
      </c>
      <c r="J181" s="80" t="s">
        <v>459</v>
      </c>
      <c r="K181" s="35" t="s">
        <v>602</v>
      </c>
      <c r="L181" s="35"/>
      <c r="M181" s="35" t="s">
        <v>484</v>
      </c>
      <c r="N181" s="47" t="s">
        <v>480</v>
      </c>
      <c r="O181" s="45">
        <v>1</v>
      </c>
      <c r="P181" s="40"/>
    </row>
    <row r="182" spans="1:16" s="41" customFormat="1" ht="179.25" customHeight="1">
      <c r="A182" s="48">
        <v>124</v>
      </c>
      <c r="B182" s="49" t="s">
        <v>202</v>
      </c>
      <c r="C182" s="48" t="s">
        <v>417</v>
      </c>
      <c r="D182" s="49" t="s">
        <v>203</v>
      </c>
      <c r="E182" s="49" t="s">
        <v>429</v>
      </c>
      <c r="F182" s="49"/>
      <c r="G182" s="29" t="s">
        <v>575</v>
      </c>
      <c r="H182" s="49" t="s">
        <v>482</v>
      </c>
      <c r="I182" s="49" t="s">
        <v>595</v>
      </c>
      <c r="J182" s="29" t="s">
        <v>468</v>
      </c>
      <c r="K182" s="49"/>
      <c r="L182" s="49" t="s">
        <v>483</v>
      </c>
      <c r="M182" s="49" t="s">
        <v>484</v>
      </c>
      <c r="N182" s="50" t="s">
        <v>482</v>
      </c>
      <c r="O182" s="45"/>
      <c r="P182" s="40"/>
    </row>
    <row r="183" spans="1:16" s="41" customFormat="1" ht="30" customHeight="1">
      <c r="A183" s="34">
        <v>125</v>
      </c>
      <c r="B183" s="35" t="s">
        <v>205</v>
      </c>
      <c r="C183" s="34" t="s">
        <v>418</v>
      </c>
      <c r="D183" s="35" t="s">
        <v>206</v>
      </c>
      <c r="E183" s="35" t="s">
        <v>438</v>
      </c>
      <c r="F183" s="35"/>
      <c r="G183" s="80" t="s">
        <v>179</v>
      </c>
      <c r="H183" s="35" t="s">
        <v>485</v>
      </c>
      <c r="I183" s="35" t="s">
        <v>594</v>
      </c>
      <c r="J183" s="80" t="s">
        <v>462</v>
      </c>
      <c r="K183" s="35" t="s">
        <v>578</v>
      </c>
      <c r="L183" s="35" t="s">
        <v>584</v>
      </c>
      <c r="M183" s="35" t="s">
        <v>487</v>
      </c>
      <c r="N183" s="47" t="s">
        <v>486</v>
      </c>
      <c r="O183" s="45">
        <v>1</v>
      </c>
      <c r="P183" s="40"/>
    </row>
    <row r="184" spans="1:16" s="41" customFormat="1" ht="30" customHeight="1">
      <c r="A184" s="34"/>
      <c r="B184" s="35"/>
      <c r="C184" s="34"/>
      <c r="D184" s="35"/>
      <c r="E184" s="35"/>
      <c r="F184" s="35"/>
      <c r="G184" s="80" t="s">
        <v>208</v>
      </c>
      <c r="H184" s="35"/>
      <c r="I184" s="35"/>
      <c r="J184" s="80"/>
      <c r="K184" s="35" t="s">
        <v>207</v>
      </c>
      <c r="L184" s="35"/>
      <c r="M184" s="35"/>
      <c r="N184" s="47"/>
      <c r="O184" s="45"/>
      <c r="P184" s="40"/>
    </row>
    <row r="185" spans="1:16" s="41" customFormat="1" ht="30" customHeight="1">
      <c r="A185" s="34"/>
      <c r="B185" s="35"/>
      <c r="C185" s="34"/>
      <c r="D185" s="35"/>
      <c r="E185" s="35"/>
      <c r="F185" s="35"/>
      <c r="G185" s="80" t="s">
        <v>209</v>
      </c>
      <c r="H185" s="35"/>
      <c r="I185" s="35"/>
      <c r="J185" s="80"/>
      <c r="K185" s="35"/>
      <c r="L185" s="35"/>
      <c r="M185" s="35"/>
      <c r="N185" s="47"/>
      <c r="O185" s="45"/>
      <c r="P185" s="40"/>
    </row>
    <row r="186" spans="1:16" s="41" customFormat="1" ht="30" customHeight="1">
      <c r="A186" s="34"/>
      <c r="B186" s="35"/>
      <c r="C186" s="34"/>
      <c r="D186" s="35"/>
      <c r="E186" s="35"/>
      <c r="F186" s="35"/>
      <c r="G186" s="80" t="s">
        <v>210</v>
      </c>
      <c r="H186" s="35"/>
      <c r="I186" s="35"/>
      <c r="J186" s="80"/>
      <c r="K186" s="35"/>
      <c r="L186" s="35"/>
      <c r="M186" s="35"/>
      <c r="N186" s="47"/>
      <c r="O186" s="45"/>
      <c r="P186" s="40"/>
    </row>
    <row r="187" spans="1:16" s="41" customFormat="1" ht="30" customHeight="1">
      <c r="A187" s="34"/>
      <c r="B187" s="35"/>
      <c r="C187" s="34"/>
      <c r="D187" s="35"/>
      <c r="E187" s="35"/>
      <c r="F187" s="35"/>
      <c r="G187" s="80" t="s">
        <v>211</v>
      </c>
      <c r="H187" s="35"/>
      <c r="I187" s="35"/>
      <c r="J187" s="80"/>
      <c r="K187" s="35"/>
      <c r="L187" s="35"/>
      <c r="M187" s="35"/>
      <c r="N187" s="47"/>
      <c r="O187" s="45"/>
      <c r="P187" s="40"/>
    </row>
    <row r="188" spans="1:16" s="41" customFormat="1" ht="30" customHeight="1">
      <c r="A188" s="34"/>
      <c r="B188" s="35"/>
      <c r="C188" s="34"/>
      <c r="D188" s="35"/>
      <c r="E188" s="35"/>
      <c r="F188" s="35"/>
      <c r="G188" s="80" t="s">
        <v>136</v>
      </c>
      <c r="H188" s="35"/>
      <c r="I188" s="35"/>
      <c r="J188" s="80"/>
      <c r="K188" s="35"/>
      <c r="L188" s="35"/>
      <c r="M188" s="35"/>
      <c r="N188" s="47"/>
      <c r="O188" s="45"/>
      <c r="P188" s="40"/>
    </row>
    <row r="189" spans="1:16" s="41" customFormat="1" ht="30" customHeight="1">
      <c r="A189" s="34"/>
      <c r="B189" s="35"/>
      <c r="C189" s="34"/>
      <c r="D189" s="35"/>
      <c r="E189" s="35"/>
      <c r="F189" s="35"/>
      <c r="G189" s="80" t="s">
        <v>195</v>
      </c>
      <c r="H189" s="35"/>
      <c r="I189" s="35"/>
      <c r="J189" s="80"/>
      <c r="K189" s="35"/>
      <c r="L189" s="35"/>
      <c r="M189" s="35"/>
      <c r="N189" s="47"/>
      <c r="O189" s="45"/>
      <c r="P189" s="40"/>
    </row>
    <row r="190" spans="1:16" s="41" customFormat="1" ht="30" customHeight="1">
      <c r="A190" s="34"/>
      <c r="B190" s="35"/>
      <c r="C190" s="34"/>
      <c r="D190" s="35"/>
      <c r="E190" s="35"/>
      <c r="F190" s="35"/>
      <c r="G190" s="80" t="s">
        <v>114</v>
      </c>
      <c r="H190" s="35"/>
      <c r="I190" s="35"/>
      <c r="J190" s="80"/>
      <c r="K190" s="35"/>
      <c r="L190" s="35"/>
      <c r="M190" s="35"/>
      <c r="N190" s="47"/>
      <c r="O190" s="45"/>
      <c r="P190" s="40"/>
    </row>
    <row r="191" spans="1:16" s="41" customFormat="1" ht="30" customHeight="1">
      <c r="A191" s="34"/>
      <c r="B191" s="35"/>
      <c r="C191" s="34"/>
      <c r="D191" s="35"/>
      <c r="E191" s="35"/>
      <c r="F191" s="35"/>
      <c r="G191" s="80" t="s">
        <v>72</v>
      </c>
      <c r="H191" s="35"/>
      <c r="I191" s="35"/>
      <c r="J191" s="80"/>
      <c r="K191" s="35"/>
      <c r="L191" s="35"/>
      <c r="M191" s="35"/>
      <c r="N191" s="47"/>
      <c r="O191" s="45"/>
      <c r="P191" s="40"/>
    </row>
    <row r="192" spans="1:16" s="41" customFormat="1" ht="30" customHeight="1">
      <c r="A192" s="34"/>
      <c r="B192" s="35"/>
      <c r="C192" s="34"/>
      <c r="D192" s="35"/>
      <c r="E192" s="35"/>
      <c r="F192" s="35"/>
      <c r="G192" s="80" t="s">
        <v>178</v>
      </c>
      <c r="H192" s="35"/>
      <c r="I192" s="35"/>
      <c r="J192" s="80"/>
      <c r="K192" s="35"/>
      <c r="L192" s="35"/>
      <c r="M192" s="35"/>
      <c r="N192" s="47"/>
      <c r="O192" s="45"/>
      <c r="P192" s="40"/>
    </row>
    <row r="193" spans="1:16" s="41" customFormat="1" ht="30" customHeight="1">
      <c r="A193" s="34"/>
      <c r="B193" s="35"/>
      <c r="C193" s="34"/>
      <c r="D193" s="35"/>
      <c r="E193" s="35"/>
      <c r="F193" s="35"/>
      <c r="G193" s="80" t="s">
        <v>180</v>
      </c>
      <c r="H193" s="35"/>
      <c r="I193" s="35"/>
      <c r="J193" s="80"/>
      <c r="K193" s="35"/>
      <c r="L193" s="35"/>
      <c r="M193" s="35"/>
      <c r="N193" s="47"/>
      <c r="O193" s="45"/>
      <c r="P193" s="40"/>
    </row>
    <row r="194" spans="1:16" s="41" customFormat="1" ht="30" customHeight="1">
      <c r="A194" s="34"/>
      <c r="B194" s="35"/>
      <c r="C194" s="34"/>
      <c r="D194" s="35"/>
      <c r="E194" s="35"/>
      <c r="F194" s="35"/>
      <c r="G194" s="80" t="s">
        <v>182</v>
      </c>
      <c r="H194" s="35"/>
      <c r="I194" s="35"/>
      <c r="J194" s="80"/>
      <c r="K194" s="35"/>
      <c r="L194" s="35"/>
      <c r="M194" s="35"/>
      <c r="N194" s="47"/>
      <c r="O194" s="45"/>
      <c r="P194" s="40"/>
    </row>
    <row r="195" spans="1:16" s="41" customFormat="1" ht="30" customHeight="1">
      <c r="A195" s="34"/>
      <c r="B195" s="35"/>
      <c r="C195" s="34"/>
      <c r="D195" s="35"/>
      <c r="E195" s="35"/>
      <c r="F195" s="35"/>
      <c r="G195" s="80" t="s">
        <v>181</v>
      </c>
      <c r="H195" s="35"/>
      <c r="I195" s="35"/>
      <c r="J195" s="80"/>
      <c r="K195" s="35"/>
      <c r="L195" s="35"/>
      <c r="M195" s="35"/>
      <c r="N195" s="47"/>
      <c r="O195" s="45"/>
      <c r="P195" s="40"/>
    </row>
    <row r="196" spans="1:16" s="41" customFormat="1" ht="30" customHeight="1">
      <c r="A196" s="34"/>
      <c r="B196" s="35"/>
      <c r="C196" s="34"/>
      <c r="D196" s="35"/>
      <c r="E196" s="35"/>
      <c r="F196" s="35"/>
      <c r="G196" s="80" t="s">
        <v>134</v>
      </c>
      <c r="H196" s="35"/>
      <c r="I196" s="35"/>
      <c r="J196" s="80"/>
      <c r="K196" s="35"/>
      <c r="L196" s="35"/>
      <c r="M196" s="35"/>
      <c r="N196" s="47"/>
      <c r="O196" s="45"/>
      <c r="P196" s="40"/>
    </row>
    <row r="197" spans="1:16" s="41" customFormat="1" ht="30" customHeight="1">
      <c r="A197" s="34"/>
      <c r="B197" s="35"/>
      <c r="C197" s="34"/>
      <c r="D197" s="35"/>
      <c r="E197" s="35"/>
      <c r="F197" s="35"/>
      <c r="G197" s="80" t="s">
        <v>173</v>
      </c>
      <c r="H197" s="35"/>
      <c r="I197" s="35"/>
      <c r="J197" s="80"/>
      <c r="K197" s="35"/>
      <c r="L197" s="35"/>
      <c r="M197" s="35"/>
      <c r="N197" s="47"/>
      <c r="O197" s="45"/>
      <c r="P197" s="40"/>
    </row>
    <row r="198" spans="1:16" s="41" customFormat="1" ht="30" customHeight="1">
      <c r="A198" s="34"/>
      <c r="B198" s="35"/>
      <c r="C198" s="34"/>
      <c r="D198" s="35"/>
      <c r="E198" s="35"/>
      <c r="F198" s="35"/>
      <c r="G198" s="80" t="s">
        <v>204</v>
      </c>
      <c r="H198" s="35"/>
      <c r="I198" s="35"/>
      <c r="J198" s="80"/>
      <c r="K198" s="35"/>
      <c r="L198" s="35"/>
      <c r="M198" s="35"/>
      <c r="N198" s="47"/>
      <c r="O198" s="45"/>
      <c r="P198" s="40"/>
    </row>
    <row r="199" spans="1:16" s="41" customFormat="1" ht="30" customHeight="1">
      <c r="A199" s="34"/>
      <c r="B199" s="35"/>
      <c r="C199" s="34"/>
      <c r="D199" s="35"/>
      <c r="E199" s="35"/>
      <c r="F199" s="35"/>
      <c r="G199" s="80" t="s">
        <v>201</v>
      </c>
      <c r="H199" s="35"/>
      <c r="I199" s="35"/>
      <c r="J199" s="80"/>
      <c r="K199" s="35"/>
      <c r="L199" s="35"/>
      <c r="M199" s="35"/>
      <c r="N199" s="47"/>
      <c r="O199" s="45"/>
      <c r="P199" s="40"/>
    </row>
    <row r="200" spans="1:16" s="41" customFormat="1" ht="30" customHeight="1">
      <c r="A200" s="34"/>
      <c r="B200" s="35"/>
      <c r="C200" s="34"/>
      <c r="D200" s="35"/>
      <c r="E200" s="35"/>
      <c r="F200" s="35"/>
      <c r="G200" s="80" t="s">
        <v>52</v>
      </c>
      <c r="H200" s="35"/>
      <c r="I200" s="35"/>
      <c r="J200" s="80"/>
      <c r="K200" s="35"/>
      <c r="L200" s="35"/>
      <c r="M200" s="35"/>
      <c r="N200" s="47"/>
      <c r="O200" s="45"/>
      <c r="P200" s="40"/>
    </row>
    <row r="201" spans="1:16" s="41" customFormat="1" ht="30" customHeight="1">
      <c r="A201" s="34"/>
      <c r="B201" s="35"/>
      <c r="C201" s="34"/>
      <c r="D201" s="35"/>
      <c r="E201" s="35"/>
      <c r="F201" s="35"/>
      <c r="G201" s="80" t="s">
        <v>212</v>
      </c>
      <c r="H201" s="35"/>
      <c r="I201" s="35"/>
      <c r="J201" s="80"/>
      <c r="K201" s="35"/>
      <c r="L201" s="35"/>
      <c r="M201" s="35"/>
      <c r="N201" s="47"/>
      <c r="O201" s="45"/>
      <c r="P201" s="40"/>
    </row>
    <row r="202" spans="1:16" s="41" customFormat="1" ht="30" customHeight="1">
      <c r="A202" s="34"/>
      <c r="B202" s="35"/>
      <c r="C202" s="34"/>
      <c r="D202" s="35"/>
      <c r="E202" s="35"/>
      <c r="F202" s="35"/>
      <c r="G202" s="80" t="s">
        <v>213</v>
      </c>
      <c r="H202" s="35"/>
      <c r="I202" s="35"/>
      <c r="J202" s="80"/>
      <c r="K202" s="35"/>
      <c r="L202" s="35"/>
      <c r="M202" s="35"/>
      <c r="N202" s="47"/>
      <c r="O202" s="45"/>
      <c r="P202" s="40"/>
    </row>
    <row r="203" spans="1:16" s="41" customFormat="1" ht="30" customHeight="1">
      <c r="A203" s="34"/>
      <c r="B203" s="35"/>
      <c r="C203" s="34"/>
      <c r="D203" s="35"/>
      <c r="E203" s="35"/>
      <c r="F203" s="35"/>
      <c r="G203" s="80" t="s">
        <v>161</v>
      </c>
      <c r="H203" s="35"/>
      <c r="I203" s="35"/>
      <c r="J203" s="80"/>
      <c r="K203" s="35"/>
      <c r="L203" s="35"/>
      <c r="M203" s="35"/>
      <c r="N203" s="47"/>
      <c r="O203" s="45"/>
      <c r="P203" s="40"/>
    </row>
    <row r="204" spans="1:16" s="41" customFormat="1" ht="30" customHeight="1">
      <c r="A204" s="42">
        <v>126</v>
      </c>
      <c r="B204" s="43" t="s">
        <v>214</v>
      </c>
      <c r="C204" s="42">
        <v>247</v>
      </c>
      <c r="D204" s="43" t="s">
        <v>215</v>
      </c>
      <c r="E204" s="43" t="s">
        <v>431</v>
      </c>
      <c r="F204" s="43"/>
      <c r="G204" s="65" t="s">
        <v>621</v>
      </c>
      <c r="H204" s="43"/>
      <c r="I204" s="43"/>
      <c r="J204" s="65"/>
      <c r="K204" s="43"/>
      <c r="L204" s="43"/>
      <c r="M204" s="43"/>
      <c r="N204" s="66"/>
      <c r="O204" s="45">
        <v>1</v>
      </c>
      <c r="P204" s="40"/>
    </row>
    <row r="205" spans="1:16" s="41" customFormat="1" ht="30" customHeight="1">
      <c r="A205" s="34">
        <v>127</v>
      </c>
      <c r="B205" s="35" t="s">
        <v>76</v>
      </c>
      <c r="C205" s="34"/>
      <c r="D205" s="35"/>
      <c r="E205" s="35" t="s">
        <v>435</v>
      </c>
      <c r="F205" s="35" t="s">
        <v>13</v>
      </c>
      <c r="G205" s="46"/>
      <c r="H205" s="44"/>
      <c r="I205" s="44"/>
      <c r="J205" s="46"/>
      <c r="K205" s="44"/>
      <c r="L205" s="44"/>
      <c r="M205" s="44"/>
      <c r="N205" s="44"/>
      <c r="O205" s="45"/>
      <c r="P205" s="40"/>
    </row>
    <row r="206" spans="1:16" s="41" customFormat="1" ht="30" customHeight="1">
      <c r="A206" s="48">
        <v>128</v>
      </c>
      <c r="B206" s="49" t="s">
        <v>106</v>
      </c>
      <c r="C206" s="48"/>
      <c r="D206" s="49"/>
      <c r="E206" s="49" t="s">
        <v>438</v>
      </c>
      <c r="F206" s="49"/>
      <c r="G206" s="29" t="s">
        <v>105</v>
      </c>
      <c r="H206" s="49" t="s">
        <v>440</v>
      </c>
      <c r="I206" s="49" t="s">
        <v>595</v>
      </c>
      <c r="J206" s="29" t="s">
        <v>468</v>
      </c>
      <c r="K206" s="49"/>
      <c r="L206" s="29" t="s">
        <v>105</v>
      </c>
      <c r="M206" s="49" t="s">
        <v>613</v>
      </c>
      <c r="N206" s="50"/>
      <c r="O206" s="45"/>
      <c r="P206" s="40"/>
    </row>
    <row r="207" spans="1:16" s="41" customFormat="1" ht="30" customHeight="1">
      <c r="A207" s="51"/>
      <c r="B207" s="52"/>
      <c r="C207" s="51"/>
      <c r="D207" s="52"/>
      <c r="E207" s="52"/>
      <c r="F207" s="52"/>
      <c r="G207" s="53" t="s">
        <v>119</v>
      </c>
      <c r="H207" s="52"/>
      <c r="I207" s="52"/>
      <c r="J207" s="53"/>
      <c r="K207" s="52"/>
      <c r="L207" s="53" t="s">
        <v>119</v>
      </c>
      <c r="M207" s="52"/>
      <c r="N207" s="54"/>
      <c r="O207" s="45"/>
      <c r="P207" s="40"/>
    </row>
    <row r="208" spans="1:16" s="41" customFormat="1" ht="30" customHeight="1">
      <c r="A208" s="34">
        <v>129</v>
      </c>
      <c r="B208" s="35" t="s">
        <v>216</v>
      </c>
      <c r="C208" s="34" t="s">
        <v>419</v>
      </c>
      <c r="D208" s="35"/>
      <c r="E208" s="35" t="s">
        <v>438</v>
      </c>
      <c r="F208" s="35"/>
      <c r="G208" s="35" t="s">
        <v>105</v>
      </c>
      <c r="H208" s="35" t="s">
        <v>440</v>
      </c>
      <c r="I208" s="35" t="s">
        <v>595</v>
      </c>
      <c r="J208" s="35" t="s">
        <v>468</v>
      </c>
      <c r="K208" s="35"/>
      <c r="L208" s="35" t="s">
        <v>105</v>
      </c>
      <c r="M208" s="35" t="s">
        <v>613</v>
      </c>
      <c r="N208" s="47"/>
      <c r="O208" s="45"/>
      <c r="P208" s="40"/>
    </row>
    <row r="209" spans="1:16" s="41" customFormat="1" ht="30" customHeight="1">
      <c r="A209" s="34"/>
      <c r="B209" s="35"/>
      <c r="C209" s="34"/>
      <c r="D209" s="35"/>
      <c r="E209" s="35"/>
      <c r="F209" s="35"/>
      <c r="G209" s="35" t="s">
        <v>119</v>
      </c>
      <c r="H209" s="35"/>
      <c r="I209" s="35"/>
      <c r="J209" s="35"/>
      <c r="K209" s="35"/>
      <c r="L209" s="35" t="s">
        <v>119</v>
      </c>
      <c r="M209" s="35"/>
      <c r="N209" s="47"/>
      <c r="O209" s="45"/>
      <c r="P209" s="40"/>
    </row>
    <row r="210" spans="1:16" s="41" customFormat="1" ht="30" customHeight="1">
      <c r="A210" s="42">
        <v>130</v>
      </c>
      <c r="B210" s="43" t="s">
        <v>76</v>
      </c>
      <c r="C210" s="42"/>
      <c r="D210" s="43"/>
      <c r="E210" s="43" t="s">
        <v>435</v>
      </c>
      <c r="F210" s="43" t="s">
        <v>13</v>
      </c>
      <c r="G210" s="44"/>
      <c r="H210" s="44"/>
      <c r="I210" s="44"/>
      <c r="J210" s="44"/>
      <c r="K210" s="44"/>
      <c r="L210" s="44"/>
      <c r="M210" s="44"/>
      <c r="N210" s="44"/>
      <c r="O210" s="45"/>
      <c r="P210" s="40"/>
    </row>
    <row r="211" spans="1:16" s="41" customFormat="1" ht="30" customHeight="1">
      <c r="A211" s="34">
        <v>131</v>
      </c>
      <c r="B211" s="35" t="s">
        <v>217</v>
      </c>
      <c r="C211" s="34">
        <v>253</v>
      </c>
      <c r="D211" s="35"/>
      <c r="E211" s="35" t="s">
        <v>435</v>
      </c>
      <c r="F211" s="35" t="s">
        <v>13</v>
      </c>
      <c r="G211" s="46"/>
      <c r="H211" s="44"/>
      <c r="I211" s="44"/>
      <c r="J211" s="46"/>
      <c r="K211" s="44"/>
      <c r="L211" s="44"/>
      <c r="M211" s="44"/>
      <c r="N211" s="44"/>
      <c r="O211" s="45"/>
      <c r="P211" s="40"/>
    </row>
    <row r="212" spans="1:16" s="41" customFormat="1" ht="30" customHeight="1">
      <c r="A212" s="48">
        <v>132</v>
      </c>
      <c r="B212" s="49" t="s">
        <v>218</v>
      </c>
      <c r="C212" s="48"/>
      <c r="D212" s="49" t="s">
        <v>219</v>
      </c>
      <c r="E212" s="49" t="s">
        <v>437</v>
      </c>
      <c r="F212" s="49"/>
      <c r="G212" s="29" t="s">
        <v>63</v>
      </c>
      <c r="H212" s="49" t="s">
        <v>441</v>
      </c>
      <c r="I212" s="49" t="s">
        <v>595</v>
      </c>
      <c r="J212" s="29" t="s">
        <v>459</v>
      </c>
      <c r="K212" s="49" t="s">
        <v>563</v>
      </c>
      <c r="L212" s="29" t="s">
        <v>63</v>
      </c>
      <c r="M212" s="49" t="s">
        <v>443</v>
      </c>
      <c r="N212" s="50"/>
      <c r="O212" s="45"/>
      <c r="P212" s="40"/>
    </row>
    <row r="213" spans="1:16" s="41" customFormat="1" ht="30" customHeight="1">
      <c r="A213" s="55"/>
      <c r="B213" s="56"/>
      <c r="C213" s="55"/>
      <c r="D213" s="56"/>
      <c r="E213" s="56"/>
      <c r="F213" s="56"/>
      <c r="G213" s="57" t="s">
        <v>220</v>
      </c>
      <c r="H213" s="56"/>
      <c r="I213" s="56"/>
      <c r="J213" s="57"/>
      <c r="K213" s="56"/>
      <c r="L213" s="57" t="s">
        <v>220</v>
      </c>
      <c r="M213" s="56"/>
      <c r="N213" s="58"/>
      <c r="O213" s="45"/>
      <c r="P213" s="40"/>
    </row>
    <row r="214" spans="1:16" s="41" customFormat="1" ht="30" customHeight="1">
      <c r="A214" s="55"/>
      <c r="B214" s="56"/>
      <c r="C214" s="55"/>
      <c r="D214" s="56"/>
      <c r="E214" s="56"/>
      <c r="F214" s="56"/>
      <c r="G214" s="57" t="s">
        <v>79</v>
      </c>
      <c r="H214" s="56"/>
      <c r="I214" s="56"/>
      <c r="J214" s="57"/>
      <c r="K214" s="56"/>
      <c r="L214" s="57" t="s">
        <v>79</v>
      </c>
      <c r="M214" s="56"/>
      <c r="N214" s="58"/>
      <c r="O214" s="45"/>
      <c r="P214" s="40"/>
    </row>
    <row r="215" spans="1:16" s="41" customFormat="1" ht="30" customHeight="1">
      <c r="A215" s="55"/>
      <c r="B215" s="56"/>
      <c r="C215" s="55"/>
      <c r="D215" s="56"/>
      <c r="E215" s="56"/>
      <c r="F215" s="56"/>
      <c r="G215" s="57" t="s">
        <v>585</v>
      </c>
      <c r="H215" s="56"/>
      <c r="I215" s="56"/>
      <c r="J215" s="57"/>
      <c r="K215" s="56"/>
      <c r="L215" s="57" t="s">
        <v>585</v>
      </c>
      <c r="M215" s="56"/>
      <c r="N215" s="58"/>
      <c r="O215" s="45"/>
      <c r="P215" s="40"/>
    </row>
    <row r="216" spans="1:16" s="41" customFormat="1" ht="30" customHeight="1">
      <c r="A216" s="55"/>
      <c r="B216" s="56"/>
      <c r="C216" s="55"/>
      <c r="D216" s="56"/>
      <c r="E216" s="56"/>
      <c r="F216" s="56"/>
      <c r="G216" s="57" t="s">
        <v>221</v>
      </c>
      <c r="H216" s="56"/>
      <c r="I216" s="56"/>
      <c r="J216" s="57"/>
      <c r="K216" s="56"/>
      <c r="L216" s="57" t="s">
        <v>221</v>
      </c>
      <c r="M216" s="56"/>
      <c r="N216" s="58"/>
      <c r="O216" s="45"/>
      <c r="P216" s="40"/>
    </row>
    <row r="217" spans="1:16" s="41" customFormat="1" ht="30" customHeight="1">
      <c r="A217" s="55"/>
      <c r="B217" s="56"/>
      <c r="C217" s="55"/>
      <c r="D217" s="56"/>
      <c r="E217" s="56"/>
      <c r="F217" s="56"/>
      <c r="G217" s="57" t="s">
        <v>222</v>
      </c>
      <c r="H217" s="56"/>
      <c r="I217" s="56"/>
      <c r="J217" s="57"/>
      <c r="K217" s="56"/>
      <c r="L217" s="57" t="s">
        <v>222</v>
      </c>
      <c r="M217" s="56"/>
      <c r="N217" s="58"/>
      <c r="O217" s="45"/>
      <c r="P217" s="40"/>
    </row>
    <row r="218" spans="1:16" s="41" customFormat="1" ht="30" customHeight="1">
      <c r="A218" s="55"/>
      <c r="B218" s="56"/>
      <c r="C218" s="55"/>
      <c r="D218" s="56"/>
      <c r="E218" s="56"/>
      <c r="F218" s="56"/>
      <c r="G218" s="57" t="s">
        <v>64</v>
      </c>
      <c r="H218" s="56"/>
      <c r="I218" s="56"/>
      <c r="J218" s="57"/>
      <c r="K218" s="56"/>
      <c r="L218" s="57" t="s">
        <v>64</v>
      </c>
      <c r="M218" s="56"/>
      <c r="N218" s="58"/>
      <c r="O218" s="45"/>
      <c r="P218" s="40"/>
    </row>
    <row r="219" spans="1:16" s="41" customFormat="1" ht="30" customHeight="1">
      <c r="A219" s="51"/>
      <c r="B219" s="52"/>
      <c r="C219" s="51"/>
      <c r="D219" s="52"/>
      <c r="E219" s="52"/>
      <c r="F219" s="52"/>
      <c r="G219" s="53" t="s">
        <v>223</v>
      </c>
      <c r="H219" s="52"/>
      <c r="I219" s="52"/>
      <c r="J219" s="53"/>
      <c r="K219" s="52"/>
      <c r="L219" s="53" t="s">
        <v>223</v>
      </c>
      <c r="M219" s="52"/>
      <c r="N219" s="54"/>
      <c r="O219" s="45"/>
      <c r="P219" s="40"/>
    </row>
    <row r="220" spans="1:16" s="41" customFormat="1" ht="30" customHeight="1">
      <c r="A220" s="34">
        <v>133</v>
      </c>
      <c r="B220" s="35" t="s">
        <v>224</v>
      </c>
      <c r="C220" s="34"/>
      <c r="D220" s="35"/>
      <c r="E220" s="35" t="s">
        <v>437</v>
      </c>
      <c r="F220" s="35" t="s">
        <v>35</v>
      </c>
      <c r="G220" s="46"/>
      <c r="H220" s="44"/>
      <c r="I220" s="44"/>
      <c r="J220" s="46"/>
      <c r="K220" s="44"/>
      <c r="L220" s="44"/>
      <c r="M220" s="44"/>
      <c r="N220" s="44"/>
      <c r="O220" s="45"/>
      <c r="P220" s="40"/>
    </row>
    <row r="221" spans="1:16" s="41" customFormat="1" ht="30" customHeight="1">
      <c r="A221" s="48">
        <v>134</v>
      </c>
      <c r="B221" s="29" t="s">
        <v>225</v>
      </c>
      <c r="C221" s="29"/>
      <c r="D221" s="29"/>
      <c r="E221" s="29" t="s">
        <v>437</v>
      </c>
      <c r="F221" s="29"/>
      <c r="G221" s="29" t="s">
        <v>220</v>
      </c>
      <c r="H221" s="49" t="s">
        <v>441</v>
      </c>
      <c r="I221" s="49" t="s">
        <v>595</v>
      </c>
      <c r="J221" s="29" t="s">
        <v>459</v>
      </c>
      <c r="K221" s="49" t="s">
        <v>563</v>
      </c>
      <c r="L221" s="29" t="s">
        <v>220</v>
      </c>
      <c r="M221" s="29" t="s">
        <v>443</v>
      </c>
      <c r="N221" s="67"/>
      <c r="O221" s="45"/>
      <c r="P221" s="40"/>
    </row>
    <row r="222" spans="1:16" s="41" customFormat="1" ht="30" customHeight="1">
      <c r="A222" s="55"/>
      <c r="B222" s="57"/>
      <c r="C222" s="57"/>
      <c r="D222" s="57"/>
      <c r="E222" s="57"/>
      <c r="F222" s="57"/>
      <c r="G222" s="57" t="s">
        <v>79</v>
      </c>
      <c r="H222" s="57"/>
      <c r="I222" s="57"/>
      <c r="J222" s="57"/>
      <c r="K222" s="57"/>
      <c r="L222" s="57" t="s">
        <v>79</v>
      </c>
      <c r="M222" s="57"/>
      <c r="N222" s="68"/>
      <c r="O222" s="45"/>
      <c r="P222" s="40"/>
    </row>
    <row r="223" spans="1:16" s="41" customFormat="1" ht="30" customHeight="1">
      <c r="A223" s="55"/>
      <c r="B223" s="57"/>
      <c r="C223" s="57"/>
      <c r="D223" s="57"/>
      <c r="E223" s="57"/>
      <c r="F223" s="57"/>
      <c r="G223" s="57" t="s">
        <v>585</v>
      </c>
      <c r="H223" s="57"/>
      <c r="I223" s="57"/>
      <c r="J223" s="57"/>
      <c r="K223" s="57"/>
      <c r="L223" s="57" t="s">
        <v>585</v>
      </c>
      <c r="M223" s="57"/>
      <c r="N223" s="68"/>
      <c r="O223" s="45"/>
      <c r="P223" s="40"/>
    </row>
    <row r="224" spans="1:16" s="41" customFormat="1" ht="30" customHeight="1">
      <c r="A224" s="55"/>
      <c r="B224" s="57"/>
      <c r="C224" s="57"/>
      <c r="D224" s="57"/>
      <c r="E224" s="57"/>
      <c r="F224" s="57"/>
      <c r="G224" s="57" t="s">
        <v>221</v>
      </c>
      <c r="H224" s="57"/>
      <c r="I224" s="57"/>
      <c r="J224" s="57"/>
      <c r="K224" s="57"/>
      <c r="L224" s="57" t="s">
        <v>221</v>
      </c>
      <c r="M224" s="57"/>
      <c r="N224" s="68"/>
      <c r="O224" s="45"/>
      <c r="P224" s="40"/>
    </row>
    <row r="225" spans="1:16" s="41" customFormat="1" ht="30" customHeight="1">
      <c r="A225" s="55"/>
      <c r="B225" s="57"/>
      <c r="C225" s="57"/>
      <c r="D225" s="57"/>
      <c r="E225" s="57"/>
      <c r="F225" s="57"/>
      <c r="G225" s="57" t="s">
        <v>222</v>
      </c>
      <c r="H225" s="57"/>
      <c r="I225" s="57"/>
      <c r="J225" s="57"/>
      <c r="K225" s="57"/>
      <c r="L225" s="57" t="s">
        <v>222</v>
      </c>
      <c r="M225" s="57"/>
      <c r="N225" s="68"/>
      <c r="O225" s="45"/>
      <c r="P225" s="40"/>
    </row>
    <row r="226" spans="1:16" s="41" customFormat="1" ht="30" customHeight="1">
      <c r="A226" s="55"/>
      <c r="B226" s="57"/>
      <c r="C226" s="57"/>
      <c r="D226" s="57"/>
      <c r="E226" s="57"/>
      <c r="F226" s="57"/>
      <c r="G226" s="57" t="s">
        <v>64</v>
      </c>
      <c r="H226" s="57"/>
      <c r="I226" s="57"/>
      <c r="J226" s="57"/>
      <c r="K226" s="57"/>
      <c r="L226" s="57" t="s">
        <v>64</v>
      </c>
      <c r="M226" s="57"/>
      <c r="N226" s="68"/>
      <c r="O226" s="45"/>
      <c r="P226" s="40"/>
    </row>
    <row r="227" spans="1:16" s="41" customFormat="1" ht="30" customHeight="1">
      <c r="A227" s="51"/>
      <c r="B227" s="53"/>
      <c r="C227" s="53"/>
      <c r="D227" s="53"/>
      <c r="E227" s="53"/>
      <c r="F227" s="53"/>
      <c r="G227" s="53" t="s">
        <v>223</v>
      </c>
      <c r="H227" s="53"/>
      <c r="I227" s="53"/>
      <c r="J227" s="53"/>
      <c r="K227" s="53"/>
      <c r="L227" s="53" t="s">
        <v>223</v>
      </c>
      <c r="M227" s="53"/>
      <c r="N227" s="69"/>
      <c r="O227" s="45"/>
      <c r="P227" s="40"/>
    </row>
    <row r="228" spans="1:16" s="41" customFormat="1" ht="30" customHeight="1">
      <c r="A228" s="34">
        <v>135</v>
      </c>
      <c r="B228" s="35" t="s">
        <v>76</v>
      </c>
      <c r="C228" s="34" t="s">
        <v>420</v>
      </c>
      <c r="D228" s="35"/>
      <c r="E228" s="35" t="s">
        <v>435</v>
      </c>
      <c r="F228" s="35" t="s">
        <v>13</v>
      </c>
      <c r="G228" s="46"/>
      <c r="H228" s="44"/>
      <c r="I228" s="44"/>
      <c r="J228" s="46"/>
      <c r="K228" s="44"/>
      <c r="L228" s="44"/>
      <c r="M228" s="44"/>
      <c r="N228" s="44"/>
      <c r="O228" s="45"/>
      <c r="P228" s="40"/>
    </row>
    <row r="229" spans="1:16" s="41" customFormat="1" ht="75.75" customHeight="1">
      <c r="A229" s="42">
        <v>136</v>
      </c>
      <c r="B229" s="43" t="s">
        <v>226</v>
      </c>
      <c r="C229" s="42"/>
      <c r="D229" s="43"/>
      <c r="E229" s="43" t="s">
        <v>428</v>
      </c>
      <c r="F229" s="43"/>
      <c r="G229" s="43" t="s">
        <v>534</v>
      </c>
      <c r="H229" s="43"/>
      <c r="I229" s="43"/>
      <c r="J229" s="43"/>
      <c r="K229" s="43" t="s">
        <v>605</v>
      </c>
      <c r="L229" s="43"/>
      <c r="M229" s="43"/>
      <c r="N229" s="43"/>
      <c r="O229" s="45"/>
      <c r="P229" s="40"/>
    </row>
    <row r="230" spans="1:16" s="41" customFormat="1" ht="30" customHeight="1">
      <c r="A230" s="34">
        <v>137</v>
      </c>
      <c r="B230" s="35" t="s">
        <v>227</v>
      </c>
      <c r="C230" s="34"/>
      <c r="D230" s="35"/>
      <c r="E230" s="35" t="s">
        <v>431</v>
      </c>
      <c r="F230" s="35" t="s">
        <v>442</v>
      </c>
      <c r="G230" s="46"/>
      <c r="H230" s="44"/>
      <c r="I230" s="44"/>
      <c r="J230" s="46"/>
      <c r="K230" s="44"/>
      <c r="L230" s="44"/>
      <c r="M230" s="44"/>
      <c r="N230" s="44"/>
      <c r="O230" s="45"/>
      <c r="P230" s="40"/>
    </row>
    <row r="231" spans="1:16" s="41" customFormat="1" ht="30" customHeight="1">
      <c r="A231" s="48">
        <v>138</v>
      </c>
      <c r="B231" s="49" t="s">
        <v>228</v>
      </c>
      <c r="C231" s="48" t="s">
        <v>421</v>
      </c>
      <c r="D231" s="49"/>
      <c r="E231" s="43" t="s">
        <v>438</v>
      </c>
      <c r="F231" s="43"/>
      <c r="G231" s="29"/>
      <c r="H231" s="49"/>
      <c r="I231" s="49"/>
      <c r="J231" s="29"/>
      <c r="K231" s="49" t="s">
        <v>590</v>
      </c>
      <c r="L231" s="49"/>
      <c r="M231" s="49"/>
      <c r="N231" s="50"/>
      <c r="O231" s="45">
        <v>1</v>
      </c>
      <c r="P231" s="40"/>
    </row>
    <row r="232" spans="1:16" s="41" customFormat="1" ht="30" customHeight="1">
      <c r="A232" s="34">
        <v>139</v>
      </c>
      <c r="B232" s="35" t="s">
        <v>229</v>
      </c>
      <c r="C232" s="34"/>
      <c r="D232" s="35"/>
      <c r="E232" s="35" t="s">
        <v>438</v>
      </c>
      <c r="F232" s="35"/>
      <c r="G232" s="80"/>
      <c r="H232" s="35"/>
      <c r="I232" s="80"/>
      <c r="J232" s="80"/>
      <c r="K232" s="80" t="s">
        <v>590</v>
      </c>
      <c r="L232" s="35"/>
      <c r="M232" s="35"/>
      <c r="N232" s="47"/>
      <c r="O232" s="45">
        <v>1</v>
      </c>
      <c r="P232" s="40"/>
    </row>
    <row r="233" spans="1:16" s="41" customFormat="1" ht="30" customHeight="1">
      <c r="A233" s="42">
        <v>140</v>
      </c>
      <c r="B233" s="43" t="s">
        <v>230</v>
      </c>
      <c r="C233" s="42"/>
      <c r="D233" s="43"/>
      <c r="E233" s="43" t="s">
        <v>435</v>
      </c>
      <c r="F233" s="43" t="s">
        <v>35</v>
      </c>
      <c r="G233" s="44"/>
      <c r="H233" s="44"/>
      <c r="I233" s="44"/>
      <c r="J233" s="44"/>
      <c r="K233" s="44"/>
      <c r="L233" s="44"/>
      <c r="M233" s="44"/>
      <c r="N233" s="44"/>
      <c r="O233" s="45"/>
      <c r="P233" s="40"/>
    </row>
    <row r="234" spans="1:16" s="41" customFormat="1" ht="30" customHeight="1">
      <c r="A234" s="34">
        <v>141</v>
      </c>
      <c r="B234" s="35" t="s">
        <v>231</v>
      </c>
      <c r="C234" s="34"/>
      <c r="D234" s="35"/>
      <c r="E234" s="35" t="s">
        <v>435</v>
      </c>
      <c r="F234" s="35" t="s">
        <v>35</v>
      </c>
      <c r="G234" s="46"/>
      <c r="H234" s="44"/>
      <c r="I234" s="44"/>
      <c r="J234" s="46"/>
      <c r="K234" s="44"/>
      <c r="L234" s="44"/>
      <c r="M234" s="44"/>
      <c r="N234" s="44"/>
      <c r="O234" s="45"/>
      <c r="P234" s="40"/>
    </row>
    <row r="235" spans="1:16" s="41" customFormat="1" ht="30" customHeight="1">
      <c r="A235" s="42">
        <v>142</v>
      </c>
      <c r="B235" s="43" t="s">
        <v>232</v>
      </c>
      <c r="C235" s="42"/>
      <c r="D235" s="43"/>
      <c r="E235" s="43" t="s">
        <v>435</v>
      </c>
      <c r="F235" s="43" t="s">
        <v>442</v>
      </c>
      <c r="G235" s="44"/>
      <c r="H235" s="44"/>
      <c r="I235" s="44"/>
      <c r="J235" s="44"/>
      <c r="K235" s="44"/>
      <c r="L235" s="44"/>
      <c r="M235" s="44"/>
      <c r="N235" s="44"/>
      <c r="O235" s="45"/>
      <c r="P235" s="40"/>
    </row>
    <row r="236" spans="1:16" s="41" customFormat="1" ht="30" customHeight="1">
      <c r="A236" s="34">
        <v>143</v>
      </c>
      <c r="B236" s="35" t="s">
        <v>76</v>
      </c>
      <c r="C236" s="34"/>
      <c r="D236" s="35"/>
      <c r="E236" s="35" t="s">
        <v>435</v>
      </c>
      <c r="F236" s="35" t="s">
        <v>13</v>
      </c>
      <c r="G236" s="46"/>
      <c r="H236" s="44"/>
      <c r="I236" s="44"/>
      <c r="J236" s="46"/>
      <c r="K236" s="44"/>
      <c r="L236" s="44"/>
      <c r="M236" s="44"/>
      <c r="N236" s="44"/>
      <c r="O236" s="45"/>
      <c r="P236" s="40"/>
    </row>
    <row r="237" spans="1:16" s="41" customFormat="1" ht="30" customHeight="1">
      <c r="A237" s="42">
        <v>144</v>
      </c>
      <c r="B237" s="43" t="s">
        <v>233</v>
      </c>
      <c r="C237" s="42"/>
      <c r="D237" s="43"/>
      <c r="E237" s="43" t="s">
        <v>435</v>
      </c>
      <c r="F237" s="43" t="s">
        <v>35</v>
      </c>
      <c r="G237" s="44"/>
      <c r="H237" s="44"/>
      <c r="I237" s="44"/>
      <c r="J237" s="44"/>
      <c r="K237" s="44"/>
      <c r="L237" s="44"/>
      <c r="M237" s="44"/>
      <c r="N237" s="44"/>
      <c r="O237" s="45"/>
      <c r="P237" s="40"/>
    </row>
    <row r="238" spans="1:16" s="41" customFormat="1" ht="30" customHeight="1">
      <c r="A238" s="34">
        <v>145</v>
      </c>
      <c r="B238" s="35" t="s">
        <v>234</v>
      </c>
      <c r="C238" s="34"/>
      <c r="D238" s="35"/>
      <c r="E238" s="35" t="s">
        <v>435</v>
      </c>
      <c r="F238" s="35" t="s">
        <v>235</v>
      </c>
      <c r="G238" s="46"/>
      <c r="H238" s="44"/>
      <c r="I238" s="44"/>
      <c r="J238" s="46"/>
      <c r="K238" s="44"/>
      <c r="L238" s="44"/>
      <c r="M238" s="44"/>
      <c r="N238" s="44"/>
      <c r="O238" s="45"/>
      <c r="P238" s="40"/>
    </row>
    <row r="239" spans="1:16" s="41" customFormat="1" ht="30" customHeight="1">
      <c r="A239" s="42">
        <v>146</v>
      </c>
      <c r="B239" s="43" t="s">
        <v>236</v>
      </c>
      <c r="C239" s="42"/>
      <c r="D239" s="43"/>
      <c r="E239" s="43" t="s">
        <v>435</v>
      </c>
      <c r="F239" s="43" t="s">
        <v>235</v>
      </c>
      <c r="G239" s="44"/>
      <c r="H239" s="44"/>
      <c r="I239" s="44"/>
      <c r="J239" s="44"/>
      <c r="K239" s="44"/>
      <c r="L239" s="44"/>
      <c r="M239" s="44"/>
      <c r="N239" s="44"/>
      <c r="O239" s="45"/>
      <c r="P239" s="40"/>
    </row>
    <row r="240" spans="1:16" s="41" customFormat="1" ht="30" customHeight="1">
      <c r="A240" s="34">
        <v>147</v>
      </c>
      <c r="B240" s="35" t="s">
        <v>237</v>
      </c>
      <c r="C240" s="34"/>
      <c r="D240" s="35"/>
      <c r="E240" s="35" t="s">
        <v>435</v>
      </c>
      <c r="F240" s="35" t="s">
        <v>235</v>
      </c>
      <c r="G240" s="46"/>
      <c r="H240" s="44"/>
      <c r="I240" s="44"/>
      <c r="J240" s="46"/>
      <c r="K240" s="44"/>
      <c r="L240" s="44"/>
      <c r="M240" s="44"/>
      <c r="N240" s="44"/>
      <c r="O240" s="45"/>
      <c r="P240" s="40"/>
    </row>
    <row r="241" spans="1:16" s="41" customFormat="1" ht="30" customHeight="1">
      <c r="A241" s="42">
        <v>148</v>
      </c>
      <c r="B241" s="43" t="s">
        <v>238</v>
      </c>
      <c r="C241" s="42"/>
      <c r="D241" s="43"/>
      <c r="E241" s="43" t="s">
        <v>435</v>
      </c>
      <c r="F241" s="43" t="s">
        <v>235</v>
      </c>
      <c r="G241" s="44"/>
      <c r="H241" s="44"/>
      <c r="I241" s="44"/>
      <c r="J241" s="44"/>
      <c r="K241" s="44"/>
      <c r="L241" s="44"/>
      <c r="M241" s="44"/>
      <c r="N241" s="44"/>
      <c r="O241" s="45"/>
      <c r="P241" s="40"/>
    </row>
    <row r="242" spans="1:16" s="41" customFormat="1" ht="30" customHeight="1">
      <c r="A242" s="34">
        <v>149</v>
      </c>
      <c r="B242" s="35" t="s">
        <v>239</v>
      </c>
      <c r="C242" s="34"/>
      <c r="D242" s="35"/>
      <c r="E242" s="35" t="s">
        <v>435</v>
      </c>
      <c r="F242" s="35" t="s">
        <v>235</v>
      </c>
      <c r="G242" s="46"/>
      <c r="H242" s="44"/>
      <c r="I242" s="44"/>
      <c r="J242" s="46"/>
      <c r="K242" s="44"/>
      <c r="L242" s="44"/>
      <c r="M242" s="44"/>
      <c r="N242" s="44"/>
      <c r="O242" s="45"/>
      <c r="P242" s="40"/>
    </row>
    <row r="243" spans="1:16" s="41" customFormat="1" ht="30" customHeight="1">
      <c r="A243" s="42">
        <v>150</v>
      </c>
      <c r="B243" s="43" t="s">
        <v>240</v>
      </c>
      <c r="C243" s="42"/>
      <c r="D243" s="43"/>
      <c r="E243" s="43" t="s">
        <v>435</v>
      </c>
      <c r="F243" s="43" t="s">
        <v>235</v>
      </c>
      <c r="G243" s="44"/>
      <c r="H243" s="44"/>
      <c r="I243" s="44"/>
      <c r="J243" s="44"/>
      <c r="K243" s="44"/>
      <c r="L243" s="44"/>
      <c r="M243" s="44"/>
      <c r="N243" s="44"/>
      <c r="O243" s="45"/>
      <c r="P243" s="40"/>
    </row>
    <row r="244" spans="1:16" s="41" customFormat="1" ht="30" customHeight="1">
      <c r="A244" s="34">
        <v>151</v>
      </c>
      <c r="B244" s="35" t="s">
        <v>241</v>
      </c>
      <c r="C244" s="34"/>
      <c r="D244" s="35"/>
      <c r="E244" s="35" t="s">
        <v>435</v>
      </c>
      <c r="F244" s="35" t="s">
        <v>235</v>
      </c>
      <c r="G244" s="46"/>
      <c r="H244" s="44"/>
      <c r="I244" s="44"/>
      <c r="J244" s="46"/>
      <c r="K244" s="44"/>
      <c r="L244" s="44"/>
      <c r="M244" s="44"/>
      <c r="N244" s="44"/>
      <c r="O244" s="45"/>
      <c r="P244" s="40"/>
    </row>
    <row r="245" spans="1:16" s="41" customFormat="1" ht="30" customHeight="1">
      <c r="A245" s="42">
        <v>152</v>
      </c>
      <c r="B245" s="43" t="s">
        <v>242</v>
      </c>
      <c r="C245" s="42"/>
      <c r="D245" s="43"/>
      <c r="E245" s="43" t="s">
        <v>435</v>
      </c>
      <c r="F245" s="43" t="s">
        <v>235</v>
      </c>
      <c r="G245" s="44"/>
      <c r="H245" s="44"/>
      <c r="I245" s="44"/>
      <c r="J245" s="44"/>
      <c r="K245" s="44"/>
      <c r="L245" s="44"/>
      <c r="M245" s="44"/>
      <c r="N245" s="44"/>
      <c r="O245" s="45"/>
      <c r="P245" s="40"/>
    </row>
    <row r="246" spans="1:16" s="41" customFormat="1" ht="30" customHeight="1">
      <c r="A246" s="34">
        <v>153</v>
      </c>
      <c r="B246" s="35" t="s">
        <v>243</v>
      </c>
      <c r="C246" s="34" t="s">
        <v>422</v>
      </c>
      <c r="D246" s="35"/>
      <c r="E246" s="35" t="s">
        <v>435</v>
      </c>
      <c r="F246" s="35" t="s">
        <v>235</v>
      </c>
      <c r="G246" s="46"/>
      <c r="H246" s="44"/>
      <c r="I246" s="44"/>
      <c r="J246" s="46"/>
      <c r="K246" s="44"/>
      <c r="L246" s="44"/>
      <c r="M246" s="44"/>
      <c r="N246" s="44"/>
      <c r="O246" s="45"/>
      <c r="P246" s="40"/>
    </row>
    <row r="247" spans="1:16" s="41" customFormat="1" ht="30" customHeight="1">
      <c r="A247" s="42">
        <v>154</v>
      </c>
      <c r="B247" s="43" t="s">
        <v>244</v>
      </c>
      <c r="C247" s="42"/>
      <c r="D247" s="43"/>
      <c r="E247" s="43" t="s">
        <v>435</v>
      </c>
      <c r="F247" s="43" t="s">
        <v>235</v>
      </c>
      <c r="G247" s="44"/>
      <c r="H247" s="44"/>
      <c r="I247" s="44"/>
      <c r="J247" s="44"/>
      <c r="K247" s="44"/>
      <c r="L247" s="44"/>
      <c r="M247" s="44"/>
      <c r="N247" s="44"/>
      <c r="O247" s="45"/>
      <c r="P247" s="40"/>
    </row>
    <row r="248" spans="1:16" s="41" customFormat="1" ht="30" customHeight="1">
      <c r="A248" s="34">
        <v>155</v>
      </c>
      <c r="B248" s="35" t="s">
        <v>245</v>
      </c>
      <c r="C248" s="34"/>
      <c r="D248" s="35"/>
      <c r="E248" s="35" t="s">
        <v>435</v>
      </c>
      <c r="F248" s="35" t="s">
        <v>235</v>
      </c>
      <c r="G248" s="46"/>
      <c r="H248" s="44"/>
      <c r="I248" s="44"/>
      <c r="J248" s="46"/>
      <c r="K248" s="44"/>
      <c r="L248" s="44"/>
      <c r="M248" s="44"/>
      <c r="N248" s="44"/>
      <c r="O248" s="45"/>
      <c r="P248" s="40"/>
    </row>
    <row r="249" spans="1:16" s="41" customFormat="1" ht="30" customHeight="1">
      <c r="A249" s="42">
        <v>156</v>
      </c>
      <c r="B249" s="43" t="s">
        <v>246</v>
      </c>
      <c r="C249" s="42"/>
      <c r="D249" s="43"/>
      <c r="E249" s="43" t="s">
        <v>435</v>
      </c>
      <c r="F249" s="43" t="s">
        <v>235</v>
      </c>
      <c r="G249" s="44"/>
      <c r="H249" s="44"/>
      <c r="I249" s="44"/>
      <c r="J249" s="44"/>
      <c r="K249" s="44"/>
      <c r="L249" s="44"/>
      <c r="M249" s="44"/>
      <c r="N249" s="44"/>
      <c r="O249" s="45"/>
      <c r="P249" s="40"/>
    </row>
    <row r="250" spans="1:16" s="41" customFormat="1" ht="30" customHeight="1">
      <c r="A250" s="34">
        <v>157</v>
      </c>
      <c r="B250" s="35" t="s">
        <v>247</v>
      </c>
      <c r="C250" s="34"/>
      <c r="D250" s="35"/>
      <c r="E250" s="35" t="s">
        <v>435</v>
      </c>
      <c r="F250" s="35" t="s">
        <v>235</v>
      </c>
      <c r="G250" s="46"/>
      <c r="H250" s="44"/>
      <c r="I250" s="44"/>
      <c r="J250" s="46"/>
      <c r="K250" s="44"/>
      <c r="L250" s="44"/>
      <c r="M250" s="44"/>
      <c r="N250" s="44"/>
      <c r="O250" s="45"/>
      <c r="P250" s="40"/>
    </row>
    <row r="251" spans="1:16" s="41" customFormat="1" ht="30" customHeight="1">
      <c r="A251" s="42">
        <v>158</v>
      </c>
      <c r="B251" s="43" t="s">
        <v>248</v>
      </c>
      <c r="C251" s="42"/>
      <c r="D251" s="43"/>
      <c r="E251" s="43" t="s">
        <v>435</v>
      </c>
      <c r="F251" s="43" t="s">
        <v>235</v>
      </c>
      <c r="G251" s="44"/>
      <c r="H251" s="44"/>
      <c r="I251" s="44"/>
      <c r="J251" s="44"/>
      <c r="K251" s="44"/>
      <c r="L251" s="44"/>
      <c r="M251" s="44"/>
      <c r="N251" s="44"/>
      <c r="O251" s="45"/>
      <c r="P251" s="40"/>
    </row>
    <row r="252" spans="1:16" s="41" customFormat="1" ht="30" customHeight="1">
      <c r="A252" s="34">
        <v>159</v>
      </c>
      <c r="B252" s="35" t="s">
        <v>249</v>
      </c>
      <c r="C252" s="34"/>
      <c r="D252" s="35"/>
      <c r="E252" s="35" t="s">
        <v>435</v>
      </c>
      <c r="F252" s="35" t="s">
        <v>235</v>
      </c>
      <c r="G252" s="46"/>
      <c r="H252" s="44"/>
      <c r="I252" s="44"/>
      <c r="J252" s="46"/>
      <c r="K252" s="44"/>
      <c r="L252" s="44"/>
      <c r="M252" s="44"/>
      <c r="N252" s="44"/>
      <c r="O252" s="45"/>
      <c r="P252" s="40"/>
    </row>
    <row r="253" spans="1:16" s="41" customFormat="1" ht="30" customHeight="1">
      <c r="A253" s="42">
        <v>160</v>
      </c>
      <c r="B253" s="43" t="s">
        <v>250</v>
      </c>
      <c r="C253" s="42"/>
      <c r="D253" s="43"/>
      <c r="E253" s="43" t="s">
        <v>435</v>
      </c>
      <c r="F253" s="43" t="s">
        <v>235</v>
      </c>
      <c r="G253" s="44"/>
      <c r="H253" s="44"/>
      <c r="I253" s="44"/>
      <c r="J253" s="44"/>
      <c r="K253" s="44"/>
      <c r="L253" s="44"/>
      <c r="M253" s="44"/>
      <c r="N253" s="44"/>
      <c r="O253" s="45"/>
      <c r="P253" s="40"/>
    </row>
    <row r="254" spans="1:16" s="41" customFormat="1" ht="30" customHeight="1">
      <c r="A254" s="34">
        <v>161</v>
      </c>
      <c r="B254" s="35" t="s">
        <v>251</v>
      </c>
      <c r="C254" s="34"/>
      <c r="D254" s="35"/>
      <c r="E254" s="35" t="s">
        <v>435</v>
      </c>
      <c r="F254" s="35" t="s">
        <v>235</v>
      </c>
      <c r="G254" s="46"/>
      <c r="H254" s="44"/>
      <c r="I254" s="44"/>
      <c r="J254" s="46"/>
      <c r="K254" s="44"/>
      <c r="L254" s="44"/>
      <c r="M254" s="44"/>
      <c r="N254" s="44"/>
      <c r="O254" s="45"/>
      <c r="P254" s="40"/>
    </row>
    <row r="255" spans="1:16" s="41" customFormat="1" ht="30" customHeight="1">
      <c r="A255" s="42">
        <v>162</v>
      </c>
      <c r="B255" s="43" t="s">
        <v>252</v>
      </c>
      <c r="C255" s="42"/>
      <c r="D255" s="43"/>
      <c r="E255" s="43" t="s">
        <v>435</v>
      </c>
      <c r="F255" s="43" t="s">
        <v>235</v>
      </c>
      <c r="G255" s="44"/>
      <c r="H255" s="44"/>
      <c r="I255" s="44"/>
      <c r="J255" s="44"/>
      <c r="K255" s="44"/>
      <c r="L255" s="44"/>
      <c r="M255" s="44"/>
      <c r="N255" s="44"/>
      <c r="O255" s="45"/>
      <c r="P255" s="40"/>
    </row>
    <row r="256" spans="1:16" s="41" customFormat="1" ht="30" customHeight="1">
      <c r="A256" s="34">
        <v>163</v>
      </c>
      <c r="B256" s="35" t="s">
        <v>253</v>
      </c>
      <c r="C256" s="34"/>
      <c r="D256" s="35"/>
      <c r="E256" s="35" t="s">
        <v>435</v>
      </c>
      <c r="F256" s="35" t="s">
        <v>235</v>
      </c>
      <c r="G256" s="46"/>
      <c r="H256" s="44"/>
      <c r="I256" s="44"/>
      <c r="J256" s="46"/>
      <c r="K256" s="44"/>
      <c r="L256" s="44"/>
      <c r="M256" s="44"/>
      <c r="N256" s="44"/>
      <c r="O256" s="45"/>
      <c r="P256" s="40"/>
    </row>
    <row r="257" spans="1:16" s="41" customFormat="1" ht="30" customHeight="1">
      <c r="A257" s="42">
        <v>164</v>
      </c>
      <c r="B257" s="43" t="s">
        <v>56</v>
      </c>
      <c r="C257" s="42"/>
      <c r="D257" s="43"/>
      <c r="E257" s="43" t="s">
        <v>435</v>
      </c>
      <c r="F257" s="43" t="s">
        <v>235</v>
      </c>
      <c r="G257" s="44"/>
      <c r="H257" s="44"/>
      <c r="I257" s="44"/>
      <c r="J257" s="44"/>
      <c r="K257" s="44"/>
      <c r="L257" s="44"/>
      <c r="M257" s="44"/>
      <c r="N257" s="44"/>
      <c r="O257" s="45"/>
      <c r="P257" s="40"/>
    </row>
    <row r="258" spans="1:16" s="41" customFormat="1" ht="30" customHeight="1">
      <c r="A258" s="34">
        <v>165</v>
      </c>
      <c r="B258" s="35" t="s">
        <v>254</v>
      </c>
      <c r="C258" s="34"/>
      <c r="D258" s="35"/>
      <c r="E258" s="35" t="s">
        <v>435</v>
      </c>
      <c r="F258" s="35" t="s">
        <v>235</v>
      </c>
      <c r="G258" s="46"/>
      <c r="H258" s="44"/>
      <c r="I258" s="44"/>
      <c r="J258" s="46"/>
      <c r="K258" s="44"/>
      <c r="L258" s="44"/>
      <c r="M258" s="44"/>
      <c r="N258" s="44"/>
      <c r="O258" s="45"/>
      <c r="P258" s="40"/>
    </row>
    <row r="259" spans="1:16" s="41" customFormat="1" ht="30" customHeight="1">
      <c r="A259" s="42">
        <v>166</v>
      </c>
      <c r="B259" s="43" t="s">
        <v>255</v>
      </c>
      <c r="C259" s="42"/>
      <c r="D259" s="43"/>
      <c r="E259" s="43" t="s">
        <v>435</v>
      </c>
      <c r="F259" s="43" t="s">
        <v>235</v>
      </c>
      <c r="G259" s="44"/>
      <c r="H259" s="44"/>
      <c r="I259" s="44"/>
      <c r="J259" s="44"/>
      <c r="K259" s="44"/>
      <c r="L259" s="44"/>
      <c r="M259" s="44"/>
      <c r="N259" s="44"/>
      <c r="O259" s="45"/>
      <c r="P259" s="40"/>
    </row>
    <row r="260" spans="1:16" s="41" customFormat="1" ht="30" customHeight="1">
      <c r="A260" s="34">
        <v>167</v>
      </c>
      <c r="B260" s="35" t="s">
        <v>256</v>
      </c>
      <c r="C260" s="34"/>
      <c r="D260" s="35"/>
      <c r="E260" s="35" t="s">
        <v>435</v>
      </c>
      <c r="F260" s="35" t="s">
        <v>235</v>
      </c>
      <c r="G260" s="46"/>
      <c r="H260" s="44"/>
      <c r="I260" s="44"/>
      <c r="J260" s="46"/>
      <c r="K260" s="44"/>
      <c r="L260" s="44"/>
      <c r="M260" s="44"/>
      <c r="N260" s="44"/>
      <c r="O260" s="45"/>
      <c r="P260" s="40"/>
    </row>
    <row r="261" spans="1:16" s="41" customFormat="1" ht="30" customHeight="1">
      <c r="A261" s="42">
        <v>168</v>
      </c>
      <c r="B261" s="43" t="s">
        <v>257</v>
      </c>
      <c r="C261" s="42"/>
      <c r="D261" s="43"/>
      <c r="E261" s="43" t="s">
        <v>435</v>
      </c>
      <c r="F261" s="43" t="s">
        <v>235</v>
      </c>
      <c r="G261" s="44"/>
      <c r="H261" s="44"/>
      <c r="I261" s="44"/>
      <c r="J261" s="44"/>
      <c r="K261" s="44"/>
      <c r="L261" s="44"/>
      <c r="M261" s="44"/>
      <c r="N261" s="44"/>
      <c r="O261" s="45"/>
      <c r="P261" s="40"/>
    </row>
    <row r="262" spans="1:16" s="41" customFormat="1" ht="30" customHeight="1">
      <c r="A262" s="34">
        <v>169</v>
      </c>
      <c r="B262" s="35" t="s">
        <v>258</v>
      </c>
      <c r="C262" s="34"/>
      <c r="D262" s="35"/>
      <c r="E262" s="35" t="s">
        <v>435</v>
      </c>
      <c r="F262" s="35" t="s">
        <v>235</v>
      </c>
      <c r="G262" s="46"/>
      <c r="H262" s="44"/>
      <c r="I262" s="44"/>
      <c r="J262" s="46"/>
      <c r="K262" s="44"/>
      <c r="L262" s="44"/>
      <c r="M262" s="44"/>
      <c r="N262" s="44"/>
      <c r="O262" s="45"/>
      <c r="P262" s="40"/>
    </row>
    <row r="263" spans="1:16" s="41" customFormat="1" ht="30" customHeight="1">
      <c r="A263" s="42">
        <v>170</v>
      </c>
      <c r="B263" s="43" t="s">
        <v>259</v>
      </c>
      <c r="C263" s="42"/>
      <c r="D263" s="43"/>
      <c r="E263" s="43" t="s">
        <v>435</v>
      </c>
      <c r="F263" s="43" t="s">
        <v>235</v>
      </c>
      <c r="G263" s="44"/>
      <c r="H263" s="44"/>
      <c r="I263" s="44"/>
      <c r="J263" s="44"/>
      <c r="K263" s="44"/>
      <c r="L263" s="44"/>
      <c r="M263" s="44"/>
      <c r="N263" s="44"/>
      <c r="O263" s="45"/>
      <c r="P263" s="40"/>
    </row>
    <row r="264" spans="1:16" s="41" customFormat="1" ht="30" customHeight="1">
      <c r="A264" s="34">
        <v>171</v>
      </c>
      <c r="B264" s="35" t="s">
        <v>260</v>
      </c>
      <c r="C264" s="34"/>
      <c r="D264" s="35"/>
      <c r="E264" s="35" t="s">
        <v>435</v>
      </c>
      <c r="F264" s="35" t="s">
        <v>235</v>
      </c>
      <c r="G264" s="46"/>
      <c r="H264" s="44"/>
      <c r="I264" s="44"/>
      <c r="J264" s="46"/>
      <c r="K264" s="44"/>
      <c r="L264" s="44"/>
      <c r="M264" s="44"/>
      <c r="N264" s="44"/>
      <c r="O264" s="45"/>
      <c r="P264" s="40"/>
    </row>
    <row r="265" spans="1:16" s="41" customFormat="1" ht="30" customHeight="1">
      <c r="A265" s="42">
        <v>172</v>
      </c>
      <c r="B265" s="43" t="s">
        <v>261</v>
      </c>
      <c r="C265" s="42"/>
      <c r="D265" s="43"/>
      <c r="E265" s="43" t="s">
        <v>435</v>
      </c>
      <c r="F265" s="43" t="s">
        <v>235</v>
      </c>
      <c r="G265" s="44"/>
      <c r="H265" s="44"/>
      <c r="I265" s="44"/>
      <c r="J265" s="44"/>
      <c r="K265" s="44"/>
      <c r="L265" s="44"/>
      <c r="M265" s="44"/>
      <c r="N265" s="44"/>
      <c r="O265" s="45"/>
      <c r="P265" s="40"/>
    </row>
    <row r="266" spans="1:16" s="41" customFormat="1" ht="30" customHeight="1">
      <c r="A266" s="34">
        <v>173</v>
      </c>
      <c r="B266" s="35" t="s">
        <v>262</v>
      </c>
      <c r="C266" s="34"/>
      <c r="D266" s="35"/>
      <c r="E266" s="35" t="s">
        <v>435</v>
      </c>
      <c r="F266" s="35" t="s">
        <v>235</v>
      </c>
      <c r="G266" s="46"/>
      <c r="H266" s="44"/>
      <c r="I266" s="44"/>
      <c r="J266" s="46"/>
      <c r="K266" s="44"/>
      <c r="L266" s="44"/>
      <c r="M266" s="44"/>
      <c r="N266" s="44"/>
      <c r="O266" s="45"/>
      <c r="P266" s="40"/>
    </row>
    <row r="267" spans="1:16" s="41" customFormat="1" ht="30" customHeight="1">
      <c r="A267" s="42">
        <v>174</v>
      </c>
      <c r="B267" s="43" t="s">
        <v>263</v>
      </c>
      <c r="C267" s="42"/>
      <c r="D267" s="43"/>
      <c r="E267" s="43" t="s">
        <v>435</v>
      </c>
      <c r="F267" s="43" t="s">
        <v>235</v>
      </c>
      <c r="G267" s="44"/>
      <c r="H267" s="44"/>
      <c r="I267" s="44"/>
      <c r="J267" s="44"/>
      <c r="K267" s="44"/>
      <c r="L267" s="44"/>
      <c r="M267" s="44"/>
      <c r="N267" s="44"/>
      <c r="O267" s="45"/>
      <c r="P267" s="40"/>
    </row>
    <row r="268" spans="1:16" s="41" customFormat="1" ht="30" customHeight="1">
      <c r="A268" s="34">
        <v>175</v>
      </c>
      <c r="B268" s="35" t="s">
        <v>260</v>
      </c>
      <c r="C268" s="34"/>
      <c r="D268" s="35"/>
      <c r="E268" s="35" t="s">
        <v>435</v>
      </c>
      <c r="F268" s="35" t="s">
        <v>235</v>
      </c>
      <c r="G268" s="46"/>
      <c r="H268" s="44"/>
      <c r="I268" s="44"/>
      <c r="J268" s="46"/>
      <c r="K268" s="44"/>
      <c r="L268" s="44"/>
      <c r="M268" s="44"/>
      <c r="N268" s="44"/>
      <c r="O268" s="45"/>
      <c r="P268" s="40"/>
    </row>
    <row r="269" spans="1:16" s="41" customFormat="1" ht="30" customHeight="1">
      <c r="A269" s="42">
        <v>176</v>
      </c>
      <c r="B269" s="43" t="s">
        <v>264</v>
      </c>
      <c r="C269" s="42"/>
      <c r="D269" s="43"/>
      <c r="E269" s="43" t="s">
        <v>435</v>
      </c>
      <c r="F269" s="43" t="s">
        <v>235</v>
      </c>
      <c r="G269" s="44"/>
      <c r="H269" s="44"/>
      <c r="I269" s="44"/>
      <c r="J269" s="44"/>
      <c r="K269" s="44"/>
      <c r="L269" s="44"/>
      <c r="M269" s="44"/>
      <c r="N269" s="44"/>
      <c r="O269" s="45"/>
      <c r="P269" s="40"/>
    </row>
    <row r="270" spans="1:16" s="41" customFormat="1" ht="30" customHeight="1">
      <c r="A270" s="34">
        <v>177</v>
      </c>
      <c r="B270" s="35" t="s">
        <v>265</v>
      </c>
      <c r="C270" s="34"/>
      <c r="D270" s="35"/>
      <c r="E270" s="35" t="s">
        <v>435</v>
      </c>
      <c r="F270" s="35" t="s">
        <v>235</v>
      </c>
      <c r="G270" s="46"/>
      <c r="H270" s="44"/>
      <c r="I270" s="44"/>
      <c r="J270" s="46"/>
      <c r="K270" s="44"/>
      <c r="L270" s="44"/>
      <c r="M270" s="44"/>
      <c r="N270" s="44"/>
      <c r="O270" s="45"/>
      <c r="P270" s="40"/>
    </row>
    <row r="271" spans="1:16" s="41" customFormat="1" ht="30" customHeight="1">
      <c r="A271" s="42">
        <v>178</v>
      </c>
      <c r="B271" s="43" t="s">
        <v>266</v>
      </c>
      <c r="C271" s="42"/>
      <c r="D271" s="43"/>
      <c r="E271" s="43" t="s">
        <v>435</v>
      </c>
      <c r="F271" s="43" t="s">
        <v>123</v>
      </c>
      <c r="G271" s="44"/>
      <c r="H271" s="44"/>
      <c r="I271" s="44"/>
      <c r="J271" s="44"/>
      <c r="K271" s="44"/>
      <c r="L271" s="44"/>
      <c r="M271" s="44"/>
      <c r="N271" s="44"/>
      <c r="O271" s="45"/>
      <c r="P271" s="40"/>
    </row>
    <row r="272" spans="1:16" s="41" customFormat="1" ht="30" customHeight="1">
      <c r="A272" s="34">
        <v>179</v>
      </c>
      <c r="B272" s="35" t="s">
        <v>267</v>
      </c>
      <c r="C272" s="34"/>
      <c r="D272" s="35"/>
      <c r="E272" s="35" t="s">
        <v>435</v>
      </c>
      <c r="F272" s="35" t="s">
        <v>123</v>
      </c>
      <c r="G272" s="46"/>
      <c r="H272" s="44"/>
      <c r="I272" s="44"/>
      <c r="J272" s="46"/>
      <c r="K272" s="44"/>
      <c r="L272" s="44"/>
      <c r="M272" s="44"/>
      <c r="N272" s="44"/>
      <c r="O272" s="45"/>
      <c r="P272" s="40"/>
    </row>
    <row r="273" spans="1:16" s="41" customFormat="1" ht="30" customHeight="1">
      <c r="A273" s="42">
        <v>180</v>
      </c>
      <c r="B273" s="43" t="s">
        <v>268</v>
      </c>
      <c r="C273" s="42"/>
      <c r="D273" s="43"/>
      <c r="E273" s="43" t="s">
        <v>435</v>
      </c>
      <c r="F273" s="43" t="s">
        <v>123</v>
      </c>
      <c r="G273" s="44"/>
      <c r="H273" s="44"/>
      <c r="I273" s="44"/>
      <c r="J273" s="44"/>
      <c r="K273" s="44"/>
      <c r="L273" s="44"/>
      <c r="M273" s="44"/>
      <c r="N273" s="44"/>
      <c r="O273" s="45"/>
      <c r="P273" s="40"/>
    </row>
    <row r="274" spans="1:16" s="41" customFormat="1" ht="30" customHeight="1">
      <c r="A274" s="34">
        <v>181</v>
      </c>
      <c r="B274" s="35" t="s">
        <v>269</v>
      </c>
      <c r="C274" s="34"/>
      <c r="D274" s="35"/>
      <c r="E274" s="35" t="s">
        <v>435</v>
      </c>
      <c r="F274" s="35" t="s">
        <v>123</v>
      </c>
      <c r="G274" s="46"/>
      <c r="H274" s="44"/>
      <c r="I274" s="44"/>
      <c r="J274" s="46"/>
      <c r="K274" s="44"/>
      <c r="L274" s="44"/>
      <c r="M274" s="44"/>
      <c r="N274" s="44"/>
      <c r="O274" s="45"/>
      <c r="P274" s="40"/>
    </row>
    <row r="275" spans="1:16" s="41" customFormat="1" ht="30" customHeight="1">
      <c r="A275" s="42">
        <v>182</v>
      </c>
      <c r="B275" s="43" t="s">
        <v>270</v>
      </c>
      <c r="C275" s="42"/>
      <c r="D275" s="43"/>
      <c r="E275" s="43" t="s">
        <v>435</v>
      </c>
      <c r="F275" s="43" t="s">
        <v>123</v>
      </c>
      <c r="G275" s="44"/>
      <c r="H275" s="44"/>
      <c r="I275" s="44"/>
      <c r="J275" s="44"/>
      <c r="K275" s="44"/>
      <c r="L275" s="44"/>
      <c r="M275" s="44"/>
      <c r="N275" s="44"/>
      <c r="O275" s="45"/>
      <c r="P275" s="40"/>
    </row>
    <row r="276" spans="1:16" s="33" customFormat="1" ht="38.25">
      <c r="A276" s="34">
        <v>183</v>
      </c>
      <c r="B276" s="35" t="s">
        <v>271</v>
      </c>
      <c r="C276" s="34"/>
      <c r="D276" s="35"/>
      <c r="E276" s="35" t="s">
        <v>428</v>
      </c>
      <c r="F276" s="35"/>
      <c r="G276" s="35"/>
      <c r="H276" s="35"/>
      <c r="I276" s="35" t="s">
        <v>595</v>
      </c>
      <c r="J276" s="35" t="s">
        <v>468</v>
      </c>
      <c r="K276" s="35" t="s">
        <v>600</v>
      </c>
      <c r="L276" s="30"/>
      <c r="M276" s="30"/>
      <c r="N276" s="31"/>
      <c r="O276" s="78"/>
      <c r="P276" s="32"/>
    </row>
    <row r="277" spans="1:16" s="33" customFormat="1" ht="51">
      <c r="A277" s="42">
        <v>184</v>
      </c>
      <c r="B277" s="43" t="s">
        <v>272</v>
      </c>
      <c r="C277" s="42"/>
      <c r="D277" s="43"/>
      <c r="E277" s="43" t="s">
        <v>428</v>
      </c>
      <c r="F277" s="43"/>
      <c r="G277" s="43"/>
      <c r="H277" s="43"/>
      <c r="I277" s="43" t="s">
        <v>595</v>
      </c>
      <c r="J277" s="43" t="s">
        <v>468</v>
      </c>
      <c r="K277" s="43" t="s">
        <v>600</v>
      </c>
      <c r="L277" s="36"/>
      <c r="M277" s="36"/>
      <c r="N277" s="79"/>
      <c r="O277" s="78"/>
      <c r="P277" s="32"/>
    </row>
    <row r="278" spans="1:16" s="33" customFormat="1" ht="30" customHeight="1">
      <c r="A278" s="34">
        <v>185</v>
      </c>
      <c r="B278" s="35" t="s">
        <v>273</v>
      </c>
      <c r="C278" s="34"/>
      <c r="D278" s="35"/>
      <c r="E278" s="35" t="s">
        <v>428</v>
      </c>
      <c r="F278" s="35" t="s">
        <v>619</v>
      </c>
      <c r="G278" s="44"/>
      <c r="H278" s="44"/>
      <c r="I278" s="44"/>
      <c r="J278" s="44"/>
      <c r="K278" s="44"/>
      <c r="L278" s="44"/>
      <c r="M278" s="44"/>
      <c r="N278" s="44"/>
      <c r="O278" s="78"/>
      <c r="P278" s="32"/>
    </row>
    <row r="279" spans="1:16" s="33" customFormat="1" ht="30" customHeight="1">
      <c r="A279" s="42">
        <v>186</v>
      </c>
      <c r="B279" s="43" t="s">
        <v>274</v>
      </c>
      <c r="C279" s="42"/>
      <c r="D279" s="43"/>
      <c r="E279" s="43" t="s">
        <v>428</v>
      </c>
      <c r="F279" s="43" t="s">
        <v>620</v>
      </c>
      <c r="G279" s="44"/>
      <c r="H279" s="44"/>
      <c r="I279" s="44"/>
      <c r="J279" s="44"/>
      <c r="K279" s="44"/>
      <c r="L279" s="44"/>
      <c r="M279" s="44"/>
      <c r="N279" s="44"/>
      <c r="O279" s="78"/>
      <c r="P279" s="32"/>
    </row>
    <row r="280" spans="1:16" s="33" customFormat="1" ht="30" customHeight="1">
      <c r="A280" s="34">
        <v>187</v>
      </c>
      <c r="B280" s="35" t="s">
        <v>275</v>
      </c>
      <c r="C280" s="34"/>
      <c r="D280" s="35"/>
      <c r="E280" s="35" t="s">
        <v>428</v>
      </c>
      <c r="F280" s="35" t="s">
        <v>588</v>
      </c>
      <c r="G280" s="44"/>
      <c r="H280" s="44"/>
      <c r="I280" s="44"/>
      <c r="J280" s="44"/>
      <c r="K280" s="44"/>
      <c r="L280" s="44"/>
      <c r="M280" s="44"/>
      <c r="N280" s="44"/>
      <c r="O280" s="78"/>
      <c r="P280" s="32"/>
    </row>
    <row r="281" spans="1:16" s="33" customFormat="1" ht="30" customHeight="1">
      <c r="A281" s="42">
        <v>188</v>
      </c>
      <c r="B281" s="43" t="s">
        <v>276</v>
      </c>
      <c r="C281" s="42"/>
      <c r="D281" s="43"/>
      <c r="E281" s="43" t="s">
        <v>428</v>
      </c>
      <c r="F281" s="43" t="s">
        <v>588</v>
      </c>
      <c r="G281" s="44"/>
      <c r="H281" s="44"/>
      <c r="I281" s="44"/>
      <c r="J281" s="44"/>
      <c r="K281" s="44"/>
      <c r="L281" s="44"/>
      <c r="M281" s="44"/>
      <c r="N281" s="44"/>
      <c r="O281" s="78"/>
      <c r="P281" s="32"/>
    </row>
    <row r="282" spans="1:16" s="33" customFormat="1" ht="30" customHeight="1">
      <c r="A282" s="34">
        <v>189</v>
      </c>
      <c r="B282" s="35" t="s">
        <v>277</v>
      </c>
      <c r="C282" s="34"/>
      <c r="D282" s="35"/>
      <c r="E282" s="35" t="s">
        <v>428</v>
      </c>
      <c r="F282" s="35"/>
      <c r="G282" s="35"/>
      <c r="H282" s="35"/>
      <c r="I282" s="35"/>
      <c r="J282" s="35"/>
      <c r="K282" s="35" t="s">
        <v>587</v>
      </c>
      <c r="L282" s="30"/>
      <c r="M282" s="30"/>
      <c r="N282" s="31"/>
      <c r="O282" s="78"/>
      <c r="P282" s="32"/>
    </row>
    <row r="283" spans="1:16" s="41" customFormat="1" ht="30" customHeight="1">
      <c r="A283" s="42">
        <v>190</v>
      </c>
      <c r="B283" s="43" t="s">
        <v>278</v>
      </c>
      <c r="C283" s="42"/>
      <c r="D283" s="43"/>
      <c r="E283" s="43" t="s">
        <v>435</v>
      </c>
      <c r="F283" s="43" t="s">
        <v>123</v>
      </c>
      <c r="G283" s="44"/>
      <c r="H283" s="44"/>
      <c r="I283" s="44"/>
      <c r="J283" s="44"/>
      <c r="K283" s="44"/>
      <c r="L283" s="44"/>
      <c r="M283" s="44"/>
      <c r="N283" s="44"/>
      <c r="O283" s="45"/>
      <c r="P283" s="40"/>
    </row>
    <row r="284" spans="1:16" s="41" customFormat="1" ht="30" customHeight="1">
      <c r="A284" s="34">
        <v>191</v>
      </c>
      <c r="B284" s="35" t="s">
        <v>279</v>
      </c>
      <c r="C284" s="34"/>
      <c r="D284" s="35"/>
      <c r="E284" s="35" t="s">
        <v>435</v>
      </c>
      <c r="F284" s="35" t="s">
        <v>123</v>
      </c>
      <c r="G284" s="46"/>
      <c r="H284" s="44"/>
      <c r="I284" s="44"/>
      <c r="J284" s="46"/>
      <c r="K284" s="44"/>
      <c r="L284" s="44"/>
      <c r="M284" s="44"/>
      <c r="N284" s="44"/>
      <c r="O284" s="45"/>
      <c r="P284" s="40"/>
    </row>
    <row r="285" spans="1:16" s="41" customFormat="1" ht="30" customHeight="1">
      <c r="A285" s="48">
        <v>192</v>
      </c>
      <c r="B285" s="49" t="s">
        <v>254</v>
      </c>
      <c r="C285" s="48">
        <v>68</v>
      </c>
      <c r="D285" s="49"/>
      <c r="E285" s="49" t="s">
        <v>435</v>
      </c>
      <c r="F285" s="49" t="s">
        <v>123</v>
      </c>
      <c r="G285" s="38"/>
      <c r="H285" s="44"/>
      <c r="I285" s="44"/>
      <c r="J285" s="38"/>
      <c r="K285" s="44"/>
      <c r="L285" s="44"/>
      <c r="M285" s="44"/>
      <c r="N285" s="44"/>
      <c r="O285" s="45"/>
      <c r="P285" s="40"/>
    </row>
    <row r="286" spans="1:16" s="41" customFormat="1" ht="30" customHeight="1">
      <c r="A286" s="51"/>
      <c r="B286" s="52"/>
      <c r="C286" s="51"/>
      <c r="D286" s="52"/>
      <c r="E286" s="52" t="s">
        <v>435</v>
      </c>
      <c r="F286" s="52"/>
      <c r="G286" s="70"/>
      <c r="H286" s="44"/>
      <c r="I286" s="44"/>
      <c r="J286" s="70"/>
      <c r="K286" s="44"/>
      <c r="L286" s="44"/>
      <c r="M286" s="44"/>
      <c r="N286" s="44"/>
      <c r="O286" s="45"/>
      <c r="P286" s="40"/>
    </row>
    <row r="287" spans="1:16" s="41" customFormat="1" ht="30" customHeight="1">
      <c r="A287" s="34">
        <v>193</v>
      </c>
      <c r="B287" s="35" t="s">
        <v>280</v>
      </c>
      <c r="C287" s="34"/>
      <c r="D287" s="35"/>
      <c r="E287" s="35" t="s">
        <v>435</v>
      </c>
      <c r="F287" s="35" t="s">
        <v>123</v>
      </c>
      <c r="G287" s="46"/>
      <c r="H287" s="44"/>
      <c r="I287" s="44"/>
      <c r="J287" s="46"/>
      <c r="K287" s="44"/>
      <c r="L287" s="44"/>
      <c r="M287" s="44"/>
      <c r="N287" s="44"/>
      <c r="O287" s="45"/>
      <c r="P287" s="40"/>
    </row>
    <row r="288" spans="1:16" s="41" customFormat="1" ht="30" customHeight="1">
      <c r="A288" s="42">
        <v>194</v>
      </c>
      <c r="B288" s="43" t="s">
        <v>281</v>
      </c>
      <c r="C288" s="42"/>
      <c r="D288" s="43"/>
      <c r="E288" s="43" t="s">
        <v>435</v>
      </c>
      <c r="F288" s="43" t="s">
        <v>123</v>
      </c>
      <c r="G288" s="44"/>
      <c r="H288" s="44"/>
      <c r="I288" s="44"/>
      <c r="J288" s="44"/>
      <c r="K288" s="44"/>
      <c r="L288" s="44"/>
      <c r="M288" s="44"/>
      <c r="N288" s="44"/>
      <c r="O288" s="45"/>
      <c r="P288" s="40"/>
    </row>
    <row r="289" spans="1:16" s="41" customFormat="1" ht="30" customHeight="1">
      <c r="A289" s="34">
        <v>195</v>
      </c>
      <c r="B289" s="35" t="s">
        <v>282</v>
      </c>
      <c r="C289" s="34"/>
      <c r="D289" s="35"/>
      <c r="E289" s="35" t="s">
        <v>435</v>
      </c>
      <c r="F289" s="35" t="s">
        <v>35</v>
      </c>
      <c r="G289" s="46"/>
      <c r="H289" s="44"/>
      <c r="I289" s="44"/>
      <c r="J289" s="46"/>
      <c r="K289" s="44"/>
      <c r="L289" s="44"/>
      <c r="M289" s="44"/>
      <c r="N289" s="44"/>
      <c r="O289" s="45"/>
      <c r="P289" s="40"/>
    </row>
    <row r="290" spans="1:16" s="41" customFormat="1" ht="30" customHeight="1">
      <c r="A290" s="42">
        <v>196</v>
      </c>
      <c r="B290" s="43" t="s">
        <v>283</v>
      </c>
      <c r="C290" s="42"/>
      <c r="D290" s="43"/>
      <c r="E290" s="43" t="s">
        <v>435</v>
      </c>
      <c r="F290" s="43" t="s">
        <v>35</v>
      </c>
      <c r="G290" s="44"/>
      <c r="H290" s="44"/>
      <c r="I290" s="44"/>
      <c r="J290" s="44"/>
      <c r="K290" s="44"/>
      <c r="L290" s="44"/>
      <c r="M290" s="44"/>
      <c r="N290" s="44"/>
      <c r="O290" s="45"/>
      <c r="P290" s="40"/>
    </row>
    <row r="291" spans="1:16" s="41" customFormat="1" ht="30" customHeight="1">
      <c r="A291" s="34">
        <v>197</v>
      </c>
      <c r="B291" s="35" t="s">
        <v>284</v>
      </c>
      <c r="C291" s="34"/>
      <c r="D291" s="35"/>
      <c r="E291" s="35" t="s">
        <v>435</v>
      </c>
      <c r="F291" s="35" t="s">
        <v>123</v>
      </c>
      <c r="G291" s="46"/>
      <c r="H291" s="44"/>
      <c r="I291" s="44"/>
      <c r="J291" s="46"/>
      <c r="K291" s="44"/>
      <c r="L291" s="44"/>
      <c r="M291" s="44"/>
      <c r="N291" s="44"/>
      <c r="O291" s="45"/>
      <c r="P291" s="40"/>
    </row>
    <row r="292" spans="1:16" s="41" customFormat="1" ht="30" customHeight="1">
      <c r="A292" s="42">
        <v>198</v>
      </c>
      <c r="B292" s="43" t="s">
        <v>285</v>
      </c>
      <c r="C292" s="42"/>
      <c r="D292" s="43"/>
      <c r="E292" s="43" t="s">
        <v>435</v>
      </c>
      <c r="F292" s="43" t="s">
        <v>123</v>
      </c>
      <c r="G292" s="44"/>
      <c r="H292" s="44"/>
      <c r="I292" s="44"/>
      <c r="J292" s="44"/>
      <c r="K292" s="44"/>
      <c r="L292" s="44"/>
      <c r="M292" s="44"/>
      <c r="N292" s="44"/>
      <c r="O292" s="45"/>
      <c r="P292" s="40"/>
    </row>
    <row r="293" spans="1:16" s="41" customFormat="1" ht="30" customHeight="1">
      <c r="A293" s="34">
        <v>199</v>
      </c>
      <c r="B293" s="35" t="s">
        <v>286</v>
      </c>
      <c r="C293" s="34"/>
      <c r="D293" s="35"/>
      <c r="E293" s="35" t="s">
        <v>435</v>
      </c>
      <c r="F293" s="35" t="s">
        <v>123</v>
      </c>
      <c r="G293" s="46"/>
      <c r="H293" s="44"/>
      <c r="I293" s="44"/>
      <c r="J293" s="46"/>
      <c r="K293" s="44"/>
      <c r="L293" s="44"/>
      <c r="M293" s="44"/>
      <c r="N293" s="44"/>
      <c r="O293" s="45"/>
      <c r="P293" s="40"/>
    </row>
    <row r="294" spans="1:16" s="41" customFormat="1" ht="30" customHeight="1">
      <c r="A294" s="42">
        <v>200</v>
      </c>
      <c r="B294" s="43" t="s">
        <v>287</v>
      </c>
      <c r="C294" s="42"/>
      <c r="D294" s="43"/>
      <c r="E294" s="43" t="s">
        <v>435</v>
      </c>
      <c r="F294" s="43" t="s">
        <v>123</v>
      </c>
      <c r="G294" s="44"/>
      <c r="H294" s="44"/>
      <c r="I294" s="44"/>
      <c r="J294" s="44"/>
      <c r="K294" s="44"/>
      <c r="L294" s="44"/>
      <c r="M294" s="44"/>
      <c r="N294" s="44"/>
      <c r="O294" s="45"/>
      <c r="P294" s="40"/>
    </row>
    <row r="295" spans="1:16" s="41" customFormat="1" ht="30" customHeight="1">
      <c r="A295" s="34">
        <v>201</v>
      </c>
      <c r="B295" s="35" t="s">
        <v>288</v>
      </c>
      <c r="C295" s="34"/>
      <c r="D295" s="35"/>
      <c r="E295" s="35" t="s">
        <v>435</v>
      </c>
      <c r="F295" s="35" t="s">
        <v>123</v>
      </c>
      <c r="G295" s="46"/>
      <c r="H295" s="44"/>
      <c r="I295" s="44"/>
      <c r="J295" s="46"/>
      <c r="K295" s="44"/>
      <c r="L295" s="44"/>
      <c r="M295" s="44"/>
      <c r="N295" s="44"/>
      <c r="O295" s="45"/>
      <c r="P295" s="40"/>
    </row>
    <row r="296" spans="1:16" s="41" customFormat="1" ht="30" customHeight="1">
      <c r="A296" s="42">
        <v>202</v>
      </c>
      <c r="B296" s="43" t="s">
        <v>289</v>
      </c>
      <c r="C296" s="42"/>
      <c r="D296" s="43"/>
      <c r="E296" s="43" t="s">
        <v>435</v>
      </c>
      <c r="F296" s="43" t="s">
        <v>123</v>
      </c>
      <c r="G296" s="44"/>
      <c r="H296" s="44"/>
      <c r="I296" s="44"/>
      <c r="J296" s="44"/>
      <c r="K296" s="44"/>
      <c r="L296" s="44"/>
      <c r="M296" s="44"/>
      <c r="N296" s="44"/>
      <c r="O296" s="45"/>
      <c r="P296" s="40"/>
    </row>
    <row r="297" spans="1:16" s="41" customFormat="1" ht="30" customHeight="1">
      <c r="A297" s="34">
        <v>203</v>
      </c>
      <c r="B297" s="35" t="s">
        <v>290</v>
      </c>
      <c r="C297" s="34"/>
      <c r="D297" s="35"/>
      <c r="E297" s="35" t="s">
        <v>435</v>
      </c>
      <c r="F297" s="35" t="s">
        <v>123</v>
      </c>
      <c r="G297" s="46"/>
      <c r="H297" s="44"/>
      <c r="I297" s="44"/>
      <c r="J297" s="46"/>
      <c r="K297" s="44"/>
      <c r="L297" s="44"/>
      <c r="M297" s="44"/>
      <c r="N297" s="44"/>
      <c r="O297" s="45"/>
      <c r="P297" s="40"/>
    </row>
    <row r="298" spans="1:16" s="41" customFormat="1" ht="30" customHeight="1">
      <c r="A298" s="42">
        <v>204</v>
      </c>
      <c r="B298" s="43" t="s">
        <v>291</v>
      </c>
      <c r="C298" s="42"/>
      <c r="D298" s="43"/>
      <c r="E298" s="43" t="s">
        <v>435</v>
      </c>
      <c r="F298" s="43" t="s">
        <v>123</v>
      </c>
      <c r="G298" s="44"/>
      <c r="H298" s="44"/>
      <c r="I298" s="44"/>
      <c r="J298" s="44"/>
      <c r="K298" s="44"/>
      <c r="L298" s="44"/>
      <c r="M298" s="44"/>
      <c r="N298" s="44"/>
      <c r="O298" s="45"/>
      <c r="P298" s="40"/>
    </row>
    <row r="299" spans="1:16" s="41" customFormat="1" ht="30" customHeight="1">
      <c r="A299" s="34">
        <v>205</v>
      </c>
      <c r="B299" s="35" t="s">
        <v>292</v>
      </c>
      <c r="C299" s="34"/>
      <c r="D299" s="35"/>
      <c r="E299" s="35" t="s">
        <v>435</v>
      </c>
      <c r="F299" s="35" t="s">
        <v>123</v>
      </c>
      <c r="G299" s="46"/>
      <c r="H299" s="44"/>
      <c r="I299" s="44"/>
      <c r="J299" s="46"/>
      <c r="K299" s="44"/>
      <c r="L299" s="44"/>
      <c r="M299" s="44"/>
      <c r="N299" s="44"/>
      <c r="O299" s="45"/>
      <c r="P299" s="40"/>
    </row>
    <row r="300" spans="1:16" s="41" customFormat="1" ht="30" customHeight="1">
      <c r="A300" s="42">
        <v>206</v>
      </c>
      <c r="B300" s="43" t="s">
        <v>293</v>
      </c>
      <c r="C300" s="42"/>
      <c r="D300" s="43"/>
      <c r="E300" s="43" t="s">
        <v>435</v>
      </c>
      <c r="F300" s="43" t="s">
        <v>123</v>
      </c>
      <c r="G300" s="44"/>
      <c r="H300" s="44"/>
      <c r="I300" s="44"/>
      <c r="J300" s="44"/>
      <c r="K300" s="44"/>
      <c r="L300" s="44"/>
      <c r="M300" s="44"/>
      <c r="N300" s="44"/>
      <c r="O300" s="45"/>
      <c r="P300" s="40"/>
    </row>
    <row r="301" spans="1:16" s="41" customFormat="1" ht="30" customHeight="1">
      <c r="A301" s="34">
        <v>207</v>
      </c>
      <c r="B301" s="35" t="s">
        <v>294</v>
      </c>
      <c r="C301" s="34"/>
      <c r="D301" s="35"/>
      <c r="E301" s="35" t="s">
        <v>435</v>
      </c>
      <c r="F301" s="35" t="s">
        <v>123</v>
      </c>
      <c r="G301" s="46"/>
      <c r="H301" s="44"/>
      <c r="I301" s="44"/>
      <c r="J301" s="46"/>
      <c r="K301" s="44"/>
      <c r="L301" s="44"/>
      <c r="M301" s="44"/>
      <c r="N301" s="44"/>
      <c r="O301" s="45"/>
      <c r="P301" s="40"/>
    </row>
    <row r="302" spans="1:16" s="41" customFormat="1" ht="30" customHeight="1">
      <c r="A302" s="42">
        <v>208</v>
      </c>
      <c r="B302" s="43" t="s">
        <v>295</v>
      </c>
      <c r="C302" s="42"/>
      <c r="D302" s="43"/>
      <c r="E302" s="43" t="s">
        <v>435</v>
      </c>
      <c r="F302" s="43" t="s">
        <v>123</v>
      </c>
      <c r="G302" s="44"/>
      <c r="H302" s="44"/>
      <c r="I302" s="44"/>
      <c r="J302" s="44"/>
      <c r="K302" s="44"/>
      <c r="L302" s="44"/>
      <c r="M302" s="44"/>
      <c r="N302" s="44"/>
      <c r="O302" s="45"/>
      <c r="P302" s="40"/>
    </row>
    <row r="303" spans="1:16" s="41" customFormat="1" ht="30" customHeight="1">
      <c r="A303" s="34">
        <v>209</v>
      </c>
      <c r="B303" s="35" t="s">
        <v>296</v>
      </c>
      <c r="C303" s="34"/>
      <c r="D303" s="35"/>
      <c r="E303" s="35" t="s">
        <v>435</v>
      </c>
      <c r="F303" s="35" t="s">
        <v>123</v>
      </c>
      <c r="G303" s="46"/>
      <c r="H303" s="44"/>
      <c r="I303" s="44"/>
      <c r="J303" s="46"/>
      <c r="K303" s="44"/>
      <c r="L303" s="44"/>
      <c r="M303" s="44"/>
      <c r="N303" s="44"/>
      <c r="O303" s="45"/>
      <c r="P303" s="40"/>
    </row>
    <row r="304" spans="1:16" s="41" customFormat="1" ht="30" customHeight="1">
      <c r="A304" s="42">
        <v>210</v>
      </c>
      <c r="B304" s="43" t="s">
        <v>297</v>
      </c>
      <c r="C304" s="42"/>
      <c r="D304" s="43"/>
      <c r="E304" s="43" t="s">
        <v>435</v>
      </c>
      <c r="F304" s="43" t="s">
        <v>123</v>
      </c>
      <c r="G304" s="44"/>
      <c r="H304" s="44"/>
      <c r="I304" s="44"/>
      <c r="J304" s="44"/>
      <c r="K304" s="44"/>
      <c r="L304" s="44"/>
      <c r="M304" s="44"/>
      <c r="N304" s="44"/>
      <c r="O304" s="45"/>
      <c r="P304" s="40"/>
    </row>
    <row r="305" spans="1:16" s="41" customFormat="1" ht="30" customHeight="1">
      <c r="A305" s="34">
        <v>211</v>
      </c>
      <c r="B305" s="35" t="s">
        <v>298</v>
      </c>
      <c r="C305" s="34" t="s">
        <v>423</v>
      </c>
      <c r="D305" s="35"/>
      <c r="E305" s="35" t="s">
        <v>435</v>
      </c>
      <c r="F305" s="35" t="s">
        <v>123</v>
      </c>
      <c r="G305" s="46"/>
      <c r="H305" s="44"/>
      <c r="I305" s="44"/>
      <c r="J305" s="46"/>
      <c r="K305" s="44"/>
      <c r="L305" s="44"/>
      <c r="M305" s="44"/>
      <c r="N305" s="44"/>
      <c r="O305" s="45"/>
      <c r="P305" s="40"/>
    </row>
    <row r="306" spans="1:16" s="41" customFormat="1" ht="30" customHeight="1">
      <c r="A306" s="42">
        <v>212</v>
      </c>
      <c r="B306" s="43" t="s">
        <v>25</v>
      </c>
      <c r="C306" s="42"/>
      <c r="D306" s="43" t="s">
        <v>299</v>
      </c>
      <c r="E306" s="43" t="s">
        <v>435</v>
      </c>
      <c r="F306" s="43" t="s">
        <v>13</v>
      </c>
      <c r="G306" s="44"/>
      <c r="H306" s="44"/>
      <c r="I306" s="44"/>
      <c r="J306" s="44"/>
      <c r="K306" s="44"/>
      <c r="L306" s="44"/>
      <c r="M306" s="44"/>
      <c r="N306" s="44"/>
      <c r="O306" s="45"/>
      <c r="P306" s="40"/>
    </row>
    <row r="307" spans="1:16" s="41" customFormat="1" ht="30" customHeight="1">
      <c r="A307" s="34">
        <v>213</v>
      </c>
      <c r="B307" s="35" t="s">
        <v>300</v>
      </c>
      <c r="C307" s="34"/>
      <c r="D307" s="35" t="s">
        <v>299</v>
      </c>
      <c r="E307" s="35" t="s">
        <v>435</v>
      </c>
      <c r="F307" s="35" t="s">
        <v>13</v>
      </c>
      <c r="G307" s="46"/>
      <c r="H307" s="44"/>
      <c r="I307" s="44"/>
      <c r="J307" s="46"/>
      <c r="K307" s="44"/>
      <c r="L307" s="44"/>
      <c r="M307" s="44"/>
      <c r="N307" s="44"/>
      <c r="O307" s="45"/>
      <c r="P307" s="40"/>
    </row>
    <row r="308" spans="1:16" s="41" customFormat="1" ht="30" customHeight="1">
      <c r="A308" s="34"/>
      <c r="B308" s="35"/>
      <c r="C308" s="34"/>
      <c r="D308" s="35" t="s">
        <v>42</v>
      </c>
      <c r="E308" s="35" t="s">
        <v>435</v>
      </c>
      <c r="F308" s="35"/>
      <c r="G308" s="46"/>
      <c r="H308" s="44"/>
      <c r="I308" s="44"/>
      <c r="J308" s="46"/>
      <c r="K308" s="44"/>
      <c r="L308" s="44"/>
      <c r="M308" s="44"/>
      <c r="N308" s="44"/>
      <c r="O308" s="45"/>
      <c r="P308" s="40"/>
    </row>
    <row r="309" spans="1:16" s="41" customFormat="1" ht="30" customHeight="1">
      <c r="A309" s="42">
        <v>214</v>
      </c>
      <c r="B309" s="43" t="s">
        <v>301</v>
      </c>
      <c r="C309" s="42"/>
      <c r="D309" s="43" t="s">
        <v>299</v>
      </c>
      <c r="E309" s="43" t="s">
        <v>435</v>
      </c>
      <c r="F309" s="43" t="s">
        <v>13</v>
      </c>
      <c r="G309" s="44"/>
      <c r="H309" s="44"/>
      <c r="I309" s="44"/>
      <c r="J309" s="44"/>
      <c r="K309" s="44"/>
      <c r="L309" s="44"/>
      <c r="M309" s="44"/>
      <c r="N309" s="44"/>
      <c r="O309" s="45"/>
      <c r="P309" s="40"/>
    </row>
    <row r="310" spans="1:16" s="41" customFormat="1" ht="30" customHeight="1">
      <c r="A310" s="34">
        <v>215</v>
      </c>
      <c r="B310" s="35" t="s">
        <v>302</v>
      </c>
      <c r="C310" s="34"/>
      <c r="D310" s="35" t="s">
        <v>299</v>
      </c>
      <c r="E310" s="35" t="s">
        <v>435</v>
      </c>
      <c r="F310" s="35" t="s">
        <v>13</v>
      </c>
      <c r="G310" s="46"/>
      <c r="H310" s="44"/>
      <c r="I310" s="44"/>
      <c r="J310" s="46"/>
      <c r="K310" s="44"/>
      <c r="L310" s="44"/>
      <c r="M310" s="44"/>
      <c r="N310" s="44"/>
      <c r="O310" s="45"/>
      <c r="P310" s="40"/>
    </row>
    <row r="311" spans="1:16" s="41" customFormat="1" ht="25.5">
      <c r="A311" s="42">
        <v>216</v>
      </c>
      <c r="B311" s="43" t="s">
        <v>303</v>
      </c>
      <c r="C311" s="42"/>
      <c r="D311" s="43" t="s">
        <v>299</v>
      </c>
      <c r="E311" s="43" t="s">
        <v>438</v>
      </c>
      <c r="F311" s="43" t="s">
        <v>615</v>
      </c>
      <c r="G311" s="46"/>
      <c r="H311" s="44"/>
      <c r="I311" s="44"/>
      <c r="J311" s="44"/>
      <c r="K311" s="44"/>
      <c r="L311" s="44"/>
      <c r="M311" s="44"/>
      <c r="N311" s="44"/>
      <c r="O311" s="45"/>
      <c r="P311" s="40"/>
    </row>
    <row r="312" spans="1:16" s="41" customFormat="1" ht="30" customHeight="1">
      <c r="A312" s="34">
        <v>217</v>
      </c>
      <c r="B312" s="35" t="s">
        <v>304</v>
      </c>
      <c r="C312" s="34"/>
      <c r="D312" s="35" t="s">
        <v>299</v>
      </c>
      <c r="E312" s="35" t="s">
        <v>438</v>
      </c>
      <c r="F312" s="35" t="s">
        <v>615</v>
      </c>
      <c r="G312" s="46"/>
      <c r="H312" s="44"/>
      <c r="I312" s="44"/>
      <c r="J312" s="44"/>
      <c r="K312" s="44"/>
      <c r="L312" s="44"/>
      <c r="M312" s="44"/>
      <c r="N312" s="44"/>
      <c r="O312" s="45"/>
      <c r="P312" s="40"/>
    </row>
    <row r="313" spans="1:16" s="41" customFormat="1" ht="25.5">
      <c r="A313" s="48">
        <v>218</v>
      </c>
      <c r="B313" s="49" t="s">
        <v>305</v>
      </c>
      <c r="C313" s="48"/>
      <c r="D313" s="49" t="s">
        <v>299</v>
      </c>
      <c r="E313" s="49" t="s">
        <v>438</v>
      </c>
      <c r="F313" s="49" t="s">
        <v>615</v>
      </c>
      <c r="G313" s="46"/>
      <c r="H313" s="44"/>
      <c r="I313" s="44"/>
      <c r="J313" s="44"/>
      <c r="K313" s="44"/>
      <c r="L313" s="44"/>
      <c r="M313" s="44"/>
      <c r="N313" s="44"/>
      <c r="O313" s="45"/>
      <c r="P313" s="40"/>
    </row>
    <row r="314" spans="1:16" s="41" customFormat="1" ht="25.5">
      <c r="A314" s="34">
        <v>219</v>
      </c>
      <c r="B314" s="35" t="s">
        <v>137</v>
      </c>
      <c r="C314" s="34"/>
      <c r="D314" s="35" t="s">
        <v>299</v>
      </c>
      <c r="E314" s="35" t="s">
        <v>438</v>
      </c>
      <c r="F314" s="35" t="s">
        <v>615</v>
      </c>
      <c r="G314" s="46"/>
      <c r="H314" s="44"/>
      <c r="I314" s="44"/>
      <c r="J314" s="44"/>
      <c r="K314" s="44"/>
      <c r="L314" s="44"/>
      <c r="M314" s="44"/>
      <c r="N314" s="44"/>
      <c r="O314" s="45"/>
      <c r="P314" s="40"/>
    </row>
    <row r="315" spans="1:16" s="41" customFormat="1" ht="25.5">
      <c r="A315" s="48">
        <v>220</v>
      </c>
      <c r="B315" s="49" t="s">
        <v>306</v>
      </c>
      <c r="C315" s="48">
        <v>341</v>
      </c>
      <c r="D315" s="49" t="s">
        <v>299</v>
      </c>
      <c r="E315" s="49" t="s">
        <v>438</v>
      </c>
      <c r="F315" s="49" t="s">
        <v>615</v>
      </c>
      <c r="G315" s="46"/>
      <c r="H315" s="44"/>
      <c r="I315" s="44"/>
      <c r="J315" s="44"/>
      <c r="K315" s="44"/>
      <c r="L315" s="44"/>
      <c r="M315" s="44"/>
      <c r="N315" s="44"/>
      <c r="O315" s="45"/>
      <c r="P315" s="40"/>
    </row>
    <row r="316" spans="1:16" s="41" customFormat="1" ht="30" customHeight="1">
      <c r="A316" s="34">
        <v>221</v>
      </c>
      <c r="B316" s="35" t="s">
        <v>307</v>
      </c>
      <c r="C316" s="34"/>
      <c r="D316" s="35" t="s">
        <v>299</v>
      </c>
      <c r="E316" s="35" t="s">
        <v>438</v>
      </c>
      <c r="F316" s="35" t="s">
        <v>615</v>
      </c>
      <c r="G316" s="46"/>
      <c r="H316" s="44"/>
      <c r="I316" s="44"/>
      <c r="J316" s="44"/>
      <c r="K316" s="44"/>
      <c r="L316" s="44"/>
      <c r="M316" s="44"/>
      <c r="N316" s="44"/>
      <c r="O316" s="45"/>
      <c r="P316" s="40"/>
    </row>
    <row r="317" spans="1:16" s="41" customFormat="1" ht="25.5">
      <c r="A317" s="48">
        <v>222</v>
      </c>
      <c r="B317" s="49" t="s">
        <v>308</v>
      </c>
      <c r="C317" s="48"/>
      <c r="D317" s="49" t="s">
        <v>299</v>
      </c>
      <c r="E317" s="49" t="s">
        <v>438</v>
      </c>
      <c r="F317" s="49" t="s">
        <v>615</v>
      </c>
      <c r="G317" s="46"/>
      <c r="H317" s="44"/>
      <c r="I317" s="44"/>
      <c r="J317" s="44"/>
      <c r="K317" s="44"/>
      <c r="L317" s="44"/>
      <c r="M317" s="44"/>
      <c r="N317" s="44"/>
      <c r="O317" s="45"/>
      <c r="P317" s="40"/>
    </row>
    <row r="318" spans="1:16" s="41" customFormat="1" ht="25.5">
      <c r="A318" s="34">
        <v>223</v>
      </c>
      <c r="B318" s="35" t="s">
        <v>309</v>
      </c>
      <c r="C318" s="34">
        <v>342</v>
      </c>
      <c r="D318" s="35" t="s">
        <v>299</v>
      </c>
      <c r="E318" s="35" t="s">
        <v>438</v>
      </c>
      <c r="F318" s="35" t="s">
        <v>615</v>
      </c>
      <c r="G318" s="46"/>
      <c r="H318" s="44"/>
      <c r="I318" s="44"/>
      <c r="J318" s="44"/>
      <c r="K318" s="44"/>
      <c r="L318" s="44"/>
      <c r="M318" s="44"/>
      <c r="N318" s="44"/>
      <c r="O318" s="45"/>
      <c r="P318" s="40"/>
    </row>
    <row r="319" spans="1:16" s="41" customFormat="1" ht="25.5">
      <c r="A319" s="42">
        <v>224</v>
      </c>
      <c r="B319" s="43" t="s">
        <v>310</v>
      </c>
      <c r="C319" s="42"/>
      <c r="D319" s="43" t="s">
        <v>299</v>
      </c>
      <c r="E319" s="43" t="s">
        <v>438</v>
      </c>
      <c r="F319" s="43" t="s">
        <v>615</v>
      </c>
      <c r="G319" s="46"/>
      <c r="H319" s="44"/>
      <c r="I319" s="44"/>
      <c r="J319" s="44"/>
      <c r="K319" s="44"/>
      <c r="L319" s="44"/>
      <c r="M319" s="44"/>
      <c r="N319" s="44"/>
      <c r="O319" s="45"/>
      <c r="P319" s="40"/>
    </row>
    <row r="320" spans="1:16" s="41" customFormat="1" ht="30" customHeight="1">
      <c r="A320" s="34">
        <v>225</v>
      </c>
      <c r="B320" s="35" t="s">
        <v>311</v>
      </c>
      <c r="C320" s="34"/>
      <c r="D320" s="35" t="s">
        <v>299</v>
      </c>
      <c r="E320" s="35" t="s">
        <v>438</v>
      </c>
      <c r="F320" s="35" t="s">
        <v>615</v>
      </c>
      <c r="G320" s="46"/>
      <c r="H320" s="44"/>
      <c r="I320" s="44"/>
      <c r="J320" s="44"/>
      <c r="K320" s="44"/>
      <c r="L320" s="44"/>
      <c r="M320" s="44"/>
      <c r="N320" s="44"/>
      <c r="O320" s="45"/>
      <c r="P320" s="40"/>
    </row>
    <row r="321" spans="1:16" s="41" customFormat="1" ht="30" customHeight="1">
      <c r="A321" s="48">
        <v>226</v>
      </c>
      <c r="B321" s="49" t="s">
        <v>312</v>
      </c>
      <c r="C321" s="48"/>
      <c r="D321" s="29" t="s">
        <v>122</v>
      </c>
      <c r="E321" s="29" t="s">
        <v>438</v>
      </c>
      <c r="F321" s="29" t="s">
        <v>615</v>
      </c>
      <c r="G321" s="46"/>
      <c r="H321" s="44"/>
      <c r="I321" s="44"/>
      <c r="J321" s="44"/>
      <c r="K321" s="44"/>
      <c r="L321" s="44"/>
      <c r="M321" s="44"/>
      <c r="N321" s="44"/>
      <c r="O321" s="45"/>
      <c r="P321" s="40"/>
    </row>
    <row r="322" spans="1:16" s="41" customFormat="1" ht="30" customHeight="1">
      <c r="A322" s="51"/>
      <c r="B322" s="52"/>
      <c r="C322" s="51"/>
      <c r="D322" s="53" t="s">
        <v>299</v>
      </c>
      <c r="E322" s="53"/>
      <c r="F322" s="53"/>
      <c r="G322" s="46"/>
      <c r="H322" s="44"/>
      <c r="I322" s="44"/>
      <c r="J322" s="44"/>
      <c r="K322" s="44"/>
      <c r="L322" s="44"/>
      <c r="M322" s="44"/>
      <c r="N322" s="44"/>
      <c r="O322" s="45"/>
      <c r="P322" s="40"/>
    </row>
    <row r="323" spans="1:16" s="41" customFormat="1" ht="30" customHeight="1">
      <c r="A323" s="34">
        <v>227</v>
      </c>
      <c r="B323" s="35" t="s">
        <v>313</v>
      </c>
      <c r="C323" s="34"/>
      <c r="D323" s="80" t="s">
        <v>122</v>
      </c>
      <c r="E323" s="80" t="s">
        <v>438</v>
      </c>
      <c r="F323" s="80" t="s">
        <v>615</v>
      </c>
      <c r="G323" s="46"/>
      <c r="H323" s="44"/>
      <c r="I323" s="44"/>
      <c r="J323" s="44"/>
      <c r="K323" s="44"/>
      <c r="L323" s="44"/>
      <c r="M323" s="44"/>
      <c r="N323" s="44"/>
      <c r="O323" s="45"/>
      <c r="P323" s="40"/>
    </row>
    <row r="324" spans="1:16" s="41" customFormat="1" ht="30" customHeight="1">
      <c r="A324" s="48">
        <v>228</v>
      </c>
      <c r="B324" s="49" t="s">
        <v>314</v>
      </c>
      <c r="C324" s="48"/>
      <c r="D324" s="29" t="s">
        <v>122</v>
      </c>
      <c r="E324" s="29"/>
      <c r="F324" s="29" t="s">
        <v>493</v>
      </c>
      <c r="G324" s="46"/>
      <c r="H324" s="46"/>
      <c r="I324" s="46"/>
      <c r="J324" s="46"/>
      <c r="K324" s="46"/>
      <c r="L324" s="46"/>
      <c r="M324" s="46"/>
      <c r="N324" s="46"/>
      <c r="O324" s="45"/>
      <c r="P324" s="40"/>
    </row>
    <row r="325" spans="1:16" s="41" customFormat="1" ht="38.25">
      <c r="A325" s="34">
        <v>229</v>
      </c>
      <c r="B325" s="35" t="s">
        <v>315</v>
      </c>
      <c r="C325" s="34"/>
      <c r="D325" s="80" t="s">
        <v>617</v>
      </c>
      <c r="E325" s="80" t="s">
        <v>438</v>
      </c>
      <c r="F325" s="80" t="s">
        <v>615</v>
      </c>
      <c r="G325" s="46"/>
      <c r="H325" s="46"/>
      <c r="I325" s="46"/>
      <c r="J325" s="46"/>
      <c r="K325" s="46"/>
      <c r="L325" s="46"/>
      <c r="M325" s="46"/>
      <c r="N325" s="46"/>
      <c r="O325" s="45"/>
      <c r="P325" s="40"/>
    </row>
    <row r="326" spans="1:16" s="41" customFormat="1" ht="38.25">
      <c r="A326" s="48">
        <v>230</v>
      </c>
      <c r="B326" s="49" t="s">
        <v>316</v>
      </c>
      <c r="C326" s="48" t="s">
        <v>424</v>
      </c>
      <c r="D326" s="49" t="s">
        <v>617</v>
      </c>
      <c r="E326" s="49" t="s">
        <v>438</v>
      </c>
      <c r="F326" s="49" t="s">
        <v>615</v>
      </c>
      <c r="G326" s="46"/>
      <c r="H326" s="46"/>
      <c r="I326" s="46"/>
      <c r="J326" s="46"/>
      <c r="K326" s="46"/>
      <c r="L326" s="46"/>
      <c r="M326" s="46"/>
      <c r="N326" s="46"/>
      <c r="O326" s="45"/>
      <c r="P326" s="40"/>
    </row>
    <row r="327" spans="1:16" s="41" customFormat="1" ht="30" customHeight="1">
      <c r="A327" s="55"/>
      <c r="B327" s="56"/>
      <c r="C327" s="55"/>
      <c r="D327" s="56"/>
      <c r="E327" s="56"/>
      <c r="F327" s="56"/>
      <c r="G327" s="46"/>
      <c r="H327" s="46"/>
      <c r="I327" s="46"/>
      <c r="J327" s="46"/>
      <c r="K327" s="46"/>
      <c r="L327" s="46"/>
      <c r="M327" s="46"/>
      <c r="N327" s="46"/>
      <c r="O327" s="45"/>
      <c r="P327" s="40"/>
    </row>
    <row r="328" spans="1:16" s="41" customFormat="1" ht="74.25" customHeight="1">
      <c r="A328" s="34">
        <v>231</v>
      </c>
      <c r="B328" s="35" t="s">
        <v>317</v>
      </c>
      <c r="C328" s="34" t="s">
        <v>425</v>
      </c>
      <c r="D328" s="35" t="s">
        <v>618</v>
      </c>
      <c r="E328" s="35" t="s">
        <v>438</v>
      </c>
      <c r="F328" s="35" t="s">
        <v>615</v>
      </c>
      <c r="G328" s="46"/>
      <c r="H328" s="46"/>
      <c r="I328" s="46"/>
      <c r="J328" s="46"/>
      <c r="K328" s="46"/>
      <c r="L328" s="46"/>
      <c r="M328" s="46"/>
      <c r="N328" s="46"/>
      <c r="O328" s="45"/>
      <c r="P328" s="40"/>
    </row>
    <row r="329" spans="1:16" s="41" customFormat="1" ht="30" customHeight="1">
      <c r="A329" s="42">
        <v>232</v>
      </c>
      <c r="B329" s="43" t="s">
        <v>318</v>
      </c>
      <c r="C329" s="42"/>
      <c r="D329" s="43" t="s">
        <v>122</v>
      </c>
      <c r="E329" s="43" t="s">
        <v>435</v>
      </c>
      <c r="F329" s="43" t="s">
        <v>35</v>
      </c>
      <c r="G329" s="44"/>
      <c r="H329" s="44"/>
      <c r="I329" s="44"/>
      <c r="J329" s="44"/>
      <c r="K329" s="44"/>
      <c r="L329" s="44"/>
      <c r="M329" s="44"/>
      <c r="N329" s="44"/>
      <c r="O329" s="45"/>
      <c r="P329" s="40"/>
    </row>
    <row r="330" spans="1:16" s="41" customFormat="1" ht="30" customHeight="1">
      <c r="A330" s="34">
        <v>233</v>
      </c>
      <c r="B330" s="35" t="s">
        <v>319</v>
      </c>
      <c r="C330" s="34">
        <v>328</v>
      </c>
      <c r="D330" s="35" t="s">
        <v>122</v>
      </c>
      <c r="E330" s="35" t="s">
        <v>435</v>
      </c>
      <c r="F330" s="35" t="s">
        <v>13</v>
      </c>
      <c r="G330" s="46"/>
      <c r="H330" s="44"/>
      <c r="I330" s="44"/>
      <c r="J330" s="46"/>
      <c r="K330" s="44"/>
      <c r="L330" s="44"/>
      <c r="M330" s="44"/>
      <c r="N330" s="44"/>
      <c r="O330" s="45"/>
      <c r="P330" s="40"/>
    </row>
    <row r="331" spans="1:16" s="41" customFormat="1" ht="30" customHeight="1">
      <c r="A331" s="42">
        <v>234</v>
      </c>
      <c r="B331" s="43" t="s">
        <v>76</v>
      </c>
      <c r="C331" s="42"/>
      <c r="D331" s="43" t="s">
        <v>122</v>
      </c>
      <c r="E331" s="43" t="s">
        <v>435</v>
      </c>
      <c r="F331" s="43" t="s">
        <v>13</v>
      </c>
      <c r="G331" s="44"/>
      <c r="H331" s="44"/>
      <c r="I331" s="44"/>
      <c r="J331" s="44"/>
      <c r="K331" s="44"/>
      <c r="L331" s="44"/>
      <c r="M331" s="44"/>
      <c r="N331" s="44"/>
      <c r="O331" s="45"/>
      <c r="P331" s="40"/>
    </row>
    <row r="332" spans="1:16" s="41" customFormat="1" ht="30" customHeight="1">
      <c r="A332" s="34">
        <v>235</v>
      </c>
      <c r="B332" s="35" t="s">
        <v>320</v>
      </c>
      <c r="C332" s="34"/>
      <c r="D332" s="35" t="s">
        <v>122</v>
      </c>
      <c r="E332" s="35" t="s">
        <v>435</v>
      </c>
      <c r="F332" s="35" t="s">
        <v>13</v>
      </c>
      <c r="G332" s="46"/>
      <c r="H332" s="44"/>
      <c r="I332" s="44"/>
      <c r="J332" s="46"/>
      <c r="K332" s="44"/>
      <c r="L332" s="44"/>
      <c r="M332" s="44"/>
      <c r="N332" s="44"/>
      <c r="O332" s="45"/>
      <c r="P332" s="40"/>
    </row>
    <row r="333" spans="1:16" s="41" customFormat="1" ht="32.25" customHeight="1">
      <c r="A333" s="42">
        <v>236</v>
      </c>
      <c r="B333" s="43" t="s">
        <v>321</v>
      </c>
      <c r="C333" s="42"/>
      <c r="D333" s="43"/>
      <c r="E333" s="43" t="s">
        <v>435</v>
      </c>
      <c r="F333" s="43" t="s">
        <v>235</v>
      </c>
      <c r="G333" s="44"/>
      <c r="H333" s="44"/>
      <c r="I333" s="44"/>
      <c r="J333" s="44"/>
      <c r="K333" s="44"/>
      <c r="L333" s="44"/>
      <c r="M333" s="44"/>
      <c r="N333" s="44"/>
      <c r="O333" s="45"/>
      <c r="P333" s="40"/>
    </row>
    <row r="334" spans="1:16" s="41" customFormat="1" ht="45.75" customHeight="1">
      <c r="A334" s="34">
        <v>237</v>
      </c>
      <c r="B334" s="35" t="s">
        <v>322</v>
      </c>
      <c r="C334" s="34"/>
      <c r="D334" s="35"/>
      <c r="E334" s="35" t="s">
        <v>435</v>
      </c>
      <c r="F334" s="35" t="s">
        <v>153</v>
      </c>
      <c r="G334" s="46"/>
      <c r="H334" s="44"/>
      <c r="I334" s="44"/>
      <c r="J334" s="46"/>
      <c r="K334" s="44"/>
      <c r="L334" s="44"/>
      <c r="M334" s="44"/>
      <c r="N334" s="44"/>
      <c r="O334" s="45"/>
      <c r="P334" s="40"/>
    </row>
    <row r="335" spans="1:16" s="41" customFormat="1" ht="60.75" customHeight="1">
      <c r="A335" s="42">
        <v>238</v>
      </c>
      <c r="B335" s="43" t="s">
        <v>323</v>
      </c>
      <c r="C335" s="42"/>
      <c r="D335" s="43"/>
      <c r="E335" s="43" t="s">
        <v>435</v>
      </c>
      <c r="F335" s="43" t="s">
        <v>153</v>
      </c>
      <c r="G335" s="44"/>
      <c r="H335" s="44"/>
      <c r="I335" s="44"/>
      <c r="J335" s="44"/>
      <c r="K335" s="44"/>
      <c r="L335" s="44"/>
      <c r="M335" s="44"/>
      <c r="N335" s="44"/>
      <c r="O335" s="45"/>
      <c r="P335" s="40"/>
    </row>
    <row r="336" spans="1:16" s="41" customFormat="1" ht="57.75" customHeight="1">
      <c r="A336" s="34">
        <v>239</v>
      </c>
      <c r="B336" s="35" t="s">
        <v>324</v>
      </c>
      <c r="C336" s="34"/>
      <c r="D336" s="35"/>
      <c r="E336" s="35" t="s">
        <v>435</v>
      </c>
      <c r="F336" s="35" t="s">
        <v>153</v>
      </c>
      <c r="G336" s="46"/>
      <c r="H336" s="44"/>
      <c r="I336" s="44"/>
      <c r="J336" s="46"/>
      <c r="K336" s="44"/>
      <c r="L336" s="44"/>
      <c r="M336" s="44"/>
      <c r="N336" s="44"/>
      <c r="O336" s="45"/>
      <c r="P336" s="40"/>
    </row>
    <row r="337" spans="1:16" s="41" customFormat="1" ht="44.25" customHeight="1">
      <c r="A337" s="42">
        <v>240</v>
      </c>
      <c r="B337" s="43" t="s">
        <v>325</v>
      </c>
      <c r="C337" s="42"/>
      <c r="D337" s="43"/>
      <c r="E337" s="43" t="s">
        <v>435</v>
      </c>
      <c r="F337" s="43" t="s">
        <v>13</v>
      </c>
      <c r="G337" s="44"/>
      <c r="H337" s="44"/>
      <c r="I337" s="44"/>
      <c r="J337" s="44"/>
      <c r="K337" s="44"/>
      <c r="L337" s="44"/>
      <c r="M337" s="44"/>
      <c r="N337" s="44"/>
      <c r="O337" s="45"/>
      <c r="P337" s="40"/>
    </row>
    <row r="338" spans="1:16" s="41" customFormat="1" ht="48" customHeight="1">
      <c r="A338" s="34">
        <v>241</v>
      </c>
      <c r="B338" s="35" t="s">
        <v>326</v>
      </c>
      <c r="C338" s="34"/>
      <c r="D338" s="35"/>
      <c r="E338" s="35" t="s">
        <v>435</v>
      </c>
      <c r="F338" s="35" t="s">
        <v>13</v>
      </c>
      <c r="G338" s="46"/>
      <c r="H338" s="44"/>
      <c r="I338" s="44"/>
      <c r="J338" s="46"/>
      <c r="K338" s="44"/>
      <c r="L338" s="44"/>
      <c r="M338" s="44"/>
      <c r="N338" s="44"/>
      <c r="O338" s="45"/>
      <c r="P338" s="40"/>
    </row>
    <row r="339" spans="1:16" s="41" customFormat="1" ht="30" customHeight="1">
      <c r="A339" s="42">
        <v>242</v>
      </c>
      <c r="B339" s="43" t="s">
        <v>327</v>
      </c>
      <c r="C339" s="42"/>
      <c r="D339" s="43"/>
      <c r="E339" s="43" t="s">
        <v>435</v>
      </c>
      <c r="F339" s="43" t="s">
        <v>328</v>
      </c>
      <c r="G339" s="44"/>
      <c r="H339" s="44"/>
      <c r="I339" s="44"/>
      <c r="J339" s="44"/>
      <c r="K339" s="44"/>
      <c r="L339" s="44"/>
      <c r="M339" s="44"/>
      <c r="N339" s="44"/>
      <c r="O339" s="45"/>
      <c r="P339" s="40"/>
    </row>
    <row r="340" spans="1:16" s="41" customFormat="1" ht="30" customHeight="1">
      <c r="A340" s="34">
        <v>243</v>
      </c>
      <c r="B340" s="35" t="s">
        <v>329</v>
      </c>
      <c r="C340" s="34"/>
      <c r="D340" s="35"/>
      <c r="E340" s="35"/>
      <c r="F340" s="35" t="s">
        <v>535</v>
      </c>
      <c r="G340" s="46"/>
      <c r="H340" s="46"/>
      <c r="I340" s="46"/>
      <c r="J340" s="46"/>
      <c r="K340" s="46"/>
      <c r="L340" s="46"/>
      <c r="M340" s="46"/>
      <c r="N340" s="46"/>
      <c r="O340" s="45"/>
      <c r="P340" s="40"/>
    </row>
    <row r="341" spans="1:16" s="41" customFormat="1" ht="30" customHeight="1">
      <c r="A341" s="42">
        <v>244</v>
      </c>
      <c r="B341" s="43" t="s">
        <v>330</v>
      </c>
      <c r="C341" s="42">
        <v>376</v>
      </c>
      <c r="D341" s="43"/>
      <c r="E341" s="43" t="s">
        <v>429</v>
      </c>
      <c r="F341" s="43" t="s">
        <v>615</v>
      </c>
      <c r="G341" s="46"/>
      <c r="H341" s="46"/>
      <c r="I341" s="46"/>
      <c r="J341" s="46"/>
      <c r="K341" s="46"/>
      <c r="L341" s="46"/>
      <c r="M341" s="46"/>
      <c r="N341" s="46"/>
      <c r="O341" s="45"/>
      <c r="P341" s="40"/>
    </row>
    <row r="342" spans="1:16" s="41" customFormat="1" ht="30" customHeight="1">
      <c r="A342" s="34">
        <v>245</v>
      </c>
      <c r="B342" s="35" t="s">
        <v>331</v>
      </c>
      <c r="C342" s="62">
        <v>377</v>
      </c>
      <c r="D342" s="59"/>
      <c r="E342" s="59" t="s">
        <v>428</v>
      </c>
      <c r="F342" s="59" t="s">
        <v>615</v>
      </c>
      <c r="G342" s="46"/>
      <c r="H342" s="46"/>
      <c r="I342" s="46"/>
      <c r="J342" s="46"/>
      <c r="K342" s="46"/>
      <c r="L342" s="46"/>
      <c r="M342" s="46"/>
      <c r="N342" s="46"/>
      <c r="O342" s="45"/>
      <c r="P342" s="40"/>
    </row>
    <row r="343" spans="1:16" s="41" customFormat="1" ht="30" customHeight="1">
      <c r="A343" s="48">
        <v>246</v>
      </c>
      <c r="B343" s="49" t="s">
        <v>332</v>
      </c>
      <c r="C343" s="48"/>
      <c r="D343" s="49" t="s">
        <v>333</v>
      </c>
      <c r="E343" s="49" t="s">
        <v>428</v>
      </c>
      <c r="F343" s="49" t="s">
        <v>615</v>
      </c>
      <c r="G343" s="46"/>
      <c r="H343" s="46"/>
      <c r="I343" s="46"/>
      <c r="J343" s="46"/>
      <c r="K343" s="46"/>
      <c r="L343" s="46"/>
      <c r="M343" s="46"/>
      <c r="N343" s="46"/>
      <c r="O343" s="45"/>
      <c r="P343" s="40"/>
    </row>
    <row r="344" spans="1:16" s="41" customFormat="1" ht="30" customHeight="1">
      <c r="A344" s="34">
        <v>247</v>
      </c>
      <c r="B344" s="35" t="s">
        <v>334</v>
      </c>
      <c r="C344" s="34"/>
      <c r="D344" s="35"/>
      <c r="E344" s="35" t="s">
        <v>435</v>
      </c>
      <c r="F344" s="35" t="s">
        <v>13</v>
      </c>
      <c r="G344" s="46"/>
      <c r="H344" s="44"/>
      <c r="I344" s="44"/>
      <c r="J344" s="46"/>
      <c r="K344" s="44"/>
      <c r="L344" s="44"/>
      <c r="M344" s="44"/>
      <c r="N344" s="44"/>
      <c r="O344" s="45"/>
      <c r="P344" s="40"/>
    </row>
    <row r="345" spans="1:16" s="41" customFormat="1" ht="30" customHeight="1">
      <c r="A345" s="42">
        <v>248</v>
      </c>
      <c r="B345" s="43" t="s">
        <v>335</v>
      </c>
      <c r="C345" s="42"/>
      <c r="D345" s="43" t="s">
        <v>42</v>
      </c>
      <c r="E345" s="43" t="s">
        <v>435</v>
      </c>
      <c r="F345" s="43" t="s">
        <v>13</v>
      </c>
      <c r="G345" s="44"/>
      <c r="H345" s="44"/>
      <c r="I345" s="44"/>
      <c r="J345" s="44"/>
      <c r="K345" s="44"/>
      <c r="L345" s="44"/>
      <c r="M345" s="44"/>
      <c r="N345" s="44"/>
      <c r="O345" s="45"/>
      <c r="P345" s="40"/>
    </row>
    <row r="346" spans="1:16" s="41" customFormat="1" ht="30" customHeight="1">
      <c r="A346" s="34">
        <v>249</v>
      </c>
      <c r="B346" s="35" t="s">
        <v>336</v>
      </c>
      <c r="C346" s="34"/>
      <c r="D346" s="35" t="s">
        <v>42</v>
      </c>
      <c r="E346" s="35" t="s">
        <v>435</v>
      </c>
      <c r="F346" s="35" t="s">
        <v>35</v>
      </c>
      <c r="G346" s="46"/>
      <c r="H346" s="44"/>
      <c r="I346" s="44"/>
      <c r="J346" s="46"/>
      <c r="K346" s="44"/>
      <c r="L346" s="44"/>
      <c r="M346" s="44"/>
      <c r="N346" s="44"/>
      <c r="O346" s="45"/>
      <c r="P346" s="40"/>
    </row>
    <row r="347" spans="1:16" s="41" customFormat="1" ht="30" customHeight="1">
      <c r="A347" s="42">
        <v>250</v>
      </c>
      <c r="B347" s="43" t="s">
        <v>337</v>
      </c>
      <c r="C347" s="42"/>
      <c r="D347" s="43" t="s">
        <v>42</v>
      </c>
      <c r="E347" s="43" t="s">
        <v>435</v>
      </c>
      <c r="F347" s="43" t="s">
        <v>35</v>
      </c>
      <c r="G347" s="44"/>
      <c r="H347" s="44"/>
      <c r="I347" s="44"/>
      <c r="J347" s="44"/>
      <c r="K347" s="44"/>
      <c r="L347" s="44"/>
      <c r="M347" s="44"/>
      <c r="N347" s="44"/>
      <c r="O347" s="45"/>
      <c r="P347" s="40"/>
    </row>
    <row r="348" spans="1:16" s="41" customFormat="1" ht="30" customHeight="1">
      <c r="A348" s="34">
        <v>251</v>
      </c>
      <c r="B348" s="35" t="s">
        <v>338</v>
      </c>
      <c r="C348" s="34"/>
      <c r="D348" s="35"/>
      <c r="E348" s="35" t="s">
        <v>435</v>
      </c>
      <c r="F348" s="35" t="s">
        <v>35</v>
      </c>
      <c r="G348" s="46"/>
      <c r="H348" s="44"/>
      <c r="I348" s="44"/>
      <c r="J348" s="46"/>
      <c r="K348" s="44"/>
      <c r="L348" s="44"/>
      <c r="M348" s="44"/>
      <c r="N348" s="44"/>
      <c r="O348" s="45"/>
      <c r="P348" s="40"/>
    </row>
    <row r="349" spans="1:16" s="41" customFormat="1" ht="30" customHeight="1">
      <c r="A349" s="42">
        <v>252</v>
      </c>
      <c r="B349" s="43" t="s">
        <v>339</v>
      </c>
      <c r="C349" s="42"/>
      <c r="D349" s="43"/>
      <c r="E349" s="43" t="s">
        <v>435</v>
      </c>
      <c r="F349" s="43" t="s">
        <v>35</v>
      </c>
      <c r="G349" s="44"/>
      <c r="H349" s="44"/>
      <c r="I349" s="44"/>
      <c r="J349" s="44"/>
      <c r="K349" s="44"/>
      <c r="L349" s="44"/>
      <c r="M349" s="44"/>
      <c r="N349" s="44"/>
      <c r="O349" s="45"/>
      <c r="P349" s="40"/>
    </row>
    <row r="350" spans="1:16" s="41" customFormat="1" ht="30" customHeight="1">
      <c r="A350" s="34">
        <v>253</v>
      </c>
      <c r="B350" s="35" t="s">
        <v>340</v>
      </c>
      <c r="C350" s="34"/>
      <c r="D350" s="35"/>
      <c r="E350" s="35" t="s">
        <v>435</v>
      </c>
      <c r="F350" s="35" t="s">
        <v>35</v>
      </c>
      <c r="G350" s="46"/>
      <c r="H350" s="44"/>
      <c r="I350" s="44"/>
      <c r="J350" s="46"/>
      <c r="K350" s="44"/>
      <c r="L350" s="44"/>
      <c r="M350" s="44"/>
      <c r="N350" s="44"/>
      <c r="O350" s="45"/>
      <c r="P350" s="40"/>
    </row>
    <row r="351" spans="1:16" s="41" customFormat="1" ht="30" customHeight="1">
      <c r="A351" s="42">
        <v>254</v>
      </c>
      <c r="B351" s="43" t="s">
        <v>341</v>
      </c>
      <c r="C351" s="42"/>
      <c r="D351" s="43"/>
      <c r="E351" s="43" t="s">
        <v>435</v>
      </c>
      <c r="F351" s="43" t="s">
        <v>13</v>
      </c>
      <c r="G351" s="44"/>
      <c r="H351" s="44"/>
      <c r="I351" s="44"/>
      <c r="J351" s="44"/>
      <c r="K351" s="44"/>
      <c r="L351" s="44"/>
      <c r="M351" s="44"/>
      <c r="N351" s="44"/>
      <c r="O351" s="45"/>
      <c r="P351" s="40"/>
    </row>
    <row r="352" spans="1:16" s="41" customFormat="1" ht="30" customHeight="1">
      <c r="A352" s="34">
        <v>255</v>
      </c>
      <c r="B352" s="35" t="s">
        <v>342</v>
      </c>
      <c r="C352" s="34"/>
      <c r="D352" s="35" t="s">
        <v>42</v>
      </c>
      <c r="E352" s="35" t="s">
        <v>435</v>
      </c>
      <c r="F352" s="35" t="s">
        <v>35</v>
      </c>
      <c r="G352" s="46"/>
      <c r="H352" s="44"/>
      <c r="I352" s="44"/>
      <c r="J352" s="46"/>
      <c r="K352" s="44"/>
      <c r="L352" s="44"/>
      <c r="M352" s="44"/>
      <c r="N352" s="44"/>
      <c r="O352" s="45"/>
      <c r="P352" s="40"/>
    </row>
    <row r="353" spans="1:16" s="41" customFormat="1" ht="25.5">
      <c r="A353" s="48">
        <v>256</v>
      </c>
      <c r="B353" s="49" t="s">
        <v>343</v>
      </c>
      <c r="C353" s="48">
        <v>370</v>
      </c>
      <c r="D353" s="49"/>
      <c r="E353" s="49" t="s">
        <v>432</v>
      </c>
      <c r="F353" s="49" t="s">
        <v>615</v>
      </c>
      <c r="G353" s="46"/>
      <c r="H353" s="46"/>
      <c r="I353" s="46"/>
      <c r="J353" s="46"/>
      <c r="K353" s="46"/>
      <c r="L353" s="46"/>
      <c r="M353" s="46"/>
      <c r="N353" s="46"/>
      <c r="O353" s="45"/>
      <c r="P353" s="40"/>
    </row>
    <row r="354" spans="1:16" s="41" customFormat="1" ht="30" customHeight="1">
      <c r="A354" s="34">
        <v>257</v>
      </c>
      <c r="B354" s="35" t="s">
        <v>344</v>
      </c>
      <c r="C354" s="34"/>
      <c r="D354" s="35"/>
      <c r="E354" s="35" t="s">
        <v>428</v>
      </c>
      <c r="F354" s="35"/>
      <c r="G354" s="80" t="s">
        <v>453</v>
      </c>
      <c r="H354" s="35" t="s">
        <v>441</v>
      </c>
      <c r="I354" s="35" t="s">
        <v>595</v>
      </c>
      <c r="J354" s="80" t="s">
        <v>459</v>
      </c>
      <c r="K354" s="35" t="s">
        <v>460</v>
      </c>
      <c r="L354" s="35" t="s">
        <v>454</v>
      </c>
      <c r="M354" s="35" t="s">
        <v>443</v>
      </c>
      <c r="N354" s="47" t="s">
        <v>68</v>
      </c>
      <c r="O354" s="45"/>
      <c r="P354" s="40"/>
    </row>
    <row r="355" spans="1:16" s="41" customFormat="1" ht="30" customHeight="1">
      <c r="A355" s="42">
        <v>258</v>
      </c>
      <c r="B355" s="43" t="s">
        <v>345</v>
      </c>
      <c r="C355" s="42"/>
      <c r="D355" s="43"/>
      <c r="E355" s="43" t="s">
        <v>435</v>
      </c>
      <c r="F355" s="43" t="s">
        <v>35</v>
      </c>
      <c r="G355" s="44"/>
      <c r="H355" s="44"/>
      <c r="I355" s="44"/>
      <c r="J355" s="44"/>
      <c r="K355" s="44"/>
      <c r="L355" s="44"/>
      <c r="M355" s="44"/>
      <c r="N355" s="44"/>
      <c r="O355" s="45"/>
      <c r="P355" s="40"/>
    </row>
    <row r="356" spans="1:16" s="41" customFormat="1" ht="30" customHeight="1">
      <c r="A356" s="34">
        <v>259</v>
      </c>
      <c r="B356" s="35" t="s">
        <v>346</v>
      </c>
      <c r="C356" s="34"/>
      <c r="D356" s="35"/>
      <c r="E356" s="35" t="s">
        <v>435</v>
      </c>
      <c r="F356" s="35" t="s">
        <v>35</v>
      </c>
      <c r="G356" s="46"/>
      <c r="H356" s="44"/>
      <c r="I356" s="44"/>
      <c r="J356" s="46"/>
      <c r="K356" s="44"/>
      <c r="L356" s="44"/>
      <c r="M356" s="44"/>
      <c r="N356" s="44"/>
      <c r="O356" s="45"/>
      <c r="P356" s="40"/>
    </row>
    <row r="357" spans="1:16" s="41" customFormat="1" ht="43.5" customHeight="1">
      <c r="A357" s="48">
        <v>260</v>
      </c>
      <c r="B357" s="49" t="s">
        <v>347</v>
      </c>
      <c r="C357" s="48" t="s">
        <v>426</v>
      </c>
      <c r="D357" s="49"/>
      <c r="E357" s="49" t="s">
        <v>435</v>
      </c>
      <c r="F357" s="49" t="s">
        <v>235</v>
      </c>
      <c r="G357" s="38"/>
      <c r="H357" s="44"/>
      <c r="I357" s="44"/>
      <c r="J357" s="38"/>
      <c r="K357" s="44"/>
      <c r="L357" s="44"/>
      <c r="M357" s="44"/>
      <c r="N357" s="44"/>
      <c r="O357" s="45"/>
      <c r="P357" s="40"/>
    </row>
    <row r="358" spans="1:16" s="41" customFormat="1" ht="30" customHeight="1">
      <c r="A358" s="34">
        <v>261</v>
      </c>
      <c r="B358" s="35" t="s">
        <v>348</v>
      </c>
      <c r="C358" s="34"/>
      <c r="D358" s="35" t="s">
        <v>299</v>
      </c>
      <c r="E358" s="35" t="s">
        <v>435</v>
      </c>
      <c r="F358" s="35" t="s">
        <v>235</v>
      </c>
      <c r="G358" s="46"/>
      <c r="H358" s="44"/>
      <c r="I358" s="44"/>
      <c r="J358" s="46"/>
      <c r="K358" s="44"/>
      <c r="L358" s="44"/>
      <c r="M358" s="44"/>
      <c r="N358" s="44"/>
      <c r="O358" s="45"/>
      <c r="P358" s="40"/>
    </row>
    <row r="359" spans="1:16" s="41" customFormat="1" ht="42" customHeight="1">
      <c r="A359" s="42">
        <v>262</v>
      </c>
      <c r="B359" s="43" t="s">
        <v>349</v>
      </c>
      <c r="C359" s="42"/>
      <c r="D359" s="43" t="s">
        <v>299</v>
      </c>
      <c r="E359" s="43" t="s">
        <v>435</v>
      </c>
      <c r="F359" s="43" t="s">
        <v>235</v>
      </c>
      <c r="G359" s="44"/>
      <c r="H359" s="44"/>
      <c r="I359" s="44"/>
      <c r="J359" s="44"/>
      <c r="K359" s="44"/>
      <c r="L359" s="44"/>
      <c r="M359" s="44"/>
      <c r="N359" s="44"/>
      <c r="O359" s="45"/>
      <c r="P359" s="40"/>
    </row>
    <row r="360" spans="1:16" s="41" customFormat="1" ht="30" customHeight="1">
      <c r="A360" s="34">
        <v>263</v>
      </c>
      <c r="B360" s="35" t="s">
        <v>350</v>
      </c>
      <c r="C360" s="34"/>
      <c r="D360" s="35" t="s">
        <v>299</v>
      </c>
      <c r="E360" s="35" t="s">
        <v>435</v>
      </c>
      <c r="F360" s="35" t="s">
        <v>235</v>
      </c>
      <c r="G360" s="46"/>
      <c r="H360" s="44"/>
      <c r="I360" s="44"/>
      <c r="J360" s="46"/>
      <c r="K360" s="44"/>
      <c r="L360" s="44"/>
      <c r="M360" s="44"/>
      <c r="N360" s="44"/>
      <c r="O360" s="45"/>
      <c r="P360" s="40"/>
    </row>
    <row r="361" spans="1:16" s="41" customFormat="1" ht="30" customHeight="1">
      <c r="A361" s="42">
        <v>264</v>
      </c>
      <c r="B361" s="43" t="s">
        <v>351</v>
      </c>
      <c r="C361" s="42"/>
      <c r="D361" s="43"/>
      <c r="E361" s="43" t="s">
        <v>435</v>
      </c>
      <c r="F361" s="43" t="s">
        <v>35</v>
      </c>
      <c r="G361" s="44"/>
      <c r="H361" s="44"/>
      <c r="I361" s="44"/>
      <c r="J361" s="44"/>
      <c r="K361" s="44"/>
      <c r="L361" s="44"/>
      <c r="M361" s="44"/>
      <c r="N361" s="44"/>
      <c r="O361" s="45"/>
      <c r="P361" s="40"/>
    </row>
    <row r="362" spans="1:16" s="41" customFormat="1" ht="30" customHeight="1">
      <c r="A362" s="34">
        <v>265</v>
      </c>
      <c r="B362" s="35" t="s">
        <v>352</v>
      </c>
      <c r="C362" s="34"/>
      <c r="D362" s="35"/>
      <c r="E362" s="35" t="s">
        <v>435</v>
      </c>
      <c r="F362" s="35" t="s">
        <v>235</v>
      </c>
      <c r="G362" s="46"/>
      <c r="H362" s="44"/>
      <c r="I362" s="44"/>
      <c r="J362" s="46"/>
      <c r="K362" s="44"/>
      <c r="L362" s="44"/>
      <c r="M362" s="44"/>
      <c r="N362" s="44"/>
      <c r="O362" s="45"/>
      <c r="P362" s="40"/>
    </row>
    <row r="363" spans="1:16" s="41" customFormat="1" ht="30" customHeight="1">
      <c r="A363" s="42">
        <v>266</v>
      </c>
      <c r="B363" s="43" t="s">
        <v>353</v>
      </c>
      <c r="C363" s="42"/>
      <c r="D363" s="43"/>
      <c r="E363" s="43" t="s">
        <v>435</v>
      </c>
      <c r="F363" s="43" t="s">
        <v>235</v>
      </c>
      <c r="G363" s="44"/>
      <c r="H363" s="44"/>
      <c r="I363" s="44"/>
      <c r="J363" s="44"/>
      <c r="K363" s="44"/>
      <c r="L363" s="44"/>
      <c r="M363" s="44"/>
      <c r="N363" s="44"/>
      <c r="O363" s="45"/>
      <c r="P363" s="40"/>
    </row>
    <row r="364" spans="1:16" s="41" customFormat="1" ht="30" customHeight="1">
      <c r="A364" s="34">
        <v>267</v>
      </c>
      <c r="B364" s="35" t="s">
        <v>354</v>
      </c>
      <c r="C364" s="34"/>
      <c r="D364" s="35"/>
      <c r="E364" s="35" t="s">
        <v>435</v>
      </c>
      <c r="F364" s="35" t="s">
        <v>355</v>
      </c>
      <c r="G364" s="46"/>
      <c r="H364" s="44"/>
      <c r="I364" s="44"/>
      <c r="J364" s="46"/>
      <c r="K364" s="44"/>
      <c r="L364" s="44"/>
      <c r="M364" s="44"/>
      <c r="N364" s="44"/>
      <c r="O364" s="45"/>
      <c r="P364" s="40"/>
    </row>
    <row r="365" spans="1:16" s="41" customFormat="1" ht="30" customHeight="1">
      <c r="A365" s="42">
        <v>268</v>
      </c>
      <c r="B365" s="43" t="s">
        <v>25</v>
      </c>
      <c r="C365" s="42"/>
      <c r="D365" s="43"/>
      <c r="E365" s="43" t="s">
        <v>435</v>
      </c>
      <c r="F365" s="43" t="s">
        <v>355</v>
      </c>
      <c r="G365" s="44"/>
      <c r="H365" s="44"/>
      <c r="I365" s="44"/>
      <c r="J365" s="44"/>
      <c r="K365" s="44"/>
      <c r="L365" s="44"/>
      <c r="M365" s="44"/>
      <c r="N365" s="44"/>
      <c r="O365" s="45"/>
      <c r="P365" s="40"/>
    </row>
    <row r="366" spans="1:16" s="41" customFormat="1" ht="30" customHeight="1">
      <c r="A366" s="34">
        <v>269</v>
      </c>
      <c r="B366" s="35" t="s">
        <v>356</v>
      </c>
      <c r="C366" s="34"/>
      <c r="D366" s="35"/>
      <c r="E366" s="35" t="s">
        <v>435</v>
      </c>
      <c r="F366" s="35" t="s">
        <v>355</v>
      </c>
      <c r="G366" s="46"/>
      <c r="H366" s="44"/>
      <c r="I366" s="44"/>
      <c r="J366" s="46"/>
      <c r="K366" s="44"/>
      <c r="L366" s="44"/>
      <c r="M366" s="44"/>
      <c r="N366" s="44"/>
      <c r="O366" s="45"/>
      <c r="P366" s="40"/>
    </row>
    <row r="367" spans="1:16" s="41" customFormat="1" ht="30" customHeight="1">
      <c r="A367" s="42">
        <v>270</v>
      </c>
      <c r="B367" s="43" t="s">
        <v>357</v>
      </c>
      <c r="C367" s="42"/>
      <c r="D367" s="43"/>
      <c r="E367" s="43" t="s">
        <v>435</v>
      </c>
      <c r="F367" s="43" t="s">
        <v>355</v>
      </c>
      <c r="G367" s="44"/>
      <c r="H367" s="44"/>
      <c r="I367" s="44"/>
      <c r="J367" s="44"/>
      <c r="K367" s="44"/>
      <c r="L367" s="44"/>
      <c r="M367" s="44"/>
      <c r="N367" s="44"/>
      <c r="O367" s="45"/>
      <c r="P367" s="40"/>
    </row>
    <row r="368" spans="1:16" s="41" customFormat="1" ht="30" customHeight="1">
      <c r="A368" s="34">
        <v>271</v>
      </c>
      <c r="B368" s="35" t="s">
        <v>358</v>
      </c>
      <c r="C368" s="34"/>
      <c r="D368" s="35"/>
      <c r="E368" s="35" t="s">
        <v>435</v>
      </c>
      <c r="F368" s="35" t="s">
        <v>355</v>
      </c>
      <c r="G368" s="46"/>
      <c r="H368" s="44"/>
      <c r="I368" s="44"/>
      <c r="J368" s="46"/>
      <c r="K368" s="44"/>
      <c r="L368" s="44"/>
      <c r="M368" s="44"/>
      <c r="N368" s="44"/>
      <c r="O368" s="45"/>
      <c r="P368" s="40"/>
    </row>
    <row r="369" spans="1:16" s="41" customFormat="1" ht="30" customHeight="1">
      <c r="A369" s="42">
        <v>272</v>
      </c>
      <c r="B369" s="43" t="s">
        <v>359</v>
      </c>
      <c r="C369" s="42"/>
      <c r="D369" s="43"/>
      <c r="E369" s="43" t="s">
        <v>435</v>
      </c>
      <c r="F369" s="43" t="s">
        <v>355</v>
      </c>
      <c r="G369" s="44"/>
      <c r="H369" s="44"/>
      <c r="I369" s="44"/>
      <c r="J369" s="44"/>
      <c r="K369" s="44"/>
      <c r="L369" s="44"/>
      <c r="M369" s="44"/>
      <c r="N369" s="44"/>
      <c r="O369" s="45"/>
      <c r="P369" s="40"/>
    </row>
    <row r="370" spans="1:16" s="41" customFormat="1" ht="41.25" customHeight="1">
      <c r="A370" s="34">
        <v>273</v>
      </c>
      <c r="B370" s="35" t="s">
        <v>360</v>
      </c>
      <c r="C370" s="34"/>
      <c r="D370" s="35"/>
      <c r="E370" s="35" t="s">
        <v>435</v>
      </c>
      <c r="F370" s="35" t="s">
        <v>355</v>
      </c>
      <c r="G370" s="46"/>
      <c r="H370" s="44"/>
      <c r="I370" s="44"/>
      <c r="J370" s="46"/>
      <c r="K370" s="44"/>
      <c r="L370" s="44"/>
      <c r="M370" s="44"/>
      <c r="N370" s="44"/>
      <c r="O370" s="45"/>
      <c r="P370" s="40"/>
    </row>
    <row r="371" spans="1:16" s="41" customFormat="1" ht="30" customHeight="1">
      <c r="A371" s="42">
        <v>274</v>
      </c>
      <c r="B371" s="43" t="s">
        <v>361</v>
      </c>
      <c r="C371" s="42"/>
      <c r="D371" s="43"/>
      <c r="E371" s="43" t="s">
        <v>435</v>
      </c>
      <c r="F371" s="43" t="s">
        <v>355</v>
      </c>
      <c r="G371" s="44"/>
      <c r="H371" s="44"/>
      <c r="I371" s="44"/>
      <c r="J371" s="44"/>
      <c r="K371" s="44"/>
      <c r="L371" s="44"/>
      <c r="M371" s="44"/>
      <c r="N371" s="44"/>
      <c r="O371" s="45"/>
      <c r="P371" s="40"/>
    </row>
    <row r="372" spans="1:16" s="41" customFormat="1" ht="30" customHeight="1">
      <c r="A372" s="34">
        <v>275</v>
      </c>
      <c r="B372" s="35" t="s">
        <v>362</v>
      </c>
      <c r="C372" s="34"/>
      <c r="D372" s="35"/>
      <c r="E372" s="35" t="s">
        <v>435</v>
      </c>
      <c r="F372" s="35" t="s">
        <v>355</v>
      </c>
      <c r="G372" s="46"/>
      <c r="H372" s="44"/>
      <c r="I372" s="44"/>
      <c r="J372" s="46"/>
      <c r="K372" s="44"/>
      <c r="L372" s="44"/>
      <c r="M372" s="44"/>
      <c r="N372" s="44"/>
      <c r="O372" s="45"/>
      <c r="P372" s="40"/>
    </row>
    <row r="373" spans="1:16" s="41" customFormat="1" ht="30" customHeight="1">
      <c r="A373" s="42">
        <v>276</v>
      </c>
      <c r="B373" s="43" t="s">
        <v>363</v>
      </c>
      <c r="C373" s="42"/>
      <c r="D373" s="43"/>
      <c r="E373" s="43" t="s">
        <v>435</v>
      </c>
      <c r="F373" s="43" t="s">
        <v>355</v>
      </c>
      <c r="G373" s="44"/>
      <c r="H373" s="44"/>
      <c r="I373" s="44"/>
      <c r="J373" s="44"/>
      <c r="K373" s="44"/>
      <c r="L373" s="44"/>
      <c r="M373" s="44"/>
      <c r="N373" s="44"/>
      <c r="O373" s="45"/>
      <c r="P373" s="40"/>
    </row>
    <row r="374" spans="1:16" s="41" customFormat="1" ht="30" customHeight="1">
      <c r="A374" s="34">
        <v>277</v>
      </c>
      <c r="B374" s="35" t="s">
        <v>364</v>
      </c>
      <c r="C374" s="34"/>
      <c r="D374" s="35"/>
      <c r="E374" s="35" t="s">
        <v>435</v>
      </c>
      <c r="F374" s="35" t="s">
        <v>355</v>
      </c>
      <c r="G374" s="46"/>
      <c r="H374" s="44"/>
      <c r="I374" s="44"/>
      <c r="J374" s="46"/>
      <c r="K374" s="44"/>
      <c r="L374" s="44"/>
      <c r="M374" s="44"/>
      <c r="N374" s="44"/>
      <c r="O374" s="45"/>
      <c r="P374" s="40"/>
    </row>
    <row r="375" spans="1:16" s="41" customFormat="1" ht="30" customHeight="1">
      <c r="A375" s="42">
        <v>278</v>
      </c>
      <c r="B375" s="43" t="s">
        <v>365</v>
      </c>
      <c r="C375" s="42"/>
      <c r="D375" s="43"/>
      <c r="E375" s="43" t="s">
        <v>435</v>
      </c>
      <c r="F375" s="43" t="s">
        <v>355</v>
      </c>
      <c r="G375" s="44"/>
      <c r="H375" s="44"/>
      <c r="I375" s="44"/>
      <c r="J375" s="44"/>
      <c r="K375" s="44"/>
      <c r="L375" s="44"/>
      <c r="M375" s="44"/>
      <c r="N375" s="44"/>
      <c r="O375" s="45"/>
      <c r="P375" s="40"/>
    </row>
    <row r="376" spans="1:16" s="41" customFormat="1" ht="30" customHeight="1">
      <c r="A376" s="34">
        <v>279</v>
      </c>
      <c r="B376" s="35" t="s">
        <v>366</v>
      </c>
      <c r="C376" s="34"/>
      <c r="D376" s="35"/>
      <c r="E376" s="35" t="s">
        <v>435</v>
      </c>
      <c r="F376" s="35" t="s">
        <v>355</v>
      </c>
      <c r="G376" s="46"/>
      <c r="H376" s="44"/>
      <c r="I376" s="44"/>
      <c r="J376" s="46"/>
      <c r="K376" s="44"/>
      <c r="L376" s="44"/>
      <c r="M376" s="44"/>
      <c r="N376" s="44"/>
      <c r="O376" s="45"/>
      <c r="P376" s="40"/>
    </row>
    <row r="377" spans="1:16" s="41" customFormat="1" ht="30" customHeight="1">
      <c r="A377" s="42">
        <v>280</v>
      </c>
      <c r="B377" s="43" t="s">
        <v>367</v>
      </c>
      <c r="C377" s="42"/>
      <c r="D377" s="43"/>
      <c r="E377" s="43" t="s">
        <v>435</v>
      </c>
      <c r="F377" s="43" t="s">
        <v>355</v>
      </c>
      <c r="G377" s="44"/>
      <c r="H377" s="44"/>
      <c r="I377" s="44"/>
      <c r="J377" s="44"/>
      <c r="K377" s="44"/>
      <c r="L377" s="44"/>
      <c r="M377" s="44"/>
      <c r="N377" s="44"/>
      <c r="O377" s="45"/>
      <c r="P377" s="40"/>
    </row>
    <row r="378" spans="1:16" s="41" customFormat="1" ht="30" customHeight="1">
      <c r="A378" s="34">
        <v>281</v>
      </c>
      <c r="B378" s="35" t="s">
        <v>368</v>
      </c>
      <c r="C378" s="34"/>
      <c r="D378" s="35"/>
      <c r="E378" s="35" t="s">
        <v>435</v>
      </c>
      <c r="F378" s="35" t="s">
        <v>355</v>
      </c>
      <c r="G378" s="46"/>
      <c r="H378" s="44"/>
      <c r="I378" s="44"/>
      <c r="J378" s="46"/>
      <c r="K378" s="44"/>
      <c r="L378" s="44"/>
      <c r="M378" s="44"/>
      <c r="N378" s="44"/>
      <c r="O378" s="45"/>
      <c r="P378" s="40"/>
    </row>
    <row r="379" spans="1:16" s="41" customFormat="1" ht="30" customHeight="1">
      <c r="A379" s="42">
        <v>282</v>
      </c>
      <c r="B379" s="43" t="s">
        <v>369</v>
      </c>
      <c r="C379" s="42"/>
      <c r="D379" s="43"/>
      <c r="E379" s="43" t="s">
        <v>435</v>
      </c>
      <c r="F379" s="43" t="s">
        <v>355</v>
      </c>
      <c r="G379" s="44"/>
      <c r="H379" s="44"/>
      <c r="I379" s="44"/>
      <c r="J379" s="44"/>
      <c r="K379" s="44"/>
      <c r="L379" s="44"/>
      <c r="M379" s="44"/>
      <c r="N379" s="44"/>
      <c r="O379" s="45"/>
      <c r="P379" s="40"/>
    </row>
    <row r="380" spans="1:16" s="41" customFormat="1" ht="30" customHeight="1">
      <c r="A380" s="34">
        <v>283</v>
      </c>
      <c r="B380" s="35" t="s">
        <v>370</v>
      </c>
      <c r="C380" s="34"/>
      <c r="D380" s="35"/>
      <c r="E380" s="35" t="s">
        <v>435</v>
      </c>
      <c r="F380" s="35" t="s">
        <v>355</v>
      </c>
      <c r="G380" s="46"/>
      <c r="H380" s="44"/>
      <c r="I380" s="44"/>
      <c r="J380" s="46"/>
      <c r="K380" s="44"/>
      <c r="L380" s="44"/>
      <c r="M380" s="44"/>
      <c r="N380" s="44"/>
      <c r="O380" s="45"/>
      <c r="P380" s="40"/>
    </row>
    <row r="381" spans="1:16" s="41" customFormat="1" ht="30" customHeight="1">
      <c r="A381" s="42">
        <v>284</v>
      </c>
      <c r="B381" s="43" t="s">
        <v>371</v>
      </c>
      <c r="C381" s="42"/>
      <c r="D381" s="43"/>
      <c r="E381" s="43" t="s">
        <v>435</v>
      </c>
      <c r="F381" s="43" t="s">
        <v>355</v>
      </c>
      <c r="G381" s="44"/>
      <c r="H381" s="44"/>
      <c r="I381" s="44"/>
      <c r="J381" s="44"/>
      <c r="K381" s="44"/>
      <c r="L381" s="44"/>
      <c r="M381" s="44"/>
      <c r="N381" s="44"/>
      <c r="O381" s="45"/>
      <c r="P381" s="40"/>
    </row>
    <row r="382" spans="1:16" s="41" customFormat="1" ht="30" customHeight="1">
      <c r="A382" s="34">
        <v>285</v>
      </c>
      <c r="B382" s="35" t="s">
        <v>372</v>
      </c>
      <c r="C382" s="34"/>
      <c r="D382" s="35"/>
      <c r="E382" s="35" t="s">
        <v>435</v>
      </c>
      <c r="F382" s="35" t="s">
        <v>355</v>
      </c>
      <c r="G382" s="46"/>
      <c r="H382" s="44"/>
      <c r="I382" s="44"/>
      <c r="J382" s="46"/>
      <c r="K382" s="44"/>
      <c r="L382" s="44"/>
      <c r="M382" s="44"/>
      <c r="N382" s="44"/>
      <c r="O382" s="45"/>
      <c r="P382" s="40"/>
    </row>
    <row r="383" spans="1:16" s="41" customFormat="1" ht="30" customHeight="1">
      <c r="A383" s="42">
        <v>286</v>
      </c>
      <c r="B383" s="43" t="s">
        <v>373</v>
      </c>
      <c r="C383" s="42"/>
      <c r="D383" s="43"/>
      <c r="E383" s="43" t="s">
        <v>435</v>
      </c>
      <c r="F383" s="43" t="s">
        <v>355</v>
      </c>
      <c r="G383" s="44"/>
      <c r="H383" s="44"/>
      <c r="I383" s="44"/>
      <c r="J383" s="44"/>
      <c r="K383" s="44"/>
      <c r="L383" s="44"/>
      <c r="M383" s="44"/>
      <c r="N383" s="44"/>
      <c r="O383" s="45"/>
      <c r="P383" s="40"/>
    </row>
    <row r="384" spans="1:16" s="41" customFormat="1" ht="30" customHeight="1">
      <c r="A384" s="34">
        <v>287</v>
      </c>
      <c r="B384" s="35" t="s">
        <v>374</v>
      </c>
      <c r="C384" s="34"/>
      <c r="D384" s="35"/>
      <c r="E384" s="35" t="s">
        <v>435</v>
      </c>
      <c r="F384" s="35" t="s">
        <v>355</v>
      </c>
      <c r="G384" s="46"/>
      <c r="H384" s="44"/>
      <c r="I384" s="44"/>
      <c r="J384" s="46"/>
      <c r="K384" s="44"/>
      <c r="L384" s="44"/>
      <c r="M384" s="44"/>
      <c r="N384" s="44"/>
      <c r="O384" s="45"/>
      <c r="P384" s="40"/>
    </row>
    <row r="385" spans="1:16" s="41" customFormat="1" ht="30" customHeight="1">
      <c r="A385" s="42">
        <v>288</v>
      </c>
      <c r="B385" s="43" t="s">
        <v>375</v>
      </c>
      <c r="C385" s="42"/>
      <c r="D385" s="43"/>
      <c r="E385" s="43" t="s">
        <v>435</v>
      </c>
      <c r="F385" s="43" t="s">
        <v>355</v>
      </c>
      <c r="G385" s="44"/>
      <c r="H385" s="44"/>
      <c r="I385" s="44"/>
      <c r="J385" s="44"/>
      <c r="K385" s="44"/>
      <c r="L385" s="44"/>
      <c r="M385" s="44"/>
      <c r="N385" s="44"/>
      <c r="O385" s="45"/>
      <c r="P385" s="40"/>
    </row>
    <row r="386" spans="1:16" s="41" customFormat="1" ht="30" customHeight="1">
      <c r="A386" s="34">
        <v>289</v>
      </c>
      <c r="B386" s="35" t="s">
        <v>376</v>
      </c>
      <c r="C386" s="34"/>
      <c r="D386" s="35"/>
      <c r="E386" s="35" t="s">
        <v>435</v>
      </c>
      <c r="F386" s="35" t="s">
        <v>355</v>
      </c>
      <c r="G386" s="46"/>
      <c r="H386" s="44"/>
      <c r="I386" s="44"/>
      <c r="J386" s="46"/>
      <c r="K386" s="44"/>
      <c r="L386" s="44"/>
      <c r="M386" s="44"/>
      <c r="N386" s="44"/>
      <c r="O386" s="45"/>
      <c r="P386" s="40"/>
    </row>
    <row r="387" spans="1:16" s="41" customFormat="1" ht="30" customHeight="1">
      <c r="A387" s="42">
        <v>290</v>
      </c>
      <c r="B387" s="43" t="s">
        <v>377</v>
      </c>
      <c r="C387" s="42"/>
      <c r="D387" s="43"/>
      <c r="E387" s="43" t="s">
        <v>435</v>
      </c>
      <c r="F387" s="43" t="s">
        <v>355</v>
      </c>
      <c r="G387" s="44"/>
      <c r="H387" s="44"/>
      <c r="I387" s="44"/>
      <c r="J387" s="44"/>
      <c r="K387" s="44"/>
      <c r="L387" s="44"/>
      <c r="M387" s="44"/>
      <c r="N387" s="44"/>
      <c r="O387" s="45"/>
      <c r="P387" s="40"/>
    </row>
    <row r="388" spans="1:16" s="41" customFormat="1" ht="30" customHeight="1">
      <c r="A388" s="34">
        <v>291</v>
      </c>
      <c r="B388" s="35" t="s">
        <v>378</v>
      </c>
      <c r="C388" s="34"/>
      <c r="D388" s="35"/>
      <c r="E388" s="35" t="s">
        <v>435</v>
      </c>
      <c r="F388" s="35" t="s">
        <v>355</v>
      </c>
      <c r="G388" s="46"/>
      <c r="H388" s="44"/>
      <c r="I388" s="44"/>
      <c r="J388" s="46"/>
      <c r="K388" s="44"/>
      <c r="L388" s="44"/>
      <c r="M388" s="44"/>
      <c r="N388" s="44"/>
      <c r="O388" s="45"/>
      <c r="P388" s="40"/>
    </row>
    <row r="389" spans="1:16" s="41" customFormat="1" ht="30" customHeight="1">
      <c r="A389" s="42">
        <v>292</v>
      </c>
      <c r="B389" s="43" t="s">
        <v>379</v>
      </c>
      <c r="C389" s="42"/>
      <c r="D389" s="43"/>
      <c r="E389" s="43" t="s">
        <v>435</v>
      </c>
      <c r="F389" s="43" t="s">
        <v>355</v>
      </c>
      <c r="G389" s="44"/>
      <c r="H389" s="44"/>
      <c r="I389" s="44"/>
      <c r="J389" s="44"/>
      <c r="K389" s="44"/>
      <c r="L389" s="44"/>
      <c r="M389" s="44"/>
      <c r="N389" s="44"/>
      <c r="O389" s="45"/>
      <c r="P389" s="40"/>
    </row>
    <row r="390" spans="1:16" s="41" customFormat="1" ht="30" customHeight="1">
      <c r="A390" s="34">
        <v>293</v>
      </c>
      <c r="B390" s="35" t="s">
        <v>380</v>
      </c>
      <c r="C390" s="34"/>
      <c r="D390" s="35"/>
      <c r="E390" s="35" t="s">
        <v>435</v>
      </c>
      <c r="F390" s="35" t="s">
        <v>355</v>
      </c>
      <c r="G390" s="46"/>
      <c r="H390" s="44"/>
      <c r="I390" s="44"/>
      <c r="J390" s="46"/>
      <c r="K390" s="44"/>
      <c r="L390" s="44"/>
      <c r="M390" s="44"/>
      <c r="N390" s="44"/>
      <c r="O390" s="45"/>
      <c r="P390" s="40"/>
    </row>
    <row r="391" spans="1:16" s="41" customFormat="1" ht="30" customHeight="1">
      <c r="A391" s="42">
        <v>294</v>
      </c>
      <c r="B391" s="43" t="s">
        <v>381</v>
      </c>
      <c r="C391" s="42"/>
      <c r="D391" s="43"/>
      <c r="E391" s="43" t="s">
        <v>435</v>
      </c>
      <c r="F391" s="43" t="s">
        <v>355</v>
      </c>
      <c r="G391" s="44"/>
      <c r="H391" s="44"/>
      <c r="I391" s="44"/>
      <c r="J391" s="44"/>
      <c r="K391" s="44"/>
      <c r="L391" s="44"/>
      <c r="M391" s="44"/>
      <c r="N391" s="44"/>
      <c r="O391" s="45"/>
      <c r="P391" s="40"/>
    </row>
    <row r="392" spans="1:16" s="41" customFormat="1" ht="30" customHeight="1">
      <c r="A392" s="34">
        <v>295</v>
      </c>
      <c r="B392" s="35" t="s">
        <v>93</v>
      </c>
      <c r="C392" s="34"/>
      <c r="D392" s="35"/>
      <c r="E392" s="35" t="s">
        <v>435</v>
      </c>
      <c r="F392" s="35" t="s">
        <v>355</v>
      </c>
      <c r="G392" s="46"/>
      <c r="H392" s="44"/>
      <c r="I392" s="44"/>
      <c r="J392" s="46"/>
      <c r="K392" s="44"/>
      <c r="L392" s="44"/>
      <c r="M392" s="44"/>
      <c r="N392" s="44"/>
      <c r="O392" s="45"/>
      <c r="P392" s="40"/>
    </row>
    <row r="393" spans="1:16" s="41" customFormat="1" ht="30" customHeight="1">
      <c r="A393" s="42">
        <v>296</v>
      </c>
      <c r="B393" s="43" t="s">
        <v>382</v>
      </c>
      <c r="C393" s="42"/>
      <c r="D393" s="43"/>
      <c r="E393" s="43" t="s">
        <v>435</v>
      </c>
      <c r="F393" s="43" t="s">
        <v>355</v>
      </c>
      <c r="G393" s="44"/>
      <c r="H393" s="44"/>
      <c r="I393" s="44"/>
      <c r="J393" s="44"/>
      <c r="K393" s="44"/>
      <c r="L393" s="44"/>
      <c r="M393" s="44"/>
      <c r="N393" s="44"/>
      <c r="O393" s="45"/>
      <c r="P393" s="40"/>
    </row>
    <row r="394" spans="1:16" s="41" customFormat="1" ht="30" customHeight="1">
      <c r="A394" s="34">
        <v>297</v>
      </c>
      <c r="B394" s="35" t="s">
        <v>383</v>
      </c>
      <c r="C394" s="34"/>
      <c r="D394" s="35"/>
      <c r="E394" s="35" t="s">
        <v>435</v>
      </c>
      <c r="F394" s="35" t="s">
        <v>13</v>
      </c>
      <c r="G394" s="46"/>
      <c r="H394" s="44"/>
      <c r="I394" s="44"/>
      <c r="J394" s="46"/>
      <c r="K394" s="44"/>
      <c r="L394" s="44"/>
      <c r="M394" s="44"/>
      <c r="N394" s="44"/>
      <c r="O394" s="45"/>
      <c r="P394" s="40"/>
    </row>
    <row r="395" spans="1:16" s="41" customFormat="1" ht="30" customHeight="1">
      <c r="A395" s="42">
        <v>298</v>
      </c>
      <c r="B395" s="43" t="s">
        <v>384</v>
      </c>
      <c r="C395" s="42"/>
      <c r="D395" s="43"/>
      <c r="E395" s="43" t="s">
        <v>435</v>
      </c>
      <c r="F395" s="43" t="s">
        <v>35</v>
      </c>
      <c r="G395" s="44"/>
      <c r="H395" s="44"/>
      <c r="I395" s="44"/>
      <c r="J395" s="44"/>
      <c r="K395" s="44"/>
      <c r="L395" s="44"/>
      <c r="M395" s="44"/>
      <c r="N395" s="44"/>
      <c r="O395" s="45"/>
      <c r="P395" s="40"/>
    </row>
    <row r="396" spans="1:16" s="41" customFormat="1" ht="30" customHeight="1">
      <c r="A396" s="34">
        <v>299</v>
      </c>
      <c r="B396" s="35" t="s">
        <v>385</v>
      </c>
      <c r="C396" s="34"/>
      <c r="D396" s="35"/>
      <c r="E396" s="35" t="s">
        <v>435</v>
      </c>
      <c r="F396" s="35" t="s">
        <v>13</v>
      </c>
      <c r="G396" s="46"/>
      <c r="H396" s="44"/>
      <c r="I396" s="44"/>
      <c r="J396" s="46"/>
      <c r="K396" s="44"/>
      <c r="L396" s="44"/>
      <c r="M396" s="44"/>
      <c r="N396" s="44"/>
      <c r="O396" s="45"/>
      <c r="P396" s="40"/>
    </row>
    <row r="397" spans="1:16" s="41" customFormat="1" ht="30" customHeight="1">
      <c r="A397" s="42">
        <v>300</v>
      </c>
      <c r="B397" s="43" t="s">
        <v>386</v>
      </c>
      <c r="C397" s="42"/>
      <c r="D397" s="43"/>
      <c r="E397" s="43" t="s">
        <v>435</v>
      </c>
      <c r="F397" s="43" t="s">
        <v>13</v>
      </c>
      <c r="G397" s="44"/>
      <c r="H397" s="44"/>
      <c r="I397" s="44"/>
      <c r="J397" s="44"/>
      <c r="K397" s="44"/>
      <c r="L397" s="44"/>
      <c r="M397" s="44"/>
      <c r="N397" s="44"/>
      <c r="O397" s="45"/>
      <c r="P397" s="40"/>
    </row>
    <row r="398" spans="1:16" s="41" customFormat="1" ht="30" customHeight="1">
      <c r="A398" s="34">
        <v>301</v>
      </c>
      <c r="B398" s="35" t="s">
        <v>387</v>
      </c>
      <c r="C398" s="34"/>
      <c r="D398" s="35"/>
      <c r="E398" s="35" t="s">
        <v>435</v>
      </c>
      <c r="F398" s="35" t="s">
        <v>13</v>
      </c>
      <c r="G398" s="46"/>
      <c r="H398" s="44"/>
      <c r="I398" s="44"/>
      <c r="J398" s="46"/>
      <c r="K398" s="44"/>
      <c r="L398" s="44"/>
      <c r="M398" s="44"/>
      <c r="N398" s="44"/>
      <c r="O398" s="45"/>
      <c r="P398" s="40"/>
    </row>
    <row r="399" spans="1:16" s="41" customFormat="1" ht="30" customHeight="1">
      <c r="A399" s="42">
        <v>302</v>
      </c>
      <c r="B399" s="43" t="s">
        <v>388</v>
      </c>
      <c r="C399" s="42"/>
      <c r="D399" s="43"/>
      <c r="E399" s="43" t="s">
        <v>435</v>
      </c>
      <c r="F399" s="43" t="s">
        <v>13</v>
      </c>
      <c r="G399" s="44"/>
      <c r="H399" s="44"/>
      <c r="I399" s="44"/>
      <c r="J399" s="44"/>
      <c r="K399" s="44"/>
      <c r="L399" s="44"/>
      <c r="M399" s="44"/>
      <c r="N399" s="44"/>
      <c r="O399" s="45"/>
      <c r="P399" s="40"/>
    </row>
    <row r="400" spans="1:16" s="41" customFormat="1" ht="30" customHeight="1">
      <c r="A400" s="34">
        <v>303</v>
      </c>
      <c r="B400" s="35" t="s">
        <v>389</v>
      </c>
      <c r="C400" s="34"/>
      <c r="D400" s="35"/>
      <c r="E400" s="35" t="s">
        <v>435</v>
      </c>
      <c r="F400" s="35" t="s">
        <v>13</v>
      </c>
      <c r="G400" s="46"/>
      <c r="H400" s="44"/>
      <c r="I400" s="44"/>
      <c r="J400" s="46"/>
      <c r="K400" s="44"/>
      <c r="L400" s="44"/>
      <c r="M400" s="44"/>
      <c r="N400" s="44"/>
      <c r="O400" s="45"/>
      <c r="P400" s="40"/>
    </row>
    <row r="401" spans="1:16" s="41" customFormat="1" ht="30" customHeight="1">
      <c r="A401" s="42">
        <v>304</v>
      </c>
      <c r="B401" s="43" t="s">
        <v>390</v>
      </c>
      <c r="C401" s="42"/>
      <c r="D401" s="43"/>
      <c r="E401" s="43" t="s">
        <v>435</v>
      </c>
      <c r="F401" s="43" t="s">
        <v>13</v>
      </c>
      <c r="G401" s="44"/>
      <c r="H401" s="44"/>
      <c r="I401" s="44"/>
      <c r="J401" s="44"/>
      <c r="K401" s="44"/>
      <c r="L401" s="44"/>
      <c r="M401" s="44"/>
      <c r="N401" s="44"/>
      <c r="O401" s="45"/>
      <c r="P401" s="40"/>
    </row>
    <row r="402" spans="1:16" s="41" customFormat="1" ht="30" customHeight="1">
      <c r="A402" s="34">
        <v>305</v>
      </c>
      <c r="B402" s="35" t="s">
        <v>391</v>
      </c>
      <c r="C402" s="34"/>
      <c r="D402" s="35"/>
      <c r="E402" s="35" t="s">
        <v>435</v>
      </c>
      <c r="F402" s="35" t="s">
        <v>13</v>
      </c>
      <c r="G402" s="46"/>
      <c r="H402" s="44"/>
      <c r="I402" s="44"/>
      <c r="J402" s="46"/>
      <c r="K402" s="44"/>
      <c r="L402" s="44"/>
      <c r="M402" s="44"/>
      <c r="N402" s="44"/>
      <c r="O402" s="45"/>
      <c r="P402" s="40"/>
    </row>
    <row r="403" spans="1:16" s="41" customFormat="1" ht="30" customHeight="1">
      <c r="A403" s="42">
        <v>306</v>
      </c>
      <c r="B403" s="43" t="s">
        <v>392</v>
      </c>
      <c r="C403" s="42"/>
      <c r="D403" s="43"/>
      <c r="E403" s="43" t="s">
        <v>435</v>
      </c>
      <c r="F403" s="43" t="s">
        <v>13</v>
      </c>
      <c r="G403" s="44"/>
      <c r="H403" s="44"/>
      <c r="I403" s="44"/>
      <c r="J403" s="44"/>
      <c r="K403" s="44"/>
      <c r="L403" s="44"/>
      <c r="M403" s="44"/>
      <c r="N403" s="44"/>
      <c r="O403" s="45"/>
      <c r="P403" s="40"/>
    </row>
    <row r="404" spans="1:16" s="41" customFormat="1" ht="30" customHeight="1">
      <c r="A404" s="34">
        <v>307</v>
      </c>
      <c r="B404" s="35" t="s">
        <v>393</v>
      </c>
      <c r="C404" s="34">
        <v>371</v>
      </c>
      <c r="D404" s="35"/>
      <c r="E404" s="35" t="s">
        <v>435</v>
      </c>
      <c r="F404" s="35" t="s">
        <v>13</v>
      </c>
      <c r="G404" s="46"/>
      <c r="H404" s="44"/>
      <c r="I404" s="44"/>
      <c r="J404" s="46"/>
      <c r="K404" s="44"/>
      <c r="L404" s="44"/>
      <c r="M404" s="44"/>
      <c r="N404" s="44"/>
      <c r="O404" s="45"/>
      <c r="P404" s="40"/>
    </row>
    <row r="405" spans="1:16" s="41" customFormat="1" ht="30" customHeight="1">
      <c r="A405" s="48">
        <v>308</v>
      </c>
      <c r="B405" s="49" t="s">
        <v>394</v>
      </c>
      <c r="C405" s="48" t="s">
        <v>427</v>
      </c>
      <c r="D405" s="49"/>
      <c r="E405" s="49" t="s">
        <v>435</v>
      </c>
      <c r="F405" s="49" t="s">
        <v>13</v>
      </c>
      <c r="G405" s="38"/>
      <c r="H405" s="44"/>
      <c r="I405" s="44"/>
      <c r="J405" s="38"/>
      <c r="K405" s="44"/>
      <c r="L405" s="44"/>
      <c r="M405" s="44"/>
      <c r="N405" s="44"/>
      <c r="O405" s="45"/>
      <c r="P405" s="40"/>
    </row>
    <row r="406" spans="1:16" s="41" customFormat="1" ht="30" customHeight="1">
      <c r="A406" s="34">
        <v>309</v>
      </c>
      <c r="B406" s="35" t="s">
        <v>395</v>
      </c>
      <c r="C406" s="34">
        <v>221</v>
      </c>
      <c r="D406" s="35"/>
      <c r="E406" s="35" t="s">
        <v>435</v>
      </c>
      <c r="F406" s="35" t="s">
        <v>13</v>
      </c>
      <c r="G406" s="46"/>
      <c r="H406" s="44"/>
      <c r="I406" s="44"/>
      <c r="J406" s="46"/>
      <c r="K406" s="44"/>
      <c r="L406" s="44"/>
      <c r="M406" s="44"/>
      <c r="N406" s="44"/>
      <c r="O406" s="45"/>
      <c r="P406" s="40"/>
    </row>
    <row r="407" spans="1:16" s="41" customFormat="1" ht="30" customHeight="1">
      <c r="A407" s="42">
        <v>310</v>
      </c>
      <c r="B407" s="43" t="s">
        <v>396</v>
      </c>
      <c r="C407" s="42"/>
      <c r="D407" s="43"/>
      <c r="E407" s="43" t="s">
        <v>435</v>
      </c>
      <c r="F407" s="43" t="s">
        <v>13</v>
      </c>
      <c r="G407" s="44"/>
      <c r="H407" s="44"/>
      <c r="I407" s="44"/>
      <c r="J407" s="44"/>
      <c r="K407" s="44"/>
      <c r="L407" s="44"/>
      <c r="M407" s="44"/>
      <c r="N407" s="44"/>
      <c r="O407" s="45"/>
      <c r="P407" s="40"/>
    </row>
    <row r="408" spans="1:16" s="41" customFormat="1" ht="30" customHeight="1">
      <c r="A408" s="34">
        <v>311</v>
      </c>
      <c r="B408" s="35" t="s">
        <v>397</v>
      </c>
      <c r="C408" s="34"/>
      <c r="D408" s="35"/>
      <c r="E408" s="35" t="s">
        <v>435</v>
      </c>
      <c r="F408" s="35" t="s">
        <v>13</v>
      </c>
      <c r="G408" s="46"/>
      <c r="H408" s="44"/>
      <c r="I408" s="44"/>
      <c r="J408" s="46"/>
      <c r="K408" s="44"/>
      <c r="L408" s="44"/>
      <c r="M408" s="44"/>
      <c r="N408" s="44"/>
      <c r="O408" s="45"/>
      <c r="P408" s="40"/>
    </row>
    <row r="409" spans="1:16" s="41" customFormat="1" ht="30" customHeight="1">
      <c r="A409" s="42">
        <v>312</v>
      </c>
      <c r="B409" s="43" t="s">
        <v>398</v>
      </c>
      <c r="C409" s="48"/>
      <c r="D409" s="49"/>
      <c r="E409" s="49" t="s">
        <v>435</v>
      </c>
      <c r="F409" s="49" t="s">
        <v>13</v>
      </c>
      <c r="G409" s="38"/>
      <c r="H409" s="44"/>
      <c r="I409" s="44"/>
      <c r="J409" s="38"/>
      <c r="K409" s="44"/>
      <c r="L409" s="44"/>
      <c r="M409" s="44"/>
      <c r="N409" s="44"/>
      <c r="O409" s="45"/>
      <c r="P409" s="40"/>
    </row>
    <row r="410" spans="1:16" s="41" customFormat="1" ht="30" customHeight="1">
      <c r="A410" s="71" t="s">
        <v>399</v>
      </c>
      <c r="B410" s="72"/>
      <c r="C410" s="73">
        <v>1</v>
      </c>
      <c r="D410" s="74"/>
      <c r="E410" s="74"/>
      <c r="F410" s="74"/>
      <c r="G410" s="75"/>
      <c r="H410" s="74"/>
      <c r="I410" s="74"/>
      <c r="J410" s="74"/>
      <c r="K410" s="74"/>
      <c r="L410" s="74"/>
      <c r="M410" s="74"/>
      <c r="N410" s="76"/>
      <c r="O410" s="45"/>
      <c r="P410" s="40"/>
    </row>
    <row r="411" spans="1:16" s="41" customFormat="1" ht="30" customHeight="1">
      <c r="A411" s="77"/>
      <c r="B411" s="72"/>
      <c r="C411" s="73">
        <v>35</v>
      </c>
      <c r="D411" s="74"/>
      <c r="E411" s="74"/>
      <c r="F411" s="74"/>
      <c r="G411" s="75"/>
      <c r="H411" s="74"/>
      <c r="I411" s="74"/>
      <c r="J411" s="74"/>
      <c r="K411" s="74"/>
      <c r="L411" s="74"/>
      <c r="M411" s="74"/>
      <c r="N411" s="76"/>
      <c r="O411" s="45"/>
      <c r="P411" s="40"/>
    </row>
    <row r="412" spans="1:16" s="41" customFormat="1" ht="30" customHeight="1">
      <c r="A412" s="77"/>
      <c r="B412" s="72"/>
      <c r="C412" s="73">
        <v>303</v>
      </c>
      <c r="D412" s="74"/>
      <c r="E412" s="74"/>
      <c r="F412" s="74"/>
      <c r="G412" s="75"/>
      <c r="H412" s="74"/>
      <c r="I412" s="74"/>
      <c r="J412" s="74"/>
      <c r="K412" s="74"/>
      <c r="L412" s="74"/>
      <c r="M412" s="74"/>
      <c r="N412" s="76"/>
      <c r="O412" s="45"/>
      <c r="P412" s="40"/>
    </row>
    <row r="413" spans="1:16" s="41" customFormat="1" ht="30" customHeight="1">
      <c r="A413" s="77"/>
      <c r="B413" s="72"/>
      <c r="C413" s="73">
        <v>314</v>
      </c>
      <c r="D413" s="74"/>
      <c r="E413" s="74"/>
      <c r="F413" s="74"/>
      <c r="G413" s="75"/>
      <c r="H413" s="74"/>
      <c r="I413" s="74"/>
      <c r="J413" s="74"/>
      <c r="K413" s="74"/>
      <c r="L413" s="74"/>
      <c r="M413" s="74"/>
      <c r="N413" s="76"/>
      <c r="O413" s="45"/>
      <c r="P413" s="40"/>
    </row>
    <row r="414" spans="1:16" s="41" customFormat="1" ht="30" customHeight="1">
      <c r="A414" s="77"/>
      <c r="B414" s="72"/>
      <c r="C414" s="73">
        <v>348</v>
      </c>
      <c r="D414" s="74"/>
      <c r="E414" s="74"/>
      <c r="F414" s="74"/>
      <c r="G414" s="75"/>
      <c r="H414" s="74"/>
      <c r="I414" s="74"/>
      <c r="J414" s="74"/>
      <c r="K414" s="74"/>
      <c r="L414" s="74"/>
      <c r="M414" s="74"/>
      <c r="N414" s="76"/>
      <c r="O414" s="45"/>
      <c r="P414" s="40"/>
    </row>
    <row r="415" spans="1:16" s="41" customFormat="1" ht="30" customHeight="1">
      <c r="A415" s="77"/>
      <c r="B415" s="72"/>
      <c r="C415" s="73">
        <v>349</v>
      </c>
      <c r="D415" s="74"/>
      <c r="E415" s="74"/>
      <c r="F415" s="74"/>
      <c r="G415" s="75"/>
      <c r="H415" s="74"/>
      <c r="I415" s="74"/>
      <c r="J415" s="74"/>
      <c r="K415" s="74"/>
      <c r="L415" s="74"/>
      <c r="M415" s="74"/>
      <c r="N415" s="76"/>
      <c r="O415" s="45"/>
      <c r="P415" s="40"/>
    </row>
    <row r="416" spans="1:16" s="41" customFormat="1" ht="30" customHeight="1">
      <c r="A416" s="77"/>
      <c r="B416" s="72"/>
      <c r="C416" s="73">
        <v>351</v>
      </c>
      <c r="D416" s="74"/>
      <c r="E416" s="74"/>
      <c r="F416" s="74"/>
      <c r="G416" s="75"/>
      <c r="H416" s="74"/>
      <c r="I416" s="74"/>
      <c r="J416" s="74"/>
      <c r="K416" s="74"/>
      <c r="L416" s="74"/>
      <c r="M416" s="74"/>
      <c r="N416" s="76"/>
      <c r="O416" s="45"/>
      <c r="P416" s="40"/>
    </row>
    <row r="417" spans="1:16" s="41" customFormat="1" ht="30" customHeight="1">
      <c r="A417" s="77"/>
      <c r="B417" s="72"/>
      <c r="C417" s="73">
        <v>352</v>
      </c>
      <c r="D417" s="74"/>
      <c r="E417" s="74"/>
      <c r="F417" s="74"/>
      <c r="G417" s="75"/>
      <c r="H417" s="74"/>
      <c r="I417" s="74"/>
      <c r="J417" s="74"/>
      <c r="K417" s="74"/>
      <c r="L417" s="74"/>
      <c r="M417" s="74"/>
      <c r="N417" s="76"/>
      <c r="O417" s="45"/>
      <c r="P417" s="40"/>
    </row>
    <row r="418" spans="1:16" ht="30" customHeight="1">
      <c r="A418" s="14"/>
      <c r="B418" s="17"/>
      <c r="C418" s="19">
        <v>353</v>
      </c>
      <c r="D418" s="20"/>
      <c r="E418" s="20"/>
      <c r="F418" s="20"/>
      <c r="G418" s="21"/>
      <c r="H418" s="20"/>
      <c r="I418" s="20"/>
      <c r="J418" s="20"/>
      <c r="K418" s="20"/>
      <c r="L418" s="20"/>
      <c r="M418" s="20"/>
      <c r="N418" s="22"/>
      <c r="O418" s="24"/>
      <c r="P418" s="8"/>
    </row>
    <row r="419" spans="1:16" ht="30" customHeight="1">
      <c r="A419" s="14"/>
      <c r="B419" s="17"/>
      <c r="C419" s="19">
        <v>354</v>
      </c>
      <c r="D419" s="20"/>
      <c r="E419" s="20"/>
      <c r="F419" s="20"/>
      <c r="G419" s="21"/>
      <c r="H419" s="20"/>
      <c r="I419" s="20"/>
      <c r="J419" s="20"/>
      <c r="K419" s="20"/>
      <c r="L419" s="20"/>
      <c r="M419" s="20"/>
      <c r="N419" s="22"/>
      <c r="O419" s="24"/>
      <c r="P419" s="8"/>
    </row>
    <row r="420" spans="1:16" ht="30" customHeight="1">
      <c r="A420" s="14"/>
      <c r="B420" s="17"/>
      <c r="C420" s="19">
        <v>355</v>
      </c>
      <c r="D420" s="20"/>
      <c r="E420" s="20"/>
      <c r="F420" s="20"/>
      <c r="G420" s="21"/>
      <c r="H420" s="20"/>
      <c r="I420" s="20"/>
      <c r="J420" s="20"/>
      <c r="K420" s="20"/>
      <c r="L420" s="20"/>
      <c r="M420" s="20"/>
      <c r="N420" s="22"/>
      <c r="O420" s="24"/>
      <c r="P420" s="8"/>
    </row>
    <row r="421" spans="1:16" ht="30" customHeight="1">
      <c r="A421" s="14"/>
      <c r="B421" s="17"/>
      <c r="C421" s="19">
        <v>356</v>
      </c>
      <c r="D421" s="20"/>
      <c r="E421" s="20"/>
      <c r="F421" s="20"/>
      <c r="G421" s="21"/>
      <c r="H421" s="20"/>
      <c r="I421" s="20"/>
      <c r="J421" s="20"/>
      <c r="K421" s="20"/>
      <c r="L421" s="20"/>
      <c r="M421" s="20"/>
      <c r="N421" s="22"/>
      <c r="O421" s="24"/>
      <c r="P421" s="8"/>
    </row>
    <row r="422" spans="1:16" ht="30" customHeight="1">
      <c r="A422" s="14"/>
      <c r="B422" s="17"/>
      <c r="C422" s="19">
        <v>357</v>
      </c>
      <c r="D422" s="20"/>
      <c r="E422" s="20"/>
      <c r="F422" s="20"/>
      <c r="G422" s="21"/>
      <c r="H422" s="20"/>
      <c r="I422" s="20"/>
      <c r="J422" s="20"/>
      <c r="K422" s="20"/>
      <c r="L422" s="20"/>
      <c r="M422" s="20"/>
      <c r="N422" s="22"/>
      <c r="O422" s="24"/>
      <c r="P422" s="8"/>
    </row>
    <row r="423" spans="1:16" ht="30" customHeight="1">
      <c r="A423" s="14"/>
      <c r="B423" s="17"/>
      <c r="C423" s="19">
        <v>358</v>
      </c>
      <c r="D423" s="20"/>
      <c r="E423" s="20"/>
      <c r="F423" s="20"/>
      <c r="G423" s="21"/>
      <c r="H423" s="20"/>
      <c r="I423" s="20"/>
      <c r="J423" s="20"/>
      <c r="K423" s="20"/>
      <c r="L423" s="20"/>
      <c r="M423" s="20"/>
      <c r="N423" s="22"/>
      <c r="O423" s="24"/>
      <c r="P423" s="8"/>
    </row>
    <row r="424" spans="1:16" ht="30" customHeight="1">
      <c r="A424" s="14"/>
      <c r="B424" s="17"/>
      <c r="C424" s="19">
        <v>364</v>
      </c>
      <c r="D424" s="20"/>
      <c r="E424" s="20"/>
      <c r="F424" s="20"/>
      <c r="G424" s="21"/>
      <c r="H424" s="20"/>
      <c r="I424" s="20"/>
      <c r="J424" s="20"/>
      <c r="K424" s="20"/>
      <c r="L424" s="20"/>
      <c r="M424" s="20"/>
      <c r="N424" s="22"/>
      <c r="O424" s="24"/>
      <c r="P424" s="8"/>
    </row>
    <row r="425" spans="1:16" ht="30" customHeight="1">
      <c r="A425" s="14"/>
      <c r="B425" s="17"/>
      <c r="C425" s="19">
        <v>375</v>
      </c>
      <c r="D425" s="20"/>
      <c r="E425" s="20"/>
      <c r="F425" s="20"/>
      <c r="G425" s="21"/>
      <c r="H425" s="20"/>
      <c r="I425" s="20"/>
      <c r="J425" s="20"/>
      <c r="K425" s="20"/>
      <c r="L425" s="20"/>
      <c r="M425" s="20"/>
      <c r="N425" s="22"/>
      <c r="O425" s="24"/>
      <c r="P425" s="8"/>
    </row>
    <row r="426" spans="1:16" ht="30" customHeight="1">
      <c r="A426" s="15"/>
      <c r="B426" s="18"/>
      <c r="C426" s="19">
        <v>381</v>
      </c>
      <c r="D426" s="20"/>
      <c r="E426" s="20"/>
      <c r="F426" s="20"/>
      <c r="G426" s="21"/>
      <c r="H426" s="20"/>
      <c r="I426" s="20"/>
      <c r="J426" s="20"/>
      <c r="K426" s="20"/>
      <c r="L426" s="20"/>
      <c r="M426" s="20"/>
      <c r="N426" s="22"/>
      <c r="O426" s="27"/>
      <c r="P426" s="8"/>
    </row>
    <row r="427" spans="1:16" ht="30" customHeight="1">
      <c r="A427" s="16"/>
      <c r="B427" s="16"/>
    </row>
  </sheetData>
  <mergeCells count="4">
    <mergeCell ref="G90:G91"/>
    <mergeCell ref="H90:H91"/>
    <mergeCell ref="J90:J91"/>
    <mergeCell ref="L90:L91"/>
  </mergeCells>
  <dataValidations count="2">
    <dataValidation type="list" allowBlank="1" showInputMessage="1" showErrorMessage="1" sqref="I3:I409">
      <formula1>"No Gap,Minor Gap,Significant Gap,Priority"</formula1>
    </dataValidation>
    <dataValidation type="list" allowBlank="1" showInputMessage="1" showErrorMessage="1" sqref="J45:J46 J92:J179 J84:J90 J181:J279 J48:J81 J3:J43 J282:J319 J325:J339 J341:J426">
      <formula1>"Ready, Improvements Needed, Significant Improvements Needed, Priority"</formula1>
    </dataValidation>
  </dataValidations>
  <pageMargins left="0.70866141732283472" right="0.70866141732283472" top="0.74803149606299213" bottom="0.74803149606299213" header="0.31496062992125984" footer="0.31496062992125984"/>
  <pageSetup paperSize="8" scale="46" fitToHeight="0" orientation="landscape" r:id="rId1"/>
</worksheet>
</file>

<file path=xl/worksheets/sheet5.xml><?xml version="1.0" encoding="utf-8"?>
<worksheet xmlns="http://schemas.openxmlformats.org/spreadsheetml/2006/main" xmlns:r="http://schemas.openxmlformats.org/officeDocument/2006/relationships">
  <sheetPr codeName="Sheet5">
    <pageSetUpPr fitToPage="1"/>
  </sheetPr>
  <dimension ref="A1:P427"/>
  <sheetViews>
    <sheetView zoomScale="80" zoomScaleNormal="80" workbookViewId="0">
      <pane xSplit="5" ySplit="2" topLeftCell="F3" activePane="bottomRight" state="frozen"/>
      <selection pane="topRight" activeCell="F1" sqref="F1"/>
      <selection pane="bottomLeft" activeCell="A3" sqref="A3"/>
      <selection pane="bottomRight" activeCell="G204" sqref="G204"/>
    </sheetView>
  </sheetViews>
  <sheetFormatPr defaultRowHeight="15"/>
  <cols>
    <col min="1" max="1" width="11.7109375" customWidth="1"/>
    <col min="2" max="2" width="31.85546875" customWidth="1"/>
    <col min="3" max="3" width="17.85546875" customWidth="1"/>
    <col min="4" max="4" width="25.5703125" customWidth="1"/>
    <col min="5" max="5" width="20.42578125" customWidth="1"/>
    <col min="6" max="6" width="27.7109375" customWidth="1"/>
    <col min="7" max="7" width="53.5703125" customWidth="1"/>
    <col min="8" max="8" width="37.7109375" customWidth="1"/>
    <col min="9" max="9" width="17.85546875" customWidth="1"/>
    <col min="10" max="10" width="21.28515625" customWidth="1"/>
    <col min="11" max="11" width="48.42578125" customWidth="1"/>
    <col min="12" max="12" width="37.7109375" customWidth="1"/>
    <col min="13" max="13" width="31.42578125" customWidth="1"/>
    <col min="14" max="14" width="30.42578125" customWidth="1"/>
    <col min="15" max="15" width="12.5703125" style="28" hidden="1" customWidth="1"/>
    <col min="20" max="20" width="8.7109375" customWidth="1"/>
  </cols>
  <sheetData>
    <row r="1" spans="1:16" ht="15.75" thickBot="1">
      <c r="A1" s="1" t="s">
        <v>0</v>
      </c>
      <c r="B1" s="2"/>
      <c r="C1" s="3"/>
      <c r="D1" s="4"/>
      <c r="E1" s="2"/>
      <c r="F1" s="5" t="s">
        <v>1</v>
      </c>
      <c r="G1" s="5"/>
      <c r="H1" s="6"/>
      <c r="I1" s="6"/>
      <c r="J1" s="6"/>
      <c r="K1" s="6"/>
      <c r="L1" s="7" t="s">
        <v>2</v>
      </c>
      <c r="M1" s="7"/>
      <c r="N1" s="7"/>
      <c r="O1" s="25"/>
      <c r="P1" s="8"/>
    </row>
    <row r="2" spans="1:16" ht="56.25" customHeight="1">
      <c r="A2" s="9" t="s">
        <v>3</v>
      </c>
      <c r="B2" s="9" t="s">
        <v>4</v>
      </c>
      <c r="C2" s="10" t="s">
        <v>5</v>
      </c>
      <c r="D2" s="11" t="s">
        <v>6</v>
      </c>
      <c r="E2" s="11" t="s">
        <v>434</v>
      </c>
      <c r="F2" s="12" t="s">
        <v>579</v>
      </c>
      <c r="G2" s="12" t="s">
        <v>7</v>
      </c>
      <c r="H2" s="12" t="s">
        <v>8</v>
      </c>
      <c r="I2" s="12" t="s">
        <v>451</v>
      </c>
      <c r="J2" s="12" t="s">
        <v>450</v>
      </c>
      <c r="K2" s="12" t="s">
        <v>510</v>
      </c>
      <c r="L2" s="13" t="s">
        <v>9</v>
      </c>
      <c r="M2" s="13" t="s">
        <v>10</v>
      </c>
      <c r="N2" s="23" t="s">
        <v>11</v>
      </c>
      <c r="O2" s="26" t="s">
        <v>433</v>
      </c>
      <c r="P2" s="8"/>
    </row>
    <row r="3" spans="1:16" s="41" customFormat="1" ht="30" customHeight="1">
      <c r="A3" s="37">
        <v>1</v>
      </c>
      <c r="B3" s="81" t="s">
        <v>12</v>
      </c>
      <c r="C3" s="37"/>
      <c r="D3" s="81"/>
      <c r="E3" s="81" t="s">
        <v>435</v>
      </c>
      <c r="F3" s="81" t="s">
        <v>13</v>
      </c>
      <c r="G3" s="38"/>
      <c r="H3" s="38"/>
      <c r="I3" s="38"/>
      <c r="J3" s="38"/>
      <c r="K3" s="38"/>
      <c r="L3" s="38"/>
      <c r="M3" s="38"/>
      <c r="N3" s="38"/>
      <c r="O3" s="39"/>
      <c r="P3" s="40"/>
    </row>
    <row r="4" spans="1:16" s="41" customFormat="1" ht="30" customHeight="1">
      <c r="A4" s="42">
        <v>2</v>
      </c>
      <c r="B4" s="43" t="s">
        <v>14</v>
      </c>
      <c r="C4" s="42"/>
      <c r="D4" s="43"/>
      <c r="E4" s="43" t="s">
        <v>435</v>
      </c>
      <c r="F4" s="43" t="s">
        <v>13</v>
      </c>
      <c r="G4" s="44"/>
      <c r="H4" s="44"/>
      <c r="I4" s="44"/>
      <c r="J4" s="44"/>
      <c r="K4" s="44"/>
      <c r="L4" s="44"/>
      <c r="M4" s="44"/>
      <c r="N4" s="44"/>
      <c r="O4" s="45"/>
      <c r="P4" s="40"/>
    </row>
    <row r="5" spans="1:16" s="41" customFormat="1" ht="30" customHeight="1">
      <c r="A5" s="34">
        <v>3</v>
      </c>
      <c r="B5" s="35" t="s">
        <v>15</v>
      </c>
      <c r="C5" s="34"/>
      <c r="D5" s="35"/>
      <c r="E5" s="35" t="s">
        <v>435</v>
      </c>
      <c r="F5" s="35" t="s">
        <v>13</v>
      </c>
      <c r="G5" s="46"/>
      <c r="H5" s="46"/>
      <c r="I5" s="46"/>
      <c r="J5" s="46"/>
      <c r="K5" s="46"/>
      <c r="L5" s="46"/>
      <c r="M5" s="46"/>
      <c r="N5" s="46"/>
      <c r="O5" s="45"/>
      <c r="P5" s="40"/>
    </row>
    <row r="6" spans="1:16" s="41" customFormat="1" ht="30" customHeight="1">
      <c r="A6" s="42">
        <v>4</v>
      </c>
      <c r="B6" s="43" t="s">
        <v>16</v>
      </c>
      <c r="C6" s="42"/>
      <c r="D6" s="43"/>
      <c r="E6" s="43" t="s">
        <v>435</v>
      </c>
      <c r="F6" s="43" t="s">
        <v>13</v>
      </c>
      <c r="G6" s="44"/>
      <c r="H6" s="44"/>
      <c r="I6" s="44"/>
      <c r="J6" s="44"/>
      <c r="K6" s="44"/>
      <c r="L6" s="44"/>
      <c r="M6" s="44"/>
      <c r="N6" s="44"/>
      <c r="O6" s="45"/>
      <c r="P6" s="40"/>
    </row>
    <row r="7" spans="1:16" s="41" customFormat="1" ht="30" customHeight="1">
      <c r="A7" s="34">
        <v>5</v>
      </c>
      <c r="B7" s="35" t="s">
        <v>17</v>
      </c>
      <c r="C7" s="34"/>
      <c r="D7" s="35"/>
      <c r="E7" s="35" t="s">
        <v>435</v>
      </c>
      <c r="F7" s="35" t="s">
        <v>13</v>
      </c>
      <c r="G7" s="46"/>
      <c r="H7" s="46"/>
      <c r="I7" s="46"/>
      <c r="J7" s="46"/>
      <c r="K7" s="46"/>
      <c r="L7" s="46"/>
      <c r="M7" s="46"/>
      <c r="N7" s="46"/>
      <c r="O7" s="45"/>
      <c r="P7" s="40"/>
    </row>
    <row r="8" spans="1:16" s="41" customFormat="1" ht="30" customHeight="1">
      <c r="A8" s="42">
        <v>6</v>
      </c>
      <c r="B8" s="43" t="s">
        <v>18</v>
      </c>
      <c r="C8" s="42"/>
      <c r="D8" s="43"/>
      <c r="E8" s="43" t="s">
        <v>435</v>
      </c>
      <c r="F8" s="43" t="s">
        <v>13</v>
      </c>
      <c r="G8" s="44"/>
      <c r="H8" s="44"/>
      <c r="I8" s="44"/>
      <c r="J8" s="44"/>
      <c r="K8" s="44"/>
      <c r="L8" s="44"/>
      <c r="M8" s="44"/>
      <c r="N8" s="44"/>
      <c r="O8" s="45"/>
      <c r="P8" s="40"/>
    </row>
    <row r="9" spans="1:16" s="41" customFormat="1" ht="30" customHeight="1">
      <c r="A9" s="34">
        <v>7</v>
      </c>
      <c r="B9" s="35" t="s">
        <v>19</v>
      </c>
      <c r="C9" s="34"/>
      <c r="D9" s="35"/>
      <c r="E9" s="35" t="s">
        <v>435</v>
      </c>
      <c r="F9" s="35" t="s">
        <v>13</v>
      </c>
      <c r="G9" s="46"/>
      <c r="H9" s="46"/>
      <c r="I9" s="46"/>
      <c r="J9" s="46"/>
      <c r="K9" s="46"/>
      <c r="L9" s="46"/>
      <c r="M9" s="46"/>
      <c r="N9" s="46"/>
      <c r="O9" s="45"/>
      <c r="P9" s="40"/>
    </row>
    <row r="10" spans="1:16" s="41" customFormat="1" ht="30" customHeight="1">
      <c r="A10" s="42">
        <v>8</v>
      </c>
      <c r="B10" s="43" t="s">
        <v>20</v>
      </c>
      <c r="C10" s="42"/>
      <c r="D10" s="43"/>
      <c r="E10" s="43" t="s">
        <v>435</v>
      </c>
      <c r="F10" s="43" t="s">
        <v>13</v>
      </c>
      <c r="G10" s="44"/>
      <c r="H10" s="44"/>
      <c r="I10" s="44"/>
      <c r="J10" s="44"/>
      <c r="K10" s="44"/>
      <c r="L10" s="44"/>
      <c r="M10" s="44"/>
      <c r="N10" s="44"/>
      <c r="O10" s="45"/>
      <c r="P10" s="40"/>
    </row>
    <row r="11" spans="1:16" s="41" customFormat="1" ht="30" customHeight="1">
      <c r="A11" s="34">
        <v>9</v>
      </c>
      <c r="B11" s="35" t="s">
        <v>21</v>
      </c>
      <c r="C11" s="34"/>
      <c r="D11" s="35"/>
      <c r="E11" s="35" t="s">
        <v>435</v>
      </c>
      <c r="F11" s="35" t="s">
        <v>13</v>
      </c>
      <c r="G11" s="46"/>
      <c r="H11" s="46"/>
      <c r="I11" s="46"/>
      <c r="J11" s="46"/>
      <c r="K11" s="46"/>
      <c r="L11" s="46"/>
      <c r="M11" s="46"/>
      <c r="N11" s="46"/>
      <c r="O11" s="45"/>
      <c r="P11" s="40"/>
    </row>
    <row r="12" spans="1:16" s="41" customFormat="1" ht="30" customHeight="1">
      <c r="A12" s="42">
        <v>10</v>
      </c>
      <c r="B12" s="43" t="s">
        <v>22</v>
      </c>
      <c r="C12" s="42"/>
      <c r="D12" s="43"/>
      <c r="E12" s="43" t="s">
        <v>435</v>
      </c>
      <c r="F12" s="43" t="s">
        <v>13</v>
      </c>
      <c r="G12" s="44"/>
      <c r="H12" s="44"/>
      <c r="I12" s="44"/>
      <c r="J12" s="44"/>
      <c r="K12" s="44"/>
      <c r="L12" s="44"/>
      <c r="M12" s="44"/>
      <c r="N12" s="44"/>
      <c r="O12" s="45"/>
      <c r="P12" s="40"/>
    </row>
    <row r="13" spans="1:16" s="41" customFormat="1" ht="30" customHeight="1">
      <c r="A13" s="34">
        <v>11</v>
      </c>
      <c r="B13" s="35" t="s">
        <v>23</v>
      </c>
      <c r="C13" s="34"/>
      <c r="D13" s="35"/>
      <c r="E13" s="35" t="s">
        <v>435</v>
      </c>
      <c r="F13" s="35" t="s">
        <v>13</v>
      </c>
      <c r="G13" s="46"/>
      <c r="H13" s="46"/>
      <c r="I13" s="46"/>
      <c r="J13" s="46"/>
      <c r="K13" s="46"/>
      <c r="L13" s="46"/>
      <c r="M13" s="46"/>
      <c r="N13" s="46"/>
      <c r="O13" s="45"/>
      <c r="P13" s="40"/>
    </row>
    <row r="14" spans="1:16" s="41" customFormat="1" ht="30" customHeight="1">
      <c r="A14" s="42">
        <v>12</v>
      </c>
      <c r="B14" s="43" t="s">
        <v>24</v>
      </c>
      <c r="C14" s="42"/>
      <c r="D14" s="43"/>
      <c r="E14" s="43" t="s">
        <v>435</v>
      </c>
      <c r="F14" s="43" t="s">
        <v>13</v>
      </c>
      <c r="G14" s="44"/>
      <c r="H14" s="44"/>
      <c r="I14" s="44"/>
      <c r="J14" s="44"/>
      <c r="K14" s="44"/>
      <c r="L14" s="44"/>
      <c r="M14" s="44"/>
      <c r="N14" s="44"/>
      <c r="O14" s="45"/>
      <c r="P14" s="40"/>
    </row>
    <row r="15" spans="1:16" s="41" customFormat="1" ht="30" customHeight="1">
      <c r="A15" s="34">
        <v>13</v>
      </c>
      <c r="B15" s="35" t="s">
        <v>25</v>
      </c>
      <c r="C15" s="34"/>
      <c r="D15" s="35"/>
      <c r="E15" s="35" t="s">
        <v>435</v>
      </c>
      <c r="F15" s="35" t="s">
        <v>13</v>
      </c>
      <c r="G15" s="46"/>
      <c r="H15" s="46"/>
      <c r="I15" s="46"/>
      <c r="J15" s="46"/>
      <c r="K15" s="46"/>
      <c r="L15" s="46"/>
      <c r="M15" s="46"/>
      <c r="N15" s="46"/>
      <c r="O15" s="45"/>
      <c r="P15" s="40"/>
    </row>
    <row r="16" spans="1:16" s="41" customFormat="1" ht="30" customHeight="1">
      <c r="A16" s="42">
        <v>14</v>
      </c>
      <c r="B16" s="43" t="s">
        <v>26</v>
      </c>
      <c r="C16" s="42"/>
      <c r="D16" s="43"/>
      <c r="E16" s="43" t="s">
        <v>435</v>
      </c>
      <c r="F16" s="43" t="s">
        <v>27</v>
      </c>
      <c r="G16" s="44"/>
      <c r="H16" s="44"/>
      <c r="I16" s="44"/>
      <c r="J16" s="44"/>
      <c r="K16" s="44"/>
      <c r="L16" s="44"/>
      <c r="M16" s="44"/>
      <c r="N16" s="44"/>
      <c r="O16" s="45"/>
      <c r="P16" s="40"/>
    </row>
    <row r="17" spans="1:16" s="41" customFormat="1" ht="30" customHeight="1">
      <c r="A17" s="34">
        <v>15</v>
      </c>
      <c r="B17" s="35" t="s">
        <v>28</v>
      </c>
      <c r="C17" s="34"/>
      <c r="D17" s="35"/>
      <c r="E17" s="35" t="s">
        <v>435</v>
      </c>
      <c r="F17" s="35" t="s">
        <v>27</v>
      </c>
      <c r="G17" s="46"/>
      <c r="H17" s="46"/>
      <c r="I17" s="46"/>
      <c r="J17" s="46"/>
      <c r="K17" s="46"/>
      <c r="L17" s="46"/>
      <c r="M17" s="46"/>
      <c r="N17" s="46"/>
      <c r="O17" s="45"/>
      <c r="P17" s="40"/>
    </row>
    <row r="18" spans="1:16" s="41" customFormat="1" ht="30" customHeight="1">
      <c r="A18" s="42">
        <v>16</v>
      </c>
      <c r="B18" s="43" t="s">
        <v>29</v>
      </c>
      <c r="C18" s="42"/>
      <c r="D18" s="43"/>
      <c r="E18" s="43" t="s">
        <v>435</v>
      </c>
      <c r="F18" s="43" t="s">
        <v>27</v>
      </c>
      <c r="G18" s="44"/>
      <c r="H18" s="44"/>
      <c r="I18" s="44"/>
      <c r="J18" s="44"/>
      <c r="K18" s="44"/>
      <c r="L18" s="44"/>
      <c r="M18" s="44"/>
      <c r="N18" s="44"/>
      <c r="O18" s="45"/>
      <c r="P18" s="40"/>
    </row>
    <row r="19" spans="1:16" s="41" customFormat="1" ht="30" customHeight="1">
      <c r="A19" s="34">
        <v>17</v>
      </c>
      <c r="B19" s="35" t="s">
        <v>30</v>
      </c>
      <c r="C19" s="34"/>
      <c r="D19" s="35"/>
      <c r="E19" s="35" t="s">
        <v>435</v>
      </c>
      <c r="F19" s="35" t="s">
        <v>27</v>
      </c>
      <c r="G19" s="46"/>
      <c r="H19" s="46"/>
      <c r="I19" s="46"/>
      <c r="J19" s="46"/>
      <c r="K19" s="46"/>
      <c r="L19" s="46"/>
      <c r="M19" s="46"/>
      <c r="N19" s="46"/>
      <c r="O19" s="45"/>
      <c r="P19" s="40"/>
    </row>
    <row r="20" spans="1:16" s="41" customFormat="1" ht="30" customHeight="1">
      <c r="A20" s="42">
        <v>18</v>
      </c>
      <c r="B20" s="43" t="s">
        <v>31</v>
      </c>
      <c r="C20" s="42"/>
      <c r="D20" s="43"/>
      <c r="E20" s="43" t="s">
        <v>435</v>
      </c>
      <c r="F20" s="43" t="s">
        <v>27</v>
      </c>
      <c r="G20" s="44"/>
      <c r="H20" s="44"/>
      <c r="I20" s="44"/>
      <c r="J20" s="44"/>
      <c r="K20" s="44"/>
      <c r="L20" s="44"/>
      <c r="M20" s="44"/>
      <c r="N20" s="44"/>
      <c r="O20" s="45"/>
      <c r="P20" s="40"/>
    </row>
    <row r="21" spans="1:16" s="41" customFormat="1" ht="30" customHeight="1">
      <c r="A21" s="34">
        <v>19</v>
      </c>
      <c r="B21" s="35" t="s">
        <v>32</v>
      </c>
      <c r="C21" s="34"/>
      <c r="D21" s="35"/>
      <c r="E21" s="35" t="s">
        <v>435</v>
      </c>
      <c r="F21" s="35" t="s">
        <v>27</v>
      </c>
      <c r="G21" s="46"/>
      <c r="H21" s="46"/>
      <c r="I21" s="46"/>
      <c r="J21" s="46"/>
      <c r="K21" s="46"/>
      <c r="L21" s="46"/>
      <c r="M21" s="46"/>
      <c r="N21" s="46"/>
      <c r="O21" s="45"/>
      <c r="P21" s="40"/>
    </row>
    <row r="22" spans="1:16" s="41" customFormat="1" ht="30" customHeight="1">
      <c r="A22" s="42">
        <v>20</v>
      </c>
      <c r="B22" s="43" t="s">
        <v>33</v>
      </c>
      <c r="C22" s="42"/>
      <c r="D22" s="43"/>
      <c r="E22" s="43" t="s">
        <v>435</v>
      </c>
      <c r="F22" s="43" t="s">
        <v>13</v>
      </c>
      <c r="G22" s="44"/>
      <c r="H22" s="44"/>
      <c r="I22" s="44"/>
      <c r="J22" s="44"/>
      <c r="K22" s="44"/>
      <c r="L22" s="44"/>
      <c r="M22" s="44"/>
      <c r="N22" s="44"/>
      <c r="O22" s="45"/>
      <c r="P22" s="40"/>
    </row>
    <row r="23" spans="1:16" s="41" customFormat="1" ht="30" customHeight="1">
      <c r="A23" s="34">
        <v>21</v>
      </c>
      <c r="B23" s="35" t="s">
        <v>34</v>
      </c>
      <c r="C23" s="34"/>
      <c r="D23" s="35"/>
      <c r="E23" s="35" t="s">
        <v>435</v>
      </c>
      <c r="F23" s="35" t="s">
        <v>35</v>
      </c>
      <c r="G23" s="46"/>
      <c r="H23" s="46"/>
      <c r="I23" s="46"/>
      <c r="J23" s="46"/>
      <c r="K23" s="46"/>
      <c r="L23" s="46"/>
      <c r="M23" s="46"/>
      <c r="N23" s="46"/>
      <c r="O23" s="45"/>
      <c r="P23" s="40"/>
    </row>
    <row r="24" spans="1:16" s="41" customFormat="1" ht="30" customHeight="1">
      <c r="A24" s="42">
        <v>22</v>
      </c>
      <c r="B24" s="43" t="s">
        <v>36</v>
      </c>
      <c r="C24" s="42"/>
      <c r="D24" s="43"/>
      <c r="E24" s="43" t="s">
        <v>435</v>
      </c>
      <c r="F24" s="43" t="s">
        <v>35</v>
      </c>
      <c r="G24" s="44"/>
      <c r="H24" s="44"/>
      <c r="I24" s="44"/>
      <c r="J24" s="44"/>
      <c r="K24" s="44"/>
      <c r="L24" s="44"/>
      <c r="M24" s="44"/>
      <c r="N24" s="44"/>
      <c r="O24" s="45"/>
      <c r="P24" s="40"/>
    </row>
    <row r="25" spans="1:16" s="41" customFormat="1" ht="30" customHeight="1">
      <c r="A25" s="34">
        <v>23</v>
      </c>
      <c r="B25" s="35" t="s">
        <v>37</v>
      </c>
      <c r="C25" s="34"/>
      <c r="D25" s="35"/>
      <c r="E25" s="35" t="s">
        <v>435</v>
      </c>
      <c r="F25" s="35" t="s">
        <v>27</v>
      </c>
      <c r="G25" s="46"/>
      <c r="H25" s="46"/>
      <c r="I25" s="46"/>
      <c r="J25" s="46"/>
      <c r="K25" s="46"/>
      <c r="L25" s="46"/>
      <c r="M25" s="46"/>
      <c r="N25" s="46"/>
      <c r="O25" s="45"/>
      <c r="P25" s="40"/>
    </row>
    <row r="26" spans="1:16" s="41" customFormat="1" ht="30" customHeight="1">
      <c r="A26" s="42">
        <v>24</v>
      </c>
      <c r="B26" s="43" t="s">
        <v>38</v>
      </c>
      <c r="C26" s="42"/>
      <c r="D26" s="43"/>
      <c r="E26" s="43" t="s">
        <v>435</v>
      </c>
      <c r="F26" s="43" t="s">
        <v>27</v>
      </c>
      <c r="G26" s="44"/>
      <c r="H26" s="44"/>
      <c r="I26" s="44"/>
      <c r="J26" s="44"/>
      <c r="K26" s="44"/>
      <c r="L26" s="44"/>
      <c r="M26" s="44"/>
      <c r="N26" s="44"/>
      <c r="O26" s="45"/>
      <c r="P26" s="40"/>
    </row>
    <row r="27" spans="1:16" s="41" customFormat="1" ht="30" customHeight="1">
      <c r="A27" s="34">
        <v>25</v>
      </c>
      <c r="B27" s="35" t="s">
        <v>39</v>
      </c>
      <c r="C27" s="34"/>
      <c r="D27" s="35"/>
      <c r="E27" s="35" t="s">
        <v>435</v>
      </c>
      <c r="F27" s="35" t="s">
        <v>27</v>
      </c>
      <c r="G27" s="46"/>
      <c r="H27" s="46"/>
      <c r="I27" s="46"/>
      <c r="J27" s="46"/>
      <c r="K27" s="46"/>
      <c r="L27" s="46"/>
      <c r="M27" s="46"/>
      <c r="N27" s="46"/>
      <c r="O27" s="45"/>
      <c r="P27" s="40"/>
    </row>
    <row r="28" spans="1:16" s="41" customFormat="1" ht="30" customHeight="1">
      <c r="A28" s="42">
        <v>26</v>
      </c>
      <c r="B28" s="43" t="s">
        <v>40</v>
      </c>
      <c r="C28" s="42"/>
      <c r="D28" s="43"/>
      <c r="E28" s="43" t="s">
        <v>435</v>
      </c>
      <c r="F28" s="43" t="s">
        <v>27</v>
      </c>
      <c r="G28" s="44"/>
      <c r="H28" s="44"/>
      <c r="I28" s="44"/>
      <c r="J28" s="44"/>
      <c r="K28" s="44"/>
      <c r="L28" s="44"/>
      <c r="M28" s="44"/>
      <c r="N28" s="44"/>
      <c r="O28" s="45"/>
      <c r="P28" s="40"/>
    </row>
    <row r="29" spans="1:16" s="41" customFormat="1" ht="30" customHeight="1">
      <c r="A29" s="34">
        <v>27</v>
      </c>
      <c r="B29" s="35" t="s">
        <v>41</v>
      </c>
      <c r="C29" s="34"/>
      <c r="D29" s="35" t="s">
        <v>42</v>
      </c>
      <c r="E29" s="35" t="s">
        <v>435</v>
      </c>
      <c r="F29" s="35" t="s">
        <v>35</v>
      </c>
      <c r="G29" s="46"/>
      <c r="H29" s="46"/>
      <c r="I29" s="46"/>
      <c r="J29" s="46"/>
      <c r="K29" s="46"/>
      <c r="L29" s="46"/>
      <c r="M29" s="46"/>
      <c r="N29" s="46"/>
      <c r="O29" s="45"/>
      <c r="P29" s="40"/>
    </row>
    <row r="30" spans="1:16" s="41" customFormat="1" ht="30" customHeight="1">
      <c r="A30" s="42">
        <v>28</v>
      </c>
      <c r="B30" s="43" t="s">
        <v>43</v>
      </c>
      <c r="C30" s="42"/>
      <c r="D30" s="43"/>
      <c r="E30" s="43" t="s">
        <v>435</v>
      </c>
      <c r="F30" s="43" t="s">
        <v>35</v>
      </c>
      <c r="G30" s="44"/>
      <c r="H30" s="44"/>
      <c r="I30" s="44"/>
      <c r="J30" s="44"/>
      <c r="K30" s="44"/>
      <c r="L30" s="44"/>
      <c r="M30" s="44"/>
      <c r="N30" s="44"/>
      <c r="O30" s="45"/>
      <c r="P30" s="40"/>
    </row>
    <row r="31" spans="1:16" s="41" customFormat="1" ht="30" customHeight="1">
      <c r="A31" s="34">
        <v>29</v>
      </c>
      <c r="B31" s="35" t="s">
        <v>44</v>
      </c>
      <c r="C31" s="34"/>
      <c r="D31" s="35" t="s">
        <v>42</v>
      </c>
      <c r="E31" s="35" t="s">
        <v>435</v>
      </c>
      <c r="F31" s="35" t="s">
        <v>35</v>
      </c>
      <c r="G31" s="46"/>
      <c r="H31" s="46"/>
      <c r="I31" s="46"/>
      <c r="J31" s="46"/>
      <c r="K31" s="46"/>
      <c r="L31" s="46"/>
      <c r="M31" s="46"/>
      <c r="N31" s="46"/>
      <c r="O31" s="45"/>
      <c r="P31" s="40"/>
    </row>
    <row r="32" spans="1:16" s="41" customFormat="1" ht="30" customHeight="1">
      <c r="A32" s="42">
        <v>30</v>
      </c>
      <c r="B32" s="43" t="s">
        <v>45</v>
      </c>
      <c r="C32" s="42"/>
      <c r="D32" s="43"/>
      <c r="E32" s="43" t="s">
        <v>435</v>
      </c>
      <c r="F32" s="43" t="s">
        <v>35</v>
      </c>
      <c r="G32" s="44"/>
      <c r="H32" s="44"/>
      <c r="I32" s="44"/>
      <c r="J32" s="44"/>
      <c r="K32" s="44"/>
      <c r="L32" s="44"/>
      <c r="M32" s="44"/>
      <c r="N32" s="44"/>
      <c r="O32" s="45"/>
      <c r="P32" s="40"/>
    </row>
    <row r="33" spans="1:16" s="41" customFormat="1" ht="30" customHeight="1">
      <c r="A33" s="34">
        <v>31</v>
      </c>
      <c r="B33" s="35" t="s">
        <v>46</v>
      </c>
      <c r="C33" s="34" t="s">
        <v>400</v>
      </c>
      <c r="D33" s="35"/>
      <c r="E33" s="35" t="s">
        <v>435</v>
      </c>
      <c r="F33" s="35" t="s">
        <v>35</v>
      </c>
      <c r="G33" s="46"/>
      <c r="H33" s="46"/>
      <c r="I33" s="46"/>
      <c r="J33" s="46"/>
      <c r="K33" s="46"/>
      <c r="L33" s="46"/>
      <c r="M33" s="46"/>
      <c r="N33" s="46"/>
      <c r="O33" s="45"/>
      <c r="P33" s="40"/>
    </row>
    <row r="34" spans="1:16" s="41" customFormat="1" ht="30" customHeight="1">
      <c r="A34" s="42">
        <v>32</v>
      </c>
      <c r="B34" s="43" t="s">
        <v>47</v>
      </c>
      <c r="C34" s="42"/>
      <c r="D34" s="43"/>
      <c r="E34" s="43" t="s">
        <v>435</v>
      </c>
      <c r="F34" s="43" t="s">
        <v>35</v>
      </c>
      <c r="G34" s="44"/>
      <c r="H34" s="44"/>
      <c r="I34" s="44"/>
      <c r="J34" s="44"/>
      <c r="K34" s="44"/>
      <c r="L34" s="44"/>
      <c r="M34" s="44"/>
      <c r="N34" s="44"/>
      <c r="O34" s="45"/>
      <c r="P34" s="40"/>
    </row>
    <row r="35" spans="1:16" s="41" customFormat="1" ht="30" customHeight="1">
      <c r="A35" s="34">
        <v>33</v>
      </c>
      <c r="B35" s="35" t="s">
        <v>48</v>
      </c>
      <c r="C35" s="34"/>
      <c r="D35" s="35"/>
      <c r="E35" s="35" t="s">
        <v>435</v>
      </c>
      <c r="F35" s="35" t="s">
        <v>35</v>
      </c>
      <c r="G35" s="46"/>
      <c r="H35" s="46"/>
      <c r="I35" s="46"/>
      <c r="J35" s="46"/>
      <c r="K35" s="46"/>
      <c r="L35" s="46"/>
      <c r="M35" s="46"/>
      <c r="N35" s="46"/>
      <c r="O35" s="45"/>
      <c r="P35" s="40"/>
    </row>
    <row r="36" spans="1:16" s="41" customFormat="1" ht="30" customHeight="1">
      <c r="A36" s="42">
        <v>34</v>
      </c>
      <c r="B36" s="43" t="s">
        <v>49</v>
      </c>
      <c r="C36" s="42"/>
      <c r="D36" s="43" t="s">
        <v>42</v>
      </c>
      <c r="E36" s="43" t="s">
        <v>435</v>
      </c>
      <c r="F36" s="43" t="s">
        <v>35</v>
      </c>
      <c r="G36" s="44"/>
      <c r="H36" s="44"/>
      <c r="I36" s="44"/>
      <c r="J36" s="44"/>
      <c r="K36" s="44"/>
      <c r="L36" s="44"/>
      <c r="M36" s="44"/>
      <c r="N36" s="44"/>
      <c r="O36" s="45"/>
      <c r="P36" s="40"/>
    </row>
    <row r="37" spans="1:16" s="41" customFormat="1" ht="30" customHeight="1">
      <c r="A37" s="34">
        <v>35</v>
      </c>
      <c r="B37" s="35" t="s">
        <v>50</v>
      </c>
      <c r="C37" s="34" t="s">
        <v>401</v>
      </c>
      <c r="D37" s="35"/>
      <c r="E37" s="35" t="s">
        <v>432</v>
      </c>
      <c r="F37" s="35"/>
      <c r="G37" s="80" t="s">
        <v>447</v>
      </c>
      <c r="H37" s="35" t="s">
        <v>540</v>
      </c>
      <c r="I37" s="35" t="s">
        <v>593</v>
      </c>
      <c r="J37" s="80" t="s">
        <v>462</v>
      </c>
      <c r="K37" s="35" t="s">
        <v>549</v>
      </c>
      <c r="L37" s="35" t="s">
        <v>51</v>
      </c>
      <c r="M37" s="35" t="s">
        <v>496</v>
      </c>
      <c r="N37" s="47"/>
      <c r="O37" s="45"/>
      <c r="P37" s="40"/>
    </row>
    <row r="38" spans="1:16" s="41" customFormat="1" ht="30" customHeight="1">
      <c r="A38" s="34"/>
      <c r="B38" s="35"/>
      <c r="C38" s="34"/>
      <c r="D38" s="35"/>
      <c r="E38" s="35"/>
      <c r="F38" s="35"/>
      <c r="G38" s="80" t="s">
        <v>543</v>
      </c>
      <c r="H38" s="35" t="s">
        <v>541</v>
      </c>
      <c r="I38" s="35"/>
      <c r="J38" s="80"/>
      <c r="K38" s="35" t="s">
        <v>544</v>
      </c>
      <c r="L38" s="35" t="s">
        <v>548</v>
      </c>
      <c r="M38" s="35"/>
      <c r="N38" s="47"/>
      <c r="O38" s="45"/>
      <c r="P38" s="40"/>
    </row>
    <row r="39" spans="1:16" s="41" customFormat="1" ht="30" customHeight="1">
      <c r="A39" s="34"/>
      <c r="B39" s="35"/>
      <c r="C39" s="34"/>
      <c r="D39" s="35"/>
      <c r="E39" s="35"/>
      <c r="F39" s="35"/>
      <c r="G39" s="80" t="s">
        <v>449</v>
      </c>
      <c r="H39" s="35"/>
      <c r="I39" s="35"/>
      <c r="J39" s="80"/>
      <c r="K39" s="35" t="s">
        <v>545</v>
      </c>
      <c r="L39" s="35"/>
      <c r="M39" s="35"/>
      <c r="N39" s="47"/>
      <c r="O39" s="45"/>
      <c r="P39" s="40"/>
    </row>
    <row r="40" spans="1:16" s="41" customFormat="1" ht="30" customHeight="1">
      <c r="A40" s="42">
        <v>36</v>
      </c>
      <c r="B40" s="43" t="s">
        <v>53</v>
      </c>
      <c r="C40" s="42"/>
      <c r="D40" s="43" t="s">
        <v>42</v>
      </c>
      <c r="E40" s="43" t="s">
        <v>435</v>
      </c>
      <c r="F40" s="43" t="s">
        <v>35</v>
      </c>
      <c r="G40" s="44"/>
      <c r="H40" s="44"/>
      <c r="I40" s="44"/>
      <c r="J40" s="44"/>
      <c r="K40" s="44"/>
      <c r="L40" s="44"/>
      <c r="M40" s="44"/>
      <c r="N40" s="44"/>
      <c r="O40" s="45"/>
      <c r="P40" s="40"/>
    </row>
    <row r="41" spans="1:16" s="41" customFormat="1" ht="30" customHeight="1">
      <c r="A41" s="34">
        <v>37</v>
      </c>
      <c r="B41" s="35" t="s">
        <v>54</v>
      </c>
      <c r="C41" s="34" t="s">
        <v>402</v>
      </c>
      <c r="D41" s="35"/>
      <c r="E41" s="35" t="s">
        <v>435</v>
      </c>
      <c r="F41" s="35" t="s">
        <v>35</v>
      </c>
      <c r="G41" s="46"/>
      <c r="H41" s="46"/>
      <c r="I41" s="46"/>
      <c r="J41" s="46"/>
      <c r="K41" s="46"/>
      <c r="L41" s="46"/>
      <c r="M41" s="46"/>
      <c r="N41" s="46"/>
      <c r="O41" s="45"/>
      <c r="P41" s="40"/>
    </row>
    <row r="42" spans="1:16" s="41" customFormat="1" ht="30" customHeight="1">
      <c r="A42" s="48">
        <v>38</v>
      </c>
      <c r="B42" s="49" t="s">
        <v>55</v>
      </c>
      <c r="C42" s="48" t="s">
        <v>519</v>
      </c>
      <c r="D42" s="49"/>
      <c r="E42" s="49" t="s">
        <v>428</v>
      </c>
      <c r="F42" s="49"/>
      <c r="G42" s="49" t="s">
        <v>527</v>
      </c>
      <c r="H42" s="49" t="s">
        <v>441</v>
      </c>
      <c r="I42" s="49" t="s">
        <v>594</v>
      </c>
      <c r="J42" s="29" t="s">
        <v>459</v>
      </c>
      <c r="K42" s="49" t="s">
        <v>604</v>
      </c>
      <c r="L42" s="49" t="s">
        <v>520</v>
      </c>
      <c r="M42" s="49" t="s">
        <v>448</v>
      </c>
      <c r="N42" s="50"/>
      <c r="O42" s="45"/>
      <c r="P42" s="40"/>
    </row>
    <row r="43" spans="1:16" s="41" customFormat="1" ht="30" customHeight="1">
      <c r="A43" s="34">
        <v>39</v>
      </c>
      <c r="B43" s="35" t="s">
        <v>56</v>
      </c>
      <c r="C43" s="34"/>
      <c r="D43" s="35"/>
      <c r="E43" s="35" t="s">
        <v>428</v>
      </c>
      <c r="F43" s="35" t="s">
        <v>86</v>
      </c>
      <c r="G43" s="46"/>
      <c r="H43" s="46"/>
      <c r="I43" s="46"/>
      <c r="J43" s="46"/>
      <c r="K43" s="46"/>
      <c r="L43" s="46"/>
      <c r="M43" s="46"/>
      <c r="N43" s="46"/>
      <c r="O43" s="45"/>
      <c r="P43" s="40"/>
    </row>
    <row r="44" spans="1:16" s="41" customFormat="1" ht="57" customHeight="1">
      <c r="A44" s="42">
        <v>40</v>
      </c>
      <c r="B44" s="43" t="s">
        <v>57</v>
      </c>
      <c r="C44" s="42"/>
      <c r="D44" s="43"/>
      <c r="E44" s="43" t="s">
        <v>428</v>
      </c>
      <c r="F44" s="43" t="s">
        <v>521</v>
      </c>
      <c r="G44" s="46"/>
      <c r="H44" s="46"/>
      <c r="I44" s="46"/>
      <c r="J44" s="46"/>
      <c r="K44" s="46"/>
      <c r="L44" s="46"/>
      <c r="M44" s="46"/>
      <c r="N44" s="46"/>
      <c r="O44" s="45"/>
      <c r="P44" s="40"/>
    </row>
    <row r="45" spans="1:16" s="41" customFormat="1" ht="186.75" customHeight="1">
      <c r="A45" s="34">
        <v>41</v>
      </c>
      <c r="B45" s="35" t="s">
        <v>58</v>
      </c>
      <c r="C45" s="34" t="s">
        <v>522</v>
      </c>
      <c r="D45" s="35" t="s">
        <v>523</v>
      </c>
      <c r="E45" s="35" t="s">
        <v>428</v>
      </c>
      <c r="F45" s="35"/>
      <c r="G45" s="80" t="s">
        <v>564</v>
      </c>
      <c r="H45" s="35" t="s">
        <v>452</v>
      </c>
      <c r="I45" s="35" t="s">
        <v>595</v>
      </c>
      <c r="J45" s="80" t="s">
        <v>459</v>
      </c>
      <c r="K45" s="35" t="s">
        <v>580</v>
      </c>
      <c r="L45" s="35" t="s">
        <v>455</v>
      </c>
      <c r="M45" s="35" t="s">
        <v>456</v>
      </c>
      <c r="N45" s="47"/>
      <c r="O45" s="45"/>
      <c r="P45" s="40"/>
    </row>
    <row r="46" spans="1:16" s="41" customFormat="1" ht="69.75" customHeight="1">
      <c r="A46" s="48">
        <v>42</v>
      </c>
      <c r="B46" s="49" t="s">
        <v>59</v>
      </c>
      <c r="C46" s="48">
        <v>273</v>
      </c>
      <c r="D46" s="49" t="s">
        <v>524</v>
      </c>
      <c r="E46" s="49" t="s">
        <v>428</v>
      </c>
      <c r="F46" s="49"/>
      <c r="G46" s="29" t="s">
        <v>453</v>
      </c>
      <c r="H46" s="49" t="s">
        <v>441</v>
      </c>
      <c r="I46" s="49" t="s">
        <v>595</v>
      </c>
      <c r="J46" s="29" t="s">
        <v>459</v>
      </c>
      <c r="K46" s="49" t="s">
        <v>460</v>
      </c>
      <c r="L46" s="49" t="s">
        <v>454</v>
      </c>
      <c r="M46" s="49" t="s">
        <v>443</v>
      </c>
      <c r="N46" s="50" t="s">
        <v>68</v>
      </c>
      <c r="O46" s="45"/>
      <c r="P46" s="40"/>
    </row>
    <row r="47" spans="1:16" s="41" customFormat="1" ht="30" customHeight="1">
      <c r="A47" s="34">
        <v>43</v>
      </c>
      <c r="B47" s="35" t="s">
        <v>60</v>
      </c>
      <c r="C47" s="34"/>
      <c r="D47" s="35"/>
      <c r="E47" s="35" t="s">
        <v>428</v>
      </c>
      <c r="F47" s="35" t="s">
        <v>525</v>
      </c>
      <c r="G47" s="46"/>
      <c r="H47" s="46"/>
      <c r="I47" s="46"/>
      <c r="J47" s="46"/>
      <c r="K47" s="46"/>
      <c r="L47" s="46"/>
      <c r="M47" s="46"/>
      <c r="N47" s="46"/>
      <c r="O47" s="45">
        <v>1</v>
      </c>
      <c r="P47" s="40"/>
    </row>
    <row r="48" spans="1:16" s="41" customFormat="1" ht="405" customHeight="1">
      <c r="A48" s="48">
        <v>44</v>
      </c>
      <c r="B48" s="49" t="s">
        <v>61</v>
      </c>
      <c r="C48" s="48" t="s">
        <v>403</v>
      </c>
      <c r="D48" s="49" t="s">
        <v>489</v>
      </c>
      <c r="E48" s="49" t="s">
        <v>429</v>
      </c>
      <c r="F48" s="49"/>
      <c r="G48" s="29" t="s">
        <v>608</v>
      </c>
      <c r="H48" s="49" t="s">
        <v>609</v>
      </c>
      <c r="I48" s="49" t="s">
        <v>595</v>
      </c>
      <c r="J48" s="29" t="s">
        <v>468</v>
      </c>
      <c r="K48" s="49" t="s">
        <v>488</v>
      </c>
      <c r="L48" s="49" t="s">
        <v>490</v>
      </c>
      <c r="M48" s="49" t="s">
        <v>491</v>
      </c>
      <c r="N48" s="50" t="s">
        <v>492</v>
      </c>
      <c r="O48" s="45"/>
      <c r="P48" s="40"/>
    </row>
    <row r="49" spans="1:16" s="41" customFormat="1" ht="104.25" customHeight="1">
      <c r="A49" s="55"/>
      <c r="B49" s="56"/>
      <c r="C49" s="55"/>
      <c r="D49" s="56"/>
      <c r="E49" s="56"/>
      <c r="F49" s="56"/>
      <c r="G49" s="57" t="s">
        <v>607</v>
      </c>
      <c r="H49" s="56"/>
      <c r="I49" s="56"/>
      <c r="J49" s="57"/>
      <c r="K49" s="56"/>
      <c r="L49" s="56"/>
      <c r="M49" s="56"/>
      <c r="N49" s="58"/>
      <c r="O49" s="45"/>
      <c r="P49" s="40"/>
    </row>
    <row r="50" spans="1:16" s="41" customFormat="1" ht="153">
      <c r="A50" s="34">
        <v>45</v>
      </c>
      <c r="B50" s="35" t="s">
        <v>65</v>
      </c>
      <c r="C50" s="34" t="s">
        <v>404</v>
      </c>
      <c r="D50" s="35" t="s">
        <v>62</v>
      </c>
      <c r="E50" s="35" t="s">
        <v>429</v>
      </c>
      <c r="F50" s="35"/>
      <c r="G50" s="80" t="s">
        <v>591</v>
      </c>
      <c r="H50" s="35" t="s">
        <v>464</v>
      </c>
      <c r="I50" s="35" t="s">
        <v>595</v>
      </c>
      <c r="J50" s="80" t="s">
        <v>459</v>
      </c>
      <c r="K50" s="35" t="s">
        <v>495</v>
      </c>
      <c r="L50" s="35" t="s">
        <v>592</v>
      </c>
      <c r="M50" s="35" t="s">
        <v>465</v>
      </c>
      <c r="N50" s="47" t="s">
        <v>466</v>
      </c>
      <c r="O50" s="45"/>
      <c r="P50" s="40"/>
    </row>
    <row r="51" spans="1:16" s="41" customFormat="1" ht="127.5">
      <c r="A51" s="48">
        <v>46</v>
      </c>
      <c r="B51" s="49" t="s">
        <v>66</v>
      </c>
      <c r="C51" s="48" t="s">
        <v>405</v>
      </c>
      <c r="D51" s="49" t="s">
        <v>67</v>
      </c>
      <c r="E51" s="49" t="s">
        <v>428</v>
      </c>
      <c r="F51" s="49"/>
      <c r="G51" s="29" t="s">
        <v>565</v>
      </c>
      <c r="H51" s="49" t="s">
        <v>457</v>
      </c>
      <c r="I51" s="49" t="s">
        <v>595</v>
      </c>
      <c r="J51" s="29" t="s">
        <v>459</v>
      </c>
      <c r="K51" s="49" t="s">
        <v>461</v>
      </c>
      <c r="L51" s="49" t="s">
        <v>458</v>
      </c>
      <c r="M51" s="49" t="s">
        <v>456</v>
      </c>
      <c r="N51" s="50" t="s">
        <v>68</v>
      </c>
      <c r="O51" s="45"/>
      <c r="P51" s="40"/>
    </row>
    <row r="52" spans="1:16" s="41" customFormat="1" ht="267.75">
      <c r="A52" s="34">
        <v>47</v>
      </c>
      <c r="B52" s="35" t="s">
        <v>69</v>
      </c>
      <c r="C52" s="34">
        <v>271</v>
      </c>
      <c r="D52" s="35" t="s">
        <v>70</v>
      </c>
      <c r="E52" s="35" t="s">
        <v>430</v>
      </c>
      <c r="F52" s="35"/>
      <c r="G52" s="80" t="s">
        <v>566</v>
      </c>
      <c r="H52" s="35" t="s">
        <v>439</v>
      </c>
      <c r="I52" s="35" t="s">
        <v>595</v>
      </c>
      <c r="J52" s="80" t="s">
        <v>468</v>
      </c>
      <c r="K52" s="35"/>
      <c r="L52" s="35" t="s">
        <v>497</v>
      </c>
      <c r="M52" s="35" t="s">
        <v>496</v>
      </c>
      <c r="N52" s="47"/>
      <c r="O52" s="45"/>
      <c r="P52" s="40"/>
    </row>
    <row r="53" spans="1:16" s="41" customFormat="1" ht="395.25">
      <c r="A53" s="48">
        <v>48</v>
      </c>
      <c r="B53" s="49" t="s">
        <v>71</v>
      </c>
      <c r="C53" s="48" t="s">
        <v>463</v>
      </c>
      <c r="D53" s="49" t="s">
        <v>498</v>
      </c>
      <c r="E53" s="49" t="s">
        <v>431</v>
      </c>
      <c r="F53" s="49"/>
      <c r="G53" s="29" t="s">
        <v>567</v>
      </c>
      <c r="H53" s="49" t="s">
        <v>499</v>
      </c>
      <c r="I53" s="49" t="s">
        <v>594</v>
      </c>
      <c r="J53" s="29" t="s">
        <v>459</v>
      </c>
      <c r="K53" s="49" t="s">
        <v>568</v>
      </c>
      <c r="L53" s="49" t="s">
        <v>569</v>
      </c>
      <c r="M53" s="49" t="s">
        <v>500</v>
      </c>
      <c r="N53" s="50" t="s">
        <v>501</v>
      </c>
      <c r="O53" s="40"/>
    </row>
    <row r="54" spans="1:16" s="41" customFormat="1" ht="38.25">
      <c r="A54" s="34">
        <v>49</v>
      </c>
      <c r="B54" s="35" t="s">
        <v>73</v>
      </c>
      <c r="C54" s="34" t="s">
        <v>526</v>
      </c>
      <c r="D54" s="35" t="s">
        <v>74</v>
      </c>
      <c r="E54" s="35" t="s">
        <v>428</v>
      </c>
      <c r="F54" s="35"/>
      <c r="G54" s="80" t="s">
        <v>527</v>
      </c>
      <c r="H54" s="35" t="s">
        <v>441</v>
      </c>
      <c r="I54" s="35" t="s">
        <v>594</v>
      </c>
      <c r="J54" s="80" t="s">
        <v>459</v>
      </c>
      <c r="K54" s="35" t="s">
        <v>604</v>
      </c>
      <c r="L54" s="35" t="s">
        <v>75</v>
      </c>
      <c r="M54" s="35" t="s">
        <v>443</v>
      </c>
      <c r="N54" s="47" t="s">
        <v>68</v>
      </c>
      <c r="O54" s="45"/>
      <c r="P54" s="40"/>
    </row>
    <row r="55" spans="1:16" s="41" customFormat="1" ht="30" customHeight="1">
      <c r="A55" s="34"/>
      <c r="B55" s="35"/>
      <c r="C55" s="34"/>
      <c r="D55" s="35"/>
      <c r="E55" s="35"/>
      <c r="F55" s="35"/>
      <c r="G55" s="80" t="s">
        <v>528</v>
      </c>
      <c r="H55" s="35"/>
      <c r="I55" s="35"/>
      <c r="J55" s="80"/>
      <c r="K55" s="35"/>
      <c r="L55" s="35" t="s">
        <v>529</v>
      </c>
      <c r="M55" s="35"/>
      <c r="N55" s="47"/>
      <c r="O55" s="45"/>
      <c r="P55" s="40"/>
    </row>
    <row r="56" spans="1:16" s="41" customFormat="1" ht="30" customHeight="1">
      <c r="A56" s="34"/>
      <c r="B56" s="35"/>
      <c r="C56" s="34"/>
      <c r="D56" s="35"/>
      <c r="E56" s="35"/>
      <c r="F56" s="35"/>
      <c r="G56" s="35" t="s">
        <v>530</v>
      </c>
      <c r="H56" s="35" t="s">
        <v>531</v>
      </c>
      <c r="I56" s="35"/>
      <c r="J56" s="80"/>
      <c r="K56" s="35"/>
      <c r="L56" s="35"/>
      <c r="N56" s="47"/>
      <c r="O56" s="45"/>
      <c r="P56" s="40"/>
    </row>
    <row r="57" spans="1:16" s="41" customFormat="1" ht="30" customHeight="1">
      <c r="A57" s="42">
        <v>50</v>
      </c>
      <c r="B57" s="43" t="s">
        <v>76</v>
      </c>
      <c r="C57" s="42"/>
      <c r="D57" s="43"/>
      <c r="E57" s="43" t="s">
        <v>435</v>
      </c>
      <c r="F57" s="43" t="s">
        <v>13</v>
      </c>
      <c r="G57" s="44"/>
      <c r="H57" s="44"/>
      <c r="I57" s="44"/>
      <c r="J57" s="44"/>
      <c r="K57" s="44"/>
      <c r="L57" s="44"/>
      <c r="M57" s="44"/>
      <c r="N57" s="44"/>
      <c r="O57" s="45"/>
      <c r="P57" s="40"/>
    </row>
    <row r="58" spans="1:16" s="41" customFormat="1" ht="59.25" customHeight="1">
      <c r="A58" s="34">
        <v>51</v>
      </c>
      <c r="B58" s="35" t="s">
        <v>77</v>
      </c>
      <c r="C58" s="34" t="s">
        <v>406</v>
      </c>
      <c r="D58" s="59"/>
      <c r="E58" s="59" t="s">
        <v>432</v>
      </c>
      <c r="F58" s="59"/>
      <c r="G58" s="60" t="s">
        <v>542</v>
      </c>
      <c r="H58" s="59"/>
      <c r="I58" s="35" t="s">
        <v>594</v>
      </c>
      <c r="J58" s="80" t="s">
        <v>462</v>
      </c>
      <c r="K58" s="35" t="s">
        <v>553</v>
      </c>
      <c r="L58" s="59" t="s">
        <v>78</v>
      </c>
      <c r="M58" s="35" t="s">
        <v>554</v>
      </c>
      <c r="N58" s="61" t="s">
        <v>546</v>
      </c>
      <c r="O58" s="45"/>
      <c r="P58" s="40"/>
    </row>
    <row r="59" spans="1:16" s="41" customFormat="1" ht="30" customHeight="1">
      <c r="A59" s="42">
        <v>52</v>
      </c>
      <c r="B59" s="43" t="s">
        <v>80</v>
      </c>
      <c r="C59" s="42"/>
      <c r="D59" s="43"/>
      <c r="E59" s="43" t="s">
        <v>435</v>
      </c>
      <c r="F59" s="43" t="s">
        <v>35</v>
      </c>
      <c r="G59" s="44"/>
      <c r="H59" s="44"/>
      <c r="I59" s="44"/>
      <c r="J59" s="44"/>
      <c r="K59" s="44"/>
      <c r="L59" s="44"/>
      <c r="M59" s="44"/>
      <c r="N59" s="44"/>
      <c r="O59" s="45"/>
      <c r="P59" s="40"/>
    </row>
    <row r="60" spans="1:16" s="41" customFormat="1" ht="30" customHeight="1">
      <c r="A60" s="34">
        <v>53</v>
      </c>
      <c r="B60" s="35" t="s">
        <v>81</v>
      </c>
      <c r="C60" s="34">
        <v>299</v>
      </c>
      <c r="D60" s="35"/>
      <c r="E60" s="35" t="s">
        <v>435</v>
      </c>
      <c r="F60" s="35" t="s">
        <v>13</v>
      </c>
      <c r="G60" s="46"/>
      <c r="H60" s="44"/>
      <c r="I60" s="44"/>
      <c r="J60" s="46"/>
      <c r="K60" s="44"/>
      <c r="L60" s="44"/>
      <c r="M60" s="44"/>
      <c r="N60" s="44"/>
      <c r="O60" s="45"/>
      <c r="P60" s="40"/>
    </row>
    <row r="61" spans="1:16" s="41" customFormat="1" ht="30" customHeight="1">
      <c r="A61" s="34"/>
      <c r="B61" s="35"/>
      <c r="C61" s="34">
        <v>361</v>
      </c>
      <c r="D61" s="35"/>
      <c r="E61" s="35"/>
      <c r="F61" s="35"/>
      <c r="G61" s="46"/>
      <c r="H61" s="44"/>
      <c r="I61" s="44"/>
      <c r="J61" s="46"/>
      <c r="K61" s="44"/>
      <c r="L61" s="44"/>
      <c r="M61" s="44"/>
      <c r="N61" s="44"/>
      <c r="O61" s="45"/>
      <c r="P61" s="40"/>
    </row>
    <row r="62" spans="1:16" s="41" customFormat="1" ht="30" customHeight="1">
      <c r="A62" s="34"/>
      <c r="B62" s="35"/>
      <c r="C62" s="34">
        <v>367</v>
      </c>
      <c r="D62" s="35"/>
      <c r="E62" s="35"/>
      <c r="F62" s="35"/>
      <c r="G62" s="46"/>
      <c r="H62" s="44"/>
      <c r="I62" s="44"/>
      <c r="J62" s="46"/>
      <c r="K62" s="44"/>
      <c r="L62" s="44"/>
      <c r="M62" s="44"/>
      <c r="N62" s="44"/>
      <c r="O62" s="45"/>
      <c r="P62" s="40"/>
    </row>
    <row r="63" spans="1:16" s="41" customFormat="1" ht="48" customHeight="1">
      <c r="A63" s="48">
        <v>54</v>
      </c>
      <c r="B63" s="49" t="s">
        <v>82</v>
      </c>
      <c r="C63" s="48" t="s">
        <v>407</v>
      </c>
      <c r="D63" s="49"/>
      <c r="E63" s="49" t="s">
        <v>432</v>
      </c>
      <c r="F63" s="49"/>
      <c r="G63" s="49" t="s">
        <v>493</v>
      </c>
      <c r="H63" s="49"/>
      <c r="I63" s="49" t="s">
        <v>593</v>
      </c>
      <c r="J63" s="49" t="s">
        <v>462</v>
      </c>
      <c r="K63" s="49" t="s">
        <v>550</v>
      </c>
      <c r="L63" s="49" t="s">
        <v>547</v>
      </c>
      <c r="M63" s="49"/>
      <c r="N63" s="50"/>
      <c r="O63" s="45"/>
      <c r="P63" s="40"/>
    </row>
    <row r="64" spans="1:16" s="41" customFormat="1" ht="33.75" customHeight="1">
      <c r="A64" s="34">
        <v>55</v>
      </c>
      <c r="B64" s="35" t="s">
        <v>83</v>
      </c>
      <c r="C64" s="34"/>
      <c r="D64" s="35"/>
      <c r="E64" s="35" t="s">
        <v>432</v>
      </c>
      <c r="F64" s="35"/>
      <c r="G64" s="35" t="s">
        <v>493</v>
      </c>
      <c r="H64" s="35"/>
      <c r="I64" s="35" t="s">
        <v>593</v>
      </c>
      <c r="J64" s="35" t="s">
        <v>462</v>
      </c>
      <c r="K64" s="35" t="s">
        <v>551</v>
      </c>
      <c r="L64" s="35" t="s">
        <v>547</v>
      </c>
      <c r="M64" s="35"/>
      <c r="N64" s="35"/>
      <c r="O64" s="45">
        <v>1</v>
      </c>
      <c r="P64" s="40"/>
    </row>
    <row r="65" spans="1:16" s="41" customFormat="1" ht="30" customHeight="1">
      <c r="A65" s="42">
        <v>56</v>
      </c>
      <c r="B65" s="43" t="s">
        <v>84</v>
      </c>
      <c r="C65" s="42"/>
      <c r="D65" s="43"/>
      <c r="E65" s="43" t="s">
        <v>435</v>
      </c>
      <c r="F65" s="43" t="s">
        <v>13</v>
      </c>
      <c r="G65" s="44"/>
      <c r="H65" s="44"/>
      <c r="I65" s="44"/>
      <c r="J65" s="44"/>
      <c r="K65" s="44"/>
      <c r="L65" s="44"/>
      <c r="M65" s="44"/>
      <c r="N65" s="44"/>
      <c r="O65" s="45"/>
      <c r="P65" s="40"/>
    </row>
    <row r="66" spans="1:16" s="41" customFormat="1" ht="30" customHeight="1">
      <c r="A66" s="34">
        <v>57</v>
      </c>
      <c r="B66" s="35" t="s">
        <v>85</v>
      </c>
      <c r="C66" s="34"/>
      <c r="D66" s="35"/>
      <c r="E66" s="35" t="s">
        <v>589</v>
      </c>
      <c r="F66" s="35" t="s">
        <v>86</v>
      </c>
      <c r="G66" s="46"/>
      <c r="H66" s="44"/>
      <c r="I66" s="44"/>
      <c r="J66" s="46"/>
      <c r="K66" s="44"/>
      <c r="L66" s="44"/>
      <c r="M66" s="44"/>
      <c r="N66" s="44"/>
      <c r="O66" s="45"/>
      <c r="P66" s="40"/>
    </row>
    <row r="67" spans="1:16" s="41" customFormat="1" ht="30" customHeight="1">
      <c r="A67" s="42">
        <v>58</v>
      </c>
      <c r="B67" s="43" t="s">
        <v>87</v>
      </c>
      <c r="C67" s="42"/>
      <c r="D67" s="43"/>
      <c r="E67" s="43" t="s">
        <v>589</v>
      </c>
      <c r="F67" s="43" t="s">
        <v>86</v>
      </c>
      <c r="G67" s="44"/>
      <c r="H67" s="44"/>
      <c r="I67" s="44"/>
      <c r="J67" s="44"/>
      <c r="K67" s="44"/>
      <c r="L67" s="44"/>
      <c r="M67" s="44"/>
      <c r="N67" s="44"/>
      <c r="O67" s="45"/>
      <c r="P67" s="40"/>
    </row>
    <row r="68" spans="1:16" s="41" customFormat="1" ht="30" customHeight="1">
      <c r="A68" s="34">
        <v>59</v>
      </c>
      <c r="B68" s="35" t="s">
        <v>88</v>
      </c>
      <c r="C68" s="34"/>
      <c r="D68" s="35"/>
      <c r="E68" s="35" t="s">
        <v>589</v>
      </c>
      <c r="F68" s="35" t="s">
        <v>86</v>
      </c>
      <c r="G68" s="46"/>
      <c r="H68" s="44"/>
      <c r="I68" s="44"/>
      <c r="J68" s="46"/>
      <c r="K68" s="44"/>
      <c r="L68" s="44"/>
      <c r="M68" s="44"/>
      <c r="N68" s="44"/>
      <c r="O68" s="45"/>
      <c r="P68" s="40"/>
    </row>
    <row r="69" spans="1:16" s="41" customFormat="1" ht="30" customHeight="1">
      <c r="A69" s="42">
        <v>60</v>
      </c>
      <c r="B69" s="43" t="s">
        <v>89</v>
      </c>
      <c r="C69" s="42"/>
      <c r="D69" s="43"/>
      <c r="E69" s="43" t="s">
        <v>589</v>
      </c>
      <c r="F69" s="43" t="s">
        <v>86</v>
      </c>
      <c r="G69" s="44"/>
      <c r="H69" s="44"/>
      <c r="I69" s="44"/>
      <c r="J69" s="44"/>
      <c r="K69" s="44"/>
      <c r="L69" s="44"/>
      <c r="M69" s="44"/>
      <c r="N69" s="44"/>
      <c r="O69" s="45"/>
      <c r="P69" s="40"/>
    </row>
    <row r="70" spans="1:16" s="41" customFormat="1" ht="63.75" customHeight="1">
      <c r="A70" s="34">
        <v>61</v>
      </c>
      <c r="B70" s="35" t="s">
        <v>90</v>
      </c>
      <c r="C70" s="34"/>
      <c r="D70" s="35"/>
      <c r="E70" s="35" t="s">
        <v>589</v>
      </c>
      <c r="F70" s="35" t="s">
        <v>86</v>
      </c>
      <c r="G70" s="46"/>
      <c r="H70" s="44"/>
      <c r="I70" s="44"/>
      <c r="J70" s="46"/>
      <c r="K70" s="44"/>
      <c r="L70" s="44"/>
      <c r="M70" s="44"/>
      <c r="N70" s="44"/>
      <c r="O70" s="45"/>
      <c r="P70" s="40"/>
    </row>
    <row r="71" spans="1:16" s="41" customFormat="1" ht="45" customHeight="1">
      <c r="A71" s="42">
        <v>62</v>
      </c>
      <c r="B71" s="43" t="s">
        <v>91</v>
      </c>
      <c r="C71" s="42"/>
      <c r="D71" s="43"/>
      <c r="E71" s="43" t="s">
        <v>435</v>
      </c>
      <c r="F71" s="43" t="s">
        <v>86</v>
      </c>
      <c r="G71" s="44"/>
      <c r="H71" s="44"/>
      <c r="I71" s="44"/>
      <c r="J71" s="44"/>
      <c r="K71" s="44"/>
      <c r="L71" s="44"/>
      <c r="M71" s="44"/>
      <c r="N71" s="44"/>
      <c r="O71" s="45"/>
      <c r="P71" s="40"/>
    </row>
    <row r="72" spans="1:16" s="41" customFormat="1" ht="30" customHeight="1">
      <c r="A72" s="34">
        <v>63</v>
      </c>
      <c r="B72" s="35" t="s">
        <v>92</v>
      </c>
      <c r="C72" s="34"/>
      <c r="D72" s="35"/>
      <c r="E72" s="35" t="s">
        <v>435</v>
      </c>
      <c r="F72" s="35" t="s">
        <v>86</v>
      </c>
      <c r="G72" s="46"/>
      <c r="H72" s="44"/>
      <c r="I72" s="44"/>
      <c r="J72" s="46"/>
      <c r="K72" s="44"/>
      <c r="L72" s="44"/>
      <c r="M72" s="44"/>
      <c r="N72" s="44"/>
      <c r="O72" s="45"/>
      <c r="P72" s="40"/>
    </row>
    <row r="73" spans="1:16" s="41" customFormat="1" ht="30" customHeight="1">
      <c r="A73" s="42">
        <v>64</v>
      </c>
      <c r="B73" s="43" t="s">
        <v>93</v>
      </c>
      <c r="C73" s="42"/>
      <c r="D73" s="43"/>
      <c r="E73" s="43" t="s">
        <v>435</v>
      </c>
      <c r="F73" s="43" t="s">
        <v>35</v>
      </c>
      <c r="G73" s="44"/>
      <c r="H73" s="44"/>
      <c r="I73" s="44"/>
      <c r="J73" s="44"/>
      <c r="K73" s="44"/>
      <c r="L73" s="44"/>
      <c r="M73" s="44"/>
      <c r="N73" s="44"/>
      <c r="O73" s="45"/>
      <c r="P73" s="40"/>
    </row>
    <row r="74" spans="1:16" s="41" customFormat="1" ht="30" customHeight="1">
      <c r="A74" s="34">
        <v>65</v>
      </c>
      <c r="B74" s="35" t="s">
        <v>94</v>
      </c>
      <c r="C74" s="34"/>
      <c r="D74" s="35"/>
      <c r="E74" s="35" t="s">
        <v>435</v>
      </c>
      <c r="F74" s="35" t="s">
        <v>35</v>
      </c>
      <c r="G74" s="46"/>
      <c r="H74" s="44"/>
      <c r="I74" s="44"/>
      <c r="J74" s="46"/>
      <c r="K74" s="44"/>
      <c r="L74" s="44"/>
      <c r="M74" s="44"/>
      <c r="N74" s="44"/>
      <c r="O74" s="45"/>
      <c r="P74" s="40"/>
    </row>
    <row r="75" spans="1:16" s="41" customFormat="1" ht="30" customHeight="1">
      <c r="A75" s="42">
        <v>66</v>
      </c>
      <c r="B75" s="43" t="s">
        <v>95</v>
      </c>
      <c r="C75" s="42"/>
      <c r="D75" s="43"/>
      <c r="E75" s="43" t="s">
        <v>435</v>
      </c>
      <c r="F75" s="43" t="s">
        <v>35</v>
      </c>
      <c r="G75" s="44"/>
      <c r="H75" s="44"/>
      <c r="I75" s="44"/>
      <c r="J75" s="44"/>
      <c r="K75" s="44"/>
      <c r="L75" s="44"/>
      <c r="M75" s="44"/>
      <c r="N75" s="44"/>
      <c r="O75" s="45"/>
      <c r="P75" s="40"/>
    </row>
    <row r="76" spans="1:16" s="41" customFormat="1" ht="30" customHeight="1">
      <c r="A76" s="34">
        <v>67</v>
      </c>
      <c r="B76" s="35" t="s">
        <v>96</v>
      </c>
      <c r="C76" s="34"/>
      <c r="D76" s="35"/>
      <c r="E76" s="35" t="s">
        <v>435</v>
      </c>
      <c r="F76" s="35" t="s">
        <v>35</v>
      </c>
      <c r="G76" s="46"/>
      <c r="H76" s="44"/>
      <c r="I76" s="44"/>
      <c r="J76" s="46"/>
      <c r="K76" s="44"/>
      <c r="L76" s="44"/>
      <c r="M76" s="44"/>
      <c r="N76" s="44"/>
      <c r="O76" s="45"/>
      <c r="P76" s="40"/>
    </row>
    <row r="77" spans="1:16" s="41" customFormat="1" ht="30" customHeight="1">
      <c r="A77" s="42">
        <v>68</v>
      </c>
      <c r="B77" s="43" t="s">
        <v>97</v>
      </c>
      <c r="C77" s="42"/>
      <c r="D77" s="43"/>
      <c r="E77" s="43" t="s">
        <v>435</v>
      </c>
      <c r="F77" s="43" t="s">
        <v>35</v>
      </c>
      <c r="G77" s="44"/>
      <c r="H77" s="44"/>
      <c r="I77" s="44"/>
      <c r="J77" s="44"/>
      <c r="K77" s="44"/>
      <c r="L77" s="44"/>
      <c r="M77" s="44"/>
      <c r="N77" s="44"/>
      <c r="O77" s="45"/>
      <c r="P77" s="40"/>
    </row>
    <row r="78" spans="1:16" s="41" customFormat="1" ht="63.75" customHeight="1">
      <c r="A78" s="34">
        <v>69</v>
      </c>
      <c r="B78" s="35" t="s">
        <v>98</v>
      </c>
      <c r="C78" s="34"/>
      <c r="D78" s="35"/>
      <c r="E78" s="35" t="s">
        <v>435</v>
      </c>
      <c r="F78" s="35" t="s">
        <v>35</v>
      </c>
      <c r="G78" s="46"/>
      <c r="H78" s="44"/>
      <c r="I78" s="44"/>
      <c r="J78" s="46"/>
      <c r="K78" s="44"/>
      <c r="L78" s="44"/>
      <c r="M78" s="44"/>
      <c r="N78" s="44"/>
      <c r="O78" s="45"/>
      <c r="P78" s="40"/>
    </row>
    <row r="79" spans="1:16" s="41" customFormat="1" ht="51.75" customHeight="1">
      <c r="A79" s="42">
        <v>70</v>
      </c>
      <c r="B79" s="43" t="s">
        <v>99</v>
      </c>
      <c r="C79" s="42"/>
      <c r="D79" s="43"/>
      <c r="E79" s="43" t="s">
        <v>435</v>
      </c>
      <c r="F79" s="43" t="s">
        <v>35</v>
      </c>
      <c r="G79" s="44"/>
      <c r="H79" s="44"/>
      <c r="I79" s="44"/>
      <c r="J79" s="44"/>
      <c r="K79" s="44"/>
      <c r="L79" s="44"/>
      <c r="M79" s="44"/>
      <c r="N79" s="44"/>
      <c r="O79" s="45"/>
      <c r="P79" s="40"/>
    </row>
    <row r="80" spans="1:16" s="41" customFormat="1" ht="30" customHeight="1">
      <c r="A80" s="34">
        <v>71</v>
      </c>
      <c r="B80" s="35" t="s">
        <v>100</v>
      </c>
      <c r="C80" s="34"/>
      <c r="D80" s="35" t="s">
        <v>42</v>
      </c>
      <c r="E80" s="35" t="s">
        <v>435</v>
      </c>
      <c r="F80" s="35" t="s">
        <v>35</v>
      </c>
      <c r="G80" s="46"/>
      <c r="H80" s="44"/>
      <c r="I80" s="44"/>
      <c r="J80" s="46"/>
      <c r="K80" s="44"/>
      <c r="L80" s="44"/>
      <c r="M80" s="44"/>
      <c r="N80" s="44"/>
      <c r="O80" s="45"/>
      <c r="P80" s="40"/>
    </row>
    <row r="81" spans="1:16" s="41" customFormat="1" ht="30" customHeight="1">
      <c r="A81" s="42">
        <v>72</v>
      </c>
      <c r="B81" s="43" t="s">
        <v>101</v>
      </c>
      <c r="C81" s="42"/>
      <c r="D81" s="43"/>
      <c r="E81" s="43" t="s">
        <v>435</v>
      </c>
      <c r="F81" s="43" t="s">
        <v>35</v>
      </c>
      <c r="G81" s="44"/>
      <c r="H81" s="44"/>
      <c r="I81" s="44"/>
      <c r="J81" s="44"/>
      <c r="K81" s="44"/>
      <c r="L81" s="44"/>
      <c r="M81" s="44"/>
      <c r="N81" s="44"/>
      <c r="O81" s="45"/>
      <c r="P81" s="40"/>
    </row>
    <row r="82" spans="1:16" s="41" customFormat="1" ht="30" customHeight="1">
      <c r="A82" s="34">
        <v>73</v>
      </c>
      <c r="B82" s="35" t="s">
        <v>102</v>
      </c>
      <c r="C82" s="34"/>
      <c r="D82" s="35"/>
      <c r="E82" s="35" t="s">
        <v>428</v>
      </c>
      <c r="F82" s="35" t="s">
        <v>532</v>
      </c>
      <c r="G82" s="46"/>
      <c r="H82" s="46"/>
      <c r="I82" s="46"/>
      <c r="J82" s="46"/>
      <c r="K82" s="46"/>
      <c r="L82" s="46"/>
      <c r="M82" s="46"/>
      <c r="N82" s="46"/>
      <c r="O82" s="45"/>
      <c r="P82" s="40"/>
    </row>
    <row r="83" spans="1:16" s="41" customFormat="1" ht="30" customHeight="1">
      <c r="A83" s="42">
        <v>74</v>
      </c>
      <c r="B83" s="43" t="s">
        <v>103</v>
      </c>
      <c r="C83" s="42">
        <v>287</v>
      </c>
      <c r="D83" s="43"/>
      <c r="E83" s="43" t="s">
        <v>428</v>
      </c>
      <c r="F83" s="43" t="s">
        <v>533</v>
      </c>
      <c r="G83" s="46"/>
      <c r="H83" s="46"/>
      <c r="I83" s="46"/>
      <c r="J83" s="46"/>
      <c r="K83" s="46"/>
      <c r="L83" s="46"/>
      <c r="M83" s="46"/>
      <c r="N83" s="46"/>
      <c r="O83" s="45"/>
      <c r="P83" s="40"/>
    </row>
    <row r="84" spans="1:16" s="41" customFormat="1" ht="30" customHeight="1">
      <c r="A84" s="34">
        <v>75</v>
      </c>
      <c r="B84" s="35" t="s">
        <v>104</v>
      </c>
      <c r="C84" s="62" t="s">
        <v>408</v>
      </c>
      <c r="D84" s="59"/>
      <c r="E84" s="59" t="s">
        <v>432</v>
      </c>
      <c r="F84" s="59"/>
      <c r="G84" s="60" t="s">
        <v>105</v>
      </c>
      <c r="H84" s="59" t="s">
        <v>440</v>
      </c>
      <c r="I84" s="59" t="s">
        <v>595</v>
      </c>
      <c r="J84" s="60" t="s">
        <v>468</v>
      </c>
      <c r="K84" s="59"/>
      <c r="L84" s="60" t="s">
        <v>105</v>
      </c>
      <c r="M84" s="60" t="s">
        <v>506</v>
      </c>
      <c r="N84" s="60" t="s">
        <v>501</v>
      </c>
      <c r="O84" s="45"/>
      <c r="P84" s="40"/>
    </row>
    <row r="85" spans="1:16" s="41" customFormat="1" ht="30" customHeight="1">
      <c r="A85" s="48">
        <v>76</v>
      </c>
      <c r="B85" s="49" t="s">
        <v>106</v>
      </c>
      <c r="C85" s="63"/>
      <c r="D85" s="64"/>
      <c r="E85" s="64" t="s">
        <v>431</v>
      </c>
      <c r="F85" s="64"/>
      <c r="G85" s="29" t="s">
        <v>577</v>
      </c>
      <c r="H85" s="64" t="s">
        <v>440</v>
      </c>
      <c r="I85" s="64" t="s">
        <v>594</v>
      </c>
      <c r="J85" s="29" t="s">
        <v>468</v>
      </c>
      <c r="K85" s="64"/>
      <c r="L85" s="29" t="s">
        <v>577</v>
      </c>
      <c r="M85" s="49" t="s">
        <v>506</v>
      </c>
      <c r="N85" s="50" t="s">
        <v>501</v>
      </c>
      <c r="O85" s="45"/>
      <c r="P85" s="40"/>
    </row>
    <row r="86" spans="1:16" s="41" customFormat="1" ht="76.5">
      <c r="A86" s="34">
        <v>77</v>
      </c>
      <c r="B86" s="81" t="s">
        <v>107</v>
      </c>
      <c r="C86" s="80" t="s">
        <v>502</v>
      </c>
      <c r="D86" s="35" t="s">
        <v>503</v>
      </c>
      <c r="E86" s="35" t="s">
        <v>431</v>
      </c>
      <c r="F86" s="35"/>
      <c r="G86" s="82" t="s">
        <v>570</v>
      </c>
      <c r="H86" s="35" t="s">
        <v>504</v>
      </c>
      <c r="I86" s="35" t="s">
        <v>595</v>
      </c>
      <c r="J86" s="80" t="s">
        <v>459</v>
      </c>
      <c r="K86" s="35" t="s">
        <v>581</v>
      </c>
      <c r="L86" s="35" t="s">
        <v>505</v>
      </c>
      <c r="M86" s="35" t="s">
        <v>506</v>
      </c>
      <c r="N86" s="47" t="s">
        <v>501</v>
      </c>
      <c r="O86" s="40"/>
    </row>
    <row r="87" spans="1:16" s="41" customFormat="1" ht="89.25">
      <c r="A87" s="48">
        <v>78</v>
      </c>
      <c r="B87" s="49" t="s">
        <v>108</v>
      </c>
      <c r="C87" s="29" t="s">
        <v>507</v>
      </c>
      <c r="D87" s="29" t="s">
        <v>508</v>
      </c>
      <c r="E87" s="49" t="s">
        <v>431</v>
      </c>
      <c r="F87" s="49"/>
      <c r="G87" s="29" t="s">
        <v>571</v>
      </c>
      <c r="H87" s="49" t="s">
        <v>504</v>
      </c>
      <c r="I87" s="49" t="s">
        <v>595</v>
      </c>
      <c r="J87" s="29" t="s">
        <v>468</v>
      </c>
      <c r="K87" s="49"/>
      <c r="L87" s="29" t="s">
        <v>572</v>
      </c>
      <c r="M87" s="49" t="s">
        <v>506</v>
      </c>
      <c r="N87" s="50" t="s">
        <v>501</v>
      </c>
      <c r="O87" s="40"/>
    </row>
    <row r="88" spans="1:16" s="41" customFormat="1" ht="78.75" customHeight="1">
      <c r="A88" s="34">
        <v>79</v>
      </c>
      <c r="B88" s="35" t="s">
        <v>109</v>
      </c>
      <c r="C88" s="34"/>
      <c r="D88" s="35"/>
      <c r="E88" s="35" t="s">
        <v>435</v>
      </c>
      <c r="F88" s="35" t="s">
        <v>110</v>
      </c>
      <c r="G88" s="46"/>
      <c r="H88" s="44"/>
      <c r="I88" s="44"/>
      <c r="J88" s="46"/>
      <c r="K88" s="44"/>
      <c r="L88" s="44"/>
      <c r="M88" s="44"/>
      <c r="N88" s="44"/>
      <c r="O88" s="45"/>
      <c r="P88" s="40"/>
    </row>
    <row r="89" spans="1:16" s="41" customFormat="1" ht="30" customHeight="1">
      <c r="A89" s="42">
        <v>80</v>
      </c>
      <c r="B89" s="43" t="s">
        <v>111</v>
      </c>
      <c r="C89" s="65">
        <v>55</v>
      </c>
      <c r="D89" s="43" t="s">
        <v>509</v>
      </c>
      <c r="E89" s="43" t="s">
        <v>431</v>
      </c>
      <c r="F89" s="43"/>
      <c r="G89" s="29" t="s">
        <v>571</v>
      </c>
      <c r="H89" s="43" t="s">
        <v>504</v>
      </c>
      <c r="I89" s="43" t="s">
        <v>595</v>
      </c>
      <c r="J89" s="65" t="s">
        <v>468</v>
      </c>
      <c r="K89" s="43"/>
      <c r="L89" s="29" t="s">
        <v>572</v>
      </c>
      <c r="M89" s="43" t="s">
        <v>506</v>
      </c>
      <c r="N89" s="66" t="s">
        <v>501</v>
      </c>
      <c r="O89" s="40"/>
    </row>
    <row r="90" spans="1:16" s="41" customFormat="1" ht="38.25">
      <c r="A90" s="34">
        <v>81</v>
      </c>
      <c r="B90" s="35" t="s">
        <v>112</v>
      </c>
      <c r="C90" s="80" t="s">
        <v>511</v>
      </c>
      <c r="D90" s="35" t="s">
        <v>512</v>
      </c>
      <c r="E90" s="35" t="s">
        <v>431</v>
      </c>
      <c r="F90" s="35"/>
      <c r="G90" s="204" t="s">
        <v>573</v>
      </c>
      <c r="H90" s="206" t="s">
        <v>504</v>
      </c>
      <c r="I90" s="35" t="s">
        <v>595</v>
      </c>
      <c r="J90" s="208" t="s">
        <v>468</v>
      </c>
      <c r="K90" s="35"/>
      <c r="L90" s="209" t="s">
        <v>570</v>
      </c>
      <c r="M90" s="35" t="s">
        <v>506</v>
      </c>
      <c r="N90" s="47" t="s">
        <v>501</v>
      </c>
      <c r="O90" s="40"/>
    </row>
    <row r="91" spans="1:16" s="41" customFormat="1" ht="33" customHeight="1">
      <c r="A91" s="34"/>
      <c r="B91" s="35"/>
      <c r="C91" s="34"/>
      <c r="D91" s="35"/>
      <c r="E91" s="35" t="s">
        <v>431</v>
      </c>
      <c r="F91" s="35"/>
      <c r="G91" s="205"/>
      <c r="H91" s="207"/>
      <c r="I91" s="35"/>
      <c r="J91" s="205"/>
      <c r="K91" s="35"/>
      <c r="L91" s="210"/>
      <c r="M91" s="35"/>
      <c r="N91" s="47"/>
      <c r="O91" s="40"/>
    </row>
    <row r="92" spans="1:16" s="41" customFormat="1" ht="102.75" customHeight="1">
      <c r="A92" s="48">
        <v>82</v>
      </c>
      <c r="B92" s="49" t="s">
        <v>113</v>
      </c>
      <c r="C92" s="48" t="s">
        <v>409</v>
      </c>
      <c r="D92" s="49"/>
      <c r="E92" s="49" t="s">
        <v>431</v>
      </c>
      <c r="F92" s="49"/>
      <c r="G92" s="29" t="s">
        <v>513</v>
      </c>
      <c r="H92" s="49"/>
      <c r="I92" s="49" t="s">
        <v>595</v>
      </c>
      <c r="J92" s="29" t="s">
        <v>459</v>
      </c>
      <c r="K92" s="49" t="s">
        <v>596</v>
      </c>
      <c r="L92" s="29" t="s">
        <v>513</v>
      </c>
      <c r="M92" s="49"/>
      <c r="N92" s="50"/>
      <c r="O92" s="40"/>
    </row>
    <row r="93" spans="1:16" s="41" customFormat="1" ht="37.5" customHeight="1">
      <c r="A93" s="34">
        <v>83</v>
      </c>
      <c r="B93" s="35" t="s">
        <v>115</v>
      </c>
      <c r="C93" s="34"/>
      <c r="D93" s="35" t="s">
        <v>514</v>
      </c>
      <c r="E93" s="35" t="s">
        <v>431</v>
      </c>
      <c r="F93" s="35"/>
      <c r="G93" s="80" t="s">
        <v>515</v>
      </c>
      <c r="H93" s="35"/>
      <c r="I93" s="35" t="s">
        <v>594</v>
      </c>
      <c r="J93" s="80" t="s">
        <v>459</v>
      </c>
      <c r="K93" s="35" t="s">
        <v>516</v>
      </c>
      <c r="L93" s="35" t="s">
        <v>517</v>
      </c>
      <c r="M93" s="35" t="s">
        <v>506</v>
      </c>
      <c r="N93" s="47"/>
      <c r="O93" s="40"/>
    </row>
    <row r="94" spans="1:16" s="41" customFormat="1" ht="35.25" customHeight="1">
      <c r="A94" s="42">
        <v>84</v>
      </c>
      <c r="B94" s="43" t="s">
        <v>116</v>
      </c>
      <c r="C94" s="42"/>
      <c r="D94" s="43"/>
      <c r="E94" s="43" t="s">
        <v>431</v>
      </c>
      <c r="F94" s="43"/>
      <c r="G94" s="65" t="s">
        <v>517</v>
      </c>
      <c r="H94" s="43"/>
      <c r="I94" s="43" t="s">
        <v>595</v>
      </c>
      <c r="J94" s="65" t="s">
        <v>459</v>
      </c>
      <c r="K94" s="43"/>
      <c r="L94" s="43" t="s">
        <v>517</v>
      </c>
      <c r="M94" s="43" t="s">
        <v>506</v>
      </c>
      <c r="N94" s="66"/>
      <c r="O94" s="40"/>
    </row>
    <row r="95" spans="1:16" s="41" customFormat="1" ht="35.25" customHeight="1">
      <c r="A95" s="34">
        <v>85</v>
      </c>
      <c r="B95" s="35" t="s">
        <v>117</v>
      </c>
      <c r="C95" s="34"/>
      <c r="D95" s="35"/>
      <c r="E95" s="35" t="s">
        <v>431</v>
      </c>
      <c r="F95" s="35" t="s">
        <v>518</v>
      </c>
      <c r="G95" s="44"/>
      <c r="H95" s="44"/>
      <c r="I95" s="44"/>
      <c r="J95" s="44"/>
      <c r="K95" s="44"/>
      <c r="L95" s="44"/>
      <c r="M95" s="44"/>
      <c r="N95" s="44"/>
      <c r="O95" s="40"/>
    </row>
    <row r="96" spans="1:16" s="41" customFormat="1" ht="30" customHeight="1">
      <c r="A96" s="42">
        <v>86</v>
      </c>
      <c r="B96" s="43" t="s">
        <v>76</v>
      </c>
      <c r="C96" s="42"/>
      <c r="D96" s="43"/>
      <c r="E96" s="43" t="s">
        <v>431</v>
      </c>
      <c r="F96" s="43" t="s">
        <v>13</v>
      </c>
      <c r="G96" s="44"/>
      <c r="H96" s="44"/>
      <c r="I96" s="44"/>
      <c r="J96" s="44"/>
      <c r="K96" s="44"/>
      <c r="L96" s="44"/>
      <c r="M96" s="44"/>
      <c r="N96" s="44"/>
      <c r="O96" s="45"/>
      <c r="P96" s="40"/>
    </row>
    <row r="97" spans="1:16" s="41" customFormat="1" ht="127.5">
      <c r="A97" s="34">
        <v>87</v>
      </c>
      <c r="B97" s="35" t="s">
        <v>118</v>
      </c>
      <c r="C97" s="34"/>
      <c r="D97" s="35"/>
      <c r="E97" s="35" t="s">
        <v>438</v>
      </c>
      <c r="F97" s="35"/>
      <c r="G97" s="80" t="s">
        <v>611</v>
      </c>
      <c r="H97" s="35" t="s">
        <v>552</v>
      </c>
      <c r="I97" s="35" t="s">
        <v>595</v>
      </c>
      <c r="J97" s="80" t="s">
        <v>459</v>
      </c>
      <c r="K97" s="35" t="s">
        <v>558</v>
      </c>
      <c r="L97" s="35" t="s">
        <v>601</v>
      </c>
      <c r="M97" s="35" t="s">
        <v>539</v>
      </c>
      <c r="N97" s="47" t="s">
        <v>501</v>
      </c>
      <c r="O97" s="45"/>
      <c r="P97" s="40"/>
    </row>
    <row r="98" spans="1:16" s="41" customFormat="1" ht="127.5">
      <c r="A98" s="48">
        <v>88</v>
      </c>
      <c r="B98" s="49" t="s">
        <v>120</v>
      </c>
      <c r="C98" s="48">
        <v>68</v>
      </c>
      <c r="D98" s="49"/>
      <c r="E98" s="49" t="s">
        <v>438</v>
      </c>
      <c r="F98" s="49"/>
      <c r="G98" s="29" t="s">
        <v>611</v>
      </c>
      <c r="H98" s="49" t="s">
        <v>552</v>
      </c>
      <c r="I98" s="49" t="s">
        <v>595</v>
      </c>
      <c r="J98" s="29" t="s">
        <v>459</v>
      </c>
      <c r="K98" s="49" t="s">
        <v>558</v>
      </c>
      <c r="L98" s="49" t="s">
        <v>601</v>
      </c>
      <c r="M98" s="49" t="s">
        <v>539</v>
      </c>
      <c r="N98" s="50" t="s">
        <v>501</v>
      </c>
      <c r="O98" s="45"/>
      <c r="P98" s="40"/>
    </row>
    <row r="99" spans="1:16" s="41" customFormat="1" ht="30" customHeight="1">
      <c r="A99" s="34">
        <v>89</v>
      </c>
      <c r="B99" s="35" t="s">
        <v>121</v>
      </c>
      <c r="C99" s="34"/>
      <c r="D99" s="35" t="s">
        <v>122</v>
      </c>
      <c r="E99" s="35" t="s">
        <v>435</v>
      </c>
      <c r="F99" s="35" t="s">
        <v>123</v>
      </c>
      <c r="G99" s="46"/>
      <c r="H99" s="44"/>
      <c r="I99" s="44"/>
      <c r="J99" s="46"/>
      <c r="K99" s="44"/>
      <c r="L99" s="44"/>
      <c r="M99" s="44"/>
      <c r="N99" s="44"/>
      <c r="O99" s="45"/>
      <c r="P99" s="40"/>
    </row>
    <row r="100" spans="1:16" s="41" customFormat="1" ht="30" customHeight="1">
      <c r="A100" s="48">
        <v>90</v>
      </c>
      <c r="B100" s="49" t="s">
        <v>124</v>
      </c>
      <c r="C100" s="48" t="s">
        <v>444</v>
      </c>
      <c r="D100" s="49" t="s">
        <v>122</v>
      </c>
      <c r="E100" s="49" t="s">
        <v>435</v>
      </c>
      <c r="F100" s="49" t="s">
        <v>123</v>
      </c>
      <c r="G100" s="38"/>
      <c r="H100" s="44"/>
      <c r="I100" s="44"/>
      <c r="J100" s="38"/>
      <c r="K100" s="44"/>
      <c r="L100" s="44"/>
      <c r="M100" s="44"/>
      <c r="N100" s="44"/>
      <c r="O100" s="45"/>
      <c r="P100" s="40"/>
    </row>
    <row r="101" spans="1:16" s="41" customFormat="1" ht="127.5">
      <c r="A101" s="34">
        <v>91</v>
      </c>
      <c r="B101" s="35" t="s">
        <v>125</v>
      </c>
      <c r="C101" s="34"/>
      <c r="D101" s="35"/>
      <c r="E101" s="35" t="s">
        <v>438</v>
      </c>
      <c r="F101" s="35"/>
      <c r="G101" s="80" t="s">
        <v>611</v>
      </c>
      <c r="H101" s="35" t="s">
        <v>552</v>
      </c>
      <c r="I101" s="35" t="s">
        <v>595</v>
      </c>
      <c r="J101" s="80" t="s">
        <v>459</v>
      </c>
      <c r="K101" s="35" t="s">
        <v>558</v>
      </c>
      <c r="L101" s="35" t="s">
        <v>601</v>
      </c>
      <c r="M101" s="35" t="s">
        <v>539</v>
      </c>
      <c r="N101" s="47" t="s">
        <v>501</v>
      </c>
      <c r="O101" s="45"/>
      <c r="P101" s="40"/>
    </row>
    <row r="102" spans="1:16" s="41" customFormat="1" ht="30" customHeight="1">
      <c r="A102" s="42">
        <v>92</v>
      </c>
      <c r="B102" s="43" t="s">
        <v>76</v>
      </c>
      <c r="C102" s="42">
        <v>68</v>
      </c>
      <c r="D102" s="43"/>
      <c r="E102" s="43" t="s">
        <v>435</v>
      </c>
      <c r="F102" s="43" t="s">
        <v>13</v>
      </c>
      <c r="G102" s="44"/>
      <c r="H102" s="44"/>
      <c r="I102" s="44"/>
      <c r="J102" s="44"/>
      <c r="K102" s="44"/>
      <c r="L102" s="44"/>
      <c r="M102" s="44"/>
      <c r="N102" s="44"/>
      <c r="O102" s="45"/>
      <c r="P102" s="40"/>
    </row>
    <row r="103" spans="1:16" s="41" customFormat="1" ht="127.5">
      <c r="A103" s="34">
        <v>93</v>
      </c>
      <c r="B103" s="35" t="s">
        <v>126</v>
      </c>
      <c r="C103" s="34" t="s">
        <v>445</v>
      </c>
      <c r="D103" s="35" t="s">
        <v>559</v>
      </c>
      <c r="E103" s="35" t="s">
        <v>438</v>
      </c>
      <c r="F103" s="35"/>
      <c r="G103" s="80" t="s">
        <v>611</v>
      </c>
      <c r="H103" s="35" t="s">
        <v>552</v>
      </c>
      <c r="I103" s="35" t="s">
        <v>595</v>
      </c>
      <c r="J103" s="80" t="s">
        <v>459</v>
      </c>
      <c r="K103" s="35" t="s">
        <v>558</v>
      </c>
      <c r="L103" s="35" t="s">
        <v>601</v>
      </c>
      <c r="M103" s="35" t="s">
        <v>539</v>
      </c>
      <c r="N103" s="47" t="s">
        <v>501</v>
      </c>
      <c r="O103" s="45"/>
      <c r="P103" s="40"/>
    </row>
    <row r="104" spans="1:16" s="41" customFormat="1" ht="114.75">
      <c r="A104" s="48">
        <v>94</v>
      </c>
      <c r="B104" s="49" t="s">
        <v>128</v>
      </c>
      <c r="C104" s="48" t="s">
        <v>445</v>
      </c>
      <c r="D104" s="49" t="s">
        <v>560</v>
      </c>
      <c r="E104" s="49" t="s">
        <v>438</v>
      </c>
      <c r="F104" s="49"/>
      <c r="G104" s="29" t="s">
        <v>612</v>
      </c>
      <c r="H104" s="49" t="s">
        <v>552</v>
      </c>
      <c r="I104" s="49" t="s">
        <v>595</v>
      </c>
      <c r="J104" s="29" t="s">
        <v>459</v>
      </c>
      <c r="K104" s="49" t="s">
        <v>558</v>
      </c>
      <c r="L104" s="49" t="s">
        <v>601</v>
      </c>
      <c r="M104" s="49" t="s">
        <v>539</v>
      </c>
      <c r="N104" s="50" t="s">
        <v>501</v>
      </c>
      <c r="O104" s="45"/>
      <c r="P104" s="40"/>
    </row>
    <row r="105" spans="1:16" s="41" customFormat="1" ht="127.5">
      <c r="A105" s="34">
        <v>95</v>
      </c>
      <c r="B105" s="35" t="s">
        <v>129</v>
      </c>
      <c r="C105" s="34" t="s">
        <v>445</v>
      </c>
      <c r="D105" s="35" t="s">
        <v>560</v>
      </c>
      <c r="E105" s="35" t="s">
        <v>438</v>
      </c>
      <c r="F105" s="35"/>
      <c r="G105" s="80" t="s">
        <v>611</v>
      </c>
      <c r="H105" s="35" t="s">
        <v>552</v>
      </c>
      <c r="I105" s="35" t="s">
        <v>595</v>
      </c>
      <c r="J105" s="80" t="s">
        <v>459</v>
      </c>
      <c r="K105" s="35" t="s">
        <v>558</v>
      </c>
      <c r="L105" s="35" t="s">
        <v>601</v>
      </c>
      <c r="M105" s="35" t="s">
        <v>539</v>
      </c>
      <c r="N105" s="47" t="s">
        <v>501</v>
      </c>
      <c r="O105" s="45"/>
      <c r="P105" s="40"/>
    </row>
    <row r="106" spans="1:16" s="41" customFormat="1" ht="127.5">
      <c r="A106" s="48">
        <v>96</v>
      </c>
      <c r="B106" s="49" t="s">
        <v>130</v>
      </c>
      <c r="C106" s="48">
        <v>80</v>
      </c>
      <c r="D106" s="49" t="s">
        <v>122</v>
      </c>
      <c r="E106" s="49" t="s">
        <v>438</v>
      </c>
      <c r="F106" s="49"/>
      <c r="G106" s="29" t="s">
        <v>611</v>
      </c>
      <c r="H106" s="49" t="s">
        <v>552</v>
      </c>
      <c r="I106" s="49" t="s">
        <v>595</v>
      </c>
      <c r="J106" s="29" t="s">
        <v>459</v>
      </c>
      <c r="K106" s="49" t="s">
        <v>558</v>
      </c>
      <c r="L106" s="49" t="s">
        <v>601</v>
      </c>
      <c r="M106" s="49" t="s">
        <v>539</v>
      </c>
      <c r="N106" s="50" t="s">
        <v>501</v>
      </c>
      <c r="O106" s="45"/>
      <c r="P106" s="40"/>
    </row>
    <row r="107" spans="1:16" s="41" customFormat="1" ht="30" customHeight="1">
      <c r="A107" s="34">
        <v>97</v>
      </c>
      <c r="B107" s="35" t="s">
        <v>76</v>
      </c>
      <c r="C107" s="34"/>
      <c r="D107" s="35"/>
      <c r="E107" s="35" t="s">
        <v>435</v>
      </c>
      <c r="F107" s="35" t="s">
        <v>13</v>
      </c>
      <c r="G107" s="46"/>
      <c r="H107" s="44"/>
      <c r="I107" s="44"/>
      <c r="J107" s="46"/>
      <c r="K107" s="44"/>
      <c r="L107" s="44"/>
      <c r="M107" s="44"/>
      <c r="N107" s="44"/>
      <c r="O107" s="45"/>
      <c r="P107" s="40"/>
    </row>
    <row r="108" spans="1:16" s="41" customFormat="1" ht="30" customHeight="1">
      <c r="A108" s="42">
        <v>98</v>
      </c>
      <c r="B108" s="43" t="s">
        <v>131</v>
      </c>
      <c r="C108" s="42" t="s">
        <v>446</v>
      </c>
      <c r="D108" s="43"/>
      <c r="E108" s="43" t="s">
        <v>438</v>
      </c>
      <c r="F108" s="43"/>
      <c r="G108" s="29" t="s">
        <v>557</v>
      </c>
      <c r="H108" s="49" t="s">
        <v>552</v>
      </c>
      <c r="I108" s="49" t="s">
        <v>595</v>
      </c>
      <c r="J108" s="29" t="s">
        <v>459</v>
      </c>
      <c r="K108" s="49" t="s">
        <v>558</v>
      </c>
      <c r="L108" s="49" t="s">
        <v>556</v>
      </c>
      <c r="M108" s="49" t="s">
        <v>539</v>
      </c>
      <c r="N108" s="50" t="s">
        <v>501</v>
      </c>
      <c r="O108" s="45"/>
      <c r="P108" s="40"/>
    </row>
    <row r="109" spans="1:16" s="41" customFormat="1" ht="30" customHeight="1">
      <c r="A109" s="34">
        <v>99</v>
      </c>
      <c r="B109" s="35" t="s">
        <v>76</v>
      </c>
      <c r="C109" s="34" t="s">
        <v>410</v>
      </c>
      <c r="D109" s="80" t="s">
        <v>132</v>
      </c>
      <c r="E109" s="80" t="s">
        <v>435</v>
      </c>
      <c r="F109" s="80" t="s">
        <v>13</v>
      </c>
      <c r="G109" s="46"/>
      <c r="H109" s="44"/>
      <c r="I109" s="44"/>
      <c r="J109" s="46"/>
      <c r="K109" s="44"/>
      <c r="L109" s="44"/>
      <c r="M109" s="44"/>
      <c r="N109" s="44"/>
      <c r="O109" s="45"/>
      <c r="P109" s="40"/>
    </row>
    <row r="110" spans="1:16" s="41" customFormat="1" ht="30" customHeight="1">
      <c r="A110" s="34"/>
      <c r="B110" s="35"/>
      <c r="C110" s="34"/>
      <c r="D110" s="35"/>
      <c r="E110" s="35"/>
      <c r="F110" s="35"/>
      <c r="G110" s="46"/>
      <c r="H110" s="44"/>
      <c r="I110" s="44"/>
      <c r="J110" s="46"/>
      <c r="K110" s="44"/>
      <c r="L110" s="44"/>
      <c r="M110" s="44"/>
      <c r="N110" s="44"/>
      <c r="O110" s="45"/>
      <c r="P110" s="40"/>
    </row>
    <row r="111" spans="1:16" s="41" customFormat="1" ht="30" customHeight="1">
      <c r="A111" s="42">
        <v>100</v>
      </c>
      <c r="B111" s="43" t="s">
        <v>106</v>
      </c>
      <c r="C111" s="42"/>
      <c r="D111" s="43"/>
      <c r="E111" s="43" t="s">
        <v>438</v>
      </c>
      <c r="F111" s="43"/>
      <c r="G111" s="65" t="s">
        <v>127</v>
      </c>
      <c r="H111" s="43"/>
      <c r="I111" s="43" t="s">
        <v>595</v>
      </c>
      <c r="J111" s="65" t="s">
        <v>468</v>
      </c>
      <c r="K111" s="43"/>
      <c r="L111" s="43"/>
      <c r="M111" s="43"/>
      <c r="N111" s="66"/>
      <c r="O111" s="45"/>
      <c r="P111" s="40"/>
    </row>
    <row r="112" spans="1:16" s="41" customFormat="1" ht="30" customHeight="1">
      <c r="A112" s="34">
        <v>101</v>
      </c>
      <c r="B112" s="35" t="s">
        <v>133</v>
      </c>
      <c r="C112" s="34" t="s">
        <v>411</v>
      </c>
      <c r="D112" s="59"/>
      <c r="E112" s="59" t="s">
        <v>438</v>
      </c>
      <c r="F112" s="59"/>
      <c r="G112" s="60" t="s">
        <v>134</v>
      </c>
      <c r="H112" s="59"/>
      <c r="I112" s="59" t="s">
        <v>595</v>
      </c>
      <c r="J112" s="60" t="s">
        <v>468</v>
      </c>
      <c r="K112" s="59"/>
      <c r="L112" s="59"/>
      <c r="M112" s="59" t="s">
        <v>472</v>
      </c>
      <c r="N112" s="61" t="s">
        <v>473</v>
      </c>
      <c r="O112" s="45"/>
      <c r="P112" s="40"/>
    </row>
    <row r="113" spans="1:16" s="41" customFormat="1" ht="30" customHeight="1">
      <c r="A113" s="34"/>
      <c r="B113" s="35"/>
      <c r="C113" s="62"/>
      <c r="D113" s="59"/>
      <c r="E113" s="59"/>
      <c r="F113" s="59"/>
      <c r="G113" s="60" t="s">
        <v>135</v>
      </c>
      <c r="H113" s="59"/>
      <c r="I113" s="59"/>
      <c r="J113" s="60"/>
      <c r="K113" s="59"/>
      <c r="L113" s="59"/>
      <c r="M113" s="59"/>
      <c r="N113" s="61"/>
      <c r="O113" s="45"/>
      <c r="P113" s="40"/>
    </row>
    <row r="114" spans="1:16" s="41" customFormat="1" ht="30" customHeight="1">
      <c r="A114" s="34"/>
      <c r="B114" s="35"/>
      <c r="C114" s="62"/>
      <c r="D114" s="59"/>
      <c r="E114" s="59"/>
      <c r="F114" s="59"/>
      <c r="G114" s="80" t="s">
        <v>136</v>
      </c>
      <c r="H114" s="59"/>
      <c r="I114" s="59"/>
      <c r="J114" s="60"/>
      <c r="K114" s="59"/>
      <c r="L114" s="59"/>
      <c r="M114" s="59"/>
      <c r="N114" s="61"/>
      <c r="O114" s="45"/>
      <c r="P114" s="40"/>
    </row>
    <row r="115" spans="1:16" s="41" customFormat="1" ht="30" customHeight="1">
      <c r="A115" s="34"/>
      <c r="B115" s="35"/>
      <c r="C115" s="62"/>
      <c r="D115" s="59"/>
      <c r="E115" s="59"/>
      <c r="F115" s="59"/>
      <c r="G115" s="60" t="s">
        <v>127</v>
      </c>
      <c r="H115" s="59"/>
      <c r="I115" s="59"/>
      <c r="J115" s="60"/>
      <c r="K115" s="59"/>
      <c r="L115" s="59"/>
      <c r="M115" s="59"/>
      <c r="N115" s="61"/>
      <c r="O115" s="45"/>
      <c r="P115" s="40"/>
    </row>
    <row r="116" spans="1:16" s="41" customFormat="1" ht="30" customHeight="1">
      <c r="A116" s="34"/>
      <c r="B116" s="35"/>
      <c r="C116" s="34"/>
      <c r="D116" s="35"/>
      <c r="E116" s="35"/>
      <c r="F116" s="35"/>
      <c r="G116" s="80"/>
      <c r="H116" s="35"/>
      <c r="I116" s="35"/>
      <c r="J116" s="80"/>
      <c r="K116" s="35"/>
      <c r="L116" s="35"/>
      <c r="M116" s="35"/>
      <c r="N116" s="47"/>
      <c r="O116" s="45"/>
      <c r="P116" s="40"/>
    </row>
    <row r="117" spans="1:16" s="41" customFormat="1" ht="76.5">
      <c r="A117" s="48">
        <v>102</v>
      </c>
      <c r="B117" s="49" t="s">
        <v>137</v>
      </c>
      <c r="C117" s="48"/>
      <c r="D117" s="49"/>
      <c r="E117" s="49" t="s">
        <v>438</v>
      </c>
      <c r="F117" s="49"/>
      <c r="G117" s="29" t="s">
        <v>597</v>
      </c>
      <c r="H117" s="49"/>
      <c r="I117" s="49" t="s">
        <v>595</v>
      </c>
      <c r="J117" s="29" t="s">
        <v>459</v>
      </c>
      <c r="K117" s="49" t="s">
        <v>561</v>
      </c>
      <c r="L117" s="49" t="s">
        <v>555</v>
      </c>
      <c r="M117" s="49" t="s">
        <v>472</v>
      </c>
      <c r="N117" s="50"/>
      <c r="O117" s="45"/>
      <c r="P117" s="40"/>
    </row>
    <row r="118" spans="1:16" s="41" customFormat="1" ht="63.75" customHeight="1">
      <c r="A118" s="34">
        <v>103</v>
      </c>
      <c r="B118" s="35" t="s">
        <v>138</v>
      </c>
      <c r="C118" s="34">
        <v>205</v>
      </c>
      <c r="D118" s="35" t="s">
        <v>139</v>
      </c>
      <c r="E118" s="35"/>
      <c r="F118" s="35" t="s">
        <v>538</v>
      </c>
      <c r="G118" s="46"/>
      <c r="H118" s="44"/>
      <c r="I118" s="44"/>
      <c r="J118" s="46"/>
      <c r="K118" s="44"/>
      <c r="L118" s="44"/>
      <c r="M118" s="44"/>
      <c r="N118" s="44"/>
      <c r="O118" s="45"/>
      <c r="P118" s="40"/>
    </row>
    <row r="119" spans="1:16" s="41" customFormat="1" ht="30" customHeight="1">
      <c r="A119" s="48">
        <v>104</v>
      </c>
      <c r="B119" s="49" t="s">
        <v>140</v>
      </c>
      <c r="C119" s="48">
        <v>90</v>
      </c>
      <c r="D119" s="49" t="s">
        <v>141</v>
      </c>
      <c r="E119" s="49" t="s">
        <v>438</v>
      </c>
      <c r="F119" s="49" t="s">
        <v>538</v>
      </c>
      <c r="G119" s="46"/>
      <c r="H119" s="44"/>
      <c r="I119" s="44"/>
      <c r="J119" s="46"/>
      <c r="K119" s="44"/>
      <c r="L119" s="44"/>
      <c r="M119" s="44"/>
      <c r="N119" s="44"/>
      <c r="O119" s="45"/>
      <c r="P119" s="40"/>
    </row>
    <row r="120" spans="1:16" s="41" customFormat="1" ht="30" customHeight="1">
      <c r="A120" s="55"/>
      <c r="B120" s="56"/>
      <c r="C120" s="55"/>
      <c r="D120" s="56" t="s">
        <v>142</v>
      </c>
      <c r="E120" s="56"/>
      <c r="F120" s="56" t="s">
        <v>538</v>
      </c>
      <c r="G120" s="46"/>
      <c r="H120" s="44"/>
      <c r="I120" s="44"/>
      <c r="J120" s="46"/>
      <c r="K120" s="44"/>
      <c r="L120" s="44"/>
      <c r="M120" s="44"/>
      <c r="N120" s="44"/>
      <c r="O120" s="45"/>
      <c r="P120" s="40"/>
    </row>
    <row r="121" spans="1:16" s="41" customFormat="1" ht="67.5" customHeight="1">
      <c r="A121" s="51"/>
      <c r="B121" s="52"/>
      <c r="C121" s="51"/>
      <c r="D121" s="52" t="s">
        <v>143</v>
      </c>
      <c r="E121" s="52"/>
      <c r="F121" s="52" t="s">
        <v>538</v>
      </c>
      <c r="G121" s="46"/>
      <c r="H121" s="44"/>
      <c r="I121" s="44"/>
      <c r="J121" s="46"/>
      <c r="K121" s="44"/>
      <c r="L121" s="44"/>
      <c r="M121" s="44"/>
      <c r="N121" s="44"/>
      <c r="O121" s="45"/>
      <c r="P121" s="40"/>
    </row>
    <row r="122" spans="1:16" s="41" customFormat="1" ht="51">
      <c r="A122" s="34">
        <v>105</v>
      </c>
      <c r="B122" s="35" t="s">
        <v>144</v>
      </c>
      <c r="C122" s="34" t="s">
        <v>412</v>
      </c>
      <c r="D122" s="35" t="s">
        <v>145</v>
      </c>
      <c r="E122" s="35" t="s">
        <v>438</v>
      </c>
      <c r="F122" s="35" t="s">
        <v>538</v>
      </c>
      <c r="G122" s="46"/>
      <c r="H122" s="44"/>
      <c r="I122" s="44"/>
      <c r="J122" s="46"/>
      <c r="K122" s="44"/>
      <c r="L122" s="44"/>
      <c r="M122" s="44"/>
      <c r="N122" s="44"/>
      <c r="O122" s="45">
        <v>1</v>
      </c>
      <c r="P122" s="40"/>
    </row>
    <row r="123" spans="1:16" s="41" customFormat="1" ht="30" customHeight="1">
      <c r="A123" s="34"/>
      <c r="B123" s="35"/>
      <c r="C123" s="34"/>
      <c r="D123" s="35" t="s">
        <v>146</v>
      </c>
      <c r="E123" s="35"/>
      <c r="F123" s="35" t="s">
        <v>538</v>
      </c>
      <c r="G123" s="46"/>
      <c r="H123" s="44"/>
      <c r="I123" s="44"/>
      <c r="J123" s="46"/>
      <c r="K123" s="44"/>
      <c r="L123" s="44"/>
      <c r="M123" s="44"/>
      <c r="N123" s="44"/>
      <c r="O123" s="45"/>
      <c r="P123" s="40"/>
    </row>
    <row r="124" spans="1:16" s="41" customFormat="1" ht="30" customHeight="1">
      <c r="A124" s="34"/>
      <c r="B124" s="35"/>
      <c r="C124" s="34"/>
      <c r="D124" s="35" t="s">
        <v>141</v>
      </c>
      <c r="E124" s="35"/>
      <c r="F124" s="35" t="s">
        <v>538</v>
      </c>
      <c r="G124" s="46"/>
      <c r="H124" s="44"/>
      <c r="I124" s="44"/>
      <c r="J124" s="46"/>
      <c r="K124" s="44"/>
      <c r="L124" s="44"/>
      <c r="M124" s="44"/>
      <c r="N124" s="44"/>
      <c r="O124" s="45"/>
      <c r="P124" s="40"/>
    </row>
    <row r="125" spans="1:16" s="41" customFormat="1" ht="30" customHeight="1">
      <c r="A125" s="34"/>
      <c r="B125" s="35"/>
      <c r="C125" s="34"/>
      <c r="D125" s="35" t="s">
        <v>147</v>
      </c>
      <c r="E125" s="35"/>
      <c r="F125" s="35" t="s">
        <v>538</v>
      </c>
      <c r="G125" s="46"/>
      <c r="H125" s="44"/>
      <c r="I125" s="44"/>
      <c r="J125" s="46"/>
      <c r="K125" s="44"/>
      <c r="L125" s="44"/>
      <c r="M125" s="44"/>
      <c r="N125" s="44"/>
      <c r="O125" s="45"/>
      <c r="P125" s="40"/>
    </row>
    <row r="126" spans="1:16" s="41" customFormat="1" ht="30" customHeight="1">
      <c r="A126" s="34"/>
      <c r="B126" s="35"/>
      <c r="C126" s="34"/>
      <c r="D126" s="35" t="s">
        <v>142</v>
      </c>
      <c r="E126" s="35"/>
      <c r="F126" s="35" t="s">
        <v>538</v>
      </c>
      <c r="G126" s="46"/>
      <c r="H126" s="44"/>
      <c r="I126" s="44"/>
      <c r="J126" s="46"/>
      <c r="K126" s="44"/>
      <c r="L126" s="44"/>
      <c r="M126" s="44"/>
      <c r="N126" s="44"/>
      <c r="O126" s="45"/>
      <c r="P126" s="40"/>
    </row>
    <row r="127" spans="1:16" s="41" customFormat="1" ht="30" customHeight="1">
      <c r="A127" s="34"/>
      <c r="B127" s="35"/>
      <c r="C127" s="34"/>
      <c r="D127" s="35" t="s">
        <v>143</v>
      </c>
      <c r="E127" s="35"/>
      <c r="F127" s="35" t="s">
        <v>538</v>
      </c>
      <c r="G127" s="46"/>
      <c r="H127" s="44"/>
      <c r="I127" s="44"/>
      <c r="J127" s="46"/>
      <c r="K127" s="44"/>
      <c r="L127" s="44"/>
      <c r="M127" s="44"/>
      <c r="N127" s="44"/>
      <c r="O127" s="45"/>
      <c r="P127" s="40"/>
    </row>
    <row r="128" spans="1:16" s="41" customFormat="1" ht="52.5" customHeight="1">
      <c r="A128" s="42">
        <v>106</v>
      </c>
      <c r="B128" s="43" t="s">
        <v>148</v>
      </c>
      <c r="C128" s="42">
        <v>172</v>
      </c>
      <c r="D128" s="43"/>
      <c r="E128" s="43" t="s">
        <v>438</v>
      </c>
      <c r="F128" s="43" t="s">
        <v>538</v>
      </c>
      <c r="G128" s="46"/>
      <c r="H128" s="44"/>
      <c r="I128" s="44"/>
      <c r="J128" s="46"/>
      <c r="K128" s="44"/>
      <c r="L128" s="44"/>
      <c r="M128" s="44"/>
      <c r="N128" s="44"/>
      <c r="O128" s="45"/>
      <c r="P128" s="40"/>
    </row>
    <row r="129" spans="1:16" s="41" customFormat="1" ht="30" customHeight="1">
      <c r="A129" s="34">
        <v>107</v>
      </c>
      <c r="B129" s="35" t="s">
        <v>149</v>
      </c>
      <c r="C129" s="34">
        <v>204</v>
      </c>
      <c r="D129" s="35"/>
      <c r="E129" s="35" t="s">
        <v>438</v>
      </c>
      <c r="F129" s="35" t="s">
        <v>538</v>
      </c>
      <c r="G129" s="46"/>
      <c r="H129" s="44"/>
      <c r="I129" s="44"/>
      <c r="J129" s="46"/>
      <c r="K129" s="44"/>
      <c r="L129" s="44"/>
      <c r="M129" s="44"/>
      <c r="N129" s="44"/>
      <c r="O129" s="45">
        <v>1</v>
      </c>
      <c r="P129" s="40"/>
    </row>
    <row r="130" spans="1:16" s="41" customFormat="1" ht="63.75" customHeight="1">
      <c r="A130" s="48">
        <v>108</v>
      </c>
      <c r="B130" s="49" t="s">
        <v>150</v>
      </c>
      <c r="C130" s="48" t="s">
        <v>413</v>
      </c>
      <c r="D130" s="49" t="s">
        <v>139</v>
      </c>
      <c r="E130" s="49" t="s">
        <v>438</v>
      </c>
      <c r="F130" s="49" t="s">
        <v>538</v>
      </c>
      <c r="G130" s="46"/>
      <c r="H130" s="44"/>
      <c r="I130" s="44"/>
      <c r="J130" s="46"/>
      <c r="K130" s="44"/>
      <c r="L130" s="44"/>
      <c r="M130" s="44"/>
      <c r="N130" s="44"/>
      <c r="O130" s="45">
        <v>1</v>
      </c>
      <c r="P130" s="40"/>
    </row>
    <row r="131" spans="1:16" s="41" customFormat="1" ht="30" customHeight="1">
      <c r="A131" s="34">
        <v>109</v>
      </c>
      <c r="B131" s="35" t="s">
        <v>151</v>
      </c>
      <c r="C131" s="34" t="s">
        <v>414</v>
      </c>
      <c r="D131" s="35"/>
      <c r="E131" s="35" t="s">
        <v>435</v>
      </c>
      <c r="F131" s="35" t="s">
        <v>13</v>
      </c>
      <c r="G131" s="46"/>
      <c r="H131" s="44"/>
      <c r="I131" s="44"/>
      <c r="J131" s="46"/>
      <c r="K131" s="44"/>
      <c r="L131" s="44"/>
      <c r="M131" s="44"/>
      <c r="N131" s="44"/>
      <c r="O131" s="45"/>
      <c r="P131" s="40"/>
    </row>
    <row r="132" spans="1:16" s="41" customFormat="1" ht="54.75" customHeight="1">
      <c r="A132" s="42">
        <v>110</v>
      </c>
      <c r="B132" s="43" t="s">
        <v>152</v>
      </c>
      <c r="C132" s="42"/>
      <c r="D132" s="43"/>
      <c r="E132" s="43" t="s">
        <v>435</v>
      </c>
      <c r="F132" s="43" t="s">
        <v>153</v>
      </c>
      <c r="G132" s="44"/>
      <c r="H132" s="44"/>
      <c r="I132" s="44"/>
      <c r="J132" s="44"/>
      <c r="K132" s="44"/>
      <c r="L132" s="44"/>
      <c r="M132" s="44"/>
      <c r="N132" s="44"/>
      <c r="O132" s="45">
        <v>1</v>
      </c>
      <c r="P132" s="40"/>
    </row>
    <row r="133" spans="1:16" s="41" customFormat="1" ht="30" customHeight="1">
      <c r="A133" s="34">
        <v>111</v>
      </c>
      <c r="B133" s="35" t="s">
        <v>76</v>
      </c>
      <c r="C133" s="34" t="s">
        <v>415</v>
      </c>
      <c r="D133" s="35"/>
      <c r="E133" s="35" t="s">
        <v>435</v>
      </c>
      <c r="F133" s="35" t="s">
        <v>13</v>
      </c>
      <c r="G133" s="46"/>
      <c r="H133" s="44"/>
      <c r="I133" s="44"/>
      <c r="J133" s="46"/>
      <c r="K133" s="44"/>
      <c r="L133" s="44"/>
      <c r="M133" s="44"/>
      <c r="N133" s="44"/>
      <c r="O133" s="45"/>
      <c r="P133" s="40"/>
    </row>
    <row r="134" spans="1:16" s="41" customFormat="1" ht="30" customHeight="1">
      <c r="A134" s="34"/>
      <c r="B134" s="35"/>
      <c r="C134" s="34"/>
      <c r="D134" s="35"/>
      <c r="E134" s="35"/>
      <c r="F134" s="35"/>
      <c r="G134" s="46"/>
      <c r="H134" s="44"/>
      <c r="I134" s="44"/>
      <c r="J134" s="46"/>
      <c r="K134" s="44"/>
      <c r="L134" s="44"/>
      <c r="M134" s="44"/>
      <c r="N134" s="44"/>
      <c r="O134" s="45"/>
      <c r="P134" s="40"/>
    </row>
    <row r="135" spans="1:16" s="41" customFormat="1" ht="30" customHeight="1">
      <c r="A135" s="34"/>
      <c r="B135" s="35"/>
      <c r="C135" s="34"/>
      <c r="D135" s="35"/>
      <c r="E135" s="35"/>
      <c r="F135" s="35"/>
      <c r="G135" s="46"/>
      <c r="H135" s="44"/>
      <c r="I135" s="44"/>
      <c r="J135" s="46"/>
      <c r="K135" s="44"/>
      <c r="L135" s="44"/>
      <c r="M135" s="44"/>
      <c r="N135" s="44"/>
      <c r="O135" s="45"/>
      <c r="P135" s="40"/>
    </row>
    <row r="136" spans="1:16" s="41" customFormat="1" ht="30" customHeight="1">
      <c r="A136" s="48">
        <v>112</v>
      </c>
      <c r="B136" s="49" t="s">
        <v>154</v>
      </c>
      <c r="C136" s="48">
        <v>239</v>
      </c>
      <c r="D136" s="49" t="s">
        <v>155</v>
      </c>
      <c r="E136" s="49" t="s">
        <v>438</v>
      </c>
      <c r="F136" s="49"/>
      <c r="G136" s="29" t="s">
        <v>156</v>
      </c>
      <c r="H136" s="49" t="s">
        <v>467</v>
      </c>
      <c r="I136" s="49" t="s">
        <v>595</v>
      </c>
      <c r="J136" s="29" t="s">
        <v>468</v>
      </c>
      <c r="K136" s="49"/>
      <c r="L136" s="49" t="s">
        <v>469</v>
      </c>
      <c r="M136" s="49" t="s">
        <v>471</v>
      </c>
      <c r="N136" s="50" t="s">
        <v>470</v>
      </c>
      <c r="O136" s="45"/>
      <c r="P136" s="40"/>
    </row>
    <row r="137" spans="1:16" s="41" customFormat="1" ht="30" customHeight="1">
      <c r="A137" s="55"/>
      <c r="B137" s="56"/>
      <c r="C137" s="55"/>
      <c r="D137" s="56"/>
      <c r="E137" s="56"/>
      <c r="F137" s="56"/>
      <c r="G137" s="57" t="s">
        <v>157</v>
      </c>
      <c r="H137" s="56"/>
      <c r="I137" s="56"/>
      <c r="J137" s="57"/>
      <c r="K137" s="56"/>
      <c r="L137" s="56"/>
      <c r="M137" s="56"/>
      <c r="N137" s="58"/>
      <c r="O137" s="45"/>
      <c r="P137" s="40"/>
    </row>
    <row r="138" spans="1:16" s="41" customFormat="1" ht="30" customHeight="1">
      <c r="A138" s="51"/>
      <c r="B138" s="52"/>
      <c r="C138" s="51"/>
      <c r="D138" s="52"/>
      <c r="E138" s="52"/>
      <c r="F138" s="52"/>
      <c r="G138" s="53" t="s">
        <v>127</v>
      </c>
      <c r="H138" s="52"/>
      <c r="I138" s="52"/>
      <c r="J138" s="53"/>
      <c r="K138" s="52"/>
      <c r="L138" s="52"/>
      <c r="M138" s="52"/>
      <c r="N138" s="54"/>
      <c r="O138" s="45"/>
      <c r="P138" s="40"/>
    </row>
    <row r="139" spans="1:16" s="41" customFormat="1" ht="44.25" customHeight="1">
      <c r="A139" s="34">
        <v>113</v>
      </c>
      <c r="B139" s="35" t="s">
        <v>158</v>
      </c>
      <c r="C139" s="34"/>
      <c r="D139" s="35"/>
      <c r="E139" s="35" t="s">
        <v>435</v>
      </c>
      <c r="F139" s="35" t="s">
        <v>13</v>
      </c>
      <c r="G139" s="46"/>
      <c r="H139" s="44"/>
      <c r="I139" s="44"/>
      <c r="J139" s="46"/>
      <c r="K139" s="44"/>
      <c r="L139" s="44"/>
      <c r="M139" s="44"/>
      <c r="N139" s="44"/>
      <c r="O139" s="45"/>
      <c r="P139" s="40"/>
    </row>
    <row r="140" spans="1:16" s="41" customFormat="1" ht="30" customHeight="1">
      <c r="A140" s="42">
        <v>114</v>
      </c>
      <c r="B140" s="43" t="s">
        <v>76</v>
      </c>
      <c r="C140" s="42"/>
      <c r="D140" s="43"/>
      <c r="E140" s="43" t="s">
        <v>435</v>
      </c>
      <c r="F140" s="43" t="s">
        <v>13</v>
      </c>
      <c r="G140" s="44"/>
      <c r="H140" s="44"/>
      <c r="I140" s="44"/>
      <c r="J140" s="44"/>
      <c r="K140" s="44"/>
      <c r="L140" s="44"/>
      <c r="M140" s="44"/>
      <c r="N140" s="44"/>
      <c r="O140" s="45"/>
      <c r="P140" s="40"/>
    </row>
    <row r="141" spans="1:16" s="41" customFormat="1" ht="51">
      <c r="A141" s="34">
        <v>115</v>
      </c>
      <c r="B141" s="35" t="s">
        <v>159</v>
      </c>
      <c r="C141" s="34"/>
      <c r="D141" s="35" t="s">
        <v>160</v>
      </c>
      <c r="E141" s="35" t="s">
        <v>429</v>
      </c>
      <c r="F141" s="35"/>
      <c r="G141" s="80" t="s">
        <v>574</v>
      </c>
      <c r="H141" s="35" t="s">
        <v>472</v>
      </c>
      <c r="I141" s="35" t="s">
        <v>595</v>
      </c>
      <c r="J141" s="80" t="s">
        <v>459</v>
      </c>
      <c r="K141" s="35" t="s">
        <v>494</v>
      </c>
      <c r="L141" s="35" t="s">
        <v>474</v>
      </c>
      <c r="M141" s="35" t="s">
        <v>475</v>
      </c>
      <c r="N141" s="47" t="s">
        <v>473</v>
      </c>
      <c r="O141" s="45"/>
      <c r="P141" s="40"/>
    </row>
    <row r="142" spans="1:16" s="41" customFormat="1" ht="30" customHeight="1">
      <c r="A142" s="34"/>
      <c r="B142" s="35"/>
      <c r="C142" s="34"/>
      <c r="D142" s="35"/>
      <c r="E142" s="35"/>
      <c r="F142" s="35"/>
      <c r="G142" s="80" t="s">
        <v>162</v>
      </c>
      <c r="H142" s="35"/>
      <c r="I142" s="35"/>
      <c r="J142" s="80"/>
      <c r="K142" s="35"/>
      <c r="L142" s="35"/>
      <c r="M142" s="35"/>
      <c r="N142" s="47"/>
      <c r="O142" s="45"/>
      <c r="P142" s="40"/>
    </row>
    <row r="143" spans="1:16" s="41" customFormat="1" ht="30" customHeight="1">
      <c r="A143" s="48">
        <v>116</v>
      </c>
      <c r="B143" s="49" t="s">
        <v>163</v>
      </c>
      <c r="C143" s="48"/>
      <c r="D143" s="49" t="s">
        <v>164</v>
      </c>
      <c r="E143" s="49" t="s">
        <v>429</v>
      </c>
      <c r="F143" s="49"/>
      <c r="G143" s="49" t="s">
        <v>156</v>
      </c>
      <c r="H143" s="49"/>
      <c r="I143" s="49" t="s">
        <v>595</v>
      </c>
      <c r="J143" s="49" t="s">
        <v>468</v>
      </c>
      <c r="K143" s="49"/>
      <c r="L143" s="49" t="s">
        <v>476</v>
      </c>
      <c r="M143" s="49" t="s">
        <v>477</v>
      </c>
      <c r="N143" s="50"/>
      <c r="O143" s="45"/>
      <c r="P143" s="40"/>
    </row>
    <row r="144" spans="1:16" s="41" customFormat="1" ht="30" customHeight="1">
      <c r="A144" s="55"/>
      <c r="B144" s="56"/>
      <c r="C144" s="55"/>
      <c r="D144" s="56"/>
      <c r="E144" s="56"/>
      <c r="F144" s="56"/>
      <c r="G144" s="56" t="s">
        <v>157</v>
      </c>
      <c r="H144" s="56"/>
      <c r="I144" s="56"/>
      <c r="J144" s="56"/>
      <c r="K144" s="56"/>
      <c r="L144" s="56"/>
      <c r="M144" s="56"/>
      <c r="N144" s="58"/>
      <c r="O144" s="45"/>
      <c r="P144" s="40"/>
    </row>
    <row r="145" spans="1:16" s="41" customFormat="1" ht="30" customHeight="1">
      <c r="A145" s="55"/>
      <c r="B145" s="56"/>
      <c r="C145" s="55"/>
      <c r="D145" s="56"/>
      <c r="E145" s="56"/>
      <c r="F145" s="56"/>
      <c r="G145" s="56" t="s">
        <v>165</v>
      </c>
      <c r="H145" s="56"/>
      <c r="I145" s="56"/>
      <c r="J145" s="56"/>
      <c r="K145" s="56"/>
      <c r="L145" s="56"/>
      <c r="M145" s="56"/>
      <c r="N145" s="58"/>
      <c r="O145" s="45"/>
      <c r="P145" s="40"/>
    </row>
    <row r="146" spans="1:16" s="41" customFormat="1" ht="30" customHeight="1">
      <c r="A146" s="51"/>
      <c r="B146" s="52"/>
      <c r="C146" s="51"/>
      <c r="D146" s="52"/>
      <c r="E146" s="52"/>
      <c r="F146" s="52"/>
      <c r="G146" s="52"/>
      <c r="H146" s="52"/>
      <c r="I146" s="52"/>
      <c r="J146" s="52"/>
      <c r="K146" s="52"/>
      <c r="L146" s="52"/>
      <c r="M146" s="52"/>
      <c r="N146" s="54"/>
      <c r="O146" s="45"/>
      <c r="P146" s="40"/>
    </row>
    <row r="147" spans="1:16" s="41" customFormat="1" ht="30" customHeight="1">
      <c r="A147" s="34">
        <v>117</v>
      </c>
      <c r="B147" s="35" t="s">
        <v>166</v>
      </c>
      <c r="C147" s="34"/>
      <c r="D147" s="35"/>
      <c r="E147" s="35" t="s">
        <v>435</v>
      </c>
      <c r="F147" s="35" t="s">
        <v>13</v>
      </c>
      <c r="G147" s="46"/>
      <c r="H147" s="44"/>
      <c r="I147" s="44"/>
      <c r="J147" s="46"/>
      <c r="K147" s="44"/>
      <c r="L147" s="44"/>
      <c r="M147" s="44"/>
      <c r="N147" s="44"/>
      <c r="O147" s="45"/>
      <c r="P147" s="40"/>
    </row>
    <row r="148" spans="1:16" s="41" customFormat="1" ht="30" customHeight="1">
      <c r="A148" s="42">
        <v>118</v>
      </c>
      <c r="B148" s="43" t="s">
        <v>167</v>
      </c>
      <c r="C148" s="42"/>
      <c r="D148" s="43"/>
      <c r="E148" s="43" t="s">
        <v>429</v>
      </c>
      <c r="F148" s="43" t="s">
        <v>13</v>
      </c>
      <c r="G148" s="44"/>
      <c r="H148" s="44"/>
      <c r="I148" s="44"/>
      <c r="J148" s="44"/>
      <c r="K148" s="44"/>
      <c r="L148" s="44"/>
      <c r="M148" s="44"/>
      <c r="N148" s="44"/>
      <c r="O148" s="45"/>
      <c r="P148" s="40"/>
    </row>
    <row r="149" spans="1:16" s="41" customFormat="1" ht="60" customHeight="1">
      <c r="A149" s="34">
        <v>119</v>
      </c>
      <c r="B149" s="35" t="s">
        <v>152</v>
      </c>
      <c r="C149" s="34"/>
      <c r="D149" s="35"/>
      <c r="E149" s="35" t="s">
        <v>429</v>
      </c>
      <c r="F149" s="35" t="s">
        <v>13</v>
      </c>
      <c r="G149" s="46"/>
      <c r="H149" s="44"/>
      <c r="I149" s="44"/>
      <c r="J149" s="46"/>
      <c r="K149" s="44"/>
      <c r="L149" s="44"/>
      <c r="M149" s="44"/>
      <c r="N149" s="44"/>
      <c r="O149" s="45"/>
      <c r="P149" s="40"/>
    </row>
    <row r="150" spans="1:16" s="41" customFormat="1" ht="30" customHeight="1">
      <c r="A150" s="48">
        <v>120</v>
      </c>
      <c r="B150" s="49" t="s">
        <v>168</v>
      </c>
      <c r="C150" s="48" t="s">
        <v>598</v>
      </c>
      <c r="D150" s="49" t="s">
        <v>169</v>
      </c>
      <c r="E150" s="49" t="s">
        <v>438</v>
      </c>
      <c r="F150" s="49"/>
      <c r="G150" s="29" t="s">
        <v>170</v>
      </c>
      <c r="H150" s="49" t="s">
        <v>478</v>
      </c>
      <c r="I150" s="49" t="s">
        <v>595</v>
      </c>
      <c r="J150" s="29" t="s">
        <v>462</v>
      </c>
      <c r="K150" s="49" t="s">
        <v>582</v>
      </c>
      <c r="L150" s="49"/>
      <c r="M150" s="49" t="s">
        <v>562</v>
      </c>
      <c r="N150" s="50" t="s">
        <v>478</v>
      </c>
      <c r="O150" s="45">
        <v>1</v>
      </c>
      <c r="P150" s="40"/>
    </row>
    <row r="151" spans="1:16" s="41" customFormat="1" ht="30" customHeight="1">
      <c r="A151" s="55"/>
      <c r="B151" s="56"/>
      <c r="C151" s="55"/>
      <c r="D151" s="56"/>
      <c r="E151" s="56"/>
      <c r="F151" s="56"/>
      <c r="G151" s="57" t="s">
        <v>171</v>
      </c>
      <c r="H151" s="56"/>
      <c r="I151" s="56"/>
      <c r="J151" s="57"/>
      <c r="K151" s="56"/>
      <c r="L151" s="56"/>
      <c r="M151" s="56"/>
      <c r="N151" s="58"/>
      <c r="O151" s="45"/>
      <c r="P151" s="40"/>
    </row>
    <row r="152" spans="1:16" s="41" customFormat="1" ht="30" customHeight="1">
      <c r="A152" s="55"/>
      <c r="B152" s="56"/>
      <c r="C152" s="55"/>
      <c r="D152" s="56"/>
      <c r="E152" s="56"/>
      <c r="F152" s="56"/>
      <c r="G152" s="57" t="s">
        <v>136</v>
      </c>
      <c r="H152" s="56"/>
      <c r="I152" s="56"/>
      <c r="J152" s="57"/>
      <c r="K152" s="56"/>
      <c r="L152" s="56"/>
      <c r="M152" s="56"/>
      <c r="N152" s="58"/>
      <c r="O152" s="45"/>
      <c r="P152" s="40"/>
    </row>
    <row r="153" spans="1:16" s="41" customFormat="1" ht="30" customHeight="1">
      <c r="A153" s="55"/>
      <c r="B153" s="56"/>
      <c r="C153" s="55"/>
      <c r="D153" s="56"/>
      <c r="E153" s="56"/>
      <c r="F153" s="56"/>
      <c r="G153" s="57" t="s">
        <v>172</v>
      </c>
      <c r="H153" s="56"/>
      <c r="I153" s="56"/>
      <c r="J153" s="57"/>
      <c r="K153" s="56"/>
      <c r="L153" s="56"/>
      <c r="M153" s="56"/>
      <c r="N153" s="58"/>
      <c r="O153" s="45"/>
      <c r="P153" s="40"/>
    </row>
    <row r="154" spans="1:16" s="41" customFormat="1" ht="30" customHeight="1">
      <c r="A154" s="55"/>
      <c r="B154" s="56"/>
      <c r="C154" s="55"/>
      <c r="D154" s="56"/>
      <c r="E154" s="56"/>
      <c r="F154" s="56"/>
      <c r="G154" s="57" t="s">
        <v>173</v>
      </c>
      <c r="H154" s="56"/>
      <c r="I154" s="56"/>
      <c r="J154" s="57"/>
      <c r="K154" s="56"/>
      <c r="L154" s="56"/>
      <c r="M154" s="56"/>
      <c r="N154" s="58"/>
      <c r="O154" s="45"/>
      <c r="P154" s="40"/>
    </row>
    <row r="155" spans="1:16" s="41" customFormat="1" ht="30" customHeight="1">
      <c r="A155" s="55"/>
      <c r="B155" s="56"/>
      <c r="C155" s="55"/>
      <c r="D155" s="56"/>
      <c r="E155" s="56"/>
      <c r="F155" s="56"/>
      <c r="G155" s="57" t="s">
        <v>174</v>
      </c>
      <c r="H155" s="56"/>
      <c r="I155" s="56"/>
      <c r="J155" s="57"/>
      <c r="K155" s="56"/>
      <c r="L155" s="56"/>
      <c r="M155" s="56"/>
      <c r="N155" s="58"/>
      <c r="O155" s="45"/>
      <c r="P155" s="40"/>
    </row>
    <row r="156" spans="1:16" s="41" customFormat="1" ht="30" customHeight="1">
      <c r="A156" s="51"/>
      <c r="B156" s="52"/>
      <c r="C156" s="51"/>
      <c r="D156" s="52"/>
      <c r="E156" s="52"/>
      <c r="F156" s="52"/>
      <c r="G156" s="53" t="s">
        <v>175</v>
      </c>
      <c r="H156" s="52"/>
      <c r="I156" s="52"/>
      <c r="J156" s="53"/>
      <c r="K156" s="52"/>
      <c r="L156" s="52"/>
      <c r="M156" s="52"/>
      <c r="N156" s="54"/>
      <c r="O156" s="45"/>
      <c r="P156" s="40"/>
    </row>
    <row r="157" spans="1:16" s="41" customFormat="1" ht="30" customHeight="1">
      <c r="A157" s="34">
        <v>121</v>
      </c>
      <c r="B157" s="35" t="s">
        <v>176</v>
      </c>
      <c r="C157" s="34" t="s">
        <v>416</v>
      </c>
      <c r="D157" s="35" t="s">
        <v>177</v>
      </c>
      <c r="E157" s="35" t="s">
        <v>431</v>
      </c>
      <c r="F157" s="35"/>
      <c r="G157" s="80" t="s">
        <v>136</v>
      </c>
      <c r="H157" s="35" t="s">
        <v>473</v>
      </c>
      <c r="I157" s="35" t="s">
        <v>595</v>
      </c>
      <c r="J157" s="80" t="s">
        <v>459</v>
      </c>
      <c r="K157" s="35" t="s">
        <v>599</v>
      </c>
      <c r="L157" s="80" t="s">
        <v>180</v>
      </c>
      <c r="M157" s="35" t="s">
        <v>562</v>
      </c>
      <c r="N157" s="47" t="s">
        <v>478</v>
      </c>
      <c r="O157" s="45">
        <v>1</v>
      </c>
      <c r="P157" s="40"/>
    </row>
    <row r="158" spans="1:16" s="41" customFormat="1" ht="30" customHeight="1">
      <c r="A158" s="34"/>
      <c r="B158" s="35"/>
      <c r="C158" s="34"/>
      <c r="D158" s="35"/>
      <c r="E158" s="35"/>
      <c r="F158" s="35"/>
      <c r="G158" s="80" t="s">
        <v>178</v>
      </c>
      <c r="H158" s="35"/>
      <c r="I158" s="35"/>
      <c r="J158" s="80"/>
      <c r="K158" s="35"/>
      <c r="L158" s="80" t="s">
        <v>178</v>
      </c>
      <c r="M158" s="35"/>
      <c r="N158" s="47"/>
      <c r="O158" s="45"/>
      <c r="P158" s="40"/>
    </row>
    <row r="159" spans="1:16" s="41" customFormat="1" ht="30" customHeight="1">
      <c r="A159" s="34"/>
      <c r="B159" s="35"/>
      <c r="C159" s="34"/>
      <c r="D159" s="35"/>
      <c r="E159" s="35"/>
      <c r="F159" s="35"/>
      <c r="G159" s="80" t="s">
        <v>179</v>
      </c>
      <c r="H159" s="35"/>
      <c r="I159" s="35"/>
      <c r="J159" s="80"/>
      <c r="K159" s="35"/>
      <c r="L159" s="80" t="s">
        <v>182</v>
      </c>
      <c r="M159" s="35"/>
      <c r="N159" s="47"/>
      <c r="O159" s="45"/>
      <c r="P159" s="40"/>
    </row>
    <row r="160" spans="1:16" s="41" customFormat="1" ht="30" customHeight="1">
      <c r="A160" s="34"/>
      <c r="B160" s="35"/>
      <c r="C160" s="34"/>
      <c r="D160" s="35"/>
      <c r="E160" s="35"/>
      <c r="F160" s="35"/>
      <c r="G160" s="80" t="s">
        <v>180</v>
      </c>
      <c r="H160" s="35"/>
      <c r="I160" s="35"/>
      <c r="J160" s="80"/>
      <c r="K160" s="35"/>
      <c r="L160" s="80" t="s">
        <v>194</v>
      </c>
      <c r="M160" s="35"/>
      <c r="N160" s="47"/>
      <c r="O160" s="45"/>
      <c r="P160" s="40"/>
    </row>
    <row r="161" spans="1:16" s="41" customFormat="1" ht="30" customHeight="1">
      <c r="A161" s="34"/>
      <c r="B161" s="35"/>
      <c r="C161" s="34"/>
      <c r="D161" s="35"/>
      <c r="E161" s="35"/>
      <c r="F161" s="35"/>
      <c r="G161" s="80" t="s">
        <v>181</v>
      </c>
      <c r="H161" s="35"/>
      <c r="I161" s="35"/>
      <c r="J161" s="80"/>
      <c r="K161" s="35"/>
      <c r="L161" s="80"/>
      <c r="M161" s="35"/>
      <c r="N161" s="47"/>
      <c r="O161" s="45"/>
      <c r="P161" s="40"/>
    </row>
    <row r="162" spans="1:16" s="41" customFormat="1" ht="30" customHeight="1">
      <c r="A162" s="34"/>
      <c r="B162" s="35"/>
      <c r="C162" s="34"/>
      <c r="D162" s="35"/>
      <c r="E162" s="35"/>
      <c r="F162" s="35"/>
      <c r="G162" s="80" t="s">
        <v>182</v>
      </c>
      <c r="H162" s="35"/>
      <c r="I162" s="35"/>
      <c r="J162" s="80"/>
      <c r="K162" s="35"/>
      <c r="L162" s="80"/>
      <c r="M162" s="35"/>
      <c r="N162" s="47"/>
      <c r="O162" s="45"/>
      <c r="P162" s="40"/>
    </row>
    <row r="163" spans="1:16" s="41" customFormat="1" ht="30" customHeight="1">
      <c r="A163" s="34"/>
      <c r="B163" s="35"/>
      <c r="C163" s="34"/>
      <c r="D163" s="35"/>
      <c r="E163" s="35"/>
      <c r="F163" s="35"/>
      <c r="G163" s="80" t="s">
        <v>183</v>
      </c>
      <c r="H163" s="35"/>
      <c r="I163" s="35"/>
      <c r="J163" s="80"/>
      <c r="K163" s="35"/>
      <c r="L163" s="80"/>
      <c r="M163" s="35"/>
      <c r="N163" s="47"/>
      <c r="O163" s="45"/>
      <c r="P163" s="40"/>
    </row>
    <row r="164" spans="1:16" s="41" customFormat="1" ht="30" customHeight="1">
      <c r="A164" s="34"/>
      <c r="B164" s="35"/>
      <c r="C164" s="34"/>
      <c r="D164" s="35"/>
      <c r="E164" s="35"/>
      <c r="F164" s="35"/>
      <c r="G164" s="80" t="s">
        <v>184</v>
      </c>
      <c r="H164" s="35"/>
      <c r="I164" s="35"/>
      <c r="J164" s="80"/>
      <c r="K164" s="35"/>
      <c r="L164" s="80"/>
      <c r="M164" s="35"/>
      <c r="N164" s="47"/>
      <c r="O164" s="45"/>
      <c r="P164" s="40"/>
    </row>
    <row r="165" spans="1:16" s="41" customFormat="1" ht="30" customHeight="1">
      <c r="A165" s="34"/>
      <c r="B165" s="35"/>
      <c r="C165" s="34"/>
      <c r="D165" s="35"/>
      <c r="E165" s="35"/>
      <c r="F165" s="35"/>
      <c r="G165" s="80" t="s">
        <v>185</v>
      </c>
      <c r="H165" s="35"/>
      <c r="I165" s="35"/>
      <c r="J165" s="80"/>
      <c r="K165" s="35"/>
      <c r="L165" s="80"/>
      <c r="M165" s="35"/>
      <c r="N165" s="47"/>
      <c r="O165" s="45"/>
      <c r="P165" s="40"/>
    </row>
    <row r="166" spans="1:16" s="41" customFormat="1" ht="30" customHeight="1">
      <c r="A166" s="34"/>
      <c r="B166" s="35"/>
      <c r="C166" s="34"/>
      <c r="D166" s="35"/>
      <c r="E166" s="35"/>
      <c r="F166" s="35"/>
      <c r="G166" s="80" t="s">
        <v>186</v>
      </c>
      <c r="H166" s="35"/>
      <c r="I166" s="35"/>
      <c r="J166" s="80"/>
      <c r="K166" s="35"/>
      <c r="L166" s="80"/>
      <c r="M166" s="35"/>
      <c r="N166" s="47"/>
      <c r="O166" s="45"/>
      <c r="P166" s="40"/>
    </row>
    <row r="167" spans="1:16" s="41" customFormat="1" ht="30" customHeight="1">
      <c r="A167" s="34"/>
      <c r="B167" s="35"/>
      <c r="C167" s="34"/>
      <c r="D167" s="35"/>
      <c r="E167" s="35"/>
      <c r="F167" s="35"/>
      <c r="G167" s="80" t="s">
        <v>187</v>
      </c>
      <c r="H167" s="35"/>
      <c r="I167" s="35"/>
      <c r="J167" s="80"/>
      <c r="K167" s="35"/>
      <c r="L167" s="80"/>
      <c r="M167" s="35"/>
      <c r="N167" s="47"/>
      <c r="O167" s="45"/>
      <c r="P167" s="40"/>
    </row>
    <row r="168" spans="1:16" s="41" customFormat="1" ht="30" customHeight="1">
      <c r="A168" s="34"/>
      <c r="B168" s="35"/>
      <c r="C168" s="34"/>
      <c r="D168" s="35"/>
      <c r="E168" s="35"/>
      <c r="F168" s="35"/>
      <c r="G168" s="80" t="s">
        <v>188</v>
      </c>
      <c r="H168" s="35"/>
      <c r="I168" s="35"/>
      <c r="J168" s="80"/>
      <c r="K168" s="35"/>
      <c r="L168" s="80"/>
      <c r="M168" s="35"/>
      <c r="N168" s="47"/>
      <c r="O168" s="45"/>
      <c r="P168" s="40"/>
    </row>
    <row r="169" spans="1:16" s="41" customFormat="1" ht="30" customHeight="1">
      <c r="A169" s="34"/>
      <c r="B169" s="35"/>
      <c r="C169" s="34"/>
      <c r="D169" s="35"/>
      <c r="E169" s="35"/>
      <c r="F169" s="35"/>
      <c r="G169" s="80" t="s">
        <v>189</v>
      </c>
      <c r="H169" s="35"/>
      <c r="I169" s="35"/>
      <c r="J169" s="80"/>
      <c r="K169" s="35"/>
      <c r="L169" s="80"/>
      <c r="M169" s="35"/>
      <c r="N169" s="47"/>
      <c r="O169" s="45"/>
      <c r="P169" s="40"/>
    </row>
    <row r="170" spans="1:16" s="41" customFormat="1" ht="30" customHeight="1">
      <c r="A170" s="34"/>
      <c r="B170" s="35"/>
      <c r="C170" s="34"/>
      <c r="D170" s="35"/>
      <c r="E170" s="35"/>
      <c r="F170" s="35"/>
      <c r="G170" s="80" t="s">
        <v>190</v>
      </c>
      <c r="H170" s="35"/>
      <c r="I170" s="35"/>
      <c r="J170" s="80"/>
      <c r="K170" s="35"/>
      <c r="L170" s="80"/>
      <c r="M170" s="35"/>
      <c r="N170" s="47"/>
      <c r="O170" s="45"/>
      <c r="P170" s="40"/>
    </row>
    <row r="171" spans="1:16" s="41" customFormat="1" ht="30" customHeight="1">
      <c r="A171" s="34"/>
      <c r="B171" s="35"/>
      <c r="C171" s="34"/>
      <c r="D171" s="35"/>
      <c r="E171" s="35"/>
      <c r="F171" s="35"/>
      <c r="G171" s="80" t="s">
        <v>191</v>
      </c>
      <c r="H171" s="35"/>
      <c r="I171" s="35"/>
      <c r="J171" s="80"/>
      <c r="K171" s="35"/>
      <c r="L171" s="80"/>
      <c r="M171" s="35"/>
      <c r="N171" s="47"/>
      <c r="O171" s="45"/>
      <c r="P171" s="40"/>
    </row>
    <row r="172" spans="1:16" s="41" customFormat="1" ht="30" customHeight="1">
      <c r="A172" s="34"/>
      <c r="B172" s="35"/>
      <c r="C172" s="34"/>
      <c r="D172" s="35"/>
      <c r="E172" s="35"/>
      <c r="F172" s="35"/>
      <c r="G172" s="80" t="s">
        <v>192</v>
      </c>
      <c r="H172" s="35"/>
      <c r="I172" s="35"/>
      <c r="J172" s="80"/>
      <c r="K172" s="35"/>
      <c r="L172" s="80"/>
      <c r="M172" s="35"/>
      <c r="N172" s="47"/>
      <c r="O172" s="45"/>
      <c r="P172" s="40"/>
    </row>
    <row r="173" spans="1:16" s="41" customFormat="1" ht="30" customHeight="1">
      <c r="A173" s="34"/>
      <c r="B173" s="35"/>
      <c r="C173" s="34"/>
      <c r="D173" s="35"/>
      <c r="E173" s="35"/>
      <c r="F173" s="35"/>
      <c r="G173" s="80" t="s">
        <v>193</v>
      </c>
      <c r="H173" s="35"/>
      <c r="I173" s="35"/>
      <c r="J173" s="80"/>
      <c r="K173" s="35"/>
      <c r="L173" s="80"/>
      <c r="M173" s="35"/>
      <c r="N173" s="47"/>
      <c r="O173" s="45"/>
      <c r="P173" s="40"/>
    </row>
    <row r="174" spans="1:16" s="41" customFormat="1" ht="30" customHeight="1">
      <c r="A174" s="34"/>
      <c r="B174" s="35"/>
      <c r="C174" s="34"/>
      <c r="D174" s="35"/>
      <c r="E174" s="35"/>
      <c r="F174" s="35"/>
      <c r="G174" s="80" t="s">
        <v>194</v>
      </c>
      <c r="H174" s="35"/>
      <c r="I174" s="35"/>
      <c r="J174" s="80"/>
      <c r="K174" s="35"/>
      <c r="L174" s="80"/>
      <c r="M174" s="35"/>
      <c r="N174" s="47"/>
      <c r="O174" s="45"/>
      <c r="P174" s="40"/>
    </row>
    <row r="175" spans="1:16" s="41" customFormat="1" ht="30" customHeight="1">
      <c r="A175" s="34"/>
      <c r="B175" s="35"/>
      <c r="C175" s="34"/>
      <c r="D175" s="35"/>
      <c r="E175" s="35"/>
      <c r="F175" s="35"/>
      <c r="G175" s="80" t="s">
        <v>583</v>
      </c>
      <c r="H175" s="35"/>
      <c r="I175" s="35"/>
      <c r="J175" s="80"/>
      <c r="K175" s="35"/>
      <c r="L175" s="80"/>
      <c r="M175" s="35"/>
      <c r="N175" s="47"/>
      <c r="O175" s="45"/>
      <c r="P175" s="40"/>
    </row>
    <row r="176" spans="1:16" s="41" customFormat="1" ht="30" customHeight="1">
      <c r="A176" s="34"/>
      <c r="B176" s="35"/>
      <c r="C176" s="34"/>
      <c r="D176" s="35"/>
      <c r="E176" s="35"/>
      <c r="F176" s="35"/>
      <c r="G176" s="80" t="s">
        <v>195</v>
      </c>
      <c r="H176" s="35"/>
      <c r="I176" s="35"/>
      <c r="J176" s="80"/>
      <c r="K176" s="35"/>
      <c r="L176" s="80"/>
      <c r="M176" s="35"/>
      <c r="N176" s="47"/>
      <c r="O176" s="45"/>
      <c r="P176" s="40"/>
    </row>
    <row r="177" spans="1:16" s="41" customFormat="1" ht="30" customHeight="1">
      <c r="A177" s="34"/>
      <c r="B177" s="35"/>
      <c r="C177" s="34"/>
      <c r="D177" s="35"/>
      <c r="E177" s="35"/>
      <c r="F177" s="35"/>
      <c r="G177" s="80" t="s">
        <v>196</v>
      </c>
      <c r="H177" s="35"/>
      <c r="I177" s="35"/>
      <c r="J177" s="80"/>
      <c r="K177" s="35"/>
      <c r="L177" s="80"/>
      <c r="M177" s="35"/>
      <c r="N177" s="47"/>
      <c r="O177" s="45"/>
      <c r="P177" s="40"/>
    </row>
    <row r="178" spans="1:16" s="41" customFormat="1" ht="30" customHeight="1">
      <c r="A178" s="34"/>
      <c r="B178" s="35"/>
      <c r="C178" s="34"/>
      <c r="D178" s="35"/>
      <c r="E178" s="35"/>
      <c r="F178" s="35"/>
      <c r="G178" s="80" t="s">
        <v>179</v>
      </c>
      <c r="H178" s="35"/>
      <c r="I178" s="35"/>
      <c r="J178" s="80"/>
      <c r="K178" s="35"/>
      <c r="L178" s="80"/>
      <c r="M178" s="35"/>
      <c r="N178" s="47"/>
      <c r="O178" s="45"/>
      <c r="P178" s="40"/>
    </row>
    <row r="179" spans="1:16" s="41" customFormat="1" ht="30" customHeight="1">
      <c r="A179" s="34"/>
      <c r="B179" s="35"/>
      <c r="C179" s="34"/>
      <c r="D179" s="35"/>
      <c r="E179" s="35"/>
      <c r="F179" s="35"/>
      <c r="G179" s="80" t="s">
        <v>114</v>
      </c>
      <c r="H179" s="35"/>
      <c r="I179" s="35"/>
      <c r="J179" s="80"/>
      <c r="K179" s="35"/>
      <c r="L179" s="80"/>
      <c r="M179" s="35"/>
      <c r="N179" s="47"/>
      <c r="O179" s="45"/>
      <c r="P179" s="40"/>
    </row>
    <row r="180" spans="1:16" s="41" customFormat="1" ht="68.25" customHeight="1">
      <c r="A180" s="42">
        <v>122</v>
      </c>
      <c r="B180" s="43" t="s">
        <v>197</v>
      </c>
      <c r="C180" s="42">
        <v>238</v>
      </c>
      <c r="D180" s="43" t="s">
        <v>198</v>
      </c>
      <c r="E180" s="43" t="s">
        <v>431</v>
      </c>
      <c r="F180" s="43"/>
      <c r="G180" s="43" t="s">
        <v>610</v>
      </c>
      <c r="H180" s="43" t="s">
        <v>479</v>
      </c>
      <c r="I180" s="43" t="s">
        <v>595</v>
      </c>
      <c r="J180" s="43" t="s">
        <v>468</v>
      </c>
      <c r="K180" s="43"/>
      <c r="L180" s="43" t="s">
        <v>610</v>
      </c>
      <c r="M180" s="43" t="s">
        <v>472</v>
      </c>
      <c r="N180" s="43" t="s">
        <v>480</v>
      </c>
      <c r="O180" s="45"/>
      <c r="P180" s="40"/>
    </row>
    <row r="181" spans="1:16" s="41" customFormat="1" ht="51">
      <c r="A181" s="34">
        <v>123</v>
      </c>
      <c r="B181" s="35" t="s">
        <v>199</v>
      </c>
      <c r="C181" s="34">
        <v>240</v>
      </c>
      <c r="D181" s="35" t="s">
        <v>200</v>
      </c>
      <c r="E181" s="35" t="s">
        <v>481</v>
      </c>
      <c r="F181" s="35"/>
      <c r="G181" s="80" t="s">
        <v>603</v>
      </c>
      <c r="H181" s="35" t="s">
        <v>478</v>
      </c>
      <c r="I181" s="35" t="s">
        <v>595</v>
      </c>
      <c r="J181" s="80" t="s">
        <v>459</v>
      </c>
      <c r="K181" s="35" t="s">
        <v>602</v>
      </c>
      <c r="L181" s="35"/>
      <c r="M181" s="35" t="s">
        <v>484</v>
      </c>
      <c r="N181" s="47" t="s">
        <v>480</v>
      </c>
      <c r="O181" s="45">
        <v>1</v>
      </c>
      <c r="P181" s="40"/>
    </row>
    <row r="182" spans="1:16" s="41" customFormat="1" ht="179.25" customHeight="1">
      <c r="A182" s="48">
        <v>124</v>
      </c>
      <c r="B182" s="49" t="s">
        <v>202</v>
      </c>
      <c r="C182" s="48" t="s">
        <v>417</v>
      </c>
      <c r="D182" s="49" t="s">
        <v>203</v>
      </c>
      <c r="E182" s="49" t="s">
        <v>429</v>
      </c>
      <c r="F182" s="49"/>
      <c r="G182" s="29" t="s">
        <v>575</v>
      </c>
      <c r="H182" s="49" t="s">
        <v>482</v>
      </c>
      <c r="I182" s="49" t="s">
        <v>595</v>
      </c>
      <c r="J182" s="29" t="s">
        <v>468</v>
      </c>
      <c r="K182" s="49"/>
      <c r="L182" s="49" t="s">
        <v>483</v>
      </c>
      <c r="M182" s="49" t="s">
        <v>484</v>
      </c>
      <c r="N182" s="50" t="s">
        <v>482</v>
      </c>
      <c r="O182" s="45"/>
      <c r="P182" s="40"/>
    </row>
    <row r="183" spans="1:16" s="41" customFormat="1" ht="30" customHeight="1">
      <c r="A183" s="34">
        <v>125</v>
      </c>
      <c r="B183" s="35" t="s">
        <v>205</v>
      </c>
      <c r="C183" s="34" t="s">
        <v>418</v>
      </c>
      <c r="D183" s="35" t="s">
        <v>206</v>
      </c>
      <c r="E183" s="35" t="s">
        <v>438</v>
      </c>
      <c r="F183" s="35"/>
      <c r="G183" s="80" t="s">
        <v>179</v>
      </c>
      <c r="H183" s="35" t="s">
        <v>485</v>
      </c>
      <c r="I183" s="35" t="s">
        <v>594</v>
      </c>
      <c r="J183" s="80" t="s">
        <v>462</v>
      </c>
      <c r="K183" s="35" t="s">
        <v>578</v>
      </c>
      <c r="L183" s="35" t="s">
        <v>584</v>
      </c>
      <c r="M183" s="35" t="s">
        <v>487</v>
      </c>
      <c r="N183" s="47" t="s">
        <v>486</v>
      </c>
      <c r="O183" s="45">
        <v>1</v>
      </c>
      <c r="P183" s="40"/>
    </row>
    <row r="184" spans="1:16" s="41" customFormat="1" ht="30" customHeight="1">
      <c r="A184" s="34"/>
      <c r="B184" s="35"/>
      <c r="C184" s="34"/>
      <c r="D184" s="35"/>
      <c r="E184" s="35"/>
      <c r="F184" s="35"/>
      <c r="G184" s="80" t="s">
        <v>208</v>
      </c>
      <c r="H184" s="35"/>
      <c r="I184" s="35"/>
      <c r="J184" s="80"/>
      <c r="K184" s="35" t="s">
        <v>207</v>
      </c>
      <c r="L184" s="35"/>
      <c r="M184" s="35"/>
      <c r="N184" s="47"/>
      <c r="O184" s="45"/>
      <c r="P184" s="40"/>
    </row>
    <row r="185" spans="1:16" s="41" customFormat="1" ht="30" customHeight="1">
      <c r="A185" s="34"/>
      <c r="B185" s="35"/>
      <c r="C185" s="34"/>
      <c r="D185" s="35"/>
      <c r="E185" s="35"/>
      <c r="F185" s="35"/>
      <c r="G185" s="80" t="s">
        <v>209</v>
      </c>
      <c r="H185" s="35"/>
      <c r="I185" s="35"/>
      <c r="J185" s="80"/>
      <c r="K185" s="35"/>
      <c r="L185" s="35"/>
      <c r="M185" s="35"/>
      <c r="N185" s="47"/>
      <c r="O185" s="45"/>
      <c r="P185" s="40"/>
    </row>
    <row r="186" spans="1:16" s="41" customFormat="1" ht="30" customHeight="1">
      <c r="A186" s="34"/>
      <c r="B186" s="35"/>
      <c r="C186" s="34"/>
      <c r="D186" s="35"/>
      <c r="E186" s="35"/>
      <c r="F186" s="35"/>
      <c r="G186" s="80" t="s">
        <v>210</v>
      </c>
      <c r="H186" s="35"/>
      <c r="I186" s="35"/>
      <c r="J186" s="80"/>
      <c r="K186" s="35"/>
      <c r="L186" s="35"/>
      <c r="M186" s="35"/>
      <c r="N186" s="47"/>
      <c r="O186" s="45"/>
      <c r="P186" s="40"/>
    </row>
    <row r="187" spans="1:16" s="41" customFormat="1" ht="30" customHeight="1">
      <c r="A187" s="34"/>
      <c r="B187" s="35"/>
      <c r="C187" s="34"/>
      <c r="D187" s="35"/>
      <c r="E187" s="35"/>
      <c r="F187" s="35"/>
      <c r="G187" s="80" t="s">
        <v>211</v>
      </c>
      <c r="H187" s="35"/>
      <c r="I187" s="35"/>
      <c r="J187" s="80"/>
      <c r="K187" s="35"/>
      <c r="L187" s="35"/>
      <c r="M187" s="35"/>
      <c r="N187" s="47"/>
      <c r="O187" s="45"/>
      <c r="P187" s="40"/>
    </row>
    <row r="188" spans="1:16" s="41" customFormat="1" ht="30" customHeight="1">
      <c r="A188" s="34"/>
      <c r="B188" s="35"/>
      <c r="C188" s="34"/>
      <c r="D188" s="35"/>
      <c r="E188" s="35"/>
      <c r="F188" s="35"/>
      <c r="G188" s="80" t="s">
        <v>136</v>
      </c>
      <c r="H188" s="35"/>
      <c r="I188" s="35"/>
      <c r="J188" s="80"/>
      <c r="K188" s="35"/>
      <c r="L188" s="35"/>
      <c r="M188" s="35"/>
      <c r="N188" s="47"/>
      <c r="O188" s="45"/>
      <c r="P188" s="40"/>
    </row>
    <row r="189" spans="1:16" s="41" customFormat="1" ht="30" customHeight="1">
      <c r="A189" s="34"/>
      <c r="B189" s="35"/>
      <c r="C189" s="34"/>
      <c r="D189" s="35"/>
      <c r="E189" s="35"/>
      <c r="F189" s="35"/>
      <c r="G189" s="80" t="s">
        <v>195</v>
      </c>
      <c r="H189" s="35"/>
      <c r="I189" s="35"/>
      <c r="J189" s="80"/>
      <c r="K189" s="35"/>
      <c r="L189" s="35"/>
      <c r="M189" s="35"/>
      <c r="N189" s="47"/>
      <c r="O189" s="45"/>
      <c r="P189" s="40"/>
    </row>
    <row r="190" spans="1:16" s="41" customFormat="1" ht="30" customHeight="1">
      <c r="A190" s="34"/>
      <c r="B190" s="35"/>
      <c r="C190" s="34"/>
      <c r="D190" s="35"/>
      <c r="E190" s="35"/>
      <c r="F190" s="35"/>
      <c r="G190" s="80" t="s">
        <v>114</v>
      </c>
      <c r="H190" s="35"/>
      <c r="I190" s="35"/>
      <c r="J190" s="80"/>
      <c r="K190" s="35"/>
      <c r="L190" s="35"/>
      <c r="M190" s="35"/>
      <c r="N190" s="47"/>
      <c r="O190" s="45"/>
      <c r="P190" s="40"/>
    </row>
    <row r="191" spans="1:16" s="41" customFormat="1" ht="30" customHeight="1">
      <c r="A191" s="34"/>
      <c r="B191" s="35"/>
      <c r="C191" s="34"/>
      <c r="D191" s="35"/>
      <c r="E191" s="35"/>
      <c r="F191" s="35"/>
      <c r="G191" s="80" t="s">
        <v>72</v>
      </c>
      <c r="H191" s="35"/>
      <c r="I191" s="35"/>
      <c r="J191" s="80"/>
      <c r="K191" s="35"/>
      <c r="L191" s="35"/>
      <c r="M191" s="35"/>
      <c r="N191" s="47"/>
      <c r="O191" s="45"/>
      <c r="P191" s="40"/>
    </row>
    <row r="192" spans="1:16" s="41" customFormat="1" ht="30" customHeight="1">
      <c r="A192" s="34"/>
      <c r="B192" s="35"/>
      <c r="C192" s="34"/>
      <c r="D192" s="35"/>
      <c r="E192" s="35"/>
      <c r="F192" s="35"/>
      <c r="G192" s="80" t="s">
        <v>178</v>
      </c>
      <c r="H192" s="35"/>
      <c r="I192" s="35"/>
      <c r="J192" s="80"/>
      <c r="K192" s="35"/>
      <c r="L192" s="35"/>
      <c r="M192" s="35"/>
      <c r="N192" s="47"/>
      <c r="O192" s="45"/>
      <c r="P192" s="40"/>
    </row>
    <row r="193" spans="1:16" s="41" customFormat="1" ht="30" customHeight="1">
      <c r="A193" s="34"/>
      <c r="B193" s="35"/>
      <c r="C193" s="34"/>
      <c r="D193" s="35"/>
      <c r="E193" s="35"/>
      <c r="F193" s="35"/>
      <c r="G193" s="80" t="s">
        <v>180</v>
      </c>
      <c r="H193" s="35"/>
      <c r="I193" s="35"/>
      <c r="J193" s="80"/>
      <c r="K193" s="35"/>
      <c r="L193" s="35"/>
      <c r="M193" s="35"/>
      <c r="N193" s="47"/>
      <c r="O193" s="45"/>
      <c r="P193" s="40"/>
    </row>
    <row r="194" spans="1:16" s="41" customFormat="1" ht="30" customHeight="1">
      <c r="A194" s="34"/>
      <c r="B194" s="35"/>
      <c r="C194" s="34"/>
      <c r="D194" s="35"/>
      <c r="E194" s="35"/>
      <c r="F194" s="35"/>
      <c r="G194" s="80" t="s">
        <v>182</v>
      </c>
      <c r="H194" s="35"/>
      <c r="I194" s="35"/>
      <c r="J194" s="80"/>
      <c r="K194" s="35"/>
      <c r="L194" s="35"/>
      <c r="M194" s="35"/>
      <c r="N194" s="47"/>
      <c r="O194" s="45"/>
      <c r="P194" s="40"/>
    </row>
    <row r="195" spans="1:16" s="41" customFormat="1" ht="30" customHeight="1">
      <c r="A195" s="34"/>
      <c r="B195" s="35"/>
      <c r="C195" s="34"/>
      <c r="D195" s="35"/>
      <c r="E195" s="35"/>
      <c r="F195" s="35"/>
      <c r="G195" s="80" t="s">
        <v>181</v>
      </c>
      <c r="H195" s="35"/>
      <c r="I195" s="35"/>
      <c r="J195" s="80"/>
      <c r="K195" s="35"/>
      <c r="L195" s="35"/>
      <c r="M195" s="35"/>
      <c r="N195" s="47"/>
      <c r="O195" s="45"/>
      <c r="P195" s="40"/>
    </row>
    <row r="196" spans="1:16" s="41" customFormat="1" ht="30" customHeight="1">
      <c r="A196" s="34"/>
      <c r="B196" s="35"/>
      <c r="C196" s="34"/>
      <c r="D196" s="35"/>
      <c r="E196" s="35"/>
      <c r="F196" s="35"/>
      <c r="G196" s="80" t="s">
        <v>134</v>
      </c>
      <c r="H196" s="35"/>
      <c r="I196" s="35"/>
      <c r="J196" s="80"/>
      <c r="K196" s="35"/>
      <c r="L196" s="35"/>
      <c r="M196" s="35"/>
      <c r="N196" s="47"/>
      <c r="O196" s="45"/>
      <c r="P196" s="40"/>
    </row>
    <row r="197" spans="1:16" s="41" customFormat="1" ht="30" customHeight="1">
      <c r="A197" s="34"/>
      <c r="B197" s="35"/>
      <c r="C197" s="34"/>
      <c r="D197" s="35"/>
      <c r="E197" s="35"/>
      <c r="F197" s="35"/>
      <c r="G197" s="80" t="s">
        <v>173</v>
      </c>
      <c r="H197" s="35"/>
      <c r="I197" s="35"/>
      <c r="J197" s="80"/>
      <c r="K197" s="35"/>
      <c r="L197" s="35"/>
      <c r="M197" s="35"/>
      <c r="N197" s="47"/>
      <c r="O197" s="45"/>
      <c r="P197" s="40"/>
    </row>
    <row r="198" spans="1:16" s="41" customFormat="1" ht="30" customHeight="1">
      <c r="A198" s="34"/>
      <c r="B198" s="35"/>
      <c r="C198" s="34"/>
      <c r="D198" s="35"/>
      <c r="E198" s="35"/>
      <c r="F198" s="35"/>
      <c r="G198" s="80" t="s">
        <v>204</v>
      </c>
      <c r="H198" s="35"/>
      <c r="I198" s="35"/>
      <c r="J198" s="80"/>
      <c r="K198" s="35"/>
      <c r="L198" s="35"/>
      <c r="M198" s="35"/>
      <c r="N198" s="47"/>
      <c r="O198" s="45"/>
      <c r="P198" s="40"/>
    </row>
    <row r="199" spans="1:16" s="41" customFormat="1" ht="30" customHeight="1">
      <c r="A199" s="34"/>
      <c r="B199" s="35"/>
      <c r="C199" s="34"/>
      <c r="D199" s="35"/>
      <c r="E199" s="35"/>
      <c r="F199" s="35"/>
      <c r="G199" s="80" t="s">
        <v>201</v>
      </c>
      <c r="H199" s="35"/>
      <c r="I199" s="35"/>
      <c r="J199" s="80"/>
      <c r="K199" s="35"/>
      <c r="L199" s="35"/>
      <c r="M199" s="35"/>
      <c r="N199" s="47"/>
      <c r="O199" s="45"/>
      <c r="P199" s="40"/>
    </row>
    <row r="200" spans="1:16" s="41" customFormat="1" ht="30" customHeight="1">
      <c r="A200" s="34"/>
      <c r="B200" s="35"/>
      <c r="C200" s="34"/>
      <c r="D200" s="35"/>
      <c r="E200" s="35"/>
      <c r="F200" s="35"/>
      <c r="G200" s="80" t="s">
        <v>52</v>
      </c>
      <c r="H200" s="35"/>
      <c r="I200" s="35"/>
      <c r="J200" s="80"/>
      <c r="K200" s="35"/>
      <c r="L200" s="35"/>
      <c r="M200" s="35"/>
      <c r="N200" s="47"/>
      <c r="O200" s="45"/>
      <c r="P200" s="40"/>
    </row>
    <row r="201" spans="1:16" s="41" customFormat="1" ht="30" customHeight="1">
      <c r="A201" s="34"/>
      <c r="B201" s="35"/>
      <c r="C201" s="34"/>
      <c r="D201" s="35"/>
      <c r="E201" s="35"/>
      <c r="F201" s="35"/>
      <c r="G201" s="80" t="s">
        <v>212</v>
      </c>
      <c r="H201" s="35"/>
      <c r="I201" s="35"/>
      <c r="J201" s="80"/>
      <c r="K201" s="35"/>
      <c r="L201" s="35"/>
      <c r="M201" s="35"/>
      <c r="N201" s="47"/>
      <c r="O201" s="45"/>
      <c r="P201" s="40"/>
    </row>
    <row r="202" spans="1:16" s="41" customFormat="1" ht="30" customHeight="1">
      <c r="A202" s="34"/>
      <c r="B202" s="35"/>
      <c r="C202" s="34"/>
      <c r="D202" s="35"/>
      <c r="E202" s="35"/>
      <c r="F202" s="35"/>
      <c r="G202" s="80" t="s">
        <v>213</v>
      </c>
      <c r="H202" s="35"/>
      <c r="I202" s="35"/>
      <c r="J202" s="80"/>
      <c r="K202" s="35"/>
      <c r="L202" s="35"/>
      <c r="M202" s="35"/>
      <c r="N202" s="47"/>
      <c r="O202" s="45"/>
      <c r="P202" s="40"/>
    </row>
    <row r="203" spans="1:16" s="41" customFormat="1" ht="30" customHeight="1">
      <c r="A203" s="34"/>
      <c r="B203" s="35"/>
      <c r="C203" s="34"/>
      <c r="D203" s="35"/>
      <c r="E203" s="35"/>
      <c r="F203" s="35"/>
      <c r="G203" s="80" t="s">
        <v>161</v>
      </c>
      <c r="H203" s="35"/>
      <c r="I203" s="35"/>
      <c r="J203" s="80"/>
      <c r="K203" s="35"/>
      <c r="L203" s="35"/>
      <c r="M203" s="35"/>
      <c r="N203" s="47"/>
      <c r="O203" s="45"/>
      <c r="P203" s="40"/>
    </row>
    <row r="204" spans="1:16" s="41" customFormat="1" ht="30" customHeight="1">
      <c r="A204" s="42">
        <v>126</v>
      </c>
      <c r="B204" s="43" t="s">
        <v>214</v>
      </c>
      <c r="C204" s="42">
        <v>247</v>
      </c>
      <c r="D204" s="43" t="s">
        <v>215</v>
      </c>
      <c r="E204" s="43" t="s">
        <v>431</v>
      </c>
      <c r="F204" s="43"/>
      <c r="G204" s="65" t="s">
        <v>621</v>
      </c>
      <c r="H204" s="43"/>
      <c r="I204" s="43"/>
      <c r="J204" s="65"/>
      <c r="K204" s="43"/>
      <c r="L204" s="43"/>
      <c r="M204" s="43"/>
      <c r="N204" s="66"/>
      <c r="O204" s="45">
        <v>1</v>
      </c>
      <c r="P204" s="40"/>
    </row>
    <row r="205" spans="1:16" s="41" customFormat="1" ht="30" customHeight="1">
      <c r="A205" s="34">
        <v>127</v>
      </c>
      <c r="B205" s="35" t="s">
        <v>76</v>
      </c>
      <c r="C205" s="34"/>
      <c r="D205" s="35"/>
      <c r="E205" s="35" t="s">
        <v>435</v>
      </c>
      <c r="F205" s="35" t="s">
        <v>13</v>
      </c>
      <c r="G205" s="46"/>
      <c r="H205" s="44"/>
      <c r="I205" s="44"/>
      <c r="J205" s="46"/>
      <c r="K205" s="44"/>
      <c r="L205" s="44"/>
      <c r="M205" s="44"/>
      <c r="N205" s="44"/>
      <c r="O205" s="45"/>
      <c r="P205" s="40"/>
    </row>
    <row r="206" spans="1:16" s="41" customFormat="1" ht="30" customHeight="1">
      <c r="A206" s="48">
        <v>128</v>
      </c>
      <c r="B206" s="49" t="s">
        <v>106</v>
      </c>
      <c r="C206" s="48"/>
      <c r="D206" s="49"/>
      <c r="E206" s="49" t="s">
        <v>438</v>
      </c>
      <c r="F206" s="49"/>
      <c r="G206" s="29" t="s">
        <v>105</v>
      </c>
      <c r="H206" s="49" t="s">
        <v>440</v>
      </c>
      <c r="I206" s="49" t="s">
        <v>595</v>
      </c>
      <c r="J206" s="29" t="s">
        <v>468</v>
      </c>
      <c r="K206" s="49"/>
      <c r="L206" s="29" t="s">
        <v>105</v>
      </c>
      <c r="M206" s="49" t="s">
        <v>613</v>
      </c>
      <c r="N206" s="50"/>
      <c r="O206" s="45"/>
      <c r="P206" s="40"/>
    </row>
    <row r="207" spans="1:16" s="41" customFormat="1" ht="30" customHeight="1">
      <c r="A207" s="51"/>
      <c r="B207" s="52"/>
      <c r="C207" s="51"/>
      <c r="D207" s="52"/>
      <c r="E207" s="52"/>
      <c r="F207" s="52"/>
      <c r="G207" s="53" t="s">
        <v>119</v>
      </c>
      <c r="H207" s="52"/>
      <c r="I207" s="52"/>
      <c r="J207" s="53"/>
      <c r="K207" s="52"/>
      <c r="L207" s="53" t="s">
        <v>119</v>
      </c>
      <c r="M207" s="52"/>
      <c r="N207" s="54"/>
      <c r="O207" s="45"/>
      <c r="P207" s="40"/>
    </row>
    <row r="208" spans="1:16" s="41" customFormat="1" ht="30" customHeight="1">
      <c r="A208" s="34">
        <v>129</v>
      </c>
      <c r="B208" s="35" t="s">
        <v>216</v>
      </c>
      <c r="C208" s="34" t="s">
        <v>419</v>
      </c>
      <c r="D208" s="35"/>
      <c r="E208" s="35" t="s">
        <v>438</v>
      </c>
      <c r="F208" s="35"/>
      <c r="G208" s="35" t="s">
        <v>105</v>
      </c>
      <c r="H208" s="35" t="s">
        <v>440</v>
      </c>
      <c r="I208" s="35" t="s">
        <v>595</v>
      </c>
      <c r="J208" s="35" t="s">
        <v>468</v>
      </c>
      <c r="K208" s="35"/>
      <c r="L208" s="35" t="s">
        <v>105</v>
      </c>
      <c r="M208" s="35" t="s">
        <v>613</v>
      </c>
      <c r="N208" s="47"/>
      <c r="O208" s="45"/>
      <c r="P208" s="40"/>
    </row>
    <row r="209" spans="1:16" s="41" customFormat="1" ht="30" customHeight="1">
      <c r="A209" s="34"/>
      <c r="B209" s="35"/>
      <c r="C209" s="34"/>
      <c r="D209" s="35"/>
      <c r="E209" s="35"/>
      <c r="F209" s="35"/>
      <c r="G209" s="35" t="s">
        <v>119</v>
      </c>
      <c r="H209" s="35"/>
      <c r="I209" s="35"/>
      <c r="J209" s="35"/>
      <c r="K209" s="35"/>
      <c r="L209" s="35" t="s">
        <v>119</v>
      </c>
      <c r="M209" s="35"/>
      <c r="N209" s="47"/>
      <c r="O209" s="45"/>
      <c r="P209" s="40"/>
    </row>
    <row r="210" spans="1:16" s="41" customFormat="1" ht="30" customHeight="1">
      <c r="A210" s="42">
        <v>130</v>
      </c>
      <c r="B210" s="43" t="s">
        <v>76</v>
      </c>
      <c r="C210" s="42"/>
      <c r="D210" s="43"/>
      <c r="E210" s="43" t="s">
        <v>435</v>
      </c>
      <c r="F210" s="43" t="s">
        <v>13</v>
      </c>
      <c r="G210" s="44"/>
      <c r="H210" s="44"/>
      <c r="I210" s="44"/>
      <c r="J210" s="44"/>
      <c r="K210" s="44"/>
      <c r="L210" s="44"/>
      <c r="M210" s="44"/>
      <c r="N210" s="44"/>
      <c r="O210" s="45"/>
      <c r="P210" s="40"/>
    </row>
    <row r="211" spans="1:16" s="41" customFormat="1" ht="30" customHeight="1">
      <c r="A211" s="34">
        <v>131</v>
      </c>
      <c r="B211" s="35" t="s">
        <v>217</v>
      </c>
      <c r="C211" s="34">
        <v>253</v>
      </c>
      <c r="D211" s="35"/>
      <c r="E211" s="35" t="s">
        <v>435</v>
      </c>
      <c r="F211" s="35" t="s">
        <v>13</v>
      </c>
      <c r="G211" s="46"/>
      <c r="H211" s="44"/>
      <c r="I211" s="44"/>
      <c r="J211" s="46"/>
      <c r="K211" s="44"/>
      <c r="L211" s="44"/>
      <c r="M211" s="44"/>
      <c r="N211" s="44"/>
      <c r="O211" s="45"/>
      <c r="P211" s="40"/>
    </row>
    <row r="212" spans="1:16" s="41" customFormat="1" ht="30" customHeight="1">
      <c r="A212" s="48">
        <v>132</v>
      </c>
      <c r="B212" s="49" t="s">
        <v>218</v>
      </c>
      <c r="C212" s="48"/>
      <c r="D212" s="49" t="s">
        <v>219</v>
      </c>
      <c r="E212" s="49" t="s">
        <v>437</v>
      </c>
      <c r="F212" s="49"/>
      <c r="G212" s="29" t="s">
        <v>63</v>
      </c>
      <c r="H212" s="49" t="s">
        <v>441</v>
      </c>
      <c r="I212" s="49" t="s">
        <v>595</v>
      </c>
      <c r="J212" s="29" t="s">
        <v>459</v>
      </c>
      <c r="K212" s="49" t="s">
        <v>563</v>
      </c>
      <c r="L212" s="29" t="s">
        <v>63</v>
      </c>
      <c r="M212" s="49" t="s">
        <v>443</v>
      </c>
      <c r="N212" s="50"/>
      <c r="O212" s="45"/>
      <c r="P212" s="40"/>
    </row>
    <row r="213" spans="1:16" s="41" customFormat="1" ht="30" customHeight="1">
      <c r="A213" s="55"/>
      <c r="B213" s="56"/>
      <c r="C213" s="55"/>
      <c r="D213" s="56"/>
      <c r="E213" s="56"/>
      <c r="F213" s="56"/>
      <c r="G213" s="57" t="s">
        <v>220</v>
      </c>
      <c r="H213" s="56"/>
      <c r="I213" s="56"/>
      <c r="J213" s="57"/>
      <c r="K213" s="56"/>
      <c r="L213" s="57" t="s">
        <v>220</v>
      </c>
      <c r="M213" s="56"/>
      <c r="N213" s="58"/>
      <c r="O213" s="45"/>
      <c r="P213" s="40"/>
    </row>
    <row r="214" spans="1:16" s="41" customFormat="1" ht="30" customHeight="1">
      <c r="A214" s="55"/>
      <c r="B214" s="56"/>
      <c r="C214" s="55"/>
      <c r="D214" s="56"/>
      <c r="E214" s="56"/>
      <c r="F214" s="56"/>
      <c r="G214" s="57" t="s">
        <v>79</v>
      </c>
      <c r="H214" s="56"/>
      <c r="I214" s="56"/>
      <c r="J214" s="57"/>
      <c r="K214" s="56"/>
      <c r="L214" s="57" t="s">
        <v>79</v>
      </c>
      <c r="M214" s="56"/>
      <c r="N214" s="58"/>
      <c r="O214" s="45"/>
      <c r="P214" s="40"/>
    </row>
    <row r="215" spans="1:16" s="41" customFormat="1" ht="30" customHeight="1">
      <c r="A215" s="55"/>
      <c r="B215" s="56"/>
      <c r="C215" s="55"/>
      <c r="D215" s="56"/>
      <c r="E215" s="56"/>
      <c r="F215" s="56"/>
      <c r="G215" s="57" t="s">
        <v>585</v>
      </c>
      <c r="H215" s="56"/>
      <c r="I215" s="56"/>
      <c r="J215" s="57"/>
      <c r="K215" s="56"/>
      <c r="L215" s="57" t="s">
        <v>585</v>
      </c>
      <c r="M215" s="56"/>
      <c r="N215" s="58"/>
      <c r="O215" s="45"/>
      <c r="P215" s="40"/>
    </row>
    <row r="216" spans="1:16" s="41" customFormat="1" ht="30" customHeight="1">
      <c r="A216" s="55"/>
      <c r="B216" s="56"/>
      <c r="C216" s="55"/>
      <c r="D216" s="56"/>
      <c r="E216" s="56"/>
      <c r="F216" s="56"/>
      <c r="G216" s="57" t="s">
        <v>221</v>
      </c>
      <c r="H216" s="56"/>
      <c r="I216" s="56"/>
      <c r="J216" s="57"/>
      <c r="K216" s="56"/>
      <c r="L216" s="57" t="s">
        <v>221</v>
      </c>
      <c r="M216" s="56"/>
      <c r="N216" s="58"/>
      <c r="O216" s="45"/>
      <c r="P216" s="40"/>
    </row>
    <row r="217" spans="1:16" s="41" customFormat="1" ht="30" customHeight="1">
      <c r="A217" s="55"/>
      <c r="B217" s="56"/>
      <c r="C217" s="55"/>
      <c r="D217" s="56"/>
      <c r="E217" s="56"/>
      <c r="F217" s="56"/>
      <c r="G217" s="57" t="s">
        <v>222</v>
      </c>
      <c r="H217" s="56"/>
      <c r="I217" s="56"/>
      <c r="J217" s="57"/>
      <c r="K217" s="56"/>
      <c r="L217" s="57" t="s">
        <v>222</v>
      </c>
      <c r="M217" s="56"/>
      <c r="N217" s="58"/>
      <c r="O217" s="45"/>
      <c r="P217" s="40"/>
    </row>
    <row r="218" spans="1:16" s="41" customFormat="1" ht="30" customHeight="1">
      <c r="A218" s="55"/>
      <c r="B218" s="56"/>
      <c r="C218" s="55"/>
      <c r="D218" s="56"/>
      <c r="E218" s="56"/>
      <c r="F218" s="56"/>
      <c r="G218" s="57" t="s">
        <v>64</v>
      </c>
      <c r="H218" s="56"/>
      <c r="I218" s="56"/>
      <c r="J218" s="57"/>
      <c r="K218" s="56"/>
      <c r="L218" s="57" t="s">
        <v>64</v>
      </c>
      <c r="M218" s="56"/>
      <c r="N218" s="58"/>
      <c r="O218" s="45"/>
      <c r="P218" s="40"/>
    </row>
    <row r="219" spans="1:16" s="41" customFormat="1" ht="30" customHeight="1">
      <c r="A219" s="51"/>
      <c r="B219" s="52"/>
      <c r="C219" s="51"/>
      <c r="D219" s="52"/>
      <c r="E219" s="52"/>
      <c r="F219" s="52"/>
      <c r="G219" s="53" t="s">
        <v>223</v>
      </c>
      <c r="H219" s="52"/>
      <c r="I219" s="52"/>
      <c r="J219" s="53"/>
      <c r="K219" s="52"/>
      <c r="L219" s="53" t="s">
        <v>223</v>
      </c>
      <c r="M219" s="52"/>
      <c r="N219" s="54"/>
      <c r="O219" s="45"/>
      <c r="P219" s="40"/>
    </row>
    <row r="220" spans="1:16" s="41" customFormat="1" ht="30" customHeight="1">
      <c r="A220" s="34">
        <v>133</v>
      </c>
      <c r="B220" s="35" t="s">
        <v>224</v>
      </c>
      <c r="C220" s="34"/>
      <c r="D220" s="35"/>
      <c r="E220" s="35" t="s">
        <v>437</v>
      </c>
      <c r="F220" s="35" t="s">
        <v>35</v>
      </c>
      <c r="G220" s="46"/>
      <c r="H220" s="44"/>
      <c r="I220" s="44"/>
      <c r="J220" s="46"/>
      <c r="K220" s="44"/>
      <c r="L220" s="44"/>
      <c r="M220" s="44"/>
      <c r="N220" s="44"/>
      <c r="O220" s="45"/>
      <c r="P220" s="40"/>
    </row>
    <row r="221" spans="1:16" s="41" customFormat="1" ht="30" customHeight="1">
      <c r="A221" s="48">
        <v>134</v>
      </c>
      <c r="B221" s="29" t="s">
        <v>225</v>
      </c>
      <c r="C221" s="29"/>
      <c r="D221" s="29"/>
      <c r="E221" s="29" t="s">
        <v>437</v>
      </c>
      <c r="F221" s="29"/>
      <c r="G221" s="29" t="s">
        <v>220</v>
      </c>
      <c r="H221" s="49" t="s">
        <v>441</v>
      </c>
      <c r="I221" s="49" t="s">
        <v>595</v>
      </c>
      <c r="J221" s="29" t="s">
        <v>459</v>
      </c>
      <c r="K221" s="49" t="s">
        <v>563</v>
      </c>
      <c r="L221" s="29" t="s">
        <v>220</v>
      </c>
      <c r="M221" s="29" t="s">
        <v>443</v>
      </c>
      <c r="N221" s="67"/>
      <c r="O221" s="45"/>
      <c r="P221" s="40"/>
    </row>
    <row r="222" spans="1:16" s="41" customFormat="1" ht="30" customHeight="1">
      <c r="A222" s="55"/>
      <c r="B222" s="57"/>
      <c r="C222" s="57"/>
      <c r="D222" s="57"/>
      <c r="E222" s="57"/>
      <c r="F222" s="57"/>
      <c r="G222" s="57" t="s">
        <v>79</v>
      </c>
      <c r="H222" s="57"/>
      <c r="I222" s="57"/>
      <c r="J222" s="57"/>
      <c r="K222" s="57"/>
      <c r="L222" s="57" t="s">
        <v>79</v>
      </c>
      <c r="M222" s="57"/>
      <c r="N222" s="68"/>
      <c r="O222" s="45"/>
      <c r="P222" s="40"/>
    </row>
    <row r="223" spans="1:16" s="41" customFormat="1" ht="30" customHeight="1">
      <c r="A223" s="55"/>
      <c r="B223" s="57"/>
      <c r="C223" s="57"/>
      <c r="D223" s="57"/>
      <c r="E223" s="57"/>
      <c r="F223" s="57"/>
      <c r="G223" s="57" t="s">
        <v>585</v>
      </c>
      <c r="H223" s="57"/>
      <c r="I223" s="57"/>
      <c r="J223" s="57"/>
      <c r="K223" s="57"/>
      <c r="L223" s="57" t="s">
        <v>585</v>
      </c>
      <c r="M223" s="57"/>
      <c r="N223" s="68"/>
      <c r="O223" s="45"/>
      <c r="P223" s="40"/>
    </row>
    <row r="224" spans="1:16" s="41" customFormat="1" ht="30" customHeight="1">
      <c r="A224" s="55"/>
      <c r="B224" s="57"/>
      <c r="C224" s="57"/>
      <c r="D224" s="57"/>
      <c r="E224" s="57"/>
      <c r="F224" s="57"/>
      <c r="G224" s="57" t="s">
        <v>221</v>
      </c>
      <c r="H224" s="57"/>
      <c r="I224" s="57"/>
      <c r="J224" s="57"/>
      <c r="K224" s="57"/>
      <c r="L224" s="57" t="s">
        <v>221</v>
      </c>
      <c r="M224" s="57"/>
      <c r="N224" s="68"/>
      <c r="O224" s="45"/>
      <c r="P224" s="40"/>
    </row>
    <row r="225" spans="1:16" s="41" customFormat="1" ht="30" customHeight="1">
      <c r="A225" s="55"/>
      <c r="B225" s="57"/>
      <c r="C225" s="57"/>
      <c r="D225" s="57"/>
      <c r="E225" s="57"/>
      <c r="F225" s="57"/>
      <c r="G225" s="57" t="s">
        <v>222</v>
      </c>
      <c r="H225" s="57"/>
      <c r="I225" s="57"/>
      <c r="J225" s="57"/>
      <c r="K225" s="57"/>
      <c r="L225" s="57" t="s">
        <v>222</v>
      </c>
      <c r="M225" s="57"/>
      <c r="N225" s="68"/>
      <c r="O225" s="45"/>
      <c r="P225" s="40"/>
    </row>
    <row r="226" spans="1:16" s="41" customFormat="1" ht="30" customHeight="1">
      <c r="A226" s="55"/>
      <c r="B226" s="57"/>
      <c r="C226" s="57"/>
      <c r="D226" s="57"/>
      <c r="E226" s="57"/>
      <c r="F226" s="57"/>
      <c r="G226" s="57" t="s">
        <v>64</v>
      </c>
      <c r="H226" s="57"/>
      <c r="I226" s="57"/>
      <c r="J226" s="57"/>
      <c r="K226" s="57"/>
      <c r="L226" s="57" t="s">
        <v>64</v>
      </c>
      <c r="M226" s="57"/>
      <c r="N226" s="68"/>
      <c r="O226" s="45"/>
      <c r="P226" s="40"/>
    </row>
    <row r="227" spans="1:16" s="41" customFormat="1" ht="30" customHeight="1">
      <c r="A227" s="51"/>
      <c r="B227" s="53"/>
      <c r="C227" s="53"/>
      <c r="D227" s="53"/>
      <c r="E227" s="53"/>
      <c r="F227" s="53"/>
      <c r="G227" s="53" t="s">
        <v>223</v>
      </c>
      <c r="H227" s="53"/>
      <c r="I227" s="53"/>
      <c r="J227" s="53"/>
      <c r="K227" s="53"/>
      <c r="L227" s="53" t="s">
        <v>223</v>
      </c>
      <c r="M227" s="53"/>
      <c r="N227" s="69"/>
      <c r="O227" s="45"/>
      <c r="P227" s="40"/>
    </row>
    <row r="228" spans="1:16" s="41" customFormat="1" ht="30" customHeight="1">
      <c r="A228" s="34">
        <v>135</v>
      </c>
      <c r="B228" s="35" t="s">
        <v>76</v>
      </c>
      <c r="C228" s="34" t="s">
        <v>420</v>
      </c>
      <c r="D228" s="35"/>
      <c r="E228" s="35" t="s">
        <v>435</v>
      </c>
      <c r="F228" s="35" t="s">
        <v>13</v>
      </c>
      <c r="G228" s="46"/>
      <c r="H228" s="44"/>
      <c r="I228" s="44"/>
      <c r="J228" s="46"/>
      <c r="K228" s="44"/>
      <c r="L228" s="44"/>
      <c r="M228" s="44"/>
      <c r="N228" s="44"/>
      <c r="O228" s="45"/>
      <c r="P228" s="40"/>
    </row>
    <row r="229" spans="1:16" s="41" customFormat="1" ht="75.75" customHeight="1">
      <c r="A229" s="42">
        <v>136</v>
      </c>
      <c r="B229" s="43" t="s">
        <v>226</v>
      </c>
      <c r="C229" s="42"/>
      <c r="D229" s="43"/>
      <c r="E229" s="43" t="s">
        <v>428</v>
      </c>
      <c r="F229" s="43"/>
      <c r="G229" s="43" t="s">
        <v>534</v>
      </c>
      <c r="H229" s="43"/>
      <c r="I229" s="43"/>
      <c r="J229" s="43"/>
      <c r="K229" s="43" t="s">
        <v>605</v>
      </c>
      <c r="L229" s="43"/>
      <c r="M229" s="43"/>
      <c r="N229" s="43"/>
      <c r="O229" s="45"/>
      <c r="P229" s="40"/>
    </row>
    <row r="230" spans="1:16" s="41" customFormat="1" ht="30" customHeight="1">
      <c r="A230" s="34">
        <v>137</v>
      </c>
      <c r="B230" s="35" t="s">
        <v>227</v>
      </c>
      <c r="C230" s="34"/>
      <c r="D230" s="35"/>
      <c r="E230" s="35" t="s">
        <v>431</v>
      </c>
      <c r="F230" s="35" t="s">
        <v>442</v>
      </c>
      <c r="G230" s="46"/>
      <c r="H230" s="44"/>
      <c r="I230" s="44"/>
      <c r="J230" s="46"/>
      <c r="K230" s="44"/>
      <c r="L230" s="44"/>
      <c r="M230" s="44"/>
      <c r="N230" s="44"/>
      <c r="O230" s="45"/>
      <c r="P230" s="40"/>
    </row>
    <row r="231" spans="1:16" s="41" customFormat="1" ht="30" customHeight="1">
      <c r="A231" s="48">
        <v>138</v>
      </c>
      <c r="B231" s="49" t="s">
        <v>228</v>
      </c>
      <c r="C231" s="48" t="s">
        <v>421</v>
      </c>
      <c r="D231" s="49"/>
      <c r="E231" s="43" t="s">
        <v>438</v>
      </c>
      <c r="F231" s="43"/>
      <c r="G231" s="29"/>
      <c r="H231" s="49"/>
      <c r="I231" s="49"/>
      <c r="J231" s="29"/>
      <c r="K231" s="49" t="s">
        <v>590</v>
      </c>
      <c r="L231" s="49"/>
      <c r="M231" s="49"/>
      <c r="N231" s="50"/>
      <c r="O231" s="45">
        <v>1</v>
      </c>
      <c r="P231" s="40"/>
    </row>
    <row r="232" spans="1:16" s="41" customFormat="1" ht="30" customHeight="1">
      <c r="A232" s="34">
        <v>139</v>
      </c>
      <c r="B232" s="35" t="s">
        <v>229</v>
      </c>
      <c r="C232" s="34"/>
      <c r="D232" s="35"/>
      <c r="E232" s="35" t="s">
        <v>438</v>
      </c>
      <c r="F232" s="35"/>
      <c r="G232" s="80"/>
      <c r="H232" s="35"/>
      <c r="I232" s="80"/>
      <c r="J232" s="80"/>
      <c r="K232" s="80" t="s">
        <v>590</v>
      </c>
      <c r="L232" s="35"/>
      <c r="M232" s="35"/>
      <c r="N232" s="47"/>
      <c r="O232" s="45">
        <v>1</v>
      </c>
      <c r="P232" s="40"/>
    </row>
    <row r="233" spans="1:16" s="41" customFormat="1" ht="30" customHeight="1">
      <c r="A233" s="42">
        <v>140</v>
      </c>
      <c r="B233" s="43" t="s">
        <v>230</v>
      </c>
      <c r="C233" s="42"/>
      <c r="D233" s="43"/>
      <c r="E233" s="43" t="s">
        <v>435</v>
      </c>
      <c r="F233" s="43" t="s">
        <v>35</v>
      </c>
      <c r="G233" s="44"/>
      <c r="H233" s="44"/>
      <c r="I233" s="44"/>
      <c r="J233" s="44"/>
      <c r="K233" s="44"/>
      <c r="L233" s="44"/>
      <c r="M233" s="44"/>
      <c r="N233" s="44"/>
      <c r="O233" s="45"/>
      <c r="P233" s="40"/>
    </row>
    <row r="234" spans="1:16" s="41" customFormat="1" ht="30" customHeight="1">
      <c r="A234" s="34">
        <v>141</v>
      </c>
      <c r="B234" s="35" t="s">
        <v>231</v>
      </c>
      <c r="C234" s="34"/>
      <c r="D234" s="35"/>
      <c r="E234" s="35" t="s">
        <v>435</v>
      </c>
      <c r="F234" s="35" t="s">
        <v>35</v>
      </c>
      <c r="G234" s="46"/>
      <c r="H234" s="44"/>
      <c r="I234" s="44"/>
      <c r="J234" s="46"/>
      <c r="K234" s="44"/>
      <c r="L234" s="44"/>
      <c r="M234" s="44"/>
      <c r="N234" s="44"/>
      <c r="O234" s="45"/>
      <c r="P234" s="40"/>
    </row>
    <row r="235" spans="1:16" s="41" customFormat="1" ht="30" customHeight="1">
      <c r="A235" s="42">
        <v>142</v>
      </c>
      <c r="B235" s="43" t="s">
        <v>232</v>
      </c>
      <c r="C235" s="42"/>
      <c r="D235" s="43"/>
      <c r="E235" s="43" t="s">
        <v>435</v>
      </c>
      <c r="F235" s="43" t="s">
        <v>442</v>
      </c>
      <c r="G235" s="44"/>
      <c r="H235" s="44"/>
      <c r="I235" s="44"/>
      <c r="J235" s="44"/>
      <c r="K235" s="44"/>
      <c r="L235" s="44"/>
      <c r="M235" s="44"/>
      <c r="N235" s="44"/>
      <c r="O235" s="45"/>
      <c r="P235" s="40"/>
    </row>
    <row r="236" spans="1:16" s="41" customFormat="1" ht="30" customHeight="1">
      <c r="A236" s="34">
        <v>143</v>
      </c>
      <c r="B236" s="35" t="s">
        <v>76</v>
      </c>
      <c r="C236" s="34"/>
      <c r="D236" s="35"/>
      <c r="E236" s="35" t="s">
        <v>435</v>
      </c>
      <c r="F236" s="35" t="s">
        <v>13</v>
      </c>
      <c r="G236" s="46"/>
      <c r="H236" s="44"/>
      <c r="I236" s="44"/>
      <c r="J236" s="46"/>
      <c r="K236" s="44"/>
      <c r="L236" s="44"/>
      <c r="M236" s="44"/>
      <c r="N236" s="44"/>
      <c r="O236" s="45"/>
      <c r="P236" s="40"/>
    </row>
    <row r="237" spans="1:16" s="41" customFormat="1" ht="30" customHeight="1">
      <c r="A237" s="42">
        <v>144</v>
      </c>
      <c r="B237" s="43" t="s">
        <v>233</v>
      </c>
      <c r="C237" s="42"/>
      <c r="D237" s="43"/>
      <c r="E237" s="43" t="s">
        <v>435</v>
      </c>
      <c r="F237" s="43" t="s">
        <v>35</v>
      </c>
      <c r="G237" s="44"/>
      <c r="H237" s="44"/>
      <c r="I237" s="44"/>
      <c r="J237" s="44"/>
      <c r="K237" s="44"/>
      <c r="L237" s="44"/>
      <c r="M237" s="44"/>
      <c r="N237" s="44"/>
      <c r="O237" s="45"/>
      <c r="P237" s="40"/>
    </row>
    <row r="238" spans="1:16" s="41" customFormat="1" ht="30" customHeight="1">
      <c r="A238" s="34">
        <v>145</v>
      </c>
      <c r="B238" s="35" t="s">
        <v>234</v>
      </c>
      <c r="C238" s="34"/>
      <c r="D238" s="35"/>
      <c r="E238" s="35" t="s">
        <v>435</v>
      </c>
      <c r="F238" s="35" t="s">
        <v>235</v>
      </c>
      <c r="G238" s="46"/>
      <c r="H238" s="44"/>
      <c r="I238" s="44"/>
      <c r="J238" s="46"/>
      <c r="K238" s="44"/>
      <c r="L238" s="44"/>
      <c r="M238" s="44"/>
      <c r="N238" s="44"/>
      <c r="O238" s="45"/>
      <c r="P238" s="40"/>
    </row>
    <row r="239" spans="1:16" s="41" customFormat="1" ht="30" customHeight="1">
      <c r="A239" s="42">
        <v>146</v>
      </c>
      <c r="B239" s="43" t="s">
        <v>236</v>
      </c>
      <c r="C239" s="42"/>
      <c r="D239" s="43"/>
      <c r="E239" s="43" t="s">
        <v>435</v>
      </c>
      <c r="F239" s="43" t="s">
        <v>235</v>
      </c>
      <c r="G239" s="44"/>
      <c r="H239" s="44"/>
      <c r="I239" s="44"/>
      <c r="J239" s="44"/>
      <c r="K239" s="44"/>
      <c r="L239" s="44"/>
      <c r="M239" s="44"/>
      <c r="N239" s="44"/>
      <c r="O239" s="45"/>
      <c r="P239" s="40"/>
    </row>
    <row r="240" spans="1:16" s="41" customFormat="1" ht="30" customHeight="1">
      <c r="A240" s="34">
        <v>147</v>
      </c>
      <c r="B240" s="35" t="s">
        <v>237</v>
      </c>
      <c r="C240" s="34"/>
      <c r="D240" s="35"/>
      <c r="E240" s="35" t="s">
        <v>435</v>
      </c>
      <c r="F240" s="35" t="s">
        <v>235</v>
      </c>
      <c r="G240" s="46"/>
      <c r="H240" s="44"/>
      <c r="I240" s="44"/>
      <c r="J240" s="46"/>
      <c r="K240" s="44"/>
      <c r="L240" s="44"/>
      <c r="M240" s="44"/>
      <c r="N240" s="44"/>
      <c r="O240" s="45"/>
      <c r="P240" s="40"/>
    </row>
    <row r="241" spans="1:16" s="41" customFormat="1" ht="30" customHeight="1">
      <c r="A241" s="42">
        <v>148</v>
      </c>
      <c r="B241" s="43" t="s">
        <v>238</v>
      </c>
      <c r="C241" s="42"/>
      <c r="D241" s="43"/>
      <c r="E241" s="43" t="s">
        <v>435</v>
      </c>
      <c r="F241" s="43" t="s">
        <v>235</v>
      </c>
      <c r="G241" s="44"/>
      <c r="H241" s="44"/>
      <c r="I241" s="44"/>
      <c r="J241" s="44"/>
      <c r="K241" s="44"/>
      <c r="L241" s="44"/>
      <c r="M241" s="44"/>
      <c r="N241" s="44"/>
      <c r="O241" s="45"/>
      <c r="P241" s="40"/>
    </row>
    <row r="242" spans="1:16" s="41" customFormat="1" ht="30" customHeight="1">
      <c r="A242" s="34">
        <v>149</v>
      </c>
      <c r="B242" s="35" t="s">
        <v>239</v>
      </c>
      <c r="C242" s="34"/>
      <c r="D242" s="35"/>
      <c r="E242" s="35" t="s">
        <v>435</v>
      </c>
      <c r="F242" s="35" t="s">
        <v>235</v>
      </c>
      <c r="G242" s="46"/>
      <c r="H242" s="44"/>
      <c r="I242" s="44"/>
      <c r="J242" s="46"/>
      <c r="K242" s="44"/>
      <c r="L242" s="44"/>
      <c r="M242" s="44"/>
      <c r="N242" s="44"/>
      <c r="O242" s="45"/>
      <c r="P242" s="40"/>
    </row>
    <row r="243" spans="1:16" s="41" customFormat="1" ht="30" customHeight="1">
      <c r="A243" s="42">
        <v>150</v>
      </c>
      <c r="B243" s="43" t="s">
        <v>240</v>
      </c>
      <c r="C243" s="42"/>
      <c r="D243" s="43"/>
      <c r="E243" s="43" t="s">
        <v>435</v>
      </c>
      <c r="F243" s="43" t="s">
        <v>235</v>
      </c>
      <c r="G243" s="44"/>
      <c r="H243" s="44"/>
      <c r="I243" s="44"/>
      <c r="J243" s="44"/>
      <c r="K243" s="44"/>
      <c r="L243" s="44"/>
      <c r="M243" s="44"/>
      <c r="N243" s="44"/>
      <c r="O243" s="45"/>
      <c r="P243" s="40"/>
    </row>
    <row r="244" spans="1:16" s="41" customFormat="1" ht="30" customHeight="1">
      <c r="A244" s="34">
        <v>151</v>
      </c>
      <c r="B244" s="35" t="s">
        <v>241</v>
      </c>
      <c r="C244" s="34"/>
      <c r="D244" s="35"/>
      <c r="E244" s="35" t="s">
        <v>435</v>
      </c>
      <c r="F244" s="35" t="s">
        <v>235</v>
      </c>
      <c r="G244" s="46"/>
      <c r="H244" s="44"/>
      <c r="I244" s="44"/>
      <c r="J244" s="46"/>
      <c r="K244" s="44"/>
      <c r="L244" s="44"/>
      <c r="M244" s="44"/>
      <c r="N244" s="44"/>
      <c r="O244" s="45"/>
      <c r="P244" s="40"/>
    </row>
    <row r="245" spans="1:16" s="41" customFormat="1" ht="30" customHeight="1">
      <c r="A245" s="42">
        <v>152</v>
      </c>
      <c r="B245" s="43" t="s">
        <v>242</v>
      </c>
      <c r="C245" s="42"/>
      <c r="D245" s="43"/>
      <c r="E245" s="43" t="s">
        <v>435</v>
      </c>
      <c r="F245" s="43" t="s">
        <v>235</v>
      </c>
      <c r="G245" s="44"/>
      <c r="H245" s="44"/>
      <c r="I245" s="44"/>
      <c r="J245" s="44"/>
      <c r="K245" s="44"/>
      <c r="L245" s="44"/>
      <c r="M245" s="44"/>
      <c r="N245" s="44"/>
      <c r="O245" s="45"/>
      <c r="P245" s="40"/>
    </row>
    <row r="246" spans="1:16" s="41" customFormat="1" ht="30" customHeight="1">
      <c r="A246" s="34">
        <v>153</v>
      </c>
      <c r="B246" s="35" t="s">
        <v>243</v>
      </c>
      <c r="C246" s="34" t="s">
        <v>422</v>
      </c>
      <c r="D246" s="35"/>
      <c r="E246" s="35" t="s">
        <v>435</v>
      </c>
      <c r="F246" s="35" t="s">
        <v>235</v>
      </c>
      <c r="G246" s="46"/>
      <c r="H246" s="44"/>
      <c r="I246" s="44"/>
      <c r="J246" s="46"/>
      <c r="K246" s="44"/>
      <c r="L246" s="44"/>
      <c r="M246" s="44"/>
      <c r="N246" s="44"/>
      <c r="O246" s="45"/>
      <c r="P246" s="40"/>
    </row>
    <row r="247" spans="1:16" s="41" customFormat="1" ht="30" customHeight="1">
      <c r="A247" s="42">
        <v>154</v>
      </c>
      <c r="B247" s="43" t="s">
        <v>244</v>
      </c>
      <c r="C247" s="42"/>
      <c r="D247" s="43"/>
      <c r="E247" s="43" t="s">
        <v>435</v>
      </c>
      <c r="F247" s="43" t="s">
        <v>235</v>
      </c>
      <c r="G247" s="44"/>
      <c r="H247" s="44"/>
      <c r="I247" s="44"/>
      <c r="J247" s="44"/>
      <c r="K247" s="44"/>
      <c r="L247" s="44"/>
      <c r="M247" s="44"/>
      <c r="N247" s="44"/>
      <c r="O247" s="45"/>
      <c r="P247" s="40"/>
    </row>
    <row r="248" spans="1:16" s="41" customFormat="1" ht="30" customHeight="1">
      <c r="A248" s="34">
        <v>155</v>
      </c>
      <c r="B248" s="35" t="s">
        <v>245</v>
      </c>
      <c r="C248" s="34"/>
      <c r="D248" s="35"/>
      <c r="E248" s="35" t="s">
        <v>435</v>
      </c>
      <c r="F248" s="35" t="s">
        <v>235</v>
      </c>
      <c r="G248" s="46"/>
      <c r="H248" s="44"/>
      <c r="I248" s="44"/>
      <c r="J248" s="46"/>
      <c r="K248" s="44"/>
      <c r="L248" s="44"/>
      <c r="M248" s="44"/>
      <c r="N248" s="44"/>
      <c r="O248" s="45"/>
      <c r="P248" s="40"/>
    </row>
    <row r="249" spans="1:16" s="41" customFormat="1" ht="30" customHeight="1">
      <c r="A249" s="42">
        <v>156</v>
      </c>
      <c r="B249" s="43" t="s">
        <v>246</v>
      </c>
      <c r="C249" s="42"/>
      <c r="D249" s="43"/>
      <c r="E249" s="43" t="s">
        <v>435</v>
      </c>
      <c r="F249" s="43" t="s">
        <v>235</v>
      </c>
      <c r="G249" s="44"/>
      <c r="H249" s="44"/>
      <c r="I249" s="44"/>
      <c r="J249" s="44"/>
      <c r="K249" s="44"/>
      <c r="L249" s="44"/>
      <c r="M249" s="44"/>
      <c r="N249" s="44"/>
      <c r="O249" s="45"/>
      <c r="P249" s="40"/>
    </row>
    <row r="250" spans="1:16" s="41" customFormat="1" ht="30" customHeight="1">
      <c r="A250" s="34">
        <v>157</v>
      </c>
      <c r="B250" s="35" t="s">
        <v>247</v>
      </c>
      <c r="C250" s="34"/>
      <c r="D250" s="35"/>
      <c r="E250" s="35" t="s">
        <v>435</v>
      </c>
      <c r="F250" s="35" t="s">
        <v>235</v>
      </c>
      <c r="G250" s="46"/>
      <c r="H250" s="44"/>
      <c r="I250" s="44"/>
      <c r="J250" s="46"/>
      <c r="K250" s="44"/>
      <c r="L250" s="44"/>
      <c r="M250" s="44"/>
      <c r="N250" s="44"/>
      <c r="O250" s="45"/>
      <c r="P250" s="40"/>
    </row>
    <row r="251" spans="1:16" s="41" customFormat="1" ht="30" customHeight="1">
      <c r="A251" s="42">
        <v>158</v>
      </c>
      <c r="B251" s="43" t="s">
        <v>248</v>
      </c>
      <c r="C251" s="42"/>
      <c r="D251" s="43"/>
      <c r="E251" s="43" t="s">
        <v>435</v>
      </c>
      <c r="F251" s="43" t="s">
        <v>235</v>
      </c>
      <c r="G251" s="44"/>
      <c r="H251" s="44"/>
      <c r="I251" s="44"/>
      <c r="J251" s="44"/>
      <c r="K251" s="44"/>
      <c r="L251" s="44"/>
      <c r="M251" s="44"/>
      <c r="N251" s="44"/>
      <c r="O251" s="45"/>
      <c r="P251" s="40"/>
    </row>
    <row r="252" spans="1:16" s="41" customFormat="1" ht="30" customHeight="1">
      <c r="A252" s="34">
        <v>159</v>
      </c>
      <c r="B252" s="35" t="s">
        <v>249</v>
      </c>
      <c r="C252" s="34"/>
      <c r="D252" s="35"/>
      <c r="E252" s="35" t="s">
        <v>435</v>
      </c>
      <c r="F252" s="35" t="s">
        <v>235</v>
      </c>
      <c r="G252" s="46"/>
      <c r="H252" s="44"/>
      <c r="I252" s="44"/>
      <c r="J252" s="46"/>
      <c r="K252" s="44"/>
      <c r="L252" s="44"/>
      <c r="M252" s="44"/>
      <c r="N252" s="44"/>
      <c r="O252" s="45"/>
      <c r="P252" s="40"/>
    </row>
    <row r="253" spans="1:16" s="41" customFormat="1" ht="30" customHeight="1">
      <c r="A253" s="42">
        <v>160</v>
      </c>
      <c r="B253" s="43" t="s">
        <v>250</v>
      </c>
      <c r="C253" s="42"/>
      <c r="D253" s="43"/>
      <c r="E253" s="43" t="s">
        <v>435</v>
      </c>
      <c r="F253" s="43" t="s">
        <v>235</v>
      </c>
      <c r="G253" s="44"/>
      <c r="H253" s="44"/>
      <c r="I253" s="44"/>
      <c r="J253" s="44"/>
      <c r="K253" s="44"/>
      <c r="L253" s="44"/>
      <c r="M253" s="44"/>
      <c r="N253" s="44"/>
      <c r="O253" s="45"/>
      <c r="P253" s="40"/>
    </row>
    <row r="254" spans="1:16" s="41" customFormat="1" ht="30" customHeight="1">
      <c r="A254" s="34">
        <v>161</v>
      </c>
      <c r="B254" s="35" t="s">
        <v>251</v>
      </c>
      <c r="C254" s="34"/>
      <c r="D254" s="35"/>
      <c r="E254" s="35" t="s">
        <v>435</v>
      </c>
      <c r="F254" s="35" t="s">
        <v>235</v>
      </c>
      <c r="G254" s="46"/>
      <c r="H254" s="44"/>
      <c r="I254" s="44"/>
      <c r="J254" s="46"/>
      <c r="K254" s="44"/>
      <c r="L254" s="44"/>
      <c r="M254" s="44"/>
      <c r="N254" s="44"/>
      <c r="O254" s="45"/>
      <c r="P254" s="40"/>
    </row>
    <row r="255" spans="1:16" s="41" customFormat="1" ht="30" customHeight="1">
      <c r="A255" s="42">
        <v>162</v>
      </c>
      <c r="B255" s="43" t="s">
        <v>252</v>
      </c>
      <c r="C255" s="42"/>
      <c r="D255" s="43"/>
      <c r="E255" s="43" t="s">
        <v>435</v>
      </c>
      <c r="F255" s="43" t="s">
        <v>235</v>
      </c>
      <c r="G255" s="44"/>
      <c r="H255" s="44"/>
      <c r="I255" s="44"/>
      <c r="J255" s="44"/>
      <c r="K255" s="44"/>
      <c r="L255" s="44"/>
      <c r="M255" s="44"/>
      <c r="N255" s="44"/>
      <c r="O255" s="45"/>
      <c r="P255" s="40"/>
    </row>
    <row r="256" spans="1:16" s="41" customFormat="1" ht="30" customHeight="1">
      <c r="A256" s="34">
        <v>163</v>
      </c>
      <c r="B256" s="35" t="s">
        <v>253</v>
      </c>
      <c r="C256" s="34"/>
      <c r="D256" s="35"/>
      <c r="E256" s="35" t="s">
        <v>435</v>
      </c>
      <c r="F256" s="35" t="s">
        <v>235</v>
      </c>
      <c r="G256" s="46"/>
      <c r="H256" s="44"/>
      <c r="I256" s="44"/>
      <c r="J256" s="46"/>
      <c r="K256" s="44"/>
      <c r="L256" s="44"/>
      <c r="M256" s="44"/>
      <c r="N256" s="44"/>
      <c r="O256" s="45"/>
      <c r="P256" s="40"/>
    </row>
    <row r="257" spans="1:16" s="41" customFormat="1" ht="30" customHeight="1">
      <c r="A257" s="42">
        <v>164</v>
      </c>
      <c r="B257" s="43" t="s">
        <v>56</v>
      </c>
      <c r="C257" s="42"/>
      <c r="D257" s="43"/>
      <c r="E257" s="43" t="s">
        <v>435</v>
      </c>
      <c r="F257" s="43" t="s">
        <v>235</v>
      </c>
      <c r="G257" s="44"/>
      <c r="H257" s="44"/>
      <c r="I257" s="44"/>
      <c r="J257" s="44"/>
      <c r="K257" s="44"/>
      <c r="L257" s="44"/>
      <c r="M257" s="44"/>
      <c r="N257" s="44"/>
      <c r="O257" s="45"/>
      <c r="P257" s="40"/>
    </row>
    <row r="258" spans="1:16" s="41" customFormat="1" ht="30" customHeight="1">
      <c r="A258" s="34">
        <v>165</v>
      </c>
      <c r="B258" s="35" t="s">
        <v>254</v>
      </c>
      <c r="C258" s="34"/>
      <c r="D258" s="35"/>
      <c r="E258" s="35" t="s">
        <v>435</v>
      </c>
      <c r="F258" s="35" t="s">
        <v>235</v>
      </c>
      <c r="G258" s="46"/>
      <c r="H258" s="44"/>
      <c r="I258" s="44"/>
      <c r="J258" s="46"/>
      <c r="K258" s="44"/>
      <c r="L258" s="44"/>
      <c r="M258" s="44"/>
      <c r="N258" s="44"/>
      <c r="O258" s="45"/>
      <c r="P258" s="40"/>
    </row>
    <row r="259" spans="1:16" s="41" customFormat="1" ht="30" customHeight="1">
      <c r="A259" s="42">
        <v>166</v>
      </c>
      <c r="B259" s="43" t="s">
        <v>255</v>
      </c>
      <c r="C259" s="42"/>
      <c r="D259" s="43"/>
      <c r="E259" s="43" t="s">
        <v>435</v>
      </c>
      <c r="F259" s="43" t="s">
        <v>235</v>
      </c>
      <c r="G259" s="44"/>
      <c r="H259" s="44"/>
      <c r="I259" s="44"/>
      <c r="J259" s="44"/>
      <c r="K259" s="44"/>
      <c r="L259" s="44"/>
      <c r="M259" s="44"/>
      <c r="N259" s="44"/>
      <c r="O259" s="45"/>
      <c r="P259" s="40"/>
    </row>
    <row r="260" spans="1:16" s="41" customFormat="1" ht="30" customHeight="1">
      <c r="A260" s="34">
        <v>167</v>
      </c>
      <c r="B260" s="35" t="s">
        <v>256</v>
      </c>
      <c r="C260" s="34"/>
      <c r="D260" s="35"/>
      <c r="E260" s="35" t="s">
        <v>435</v>
      </c>
      <c r="F260" s="35" t="s">
        <v>235</v>
      </c>
      <c r="G260" s="46"/>
      <c r="H260" s="44"/>
      <c r="I260" s="44"/>
      <c r="J260" s="46"/>
      <c r="K260" s="44"/>
      <c r="L260" s="44"/>
      <c r="M260" s="44"/>
      <c r="N260" s="44"/>
      <c r="O260" s="45"/>
      <c r="P260" s="40"/>
    </row>
    <row r="261" spans="1:16" s="41" customFormat="1" ht="30" customHeight="1">
      <c r="A261" s="42">
        <v>168</v>
      </c>
      <c r="B261" s="43" t="s">
        <v>257</v>
      </c>
      <c r="C261" s="42"/>
      <c r="D261" s="43"/>
      <c r="E261" s="43" t="s">
        <v>435</v>
      </c>
      <c r="F261" s="43" t="s">
        <v>235</v>
      </c>
      <c r="G261" s="44"/>
      <c r="H261" s="44"/>
      <c r="I261" s="44"/>
      <c r="J261" s="44"/>
      <c r="K261" s="44"/>
      <c r="L261" s="44"/>
      <c r="M261" s="44"/>
      <c r="N261" s="44"/>
      <c r="O261" s="45"/>
      <c r="P261" s="40"/>
    </row>
    <row r="262" spans="1:16" s="41" customFormat="1" ht="30" customHeight="1">
      <c r="A262" s="34">
        <v>169</v>
      </c>
      <c r="B262" s="35" t="s">
        <v>258</v>
      </c>
      <c r="C262" s="34"/>
      <c r="D262" s="35"/>
      <c r="E262" s="35" t="s">
        <v>435</v>
      </c>
      <c r="F262" s="35" t="s">
        <v>235</v>
      </c>
      <c r="G262" s="46"/>
      <c r="H262" s="44"/>
      <c r="I262" s="44"/>
      <c r="J262" s="46"/>
      <c r="K262" s="44"/>
      <c r="L262" s="44"/>
      <c r="M262" s="44"/>
      <c r="N262" s="44"/>
      <c r="O262" s="45"/>
      <c r="P262" s="40"/>
    </row>
    <row r="263" spans="1:16" s="41" customFormat="1" ht="30" customHeight="1">
      <c r="A263" s="42">
        <v>170</v>
      </c>
      <c r="B263" s="43" t="s">
        <v>259</v>
      </c>
      <c r="C263" s="42"/>
      <c r="D263" s="43"/>
      <c r="E263" s="43" t="s">
        <v>435</v>
      </c>
      <c r="F263" s="43" t="s">
        <v>235</v>
      </c>
      <c r="G263" s="44"/>
      <c r="H263" s="44"/>
      <c r="I263" s="44"/>
      <c r="J263" s="44"/>
      <c r="K263" s="44"/>
      <c r="L263" s="44"/>
      <c r="M263" s="44"/>
      <c r="N263" s="44"/>
      <c r="O263" s="45"/>
      <c r="P263" s="40"/>
    </row>
    <row r="264" spans="1:16" s="41" customFormat="1" ht="30" customHeight="1">
      <c r="A264" s="34">
        <v>171</v>
      </c>
      <c r="B264" s="35" t="s">
        <v>260</v>
      </c>
      <c r="C264" s="34"/>
      <c r="D264" s="35"/>
      <c r="E264" s="35" t="s">
        <v>435</v>
      </c>
      <c r="F264" s="35" t="s">
        <v>235</v>
      </c>
      <c r="G264" s="46"/>
      <c r="H264" s="44"/>
      <c r="I264" s="44"/>
      <c r="J264" s="46"/>
      <c r="K264" s="44"/>
      <c r="L264" s="44"/>
      <c r="M264" s="44"/>
      <c r="N264" s="44"/>
      <c r="O264" s="45"/>
      <c r="P264" s="40"/>
    </row>
    <row r="265" spans="1:16" s="41" customFormat="1" ht="30" customHeight="1">
      <c r="A265" s="42">
        <v>172</v>
      </c>
      <c r="B265" s="43" t="s">
        <v>261</v>
      </c>
      <c r="C265" s="42"/>
      <c r="D265" s="43"/>
      <c r="E265" s="43" t="s">
        <v>435</v>
      </c>
      <c r="F265" s="43" t="s">
        <v>235</v>
      </c>
      <c r="G265" s="44"/>
      <c r="H265" s="44"/>
      <c r="I265" s="44"/>
      <c r="J265" s="44"/>
      <c r="K265" s="44"/>
      <c r="L265" s="44"/>
      <c r="M265" s="44"/>
      <c r="N265" s="44"/>
      <c r="O265" s="45"/>
      <c r="P265" s="40"/>
    </row>
    <row r="266" spans="1:16" s="41" customFormat="1" ht="30" customHeight="1">
      <c r="A266" s="34">
        <v>173</v>
      </c>
      <c r="B266" s="35" t="s">
        <v>262</v>
      </c>
      <c r="C266" s="34"/>
      <c r="D266" s="35"/>
      <c r="E266" s="35" t="s">
        <v>435</v>
      </c>
      <c r="F266" s="35" t="s">
        <v>235</v>
      </c>
      <c r="G266" s="46"/>
      <c r="H266" s="44"/>
      <c r="I266" s="44"/>
      <c r="J266" s="46"/>
      <c r="K266" s="44"/>
      <c r="L266" s="44"/>
      <c r="M266" s="44"/>
      <c r="N266" s="44"/>
      <c r="O266" s="45"/>
      <c r="P266" s="40"/>
    </row>
    <row r="267" spans="1:16" s="41" customFormat="1" ht="30" customHeight="1">
      <c r="A267" s="42">
        <v>174</v>
      </c>
      <c r="B267" s="43" t="s">
        <v>263</v>
      </c>
      <c r="C267" s="42"/>
      <c r="D267" s="43"/>
      <c r="E267" s="43" t="s">
        <v>435</v>
      </c>
      <c r="F267" s="43" t="s">
        <v>235</v>
      </c>
      <c r="G267" s="44"/>
      <c r="H267" s="44"/>
      <c r="I267" s="44"/>
      <c r="J267" s="44"/>
      <c r="K267" s="44"/>
      <c r="L267" s="44"/>
      <c r="M267" s="44"/>
      <c r="N267" s="44"/>
      <c r="O267" s="45"/>
      <c r="P267" s="40"/>
    </row>
    <row r="268" spans="1:16" s="41" customFormat="1" ht="30" customHeight="1">
      <c r="A268" s="34">
        <v>175</v>
      </c>
      <c r="B268" s="35" t="s">
        <v>260</v>
      </c>
      <c r="C268" s="34"/>
      <c r="D268" s="35"/>
      <c r="E268" s="35" t="s">
        <v>435</v>
      </c>
      <c r="F268" s="35" t="s">
        <v>235</v>
      </c>
      <c r="G268" s="46"/>
      <c r="H268" s="44"/>
      <c r="I268" s="44"/>
      <c r="J268" s="46"/>
      <c r="K268" s="44"/>
      <c r="L268" s="44"/>
      <c r="M268" s="44"/>
      <c r="N268" s="44"/>
      <c r="O268" s="45"/>
      <c r="P268" s="40"/>
    </row>
    <row r="269" spans="1:16" s="41" customFormat="1" ht="30" customHeight="1">
      <c r="A269" s="42">
        <v>176</v>
      </c>
      <c r="B269" s="43" t="s">
        <v>264</v>
      </c>
      <c r="C269" s="42"/>
      <c r="D269" s="43"/>
      <c r="E269" s="43" t="s">
        <v>435</v>
      </c>
      <c r="F269" s="43" t="s">
        <v>235</v>
      </c>
      <c r="G269" s="44"/>
      <c r="H269" s="44"/>
      <c r="I269" s="44"/>
      <c r="J269" s="44"/>
      <c r="K269" s="44"/>
      <c r="L269" s="44"/>
      <c r="M269" s="44"/>
      <c r="N269" s="44"/>
      <c r="O269" s="45"/>
      <c r="P269" s="40"/>
    </row>
    <row r="270" spans="1:16" s="41" customFormat="1" ht="30" customHeight="1">
      <c r="A270" s="34">
        <v>177</v>
      </c>
      <c r="B270" s="35" t="s">
        <v>265</v>
      </c>
      <c r="C270" s="34"/>
      <c r="D270" s="35"/>
      <c r="E270" s="35" t="s">
        <v>435</v>
      </c>
      <c r="F270" s="35" t="s">
        <v>235</v>
      </c>
      <c r="G270" s="46"/>
      <c r="H270" s="44"/>
      <c r="I270" s="44"/>
      <c r="J270" s="46"/>
      <c r="K270" s="44"/>
      <c r="L270" s="44"/>
      <c r="M270" s="44"/>
      <c r="N270" s="44"/>
      <c r="O270" s="45"/>
      <c r="P270" s="40"/>
    </row>
    <row r="271" spans="1:16" s="41" customFormat="1" ht="30" customHeight="1">
      <c r="A271" s="42">
        <v>178</v>
      </c>
      <c r="B271" s="43" t="s">
        <v>266</v>
      </c>
      <c r="C271" s="42"/>
      <c r="D271" s="43"/>
      <c r="E271" s="43" t="s">
        <v>435</v>
      </c>
      <c r="F271" s="43" t="s">
        <v>123</v>
      </c>
      <c r="G271" s="44"/>
      <c r="H271" s="44"/>
      <c r="I271" s="44"/>
      <c r="J271" s="44"/>
      <c r="K271" s="44"/>
      <c r="L271" s="44"/>
      <c r="M271" s="44"/>
      <c r="N271" s="44"/>
      <c r="O271" s="45"/>
      <c r="P271" s="40"/>
    </row>
    <row r="272" spans="1:16" s="41" customFormat="1" ht="30" customHeight="1">
      <c r="A272" s="34">
        <v>179</v>
      </c>
      <c r="B272" s="35" t="s">
        <v>267</v>
      </c>
      <c r="C272" s="34"/>
      <c r="D272" s="35"/>
      <c r="E272" s="35" t="s">
        <v>435</v>
      </c>
      <c r="F272" s="35" t="s">
        <v>123</v>
      </c>
      <c r="G272" s="46"/>
      <c r="H272" s="44"/>
      <c r="I272" s="44"/>
      <c r="J272" s="46"/>
      <c r="K272" s="44"/>
      <c r="L272" s="44"/>
      <c r="M272" s="44"/>
      <c r="N272" s="44"/>
      <c r="O272" s="45"/>
      <c r="P272" s="40"/>
    </row>
    <row r="273" spans="1:16" s="41" customFormat="1" ht="30" customHeight="1">
      <c r="A273" s="42">
        <v>180</v>
      </c>
      <c r="B273" s="43" t="s">
        <v>268</v>
      </c>
      <c r="C273" s="42"/>
      <c r="D273" s="43"/>
      <c r="E273" s="43" t="s">
        <v>435</v>
      </c>
      <c r="F273" s="43" t="s">
        <v>123</v>
      </c>
      <c r="G273" s="44"/>
      <c r="H273" s="44"/>
      <c r="I273" s="44"/>
      <c r="J273" s="44"/>
      <c r="K273" s="44"/>
      <c r="L273" s="44"/>
      <c r="M273" s="44"/>
      <c r="N273" s="44"/>
      <c r="O273" s="45"/>
      <c r="P273" s="40"/>
    </row>
    <row r="274" spans="1:16" s="41" customFormat="1" ht="30" customHeight="1">
      <c r="A274" s="34">
        <v>181</v>
      </c>
      <c r="B274" s="35" t="s">
        <v>269</v>
      </c>
      <c r="C274" s="34"/>
      <c r="D274" s="35"/>
      <c r="E274" s="35" t="s">
        <v>435</v>
      </c>
      <c r="F274" s="35" t="s">
        <v>123</v>
      </c>
      <c r="G274" s="46"/>
      <c r="H274" s="44"/>
      <c r="I274" s="44"/>
      <c r="J274" s="46"/>
      <c r="K274" s="44"/>
      <c r="L274" s="44"/>
      <c r="M274" s="44"/>
      <c r="N274" s="44"/>
      <c r="O274" s="45"/>
      <c r="P274" s="40"/>
    </row>
    <row r="275" spans="1:16" s="41" customFormat="1" ht="30" customHeight="1">
      <c r="A275" s="42">
        <v>182</v>
      </c>
      <c r="B275" s="43" t="s">
        <v>270</v>
      </c>
      <c r="C275" s="42"/>
      <c r="D275" s="43"/>
      <c r="E275" s="43" t="s">
        <v>435</v>
      </c>
      <c r="F275" s="43" t="s">
        <v>123</v>
      </c>
      <c r="G275" s="44"/>
      <c r="H275" s="44"/>
      <c r="I275" s="44"/>
      <c r="J275" s="44"/>
      <c r="K275" s="44"/>
      <c r="L275" s="44"/>
      <c r="M275" s="44"/>
      <c r="N275" s="44"/>
      <c r="O275" s="45"/>
      <c r="P275" s="40"/>
    </row>
    <row r="276" spans="1:16" s="33" customFormat="1" ht="38.25">
      <c r="A276" s="34">
        <v>183</v>
      </c>
      <c r="B276" s="35" t="s">
        <v>271</v>
      </c>
      <c r="C276" s="34"/>
      <c r="D276" s="35"/>
      <c r="E276" s="35" t="s">
        <v>428</v>
      </c>
      <c r="F276" s="35"/>
      <c r="G276" s="35"/>
      <c r="H276" s="35"/>
      <c r="I276" s="35" t="s">
        <v>595</v>
      </c>
      <c r="J276" s="35" t="s">
        <v>468</v>
      </c>
      <c r="K276" s="35" t="s">
        <v>600</v>
      </c>
      <c r="L276" s="30"/>
      <c r="M276" s="30"/>
      <c r="N276" s="31"/>
      <c r="O276" s="78"/>
      <c r="P276" s="32"/>
    </row>
    <row r="277" spans="1:16" s="33" customFormat="1" ht="51">
      <c r="A277" s="42">
        <v>184</v>
      </c>
      <c r="B277" s="43" t="s">
        <v>272</v>
      </c>
      <c r="C277" s="42"/>
      <c r="D277" s="43"/>
      <c r="E277" s="43" t="s">
        <v>428</v>
      </c>
      <c r="F277" s="43"/>
      <c r="G277" s="43"/>
      <c r="H277" s="43"/>
      <c r="I277" s="43" t="s">
        <v>595</v>
      </c>
      <c r="J277" s="43" t="s">
        <v>468</v>
      </c>
      <c r="K277" s="43" t="s">
        <v>600</v>
      </c>
      <c r="L277" s="36"/>
      <c r="M277" s="36"/>
      <c r="N277" s="79"/>
      <c r="O277" s="78"/>
      <c r="P277" s="32"/>
    </row>
    <row r="278" spans="1:16" s="33" customFormat="1" ht="30" customHeight="1">
      <c r="A278" s="34">
        <v>185</v>
      </c>
      <c r="B278" s="35" t="s">
        <v>273</v>
      </c>
      <c r="C278" s="34"/>
      <c r="D278" s="35"/>
      <c r="E278" s="35" t="s">
        <v>428</v>
      </c>
      <c r="F278" s="35" t="s">
        <v>619</v>
      </c>
      <c r="G278" s="44"/>
      <c r="H278" s="44"/>
      <c r="I278" s="44"/>
      <c r="J278" s="44"/>
      <c r="K278" s="44"/>
      <c r="L278" s="44"/>
      <c r="M278" s="44"/>
      <c r="N278" s="44"/>
      <c r="O278" s="78"/>
      <c r="P278" s="32"/>
    </row>
    <row r="279" spans="1:16" s="33" customFormat="1" ht="30" customHeight="1">
      <c r="A279" s="42">
        <v>186</v>
      </c>
      <c r="B279" s="43" t="s">
        <v>274</v>
      </c>
      <c r="C279" s="42"/>
      <c r="D279" s="43"/>
      <c r="E279" s="43" t="s">
        <v>428</v>
      </c>
      <c r="F279" s="43" t="s">
        <v>620</v>
      </c>
      <c r="G279" s="44"/>
      <c r="H279" s="44"/>
      <c r="I279" s="44"/>
      <c r="J279" s="44"/>
      <c r="K279" s="44"/>
      <c r="L279" s="44"/>
      <c r="M279" s="44"/>
      <c r="N279" s="44"/>
      <c r="O279" s="78"/>
      <c r="P279" s="32"/>
    </row>
    <row r="280" spans="1:16" s="33" customFormat="1" ht="30" customHeight="1">
      <c r="A280" s="34">
        <v>187</v>
      </c>
      <c r="B280" s="35" t="s">
        <v>275</v>
      </c>
      <c r="C280" s="34"/>
      <c r="D280" s="35"/>
      <c r="E280" s="35" t="s">
        <v>428</v>
      </c>
      <c r="F280" s="35" t="s">
        <v>588</v>
      </c>
      <c r="G280" s="44"/>
      <c r="H280" s="44"/>
      <c r="I280" s="44"/>
      <c r="J280" s="44"/>
      <c r="K280" s="44"/>
      <c r="L280" s="44"/>
      <c r="M280" s="44"/>
      <c r="N280" s="44"/>
      <c r="O280" s="78"/>
      <c r="P280" s="32"/>
    </row>
    <row r="281" spans="1:16" s="33" customFormat="1" ht="30" customHeight="1">
      <c r="A281" s="42">
        <v>188</v>
      </c>
      <c r="B281" s="43" t="s">
        <v>276</v>
      </c>
      <c r="C281" s="42"/>
      <c r="D281" s="43"/>
      <c r="E281" s="43" t="s">
        <v>428</v>
      </c>
      <c r="F281" s="43" t="s">
        <v>588</v>
      </c>
      <c r="G281" s="44"/>
      <c r="H281" s="44"/>
      <c r="I281" s="44"/>
      <c r="J281" s="44"/>
      <c r="K281" s="44"/>
      <c r="L281" s="44"/>
      <c r="M281" s="44"/>
      <c r="N281" s="44"/>
      <c r="O281" s="78"/>
      <c r="P281" s="32"/>
    </row>
    <row r="282" spans="1:16" s="33" customFormat="1" ht="30" customHeight="1">
      <c r="A282" s="34">
        <v>189</v>
      </c>
      <c r="B282" s="35" t="s">
        <v>277</v>
      </c>
      <c r="C282" s="34"/>
      <c r="D282" s="35"/>
      <c r="E282" s="35" t="s">
        <v>428</v>
      </c>
      <c r="F282" s="35"/>
      <c r="G282" s="35"/>
      <c r="H282" s="35"/>
      <c r="I282" s="35"/>
      <c r="J282" s="35"/>
      <c r="K282" s="35" t="s">
        <v>587</v>
      </c>
      <c r="L282" s="30"/>
      <c r="M282" s="30"/>
      <c r="N282" s="31"/>
      <c r="O282" s="78"/>
      <c r="P282" s="32"/>
    </row>
    <row r="283" spans="1:16" s="41" customFormat="1" ht="30" customHeight="1">
      <c r="A283" s="42">
        <v>190</v>
      </c>
      <c r="B283" s="43" t="s">
        <v>278</v>
      </c>
      <c r="C283" s="42"/>
      <c r="D283" s="43"/>
      <c r="E283" s="43" t="s">
        <v>435</v>
      </c>
      <c r="F283" s="43" t="s">
        <v>123</v>
      </c>
      <c r="G283" s="44"/>
      <c r="H283" s="44"/>
      <c r="I283" s="44"/>
      <c r="J283" s="44"/>
      <c r="K283" s="44"/>
      <c r="L283" s="44"/>
      <c r="M283" s="44"/>
      <c r="N283" s="44"/>
      <c r="O283" s="45"/>
      <c r="P283" s="40"/>
    </row>
    <row r="284" spans="1:16" s="41" customFormat="1" ht="30" customHeight="1">
      <c r="A284" s="34">
        <v>191</v>
      </c>
      <c r="B284" s="35" t="s">
        <v>279</v>
      </c>
      <c r="C284" s="34"/>
      <c r="D284" s="35"/>
      <c r="E284" s="35" t="s">
        <v>435</v>
      </c>
      <c r="F284" s="35" t="s">
        <v>123</v>
      </c>
      <c r="G284" s="46"/>
      <c r="H284" s="44"/>
      <c r="I284" s="44"/>
      <c r="J284" s="46"/>
      <c r="K284" s="44"/>
      <c r="L284" s="44"/>
      <c r="M284" s="44"/>
      <c r="N284" s="44"/>
      <c r="O284" s="45"/>
      <c r="P284" s="40"/>
    </row>
    <row r="285" spans="1:16" s="41" customFormat="1" ht="30" customHeight="1">
      <c r="A285" s="48">
        <v>192</v>
      </c>
      <c r="B285" s="49" t="s">
        <v>254</v>
      </c>
      <c r="C285" s="48">
        <v>68</v>
      </c>
      <c r="D285" s="49"/>
      <c r="E285" s="49" t="s">
        <v>435</v>
      </c>
      <c r="F285" s="49" t="s">
        <v>123</v>
      </c>
      <c r="G285" s="38"/>
      <c r="H285" s="44"/>
      <c r="I285" s="44"/>
      <c r="J285" s="38"/>
      <c r="K285" s="44"/>
      <c r="L285" s="44"/>
      <c r="M285" s="44"/>
      <c r="N285" s="44"/>
      <c r="O285" s="45"/>
      <c r="P285" s="40"/>
    </row>
    <row r="286" spans="1:16" s="41" customFormat="1" ht="30" customHeight="1">
      <c r="A286" s="51"/>
      <c r="B286" s="52"/>
      <c r="C286" s="51"/>
      <c r="D286" s="52"/>
      <c r="E286" s="52" t="s">
        <v>435</v>
      </c>
      <c r="F286" s="52"/>
      <c r="G286" s="70"/>
      <c r="H286" s="44"/>
      <c r="I286" s="44"/>
      <c r="J286" s="70"/>
      <c r="K286" s="44"/>
      <c r="L286" s="44"/>
      <c r="M286" s="44"/>
      <c r="N286" s="44"/>
      <c r="O286" s="45"/>
      <c r="P286" s="40"/>
    </row>
    <row r="287" spans="1:16" s="41" customFormat="1" ht="30" customHeight="1">
      <c r="A287" s="34">
        <v>193</v>
      </c>
      <c r="B287" s="35" t="s">
        <v>280</v>
      </c>
      <c r="C287" s="34"/>
      <c r="D287" s="35"/>
      <c r="E287" s="35" t="s">
        <v>435</v>
      </c>
      <c r="F287" s="35" t="s">
        <v>123</v>
      </c>
      <c r="G287" s="46"/>
      <c r="H287" s="44"/>
      <c r="I287" s="44"/>
      <c r="J287" s="46"/>
      <c r="K287" s="44"/>
      <c r="L287" s="44"/>
      <c r="M287" s="44"/>
      <c r="N287" s="44"/>
      <c r="O287" s="45"/>
      <c r="P287" s="40"/>
    </row>
    <row r="288" spans="1:16" s="41" customFormat="1" ht="30" customHeight="1">
      <c r="A288" s="42">
        <v>194</v>
      </c>
      <c r="B288" s="43" t="s">
        <v>281</v>
      </c>
      <c r="C288" s="42"/>
      <c r="D288" s="43"/>
      <c r="E288" s="43" t="s">
        <v>435</v>
      </c>
      <c r="F288" s="43" t="s">
        <v>123</v>
      </c>
      <c r="G288" s="44"/>
      <c r="H288" s="44"/>
      <c r="I288" s="44"/>
      <c r="J288" s="44"/>
      <c r="K288" s="44"/>
      <c r="L288" s="44"/>
      <c r="M288" s="44"/>
      <c r="N288" s="44"/>
      <c r="O288" s="45"/>
      <c r="P288" s="40"/>
    </row>
    <row r="289" spans="1:16" s="41" customFormat="1" ht="30" customHeight="1">
      <c r="A289" s="34">
        <v>195</v>
      </c>
      <c r="B289" s="35" t="s">
        <v>282</v>
      </c>
      <c r="C289" s="34"/>
      <c r="D289" s="35"/>
      <c r="E289" s="35" t="s">
        <v>435</v>
      </c>
      <c r="F289" s="35" t="s">
        <v>35</v>
      </c>
      <c r="G289" s="46"/>
      <c r="H289" s="44"/>
      <c r="I289" s="44"/>
      <c r="J289" s="46"/>
      <c r="K289" s="44"/>
      <c r="L289" s="44"/>
      <c r="M289" s="44"/>
      <c r="N289" s="44"/>
      <c r="O289" s="45"/>
      <c r="P289" s="40"/>
    </row>
    <row r="290" spans="1:16" s="41" customFormat="1" ht="30" customHeight="1">
      <c r="A290" s="42">
        <v>196</v>
      </c>
      <c r="B290" s="43" t="s">
        <v>283</v>
      </c>
      <c r="C290" s="42"/>
      <c r="D290" s="43"/>
      <c r="E290" s="43" t="s">
        <v>435</v>
      </c>
      <c r="F290" s="43" t="s">
        <v>35</v>
      </c>
      <c r="G290" s="44"/>
      <c r="H290" s="44"/>
      <c r="I290" s="44"/>
      <c r="J290" s="44"/>
      <c r="K290" s="44"/>
      <c r="L290" s="44"/>
      <c r="M290" s="44"/>
      <c r="N290" s="44"/>
      <c r="O290" s="45"/>
      <c r="P290" s="40"/>
    </row>
    <row r="291" spans="1:16" s="41" customFormat="1" ht="30" customHeight="1">
      <c r="A291" s="34">
        <v>197</v>
      </c>
      <c r="B291" s="35" t="s">
        <v>284</v>
      </c>
      <c r="C291" s="34"/>
      <c r="D291" s="35"/>
      <c r="E291" s="35" t="s">
        <v>435</v>
      </c>
      <c r="F291" s="35" t="s">
        <v>123</v>
      </c>
      <c r="G291" s="46"/>
      <c r="H291" s="44"/>
      <c r="I291" s="44"/>
      <c r="J291" s="46"/>
      <c r="K291" s="44"/>
      <c r="L291" s="44"/>
      <c r="M291" s="44"/>
      <c r="N291" s="44"/>
      <c r="O291" s="45"/>
      <c r="P291" s="40"/>
    </row>
    <row r="292" spans="1:16" s="41" customFormat="1" ht="30" customHeight="1">
      <c r="A292" s="42">
        <v>198</v>
      </c>
      <c r="B292" s="43" t="s">
        <v>285</v>
      </c>
      <c r="C292" s="42"/>
      <c r="D292" s="43"/>
      <c r="E292" s="43" t="s">
        <v>435</v>
      </c>
      <c r="F292" s="43" t="s">
        <v>123</v>
      </c>
      <c r="G292" s="44"/>
      <c r="H292" s="44"/>
      <c r="I292" s="44"/>
      <c r="J292" s="44"/>
      <c r="K292" s="44"/>
      <c r="L292" s="44"/>
      <c r="M292" s="44"/>
      <c r="N292" s="44"/>
      <c r="O292" s="45"/>
      <c r="P292" s="40"/>
    </row>
    <row r="293" spans="1:16" s="41" customFormat="1" ht="30" customHeight="1">
      <c r="A293" s="34">
        <v>199</v>
      </c>
      <c r="B293" s="35" t="s">
        <v>286</v>
      </c>
      <c r="C293" s="34"/>
      <c r="D293" s="35"/>
      <c r="E293" s="35" t="s">
        <v>435</v>
      </c>
      <c r="F293" s="35" t="s">
        <v>123</v>
      </c>
      <c r="G293" s="46"/>
      <c r="H293" s="44"/>
      <c r="I293" s="44"/>
      <c r="J293" s="46"/>
      <c r="K293" s="44"/>
      <c r="L293" s="44"/>
      <c r="M293" s="44"/>
      <c r="N293" s="44"/>
      <c r="O293" s="45"/>
      <c r="P293" s="40"/>
    </row>
    <row r="294" spans="1:16" s="41" customFormat="1" ht="30" customHeight="1">
      <c r="A294" s="42">
        <v>200</v>
      </c>
      <c r="B294" s="43" t="s">
        <v>287</v>
      </c>
      <c r="C294" s="42"/>
      <c r="D294" s="43"/>
      <c r="E294" s="43" t="s">
        <v>435</v>
      </c>
      <c r="F294" s="43" t="s">
        <v>123</v>
      </c>
      <c r="G294" s="44"/>
      <c r="H294" s="44"/>
      <c r="I294" s="44"/>
      <c r="J294" s="44"/>
      <c r="K294" s="44"/>
      <c r="L294" s="44"/>
      <c r="M294" s="44"/>
      <c r="N294" s="44"/>
      <c r="O294" s="45"/>
      <c r="P294" s="40"/>
    </row>
    <row r="295" spans="1:16" s="41" customFormat="1" ht="30" customHeight="1">
      <c r="A295" s="34">
        <v>201</v>
      </c>
      <c r="B295" s="35" t="s">
        <v>288</v>
      </c>
      <c r="C295" s="34"/>
      <c r="D295" s="35"/>
      <c r="E295" s="35" t="s">
        <v>435</v>
      </c>
      <c r="F295" s="35" t="s">
        <v>123</v>
      </c>
      <c r="G295" s="46"/>
      <c r="H295" s="44"/>
      <c r="I295" s="44"/>
      <c r="J295" s="46"/>
      <c r="K295" s="44"/>
      <c r="L295" s="44"/>
      <c r="M295" s="44"/>
      <c r="N295" s="44"/>
      <c r="O295" s="45"/>
      <c r="P295" s="40"/>
    </row>
    <row r="296" spans="1:16" s="41" customFormat="1" ht="30" customHeight="1">
      <c r="A296" s="42">
        <v>202</v>
      </c>
      <c r="B296" s="43" t="s">
        <v>289</v>
      </c>
      <c r="C296" s="42"/>
      <c r="D296" s="43"/>
      <c r="E296" s="43" t="s">
        <v>435</v>
      </c>
      <c r="F296" s="43" t="s">
        <v>123</v>
      </c>
      <c r="G296" s="44"/>
      <c r="H296" s="44"/>
      <c r="I296" s="44"/>
      <c r="J296" s="44"/>
      <c r="K296" s="44"/>
      <c r="L296" s="44"/>
      <c r="M296" s="44"/>
      <c r="N296" s="44"/>
      <c r="O296" s="45"/>
      <c r="P296" s="40"/>
    </row>
    <row r="297" spans="1:16" s="41" customFormat="1" ht="30" customHeight="1">
      <c r="A297" s="34">
        <v>203</v>
      </c>
      <c r="B297" s="35" t="s">
        <v>290</v>
      </c>
      <c r="C297" s="34"/>
      <c r="D297" s="35"/>
      <c r="E297" s="35" t="s">
        <v>435</v>
      </c>
      <c r="F297" s="35" t="s">
        <v>123</v>
      </c>
      <c r="G297" s="46"/>
      <c r="H297" s="44"/>
      <c r="I297" s="44"/>
      <c r="J297" s="46"/>
      <c r="K297" s="44"/>
      <c r="L297" s="44"/>
      <c r="M297" s="44"/>
      <c r="N297" s="44"/>
      <c r="O297" s="45"/>
      <c r="P297" s="40"/>
    </row>
    <row r="298" spans="1:16" s="41" customFormat="1" ht="30" customHeight="1">
      <c r="A298" s="42">
        <v>204</v>
      </c>
      <c r="B298" s="43" t="s">
        <v>291</v>
      </c>
      <c r="C298" s="42"/>
      <c r="D298" s="43"/>
      <c r="E298" s="43" t="s">
        <v>435</v>
      </c>
      <c r="F298" s="43" t="s">
        <v>123</v>
      </c>
      <c r="G298" s="44"/>
      <c r="H298" s="44"/>
      <c r="I298" s="44"/>
      <c r="J298" s="44"/>
      <c r="K298" s="44"/>
      <c r="L298" s="44"/>
      <c r="M298" s="44"/>
      <c r="N298" s="44"/>
      <c r="O298" s="45"/>
      <c r="P298" s="40"/>
    </row>
    <row r="299" spans="1:16" s="41" customFormat="1" ht="30" customHeight="1">
      <c r="A299" s="34">
        <v>205</v>
      </c>
      <c r="B299" s="35" t="s">
        <v>292</v>
      </c>
      <c r="C299" s="34"/>
      <c r="D299" s="35"/>
      <c r="E299" s="35" t="s">
        <v>435</v>
      </c>
      <c r="F299" s="35" t="s">
        <v>123</v>
      </c>
      <c r="G299" s="46"/>
      <c r="H299" s="44"/>
      <c r="I299" s="44"/>
      <c r="J299" s="46"/>
      <c r="K299" s="44"/>
      <c r="L299" s="44"/>
      <c r="M299" s="44"/>
      <c r="N299" s="44"/>
      <c r="O299" s="45"/>
      <c r="P299" s="40"/>
    </row>
    <row r="300" spans="1:16" s="41" customFormat="1" ht="30" customHeight="1">
      <c r="A300" s="42">
        <v>206</v>
      </c>
      <c r="B300" s="43" t="s">
        <v>293</v>
      </c>
      <c r="C300" s="42"/>
      <c r="D300" s="43"/>
      <c r="E300" s="43" t="s">
        <v>435</v>
      </c>
      <c r="F300" s="43" t="s">
        <v>123</v>
      </c>
      <c r="G300" s="44"/>
      <c r="H300" s="44"/>
      <c r="I300" s="44"/>
      <c r="J300" s="44"/>
      <c r="K300" s="44"/>
      <c r="L300" s="44"/>
      <c r="M300" s="44"/>
      <c r="N300" s="44"/>
      <c r="O300" s="45"/>
      <c r="P300" s="40"/>
    </row>
    <row r="301" spans="1:16" s="41" customFormat="1" ht="30" customHeight="1">
      <c r="A301" s="34">
        <v>207</v>
      </c>
      <c r="B301" s="35" t="s">
        <v>294</v>
      </c>
      <c r="C301" s="34"/>
      <c r="D301" s="35"/>
      <c r="E301" s="35" t="s">
        <v>435</v>
      </c>
      <c r="F301" s="35" t="s">
        <v>123</v>
      </c>
      <c r="G301" s="46"/>
      <c r="H301" s="44"/>
      <c r="I301" s="44"/>
      <c r="J301" s="46"/>
      <c r="K301" s="44"/>
      <c r="L301" s="44"/>
      <c r="M301" s="44"/>
      <c r="N301" s="44"/>
      <c r="O301" s="45"/>
      <c r="P301" s="40"/>
    </row>
    <row r="302" spans="1:16" s="41" customFormat="1" ht="30" customHeight="1">
      <c r="A302" s="42">
        <v>208</v>
      </c>
      <c r="B302" s="43" t="s">
        <v>295</v>
      </c>
      <c r="C302" s="42"/>
      <c r="D302" s="43"/>
      <c r="E302" s="43" t="s">
        <v>435</v>
      </c>
      <c r="F302" s="43" t="s">
        <v>123</v>
      </c>
      <c r="G302" s="44"/>
      <c r="H302" s="44"/>
      <c r="I302" s="44"/>
      <c r="J302" s="44"/>
      <c r="K302" s="44"/>
      <c r="L302" s="44"/>
      <c r="M302" s="44"/>
      <c r="N302" s="44"/>
      <c r="O302" s="45"/>
      <c r="P302" s="40"/>
    </row>
    <row r="303" spans="1:16" s="41" customFormat="1" ht="30" customHeight="1">
      <c r="A303" s="34">
        <v>209</v>
      </c>
      <c r="B303" s="35" t="s">
        <v>296</v>
      </c>
      <c r="C303" s="34"/>
      <c r="D303" s="35"/>
      <c r="E303" s="35" t="s">
        <v>435</v>
      </c>
      <c r="F303" s="35" t="s">
        <v>123</v>
      </c>
      <c r="G303" s="46"/>
      <c r="H303" s="44"/>
      <c r="I303" s="44"/>
      <c r="J303" s="46"/>
      <c r="K303" s="44"/>
      <c r="L303" s="44"/>
      <c r="M303" s="44"/>
      <c r="N303" s="44"/>
      <c r="O303" s="45"/>
      <c r="P303" s="40"/>
    </row>
    <row r="304" spans="1:16" s="41" customFormat="1" ht="30" customHeight="1">
      <c r="A304" s="42">
        <v>210</v>
      </c>
      <c r="B304" s="43" t="s">
        <v>297</v>
      </c>
      <c r="C304" s="42"/>
      <c r="D304" s="43"/>
      <c r="E304" s="43" t="s">
        <v>435</v>
      </c>
      <c r="F304" s="43" t="s">
        <v>123</v>
      </c>
      <c r="G304" s="44"/>
      <c r="H304" s="44"/>
      <c r="I304" s="44"/>
      <c r="J304" s="44"/>
      <c r="K304" s="44"/>
      <c r="L304" s="44"/>
      <c r="M304" s="44"/>
      <c r="N304" s="44"/>
      <c r="O304" s="45"/>
      <c r="P304" s="40"/>
    </row>
    <row r="305" spans="1:16" s="41" customFormat="1" ht="30" customHeight="1">
      <c r="A305" s="34">
        <v>211</v>
      </c>
      <c r="B305" s="35" t="s">
        <v>298</v>
      </c>
      <c r="C305" s="34" t="s">
        <v>423</v>
      </c>
      <c r="D305" s="35"/>
      <c r="E305" s="35" t="s">
        <v>435</v>
      </c>
      <c r="F305" s="35" t="s">
        <v>123</v>
      </c>
      <c r="G305" s="46"/>
      <c r="H305" s="44"/>
      <c r="I305" s="44"/>
      <c r="J305" s="46"/>
      <c r="K305" s="44"/>
      <c r="L305" s="44"/>
      <c r="M305" s="44"/>
      <c r="N305" s="44"/>
      <c r="O305" s="45"/>
      <c r="P305" s="40"/>
    </row>
    <row r="306" spans="1:16" s="41" customFormat="1" ht="30" customHeight="1">
      <c r="A306" s="42">
        <v>212</v>
      </c>
      <c r="B306" s="43" t="s">
        <v>25</v>
      </c>
      <c r="C306" s="42"/>
      <c r="D306" s="43" t="s">
        <v>299</v>
      </c>
      <c r="E306" s="43" t="s">
        <v>435</v>
      </c>
      <c r="F306" s="43" t="s">
        <v>13</v>
      </c>
      <c r="G306" s="44"/>
      <c r="H306" s="44"/>
      <c r="I306" s="44"/>
      <c r="J306" s="44"/>
      <c r="K306" s="44"/>
      <c r="L306" s="44"/>
      <c r="M306" s="44"/>
      <c r="N306" s="44"/>
      <c r="O306" s="45"/>
      <c r="P306" s="40"/>
    </row>
    <row r="307" spans="1:16" s="41" customFormat="1" ht="30" customHeight="1">
      <c r="A307" s="34">
        <v>213</v>
      </c>
      <c r="B307" s="35" t="s">
        <v>300</v>
      </c>
      <c r="C307" s="34"/>
      <c r="D307" s="35" t="s">
        <v>299</v>
      </c>
      <c r="E307" s="35" t="s">
        <v>435</v>
      </c>
      <c r="F307" s="35" t="s">
        <v>13</v>
      </c>
      <c r="G307" s="46"/>
      <c r="H307" s="44"/>
      <c r="I307" s="44"/>
      <c r="J307" s="46"/>
      <c r="K307" s="44"/>
      <c r="L307" s="44"/>
      <c r="M307" s="44"/>
      <c r="N307" s="44"/>
      <c r="O307" s="45"/>
      <c r="P307" s="40"/>
    </row>
    <row r="308" spans="1:16" s="41" customFormat="1" ht="30" customHeight="1">
      <c r="A308" s="34"/>
      <c r="B308" s="35"/>
      <c r="C308" s="34"/>
      <c r="D308" s="35" t="s">
        <v>42</v>
      </c>
      <c r="E308" s="35" t="s">
        <v>435</v>
      </c>
      <c r="F308" s="35"/>
      <c r="G308" s="46"/>
      <c r="H308" s="44"/>
      <c r="I308" s="44"/>
      <c r="J308" s="46"/>
      <c r="K308" s="44"/>
      <c r="L308" s="44"/>
      <c r="M308" s="44"/>
      <c r="N308" s="44"/>
      <c r="O308" s="45"/>
      <c r="P308" s="40"/>
    </row>
    <row r="309" spans="1:16" s="41" customFormat="1" ht="30" customHeight="1">
      <c r="A309" s="42">
        <v>214</v>
      </c>
      <c r="B309" s="43" t="s">
        <v>301</v>
      </c>
      <c r="C309" s="42"/>
      <c r="D309" s="43" t="s">
        <v>299</v>
      </c>
      <c r="E309" s="43" t="s">
        <v>435</v>
      </c>
      <c r="F309" s="43" t="s">
        <v>13</v>
      </c>
      <c r="G309" s="44"/>
      <c r="H309" s="44"/>
      <c r="I309" s="44"/>
      <c r="J309" s="44"/>
      <c r="K309" s="44"/>
      <c r="L309" s="44"/>
      <c r="M309" s="44"/>
      <c r="N309" s="44"/>
      <c r="O309" s="45"/>
      <c r="P309" s="40"/>
    </row>
    <row r="310" spans="1:16" s="41" customFormat="1" ht="30" customHeight="1">
      <c r="A310" s="34">
        <v>215</v>
      </c>
      <c r="B310" s="35" t="s">
        <v>302</v>
      </c>
      <c r="C310" s="34"/>
      <c r="D310" s="35" t="s">
        <v>299</v>
      </c>
      <c r="E310" s="35" t="s">
        <v>435</v>
      </c>
      <c r="F310" s="35" t="s">
        <v>13</v>
      </c>
      <c r="G310" s="46"/>
      <c r="H310" s="44"/>
      <c r="I310" s="44"/>
      <c r="J310" s="46"/>
      <c r="K310" s="44"/>
      <c r="L310" s="44"/>
      <c r="M310" s="44"/>
      <c r="N310" s="44"/>
      <c r="O310" s="45"/>
      <c r="P310" s="40"/>
    </row>
    <row r="311" spans="1:16" s="41" customFormat="1" ht="25.5">
      <c r="A311" s="42">
        <v>216</v>
      </c>
      <c r="B311" s="43" t="s">
        <v>303</v>
      </c>
      <c r="C311" s="42"/>
      <c r="D311" s="43" t="s">
        <v>299</v>
      </c>
      <c r="E311" s="43" t="s">
        <v>438</v>
      </c>
      <c r="F311" s="43" t="s">
        <v>615</v>
      </c>
      <c r="G311" s="46"/>
      <c r="H311" s="44"/>
      <c r="I311" s="44"/>
      <c r="J311" s="44"/>
      <c r="K311" s="44"/>
      <c r="L311" s="44"/>
      <c r="M311" s="44"/>
      <c r="N311" s="44"/>
      <c r="O311" s="45"/>
      <c r="P311" s="40"/>
    </row>
    <row r="312" spans="1:16" s="41" customFormat="1" ht="30" customHeight="1">
      <c r="A312" s="34">
        <v>217</v>
      </c>
      <c r="B312" s="35" t="s">
        <v>304</v>
      </c>
      <c r="C312" s="34"/>
      <c r="D312" s="35" t="s">
        <v>299</v>
      </c>
      <c r="E312" s="35" t="s">
        <v>438</v>
      </c>
      <c r="F312" s="35" t="s">
        <v>615</v>
      </c>
      <c r="G312" s="46"/>
      <c r="H312" s="44"/>
      <c r="I312" s="44"/>
      <c r="J312" s="44"/>
      <c r="K312" s="44"/>
      <c r="L312" s="44"/>
      <c r="M312" s="44"/>
      <c r="N312" s="44"/>
      <c r="O312" s="45"/>
      <c r="P312" s="40"/>
    </row>
    <row r="313" spans="1:16" s="41" customFormat="1" ht="25.5">
      <c r="A313" s="48">
        <v>218</v>
      </c>
      <c r="B313" s="49" t="s">
        <v>305</v>
      </c>
      <c r="C313" s="48"/>
      <c r="D313" s="49" t="s">
        <v>299</v>
      </c>
      <c r="E313" s="49" t="s">
        <v>438</v>
      </c>
      <c r="F313" s="49" t="s">
        <v>615</v>
      </c>
      <c r="G313" s="46"/>
      <c r="H313" s="44"/>
      <c r="I313" s="44"/>
      <c r="J313" s="44"/>
      <c r="K313" s="44"/>
      <c r="L313" s="44"/>
      <c r="M313" s="44"/>
      <c r="N313" s="44"/>
      <c r="O313" s="45"/>
      <c r="P313" s="40"/>
    </row>
    <row r="314" spans="1:16" s="41" customFormat="1" ht="25.5">
      <c r="A314" s="34">
        <v>219</v>
      </c>
      <c r="B314" s="35" t="s">
        <v>137</v>
      </c>
      <c r="C314" s="34"/>
      <c r="D314" s="35" t="s">
        <v>299</v>
      </c>
      <c r="E314" s="35" t="s">
        <v>438</v>
      </c>
      <c r="F314" s="35" t="s">
        <v>615</v>
      </c>
      <c r="G314" s="46"/>
      <c r="H314" s="44"/>
      <c r="I314" s="44"/>
      <c r="J314" s="44"/>
      <c r="K314" s="44"/>
      <c r="L314" s="44"/>
      <c r="M314" s="44"/>
      <c r="N314" s="44"/>
      <c r="O314" s="45"/>
      <c r="P314" s="40"/>
    </row>
    <row r="315" spans="1:16" s="41" customFormat="1" ht="25.5">
      <c r="A315" s="48">
        <v>220</v>
      </c>
      <c r="B315" s="49" t="s">
        <v>306</v>
      </c>
      <c r="C315" s="48">
        <v>341</v>
      </c>
      <c r="D315" s="49" t="s">
        <v>299</v>
      </c>
      <c r="E315" s="49" t="s">
        <v>438</v>
      </c>
      <c r="F315" s="49" t="s">
        <v>615</v>
      </c>
      <c r="G315" s="46"/>
      <c r="H315" s="44"/>
      <c r="I315" s="44"/>
      <c r="J315" s="44"/>
      <c r="K315" s="44"/>
      <c r="L315" s="44"/>
      <c r="M315" s="44"/>
      <c r="N315" s="44"/>
      <c r="O315" s="45"/>
      <c r="P315" s="40"/>
    </row>
    <row r="316" spans="1:16" s="41" customFormat="1" ht="30" customHeight="1">
      <c r="A316" s="34">
        <v>221</v>
      </c>
      <c r="B316" s="35" t="s">
        <v>307</v>
      </c>
      <c r="C316" s="34"/>
      <c r="D316" s="35" t="s">
        <v>299</v>
      </c>
      <c r="E316" s="35" t="s">
        <v>438</v>
      </c>
      <c r="F316" s="35" t="s">
        <v>615</v>
      </c>
      <c r="G316" s="46"/>
      <c r="H316" s="44"/>
      <c r="I316" s="44"/>
      <c r="J316" s="44"/>
      <c r="K316" s="44"/>
      <c r="L316" s="44"/>
      <c r="M316" s="44"/>
      <c r="N316" s="44"/>
      <c r="O316" s="45"/>
      <c r="P316" s="40"/>
    </row>
    <row r="317" spans="1:16" s="41" customFormat="1" ht="25.5">
      <c r="A317" s="48">
        <v>222</v>
      </c>
      <c r="B317" s="49" t="s">
        <v>308</v>
      </c>
      <c r="C317" s="48"/>
      <c r="D317" s="49" t="s">
        <v>299</v>
      </c>
      <c r="E317" s="49" t="s">
        <v>438</v>
      </c>
      <c r="F317" s="49" t="s">
        <v>615</v>
      </c>
      <c r="G317" s="46"/>
      <c r="H317" s="44"/>
      <c r="I317" s="44"/>
      <c r="J317" s="44"/>
      <c r="K317" s="44"/>
      <c r="L317" s="44"/>
      <c r="M317" s="44"/>
      <c r="N317" s="44"/>
      <c r="O317" s="45"/>
      <c r="P317" s="40"/>
    </row>
    <row r="318" spans="1:16" s="41" customFormat="1" ht="25.5">
      <c r="A318" s="34">
        <v>223</v>
      </c>
      <c r="B318" s="35" t="s">
        <v>309</v>
      </c>
      <c r="C318" s="34">
        <v>342</v>
      </c>
      <c r="D318" s="35" t="s">
        <v>299</v>
      </c>
      <c r="E318" s="35" t="s">
        <v>438</v>
      </c>
      <c r="F318" s="35" t="s">
        <v>615</v>
      </c>
      <c r="G318" s="46"/>
      <c r="H318" s="44"/>
      <c r="I318" s="44"/>
      <c r="J318" s="44"/>
      <c r="K318" s="44"/>
      <c r="L318" s="44"/>
      <c r="M318" s="44"/>
      <c r="N318" s="44"/>
      <c r="O318" s="45"/>
      <c r="P318" s="40"/>
    </row>
    <row r="319" spans="1:16" s="41" customFormat="1" ht="25.5">
      <c r="A319" s="42">
        <v>224</v>
      </c>
      <c r="B319" s="43" t="s">
        <v>310</v>
      </c>
      <c r="C319" s="42"/>
      <c r="D319" s="43" t="s">
        <v>299</v>
      </c>
      <c r="E319" s="43" t="s">
        <v>438</v>
      </c>
      <c r="F319" s="43" t="s">
        <v>615</v>
      </c>
      <c r="G319" s="46"/>
      <c r="H319" s="44"/>
      <c r="I319" s="44"/>
      <c r="J319" s="44"/>
      <c r="K319" s="44"/>
      <c r="L319" s="44"/>
      <c r="M319" s="44"/>
      <c r="N319" s="44"/>
      <c r="O319" s="45"/>
      <c r="P319" s="40"/>
    </row>
    <row r="320" spans="1:16" s="41" customFormat="1" ht="30" customHeight="1">
      <c r="A320" s="34">
        <v>225</v>
      </c>
      <c r="B320" s="35" t="s">
        <v>311</v>
      </c>
      <c r="C320" s="34"/>
      <c r="D320" s="35" t="s">
        <v>299</v>
      </c>
      <c r="E320" s="35" t="s">
        <v>438</v>
      </c>
      <c r="F320" s="35" t="s">
        <v>615</v>
      </c>
      <c r="G320" s="46"/>
      <c r="H320" s="44"/>
      <c r="I320" s="44"/>
      <c r="J320" s="44"/>
      <c r="K320" s="44"/>
      <c r="L320" s="44"/>
      <c r="M320" s="44"/>
      <c r="N320" s="44"/>
      <c r="O320" s="45"/>
      <c r="P320" s="40"/>
    </row>
    <row r="321" spans="1:16" s="41" customFormat="1" ht="30" customHeight="1">
      <c r="A321" s="48">
        <v>226</v>
      </c>
      <c r="B321" s="49" t="s">
        <v>312</v>
      </c>
      <c r="C321" s="48"/>
      <c r="D321" s="29" t="s">
        <v>122</v>
      </c>
      <c r="E321" s="29" t="s">
        <v>438</v>
      </c>
      <c r="F321" s="29" t="s">
        <v>615</v>
      </c>
      <c r="G321" s="46"/>
      <c r="H321" s="44"/>
      <c r="I321" s="44"/>
      <c r="J321" s="44"/>
      <c r="K321" s="44"/>
      <c r="L321" s="44"/>
      <c r="M321" s="44"/>
      <c r="N321" s="44"/>
      <c r="O321" s="45"/>
      <c r="P321" s="40"/>
    </row>
    <row r="322" spans="1:16" s="41" customFormat="1" ht="30" customHeight="1">
      <c r="A322" s="51"/>
      <c r="B322" s="52"/>
      <c r="C322" s="51"/>
      <c r="D322" s="53" t="s">
        <v>299</v>
      </c>
      <c r="E322" s="53"/>
      <c r="F322" s="53"/>
      <c r="G322" s="46"/>
      <c r="H322" s="44"/>
      <c r="I322" s="44"/>
      <c r="J322" s="44"/>
      <c r="K322" s="44"/>
      <c r="L322" s="44"/>
      <c r="M322" s="44"/>
      <c r="N322" s="44"/>
      <c r="O322" s="45"/>
      <c r="P322" s="40"/>
    </row>
    <row r="323" spans="1:16" s="41" customFormat="1" ht="30" customHeight="1">
      <c r="A323" s="34">
        <v>227</v>
      </c>
      <c r="B323" s="35" t="s">
        <v>313</v>
      </c>
      <c r="C323" s="34"/>
      <c r="D323" s="80" t="s">
        <v>122</v>
      </c>
      <c r="E323" s="80" t="s">
        <v>438</v>
      </c>
      <c r="F323" s="80" t="s">
        <v>615</v>
      </c>
      <c r="G323" s="46"/>
      <c r="H323" s="44"/>
      <c r="I323" s="44"/>
      <c r="J323" s="44"/>
      <c r="K323" s="44"/>
      <c r="L323" s="44"/>
      <c r="M323" s="44"/>
      <c r="N323" s="44"/>
      <c r="O323" s="45"/>
      <c r="P323" s="40"/>
    </row>
    <row r="324" spans="1:16" s="41" customFormat="1" ht="30" customHeight="1">
      <c r="A324" s="48">
        <v>228</v>
      </c>
      <c r="B324" s="49" t="s">
        <v>314</v>
      </c>
      <c r="C324" s="48"/>
      <c r="D324" s="29" t="s">
        <v>122</v>
      </c>
      <c r="E324" s="29"/>
      <c r="F324" s="29" t="s">
        <v>493</v>
      </c>
      <c r="G324" s="46"/>
      <c r="H324" s="46"/>
      <c r="I324" s="46"/>
      <c r="J324" s="46"/>
      <c r="K324" s="46"/>
      <c r="L324" s="46"/>
      <c r="M324" s="46"/>
      <c r="N324" s="46"/>
      <c r="O324" s="45"/>
      <c r="P324" s="40"/>
    </row>
    <row r="325" spans="1:16" s="41" customFormat="1" ht="38.25">
      <c r="A325" s="34">
        <v>229</v>
      </c>
      <c r="B325" s="35" t="s">
        <v>315</v>
      </c>
      <c r="C325" s="34"/>
      <c r="D325" s="80" t="s">
        <v>617</v>
      </c>
      <c r="E325" s="80" t="s">
        <v>438</v>
      </c>
      <c r="F325" s="80" t="s">
        <v>615</v>
      </c>
      <c r="G325" s="46"/>
      <c r="H325" s="46"/>
      <c r="I325" s="46"/>
      <c r="J325" s="46"/>
      <c r="K325" s="46"/>
      <c r="L325" s="46"/>
      <c r="M325" s="46"/>
      <c r="N325" s="46"/>
      <c r="O325" s="45"/>
      <c r="P325" s="40"/>
    </row>
    <row r="326" spans="1:16" s="41" customFormat="1" ht="38.25">
      <c r="A326" s="48">
        <v>230</v>
      </c>
      <c r="B326" s="49" t="s">
        <v>316</v>
      </c>
      <c r="C326" s="48" t="s">
        <v>424</v>
      </c>
      <c r="D326" s="49" t="s">
        <v>617</v>
      </c>
      <c r="E326" s="49" t="s">
        <v>438</v>
      </c>
      <c r="F326" s="49" t="s">
        <v>615</v>
      </c>
      <c r="G326" s="46"/>
      <c r="H326" s="46"/>
      <c r="I326" s="46"/>
      <c r="J326" s="46"/>
      <c r="K326" s="46"/>
      <c r="L326" s="46"/>
      <c r="M326" s="46"/>
      <c r="N326" s="46"/>
      <c r="O326" s="45"/>
      <c r="P326" s="40"/>
    </row>
    <row r="327" spans="1:16" s="41" customFormat="1" ht="30" customHeight="1">
      <c r="A327" s="55"/>
      <c r="B327" s="56"/>
      <c r="C327" s="55"/>
      <c r="D327" s="56"/>
      <c r="E327" s="56"/>
      <c r="F327" s="56"/>
      <c r="G327" s="46"/>
      <c r="H327" s="46"/>
      <c r="I327" s="46"/>
      <c r="J327" s="46"/>
      <c r="K327" s="46"/>
      <c r="L327" s="46"/>
      <c r="M327" s="46"/>
      <c r="N327" s="46"/>
      <c r="O327" s="45"/>
      <c r="P327" s="40"/>
    </row>
    <row r="328" spans="1:16" s="41" customFormat="1" ht="74.25" customHeight="1">
      <c r="A328" s="34">
        <v>231</v>
      </c>
      <c r="B328" s="35" t="s">
        <v>317</v>
      </c>
      <c r="C328" s="34" t="s">
        <v>425</v>
      </c>
      <c r="D328" s="35" t="s">
        <v>618</v>
      </c>
      <c r="E328" s="35" t="s">
        <v>438</v>
      </c>
      <c r="F328" s="35" t="s">
        <v>615</v>
      </c>
      <c r="G328" s="46"/>
      <c r="H328" s="46"/>
      <c r="I328" s="46"/>
      <c r="J328" s="46"/>
      <c r="K328" s="46"/>
      <c r="L328" s="46"/>
      <c r="M328" s="46"/>
      <c r="N328" s="46"/>
      <c r="O328" s="45"/>
      <c r="P328" s="40"/>
    </row>
    <row r="329" spans="1:16" s="41" customFormat="1" ht="30" customHeight="1">
      <c r="A329" s="42">
        <v>232</v>
      </c>
      <c r="B329" s="43" t="s">
        <v>318</v>
      </c>
      <c r="C329" s="42"/>
      <c r="D329" s="43" t="s">
        <v>122</v>
      </c>
      <c r="E329" s="43" t="s">
        <v>435</v>
      </c>
      <c r="F329" s="43" t="s">
        <v>35</v>
      </c>
      <c r="G329" s="44"/>
      <c r="H329" s="44"/>
      <c r="I329" s="44"/>
      <c r="J329" s="44"/>
      <c r="K329" s="44"/>
      <c r="L329" s="44"/>
      <c r="M329" s="44"/>
      <c r="N329" s="44"/>
      <c r="O329" s="45"/>
      <c r="P329" s="40"/>
    </row>
    <row r="330" spans="1:16" s="41" customFormat="1" ht="30" customHeight="1">
      <c r="A330" s="34">
        <v>233</v>
      </c>
      <c r="B330" s="35" t="s">
        <v>319</v>
      </c>
      <c r="C330" s="34">
        <v>328</v>
      </c>
      <c r="D330" s="35" t="s">
        <v>122</v>
      </c>
      <c r="E330" s="35" t="s">
        <v>435</v>
      </c>
      <c r="F330" s="35" t="s">
        <v>13</v>
      </c>
      <c r="G330" s="46"/>
      <c r="H330" s="44"/>
      <c r="I330" s="44"/>
      <c r="J330" s="46"/>
      <c r="K330" s="44"/>
      <c r="L330" s="44"/>
      <c r="M330" s="44"/>
      <c r="N330" s="44"/>
      <c r="O330" s="45"/>
      <c r="P330" s="40"/>
    </row>
    <row r="331" spans="1:16" s="41" customFormat="1" ht="30" customHeight="1">
      <c r="A331" s="42">
        <v>234</v>
      </c>
      <c r="B331" s="43" t="s">
        <v>76</v>
      </c>
      <c r="C331" s="42"/>
      <c r="D331" s="43" t="s">
        <v>122</v>
      </c>
      <c r="E331" s="43" t="s">
        <v>435</v>
      </c>
      <c r="F331" s="43" t="s">
        <v>13</v>
      </c>
      <c r="G331" s="44"/>
      <c r="H331" s="44"/>
      <c r="I331" s="44"/>
      <c r="J331" s="44"/>
      <c r="K331" s="44"/>
      <c r="L331" s="44"/>
      <c r="M331" s="44"/>
      <c r="N331" s="44"/>
      <c r="O331" s="45"/>
      <c r="P331" s="40"/>
    </row>
    <row r="332" spans="1:16" s="41" customFormat="1" ht="30" customHeight="1">
      <c r="A332" s="34">
        <v>235</v>
      </c>
      <c r="B332" s="35" t="s">
        <v>320</v>
      </c>
      <c r="C332" s="34"/>
      <c r="D332" s="35" t="s">
        <v>122</v>
      </c>
      <c r="E332" s="35" t="s">
        <v>435</v>
      </c>
      <c r="F332" s="35" t="s">
        <v>13</v>
      </c>
      <c r="G332" s="46"/>
      <c r="H332" s="44"/>
      <c r="I332" s="44"/>
      <c r="J332" s="46"/>
      <c r="K332" s="44"/>
      <c r="L332" s="44"/>
      <c r="M332" s="44"/>
      <c r="N332" s="44"/>
      <c r="O332" s="45"/>
      <c r="P332" s="40"/>
    </row>
    <row r="333" spans="1:16" s="41" customFormat="1" ht="32.25" customHeight="1">
      <c r="A333" s="42">
        <v>236</v>
      </c>
      <c r="B333" s="43" t="s">
        <v>321</v>
      </c>
      <c r="C333" s="42"/>
      <c r="D333" s="43"/>
      <c r="E333" s="43" t="s">
        <v>435</v>
      </c>
      <c r="F333" s="43" t="s">
        <v>235</v>
      </c>
      <c r="G333" s="44"/>
      <c r="H333" s="44"/>
      <c r="I333" s="44"/>
      <c r="J333" s="44"/>
      <c r="K333" s="44"/>
      <c r="L333" s="44"/>
      <c r="M333" s="44"/>
      <c r="N333" s="44"/>
      <c r="O333" s="45"/>
      <c r="P333" s="40"/>
    </row>
    <row r="334" spans="1:16" s="41" customFormat="1" ht="45.75" customHeight="1">
      <c r="A334" s="34">
        <v>237</v>
      </c>
      <c r="B334" s="35" t="s">
        <v>322</v>
      </c>
      <c r="C334" s="34"/>
      <c r="D334" s="35"/>
      <c r="E334" s="35" t="s">
        <v>435</v>
      </c>
      <c r="F334" s="35" t="s">
        <v>153</v>
      </c>
      <c r="G334" s="46"/>
      <c r="H334" s="44"/>
      <c r="I334" s="44"/>
      <c r="J334" s="46"/>
      <c r="K334" s="44"/>
      <c r="L334" s="44"/>
      <c r="M334" s="44"/>
      <c r="N334" s="44"/>
      <c r="O334" s="45"/>
      <c r="P334" s="40"/>
    </row>
    <row r="335" spans="1:16" s="41" customFormat="1" ht="60.75" customHeight="1">
      <c r="A335" s="42">
        <v>238</v>
      </c>
      <c r="B335" s="43" t="s">
        <v>323</v>
      </c>
      <c r="C335" s="42"/>
      <c r="D335" s="43"/>
      <c r="E335" s="43" t="s">
        <v>435</v>
      </c>
      <c r="F335" s="43" t="s">
        <v>153</v>
      </c>
      <c r="G335" s="44"/>
      <c r="H335" s="44"/>
      <c r="I335" s="44"/>
      <c r="J335" s="44"/>
      <c r="K335" s="44"/>
      <c r="L335" s="44"/>
      <c r="M335" s="44"/>
      <c r="N335" s="44"/>
      <c r="O335" s="45"/>
      <c r="P335" s="40"/>
    </row>
    <row r="336" spans="1:16" s="41" customFormat="1" ht="57.75" customHeight="1">
      <c r="A336" s="34">
        <v>239</v>
      </c>
      <c r="B336" s="35" t="s">
        <v>324</v>
      </c>
      <c r="C336" s="34"/>
      <c r="D336" s="35"/>
      <c r="E336" s="35" t="s">
        <v>435</v>
      </c>
      <c r="F336" s="35" t="s">
        <v>153</v>
      </c>
      <c r="G336" s="46"/>
      <c r="H336" s="44"/>
      <c r="I336" s="44"/>
      <c r="J336" s="46"/>
      <c r="K336" s="44"/>
      <c r="L336" s="44"/>
      <c r="M336" s="44"/>
      <c r="N336" s="44"/>
      <c r="O336" s="45"/>
      <c r="P336" s="40"/>
    </row>
    <row r="337" spans="1:16" s="41" customFormat="1" ht="44.25" customHeight="1">
      <c r="A337" s="42">
        <v>240</v>
      </c>
      <c r="B337" s="43" t="s">
        <v>325</v>
      </c>
      <c r="C337" s="42"/>
      <c r="D337" s="43"/>
      <c r="E337" s="43" t="s">
        <v>435</v>
      </c>
      <c r="F337" s="43" t="s">
        <v>13</v>
      </c>
      <c r="G337" s="44"/>
      <c r="H337" s="44"/>
      <c r="I337" s="44"/>
      <c r="J337" s="44"/>
      <c r="K337" s="44"/>
      <c r="L337" s="44"/>
      <c r="M337" s="44"/>
      <c r="N337" s="44"/>
      <c r="O337" s="45"/>
      <c r="P337" s="40"/>
    </row>
    <row r="338" spans="1:16" s="41" customFormat="1" ht="48" customHeight="1">
      <c r="A338" s="34">
        <v>241</v>
      </c>
      <c r="B338" s="35" t="s">
        <v>326</v>
      </c>
      <c r="C338" s="34"/>
      <c r="D338" s="35"/>
      <c r="E338" s="35" t="s">
        <v>435</v>
      </c>
      <c r="F338" s="35" t="s">
        <v>13</v>
      </c>
      <c r="G338" s="46"/>
      <c r="H338" s="44"/>
      <c r="I338" s="44"/>
      <c r="J338" s="46"/>
      <c r="K338" s="44"/>
      <c r="L338" s="44"/>
      <c r="M338" s="44"/>
      <c r="N338" s="44"/>
      <c r="O338" s="45"/>
      <c r="P338" s="40"/>
    </row>
    <row r="339" spans="1:16" s="41" customFormat="1" ht="30" customHeight="1">
      <c r="A339" s="42">
        <v>242</v>
      </c>
      <c r="B339" s="43" t="s">
        <v>327</v>
      </c>
      <c r="C339" s="42"/>
      <c r="D339" s="43"/>
      <c r="E339" s="43" t="s">
        <v>435</v>
      </c>
      <c r="F339" s="43" t="s">
        <v>328</v>
      </c>
      <c r="G339" s="44"/>
      <c r="H339" s="44"/>
      <c r="I339" s="44"/>
      <c r="J339" s="44"/>
      <c r="K339" s="44"/>
      <c r="L339" s="44"/>
      <c r="M339" s="44"/>
      <c r="N339" s="44"/>
      <c r="O339" s="45"/>
      <c r="P339" s="40"/>
    </row>
    <row r="340" spans="1:16" s="41" customFormat="1" ht="30" customHeight="1">
      <c r="A340" s="34">
        <v>243</v>
      </c>
      <c r="B340" s="35" t="s">
        <v>329</v>
      </c>
      <c r="C340" s="34"/>
      <c r="D340" s="35"/>
      <c r="E340" s="35"/>
      <c r="F340" s="35" t="s">
        <v>535</v>
      </c>
      <c r="G340" s="46"/>
      <c r="H340" s="46"/>
      <c r="I340" s="46"/>
      <c r="J340" s="46"/>
      <c r="K340" s="46"/>
      <c r="L340" s="46"/>
      <c r="M340" s="46"/>
      <c r="N340" s="46"/>
      <c r="O340" s="45"/>
      <c r="P340" s="40"/>
    </row>
    <row r="341" spans="1:16" s="41" customFormat="1" ht="30" customHeight="1">
      <c r="A341" s="42">
        <v>244</v>
      </c>
      <c r="B341" s="43" t="s">
        <v>330</v>
      </c>
      <c r="C341" s="42">
        <v>376</v>
      </c>
      <c r="D341" s="43"/>
      <c r="E341" s="43" t="s">
        <v>429</v>
      </c>
      <c r="F341" s="43" t="s">
        <v>615</v>
      </c>
      <c r="G341" s="46"/>
      <c r="H341" s="46"/>
      <c r="I341" s="46"/>
      <c r="J341" s="46"/>
      <c r="K341" s="46"/>
      <c r="L341" s="46"/>
      <c r="M341" s="46"/>
      <c r="N341" s="46"/>
      <c r="O341" s="45"/>
      <c r="P341" s="40"/>
    </row>
    <row r="342" spans="1:16" s="41" customFormat="1" ht="30" customHeight="1">
      <c r="A342" s="34">
        <v>245</v>
      </c>
      <c r="B342" s="35" t="s">
        <v>331</v>
      </c>
      <c r="C342" s="62">
        <v>377</v>
      </c>
      <c r="D342" s="59"/>
      <c r="E342" s="59" t="s">
        <v>428</v>
      </c>
      <c r="F342" s="59" t="s">
        <v>615</v>
      </c>
      <c r="G342" s="46"/>
      <c r="H342" s="46"/>
      <c r="I342" s="46"/>
      <c r="J342" s="46"/>
      <c r="K342" s="46"/>
      <c r="L342" s="46"/>
      <c r="M342" s="46"/>
      <c r="N342" s="46"/>
      <c r="O342" s="45"/>
      <c r="P342" s="40"/>
    </row>
    <row r="343" spans="1:16" s="41" customFormat="1" ht="30" customHeight="1">
      <c r="A343" s="48">
        <v>246</v>
      </c>
      <c r="B343" s="49" t="s">
        <v>332</v>
      </c>
      <c r="C343" s="48"/>
      <c r="D343" s="49" t="s">
        <v>333</v>
      </c>
      <c r="E343" s="49" t="s">
        <v>428</v>
      </c>
      <c r="F343" s="49" t="s">
        <v>615</v>
      </c>
      <c r="G343" s="46"/>
      <c r="H343" s="46"/>
      <c r="I343" s="46"/>
      <c r="J343" s="46"/>
      <c r="K343" s="46"/>
      <c r="L343" s="46"/>
      <c r="M343" s="46"/>
      <c r="N343" s="46"/>
      <c r="O343" s="45"/>
      <c r="P343" s="40"/>
    </row>
    <row r="344" spans="1:16" s="41" customFormat="1" ht="30" customHeight="1">
      <c r="A344" s="34">
        <v>247</v>
      </c>
      <c r="B344" s="35" t="s">
        <v>334</v>
      </c>
      <c r="C344" s="34"/>
      <c r="D344" s="35"/>
      <c r="E344" s="35" t="s">
        <v>435</v>
      </c>
      <c r="F344" s="35" t="s">
        <v>13</v>
      </c>
      <c r="G344" s="46"/>
      <c r="H344" s="44"/>
      <c r="I344" s="44"/>
      <c r="J344" s="46"/>
      <c r="K344" s="44"/>
      <c r="L344" s="44"/>
      <c r="M344" s="44"/>
      <c r="N344" s="44"/>
      <c r="O344" s="45"/>
      <c r="P344" s="40"/>
    </row>
    <row r="345" spans="1:16" s="41" customFormat="1" ht="30" customHeight="1">
      <c r="A345" s="42">
        <v>248</v>
      </c>
      <c r="B345" s="43" t="s">
        <v>335</v>
      </c>
      <c r="C345" s="42"/>
      <c r="D345" s="43" t="s">
        <v>42</v>
      </c>
      <c r="E345" s="43" t="s">
        <v>435</v>
      </c>
      <c r="F345" s="43" t="s">
        <v>13</v>
      </c>
      <c r="G345" s="44"/>
      <c r="H345" s="44"/>
      <c r="I345" s="44"/>
      <c r="J345" s="44"/>
      <c r="K345" s="44"/>
      <c r="L345" s="44"/>
      <c r="M345" s="44"/>
      <c r="N345" s="44"/>
      <c r="O345" s="45"/>
      <c r="P345" s="40"/>
    </row>
    <row r="346" spans="1:16" s="41" customFormat="1" ht="30" customHeight="1">
      <c r="A346" s="34">
        <v>249</v>
      </c>
      <c r="B346" s="35" t="s">
        <v>336</v>
      </c>
      <c r="C346" s="34"/>
      <c r="D346" s="35" t="s">
        <v>42</v>
      </c>
      <c r="E346" s="35" t="s">
        <v>435</v>
      </c>
      <c r="F346" s="35" t="s">
        <v>35</v>
      </c>
      <c r="G346" s="46"/>
      <c r="H346" s="44"/>
      <c r="I346" s="44"/>
      <c r="J346" s="46"/>
      <c r="K346" s="44"/>
      <c r="L346" s="44"/>
      <c r="M346" s="44"/>
      <c r="N346" s="44"/>
      <c r="O346" s="45"/>
      <c r="P346" s="40"/>
    </row>
    <row r="347" spans="1:16" s="41" customFormat="1" ht="30" customHeight="1">
      <c r="A347" s="42">
        <v>250</v>
      </c>
      <c r="B347" s="43" t="s">
        <v>337</v>
      </c>
      <c r="C347" s="42"/>
      <c r="D347" s="43" t="s">
        <v>42</v>
      </c>
      <c r="E347" s="43" t="s">
        <v>435</v>
      </c>
      <c r="F347" s="43" t="s">
        <v>35</v>
      </c>
      <c r="G347" s="44"/>
      <c r="H347" s="44"/>
      <c r="I347" s="44"/>
      <c r="J347" s="44"/>
      <c r="K347" s="44"/>
      <c r="L347" s="44"/>
      <c r="M347" s="44"/>
      <c r="N347" s="44"/>
      <c r="O347" s="45"/>
      <c r="P347" s="40"/>
    </row>
    <row r="348" spans="1:16" s="41" customFormat="1" ht="30" customHeight="1">
      <c r="A348" s="34">
        <v>251</v>
      </c>
      <c r="B348" s="35" t="s">
        <v>338</v>
      </c>
      <c r="C348" s="34"/>
      <c r="D348" s="35"/>
      <c r="E348" s="35" t="s">
        <v>435</v>
      </c>
      <c r="F348" s="35" t="s">
        <v>35</v>
      </c>
      <c r="G348" s="46"/>
      <c r="H348" s="44"/>
      <c r="I348" s="44"/>
      <c r="J348" s="46"/>
      <c r="K348" s="44"/>
      <c r="L348" s="44"/>
      <c r="M348" s="44"/>
      <c r="N348" s="44"/>
      <c r="O348" s="45"/>
      <c r="P348" s="40"/>
    </row>
    <row r="349" spans="1:16" s="41" customFormat="1" ht="30" customHeight="1">
      <c r="A349" s="42">
        <v>252</v>
      </c>
      <c r="B349" s="43" t="s">
        <v>339</v>
      </c>
      <c r="C349" s="42"/>
      <c r="D349" s="43"/>
      <c r="E349" s="43" t="s">
        <v>435</v>
      </c>
      <c r="F349" s="43" t="s">
        <v>35</v>
      </c>
      <c r="G349" s="44"/>
      <c r="H349" s="44"/>
      <c r="I349" s="44"/>
      <c r="J349" s="44"/>
      <c r="K349" s="44"/>
      <c r="L349" s="44"/>
      <c r="M349" s="44"/>
      <c r="N349" s="44"/>
      <c r="O349" s="45"/>
      <c r="P349" s="40"/>
    </row>
    <row r="350" spans="1:16" s="41" customFormat="1" ht="30" customHeight="1">
      <c r="A350" s="34">
        <v>253</v>
      </c>
      <c r="B350" s="35" t="s">
        <v>340</v>
      </c>
      <c r="C350" s="34"/>
      <c r="D350" s="35"/>
      <c r="E350" s="35" t="s">
        <v>435</v>
      </c>
      <c r="F350" s="35" t="s">
        <v>35</v>
      </c>
      <c r="G350" s="46"/>
      <c r="H350" s="44"/>
      <c r="I350" s="44"/>
      <c r="J350" s="46"/>
      <c r="K350" s="44"/>
      <c r="L350" s="44"/>
      <c r="M350" s="44"/>
      <c r="N350" s="44"/>
      <c r="O350" s="45"/>
      <c r="P350" s="40"/>
    </row>
    <row r="351" spans="1:16" s="41" customFormat="1" ht="30" customHeight="1">
      <c r="A351" s="42">
        <v>254</v>
      </c>
      <c r="B351" s="43" t="s">
        <v>341</v>
      </c>
      <c r="C351" s="42"/>
      <c r="D351" s="43"/>
      <c r="E351" s="43" t="s">
        <v>435</v>
      </c>
      <c r="F351" s="43" t="s">
        <v>13</v>
      </c>
      <c r="G351" s="44"/>
      <c r="H351" s="44"/>
      <c r="I351" s="44"/>
      <c r="J351" s="44"/>
      <c r="K351" s="44"/>
      <c r="L351" s="44"/>
      <c r="M351" s="44"/>
      <c r="N351" s="44"/>
      <c r="O351" s="45"/>
      <c r="P351" s="40"/>
    </row>
    <row r="352" spans="1:16" s="41" customFormat="1" ht="30" customHeight="1">
      <c r="A352" s="34">
        <v>255</v>
      </c>
      <c r="B352" s="35" t="s">
        <v>342</v>
      </c>
      <c r="C352" s="34"/>
      <c r="D352" s="35" t="s">
        <v>42</v>
      </c>
      <c r="E352" s="35" t="s">
        <v>435</v>
      </c>
      <c r="F352" s="35" t="s">
        <v>35</v>
      </c>
      <c r="G352" s="46"/>
      <c r="H352" s="44"/>
      <c r="I352" s="44"/>
      <c r="J352" s="46"/>
      <c r="K352" s="44"/>
      <c r="L352" s="44"/>
      <c r="M352" s="44"/>
      <c r="N352" s="44"/>
      <c r="O352" s="45"/>
      <c r="P352" s="40"/>
    </row>
    <row r="353" spans="1:16" s="41" customFormat="1" ht="25.5">
      <c r="A353" s="48">
        <v>256</v>
      </c>
      <c r="B353" s="49" t="s">
        <v>343</v>
      </c>
      <c r="C353" s="48">
        <v>370</v>
      </c>
      <c r="D353" s="49"/>
      <c r="E353" s="49" t="s">
        <v>432</v>
      </c>
      <c r="F353" s="49" t="s">
        <v>615</v>
      </c>
      <c r="G353" s="46"/>
      <c r="H353" s="46"/>
      <c r="I353" s="46"/>
      <c r="J353" s="46"/>
      <c r="K353" s="46"/>
      <c r="L353" s="46"/>
      <c r="M353" s="46"/>
      <c r="N353" s="46"/>
      <c r="O353" s="45"/>
      <c r="P353" s="40"/>
    </row>
    <row r="354" spans="1:16" s="41" customFormat="1" ht="30" customHeight="1">
      <c r="A354" s="34">
        <v>257</v>
      </c>
      <c r="B354" s="35" t="s">
        <v>344</v>
      </c>
      <c r="C354" s="34"/>
      <c r="D354" s="35"/>
      <c r="E354" s="35" t="s">
        <v>428</v>
      </c>
      <c r="F354" s="35"/>
      <c r="G354" s="80" t="s">
        <v>453</v>
      </c>
      <c r="H354" s="35" t="s">
        <v>441</v>
      </c>
      <c r="I354" s="35" t="s">
        <v>595</v>
      </c>
      <c r="J354" s="80" t="s">
        <v>459</v>
      </c>
      <c r="K354" s="35" t="s">
        <v>460</v>
      </c>
      <c r="L354" s="35" t="s">
        <v>454</v>
      </c>
      <c r="M354" s="35" t="s">
        <v>443</v>
      </c>
      <c r="N354" s="47" t="s">
        <v>68</v>
      </c>
      <c r="O354" s="45"/>
      <c r="P354" s="40"/>
    </row>
    <row r="355" spans="1:16" s="41" customFormat="1" ht="30" customHeight="1">
      <c r="A355" s="42">
        <v>258</v>
      </c>
      <c r="B355" s="43" t="s">
        <v>345</v>
      </c>
      <c r="C355" s="42"/>
      <c r="D355" s="43"/>
      <c r="E355" s="43" t="s">
        <v>435</v>
      </c>
      <c r="F355" s="43" t="s">
        <v>35</v>
      </c>
      <c r="G355" s="44"/>
      <c r="H355" s="44"/>
      <c r="I355" s="44"/>
      <c r="J355" s="44"/>
      <c r="K355" s="44"/>
      <c r="L355" s="44"/>
      <c r="M355" s="44"/>
      <c r="N355" s="44"/>
      <c r="O355" s="45"/>
      <c r="P355" s="40"/>
    </row>
    <row r="356" spans="1:16" s="41" customFormat="1" ht="30" customHeight="1">
      <c r="A356" s="34">
        <v>259</v>
      </c>
      <c r="B356" s="35" t="s">
        <v>346</v>
      </c>
      <c r="C356" s="34"/>
      <c r="D356" s="35"/>
      <c r="E356" s="35" t="s">
        <v>435</v>
      </c>
      <c r="F356" s="35" t="s">
        <v>35</v>
      </c>
      <c r="G356" s="46"/>
      <c r="H356" s="44"/>
      <c r="I356" s="44"/>
      <c r="J356" s="46"/>
      <c r="K356" s="44"/>
      <c r="L356" s="44"/>
      <c r="M356" s="44"/>
      <c r="N356" s="44"/>
      <c r="O356" s="45"/>
      <c r="P356" s="40"/>
    </row>
    <row r="357" spans="1:16" s="41" customFormat="1" ht="43.5" customHeight="1">
      <c r="A357" s="48">
        <v>260</v>
      </c>
      <c r="B357" s="49" t="s">
        <v>347</v>
      </c>
      <c r="C357" s="48" t="s">
        <v>426</v>
      </c>
      <c r="D357" s="49"/>
      <c r="E357" s="49" t="s">
        <v>435</v>
      </c>
      <c r="F357" s="49" t="s">
        <v>235</v>
      </c>
      <c r="G357" s="38"/>
      <c r="H357" s="44"/>
      <c r="I357" s="44"/>
      <c r="J357" s="38"/>
      <c r="K357" s="44"/>
      <c r="L357" s="44"/>
      <c r="M357" s="44"/>
      <c r="N357" s="44"/>
      <c r="O357" s="45"/>
      <c r="P357" s="40"/>
    </row>
    <row r="358" spans="1:16" s="41" customFormat="1" ht="30" customHeight="1">
      <c r="A358" s="34">
        <v>261</v>
      </c>
      <c r="B358" s="35" t="s">
        <v>348</v>
      </c>
      <c r="C358" s="34"/>
      <c r="D358" s="35" t="s">
        <v>299</v>
      </c>
      <c r="E358" s="35" t="s">
        <v>435</v>
      </c>
      <c r="F358" s="35" t="s">
        <v>235</v>
      </c>
      <c r="G358" s="46"/>
      <c r="H358" s="44"/>
      <c r="I358" s="44"/>
      <c r="J358" s="46"/>
      <c r="K358" s="44"/>
      <c r="L358" s="44"/>
      <c r="M358" s="44"/>
      <c r="N358" s="44"/>
      <c r="O358" s="45"/>
      <c r="P358" s="40"/>
    </row>
    <row r="359" spans="1:16" s="41" customFormat="1" ht="42" customHeight="1">
      <c r="A359" s="42">
        <v>262</v>
      </c>
      <c r="B359" s="43" t="s">
        <v>349</v>
      </c>
      <c r="C359" s="42"/>
      <c r="D359" s="43" t="s">
        <v>299</v>
      </c>
      <c r="E359" s="43" t="s">
        <v>435</v>
      </c>
      <c r="F359" s="43" t="s">
        <v>235</v>
      </c>
      <c r="G359" s="44"/>
      <c r="H359" s="44"/>
      <c r="I359" s="44"/>
      <c r="J359" s="44"/>
      <c r="K359" s="44"/>
      <c r="L359" s="44"/>
      <c r="M359" s="44"/>
      <c r="N359" s="44"/>
      <c r="O359" s="45"/>
      <c r="P359" s="40"/>
    </row>
    <row r="360" spans="1:16" s="41" customFormat="1" ht="30" customHeight="1">
      <c r="A360" s="34">
        <v>263</v>
      </c>
      <c r="B360" s="35" t="s">
        <v>350</v>
      </c>
      <c r="C360" s="34"/>
      <c r="D360" s="35" t="s">
        <v>299</v>
      </c>
      <c r="E360" s="35" t="s">
        <v>435</v>
      </c>
      <c r="F360" s="35" t="s">
        <v>235</v>
      </c>
      <c r="G360" s="46"/>
      <c r="H360" s="44"/>
      <c r="I360" s="44"/>
      <c r="J360" s="46"/>
      <c r="K360" s="44"/>
      <c r="L360" s="44"/>
      <c r="M360" s="44"/>
      <c r="N360" s="44"/>
      <c r="O360" s="45"/>
      <c r="P360" s="40"/>
    </row>
    <row r="361" spans="1:16" s="41" customFormat="1" ht="30" customHeight="1">
      <c r="A361" s="42">
        <v>264</v>
      </c>
      <c r="B361" s="43" t="s">
        <v>351</v>
      </c>
      <c r="C361" s="42"/>
      <c r="D361" s="43"/>
      <c r="E361" s="43" t="s">
        <v>435</v>
      </c>
      <c r="F361" s="43" t="s">
        <v>35</v>
      </c>
      <c r="G361" s="44"/>
      <c r="H361" s="44"/>
      <c r="I361" s="44"/>
      <c r="J361" s="44"/>
      <c r="K361" s="44"/>
      <c r="L361" s="44"/>
      <c r="M361" s="44"/>
      <c r="N361" s="44"/>
      <c r="O361" s="45"/>
      <c r="P361" s="40"/>
    </row>
    <row r="362" spans="1:16" s="41" customFormat="1" ht="30" customHeight="1">
      <c r="A362" s="34">
        <v>265</v>
      </c>
      <c r="B362" s="35" t="s">
        <v>352</v>
      </c>
      <c r="C362" s="34"/>
      <c r="D362" s="35"/>
      <c r="E362" s="35" t="s">
        <v>435</v>
      </c>
      <c r="F362" s="35" t="s">
        <v>235</v>
      </c>
      <c r="G362" s="46"/>
      <c r="H362" s="44"/>
      <c r="I362" s="44"/>
      <c r="J362" s="46"/>
      <c r="K362" s="44"/>
      <c r="L362" s="44"/>
      <c r="M362" s="44"/>
      <c r="N362" s="44"/>
      <c r="O362" s="45"/>
      <c r="P362" s="40"/>
    </row>
    <row r="363" spans="1:16" s="41" customFormat="1" ht="30" customHeight="1">
      <c r="A363" s="42">
        <v>266</v>
      </c>
      <c r="B363" s="43" t="s">
        <v>353</v>
      </c>
      <c r="C363" s="42"/>
      <c r="D363" s="43"/>
      <c r="E363" s="43" t="s">
        <v>435</v>
      </c>
      <c r="F363" s="43" t="s">
        <v>235</v>
      </c>
      <c r="G363" s="44"/>
      <c r="H363" s="44"/>
      <c r="I363" s="44"/>
      <c r="J363" s="44"/>
      <c r="K363" s="44"/>
      <c r="L363" s="44"/>
      <c r="M363" s="44"/>
      <c r="N363" s="44"/>
      <c r="O363" s="45"/>
      <c r="P363" s="40"/>
    </row>
    <row r="364" spans="1:16" s="41" customFormat="1" ht="30" customHeight="1">
      <c r="A364" s="34">
        <v>267</v>
      </c>
      <c r="B364" s="35" t="s">
        <v>354</v>
      </c>
      <c r="C364" s="34"/>
      <c r="D364" s="35"/>
      <c r="E364" s="35" t="s">
        <v>435</v>
      </c>
      <c r="F364" s="35" t="s">
        <v>355</v>
      </c>
      <c r="G364" s="46"/>
      <c r="H364" s="44"/>
      <c r="I364" s="44"/>
      <c r="J364" s="46"/>
      <c r="K364" s="44"/>
      <c r="L364" s="44"/>
      <c r="M364" s="44"/>
      <c r="N364" s="44"/>
      <c r="O364" s="45"/>
      <c r="P364" s="40"/>
    </row>
    <row r="365" spans="1:16" s="41" customFormat="1" ht="30" customHeight="1">
      <c r="A365" s="42">
        <v>268</v>
      </c>
      <c r="B365" s="43" t="s">
        <v>25</v>
      </c>
      <c r="C365" s="42"/>
      <c r="D365" s="43"/>
      <c r="E365" s="43" t="s">
        <v>435</v>
      </c>
      <c r="F365" s="43" t="s">
        <v>355</v>
      </c>
      <c r="G365" s="44"/>
      <c r="H365" s="44"/>
      <c r="I365" s="44"/>
      <c r="J365" s="44"/>
      <c r="K365" s="44"/>
      <c r="L365" s="44"/>
      <c r="M365" s="44"/>
      <c r="N365" s="44"/>
      <c r="O365" s="45"/>
      <c r="P365" s="40"/>
    </row>
    <row r="366" spans="1:16" s="41" customFormat="1" ht="30" customHeight="1">
      <c r="A366" s="34">
        <v>269</v>
      </c>
      <c r="B366" s="35" t="s">
        <v>356</v>
      </c>
      <c r="C366" s="34"/>
      <c r="D366" s="35"/>
      <c r="E366" s="35" t="s">
        <v>435</v>
      </c>
      <c r="F366" s="35" t="s">
        <v>355</v>
      </c>
      <c r="G366" s="46"/>
      <c r="H366" s="44"/>
      <c r="I366" s="44"/>
      <c r="J366" s="46"/>
      <c r="K366" s="44"/>
      <c r="L366" s="44"/>
      <c r="M366" s="44"/>
      <c r="N366" s="44"/>
      <c r="O366" s="45"/>
      <c r="P366" s="40"/>
    </row>
    <row r="367" spans="1:16" s="41" customFormat="1" ht="30" customHeight="1">
      <c r="A367" s="42">
        <v>270</v>
      </c>
      <c r="B367" s="43" t="s">
        <v>357</v>
      </c>
      <c r="C367" s="42"/>
      <c r="D367" s="43"/>
      <c r="E367" s="43" t="s">
        <v>435</v>
      </c>
      <c r="F367" s="43" t="s">
        <v>355</v>
      </c>
      <c r="G367" s="44"/>
      <c r="H367" s="44"/>
      <c r="I367" s="44"/>
      <c r="J367" s="44"/>
      <c r="K367" s="44"/>
      <c r="L367" s="44"/>
      <c r="M367" s="44"/>
      <c r="N367" s="44"/>
      <c r="O367" s="45"/>
      <c r="P367" s="40"/>
    </row>
    <row r="368" spans="1:16" s="41" customFormat="1" ht="30" customHeight="1">
      <c r="A368" s="34">
        <v>271</v>
      </c>
      <c r="B368" s="35" t="s">
        <v>358</v>
      </c>
      <c r="C368" s="34"/>
      <c r="D368" s="35"/>
      <c r="E368" s="35" t="s">
        <v>435</v>
      </c>
      <c r="F368" s="35" t="s">
        <v>355</v>
      </c>
      <c r="G368" s="46"/>
      <c r="H368" s="44"/>
      <c r="I368" s="44"/>
      <c r="J368" s="46"/>
      <c r="K368" s="44"/>
      <c r="L368" s="44"/>
      <c r="M368" s="44"/>
      <c r="N368" s="44"/>
      <c r="O368" s="45"/>
      <c r="P368" s="40"/>
    </row>
    <row r="369" spans="1:16" s="41" customFormat="1" ht="30" customHeight="1">
      <c r="A369" s="42">
        <v>272</v>
      </c>
      <c r="B369" s="43" t="s">
        <v>359</v>
      </c>
      <c r="C369" s="42"/>
      <c r="D369" s="43"/>
      <c r="E369" s="43" t="s">
        <v>435</v>
      </c>
      <c r="F369" s="43" t="s">
        <v>355</v>
      </c>
      <c r="G369" s="44"/>
      <c r="H369" s="44"/>
      <c r="I369" s="44"/>
      <c r="J369" s="44"/>
      <c r="K369" s="44"/>
      <c r="L369" s="44"/>
      <c r="M369" s="44"/>
      <c r="N369" s="44"/>
      <c r="O369" s="45"/>
      <c r="P369" s="40"/>
    </row>
    <row r="370" spans="1:16" s="41" customFormat="1" ht="41.25" customHeight="1">
      <c r="A370" s="34">
        <v>273</v>
      </c>
      <c r="B370" s="35" t="s">
        <v>360</v>
      </c>
      <c r="C370" s="34"/>
      <c r="D370" s="35"/>
      <c r="E370" s="35" t="s">
        <v>435</v>
      </c>
      <c r="F370" s="35" t="s">
        <v>355</v>
      </c>
      <c r="G370" s="46"/>
      <c r="H370" s="44"/>
      <c r="I370" s="44"/>
      <c r="J370" s="46"/>
      <c r="K370" s="44"/>
      <c r="L370" s="44"/>
      <c r="M370" s="44"/>
      <c r="N370" s="44"/>
      <c r="O370" s="45"/>
      <c r="P370" s="40"/>
    </row>
    <row r="371" spans="1:16" s="41" customFormat="1" ht="30" customHeight="1">
      <c r="A371" s="42">
        <v>274</v>
      </c>
      <c r="B371" s="43" t="s">
        <v>361</v>
      </c>
      <c r="C371" s="42"/>
      <c r="D371" s="43"/>
      <c r="E371" s="43" t="s">
        <v>435</v>
      </c>
      <c r="F371" s="43" t="s">
        <v>355</v>
      </c>
      <c r="G371" s="44"/>
      <c r="H371" s="44"/>
      <c r="I371" s="44"/>
      <c r="J371" s="44"/>
      <c r="K371" s="44"/>
      <c r="L371" s="44"/>
      <c r="M371" s="44"/>
      <c r="N371" s="44"/>
      <c r="O371" s="45"/>
      <c r="P371" s="40"/>
    </row>
    <row r="372" spans="1:16" s="41" customFormat="1" ht="30" customHeight="1">
      <c r="A372" s="34">
        <v>275</v>
      </c>
      <c r="B372" s="35" t="s">
        <v>362</v>
      </c>
      <c r="C372" s="34"/>
      <c r="D372" s="35"/>
      <c r="E372" s="35" t="s">
        <v>435</v>
      </c>
      <c r="F372" s="35" t="s">
        <v>355</v>
      </c>
      <c r="G372" s="46"/>
      <c r="H372" s="44"/>
      <c r="I372" s="44"/>
      <c r="J372" s="46"/>
      <c r="K372" s="44"/>
      <c r="L372" s="44"/>
      <c r="M372" s="44"/>
      <c r="N372" s="44"/>
      <c r="O372" s="45"/>
      <c r="P372" s="40"/>
    </row>
    <row r="373" spans="1:16" s="41" customFormat="1" ht="30" customHeight="1">
      <c r="A373" s="42">
        <v>276</v>
      </c>
      <c r="B373" s="43" t="s">
        <v>363</v>
      </c>
      <c r="C373" s="42"/>
      <c r="D373" s="43"/>
      <c r="E373" s="43" t="s">
        <v>435</v>
      </c>
      <c r="F373" s="43" t="s">
        <v>355</v>
      </c>
      <c r="G373" s="44"/>
      <c r="H373" s="44"/>
      <c r="I373" s="44"/>
      <c r="J373" s="44"/>
      <c r="K373" s="44"/>
      <c r="L373" s="44"/>
      <c r="M373" s="44"/>
      <c r="N373" s="44"/>
      <c r="O373" s="45"/>
      <c r="P373" s="40"/>
    </row>
    <row r="374" spans="1:16" s="41" customFormat="1" ht="30" customHeight="1">
      <c r="A374" s="34">
        <v>277</v>
      </c>
      <c r="B374" s="35" t="s">
        <v>364</v>
      </c>
      <c r="C374" s="34"/>
      <c r="D374" s="35"/>
      <c r="E374" s="35" t="s">
        <v>435</v>
      </c>
      <c r="F374" s="35" t="s">
        <v>355</v>
      </c>
      <c r="G374" s="46"/>
      <c r="H374" s="44"/>
      <c r="I374" s="44"/>
      <c r="J374" s="46"/>
      <c r="K374" s="44"/>
      <c r="L374" s="44"/>
      <c r="M374" s="44"/>
      <c r="N374" s="44"/>
      <c r="O374" s="45"/>
      <c r="P374" s="40"/>
    </row>
    <row r="375" spans="1:16" s="41" customFormat="1" ht="30" customHeight="1">
      <c r="A375" s="42">
        <v>278</v>
      </c>
      <c r="B375" s="43" t="s">
        <v>365</v>
      </c>
      <c r="C375" s="42"/>
      <c r="D375" s="43"/>
      <c r="E375" s="43" t="s">
        <v>435</v>
      </c>
      <c r="F375" s="43" t="s">
        <v>355</v>
      </c>
      <c r="G375" s="44"/>
      <c r="H375" s="44"/>
      <c r="I375" s="44"/>
      <c r="J375" s="44"/>
      <c r="K375" s="44"/>
      <c r="L375" s="44"/>
      <c r="M375" s="44"/>
      <c r="N375" s="44"/>
      <c r="O375" s="45"/>
      <c r="P375" s="40"/>
    </row>
    <row r="376" spans="1:16" s="41" customFormat="1" ht="30" customHeight="1">
      <c r="A376" s="34">
        <v>279</v>
      </c>
      <c r="B376" s="35" t="s">
        <v>366</v>
      </c>
      <c r="C376" s="34"/>
      <c r="D376" s="35"/>
      <c r="E376" s="35" t="s">
        <v>435</v>
      </c>
      <c r="F376" s="35" t="s">
        <v>355</v>
      </c>
      <c r="G376" s="46"/>
      <c r="H376" s="44"/>
      <c r="I376" s="44"/>
      <c r="J376" s="46"/>
      <c r="K376" s="44"/>
      <c r="L376" s="44"/>
      <c r="M376" s="44"/>
      <c r="N376" s="44"/>
      <c r="O376" s="45"/>
      <c r="P376" s="40"/>
    </row>
    <row r="377" spans="1:16" s="41" customFormat="1" ht="30" customHeight="1">
      <c r="A377" s="42">
        <v>280</v>
      </c>
      <c r="B377" s="43" t="s">
        <v>367</v>
      </c>
      <c r="C377" s="42"/>
      <c r="D377" s="43"/>
      <c r="E377" s="43" t="s">
        <v>435</v>
      </c>
      <c r="F377" s="43" t="s">
        <v>355</v>
      </c>
      <c r="G377" s="44"/>
      <c r="H377" s="44"/>
      <c r="I377" s="44"/>
      <c r="J377" s="44"/>
      <c r="K377" s="44"/>
      <c r="L377" s="44"/>
      <c r="M377" s="44"/>
      <c r="N377" s="44"/>
      <c r="O377" s="45"/>
      <c r="P377" s="40"/>
    </row>
    <row r="378" spans="1:16" s="41" customFormat="1" ht="30" customHeight="1">
      <c r="A378" s="34">
        <v>281</v>
      </c>
      <c r="B378" s="35" t="s">
        <v>368</v>
      </c>
      <c r="C378" s="34"/>
      <c r="D378" s="35"/>
      <c r="E378" s="35" t="s">
        <v>435</v>
      </c>
      <c r="F378" s="35" t="s">
        <v>355</v>
      </c>
      <c r="G378" s="46"/>
      <c r="H378" s="44"/>
      <c r="I378" s="44"/>
      <c r="J378" s="46"/>
      <c r="K378" s="44"/>
      <c r="L378" s="44"/>
      <c r="M378" s="44"/>
      <c r="N378" s="44"/>
      <c r="O378" s="45"/>
      <c r="P378" s="40"/>
    </row>
    <row r="379" spans="1:16" s="41" customFormat="1" ht="30" customHeight="1">
      <c r="A379" s="42">
        <v>282</v>
      </c>
      <c r="B379" s="43" t="s">
        <v>369</v>
      </c>
      <c r="C379" s="42"/>
      <c r="D379" s="43"/>
      <c r="E379" s="43" t="s">
        <v>435</v>
      </c>
      <c r="F379" s="43" t="s">
        <v>355</v>
      </c>
      <c r="G379" s="44"/>
      <c r="H379" s="44"/>
      <c r="I379" s="44"/>
      <c r="J379" s="44"/>
      <c r="K379" s="44"/>
      <c r="L379" s="44"/>
      <c r="M379" s="44"/>
      <c r="N379" s="44"/>
      <c r="O379" s="45"/>
      <c r="P379" s="40"/>
    </row>
    <row r="380" spans="1:16" s="41" customFormat="1" ht="30" customHeight="1">
      <c r="A380" s="34">
        <v>283</v>
      </c>
      <c r="B380" s="35" t="s">
        <v>370</v>
      </c>
      <c r="C380" s="34"/>
      <c r="D380" s="35"/>
      <c r="E380" s="35" t="s">
        <v>435</v>
      </c>
      <c r="F380" s="35" t="s">
        <v>355</v>
      </c>
      <c r="G380" s="46"/>
      <c r="H380" s="44"/>
      <c r="I380" s="44"/>
      <c r="J380" s="46"/>
      <c r="K380" s="44"/>
      <c r="L380" s="44"/>
      <c r="M380" s="44"/>
      <c r="N380" s="44"/>
      <c r="O380" s="45"/>
      <c r="P380" s="40"/>
    </row>
    <row r="381" spans="1:16" s="41" customFormat="1" ht="30" customHeight="1">
      <c r="A381" s="42">
        <v>284</v>
      </c>
      <c r="B381" s="43" t="s">
        <v>371</v>
      </c>
      <c r="C381" s="42"/>
      <c r="D381" s="43"/>
      <c r="E381" s="43" t="s">
        <v>435</v>
      </c>
      <c r="F381" s="43" t="s">
        <v>355</v>
      </c>
      <c r="G381" s="44"/>
      <c r="H381" s="44"/>
      <c r="I381" s="44"/>
      <c r="J381" s="44"/>
      <c r="K381" s="44"/>
      <c r="L381" s="44"/>
      <c r="M381" s="44"/>
      <c r="N381" s="44"/>
      <c r="O381" s="45"/>
      <c r="P381" s="40"/>
    </row>
    <row r="382" spans="1:16" s="41" customFormat="1" ht="30" customHeight="1">
      <c r="A382" s="34">
        <v>285</v>
      </c>
      <c r="B382" s="35" t="s">
        <v>372</v>
      </c>
      <c r="C382" s="34"/>
      <c r="D382" s="35"/>
      <c r="E382" s="35" t="s">
        <v>435</v>
      </c>
      <c r="F382" s="35" t="s">
        <v>355</v>
      </c>
      <c r="G382" s="46"/>
      <c r="H382" s="44"/>
      <c r="I382" s="44"/>
      <c r="J382" s="46"/>
      <c r="K382" s="44"/>
      <c r="L382" s="44"/>
      <c r="M382" s="44"/>
      <c r="N382" s="44"/>
      <c r="O382" s="45"/>
      <c r="P382" s="40"/>
    </row>
    <row r="383" spans="1:16" s="41" customFormat="1" ht="30" customHeight="1">
      <c r="A383" s="42">
        <v>286</v>
      </c>
      <c r="B383" s="43" t="s">
        <v>373</v>
      </c>
      <c r="C383" s="42"/>
      <c r="D383" s="43"/>
      <c r="E383" s="43" t="s">
        <v>435</v>
      </c>
      <c r="F383" s="43" t="s">
        <v>355</v>
      </c>
      <c r="G383" s="44"/>
      <c r="H383" s="44"/>
      <c r="I383" s="44"/>
      <c r="J383" s="44"/>
      <c r="K383" s="44"/>
      <c r="L383" s="44"/>
      <c r="M383" s="44"/>
      <c r="N383" s="44"/>
      <c r="O383" s="45"/>
      <c r="P383" s="40"/>
    </row>
    <row r="384" spans="1:16" s="41" customFormat="1" ht="30" customHeight="1">
      <c r="A384" s="34">
        <v>287</v>
      </c>
      <c r="B384" s="35" t="s">
        <v>374</v>
      </c>
      <c r="C384" s="34"/>
      <c r="D384" s="35"/>
      <c r="E384" s="35" t="s">
        <v>435</v>
      </c>
      <c r="F384" s="35" t="s">
        <v>355</v>
      </c>
      <c r="G384" s="46"/>
      <c r="H384" s="44"/>
      <c r="I384" s="44"/>
      <c r="J384" s="46"/>
      <c r="K384" s="44"/>
      <c r="L384" s="44"/>
      <c r="M384" s="44"/>
      <c r="N384" s="44"/>
      <c r="O384" s="45"/>
      <c r="P384" s="40"/>
    </row>
    <row r="385" spans="1:16" s="41" customFormat="1" ht="30" customHeight="1">
      <c r="A385" s="42">
        <v>288</v>
      </c>
      <c r="B385" s="43" t="s">
        <v>375</v>
      </c>
      <c r="C385" s="42"/>
      <c r="D385" s="43"/>
      <c r="E385" s="43" t="s">
        <v>435</v>
      </c>
      <c r="F385" s="43" t="s">
        <v>355</v>
      </c>
      <c r="G385" s="44"/>
      <c r="H385" s="44"/>
      <c r="I385" s="44"/>
      <c r="J385" s="44"/>
      <c r="K385" s="44"/>
      <c r="L385" s="44"/>
      <c r="M385" s="44"/>
      <c r="N385" s="44"/>
      <c r="O385" s="45"/>
      <c r="P385" s="40"/>
    </row>
    <row r="386" spans="1:16" s="41" customFormat="1" ht="30" customHeight="1">
      <c r="A386" s="34">
        <v>289</v>
      </c>
      <c r="B386" s="35" t="s">
        <v>376</v>
      </c>
      <c r="C386" s="34"/>
      <c r="D386" s="35"/>
      <c r="E386" s="35" t="s">
        <v>435</v>
      </c>
      <c r="F386" s="35" t="s">
        <v>355</v>
      </c>
      <c r="G386" s="46"/>
      <c r="H386" s="44"/>
      <c r="I386" s="44"/>
      <c r="J386" s="46"/>
      <c r="K386" s="44"/>
      <c r="L386" s="44"/>
      <c r="M386" s="44"/>
      <c r="N386" s="44"/>
      <c r="O386" s="45"/>
      <c r="P386" s="40"/>
    </row>
    <row r="387" spans="1:16" s="41" customFormat="1" ht="30" customHeight="1">
      <c r="A387" s="42">
        <v>290</v>
      </c>
      <c r="B387" s="43" t="s">
        <v>377</v>
      </c>
      <c r="C387" s="42"/>
      <c r="D387" s="43"/>
      <c r="E387" s="43" t="s">
        <v>435</v>
      </c>
      <c r="F387" s="43" t="s">
        <v>355</v>
      </c>
      <c r="G387" s="44"/>
      <c r="H387" s="44"/>
      <c r="I387" s="44"/>
      <c r="J387" s="44"/>
      <c r="K387" s="44"/>
      <c r="L387" s="44"/>
      <c r="M387" s="44"/>
      <c r="N387" s="44"/>
      <c r="O387" s="45"/>
      <c r="P387" s="40"/>
    </row>
    <row r="388" spans="1:16" s="41" customFormat="1" ht="30" customHeight="1">
      <c r="A388" s="34">
        <v>291</v>
      </c>
      <c r="B388" s="35" t="s">
        <v>378</v>
      </c>
      <c r="C388" s="34"/>
      <c r="D388" s="35"/>
      <c r="E388" s="35" t="s">
        <v>435</v>
      </c>
      <c r="F388" s="35" t="s">
        <v>355</v>
      </c>
      <c r="G388" s="46"/>
      <c r="H388" s="44"/>
      <c r="I388" s="44"/>
      <c r="J388" s="46"/>
      <c r="K388" s="44"/>
      <c r="L388" s="44"/>
      <c r="M388" s="44"/>
      <c r="N388" s="44"/>
      <c r="O388" s="45"/>
      <c r="P388" s="40"/>
    </row>
    <row r="389" spans="1:16" s="41" customFormat="1" ht="30" customHeight="1">
      <c r="A389" s="42">
        <v>292</v>
      </c>
      <c r="B389" s="43" t="s">
        <v>379</v>
      </c>
      <c r="C389" s="42"/>
      <c r="D389" s="43"/>
      <c r="E389" s="43" t="s">
        <v>435</v>
      </c>
      <c r="F389" s="43" t="s">
        <v>355</v>
      </c>
      <c r="G389" s="44"/>
      <c r="H389" s="44"/>
      <c r="I389" s="44"/>
      <c r="J389" s="44"/>
      <c r="K389" s="44"/>
      <c r="L389" s="44"/>
      <c r="M389" s="44"/>
      <c r="N389" s="44"/>
      <c r="O389" s="45"/>
      <c r="P389" s="40"/>
    </row>
    <row r="390" spans="1:16" s="41" customFormat="1" ht="30" customHeight="1">
      <c r="A390" s="34">
        <v>293</v>
      </c>
      <c r="B390" s="35" t="s">
        <v>380</v>
      </c>
      <c r="C390" s="34"/>
      <c r="D390" s="35"/>
      <c r="E390" s="35" t="s">
        <v>435</v>
      </c>
      <c r="F390" s="35" t="s">
        <v>355</v>
      </c>
      <c r="G390" s="46"/>
      <c r="H390" s="44"/>
      <c r="I390" s="44"/>
      <c r="J390" s="46"/>
      <c r="K390" s="44"/>
      <c r="L390" s="44"/>
      <c r="M390" s="44"/>
      <c r="N390" s="44"/>
      <c r="O390" s="45"/>
      <c r="P390" s="40"/>
    </row>
    <row r="391" spans="1:16" s="41" customFormat="1" ht="30" customHeight="1">
      <c r="A391" s="42">
        <v>294</v>
      </c>
      <c r="B391" s="43" t="s">
        <v>381</v>
      </c>
      <c r="C391" s="42"/>
      <c r="D391" s="43"/>
      <c r="E391" s="43" t="s">
        <v>435</v>
      </c>
      <c r="F391" s="43" t="s">
        <v>355</v>
      </c>
      <c r="G391" s="44"/>
      <c r="H391" s="44"/>
      <c r="I391" s="44"/>
      <c r="J391" s="44"/>
      <c r="K391" s="44"/>
      <c r="L391" s="44"/>
      <c r="M391" s="44"/>
      <c r="N391" s="44"/>
      <c r="O391" s="45"/>
      <c r="P391" s="40"/>
    </row>
    <row r="392" spans="1:16" s="41" customFormat="1" ht="30" customHeight="1">
      <c r="A392" s="34">
        <v>295</v>
      </c>
      <c r="B392" s="35" t="s">
        <v>93</v>
      </c>
      <c r="C392" s="34"/>
      <c r="D392" s="35"/>
      <c r="E392" s="35" t="s">
        <v>435</v>
      </c>
      <c r="F392" s="35" t="s">
        <v>355</v>
      </c>
      <c r="G392" s="46"/>
      <c r="H392" s="44"/>
      <c r="I392" s="44"/>
      <c r="J392" s="46"/>
      <c r="K392" s="44"/>
      <c r="L392" s="44"/>
      <c r="M392" s="44"/>
      <c r="N392" s="44"/>
      <c r="O392" s="45"/>
      <c r="P392" s="40"/>
    </row>
    <row r="393" spans="1:16" s="41" customFormat="1" ht="30" customHeight="1">
      <c r="A393" s="42">
        <v>296</v>
      </c>
      <c r="B393" s="43" t="s">
        <v>382</v>
      </c>
      <c r="C393" s="42"/>
      <c r="D393" s="43"/>
      <c r="E393" s="43" t="s">
        <v>435</v>
      </c>
      <c r="F393" s="43" t="s">
        <v>355</v>
      </c>
      <c r="G393" s="44"/>
      <c r="H393" s="44"/>
      <c r="I393" s="44"/>
      <c r="J393" s="44"/>
      <c r="K393" s="44"/>
      <c r="L393" s="44"/>
      <c r="M393" s="44"/>
      <c r="N393" s="44"/>
      <c r="O393" s="45"/>
      <c r="P393" s="40"/>
    </row>
    <row r="394" spans="1:16" s="41" customFormat="1" ht="30" customHeight="1">
      <c r="A394" s="34">
        <v>297</v>
      </c>
      <c r="B394" s="35" t="s">
        <v>383</v>
      </c>
      <c r="C394" s="34"/>
      <c r="D394" s="35"/>
      <c r="E394" s="35" t="s">
        <v>435</v>
      </c>
      <c r="F394" s="35" t="s">
        <v>13</v>
      </c>
      <c r="G394" s="46"/>
      <c r="H394" s="44"/>
      <c r="I394" s="44"/>
      <c r="J394" s="46"/>
      <c r="K394" s="44"/>
      <c r="L394" s="44"/>
      <c r="M394" s="44"/>
      <c r="N394" s="44"/>
      <c r="O394" s="45"/>
      <c r="P394" s="40"/>
    </row>
    <row r="395" spans="1:16" s="41" customFormat="1" ht="30" customHeight="1">
      <c r="A395" s="42">
        <v>298</v>
      </c>
      <c r="B395" s="43" t="s">
        <v>384</v>
      </c>
      <c r="C395" s="42"/>
      <c r="D395" s="43"/>
      <c r="E395" s="43" t="s">
        <v>435</v>
      </c>
      <c r="F395" s="43" t="s">
        <v>35</v>
      </c>
      <c r="G395" s="44"/>
      <c r="H395" s="44"/>
      <c r="I395" s="44"/>
      <c r="J395" s="44"/>
      <c r="K395" s="44"/>
      <c r="L395" s="44"/>
      <c r="M395" s="44"/>
      <c r="N395" s="44"/>
      <c r="O395" s="45"/>
      <c r="P395" s="40"/>
    </row>
    <row r="396" spans="1:16" s="41" customFormat="1" ht="30" customHeight="1">
      <c r="A396" s="34">
        <v>299</v>
      </c>
      <c r="B396" s="35" t="s">
        <v>385</v>
      </c>
      <c r="C396" s="34"/>
      <c r="D396" s="35"/>
      <c r="E396" s="35" t="s">
        <v>435</v>
      </c>
      <c r="F396" s="35" t="s">
        <v>13</v>
      </c>
      <c r="G396" s="46"/>
      <c r="H396" s="44"/>
      <c r="I396" s="44"/>
      <c r="J396" s="46"/>
      <c r="K396" s="44"/>
      <c r="L396" s="44"/>
      <c r="M396" s="44"/>
      <c r="N396" s="44"/>
      <c r="O396" s="45"/>
      <c r="P396" s="40"/>
    </row>
    <row r="397" spans="1:16" s="41" customFormat="1" ht="30" customHeight="1">
      <c r="A397" s="42">
        <v>300</v>
      </c>
      <c r="B397" s="43" t="s">
        <v>386</v>
      </c>
      <c r="C397" s="42"/>
      <c r="D397" s="43"/>
      <c r="E397" s="43" t="s">
        <v>435</v>
      </c>
      <c r="F397" s="43" t="s">
        <v>13</v>
      </c>
      <c r="G397" s="44"/>
      <c r="H397" s="44"/>
      <c r="I397" s="44"/>
      <c r="J397" s="44"/>
      <c r="K397" s="44"/>
      <c r="L397" s="44"/>
      <c r="M397" s="44"/>
      <c r="N397" s="44"/>
      <c r="O397" s="45"/>
      <c r="P397" s="40"/>
    </row>
    <row r="398" spans="1:16" s="41" customFormat="1" ht="30" customHeight="1">
      <c r="A398" s="34">
        <v>301</v>
      </c>
      <c r="B398" s="35" t="s">
        <v>387</v>
      </c>
      <c r="C398" s="34"/>
      <c r="D398" s="35"/>
      <c r="E398" s="35" t="s">
        <v>435</v>
      </c>
      <c r="F398" s="35" t="s">
        <v>13</v>
      </c>
      <c r="G398" s="46"/>
      <c r="H398" s="44"/>
      <c r="I398" s="44"/>
      <c r="J398" s="46"/>
      <c r="K398" s="44"/>
      <c r="L398" s="44"/>
      <c r="M398" s="44"/>
      <c r="N398" s="44"/>
      <c r="O398" s="45"/>
      <c r="P398" s="40"/>
    </row>
    <row r="399" spans="1:16" s="41" customFormat="1" ht="30" customHeight="1">
      <c r="A399" s="42">
        <v>302</v>
      </c>
      <c r="B399" s="43" t="s">
        <v>388</v>
      </c>
      <c r="C399" s="42"/>
      <c r="D399" s="43"/>
      <c r="E399" s="43" t="s">
        <v>435</v>
      </c>
      <c r="F399" s="43" t="s">
        <v>13</v>
      </c>
      <c r="G399" s="44"/>
      <c r="H399" s="44"/>
      <c r="I399" s="44"/>
      <c r="J399" s="44"/>
      <c r="K399" s="44"/>
      <c r="L399" s="44"/>
      <c r="M399" s="44"/>
      <c r="N399" s="44"/>
      <c r="O399" s="45"/>
      <c r="P399" s="40"/>
    </row>
    <row r="400" spans="1:16" s="41" customFormat="1" ht="30" customHeight="1">
      <c r="A400" s="34">
        <v>303</v>
      </c>
      <c r="B400" s="35" t="s">
        <v>389</v>
      </c>
      <c r="C400" s="34"/>
      <c r="D400" s="35"/>
      <c r="E400" s="35" t="s">
        <v>435</v>
      </c>
      <c r="F400" s="35" t="s">
        <v>13</v>
      </c>
      <c r="G400" s="46"/>
      <c r="H400" s="44"/>
      <c r="I400" s="44"/>
      <c r="J400" s="46"/>
      <c r="K400" s="44"/>
      <c r="L400" s="44"/>
      <c r="M400" s="44"/>
      <c r="N400" s="44"/>
      <c r="O400" s="45"/>
      <c r="P400" s="40"/>
    </row>
    <row r="401" spans="1:16" s="41" customFormat="1" ht="30" customHeight="1">
      <c r="A401" s="42">
        <v>304</v>
      </c>
      <c r="B401" s="43" t="s">
        <v>390</v>
      </c>
      <c r="C401" s="42"/>
      <c r="D401" s="43"/>
      <c r="E401" s="43" t="s">
        <v>435</v>
      </c>
      <c r="F401" s="43" t="s">
        <v>13</v>
      </c>
      <c r="G401" s="44"/>
      <c r="H401" s="44"/>
      <c r="I401" s="44"/>
      <c r="J401" s="44"/>
      <c r="K401" s="44"/>
      <c r="L401" s="44"/>
      <c r="M401" s="44"/>
      <c r="N401" s="44"/>
      <c r="O401" s="45"/>
      <c r="P401" s="40"/>
    </row>
    <row r="402" spans="1:16" s="41" customFormat="1" ht="30" customHeight="1">
      <c r="A402" s="34">
        <v>305</v>
      </c>
      <c r="B402" s="35" t="s">
        <v>391</v>
      </c>
      <c r="C402" s="34"/>
      <c r="D402" s="35"/>
      <c r="E402" s="35" t="s">
        <v>435</v>
      </c>
      <c r="F402" s="35" t="s">
        <v>13</v>
      </c>
      <c r="G402" s="46"/>
      <c r="H402" s="44"/>
      <c r="I402" s="44"/>
      <c r="J402" s="46"/>
      <c r="K402" s="44"/>
      <c r="L402" s="44"/>
      <c r="M402" s="44"/>
      <c r="N402" s="44"/>
      <c r="O402" s="45"/>
      <c r="P402" s="40"/>
    </row>
    <row r="403" spans="1:16" s="41" customFormat="1" ht="30" customHeight="1">
      <c r="A403" s="42">
        <v>306</v>
      </c>
      <c r="B403" s="43" t="s">
        <v>392</v>
      </c>
      <c r="C403" s="42"/>
      <c r="D403" s="43"/>
      <c r="E403" s="43" t="s">
        <v>435</v>
      </c>
      <c r="F403" s="43" t="s">
        <v>13</v>
      </c>
      <c r="G403" s="44"/>
      <c r="H403" s="44"/>
      <c r="I403" s="44"/>
      <c r="J403" s="44"/>
      <c r="K403" s="44"/>
      <c r="L403" s="44"/>
      <c r="M403" s="44"/>
      <c r="N403" s="44"/>
      <c r="O403" s="45"/>
      <c r="P403" s="40"/>
    </row>
    <row r="404" spans="1:16" s="41" customFormat="1" ht="30" customHeight="1">
      <c r="A404" s="34">
        <v>307</v>
      </c>
      <c r="B404" s="35" t="s">
        <v>393</v>
      </c>
      <c r="C404" s="34">
        <v>371</v>
      </c>
      <c r="D404" s="35"/>
      <c r="E404" s="35" t="s">
        <v>435</v>
      </c>
      <c r="F404" s="35" t="s">
        <v>13</v>
      </c>
      <c r="G404" s="46"/>
      <c r="H404" s="44"/>
      <c r="I404" s="44"/>
      <c r="J404" s="46"/>
      <c r="K404" s="44"/>
      <c r="L404" s="44"/>
      <c r="M404" s="44"/>
      <c r="N404" s="44"/>
      <c r="O404" s="45"/>
      <c r="P404" s="40"/>
    </row>
    <row r="405" spans="1:16" s="41" customFormat="1" ht="30" customHeight="1">
      <c r="A405" s="48">
        <v>308</v>
      </c>
      <c r="B405" s="49" t="s">
        <v>394</v>
      </c>
      <c r="C405" s="48" t="s">
        <v>427</v>
      </c>
      <c r="D405" s="49"/>
      <c r="E405" s="49" t="s">
        <v>435</v>
      </c>
      <c r="F405" s="49" t="s">
        <v>13</v>
      </c>
      <c r="G405" s="38"/>
      <c r="H405" s="44"/>
      <c r="I405" s="44"/>
      <c r="J405" s="38"/>
      <c r="K405" s="44"/>
      <c r="L405" s="44"/>
      <c r="M405" s="44"/>
      <c r="N405" s="44"/>
      <c r="O405" s="45"/>
      <c r="P405" s="40"/>
    </row>
    <row r="406" spans="1:16" s="41" customFormat="1" ht="30" customHeight="1">
      <c r="A406" s="34">
        <v>309</v>
      </c>
      <c r="B406" s="35" t="s">
        <v>395</v>
      </c>
      <c r="C406" s="34">
        <v>221</v>
      </c>
      <c r="D406" s="35"/>
      <c r="E406" s="35" t="s">
        <v>435</v>
      </c>
      <c r="F406" s="35" t="s">
        <v>13</v>
      </c>
      <c r="G406" s="46"/>
      <c r="H406" s="44"/>
      <c r="I406" s="44"/>
      <c r="J406" s="46"/>
      <c r="K406" s="44"/>
      <c r="L406" s="44"/>
      <c r="M406" s="44"/>
      <c r="N406" s="44"/>
      <c r="O406" s="45"/>
      <c r="P406" s="40"/>
    </row>
    <row r="407" spans="1:16" s="41" customFormat="1" ht="30" customHeight="1">
      <c r="A407" s="42">
        <v>310</v>
      </c>
      <c r="B407" s="43" t="s">
        <v>396</v>
      </c>
      <c r="C407" s="42"/>
      <c r="D407" s="43"/>
      <c r="E407" s="43" t="s">
        <v>435</v>
      </c>
      <c r="F407" s="43" t="s">
        <v>13</v>
      </c>
      <c r="G407" s="44"/>
      <c r="H407" s="44"/>
      <c r="I407" s="44"/>
      <c r="J407" s="44"/>
      <c r="K407" s="44"/>
      <c r="L407" s="44"/>
      <c r="M407" s="44"/>
      <c r="N407" s="44"/>
      <c r="O407" s="45"/>
      <c r="P407" s="40"/>
    </row>
    <row r="408" spans="1:16" s="41" customFormat="1" ht="30" customHeight="1">
      <c r="A408" s="34">
        <v>311</v>
      </c>
      <c r="B408" s="35" t="s">
        <v>397</v>
      </c>
      <c r="C408" s="34"/>
      <c r="D408" s="35"/>
      <c r="E408" s="35" t="s">
        <v>435</v>
      </c>
      <c r="F408" s="35" t="s">
        <v>13</v>
      </c>
      <c r="G408" s="46"/>
      <c r="H408" s="44"/>
      <c r="I408" s="44"/>
      <c r="J408" s="46"/>
      <c r="K408" s="44"/>
      <c r="L408" s="44"/>
      <c r="M408" s="44"/>
      <c r="N408" s="44"/>
      <c r="O408" s="45"/>
      <c r="P408" s="40"/>
    </row>
    <row r="409" spans="1:16" s="41" customFormat="1" ht="30" customHeight="1">
      <c r="A409" s="42">
        <v>312</v>
      </c>
      <c r="B409" s="43" t="s">
        <v>398</v>
      </c>
      <c r="C409" s="48"/>
      <c r="D409" s="49"/>
      <c r="E409" s="49" t="s">
        <v>435</v>
      </c>
      <c r="F409" s="49" t="s">
        <v>13</v>
      </c>
      <c r="G409" s="38"/>
      <c r="H409" s="44"/>
      <c r="I409" s="44"/>
      <c r="J409" s="38"/>
      <c r="K409" s="44"/>
      <c r="L409" s="44"/>
      <c r="M409" s="44"/>
      <c r="N409" s="44"/>
      <c r="O409" s="45"/>
      <c r="P409" s="40"/>
    </row>
    <row r="410" spans="1:16" s="41" customFormat="1" ht="30" customHeight="1">
      <c r="A410" s="71" t="s">
        <v>399</v>
      </c>
      <c r="B410" s="72"/>
      <c r="C410" s="73">
        <v>1</v>
      </c>
      <c r="D410" s="74"/>
      <c r="E410" s="74"/>
      <c r="F410" s="74"/>
      <c r="G410" s="75"/>
      <c r="H410" s="74"/>
      <c r="I410" s="74"/>
      <c r="J410" s="74"/>
      <c r="K410" s="74"/>
      <c r="L410" s="74"/>
      <c r="M410" s="74"/>
      <c r="N410" s="76"/>
      <c r="O410" s="45"/>
      <c r="P410" s="40"/>
    </row>
    <row r="411" spans="1:16" s="41" customFormat="1" ht="30" customHeight="1">
      <c r="A411" s="77"/>
      <c r="B411" s="72"/>
      <c r="C411" s="73">
        <v>35</v>
      </c>
      <c r="D411" s="74"/>
      <c r="E411" s="74"/>
      <c r="F411" s="74"/>
      <c r="G411" s="75"/>
      <c r="H411" s="74"/>
      <c r="I411" s="74"/>
      <c r="J411" s="74"/>
      <c r="K411" s="74"/>
      <c r="L411" s="74"/>
      <c r="M411" s="74"/>
      <c r="N411" s="76"/>
      <c r="O411" s="45"/>
      <c r="P411" s="40"/>
    </row>
    <row r="412" spans="1:16" s="41" customFormat="1" ht="30" customHeight="1">
      <c r="A412" s="77"/>
      <c r="B412" s="72"/>
      <c r="C412" s="73">
        <v>303</v>
      </c>
      <c r="D412" s="74"/>
      <c r="E412" s="74"/>
      <c r="F412" s="74"/>
      <c r="G412" s="75"/>
      <c r="H412" s="74"/>
      <c r="I412" s="74"/>
      <c r="J412" s="74"/>
      <c r="K412" s="74"/>
      <c r="L412" s="74"/>
      <c r="M412" s="74"/>
      <c r="N412" s="76"/>
      <c r="O412" s="45"/>
      <c r="P412" s="40"/>
    </row>
    <row r="413" spans="1:16" s="41" customFormat="1" ht="30" customHeight="1">
      <c r="A413" s="77"/>
      <c r="B413" s="72"/>
      <c r="C413" s="73">
        <v>314</v>
      </c>
      <c r="D413" s="74"/>
      <c r="E413" s="74"/>
      <c r="F413" s="74"/>
      <c r="G413" s="75"/>
      <c r="H413" s="74"/>
      <c r="I413" s="74"/>
      <c r="J413" s="74"/>
      <c r="K413" s="74"/>
      <c r="L413" s="74"/>
      <c r="M413" s="74"/>
      <c r="N413" s="76"/>
      <c r="O413" s="45"/>
      <c r="P413" s="40"/>
    </row>
    <row r="414" spans="1:16" s="41" customFormat="1" ht="30" customHeight="1">
      <c r="A414" s="77"/>
      <c r="B414" s="72"/>
      <c r="C414" s="73">
        <v>348</v>
      </c>
      <c r="D414" s="74"/>
      <c r="E414" s="74"/>
      <c r="F414" s="74"/>
      <c r="G414" s="75"/>
      <c r="H414" s="74"/>
      <c r="I414" s="74"/>
      <c r="J414" s="74"/>
      <c r="K414" s="74"/>
      <c r="L414" s="74"/>
      <c r="M414" s="74"/>
      <c r="N414" s="76"/>
      <c r="O414" s="45"/>
      <c r="P414" s="40"/>
    </row>
    <row r="415" spans="1:16" s="41" customFormat="1" ht="30" customHeight="1">
      <c r="A415" s="77"/>
      <c r="B415" s="72"/>
      <c r="C415" s="73">
        <v>349</v>
      </c>
      <c r="D415" s="74"/>
      <c r="E415" s="74"/>
      <c r="F415" s="74"/>
      <c r="G415" s="75"/>
      <c r="H415" s="74"/>
      <c r="I415" s="74"/>
      <c r="J415" s="74"/>
      <c r="K415" s="74"/>
      <c r="L415" s="74"/>
      <c r="M415" s="74"/>
      <c r="N415" s="76"/>
      <c r="O415" s="45"/>
      <c r="P415" s="40"/>
    </row>
    <row r="416" spans="1:16" s="41" customFormat="1" ht="30" customHeight="1">
      <c r="A416" s="77"/>
      <c r="B416" s="72"/>
      <c r="C416" s="73">
        <v>351</v>
      </c>
      <c r="D416" s="74"/>
      <c r="E416" s="74"/>
      <c r="F416" s="74"/>
      <c r="G416" s="75"/>
      <c r="H416" s="74"/>
      <c r="I416" s="74"/>
      <c r="J416" s="74"/>
      <c r="K416" s="74"/>
      <c r="L416" s="74"/>
      <c r="M416" s="74"/>
      <c r="N416" s="76"/>
      <c r="O416" s="45"/>
      <c r="P416" s="40"/>
    </row>
    <row r="417" spans="1:16" s="41" customFormat="1" ht="30" customHeight="1">
      <c r="A417" s="77"/>
      <c r="B417" s="72"/>
      <c r="C417" s="73">
        <v>352</v>
      </c>
      <c r="D417" s="74"/>
      <c r="E417" s="74"/>
      <c r="F417" s="74"/>
      <c r="G417" s="75"/>
      <c r="H417" s="74"/>
      <c r="I417" s="74"/>
      <c r="J417" s="74"/>
      <c r="K417" s="74"/>
      <c r="L417" s="74"/>
      <c r="M417" s="74"/>
      <c r="N417" s="76"/>
      <c r="O417" s="45"/>
      <c r="P417" s="40"/>
    </row>
    <row r="418" spans="1:16" ht="30" customHeight="1">
      <c r="A418" s="14"/>
      <c r="B418" s="17"/>
      <c r="C418" s="19">
        <v>353</v>
      </c>
      <c r="D418" s="20"/>
      <c r="E418" s="20"/>
      <c r="F418" s="20"/>
      <c r="G418" s="21"/>
      <c r="H418" s="20"/>
      <c r="I418" s="20"/>
      <c r="J418" s="20"/>
      <c r="K418" s="20"/>
      <c r="L418" s="20"/>
      <c r="M418" s="20"/>
      <c r="N418" s="22"/>
      <c r="O418" s="24"/>
      <c r="P418" s="8"/>
    </row>
    <row r="419" spans="1:16" ht="30" customHeight="1">
      <c r="A419" s="14"/>
      <c r="B419" s="17"/>
      <c r="C419" s="19">
        <v>354</v>
      </c>
      <c r="D419" s="20"/>
      <c r="E419" s="20"/>
      <c r="F419" s="20"/>
      <c r="G419" s="21"/>
      <c r="H419" s="20"/>
      <c r="I419" s="20"/>
      <c r="J419" s="20"/>
      <c r="K419" s="20"/>
      <c r="L419" s="20"/>
      <c r="M419" s="20"/>
      <c r="N419" s="22"/>
      <c r="O419" s="24"/>
      <c r="P419" s="8"/>
    </row>
    <row r="420" spans="1:16" ht="30" customHeight="1">
      <c r="A420" s="14"/>
      <c r="B420" s="17"/>
      <c r="C420" s="19">
        <v>355</v>
      </c>
      <c r="D420" s="20"/>
      <c r="E420" s="20"/>
      <c r="F420" s="20"/>
      <c r="G420" s="21"/>
      <c r="H420" s="20"/>
      <c r="I420" s="20"/>
      <c r="J420" s="20"/>
      <c r="K420" s="20"/>
      <c r="L420" s="20"/>
      <c r="M420" s="20"/>
      <c r="N420" s="22"/>
      <c r="O420" s="24"/>
      <c r="P420" s="8"/>
    </row>
    <row r="421" spans="1:16" ht="30" customHeight="1">
      <c r="A421" s="14"/>
      <c r="B421" s="17"/>
      <c r="C421" s="19">
        <v>356</v>
      </c>
      <c r="D421" s="20"/>
      <c r="E421" s="20"/>
      <c r="F421" s="20"/>
      <c r="G421" s="21"/>
      <c r="H421" s="20"/>
      <c r="I421" s="20"/>
      <c r="J421" s="20"/>
      <c r="K421" s="20"/>
      <c r="L421" s="20"/>
      <c r="M421" s="20"/>
      <c r="N421" s="22"/>
      <c r="O421" s="24"/>
      <c r="P421" s="8"/>
    </row>
    <row r="422" spans="1:16" ht="30" customHeight="1">
      <c r="A422" s="14"/>
      <c r="B422" s="17"/>
      <c r="C422" s="19">
        <v>357</v>
      </c>
      <c r="D422" s="20"/>
      <c r="E422" s="20"/>
      <c r="F422" s="20"/>
      <c r="G422" s="21"/>
      <c r="H422" s="20"/>
      <c r="I422" s="20"/>
      <c r="J422" s="20"/>
      <c r="K422" s="20"/>
      <c r="L422" s="20"/>
      <c r="M422" s="20"/>
      <c r="N422" s="22"/>
      <c r="O422" s="24"/>
      <c r="P422" s="8"/>
    </row>
    <row r="423" spans="1:16" ht="30" customHeight="1">
      <c r="A423" s="14"/>
      <c r="B423" s="17"/>
      <c r="C423" s="19">
        <v>358</v>
      </c>
      <c r="D423" s="20"/>
      <c r="E423" s="20"/>
      <c r="F423" s="20"/>
      <c r="G423" s="21"/>
      <c r="H423" s="20"/>
      <c r="I423" s="20"/>
      <c r="J423" s="20"/>
      <c r="K423" s="20"/>
      <c r="L423" s="20"/>
      <c r="M423" s="20"/>
      <c r="N423" s="22"/>
      <c r="O423" s="24"/>
      <c r="P423" s="8"/>
    </row>
    <row r="424" spans="1:16" ht="30" customHeight="1">
      <c r="A424" s="14"/>
      <c r="B424" s="17"/>
      <c r="C424" s="19">
        <v>364</v>
      </c>
      <c r="D424" s="20"/>
      <c r="E424" s="20"/>
      <c r="F424" s="20"/>
      <c r="G424" s="21"/>
      <c r="H424" s="20"/>
      <c r="I424" s="20"/>
      <c r="J424" s="20"/>
      <c r="K424" s="20"/>
      <c r="L424" s="20"/>
      <c r="M424" s="20"/>
      <c r="N424" s="22"/>
      <c r="O424" s="24"/>
      <c r="P424" s="8"/>
    </row>
    <row r="425" spans="1:16" ht="30" customHeight="1">
      <c r="A425" s="14"/>
      <c r="B425" s="17"/>
      <c r="C425" s="19">
        <v>375</v>
      </c>
      <c r="D425" s="20"/>
      <c r="E425" s="20"/>
      <c r="F425" s="20"/>
      <c r="G425" s="21"/>
      <c r="H425" s="20"/>
      <c r="I425" s="20"/>
      <c r="J425" s="20"/>
      <c r="K425" s="20"/>
      <c r="L425" s="20"/>
      <c r="M425" s="20"/>
      <c r="N425" s="22"/>
      <c r="O425" s="24"/>
      <c r="P425" s="8"/>
    </row>
    <row r="426" spans="1:16" ht="30" customHeight="1">
      <c r="A426" s="15"/>
      <c r="B426" s="18"/>
      <c r="C426" s="19">
        <v>381</v>
      </c>
      <c r="D426" s="20"/>
      <c r="E426" s="20"/>
      <c r="F426" s="20"/>
      <c r="G426" s="21"/>
      <c r="H426" s="20"/>
      <c r="I426" s="20"/>
      <c r="J426" s="20"/>
      <c r="K426" s="20"/>
      <c r="L426" s="20"/>
      <c r="M426" s="20"/>
      <c r="N426" s="22"/>
      <c r="O426" s="27"/>
      <c r="P426" s="8"/>
    </row>
    <row r="427" spans="1:16" ht="30" customHeight="1">
      <c r="A427" s="16"/>
      <c r="B427" s="16"/>
    </row>
  </sheetData>
  <mergeCells count="4">
    <mergeCell ref="G90:G91"/>
    <mergeCell ref="H90:H91"/>
    <mergeCell ref="J90:J91"/>
    <mergeCell ref="L90:L91"/>
  </mergeCells>
  <dataValidations count="2">
    <dataValidation type="list" allowBlank="1" showInputMessage="1" showErrorMessage="1" sqref="J45:J46 J92:J179 J84:J90 J181:J279 J48:J81 J3:J43 J282:J319 J325:J339 J341:J426">
      <formula1>"Ready, Improvements Needed, Significant Improvements Needed, Priority"</formula1>
    </dataValidation>
    <dataValidation type="list" allowBlank="1" showInputMessage="1" showErrorMessage="1" sqref="I3:I409">
      <formula1>"No Gap,Minor Gap,Significant Gap,Priority"</formula1>
    </dataValidation>
  </dataValidations>
  <pageMargins left="0.70866141732283472" right="0.70866141732283472" top="0.74803149606299213" bottom="0.74803149606299213" header="0.31496062992125984" footer="0.31496062992125984"/>
  <pageSetup paperSize="8" scale="46" fitToHeight="0" orientation="landscape" r:id="rId1"/>
</worksheet>
</file>

<file path=xl/worksheets/sheet6.xml><?xml version="1.0" encoding="utf-8"?>
<worksheet xmlns="http://schemas.openxmlformats.org/spreadsheetml/2006/main" xmlns:r="http://schemas.openxmlformats.org/officeDocument/2006/relationships">
  <sheetPr codeName="Sheet6">
    <pageSetUpPr fitToPage="1"/>
  </sheetPr>
  <dimension ref="A1:P374"/>
  <sheetViews>
    <sheetView zoomScale="80" zoomScaleNormal="80" workbookViewId="0">
      <pane xSplit="5" ySplit="2" topLeftCell="F3" activePane="bottomRight" state="frozen"/>
      <selection pane="topRight" activeCell="F1" sqref="F1"/>
      <selection pane="bottomLeft" activeCell="A3" sqref="A3"/>
      <selection pane="bottomRight" activeCell="F290" sqref="F290"/>
    </sheetView>
  </sheetViews>
  <sheetFormatPr defaultRowHeight="15"/>
  <cols>
    <col min="1" max="1" width="11.7109375" customWidth="1"/>
    <col min="2" max="2" width="31.85546875" customWidth="1"/>
    <col min="3" max="3" width="17.85546875" customWidth="1"/>
    <col min="4" max="4" width="25.5703125" customWidth="1"/>
    <col min="5" max="5" width="20.42578125" customWidth="1"/>
    <col min="6" max="6" width="27.7109375" customWidth="1"/>
    <col min="7" max="7" width="53.5703125" customWidth="1"/>
    <col min="8" max="8" width="37.7109375" customWidth="1"/>
    <col min="9" max="9" width="17.85546875" customWidth="1"/>
    <col min="10" max="10" width="21.28515625" customWidth="1"/>
    <col min="11" max="11" width="48.42578125" customWidth="1"/>
    <col min="12" max="12" width="37.7109375" customWidth="1"/>
    <col min="13" max="13" width="31.42578125" customWidth="1"/>
    <col min="14" max="14" width="30.42578125" customWidth="1"/>
    <col min="15" max="15" width="12.5703125" style="28" hidden="1" customWidth="1"/>
    <col min="20" max="20" width="8.7109375" customWidth="1"/>
  </cols>
  <sheetData>
    <row r="1" spans="1:16" ht="15.75" thickBot="1">
      <c r="A1" s="1" t="s">
        <v>0</v>
      </c>
      <c r="B1" s="2"/>
      <c r="C1" s="3"/>
      <c r="D1" s="4"/>
      <c r="E1" s="2"/>
      <c r="F1" s="5" t="s">
        <v>1</v>
      </c>
      <c r="G1" s="5"/>
      <c r="H1" s="6"/>
      <c r="I1" s="6"/>
      <c r="J1" s="6"/>
      <c r="K1" s="6"/>
      <c r="L1" s="7" t="s">
        <v>2</v>
      </c>
      <c r="M1" s="7"/>
      <c r="N1" s="7"/>
      <c r="O1" s="25"/>
      <c r="P1" s="8"/>
    </row>
    <row r="2" spans="1:16" ht="56.25" customHeight="1">
      <c r="A2" s="9" t="s">
        <v>3</v>
      </c>
      <c r="B2" s="9" t="s">
        <v>4</v>
      </c>
      <c r="C2" s="10" t="s">
        <v>5</v>
      </c>
      <c r="D2" s="11" t="s">
        <v>6</v>
      </c>
      <c r="E2" s="11" t="s">
        <v>434</v>
      </c>
      <c r="F2" s="12" t="s">
        <v>579</v>
      </c>
      <c r="G2" s="12" t="s">
        <v>7</v>
      </c>
      <c r="H2" s="12" t="s">
        <v>8</v>
      </c>
      <c r="I2" s="12" t="s">
        <v>451</v>
      </c>
      <c r="J2" s="12" t="s">
        <v>450</v>
      </c>
      <c r="K2" s="12" t="s">
        <v>510</v>
      </c>
      <c r="L2" s="13" t="s">
        <v>9</v>
      </c>
      <c r="M2" s="13" t="s">
        <v>10</v>
      </c>
      <c r="N2" s="23" t="s">
        <v>11</v>
      </c>
      <c r="O2" s="26" t="s">
        <v>433</v>
      </c>
      <c r="P2" s="8"/>
    </row>
    <row r="3" spans="1:16" s="41" customFormat="1" ht="30" customHeight="1">
      <c r="A3" s="37">
        <v>1</v>
      </c>
      <c r="B3" s="81" t="s">
        <v>12</v>
      </c>
      <c r="C3" s="37"/>
      <c r="D3" s="81"/>
      <c r="E3" s="81" t="s">
        <v>435</v>
      </c>
      <c r="F3" s="81" t="s">
        <v>13</v>
      </c>
      <c r="G3" s="38"/>
      <c r="H3" s="38"/>
      <c r="I3" s="38"/>
      <c r="J3" s="38"/>
      <c r="K3" s="38"/>
      <c r="L3" s="38"/>
      <c r="M3" s="38"/>
      <c r="N3" s="38"/>
      <c r="O3" s="39"/>
      <c r="P3" s="40"/>
    </row>
    <row r="4" spans="1:16" s="41" customFormat="1" ht="30" customHeight="1">
      <c r="A4" s="42">
        <v>2</v>
      </c>
      <c r="B4" s="43" t="s">
        <v>14</v>
      </c>
      <c r="C4" s="42"/>
      <c r="D4" s="43"/>
      <c r="E4" s="43" t="s">
        <v>435</v>
      </c>
      <c r="F4" s="43" t="s">
        <v>13</v>
      </c>
      <c r="G4" s="44"/>
      <c r="H4" s="44"/>
      <c r="I4" s="44"/>
      <c r="J4" s="44"/>
      <c r="K4" s="44"/>
      <c r="L4" s="44"/>
      <c r="M4" s="44"/>
      <c r="N4" s="44"/>
      <c r="O4" s="45"/>
      <c r="P4" s="40"/>
    </row>
    <row r="5" spans="1:16" s="41" customFormat="1" ht="30" customHeight="1">
      <c r="A5" s="34">
        <v>3</v>
      </c>
      <c r="B5" s="35" t="s">
        <v>15</v>
      </c>
      <c r="C5" s="34"/>
      <c r="D5" s="35"/>
      <c r="E5" s="35" t="s">
        <v>435</v>
      </c>
      <c r="F5" s="35" t="s">
        <v>13</v>
      </c>
      <c r="G5" s="46"/>
      <c r="H5" s="46"/>
      <c r="I5" s="46"/>
      <c r="J5" s="46"/>
      <c r="K5" s="46"/>
      <c r="L5" s="46"/>
      <c r="M5" s="46"/>
      <c r="N5" s="46"/>
      <c r="O5" s="45"/>
      <c r="P5" s="40"/>
    </row>
    <row r="6" spans="1:16" s="41" customFormat="1" ht="30" customHeight="1">
      <c r="A6" s="42">
        <v>4</v>
      </c>
      <c r="B6" s="43" t="s">
        <v>16</v>
      </c>
      <c r="C6" s="42"/>
      <c r="D6" s="43"/>
      <c r="E6" s="43" t="s">
        <v>435</v>
      </c>
      <c r="F6" s="43" t="s">
        <v>13</v>
      </c>
      <c r="G6" s="44"/>
      <c r="H6" s="44"/>
      <c r="I6" s="44"/>
      <c r="J6" s="44"/>
      <c r="K6" s="44"/>
      <c r="L6" s="44"/>
      <c r="M6" s="44"/>
      <c r="N6" s="44"/>
      <c r="O6" s="45"/>
      <c r="P6" s="40"/>
    </row>
    <row r="7" spans="1:16" s="41" customFormat="1" ht="30" customHeight="1">
      <c r="A7" s="34">
        <v>5</v>
      </c>
      <c r="B7" s="35" t="s">
        <v>17</v>
      </c>
      <c r="C7" s="34"/>
      <c r="D7" s="35"/>
      <c r="E7" s="35" t="s">
        <v>435</v>
      </c>
      <c r="F7" s="35" t="s">
        <v>13</v>
      </c>
      <c r="G7" s="46"/>
      <c r="H7" s="46"/>
      <c r="I7" s="46"/>
      <c r="J7" s="46"/>
      <c r="K7" s="46"/>
      <c r="L7" s="46"/>
      <c r="M7" s="46"/>
      <c r="N7" s="46"/>
      <c r="O7" s="45"/>
      <c r="P7" s="40"/>
    </row>
    <row r="8" spans="1:16" s="41" customFormat="1" ht="30" customHeight="1">
      <c r="A8" s="42">
        <v>6</v>
      </c>
      <c r="B8" s="43" t="s">
        <v>18</v>
      </c>
      <c r="C8" s="42"/>
      <c r="D8" s="43"/>
      <c r="E8" s="43" t="s">
        <v>435</v>
      </c>
      <c r="F8" s="43" t="s">
        <v>13</v>
      </c>
      <c r="G8" s="44"/>
      <c r="H8" s="44"/>
      <c r="I8" s="44"/>
      <c r="J8" s="44"/>
      <c r="K8" s="44"/>
      <c r="L8" s="44"/>
      <c r="M8" s="44"/>
      <c r="N8" s="44"/>
      <c r="O8" s="45"/>
      <c r="P8" s="40"/>
    </row>
    <row r="9" spans="1:16" s="41" customFormat="1" ht="30" customHeight="1">
      <c r="A9" s="34">
        <v>7</v>
      </c>
      <c r="B9" s="35" t="s">
        <v>19</v>
      </c>
      <c r="C9" s="34"/>
      <c r="D9" s="35"/>
      <c r="E9" s="35" t="s">
        <v>435</v>
      </c>
      <c r="F9" s="35" t="s">
        <v>13</v>
      </c>
      <c r="G9" s="46"/>
      <c r="H9" s="46"/>
      <c r="I9" s="46"/>
      <c r="J9" s="46"/>
      <c r="K9" s="46"/>
      <c r="L9" s="46"/>
      <c r="M9" s="46"/>
      <c r="N9" s="46"/>
      <c r="O9" s="45"/>
      <c r="P9" s="40"/>
    </row>
    <row r="10" spans="1:16" s="41" customFormat="1" ht="30" customHeight="1">
      <c r="A10" s="42">
        <v>8</v>
      </c>
      <c r="B10" s="43" t="s">
        <v>20</v>
      </c>
      <c r="C10" s="42"/>
      <c r="D10" s="43"/>
      <c r="E10" s="43" t="s">
        <v>435</v>
      </c>
      <c r="F10" s="43" t="s">
        <v>13</v>
      </c>
      <c r="G10" s="44"/>
      <c r="H10" s="44"/>
      <c r="I10" s="44"/>
      <c r="J10" s="44"/>
      <c r="K10" s="44"/>
      <c r="L10" s="44"/>
      <c r="M10" s="44"/>
      <c r="N10" s="44"/>
      <c r="O10" s="45"/>
      <c r="P10" s="40"/>
    </row>
    <row r="11" spans="1:16" s="41" customFormat="1" ht="30" customHeight="1">
      <c r="A11" s="34">
        <v>9</v>
      </c>
      <c r="B11" s="35" t="s">
        <v>21</v>
      </c>
      <c r="C11" s="34"/>
      <c r="D11" s="35"/>
      <c r="E11" s="35" t="s">
        <v>435</v>
      </c>
      <c r="F11" s="35" t="s">
        <v>13</v>
      </c>
      <c r="G11" s="46"/>
      <c r="H11" s="46"/>
      <c r="I11" s="46"/>
      <c r="J11" s="46"/>
      <c r="K11" s="46"/>
      <c r="L11" s="46"/>
      <c r="M11" s="46"/>
      <c r="N11" s="46"/>
      <c r="O11" s="45"/>
      <c r="P11" s="40"/>
    </row>
    <row r="12" spans="1:16" s="41" customFormat="1" ht="30" customHeight="1">
      <c r="A12" s="42">
        <v>10</v>
      </c>
      <c r="B12" s="43" t="s">
        <v>22</v>
      </c>
      <c r="C12" s="42"/>
      <c r="D12" s="43"/>
      <c r="E12" s="43" t="s">
        <v>435</v>
      </c>
      <c r="F12" s="43" t="s">
        <v>13</v>
      </c>
      <c r="G12" s="44"/>
      <c r="H12" s="44"/>
      <c r="I12" s="44"/>
      <c r="J12" s="44"/>
      <c r="K12" s="44"/>
      <c r="L12" s="44"/>
      <c r="M12" s="44"/>
      <c r="N12" s="44"/>
      <c r="O12" s="45"/>
      <c r="P12" s="40"/>
    </row>
    <row r="13" spans="1:16" s="41" customFormat="1" ht="30" customHeight="1">
      <c r="A13" s="34">
        <v>11</v>
      </c>
      <c r="B13" s="35" t="s">
        <v>23</v>
      </c>
      <c r="C13" s="34"/>
      <c r="D13" s="35"/>
      <c r="E13" s="35" t="s">
        <v>435</v>
      </c>
      <c r="F13" s="35" t="s">
        <v>13</v>
      </c>
      <c r="G13" s="46"/>
      <c r="H13" s="46"/>
      <c r="I13" s="46"/>
      <c r="J13" s="46"/>
      <c r="K13" s="46"/>
      <c r="L13" s="46"/>
      <c r="M13" s="46"/>
      <c r="N13" s="46"/>
      <c r="O13" s="45"/>
      <c r="P13" s="40"/>
    </row>
    <row r="14" spans="1:16" s="41" customFormat="1" ht="30" customHeight="1">
      <c r="A14" s="42">
        <v>12</v>
      </c>
      <c r="B14" s="43" t="s">
        <v>24</v>
      </c>
      <c r="C14" s="42"/>
      <c r="D14" s="43"/>
      <c r="E14" s="43" t="s">
        <v>435</v>
      </c>
      <c r="F14" s="43" t="s">
        <v>13</v>
      </c>
      <c r="G14" s="44"/>
      <c r="H14" s="44"/>
      <c r="I14" s="44"/>
      <c r="J14" s="44"/>
      <c r="K14" s="44"/>
      <c r="L14" s="44"/>
      <c r="M14" s="44"/>
      <c r="N14" s="44"/>
      <c r="O14" s="45"/>
      <c r="P14" s="40"/>
    </row>
    <row r="15" spans="1:16" s="41" customFormat="1" ht="30" customHeight="1">
      <c r="A15" s="34">
        <v>13</v>
      </c>
      <c r="B15" s="35" t="s">
        <v>25</v>
      </c>
      <c r="C15" s="34"/>
      <c r="D15" s="35"/>
      <c r="E15" s="35" t="s">
        <v>435</v>
      </c>
      <c r="F15" s="35" t="s">
        <v>13</v>
      </c>
      <c r="G15" s="46"/>
      <c r="H15" s="46"/>
      <c r="I15" s="46"/>
      <c r="J15" s="46"/>
      <c r="K15" s="46"/>
      <c r="L15" s="46"/>
      <c r="M15" s="46"/>
      <c r="N15" s="46"/>
      <c r="O15" s="45"/>
      <c r="P15" s="40"/>
    </row>
    <row r="16" spans="1:16" s="41" customFormat="1" ht="30" customHeight="1">
      <c r="A16" s="42">
        <v>14</v>
      </c>
      <c r="B16" s="43" t="s">
        <v>26</v>
      </c>
      <c r="C16" s="42"/>
      <c r="D16" s="43"/>
      <c r="E16" s="43" t="s">
        <v>435</v>
      </c>
      <c r="F16" s="43" t="s">
        <v>27</v>
      </c>
      <c r="G16" s="44"/>
      <c r="H16" s="44"/>
      <c r="I16" s="44"/>
      <c r="J16" s="44"/>
      <c r="K16" s="44"/>
      <c r="L16" s="44"/>
      <c r="M16" s="44"/>
      <c r="N16" s="44"/>
      <c r="O16" s="45"/>
      <c r="P16" s="40"/>
    </row>
    <row r="17" spans="1:16" s="41" customFormat="1" ht="30" customHeight="1">
      <c r="A17" s="34">
        <v>15</v>
      </c>
      <c r="B17" s="35" t="s">
        <v>28</v>
      </c>
      <c r="C17" s="34"/>
      <c r="D17" s="35"/>
      <c r="E17" s="35" t="s">
        <v>435</v>
      </c>
      <c r="F17" s="35" t="s">
        <v>27</v>
      </c>
      <c r="G17" s="46"/>
      <c r="H17" s="46"/>
      <c r="I17" s="46"/>
      <c r="J17" s="46"/>
      <c r="K17" s="46"/>
      <c r="L17" s="46"/>
      <c r="M17" s="46"/>
      <c r="N17" s="46"/>
      <c r="O17" s="45"/>
      <c r="P17" s="40"/>
    </row>
    <row r="18" spans="1:16" s="41" customFormat="1" ht="30" customHeight="1">
      <c r="A18" s="42">
        <v>16</v>
      </c>
      <c r="B18" s="43" t="s">
        <v>29</v>
      </c>
      <c r="C18" s="42"/>
      <c r="D18" s="43"/>
      <c r="E18" s="43" t="s">
        <v>435</v>
      </c>
      <c r="F18" s="43" t="s">
        <v>27</v>
      </c>
      <c r="G18" s="44"/>
      <c r="H18" s="44"/>
      <c r="I18" s="44"/>
      <c r="J18" s="44"/>
      <c r="K18" s="44"/>
      <c r="L18" s="44"/>
      <c r="M18" s="44"/>
      <c r="N18" s="44"/>
      <c r="O18" s="45"/>
      <c r="P18" s="40"/>
    </row>
    <row r="19" spans="1:16" s="41" customFormat="1" ht="30" customHeight="1">
      <c r="A19" s="34">
        <v>17</v>
      </c>
      <c r="B19" s="35" t="s">
        <v>30</v>
      </c>
      <c r="C19" s="34"/>
      <c r="D19" s="35"/>
      <c r="E19" s="35" t="s">
        <v>435</v>
      </c>
      <c r="F19" s="35" t="s">
        <v>27</v>
      </c>
      <c r="G19" s="46"/>
      <c r="H19" s="46"/>
      <c r="I19" s="46"/>
      <c r="J19" s="46"/>
      <c r="K19" s="46"/>
      <c r="L19" s="46"/>
      <c r="M19" s="46"/>
      <c r="N19" s="46"/>
      <c r="O19" s="45"/>
      <c r="P19" s="40"/>
    </row>
    <row r="20" spans="1:16" s="41" customFormat="1" ht="30" customHeight="1">
      <c r="A20" s="42">
        <v>18</v>
      </c>
      <c r="B20" s="43" t="s">
        <v>31</v>
      </c>
      <c r="C20" s="42"/>
      <c r="D20" s="43"/>
      <c r="E20" s="43" t="s">
        <v>435</v>
      </c>
      <c r="F20" s="43" t="s">
        <v>27</v>
      </c>
      <c r="G20" s="44"/>
      <c r="H20" s="44"/>
      <c r="I20" s="44"/>
      <c r="J20" s="44"/>
      <c r="K20" s="44"/>
      <c r="L20" s="44"/>
      <c r="M20" s="44"/>
      <c r="N20" s="44"/>
      <c r="O20" s="45"/>
      <c r="P20" s="40"/>
    </row>
    <row r="21" spans="1:16" s="41" customFormat="1" ht="30" customHeight="1">
      <c r="A21" s="34">
        <v>19</v>
      </c>
      <c r="B21" s="35" t="s">
        <v>32</v>
      </c>
      <c r="C21" s="34"/>
      <c r="D21" s="35"/>
      <c r="E21" s="35" t="s">
        <v>435</v>
      </c>
      <c r="F21" s="35" t="s">
        <v>27</v>
      </c>
      <c r="G21" s="46"/>
      <c r="H21" s="46"/>
      <c r="I21" s="46"/>
      <c r="J21" s="46"/>
      <c r="K21" s="46"/>
      <c r="L21" s="46"/>
      <c r="M21" s="46"/>
      <c r="N21" s="46"/>
      <c r="O21" s="45"/>
      <c r="P21" s="40"/>
    </row>
    <row r="22" spans="1:16" s="41" customFormat="1" ht="30" customHeight="1">
      <c r="A22" s="42">
        <v>20</v>
      </c>
      <c r="B22" s="43" t="s">
        <v>33</v>
      </c>
      <c r="C22" s="42"/>
      <c r="D22" s="43"/>
      <c r="E22" s="43" t="s">
        <v>435</v>
      </c>
      <c r="F22" s="43" t="s">
        <v>13</v>
      </c>
      <c r="G22" s="44"/>
      <c r="H22" s="44"/>
      <c r="I22" s="44"/>
      <c r="J22" s="44"/>
      <c r="K22" s="44"/>
      <c r="L22" s="44"/>
      <c r="M22" s="44"/>
      <c r="N22" s="44"/>
      <c r="O22" s="45"/>
      <c r="P22" s="40"/>
    </row>
    <row r="23" spans="1:16" s="41" customFormat="1" ht="30" customHeight="1">
      <c r="A23" s="34">
        <v>21</v>
      </c>
      <c r="B23" s="35" t="s">
        <v>34</v>
      </c>
      <c r="C23" s="34"/>
      <c r="D23" s="35"/>
      <c r="E23" s="35" t="s">
        <v>435</v>
      </c>
      <c r="F23" s="35" t="s">
        <v>35</v>
      </c>
      <c r="G23" s="46"/>
      <c r="H23" s="46"/>
      <c r="I23" s="46"/>
      <c r="J23" s="46"/>
      <c r="K23" s="46"/>
      <c r="L23" s="46"/>
      <c r="M23" s="46"/>
      <c r="N23" s="46"/>
      <c r="O23" s="45"/>
      <c r="P23" s="40"/>
    </row>
    <row r="24" spans="1:16" s="41" customFormat="1" ht="30" customHeight="1">
      <c r="A24" s="42">
        <v>22</v>
      </c>
      <c r="B24" s="43" t="s">
        <v>36</v>
      </c>
      <c r="C24" s="42"/>
      <c r="D24" s="43"/>
      <c r="E24" s="43" t="s">
        <v>435</v>
      </c>
      <c r="F24" s="43" t="s">
        <v>35</v>
      </c>
      <c r="G24" s="44"/>
      <c r="H24" s="44"/>
      <c r="I24" s="44"/>
      <c r="J24" s="44"/>
      <c r="K24" s="44"/>
      <c r="L24" s="44"/>
      <c r="M24" s="44"/>
      <c r="N24" s="44"/>
      <c r="O24" s="45"/>
      <c r="P24" s="40"/>
    </row>
    <row r="25" spans="1:16" s="41" customFormat="1" ht="30" customHeight="1">
      <c r="A25" s="34">
        <v>23</v>
      </c>
      <c r="B25" s="35" t="s">
        <v>37</v>
      </c>
      <c r="C25" s="34"/>
      <c r="D25" s="35"/>
      <c r="E25" s="35" t="s">
        <v>435</v>
      </c>
      <c r="F25" s="35" t="s">
        <v>27</v>
      </c>
      <c r="G25" s="46"/>
      <c r="H25" s="46"/>
      <c r="I25" s="46"/>
      <c r="J25" s="46"/>
      <c r="K25" s="46"/>
      <c r="L25" s="46"/>
      <c r="M25" s="46"/>
      <c r="N25" s="46"/>
      <c r="O25" s="45"/>
      <c r="P25" s="40"/>
    </row>
    <row r="26" spans="1:16" s="41" customFormat="1" ht="30" customHeight="1">
      <c r="A26" s="42">
        <v>24</v>
      </c>
      <c r="B26" s="43" t="s">
        <v>38</v>
      </c>
      <c r="C26" s="42"/>
      <c r="D26" s="43"/>
      <c r="E26" s="43" t="s">
        <v>435</v>
      </c>
      <c r="F26" s="43" t="s">
        <v>27</v>
      </c>
      <c r="G26" s="44"/>
      <c r="H26" s="44"/>
      <c r="I26" s="44"/>
      <c r="J26" s="44"/>
      <c r="K26" s="44"/>
      <c r="L26" s="44"/>
      <c r="M26" s="44"/>
      <c r="N26" s="44"/>
      <c r="O26" s="45"/>
      <c r="P26" s="40"/>
    </row>
    <row r="27" spans="1:16" s="41" customFormat="1" ht="30" customHeight="1">
      <c r="A27" s="34">
        <v>25</v>
      </c>
      <c r="B27" s="35" t="s">
        <v>39</v>
      </c>
      <c r="C27" s="34"/>
      <c r="D27" s="35"/>
      <c r="E27" s="35" t="s">
        <v>435</v>
      </c>
      <c r="F27" s="35" t="s">
        <v>27</v>
      </c>
      <c r="G27" s="46"/>
      <c r="H27" s="46"/>
      <c r="I27" s="46"/>
      <c r="J27" s="46"/>
      <c r="K27" s="46"/>
      <c r="L27" s="46"/>
      <c r="M27" s="46"/>
      <c r="N27" s="46"/>
      <c r="O27" s="45"/>
      <c r="P27" s="40"/>
    </row>
    <row r="28" spans="1:16" s="41" customFormat="1" ht="30" customHeight="1">
      <c r="A28" s="42">
        <v>26</v>
      </c>
      <c r="B28" s="43" t="s">
        <v>40</v>
      </c>
      <c r="C28" s="42"/>
      <c r="D28" s="43"/>
      <c r="E28" s="43" t="s">
        <v>435</v>
      </c>
      <c r="F28" s="43" t="s">
        <v>27</v>
      </c>
      <c r="G28" s="44"/>
      <c r="H28" s="44"/>
      <c r="I28" s="44"/>
      <c r="J28" s="44"/>
      <c r="K28" s="44"/>
      <c r="L28" s="44"/>
      <c r="M28" s="44"/>
      <c r="N28" s="44"/>
      <c r="O28" s="45"/>
      <c r="P28" s="40"/>
    </row>
    <row r="29" spans="1:16" s="41" customFormat="1" ht="30" customHeight="1">
      <c r="A29" s="34">
        <v>27</v>
      </c>
      <c r="B29" s="35" t="s">
        <v>41</v>
      </c>
      <c r="C29" s="34"/>
      <c r="D29" s="35" t="s">
        <v>42</v>
      </c>
      <c r="E29" s="35" t="s">
        <v>435</v>
      </c>
      <c r="F29" s="35" t="s">
        <v>35</v>
      </c>
      <c r="G29" s="46"/>
      <c r="H29" s="46"/>
      <c r="I29" s="46"/>
      <c r="J29" s="46"/>
      <c r="K29" s="46"/>
      <c r="L29" s="46"/>
      <c r="M29" s="46"/>
      <c r="N29" s="46"/>
      <c r="O29" s="45"/>
      <c r="P29" s="40"/>
    </row>
    <row r="30" spans="1:16" s="41" customFormat="1" ht="30" customHeight="1">
      <c r="A30" s="42">
        <v>28</v>
      </c>
      <c r="B30" s="43" t="s">
        <v>43</v>
      </c>
      <c r="C30" s="42"/>
      <c r="D30" s="43"/>
      <c r="E30" s="43" t="s">
        <v>435</v>
      </c>
      <c r="F30" s="43" t="s">
        <v>35</v>
      </c>
      <c r="G30" s="44"/>
      <c r="H30" s="44"/>
      <c r="I30" s="44"/>
      <c r="J30" s="44"/>
      <c r="K30" s="44"/>
      <c r="L30" s="44"/>
      <c r="M30" s="44"/>
      <c r="N30" s="44"/>
      <c r="O30" s="45"/>
      <c r="P30" s="40"/>
    </row>
    <row r="31" spans="1:16" s="41" customFormat="1" ht="30" customHeight="1">
      <c r="A31" s="34">
        <v>29</v>
      </c>
      <c r="B31" s="35" t="s">
        <v>44</v>
      </c>
      <c r="C31" s="34"/>
      <c r="D31" s="35" t="s">
        <v>42</v>
      </c>
      <c r="E31" s="35" t="s">
        <v>435</v>
      </c>
      <c r="F31" s="35" t="s">
        <v>35</v>
      </c>
      <c r="G31" s="46"/>
      <c r="H31" s="46"/>
      <c r="I31" s="46"/>
      <c r="J31" s="46"/>
      <c r="K31" s="46"/>
      <c r="L31" s="46"/>
      <c r="M31" s="46"/>
      <c r="N31" s="46"/>
      <c r="O31" s="45"/>
      <c r="P31" s="40"/>
    </row>
    <row r="32" spans="1:16" s="41" customFormat="1" ht="30" customHeight="1">
      <c r="A32" s="42">
        <v>30</v>
      </c>
      <c r="B32" s="43" t="s">
        <v>45</v>
      </c>
      <c r="C32" s="42"/>
      <c r="D32" s="43"/>
      <c r="E32" s="43" t="s">
        <v>435</v>
      </c>
      <c r="F32" s="43" t="s">
        <v>35</v>
      </c>
      <c r="G32" s="44"/>
      <c r="H32" s="44"/>
      <c r="I32" s="44"/>
      <c r="J32" s="44"/>
      <c r="K32" s="44"/>
      <c r="L32" s="44"/>
      <c r="M32" s="44"/>
      <c r="N32" s="44"/>
      <c r="O32" s="45"/>
      <c r="P32" s="40"/>
    </row>
    <row r="33" spans="1:16" s="41" customFormat="1" ht="30" customHeight="1">
      <c r="A33" s="34">
        <v>31</v>
      </c>
      <c r="B33" s="35" t="s">
        <v>46</v>
      </c>
      <c r="C33" s="34" t="s">
        <v>400</v>
      </c>
      <c r="D33" s="35"/>
      <c r="E33" s="35" t="s">
        <v>435</v>
      </c>
      <c r="F33" s="35" t="s">
        <v>35</v>
      </c>
      <c r="G33" s="46"/>
      <c r="H33" s="46"/>
      <c r="I33" s="46"/>
      <c r="J33" s="46"/>
      <c r="K33" s="46"/>
      <c r="L33" s="46"/>
      <c r="M33" s="46"/>
      <c r="N33" s="46"/>
      <c r="O33" s="45"/>
      <c r="P33" s="40"/>
    </row>
    <row r="34" spans="1:16" s="41" customFormat="1" ht="30" customHeight="1">
      <c r="A34" s="42">
        <v>32</v>
      </c>
      <c r="B34" s="43" t="s">
        <v>47</v>
      </c>
      <c r="C34" s="42"/>
      <c r="D34" s="43"/>
      <c r="E34" s="43" t="s">
        <v>435</v>
      </c>
      <c r="F34" s="43" t="s">
        <v>35</v>
      </c>
      <c r="G34" s="44"/>
      <c r="H34" s="44"/>
      <c r="I34" s="44"/>
      <c r="J34" s="44"/>
      <c r="K34" s="44"/>
      <c r="L34" s="44"/>
      <c r="M34" s="44"/>
      <c r="N34" s="44"/>
      <c r="O34" s="45"/>
      <c r="P34" s="40"/>
    </row>
    <row r="35" spans="1:16" s="41" customFormat="1" ht="30" customHeight="1">
      <c r="A35" s="34">
        <v>33</v>
      </c>
      <c r="B35" s="35" t="s">
        <v>48</v>
      </c>
      <c r="C35" s="34"/>
      <c r="D35" s="35"/>
      <c r="E35" s="35" t="s">
        <v>435</v>
      </c>
      <c r="F35" s="35" t="s">
        <v>35</v>
      </c>
      <c r="G35" s="46"/>
      <c r="H35" s="46"/>
      <c r="I35" s="46"/>
      <c r="J35" s="46"/>
      <c r="K35" s="46"/>
      <c r="L35" s="46"/>
      <c r="M35" s="46"/>
      <c r="N35" s="46"/>
      <c r="O35" s="45"/>
      <c r="P35" s="40"/>
    </row>
    <row r="36" spans="1:16" s="41" customFormat="1" ht="30" customHeight="1">
      <c r="A36" s="42">
        <v>34</v>
      </c>
      <c r="B36" s="43" t="s">
        <v>49</v>
      </c>
      <c r="C36" s="42"/>
      <c r="D36" s="43" t="s">
        <v>42</v>
      </c>
      <c r="E36" s="43" t="s">
        <v>435</v>
      </c>
      <c r="F36" s="43" t="s">
        <v>35</v>
      </c>
      <c r="G36" s="44"/>
      <c r="H36" s="44"/>
      <c r="I36" s="44"/>
      <c r="J36" s="44"/>
      <c r="K36" s="44"/>
      <c r="L36" s="44"/>
      <c r="M36" s="44"/>
      <c r="N36" s="44"/>
      <c r="O36" s="45"/>
      <c r="P36" s="40"/>
    </row>
    <row r="37" spans="1:16" s="41" customFormat="1" ht="30" customHeight="1">
      <c r="A37" s="34">
        <v>35</v>
      </c>
      <c r="B37" s="35" t="s">
        <v>50</v>
      </c>
      <c r="C37" s="34" t="s">
        <v>401</v>
      </c>
      <c r="D37" s="35"/>
      <c r="E37" s="35" t="s">
        <v>432</v>
      </c>
      <c r="F37" s="35"/>
      <c r="G37" s="80" t="s">
        <v>447</v>
      </c>
      <c r="H37" s="35" t="s">
        <v>540</v>
      </c>
      <c r="I37" s="35" t="s">
        <v>593</v>
      </c>
      <c r="J37" s="80" t="s">
        <v>462</v>
      </c>
      <c r="K37" s="35" t="s">
        <v>549</v>
      </c>
      <c r="L37" s="35" t="s">
        <v>51</v>
      </c>
      <c r="M37" s="35" t="s">
        <v>496</v>
      </c>
      <c r="N37" s="47"/>
      <c r="O37" s="45"/>
      <c r="P37" s="40"/>
    </row>
    <row r="38" spans="1:16" s="41" customFormat="1" ht="30" customHeight="1">
      <c r="A38" s="34"/>
      <c r="B38" s="35"/>
      <c r="C38" s="34"/>
      <c r="D38" s="35"/>
      <c r="E38" s="35"/>
      <c r="F38" s="35"/>
      <c r="G38" s="80" t="s">
        <v>543</v>
      </c>
      <c r="H38" s="35" t="s">
        <v>541</v>
      </c>
      <c r="I38" s="35"/>
      <c r="J38" s="80"/>
      <c r="K38" s="35" t="s">
        <v>544</v>
      </c>
      <c r="L38" s="35" t="s">
        <v>548</v>
      </c>
      <c r="M38" s="35"/>
      <c r="N38" s="47"/>
      <c r="O38" s="45"/>
      <c r="P38" s="40"/>
    </row>
    <row r="39" spans="1:16" s="41" customFormat="1" ht="30" customHeight="1">
      <c r="A39" s="34"/>
      <c r="B39" s="35"/>
      <c r="C39" s="34"/>
      <c r="D39" s="35"/>
      <c r="E39" s="35"/>
      <c r="F39" s="35"/>
      <c r="G39" s="80" t="s">
        <v>449</v>
      </c>
      <c r="H39" s="35"/>
      <c r="I39" s="35"/>
      <c r="J39" s="80"/>
      <c r="K39" s="35" t="s">
        <v>545</v>
      </c>
      <c r="L39" s="35"/>
      <c r="M39" s="35"/>
      <c r="N39" s="47"/>
      <c r="O39" s="45"/>
      <c r="P39" s="40"/>
    </row>
    <row r="40" spans="1:16" s="41" customFormat="1" ht="30" customHeight="1">
      <c r="A40" s="42">
        <v>36</v>
      </c>
      <c r="B40" s="43" t="s">
        <v>53</v>
      </c>
      <c r="C40" s="42"/>
      <c r="D40" s="43" t="s">
        <v>42</v>
      </c>
      <c r="E40" s="43" t="s">
        <v>435</v>
      </c>
      <c r="F40" s="43" t="s">
        <v>35</v>
      </c>
      <c r="G40" s="44"/>
      <c r="H40" s="44"/>
      <c r="I40" s="44"/>
      <c r="J40" s="44"/>
      <c r="K40" s="44"/>
      <c r="L40" s="44"/>
      <c r="M40" s="44"/>
      <c r="N40" s="44"/>
      <c r="O40" s="45"/>
      <c r="P40" s="40"/>
    </row>
    <row r="41" spans="1:16" s="41" customFormat="1" ht="30" customHeight="1">
      <c r="A41" s="34">
        <v>37</v>
      </c>
      <c r="B41" s="35" t="s">
        <v>54</v>
      </c>
      <c r="C41" s="34" t="s">
        <v>402</v>
      </c>
      <c r="D41" s="35"/>
      <c r="E41" s="35" t="s">
        <v>435</v>
      </c>
      <c r="F41" s="35" t="s">
        <v>35</v>
      </c>
      <c r="G41" s="46"/>
      <c r="H41" s="46"/>
      <c r="I41" s="46"/>
      <c r="J41" s="46"/>
      <c r="K41" s="46"/>
      <c r="L41" s="46"/>
      <c r="M41" s="46"/>
      <c r="N41" s="46"/>
      <c r="O41" s="45"/>
      <c r="P41" s="40"/>
    </row>
    <row r="42" spans="1:16" s="41" customFormat="1" ht="30" customHeight="1">
      <c r="A42" s="48">
        <v>38</v>
      </c>
      <c r="B42" s="49" t="s">
        <v>55</v>
      </c>
      <c r="C42" s="48" t="s">
        <v>519</v>
      </c>
      <c r="D42" s="49"/>
      <c r="E42" s="49" t="s">
        <v>428</v>
      </c>
      <c r="F42" s="49"/>
      <c r="G42" s="49" t="s">
        <v>527</v>
      </c>
      <c r="H42" s="49" t="s">
        <v>441</v>
      </c>
      <c r="I42" s="49" t="s">
        <v>594</v>
      </c>
      <c r="J42" s="29" t="s">
        <v>459</v>
      </c>
      <c r="K42" s="49" t="s">
        <v>604</v>
      </c>
      <c r="L42" s="49" t="s">
        <v>520</v>
      </c>
      <c r="M42" s="49" t="s">
        <v>448</v>
      </c>
      <c r="N42" s="50"/>
      <c r="O42" s="45"/>
      <c r="P42" s="40"/>
    </row>
    <row r="43" spans="1:16" s="41" customFormat="1" ht="30" customHeight="1">
      <c r="A43" s="34">
        <v>39</v>
      </c>
      <c r="B43" s="35" t="s">
        <v>56</v>
      </c>
      <c r="C43" s="34"/>
      <c r="D43" s="35"/>
      <c r="E43" s="35" t="s">
        <v>428</v>
      </c>
      <c r="F43" s="35" t="s">
        <v>86</v>
      </c>
      <c r="G43" s="46"/>
      <c r="H43" s="46"/>
      <c r="I43" s="46"/>
      <c r="J43" s="46"/>
      <c r="K43" s="46"/>
      <c r="L43" s="46"/>
      <c r="M43" s="46"/>
      <c r="N43" s="46"/>
      <c r="O43" s="45"/>
      <c r="P43" s="40"/>
    </row>
    <row r="44" spans="1:16" s="41" customFormat="1" ht="57" customHeight="1">
      <c r="A44" s="42">
        <v>40</v>
      </c>
      <c r="B44" s="43" t="s">
        <v>57</v>
      </c>
      <c r="C44" s="42"/>
      <c r="D44" s="43"/>
      <c r="E44" s="43" t="s">
        <v>428</v>
      </c>
      <c r="F44" s="43" t="s">
        <v>521</v>
      </c>
      <c r="G44" s="46"/>
      <c r="H44" s="46"/>
      <c r="I44" s="46"/>
      <c r="J44" s="46"/>
      <c r="K44" s="46"/>
      <c r="L44" s="46"/>
      <c r="M44" s="46"/>
      <c r="N44" s="46"/>
      <c r="O44" s="45"/>
      <c r="P44" s="40"/>
    </row>
    <row r="45" spans="1:16" s="41" customFormat="1" ht="186.75" customHeight="1">
      <c r="A45" s="34">
        <v>41</v>
      </c>
      <c r="B45" s="35" t="s">
        <v>58</v>
      </c>
      <c r="C45" s="34" t="s">
        <v>522</v>
      </c>
      <c r="D45" s="35" t="s">
        <v>523</v>
      </c>
      <c r="E45" s="35" t="s">
        <v>428</v>
      </c>
      <c r="F45" s="35"/>
      <c r="G45" s="80" t="s">
        <v>564</v>
      </c>
      <c r="H45" s="35" t="s">
        <v>452</v>
      </c>
      <c r="I45" s="35" t="s">
        <v>595</v>
      </c>
      <c r="J45" s="80" t="s">
        <v>459</v>
      </c>
      <c r="K45" s="35" t="s">
        <v>580</v>
      </c>
      <c r="L45" s="35" t="s">
        <v>455</v>
      </c>
      <c r="M45" s="35" t="s">
        <v>456</v>
      </c>
      <c r="N45" s="47"/>
      <c r="O45" s="45"/>
      <c r="P45" s="40"/>
    </row>
    <row r="46" spans="1:16" s="41" customFormat="1" ht="69.75" customHeight="1">
      <c r="A46" s="48">
        <v>42</v>
      </c>
      <c r="B46" s="49" t="s">
        <v>59</v>
      </c>
      <c r="C46" s="48">
        <v>273</v>
      </c>
      <c r="D46" s="49" t="s">
        <v>524</v>
      </c>
      <c r="E46" s="49" t="s">
        <v>428</v>
      </c>
      <c r="F46" s="49"/>
      <c r="G46" s="29" t="s">
        <v>453</v>
      </c>
      <c r="H46" s="49" t="s">
        <v>441</v>
      </c>
      <c r="I46" s="49" t="s">
        <v>595</v>
      </c>
      <c r="J46" s="29" t="s">
        <v>459</v>
      </c>
      <c r="K46" s="49" t="s">
        <v>460</v>
      </c>
      <c r="L46" s="49" t="s">
        <v>454</v>
      </c>
      <c r="M46" s="49" t="s">
        <v>443</v>
      </c>
      <c r="N46" s="50" t="s">
        <v>68</v>
      </c>
      <c r="O46" s="45"/>
      <c r="P46" s="40"/>
    </row>
    <row r="47" spans="1:16" s="41" customFormat="1" ht="30" customHeight="1">
      <c r="A47" s="34">
        <v>43</v>
      </c>
      <c r="B47" s="35" t="s">
        <v>60</v>
      </c>
      <c r="C47" s="34"/>
      <c r="D47" s="35"/>
      <c r="E47" s="35" t="s">
        <v>428</v>
      </c>
      <c r="F47" s="35" t="s">
        <v>525</v>
      </c>
      <c r="G47" s="46"/>
      <c r="H47" s="46"/>
      <c r="I47" s="46"/>
      <c r="J47" s="46"/>
      <c r="K47" s="46"/>
      <c r="L47" s="46"/>
      <c r="M47" s="46"/>
      <c r="N47" s="46"/>
      <c r="O47" s="45">
        <v>1</v>
      </c>
      <c r="P47" s="40"/>
    </row>
    <row r="48" spans="1:16" s="41" customFormat="1" ht="405" customHeight="1">
      <c r="A48" s="48">
        <v>44</v>
      </c>
      <c r="B48" s="49" t="s">
        <v>61</v>
      </c>
      <c r="C48" s="48" t="s">
        <v>403</v>
      </c>
      <c r="D48" s="49" t="s">
        <v>489</v>
      </c>
      <c r="E48" s="49" t="s">
        <v>429</v>
      </c>
      <c r="F48" s="49"/>
      <c r="G48" s="29" t="s">
        <v>608</v>
      </c>
      <c r="H48" s="49" t="s">
        <v>609</v>
      </c>
      <c r="I48" s="49" t="s">
        <v>595</v>
      </c>
      <c r="J48" s="29" t="s">
        <v>468</v>
      </c>
      <c r="K48" s="49" t="s">
        <v>488</v>
      </c>
      <c r="L48" s="49" t="s">
        <v>490</v>
      </c>
      <c r="M48" s="49" t="s">
        <v>491</v>
      </c>
      <c r="N48" s="50" t="s">
        <v>492</v>
      </c>
      <c r="O48" s="45"/>
      <c r="P48" s="40"/>
    </row>
    <row r="49" spans="1:16" s="41" customFormat="1" ht="104.25" customHeight="1">
      <c r="A49" s="55"/>
      <c r="B49" s="56"/>
      <c r="C49" s="55"/>
      <c r="D49" s="56"/>
      <c r="E49" s="56"/>
      <c r="F49" s="56"/>
      <c r="G49" s="57" t="s">
        <v>607</v>
      </c>
      <c r="H49" s="56"/>
      <c r="I49" s="56"/>
      <c r="J49" s="57"/>
      <c r="K49" s="56"/>
      <c r="L49" s="56"/>
      <c r="M49" s="56"/>
      <c r="N49" s="58"/>
      <c r="O49" s="45"/>
      <c r="P49" s="40"/>
    </row>
    <row r="50" spans="1:16" s="41" customFormat="1" ht="153">
      <c r="A50" s="34">
        <v>45</v>
      </c>
      <c r="B50" s="35" t="s">
        <v>65</v>
      </c>
      <c r="C50" s="34" t="s">
        <v>404</v>
      </c>
      <c r="D50" s="35" t="s">
        <v>62</v>
      </c>
      <c r="E50" s="35" t="s">
        <v>429</v>
      </c>
      <c r="F50" s="35"/>
      <c r="G50" s="80" t="s">
        <v>591</v>
      </c>
      <c r="H50" s="35" t="s">
        <v>464</v>
      </c>
      <c r="I50" s="35" t="s">
        <v>595</v>
      </c>
      <c r="J50" s="80" t="s">
        <v>459</v>
      </c>
      <c r="K50" s="35" t="s">
        <v>495</v>
      </c>
      <c r="L50" s="35" t="s">
        <v>592</v>
      </c>
      <c r="M50" s="35" t="s">
        <v>465</v>
      </c>
      <c r="N50" s="47" t="s">
        <v>466</v>
      </c>
      <c r="O50" s="45"/>
      <c r="P50" s="40"/>
    </row>
    <row r="51" spans="1:16" s="41" customFormat="1" ht="127.5">
      <c r="A51" s="48">
        <v>46</v>
      </c>
      <c r="B51" s="49" t="s">
        <v>66</v>
      </c>
      <c r="C51" s="48" t="s">
        <v>405</v>
      </c>
      <c r="D51" s="49" t="s">
        <v>67</v>
      </c>
      <c r="E51" s="49" t="s">
        <v>428</v>
      </c>
      <c r="F51" s="49"/>
      <c r="G51" s="29" t="s">
        <v>565</v>
      </c>
      <c r="H51" s="49" t="s">
        <v>457</v>
      </c>
      <c r="I51" s="49" t="s">
        <v>595</v>
      </c>
      <c r="J51" s="29" t="s">
        <v>459</v>
      </c>
      <c r="K51" s="49" t="s">
        <v>461</v>
      </c>
      <c r="L51" s="49" t="s">
        <v>458</v>
      </c>
      <c r="M51" s="49" t="s">
        <v>456</v>
      </c>
      <c r="N51" s="50" t="s">
        <v>68</v>
      </c>
      <c r="O51" s="45"/>
      <c r="P51" s="40"/>
    </row>
    <row r="52" spans="1:16" s="41" customFormat="1" ht="267.75">
      <c r="A52" s="34">
        <v>47</v>
      </c>
      <c r="B52" s="35" t="s">
        <v>69</v>
      </c>
      <c r="C52" s="34">
        <v>271</v>
      </c>
      <c r="D52" s="35" t="s">
        <v>70</v>
      </c>
      <c r="E52" s="35" t="s">
        <v>430</v>
      </c>
      <c r="F52" s="35"/>
      <c r="G52" s="80" t="s">
        <v>566</v>
      </c>
      <c r="H52" s="35" t="s">
        <v>439</v>
      </c>
      <c r="I52" s="35" t="s">
        <v>595</v>
      </c>
      <c r="J52" s="80" t="s">
        <v>468</v>
      </c>
      <c r="K52" s="35"/>
      <c r="L52" s="35" t="s">
        <v>497</v>
      </c>
      <c r="M52" s="35" t="s">
        <v>496</v>
      </c>
      <c r="N52" s="47"/>
      <c r="O52" s="45"/>
      <c r="P52" s="40"/>
    </row>
    <row r="53" spans="1:16" s="41" customFormat="1" ht="395.25">
      <c r="A53" s="48">
        <v>48</v>
      </c>
      <c r="B53" s="49" t="s">
        <v>71</v>
      </c>
      <c r="C53" s="48" t="s">
        <v>463</v>
      </c>
      <c r="D53" s="49" t="s">
        <v>498</v>
      </c>
      <c r="E53" s="49" t="s">
        <v>431</v>
      </c>
      <c r="F53" s="49"/>
      <c r="G53" s="29" t="s">
        <v>567</v>
      </c>
      <c r="H53" s="49" t="s">
        <v>499</v>
      </c>
      <c r="I53" s="49" t="s">
        <v>594</v>
      </c>
      <c r="J53" s="29" t="s">
        <v>459</v>
      </c>
      <c r="K53" s="49" t="s">
        <v>568</v>
      </c>
      <c r="L53" s="49" t="s">
        <v>569</v>
      </c>
      <c r="M53" s="49" t="s">
        <v>500</v>
      </c>
      <c r="N53" s="50" t="s">
        <v>501</v>
      </c>
      <c r="O53" s="40"/>
    </row>
    <row r="54" spans="1:16" s="41" customFormat="1" ht="38.25">
      <c r="A54" s="34">
        <v>49</v>
      </c>
      <c r="B54" s="35" t="s">
        <v>73</v>
      </c>
      <c r="C54" s="34" t="s">
        <v>526</v>
      </c>
      <c r="D54" s="35" t="s">
        <v>74</v>
      </c>
      <c r="E54" s="35" t="s">
        <v>428</v>
      </c>
      <c r="F54" s="35"/>
      <c r="G54" s="80" t="s">
        <v>527</v>
      </c>
      <c r="H54" s="35" t="s">
        <v>441</v>
      </c>
      <c r="I54" s="35" t="s">
        <v>594</v>
      </c>
      <c r="J54" s="80" t="s">
        <v>459</v>
      </c>
      <c r="K54" s="35" t="s">
        <v>604</v>
      </c>
      <c r="L54" s="35" t="s">
        <v>75</v>
      </c>
      <c r="M54" s="35" t="s">
        <v>443</v>
      </c>
      <c r="N54" s="47" t="s">
        <v>68</v>
      </c>
      <c r="O54" s="45"/>
      <c r="P54" s="40"/>
    </row>
    <row r="55" spans="1:16" s="41" customFormat="1" ht="30" customHeight="1">
      <c r="A55" s="34"/>
      <c r="B55" s="35"/>
      <c r="C55" s="34"/>
      <c r="D55" s="35"/>
      <c r="E55" s="35"/>
      <c r="F55" s="35"/>
      <c r="G55" s="80" t="s">
        <v>528</v>
      </c>
      <c r="H55" s="35"/>
      <c r="I55" s="35"/>
      <c r="J55" s="80"/>
      <c r="K55" s="35"/>
      <c r="L55" s="35" t="s">
        <v>529</v>
      </c>
      <c r="M55" s="35"/>
      <c r="N55" s="47"/>
      <c r="O55" s="45"/>
      <c r="P55" s="40"/>
    </row>
    <row r="56" spans="1:16" s="41" customFormat="1" ht="30" customHeight="1">
      <c r="A56" s="34"/>
      <c r="B56" s="35"/>
      <c r="C56" s="34"/>
      <c r="D56" s="35"/>
      <c r="E56" s="35"/>
      <c r="F56" s="35"/>
      <c r="G56" s="35" t="s">
        <v>530</v>
      </c>
      <c r="H56" s="35" t="s">
        <v>531</v>
      </c>
      <c r="I56" s="35"/>
      <c r="J56" s="80"/>
      <c r="K56" s="35"/>
      <c r="L56" s="35"/>
      <c r="N56" s="47"/>
      <c r="O56" s="45"/>
      <c r="P56" s="40"/>
    </row>
    <row r="57" spans="1:16" s="41" customFormat="1" ht="30" customHeight="1">
      <c r="A57" s="42">
        <v>50</v>
      </c>
      <c r="B57" s="43" t="s">
        <v>76</v>
      </c>
      <c r="C57" s="42"/>
      <c r="D57" s="43"/>
      <c r="E57" s="43" t="s">
        <v>435</v>
      </c>
      <c r="F57" s="43" t="s">
        <v>13</v>
      </c>
      <c r="G57" s="44"/>
      <c r="H57" s="44"/>
      <c r="I57" s="44"/>
      <c r="J57" s="44"/>
      <c r="K57" s="44"/>
      <c r="L57" s="44"/>
      <c r="M57" s="44"/>
      <c r="N57" s="44"/>
      <c r="O57" s="45"/>
      <c r="P57" s="40"/>
    </row>
    <row r="58" spans="1:16" s="41" customFormat="1" ht="59.25" customHeight="1">
      <c r="A58" s="34">
        <v>51</v>
      </c>
      <c r="B58" s="35" t="s">
        <v>77</v>
      </c>
      <c r="C58" s="34" t="s">
        <v>406</v>
      </c>
      <c r="D58" s="59"/>
      <c r="E58" s="59" t="s">
        <v>432</v>
      </c>
      <c r="F58" s="59"/>
      <c r="G58" s="60" t="s">
        <v>542</v>
      </c>
      <c r="H58" s="59"/>
      <c r="I58" s="35" t="s">
        <v>594</v>
      </c>
      <c r="J58" s="80" t="s">
        <v>462</v>
      </c>
      <c r="K58" s="35" t="s">
        <v>553</v>
      </c>
      <c r="L58" s="59" t="s">
        <v>78</v>
      </c>
      <c r="M58" s="35" t="s">
        <v>554</v>
      </c>
      <c r="N58" s="61" t="s">
        <v>546</v>
      </c>
      <c r="O58" s="45"/>
      <c r="P58" s="40"/>
    </row>
    <row r="59" spans="1:16" s="41" customFormat="1" ht="30" customHeight="1">
      <c r="A59" s="42">
        <v>52</v>
      </c>
      <c r="B59" s="43" t="s">
        <v>80</v>
      </c>
      <c r="C59" s="42"/>
      <c r="D59" s="43"/>
      <c r="E59" s="43" t="s">
        <v>435</v>
      </c>
      <c r="F59" s="43" t="s">
        <v>35</v>
      </c>
      <c r="G59" s="44"/>
      <c r="H59" s="44"/>
      <c r="I59" s="44"/>
      <c r="J59" s="44"/>
      <c r="K59" s="44"/>
      <c r="L59" s="44"/>
      <c r="M59" s="44"/>
      <c r="N59" s="44"/>
      <c r="O59" s="45"/>
      <c r="P59" s="40"/>
    </row>
    <row r="60" spans="1:16" s="41" customFormat="1" ht="30" customHeight="1">
      <c r="A60" s="34">
        <v>53</v>
      </c>
      <c r="B60" s="35" t="s">
        <v>81</v>
      </c>
      <c r="C60" s="34">
        <v>299</v>
      </c>
      <c r="D60" s="35"/>
      <c r="E60" s="35" t="s">
        <v>435</v>
      </c>
      <c r="F60" s="35" t="s">
        <v>13</v>
      </c>
      <c r="G60" s="46"/>
      <c r="H60" s="44"/>
      <c r="I60" s="44"/>
      <c r="J60" s="46"/>
      <c r="K60" s="44"/>
      <c r="L60" s="44"/>
      <c r="M60" s="44"/>
      <c r="N60" s="44"/>
      <c r="O60" s="45"/>
      <c r="P60" s="40"/>
    </row>
    <row r="61" spans="1:16" s="41" customFormat="1" ht="30" customHeight="1">
      <c r="A61" s="34"/>
      <c r="B61" s="35"/>
      <c r="C61" s="34">
        <v>361</v>
      </c>
      <c r="D61" s="35"/>
      <c r="E61" s="35"/>
      <c r="F61" s="35"/>
      <c r="G61" s="46"/>
      <c r="H61" s="44"/>
      <c r="I61" s="44"/>
      <c r="J61" s="46"/>
      <c r="K61" s="44"/>
      <c r="L61" s="44"/>
      <c r="M61" s="44"/>
      <c r="N61" s="44"/>
      <c r="O61" s="45"/>
      <c r="P61" s="40"/>
    </row>
    <row r="62" spans="1:16" s="41" customFormat="1" ht="30" customHeight="1">
      <c r="A62" s="34"/>
      <c r="B62" s="35"/>
      <c r="C62" s="34">
        <v>367</v>
      </c>
      <c r="D62" s="35"/>
      <c r="E62" s="35"/>
      <c r="F62" s="35"/>
      <c r="G62" s="46"/>
      <c r="H62" s="44"/>
      <c r="I62" s="44"/>
      <c r="J62" s="46"/>
      <c r="K62" s="44"/>
      <c r="L62" s="44"/>
      <c r="M62" s="44"/>
      <c r="N62" s="44"/>
      <c r="O62" s="45"/>
      <c r="P62" s="40"/>
    </row>
    <row r="63" spans="1:16" s="41" customFormat="1" ht="48" customHeight="1">
      <c r="A63" s="48">
        <v>54</v>
      </c>
      <c r="B63" s="49" t="s">
        <v>82</v>
      </c>
      <c r="C63" s="48" t="s">
        <v>407</v>
      </c>
      <c r="D63" s="49"/>
      <c r="E63" s="49" t="s">
        <v>432</v>
      </c>
      <c r="F63" s="49"/>
      <c r="G63" s="49" t="s">
        <v>493</v>
      </c>
      <c r="H63" s="49"/>
      <c r="I63" s="49" t="s">
        <v>593</v>
      </c>
      <c r="J63" s="49" t="s">
        <v>462</v>
      </c>
      <c r="K63" s="49" t="s">
        <v>550</v>
      </c>
      <c r="L63" s="49" t="s">
        <v>547</v>
      </c>
      <c r="M63" s="49"/>
      <c r="N63" s="50"/>
      <c r="O63" s="45"/>
      <c r="P63" s="40"/>
    </row>
    <row r="64" spans="1:16" s="41" customFormat="1" ht="33.75" customHeight="1">
      <c r="A64" s="34">
        <v>55</v>
      </c>
      <c r="B64" s="35" t="s">
        <v>83</v>
      </c>
      <c r="C64" s="34"/>
      <c r="D64" s="35"/>
      <c r="E64" s="35" t="s">
        <v>432</v>
      </c>
      <c r="F64" s="35"/>
      <c r="G64" s="35" t="s">
        <v>493</v>
      </c>
      <c r="H64" s="35"/>
      <c r="I64" s="35" t="s">
        <v>593</v>
      </c>
      <c r="J64" s="35" t="s">
        <v>462</v>
      </c>
      <c r="K64" s="35" t="s">
        <v>551</v>
      </c>
      <c r="L64" s="35" t="s">
        <v>547</v>
      </c>
      <c r="M64" s="35"/>
      <c r="N64" s="35"/>
      <c r="O64" s="45">
        <v>1</v>
      </c>
      <c r="P64" s="40"/>
    </row>
    <row r="65" spans="1:16" s="41" customFormat="1" ht="30" customHeight="1">
      <c r="A65" s="42">
        <v>56</v>
      </c>
      <c r="B65" s="43" t="s">
        <v>84</v>
      </c>
      <c r="C65" s="42"/>
      <c r="D65" s="43"/>
      <c r="E65" s="43" t="s">
        <v>435</v>
      </c>
      <c r="F65" s="43" t="s">
        <v>13</v>
      </c>
      <c r="G65" s="44"/>
      <c r="H65" s="44"/>
      <c r="I65" s="44"/>
      <c r="J65" s="44"/>
      <c r="K65" s="44"/>
      <c r="L65" s="44"/>
      <c r="M65" s="44"/>
      <c r="N65" s="44"/>
      <c r="O65" s="45"/>
      <c r="P65" s="40"/>
    </row>
    <row r="66" spans="1:16" s="41" customFormat="1" ht="30" customHeight="1">
      <c r="A66" s="34">
        <v>57</v>
      </c>
      <c r="B66" s="35" t="s">
        <v>85</v>
      </c>
      <c r="C66" s="34"/>
      <c r="D66" s="35"/>
      <c r="E66" s="35" t="s">
        <v>589</v>
      </c>
      <c r="F66" s="35" t="s">
        <v>86</v>
      </c>
      <c r="G66" s="46"/>
      <c r="H66" s="44"/>
      <c r="I66" s="44"/>
      <c r="J66" s="46"/>
      <c r="K66" s="44"/>
      <c r="L66" s="44"/>
      <c r="M66" s="44"/>
      <c r="N66" s="44"/>
      <c r="O66" s="45"/>
      <c r="P66" s="40"/>
    </row>
    <row r="67" spans="1:16" s="41" customFormat="1" ht="30" customHeight="1">
      <c r="A67" s="42">
        <v>58</v>
      </c>
      <c r="B67" s="43" t="s">
        <v>87</v>
      </c>
      <c r="C67" s="42"/>
      <c r="D67" s="43"/>
      <c r="E67" s="43" t="s">
        <v>589</v>
      </c>
      <c r="F67" s="43" t="s">
        <v>86</v>
      </c>
      <c r="G67" s="44"/>
      <c r="H67" s="44"/>
      <c r="I67" s="44"/>
      <c r="J67" s="44"/>
      <c r="K67" s="44"/>
      <c r="L67" s="44"/>
      <c r="M67" s="44"/>
      <c r="N67" s="44"/>
      <c r="O67" s="45"/>
      <c r="P67" s="40"/>
    </row>
    <row r="68" spans="1:16" s="41" customFormat="1" ht="30" customHeight="1">
      <c r="A68" s="34">
        <v>59</v>
      </c>
      <c r="B68" s="35" t="s">
        <v>88</v>
      </c>
      <c r="C68" s="34"/>
      <c r="D68" s="35"/>
      <c r="E68" s="35" t="s">
        <v>589</v>
      </c>
      <c r="F68" s="35" t="s">
        <v>86</v>
      </c>
      <c r="G68" s="46"/>
      <c r="H68" s="44"/>
      <c r="I68" s="44"/>
      <c r="J68" s="46"/>
      <c r="K68" s="44"/>
      <c r="L68" s="44"/>
      <c r="M68" s="44"/>
      <c r="N68" s="44"/>
      <c r="O68" s="45"/>
      <c r="P68" s="40"/>
    </row>
    <row r="69" spans="1:16" s="41" customFormat="1" ht="30" customHeight="1">
      <c r="A69" s="42">
        <v>60</v>
      </c>
      <c r="B69" s="43" t="s">
        <v>89</v>
      </c>
      <c r="C69" s="42"/>
      <c r="D69" s="43"/>
      <c r="E69" s="43" t="s">
        <v>589</v>
      </c>
      <c r="F69" s="43" t="s">
        <v>86</v>
      </c>
      <c r="G69" s="44"/>
      <c r="H69" s="44"/>
      <c r="I69" s="44"/>
      <c r="J69" s="44"/>
      <c r="K69" s="44"/>
      <c r="L69" s="44"/>
      <c r="M69" s="44"/>
      <c r="N69" s="44"/>
      <c r="O69" s="45"/>
      <c r="P69" s="40"/>
    </row>
    <row r="70" spans="1:16" s="41" customFormat="1" ht="63.75" customHeight="1">
      <c r="A70" s="34">
        <v>61</v>
      </c>
      <c r="B70" s="35" t="s">
        <v>90</v>
      </c>
      <c r="C70" s="34"/>
      <c r="D70" s="35"/>
      <c r="E70" s="35" t="s">
        <v>589</v>
      </c>
      <c r="F70" s="35" t="s">
        <v>86</v>
      </c>
      <c r="G70" s="46"/>
      <c r="H70" s="44"/>
      <c r="I70" s="44"/>
      <c r="J70" s="46"/>
      <c r="K70" s="44"/>
      <c r="L70" s="44"/>
      <c r="M70" s="44"/>
      <c r="N70" s="44"/>
      <c r="O70" s="45"/>
      <c r="P70" s="40"/>
    </row>
    <row r="71" spans="1:16" s="41" customFormat="1" ht="45" customHeight="1">
      <c r="A71" s="42">
        <v>62</v>
      </c>
      <c r="B71" s="43" t="s">
        <v>91</v>
      </c>
      <c r="C71" s="42"/>
      <c r="D71" s="43"/>
      <c r="E71" s="43" t="s">
        <v>435</v>
      </c>
      <c r="F71" s="43" t="s">
        <v>86</v>
      </c>
      <c r="G71" s="44"/>
      <c r="H71" s="44"/>
      <c r="I71" s="44"/>
      <c r="J71" s="44"/>
      <c r="K71" s="44"/>
      <c r="L71" s="44"/>
      <c r="M71" s="44"/>
      <c r="N71" s="44"/>
      <c r="O71" s="45"/>
      <c r="P71" s="40"/>
    </row>
    <row r="72" spans="1:16" s="41" customFormat="1" ht="30" customHeight="1">
      <c r="A72" s="34">
        <v>63</v>
      </c>
      <c r="B72" s="35" t="s">
        <v>92</v>
      </c>
      <c r="C72" s="34"/>
      <c r="D72" s="35"/>
      <c r="E72" s="35" t="s">
        <v>435</v>
      </c>
      <c r="F72" s="35" t="s">
        <v>86</v>
      </c>
      <c r="G72" s="46"/>
      <c r="H72" s="44"/>
      <c r="I72" s="44"/>
      <c r="J72" s="46"/>
      <c r="K72" s="44"/>
      <c r="L72" s="44"/>
      <c r="M72" s="44"/>
      <c r="N72" s="44"/>
      <c r="O72" s="45"/>
      <c r="P72" s="40"/>
    </row>
    <row r="73" spans="1:16" s="41" customFormat="1" ht="30" customHeight="1">
      <c r="A73" s="42">
        <v>64</v>
      </c>
      <c r="B73" s="43" t="s">
        <v>93</v>
      </c>
      <c r="C73" s="42"/>
      <c r="D73" s="43"/>
      <c r="E73" s="43" t="s">
        <v>435</v>
      </c>
      <c r="F73" s="43" t="s">
        <v>35</v>
      </c>
      <c r="G73" s="44"/>
      <c r="H73" s="44"/>
      <c r="I73" s="44"/>
      <c r="J73" s="44"/>
      <c r="K73" s="44"/>
      <c r="L73" s="44"/>
      <c r="M73" s="44"/>
      <c r="N73" s="44"/>
      <c r="O73" s="45"/>
      <c r="P73" s="40"/>
    </row>
    <row r="74" spans="1:16" s="41" customFormat="1" ht="30" customHeight="1">
      <c r="A74" s="34">
        <v>65</v>
      </c>
      <c r="B74" s="35" t="s">
        <v>94</v>
      </c>
      <c r="C74" s="34"/>
      <c r="D74" s="35"/>
      <c r="E74" s="35" t="s">
        <v>435</v>
      </c>
      <c r="F74" s="35" t="s">
        <v>35</v>
      </c>
      <c r="G74" s="46"/>
      <c r="H74" s="44"/>
      <c r="I74" s="44"/>
      <c r="J74" s="46"/>
      <c r="K74" s="44"/>
      <c r="L74" s="44"/>
      <c r="M74" s="44"/>
      <c r="N74" s="44"/>
      <c r="O74" s="45"/>
      <c r="P74" s="40"/>
    </row>
    <row r="75" spans="1:16" s="41" customFormat="1" ht="30" customHeight="1">
      <c r="A75" s="42">
        <v>66</v>
      </c>
      <c r="B75" s="43" t="s">
        <v>95</v>
      </c>
      <c r="C75" s="42"/>
      <c r="D75" s="43"/>
      <c r="E75" s="43" t="s">
        <v>435</v>
      </c>
      <c r="F75" s="43" t="s">
        <v>35</v>
      </c>
      <c r="G75" s="44"/>
      <c r="H75" s="44"/>
      <c r="I75" s="44"/>
      <c r="J75" s="44"/>
      <c r="K75" s="44"/>
      <c r="L75" s="44"/>
      <c r="M75" s="44"/>
      <c r="N75" s="44"/>
      <c r="O75" s="45"/>
      <c r="P75" s="40"/>
    </row>
    <row r="76" spans="1:16" s="41" customFormat="1" ht="30" customHeight="1">
      <c r="A76" s="34">
        <v>67</v>
      </c>
      <c r="B76" s="35" t="s">
        <v>96</v>
      </c>
      <c r="C76" s="34"/>
      <c r="D76" s="35"/>
      <c r="E76" s="35" t="s">
        <v>435</v>
      </c>
      <c r="F76" s="35" t="s">
        <v>35</v>
      </c>
      <c r="G76" s="46"/>
      <c r="H76" s="44"/>
      <c r="I76" s="44"/>
      <c r="J76" s="46"/>
      <c r="K76" s="44"/>
      <c r="L76" s="44"/>
      <c r="M76" s="44"/>
      <c r="N76" s="44"/>
      <c r="O76" s="45"/>
      <c r="P76" s="40"/>
    </row>
    <row r="77" spans="1:16" s="41" customFormat="1" ht="30" customHeight="1">
      <c r="A77" s="42">
        <v>68</v>
      </c>
      <c r="B77" s="43" t="s">
        <v>97</v>
      </c>
      <c r="C77" s="42"/>
      <c r="D77" s="43"/>
      <c r="E77" s="43" t="s">
        <v>435</v>
      </c>
      <c r="F77" s="43" t="s">
        <v>35</v>
      </c>
      <c r="G77" s="44"/>
      <c r="H77" s="44"/>
      <c r="I77" s="44"/>
      <c r="J77" s="44"/>
      <c r="K77" s="44"/>
      <c r="L77" s="44"/>
      <c r="M77" s="44"/>
      <c r="N77" s="44"/>
      <c r="O77" s="45"/>
      <c r="P77" s="40"/>
    </row>
    <row r="78" spans="1:16" s="41" customFormat="1" ht="63.75" customHeight="1">
      <c r="A78" s="34">
        <v>69</v>
      </c>
      <c r="B78" s="35" t="s">
        <v>98</v>
      </c>
      <c r="C78" s="34"/>
      <c r="D78" s="35"/>
      <c r="E78" s="35" t="s">
        <v>435</v>
      </c>
      <c r="F78" s="35" t="s">
        <v>35</v>
      </c>
      <c r="G78" s="46"/>
      <c r="H78" s="44"/>
      <c r="I78" s="44"/>
      <c r="J78" s="46"/>
      <c r="K78" s="44"/>
      <c r="L78" s="44"/>
      <c r="M78" s="44"/>
      <c r="N78" s="44"/>
      <c r="O78" s="45"/>
      <c r="P78" s="40"/>
    </row>
    <row r="79" spans="1:16" s="41" customFormat="1" ht="51.75" customHeight="1">
      <c r="A79" s="42">
        <v>70</v>
      </c>
      <c r="B79" s="43" t="s">
        <v>99</v>
      </c>
      <c r="C79" s="42"/>
      <c r="D79" s="43"/>
      <c r="E79" s="43" t="s">
        <v>435</v>
      </c>
      <c r="F79" s="43" t="s">
        <v>35</v>
      </c>
      <c r="G79" s="44"/>
      <c r="H79" s="44"/>
      <c r="I79" s="44"/>
      <c r="J79" s="44"/>
      <c r="K79" s="44"/>
      <c r="L79" s="44"/>
      <c r="M79" s="44"/>
      <c r="N79" s="44"/>
      <c r="O79" s="45"/>
      <c r="P79" s="40"/>
    </row>
    <row r="80" spans="1:16" s="41" customFormat="1" ht="30" customHeight="1">
      <c r="A80" s="34">
        <v>71</v>
      </c>
      <c r="B80" s="35" t="s">
        <v>100</v>
      </c>
      <c r="C80" s="34"/>
      <c r="D80" s="35" t="s">
        <v>42</v>
      </c>
      <c r="E80" s="35" t="s">
        <v>435</v>
      </c>
      <c r="F80" s="35" t="s">
        <v>35</v>
      </c>
      <c r="G80" s="46"/>
      <c r="H80" s="44"/>
      <c r="I80" s="44"/>
      <c r="J80" s="46"/>
      <c r="K80" s="44"/>
      <c r="L80" s="44"/>
      <c r="M80" s="44"/>
      <c r="N80" s="44"/>
      <c r="O80" s="45"/>
      <c r="P80" s="40"/>
    </row>
    <row r="81" spans="1:16" s="41" customFormat="1" ht="30" customHeight="1">
      <c r="A81" s="42">
        <v>72</v>
      </c>
      <c r="B81" s="43" t="s">
        <v>101</v>
      </c>
      <c r="C81" s="42"/>
      <c r="D81" s="43"/>
      <c r="E81" s="43" t="s">
        <v>435</v>
      </c>
      <c r="F81" s="43" t="s">
        <v>35</v>
      </c>
      <c r="G81" s="44"/>
      <c r="H81" s="44"/>
      <c r="I81" s="44"/>
      <c r="J81" s="44"/>
      <c r="K81" s="44"/>
      <c r="L81" s="44"/>
      <c r="M81" s="44"/>
      <c r="N81" s="44"/>
      <c r="O81" s="45"/>
      <c r="P81" s="40"/>
    </row>
    <row r="82" spans="1:16" s="41" customFormat="1" ht="30" customHeight="1">
      <c r="A82" s="34">
        <v>73</v>
      </c>
      <c r="B82" s="35" t="s">
        <v>102</v>
      </c>
      <c r="C82" s="34"/>
      <c r="D82" s="35"/>
      <c r="E82" s="35" t="s">
        <v>428</v>
      </c>
      <c r="F82" s="35" t="s">
        <v>532</v>
      </c>
      <c r="G82" s="46"/>
      <c r="H82" s="46"/>
      <c r="I82" s="46"/>
      <c r="J82" s="46"/>
      <c r="K82" s="46"/>
      <c r="L82" s="46"/>
      <c r="M82" s="46"/>
      <c r="N82" s="46"/>
      <c r="O82" s="45"/>
      <c r="P82" s="40"/>
    </row>
    <row r="83" spans="1:16" s="41" customFormat="1" ht="30" customHeight="1">
      <c r="A83" s="42">
        <v>74</v>
      </c>
      <c r="B83" s="43" t="s">
        <v>103</v>
      </c>
      <c r="C83" s="42">
        <v>287</v>
      </c>
      <c r="D83" s="43"/>
      <c r="E83" s="43" t="s">
        <v>428</v>
      </c>
      <c r="F83" s="43" t="s">
        <v>533</v>
      </c>
      <c r="G83" s="46"/>
      <c r="H83" s="46"/>
      <c r="I83" s="46"/>
      <c r="J83" s="46"/>
      <c r="K83" s="46"/>
      <c r="L83" s="46"/>
      <c r="M83" s="46"/>
      <c r="N83" s="46"/>
      <c r="O83" s="45"/>
      <c r="P83" s="40"/>
    </row>
    <row r="84" spans="1:16" s="41" customFormat="1" ht="30" customHeight="1">
      <c r="A84" s="34">
        <v>75</v>
      </c>
      <c r="B84" s="35" t="s">
        <v>104</v>
      </c>
      <c r="C84" s="62" t="s">
        <v>408</v>
      </c>
      <c r="D84" s="59"/>
      <c r="E84" s="59" t="s">
        <v>432</v>
      </c>
      <c r="F84" s="59"/>
      <c r="G84" s="60" t="s">
        <v>105</v>
      </c>
      <c r="H84" s="59" t="s">
        <v>440</v>
      </c>
      <c r="I84" s="59" t="s">
        <v>595</v>
      </c>
      <c r="J84" s="60" t="s">
        <v>468</v>
      </c>
      <c r="K84" s="59"/>
      <c r="L84" s="60" t="s">
        <v>105</v>
      </c>
      <c r="M84" s="60" t="s">
        <v>506</v>
      </c>
      <c r="N84" s="60" t="s">
        <v>501</v>
      </c>
      <c r="O84" s="45"/>
      <c r="P84" s="40"/>
    </row>
    <row r="85" spans="1:16" s="41" customFormat="1" ht="30" customHeight="1">
      <c r="A85" s="48">
        <v>76</v>
      </c>
      <c r="B85" s="49" t="s">
        <v>106</v>
      </c>
      <c r="C85" s="63"/>
      <c r="D85" s="64"/>
      <c r="E85" s="64" t="s">
        <v>431</v>
      </c>
      <c r="F85" s="64"/>
      <c r="G85" s="29" t="s">
        <v>577</v>
      </c>
      <c r="H85" s="64" t="s">
        <v>440</v>
      </c>
      <c r="I85" s="64" t="s">
        <v>594</v>
      </c>
      <c r="J85" s="29" t="s">
        <v>468</v>
      </c>
      <c r="K85" s="64"/>
      <c r="L85" s="29" t="s">
        <v>577</v>
      </c>
      <c r="M85" s="49" t="s">
        <v>506</v>
      </c>
      <c r="N85" s="50" t="s">
        <v>501</v>
      </c>
      <c r="O85" s="45"/>
      <c r="P85" s="40"/>
    </row>
    <row r="86" spans="1:16" s="41" customFormat="1" ht="76.5">
      <c r="A86" s="34">
        <v>77</v>
      </c>
      <c r="B86" s="81" t="s">
        <v>107</v>
      </c>
      <c r="C86" s="80" t="s">
        <v>502</v>
      </c>
      <c r="D86" s="35" t="s">
        <v>503</v>
      </c>
      <c r="E86" s="35" t="s">
        <v>431</v>
      </c>
      <c r="F86" s="35"/>
      <c r="G86" s="82" t="s">
        <v>570</v>
      </c>
      <c r="H86" s="35" t="s">
        <v>504</v>
      </c>
      <c r="I86" s="35" t="s">
        <v>595</v>
      </c>
      <c r="J86" s="80" t="s">
        <v>459</v>
      </c>
      <c r="K86" s="35" t="s">
        <v>581</v>
      </c>
      <c r="L86" s="35" t="s">
        <v>505</v>
      </c>
      <c r="M86" s="35" t="s">
        <v>506</v>
      </c>
      <c r="N86" s="47" t="s">
        <v>501</v>
      </c>
      <c r="O86" s="40"/>
    </row>
    <row r="87" spans="1:16" s="41" customFormat="1" ht="89.25">
      <c r="A87" s="48">
        <v>78</v>
      </c>
      <c r="B87" s="49" t="s">
        <v>108</v>
      </c>
      <c r="C87" s="29" t="s">
        <v>507</v>
      </c>
      <c r="D87" s="29" t="s">
        <v>508</v>
      </c>
      <c r="E87" s="49" t="s">
        <v>431</v>
      </c>
      <c r="F87" s="49"/>
      <c r="G87" s="29" t="s">
        <v>571</v>
      </c>
      <c r="H87" s="49" t="s">
        <v>504</v>
      </c>
      <c r="I87" s="49" t="s">
        <v>595</v>
      </c>
      <c r="J87" s="29" t="s">
        <v>468</v>
      </c>
      <c r="K87" s="49"/>
      <c r="L87" s="29" t="s">
        <v>572</v>
      </c>
      <c r="M87" s="49" t="s">
        <v>506</v>
      </c>
      <c r="N87" s="50" t="s">
        <v>501</v>
      </c>
      <c r="O87" s="40"/>
    </row>
    <row r="88" spans="1:16" s="41" customFormat="1" ht="78.75" customHeight="1">
      <c r="A88" s="34">
        <v>79</v>
      </c>
      <c r="B88" s="35" t="s">
        <v>109</v>
      </c>
      <c r="C88" s="34"/>
      <c r="D88" s="35"/>
      <c r="E88" s="35" t="s">
        <v>435</v>
      </c>
      <c r="F88" s="35" t="s">
        <v>110</v>
      </c>
      <c r="G88" s="46"/>
      <c r="H88" s="44"/>
      <c r="I88" s="44"/>
      <c r="J88" s="46"/>
      <c r="K88" s="44"/>
      <c r="L88" s="44"/>
      <c r="M88" s="44"/>
      <c r="N88" s="44"/>
      <c r="O88" s="45"/>
      <c r="P88" s="40"/>
    </row>
    <row r="89" spans="1:16" s="41" customFormat="1" ht="30" customHeight="1">
      <c r="A89" s="42">
        <v>80</v>
      </c>
      <c r="B89" s="43" t="s">
        <v>111</v>
      </c>
      <c r="C89" s="65">
        <v>55</v>
      </c>
      <c r="D89" s="43" t="s">
        <v>509</v>
      </c>
      <c r="E89" s="43" t="s">
        <v>431</v>
      </c>
      <c r="F89" s="43"/>
      <c r="G89" s="29" t="s">
        <v>571</v>
      </c>
      <c r="H89" s="43" t="s">
        <v>504</v>
      </c>
      <c r="I89" s="43" t="s">
        <v>595</v>
      </c>
      <c r="J89" s="65" t="s">
        <v>468</v>
      </c>
      <c r="K89" s="43"/>
      <c r="L89" s="29" t="s">
        <v>572</v>
      </c>
      <c r="M89" s="43" t="s">
        <v>506</v>
      </c>
      <c r="N89" s="66" t="s">
        <v>501</v>
      </c>
      <c r="O89" s="40"/>
    </row>
    <row r="90" spans="1:16" s="41" customFormat="1" ht="38.25">
      <c r="A90" s="34">
        <v>81</v>
      </c>
      <c r="B90" s="35" t="s">
        <v>112</v>
      </c>
      <c r="C90" s="80" t="s">
        <v>511</v>
      </c>
      <c r="D90" s="35" t="s">
        <v>512</v>
      </c>
      <c r="E90" s="35" t="s">
        <v>431</v>
      </c>
      <c r="F90" s="35"/>
      <c r="G90" s="204" t="s">
        <v>573</v>
      </c>
      <c r="H90" s="206" t="s">
        <v>504</v>
      </c>
      <c r="I90" s="35" t="s">
        <v>595</v>
      </c>
      <c r="J90" s="208" t="s">
        <v>468</v>
      </c>
      <c r="K90" s="35"/>
      <c r="L90" s="209" t="s">
        <v>570</v>
      </c>
      <c r="M90" s="35" t="s">
        <v>506</v>
      </c>
      <c r="N90" s="47" t="s">
        <v>501</v>
      </c>
      <c r="O90" s="40"/>
    </row>
    <row r="91" spans="1:16" s="41" customFormat="1" ht="33" customHeight="1">
      <c r="A91" s="34"/>
      <c r="B91" s="35"/>
      <c r="C91" s="34"/>
      <c r="D91" s="35"/>
      <c r="E91" s="35" t="s">
        <v>431</v>
      </c>
      <c r="F91" s="35"/>
      <c r="G91" s="205"/>
      <c r="H91" s="207"/>
      <c r="I91" s="35"/>
      <c r="J91" s="205"/>
      <c r="K91" s="35"/>
      <c r="L91" s="210"/>
      <c r="M91" s="35"/>
      <c r="N91" s="47"/>
      <c r="O91" s="40"/>
    </row>
    <row r="92" spans="1:16" s="41" customFormat="1" ht="102.75" customHeight="1">
      <c r="A92" s="48">
        <v>82</v>
      </c>
      <c r="B92" s="49" t="s">
        <v>113</v>
      </c>
      <c r="C92" s="48" t="s">
        <v>409</v>
      </c>
      <c r="D92" s="49"/>
      <c r="E92" s="49" t="s">
        <v>431</v>
      </c>
      <c r="F92" s="49"/>
      <c r="G92" s="29" t="s">
        <v>513</v>
      </c>
      <c r="H92" s="49"/>
      <c r="I92" s="49" t="s">
        <v>595</v>
      </c>
      <c r="J92" s="29" t="s">
        <v>459</v>
      </c>
      <c r="K92" s="49" t="s">
        <v>596</v>
      </c>
      <c r="L92" s="29" t="s">
        <v>513</v>
      </c>
      <c r="M92" s="49"/>
      <c r="N92" s="50"/>
      <c r="O92" s="40"/>
    </row>
    <row r="93" spans="1:16" s="41" customFormat="1" ht="37.5" customHeight="1">
      <c r="A93" s="34">
        <v>83</v>
      </c>
      <c r="B93" s="35" t="s">
        <v>115</v>
      </c>
      <c r="C93" s="34"/>
      <c r="D93" s="35" t="s">
        <v>514</v>
      </c>
      <c r="E93" s="35" t="s">
        <v>431</v>
      </c>
      <c r="F93" s="35"/>
      <c r="G93" s="80" t="s">
        <v>515</v>
      </c>
      <c r="H93" s="35"/>
      <c r="I93" s="35" t="s">
        <v>594</v>
      </c>
      <c r="J93" s="80" t="s">
        <v>459</v>
      </c>
      <c r="K93" s="35" t="s">
        <v>516</v>
      </c>
      <c r="L93" s="35" t="s">
        <v>517</v>
      </c>
      <c r="M93" s="35" t="s">
        <v>506</v>
      </c>
      <c r="N93" s="47"/>
      <c r="O93" s="40"/>
    </row>
    <row r="94" spans="1:16" s="41" customFormat="1" ht="35.25" customHeight="1">
      <c r="A94" s="42">
        <v>84</v>
      </c>
      <c r="B94" s="43" t="s">
        <v>116</v>
      </c>
      <c r="C94" s="42"/>
      <c r="D94" s="43"/>
      <c r="E94" s="43" t="s">
        <v>431</v>
      </c>
      <c r="F94" s="43"/>
      <c r="G94" s="65" t="s">
        <v>517</v>
      </c>
      <c r="H94" s="43"/>
      <c r="I94" s="43" t="s">
        <v>595</v>
      </c>
      <c r="J94" s="65" t="s">
        <v>459</v>
      </c>
      <c r="K94" s="43"/>
      <c r="L94" s="43" t="s">
        <v>517</v>
      </c>
      <c r="M94" s="43" t="s">
        <v>506</v>
      </c>
      <c r="N94" s="66"/>
      <c r="O94" s="40"/>
    </row>
    <row r="95" spans="1:16" s="41" customFormat="1" ht="35.25" customHeight="1">
      <c r="A95" s="34">
        <v>85</v>
      </c>
      <c r="B95" s="35" t="s">
        <v>117</v>
      </c>
      <c r="C95" s="34"/>
      <c r="D95" s="35"/>
      <c r="E95" s="35" t="s">
        <v>431</v>
      </c>
      <c r="F95" s="35" t="s">
        <v>518</v>
      </c>
      <c r="G95" s="44"/>
      <c r="H95" s="44"/>
      <c r="I95" s="44"/>
      <c r="J95" s="44"/>
      <c r="K95" s="44"/>
      <c r="L95" s="44"/>
      <c r="M95" s="44"/>
      <c r="N95" s="44"/>
      <c r="O95" s="40"/>
    </row>
    <row r="96" spans="1:16" s="41" customFormat="1" ht="30" customHeight="1">
      <c r="A96" s="42">
        <v>86</v>
      </c>
      <c r="B96" s="43" t="s">
        <v>76</v>
      </c>
      <c r="C96" s="42"/>
      <c r="D96" s="43"/>
      <c r="E96" s="43" t="s">
        <v>431</v>
      </c>
      <c r="F96" s="43" t="s">
        <v>13</v>
      </c>
      <c r="G96" s="44"/>
      <c r="H96" s="44"/>
      <c r="I96" s="44"/>
      <c r="J96" s="44"/>
      <c r="K96" s="44"/>
      <c r="L96" s="44"/>
      <c r="M96" s="44"/>
      <c r="N96" s="44"/>
      <c r="O96" s="45"/>
      <c r="P96" s="40"/>
    </row>
    <row r="97" spans="1:16" s="41" customFormat="1" ht="127.5">
      <c r="A97" s="34">
        <v>87</v>
      </c>
      <c r="B97" s="35" t="s">
        <v>118</v>
      </c>
      <c r="C97" s="34"/>
      <c r="D97" s="35"/>
      <c r="E97" s="35" t="s">
        <v>438</v>
      </c>
      <c r="F97" s="35"/>
      <c r="G97" s="80" t="s">
        <v>611</v>
      </c>
      <c r="H97" s="35" t="s">
        <v>552</v>
      </c>
      <c r="I97" s="35" t="s">
        <v>595</v>
      </c>
      <c r="J97" s="80" t="s">
        <v>459</v>
      </c>
      <c r="K97" s="35" t="s">
        <v>558</v>
      </c>
      <c r="L97" s="35" t="s">
        <v>601</v>
      </c>
      <c r="M97" s="35" t="s">
        <v>539</v>
      </c>
      <c r="N97" s="47" t="s">
        <v>501</v>
      </c>
      <c r="O97" s="45"/>
      <c r="P97" s="40"/>
    </row>
    <row r="98" spans="1:16" s="41" customFormat="1" ht="127.5">
      <c r="A98" s="48">
        <v>88</v>
      </c>
      <c r="B98" s="49" t="s">
        <v>120</v>
      </c>
      <c r="C98" s="48">
        <v>68</v>
      </c>
      <c r="D98" s="49"/>
      <c r="E98" s="49" t="s">
        <v>438</v>
      </c>
      <c r="F98" s="49"/>
      <c r="G98" s="29" t="s">
        <v>611</v>
      </c>
      <c r="H98" s="49" t="s">
        <v>552</v>
      </c>
      <c r="I98" s="49" t="s">
        <v>595</v>
      </c>
      <c r="J98" s="29" t="s">
        <v>459</v>
      </c>
      <c r="K98" s="49" t="s">
        <v>558</v>
      </c>
      <c r="L98" s="49" t="s">
        <v>601</v>
      </c>
      <c r="M98" s="49" t="s">
        <v>539</v>
      </c>
      <c r="N98" s="50" t="s">
        <v>501</v>
      </c>
      <c r="O98" s="45"/>
      <c r="P98" s="40"/>
    </row>
    <row r="99" spans="1:16" s="41" customFormat="1" ht="30" customHeight="1">
      <c r="A99" s="34">
        <v>89</v>
      </c>
      <c r="B99" s="35" t="s">
        <v>121</v>
      </c>
      <c r="C99" s="34"/>
      <c r="D99" s="35" t="s">
        <v>122</v>
      </c>
      <c r="E99" s="35" t="s">
        <v>435</v>
      </c>
      <c r="F99" s="35" t="s">
        <v>123</v>
      </c>
      <c r="G99" s="46"/>
      <c r="H99" s="44"/>
      <c r="I99" s="44"/>
      <c r="J99" s="46"/>
      <c r="K99" s="44"/>
      <c r="L99" s="44"/>
      <c r="M99" s="44"/>
      <c r="N99" s="44"/>
      <c r="O99" s="45"/>
      <c r="P99" s="40"/>
    </row>
    <row r="100" spans="1:16" s="41" customFormat="1" ht="30" customHeight="1">
      <c r="A100" s="48">
        <v>90</v>
      </c>
      <c r="B100" s="49" t="s">
        <v>124</v>
      </c>
      <c r="C100" s="48" t="s">
        <v>444</v>
      </c>
      <c r="D100" s="49" t="s">
        <v>122</v>
      </c>
      <c r="E100" s="49" t="s">
        <v>435</v>
      </c>
      <c r="F100" s="49" t="s">
        <v>123</v>
      </c>
      <c r="G100" s="38"/>
      <c r="H100" s="44"/>
      <c r="I100" s="44"/>
      <c r="J100" s="38"/>
      <c r="K100" s="44"/>
      <c r="L100" s="44"/>
      <c r="M100" s="44"/>
      <c r="N100" s="44"/>
      <c r="O100" s="45"/>
      <c r="P100" s="40"/>
    </row>
    <row r="101" spans="1:16" s="41" customFormat="1" ht="127.5">
      <c r="A101" s="34">
        <v>91</v>
      </c>
      <c r="B101" s="35" t="s">
        <v>125</v>
      </c>
      <c r="C101" s="34"/>
      <c r="D101" s="35"/>
      <c r="E101" s="35" t="s">
        <v>438</v>
      </c>
      <c r="F101" s="35"/>
      <c r="G101" s="80" t="s">
        <v>611</v>
      </c>
      <c r="H101" s="35" t="s">
        <v>552</v>
      </c>
      <c r="I101" s="35" t="s">
        <v>595</v>
      </c>
      <c r="J101" s="80" t="s">
        <v>459</v>
      </c>
      <c r="K101" s="35" t="s">
        <v>558</v>
      </c>
      <c r="L101" s="35" t="s">
        <v>601</v>
      </c>
      <c r="M101" s="35" t="s">
        <v>539</v>
      </c>
      <c r="N101" s="47" t="s">
        <v>501</v>
      </c>
      <c r="O101" s="45"/>
      <c r="P101" s="40"/>
    </row>
    <row r="102" spans="1:16" s="41" customFormat="1" ht="30" customHeight="1">
      <c r="A102" s="42">
        <v>92</v>
      </c>
      <c r="B102" s="43" t="s">
        <v>76</v>
      </c>
      <c r="C102" s="42">
        <v>68</v>
      </c>
      <c r="D102" s="43"/>
      <c r="E102" s="43" t="s">
        <v>435</v>
      </c>
      <c r="F102" s="43" t="s">
        <v>13</v>
      </c>
      <c r="G102" s="44"/>
      <c r="H102" s="44"/>
      <c r="I102" s="44"/>
      <c r="J102" s="44"/>
      <c r="K102" s="44"/>
      <c r="L102" s="44"/>
      <c r="M102" s="44"/>
      <c r="N102" s="44"/>
      <c r="O102" s="45"/>
      <c r="P102" s="40"/>
    </row>
    <row r="103" spans="1:16" s="41" customFormat="1" ht="127.5">
      <c r="A103" s="34">
        <v>93</v>
      </c>
      <c r="B103" s="35" t="s">
        <v>126</v>
      </c>
      <c r="C103" s="34" t="s">
        <v>445</v>
      </c>
      <c r="D103" s="35" t="s">
        <v>559</v>
      </c>
      <c r="E103" s="35" t="s">
        <v>438</v>
      </c>
      <c r="F103" s="35"/>
      <c r="G103" s="80" t="s">
        <v>611</v>
      </c>
      <c r="H103" s="35" t="s">
        <v>552</v>
      </c>
      <c r="I103" s="35" t="s">
        <v>595</v>
      </c>
      <c r="J103" s="80" t="s">
        <v>459</v>
      </c>
      <c r="K103" s="35" t="s">
        <v>558</v>
      </c>
      <c r="L103" s="35" t="s">
        <v>601</v>
      </c>
      <c r="M103" s="35" t="s">
        <v>539</v>
      </c>
      <c r="N103" s="47" t="s">
        <v>501</v>
      </c>
      <c r="O103" s="45"/>
      <c r="P103" s="40"/>
    </row>
    <row r="104" spans="1:16" s="41" customFormat="1" ht="114.75">
      <c r="A104" s="48">
        <v>94</v>
      </c>
      <c r="B104" s="49" t="s">
        <v>128</v>
      </c>
      <c r="C104" s="48" t="s">
        <v>445</v>
      </c>
      <c r="D104" s="49" t="s">
        <v>560</v>
      </c>
      <c r="E104" s="49" t="s">
        <v>438</v>
      </c>
      <c r="F104" s="49"/>
      <c r="G104" s="29" t="s">
        <v>612</v>
      </c>
      <c r="H104" s="49" t="s">
        <v>552</v>
      </c>
      <c r="I104" s="49" t="s">
        <v>595</v>
      </c>
      <c r="J104" s="29" t="s">
        <v>459</v>
      </c>
      <c r="K104" s="49" t="s">
        <v>558</v>
      </c>
      <c r="L104" s="49" t="s">
        <v>601</v>
      </c>
      <c r="M104" s="49" t="s">
        <v>539</v>
      </c>
      <c r="N104" s="50" t="s">
        <v>501</v>
      </c>
      <c r="O104" s="45"/>
      <c r="P104" s="40"/>
    </row>
    <row r="105" spans="1:16" s="41" customFormat="1" ht="127.5">
      <c r="A105" s="34">
        <v>95</v>
      </c>
      <c r="B105" s="35" t="s">
        <v>129</v>
      </c>
      <c r="C105" s="34" t="s">
        <v>445</v>
      </c>
      <c r="D105" s="35" t="s">
        <v>560</v>
      </c>
      <c r="E105" s="35" t="s">
        <v>438</v>
      </c>
      <c r="F105" s="35"/>
      <c r="G105" s="80" t="s">
        <v>611</v>
      </c>
      <c r="H105" s="35" t="s">
        <v>552</v>
      </c>
      <c r="I105" s="35" t="s">
        <v>595</v>
      </c>
      <c r="J105" s="80" t="s">
        <v>459</v>
      </c>
      <c r="K105" s="35" t="s">
        <v>558</v>
      </c>
      <c r="L105" s="35" t="s">
        <v>601</v>
      </c>
      <c r="M105" s="35" t="s">
        <v>539</v>
      </c>
      <c r="N105" s="47" t="s">
        <v>501</v>
      </c>
      <c r="O105" s="45"/>
      <c r="P105" s="40"/>
    </row>
    <row r="106" spans="1:16" s="41" customFormat="1" ht="127.5">
      <c r="A106" s="48">
        <v>96</v>
      </c>
      <c r="B106" s="49" t="s">
        <v>130</v>
      </c>
      <c r="C106" s="48">
        <v>80</v>
      </c>
      <c r="D106" s="49" t="s">
        <v>122</v>
      </c>
      <c r="E106" s="49" t="s">
        <v>438</v>
      </c>
      <c r="F106" s="49"/>
      <c r="G106" s="29" t="s">
        <v>611</v>
      </c>
      <c r="H106" s="49" t="s">
        <v>552</v>
      </c>
      <c r="I106" s="49" t="s">
        <v>595</v>
      </c>
      <c r="J106" s="29" t="s">
        <v>459</v>
      </c>
      <c r="K106" s="49" t="s">
        <v>558</v>
      </c>
      <c r="L106" s="49" t="s">
        <v>601</v>
      </c>
      <c r="M106" s="49" t="s">
        <v>539</v>
      </c>
      <c r="N106" s="50" t="s">
        <v>501</v>
      </c>
      <c r="O106" s="45"/>
      <c r="P106" s="40"/>
    </row>
    <row r="107" spans="1:16" s="41" customFormat="1" ht="30" customHeight="1">
      <c r="A107" s="34">
        <v>97</v>
      </c>
      <c r="B107" s="35" t="s">
        <v>76</v>
      </c>
      <c r="C107" s="34"/>
      <c r="D107" s="35"/>
      <c r="E107" s="35" t="s">
        <v>435</v>
      </c>
      <c r="F107" s="35" t="s">
        <v>13</v>
      </c>
      <c r="G107" s="46"/>
      <c r="H107" s="44"/>
      <c r="I107" s="44"/>
      <c r="J107" s="46"/>
      <c r="K107" s="44"/>
      <c r="L107" s="44"/>
      <c r="M107" s="44"/>
      <c r="N107" s="44"/>
      <c r="O107" s="45"/>
      <c r="P107" s="40"/>
    </row>
    <row r="108" spans="1:16" s="41" customFormat="1" ht="30" customHeight="1">
      <c r="A108" s="42">
        <v>98</v>
      </c>
      <c r="B108" s="43" t="s">
        <v>131</v>
      </c>
      <c r="C108" s="42" t="s">
        <v>446</v>
      </c>
      <c r="D108" s="43"/>
      <c r="E108" s="43" t="s">
        <v>438</v>
      </c>
      <c r="F108" s="43"/>
      <c r="G108" s="29" t="s">
        <v>557</v>
      </c>
      <c r="H108" s="49" t="s">
        <v>552</v>
      </c>
      <c r="I108" s="49" t="s">
        <v>595</v>
      </c>
      <c r="J108" s="29" t="s">
        <v>459</v>
      </c>
      <c r="K108" s="49" t="s">
        <v>558</v>
      </c>
      <c r="L108" s="49" t="s">
        <v>556</v>
      </c>
      <c r="M108" s="49" t="s">
        <v>539</v>
      </c>
      <c r="N108" s="50" t="s">
        <v>501</v>
      </c>
      <c r="O108" s="45"/>
      <c r="P108" s="40"/>
    </row>
    <row r="109" spans="1:16" s="41" customFormat="1" ht="30" customHeight="1">
      <c r="A109" s="34">
        <v>99</v>
      </c>
      <c r="B109" s="35" t="s">
        <v>76</v>
      </c>
      <c r="C109" s="34" t="s">
        <v>410</v>
      </c>
      <c r="D109" s="80" t="s">
        <v>132</v>
      </c>
      <c r="E109" s="80" t="s">
        <v>435</v>
      </c>
      <c r="F109" s="80" t="s">
        <v>13</v>
      </c>
      <c r="G109" s="46"/>
      <c r="H109" s="44"/>
      <c r="I109" s="44"/>
      <c r="J109" s="46"/>
      <c r="K109" s="44"/>
      <c r="L109" s="44"/>
      <c r="M109" s="44"/>
      <c r="N109" s="44"/>
      <c r="O109" s="45"/>
      <c r="P109" s="40"/>
    </row>
    <row r="110" spans="1:16" s="41" customFormat="1" ht="30" customHeight="1">
      <c r="A110" s="34"/>
      <c r="B110" s="35"/>
      <c r="C110" s="34"/>
      <c r="D110" s="35"/>
      <c r="E110" s="35"/>
      <c r="F110" s="35"/>
      <c r="G110" s="46"/>
      <c r="H110" s="44"/>
      <c r="I110" s="44"/>
      <c r="J110" s="46"/>
      <c r="K110" s="44"/>
      <c r="L110" s="44"/>
      <c r="M110" s="44"/>
      <c r="N110" s="44"/>
      <c r="O110" s="45"/>
      <c r="P110" s="40"/>
    </row>
    <row r="111" spans="1:16" s="41" customFormat="1" ht="30" customHeight="1">
      <c r="A111" s="42">
        <v>100</v>
      </c>
      <c r="B111" s="43" t="s">
        <v>106</v>
      </c>
      <c r="C111" s="42"/>
      <c r="D111" s="43"/>
      <c r="E111" s="43" t="s">
        <v>438</v>
      </c>
      <c r="F111" s="43"/>
      <c r="G111" s="65" t="s">
        <v>127</v>
      </c>
      <c r="H111" s="43"/>
      <c r="I111" s="43" t="s">
        <v>595</v>
      </c>
      <c r="J111" s="65" t="s">
        <v>468</v>
      </c>
      <c r="K111" s="43"/>
      <c r="L111" s="43"/>
      <c r="M111" s="43"/>
      <c r="N111" s="66"/>
      <c r="O111" s="45"/>
      <c r="P111" s="40"/>
    </row>
    <row r="112" spans="1:16" s="41" customFormat="1" ht="30" customHeight="1">
      <c r="A112" s="34">
        <v>101</v>
      </c>
      <c r="B112" s="35" t="s">
        <v>133</v>
      </c>
      <c r="C112" s="34" t="s">
        <v>411</v>
      </c>
      <c r="D112" s="59"/>
      <c r="E112" s="59" t="s">
        <v>438</v>
      </c>
      <c r="F112" s="59"/>
      <c r="G112" s="60" t="s">
        <v>134</v>
      </c>
      <c r="H112" s="59"/>
      <c r="I112" s="59" t="s">
        <v>595</v>
      </c>
      <c r="J112" s="60" t="s">
        <v>468</v>
      </c>
      <c r="K112" s="59"/>
      <c r="L112" s="59"/>
      <c r="M112" s="59" t="s">
        <v>472</v>
      </c>
      <c r="N112" s="61" t="s">
        <v>473</v>
      </c>
      <c r="O112" s="45"/>
      <c r="P112" s="40"/>
    </row>
    <row r="113" spans="1:16" s="41" customFormat="1" ht="30" customHeight="1">
      <c r="A113" s="34"/>
      <c r="B113" s="35"/>
      <c r="C113" s="62"/>
      <c r="D113" s="59"/>
      <c r="E113" s="59"/>
      <c r="F113" s="59"/>
      <c r="G113" s="60" t="s">
        <v>135</v>
      </c>
      <c r="H113" s="59"/>
      <c r="I113" s="59"/>
      <c r="J113" s="60"/>
      <c r="K113" s="59"/>
      <c r="L113" s="59"/>
      <c r="M113" s="59"/>
      <c r="N113" s="61"/>
      <c r="O113" s="45"/>
      <c r="P113" s="40"/>
    </row>
    <row r="114" spans="1:16" s="41" customFormat="1" ht="30" customHeight="1">
      <c r="A114" s="34"/>
      <c r="B114" s="35"/>
      <c r="C114" s="62"/>
      <c r="D114" s="59"/>
      <c r="E114" s="59"/>
      <c r="F114" s="59"/>
      <c r="G114" s="80" t="s">
        <v>136</v>
      </c>
      <c r="H114" s="59"/>
      <c r="I114" s="59"/>
      <c r="J114" s="60"/>
      <c r="K114" s="59"/>
      <c r="L114" s="59"/>
      <c r="M114" s="59"/>
      <c r="N114" s="61"/>
      <c r="O114" s="45"/>
      <c r="P114" s="40"/>
    </row>
    <row r="115" spans="1:16" s="41" customFormat="1" ht="30" customHeight="1">
      <c r="A115" s="34"/>
      <c r="B115" s="35"/>
      <c r="C115" s="62"/>
      <c r="D115" s="59"/>
      <c r="E115" s="59"/>
      <c r="F115" s="59"/>
      <c r="G115" s="60" t="s">
        <v>127</v>
      </c>
      <c r="H115" s="59"/>
      <c r="I115" s="59"/>
      <c r="J115" s="60"/>
      <c r="K115" s="59"/>
      <c r="L115" s="59"/>
      <c r="M115" s="59"/>
      <c r="N115" s="61"/>
      <c r="O115" s="45"/>
      <c r="P115" s="40"/>
    </row>
    <row r="116" spans="1:16" s="41" customFormat="1" ht="30" customHeight="1">
      <c r="A116" s="34"/>
      <c r="B116" s="35"/>
      <c r="C116" s="34"/>
      <c r="D116" s="35"/>
      <c r="E116" s="35"/>
      <c r="F116" s="35"/>
      <c r="G116" s="80"/>
      <c r="H116" s="35"/>
      <c r="I116" s="35"/>
      <c r="J116" s="80"/>
      <c r="K116" s="35"/>
      <c r="L116" s="35"/>
      <c r="M116" s="35"/>
      <c r="N116" s="47"/>
      <c r="O116" s="45"/>
      <c r="P116" s="40"/>
    </row>
    <row r="117" spans="1:16" s="41" customFormat="1" ht="76.5">
      <c r="A117" s="48">
        <v>102</v>
      </c>
      <c r="B117" s="49" t="s">
        <v>137</v>
      </c>
      <c r="C117" s="48"/>
      <c r="D117" s="49"/>
      <c r="E117" s="49" t="s">
        <v>438</v>
      </c>
      <c r="F117" s="49"/>
      <c r="G117" s="29" t="s">
        <v>597</v>
      </c>
      <c r="H117" s="49"/>
      <c r="I117" s="49" t="s">
        <v>595</v>
      </c>
      <c r="J117" s="29" t="s">
        <v>459</v>
      </c>
      <c r="K117" s="49" t="s">
        <v>561</v>
      </c>
      <c r="L117" s="49" t="s">
        <v>555</v>
      </c>
      <c r="M117" s="49" t="s">
        <v>472</v>
      </c>
      <c r="N117" s="50"/>
      <c r="O117" s="45"/>
      <c r="P117" s="40"/>
    </row>
    <row r="118" spans="1:16" s="41" customFormat="1" ht="63.75" customHeight="1">
      <c r="A118" s="34">
        <v>103</v>
      </c>
      <c r="B118" s="35" t="s">
        <v>138</v>
      </c>
      <c r="C118" s="34">
        <v>205</v>
      </c>
      <c r="D118" s="35" t="s">
        <v>139</v>
      </c>
      <c r="E118" s="35"/>
      <c r="F118" s="35" t="s">
        <v>614</v>
      </c>
      <c r="G118" s="35"/>
      <c r="H118" s="35"/>
      <c r="I118" s="35"/>
      <c r="J118" s="35"/>
      <c r="K118" s="35"/>
      <c r="L118" s="35"/>
      <c r="M118" s="35"/>
      <c r="N118" s="35"/>
      <c r="O118" s="45"/>
      <c r="P118" s="40"/>
    </row>
    <row r="119" spans="1:16" s="41" customFormat="1" ht="30" customHeight="1">
      <c r="A119" s="48">
        <v>104</v>
      </c>
      <c r="B119" s="49" t="s">
        <v>140</v>
      </c>
      <c r="C119" s="48">
        <v>90</v>
      </c>
      <c r="D119" s="49" t="s">
        <v>141</v>
      </c>
      <c r="E119" s="49" t="s">
        <v>438</v>
      </c>
      <c r="F119" s="49" t="s">
        <v>614</v>
      </c>
      <c r="G119" s="49"/>
      <c r="H119" s="49"/>
      <c r="I119" s="49"/>
      <c r="J119" s="49"/>
      <c r="K119" s="49"/>
      <c r="L119" s="49"/>
      <c r="M119" s="49"/>
      <c r="N119" s="49"/>
      <c r="O119" s="45"/>
      <c r="P119" s="40"/>
    </row>
    <row r="120" spans="1:16" s="41" customFormat="1" ht="30" customHeight="1">
      <c r="A120" s="55"/>
      <c r="B120" s="56"/>
      <c r="C120" s="55"/>
      <c r="D120" s="56" t="s">
        <v>142</v>
      </c>
      <c r="E120" s="56"/>
      <c r="F120" s="56"/>
      <c r="G120" s="56"/>
      <c r="H120" s="56"/>
      <c r="I120" s="56"/>
      <c r="J120" s="56"/>
      <c r="K120" s="56"/>
      <c r="L120" s="56"/>
      <c r="M120" s="56"/>
      <c r="N120" s="56"/>
      <c r="O120" s="45"/>
      <c r="P120" s="40"/>
    </row>
    <row r="121" spans="1:16" s="41" customFormat="1" ht="67.5" customHeight="1">
      <c r="A121" s="51"/>
      <c r="B121" s="52"/>
      <c r="C121" s="51"/>
      <c r="D121" s="52" t="s">
        <v>143</v>
      </c>
      <c r="E121" s="52"/>
      <c r="F121" s="52"/>
      <c r="G121" s="52"/>
      <c r="H121" s="52"/>
      <c r="I121" s="52"/>
      <c r="J121" s="52"/>
      <c r="K121" s="52"/>
      <c r="L121" s="52"/>
      <c r="M121" s="52"/>
      <c r="N121" s="52"/>
      <c r="O121" s="45"/>
      <c r="P121" s="40"/>
    </row>
    <row r="122" spans="1:16" s="41" customFormat="1" ht="51">
      <c r="A122" s="34">
        <v>105</v>
      </c>
      <c r="B122" s="35" t="s">
        <v>144</v>
      </c>
      <c r="C122" s="34" t="s">
        <v>412</v>
      </c>
      <c r="D122" s="35" t="s">
        <v>145</v>
      </c>
      <c r="E122" s="35" t="s">
        <v>438</v>
      </c>
      <c r="F122" s="35" t="s">
        <v>614</v>
      </c>
      <c r="G122" s="35"/>
      <c r="H122" s="35"/>
      <c r="I122" s="35"/>
      <c r="J122" s="35"/>
      <c r="K122" s="35"/>
      <c r="L122" s="35"/>
      <c r="M122" s="35"/>
      <c r="N122" s="35"/>
      <c r="O122" s="45">
        <v>1</v>
      </c>
      <c r="P122" s="40"/>
    </row>
    <row r="123" spans="1:16" s="41" customFormat="1" ht="30" customHeight="1">
      <c r="A123" s="34"/>
      <c r="B123" s="35"/>
      <c r="C123" s="34"/>
      <c r="D123" s="35" t="s">
        <v>146</v>
      </c>
      <c r="E123" s="35"/>
      <c r="F123" s="35"/>
      <c r="G123" s="35"/>
      <c r="H123" s="35"/>
      <c r="I123" s="35"/>
      <c r="J123" s="35"/>
      <c r="K123" s="35"/>
      <c r="L123" s="35"/>
      <c r="M123" s="35"/>
      <c r="N123" s="35"/>
      <c r="O123" s="45"/>
      <c r="P123" s="40"/>
    </row>
    <row r="124" spans="1:16" s="41" customFormat="1" ht="30" customHeight="1">
      <c r="A124" s="34"/>
      <c r="B124" s="35"/>
      <c r="C124" s="34"/>
      <c r="D124" s="35" t="s">
        <v>141</v>
      </c>
      <c r="E124" s="35"/>
      <c r="F124" s="35"/>
      <c r="G124" s="35"/>
      <c r="H124" s="35"/>
      <c r="I124" s="35"/>
      <c r="J124" s="35"/>
      <c r="K124" s="35"/>
      <c r="L124" s="35"/>
      <c r="M124" s="35"/>
      <c r="N124" s="35"/>
      <c r="O124" s="45"/>
      <c r="P124" s="40"/>
    </row>
    <row r="125" spans="1:16" s="41" customFormat="1" ht="30" customHeight="1">
      <c r="A125" s="34"/>
      <c r="B125" s="35"/>
      <c r="C125" s="34"/>
      <c r="D125" s="35" t="s">
        <v>147</v>
      </c>
      <c r="E125" s="35"/>
      <c r="F125" s="35"/>
      <c r="G125" s="35"/>
      <c r="H125" s="35"/>
      <c r="I125" s="35"/>
      <c r="J125" s="35"/>
      <c r="K125" s="35"/>
      <c r="L125" s="35"/>
      <c r="M125" s="35"/>
      <c r="N125" s="35"/>
      <c r="O125" s="45"/>
      <c r="P125" s="40"/>
    </row>
    <row r="126" spans="1:16" s="41" customFormat="1" ht="30" customHeight="1">
      <c r="A126" s="34"/>
      <c r="B126" s="35"/>
      <c r="C126" s="34"/>
      <c r="D126" s="35" t="s">
        <v>142</v>
      </c>
      <c r="E126" s="35"/>
      <c r="F126" s="35"/>
      <c r="G126" s="35"/>
      <c r="H126" s="35"/>
      <c r="I126" s="35"/>
      <c r="J126" s="35"/>
      <c r="K126" s="35"/>
      <c r="L126" s="35"/>
      <c r="M126" s="35"/>
      <c r="N126" s="35"/>
      <c r="O126" s="45"/>
      <c r="P126" s="40"/>
    </row>
    <row r="127" spans="1:16" s="41" customFormat="1" ht="30" customHeight="1">
      <c r="A127" s="34"/>
      <c r="B127" s="35"/>
      <c r="C127" s="34"/>
      <c r="D127" s="35" t="s">
        <v>143</v>
      </c>
      <c r="E127" s="35"/>
      <c r="F127" s="35"/>
      <c r="G127" s="35"/>
      <c r="H127" s="35"/>
      <c r="I127" s="35"/>
      <c r="J127" s="35"/>
      <c r="K127" s="35"/>
      <c r="L127" s="35"/>
      <c r="M127" s="35"/>
      <c r="N127" s="35"/>
      <c r="O127" s="45"/>
      <c r="P127" s="40"/>
    </row>
    <row r="128" spans="1:16" s="41" customFormat="1" ht="52.5" customHeight="1">
      <c r="A128" s="42">
        <v>106</v>
      </c>
      <c r="B128" s="43" t="s">
        <v>148</v>
      </c>
      <c r="C128" s="42">
        <v>172</v>
      </c>
      <c r="D128" s="43"/>
      <c r="E128" s="43" t="s">
        <v>438</v>
      </c>
      <c r="F128" s="43" t="s">
        <v>614</v>
      </c>
      <c r="G128" s="43"/>
      <c r="H128" s="43"/>
      <c r="I128" s="43"/>
      <c r="J128" s="43"/>
      <c r="K128" s="43"/>
      <c r="L128" s="43"/>
      <c r="M128" s="43"/>
      <c r="N128" s="43"/>
      <c r="O128" s="45"/>
      <c r="P128" s="40"/>
    </row>
    <row r="129" spans="1:16" s="41" customFormat="1" ht="30" customHeight="1">
      <c r="A129" s="34">
        <v>107</v>
      </c>
      <c r="B129" s="35" t="s">
        <v>149</v>
      </c>
      <c r="C129" s="34">
        <v>204</v>
      </c>
      <c r="D129" s="35"/>
      <c r="E129" s="35" t="s">
        <v>438</v>
      </c>
      <c r="F129" s="35" t="s">
        <v>614</v>
      </c>
      <c r="G129" s="35"/>
      <c r="H129" s="35"/>
      <c r="I129" s="35"/>
      <c r="J129" s="35"/>
      <c r="K129" s="35"/>
      <c r="L129" s="35"/>
      <c r="M129" s="35"/>
      <c r="N129" s="35"/>
      <c r="O129" s="45">
        <v>1</v>
      </c>
      <c r="P129" s="40"/>
    </row>
    <row r="130" spans="1:16" s="41" customFormat="1" ht="63.75" customHeight="1">
      <c r="A130" s="48">
        <v>108</v>
      </c>
      <c r="B130" s="49" t="s">
        <v>150</v>
      </c>
      <c r="C130" s="48" t="s">
        <v>413</v>
      </c>
      <c r="D130" s="49" t="s">
        <v>139</v>
      </c>
      <c r="E130" s="49" t="s">
        <v>438</v>
      </c>
      <c r="F130" s="49" t="s">
        <v>614</v>
      </c>
      <c r="G130" s="49"/>
      <c r="H130" s="49"/>
      <c r="I130" s="49"/>
      <c r="J130" s="49"/>
      <c r="K130" s="49"/>
      <c r="L130" s="49"/>
      <c r="M130" s="49"/>
      <c r="N130" s="49"/>
      <c r="O130" s="45">
        <v>1</v>
      </c>
      <c r="P130" s="40"/>
    </row>
    <row r="131" spans="1:16" s="41" customFormat="1" ht="30" customHeight="1">
      <c r="A131" s="34">
        <v>109</v>
      </c>
      <c r="B131" s="35" t="s">
        <v>151</v>
      </c>
      <c r="C131" s="34" t="s">
        <v>414</v>
      </c>
      <c r="D131" s="35"/>
      <c r="E131" s="35" t="s">
        <v>435</v>
      </c>
      <c r="F131" s="35" t="s">
        <v>13</v>
      </c>
      <c r="G131" s="46"/>
      <c r="H131" s="44"/>
      <c r="I131" s="44"/>
      <c r="J131" s="46"/>
      <c r="K131" s="44"/>
      <c r="L131" s="44"/>
      <c r="M131" s="44"/>
      <c r="N131" s="44"/>
      <c r="O131" s="45"/>
      <c r="P131" s="40"/>
    </row>
    <row r="132" spans="1:16" s="41" customFormat="1" ht="54.75" customHeight="1">
      <c r="A132" s="42">
        <v>110</v>
      </c>
      <c r="B132" s="43" t="s">
        <v>152</v>
      </c>
      <c r="C132" s="42"/>
      <c r="D132" s="43"/>
      <c r="E132" s="43" t="s">
        <v>435</v>
      </c>
      <c r="F132" s="43" t="s">
        <v>153</v>
      </c>
      <c r="G132" s="44"/>
      <c r="H132" s="44"/>
      <c r="I132" s="44"/>
      <c r="J132" s="44"/>
      <c r="K132" s="44"/>
      <c r="L132" s="44"/>
      <c r="M132" s="44"/>
      <c r="N132" s="44"/>
      <c r="O132" s="45">
        <v>1</v>
      </c>
      <c r="P132" s="40"/>
    </row>
    <row r="133" spans="1:16" s="41" customFormat="1" ht="30" customHeight="1">
      <c r="A133" s="34">
        <v>111</v>
      </c>
      <c r="B133" s="35" t="s">
        <v>76</v>
      </c>
      <c r="C133" s="34" t="s">
        <v>415</v>
      </c>
      <c r="D133" s="35"/>
      <c r="E133" s="35" t="s">
        <v>435</v>
      </c>
      <c r="F133" s="35" t="s">
        <v>13</v>
      </c>
      <c r="G133" s="46"/>
      <c r="H133" s="44"/>
      <c r="I133" s="44"/>
      <c r="J133" s="46"/>
      <c r="K133" s="44"/>
      <c r="L133" s="44"/>
      <c r="M133" s="44"/>
      <c r="N133" s="44"/>
      <c r="O133" s="45"/>
      <c r="P133" s="40"/>
    </row>
    <row r="134" spans="1:16" s="41" customFormat="1" ht="30" customHeight="1">
      <c r="A134" s="34"/>
      <c r="B134" s="35"/>
      <c r="C134" s="34"/>
      <c r="D134" s="35"/>
      <c r="E134" s="35"/>
      <c r="F134" s="35"/>
      <c r="G134" s="46"/>
      <c r="H134" s="44"/>
      <c r="I134" s="44"/>
      <c r="J134" s="46"/>
      <c r="K134" s="44"/>
      <c r="L134" s="44"/>
      <c r="M134" s="44"/>
      <c r="N134" s="44"/>
      <c r="O134" s="45"/>
      <c r="P134" s="40"/>
    </row>
    <row r="135" spans="1:16" s="41" customFormat="1" ht="30" customHeight="1">
      <c r="A135" s="34"/>
      <c r="B135" s="35"/>
      <c r="C135" s="34"/>
      <c r="D135" s="35"/>
      <c r="E135" s="35"/>
      <c r="F135" s="35"/>
      <c r="G135" s="46"/>
      <c r="H135" s="44"/>
      <c r="I135" s="44"/>
      <c r="J135" s="46"/>
      <c r="K135" s="44"/>
      <c r="L135" s="44"/>
      <c r="M135" s="44"/>
      <c r="N135" s="44"/>
      <c r="O135" s="45"/>
      <c r="P135" s="40"/>
    </row>
    <row r="136" spans="1:16" s="41" customFormat="1" ht="30" customHeight="1">
      <c r="A136" s="48">
        <v>112</v>
      </c>
      <c r="B136" s="49" t="s">
        <v>154</v>
      </c>
      <c r="C136" s="48">
        <v>239</v>
      </c>
      <c r="D136" s="49" t="s">
        <v>155</v>
      </c>
      <c r="E136" s="49" t="s">
        <v>438</v>
      </c>
      <c r="F136" s="49" t="s">
        <v>616</v>
      </c>
      <c r="G136" s="46"/>
      <c r="H136" s="46"/>
      <c r="I136" s="46"/>
      <c r="J136" s="46"/>
      <c r="K136" s="46"/>
      <c r="L136" s="46"/>
      <c r="M136" s="46"/>
      <c r="N136" s="46"/>
      <c r="O136" s="45"/>
      <c r="P136" s="40"/>
    </row>
    <row r="137" spans="1:16" s="41" customFormat="1" ht="44.25" customHeight="1">
      <c r="A137" s="34">
        <v>113</v>
      </c>
      <c r="B137" s="35" t="s">
        <v>158</v>
      </c>
      <c r="C137" s="34"/>
      <c r="D137" s="35"/>
      <c r="E137" s="35" t="s">
        <v>435</v>
      </c>
      <c r="F137" s="35" t="s">
        <v>13</v>
      </c>
      <c r="G137" s="46"/>
      <c r="H137" s="44"/>
      <c r="I137" s="44"/>
      <c r="J137" s="46"/>
      <c r="K137" s="44"/>
      <c r="L137" s="44"/>
      <c r="M137" s="44"/>
      <c r="N137" s="44"/>
      <c r="O137" s="45"/>
      <c r="P137" s="40"/>
    </row>
    <row r="138" spans="1:16" s="41" customFormat="1" ht="30" customHeight="1">
      <c r="A138" s="42">
        <v>114</v>
      </c>
      <c r="B138" s="43" t="s">
        <v>76</v>
      </c>
      <c r="C138" s="42"/>
      <c r="D138" s="43"/>
      <c r="E138" s="43" t="s">
        <v>435</v>
      </c>
      <c r="F138" s="43" t="s">
        <v>13</v>
      </c>
      <c r="G138" s="44"/>
      <c r="H138" s="44"/>
      <c r="I138" s="44"/>
      <c r="J138" s="44"/>
      <c r="K138" s="44"/>
      <c r="L138" s="44"/>
      <c r="M138" s="44"/>
      <c r="N138" s="44"/>
      <c r="O138" s="45"/>
      <c r="P138" s="40"/>
    </row>
    <row r="139" spans="1:16" s="41" customFormat="1" ht="25.5">
      <c r="A139" s="34">
        <v>115</v>
      </c>
      <c r="B139" s="35" t="s">
        <v>159</v>
      </c>
      <c r="C139" s="34"/>
      <c r="D139" s="35" t="s">
        <v>160</v>
      </c>
      <c r="E139" s="35" t="s">
        <v>429</v>
      </c>
      <c r="F139" s="35" t="s">
        <v>616</v>
      </c>
      <c r="G139" s="44"/>
      <c r="H139" s="44"/>
      <c r="I139" s="44"/>
      <c r="J139" s="44"/>
      <c r="K139" s="44"/>
      <c r="L139" s="44"/>
      <c r="M139" s="44"/>
      <c r="N139" s="44"/>
      <c r="O139" s="45"/>
      <c r="P139" s="40"/>
    </row>
    <row r="140" spans="1:16" s="41" customFormat="1" ht="30" customHeight="1">
      <c r="A140" s="48">
        <v>116</v>
      </c>
      <c r="B140" s="49" t="s">
        <v>163</v>
      </c>
      <c r="C140" s="48"/>
      <c r="D140" s="49" t="s">
        <v>164</v>
      </c>
      <c r="E140" s="49" t="s">
        <v>429</v>
      </c>
      <c r="F140" s="49" t="s">
        <v>616</v>
      </c>
      <c r="G140" s="44"/>
      <c r="H140" s="44"/>
      <c r="I140" s="44"/>
      <c r="J140" s="44"/>
      <c r="K140" s="44"/>
      <c r="L140" s="44"/>
      <c r="M140" s="44"/>
      <c r="N140" s="44"/>
      <c r="O140" s="45"/>
      <c r="P140" s="40"/>
    </row>
    <row r="141" spans="1:16" s="41" customFormat="1" ht="30" customHeight="1">
      <c r="A141" s="34">
        <v>117</v>
      </c>
      <c r="B141" s="35" t="s">
        <v>166</v>
      </c>
      <c r="C141" s="34"/>
      <c r="D141" s="35"/>
      <c r="E141" s="35" t="s">
        <v>435</v>
      </c>
      <c r="F141" s="35" t="s">
        <v>13</v>
      </c>
      <c r="G141" s="46"/>
      <c r="H141" s="44"/>
      <c r="I141" s="44"/>
      <c r="J141" s="46"/>
      <c r="K141" s="44"/>
      <c r="L141" s="44"/>
      <c r="M141" s="44"/>
      <c r="N141" s="44"/>
      <c r="O141" s="45"/>
      <c r="P141" s="40"/>
    </row>
    <row r="142" spans="1:16" s="41" customFormat="1" ht="30" customHeight="1">
      <c r="A142" s="42">
        <v>118</v>
      </c>
      <c r="B142" s="43" t="s">
        <v>167</v>
      </c>
      <c r="C142" s="42"/>
      <c r="D142" s="43"/>
      <c r="E142" s="43" t="s">
        <v>429</v>
      </c>
      <c r="F142" s="43" t="s">
        <v>13</v>
      </c>
      <c r="G142" s="44"/>
      <c r="H142" s="44"/>
      <c r="I142" s="44"/>
      <c r="J142" s="44"/>
      <c r="K142" s="44"/>
      <c r="L142" s="44"/>
      <c r="M142" s="44"/>
      <c r="N142" s="44"/>
      <c r="O142" s="45"/>
      <c r="P142" s="40"/>
    </row>
    <row r="143" spans="1:16" s="41" customFormat="1" ht="60" customHeight="1">
      <c r="A143" s="34">
        <v>119</v>
      </c>
      <c r="B143" s="35" t="s">
        <v>152</v>
      </c>
      <c r="C143" s="34"/>
      <c r="D143" s="35"/>
      <c r="E143" s="35" t="s">
        <v>429</v>
      </c>
      <c r="F143" s="35" t="s">
        <v>13</v>
      </c>
      <c r="G143" s="46"/>
      <c r="H143" s="44"/>
      <c r="I143" s="44"/>
      <c r="J143" s="46"/>
      <c r="K143" s="44"/>
      <c r="L143" s="44"/>
      <c r="M143" s="44"/>
      <c r="N143" s="44"/>
      <c r="O143" s="45"/>
      <c r="P143" s="40"/>
    </row>
    <row r="144" spans="1:16" s="41" customFormat="1" ht="30" customHeight="1">
      <c r="A144" s="48">
        <v>120</v>
      </c>
      <c r="B144" s="49" t="s">
        <v>168</v>
      </c>
      <c r="C144" s="48" t="s">
        <v>598</v>
      </c>
      <c r="D144" s="49" t="s">
        <v>169</v>
      </c>
      <c r="E144" s="49" t="s">
        <v>438</v>
      </c>
      <c r="F144" s="49" t="s">
        <v>616</v>
      </c>
      <c r="G144" s="44"/>
      <c r="H144" s="44"/>
      <c r="I144" s="44"/>
      <c r="J144" s="44"/>
      <c r="K144" s="44"/>
      <c r="L144" s="44"/>
      <c r="M144" s="44"/>
      <c r="N144" s="44"/>
      <c r="O144" s="45">
        <v>1</v>
      </c>
      <c r="P144" s="40"/>
    </row>
    <row r="145" spans="1:16" s="41" customFormat="1" ht="30" customHeight="1">
      <c r="A145" s="34">
        <v>121</v>
      </c>
      <c r="B145" s="35" t="s">
        <v>176</v>
      </c>
      <c r="C145" s="34" t="s">
        <v>416</v>
      </c>
      <c r="D145" s="35" t="s">
        <v>177</v>
      </c>
      <c r="E145" s="35" t="s">
        <v>431</v>
      </c>
      <c r="F145" s="35" t="s">
        <v>616</v>
      </c>
      <c r="G145" s="44"/>
      <c r="H145" s="44"/>
      <c r="I145" s="44"/>
      <c r="J145" s="44"/>
      <c r="K145" s="44"/>
      <c r="L145" s="44"/>
      <c r="M145" s="44"/>
      <c r="N145" s="44"/>
      <c r="O145" s="45">
        <v>1</v>
      </c>
      <c r="P145" s="40"/>
    </row>
    <row r="146" spans="1:16" s="41" customFormat="1" ht="68.25" customHeight="1">
      <c r="A146" s="42">
        <v>122</v>
      </c>
      <c r="B146" s="43" t="s">
        <v>197</v>
      </c>
      <c r="C146" s="42">
        <v>238</v>
      </c>
      <c r="D146" s="43" t="s">
        <v>198</v>
      </c>
      <c r="E146" s="43" t="s">
        <v>431</v>
      </c>
      <c r="F146" s="43" t="s">
        <v>616</v>
      </c>
      <c r="G146" s="44"/>
      <c r="H146" s="44"/>
      <c r="I146" s="44"/>
      <c r="J146" s="44"/>
      <c r="K146" s="44"/>
      <c r="L146" s="44"/>
      <c r="M146" s="44"/>
      <c r="N146" s="44"/>
      <c r="O146" s="45"/>
      <c r="P146" s="40"/>
    </row>
    <row r="147" spans="1:16" s="41" customFormat="1" ht="25.5">
      <c r="A147" s="34">
        <v>123</v>
      </c>
      <c r="B147" s="35" t="s">
        <v>199</v>
      </c>
      <c r="C147" s="34">
        <v>240</v>
      </c>
      <c r="D147" s="35" t="s">
        <v>200</v>
      </c>
      <c r="E147" s="35" t="s">
        <v>481</v>
      </c>
      <c r="F147" s="35" t="s">
        <v>616</v>
      </c>
      <c r="G147" s="44"/>
      <c r="H147" s="44"/>
      <c r="I147" s="44"/>
      <c r="J147" s="44"/>
      <c r="K147" s="44"/>
      <c r="L147" s="44"/>
      <c r="M147" s="44"/>
      <c r="N147" s="44"/>
      <c r="O147" s="45">
        <v>1</v>
      </c>
      <c r="P147" s="40"/>
    </row>
    <row r="148" spans="1:16" s="41" customFormat="1" ht="30" customHeight="1">
      <c r="A148" s="48">
        <v>124</v>
      </c>
      <c r="B148" s="49" t="s">
        <v>202</v>
      </c>
      <c r="C148" s="48" t="s">
        <v>417</v>
      </c>
      <c r="D148" s="49" t="s">
        <v>203</v>
      </c>
      <c r="E148" s="49" t="s">
        <v>429</v>
      </c>
      <c r="F148" s="49" t="s">
        <v>616</v>
      </c>
      <c r="G148" s="44"/>
      <c r="H148" s="44"/>
      <c r="I148" s="44"/>
      <c r="J148" s="44"/>
      <c r="K148" s="44"/>
      <c r="L148" s="44"/>
      <c r="M148" s="44"/>
      <c r="N148" s="44"/>
      <c r="O148" s="45"/>
      <c r="P148" s="40"/>
    </row>
    <row r="149" spans="1:16" s="41" customFormat="1" ht="30" customHeight="1">
      <c r="A149" s="34">
        <v>125</v>
      </c>
      <c r="B149" s="35" t="s">
        <v>205</v>
      </c>
      <c r="C149" s="34" t="s">
        <v>418</v>
      </c>
      <c r="D149" s="35" t="s">
        <v>206</v>
      </c>
      <c r="E149" s="35" t="s">
        <v>438</v>
      </c>
      <c r="F149" s="35" t="s">
        <v>616</v>
      </c>
      <c r="G149" s="44"/>
      <c r="H149" s="44"/>
      <c r="I149" s="44"/>
      <c r="J149" s="44"/>
      <c r="K149" s="44"/>
      <c r="L149" s="44"/>
      <c r="M149" s="44"/>
      <c r="N149" s="44"/>
      <c r="O149" s="45">
        <v>1</v>
      </c>
      <c r="P149" s="40"/>
    </row>
    <row r="150" spans="1:16" s="41" customFormat="1" ht="30" customHeight="1">
      <c r="A150" s="42">
        <v>126</v>
      </c>
      <c r="B150" s="43" t="s">
        <v>214</v>
      </c>
      <c r="C150" s="42">
        <v>247</v>
      </c>
      <c r="D150" s="43" t="s">
        <v>215</v>
      </c>
      <c r="E150" s="43" t="s">
        <v>431</v>
      </c>
      <c r="F150" s="43" t="s">
        <v>616</v>
      </c>
      <c r="G150" s="44"/>
      <c r="H150" s="44"/>
      <c r="I150" s="44"/>
      <c r="J150" s="44"/>
      <c r="K150" s="44"/>
      <c r="L150" s="44"/>
      <c r="M150" s="44"/>
      <c r="N150" s="44"/>
      <c r="O150" s="45">
        <v>1</v>
      </c>
      <c r="P150" s="40"/>
    </row>
    <row r="151" spans="1:16" s="41" customFormat="1" ht="30" customHeight="1">
      <c r="A151" s="34">
        <v>127</v>
      </c>
      <c r="B151" s="35" t="s">
        <v>76</v>
      </c>
      <c r="C151" s="34"/>
      <c r="D151" s="35"/>
      <c r="E151" s="35" t="s">
        <v>435</v>
      </c>
      <c r="F151" s="35" t="s">
        <v>13</v>
      </c>
      <c r="G151" s="46"/>
      <c r="H151" s="44"/>
      <c r="I151" s="44"/>
      <c r="J151" s="46"/>
      <c r="K151" s="44"/>
      <c r="L151" s="44"/>
      <c r="M151" s="44"/>
      <c r="N151" s="44"/>
      <c r="O151" s="45"/>
      <c r="P151" s="40"/>
    </row>
    <row r="152" spans="1:16" s="41" customFormat="1" ht="30" customHeight="1">
      <c r="A152" s="48">
        <v>128</v>
      </c>
      <c r="B152" s="49" t="s">
        <v>106</v>
      </c>
      <c r="C152" s="48"/>
      <c r="D152" s="49"/>
      <c r="E152" s="49" t="s">
        <v>438</v>
      </c>
      <c r="F152" s="49"/>
      <c r="G152" s="29" t="s">
        <v>105</v>
      </c>
      <c r="H152" s="49" t="s">
        <v>440</v>
      </c>
      <c r="I152" s="49" t="s">
        <v>595</v>
      </c>
      <c r="J152" s="29" t="s">
        <v>468</v>
      </c>
      <c r="K152" s="49"/>
      <c r="L152" s="29" t="s">
        <v>105</v>
      </c>
      <c r="M152" s="49" t="s">
        <v>613</v>
      </c>
      <c r="N152" s="50"/>
      <c r="O152" s="45"/>
      <c r="P152" s="40"/>
    </row>
    <row r="153" spans="1:16" s="41" customFormat="1" ht="30" customHeight="1">
      <c r="A153" s="51"/>
      <c r="B153" s="52"/>
      <c r="C153" s="51"/>
      <c r="D153" s="52"/>
      <c r="E153" s="52"/>
      <c r="F153" s="52"/>
      <c r="G153" s="53" t="s">
        <v>119</v>
      </c>
      <c r="H153" s="52"/>
      <c r="I153" s="52"/>
      <c r="J153" s="53"/>
      <c r="K153" s="52"/>
      <c r="L153" s="53" t="s">
        <v>119</v>
      </c>
      <c r="M153" s="52"/>
      <c r="N153" s="54"/>
      <c r="O153" s="45"/>
      <c r="P153" s="40"/>
    </row>
    <row r="154" spans="1:16" s="41" customFormat="1" ht="30" customHeight="1">
      <c r="A154" s="34">
        <v>129</v>
      </c>
      <c r="B154" s="35" t="s">
        <v>216</v>
      </c>
      <c r="C154" s="34" t="s">
        <v>419</v>
      </c>
      <c r="D154" s="35"/>
      <c r="E154" s="35" t="s">
        <v>438</v>
      </c>
      <c r="F154" s="35"/>
      <c r="G154" s="35" t="s">
        <v>105</v>
      </c>
      <c r="H154" s="35" t="s">
        <v>440</v>
      </c>
      <c r="I154" s="35" t="s">
        <v>595</v>
      </c>
      <c r="J154" s="35" t="s">
        <v>468</v>
      </c>
      <c r="K154" s="35"/>
      <c r="L154" s="35" t="s">
        <v>105</v>
      </c>
      <c r="M154" s="35" t="s">
        <v>613</v>
      </c>
      <c r="N154" s="47"/>
      <c r="O154" s="45"/>
      <c r="P154" s="40"/>
    </row>
    <row r="155" spans="1:16" s="41" customFormat="1" ht="30" customHeight="1">
      <c r="A155" s="34"/>
      <c r="B155" s="35"/>
      <c r="C155" s="34"/>
      <c r="D155" s="35"/>
      <c r="E155" s="35"/>
      <c r="F155" s="35"/>
      <c r="G155" s="35" t="s">
        <v>119</v>
      </c>
      <c r="H155" s="35"/>
      <c r="I155" s="35"/>
      <c r="J155" s="35"/>
      <c r="K155" s="35"/>
      <c r="L155" s="35" t="s">
        <v>119</v>
      </c>
      <c r="M155" s="35"/>
      <c r="N155" s="47"/>
      <c r="O155" s="45"/>
      <c r="P155" s="40"/>
    </row>
    <row r="156" spans="1:16" s="41" customFormat="1" ht="30" customHeight="1">
      <c r="A156" s="42">
        <v>130</v>
      </c>
      <c r="B156" s="43" t="s">
        <v>76</v>
      </c>
      <c r="C156" s="42"/>
      <c r="D156" s="43"/>
      <c r="E156" s="43" t="s">
        <v>435</v>
      </c>
      <c r="F156" s="43" t="s">
        <v>13</v>
      </c>
      <c r="G156" s="44"/>
      <c r="H156" s="44"/>
      <c r="I156" s="44"/>
      <c r="J156" s="44"/>
      <c r="K156" s="44"/>
      <c r="L156" s="44"/>
      <c r="M156" s="44"/>
      <c r="N156" s="44"/>
      <c r="O156" s="45"/>
      <c r="P156" s="40"/>
    </row>
    <row r="157" spans="1:16" s="41" customFormat="1" ht="30" customHeight="1">
      <c r="A157" s="34">
        <v>131</v>
      </c>
      <c r="B157" s="35" t="s">
        <v>217</v>
      </c>
      <c r="C157" s="34">
        <v>253</v>
      </c>
      <c r="D157" s="35"/>
      <c r="E157" s="35" t="s">
        <v>435</v>
      </c>
      <c r="F157" s="35" t="s">
        <v>13</v>
      </c>
      <c r="G157" s="46"/>
      <c r="H157" s="44"/>
      <c r="I157" s="44"/>
      <c r="J157" s="46"/>
      <c r="K157" s="44"/>
      <c r="L157" s="44"/>
      <c r="M157" s="44"/>
      <c r="N157" s="44"/>
      <c r="O157" s="45"/>
      <c r="P157" s="40"/>
    </row>
    <row r="158" spans="1:16" s="41" customFormat="1" ht="30" customHeight="1">
      <c r="A158" s="48">
        <v>132</v>
      </c>
      <c r="B158" s="49" t="s">
        <v>218</v>
      </c>
      <c r="C158" s="48"/>
      <c r="D158" s="49" t="s">
        <v>219</v>
      </c>
      <c r="E158" s="49" t="s">
        <v>437</v>
      </c>
      <c r="F158" s="49"/>
      <c r="G158" s="29" t="s">
        <v>63</v>
      </c>
      <c r="H158" s="49" t="s">
        <v>441</v>
      </c>
      <c r="I158" s="49" t="s">
        <v>595</v>
      </c>
      <c r="J158" s="29" t="s">
        <v>459</v>
      </c>
      <c r="K158" s="49" t="s">
        <v>563</v>
      </c>
      <c r="L158" s="29" t="s">
        <v>63</v>
      </c>
      <c r="M158" s="49" t="s">
        <v>443</v>
      </c>
      <c r="N158" s="50"/>
      <c r="O158" s="45"/>
      <c r="P158" s="40"/>
    </row>
    <row r="159" spans="1:16" s="41" customFormat="1" ht="30" customHeight="1">
      <c r="A159" s="55"/>
      <c r="B159" s="56"/>
      <c r="C159" s="55"/>
      <c r="D159" s="56"/>
      <c r="E159" s="56"/>
      <c r="F159" s="56"/>
      <c r="G159" s="57" t="s">
        <v>220</v>
      </c>
      <c r="H159" s="56"/>
      <c r="I159" s="56"/>
      <c r="J159" s="57"/>
      <c r="K159" s="56"/>
      <c r="L159" s="57" t="s">
        <v>220</v>
      </c>
      <c r="M159" s="56"/>
      <c r="N159" s="58"/>
      <c r="O159" s="45"/>
      <c r="P159" s="40"/>
    </row>
    <row r="160" spans="1:16" s="41" customFormat="1" ht="30" customHeight="1">
      <c r="A160" s="55"/>
      <c r="B160" s="56"/>
      <c r="C160" s="55"/>
      <c r="D160" s="56"/>
      <c r="E160" s="56"/>
      <c r="F160" s="56"/>
      <c r="G160" s="57" t="s">
        <v>79</v>
      </c>
      <c r="H160" s="56"/>
      <c r="I160" s="56"/>
      <c r="J160" s="57"/>
      <c r="K160" s="56"/>
      <c r="L160" s="57" t="s">
        <v>79</v>
      </c>
      <c r="M160" s="56"/>
      <c r="N160" s="58"/>
      <c r="O160" s="45"/>
      <c r="P160" s="40"/>
    </row>
    <row r="161" spans="1:16" s="41" customFormat="1" ht="30" customHeight="1">
      <c r="A161" s="55"/>
      <c r="B161" s="56"/>
      <c r="C161" s="55"/>
      <c r="D161" s="56"/>
      <c r="E161" s="56"/>
      <c r="F161" s="56"/>
      <c r="G161" s="57" t="s">
        <v>585</v>
      </c>
      <c r="H161" s="56"/>
      <c r="I161" s="56"/>
      <c r="J161" s="57"/>
      <c r="K161" s="56"/>
      <c r="L161" s="57" t="s">
        <v>585</v>
      </c>
      <c r="M161" s="56"/>
      <c r="N161" s="58"/>
      <c r="O161" s="45"/>
      <c r="P161" s="40"/>
    </row>
    <row r="162" spans="1:16" s="41" customFormat="1" ht="30" customHeight="1">
      <c r="A162" s="55"/>
      <c r="B162" s="56"/>
      <c r="C162" s="55"/>
      <c r="D162" s="56"/>
      <c r="E162" s="56"/>
      <c r="F162" s="56"/>
      <c r="G162" s="57" t="s">
        <v>221</v>
      </c>
      <c r="H162" s="56"/>
      <c r="I162" s="56"/>
      <c r="J162" s="57"/>
      <c r="K162" s="56"/>
      <c r="L162" s="57" t="s">
        <v>221</v>
      </c>
      <c r="M162" s="56"/>
      <c r="N162" s="58"/>
      <c r="O162" s="45"/>
      <c r="P162" s="40"/>
    </row>
    <row r="163" spans="1:16" s="41" customFormat="1" ht="30" customHeight="1">
      <c r="A163" s="55"/>
      <c r="B163" s="56"/>
      <c r="C163" s="55"/>
      <c r="D163" s="56"/>
      <c r="E163" s="56"/>
      <c r="F163" s="56"/>
      <c r="G163" s="57" t="s">
        <v>222</v>
      </c>
      <c r="H163" s="56"/>
      <c r="I163" s="56"/>
      <c r="J163" s="57"/>
      <c r="K163" s="56"/>
      <c r="L163" s="57" t="s">
        <v>222</v>
      </c>
      <c r="M163" s="56"/>
      <c r="N163" s="58"/>
      <c r="O163" s="45"/>
      <c r="P163" s="40"/>
    </row>
    <row r="164" spans="1:16" s="41" customFormat="1" ht="30" customHeight="1">
      <c r="A164" s="55"/>
      <c r="B164" s="56"/>
      <c r="C164" s="55"/>
      <c r="D164" s="56"/>
      <c r="E164" s="56"/>
      <c r="F164" s="56"/>
      <c r="G164" s="57" t="s">
        <v>64</v>
      </c>
      <c r="H164" s="56"/>
      <c r="I164" s="56"/>
      <c r="J164" s="57"/>
      <c r="K164" s="56"/>
      <c r="L164" s="57" t="s">
        <v>64</v>
      </c>
      <c r="M164" s="56"/>
      <c r="N164" s="58"/>
      <c r="O164" s="45"/>
      <c r="P164" s="40"/>
    </row>
    <row r="165" spans="1:16" s="41" customFormat="1" ht="30" customHeight="1">
      <c r="A165" s="51"/>
      <c r="B165" s="52"/>
      <c r="C165" s="51"/>
      <c r="D165" s="52"/>
      <c r="E165" s="52"/>
      <c r="F165" s="52"/>
      <c r="G165" s="53" t="s">
        <v>223</v>
      </c>
      <c r="H165" s="52"/>
      <c r="I165" s="52"/>
      <c r="J165" s="53"/>
      <c r="K165" s="52"/>
      <c r="L165" s="53" t="s">
        <v>223</v>
      </c>
      <c r="M165" s="52"/>
      <c r="N165" s="54"/>
      <c r="O165" s="45"/>
      <c r="P165" s="40"/>
    </row>
    <row r="166" spans="1:16" s="41" customFormat="1" ht="30" customHeight="1">
      <c r="A166" s="34">
        <v>133</v>
      </c>
      <c r="B166" s="35" t="s">
        <v>224</v>
      </c>
      <c r="C166" s="34"/>
      <c r="D166" s="35"/>
      <c r="E166" s="35" t="s">
        <v>437</v>
      </c>
      <c r="F166" s="35" t="s">
        <v>35</v>
      </c>
      <c r="G166" s="46"/>
      <c r="H166" s="44"/>
      <c r="I166" s="44"/>
      <c r="J166" s="46"/>
      <c r="K166" s="44"/>
      <c r="L166" s="44"/>
      <c r="M166" s="44"/>
      <c r="N166" s="44"/>
      <c r="O166" s="45"/>
      <c r="P166" s="40"/>
    </row>
    <row r="167" spans="1:16" s="41" customFormat="1" ht="30" customHeight="1">
      <c r="A167" s="48">
        <v>134</v>
      </c>
      <c r="B167" s="29" t="s">
        <v>225</v>
      </c>
      <c r="C167" s="29"/>
      <c r="D167" s="29"/>
      <c r="E167" s="29" t="s">
        <v>437</v>
      </c>
      <c r="F167" s="29"/>
      <c r="G167" s="29" t="s">
        <v>220</v>
      </c>
      <c r="H167" s="49" t="s">
        <v>441</v>
      </c>
      <c r="I167" s="49" t="s">
        <v>595</v>
      </c>
      <c r="J167" s="29" t="s">
        <v>459</v>
      </c>
      <c r="K167" s="49" t="s">
        <v>563</v>
      </c>
      <c r="L167" s="29" t="s">
        <v>220</v>
      </c>
      <c r="M167" s="29" t="s">
        <v>443</v>
      </c>
      <c r="N167" s="67"/>
      <c r="O167" s="45"/>
      <c r="P167" s="40"/>
    </row>
    <row r="168" spans="1:16" s="41" customFormat="1" ht="30" customHeight="1">
      <c r="A168" s="55"/>
      <c r="B168" s="57"/>
      <c r="C168" s="57"/>
      <c r="D168" s="57"/>
      <c r="E168" s="57"/>
      <c r="F168" s="57"/>
      <c r="G168" s="57" t="s">
        <v>79</v>
      </c>
      <c r="H168" s="57"/>
      <c r="I168" s="57"/>
      <c r="J168" s="57"/>
      <c r="K168" s="57"/>
      <c r="L168" s="57" t="s">
        <v>79</v>
      </c>
      <c r="M168" s="57"/>
      <c r="N168" s="68"/>
      <c r="O168" s="45"/>
      <c r="P168" s="40"/>
    </row>
    <row r="169" spans="1:16" s="41" customFormat="1" ht="30" customHeight="1">
      <c r="A169" s="55"/>
      <c r="B169" s="57"/>
      <c r="C169" s="57"/>
      <c r="D169" s="57"/>
      <c r="E169" s="57"/>
      <c r="F169" s="57"/>
      <c r="G169" s="57" t="s">
        <v>585</v>
      </c>
      <c r="H169" s="57"/>
      <c r="I169" s="57"/>
      <c r="J169" s="57"/>
      <c r="K169" s="57"/>
      <c r="L169" s="57" t="s">
        <v>585</v>
      </c>
      <c r="M169" s="57"/>
      <c r="N169" s="68"/>
      <c r="O169" s="45"/>
      <c r="P169" s="40"/>
    </row>
    <row r="170" spans="1:16" s="41" customFormat="1" ht="30" customHeight="1">
      <c r="A170" s="55"/>
      <c r="B170" s="57"/>
      <c r="C170" s="57"/>
      <c r="D170" s="57"/>
      <c r="E170" s="57"/>
      <c r="F170" s="57"/>
      <c r="G170" s="57" t="s">
        <v>221</v>
      </c>
      <c r="H170" s="57"/>
      <c r="I170" s="57"/>
      <c r="J170" s="57"/>
      <c r="K170" s="57"/>
      <c r="L170" s="57" t="s">
        <v>221</v>
      </c>
      <c r="M170" s="57"/>
      <c r="N170" s="68"/>
      <c r="O170" s="45"/>
      <c r="P170" s="40"/>
    </row>
    <row r="171" spans="1:16" s="41" customFormat="1" ht="30" customHeight="1">
      <c r="A171" s="55"/>
      <c r="B171" s="57"/>
      <c r="C171" s="57"/>
      <c r="D171" s="57"/>
      <c r="E171" s="57"/>
      <c r="F171" s="57"/>
      <c r="G171" s="57" t="s">
        <v>222</v>
      </c>
      <c r="H171" s="57"/>
      <c r="I171" s="57"/>
      <c r="J171" s="57"/>
      <c r="K171" s="57"/>
      <c r="L171" s="57" t="s">
        <v>222</v>
      </c>
      <c r="M171" s="57"/>
      <c r="N171" s="68"/>
      <c r="O171" s="45"/>
      <c r="P171" s="40"/>
    </row>
    <row r="172" spans="1:16" s="41" customFormat="1" ht="30" customHeight="1">
      <c r="A172" s="55"/>
      <c r="B172" s="57"/>
      <c r="C172" s="57"/>
      <c r="D172" s="57"/>
      <c r="E172" s="57"/>
      <c r="F172" s="57"/>
      <c r="G172" s="57" t="s">
        <v>64</v>
      </c>
      <c r="H172" s="57"/>
      <c r="I172" s="57"/>
      <c r="J172" s="57"/>
      <c r="K172" s="57"/>
      <c r="L172" s="57" t="s">
        <v>64</v>
      </c>
      <c r="M172" s="57"/>
      <c r="N172" s="68"/>
      <c r="O172" s="45"/>
      <c r="P172" s="40"/>
    </row>
    <row r="173" spans="1:16" s="41" customFormat="1" ht="30" customHeight="1">
      <c r="A173" s="51"/>
      <c r="B173" s="53"/>
      <c r="C173" s="53"/>
      <c r="D173" s="53"/>
      <c r="E173" s="53"/>
      <c r="F173" s="53"/>
      <c r="G173" s="53" t="s">
        <v>223</v>
      </c>
      <c r="H173" s="53"/>
      <c r="I173" s="53"/>
      <c r="J173" s="53"/>
      <c r="K173" s="53"/>
      <c r="L173" s="53" t="s">
        <v>223</v>
      </c>
      <c r="M173" s="53"/>
      <c r="N173" s="69"/>
      <c r="O173" s="45"/>
      <c r="P173" s="40"/>
    </row>
    <row r="174" spans="1:16" s="41" customFormat="1" ht="30" customHeight="1">
      <c r="A174" s="34">
        <v>135</v>
      </c>
      <c r="B174" s="35" t="s">
        <v>76</v>
      </c>
      <c r="C174" s="34" t="s">
        <v>420</v>
      </c>
      <c r="D174" s="35"/>
      <c r="E174" s="35" t="s">
        <v>435</v>
      </c>
      <c r="F174" s="35" t="s">
        <v>13</v>
      </c>
      <c r="G174" s="46"/>
      <c r="H174" s="44"/>
      <c r="I174" s="44"/>
      <c r="J174" s="46"/>
      <c r="K174" s="44"/>
      <c r="L174" s="44"/>
      <c r="M174" s="44"/>
      <c r="N174" s="44"/>
      <c r="O174" s="45"/>
      <c r="P174" s="40"/>
    </row>
    <row r="175" spans="1:16" s="41" customFormat="1" ht="75.75" customHeight="1">
      <c r="A175" s="42">
        <v>136</v>
      </c>
      <c r="B175" s="43" t="s">
        <v>226</v>
      </c>
      <c r="C175" s="42"/>
      <c r="D175" s="43"/>
      <c r="E175" s="43" t="s">
        <v>428</v>
      </c>
      <c r="F175" s="43"/>
      <c r="G175" s="43" t="s">
        <v>534</v>
      </c>
      <c r="H175" s="43"/>
      <c r="I175" s="43"/>
      <c r="J175" s="43"/>
      <c r="K175" s="43" t="s">
        <v>605</v>
      </c>
      <c r="L175" s="43"/>
      <c r="M175" s="43"/>
      <c r="N175" s="43"/>
      <c r="O175" s="45"/>
      <c r="P175" s="40"/>
    </row>
    <row r="176" spans="1:16" s="41" customFormat="1" ht="30" customHeight="1">
      <c r="A176" s="34">
        <v>137</v>
      </c>
      <c r="B176" s="35" t="s">
        <v>227</v>
      </c>
      <c r="C176" s="34"/>
      <c r="D176" s="35"/>
      <c r="E176" s="35" t="s">
        <v>431</v>
      </c>
      <c r="F176" s="35" t="s">
        <v>442</v>
      </c>
      <c r="G176" s="46"/>
      <c r="H176" s="44"/>
      <c r="I176" s="44"/>
      <c r="J176" s="46"/>
      <c r="K176" s="44"/>
      <c r="L176" s="44"/>
      <c r="M176" s="44"/>
      <c r="N176" s="44"/>
      <c r="O176" s="45"/>
      <c r="P176" s="40"/>
    </row>
    <row r="177" spans="1:16" s="41" customFormat="1" ht="30" customHeight="1">
      <c r="A177" s="48">
        <v>138</v>
      </c>
      <c r="B177" s="49" t="s">
        <v>228</v>
      </c>
      <c r="C177" s="48" t="s">
        <v>421</v>
      </c>
      <c r="D177" s="49"/>
      <c r="E177" s="43" t="s">
        <v>438</v>
      </c>
      <c r="F177" s="43"/>
      <c r="G177" s="29"/>
      <c r="H177" s="49"/>
      <c r="I177" s="49"/>
      <c r="J177" s="29"/>
      <c r="K177" s="49" t="s">
        <v>590</v>
      </c>
      <c r="L177" s="49"/>
      <c r="M177" s="49"/>
      <c r="N177" s="50"/>
      <c r="O177" s="45">
        <v>1</v>
      </c>
      <c r="P177" s="40"/>
    </row>
    <row r="178" spans="1:16" s="41" customFormat="1" ht="30" customHeight="1">
      <c r="A178" s="34">
        <v>139</v>
      </c>
      <c r="B178" s="35" t="s">
        <v>229</v>
      </c>
      <c r="C178" s="34"/>
      <c r="D178" s="35"/>
      <c r="E178" s="35" t="s">
        <v>438</v>
      </c>
      <c r="F178" s="35"/>
      <c r="G178" s="80"/>
      <c r="H178" s="35"/>
      <c r="I178" s="80"/>
      <c r="J178" s="80"/>
      <c r="K178" s="80" t="s">
        <v>590</v>
      </c>
      <c r="L178" s="35"/>
      <c r="M178" s="35"/>
      <c r="N178" s="47"/>
      <c r="O178" s="45">
        <v>1</v>
      </c>
      <c r="P178" s="40"/>
    </row>
    <row r="179" spans="1:16" s="41" customFormat="1" ht="30" customHeight="1">
      <c r="A179" s="42">
        <v>140</v>
      </c>
      <c r="B179" s="43" t="s">
        <v>230</v>
      </c>
      <c r="C179" s="42"/>
      <c r="D179" s="43"/>
      <c r="E179" s="43" t="s">
        <v>435</v>
      </c>
      <c r="F179" s="43" t="s">
        <v>35</v>
      </c>
      <c r="G179" s="44"/>
      <c r="H179" s="44"/>
      <c r="I179" s="44"/>
      <c r="J179" s="44"/>
      <c r="K179" s="44"/>
      <c r="L179" s="44"/>
      <c r="M179" s="44"/>
      <c r="N179" s="44"/>
      <c r="O179" s="45"/>
      <c r="P179" s="40"/>
    </row>
    <row r="180" spans="1:16" s="41" customFormat="1" ht="30" customHeight="1">
      <c r="A180" s="34">
        <v>141</v>
      </c>
      <c r="B180" s="35" t="s">
        <v>231</v>
      </c>
      <c r="C180" s="34"/>
      <c r="D180" s="35"/>
      <c r="E180" s="35" t="s">
        <v>435</v>
      </c>
      <c r="F180" s="35" t="s">
        <v>35</v>
      </c>
      <c r="G180" s="46"/>
      <c r="H180" s="44"/>
      <c r="I180" s="44"/>
      <c r="J180" s="46"/>
      <c r="K180" s="44"/>
      <c r="L180" s="44"/>
      <c r="M180" s="44"/>
      <c r="N180" s="44"/>
      <c r="O180" s="45"/>
      <c r="P180" s="40"/>
    </row>
    <row r="181" spans="1:16" s="41" customFormat="1" ht="30" customHeight="1">
      <c r="A181" s="42">
        <v>142</v>
      </c>
      <c r="B181" s="43" t="s">
        <v>232</v>
      </c>
      <c r="C181" s="42"/>
      <c r="D181" s="43"/>
      <c r="E181" s="43" t="s">
        <v>435</v>
      </c>
      <c r="F181" s="43" t="s">
        <v>442</v>
      </c>
      <c r="G181" s="44"/>
      <c r="H181" s="44"/>
      <c r="I181" s="44"/>
      <c r="J181" s="44"/>
      <c r="K181" s="44"/>
      <c r="L181" s="44"/>
      <c r="M181" s="44"/>
      <c r="N181" s="44"/>
      <c r="O181" s="45"/>
      <c r="P181" s="40"/>
    </row>
    <row r="182" spans="1:16" s="41" customFormat="1" ht="30" customHeight="1">
      <c r="A182" s="34">
        <v>143</v>
      </c>
      <c r="B182" s="35" t="s">
        <v>76</v>
      </c>
      <c r="C182" s="34"/>
      <c r="D182" s="35"/>
      <c r="E182" s="35" t="s">
        <v>435</v>
      </c>
      <c r="F182" s="35" t="s">
        <v>13</v>
      </c>
      <c r="G182" s="46"/>
      <c r="H182" s="44"/>
      <c r="I182" s="44"/>
      <c r="J182" s="46"/>
      <c r="K182" s="44"/>
      <c r="L182" s="44"/>
      <c r="M182" s="44"/>
      <c r="N182" s="44"/>
      <c r="O182" s="45"/>
      <c r="P182" s="40"/>
    </row>
    <row r="183" spans="1:16" s="41" customFormat="1" ht="30" customHeight="1">
      <c r="A183" s="42">
        <v>144</v>
      </c>
      <c r="B183" s="43" t="s">
        <v>233</v>
      </c>
      <c r="C183" s="42"/>
      <c r="D183" s="43"/>
      <c r="E183" s="43" t="s">
        <v>435</v>
      </c>
      <c r="F183" s="43" t="s">
        <v>35</v>
      </c>
      <c r="G183" s="44"/>
      <c r="H183" s="44"/>
      <c r="I183" s="44"/>
      <c r="J183" s="44"/>
      <c r="K183" s="44"/>
      <c r="L183" s="44"/>
      <c r="M183" s="44"/>
      <c r="N183" s="44"/>
      <c r="O183" s="45"/>
      <c r="P183" s="40"/>
    </row>
    <row r="184" spans="1:16" s="41" customFormat="1" ht="30" customHeight="1">
      <c r="A184" s="34">
        <v>145</v>
      </c>
      <c r="B184" s="35" t="s">
        <v>234</v>
      </c>
      <c r="C184" s="34"/>
      <c r="D184" s="35"/>
      <c r="E184" s="35" t="s">
        <v>435</v>
      </c>
      <c r="F184" s="35" t="s">
        <v>235</v>
      </c>
      <c r="G184" s="46"/>
      <c r="H184" s="44"/>
      <c r="I184" s="44"/>
      <c r="J184" s="46"/>
      <c r="K184" s="44"/>
      <c r="L184" s="44"/>
      <c r="M184" s="44"/>
      <c r="N184" s="44"/>
      <c r="O184" s="45"/>
      <c r="P184" s="40"/>
    </row>
    <row r="185" spans="1:16" s="41" customFormat="1" ht="30" customHeight="1">
      <c r="A185" s="42">
        <v>146</v>
      </c>
      <c r="B185" s="43" t="s">
        <v>236</v>
      </c>
      <c r="C185" s="42"/>
      <c r="D185" s="43"/>
      <c r="E185" s="43" t="s">
        <v>435</v>
      </c>
      <c r="F185" s="43" t="s">
        <v>235</v>
      </c>
      <c r="G185" s="44"/>
      <c r="H185" s="44"/>
      <c r="I185" s="44"/>
      <c r="J185" s="44"/>
      <c r="K185" s="44"/>
      <c r="L185" s="44"/>
      <c r="M185" s="44"/>
      <c r="N185" s="44"/>
      <c r="O185" s="45"/>
      <c r="P185" s="40"/>
    </row>
    <row r="186" spans="1:16" s="41" customFormat="1" ht="30" customHeight="1">
      <c r="A186" s="34">
        <v>147</v>
      </c>
      <c r="B186" s="35" t="s">
        <v>237</v>
      </c>
      <c r="C186" s="34"/>
      <c r="D186" s="35"/>
      <c r="E186" s="35" t="s">
        <v>435</v>
      </c>
      <c r="F186" s="35" t="s">
        <v>235</v>
      </c>
      <c r="G186" s="46"/>
      <c r="H186" s="44"/>
      <c r="I186" s="44"/>
      <c r="J186" s="46"/>
      <c r="K186" s="44"/>
      <c r="L186" s="44"/>
      <c r="M186" s="44"/>
      <c r="N186" s="44"/>
      <c r="O186" s="45"/>
      <c r="P186" s="40"/>
    </row>
    <row r="187" spans="1:16" s="41" customFormat="1" ht="30" customHeight="1">
      <c r="A187" s="42">
        <v>148</v>
      </c>
      <c r="B187" s="43" t="s">
        <v>238</v>
      </c>
      <c r="C187" s="42"/>
      <c r="D187" s="43"/>
      <c r="E187" s="43" t="s">
        <v>435</v>
      </c>
      <c r="F187" s="43" t="s">
        <v>235</v>
      </c>
      <c r="G187" s="44"/>
      <c r="H187" s="44"/>
      <c r="I187" s="44"/>
      <c r="J187" s="44"/>
      <c r="K187" s="44"/>
      <c r="L187" s="44"/>
      <c r="M187" s="44"/>
      <c r="N187" s="44"/>
      <c r="O187" s="45"/>
      <c r="P187" s="40"/>
    </row>
    <row r="188" spans="1:16" s="41" customFormat="1" ht="30" customHeight="1">
      <c r="A188" s="34">
        <v>149</v>
      </c>
      <c r="B188" s="35" t="s">
        <v>239</v>
      </c>
      <c r="C188" s="34"/>
      <c r="D188" s="35"/>
      <c r="E188" s="35" t="s">
        <v>435</v>
      </c>
      <c r="F188" s="35" t="s">
        <v>235</v>
      </c>
      <c r="G188" s="46"/>
      <c r="H188" s="44"/>
      <c r="I188" s="44"/>
      <c r="J188" s="46"/>
      <c r="K188" s="44"/>
      <c r="L188" s="44"/>
      <c r="M188" s="44"/>
      <c r="N188" s="44"/>
      <c r="O188" s="45"/>
      <c r="P188" s="40"/>
    </row>
    <row r="189" spans="1:16" s="41" customFormat="1" ht="30" customHeight="1">
      <c r="A189" s="42">
        <v>150</v>
      </c>
      <c r="B189" s="43" t="s">
        <v>240</v>
      </c>
      <c r="C189" s="42"/>
      <c r="D189" s="43"/>
      <c r="E189" s="43" t="s">
        <v>435</v>
      </c>
      <c r="F189" s="43" t="s">
        <v>235</v>
      </c>
      <c r="G189" s="44"/>
      <c r="H189" s="44"/>
      <c r="I189" s="44"/>
      <c r="J189" s="44"/>
      <c r="K189" s="44"/>
      <c r="L189" s="44"/>
      <c r="M189" s="44"/>
      <c r="N189" s="44"/>
      <c r="O189" s="45"/>
      <c r="P189" s="40"/>
    </row>
    <row r="190" spans="1:16" s="41" customFormat="1" ht="30" customHeight="1">
      <c r="A190" s="34">
        <v>151</v>
      </c>
      <c r="B190" s="35" t="s">
        <v>241</v>
      </c>
      <c r="C190" s="34"/>
      <c r="D190" s="35"/>
      <c r="E190" s="35" t="s">
        <v>435</v>
      </c>
      <c r="F190" s="35" t="s">
        <v>235</v>
      </c>
      <c r="G190" s="46"/>
      <c r="H190" s="44"/>
      <c r="I190" s="44"/>
      <c r="J190" s="46"/>
      <c r="K190" s="44"/>
      <c r="L190" s="44"/>
      <c r="M190" s="44"/>
      <c r="N190" s="44"/>
      <c r="O190" s="45"/>
      <c r="P190" s="40"/>
    </row>
    <row r="191" spans="1:16" s="41" customFormat="1" ht="30" customHeight="1">
      <c r="A191" s="42">
        <v>152</v>
      </c>
      <c r="B191" s="43" t="s">
        <v>242</v>
      </c>
      <c r="C191" s="42"/>
      <c r="D191" s="43"/>
      <c r="E191" s="43" t="s">
        <v>435</v>
      </c>
      <c r="F191" s="43" t="s">
        <v>235</v>
      </c>
      <c r="G191" s="44"/>
      <c r="H191" s="44"/>
      <c r="I191" s="44"/>
      <c r="J191" s="44"/>
      <c r="K191" s="44"/>
      <c r="L191" s="44"/>
      <c r="M191" s="44"/>
      <c r="N191" s="44"/>
      <c r="O191" s="45"/>
      <c r="P191" s="40"/>
    </row>
    <row r="192" spans="1:16" s="41" customFormat="1" ht="30" customHeight="1">
      <c r="A192" s="34">
        <v>153</v>
      </c>
      <c r="B192" s="35" t="s">
        <v>243</v>
      </c>
      <c r="C192" s="34" t="s">
        <v>422</v>
      </c>
      <c r="D192" s="35"/>
      <c r="E192" s="35" t="s">
        <v>435</v>
      </c>
      <c r="F192" s="35" t="s">
        <v>235</v>
      </c>
      <c r="G192" s="46"/>
      <c r="H192" s="44"/>
      <c r="I192" s="44"/>
      <c r="J192" s="46"/>
      <c r="K192" s="44"/>
      <c r="L192" s="44"/>
      <c r="M192" s="44"/>
      <c r="N192" s="44"/>
      <c r="O192" s="45"/>
      <c r="P192" s="40"/>
    </row>
    <row r="193" spans="1:16" s="41" customFormat="1" ht="30" customHeight="1">
      <c r="A193" s="42">
        <v>154</v>
      </c>
      <c r="B193" s="43" t="s">
        <v>244</v>
      </c>
      <c r="C193" s="42"/>
      <c r="D193" s="43"/>
      <c r="E193" s="43" t="s">
        <v>435</v>
      </c>
      <c r="F193" s="43" t="s">
        <v>235</v>
      </c>
      <c r="G193" s="44"/>
      <c r="H193" s="44"/>
      <c r="I193" s="44"/>
      <c r="J193" s="44"/>
      <c r="K193" s="44"/>
      <c r="L193" s="44"/>
      <c r="M193" s="44"/>
      <c r="N193" s="44"/>
      <c r="O193" s="45"/>
      <c r="P193" s="40"/>
    </row>
    <row r="194" spans="1:16" s="41" customFormat="1" ht="30" customHeight="1">
      <c r="A194" s="34">
        <v>155</v>
      </c>
      <c r="B194" s="35" t="s">
        <v>245</v>
      </c>
      <c r="C194" s="34"/>
      <c r="D194" s="35"/>
      <c r="E194" s="35" t="s">
        <v>435</v>
      </c>
      <c r="F194" s="35" t="s">
        <v>235</v>
      </c>
      <c r="G194" s="46"/>
      <c r="H194" s="44"/>
      <c r="I194" s="44"/>
      <c r="J194" s="46"/>
      <c r="K194" s="44"/>
      <c r="L194" s="44"/>
      <c r="M194" s="44"/>
      <c r="N194" s="44"/>
      <c r="O194" s="45"/>
      <c r="P194" s="40"/>
    </row>
    <row r="195" spans="1:16" s="41" customFormat="1" ht="30" customHeight="1">
      <c r="A195" s="42">
        <v>156</v>
      </c>
      <c r="B195" s="43" t="s">
        <v>246</v>
      </c>
      <c r="C195" s="42"/>
      <c r="D195" s="43"/>
      <c r="E195" s="43" t="s">
        <v>435</v>
      </c>
      <c r="F195" s="43" t="s">
        <v>235</v>
      </c>
      <c r="G195" s="44"/>
      <c r="H195" s="44"/>
      <c r="I195" s="44"/>
      <c r="J195" s="44"/>
      <c r="K195" s="44"/>
      <c r="L195" s="44"/>
      <c r="M195" s="44"/>
      <c r="N195" s="44"/>
      <c r="O195" s="45"/>
      <c r="P195" s="40"/>
    </row>
    <row r="196" spans="1:16" s="41" customFormat="1" ht="30" customHeight="1">
      <c r="A196" s="34">
        <v>157</v>
      </c>
      <c r="B196" s="35" t="s">
        <v>247</v>
      </c>
      <c r="C196" s="34"/>
      <c r="D196" s="35"/>
      <c r="E196" s="35" t="s">
        <v>435</v>
      </c>
      <c r="F196" s="35" t="s">
        <v>235</v>
      </c>
      <c r="G196" s="46"/>
      <c r="H196" s="44"/>
      <c r="I196" s="44"/>
      <c r="J196" s="46"/>
      <c r="K196" s="44"/>
      <c r="L196" s="44"/>
      <c r="M196" s="44"/>
      <c r="N196" s="44"/>
      <c r="O196" s="45"/>
      <c r="P196" s="40"/>
    </row>
    <row r="197" spans="1:16" s="41" customFormat="1" ht="30" customHeight="1">
      <c r="A197" s="42">
        <v>158</v>
      </c>
      <c r="B197" s="43" t="s">
        <v>248</v>
      </c>
      <c r="C197" s="42"/>
      <c r="D197" s="43"/>
      <c r="E197" s="43" t="s">
        <v>435</v>
      </c>
      <c r="F197" s="43" t="s">
        <v>235</v>
      </c>
      <c r="G197" s="44"/>
      <c r="H197" s="44"/>
      <c r="I197" s="44"/>
      <c r="J197" s="44"/>
      <c r="K197" s="44"/>
      <c r="L197" s="44"/>
      <c r="M197" s="44"/>
      <c r="N197" s="44"/>
      <c r="O197" s="45"/>
      <c r="P197" s="40"/>
    </row>
    <row r="198" spans="1:16" s="41" customFormat="1" ht="30" customHeight="1">
      <c r="A198" s="34">
        <v>159</v>
      </c>
      <c r="B198" s="35" t="s">
        <v>249</v>
      </c>
      <c r="C198" s="34"/>
      <c r="D198" s="35"/>
      <c r="E198" s="35" t="s">
        <v>435</v>
      </c>
      <c r="F198" s="35" t="s">
        <v>235</v>
      </c>
      <c r="G198" s="46"/>
      <c r="H198" s="44"/>
      <c r="I198" s="44"/>
      <c r="J198" s="46"/>
      <c r="K198" s="44"/>
      <c r="L198" s="44"/>
      <c r="M198" s="44"/>
      <c r="N198" s="44"/>
      <c r="O198" s="45"/>
      <c r="P198" s="40"/>
    </row>
    <row r="199" spans="1:16" s="41" customFormat="1" ht="30" customHeight="1">
      <c r="A199" s="42">
        <v>160</v>
      </c>
      <c r="B199" s="43" t="s">
        <v>250</v>
      </c>
      <c r="C199" s="42"/>
      <c r="D199" s="43"/>
      <c r="E199" s="43" t="s">
        <v>435</v>
      </c>
      <c r="F199" s="43" t="s">
        <v>235</v>
      </c>
      <c r="G199" s="44"/>
      <c r="H199" s="44"/>
      <c r="I199" s="44"/>
      <c r="J199" s="44"/>
      <c r="K199" s="44"/>
      <c r="L199" s="44"/>
      <c r="M199" s="44"/>
      <c r="N199" s="44"/>
      <c r="O199" s="45"/>
      <c r="P199" s="40"/>
    </row>
    <row r="200" spans="1:16" s="41" customFormat="1" ht="30" customHeight="1">
      <c r="A200" s="34">
        <v>161</v>
      </c>
      <c r="B200" s="35" t="s">
        <v>251</v>
      </c>
      <c r="C200" s="34"/>
      <c r="D200" s="35"/>
      <c r="E200" s="35" t="s">
        <v>435</v>
      </c>
      <c r="F200" s="35" t="s">
        <v>235</v>
      </c>
      <c r="G200" s="46"/>
      <c r="H200" s="44"/>
      <c r="I200" s="44"/>
      <c r="J200" s="46"/>
      <c r="K200" s="44"/>
      <c r="L200" s="44"/>
      <c r="M200" s="44"/>
      <c r="N200" s="44"/>
      <c r="O200" s="45"/>
      <c r="P200" s="40"/>
    </row>
    <row r="201" spans="1:16" s="41" customFormat="1" ht="30" customHeight="1">
      <c r="A201" s="42">
        <v>162</v>
      </c>
      <c r="B201" s="43" t="s">
        <v>252</v>
      </c>
      <c r="C201" s="42"/>
      <c r="D201" s="43"/>
      <c r="E201" s="43" t="s">
        <v>435</v>
      </c>
      <c r="F201" s="43" t="s">
        <v>235</v>
      </c>
      <c r="G201" s="44"/>
      <c r="H201" s="44"/>
      <c r="I201" s="44"/>
      <c r="J201" s="44"/>
      <c r="K201" s="44"/>
      <c r="L201" s="44"/>
      <c r="M201" s="44"/>
      <c r="N201" s="44"/>
      <c r="O201" s="45"/>
      <c r="P201" s="40"/>
    </row>
    <row r="202" spans="1:16" s="41" customFormat="1" ht="30" customHeight="1">
      <c r="A202" s="34">
        <v>163</v>
      </c>
      <c r="B202" s="35" t="s">
        <v>253</v>
      </c>
      <c r="C202" s="34"/>
      <c r="D202" s="35"/>
      <c r="E202" s="35" t="s">
        <v>435</v>
      </c>
      <c r="F202" s="35" t="s">
        <v>235</v>
      </c>
      <c r="G202" s="46"/>
      <c r="H202" s="44"/>
      <c r="I202" s="44"/>
      <c r="J202" s="46"/>
      <c r="K202" s="44"/>
      <c r="L202" s="44"/>
      <c r="M202" s="44"/>
      <c r="N202" s="44"/>
      <c r="O202" s="45"/>
      <c r="P202" s="40"/>
    </row>
    <row r="203" spans="1:16" s="41" customFormat="1" ht="30" customHeight="1">
      <c r="A203" s="42">
        <v>164</v>
      </c>
      <c r="B203" s="43" t="s">
        <v>56</v>
      </c>
      <c r="C203" s="42"/>
      <c r="D203" s="43"/>
      <c r="E203" s="43" t="s">
        <v>435</v>
      </c>
      <c r="F203" s="43" t="s">
        <v>235</v>
      </c>
      <c r="G203" s="44"/>
      <c r="H203" s="44"/>
      <c r="I203" s="44"/>
      <c r="J203" s="44"/>
      <c r="K203" s="44"/>
      <c r="L203" s="44"/>
      <c r="M203" s="44"/>
      <c r="N203" s="44"/>
      <c r="O203" s="45"/>
      <c r="P203" s="40"/>
    </row>
    <row r="204" spans="1:16" s="41" customFormat="1" ht="30" customHeight="1">
      <c r="A204" s="34">
        <v>165</v>
      </c>
      <c r="B204" s="35" t="s">
        <v>254</v>
      </c>
      <c r="C204" s="34"/>
      <c r="D204" s="35"/>
      <c r="E204" s="35" t="s">
        <v>435</v>
      </c>
      <c r="F204" s="35" t="s">
        <v>235</v>
      </c>
      <c r="G204" s="46"/>
      <c r="H204" s="44"/>
      <c r="I204" s="44"/>
      <c r="J204" s="46"/>
      <c r="K204" s="44"/>
      <c r="L204" s="44"/>
      <c r="M204" s="44"/>
      <c r="N204" s="44"/>
      <c r="O204" s="45"/>
      <c r="P204" s="40"/>
    </row>
    <row r="205" spans="1:16" s="41" customFormat="1" ht="30" customHeight="1">
      <c r="A205" s="42">
        <v>166</v>
      </c>
      <c r="B205" s="43" t="s">
        <v>255</v>
      </c>
      <c r="C205" s="42"/>
      <c r="D205" s="43"/>
      <c r="E205" s="43" t="s">
        <v>435</v>
      </c>
      <c r="F205" s="43" t="s">
        <v>235</v>
      </c>
      <c r="G205" s="44"/>
      <c r="H205" s="44"/>
      <c r="I205" s="44"/>
      <c r="J205" s="44"/>
      <c r="K205" s="44"/>
      <c r="L205" s="44"/>
      <c r="M205" s="44"/>
      <c r="N205" s="44"/>
      <c r="O205" s="45"/>
      <c r="P205" s="40"/>
    </row>
    <row r="206" spans="1:16" s="41" customFormat="1" ht="30" customHeight="1">
      <c r="A206" s="34">
        <v>167</v>
      </c>
      <c r="B206" s="35" t="s">
        <v>256</v>
      </c>
      <c r="C206" s="34"/>
      <c r="D206" s="35"/>
      <c r="E206" s="35" t="s">
        <v>435</v>
      </c>
      <c r="F206" s="35" t="s">
        <v>235</v>
      </c>
      <c r="G206" s="46"/>
      <c r="H206" s="44"/>
      <c r="I206" s="44"/>
      <c r="J206" s="46"/>
      <c r="K206" s="44"/>
      <c r="L206" s="44"/>
      <c r="M206" s="44"/>
      <c r="N206" s="44"/>
      <c r="O206" s="45"/>
      <c r="P206" s="40"/>
    </row>
    <row r="207" spans="1:16" s="41" customFormat="1" ht="30" customHeight="1">
      <c r="A207" s="42">
        <v>168</v>
      </c>
      <c r="B207" s="43" t="s">
        <v>257</v>
      </c>
      <c r="C207" s="42"/>
      <c r="D207" s="43"/>
      <c r="E207" s="43" t="s">
        <v>435</v>
      </c>
      <c r="F207" s="43" t="s">
        <v>235</v>
      </c>
      <c r="G207" s="44"/>
      <c r="H207" s="44"/>
      <c r="I207" s="44"/>
      <c r="J207" s="44"/>
      <c r="K207" s="44"/>
      <c r="L207" s="44"/>
      <c r="M207" s="44"/>
      <c r="N207" s="44"/>
      <c r="O207" s="45"/>
      <c r="P207" s="40"/>
    </row>
    <row r="208" spans="1:16" s="41" customFormat="1" ht="30" customHeight="1">
      <c r="A208" s="34">
        <v>169</v>
      </c>
      <c r="B208" s="35" t="s">
        <v>258</v>
      </c>
      <c r="C208" s="34"/>
      <c r="D208" s="35"/>
      <c r="E208" s="35" t="s">
        <v>435</v>
      </c>
      <c r="F208" s="35" t="s">
        <v>235</v>
      </c>
      <c r="G208" s="46"/>
      <c r="H208" s="44"/>
      <c r="I208" s="44"/>
      <c r="J208" s="46"/>
      <c r="K208" s="44"/>
      <c r="L208" s="44"/>
      <c r="M208" s="44"/>
      <c r="N208" s="44"/>
      <c r="O208" s="45"/>
      <c r="P208" s="40"/>
    </row>
    <row r="209" spans="1:16" s="41" customFormat="1" ht="30" customHeight="1">
      <c r="A209" s="42">
        <v>170</v>
      </c>
      <c r="B209" s="43" t="s">
        <v>259</v>
      </c>
      <c r="C209" s="42"/>
      <c r="D209" s="43"/>
      <c r="E209" s="43" t="s">
        <v>435</v>
      </c>
      <c r="F209" s="43" t="s">
        <v>235</v>
      </c>
      <c r="G209" s="44"/>
      <c r="H209" s="44"/>
      <c r="I209" s="44"/>
      <c r="J209" s="44"/>
      <c r="K209" s="44"/>
      <c r="L209" s="44"/>
      <c r="M209" s="44"/>
      <c r="N209" s="44"/>
      <c r="O209" s="45"/>
      <c r="P209" s="40"/>
    </row>
    <row r="210" spans="1:16" s="41" customFormat="1" ht="30" customHeight="1">
      <c r="A210" s="34">
        <v>171</v>
      </c>
      <c r="B210" s="35" t="s">
        <v>260</v>
      </c>
      <c r="C210" s="34"/>
      <c r="D210" s="35"/>
      <c r="E210" s="35" t="s">
        <v>435</v>
      </c>
      <c r="F210" s="35" t="s">
        <v>235</v>
      </c>
      <c r="G210" s="46"/>
      <c r="H210" s="44"/>
      <c r="I210" s="44"/>
      <c r="J210" s="46"/>
      <c r="K210" s="44"/>
      <c r="L210" s="44"/>
      <c r="M210" s="44"/>
      <c r="N210" s="44"/>
      <c r="O210" s="45"/>
      <c r="P210" s="40"/>
    </row>
    <row r="211" spans="1:16" s="41" customFormat="1" ht="30" customHeight="1">
      <c r="A211" s="42">
        <v>172</v>
      </c>
      <c r="B211" s="43" t="s">
        <v>261</v>
      </c>
      <c r="C211" s="42"/>
      <c r="D211" s="43"/>
      <c r="E211" s="43" t="s">
        <v>435</v>
      </c>
      <c r="F211" s="43" t="s">
        <v>235</v>
      </c>
      <c r="G211" s="44"/>
      <c r="H211" s="44"/>
      <c r="I211" s="44"/>
      <c r="J211" s="44"/>
      <c r="K211" s="44"/>
      <c r="L211" s="44"/>
      <c r="M211" s="44"/>
      <c r="N211" s="44"/>
      <c r="O211" s="45"/>
      <c r="P211" s="40"/>
    </row>
    <row r="212" spans="1:16" s="41" customFormat="1" ht="30" customHeight="1">
      <c r="A212" s="34">
        <v>173</v>
      </c>
      <c r="B212" s="35" t="s">
        <v>262</v>
      </c>
      <c r="C212" s="34"/>
      <c r="D212" s="35"/>
      <c r="E212" s="35" t="s">
        <v>435</v>
      </c>
      <c r="F212" s="35" t="s">
        <v>235</v>
      </c>
      <c r="G212" s="46"/>
      <c r="H212" s="44"/>
      <c r="I212" s="44"/>
      <c r="J212" s="46"/>
      <c r="K212" s="44"/>
      <c r="L212" s="44"/>
      <c r="M212" s="44"/>
      <c r="N212" s="44"/>
      <c r="O212" s="45"/>
      <c r="P212" s="40"/>
    </row>
    <row r="213" spans="1:16" s="41" customFormat="1" ht="30" customHeight="1">
      <c r="A213" s="42">
        <v>174</v>
      </c>
      <c r="B213" s="43" t="s">
        <v>263</v>
      </c>
      <c r="C213" s="42"/>
      <c r="D213" s="43"/>
      <c r="E213" s="43" t="s">
        <v>435</v>
      </c>
      <c r="F213" s="43" t="s">
        <v>235</v>
      </c>
      <c r="G213" s="44"/>
      <c r="H213" s="44"/>
      <c r="I213" s="44"/>
      <c r="J213" s="44"/>
      <c r="K213" s="44"/>
      <c r="L213" s="44"/>
      <c r="M213" s="44"/>
      <c r="N213" s="44"/>
      <c r="O213" s="45"/>
      <c r="P213" s="40"/>
    </row>
    <row r="214" spans="1:16" s="41" customFormat="1" ht="30" customHeight="1">
      <c r="A214" s="34">
        <v>175</v>
      </c>
      <c r="B214" s="35" t="s">
        <v>260</v>
      </c>
      <c r="C214" s="34"/>
      <c r="D214" s="35"/>
      <c r="E214" s="35" t="s">
        <v>435</v>
      </c>
      <c r="F214" s="35" t="s">
        <v>235</v>
      </c>
      <c r="G214" s="46"/>
      <c r="H214" s="44"/>
      <c r="I214" s="44"/>
      <c r="J214" s="46"/>
      <c r="K214" s="44"/>
      <c r="L214" s="44"/>
      <c r="M214" s="44"/>
      <c r="N214" s="44"/>
      <c r="O214" s="45"/>
      <c r="P214" s="40"/>
    </row>
    <row r="215" spans="1:16" s="41" customFormat="1" ht="30" customHeight="1">
      <c r="A215" s="42">
        <v>176</v>
      </c>
      <c r="B215" s="43" t="s">
        <v>264</v>
      </c>
      <c r="C215" s="42"/>
      <c r="D215" s="43"/>
      <c r="E215" s="43" t="s">
        <v>435</v>
      </c>
      <c r="F215" s="43" t="s">
        <v>235</v>
      </c>
      <c r="G215" s="44"/>
      <c r="H215" s="44"/>
      <c r="I215" s="44"/>
      <c r="J215" s="44"/>
      <c r="K215" s="44"/>
      <c r="L215" s="44"/>
      <c r="M215" s="44"/>
      <c r="N215" s="44"/>
      <c r="O215" s="45"/>
      <c r="P215" s="40"/>
    </row>
    <row r="216" spans="1:16" s="41" customFormat="1" ht="30" customHeight="1">
      <c r="A216" s="34">
        <v>177</v>
      </c>
      <c r="B216" s="35" t="s">
        <v>265</v>
      </c>
      <c r="C216" s="34"/>
      <c r="D216" s="35"/>
      <c r="E216" s="35" t="s">
        <v>435</v>
      </c>
      <c r="F216" s="35" t="s">
        <v>235</v>
      </c>
      <c r="G216" s="46"/>
      <c r="H216" s="44"/>
      <c r="I216" s="44"/>
      <c r="J216" s="46"/>
      <c r="K216" s="44"/>
      <c r="L216" s="44"/>
      <c r="M216" s="44"/>
      <c r="N216" s="44"/>
      <c r="O216" s="45"/>
      <c r="P216" s="40"/>
    </row>
    <row r="217" spans="1:16" s="41" customFormat="1" ht="30" customHeight="1">
      <c r="A217" s="42">
        <v>178</v>
      </c>
      <c r="B217" s="43" t="s">
        <v>266</v>
      </c>
      <c r="C217" s="42"/>
      <c r="D217" s="43"/>
      <c r="E217" s="43" t="s">
        <v>435</v>
      </c>
      <c r="F217" s="43" t="s">
        <v>123</v>
      </c>
      <c r="G217" s="44"/>
      <c r="H217" s="44"/>
      <c r="I217" s="44"/>
      <c r="J217" s="44"/>
      <c r="K217" s="44"/>
      <c r="L217" s="44"/>
      <c r="M217" s="44"/>
      <c r="N217" s="44"/>
      <c r="O217" s="45"/>
      <c r="P217" s="40"/>
    </row>
    <row r="218" spans="1:16" s="41" customFormat="1" ht="30" customHeight="1">
      <c r="A218" s="34">
        <v>179</v>
      </c>
      <c r="B218" s="35" t="s">
        <v>267</v>
      </c>
      <c r="C218" s="34"/>
      <c r="D218" s="35"/>
      <c r="E218" s="35" t="s">
        <v>435</v>
      </c>
      <c r="F218" s="35" t="s">
        <v>123</v>
      </c>
      <c r="G218" s="46"/>
      <c r="H218" s="44"/>
      <c r="I218" s="44"/>
      <c r="J218" s="46"/>
      <c r="K218" s="44"/>
      <c r="L218" s="44"/>
      <c r="M218" s="44"/>
      <c r="N218" s="44"/>
      <c r="O218" s="45"/>
      <c r="P218" s="40"/>
    </row>
    <row r="219" spans="1:16" s="41" customFormat="1" ht="30" customHeight="1">
      <c r="A219" s="42">
        <v>180</v>
      </c>
      <c r="B219" s="43" t="s">
        <v>268</v>
      </c>
      <c r="C219" s="42"/>
      <c r="D219" s="43"/>
      <c r="E219" s="43" t="s">
        <v>435</v>
      </c>
      <c r="F219" s="43" t="s">
        <v>123</v>
      </c>
      <c r="G219" s="44"/>
      <c r="H219" s="44"/>
      <c r="I219" s="44"/>
      <c r="J219" s="44"/>
      <c r="K219" s="44"/>
      <c r="L219" s="44"/>
      <c r="M219" s="44"/>
      <c r="N219" s="44"/>
      <c r="O219" s="45"/>
      <c r="P219" s="40"/>
    </row>
    <row r="220" spans="1:16" s="41" customFormat="1" ht="30" customHeight="1">
      <c r="A220" s="34">
        <v>181</v>
      </c>
      <c r="B220" s="35" t="s">
        <v>269</v>
      </c>
      <c r="C220" s="34"/>
      <c r="D220" s="35"/>
      <c r="E220" s="35" t="s">
        <v>435</v>
      </c>
      <c r="F220" s="35" t="s">
        <v>123</v>
      </c>
      <c r="G220" s="46"/>
      <c r="H220" s="44"/>
      <c r="I220" s="44"/>
      <c r="J220" s="46"/>
      <c r="K220" s="44"/>
      <c r="L220" s="44"/>
      <c r="M220" s="44"/>
      <c r="N220" s="44"/>
      <c r="O220" s="45"/>
      <c r="P220" s="40"/>
    </row>
    <row r="221" spans="1:16" s="41" customFormat="1" ht="30" customHeight="1">
      <c r="A221" s="42">
        <v>182</v>
      </c>
      <c r="B221" s="43" t="s">
        <v>270</v>
      </c>
      <c r="C221" s="42"/>
      <c r="D221" s="43"/>
      <c r="E221" s="43" t="s">
        <v>435</v>
      </c>
      <c r="F221" s="43" t="s">
        <v>123</v>
      </c>
      <c r="G221" s="44"/>
      <c r="H221" s="44"/>
      <c r="I221" s="44"/>
      <c r="J221" s="44"/>
      <c r="K221" s="44"/>
      <c r="L221" s="44"/>
      <c r="M221" s="44"/>
      <c r="N221" s="44"/>
      <c r="O221" s="45"/>
      <c r="P221" s="40"/>
    </row>
    <row r="222" spans="1:16" s="33" customFormat="1" ht="38.25">
      <c r="A222" s="34">
        <v>183</v>
      </c>
      <c r="B222" s="35" t="s">
        <v>271</v>
      </c>
      <c r="C222" s="34"/>
      <c r="D222" s="35"/>
      <c r="E222" s="35" t="s">
        <v>428</v>
      </c>
      <c r="F222" s="35"/>
      <c r="G222" s="35"/>
      <c r="H222" s="35"/>
      <c r="I222" s="35" t="s">
        <v>595</v>
      </c>
      <c r="J222" s="35" t="s">
        <v>468</v>
      </c>
      <c r="K222" s="35" t="s">
        <v>600</v>
      </c>
      <c r="L222" s="30"/>
      <c r="M222" s="30"/>
      <c r="N222" s="31"/>
      <c r="O222" s="78"/>
      <c r="P222" s="32"/>
    </row>
    <row r="223" spans="1:16" s="33" customFormat="1" ht="51">
      <c r="A223" s="42">
        <v>184</v>
      </c>
      <c r="B223" s="43" t="s">
        <v>272</v>
      </c>
      <c r="C223" s="42"/>
      <c r="D223" s="43"/>
      <c r="E223" s="43" t="s">
        <v>428</v>
      </c>
      <c r="F223" s="43"/>
      <c r="G223" s="43"/>
      <c r="H223" s="43"/>
      <c r="I223" s="43" t="s">
        <v>595</v>
      </c>
      <c r="J223" s="43" t="s">
        <v>468</v>
      </c>
      <c r="K223" s="43" t="s">
        <v>600</v>
      </c>
      <c r="L223" s="36"/>
      <c r="M223" s="36"/>
      <c r="N223" s="79"/>
      <c r="O223" s="78"/>
      <c r="P223" s="32"/>
    </row>
    <row r="224" spans="1:16" s="33" customFormat="1" ht="49.5" customHeight="1">
      <c r="A224" s="34">
        <v>185</v>
      </c>
      <c r="B224" s="35" t="s">
        <v>273</v>
      </c>
      <c r="C224" s="34"/>
      <c r="D224" s="35"/>
      <c r="E224" s="35" t="s">
        <v>428</v>
      </c>
      <c r="F224" s="35" t="s">
        <v>586</v>
      </c>
      <c r="G224" s="35"/>
      <c r="H224" s="35"/>
      <c r="I224" s="35" t="s">
        <v>595</v>
      </c>
      <c r="J224" s="35" t="s">
        <v>468</v>
      </c>
      <c r="K224" s="35" t="s">
        <v>600</v>
      </c>
      <c r="L224" s="30"/>
      <c r="M224" s="30"/>
      <c r="N224" s="31"/>
      <c r="O224" s="78"/>
      <c r="P224" s="32"/>
    </row>
    <row r="225" spans="1:16" s="33" customFormat="1" ht="45.75" customHeight="1">
      <c r="A225" s="42">
        <v>186</v>
      </c>
      <c r="B225" s="43" t="s">
        <v>274</v>
      </c>
      <c r="C225" s="42"/>
      <c r="D225" s="43"/>
      <c r="E225" s="43" t="s">
        <v>428</v>
      </c>
      <c r="F225" s="43" t="s">
        <v>586</v>
      </c>
      <c r="G225" s="43"/>
      <c r="H225" s="43"/>
      <c r="I225" s="43" t="s">
        <v>595</v>
      </c>
      <c r="J225" s="43" t="s">
        <v>468</v>
      </c>
      <c r="K225" s="43" t="s">
        <v>600</v>
      </c>
      <c r="L225" s="36"/>
      <c r="M225" s="36"/>
      <c r="N225" s="79"/>
      <c r="O225" s="78"/>
      <c r="P225" s="32"/>
    </row>
    <row r="226" spans="1:16" s="33" customFormat="1" ht="30" customHeight="1">
      <c r="A226" s="34">
        <v>187</v>
      </c>
      <c r="B226" s="35" t="s">
        <v>275</v>
      </c>
      <c r="C226" s="34"/>
      <c r="D226" s="35"/>
      <c r="E226" s="35" t="s">
        <v>428</v>
      </c>
      <c r="F226" s="35" t="s">
        <v>588</v>
      </c>
      <c r="G226" s="44"/>
      <c r="H226" s="44"/>
      <c r="I226" s="44"/>
      <c r="J226" s="44"/>
      <c r="K226" s="44"/>
      <c r="L226" s="44"/>
      <c r="M226" s="44"/>
      <c r="N226" s="44"/>
      <c r="O226" s="78"/>
      <c r="P226" s="32"/>
    </row>
    <row r="227" spans="1:16" s="33" customFormat="1" ht="30" customHeight="1">
      <c r="A227" s="42">
        <v>188</v>
      </c>
      <c r="B227" s="43" t="s">
        <v>276</v>
      </c>
      <c r="C227" s="42"/>
      <c r="D227" s="43"/>
      <c r="E227" s="43" t="s">
        <v>428</v>
      </c>
      <c r="F227" s="43" t="s">
        <v>588</v>
      </c>
      <c r="G227" s="44"/>
      <c r="H227" s="44"/>
      <c r="I227" s="44"/>
      <c r="J227" s="44"/>
      <c r="K227" s="44"/>
      <c r="L227" s="44"/>
      <c r="M227" s="44"/>
      <c r="N227" s="44"/>
      <c r="O227" s="78"/>
      <c r="P227" s="32"/>
    </row>
    <row r="228" spans="1:16" s="33" customFormat="1" ht="30" customHeight="1">
      <c r="A228" s="34">
        <v>189</v>
      </c>
      <c r="B228" s="35" t="s">
        <v>277</v>
      </c>
      <c r="C228" s="34"/>
      <c r="D228" s="35"/>
      <c r="E228" s="35" t="s">
        <v>428</v>
      </c>
      <c r="F228" s="35"/>
      <c r="G228" s="35"/>
      <c r="H228" s="35"/>
      <c r="I228" s="35"/>
      <c r="J228" s="35"/>
      <c r="K228" s="35" t="s">
        <v>587</v>
      </c>
      <c r="L228" s="30"/>
      <c r="M228" s="30"/>
      <c r="N228" s="31"/>
      <c r="O228" s="78"/>
      <c r="P228" s="32"/>
    </row>
    <row r="229" spans="1:16" s="41" customFormat="1" ht="30" customHeight="1">
      <c r="A229" s="42">
        <v>190</v>
      </c>
      <c r="B229" s="43" t="s">
        <v>278</v>
      </c>
      <c r="C229" s="42"/>
      <c r="D229" s="43"/>
      <c r="E229" s="43" t="s">
        <v>435</v>
      </c>
      <c r="F229" s="43" t="s">
        <v>123</v>
      </c>
      <c r="G229" s="44"/>
      <c r="H229" s="44"/>
      <c r="I229" s="44"/>
      <c r="J229" s="44"/>
      <c r="K229" s="44"/>
      <c r="L229" s="44"/>
      <c r="M229" s="44"/>
      <c r="N229" s="44"/>
      <c r="O229" s="45"/>
      <c r="P229" s="40"/>
    </row>
    <row r="230" spans="1:16" s="41" customFormat="1" ht="30" customHeight="1">
      <c r="A230" s="34">
        <v>191</v>
      </c>
      <c r="B230" s="35" t="s">
        <v>279</v>
      </c>
      <c r="C230" s="34"/>
      <c r="D230" s="35"/>
      <c r="E230" s="35" t="s">
        <v>435</v>
      </c>
      <c r="F230" s="35" t="s">
        <v>123</v>
      </c>
      <c r="G230" s="46"/>
      <c r="H230" s="44"/>
      <c r="I230" s="44"/>
      <c r="J230" s="46"/>
      <c r="K230" s="44"/>
      <c r="L230" s="44"/>
      <c r="M230" s="44"/>
      <c r="N230" s="44"/>
      <c r="O230" s="45"/>
      <c r="P230" s="40"/>
    </row>
    <row r="231" spans="1:16" s="41" customFormat="1" ht="30" customHeight="1">
      <c r="A231" s="48">
        <v>192</v>
      </c>
      <c r="B231" s="49" t="s">
        <v>254</v>
      </c>
      <c r="C231" s="48">
        <v>68</v>
      </c>
      <c r="D231" s="49"/>
      <c r="E231" s="49" t="s">
        <v>435</v>
      </c>
      <c r="F231" s="49" t="s">
        <v>123</v>
      </c>
      <c r="G231" s="38"/>
      <c r="H231" s="44"/>
      <c r="I231" s="44"/>
      <c r="J231" s="38"/>
      <c r="K231" s="44"/>
      <c r="L231" s="44"/>
      <c r="M231" s="44"/>
      <c r="N231" s="44"/>
      <c r="O231" s="45"/>
      <c r="P231" s="40"/>
    </row>
    <row r="232" spans="1:16" s="41" customFormat="1" ht="30" customHeight="1">
      <c r="A232" s="51"/>
      <c r="B232" s="52"/>
      <c r="C232" s="51"/>
      <c r="D232" s="52"/>
      <c r="E232" s="52" t="s">
        <v>435</v>
      </c>
      <c r="F232" s="52"/>
      <c r="G232" s="70"/>
      <c r="H232" s="44"/>
      <c r="I232" s="44"/>
      <c r="J232" s="70"/>
      <c r="K232" s="44"/>
      <c r="L232" s="44"/>
      <c r="M232" s="44"/>
      <c r="N232" s="44"/>
      <c r="O232" s="45"/>
      <c r="P232" s="40"/>
    </row>
    <row r="233" spans="1:16" s="41" customFormat="1" ht="30" customHeight="1">
      <c r="A233" s="34">
        <v>193</v>
      </c>
      <c r="B233" s="35" t="s">
        <v>280</v>
      </c>
      <c r="C233" s="34"/>
      <c r="D233" s="35"/>
      <c r="E233" s="35" t="s">
        <v>435</v>
      </c>
      <c r="F233" s="35" t="s">
        <v>123</v>
      </c>
      <c r="G233" s="46"/>
      <c r="H233" s="44"/>
      <c r="I233" s="44"/>
      <c r="J233" s="46"/>
      <c r="K233" s="44"/>
      <c r="L233" s="44"/>
      <c r="M233" s="44"/>
      <c r="N233" s="44"/>
      <c r="O233" s="45"/>
      <c r="P233" s="40"/>
    </row>
    <row r="234" spans="1:16" s="41" customFormat="1" ht="30" customHeight="1">
      <c r="A234" s="42">
        <v>194</v>
      </c>
      <c r="B234" s="43" t="s">
        <v>281</v>
      </c>
      <c r="C234" s="42"/>
      <c r="D234" s="43"/>
      <c r="E234" s="43" t="s">
        <v>435</v>
      </c>
      <c r="F234" s="43" t="s">
        <v>123</v>
      </c>
      <c r="G234" s="44"/>
      <c r="H234" s="44"/>
      <c r="I234" s="44"/>
      <c r="J234" s="44"/>
      <c r="K234" s="44"/>
      <c r="L234" s="44"/>
      <c r="M234" s="44"/>
      <c r="N234" s="44"/>
      <c r="O234" s="45"/>
      <c r="P234" s="40"/>
    </row>
    <row r="235" spans="1:16" s="41" customFormat="1" ht="30" customHeight="1">
      <c r="A235" s="34">
        <v>195</v>
      </c>
      <c r="B235" s="35" t="s">
        <v>282</v>
      </c>
      <c r="C235" s="34"/>
      <c r="D235" s="35"/>
      <c r="E235" s="35" t="s">
        <v>435</v>
      </c>
      <c r="F235" s="35" t="s">
        <v>35</v>
      </c>
      <c r="G235" s="46"/>
      <c r="H235" s="44"/>
      <c r="I235" s="44"/>
      <c r="J235" s="46"/>
      <c r="K235" s="44"/>
      <c r="L235" s="44"/>
      <c r="M235" s="44"/>
      <c r="N235" s="44"/>
      <c r="O235" s="45"/>
      <c r="P235" s="40"/>
    </row>
    <row r="236" spans="1:16" s="41" customFormat="1" ht="30" customHeight="1">
      <c r="A236" s="42">
        <v>196</v>
      </c>
      <c r="B236" s="43" t="s">
        <v>283</v>
      </c>
      <c r="C236" s="42"/>
      <c r="D236" s="43"/>
      <c r="E236" s="43" t="s">
        <v>435</v>
      </c>
      <c r="F236" s="43" t="s">
        <v>35</v>
      </c>
      <c r="G236" s="44"/>
      <c r="H236" s="44"/>
      <c r="I236" s="44"/>
      <c r="J236" s="44"/>
      <c r="K236" s="44"/>
      <c r="L236" s="44"/>
      <c r="M236" s="44"/>
      <c r="N236" s="44"/>
      <c r="O236" s="45"/>
      <c r="P236" s="40"/>
    </row>
    <row r="237" spans="1:16" s="41" customFormat="1" ht="30" customHeight="1">
      <c r="A237" s="34">
        <v>197</v>
      </c>
      <c r="B237" s="35" t="s">
        <v>284</v>
      </c>
      <c r="C237" s="34"/>
      <c r="D237" s="35"/>
      <c r="E237" s="35" t="s">
        <v>435</v>
      </c>
      <c r="F237" s="35" t="s">
        <v>123</v>
      </c>
      <c r="G237" s="46"/>
      <c r="H237" s="44"/>
      <c r="I237" s="44"/>
      <c r="J237" s="46"/>
      <c r="K237" s="44"/>
      <c r="L237" s="44"/>
      <c r="M237" s="44"/>
      <c r="N237" s="44"/>
      <c r="O237" s="45"/>
      <c r="P237" s="40"/>
    </row>
    <row r="238" spans="1:16" s="41" customFormat="1" ht="30" customHeight="1">
      <c r="A238" s="42">
        <v>198</v>
      </c>
      <c r="B238" s="43" t="s">
        <v>285</v>
      </c>
      <c r="C238" s="42"/>
      <c r="D238" s="43"/>
      <c r="E238" s="43" t="s">
        <v>435</v>
      </c>
      <c r="F238" s="43" t="s">
        <v>123</v>
      </c>
      <c r="G238" s="44"/>
      <c r="H238" s="44"/>
      <c r="I238" s="44"/>
      <c r="J238" s="44"/>
      <c r="K238" s="44"/>
      <c r="L238" s="44"/>
      <c r="M238" s="44"/>
      <c r="N238" s="44"/>
      <c r="O238" s="45"/>
      <c r="P238" s="40"/>
    </row>
    <row r="239" spans="1:16" s="41" customFormat="1" ht="30" customHeight="1">
      <c r="A239" s="34">
        <v>199</v>
      </c>
      <c r="B239" s="35" t="s">
        <v>286</v>
      </c>
      <c r="C239" s="34"/>
      <c r="D239" s="35"/>
      <c r="E239" s="35" t="s">
        <v>435</v>
      </c>
      <c r="F239" s="35" t="s">
        <v>123</v>
      </c>
      <c r="G239" s="46"/>
      <c r="H239" s="44"/>
      <c r="I239" s="44"/>
      <c r="J239" s="46"/>
      <c r="K239" s="44"/>
      <c r="L239" s="44"/>
      <c r="M239" s="44"/>
      <c r="N239" s="44"/>
      <c r="O239" s="45"/>
      <c r="P239" s="40"/>
    </row>
    <row r="240" spans="1:16" s="41" customFormat="1" ht="30" customHeight="1">
      <c r="A240" s="42">
        <v>200</v>
      </c>
      <c r="B240" s="43" t="s">
        <v>287</v>
      </c>
      <c r="C240" s="42"/>
      <c r="D240" s="43"/>
      <c r="E240" s="43" t="s">
        <v>435</v>
      </c>
      <c r="F240" s="43" t="s">
        <v>123</v>
      </c>
      <c r="G240" s="44"/>
      <c r="H240" s="44"/>
      <c r="I240" s="44"/>
      <c r="J240" s="44"/>
      <c r="K240" s="44"/>
      <c r="L240" s="44"/>
      <c r="M240" s="44"/>
      <c r="N240" s="44"/>
      <c r="O240" s="45"/>
      <c r="P240" s="40"/>
    </row>
    <row r="241" spans="1:16" s="41" customFormat="1" ht="30" customHeight="1">
      <c r="A241" s="34">
        <v>201</v>
      </c>
      <c r="B241" s="35" t="s">
        <v>288</v>
      </c>
      <c r="C241" s="34"/>
      <c r="D241" s="35"/>
      <c r="E241" s="35" t="s">
        <v>435</v>
      </c>
      <c r="F241" s="35" t="s">
        <v>123</v>
      </c>
      <c r="G241" s="46"/>
      <c r="H241" s="44"/>
      <c r="I241" s="44"/>
      <c r="J241" s="46"/>
      <c r="K241" s="44"/>
      <c r="L241" s="44"/>
      <c r="M241" s="44"/>
      <c r="N241" s="44"/>
      <c r="O241" s="45"/>
      <c r="P241" s="40"/>
    </row>
    <row r="242" spans="1:16" s="41" customFormat="1" ht="30" customHeight="1">
      <c r="A242" s="42">
        <v>202</v>
      </c>
      <c r="B242" s="43" t="s">
        <v>289</v>
      </c>
      <c r="C242" s="42"/>
      <c r="D242" s="43"/>
      <c r="E242" s="43" t="s">
        <v>435</v>
      </c>
      <c r="F242" s="43" t="s">
        <v>123</v>
      </c>
      <c r="G242" s="44"/>
      <c r="H242" s="44"/>
      <c r="I242" s="44"/>
      <c r="J242" s="44"/>
      <c r="K242" s="44"/>
      <c r="L242" s="44"/>
      <c r="M242" s="44"/>
      <c r="N242" s="44"/>
      <c r="O242" s="45"/>
      <c r="P242" s="40"/>
    </row>
    <row r="243" spans="1:16" s="41" customFormat="1" ht="30" customHeight="1">
      <c r="A243" s="34">
        <v>203</v>
      </c>
      <c r="B243" s="35" t="s">
        <v>290</v>
      </c>
      <c r="C243" s="34"/>
      <c r="D243" s="35"/>
      <c r="E243" s="35" t="s">
        <v>435</v>
      </c>
      <c r="F243" s="35" t="s">
        <v>123</v>
      </c>
      <c r="G243" s="46"/>
      <c r="H243" s="44"/>
      <c r="I243" s="44"/>
      <c r="J243" s="46"/>
      <c r="K243" s="44"/>
      <c r="L243" s="44"/>
      <c r="M243" s="44"/>
      <c r="N243" s="44"/>
      <c r="O243" s="45"/>
      <c r="P243" s="40"/>
    </row>
    <row r="244" spans="1:16" s="41" customFormat="1" ht="30" customHeight="1">
      <c r="A244" s="42">
        <v>204</v>
      </c>
      <c r="B244" s="43" t="s">
        <v>291</v>
      </c>
      <c r="C244" s="42"/>
      <c r="D244" s="43"/>
      <c r="E244" s="43" t="s">
        <v>435</v>
      </c>
      <c r="F244" s="43" t="s">
        <v>123</v>
      </c>
      <c r="G244" s="44"/>
      <c r="H244" s="44"/>
      <c r="I244" s="44"/>
      <c r="J244" s="44"/>
      <c r="K244" s="44"/>
      <c r="L244" s="44"/>
      <c r="M244" s="44"/>
      <c r="N244" s="44"/>
      <c r="O244" s="45"/>
      <c r="P244" s="40"/>
    </row>
    <row r="245" spans="1:16" s="41" customFormat="1" ht="30" customHeight="1">
      <c r="A245" s="34">
        <v>205</v>
      </c>
      <c r="B245" s="35" t="s">
        <v>292</v>
      </c>
      <c r="C245" s="34"/>
      <c r="D245" s="35"/>
      <c r="E245" s="35" t="s">
        <v>435</v>
      </c>
      <c r="F245" s="35" t="s">
        <v>123</v>
      </c>
      <c r="G245" s="46"/>
      <c r="H245" s="44"/>
      <c r="I245" s="44"/>
      <c r="J245" s="46"/>
      <c r="K245" s="44"/>
      <c r="L245" s="44"/>
      <c r="M245" s="44"/>
      <c r="N245" s="44"/>
      <c r="O245" s="45"/>
      <c r="P245" s="40"/>
    </row>
    <row r="246" spans="1:16" s="41" customFormat="1" ht="30" customHeight="1">
      <c r="A246" s="42">
        <v>206</v>
      </c>
      <c r="B246" s="43" t="s">
        <v>293</v>
      </c>
      <c r="C246" s="42"/>
      <c r="D246" s="43"/>
      <c r="E246" s="43" t="s">
        <v>435</v>
      </c>
      <c r="F246" s="43" t="s">
        <v>123</v>
      </c>
      <c r="G246" s="44"/>
      <c r="H246" s="44"/>
      <c r="I246" s="44"/>
      <c r="J246" s="44"/>
      <c r="K246" s="44"/>
      <c r="L246" s="44"/>
      <c r="M246" s="44"/>
      <c r="N246" s="44"/>
      <c r="O246" s="45"/>
      <c r="P246" s="40"/>
    </row>
    <row r="247" spans="1:16" s="41" customFormat="1" ht="30" customHeight="1">
      <c r="A247" s="34">
        <v>207</v>
      </c>
      <c r="B247" s="35" t="s">
        <v>294</v>
      </c>
      <c r="C247" s="34"/>
      <c r="D247" s="35"/>
      <c r="E247" s="35" t="s">
        <v>435</v>
      </c>
      <c r="F247" s="35" t="s">
        <v>123</v>
      </c>
      <c r="G247" s="46"/>
      <c r="H247" s="44"/>
      <c r="I247" s="44"/>
      <c r="J247" s="46"/>
      <c r="K247" s="44"/>
      <c r="L247" s="44"/>
      <c r="M247" s="44"/>
      <c r="N247" s="44"/>
      <c r="O247" s="45"/>
      <c r="P247" s="40"/>
    </row>
    <row r="248" spans="1:16" s="41" customFormat="1" ht="30" customHeight="1">
      <c r="A248" s="42">
        <v>208</v>
      </c>
      <c r="B248" s="43" t="s">
        <v>295</v>
      </c>
      <c r="C248" s="42"/>
      <c r="D248" s="43"/>
      <c r="E248" s="43" t="s">
        <v>435</v>
      </c>
      <c r="F248" s="43" t="s">
        <v>123</v>
      </c>
      <c r="G248" s="44"/>
      <c r="H248" s="44"/>
      <c r="I248" s="44"/>
      <c r="J248" s="44"/>
      <c r="K248" s="44"/>
      <c r="L248" s="44"/>
      <c r="M248" s="44"/>
      <c r="N248" s="44"/>
      <c r="O248" s="45"/>
      <c r="P248" s="40"/>
    </row>
    <row r="249" spans="1:16" s="41" customFormat="1" ht="30" customHeight="1">
      <c r="A249" s="34">
        <v>209</v>
      </c>
      <c r="B249" s="35" t="s">
        <v>296</v>
      </c>
      <c r="C249" s="34"/>
      <c r="D249" s="35"/>
      <c r="E249" s="35" t="s">
        <v>435</v>
      </c>
      <c r="F249" s="35" t="s">
        <v>123</v>
      </c>
      <c r="G249" s="46"/>
      <c r="H249" s="44"/>
      <c r="I249" s="44"/>
      <c r="J249" s="46"/>
      <c r="K249" s="44"/>
      <c r="L249" s="44"/>
      <c r="M249" s="44"/>
      <c r="N249" s="44"/>
      <c r="O249" s="45"/>
      <c r="P249" s="40"/>
    </row>
    <row r="250" spans="1:16" s="41" customFormat="1" ht="30" customHeight="1">
      <c r="A250" s="42">
        <v>210</v>
      </c>
      <c r="B250" s="43" t="s">
        <v>297</v>
      </c>
      <c r="C250" s="42"/>
      <c r="D250" s="43"/>
      <c r="E250" s="43" t="s">
        <v>435</v>
      </c>
      <c r="F250" s="43" t="s">
        <v>123</v>
      </c>
      <c r="G250" s="44"/>
      <c r="H250" s="44"/>
      <c r="I250" s="44"/>
      <c r="J250" s="44"/>
      <c r="K250" s="44"/>
      <c r="L250" s="44"/>
      <c r="M250" s="44"/>
      <c r="N250" s="44"/>
      <c r="O250" s="45"/>
      <c r="P250" s="40"/>
    </row>
    <row r="251" spans="1:16" s="41" customFormat="1" ht="30" customHeight="1">
      <c r="A251" s="34">
        <v>211</v>
      </c>
      <c r="B251" s="35" t="s">
        <v>298</v>
      </c>
      <c r="C251" s="34" t="s">
        <v>423</v>
      </c>
      <c r="D251" s="35"/>
      <c r="E251" s="35" t="s">
        <v>435</v>
      </c>
      <c r="F251" s="35" t="s">
        <v>123</v>
      </c>
      <c r="G251" s="46"/>
      <c r="H251" s="44"/>
      <c r="I251" s="44"/>
      <c r="J251" s="46"/>
      <c r="K251" s="44"/>
      <c r="L251" s="44"/>
      <c r="M251" s="44"/>
      <c r="N251" s="44"/>
      <c r="O251" s="45"/>
      <c r="P251" s="40"/>
    </row>
    <row r="252" spans="1:16" s="41" customFormat="1" ht="30" customHeight="1">
      <c r="A252" s="42">
        <v>212</v>
      </c>
      <c r="B252" s="43" t="s">
        <v>25</v>
      </c>
      <c r="C252" s="42"/>
      <c r="D252" s="43" t="s">
        <v>299</v>
      </c>
      <c r="E252" s="43" t="s">
        <v>435</v>
      </c>
      <c r="F252" s="43" t="s">
        <v>13</v>
      </c>
      <c r="G252" s="44"/>
      <c r="H252" s="44"/>
      <c r="I252" s="44"/>
      <c r="J252" s="44"/>
      <c r="K252" s="44"/>
      <c r="L252" s="44"/>
      <c r="M252" s="44"/>
      <c r="N252" s="44"/>
      <c r="O252" s="45"/>
      <c r="P252" s="40"/>
    </row>
    <row r="253" spans="1:16" s="41" customFormat="1" ht="30" customHeight="1">
      <c r="A253" s="34">
        <v>213</v>
      </c>
      <c r="B253" s="35" t="s">
        <v>300</v>
      </c>
      <c r="C253" s="34"/>
      <c r="D253" s="35" t="s">
        <v>299</v>
      </c>
      <c r="E253" s="35" t="s">
        <v>435</v>
      </c>
      <c r="F253" s="35" t="s">
        <v>13</v>
      </c>
      <c r="G253" s="46"/>
      <c r="H253" s="44"/>
      <c r="I253" s="44"/>
      <c r="J253" s="46"/>
      <c r="K253" s="44"/>
      <c r="L253" s="44"/>
      <c r="M253" s="44"/>
      <c r="N253" s="44"/>
      <c r="O253" s="45"/>
      <c r="P253" s="40"/>
    </row>
    <row r="254" spans="1:16" s="41" customFormat="1" ht="30" customHeight="1">
      <c r="A254" s="34"/>
      <c r="B254" s="35"/>
      <c r="C254" s="34"/>
      <c r="D254" s="35" t="s">
        <v>42</v>
      </c>
      <c r="E254" s="35" t="s">
        <v>435</v>
      </c>
      <c r="F254" s="35"/>
      <c r="G254" s="46"/>
      <c r="H254" s="44"/>
      <c r="I254" s="44"/>
      <c r="J254" s="46"/>
      <c r="K254" s="44"/>
      <c r="L254" s="44"/>
      <c r="M254" s="44"/>
      <c r="N254" s="44"/>
      <c r="O254" s="45"/>
      <c r="P254" s="40"/>
    </row>
    <row r="255" spans="1:16" s="41" customFormat="1" ht="30" customHeight="1">
      <c r="A255" s="42">
        <v>214</v>
      </c>
      <c r="B255" s="43" t="s">
        <v>301</v>
      </c>
      <c r="C255" s="42"/>
      <c r="D255" s="43" t="s">
        <v>299</v>
      </c>
      <c r="E255" s="43" t="s">
        <v>435</v>
      </c>
      <c r="F255" s="43" t="s">
        <v>13</v>
      </c>
      <c r="G255" s="44"/>
      <c r="H255" s="44"/>
      <c r="I255" s="44"/>
      <c r="J255" s="44"/>
      <c r="K255" s="44"/>
      <c r="L255" s="44"/>
      <c r="M255" s="44"/>
      <c r="N255" s="44"/>
      <c r="O255" s="45"/>
      <c r="P255" s="40"/>
    </row>
    <row r="256" spans="1:16" s="41" customFormat="1" ht="30" customHeight="1">
      <c r="A256" s="34">
        <v>215</v>
      </c>
      <c r="B256" s="35" t="s">
        <v>302</v>
      </c>
      <c r="C256" s="34"/>
      <c r="D256" s="35" t="s">
        <v>299</v>
      </c>
      <c r="E256" s="35" t="s">
        <v>435</v>
      </c>
      <c r="F256" s="35" t="s">
        <v>13</v>
      </c>
      <c r="G256" s="46"/>
      <c r="H256" s="44"/>
      <c r="I256" s="44"/>
      <c r="J256" s="46"/>
      <c r="K256" s="44"/>
      <c r="L256" s="44"/>
      <c r="M256" s="44"/>
      <c r="N256" s="44"/>
      <c r="O256" s="45"/>
      <c r="P256" s="40"/>
    </row>
    <row r="257" spans="1:16" s="41" customFormat="1" ht="25.5">
      <c r="A257" s="42">
        <v>216</v>
      </c>
      <c r="B257" s="43" t="s">
        <v>303</v>
      </c>
      <c r="C257" s="42"/>
      <c r="D257" s="43" t="s">
        <v>299</v>
      </c>
      <c r="E257" s="43" t="s">
        <v>438</v>
      </c>
      <c r="F257" s="43" t="s">
        <v>615</v>
      </c>
      <c r="G257" s="46"/>
      <c r="H257" s="44"/>
      <c r="I257" s="44"/>
      <c r="J257" s="44"/>
      <c r="K257" s="44"/>
      <c r="L257" s="44"/>
      <c r="M257" s="44"/>
      <c r="N257" s="44"/>
      <c r="O257" s="45"/>
      <c r="P257" s="40"/>
    </row>
    <row r="258" spans="1:16" s="41" customFormat="1" ht="30" customHeight="1">
      <c r="A258" s="34">
        <v>217</v>
      </c>
      <c r="B258" s="35" t="s">
        <v>304</v>
      </c>
      <c r="C258" s="34"/>
      <c r="D258" s="35" t="s">
        <v>299</v>
      </c>
      <c r="E258" s="35" t="s">
        <v>438</v>
      </c>
      <c r="F258" s="35" t="s">
        <v>615</v>
      </c>
      <c r="G258" s="46"/>
      <c r="H258" s="44"/>
      <c r="I258" s="44"/>
      <c r="J258" s="44"/>
      <c r="K258" s="44"/>
      <c r="L258" s="44"/>
      <c r="M258" s="44"/>
      <c r="N258" s="44"/>
      <c r="O258" s="45"/>
      <c r="P258" s="40"/>
    </row>
    <row r="259" spans="1:16" s="41" customFormat="1" ht="25.5">
      <c r="A259" s="48">
        <v>218</v>
      </c>
      <c r="B259" s="49" t="s">
        <v>305</v>
      </c>
      <c r="C259" s="48"/>
      <c r="D259" s="49" t="s">
        <v>299</v>
      </c>
      <c r="E259" s="49" t="s">
        <v>438</v>
      </c>
      <c r="F259" s="49" t="s">
        <v>615</v>
      </c>
      <c r="G259" s="46"/>
      <c r="H259" s="44"/>
      <c r="I259" s="44"/>
      <c r="J259" s="44"/>
      <c r="K259" s="44"/>
      <c r="L259" s="44"/>
      <c r="M259" s="44"/>
      <c r="N259" s="44"/>
      <c r="O259" s="45"/>
      <c r="P259" s="40"/>
    </row>
    <row r="260" spans="1:16" s="41" customFormat="1" ht="25.5">
      <c r="A260" s="34">
        <v>219</v>
      </c>
      <c r="B260" s="35" t="s">
        <v>137</v>
      </c>
      <c r="C260" s="34"/>
      <c r="D260" s="35" t="s">
        <v>299</v>
      </c>
      <c r="E260" s="35" t="s">
        <v>438</v>
      </c>
      <c r="F260" s="35" t="s">
        <v>615</v>
      </c>
      <c r="G260" s="46"/>
      <c r="H260" s="44"/>
      <c r="I260" s="44"/>
      <c r="J260" s="44"/>
      <c r="K260" s="44"/>
      <c r="L260" s="44"/>
      <c r="M260" s="44"/>
      <c r="N260" s="44"/>
      <c r="O260" s="45"/>
      <c r="P260" s="40"/>
    </row>
    <row r="261" spans="1:16" s="41" customFormat="1" ht="25.5">
      <c r="A261" s="48">
        <v>220</v>
      </c>
      <c r="B261" s="49" t="s">
        <v>306</v>
      </c>
      <c r="C261" s="48">
        <v>341</v>
      </c>
      <c r="D261" s="49" t="s">
        <v>299</v>
      </c>
      <c r="E261" s="49" t="s">
        <v>438</v>
      </c>
      <c r="F261" s="49" t="s">
        <v>615</v>
      </c>
      <c r="G261" s="46"/>
      <c r="H261" s="44"/>
      <c r="I261" s="44"/>
      <c r="J261" s="44"/>
      <c r="K261" s="44"/>
      <c r="L261" s="44"/>
      <c r="M261" s="44"/>
      <c r="N261" s="44"/>
      <c r="O261" s="45"/>
      <c r="P261" s="40"/>
    </row>
    <row r="262" spans="1:16" s="41" customFormat="1" ht="30" customHeight="1">
      <c r="A262" s="34">
        <v>221</v>
      </c>
      <c r="B262" s="35" t="s">
        <v>307</v>
      </c>
      <c r="C262" s="34"/>
      <c r="D262" s="35" t="s">
        <v>299</v>
      </c>
      <c r="E262" s="35" t="s">
        <v>438</v>
      </c>
      <c r="F262" s="35" t="s">
        <v>615</v>
      </c>
      <c r="G262" s="46"/>
      <c r="H262" s="44"/>
      <c r="I262" s="44"/>
      <c r="J262" s="44"/>
      <c r="K262" s="44"/>
      <c r="L262" s="44"/>
      <c r="M262" s="44"/>
      <c r="N262" s="44"/>
      <c r="O262" s="45"/>
      <c r="P262" s="40"/>
    </row>
    <row r="263" spans="1:16" s="41" customFormat="1" ht="25.5">
      <c r="A263" s="48">
        <v>222</v>
      </c>
      <c r="B263" s="49" t="s">
        <v>308</v>
      </c>
      <c r="C263" s="48"/>
      <c r="D263" s="49" t="s">
        <v>299</v>
      </c>
      <c r="E263" s="49" t="s">
        <v>438</v>
      </c>
      <c r="F263" s="49" t="s">
        <v>615</v>
      </c>
      <c r="G263" s="46"/>
      <c r="H263" s="44"/>
      <c r="I263" s="44"/>
      <c r="J263" s="44"/>
      <c r="K263" s="44"/>
      <c r="L263" s="44"/>
      <c r="M263" s="44"/>
      <c r="N263" s="44"/>
      <c r="O263" s="45"/>
      <c r="P263" s="40"/>
    </row>
    <row r="264" spans="1:16" s="41" customFormat="1" ht="25.5">
      <c r="A264" s="34">
        <v>223</v>
      </c>
      <c r="B264" s="35" t="s">
        <v>309</v>
      </c>
      <c r="C264" s="34">
        <v>342</v>
      </c>
      <c r="D264" s="35" t="s">
        <v>299</v>
      </c>
      <c r="E264" s="35" t="s">
        <v>438</v>
      </c>
      <c r="F264" s="35" t="s">
        <v>615</v>
      </c>
      <c r="G264" s="46"/>
      <c r="H264" s="44"/>
      <c r="I264" s="44"/>
      <c r="J264" s="44"/>
      <c r="K264" s="44"/>
      <c r="L264" s="44"/>
      <c r="M264" s="44"/>
      <c r="N264" s="44"/>
      <c r="O264" s="45"/>
      <c r="P264" s="40"/>
    </row>
    <row r="265" spans="1:16" s="41" customFormat="1" ht="25.5">
      <c r="A265" s="42">
        <v>224</v>
      </c>
      <c r="B265" s="43" t="s">
        <v>310</v>
      </c>
      <c r="C265" s="42"/>
      <c r="D265" s="43" t="s">
        <v>299</v>
      </c>
      <c r="E265" s="43" t="s">
        <v>438</v>
      </c>
      <c r="F265" s="43" t="s">
        <v>615</v>
      </c>
      <c r="G265" s="46"/>
      <c r="H265" s="44"/>
      <c r="I265" s="44"/>
      <c r="J265" s="44"/>
      <c r="K265" s="44"/>
      <c r="L265" s="44"/>
      <c r="M265" s="44"/>
      <c r="N265" s="44"/>
      <c r="O265" s="45"/>
      <c r="P265" s="40"/>
    </row>
    <row r="266" spans="1:16" s="41" customFormat="1" ht="30" customHeight="1">
      <c r="A266" s="34">
        <v>225</v>
      </c>
      <c r="B266" s="35" t="s">
        <v>311</v>
      </c>
      <c r="C266" s="34"/>
      <c r="D266" s="35" t="s">
        <v>299</v>
      </c>
      <c r="E266" s="35" t="s">
        <v>438</v>
      </c>
      <c r="F266" s="35" t="s">
        <v>615</v>
      </c>
      <c r="G266" s="46"/>
      <c r="H266" s="44"/>
      <c r="I266" s="44"/>
      <c r="J266" s="44"/>
      <c r="K266" s="44"/>
      <c r="L266" s="44"/>
      <c r="M266" s="44"/>
      <c r="N266" s="44"/>
      <c r="O266" s="45"/>
      <c r="P266" s="40"/>
    </row>
    <row r="267" spans="1:16" s="41" customFormat="1" ht="30" customHeight="1">
      <c r="A267" s="48">
        <v>226</v>
      </c>
      <c r="B267" s="49" t="s">
        <v>312</v>
      </c>
      <c r="C267" s="48"/>
      <c r="D267" s="29" t="s">
        <v>122</v>
      </c>
      <c r="E267" s="29" t="s">
        <v>438</v>
      </c>
      <c r="F267" s="29" t="s">
        <v>615</v>
      </c>
      <c r="G267" s="46"/>
      <c r="H267" s="44"/>
      <c r="I267" s="44"/>
      <c r="J267" s="44"/>
      <c r="K267" s="44"/>
      <c r="L267" s="44"/>
      <c r="M267" s="44"/>
      <c r="N267" s="44"/>
      <c r="O267" s="45"/>
      <c r="P267" s="40"/>
    </row>
    <row r="268" spans="1:16" s="41" customFormat="1" ht="30" customHeight="1">
      <c r="A268" s="51"/>
      <c r="B268" s="52"/>
      <c r="C268" s="51"/>
      <c r="D268" s="53" t="s">
        <v>299</v>
      </c>
      <c r="E268" s="53"/>
      <c r="F268" s="53"/>
      <c r="G268" s="46"/>
      <c r="H268" s="44"/>
      <c r="I268" s="44"/>
      <c r="J268" s="44"/>
      <c r="K268" s="44"/>
      <c r="L268" s="44"/>
      <c r="M268" s="44"/>
      <c r="N268" s="44"/>
      <c r="O268" s="45"/>
      <c r="P268" s="40"/>
    </row>
    <row r="269" spans="1:16" s="41" customFormat="1" ht="30" customHeight="1">
      <c r="A269" s="34">
        <v>227</v>
      </c>
      <c r="B269" s="35" t="s">
        <v>313</v>
      </c>
      <c r="C269" s="34"/>
      <c r="D269" s="80" t="s">
        <v>122</v>
      </c>
      <c r="E269" s="80" t="s">
        <v>438</v>
      </c>
      <c r="F269" s="80" t="s">
        <v>615</v>
      </c>
      <c r="G269" s="46"/>
      <c r="H269" s="44"/>
      <c r="I269" s="44"/>
      <c r="J269" s="44"/>
      <c r="K269" s="44"/>
      <c r="L269" s="44"/>
      <c r="M269" s="44"/>
      <c r="N269" s="44"/>
      <c r="O269" s="45"/>
      <c r="P269" s="40"/>
    </row>
    <row r="270" spans="1:16" s="41" customFormat="1" ht="30" customHeight="1">
      <c r="A270" s="48">
        <v>228</v>
      </c>
      <c r="B270" s="49" t="s">
        <v>314</v>
      </c>
      <c r="C270" s="48"/>
      <c r="D270" s="29" t="s">
        <v>122</v>
      </c>
      <c r="E270" s="29"/>
      <c r="F270" s="29" t="s">
        <v>493</v>
      </c>
      <c r="G270" s="46"/>
      <c r="H270" s="46"/>
      <c r="I270" s="46"/>
      <c r="J270" s="46"/>
      <c r="K270" s="46"/>
      <c r="L270" s="46"/>
      <c r="M270" s="46"/>
      <c r="N270" s="46"/>
      <c r="O270" s="45"/>
      <c r="P270" s="40"/>
    </row>
    <row r="271" spans="1:16" s="41" customFormat="1" ht="38.25">
      <c r="A271" s="34">
        <v>229</v>
      </c>
      <c r="B271" s="35" t="s">
        <v>315</v>
      </c>
      <c r="C271" s="34"/>
      <c r="D271" s="80" t="s">
        <v>617</v>
      </c>
      <c r="E271" s="80" t="s">
        <v>438</v>
      </c>
      <c r="F271" s="80" t="s">
        <v>615</v>
      </c>
      <c r="G271" s="46"/>
      <c r="H271" s="46"/>
      <c r="I271" s="46"/>
      <c r="J271" s="46"/>
      <c r="K271" s="46"/>
      <c r="L271" s="46"/>
      <c r="M271" s="46"/>
      <c r="N271" s="46"/>
      <c r="O271" s="45"/>
      <c r="P271" s="40"/>
    </row>
    <row r="272" spans="1:16" s="41" customFormat="1" ht="38.25">
      <c r="A272" s="48">
        <v>230</v>
      </c>
      <c r="B272" s="49" t="s">
        <v>316</v>
      </c>
      <c r="C272" s="48" t="s">
        <v>424</v>
      </c>
      <c r="D272" s="49" t="s">
        <v>617</v>
      </c>
      <c r="E272" s="49" t="s">
        <v>438</v>
      </c>
      <c r="F272" s="49" t="s">
        <v>615</v>
      </c>
      <c r="G272" s="46"/>
      <c r="H272" s="46"/>
      <c r="I272" s="46"/>
      <c r="J272" s="46"/>
      <c r="K272" s="46"/>
      <c r="L272" s="46"/>
      <c r="M272" s="46"/>
      <c r="N272" s="46"/>
      <c r="O272" s="45"/>
      <c r="P272" s="40"/>
    </row>
    <row r="273" spans="1:16" s="41" customFormat="1" ht="30" customHeight="1">
      <c r="A273" s="55"/>
      <c r="B273" s="56"/>
      <c r="C273" s="55"/>
      <c r="D273" s="56"/>
      <c r="E273" s="56"/>
      <c r="F273" s="56"/>
      <c r="G273" s="46"/>
      <c r="H273" s="46"/>
      <c r="I273" s="46"/>
      <c r="J273" s="46"/>
      <c r="K273" s="46"/>
      <c r="L273" s="46"/>
      <c r="M273" s="46"/>
      <c r="N273" s="46"/>
      <c r="O273" s="45"/>
      <c r="P273" s="40"/>
    </row>
    <row r="274" spans="1:16" s="41" customFormat="1" ht="74.25" customHeight="1">
      <c r="A274" s="34">
        <v>231</v>
      </c>
      <c r="B274" s="35" t="s">
        <v>317</v>
      </c>
      <c r="C274" s="34" t="s">
        <v>425</v>
      </c>
      <c r="D274" s="35" t="s">
        <v>618</v>
      </c>
      <c r="E274" s="35" t="s">
        <v>438</v>
      </c>
      <c r="F274" s="35" t="s">
        <v>615</v>
      </c>
      <c r="G274" s="46"/>
      <c r="H274" s="46"/>
      <c r="I274" s="46"/>
      <c r="J274" s="46"/>
      <c r="K274" s="46"/>
      <c r="L274" s="46"/>
      <c r="M274" s="46"/>
      <c r="N274" s="46"/>
      <c r="O274" s="45"/>
      <c r="P274" s="40"/>
    </row>
    <row r="275" spans="1:16" s="41" customFormat="1" ht="30" customHeight="1">
      <c r="A275" s="42">
        <v>232</v>
      </c>
      <c r="B275" s="43" t="s">
        <v>318</v>
      </c>
      <c r="C275" s="42"/>
      <c r="D275" s="43" t="s">
        <v>122</v>
      </c>
      <c r="E275" s="43" t="s">
        <v>435</v>
      </c>
      <c r="F275" s="43" t="s">
        <v>35</v>
      </c>
      <c r="G275" s="44"/>
      <c r="H275" s="44"/>
      <c r="I275" s="44"/>
      <c r="J275" s="44"/>
      <c r="K275" s="44"/>
      <c r="L275" s="44"/>
      <c r="M275" s="44"/>
      <c r="N275" s="44"/>
      <c r="O275" s="45"/>
      <c r="P275" s="40"/>
    </row>
    <row r="276" spans="1:16" s="41" customFormat="1" ht="30" customHeight="1">
      <c r="A276" s="34">
        <v>233</v>
      </c>
      <c r="B276" s="35" t="s">
        <v>319</v>
      </c>
      <c r="C276" s="34">
        <v>328</v>
      </c>
      <c r="D276" s="35" t="s">
        <v>122</v>
      </c>
      <c r="E276" s="35" t="s">
        <v>435</v>
      </c>
      <c r="F276" s="35" t="s">
        <v>13</v>
      </c>
      <c r="G276" s="46"/>
      <c r="H276" s="44"/>
      <c r="I276" s="44"/>
      <c r="J276" s="46"/>
      <c r="K276" s="44"/>
      <c r="L276" s="44"/>
      <c r="M276" s="44"/>
      <c r="N276" s="44"/>
      <c r="O276" s="45"/>
      <c r="P276" s="40"/>
    </row>
    <row r="277" spans="1:16" s="41" customFormat="1" ht="30" customHeight="1">
      <c r="A277" s="42">
        <v>234</v>
      </c>
      <c r="B277" s="43" t="s">
        <v>76</v>
      </c>
      <c r="C277" s="42"/>
      <c r="D277" s="43" t="s">
        <v>122</v>
      </c>
      <c r="E277" s="43" t="s">
        <v>435</v>
      </c>
      <c r="F277" s="43" t="s">
        <v>13</v>
      </c>
      <c r="G277" s="44"/>
      <c r="H277" s="44"/>
      <c r="I277" s="44"/>
      <c r="J277" s="44"/>
      <c r="K277" s="44"/>
      <c r="L277" s="44"/>
      <c r="M277" s="44"/>
      <c r="N277" s="44"/>
      <c r="O277" s="45"/>
      <c r="P277" s="40"/>
    </row>
    <row r="278" spans="1:16" s="41" customFormat="1" ht="30" customHeight="1">
      <c r="A278" s="34">
        <v>235</v>
      </c>
      <c r="B278" s="35" t="s">
        <v>320</v>
      </c>
      <c r="C278" s="34"/>
      <c r="D278" s="35" t="s">
        <v>122</v>
      </c>
      <c r="E278" s="35" t="s">
        <v>435</v>
      </c>
      <c r="F278" s="35" t="s">
        <v>13</v>
      </c>
      <c r="G278" s="46"/>
      <c r="H278" s="44"/>
      <c r="I278" s="44"/>
      <c r="J278" s="46"/>
      <c r="K278" s="44"/>
      <c r="L278" s="44"/>
      <c r="M278" s="44"/>
      <c r="N278" s="44"/>
      <c r="O278" s="45"/>
      <c r="P278" s="40"/>
    </row>
    <row r="279" spans="1:16" s="41" customFormat="1" ht="32.25" customHeight="1">
      <c r="A279" s="42">
        <v>236</v>
      </c>
      <c r="B279" s="43" t="s">
        <v>321</v>
      </c>
      <c r="C279" s="42"/>
      <c r="D279" s="43"/>
      <c r="E279" s="43" t="s">
        <v>435</v>
      </c>
      <c r="F279" s="43" t="s">
        <v>235</v>
      </c>
      <c r="G279" s="44"/>
      <c r="H279" s="44"/>
      <c r="I279" s="44"/>
      <c r="J279" s="44"/>
      <c r="K279" s="44"/>
      <c r="L279" s="44"/>
      <c r="M279" s="44"/>
      <c r="N279" s="44"/>
      <c r="O279" s="45"/>
      <c r="P279" s="40"/>
    </row>
    <row r="280" spans="1:16" s="41" customFormat="1" ht="45.75" customHeight="1">
      <c r="A280" s="34">
        <v>237</v>
      </c>
      <c r="B280" s="35" t="s">
        <v>322</v>
      </c>
      <c r="C280" s="34"/>
      <c r="D280" s="35"/>
      <c r="E280" s="35" t="s">
        <v>435</v>
      </c>
      <c r="F280" s="35" t="s">
        <v>153</v>
      </c>
      <c r="G280" s="46"/>
      <c r="H280" s="44"/>
      <c r="I280" s="44"/>
      <c r="J280" s="46"/>
      <c r="K280" s="44"/>
      <c r="L280" s="44"/>
      <c r="M280" s="44"/>
      <c r="N280" s="44"/>
      <c r="O280" s="45"/>
      <c r="P280" s="40"/>
    </row>
    <row r="281" spans="1:16" s="41" customFormat="1" ht="60.75" customHeight="1">
      <c r="A281" s="42">
        <v>238</v>
      </c>
      <c r="B281" s="43" t="s">
        <v>323</v>
      </c>
      <c r="C281" s="42"/>
      <c r="D281" s="43"/>
      <c r="E281" s="43" t="s">
        <v>435</v>
      </c>
      <c r="F281" s="43" t="s">
        <v>153</v>
      </c>
      <c r="G281" s="44"/>
      <c r="H281" s="44"/>
      <c r="I281" s="44"/>
      <c r="J281" s="44"/>
      <c r="K281" s="44"/>
      <c r="L281" s="44"/>
      <c r="M281" s="44"/>
      <c r="N281" s="44"/>
      <c r="O281" s="45"/>
      <c r="P281" s="40"/>
    </row>
    <row r="282" spans="1:16" s="41" customFormat="1" ht="57.75" customHeight="1">
      <c r="A282" s="34">
        <v>239</v>
      </c>
      <c r="B282" s="35" t="s">
        <v>324</v>
      </c>
      <c r="C282" s="34"/>
      <c r="D282" s="35"/>
      <c r="E282" s="35" t="s">
        <v>435</v>
      </c>
      <c r="F282" s="35" t="s">
        <v>153</v>
      </c>
      <c r="G282" s="46"/>
      <c r="H282" s="44"/>
      <c r="I282" s="44"/>
      <c r="J282" s="46"/>
      <c r="K282" s="44"/>
      <c r="L282" s="44"/>
      <c r="M282" s="44"/>
      <c r="N282" s="44"/>
      <c r="O282" s="45"/>
      <c r="P282" s="40"/>
    </row>
    <row r="283" spans="1:16" s="41" customFormat="1" ht="44.25" customHeight="1">
      <c r="A283" s="42">
        <v>240</v>
      </c>
      <c r="B283" s="43" t="s">
        <v>325</v>
      </c>
      <c r="C283" s="42"/>
      <c r="D283" s="43"/>
      <c r="E283" s="43" t="s">
        <v>435</v>
      </c>
      <c r="F283" s="43" t="s">
        <v>13</v>
      </c>
      <c r="G283" s="44"/>
      <c r="H283" s="44"/>
      <c r="I283" s="44"/>
      <c r="J283" s="44"/>
      <c r="K283" s="44"/>
      <c r="L283" s="44"/>
      <c r="M283" s="44"/>
      <c r="N283" s="44"/>
      <c r="O283" s="45"/>
      <c r="P283" s="40"/>
    </row>
    <row r="284" spans="1:16" s="41" customFormat="1" ht="48" customHeight="1">
      <c r="A284" s="34">
        <v>241</v>
      </c>
      <c r="B284" s="35" t="s">
        <v>326</v>
      </c>
      <c r="C284" s="34"/>
      <c r="D284" s="35"/>
      <c r="E284" s="35" t="s">
        <v>435</v>
      </c>
      <c r="F284" s="35" t="s">
        <v>13</v>
      </c>
      <c r="G284" s="46"/>
      <c r="H284" s="44"/>
      <c r="I284" s="44"/>
      <c r="J284" s="46"/>
      <c r="K284" s="44"/>
      <c r="L284" s="44"/>
      <c r="M284" s="44"/>
      <c r="N284" s="44"/>
      <c r="O284" s="45"/>
      <c r="P284" s="40"/>
    </row>
    <row r="285" spans="1:16" s="41" customFormat="1" ht="30" customHeight="1">
      <c r="A285" s="42">
        <v>242</v>
      </c>
      <c r="B285" s="43" t="s">
        <v>327</v>
      </c>
      <c r="C285" s="42"/>
      <c r="D285" s="43"/>
      <c r="E285" s="43" t="s">
        <v>435</v>
      </c>
      <c r="F285" s="43" t="s">
        <v>328</v>
      </c>
      <c r="G285" s="44"/>
      <c r="H285" s="44"/>
      <c r="I285" s="44"/>
      <c r="J285" s="44"/>
      <c r="K285" s="44"/>
      <c r="L285" s="44"/>
      <c r="M285" s="44"/>
      <c r="N285" s="44"/>
      <c r="O285" s="45"/>
      <c r="P285" s="40"/>
    </row>
    <row r="286" spans="1:16" s="41" customFormat="1" ht="30" customHeight="1">
      <c r="A286" s="34">
        <v>243</v>
      </c>
      <c r="B286" s="35" t="s">
        <v>329</v>
      </c>
      <c r="C286" s="34"/>
      <c r="D286" s="35"/>
      <c r="E286" s="35"/>
      <c r="F286" s="35" t="s">
        <v>535</v>
      </c>
      <c r="G286" s="46"/>
      <c r="H286" s="46"/>
      <c r="I286" s="46"/>
      <c r="J286" s="46"/>
      <c r="K286" s="46"/>
      <c r="L286" s="46"/>
      <c r="M286" s="46"/>
      <c r="N286" s="46"/>
      <c r="O286" s="45"/>
      <c r="P286" s="40"/>
    </row>
    <row r="287" spans="1:16" s="41" customFormat="1" ht="30" customHeight="1">
      <c r="A287" s="42">
        <v>244</v>
      </c>
      <c r="B287" s="43" t="s">
        <v>330</v>
      </c>
      <c r="C287" s="42">
        <v>376</v>
      </c>
      <c r="D287" s="43"/>
      <c r="E287" s="43" t="s">
        <v>429</v>
      </c>
      <c r="F287" s="43" t="s">
        <v>615</v>
      </c>
      <c r="G287" s="46"/>
      <c r="H287" s="46"/>
      <c r="I287" s="46"/>
      <c r="J287" s="46"/>
      <c r="K287" s="46"/>
      <c r="L287" s="46"/>
      <c r="M287" s="46"/>
      <c r="N287" s="46"/>
      <c r="O287" s="45"/>
      <c r="P287" s="40"/>
    </row>
    <row r="288" spans="1:16" s="41" customFormat="1" ht="30" customHeight="1">
      <c r="A288" s="34">
        <v>245</v>
      </c>
      <c r="B288" s="35" t="s">
        <v>331</v>
      </c>
      <c r="C288" s="62">
        <v>377</v>
      </c>
      <c r="D288" s="59"/>
      <c r="E288" s="59" t="s">
        <v>428</v>
      </c>
      <c r="F288" s="59" t="s">
        <v>615</v>
      </c>
      <c r="G288" s="46"/>
      <c r="H288" s="46"/>
      <c r="I288" s="46"/>
      <c r="J288" s="46"/>
      <c r="K288" s="46"/>
      <c r="L288" s="46"/>
      <c r="M288" s="46"/>
      <c r="N288" s="46"/>
      <c r="O288" s="45"/>
      <c r="P288" s="40"/>
    </row>
    <row r="289" spans="1:16" s="41" customFormat="1" ht="76.5">
      <c r="A289" s="48">
        <v>246</v>
      </c>
      <c r="B289" s="49" t="s">
        <v>332</v>
      </c>
      <c r="C289" s="48"/>
      <c r="D289" s="49" t="s">
        <v>333</v>
      </c>
      <c r="E289" s="49" t="s">
        <v>428</v>
      </c>
      <c r="F289" s="49" t="s">
        <v>615</v>
      </c>
      <c r="G289" s="29" t="s">
        <v>576</v>
      </c>
      <c r="H289" s="49"/>
      <c r="I289" s="49" t="s">
        <v>594</v>
      </c>
      <c r="J289" s="29" t="s">
        <v>459</v>
      </c>
      <c r="K289" s="49" t="s">
        <v>606</v>
      </c>
      <c r="L289" s="49" t="s">
        <v>536</v>
      </c>
      <c r="M289" s="49"/>
      <c r="N289" s="50"/>
      <c r="O289" s="45"/>
      <c r="P289" s="40"/>
    </row>
    <row r="290" spans="1:16" s="41" customFormat="1" ht="30" customHeight="1">
      <c r="A290" s="51"/>
      <c r="B290" s="52"/>
      <c r="C290" s="51"/>
      <c r="D290" s="52"/>
      <c r="E290" s="52"/>
      <c r="F290" s="52"/>
      <c r="G290" s="53" t="s">
        <v>537</v>
      </c>
      <c r="H290" s="52"/>
      <c r="I290" s="52"/>
      <c r="J290" s="53"/>
      <c r="K290" s="52"/>
      <c r="L290" s="52"/>
      <c r="M290" s="52"/>
      <c r="N290" s="54"/>
      <c r="O290" s="45"/>
      <c r="P290" s="40"/>
    </row>
    <row r="291" spans="1:16" s="41" customFormat="1" ht="30" customHeight="1">
      <c r="A291" s="34">
        <v>247</v>
      </c>
      <c r="B291" s="35" t="s">
        <v>334</v>
      </c>
      <c r="C291" s="34"/>
      <c r="D291" s="35"/>
      <c r="E291" s="35" t="s">
        <v>435</v>
      </c>
      <c r="F291" s="35" t="s">
        <v>13</v>
      </c>
      <c r="G291" s="46"/>
      <c r="H291" s="44"/>
      <c r="I291" s="44"/>
      <c r="J291" s="46"/>
      <c r="K291" s="44"/>
      <c r="L291" s="44"/>
      <c r="M291" s="44"/>
      <c r="N291" s="44"/>
      <c r="O291" s="45"/>
      <c r="P291" s="40"/>
    </row>
    <row r="292" spans="1:16" s="41" customFormat="1" ht="30" customHeight="1">
      <c r="A292" s="42">
        <v>248</v>
      </c>
      <c r="B292" s="43" t="s">
        <v>335</v>
      </c>
      <c r="C292" s="42"/>
      <c r="D292" s="43" t="s">
        <v>42</v>
      </c>
      <c r="E292" s="43" t="s">
        <v>435</v>
      </c>
      <c r="F292" s="43" t="s">
        <v>13</v>
      </c>
      <c r="G292" s="44"/>
      <c r="H292" s="44"/>
      <c r="I292" s="44"/>
      <c r="J292" s="44"/>
      <c r="K292" s="44"/>
      <c r="L292" s="44"/>
      <c r="M292" s="44"/>
      <c r="N292" s="44"/>
      <c r="O292" s="45"/>
      <c r="P292" s="40"/>
    </row>
    <row r="293" spans="1:16" s="41" customFormat="1" ht="30" customHeight="1">
      <c r="A293" s="34">
        <v>249</v>
      </c>
      <c r="B293" s="35" t="s">
        <v>336</v>
      </c>
      <c r="C293" s="34"/>
      <c r="D293" s="35" t="s">
        <v>42</v>
      </c>
      <c r="E293" s="35" t="s">
        <v>435</v>
      </c>
      <c r="F293" s="35" t="s">
        <v>35</v>
      </c>
      <c r="G293" s="46"/>
      <c r="H293" s="44"/>
      <c r="I293" s="44"/>
      <c r="J293" s="46"/>
      <c r="K293" s="44"/>
      <c r="L293" s="44"/>
      <c r="M293" s="44"/>
      <c r="N293" s="44"/>
      <c r="O293" s="45"/>
      <c r="P293" s="40"/>
    </row>
    <row r="294" spans="1:16" s="41" customFormat="1" ht="30" customHeight="1">
      <c r="A294" s="42">
        <v>250</v>
      </c>
      <c r="B294" s="43" t="s">
        <v>337</v>
      </c>
      <c r="C294" s="42"/>
      <c r="D294" s="43" t="s">
        <v>42</v>
      </c>
      <c r="E294" s="43" t="s">
        <v>435</v>
      </c>
      <c r="F294" s="43" t="s">
        <v>35</v>
      </c>
      <c r="G294" s="44"/>
      <c r="H294" s="44"/>
      <c r="I294" s="44"/>
      <c r="J294" s="44"/>
      <c r="K294" s="44"/>
      <c r="L294" s="44"/>
      <c r="M294" s="44"/>
      <c r="N294" s="44"/>
      <c r="O294" s="45"/>
      <c r="P294" s="40"/>
    </row>
    <row r="295" spans="1:16" s="41" customFormat="1" ht="30" customHeight="1">
      <c r="A295" s="34">
        <v>251</v>
      </c>
      <c r="B295" s="35" t="s">
        <v>338</v>
      </c>
      <c r="C295" s="34"/>
      <c r="D295" s="35"/>
      <c r="E295" s="35" t="s">
        <v>435</v>
      </c>
      <c r="F295" s="35" t="s">
        <v>35</v>
      </c>
      <c r="G295" s="46"/>
      <c r="H295" s="44"/>
      <c r="I295" s="44"/>
      <c r="J295" s="46"/>
      <c r="K295" s="44"/>
      <c r="L295" s="44"/>
      <c r="M295" s="44"/>
      <c r="N295" s="44"/>
      <c r="O295" s="45"/>
      <c r="P295" s="40"/>
    </row>
    <row r="296" spans="1:16" s="41" customFormat="1" ht="30" customHeight="1">
      <c r="A296" s="42">
        <v>252</v>
      </c>
      <c r="B296" s="43" t="s">
        <v>339</v>
      </c>
      <c r="C296" s="42"/>
      <c r="D296" s="43"/>
      <c r="E296" s="43" t="s">
        <v>435</v>
      </c>
      <c r="F296" s="43" t="s">
        <v>35</v>
      </c>
      <c r="G296" s="44"/>
      <c r="H296" s="44"/>
      <c r="I296" s="44"/>
      <c r="J296" s="44"/>
      <c r="K296" s="44"/>
      <c r="L296" s="44"/>
      <c r="M296" s="44"/>
      <c r="N296" s="44"/>
      <c r="O296" s="45"/>
      <c r="P296" s="40"/>
    </row>
    <row r="297" spans="1:16" s="41" customFormat="1" ht="30" customHeight="1">
      <c r="A297" s="34">
        <v>253</v>
      </c>
      <c r="B297" s="35" t="s">
        <v>340</v>
      </c>
      <c r="C297" s="34"/>
      <c r="D297" s="35"/>
      <c r="E297" s="35" t="s">
        <v>435</v>
      </c>
      <c r="F297" s="35" t="s">
        <v>35</v>
      </c>
      <c r="G297" s="46"/>
      <c r="H297" s="44"/>
      <c r="I297" s="44"/>
      <c r="J297" s="46"/>
      <c r="K297" s="44"/>
      <c r="L297" s="44"/>
      <c r="M297" s="44"/>
      <c r="N297" s="44"/>
      <c r="O297" s="45"/>
      <c r="P297" s="40"/>
    </row>
    <row r="298" spans="1:16" s="41" customFormat="1" ht="30" customHeight="1">
      <c r="A298" s="42">
        <v>254</v>
      </c>
      <c r="B298" s="43" t="s">
        <v>341</v>
      </c>
      <c r="C298" s="42"/>
      <c r="D298" s="43"/>
      <c r="E298" s="43" t="s">
        <v>435</v>
      </c>
      <c r="F298" s="43" t="s">
        <v>13</v>
      </c>
      <c r="G298" s="44"/>
      <c r="H298" s="44"/>
      <c r="I298" s="44"/>
      <c r="J298" s="44"/>
      <c r="K298" s="44"/>
      <c r="L298" s="44"/>
      <c r="M298" s="44"/>
      <c r="N298" s="44"/>
      <c r="O298" s="45"/>
      <c r="P298" s="40"/>
    </row>
    <row r="299" spans="1:16" s="41" customFormat="1" ht="30" customHeight="1">
      <c r="A299" s="34">
        <v>255</v>
      </c>
      <c r="B299" s="35" t="s">
        <v>342</v>
      </c>
      <c r="C299" s="34"/>
      <c r="D299" s="35" t="s">
        <v>42</v>
      </c>
      <c r="E299" s="35" t="s">
        <v>435</v>
      </c>
      <c r="F299" s="35" t="s">
        <v>35</v>
      </c>
      <c r="G299" s="46"/>
      <c r="H299" s="44"/>
      <c r="I299" s="44"/>
      <c r="J299" s="46"/>
      <c r="K299" s="44"/>
      <c r="L299" s="44"/>
      <c r="M299" s="44"/>
      <c r="N299" s="44"/>
      <c r="O299" s="45"/>
      <c r="P299" s="40"/>
    </row>
    <row r="300" spans="1:16" s="41" customFormat="1" ht="30" customHeight="1">
      <c r="A300" s="48">
        <v>256</v>
      </c>
      <c r="B300" s="49" t="s">
        <v>343</v>
      </c>
      <c r="C300" s="48">
        <v>370</v>
      </c>
      <c r="D300" s="49"/>
      <c r="E300" s="49" t="s">
        <v>432</v>
      </c>
      <c r="F300" s="49" t="s">
        <v>615</v>
      </c>
      <c r="G300" s="46"/>
      <c r="H300" s="46"/>
      <c r="I300" s="46"/>
      <c r="J300" s="46"/>
      <c r="K300" s="46"/>
      <c r="L300" s="46"/>
      <c r="M300" s="46"/>
      <c r="N300" s="46"/>
      <c r="O300" s="45"/>
      <c r="P300" s="40"/>
    </row>
    <row r="301" spans="1:16" s="41" customFormat="1" ht="30" customHeight="1">
      <c r="A301" s="34">
        <v>257</v>
      </c>
      <c r="B301" s="35" t="s">
        <v>344</v>
      </c>
      <c r="C301" s="34"/>
      <c r="D301" s="35"/>
      <c r="E301" s="35" t="s">
        <v>428</v>
      </c>
      <c r="F301" s="35"/>
      <c r="G301" s="80" t="s">
        <v>453</v>
      </c>
      <c r="H301" s="35" t="s">
        <v>441</v>
      </c>
      <c r="I301" s="35" t="s">
        <v>595</v>
      </c>
      <c r="J301" s="80" t="s">
        <v>459</v>
      </c>
      <c r="K301" s="35" t="s">
        <v>460</v>
      </c>
      <c r="L301" s="35" t="s">
        <v>454</v>
      </c>
      <c r="M301" s="35" t="s">
        <v>443</v>
      </c>
      <c r="N301" s="47" t="s">
        <v>68</v>
      </c>
      <c r="O301" s="45"/>
      <c r="P301" s="40"/>
    </row>
    <row r="302" spans="1:16" s="41" customFormat="1" ht="30" customHeight="1">
      <c r="A302" s="42">
        <v>258</v>
      </c>
      <c r="B302" s="43" t="s">
        <v>345</v>
      </c>
      <c r="C302" s="42"/>
      <c r="D302" s="43"/>
      <c r="E302" s="43" t="s">
        <v>435</v>
      </c>
      <c r="F302" s="43" t="s">
        <v>35</v>
      </c>
      <c r="G302" s="44"/>
      <c r="H302" s="44"/>
      <c r="I302" s="44"/>
      <c r="J302" s="44"/>
      <c r="K302" s="44"/>
      <c r="L302" s="44"/>
      <c r="M302" s="44"/>
      <c r="N302" s="44"/>
      <c r="O302" s="45"/>
      <c r="P302" s="40"/>
    </row>
    <row r="303" spans="1:16" s="41" customFormat="1" ht="30" customHeight="1">
      <c r="A303" s="34">
        <v>259</v>
      </c>
      <c r="B303" s="35" t="s">
        <v>346</v>
      </c>
      <c r="C303" s="34"/>
      <c r="D303" s="35"/>
      <c r="E303" s="35" t="s">
        <v>435</v>
      </c>
      <c r="F303" s="35" t="s">
        <v>35</v>
      </c>
      <c r="G303" s="46"/>
      <c r="H303" s="44"/>
      <c r="I303" s="44"/>
      <c r="J303" s="46"/>
      <c r="K303" s="44"/>
      <c r="L303" s="44"/>
      <c r="M303" s="44"/>
      <c r="N303" s="44"/>
      <c r="O303" s="45"/>
      <c r="P303" s="40"/>
    </row>
    <row r="304" spans="1:16" s="41" customFormat="1" ht="43.5" customHeight="1">
      <c r="A304" s="48">
        <v>260</v>
      </c>
      <c r="B304" s="49" t="s">
        <v>347</v>
      </c>
      <c r="C304" s="48" t="s">
        <v>426</v>
      </c>
      <c r="D304" s="49"/>
      <c r="E304" s="49" t="s">
        <v>435</v>
      </c>
      <c r="F304" s="49" t="s">
        <v>235</v>
      </c>
      <c r="G304" s="38"/>
      <c r="H304" s="44"/>
      <c r="I304" s="44"/>
      <c r="J304" s="38"/>
      <c r="K304" s="44"/>
      <c r="L304" s="44"/>
      <c r="M304" s="44"/>
      <c r="N304" s="44"/>
      <c r="O304" s="45"/>
      <c r="P304" s="40"/>
    </row>
    <row r="305" spans="1:16" s="41" customFormat="1" ht="30" customHeight="1">
      <c r="A305" s="34">
        <v>261</v>
      </c>
      <c r="B305" s="35" t="s">
        <v>348</v>
      </c>
      <c r="C305" s="34"/>
      <c r="D305" s="35" t="s">
        <v>299</v>
      </c>
      <c r="E305" s="35" t="s">
        <v>435</v>
      </c>
      <c r="F305" s="35" t="s">
        <v>235</v>
      </c>
      <c r="G305" s="46"/>
      <c r="H305" s="44"/>
      <c r="I305" s="44"/>
      <c r="J305" s="46"/>
      <c r="K305" s="44"/>
      <c r="L305" s="44"/>
      <c r="M305" s="44"/>
      <c r="N305" s="44"/>
      <c r="O305" s="45"/>
      <c r="P305" s="40"/>
    </row>
    <row r="306" spans="1:16" s="41" customFormat="1" ht="42" customHeight="1">
      <c r="A306" s="42">
        <v>262</v>
      </c>
      <c r="B306" s="43" t="s">
        <v>349</v>
      </c>
      <c r="C306" s="42"/>
      <c r="D306" s="43" t="s">
        <v>299</v>
      </c>
      <c r="E306" s="43" t="s">
        <v>435</v>
      </c>
      <c r="F306" s="43" t="s">
        <v>235</v>
      </c>
      <c r="G306" s="44"/>
      <c r="H306" s="44"/>
      <c r="I306" s="44"/>
      <c r="J306" s="44"/>
      <c r="K306" s="44"/>
      <c r="L306" s="44"/>
      <c r="M306" s="44"/>
      <c r="N306" s="44"/>
      <c r="O306" s="45"/>
      <c r="P306" s="40"/>
    </row>
    <row r="307" spans="1:16" s="41" customFormat="1" ht="30" customHeight="1">
      <c r="A307" s="34">
        <v>263</v>
      </c>
      <c r="B307" s="35" t="s">
        <v>350</v>
      </c>
      <c r="C307" s="34"/>
      <c r="D307" s="35" t="s">
        <v>299</v>
      </c>
      <c r="E307" s="35" t="s">
        <v>435</v>
      </c>
      <c r="F307" s="35" t="s">
        <v>235</v>
      </c>
      <c r="G307" s="46"/>
      <c r="H307" s="44"/>
      <c r="I307" s="44"/>
      <c r="J307" s="46"/>
      <c r="K307" s="44"/>
      <c r="L307" s="44"/>
      <c r="M307" s="44"/>
      <c r="N307" s="44"/>
      <c r="O307" s="45"/>
      <c r="P307" s="40"/>
    </row>
    <row r="308" spans="1:16" s="41" customFormat="1" ht="30" customHeight="1">
      <c r="A308" s="42">
        <v>264</v>
      </c>
      <c r="B308" s="43" t="s">
        <v>351</v>
      </c>
      <c r="C308" s="42"/>
      <c r="D308" s="43"/>
      <c r="E308" s="43" t="s">
        <v>435</v>
      </c>
      <c r="F308" s="43" t="s">
        <v>35</v>
      </c>
      <c r="G308" s="44"/>
      <c r="H308" s="44"/>
      <c r="I308" s="44"/>
      <c r="J308" s="44"/>
      <c r="K308" s="44"/>
      <c r="L308" s="44"/>
      <c r="M308" s="44"/>
      <c r="N308" s="44"/>
      <c r="O308" s="45"/>
      <c r="P308" s="40"/>
    </row>
    <row r="309" spans="1:16" s="41" customFormat="1" ht="30" customHeight="1">
      <c r="A309" s="34">
        <v>265</v>
      </c>
      <c r="B309" s="35" t="s">
        <v>352</v>
      </c>
      <c r="C309" s="34"/>
      <c r="D309" s="35"/>
      <c r="E309" s="35" t="s">
        <v>435</v>
      </c>
      <c r="F309" s="35" t="s">
        <v>235</v>
      </c>
      <c r="G309" s="46"/>
      <c r="H309" s="44"/>
      <c r="I309" s="44"/>
      <c r="J309" s="46"/>
      <c r="K309" s="44"/>
      <c r="L309" s="44"/>
      <c r="M309" s="44"/>
      <c r="N309" s="44"/>
      <c r="O309" s="45"/>
      <c r="P309" s="40"/>
    </row>
    <row r="310" spans="1:16" s="41" customFormat="1" ht="30" customHeight="1">
      <c r="A310" s="42">
        <v>266</v>
      </c>
      <c r="B310" s="43" t="s">
        <v>353</v>
      </c>
      <c r="C310" s="42"/>
      <c r="D310" s="43"/>
      <c r="E310" s="43" t="s">
        <v>435</v>
      </c>
      <c r="F310" s="43" t="s">
        <v>235</v>
      </c>
      <c r="G310" s="44"/>
      <c r="H310" s="44"/>
      <c r="I310" s="44"/>
      <c r="J310" s="44"/>
      <c r="K310" s="44"/>
      <c r="L310" s="44"/>
      <c r="M310" s="44"/>
      <c r="N310" s="44"/>
      <c r="O310" s="45"/>
      <c r="P310" s="40"/>
    </row>
    <row r="311" spans="1:16" s="41" customFormat="1" ht="30" customHeight="1">
      <c r="A311" s="34">
        <v>267</v>
      </c>
      <c r="B311" s="35" t="s">
        <v>354</v>
      </c>
      <c r="C311" s="34"/>
      <c r="D311" s="35"/>
      <c r="E311" s="35" t="s">
        <v>435</v>
      </c>
      <c r="F311" s="35" t="s">
        <v>355</v>
      </c>
      <c r="G311" s="46"/>
      <c r="H311" s="44"/>
      <c r="I311" s="44"/>
      <c r="J311" s="46"/>
      <c r="K311" s="44"/>
      <c r="L311" s="44"/>
      <c r="M311" s="44"/>
      <c r="N311" s="44"/>
      <c r="O311" s="45"/>
      <c r="P311" s="40"/>
    </row>
    <row r="312" spans="1:16" s="41" customFormat="1" ht="30" customHeight="1">
      <c r="A312" s="42">
        <v>268</v>
      </c>
      <c r="B312" s="43" t="s">
        <v>25</v>
      </c>
      <c r="C312" s="42"/>
      <c r="D312" s="43"/>
      <c r="E312" s="43" t="s">
        <v>435</v>
      </c>
      <c r="F312" s="43" t="s">
        <v>355</v>
      </c>
      <c r="G312" s="44"/>
      <c r="H312" s="44"/>
      <c r="I312" s="44"/>
      <c r="J312" s="44"/>
      <c r="K312" s="44"/>
      <c r="L312" s="44"/>
      <c r="M312" s="44"/>
      <c r="N312" s="44"/>
      <c r="O312" s="45"/>
      <c r="P312" s="40"/>
    </row>
    <row r="313" spans="1:16" s="41" customFormat="1" ht="30" customHeight="1">
      <c r="A313" s="34">
        <v>269</v>
      </c>
      <c r="B313" s="35" t="s">
        <v>356</v>
      </c>
      <c r="C313" s="34"/>
      <c r="D313" s="35"/>
      <c r="E313" s="35" t="s">
        <v>435</v>
      </c>
      <c r="F313" s="35" t="s">
        <v>355</v>
      </c>
      <c r="G313" s="46"/>
      <c r="H313" s="44"/>
      <c r="I313" s="44"/>
      <c r="J313" s="46"/>
      <c r="K313" s="44"/>
      <c r="L313" s="44"/>
      <c r="M313" s="44"/>
      <c r="N313" s="44"/>
      <c r="O313" s="45"/>
      <c r="P313" s="40"/>
    </row>
    <row r="314" spans="1:16" s="41" customFormat="1" ht="30" customHeight="1">
      <c r="A314" s="42">
        <v>270</v>
      </c>
      <c r="B314" s="43" t="s">
        <v>357</v>
      </c>
      <c r="C314" s="42"/>
      <c r="D314" s="43"/>
      <c r="E314" s="43" t="s">
        <v>435</v>
      </c>
      <c r="F314" s="43" t="s">
        <v>355</v>
      </c>
      <c r="G314" s="44"/>
      <c r="H314" s="44"/>
      <c r="I314" s="44"/>
      <c r="J314" s="44"/>
      <c r="K314" s="44"/>
      <c r="L314" s="44"/>
      <c r="M314" s="44"/>
      <c r="N314" s="44"/>
      <c r="O314" s="45"/>
      <c r="P314" s="40"/>
    </row>
    <row r="315" spans="1:16" s="41" customFormat="1" ht="30" customHeight="1">
      <c r="A315" s="34">
        <v>271</v>
      </c>
      <c r="B315" s="35" t="s">
        <v>358</v>
      </c>
      <c r="C315" s="34"/>
      <c r="D315" s="35"/>
      <c r="E315" s="35" t="s">
        <v>435</v>
      </c>
      <c r="F315" s="35" t="s">
        <v>355</v>
      </c>
      <c r="G315" s="46"/>
      <c r="H315" s="44"/>
      <c r="I315" s="44"/>
      <c r="J315" s="46"/>
      <c r="K315" s="44"/>
      <c r="L315" s="44"/>
      <c r="M315" s="44"/>
      <c r="N315" s="44"/>
      <c r="O315" s="45"/>
      <c r="P315" s="40"/>
    </row>
    <row r="316" spans="1:16" s="41" customFormat="1" ht="30" customHeight="1">
      <c r="A316" s="42">
        <v>272</v>
      </c>
      <c r="B316" s="43" t="s">
        <v>359</v>
      </c>
      <c r="C316" s="42"/>
      <c r="D316" s="43"/>
      <c r="E316" s="43" t="s">
        <v>435</v>
      </c>
      <c r="F316" s="43" t="s">
        <v>355</v>
      </c>
      <c r="G316" s="44"/>
      <c r="H316" s="44"/>
      <c r="I316" s="44"/>
      <c r="J316" s="44"/>
      <c r="K316" s="44"/>
      <c r="L316" s="44"/>
      <c r="M316" s="44"/>
      <c r="N316" s="44"/>
      <c r="O316" s="45"/>
      <c r="P316" s="40"/>
    </row>
    <row r="317" spans="1:16" s="41" customFormat="1" ht="41.25" customHeight="1">
      <c r="A317" s="34">
        <v>273</v>
      </c>
      <c r="B317" s="35" t="s">
        <v>360</v>
      </c>
      <c r="C317" s="34"/>
      <c r="D317" s="35"/>
      <c r="E317" s="35" t="s">
        <v>435</v>
      </c>
      <c r="F317" s="35" t="s">
        <v>355</v>
      </c>
      <c r="G317" s="46"/>
      <c r="H317" s="44"/>
      <c r="I317" s="44"/>
      <c r="J317" s="46"/>
      <c r="K317" s="44"/>
      <c r="L317" s="44"/>
      <c r="M317" s="44"/>
      <c r="N317" s="44"/>
      <c r="O317" s="45"/>
      <c r="P317" s="40"/>
    </row>
    <row r="318" spans="1:16" s="41" customFormat="1" ht="30" customHeight="1">
      <c r="A318" s="42">
        <v>274</v>
      </c>
      <c r="B318" s="43" t="s">
        <v>361</v>
      </c>
      <c r="C318" s="42"/>
      <c r="D318" s="43"/>
      <c r="E318" s="43" t="s">
        <v>435</v>
      </c>
      <c r="F318" s="43" t="s">
        <v>355</v>
      </c>
      <c r="G318" s="44"/>
      <c r="H318" s="44"/>
      <c r="I318" s="44"/>
      <c r="J318" s="44"/>
      <c r="K318" s="44"/>
      <c r="L318" s="44"/>
      <c r="M318" s="44"/>
      <c r="N318" s="44"/>
      <c r="O318" s="45"/>
      <c r="P318" s="40"/>
    </row>
    <row r="319" spans="1:16" s="41" customFormat="1" ht="30" customHeight="1">
      <c r="A319" s="34">
        <v>275</v>
      </c>
      <c r="B319" s="35" t="s">
        <v>362</v>
      </c>
      <c r="C319" s="34"/>
      <c r="D319" s="35"/>
      <c r="E319" s="35" t="s">
        <v>435</v>
      </c>
      <c r="F319" s="35" t="s">
        <v>355</v>
      </c>
      <c r="G319" s="46"/>
      <c r="H319" s="44"/>
      <c r="I319" s="44"/>
      <c r="J319" s="46"/>
      <c r="K319" s="44"/>
      <c r="L319" s="44"/>
      <c r="M319" s="44"/>
      <c r="N319" s="44"/>
      <c r="O319" s="45"/>
      <c r="P319" s="40"/>
    </row>
    <row r="320" spans="1:16" s="41" customFormat="1" ht="30" customHeight="1">
      <c r="A320" s="42">
        <v>276</v>
      </c>
      <c r="B320" s="43" t="s">
        <v>363</v>
      </c>
      <c r="C320" s="42"/>
      <c r="D320" s="43"/>
      <c r="E320" s="43" t="s">
        <v>435</v>
      </c>
      <c r="F320" s="43" t="s">
        <v>355</v>
      </c>
      <c r="G320" s="44"/>
      <c r="H320" s="44"/>
      <c r="I320" s="44"/>
      <c r="J320" s="44"/>
      <c r="K320" s="44"/>
      <c r="L320" s="44"/>
      <c r="M320" s="44"/>
      <c r="N320" s="44"/>
      <c r="O320" s="45"/>
      <c r="P320" s="40"/>
    </row>
    <row r="321" spans="1:16" s="41" customFormat="1" ht="30" customHeight="1">
      <c r="A321" s="34">
        <v>277</v>
      </c>
      <c r="B321" s="35" t="s">
        <v>364</v>
      </c>
      <c r="C321" s="34"/>
      <c r="D321" s="35"/>
      <c r="E321" s="35" t="s">
        <v>435</v>
      </c>
      <c r="F321" s="35" t="s">
        <v>355</v>
      </c>
      <c r="G321" s="46"/>
      <c r="H321" s="44"/>
      <c r="I321" s="44"/>
      <c r="J321" s="46"/>
      <c r="K321" s="44"/>
      <c r="L321" s="44"/>
      <c r="M321" s="44"/>
      <c r="N321" s="44"/>
      <c r="O321" s="45"/>
      <c r="P321" s="40"/>
    </row>
    <row r="322" spans="1:16" s="41" customFormat="1" ht="30" customHeight="1">
      <c r="A322" s="42">
        <v>278</v>
      </c>
      <c r="B322" s="43" t="s">
        <v>365</v>
      </c>
      <c r="C322" s="42"/>
      <c r="D322" s="43"/>
      <c r="E322" s="43" t="s">
        <v>435</v>
      </c>
      <c r="F322" s="43" t="s">
        <v>355</v>
      </c>
      <c r="G322" s="44"/>
      <c r="H322" s="44"/>
      <c r="I322" s="44"/>
      <c r="J322" s="44"/>
      <c r="K322" s="44"/>
      <c r="L322" s="44"/>
      <c r="M322" s="44"/>
      <c r="N322" s="44"/>
      <c r="O322" s="45"/>
      <c r="P322" s="40"/>
    </row>
    <row r="323" spans="1:16" s="41" customFormat="1" ht="30" customHeight="1">
      <c r="A323" s="34">
        <v>279</v>
      </c>
      <c r="B323" s="35" t="s">
        <v>366</v>
      </c>
      <c r="C323" s="34"/>
      <c r="D323" s="35"/>
      <c r="E323" s="35" t="s">
        <v>435</v>
      </c>
      <c r="F323" s="35" t="s">
        <v>355</v>
      </c>
      <c r="G323" s="46"/>
      <c r="H323" s="44"/>
      <c r="I323" s="44"/>
      <c r="J323" s="46"/>
      <c r="K323" s="44"/>
      <c r="L323" s="44"/>
      <c r="M323" s="44"/>
      <c r="N323" s="44"/>
      <c r="O323" s="45"/>
      <c r="P323" s="40"/>
    </row>
    <row r="324" spans="1:16" s="41" customFormat="1" ht="30" customHeight="1">
      <c r="A324" s="42">
        <v>280</v>
      </c>
      <c r="B324" s="43" t="s">
        <v>367</v>
      </c>
      <c r="C324" s="42"/>
      <c r="D324" s="43"/>
      <c r="E324" s="43" t="s">
        <v>435</v>
      </c>
      <c r="F324" s="43" t="s">
        <v>355</v>
      </c>
      <c r="G324" s="44"/>
      <c r="H324" s="44"/>
      <c r="I324" s="44"/>
      <c r="J324" s="44"/>
      <c r="K324" s="44"/>
      <c r="L324" s="44"/>
      <c r="M324" s="44"/>
      <c r="N324" s="44"/>
      <c r="O324" s="45"/>
      <c r="P324" s="40"/>
    </row>
    <row r="325" spans="1:16" s="41" customFormat="1" ht="30" customHeight="1">
      <c r="A325" s="34">
        <v>281</v>
      </c>
      <c r="B325" s="35" t="s">
        <v>368</v>
      </c>
      <c r="C325" s="34"/>
      <c r="D325" s="35"/>
      <c r="E325" s="35" t="s">
        <v>435</v>
      </c>
      <c r="F325" s="35" t="s">
        <v>355</v>
      </c>
      <c r="G325" s="46"/>
      <c r="H325" s="44"/>
      <c r="I325" s="44"/>
      <c r="J325" s="46"/>
      <c r="K325" s="44"/>
      <c r="L325" s="44"/>
      <c r="M325" s="44"/>
      <c r="N325" s="44"/>
      <c r="O325" s="45"/>
      <c r="P325" s="40"/>
    </row>
    <row r="326" spans="1:16" s="41" customFormat="1" ht="30" customHeight="1">
      <c r="A326" s="42">
        <v>282</v>
      </c>
      <c r="B326" s="43" t="s">
        <v>369</v>
      </c>
      <c r="C326" s="42"/>
      <c r="D326" s="43"/>
      <c r="E326" s="43" t="s">
        <v>435</v>
      </c>
      <c r="F326" s="43" t="s">
        <v>355</v>
      </c>
      <c r="G326" s="44"/>
      <c r="H326" s="44"/>
      <c r="I326" s="44"/>
      <c r="J326" s="44"/>
      <c r="K326" s="44"/>
      <c r="L326" s="44"/>
      <c r="M326" s="44"/>
      <c r="N326" s="44"/>
      <c r="O326" s="45"/>
      <c r="P326" s="40"/>
    </row>
    <row r="327" spans="1:16" s="41" customFormat="1" ht="30" customHeight="1">
      <c r="A327" s="34">
        <v>283</v>
      </c>
      <c r="B327" s="35" t="s">
        <v>370</v>
      </c>
      <c r="C327" s="34"/>
      <c r="D327" s="35"/>
      <c r="E327" s="35" t="s">
        <v>435</v>
      </c>
      <c r="F327" s="35" t="s">
        <v>355</v>
      </c>
      <c r="G327" s="46"/>
      <c r="H327" s="44"/>
      <c r="I327" s="44"/>
      <c r="J327" s="46"/>
      <c r="K327" s="44"/>
      <c r="L327" s="44"/>
      <c r="M327" s="44"/>
      <c r="N327" s="44"/>
      <c r="O327" s="45"/>
      <c r="P327" s="40"/>
    </row>
    <row r="328" spans="1:16" s="41" customFormat="1" ht="30" customHeight="1">
      <c r="A328" s="42">
        <v>284</v>
      </c>
      <c r="B328" s="43" t="s">
        <v>371</v>
      </c>
      <c r="C328" s="42"/>
      <c r="D328" s="43"/>
      <c r="E328" s="43" t="s">
        <v>435</v>
      </c>
      <c r="F328" s="43" t="s">
        <v>355</v>
      </c>
      <c r="G328" s="44"/>
      <c r="H328" s="44"/>
      <c r="I328" s="44"/>
      <c r="J328" s="44"/>
      <c r="K328" s="44"/>
      <c r="L328" s="44"/>
      <c r="M328" s="44"/>
      <c r="N328" s="44"/>
      <c r="O328" s="45"/>
      <c r="P328" s="40"/>
    </row>
    <row r="329" spans="1:16" s="41" customFormat="1" ht="30" customHeight="1">
      <c r="A329" s="34">
        <v>285</v>
      </c>
      <c r="B329" s="35" t="s">
        <v>372</v>
      </c>
      <c r="C329" s="34"/>
      <c r="D329" s="35"/>
      <c r="E329" s="35" t="s">
        <v>435</v>
      </c>
      <c r="F329" s="35" t="s">
        <v>355</v>
      </c>
      <c r="G329" s="46"/>
      <c r="H329" s="44"/>
      <c r="I329" s="44"/>
      <c r="J329" s="46"/>
      <c r="K329" s="44"/>
      <c r="L329" s="44"/>
      <c r="M329" s="44"/>
      <c r="N329" s="44"/>
      <c r="O329" s="45"/>
      <c r="P329" s="40"/>
    </row>
    <row r="330" spans="1:16" s="41" customFormat="1" ht="30" customHeight="1">
      <c r="A330" s="42">
        <v>286</v>
      </c>
      <c r="B330" s="43" t="s">
        <v>373</v>
      </c>
      <c r="C330" s="42"/>
      <c r="D330" s="43"/>
      <c r="E330" s="43" t="s">
        <v>435</v>
      </c>
      <c r="F330" s="43" t="s">
        <v>355</v>
      </c>
      <c r="G330" s="44"/>
      <c r="H330" s="44"/>
      <c r="I330" s="44"/>
      <c r="J330" s="44"/>
      <c r="K330" s="44"/>
      <c r="L330" s="44"/>
      <c r="M330" s="44"/>
      <c r="N330" s="44"/>
      <c r="O330" s="45"/>
      <c r="P330" s="40"/>
    </row>
    <row r="331" spans="1:16" s="41" customFormat="1" ht="30" customHeight="1">
      <c r="A331" s="34">
        <v>287</v>
      </c>
      <c r="B331" s="35" t="s">
        <v>374</v>
      </c>
      <c r="C331" s="34"/>
      <c r="D331" s="35"/>
      <c r="E331" s="35" t="s">
        <v>435</v>
      </c>
      <c r="F331" s="35" t="s">
        <v>355</v>
      </c>
      <c r="G331" s="46"/>
      <c r="H331" s="44"/>
      <c r="I331" s="44"/>
      <c r="J331" s="46"/>
      <c r="K331" s="44"/>
      <c r="L331" s="44"/>
      <c r="M331" s="44"/>
      <c r="N331" s="44"/>
      <c r="O331" s="45"/>
      <c r="P331" s="40"/>
    </row>
    <row r="332" spans="1:16" s="41" customFormat="1" ht="30" customHeight="1">
      <c r="A332" s="42">
        <v>288</v>
      </c>
      <c r="B332" s="43" t="s">
        <v>375</v>
      </c>
      <c r="C332" s="42"/>
      <c r="D332" s="43"/>
      <c r="E332" s="43" t="s">
        <v>435</v>
      </c>
      <c r="F332" s="43" t="s">
        <v>355</v>
      </c>
      <c r="G332" s="44"/>
      <c r="H332" s="44"/>
      <c r="I332" s="44"/>
      <c r="J332" s="44"/>
      <c r="K332" s="44"/>
      <c r="L332" s="44"/>
      <c r="M332" s="44"/>
      <c r="N332" s="44"/>
      <c r="O332" s="45"/>
      <c r="P332" s="40"/>
    </row>
    <row r="333" spans="1:16" s="41" customFormat="1" ht="30" customHeight="1">
      <c r="A333" s="34">
        <v>289</v>
      </c>
      <c r="B333" s="35" t="s">
        <v>376</v>
      </c>
      <c r="C333" s="34"/>
      <c r="D333" s="35"/>
      <c r="E333" s="35" t="s">
        <v>435</v>
      </c>
      <c r="F333" s="35" t="s">
        <v>355</v>
      </c>
      <c r="G333" s="46"/>
      <c r="H333" s="44"/>
      <c r="I333" s="44"/>
      <c r="J333" s="46"/>
      <c r="K333" s="44"/>
      <c r="L333" s="44"/>
      <c r="M333" s="44"/>
      <c r="N333" s="44"/>
      <c r="O333" s="45"/>
      <c r="P333" s="40"/>
    </row>
    <row r="334" spans="1:16" s="41" customFormat="1" ht="30" customHeight="1">
      <c r="A334" s="42">
        <v>290</v>
      </c>
      <c r="B334" s="43" t="s">
        <v>377</v>
      </c>
      <c r="C334" s="42"/>
      <c r="D334" s="43"/>
      <c r="E334" s="43" t="s">
        <v>435</v>
      </c>
      <c r="F334" s="43" t="s">
        <v>355</v>
      </c>
      <c r="G334" s="44"/>
      <c r="H334" s="44"/>
      <c r="I334" s="44"/>
      <c r="J334" s="44"/>
      <c r="K334" s="44"/>
      <c r="L334" s="44"/>
      <c r="M334" s="44"/>
      <c r="N334" s="44"/>
      <c r="O334" s="45"/>
      <c r="P334" s="40"/>
    </row>
    <row r="335" spans="1:16" s="41" customFormat="1" ht="30" customHeight="1">
      <c r="A335" s="34">
        <v>291</v>
      </c>
      <c r="B335" s="35" t="s">
        <v>378</v>
      </c>
      <c r="C335" s="34"/>
      <c r="D335" s="35"/>
      <c r="E335" s="35" t="s">
        <v>435</v>
      </c>
      <c r="F335" s="35" t="s">
        <v>355</v>
      </c>
      <c r="G335" s="46"/>
      <c r="H335" s="44"/>
      <c r="I335" s="44"/>
      <c r="J335" s="46"/>
      <c r="K335" s="44"/>
      <c r="L335" s="44"/>
      <c r="M335" s="44"/>
      <c r="N335" s="44"/>
      <c r="O335" s="45"/>
      <c r="P335" s="40"/>
    </row>
    <row r="336" spans="1:16" s="41" customFormat="1" ht="30" customHeight="1">
      <c r="A336" s="42">
        <v>292</v>
      </c>
      <c r="B336" s="43" t="s">
        <v>379</v>
      </c>
      <c r="C336" s="42"/>
      <c r="D336" s="43"/>
      <c r="E336" s="43" t="s">
        <v>435</v>
      </c>
      <c r="F336" s="43" t="s">
        <v>355</v>
      </c>
      <c r="G336" s="44"/>
      <c r="H336" s="44"/>
      <c r="I336" s="44"/>
      <c r="J336" s="44"/>
      <c r="K336" s="44"/>
      <c r="L336" s="44"/>
      <c r="M336" s="44"/>
      <c r="N336" s="44"/>
      <c r="O336" s="45"/>
      <c r="P336" s="40"/>
    </row>
    <row r="337" spans="1:16" s="41" customFormat="1" ht="30" customHeight="1">
      <c r="A337" s="34">
        <v>293</v>
      </c>
      <c r="B337" s="35" t="s">
        <v>380</v>
      </c>
      <c r="C337" s="34"/>
      <c r="D337" s="35"/>
      <c r="E337" s="35" t="s">
        <v>435</v>
      </c>
      <c r="F337" s="35" t="s">
        <v>355</v>
      </c>
      <c r="G337" s="46"/>
      <c r="H337" s="44"/>
      <c r="I337" s="44"/>
      <c r="J337" s="46"/>
      <c r="K337" s="44"/>
      <c r="L337" s="44"/>
      <c r="M337" s="44"/>
      <c r="N337" s="44"/>
      <c r="O337" s="45"/>
      <c r="P337" s="40"/>
    </row>
    <row r="338" spans="1:16" s="41" customFormat="1" ht="30" customHeight="1">
      <c r="A338" s="42">
        <v>294</v>
      </c>
      <c r="B338" s="43" t="s">
        <v>381</v>
      </c>
      <c r="C338" s="42"/>
      <c r="D338" s="43"/>
      <c r="E338" s="43" t="s">
        <v>435</v>
      </c>
      <c r="F338" s="43" t="s">
        <v>355</v>
      </c>
      <c r="G338" s="44"/>
      <c r="H338" s="44"/>
      <c r="I338" s="44"/>
      <c r="J338" s="44"/>
      <c r="K338" s="44"/>
      <c r="L338" s="44"/>
      <c r="M338" s="44"/>
      <c r="N338" s="44"/>
      <c r="O338" s="45"/>
      <c r="P338" s="40"/>
    </row>
    <row r="339" spans="1:16" s="41" customFormat="1" ht="30" customHeight="1">
      <c r="A339" s="34">
        <v>295</v>
      </c>
      <c r="B339" s="35" t="s">
        <v>93</v>
      </c>
      <c r="C339" s="34"/>
      <c r="D339" s="35"/>
      <c r="E339" s="35" t="s">
        <v>435</v>
      </c>
      <c r="F339" s="35" t="s">
        <v>355</v>
      </c>
      <c r="G339" s="46"/>
      <c r="H339" s="44"/>
      <c r="I339" s="44"/>
      <c r="J339" s="46"/>
      <c r="K339" s="44"/>
      <c r="L339" s="44"/>
      <c r="M339" s="44"/>
      <c r="N339" s="44"/>
      <c r="O339" s="45"/>
      <c r="P339" s="40"/>
    </row>
    <row r="340" spans="1:16" s="41" customFormat="1" ht="30" customHeight="1">
      <c r="A340" s="42">
        <v>296</v>
      </c>
      <c r="B340" s="43" t="s">
        <v>382</v>
      </c>
      <c r="C340" s="42"/>
      <c r="D340" s="43"/>
      <c r="E340" s="43" t="s">
        <v>435</v>
      </c>
      <c r="F340" s="43" t="s">
        <v>355</v>
      </c>
      <c r="G340" s="44"/>
      <c r="H340" s="44"/>
      <c r="I340" s="44"/>
      <c r="J340" s="44"/>
      <c r="K340" s="44"/>
      <c r="L340" s="44"/>
      <c r="M340" s="44"/>
      <c r="N340" s="44"/>
      <c r="O340" s="45"/>
      <c r="P340" s="40"/>
    </row>
    <row r="341" spans="1:16" s="41" customFormat="1" ht="30" customHeight="1">
      <c r="A341" s="34">
        <v>297</v>
      </c>
      <c r="B341" s="35" t="s">
        <v>383</v>
      </c>
      <c r="C341" s="34"/>
      <c r="D341" s="35"/>
      <c r="E341" s="35" t="s">
        <v>435</v>
      </c>
      <c r="F341" s="35" t="s">
        <v>13</v>
      </c>
      <c r="G341" s="46"/>
      <c r="H341" s="44"/>
      <c r="I341" s="44"/>
      <c r="J341" s="46"/>
      <c r="K341" s="44"/>
      <c r="L341" s="44"/>
      <c r="M341" s="44"/>
      <c r="N341" s="44"/>
      <c r="O341" s="45"/>
      <c r="P341" s="40"/>
    </row>
    <row r="342" spans="1:16" s="41" customFormat="1" ht="30" customHeight="1">
      <c r="A342" s="42">
        <v>298</v>
      </c>
      <c r="B342" s="43" t="s">
        <v>384</v>
      </c>
      <c r="C342" s="42"/>
      <c r="D342" s="43"/>
      <c r="E342" s="43" t="s">
        <v>435</v>
      </c>
      <c r="F342" s="43" t="s">
        <v>35</v>
      </c>
      <c r="G342" s="44"/>
      <c r="H342" s="44"/>
      <c r="I342" s="44"/>
      <c r="J342" s="44"/>
      <c r="K342" s="44"/>
      <c r="L342" s="44"/>
      <c r="M342" s="44"/>
      <c r="N342" s="44"/>
      <c r="O342" s="45"/>
      <c r="P342" s="40"/>
    </row>
    <row r="343" spans="1:16" s="41" customFormat="1" ht="30" customHeight="1">
      <c r="A343" s="34">
        <v>299</v>
      </c>
      <c r="B343" s="35" t="s">
        <v>385</v>
      </c>
      <c r="C343" s="34"/>
      <c r="D343" s="35"/>
      <c r="E343" s="35" t="s">
        <v>435</v>
      </c>
      <c r="F343" s="35" t="s">
        <v>13</v>
      </c>
      <c r="G343" s="46"/>
      <c r="H343" s="44"/>
      <c r="I343" s="44"/>
      <c r="J343" s="46"/>
      <c r="K343" s="44"/>
      <c r="L343" s="44"/>
      <c r="M343" s="44"/>
      <c r="N343" s="44"/>
      <c r="O343" s="45"/>
      <c r="P343" s="40"/>
    </row>
    <row r="344" spans="1:16" s="41" customFormat="1" ht="30" customHeight="1">
      <c r="A344" s="42">
        <v>300</v>
      </c>
      <c r="B344" s="43" t="s">
        <v>386</v>
      </c>
      <c r="C344" s="42"/>
      <c r="D344" s="43"/>
      <c r="E344" s="43" t="s">
        <v>435</v>
      </c>
      <c r="F344" s="43" t="s">
        <v>13</v>
      </c>
      <c r="G344" s="44"/>
      <c r="H344" s="44"/>
      <c r="I344" s="44"/>
      <c r="J344" s="44"/>
      <c r="K344" s="44"/>
      <c r="L344" s="44"/>
      <c r="M344" s="44"/>
      <c r="N344" s="44"/>
      <c r="O344" s="45"/>
      <c r="P344" s="40"/>
    </row>
    <row r="345" spans="1:16" s="41" customFormat="1" ht="30" customHeight="1">
      <c r="A345" s="34">
        <v>301</v>
      </c>
      <c r="B345" s="35" t="s">
        <v>387</v>
      </c>
      <c r="C345" s="34"/>
      <c r="D345" s="35"/>
      <c r="E345" s="35" t="s">
        <v>435</v>
      </c>
      <c r="F345" s="35" t="s">
        <v>13</v>
      </c>
      <c r="G345" s="46"/>
      <c r="H345" s="44"/>
      <c r="I345" s="44"/>
      <c r="J345" s="46"/>
      <c r="K345" s="44"/>
      <c r="L345" s="44"/>
      <c r="M345" s="44"/>
      <c r="N345" s="44"/>
      <c r="O345" s="45"/>
      <c r="P345" s="40"/>
    </row>
    <row r="346" spans="1:16" s="41" customFormat="1" ht="30" customHeight="1">
      <c r="A346" s="42">
        <v>302</v>
      </c>
      <c r="B346" s="43" t="s">
        <v>388</v>
      </c>
      <c r="C346" s="42"/>
      <c r="D346" s="43"/>
      <c r="E346" s="43" t="s">
        <v>435</v>
      </c>
      <c r="F346" s="43" t="s">
        <v>13</v>
      </c>
      <c r="G346" s="44"/>
      <c r="H346" s="44"/>
      <c r="I346" s="44"/>
      <c r="J346" s="44"/>
      <c r="K346" s="44"/>
      <c r="L346" s="44"/>
      <c r="M346" s="44"/>
      <c r="N346" s="44"/>
      <c r="O346" s="45"/>
      <c r="P346" s="40"/>
    </row>
    <row r="347" spans="1:16" s="41" customFormat="1" ht="30" customHeight="1">
      <c r="A347" s="34">
        <v>303</v>
      </c>
      <c r="B347" s="35" t="s">
        <v>389</v>
      </c>
      <c r="C347" s="34"/>
      <c r="D347" s="35"/>
      <c r="E347" s="35" t="s">
        <v>435</v>
      </c>
      <c r="F347" s="35" t="s">
        <v>13</v>
      </c>
      <c r="G347" s="46"/>
      <c r="H347" s="44"/>
      <c r="I347" s="44"/>
      <c r="J347" s="46"/>
      <c r="K347" s="44"/>
      <c r="L347" s="44"/>
      <c r="M347" s="44"/>
      <c r="N347" s="44"/>
      <c r="O347" s="45"/>
      <c r="P347" s="40"/>
    </row>
    <row r="348" spans="1:16" s="41" customFormat="1" ht="30" customHeight="1">
      <c r="A348" s="42">
        <v>304</v>
      </c>
      <c r="B348" s="43" t="s">
        <v>390</v>
      </c>
      <c r="C348" s="42"/>
      <c r="D348" s="43"/>
      <c r="E348" s="43" t="s">
        <v>435</v>
      </c>
      <c r="F348" s="43" t="s">
        <v>13</v>
      </c>
      <c r="G348" s="44"/>
      <c r="H348" s="44"/>
      <c r="I348" s="44"/>
      <c r="J348" s="44"/>
      <c r="K348" s="44"/>
      <c r="L348" s="44"/>
      <c r="M348" s="44"/>
      <c r="N348" s="44"/>
      <c r="O348" s="45"/>
      <c r="P348" s="40"/>
    </row>
    <row r="349" spans="1:16" s="41" customFormat="1" ht="30" customHeight="1">
      <c r="A349" s="34">
        <v>305</v>
      </c>
      <c r="B349" s="35" t="s">
        <v>391</v>
      </c>
      <c r="C349" s="34"/>
      <c r="D349" s="35"/>
      <c r="E349" s="35" t="s">
        <v>435</v>
      </c>
      <c r="F349" s="35" t="s">
        <v>13</v>
      </c>
      <c r="G349" s="46"/>
      <c r="H349" s="44"/>
      <c r="I349" s="44"/>
      <c r="J349" s="46"/>
      <c r="K349" s="44"/>
      <c r="L349" s="44"/>
      <c r="M349" s="44"/>
      <c r="N349" s="44"/>
      <c r="O349" s="45"/>
      <c r="P349" s="40"/>
    </row>
    <row r="350" spans="1:16" s="41" customFormat="1" ht="30" customHeight="1">
      <c r="A350" s="42">
        <v>306</v>
      </c>
      <c r="B350" s="43" t="s">
        <v>392</v>
      </c>
      <c r="C350" s="42"/>
      <c r="D350" s="43"/>
      <c r="E350" s="43" t="s">
        <v>435</v>
      </c>
      <c r="F350" s="43" t="s">
        <v>13</v>
      </c>
      <c r="G350" s="44"/>
      <c r="H350" s="44"/>
      <c r="I350" s="44"/>
      <c r="J350" s="44"/>
      <c r="K350" s="44"/>
      <c r="L350" s="44"/>
      <c r="M350" s="44"/>
      <c r="N350" s="44"/>
      <c r="O350" s="45"/>
      <c r="P350" s="40"/>
    </row>
    <row r="351" spans="1:16" s="41" customFormat="1" ht="30" customHeight="1">
      <c r="A351" s="34">
        <v>307</v>
      </c>
      <c r="B351" s="35" t="s">
        <v>393</v>
      </c>
      <c r="C351" s="34">
        <v>371</v>
      </c>
      <c r="D351" s="35"/>
      <c r="E351" s="35" t="s">
        <v>435</v>
      </c>
      <c r="F351" s="35" t="s">
        <v>13</v>
      </c>
      <c r="G351" s="46"/>
      <c r="H351" s="44"/>
      <c r="I351" s="44"/>
      <c r="J351" s="46"/>
      <c r="K351" s="44"/>
      <c r="L351" s="44"/>
      <c r="M351" s="44"/>
      <c r="N351" s="44"/>
      <c r="O351" s="45"/>
      <c r="P351" s="40"/>
    </row>
    <row r="352" spans="1:16" s="41" customFormat="1" ht="30" customHeight="1">
      <c r="A352" s="48">
        <v>308</v>
      </c>
      <c r="B352" s="49" t="s">
        <v>394</v>
      </c>
      <c r="C352" s="48" t="s">
        <v>427</v>
      </c>
      <c r="D352" s="49"/>
      <c r="E352" s="49" t="s">
        <v>435</v>
      </c>
      <c r="F352" s="49" t="s">
        <v>13</v>
      </c>
      <c r="G352" s="38"/>
      <c r="H352" s="44"/>
      <c r="I352" s="44"/>
      <c r="J352" s="38"/>
      <c r="K352" s="44"/>
      <c r="L352" s="44"/>
      <c r="M352" s="44"/>
      <c r="N352" s="44"/>
      <c r="O352" s="45"/>
      <c r="P352" s="40"/>
    </row>
    <row r="353" spans="1:16" s="41" customFormat="1" ht="30" customHeight="1">
      <c r="A353" s="34">
        <v>309</v>
      </c>
      <c r="B353" s="35" t="s">
        <v>395</v>
      </c>
      <c r="C353" s="34">
        <v>221</v>
      </c>
      <c r="D353" s="35"/>
      <c r="E353" s="35" t="s">
        <v>435</v>
      </c>
      <c r="F353" s="35" t="s">
        <v>13</v>
      </c>
      <c r="G353" s="46"/>
      <c r="H353" s="44"/>
      <c r="I353" s="44"/>
      <c r="J353" s="46"/>
      <c r="K353" s="44"/>
      <c r="L353" s="44"/>
      <c r="M353" s="44"/>
      <c r="N353" s="44"/>
      <c r="O353" s="45"/>
      <c r="P353" s="40"/>
    </row>
    <row r="354" spans="1:16" s="41" customFormat="1" ht="30" customHeight="1">
      <c r="A354" s="42">
        <v>310</v>
      </c>
      <c r="B354" s="43" t="s">
        <v>396</v>
      </c>
      <c r="C354" s="42"/>
      <c r="D354" s="43"/>
      <c r="E354" s="43" t="s">
        <v>435</v>
      </c>
      <c r="F354" s="43" t="s">
        <v>13</v>
      </c>
      <c r="G354" s="44"/>
      <c r="H354" s="44"/>
      <c r="I354" s="44"/>
      <c r="J354" s="44"/>
      <c r="K354" s="44"/>
      <c r="L354" s="44"/>
      <c r="M354" s="44"/>
      <c r="N354" s="44"/>
      <c r="O354" s="45"/>
      <c r="P354" s="40"/>
    </row>
    <row r="355" spans="1:16" s="41" customFormat="1" ht="30" customHeight="1">
      <c r="A355" s="34">
        <v>311</v>
      </c>
      <c r="B355" s="35" t="s">
        <v>397</v>
      </c>
      <c r="C355" s="34"/>
      <c r="D355" s="35"/>
      <c r="E355" s="35" t="s">
        <v>435</v>
      </c>
      <c r="F355" s="35" t="s">
        <v>13</v>
      </c>
      <c r="G355" s="46"/>
      <c r="H355" s="44"/>
      <c r="I355" s="44"/>
      <c r="J355" s="46"/>
      <c r="K355" s="44"/>
      <c r="L355" s="44"/>
      <c r="M355" s="44"/>
      <c r="N355" s="44"/>
      <c r="O355" s="45"/>
      <c r="P355" s="40"/>
    </row>
    <row r="356" spans="1:16" s="41" customFormat="1" ht="30" customHeight="1">
      <c r="A356" s="42">
        <v>312</v>
      </c>
      <c r="B356" s="43" t="s">
        <v>398</v>
      </c>
      <c r="C356" s="48"/>
      <c r="D356" s="49"/>
      <c r="E356" s="49" t="s">
        <v>435</v>
      </c>
      <c r="F356" s="49" t="s">
        <v>13</v>
      </c>
      <c r="G356" s="38"/>
      <c r="H356" s="44"/>
      <c r="I356" s="44"/>
      <c r="J356" s="38"/>
      <c r="K356" s="44"/>
      <c r="L356" s="44"/>
      <c r="M356" s="44"/>
      <c r="N356" s="44"/>
      <c r="O356" s="45"/>
      <c r="P356" s="40"/>
    </row>
    <row r="357" spans="1:16" s="41" customFormat="1" ht="30" customHeight="1">
      <c r="A357" s="71" t="s">
        <v>399</v>
      </c>
      <c r="B357" s="72"/>
      <c r="C357" s="73">
        <v>1</v>
      </c>
      <c r="D357" s="74"/>
      <c r="E357" s="74"/>
      <c r="F357" s="74"/>
      <c r="G357" s="75"/>
      <c r="H357" s="74"/>
      <c r="I357" s="74"/>
      <c r="J357" s="74"/>
      <c r="K357" s="74"/>
      <c r="L357" s="74"/>
      <c r="M357" s="74"/>
      <c r="N357" s="76"/>
      <c r="O357" s="45"/>
      <c r="P357" s="40"/>
    </row>
    <row r="358" spans="1:16" s="41" customFormat="1" ht="30" customHeight="1">
      <c r="A358" s="77"/>
      <c r="B358" s="72"/>
      <c r="C358" s="73">
        <v>35</v>
      </c>
      <c r="D358" s="74"/>
      <c r="E358" s="74"/>
      <c r="F358" s="74"/>
      <c r="G358" s="75"/>
      <c r="H358" s="74"/>
      <c r="I358" s="74"/>
      <c r="J358" s="74"/>
      <c r="K358" s="74"/>
      <c r="L358" s="74"/>
      <c r="M358" s="74"/>
      <c r="N358" s="76"/>
      <c r="O358" s="45"/>
      <c r="P358" s="40"/>
    </row>
    <row r="359" spans="1:16" s="41" customFormat="1" ht="30" customHeight="1">
      <c r="A359" s="77"/>
      <c r="B359" s="72"/>
      <c r="C359" s="73">
        <v>303</v>
      </c>
      <c r="D359" s="74"/>
      <c r="E359" s="74"/>
      <c r="F359" s="74"/>
      <c r="G359" s="75"/>
      <c r="H359" s="74"/>
      <c r="I359" s="74"/>
      <c r="J359" s="74"/>
      <c r="K359" s="74"/>
      <c r="L359" s="74"/>
      <c r="M359" s="74"/>
      <c r="N359" s="76"/>
      <c r="O359" s="45"/>
      <c r="P359" s="40"/>
    </row>
    <row r="360" spans="1:16" s="41" customFormat="1" ht="30" customHeight="1">
      <c r="A360" s="77"/>
      <c r="B360" s="72"/>
      <c r="C360" s="73">
        <v>314</v>
      </c>
      <c r="D360" s="74"/>
      <c r="E360" s="74"/>
      <c r="F360" s="74"/>
      <c r="G360" s="75"/>
      <c r="H360" s="74"/>
      <c r="I360" s="74"/>
      <c r="J360" s="74"/>
      <c r="K360" s="74"/>
      <c r="L360" s="74"/>
      <c r="M360" s="74"/>
      <c r="N360" s="76"/>
      <c r="O360" s="45"/>
      <c r="P360" s="40"/>
    </row>
    <row r="361" spans="1:16" s="41" customFormat="1" ht="30" customHeight="1">
      <c r="A361" s="77"/>
      <c r="B361" s="72"/>
      <c r="C361" s="73">
        <v>348</v>
      </c>
      <c r="D361" s="74"/>
      <c r="E361" s="74"/>
      <c r="F361" s="74"/>
      <c r="G361" s="75"/>
      <c r="H361" s="74"/>
      <c r="I361" s="74"/>
      <c r="J361" s="74"/>
      <c r="K361" s="74"/>
      <c r="L361" s="74"/>
      <c r="M361" s="74"/>
      <c r="N361" s="76"/>
      <c r="O361" s="45"/>
      <c r="P361" s="40"/>
    </row>
    <row r="362" spans="1:16" s="41" customFormat="1" ht="30" customHeight="1">
      <c r="A362" s="77"/>
      <c r="B362" s="72"/>
      <c r="C362" s="73">
        <v>349</v>
      </c>
      <c r="D362" s="74"/>
      <c r="E362" s="74"/>
      <c r="F362" s="74"/>
      <c r="G362" s="75"/>
      <c r="H362" s="74"/>
      <c r="I362" s="74"/>
      <c r="J362" s="74"/>
      <c r="K362" s="74"/>
      <c r="L362" s="74"/>
      <c r="M362" s="74"/>
      <c r="N362" s="76"/>
      <c r="O362" s="45"/>
      <c r="P362" s="40"/>
    </row>
    <row r="363" spans="1:16" s="41" customFormat="1" ht="30" customHeight="1">
      <c r="A363" s="77"/>
      <c r="B363" s="72"/>
      <c r="C363" s="73">
        <v>351</v>
      </c>
      <c r="D363" s="74"/>
      <c r="E363" s="74"/>
      <c r="F363" s="74"/>
      <c r="G363" s="75"/>
      <c r="H363" s="74"/>
      <c r="I363" s="74"/>
      <c r="J363" s="74"/>
      <c r="K363" s="74"/>
      <c r="L363" s="74"/>
      <c r="M363" s="74"/>
      <c r="N363" s="76"/>
      <c r="O363" s="45"/>
      <c r="P363" s="40"/>
    </row>
    <row r="364" spans="1:16" s="41" customFormat="1" ht="30" customHeight="1">
      <c r="A364" s="77"/>
      <c r="B364" s="72"/>
      <c r="C364" s="73">
        <v>352</v>
      </c>
      <c r="D364" s="74"/>
      <c r="E364" s="74"/>
      <c r="F364" s="74"/>
      <c r="G364" s="75"/>
      <c r="H364" s="74"/>
      <c r="I364" s="74"/>
      <c r="J364" s="74"/>
      <c r="K364" s="74"/>
      <c r="L364" s="74"/>
      <c r="M364" s="74"/>
      <c r="N364" s="76"/>
      <c r="O364" s="45"/>
      <c r="P364" s="40"/>
    </row>
    <row r="365" spans="1:16" ht="30" customHeight="1">
      <c r="A365" s="14"/>
      <c r="B365" s="17"/>
      <c r="C365" s="19">
        <v>353</v>
      </c>
      <c r="D365" s="20"/>
      <c r="E365" s="20"/>
      <c r="F365" s="20"/>
      <c r="G365" s="21"/>
      <c r="H365" s="20"/>
      <c r="I365" s="20"/>
      <c r="J365" s="20"/>
      <c r="K365" s="20"/>
      <c r="L365" s="20"/>
      <c r="M365" s="20"/>
      <c r="N365" s="22"/>
      <c r="O365" s="24"/>
      <c r="P365" s="8"/>
    </row>
    <row r="366" spans="1:16" ht="30" customHeight="1">
      <c r="A366" s="14"/>
      <c r="B366" s="17"/>
      <c r="C366" s="19">
        <v>354</v>
      </c>
      <c r="D366" s="20"/>
      <c r="E366" s="20"/>
      <c r="F366" s="20"/>
      <c r="G366" s="21"/>
      <c r="H366" s="20"/>
      <c r="I366" s="20"/>
      <c r="J366" s="20"/>
      <c r="K366" s="20"/>
      <c r="L366" s="20"/>
      <c r="M366" s="20"/>
      <c r="N366" s="22"/>
      <c r="O366" s="24"/>
      <c r="P366" s="8"/>
    </row>
    <row r="367" spans="1:16" ht="30" customHeight="1">
      <c r="A367" s="14"/>
      <c r="B367" s="17"/>
      <c r="C367" s="19">
        <v>355</v>
      </c>
      <c r="D367" s="20"/>
      <c r="E367" s="20"/>
      <c r="F367" s="20"/>
      <c r="G367" s="21"/>
      <c r="H367" s="20"/>
      <c r="I367" s="20"/>
      <c r="J367" s="20"/>
      <c r="K367" s="20"/>
      <c r="L367" s="20"/>
      <c r="M367" s="20"/>
      <c r="N367" s="22"/>
      <c r="O367" s="24"/>
      <c r="P367" s="8"/>
    </row>
    <row r="368" spans="1:16" ht="30" customHeight="1">
      <c r="A368" s="14"/>
      <c r="B368" s="17"/>
      <c r="C368" s="19">
        <v>356</v>
      </c>
      <c r="D368" s="20"/>
      <c r="E368" s="20"/>
      <c r="F368" s="20"/>
      <c r="G368" s="21"/>
      <c r="H368" s="20"/>
      <c r="I368" s="20"/>
      <c r="J368" s="20"/>
      <c r="K368" s="20"/>
      <c r="L368" s="20"/>
      <c r="M368" s="20"/>
      <c r="N368" s="22"/>
      <c r="O368" s="24"/>
      <c r="P368" s="8"/>
    </row>
    <row r="369" spans="1:16" ht="30" customHeight="1">
      <c r="A369" s="14"/>
      <c r="B369" s="17"/>
      <c r="C369" s="19">
        <v>357</v>
      </c>
      <c r="D369" s="20"/>
      <c r="E369" s="20"/>
      <c r="F369" s="20"/>
      <c r="G369" s="21"/>
      <c r="H369" s="20"/>
      <c r="I369" s="20"/>
      <c r="J369" s="20"/>
      <c r="K369" s="20"/>
      <c r="L369" s="20"/>
      <c r="M369" s="20"/>
      <c r="N369" s="22"/>
      <c r="O369" s="24"/>
      <c r="P369" s="8"/>
    </row>
    <row r="370" spans="1:16" ht="30" customHeight="1">
      <c r="A370" s="14"/>
      <c r="B370" s="17"/>
      <c r="C370" s="19">
        <v>358</v>
      </c>
      <c r="D370" s="20"/>
      <c r="E370" s="20"/>
      <c r="F370" s="20"/>
      <c r="G370" s="21"/>
      <c r="H370" s="20"/>
      <c r="I370" s="20"/>
      <c r="J370" s="20"/>
      <c r="K370" s="20"/>
      <c r="L370" s="20"/>
      <c r="M370" s="20"/>
      <c r="N370" s="22"/>
      <c r="O370" s="24"/>
      <c r="P370" s="8"/>
    </row>
    <row r="371" spans="1:16" ht="30" customHeight="1">
      <c r="A371" s="14"/>
      <c r="B371" s="17"/>
      <c r="C371" s="19">
        <v>364</v>
      </c>
      <c r="D371" s="20"/>
      <c r="E371" s="20"/>
      <c r="F371" s="20"/>
      <c r="G371" s="21"/>
      <c r="H371" s="20"/>
      <c r="I371" s="20"/>
      <c r="J371" s="20"/>
      <c r="K371" s="20"/>
      <c r="L371" s="20"/>
      <c r="M371" s="20"/>
      <c r="N371" s="22"/>
      <c r="O371" s="24"/>
      <c r="P371" s="8"/>
    </row>
    <row r="372" spans="1:16" ht="30" customHeight="1">
      <c r="A372" s="14"/>
      <c r="B372" s="17"/>
      <c r="C372" s="19">
        <v>375</v>
      </c>
      <c r="D372" s="20"/>
      <c r="E372" s="20"/>
      <c r="F372" s="20"/>
      <c r="G372" s="21"/>
      <c r="H372" s="20"/>
      <c r="I372" s="20"/>
      <c r="J372" s="20"/>
      <c r="K372" s="20"/>
      <c r="L372" s="20"/>
      <c r="M372" s="20"/>
      <c r="N372" s="22"/>
      <c r="O372" s="24"/>
      <c r="P372" s="8"/>
    </row>
    <row r="373" spans="1:16" ht="30" customHeight="1">
      <c r="A373" s="15"/>
      <c r="B373" s="18"/>
      <c r="C373" s="19">
        <v>381</v>
      </c>
      <c r="D373" s="20"/>
      <c r="E373" s="20"/>
      <c r="F373" s="20"/>
      <c r="G373" s="21"/>
      <c r="H373" s="20"/>
      <c r="I373" s="20"/>
      <c r="J373" s="20"/>
      <c r="K373" s="20"/>
      <c r="L373" s="20"/>
      <c r="M373" s="20"/>
      <c r="N373" s="22"/>
      <c r="O373" s="27"/>
      <c r="P373" s="8"/>
    </row>
    <row r="374" spans="1:16" ht="30" customHeight="1">
      <c r="A374" s="16"/>
      <c r="B374" s="16"/>
    </row>
  </sheetData>
  <mergeCells count="4">
    <mergeCell ref="G90:G91"/>
    <mergeCell ref="H90:H91"/>
    <mergeCell ref="J90:J91"/>
    <mergeCell ref="L90:L91"/>
  </mergeCells>
  <dataValidations count="2">
    <dataValidation type="list" allowBlank="1" showInputMessage="1" showErrorMessage="1" sqref="I3:I356">
      <formula1>"No Gap,Minor Gap,Significant Gap,Priority"</formula1>
    </dataValidation>
    <dataValidation type="list" allowBlank="1" showInputMessage="1" showErrorMessage="1" sqref="J45:J46 J84:J90 J48:J81 J3:J43 J228:J265 J147:J225 J92:J145 J271:J285 J287:J373">
      <formula1>"Ready, Improvements Needed, Significant Improvements Needed, Priority"</formula1>
    </dataValidation>
  </dataValidations>
  <pageMargins left="0.70866141732283472" right="0.70866141732283472" top="0.74803149606299213" bottom="0.74803149606299213" header="0.31496062992125984" footer="0.31496062992125984"/>
  <pageSetup paperSize="8" scale="46" fitToHeight="0" orientation="landscape" r:id="rId1"/>
</worksheet>
</file>

<file path=xl/worksheets/sheet7.xml><?xml version="1.0" encoding="utf-8"?>
<worksheet xmlns="http://schemas.openxmlformats.org/spreadsheetml/2006/main" xmlns:r="http://schemas.openxmlformats.org/officeDocument/2006/relationships">
  <sheetPr codeName="Sheet12"/>
  <dimension ref="B2:AI87"/>
  <sheetViews>
    <sheetView zoomScale="80" zoomScaleNormal="80" workbookViewId="0">
      <selection activeCell="D93" sqref="D93"/>
    </sheetView>
  </sheetViews>
  <sheetFormatPr defaultRowHeight="12.75" outlineLevelRow="1"/>
  <cols>
    <col min="1" max="1" width="3.42578125" style="8" customWidth="1"/>
    <col min="2" max="2" width="20" style="8" bestFit="1" customWidth="1"/>
    <col min="3" max="3" width="8.28515625" style="8" bestFit="1" customWidth="1"/>
    <col min="4" max="4" width="34.28515625" style="8" customWidth="1"/>
    <col min="5" max="8" width="20.7109375" style="8" customWidth="1"/>
    <col min="9" max="9" width="8.42578125" style="8" customWidth="1"/>
    <col min="10" max="11" width="8.42578125" style="130" customWidth="1"/>
    <col min="12" max="15" width="20.7109375" style="8" customWidth="1"/>
    <col min="16" max="21" width="9.140625" style="8"/>
    <col min="22" max="22" width="32.140625" style="8" customWidth="1"/>
    <col min="23" max="16384" width="9.140625" style="8"/>
  </cols>
  <sheetData>
    <row r="2" spans="2:35" ht="12.75" customHeight="1">
      <c r="I2" s="234" t="s">
        <v>888</v>
      </c>
      <c r="J2" s="234"/>
      <c r="K2" s="234"/>
      <c r="L2" s="129" t="s">
        <v>642</v>
      </c>
    </row>
    <row r="3" spans="2:35" ht="15">
      <c r="I3" s="235" t="s">
        <v>889</v>
      </c>
      <c r="J3" s="235"/>
      <c r="K3" s="235"/>
      <c r="L3" s="197">
        <v>62</v>
      </c>
    </row>
    <row r="4" spans="2:35" ht="15">
      <c r="I4" s="235" t="s">
        <v>885</v>
      </c>
      <c r="J4" s="235"/>
      <c r="K4" s="235"/>
      <c r="L4" s="197">
        <v>43</v>
      </c>
    </row>
    <row r="5" spans="2:35" ht="15">
      <c r="I5" s="235" t="s">
        <v>887</v>
      </c>
      <c r="J5" s="235"/>
      <c r="K5" s="235"/>
      <c r="L5" s="197">
        <v>40</v>
      </c>
    </row>
    <row r="6" spans="2:35" ht="15">
      <c r="I6" s="235" t="s">
        <v>890</v>
      </c>
      <c r="J6" s="235"/>
      <c r="K6" s="235"/>
      <c r="L6" s="197">
        <v>32</v>
      </c>
    </row>
    <row r="7" spans="2:35" ht="15">
      <c r="B7" s="129" t="s">
        <v>624</v>
      </c>
      <c r="C7" s="129" t="s">
        <v>642</v>
      </c>
      <c r="I7" s="235" t="s">
        <v>884</v>
      </c>
      <c r="J7" s="235"/>
      <c r="K7" s="235"/>
      <c r="L7" s="197">
        <v>27</v>
      </c>
      <c r="X7" s="96"/>
      <c r="Y7" s="96"/>
      <c r="Z7" s="96"/>
      <c r="AA7" s="96"/>
      <c r="AB7" s="96"/>
      <c r="AC7" s="96"/>
      <c r="AD7"/>
      <c r="AE7" s="223" t="s">
        <v>430</v>
      </c>
      <c r="AF7" s="226" t="s">
        <v>595</v>
      </c>
      <c r="AG7" s="94" t="s">
        <v>468</v>
      </c>
      <c r="AH7" s="94"/>
      <c r="AI7" s="95">
        <f>COUNTIFS('Completion Matrix'!$E:$E,Overview!$AE$7,'Completion Matrix'!$I:$I,$AF$7,'Completion Matrix'!$J:$J,AG7)</f>
        <v>1</v>
      </c>
    </row>
    <row r="8" spans="2:35" ht="15">
      <c r="B8" s="132" t="s">
        <v>431</v>
      </c>
      <c r="C8" s="131">
        <f>COUNTIF('Completion Matrix'!$E:$E,Overview!B8)</f>
        <v>9</v>
      </c>
      <c r="I8" s="235" t="s">
        <v>883</v>
      </c>
      <c r="J8" s="235"/>
      <c r="K8" s="235"/>
      <c r="L8" s="197">
        <v>19</v>
      </c>
      <c r="X8" s="96"/>
      <c r="Y8" s="96"/>
      <c r="Z8" s="96"/>
      <c r="AA8" s="96"/>
      <c r="AB8" s="96"/>
      <c r="AC8" s="96"/>
      <c r="AD8"/>
      <c r="AE8" s="224"/>
      <c r="AF8" s="226"/>
      <c r="AG8" s="94" t="s">
        <v>459</v>
      </c>
      <c r="AH8" s="94"/>
      <c r="AI8" s="95">
        <f>COUNTIFS('Completion Matrix'!$E:$E,Overview!$AE$7,'Completion Matrix'!$I:$I,$AF$7,'Completion Matrix'!$J:$J,AG8)</f>
        <v>0</v>
      </c>
    </row>
    <row r="9" spans="2:35" ht="15">
      <c r="B9" s="132" t="s">
        <v>430</v>
      </c>
      <c r="C9" s="131">
        <f>COUNTIF('Completion Matrix'!$E:$E,Overview!B9)</f>
        <v>1</v>
      </c>
      <c r="I9" s="235" t="s">
        <v>882</v>
      </c>
      <c r="J9" s="235"/>
      <c r="K9" s="235"/>
      <c r="L9" s="197">
        <v>10</v>
      </c>
      <c r="X9" s="96"/>
      <c r="Y9" s="96"/>
      <c r="Z9" s="96"/>
      <c r="AA9" s="96"/>
      <c r="AB9" s="96"/>
      <c r="AC9" s="96"/>
      <c r="AD9"/>
      <c r="AE9" s="224"/>
      <c r="AF9" s="226"/>
      <c r="AG9" s="94" t="s">
        <v>462</v>
      </c>
      <c r="AH9" s="94"/>
      <c r="AI9" s="95">
        <f>COUNTIFS('Completion Matrix'!$E:$E,Overview!$AE$7,'Completion Matrix'!$I:$I,$AF$7,'Completion Matrix'!$J:$J,AG9)</f>
        <v>0</v>
      </c>
    </row>
    <row r="10" spans="2:35" ht="15">
      <c r="B10" s="132" t="s">
        <v>438</v>
      </c>
      <c r="C10" s="131">
        <f>COUNTIF('Completion Matrix'!$E:$E,Overview!B10)</f>
        <v>15</v>
      </c>
      <c r="I10" s="235" t="s">
        <v>886</v>
      </c>
      <c r="J10" s="235"/>
      <c r="K10" s="235"/>
      <c r="L10" s="197">
        <v>10</v>
      </c>
      <c r="X10" s="96"/>
      <c r="Y10" s="96"/>
      <c r="Z10" s="96"/>
      <c r="AA10" s="96"/>
      <c r="AB10" s="96"/>
      <c r="AC10" s="96"/>
      <c r="AD10"/>
      <c r="AE10" s="224"/>
      <c r="AF10" s="226"/>
      <c r="AG10" s="94" t="s">
        <v>636</v>
      </c>
      <c r="AH10" s="94"/>
      <c r="AI10" s="95">
        <f>COUNTIFS('Completion Matrix'!$E:$E,Overview!$AE$7,'Completion Matrix'!$I:$I,$AF$7,'Completion Matrix'!$J:$J,AG10)</f>
        <v>0</v>
      </c>
    </row>
    <row r="11" spans="2:35" ht="15">
      <c r="B11" s="132" t="s">
        <v>728</v>
      </c>
      <c r="C11" s="131">
        <f>COUNTIF('Completion Matrix'!$E:$E,Overview!B11)</f>
        <v>8</v>
      </c>
      <c r="I11" s="235" t="s">
        <v>881</v>
      </c>
      <c r="J11" s="235"/>
      <c r="K11" s="235"/>
      <c r="L11" s="197">
        <v>17</v>
      </c>
      <c r="X11" s="96"/>
      <c r="Y11" s="96"/>
      <c r="Z11" s="96"/>
      <c r="AA11" s="96"/>
      <c r="AB11" s="96"/>
      <c r="AC11" s="96"/>
      <c r="AD11"/>
      <c r="AE11" s="224"/>
      <c r="AF11" s="124"/>
      <c r="AG11" s="94"/>
      <c r="AH11" s="94"/>
      <c r="AI11" s="95"/>
    </row>
    <row r="12" spans="2:35" ht="15">
      <c r="B12" s="132" t="s">
        <v>428</v>
      </c>
      <c r="C12" s="131">
        <f>COUNTIF('Completion Matrix'!$E:$E,Overview!B12)</f>
        <v>10</v>
      </c>
      <c r="I12" s="232" t="s">
        <v>625</v>
      </c>
      <c r="J12" s="233"/>
      <c r="K12" s="233"/>
      <c r="L12" s="146">
        <f ca="1">SUM(L3:L13)</f>
        <v>260</v>
      </c>
      <c r="X12" s="96"/>
      <c r="Y12" s="96"/>
      <c r="Z12" s="96"/>
      <c r="AA12" s="96"/>
      <c r="AB12" s="96"/>
      <c r="AC12" s="96"/>
      <c r="AD12"/>
      <c r="AE12" s="224"/>
      <c r="AF12" s="226" t="s">
        <v>594</v>
      </c>
      <c r="AG12" s="94" t="s">
        <v>468</v>
      </c>
      <c r="AH12" s="94"/>
      <c r="AI12" s="95">
        <f>COUNTIFS('Completion Matrix'!$E:$E,Overview!$AE$7,'Completion Matrix'!$I:$I,$AF$12,'Completion Matrix'!$J:$J,AG12)</f>
        <v>0</v>
      </c>
    </row>
    <row r="13" spans="2:35" ht="15">
      <c r="B13" s="132" t="s">
        <v>437</v>
      </c>
      <c r="C13" s="131">
        <f>COUNTIF('Completion Matrix'!$E:$E,Overview!B13)</f>
        <v>2</v>
      </c>
      <c r="I13" s="231"/>
      <c r="J13" s="231"/>
      <c r="K13" s="231"/>
      <c r="L13" s="196"/>
      <c r="X13" s="96"/>
      <c r="Y13" s="96"/>
      <c r="Z13" s="96"/>
      <c r="AA13" s="96"/>
      <c r="AB13" s="96"/>
      <c r="AC13" s="96"/>
      <c r="AD13"/>
      <c r="AE13" s="224"/>
      <c r="AF13" s="226"/>
      <c r="AG13" s="94" t="s">
        <v>459</v>
      </c>
      <c r="AH13" s="94"/>
      <c r="AI13" s="95">
        <f>COUNTIFS('Completion Matrix'!$E:$E,Overview!$AE$7,'Completion Matrix'!$I:$I,$AF$12,'Completion Matrix'!$J:$J,AG13)</f>
        <v>0</v>
      </c>
    </row>
    <row r="14" spans="2:35" ht="15">
      <c r="B14" s="132" t="s">
        <v>432</v>
      </c>
      <c r="C14" s="131">
        <f>COUNTIF('Completion Matrix'!$E:$E,Overview!B14)</f>
        <v>5</v>
      </c>
      <c r="V14" s="195"/>
      <c r="W14" s="41"/>
      <c r="X14" s="96"/>
      <c r="Y14" s="96"/>
      <c r="Z14" s="96"/>
      <c r="AA14" s="96"/>
      <c r="AB14" s="96"/>
      <c r="AC14" s="96"/>
      <c r="AD14"/>
      <c r="AE14" s="224"/>
      <c r="AF14" s="226"/>
      <c r="AG14" s="94" t="s">
        <v>462</v>
      </c>
      <c r="AH14" s="94"/>
      <c r="AI14" s="95">
        <f>COUNTIFS('Completion Matrix'!$E:$E,Overview!$AE$7,'Completion Matrix'!$I:$I,$AF$12,'Completion Matrix'!$J:$J,AG14)</f>
        <v>0</v>
      </c>
    </row>
    <row r="15" spans="2:35" ht="15">
      <c r="B15" s="132" t="s">
        <v>429</v>
      </c>
      <c r="C15" s="131">
        <f>COUNTIF('Completion Matrix'!$E:$E,Overview!B15)</f>
        <v>2</v>
      </c>
      <c r="W15" s="96"/>
      <c r="X15" s="96"/>
      <c r="Y15" s="96"/>
      <c r="Z15" s="96"/>
      <c r="AA15" s="96"/>
      <c r="AB15" s="96"/>
      <c r="AC15" s="96"/>
      <c r="AD15"/>
      <c r="AE15" s="224"/>
      <c r="AF15" s="226"/>
      <c r="AG15" s="94" t="s">
        <v>637</v>
      </c>
      <c r="AH15" s="94"/>
      <c r="AI15" s="95">
        <f>COUNTIFS('Completion Matrix'!$E:$E,Overview!$AE$7,'Completion Matrix'!$I:$I,$AF$12,'Completion Matrix'!$J:$J,AG15)</f>
        <v>0</v>
      </c>
    </row>
    <row r="16" spans="2:35" ht="15">
      <c r="B16" s="133" t="s">
        <v>625</v>
      </c>
      <c r="C16" s="146">
        <f>SUM(C8:C15)</f>
        <v>52</v>
      </c>
      <c r="W16" s="96"/>
      <c r="X16" s="96"/>
      <c r="Y16" s="96"/>
      <c r="Z16" s="96"/>
      <c r="AA16" s="96"/>
      <c r="AB16" s="96"/>
      <c r="AC16" s="96"/>
      <c r="AD16"/>
      <c r="AE16" s="224"/>
      <c r="AF16" s="226" t="s">
        <v>593</v>
      </c>
      <c r="AG16" s="94" t="s">
        <v>468</v>
      </c>
      <c r="AH16" s="94"/>
      <c r="AI16" s="95">
        <f>COUNTIFS('Completion Matrix'!$E:$E,Overview!$AE$7,'Completion Matrix'!$I:$I,$AF$16,'Completion Matrix'!$J:$J,AG16)</f>
        <v>0</v>
      </c>
    </row>
    <row r="17" spans="2:35" ht="15">
      <c r="W17" s="96"/>
      <c r="X17" s="96"/>
      <c r="Y17" s="96"/>
      <c r="Z17" s="96"/>
      <c r="AA17" s="96"/>
      <c r="AB17" s="96"/>
      <c r="AC17" s="96"/>
      <c r="AD17"/>
      <c r="AE17" s="224"/>
      <c r="AF17" s="226"/>
      <c r="AG17" s="94" t="s">
        <v>459</v>
      </c>
      <c r="AH17" s="94"/>
      <c r="AI17" s="95">
        <f>COUNTIFS('Completion Matrix'!$E:$E,Overview!$AE$7,'Completion Matrix'!$I:$I,$AF$16,'Completion Matrix'!$J:$J,AG17)</f>
        <v>0</v>
      </c>
    </row>
    <row r="18" spans="2:35" ht="15">
      <c r="B18"/>
      <c r="C18"/>
      <c r="D18" s="99"/>
      <c r="E18" s="227" t="s">
        <v>880</v>
      </c>
      <c r="F18" s="228"/>
      <c r="G18" s="228"/>
      <c r="H18" s="229"/>
      <c r="I18" s="104"/>
      <c r="J18" s="140"/>
      <c r="K18" s="140"/>
      <c r="L18" s="227" t="s">
        <v>643</v>
      </c>
      <c r="M18" s="228"/>
      <c r="N18" s="228"/>
      <c r="O18" s="229"/>
      <c r="W18" s="96"/>
      <c r="X18" s="96"/>
      <c r="Y18" s="96"/>
      <c r="Z18" s="96"/>
      <c r="AA18" s="96"/>
      <c r="AB18" s="96"/>
      <c r="AC18" s="96"/>
      <c r="AD18"/>
      <c r="AE18" s="224"/>
      <c r="AF18" s="226"/>
      <c r="AG18" s="94" t="s">
        <v>462</v>
      </c>
      <c r="AH18" s="94"/>
      <c r="AI18" s="95">
        <f>COUNTIFS('Completion Matrix'!$E:$E,Overview!$AE$7,'Completion Matrix'!$I:$I,$AF$16,'Completion Matrix'!$J:$J,AG18)</f>
        <v>0</v>
      </c>
    </row>
    <row r="19" spans="2:35" ht="38.25">
      <c r="B19" s="129" t="s">
        <v>624</v>
      </c>
      <c r="C19" s="129" t="s">
        <v>644</v>
      </c>
      <c r="D19" s="129" t="s">
        <v>641</v>
      </c>
      <c r="E19" s="129" t="s">
        <v>595</v>
      </c>
      <c r="F19" s="129" t="s">
        <v>594</v>
      </c>
      <c r="G19" s="129" t="s">
        <v>593</v>
      </c>
      <c r="H19" s="129" t="s">
        <v>636</v>
      </c>
      <c r="I19" s="103"/>
      <c r="J19" s="141"/>
      <c r="K19" s="141"/>
      <c r="L19" s="139" t="s">
        <v>468</v>
      </c>
      <c r="M19" s="129" t="s">
        <v>459</v>
      </c>
      <c r="N19" s="129" t="s">
        <v>462</v>
      </c>
      <c r="O19" s="129" t="s">
        <v>636</v>
      </c>
      <c r="W19" s="96"/>
      <c r="X19" s="96"/>
      <c r="Y19" s="96"/>
      <c r="Z19" s="96"/>
      <c r="AA19" s="96"/>
      <c r="AB19" s="96"/>
      <c r="AC19" s="96"/>
      <c r="AD19"/>
      <c r="AE19" s="224"/>
      <c r="AF19" s="226"/>
      <c r="AG19" s="94" t="s">
        <v>636</v>
      </c>
      <c r="AH19" s="94"/>
      <c r="AI19" s="95">
        <f>COUNTIFS('Completion Matrix'!$E:$E,Overview!$AE$7,'Completion Matrix'!$I:$I,$AF$16,'Completion Matrix'!$J:$J,AG19)</f>
        <v>0</v>
      </c>
    </row>
    <row r="20" spans="2:35" ht="15">
      <c r="B20" s="216" t="s">
        <v>431</v>
      </c>
      <c r="C20" s="217"/>
      <c r="D20" s="218"/>
      <c r="E20" s="199">
        <f>SUM(E21:E29)</f>
        <v>4</v>
      </c>
      <c r="F20" s="199">
        <f>SUM(F21:F29)</f>
        <v>5</v>
      </c>
      <c r="G20" s="199">
        <f>SUM(G21:G29)</f>
        <v>0</v>
      </c>
      <c r="H20" s="199">
        <f>SUM(H21:H29)</f>
        <v>0</v>
      </c>
      <c r="I20" s="138">
        <f>SUM(E20:H20)</f>
        <v>9</v>
      </c>
      <c r="J20" s="220">
        <f>I20+I30+I32+I48+I57+I68+I71+I77</f>
        <v>52</v>
      </c>
      <c r="K20" s="96"/>
      <c r="L20" s="199">
        <f>SUM(L21:L29)</f>
        <v>6</v>
      </c>
      <c r="M20" s="199">
        <f>SUM(M21:M29)</f>
        <v>3</v>
      </c>
      <c r="N20" s="199">
        <f>SUM(N21:N29)</f>
        <v>0</v>
      </c>
      <c r="O20" s="199">
        <f>SUM(O21:O29)</f>
        <v>0</v>
      </c>
      <c r="P20" s="138">
        <f t="shared" ref="P20:P29" si="0">SUM(L20:O20)</f>
        <v>9</v>
      </c>
      <c r="Q20" s="230">
        <f>P20+P30+P32+P48+P57+P68+P71+P77</f>
        <v>52</v>
      </c>
      <c r="W20" s="96"/>
      <c r="X20" s="96"/>
      <c r="Y20" s="96"/>
      <c r="Z20" s="96"/>
      <c r="AA20" s="96"/>
      <c r="AB20" s="96"/>
      <c r="AC20" s="96"/>
      <c r="AD20"/>
      <c r="AE20" s="224"/>
      <c r="AF20" s="226" t="s">
        <v>636</v>
      </c>
      <c r="AG20" s="94" t="s">
        <v>468</v>
      </c>
      <c r="AH20" s="94"/>
      <c r="AI20" s="95">
        <f>COUNTIFS('Completion Matrix'!$E:$E,Overview!$AE$7,'Completion Matrix'!$I:$I,$AF$20,'Completion Matrix'!$J:$J,AG20)</f>
        <v>0</v>
      </c>
    </row>
    <row r="21" spans="2:35" ht="15" hidden="1" customHeight="1" outlineLevel="1">
      <c r="B21" s="134"/>
      <c r="C21" s="137">
        <v>48</v>
      </c>
      <c r="D21" s="102" t="s">
        <v>71</v>
      </c>
      <c r="E21" s="199" t="str">
        <f>IF(INDEX('Completion Matrix'!$I:$I,MATCH(Overview!$C21,'Completion Matrix'!$A:$A,0))=E$19,1,"")</f>
        <v/>
      </c>
      <c r="F21" s="199">
        <f>IF(INDEX('Completion Matrix'!$I:$I,MATCH(Overview!$C21,'Completion Matrix'!$A:$A,0))=F$19,1,"")</f>
        <v>1</v>
      </c>
      <c r="G21" s="199" t="str">
        <f>IF(INDEX('Completion Matrix'!$I:$I,MATCH(Overview!$C21,'Completion Matrix'!$A:$A,0))=G$19,1,"")</f>
        <v/>
      </c>
      <c r="H21" s="199" t="str">
        <f>IF(INDEX('Completion Matrix'!$I:$I,MATCH(Overview!$C21,'Completion Matrix'!$A:$A,0))=H$19,1,"")</f>
        <v/>
      </c>
      <c r="I21" s="138">
        <f t="shared" ref="I21:I77" si="1">SUM(E21:H21)</f>
        <v>1</v>
      </c>
      <c r="J21" s="221"/>
      <c r="K21" s="96"/>
      <c r="L21" s="199" t="str">
        <f>IF(INDEX('Completion Matrix'!$J:$J,MATCH(Overview!$C21,'Completion Matrix'!$A:$A,0))=L$19,1,"")</f>
        <v/>
      </c>
      <c r="M21" s="199">
        <f>IF(INDEX('Completion Matrix'!$J:$J,MATCH(Overview!$C21,'Completion Matrix'!$A:$A,0))=M$19,1,"")</f>
        <v>1</v>
      </c>
      <c r="N21" s="199" t="str">
        <f>IF(INDEX('Completion Matrix'!$J:$J,MATCH(Overview!$C21,'Completion Matrix'!$A:$A,0))=N$19,1,"")</f>
        <v/>
      </c>
      <c r="O21" s="199" t="str">
        <f>IF(INDEX('Completion Matrix'!$J:$J,MATCH(Overview!$C21,'Completion Matrix'!$A:$A,0))=O$19,1,"")</f>
        <v/>
      </c>
      <c r="P21" s="138">
        <f t="shared" si="0"/>
        <v>1</v>
      </c>
      <c r="Q21" s="230"/>
      <c r="W21" s="96"/>
      <c r="X21" s="96"/>
      <c r="Y21" s="96"/>
      <c r="Z21" s="96"/>
      <c r="AA21" s="96"/>
      <c r="AB21" s="96"/>
      <c r="AC21" s="96"/>
      <c r="AD21"/>
      <c r="AE21" s="224"/>
      <c r="AF21" s="226"/>
      <c r="AG21" s="94" t="s">
        <v>459</v>
      </c>
      <c r="AH21" s="94"/>
      <c r="AI21" s="95">
        <f>COUNTIFS('Completion Matrix'!$E:$E,Overview!$AE$7,'Completion Matrix'!$I:$I,$AF$20,'Completion Matrix'!$J:$J,AG21)</f>
        <v>0</v>
      </c>
    </row>
    <row r="22" spans="2:35" ht="15" hidden="1" customHeight="1" outlineLevel="1">
      <c r="B22" s="134"/>
      <c r="C22" s="137">
        <v>76</v>
      </c>
      <c r="D22" s="102" t="s">
        <v>106</v>
      </c>
      <c r="E22" s="199">
        <f>IF(INDEX('Completion Matrix'!$I:$I,MATCH(Overview!$C22,'Completion Matrix'!$A:$A,0))=E$19,1,"")</f>
        <v>1</v>
      </c>
      <c r="F22" s="199" t="str">
        <f>IF(INDEX('Completion Matrix'!$I:$I,MATCH(Overview!$C22,'Completion Matrix'!$A:$A,0))=F$19,1,"")</f>
        <v/>
      </c>
      <c r="G22" s="199" t="str">
        <f>IF(INDEX('Completion Matrix'!$I:$I,MATCH(Overview!$C22,'Completion Matrix'!$A:$A,0))=G$19,1,"")</f>
        <v/>
      </c>
      <c r="H22" s="199" t="str">
        <f>IF(INDEX('Completion Matrix'!$I:$I,MATCH(Overview!$C22,'Completion Matrix'!$A:$A,0))=H$19,1,"")</f>
        <v/>
      </c>
      <c r="I22" s="138">
        <f t="shared" si="1"/>
        <v>1</v>
      </c>
      <c r="J22" s="221"/>
      <c r="K22" s="96"/>
      <c r="L22" s="199">
        <f>IF(INDEX('Completion Matrix'!$J:$J,MATCH(Overview!$C22,'Completion Matrix'!$A:$A,0))=L$19,1,"")</f>
        <v>1</v>
      </c>
      <c r="M22" s="199" t="str">
        <f>IF(INDEX('Completion Matrix'!$J:$J,MATCH(Overview!$C22,'Completion Matrix'!$A:$A,0))=M$19,1,"")</f>
        <v/>
      </c>
      <c r="N22" s="199" t="str">
        <f>IF(INDEX('Completion Matrix'!$J:$J,MATCH(Overview!$C22,'Completion Matrix'!$A:$A,0))=N$19,1,"")</f>
        <v/>
      </c>
      <c r="O22" s="199" t="str">
        <f>IF(INDEX('Completion Matrix'!$J:$J,MATCH(Overview!$C22,'Completion Matrix'!$A:$A,0))=O$19,1,"")</f>
        <v/>
      </c>
      <c r="P22" s="138">
        <f t="shared" si="0"/>
        <v>1</v>
      </c>
      <c r="Q22" s="230"/>
      <c r="W22" s="96"/>
      <c r="X22" s="96"/>
      <c r="Y22" s="96"/>
      <c r="Z22" s="96"/>
      <c r="AA22" s="96"/>
      <c r="AB22" s="96"/>
      <c r="AC22" s="96"/>
      <c r="AD22"/>
      <c r="AE22" s="224"/>
      <c r="AF22" s="226"/>
      <c r="AG22" s="94" t="s">
        <v>462</v>
      </c>
      <c r="AH22" s="94"/>
      <c r="AI22" s="95">
        <f>COUNTIFS('Completion Matrix'!$E:$E,Overview!$AE$7,'Completion Matrix'!$I:$I,$AF$20,'Completion Matrix'!$J:$J,AG22)</f>
        <v>0</v>
      </c>
    </row>
    <row r="23" spans="2:35" ht="25.5" hidden="1" customHeight="1" outlineLevel="1">
      <c r="B23" s="134"/>
      <c r="C23" s="135">
        <v>77</v>
      </c>
      <c r="D23" s="136" t="s">
        <v>107</v>
      </c>
      <c r="E23" s="199" t="str">
        <f>IF(INDEX('Completion Matrix'!$I:$I,MATCH(Overview!$C23,'Completion Matrix'!$A:$A,0))=E$19,1,"")</f>
        <v/>
      </c>
      <c r="F23" s="199">
        <f>IF(INDEX('Completion Matrix'!$I:$I,MATCH(Overview!$C23,'Completion Matrix'!$A:$A,0))=F$19,1,"")</f>
        <v>1</v>
      </c>
      <c r="G23" s="199" t="str">
        <f>IF(INDEX('Completion Matrix'!$I:$I,MATCH(Overview!$C23,'Completion Matrix'!$A:$A,0))=G$19,1,"")</f>
        <v/>
      </c>
      <c r="H23" s="199" t="str">
        <f>IF(INDEX('Completion Matrix'!$I:$I,MATCH(Overview!$C23,'Completion Matrix'!$A:$A,0))=H$19,1,"")</f>
        <v/>
      </c>
      <c r="I23" s="138">
        <f t="shared" si="1"/>
        <v>1</v>
      </c>
      <c r="J23" s="221"/>
      <c r="K23" s="96"/>
      <c r="L23" s="199">
        <f>IF(INDEX('Completion Matrix'!$J:$J,MATCH(Overview!$C23,'Completion Matrix'!$A:$A,0))=L$19,1,"")</f>
        <v>1</v>
      </c>
      <c r="M23" s="199" t="str">
        <f>IF(INDEX('Completion Matrix'!$J:$J,MATCH(Overview!$C23,'Completion Matrix'!$A:$A,0))=M$19,1,"")</f>
        <v/>
      </c>
      <c r="N23" s="199" t="str">
        <f>IF(INDEX('Completion Matrix'!$J:$J,MATCH(Overview!$C23,'Completion Matrix'!$A:$A,0))=N$19,1,"")</f>
        <v/>
      </c>
      <c r="O23" s="199" t="str">
        <f>IF(INDEX('Completion Matrix'!$J:$J,MATCH(Overview!$C23,'Completion Matrix'!$A:$A,0))=O$19,1,"")</f>
        <v/>
      </c>
      <c r="P23" s="138">
        <f t="shared" si="0"/>
        <v>1</v>
      </c>
      <c r="Q23" s="230"/>
      <c r="W23" s="96"/>
      <c r="X23" s="96"/>
      <c r="Y23" s="96"/>
      <c r="Z23" s="96"/>
      <c r="AA23" s="96"/>
      <c r="AB23" s="96"/>
      <c r="AC23" s="96"/>
      <c r="AD23"/>
      <c r="AE23" s="225"/>
      <c r="AF23" s="226"/>
      <c r="AG23" s="94" t="s">
        <v>636</v>
      </c>
      <c r="AH23" s="94"/>
      <c r="AI23" s="95">
        <f>COUNTIFS('Completion Matrix'!$E:$E,Overview!$AE$7,'Completion Matrix'!$I:$I,$AF$20,'Completion Matrix'!$J:$J,AG23)</f>
        <v>0</v>
      </c>
    </row>
    <row r="24" spans="2:35" ht="51" hidden="1" customHeight="1" outlineLevel="1">
      <c r="B24" s="134"/>
      <c r="C24" s="137">
        <v>78</v>
      </c>
      <c r="D24" s="102" t="s">
        <v>108</v>
      </c>
      <c r="E24" s="199" t="str">
        <f>IF(INDEX('Completion Matrix'!$I:$I,MATCH(Overview!$C24,'Completion Matrix'!$A:$A,0))=E$19,1,"")</f>
        <v/>
      </c>
      <c r="F24" s="199">
        <f>IF(INDEX('Completion Matrix'!$I:$I,MATCH(Overview!$C24,'Completion Matrix'!$A:$A,0))=F$19,1,"")</f>
        <v>1</v>
      </c>
      <c r="G24" s="199" t="str">
        <f>IF(INDEX('Completion Matrix'!$I:$I,MATCH(Overview!$C24,'Completion Matrix'!$A:$A,0))=G$19,1,"")</f>
        <v/>
      </c>
      <c r="H24" s="199" t="str">
        <f>IF(INDEX('Completion Matrix'!$I:$I,MATCH(Overview!$C24,'Completion Matrix'!$A:$A,0))=H$19,1,"")</f>
        <v/>
      </c>
      <c r="I24" s="138">
        <f t="shared" si="1"/>
        <v>1</v>
      </c>
      <c r="J24" s="221"/>
      <c r="K24" s="96"/>
      <c r="L24" s="199">
        <f>IF(INDEX('Completion Matrix'!$J:$J,MATCH(Overview!$C24,'Completion Matrix'!$A:$A,0))=L$19,1,"")</f>
        <v>1</v>
      </c>
      <c r="M24" s="199" t="str">
        <f>IF(INDEX('Completion Matrix'!$J:$J,MATCH(Overview!$C24,'Completion Matrix'!$A:$A,0))=M$19,1,"")</f>
        <v/>
      </c>
      <c r="N24" s="199" t="str">
        <f>IF(INDEX('Completion Matrix'!$J:$J,MATCH(Overview!$C24,'Completion Matrix'!$A:$A,0))=N$19,1,"")</f>
        <v/>
      </c>
      <c r="O24" s="199" t="str">
        <f>IF(INDEX('Completion Matrix'!$J:$J,MATCH(Overview!$C24,'Completion Matrix'!$A:$A,0))=O$19,1,"")</f>
        <v/>
      </c>
      <c r="P24" s="138">
        <f t="shared" si="0"/>
        <v>1</v>
      </c>
      <c r="Q24" s="230"/>
      <c r="W24" s="96"/>
      <c r="X24" s="96"/>
      <c r="Y24" s="96"/>
      <c r="Z24" s="96"/>
      <c r="AA24" s="96"/>
      <c r="AB24" s="96"/>
      <c r="AC24" s="96"/>
      <c r="AD24"/>
      <c r="AE24"/>
      <c r="AF24"/>
      <c r="AG24"/>
      <c r="AH24"/>
      <c r="AI24" s="95">
        <f>SUM(AI7:AI23)</f>
        <v>1</v>
      </c>
    </row>
    <row r="25" spans="2:35" ht="15" hidden="1" customHeight="1" outlineLevel="1">
      <c r="B25" s="134"/>
      <c r="C25" s="137">
        <v>80</v>
      </c>
      <c r="D25" s="102" t="s">
        <v>111</v>
      </c>
      <c r="E25" s="199">
        <f>IF(INDEX('Completion Matrix'!$I:$I,MATCH(Overview!$C25,'Completion Matrix'!$A:$A,0))=E$19,1,"")</f>
        <v>1</v>
      </c>
      <c r="F25" s="199" t="str">
        <f>IF(INDEX('Completion Matrix'!$I:$I,MATCH(Overview!$C25,'Completion Matrix'!$A:$A,0))=F$19,1,"")</f>
        <v/>
      </c>
      <c r="G25" s="199" t="str">
        <f>IF(INDEX('Completion Matrix'!$I:$I,MATCH(Overview!$C25,'Completion Matrix'!$A:$A,0))=G$19,1,"")</f>
        <v/>
      </c>
      <c r="H25" s="199" t="str">
        <f>IF(INDEX('Completion Matrix'!$I:$I,MATCH(Overview!$C25,'Completion Matrix'!$A:$A,0))=H$19,1,"")</f>
        <v/>
      </c>
      <c r="I25" s="138">
        <f t="shared" si="1"/>
        <v>1</v>
      </c>
      <c r="J25" s="221"/>
      <c r="K25" s="96"/>
      <c r="L25" s="199">
        <f>IF(INDEX('Completion Matrix'!$J:$J,MATCH(Overview!$C25,'Completion Matrix'!$A:$A,0))=L$19,1,"")</f>
        <v>1</v>
      </c>
      <c r="M25" s="199" t="str">
        <f>IF(INDEX('Completion Matrix'!$J:$J,MATCH(Overview!$C25,'Completion Matrix'!$A:$A,0))=M$19,1,"")</f>
        <v/>
      </c>
      <c r="N25" s="199" t="str">
        <f>IF(INDEX('Completion Matrix'!$J:$J,MATCH(Overview!$C25,'Completion Matrix'!$A:$A,0))=N$19,1,"")</f>
        <v/>
      </c>
      <c r="O25" s="199" t="str">
        <f>IF(INDEX('Completion Matrix'!$J:$J,MATCH(Overview!$C25,'Completion Matrix'!$A:$A,0))=O$19,1,"")</f>
        <v/>
      </c>
      <c r="P25" s="138">
        <f t="shared" si="0"/>
        <v>1</v>
      </c>
      <c r="Q25" s="230"/>
      <c r="W25"/>
      <c r="X25"/>
      <c r="Y25"/>
      <c r="Z25"/>
      <c r="AA25"/>
      <c r="AB25"/>
      <c r="AC25"/>
      <c r="AD25"/>
      <c r="AE25"/>
      <c r="AF25"/>
      <c r="AG25"/>
      <c r="AH25"/>
      <c r="AI25"/>
    </row>
    <row r="26" spans="2:35" ht="63.75" hidden="1" customHeight="1" outlineLevel="1" collapsed="1">
      <c r="B26" s="134"/>
      <c r="C26" s="135">
        <v>81</v>
      </c>
      <c r="D26" s="136" t="s">
        <v>112</v>
      </c>
      <c r="E26" s="199" t="str">
        <f>IF(INDEX('Completion Matrix'!$I:$I,MATCH(Overview!$C26,'Completion Matrix'!$A:$A,0))=E$19,1,"")</f>
        <v/>
      </c>
      <c r="F26" s="199">
        <f>IF(INDEX('Completion Matrix'!$I:$I,MATCH(Overview!$C26,'Completion Matrix'!$A:$A,0))=F$19,1,"")</f>
        <v>1</v>
      </c>
      <c r="G26" s="199" t="str">
        <f>IF(INDEX('Completion Matrix'!$I:$I,MATCH(Overview!$C26,'Completion Matrix'!$A:$A,0))=G$19,1,"")</f>
        <v/>
      </c>
      <c r="H26" s="199" t="str">
        <f>IF(INDEX('Completion Matrix'!$I:$I,MATCH(Overview!$C26,'Completion Matrix'!$A:$A,0))=H$19,1,"")</f>
        <v/>
      </c>
      <c r="I26" s="138">
        <f t="shared" si="1"/>
        <v>1</v>
      </c>
      <c r="J26" s="221"/>
      <c r="K26" s="96"/>
      <c r="L26" s="199">
        <f>IF(INDEX('Completion Matrix'!$J:$J,MATCH(Overview!$C26,'Completion Matrix'!$A:$A,0))=L$19,1,"")</f>
        <v>1</v>
      </c>
      <c r="M26" s="199" t="str">
        <f>IF(INDEX('Completion Matrix'!$J:$J,MATCH(Overview!$C26,'Completion Matrix'!$A:$A,0))=M$19,1,"")</f>
        <v/>
      </c>
      <c r="N26" s="199" t="str">
        <f>IF(INDEX('Completion Matrix'!$J:$J,MATCH(Overview!$C26,'Completion Matrix'!$A:$A,0))=N$19,1,"")</f>
        <v/>
      </c>
      <c r="O26" s="199" t="str">
        <f>IF(INDEX('Completion Matrix'!$J:$J,MATCH(Overview!$C26,'Completion Matrix'!$A:$A,0))=O$19,1,"")</f>
        <v/>
      </c>
      <c r="P26" s="138">
        <f t="shared" si="0"/>
        <v>1</v>
      </c>
      <c r="Q26" s="230"/>
      <c r="W26" s="96"/>
      <c r="X26" s="96"/>
      <c r="Y26" s="96"/>
      <c r="Z26" s="96"/>
      <c r="AA26" s="96"/>
      <c r="AB26" s="96"/>
      <c r="AC26" s="96"/>
      <c r="AD26"/>
      <c r="AE26"/>
      <c r="AF26" s="214" t="s">
        <v>638</v>
      </c>
      <c r="AG26" s="94" t="s">
        <v>451</v>
      </c>
      <c r="AH26" s="94"/>
      <c r="AI26" s="95">
        <f>COUNTIFS('Completion Matrix'!$E:$E,Overview!AE7,'Completion Matrix'!$I:$I,"")</f>
        <v>0</v>
      </c>
    </row>
    <row r="27" spans="2:35" ht="76.5" hidden="1" customHeight="1" outlineLevel="1">
      <c r="B27" s="134"/>
      <c r="C27" s="137">
        <v>82</v>
      </c>
      <c r="D27" s="102" t="s">
        <v>113</v>
      </c>
      <c r="E27" s="199">
        <f>IF(INDEX('Completion Matrix'!$I:$I,MATCH(Overview!$C27,'Completion Matrix'!$A:$A,0))=E$19,1,"")</f>
        <v>1</v>
      </c>
      <c r="F27" s="199" t="str">
        <f>IF(INDEX('Completion Matrix'!$I:$I,MATCH(Overview!$C27,'Completion Matrix'!$A:$A,0))=F$19,1,"")</f>
        <v/>
      </c>
      <c r="G27" s="199" t="str">
        <f>IF(INDEX('Completion Matrix'!$I:$I,MATCH(Overview!$C27,'Completion Matrix'!$A:$A,0))=G$19,1,"")</f>
        <v/>
      </c>
      <c r="H27" s="199" t="str">
        <f>IF(INDEX('Completion Matrix'!$I:$I,MATCH(Overview!$C27,'Completion Matrix'!$A:$A,0))=H$19,1,"")</f>
        <v/>
      </c>
      <c r="I27" s="138">
        <f t="shared" si="1"/>
        <v>1</v>
      </c>
      <c r="J27" s="221"/>
      <c r="K27" s="96"/>
      <c r="L27" s="199" t="str">
        <f>IF(INDEX('Completion Matrix'!$J:$J,MATCH(Overview!$C27,'Completion Matrix'!$A:$A,0))=L$19,1,"")</f>
        <v/>
      </c>
      <c r="M27" s="199">
        <f>IF(INDEX('Completion Matrix'!$J:$J,MATCH(Overview!$C27,'Completion Matrix'!$A:$A,0))=M$19,1,"")</f>
        <v>1</v>
      </c>
      <c r="N27" s="199" t="str">
        <f>IF(INDEX('Completion Matrix'!$J:$J,MATCH(Overview!$C27,'Completion Matrix'!$A:$A,0))=N$19,1,"")</f>
        <v/>
      </c>
      <c r="O27" s="199" t="str">
        <f>IF(INDEX('Completion Matrix'!$J:$J,MATCH(Overview!$C27,'Completion Matrix'!$A:$A,0))=O$19,1,"")</f>
        <v/>
      </c>
      <c r="P27" s="138">
        <f t="shared" si="0"/>
        <v>1</v>
      </c>
      <c r="Q27" s="230"/>
      <c r="W27" s="96"/>
      <c r="X27" s="96"/>
      <c r="Y27" s="96"/>
      <c r="Z27" s="96"/>
      <c r="AA27" s="96"/>
      <c r="AB27" s="96"/>
      <c r="AC27" s="96"/>
      <c r="AD27"/>
      <c r="AE27"/>
      <c r="AF27" s="215"/>
      <c r="AG27" s="94" t="s">
        <v>450</v>
      </c>
      <c r="AH27" s="94"/>
      <c r="AI27" s="95">
        <f>COUNTIFS('Completion Matrix'!$E:$E,Overview!AE7,'Completion Matrix'!$I:$I,"")</f>
        <v>0</v>
      </c>
    </row>
    <row r="28" spans="2:35" ht="25.5" hidden="1" customHeight="1" outlineLevel="1">
      <c r="B28" s="134"/>
      <c r="C28" s="135">
        <v>83</v>
      </c>
      <c r="D28" s="136" t="s">
        <v>115</v>
      </c>
      <c r="E28" s="199" t="str">
        <f>IF(INDEX('Completion Matrix'!$I:$I,MATCH(Overview!$C28,'Completion Matrix'!$A:$A,0))=E$19,1,"")</f>
        <v/>
      </c>
      <c r="F28" s="199">
        <f>IF(INDEX('Completion Matrix'!$I:$I,MATCH(Overview!$C28,'Completion Matrix'!$A:$A,0))=F$19,1,"")</f>
        <v>1</v>
      </c>
      <c r="G28" s="199" t="str">
        <f>IF(INDEX('Completion Matrix'!$I:$I,MATCH(Overview!$C28,'Completion Matrix'!$A:$A,0))=G$19,1,"")</f>
        <v/>
      </c>
      <c r="H28" s="199" t="str">
        <f>IF(INDEX('Completion Matrix'!$I:$I,MATCH(Overview!$C28,'Completion Matrix'!$A:$A,0))=H$19,1,"")</f>
        <v/>
      </c>
      <c r="I28" s="138">
        <f t="shared" si="1"/>
        <v>1</v>
      </c>
      <c r="J28" s="221"/>
      <c r="K28" s="96"/>
      <c r="L28" s="199" t="str">
        <f>IF(INDEX('Completion Matrix'!$J:$J,MATCH(Overview!$C28,'Completion Matrix'!$A:$A,0))=L$19,1,"")</f>
        <v/>
      </c>
      <c r="M28" s="199">
        <f>IF(INDEX('Completion Matrix'!$J:$J,MATCH(Overview!$C28,'Completion Matrix'!$A:$A,0))=M$19,1,"")</f>
        <v>1</v>
      </c>
      <c r="N28" s="199" t="str">
        <f>IF(INDEX('Completion Matrix'!$J:$J,MATCH(Overview!$C28,'Completion Matrix'!$A:$A,0))=N$19,1,"")</f>
        <v/>
      </c>
      <c r="O28" s="199" t="str">
        <f>IF(INDEX('Completion Matrix'!$J:$J,MATCH(Overview!$C28,'Completion Matrix'!$A:$A,0))=O$19,1,"")</f>
        <v/>
      </c>
      <c r="P28" s="138">
        <f t="shared" si="0"/>
        <v>1</v>
      </c>
      <c r="Q28" s="230"/>
      <c r="W28"/>
      <c r="X28"/>
      <c r="Y28"/>
      <c r="Z28"/>
      <c r="AA28"/>
      <c r="AB28"/>
      <c r="AC28"/>
      <c r="AD28"/>
      <c r="AE28"/>
      <c r="AF28"/>
      <c r="AG28"/>
      <c r="AH28"/>
      <c r="AI28"/>
    </row>
    <row r="29" spans="2:35" ht="38.25" hidden="1" customHeight="1" outlineLevel="1" collapsed="1">
      <c r="B29" s="134"/>
      <c r="C29" s="137">
        <v>84</v>
      </c>
      <c r="D29" s="102" t="s">
        <v>116</v>
      </c>
      <c r="E29" s="199">
        <f>IF(INDEX('Completion Matrix'!$I:$I,MATCH(Overview!$C29,'Completion Matrix'!$A:$A,0))=E$19,1,"")</f>
        <v>1</v>
      </c>
      <c r="F29" s="199" t="str">
        <f>IF(INDEX('Completion Matrix'!$I:$I,MATCH(Overview!$C29,'Completion Matrix'!$A:$A,0))=F$19,1,"")</f>
        <v/>
      </c>
      <c r="G29" s="199" t="str">
        <f>IF(INDEX('Completion Matrix'!$I:$I,MATCH(Overview!$C29,'Completion Matrix'!$A:$A,0))=G$19,1,"")</f>
        <v/>
      </c>
      <c r="H29" s="199" t="str">
        <f>IF(INDEX('Completion Matrix'!$I:$I,MATCH(Overview!$C29,'Completion Matrix'!$A:$A,0))=H$19,1,"")</f>
        <v/>
      </c>
      <c r="I29" s="138">
        <f t="shared" si="1"/>
        <v>1</v>
      </c>
      <c r="J29" s="221"/>
      <c r="K29" s="96"/>
      <c r="L29" s="199">
        <f>IF(INDEX('Completion Matrix'!$J:$J,MATCH(Overview!$C29,'Completion Matrix'!$A:$A,0))=L$19,1,"")</f>
        <v>1</v>
      </c>
      <c r="M29" s="199" t="str">
        <f>IF(INDEX('Completion Matrix'!$J:$J,MATCH(Overview!$C29,'Completion Matrix'!$A:$A,0))=M$19,1,"")</f>
        <v/>
      </c>
      <c r="N29" s="199" t="str">
        <f>IF(INDEX('Completion Matrix'!$J:$J,MATCH(Overview!$C29,'Completion Matrix'!$A:$A,0))=N$19,1,"")</f>
        <v/>
      </c>
      <c r="O29" s="199" t="str">
        <f>IF(INDEX('Completion Matrix'!$J:$J,MATCH(Overview!$C29,'Completion Matrix'!$A:$A,0))=O$19,1,"")</f>
        <v/>
      </c>
      <c r="P29" s="138">
        <f t="shared" si="0"/>
        <v>1</v>
      </c>
      <c r="Q29" s="230"/>
      <c r="W29"/>
      <c r="X29"/>
      <c r="Y29"/>
      <c r="Z29"/>
      <c r="AA29"/>
      <c r="AB29"/>
      <c r="AC29"/>
      <c r="AD29"/>
      <c r="AE29"/>
      <c r="AF29"/>
      <c r="AG29"/>
      <c r="AH29"/>
      <c r="AI29"/>
    </row>
    <row r="30" spans="2:35" ht="15" collapsed="1">
      <c r="B30" s="216" t="s">
        <v>430</v>
      </c>
      <c r="C30" s="217"/>
      <c r="D30" s="218"/>
      <c r="E30" s="199">
        <f>SUM(E31)</f>
        <v>1</v>
      </c>
      <c r="F30" s="199">
        <f t="shared" ref="F30:H30" si="2">SUM(F31)</f>
        <v>0</v>
      </c>
      <c r="G30" s="199">
        <f t="shared" si="2"/>
        <v>0</v>
      </c>
      <c r="H30" s="199">
        <f t="shared" si="2"/>
        <v>0</v>
      </c>
      <c r="I30" s="190">
        <f t="shared" ref="I30:I31" si="3">SUM(E30:H30)</f>
        <v>1</v>
      </c>
      <c r="J30" s="221"/>
      <c r="K30" s="96"/>
      <c r="L30" s="199">
        <f>SUM(L31)</f>
        <v>1</v>
      </c>
      <c r="M30" s="199">
        <f t="shared" ref="M30:O30" si="4">SUM(M31)</f>
        <v>0</v>
      </c>
      <c r="N30" s="199">
        <f t="shared" si="4"/>
        <v>0</v>
      </c>
      <c r="O30" s="199">
        <f t="shared" si="4"/>
        <v>0</v>
      </c>
      <c r="P30" s="190">
        <f t="shared" ref="P30:P31" si="5">SUM(L30:O30)</f>
        <v>1</v>
      </c>
      <c r="Q30" s="230"/>
      <c r="W30" s="96"/>
      <c r="X30" s="96"/>
      <c r="Y30" s="96"/>
      <c r="Z30" s="96"/>
      <c r="AA30" s="96"/>
      <c r="AB30" s="96"/>
      <c r="AC30" s="96"/>
      <c r="AD30"/>
      <c r="AE30"/>
      <c r="AF30"/>
      <c r="AG30" s="94" t="s">
        <v>462</v>
      </c>
      <c r="AH30" s="94"/>
      <c r="AI30" s="95">
        <f>COUNTIFS('Completion Matrix'!$E:$E,Overview!$AE$58,'Completion Matrix'!$I:$I,$AF$66,'Completion Matrix'!$J:$J,AG30)</f>
        <v>0</v>
      </c>
    </row>
    <row r="31" spans="2:35" ht="15" hidden="1" customHeight="1" outlineLevel="1">
      <c r="B31" s="134"/>
      <c r="C31" s="135">
        <v>47</v>
      </c>
      <c r="D31" s="136" t="s">
        <v>69</v>
      </c>
      <c r="E31" s="199">
        <f>IF(INDEX('Completion Matrix'!$I:$I,MATCH(Overview!$C31,'Completion Matrix'!$A:$A,0))=E$19,1,"")</f>
        <v>1</v>
      </c>
      <c r="F31" s="199" t="str">
        <f>IF(INDEX('Completion Matrix'!$I:$I,MATCH(Overview!$C31,'Completion Matrix'!$A:$A,0))=F$19,1,"")</f>
        <v/>
      </c>
      <c r="G31" s="199" t="str">
        <f>IF(INDEX('Completion Matrix'!$I:$I,MATCH(Overview!$C31,'Completion Matrix'!$A:$A,0))=G$19,1,"")</f>
        <v/>
      </c>
      <c r="H31" s="199" t="str">
        <f>IF(INDEX('Completion Matrix'!$I:$I,MATCH(Overview!$C31,'Completion Matrix'!$A:$A,0))=H$19,1,"")</f>
        <v/>
      </c>
      <c r="I31" s="190">
        <f t="shared" si="3"/>
        <v>1</v>
      </c>
      <c r="J31" s="221"/>
      <c r="K31" s="96"/>
      <c r="L31" s="199">
        <f>IF(INDEX('Completion Matrix'!$J:$J,MATCH(Overview!$C31,'Completion Matrix'!$A:$A,0))=L$19,1,"")</f>
        <v>1</v>
      </c>
      <c r="M31" s="199" t="str">
        <f>IF(INDEX('Completion Matrix'!$J:$J,MATCH(Overview!$C31,'Completion Matrix'!$A:$A,0))=M$19,1,"")</f>
        <v/>
      </c>
      <c r="N31" s="199" t="str">
        <f>IF(INDEX('Completion Matrix'!$J:$J,MATCH(Overview!$C31,'Completion Matrix'!$A:$A,0))=N$19,1,"")</f>
        <v/>
      </c>
      <c r="O31" s="199" t="str">
        <f>IF(INDEX('Completion Matrix'!$J:$J,MATCH(Overview!$C31,'Completion Matrix'!$A:$A,0))=O$19,1,"")</f>
        <v/>
      </c>
      <c r="P31" s="190">
        <f t="shared" si="5"/>
        <v>1</v>
      </c>
      <c r="Q31" s="230"/>
      <c r="W31" s="96"/>
      <c r="X31" s="96"/>
      <c r="Y31" s="96"/>
      <c r="Z31" s="96"/>
      <c r="AA31" s="96"/>
      <c r="AB31" s="96"/>
      <c r="AC31" s="96"/>
      <c r="AD31"/>
      <c r="AE31"/>
      <c r="AF31"/>
      <c r="AG31" s="94" t="s">
        <v>636</v>
      </c>
      <c r="AH31" s="94"/>
      <c r="AI31" s="95">
        <f>COUNTIFS('Completion Matrix'!$E:$E,Overview!$AE$58,'Completion Matrix'!$I:$I,$AF$66,'Completion Matrix'!$J:$J,AG31)</f>
        <v>0</v>
      </c>
    </row>
    <row r="32" spans="2:35" ht="15" collapsed="1">
      <c r="B32" s="216" t="s">
        <v>438</v>
      </c>
      <c r="C32" s="217"/>
      <c r="D32" s="218"/>
      <c r="E32" s="199">
        <f>SUM(E33:E47)</f>
        <v>12</v>
      </c>
      <c r="F32" s="199">
        <f>SUM(F33:F47)</f>
        <v>3</v>
      </c>
      <c r="G32" s="199">
        <f t="shared" ref="G32:H32" si="6">SUM(G33:G47)</f>
        <v>0</v>
      </c>
      <c r="H32" s="199">
        <f t="shared" si="6"/>
        <v>0</v>
      </c>
      <c r="I32" s="138">
        <v>15</v>
      </c>
      <c r="J32" s="221"/>
      <c r="K32" s="96"/>
      <c r="L32" s="199">
        <f>SUM(L33:L47)</f>
        <v>10</v>
      </c>
      <c r="M32" s="199">
        <f>SUM(M33:M47)</f>
        <v>5</v>
      </c>
      <c r="N32" s="199">
        <f t="shared" ref="N32:O32" si="7">SUM(N33:N47)</f>
        <v>0</v>
      </c>
      <c r="O32" s="199">
        <f t="shared" si="7"/>
        <v>0</v>
      </c>
      <c r="P32" s="138">
        <f>SUM(L32:O32)</f>
        <v>15</v>
      </c>
      <c r="Q32" s="230"/>
      <c r="W32" s="96"/>
      <c r="X32" s="96"/>
      <c r="Y32" s="96"/>
      <c r="Z32" s="96"/>
      <c r="AA32" s="96"/>
      <c r="AB32" s="96"/>
      <c r="AC32" s="96"/>
      <c r="AD32"/>
      <c r="AE32" s="223" t="s">
        <v>589</v>
      </c>
      <c r="AF32" s="226" t="s">
        <v>595</v>
      </c>
      <c r="AG32" s="94" t="s">
        <v>468</v>
      </c>
      <c r="AH32" s="94"/>
      <c r="AI32" s="95">
        <f>COUNTIFS('Completion Matrix'!$E:$E,Overview!$AE$32,'Completion Matrix'!$I:$I,$AF$32,'Completion Matrix'!$J:$J,AG32)</f>
        <v>0</v>
      </c>
    </row>
    <row r="33" spans="2:35" ht="15" hidden="1" customHeight="1" outlineLevel="1">
      <c r="B33"/>
      <c r="C33" s="106">
        <v>100</v>
      </c>
      <c r="D33" s="101" t="s">
        <v>106</v>
      </c>
      <c r="E33" s="199">
        <f>IF(INDEX('Completion Matrix'!$I:$I,MATCH(Overview!$C33,'Completion Matrix'!$A:$A,0))=E$19,1,"")</f>
        <v>1</v>
      </c>
      <c r="F33" s="199" t="str">
        <f>IF(INDEX('Completion Matrix'!$I:$I,MATCH(Overview!$C33,'Completion Matrix'!$A:$A,0))=F$19,1,"")</f>
        <v/>
      </c>
      <c r="G33" s="199" t="str">
        <f>IF(INDEX('Completion Matrix'!$I:$I,MATCH(Overview!$C33,'Completion Matrix'!$A:$A,0))=G$19,1,"")</f>
        <v/>
      </c>
      <c r="H33" s="199" t="str">
        <f>IF(INDEX('Completion Matrix'!$I:$I,MATCH(Overview!$C33,'Completion Matrix'!$A:$A,0))=H$19,1,"")</f>
        <v/>
      </c>
      <c r="I33" s="138">
        <f t="shared" si="1"/>
        <v>1</v>
      </c>
      <c r="J33" s="221"/>
      <c r="K33" s="96"/>
      <c r="L33" s="199">
        <f>IF(INDEX('Completion Matrix'!$J:$J,MATCH(Overview!$C33,'Completion Matrix'!$A:$A,0))=L$19,1,"")</f>
        <v>1</v>
      </c>
      <c r="M33" s="199" t="str">
        <f>IF(INDEX('Completion Matrix'!$J:$J,MATCH(Overview!$C33,'Completion Matrix'!$A:$A,0))=M$19,1,"")</f>
        <v/>
      </c>
      <c r="N33" s="199" t="str">
        <f>IF(INDEX('Completion Matrix'!$J:$J,MATCH(Overview!$C33,'Completion Matrix'!$A:$A,0))=N$19,1,"")</f>
        <v/>
      </c>
      <c r="O33" s="199" t="str">
        <f>IF(INDEX('Completion Matrix'!$J:$J,MATCH(Overview!$C33,'Completion Matrix'!$A:$A,0))=O$19,1,"")</f>
        <v/>
      </c>
      <c r="P33" s="138">
        <f>SUM(L33:O33)</f>
        <v>1</v>
      </c>
      <c r="Q33" s="230"/>
      <c r="W33" s="96"/>
      <c r="X33" s="96"/>
      <c r="Y33" s="96"/>
      <c r="Z33" s="96"/>
      <c r="AA33" s="96"/>
      <c r="AB33" s="96"/>
      <c r="AC33" s="96"/>
      <c r="AD33"/>
      <c r="AE33" s="224"/>
      <c r="AF33" s="226"/>
      <c r="AG33" s="94"/>
      <c r="AH33" s="94"/>
      <c r="AI33" s="95"/>
    </row>
    <row r="34" spans="2:35" ht="38.25" hidden="1" customHeight="1" outlineLevel="1" collapsed="1">
      <c r="B34"/>
      <c r="C34" s="105">
        <v>101</v>
      </c>
      <c r="D34" s="100" t="s">
        <v>133</v>
      </c>
      <c r="E34" s="199">
        <f>IF(INDEX('Completion Matrix'!$I:$I,MATCH(Overview!$C34,'Completion Matrix'!$A:$A,0))=E$19,1,"")</f>
        <v>1</v>
      </c>
      <c r="F34" s="199" t="str">
        <f>IF(INDEX('Completion Matrix'!$I:$I,MATCH(Overview!$C34,'Completion Matrix'!$A:$A,0))=F$19,1,"")</f>
        <v/>
      </c>
      <c r="G34" s="199" t="str">
        <f>IF(INDEX('Completion Matrix'!$I:$I,MATCH(Overview!$C34,'Completion Matrix'!$A:$A,0))=G$19,1,"")</f>
        <v/>
      </c>
      <c r="H34" s="199" t="str">
        <f>IF(INDEX('Completion Matrix'!$I:$I,MATCH(Overview!$C34,'Completion Matrix'!$A:$A,0))=H$19,1,"")</f>
        <v/>
      </c>
      <c r="I34" s="138">
        <f t="shared" si="1"/>
        <v>1</v>
      </c>
      <c r="J34" s="221"/>
      <c r="K34" s="96"/>
      <c r="L34" s="199">
        <f>IF(INDEX('Completion Matrix'!$J:$J,MATCH(Overview!$C34,'Completion Matrix'!$A:$A,0))=L$19,1,"")</f>
        <v>1</v>
      </c>
      <c r="M34" s="199" t="str">
        <f>IF(INDEX('Completion Matrix'!$J:$J,MATCH(Overview!$C34,'Completion Matrix'!$A:$A,0))=M$19,1,"")</f>
        <v/>
      </c>
      <c r="N34" s="199" t="str">
        <f>IF(INDEX('Completion Matrix'!$J:$J,MATCH(Overview!$C34,'Completion Matrix'!$A:$A,0))=N$19,1,"")</f>
        <v/>
      </c>
      <c r="O34" s="199" t="str">
        <f>IF(INDEX('Completion Matrix'!$J:$J,MATCH(Overview!$C34,'Completion Matrix'!$A:$A,0))=O$19,1,"")</f>
        <v/>
      </c>
      <c r="P34" s="190">
        <f t="shared" ref="P34:P47" si="8">SUM(L34:O34)</f>
        <v>1</v>
      </c>
      <c r="Q34" s="230"/>
      <c r="W34" s="96"/>
      <c r="X34" s="96"/>
      <c r="Y34" s="96"/>
      <c r="Z34" s="96"/>
      <c r="AA34" s="96"/>
      <c r="AB34" s="96"/>
      <c r="AC34" s="96"/>
      <c r="AD34"/>
      <c r="AE34" s="224"/>
      <c r="AF34" s="226"/>
      <c r="AG34" s="94" t="s">
        <v>459</v>
      </c>
      <c r="AH34" s="94"/>
      <c r="AI34" s="95">
        <f>COUNTIFS('Completion Matrix'!$E:$E,Overview!$AE$32,'Completion Matrix'!$I:$I,$AF$32,'Completion Matrix'!$J:$J,AG34)</f>
        <v>0</v>
      </c>
    </row>
    <row r="35" spans="2:35" ht="25.5" hidden="1" customHeight="1" outlineLevel="1">
      <c r="B35"/>
      <c r="C35" s="106">
        <v>102</v>
      </c>
      <c r="D35" s="101" t="s">
        <v>137</v>
      </c>
      <c r="E35" s="199">
        <f>IF(INDEX('Completion Matrix'!$I:$I,MATCH(Overview!$C35,'Completion Matrix'!$A:$A,0))=E$19,1,"")</f>
        <v>1</v>
      </c>
      <c r="F35" s="199" t="str">
        <f>IF(INDEX('Completion Matrix'!$I:$I,MATCH(Overview!$C35,'Completion Matrix'!$A:$A,0))=F$19,1,"")</f>
        <v/>
      </c>
      <c r="G35" s="199" t="str">
        <f>IF(INDEX('Completion Matrix'!$I:$I,MATCH(Overview!$C35,'Completion Matrix'!$A:$A,0))=G$19,1,"")</f>
        <v/>
      </c>
      <c r="H35" s="199" t="str">
        <f>IF(INDEX('Completion Matrix'!$I:$I,MATCH(Overview!$C35,'Completion Matrix'!$A:$A,0))=H$19,1,"")</f>
        <v/>
      </c>
      <c r="I35" s="138">
        <f t="shared" si="1"/>
        <v>1</v>
      </c>
      <c r="J35" s="221"/>
      <c r="K35" s="96"/>
      <c r="L35" s="199" t="str">
        <f>IF(INDEX('Completion Matrix'!$J:$J,MATCH(Overview!$C35,'Completion Matrix'!$A:$A,0))=L$19,1,"")</f>
        <v/>
      </c>
      <c r="M35" s="199">
        <f>IF(INDEX('Completion Matrix'!$J:$J,MATCH(Overview!$C35,'Completion Matrix'!$A:$A,0))=M$19,1,"")</f>
        <v>1</v>
      </c>
      <c r="N35" s="199" t="str">
        <f>IF(INDEX('Completion Matrix'!$J:$J,MATCH(Overview!$C35,'Completion Matrix'!$A:$A,0))=N$19,1,"")</f>
        <v/>
      </c>
      <c r="O35" s="199" t="str">
        <f>IF(INDEX('Completion Matrix'!$J:$J,MATCH(Overview!$C35,'Completion Matrix'!$A:$A,0))=O$19,1,"")</f>
        <v/>
      </c>
      <c r="P35" s="190">
        <f t="shared" si="8"/>
        <v>1</v>
      </c>
      <c r="Q35" s="230"/>
      <c r="W35" s="96"/>
      <c r="X35" s="96"/>
      <c r="Y35" s="96"/>
      <c r="Z35" s="96"/>
      <c r="AA35" s="96"/>
      <c r="AB35" s="96"/>
      <c r="AC35" s="96"/>
      <c r="AD35"/>
      <c r="AE35" s="224"/>
      <c r="AF35" s="226"/>
      <c r="AG35" s="94" t="s">
        <v>462</v>
      </c>
      <c r="AH35" s="94"/>
      <c r="AI35" s="95">
        <f>COUNTIFS('Completion Matrix'!$E:$E,Overview!$AE$32,'Completion Matrix'!$I:$I,$AF$32,'Completion Matrix'!$J:$J,AG35)</f>
        <v>0</v>
      </c>
    </row>
    <row r="36" spans="2:35" ht="25.5" hidden="1" customHeight="1" outlineLevel="1">
      <c r="B36"/>
      <c r="C36" s="106">
        <v>103</v>
      </c>
      <c r="D36" s="101" t="s">
        <v>138</v>
      </c>
      <c r="E36" s="199">
        <f>IF(INDEX('Completion Matrix'!$I:$I,MATCH(Overview!$C36,'Completion Matrix'!$A:$A,0))=E$19,1,"")</f>
        <v>1</v>
      </c>
      <c r="F36" s="199" t="str">
        <f>IF(INDEX('Completion Matrix'!$I:$I,MATCH(Overview!$C36,'Completion Matrix'!$A:$A,0))=F$19,1,"")</f>
        <v/>
      </c>
      <c r="G36" s="199" t="str">
        <f>IF(INDEX('Completion Matrix'!$I:$I,MATCH(Overview!$C36,'Completion Matrix'!$A:$A,0))=G$19,1,"")</f>
        <v/>
      </c>
      <c r="H36" s="199" t="str">
        <f>IF(INDEX('Completion Matrix'!$I:$I,MATCH(Overview!$C36,'Completion Matrix'!$A:$A,0))=H$19,1,"")</f>
        <v/>
      </c>
      <c r="I36" s="190">
        <f>SUM(E36:H36)</f>
        <v>1</v>
      </c>
      <c r="J36" s="221"/>
      <c r="K36" s="96"/>
      <c r="L36" s="199">
        <f>IF(INDEX('Completion Matrix'!$J:$J,MATCH(Overview!$C36,'Completion Matrix'!$A:$A,0))=L$19,1,"")</f>
        <v>1</v>
      </c>
      <c r="M36" s="199" t="str">
        <f>IF(INDEX('Completion Matrix'!$J:$J,MATCH(Overview!$C36,'Completion Matrix'!$A:$A,0))=M$19,1,"")</f>
        <v/>
      </c>
      <c r="N36" s="199" t="str">
        <f>IF(INDEX('Completion Matrix'!$J:$J,MATCH(Overview!$C36,'Completion Matrix'!$A:$A,0))=N$19,1,"")</f>
        <v/>
      </c>
      <c r="O36" s="199" t="str">
        <f>IF(INDEX('Completion Matrix'!$J:$J,MATCH(Overview!$C36,'Completion Matrix'!$A:$A,0))=O$19,1,"")</f>
        <v/>
      </c>
      <c r="P36" s="190">
        <f t="shared" si="8"/>
        <v>1</v>
      </c>
      <c r="Q36" s="230"/>
      <c r="W36" s="96"/>
      <c r="X36" s="96"/>
      <c r="Y36" s="96"/>
      <c r="Z36" s="96"/>
      <c r="AA36" s="96"/>
      <c r="AB36" s="96"/>
      <c r="AC36" s="96"/>
      <c r="AD36"/>
      <c r="AE36" s="224"/>
      <c r="AF36" s="226"/>
      <c r="AG36" s="94"/>
      <c r="AH36" s="94"/>
      <c r="AI36" s="95"/>
    </row>
    <row r="37" spans="2:35" ht="38.25" hidden="1" customHeight="1" outlineLevel="1">
      <c r="B37"/>
      <c r="C37" s="106">
        <v>104</v>
      </c>
      <c r="D37" s="101" t="s">
        <v>140</v>
      </c>
      <c r="E37" s="199">
        <f>IF(INDEX('Completion Matrix'!$I:$I,MATCH(Overview!$C37,'Completion Matrix'!$A:$A,0))=E$19,1,"")</f>
        <v>1</v>
      </c>
      <c r="F37" s="199" t="str">
        <f>IF(INDEX('Completion Matrix'!$I:$I,MATCH(Overview!$C37,'Completion Matrix'!$A:$A,0))=F$19,1,"")</f>
        <v/>
      </c>
      <c r="G37" s="199" t="str">
        <f>IF(INDEX('Completion Matrix'!$I:$I,MATCH(Overview!$C37,'Completion Matrix'!$A:$A,0))=G$19,1,"")</f>
        <v/>
      </c>
      <c r="H37" s="199" t="str">
        <f>IF(INDEX('Completion Matrix'!$I:$I,MATCH(Overview!$C37,'Completion Matrix'!$A:$A,0))=H$19,1,"")</f>
        <v/>
      </c>
      <c r="I37" s="138">
        <f t="shared" si="1"/>
        <v>1</v>
      </c>
      <c r="J37" s="221"/>
      <c r="K37" s="96"/>
      <c r="L37" s="199" t="str">
        <f>IF(INDEX('Completion Matrix'!$J:$J,MATCH(Overview!$C37,'Completion Matrix'!$A:$A,0))=L$19,1,"")</f>
        <v/>
      </c>
      <c r="M37" s="199">
        <f>IF(INDEX('Completion Matrix'!$J:$J,MATCH(Overview!$C37,'Completion Matrix'!$A:$A,0))=M$19,1,"")</f>
        <v>1</v>
      </c>
      <c r="N37" s="199" t="str">
        <f>IF(INDEX('Completion Matrix'!$J:$J,MATCH(Overview!$C37,'Completion Matrix'!$A:$A,0))=N$19,1,"")</f>
        <v/>
      </c>
      <c r="O37" s="199" t="str">
        <f>IF(INDEX('Completion Matrix'!$J:$J,MATCH(Overview!$C37,'Completion Matrix'!$A:$A,0))=O$19,1,"")</f>
        <v/>
      </c>
      <c r="P37" s="190">
        <f t="shared" si="8"/>
        <v>1</v>
      </c>
      <c r="Q37" s="230"/>
      <c r="W37" s="96"/>
      <c r="X37" s="96"/>
      <c r="Y37" s="96"/>
      <c r="Z37" s="96"/>
      <c r="AA37" s="96"/>
      <c r="AB37" s="96"/>
      <c r="AC37" s="96"/>
      <c r="AD37"/>
      <c r="AE37" s="224"/>
      <c r="AF37" s="226"/>
      <c r="AG37" s="94" t="s">
        <v>636</v>
      </c>
      <c r="AH37" s="94"/>
      <c r="AI37" s="95">
        <f>COUNTIFS('Completion Matrix'!$E:$E,Overview!$AE$32,'Completion Matrix'!$I:$I,$AF$32,'Completion Matrix'!$J:$J,AG37)</f>
        <v>0</v>
      </c>
    </row>
    <row r="38" spans="2:35" ht="38.25" hidden="1" customHeight="1" outlineLevel="1">
      <c r="B38"/>
      <c r="C38" s="105">
        <v>105</v>
      </c>
      <c r="D38" s="100" t="s">
        <v>144</v>
      </c>
      <c r="E38" s="199" t="str">
        <f>IF(INDEX('Completion Matrix'!$I:$I,MATCH(Overview!$C38,'Completion Matrix'!$A:$A,0))=E$19,1,"")</f>
        <v/>
      </c>
      <c r="F38" s="199">
        <f>IF(INDEX('Completion Matrix'!$I:$I,MATCH(Overview!$C38,'Completion Matrix'!$A:$A,0))=F$19,1,"")</f>
        <v>1</v>
      </c>
      <c r="G38" s="199" t="str">
        <f>IF(INDEX('Completion Matrix'!$I:$I,MATCH(Overview!$C38,'Completion Matrix'!$A:$A,0))=G$19,1,"")</f>
        <v/>
      </c>
      <c r="H38" s="199" t="str">
        <f>IF(INDEX('Completion Matrix'!$I:$I,MATCH(Overview!$C38,'Completion Matrix'!$A:$A,0))=H$19,1,"")</f>
        <v/>
      </c>
      <c r="I38" s="138">
        <f t="shared" si="1"/>
        <v>1</v>
      </c>
      <c r="J38" s="221"/>
      <c r="K38" s="96"/>
      <c r="L38" s="199" t="str">
        <f>IF(INDEX('Completion Matrix'!$J:$J,MATCH(Overview!$C38,'Completion Matrix'!$A:$A,0))=L$19,1,"")</f>
        <v/>
      </c>
      <c r="M38" s="199">
        <f>IF(INDEX('Completion Matrix'!$J:$J,MATCH(Overview!$C38,'Completion Matrix'!$A:$A,0))=M$19,1,"")</f>
        <v>1</v>
      </c>
      <c r="N38" s="199" t="str">
        <f>IF(INDEX('Completion Matrix'!$J:$J,MATCH(Overview!$C38,'Completion Matrix'!$A:$A,0))=N$19,1,"")</f>
        <v/>
      </c>
      <c r="O38" s="199" t="str">
        <f>IF(INDEX('Completion Matrix'!$J:$J,MATCH(Overview!$C38,'Completion Matrix'!$A:$A,0))=O$19,1,"")</f>
        <v/>
      </c>
      <c r="P38" s="190">
        <f t="shared" si="8"/>
        <v>1</v>
      </c>
      <c r="Q38" s="230"/>
      <c r="W38" s="96"/>
      <c r="X38" s="96"/>
      <c r="Y38" s="96"/>
      <c r="Z38" s="96"/>
      <c r="AA38" s="96"/>
      <c r="AB38" s="96"/>
      <c r="AC38" s="96"/>
      <c r="AD38"/>
      <c r="AE38" s="224"/>
      <c r="AF38" s="226" t="s">
        <v>594</v>
      </c>
      <c r="AG38" s="94" t="s">
        <v>468</v>
      </c>
      <c r="AH38" s="94"/>
      <c r="AI38" s="95">
        <f>COUNTIFS('Completion Matrix'!$E:$E,Overview!$AE$32,'Completion Matrix'!$I:$I,$AF$38,'Completion Matrix'!$J:$J,AG38)</f>
        <v>0</v>
      </c>
    </row>
    <row r="39" spans="2:35" ht="63.75" hidden="1" customHeight="1" outlineLevel="1">
      <c r="B39"/>
      <c r="C39" s="106">
        <v>106</v>
      </c>
      <c r="D39" s="101" t="s">
        <v>148</v>
      </c>
      <c r="E39" s="199">
        <f>IF(INDEX('Completion Matrix'!$I:$I,MATCH(Overview!$C39,'Completion Matrix'!$A:$A,0))=E$19,1,"")</f>
        <v>1</v>
      </c>
      <c r="F39" s="199" t="str">
        <f>IF(INDEX('Completion Matrix'!$I:$I,MATCH(Overview!$C39,'Completion Matrix'!$A:$A,0))=F$19,1,"")</f>
        <v/>
      </c>
      <c r="G39" s="199" t="str">
        <f>IF(INDEX('Completion Matrix'!$I:$I,MATCH(Overview!$C39,'Completion Matrix'!$A:$A,0))=G$19,1,"")</f>
        <v/>
      </c>
      <c r="H39" s="199" t="str">
        <f>IF(INDEX('Completion Matrix'!$I:$I,MATCH(Overview!$C39,'Completion Matrix'!$A:$A,0))=H$19,1,"")</f>
        <v/>
      </c>
      <c r="I39" s="138">
        <f t="shared" si="1"/>
        <v>1</v>
      </c>
      <c r="J39" s="221"/>
      <c r="K39" s="96"/>
      <c r="L39" s="199">
        <f>IF(INDEX('Completion Matrix'!$J:$J,MATCH(Overview!$C39,'Completion Matrix'!$A:$A,0))=L$19,1,"")</f>
        <v>1</v>
      </c>
      <c r="M39" s="199" t="str">
        <f>IF(INDEX('Completion Matrix'!$J:$J,MATCH(Overview!$C39,'Completion Matrix'!$A:$A,0))=M$19,1,"")</f>
        <v/>
      </c>
      <c r="N39" s="199" t="str">
        <f>IF(INDEX('Completion Matrix'!$J:$J,MATCH(Overview!$C39,'Completion Matrix'!$A:$A,0))=N$19,1,"")</f>
        <v/>
      </c>
      <c r="O39" s="199" t="str">
        <f>IF(INDEX('Completion Matrix'!$J:$J,MATCH(Overview!$C39,'Completion Matrix'!$A:$A,0))=O$19,1,"")</f>
        <v/>
      </c>
      <c r="P39" s="190">
        <f t="shared" si="8"/>
        <v>1</v>
      </c>
      <c r="Q39" s="230"/>
      <c r="W39" s="96"/>
      <c r="X39" s="96"/>
      <c r="Y39" s="96"/>
      <c r="Z39" s="96"/>
      <c r="AA39" s="96"/>
      <c r="AB39" s="96"/>
      <c r="AC39" s="96"/>
      <c r="AD39"/>
      <c r="AE39" s="224"/>
      <c r="AF39" s="226"/>
      <c r="AG39" s="94" t="s">
        <v>459</v>
      </c>
      <c r="AH39" s="94"/>
      <c r="AI39" s="95">
        <f>COUNTIFS('Completion Matrix'!$E:$E,Overview!$AE$32,'Completion Matrix'!$I:$I,$AF$38,'Completion Matrix'!$J:$J,AG39)</f>
        <v>0</v>
      </c>
    </row>
    <row r="40" spans="2:35" ht="25.5" hidden="1" customHeight="1" outlineLevel="1">
      <c r="B40"/>
      <c r="C40" s="105">
        <v>107</v>
      </c>
      <c r="D40" s="100" t="s">
        <v>149</v>
      </c>
      <c r="E40" s="199">
        <f>IF(INDEX('Completion Matrix'!$I:$I,MATCH(Overview!$C40,'Completion Matrix'!$A:$A,0))=E$19,1,"")</f>
        <v>1</v>
      </c>
      <c r="F40" s="199" t="str">
        <f>IF(INDEX('Completion Matrix'!$I:$I,MATCH(Overview!$C40,'Completion Matrix'!$A:$A,0))=F$19,1,"")</f>
        <v/>
      </c>
      <c r="G40" s="199" t="str">
        <f>IF(INDEX('Completion Matrix'!$I:$I,MATCH(Overview!$C40,'Completion Matrix'!$A:$A,0))=G$19,1,"")</f>
        <v/>
      </c>
      <c r="H40" s="199" t="str">
        <f>IF(INDEX('Completion Matrix'!$I:$I,MATCH(Overview!$C40,'Completion Matrix'!$A:$A,0))=H$19,1,"")</f>
        <v/>
      </c>
      <c r="I40" s="138">
        <f t="shared" si="1"/>
        <v>1</v>
      </c>
      <c r="J40" s="221"/>
      <c r="K40" s="96"/>
      <c r="L40" s="199">
        <f>IF(INDEX('Completion Matrix'!$J:$J,MATCH(Overview!$C40,'Completion Matrix'!$A:$A,0))=L$19,1,"")</f>
        <v>1</v>
      </c>
      <c r="M40" s="199" t="str">
        <f>IF(INDEX('Completion Matrix'!$J:$J,MATCH(Overview!$C40,'Completion Matrix'!$A:$A,0))=M$19,1,"")</f>
        <v/>
      </c>
      <c r="N40" s="199" t="str">
        <f>IF(INDEX('Completion Matrix'!$J:$J,MATCH(Overview!$C40,'Completion Matrix'!$A:$A,0))=N$19,1,"")</f>
        <v/>
      </c>
      <c r="O40" s="199" t="str">
        <f>IF(INDEX('Completion Matrix'!$J:$J,MATCH(Overview!$C40,'Completion Matrix'!$A:$A,0))=O$19,1,"")</f>
        <v/>
      </c>
      <c r="P40" s="190">
        <f t="shared" si="8"/>
        <v>1</v>
      </c>
      <c r="Q40" s="230"/>
      <c r="W40" s="96"/>
      <c r="X40" s="96"/>
      <c r="Y40" s="96"/>
      <c r="Z40" s="96"/>
      <c r="AA40" s="96"/>
      <c r="AB40" s="96"/>
      <c r="AC40" s="96"/>
      <c r="AD40"/>
      <c r="AE40" s="224"/>
      <c r="AF40" s="226"/>
      <c r="AG40" s="94" t="s">
        <v>462</v>
      </c>
      <c r="AH40" s="94"/>
      <c r="AI40" s="95">
        <f>COUNTIFS('Completion Matrix'!$E:$E,Overview!$AE$32,'Completion Matrix'!$I:$I,$AF$38,'Completion Matrix'!$J:$J,AG40)</f>
        <v>0</v>
      </c>
    </row>
    <row r="41" spans="2:35" ht="63.75" hidden="1" customHeight="1" outlineLevel="1">
      <c r="B41"/>
      <c r="C41" s="106">
        <v>108</v>
      </c>
      <c r="D41" s="101" t="s">
        <v>150</v>
      </c>
      <c r="E41" s="199">
        <f>IF(INDEX('Completion Matrix'!$I:$I,MATCH(Overview!$C41,'Completion Matrix'!$A:$A,0))=E$19,1,"")</f>
        <v>1</v>
      </c>
      <c r="F41" s="199" t="str">
        <f>IF(INDEX('Completion Matrix'!$I:$I,MATCH(Overview!$C41,'Completion Matrix'!$A:$A,0))=F$19,1,"")</f>
        <v/>
      </c>
      <c r="G41" s="199" t="str">
        <f>IF(INDEX('Completion Matrix'!$I:$I,MATCH(Overview!$C41,'Completion Matrix'!$A:$A,0))=G$19,1,"")</f>
        <v/>
      </c>
      <c r="H41" s="199" t="str">
        <f>IF(INDEX('Completion Matrix'!$I:$I,MATCH(Overview!$C41,'Completion Matrix'!$A:$A,0))=H$19,1,"")</f>
        <v/>
      </c>
      <c r="I41" s="138">
        <f t="shared" si="1"/>
        <v>1</v>
      </c>
      <c r="J41" s="221"/>
      <c r="K41" s="96"/>
      <c r="L41" s="199">
        <f>IF(INDEX('Completion Matrix'!$J:$J,MATCH(Overview!$C41,'Completion Matrix'!$A:$A,0))=L$19,1,"")</f>
        <v>1</v>
      </c>
      <c r="M41" s="199" t="str">
        <f>IF(INDEX('Completion Matrix'!$J:$J,MATCH(Overview!$C41,'Completion Matrix'!$A:$A,0))=M$19,1,"")</f>
        <v/>
      </c>
      <c r="N41" s="199" t="str">
        <f>IF(INDEX('Completion Matrix'!$J:$J,MATCH(Overview!$C41,'Completion Matrix'!$A:$A,0))=N$19,1,"")</f>
        <v/>
      </c>
      <c r="O41" s="199" t="str">
        <f>IF(INDEX('Completion Matrix'!$J:$J,MATCH(Overview!$C41,'Completion Matrix'!$A:$A,0))=O$19,1,"")</f>
        <v/>
      </c>
      <c r="P41" s="190">
        <f t="shared" si="8"/>
        <v>1</v>
      </c>
      <c r="Q41" s="230"/>
      <c r="W41" s="96"/>
      <c r="X41" s="96"/>
      <c r="Y41" s="96"/>
      <c r="Z41" s="96"/>
      <c r="AA41" s="96"/>
      <c r="AB41" s="96"/>
      <c r="AC41" s="96"/>
      <c r="AD41"/>
      <c r="AE41" s="224"/>
      <c r="AF41" s="226"/>
      <c r="AG41" s="94" t="s">
        <v>637</v>
      </c>
      <c r="AH41" s="94"/>
      <c r="AI41" s="95">
        <f>COUNTIFS('Completion Matrix'!$E:$E,Overview!$AE$32,'Completion Matrix'!$I:$I,$AF$38,'Completion Matrix'!$J:$J,AG41)</f>
        <v>0</v>
      </c>
    </row>
    <row r="42" spans="2:35" ht="63.75" hidden="1" customHeight="1" outlineLevel="1">
      <c r="B42"/>
      <c r="C42" s="106">
        <v>109</v>
      </c>
      <c r="D42" s="101" t="s">
        <v>151</v>
      </c>
      <c r="E42" s="199">
        <f>IF(INDEX('Completion Matrix'!$I:$I,MATCH(Overview!$C42,'Completion Matrix'!$A:$A,0))=E$19,1,"")</f>
        <v>1</v>
      </c>
      <c r="F42" s="199" t="str">
        <f>IF(INDEX('Completion Matrix'!$I:$I,MATCH(Overview!$C42,'Completion Matrix'!$A:$A,0))=F$19,1,"")</f>
        <v/>
      </c>
      <c r="G42" s="199" t="str">
        <f>IF(INDEX('Completion Matrix'!$I:$I,MATCH(Overview!$C42,'Completion Matrix'!$A:$A,0))=G$19,1,"")</f>
        <v/>
      </c>
      <c r="H42" s="199" t="str">
        <f>IF(INDEX('Completion Matrix'!$I:$I,MATCH(Overview!$C42,'Completion Matrix'!$A:$A,0))=H$19,1,"")</f>
        <v/>
      </c>
      <c r="I42" s="190">
        <f t="shared" ref="I42:I43" si="9">SUM(E42:H42)</f>
        <v>1</v>
      </c>
      <c r="J42" s="221"/>
      <c r="K42" s="96"/>
      <c r="L42" s="199">
        <f>IF(INDEX('Completion Matrix'!$J:$J,MATCH(Overview!$C42,'Completion Matrix'!$A:$A,0))=L$19,1,"")</f>
        <v>1</v>
      </c>
      <c r="M42" s="199" t="str">
        <f>IF(INDEX('Completion Matrix'!$J:$J,MATCH(Overview!$C42,'Completion Matrix'!$A:$A,0))=M$19,1,"")</f>
        <v/>
      </c>
      <c r="N42" s="199" t="str">
        <f>IF(INDEX('Completion Matrix'!$J:$J,MATCH(Overview!$C42,'Completion Matrix'!$A:$A,0))=N$19,1,"")</f>
        <v/>
      </c>
      <c r="O42" s="199" t="str">
        <f>IF(INDEX('Completion Matrix'!$J:$J,MATCH(Overview!$C42,'Completion Matrix'!$A:$A,0))=O$19,1,"")</f>
        <v/>
      </c>
      <c r="P42" s="190">
        <f t="shared" si="8"/>
        <v>1</v>
      </c>
      <c r="Q42" s="230"/>
      <c r="W42" s="96"/>
      <c r="X42" s="96"/>
      <c r="Y42" s="96"/>
      <c r="Z42" s="96"/>
      <c r="AA42" s="96"/>
      <c r="AB42" s="96"/>
      <c r="AC42" s="96"/>
      <c r="AD42"/>
      <c r="AE42" s="224"/>
      <c r="AF42" s="191"/>
      <c r="AG42" s="94"/>
      <c r="AH42" s="94"/>
      <c r="AI42" s="95"/>
    </row>
    <row r="43" spans="2:35" ht="63.75" hidden="1" customHeight="1" outlineLevel="1">
      <c r="B43"/>
      <c r="C43" s="106">
        <v>110</v>
      </c>
      <c r="D43" s="101" t="s">
        <v>152</v>
      </c>
      <c r="E43" s="199">
        <f>IF(INDEX('Completion Matrix'!$I:$I,MATCH(Overview!$C43,'Completion Matrix'!$A:$A,0))=E$19,1,"")</f>
        <v>1</v>
      </c>
      <c r="F43" s="199" t="str">
        <f>IF(INDEX('Completion Matrix'!$I:$I,MATCH(Overview!$C43,'Completion Matrix'!$A:$A,0))=F$19,1,"")</f>
        <v/>
      </c>
      <c r="G43" s="199" t="str">
        <f>IF(INDEX('Completion Matrix'!$I:$I,MATCH(Overview!$C43,'Completion Matrix'!$A:$A,0))=G$19,1,"")</f>
        <v/>
      </c>
      <c r="H43" s="199" t="str">
        <f>IF(INDEX('Completion Matrix'!$I:$I,MATCH(Overview!$C43,'Completion Matrix'!$A:$A,0))=H$19,1,"")</f>
        <v/>
      </c>
      <c r="I43" s="190">
        <f t="shared" si="9"/>
        <v>1</v>
      </c>
      <c r="J43" s="221"/>
      <c r="K43" s="96"/>
      <c r="L43" s="199">
        <f>IF(INDEX('Completion Matrix'!$J:$J,MATCH(Overview!$C43,'Completion Matrix'!$A:$A,0))=L$19,1,"")</f>
        <v>1</v>
      </c>
      <c r="M43" s="199" t="str">
        <f>IF(INDEX('Completion Matrix'!$J:$J,MATCH(Overview!$C43,'Completion Matrix'!$A:$A,0))=M$19,1,"")</f>
        <v/>
      </c>
      <c r="N43" s="199" t="str">
        <f>IF(INDEX('Completion Matrix'!$J:$J,MATCH(Overview!$C43,'Completion Matrix'!$A:$A,0))=N$19,1,"")</f>
        <v/>
      </c>
      <c r="O43" s="199" t="str">
        <f>IF(INDEX('Completion Matrix'!$J:$J,MATCH(Overview!$C43,'Completion Matrix'!$A:$A,0))=O$19,1,"")</f>
        <v/>
      </c>
      <c r="P43" s="190">
        <f t="shared" si="8"/>
        <v>1</v>
      </c>
      <c r="Q43" s="230"/>
      <c r="W43" s="96"/>
      <c r="X43" s="96"/>
      <c r="Y43" s="96"/>
      <c r="Z43" s="96"/>
      <c r="AA43" s="96"/>
      <c r="AB43" s="96"/>
      <c r="AC43" s="96"/>
      <c r="AD43"/>
      <c r="AE43" s="224"/>
      <c r="AF43" s="191"/>
      <c r="AG43" s="94"/>
      <c r="AH43" s="94"/>
      <c r="AI43" s="95"/>
    </row>
    <row r="44" spans="2:35" ht="15" hidden="1" customHeight="1" outlineLevel="1">
      <c r="B44"/>
      <c r="C44" s="106">
        <v>128</v>
      </c>
      <c r="D44" s="101" t="s">
        <v>106</v>
      </c>
      <c r="E44" s="199">
        <f>IF(INDEX('Completion Matrix'!$I:$I,MATCH(Overview!$C44,'Completion Matrix'!$A:$A,0))=E$19,1,"")</f>
        <v>1</v>
      </c>
      <c r="F44" s="199" t="str">
        <f>IF(INDEX('Completion Matrix'!$I:$I,MATCH(Overview!$C44,'Completion Matrix'!$A:$A,0))=F$19,1,"")</f>
        <v/>
      </c>
      <c r="G44" s="199" t="str">
        <f>IF(INDEX('Completion Matrix'!$I:$I,MATCH(Overview!$C44,'Completion Matrix'!$A:$A,0))=G$19,1,"")</f>
        <v/>
      </c>
      <c r="H44" s="199" t="str">
        <f>IF(INDEX('Completion Matrix'!$I:$I,MATCH(Overview!$C44,'Completion Matrix'!$A:$A,0))=H$19,1,"")</f>
        <v/>
      </c>
      <c r="I44" s="138">
        <f t="shared" si="1"/>
        <v>1</v>
      </c>
      <c r="J44" s="221"/>
      <c r="K44" s="96"/>
      <c r="L44" s="199">
        <f>IF(INDEX('Completion Matrix'!$J:$J,MATCH(Overview!$C44,'Completion Matrix'!$A:$A,0))=L$19,1,"")</f>
        <v>1</v>
      </c>
      <c r="M44" s="199" t="str">
        <f>IF(INDEX('Completion Matrix'!$J:$J,MATCH(Overview!$C44,'Completion Matrix'!$A:$A,0))=M$19,1,"")</f>
        <v/>
      </c>
      <c r="N44" s="199" t="str">
        <f>IF(INDEX('Completion Matrix'!$J:$J,MATCH(Overview!$C44,'Completion Matrix'!$A:$A,0))=N$19,1,"")</f>
        <v/>
      </c>
      <c r="O44" s="199" t="str">
        <f>IF(INDEX('Completion Matrix'!$J:$J,MATCH(Overview!$C44,'Completion Matrix'!$A:$A,0))=O$19,1,"")</f>
        <v/>
      </c>
      <c r="P44" s="190">
        <f t="shared" si="8"/>
        <v>1</v>
      </c>
      <c r="Q44" s="230"/>
      <c r="W44" s="96"/>
      <c r="X44" s="96"/>
      <c r="Y44" s="96"/>
      <c r="Z44" s="96"/>
      <c r="AA44" s="96"/>
      <c r="AB44" s="96"/>
      <c r="AC44" s="96"/>
      <c r="AD44"/>
      <c r="AE44" s="224"/>
      <c r="AF44" s="226" t="s">
        <v>593</v>
      </c>
      <c r="AG44" s="94" t="s">
        <v>468</v>
      </c>
      <c r="AH44" s="94"/>
      <c r="AI44" s="95">
        <f>COUNTIFS('Completion Matrix'!$E:$E,Overview!$AE$32,'Completion Matrix'!$I:$I,$AF$44,'Completion Matrix'!$J:$J,AG44)</f>
        <v>0</v>
      </c>
    </row>
    <row r="45" spans="2:35" ht="38.25" hidden="1" customHeight="1" outlineLevel="1">
      <c r="B45"/>
      <c r="C45" s="105">
        <v>129</v>
      </c>
      <c r="D45" s="100" t="s">
        <v>216</v>
      </c>
      <c r="E45" s="199">
        <f>IF(INDEX('Completion Matrix'!$I:$I,MATCH(Overview!$C45,'Completion Matrix'!$A:$A,0))=E$19,1,"")</f>
        <v>1</v>
      </c>
      <c r="F45" s="199" t="str">
        <f>IF(INDEX('Completion Matrix'!$I:$I,MATCH(Overview!$C45,'Completion Matrix'!$A:$A,0))=F$19,1,"")</f>
        <v/>
      </c>
      <c r="G45" s="199" t="str">
        <f>IF(INDEX('Completion Matrix'!$I:$I,MATCH(Overview!$C45,'Completion Matrix'!$A:$A,0))=G$19,1,"")</f>
        <v/>
      </c>
      <c r="H45" s="199" t="str">
        <f>IF(INDEX('Completion Matrix'!$I:$I,MATCH(Overview!$C45,'Completion Matrix'!$A:$A,0))=H$19,1,"")</f>
        <v/>
      </c>
      <c r="I45" s="138">
        <f t="shared" si="1"/>
        <v>1</v>
      </c>
      <c r="J45" s="221"/>
      <c r="K45" s="96"/>
      <c r="L45" s="199">
        <f>IF(INDEX('Completion Matrix'!$J:$J,MATCH(Overview!$C45,'Completion Matrix'!$A:$A,0))=L$19,1,"")</f>
        <v>1</v>
      </c>
      <c r="M45" s="199" t="str">
        <f>IF(INDEX('Completion Matrix'!$J:$J,MATCH(Overview!$C45,'Completion Matrix'!$A:$A,0))=M$19,1,"")</f>
        <v/>
      </c>
      <c r="N45" s="199" t="str">
        <f>IF(INDEX('Completion Matrix'!$J:$J,MATCH(Overview!$C45,'Completion Matrix'!$A:$A,0))=N$19,1,"")</f>
        <v/>
      </c>
      <c r="O45" s="199" t="str">
        <f>IF(INDEX('Completion Matrix'!$J:$J,MATCH(Overview!$C45,'Completion Matrix'!$A:$A,0))=O$19,1,"")</f>
        <v/>
      </c>
      <c r="P45" s="190">
        <f t="shared" si="8"/>
        <v>1</v>
      </c>
      <c r="Q45" s="230"/>
      <c r="W45" s="96"/>
      <c r="X45" s="96"/>
      <c r="Y45" s="96"/>
      <c r="Z45" s="96"/>
      <c r="AA45" s="96"/>
      <c r="AB45" s="96"/>
      <c r="AC45" s="96"/>
      <c r="AD45"/>
      <c r="AE45" s="224"/>
      <c r="AF45" s="226"/>
      <c r="AG45" s="94" t="s">
        <v>459</v>
      </c>
      <c r="AH45" s="94"/>
      <c r="AI45" s="95">
        <f>COUNTIFS('Completion Matrix'!$E:$E,Overview!$AE$32,'Completion Matrix'!$I:$I,$AF$44,'Completion Matrix'!$J:$J,AG45)</f>
        <v>0</v>
      </c>
    </row>
    <row r="46" spans="2:35" ht="38.25" hidden="1" customHeight="1" outlineLevel="1">
      <c r="B46"/>
      <c r="C46" s="106">
        <v>138</v>
      </c>
      <c r="D46" s="101" t="s">
        <v>228</v>
      </c>
      <c r="E46" s="199" t="str">
        <f>IF(INDEX('Completion Matrix'!$I:$I,MATCH(Overview!$C46,'Completion Matrix'!$A:$A,0))=E$19,1,"")</f>
        <v/>
      </c>
      <c r="F46" s="199">
        <f>IF(INDEX('Completion Matrix'!$I:$I,MATCH(Overview!$C46,'Completion Matrix'!$A:$A,0))=F$19,1,"")</f>
        <v>1</v>
      </c>
      <c r="G46" s="199" t="str">
        <f>IF(INDEX('Completion Matrix'!$I:$I,MATCH(Overview!$C46,'Completion Matrix'!$A:$A,0))=G$19,1,"")</f>
        <v/>
      </c>
      <c r="H46" s="199" t="str">
        <f>IF(INDEX('Completion Matrix'!$I:$I,MATCH(Overview!$C46,'Completion Matrix'!$A:$A,0))=H$19,1,"")</f>
        <v/>
      </c>
      <c r="I46" s="138">
        <f t="shared" si="1"/>
        <v>1</v>
      </c>
      <c r="J46" s="221"/>
      <c r="K46" s="96"/>
      <c r="L46" s="199" t="str">
        <f>IF(INDEX('Completion Matrix'!$J:$J,MATCH(Overview!$C46,'Completion Matrix'!$A:$A,0))=L$19,1,"")</f>
        <v/>
      </c>
      <c r="M46" s="199">
        <f>IF(INDEX('Completion Matrix'!$J:$J,MATCH(Overview!$C46,'Completion Matrix'!$A:$A,0))=M$19,1,"")</f>
        <v>1</v>
      </c>
      <c r="N46" s="199" t="str">
        <f>IF(INDEX('Completion Matrix'!$J:$J,MATCH(Overview!$C46,'Completion Matrix'!$A:$A,0))=N$19,1,"")</f>
        <v/>
      </c>
      <c r="O46" s="199" t="str">
        <f>IF(INDEX('Completion Matrix'!$J:$J,MATCH(Overview!$C46,'Completion Matrix'!$A:$A,0))=O$19,1,"")</f>
        <v/>
      </c>
      <c r="P46" s="190">
        <f t="shared" si="8"/>
        <v>1</v>
      </c>
      <c r="Q46" s="230"/>
      <c r="W46" s="96"/>
      <c r="X46" s="96"/>
      <c r="Y46" s="96"/>
      <c r="Z46" s="96"/>
      <c r="AA46" s="96"/>
      <c r="AB46" s="96"/>
      <c r="AC46" s="96"/>
      <c r="AD46"/>
      <c r="AE46" s="224"/>
      <c r="AF46" s="226"/>
      <c r="AG46" s="94" t="s">
        <v>462</v>
      </c>
      <c r="AH46" s="94"/>
      <c r="AI46" s="95">
        <f>COUNTIFS('Completion Matrix'!$E:$E,Overview!$AE$32,'Completion Matrix'!$I:$I,$AF$44,'Completion Matrix'!$J:$J,AG46)</f>
        <v>0</v>
      </c>
    </row>
    <row r="47" spans="2:35" ht="38.25" hidden="1" customHeight="1" outlineLevel="1" collapsed="1">
      <c r="B47"/>
      <c r="C47" s="142">
        <v>139</v>
      </c>
      <c r="D47" s="143" t="s">
        <v>229</v>
      </c>
      <c r="E47" s="199" t="str">
        <f>IF(INDEX('Completion Matrix'!$I:$I,MATCH(Overview!$C47,'Completion Matrix'!$A:$A,0))=E$19,1,"")</f>
        <v/>
      </c>
      <c r="F47" s="199">
        <f>IF(INDEX('Completion Matrix'!$I:$I,MATCH(Overview!$C47,'Completion Matrix'!$A:$A,0))=F$19,1,"")</f>
        <v>1</v>
      </c>
      <c r="G47" s="199" t="str">
        <f>IF(INDEX('Completion Matrix'!$I:$I,MATCH(Overview!$C47,'Completion Matrix'!$A:$A,0))=G$19,1,"")</f>
        <v/>
      </c>
      <c r="H47" s="199" t="str">
        <f>IF(INDEX('Completion Matrix'!$I:$I,MATCH(Overview!$C47,'Completion Matrix'!$A:$A,0))=H$19,1,"")</f>
        <v/>
      </c>
      <c r="I47" s="138">
        <f t="shared" si="1"/>
        <v>1</v>
      </c>
      <c r="J47" s="221"/>
      <c r="K47" s="96"/>
      <c r="L47" s="199" t="str">
        <f>IF(INDEX('Completion Matrix'!$J:$J,MATCH(Overview!$C47,'Completion Matrix'!$A:$A,0))=L$19,1,"")</f>
        <v/>
      </c>
      <c r="M47" s="199">
        <f>IF(INDEX('Completion Matrix'!$J:$J,MATCH(Overview!$C47,'Completion Matrix'!$A:$A,0))=M$19,1,"")</f>
        <v>1</v>
      </c>
      <c r="N47" s="199" t="str">
        <f>IF(INDEX('Completion Matrix'!$J:$J,MATCH(Overview!$C47,'Completion Matrix'!$A:$A,0))=N$19,1,"")</f>
        <v/>
      </c>
      <c r="O47" s="199" t="str">
        <f>IF(INDEX('Completion Matrix'!$J:$J,MATCH(Overview!$C47,'Completion Matrix'!$A:$A,0))=O$19,1,"")</f>
        <v/>
      </c>
      <c r="P47" s="190">
        <f t="shared" si="8"/>
        <v>1</v>
      </c>
      <c r="Q47" s="230"/>
      <c r="W47" s="96"/>
      <c r="X47" s="96"/>
      <c r="Y47" s="96"/>
      <c r="Z47" s="96"/>
      <c r="AA47" s="96"/>
      <c r="AB47" s="96"/>
      <c r="AC47" s="96"/>
      <c r="AD47"/>
      <c r="AE47" s="224"/>
      <c r="AF47" s="226"/>
      <c r="AG47" s="94" t="s">
        <v>636</v>
      </c>
      <c r="AH47" s="94"/>
      <c r="AI47" s="95">
        <f>COUNTIFS('Completion Matrix'!$E:$E,Overview!$AE$32,'Completion Matrix'!$I:$I,$AF$44,'Completion Matrix'!$J:$J,AG47)</f>
        <v>0</v>
      </c>
    </row>
    <row r="48" spans="2:35" ht="15" collapsed="1">
      <c r="B48" s="216" t="s">
        <v>728</v>
      </c>
      <c r="C48" s="217"/>
      <c r="D48" s="218"/>
      <c r="E48" s="199">
        <f>SUM(E49:E56)</f>
        <v>8</v>
      </c>
      <c r="F48" s="199">
        <f t="shared" ref="F48:H48" si="10">SUM(F49:F56)</f>
        <v>0</v>
      </c>
      <c r="G48" s="199">
        <f t="shared" si="10"/>
        <v>0</v>
      </c>
      <c r="H48" s="199">
        <f t="shared" si="10"/>
        <v>0</v>
      </c>
      <c r="I48" s="138">
        <f t="shared" si="1"/>
        <v>8</v>
      </c>
      <c r="J48" s="221"/>
      <c r="K48" s="96"/>
      <c r="L48" s="199">
        <f>SUM(L49:L56)</f>
        <v>0</v>
      </c>
      <c r="M48" s="199">
        <f t="shared" ref="M48:O48" si="11">SUM(M49:M56)</f>
        <v>8</v>
      </c>
      <c r="N48" s="199">
        <f t="shared" si="11"/>
        <v>0</v>
      </c>
      <c r="O48" s="199">
        <f t="shared" si="11"/>
        <v>0</v>
      </c>
      <c r="P48" s="138">
        <f>SUM(L48:O48)</f>
        <v>8</v>
      </c>
      <c r="Q48" s="230"/>
      <c r="W48" s="96"/>
      <c r="X48" s="96"/>
      <c r="Y48" s="96"/>
      <c r="Z48" s="96"/>
      <c r="AA48" s="96"/>
      <c r="AB48" s="96"/>
      <c r="AC48" s="96"/>
      <c r="AD48"/>
      <c r="AE48" s="224"/>
      <c r="AF48" s="226" t="s">
        <v>636</v>
      </c>
      <c r="AG48" s="94" t="s">
        <v>468</v>
      </c>
      <c r="AH48" s="94"/>
      <c r="AI48" s="95">
        <f>COUNTIFS('Completion Matrix'!$E:$E,Overview!$AE$32,'Completion Matrix'!$I:$I,$AF$48,'Completion Matrix'!$J:$J,AG48)</f>
        <v>0</v>
      </c>
    </row>
    <row r="49" spans="2:35" ht="15" hidden="1" customHeight="1" outlineLevel="1">
      <c r="B49"/>
      <c r="C49" s="144">
        <v>87</v>
      </c>
      <c r="D49" s="145" t="s">
        <v>118</v>
      </c>
      <c r="E49" s="199">
        <f>IF(INDEX('Completion Matrix'!$I:$I,MATCH(Overview!$C49,'Completion Matrix'!$A:$A,0))=E$19,1,"")</f>
        <v>1</v>
      </c>
      <c r="F49" s="199" t="str">
        <f>IF(INDEX('Completion Matrix'!$I:$I,MATCH(Overview!$C49,'Completion Matrix'!$A:$A,0))=F$19,1,"")</f>
        <v/>
      </c>
      <c r="G49" s="199" t="str">
        <f>IF(INDEX('Completion Matrix'!$I:$I,MATCH(Overview!$C49,'Completion Matrix'!$A:$A,0))=G$19,1,"")</f>
        <v/>
      </c>
      <c r="H49" s="199" t="str">
        <f>IF(INDEX('Completion Matrix'!$I:$I,MATCH(Overview!$C49,'Completion Matrix'!$A:$A,0))=H$19,1,"")</f>
        <v/>
      </c>
      <c r="I49" s="138">
        <f t="shared" si="1"/>
        <v>1</v>
      </c>
      <c r="J49" s="221"/>
      <c r="K49" s="96"/>
      <c r="L49" s="199" t="str">
        <f>IF(INDEX('Completion Matrix'!$J:$J,MATCH(Overview!$C49,'Completion Matrix'!$A:$A,0))=L$19,1,"")</f>
        <v/>
      </c>
      <c r="M49" s="199">
        <f>IF(INDEX('Completion Matrix'!$J:$J,MATCH(Overview!$C49,'Completion Matrix'!$A:$A,0))=M$19,1,"")</f>
        <v>1</v>
      </c>
      <c r="N49" s="199" t="str">
        <f>IF(INDEX('Completion Matrix'!$J:$J,MATCH(Overview!$C49,'Completion Matrix'!$A:$A,0))=N$19,1,"")</f>
        <v/>
      </c>
      <c r="O49" s="199" t="str">
        <f>IF(INDEX('Completion Matrix'!$J:$J,MATCH(Overview!$C49,'Completion Matrix'!$A:$A,0))=O$19,1,"")</f>
        <v/>
      </c>
      <c r="P49" s="138">
        <f>SUM(L49:O49)</f>
        <v>1</v>
      </c>
      <c r="Q49" s="230"/>
      <c r="W49" s="96"/>
      <c r="X49" s="96"/>
      <c r="Y49" s="96"/>
      <c r="Z49" s="96"/>
      <c r="AA49" s="96"/>
      <c r="AB49" s="96"/>
      <c r="AC49" s="96"/>
      <c r="AD49"/>
      <c r="AE49" s="224"/>
      <c r="AF49" s="226"/>
      <c r="AG49" s="94" t="s">
        <v>459</v>
      </c>
      <c r="AH49" s="94"/>
      <c r="AI49" s="95">
        <f>COUNTIFS('Completion Matrix'!$E:$E,Overview!$AE$32,'Completion Matrix'!$I:$I,$AF$48,'Completion Matrix'!$J:$J,AG49)</f>
        <v>0</v>
      </c>
    </row>
    <row r="50" spans="2:35" ht="15" hidden="1" customHeight="1" outlineLevel="1">
      <c r="B50"/>
      <c r="C50" s="106">
        <v>88</v>
      </c>
      <c r="D50" s="101" t="s">
        <v>120</v>
      </c>
      <c r="E50" s="199">
        <f>IF(INDEX('Completion Matrix'!$I:$I,MATCH(Overview!$C50,'Completion Matrix'!$A:$A,0))=E$19,1,"")</f>
        <v>1</v>
      </c>
      <c r="F50" s="199" t="str">
        <f>IF(INDEX('Completion Matrix'!$I:$I,MATCH(Overview!$C50,'Completion Matrix'!$A:$A,0))=F$19,1,"")</f>
        <v/>
      </c>
      <c r="G50" s="199" t="str">
        <f>IF(INDEX('Completion Matrix'!$I:$I,MATCH(Overview!$C50,'Completion Matrix'!$A:$A,0))=G$19,1,"")</f>
        <v/>
      </c>
      <c r="H50" s="199" t="str">
        <f>IF(INDEX('Completion Matrix'!$I:$I,MATCH(Overview!$C50,'Completion Matrix'!$A:$A,0))=H$19,1,"")</f>
        <v/>
      </c>
      <c r="I50" s="138">
        <f t="shared" si="1"/>
        <v>1</v>
      </c>
      <c r="J50" s="221"/>
      <c r="K50" s="96"/>
      <c r="L50" s="199" t="str">
        <f>IF(INDEX('Completion Matrix'!$J:$J,MATCH(Overview!$C50,'Completion Matrix'!$A:$A,0))=L$19,1,"")</f>
        <v/>
      </c>
      <c r="M50" s="199">
        <f>IF(INDEX('Completion Matrix'!$J:$J,MATCH(Overview!$C50,'Completion Matrix'!$A:$A,0))=M$19,1,"")</f>
        <v>1</v>
      </c>
      <c r="N50" s="199" t="str">
        <f>IF(INDEX('Completion Matrix'!$J:$J,MATCH(Overview!$C50,'Completion Matrix'!$A:$A,0))=N$19,1,"")</f>
        <v/>
      </c>
      <c r="O50" s="199" t="str">
        <f>IF(INDEX('Completion Matrix'!$J:$J,MATCH(Overview!$C50,'Completion Matrix'!$A:$A,0))=O$19,1,"")</f>
        <v/>
      </c>
      <c r="P50" s="138">
        <f t="shared" ref="P50:P67" si="12">SUM(L50:O50)</f>
        <v>1</v>
      </c>
      <c r="Q50" s="230"/>
      <c r="W50" s="96"/>
      <c r="X50" s="96"/>
      <c r="Y50" s="96"/>
      <c r="Z50" s="96"/>
      <c r="AA50" s="96"/>
      <c r="AB50" s="96"/>
      <c r="AC50" s="96"/>
      <c r="AD50"/>
      <c r="AE50" s="224"/>
      <c r="AF50" s="226"/>
      <c r="AG50" s="94" t="s">
        <v>462</v>
      </c>
      <c r="AH50" s="94"/>
      <c r="AI50" s="95">
        <f>COUNTIFS('Completion Matrix'!$E:$E,Overview!$AE$32,'Completion Matrix'!$I:$I,$AF$48,'Completion Matrix'!$J:$J,AG50)</f>
        <v>0</v>
      </c>
    </row>
    <row r="51" spans="2:35" ht="15" hidden="1" customHeight="1" outlineLevel="1">
      <c r="B51"/>
      <c r="C51" s="105">
        <v>91</v>
      </c>
      <c r="D51" s="100" t="s">
        <v>125</v>
      </c>
      <c r="E51" s="199">
        <f>IF(INDEX('Completion Matrix'!$I:$I,MATCH(Overview!$C51,'Completion Matrix'!$A:$A,0))=E$19,1,"")</f>
        <v>1</v>
      </c>
      <c r="F51" s="199" t="str">
        <f>IF(INDEX('Completion Matrix'!$I:$I,MATCH(Overview!$C51,'Completion Matrix'!$A:$A,0))=F$19,1,"")</f>
        <v/>
      </c>
      <c r="G51" s="199" t="str">
        <f>IF(INDEX('Completion Matrix'!$I:$I,MATCH(Overview!$C51,'Completion Matrix'!$A:$A,0))=G$19,1,"")</f>
        <v/>
      </c>
      <c r="H51" s="199" t="str">
        <f>IF(INDEX('Completion Matrix'!$I:$I,MATCH(Overview!$C51,'Completion Matrix'!$A:$A,0))=H$19,1,"")</f>
        <v/>
      </c>
      <c r="I51" s="138">
        <f t="shared" si="1"/>
        <v>1</v>
      </c>
      <c r="J51" s="221"/>
      <c r="K51" s="96"/>
      <c r="L51" s="199" t="str">
        <f>IF(INDEX('Completion Matrix'!$J:$J,MATCH(Overview!$C51,'Completion Matrix'!$A:$A,0))=L$19,1,"")</f>
        <v/>
      </c>
      <c r="M51" s="199">
        <f>IF(INDEX('Completion Matrix'!$J:$J,MATCH(Overview!$C51,'Completion Matrix'!$A:$A,0))=M$19,1,"")</f>
        <v>1</v>
      </c>
      <c r="N51" s="199" t="str">
        <f>IF(INDEX('Completion Matrix'!$J:$J,MATCH(Overview!$C51,'Completion Matrix'!$A:$A,0))=N$19,1,"")</f>
        <v/>
      </c>
      <c r="O51" s="199" t="str">
        <f>IF(INDEX('Completion Matrix'!$J:$J,MATCH(Overview!$C51,'Completion Matrix'!$A:$A,0))=O$19,1,"")</f>
        <v/>
      </c>
      <c r="P51" s="138">
        <f t="shared" si="12"/>
        <v>1</v>
      </c>
      <c r="Q51" s="230"/>
      <c r="W51" s="96"/>
      <c r="X51" s="96"/>
      <c r="Y51" s="96"/>
      <c r="Z51" s="96"/>
      <c r="AA51" s="96"/>
      <c r="AB51" s="96"/>
      <c r="AC51" s="96"/>
      <c r="AD51"/>
      <c r="AE51" s="225"/>
      <c r="AF51" s="226"/>
      <c r="AG51" s="94" t="s">
        <v>636</v>
      </c>
      <c r="AH51" s="94"/>
      <c r="AI51" s="95">
        <f>COUNTIFS('Completion Matrix'!$E:$E,Overview!$AE$32,'Completion Matrix'!$I:$I,$AF$48,'Completion Matrix'!$J:$J,AG51)</f>
        <v>0</v>
      </c>
    </row>
    <row r="52" spans="2:35" ht="51" hidden="1" customHeight="1" outlineLevel="1">
      <c r="B52"/>
      <c r="C52" s="105">
        <v>93</v>
      </c>
      <c r="D52" s="100" t="s">
        <v>126</v>
      </c>
      <c r="E52" s="199">
        <f>IF(INDEX('Completion Matrix'!$I:$I,MATCH(Overview!$C52,'Completion Matrix'!$A:$A,0))=E$19,1,"")</f>
        <v>1</v>
      </c>
      <c r="F52" s="199" t="str">
        <f>IF(INDEX('Completion Matrix'!$I:$I,MATCH(Overview!$C52,'Completion Matrix'!$A:$A,0))=F$19,1,"")</f>
        <v/>
      </c>
      <c r="G52" s="199" t="str">
        <f>IF(INDEX('Completion Matrix'!$I:$I,MATCH(Overview!$C52,'Completion Matrix'!$A:$A,0))=G$19,1,"")</f>
        <v/>
      </c>
      <c r="H52" s="199" t="str">
        <f>IF(INDEX('Completion Matrix'!$I:$I,MATCH(Overview!$C52,'Completion Matrix'!$A:$A,0))=H$19,1,"")</f>
        <v/>
      </c>
      <c r="I52" s="138">
        <f t="shared" si="1"/>
        <v>1</v>
      </c>
      <c r="J52" s="221"/>
      <c r="K52" s="96"/>
      <c r="L52" s="199" t="str">
        <f>IF(INDEX('Completion Matrix'!$J:$J,MATCH(Overview!$C52,'Completion Matrix'!$A:$A,0))=L$19,1,"")</f>
        <v/>
      </c>
      <c r="M52" s="199">
        <f>IF(INDEX('Completion Matrix'!$J:$J,MATCH(Overview!$C52,'Completion Matrix'!$A:$A,0))=M$19,1,"")</f>
        <v>1</v>
      </c>
      <c r="N52" s="199" t="str">
        <f>IF(INDEX('Completion Matrix'!$J:$J,MATCH(Overview!$C52,'Completion Matrix'!$A:$A,0))=N$19,1,"")</f>
        <v/>
      </c>
      <c r="O52" s="199" t="str">
        <f>IF(INDEX('Completion Matrix'!$J:$J,MATCH(Overview!$C52,'Completion Matrix'!$A:$A,0))=O$19,1,"")</f>
        <v/>
      </c>
      <c r="P52" s="138">
        <f t="shared" si="12"/>
        <v>1</v>
      </c>
      <c r="Q52" s="230"/>
      <c r="W52" s="96"/>
      <c r="X52" s="96"/>
      <c r="Y52" s="96"/>
      <c r="Z52" s="96"/>
      <c r="AA52" s="96"/>
      <c r="AB52" s="96"/>
      <c r="AC52" s="96"/>
      <c r="AD52"/>
      <c r="AE52"/>
      <c r="AF52"/>
      <c r="AG52"/>
      <c r="AH52"/>
      <c r="AI52" s="95">
        <f>SUM(AI32:AI51)</f>
        <v>0</v>
      </c>
    </row>
    <row r="53" spans="2:35" ht="38.25" hidden="1" customHeight="1" outlineLevel="1">
      <c r="B53"/>
      <c r="C53" s="106">
        <v>94</v>
      </c>
      <c r="D53" s="101" t="s">
        <v>128</v>
      </c>
      <c r="E53" s="199">
        <f>IF(INDEX('Completion Matrix'!$I:$I,MATCH(Overview!$C53,'Completion Matrix'!$A:$A,0))=E$19,1,"")</f>
        <v>1</v>
      </c>
      <c r="F53" s="199" t="str">
        <f>IF(INDEX('Completion Matrix'!$I:$I,MATCH(Overview!$C53,'Completion Matrix'!$A:$A,0))=F$19,1,"")</f>
        <v/>
      </c>
      <c r="G53" s="199" t="str">
        <f>IF(INDEX('Completion Matrix'!$I:$I,MATCH(Overview!$C53,'Completion Matrix'!$A:$A,0))=G$19,1,"")</f>
        <v/>
      </c>
      <c r="H53" s="199" t="str">
        <f>IF(INDEX('Completion Matrix'!$I:$I,MATCH(Overview!$C53,'Completion Matrix'!$A:$A,0))=H$19,1,"")</f>
        <v/>
      </c>
      <c r="I53" s="138">
        <f t="shared" si="1"/>
        <v>1</v>
      </c>
      <c r="J53" s="221"/>
      <c r="K53" s="96"/>
      <c r="L53" s="199" t="str">
        <f>IF(INDEX('Completion Matrix'!$J:$J,MATCH(Overview!$C53,'Completion Matrix'!$A:$A,0))=L$19,1,"")</f>
        <v/>
      </c>
      <c r="M53" s="199">
        <f>IF(INDEX('Completion Matrix'!$J:$J,MATCH(Overview!$C53,'Completion Matrix'!$A:$A,0))=M$19,1,"")</f>
        <v>1</v>
      </c>
      <c r="N53" s="199" t="str">
        <f>IF(INDEX('Completion Matrix'!$J:$J,MATCH(Overview!$C53,'Completion Matrix'!$A:$A,0))=N$19,1,"")</f>
        <v/>
      </c>
      <c r="O53" s="199" t="str">
        <f>IF(INDEX('Completion Matrix'!$J:$J,MATCH(Overview!$C53,'Completion Matrix'!$A:$A,0))=O$19,1,"")</f>
        <v/>
      </c>
      <c r="P53" s="138">
        <f t="shared" si="12"/>
        <v>1</v>
      </c>
      <c r="Q53" s="230"/>
      <c r="W53"/>
      <c r="X53"/>
      <c r="Y53"/>
      <c r="Z53"/>
      <c r="AA53"/>
      <c r="AB53"/>
      <c r="AC53"/>
      <c r="AD53"/>
      <c r="AE53"/>
      <c r="AF53"/>
      <c r="AG53"/>
      <c r="AH53"/>
      <c r="AI53"/>
    </row>
    <row r="54" spans="2:35" ht="25.5" hidden="1" customHeight="1" outlineLevel="1">
      <c r="B54"/>
      <c r="C54" s="105">
        <v>95</v>
      </c>
      <c r="D54" s="100" t="s">
        <v>129</v>
      </c>
      <c r="E54" s="199">
        <f>IF(INDEX('Completion Matrix'!$I:$I,MATCH(Overview!$C54,'Completion Matrix'!$A:$A,0))=E$19,1,"")</f>
        <v>1</v>
      </c>
      <c r="F54" s="199" t="str">
        <f>IF(INDEX('Completion Matrix'!$I:$I,MATCH(Overview!$C54,'Completion Matrix'!$A:$A,0))=F$19,1,"")</f>
        <v/>
      </c>
      <c r="G54" s="199" t="str">
        <f>IF(INDEX('Completion Matrix'!$I:$I,MATCH(Overview!$C54,'Completion Matrix'!$A:$A,0))=G$19,1,"")</f>
        <v/>
      </c>
      <c r="H54" s="199" t="str">
        <f>IF(INDEX('Completion Matrix'!$I:$I,MATCH(Overview!$C54,'Completion Matrix'!$A:$A,0))=H$19,1,"")</f>
        <v/>
      </c>
      <c r="I54" s="138">
        <f t="shared" si="1"/>
        <v>1</v>
      </c>
      <c r="J54" s="221"/>
      <c r="K54" s="96"/>
      <c r="L54" s="199" t="str">
        <f>IF(INDEX('Completion Matrix'!$J:$J,MATCH(Overview!$C54,'Completion Matrix'!$A:$A,0))=L$19,1,"")</f>
        <v/>
      </c>
      <c r="M54" s="199">
        <f>IF(INDEX('Completion Matrix'!$J:$J,MATCH(Overview!$C54,'Completion Matrix'!$A:$A,0))=M$19,1,"")</f>
        <v>1</v>
      </c>
      <c r="N54" s="199" t="str">
        <f>IF(INDEX('Completion Matrix'!$J:$J,MATCH(Overview!$C54,'Completion Matrix'!$A:$A,0))=N$19,1,"")</f>
        <v/>
      </c>
      <c r="O54" s="199" t="str">
        <f>IF(INDEX('Completion Matrix'!$J:$J,MATCH(Overview!$C54,'Completion Matrix'!$A:$A,0))=O$19,1,"")</f>
        <v/>
      </c>
      <c r="P54" s="138">
        <f t="shared" si="12"/>
        <v>1</v>
      </c>
      <c r="Q54" s="230"/>
      <c r="W54" s="96"/>
      <c r="X54" s="96"/>
      <c r="Y54" s="96"/>
      <c r="Z54" s="96"/>
      <c r="AA54" s="96"/>
      <c r="AB54" s="96"/>
      <c r="AC54" s="96"/>
      <c r="AD54"/>
      <c r="AE54"/>
      <c r="AF54" s="214" t="s">
        <v>638</v>
      </c>
      <c r="AG54" s="94" t="s">
        <v>451</v>
      </c>
      <c r="AH54" s="94"/>
      <c r="AI54" s="95">
        <f>COUNTIFS('Completion Matrix'!$E:$E,Overview!AE32,'Completion Matrix'!$I:$I,"")</f>
        <v>0</v>
      </c>
    </row>
    <row r="55" spans="2:35" ht="38.25" hidden="1" customHeight="1" outlineLevel="1">
      <c r="B55"/>
      <c r="C55" s="106">
        <v>96</v>
      </c>
      <c r="D55" s="101" t="s">
        <v>130</v>
      </c>
      <c r="E55" s="199">
        <f>IF(INDEX('Completion Matrix'!$I:$I,MATCH(Overview!$C55,'Completion Matrix'!$A:$A,0))=E$19,1,"")</f>
        <v>1</v>
      </c>
      <c r="F55" s="199" t="str">
        <f>IF(INDEX('Completion Matrix'!$I:$I,MATCH(Overview!$C55,'Completion Matrix'!$A:$A,0))=F$19,1,"")</f>
        <v/>
      </c>
      <c r="G55" s="199" t="str">
        <f>IF(INDEX('Completion Matrix'!$I:$I,MATCH(Overview!$C55,'Completion Matrix'!$A:$A,0))=G$19,1,"")</f>
        <v/>
      </c>
      <c r="H55" s="199" t="str">
        <f>IF(INDEX('Completion Matrix'!$I:$I,MATCH(Overview!$C55,'Completion Matrix'!$A:$A,0))=H$19,1,"")</f>
        <v/>
      </c>
      <c r="I55" s="138">
        <f t="shared" si="1"/>
        <v>1</v>
      </c>
      <c r="J55" s="221"/>
      <c r="K55" s="96"/>
      <c r="L55" s="199" t="str">
        <f>IF(INDEX('Completion Matrix'!$J:$J,MATCH(Overview!$C55,'Completion Matrix'!$A:$A,0))=L$19,1,"")</f>
        <v/>
      </c>
      <c r="M55" s="199">
        <f>IF(INDEX('Completion Matrix'!$J:$J,MATCH(Overview!$C55,'Completion Matrix'!$A:$A,0))=M$19,1,"")</f>
        <v>1</v>
      </c>
      <c r="N55" s="199" t="str">
        <f>IF(INDEX('Completion Matrix'!$J:$J,MATCH(Overview!$C55,'Completion Matrix'!$A:$A,0))=N$19,1,"")</f>
        <v/>
      </c>
      <c r="O55" s="199" t="str">
        <f>IF(INDEX('Completion Matrix'!$J:$J,MATCH(Overview!$C55,'Completion Matrix'!$A:$A,0))=O$19,1,"")</f>
        <v/>
      </c>
      <c r="P55" s="138">
        <f t="shared" si="12"/>
        <v>1</v>
      </c>
      <c r="Q55" s="230"/>
      <c r="W55" s="96"/>
      <c r="X55" s="96"/>
      <c r="Y55" s="96"/>
      <c r="Z55" s="96"/>
      <c r="AA55" s="96"/>
      <c r="AB55" s="96"/>
      <c r="AC55" s="96"/>
      <c r="AD55"/>
      <c r="AE55"/>
      <c r="AF55" s="215"/>
      <c r="AG55" s="94" t="s">
        <v>450</v>
      </c>
      <c r="AH55" s="94"/>
      <c r="AI55" s="95">
        <f>COUNTIFS('Completion Matrix'!$E:$E,Overview!AE32,'Completion Matrix'!$I:$I,"")</f>
        <v>0</v>
      </c>
    </row>
    <row r="56" spans="2:35" ht="38.25" hidden="1" customHeight="1" outlineLevel="1">
      <c r="B56"/>
      <c r="C56" s="106">
        <v>98</v>
      </c>
      <c r="D56" s="101" t="s">
        <v>131</v>
      </c>
      <c r="E56" s="199">
        <f>IF(INDEX('Completion Matrix'!$I:$I,MATCH(Overview!$C56,'Completion Matrix'!$A:$A,0))=E$19,1,"")</f>
        <v>1</v>
      </c>
      <c r="F56" s="199" t="str">
        <f>IF(INDEX('Completion Matrix'!$I:$I,MATCH(Overview!$C56,'Completion Matrix'!$A:$A,0))=F$19,1,"")</f>
        <v/>
      </c>
      <c r="G56" s="199" t="str">
        <f>IF(INDEX('Completion Matrix'!$I:$I,MATCH(Overview!$C56,'Completion Matrix'!$A:$A,0))=G$19,1,"")</f>
        <v/>
      </c>
      <c r="H56" s="199" t="str">
        <f>IF(INDEX('Completion Matrix'!$I:$I,MATCH(Overview!$C56,'Completion Matrix'!$A:$A,0))=H$19,1,"")</f>
        <v/>
      </c>
      <c r="I56" s="138">
        <f t="shared" si="1"/>
        <v>1</v>
      </c>
      <c r="J56" s="221"/>
      <c r="K56" s="96"/>
      <c r="L56" s="199" t="str">
        <f>IF(INDEX('Completion Matrix'!$J:$J,MATCH(Overview!$C56,'Completion Matrix'!$A:$A,0))=L$19,1,"")</f>
        <v/>
      </c>
      <c r="M56" s="199">
        <f>IF(INDEX('Completion Matrix'!$J:$J,MATCH(Overview!$C56,'Completion Matrix'!$A:$A,0))=M$19,1,"")</f>
        <v>1</v>
      </c>
      <c r="N56" s="199" t="str">
        <f>IF(INDEX('Completion Matrix'!$J:$J,MATCH(Overview!$C56,'Completion Matrix'!$A:$A,0))=N$19,1,"")</f>
        <v/>
      </c>
      <c r="O56" s="199" t="str">
        <f>IF(INDEX('Completion Matrix'!$J:$J,MATCH(Overview!$C56,'Completion Matrix'!$A:$A,0))=O$19,1,"")</f>
        <v/>
      </c>
      <c r="P56" s="138">
        <f t="shared" si="12"/>
        <v>1</v>
      </c>
      <c r="Q56" s="230"/>
      <c r="W56"/>
      <c r="X56"/>
      <c r="Y56"/>
      <c r="Z56"/>
      <c r="AA56"/>
      <c r="AB56"/>
      <c r="AC56"/>
      <c r="AD56"/>
      <c r="AE56"/>
      <c r="AF56"/>
      <c r="AG56"/>
      <c r="AH56"/>
      <c r="AI56"/>
    </row>
    <row r="57" spans="2:35" ht="15" collapsed="1">
      <c r="B57" s="216" t="s">
        <v>428</v>
      </c>
      <c r="C57" s="217"/>
      <c r="D57" s="218"/>
      <c r="E57" s="199">
        <f>SUM(E58:E67)</f>
        <v>3</v>
      </c>
      <c r="F57" s="199">
        <f>SUM(F58:F67)</f>
        <v>3</v>
      </c>
      <c r="G57" s="199">
        <f>SUM(G58:G67)</f>
        <v>4</v>
      </c>
      <c r="H57" s="199">
        <f>SUM(H58:H67)</f>
        <v>0</v>
      </c>
      <c r="I57" s="138">
        <v>10</v>
      </c>
      <c r="J57" s="221"/>
      <c r="K57" s="96"/>
      <c r="L57" s="199">
        <f>SUM(L58:L67)</f>
        <v>3</v>
      </c>
      <c r="M57" s="199">
        <f>SUM(M58:M67)</f>
        <v>7</v>
      </c>
      <c r="N57" s="199">
        <f>SUM(N58:N67)</f>
        <v>0</v>
      </c>
      <c r="O57" s="199">
        <f>SUM(O58:O67)</f>
        <v>0</v>
      </c>
      <c r="P57" s="138">
        <f>SUM(L57:O57)</f>
        <v>10</v>
      </c>
      <c r="Q57" s="230"/>
      <c r="W57"/>
      <c r="X57"/>
      <c r="Y57"/>
      <c r="Z57"/>
      <c r="AA57"/>
      <c r="AB57"/>
      <c r="AC57"/>
      <c r="AD57"/>
      <c r="AE57"/>
      <c r="AF57"/>
      <c r="AG57"/>
      <c r="AH57"/>
      <c r="AI57"/>
    </row>
    <row r="58" spans="2:35" ht="38.25" hidden="1" customHeight="1" outlineLevel="1" collapsed="1">
      <c r="B58" s="134"/>
      <c r="C58" s="137">
        <v>38</v>
      </c>
      <c r="D58" s="102" t="s">
        <v>55</v>
      </c>
      <c r="E58" s="199" t="str">
        <f>IF(INDEX('Completion Matrix'!$I:$I,MATCH(Overview!$C58,'Completion Matrix'!$A:$A,0))=E$19,1,"")</f>
        <v/>
      </c>
      <c r="F58" s="199">
        <f>IF(INDEX('Completion Matrix'!$I:$I,MATCH(Overview!$C58,'Completion Matrix'!$A:$A,0))=F$19,1,"")</f>
        <v>1</v>
      </c>
      <c r="G58" s="199" t="str">
        <f>IF(INDEX('Completion Matrix'!$I:$I,MATCH(Overview!$C58,'Completion Matrix'!$A:$A,0))=G$19,1,"")</f>
        <v/>
      </c>
      <c r="H58" s="199" t="str">
        <f>IF(INDEX('Completion Matrix'!$I:$I,MATCH(Overview!$C58,'Completion Matrix'!$A:$A,0))=H$19,1,"")</f>
        <v/>
      </c>
      <c r="I58" s="138">
        <f>SUM(E58:H58)</f>
        <v>1</v>
      </c>
      <c r="J58" s="221"/>
      <c r="K58" s="96"/>
      <c r="L58" s="199" t="str">
        <f>IF(INDEX('Completion Matrix'!$J:$J,MATCH(Overview!$C58,'Completion Matrix'!$A:$A,0))=L$19,1,"")</f>
        <v/>
      </c>
      <c r="M58" s="199">
        <f>IF(INDEX('Completion Matrix'!$J:$J,MATCH(Overview!$C58,'Completion Matrix'!$A:$A,0))=M$19,1,"")</f>
        <v>1</v>
      </c>
      <c r="N58" s="199" t="str">
        <f>IF(INDEX('Completion Matrix'!$J:$J,MATCH(Overview!$C58,'Completion Matrix'!$A:$A,0))=N$19,1,"")</f>
        <v/>
      </c>
      <c r="O58" s="199" t="str">
        <f>IF(INDEX('Completion Matrix'!$J:$J,MATCH(Overview!$C58,'Completion Matrix'!$A:$A,0))=O$19,1,"")</f>
        <v/>
      </c>
      <c r="P58" s="138">
        <f t="shared" si="12"/>
        <v>1</v>
      </c>
      <c r="Q58" s="230"/>
      <c r="W58" s="96"/>
      <c r="X58" s="96"/>
      <c r="Y58" s="96"/>
      <c r="Z58" s="96"/>
      <c r="AA58" s="96"/>
      <c r="AB58" s="96"/>
      <c r="AC58" s="96"/>
      <c r="AD58"/>
      <c r="AE58" s="223" t="s">
        <v>437</v>
      </c>
      <c r="AF58" s="226" t="s">
        <v>595</v>
      </c>
      <c r="AG58" s="94" t="s">
        <v>468</v>
      </c>
      <c r="AH58" s="94"/>
      <c r="AI58" s="95">
        <f>COUNTIFS('Completion Matrix'!$E:$E,Overview!$AE$58,'Completion Matrix'!$I:$I,$AF$58,'Completion Matrix'!$J:$J,AG58)</f>
        <v>0</v>
      </c>
    </row>
    <row r="59" spans="2:35" ht="25.5" hidden="1" customHeight="1" outlineLevel="1">
      <c r="B59" s="134"/>
      <c r="C59" s="135">
        <v>41</v>
      </c>
      <c r="D59" s="136" t="s">
        <v>58</v>
      </c>
      <c r="E59" s="199" t="str">
        <f>IF(INDEX('Completion Matrix'!$I:$I,MATCH(Overview!$C59,'Completion Matrix'!$A:$A,0))=E$19,1,"")</f>
        <v/>
      </c>
      <c r="F59" s="199" t="str">
        <f>IF(INDEX('Completion Matrix'!$I:$I,MATCH(Overview!$C59,'Completion Matrix'!$A:$A,0))=F$19,1,"")</f>
        <v/>
      </c>
      <c r="G59" s="199">
        <f>IF(INDEX('Completion Matrix'!$I:$I,MATCH(Overview!$C59,'Completion Matrix'!$A:$A,0))=G$19,1,"")</f>
        <v>1</v>
      </c>
      <c r="H59" s="199" t="str">
        <f>IF(INDEX('Completion Matrix'!$I:$I,MATCH(Overview!$C59,'Completion Matrix'!$A:$A,0))=H$19,1,"")</f>
        <v/>
      </c>
      <c r="I59" s="138">
        <f t="shared" ref="I59:I67" si="13">SUM(E59:H59)</f>
        <v>1</v>
      </c>
      <c r="J59" s="221"/>
      <c r="K59" s="96"/>
      <c r="L59" s="199" t="str">
        <f>IF(INDEX('Completion Matrix'!$J:$J,MATCH(Overview!$C59,'Completion Matrix'!$A:$A,0))=L$19,1,"")</f>
        <v/>
      </c>
      <c r="M59" s="199">
        <f>IF(INDEX('Completion Matrix'!$J:$J,MATCH(Overview!$C59,'Completion Matrix'!$A:$A,0))=M$19,1,"")</f>
        <v>1</v>
      </c>
      <c r="N59" s="199" t="str">
        <f>IF(INDEX('Completion Matrix'!$J:$J,MATCH(Overview!$C59,'Completion Matrix'!$A:$A,0))=N$19,1,"")</f>
        <v/>
      </c>
      <c r="O59" s="199" t="str">
        <f>IF(INDEX('Completion Matrix'!$J:$J,MATCH(Overview!$C59,'Completion Matrix'!$A:$A,0))=O$19,1,"")</f>
        <v/>
      </c>
      <c r="P59" s="138">
        <f t="shared" si="12"/>
        <v>1</v>
      </c>
      <c r="Q59" s="230"/>
      <c r="W59" s="96"/>
      <c r="X59" s="96"/>
      <c r="Y59" s="96"/>
      <c r="Z59" s="96"/>
      <c r="AA59" s="96"/>
      <c r="AB59" s="96"/>
      <c r="AC59" s="96"/>
      <c r="AD59"/>
      <c r="AE59" s="224"/>
      <c r="AF59" s="226"/>
      <c r="AG59" s="94" t="s">
        <v>459</v>
      </c>
      <c r="AH59" s="94"/>
      <c r="AI59" s="95">
        <f>COUNTIFS('Completion Matrix'!$E:$E,Overview!$AE$58,'Completion Matrix'!$I:$I,$AF$58,'Completion Matrix'!$J:$J,AG59)</f>
        <v>2</v>
      </c>
    </row>
    <row r="60" spans="2:35" ht="76.5" hidden="1" customHeight="1" outlineLevel="1">
      <c r="B60" s="134"/>
      <c r="C60" s="137">
        <v>42</v>
      </c>
      <c r="D60" s="102" t="s">
        <v>59</v>
      </c>
      <c r="E60" s="199" t="str">
        <f>IF(INDEX('Completion Matrix'!$I:$I,MATCH(Overview!$C60,'Completion Matrix'!$A:$A,0))=E$19,1,"")</f>
        <v/>
      </c>
      <c r="F60" s="199">
        <f>IF(INDEX('Completion Matrix'!$I:$I,MATCH(Overview!$C60,'Completion Matrix'!$A:$A,0))=F$19,1,"")</f>
        <v>1</v>
      </c>
      <c r="G60" s="199" t="str">
        <f>IF(INDEX('Completion Matrix'!$I:$I,MATCH(Overview!$C60,'Completion Matrix'!$A:$A,0))=G$19,1,"")</f>
        <v/>
      </c>
      <c r="H60" s="199" t="str">
        <f>IF(INDEX('Completion Matrix'!$I:$I,MATCH(Overview!$C60,'Completion Matrix'!$A:$A,0))=H$19,1,"")</f>
        <v/>
      </c>
      <c r="I60" s="138">
        <f t="shared" si="13"/>
        <v>1</v>
      </c>
      <c r="J60" s="221"/>
      <c r="K60" s="96"/>
      <c r="L60" s="199" t="str">
        <f>IF(INDEX('Completion Matrix'!$J:$J,MATCH(Overview!$C60,'Completion Matrix'!$A:$A,0))=L$19,1,"")</f>
        <v/>
      </c>
      <c r="M60" s="199">
        <f>IF(INDEX('Completion Matrix'!$J:$J,MATCH(Overview!$C60,'Completion Matrix'!$A:$A,0))=M$19,1,"")</f>
        <v>1</v>
      </c>
      <c r="N60" s="199" t="str">
        <f>IF(INDEX('Completion Matrix'!$J:$J,MATCH(Overview!$C60,'Completion Matrix'!$A:$A,0))=N$19,1,"")</f>
        <v/>
      </c>
      <c r="O60" s="199" t="str">
        <f>IF(INDEX('Completion Matrix'!$J:$J,MATCH(Overview!$C60,'Completion Matrix'!$A:$A,0))=O$19,1,"")</f>
        <v/>
      </c>
      <c r="P60" s="138">
        <f t="shared" si="12"/>
        <v>1</v>
      </c>
      <c r="Q60" s="230"/>
      <c r="W60" s="96"/>
      <c r="X60" s="96"/>
      <c r="Y60" s="96"/>
      <c r="Z60" s="96"/>
      <c r="AA60" s="96"/>
      <c r="AB60" s="96"/>
      <c r="AC60" s="96"/>
      <c r="AD60"/>
      <c r="AE60" s="224"/>
      <c r="AF60" s="226"/>
      <c r="AG60" s="94" t="s">
        <v>462</v>
      </c>
      <c r="AH60" s="94"/>
      <c r="AI60" s="95">
        <f>COUNTIFS('Completion Matrix'!$E:$E,Overview!$AE$58,'Completion Matrix'!$I:$I,$AF$58,'Completion Matrix'!$J:$J,AG60)</f>
        <v>0</v>
      </c>
    </row>
    <row r="61" spans="2:35" ht="15" hidden="1" customHeight="1" outlineLevel="1">
      <c r="B61" s="134"/>
      <c r="C61" s="137">
        <v>46</v>
      </c>
      <c r="D61" s="102" t="s">
        <v>66</v>
      </c>
      <c r="E61" s="199" t="str">
        <f>IF(INDEX('Completion Matrix'!$I:$I,MATCH(Overview!$C61,'Completion Matrix'!$A:$A,0))=E$19,1,"")</f>
        <v/>
      </c>
      <c r="F61" s="199" t="str">
        <f>IF(INDEX('Completion Matrix'!$I:$I,MATCH(Overview!$C61,'Completion Matrix'!$A:$A,0))=F$19,1,"")</f>
        <v/>
      </c>
      <c r="G61" s="199">
        <f>IF(INDEX('Completion Matrix'!$I:$I,MATCH(Overview!$C61,'Completion Matrix'!$A:$A,0))=G$19,1,"")</f>
        <v>1</v>
      </c>
      <c r="H61" s="199" t="str">
        <f>IF(INDEX('Completion Matrix'!$I:$I,MATCH(Overview!$C61,'Completion Matrix'!$A:$A,0))=H$19,1,"")</f>
        <v/>
      </c>
      <c r="I61" s="138">
        <f t="shared" si="13"/>
        <v>1</v>
      </c>
      <c r="J61" s="221"/>
      <c r="K61" s="96"/>
      <c r="L61" s="199" t="str">
        <f>IF(INDEX('Completion Matrix'!$J:$J,MATCH(Overview!$C61,'Completion Matrix'!$A:$A,0))=L$19,1,"")</f>
        <v/>
      </c>
      <c r="M61" s="199">
        <f>IF(INDEX('Completion Matrix'!$J:$J,MATCH(Overview!$C61,'Completion Matrix'!$A:$A,0))=M$19,1,"")</f>
        <v>1</v>
      </c>
      <c r="N61" s="199" t="str">
        <f>IF(INDEX('Completion Matrix'!$J:$J,MATCH(Overview!$C61,'Completion Matrix'!$A:$A,0))=N$19,1,"")</f>
        <v/>
      </c>
      <c r="O61" s="199" t="str">
        <f>IF(INDEX('Completion Matrix'!$J:$J,MATCH(Overview!$C61,'Completion Matrix'!$A:$A,0))=O$19,1,"")</f>
        <v/>
      </c>
      <c r="P61" s="138">
        <f t="shared" si="12"/>
        <v>1</v>
      </c>
      <c r="Q61" s="230"/>
      <c r="W61" s="96"/>
      <c r="X61" s="96"/>
      <c r="Y61" s="96"/>
      <c r="Z61" s="96"/>
      <c r="AA61" s="96"/>
      <c r="AB61" s="96"/>
      <c r="AC61" s="96"/>
      <c r="AD61"/>
      <c r="AE61" s="224"/>
      <c r="AF61" s="226"/>
      <c r="AG61" s="94" t="s">
        <v>636</v>
      </c>
      <c r="AH61" s="94"/>
      <c r="AI61" s="95">
        <f>COUNTIFS('Completion Matrix'!$E:$E,Overview!$AE$58,'Completion Matrix'!$I:$I,$AF$58,'Completion Matrix'!$J:$J,AG61)</f>
        <v>0</v>
      </c>
    </row>
    <row r="62" spans="2:35" ht="15" hidden="1" customHeight="1" outlineLevel="1">
      <c r="B62" s="134"/>
      <c r="C62" s="135">
        <v>49</v>
      </c>
      <c r="D62" s="136" t="s">
        <v>73</v>
      </c>
      <c r="E62" s="199" t="str">
        <f>IF(INDEX('Completion Matrix'!$I:$I,MATCH(Overview!$C62,'Completion Matrix'!$A:$A,0))=E$19,1,"")</f>
        <v/>
      </c>
      <c r="F62" s="199" t="str">
        <f>IF(INDEX('Completion Matrix'!$I:$I,MATCH(Overview!$C62,'Completion Matrix'!$A:$A,0))=F$19,1,"")</f>
        <v/>
      </c>
      <c r="G62" s="199">
        <f>IF(INDEX('Completion Matrix'!$I:$I,MATCH(Overview!$C62,'Completion Matrix'!$A:$A,0))=G$19,1,"")</f>
        <v>1</v>
      </c>
      <c r="H62" s="199" t="str">
        <f>IF(INDEX('Completion Matrix'!$I:$I,MATCH(Overview!$C62,'Completion Matrix'!$A:$A,0))=H$19,1,"")</f>
        <v/>
      </c>
      <c r="I62" s="138">
        <f t="shared" si="13"/>
        <v>1</v>
      </c>
      <c r="J62" s="221"/>
      <c r="K62" s="96"/>
      <c r="L62" s="199" t="str">
        <f>IF(INDEX('Completion Matrix'!$J:$J,MATCH(Overview!$C62,'Completion Matrix'!$A:$A,0))=L$19,1,"")</f>
        <v/>
      </c>
      <c r="M62" s="199">
        <f>IF(INDEX('Completion Matrix'!$J:$J,MATCH(Overview!$C62,'Completion Matrix'!$A:$A,0))=M$19,1,"")</f>
        <v>1</v>
      </c>
      <c r="N62" s="199" t="str">
        <f>IF(INDEX('Completion Matrix'!$J:$J,MATCH(Overview!$C62,'Completion Matrix'!$A:$A,0))=N$19,1,"")</f>
        <v/>
      </c>
      <c r="O62" s="199" t="str">
        <f>IF(INDEX('Completion Matrix'!$J:$J,MATCH(Overview!$C62,'Completion Matrix'!$A:$A,0))=O$19,1,"")</f>
        <v/>
      </c>
      <c r="P62" s="138">
        <f t="shared" si="12"/>
        <v>1</v>
      </c>
      <c r="Q62" s="230"/>
      <c r="W62" s="96"/>
      <c r="X62" s="96"/>
      <c r="Y62" s="96"/>
      <c r="Z62" s="96"/>
      <c r="AA62" s="96"/>
      <c r="AB62" s="96"/>
      <c r="AC62" s="96"/>
      <c r="AD62"/>
      <c r="AE62" s="224"/>
      <c r="AF62" s="226" t="s">
        <v>594</v>
      </c>
      <c r="AG62" s="94" t="s">
        <v>468</v>
      </c>
      <c r="AH62" s="94"/>
      <c r="AI62" s="95">
        <f>COUNTIFS('Completion Matrix'!$E:$E,Overview!$AE$58,'Completion Matrix'!$I:$I,$AF$62,'Completion Matrix'!$J:$J,AG62)</f>
        <v>0</v>
      </c>
    </row>
    <row r="63" spans="2:35" ht="89.25" hidden="1" customHeight="1" outlineLevel="1">
      <c r="B63" s="134"/>
      <c r="C63" s="137">
        <v>136</v>
      </c>
      <c r="D63" s="102" t="s">
        <v>226</v>
      </c>
      <c r="E63" s="199" t="str">
        <f>IF(INDEX('Completion Matrix'!$I:$I,MATCH(Overview!$C63,'Completion Matrix'!$A:$A,0))=E$19,1,"")</f>
        <v/>
      </c>
      <c r="F63" s="199" t="str">
        <f>IF(INDEX('Completion Matrix'!$I:$I,MATCH(Overview!$C63,'Completion Matrix'!$A:$A,0))=F$19,1,"")</f>
        <v/>
      </c>
      <c r="G63" s="199">
        <f>IF(INDEX('Completion Matrix'!$I:$I,MATCH(Overview!$C63,'Completion Matrix'!$A:$A,0))=G$19,1,"")</f>
        <v>1</v>
      </c>
      <c r="H63" s="199" t="str">
        <f>IF(INDEX('Completion Matrix'!$I:$I,MATCH(Overview!$C63,'Completion Matrix'!$A:$A,0))=H$19,1,"")</f>
        <v/>
      </c>
      <c r="I63" s="138">
        <f t="shared" si="13"/>
        <v>1</v>
      </c>
      <c r="J63" s="221"/>
      <c r="K63" s="96"/>
      <c r="L63" s="199" t="str">
        <f>IF(INDEX('Completion Matrix'!$J:$J,MATCH(Overview!$C63,'Completion Matrix'!$A:$A,0))=L$19,1,"")</f>
        <v/>
      </c>
      <c r="M63" s="199">
        <f>IF(INDEX('Completion Matrix'!$J:$J,MATCH(Overview!$C63,'Completion Matrix'!$A:$A,0))=M$19,1,"")</f>
        <v>1</v>
      </c>
      <c r="N63" s="199" t="str">
        <f>IF(INDEX('Completion Matrix'!$J:$J,MATCH(Overview!$C63,'Completion Matrix'!$A:$A,0))=N$19,1,"")</f>
        <v/>
      </c>
      <c r="O63" s="199" t="str">
        <f>IF(INDEX('Completion Matrix'!$J:$J,MATCH(Overview!$C63,'Completion Matrix'!$A:$A,0))=O$19,1,"")</f>
        <v/>
      </c>
      <c r="P63" s="138">
        <f t="shared" si="12"/>
        <v>1</v>
      </c>
      <c r="Q63" s="230"/>
      <c r="W63" s="96"/>
      <c r="X63" s="96"/>
      <c r="Y63" s="96"/>
      <c r="Z63" s="96"/>
      <c r="AA63" s="96"/>
      <c r="AB63" s="96"/>
      <c r="AC63" s="96"/>
      <c r="AD63"/>
      <c r="AE63" s="224"/>
      <c r="AF63" s="226"/>
      <c r="AG63" s="94" t="s">
        <v>459</v>
      </c>
      <c r="AH63" s="94"/>
      <c r="AI63" s="95">
        <f>COUNTIFS('Completion Matrix'!$E:$E,Overview!$AE$58,'Completion Matrix'!$I:$I,$AF$62,'Completion Matrix'!$J:$J,AG63)</f>
        <v>0</v>
      </c>
    </row>
    <row r="64" spans="2:35" ht="25.5" hidden="1" customHeight="1" outlineLevel="1">
      <c r="B64" s="134"/>
      <c r="C64" s="135">
        <v>183</v>
      </c>
      <c r="D64" s="136" t="s">
        <v>271</v>
      </c>
      <c r="E64" s="199">
        <f>IF(INDEX('Completion Matrix'!$I:$I,MATCH(Overview!$C64,'Completion Matrix'!$A:$A,0))=E$19,1,"")</f>
        <v>1</v>
      </c>
      <c r="F64" s="199" t="str">
        <f>IF(INDEX('Completion Matrix'!$I:$I,MATCH(Overview!$C64,'Completion Matrix'!$A:$A,0))=F$19,1,"")</f>
        <v/>
      </c>
      <c r="G64" s="199" t="str">
        <f>IF(INDEX('Completion Matrix'!$I:$I,MATCH(Overview!$C64,'Completion Matrix'!$A:$A,0))=G$19,1,"")</f>
        <v/>
      </c>
      <c r="H64" s="199" t="str">
        <f>IF(INDEX('Completion Matrix'!$I:$I,MATCH(Overview!$C64,'Completion Matrix'!$A:$A,0))=H$19,1,"")</f>
        <v/>
      </c>
      <c r="I64" s="138">
        <f t="shared" si="13"/>
        <v>1</v>
      </c>
      <c r="J64" s="221"/>
      <c r="K64" s="96"/>
      <c r="L64" s="199">
        <f>IF(INDEX('Completion Matrix'!$J:$J,MATCH(Overview!$C64,'Completion Matrix'!$A:$A,0))=L$19,1,"")</f>
        <v>1</v>
      </c>
      <c r="M64" s="199" t="str">
        <f>IF(INDEX('Completion Matrix'!$J:$J,MATCH(Overview!$C64,'Completion Matrix'!$A:$A,0))=M$19,1,"")</f>
        <v/>
      </c>
      <c r="N64" s="199" t="str">
        <f>IF(INDEX('Completion Matrix'!$J:$J,MATCH(Overview!$C64,'Completion Matrix'!$A:$A,0))=N$19,1,"")</f>
        <v/>
      </c>
      <c r="O64" s="199" t="str">
        <f>IF(INDEX('Completion Matrix'!$J:$J,MATCH(Overview!$C64,'Completion Matrix'!$A:$A,0))=O$19,1,"")</f>
        <v/>
      </c>
      <c r="P64" s="138">
        <f t="shared" si="12"/>
        <v>1</v>
      </c>
      <c r="Q64" s="230"/>
      <c r="W64" s="96"/>
      <c r="X64" s="96"/>
      <c r="Y64" s="96"/>
      <c r="Z64" s="96"/>
      <c r="AA64" s="96"/>
      <c r="AB64" s="96"/>
      <c r="AC64" s="96"/>
      <c r="AD64"/>
      <c r="AE64" s="224"/>
      <c r="AF64" s="226"/>
      <c r="AG64" s="94" t="s">
        <v>462</v>
      </c>
      <c r="AH64" s="94"/>
      <c r="AI64" s="95">
        <f>COUNTIFS('Completion Matrix'!$E:$E,Overview!$AE$58,'Completion Matrix'!$I:$I,$AF$62,'Completion Matrix'!$J:$J,AG64)</f>
        <v>0</v>
      </c>
    </row>
    <row r="65" spans="2:35" ht="102" hidden="1" customHeight="1" outlineLevel="1">
      <c r="B65" s="134"/>
      <c r="C65" s="137">
        <v>184</v>
      </c>
      <c r="D65" s="102" t="s">
        <v>272</v>
      </c>
      <c r="E65" s="199">
        <f>IF(INDEX('Completion Matrix'!$I:$I,MATCH(Overview!$C65,'Completion Matrix'!$A:$A,0))=E$19,1,"")</f>
        <v>1</v>
      </c>
      <c r="F65" s="199" t="str">
        <f>IF(INDEX('Completion Matrix'!$I:$I,MATCH(Overview!$C65,'Completion Matrix'!$A:$A,0))=F$19,1,"")</f>
        <v/>
      </c>
      <c r="G65" s="199" t="str">
        <f>IF(INDEX('Completion Matrix'!$I:$I,MATCH(Overview!$C65,'Completion Matrix'!$A:$A,0))=G$19,1,"")</f>
        <v/>
      </c>
      <c r="H65" s="199" t="str">
        <f>IF(INDEX('Completion Matrix'!$I:$I,MATCH(Overview!$C65,'Completion Matrix'!$A:$A,0))=H$19,1,"")</f>
        <v/>
      </c>
      <c r="I65" s="138">
        <f t="shared" si="13"/>
        <v>1</v>
      </c>
      <c r="J65" s="221"/>
      <c r="K65" s="96"/>
      <c r="L65" s="199">
        <f>IF(INDEX('Completion Matrix'!$J:$J,MATCH(Overview!$C65,'Completion Matrix'!$A:$A,0))=L$19,1,"")</f>
        <v>1</v>
      </c>
      <c r="M65" s="199" t="str">
        <f>IF(INDEX('Completion Matrix'!$J:$J,MATCH(Overview!$C65,'Completion Matrix'!$A:$A,0))=M$19,1,"")</f>
        <v/>
      </c>
      <c r="N65" s="199" t="str">
        <f>IF(INDEX('Completion Matrix'!$J:$J,MATCH(Overview!$C65,'Completion Matrix'!$A:$A,0))=N$19,1,"")</f>
        <v/>
      </c>
      <c r="O65" s="199" t="str">
        <f>IF(INDEX('Completion Matrix'!$J:$J,MATCH(Overview!$C65,'Completion Matrix'!$A:$A,0))=O$19,1,"")</f>
        <v/>
      </c>
      <c r="P65" s="138">
        <f t="shared" si="12"/>
        <v>1</v>
      </c>
      <c r="Q65" s="230"/>
      <c r="W65" s="96"/>
      <c r="X65" s="96"/>
      <c r="Y65" s="96"/>
      <c r="Z65" s="96"/>
      <c r="AA65" s="96"/>
      <c r="AB65" s="96"/>
      <c r="AC65" s="96"/>
      <c r="AD65"/>
      <c r="AE65" s="224"/>
      <c r="AF65" s="226"/>
      <c r="AG65" s="94" t="s">
        <v>637</v>
      </c>
      <c r="AH65" s="94"/>
      <c r="AI65" s="95">
        <f>COUNTIFS('Completion Matrix'!$E:$E,Overview!$AE$58,'Completion Matrix'!$I:$I,$AF$62,'Completion Matrix'!$J:$J,AG65)</f>
        <v>0</v>
      </c>
    </row>
    <row r="66" spans="2:35" ht="38.25" hidden="1" customHeight="1" outlineLevel="1">
      <c r="B66" s="134"/>
      <c r="C66" s="135">
        <v>189</v>
      </c>
      <c r="D66" s="136" t="s">
        <v>277</v>
      </c>
      <c r="E66" s="199">
        <f>IF(INDEX('Completion Matrix'!$I:$I,MATCH(Overview!$C66,'Completion Matrix'!$A:$A,0))=E$19,1,"")</f>
        <v>1</v>
      </c>
      <c r="F66" s="199" t="str">
        <f>IF(INDEX('Completion Matrix'!$I:$I,MATCH(Overview!$C66,'Completion Matrix'!$A:$A,0))=F$19,1,"")</f>
        <v/>
      </c>
      <c r="G66" s="199" t="str">
        <f>IF(INDEX('Completion Matrix'!$I:$I,MATCH(Overview!$C66,'Completion Matrix'!$A:$A,0))=G$19,1,"")</f>
        <v/>
      </c>
      <c r="H66" s="199" t="str">
        <f>IF(INDEX('Completion Matrix'!$I:$I,MATCH(Overview!$C66,'Completion Matrix'!$A:$A,0))=H$19,1,"")</f>
        <v/>
      </c>
      <c r="I66" s="138">
        <f t="shared" si="13"/>
        <v>1</v>
      </c>
      <c r="J66" s="221"/>
      <c r="K66" s="96"/>
      <c r="L66" s="199">
        <f>IF(INDEX('Completion Matrix'!$J:$J,MATCH(Overview!$C66,'Completion Matrix'!$A:$A,0))=L$19,1,"")</f>
        <v>1</v>
      </c>
      <c r="M66" s="199" t="str">
        <f>IF(INDEX('Completion Matrix'!$J:$J,MATCH(Overview!$C66,'Completion Matrix'!$A:$A,0))=M$19,1,"")</f>
        <v/>
      </c>
      <c r="N66" s="199" t="str">
        <f>IF(INDEX('Completion Matrix'!$J:$J,MATCH(Overview!$C66,'Completion Matrix'!$A:$A,0))=N$19,1,"")</f>
        <v/>
      </c>
      <c r="O66" s="199" t="str">
        <f>IF(INDEX('Completion Matrix'!$J:$J,MATCH(Overview!$C66,'Completion Matrix'!$A:$A,0))=O$19,1,"")</f>
        <v/>
      </c>
      <c r="P66" s="138">
        <f t="shared" si="12"/>
        <v>1</v>
      </c>
      <c r="Q66" s="230"/>
      <c r="W66" s="96"/>
      <c r="X66" s="96"/>
      <c r="Y66" s="96"/>
      <c r="Z66" s="96"/>
      <c r="AA66" s="96"/>
      <c r="AB66" s="96"/>
      <c r="AC66" s="96"/>
      <c r="AD66"/>
      <c r="AE66" s="224"/>
      <c r="AF66" s="226" t="s">
        <v>593</v>
      </c>
      <c r="AG66" s="94" t="s">
        <v>468</v>
      </c>
      <c r="AH66" s="94"/>
      <c r="AI66" s="95">
        <f>COUNTIFS('Completion Matrix'!$E:$E,Overview!$AE$58,'Completion Matrix'!$I:$I,$AF$66,'Completion Matrix'!$J:$J,AG66)</f>
        <v>0</v>
      </c>
    </row>
    <row r="67" spans="2:35" ht="63.75" hidden="1" customHeight="1" outlineLevel="1">
      <c r="B67" s="134"/>
      <c r="C67" s="135">
        <v>257</v>
      </c>
      <c r="D67" s="136" t="s">
        <v>344</v>
      </c>
      <c r="E67" s="199" t="str">
        <f>IF(INDEX('Completion Matrix'!$I:$I,MATCH(Overview!$C67,'Completion Matrix'!$A:$A,0))=E$19,1,"")</f>
        <v/>
      </c>
      <c r="F67" s="199">
        <f>IF(INDEX('Completion Matrix'!$I:$I,MATCH(Overview!$C67,'Completion Matrix'!$A:$A,0))=F$19,1,"")</f>
        <v>1</v>
      </c>
      <c r="G67" s="199" t="str">
        <f>IF(INDEX('Completion Matrix'!$I:$I,MATCH(Overview!$C67,'Completion Matrix'!$A:$A,0))=G$19,1,"")</f>
        <v/>
      </c>
      <c r="H67" s="199" t="str">
        <f>IF(INDEX('Completion Matrix'!$I:$I,MATCH(Overview!$C67,'Completion Matrix'!$A:$A,0))=H$19,1,"")</f>
        <v/>
      </c>
      <c r="I67" s="138">
        <f t="shared" si="13"/>
        <v>1</v>
      </c>
      <c r="J67" s="221"/>
      <c r="K67" s="96"/>
      <c r="L67" s="199" t="str">
        <f>IF(INDEX('Completion Matrix'!$J:$J,MATCH(Overview!$C67,'Completion Matrix'!$A:$A,0))=L$19,1,"")</f>
        <v/>
      </c>
      <c r="M67" s="199">
        <f>IF(INDEX('Completion Matrix'!$J:$J,MATCH(Overview!$C67,'Completion Matrix'!$A:$A,0))=M$19,1,"")</f>
        <v>1</v>
      </c>
      <c r="N67" s="199" t="str">
        <f>IF(INDEX('Completion Matrix'!$J:$J,MATCH(Overview!$C67,'Completion Matrix'!$A:$A,0))=N$19,1,"")</f>
        <v/>
      </c>
      <c r="O67" s="199" t="str">
        <f>IF(INDEX('Completion Matrix'!$J:$J,MATCH(Overview!$C67,'Completion Matrix'!$A:$A,0))=O$19,1,"")</f>
        <v/>
      </c>
      <c r="P67" s="138">
        <f t="shared" si="12"/>
        <v>1</v>
      </c>
      <c r="Q67" s="230"/>
      <c r="W67" s="96"/>
      <c r="X67" s="96"/>
      <c r="Y67" s="96"/>
      <c r="Z67" s="96"/>
      <c r="AA67" s="96"/>
      <c r="AB67" s="96"/>
      <c r="AC67" s="96"/>
      <c r="AD67"/>
      <c r="AE67" s="224"/>
      <c r="AF67" s="226"/>
      <c r="AG67" s="94" t="s">
        <v>459</v>
      </c>
      <c r="AH67" s="94"/>
      <c r="AI67" s="95">
        <f>COUNTIFS('Completion Matrix'!$E:$E,Overview!$AE$58,'Completion Matrix'!$I:$I,$AF$66,'Completion Matrix'!$J:$J,AG67)</f>
        <v>0</v>
      </c>
    </row>
    <row r="68" spans="2:35" ht="15" collapsed="1">
      <c r="B68" s="216" t="s">
        <v>437</v>
      </c>
      <c r="C68" s="217"/>
      <c r="D68" s="218"/>
      <c r="E68" s="199">
        <f>SUM(E69:E70)</f>
        <v>2</v>
      </c>
      <c r="F68" s="199">
        <f t="shared" ref="F68:H68" si="14">SUM(F69:F70)</f>
        <v>0</v>
      </c>
      <c r="G68" s="199">
        <f t="shared" si="14"/>
        <v>0</v>
      </c>
      <c r="H68" s="199">
        <f t="shared" si="14"/>
        <v>0</v>
      </c>
      <c r="I68" s="138">
        <f t="shared" si="1"/>
        <v>2</v>
      </c>
      <c r="J68" s="221"/>
      <c r="K68" s="96"/>
      <c r="L68" s="199">
        <f>SUM(L69:L70)</f>
        <v>0</v>
      </c>
      <c r="M68" s="199">
        <f t="shared" ref="M68:O68" si="15">SUM(M69:M70)</f>
        <v>2</v>
      </c>
      <c r="N68" s="199">
        <f t="shared" si="15"/>
        <v>0</v>
      </c>
      <c r="O68" s="199">
        <f t="shared" si="15"/>
        <v>0</v>
      </c>
      <c r="P68" s="138">
        <f t="shared" ref="P68:P72" si="16">SUM(L68:O68)</f>
        <v>2</v>
      </c>
      <c r="Q68" s="230"/>
      <c r="W68" s="96"/>
      <c r="X68" s="96"/>
      <c r="Y68" s="96"/>
      <c r="Z68" s="96"/>
      <c r="AA68" s="96"/>
      <c r="AB68" s="96"/>
      <c r="AC68" s="96"/>
      <c r="AD68"/>
      <c r="AE68" s="224"/>
      <c r="AF68" s="125"/>
      <c r="AG68" s="94"/>
      <c r="AH68" s="94"/>
      <c r="AI68" s="95"/>
    </row>
    <row r="69" spans="2:35" ht="25.5" hidden="1" customHeight="1" outlineLevel="1">
      <c r="B69" s="134"/>
      <c r="C69" s="135">
        <v>132</v>
      </c>
      <c r="D69" s="136" t="s">
        <v>218</v>
      </c>
      <c r="E69" s="199">
        <f>IF(INDEX('Completion Matrix'!$I:$I,MATCH(Overview!$C69,'Completion Matrix'!$A:$A,0))=E$19,1,"")</f>
        <v>1</v>
      </c>
      <c r="F69" s="199" t="str">
        <f>IF(INDEX('Completion Matrix'!$I:$I,MATCH(Overview!$C69,'Completion Matrix'!$A:$A,0))=F$19,1,"")</f>
        <v/>
      </c>
      <c r="G69" s="199" t="str">
        <f>IF(INDEX('Completion Matrix'!$I:$I,MATCH(Overview!$C69,'Completion Matrix'!$A:$A,0))=G$19,1,"")</f>
        <v/>
      </c>
      <c r="H69" s="199" t="str">
        <f>IF(INDEX('Completion Matrix'!$I:$I,MATCH(Overview!$C69,'Completion Matrix'!$A:$A,0))=H$19,1,"")</f>
        <v/>
      </c>
      <c r="I69" s="138">
        <f t="shared" si="1"/>
        <v>1</v>
      </c>
      <c r="J69" s="221"/>
      <c r="K69" s="96"/>
      <c r="L69" s="199" t="str">
        <f>IF(INDEX('Completion Matrix'!$J:$J,MATCH(Overview!$C69,'Completion Matrix'!$A:$A,0))=L$19,1,"")</f>
        <v/>
      </c>
      <c r="M69" s="199">
        <f>IF(INDEX('Completion Matrix'!$J:$J,MATCH(Overview!$C69,'Completion Matrix'!$A:$A,0))=M$19,1,"")</f>
        <v>1</v>
      </c>
      <c r="N69" s="199" t="str">
        <f>IF(INDEX('Completion Matrix'!$J:$J,MATCH(Overview!$C69,'Completion Matrix'!$A:$A,0))=N$19,1,"")</f>
        <v/>
      </c>
      <c r="O69" s="199" t="str">
        <f>IF(INDEX('Completion Matrix'!$J:$J,MATCH(Overview!$C69,'Completion Matrix'!$A:$A,0))=O$19,1,"")</f>
        <v/>
      </c>
      <c r="P69" s="138">
        <f t="shared" si="16"/>
        <v>1</v>
      </c>
      <c r="Q69" s="230"/>
      <c r="W69" s="96"/>
      <c r="X69" s="96"/>
      <c r="Y69" s="96"/>
      <c r="Z69" s="96"/>
      <c r="AA69" s="96"/>
      <c r="AB69" s="96"/>
      <c r="AC69" s="96"/>
      <c r="AD69"/>
      <c r="AE69" s="224"/>
      <c r="AF69" s="125"/>
      <c r="AG69" s="94"/>
      <c r="AH69" s="94"/>
      <c r="AI69" s="95"/>
    </row>
    <row r="70" spans="2:35" ht="51" hidden="1" customHeight="1" outlineLevel="1">
      <c r="B70" s="134"/>
      <c r="C70" s="135">
        <v>134</v>
      </c>
      <c r="D70" s="136" t="s">
        <v>225</v>
      </c>
      <c r="E70" s="199">
        <f>IF(INDEX('Completion Matrix'!$I:$I,MATCH(Overview!$C70,'Completion Matrix'!$A:$A,0))=E$19,1,"")</f>
        <v>1</v>
      </c>
      <c r="F70" s="199" t="str">
        <f>IF(INDEX('Completion Matrix'!$I:$I,MATCH(Overview!$C70,'Completion Matrix'!$A:$A,0))=F$19,1,"")</f>
        <v/>
      </c>
      <c r="G70" s="199" t="str">
        <f>IF(INDEX('Completion Matrix'!$I:$I,MATCH(Overview!$C70,'Completion Matrix'!$A:$A,0))=G$19,1,"")</f>
        <v/>
      </c>
      <c r="H70" s="199" t="str">
        <f>IF(INDEX('Completion Matrix'!$I:$I,MATCH(Overview!$C70,'Completion Matrix'!$A:$A,0))=H$19,1,"")</f>
        <v/>
      </c>
      <c r="I70" s="138">
        <f t="shared" si="1"/>
        <v>1</v>
      </c>
      <c r="J70" s="221"/>
      <c r="K70" s="96"/>
      <c r="L70" s="199" t="str">
        <f>IF(INDEX('Completion Matrix'!$J:$J,MATCH(Overview!$C70,'Completion Matrix'!$A:$A,0))=L$19,1,"")</f>
        <v/>
      </c>
      <c r="M70" s="199">
        <f>IF(INDEX('Completion Matrix'!$J:$J,MATCH(Overview!$C70,'Completion Matrix'!$A:$A,0))=M$19,1,"")</f>
        <v>1</v>
      </c>
      <c r="N70" s="199" t="str">
        <f>IF(INDEX('Completion Matrix'!$J:$J,MATCH(Overview!$C70,'Completion Matrix'!$A:$A,0))=N$19,1,"")</f>
        <v/>
      </c>
      <c r="O70" s="199" t="str">
        <f>IF(INDEX('Completion Matrix'!$J:$J,MATCH(Overview!$C70,'Completion Matrix'!$A:$A,0))=O$19,1,"")</f>
        <v/>
      </c>
      <c r="P70" s="138">
        <f t="shared" si="16"/>
        <v>1</v>
      </c>
      <c r="Q70" s="230"/>
      <c r="W70" s="96"/>
      <c r="X70" s="96"/>
      <c r="Y70" s="96"/>
      <c r="Z70" s="96"/>
      <c r="AA70" s="96"/>
      <c r="AB70" s="96"/>
      <c r="AC70" s="96"/>
      <c r="AD70"/>
      <c r="AE70" s="224"/>
      <c r="AF70" s="125"/>
      <c r="AG70" s="94"/>
      <c r="AH70" s="94"/>
      <c r="AI70" s="95"/>
    </row>
    <row r="71" spans="2:35" ht="15" collapsed="1">
      <c r="B71" s="216" t="s">
        <v>432</v>
      </c>
      <c r="C71" s="217"/>
      <c r="D71" s="218"/>
      <c r="E71" s="199">
        <f>SUM(E72:E76)</f>
        <v>0</v>
      </c>
      <c r="F71" s="199">
        <f>SUM(F72:F76)</f>
        <v>1</v>
      </c>
      <c r="G71" s="199">
        <f>SUM(G72:G76)</f>
        <v>4</v>
      </c>
      <c r="H71" s="199">
        <f>SUM(H72:H76)</f>
        <v>0</v>
      </c>
      <c r="I71" s="138">
        <f t="shared" si="1"/>
        <v>5</v>
      </c>
      <c r="J71" s="221"/>
      <c r="K71" s="96"/>
      <c r="L71" s="199">
        <f>SUM(L72:L76)</f>
        <v>0</v>
      </c>
      <c r="M71" s="199">
        <f>SUM(M72:M76)</f>
        <v>1</v>
      </c>
      <c r="N71" s="199">
        <f>SUM(N72:N76)</f>
        <v>4</v>
      </c>
      <c r="O71" s="199">
        <f>SUM(O72:O76)</f>
        <v>0</v>
      </c>
      <c r="P71" s="138">
        <f t="shared" si="16"/>
        <v>5</v>
      </c>
      <c r="Q71" s="230"/>
      <c r="W71" s="96"/>
      <c r="X71" s="96"/>
      <c r="Y71" s="96"/>
      <c r="Z71" s="96"/>
      <c r="AA71" s="96"/>
      <c r="AB71" s="96"/>
      <c r="AC71" s="96"/>
      <c r="AD71"/>
      <c r="AE71" s="224"/>
      <c r="AF71" s="226" t="s">
        <v>636</v>
      </c>
      <c r="AG71" s="94" t="s">
        <v>468</v>
      </c>
      <c r="AH71" s="94"/>
      <c r="AI71" s="95">
        <f>COUNTIFS('Completion Matrix'!$E:$E,Overview!$AE$58,'Completion Matrix'!$I:$I,$AF$71,'Completion Matrix'!$J:$J,AG71)</f>
        <v>0</v>
      </c>
    </row>
    <row r="72" spans="2:35" ht="25.5" hidden="1" customHeight="1" outlineLevel="1">
      <c r="B72" s="134"/>
      <c r="C72" s="135">
        <v>35</v>
      </c>
      <c r="D72" s="136" t="s">
        <v>50</v>
      </c>
      <c r="E72" s="199" t="str">
        <f>IF(INDEX('Completion Matrix'!$I:$I,MATCH(Overview!$C72,'Completion Matrix'!$A:$A,0))=E$19,1,"")</f>
        <v/>
      </c>
      <c r="F72" s="199" t="str">
        <f>IF(INDEX('Completion Matrix'!$I:$I,MATCH(Overview!$C72,'Completion Matrix'!$A:$A,0))=F$19,1,"")</f>
        <v/>
      </c>
      <c r="G72" s="199">
        <f>IF(INDEX('Completion Matrix'!$I:$I,MATCH(Overview!$C72,'Completion Matrix'!$A:$A,0))=G$19,1,"")</f>
        <v>1</v>
      </c>
      <c r="H72" s="199" t="str">
        <f>IF(INDEX('Completion Matrix'!$I:$I,MATCH(Overview!$C72,'Completion Matrix'!$A:$A,0))=H$19,1,"")</f>
        <v/>
      </c>
      <c r="I72" s="138">
        <f t="shared" si="1"/>
        <v>1</v>
      </c>
      <c r="J72" s="221"/>
      <c r="K72" s="96"/>
      <c r="L72" s="199" t="str">
        <f>IF(INDEX('Completion Matrix'!$J:$J,MATCH(Overview!$C72,'Completion Matrix'!$A:$A,0))=L$19,1,"")</f>
        <v/>
      </c>
      <c r="M72" s="199" t="str">
        <f>IF(INDEX('Completion Matrix'!$J:$J,MATCH(Overview!$C72,'Completion Matrix'!$A:$A,0))=M$19,1,"")</f>
        <v/>
      </c>
      <c r="N72" s="199">
        <f>IF(INDEX('Completion Matrix'!$J:$J,MATCH(Overview!$C72,'Completion Matrix'!$A:$A,0))=N$19,1,"")</f>
        <v>1</v>
      </c>
      <c r="O72" s="199" t="str">
        <f>IF(INDEX('Completion Matrix'!$J:$J,MATCH(Overview!$C72,'Completion Matrix'!$A:$A,0))=O$19,1,"")</f>
        <v/>
      </c>
      <c r="P72" s="138">
        <f t="shared" si="16"/>
        <v>1</v>
      </c>
      <c r="Q72" s="230"/>
      <c r="W72" s="96"/>
      <c r="X72" s="96"/>
      <c r="Y72" s="96"/>
      <c r="Z72" s="96"/>
      <c r="AA72" s="96"/>
      <c r="AB72" s="96"/>
      <c r="AC72" s="96"/>
      <c r="AD72"/>
      <c r="AE72" s="224"/>
      <c r="AF72" s="226"/>
      <c r="AG72" s="94" t="s">
        <v>459</v>
      </c>
      <c r="AH72" s="94"/>
      <c r="AI72" s="95">
        <f>COUNTIFS('Completion Matrix'!$E:$E,Overview!$AE$58,'Completion Matrix'!$I:$I,$AF$71,'Completion Matrix'!$J:$J,AG72)</f>
        <v>0</v>
      </c>
    </row>
    <row r="73" spans="2:35" ht="25.5" hidden="1" customHeight="1" outlineLevel="1">
      <c r="B73" s="134"/>
      <c r="C73" s="135">
        <v>51</v>
      </c>
      <c r="D73" s="136" t="s">
        <v>77</v>
      </c>
      <c r="E73" s="199" t="str">
        <f>IF(INDEX('Completion Matrix'!$I:$I,MATCH(Overview!$C73,'Completion Matrix'!$A:$A,0))=E$19,1,"")</f>
        <v/>
      </c>
      <c r="F73" s="199" t="str">
        <f>IF(INDEX('Completion Matrix'!$I:$I,MATCH(Overview!$C73,'Completion Matrix'!$A:$A,0))=F$19,1,"")</f>
        <v/>
      </c>
      <c r="G73" s="199">
        <f>IF(INDEX('Completion Matrix'!$I:$I,MATCH(Overview!$C73,'Completion Matrix'!$A:$A,0))=G$19,1,"")</f>
        <v>1</v>
      </c>
      <c r="H73" s="199" t="str">
        <f>IF(INDEX('Completion Matrix'!$I:$I,MATCH(Overview!$C73,'Completion Matrix'!$A:$A,0))=H$19,1,"")</f>
        <v/>
      </c>
      <c r="I73" s="138">
        <f t="shared" si="1"/>
        <v>1</v>
      </c>
      <c r="J73" s="221"/>
      <c r="K73" s="96"/>
      <c r="L73" s="199" t="str">
        <f>IF(INDEX('Completion Matrix'!$J:$J,MATCH(Overview!$C73,'Completion Matrix'!$A:$A,0))=L$19,1,"")</f>
        <v/>
      </c>
      <c r="M73" s="199" t="str">
        <f>IF(INDEX('Completion Matrix'!$J:$J,MATCH(Overview!$C73,'Completion Matrix'!$A:$A,0))=M$19,1,"")</f>
        <v/>
      </c>
      <c r="N73" s="199">
        <f>IF(INDEX('Completion Matrix'!$J:$J,MATCH(Overview!$C73,'Completion Matrix'!$A:$A,0))=N$19,1,"")</f>
        <v>1</v>
      </c>
      <c r="O73" s="199" t="str">
        <f>IF(INDEX('Completion Matrix'!$J:$J,MATCH(Overview!$C73,'Completion Matrix'!$A:$A,0))=O$19,1,"")</f>
        <v/>
      </c>
      <c r="P73" s="138">
        <f t="shared" ref="P73:P76" si="17">SUM(L73:O73)</f>
        <v>1</v>
      </c>
      <c r="Q73" s="230"/>
      <c r="W73" s="96"/>
      <c r="X73" s="96"/>
      <c r="Y73" s="96"/>
      <c r="Z73" s="96"/>
      <c r="AA73" s="96"/>
      <c r="AB73" s="96"/>
      <c r="AC73" s="96"/>
      <c r="AD73"/>
      <c r="AE73" s="224"/>
      <c r="AF73" s="226"/>
      <c r="AG73" s="94" t="s">
        <v>462</v>
      </c>
      <c r="AH73" s="94"/>
      <c r="AI73" s="95">
        <f>COUNTIFS('Completion Matrix'!$E:$E,Overview!$AE$58,'Completion Matrix'!$I:$I,$AF$71,'Completion Matrix'!$J:$J,AG73)</f>
        <v>0</v>
      </c>
    </row>
    <row r="74" spans="2:35" ht="63.75" hidden="1" customHeight="1" outlineLevel="1">
      <c r="B74" s="134"/>
      <c r="C74" s="135">
        <v>54</v>
      </c>
      <c r="D74" s="136" t="s">
        <v>82</v>
      </c>
      <c r="E74" s="199" t="str">
        <f>IF(INDEX('Completion Matrix'!$I:$I,MATCH(Overview!$C74,'Completion Matrix'!$A:$A,0))=E$19,1,"")</f>
        <v/>
      </c>
      <c r="F74" s="199" t="str">
        <f>IF(INDEX('Completion Matrix'!$I:$I,MATCH(Overview!$C74,'Completion Matrix'!$A:$A,0))=F$19,1,"")</f>
        <v/>
      </c>
      <c r="G74" s="199">
        <f>IF(INDEX('Completion Matrix'!$I:$I,MATCH(Overview!$C74,'Completion Matrix'!$A:$A,0))=G$19,1,"")</f>
        <v>1</v>
      </c>
      <c r="H74" s="199" t="str">
        <f>IF(INDEX('Completion Matrix'!$I:$I,MATCH(Overview!$C74,'Completion Matrix'!$A:$A,0))=H$19,1,"")</f>
        <v/>
      </c>
      <c r="I74" s="138">
        <f t="shared" si="1"/>
        <v>1</v>
      </c>
      <c r="J74" s="221"/>
      <c r="K74" s="96"/>
      <c r="L74" s="199" t="str">
        <f>IF(INDEX('Completion Matrix'!$J:$J,MATCH(Overview!$C74,'Completion Matrix'!$A:$A,0))=L$19,1,"")</f>
        <v/>
      </c>
      <c r="M74" s="199" t="str">
        <f>IF(INDEX('Completion Matrix'!$J:$J,MATCH(Overview!$C74,'Completion Matrix'!$A:$A,0))=M$19,1,"")</f>
        <v/>
      </c>
      <c r="N74" s="199">
        <f>IF(INDEX('Completion Matrix'!$J:$J,MATCH(Overview!$C74,'Completion Matrix'!$A:$A,0))=N$19,1,"")</f>
        <v>1</v>
      </c>
      <c r="O74" s="199" t="str">
        <f>IF(INDEX('Completion Matrix'!$J:$J,MATCH(Overview!$C74,'Completion Matrix'!$A:$A,0))=O$19,1,"")</f>
        <v/>
      </c>
      <c r="P74" s="138">
        <f t="shared" si="17"/>
        <v>1</v>
      </c>
      <c r="Q74" s="230"/>
      <c r="W74" s="96"/>
      <c r="X74" s="96"/>
      <c r="Y74" s="96"/>
      <c r="Z74" s="96"/>
      <c r="AA74" s="96"/>
      <c r="AB74" s="96"/>
      <c r="AC74" s="96"/>
      <c r="AD74"/>
      <c r="AE74" s="225"/>
      <c r="AF74" s="226"/>
      <c r="AG74" s="94" t="s">
        <v>636</v>
      </c>
      <c r="AH74" s="94"/>
      <c r="AI74" s="95">
        <f>COUNTIFS('Completion Matrix'!$E:$E,Overview!$AE$58,'Completion Matrix'!$I:$I,$AF$71,'Completion Matrix'!$J:$J,AG74)</f>
        <v>0</v>
      </c>
    </row>
    <row r="75" spans="2:35" ht="51" hidden="1" customHeight="1" outlineLevel="1">
      <c r="B75" s="134"/>
      <c r="C75" s="135">
        <v>55</v>
      </c>
      <c r="D75" s="136" t="s">
        <v>83</v>
      </c>
      <c r="E75" s="199" t="str">
        <f>IF(INDEX('Completion Matrix'!$I:$I,MATCH(Overview!$C75,'Completion Matrix'!$A:$A,0))=E$19,1,"")</f>
        <v/>
      </c>
      <c r="F75" s="199" t="str">
        <f>IF(INDEX('Completion Matrix'!$I:$I,MATCH(Overview!$C75,'Completion Matrix'!$A:$A,0))=F$19,1,"")</f>
        <v/>
      </c>
      <c r="G75" s="199">
        <f>IF(INDEX('Completion Matrix'!$I:$I,MATCH(Overview!$C75,'Completion Matrix'!$A:$A,0))=G$19,1,"")</f>
        <v>1</v>
      </c>
      <c r="H75" s="199" t="str">
        <f>IF(INDEX('Completion Matrix'!$I:$I,MATCH(Overview!$C75,'Completion Matrix'!$A:$A,0))=H$19,1,"")</f>
        <v/>
      </c>
      <c r="I75" s="138">
        <f t="shared" si="1"/>
        <v>1</v>
      </c>
      <c r="J75" s="221"/>
      <c r="K75" s="96"/>
      <c r="L75" s="199" t="str">
        <f>IF(INDEX('Completion Matrix'!$J:$J,MATCH(Overview!$C75,'Completion Matrix'!$A:$A,0))=L$19,1,"")</f>
        <v/>
      </c>
      <c r="M75" s="199" t="str">
        <f>IF(INDEX('Completion Matrix'!$J:$J,MATCH(Overview!$C75,'Completion Matrix'!$A:$A,0))=M$19,1,"")</f>
        <v/>
      </c>
      <c r="N75" s="199">
        <f>IF(INDEX('Completion Matrix'!$J:$J,MATCH(Overview!$C75,'Completion Matrix'!$A:$A,0))=N$19,1,"")</f>
        <v>1</v>
      </c>
      <c r="O75" s="199" t="str">
        <f>IF(INDEX('Completion Matrix'!$J:$J,MATCH(Overview!$C75,'Completion Matrix'!$A:$A,0))=O$19,1,"")</f>
        <v/>
      </c>
      <c r="P75" s="138">
        <f t="shared" si="17"/>
        <v>1</v>
      </c>
      <c r="Q75" s="230"/>
      <c r="W75" s="96"/>
      <c r="X75" s="96"/>
      <c r="Y75" s="96"/>
      <c r="Z75" s="96"/>
      <c r="AA75" s="96"/>
      <c r="AB75" s="96"/>
      <c r="AC75" s="96"/>
      <c r="AD75"/>
      <c r="AE75"/>
      <c r="AF75"/>
      <c r="AG75"/>
      <c r="AH75"/>
      <c r="AI75" s="95">
        <f>SUM(AI58:AI74)</f>
        <v>2</v>
      </c>
    </row>
    <row r="76" spans="2:35" ht="25.5" hidden="1" customHeight="1" outlineLevel="1">
      <c r="B76" s="134"/>
      <c r="C76" s="135">
        <v>75</v>
      </c>
      <c r="D76" s="136" t="s">
        <v>104</v>
      </c>
      <c r="E76" s="199" t="str">
        <f>IF(INDEX('Completion Matrix'!$I:$I,MATCH(Overview!$C76,'Completion Matrix'!$A:$A,0))=E$19,1,"")</f>
        <v/>
      </c>
      <c r="F76" s="199">
        <f>IF(INDEX('Completion Matrix'!$I:$I,MATCH(Overview!$C76,'Completion Matrix'!$A:$A,0))=F$19,1,"")</f>
        <v>1</v>
      </c>
      <c r="G76" s="199" t="str">
        <f>IF(INDEX('Completion Matrix'!$I:$I,MATCH(Overview!$C76,'Completion Matrix'!$A:$A,0))=G$19,1,"")</f>
        <v/>
      </c>
      <c r="H76" s="199" t="str">
        <f>IF(INDEX('Completion Matrix'!$I:$I,MATCH(Overview!$C76,'Completion Matrix'!$A:$A,0))=H$19,1,"")</f>
        <v/>
      </c>
      <c r="I76" s="138">
        <f t="shared" si="1"/>
        <v>1</v>
      </c>
      <c r="J76" s="221"/>
      <c r="K76" s="96"/>
      <c r="L76" s="199" t="str">
        <f>IF(INDEX('Completion Matrix'!$J:$J,MATCH(Overview!$C76,'Completion Matrix'!$A:$A,0))=L$19,1,"")</f>
        <v/>
      </c>
      <c r="M76" s="199">
        <f>IF(INDEX('Completion Matrix'!$J:$J,MATCH(Overview!$C76,'Completion Matrix'!$A:$A,0))=M$19,1,"")</f>
        <v>1</v>
      </c>
      <c r="N76" s="199" t="str">
        <f>IF(INDEX('Completion Matrix'!$J:$J,MATCH(Overview!$C76,'Completion Matrix'!$A:$A,0))=N$19,1,"")</f>
        <v/>
      </c>
      <c r="O76" s="199" t="str">
        <f>IF(INDEX('Completion Matrix'!$J:$J,MATCH(Overview!$C76,'Completion Matrix'!$A:$A,0))=O$19,1,"")</f>
        <v/>
      </c>
      <c r="P76" s="138">
        <f t="shared" si="17"/>
        <v>1</v>
      </c>
      <c r="Q76" s="230"/>
      <c r="W76"/>
      <c r="X76"/>
      <c r="Y76"/>
      <c r="Z76"/>
      <c r="AA76"/>
      <c r="AB76"/>
      <c r="AC76"/>
      <c r="AD76"/>
      <c r="AE76"/>
      <c r="AF76"/>
      <c r="AG76"/>
      <c r="AH76"/>
      <c r="AI76"/>
    </row>
    <row r="77" spans="2:35" ht="15" collapsed="1">
      <c r="B77" s="216" t="s">
        <v>429</v>
      </c>
      <c r="C77" s="217"/>
      <c r="D77" s="218"/>
      <c r="E77" s="199">
        <f>SUM(E78:E79)</f>
        <v>0</v>
      </c>
      <c r="F77" s="199">
        <f>SUM(F78:F79)</f>
        <v>1</v>
      </c>
      <c r="G77" s="199">
        <f>SUM(G78:G79)</f>
        <v>0</v>
      </c>
      <c r="H77" s="199">
        <f>SUM(H78:H79)</f>
        <v>1</v>
      </c>
      <c r="I77" s="138">
        <f t="shared" si="1"/>
        <v>2</v>
      </c>
      <c r="J77" s="221"/>
      <c r="K77" s="96"/>
      <c r="L77" s="199">
        <f>SUM(L78:L79)</f>
        <v>0</v>
      </c>
      <c r="M77" s="199">
        <f>SUM(M78:M79)</f>
        <v>1</v>
      </c>
      <c r="N77" s="199">
        <f>SUM(N78:N79)</f>
        <v>0</v>
      </c>
      <c r="O77" s="199">
        <f>SUM(O78:O79)</f>
        <v>1</v>
      </c>
      <c r="P77" s="138">
        <f t="shared" ref="P77:P79" si="18">SUM(L77:O77)</f>
        <v>2</v>
      </c>
      <c r="Q77" s="230"/>
      <c r="W77" s="96"/>
      <c r="X77" s="96"/>
      <c r="Y77" s="96"/>
      <c r="Z77" s="96"/>
      <c r="AA77" s="96"/>
      <c r="AB77" s="96"/>
      <c r="AC77" s="96"/>
      <c r="AD77"/>
      <c r="AE77"/>
      <c r="AF77" s="214" t="s">
        <v>638</v>
      </c>
      <c r="AG77" s="94" t="s">
        <v>451</v>
      </c>
      <c r="AH77" s="94"/>
      <c r="AI77" s="95">
        <f>COUNTIFS('Completion Matrix'!$E:$E,Overview!AE58,'Completion Matrix'!$I:$I,"")</f>
        <v>0</v>
      </c>
    </row>
    <row r="78" spans="2:35" ht="15" hidden="1" customHeight="1" outlineLevel="1">
      <c r="B78" s="134"/>
      <c r="C78" s="137">
        <v>44</v>
      </c>
      <c r="D78" s="102" t="s">
        <v>61</v>
      </c>
      <c r="E78" s="199" t="str">
        <f>IF(INDEX('Completion Matrix'!$I:$I,MATCH(Overview!$C78,'Completion Matrix'!$A:$A,0))=E$19,1,"")</f>
        <v/>
      </c>
      <c r="F78" s="199" t="str">
        <f>IF(INDEX('Completion Matrix'!$I:$I,MATCH(Overview!$C78,'Completion Matrix'!$A:$A,0))=F$19,1,"")</f>
        <v/>
      </c>
      <c r="G78" s="199" t="str">
        <f>IF(INDEX('Completion Matrix'!$I:$I,MATCH(Overview!$C78,'Completion Matrix'!$A:$A,0))=G$19,1,"")</f>
        <v/>
      </c>
      <c r="H78" s="199">
        <f>IF(INDEX('Completion Matrix'!$I:$I,MATCH(Overview!$C78,'Completion Matrix'!$A:$A,0))=H$19,1,"")</f>
        <v>1</v>
      </c>
      <c r="I78" s="148">
        <f t="shared" ref="I78:I79" si="19">SUM(E78:H78)</f>
        <v>1</v>
      </c>
      <c r="J78" s="221"/>
      <c r="K78" s="96"/>
      <c r="L78" s="199" t="str">
        <f>IF(INDEX('Completion Matrix'!$J:$J,MATCH(Overview!$C78,'Completion Matrix'!$A:$A,0))=L$19,1,"")</f>
        <v/>
      </c>
      <c r="M78" s="199" t="str">
        <f>IF(INDEX('Completion Matrix'!$J:$J,MATCH(Overview!$C78,'Completion Matrix'!$A:$A,0))=M$19,1,"")</f>
        <v/>
      </c>
      <c r="N78" s="199" t="str">
        <f>IF(INDEX('Completion Matrix'!$J:$J,MATCH(Overview!$C78,'Completion Matrix'!$A:$A,0))=N$19,1,"")</f>
        <v/>
      </c>
      <c r="O78" s="202">
        <f>IF(INDEX('Completion Matrix'!$J:$J,MATCH(Overview!$C78,'Completion Matrix'!$A:$A,0))=O$19,1,"")</f>
        <v>1</v>
      </c>
      <c r="P78" s="147">
        <f>SUM(L78:O78)</f>
        <v>1</v>
      </c>
      <c r="Q78" s="219"/>
      <c r="W78" s="96"/>
      <c r="X78" s="96"/>
      <c r="Y78" s="96"/>
      <c r="Z78" s="96"/>
      <c r="AA78" s="96"/>
      <c r="AB78" s="96"/>
      <c r="AC78" s="96"/>
      <c r="AD78"/>
      <c r="AE78"/>
      <c r="AF78" s="215"/>
      <c r="AG78" s="94" t="s">
        <v>450</v>
      </c>
      <c r="AH78" s="94"/>
      <c r="AI78" s="95">
        <f>COUNTIFS('Completion Matrix'!$E:$E,Overview!AE58,'Completion Matrix'!$I:$I,"")</f>
        <v>0</v>
      </c>
    </row>
    <row r="79" spans="2:35" ht="38.25" hidden="1" customHeight="1" outlineLevel="1">
      <c r="B79" s="134"/>
      <c r="C79" s="135">
        <v>45</v>
      </c>
      <c r="D79" s="136" t="s">
        <v>65</v>
      </c>
      <c r="E79" s="199" t="str">
        <f>IF(INDEX('Completion Matrix'!$I:$I,MATCH(Overview!$C79,'Completion Matrix'!$A:$A,0))=E$19,1,"")</f>
        <v/>
      </c>
      <c r="F79" s="199">
        <f>IF(INDEX('Completion Matrix'!$I:$I,MATCH(Overview!$C79,'Completion Matrix'!$A:$A,0))=F$19,1,"")</f>
        <v>1</v>
      </c>
      <c r="G79" s="199" t="str">
        <f>IF(INDEX('Completion Matrix'!$I:$I,MATCH(Overview!$C79,'Completion Matrix'!$A:$A,0))=G$19,1,"")</f>
        <v/>
      </c>
      <c r="H79" s="199" t="str">
        <f>IF(INDEX('Completion Matrix'!$I:$I,MATCH(Overview!$C79,'Completion Matrix'!$A:$A,0))=H$19,1,"")</f>
        <v/>
      </c>
      <c r="I79" s="148">
        <f t="shared" si="19"/>
        <v>1</v>
      </c>
      <c r="J79" s="222"/>
      <c r="K79" s="96"/>
      <c r="L79" s="199" t="str">
        <f>IF(INDEX('Completion Matrix'!$J:$J,MATCH(Overview!$C79,'Completion Matrix'!$A:$A,0))=L$19,1,"")</f>
        <v/>
      </c>
      <c r="M79" s="199">
        <f>IF(INDEX('Completion Matrix'!$J:$J,MATCH(Overview!$C79,'Completion Matrix'!$A:$A,0))=M$19,1,"")</f>
        <v>1</v>
      </c>
      <c r="N79" s="199" t="str">
        <f>IF(INDEX('Completion Matrix'!$J:$J,MATCH(Overview!$C79,'Completion Matrix'!$A:$A,0))=N$19,1,"")</f>
        <v/>
      </c>
      <c r="O79" s="203" t="str">
        <f>IF(INDEX('Completion Matrix'!$J:$J,MATCH(Overview!$C79,'Completion Matrix'!$A:$A,0))=O$19,1,"")</f>
        <v/>
      </c>
      <c r="P79" s="147">
        <f t="shared" si="18"/>
        <v>1</v>
      </c>
      <c r="Q79" s="219"/>
    </row>
    <row r="80" spans="2:35" ht="15" collapsed="1">
      <c r="B80" s="216" t="s">
        <v>625</v>
      </c>
      <c r="C80" s="217"/>
      <c r="D80" s="218"/>
      <c r="E80" s="200">
        <f>E20+E30+E32+E48+E57+E68+E71+E77</f>
        <v>30</v>
      </c>
      <c r="F80" s="200">
        <f>F20+F30+F32+F48+F57+F68+F71+F77</f>
        <v>13</v>
      </c>
      <c r="G80" s="200">
        <f>G20+G30+G32+G48+G57+G68+G71+G77</f>
        <v>8</v>
      </c>
      <c r="H80" s="200">
        <f>H20+H30+H32+H48+H57+H68+H71+H77</f>
        <v>1</v>
      </c>
      <c r="I80" s="96"/>
      <c r="J80" s="150"/>
      <c r="K80" s="96"/>
      <c r="L80" s="200">
        <f>L20+L30+L32+L48+L57+L68+L71+L77</f>
        <v>20</v>
      </c>
      <c r="M80" s="200">
        <f>M20+M30+M32+M48+M57+M68+M71+M77</f>
        <v>27</v>
      </c>
      <c r="N80" s="200">
        <f>N20+N30+N32+N48+N57+N68+N71+N77</f>
        <v>4</v>
      </c>
      <c r="O80" s="200">
        <f>O20+O30+O32+O48+O57+O68+O71+O77</f>
        <v>1</v>
      </c>
      <c r="P80" s="147"/>
      <c r="Q80" s="219"/>
    </row>
    <row r="81" spans="2:17" ht="15">
      <c r="B81" s="216" t="s">
        <v>625</v>
      </c>
      <c r="C81" s="217"/>
      <c r="D81" s="218"/>
      <c r="E81" s="201">
        <f>E80/$E$82</f>
        <v>0.57692307692307687</v>
      </c>
      <c r="F81" s="201">
        <f>F80/$E$82</f>
        <v>0.25</v>
      </c>
      <c r="G81" s="201">
        <f>G80/$E$82</f>
        <v>0.15384615384615385</v>
      </c>
      <c r="H81" s="201">
        <f>H80/$E$82</f>
        <v>1.9230769230769232E-2</v>
      </c>
      <c r="I81" s="96"/>
      <c r="J81" s="149"/>
      <c r="K81" s="96"/>
      <c r="L81" s="201">
        <f>L80/$E$82</f>
        <v>0.38461538461538464</v>
      </c>
      <c r="M81" s="201">
        <f>M80/$E$82</f>
        <v>0.51923076923076927</v>
      </c>
      <c r="N81" s="201">
        <f>N80/$E$82</f>
        <v>7.6923076923076927E-2</v>
      </c>
      <c r="O81" s="201">
        <f>O80/$E$82</f>
        <v>1.9230769230769232E-2</v>
      </c>
      <c r="P81" s="130"/>
      <c r="Q81" s="130"/>
    </row>
    <row r="82" spans="2:17" ht="15">
      <c r="E82" s="211">
        <f>SUM(E80:H80)</f>
        <v>52</v>
      </c>
      <c r="F82" s="212"/>
      <c r="G82" s="212"/>
      <c r="H82" s="213"/>
      <c r="L82" s="211">
        <f>SUM(L80:O80)</f>
        <v>52</v>
      </c>
      <c r="M82" s="212"/>
      <c r="N82" s="212"/>
      <c r="O82" s="213"/>
      <c r="P82" s="130"/>
      <c r="Q82" s="130"/>
    </row>
    <row r="84" spans="2:17">
      <c r="E84" s="151" t="str">
        <f>E19</f>
        <v>No Gap</v>
      </c>
      <c r="F84" s="151" t="str">
        <f t="shared" ref="F84:H84" si="20">F19</f>
        <v>Minor Gap</v>
      </c>
      <c r="G84" s="151" t="str">
        <f t="shared" si="20"/>
        <v>Significant Gap</v>
      </c>
      <c r="H84" s="151" t="str">
        <f t="shared" si="20"/>
        <v>Priority</v>
      </c>
      <c r="L84" s="151" t="str">
        <f>L19</f>
        <v>Ready</v>
      </c>
      <c r="M84" s="192" t="s">
        <v>878</v>
      </c>
      <c r="N84" s="192" t="s">
        <v>879</v>
      </c>
      <c r="O84" s="151" t="str">
        <f t="shared" ref="O84" si="21">O19</f>
        <v>Priority</v>
      </c>
    </row>
    <row r="85" spans="2:17">
      <c r="E85" s="151">
        <f>E80</f>
        <v>30</v>
      </c>
      <c r="F85" s="151">
        <f t="shared" ref="F85:H85" si="22">F80</f>
        <v>13</v>
      </c>
      <c r="G85" s="151">
        <f t="shared" si="22"/>
        <v>8</v>
      </c>
      <c r="H85" s="151">
        <f t="shared" si="22"/>
        <v>1</v>
      </c>
      <c r="L85" s="151">
        <f>L80</f>
        <v>20</v>
      </c>
      <c r="M85" s="151">
        <f t="shared" ref="M85:O85" si="23">M80</f>
        <v>27</v>
      </c>
      <c r="N85" s="151">
        <f t="shared" si="23"/>
        <v>4</v>
      </c>
      <c r="O85" s="151">
        <f t="shared" si="23"/>
        <v>1</v>
      </c>
    </row>
    <row r="87" spans="2:17">
      <c r="J87" s="132"/>
    </row>
  </sheetData>
  <autoFilter ref="B7:C7"/>
  <mergeCells count="47">
    <mergeCell ref="I11:K11"/>
    <mergeCell ref="I4:K4"/>
    <mergeCell ref="I5:K5"/>
    <mergeCell ref="I6:K6"/>
    <mergeCell ref="I7:K7"/>
    <mergeCell ref="I2:K2"/>
    <mergeCell ref="I3:K3"/>
    <mergeCell ref="I8:K8"/>
    <mergeCell ref="I9:K9"/>
    <mergeCell ref="I10:K10"/>
    <mergeCell ref="B32:D32"/>
    <mergeCell ref="B48:D48"/>
    <mergeCell ref="B57:D57"/>
    <mergeCell ref="B30:D30"/>
    <mergeCell ref="I13:K13"/>
    <mergeCell ref="L18:O18"/>
    <mergeCell ref="E18:H18"/>
    <mergeCell ref="AE7:AE23"/>
    <mergeCell ref="AF7:AF10"/>
    <mergeCell ref="AF12:AF15"/>
    <mergeCell ref="AF16:AF19"/>
    <mergeCell ref="AF20:AF23"/>
    <mergeCell ref="Q20:Q77"/>
    <mergeCell ref="AF54:AF55"/>
    <mergeCell ref="AE58:AE74"/>
    <mergeCell ref="AF58:AF61"/>
    <mergeCell ref="AF62:AF65"/>
    <mergeCell ref="AF66:AF67"/>
    <mergeCell ref="AF71:AF74"/>
    <mergeCell ref="AF26:AF27"/>
    <mergeCell ref="I12:K12"/>
    <mergeCell ref="E82:H82"/>
    <mergeCell ref="L82:O82"/>
    <mergeCell ref="AF77:AF78"/>
    <mergeCell ref="B77:D77"/>
    <mergeCell ref="B71:D71"/>
    <mergeCell ref="Q78:Q80"/>
    <mergeCell ref="J20:J79"/>
    <mergeCell ref="AE32:AE51"/>
    <mergeCell ref="AF32:AF37"/>
    <mergeCell ref="AF38:AF41"/>
    <mergeCell ref="AF44:AF47"/>
    <mergeCell ref="AF48:AF51"/>
    <mergeCell ref="B68:D68"/>
    <mergeCell ref="B80:D80"/>
    <mergeCell ref="B81:D81"/>
    <mergeCell ref="B20:D20"/>
  </mergeCells>
  <conditionalFormatting sqref="I20 P20">
    <cfRule type="cellIs" dxfId="26" priority="71" operator="notEqual">
      <formula>$C$8</formula>
    </cfRule>
    <cfRule type="cellIs" dxfId="25" priority="81" operator="equal">
      <formula>$C$8</formula>
    </cfRule>
  </conditionalFormatting>
  <conditionalFormatting sqref="I32 P32">
    <cfRule type="cellIs" dxfId="24" priority="70" operator="notEqual">
      <formula>$C$10</formula>
    </cfRule>
    <cfRule type="cellIs" dxfId="23" priority="80" operator="equal">
      <formula>$C$10</formula>
    </cfRule>
  </conditionalFormatting>
  <conditionalFormatting sqref="I48 P48">
    <cfRule type="cellIs" dxfId="22" priority="69" operator="notEqual">
      <formula>$C$11</formula>
    </cfRule>
    <cfRule type="cellIs" dxfId="21" priority="79" operator="equal">
      <formula>$C$11</formula>
    </cfRule>
  </conditionalFormatting>
  <conditionalFormatting sqref="I57 P57 I30 P30">
    <cfRule type="cellIs" dxfId="20" priority="68" operator="notEqual">
      <formula>$C$12</formula>
    </cfRule>
    <cfRule type="cellIs" dxfId="19" priority="78" operator="equal">
      <formula>$C$12</formula>
    </cfRule>
  </conditionalFormatting>
  <conditionalFormatting sqref="I68 P68">
    <cfRule type="cellIs" dxfId="18" priority="66" operator="notEqual">
      <formula>$C$13</formula>
    </cfRule>
    <cfRule type="cellIs" dxfId="17" priority="76" operator="equal">
      <formula>$C$13</formula>
    </cfRule>
  </conditionalFormatting>
  <conditionalFormatting sqref="I71 P71">
    <cfRule type="cellIs" dxfId="16" priority="65" operator="notEqual">
      <formula>$C$14</formula>
    </cfRule>
    <cfRule type="cellIs" dxfId="15" priority="75" operator="equal">
      <formula>$C$14</formula>
    </cfRule>
  </conditionalFormatting>
  <conditionalFormatting sqref="I77 P77">
    <cfRule type="cellIs" dxfId="14" priority="64" operator="notEqual">
      <formula>$C$15</formula>
    </cfRule>
    <cfRule type="cellIs" dxfId="13" priority="74" operator="equal">
      <formula>$C$15</formula>
    </cfRule>
  </conditionalFormatting>
  <conditionalFormatting sqref="P20">
    <cfRule type="cellIs" dxfId="12" priority="73" operator="equal">
      <formula>$C$8</formula>
    </cfRule>
  </conditionalFormatting>
  <conditionalFormatting sqref="P32">
    <cfRule type="cellIs" dxfId="11" priority="72" operator="equal">
      <formula>$C$9</formula>
    </cfRule>
  </conditionalFormatting>
  <conditionalFormatting sqref="E82:H82 J20 Q20 L82:O82 Q79">
    <cfRule type="cellIs" dxfId="10" priority="44" operator="notEqual">
      <formula>$C$16</formula>
    </cfRule>
    <cfRule type="cellIs" dxfId="9" priority="45" operator="equal">
      <formula>$C$16</formula>
    </cfRule>
  </conditionalFormatting>
  <conditionalFormatting sqref="I21:I31 I33:I47 P21:P31 P33:P47 P80">
    <cfRule type="cellIs" dxfId="8" priority="41" operator="greaterThan">
      <formula>0</formula>
    </cfRule>
  </conditionalFormatting>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sheetPr codeName="Sheet7" filterMode="1">
    <pageSetUpPr fitToPage="1"/>
  </sheetPr>
  <dimension ref="A5:O381"/>
  <sheetViews>
    <sheetView zoomScale="70" zoomScaleNormal="70" workbookViewId="0">
      <pane ySplit="7" topLeftCell="A8" activePane="bottomLeft" state="frozen"/>
      <selection pane="bottomLeft" activeCell="E61" sqref="E61"/>
    </sheetView>
  </sheetViews>
  <sheetFormatPr defaultRowHeight="15"/>
  <cols>
    <col min="1" max="1" width="13.140625" style="112" customWidth="1"/>
    <col min="2" max="2" width="26.42578125" style="117" customWidth="1"/>
    <col min="3" max="3" width="22" style="117" customWidth="1"/>
    <col min="4" max="4" width="24" style="117" customWidth="1"/>
    <col min="5" max="5" width="16" style="112" customWidth="1"/>
    <col min="6" max="6" width="17.85546875" style="112" customWidth="1"/>
    <col min="7" max="7" width="46.7109375" style="117" customWidth="1"/>
    <col min="8" max="8" width="25.85546875" style="117" customWidth="1"/>
    <col min="9" max="9" width="14.5703125" style="117" customWidth="1"/>
    <col min="10" max="10" width="16" style="117" customWidth="1"/>
    <col min="11" max="11" width="42.85546875" style="117" customWidth="1"/>
    <col min="12" max="12" width="42.28515625" style="117" customWidth="1"/>
    <col min="13" max="13" width="39.28515625" style="117" customWidth="1"/>
    <col min="14" max="14" width="38.5703125" style="117" customWidth="1"/>
    <col min="15" max="15" width="9.140625" style="109" customWidth="1"/>
  </cols>
  <sheetData>
    <row r="5" spans="1:14" ht="15.75" thickBot="1"/>
    <row r="6" spans="1:14" ht="30.75" thickBot="1">
      <c r="A6" s="113" t="s">
        <v>0</v>
      </c>
      <c r="B6" s="118"/>
      <c r="C6" s="118"/>
      <c r="D6" s="119"/>
      <c r="E6" s="114"/>
      <c r="F6" s="5" t="s">
        <v>1</v>
      </c>
      <c r="G6" s="121"/>
      <c r="H6" s="120"/>
      <c r="I6" s="120"/>
      <c r="J6" s="120"/>
      <c r="K6" s="120"/>
      <c r="L6" s="122" t="s">
        <v>2</v>
      </c>
      <c r="M6" s="122"/>
      <c r="N6" s="122"/>
    </row>
    <row r="7" spans="1:14" ht="63.75">
      <c r="A7" s="9" t="s">
        <v>3</v>
      </c>
      <c r="B7" s="9" t="s">
        <v>4</v>
      </c>
      <c r="C7" s="9" t="s">
        <v>5</v>
      </c>
      <c r="D7" s="9" t="s">
        <v>6</v>
      </c>
      <c r="E7" s="9" t="s">
        <v>434</v>
      </c>
      <c r="F7" s="12" t="s">
        <v>579</v>
      </c>
      <c r="G7" s="12" t="s">
        <v>7</v>
      </c>
      <c r="H7" s="12" t="s">
        <v>8</v>
      </c>
      <c r="I7" s="12" t="s">
        <v>451</v>
      </c>
      <c r="J7" s="12" t="s">
        <v>450</v>
      </c>
      <c r="K7" s="12" t="s">
        <v>510</v>
      </c>
      <c r="L7" s="13" t="s">
        <v>9</v>
      </c>
      <c r="M7" s="13" t="s">
        <v>10</v>
      </c>
      <c r="N7" s="23" t="s">
        <v>11</v>
      </c>
    </row>
    <row r="8" spans="1:14" ht="150" hidden="1">
      <c r="A8" s="123">
        <v>48</v>
      </c>
      <c r="B8" s="123" t="s">
        <v>71</v>
      </c>
      <c r="C8" s="123" t="s">
        <v>463</v>
      </c>
      <c r="D8" s="123" t="s">
        <v>659</v>
      </c>
      <c r="E8" s="123" t="s">
        <v>431</v>
      </c>
      <c r="F8" s="115"/>
      <c r="G8" s="116" t="s">
        <v>660</v>
      </c>
      <c r="H8" s="116" t="s">
        <v>661</v>
      </c>
      <c r="I8" s="116" t="s">
        <v>594</v>
      </c>
      <c r="J8" s="116" t="s">
        <v>459</v>
      </c>
      <c r="K8" s="116" t="s">
        <v>662</v>
      </c>
      <c r="L8" s="116" t="s">
        <v>663</v>
      </c>
      <c r="M8" s="116" t="s">
        <v>664</v>
      </c>
      <c r="N8" s="116" t="s">
        <v>501</v>
      </c>
    </row>
    <row r="9" spans="1:14" ht="60" hidden="1">
      <c r="A9" s="123">
        <v>76</v>
      </c>
      <c r="B9" s="123" t="s">
        <v>106</v>
      </c>
      <c r="C9" s="123"/>
      <c r="D9" s="123"/>
      <c r="E9" s="123" t="s">
        <v>431</v>
      </c>
      <c r="F9" s="115"/>
      <c r="G9" s="116" t="s">
        <v>577</v>
      </c>
      <c r="H9" s="116" t="s">
        <v>661</v>
      </c>
      <c r="I9" s="116" t="s">
        <v>595</v>
      </c>
      <c r="J9" s="116" t="s">
        <v>468</v>
      </c>
      <c r="K9" s="116"/>
      <c r="L9" s="116" t="s">
        <v>577</v>
      </c>
      <c r="M9" s="116" t="s">
        <v>506</v>
      </c>
      <c r="N9" s="116" t="s">
        <v>501</v>
      </c>
    </row>
    <row r="10" spans="1:14" ht="120" hidden="1">
      <c r="A10" s="123">
        <v>77</v>
      </c>
      <c r="B10" s="123" t="s">
        <v>107</v>
      </c>
      <c r="C10" s="123" t="s">
        <v>502</v>
      </c>
      <c r="D10" s="123" t="s">
        <v>503</v>
      </c>
      <c r="E10" s="123" t="s">
        <v>431</v>
      </c>
      <c r="F10" s="115"/>
      <c r="G10" s="116" t="s">
        <v>577</v>
      </c>
      <c r="H10" s="116" t="s">
        <v>661</v>
      </c>
      <c r="I10" s="116" t="s">
        <v>594</v>
      </c>
      <c r="J10" s="116" t="s">
        <v>468</v>
      </c>
      <c r="K10" s="116" t="s">
        <v>666</v>
      </c>
      <c r="L10" s="116" t="s">
        <v>577</v>
      </c>
      <c r="M10" s="116" t="s">
        <v>506</v>
      </c>
      <c r="N10" s="116" t="s">
        <v>501</v>
      </c>
    </row>
    <row r="11" spans="1:14" ht="60" hidden="1">
      <c r="A11" s="123">
        <v>78</v>
      </c>
      <c r="B11" s="123" t="s">
        <v>108</v>
      </c>
      <c r="C11" s="123" t="s">
        <v>507</v>
      </c>
      <c r="D11" s="123" t="s">
        <v>508</v>
      </c>
      <c r="E11" s="123" t="s">
        <v>431</v>
      </c>
      <c r="F11" s="115"/>
      <c r="G11" s="116" t="s">
        <v>577</v>
      </c>
      <c r="H11" s="116" t="s">
        <v>661</v>
      </c>
      <c r="I11" s="116" t="s">
        <v>594</v>
      </c>
      <c r="J11" s="116" t="s">
        <v>468</v>
      </c>
      <c r="K11" s="116" t="s">
        <v>667</v>
      </c>
      <c r="L11" s="116" t="s">
        <v>577</v>
      </c>
      <c r="M11" s="116" t="s">
        <v>506</v>
      </c>
      <c r="N11" s="116" t="s">
        <v>501</v>
      </c>
    </row>
    <row r="12" spans="1:14" ht="60" hidden="1">
      <c r="A12" s="123">
        <v>80</v>
      </c>
      <c r="B12" s="123" t="s">
        <v>111</v>
      </c>
      <c r="C12" s="123">
        <v>55</v>
      </c>
      <c r="D12" s="123" t="s">
        <v>509</v>
      </c>
      <c r="E12" s="123" t="s">
        <v>431</v>
      </c>
      <c r="F12" s="115"/>
      <c r="G12" s="116" t="s">
        <v>577</v>
      </c>
      <c r="H12" s="116" t="s">
        <v>661</v>
      </c>
      <c r="I12" s="116" t="s">
        <v>595</v>
      </c>
      <c r="J12" s="116" t="s">
        <v>468</v>
      </c>
      <c r="K12" s="116"/>
      <c r="L12" s="116" t="s">
        <v>577</v>
      </c>
      <c r="M12" s="116" t="s">
        <v>506</v>
      </c>
      <c r="N12" s="116" t="s">
        <v>501</v>
      </c>
    </row>
    <row r="13" spans="1:14" ht="60" hidden="1">
      <c r="A13" s="123">
        <v>81</v>
      </c>
      <c r="B13" s="123" t="s">
        <v>112</v>
      </c>
      <c r="C13" s="123" t="s">
        <v>511</v>
      </c>
      <c r="D13" s="123" t="s">
        <v>512</v>
      </c>
      <c r="E13" s="123" t="s">
        <v>431</v>
      </c>
      <c r="F13" s="115"/>
      <c r="G13" s="116" t="s">
        <v>577</v>
      </c>
      <c r="H13" s="116" t="s">
        <v>661</v>
      </c>
      <c r="I13" s="116" t="s">
        <v>594</v>
      </c>
      <c r="J13" s="116" t="s">
        <v>468</v>
      </c>
      <c r="K13" s="116" t="s">
        <v>668</v>
      </c>
      <c r="L13" s="116" t="s">
        <v>577</v>
      </c>
      <c r="M13" s="116" t="s">
        <v>506</v>
      </c>
      <c r="N13" s="116" t="s">
        <v>501</v>
      </c>
    </row>
    <row r="14" spans="1:14" ht="75" hidden="1">
      <c r="A14" s="123">
        <v>82</v>
      </c>
      <c r="B14" s="123" t="s">
        <v>113</v>
      </c>
      <c r="C14" s="123" t="s">
        <v>409</v>
      </c>
      <c r="D14" s="123"/>
      <c r="E14" s="123" t="s">
        <v>431</v>
      </c>
      <c r="F14" s="115"/>
      <c r="G14" s="116" t="s">
        <v>831</v>
      </c>
      <c r="H14" s="116"/>
      <c r="I14" s="116" t="s">
        <v>595</v>
      </c>
      <c r="J14" s="116" t="s">
        <v>459</v>
      </c>
      <c r="K14" s="116" t="s">
        <v>832</v>
      </c>
      <c r="L14" s="116" t="s">
        <v>831</v>
      </c>
      <c r="M14" s="116"/>
      <c r="N14" s="116"/>
    </row>
    <row r="15" spans="1:14" ht="30" hidden="1">
      <c r="A15" s="123">
        <v>83</v>
      </c>
      <c r="B15" s="123" t="s">
        <v>115</v>
      </c>
      <c r="C15" s="123"/>
      <c r="D15" s="123" t="s">
        <v>514</v>
      </c>
      <c r="E15" s="123" t="s">
        <v>431</v>
      </c>
      <c r="F15" s="115"/>
      <c r="G15" s="116" t="s">
        <v>515</v>
      </c>
      <c r="H15" s="116"/>
      <c r="I15" s="116" t="s">
        <v>594</v>
      </c>
      <c r="J15" s="116" t="s">
        <v>459</v>
      </c>
      <c r="K15" s="116" t="s">
        <v>516</v>
      </c>
      <c r="L15" s="116" t="s">
        <v>517</v>
      </c>
      <c r="M15" s="116" t="s">
        <v>506</v>
      </c>
      <c r="N15" s="116"/>
    </row>
    <row r="16" spans="1:14" ht="30" hidden="1">
      <c r="A16" s="123">
        <v>84</v>
      </c>
      <c r="B16" s="123" t="s">
        <v>116</v>
      </c>
      <c r="C16" s="123"/>
      <c r="D16" s="123"/>
      <c r="E16" s="123" t="s">
        <v>431</v>
      </c>
      <c r="F16" s="115"/>
      <c r="G16" s="116" t="s">
        <v>517</v>
      </c>
      <c r="H16" s="116"/>
      <c r="I16" s="116" t="s">
        <v>595</v>
      </c>
      <c r="J16" s="116" t="s">
        <v>468</v>
      </c>
      <c r="K16" s="116"/>
      <c r="L16" s="116" t="s">
        <v>517</v>
      </c>
      <c r="M16" s="116" t="s">
        <v>506</v>
      </c>
      <c r="N16" s="116" t="s">
        <v>501</v>
      </c>
    </row>
    <row r="17" spans="1:14" ht="409.5">
      <c r="A17" s="123">
        <v>47</v>
      </c>
      <c r="B17" s="123" t="s">
        <v>69</v>
      </c>
      <c r="C17" s="123">
        <v>271</v>
      </c>
      <c r="D17" s="123" t="s">
        <v>70</v>
      </c>
      <c r="E17" s="123" t="s">
        <v>430</v>
      </c>
      <c r="F17" s="115"/>
      <c r="G17" s="116" t="s">
        <v>892</v>
      </c>
      <c r="H17" s="116" t="s">
        <v>439</v>
      </c>
      <c r="I17" s="116" t="s">
        <v>595</v>
      </c>
      <c r="J17" s="116" t="s">
        <v>468</v>
      </c>
      <c r="K17" s="116"/>
      <c r="L17" s="116" t="s">
        <v>497</v>
      </c>
      <c r="M17" s="116" t="s">
        <v>496</v>
      </c>
      <c r="N17" s="116"/>
    </row>
    <row r="18" spans="1:14" ht="60" hidden="1">
      <c r="A18" s="123">
        <v>100</v>
      </c>
      <c r="B18" s="123" t="s">
        <v>106</v>
      </c>
      <c r="C18" s="123"/>
      <c r="D18" s="123"/>
      <c r="E18" s="123" t="s">
        <v>438</v>
      </c>
      <c r="F18" s="115"/>
      <c r="G18" s="116"/>
      <c r="H18" s="116"/>
      <c r="I18" s="116" t="s">
        <v>595</v>
      </c>
      <c r="J18" s="116" t="s">
        <v>468</v>
      </c>
      <c r="K18" s="116"/>
      <c r="L18" s="116" t="s">
        <v>677</v>
      </c>
      <c r="M18" s="116" t="s">
        <v>671</v>
      </c>
      <c r="N18" s="116" t="s">
        <v>678</v>
      </c>
    </row>
    <row r="19" spans="1:14" ht="105" hidden="1">
      <c r="A19" s="123">
        <v>101</v>
      </c>
      <c r="B19" s="123" t="s">
        <v>133</v>
      </c>
      <c r="C19" s="123" t="s">
        <v>411</v>
      </c>
      <c r="D19" s="123"/>
      <c r="E19" s="123" t="s">
        <v>438</v>
      </c>
      <c r="F19" s="115"/>
      <c r="G19" s="116" t="s">
        <v>679</v>
      </c>
      <c r="H19" s="116" t="s">
        <v>680</v>
      </c>
      <c r="I19" s="116" t="s">
        <v>595</v>
      </c>
      <c r="J19" s="116" t="s">
        <v>468</v>
      </c>
      <c r="K19" s="116" t="s">
        <v>681</v>
      </c>
      <c r="L19" s="116" t="s">
        <v>677</v>
      </c>
      <c r="M19" s="116" t="s">
        <v>671</v>
      </c>
      <c r="N19" s="116" t="s">
        <v>678</v>
      </c>
    </row>
    <row r="20" spans="1:14" ht="45" hidden="1">
      <c r="A20" s="123">
        <v>102</v>
      </c>
      <c r="B20" s="123" t="s">
        <v>137</v>
      </c>
      <c r="C20" s="123"/>
      <c r="D20" s="123"/>
      <c r="E20" s="123" t="s">
        <v>438</v>
      </c>
      <c r="F20" s="115"/>
      <c r="G20" s="116" t="s">
        <v>682</v>
      </c>
      <c r="H20" s="116"/>
      <c r="I20" s="116" t="s">
        <v>595</v>
      </c>
      <c r="J20" s="116" t="s">
        <v>459</v>
      </c>
      <c r="K20" s="116" t="s">
        <v>683</v>
      </c>
      <c r="L20" s="116" t="s">
        <v>684</v>
      </c>
      <c r="M20" s="116" t="s">
        <v>671</v>
      </c>
      <c r="N20" s="116"/>
    </row>
    <row r="21" spans="1:14" ht="60" hidden="1">
      <c r="A21" s="123">
        <v>103</v>
      </c>
      <c r="B21" s="123" t="s">
        <v>138</v>
      </c>
      <c r="C21" s="123">
        <v>205</v>
      </c>
      <c r="D21" s="123" t="s">
        <v>139</v>
      </c>
      <c r="E21" s="123" t="s">
        <v>438</v>
      </c>
      <c r="F21" s="115"/>
      <c r="G21" s="116" t="s">
        <v>875</v>
      </c>
      <c r="H21" s="116" t="s">
        <v>680</v>
      </c>
      <c r="I21" s="116" t="s">
        <v>595</v>
      </c>
      <c r="J21" s="116" t="s">
        <v>468</v>
      </c>
      <c r="K21" s="116"/>
      <c r="L21" s="116" t="s">
        <v>876</v>
      </c>
      <c r="M21" s="116" t="s">
        <v>671</v>
      </c>
      <c r="N21" s="116" t="s">
        <v>691</v>
      </c>
    </row>
    <row r="22" spans="1:14" ht="120" hidden="1">
      <c r="A22" s="123">
        <v>104</v>
      </c>
      <c r="B22" s="123" t="s">
        <v>140</v>
      </c>
      <c r="C22" s="123">
        <v>90</v>
      </c>
      <c r="D22" s="123" t="s">
        <v>833</v>
      </c>
      <c r="E22" s="123" t="s">
        <v>438</v>
      </c>
      <c r="F22" s="115"/>
      <c r="G22" s="116" t="s">
        <v>119</v>
      </c>
      <c r="H22" s="116" t="s">
        <v>680</v>
      </c>
      <c r="I22" s="116" t="s">
        <v>595</v>
      </c>
      <c r="J22" s="116" t="s">
        <v>459</v>
      </c>
      <c r="K22" s="116" t="s">
        <v>834</v>
      </c>
      <c r="L22" s="116"/>
      <c r="M22" s="116"/>
      <c r="N22" s="116"/>
    </row>
    <row r="23" spans="1:14" ht="285" hidden="1">
      <c r="A23" s="123">
        <v>105</v>
      </c>
      <c r="B23" s="123" t="s">
        <v>144</v>
      </c>
      <c r="C23" s="123" t="s">
        <v>412</v>
      </c>
      <c r="D23" s="123" t="s">
        <v>835</v>
      </c>
      <c r="E23" s="123" t="s">
        <v>438</v>
      </c>
      <c r="F23" s="115"/>
      <c r="G23" s="116" t="s">
        <v>685</v>
      </c>
      <c r="H23" s="116" t="s">
        <v>680</v>
      </c>
      <c r="I23" s="116" t="s">
        <v>594</v>
      </c>
      <c r="J23" s="116" t="s">
        <v>459</v>
      </c>
      <c r="K23" s="116" t="s">
        <v>836</v>
      </c>
      <c r="L23" s="116" t="s">
        <v>837</v>
      </c>
      <c r="M23" s="116"/>
      <c r="N23" s="116"/>
    </row>
    <row r="24" spans="1:14" ht="45" hidden="1">
      <c r="A24" s="123">
        <v>106</v>
      </c>
      <c r="B24" s="123" t="s">
        <v>148</v>
      </c>
      <c r="C24" s="123">
        <v>172</v>
      </c>
      <c r="D24" s="123"/>
      <c r="E24" s="123" t="s">
        <v>438</v>
      </c>
      <c r="F24" s="115"/>
      <c r="G24" s="116"/>
      <c r="H24" s="116"/>
      <c r="I24" s="116" t="s">
        <v>595</v>
      </c>
      <c r="J24" s="116" t="s">
        <v>468</v>
      </c>
      <c r="K24" s="116" t="s">
        <v>686</v>
      </c>
      <c r="L24" s="116"/>
      <c r="M24" s="116"/>
      <c r="N24" s="116"/>
    </row>
    <row r="25" spans="1:14" ht="30" hidden="1">
      <c r="A25" s="123">
        <v>107</v>
      </c>
      <c r="B25" s="123" t="s">
        <v>149</v>
      </c>
      <c r="C25" s="123">
        <v>204</v>
      </c>
      <c r="D25" s="123"/>
      <c r="E25" s="123" t="s">
        <v>438</v>
      </c>
      <c r="F25" s="115"/>
      <c r="G25" s="116" t="s">
        <v>685</v>
      </c>
      <c r="H25" s="116" t="s">
        <v>680</v>
      </c>
      <c r="I25" s="116" t="s">
        <v>595</v>
      </c>
      <c r="J25" s="116" t="s">
        <v>468</v>
      </c>
      <c r="K25" s="116"/>
      <c r="L25" s="116" t="s">
        <v>687</v>
      </c>
      <c r="M25" s="116" t="s">
        <v>671</v>
      </c>
      <c r="N25" s="116" t="s">
        <v>678</v>
      </c>
    </row>
    <row r="26" spans="1:14" ht="60" hidden="1">
      <c r="A26" s="123">
        <v>108</v>
      </c>
      <c r="B26" s="123" t="s">
        <v>150</v>
      </c>
      <c r="C26" s="123" t="s">
        <v>413</v>
      </c>
      <c r="D26" s="123" t="s">
        <v>139</v>
      </c>
      <c r="E26" s="123" t="s">
        <v>438</v>
      </c>
      <c r="F26" s="115"/>
      <c r="G26" s="116"/>
      <c r="H26" s="116"/>
      <c r="I26" s="116" t="s">
        <v>595</v>
      </c>
      <c r="J26" s="116" t="s">
        <v>468</v>
      </c>
      <c r="K26" s="116"/>
      <c r="L26" s="116"/>
      <c r="M26" s="116"/>
      <c r="N26" s="116"/>
    </row>
    <row r="27" spans="1:14" ht="30" hidden="1">
      <c r="A27" s="123">
        <v>109</v>
      </c>
      <c r="B27" s="123" t="s">
        <v>151</v>
      </c>
      <c r="C27" s="123" t="s">
        <v>414</v>
      </c>
      <c r="D27" s="123"/>
      <c r="E27" s="123" t="s">
        <v>438</v>
      </c>
      <c r="F27" s="115"/>
      <c r="G27" s="116" t="s">
        <v>685</v>
      </c>
      <c r="H27" s="116" t="s">
        <v>680</v>
      </c>
      <c r="I27" s="116" t="s">
        <v>595</v>
      </c>
      <c r="J27" s="116" t="s">
        <v>468</v>
      </c>
      <c r="K27" s="116"/>
      <c r="L27" s="116" t="s">
        <v>876</v>
      </c>
      <c r="M27" s="116" t="s">
        <v>671</v>
      </c>
      <c r="N27" s="116" t="s">
        <v>691</v>
      </c>
    </row>
    <row r="28" spans="1:14" ht="60" hidden="1">
      <c r="A28" s="123">
        <v>110</v>
      </c>
      <c r="B28" s="123" t="s">
        <v>152</v>
      </c>
      <c r="C28" s="123"/>
      <c r="D28" s="123"/>
      <c r="E28" s="123" t="s">
        <v>438</v>
      </c>
      <c r="F28" s="115"/>
      <c r="G28" s="116"/>
      <c r="H28" s="116"/>
      <c r="I28" s="116" t="s">
        <v>595</v>
      </c>
      <c r="J28" s="116" t="s">
        <v>468</v>
      </c>
      <c r="K28" s="116"/>
      <c r="L28" s="116"/>
      <c r="M28" s="116"/>
      <c r="N28" s="116"/>
    </row>
    <row r="29" spans="1:14" ht="30" hidden="1">
      <c r="A29" s="123">
        <v>128</v>
      </c>
      <c r="B29" s="123" t="s">
        <v>106</v>
      </c>
      <c r="C29" s="123"/>
      <c r="D29" s="123"/>
      <c r="E29" s="123" t="s">
        <v>438</v>
      </c>
      <c r="F29" s="115"/>
      <c r="G29" s="116" t="s">
        <v>688</v>
      </c>
      <c r="H29" s="116" t="s">
        <v>689</v>
      </c>
      <c r="I29" s="116" t="s">
        <v>595</v>
      </c>
      <c r="J29" s="116" t="s">
        <v>468</v>
      </c>
      <c r="K29" s="116" t="s">
        <v>690</v>
      </c>
      <c r="L29" s="116" t="s">
        <v>688</v>
      </c>
      <c r="M29" s="116" t="s">
        <v>671</v>
      </c>
      <c r="N29" s="116" t="s">
        <v>691</v>
      </c>
    </row>
    <row r="30" spans="1:14" ht="30" hidden="1">
      <c r="A30" s="123">
        <v>129</v>
      </c>
      <c r="B30" s="123" t="s">
        <v>216</v>
      </c>
      <c r="C30" s="123" t="s">
        <v>419</v>
      </c>
      <c r="D30" s="123"/>
      <c r="E30" s="123" t="s">
        <v>438</v>
      </c>
      <c r="F30" s="115"/>
      <c r="G30" s="116" t="s">
        <v>688</v>
      </c>
      <c r="H30" s="116" t="s">
        <v>689</v>
      </c>
      <c r="I30" s="116" t="s">
        <v>595</v>
      </c>
      <c r="J30" s="116" t="s">
        <v>468</v>
      </c>
      <c r="K30" s="116" t="s">
        <v>690</v>
      </c>
      <c r="L30" s="116" t="s">
        <v>688</v>
      </c>
      <c r="M30" s="116" t="s">
        <v>671</v>
      </c>
      <c r="N30" s="116" t="s">
        <v>691</v>
      </c>
    </row>
    <row r="31" spans="1:14" ht="45" hidden="1">
      <c r="A31" s="123">
        <v>138</v>
      </c>
      <c r="B31" s="123" t="s">
        <v>228</v>
      </c>
      <c r="C31" s="123" t="s">
        <v>421</v>
      </c>
      <c r="D31" s="123"/>
      <c r="E31" s="123" t="s">
        <v>438</v>
      </c>
      <c r="F31" s="115"/>
      <c r="G31" s="116"/>
      <c r="H31" s="116"/>
      <c r="I31" s="116" t="s">
        <v>594</v>
      </c>
      <c r="J31" s="116" t="s">
        <v>459</v>
      </c>
      <c r="K31" s="116" t="s">
        <v>838</v>
      </c>
      <c r="L31" s="116" t="s">
        <v>839</v>
      </c>
      <c r="M31" s="116" t="s">
        <v>671</v>
      </c>
      <c r="N31" s="116" t="s">
        <v>691</v>
      </c>
    </row>
    <row r="32" spans="1:14" ht="45" hidden="1">
      <c r="A32" s="123">
        <v>139</v>
      </c>
      <c r="B32" s="123" t="s">
        <v>229</v>
      </c>
      <c r="C32" s="123"/>
      <c r="D32" s="123"/>
      <c r="E32" s="123" t="s">
        <v>438</v>
      </c>
      <c r="F32" s="115"/>
      <c r="G32" s="116"/>
      <c r="H32" s="116"/>
      <c r="I32" s="116" t="s">
        <v>594</v>
      </c>
      <c r="J32" s="116" t="s">
        <v>459</v>
      </c>
      <c r="K32" s="116" t="s">
        <v>877</v>
      </c>
      <c r="L32" s="116" t="s">
        <v>839</v>
      </c>
      <c r="M32" s="116" t="s">
        <v>671</v>
      </c>
      <c r="N32" s="116" t="s">
        <v>691</v>
      </c>
    </row>
    <row r="33" spans="1:14" ht="150" hidden="1">
      <c r="A33" s="123">
        <v>87</v>
      </c>
      <c r="B33" s="123" t="s">
        <v>118</v>
      </c>
      <c r="C33" s="123"/>
      <c r="D33" s="123"/>
      <c r="E33" s="123" t="s">
        <v>728</v>
      </c>
      <c r="F33" s="115"/>
      <c r="G33" s="116" t="s">
        <v>611</v>
      </c>
      <c r="H33" s="116" t="s">
        <v>552</v>
      </c>
      <c r="I33" s="116" t="s">
        <v>595</v>
      </c>
      <c r="J33" s="116" t="s">
        <v>459</v>
      </c>
      <c r="K33" s="116" t="s">
        <v>711</v>
      </c>
      <c r="L33" s="116" t="s">
        <v>601</v>
      </c>
      <c r="M33" s="116" t="s">
        <v>712</v>
      </c>
      <c r="N33" s="116" t="s">
        <v>713</v>
      </c>
    </row>
    <row r="34" spans="1:14" ht="150" hidden="1">
      <c r="A34" s="123">
        <v>88</v>
      </c>
      <c r="B34" s="123" t="s">
        <v>120</v>
      </c>
      <c r="C34" s="123">
        <v>68</v>
      </c>
      <c r="D34" s="123"/>
      <c r="E34" s="123" t="s">
        <v>728</v>
      </c>
      <c r="F34" s="115"/>
      <c r="G34" s="116" t="s">
        <v>611</v>
      </c>
      <c r="H34" s="116" t="s">
        <v>552</v>
      </c>
      <c r="I34" s="116" t="s">
        <v>595</v>
      </c>
      <c r="J34" s="116" t="s">
        <v>459</v>
      </c>
      <c r="K34" s="116" t="s">
        <v>711</v>
      </c>
      <c r="L34" s="116" t="s">
        <v>601</v>
      </c>
      <c r="M34" s="116" t="s">
        <v>712</v>
      </c>
      <c r="N34" s="116" t="s">
        <v>501</v>
      </c>
    </row>
    <row r="35" spans="1:14" ht="150" hidden="1">
      <c r="A35" s="123">
        <v>91</v>
      </c>
      <c r="B35" s="123" t="s">
        <v>125</v>
      </c>
      <c r="C35" s="123"/>
      <c r="D35" s="123"/>
      <c r="E35" s="123" t="s">
        <v>728</v>
      </c>
      <c r="F35" s="115"/>
      <c r="G35" s="116" t="s">
        <v>611</v>
      </c>
      <c r="H35" s="116" t="s">
        <v>552</v>
      </c>
      <c r="I35" s="116" t="s">
        <v>595</v>
      </c>
      <c r="J35" s="116" t="s">
        <v>459</v>
      </c>
      <c r="K35" s="116" t="s">
        <v>711</v>
      </c>
      <c r="L35" s="116" t="s">
        <v>601</v>
      </c>
      <c r="M35" s="116" t="s">
        <v>712</v>
      </c>
      <c r="N35" s="116" t="s">
        <v>501</v>
      </c>
    </row>
    <row r="36" spans="1:14" ht="150" hidden="1">
      <c r="A36" s="123">
        <v>93</v>
      </c>
      <c r="B36" s="123" t="s">
        <v>126</v>
      </c>
      <c r="C36" s="123" t="s">
        <v>445</v>
      </c>
      <c r="D36" s="123" t="s">
        <v>559</v>
      </c>
      <c r="E36" s="123" t="s">
        <v>728</v>
      </c>
      <c r="F36" s="115"/>
      <c r="G36" s="116" t="s">
        <v>611</v>
      </c>
      <c r="H36" s="116" t="s">
        <v>552</v>
      </c>
      <c r="I36" s="116" t="s">
        <v>595</v>
      </c>
      <c r="J36" s="116" t="s">
        <v>459</v>
      </c>
      <c r="K36" s="116" t="s">
        <v>711</v>
      </c>
      <c r="L36" s="116" t="s">
        <v>601</v>
      </c>
      <c r="M36" s="116" t="s">
        <v>712</v>
      </c>
      <c r="N36" s="116" t="s">
        <v>501</v>
      </c>
    </row>
    <row r="37" spans="1:14" ht="135" hidden="1">
      <c r="A37" s="123">
        <v>94</v>
      </c>
      <c r="B37" s="123" t="s">
        <v>128</v>
      </c>
      <c r="C37" s="123" t="s">
        <v>445</v>
      </c>
      <c r="D37" s="123" t="s">
        <v>560</v>
      </c>
      <c r="E37" s="123" t="s">
        <v>728</v>
      </c>
      <c r="F37" s="115"/>
      <c r="G37" s="116" t="s">
        <v>612</v>
      </c>
      <c r="H37" s="116" t="s">
        <v>552</v>
      </c>
      <c r="I37" s="116" t="s">
        <v>595</v>
      </c>
      <c r="J37" s="116" t="s">
        <v>459</v>
      </c>
      <c r="K37" s="116" t="s">
        <v>711</v>
      </c>
      <c r="L37" s="116" t="s">
        <v>601</v>
      </c>
      <c r="M37" s="116" t="s">
        <v>712</v>
      </c>
      <c r="N37" s="116" t="s">
        <v>501</v>
      </c>
    </row>
    <row r="38" spans="1:14" ht="150" hidden="1">
      <c r="A38" s="123">
        <v>95</v>
      </c>
      <c r="B38" s="123" t="s">
        <v>129</v>
      </c>
      <c r="C38" s="123" t="s">
        <v>445</v>
      </c>
      <c r="D38" s="123" t="s">
        <v>560</v>
      </c>
      <c r="E38" s="123" t="s">
        <v>728</v>
      </c>
      <c r="F38" s="115"/>
      <c r="G38" s="116" t="s">
        <v>611</v>
      </c>
      <c r="H38" s="116" t="s">
        <v>552</v>
      </c>
      <c r="I38" s="116" t="s">
        <v>595</v>
      </c>
      <c r="J38" s="116" t="s">
        <v>459</v>
      </c>
      <c r="K38" s="116" t="s">
        <v>711</v>
      </c>
      <c r="L38" s="116" t="s">
        <v>601</v>
      </c>
      <c r="M38" s="116" t="s">
        <v>712</v>
      </c>
      <c r="N38" s="116" t="s">
        <v>501</v>
      </c>
    </row>
    <row r="39" spans="1:14" ht="150" hidden="1">
      <c r="A39" s="123">
        <v>96</v>
      </c>
      <c r="B39" s="123" t="s">
        <v>130</v>
      </c>
      <c r="C39" s="123">
        <v>80</v>
      </c>
      <c r="D39" s="123" t="s">
        <v>122</v>
      </c>
      <c r="E39" s="123" t="s">
        <v>728</v>
      </c>
      <c r="F39" s="115"/>
      <c r="G39" s="116" t="s">
        <v>611</v>
      </c>
      <c r="H39" s="116" t="s">
        <v>552</v>
      </c>
      <c r="I39" s="116" t="s">
        <v>595</v>
      </c>
      <c r="J39" s="116" t="s">
        <v>459</v>
      </c>
      <c r="K39" s="116" t="s">
        <v>711</v>
      </c>
      <c r="L39" s="116" t="s">
        <v>601</v>
      </c>
      <c r="M39" s="116" t="s">
        <v>712</v>
      </c>
      <c r="N39" s="116" t="s">
        <v>501</v>
      </c>
    </row>
    <row r="40" spans="1:14" ht="75" hidden="1">
      <c r="A40" s="123">
        <v>98</v>
      </c>
      <c r="B40" s="123" t="s">
        <v>131</v>
      </c>
      <c r="C40" s="123" t="s">
        <v>446</v>
      </c>
      <c r="D40" s="123"/>
      <c r="E40" s="123" t="s">
        <v>728</v>
      </c>
      <c r="F40" s="115"/>
      <c r="G40" s="116" t="s">
        <v>557</v>
      </c>
      <c r="H40" s="116" t="s">
        <v>552</v>
      </c>
      <c r="I40" s="116" t="s">
        <v>595</v>
      </c>
      <c r="J40" s="116" t="s">
        <v>459</v>
      </c>
      <c r="K40" s="116" t="s">
        <v>711</v>
      </c>
      <c r="L40" s="116" t="s">
        <v>556</v>
      </c>
      <c r="M40" s="116" t="s">
        <v>712</v>
      </c>
      <c r="N40" s="116" t="s">
        <v>501</v>
      </c>
    </row>
    <row r="41" spans="1:14" ht="285" hidden="1">
      <c r="A41" s="123">
        <v>38</v>
      </c>
      <c r="B41" s="123" t="s">
        <v>55</v>
      </c>
      <c r="C41" s="123" t="s">
        <v>519</v>
      </c>
      <c r="D41" s="123"/>
      <c r="E41" s="123" t="s">
        <v>428</v>
      </c>
      <c r="F41" s="115"/>
      <c r="G41" s="116" t="s">
        <v>527</v>
      </c>
      <c r="H41" s="116" t="s">
        <v>893</v>
      </c>
      <c r="I41" s="116" t="s">
        <v>594</v>
      </c>
      <c r="J41" s="116" t="s">
        <v>459</v>
      </c>
      <c r="K41" s="116" t="s">
        <v>894</v>
      </c>
      <c r="L41" s="116" t="s">
        <v>895</v>
      </c>
      <c r="M41" s="116"/>
      <c r="N41" s="116" t="s">
        <v>68</v>
      </c>
    </row>
    <row r="42" spans="1:14" ht="409.5" hidden="1">
      <c r="A42" s="123">
        <v>41</v>
      </c>
      <c r="B42" s="123" t="s">
        <v>58</v>
      </c>
      <c r="C42" s="123" t="s">
        <v>522</v>
      </c>
      <c r="D42" s="123" t="s">
        <v>523</v>
      </c>
      <c r="E42" s="123" t="s">
        <v>428</v>
      </c>
      <c r="F42" s="115"/>
      <c r="G42" s="116" t="s">
        <v>896</v>
      </c>
      <c r="H42" s="116" t="s">
        <v>452</v>
      </c>
      <c r="I42" s="116" t="s">
        <v>593</v>
      </c>
      <c r="J42" s="116" t="s">
        <v>459</v>
      </c>
      <c r="K42" s="116" t="s">
        <v>897</v>
      </c>
      <c r="L42" s="116" t="s">
        <v>898</v>
      </c>
      <c r="M42" s="116" t="s">
        <v>899</v>
      </c>
      <c r="N42" s="116" t="s">
        <v>68</v>
      </c>
    </row>
    <row r="43" spans="1:14" ht="75" hidden="1">
      <c r="A43" s="123">
        <v>42</v>
      </c>
      <c r="B43" s="123" t="s">
        <v>59</v>
      </c>
      <c r="C43" s="123">
        <v>273</v>
      </c>
      <c r="D43" s="123" t="s">
        <v>524</v>
      </c>
      <c r="E43" s="123" t="s">
        <v>428</v>
      </c>
      <c r="F43" s="115"/>
      <c r="G43" s="116" t="s">
        <v>453</v>
      </c>
      <c r="H43" s="116" t="s">
        <v>441</v>
      </c>
      <c r="I43" s="116" t="s">
        <v>594</v>
      </c>
      <c r="J43" s="116" t="s">
        <v>459</v>
      </c>
      <c r="K43" s="116" t="s">
        <v>900</v>
      </c>
      <c r="L43" s="116" t="s">
        <v>454</v>
      </c>
      <c r="M43" s="116"/>
      <c r="N43" s="116" t="s">
        <v>901</v>
      </c>
    </row>
    <row r="44" spans="1:14" ht="240" hidden="1">
      <c r="A44" s="123">
        <v>46</v>
      </c>
      <c r="B44" s="123" t="s">
        <v>66</v>
      </c>
      <c r="C44" s="123" t="s">
        <v>405</v>
      </c>
      <c r="D44" s="123" t="s">
        <v>67</v>
      </c>
      <c r="E44" s="123" t="s">
        <v>428</v>
      </c>
      <c r="F44" s="115"/>
      <c r="G44" s="116" t="s">
        <v>902</v>
      </c>
      <c r="H44" s="116" t="s">
        <v>457</v>
      </c>
      <c r="I44" s="116" t="s">
        <v>593</v>
      </c>
      <c r="J44" s="116" t="s">
        <v>459</v>
      </c>
      <c r="K44" s="116" t="s">
        <v>903</v>
      </c>
      <c r="L44" s="116" t="s">
        <v>904</v>
      </c>
      <c r="M44" s="116" t="s">
        <v>899</v>
      </c>
      <c r="N44" s="116" t="s">
        <v>68</v>
      </c>
    </row>
    <row r="45" spans="1:14" ht="285" hidden="1">
      <c r="A45" s="123">
        <v>49</v>
      </c>
      <c r="B45" s="123" t="s">
        <v>73</v>
      </c>
      <c r="C45" s="123" t="s">
        <v>526</v>
      </c>
      <c r="D45" s="123" t="s">
        <v>74</v>
      </c>
      <c r="E45" s="123" t="s">
        <v>428</v>
      </c>
      <c r="F45" s="115"/>
      <c r="G45" s="116" t="s">
        <v>905</v>
      </c>
      <c r="H45" s="116" t="s">
        <v>692</v>
      </c>
      <c r="I45" s="116" t="s">
        <v>593</v>
      </c>
      <c r="J45" s="116" t="s">
        <v>459</v>
      </c>
      <c r="K45" s="116" t="s">
        <v>906</v>
      </c>
      <c r="L45" s="116" t="s">
        <v>907</v>
      </c>
      <c r="M45" s="116"/>
      <c r="N45" s="116" t="s">
        <v>693</v>
      </c>
    </row>
    <row r="46" spans="1:14" ht="210" hidden="1">
      <c r="A46" s="123">
        <v>136</v>
      </c>
      <c r="B46" s="123" t="s">
        <v>226</v>
      </c>
      <c r="C46" s="123"/>
      <c r="D46" s="123"/>
      <c r="E46" s="123" t="s">
        <v>428</v>
      </c>
      <c r="F46" s="115"/>
      <c r="G46" s="116" t="s">
        <v>908</v>
      </c>
      <c r="H46" s="116"/>
      <c r="I46" s="116" t="s">
        <v>593</v>
      </c>
      <c r="J46" s="116" t="s">
        <v>459</v>
      </c>
      <c r="K46" s="116" t="s">
        <v>909</v>
      </c>
      <c r="L46" s="116" t="s">
        <v>910</v>
      </c>
      <c r="M46" s="116"/>
      <c r="N46" s="116" t="s">
        <v>68</v>
      </c>
    </row>
    <row r="47" spans="1:14" ht="120" hidden="1">
      <c r="A47" s="123">
        <v>183</v>
      </c>
      <c r="B47" s="123" t="s">
        <v>271</v>
      </c>
      <c r="C47" s="123"/>
      <c r="D47" s="123"/>
      <c r="E47" s="123" t="s">
        <v>428</v>
      </c>
      <c r="F47" s="115"/>
      <c r="G47" s="116" t="s">
        <v>911</v>
      </c>
      <c r="H47" s="116"/>
      <c r="I47" s="116" t="s">
        <v>595</v>
      </c>
      <c r="J47" s="116" t="s">
        <v>468</v>
      </c>
      <c r="K47" s="116" t="s">
        <v>912</v>
      </c>
      <c r="L47" s="116" t="s">
        <v>911</v>
      </c>
      <c r="M47" s="116"/>
      <c r="N47" s="116"/>
    </row>
    <row r="48" spans="1:14" ht="135" hidden="1">
      <c r="A48" s="123">
        <v>184</v>
      </c>
      <c r="B48" s="123" t="s">
        <v>272</v>
      </c>
      <c r="C48" s="123"/>
      <c r="D48" s="123"/>
      <c r="E48" s="123" t="s">
        <v>428</v>
      </c>
      <c r="F48" s="115"/>
      <c r="G48" s="116" t="s">
        <v>891</v>
      </c>
      <c r="H48" s="116"/>
      <c r="I48" s="116" t="s">
        <v>595</v>
      </c>
      <c r="J48" s="116" t="s">
        <v>468</v>
      </c>
      <c r="K48" s="116" t="s">
        <v>913</v>
      </c>
      <c r="L48" s="116" t="s">
        <v>891</v>
      </c>
      <c r="M48" s="116"/>
      <c r="N48" s="116"/>
    </row>
    <row r="49" spans="1:14" ht="30" hidden="1">
      <c r="A49" s="123">
        <v>189</v>
      </c>
      <c r="B49" s="123" t="s">
        <v>277</v>
      </c>
      <c r="C49" s="123"/>
      <c r="D49" s="123"/>
      <c r="E49" s="123" t="s">
        <v>428</v>
      </c>
      <c r="F49" s="115"/>
      <c r="G49" s="116" t="s">
        <v>587</v>
      </c>
      <c r="H49" s="116"/>
      <c r="I49" s="116" t="s">
        <v>595</v>
      </c>
      <c r="J49" s="116" t="s">
        <v>468</v>
      </c>
      <c r="K49" s="116" t="s">
        <v>587</v>
      </c>
      <c r="L49" s="116"/>
      <c r="M49" s="116"/>
      <c r="N49" s="116"/>
    </row>
    <row r="50" spans="1:14" ht="75" hidden="1">
      <c r="A50" s="123">
        <v>257</v>
      </c>
      <c r="B50" s="123" t="s">
        <v>344</v>
      </c>
      <c r="C50" s="123"/>
      <c r="D50" s="123"/>
      <c r="E50" s="123" t="s">
        <v>428</v>
      </c>
      <c r="F50" s="115"/>
      <c r="G50" s="116" t="s">
        <v>453</v>
      </c>
      <c r="H50" s="116" t="s">
        <v>441</v>
      </c>
      <c r="I50" s="116" t="s">
        <v>594</v>
      </c>
      <c r="J50" s="116" t="s">
        <v>459</v>
      </c>
      <c r="K50" s="116" t="s">
        <v>900</v>
      </c>
      <c r="L50" s="116" t="s">
        <v>454</v>
      </c>
      <c r="M50" s="116" t="s">
        <v>443</v>
      </c>
      <c r="N50" s="116" t="s">
        <v>68</v>
      </c>
    </row>
    <row r="51" spans="1:14" ht="180" hidden="1">
      <c r="A51" s="123">
        <v>132</v>
      </c>
      <c r="B51" s="123" t="s">
        <v>218</v>
      </c>
      <c r="C51" s="123"/>
      <c r="D51" s="123" t="s">
        <v>219</v>
      </c>
      <c r="E51" s="123" t="s">
        <v>437</v>
      </c>
      <c r="F51" s="115"/>
      <c r="G51" s="116" t="s">
        <v>696</v>
      </c>
      <c r="H51" s="116" t="s">
        <v>697</v>
      </c>
      <c r="I51" s="116" t="s">
        <v>595</v>
      </c>
      <c r="J51" s="116" t="s">
        <v>459</v>
      </c>
      <c r="K51" s="116" t="s">
        <v>698</v>
      </c>
      <c r="L51" s="116" t="s">
        <v>699</v>
      </c>
      <c r="M51" s="116" t="s">
        <v>718</v>
      </c>
      <c r="N51" s="116" t="s">
        <v>719</v>
      </c>
    </row>
    <row r="52" spans="1:14" ht="180" hidden="1">
      <c r="A52" s="123">
        <v>134</v>
      </c>
      <c r="B52" s="123" t="s">
        <v>225</v>
      </c>
      <c r="C52" s="123"/>
      <c r="D52" s="123"/>
      <c r="E52" s="123" t="s">
        <v>437</v>
      </c>
      <c r="F52" s="115"/>
      <c r="G52" s="116" t="s">
        <v>700</v>
      </c>
      <c r="H52" s="116" t="s">
        <v>697</v>
      </c>
      <c r="I52" s="116" t="s">
        <v>595</v>
      </c>
      <c r="J52" s="116" t="s">
        <v>459</v>
      </c>
      <c r="K52" s="116" t="s">
        <v>698</v>
      </c>
      <c r="L52" s="116" t="s">
        <v>699</v>
      </c>
      <c r="M52" s="116" t="s">
        <v>718</v>
      </c>
      <c r="N52" s="116" t="s">
        <v>719</v>
      </c>
    </row>
    <row r="53" spans="1:14" ht="120" hidden="1">
      <c r="A53" s="123">
        <v>35</v>
      </c>
      <c r="B53" s="123" t="s">
        <v>50</v>
      </c>
      <c r="C53" s="123" t="s">
        <v>401</v>
      </c>
      <c r="D53" s="123"/>
      <c r="E53" s="123" t="s">
        <v>432</v>
      </c>
      <c r="F53" s="115"/>
      <c r="G53" s="116" t="s">
        <v>701</v>
      </c>
      <c r="H53" s="116" t="s">
        <v>702</v>
      </c>
      <c r="I53" s="116" t="s">
        <v>593</v>
      </c>
      <c r="J53" s="116" t="s">
        <v>462</v>
      </c>
      <c r="K53" s="116" t="s">
        <v>703</v>
      </c>
      <c r="L53" s="116" t="s">
        <v>704</v>
      </c>
      <c r="M53" s="116" t="s">
        <v>720</v>
      </c>
      <c r="N53" s="116" t="s">
        <v>721</v>
      </c>
    </row>
    <row r="54" spans="1:14" ht="60" hidden="1">
      <c r="A54" s="123">
        <v>51</v>
      </c>
      <c r="B54" s="123" t="s">
        <v>77</v>
      </c>
      <c r="C54" s="123" t="s">
        <v>406</v>
      </c>
      <c r="D54" s="123"/>
      <c r="E54" s="123" t="s">
        <v>432</v>
      </c>
      <c r="F54" s="115"/>
      <c r="G54" s="116" t="s">
        <v>722</v>
      </c>
      <c r="H54" s="116" t="s">
        <v>705</v>
      </c>
      <c r="I54" s="116" t="s">
        <v>593</v>
      </c>
      <c r="J54" s="116" t="s">
        <v>462</v>
      </c>
      <c r="K54" s="116" t="s">
        <v>706</v>
      </c>
      <c r="L54" s="116" t="s">
        <v>707</v>
      </c>
      <c r="M54" s="116" t="s">
        <v>720</v>
      </c>
      <c r="N54" s="116" t="s">
        <v>721</v>
      </c>
    </row>
    <row r="55" spans="1:14" ht="60" hidden="1">
      <c r="A55" s="123">
        <v>54</v>
      </c>
      <c r="B55" s="123" t="s">
        <v>82</v>
      </c>
      <c r="C55" s="123" t="s">
        <v>407</v>
      </c>
      <c r="D55" s="123"/>
      <c r="E55" s="123" t="s">
        <v>432</v>
      </c>
      <c r="F55" s="115"/>
      <c r="G55" s="116" t="s">
        <v>493</v>
      </c>
      <c r="H55" s="116"/>
      <c r="I55" s="116" t="s">
        <v>593</v>
      </c>
      <c r="J55" s="116" t="s">
        <v>462</v>
      </c>
      <c r="K55" s="116" t="s">
        <v>550</v>
      </c>
      <c r="L55" s="116" t="s">
        <v>707</v>
      </c>
      <c r="M55" s="116" t="s">
        <v>720</v>
      </c>
      <c r="N55" s="116" t="s">
        <v>721</v>
      </c>
    </row>
    <row r="56" spans="1:14" ht="60" hidden="1">
      <c r="A56" s="123">
        <v>55</v>
      </c>
      <c r="B56" s="123" t="s">
        <v>83</v>
      </c>
      <c r="C56" s="123"/>
      <c r="D56" s="123"/>
      <c r="E56" s="123" t="s">
        <v>432</v>
      </c>
      <c r="F56" s="115"/>
      <c r="G56" s="116" t="s">
        <v>493</v>
      </c>
      <c r="H56" s="116"/>
      <c r="I56" s="116" t="s">
        <v>593</v>
      </c>
      <c r="J56" s="116" t="s">
        <v>462</v>
      </c>
      <c r="K56" s="116" t="s">
        <v>708</v>
      </c>
      <c r="L56" s="116" t="s">
        <v>709</v>
      </c>
      <c r="M56" s="116" t="s">
        <v>720</v>
      </c>
      <c r="N56" s="116" t="s">
        <v>721</v>
      </c>
    </row>
    <row r="57" spans="1:14" ht="90" hidden="1">
      <c r="A57" s="123">
        <v>75</v>
      </c>
      <c r="B57" s="123" t="s">
        <v>104</v>
      </c>
      <c r="C57" s="123" t="s">
        <v>408</v>
      </c>
      <c r="D57" s="123"/>
      <c r="E57" s="123" t="s">
        <v>432</v>
      </c>
      <c r="F57" s="115"/>
      <c r="G57" s="116" t="s">
        <v>105</v>
      </c>
      <c r="H57" s="116" t="s">
        <v>440</v>
      </c>
      <c r="I57" s="116" t="s">
        <v>594</v>
      </c>
      <c r="J57" s="116" t="s">
        <v>459</v>
      </c>
      <c r="K57" s="116" t="s">
        <v>723</v>
      </c>
      <c r="L57" s="116" t="s">
        <v>724</v>
      </c>
      <c r="M57" s="116" t="s">
        <v>725</v>
      </c>
      <c r="N57" s="116" t="s">
        <v>726</v>
      </c>
    </row>
    <row r="58" spans="1:14" ht="409.5" hidden="1">
      <c r="A58" s="123">
        <v>44</v>
      </c>
      <c r="B58" s="123" t="s">
        <v>61</v>
      </c>
      <c r="C58" s="123" t="s">
        <v>403</v>
      </c>
      <c r="D58" s="123" t="s">
        <v>489</v>
      </c>
      <c r="E58" s="123" t="s">
        <v>429</v>
      </c>
      <c r="F58" s="115"/>
      <c r="G58" s="116" t="s">
        <v>914</v>
      </c>
      <c r="H58" s="116" t="s">
        <v>915</v>
      </c>
      <c r="I58" s="116" t="s">
        <v>636</v>
      </c>
      <c r="J58" s="116" t="s">
        <v>636</v>
      </c>
      <c r="K58" s="116" t="s">
        <v>916</v>
      </c>
      <c r="L58" s="116" t="s">
        <v>917</v>
      </c>
      <c r="M58" s="116" t="s">
        <v>918</v>
      </c>
      <c r="N58" s="116" t="s">
        <v>919</v>
      </c>
    </row>
    <row r="59" spans="1:14" ht="300" hidden="1">
      <c r="A59" s="123">
        <v>45</v>
      </c>
      <c r="B59" s="123" t="s">
        <v>65</v>
      </c>
      <c r="C59" s="123" t="s">
        <v>404</v>
      </c>
      <c r="D59" s="123" t="s">
        <v>62</v>
      </c>
      <c r="E59" s="123" t="s">
        <v>429</v>
      </c>
      <c r="F59" s="115"/>
      <c r="G59" s="116" t="s">
        <v>920</v>
      </c>
      <c r="H59" s="116" t="s">
        <v>893</v>
      </c>
      <c r="I59" s="116" t="s">
        <v>594</v>
      </c>
      <c r="J59" s="116" t="s">
        <v>459</v>
      </c>
      <c r="K59" s="116" t="s">
        <v>921</v>
      </c>
      <c r="L59" s="116" t="s">
        <v>922</v>
      </c>
      <c r="M59" s="116" t="s">
        <v>465</v>
      </c>
      <c r="N59" s="116" t="s">
        <v>923</v>
      </c>
    </row>
    <row r="60" spans="1:14">
      <c r="A60"/>
      <c r="B60"/>
      <c r="C60"/>
      <c r="D60"/>
      <c r="E60"/>
      <c r="F60"/>
      <c r="G60"/>
      <c r="H60"/>
      <c r="I60"/>
      <c r="J60"/>
      <c r="K60"/>
      <c r="L60"/>
      <c r="M60"/>
      <c r="N60"/>
    </row>
    <row r="61" spans="1:14">
      <c r="A61"/>
      <c r="B61"/>
      <c r="C61"/>
      <c r="D61"/>
      <c r="E61"/>
      <c r="F61"/>
      <c r="G61"/>
      <c r="H61"/>
      <c r="I61"/>
      <c r="J61"/>
      <c r="K61"/>
      <c r="L61"/>
      <c r="M61"/>
      <c r="N61"/>
    </row>
    <row r="62" spans="1:14">
      <c r="A62"/>
      <c r="B62"/>
      <c r="C62"/>
      <c r="D62"/>
      <c r="E62"/>
      <c r="F62"/>
      <c r="G62"/>
      <c r="H62"/>
      <c r="I62"/>
      <c r="J62"/>
      <c r="K62"/>
      <c r="L62"/>
      <c r="M62"/>
      <c r="N62"/>
    </row>
    <row r="63" spans="1:14">
      <c r="A63"/>
      <c r="B63"/>
      <c r="C63"/>
      <c r="D63"/>
      <c r="E63"/>
      <c r="F63"/>
      <c r="G63"/>
      <c r="H63"/>
      <c r="I63"/>
      <c r="J63"/>
      <c r="K63"/>
      <c r="L63"/>
      <c r="M63"/>
      <c r="N63"/>
    </row>
    <row r="64" spans="1:14">
      <c r="A64"/>
      <c r="B64"/>
      <c r="C64"/>
      <c r="D64"/>
      <c r="E64"/>
      <c r="F64"/>
      <c r="G64"/>
      <c r="H64"/>
      <c r="I64"/>
      <c r="J64"/>
      <c r="K64"/>
      <c r="L64"/>
      <c r="M64"/>
      <c r="N64"/>
    </row>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spans="1:14" customFormat="1">
      <c r="A161" s="123"/>
      <c r="B161" s="123"/>
      <c r="C161" s="123"/>
      <c r="D161" s="123"/>
      <c r="E161" s="123"/>
      <c r="F161" s="115"/>
      <c r="G161" s="116"/>
      <c r="H161" s="116"/>
      <c r="I161" s="116"/>
      <c r="J161" s="116"/>
      <c r="K161" s="116"/>
      <c r="L161" s="116"/>
      <c r="M161" s="116"/>
      <c r="N161" s="116"/>
    </row>
    <row r="162" spans="1:14" customFormat="1">
      <c r="A162" s="123"/>
      <c r="B162" s="123"/>
      <c r="C162" s="123"/>
      <c r="D162" s="123"/>
      <c r="E162" s="123"/>
      <c r="F162" s="115"/>
      <c r="G162" s="116"/>
      <c r="H162" s="116"/>
      <c r="I162" s="116"/>
      <c r="J162" s="116"/>
      <c r="K162" s="116"/>
      <c r="L162" s="116"/>
      <c r="M162" s="116"/>
      <c r="N162" s="116"/>
    </row>
    <row r="163" spans="1:14" customFormat="1">
      <c r="A163" s="123"/>
      <c r="B163" s="123"/>
      <c r="C163" s="123"/>
      <c r="D163" s="123"/>
      <c r="E163" s="123"/>
      <c r="F163" s="115"/>
      <c r="G163" s="116"/>
      <c r="H163" s="116"/>
      <c r="I163" s="116"/>
      <c r="J163" s="116"/>
      <c r="K163" s="116"/>
      <c r="L163" s="116"/>
      <c r="M163" s="116"/>
      <c r="N163" s="116"/>
    </row>
    <row r="164" spans="1:14" customFormat="1">
      <c r="A164" s="123"/>
      <c r="B164" s="123"/>
      <c r="C164" s="123"/>
      <c r="D164" s="123"/>
      <c r="E164" s="123"/>
      <c r="F164" s="115"/>
      <c r="G164" s="116"/>
      <c r="H164" s="116"/>
      <c r="I164" s="116"/>
      <c r="J164" s="116"/>
      <c r="K164" s="116"/>
      <c r="L164" s="116"/>
      <c r="M164" s="116"/>
      <c r="N164" s="116"/>
    </row>
    <row r="165" spans="1:14" customFormat="1">
      <c r="A165" s="123"/>
      <c r="B165" s="123"/>
      <c r="C165" s="123"/>
      <c r="D165" s="123"/>
      <c r="E165" s="123"/>
      <c r="F165" s="115"/>
      <c r="G165" s="116"/>
      <c r="H165" s="116"/>
      <c r="I165" s="116"/>
      <c r="J165" s="116"/>
      <c r="K165" s="116"/>
      <c r="L165" s="116"/>
      <c r="M165" s="116"/>
      <c r="N165" s="116"/>
    </row>
    <row r="166" spans="1:14" customFormat="1">
      <c r="A166" s="123"/>
      <c r="B166" s="123"/>
      <c r="C166" s="123"/>
      <c r="D166" s="123"/>
      <c r="E166" s="123"/>
      <c r="F166" s="115"/>
      <c r="G166" s="116"/>
      <c r="H166" s="116"/>
      <c r="I166" s="116"/>
      <c r="J166" s="116"/>
      <c r="K166" s="116"/>
      <c r="L166" s="116"/>
      <c r="M166" s="116"/>
      <c r="N166" s="116"/>
    </row>
    <row r="167" spans="1:14" customFormat="1">
      <c r="A167" s="123"/>
      <c r="B167" s="123"/>
      <c r="C167" s="123"/>
      <c r="D167" s="123"/>
      <c r="E167" s="123"/>
      <c r="F167" s="115"/>
      <c r="G167" s="116"/>
      <c r="H167" s="116"/>
      <c r="I167" s="116"/>
      <c r="J167" s="116"/>
      <c r="K167" s="116"/>
      <c r="L167" s="116"/>
      <c r="M167" s="116"/>
      <c r="N167" s="116"/>
    </row>
    <row r="168" spans="1:14" customFormat="1">
      <c r="A168" s="123"/>
      <c r="B168" s="123"/>
      <c r="C168" s="123"/>
      <c r="D168" s="123"/>
      <c r="E168" s="123"/>
      <c r="F168" s="115"/>
      <c r="G168" s="116"/>
      <c r="H168" s="116"/>
      <c r="I168" s="116"/>
      <c r="J168" s="116"/>
      <c r="K168" s="116"/>
      <c r="L168" s="116"/>
      <c r="M168" s="116"/>
      <c r="N168" s="116"/>
    </row>
    <row r="169" spans="1:14" customFormat="1">
      <c r="A169" s="123"/>
      <c r="B169" s="123"/>
      <c r="C169" s="123"/>
      <c r="D169" s="123"/>
      <c r="E169" s="123"/>
      <c r="F169" s="115"/>
      <c r="G169" s="116"/>
      <c r="H169" s="116"/>
      <c r="I169" s="116"/>
      <c r="J169" s="116"/>
      <c r="K169" s="116"/>
      <c r="L169" s="116"/>
      <c r="M169" s="116"/>
      <c r="N169" s="116"/>
    </row>
    <row r="170" spans="1:14" customFormat="1">
      <c r="A170" s="123"/>
      <c r="B170" s="123"/>
      <c r="C170" s="123"/>
      <c r="D170" s="123"/>
      <c r="E170" s="123"/>
      <c r="F170" s="115"/>
      <c r="G170" s="116"/>
      <c r="H170" s="116"/>
      <c r="I170" s="116"/>
      <c r="J170" s="116"/>
      <c r="K170" s="116"/>
      <c r="L170" s="116"/>
      <c r="M170" s="116"/>
      <c r="N170" s="116"/>
    </row>
    <row r="171" spans="1:14" customFormat="1">
      <c r="A171" s="123"/>
      <c r="B171" s="123"/>
      <c r="C171" s="123"/>
      <c r="D171" s="123"/>
      <c r="E171" s="123"/>
      <c r="F171" s="115"/>
      <c r="G171" s="116"/>
      <c r="H171" s="116"/>
      <c r="I171" s="116"/>
      <c r="J171" s="116"/>
      <c r="K171" s="116"/>
      <c r="L171" s="116"/>
      <c r="M171" s="116"/>
      <c r="N171" s="116"/>
    </row>
    <row r="172" spans="1:14" customFormat="1">
      <c r="A172" s="123"/>
      <c r="B172" s="123"/>
      <c r="C172" s="123"/>
      <c r="D172" s="123"/>
      <c r="E172" s="123"/>
      <c r="F172" s="115"/>
      <c r="G172" s="116"/>
      <c r="H172" s="116"/>
      <c r="I172" s="116"/>
      <c r="J172" s="116"/>
      <c r="K172" s="116"/>
      <c r="L172" s="116"/>
      <c r="M172" s="116"/>
      <c r="N172" s="116"/>
    </row>
    <row r="173" spans="1:14" customFormat="1">
      <c r="A173" s="123"/>
      <c r="B173" s="123"/>
      <c r="C173" s="123"/>
      <c r="D173" s="123"/>
      <c r="E173" s="123"/>
      <c r="F173" s="115"/>
      <c r="G173" s="116"/>
      <c r="H173" s="116"/>
      <c r="I173" s="116"/>
      <c r="J173" s="116"/>
      <c r="K173" s="116"/>
      <c r="L173" s="116"/>
      <c r="M173" s="116"/>
      <c r="N173" s="116"/>
    </row>
    <row r="174" spans="1:14" customFormat="1">
      <c r="A174" s="123"/>
      <c r="B174" s="123"/>
      <c r="C174" s="123"/>
      <c r="D174" s="123"/>
      <c r="E174" s="123"/>
      <c r="F174" s="115"/>
      <c r="G174" s="116"/>
      <c r="H174" s="116"/>
      <c r="I174" s="116"/>
      <c r="J174" s="116"/>
      <c r="K174" s="116"/>
      <c r="L174" s="116"/>
      <c r="M174" s="116"/>
      <c r="N174" s="116"/>
    </row>
    <row r="175" spans="1:14" customFormat="1">
      <c r="A175" s="123"/>
      <c r="B175" s="123"/>
      <c r="C175" s="123"/>
      <c r="D175" s="123"/>
      <c r="E175" s="123"/>
      <c r="F175" s="115"/>
      <c r="G175" s="116"/>
      <c r="H175" s="116"/>
      <c r="I175" s="116"/>
      <c r="J175" s="116"/>
      <c r="K175" s="116"/>
      <c r="L175" s="116"/>
      <c r="M175" s="116"/>
      <c r="N175" s="116"/>
    </row>
    <row r="176" spans="1:14" customFormat="1">
      <c r="A176" s="123"/>
      <c r="B176" s="123"/>
      <c r="C176" s="123"/>
      <c r="D176" s="123"/>
      <c r="E176" s="123"/>
      <c r="F176" s="115"/>
      <c r="G176" s="116"/>
      <c r="H176" s="116"/>
      <c r="I176" s="116"/>
      <c r="J176" s="116"/>
      <c r="K176" s="116"/>
      <c r="L176" s="116"/>
      <c r="M176" s="116"/>
      <c r="N176" s="116"/>
    </row>
    <row r="177" spans="1:14" customFormat="1">
      <c r="A177" s="123"/>
      <c r="B177" s="123"/>
      <c r="C177" s="123"/>
      <c r="D177" s="123"/>
      <c r="E177" s="123"/>
      <c r="F177" s="115"/>
      <c r="G177" s="116"/>
      <c r="H177" s="116"/>
      <c r="I177" s="116"/>
      <c r="J177" s="116"/>
      <c r="K177" s="116"/>
      <c r="L177" s="116"/>
      <c r="M177" s="116"/>
      <c r="N177" s="116"/>
    </row>
    <row r="178" spans="1:14" customFormat="1">
      <c r="A178" s="123"/>
      <c r="B178" s="123"/>
      <c r="C178" s="123"/>
      <c r="D178" s="123"/>
      <c r="E178" s="123"/>
      <c r="F178" s="115"/>
      <c r="G178" s="116"/>
      <c r="H178" s="116"/>
      <c r="I178" s="116"/>
      <c r="J178" s="116"/>
      <c r="K178" s="116"/>
      <c r="L178" s="116"/>
      <c r="M178" s="116"/>
      <c r="N178" s="116"/>
    </row>
    <row r="179" spans="1:14" customFormat="1">
      <c r="A179" s="123"/>
      <c r="B179" s="123"/>
      <c r="C179" s="123"/>
      <c r="D179" s="123"/>
      <c r="E179" s="123"/>
      <c r="F179" s="115"/>
      <c r="G179" s="116"/>
      <c r="H179" s="116"/>
      <c r="I179" s="116"/>
      <c r="J179" s="116"/>
      <c r="K179" s="116"/>
      <c r="L179" s="116"/>
      <c r="M179" s="116"/>
      <c r="N179" s="116"/>
    </row>
    <row r="180" spans="1:14" customFormat="1">
      <c r="A180" s="123"/>
      <c r="B180" s="123"/>
      <c r="C180" s="123"/>
      <c r="D180" s="123"/>
      <c r="E180" s="123"/>
      <c r="F180" s="115"/>
      <c r="G180" s="116"/>
      <c r="H180" s="116"/>
      <c r="I180" s="116"/>
      <c r="J180" s="116"/>
      <c r="K180" s="116"/>
      <c r="L180" s="116"/>
      <c r="M180" s="116"/>
      <c r="N180" s="116"/>
    </row>
    <row r="181" spans="1:14" customFormat="1">
      <c r="A181" s="123"/>
      <c r="B181" s="123"/>
      <c r="C181" s="123"/>
      <c r="D181" s="123"/>
      <c r="E181" s="123"/>
      <c r="F181" s="115"/>
      <c r="G181" s="116"/>
      <c r="H181" s="116"/>
      <c r="I181" s="116"/>
      <c r="J181" s="116"/>
      <c r="K181" s="116"/>
      <c r="L181" s="116"/>
      <c r="M181" s="116"/>
      <c r="N181" s="116"/>
    </row>
    <row r="182" spans="1:14" customFormat="1">
      <c r="A182" s="123"/>
      <c r="B182" s="123"/>
      <c r="C182" s="123"/>
      <c r="D182" s="123"/>
      <c r="E182" s="123"/>
      <c r="F182" s="115"/>
      <c r="G182" s="116"/>
      <c r="H182" s="116"/>
      <c r="I182" s="116"/>
      <c r="J182" s="116"/>
      <c r="K182" s="116"/>
      <c r="L182" s="116"/>
      <c r="M182" s="116"/>
      <c r="N182" s="116"/>
    </row>
    <row r="183" spans="1:14" customFormat="1">
      <c r="A183" s="123"/>
      <c r="B183" s="123"/>
      <c r="C183" s="123"/>
      <c r="D183" s="123"/>
      <c r="E183" s="123"/>
      <c r="F183" s="115"/>
      <c r="G183" s="116"/>
      <c r="H183" s="116"/>
      <c r="I183" s="116"/>
      <c r="J183" s="116"/>
      <c r="K183" s="116"/>
      <c r="L183" s="116"/>
      <c r="M183" s="116"/>
      <c r="N183" s="116"/>
    </row>
    <row r="184" spans="1:14" customFormat="1">
      <c r="A184" s="123"/>
      <c r="B184" s="123"/>
      <c r="C184" s="123"/>
      <c r="D184" s="123"/>
      <c r="E184" s="123"/>
      <c r="F184" s="115"/>
      <c r="G184" s="116"/>
      <c r="H184" s="116"/>
      <c r="I184" s="116"/>
      <c r="J184" s="116"/>
      <c r="K184" s="116"/>
      <c r="L184" s="116"/>
      <c r="M184" s="116"/>
      <c r="N184" s="116"/>
    </row>
    <row r="185" spans="1:14" customFormat="1">
      <c r="A185" s="123"/>
      <c r="B185" s="123"/>
      <c r="C185" s="123"/>
      <c r="D185" s="123"/>
      <c r="E185" s="123"/>
      <c r="F185" s="115"/>
      <c r="G185" s="116"/>
      <c r="H185" s="116"/>
      <c r="I185" s="116"/>
      <c r="J185" s="116"/>
      <c r="K185" s="116"/>
      <c r="L185" s="116"/>
      <c r="M185" s="116"/>
      <c r="N185" s="116"/>
    </row>
    <row r="186" spans="1:14" customFormat="1">
      <c r="A186" s="123"/>
      <c r="B186" s="123"/>
      <c r="C186" s="123"/>
      <c r="D186" s="123"/>
      <c r="E186" s="123"/>
      <c r="F186" s="115"/>
      <c r="G186" s="116"/>
      <c r="H186" s="116"/>
      <c r="I186" s="116"/>
      <c r="J186" s="116"/>
      <c r="K186" s="116"/>
      <c r="L186" s="116"/>
      <c r="M186" s="116"/>
      <c r="N186" s="116"/>
    </row>
    <row r="187" spans="1:14" customFormat="1">
      <c r="A187" s="123"/>
      <c r="B187" s="123"/>
      <c r="C187" s="123"/>
      <c r="D187" s="123"/>
      <c r="E187" s="123"/>
      <c r="F187" s="115"/>
      <c r="G187" s="116"/>
      <c r="H187" s="116"/>
      <c r="I187" s="116"/>
      <c r="J187" s="116"/>
      <c r="K187" s="116"/>
      <c r="L187" s="116"/>
      <c r="M187" s="116"/>
      <c r="N187" s="116"/>
    </row>
    <row r="188" spans="1:14" customFormat="1">
      <c r="A188" s="123"/>
      <c r="B188" s="123"/>
      <c r="C188" s="123"/>
      <c r="D188" s="123"/>
      <c r="E188" s="123"/>
      <c r="F188" s="115"/>
      <c r="G188" s="116"/>
      <c r="H188" s="116"/>
      <c r="I188" s="116"/>
      <c r="J188" s="116"/>
      <c r="K188" s="116"/>
      <c r="L188" s="116"/>
      <c r="M188" s="116"/>
      <c r="N188" s="116"/>
    </row>
    <row r="189" spans="1:14" customFormat="1">
      <c r="A189" s="123"/>
      <c r="B189" s="123"/>
      <c r="C189" s="123"/>
      <c r="D189" s="123"/>
      <c r="E189" s="123"/>
      <c r="F189" s="115"/>
      <c r="G189" s="116"/>
      <c r="H189" s="116"/>
      <c r="I189" s="116"/>
      <c r="J189" s="116"/>
      <c r="K189" s="116"/>
      <c r="L189" s="116"/>
      <c r="M189" s="116"/>
      <c r="N189" s="116"/>
    </row>
    <row r="190" spans="1:14" customFormat="1">
      <c r="A190" s="123"/>
      <c r="B190" s="123"/>
      <c r="C190" s="123"/>
      <c r="D190" s="123"/>
      <c r="E190" s="123"/>
      <c r="F190" s="115"/>
      <c r="G190" s="116"/>
      <c r="H190" s="116"/>
      <c r="I190" s="116"/>
      <c r="J190" s="116"/>
      <c r="K190" s="116"/>
      <c r="L190" s="116"/>
      <c r="M190" s="116"/>
      <c r="N190" s="116"/>
    </row>
    <row r="191" spans="1:14" customFormat="1">
      <c r="A191" s="123"/>
      <c r="B191" s="123"/>
      <c r="C191" s="123"/>
      <c r="D191" s="123"/>
      <c r="E191" s="123"/>
      <c r="F191" s="115"/>
      <c r="G191" s="116"/>
      <c r="H191" s="116"/>
      <c r="I191" s="116"/>
      <c r="J191" s="116"/>
      <c r="K191" s="116"/>
      <c r="L191" s="116"/>
      <c r="M191" s="116"/>
      <c r="N191" s="116"/>
    </row>
    <row r="192" spans="1:14" customFormat="1">
      <c r="A192" s="123"/>
      <c r="B192" s="123"/>
      <c r="C192" s="123"/>
      <c r="D192" s="123"/>
      <c r="E192" s="123"/>
      <c r="F192" s="115"/>
      <c r="G192" s="116"/>
      <c r="H192" s="116"/>
      <c r="I192" s="116"/>
      <c r="J192" s="116"/>
      <c r="K192" s="116"/>
      <c r="L192" s="116"/>
      <c r="M192" s="116"/>
      <c r="N192" s="116"/>
    </row>
    <row r="193" spans="1:14" customFormat="1">
      <c r="A193" s="123"/>
      <c r="B193" s="123"/>
      <c r="C193" s="123"/>
      <c r="D193" s="123"/>
      <c r="E193" s="123"/>
      <c r="F193" s="115"/>
      <c r="G193" s="116"/>
      <c r="H193" s="116"/>
      <c r="I193" s="116"/>
      <c r="J193" s="116"/>
      <c r="K193" s="116"/>
      <c r="L193" s="116"/>
      <c r="M193" s="116"/>
      <c r="N193" s="116"/>
    </row>
    <row r="194" spans="1:14" customFormat="1">
      <c r="A194" s="123"/>
      <c r="B194" s="123"/>
      <c r="C194" s="123"/>
      <c r="D194" s="123"/>
      <c r="E194" s="123"/>
      <c r="F194" s="115"/>
      <c r="G194" s="116"/>
      <c r="H194" s="116"/>
      <c r="I194" s="116"/>
      <c r="J194" s="116"/>
      <c r="K194" s="116"/>
      <c r="L194" s="116"/>
      <c r="M194" s="116"/>
      <c r="N194" s="116"/>
    </row>
    <row r="195" spans="1:14" customFormat="1">
      <c r="A195" s="123"/>
      <c r="B195" s="123"/>
      <c r="C195" s="123"/>
      <c r="D195" s="123"/>
      <c r="E195" s="123"/>
      <c r="F195" s="115"/>
      <c r="G195" s="116"/>
      <c r="H195" s="116"/>
      <c r="I195" s="116"/>
      <c r="J195" s="116"/>
      <c r="K195" s="116"/>
      <c r="L195" s="116"/>
      <c r="M195" s="116"/>
      <c r="N195" s="116"/>
    </row>
    <row r="196" spans="1:14" customFormat="1">
      <c r="A196" s="123"/>
      <c r="B196" s="123"/>
      <c r="C196" s="123"/>
      <c r="D196" s="123"/>
      <c r="E196" s="123"/>
      <c r="F196" s="115"/>
      <c r="G196" s="116"/>
      <c r="H196" s="116"/>
      <c r="I196" s="116"/>
      <c r="J196" s="116"/>
      <c r="K196" s="116"/>
      <c r="L196" s="116"/>
      <c r="M196" s="116"/>
      <c r="N196" s="116"/>
    </row>
    <row r="197" spans="1:14" customFormat="1">
      <c r="A197" s="123"/>
      <c r="B197" s="123"/>
      <c r="C197" s="123"/>
      <c r="D197" s="123"/>
      <c r="E197" s="123"/>
      <c r="F197" s="115"/>
      <c r="G197" s="116"/>
      <c r="H197" s="116"/>
      <c r="I197" s="116"/>
      <c r="J197" s="116"/>
      <c r="K197" s="116"/>
      <c r="L197" s="116"/>
      <c r="M197" s="116"/>
      <c r="N197" s="116"/>
    </row>
    <row r="198" spans="1:14" customFormat="1">
      <c r="A198" s="123"/>
      <c r="B198" s="123"/>
      <c r="C198" s="123"/>
      <c r="D198" s="123"/>
      <c r="E198" s="123"/>
      <c r="F198" s="115"/>
      <c r="G198" s="116"/>
      <c r="H198" s="116"/>
      <c r="I198" s="116"/>
      <c r="J198" s="116"/>
      <c r="K198" s="116"/>
      <c r="L198" s="116"/>
      <c r="M198" s="116"/>
      <c r="N198" s="116"/>
    </row>
    <row r="199" spans="1:14" customFormat="1">
      <c r="A199" s="123"/>
      <c r="B199" s="123"/>
      <c r="C199" s="123"/>
      <c r="D199" s="123"/>
      <c r="E199" s="123"/>
      <c r="F199" s="115"/>
      <c r="G199" s="116"/>
      <c r="H199" s="116"/>
      <c r="I199" s="116"/>
      <c r="J199" s="116"/>
      <c r="K199" s="116"/>
      <c r="L199" s="116"/>
      <c r="M199" s="116"/>
      <c r="N199" s="116"/>
    </row>
    <row r="200" spans="1:14" customFormat="1">
      <c r="A200" s="123"/>
      <c r="B200" s="123"/>
      <c r="C200" s="123"/>
      <c r="D200" s="123"/>
      <c r="E200" s="123"/>
      <c r="F200" s="115"/>
      <c r="G200" s="116"/>
      <c r="H200" s="116"/>
      <c r="I200" s="116"/>
      <c r="J200" s="116"/>
      <c r="K200" s="116"/>
      <c r="L200" s="116"/>
      <c r="M200" s="116"/>
      <c r="N200" s="116"/>
    </row>
    <row r="201" spans="1:14" customFormat="1">
      <c r="A201" s="123"/>
      <c r="B201" s="123"/>
      <c r="C201" s="123"/>
      <c r="D201" s="123"/>
      <c r="E201" s="123"/>
      <c r="F201" s="115"/>
      <c r="G201" s="116"/>
      <c r="H201" s="116"/>
      <c r="I201" s="116"/>
      <c r="J201" s="116"/>
      <c r="K201" s="116"/>
      <c r="L201" s="116"/>
      <c r="M201" s="116"/>
      <c r="N201" s="116"/>
    </row>
    <row r="202" spans="1:14" customFormat="1">
      <c r="A202" s="123"/>
      <c r="B202" s="123"/>
      <c r="C202" s="123"/>
      <c r="D202" s="123"/>
      <c r="E202" s="123"/>
      <c r="F202" s="115"/>
      <c r="G202" s="116"/>
      <c r="H202" s="116"/>
      <c r="I202" s="116"/>
      <c r="J202" s="116"/>
      <c r="K202" s="116"/>
      <c r="L202" s="116"/>
      <c r="M202" s="116"/>
      <c r="N202" s="116"/>
    </row>
    <row r="203" spans="1:14" customFormat="1">
      <c r="A203" s="123"/>
      <c r="B203" s="123"/>
      <c r="C203" s="123"/>
      <c r="D203" s="123"/>
      <c r="E203" s="123"/>
      <c r="F203" s="115"/>
      <c r="G203" s="116"/>
      <c r="H203" s="116"/>
      <c r="I203" s="116"/>
      <c r="J203" s="116"/>
      <c r="K203" s="116"/>
      <c r="L203" s="116"/>
      <c r="M203" s="116"/>
      <c r="N203" s="116"/>
    </row>
    <row r="204" spans="1:14" customFormat="1">
      <c r="A204" s="123"/>
      <c r="B204" s="123"/>
      <c r="C204" s="123"/>
      <c r="D204" s="123"/>
      <c r="E204" s="123"/>
      <c r="F204" s="115"/>
      <c r="G204" s="116"/>
      <c r="H204" s="116"/>
      <c r="I204" s="116"/>
      <c r="J204" s="116"/>
      <c r="K204" s="116"/>
      <c r="L204" s="116"/>
      <c r="M204" s="116"/>
      <c r="N204" s="116"/>
    </row>
    <row r="205" spans="1:14" customFormat="1">
      <c r="A205" s="123"/>
      <c r="B205" s="123"/>
      <c r="C205" s="123"/>
      <c r="D205" s="123"/>
      <c r="E205" s="123"/>
      <c r="F205" s="115"/>
      <c r="G205" s="116"/>
      <c r="H205" s="116"/>
      <c r="I205" s="116"/>
      <c r="J205" s="116"/>
      <c r="K205" s="116"/>
      <c r="L205" s="116"/>
      <c r="M205" s="116"/>
      <c r="N205" s="116"/>
    </row>
    <row r="206" spans="1:14" customFormat="1">
      <c r="A206" s="123"/>
      <c r="B206" s="123"/>
      <c r="C206" s="123"/>
      <c r="D206" s="123"/>
      <c r="E206" s="123"/>
      <c r="F206" s="115"/>
      <c r="G206" s="116"/>
      <c r="H206" s="116"/>
      <c r="I206" s="116"/>
      <c r="J206" s="116"/>
      <c r="K206" s="116"/>
      <c r="L206" s="116"/>
      <c r="M206" s="116"/>
      <c r="N206" s="116"/>
    </row>
    <row r="207" spans="1:14" customFormat="1">
      <c r="A207" s="123"/>
      <c r="B207" s="123"/>
      <c r="C207" s="123"/>
      <c r="D207" s="123"/>
      <c r="E207" s="123"/>
      <c r="F207" s="115"/>
      <c r="G207" s="116"/>
      <c r="H207" s="116"/>
      <c r="I207" s="116"/>
      <c r="J207" s="116"/>
      <c r="K207" s="116"/>
      <c r="L207" s="116"/>
      <c r="M207" s="116"/>
      <c r="N207" s="116"/>
    </row>
    <row r="208" spans="1:14" customFormat="1">
      <c r="A208" s="123"/>
      <c r="B208" s="123"/>
      <c r="C208" s="123"/>
      <c r="D208" s="123"/>
      <c r="E208" s="123"/>
      <c r="F208" s="115"/>
      <c r="G208" s="116"/>
      <c r="H208" s="116"/>
      <c r="I208" s="116"/>
      <c r="J208" s="116"/>
      <c r="K208" s="116"/>
      <c r="L208" s="116"/>
      <c r="M208" s="116"/>
      <c r="N208" s="116"/>
    </row>
    <row r="209" spans="1:14" customFormat="1">
      <c r="A209" s="123"/>
      <c r="B209" s="123"/>
      <c r="C209" s="123"/>
      <c r="D209" s="123"/>
      <c r="E209" s="123"/>
      <c r="F209" s="115"/>
      <c r="G209" s="116"/>
      <c r="H209" s="116"/>
      <c r="I209" s="116"/>
      <c r="J209" s="116"/>
      <c r="K209" s="116"/>
      <c r="L209" s="116"/>
      <c r="M209" s="116"/>
      <c r="N209" s="116"/>
    </row>
    <row r="210" spans="1:14" customFormat="1">
      <c r="A210" s="123"/>
      <c r="B210" s="123"/>
      <c r="C210" s="123"/>
      <c r="D210" s="123"/>
      <c r="E210" s="123"/>
      <c r="F210" s="115"/>
      <c r="G210" s="116"/>
      <c r="H210" s="116"/>
      <c r="I210" s="116"/>
      <c r="J210" s="116"/>
      <c r="K210" s="116"/>
      <c r="L210" s="116"/>
      <c r="M210" s="116"/>
      <c r="N210" s="116"/>
    </row>
    <row r="211" spans="1:14" customFormat="1">
      <c r="A211" s="115"/>
      <c r="B211" s="116"/>
      <c r="C211" s="116"/>
      <c r="D211" s="116"/>
      <c r="E211" s="115"/>
      <c r="F211" s="115"/>
      <c r="G211" s="116"/>
      <c r="H211" s="116"/>
      <c r="I211" s="116"/>
      <c r="J211" s="116"/>
      <c r="K211" s="116"/>
      <c r="L211" s="116"/>
      <c r="M211" s="116"/>
      <c r="N211" s="116"/>
    </row>
    <row r="212" spans="1:14" customFormat="1">
      <c r="A212" s="115"/>
      <c r="B212" s="116"/>
      <c r="C212" s="116"/>
      <c r="D212" s="116"/>
      <c r="E212" s="115"/>
      <c r="F212" s="115"/>
      <c r="G212" s="116"/>
      <c r="H212" s="116"/>
      <c r="I212" s="116"/>
      <c r="J212" s="116"/>
      <c r="K212" s="116"/>
      <c r="L212" s="116"/>
      <c r="M212" s="116"/>
      <c r="N212" s="116"/>
    </row>
    <row r="213" spans="1:14" customFormat="1">
      <c r="A213" s="115"/>
      <c r="B213" s="116"/>
      <c r="C213" s="116"/>
      <c r="D213" s="116"/>
      <c r="E213" s="115"/>
      <c r="F213" s="115"/>
      <c r="G213" s="116"/>
      <c r="H213" s="116"/>
      <c r="I213" s="116"/>
      <c r="J213" s="116"/>
      <c r="K213" s="116"/>
      <c r="L213" s="116"/>
      <c r="M213" s="116"/>
      <c r="N213" s="116"/>
    </row>
    <row r="214" spans="1:14" customFormat="1">
      <c r="A214" s="115"/>
      <c r="B214" s="116"/>
      <c r="C214" s="116"/>
      <c r="D214" s="116"/>
      <c r="E214" s="115"/>
      <c r="F214" s="115"/>
      <c r="G214" s="116"/>
      <c r="H214" s="116"/>
      <c r="I214" s="116"/>
      <c r="J214" s="116"/>
      <c r="K214" s="116"/>
      <c r="L214" s="116"/>
      <c r="M214" s="116"/>
      <c r="N214" s="116"/>
    </row>
    <row r="215" spans="1:14" customFormat="1">
      <c r="A215" s="115"/>
      <c r="B215" s="116"/>
      <c r="C215" s="116"/>
      <c r="D215" s="116"/>
      <c r="E215" s="115"/>
      <c r="F215" s="115"/>
      <c r="G215" s="116"/>
      <c r="H215" s="116"/>
      <c r="I215" s="116"/>
      <c r="J215" s="116"/>
      <c r="K215" s="116"/>
      <c r="L215" s="116"/>
      <c r="M215" s="116"/>
      <c r="N215" s="116"/>
    </row>
    <row r="216" spans="1:14" customFormat="1">
      <c r="A216" s="115"/>
      <c r="B216" s="116"/>
      <c r="C216" s="116"/>
      <c r="D216" s="116"/>
      <c r="E216" s="115"/>
      <c r="F216" s="115"/>
      <c r="G216" s="116"/>
      <c r="H216" s="116"/>
      <c r="I216" s="116"/>
      <c r="J216" s="116"/>
      <c r="K216" s="116"/>
      <c r="L216" s="116"/>
      <c r="M216" s="116"/>
      <c r="N216" s="116"/>
    </row>
    <row r="217" spans="1:14" customFormat="1">
      <c r="A217" s="115"/>
      <c r="B217" s="116"/>
      <c r="C217" s="116"/>
      <c r="D217" s="116"/>
      <c r="E217" s="115"/>
      <c r="F217" s="115"/>
      <c r="G217" s="116"/>
      <c r="H217" s="116"/>
      <c r="I217" s="116"/>
      <c r="J217" s="116"/>
      <c r="K217" s="116"/>
      <c r="L217" s="116"/>
      <c r="M217" s="116"/>
      <c r="N217" s="116"/>
    </row>
    <row r="218" spans="1:14" customFormat="1">
      <c r="A218" s="115"/>
      <c r="B218" s="116"/>
      <c r="C218" s="116"/>
      <c r="D218" s="116"/>
      <c r="E218" s="115"/>
      <c r="F218" s="115"/>
      <c r="G218" s="116"/>
      <c r="H218" s="116"/>
      <c r="I218" s="116"/>
      <c r="J218" s="116"/>
      <c r="K218" s="116"/>
      <c r="L218" s="116"/>
      <c r="M218" s="116"/>
      <c r="N218" s="116"/>
    </row>
    <row r="219" spans="1:14" customFormat="1">
      <c r="A219" s="115"/>
      <c r="B219" s="116"/>
      <c r="C219" s="116"/>
      <c r="D219" s="116"/>
      <c r="E219" s="115"/>
      <c r="F219" s="115"/>
      <c r="G219" s="116"/>
      <c r="H219" s="116"/>
      <c r="I219" s="116"/>
      <c r="J219" s="116"/>
      <c r="K219" s="116"/>
      <c r="L219" s="116"/>
      <c r="M219" s="116"/>
      <c r="N219" s="116"/>
    </row>
    <row r="220" spans="1:14" customFormat="1">
      <c r="A220" s="115"/>
      <c r="B220" s="116"/>
      <c r="C220" s="116"/>
      <c r="D220" s="116"/>
      <c r="E220" s="115"/>
      <c r="F220" s="115"/>
      <c r="G220" s="116"/>
      <c r="H220" s="116"/>
      <c r="I220" s="116"/>
      <c r="J220" s="116"/>
      <c r="K220" s="116"/>
      <c r="L220" s="116"/>
      <c r="M220" s="116"/>
      <c r="N220" s="116"/>
    </row>
    <row r="221" spans="1:14" customFormat="1">
      <c r="A221" s="115"/>
      <c r="B221" s="116"/>
      <c r="C221" s="116"/>
      <c r="D221" s="116"/>
      <c r="E221" s="115"/>
      <c r="F221" s="115"/>
      <c r="G221" s="116"/>
      <c r="H221" s="116"/>
      <c r="I221" s="116"/>
      <c r="J221" s="116"/>
      <c r="K221" s="116"/>
      <c r="L221" s="116"/>
      <c r="M221" s="116"/>
      <c r="N221" s="116"/>
    </row>
    <row r="222" spans="1:14" customFormat="1">
      <c r="A222" s="115"/>
      <c r="B222" s="116"/>
      <c r="C222" s="116"/>
      <c r="D222" s="116"/>
      <c r="E222" s="115"/>
      <c r="F222" s="115"/>
      <c r="G222" s="116"/>
      <c r="H222" s="116"/>
      <c r="I222" s="116"/>
      <c r="J222" s="116"/>
      <c r="K222" s="116"/>
      <c r="L222" s="116"/>
      <c r="M222" s="116"/>
      <c r="N222" s="116"/>
    </row>
    <row r="223" spans="1:14" customFormat="1">
      <c r="A223" s="115"/>
      <c r="B223" s="116"/>
      <c r="C223" s="116"/>
      <c r="D223" s="116"/>
      <c r="E223" s="115"/>
      <c r="F223" s="115"/>
      <c r="G223" s="116"/>
      <c r="H223" s="116"/>
      <c r="I223" s="116"/>
      <c r="J223" s="116"/>
      <c r="K223" s="116"/>
      <c r="L223" s="116"/>
      <c r="M223" s="116"/>
      <c r="N223" s="116"/>
    </row>
    <row r="224" spans="1:14" customFormat="1">
      <c r="A224" s="115"/>
      <c r="B224" s="116"/>
      <c r="C224" s="116"/>
      <c r="D224" s="116"/>
      <c r="E224" s="115"/>
      <c r="F224" s="115"/>
      <c r="G224" s="116"/>
      <c r="H224" s="116"/>
      <c r="I224" s="116"/>
      <c r="J224" s="116"/>
      <c r="K224" s="116"/>
      <c r="L224" s="116"/>
      <c r="M224" s="116"/>
      <c r="N224" s="116"/>
    </row>
    <row r="225" spans="1:14" customFormat="1">
      <c r="A225" s="115"/>
      <c r="B225" s="116"/>
      <c r="C225" s="116"/>
      <c r="D225" s="116"/>
      <c r="E225" s="115"/>
      <c r="F225" s="115"/>
      <c r="G225" s="116"/>
      <c r="H225" s="116"/>
      <c r="I225" s="116"/>
      <c r="J225" s="116"/>
      <c r="K225" s="116"/>
      <c r="L225" s="116"/>
      <c r="M225" s="116"/>
      <c r="N225" s="116"/>
    </row>
    <row r="226" spans="1:14" customFormat="1">
      <c r="A226" s="115"/>
      <c r="B226" s="116"/>
      <c r="C226" s="116"/>
      <c r="D226" s="116"/>
      <c r="E226" s="115"/>
      <c r="F226" s="115"/>
      <c r="G226" s="116"/>
      <c r="H226" s="116"/>
      <c r="I226" s="116"/>
      <c r="J226" s="116"/>
      <c r="K226" s="116"/>
      <c r="L226" s="116"/>
      <c r="M226" s="116"/>
      <c r="N226" s="116"/>
    </row>
    <row r="227" spans="1:14" customFormat="1">
      <c r="A227" s="115"/>
      <c r="B227" s="116"/>
      <c r="C227" s="116"/>
      <c r="D227" s="116"/>
      <c r="E227" s="115"/>
      <c r="F227" s="115"/>
      <c r="G227" s="116"/>
      <c r="H227" s="116"/>
      <c r="I227" s="116"/>
      <c r="J227" s="116"/>
      <c r="K227" s="116"/>
      <c r="L227" s="116"/>
      <c r="M227" s="116"/>
      <c r="N227" s="116"/>
    </row>
    <row r="228" spans="1:14" customFormat="1">
      <c r="A228" s="115"/>
      <c r="B228" s="116"/>
      <c r="C228" s="116"/>
      <c r="D228" s="116"/>
      <c r="E228" s="115"/>
      <c r="F228" s="115"/>
      <c r="G228" s="116"/>
      <c r="H228" s="116"/>
      <c r="I228" s="116"/>
      <c r="J228" s="116"/>
      <c r="K228" s="116"/>
      <c r="L228" s="116"/>
      <c r="M228" s="116"/>
      <c r="N228" s="116"/>
    </row>
    <row r="229" spans="1:14" customFormat="1">
      <c r="A229" s="115"/>
      <c r="B229" s="116"/>
      <c r="C229" s="116"/>
      <c r="D229" s="116"/>
      <c r="E229" s="115"/>
      <c r="F229" s="115"/>
      <c r="G229" s="116"/>
      <c r="H229" s="116"/>
      <c r="I229" s="116"/>
      <c r="J229" s="116"/>
      <c r="K229" s="116"/>
      <c r="L229" s="116"/>
      <c r="M229" s="116"/>
      <c r="N229" s="116"/>
    </row>
    <row r="230" spans="1:14" customFormat="1">
      <c r="A230" s="115"/>
      <c r="B230" s="116"/>
      <c r="C230" s="116"/>
      <c r="D230" s="116"/>
      <c r="E230" s="115"/>
      <c r="F230" s="115"/>
      <c r="G230" s="116"/>
      <c r="H230" s="116"/>
      <c r="I230" s="116"/>
      <c r="J230" s="116"/>
      <c r="K230" s="116"/>
      <c r="L230" s="116"/>
      <c r="M230" s="116"/>
      <c r="N230" s="116"/>
    </row>
    <row r="231" spans="1:14" customFormat="1">
      <c r="A231" s="115"/>
      <c r="B231" s="116"/>
      <c r="C231" s="116"/>
      <c r="D231" s="116"/>
      <c r="E231" s="115"/>
      <c r="F231" s="115"/>
      <c r="G231" s="116"/>
      <c r="H231" s="116"/>
      <c r="I231" s="116"/>
      <c r="J231" s="116"/>
      <c r="K231" s="116"/>
      <c r="L231" s="116"/>
      <c r="M231" s="116"/>
      <c r="N231" s="116"/>
    </row>
    <row r="232" spans="1:14" customFormat="1">
      <c r="A232" s="115"/>
      <c r="B232" s="116"/>
      <c r="C232" s="116"/>
      <c r="D232" s="116"/>
      <c r="E232" s="115"/>
      <c r="F232" s="115"/>
      <c r="G232" s="116"/>
      <c r="H232" s="116"/>
      <c r="I232" s="116"/>
      <c r="J232" s="116"/>
      <c r="K232" s="116"/>
      <c r="L232" s="116"/>
      <c r="M232" s="116"/>
      <c r="N232" s="116"/>
    </row>
    <row r="233" spans="1:14" customFormat="1">
      <c r="A233" s="115"/>
      <c r="B233" s="116"/>
      <c r="C233" s="116"/>
      <c r="D233" s="116"/>
      <c r="E233" s="115"/>
      <c r="F233" s="115"/>
      <c r="G233" s="116"/>
      <c r="H233" s="116"/>
      <c r="I233" s="116"/>
      <c r="J233" s="116"/>
      <c r="K233" s="116"/>
      <c r="L233" s="116"/>
      <c r="M233" s="116"/>
      <c r="N233" s="116"/>
    </row>
    <row r="234" spans="1:14" customFormat="1">
      <c r="A234" s="115"/>
      <c r="B234" s="116"/>
      <c r="C234" s="116"/>
      <c r="D234" s="116"/>
      <c r="E234" s="115"/>
      <c r="F234" s="115"/>
      <c r="G234" s="116"/>
      <c r="H234" s="116"/>
      <c r="I234" s="116"/>
      <c r="J234" s="116"/>
      <c r="K234" s="116"/>
      <c r="L234" s="116"/>
      <c r="M234" s="116"/>
      <c r="N234" s="116"/>
    </row>
    <row r="235" spans="1:14" customFormat="1">
      <c r="A235" s="115"/>
      <c r="B235" s="116"/>
      <c r="C235" s="116"/>
      <c r="D235" s="116"/>
      <c r="E235" s="115"/>
      <c r="F235" s="115"/>
      <c r="G235" s="116"/>
      <c r="H235" s="116"/>
      <c r="I235" s="116"/>
      <c r="J235" s="116"/>
      <c r="K235" s="116"/>
      <c r="L235" s="116"/>
      <c r="M235" s="116"/>
      <c r="N235" s="116"/>
    </row>
    <row r="236" spans="1:14" customFormat="1">
      <c r="A236" s="115"/>
      <c r="B236" s="116"/>
      <c r="C236" s="116"/>
      <c r="D236" s="116"/>
      <c r="E236" s="115"/>
      <c r="F236" s="115"/>
      <c r="G236" s="116"/>
      <c r="H236" s="116"/>
      <c r="I236" s="116"/>
      <c r="J236" s="116"/>
      <c r="K236" s="116"/>
      <c r="L236" s="116"/>
      <c r="M236" s="116"/>
      <c r="N236" s="116"/>
    </row>
    <row r="237" spans="1:14" customFormat="1">
      <c r="A237" s="115"/>
      <c r="B237" s="116"/>
      <c r="C237" s="116"/>
      <c r="D237" s="116"/>
      <c r="E237" s="115"/>
      <c r="F237" s="115"/>
      <c r="G237" s="116"/>
      <c r="H237" s="116"/>
      <c r="I237" s="116"/>
      <c r="J237" s="116"/>
      <c r="K237" s="116"/>
      <c r="L237" s="116"/>
      <c r="M237" s="116"/>
      <c r="N237" s="116"/>
    </row>
    <row r="238" spans="1:14" customFormat="1">
      <c r="A238" s="115"/>
      <c r="B238" s="116"/>
      <c r="C238" s="116"/>
      <c r="D238" s="116"/>
      <c r="E238" s="115"/>
      <c r="F238" s="115"/>
      <c r="G238" s="116"/>
      <c r="H238" s="116"/>
      <c r="I238" s="116"/>
      <c r="J238" s="116"/>
      <c r="K238" s="116"/>
      <c r="L238" s="116"/>
      <c r="M238" s="116"/>
      <c r="N238" s="116"/>
    </row>
    <row r="239" spans="1:14" customFormat="1">
      <c r="A239" s="115"/>
      <c r="B239" s="116"/>
      <c r="C239" s="116"/>
      <c r="D239" s="116"/>
      <c r="E239" s="115"/>
      <c r="F239" s="115"/>
      <c r="G239" s="116"/>
      <c r="H239" s="116"/>
      <c r="I239" s="116"/>
      <c r="J239" s="116"/>
      <c r="K239" s="116"/>
      <c r="L239" s="116"/>
      <c r="M239" s="116"/>
      <c r="N239" s="116"/>
    </row>
    <row r="240" spans="1:14" customFormat="1">
      <c r="A240" s="115"/>
      <c r="B240" s="116"/>
      <c r="C240" s="116"/>
      <c r="D240" s="116"/>
      <c r="E240" s="115"/>
      <c r="F240" s="115"/>
      <c r="G240" s="116"/>
      <c r="H240" s="116"/>
      <c r="I240" s="116"/>
      <c r="J240" s="116"/>
      <c r="K240" s="116"/>
      <c r="L240" s="116"/>
      <c r="M240" s="116"/>
      <c r="N240" s="116"/>
    </row>
    <row r="241" spans="1:14" customFormat="1">
      <c r="A241" s="115"/>
      <c r="B241" s="116"/>
      <c r="C241" s="116"/>
      <c r="D241" s="116"/>
      <c r="E241" s="115"/>
      <c r="F241" s="115"/>
      <c r="G241" s="116"/>
      <c r="H241" s="116"/>
      <c r="I241" s="116"/>
      <c r="J241" s="116"/>
      <c r="K241" s="116"/>
      <c r="L241" s="116"/>
      <c r="M241" s="116"/>
      <c r="N241" s="116"/>
    </row>
    <row r="242" spans="1:14" customFormat="1">
      <c r="A242" s="115"/>
      <c r="B242" s="116"/>
      <c r="C242" s="116"/>
      <c r="D242" s="116"/>
      <c r="E242" s="115"/>
      <c r="F242" s="115"/>
      <c r="G242" s="116"/>
      <c r="H242" s="116"/>
      <c r="I242" s="116"/>
      <c r="J242" s="116"/>
      <c r="K242" s="116"/>
      <c r="L242" s="116"/>
      <c r="M242" s="116"/>
      <c r="N242" s="116"/>
    </row>
    <row r="243" spans="1:14" customFormat="1">
      <c r="A243" s="115"/>
      <c r="B243" s="116"/>
      <c r="C243" s="116"/>
      <c r="D243" s="116"/>
      <c r="E243" s="115"/>
      <c r="F243" s="115"/>
      <c r="G243" s="116"/>
      <c r="H243" s="116"/>
      <c r="I243" s="116"/>
      <c r="J243" s="116"/>
      <c r="K243" s="116"/>
      <c r="L243" s="116"/>
      <c r="M243" s="116"/>
      <c r="N243" s="116"/>
    </row>
    <row r="244" spans="1:14" customFormat="1">
      <c r="A244" s="115"/>
      <c r="B244" s="116"/>
      <c r="C244" s="116"/>
      <c r="D244" s="116"/>
      <c r="E244" s="115"/>
      <c r="F244" s="115"/>
      <c r="G244" s="116"/>
      <c r="H244" s="116"/>
      <c r="I244" s="116"/>
      <c r="J244" s="116"/>
      <c r="K244" s="116"/>
      <c r="L244" s="116"/>
      <c r="M244" s="116"/>
      <c r="N244" s="116"/>
    </row>
    <row r="245" spans="1:14" customFormat="1">
      <c r="A245" s="115"/>
      <c r="B245" s="116"/>
      <c r="C245" s="116"/>
      <c r="D245" s="116"/>
      <c r="E245" s="115"/>
      <c r="F245" s="115"/>
      <c r="G245" s="116"/>
      <c r="H245" s="116"/>
      <c r="I245" s="116"/>
      <c r="J245" s="116"/>
      <c r="K245" s="116"/>
      <c r="L245" s="116"/>
      <c r="M245" s="116"/>
      <c r="N245" s="116"/>
    </row>
    <row r="246" spans="1:14" customFormat="1">
      <c r="A246" s="115"/>
      <c r="B246" s="116"/>
      <c r="C246" s="116"/>
      <c r="D246" s="116"/>
      <c r="E246" s="115"/>
      <c r="F246" s="115"/>
      <c r="G246" s="116"/>
      <c r="H246" s="116"/>
      <c r="I246" s="116"/>
      <c r="J246" s="116"/>
      <c r="K246" s="116"/>
      <c r="L246" s="116"/>
      <c r="M246" s="116"/>
      <c r="N246" s="116"/>
    </row>
    <row r="247" spans="1:14" customFormat="1">
      <c r="A247" s="115"/>
      <c r="B247" s="116"/>
      <c r="C247" s="116"/>
      <c r="D247" s="116"/>
      <c r="E247" s="115"/>
      <c r="F247" s="115"/>
      <c r="G247" s="116"/>
      <c r="H247" s="116"/>
      <c r="I247" s="116"/>
      <c r="J247" s="116"/>
      <c r="K247" s="116"/>
      <c r="L247" s="116"/>
      <c r="M247" s="116"/>
      <c r="N247" s="116"/>
    </row>
    <row r="248" spans="1:14" customFormat="1">
      <c r="A248" s="115"/>
      <c r="B248" s="116"/>
      <c r="C248" s="116"/>
      <c r="D248" s="116"/>
      <c r="E248" s="115"/>
      <c r="F248" s="115"/>
      <c r="G248" s="116"/>
      <c r="H248" s="116"/>
      <c r="I248" s="116"/>
      <c r="J248" s="116"/>
      <c r="K248" s="116"/>
      <c r="L248" s="116"/>
      <c r="M248" s="116"/>
      <c r="N248" s="116"/>
    </row>
    <row r="249" spans="1:14" customFormat="1">
      <c r="A249" s="115"/>
      <c r="B249" s="116"/>
      <c r="C249" s="116"/>
      <c r="D249" s="116"/>
      <c r="E249" s="115"/>
      <c r="F249" s="115"/>
      <c r="G249" s="116"/>
      <c r="H249" s="116"/>
      <c r="I249" s="116"/>
      <c r="J249" s="116"/>
      <c r="K249" s="116"/>
      <c r="L249" s="116"/>
      <c r="M249" s="116"/>
      <c r="N249" s="116"/>
    </row>
    <row r="250" spans="1:14" customFormat="1">
      <c r="A250" s="115"/>
      <c r="B250" s="116"/>
      <c r="C250" s="116"/>
      <c r="D250" s="116"/>
      <c r="E250" s="115"/>
      <c r="F250" s="115"/>
      <c r="G250" s="116"/>
      <c r="H250" s="116"/>
      <c r="I250" s="116"/>
      <c r="J250" s="116"/>
      <c r="K250" s="116"/>
      <c r="L250" s="116"/>
      <c r="M250" s="116"/>
      <c r="N250" s="116"/>
    </row>
    <row r="251" spans="1:14" customFormat="1">
      <c r="A251" s="115"/>
      <c r="B251" s="116"/>
      <c r="C251" s="116"/>
      <c r="D251" s="116"/>
      <c r="E251" s="115"/>
      <c r="F251" s="115"/>
      <c r="G251" s="116"/>
      <c r="H251" s="116"/>
      <c r="I251" s="116"/>
      <c r="J251" s="116"/>
      <c r="K251" s="116"/>
      <c r="L251" s="116"/>
      <c r="M251" s="116"/>
      <c r="N251" s="116"/>
    </row>
    <row r="252" spans="1:14" customFormat="1">
      <c r="A252" s="115"/>
      <c r="B252" s="116"/>
      <c r="C252" s="116"/>
      <c r="D252" s="116"/>
      <c r="E252" s="115"/>
      <c r="F252" s="115"/>
      <c r="G252" s="116"/>
      <c r="H252" s="116"/>
      <c r="I252" s="116"/>
      <c r="J252" s="116"/>
      <c r="K252" s="116"/>
      <c r="L252" s="116"/>
      <c r="M252" s="116"/>
      <c r="N252" s="116"/>
    </row>
    <row r="253" spans="1:14" customFormat="1">
      <c r="A253" s="115"/>
      <c r="B253" s="116"/>
      <c r="C253" s="116"/>
      <c r="D253" s="116"/>
      <c r="E253" s="115"/>
      <c r="F253" s="115"/>
      <c r="G253" s="116"/>
      <c r="H253" s="116"/>
      <c r="I253" s="116"/>
      <c r="J253" s="116"/>
      <c r="K253" s="116"/>
      <c r="L253" s="116"/>
      <c r="M253" s="116"/>
      <c r="N253" s="116"/>
    </row>
    <row r="254" spans="1:14" customFormat="1">
      <c r="A254" s="115"/>
      <c r="B254" s="116"/>
      <c r="C254" s="116"/>
      <c r="D254" s="116"/>
      <c r="E254" s="115"/>
      <c r="F254" s="115"/>
      <c r="G254" s="116"/>
      <c r="H254" s="116"/>
      <c r="I254" s="116"/>
      <c r="J254" s="116"/>
      <c r="K254" s="116"/>
      <c r="L254" s="116"/>
      <c r="M254" s="116"/>
      <c r="N254" s="116"/>
    </row>
    <row r="255" spans="1:14" customFormat="1">
      <c r="A255" s="115"/>
      <c r="B255" s="116"/>
      <c r="C255" s="116"/>
      <c r="D255" s="116"/>
      <c r="E255" s="115"/>
      <c r="F255" s="115"/>
      <c r="G255" s="116"/>
      <c r="H255" s="116"/>
      <c r="I255" s="116"/>
      <c r="J255" s="116"/>
      <c r="K255" s="116"/>
      <c r="L255" s="116"/>
      <c r="M255" s="116"/>
      <c r="N255" s="116"/>
    </row>
    <row r="256" spans="1:14" customFormat="1">
      <c r="A256" s="115"/>
      <c r="B256" s="116"/>
      <c r="C256" s="116"/>
      <c r="D256" s="116"/>
      <c r="E256" s="115"/>
      <c r="F256" s="115"/>
      <c r="G256" s="116"/>
      <c r="H256" s="116"/>
      <c r="I256" s="116"/>
      <c r="J256" s="116"/>
      <c r="K256" s="116"/>
      <c r="L256" s="116"/>
      <c r="M256" s="116"/>
      <c r="N256" s="116"/>
    </row>
    <row r="257" spans="1:14" customFormat="1">
      <c r="A257" s="115"/>
      <c r="B257" s="116"/>
      <c r="C257" s="116"/>
      <c r="D257" s="116"/>
      <c r="E257" s="115"/>
      <c r="F257" s="115"/>
      <c r="G257" s="116"/>
      <c r="H257" s="116"/>
      <c r="I257" s="116"/>
      <c r="J257" s="116"/>
      <c r="K257" s="116"/>
      <c r="L257" s="116"/>
      <c r="M257" s="116"/>
      <c r="N257" s="116"/>
    </row>
    <row r="258" spans="1:14" customFormat="1">
      <c r="A258" s="115"/>
      <c r="B258" s="116"/>
      <c r="C258" s="116"/>
      <c r="D258" s="116"/>
      <c r="E258" s="115"/>
      <c r="F258" s="115"/>
      <c r="G258" s="116"/>
      <c r="H258" s="116"/>
      <c r="I258" s="116"/>
      <c r="J258" s="116"/>
      <c r="K258" s="116"/>
      <c r="L258" s="116"/>
      <c r="M258" s="116"/>
      <c r="N258" s="116"/>
    </row>
    <row r="259" spans="1:14" customFormat="1">
      <c r="A259" s="115"/>
      <c r="B259" s="116"/>
      <c r="C259" s="116"/>
      <c r="D259" s="116"/>
      <c r="E259" s="115"/>
      <c r="F259" s="115"/>
      <c r="G259" s="116"/>
      <c r="H259" s="116"/>
      <c r="I259" s="116"/>
      <c r="J259" s="116"/>
      <c r="K259" s="116"/>
      <c r="L259" s="116"/>
      <c r="M259" s="116"/>
      <c r="N259" s="116"/>
    </row>
    <row r="260" spans="1:14" customFormat="1">
      <c r="A260" s="115"/>
      <c r="B260" s="116"/>
      <c r="C260" s="116"/>
      <c r="D260" s="116"/>
      <c r="E260" s="115"/>
      <c r="F260" s="115"/>
      <c r="G260" s="116"/>
      <c r="H260" s="116"/>
      <c r="I260" s="116"/>
      <c r="J260" s="116"/>
      <c r="K260" s="116"/>
      <c r="L260" s="116"/>
      <c r="M260" s="116"/>
      <c r="N260" s="116"/>
    </row>
    <row r="261" spans="1:14" customFormat="1">
      <c r="A261" s="115"/>
      <c r="B261" s="116"/>
      <c r="C261" s="116"/>
      <c r="D261" s="116"/>
      <c r="E261" s="115"/>
      <c r="F261" s="115"/>
      <c r="G261" s="116"/>
      <c r="H261" s="116"/>
      <c r="I261" s="116"/>
      <c r="J261" s="116"/>
      <c r="K261" s="116"/>
      <c r="L261" s="116"/>
      <c r="M261" s="116"/>
      <c r="N261" s="116"/>
    </row>
    <row r="262" spans="1:14" customFormat="1">
      <c r="A262" s="115"/>
      <c r="B262" s="116"/>
      <c r="C262" s="116"/>
      <c r="D262" s="116"/>
      <c r="E262" s="115"/>
      <c r="F262" s="115"/>
      <c r="G262" s="116"/>
      <c r="H262" s="116"/>
      <c r="I262" s="116"/>
      <c r="J262" s="116"/>
      <c r="K262" s="116"/>
      <c r="L262" s="116"/>
      <c r="M262" s="116"/>
      <c r="N262" s="116"/>
    </row>
    <row r="263" spans="1:14" customFormat="1">
      <c r="A263" s="115"/>
      <c r="B263" s="116"/>
      <c r="C263" s="116"/>
      <c r="D263" s="116"/>
      <c r="E263" s="115"/>
      <c r="F263" s="115"/>
      <c r="G263" s="116"/>
      <c r="H263" s="116"/>
      <c r="I263" s="116"/>
      <c r="J263" s="116"/>
      <c r="K263" s="116"/>
      <c r="L263" s="116"/>
      <c r="M263" s="116"/>
      <c r="N263" s="116"/>
    </row>
    <row r="264" spans="1:14" customFormat="1">
      <c r="A264" s="115"/>
      <c r="B264" s="116"/>
      <c r="C264" s="116"/>
      <c r="D264" s="116"/>
      <c r="E264" s="115"/>
      <c r="F264" s="115"/>
      <c r="G264" s="116"/>
      <c r="H264" s="116"/>
      <c r="I264" s="116"/>
      <c r="J264" s="116"/>
      <c r="K264" s="116"/>
      <c r="L264" s="116"/>
      <c r="M264" s="116"/>
      <c r="N264" s="116"/>
    </row>
    <row r="265" spans="1:14" customFormat="1">
      <c r="A265" s="115"/>
      <c r="B265" s="116"/>
      <c r="C265" s="116"/>
      <c r="D265" s="116"/>
      <c r="E265" s="115"/>
      <c r="F265" s="115"/>
      <c r="G265" s="116"/>
      <c r="H265" s="116"/>
      <c r="I265" s="116"/>
      <c r="J265" s="116"/>
      <c r="K265" s="116"/>
      <c r="L265" s="116"/>
      <c r="M265" s="116"/>
      <c r="N265" s="116"/>
    </row>
    <row r="266" spans="1:14" customFormat="1">
      <c r="A266" s="115"/>
      <c r="B266" s="116"/>
      <c r="C266" s="116"/>
      <c r="D266" s="116"/>
      <c r="E266" s="115"/>
      <c r="F266" s="115"/>
      <c r="G266" s="116"/>
      <c r="H266" s="116"/>
      <c r="I266" s="116"/>
      <c r="J266" s="116"/>
      <c r="K266" s="116"/>
      <c r="L266" s="116"/>
      <c r="M266" s="116"/>
      <c r="N266" s="116"/>
    </row>
    <row r="267" spans="1:14" customFormat="1">
      <c r="A267" s="115"/>
      <c r="B267" s="116"/>
      <c r="C267" s="116"/>
      <c r="D267" s="116"/>
      <c r="E267" s="115"/>
      <c r="F267" s="115"/>
      <c r="G267" s="116"/>
      <c r="H267" s="116"/>
      <c r="I267" s="116"/>
      <c r="J267" s="116"/>
      <c r="K267" s="116"/>
      <c r="L267" s="116"/>
      <c r="M267" s="116"/>
      <c r="N267" s="116"/>
    </row>
    <row r="268" spans="1:14" customFormat="1">
      <c r="A268" s="115"/>
      <c r="B268" s="116"/>
      <c r="C268" s="116"/>
      <c r="D268" s="116"/>
      <c r="E268" s="115"/>
      <c r="F268" s="115"/>
      <c r="G268" s="116"/>
      <c r="H268" s="116"/>
      <c r="I268" s="116"/>
      <c r="J268" s="116"/>
      <c r="K268" s="116"/>
      <c r="L268" s="116"/>
      <c r="M268" s="116"/>
      <c r="N268" s="116"/>
    </row>
    <row r="269" spans="1:14" customFormat="1">
      <c r="A269" s="115"/>
      <c r="B269" s="116"/>
      <c r="C269" s="116"/>
      <c r="D269" s="116"/>
      <c r="E269" s="115"/>
      <c r="F269" s="115"/>
      <c r="G269" s="116"/>
      <c r="H269" s="116"/>
      <c r="I269" s="116"/>
      <c r="J269" s="116"/>
      <c r="K269" s="116"/>
      <c r="L269" s="116"/>
      <c r="M269" s="116"/>
      <c r="N269" s="116"/>
    </row>
    <row r="270" spans="1:14" customFormat="1">
      <c r="A270" s="115"/>
      <c r="B270" s="116"/>
      <c r="C270" s="116"/>
      <c r="D270" s="116"/>
      <c r="E270" s="115"/>
      <c r="F270" s="115"/>
      <c r="G270" s="116"/>
      <c r="H270" s="116"/>
      <c r="I270" s="116"/>
      <c r="J270" s="116"/>
      <c r="K270" s="116"/>
      <c r="L270" s="116"/>
      <c r="M270" s="116"/>
      <c r="N270" s="116"/>
    </row>
    <row r="271" spans="1:14" customFormat="1">
      <c r="A271" s="115"/>
      <c r="B271" s="116"/>
      <c r="C271" s="116"/>
      <c r="D271" s="116"/>
      <c r="E271" s="115"/>
      <c r="F271" s="115"/>
      <c r="G271" s="116"/>
      <c r="H271" s="116"/>
      <c r="I271" s="116"/>
      <c r="J271" s="116"/>
      <c r="K271" s="116"/>
      <c r="L271" s="116"/>
      <c r="M271" s="116"/>
      <c r="N271" s="116"/>
    </row>
    <row r="272" spans="1:14" customFormat="1">
      <c r="A272" s="115"/>
      <c r="B272" s="116"/>
      <c r="C272" s="116"/>
      <c r="D272" s="116"/>
      <c r="E272" s="115"/>
      <c r="F272" s="115"/>
      <c r="G272" s="116"/>
      <c r="H272" s="116"/>
      <c r="I272" s="116"/>
      <c r="J272" s="116"/>
      <c r="K272" s="116"/>
      <c r="L272" s="116"/>
      <c r="M272" s="116"/>
      <c r="N272" s="116"/>
    </row>
    <row r="273" spans="1:14" customFormat="1">
      <c r="A273" s="115"/>
      <c r="B273" s="116"/>
      <c r="C273" s="116"/>
      <c r="D273" s="116"/>
      <c r="E273" s="115"/>
      <c r="F273" s="115"/>
      <c r="G273" s="116"/>
      <c r="H273" s="116"/>
      <c r="I273" s="116"/>
      <c r="J273" s="116"/>
      <c r="K273" s="116"/>
      <c r="L273" s="116"/>
      <c r="M273" s="116"/>
      <c r="N273" s="116"/>
    </row>
    <row r="274" spans="1:14" customFormat="1">
      <c r="A274" s="115"/>
      <c r="B274" s="116"/>
      <c r="C274" s="116"/>
      <c r="D274" s="116"/>
      <c r="E274" s="115"/>
      <c r="F274" s="115"/>
      <c r="G274" s="116"/>
      <c r="H274" s="116"/>
      <c r="I274" s="116"/>
      <c r="J274" s="116"/>
      <c r="K274" s="116"/>
      <c r="L274" s="116"/>
      <c r="M274" s="116"/>
      <c r="N274" s="116"/>
    </row>
    <row r="275" spans="1:14" customFormat="1">
      <c r="A275" s="115"/>
      <c r="B275" s="116"/>
      <c r="C275" s="116"/>
      <c r="D275" s="116"/>
      <c r="E275" s="115"/>
      <c r="F275" s="115"/>
      <c r="G275" s="116"/>
      <c r="H275" s="116"/>
      <c r="I275" s="116"/>
      <c r="J275" s="116"/>
      <c r="K275" s="116"/>
      <c r="L275" s="116"/>
      <c r="M275" s="116"/>
      <c r="N275" s="116"/>
    </row>
    <row r="276" spans="1:14" customFormat="1">
      <c r="A276" s="115"/>
      <c r="B276" s="116"/>
      <c r="C276" s="116"/>
      <c r="D276" s="116"/>
      <c r="E276" s="115"/>
      <c r="F276" s="115"/>
      <c r="G276" s="116"/>
      <c r="H276" s="116"/>
      <c r="I276" s="116"/>
      <c r="J276" s="116"/>
      <c r="K276" s="116"/>
      <c r="L276" s="116"/>
      <c r="M276" s="116"/>
      <c r="N276" s="116"/>
    </row>
    <row r="277" spans="1:14" customFormat="1">
      <c r="A277" s="115"/>
      <c r="B277" s="116"/>
      <c r="C277" s="116"/>
      <c r="D277" s="116"/>
      <c r="E277" s="115"/>
      <c r="F277" s="115"/>
      <c r="G277" s="116"/>
      <c r="H277" s="116"/>
      <c r="I277" s="116"/>
      <c r="J277" s="116"/>
      <c r="K277" s="116"/>
      <c r="L277" s="116"/>
      <c r="M277" s="116"/>
      <c r="N277" s="116"/>
    </row>
    <row r="278" spans="1:14" customFormat="1">
      <c r="A278" s="115"/>
      <c r="B278" s="116"/>
      <c r="C278" s="116"/>
      <c r="D278" s="116"/>
      <c r="E278" s="115"/>
      <c r="F278" s="115"/>
      <c r="G278" s="116"/>
      <c r="H278" s="116"/>
      <c r="I278" s="116"/>
      <c r="J278" s="116"/>
      <c r="K278" s="116"/>
      <c r="L278" s="116"/>
      <c r="M278" s="116"/>
      <c r="N278" s="116"/>
    </row>
    <row r="279" spans="1:14" customFormat="1">
      <c r="A279" s="115"/>
      <c r="B279" s="116"/>
      <c r="C279" s="116"/>
      <c r="D279" s="116"/>
      <c r="E279" s="115"/>
      <c r="F279" s="115"/>
      <c r="G279" s="116"/>
      <c r="H279" s="116"/>
      <c r="I279" s="116"/>
      <c r="J279" s="116"/>
      <c r="K279" s="116"/>
      <c r="L279" s="116"/>
      <c r="M279" s="116"/>
      <c r="N279" s="116"/>
    </row>
    <row r="280" spans="1:14" customFormat="1">
      <c r="A280" s="115"/>
      <c r="B280" s="116"/>
      <c r="C280" s="116"/>
      <c r="D280" s="116"/>
      <c r="E280" s="115"/>
      <c r="F280" s="115"/>
      <c r="G280" s="116"/>
      <c r="H280" s="116"/>
      <c r="I280" s="116"/>
      <c r="J280" s="116"/>
      <c r="K280" s="116"/>
      <c r="L280" s="116"/>
      <c r="M280" s="116"/>
      <c r="N280" s="116"/>
    </row>
    <row r="281" spans="1:14" customFormat="1">
      <c r="A281" s="115"/>
      <c r="B281" s="116"/>
      <c r="C281" s="116"/>
      <c r="D281" s="116"/>
      <c r="E281" s="115"/>
      <c r="F281" s="115"/>
      <c r="G281" s="116"/>
      <c r="H281" s="116"/>
      <c r="I281" s="116"/>
      <c r="J281" s="116"/>
      <c r="K281" s="116"/>
      <c r="L281" s="116"/>
      <c r="M281" s="116"/>
      <c r="N281" s="116"/>
    </row>
    <row r="282" spans="1:14" customFormat="1">
      <c r="A282" s="115"/>
      <c r="B282" s="116"/>
      <c r="C282" s="116"/>
      <c r="D282" s="116"/>
      <c r="E282" s="115"/>
      <c r="F282" s="115"/>
      <c r="G282" s="116"/>
      <c r="H282" s="116"/>
      <c r="I282" s="116"/>
      <c r="J282" s="116"/>
      <c r="K282" s="116"/>
      <c r="L282" s="116"/>
      <c r="M282" s="116"/>
      <c r="N282" s="116"/>
    </row>
    <row r="283" spans="1:14" customFormat="1">
      <c r="A283" s="115"/>
      <c r="B283" s="116"/>
      <c r="C283" s="116"/>
      <c r="D283" s="116"/>
      <c r="E283" s="115"/>
      <c r="F283" s="115"/>
      <c r="G283" s="116"/>
      <c r="H283" s="116"/>
      <c r="I283" s="116"/>
      <c r="J283" s="116"/>
      <c r="K283" s="116"/>
      <c r="L283" s="116"/>
      <c r="M283" s="116"/>
      <c r="N283" s="116"/>
    </row>
    <row r="284" spans="1:14" customFormat="1">
      <c r="A284" s="115"/>
      <c r="B284" s="116"/>
      <c r="C284" s="116"/>
      <c r="D284" s="116"/>
      <c r="E284" s="115"/>
      <c r="F284" s="115"/>
      <c r="G284" s="116"/>
      <c r="H284" s="116"/>
      <c r="I284" s="116"/>
      <c r="J284" s="116"/>
      <c r="K284" s="116"/>
      <c r="L284" s="116"/>
      <c r="M284" s="116"/>
      <c r="N284" s="116"/>
    </row>
    <row r="285" spans="1:14" customFormat="1">
      <c r="A285" s="115"/>
      <c r="B285" s="116"/>
      <c r="C285" s="116"/>
      <c r="D285" s="116"/>
      <c r="E285" s="115"/>
      <c r="F285" s="115"/>
      <c r="G285" s="116"/>
      <c r="H285" s="116"/>
      <c r="I285" s="116"/>
      <c r="J285" s="116"/>
      <c r="K285" s="116"/>
      <c r="L285" s="116"/>
      <c r="M285" s="116"/>
      <c r="N285" s="116"/>
    </row>
    <row r="286" spans="1:14" customFormat="1">
      <c r="A286" s="115"/>
      <c r="B286" s="116"/>
      <c r="C286" s="116"/>
      <c r="D286" s="116"/>
      <c r="E286" s="115"/>
      <c r="F286" s="115"/>
      <c r="G286" s="116"/>
      <c r="H286" s="116"/>
      <c r="I286" s="116"/>
      <c r="J286" s="116"/>
      <c r="K286" s="116"/>
      <c r="L286" s="116"/>
      <c r="M286" s="116"/>
      <c r="N286" s="116"/>
    </row>
    <row r="287" spans="1:14" customFormat="1">
      <c r="A287" s="115"/>
      <c r="B287" s="116"/>
      <c r="C287" s="116"/>
      <c r="D287" s="116"/>
      <c r="E287" s="115"/>
      <c r="F287" s="115"/>
      <c r="G287" s="116"/>
      <c r="H287" s="116"/>
      <c r="I287" s="116"/>
      <c r="J287" s="116"/>
      <c r="K287" s="116"/>
      <c r="L287" s="116"/>
      <c r="M287" s="116"/>
      <c r="N287" s="116"/>
    </row>
    <row r="288" spans="1:14" customFormat="1">
      <c r="A288" s="115"/>
      <c r="B288" s="116"/>
      <c r="C288" s="116"/>
      <c r="D288" s="116"/>
      <c r="E288" s="115"/>
      <c r="F288" s="115"/>
      <c r="G288" s="116"/>
      <c r="H288" s="116"/>
      <c r="I288" s="116"/>
      <c r="J288" s="116"/>
      <c r="K288" s="116"/>
      <c r="L288" s="116"/>
      <c r="M288" s="116"/>
      <c r="N288" s="116"/>
    </row>
    <row r="289" spans="1:14" customFormat="1">
      <c r="A289" s="115"/>
      <c r="B289" s="116"/>
      <c r="C289" s="116"/>
      <c r="D289" s="116"/>
      <c r="E289" s="115"/>
      <c r="F289" s="115"/>
      <c r="G289" s="116"/>
      <c r="H289" s="116"/>
      <c r="I289" s="116"/>
      <c r="J289" s="116"/>
      <c r="K289" s="116"/>
      <c r="L289" s="116"/>
      <c r="M289" s="116"/>
      <c r="N289" s="116"/>
    </row>
    <row r="290" spans="1:14" customFormat="1">
      <c r="A290" s="115"/>
      <c r="B290" s="116"/>
      <c r="C290" s="116"/>
      <c r="D290" s="116"/>
      <c r="E290" s="115"/>
      <c r="F290" s="115"/>
      <c r="G290" s="116"/>
      <c r="H290" s="116"/>
      <c r="I290" s="116"/>
      <c r="J290" s="116"/>
      <c r="K290" s="116"/>
      <c r="L290" s="116"/>
      <c r="M290" s="116"/>
      <c r="N290" s="116"/>
    </row>
    <row r="291" spans="1:14" customFormat="1">
      <c r="A291" s="115"/>
      <c r="B291" s="116"/>
      <c r="C291" s="116"/>
      <c r="D291" s="116"/>
      <c r="E291" s="115"/>
      <c r="F291" s="115"/>
      <c r="G291" s="116"/>
      <c r="H291" s="116"/>
      <c r="I291" s="116"/>
      <c r="J291" s="116"/>
      <c r="K291" s="116"/>
      <c r="L291" s="116"/>
      <c r="M291" s="116"/>
      <c r="N291" s="116"/>
    </row>
    <row r="292" spans="1:14" customFormat="1">
      <c r="A292" s="115"/>
      <c r="B292" s="116"/>
      <c r="C292" s="116"/>
      <c r="D292" s="116"/>
      <c r="E292" s="115"/>
      <c r="F292" s="115"/>
      <c r="G292" s="116"/>
      <c r="H292" s="116"/>
      <c r="I292" s="116"/>
      <c r="J292" s="116"/>
      <c r="K292" s="116"/>
      <c r="L292" s="116"/>
      <c r="M292" s="116"/>
      <c r="N292" s="116"/>
    </row>
    <row r="293" spans="1:14" customFormat="1">
      <c r="A293" s="115"/>
      <c r="B293" s="116"/>
      <c r="C293" s="116"/>
      <c r="D293" s="116"/>
      <c r="E293" s="115"/>
      <c r="F293" s="115"/>
      <c r="G293" s="116"/>
      <c r="H293" s="116"/>
      <c r="I293" s="116"/>
      <c r="J293" s="116"/>
      <c r="K293" s="116"/>
      <c r="L293" s="116"/>
      <c r="M293" s="116"/>
      <c r="N293" s="116"/>
    </row>
    <row r="294" spans="1:14" customFormat="1">
      <c r="A294" s="115"/>
      <c r="B294" s="116"/>
      <c r="C294" s="116"/>
      <c r="D294" s="116"/>
      <c r="E294" s="115"/>
      <c r="F294" s="115"/>
      <c r="G294" s="116"/>
      <c r="H294" s="116"/>
      <c r="I294" s="116"/>
      <c r="J294" s="116"/>
      <c r="K294" s="116"/>
      <c r="L294" s="116"/>
      <c r="M294" s="116"/>
      <c r="N294" s="116"/>
    </row>
    <row r="295" spans="1:14" customFormat="1">
      <c r="A295" s="115"/>
      <c r="B295" s="116"/>
      <c r="C295" s="116"/>
      <c r="D295" s="116"/>
      <c r="E295" s="115"/>
      <c r="F295" s="115"/>
      <c r="G295" s="116"/>
      <c r="H295" s="116"/>
      <c r="I295" s="116"/>
      <c r="J295" s="116"/>
      <c r="K295" s="116"/>
      <c r="L295" s="116"/>
      <c r="M295" s="116"/>
      <c r="N295" s="116"/>
    </row>
    <row r="296" spans="1:14" customFormat="1">
      <c r="A296" s="115"/>
      <c r="B296" s="116"/>
      <c r="C296" s="116"/>
      <c r="D296" s="116"/>
      <c r="E296" s="115"/>
      <c r="F296" s="115"/>
      <c r="G296" s="116"/>
      <c r="H296" s="116"/>
      <c r="I296" s="116"/>
      <c r="J296" s="116"/>
      <c r="K296" s="116"/>
      <c r="L296" s="116"/>
      <c r="M296" s="116"/>
      <c r="N296" s="116"/>
    </row>
    <row r="297" spans="1:14" customFormat="1">
      <c r="A297" s="115"/>
      <c r="B297" s="116"/>
      <c r="C297" s="116"/>
      <c r="D297" s="116"/>
      <c r="E297" s="115"/>
      <c r="F297" s="115"/>
      <c r="G297" s="116"/>
      <c r="H297" s="116"/>
      <c r="I297" s="116"/>
      <c r="J297" s="116"/>
      <c r="K297" s="116"/>
      <c r="L297" s="116"/>
      <c r="M297" s="116"/>
      <c r="N297" s="116"/>
    </row>
    <row r="298" spans="1:14" customFormat="1">
      <c r="A298" s="115"/>
      <c r="B298" s="116"/>
      <c r="C298" s="116"/>
      <c r="D298" s="116"/>
      <c r="E298" s="115"/>
      <c r="F298" s="115"/>
      <c r="G298" s="116"/>
      <c r="H298" s="116"/>
      <c r="I298" s="116"/>
      <c r="J298" s="116"/>
      <c r="K298" s="116"/>
      <c r="L298" s="116"/>
      <c r="M298" s="116"/>
      <c r="N298" s="116"/>
    </row>
    <row r="299" spans="1:14" customFormat="1">
      <c r="A299" s="115"/>
      <c r="B299" s="116"/>
      <c r="C299" s="116"/>
      <c r="D299" s="116"/>
      <c r="E299" s="115"/>
      <c r="F299" s="115"/>
      <c r="G299" s="116"/>
      <c r="H299" s="116"/>
      <c r="I299" s="116"/>
      <c r="J299" s="116"/>
      <c r="K299" s="116"/>
      <c r="L299" s="116"/>
      <c r="M299" s="116"/>
      <c r="N299" s="116"/>
    </row>
    <row r="300" spans="1:14" customFormat="1">
      <c r="A300" s="115"/>
      <c r="B300" s="116"/>
      <c r="C300" s="116"/>
      <c r="D300" s="116"/>
      <c r="E300" s="115"/>
      <c r="F300" s="115"/>
      <c r="G300" s="116"/>
      <c r="H300" s="116"/>
      <c r="I300" s="116"/>
      <c r="J300" s="116"/>
      <c r="K300" s="116"/>
      <c r="L300" s="116"/>
      <c r="M300" s="116"/>
      <c r="N300" s="116"/>
    </row>
    <row r="301" spans="1:14" customFormat="1">
      <c r="A301" s="115"/>
      <c r="B301" s="116"/>
      <c r="C301" s="116"/>
      <c r="D301" s="116"/>
      <c r="E301" s="115"/>
      <c r="F301" s="115"/>
      <c r="G301" s="116"/>
      <c r="H301" s="116"/>
      <c r="I301" s="116"/>
      <c r="J301" s="116"/>
      <c r="K301" s="116"/>
      <c r="L301" s="116"/>
      <c r="M301" s="116"/>
      <c r="N301" s="116"/>
    </row>
    <row r="302" spans="1:14" customFormat="1">
      <c r="A302" s="115"/>
      <c r="B302" s="116"/>
      <c r="C302" s="116"/>
      <c r="D302" s="116"/>
      <c r="E302" s="115"/>
      <c r="F302" s="115"/>
      <c r="G302" s="116"/>
      <c r="H302" s="116"/>
      <c r="I302" s="116"/>
      <c r="J302" s="116"/>
      <c r="K302" s="116"/>
      <c r="L302" s="116"/>
      <c r="M302" s="116"/>
      <c r="N302" s="116"/>
    </row>
    <row r="303" spans="1:14" customFormat="1">
      <c r="A303" s="115"/>
      <c r="B303" s="116"/>
      <c r="C303" s="116"/>
      <c r="D303" s="116"/>
      <c r="E303" s="115"/>
      <c r="F303" s="115"/>
      <c r="G303" s="116"/>
      <c r="H303" s="116"/>
      <c r="I303" s="116"/>
      <c r="J303" s="116"/>
      <c r="K303" s="116"/>
      <c r="L303" s="116"/>
      <c r="M303" s="116"/>
      <c r="N303" s="116"/>
    </row>
    <row r="304" spans="1:14" customFormat="1">
      <c r="A304" s="115"/>
      <c r="B304" s="116"/>
      <c r="C304" s="116"/>
      <c r="D304" s="116"/>
      <c r="E304" s="115"/>
      <c r="F304" s="115"/>
      <c r="G304" s="116"/>
      <c r="H304" s="116"/>
      <c r="I304" s="116"/>
      <c r="J304" s="116"/>
      <c r="K304" s="116"/>
      <c r="L304" s="116"/>
      <c r="M304" s="116"/>
      <c r="N304" s="116"/>
    </row>
    <row r="305" spans="1:14" customFormat="1">
      <c r="A305" s="115"/>
      <c r="B305" s="116"/>
      <c r="C305" s="116"/>
      <c r="D305" s="116"/>
      <c r="E305" s="115"/>
      <c r="F305" s="115"/>
      <c r="G305" s="116"/>
      <c r="H305" s="116"/>
      <c r="I305" s="116"/>
      <c r="J305" s="116"/>
      <c r="K305" s="116"/>
      <c r="L305" s="116"/>
      <c r="M305" s="116"/>
      <c r="N305" s="116"/>
    </row>
    <row r="306" spans="1:14" customFormat="1">
      <c r="A306" s="115"/>
      <c r="B306" s="116"/>
      <c r="C306" s="116"/>
      <c r="D306" s="116"/>
      <c r="E306" s="115"/>
      <c r="F306" s="115"/>
      <c r="G306" s="116"/>
      <c r="H306" s="116"/>
      <c r="I306" s="116"/>
      <c r="J306" s="116"/>
      <c r="K306" s="116"/>
      <c r="L306" s="116"/>
      <c r="M306" s="116"/>
      <c r="N306" s="116"/>
    </row>
    <row r="307" spans="1:14" customFormat="1">
      <c r="A307" s="115"/>
      <c r="B307" s="116"/>
      <c r="C307" s="116"/>
      <c r="D307" s="116"/>
      <c r="E307" s="115"/>
      <c r="F307" s="115"/>
      <c r="G307" s="116"/>
      <c r="H307" s="116"/>
      <c r="I307" s="116"/>
      <c r="J307" s="116"/>
      <c r="K307" s="116"/>
      <c r="L307" s="116"/>
      <c r="M307" s="116"/>
      <c r="N307" s="116"/>
    </row>
    <row r="308" spans="1:14" customFormat="1">
      <c r="A308" s="115"/>
      <c r="B308" s="116"/>
      <c r="C308" s="116"/>
      <c r="D308" s="116"/>
      <c r="E308" s="115"/>
      <c r="F308" s="115"/>
      <c r="G308" s="116"/>
      <c r="H308" s="116"/>
      <c r="I308" s="116"/>
      <c r="J308" s="116"/>
      <c r="K308" s="116"/>
      <c r="L308" s="116"/>
      <c r="M308" s="116"/>
      <c r="N308" s="116"/>
    </row>
    <row r="309" spans="1:14" customFormat="1">
      <c r="A309" s="115"/>
      <c r="B309" s="116"/>
      <c r="C309" s="116"/>
      <c r="D309" s="116"/>
      <c r="E309" s="115"/>
      <c r="F309" s="115"/>
      <c r="G309" s="116"/>
      <c r="H309" s="116"/>
      <c r="I309" s="116"/>
      <c r="J309" s="116"/>
      <c r="K309" s="116"/>
      <c r="L309" s="116"/>
      <c r="M309" s="116"/>
      <c r="N309" s="116"/>
    </row>
    <row r="310" spans="1:14" customFormat="1">
      <c r="A310" s="115"/>
      <c r="B310" s="116"/>
      <c r="C310" s="116"/>
      <c r="D310" s="116"/>
      <c r="E310" s="115"/>
      <c r="F310" s="115"/>
      <c r="G310" s="116"/>
      <c r="H310" s="116"/>
      <c r="I310" s="116"/>
      <c r="J310" s="116"/>
      <c r="K310" s="116"/>
      <c r="L310" s="116"/>
      <c r="M310" s="116"/>
      <c r="N310" s="116"/>
    </row>
    <row r="311" spans="1:14" customFormat="1">
      <c r="A311" s="115"/>
      <c r="B311" s="116"/>
      <c r="C311" s="116"/>
      <c r="D311" s="116"/>
      <c r="E311" s="115"/>
      <c r="F311" s="115"/>
      <c r="G311" s="116"/>
      <c r="H311" s="116"/>
      <c r="I311" s="116"/>
      <c r="J311" s="116"/>
      <c r="K311" s="116"/>
      <c r="L311" s="116"/>
      <c r="M311" s="116"/>
      <c r="N311" s="116"/>
    </row>
    <row r="312" spans="1:14" customFormat="1">
      <c r="A312" s="115"/>
      <c r="B312" s="116"/>
      <c r="C312" s="116"/>
      <c r="D312" s="116"/>
      <c r="E312" s="115"/>
      <c r="F312" s="115"/>
      <c r="G312" s="116"/>
      <c r="H312" s="116"/>
      <c r="I312" s="116"/>
      <c r="J312" s="116"/>
      <c r="K312" s="116"/>
      <c r="L312" s="116"/>
      <c r="M312" s="116"/>
      <c r="N312" s="116"/>
    </row>
    <row r="313" spans="1:14" customFormat="1">
      <c r="A313" s="115"/>
      <c r="B313" s="116"/>
      <c r="C313" s="116"/>
      <c r="D313" s="116"/>
      <c r="E313" s="115"/>
      <c r="F313" s="115"/>
      <c r="G313" s="116"/>
      <c r="H313" s="116"/>
      <c r="I313" s="116"/>
      <c r="J313" s="116"/>
      <c r="K313" s="116"/>
      <c r="L313" s="116"/>
      <c r="M313" s="116"/>
      <c r="N313" s="116"/>
    </row>
    <row r="314" spans="1:14" customFormat="1">
      <c r="A314" s="115"/>
      <c r="B314" s="116"/>
      <c r="C314" s="116"/>
      <c r="D314" s="116"/>
      <c r="E314" s="115"/>
      <c r="F314" s="115"/>
      <c r="G314" s="116"/>
      <c r="H314" s="116"/>
      <c r="I314" s="116"/>
      <c r="J314" s="116"/>
      <c r="K314" s="116"/>
      <c r="L314" s="116"/>
      <c r="M314" s="116"/>
      <c r="N314" s="116"/>
    </row>
    <row r="315" spans="1:14" customFormat="1">
      <c r="A315" s="115"/>
      <c r="B315" s="116"/>
      <c r="C315" s="116"/>
      <c r="D315" s="116"/>
      <c r="E315" s="115"/>
      <c r="F315" s="115"/>
      <c r="G315" s="116"/>
      <c r="H315" s="116"/>
      <c r="I315" s="116"/>
      <c r="J315" s="116"/>
      <c r="K315" s="116"/>
      <c r="L315" s="116"/>
      <c r="M315" s="116"/>
      <c r="N315" s="116"/>
    </row>
    <row r="316" spans="1:14" customFormat="1">
      <c r="A316" s="115"/>
      <c r="B316" s="116"/>
      <c r="C316" s="116"/>
      <c r="D316" s="116"/>
      <c r="E316" s="115"/>
      <c r="F316" s="115"/>
      <c r="G316" s="116"/>
      <c r="H316" s="116"/>
      <c r="I316" s="116"/>
      <c r="J316" s="116"/>
      <c r="K316" s="116"/>
      <c r="L316" s="116"/>
      <c r="M316" s="116"/>
      <c r="N316" s="116"/>
    </row>
    <row r="317" spans="1:14" customFormat="1">
      <c r="A317" s="115"/>
      <c r="B317" s="116"/>
      <c r="C317" s="116"/>
      <c r="D317" s="116"/>
      <c r="E317" s="115"/>
      <c r="F317" s="115"/>
      <c r="G317" s="116"/>
      <c r="H317" s="116"/>
      <c r="I317" s="116"/>
      <c r="J317" s="116"/>
      <c r="K317" s="116"/>
      <c r="L317" s="116"/>
      <c r="M317" s="116"/>
      <c r="N317" s="116"/>
    </row>
    <row r="318" spans="1:14" customFormat="1">
      <c r="A318" s="115"/>
      <c r="B318" s="116"/>
      <c r="C318" s="116"/>
      <c r="D318" s="116"/>
      <c r="E318" s="115"/>
      <c r="F318" s="115"/>
      <c r="G318" s="116"/>
      <c r="H318" s="116"/>
      <c r="I318" s="116"/>
      <c r="J318" s="116"/>
      <c r="K318" s="116"/>
      <c r="L318" s="116"/>
      <c r="M318" s="116"/>
      <c r="N318" s="116"/>
    </row>
    <row r="319" spans="1:14" customFormat="1">
      <c r="A319" s="115"/>
      <c r="B319" s="116"/>
      <c r="C319" s="116"/>
      <c r="D319" s="116"/>
      <c r="E319" s="115"/>
      <c r="F319" s="115"/>
      <c r="G319" s="116"/>
      <c r="H319" s="116"/>
      <c r="I319" s="116"/>
      <c r="J319" s="116"/>
      <c r="K319" s="116"/>
      <c r="L319" s="116"/>
      <c r="M319" s="116"/>
      <c r="N319" s="116"/>
    </row>
    <row r="320" spans="1:14" customFormat="1">
      <c r="A320" s="115"/>
      <c r="B320" s="116"/>
      <c r="C320" s="116"/>
      <c r="D320" s="116"/>
      <c r="E320" s="115"/>
      <c r="F320" s="115"/>
      <c r="G320" s="116"/>
      <c r="H320" s="116"/>
      <c r="I320" s="116"/>
      <c r="J320" s="116"/>
      <c r="K320" s="116"/>
      <c r="L320" s="116"/>
      <c r="M320" s="116"/>
      <c r="N320" s="116"/>
    </row>
    <row r="321" spans="1:14" customFormat="1">
      <c r="A321" s="115"/>
      <c r="B321" s="116"/>
      <c r="C321" s="116"/>
      <c r="D321" s="116"/>
      <c r="E321" s="115"/>
      <c r="F321" s="115"/>
      <c r="G321" s="116"/>
      <c r="H321" s="116"/>
      <c r="I321" s="116"/>
      <c r="J321" s="116"/>
      <c r="K321" s="116"/>
      <c r="L321" s="116"/>
      <c r="M321" s="116"/>
      <c r="N321" s="116"/>
    </row>
    <row r="322" spans="1:14" customFormat="1">
      <c r="A322" s="115"/>
      <c r="B322" s="116"/>
      <c r="C322" s="116"/>
      <c r="D322" s="116"/>
      <c r="E322" s="115"/>
      <c r="F322" s="115"/>
      <c r="G322" s="116"/>
      <c r="H322" s="116"/>
      <c r="I322" s="116"/>
      <c r="J322" s="116"/>
      <c r="K322" s="116"/>
      <c r="L322" s="116"/>
      <c r="M322" s="116"/>
      <c r="N322" s="116"/>
    </row>
    <row r="323" spans="1:14" customFormat="1">
      <c r="A323" s="115"/>
      <c r="B323" s="116"/>
      <c r="C323" s="116"/>
      <c r="D323" s="116"/>
      <c r="E323" s="115"/>
      <c r="F323" s="115"/>
      <c r="G323" s="116"/>
      <c r="H323" s="116"/>
      <c r="I323" s="116"/>
      <c r="J323" s="116"/>
      <c r="K323" s="116"/>
      <c r="L323" s="116"/>
      <c r="M323" s="116"/>
      <c r="N323" s="116"/>
    </row>
    <row r="324" spans="1:14" customFormat="1">
      <c r="A324" s="115"/>
      <c r="B324" s="116"/>
      <c r="C324" s="116"/>
      <c r="D324" s="116"/>
      <c r="E324" s="115"/>
      <c r="F324" s="115"/>
      <c r="G324" s="116"/>
      <c r="H324" s="116"/>
      <c r="I324" s="116"/>
      <c r="J324" s="116"/>
      <c r="K324" s="116"/>
      <c r="L324" s="116"/>
      <c r="M324" s="116"/>
      <c r="N324" s="116"/>
    </row>
    <row r="325" spans="1:14" customFormat="1">
      <c r="A325" s="115"/>
      <c r="B325" s="116"/>
      <c r="C325" s="116"/>
      <c r="D325" s="116"/>
      <c r="E325" s="115"/>
      <c r="F325" s="115"/>
      <c r="G325" s="116"/>
      <c r="H325" s="116"/>
      <c r="I325" s="116"/>
      <c r="J325" s="116"/>
      <c r="K325" s="116"/>
      <c r="L325" s="116"/>
      <c r="M325" s="116"/>
      <c r="N325" s="116"/>
    </row>
    <row r="326" spans="1:14" customFormat="1">
      <c r="A326" s="115"/>
      <c r="B326" s="116"/>
      <c r="C326" s="116"/>
      <c r="D326" s="116"/>
      <c r="E326" s="115"/>
      <c r="F326" s="115"/>
      <c r="G326" s="116"/>
      <c r="H326" s="116"/>
      <c r="I326" s="116"/>
      <c r="J326" s="116"/>
      <c r="K326" s="116"/>
      <c r="L326" s="116"/>
      <c r="M326" s="116"/>
      <c r="N326" s="116"/>
    </row>
    <row r="327" spans="1:14" customFormat="1">
      <c r="A327" s="115"/>
      <c r="B327" s="116"/>
      <c r="C327" s="116"/>
      <c r="D327" s="116"/>
      <c r="E327" s="115"/>
      <c r="F327" s="115"/>
      <c r="G327" s="116"/>
      <c r="H327" s="116"/>
      <c r="I327" s="116"/>
      <c r="J327" s="116"/>
      <c r="K327" s="116"/>
      <c r="L327" s="116"/>
      <c r="M327" s="116"/>
      <c r="N327" s="116"/>
    </row>
    <row r="328" spans="1:14" customFormat="1">
      <c r="A328" s="115"/>
      <c r="B328" s="116"/>
      <c r="C328" s="116"/>
      <c r="D328" s="116"/>
      <c r="E328" s="115"/>
      <c r="F328" s="115"/>
      <c r="G328" s="116"/>
      <c r="H328" s="116"/>
      <c r="I328" s="116"/>
      <c r="J328" s="116"/>
      <c r="K328" s="116"/>
      <c r="L328" s="116"/>
      <c r="M328" s="116"/>
      <c r="N328" s="116"/>
    </row>
    <row r="329" spans="1:14" customFormat="1">
      <c r="A329" s="115"/>
      <c r="B329" s="116"/>
      <c r="C329" s="116"/>
      <c r="D329" s="116"/>
      <c r="E329" s="115"/>
      <c r="F329" s="115"/>
      <c r="G329" s="116"/>
      <c r="H329" s="116"/>
      <c r="I329" s="116"/>
      <c r="J329" s="116"/>
      <c r="K329" s="116"/>
      <c r="L329" s="116"/>
      <c r="M329" s="116"/>
      <c r="N329" s="116"/>
    </row>
    <row r="330" spans="1:14" customFormat="1">
      <c r="A330" s="115"/>
      <c r="B330" s="116"/>
      <c r="C330" s="116"/>
      <c r="D330" s="116"/>
      <c r="E330" s="115"/>
      <c r="F330" s="115"/>
      <c r="G330" s="116"/>
      <c r="H330" s="116"/>
      <c r="I330" s="116"/>
      <c r="J330" s="116"/>
      <c r="K330" s="116"/>
      <c r="L330" s="116"/>
      <c r="M330" s="116"/>
      <c r="N330" s="116"/>
    </row>
    <row r="331" spans="1:14" customFormat="1">
      <c r="A331" s="115"/>
      <c r="B331" s="116"/>
      <c r="C331" s="116"/>
      <c r="D331" s="116"/>
      <c r="E331" s="115"/>
      <c r="F331" s="115"/>
      <c r="G331" s="116"/>
      <c r="H331" s="116"/>
      <c r="I331" s="116"/>
      <c r="J331" s="116"/>
      <c r="K331" s="116"/>
      <c r="L331" s="116"/>
      <c r="M331" s="116"/>
      <c r="N331" s="116"/>
    </row>
    <row r="332" spans="1:14" customFormat="1">
      <c r="A332" s="115"/>
      <c r="B332" s="116"/>
      <c r="C332" s="116"/>
      <c r="D332" s="116"/>
      <c r="E332" s="115"/>
      <c r="F332" s="115"/>
      <c r="G332" s="116"/>
      <c r="H332" s="116"/>
      <c r="I332" s="116"/>
      <c r="J332" s="116"/>
      <c r="K332" s="116"/>
      <c r="L332" s="116"/>
      <c r="M332" s="116"/>
      <c r="N332" s="116"/>
    </row>
    <row r="333" spans="1:14" customFormat="1">
      <c r="A333" s="115"/>
      <c r="B333" s="116"/>
      <c r="C333" s="116"/>
      <c r="D333" s="116"/>
      <c r="E333" s="115"/>
      <c r="F333" s="115"/>
      <c r="G333" s="116"/>
      <c r="H333" s="116"/>
      <c r="I333" s="116"/>
      <c r="J333" s="116"/>
      <c r="K333" s="116"/>
      <c r="L333" s="116"/>
      <c r="M333" s="116"/>
      <c r="N333" s="116"/>
    </row>
    <row r="334" spans="1:14" customFormat="1">
      <c r="A334" s="115"/>
      <c r="B334" s="116"/>
      <c r="C334" s="116"/>
      <c r="D334" s="116"/>
      <c r="E334" s="115"/>
      <c r="F334" s="115"/>
      <c r="G334" s="116"/>
      <c r="H334" s="116"/>
      <c r="I334" s="116"/>
      <c r="J334" s="116"/>
      <c r="K334" s="116"/>
      <c r="L334" s="116"/>
      <c r="M334" s="116"/>
      <c r="N334" s="116"/>
    </row>
    <row r="335" spans="1:14" customFormat="1">
      <c r="A335" s="115"/>
      <c r="B335" s="116"/>
      <c r="C335" s="116"/>
      <c r="D335" s="116"/>
      <c r="E335" s="115"/>
      <c r="F335" s="115"/>
      <c r="G335" s="116"/>
      <c r="H335" s="116"/>
      <c r="I335" s="116"/>
      <c r="J335" s="116"/>
      <c r="K335" s="116"/>
      <c r="L335" s="116"/>
      <c r="M335" s="116"/>
      <c r="N335" s="116"/>
    </row>
    <row r="336" spans="1:14" customFormat="1">
      <c r="A336" s="115"/>
      <c r="B336" s="116"/>
      <c r="C336" s="116"/>
      <c r="D336" s="116"/>
      <c r="E336" s="115"/>
      <c r="F336" s="115"/>
      <c r="G336" s="116"/>
      <c r="H336" s="116"/>
      <c r="I336" s="116"/>
      <c r="J336" s="116"/>
      <c r="K336" s="116"/>
      <c r="L336" s="116"/>
      <c r="M336" s="116"/>
      <c r="N336" s="116"/>
    </row>
    <row r="337" spans="1:14" customFormat="1">
      <c r="A337" s="115"/>
      <c r="B337" s="116"/>
      <c r="C337" s="116"/>
      <c r="D337" s="116"/>
      <c r="E337" s="115"/>
      <c r="F337" s="115"/>
      <c r="G337" s="116"/>
      <c r="H337" s="116"/>
      <c r="I337" s="116"/>
      <c r="J337" s="116"/>
      <c r="K337" s="116"/>
      <c r="L337" s="116"/>
      <c r="M337" s="116"/>
      <c r="N337" s="116"/>
    </row>
    <row r="338" spans="1:14" customFormat="1">
      <c r="A338" s="115"/>
      <c r="B338" s="116"/>
      <c r="C338" s="116"/>
      <c r="D338" s="116"/>
      <c r="E338" s="115"/>
      <c r="F338" s="115"/>
      <c r="G338" s="116"/>
      <c r="H338" s="116"/>
      <c r="I338" s="116"/>
      <c r="J338" s="116"/>
      <c r="K338" s="116"/>
      <c r="L338" s="116"/>
      <c r="M338" s="116"/>
      <c r="N338" s="116"/>
    </row>
    <row r="339" spans="1:14" customFormat="1">
      <c r="A339" s="115"/>
      <c r="B339" s="116"/>
      <c r="C339" s="116"/>
      <c r="D339" s="116"/>
      <c r="E339" s="115"/>
      <c r="F339" s="115"/>
      <c r="G339" s="116"/>
      <c r="H339" s="116"/>
      <c r="I339" s="116"/>
      <c r="J339" s="116"/>
      <c r="K339" s="116"/>
      <c r="L339" s="116"/>
      <c r="M339" s="116"/>
      <c r="N339" s="116"/>
    </row>
    <row r="340" spans="1:14" customFormat="1">
      <c r="A340" s="115"/>
      <c r="B340" s="116"/>
      <c r="C340" s="116"/>
      <c r="D340" s="116"/>
      <c r="E340" s="115"/>
      <c r="F340" s="115"/>
      <c r="G340" s="116"/>
      <c r="H340" s="116"/>
      <c r="I340" s="116"/>
      <c r="J340" s="116"/>
      <c r="K340" s="116"/>
      <c r="L340" s="116"/>
      <c r="M340" s="116"/>
      <c r="N340" s="116"/>
    </row>
    <row r="341" spans="1:14" customFormat="1">
      <c r="A341" s="115"/>
      <c r="B341" s="116"/>
      <c r="C341" s="116"/>
      <c r="D341" s="116"/>
      <c r="E341" s="115"/>
      <c r="F341" s="115"/>
      <c r="G341" s="116"/>
      <c r="H341" s="116"/>
      <c r="I341" s="116"/>
      <c r="J341" s="116"/>
      <c r="K341" s="116"/>
      <c r="L341" s="116"/>
      <c r="M341" s="116"/>
      <c r="N341" s="116"/>
    </row>
    <row r="342" spans="1:14" customFormat="1">
      <c r="A342" s="115"/>
      <c r="B342" s="116"/>
      <c r="C342" s="116"/>
      <c r="D342" s="116"/>
      <c r="E342" s="115"/>
      <c r="F342" s="115"/>
      <c r="G342" s="116"/>
      <c r="H342" s="116"/>
      <c r="I342" s="116"/>
      <c r="J342" s="116"/>
      <c r="K342" s="116"/>
      <c r="L342" s="116"/>
      <c r="M342" s="116"/>
      <c r="N342" s="116"/>
    </row>
    <row r="343" spans="1:14" customFormat="1">
      <c r="A343" s="115"/>
      <c r="B343" s="116"/>
      <c r="C343" s="116"/>
      <c r="D343" s="116"/>
      <c r="E343" s="115"/>
      <c r="F343" s="115"/>
      <c r="G343" s="116"/>
      <c r="H343" s="116"/>
      <c r="I343" s="116"/>
      <c r="J343" s="116"/>
      <c r="K343" s="116"/>
      <c r="L343" s="116"/>
      <c r="M343" s="116"/>
      <c r="N343" s="116"/>
    </row>
    <row r="344" spans="1:14" customFormat="1">
      <c r="A344" s="115"/>
      <c r="B344" s="116"/>
      <c r="C344" s="116"/>
      <c r="D344" s="116"/>
      <c r="E344" s="115"/>
      <c r="F344" s="115"/>
      <c r="G344" s="116"/>
      <c r="H344" s="116"/>
      <c r="I344" s="116"/>
      <c r="J344" s="116"/>
      <c r="K344" s="116"/>
      <c r="L344" s="116"/>
      <c r="M344" s="116"/>
      <c r="N344" s="116"/>
    </row>
    <row r="345" spans="1:14" customFormat="1">
      <c r="A345" s="115"/>
      <c r="B345" s="116"/>
      <c r="C345" s="116"/>
      <c r="D345" s="116"/>
      <c r="E345" s="115"/>
      <c r="F345" s="115"/>
      <c r="G345" s="116"/>
      <c r="H345" s="116"/>
      <c r="I345" s="116"/>
      <c r="J345" s="116"/>
      <c r="K345" s="116"/>
      <c r="L345" s="116"/>
      <c r="M345" s="116"/>
      <c r="N345" s="116"/>
    </row>
    <row r="346" spans="1:14" customFormat="1">
      <c r="A346" s="115"/>
      <c r="B346" s="116"/>
      <c r="C346" s="116"/>
      <c r="D346" s="116"/>
      <c r="E346" s="115"/>
      <c r="F346" s="115"/>
      <c r="G346" s="116"/>
      <c r="H346" s="116"/>
      <c r="I346" s="116"/>
      <c r="J346" s="116"/>
      <c r="K346" s="116"/>
      <c r="L346" s="116"/>
      <c r="M346" s="116"/>
      <c r="N346" s="116"/>
    </row>
    <row r="347" spans="1:14" customFormat="1">
      <c r="A347" s="115"/>
      <c r="B347" s="116"/>
      <c r="C347" s="116"/>
      <c r="D347" s="116"/>
      <c r="E347" s="115"/>
      <c r="F347" s="115"/>
      <c r="G347" s="116"/>
      <c r="H347" s="116"/>
      <c r="I347" s="116"/>
      <c r="J347" s="116"/>
      <c r="K347" s="116"/>
      <c r="L347" s="116"/>
      <c r="M347" s="116"/>
      <c r="N347" s="116"/>
    </row>
    <row r="348" spans="1:14" customFormat="1">
      <c r="A348" s="115"/>
      <c r="B348" s="116"/>
      <c r="C348" s="116"/>
      <c r="D348" s="116"/>
      <c r="E348" s="115"/>
      <c r="F348" s="115"/>
      <c r="G348" s="116"/>
      <c r="H348" s="116"/>
      <c r="I348" s="116"/>
      <c r="J348" s="116"/>
      <c r="K348" s="116"/>
      <c r="L348" s="116"/>
      <c r="M348" s="116"/>
      <c r="N348" s="116"/>
    </row>
    <row r="349" spans="1:14" customFormat="1">
      <c r="A349" s="115"/>
      <c r="B349" s="116"/>
      <c r="C349" s="116"/>
      <c r="D349" s="116"/>
      <c r="E349" s="115"/>
      <c r="F349" s="115"/>
      <c r="G349" s="116"/>
      <c r="H349" s="116"/>
      <c r="I349" s="116"/>
      <c r="J349" s="116"/>
      <c r="K349" s="116"/>
      <c r="L349" s="116"/>
      <c r="M349" s="116"/>
      <c r="N349" s="116"/>
    </row>
    <row r="350" spans="1:14" customFormat="1">
      <c r="A350" s="115"/>
      <c r="B350" s="116"/>
      <c r="C350" s="116"/>
      <c r="D350" s="116"/>
      <c r="E350" s="115"/>
      <c r="F350" s="115"/>
      <c r="G350" s="116"/>
      <c r="H350" s="116"/>
      <c r="I350" s="116"/>
      <c r="J350" s="116"/>
      <c r="K350" s="116"/>
      <c r="L350" s="116"/>
      <c r="M350" s="116"/>
      <c r="N350" s="116"/>
    </row>
    <row r="351" spans="1:14" customFormat="1">
      <c r="A351" s="115"/>
      <c r="B351" s="116"/>
      <c r="C351" s="116"/>
      <c r="D351" s="116"/>
      <c r="E351" s="115"/>
      <c r="F351" s="115"/>
      <c r="G351" s="116"/>
      <c r="H351" s="116"/>
      <c r="I351" s="116"/>
      <c r="J351" s="116"/>
      <c r="K351" s="116"/>
      <c r="L351" s="116"/>
      <c r="M351" s="116"/>
      <c r="N351" s="116"/>
    </row>
    <row r="352" spans="1:14" customFormat="1">
      <c r="A352" s="115"/>
      <c r="B352" s="116"/>
      <c r="C352" s="116"/>
      <c r="D352" s="116"/>
      <c r="E352" s="115"/>
      <c r="F352" s="115"/>
      <c r="G352" s="116"/>
      <c r="H352" s="116"/>
      <c r="I352" s="116"/>
      <c r="J352" s="116"/>
      <c r="K352" s="116"/>
      <c r="L352" s="116"/>
      <c r="M352" s="116"/>
      <c r="N352" s="116"/>
    </row>
    <row r="353" spans="1:14" customFormat="1">
      <c r="A353" s="115"/>
      <c r="B353" s="116"/>
      <c r="C353" s="116"/>
      <c r="D353" s="116"/>
      <c r="E353" s="115"/>
      <c r="F353" s="115"/>
      <c r="G353" s="116"/>
      <c r="H353" s="116"/>
      <c r="I353" s="116"/>
      <c r="J353" s="116"/>
      <c r="K353" s="116"/>
      <c r="L353" s="116"/>
      <c r="M353" s="116"/>
      <c r="N353" s="116"/>
    </row>
    <row r="354" spans="1:14" customFormat="1">
      <c r="A354" s="115"/>
      <c r="B354" s="116"/>
      <c r="C354" s="116"/>
      <c r="D354" s="116"/>
      <c r="E354" s="115"/>
      <c r="F354" s="115"/>
      <c r="G354" s="116"/>
      <c r="H354" s="116"/>
      <c r="I354" s="116"/>
      <c r="J354" s="116"/>
      <c r="K354" s="116"/>
      <c r="L354" s="116"/>
      <c r="M354" s="116"/>
      <c r="N354" s="116"/>
    </row>
    <row r="355" spans="1:14" customFormat="1">
      <c r="A355" s="115"/>
      <c r="B355" s="116"/>
      <c r="C355" s="116"/>
      <c r="D355" s="116"/>
      <c r="E355" s="115"/>
      <c r="F355" s="115"/>
      <c r="G355" s="116"/>
      <c r="H355" s="116"/>
      <c r="I355" s="116"/>
      <c r="J355" s="116"/>
      <c r="K355" s="116"/>
      <c r="L355" s="116"/>
      <c r="M355" s="116"/>
      <c r="N355" s="116"/>
    </row>
    <row r="356" spans="1:14" customFormat="1">
      <c r="A356" s="115"/>
      <c r="B356" s="116"/>
      <c r="C356" s="116"/>
      <c r="D356" s="116"/>
      <c r="E356" s="115"/>
      <c r="F356" s="115"/>
      <c r="G356" s="116"/>
      <c r="H356" s="116"/>
      <c r="I356" s="116"/>
      <c r="J356" s="116"/>
      <c r="K356" s="116"/>
      <c r="L356" s="116"/>
      <c r="M356" s="116"/>
      <c r="N356" s="116"/>
    </row>
    <row r="357" spans="1:14" customFormat="1">
      <c r="A357" s="115"/>
      <c r="B357" s="116"/>
      <c r="C357" s="116"/>
      <c r="D357" s="116"/>
      <c r="E357" s="115"/>
      <c r="F357" s="115"/>
      <c r="G357" s="116"/>
      <c r="H357" s="116"/>
      <c r="I357" s="116"/>
      <c r="J357" s="116"/>
      <c r="K357" s="116"/>
      <c r="L357" s="116"/>
      <c r="M357" s="116"/>
      <c r="N357" s="116"/>
    </row>
    <row r="358" spans="1:14" customFormat="1">
      <c r="A358" s="115"/>
      <c r="B358" s="116"/>
      <c r="C358" s="116"/>
      <c r="D358" s="116"/>
      <c r="E358" s="115"/>
      <c r="F358" s="115"/>
      <c r="G358" s="116"/>
      <c r="H358" s="116"/>
      <c r="I358" s="116"/>
      <c r="J358" s="116"/>
      <c r="K358" s="116"/>
      <c r="L358" s="116"/>
      <c r="M358" s="116"/>
      <c r="N358" s="116"/>
    </row>
    <row r="359" spans="1:14" customFormat="1">
      <c r="A359" s="115"/>
      <c r="B359" s="116"/>
      <c r="C359" s="116"/>
      <c r="D359" s="116"/>
      <c r="E359" s="115"/>
      <c r="F359" s="115"/>
      <c r="G359" s="116"/>
      <c r="H359" s="116"/>
      <c r="I359" s="116"/>
      <c r="J359" s="116"/>
      <c r="K359" s="116"/>
      <c r="L359" s="116"/>
      <c r="M359" s="116"/>
      <c r="N359" s="116"/>
    </row>
    <row r="360" spans="1:14" customFormat="1">
      <c r="A360" s="115"/>
      <c r="B360" s="116"/>
      <c r="C360" s="116"/>
      <c r="D360" s="116"/>
      <c r="E360" s="115"/>
      <c r="F360" s="115"/>
      <c r="G360" s="116"/>
      <c r="H360" s="116"/>
      <c r="I360" s="116"/>
      <c r="J360" s="116"/>
      <c r="K360" s="116"/>
      <c r="L360" s="116"/>
      <c r="M360" s="116"/>
      <c r="N360" s="116"/>
    </row>
    <row r="361" spans="1:14" customFormat="1">
      <c r="A361" s="115"/>
      <c r="B361" s="116"/>
      <c r="C361" s="116"/>
      <c r="D361" s="116"/>
      <c r="E361" s="115"/>
      <c r="F361" s="115"/>
      <c r="G361" s="116"/>
      <c r="H361" s="116"/>
      <c r="I361" s="116"/>
      <c r="J361" s="116"/>
      <c r="K361" s="116"/>
      <c r="L361" s="116"/>
      <c r="M361" s="116"/>
      <c r="N361" s="116"/>
    </row>
    <row r="362" spans="1:14" customFormat="1">
      <c r="A362" s="115"/>
      <c r="B362" s="116"/>
      <c r="C362" s="116"/>
      <c r="D362" s="116"/>
      <c r="E362" s="115"/>
      <c r="F362" s="115"/>
      <c r="G362" s="116"/>
      <c r="H362" s="116"/>
      <c r="I362" s="116"/>
      <c r="J362" s="116"/>
      <c r="K362" s="116"/>
      <c r="L362" s="116"/>
      <c r="M362" s="116"/>
      <c r="N362" s="116"/>
    </row>
    <row r="363" spans="1:14" customFormat="1">
      <c r="A363" s="115"/>
      <c r="B363" s="116"/>
      <c r="C363" s="116"/>
      <c r="D363" s="116"/>
      <c r="E363" s="115"/>
      <c r="F363" s="115"/>
      <c r="G363" s="116"/>
      <c r="H363" s="116"/>
      <c r="I363" s="116"/>
      <c r="J363" s="116"/>
      <c r="K363" s="116"/>
      <c r="L363" s="116"/>
      <c r="M363" s="116"/>
      <c r="N363" s="116"/>
    </row>
    <row r="364" spans="1:14" customFormat="1">
      <c r="A364" s="115"/>
      <c r="B364" s="116"/>
      <c r="C364" s="116"/>
      <c r="D364" s="116"/>
      <c r="E364" s="115"/>
      <c r="F364" s="115"/>
      <c r="G364" s="116"/>
      <c r="H364" s="116"/>
      <c r="I364" s="116"/>
      <c r="J364" s="116"/>
      <c r="K364" s="116"/>
      <c r="L364" s="116"/>
      <c r="M364" s="116"/>
      <c r="N364" s="116"/>
    </row>
    <row r="365" spans="1:14" customFormat="1">
      <c r="A365" s="115"/>
      <c r="B365" s="116"/>
      <c r="C365" s="116"/>
      <c r="D365" s="116"/>
      <c r="E365" s="115"/>
      <c r="F365" s="115"/>
      <c r="G365" s="116"/>
      <c r="H365" s="116"/>
      <c r="I365" s="116"/>
      <c r="J365" s="116"/>
      <c r="K365" s="116"/>
      <c r="L365" s="116"/>
      <c r="M365" s="116"/>
      <c r="N365" s="116"/>
    </row>
    <row r="366" spans="1:14" customFormat="1">
      <c r="A366" s="115"/>
      <c r="B366" s="116"/>
      <c r="C366" s="116"/>
      <c r="D366" s="116"/>
      <c r="E366" s="115"/>
      <c r="F366" s="115"/>
      <c r="G366" s="116"/>
      <c r="H366" s="116"/>
      <c r="I366" s="116"/>
      <c r="J366" s="116"/>
      <c r="K366" s="116"/>
      <c r="L366" s="116"/>
      <c r="M366" s="116"/>
      <c r="N366" s="116"/>
    </row>
    <row r="367" spans="1:14" customFormat="1">
      <c r="A367" s="115"/>
      <c r="B367" s="116"/>
      <c r="C367" s="116"/>
      <c r="D367" s="116"/>
      <c r="E367" s="115"/>
      <c r="F367" s="115"/>
      <c r="G367" s="116"/>
      <c r="H367" s="116"/>
      <c r="I367" s="116"/>
      <c r="J367" s="116"/>
      <c r="K367" s="116"/>
      <c r="L367" s="116"/>
      <c r="M367" s="116"/>
      <c r="N367" s="116"/>
    </row>
    <row r="368" spans="1:14" customFormat="1">
      <c r="A368" s="115"/>
      <c r="B368" s="116"/>
      <c r="C368" s="116"/>
      <c r="D368" s="116"/>
      <c r="E368" s="115"/>
      <c r="F368" s="115"/>
      <c r="G368" s="116"/>
      <c r="H368" s="116"/>
      <c r="I368" s="116"/>
      <c r="J368" s="116"/>
      <c r="K368" s="116"/>
      <c r="L368" s="116"/>
      <c r="M368" s="116"/>
      <c r="N368" s="116"/>
    </row>
    <row r="369" spans="1:14" customFormat="1">
      <c r="A369" s="115"/>
      <c r="B369" s="116"/>
      <c r="C369" s="116"/>
      <c r="D369" s="116"/>
      <c r="E369" s="115"/>
      <c r="F369" s="115"/>
      <c r="G369" s="116"/>
      <c r="H369" s="116"/>
      <c r="I369" s="116"/>
      <c r="J369" s="116"/>
      <c r="K369" s="116"/>
      <c r="L369" s="116"/>
      <c r="M369" s="116"/>
      <c r="N369" s="116"/>
    </row>
    <row r="370" spans="1:14" customFormat="1">
      <c r="A370" s="115"/>
      <c r="B370" s="116"/>
      <c r="C370" s="116"/>
      <c r="D370" s="116"/>
      <c r="E370" s="115"/>
      <c r="F370" s="115"/>
      <c r="G370" s="116"/>
      <c r="H370" s="116"/>
      <c r="I370" s="116"/>
      <c r="J370" s="116"/>
      <c r="K370" s="116"/>
      <c r="L370" s="116"/>
      <c r="M370" s="116"/>
      <c r="N370" s="116"/>
    </row>
    <row r="371" spans="1:14" customFormat="1">
      <c r="A371" s="115"/>
      <c r="B371" s="116"/>
      <c r="C371" s="116"/>
      <c r="D371" s="116"/>
      <c r="E371" s="115"/>
      <c r="F371" s="115"/>
      <c r="G371" s="116"/>
      <c r="H371" s="116"/>
      <c r="I371" s="116"/>
      <c r="J371" s="116"/>
      <c r="K371" s="116"/>
      <c r="L371" s="116"/>
      <c r="M371" s="116"/>
      <c r="N371" s="116"/>
    </row>
    <row r="372" spans="1:14" customFormat="1">
      <c r="A372" s="115"/>
      <c r="B372" s="116"/>
      <c r="C372" s="116"/>
      <c r="D372" s="116"/>
      <c r="E372" s="115"/>
      <c r="F372" s="115"/>
      <c r="G372" s="116"/>
      <c r="H372" s="116"/>
      <c r="I372" s="116"/>
      <c r="J372" s="116"/>
      <c r="K372" s="116"/>
      <c r="L372" s="116"/>
      <c r="M372" s="116"/>
      <c r="N372" s="116"/>
    </row>
    <row r="373" spans="1:14" customFormat="1">
      <c r="A373" s="115"/>
      <c r="B373" s="116"/>
      <c r="C373" s="116"/>
      <c r="D373" s="116"/>
      <c r="E373" s="115"/>
      <c r="F373" s="115"/>
      <c r="G373" s="116"/>
      <c r="H373" s="116"/>
      <c r="I373" s="116"/>
      <c r="J373" s="116"/>
      <c r="K373" s="116"/>
      <c r="L373" s="116"/>
      <c r="M373" s="116"/>
      <c r="N373" s="116"/>
    </row>
    <row r="374" spans="1:14" customFormat="1">
      <c r="A374" s="115"/>
      <c r="B374" s="116"/>
      <c r="C374" s="116"/>
      <c r="D374" s="116"/>
      <c r="E374" s="115"/>
      <c r="F374" s="115"/>
      <c r="G374" s="116"/>
      <c r="H374" s="116"/>
      <c r="I374" s="116"/>
      <c r="J374" s="116"/>
      <c r="K374" s="116"/>
      <c r="L374" s="116"/>
      <c r="M374" s="116"/>
      <c r="N374" s="116"/>
    </row>
    <row r="375" spans="1:14" customFormat="1">
      <c r="A375" s="115"/>
      <c r="B375" s="116"/>
      <c r="C375" s="116"/>
      <c r="D375" s="116"/>
      <c r="E375" s="115"/>
      <c r="F375" s="115"/>
      <c r="G375" s="116"/>
      <c r="H375" s="116"/>
      <c r="I375" s="116"/>
      <c r="J375" s="116"/>
      <c r="K375" s="116"/>
      <c r="L375" s="116"/>
      <c r="M375" s="116"/>
      <c r="N375" s="116"/>
    </row>
    <row r="376" spans="1:14" customFormat="1">
      <c r="A376" s="115"/>
      <c r="B376" s="116"/>
      <c r="C376" s="116"/>
      <c r="D376" s="116"/>
      <c r="E376" s="115"/>
      <c r="F376" s="115"/>
      <c r="G376" s="116"/>
      <c r="H376" s="116"/>
      <c r="I376" s="116"/>
      <c r="J376" s="116"/>
      <c r="K376" s="116"/>
      <c r="L376" s="116"/>
      <c r="M376" s="116"/>
      <c r="N376" s="116"/>
    </row>
    <row r="377" spans="1:14" customFormat="1">
      <c r="A377" s="115"/>
      <c r="B377" s="116"/>
      <c r="C377" s="116"/>
      <c r="D377" s="116"/>
      <c r="E377" s="115"/>
      <c r="F377" s="115"/>
      <c r="G377" s="116"/>
      <c r="H377" s="116"/>
      <c r="I377" s="116"/>
      <c r="J377" s="116"/>
      <c r="K377" s="116"/>
      <c r="L377" s="116"/>
      <c r="M377" s="116"/>
      <c r="N377" s="116"/>
    </row>
    <row r="378" spans="1:14" customFormat="1">
      <c r="A378" s="115"/>
      <c r="B378" s="116"/>
      <c r="C378" s="116"/>
      <c r="D378" s="116"/>
      <c r="E378" s="115"/>
      <c r="F378" s="115"/>
      <c r="G378" s="116"/>
      <c r="H378" s="116"/>
      <c r="I378" s="116"/>
      <c r="J378" s="116"/>
      <c r="K378" s="116"/>
      <c r="L378" s="116"/>
      <c r="M378" s="116"/>
      <c r="N378" s="116"/>
    </row>
    <row r="379" spans="1:14" customFormat="1">
      <c r="A379" s="115"/>
      <c r="B379" s="116"/>
      <c r="C379" s="116"/>
      <c r="D379" s="116"/>
      <c r="E379" s="115"/>
      <c r="F379" s="115"/>
      <c r="G379" s="116"/>
      <c r="H379" s="116"/>
      <c r="I379" s="116"/>
      <c r="J379" s="116"/>
      <c r="K379" s="116"/>
      <c r="L379" s="116"/>
      <c r="M379" s="116"/>
      <c r="N379" s="116"/>
    </row>
    <row r="380" spans="1:14" customFormat="1">
      <c r="A380" s="115"/>
      <c r="B380" s="116"/>
      <c r="C380" s="116"/>
      <c r="D380" s="116"/>
      <c r="E380" s="115"/>
      <c r="F380" s="115"/>
      <c r="G380" s="116"/>
      <c r="H380" s="116"/>
      <c r="I380" s="116"/>
      <c r="J380" s="116"/>
      <c r="K380" s="116"/>
      <c r="L380" s="116"/>
      <c r="M380" s="116"/>
      <c r="N380" s="116"/>
    </row>
    <row r="381" spans="1:14" customFormat="1">
      <c r="A381" s="115"/>
      <c r="B381" s="116"/>
      <c r="C381" s="116"/>
      <c r="D381" s="116"/>
      <c r="E381" s="115"/>
      <c r="F381" s="115"/>
      <c r="G381" s="116"/>
      <c r="H381" s="116"/>
      <c r="I381" s="116"/>
      <c r="J381" s="116"/>
      <c r="K381" s="116"/>
      <c r="L381" s="116"/>
      <c r="M381" s="116"/>
      <c r="N381" s="116"/>
    </row>
  </sheetData>
  <autoFilter ref="A7:O59">
    <filterColumn colId="4">
      <filters>
        <filter val="Audit"/>
      </filters>
    </filterColumn>
    <filterColumn colId="9"/>
    <sortState ref="A8:O59">
      <sortCondition ref="A7:A59"/>
    </sortState>
  </autoFilter>
  <dataConsolidate/>
  <pageMargins left="0.23622047244094491" right="0.23622047244094491" top="0.74803149606299213" bottom="0.74803149606299213" header="0.31496062992125984" footer="0.31496062992125984"/>
  <pageSetup paperSize="8" scale="52" fitToHeight="0" orientation="landscape" r:id="rId1"/>
</worksheet>
</file>

<file path=xl/worksheets/sheet9.xml><?xml version="1.0" encoding="utf-8"?>
<worksheet xmlns="http://schemas.openxmlformats.org/spreadsheetml/2006/main" xmlns:r="http://schemas.openxmlformats.org/officeDocument/2006/relationships">
  <sheetPr codeName="Sheet8"/>
  <dimension ref="B1:AD55"/>
  <sheetViews>
    <sheetView tabSelected="1" zoomScale="60" zoomScaleNormal="60" workbookViewId="0">
      <selection activeCell="E37" sqref="E37"/>
    </sheetView>
  </sheetViews>
  <sheetFormatPr defaultRowHeight="15"/>
  <cols>
    <col min="2" max="2" width="24" customWidth="1"/>
    <col min="3" max="3" width="29.7109375" bestFit="1" customWidth="1"/>
    <col min="4" max="4" width="25.140625" bestFit="1" customWidth="1"/>
    <col min="5" max="5" width="17.7109375" bestFit="1" customWidth="1"/>
    <col min="7" max="7" width="29.7109375" bestFit="1" customWidth="1"/>
    <col min="8" max="8" width="19.140625" bestFit="1" customWidth="1"/>
    <col min="9" max="9" width="19.7109375" bestFit="1" customWidth="1"/>
    <col min="10" max="11" width="19.85546875" bestFit="1" customWidth="1"/>
    <col min="12" max="12" width="82.28515625" customWidth="1"/>
    <col min="14" max="14" width="19.28515625" bestFit="1" customWidth="1"/>
  </cols>
  <sheetData>
    <row r="1" spans="2:30">
      <c r="R1" s="104"/>
      <c r="S1" s="104"/>
      <c r="T1" s="104"/>
      <c r="U1" s="104"/>
      <c r="V1" s="104"/>
      <c r="W1" s="104"/>
      <c r="X1" s="104"/>
      <c r="Y1" s="104"/>
      <c r="Z1" s="104"/>
      <c r="AA1" s="104"/>
      <c r="AB1" s="104"/>
      <c r="AC1" s="104"/>
      <c r="AD1" s="104"/>
    </row>
    <row r="3" spans="2:30" ht="27.75" customHeight="1">
      <c r="B3" s="129" t="s">
        <v>647</v>
      </c>
      <c r="C3" s="108" t="s">
        <v>695</v>
      </c>
      <c r="D3" s="108" t="s">
        <v>648</v>
      </c>
      <c r="E3" s="108" t="s">
        <v>649</v>
      </c>
      <c r="G3" s="129" t="s">
        <v>647</v>
      </c>
      <c r="H3" s="108" t="s">
        <v>694</v>
      </c>
      <c r="I3" s="108" t="s">
        <v>655</v>
      </c>
      <c r="J3" s="108" t="s">
        <v>648</v>
      </c>
      <c r="K3" s="108" t="s">
        <v>656</v>
      </c>
      <c r="L3" s="111" t="s">
        <v>657</v>
      </c>
    </row>
    <row r="4" spans="2:30">
      <c r="B4" s="126" t="s">
        <v>431</v>
      </c>
      <c r="C4" s="128" t="s">
        <v>650</v>
      </c>
      <c r="D4" s="127" t="s">
        <v>651</v>
      </c>
      <c r="E4" s="127" t="s">
        <v>652</v>
      </c>
      <c r="G4" s="198" t="s">
        <v>431</v>
      </c>
      <c r="H4" s="110">
        <v>48</v>
      </c>
      <c r="I4" s="110" t="s">
        <v>652</v>
      </c>
      <c r="J4" s="110" t="s">
        <v>652</v>
      </c>
      <c r="K4" s="110" t="s">
        <v>652</v>
      </c>
      <c r="L4" s="194" t="s">
        <v>665</v>
      </c>
    </row>
    <row r="5" spans="2:30">
      <c r="B5" s="126" t="s">
        <v>431</v>
      </c>
      <c r="C5" s="128" t="s">
        <v>653</v>
      </c>
      <c r="D5" s="127" t="s">
        <v>651</v>
      </c>
      <c r="E5" s="127" t="s">
        <v>652</v>
      </c>
      <c r="G5" s="198" t="s">
        <v>431</v>
      </c>
      <c r="H5" s="110">
        <v>76</v>
      </c>
      <c r="I5" s="110" t="s">
        <v>652</v>
      </c>
      <c r="J5" s="110" t="s">
        <v>652</v>
      </c>
      <c r="K5" s="110" t="s">
        <v>652</v>
      </c>
      <c r="L5" s="193" t="s">
        <v>665</v>
      </c>
    </row>
    <row r="6" spans="2:30">
      <c r="B6" s="126" t="s">
        <v>431</v>
      </c>
      <c r="C6" s="128" t="s">
        <v>654</v>
      </c>
      <c r="D6" s="127" t="s">
        <v>651</v>
      </c>
      <c r="E6" s="127" t="s">
        <v>652</v>
      </c>
      <c r="G6" s="198" t="s">
        <v>431</v>
      </c>
      <c r="H6" s="110">
        <v>77</v>
      </c>
      <c r="I6" s="110" t="s">
        <v>652</v>
      </c>
      <c r="J6" s="110" t="s">
        <v>652</v>
      </c>
      <c r="K6" s="110" t="s">
        <v>652</v>
      </c>
      <c r="L6" s="193" t="s">
        <v>665</v>
      </c>
    </row>
    <row r="7" spans="2:30">
      <c r="B7" s="126" t="s">
        <v>430</v>
      </c>
      <c r="C7" s="128" t="s">
        <v>650</v>
      </c>
      <c r="D7" s="127" t="s">
        <v>651</v>
      </c>
      <c r="E7" s="127" t="s">
        <v>652</v>
      </c>
      <c r="G7" s="198" t="s">
        <v>431</v>
      </c>
      <c r="H7" s="110">
        <v>78</v>
      </c>
      <c r="I7" s="110" t="s">
        <v>652</v>
      </c>
      <c r="J7" s="110" t="s">
        <v>652</v>
      </c>
      <c r="K7" s="110" t="s">
        <v>652</v>
      </c>
      <c r="L7" s="193" t="s">
        <v>665</v>
      </c>
    </row>
    <row r="8" spans="2:30">
      <c r="B8" s="126" t="s">
        <v>430</v>
      </c>
      <c r="C8" s="128" t="s">
        <v>653</v>
      </c>
      <c r="D8" s="127" t="s">
        <v>651</v>
      </c>
      <c r="E8" s="127" t="s">
        <v>652</v>
      </c>
      <c r="G8" s="198" t="s">
        <v>431</v>
      </c>
      <c r="H8" s="110">
        <v>80</v>
      </c>
      <c r="I8" s="110" t="s">
        <v>652</v>
      </c>
      <c r="J8" s="110" t="s">
        <v>652</v>
      </c>
      <c r="K8" s="110" t="s">
        <v>652</v>
      </c>
      <c r="L8" s="193" t="s">
        <v>665</v>
      </c>
    </row>
    <row r="9" spans="2:30">
      <c r="B9" s="126" t="s">
        <v>430</v>
      </c>
      <c r="C9" s="128" t="s">
        <v>654</v>
      </c>
      <c r="D9" s="127" t="s">
        <v>651</v>
      </c>
      <c r="E9" s="127" t="s">
        <v>652</v>
      </c>
      <c r="G9" s="198" t="s">
        <v>431</v>
      </c>
      <c r="H9" s="110">
        <v>81</v>
      </c>
      <c r="I9" s="110" t="s">
        <v>652</v>
      </c>
      <c r="J9" s="110" t="s">
        <v>652</v>
      </c>
      <c r="K9" s="110" t="s">
        <v>652</v>
      </c>
      <c r="L9" s="193" t="s">
        <v>665</v>
      </c>
    </row>
    <row r="10" spans="2:30">
      <c r="B10" s="126" t="s">
        <v>438</v>
      </c>
      <c r="C10" s="128" t="s">
        <v>650</v>
      </c>
      <c r="D10" s="127" t="s">
        <v>651</v>
      </c>
      <c r="E10" s="127" t="s">
        <v>652</v>
      </c>
      <c r="G10" s="198" t="s">
        <v>431</v>
      </c>
      <c r="H10" s="110">
        <v>82</v>
      </c>
      <c r="I10" s="110" t="s">
        <v>652</v>
      </c>
      <c r="J10" s="110" t="s">
        <v>652</v>
      </c>
      <c r="K10" s="110" t="s">
        <v>652</v>
      </c>
      <c r="L10" s="193"/>
    </row>
    <row r="11" spans="2:30">
      <c r="B11" s="126" t="s">
        <v>438</v>
      </c>
      <c r="C11" s="128" t="s">
        <v>653</v>
      </c>
      <c r="D11" s="127" t="s">
        <v>651</v>
      </c>
      <c r="E11" s="127" t="s">
        <v>652</v>
      </c>
      <c r="G11" s="198" t="s">
        <v>431</v>
      </c>
      <c r="H11" s="110">
        <v>83</v>
      </c>
      <c r="I11" s="110" t="s">
        <v>652</v>
      </c>
      <c r="J11" s="110" t="s">
        <v>652</v>
      </c>
      <c r="K11" s="110" t="s">
        <v>652</v>
      </c>
      <c r="L11" s="193"/>
    </row>
    <row r="12" spans="2:30">
      <c r="B12" s="126" t="s">
        <v>438</v>
      </c>
      <c r="C12" s="128" t="s">
        <v>654</v>
      </c>
      <c r="D12" s="127" t="s">
        <v>651</v>
      </c>
      <c r="E12" s="127" t="s">
        <v>652</v>
      </c>
      <c r="G12" s="198" t="s">
        <v>431</v>
      </c>
      <c r="H12" s="110">
        <v>84</v>
      </c>
      <c r="I12" s="110" t="s">
        <v>652</v>
      </c>
      <c r="J12" s="110" t="s">
        <v>652</v>
      </c>
      <c r="K12" s="110" t="s">
        <v>658</v>
      </c>
      <c r="L12" s="193"/>
    </row>
    <row r="13" spans="2:30" ht="30" customHeight="1">
      <c r="B13" s="126" t="s">
        <v>728</v>
      </c>
      <c r="C13" s="128" t="s">
        <v>650</v>
      </c>
      <c r="D13" s="127" t="s">
        <v>651</v>
      </c>
      <c r="E13" s="127" t="s">
        <v>652</v>
      </c>
      <c r="G13" s="198" t="s">
        <v>430</v>
      </c>
      <c r="H13" s="110">
        <v>47</v>
      </c>
      <c r="I13" s="110" t="s">
        <v>652</v>
      </c>
      <c r="J13" s="110" t="s">
        <v>652</v>
      </c>
      <c r="K13" s="110" t="s">
        <v>652</v>
      </c>
      <c r="L13" s="193" t="s">
        <v>924</v>
      </c>
    </row>
    <row r="14" spans="2:30" ht="30" customHeight="1">
      <c r="B14" s="126" t="s">
        <v>728</v>
      </c>
      <c r="C14" s="128" t="s">
        <v>653</v>
      </c>
      <c r="D14" s="127" t="s">
        <v>651</v>
      </c>
      <c r="E14" s="127" t="s">
        <v>652</v>
      </c>
      <c r="G14" s="198" t="s">
        <v>438</v>
      </c>
      <c r="H14" s="110">
        <v>100</v>
      </c>
      <c r="I14" s="110" t="s">
        <v>658</v>
      </c>
      <c r="J14" s="110" t="s">
        <v>652</v>
      </c>
      <c r="K14" s="110" t="s">
        <v>652</v>
      </c>
      <c r="L14" s="193" t="s">
        <v>669</v>
      </c>
    </row>
    <row r="15" spans="2:30" ht="30">
      <c r="B15" s="126" t="s">
        <v>728</v>
      </c>
      <c r="C15" s="128" t="s">
        <v>654</v>
      </c>
      <c r="D15" s="127" t="s">
        <v>651</v>
      </c>
      <c r="E15" s="127" t="s">
        <v>652</v>
      </c>
      <c r="G15" s="198" t="s">
        <v>438</v>
      </c>
      <c r="H15" s="110">
        <v>101</v>
      </c>
      <c r="I15" s="110" t="s">
        <v>652</v>
      </c>
      <c r="J15" s="110" t="s">
        <v>652</v>
      </c>
      <c r="K15" s="110" t="s">
        <v>652</v>
      </c>
      <c r="L15" s="193" t="s">
        <v>670</v>
      </c>
    </row>
    <row r="16" spans="2:30">
      <c r="B16" s="126" t="s">
        <v>428</v>
      </c>
      <c r="C16" s="128" t="s">
        <v>650</v>
      </c>
      <c r="D16" s="127" t="s">
        <v>651</v>
      </c>
      <c r="E16" s="127" t="s">
        <v>652</v>
      </c>
      <c r="G16" s="198" t="s">
        <v>438</v>
      </c>
      <c r="H16" s="110">
        <v>102</v>
      </c>
      <c r="I16" s="110" t="s">
        <v>652</v>
      </c>
      <c r="J16" s="110" t="s">
        <v>652</v>
      </c>
      <c r="K16" s="110" t="s">
        <v>652</v>
      </c>
      <c r="L16" s="193" t="s">
        <v>671</v>
      </c>
    </row>
    <row r="17" spans="2:12">
      <c r="B17" s="126" t="s">
        <v>428</v>
      </c>
      <c r="C17" s="128" t="s">
        <v>653</v>
      </c>
      <c r="D17" s="127" t="s">
        <v>651</v>
      </c>
      <c r="E17" s="127" t="s">
        <v>652</v>
      </c>
      <c r="G17" s="198" t="s">
        <v>438</v>
      </c>
      <c r="H17" s="110">
        <v>103</v>
      </c>
      <c r="I17" s="110" t="s">
        <v>652</v>
      </c>
      <c r="J17" s="110" t="s">
        <v>652</v>
      </c>
      <c r="K17" s="110" t="s">
        <v>652</v>
      </c>
      <c r="L17" s="193" t="s">
        <v>874</v>
      </c>
    </row>
    <row r="18" spans="2:12" ht="30" customHeight="1">
      <c r="B18" s="126" t="s">
        <v>428</v>
      </c>
      <c r="C18" s="128" t="s">
        <v>654</v>
      </c>
      <c r="D18" s="127" t="s">
        <v>651</v>
      </c>
      <c r="E18" s="127" t="s">
        <v>652</v>
      </c>
      <c r="G18" s="198" t="s">
        <v>438</v>
      </c>
      <c r="H18" s="110">
        <v>104</v>
      </c>
      <c r="I18" s="110" t="s">
        <v>652</v>
      </c>
      <c r="J18" s="110" t="s">
        <v>652</v>
      </c>
      <c r="K18" s="110" t="s">
        <v>652</v>
      </c>
      <c r="L18" s="193" t="s">
        <v>672</v>
      </c>
    </row>
    <row r="19" spans="2:12" ht="30">
      <c r="B19" s="126" t="s">
        <v>437</v>
      </c>
      <c r="C19" s="128" t="s">
        <v>650</v>
      </c>
      <c r="D19" s="127" t="s">
        <v>651</v>
      </c>
      <c r="E19" s="127" t="s">
        <v>652</v>
      </c>
      <c r="G19" s="198" t="s">
        <v>438</v>
      </c>
      <c r="H19" s="110">
        <v>105</v>
      </c>
      <c r="I19" s="110" t="s">
        <v>652</v>
      </c>
      <c r="J19" s="110" t="s">
        <v>652</v>
      </c>
      <c r="K19" s="110" t="s">
        <v>652</v>
      </c>
      <c r="L19" s="193" t="s">
        <v>673</v>
      </c>
    </row>
    <row r="20" spans="2:12" ht="30" customHeight="1">
      <c r="B20" s="126" t="s">
        <v>437</v>
      </c>
      <c r="C20" s="128" t="s">
        <v>653</v>
      </c>
      <c r="D20" s="127" t="s">
        <v>651</v>
      </c>
      <c r="E20" s="127" t="s">
        <v>652</v>
      </c>
      <c r="G20" s="198" t="s">
        <v>438</v>
      </c>
      <c r="H20" s="110">
        <v>106</v>
      </c>
      <c r="I20" s="110" t="s">
        <v>658</v>
      </c>
      <c r="J20" s="110" t="s">
        <v>652</v>
      </c>
      <c r="K20" s="110" t="s">
        <v>652</v>
      </c>
      <c r="L20" s="193" t="s">
        <v>672</v>
      </c>
    </row>
    <row r="21" spans="2:12" ht="30">
      <c r="B21" s="126" t="s">
        <v>437</v>
      </c>
      <c r="C21" s="128" t="s">
        <v>654</v>
      </c>
      <c r="D21" s="127" t="s">
        <v>651</v>
      </c>
      <c r="E21" s="127" t="s">
        <v>652</v>
      </c>
      <c r="G21" s="198" t="s">
        <v>438</v>
      </c>
      <c r="H21" s="110">
        <v>107</v>
      </c>
      <c r="I21" s="110" t="s">
        <v>652</v>
      </c>
      <c r="J21" s="110" t="s">
        <v>652</v>
      </c>
      <c r="K21" s="110" t="s">
        <v>652</v>
      </c>
      <c r="L21" s="193" t="s">
        <v>674</v>
      </c>
    </row>
    <row r="22" spans="2:12">
      <c r="B22" s="126" t="s">
        <v>432</v>
      </c>
      <c r="C22" s="128" t="s">
        <v>650</v>
      </c>
      <c r="D22" s="127" t="s">
        <v>651</v>
      </c>
      <c r="E22" s="127" t="s">
        <v>652</v>
      </c>
      <c r="G22" s="198" t="s">
        <v>438</v>
      </c>
      <c r="H22" s="110">
        <v>108</v>
      </c>
      <c r="I22" s="110" t="s">
        <v>658</v>
      </c>
      <c r="J22" s="110" t="s">
        <v>652</v>
      </c>
      <c r="K22" s="110" t="s">
        <v>652</v>
      </c>
      <c r="L22" s="193"/>
    </row>
    <row r="23" spans="2:12">
      <c r="B23" s="126" t="s">
        <v>432</v>
      </c>
      <c r="C23" s="128" t="s">
        <v>653</v>
      </c>
      <c r="D23" s="127" t="s">
        <v>651</v>
      </c>
      <c r="E23" s="127" t="s">
        <v>652</v>
      </c>
      <c r="G23" s="198" t="s">
        <v>438</v>
      </c>
      <c r="H23" s="110">
        <v>109</v>
      </c>
      <c r="I23" s="110" t="s">
        <v>652</v>
      </c>
      <c r="J23" s="110" t="s">
        <v>652</v>
      </c>
      <c r="K23" s="110" t="s">
        <v>652</v>
      </c>
      <c r="L23" s="193" t="s">
        <v>874</v>
      </c>
    </row>
    <row r="24" spans="2:12">
      <c r="B24" s="126" t="s">
        <v>432</v>
      </c>
      <c r="C24" s="128" t="s">
        <v>654</v>
      </c>
      <c r="D24" s="127" t="s">
        <v>651</v>
      </c>
      <c r="E24" s="127" t="s">
        <v>652</v>
      </c>
      <c r="G24" s="198" t="s">
        <v>438</v>
      </c>
      <c r="H24" s="110">
        <v>110</v>
      </c>
      <c r="I24" s="110" t="s">
        <v>658</v>
      </c>
      <c r="J24" s="110" t="s">
        <v>652</v>
      </c>
      <c r="K24" s="110" t="s">
        <v>652</v>
      </c>
      <c r="L24" s="193"/>
    </row>
    <row r="25" spans="2:12">
      <c r="B25" s="126" t="s">
        <v>429</v>
      </c>
      <c r="C25" s="128" t="s">
        <v>650</v>
      </c>
      <c r="D25" s="127" t="s">
        <v>651</v>
      </c>
      <c r="E25" s="127" t="s">
        <v>652</v>
      </c>
      <c r="G25" s="198" t="s">
        <v>438</v>
      </c>
      <c r="H25" s="110">
        <v>128</v>
      </c>
      <c r="I25" s="110" t="s">
        <v>652</v>
      </c>
      <c r="J25" s="110" t="s">
        <v>652</v>
      </c>
      <c r="K25" s="110" t="s">
        <v>652</v>
      </c>
      <c r="L25" s="193" t="s">
        <v>675</v>
      </c>
    </row>
    <row r="26" spans="2:12">
      <c r="B26" s="126" t="s">
        <v>429</v>
      </c>
      <c r="C26" s="128" t="s">
        <v>653</v>
      </c>
      <c r="D26" s="127" t="s">
        <v>651</v>
      </c>
      <c r="E26" s="127" t="s">
        <v>652</v>
      </c>
      <c r="G26" s="198" t="s">
        <v>438</v>
      </c>
      <c r="H26" s="110">
        <v>129</v>
      </c>
      <c r="I26" s="110" t="s">
        <v>652</v>
      </c>
      <c r="J26" s="110" t="s">
        <v>652</v>
      </c>
      <c r="K26" s="110" t="s">
        <v>652</v>
      </c>
      <c r="L26" s="193"/>
    </row>
    <row r="27" spans="2:12">
      <c r="B27" s="126" t="s">
        <v>429</v>
      </c>
      <c r="C27" s="128" t="s">
        <v>654</v>
      </c>
      <c r="D27" s="127" t="s">
        <v>651</v>
      </c>
      <c r="E27" s="127" t="s">
        <v>652</v>
      </c>
      <c r="G27" s="198" t="s">
        <v>438</v>
      </c>
      <c r="H27" s="110">
        <v>138</v>
      </c>
      <c r="I27" s="110" t="s">
        <v>658</v>
      </c>
      <c r="J27" s="110" t="s">
        <v>652</v>
      </c>
      <c r="K27" s="110" t="s">
        <v>652</v>
      </c>
      <c r="L27" s="193" t="s">
        <v>676</v>
      </c>
    </row>
    <row r="28" spans="2:12">
      <c r="G28" s="198" t="s">
        <v>438</v>
      </c>
      <c r="H28" s="110">
        <v>139</v>
      </c>
      <c r="I28" s="110" t="s">
        <v>658</v>
      </c>
      <c r="J28" s="110" t="s">
        <v>652</v>
      </c>
      <c r="K28" s="110" t="s">
        <v>652</v>
      </c>
      <c r="L28" s="193" t="s">
        <v>676</v>
      </c>
    </row>
    <row r="29" spans="2:12">
      <c r="G29" s="198" t="s">
        <v>728</v>
      </c>
      <c r="H29" s="110">
        <v>87</v>
      </c>
      <c r="I29" s="110" t="s">
        <v>652</v>
      </c>
      <c r="J29" s="110" t="s">
        <v>652</v>
      </c>
      <c r="K29" s="110" t="s">
        <v>652</v>
      </c>
      <c r="L29" s="193" t="s">
        <v>710</v>
      </c>
    </row>
    <row r="30" spans="2:12">
      <c r="G30" s="198" t="s">
        <v>728</v>
      </c>
      <c r="H30" s="110">
        <v>88</v>
      </c>
      <c r="I30" s="110" t="s">
        <v>652</v>
      </c>
      <c r="J30" s="110" t="s">
        <v>652</v>
      </c>
      <c r="K30" s="110" t="s">
        <v>652</v>
      </c>
      <c r="L30" s="193" t="s">
        <v>710</v>
      </c>
    </row>
    <row r="31" spans="2:12">
      <c r="G31" s="198" t="s">
        <v>728</v>
      </c>
      <c r="H31" s="110">
        <v>91</v>
      </c>
      <c r="I31" s="110" t="s">
        <v>652</v>
      </c>
      <c r="J31" s="110" t="s">
        <v>652</v>
      </c>
      <c r="K31" s="110" t="s">
        <v>652</v>
      </c>
      <c r="L31" s="193" t="s">
        <v>710</v>
      </c>
    </row>
    <row r="32" spans="2:12">
      <c r="G32" s="198" t="s">
        <v>728</v>
      </c>
      <c r="H32" s="110">
        <v>93</v>
      </c>
      <c r="I32" s="110" t="s">
        <v>652</v>
      </c>
      <c r="J32" s="110" t="s">
        <v>652</v>
      </c>
      <c r="K32" s="110" t="s">
        <v>652</v>
      </c>
      <c r="L32" s="193" t="s">
        <v>710</v>
      </c>
    </row>
    <row r="33" spans="7:12">
      <c r="G33" s="198" t="s">
        <v>728</v>
      </c>
      <c r="H33" s="110">
        <v>94</v>
      </c>
      <c r="I33" s="110" t="s">
        <v>652</v>
      </c>
      <c r="J33" s="110" t="s">
        <v>652</v>
      </c>
      <c r="K33" s="110" t="s">
        <v>652</v>
      </c>
      <c r="L33" s="193" t="s">
        <v>710</v>
      </c>
    </row>
    <row r="34" spans="7:12">
      <c r="G34" s="198" t="s">
        <v>728</v>
      </c>
      <c r="H34" s="110">
        <v>95</v>
      </c>
      <c r="I34" s="110" t="s">
        <v>652</v>
      </c>
      <c r="J34" s="110" t="s">
        <v>652</v>
      </c>
      <c r="K34" s="110" t="s">
        <v>652</v>
      </c>
      <c r="L34" s="193" t="s">
        <v>710</v>
      </c>
    </row>
    <row r="35" spans="7:12">
      <c r="G35" s="198" t="s">
        <v>728</v>
      </c>
      <c r="H35" s="110">
        <v>96</v>
      </c>
      <c r="I35" s="110" t="s">
        <v>652</v>
      </c>
      <c r="J35" s="110" t="s">
        <v>652</v>
      </c>
      <c r="K35" s="110" t="s">
        <v>652</v>
      </c>
      <c r="L35" s="193" t="s">
        <v>710</v>
      </c>
    </row>
    <row r="36" spans="7:12" ht="90" customHeight="1">
      <c r="G36" s="198" t="s">
        <v>728</v>
      </c>
      <c r="H36" s="110">
        <v>98</v>
      </c>
      <c r="I36" s="110" t="s">
        <v>652</v>
      </c>
      <c r="J36" s="110" t="s">
        <v>652</v>
      </c>
      <c r="K36" s="110" t="s">
        <v>652</v>
      </c>
      <c r="L36" s="193" t="s">
        <v>710</v>
      </c>
    </row>
    <row r="37" spans="7:12" ht="195" customHeight="1">
      <c r="G37" s="198" t="s">
        <v>428</v>
      </c>
      <c r="H37" s="110">
        <v>38</v>
      </c>
      <c r="I37" s="110" t="s">
        <v>652</v>
      </c>
      <c r="J37" s="110" t="s">
        <v>652</v>
      </c>
      <c r="K37" s="110" t="s">
        <v>652</v>
      </c>
      <c r="L37" s="193"/>
    </row>
    <row r="38" spans="7:12" ht="30" customHeight="1">
      <c r="G38" s="198" t="s">
        <v>428</v>
      </c>
      <c r="H38" s="110">
        <v>41</v>
      </c>
      <c r="I38" s="95" t="s">
        <v>658</v>
      </c>
      <c r="J38" s="110" t="s">
        <v>652</v>
      </c>
      <c r="K38" s="110" t="s">
        <v>652</v>
      </c>
      <c r="L38" s="193"/>
    </row>
    <row r="39" spans="7:12" ht="45" customHeight="1">
      <c r="G39" s="198" t="s">
        <v>428</v>
      </c>
      <c r="H39" s="110">
        <v>42</v>
      </c>
      <c r="I39" s="110" t="s">
        <v>652</v>
      </c>
      <c r="J39" s="110" t="s">
        <v>652</v>
      </c>
      <c r="K39" s="110" t="s">
        <v>652</v>
      </c>
      <c r="L39" s="193"/>
    </row>
    <row r="40" spans="7:12" ht="90" customHeight="1">
      <c r="G40" s="198" t="s">
        <v>428</v>
      </c>
      <c r="H40" s="110">
        <v>46</v>
      </c>
      <c r="I40" s="110" t="s">
        <v>658</v>
      </c>
      <c r="J40" s="110" t="s">
        <v>652</v>
      </c>
      <c r="K40" s="110" t="s">
        <v>652</v>
      </c>
      <c r="L40" s="193"/>
    </row>
    <row r="41" spans="7:12" ht="75" customHeight="1">
      <c r="G41" s="198" t="s">
        <v>428</v>
      </c>
      <c r="H41" s="110">
        <v>49</v>
      </c>
      <c r="I41" s="110" t="s">
        <v>652</v>
      </c>
      <c r="J41" s="110" t="s">
        <v>652</v>
      </c>
      <c r="K41" s="110" t="s">
        <v>652</v>
      </c>
      <c r="L41" s="193"/>
    </row>
    <row r="42" spans="7:12" ht="75" customHeight="1">
      <c r="G42" s="198" t="s">
        <v>428</v>
      </c>
      <c r="H42" s="110">
        <v>136</v>
      </c>
      <c r="I42" s="110" t="s">
        <v>658</v>
      </c>
      <c r="J42" s="110" t="s">
        <v>652</v>
      </c>
      <c r="K42" s="110" t="s">
        <v>652</v>
      </c>
      <c r="L42" s="193"/>
    </row>
    <row r="43" spans="7:12" ht="60" customHeight="1">
      <c r="G43" s="198" t="s">
        <v>428</v>
      </c>
      <c r="H43" s="110">
        <v>183</v>
      </c>
      <c r="I43" s="110" t="s">
        <v>652</v>
      </c>
      <c r="J43" s="110" t="s">
        <v>652</v>
      </c>
      <c r="K43" s="110" t="s">
        <v>652</v>
      </c>
      <c r="L43" s="193"/>
    </row>
    <row r="44" spans="7:12" ht="30" customHeight="1">
      <c r="G44" s="198" t="s">
        <v>428</v>
      </c>
      <c r="H44" s="110">
        <v>184</v>
      </c>
      <c r="I44" s="110" t="s">
        <v>652</v>
      </c>
      <c r="J44" s="110" t="s">
        <v>652</v>
      </c>
      <c r="K44" s="110" t="s">
        <v>652</v>
      </c>
      <c r="L44" s="193"/>
    </row>
    <row r="45" spans="7:12">
      <c r="G45" s="198" t="s">
        <v>428</v>
      </c>
      <c r="H45" s="110">
        <v>189</v>
      </c>
      <c r="I45" s="110" t="s">
        <v>658</v>
      </c>
      <c r="J45" s="110" t="s">
        <v>658</v>
      </c>
      <c r="K45" s="110" t="s">
        <v>658</v>
      </c>
      <c r="L45" s="193"/>
    </row>
    <row r="46" spans="7:12">
      <c r="G46" s="198" t="s">
        <v>428</v>
      </c>
      <c r="H46" s="110">
        <v>257</v>
      </c>
      <c r="I46" s="110" t="s">
        <v>652</v>
      </c>
      <c r="J46" s="110" t="s">
        <v>652</v>
      </c>
      <c r="K46" s="110" t="s">
        <v>658</v>
      </c>
      <c r="L46" s="193"/>
    </row>
    <row r="47" spans="7:12">
      <c r="G47" s="198" t="s">
        <v>437</v>
      </c>
      <c r="H47" s="110">
        <v>132</v>
      </c>
      <c r="I47" s="110" t="s">
        <v>652</v>
      </c>
      <c r="J47" s="110" t="s">
        <v>652</v>
      </c>
      <c r="K47" s="110" t="s">
        <v>652</v>
      </c>
      <c r="L47" s="193"/>
    </row>
    <row r="48" spans="7:12">
      <c r="G48" s="198" t="s">
        <v>437</v>
      </c>
      <c r="H48" s="110">
        <v>134</v>
      </c>
      <c r="I48" s="110" t="s">
        <v>652</v>
      </c>
      <c r="J48" s="110" t="s">
        <v>652</v>
      </c>
      <c r="K48" s="110" t="s">
        <v>652</v>
      </c>
      <c r="L48" s="193"/>
    </row>
    <row r="49" spans="7:12" ht="30" customHeight="1">
      <c r="G49" s="198" t="s">
        <v>432</v>
      </c>
      <c r="H49" s="110">
        <v>35</v>
      </c>
      <c r="I49" s="110" t="s">
        <v>652</v>
      </c>
      <c r="J49" s="110" t="s">
        <v>652</v>
      </c>
      <c r="K49" s="110" t="s">
        <v>652</v>
      </c>
      <c r="L49" s="193" t="s">
        <v>714</v>
      </c>
    </row>
    <row r="50" spans="7:12" ht="30" customHeight="1">
      <c r="G50" s="198" t="s">
        <v>432</v>
      </c>
      <c r="H50" s="110">
        <v>51</v>
      </c>
      <c r="I50" s="110" t="s">
        <v>652</v>
      </c>
      <c r="J50" s="110" t="s">
        <v>652</v>
      </c>
      <c r="K50" s="110" t="s">
        <v>652</v>
      </c>
      <c r="L50" s="193" t="s">
        <v>715</v>
      </c>
    </row>
    <row r="51" spans="7:12">
      <c r="G51" s="198" t="s">
        <v>432</v>
      </c>
      <c r="H51" s="110">
        <v>54</v>
      </c>
      <c r="I51" s="110" t="s">
        <v>652</v>
      </c>
      <c r="J51" s="110" t="s">
        <v>652</v>
      </c>
      <c r="K51" s="110" t="s">
        <v>652</v>
      </c>
      <c r="L51" s="193"/>
    </row>
    <row r="52" spans="7:12" ht="30" customHeight="1">
      <c r="G52" s="198" t="s">
        <v>432</v>
      </c>
      <c r="H52" s="110">
        <v>55</v>
      </c>
      <c r="I52" s="110" t="s">
        <v>652</v>
      </c>
      <c r="J52" s="110" t="s">
        <v>652</v>
      </c>
      <c r="K52" s="110" t="s">
        <v>652</v>
      </c>
      <c r="L52" s="193" t="s">
        <v>716</v>
      </c>
    </row>
    <row r="53" spans="7:12" ht="45" customHeight="1">
      <c r="G53" s="198" t="s">
        <v>432</v>
      </c>
      <c r="H53" s="110">
        <v>75</v>
      </c>
      <c r="I53" s="110" t="s">
        <v>652</v>
      </c>
      <c r="J53" s="110" t="s">
        <v>652</v>
      </c>
      <c r="K53" s="110" t="s">
        <v>652</v>
      </c>
      <c r="L53" s="193" t="s">
        <v>717</v>
      </c>
    </row>
    <row r="54" spans="7:12">
      <c r="G54" s="198" t="s">
        <v>429</v>
      </c>
      <c r="H54" s="110">
        <v>44</v>
      </c>
      <c r="I54" s="110" t="s">
        <v>652</v>
      </c>
      <c r="J54" s="110" t="s">
        <v>652</v>
      </c>
      <c r="K54" s="110" t="s">
        <v>652</v>
      </c>
      <c r="L54" s="193" t="s">
        <v>727</v>
      </c>
    </row>
    <row r="55" spans="7:12">
      <c r="G55" s="198" t="s">
        <v>429</v>
      </c>
      <c r="H55" s="110">
        <v>45</v>
      </c>
      <c r="I55" s="110" t="s">
        <v>652</v>
      </c>
      <c r="J55" s="110" t="s">
        <v>652</v>
      </c>
      <c r="K55" s="110" t="s">
        <v>652</v>
      </c>
      <c r="L55" s="193" t="s">
        <v>727</v>
      </c>
    </row>
  </sheetData>
  <autoFilter ref="G3:L64">
    <sortState ref="G4:L64">
      <sortCondition descending="1" ref="H3:H64"/>
    </sortState>
  </autoFilter>
  <dataValidations count="4">
    <dataValidation type="list" allowBlank="1" showInputMessage="1" showErrorMessage="1" sqref="E4:E6">
      <formula1>"Yes, No"</formula1>
    </dataValidation>
    <dataValidation type="list" allowBlank="1" showInputMessage="1" showErrorMessage="1" sqref="D4">
      <formula1>"Complete, Not Started"</formula1>
    </dataValidation>
    <dataValidation type="list" allowBlank="1" showInputMessage="1" showErrorMessage="1" sqref="D5:D6">
      <formula1>"Complete, In-Complete"</formula1>
    </dataValidation>
    <dataValidation type="list" allowBlank="1" showInputMessage="1" showErrorMessage="1" sqref="I4:K4">
      <formula1>"Yes,No"</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sheetPr codeName="Sheet9"/>
  <dimension ref="B1:CF95"/>
  <sheetViews>
    <sheetView topLeftCell="A55" zoomScale="85" zoomScaleNormal="85" workbookViewId="0">
      <selection activeCell="H89" sqref="H89"/>
    </sheetView>
  </sheetViews>
  <sheetFormatPr defaultRowHeight="15" outlineLevelCol="1"/>
  <cols>
    <col min="1" max="1" width="1.140625" customWidth="1"/>
    <col min="2" max="2" width="51.85546875" customWidth="1"/>
    <col min="5" max="5" width="20.42578125" bestFit="1" customWidth="1"/>
    <col min="8" max="8" width="11" bestFit="1" customWidth="1"/>
    <col min="13" max="14" width="9.140625" hidden="1" customWidth="1" outlineLevel="1"/>
    <col min="15" max="15" width="18.85546875" hidden="1" customWidth="1" outlineLevel="1"/>
    <col min="16" max="51" width="9.140625" hidden="1" customWidth="1" outlineLevel="1"/>
    <col min="52" max="52" width="9.140625" collapsed="1"/>
    <col min="54" max="54" width="15" bestFit="1" customWidth="1"/>
    <col min="55" max="55" width="19.5703125" bestFit="1" customWidth="1"/>
    <col min="56" max="56" width="33.140625" bestFit="1" customWidth="1"/>
    <col min="57" max="57" width="33.140625" hidden="1" customWidth="1"/>
    <col min="59" max="65" width="9.140625" hidden="1" customWidth="1"/>
    <col min="66" max="66" width="8" customWidth="1"/>
    <col min="67" max="67" width="11" bestFit="1" customWidth="1"/>
    <col min="68" max="68" width="19.5703125" bestFit="1" customWidth="1"/>
    <col min="69" max="69" width="33.28515625" bestFit="1" customWidth="1"/>
    <col min="70" max="70" width="33.28515625" hidden="1" customWidth="1"/>
    <col min="72" max="78" width="0" hidden="1" customWidth="1"/>
    <col min="80" max="80" width="15.28515625" bestFit="1" customWidth="1"/>
    <col min="81" max="81" width="19.5703125" bestFit="1" customWidth="1"/>
    <col min="82" max="82" width="33.5703125" bestFit="1" customWidth="1"/>
    <col min="83" max="83" width="33.5703125" hidden="1" customWidth="1"/>
  </cols>
  <sheetData>
    <row r="1" spans="2:84" ht="7.5" customHeight="1"/>
    <row r="2" spans="2:84">
      <c r="B2" s="83" t="s">
        <v>622</v>
      </c>
    </row>
    <row r="3" spans="2:84">
      <c r="O3" s="86"/>
      <c r="P3" s="238" t="s">
        <v>623</v>
      </c>
      <c r="Q3" s="239"/>
      <c r="R3" s="239"/>
      <c r="S3" s="239"/>
      <c r="T3" s="239"/>
      <c r="U3" s="239"/>
      <c r="V3" s="239"/>
      <c r="W3" s="239"/>
      <c r="X3" s="240"/>
      <c r="Y3" s="238" t="s">
        <v>630</v>
      </c>
      <c r="Z3" s="239"/>
      <c r="AA3" s="240"/>
      <c r="AB3" s="86"/>
    </row>
    <row r="4" spans="2:84" ht="30" customHeight="1">
      <c r="B4" s="236" t="s">
        <v>623</v>
      </c>
      <c r="C4" s="237"/>
      <c r="E4" s="98" t="s">
        <v>624</v>
      </c>
      <c r="F4" s="97" t="s">
        <v>642</v>
      </c>
      <c r="G4" s="97" t="s">
        <v>625</v>
      </c>
      <c r="H4" s="97" t="s">
        <v>639</v>
      </c>
      <c r="I4" s="97" t="s">
        <v>625</v>
      </c>
      <c r="K4" s="97" t="s">
        <v>626</v>
      </c>
      <c r="L4" s="97" t="s">
        <v>625</v>
      </c>
      <c r="O4" s="86"/>
      <c r="P4" s="87" t="s">
        <v>631</v>
      </c>
      <c r="Q4" s="87" t="s">
        <v>7</v>
      </c>
      <c r="R4" s="87" t="s">
        <v>8</v>
      </c>
      <c r="S4" s="87" t="s">
        <v>451</v>
      </c>
      <c r="T4" s="87" t="s">
        <v>632</v>
      </c>
      <c r="U4" s="87" t="s">
        <v>633</v>
      </c>
      <c r="V4" s="87" t="s">
        <v>9</v>
      </c>
      <c r="W4" s="87" t="s">
        <v>10</v>
      </c>
      <c r="X4" s="87" t="s">
        <v>11</v>
      </c>
      <c r="Y4" s="88" t="s">
        <v>627</v>
      </c>
      <c r="Z4" s="88" t="s">
        <v>628</v>
      </c>
      <c r="AA4" s="88" t="s">
        <v>629</v>
      </c>
      <c r="AB4" s="87" t="s">
        <v>634</v>
      </c>
    </row>
    <row r="5" spans="2:84">
      <c r="B5" s="84" t="s">
        <v>639</v>
      </c>
      <c r="C5" s="85" t="e">
        <f>312-C6</f>
        <v>#VALUE!</v>
      </c>
      <c r="E5" s="84" t="s">
        <v>432</v>
      </c>
      <c r="F5" s="85" t="e">
        <f>COUNTIF('[1]Completion Matrix'!$E$3:$E$306,E5)</f>
        <v>#VALUE!</v>
      </c>
      <c r="G5" s="241" t="e">
        <f>SUM(F5:F13)</f>
        <v>#VALUE!</v>
      </c>
      <c r="H5" s="95" t="e">
        <f>COUNTIFS('[1]Completion Matrix'!$E$3:$E$306,E5,'[1]Completion Matrix'!$F$3:$F$306,"")+COUNTIFS('[1]Completion Matrix'!$E$3:$E$306,E5,'[1]Completion Matrix'!$F$3:$F$306,"Standard Formula co only")</f>
        <v>#VALUE!</v>
      </c>
      <c r="I5" s="241" t="e">
        <f>SUM(H5:H13)</f>
        <v>#VALUE!</v>
      </c>
      <c r="K5" s="84" t="s">
        <v>635</v>
      </c>
      <c r="L5" s="93" t="e">
        <f>COUNTIF('[1]Completion Matrix'!P:P,"B")</f>
        <v>#VALUE!</v>
      </c>
      <c r="O5" s="89" t="s">
        <v>432</v>
      </c>
      <c r="P5" s="90" t="e">
        <f>COUNTIFS('[1]Completion Matrix'!$E$3:$E$306,$O5,'[1]Completion Matrix'!F$3:F$306,"")</f>
        <v>#VALUE!</v>
      </c>
      <c r="Q5" s="90" t="e">
        <f>COUNTIFS('[1]Completion Matrix'!$E$3:$E$306,$O5,'[1]Completion Matrix'!G$3:G$306,"")</f>
        <v>#VALUE!</v>
      </c>
      <c r="R5" s="90" t="e">
        <f>COUNTIFS('[1]Completion Matrix'!$E$3:$E$306,$O5,'[1]Completion Matrix'!H$3:H$306,"")</f>
        <v>#VALUE!</v>
      </c>
      <c r="S5" s="90" t="e">
        <f>COUNTIFS('[1]Completion Matrix'!$E$3:$E$306,$O5,'[1]Completion Matrix'!I$3:I$306,"")</f>
        <v>#VALUE!</v>
      </c>
      <c r="T5" s="90" t="e">
        <f>COUNTIFS('[1]Completion Matrix'!$E$3:$E$306,$O5,'[1]Completion Matrix'!J$3:J$306,"")</f>
        <v>#VALUE!</v>
      </c>
      <c r="U5" s="90" t="e">
        <f>COUNTIFS('[1]Completion Matrix'!$E$3:$E$306,$O5,'[1]Completion Matrix'!K$3:K$306,"")</f>
        <v>#VALUE!</v>
      </c>
      <c r="V5" s="90" t="e">
        <f>COUNTIFS('[1]Completion Matrix'!$E$3:$E$306,$O5,'[1]Completion Matrix'!L$3:L$306,"")</f>
        <v>#VALUE!</v>
      </c>
      <c r="W5" s="90" t="e">
        <f>COUNTIFS('[1]Completion Matrix'!$E$3:$E$306,$O5,'[1]Completion Matrix'!M$3:M$306,"")</f>
        <v>#VALUE!</v>
      </c>
      <c r="X5" s="90" t="e">
        <f>COUNTIFS('[1]Completion Matrix'!$E$3:$E$306,$O5,'[1]Completion Matrix'!N$3:N$306,"")</f>
        <v>#VALUE!</v>
      </c>
      <c r="Y5" s="91" t="e">
        <f>COUNTIFS('[1]Completion Matrix'!$E$3:$E$306,$O5,'[1]Completion Matrix'!$P$3:$P$306,"R")</f>
        <v>#VALUE!</v>
      </c>
      <c r="Z5" s="91" t="e">
        <f>COUNTIFS('[1]Completion Matrix'!$E$3:$E$306,$O5,'[1]Completion Matrix'!$P$3:$P$306,"A")</f>
        <v>#VALUE!</v>
      </c>
      <c r="AA5" s="91" t="e">
        <f>COUNTIFS('[1]Completion Matrix'!$E$3:$E$306,$O5,'[1]Completion Matrix'!$P$3:$P$306,"G")</f>
        <v>#VALUE!</v>
      </c>
      <c r="AB5" s="84" t="e">
        <f>SUM(P5:X5)</f>
        <v>#VALUE!</v>
      </c>
      <c r="BB5" s="223" t="s">
        <v>432</v>
      </c>
      <c r="BC5" s="226" t="s">
        <v>595</v>
      </c>
      <c r="BD5" s="94" t="s">
        <v>468</v>
      </c>
      <c r="BE5" s="94" t="str">
        <f>IF(ISNA(BG5),"",$BC$5&amp;"|"&amp;BD5)</f>
        <v>No Gap|Ready</v>
      </c>
      <c r="BF5" s="95" t="e">
        <f>COUNTIFS('[1]Completion Matrix'!$E:$E,'Dashboard 3'!$BB$5,'[1]Completion Matrix'!$I:$I,$BC$5,'[1]Completion Matrix'!$J:$J,BD5)</f>
        <v>#VALUE!</v>
      </c>
      <c r="BG5" s="95" t="e">
        <f>IF(COUNTIFS('[1]Completion Matrix'!$E:$E,'Dashboard 3'!$BB$5,'[1]Completion Matrix'!$I:$I,$BC$5,'[1]Completion Matrix'!$J:$J,BD5)=0,NA(),COUNTIFS('[1]Completion Matrix'!$E:$E,'Dashboard 3'!$BB$5,'[1]Completion Matrix'!$I:$I,$BC$5,'[1]Completion Matrix'!$J:$J,BD5))</f>
        <v>#VALUE!</v>
      </c>
      <c r="BH5" s="96"/>
      <c r="BI5" s="96"/>
      <c r="BJ5" s="96"/>
      <c r="BK5" s="96"/>
      <c r="BL5" s="96"/>
      <c r="BM5" s="96"/>
      <c r="BO5" s="223" t="s">
        <v>429</v>
      </c>
      <c r="BP5" s="226" t="s">
        <v>595</v>
      </c>
      <c r="BQ5" s="94" t="s">
        <v>468</v>
      </c>
      <c r="BR5" s="94"/>
      <c r="BS5" s="95" t="e">
        <f>COUNTIFS('[1]Completion Matrix'!$E:$E,'Dashboard 3'!$BO$5,'[1]Completion Matrix'!$I:$I,$BP$5,'[1]Completion Matrix'!$J:$J,BQ5)</f>
        <v>#VALUE!</v>
      </c>
      <c r="BT5" s="96"/>
      <c r="BU5" s="96"/>
      <c r="BV5" s="96"/>
      <c r="BW5" s="96"/>
      <c r="BX5" s="96"/>
      <c r="BY5" s="96"/>
      <c r="BZ5" s="96"/>
      <c r="CB5" s="223" t="s">
        <v>430</v>
      </c>
      <c r="CC5" s="226" t="s">
        <v>595</v>
      </c>
      <c r="CD5" s="94" t="s">
        <v>468</v>
      </c>
      <c r="CE5" s="94"/>
      <c r="CF5" s="95" t="e">
        <f>COUNTIFS('[1]Completion Matrix'!$E:$E,'Dashboard 3'!$CB$5,'[1]Completion Matrix'!$I:$I,$CC$5,'[1]Completion Matrix'!$J:$J,CD5)</f>
        <v>#VALUE!</v>
      </c>
    </row>
    <row r="6" spans="2:84">
      <c r="B6" s="84" t="s">
        <v>640</v>
      </c>
      <c r="C6" s="85" t="e">
        <f>COUNTIF('[1]Completion Matrix'!$E$3:$E$306,"")+COUNTIF('[1]Completion Matrix'!$E$3:$E$306,"NA")</f>
        <v>#VALUE!</v>
      </c>
      <c r="E6" s="84" t="s">
        <v>429</v>
      </c>
      <c r="F6" s="85" t="e">
        <f>COUNTIF('[1]Completion Matrix'!$E$3:$E$306,E6)</f>
        <v>#VALUE!</v>
      </c>
      <c r="G6" s="241"/>
      <c r="H6" s="95" t="e">
        <f>COUNTIFS('[1]Completion Matrix'!$E$3:$E$306,E6,'[1]Completion Matrix'!$F$3:$F$306,"")+COUNTIFS('[1]Completion Matrix'!$E$3:$E$306,E6,'[1]Completion Matrix'!$F$3:$F$306,"Standard Formula co only")</f>
        <v>#VALUE!</v>
      </c>
      <c r="I6" s="241"/>
      <c r="K6" s="84" t="s">
        <v>627</v>
      </c>
      <c r="L6" s="93" t="e">
        <f>COUNTIF('[1]Completion Matrix'!P:P,"R")</f>
        <v>#VALUE!</v>
      </c>
      <c r="O6" s="89" t="s">
        <v>429</v>
      </c>
      <c r="P6" s="90" t="e">
        <f>COUNTIFS('[1]Completion Matrix'!$E$3:$E$306,$O6,'[1]Completion Matrix'!F$3:F$306,"")</f>
        <v>#VALUE!</v>
      </c>
      <c r="Q6" s="90" t="e">
        <f>COUNTIFS('[1]Completion Matrix'!$E$3:$E$306,$O6,'[1]Completion Matrix'!G$3:G$306,"")</f>
        <v>#VALUE!</v>
      </c>
      <c r="R6" s="90" t="e">
        <f>COUNTIFS('[1]Completion Matrix'!$E$3:$E$306,$O6,'[1]Completion Matrix'!H$3:H$306,"")</f>
        <v>#VALUE!</v>
      </c>
      <c r="S6" s="90" t="e">
        <f>COUNTIFS('[1]Completion Matrix'!$E$3:$E$306,$O6,'[1]Completion Matrix'!I$3:I$306,"")</f>
        <v>#VALUE!</v>
      </c>
      <c r="T6" s="90" t="e">
        <f>COUNTIFS('[1]Completion Matrix'!$E$3:$E$306,$O6,'[1]Completion Matrix'!J$3:J$306,"")</f>
        <v>#VALUE!</v>
      </c>
      <c r="U6" s="90" t="e">
        <f>COUNTIFS('[1]Completion Matrix'!$E$3:$E$306,$O6,'[1]Completion Matrix'!K$3:K$306,"")</f>
        <v>#VALUE!</v>
      </c>
      <c r="V6" s="90" t="e">
        <f>COUNTIFS('[1]Completion Matrix'!$E$3:$E$306,$O6,'[1]Completion Matrix'!L$3:L$306,"")</f>
        <v>#VALUE!</v>
      </c>
      <c r="W6" s="90" t="e">
        <f>COUNTIFS('[1]Completion Matrix'!$E$3:$E$306,$O6,'[1]Completion Matrix'!M$3:M$306,"")</f>
        <v>#VALUE!</v>
      </c>
      <c r="X6" s="90" t="e">
        <f>COUNTIFS('[1]Completion Matrix'!$E$3:$E$306,$O6,'[1]Completion Matrix'!N$3:N$306,"")</f>
        <v>#VALUE!</v>
      </c>
      <c r="Y6" s="91" t="e">
        <f>COUNTIFS('[1]Completion Matrix'!$E$3:$E$306,$O6,'[1]Completion Matrix'!$P$3:$P$306,"R")</f>
        <v>#VALUE!</v>
      </c>
      <c r="Z6" s="91" t="e">
        <f>COUNTIFS('[1]Completion Matrix'!$E$3:$E$306,$O6,'[1]Completion Matrix'!$P$3:$P$306,"A")</f>
        <v>#VALUE!</v>
      </c>
      <c r="AA6" s="91" t="e">
        <f>COUNTIFS('[1]Completion Matrix'!$E$3:$E$306,$O6,'[1]Completion Matrix'!$P$3:$P$306,"G")</f>
        <v>#VALUE!</v>
      </c>
      <c r="AB6" s="84" t="e">
        <f t="shared" ref="AB6:AB13" si="0">SUM(P6:X6)</f>
        <v>#VALUE!</v>
      </c>
      <c r="BB6" s="224"/>
      <c r="BC6" s="226"/>
      <c r="BD6" s="94" t="s">
        <v>459</v>
      </c>
      <c r="BE6" s="94" t="str">
        <f>IF(ISNA(BG6),"",$BC$5&amp;"|"&amp;BD6)</f>
        <v>No Gap|Improvements Needed</v>
      </c>
      <c r="BF6" s="95" t="e">
        <f>COUNTIFS('[1]Completion Matrix'!$E:$E,'Dashboard 3'!$BB$5,'[1]Completion Matrix'!$I:$I,$BC$5,'[1]Completion Matrix'!$J:$J,BD6)</f>
        <v>#VALUE!</v>
      </c>
      <c r="BG6" s="95" t="e">
        <f>IF(COUNTIFS('[1]Completion Matrix'!$E:$E,'Dashboard 3'!$BB$5,'[1]Completion Matrix'!$I:$I,$BC$5,'[1]Completion Matrix'!$J:$J,BD6)=0,NA(),COUNTIFS('[1]Completion Matrix'!$E:$E,'Dashboard 3'!$BB$5,'[1]Completion Matrix'!$I:$I,$BC$5,'[1]Completion Matrix'!$J:$J,BD6))</f>
        <v>#VALUE!</v>
      </c>
      <c r="BH6" s="96"/>
      <c r="BI6" s="96"/>
      <c r="BJ6" s="96"/>
      <c r="BK6" s="96"/>
      <c r="BL6" s="96"/>
      <c r="BM6" s="96"/>
      <c r="BO6" s="224"/>
      <c r="BP6" s="226"/>
      <c r="BQ6" s="94" t="s">
        <v>459</v>
      </c>
      <c r="BR6" s="94"/>
      <c r="BS6" s="95" t="e">
        <f>COUNTIFS('[1]Completion Matrix'!$E:$E,'Dashboard 3'!$BO$5,'[1]Completion Matrix'!$I:$I,$BP$5,'[1]Completion Matrix'!$J:$J,BQ6)</f>
        <v>#VALUE!</v>
      </c>
      <c r="BT6" s="96"/>
      <c r="BU6" s="96"/>
      <c r="BV6" s="96"/>
      <c r="BW6" s="96"/>
      <c r="BX6" s="96"/>
      <c r="BY6" s="96"/>
      <c r="BZ6" s="96"/>
      <c r="CB6" s="224"/>
      <c r="CC6" s="226"/>
      <c r="CD6" s="94" t="s">
        <v>459</v>
      </c>
      <c r="CE6" s="94"/>
      <c r="CF6" s="95" t="e">
        <f>COUNTIFS('[1]Completion Matrix'!$E:$E,'Dashboard 3'!$CB$5,'[1]Completion Matrix'!$I:$I,$CC$5,'[1]Completion Matrix'!$J:$J,CD6)</f>
        <v>#VALUE!</v>
      </c>
    </row>
    <row r="7" spans="2:84">
      <c r="C7" s="85" t="e">
        <f>SUM(C5:C6)</f>
        <v>#VALUE!</v>
      </c>
      <c r="E7" s="84" t="s">
        <v>430</v>
      </c>
      <c r="F7" s="85" t="e">
        <f>COUNTIF('[1]Completion Matrix'!$E$3:$E$306,E7)</f>
        <v>#VALUE!</v>
      </c>
      <c r="G7" s="241"/>
      <c r="H7" s="95" t="e">
        <f>COUNTIFS('[1]Completion Matrix'!$E$3:$E$306,E7,'[1]Completion Matrix'!$F$3:$F$306,"")+COUNTIFS('[1]Completion Matrix'!$E$3:$E$306,E7,'[1]Completion Matrix'!$F$3:$F$306,"Standard Formula co only")</f>
        <v>#VALUE!</v>
      </c>
      <c r="I7" s="241"/>
      <c r="K7" s="84" t="s">
        <v>628</v>
      </c>
      <c r="L7" s="93" t="e">
        <f>COUNTIF('[1]Completion Matrix'!P:P,"R")</f>
        <v>#VALUE!</v>
      </c>
      <c r="O7" s="89" t="s">
        <v>430</v>
      </c>
      <c r="P7" s="90" t="e">
        <f>COUNTIFS('[1]Completion Matrix'!$E$3:$E$306,$O7,'[1]Completion Matrix'!F$3:F$306,"")</f>
        <v>#VALUE!</v>
      </c>
      <c r="Q7" s="90" t="e">
        <f>COUNTIFS('[1]Completion Matrix'!$E$3:$E$306,$O7,'[1]Completion Matrix'!G$3:G$306,"")</f>
        <v>#VALUE!</v>
      </c>
      <c r="R7" s="90" t="e">
        <f>COUNTIFS('[1]Completion Matrix'!$E$3:$E$306,$O7,'[1]Completion Matrix'!H$3:H$306,"")</f>
        <v>#VALUE!</v>
      </c>
      <c r="S7" s="90" t="e">
        <f>COUNTIFS('[1]Completion Matrix'!$E$3:$E$306,$O7,'[1]Completion Matrix'!I$3:I$306,"")</f>
        <v>#VALUE!</v>
      </c>
      <c r="T7" s="90" t="e">
        <f>COUNTIFS('[1]Completion Matrix'!$E$3:$E$306,$O7,'[1]Completion Matrix'!J$3:J$306,"")</f>
        <v>#VALUE!</v>
      </c>
      <c r="U7" s="90" t="e">
        <f>COUNTIFS('[1]Completion Matrix'!$E$3:$E$306,$O7,'[1]Completion Matrix'!K$3:K$306,"")</f>
        <v>#VALUE!</v>
      </c>
      <c r="V7" s="90" t="e">
        <f>COUNTIFS('[1]Completion Matrix'!$E$3:$E$306,$O7,'[1]Completion Matrix'!L$3:L$306,"")</f>
        <v>#VALUE!</v>
      </c>
      <c r="W7" s="90" t="e">
        <f>COUNTIFS('[1]Completion Matrix'!$E$3:$E$306,$O7,'[1]Completion Matrix'!M$3:M$306,"")</f>
        <v>#VALUE!</v>
      </c>
      <c r="X7" s="90" t="e">
        <f>COUNTIFS('[1]Completion Matrix'!$E$3:$E$306,$O7,'[1]Completion Matrix'!N$3:N$306,"")</f>
        <v>#VALUE!</v>
      </c>
      <c r="Y7" s="91" t="e">
        <f>COUNTIFS('[1]Completion Matrix'!$E$3:$E$306,$O7,'[1]Completion Matrix'!$P$3:$P$306,"R")</f>
        <v>#VALUE!</v>
      </c>
      <c r="Z7" s="91" t="e">
        <f>COUNTIFS('[1]Completion Matrix'!$E$3:$E$306,$O7,'[1]Completion Matrix'!$P$3:$P$306,"A")</f>
        <v>#VALUE!</v>
      </c>
      <c r="AA7" s="91" t="e">
        <f>COUNTIFS('[1]Completion Matrix'!$E$3:$E$306,$O7,'[1]Completion Matrix'!$P$3:$P$306,"G")</f>
        <v>#VALUE!</v>
      </c>
      <c r="AB7" s="84" t="e">
        <f t="shared" si="0"/>
        <v>#VALUE!</v>
      </c>
      <c r="BB7" s="224"/>
      <c r="BC7" s="226"/>
      <c r="BD7" s="94" t="s">
        <v>462</v>
      </c>
      <c r="BE7" s="94" t="str">
        <f t="shared" ref="BE7:BE20" si="1">IF(ISNA(BG7),"",$BC$5&amp;"|"&amp;BD7)</f>
        <v>No Gap|Significant Improvements Needed</v>
      </c>
      <c r="BF7" s="95" t="e">
        <f>COUNTIFS('[1]Completion Matrix'!$E:$E,'Dashboard 3'!$BB$5,'[1]Completion Matrix'!$I:$I,$BC$5,'[1]Completion Matrix'!$J:$J,BD7)</f>
        <v>#VALUE!</v>
      </c>
      <c r="BG7" s="95" t="e">
        <f>IF(COUNTIFS('[1]Completion Matrix'!$E:$E,'Dashboard 3'!$BB$5,'[1]Completion Matrix'!$I:$I,$BC$5,'[1]Completion Matrix'!$J:$J,BD7)=0,NA(),COUNTIFS('[1]Completion Matrix'!$E:$E,'Dashboard 3'!$BB$5,'[1]Completion Matrix'!$I:$I,$BC$5,'[1]Completion Matrix'!$J:$J,BD7))</f>
        <v>#VALUE!</v>
      </c>
      <c r="BH7" s="96"/>
      <c r="BI7" s="96"/>
      <c r="BJ7" s="96"/>
      <c r="BK7" s="96"/>
      <c r="BL7" s="96"/>
      <c r="BM7" s="96"/>
      <c r="BO7" s="224"/>
      <c r="BP7" s="226"/>
      <c r="BQ7" s="94" t="s">
        <v>462</v>
      </c>
      <c r="BR7" s="94"/>
      <c r="BS7" s="95" t="e">
        <f>COUNTIFS('[1]Completion Matrix'!$E:$E,'Dashboard 3'!$BO$5,'[1]Completion Matrix'!$I:$I,$BP$5,'[1]Completion Matrix'!$J:$J,BQ7)</f>
        <v>#VALUE!</v>
      </c>
      <c r="BT7" s="96"/>
      <c r="BU7" s="96"/>
      <c r="BV7" s="96"/>
      <c r="BW7" s="96"/>
      <c r="BX7" s="96"/>
      <c r="BY7" s="96"/>
      <c r="BZ7" s="96"/>
      <c r="CB7" s="224"/>
      <c r="CC7" s="226"/>
      <c r="CD7" s="94" t="s">
        <v>462</v>
      </c>
      <c r="CE7" s="94"/>
      <c r="CF7" s="95" t="e">
        <f>COUNTIFS('[1]Completion Matrix'!$E:$E,'Dashboard 3'!$CB$5,'[1]Completion Matrix'!$I:$I,$CC$5,'[1]Completion Matrix'!$J:$J,CD7)</f>
        <v>#VALUE!</v>
      </c>
    </row>
    <row r="8" spans="2:84">
      <c r="E8" s="84" t="s">
        <v>431</v>
      </c>
      <c r="F8" s="85" t="e">
        <f>COUNTIF('[1]Completion Matrix'!$E$3:$E$306,E8)</f>
        <v>#VALUE!</v>
      </c>
      <c r="G8" s="241"/>
      <c r="H8" s="95" t="e">
        <f>COUNTIFS('[1]Completion Matrix'!$E$3:$E$306,E8,'[1]Completion Matrix'!$F$3:$F$306,"")+COUNTIFS('[1]Completion Matrix'!$E$3:$E$306,E8,'[1]Completion Matrix'!$F$3:$F$306,"Standard Formula co only")</f>
        <v>#VALUE!</v>
      </c>
      <c r="I8" s="241"/>
      <c r="K8" s="84" t="s">
        <v>629</v>
      </c>
      <c r="L8" s="93" t="e">
        <f>COUNTIF('[1]Completion Matrix'!P:P,"R")</f>
        <v>#VALUE!</v>
      </c>
      <c r="O8" s="89" t="s">
        <v>431</v>
      </c>
      <c r="P8" s="90" t="e">
        <f>COUNTIFS('[1]Completion Matrix'!$E$3:$E$306,$O8,'[1]Completion Matrix'!F$3:F$306,"")</f>
        <v>#VALUE!</v>
      </c>
      <c r="Q8" s="90" t="e">
        <f>COUNTIFS('[1]Completion Matrix'!$E$3:$E$306,$O8,'[1]Completion Matrix'!G$3:G$306,"")</f>
        <v>#VALUE!</v>
      </c>
      <c r="R8" s="90" t="e">
        <f>COUNTIFS('[1]Completion Matrix'!$E$3:$E$306,$O8,'[1]Completion Matrix'!H$3:H$306,"")</f>
        <v>#VALUE!</v>
      </c>
      <c r="S8" s="90" t="e">
        <f>COUNTIFS('[1]Completion Matrix'!$E$3:$E$306,$O8,'[1]Completion Matrix'!I$3:I$306,"")</f>
        <v>#VALUE!</v>
      </c>
      <c r="T8" s="90" t="e">
        <f>COUNTIFS('[1]Completion Matrix'!$E$3:$E$306,$O8,'[1]Completion Matrix'!J$3:J$306,"")</f>
        <v>#VALUE!</v>
      </c>
      <c r="U8" s="90" t="e">
        <f>COUNTIFS('[1]Completion Matrix'!$E$3:$E$306,$O8,'[1]Completion Matrix'!K$3:K$306,"")</f>
        <v>#VALUE!</v>
      </c>
      <c r="V8" s="90" t="e">
        <f>COUNTIFS('[1]Completion Matrix'!$E$3:$E$306,$O8,'[1]Completion Matrix'!L$3:L$306,"")</f>
        <v>#VALUE!</v>
      </c>
      <c r="W8" s="90" t="e">
        <f>COUNTIFS('[1]Completion Matrix'!$E$3:$E$306,$O8,'[1]Completion Matrix'!M$3:M$306,"")</f>
        <v>#VALUE!</v>
      </c>
      <c r="X8" s="90" t="e">
        <f>COUNTIFS('[1]Completion Matrix'!$E$3:$E$306,$O8,'[1]Completion Matrix'!N$3:N$306,"")</f>
        <v>#VALUE!</v>
      </c>
      <c r="Y8" s="91" t="e">
        <f>COUNTIFS('[1]Completion Matrix'!$E$3:$E$306,$O8,'[1]Completion Matrix'!$P$3:$P$306,"R")</f>
        <v>#VALUE!</v>
      </c>
      <c r="Z8" s="91" t="e">
        <f>COUNTIFS('[1]Completion Matrix'!$E$3:$E$306,$O8,'[1]Completion Matrix'!$P$3:$P$306,"A")</f>
        <v>#VALUE!</v>
      </c>
      <c r="AA8" s="91" t="e">
        <f>COUNTIFS('[1]Completion Matrix'!$E$3:$E$306,$O8,'[1]Completion Matrix'!$P$3:$P$306,"G")</f>
        <v>#VALUE!</v>
      </c>
      <c r="AB8" s="84" t="e">
        <f t="shared" si="0"/>
        <v>#VALUE!</v>
      </c>
      <c r="BB8" s="224"/>
      <c r="BC8" s="226"/>
      <c r="BD8" s="94" t="s">
        <v>636</v>
      </c>
      <c r="BE8" s="94" t="str">
        <f t="shared" si="1"/>
        <v>No Gap|Priority</v>
      </c>
      <c r="BF8" s="95" t="e">
        <f>COUNTIFS('[1]Completion Matrix'!$E:$E,'Dashboard 3'!$BB$5,'[1]Completion Matrix'!$I:$I,$BC$5,'[1]Completion Matrix'!$J:$J,BD8)</f>
        <v>#VALUE!</v>
      </c>
      <c r="BG8" s="95" t="e">
        <f>IF(COUNTIFS('[1]Completion Matrix'!$E:$E,'Dashboard 3'!$BB$5,'[1]Completion Matrix'!$I:$I,$BC$5,'[1]Completion Matrix'!$J:$J,BD8)=0,NA(),COUNTIFS('[1]Completion Matrix'!$E:$E,'Dashboard 3'!$BB$5,'[1]Completion Matrix'!$I:$I,$BC$5,'[1]Completion Matrix'!$J:$J,BD8))</f>
        <v>#VALUE!</v>
      </c>
      <c r="BH8" s="96"/>
      <c r="BI8" s="96"/>
      <c r="BJ8" s="96"/>
      <c r="BK8" s="96"/>
      <c r="BL8" s="96"/>
      <c r="BM8" s="96"/>
      <c r="BO8" s="224"/>
      <c r="BP8" s="226"/>
      <c r="BQ8" s="94" t="s">
        <v>636</v>
      </c>
      <c r="BR8" s="94"/>
      <c r="BS8" s="95" t="e">
        <f>COUNTIFS('[1]Completion Matrix'!$E:$E,'Dashboard 3'!$BO$5,'[1]Completion Matrix'!$I:$I,$BP$5,'[1]Completion Matrix'!$J:$J,BQ8)</f>
        <v>#VALUE!</v>
      </c>
      <c r="BT8" s="96"/>
      <c r="BU8" s="96"/>
      <c r="BV8" s="96"/>
      <c r="BW8" s="96"/>
      <c r="BX8" s="96"/>
      <c r="BY8" s="96"/>
      <c r="BZ8" s="96"/>
      <c r="CB8" s="224"/>
      <c r="CC8" s="226"/>
      <c r="CD8" s="94" t="s">
        <v>636</v>
      </c>
      <c r="CE8" s="94"/>
      <c r="CF8" s="95" t="e">
        <f>COUNTIFS('[1]Completion Matrix'!$E:$E,'Dashboard 3'!$CB$5,'[1]Completion Matrix'!$I:$I,$CC$5,'[1]Completion Matrix'!$J:$J,CD8)</f>
        <v>#VALUE!</v>
      </c>
    </row>
    <row r="9" spans="2:84">
      <c r="E9" s="84" t="s">
        <v>481</v>
      </c>
      <c r="F9" s="85" t="e">
        <f>COUNTIF('[1]Completion Matrix'!$E$3:$E$306,E9)</f>
        <v>#VALUE!</v>
      </c>
      <c r="G9" s="241"/>
      <c r="H9" s="95" t="e">
        <f>COUNTIFS('[1]Completion Matrix'!$E$3:$E$306,E9,'[1]Completion Matrix'!$F$3:$F$306,"")+COUNTIFS('[1]Completion Matrix'!$E$3:$E$306,E9,'[1]Completion Matrix'!$F$3:$F$306,"Standard Formula co only")</f>
        <v>#VALUE!</v>
      </c>
      <c r="I9" s="241"/>
      <c r="L9" s="92" t="e">
        <f>SUM(L6:L8)</f>
        <v>#VALUE!</v>
      </c>
      <c r="O9" s="89" t="s">
        <v>481</v>
      </c>
      <c r="P9" s="90" t="e">
        <f>COUNTIFS('[1]Completion Matrix'!$E$3:$E$306,$O9,'[1]Completion Matrix'!F$3:F$306,"")</f>
        <v>#VALUE!</v>
      </c>
      <c r="Q9" s="90" t="e">
        <f>COUNTIFS('[1]Completion Matrix'!$E$3:$E$306,$O9,'[1]Completion Matrix'!G$3:G$306,"")</f>
        <v>#VALUE!</v>
      </c>
      <c r="R9" s="90" t="e">
        <f>COUNTIFS('[1]Completion Matrix'!$E$3:$E$306,$O9,'[1]Completion Matrix'!H$3:H$306,"")</f>
        <v>#VALUE!</v>
      </c>
      <c r="S9" s="90" t="e">
        <f>COUNTIFS('[1]Completion Matrix'!$E$3:$E$306,$O9,'[1]Completion Matrix'!I$3:I$306,"")</f>
        <v>#VALUE!</v>
      </c>
      <c r="T9" s="90" t="e">
        <f>COUNTIFS('[1]Completion Matrix'!$E$3:$E$306,$O9,'[1]Completion Matrix'!J$3:J$306,"")</f>
        <v>#VALUE!</v>
      </c>
      <c r="U9" s="90" t="e">
        <f>COUNTIFS('[1]Completion Matrix'!$E$3:$E$306,$O9,'[1]Completion Matrix'!K$3:K$306,"")</f>
        <v>#VALUE!</v>
      </c>
      <c r="V9" s="90" t="e">
        <f>COUNTIFS('[1]Completion Matrix'!$E$3:$E$306,$O9,'[1]Completion Matrix'!L$3:L$306,"")</f>
        <v>#VALUE!</v>
      </c>
      <c r="W9" s="90" t="e">
        <f>COUNTIFS('[1]Completion Matrix'!$E$3:$E$306,$O9,'[1]Completion Matrix'!M$3:M$306,"")</f>
        <v>#VALUE!</v>
      </c>
      <c r="X9" s="90" t="e">
        <f>COUNTIFS('[1]Completion Matrix'!$E$3:$E$306,$O9,'[1]Completion Matrix'!N$3:N$306,"")</f>
        <v>#VALUE!</v>
      </c>
      <c r="Y9" s="91" t="e">
        <f>COUNTIFS('[1]Completion Matrix'!$E$3:$E$306,$O9,'[1]Completion Matrix'!$P$3:$P$306,"R")</f>
        <v>#VALUE!</v>
      </c>
      <c r="Z9" s="91" t="e">
        <f>COUNTIFS('[1]Completion Matrix'!$E$3:$E$306,$O9,'[1]Completion Matrix'!$P$3:$P$306,"A")</f>
        <v>#VALUE!</v>
      </c>
      <c r="AA9" s="91" t="e">
        <f>COUNTIFS('[1]Completion Matrix'!$E$3:$E$306,$O9,'[1]Completion Matrix'!$P$3:$P$306,"G")</f>
        <v>#VALUE!</v>
      </c>
      <c r="AB9" s="84" t="e">
        <f t="shared" si="0"/>
        <v>#VALUE!</v>
      </c>
      <c r="BB9" s="224"/>
      <c r="BC9" s="226" t="s">
        <v>594</v>
      </c>
      <c r="BD9" s="94" t="s">
        <v>468</v>
      </c>
      <c r="BE9" s="94" t="str">
        <f t="shared" si="1"/>
        <v>No Gap|Ready</v>
      </c>
      <c r="BF9" s="95" t="e">
        <f>COUNTIFS('[1]Completion Matrix'!$E:$E,'Dashboard 3'!$BB$5,'[1]Completion Matrix'!$I:$I,$BC$9,'[1]Completion Matrix'!$J:$J,BD9)</f>
        <v>#VALUE!</v>
      </c>
      <c r="BG9" s="95" t="e">
        <f>IF(COUNTIFS('[1]Completion Matrix'!$E:$E,'Dashboard 3'!$BB$5,'[1]Completion Matrix'!$I:$I,$BC$9,'[1]Completion Matrix'!$J:$J,BD9)=0,NA(),COUNTIFS('[1]Completion Matrix'!$E:$E,'Dashboard 3'!$BB$5,'[1]Completion Matrix'!$I:$I,$BC$9,'[1]Completion Matrix'!$J:$J,BD9))</f>
        <v>#VALUE!</v>
      </c>
      <c r="BH9" s="96"/>
      <c r="BI9" s="96"/>
      <c r="BJ9" s="96"/>
      <c r="BK9" s="96"/>
      <c r="BL9" s="96"/>
      <c r="BM9" s="96"/>
      <c r="BO9" s="224"/>
      <c r="BP9" s="226" t="s">
        <v>594</v>
      </c>
      <c r="BQ9" s="94" t="s">
        <v>468</v>
      </c>
      <c r="BR9" s="94"/>
      <c r="BS9" s="95" t="e">
        <f>COUNTIFS('[1]Completion Matrix'!$E:$E,'Dashboard 3'!$BO$5,'[1]Completion Matrix'!$I:$I,$BP$9,'[1]Completion Matrix'!$J:$J,BQ9)</f>
        <v>#VALUE!</v>
      </c>
      <c r="BT9" s="96"/>
      <c r="BU9" s="96"/>
      <c r="BV9" s="96"/>
      <c r="BW9" s="96"/>
      <c r="BX9" s="96"/>
      <c r="BY9" s="96"/>
      <c r="BZ9" s="96"/>
      <c r="CB9" s="224"/>
      <c r="CC9" s="226" t="s">
        <v>594</v>
      </c>
      <c r="CD9" s="94" t="s">
        <v>468</v>
      </c>
      <c r="CE9" s="94"/>
      <c r="CF9" s="95" t="e">
        <f>COUNTIFS('[1]Completion Matrix'!$E:$E,'Dashboard 3'!$CB$5,'[1]Completion Matrix'!$I:$I,$CC$9,'[1]Completion Matrix'!$J:$J,CD9)</f>
        <v>#VALUE!</v>
      </c>
    </row>
    <row r="10" spans="2:84">
      <c r="E10" s="84" t="s">
        <v>589</v>
      </c>
      <c r="F10" s="85" t="e">
        <f>COUNTIF('[1]Completion Matrix'!$E$3:$E$306,E10)</f>
        <v>#VALUE!</v>
      </c>
      <c r="G10" s="241"/>
      <c r="H10" s="95" t="e">
        <f>COUNTIFS('[1]Completion Matrix'!$E$3:$E$306,E10,'[1]Completion Matrix'!$F$3:$F$306,"")+COUNTIFS('[1]Completion Matrix'!$E$3:$E$306,E10,'[1]Completion Matrix'!$F$3:$F$306,"Standard Formula co only")</f>
        <v>#VALUE!</v>
      </c>
      <c r="I10" s="241"/>
      <c r="O10" s="89" t="s">
        <v>589</v>
      </c>
      <c r="P10" s="90" t="e">
        <f>COUNTIFS('[1]Completion Matrix'!$E$3:$E$306,$O10,'[1]Completion Matrix'!F$3:F$306,"")</f>
        <v>#VALUE!</v>
      </c>
      <c r="Q10" s="90" t="e">
        <f>COUNTIFS('[1]Completion Matrix'!$E$3:$E$306,$O10,'[1]Completion Matrix'!G$3:G$306,"")</f>
        <v>#VALUE!</v>
      </c>
      <c r="R10" s="90" t="e">
        <f>COUNTIFS('[1]Completion Matrix'!$E$3:$E$306,$O10,'[1]Completion Matrix'!H$3:H$306,"")</f>
        <v>#VALUE!</v>
      </c>
      <c r="S10" s="90" t="e">
        <f>COUNTIFS('[1]Completion Matrix'!$E$3:$E$306,$O10,'[1]Completion Matrix'!I$3:I$306,"")</f>
        <v>#VALUE!</v>
      </c>
      <c r="T10" s="90" t="e">
        <f>COUNTIFS('[1]Completion Matrix'!$E$3:$E$306,$O10,'[1]Completion Matrix'!J$3:J$306,"")</f>
        <v>#VALUE!</v>
      </c>
      <c r="U10" s="90" t="e">
        <f>COUNTIFS('[1]Completion Matrix'!$E$3:$E$306,$O10,'[1]Completion Matrix'!K$3:K$306,"")</f>
        <v>#VALUE!</v>
      </c>
      <c r="V10" s="90" t="e">
        <f>COUNTIFS('[1]Completion Matrix'!$E$3:$E$306,$O10,'[1]Completion Matrix'!L$3:L$306,"")</f>
        <v>#VALUE!</v>
      </c>
      <c r="W10" s="90" t="e">
        <f>COUNTIFS('[1]Completion Matrix'!$E$3:$E$306,$O10,'[1]Completion Matrix'!M$3:M$306,"")</f>
        <v>#VALUE!</v>
      </c>
      <c r="X10" s="90" t="e">
        <f>COUNTIFS('[1]Completion Matrix'!$E$3:$E$306,$O10,'[1]Completion Matrix'!N$3:N$306,"")</f>
        <v>#VALUE!</v>
      </c>
      <c r="Y10" s="91" t="e">
        <f>COUNTIFS('[1]Completion Matrix'!$E$3:$E$306,$O10,'[1]Completion Matrix'!$P$3:$P$306,"R")</f>
        <v>#VALUE!</v>
      </c>
      <c r="Z10" s="91" t="e">
        <f>COUNTIFS('[1]Completion Matrix'!$E$3:$E$306,$O10,'[1]Completion Matrix'!$P$3:$P$306,"A")</f>
        <v>#VALUE!</v>
      </c>
      <c r="AA10" s="91" t="e">
        <f>COUNTIFS('[1]Completion Matrix'!$E$3:$E$306,$O10,'[1]Completion Matrix'!$P$3:$P$306,"G")</f>
        <v>#VALUE!</v>
      </c>
      <c r="AB10" s="84" t="e">
        <f t="shared" si="0"/>
        <v>#VALUE!</v>
      </c>
      <c r="BB10" s="224"/>
      <c r="BC10" s="226"/>
      <c r="BD10" s="94" t="s">
        <v>459</v>
      </c>
      <c r="BE10" s="94" t="str">
        <f t="shared" si="1"/>
        <v>No Gap|Improvements Needed</v>
      </c>
      <c r="BF10" s="95" t="e">
        <f>COUNTIFS('[1]Completion Matrix'!$E:$E,'Dashboard 3'!$BB$5,'[1]Completion Matrix'!$I:$I,$BC$9,'[1]Completion Matrix'!$J:$J,BD10)</f>
        <v>#VALUE!</v>
      </c>
      <c r="BG10" s="95" t="e">
        <f>IF(COUNTIFS('[1]Completion Matrix'!$E:$E,'Dashboard 3'!$BB$5,'[1]Completion Matrix'!$I:$I,$BC$9,'[1]Completion Matrix'!$J:$J,BD10)=0,NA(),COUNTIFS('[1]Completion Matrix'!$E:$E,'Dashboard 3'!$BB$5,'[1]Completion Matrix'!$I:$I,$BC$9,'[1]Completion Matrix'!$J:$J,BD10))</f>
        <v>#VALUE!</v>
      </c>
      <c r="BH10" s="96"/>
      <c r="BI10" s="96"/>
      <c r="BJ10" s="96"/>
      <c r="BK10" s="96"/>
      <c r="BL10" s="96"/>
      <c r="BM10" s="96"/>
      <c r="BO10" s="224"/>
      <c r="BP10" s="226"/>
      <c r="BQ10" s="94" t="s">
        <v>459</v>
      </c>
      <c r="BR10" s="94"/>
      <c r="BS10" s="95" t="e">
        <f>COUNTIFS('[1]Completion Matrix'!$E:$E,'Dashboard 3'!$BO$5,'[1]Completion Matrix'!$I:$I,$BP$9,'[1]Completion Matrix'!$J:$J,BQ10)</f>
        <v>#VALUE!</v>
      </c>
      <c r="BT10" s="96"/>
      <c r="BU10" s="96"/>
      <c r="BV10" s="96"/>
      <c r="BW10" s="96"/>
      <c r="BX10" s="96"/>
      <c r="BY10" s="96"/>
      <c r="BZ10" s="96"/>
      <c r="CB10" s="224"/>
      <c r="CC10" s="226"/>
      <c r="CD10" s="94" t="s">
        <v>459</v>
      </c>
      <c r="CE10" s="94"/>
      <c r="CF10" s="95" t="e">
        <f>COUNTIFS('[1]Completion Matrix'!$E:$E,'Dashboard 3'!$CB$5,'[1]Completion Matrix'!$I:$I,$CC$9,'[1]Completion Matrix'!$J:$J,CD10)</f>
        <v>#VALUE!</v>
      </c>
    </row>
    <row r="11" spans="2:84">
      <c r="E11" s="84" t="s">
        <v>428</v>
      </c>
      <c r="F11" s="85" t="e">
        <f>COUNTIF('[1]Completion Matrix'!$E$3:$E$306,E11)</f>
        <v>#VALUE!</v>
      </c>
      <c r="G11" s="241"/>
      <c r="H11" s="95" t="e">
        <f>COUNTIFS('[1]Completion Matrix'!$E$3:$E$306,E11,'[1]Completion Matrix'!$F$3:$F$306,"")+COUNTIFS('[1]Completion Matrix'!$E$3:$E$306,E11,'[1]Completion Matrix'!$F$3:$F$306,"Standard Formula co only")</f>
        <v>#VALUE!</v>
      </c>
      <c r="I11" s="241"/>
      <c r="O11" s="89" t="s">
        <v>428</v>
      </c>
      <c r="P11" s="90" t="e">
        <f>COUNTIFS('[1]Completion Matrix'!$E$3:$E$306,$O11,'[1]Completion Matrix'!F$3:F$306,"")</f>
        <v>#VALUE!</v>
      </c>
      <c r="Q11" s="90" t="e">
        <f>COUNTIFS('[1]Completion Matrix'!$E$3:$E$306,$O11,'[1]Completion Matrix'!G$3:G$306,"")</f>
        <v>#VALUE!</v>
      </c>
      <c r="R11" s="90" t="e">
        <f>COUNTIFS('[1]Completion Matrix'!$E$3:$E$306,$O11,'[1]Completion Matrix'!H$3:H$306,"")</f>
        <v>#VALUE!</v>
      </c>
      <c r="S11" s="90" t="e">
        <f>COUNTIFS('[1]Completion Matrix'!$E$3:$E$306,$O11,'[1]Completion Matrix'!I$3:I$306,"")</f>
        <v>#VALUE!</v>
      </c>
      <c r="T11" s="90" t="e">
        <f>COUNTIFS('[1]Completion Matrix'!$E$3:$E$306,$O11,'[1]Completion Matrix'!J$3:J$306,"")</f>
        <v>#VALUE!</v>
      </c>
      <c r="U11" s="90" t="e">
        <f>COUNTIFS('[1]Completion Matrix'!$E$3:$E$306,$O11,'[1]Completion Matrix'!K$3:K$306,"")</f>
        <v>#VALUE!</v>
      </c>
      <c r="V11" s="90" t="e">
        <f>COUNTIFS('[1]Completion Matrix'!$E$3:$E$306,$O11,'[1]Completion Matrix'!L$3:L$306,"")</f>
        <v>#VALUE!</v>
      </c>
      <c r="W11" s="90" t="e">
        <f>COUNTIFS('[1]Completion Matrix'!$E$3:$E$306,$O11,'[1]Completion Matrix'!M$3:M$306,"")</f>
        <v>#VALUE!</v>
      </c>
      <c r="X11" s="90" t="e">
        <f>COUNTIFS('[1]Completion Matrix'!$E$3:$E$306,$O11,'[1]Completion Matrix'!N$3:N$306,"")</f>
        <v>#VALUE!</v>
      </c>
      <c r="Y11" s="91" t="e">
        <f>COUNTIFS('[1]Completion Matrix'!$E$3:$E$306,$O11,'[1]Completion Matrix'!$P$3:$P$306,"R")</f>
        <v>#VALUE!</v>
      </c>
      <c r="Z11" s="91" t="e">
        <f>COUNTIFS('[1]Completion Matrix'!$E$3:$E$306,$O11,'[1]Completion Matrix'!$P$3:$P$306,"A")</f>
        <v>#VALUE!</v>
      </c>
      <c r="AA11" s="91" t="e">
        <f>COUNTIFS('[1]Completion Matrix'!$E$3:$E$306,$O11,'[1]Completion Matrix'!$P$3:$P$306,"G")</f>
        <v>#VALUE!</v>
      </c>
      <c r="AB11" s="84" t="e">
        <f t="shared" si="0"/>
        <v>#VALUE!</v>
      </c>
      <c r="BB11" s="224"/>
      <c r="BC11" s="226"/>
      <c r="BD11" s="94" t="s">
        <v>462</v>
      </c>
      <c r="BE11" s="94" t="str">
        <f t="shared" si="1"/>
        <v>No Gap|Significant Improvements Needed</v>
      </c>
      <c r="BF11" s="95" t="e">
        <f>COUNTIFS('[1]Completion Matrix'!$E:$E,'Dashboard 3'!$BB$5,'[1]Completion Matrix'!$I:$I,$BC$9,'[1]Completion Matrix'!$J:$J,BD11)</f>
        <v>#VALUE!</v>
      </c>
      <c r="BG11" s="95" t="e">
        <f>IF(COUNTIFS('[1]Completion Matrix'!$E:$E,'Dashboard 3'!$BB$5,'[1]Completion Matrix'!$I:$I,$BC$9,'[1]Completion Matrix'!$J:$J,BD11)=0,NA(),COUNTIFS('[1]Completion Matrix'!$E:$E,'Dashboard 3'!$BB$5,'[1]Completion Matrix'!$I:$I,$BC$9,'[1]Completion Matrix'!$J:$J,BD11))</f>
        <v>#VALUE!</v>
      </c>
      <c r="BH11" s="96"/>
      <c r="BI11" s="96"/>
      <c r="BJ11" s="96"/>
      <c r="BK11" s="96"/>
      <c r="BL11" s="96"/>
      <c r="BM11" s="96"/>
      <c r="BO11" s="224"/>
      <c r="BP11" s="226"/>
      <c r="BQ11" s="94" t="s">
        <v>462</v>
      </c>
      <c r="BR11" s="94"/>
      <c r="BS11" s="95" t="e">
        <f>COUNTIFS('[1]Completion Matrix'!$E:$E,'Dashboard 3'!$BO$5,'[1]Completion Matrix'!$I:$I,$BP$9,'[1]Completion Matrix'!$J:$J,BQ11)</f>
        <v>#VALUE!</v>
      </c>
      <c r="BT11" s="96"/>
      <c r="BU11" s="96"/>
      <c r="BV11" s="96"/>
      <c r="BW11" s="96"/>
      <c r="BX11" s="96"/>
      <c r="BY11" s="96"/>
      <c r="BZ11" s="96"/>
      <c r="CB11" s="224"/>
      <c r="CC11" s="226"/>
      <c r="CD11" s="94" t="s">
        <v>462</v>
      </c>
      <c r="CE11" s="94"/>
      <c r="CF11" s="95" t="e">
        <f>COUNTIFS('[1]Completion Matrix'!$E:$E,'Dashboard 3'!$CB$5,'[1]Completion Matrix'!$I:$I,$CC$9,'[1]Completion Matrix'!$J:$J,CD11)</f>
        <v>#VALUE!</v>
      </c>
    </row>
    <row r="12" spans="2:84">
      <c r="E12" s="84" t="s">
        <v>438</v>
      </c>
      <c r="F12" s="85" t="e">
        <f>COUNTIF('[1]Completion Matrix'!$E$3:$E$306,E12)</f>
        <v>#VALUE!</v>
      </c>
      <c r="G12" s="241"/>
      <c r="H12" s="95" t="e">
        <f>COUNTIFS('[1]Completion Matrix'!$E$3:$E$306,E12,'[1]Completion Matrix'!$F$3:$F$306,"")+COUNTIFS('[1]Completion Matrix'!$E$3:$E$306,E12,'[1]Completion Matrix'!$F$3:$F$306,"Standard Formula co only")</f>
        <v>#VALUE!</v>
      </c>
      <c r="I12" s="241"/>
      <c r="O12" s="89" t="s">
        <v>438</v>
      </c>
      <c r="P12" s="90" t="e">
        <f>COUNTIFS('[1]Completion Matrix'!$E$3:$E$306,$O12,'[1]Completion Matrix'!F$3:F$306,"")</f>
        <v>#VALUE!</v>
      </c>
      <c r="Q12" s="90" t="e">
        <f>COUNTIFS('[1]Completion Matrix'!$E$3:$E$306,$O12,'[1]Completion Matrix'!G$3:G$306,"")</f>
        <v>#VALUE!</v>
      </c>
      <c r="R12" s="90" t="e">
        <f>COUNTIFS('[1]Completion Matrix'!$E$3:$E$306,$O12,'[1]Completion Matrix'!H$3:H$306,"")</f>
        <v>#VALUE!</v>
      </c>
      <c r="S12" s="90" t="e">
        <f>COUNTIFS('[1]Completion Matrix'!$E$3:$E$306,$O12,'[1]Completion Matrix'!I$3:I$306,"")</f>
        <v>#VALUE!</v>
      </c>
      <c r="T12" s="90" t="e">
        <f>COUNTIFS('[1]Completion Matrix'!$E$3:$E$306,$O12,'[1]Completion Matrix'!J$3:J$306,"")</f>
        <v>#VALUE!</v>
      </c>
      <c r="U12" s="90" t="e">
        <f>COUNTIFS('[1]Completion Matrix'!$E$3:$E$306,$O12,'[1]Completion Matrix'!K$3:K$306,"")</f>
        <v>#VALUE!</v>
      </c>
      <c r="V12" s="90" t="e">
        <f>COUNTIFS('[1]Completion Matrix'!$E$3:$E$306,$O12,'[1]Completion Matrix'!L$3:L$306,"")</f>
        <v>#VALUE!</v>
      </c>
      <c r="W12" s="90" t="e">
        <f>COUNTIFS('[1]Completion Matrix'!$E$3:$E$306,$O12,'[1]Completion Matrix'!M$3:M$306,"")</f>
        <v>#VALUE!</v>
      </c>
      <c r="X12" s="90" t="e">
        <f>COUNTIFS('[1]Completion Matrix'!$E$3:$E$306,$O12,'[1]Completion Matrix'!N$3:N$306,"")</f>
        <v>#VALUE!</v>
      </c>
      <c r="Y12" s="91" t="e">
        <f>COUNTIFS('[1]Completion Matrix'!$E$3:$E$306,$O12,'[1]Completion Matrix'!$P$3:$P$306,"R")</f>
        <v>#VALUE!</v>
      </c>
      <c r="Z12" s="91" t="e">
        <f>COUNTIFS('[1]Completion Matrix'!$E$3:$E$306,$O12,'[1]Completion Matrix'!$P$3:$P$306,"A")</f>
        <v>#VALUE!</v>
      </c>
      <c r="AA12" s="91" t="e">
        <f>COUNTIFS('[1]Completion Matrix'!$E$3:$E$306,$O12,'[1]Completion Matrix'!$P$3:$P$306,"G")</f>
        <v>#VALUE!</v>
      </c>
      <c r="AB12" s="84" t="e">
        <f t="shared" si="0"/>
        <v>#VALUE!</v>
      </c>
      <c r="BB12" s="224"/>
      <c r="BC12" s="226"/>
      <c r="BD12" s="94" t="s">
        <v>636</v>
      </c>
      <c r="BE12" s="94" t="str">
        <f t="shared" si="1"/>
        <v>No Gap|Priority</v>
      </c>
      <c r="BF12" s="95" t="e">
        <f>COUNTIFS('[1]Completion Matrix'!$E:$E,'Dashboard 3'!$BB$5,'[1]Completion Matrix'!$I:$I,$BC$9,'[1]Completion Matrix'!$J:$J,BD12)</f>
        <v>#VALUE!</v>
      </c>
      <c r="BG12" s="95" t="e">
        <f>IF(COUNTIFS('[1]Completion Matrix'!$E:$E,'Dashboard 3'!$BB$5,'[1]Completion Matrix'!$I:$I,$BC$9,'[1]Completion Matrix'!$J:$J,BD12)=0,NA(),COUNTIFS('[1]Completion Matrix'!$E:$E,'Dashboard 3'!$BB$5,'[1]Completion Matrix'!$I:$I,$BC$9,'[1]Completion Matrix'!$J:$J,BD12))</f>
        <v>#VALUE!</v>
      </c>
      <c r="BH12" s="96"/>
      <c r="BI12" s="96"/>
      <c r="BJ12" s="96"/>
      <c r="BK12" s="96"/>
      <c r="BL12" s="96"/>
      <c r="BM12" s="96"/>
      <c r="BO12" s="224"/>
      <c r="BP12" s="226"/>
      <c r="BQ12" s="94" t="s">
        <v>637</v>
      </c>
      <c r="BR12" s="94"/>
      <c r="BS12" s="95" t="e">
        <f>COUNTIFS('[1]Completion Matrix'!$E:$E,'Dashboard 3'!$BO$5,'[1]Completion Matrix'!$I:$I,$BP$9,'[1]Completion Matrix'!$J:$J,BQ12)</f>
        <v>#VALUE!</v>
      </c>
      <c r="BT12" s="96"/>
      <c r="BU12" s="96"/>
      <c r="BV12" s="96"/>
      <c r="BW12" s="96"/>
      <c r="BX12" s="96"/>
      <c r="BY12" s="96"/>
      <c r="BZ12" s="96"/>
      <c r="CB12" s="224"/>
      <c r="CC12" s="226"/>
      <c r="CD12" s="94" t="s">
        <v>637</v>
      </c>
      <c r="CE12" s="94"/>
      <c r="CF12" s="95" t="e">
        <f>COUNTIFS('[1]Completion Matrix'!$E:$E,'Dashboard 3'!$CB$5,'[1]Completion Matrix'!$I:$I,$CC$9,'[1]Completion Matrix'!$J:$J,CD12)</f>
        <v>#VALUE!</v>
      </c>
    </row>
    <row r="13" spans="2:84">
      <c r="E13" s="84" t="s">
        <v>437</v>
      </c>
      <c r="F13" s="85" t="e">
        <f>COUNTIF('[1]Completion Matrix'!$E$3:$E$306,E13)</f>
        <v>#VALUE!</v>
      </c>
      <c r="G13" s="241"/>
      <c r="H13" s="95" t="e">
        <f>COUNTIFS('[1]Completion Matrix'!$E$3:$E$306,E13,'[1]Completion Matrix'!$F$3:$F$306,"")+COUNTIFS('[1]Completion Matrix'!$E$3:$E$306,E13,'[1]Completion Matrix'!$F$3:$F$306,"Standard Formula co only")</f>
        <v>#VALUE!</v>
      </c>
      <c r="I13" s="241"/>
      <c r="O13" s="89" t="s">
        <v>437</v>
      </c>
      <c r="P13" s="90" t="e">
        <f>COUNTIFS('[1]Completion Matrix'!$E$3:$E$306,$O13,'[1]Completion Matrix'!F$3:F$306,"")</f>
        <v>#VALUE!</v>
      </c>
      <c r="Q13" s="90" t="e">
        <f>COUNTIFS('[1]Completion Matrix'!$E$3:$E$306,$O13,'[1]Completion Matrix'!G$3:G$306,"")</f>
        <v>#VALUE!</v>
      </c>
      <c r="R13" s="90" t="e">
        <f>COUNTIFS('[1]Completion Matrix'!$E$3:$E$306,$O13,'[1]Completion Matrix'!H$3:H$306,"")</f>
        <v>#VALUE!</v>
      </c>
      <c r="S13" s="90" t="e">
        <f>COUNTIFS('[1]Completion Matrix'!$E$3:$E$306,$O13,'[1]Completion Matrix'!I$3:I$306,"")</f>
        <v>#VALUE!</v>
      </c>
      <c r="T13" s="90" t="e">
        <f>COUNTIFS('[1]Completion Matrix'!$E$3:$E$306,$O13,'[1]Completion Matrix'!J$3:J$306,"")</f>
        <v>#VALUE!</v>
      </c>
      <c r="U13" s="90" t="e">
        <f>COUNTIFS('[1]Completion Matrix'!$E$3:$E$306,$O13,'[1]Completion Matrix'!K$3:K$306,"")</f>
        <v>#VALUE!</v>
      </c>
      <c r="V13" s="90" t="e">
        <f>COUNTIFS('[1]Completion Matrix'!$E$3:$E$306,$O13,'[1]Completion Matrix'!L$3:L$306,"")</f>
        <v>#VALUE!</v>
      </c>
      <c r="W13" s="90" t="e">
        <f>COUNTIFS('[1]Completion Matrix'!$E$3:$E$306,$O13,'[1]Completion Matrix'!M$3:M$306,"")</f>
        <v>#VALUE!</v>
      </c>
      <c r="X13" s="90" t="e">
        <f>COUNTIFS('[1]Completion Matrix'!$E$3:$E$306,$O13,'[1]Completion Matrix'!N$3:N$306,"")</f>
        <v>#VALUE!</v>
      </c>
      <c r="Y13" s="91" t="e">
        <f>COUNTIFS('[1]Completion Matrix'!$E$3:$E$306,$O13,'[1]Completion Matrix'!$P$3:$P$306,"R")</f>
        <v>#VALUE!</v>
      </c>
      <c r="Z13" s="91" t="e">
        <f>COUNTIFS('[1]Completion Matrix'!$E$3:$E$306,$O13,'[1]Completion Matrix'!$P$3:$P$306,"A")</f>
        <v>#VALUE!</v>
      </c>
      <c r="AA13" s="91" t="e">
        <f>COUNTIFS('[1]Completion Matrix'!$E$3:$E$306,$O13,'[1]Completion Matrix'!$P$3:$P$306,"G")</f>
        <v>#VALUE!</v>
      </c>
      <c r="AB13" s="84" t="e">
        <f t="shared" si="0"/>
        <v>#VALUE!</v>
      </c>
      <c r="BB13" s="224"/>
      <c r="BC13" s="226" t="s">
        <v>593</v>
      </c>
      <c r="BD13" s="94" t="s">
        <v>468</v>
      </c>
      <c r="BE13" s="94" t="str">
        <f t="shared" si="1"/>
        <v>No Gap|Ready</v>
      </c>
      <c r="BF13" s="95" t="e">
        <f>COUNTIFS('[1]Completion Matrix'!$E:$E,'Dashboard 3'!$BB$5,'[1]Completion Matrix'!$I:$I,$BC$13,'[1]Completion Matrix'!$J:$J,BD13)</f>
        <v>#VALUE!</v>
      </c>
      <c r="BG13" s="95" t="e">
        <f>IF(COUNTIFS('[1]Completion Matrix'!$E:$E,'Dashboard 3'!$BB$5,'[1]Completion Matrix'!$I:$I,$BC$13,'[1]Completion Matrix'!$J:$J,BD13)=0,NA(),COUNTIFS('[1]Completion Matrix'!$E:$E,'Dashboard 3'!$BB$5,'[1]Completion Matrix'!$I:$I,$BC$13,'[1]Completion Matrix'!$J:$J,BD13))</f>
        <v>#VALUE!</v>
      </c>
      <c r="BH13" s="96"/>
      <c r="BI13" s="96"/>
      <c r="BJ13" s="96"/>
      <c r="BK13" s="96"/>
      <c r="BL13" s="96"/>
      <c r="BM13" s="96"/>
      <c r="BO13" s="224"/>
      <c r="BP13" s="226" t="s">
        <v>593</v>
      </c>
      <c r="BQ13" s="94" t="s">
        <v>468</v>
      </c>
      <c r="BR13" s="94"/>
      <c r="BS13" s="95" t="e">
        <f>COUNTIFS('[1]Completion Matrix'!$E:$E,'Dashboard 3'!$BO$5,'[1]Completion Matrix'!$I:$I,$BP$13,'[1]Completion Matrix'!$J:$J,BQ13)</f>
        <v>#VALUE!</v>
      </c>
      <c r="BT13" s="96"/>
      <c r="BU13" s="96"/>
      <c r="BV13" s="96"/>
      <c r="BW13" s="96"/>
      <c r="BX13" s="96"/>
      <c r="BY13" s="96"/>
      <c r="BZ13" s="96"/>
      <c r="CB13" s="224"/>
      <c r="CC13" s="226" t="s">
        <v>593</v>
      </c>
      <c r="CD13" s="94" t="s">
        <v>468</v>
      </c>
      <c r="CE13" s="94"/>
      <c r="CF13" s="95" t="e">
        <f>COUNTIFS('[1]Completion Matrix'!$E:$E,'Dashboard 3'!$CB$5,'[1]Completion Matrix'!$I:$I,$CC$13,'[1]Completion Matrix'!$J:$J,CD13)</f>
        <v>#VALUE!</v>
      </c>
    </row>
    <row r="14" spans="2:84">
      <c r="E14" s="84" t="s">
        <v>435</v>
      </c>
      <c r="F14" s="85" t="e">
        <f>COUNTIF('[1]Completion Matrix'!$E$3:$E$306,E14)</f>
        <v>#VALUE!</v>
      </c>
      <c r="G14" s="85" t="e">
        <f>F14</f>
        <v>#VALUE!</v>
      </c>
      <c r="O14" s="84" t="s">
        <v>435</v>
      </c>
      <c r="P14" s="90" t="e">
        <f>COUNTIFS('[1]Completion Matrix'!$E$3:$E$306,$O$14,'[1]Completion Matrix'!F$3:F$306,"")</f>
        <v>#VALUE!</v>
      </c>
      <c r="Q14" s="90" t="e">
        <f>COUNTIFS('[1]Completion Matrix'!$E$3:$E$306,$O$14,'[1]Completion Matrix'!G$3:G$306,"")</f>
        <v>#VALUE!</v>
      </c>
      <c r="R14" s="90" t="e">
        <f>COUNTIFS('[1]Completion Matrix'!$E$3:$E$306,$O$14,'[1]Completion Matrix'!H$3:H$306,"")</f>
        <v>#VALUE!</v>
      </c>
      <c r="S14" s="90" t="e">
        <f>COUNTIFS('[1]Completion Matrix'!$E$3:$E$306,$O$14,'[1]Completion Matrix'!I$3:I$306,"")</f>
        <v>#VALUE!</v>
      </c>
      <c r="T14" s="90" t="e">
        <f>COUNTIFS('[1]Completion Matrix'!$E$3:$E$306,$O$14,'[1]Completion Matrix'!J$3:J$306,"")</f>
        <v>#VALUE!</v>
      </c>
      <c r="U14" s="90" t="e">
        <f>COUNTIFS('[1]Completion Matrix'!$E$3:$E$306,$O$14,'[1]Completion Matrix'!K$3:K$306,"")</f>
        <v>#VALUE!</v>
      </c>
      <c r="V14" s="90" t="e">
        <f>COUNTIFS('[1]Completion Matrix'!$E$3:$E$306,$O$14,'[1]Completion Matrix'!L$3:L$306,"")</f>
        <v>#VALUE!</v>
      </c>
      <c r="W14" s="90" t="e">
        <f>COUNTIFS('[1]Completion Matrix'!$E$3:$E$306,$O$14,'[1]Completion Matrix'!M$3:M$306,"")</f>
        <v>#VALUE!</v>
      </c>
      <c r="X14" s="90" t="e">
        <f>COUNTIFS('[1]Completion Matrix'!$E$3:$E$306,$O$14,'[1]Completion Matrix'!N$3:N$306,"")</f>
        <v>#VALUE!</v>
      </c>
      <c r="Y14" s="91" t="e">
        <f>COUNTIFS('[1]Completion Matrix'!$E$3:$E$306,O14,'[1]Completion Matrix'!$P$3:$P$306,"R")</f>
        <v>#VALUE!</v>
      </c>
      <c r="Z14" s="91" t="e">
        <f>COUNTIFS('[1]Completion Matrix'!$E$3:$E$306,O14,'[1]Completion Matrix'!$P$3:$P$306,"A")</f>
        <v>#VALUE!</v>
      </c>
      <c r="AA14" s="91" t="e">
        <f>COUNTIFS('[1]Completion Matrix'!$E$3:$E$306,O14,'[1]Completion Matrix'!$P$3:$P$306,"G")</f>
        <v>#VALUE!</v>
      </c>
      <c r="AB14" s="84" t="e">
        <f>SUM(P14:X14)</f>
        <v>#VALUE!</v>
      </c>
      <c r="BB14" s="224"/>
      <c r="BC14" s="226"/>
      <c r="BD14" s="94" t="s">
        <v>459</v>
      </c>
      <c r="BE14" s="94" t="str">
        <f t="shared" si="1"/>
        <v>No Gap|Improvements Needed</v>
      </c>
      <c r="BF14" s="95" t="e">
        <f>COUNTIFS('[1]Completion Matrix'!$E:$E,'Dashboard 3'!$BB$5,'[1]Completion Matrix'!$I:$I,$BC$13,'[1]Completion Matrix'!$J:$J,BD14)</f>
        <v>#VALUE!</v>
      </c>
      <c r="BG14" s="95" t="e">
        <f>IF(COUNTIFS('[1]Completion Matrix'!$E:$E,'Dashboard 3'!$BB$5,'[1]Completion Matrix'!$I:$I,$BC$13,'[1]Completion Matrix'!$J:$J,BD14)=0,NA(),COUNTIFS('[1]Completion Matrix'!$E:$E,'Dashboard 3'!$BB$5,'[1]Completion Matrix'!$I:$I,$BC$13,'[1]Completion Matrix'!$J:$J,BD14))</f>
        <v>#VALUE!</v>
      </c>
      <c r="BH14" s="96"/>
      <c r="BI14" s="96"/>
      <c r="BJ14" s="96"/>
      <c r="BK14" s="96"/>
      <c r="BL14" s="96"/>
      <c r="BM14" s="96"/>
      <c r="BO14" s="224"/>
      <c r="BP14" s="226"/>
      <c r="BQ14" s="94" t="s">
        <v>459</v>
      </c>
      <c r="BR14" s="94"/>
      <c r="BS14" s="95" t="e">
        <f>COUNTIFS('[1]Completion Matrix'!$E:$E,'Dashboard 3'!$BO$5,'[1]Completion Matrix'!$I:$I,$BP$13,'[1]Completion Matrix'!$J:$J,BQ14)</f>
        <v>#VALUE!</v>
      </c>
      <c r="BT14" s="96"/>
      <c r="BU14" s="96"/>
      <c r="BV14" s="96"/>
      <c r="BW14" s="96"/>
      <c r="BX14" s="96"/>
      <c r="BY14" s="96"/>
      <c r="BZ14" s="96"/>
      <c r="CB14" s="224"/>
      <c r="CC14" s="226"/>
      <c r="CD14" s="94" t="s">
        <v>459</v>
      </c>
      <c r="CE14" s="94"/>
      <c r="CF14" s="95" t="e">
        <f>COUNTIFS('[1]Completion Matrix'!$E:$E,'Dashboard 3'!$CB$5,'[1]Completion Matrix'!$I:$I,$CC$13,'[1]Completion Matrix'!$J:$J,CD14)</f>
        <v>#VALUE!</v>
      </c>
    </row>
    <row r="15" spans="2:84">
      <c r="F15" s="85" t="e">
        <f>SUM(F5:F14)</f>
        <v>#VALUE!</v>
      </c>
      <c r="G15" s="85" t="e">
        <f>SUM(G5:G14)</f>
        <v>#VALUE!</v>
      </c>
      <c r="BB15" s="224"/>
      <c r="BC15" s="226"/>
      <c r="BD15" s="94" t="s">
        <v>462</v>
      </c>
      <c r="BE15" s="94" t="str">
        <f t="shared" si="1"/>
        <v>No Gap|Significant Improvements Needed</v>
      </c>
      <c r="BF15" s="95" t="e">
        <f>COUNTIFS('[1]Completion Matrix'!$E:$E,'Dashboard 3'!$BB$5,'[1]Completion Matrix'!$I:$I,$BC$13,'[1]Completion Matrix'!$J:$J,BD15)</f>
        <v>#VALUE!</v>
      </c>
      <c r="BG15" s="95" t="e">
        <f>IF(COUNTIFS('[1]Completion Matrix'!$E:$E,'Dashboard 3'!$BB$5,'[1]Completion Matrix'!$I:$I,$BC$13,'[1]Completion Matrix'!$J:$J,BD15)=0,NA(),COUNTIFS('[1]Completion Matrix'!$E:$E,'Dashboard 3'!$BB$5,'[1]Completion Matrix'!$I:$I,$BC$13,'[1]Completion Matrix'!$J:$J,BD15))</f>
        <v>#VALUE!</v>
      </c>
      <c r="BH15" s="96"/>
      <c r="BI15" s="96"/>
      <c r="BJ15" s="96"/>
      <c r="BK15" s="96"/>
      <c r="BL15" s="96"/>
      <c r="BM15" s="96"/>
      <c r="BO15" s="224"/>
      <c r="BP15" s="226"/>
      <c r="BQ15" s="94" t="s">
        <v>462</v>
      </c>
      <c r="BR15" s="94"/>
      <c r="BS15" s="95" t="e">
        <f>COUNTIFS('[1]Completion Matrix'!$E:$E,'Dashboard 3'!$BO$5,'[1]Completion Matrix'!$I:$I,$BP$13,'[1]Completion Matrix'!$J:$J,BQ15)</f>
        <v>#VALUE!</v>
      </c>
      <c r="BT15" s="96"/>
      <c r="BU15" s="96"/>
      <c r="BV15" s="96"/>
      <c r="BW15" s="96"/>
      <c r="BX15" s="96"/>
      <c r="BY15" s="96"/>
      <c r="BZ15" s="96"/>
      <c r="CB15" s="224"/>
      <c r="CC15" s="226"/>
      <c r="CD15" s="94" t="s">
        <v>462</v>
      </c>
      <c r="CE15" s="94"/>
      <c r="CF15" s="95" t="e">
        <f>COUNTIFS('[1]Completion Matrix'!$E:$E,'Dashboard 3'!$CB$5,'[1]Completion Matrix'!$I:$I,$CC$13,'[1]Completion Matrix'!$J:$J,CD15)</f>
        <v>#VALUE!</v>
      </c>
    </row>
    <row r="16" spans="2:84">
      <c r="BB16" s="224"/>
      <c r="BC16" s="226"/>
      <c r="BD16" s="94" t="s">
        <v>636</v>
      </c>
      <c r="BE16" s="94" t="str">
        <f t="shared" si="1"/>
        <v>No Gap|Priority</v>
      </c>
      <c r="BF16" s="95" t="e">
        <f>COUNTIFS('[1]Completion Matrix'!$E:$E,'Dashboard 3'!$BB$5,'[1]Completion Matrix'!$I:$I,$BC$13,'[1]Completion Matrix'!$J:$J,BD16)</f>
        <v>#VALUE!</v>
      </c>
      <c r="BG16" s="95" t="e">
        <f>IF(COUNTIFS('[1]Completion Matrix'!$E:$E,'Dashboard 3'!$BB$5,'[1]Completion Matrix'!$I:$I,$BC$13,'[1]Completion Matrix'!$J:$J,BD16)=0,NA(),COUNTIFS('[1]Completion Matrix'!$E:$E,'Dashboard 3'!$BB$5,'[1]Completion Matrix'!$I:$I,$BC$13,'[1]Completion Matrix'!$J:$J,BD16))</f>
        <v>#VALUE!</v>
      </c>
      <c r="BH16" s="96"/>
      <c r="BI16" s="96"/>
      <c r="BJ16" s="96"/>
      <c r="BK16" s="96"/>
      <c r="BL16" s="96"/>
      <c r="BM16" s="96"/>
      <c r="BO16" s="224"/>
      <c r="BP16" s="226"/>
      <c r="BQ16" s="94" t="s">
        <v>636</v>
      </c>
      <c r="BR16" s="94"/>
      <c r="BS16" s="95" t="e">
        <f>COUNTIFS('[1]Completion Matrix'!$E:$E,'Dashboard 3'!$BO$5,'[1]Completion Matrix'!$I:$I,$BP$13,'[1]Completion Matrix'!$J:$J,BQ16)</f>
        <v>#VALUE!</v>
      </c>
      <c r="BT16" s="96"/>
      <c r="BU16" s="96"/>
      <c r="BV16" s="96"/>
      <c r="BW16" s="96"/>
      <c r="BX16" s="96"/>
      <c r="BY16" s="96"/>
      <c r="BZ16" s="96"/>
      <c r="CB16" s="224"/>
      <c r="CC16" s="226"/>
      <c r="CD16" s="94" t="s">
        <v>636</v>
      </c>
      <c r="CE16" s="94"/>
      <c r="CF16" s="95" t="e">
        <f>COUNTIFS('[1]Completion Matrix'!$E:$E,'Dashboard 3'!$CB$5,'[1]Completion Matrix'!$I:$I,$CC$13,'[1]Completion Matrix'!$J:$J,CD16)</f>
        <v>#VALUE!</v>
      </c>
    </row>
    <row r="17" spans="54:84">
      <c r="BB17" s="224"/>
      <c r="BC17" s="226" t="s">
        <v>636</v>
      </c>
      <c r="BD17" s="94" t="s">
        <v>468</v>
      </c>
      <c r="BE17" s="94" t="str">
        <f t="shared" si="1"/>
        <v>No Gap|Ready</v>
      </c>
      <c r="BF17" s="95" t="e">
        <f>COUNTIFS('[1]Completion Matrix'!$E:$E,'Dashboard 3'!$BB$5,'[1]Completion Matrix'!$I:$I,$BC$17,'[1]Completion Matrix'!$J:$J,BD17)</f>
        <v>#VALUE!</v>
      </c>
      <c r="BG17" s="95" t="e">
        <f>IF(COUNTIFS('[1]Completion Matrix'!$E:$E,'Dashboard 3'!$BB$5,'[1]Completion Matrix'!$I:$I,$BC$17,'[1]Completion Matrix'!$J:$J,BD17)=0,NA(),COUNTIFS('[1]Completion Matrix'!$E:$E,'Dashboard 3'!$BB$5,'[1]Completion Matrix'!$I:$I,$BC$17,'[1]Completion Matrix'!$J:$J,BD17))</f>
        <v>#VALUE!</v>
      </c>
      <c r="BH17" s="96"/>
      <c r="BI17" s="96"/>
      <c r="BJ17" s="96"/>
      <c r="BK17" s="96"/>
      <c r="BL17" s="96"/>
      <c r="BM17" s="96"/>
      <c r="BO17" s="224"/>
      <c r="BP17" s="226" t="s">
        <v>636</v>
      </c>
      <c r="BQ17" s="94" t="s">
        <v>468</v>
      </c>
      <c r="BR17" s="94"/>
      <c r="BS17" s="95" t="e">
        <f>COUNTIFS('[1]Completion Matrix'!$E:$E,'Dashboard 3'!$BO$5,'[1]Completion Matrix'!$I:$I,$BP$17,'[1]Completion Matrix'!$J:$J,BQ17)</f>
        <v>#VALUE!</v>
      </c>
      <c r="BT17" s="96"/>
      <c r="BU17" s="96"/>
      <c r="BV17" s="96"/>
      <c r="BW17" s="96"/>
      <c r="BX17" s="96"/>
      <c r="BY17" s="96"/>
      <c r="BZ17" s="96"/>
      <c r="CB17" s="224"/>
      <c r="CC17" s="226" t="s">
        <v>636</v>
      </c>
      <c r="CD17" s="94" t="s">
        <v>468</v>
      </c>
      <c r="CE17" s="94"/>
      <c r="CF17" s="95" t="e">
        <f>COUNTIFS('[1]Completion Matrix'!$E:$E,'Dashboard 3'!$CB$5,'[1]Completion Matrix'!$I:$I,$CC$17,'[1]Completion Matrix'!$J:$J,CD17)</f>
        <v>#VALUE!</v>
      </c>
    </row>
    <row r="18" spans="54:84">
      <c r="BB18" s="224"/>
      <c r="BC18" s="226"/>
      <c r="BD18" s="94" t="s">
        <v>459</v>
      </c>
      <c r="BE18" s="94" t="str">
        <f t="shared" si="1"/>
        <v>No Gap|Improvements Needed</v>
      </c>
      <c r="BF18" s="95" t="e">
        <f>COUNTIFS('[1]Completion Matrix'!$E:$E,'Dashboard 3'!$BB$5,'[1]Completion Matrix'!$I:$I,$BC$17,'[1]Completion Matrix'!$J:$J,BD18)</f>
        <v>#VALUE!</v>
      </c>
      <c r="BG18" s="95" t="e">
        <f>IF(COUNTIFS('[1]Completion Matrix'!$E:$E,'Dashboard 3'!$BB$5,'[1]Completion Matrix'!$I:$I,$BC$17,'[1]Completion Matrix'!$J:$J,BD18)=0,NA(),COUNTIFS('[1]Completion Matrix'!$E:$E,'Dashboard 3'!$BB$5,'[1]Completion Matrix'!$I:$I,$BC$17,'[1]Completion Matrix'!$J:$J,BD18))</f>
        <v>#VALUE!</v>
      </c>
      <c r="BH18" s="96"/>
      <c r="BI18" s="96"/>
      <c r="BJ18" s="96"/>
      <c r="BK18" s="96"/>
      <c r="BL18" s="96"/>
      <c r="BM18" s="96"/>
      <c r="BO18" s="224"/>
      <c r="BP18" s="226"/>
      <c r="BQ18" s="94" t="s">
        <v>459</v>
      </c>
      <c r="BR18" s="94"/>
      <c r="BS18" s="95" t="e">
        <f>COUNTIFS('[1]Completion Matrix'!$E:$E,'Dashboard 3'!$BO$5,'[1]Completion Matrix'!$I:$I,$BP$17,'[1]Completion Matrix'!$J:$J,BQ18)</f>
        <v>#VALUE!</v>
      </c>
      <c r="BT18" s="96"/>
      <c r="BU18" s="96"/>
      <c r="BV18" s="96"/>
      <c r="BW18" s="96"/>
      <c r="BX18" s="96"/>
      <c r="BY18" s="96"/>
      <c r="BZ18" s="96"/>
      <c r="CB18" s="224"/>
      <c r="CC18" s="226"/>
      <c r="CD18" s="94" t="s">
        <v>459</v>
      </c>
      <c r="CE18" s="94"/>
      <c r="CF18" s="95" t="e">
        <f>COUNTIFS('[1]Completion Matrix'!$E:$E,'Dashboard 3'!$CB$5,'[1]Completion Matrix'!$I:$I,$CC$17,'[1]Completion Matrix'!$J:$J,CD18)</f>
        <v>#VALUE!</v>
      </c>
    </row>
    <row r="19" spans="54:84">
      <c r="BB19" s="224"/>
      <c r="BC19" s="226"/>
      <c r="BD19" s="94" t="s">
        <v>462</v>
      </c>
      <c r="BE19" s="94" t="str">
        <f t="shared" si="1"/>
        <v>No Gap|Significant Improvements Needed</v>
      </c>
      <c r="BF19" s="95" t="e">
        <f>COUNTIFS('[1]Completion Matrix'!$E:$E,'Dashboard 3'!$BB$5,'[1]Completion Matrix'!$I:$I,$BC$17,'[1]Completion Matrix'!$J:$J,BD19)</f>
        <v>#VALUE!</v>
      </c>
      <c r="BG19" s="95" t="e">
        <f>IF(COUNTIFS('[1]Completion Matrix'!$E:$E,'Dashboard 3'!$BB$5,'[1]Completion Matrix'!$I:$I,$BC$17,'[1]Completion Matrix'!$J:$J,BD19)=0,NA(),COUNTIFS('[1]Completion Matrix'!$E:$E,'Dashboard 3'!$BB$5,'[1]Completion Matrix'!$I:$I,$BC$17,'[1]Completion Matrix'!$J:$J,BD19))</f>
        <v>#VALUE!</v>
      </c>
      <c r="BH19" s="96"/>
      <c r="BI19" s="96"/>
      <c r="BJ19" s="96"/>
      <c r="BK19" s="96"/>
      <c r="BL19" s="96"/>
      <c r="BM19" s="96"/>
      <c r="BO19" s="224"/>
      <c r="BP19" s="226"/>
      <c r="BQ19" s="94" t="s">
        <v>462</v>
      </c>
      <c r="BR19" s="94"/>
      <c r="BS19" s="95" t="e">
        <f>COUNTIFS('[1]Completion Matrix'!$E:$E,'Dashboard 3'!$BO$5,'[1]Completion Matrix'!$I:$I,$BP$17,'[1]Completion Matrix'!$J:$J,BQ19)</f>
        <v>#VALUE!</v>
      </c>
      <c r="BT19" s="96"/>
      <c r="BU19" s="96"/>
      <c r="BV19" s="96"/>
      <c r="BW19" s="96"/>
      <c r="BX19" s="96"/>
      <c r="BY19" s="96"/>
      <c r="BZ19" s="96"/>
      <c r="CB19" s="224"/>
      <c r="CC19" s="226"/>
      <c r="CD19" s="94" t="s">
        <v>462</v>
      </c>
      <c r="CE19" s="94"/>
      <c r="CF19" s="95" t="e">
        <f>COUNTIFS('[1]Completion Matrix'!$E:$E,'Dashboard 3'!$CB$5,'[1]Completion Matrix'!$I:$I,$CC$17,'[1]Completion Matrix'!$J:$J,CD19)</f>
        <v>#VALUE!</v>
      </c>
    </row>
    <row r="20" spans="54:84">
      <c r="BB20" s="225"/>
      <c r="BC20" s="226"/>
      <c r="BD20" s="94" t="s">
        <v>636</v>
      </c>
      <c r="BE20" s="94" t="str">
        <f t="shared" si="1"/>
        <v>No Gap|Priority</v>
      </c>
      <c r="BF20" s="95" t="e">
        <f>COUNTIFS('[1]Completion Matrix'!$E:$E,'Dashboard 3'!$BB$5,'[1]Completion Matrix'!$I:$I,$BC$17,'[1]Completion Matrix'!$J:$J,BD20)</f>
        <v>#VALUE!</v>
      </c>
      <c r="BG20" s="95" t="e">
        <f>IF(COUNTIFS('[1]Completion Matrix'!$E:$E,'Dashboard 3'!$BB$5,'[1]Completion Matrix'!$I:$I,$BC$17,'[1]Completion Matrix'!$J:$J,BD20)=0,NA(),COUNTIFS('[1]Completion Matrix'!$E:$E,'Dashboard 3'!$BB$5,'[1]Completion Matrix'!$I:$I,$BC$17,'[1]Completion Matrix'!$J:$J,BD20))</f>
        <v>#VALUE!</v>
      </c>
      <c r="BH20" s="96"/>
      <c r="BI20" s="96"/>
      <c r="BJ20" s="96"/>
      <c r="BK20" s="96"/>
      <c r="BL20" s="96"/>
      <c r="BM20" s="96"/>
      <c r="BO20" s="225"/>
      <c r="BP20" s="226"/>
      <c r="BQ20" s="94" t="s">
        <v>636</v>
      </c>
      <c r="BR20" s="94"/>
      <c r="BS20" s="95" t="e">
        <f>COUNTIFS('[1]Completion Matrix'!$E:$E,'Dashboard 3'!$BO$5,'[1]Completion Matrix'!$I:$I,$BP$17,'[1]Completion Matrix'!$J:$J,BQ20)</f>
        <v>#VALUE!</v>
      </c>
      <c r="BT20" s="96"/>
      <c r="BU20" s="96"/>
      <c r="BV20" s="96"/>
      <c r="BW20" s="96"/>
      <c r="BX20" s="96"/>
      <c r="BY20" s="96"/>
      <c r="BZ20" s="96"/>
      <c r="CB20" s="225"/>
      <c r="CC20" s="226"/>
      <c r="CD20" s="94" t="s">
        <v>636</v>
      </c>
      <c r="CE20" s="94"/>
      <c r="CF20" s="95" t="e">
        <f>COUNTIFS('[1]Completion Matrix'!$E:$E,'Dashboard 3'!$CB$5,'[1]Completion Matrix'!$I:$I,$CC$17,'[1]Completion Matrix'!$J:$J,CD20)</f>
        <v>#VALUE!</v>
      </c>
    </row>
    <row r="21" spans="54:84">
      <c r="BF21" s="95" t="e">
        <f>SUM(BF5:BF20)</f>
        <v>#VALUE!</v>
      </c>
      <c r="BG21" s="96"/>
      <c r="BH21" s="96"/>
      <c r="BI21" s="96"/>
      <c r="BJ21" s="96"/>
      <c r="BK21" s="96"/>
      <c r="BL21" s="96"/>
      <c r="BM21" s="96"/>
      <c r="BS21" s="95" t="e">
        <f>SUM(BS5:BS20)</f>
        <v>#VALUE!</v>
      </c>
      <c r="BT21" s="96"/>
      <c r="BU21" s="96"/>
      <c r="BV21" s="96"/>
      <c r="BW21" s="96"/>
      <c r="BX21" s="96"/>
      <c r="BY21" s="96"/>
      <c r="BZ21" s="96"/>
      <c r="CF21" s="95" t="e">
        <f>SUM(CF5:CF20)</f>
        <v>#VALUE!</v>
      </c>
    </row>
    <row r="23" spans="54:84">
      <c r="BC23" s="214" t="s">
        <v>638</v>
      </c>
      <c r="BD23" s="94" t="s">
        <v>451</v>
      </c>
      <c r="BE23" s="94"/>
      <c r="BF23" s="95" t="e">
        <f>COUNTIFS('[1]Completion Matrix'!$E:$E,'Dashboard 3'!BB5,'[1]Completion Matrix'!$I:$I,"")</f>
        <v>#VALUE!</v>
      </c>
      <c r="BG23" s="96"/>
      <c r="BH23" s="96"/>
      <c r="BI23" s="96"/>
      <c r="BJ23" s="96"/>
      <c r="BK23" s="96"/>
      <c r="BL23" s="96"/>
      <c r="BM23" s="96"/>
      <c r="BP23" s="214" t="s">
        <v>638</v>
      </c>
      <c r="BQ23" s="94" t="s">
        <v>451</v>
      </c>
      <c r="BR23" s="94"/>
      <c r="BS23" s="95" t="e">
        <f>COUNTIFS('[1]Completion Matrix'!$E:$E,'Dashboard 3'!BO5,'[1]Completion Matrix'!$I:$I,"")</f>
        <v>#VALUE!</v>
      </c>
      <c r="BT23" s="96"/>
      <c r="BU23" s="96"/>
      <c r="BV23" s="96"/>
      <c r="BW23" s="96"/>
      <c r="BX23" s="96"/>
      <c r="BY23" s="96"/>
      <c r="BZ23" s="96"/>
      <c r="CC23" s="214" t="s">
        <v>638</v>
      </c>
      <c r="CD23" s="94" t="s">
        <v>451</v>
      </c>
      <c r="CE23" s="94"/>
      <c r="CF23" s="95" t="e">
        <f>COUNTIFS('[1]Completion Matrix'!$E:$E,'Dashboard 3'!CB5,'[1]Completion Matrix'!$I:$I,"")</f>
        <v>#VALUE!</v>
      </c>
    </row>
    <row r="24" spans="54:84">
      <c r="BC24" s="215"/>
      <c r="BD24" s="94" t="s">
        <v>450</v>
      </c>
      <c r="BE24" s="94"/>
      <c r="BF24" s="95" t="e">
        <f>COUNTIFS('[1]Completion Matrix'!$E:$E,'Dashboard 3'!BB5,'[1]Completion Matrix'!$I:$I,"")</f>
        <v>#VALUE!</v>
      </c>
      <c r="BG24" s="96"/>
      <c r="BH24" s="96"/>
      <c r="BI24" s="96"/>
      <c r="BJ24" s="96"/>
      <c r="BK24" s="96"/>
      <c r="BL24" s="96"/>
      <c r="BM24" s="96"/>
      <c r="BP24" s="215"/>
      <c r="BQ24" s="94" t="s">
        <v>450</v>
      </c>
      <c r="BR24" s="94"/>
      <c r="BS24" s="95" t="e">
        <f>COUNTIFS('[1]Completion Matrix'!$E:$E,'Dashboard 3'!BO5,'[1]Completion Matrix'!$I:$I,"")</f>
        <v>#VALUE!</v>
      </c>
      <c r="BT24" s="96"/>
      <c r="BU24" s="96"/>
      <c r="BV24" s="96"/>
      <c r="BW24" s="96"/>
      <c r="BX24" s="96"/>
      <c r="BY24" s="96"/>
      <c r="BZ24" s="96"/>
      <c r="CC24" s="215"/>
      <c r="CD24" s="94" t="s">
        <v>450</v>
      </c>
      <c r="CE24" s="94"/>
      <c r="CF24" s="95" t="e">
        <f>COUNTIFS('[1]Completion Matrix'!$E:$E,'Dashboard 3'!CB5,'[1]Completion Matrix'!$I:$I,"")</f>
        <v>#VALUE!</v>
      </c>
    </row>
    <row r="27" spans="54:84">
      <c r="BB27" s="223" t="s">
        <v>431</v>
      </c>
      <c r="BC27" s="226" t="s">
        <v>595</v>
      </c>
      <c r="BD27" s="94" t="s">
        <v>468</v>
      </c>
      <c r="BE27" s="94" t="str">
        <f>IF(ISNA(BG27),"",$BC$5&amp;"|"&amp;BD27)</f>
        <v>No Gap|Ready</v>
      </c>
      <c r="BF27" s="95" t="e">
        <f>COUNTIFS('[1]Completion Matrix'!$E:$E,'Dashboard 3'!$BB$27,'[1]Completion Matrix'!$I:$I,$BC$27,'[1]Completion Matrix'!$J:$J,BD27)</f>
        <v>#VALUE!</v>
      </c>
      <c r="BG27" s="95" t="e">
        <f>IF(COUNTIFS('[1]Completion Matrix'!$E:$E,'Dashboard 3'!$BB$27,'[1]Completion Matrix'!$I:$I,$BC$27,'[1]Completion Matrix'!$J:$J,BD27)=0,NA(),COUNTIFS('[1]Completion Matrix'!$E:$E,'Dashboard 3'!$BB$27,'[1]Completion Matrix'!$I:$I,$BC$27,'[1]Completion Matrix'!$J:$J,BD27))</f>
        <v>#VALUE!</v>
      </c>
      <c r="BH27" s="96"/>
      <c r="BI27" s="96"/>
      <c r="BJ27" s="96"/>
      <c r="BK27" s="96"/>
      <c r="BL27" s="96"/>
      <c r="BM27" s="96"/>
      <c r="BO27" s="223" t="s">
        <v>481</v>
      </c>
      <c r="BP27" s="226" t="s">
        <v>595</v>
      </c>
      <c r="BQ27" s="94" t="s">
        <v>468</v>
      </c>
      <c r="BR27" s="94"/>
      <c r="BS27" s="95" t="e">
        <f>COUNTIFS('[1]Completion Matrix'!$E:$E,'Dashboard 3'!$BO$27,'[1]Completion Matrix'!$I:$I,$BP$27,'[1]Completion Matrix'!$J:$J,BQ27)</f>
        <v>#VALUE!</v>
      </c>
      <c r="BT27" s="96"/>
      <c r="BU27" s="96"/>
      <c r="BV27" s="96"/>
      <c r="BW27" s="96"/>
      <c r="BX27" s="96"/>
      <c r="BY27" s="96"/>
      <c r="BZ27" s="96"/>
      <c r="CB27" s="223" t="s">
        <v>589</v>
      </c>
      <c r="CC27" s="226" t="s">
        <v>595</v>
      </c>
      <c r="CD27" s="94" t="s">
        <v>468</v>
      </c>
      <c r="CE27" s="94"/>
      <c r="CF27" s="95" t="e">
        <f>COUNTIFS('[1]Completion Matrix'!$E:$E,'Dashboard 3'!$CB$27,'[1]Completion Matrix'!$I:$I,$CC$27,'[1]Completion Matrix'!$J:$J,CD27)</f>
        <v>#VALUE!</v>
      </c>
    </row>
    <row r="28" spans="54:84">
      <c r="BB28" s="224"/>
      <c r="BC28" s="226"/>
      <c r="BD28" s="94" t="s">
        <v>459</v>
      </c>
      <c r="BE28" s="94" t="str">
        <f>IF(ISNA(BG28),"",$BC$5&amp;"|"&amp;BD28)</f>
        <v>No Gap|Improvements Needed</v>
      </c>
      <c r="BF28" s="95" t="e">
        <f>COUNTIFS('[1]Completion Matrix'!$E:$E,'Dashboard 3'!$BB$27,'[1]Completion Matrix'!$I:$I,$BC$27,'[1]Completion Matrix'!$J:$J,BD28)</f>
        <v>#VALUE!</v>
      </c>
      <c r="BG28" s="95" t="e">
        <f>IF(COUNTIFS('[1]Completion Matrix'!$E:$E,'Dashboard 3'!$BB$27,'[1]Completion Matrix'!$I:$I,$BC$27,'[1]Completion Matrix'!$J:$J,BD28)=0,NA(),COUNTIFS('[1]Completion Matrix'!$E:$E,'Dashboard 3'!$BB$27,'[1]Completion Matrix'!$I:$I,$BC$27,'[1]Completion Matrix'!$J:$J,BD28))</f>
        <v>#VALUE!</v>
      </c>
      <c r="BH28" s="96"/>
      <c r="BI28" s="96"/>
      <c r="BJ28" s="96"/>
      <c r="BK28" s="96"/>
      <c r="BL28" s="96"/>
      <c r="BM28" s="96"/>
      <c r="BO28" s="224"/>
      <c r="BP28" s="226"/>
      <c r="BQ28" s="94" t="s">
        <v>459</v>
      </c>
      <c r="BR28" s="94"/>
      <c r="BS28" s="95" t="e">
        <f>COUNTIFS('[1]Completion Matrix'!$E:$E,'Dashboard 3'!$BO$27,'[1]Completion Matrix'!$I:$I,$BP$27,'[1]Completion Matrix'!$J:$J,BQ28)</f>
        <v>#VALUE!</v>
      </c>
      <c r="BT28" s="96"/>
      <c r="BU28" s="96"/>
      <c r="BV28" s="96"/>
      <c r="BW28" s="96"/>
      <c r="BX28" s="96"/>
      <c r="BY28" s="96"/>
      <c r="BZ28" s="96"/>
      <c r="CB28" s="224"/>
      <c r="CC28" s="226"/>
      <c r="CD28" s="94" t="s">
        <v>459</v>
      </c>
      <c r="CE28" s="94"/>
      <c r="CF28" s="95" t="e">
        <f>COUNTIFS('[1]Completion Matrix'!$E:$E,'Dashboard 3'!$CB$27,'[1]Completion Matrix'!$I:$I,$CC$27,'[1]Completion Matrix'!$J:$J,CD28)</f>
        <v>#VALUE!</v>
      </c>
    </row>
    <row r="29" spans="54:84">
      <c r="BB29" s="224"/>
      <c r="BC29" s="226"/>
      <c r="BD29" s="94" t="s">
        <v>462</v>
      </c>
      <c r="BE29" s="94" t="str">
        <f t="shared" ref="BE29:BE42" si="2">IF(ISNA(BG29),"",$BC$5&amp;"|"&amp;BD29)</f>
        <v>No Gap|Significant Improvements Needed</v>
      </c>
      <c r="BF29" s="95" t="e">
        <f>COUNTIFS('[1]Completion Matrix'!$E:$E,'Dashboard 3'!$BB$27,'[1]Completion Matrix'!$I:$I,$BC$27,'[1]Completion Matrix'!$J:$J,BD29)</f>
        <v>#VALUE!</v>
      </c>
      <c r="BG29" s="95" t="e">
        <f>IF(COUNTIFS('[1]Completion Matrix'!$E:$E,'Dashboard 3'!$BB$27,'[1]Completion Matrix'!$I:$I,$BC$27,'[1]Completion Matrix'!$J:$J,BD29)=0,NA(),COUNTIFS('[1]Completion Matrix'!$E:$E,'Dashboard 3'!$BB$27,'[1]Completion Matrix'!$I:$I,$BC$27,'[1]Completion Matrix'!$J:$J,BD29))</f>
        <v>#VALUE!</v>
      </c>
      <c r="BH29" s="96"/>
      <c r="BI29" s="96"/>
      <c r="BJ29" s="96"/>
      <c r="BK29" s="96"/>
      <c r="BL29" s="96"/>
      <c r="BM29" s="96"/>
      <c r="BO29" s="224"/>
      <c r="BP29" s="226"/>
      <c r="BQ29" s="94" t="s">
        <v>462</v>
      </c>
      <c r="BR29" s="94"/>
      <c r="BS29" s="95" t="e">
        <f>COUNTIFS('[1]Completion Matrix'!$E:$E,'Dashboard 3'!$BO$27,'[1]Completion Matrix'!$I:$I,$BP$27,'[1]Completion Matrix'!$J:$J,BQ29)</f>
        <v>#VALUE!</v>
      </c>
      <c r="BT29" s="96"/>
      <c r="BU29" s="96"/>
      <c r="BV29" s="96"/>
      <c r="BW29" s="96"/>
      <c r="BX29" s="96"/>
      <c r="BY29" s="96"/>
      <c r="BZ29" s="96"/>
      <c r="CB29" s="224"/>
      <c r="CC29" s="226"/>
      <c r="CD29" s="94" t="s">
        <v>462</v>
      </c>
      <c r="CE29" s="94"/>
      <c r="CF29" s="95" t="e">
        <f>COUNTIFS('[1]Completion Matrix'!$E:$E,'Dashboard 3'!$CB$27,'[1]Completion Matrix'!$I:$I,$CC$27,'[1]Completion Matrix'!$J:$J,CD29)</f>
        <v>#VALUE!</v>
      </c>
    </row>
    <row r="30" spans="54:84">
      <c r="BB30" s="224"/>
      <c r="BC30" s="226"/>
      <c r="BD30" s="94" t="s">
        <v>636</v>
      </c>
      <c r="BE30" s="94" t="str">
        <f t="shared" si="2"/>
        <v>No Gap|Priority</v>
      </c>
      <c r="BF30" s="95" t="e">
        <f>COUNTIFS('[1]Completion Matrix'!$E:$E,'Dashboard 3'!$BB$27,'[1]Completion Matrix'!$I:$I,$BC$27,'[1]Completion Matrix'!$J:$J,BD30)</f>
        <v>#VALUE!</v>
      </c>
      <c r="BG30" s="95" t="e">
        <f>IF(COUNTIFS('[1]Completion Matrix'!$E:$E,'Dashboard 3'!$BB$27,'[1]Completion Matrix'!$I:$I,$BC$27,'[1]Completion Matrix'!$J:$J,BD30)=0,NA(),COUNTIFS('[1]Completion Matrix'!$E:$E,'Dashboard 3'!$BB$27,'[1]Completion Matrix'!$I:$I,$BC$27,'[1]Completion Matrix'!$J:$J,BD30))</f>
        <v>#VALUE!</v>
      </c>
      <c r="BH30" s="96"/>
      <c r="BI30" s="96"/>
      <c r="BJ30" s="96"/>
      <c r="BK30" s="96"/>
      <c r="BL30" s="96"/>
      <c r="BM30" s="96"/>
      <c r="BO30" s="224"/>
      <c r="BP30" s="226"/>
      <c r="BQ30" s="94" t="s">
        <v>636</v>
      </c>
      <c r="BR30" s="94"/>
      <c r="BS30" s="95" t="e">
        <f>COUNTIFS('[1]Completion Matrix'!$E:$E,'Dashboard 3'!$BO$27,'[1]Completion Matrix'!$I:$I,$BP$27,'[1]Completion Matrix'!$J:$J,BQ30)</f>
        <v>#VALUE!</v>
      </c>
      <c r="BT30" s="96"/>
      <c r="BU30" s="96"/>
      <c r="BV30" s="96"/>
      <c r="BW30" s="96"/>
      <c r="BX30" s="96"/>
      <c r="BY30" s="96"/>
      <c r="BZ30" s="96"/>
      <c r="CB30" s="224"/>
      <c r="CC30" s="226"/>
      <c r="CD30" s="94" t="s">
        <v>636</v>
      </c>
      <c r="CE30" s="94"/>
      <c r="CF30" s="95" t="e">
        <f>COUNTIFS('[1]Completion Matrix'!$E:$E,'Dashboard 3'!$CB$27,'[1]Completion Matrix'!$I:$I,$CC$27,'[1]Completion Matrix'!$J:$J,CD30)</f>
        <v>#VALUE!</v>
      </c>
    </row>
    <row r="31" spans="54:84">
      <c r="BB31" s="224"/>
      <c r="BC31" s="226" t="s">
        <v>594</v>
      </c>
      <c r="BD31" s="94" t="s">
        <v>468</v>
      </c>
      <c r="BE31" s="94" t="str">
        <f t="shared" si="2"/>
        <v>No Gap|Ready</v>
      </c>
      <c r="BF31" s="95" t="e">
        <f>COUNTIFS('[1]Completion Matrix'!$E:$E,'Dashboard 3'!$BB$27,'[1]Completion Matrix'!$I:$I,$BC$31,'[1]Completion Matrix'!$J:$J,BD31)</f>
        <v>#VALUE!</v>
      </c>
      <c r="BG31" s="95" t="e">
        <f>IF(COUNTIFS('[1]Completion Matrix'!$E:$E,'Dashboard 3'!$BB$27,'[1]Completion Matrix'!$I:$I,$BC$31,'[1]Completion Matrix'!$J:$J,BD31)=0,NA(),COUNTIFS('[1]Completion Matrix'!$E:$E,'Dashboard 3'!$BB$27,'[1]Completion Matrix'!$I:$I,$BC$31,'[1]Completion Matrix'!$J:$J,BD31))</f>
        <v>#VALUE!</v>
      </c>
      <c r="BH31" s="96"/>
      <c r="BI31" s="96"/>
      <c r="BJ31" s="96"/>
      <c r="BK31" s="96"/>
      <c r="BL31" s="96"/>
      <c r="BM31" s="96"/>
      <c r="BO31" s="224"/>
      <c r="BP31" s="226" t="s">
        <v>594</v>
      </c>
      <c r="BQ31" s="94" t="s">
        <v>468</v>
      </c>
      <c r="BR31" s="94"/>
      <c r="BS31" s="95" t="e">
        <f>COUNTIFS('[1]Completion Matrix'!$E:$E,'Dashboard 3'!$BO$27,'[1]Completion Matrix'!$I:$I,$BP$31,'[1]Completion Matrix'!$J:$J,BQ31)</f>
        <v>#VALUE!</v>
      </c>
      <c r="BT31" s="96"/>
      <c r="BU31" s="96"/>
      <c r="BV31" s="96"/>
      <c r="BW31" s="96"/>
      <c r="BX31" s="96"/>
      <c r="BY31" s="96"/>
      <c r="BZ31" s="96"/>
      <c r="CB31" s="224"/>
      <c r="CC31" s="226" t="s">
        <v>594</v>
      </c>
      <c r="CD31" s="94" t="s">
        <v>468</v>
      </c>
      <c r="CE31" s="94"/>
      <c r="CF31" s="95" t="e">
        <f>COUNTIFS('[1]Completion Matrix'!$E:$E,'Dashboard 3'!$CB$27,'[1]Completion Matrix'!$I:$I,$CC$31,'[1]Completion Matrix'!$J:$J,CD31)</f>
        <v>#VALUE!</v>
      </c>
    </row>
    <row r="32" spans="54:84">
      <c r="BB32" s="224"/>
      <c r="BC32" s="226"/>
      <c r="BD32" s="94" t="s">
        <v>459</v>
      </c>
      <c r="BE32" s="94" t="str">
        <f t="shared" si="2"/>
        <v>No Gap|Improvements Needed</v>
      </c>
      <c r="BF32" s="95" t="e">
        <f>COUNTIFS('[1]Completion Matrix'!$E:$E,'Dashboard 3'!$BB$27,'[1]Completion Matrix'!$I:$I,$BC$31,'[1]Completion Matrix'!$J:$J,BD32)</f>
        <v>#VALUE!</v>
      </c>
      <c r="BG32" s="95" t="e">
        <f>IF(COUNTIFS('[1]Completion Matrix'!$E:$E,'Dashboard 3'!$BB$27,'[1]Completion Matrix'!$I:$I,$BC$31,'[1]Completion Matrix'!$J:$J,BD32)=0,NA(),COUNTIFS('[1]Completion Matrix'!$E:$E,'Dashboard 3'!$BB$27,'[1]Completion Matrix'!$I:$I,$BC$31,'[1]Completion Matrix'!$J:$J,BD32))</f>
        <v>#VALUE!</v>
      </c>
      <c r="BH32" s="96"/>
      <c r="BI32" s="96"/>
      <c r="BJ32" s="96"/>
      <c r="BK32" s="96"/>
      <c r="BL32" s="96"/>
      <c r="BM32" s="96"/>
      <c r="BO32" s="224"/>
      <c r="BP32" s="226"/>
      <c r="BQ32" s="94" t="s">
        <v>459</v>
      </c>
      <c r="BR32" s="94"/>
      <c r="BS32" s="95" t="e">
        <f>COUNTIFS('[1]Completion Matrix'!$E:$E,'Dashboard 3'!$BO$27,'[1]Completion Matrix'!$I:$I,$BP$31,'[1]Completion Matrix'!$J:$J,BQ32)</f>
        <v>#VALUE!</v>
      </c>
      <c r="BT32" s="96"/>
      <c r="BU32" s="96"/>
      <c r="BV32" s="96"/>
      <c r="BW32" s="96"/>
      <c r="BX32" s="96"/>
      <c r="BY32" s="96"/>
      <c r="BZ32" s="96"/>
      <c r="CB32" s="224"/>
      <c r="CC32" s="226"/>
      <c r="CD32" s="94" t="s">
        <v>459</v>
      </c>
      <c r="CE32" s="94"/>
      <c r="CF32" s="95" t="e">
        <f>COUNTIFS('[1]Completion Matrix'!$E:$E,'Dashboard 3'!$CB$27,'[1]Completion Matrix'!$I:$I,$CC$31,'[1]Completion Matrix'!$J:$J,CD32)</f>
        <v>#VALUE!</v>
      </c>
    </row>
    <row r="33" spans="54:84">
      <c r="BB33" s="224"/>
      <c r="BC33" s="226"/>
      <c r="BD33" s="94" t="s">
        <v>462</v>
      </c>
      <c r="BE33" s="94" t="str">
        <f t="shared" si="2"/>
        <v>No Gap|Significant Improvements Needed</v>
      </c>
      <c r="BF33" s="95" t="e">
        <f>COUNTIFS('[1]Completion Matrix'!$E:$E,'Dashboard 3'!$BB$27,'[1]Completion Matrix'!$I:$I,$BC$31,'[1]Completion Matrix'!$J:$J,BD33)</f>
        <v>#VALUE!</v>
      </c>
      <c r="BG33" s="95" t="e">
        <f>IF(COUNTIFS('[1]Completion Matrix'!$E:$E,'Dashboard 3'!$BB$27,'[1]Completion Matrix'!$I:$I,$BC$31,'[1]Completion Matrix'!$J:$J,BD33)=0,NA(),COUNTIFS('[1]Completion Matrix'!$E:$E,'Dashboard 3'!$BB$27,'[1]Completion Matrix'!$I:$I,$BC$31,'[1]Completion Matrix'!$J:$J,BD33))</f>
        <v>#VALUE!</v>
      </c>
      <c r="BH33" s="96"/>
      <c r="BI33" s="96"/>
      <c r="BJ33" s="96"/>
      <c r="BK33" s="96"/>
      <c r="BL33" s="96"/>
      <c r="BM33" s="96"/>
      <c r="BO33" s="224"/>
      <c r="BP33" s="226"/>
      <c r="BQ33" s="94" t="s">
        <v>462</v>
      </c>
      <c r="BR33" s="94"/>
      <c r="BS33" s="95" t="e">
        <f>COUNTIFS('[1]Completion Matrix'!$E:$E,'Dashboard 3'!$BO$27,'[1]Completion Matrix'!$I:$I,$BP$31,'[1]Completion Matrix'!$J:$J,BQ33)</f>
        <v>#VALUE!</v>
      </c>
      <c r="BT33" s="96"/>
      <c r="BU33" s="96"/>
      <c r="BV33" s="96"/>
      <c r="BW33" s="96"/>
      <c r="BX33" s="96"/>
      <c r="BY33" s="96"/>
      <c r="BZ33" s="96"/>
      <c r="CB33" s="224"/>
      <c r="CC33" s="226"/>
      <c r="CD33" s="94" t="s">
        <v>462</v>
      </c>
      <c r="CE33" s="94"/>
      <c r="CF33" s="95" t="e">
        <f>COUNTIFS('[1]Completion Matrix'!$E:$E,'Dashboard 3'!$CB$27,'[1]Completion Matrix'!$I:$I,$CC$31,'[1]Completion Matrix'!$J:$J,CD33)</f>
        <v>#VALUE!</v>
      </c>
    </row>
    <row r="34" spans="54:84">
      <c r="BB34" s="224"/>
      <c r="BC34" s="226"/>
      <c r="BD34" s="94" t="s">
        <v>637</v>
      </c>
      <c r="BE34" s="94" t="str">
        <f t="shared" si="2"/>
        <v>No Gap|Priotiy</v>
      </c>
      <c r="BF34" s="95" t="e">
        <f>COUNTIFS('[1]Completion Matrix'!$E:$E,'Dashboard 3'!$BB$27,'[1]Completion Matrix'!$I:$I,$BC$31,'[1]Completion Matrix'!$J:$J,BD34)</f>
        <v>#VALUE!</v>
      </c>
      <c r="BG34" s="95" t="e">
        <f>IF(COUNTIFS('[1]Completion Matrix'!$E:$E,'Dashboard 3'!$BB$27,'[1]Completion Matrix'!$I:$I,$BC$31,'[1]Completion Matrix'!$J:$J,BD34)=0,NA(),COUNTIFS('[1]Completion Matrix'!$E:$E,'Dashboard 3'!$BB$27,'[1]Completion Matrix'!$I:$I,$BC$31,'[1]Completion Matrix'!$J:$J,BD34))</f>
        <v>#VALUE!</v>
      </c>
      <c r="BH34" s="96"/>
      <c r="BI34" s="96"/>
      <c r="BJ34" s="96"/>
      <c r="BK34" s="96"/>
      <c r="BL34" s="96"/>
      <c r="BM34" s="96"/>
      <c r="BO34" s="224"/>
      <c r="BP34" s="226"/>
      <c r="BQ34" s="94" t="s">
        <v>637</v>
      </c>
      <c r="BR34" s="94"/>
      <c r="BS34" s="95" t="e">
        <f>COUNTIFS('[1]Completion Matrix'!$E:$E,'Dashboard 3'!$BO$27,'[1]Completion Matrix'!$I:$I,$BP$31,'[1]Completion Matrix'!$J:$J,BQ34)</f>
        <v>#VALUE!</v>
      </c>
      <c r="BT34" s="96"/>
      <c r="BU34" s="96"/>
      <c r="BV34" s="96"/>
      <c r="BW34" s="96"/>
      <c r="BX34" s="96"/>
      <c r="BY34" s="96"/>
      <c r="BZ34" s="96"/>
      <c r="CB34" s="224"/>
      <c r="CC34" s="226"/>
      <c r="CD34" s="94" t="s">
        <v>637</v>
      </c>
      <c r="CE34" s="94"/>
      <c r="CF34" s="95" t="e">
        <f>COUNTIFS('[1]Completion Matrix'!$E:$E,'Dashboard 3'!$CB$27,'[1]Completion Matrix'!$I:$I,$CC$31,'[1]Completion Matrix'!$J:$J,CD34)</f>
        <v>#VALUE!</v>
      </c>
    </row>
    <row r="35" spans="54:84">
      <c r="BB35" s="224"/>
      <c r="BC35" s="226" t="s">
        <v>593</v>
      </c>
      <c r="BD35" s="94" t="s">
        <v>468</v>
      </c>
      <c r="BE35" s="94" t="str">
        <f t="shared" si="2"/>
        <v>No Gap|Ready</v>
      </c>
      <c r="BF35" s="95" t="e">
        <f>COUNTIFS('[1]Completion Matrix'!$E:$E,'Dashboard 3'!$BB$27,'[1]Completion Matrix'!$I:$I,$BC$35,'[1]Completion Matrix'!$J:$J,BD35)</f>
        <v>#VALUE!</v>
      </c>
      <c r="BG35" s="95" t="e">
        <f>IF(COUNTIFS('[1]Completion Matrix'!$E:$E,'Dashboard 3'!$BB$27,'[1]Completion Matrix'!$I:$I,$BC$35,'[1]Completion Matrix'!$J:$J,BD35)=0,NA(),COUNTIFS('[1]Completion Matrix'!$E:$E,'Dashboard 3'!$BB$27,'[1]Completion Matrix'!$I:$I,$BC$35,'[1]Completion Matrix'!$J:$J,BD35))</f>
        <v>#VALUE!</v>
      </c>
      <c r="BH35" s="96"/>
      <c r="BI35" s="96"/>
      <c r="BJ35" s="96"/>
      <c r="BK35" s="96"/>
      <c r="BL35" s="96"/>
      <c r="BM35" s="96"/>
      <c r="BO35" s="224"/>
      <c r="BP35" s="226" t="s">
        <v>593</v>
      </c>
      <c r="BQ35" s="94" t="s">
        <v>468</v>
      </c>
      <c r="BR35" s="94"/>
      <c r="BS35" s="95" t="e">
        <f>COUNTIFS('[1]Completion Matrix'!$E:$E,'Dashboard 3'!$BO$27,'[1]Completion Matrix'!$I:$I,$BP$35,'[1]Completion Matrix'!$J:$J,BQ35)</f>
        <v>#VALUE!</v>
      </c>
      <c r="BT35" s="96"/>
      <c r="BU35" s="96"/>
      <c r="BV35" s="96"/>
      <c r="BW35" s="96"/>
      <c r="BX35" s="96"/>
      <c r="BY35" s="96"/>
      <c r="BZ35" s="96"/>
      <c r="CB35" s="224"/>
      <c r="CC35" s="226" t="s">
        <v>593</v>
      </c>
      <c r="CD35" s="94" t="s">
        <v>468</v>
      </c>
      <c r="CE35" s="94"/>
      <c r="CF35" s="95" t="e">
        <f>COUNTIFS('[1]Completion Matrix'!$E:$E,'Dashboard 3'!$CB$27,'[1]Completion Matrix'!$I:$I,$CC$35,'[1]Completion Matrix'!$J:$J,CD35)</f>
        <v>#VALUE!</v>
      </c>
    </row>
    <row r="36" spans="54:84">
      <c r="BB36" s="224"/>
      <c r="BC36" s="226"/>
      <c r="BD36" s="94" t="s">
        <v>459</v>
      </c>
      <c r="BE36" s="94" t="str">
        <f t="shared" si="2"/>
        <v>No Gap|Improvements Needed</v>
      </c>
      <c r="BF36" s="95" t="e">
        <f>COUNTIFS('[1]Completion Matrix'!$E:$E,'Dashboard 3'!$BB$27,'[1]Completion Matrix'!$I:$I,$BC$35,'[1]Completion Matrix'!$J:$J,BD36)</f>
        <v>#VALUE!</v>
      </c>
      <c r="BG36" s="95" t="e">
        <f>IF(COUNTIFS('[1]Completion Matrix'!$E:$E,'Dashboard 3'!$BB$27,'[1]Completion Matrix'!$I:$I,$BC$35,'[1]Completion Matrix'!$J:$J,BD36)=0,NA(),COUNTIFS('[1]Completion Matrix'!$E:$E,'Dashboard 3'!$BB$27,'[1]Completion Matrix'!$I:$I,$BC$35,'[1]Completion Matrix'!$J:$J,BD36))</f>
        <v>#VALUE!</v>
      </c>
      <c r="BH36" s="96"/>
      <c r="BI36" s="96"/>
      <c r="BJ36" s="96"/>
      <c r="BK36" s="96"/>
      <c r="BL36" s="96"/>
      <c r="BM36" s="96"/>
      <c r="BO36" s="224"/>
      <c r="BP36" s="226"/>
      <c r="BQ36" s="94" t="s">
        <v>459</v>
      </c>
      <c r="BR36" s="94"/>
      <c r="BS36" s="95" t="e">
        <f>COUNTIFS('[1]Completion Matrix'!$E:$E,'Dashboard 3'!$BO$27,'[1]Completion Matrix'!$I:$I,$BP$35,'[1]Completion Matrix'!$J:$J,BQ36)</f>
        <v>#VALUE!</v>
      </c>
      <c r="BT36" s="96"/>
      <c r="BU36" s="96"/>
      <c r="BV36" s="96"/>
      <c r="BW36" s="96"/>
      <c r="BX36" s="96"/>
      <c r="BY36" s="96"/>
      <c r="BZ36" s="96"/>
      <c r="CB36" s="224"/>
      <c r="CC36" s="226"/>
      <c r="CD36" s="94" t="s">
        <v>459</v>
      </c>
      <c r="CE36" s="94"/>
      <c r="CF36" s="95" t="e">
        <f>COUNTIFS('[1]Completion Matrix'!$E:$E,'Dashboard 3'!$CB$27,'[1]Completion Matrix'!$I:$I,$CC$35,'[1]Completion Matrix'!$J:$J,CD36)</f>
        <v>#VALUE!</v>
      </c>
    </row>
    <row r="37" spans="54:84">
      <c r="BB37" s="224"/>
      <c r="BC37" s="226"/>
      <c r="BD37" s="94" t="s">
        <v>462</v>
      </c>
      <c r="BE37" s="94" t="str">
        <f t="shared" si="2"/>
        <v>No Gap|Significant Improvements Needed</v>
      </c>
      <c r="BF37" s="95" t="e">
        <f>COUNTIFS('[1]Completion Matrix'!$E:$E,'Dashboard 3'!$BB$27,'[1]Completion Matrix'!$I:$I,$BC$35,'[1]Completion Matrix'!$J:$J,BD37)</f>
        <v>#VALUE!</v>
      </c>
      <c r="BG37" s="95" t="e">
        <f>IF(COUNTIFS('[1]Completion Matrix'!$E:$E,'Dashboard 3'!$BB$27,'[1]Completion Matrix'!$I:$I,$BC$35,'[1]Completion Matrix'!$J:$J,BD37)=0,NA(),COUNTIFS('[1]Completion Matrix'!$E:$E,'Dashboard 3'!$BB$27,'[1]Completion Matrix'!$I:$I,$BC$35,'[1]Completion Matrix'!$J:$J,BD37))</f>
        <v>#VALUE!</v>
      </c>
      <c r="BH37" s="96"/>
      <c r="BI37" s="96"/>
      <c r="BJ37" s="96"/>
      <c r="BK37" s="96"/>
      <c r="BL37" s="96"/>
      <c r="BM37" s="96"/>
      <c r="BO37" s="224"/>
      <c r="BP37" s="226"/>
      <c r="BQ37" s="94" t="s">
        <v>462</v>
      </c>
      <c r="BR37" s="94"/>
      <c r="BS37" s="95" t="e">
        <f>COUNTIFS('[1]Completion Matrix'!$E:$E,'Dashboard 3'!$BO$27,'[1]Completion Matrix'!$I:$I,$BP$35,'[1]Completion Matrix'!$J:$J,BQ37)</f>
        <v>#VALUE!</v>
      </c>
      <c r="BT37" s="96"/>
      <c r="BU37" s="96"/>
      <c r="BV37" s="96"/>
      <c r="BW37" s="96"/>
      <c r="BX37" s="96"/>
      <c r="BY37" s="96"/>
      <c r="BZ37" s="96"/>
      <c r="CB37" s="224"/>
      <c r="CC37" s="226"/>
      <c r="CD37" s="94" t="s">
        <v>462</v>
      </c>
      <c r="CE37" s="94"/>
      <c r="CF37" s="95" t="e">
        <f>COUNTIFS('[1]Completion Matrix'!$E:$E,'Dashboard 3'!$CB$27,'[1]Completion Matrix'!$I:$I,$CC$35,'[1]Completion Matrix'!$J:$J,CD37)</f>
        <v>#VALUE!</v>
      </c>
    </row>
    <row r="38" spans="54:84">
      <c r="BB38" s="224"/>
      <c r="BC38" s="226"/>
      <c r="BD38" s="94" t="s">
        <v>636</v>
      </c>
      <c r="BE38" s="94" t="str">
        <f t="shared" si="2"/>
        <v>No Gap|Priority</v>
      </c>
      <c r="BF38" s="95" t="e">
        <f>COUNTIFS('[1]Completion Matrix'!$E:$E,'Dashboard 3'!$BB$27,'[1]Completion Matrix'!$I:$I,$BC$35,'[1]Completion Matrix'!$J:$J,BD38)</f>
        <v>#VALUE!</v>
      </c>
      <c r="BG38" s="95" t="e">
        <f>IF(COUNTIFS('[1]Completion Matrix'!$E:$E,'Dashboard 3'!$BB$27,'[1]Completion Matrix'!$I:$I,$BC$35,'[1]Completion Matrix'!$J:$J,BD38)=0,NA(),COUNTIFS('[1]Completion Matrix'!$E:$E,'Dashboard 3'!$BB$27,'[1]Completion Matrix'!$I:$I,$BC$35,'[1]Completion Matrix'!$J:$J,BD38))</f>
        <v>#VALUE!</v>
      </c>
      <c r="BH38" s="96"/>
      <c r="BI38" s="96"/>
      <c r="BJ38" s="96"/>
      <c r="BK38" s="96"/>
      <c r="BL38" s="96"/>
      <c r="BM38" s="96"/>
      <c r="BO38" s="224"/>
      <c r="BP38" s="226"/>
      <c r="BQ38" s="94" t="s">
        <v>636</v>
      </c>
      <c r="BR38" s="94"/>
      <c r="BS38" s="95" t="e">
        <f>COUNTIFS('[1]Completion Matrix'!$E:$E,'Dashboard 3'!$BO$27,'[1]Completion Matrix'!$I:$I,$BP$35,'[1]Completion Matrix'!$J:$J,BQ38)</f>
        <v>#VALUE!</v>
      </c>
      <c r="BT38" s="96"/>
      <c r="BU38" s="96"/>
      <c r="BV38" s="96"/>
      <c r="BW38" s="96"/>
      <c r="BX38" s="96"/>
      <c r="BY38" s="96"/>
      <c r="BZ38" s="96"/>
      <c r="CB38" s="224"/>
      <c r="CC38" s="226"/>
      <c r="CD38" s="94" t="s">
        <v>636</v>
      </c>
      <c r="CE38" s="94"/>
      <c r="CF38" s="95" t="e">
        <f>COUNTIFS('[1]Completion Matrix'!$E:$E,'Dashboard 3'!$CB$27,'[1]Completion Matrix'!$I:$I,$CC$35,'[1]Completion Matrix'!$J:$J,CD38)</f>
        <v>#VALUE!</v>
      </c>
    </row>
    <row r="39" spans="54:84">
      <c r="BB39" s="224"/>
      <c r="BC39" s="226" t="s">
        <v>636</v>
      </c>
      <c r="BD39" s="94" t="s">
        <v>468</v>
      </c>
      <c r="BE39" s="94" t="str">
        <f t="shared" si="2"/>
        <v>No Gap|Ready</v>
      </c>
      <c r="BF39" s="95" t="e">
        <f>COUNTIFS('[1]Completion Matrix'!$E:$E,'Dashboard 3'!$BB$27,'[1]Completion Matrix'!$I:$I,$BC$39,'[1]Completion Matrix'!$J:$J,BD39)</f>
        <v>#VALUE!</v>
      </c>
      <c r="BG39" s="95" t="e">
        <f>IF(COUNTIFS('[1]Completion Matrix'!$E:$E,'Dashboard 3'!$BB$27,'[1]Completion Matrix'!$I:$I,$BC$39,'[1]Completion Matrix'!$J:$J,BD39)=0,NA(),COUNTIFS('[1]Completion Matrix'!$E:$E,'Dashboard 3'!$BB$27,'[1]Completion Matrix'!$I:$I,$BC$39,'[1]Completion Matrix'!$J:$J,BD39))</f>
        <v>#VALUE!</v>
      </c>
      <c r="BH39" s="96"/>
      <c r="BI39" s="96"/>
      <c r="BJ39" s="96"/>
      <c r="BK39" s="96"/>
      <c r="BL39" s="96"/>
      <c r="BM39" s="96"/>
      <c r="BO39" s="224"/>
      <c r="BP39" s="226" t="s">
        <v>636</v>
      </c>
      <c r="BQ39" s="94" t="s">
        <v>468</v>
      </c>
      <c r="BR39" s="94"/>
      <c r="BS39" s="95" t="e">
        <f>COUNTIFS('[1]Completion Matrix'!$E:$E,'Dashboard 3'!$BO$27,'[1]Completion Matrix'!$I:$I,$BP$39,'[1]Completion Matrix'!$J:$J,BQ39)</f>
        <v>#VALUE!</v>
      </c>
      <c r="BT39" s="96"/>
      <c r="BU39" s="96"/>
      <c r="BV39" s="96"/>
      <c r="BW39" s="96"/>
      <c r="BX39" s="96"/>
      <c r="BY39" s="96"/>
      <c r="BZ39" s="96"/>
      <c r="CB39" s="224"/>
      <c r="CC39" s="226" t="s">
        <v>636</v>
      </c>
      <c r="CD39" s="94" t="s">
        <v>468</v>
      </c>
      <c r="CE39" s="94"/>
      <c r="CF39" s="95" t="e">
        <f>COUNTIFS('[1]Completion Matrix'!$E:$E,'Dashboard 3'!$CB$27,'[1]Completion Matrix'!$I:$I,$CC$39,'[1]Completion Matrix'!$J:$J,CD39)</f>
        <v>#VALUE!</v>
      </c>
    </row>
    <row r="40" spans="54:84">
      <c r="BB40" s="224"/>
      <c r="BC40" s="226"/>
      <c r="BD40" s="94" t="s">
        <v>459</v>
      </c>
      <c r="BE40" s="94" t="str">
        <f t="shared" si="2"/>
        <v>No Gap|Improvements Needed</v>
      </c>
      <c r="BF40" s="95" t="e">
        <f>COUNTIFS('[1]Completion Matrix'!$E:$E,'Dashboard 3'!$BB$27,'[1]Completion Matrix'!$I:$I,$BC$39,'[1]Completion Matrix'!$J:$J,BD40)</f>
        <v>#VALUE!</v>
      </c>
      <c r="BG40" s="95" t="e">
        <f>IF(COUNTIFS('[1]Completion Matrix'!$E:$E,'Dashboard 3'!$BB$27,'[1]Completion Matrix'!$I:$I,$BC$35,'[1]Completion Matrix'!$J:$J,BD40)=0,NA(),COUNTIFS('[1]Completion Matrix'!$E:$E,'Dashboard 3'!$BB$27,'[1]Completion Matrix'!$I:$I,$BC$35,'[1]Completion Matrix'!$J:$J,BD40))</f>
        <v>#VALUE!</v>
      </c>
      <c r="BH40" s="96"/>
      <c r="BI40" s="96"/>
      <c r="BJ40" s="96"/>
      <c r="BK40" s="96"/>
      <c r="BL40" s="96"/>
      <c r="BM40" s="96"/>
      <c r="BO40" s="224"/>
      <c r="BP40" s="226"/>
      <c r="BQ40" s="94" t="s">
        <v>459</v>
      </c>
      <c r="BR40" s="94"/>
      <c r="BS40" s="95" t="e">
        <f>COUNTIFS('[1]Completion Matrix'!$E:$E,'Dashboard 3'!$BO$27,'[1]Completion Matrix'!$I:$I,$BP$39,'[1]Completion Matrix'!$J:$J,BQ40)</f>
        <v>#VALUE!</v>
      </c>
      <c r="BT40" s="96"/>
      <c r="BU40" s="96"/>
      <c r="BV40" s="96"/>
      <c r="BW40" s="96"/>
      <c r="BX40" s="96"/>
      <c r="BY40" s="96"/>
      <c r="BZ40" s="96"/>
      <c r="CB40" s="224"/>
      <c r="CC40" s="226"/>
      <c r="CD40" s="94" t="s">
        <v>459</v>
      </c>
      <c r="CE40" s="94"/>
      <c r="CF40" s="95" t="e">
        <f>COUNTIFS('[1]Completion Matrix'!$E:$E,'Dashboard 3'!$CB$27,'[1]Completion Matrix'!$I:$I,$CC$39,'[1]Completion Matrix'!$J:$J,CD40)</f>
        <v>#VALUE!</v>
      </c>
    </row>
    <row r="41" spans="54:84">
      <c r="BB41" s="224"/>
      <c r="BC41" s="226"/>
      <c r="BD41" s="94" t="s">
        <v>462</v>
      </c>
      <c r="BE41" s="94" t="str">
        <f t="shared" si="2"/>
        <v>No Gap|Significant Improvements Needed</v>
      </c>
      <c r="BF41" s="95" t="e">
        <f>COUNTIFS('[1]Completion Matrix'!$E:$E,'Dashboard 3'!$BB$27,'[1]Completion Matrix'!$I:$I,$BC$39,'[1]Completion Matrix'!$J:$J,BD41)</f>
        <v>#VALUE!</v>
      </c>
      <c r="BG41" s="95" t="e">
        <f>IF(COUNTIFS('[1]Completion Matrix'!$E:$E,'Dashboard 3'!$BB$27,'[1]Completion Matrix'!$I:$I,$BC$35,'[1]Completion Matrix'!$J:$J,BD41)=0,NA(),COUNTIFS('[1]Completion Matrix'!$E:$E,'Dashboard 3'!$BB$27,'[1]Completion Matrix'!$I:$I,$BC$35,'[1]Completion Matrix'!$J:$J,BD41))</f>
        <v>#VALUE!</v>
      </c>
      <c r="BH41" s="96"/>
      <c r="BI41" s="96"/>
      <c r="BJ41" s="96"/>
      <c r="BK41" s="96"/>
      <c r="BL41" s="96"/>
      <c r="BM41" s="96"/>
      <c r="BO41" s="224"/>
      <c r="BP41" s="226"/>
      <c r="BQ41" s="94" t="s">
        <v>462</v>
      </c>
      <c r="BR41" s="94"/>
      <c r="BS41" s="95" t="e">
        <f>COUNTIFS('[1]Completion Matrix'!$E:$E,'Dashboard 3'!$BO$27,'[1]Completion Matrix'!$I:$I,$BP$39,'[1]Completion Matrix'!$J:$J,BQ41)</f>
        <v>#VALUE!</v>
      </c>
      <c r="BT41" s="96"/>
      <c r="BU41" s="96"/>
      <c r="BV41" s="96"/>
      <c r="BW41" s="96"/>
      <c r="BX41" s="96"/>
      <c r="BY41" s="96"/>
      <c r="BZ41" s="96"/>
      <c r="CB41" s="224"/>
      <c r="CC41" s="226"/>
      <c r="CD41" s="94" t="s">
        <v>462</v>
      </c>
      <c r="CE41" s="94"/>
      <c r="CF41" s="95" t="e">
        <f>COUNTIFS('[1]Completion Matrix'!$E:$E,'Dashboard 3'!$CB$27,'[1]Completion Matrix'!$I:$I,$CC$39,'[1]Completion Matrix'!$J:$J,CD41)</f>
        <v>#VALUE!</v>
      </c>
    </row>
    <row r="42" spans="54:84">
      <c r="BB42" s="225"/>
      <c r="BC42" s="226"/>
      <c r="BD42" s="94" t="s">
        <v>636</v>
      </c>
      <c r="BE42" s="94" t="str">
        <f t="shared" si="2"/>
        <v>No Gap|Priority</v>
      </c>
      <c r="BF42" s="95" t="e">
        <f>COUNTIFS('[1]Completion Matrix'!$E:$E,'Dashboard 3'!$BB$27,'[1]Completion Matrix'!$I:$I,$BC$39,'[1]Completion Matrix'!$J:$J,BD42)</f>
        <v>#VALUE!</v>
      </c>
      <c r="BG42" s="95" t="e">
        <f>IF(COUNTIFS('[1]Completion Matrix'!$E:$E,'Dashboard 3'!$BB$27,'[1]Completion Matrix'!$I:$I,$BC$35,'[1]Completion Matrix'!$J:$J,BD42)=0,NA(),COUNTIFS('[1]Completion Matrix'!$E:$E,'Dashboard 3'!$BB$27,'[1]Completion Matrix'!$I:$I,$BC$35,'[1]Completion Matrix'!$J:$J,BD42))</f>
        <v>#VALUE!</v>
      </c>
      <c r="BH42" s="96"/>
      <c r="BI42" s="96"/>
      <c r="BJ42" s="96"/>
      <c r="BK42" s="96"/>
      <c r="BL42" s="96"/>
      <c r="BM42" s="96"/>
      <c r="BO42" s="225"/>
      <c r="BP42" s="226"/>
      <c r="BQ42" s="94" t="s">
        <v>636</v>
      </c>
      <c r="BR42" s="94"/>
      <c r="BS42" s="95" t="e">
        <f>COUNTIFS('[1]Completion Matrix'!$E:$E,'Dashboard 3'!$BO$27,'[1]Completion Matrix'!$I:$I,$BP$39,'[1]Completion Matrix'!$J:$J,BQ42)</f>
        <v>#VALUE!</v>
      </c>
      <c r="BT42" s="96"/>
      <c r="BU42" s="96"/>
      <c r="BV42" s="96"/>
      <c r="BW42" s="96"/>
      <c r="BX42" s="96"/>
      <c r="BY42" s="96"/>
      <c r="BZ42" s="96"/>
      <c r="CB42" s="225"/>
      <c r="CC42" s="226"/>
      <c r="CD42" s="94" t="s">
        <v>636</v>
      </c>
      <c r="CE42" s="94"/>
      <c r="CF42" s="95" t="e">
        <f>COUNTIFS('[1]Completion Matrix'!$E:$E,'Dashboard 3'!$CB$27,'[1]Completion Matrix'!$I:$I,$CC$39,'[1]Completion Matrix'!$J:$J,CD42)</f>
        <v>#VALUE!</v>
      </c>
    </row>
    <row r="43" spans="54:84">
      <c r="BF43" s="95" t="e">
        <f>SUM(BF27:BF42)</f>
        <v>#VALUE!</v>
      </c>
      <c r="BG43" s="96"/>
      <c r="BH43" s="96"/>
      <c r="BI43" s="96"/>
      <c r="BJ43" s="96"/>
      <c r="BK43" s="96"/>
      <c r="BL43" s="96"/>
      <c r="BM43" s="96"/>
      <c r="BS43" s="95" t="e">
        <f>SUM(BS27:BS42)</f>
        <v>#VALUE!</v>
      </c>
      <c r="BT43" s="96"/>
      <c r="BU43" s="96"/>
      <c r="BV43" s="96"/>
      <c r="BW43" s="96"/>
      <c r="BX43" s="96"/>
      <c r="BY43" s="96"/>
      <c r="BZ43" s="96"/>
      <c r="CF43" s="95" t="e">
        <f>SUM(CF27:CF42)</f>
        <v>#VALUE!</v>
      </c>
    </row>
    <row r="45" spans="54:84">
      <c r="BC45" s="214" t="s">
        <v>638</v>
      </c>
      <c r="BD45" s="94" t="s">
        <v>451</v>
      </c>
      <c r="BE45" s="94"/>
      <c r="BF45" s="95" t="e">
        <f>COUNTIFS('[1]Completion Matrix'!$E:$E,'Dashboard 3'!BB27,'[1]Completion Matrix'!$I:$I,"")</f>
        <v>#VALUE!</v>
      </c>
      <c r="BG45" s="96"/>
      <c r="BH45" s="96"/>
      <c r="BI45" s="96"/>
      <c r="BJ45" s="96"/>
      <c r="BK45" s="96"/>
      <c r="BL45" s="96"/>
      <c r="BM45" s="96"/>
      <c r="BP45" s="214" t="s">
        <v>638</v>
      </c>
      <c r="BQ45" s="94" t="s">
        <v>451</v>
      </c>
      <c r="BR45" s="94"/>
      <c r="BS45" s="95" t="e">
        <f>COUNTIFS('[1]Completion Matrix'!$E:$E,'Dashboard 3'!BO27,'[1]Completion Matrix'!$I:$I,"")</f>
        <v>#VALUE!</v>
      </c>
      <c r="BT45" s="96"/>
      <c r="BU45" s="96"/>
      <c r="BV45" s="96"/>
      <c r="BW45" s="96"/>
      <c r="BX45" s="96"/>
      <c r="BY45" s="96"/>
      <c r="BZ45" s="96"/>
      <c r="CC45" s="214" t="s">
        <v>638</v>
      </c>
      <c r="CD45" s="94" t="s">
        <v>451</v>
      </c>
      <c r="CE45" s="94"/>
      <c r="CF45" s="95" t="e">
        <f>COUNTIFS('[1]Completion Matrix'!$E:$E,'Dashboard 3'!CB27,'[1]Completion Matrix'!$I:$I,"")</f>
        <v>#VALUE!</v>
      </c>
    </row>
    <row r="46" spans="54:84">
      <c r="BC46" s="215"/>
      <c r="BD46" s="94" t="s">
        <v>450</v>
      </c>
      <c r="BE46" s="94"/>
      <c r="BF46" s="95" t="e">
        <f>COUNTIFS('[1]Completion Matrix'!$E:$E,'Dashboard 3'!BB27,'[1]Completion Matrix'!$I:$I,"")</f>
        <v>#VALUE!</v>
      </c>
      <c r="BG46" s="96"/>
      <c r="BH46" s="96"/>
      <c r="BI46" s="96"/>
      <c r="BJ46" s="96"/>
      <c r="BK46" s="96"/>
      <c r="BL46" s="96"/>
      <c r="BM46" s="96"/>
      <c r="BP46" s="215"/>
      <c r="BQ46" s="94" t="s">
        <v>450</v>
      </c>
      <c r="BR46" s="94"/>
      <c r="BS46" s="95" t="e">
        <f>COUNTIFS('[1]Completion Matrix'!$E:$E,'Dashboard 3'!BO27,'[1]Completion Matrix'!$I:$I,"")</f>
        <v>#VALUE!</v>
      </c>
      <c r="BT46" s="96"/>
      <c r="BU46" s="96"/>
      <c r="BV46" s="96"/>
      <c r="BW46" s="96"/>
      <c r="BX46" s="96"/>
      <c r="BY46" s="96"/>
      <c r="BZ46" s="96"/>
      <c r="CC46" s="215"/>
      <c r="CD46" s="94" t="s">
        <v>450</v>
      </c>
      <c r="CE46" s="94"/>
      <c r="CF46" s="95" t="e">
        <f>COUNTIFS('[1]Completion Matrix'!$E:$E,'Dashboard 3'!CB27,'[1]Completion Matrix'!$I:$I,"")</f>
        <v>#VALUE!</v>
      </c>
    </row>
    <row r="49" spans="54:84">
      <c r="BB49" s="223" t="s">
        <v>428</v>
      </c>
      <c r="BC49" s="226" t="s">
        <v>595</v>
      </c>
      <c r="BD49" s="94" t="s">
        <v>468</v>
      </c>
      <c r="BE49" s="94" t="str">
        <f>IF(ISNA(BG49),"",$BC$5&amp;"|"&amp;BD49)</f>
        <v>No Gap|Ready</v>
      </c>
      <c r="BF49" s="95" t="e">
        <f>COUNTIFS('[1]Completion Matrix'!$E:$E,'Dashboard 3'!$BB$49,'[1]Completion Matrix'!$I:$I,$BC$49,'[1]Completion Matrix'!$J:$J,BD49)</f>
        <v>#VALUE!</v>
      </c>
      <c r="BG49" s="95" t="e">
        <f>IF(COUNTIFS('[1]Completion Matrix'!$E:$E,'Dashboard 3'!$BB$49,'[1]Completion Matrix'!$I:$I,$BC$49,'[1]Completion Matrix'!$J:$J,BD49)=0,NA(),COUNTIFS('[1]Completion Matrix'!$E:$E,'Dashboard 3'!$BB$49,'[1]Completion Matrix'!$I:$I,$BC$49,'[1]Completion Matrix'!$J:$J,BD49))</f>
        <v>#VALUE!</v>
      </c>
      <c r="BH49" s="96"/>
      <c r="BI49" s="96"/>
      <c r="BJ49" s="96"/>
      <c r="BK49" s="96"/>
      <c r="BL49" s="96"/>
      <c r="BM49" s="96"/>
      <c r="BO49" s="223" t="s">
        <v>438</v>
      </c>
      <c r="BP49" s="226" t="s">
        <v>595</v>
      </c>
      <c r="BQ49" s="94" t="s">
        <v>468</v>
      </c>
      <c r="BR49" s="94"/>
      <c r="BS49" s="95" t="e">
        <f>COUNTIFS('[1]Completion Matrix'!$E:$E,'Dashboard 3'!$BO$49,'[1]Completion Matrix'!$I:$I,$BP$49,'[1]Completion Matrix'!$J:$J,BQ49)</f>
        <v>#VALUE!</v>
      </c>
      <c r="BT49" s="96"/>
      <c r="BU49" s="96"/>
      <c r="BV49" s="96"/>
      <c r="BW49" s="96"/>
      <c r="BX49" s="96"/>
      <c r="BY49" s="96"/>
      <c r="BZ49" s="96"/>
      <c r="CB49" s="223" t="s">
        <v>437</v>
      </c>
      <c r="CC49" s="226" t="s">
        <v>595</v>
      </c>
      <c r="CD49" s="94" t="s">
        <v>468</v>
      </c>
      <c r="CE49" s="94"/>
      <c r="CF49" s="95" t="e">
        <f>COUNTIFS('[1]Completion Matrix'!$E:$E,'Dashboard 3'!$CB$49,'[1]Completion Matrix'!$I:$I,$CC$49,'[1]Completion Matrix'!$J:$J,CD49)</f>
        <v>#VALUE!</v>
      </c>
    </row>
    <row r="50" spans="54:84">
      <c r="BB50" s="224"/>
      <c r="BC50" s="226"/>
      <c r="BD50" s="94" t="s">
        <v>459</v>
      </c>
      <c r="BE50" s="94" t="str">
        <f>IF(ISNA(BG50),"",$BC$5&amp;"|"&amp;BD50)</f>
        <v>No Gap|Improvements Needed</v>
      </c>
      <c r="BF50" s="95" t="e">
        <f>COUNTIFS('[1]Completion Matrix'!$E:$E,'Dashboard 3'!$BB$49,'[1]Completion Matrix'!$I:$I,$BC$49,'[1]Completion Matrix'!$J:$J,BD50)</f>
        <v>#VALUE!</v>
      </c>
      <c r="BG50" s="95" t="e">
        <f>IF(COUNTIFS('[1]Completion Matrix'!$E:$E,'Dashboard 3'!$BB$49,'[1]Completion Matrix'!$I:$I,$BC$49,'[1]Completion Matrix'!$J:$J,BD50)=0,NA(),COUNTIFS('[1]Completion Matrix'!$E:$E,'Dashboard 3'!$BB$49,'[1]Completion Matrix'!$I:$I,$BC$49,'[1]Completion Matrix'!$J:$J,BD50))</f>
        <v>#VALUE!</v>
      </c>
      <c r="BH50" s="96"/>
      <c r="BI50" s="96"/>
      <c r="BJ50" s="96"/>
      <c r="BK50" s="96"/>
      <c r="BL50" s="96"/>
      <c r="BM50" s="96"/>
      <c r="BO50" s="224"/>
      <c r="BP50" s="226"/>
      <c r="BQ50" s="94" t="s">
        <v>459</v>
      </c>
      <c r="BR50" s="94"/>
      <c r="BS50" s="95" t="e">
        <f>COUNTIFS('[1]Completion Matrix'!$E:$E,'Dashboard 3'!$BO$49,'[1]Completion Matrix'!$I:$I,$BP$49,'[1]Completion Matrix'!$J:$J,BQ50)</f>
        <v>#VALUE!</v>
      </c>
      <c r="BT50" s="96"/>
      <c r="BU50" s="96"/>
      <c r="BV50" s="96"/>
      <c r="BW50" s="96"/>
      <c r="BX50" s="96"/>
      <c r="BY50" s="96"/>
      <c r="BZ50" s="96"/>
      <c r="CB50" s="224"/>
      <c r="CC50" s="226"/>
      <c r="CD50" s="94" t="s">
        <v>459</v>
      </c>
      <c r="CE50" s="94"/>
      <c r="CF50" s="95" t="e">
        <f>COUNTIFS('[1]Completion Matrix'!$E:$E,'Dashboard 3'!$CB$49,'[1]Completion Matrix'!$I:$I,$CC$49,'[1]Completion Matrix'!$J:$J,CD50)</f>
        <v>#VALUE!</v>
      </c>
    </row>
    <row r="51" spans="54:84">
      <c r="BB51" s="224"/>
      <c r="BC51" s="226"/>
      <c r="BD51" s="94" t="s">
        <v>462</v>
      </c>
      <c r="BE51" s="94" t="str">
        <f t="shared" ref="BE51:BE64" si="3">IF(ISNA(BG51),"",$BC$5&amp;"|"&amp;BD51)</f>
        <v>No Gap|Significant Improvements Needed</v>
      </c>
      <c r="BF51" s="95" t="e">
        <f>COUNTIFS('[1]Completion Matrix'!$E:$E,'Dashboard 3'!$BB$49,'[1]Completion Matrix'!$I:$I,$BC$49,'[1]Completion Matrix'!$J:$J,BD51)</f>
        <v>#VALUE!</v>
      </c>
      <c r="BG51" s="95" t="e">
        <f>IF(COUNTIFS('[1]Completion Matrix'!$E:$E,'Dashboard 3'!$BB$49,'[1]Completion Matrix'!$I:$I,$BC$49,'[1]Completion Matrix'!$J:$J,BD51)=0,NA(),COUNTIFS('[1]Completion Matrix'!$E:$E,'Dashboard 3'!$BB$49,'[1]Completion Matrix'!$I:$I,$BC$49,'[1]Completion Matrix'!$J:$J,BD51))</f>
        <v>#VALUE!</v>
      </c>
      <c r="BH51" s="96"/>
      <c r="BI51" s="96"/>
      <c r="BJ51" s="96"/>
      <c r="BK51" s="96"/>
      <c r="BL51" s="96"/>
      <c r="BM51" s="96"/>
      <c r="BO51" s="224"/>
      <c r="BP51" s="226"/>
      <c r="BQ51" s="94" t="s">
        <v>462</v>
      </c>
      <c r="BR51" s="94"/>
      <c r="BS51" s="95" t="e">
        <f>COUNTIFS('[1]Completion Matrix'!$E:$E,'Dashboard 3'!$BO$49,'[1]Completion Matrix'!$I:$I,$BP$49,'[1]Completion Matrix'!$J:$J,BQ51)</f>
        <v>#VALUE!</v>
      </c>
      <c r="BT51" s="96"/>
      <c r="BU51" s="96"/>
      <c r="BV51" s="96"/>
      <c r="BW51" s="96"/>
      <c r="BX51" s="96"/>
      <c r="BY51" s="96"/>
      <c r="BZ51" s="96"/>
      <c r="CB51" s="224"/>
      <c r="CC51" s="226"/>
      <c r="CD51" s="94" t="s">
        <v>462</v>
      </c>
      <c r="CE51" s="94"/>
      <c r="CF51" s="95" t="e">
        <f>COUNTIFS('[1]Completion Matrix'!$E:$E,'Dashboard 3'!$CB$49,'[1]Completion Matrix'!$I:$I,$CC$49,'[1]Completion Matrix'!$J:$J,CD51)</f>
        <v>#VALUE!</v>
      </c>
    </row>
    <row r="52" spans="54:84">
      <c r="BB52" s="224"/>
      <c r="BC52" s="226"/>
      <c r="BD52" s="94" t="s">
        <v>636</v>
      </c>
      <c r="BE52" s="94" t="str">
        <f t="shared" si="3"/>
        <v>No Gap|Priority</v>
      </c>
      <c r="BF52" s="95" t="e">
        <f>COUNTIFS('[1]Completion Matrix'!$E:$E,'Dashboard 3'!$BB$49,'[1]Completion Matrix'!$I:$I,$BC$49,'[1]Completion Matrix'!$J:$J,BD52)</f>
        <v>#VALUE!</v>
      </c>
      <c r="BG52" s="95" t="e">
        <f>IF(COUNTIFS('[1]Completion Matrix'!$E:$E,'Dashboard 3'!$BB$49,'[1]Completion Matrix'!$I:$I,$BC$49,'[1]Completion Matrix'!$J:$J,BD52)=0,NA(),COUNTIFS('[1]Completion Matrix'!$E:$E,'Dashboard 3'!$BB$49,'[1]Completion Matrix'!$I:$I,$BC$49,'[1]Completion Matrix'!$J:$J,BD52))</f>
        <v>#VALUE!</v>
      </c>
      <c r="BH52" s="96"/>
      <c r="BI52" s="96"/>
      <c r="BJ52" s="96"/>
      <c r="BK52" s="96"/>
      <c r="BL52" s="96"/>
      <c r="BM52" s="96"/>
      <c r="BO52" s="224"/>
      <c r="BP52" s="226"/>
      <c r="BQ52" s="94" t="s">
        <v>636</v>
      </c>
      <c r="BR52" s="94"/>
      <c r="BS52" s="95" t="e">
        <f>COUNTIFS('[1]Completion Matrix'!$E:$E,'Dashboard 3'!$BO$49,'[1]Completion Matrix'!$I:$I,$BP$49,'[1]Completion Matrix'!$J:$J,BQ52)</f>
        <v>#VALUE!</v>
      </c>
      <c r="BT52" s="96"/>
      <c r="BU52" s="96"/>
      <c r="BV52" s="96"/>
      <c r="BW52" s="96"/>
      <c r="BX52" s="96"/>
      <c r="BY52" s="96"/>
      <c r="BZ52" s="96"/>
      <c r="CB52" s="224"/>
      <c r="CC52" s="226"/>
      <c r="CD52" s="94" t="s">
        <v>636</v>
      </c>
      <c r="CE52" s="94"/>
      <c r="CF52" s="95" t="e">
        <f>COUNTIFS('[1]Completion Matrix'!$E:$E,'Dashboard 3'!$CB$49,'[1]Completion Matrix'!$I:$I,$CC$49,'[1]Completion Matrix'!$J:$J,CD52)</f>
        <v>#VALUE!</v>
      </c>
    </row>
    <row r="53" spans="54:84">
      <c r="BB53" s="224"/>
      <c r="BC53" s="226" t="s">
        <v>594</v>
      </c>
      <c r="BD53" s="94" t="s">
        <v>468</v>
      </c>
      <c r="BE53" s="94" t="str">
        <f t="shared" si="3"/>
        <v>No Gap|Ready</v>
      </c>
      <c r="BF53" s="95" t="e">
        <f>COUNTIFS('[1]Completion Matrix'!$E:$E,'Dashboard 3'!$BB$49,'[1]Completion Matrix'!$I:$I,$BC$53,'[1]Completion Matrix'!$J:$J,BD53)</f>
        <v>#VALUE!</v>
      </c>
      <c r="BG53" s="95" t="e">
        <f>IF(COUNTIFS('[1]Completion Matrix'!$E:$E,'Dashboard 3'!$BB$49,'[1]Completion Matrix'!$I:$I,$BC$53,'[1]Completion Matrix'!$J:$J,BD53)=0,NA(),COUNTIFS('[1]Completion Matrix'!$E:$E,'Dashboard 3'!$BB$49,'[1]Completion Matrix'!$I:$I,$BC$53,'[1]Completion Matrix'!$J:$J,BD53))</f>
        <v>#VALUE!</v>
      </c>
      <c r="BH53" s="96"/>
      <c r="BI53" s="96"/>
      <c r="BJ53" s="96"/>
      <c r="BK53" s="96"/>
      <c r="BL53" s="96"/>
      <c r="BM53" s="96"/>
      <c r="BO53" s="224"/>
      <c r="BP53" s="226" t="s">
        <v>594</v>
      </c>
      <c r="BQ53" s="94" t="s">
        <v>468</v>
      </c>
      <c r="BR53" s="94"/>
      <c r="BS53" s="95" t="e">
        <f>COUNTIFS('[1]Completion Matrix'!$E:$E,'Dashboard 3'!$BO$49,'[1]Completion Matrix'!$I:$I,$BP$53,'[1]Completion Matrix'!$J:$J,BQ53)</f>
        <v>#VALUE!</v>
      </c>
      <c r="BT53" s="96"/>
      <c r="BU53" s="96"/>
      <c r="BV53" s="96"/>
      <c r="BW53" s="96"/>
      <c r="BX53" s="96"/>
      <c r="BY53" s="96"/>
      <c r="BZ53" s="96"/>
      <c r="CB53" s="224"/>
      <c r="CC53" s="226" t="s">
        <v>594</v>
      </c>
      <c r="CD53" s="94" t="s">
        <v>468</v>
      </c>
      <c r="CE53" s="94"/>
      <c r="CF53" s="95" t="e">
        <f>COUNTIFS('[1]Completion Matrix'!$E:$E,'Dashboard 3'!$CB$49,'[1]Completion Matrix'!$I:$I,$CC$53,'[1]Completion Matrix'!$J:$J,CD53)</f>
        <v>#VALUE!</v>
      </c>
    </row>
    <row r="54" spans="54:84">
      <c r="BB54" s="224"/>
      <c r="BC54" s="226"/>
      <c r="BD54" s="94" t="s">
        <v>459</v>
      </c>
      <c r="BE54" s="94" t="str">
        <f t="shared" si="3"/>
        <v>No Gap|Improvements Needed</v>
      </c>
      <c r="BF54" s="95" t="e">
        <f>COUNTIFS('[1]Completion Matrix'!$E:$E,'Dashboard 3'!$BB$49,'[1]Completion Matrix'!$I:$I,$BC$53,'[1]Completion Matrix'!$J:$J,BD54)</f>
        <v>#VALUE!</v>
      </c>
      <c r="BG54" s="95" t="e">
        <f>IF(COUNTIFS('[1]Completion Matrix'!$E:$E,'Dashboard 3'!$BB$49,'[1]Completion Matrix'!$I:$I,$BC$53,'[1]Completion Matrix'!$J:$J,BD54)=0,NA(),COUNTIFS('[1]Completion Matrix'!$E:$E,'Dashboard 3'!$BB$49,'[1]Completion Matrix'!$I:$I,$BC$53,'[1]Completion Matrix'!$J:$J,BD54))</f>
        <v>#VALUE!</v>
      </c>
      <c r="BH54" s="96"/>
      <c r="BI54" s="96"/>
      <c r="BJ54" s="96"/>
      <c r="BK54" s="96"/>
      <c r="BL54" s="96"/>
      <c r="BM54" s="96"/>
      <c r="BO54" s="224"/>
      <c r="BP54" s="226"/>
      <c r="BQ54" s="94" t="s">
        <v>459</v>
      </c>
      <c r="BR54" s="94"/>
      <c r="BS54" s="95" t="e">
        <f>COUNTIFS('[1]Completion Matrix'!$E:$E,'Dashboard 3'!$BO$49,'[1]Completion Matrix'!$I:$I,$BP$53,'[1]Completion Matrix'!$J:$J,BQ54)</f>
        <v>#VALUE!</v>
      </c>
      <c r="BT54" s="96"/>
      <c r="BU54" s="96"/>
      <c r="BV54" s="96"/>
      <c r="BW54" s="96"/>
      <c r="BX54" s="96"/>
      <c r="BY54" s="96"/>
      <c r="BZ54" s="96"/>
      <c r="CB54" s="224"/>
      <c r="CC54" s="226"/>
      <c r="CD54" s="94" t="s">
        <v>459</v>
      </c>
      <c r="CE54" s="94"/>
      <c r="CF54" s="95" t="e">
        <f>COUNTIFS('[1]Completion Matrix'!$E:$E,'Dashboard 3'!$CB$49,'[1]Completion Matrix'!$I:$I,$CC$53,'[1]Completion Matrix'!$J:$J,CD54)</f>
        <v>#VALUE!</v>
      </c>
    </row>
    <row r="55" spans="54:84">
      <c r="BB55" s="224"/>
      <c r="BC55" s="226"/>
      <c r="BD55" s="94" t="s">
        <v>462</v>
      </c>
      <c r="BE55" s="94" t="str">
        <f t="shared" si="3"/>
        <v>No Gap|Significant Improvements Needed</v>
      </c>
      <c r="BF55" s="95" t="e">
        <f>COUNTIFS('[1]Completion Matrix'!$E:$E,'Dashboard 3'!$BB$49,'[1]Completion Matrix'!$I:$I,$BC$53,'[1]Completion Matrix'!$J:$J,BD55)</f>
        <v>#VALUE!</v>
      </c>
      <c r="BG55" s="95" t="e">
        <f>IF(COUNTIFS('[1]Completion Matrix'!$E:$E,'Dashboard 3'!$BB$49,'[1]Completion Matrix'!$I:$I,$BC$53,'[1]Completion Matrix'!$J:$J,BD55)=0,NA(),COUNTIFS('[1]Completion Matrix'!$E:$E,'Dashboard 3'!$BB$49,'[1]Completion Matrix'!$I:$I,$BC$53,'[1]Completion Matrix'!$J:$J,BD55))</f>
        <v>#VALUE!</v>
      </c>
      <c r="BH55" s="96"/>
      <c r="BI55" s="96"/>
      <c r="BJ55" s="96"/>
      <c r="BK55" s="96"/>
      <c r="BL55" s="96"/>
      <c r="BM55" s="96"/>
      <c r="BO55" s="224"/>
      <c r="BP55" s="226"/>
      <c r="BQ55" s="94" t="s">
        <v>462</v>
      </c>
      <c r="BR55" s="94"/>
      <c r="BS55" s="95" t="e">
        <f>COUNTIFS('[1]Completion Matrix'!$E:$E,'Dashboard 3'!$BO$49,'[1]Completion Matrix'!$I:$I,$BP$53,'[1]Completion Matrix'!$J:$J,BQ55)</f>
        <v>#VALUE!</v>
      </c>
      <c r="BT55" s="96"/>
      <c r="BU55" s="96"/>
      <c r="BV55" s="96"/>
      <c r="BW55" s="96"/>
      <c r="BX55" s="96"/>
      <c r="BY55" s="96"/>
      <c r="BZ55" s="96"/>
      <c r="CB55" s="224"/>
      <c r="CC55" s="226"/>
      <c r="CD55" s="94" t="s">
        <v>462</v>
      </c>
      <c r="CE55" s="94"/>
      <c r="CF55" s="95" t="e">
        <f>COUNTIFS('[1]Completion Matrix'!$E:$E,'Dashboard 3'!$CB$49,'[1]Completion Matrix'!$I:$I,$CC$53,'[1]Completion Matrix'!$J:$J,CD55)</f>
        <v>#VALUE!</v>
      </c>
    </row>
    <row r="56" spans="54:84">
      <c r="BB56" s="224"/>
      <c r="BC56" s="226"/>
      <c r="BD56" s="94" t="s">
        <v>637</v>
      </c>
      <c r="BE56" s="94" t="str">
        <f t="shared" si="3"/>
        <v>No Gap|Priotiy</v>
      </c>
      <c r="BF56" s="95" t="e">
        <f>COUNTIFS('[1]Completion Matrix'!$E:$E,'Dashboard 3'!$BB$49,'[1]Completion Matrix'!$I:$I,$BC$53,'[1]Completion Matrix'!$J:$J,BD56)</f>
        <v>#VALUE!</v>
      </c>
      <c r="BG56" s="95" t="e">
        <f>IF(COUNTIFS('[1]Completion Matrix'!$E:$E,'Dashboard 3'!$BB$49,'[1]Completion Matrix'!$I:$I,$BC$53,'[1]Completion Matrix'!$J:$J,BD56)=0,NA(),COUNTIFS('[1]Completion Matrix'!$E:$E,'Dashboard 3'!$BB$49,'[1]Completion Matrix'!$I:$I,$BC$53,'[1]Completion Matrix'!$J:$J,BD56))</f>
        <v>#VALUE!</v>
      </c>
      <c r="BH56" s="96"/>
      <c r="BI56" s="96"/>
      <c r="BJ56" s="96"/>
      <c r="BK56" s="96"/>
      <c r="BL56" s="96"/>
      <c r="BM56" s="96"/>
      <c r="BO56" s="224"/>
      <c r="BP56" s="226"/>
      <c r="BQ56" s="94" t="s">
        <v>637</v>
      </c>
      <c r="BR56" s="94"/>
      <c r="BS56" s="95" t="e">
        <f>COUNTIFS('[1]Completion Matrix'!$E:$E,'Dashboard 3'!$BO$49,'[1]Completion Matrix'!$I:$I,$BP$53,'[1]Completion Matrix'!$J:$J,BQ56)</f>
        <v>#VALUE!</v>
      </c>
      <c r="BT56" s="96"/>
      <c r="BU56" s="96"/>
      <c r="BV56" s="96"/>
      <c r="BW56" s="96"/>
      <c r="BX56" s="96"/>
      <c r="BY56" s="96"/>
      <c r="BZ56" s="96"/>
      <c r="CB56" s="224"/>
      <c r="CC56" s="226"/>
      <c r="CD56" s="94" t="s">
        <v>637</v>
      </c>
      <c r="CE56" s="94"/>
      <c r="CF56" s="95" t="e">
        <f>COUNTIFS('[1]Completion Matrix'!$E:$E,'Dashboard 3'!$CB$49,'[1]Completion Matrix'!$I:$I,$CC$53,'[1]Completion Matrix'!$J:$J,CD56)</f>
        <v>#VALUE!</v>
      </c>
    </row>
    <row r="57" spans="54:84">
      <c r="BB57" s="224"/>
      <c r="BC57" s="226" t="s">
        <v>593</v>
      </c>
      <c r="BD57" s="94" t="s">
        <v>468</v>
      </c>
      <c r="BE57" s="94" t="str">
        <f t="shared" si="3"/>
        <v>No Gap|Ready</v>
      </c>
      <c r="BF57" s="95" t="e">
        <f>COUNTIFS('[1]Completion Matrix'!$E:$E,'Dashboard 3'!$BB$49,'[1]Completion Matrix'!$I:$I,$BC$57,'[1]Completion Matrix'!$J:$J,BD57)</f>
        <v>#VALUE!</v>
      </c>
      <c r="BG57" s="95" t="e">
        <f>IF(COUNTIFS('[1]Completion Matrix'!$E:$E,'Dashboard 3'!$BB$49,'[1]Completion Matrix'!$I:$I,$BC$57,'[1]Completion Matrix'!$J:$J,BD57)=0,NA(),COUNTIFS('[1]Completion Matrix'!$E:$E,'Dashboard 3'!$BB$49,'[1]Completion Matrix'!$I:$I,$BC$57,'[1]Completion Matrix'!$J:$J,BD57))</f>
        <v>#VALUE!</v>
      </c>
      <c r="BH57" s="96"/>
      <c r="BI57" s="96"/>
      <c r="BJ57" s="96"/>
      <c r="BK57" s="96"/>
      <c r="BL57" s="96"/>
      <c r="BM57" s="96"/>
      <c r="BO57" s="224"/>
      <c r="BP57" s="226" t="s">
        <v>593</v>
      </c>
      <c r="BQ57" s="94" t="s">
        <v>468</v>
      </c>
      <c r="BR57" s="94"/>
      <c r="BS57" s="95" t="e">
        <f>COUNTIFS('[1]Completion Matrix'!$E:$E,'Dashboard 3'!$BO$49,'[1]Completion Matrix'!$I:$I,$BP$57,'[1]Completion Matrix'!$J:$J,BQ57)</f>
        <v>#VALUE!</v>
      </c>
      <c r="BT57" s="96"/>
      <c r="BU57" s="96"/>
      <c r="BV57" s="96"/>
      <c r="BW57" s="96"/>
      <c r="BX57" s="96"/>
      <c r="BY57" s="96"/>
      <c r="BZ57" s="96"/>
      <c r="CB57" s="224"/>
      <c r="CC57" s="226" t="s">
        <v>593</v>
      </c>
      <c r="CD57" s="94" t="s">
        <v>468</v>
      </c>
      <c r="CE57" s="94"/>
      <c r="CF57" s="95" t="e">
        <f>COUNTIFS('[1]Completion Matrix'!$E:$E,'Dashboard 3'!$CB$49,'[1]Completion Matrix'!$I:$I,$CC$57,'[1]Completion Matrix'!$J:$J,CD57)</f>
        <v>#VALUE!</v>
      </c>
    </row>
    <row r="58" spans="54:84">
      <c r="BB58" s="224"/>
      <c r="BC58" s="226"/>
      <c r="BD58" s="94" t="s">
        <v>459</v>
      </c>
      <c r="BE58" s="94" t="str">
        <f t="shared" si="3"/>
        <v>No Gap|Improvements Needed</v>
      </c>
      <c r="BF58" s="95" t="e">
        <f>COUNTIFS('[1]Completion Matrix'!$E:$E,'Dashboard 3'!$BB$49,'[1]Completion Matrix'!$I:$I,$BC$57,'[1]Completion Matrix'!$J:$J,BD58)</f>
        <v>#VALUE!</v>
      </c>
      <c r="BG58" s="95" t="e">
        <f>IF(COUNTIFS('[1]Completion Matrix'!$E:$E,'Dashboard 3'!$BB$49,'[1]Completion Matrix'!$I:$I,$BC$57,'[1]Completion Matrix'!$J:$J,BD58)=0,NA(),COUNTIFS('[1]Completion Matrix'!$E:$E,'Dashboard 3'!$BB$49,'[1]Completion Matrix'!$I:$I,$BC$57,'[1]Completion Matrix'!$J:$J,BD58))</f>
        <v>#VALUE!</v>
      </c>
      <c r="BH58" s="96"/>
      <c r="BI58" s="96"/>
      <c r="BJ58" s="96"/>
      <c r="BK58" s="96"/>
      <c r="BL58" s="96"/>
      <c r="BM58" s="96"/>
      <c r="BO58" s="224"/>
      <c r="BP58" s="226"/>
      <c r="BQ58" s="94" t="s">
        <v>459</v>
      </c>
      <c r="BR58" s="94"/>
      <c r="BS58" s="95" t="e">
        <f>COUNTIFS('[1]Completion Matrix'!$E:$E,'Dashboard 3'!$BO$49,'[1]Completion Matrix'!$I:$I,$BP$57,'[1]Completion Matrix'!$J:$J,BQ58)</f>
        <v>#VALUE!</v>
      </c>
      <c r="BT58" s="96"/>
      <c r="BU58" s="96"/>
      <c r="BV58" s="96"/>
      <c r="BW58" s="96"/>
      <c r="BX58" s="96"/>
      <c r="BY58" s="96"/>
      <c r="BZ58" s="96"/>
      <c r="CB58" s="224"/>
      <c r="CC58" s="226"/>
      <c r="CD58" s="94" t="s">
        <v>459</v>
      </c>
      <c r="CE58" s="94"/>
      <c r="CF58" s="95" t="e">
        <f>COUNTIFS('[1]Completion Matrix'!$E:$E,'Dashboard 3'!$CB$49,'[1]Completion Matrix'!$I:$I,$CC$57,'[1]Completion Matrix'!$J:$J,CD58)</f>
        <v>#VALUE!</v>
      </c>
    </row>
    <row r="59" spans="54:84">
      <c r="BB59" s="224"/>
      <c r="BC59" s="226"/>
      <c r="BD59" s="94" t="s">
        <v>462</v>
      </c>
      <c r="BE59" s="94" t="str">
        <f t="shared" si="3"/>
        <v>No Gap|Significant Improvements Needed</v>
      </c>
      <c r="BF59" s="95" t="e">
        <f>COUNTIFS('[1]Completion Matrix'!$E:$E,'Dashboard 3'!$BB$49,'[1]Completion Matrix'!$I:$I,$BC$57,'[1]Completion Matrix'!$J:$J,BD59)</f>
        <v>#VALUE!</v>
      </c>
      <c r="BG59" s="95" t="e">
        <f>IF(COUNTIFS('[1]Completion Matrix'!$E:$E,'Dashboard 3'!$BB$49,'[1]Completion Matrix'!$I:$I,$BC$57,'[1]Completion Matrix'!$J:$J,BD59)=0,NA(),COUNTIFS('[1]Completion Matrix'!$E:$E,'Dashboard 3'!$BB$49,'[1]Completion Matrix'!$I:$I,$BC$57,'[1]Completion Matrix'!$J:$J,BD59))</f>
        <v>#VALUE!</v>
      </c>
      <c r="BH59" s="96"/>
      <c r="BI59" s="96"/>
      <c r="BJ59" s="96"/>
      <c r="BK59" s="96"/>
      <c r="BL59" s="96"/>
      <c r="BM59" s="96"/>
      <c r="BO59" s="224"/>
      <c r="BP59" s="226"/>
      <c r="BQ59" s="94" t="s">
        <v>462</v>
      </c>
      <c r="BR59" s="94"/>
      <c r="BS59" s="95" t="e">
        <f>COUNTIFS('[1]Completion Matrix'!$E:$E,'Dashboard 3'!$BO$49,'[1]Completion Matrix'!$I:$I,$BP$57,'[1]Completion Matrix'!$J:$J,BQ59)</f>
        <v>#VALUE!</v>
      </c>
      <c r="BT59" s="96"/>
      <c r="BU59" s="96"/>
      <c r="BV59" s="96"/>
      <c r="BW59" s="96"/>
      <c r="BX59" s="96"/>
      <c r="BY59" s="96"/>
      <c r="BZ59" s="96"/>
      <c r="CB59" s="224"/>
      <c r="CC59" s="226"/>
      <c r="CD59" s="94" t="s">
        <v>462</v>
      </c>
      <c r="CE59" s="94"/>
      <c r="CF59" s="95" t="e">
        <f>COUNTIFS('[1]Completion Matrix'!$E:$E,'Dashboard 3'!$CB$49,'[1]Completion Matrix'!$I:$I,$CC$57,'[1]Completion Matrix'!$J:$J,CD59)</f>
        <v>#VALUE!</v>
      </c>
    </row>
    <row r="60" spans="54:84">
      <c r="BB60" s="224"/>
      <c r="BC60" s="226"/>
      <c r="BD60" s="94" t="s">
        <v>636</v>
      </c>
      <c r="BE60" s="94" t="str">
        <f t="shared" si="3"/>
        <v>No Gap|Priority</v>
      </c>
      <c r="BF60" s="95" t="e">
        <f>COUNTIFS('[1]Completion Matrix'!$E:$E,'Dashboard 3'!$BB$49,'[1]Completion Matrix'!$I:$I,$BC$57,'[1]Completion Matrix'!$J:$J,BD60)</f>
        <v>#VALUE!</v>
      </c>
      <c r="BG60" s="95" t="e">
        <f>IF(COUNTIFS('[1]Completion Matrix'!$E:$E,'Dashboard 3'!$BB$49,'[1]Completion Matrix'!$I:$I,$BC$57,'[1]Completion Matrix'!$J:$J,BD60)=0,NA(),COUNTIFS('[1]Completion Matrix'!$E:$E,'Dashboard 3'!$BB$49,'[1]Completion Matrix'!$I:$I,$BC$57,'[1]Completion Matrix'!$J:$J,BD60))</f>
        <v>#VALUE!</v>
      </c>
      <c r="BH60" s="96"/>
      <c r="BI60" s="96"/>
      <c r="BJ60" s="96"/>
      <c r="BK60" s="96"/>
      <c r="BL60" s="96"/>
      <c r="BM60" s="96"/>
      <c r="BO60" s="224"/>
      <c r="BP60" s="226"/>
      <c r="BQ60" s="94" t="s">
        <v>636</v>
      </c>
      <c r="BR60" s="94"/>
      <c r="BS60" s="95" t="e">
        <f>COUNTIFS('[1]Completion Matrix'!$E:$E,'Dashboard 3'!$BO$49,'[1]Completion Matrix'!$I:$I,$BP$57,'[1]Completion Matrix'!$J:$J,BQ60)</f>
        <v>#VALUE!</v>
      </c>
      <c r="BT60" s="96"/>
      <c r="BU60" s="96"/>
      <c r="BV60" s="96"/>
      <c r="BW60" s="96"/>
      <c r="BX60" s="96"/>
      <c r="BY60" s="96"/>
      <c r="BZ60" s="96"/>
      <c r="CB60" s="224"/>
      <c r="CC60" s="226"/>
      <c r="CD60" s="94" t="s">
        <v>636</v>
      </c>
      <c r="CE60" s="94"/>
      <c r="CF60" s="95" t="e">
        <f>COUNTIFS('[1]Completion Matrix'!$E:$E,'Dashboard 3'!$CB$49,'[1]Completion Matrix'!$I:$I,$CC$57,'[1]Completion Matrix'!$J:$J,CD60)</f>
        <v>#VALUE!</v>
      </c>
    </row>
    <row r="61" spans="54:84">
      <c r="BB61" s="224"/>
      <c r="BC61" s="226" t="s">
        <v>636</v>
      </c>
      <c r="BD61" s="94" t="s">
        <v>468</v>
      </c>
      <c r="BE61" s="94" t="str">
        <f t="shared" si="3"/>
        <v>No Gap|Ready</v>
      </c>
      <c r="BF61" s="95" t="e">
        <f>COUNTIFS('[1]Completion Matrix'!$E:$E,'Dashboard 3'!$BB$49,'[1]Completion Matrix'!$I:$I,$BC$61,'[1]Completion Matrix'!$J:$J,BD61)</f>
        <v>#VALUE!</v>
      </c>
      <c r="BG61" s="95" t="e">
        <f>IF(COUNTIFS('[1]Completion Matrix'!$E:$E,'Dashboard 3'!$BB$49,'[1]Completion Matrix'!$I:$I,$BC$61,'[1]Completion Matrix'!$J:$J,BD61)=0,NA(),COUNTIFS('[1]Completion Matrix'!$E:$E,'Dashboard 3'!$BB$49,'[1]Completion Matrix'!$I:$I,$BC$61,'[1]Completion Matrix'!$J:$J,BD61))</f>
        <v>#VALUE!</v>
      </c>
      <c r="BH61" s="96"/>
      <c r="BI61" s="96"/>
      <c r="BJ61" s="96"/>
      <c r="BK61" s="96"/>
      <c r="BL61" s="96"/>
      <c r="BM61" s="96"/>
      <c r="BO61" s="224"/>
      <c r="BP61" s="226" t="s">
        <v>636</v>
      </c>
      <c r="BQ61" s="94" t="s">
        <v>468</v>
      </c>
      <c r="BR61" s="94"/>
      <c r="BS61" s="95" t="e">
        <f>COUNTIFS('[1]Completion Matrix'!$E:$E,'Dashboard 3'!$BO$49,'[1]Completion Matrix'!$I:$I,$BP$61,'[1]Completion Matrix'!$J:$J,BQ61)</f>
        <v>#VALUE!</v>
      </c>
      <c r="BT61" s="96"/>
      <c r="BU61" s="96"/>
      <c r="BV61" s="96"/>
      <c r="BW61" s="96"/>
      <c r="BX61" s="96"/>
      <c r="BY61" s="96"/>
      <c r="BZ61" s="96"/>
      <c r="CB61" s="224"/>
      <c r="CC61" s="226" t="s">
        <v>636</v>
      </c>
      <c r="CD61" s="94" t="s">
        <v>468</v>
      </c>
      <c r="CE61" s="94"/>
      <c r="CF61" s="95" t="e">
        <f>COUNTIFS('[1]Completion Matrix'!$E:$E,'Dashboard 3'!$CB$49,'[1]Completion Matrix'!$I:$I,$CC$61,'[1]Completion Matrix'!$J:$J,CD61)</f>
        <v>#VALUE!</v>
      </c>
    </row>
    <row r="62" spans="54:84">
      <c r="BB62" s="224"/>
      <c r="BC62" s="226"/>
      <c r="BD62" s="94" t="s">
        <v>459</v>
      </c>
      <c r="BE62" s="94" t="str">
        <f t="shared" si="3"/>
        <v>No Gap|Improvements Needed</v>
      </c>
      <c r="BF62" s="95" t="e">
        <f>COUNTIFS('[1]Completion Matrix'!$E:$E,'Dashboard 3'!$BB$49,'[1]Completion Matrix'!$I:$I,$BC$61,'[1]Completion Matrix'!$J:$J,BD62)</f>
        <v>#VALUE!</v>
      </c>
      <c r="BG62" s="95" t="e">
        <f>IF(COUNTIFS('[1]Completion Matrix'!$E:$E,'Dashboard 3'!$BB$49,'[1]Completion Matrix'!$I:$I,$BC$61,'[1]Completion Matrix'!$J:$J,BD62)=0,NA(),COUNTIFS('[1]Completion Matrix'!$E:$E,'Dashboard 3'!$BB$49,'[1]Completion Matrix'!$I:$I,$BC$61,'[1]Completion Matrix'!$J:$J,BD62))</f>
        <v>#VALUE!</v>
      </c>
      <c r="BH62" s="96"/>
      <c r="BI62" s="96"/>
      <c r="BJ62" s="96"/>
      <c r="BK62" s="96"/>
      <c r="BL62" s="96"/>
      <c r="BM62" s="96"/>
      <c r="BO62" s="224"/>
      <c r="BP62" s="226"/>
      <c r="BQ62" s="94" t="s">
        <v>459</v>
      </c>
      <c r="BR62" s="94"/>
      <c r="BS62" s="95" t="e">
        <f>COUNTIFS('[1]Completion Matrix'!$E:$E,'Dashboard 3'!$BO$49,'[1]Completion Matrix'!$I:$I,$BP$61,'[1]Completion Matrix'!$J:$J,BQ62)</f>
        <v>#VALUE!</v>
      </c>
      <c r="BT62" s="96"/>
      <c r="BU62" s="96"/>
      <c r="BV62" s="96"/>
      <c r="BW62" s="96"/>
      <c r="BX62" s="96"/>
      <c r="BY62" s="96"/>
      <c r="BZ62" s="96"/>
      <c r="CB62" s="224"/>
      <c r="CC62" s="226"/>
      <c r="CD62" s="94" t="s">
        <v>459</v>
      </c>
      <c r="CE62" s="94"/>
      <c r="CF62" s="95" t="e">
        <f>COUNTIFS('[1]Completion Matrix'!$E:$E,'Dashboard 3'!$CB$49,'[1]Completion Matrix'!$I:$I,$CC$61,'[1]Completion Matrix'!$J:$J,CD62)</f>
        <v>#VALUE!</v>
      </c>
    </row>
    <row r="63" spans="54:84">
      <c r="BB63" s="224"/>
      <c r="BC63" s="226"/>
      <c r="BD63" s="94" t="s">
        <v>462</v>
      </c>
      <c r="BE63" s="94" t="str">
        <f t="shared" si="3"/>
        <v>No Gap|Significant Improvements Needed</v>
      </c>
      <c r="BF63" s="95" t="e">
        <f>COUNTIFS('[1]Completion Matrix'!$E:$E,'Dashboard 3'!$BB$49,'[1]Completion Matrix'!$I:$I,$BC$61,'[1]Completion Matrix'!$J:$J,BD63)</f>
        <v>#VALUE!</v>
      </c>
      <c r="BG63" s="95" t="e">
        <f>IF(COUNTIFS('[1]Completion Matrix'!$E:$E,'Dashboard 3'!$BB$49,'[1]Completion Matrix'!$I:$I,$BC$61,'[1]Completion Matrix'!$J:$J,BD63)=0,NA(),COUNTIFS('[1]Completion Matrix'!$E:$E,'Dashboard 3'!$BB$49,'[1]Completion Matrix'!$I:$I,$BC$61,'[1]Completion Matrix'!$J:$J,BD63))</f>
        <v>#VALUE!</v>
      </c>
      <c r="BH63" s="96"/>
      <c r="BI63" s="96"/>
      <c r="BJ63" s="96"/>
      <c r="BK63" s="96"/>
      <c r="BL63" s="96"/>
      <c r="BM63" s="96"/>
      <c r="BO63" s="224"/>
      <c r="BP63" s="226"/>
      <c r="BQ63" s="94" t="s">
        <v>462</v>
      </c>
      <c r="BR63" s="94"/>
      <c r="BS63" s="95" t="e">
        <f>COUNTIFS('[1]Completion Matrix'!$E:$E,'Dashboard 3'!$BO$49,'[1]Completion Matrix'!$I:$I,$BP$61,'[1]Completion Matrix'!$J:$J,BQ63)</f>
        <v>#VALUE!</v>
      </c>
      <c r="BT63" s="96"/>
      <c r="BU63" s="96"/>
      <c r="BV63" s="96"/>
      <c r="BW63" s="96"/>
      <c r="BX63" s="96"/>
      <c r="BY63" s="96"/>
      <c r="BZ63" s="96"/>
      <c r="CB63" s="224"/>
      <c r="CC63" s="226"/>
      <c r="CD63" s="94" t="s">
        <v>462</v>
      </c>
      <c r="CE63" s="94"/>
      <c r="CF63" s="95" t="e">
        <f>COUNTIFS('[1]Completion Matrix'!$E:$E,'Dashboard 3'!$CB$49,'[1]Completion Matrix'!$I:$I,$CC$61,'[1]Completion Matrix'!$J:$J,CD63)</f>
        <v>#VALUE!</v>
      </c>
    </row>
    <row r="64" spans="54:84">
      <c r="BB64" s="225"/>
      <c r="BC64" s="226"/>
      <c r="BD64" s="94" t="s">
        <v>636</v>
      </c>
      <c r="BE64" s="94" t="str">
        <f t="shared" si="3"/>
        <v>No Gap|Priority</v>
      </c>
      <c r="BF64" s="95" t="e">
        <f>COUNTIFS('[1]Completion Matrix'!$E:$E,'Dashboard 3'!$BB$49,'[1]Completion Matrix'!$I:$I,$BC$61,'[1]Completion Matrix'!$J:$J,BD64)</f>
        <v>#VALUE!</v>
      </c>
      <c r="BG64" s="95" t="e">
        <f>IF(COUNTIFS('[1]Completion Matrix'!$E:$E,'Dashboard 3'!$BB$49,'[1]Completion Matrix'!$I:$I,$BC$61,'[1]Completion Matrix'!$J:$J,BD64)=0,NA(),COUNTIFS('[1]Completion Matrix'!$E:$E,'Dashboard 3'!$BB$49,'[1]Completion Matrix'!$I:$I,$BC$61,'[1]Completion Matrix'!$J:$J,BD64))</f>
        <v>#VALUE!</v>
      </c>
      <c r="BH64" s="96"/>
      <c r="BI64" s="96"/>
      <c r="BJ64" s="96"/>
      <c r="BK64" s="96"/>
      <c r="BL64" s="96"/>
      <c r="BM64" s="96"/>
      <c r="BO64" s="225"/>
      <c r="BP64" s="226"/>
      <c r="BQ64" s="94" t="s">
        <v>636</v>
      </c>
      <c r="BR64" s="94"/>
      <c r="BS64" s="95" t="e">
        <f>COUNTIFS('[1]Completion Matrix'!$E:$E,'Dashboard 3'!$BO$49,'[1]Completion Matrix'!$I:$I,$BP$61,'[1]Completion Matrix'!$J:$J,BQ64)</f>
        <v>#VALUE!</v>
      </c>
      <c r="BT64" s="96"/>
      <c r="BU64" s="96"/>
      <c r="BV64" s="96"/>
      <c r="BW64" s="96"/>
      <c r="BX64" s="96"/>
      <c r="BY64" s="96"/>
      <c r="BZ64" s="96"/>
      <c r="CB64" s="225"/>
      <c r="CC64" s="226"/>
      <c r="CD64" s="94" t="s">
        <v>636</v>
      </c>
      <c r="CE64" s="94"/>
      <c r="CF64" s="95" t="e">
        <f>COUNTIFS('[1]Completion Matrix'!$E:$E,'Dashboard 3'!$CB$49,'[1]Completion Matrix'!$I:$I,$CC$61,'[1]Completion Matrix'!$J:$J,CD64)</f>
        <v>#VALUE!</v>
      </c>
    </row>
    <row r="65" spans="2:84">
      <c r="BF65" s="95" t="e">
        <f>SUM(BF49:BF64)</f>
        <v>#VALUE!</v>
      </c>
      <c r="BG65" s="96"/>
      <c r="BH65" s="96"/>
      <c r="BI65" s="96"/>
      <c r="BJ65" s="96"/>
      <c r="BK65" s="96"/>
      <c r="BL65" s="96"/>
      <c r="BM65" s="96"/>
      <c r="BS65" s="95" t="e">
        <f>SUM(BS49:BS64)</f>
        <v>#VALUE!</v>
      </c>
      <c r="BT65" s="96"/>
      <c r="BU65" s="96"/>
      <c r="BV65" s="96"/>
      <c r="BW65" s="96"/>
      <c r="BX65" s="96"/>
      <c r="BY65" s="96"/>
      <c r="BZ65" s="96"/>
      <c r="CF65" s="95" t="e">
        <f>SUM(CF49:CF64)</f>
        <v>#VALUE!</v>
      </c>
    </row>
    <row r="67" spans="2:84">
      <c r="BC67" s="214" t="s">
        <v>638</v>
      </c>
      <c r="BD67" s="94" t="s">
        <v>451</v>
      </c>
      <c r="BE67" s="94"/>
      <c r="BF67" s="95" t="e">
        <f>COUNTIFS('[1]Completion Matrix'!$E:$E,'Dashboard 3'!BB49,'[1]Completion Matrix'!$I:$I,"")</f>
        <v>#VALUE!</v>
      </c>
      <c r="BG67" s="96"/>
      <c r="BH67" s="96"/>
      <c r="BI67" s="96"/>
      <c r="BJ67" s="96"/>
      <c r="BK67" s="96"/>
      <c r="BL67" s="96"/>
      <c r="BM67" s="96"/>
      <c r="BP67" s="214" t="s">
        <v>638</v>
      </c>
      <c r="BQ67" s="94" t="s">
        <v>451</v>
      </c>
      <c r="BR67" s="94"/>
      <c r="BS67" s="95" t="e">
        <f>COUNTIFS('[1]Completion Matrix'!$E:$E,'Dashboard 3'!BO49,'[1]Completion Matrix'!$I:$I,"")</f>
        <v>#VALUE!</v>
      </c>
      <c r="BT67" s="96"/>
      <c r="BU67" s="96"/>
      <c r="BV67" s="96"/>
      <c r="BW67" s="96"/>
      <c r="BX67" s="96"/>
      <c r="BY67" s="96"/>
      <c r="BZ67" s="96"/>
      <c r="CC67" s="214" t="s">
        <v>638</v>
      </c>
      <c r="CD67" s="94" t="s">
        <v>451</v>
      </c>
      <c r="CE67" s="94"/>
      <c r="CF67" s="95" t="e">
        <f>COUNTIFS('[1]Completion Matrix'!$E:$E,'Dashboard 3'!CB49,'[1]Completion Matrix'!$I:$I,"")</f>
        <v>#VALUE!</v>
      </c>
    </row>
    <row r="68" spans="2:84">
      <c r="BC68" s="215"/>
      <c r="BD68" s="94" t="s">
        <v>450</v>
      </c>
      <c r="BE68" s="94"/>
      <c r="BF68" s="95" t="e">
        <f>COUNTIFS('[1]Completion Matrix'!$E:$E,'Dashboard 3'!BB49,'[1]Completion Matrix'!$I:$I,"")</f>
        <v>#VALUE!</v>
      </c>
      <c r="BG68" s="96"/>
      <c r="BH68" s="96"/>
      <c r="BI68" s="96"/>
      <c r="BJ68" s="96"/>
      <c r="BK68" s="96"/>
      <c r="BL68" s="96"/>
      <c r="BM68" s="96"/>
      <c r="BP68" s="215"/>
      <c r="BQ68" s="94" t="s">
        <v>450</v>
      </c>
      <c r="BR68" s="94"/>
      <c r="BS68" s="95" t="e">
        <f>COUNTIFS('[1]Completion Matrix'!$E:$E,'Dashboard 3'!BO49,'[1]Completion Matrix'!$I:$I,"")</f>
        <v>#VALUE!</v>
      </c>
      <c r="BT68" s="96"/>
      <c r="BU68" s="96"/>
      <c r="BV68" s="96"/>
      <c r="BW68" s="96"/>
      <c r="BX68" s="96"/>
      <c r="BY68" s="96"/>
      <c r="BZ68" s="96"/>
      <c r="CC68" s="215"/>
      <c r="CD68" s="94" t="s">
        <v>450</v>
      </c>
      <c r="CE68" s="94"/>
      <c r="CF68" s="95" t="e">
        <f>COUNTIFS('[1]Completion Matrix'!$E:$E,'Dashboard 3'!CB49,'[1]Completion Matrix'!$I:$I,"")</f>
        <v>#VALUE!</v>
      </c>
    </row>
    <row r="72" spans="2:84">
      <c r="B72" t="s">
        <v>641</v>
      </c>
      <c r="C72" t="s">
        <v>646</v>
      </c>
    </row>
    <row r="73" spans="2:84">
      <c r="B73" t="s">
        <v>645</v>
      </c>
      <c r="C73" t="e">
        <f>COUNTIF('[1]Completion Matrix'!$F$3:$F$306,"")</f>
        <v>#VALUE!</v>
      </c>
    </row>
    <row r="74" spans="2:84">
      <c r="B74" s="43" t="s">
        <v>13</v>
      </c>
      <c r="C74" s="107" t="e">
        <f>COUNTIF('[1]Completion Matrix'!$F$3:$F$306,'Dashboard 3'!B74)</f>
        <v>#VALUE!</v>
      </c>
    </row>
    <row r="75" spans="2:84">
      <c r="B75" s="43" t="s">
        <v>27</v>
      </c>
      <c r="C75" t="e">
        <f>COUNTIF('[1]Completion Matrix'!$F$3:$F$306,'Dashboard 3'!B75)</f>
        <v>#VALUE!</v>
      </c>
      <c r="BQ75" s="95" t="e">
        <f>SUM(BF21,BF23,BS21,BS23,CF21,CF23,BF43,BF45,BS43,BS45,CF43,CF45,CF65,CF67,BS65,BS67,BF65,BF67)</f>
        <v>#VALUE!</v>
      </c>
      <c r="BR75" s="96"/>
    </row>
    <row r="76" spans="2:84">
      <c r="B76" s="35" t="s">
        <v>35</v>
      </c>
      <c r="C76" s="107" t="e">
        <f>COUNTIF('[1]Completion Matrix'!$F$3:$F$306,'Dashboard 3'!B76)</f>
        <v>#VALUE!</v>
      </c>
    </row>
    <row r="77" spans="2:84">
      <c r="B77" s="35" t="s">
        <v>86</v>
      </c>
      <c r="C77" t="e">
        <f>COUNTIF('[1]Completion Matrix'!$F$3:$F$306,'Dashboard 3'!B77)</f>
        <v>#VALUE!</v>
      </c>
    </row>
    <row r="78" spans="2:84">
      <c r="B78" s="56" t="s">
        <v>521</v>
      </c>
      <c r="C78" t="e">
        <f>COUNTIF('[1]Completion Matrix'!$F$3:$F$306,'Dashboard 3'!B78)</f>
        <v>#VALUE!</v>
      </c>
    </row>
    <row r="79" spans="2:84">
      <c r="B79" s="35" t="s">
        <v>525</v>
      </c>
      <c r="C79" t="e">
        <f>COUNTIF('[1]Completion Matrix'!$F$3:$F$306,'Dashboard 3'!B79)</f>
        <v>#VALUE!</v>
      </c>
    </row>
    <row r="80" spans="2:84">
      <c r="B80" s="35" t="s">
        <v>532</v>
      </c>
      <c r="C80" t="e">
        <f>COUNTIF('[1]Completion Matrix'!$F$3:$F$306,'Dashboard 3'!B80)</f>
        <v>#VALUE!</v>
      </c>
    </row>
    <row r="81" spans="2:3">
      <c r="B81" s="56" t="s">
        <v>533</v>
      </c>
      <c r="C81" t="e">
        <f>COUNTIF('[1]Completion Matrix'!$F$3:$F$306,'Dashboard 3'!B81)</f>
        <v>#VALUE!</v>
      </c>
    </row>
    <row r="82" spans="2:3">
      <c r="B82" s="35" t="s">
        <v>110</v>
      </c>
      <c r="C82" t="e">
        <f>COUNTIF('[1]Completion Matrix'!$F$3:$F$306,'Dashboard 3'!B82)</f>
        <v>#VALUE!</v>
      </c>
    </row>
    <row r="83" spans="2:3">
      <c r="B83" s="35" t="s">
        <v>518</v>
      </c>
      <c r="C83" t="e">
        <f>COUNTIF('[1]Completion Matrix'!$F$3:$F$306,'Dashboard 3'!B83)</f>
        <v>#VALUE!</v>
      </c>
    </row>
    <row r="84" spans="2:3">
      <c r="B84" s="35" t="s">
        <v>123</v>
      </c>
      <c r="C84" s="107" t="e">
        <f>COUNTIF('[1]Completion Matrix'!$F$3:$F$306,'Dashboard 3'!B84)</f>
        <v>#VALUE!</v>
      </c>
    </row>
    <row r="85" spans="2:3">
      <c r="B85" s="35" t="s">
        <v>614</v>
      </c>
      <c r="C85" t="e">
        <f>COUNTIF('[1]Completion Matrix'!$F$3:$F$306,'Dashboard 3'!B85)</f>
        <v>#VALUE!</v>
      </c>
    </row>
    <row r="86" spans="2:3">
      <c r="B86" s="43" t="s">
        <v>153</v>
      </c>
      <c r="C86" t="e">
        <f>COUNTIF('[1]Completion Matrix'!$F$3:$F$306,'Dashboard 3'!B86)</f>
        <v>#VALUE!</v>
      </c>
    </row>
    <row r="87" spans="2:3">
      <c r="B87" s="49" t="s">
        <v>616</v>
      </c>
      <c r="C87" t="e">
        <f>COUNTIF('[1]Completion Matrix'!$F$3:$F$306,'Dashboard 3'!B87)</f>
        <v>#VALUE!</v>
      </c>
    </row>
    <row r="88" spans="2:3">
      <c r="B88" s="35" t="s">
        <v>442</v>
      </c>
      <c r="C88" t="e">
        <f>COUNTIF('[1]Completion Matrix'!$F$3:$F$306,'Dashboard 3'!B88)</f>
        <v>#VALUE!</v>
      </c>
    </row>
    <row r="89" spans="2:3">
      <c r="B89" s="35" t="s">
        <v>235</v>
      </c>
      <c r="C89" s="107" t="e">
        <f>COUNTIF('[1]Completion Matrix'!$F$3:$F$306,'Dashboard 3'!B89)</f>
        <v>#VALUE!</v>
      </c>
    </row>
    <row r="90" spans="2:3">
      <c r="B90" s="35" t="s">
        <v>619</v>
      </c>
      <c r="C90" t="e">
        <f>COUNTIF('[1]Completion Matrix'!$F$3:$F$306,'Dashboard 3'!B90)</f>
        <v>#VALUE!</v>
      </c>
    </row>
    <row r="91" spans="2:3">
      <c r="B91" s="35" t="s">
        <v>588</v>
      </c>
      <c r="C91" t="e">
        <f>COUNTIF('[1]Completion Matrix'!$F$3:$F$306,'Dashboard 3'!B91)</f>
        <v>#VALUE!</v>
      </c>
    </row>
    <row r="92" spans="2:3">
      <c r="B92" s="56" t="s">
        <v>615</v>
      </c>
      <c r="C92" s="107" t="e">
        <f>COUNTIF('[1]Completion Matrix'!$F$3:$F$306,'Dashboard 3'!B92)</f>
        <v>#VALUE!</v>
      </c>
    </row>
    <row r="93" spans="2:3">
      <c r="B93" s="29" t="s">
        <v>493</v>
      </c>
      <c r="C93" t="e">
        <f>COUNTIF('[1]Completion Matrix'!$F$3:$F$306,'Dashboard 3'!B93)</f>
        <v>#VALUE!</v>
      </c>
    </row>
    <row r="94" spans="2:3">
      <c r="B94" s="35" t="s">
        <v>535</v>
      </c>
      <c r="C94" t="e">
        <f>COUNTIF('[1]Completion Matrix'!$F$3:$F$306,'Dashboard 3'!B94)</f>
        <v>#VALUE!</v>
      </c>
    </row>
    <row r="95" spans="2:3">
      <c r="B95" s="35" t="s">
        <v>355</v>
      </c>
      <c r="C95" s="107" t="e">
        <f>COUNTIF('[1]Completion Matrix'!$F$3:$F$306,'Dashboard 3'!B95)</f>
        <v>#VALUE!</v>
      </c>
    </row>
  </sheetData>
  <autoFilter ref="B72:C95"/>
  <mergeCells count="59">
    <mergeCell ref="B4:C4"/>
    <mergeCell ref="P3:X3"/>
    <mergeCell ref="Y3:AA3"/>
    <mergeCell ref="BB27:BB42"/>
    <mergeCell ref="BC27:BC30"/>
    <mergeCell ref="BC23:BC24"/>
    <mergeCell ref="BC5:BC8"/>
    <mergeCell ref="BC9:BC12"/>
    <mergeCell ref="BC13:BC16"/>
    <mergeCell ref="BC17:BC20"/>
    <mergeCell ref="BB5:BB20"/>
    <mergeCell ref="G5:G13"/>
    <mergeCell ref="I5:I13"/>
    <mergeCell ref="BO5:BO20"/>
    <mergeCell ref="BP5:BP8"/>
    <mergeCell ref="BP9:BP12"/>
    <mergeCell ref="BP13:BP16"/>
    <mergeCell ref="BP17:BP20"/>
    <mergeCell ref="BP23:BP24"/>
    <mergeCell ref="CB5:CB20"/>
    <mergeCell ref="CC5:CC8"/>
    <mergeCell ref="CC9:CC12"/>
    <mergeCell ref="CC13:CC16"/>
    <mergeCell ref="CC17:CC20"/>
    <mergeCell ref="CC23:CC24"/>
    <mergeCell ref="CB27:CB42"/>
    <mergeCell ref="CC27:CC30"/>
    <mergeCell ref="BC31:BC34"/>
    <mergeCell ref="BP31:BP34"/>
    <mergeCell ref="CC31:CC34"/>
    <mergeCell ref="BC35:BC38"/>
    <mergeCell ref="BP35:BP38"/>
    <mergeCell ref="CC35:CC38"/>
    <mergeCell ref="BC39:BC42"/>
    <mergeCell ref="BP39:BP42"/>
    <mergeCell ref="CC39:CC42"/>
    <mergeCell ref="BO27:BO42"/>
    <mergeCell ref="BP27:BP30"/>
    <mergeCell ref="BC45:BC46"/>
    <mergeCell ref="BP45:BP46"/>
    <mergeCell ref="CC45:CC46"/>
    <mergeCell ref="BB49:BB64"/>
    <mergeCell ref="BC49:BC52"/>
    <mergeCell ref="BO49:BO64"/>
    <mergeCell ref="BP49:BP52"/>
    <mergeCell ref="CB49:CB64"/>
    <mergeCell ref="CC49:CC52"/>
    <mergeCell ref="BC53:BC56"/>
    <mergeCell ref="BP53:BP56"/>
    <mergeCell ref="CC53:CC56"/>
    <mergeCell ref="BC57:BC60"/>
    <mergeCell ref="BP57:BP60"/>
    <mergeCell ref="CC57:CC60"/>
    <mergeCell ref="BC61:BC64"/>
    <mergeCell ref="BP61:BP64"/>
    <mergeCell ref="CC61:CC64"/>
    <mergeCell ref="BC67:BC68"/>
    <mergeCell ref="BP67:BP68"/>
    <mergeCell ref="CC67:CC68"/>
  </mergeCells>
  <conditionalFormatting sqref="P15:X15">
    <cfRule type="cellIs" dxfId="7" priority="1" operator="greaterThan">
      <formula>$F11*0.7</formula>
    </cfRule>
    <cfRule type="cellIs" dxfId="6" priority="2" operator="greaterThan">
      <formula>$F11*0.5</formula>
    </cfRule>
  </conditionalFormatting>
  <conditionalFormatting sqref="P14:X14">
    <cfRule type="cellIs" dxfId="5" priority="5" operator="greaterThan">
      <formula>$F10*0.7</formula>
    </cfRule>
    <cfRule type="cellIs" dxfId="4" priority="6" operator="greaterThan">
      <formula>$F10*0.5</formula>
    </cfRule>
  </conditionalFormatting>
  <conditionalFormatting sqref="P5:X13">
    <cfRule type="cellIs" dxfId="3" priority="9" operator="greaterThan">
      <formula>$F1048574*0.7</formula>
    </cfRule>
    <cfRule type="cellIs" dxfId="2" priority="10" operator="greaterThan">
      <formula>$F1048574*0.5</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sheetPr codeName="Sheet11"/>
  <dimension ref="A1:A7"/>
  <sheetViews>
    <sheetView workbookViewId="0">
      <selection activeCell="A8" sqref="A8"/>
    </sheetView>
  </sheetViews>
  <sheetFormatPr defaultRowHeight="15"/>
  <sheetData>
    <row r="1" spans="1:1">
      <c r="A1" t="s">
        <v>431</v>
      </c>
    </row>
    <row r="2" spans="1:1">
      <c r="A2" t="s">
        <v>432</v>
      </c>
    </row>
    <row r="3" spans="1:1">
      <c r="A3" t="s">
        <v>436</v>
      </c>
    </row>
    <row r="4" spans="1:1">
      <c r="A4" t="s">
        <v>428</v>
      </c>
    </row>
    <row r="5" spans="1:1">
      <c r="A5" t="s">
        <v>437</v>
      </c>
    </row>
    <row r="6" spans="1:1">
      <c r="A6" t="s">
        <v>430</v>
      </c>
    </row>
    <row r="7" spans="1:1">
      <c r="A7" t="s">
        <v>438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13"/>
  <dimension ref="B2:G48"/>
  <sheetViews>
    <sheetView workbookViewId="0">
      <selection activeCell="A8" sqref="A8"/>
    </sheetView>
  </sheetViews>
  <sheetFormatPr defaultRowHeight="15"/>
  <cols>
    <col min="2" max="2" width="30.28515625" customWidth="1"/>
    <col min="3" max="3" width="8.85546875" bestFit="1" customWidth="1"/>
    <col min="4" max="4" width="15.7109375" customWidth="1"/>
    <col min="5" max="5" width="21" customWidth="1"/>
    <col min="6" max="6" width="27.85546875" customWidth="1"/>
    <col min="7" max="7" width="35.140625" customWidth="1"/>
  </cols>
  <sheetData>
    <row r="2" spans="2:7" ht="15.75" thickBot="1"/>
    <row r="3" spans="2:7">
      <c r="B3" s="248" t="s">
        <v>729</v>
      </c>
      <c r="C3" s="152" t="s">
        <v>730</v>
      </c>
      <c r="D3" s="152" t="s">
        <v>732</v>
      </c>
      <c r="E3" s="152" t="s">
        <v>734</v>
      </c>
      <c r="F3" s="152" t="s">
        <v>736</v>
      </c>
      <c r="G3" s="154" t="s">
        <v>738</v>
      </c>
    </row>
    <row r="4" spans="2:7" ht="30.75" thickBot="1">
      <c r="B4" s="249"/>
      <c r="C4" s="153" t="s">
        <v>731</v>
      </c>
      <c r="D4" s="153" t="s">
        <v>733</v>
      </c>
      <c r="E4" s="153" t="s">
        <v>735</v>
      </c>
      <c r="F4" s="153" t="s">
        <v>737</v>
      </c>
      <c r="G4" s="155" t="s">
        <v>737</v>
      </c>
    </row>
    <row r="5" spans="2:7">
      <c r="B5" s="242" t="s">
        <v>739</v>
      </c>
      <c r="C5" s="244">
        <v>1.1000000000000001</v>
      </c>
      <c r="D5" s="244" t="s">
        <v>740</v>
      </c>
      <c r="E5" s="156" t="s">
        <v>741</v>
      </c>
      <c r="F5" s="244" t="s">
        <v>743</v>
      </c>
      <c r="G5" s="246" t="s">
        <v>744</v>
      </c>
    </row>
    <row r="6" spans="2:7" ht="15.75" thickBot="1">
      <c r="B6" s="243"/>
      <c r="C6" s="245"/>
      <c r="D6" s="245"/>
      <c r="E6" s="157" t="s">
        <v>742</v>
      </c>
      <c r="F6" s="245"/>
      <c r="G6" s="247"/>
    </row>
    <row r="7" spans="2:7" ht="15.75" thickBot="1">
      <c r="B7" s="158" t="s">
        <v>745</v>
      </c>
      <c r="C7" s="159">
        <v>5</v>
      </c>
      <c r="D7" s="159" t="s">
        <v>746</v>
      </c>
      <c r="E7" s="159" t="s">
        <v>747</v>
      </c>
      <c r="F7" s="159" t="s">
        <v>748</v>
      </c>
      <c r="G7" s="160" t="s">
        <v>744</v>
      </c>
    </row>
    <row r="8" spans="2:7" ht="15.75" thickBot="1">
      <c r="B8" s="161" t="s">
        <v>749</v>
      </c>
      <c r="C8" s="159">
        <v>7.03</v>
      </c>
      <c r="D8" s="159" t="s">
        <v>750</v>
      </c>
      <c r="E8" s="159" t="s">
        <v>751</v>
      </c>
      <c r="F8" s="162" t="s">
        <v>744</v>
      </c>
      <c r="G8" s="160" t="s">
        <v>744</v>
      </c>
    </row>
    <row r="9" spans="2:7" ht="15.75" thickBot="1">
      <c r="B9" s="163" t="s">
        <v>752</v>
      </c>
      <c r="C9" s="159">
        <v>1.0900000000000001</v>
      </c>
      <c r="D9" s="159" t="s">
        <v>750</v>
      </c>
      <c r="E9" s="159" t="s">
        <v>753</v>
      </c>
      <c r="F9" s="160" t="s">
        <v>744</v>
      </c>
      <c r="G9" s="160" t="s">
        <v>744</v>
      </c>
    </row>
    <row r="10" spans="2:7">
      <c r="B10" s="242" t="s">
        <v>754</v>
      </c>
      <c r="C10" s="244">
        <v>4</v>
      </c>
      <c r="D10" s="244" t="s">
        <v>740</v>
      </c>
      <c r="E10" s="156" t="s">
        <v>741</v>
      </c>
      <c r="F10" s="244" t="s">
        <v>743</v>
      </c>
      <c r="G10" s="246" t="s">
        <v>744</v>
      </c>
    </row>
    <row r="11" spans="2:7" ht="15.75" thickBot="1">
      <c r="B11" s="243"/>
      <c r="C11" s="245"/>
      <c r="D11" s="245"/>
      <c r="E11" s="157" t="s">
        <v>742</v>
      </c>
      <c r="F11" s="245"/>
      <c r="G11" s="247"/>
    </row>
    <row r="12" spans="2:7" ht="15.75" thickBot="1">
      <c r="B12" s="161" t="s">
        <v>755</v>
      </c>
      <c r="C12" s="159">
        <v>2.1</v>
      </c>
      <c r="D12" s="159" t="s">
        <v>756</v>
      </c>
      <c r="E12" s="159" t="s">
        <v>757</v>
      </c>
      <c r="F12" s="159" t="s">
        <v>758</v>
      </c>
      <c r="G12" s="159" t="s">
        <v>759</v>
      </c>
    </row>
    <row r="13" spans="2:7" ht="15.75" thickBot="1">
      <c r="B13" s="161" t="s">
        <v>760</v>
      </c>
      <c r="C13" s="159">
        <v>1</v>
      </c>
      <c r="D13" s="159" t="s">
        <v>756</v>
      </c>
      <c r="E13" s="159" t="s">
        <v>757</v>
      </c>
      <c r="F13" s="159" t="s">
        <v>758</v>
      </c>
      <c r="G13" s="159" t="s">
        <v>759</v>
      </c>
    </row>
    <row r="14" spans="2:7" ht="15.75" thickBot="1">
      <c r="B14" s="161" t="s">
        <v>761</v>
      </c>
      <c r="C14" s="159">
        <v>1.5</v>
      </c>
      <c r="D14" s="159" t="s">
        <v>756</v>
      </c>
      <c r="E14" s="159" t="s">
        <v>762</v>
      </c>
      <c r="F14" s="162" t="s">
        <v>744</v>
      </c>
      <c r="G14" s="162" t="s">
        <v>744</v>
      </c>
    </row>
    <row r="15" spans="2:7" ht="15.75" thickBot="1">
      <c r="B15" s="161" t="s">
        <v>763</v>
      </c>
      <c r="C15" s="159">
        <v>3</v>
      </c>
      <c r="D15" s="159" t="s">
        <v>756</v>
      </c>
      <c r="E15" s="159" t="s">
        <v>764</v>
      </c>
      <c r="F15" s="162" t="s">
        <v>744</v>
      </c>
      <c r="G15" s="162" t="s">
        <v>744</v>
      </c>
    </row>
    <row r="16" spans="2:7" ht="15.75" thickBot="1">
      <c r="B16" s="161" t="s">
        <v>765</v>
      </c>
      <c r="C16" s="159">
        <v>2.2000000000000002</v>
      </c>
      <c r="D16" s="159" t="s">
        <v>756</v>
      </c>
      <c r="E16" s="159" t="s">
        <v>764</v>
      </c>
      <c r="F16" s="159" t="s">
        <v>758</v>
      </c>
      <c r="G16" s="159" t="s">
        <v>759</v>
      </c>
    </row>
    <row r="17" spans="2:7" ht="15.75" thickBot="1">
      <c r="B17" s="163" t="s">
        <v>766</v>
      </c>
      <c r="C17" s="159">
        <v>1</v>
      </c>
      <c r="D17" s="159" t="s">
        <v>756</v>
      </c>
      <c r="E17" s="159" t="s">
        <v>764</v>
      </c>
      <c r="F17" s="164" t="s">
        <v>744</v>
      </c>
      <c r="G17" s="164" t="s">
        <v>744</v>
      </c>
    </row>
    <row r="18" spans="2:7" ht="15.75" thickBot="1">
      <c r="B18" s="165" t="s">
        <v>767</v>
      </c>
      <c r="C18" s="159">
        <v>2.2000000000000002</v>
      </c>
      <c r="D18" s="159" t="s">
        <v>768</v>
      </c>
      <c r="E18" s="159" t="s">
        <v>757</v>
      </c>
      <c r="F18" s="159" t="s">
        <v>769</v>
      </c>
      <c r="G18" s="159" t="s">
        <v>770</v>
      </c>
    </row>
    <row r="19" spans="2:7" ht="15.75" thickBot="1">
      <c r="B19" s="167" t="s">
        <v>771</v>
      </c>
      <c r="C19" s="159">
        <v>3.2</v>
      </c>
      <c r="D19" s="159" t="s">
        <v>768</v>
      </c>
      <c r="E19" s="159" t="s">
        <v>772</v>
      </c>
      <c r="F19" s="159" t="s">
        <v>758</v>
      </c>
      <c r="G19" s="159" t="s">
        <v>773</v>
      </c>
    </row>
    <row r="20" spans="2:7" ht="15.75" thickBot="1">
      <c r="B20" s="161" t="s">
        <v>774</v>
      </c>
      <c r="C20" s="159">
        <v>1</v>
      </c>
      <c r="D20" s="159" t="s">
        <v>775</v>
      </c>
      <c r="E20" s="159" t="s">
        <v>776</v>
      </c>
      <c r="F20" s="159" t="s">
        <v>758</v>
      </c>
      <c r="G20" s="159" t="s">
        <v>759</v>
      </c>
    </row>
    <row r="21" spans="2:7" ht="15.75" thickBot="1">
      <c r="B21" s="167" t="s">
        <v>777</v>
      </c>
      <c r="C21" s="159">
        <v>3.03</v>
      </c>
      <c r="D21" s="159" t="s">
        <v>768</v>
      </c>
      <c r="E21" s="159" t="s">
        <v>776</v>
      </c>
      <c r="F21" s="168" t="s">
        <v>778</v>
      </c>
      <c r="G21" s="159" t="s">
        <v>779</v>
      </c>
    </row>
    <row r="22" spans="2:7" ht="15.75" thickBot="1">
      <c r="B22" s="167" t="s">
        <v>780</v>
      </c>
      <c r="C22" s="159">
        <v>1</v>
      </c>
      <c r="D22" s="159" t="s">
        <v>781</v>
      </c>
      <c r="E22" s="159" t="s">
        <v>782</v>
      </c>
      <c r="F22" s="159" t="s">
        <v>769</v>
      </c>
      <c r="G22" s="160" t="s">
        <v>744</v>
      </c>
    </row>
    <row r="23" spans="2:7" ht="26.25" thickBot="1">
      <c r="B23" s="167" t="s">
        <v>783</v>
      </c>
      <c r="C23" s="159">
        <v>6.1</v>
      </c>
      <c r="D23" s="159" t="s">
        <v>768</v>
      </c>
      <c r="E23" s="159" t="s">
        <v>757</v>
      </c>
      <c r="F23" s="159" t="s">
        <v>758</v>
      </c>
      <c r="G23" s="159" t="s">
        <v>770</v>
      </c>
    </row>
    <row r="24" spans="2:7" ht="15.75" thickBot="1">
      <c r="B24" s="167" t="s">
        <v>784</v>
      </c>
      <c r="C24" s="159">
        <v>1.04</v>
      </c>
      <c r="D24" s="159" t="s">
        <v>775</v>
      </c>
      <c r="E24" s="159" t="s">
        <v>785</v>
      </c>
      <c r="F24" s="168" t="s">
        <v>778</v>
      </c>
      <c r="G24" s="159" t="s">
        <v>779</v>
      </c>
    </row>
    <row r="25" spans="2:7" ht="15.75" thickBot="1">
      <c r="B25" s="167" t="s">
        <v>786</v>
      </c>
      <c r="C25" s="159">
        <v>3.01</v>
      </c>
      <c r="D25" s="159" t="s">
        <v>787</v>
      </c>
      <c r="E25" s="159" t="s">
        <v>788</v>
      </c>
      <c r="F25" s="168" t="s">
        <v>778</v>
      </c>
      <c r="G25" s="159" t="s">
        <v>789</v>
      </c>
    </row>
    <row r="26" spans="2:7" ht="26.25" thickBot="1">
      <c r="B26" s="167" t="s">
        <v>790</v>
      </c>
      <c r="C26" s="159">
        <v>1.07</v>
      </c>
      <c r="D26" s="159" t="s">
        <v>787</v>
      </c>
      <c r="E26" s="159" t="s">
        <v>788</v>
      </c>
      <c r="F26" s="159" t="s">
        <v>791</v>
      </c>
      <c r="G26" s="159" t="s">
        <v>779</v>
      </c>
    </row>
    <row r="27" spans="2:7" ht="15.75" thickBot="1">
      <c r="B27" s="161" t="s">
        <v>792</v>
      </c>
      <c r="C27" s="159">
        <v>1.2</v>
      </c>
      <c r="D27" s="159" t="s">
        <v>787</v>
      </c>
      <c r="E27" s="159" t="s">
        <v>772</v>
      </c>
      <c r="F27" s="159" t="s">
        <v>758</v>
      </c>
      <c r="G27" s="159" t="s">
        <v>773</v>
      </c>
    </row>
    <row r="28" spans="2:7" ht="15.75" thickBot="1">
      <c r="B28" s="167" t="s">
        <v>793</v>
      </c>
      <c r="C28" s="159">
        <v>1.04</v>
      </c>
      <c r="D28" s="159" t="s">
        <v>787</v>
      </c>
      <c r="E28" s="159" t="s">
        <v>757</v>
      </c>
      <c r="F28" s="159" t="s">
        <v>769</v>
      </c>
      <c r="G28" s="159" t="s">
        <v>770</v>
      </c>
    </row>
    <row r="29" spans="2:7" ht="26.25" thickBot="1">
      <c r="B29" s="170" t="s">
        <v>794</v>
      </c>
      <c r="C29" s="166">
        <v>1</v>
      </c>
      <c r="D29" s="166" t="s">
        <v>750</v>
      </c>
      <c r="E29" s="166" t="s">
        <v>764</v>
      </c>
      <c r="F29" s="166" t="s">
        <v>758</v>
      </c>
      <c r="G29" s="166" t="s">
        <v>759</v>
      </c>
    </row>
    <row r="30" spans="2:7" ht="15.75" thickBot="1">
      <c r="B30" s="167" t="s">
        <v>795</v>
      </c>
      <c r="C30" s="159">
        <v>4</v>
      </c>
      <c r="D30" s="159" t="s">
        <v>750</v>
      </c>
      <c r="E30" s="159" t="s">
        <v>764</v>
      </c>
      <c r="F30" s="168" t="s">
        <v>796</v>
      </c>
      <c r="G30" s="159" t="s">
        <v>759</v>
      </c>
    </row>
    <row r="31" spans="2:7" ht="26.25" thickBot="1">
      <c r="B31" s="161" t="s">
        <v>797</v>
      </c>
      <c r="C31" s="159">
        <v>3.1</v>
      </c>
      <c r="D31" s="159" t="s">
        <v>768</v>
      </c>
      <c r="E31" s="159" t="s">
        <v>772</v>
      </c>
      <c r="F31" s="159" t="s">
        <v>758</v>
      </c>
      <c r="G31" s="159" t="s">
        <v>773</v>
      </c>
    </row>
    <row r="32" spans="2:7" ht="15.75" thickBot="1">
      <c r="B32" s="167" t="s">
        <v>798</v>
      </c>
      <c r="C32" s="159">
        <v>1.04</v>
      </c>
      <c r="D32" s="159" t="s">
        <v>799</v>
      </c>
      <c r="E32" s="159" t="s">
        <v>785</v>
      </c>
      <c r="F32" s="159" t="s">
        <v>758</v>
      </c>
      <c r="G32" s="159" t="s">
        <v>800</v>
      </c>
    </row>
    <row r="33" spans="2:7" ht="15.75" thickBot="1">
      <c r="B33" s="161" t="s">
        <v>801</v>
      </c>
      <c r="C33" s="159">
        <v>1</v>
      </c>
      <c r="D33" s="159" t="s">
        <v>799</v>
      </c>
      <c r="E33" s="159" t="s">
        <v>802</v>
      </c>
      <c r="F33" s="168" t="s">
        <v>796</v>
      </c>
      <c r="G33" s="159" t="s">
        <v>779</v>
      </c>
    </row>
    <row r="34" spans="2:7" ht="15.75" thickBot="1">
      <c r="B34" s="167" t="s">
        <v>803</v>
      </c>
      <c r="C34" s="159">
        <v>1.04</v>
      </c>
      <c r="D34" s="159" t="s">
        <v>775</v>
      </c>
      <c r="E34" s="159" t="s">
        <v>785</v>
      </c>
      <c r="F34" s="168" t="s">
        <v>796</v>
      </c>
      <c r="G34" s="159" t="s">
        <v>779</v>
      </c>
    </row>
    <row r="35" spans="2:7" ht="15.75" thickBot="1">
      <c r="B35" s="161" t="s">
        <v>804</v>
      </c>
      <c r="C35" s="159">
        <v>2.2000000000000002</v>
      </c>
      <c r="D35" s="159" t="s">
        <v>787</v>
      </c>
      <c r="E35" s="159" t="s">
        <v>772</v>
      </c>
      <c r="F35" s="159" t="s">
        <v>758</v>
      </c>
      <c r="G35" s="159" t="s">
        <v>773</v>
      </c>
    </row>
    <row r="36" spans="2:7" ht="15.75" thickBot="1">
      <c r="B36" s="161" t="s">
        <v>805</v>
      </c>
      <c r="C36" s="159">
        <v>1</v>
      </c>
      <c r="D36" s="159" t="s">
        <v>787</v>
      </c>
      <c r="E36" s="159" t="s">
        <v>806</v>
      </c>
      <c r="F36" s="159" t="s">
        <v>758</v>
      </c>
      <c r="G36" s="159" t="s">
        <v>773</v>
      </c>
    </row>
    <row r="37" spans="2:7" ht="15.75" thickBot="1">
      <c r="B37" s="167" t="s">
        <v>807</v>
      </c>
      <c r="C37" s="159">
        <v>4</v>
      </c>
      <c r="D37" s="159" t="s">
        <v>768</v>
      </c>
      <c r="E37" s="159" t="s">
        <v>788</v>
      </c>
      <c r="F37" s="168" t="s">
        <v>796</v>
      </c>
      <c r="G37" s="159" t="s">
        <v>789</v>
      </c>
    </row>
    <row r="38" spans="2:7" ht="15.75" thickBot="1">
      <c r="B38" s="167" t="s">
        <v>808</v>
      </c>
      <c r="C38" s="159">
        <v>3.07</v>
      </c>
      <c r="D38" s="159" t="s">
        <v>768</v>
      </c>
      <c r="E38" s="159" t="s">
        <v>757</v>
      </c>
      <c r="F38" s="159" t="s">
        <v>758</v>
      </c>
      <c r="G38" s="159" t="s">
        <v>759</v>
      </c>
    </row>
    <row r="39" spans="2:7" ht="15.75" thickBot="1">
      <c r="B39" s="171" t="s">
        <v>809</v>
      </c>
      <c r="C39" s="166">
        <v>5</v>
      </c>
      <c r="D39" s="166" t="s">
        <v>787</v>
      </c>
      <c r="E39" s="166" t="s">
        <v>788</v>
      </c>
      <c r="F39" s="169" t="s">
        <v>796</v>
      </c>
      <c r="G39" s="166" t="s">
        <v>810</v>
      </c>
    </row>
    <row r="40" spans="2:7" ht="15.75" thickBot="1">
      <c r="B40" s="167" t="s">
        <v>811</v>
      </c>
      <c r="C40" s="159">
        <v>1.1000000000000001</v>
      </c>
      <c r="D40" s="159" t="s">
        <v>787</v>
      </c>
      <c r="E40" s="159" t="s">
        <v>788</v>
      </c>
      <c r="F40" s="168" t="s">
        <v>796</v>
      </c>
      <c r="G40" s="159" t="s">
        <v>789</v>
      </c>
    </row>
    <row r="41" spans="2:7" ht="26.25" thickBot="1">
      <c r="B41" s="161" t="s">
        <v>812</v>
      </c>
      <c r="C41" s="159">
        <v>2.0499999999999998</v>
      </c>
      <c r="D41" s="159" t="s">
        <v>756</v>
      </c>
      <c r="E41" s="159" t="s">
        <v>813</v>
      </c>
      <c r="F41" s="160" t="s">
        <v>744</v>
      </c>
      <c r="G41" s="160" t="s">
        <v>744</v>
      </c>
    </row>
    <row r="42" spans="2:7" ht="15.75" thickBot="1">
      <c r="B42" s="161" t="s">
        <v>814</v>
      </c>
      <c r="C42" s="159">
        <v>1.1000000000000001</v>
      </c>
      <c r="D42" s="159" t="s">
        <v>775</v>
      </c>
      <c r="E42" s="159" t="s">
        <v>815</v>
      </c>
      <c r="F42" s="168" t="s">
        <v>796</v>
      </c>
      <c r="G42" s="159" t="s">
        <v>779</v>
      </c>
    </row>
    <row r="43" spans="2:7" ht="26.25" thickBot="1">
      <c r="B43" s="167" t="s">
        <v>816</v>
      </c>
      <c r="C43" s="159">
        <v>3.1</v>
      </c>
      <c r="D43" s="159" t="s">
        <v>768</v>
      </c>
      <c r="E43" s="159" t="s">
        <v>776</v>
      </c>
      <c r="F43" s="159" t="s">
        <v>758</v>
      </c>
      <c r="G43" s="159" t="s">
        <v>800</v>
      </c>
    </row>
    <row r="44" spans="2:7" ht="15.75" thickBot="1">
      <c r="B44" s="158" t="s">
        <v>817</v>
      </c>
      <c r="C44" s="159">
        <v>2.1</v>
      </c>
      <c r="D44" s="159" t="s">
        <v>818</v>
      </c>
      <c r="E44" s="159" t="s">
        <v>819</v>
      </c>
      <c r="F44" s="159" t="s">
        <v>820</v>
      </c>
      <c r="G44" s="159" t="s">
        <v>821</v>
      </c>
    </row>
    <row r="45" spans="2:7" ht="15.75" thickBot="1">
      <c r="B45" s="167" t="s">
        <v>822</v>
      </c>
      <c r="C45" s="159">
        <v>4.5999999999999996</v>
      </c>
      <c r="D45" s="159" t="s">
        <v>781</v>
      </c>
      <c r="E45" s="159" t="s">
        <v>782</v>
      </c>
      <c r="F45" s="159" t="s">
        <v>769</v>
      </c>
      <c r="G45" s="159" t="s">
        <v>810</v>
      </c>
    </row>
    <row r="46" spans="2:7" ht="15.75" thickBot="1">
      <c r="B46" s="167" t="s">
        <v>823</v>
      </c>
      <c r="C46" s="159">
        <v>1</v>
      </c>
      <c r="D46" s="159" t="s">
        <v>824</v>
      </c>
      <c r="E46" s="172" t="s">
        <v>829</v>
      </c>
      <c r="F46" s="159" t="s">
        <v>493</v>
      </c>
      <c r="G46" s="172" t="s">
        <v>830</v>
      </c>
    </row>
    <row r="47" spans="2:7" ht="15.75" thickBot="1">
      <c r="B47" s="161" t="s">
        <v>825</v>
      </c>
      <c r="C47" s="159">
        <v>5.2</v>
      </c>
      <c r="D47" s="159" t="s">
        <v>768</v>
      </c>
      <c r="E47" s="159" t="s">
        <v>826</v>
      </c>
      <c r="F47" s="159" t="s">
        <v>827</v>
      </c>
      <c r="G47" s="159" t="s">
        <v>759</v>
      </c>
    </row>
    <row r="48" spans="2:7" ht="15.75" thickBot="1">
      <c r="B48" s="158" t="s">
        <v>828</v>
      </c>
      <c r="C48" s="159">
        <v>1.1000000000000001</v>
      </c>
      <c r="D48" s="159" t="s">
        <v>775</v>
      </c>
      <c r="E48" s="159" t="s">
        <v>815</v>
      </c>
      <c r="F48" s="159" t="s">
        <v>769</v>
      </c>
      <c r="G48" s="159" t="s">
        <v>779</v>
      </c>
    </row>
  </sheetData>
  <mergeCells count="11">
    <mergeCell ref="G5:G6"/>
    <mergeCell ref="B3:B4"/>
    <mergeCell ref="B5:B6"/>
    <mergeCell ref="C5:C6"/>
    <mergeCell ref="D5:D6"/>
    <mergeCell ref="F5:F6"/>
    <mergeCell ref="B10:B11"/>
    <mergeCell ref="C10:C11"/>
    <mergeCell ref="D10:D11"/>
    <mergeCell ref="F10:F11"/>
    <mergeCell ref="G10:G11"/>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sheetPr codeName="Sheet14"/>
  <dimension ref="A2:K60"/>
  <sheetViews>
    <sheetView zoomScale="85" zoomScaleNormal="85" workbookViewId="0">
      <selection activeCell="H49" sqref="H49"/>
    </sheetView>
  </sheetViews>
  <sheetFormatPr defaultRowHeight="15"/>
  <cols>
    <col min="2" max="2" width="35.85546875" customWidth="1"/>
    <col min="3" max="3" width="47.85546875" customWidth="1"/>
    <col min="4" max="4" width="10.42578125" customWidth="1"/>
    <col min="5" max="6" width="28.5703125" customWidth="1"/>
    <col min="7" max="7" width="21.7109375" customWidth="1"/>
    <col min="8" max="8" width="13.28515625" customWidth="1"/>
    <col min="9" max="10" width="14" customWidth="1"/>
    <col min="11" max="11" width="22.85546875" customWidth="1"/>
  </cols>
  <sheetData>
    <row r="2" spans="1:11" ht="15.75" thickBot="1"/>
    <row r="3" spans="1:11">
      <c r="A3" s="178" t="s">
        <v>642</v>
      </c>
      <c r="B3" s="178" t="s">
        <v>729</v>
      </c>
      <c r="C3" s="178" t="s">
        <v>845</v>
      </c>
      <c r="D3" s="178" t="s">
        <v>844</v>
      </c>
      <c r="E3" s="178" t="s">
        <v>846</v>
      </c>
      <c r="F3" s="178" t="s">
        <v>847</v>
      </c>
      <c r="G3" s="178" t="s">
        <v>843</v>
      </c>
      <c r="H3" s="178" t="s">
        <v>655</v>
      </c>
      <c r="I3" s="178" t="s">
        <v>849</v>
      </c>
      <c r="J3" s="178" t="s">
        <v>642</v>
      </c>
      <c r="K3" s="178" t="s">
        <v>850</v>
      </c>
    </row>
    <row r="4" spans="1:11" ht="15.75" thickBot="1">
      <c r="A4" s="179"/>
      <c r="B4" s="181"/>
      <c r="C4" s="179" t="s">
        <v>854</v>
      </c>
      <c r="D4" s="179" t="s">
        <v>731</v>
      </c>
      <c r="E4" s="179" t="s">
        <v>733</v>
      </c>
      <c r="F4" s="179" t="s">
        <v>842</v>
      </c>
      <c r="G4" s="179" t="s">
        <v>852</v>
      </c>
      <c r="H4" s="179" t="s">
        <v>848</v>
      </c>
      <c r="I4" s="179" t="s">
        <v>656</v>
      </c>
      <c r="J4" s="179" t="s">
        <v>864</v>
      </c>
      <c r="K4" s="179" t="s">
        <v>851</v>
      </c>
    </row>
    <row r="5" spans="1:11" ht="15.75" thickBot="1">
      <c r="A5" s="177">
        <v>1</v>
      </c>
      <c r="B5" s="180" t="s">
        <v>739</v>
      </c>
      <c r="C5" s="180"/>
      <c r="D5" s="177">
        <v>1.1000000000000001</v>
      </c>
      <c r="E5" s="177" t="s">
        <v>740</v>
      </c>
      <c r="F5" s="183" t="s">
        <v>840</v>
      </c>
      <c r="G5" s="185" t="s">
        <v>865</v>
      </c>
      <c r="H5" s="184"/>
      <c r="I5" s="177"/>
      <c r="J5" s="177"/>
      <c r="K5" s="177"/>
    </row>
    <row r="6" spans="1:11" ht="15.75" thickBot="1">
      <c r="A6" s="159">
        <v>2</v>
      </c>
      <c r="B6" s="174" t="s">
        <v>745</v>
      </c>
      <c r="C6" s="174"/>
      <c r="D6" s="159">
        <v>5</v>
      </c>
      <c r="E6" s="159" t="s">
        <v>746</v>
      </c>
      <c r="F6" s="159" t="s">
        <v>747</v>
      </c>
      <c r="G6" s="185" t="s">
        <v>865</v>
      </c>
      <c r="H6" s="159"/>
      <c r="I6" s="159"/>
      <c r="J6" s="159"/>
      <c r="K6" s="159"/>
    </row>
    <row r="7" spans="1:11" ht="15.75" thickBot="1">
      <c r="A7" s="159">
        <v>3</v>
      </c>
      <c r="B7" s="174" t="s">
        <v>749</v>
      </c>
      <c r="C7" s="174"/>
      <c r="D7" s="159">
        <v>7.03</v>
      </c>
      <c r="E7" s="159" t="s">
        <v>750</v>
      </c>
      <c r="F7" s="159" t="s">
        <v>751</v>
      </c>
      <c r="G7" s="185" t="s">
        <v>865</v>
      </c>
      <c r="H7" s="159"/>
      <c r="I7" s="159"/>
      <c r="J7" s="159"/>
      <c r="K7" s="159"/>
    </row>
    <row r="8" spans="1:11" ht="15.75" thickBot="1">
      <c r="A8" s="159">
        <v>4</v>
      </c>
      <c r="B8" s="174" t="s">
        <v>752</v>
      </c>
      <c r="C8" s="176" t="s">
        <v>855</v>
      </c>
      <c r="D8" s="159">
        <v>1.0900000000000001</v>
      </c>
      <c r="E8" s="159" t="s">
        <v>750</v>
      </c>
      <c r="F8" s="159" t="s">
        <v>753</v>
      </c>
      <c r="G8" s="185">
        <v>1.23</v>
      </c>
      <c r="H8" s="159" t="s">
        <v>853</v>
      </c>
      <c r="I8" s="159" t="s">
        <v>853</v>
      </c>
      <c r="J8" s="159" t="s">
        <v>853</v>
      </c>
      <c r="K8" s="159" t="s">
        <v>853</v>
      </c>
    </row>
    <row r="9" spans="1:11" ht="15.75" thickBot="1">
      <c r="A9" s="173">
        <v>5</v>
      </c>
      <c r="B9" s="174" t="s">
        <v>754</v>
      </c>
      <c r="C9" s="174"/>
      <c r="D9" s="173">
        <v>4</v>
      </c>
      <c r="E9" s="173" t="s">
        <v>740</v>
      </c>
      <c r="F9" s="173" t="s">
        <v>841</v>
      </c>
      <c r="G9" s="185" t="s">
        <v>865</v>
      </c>
      <c r="H9" s="159"/>
      <c r="I9" s="159"/>
      <c r="J9" s="159"/>
      <c r="K9" s="159"/>
    </row>
    <row r="10" spans="1:11" ht="15.75" thickBot="1">
      <c r="A10" s="159">
        <v>6</v>
      </c>
      <c r="B10" s="174" t="s">
        <v>755</v>
      </c>
      <c r="C10" s="174"/>
      <c r="D10" s="159">
        <v>2.1</v>
      </c>
      <c r="E10" s="159" t="s">
        <v>756</v>
      </c>
      <c r="F10" s="159" t="s">
        <v>757</v>
      </c>
      <c r="G10" s="185" t="s">
        <v>865</v>
      </c>
      <c r="H10" s="159"/>
      <c r="I10" s="159"/>
      <c r="J10" s="159"/>
      <c r="K10" s="159"/>
    </row>
    <row r="11" spans="1:11" ht="15.75" thickBot="1">
      <c r="A11" s="159">
        <v>7</v>
      </c>
      <c r="B11" s="174" t="s">
        <v>760</v>
      </c>
      <c r="C11" s="174"/>
      <c r="D11" s="159">
        <v>1</v>
      </c>
      <c r="E11" s="159" t="s">
        <v>756</v>
      </c>
      <c r="F11" s="159" t="s">
        <v>757</v>
      </c>
      <c r="G11" s="185"/>
      <c r="H11" s="159"/>
      <c r="I11" s="159"/>
      <c r="J11" s="159"/>
      <c r="K11" s="159"/>
    </row>
    <row r="12" spans="1:11" ht="15.75" thickBot="1">
      <c r="A12" s="159">
        <v>8</v>
      </c>
      <c r="B12" s="174" t="s">
        <v>761</v>
      </c>
      <c r="C12" s="174"/>
      <c r="D12" s="159">
        <v>1.5</v>
      </c>
      <c r="E12" s="159" t="s">
        <v>756</v>
      </c>
      <c r="F12" s="159" t="s">
        <v>762</v>
      </c>
      <c r="G12" s="185"/>
      <c r="H12" s="159"/>
      <c r="I12" s="159"/>
      <c r="J12" s="159"/>
      <c r="K12" s="159"/>
    </row>
    <row r="13" spans="1:11" ht="15.75" thickBot="1">
      <c r="A13" s="159">
        <v>9</v>
      </c>
      <c r="B13" s="174" t="s">
        <v>763</v>
      </c>
      <c r="C13" s="176" t="s">
        <v>856</v>
      </c>
      <c r="D13" s="159">
        <v>3</v>
      </c>
      <c r="E13" s="159" t="s">
        <v>756</v>
      </c>
      <c r="F13" s="159" t="s">
        <v>764</v>
      </c>
      <c r="G13" s="185">
        <v>5.04</v>
      </c>
      <c r="H13" s="159" t="s">
        <v>853</v>
      </c>
      <c r="I13" s="159" t="s">
        <v>853</v>
      </c>
      <c r="J13" s="159" t="s">
        <v>853</v>
      </c>
      <c r="K13" s="159" t="s">
        <v>853</v>
      </c>
    </row>
    <row r="14" spans="1:11" ht="15.75" thickBot="1">
      <c r="A14" s="159">
        <v>10</v>
      </c>
      <c r="B14" s="174" t="s">
        <v>765</v>
      </c>
      <c r="C14" s="176" t="s">
        <v>857</v>
      </c>
      <c r="D14" s="159">
        <v>2.2000000000000002</v>
      </c>
      <c r="E14" s="159" t="s">
        <v>756</v>
      </c>
      <c r="F14" s="159" t="s">
        <v>764</v>
      </c>
      <c r="G14" s="185">
        <v>4.0199999999999996</v>
      </c>
      <c r="H14" s="159" t="s">
        <v>853</v>
      </c>
      <c r="I14" s="159" t="s">
        <v>853</v>
      </c>
      <c r="J14" s="159" t="s">
        <v>853</v>
      </c>
      <c r="K14" s="159" t="s">
        <v>853</v>
      </c>
    </row>
    <row r="15" spans="1:11" ht="15.75" thickBot="1">
      <c r="A15" s="159">
        <v>11</v>
      </c>
      <c r="B15" s="174" t="s">
        <v>766</v>
      </c>
      <c r="C15" s="174"/>
      <c r="D15" s="159">
        <v>1</v>
      </c>
      <c r="E15" s="159" t="s">
        <v>756</v>
      </c>
      <c r="F15" s="159" t="s">
        <v>764</v>
      </c>
      <c r="G15" s="185"/>
      <c r="H15" s="159"/>
      <c r="I15" s="159"/>
      <c r="J15" s="159"/>
      <c r="K15" s="159"/>
    </row>
    <row r="16" spans="1:11" ht="15.75" thickBot="1">
      <c r="A16" s="159">
        <v>12</v>
      </c>
      <c r="B16" s="174" t="s">
        <v>767</v>
      </c>
      <c r="C16" s="174"/>
      <c r="D16" s="159">
        <v>2.2000000000000002</v>
      </c>
      <c r="E16" s="159" t="s">
        <v>768</v>
      </c>
      <c r="F16" s="159" t="s">
        <v>757</v>
      </c>
      <c r="G16" s="185" t="s">
        <v>865</v>
      </c>
      <c r="H16" s="159"/>
      <c r="I16" s="159"/>
      <c r="J16" s="159"/>
      <c r="K16" s="159"/>
    </row>
    <row r="17" spans="1:11" ht="15.75" thickBot="1">
      <c r="A17" s="159">
        <v>13</v>
      </c>
      <c r="B17" s="174" t="s">
        <v>771</v>
      </c>
      <c r="C17" s="174"/>
      <c r="D17" s="159">
        <v>3.2</v>
      </c>
      <c r="E17" s="159" t="s">
        <v>768</v>
      </c>
      <c r="F17" s="159" t="s">
        <v>772</v>
      </c>
      <c r="G17" s="185"/>
      <c r="H17" s="159"/>
      <c r="I17" s="159"/>
      <c r="J17" s="159"/>
      <c r="K17" s="159"/>
    </row>
    <row r="18" spans="1:11" ht="15.75" thickBot="1">
      <c r="A18" s="159">
        <v>14</v>
      </c>
      <c r="B18" s="174" t="s">
        <v>774</v>
      </c>
      <c r="C18" s="174"/>
      <c r="D18" s="159">
        <v>1</v>
      </c>
      <c r="E18" s="159" t="s">
        <v>775</v>
      </c>
      <c r="F18" s="159" t="s">
        <v>776</v>
      </c>
      <c r="G18" s="185"/>
      <c r="H18" s="159"/>
      <c r="I18" s="159"/>
      <c r="J18" s="159"/>
      <c r="K18" s="159"/>
    </row>
    <row r="19" spans="1:11" ht="15.75" thickBot="1">
      <c r="A19" s="159">
        <v>15</v>
      </c>
      <c r="B19" s="174" t="s">
        <v>777</v>
      </c>
      <c r="C19" s="174"/>
      <c r="D19" s="159">
        <v>3.03</v>
      </c>
      <c r="E19" s="159" t="s">
        <v>768</v>
      </c>
      <c r="F19" s="159" t="s">
        <v>776</v>
      </c>
      <c r="G19" s="185"/>
      <c r="H19" s="159"/>
      <c r="I19" s="159"/>
      <c r="J19" s="159"/>
      <c r="K19" s="159"/>
    </row>
    <row r="20" spans="1:11" ht="15.75" thickBot="1">
      <c r="A20" s="159">
        <v>16</v>
      </c>
      <c r="B20" s="174" t="s">
        <v>780</v>
      </c>
      <c r="C20" s="174"/>
      <c r="D20" s="159">
        <v>1</v>
      </c>
      <c r="E20" s="159" t="s">
        <v>781</v>
      </c>
      <c r="F20" s="159" t="s">
        <v>782</v>
      </c>
      <c r="G20" s="185"/>
      <c r="H20" s="159"/>
      <c r="I20" s="159"/>
      <c r="J20" s="159"/>
      <c r="K20" s="159"/>
    </row>
    <row r="21" spans="1:11" ht="15.75" thickBot="1">
      <c r="A21" s="159">
        <v>17</v>
      </c>
      <c r="B21" s="174" t="s">
        <v>783</v>
      </c>
      <c r="C21" s="174"/>
      <c r="D21" s="159">
        <v>6.1</v>
      </c>
      <c r="E21" s="159" t="s">
        <v>768</v>
      </c>
      <c r="F21" s="159" t="s">
        <v>757</v>
      </c>
      <c r="G21" s="185"/>
      <c r="H21" s="159"/>
      <c r="I21" s="159"/>
      <c r="J21" s="159"/>
      <c r="K21" s="159"/>
    </row>
    <row r="22" spans="1:11" ht="15.75" thickBot="1">
      <c r="A22" s="159">
        <v>18</v>
      </c>
      <c r="B22" s="174" t="s">
        <v>784</v>
      </c>
      <c r="C22" s="174"/>
      <c r="D22" s="159">
        <v>1.04</v>
      </c>
      <c r="E22" s="159" t="s">
        <v>775</v>
      </c>
      <c r="F22" s="159" t="s">
        <v>785</v>
      </c>
      <c r="G22" s="185"/>
      <c r="H22" s="159"/>
      <c r="I22" s="159"/>
      <c r="J22" s="159"/>
      <c r="K22" s="159"/>
    </row>
    <row r="23" spans="1:11" ht="15.75" thickBot="1">
      <c r="A23" s="159">
        <v>19</v>
      </c>
      <c r="B23" s="174" t="s">
        <v>786</v>
      </c>
      <c r="C23" s="174"/>
      <c r="D23" s="159">
        <v>3.01</v>
      </c>
      <c r="E23" s="159" t="s">
        <v>787</v>
      </c>
      <c r="F23" s="159" t="s">
        <v>788</v>
      </c>
      <c r="G23" s="185"/>
      <c r="H23" s="159"/>
      <c r="I23" s="159"/>
      <c r="J23" s="159"/>
      <c r="K23" s="159"/>
    </row>
    <row r="24" spans="1:11" ht="15.75" thickBot="1">
      <c r="A24" s="159">
        <v>20</v>
      </c>
      <c r="B24" s="174" t="s">
        <v>790</v>
      </c>
      <c r="C24" s="174"/>
      <c r="D24" s="159">
        <v>1.07</v>
      </c>
      <c r="E24" s="159" t="s">
        <v>787</v>
      </c>
      <c r="F24" s="159" t="s">
        <v>788</v>
      </c>
      <c r="G24" s="185"/>
      <c r="H24" s="159"/>
      <c r="I24" s="159"/>
      <c r="J24" s="159"/>
      <c r="K24" s="159"/>
    </row>
    <row r="25" spans="1:11" ht="15.75" thickBot="1">
      <c r="A25" s="159">
        <v>21</v>
      </c>
      <c r="B25" s="174" t="s">
        <v>792</v>
      </c>
      <c r="C25" s="174"/>
      <c r="D25" s="159">
        <v>1.2</v>
      </c>
      <c r="E25" s="159" t="s">
        <v>787</v>
      </c>
      <c r="F25" s="159" t="s">
        <v>772</v>
      </c>
      <c r="G25" s="185"/>
      <c r="H25" s="159"/>
      <c r="I25" s="159"/>
      <c r="J25" s="159"/>
      <c r="K25" s="159"/>
    </row>
    <row r="26" spans="1:11" ht="15.75" thickBot="1">
      <c r="A26" s="159">
        <v>22</v>
      </c>
      <c r="B26" s="174" t="s">
        <v>793</v>
      </c>
      <c r="C26" s="174"/>
      <c r="D26" s="159">
        <v>1.04</v>
      </c>
      <c r="E26" s="159" t="s">
        <v>787</v>
      </c>
      <c r="F26" s="159" t="s">
        <v>757</v>
      </c>
      <c r="G26" s="185"/>
      <c r="H26" s="159"/>
      <c r="I26" s="159"/>
      <c r="J26" s="159"/>
      <c r="K26" s="159"/>
    </row>
    <row r="27" spans="1:11" ht="15.75" thickBot="1">
      <c r="A27" s="159">
        <v>23</v>
      </c>
      <c r="B27" s="174" t="s">
        <v>794</v>
      </c>
      <c r="C27" s="174"/>
      <c r="D27" s="159">
        <v>1</v>
      </c>
      <c r="E27" s="159" t="s">
        <v>750</v>
      </c>
      <c r="F27" s="159" t="s">
        <v>764</v>
      </c>
      <c r="G27" s="185"/>
      <c r="H27" s="159"/>
      <c r="I27" s="159"/>
      <c r="J27" s="159"/>
      <c r="K27" s="159"/>
    </row>
    <row r="28" spans="1:11" ht="15.75" thickBot="1">
      <c r="A28" s="159">
        <v>24</v>
      </c>
      <c r="B28" s="174" t="s">
        <v>795</v>
      </c>
      <c r="C28" s="174"/>
      <c r="D28" s="159">
        <v>4</v>
      </c>
      <c r="E28" s="159" t="s">
        <v>750</v>
      </c>
      <c r="F28" s="159" t="s">
        <v>764</v>
      </c>
      <c r="G28" s="185"/>
      <c r="H28" s="159"/>
      <c r="I28" s="159"/>
      <c r="J28" s="159"/>
      <c r="K28" s="159"/>
    </row>
    <row r="29" spans="1:11" ht="15.75" thickBot="1">
      <c r="A29" s="159">
        <v>25</v>
      </c>
      <c r="B29" s="174" t="s">
        <v>797</v>
      </c>
      <c r="C29" s="174"/>
      <c r="D29" s="159">
        <v>3.1</v>
      </c>
      <c r="E29" s="159" t="s">
        <v>768</v>
      </c>
      <c r="F29" s="159" t="s">
        <v>772</v>
      </c>
      <c r="G29" s="185"/>
      <c r="H29" s="159"/>
      <c r="I29" s="159"/>
      <c r="J29" s="159"/>
      <c r="K29" s="159"/>
    </row>
    <row r="30" spans="1:11" ht="15.75" thickBot="1">
      <c r="A30" s="159">
        <v>26</v>
      </c>
      <c r="B30" s="174" t="s">
        <v>798</v>
      </c>
      <c r="C30" s="174"/>
      <c r="D30" s="159">
        <v>1.04</v>
      </c>
      <c r="E30" s="159" t="s">
        <v>799</v>
      </c>
      <c r="F30" s="159" t="s">
        <v>785</v>
      </c>
      <c r="G30" s="185"/>
      <c r="H30" s="159"/>
      <c r="I30" s="159"/>
      <c r="J30" s="159"/>
      <c r="K30" s="159"/>
    </row>
    <row r="31" spans="1:11" ht="15.75" thickBot="1">
      <c r="A31" s="159">
        <v>27</v>
      </c>
      <c r="B31" s="174" t="s">
        <v>801</v>
      </c>
      <c r="C31" s="174"/>
      <c r="D31" s="159">
        <v>1</v>
      </c>
      <c r="E31" s="159" t="s">
        <v>799</v>
      </c>
      <c r="F31" s="159" t="s">
        <v>802</v>
      </c>
      <c r="G31" s="185"/>
      <c r="H31" s="159"/>
      <c r="I31" s="159"/>
      <c r="J31" s="159"/>
      <c r="K31" s="159"/>
    </row>
    <row r="32" spans="1:11" ht="15.75" thickBot="1">
      <c r="A32" s="159">
        <v>28</v>
      </c>
      <c r="B32" s="174" t="s">
        <v>803</v>
      </c>
      <c r="C32" s="174"/>
      <c r="D32" s="159">
        <v>1.04</v>
      </c>
      <c r="E32" s="159" t="s">
        <v>775</v>
      </c>
      <c r="F32" s="159" t="s">
        <v>785</v>
      </c>
      <c r="G32" s="185"/>
      <c r="H32" s="159"/>
      <c r="I32" s="159"/>
      <c r="J32" s="159"/>
      <c r="K32" s="159"/>
    </row>
    <row r="33" spans="1:11" ht="15.75" thickBot="1">
      <c r="A33" s="159">
        <v>29</v>
      </c>
      <c r="B33" s="174" t="s">
        <v>804</v>
      </c>
      <c r="C33" s="174"/>
      <c r="D33" s="159">
        <v>2.2000000000000002</v>
      </c>
      <c r="E33" s="159" t="s">
        <v>787</v>
      </c>
      <c r="F33" s="159" t="s">
        <v>772</v>
      </c>
      <c r="G33" s="185"/>
      <c r="H33" s="159"/>
      <c r="I33" s="159"/>
      <c r="J33" s="159"/>
      <c r="K33" s="159"/>
    </row>
    <row r="34" spans="1:11" ht="15.75" thickBot="1">
      <c r="A34" s="159">
        <v>30</v>
      </c>
      <c r="B34" s="174" t="s">
        <v>805</v>
      </c>
      <c r="C34" s="174"/>
      <c r="D34" s="159">
        <v>1</v>
      </c>
      <c r="E34" s="159" t="s">
        <v>787</v>
      </c>
      <c r="F34" s="159" t="s">
        <v>806</v>
      </c>
      <c r="G34" s="185"/>
      <c r="H34" s="159"/>
      <c r="I34" s="159"/>
      <c r="J34" s="159"/>
      <c r="K34" s="159"/>
    </row>
    <row r="35" spans="1:11" ht="15.75" thickBot="1">
      <c r="A35" s="159">
        <v>31</v>
      </c>
      <c r="B35" s="174" t="s">
        <v>807</v>
      </c>
      <c r="C35" s="174"/>
      <c r="D35" s="159">
        <v>4</v>
      </c>
      <c r="E35" s="159" t="s">
        <v>768</v>
      </c>
      <c r="F35" s="159" t="s">
        <v>788</v>
      </c>
      <c r="G35" s="185"/>
      <c r="H35" s="159"/>
      <c r="I35" s="159"/>
      <c r="J35" s="159"/>
      <c r="K35" s="159"/>
    </row>
    <row r="36" spans="1:11" ht="15.75" thickBot="1">
      <c r="A36" s="159">
        <v>32</v>
      </c>
      <c r="B36" s="174" t="s">
        <v>808</v>
      </c>
      <c r="C36" s="174"/>
      <c r="D36" s="159">
        <v>3.07</v>
      </c>
      <c r="E36" s="159" t="s">
        <v>768</v>
      </c>
      <c r="F36" s="159" t="s">
        <v>757</v>
      </c>
      <c r="G36" s="185"/>
      <c r="H36" s="159"/>
      <c r="I36" s="159"/>
      <c r="J36" s="159"/>
      <c r="K36" s="159"/>
    </row>
    <row r="37" spans="1:11" ht="15.75" thickBot="1">
      <c r="A37" s="159">
        <v>33</v>
      </c>
      <c r="B37" s="174" t="s">
        <v>809</v>
      </c>
      <c r="C37" s="174"/>
      <c r="D37" s="159">
        <v>5</v>
      </c>
      <c r="E37" s="159" t="s">
        <v>787</v>
      </c>
      <c r="F37" s="159" t="s">
        <v>788</v>
      </c>
      <c r="G37" s="185"/>
      <c r="H37" s="159"/>
      <c r="I37" s="159"/>
      <c r="J37" s="159"/>
      <c r="K37" s="159"/>
    </row>
    <row r="38" spans="1:11" ht="15.75" thickBot="1">
      <c r="A38" s="159">
        <v>34</v>
      </c>
      <c r="B38" s="174" t="s">
        <v>811</v>
      </c>
      <c r="C38" s="174"/>
      <c r="D38" s="159">
        <v>1.1000000000000001</v>
      </c>
      <c r="E38" s="159" t="s">
        <v>787</v>
      </c>
      <c r="F38" s="159" t="s">
        <v>788</v>
      </c>
      <c r="G38" s="185"/>
      <c r="H38" s="159"/>
      <c r="I38" s="159"/>
      <c r="J38" s="159"/>
      <c r="K38" s="159"/>
    </row>
    <row r="39" spans="1:11" ht="15.75" thickBot="1">
      <c r="A39" s="159">
        <v>35</v>
      </c>
      <c r="B39" s="174" t="s">
        <v>812</v>
      </c>
      <c r="C39" s="174"/>
      <c r="D39" s="159">
        <v>2.0499999999999998</v>
      </c>
      <c r="E39" s="159" t="s">
        <v>756</v>
      </c>
      <c r="F39" s="159" t="s">
        <v>813</v>
      </c>
      <c r="G39" s="185"/>
      <c r="H39" s="159"/>
      <c r="I39" s="159"/>
      <c r="J39" s="159"/>
      <c r="K39" s="159"/>
    </row>
    <row r="40" spans="1:11" ht="15.75" thickBot="1">
      <c r="A40" s="159">
        <v>36</v>
      </c>
      <c r="B40" s="174" t="s">
        <v>814</v>
      </c>
      <c r="C40" s="174"/>
      <c r="D40" s="159">
        <v>1.1000000000000001</v>
      </c>
      <c r="E40" s="159" t="s">
        <v>775</v>
      </c>
      <c r="F40" s="159" t="s">
        <v>815</v>
      </c>
      <c r="G40" s="185"/>
      <c r="H40" s="159"/>
      <c r="I40" s="159"/>
      <c r="J40" s="159"/>
      <c r="K40" s="159"/>
    </row>
    <row r="41" spans="1:11" ht="15.75" thickBot="1">
      <c r="A41" s="159">
        <v>37</v>
      </c>
      <c r="B41" s="174" t="s">
        <v>816</v>
      </c>
      <c r="C41" s="174"/>
      <c r="D41" s="159">
        <v>3.1</v>
      </c>
      <c r="E41" s="159" t="s">
        <v>768</v>
      </c>
      <c r="F41" s="159" t="s">
        <v>776</v>
      </c>
      <c r="G41" s="185"/>
      <c r="H41" s="159"/>
      <c r="I41" s="159"/>
      <c r="J41" s="159"/>
      <c r="K41" s="159"/>
    </row>
    <row r="42" spans="1:11" ht="15.75" thickBot="1">
      <c r="A42" s="159">
        <v>38</v>
      </c>
      <c r="B42" s="174" t="s">
        <v>817</v>
      </c>
      <c r="C42" s="176" t="s">
        <v>861</v>
      </c>
      <c r="D42" s="159">
        <v>2.1</v>
      </c>
      <c r="E42" s="159" t="s">
        <v>818</v>
      </c>
      <c r="F42" s="159" t="s">
        <v>819</v>
      </c>
      <c r="G42" s="185">
        <v>2.2000000000000002</v>
      </c>
      <c r="H42" s="159" t="s">
        <v>853</v>
      </c>
      <c r="I42" s="159" t="s">
        <v>853</v>
      </c>
      <c r="J42" s="159" t="s">
        <v>853</v>
      </c>
      <c r="K42" s="159" t="s">
        <v>853</v>
      </c>
    </row>
    <row r="43" spans="1:11" ht="15.75" thickBot="1">
      <c r="A43" s="159">
        <v>39</v>
      </c>
      <c r="B43" s="174" t="s">
        <v>822</v>
      </c>
      <c r="C43" s="174"/>
      <c r="D43" s="159">
        <v>4.5999999999999996</v>
      </c>
      <c r="E43" s="159" t="s">
        <v>781</v>
      </c>
      <c r="F43" s="159" t="s">
        <v>782</v>
      </c>
      <c r="G43" s="185"/>
      <c r="H43" s="159"/>
      <c r="I43" s="159"/>
      <c r="J43" s="159"/>
      <c r="K43" s="159"/>
    </row>
    <row r="44" spans="1:11" ht="15.75" thickBot="1">
      <c r="A44" s="159">
        <v>40</v>
      </c>
      <c r="B44" s="174" t="s">
        <v>823</v>
      </c>
      <c r="C44" s="174"/>
      <c r="D44" s="159">
        <v>1</v>
      </c>
      <c r="E44" s="159" t="s">
        <v>824</v>
      </c>
      <c r="F44" s="172" t="s">
        <v>829</v>
      </c>
      <c r="G44" s="185"/>
      <c r="H44" s="172"/>
      <c r="I44" s="172"/>
      <c r="J44" s="172"/>
      <c r="K44" s="172"/>
    </row>
    <row r="45" spans="1:11" ht="15.75" thickBot="1">
      <c r="A45" s="159">
        <v>41</v>
      </c>
      <c r="B45" s="174" t="s">
        <v>825</v>
      </c>
      <c r="C45" s="176" t="s">
        <v>858</v>
      </c>
      <c r="D45" s="159">
        <v>5.2</v>
      </c>
      <c r="E45" s="159" t="s">
        <v>768</v>
      </c>
      <c r="F45" s="159" t="s">
        <v>826</v>
      </c>
      <c r="G45" s="185">
        <v>6.1</v>
      </c>
      <c r="H45" s="159" t="s">
        <v>853</v>
      </c>
      <c r="I45" s="159" t="s">
        <v>853</v>
      </c>
      <c r="J45" s="159" t="s">
        <v>853</v>
      </c>
      <c r="K45" s="159" t="s">
        <v>853</v>
      </c>
    </row>
    <row r="46" spans="1:11" ht="15.75" thickBot="1">
      <c r="A46" s="159">
        <v>42</v>
      </c>
      <c r="B46" s="175" t="s">
        <v>828</v>
      </c>
      <c r="C46" s="175"/>
      <c r="D46" s="159">
        <v>1.1000000000000001</v>
      </c>
      <c r="E46" s="159" t="s">
        <v>775</v>
      </c>
      <c r="F46" s="159" t="s">
        <v>815</v>
      </c>
      <c r="G46" s="185"/>
      <c r="H46" s="159"/>
      <c r="I46" s="159"/>
      <c r="J46" s="159"/>
      <c r="K46" s="159"/>
    </row>
    <row r="48" spans="1:11">
      <c r="B48" s="182" t="s">
        <v>873</v>
      </c>
    </row>
    <row r="49" spans="2:2">
      <c r="B49" s="187" t="s">
        <v>859</v>
      </c>
    </row>
    <row r="50" spans="2:2">
      <c r="B50" s="187" t="s">
        <v>860</v>
      </c>
    </row>
    <row r="51" spans="2:2">
      <c r="B51" s="187" t="s">
        <v>866</v>
      </c>
    </row>
    <row r="52" spans="2:2">
      <c r="B52" s="188" t="s">
        <v>867</v>
      </c>
    </row>
    <row r="53" spans="2:2">
      <c r="B53" s="187" t="s">
        <v>868</v>
      </c>
    </row>
    <row r="54" spans="2:2">
      <c r="B54" s="187" t="s">
        <v>869</v>
      </c>
    </row>
    <row r="55" spans="2:2">
      <c r="B55" s="187" t="s">
        <v>862</v>
      </c>
    </row>
    <row r="56" spans="2:2">
      <c r="B56" s="189" t="s">
        <v>870</v>
      </c>
    </row>
    <row r="57" spans="2:2">
      <c r="B57" s="187" t="s">
        <v>871</v>
      </c>
    </row>
    <row r="58" spans="2:2">
      <c r="B58" s="187" t="s">
        <v>872</v>
      </c>
    </row>
    <row r="59" spans="2:2">
      <c r="B59" s="187" t="s">
        <v>863</v>
      </c>
    </row>
    <row r="60" spans="2:2">
      <c r="B60" s="186"/>
    </row>
  </sheetData>
  <conditionalFormatting sqref="G5:G46">
    <cfRule type="notContainsBlanks" dxfId="1" priority="5">
      <formula>LEN(TRIM(G5))&gt;0</formula>
    </cfRule>
  </conditionalFormatting>
  <conditionalFormatting sqref="G6:G46">
    <cfRule type="cellIs" dxfId="0" priority="3" operator="greaterThan">
      <formula>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14</vt:i4>
      </vt:variant>
    </vt:vector>
  </HeadingPairs>
  <TitlesOfParts>
    <vt:vector size="27" baseType="lpstr">
      <vt:lpstr>RSAI plc</vt:lpstr>
      <vt:lpstr>RSA Re</vt:lpstr>
      <vt:lpstr>MIC</vt:lpstr>
      <vt:lpstr>Codan</vt:lpstr>
      <vt:lpstr>Priv</vt:lpstr>
      <vt:lpstr>Holmia</vt:lpstr>
      <vt:lpstr>Overview</vt:lpstr>
      <vt:lpstr>Completion Matrix</vt:lpstr>
      <vt:lpstr>Dashboard 1</vt:lpstr>
      <vt:lpstr>Dashboard 3</vt:lpstr>
      <vt:lpstr>Sheet1</vt:lpstr>
      <vt:lpstr>Policies</vt:lpstr>
      <vt:lpstr>Policies (2)</vt:lpstr>
      <vt:lpstr>Codan!Print_Area</vt:lpstr>
      <vt:lpstr>'Completion Matrix'!Print_Area</vt:lpstr>
      <vt:lpstr>Holmia!Print_Area</vt:lpstr>
      <vt:lpstr>MIC!Print_Area</vt:lpstr>
      <vt:lpstr>Priv!Print_Area</vt:lpstr>
      <vt:lpstr>'RSA Re'!Print_Area</vt:lpstr>
      <vt:lpstr>'RSAI plc'!Print_Area</vt:lpstr>
      <vt:lpstr>Codan!Print_Titles</vt:lpstr>
      <vt:lpstr>'Completion Matrix'!Print_Titles</vt:lpstr>
      <vt:lpstr>Holmia!Print_Titles</vt:lpstr>
      <vt:lpstr>MIC!Print_Titles</vt:lpstr>
      <vt:lpstr>Priv!Print_Titles</vt:lpstr>
      <vt:lpstr>'RSA Re'!Print_Titles</vt:lpstr>
      <vt:lpstr>'RSAI plc'!Print_Titles</vt:lpstr>
    </vt:vector>
  </TitlesOfParts>
  <Company>PA Consulting Group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Kajal Kalan</dc:creator>
  <cp:lastModifiedBy>x_acc_wocon</cp:lastModifiedBy>
  <cp:lastPrinted>2015-08-21T15:30:35Z</cp:lastPrinted>
  <dcterms:created xsi:type="dcterms:W3CDTF">2015-06-25T16:43:55Z</dcterms:created>
  <dcterms:modified xsi:type="dcterms:W3CDTF">2015-09-03T08:38:28Z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A Classification">
    <vt:lpwstr/>
  </property>
</Properties>
</file>