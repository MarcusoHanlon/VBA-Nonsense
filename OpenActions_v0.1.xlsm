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20" windowWidth="15600" windowHeight="11565" activeTab="1"/>
  </bookViews>
  <sheets>
    <sheet name="Inputs" sheetId="1" r:id="rId1"/>
    <sheet name="Log" sheetId="2" r:id="rId2"/>
  </sheets>
  <functionGroups/>
  <definedNames>
    <definedName name="_xlnm._FilterDatabase" localSheetId="1" hidden="1">Log!$B$10:$I$109</definedName>
    <definedName name="_xlnm.Print_Area" localSheetId="1">Log!$B$2:$I$29</definedName>
  </definedNames>
  <calcPr calcId="125725"/>
</workbook>
</file>

<file path=xl/calcChain.xml><?xml version="1.0" encoding="utf-8"?>
<calcChain xmlns="http://schemas.openxmlformats.org/spreadsheetml/2006/main">
  <c r="B20" i="2"/>
  <c r="B21"/>
  <c r="B22"/>
  <c r="B23"/>
  <c r="B11" l="1"/>
  <c r="B40"/>
  <c r="D8" i="1"/>
  <c r="B12" i="2"/>
  <c r="B13"/>
  <c r="B14"/>
  <c r="B15"/>
  <c r="B16"/>
  <c r="B17"/>
  <c r="B18"/>
  <c r="B19"/>
  <c r="B24"/>
  <c r="B25"/>
  <c r="B26"/>
  <c r="B27"/>
  <c r="B28"/>
  <c r="B29"/>
  <c r="B30"/>
  <c r="B31"/>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D7" i="1"/>
  <c r="D4"/>
  <c r="D5"/>
  <c r="B33" i="2"/>
  <c r="D6" i="1"/>
  <c r="D3"/>
  <c r="B48" i="2"/>
  <c r="B46"/>
  <c r="B44"/>
  <c r="B42"/>
  <c r="B38"/>
  <c r="B36"/>
  <c r="B34"/>
  <c r="B32"/>
  <c r="B49"/>
  <c r="B47"/>
  <c r="B45"/>
  <c r="B43"/>
  <c r="B41"/>
  <c r="B39"/>
  <c r="B37"/>
  <c r="B35"/>
  <c r="C2"/>
  <c r="F5" l="1"/>
  <c r="F3"/>
  <c r="F6"/>
  <c r="F7"/>
  <c r="F2"/>
  <c r="F4"/>
</calcChain>
</file>

<file path=xl/sharedStrings.xml><?xml version="1.0" encoding="utf-8"?>
<sst xmlns="http://schemas.openxmlformats.org/spreadsheetml/2006/main" count="365" uniqueCount="127">
  <si>
    <t>Input Files</t>
  </si>
  <si>
    <t>K:\217 Solvency II\Project Management\Project Status Reporting\Steering Committee\Action Log\Solvency II Steering Committee Action Log.xlsx</t>
  </si>
  <si>
    <t>K:\217 Solvency II\Project Management\Project Status Reporting\Board Sub Committee\Process\Action log\Solvency II - Board Sub-Committee Actions Log V1.xlsx</t>
  </si>
  <si>
    <t>Source</t>
  </si>
  <si>
    <t>Solvency II Sub-Board Committee</t>
  </si>
  <si>
    <t>Solvency II Steering Committee</t>
  </si>
  <si>
    <t>Solvency II Working Group</t>
  </si>
  <si>
    <t>Solvency II "Shout" Session</t>
  </si>
  <si>
    <t>Consolidated Solvency II Actions Log</t>
  </si>
  <si>
    <t>Date:</t>
  </si>
  <si>
    <t>Open</t>
  </si>
  <si>
    <t>WO'C</t>
  </si>
  <si>
    <t>Solvency II - Board Sub-Committee Actions Log V1.xlsx</t>
  </si>
  <si>
    <t>Solvency II Steering Committee Action Log.xlsx</t>
  </si>
  <si>
    <t>GK</t>
  </si>
  <si>
    <t>K:\217 Solvency II\Project Management\Project Status Reporting\Shout Sessions\Solvency II Shout Session Action Log 2015.xlsx</t>
  </si>
  <si>
    <t>KMcC</t>
  </si>
  <si>
    <t>Capital Management Committee(WO'C only)</t>
  </si>
  <si>
    <t>K:\217 Solvency II\Project Management\Project Status Reporting\Capital Management Committee\Capital Management Committee Action Log 2015.xlsx</t>
  </si>
  <si>
    <t>K:\217 Solvency II\Project Management\Project Status Reporting\Working Group Meetings\Actions Log\2015\Solvency II Working Group Action Log 2015.xlsx</t>
  </si>
  <si>
    <t>Capital Plan</t>
  </si>
  <si>
    <t>Open - Update to be provided at next Committee meeting.</t>
  </si>
  <si>
    <t>GK to provide an update on the detailed resource planning for the Solvency II Reporting Workstream determining activities and capacity vs. workload, including requirements for FDS/SAP.</t>
  </si>
  <si>
    <t>Open - update to be provided at the next meeting.</t>
  </si>
  <si>
    <t>WO’C to submit a formal Change Note for the proposed change of approach to the completion of the NSTs once adequate information becomes available.</t>
  </si>
  <si>
    <t>GK to update the activities, timeline in the Solvency II Reporting workstream plan and to review the required resourcing once confirmation is received with respect to the approach to be documented (i.e. Current Approach, SAP only approach or FDS approach).</t>
  </si>
  <si>
    <t>K:\217 Solvency II\Project Management\Project Plans\2015 Planning\Solvency II Reporting Workstream\Capital Plan\Capital Plan - Weekly Calls\Capital Plan Implementation Action Log.xlsx</t>
  </si>
  <si>
    <t>PS</t>
  </si>
  <si>
    <t>PS to ensure that the 2014 FLAOR feedback from both the CBI and in the details of Sylvia Cronin’s address at the CBI Solvency II Forum is incorporated in the 2015 FLAOR.</t>
  </si>
  <si>
    <t>Open - in the process of agreeing budget request/next steps with Group and update to be provided at the next meeting.</t>
  </si>
  <si>
    <t>Capital Plan Implementation Action Log.xlsx</t>
  </si>
  <si>
    <t>Meeting 
Date</t>
  </si>
  <si>
    <t>Action Reference</t>
  </si>
  <si>
    <t>Theme</t>
  </si>
  <si>
    <t>Action</t>
  </si>
  <si>
    <t>Open/Closed</t>
  </si>
  <si>
    <t>Responsible</t>
  </si>
  <si>
    <t>Update due</t>
  </si>
  <si>
    <t>Status Update</t>
  </si>
  <si>
    <t>Open - Consideration for this will be taken in to the 2015 FLAOR plan.</t>
  </si>
  <si>
    <t>WO’C to share any pertinent Solvency II material issued by the CBI, EIOPA or any other recognised body with Committee members as it becomes available.</t>
  </si>
  <si>
    <t>Open - GK to present a baseline plan at the next Committee Meeting based on the most up to date position. 20/07:GK advised that he had been on annual leave for a significant portion of the time since the previous meeting and had yet to conclude the resource planning activity. GK advised that he would review his resource requirements upon completion of Q2 Dry Run 2 and would circulate the details upon completion. WO’C advised that there was a session in the diary with GK to review. Update to be provided at the next meeting. Update provided in Committee papers.</t>
  </si>
  <si>
    <t>Open - Activities reviewed and update provided in Committee papers.</t>
  </si>
  <si>
    <t>AM to contact Group CRO, William McDonnell to discuss the Control Framework approach and raise the local concerns as well as seeking clarification with respect to approval process relating to Solvency II compliant policies.</t>
  </si>
  <si>
    <t>AM</t>
  </si>
  <si>
    <t>WO'C to follow up with AM to ensure sign-off of meeting minutes from Committee meeting on 20th July 2015.</t>
  </si>
  <si>
    <t xml:space="preserve">Committee Terms of Reference to be updated to reflect current attendees and </t>
  </si>
  <si>
    <t xml:space="preserve">PS </t>
  </si>
  <si>
    <t>Outcome to be presented at next CMC</t>
  </si>
  <si>
    <t>Capital Management Committee Action Log 2015.xlsx</t>
  </si>
  <si>
    <t xml:space="preserve">In Q2 2015 Finance will review our operational cash requirements and will advise UK/Group accordingly. </t>
  </si>
  <si>
    <t xml:space="preserve"> This will be dealt with within the context   of Project Opal </t>
  </si>
  <si>
    <t>In Q2 2015 RSAII Finance will review and agree its appetite for an increased holding of corporate bonds.</t>
  </si>
  <si>
    <t xml:space="preserve">Opal policies to be provided as inputs to completion of CMC ToR </t>
  </si>
  <si>
    <t>EL</t>
  </si>
  <si>
    <t xml:space="preserve">RSAII Solvency II team to work with LP and GQ in RSA Group to assess the duration of liabilities and the implications for the investment portfolio </t>
  </si>
  <si>
    <t xml:space="preserve">The impact of the new reinsurance arrangements are to be assessed for the impact on Own Funds within the Capital Plan </t>
  </si>
  <si>
    <t>MD/SC</t>
  </si>
  <si>
    <t>WO'C to schedule next Committee meeting and to ensure a review of the revised Terms of Reference is included in the agenda of the meeting.</t>
  </si>
  <si>
    <t>Update to be provided at next meeting.</t>
  </si>
  <si>
    <t>Supporting evidence on the counterparty (liquidity and capital strength) to be provided</t>
  </si>
  <si>
    <t>GJ</t>
  </si>
  <si>
    <t>In progress - GJ has agreed to provide by COB 21/08.</t>
  </si>
  <si>
    <t>AOF</t>
  </si>
  <si>
    <t>Confirmation on whether the Dividend Policy has been approved in Ireland &amp; any updates available to this</t>
  </si>
  <si>
    <t>UM</t>
  </si>
  <si>
    <t>UM to progress with Jill Culliton/JM with respect to date of RSAII Board approval.</t>
  </si>
  <si>
    <t xml:space="preserve">Policy on calls to be drafted and shared </t>
  </si>
  <si>
    <t>In progress - GJ has agreed to provide by COB 24/08.</t>
  </si>
  <si>
    <t>Legal opinion required - Ireland and UK</t>
  </si>
  <si>
    <t>RB/ JM</t>
  </si>
  <si>
    <t>In progress - Arthur Cox provided draft legal opinion for Ireland; this is currently being updated. Slaughter and May provided draft legal opinion for Group.</t>
  </si>
  <si>
    <t>Complete supporting evidence section</t>
  </si>
  <si>
    <t>UM/GJ</t>
  </si>
  <si>
    <t>In progress - GJ to provide the remaining supporting evidence</t>
  </si>
  <si>
    <t>Review of Guidance Checklist completed by Arthur Cox</t>
  </si>
  <si>
    <t>UM/ PwC</t>
  </si>
  <si>
    <t>In progress - UM advised that she is reviewing with PwC accounting colleagues</t>
  </si>
  <si>
    <t>Group KRIs on solvency and liquidity required for inclusion in RSAII Risk Appetite Statement</t>
  </si>
  <si>
    <t>KMcC/ UM</t>
  </si>
  <si>
    <t>In progress - KMcC to discuss with UM in advance of call with Group Risk</t>
  </si>
  <si>
    <t>RB to confirm Group sign-off of AoA and Subscription Letter via email to KMcC/PS</t>
  </si>
  <si>
    <t>RB</t>
  </si>
  <si>
    <t>In progress</t>
  </si>
  <si>
    <t>RB to discuss with KMcC the process/approach taken by Arthur Cox with respect to drafting the revised Consitiution (in respect of the AOF)</t>
  </si>
  <si>
    <t>KMcC (via Ewan Murtagh) to discuss with Arthur Cox the process/approach taken with respect to drafting the revised Constitution (both for the Companies Act 2014 and AOF)</t>
  </si>
  <si>
    <t>RB to engage with Arthur Cox and Slaughter &amp; May with respect to including their respective legal opinions in the AOF submissions and also to request that both firms provide a conditional signed opinion.</t>
  </si>
  <si>
    <t>Summary of changes to existing ADC contract to be documented</t>
  </si>
  <si>
    <t>Is this now required given PS drafted the addendum? Is the summary required for other stakeholders?</t>
  </si>
  <si>
    <t>ADC</t>
  </si>
  <si>
    <t>Draft of ADC addendum to contract required</t>
  </si>
  <si>
    <t>PS/RB/GJ</t>
  </si>
  <si>
    <t>PS has drafted the addendum and circulated to RB/GJ for review. FO'R has reviewed "short form" in tandem and is satisfied.</t>
  </si>
  <si>
    <t>All transfer pricing documentation to be sent to AK</t>
  </si>
  <si>
    <t>GJ/ FOR/ AK</t>
  </si>
  <si>
    <t>In progress - documentation received from FOR. GJ/Group Tax to provide. AK to confirm receipt.</t>
  </si>
  <si>
    <t>Addendum to the contract to be reviewed &amp; finalised</t>
  </si>
  <si>
    <t>FOR/ GJ/ PS/RB</t>
  </si>
  <si>
    <t>GJ to call FO'R to finalise ADC pricing, including discussions with respect to PPOs</t>
  </si>
  <si>
    <t>GJ to engage with EY with respect to reviewing ADC pricing</t>
  </si>
  <si>
    <t>GJ to provide Group sign-off of ADC contract (noting DA is in place to Stephen Hester and one other company director)</t>
  </si>
  <si>
    <t>QS Contract to be finalised</t>
  </si>
  <si>
    <t>GJ/ RB/ FO'R</t>
  </si>
  <si>
    <t>In progress - contract being drafted</t>
  </si>
  <si>
    <t>Quota Share</t>
  </si>
  <si>
    <t>All pricing documentation to be sent to AK in Tax</t>
  </si>
  <si>
    <t>GJ/ FOR/ UM</t>
  </si>
  <si>
    <t>In progress - documentation received from FOR. FO'R to request that the wording re: pricing from AON Benfield via email is amended/ clarified. Group Tax/GJ to provide. AK to confirm receipt.</t>
  </si>
  <si>
    <t>Pricing structure to be approved by RSAII Board</t>
  </si>
  <si>
    <t>PS/ KMcC</t>
  </si>
  <si>
    <t>Arrange a call with Gareth Quantrill (Group) re FX matching process</t>
  </si>
  <si>
    <t>FX Matching</t>
  </si>
  <si>
    <t>Put in place governance to monitor FX matching on quarterly basis</t>
  </si>
  <si>
    <t>KMcC/ PS</t>
  </si>
  <si>
    <t>Formalise accounting treatment of (i) existing ADC, (ii) extension to the ADC and (iii) QS, including how transactions are recorded pre and post SAP implementation</t>
  </si>
  <si>
    <t>WOC/ EL</t>
  </si>
  <si>
    <t>Meeting to discuss scheduled.</t>
  </si>
  <si>
    <t>Reporting</t>
  </si>
  <si>
    <t xml:space="preserve">Second capital injection of €10m from Group to RSAII </t>
  </si>
  <si>
    <t>In progress - to be provided end Sept</t>
  </si>
  <si>
    <t>Capital Injection</t>
  </si>
  <si>
    <t>Update price &amp; structure once Quota Share has been finalised</t>
  </si>
  <si>
    <t>FOR/ EOB</t>
  </si>
  <si>
    <t>Open - Progress to be made once QS finalised</t>
  </si>
  <si>
    <t>CAT cover</t>
  </si>
  <si>
    <t>Treaty to be finalised</t>
  </si>
  <si>
    <t>n/a</t>
  </si>
</sst>
</file>

<file path=xl/styles.xml><?xml version="1.0" encoding="utf-8"?>
<styleSheet xmlns="http://schemas.openxmlformats.org/spreadsheetml/2006/main">
  <fonts count="8">
    <font>
      <sz val="11"/>
      <color theme="1"/>
      <name val="Calibri"/>
      <family val="2"/>
      <scheme val="minor"/>
    </font>
    <font>
      <b/>
      <sz val="11"/>
      <color theme="1"/>
      <name val="Calibri"/>
      <family val="2"/>
      <scheme val="minor"/>
    </font>
    <font>
      <sz val="11"/>
      <color rgb="FF000000"/>
      <name val="Calibri"/>
      <family val="2"/>
      <scheme val="minor"/>
    </font>
    <font>
      <b/>
      <sz val="10"/>
      <color theme="1"/>
      <name val="Helvetica"/>
      <family val="2"/>
    </font>
    <font>
      <sz val="11"/>
      <color theme="0"/>
      <name val="Calibri"/>
      <family val="2"/>
      <scheme val="minor"/>
    </font>
    <font>
      <b/>
      <sz val="22"/>
      <color rgb="FFFF0000"/>
      <name val="Calibri"/>
      <family val="2"/>
      <scheme val="minor"/>
    </font>
    <font>
      <sz val="11"/>
      <name val="Calibri"/>
      <family val="2"/>
      <scheme val="minor"/>
    </font>
    <font>
      <b/>
      <sz val="10"/>
      <color theme="1"/>
      <name val="Arial"/>
      <family val="2"/>
    </font>
  </fonts>
  <fills count="13">
    <fill>
      <patternFill patternType="none"/>
    </fill>
    <fill>
      <patternFill patternType="gray125"/>
    </fill>
    <fill>
      <patternFill patternType="solid">
        <fgColor theme="3"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bgColor indexed="64"/>
      </patternFill>
    </fill>
    <fill>
      <patternFill patternType="solid">
        <fgColor theme="2"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5">
    <xf numFmtId="0" fontId="0" fillId="0" borderId="0" xfId="0"/>
    <xf numFmtId="0" fontId="0" fillId="2" borderId="2" xfId="0" applyFont="1" applyFill="1" applyBorder="1"/>
    <xf numFmtId="0" fontId="0" fillId="2" borderId="3" xfId="0" applyFill="1" applyBorder="1"/>
    <xf numFmtId="0" fontId="1" fillId="3" borderId="2" xfId="0" applyFont="1" applyFill="1" applyBorder="1"/>
    <xf numFmtId="0" fontId="0" fillId="4" borderId="3" xfId="0" applyFill="1" applyBorder="1"/>
    <xf numFmtId="0" fontId="1" fillId="3" borderId="4" xfId="0" applyFont="1" applyFill="1" applyBorder="1"/>
    <xf numFmtId="0" fontId="0" fillId="4" borderId="5" xfId="0" applyFill="1" applyBorder="1"/>
    <xf numFmtId="0" fontId="0" fillId="0" borderId="0" xfId="0" applyAlignment="1">
      <alignment wrapText="1"/>
    </xf>
    <xf numFmtId="0" fontId="0" fillId="0" borderId="0" xfId="0" applyAlignment="1"/>
    <xf numFmtId="0" fontId="0" fillId="0" borderId="0" xfId="0" applyAlignment="1">
      <alignment vertical="top"/>
    </xf>
    <xf numFmtId="0" fontId="0" fillId="0" borderId="1" xfId="0" applyBorder="1" applyAlignment="1">
      <alignment wrapText="1"/>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top" wrapText="1"/>
    </xf>
    <xf numFmtId="0" fontId="3" fillId="4" borderId="6" xfId="0" applyFont="1" applyFill="1" applyBorder="1" applyAlignment="1">
      <alignment horizontal="center" vertical="center" wrapText="1"/>
    </xf>
    <xf numFmtId="0" fontId="1" fillId="4" borderId="1" xfId="0" applyFont="1" applyFill="1" applyBorder="1" applyAlignment="1">
      <alignment horizontal="left"/>
    </xf>
    <xf numFmtId="14" fontId="1" fillId="4" borderId="1" xfId="0" applyNumberFormat="1" applyFont="1" applyFill="1" applyBorder="1" applyAlignment="1">
      <alignment horizontal="left"/>
    </xf>
    <xf numFmtId="0" fontId="0" fillId="6" borderId="1" xfId="0" applyFont="1" applyFill="1" applyBorder="1"/>
    <xf numFmtId="0" fontId="0" fillId="7" borderId="1" xfId="0" applyFont="1" applyFill="1" applyBorder="1"/>
    <xf numFmtId="0" fontId="0" fillId="8" borderId="1" xfId="0" applyFont="1" applyFill="1" applyBorder="1"/>
    <xf numFmtId="0" fontId="0" fillId="9" borderId="1" xfId="0" applyFont="1" applyFill="1" applyBorder="1"/>
    <xf numFmtId="0" fontId="0" fillId="10" borderId="1" xfId="0" applyFont="1" applyFill="1" applyBorder="1"/>
    <xf numFmtId="0" fontId="6" fillId="0" borderId="0" xfId="0" applyFont="1"/>
    <xf numFmtId="0" fontId="4" fillId="11" borderId="0" xfId="0" applyFont="1" applyFill="1"/>
    <xf numFmtId="0" fontId="0" fillId="12" borderId="1" xfId="0" applyFont="1" applyFill="1" applyBorder="1"/>
    <xf numFmtId="14" fontId="0" fillId="0" borderId="0" xfId="0" applyNumberFormat="1"/>
    <xf numFmtId="14" fontId="0" fillId="0" borderId="0" xfId="0" applyNumberFormat="1" applyAlignment="1"/>
    <xf numFmtId="0" fontId="7" fillId="4" borderId="1" xfId="0" applyFont="1" applyFill="1" applyBorder="1" applyAlignment="1">
      <alignment horizontal="center" vertical="center" wrapText="1"/>
    </xf>
    <xf numFmtId="0" fontId="0" fillId="0" borderId="1" xfId="0" applyBorder="1" applyAlignment="1">
      <alignment vertical="top"/>
    </xf>
    <xf numFmtId="0" fontId="5" fillId="5" borderId="7" xfId="0" applyFont="1" applyFill="1" applyBorder="1" applyAlignment="1">
      <alignment horizontal="center" vertical="center"/>
    </xf>
    <xf numFmtId="0" fontId="5" fillId="5" borderId="8" xfId="0" applyFont="1" applyFill="1" applyBorder="1" applyAlignment="1">
      <alignment horizontal="center" vertical="center"/>
    </xf>
    <xf numFmtId="0" fontId="5" fillId="5" borderId="9" xfId="0" applyFont="1" applyFill="1" applyBorder="1" applyAlignment="1">
      <alignment horizontal="center" vertical="center"/>
    </xf>
    <xf numFmtId="0" fontId="0" fillId="0" borderId="7" xfId="0" applyBorder="1"/>
    <xf numFmtId="0" fontId="7" fillId="4" borderId="1" xfId="0" applyFont="1" applyFill="1" applyBorder="1" applyAlignment="1">
      <alignment horizontal="center" vertical="center"/>
    </xf>
    <xf numFmtId="0" fontId="0" fillId="0" borderId="1" xfId="0" applyBorder="1" applyAlignment="1"/>
  </cellXfs>
  <cellStyles count="1">
    <cellStyle name="Normal" xfId="0" builtinId="0"/>
  </cellStyles>
  <dxfs count="6">
    <dxf>
      <fill>
        <patternFill>
          <bgColor theme="2" tint="-0.24994659260841701"/>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7" tint="0.39994506668294322"/>
        </patternFill>
      </fill>
    </dxf>
    <dxf>
      <fill>
        <patternFill>
          <bgColor theme="8" tint="0.3999450666829432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1:W8"/>
  <sheetViews>
    <sheetView topLeftCell="C1" zoomScale="70" zoomScaleNormal="70" workbookViewId="0">
      <selection activeCell="C8" sqref="C8"/>
    </sheetView>
  </sheetViews>
  <sheetFormatPr defaultRowHeight="15"/>
  <cols>
    <col min="2" max="2" width="41.7109375" bestFit="1" customWidth="1"/>
    <col min="3" max="3" width="179" customWidth="1"/>
  </cols>
  <sheetData>
    <row r="1" spans="2:23" ht="15.75" thickBot="1">
      <c r="W1" s="3" t="s">
        <v>4</v>
      </c>
    </row>
    <row r="2" spans="2:23" ht="15.75" thickBot="1">
      <c r="B2" s="1" t="s">
        <v>0</v>
      </c>
      <c r="C2" s="2"/>
      <c r="D2" s="22"/>
      <c r="W2" s="3" t="s">
        <v>5</v>
      </c>
    </row>
    <row r="3" spans="2:23" ht="15.75" thickBot="1">
      <c r="B3" s="3" t="s">
        <v>4</v>
      </c>
      <c r="C3" s="4" t="s">
        <v>2</v>
      </c>
      <c r="D3" s="23" t="str">
        <f>IF(
 ISERROR(
  FIND("\",C3)
 ),C3,RIGHT(C3,
  LEN(C3)-FIND("~",
   SUBSTITUTE(C3,"\","~",
    LEN(C3)-LEN(SUBSTITUTE(C3,"\",""))
   )
  )
 )
)</f>
        <v>Solvency II - Board Sub-Committee Actions Log V1.xlsx</v>
      </c>
      <c r="W3" s="3" t="s">
        <v>6</v>
      </c>
    </row>
    <row r="4" spans="2:23" ht="15.75" thickBot="1">
      <c r="B4" s="3" t="s">
        <v>5</v>
      </c>
      <c r="C4" s="4" t="s">
        <v>1</v>
      </c>
      <c r="D4" s="23" t="str">
        <f t="shared" ref="D4:D6" si="0">IF(
 ISERROR(
  FIND("\",C4)
 ),C4,RIGHT(C4,
  LEN(C4)-FIND("~",
   SUBSTITUTE(C4,"\","~",
    LEN(C4)-LEN(SUBSTITUTE(C4,"\",""))
   )
  )
 )
)</f>
        <v>Solvency II Steering Committee Action Log.xlsx</v>
      </c>
      <c r="W4" s="5" t="s">
        <v>7</v>
      </c>
    </row>
    <row r="5" spans="2:23" ht="15.75" thickBot="1">
      <c r="B5" s="3" t="s">
        <v>6</v>
      </c>
      <c r="C5" s="4" t="s">
        <v>19</v>
      </c>
      <c r="D5" s="23" t="str">
        <f t="shared" si="0"/>
        <v>Solvency II Working Group Action Log 2015.xlsx</v>
      </c>
    </row>
    <row r="6" spans="2:23" ht="15.75" thickBot="1">
      <c r="B6" s="3" t="s">
        <v>7</v>
      </c>
      <c r="C6" s="6" t="s">
        <v>15</v>
      </c>
      <c r="D6" s="23" t="str">
        <f t="shared" si="0"/>
        <v>Solvency II Shout Session Action Log 2015.xlsx</v>
      </c>
    </row>
    <row r="7" spans="2:23" ht="15.75" thickBot="1">
      <c r="B7" s="3" t="s">
        <v>17</v>
      </c>
      <c r="C7" s="4" t="s">
        <v>18</v>
      </c>
      <c r="D7" s="23" t="str">
        <f>IF(
 ISERROR(
  FIND("\",C7)
 ),C7,RIGHT(C7,
  LEN(C7)-FIND("~",
   SUBSTITUTE(C7,"\","~",
    LEN(C7)-LEN(SUBSTITUTE(C7,"\",""))
   )
  )
 )
)</f>
        <v>Capital Management Committee Action Log 2015.xlsx</v>
      </c>
    </row>
    <row r="8" spans="2:23" ht="15.75" thickBot="1">
      <c r="B8" s="3" t="s">
        <v>20</v>
      </c>
      <c r="C8" s="4" t="s">
        <v>26</v>
      </c>
      <c r="D8" s="23" t="str">
        <f>IF(
 ISERROR(
  FIND("\",C8)
 ),C8,RIGHT(C8,
  LEN(C8)-FIND("~",
   SUBSTITUTE(C8,"\","~",
    LEN(C8)-LEN(SUBSTITUTE(C8,"\",""))
   )
  )
 )
)</f>
        <v>Capital Plan Implementation Action Log.xlsx</v>
      </c>
    </row>
  </sheetData>
  <dataValidations count="1">
    <dataValidation type="list" allowBlank="1" showInputMessage="1" showErrorMessage="1" sqref="B3:B6">
      <formula1>$W$1:$W$4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B2:K109"/>
  <sheetViews>
    <sheetView tabSelected="1" zoomScale="70" zoomScaleNormal="70" workbookViewId="0">
      <selection activeCell="M63" sqref="M63"/>
    </sheetView>
  </sheetViews>
  <sheetFormatPr defaultColWidth="14.7109375" defaultRowHeight="15"/>
  <cols>
    <col min="2" max="2" width="43.140625" bestFit="1" customWidth="1"/>
    <col min="3" max="3" width="25.42578125" bestFit="1" customWidth="1"/>
    <col min="4" max="4" width="26.7109375" style="8" bestFit="1" customWidth="1"/>
    <col min="5" max="5" width="47.85546875" style="7" customWidth="1"/>
    <col min="6" max="8" width="14.7109375" style="8"/>
    <col min="9" max="9" width="70.28515625" style="8" customWidth="1"/>
    <col min="10" max="10" width="14.7109375" style="8" hidden="1" customWidth="1"/>
    <col min="11" max="11" width="14.7109375" style="8" customWidth="1"/>
  </cols>
  <sheetData>
    <row r="2" spans="2:11">
      <c r="B2" s="15" t="s">
        <v>9</v>
      </c>
      <c r="C2" s="16">
        <f ca="1">TODAY()</f>
        <v>42250</v>
      </c>
      <c r="E2" s="18" t="s">
        <v>4</v>
      </c>
      <c r="F2" s="18">
        <f t="shared" ref="F2:F7" si="0">COUNTIF($B$11:$B$101,E2)</f>
        <v>12</v>
      </c>
    </row>
    <row r="3" spans="2:11">
      <c r="E3" s="20" t="s">
        <v>5</v>
      </c>
      <c r="F3" s="20">
        <f t="shared" si="0"/>
        <v>17</v>
      </c>
    </row>
    <row r="4" spans="2:11">
      <c r="E4" s="19" t="s">
        <v>6</v>
      </c>
      <c r="F4" s="19">
        <f t="shared" si="0"/>
        <v>0</v>
      </c>
    </row>
    <row r="5" spans="2:11">
      <c r="E5" s="17" t="s">
        <v>7</v>
      </c>
      <c r="F5" s="17">
        <f t="shared" si="0"/>
        <v>0</v>
      </c>
    </row>
    <row r="6" spans="2:11">
      <c r="E6" s="21" t="s">
        <v>17</v>
      </c>
      <c r="F6" s="21">
        <f t="shared" si="0"/>
        <v>7</v>
      </c>
    </row>
    <row r="7" spans="2:11">
      <c r="E7" s="24" t="s">
        <v>20</v>
      </c>
      <c r="F7" s="24">
        <f t="shared" si="0"/>
        <v>27</v>
      </c>
    </row>
    <row r="9" spans="2:11" ht="40.5" customHeight="1">
      <c r="B9" s="29" t="s">
        <v>8</v>
      </c>
      <c r="C9" s="30"/>
      <c r="D9" s="30"/>
      <c r="E9" s="30"/>
      <c r="F9" s="30"/>
      <c r="G9" s="30"/>
      <c r="H9" s="30"/>
      <c r="I9" s="31"/>
    </row>
    <row r="10" spans="2:11" ht="25.5">
      <c r="B10" s="14" t="s">
        <v>3</v>
      </c>
      <c r="C10" s="27" t="s">
        <v>31</v>
      </c>
      <c r="D10" s="27" t="s">
        <v>32</v>
      </c>
      <c r="E10" s="27" t="s">
        <v>34</v>
      </c>
      <c r="F10" s="27" t="s">
        <v>35</v>
      </c>
      <c r="G10" s="27" t="s">
        <v>36</v>
      </c>
      <c r="H10" s="27" t="s">
        <v>37</v>
      </c>
      <c r="I10" s="27" t="s">
        <v>38</v>
      </c>
      <c r="K10" s="33" t="s">
        <v>33</v>
      </c>
    </row>
    <row r="11" spans="2:11" s="9" customFormat="1" ht="60">
      <c r="B11" s="11" t="str">
        <f>IF(J11="","",INDEX(Inputs!$B$3:$B$9,MATCH(Log!J11,Inputs!$D$3:$D$9,0)))</f>
        <v>Solvency II Sub-Board Committee</v>
      </c>
      <c r="C11" s="11">
        <v>42152</v>
      </c>
      <c r="D11" s="12">
        <v>102</v>
      </c>
      <c r="E11" s="10" t="s">
        <v>28</v>
      </c>
      <c r="F11" s="12" t="s">
        <v>10</v>
      </c>
      <c r="G11" s="12" t="s">
        <v>27</v>
      </c>
      <c r="H11" s="11">
        <v>42277</v>
      </c>
      <c r="I11" s="13" t="s">
        <v>39</v>
      </c>
      <c r="J11" s="32" t="s">
        <v>12</v>
      </c>
      <c r="K11" s="28" t="s">
        <v>126</v>
      </c>
    </row>
    <row r="12" spans="2:11" s="9" customFormat="1" ht="60">
      <c r="B12" s="11" t="str">
        <f>IF(J12="","",INDEX(Inputs!$B$3:$B$9,MATCH(Log!J12,Inputs!$D$3:$D$9,0)))</f>
        <v>Solvency II Sub-Board Committee</v>
      </c>
      <c r="C12" s="11">
        <v>42207</v>
      </c>
      <c r="D12" s="12">
        <v>119</v>
      </c>
      <c r="E12" s="10" t="s">
        <v>40</v>
      </c>
      <c r="F12" s="12" t="s">
        <v>10</v>
      </c>
      <c r="G12" s="12" t="s">
        <v>11</v>
      </c>
      <c r="H12" s="11">
        <v>42369</v>
      </c>
      <c r="I12" s="13" t="s">
        <v>21</v>
      </c>
      <c r="J12" s="32" t="s">
        <v>12</v>
      </c>
      <c r="K12" s="28" t="s">
        <v>126</v>
      </c>
    </row>
    <row r="13" spans="2:11" s="9" customFormat="1">
      <c r="B13" s="11" t="str">
        <f>IF(J13="","",INDEX(Inputs!$B$3:$B$9,MATCH(Log!J13,Inputs!$D$3:$D$9,0)))</f>
        <v>Solvency II Sub-Board Committee</v>
      </c>
      <c r="C13" s="11">
        <v>42247</v>
      </c>
      <c r="D13" s="12">
        <v>120</v>
      </c>
      <c r="E13" s="10"/>
      <c r="F13" s="12" t="s">
        <v>10</v>
      </c>
      <c r="G13" s="12"/>
      <c r="H13" s="11">
        <v>42255</v>
      </c>
      <c r="I13" s="13" t="s">
        <v>21</v>
      </c>
      <c r="J13" s="32" t="s">
        <v>12</v>
      </c>
      <c r="K13" s="28" t="s">
        <v>126</v>
      </c>
    </row>
    <row r="14" spans="2:11" s="9" customFormat="1">
      <c r="B14" s="11" t="str">
        <f>IF(J14="","",INDEX(Inputs!$B$3:$B$9,MATCH(Log!J14,Inputs!$D$3:$D$9,0)))</f>
        <v>Solvency II Sub-Board Committee</v>
      </c>
      <c r="C14" s="11">
        <v>42247</v>
      </c>
      <c r="D14" s="12">
        <v>121</v>
      </c>
      <c r="E14" s="10"/>
      <c r="F14" s="12" t="s">
        <v>10</v>
      </c>
      <c r="G14" s="12"/>
      <c r="H14" s="11">
        <v>42255</v>
      </c>
      <c r="I14" s="13" t="s">
        <v>21</v>
      </c>
      <c r="J14" s="32" t="s">
        <v>12</v>
      </c>
      <c r="K14" s="28" t="s">
        <v>126</v>
      </c>
    </row>
    <row r="15" spans="2:11" s="9" customFormat="1">
      <c r="B15" s="11" t="str">
        <f>IF(J15="","",INDEX(Inputs!$B$3:$B$9,MATCH(Log!J15,Inputs!$D$3:$D$9,0)))</f>
        <v>Solvency II Sub-Board Committee</v>
      </c>
      <c r="C15" s="11">
        <v>42247</v>
      </c>
      <c r="D15" s="12">
        <v>122</v>
      </c>
      <c r="E15" s="10"/>
      <c r="F15" s="12" t="s">
        <v>10</v>
      </c>
      <c r="G15" s="12"/>
      <c r="H15" s="11">
        <v>42255</v>
      </c>
      <c r="I15" s="13" t="s">
        <v>21</v>
      </c>
      <c r="J15" s="32" t="s">
        <v>12</v>
      </c>
      <c r="K15" s="28" t="s">
        <v>126</v>
      </c>
    </row>
    <row r="16" spans="2:11" s="9" customFormat="1">
      <c r="B16" s="11" t="str">
        <f>IF(J16="","",INDEX(Inputs!$B$3:$B$9,MATCH(Log!J16,Inputs!$D$3:$D$9,0)))</f>
        <v>Solvency II Sub-Board Committee</v>
      </c>
      <c r="C16" s="11">
        <v>42247</v>
      </c>
      <c r="D16" s="12">
        <v>123</v>
      </c>
      <c r="E16" s="10"/>
      <c r="F16" s="12" t="s">
        <v>10</v>
      </c>
      <c r="G16" s="12"/>
      <c r="H16" s="11">
        <v>42255</v>
      </c>
      <c r="I16" s="13" t="s">
        <v>21</v>
      </c>
      <c r="J16" s="32" t="s">
        <v>12</v>
      </c>
      <c r="K16" s="28" t="s">
        <v>126</v>
      </c>
    </row>
    <row r="17" spans="2:11" s="9" customFormat="1">
      <c r="B17" s="11" t="str">
        <f>IF(J17="","",INDEX(Inputs!$B$3:$B$9,MATCH(Log!J17,Inputs!$D$3:$D$9,0)))</f>
        <v>Solvency II Sub-Board Committee</v>
      </c>
      <c r="C17" s="11">
        <v>42247</v>
      </c>
      <c r="D17" s="12">
        <v>124</v>
      </c>
      <c r="E17" s="10"/>
      <c r="F17" s="12" t="s">
        <v>10</v>
      </c>
      <c r="G17" s="12"/>
      <c r="H17" s="11">
        <v>42255</v>
      </c>
      <c r="I17" s="13" t="s">
        <v>21</v>
      </c>
      <c r="J17" s="32" t="s">
        <v>12</v>
      </c>
      <c r="K17" s="28" t="s">
        <v>126</v>
      </c>
    </row>
    <row r="18" spans="2:11" s="9" customFormat="1">
      <c r="B18" s="11" t="str">
        <f>IF(J18="","",INDEX(Inputs!$B$3:$B$9,MATCH(Log!J18,Inputs!$D$3:$D$9,0)))</f>
        <v>Solvency II Sub-Board Committee</v>
      </c>
      <c r="C18" s="11">
        <v>42247</v>
      </c>
      <c r="D18" s="12">
        <v>125</v>
      </c>
      <c r="E18" s="10"/>
      <c r="F18" s="12" t="s">
        <v>10</v>
      </c>
      <c r="G18" s="12"/>
      <c r="H18" s="11">
        <v>42255</v>
      </c>
      <c r="I18" s="13" t="s">
        <v>21</v>
      </c>
      <c r="J18" s="32" t="s">
        <v>12</v>
      </c>
      <c r="K18" s="28" t="s">
        <v>126</v>
      </c>
    </row>
    <row r="19" spans="2:11" s="9" customFormat="1">
      <c r="B19" s="11" t="str">
        <f>IF(J19="","",INDEX(Inputs!$B$3:$B$9,MATCH(Log!J19,Inputs!$D$3:$D$9,0)))</f>
        <v>Solvency II Sub-Board Committee</v>
      </c>
      <c r="C19" s="11">
        <v>42247</v>
      </c>
      <c r="D19" s="12">
        <v>126</v>
      </c>
      <c r="E19" s="10"/>
      <c r="F19" s="12" t="s">
        <v>10</v>
      </c>
      <c r="G19" s="12"/>
      <c r="H19" s="11">
        <v>42255</v>
      </c>
      <c r="I19" s="13" t="s">
        <v>21</v>
      </c>
      <c r="J19" s="32" t="s">
        <v>12</v>
      </c>
      <c r="K19" s="28" t="s">
        <v>126</v>
      </c>
    </row>
    <row r="20" spans="2:11" s="9" customFormat="1">
      <c r="B20" s="11" t="str">
        <f>IF(J20="","",INDEX(Inputs!$B$3:$B$9,MATCH(Log!J20,Inputs!$D$3:$D$9,0)))</f>
        <v>Solvency II Sub-Board Committee</v>
      </c>
      <c r="C20" s="11">
        <v>42247</v>
      </c>
      <c r="D20" s="12">
        <v>127</v>
      </c>
      <c r="E20" s="10"/>
      <c r="F20" s="12" t="s">
        <v>10</v>
      </c>
      <c r="G20" s="12"/>
      <c r="H20" s="11">
        <v>42255</v>
      </c>
      <c r="I20" s="13" t="s">
        <v>21</v>
      </c>
      <c r="J20" s="32" t="s">
        <v>12</v>
      </c>
      <c r="K20" s="28" t="s">
        <v>126</v>
      </c>
    </row>
    <row r="21" spans="2:11" s="9" customFormat="1">
      <c r="B21" s="11" t="str">
        <f>IF(J21="","",INDEX(Inputs!$B$3:$B$9,MATCH(Log!J21,Inputs!$D$3:$D$9,0)))</f>
        <v>Solvency II Sub-Board Committee</v>
      </c>
      <c r="C21" s="11">
        <v>42247</v>
      </c>
      <c r="D21" s="12">
        <v>128</v>
      </c>
      <c r="E21" s="10"/>
      <c r="F21" s="12" t="s">
        <v>10</v>
      </c>
      <c r="G21" s="12"/>
      <c r="H21" s="11">
        <v>42255</v>
      </c>
      <c r="I21" s="13" t="s">
        <v>21</v>
      </c>
      <c r="J21" s="32" t="s">
        <v>12</v>
      </c>
      <c r="K21" s="28" t="s">
        <v>126</v>
      </c>
    </row>
    <row r="22" spans="2:11" s="9" customFormat="1">
      <c r="B22" s="11" t="str">
        <f>IF(J22="","",INDEX(Inputs!$B$3:$B$9,MATCH(Log!J22,Inputs!$D$3:$D$9,0)))</f>
        <v>Solvency II Sub-Board Committee</v>
      </c>
      <c r="C22" s="11">
        <v>42247</v>
      </c>
      <c r="D22" s="12">
        <v>129</v>
      </c>
      <c r="E22" s="10"/>
      <c r="F22" s="12" t="s">
        <v>10</v>
      </c>
      <c r="G22" s="12"/>
      <c r="H22" s="11">
        <v>42255</v>
      </c>
      <c r="I22" s="13" t="s">
        <v>21</v>
      </c>
      <c r="J22" s="32" t="s">
        <v>12</v>
      </c>
      <c r="K22" s="28" t="s">
        <v>126</v>
      </c>
    </row>
    <row r="23" spans="2:11" s="9" customFormat="1" ht="120">
      <c r="B23" s="11" t="str">
        <f>IF(J23="","",INDEX(Inputs!$B$3:$B$9,MATCH(Log!J23,Inputs!$D$3:$D$9,0)))</f>
        <v>Solvency II Steering Committee</v>
      </c>
      <c r="C23" s="11">
        <v>42101</v>
      </c>
      <c r="D23" s="12">
        <v>66</v>
      </c>
      <c r="E23" s="10" t="s">
        <v>22</v>
      </c>
      <c r="F23" s="12" t="s">
        <v>10</v>
      </c>
      <c r="G23" s="12" t="s">
        <v>14</v>
      </c>
      <c r="H23" s="11">
        <v>42234</v>
      </c>
      <c r="I23" s="13" t="s">
        <v>41</v>
      </c>
      <c r="J23" s="32" t="s">
        <v>13</v>
      </c>
      <c r="K23" s="28" t="s">
        <v>126</v>
      </c>
    </row>
    <row r="24" spans="2:11" s="9" customFormat="1" ht="60">
      <c r="B24" s="11" t="str">
        <f>IF(J24="","",INDEX(Inputs!$B$3:$B$9,MATCH(Log!J24,Inputs!$D$3:$D$9,0)))</f>
        <v>Solvency II Steering Committee</v>
      </c>
      <c r="C24" s="11">
        <v>42163</v>
      </c>
      <c r="D24" s="12">
        <v>78</v>
      </c>
      <c r="E24" s="10" t="s">
        <v>24</v>
      </c>
      <c r="F24" s="12" t="s">
        <v>10</v>
      </c>
      <c r="G24" s="12" t="s">
        <v>11</v>
      </c>
      <c r="H24" s="11">
        <v>42234</v>
      </c>
      <c r="I24" s="13" t="s">
        <v>29</v>
      </c>
      <c r="J24" s="32" t="s">
        <v>13</v>
      </c>
      <c r="K24" s="28" t="s">
        <v>126</v>
      </c>
    </row>
    <row r="25" spans="2:11" s="9" customFormat="1" ht="90">
      <c r="B25" s="11" t="str">
        <f>IF(J25="","",INDEX(Inputs!$B$3:$B$9,MATCH(Log!J25,Inputs!$D$3:$D$9,0)))</f>
        <v>Solvency II Steering Committee</v>
      </c>
      <c r="C25" s="11">
        <v>42163</v>
      </c>
      <c r="D25" s="12">
        <v>81</v>
      </c>
      <c r="E25" s="10" t="s">
        <v>25</v>
      </c>
      <c r="F25" s="12" t="s">
        <v>10</v>
      </c>
      <c r="G25" s="12" t="s">
        <v>14</v>
      </c>
      <c r="H25" s="11">
        <v>42234</v>
      </c>
      <c r="I25" s="13" t="s">
        <v>42</v>
      </c>
      <c r="J25" s="32" t="s">
        <v>13</v>
      </c>
      <c r="K25" s="28" t="s">
        <v>126</v>
      </c>
    </row>
    <row r="26" spans="2:11" s="9" customFormat="1" ht="75">
      <c r="B26" s="11" t="str">
        <f>IF(J26="","",INDEX(Inputs!$B$3:$B$9,MATCH(Log!J26,Inputs!$D$3:$D$9,0)))</f>
        <v>Solvency II Steering Committee</v>
      </c>
      <c r="C26" s="11">
        <v>42205</v>
      </c>
      <c r="D26" s="12">
        <v>83</v>
      </c>
      <c r="E26" s="10" t="s">
        <v>43</v>
      </c>
      <c r="F26" s="12" t="s">
        <v>10</v>
      </c>
      <c r="G26" s="12" t="s">
        <v>44</v>
      </c>
      <c r="H26" s="11">
        <v>42234</v>
      </c>
      <c r="I26" s="13" t="s">
        <v>23</v>
      </c>
      <c r="J26" s="32" t="s">
        <v>13</v>
      </c>
      <c r="K26" s="28" t="s">
        <v>126</v>
      </c>
    </row>
    <row r="27" spans="2:11" s="9" customFormat="1" ht="45">
      <c r="B27" s="11" t="str">
        <f>IF(J27="","",INDEX(Inputs!$B$3:$B$9,MATCH(Log!J27,Inputs!$D$3:$D$9,0)))</f>
        <v>Solvency II Steering Committee</v>
      </c>
      <c r="C27" s="11">
        <v>42234</v>
      </c>
      <c r="D27" s="12">
        <v>84</v>
      </c>
      <c r="E27" s="10" t="s">
        <v>45</v>
      </c>
      <c r="F27" s="12" t="s">
        <v>10</v>
      </c>
      <c r="G27" s="12" t="s">
        <v>11</v>
      </c>
      <c r="H27" s="11">
        <v>42270</v>
      </c>
      <c r="I27" s="13" t="s">
        <v>23</v>
      </c>
      <c r="J27" s="32" t="s">
        <v>13</v>
      </c>
      <c r="K27" s="28" t="s">
        <v>126</v>
      </c>
    </row>
    <row r="28" spans="2:11" s="9" customFormat="1">
      <c r="B28" s="11" t="str">
        <f>IF(J28="","",INDEX(Inputs!$B$3:$B$9,MATCH(Log!J28,Inputs!$D$3:$D$9,0)))</f>
        <v>Solvency II Steering Committee</v>
      </c>
      <c r="C28" s="11">
        <v>42234</v>
      </c>
      <c r="D28" s="12">
        <v>85</v>
      </c>
      <c r="E28" s="10"/>
      <c r="F28" s="12" t="s">
        <v>10</v>
      </c>
      <c r="G28" s="12"/>
      <c r="H28" s="11">
        <v>42234</v>
      </c>
      <c r="I28" s="13" t="s">
        <v>23</v>
      </c>
      <c r="J28" s="32" t="s">
        <v>13</v>
      </c>
      <c r="K28" s="28" t="s">
        <v>126</v>
      </c>
    </row>
    <row r="29" spans="2:11" s="9" customFormat="1">
      <c r="B29" s="11" t="str">
        <f>IF(J29="","",INDEX(Inputs!$B$3:$B$9,MATCH(Log!J29,Inputs!$D$3:$D$9,0)))</f>
        <v>Solvency II Steering Committee</v>
      </c>
      <c r="C29" s="11">
        <v>42234</v>
      </c>
      <c r="D29" s="12">
        <v>86</v>
      </c>
      <c r="E29" s="10"/>
      <c r="F29" s="12" t="s">
        <v>10</v>
      </c>
      <c r="G29" s="12"/>
      <c r="H29" s="11">
        <v>42234</v>
      </c>
      <c r="I29" s="13" t="s">
        <v>23</v>
      </c>
      <c r="J29" s="32" t="s">
        <v>13</v>
      </c>
      <c r="K29" s="28" t="s">
        <v>126</v>
      </c>
    </row>
    <row r="30" spans="2:11" s="9" customFormat="1">
      <c r="B30" s="11" t="str">
        <f>IF(J30="","",INDEX(Inputs!$B$3:$B$9,MATCH(Log!J30,Inputs!$D$3:$D$9,0)))</f>
        <v>Solvency II Steering Committee</v>
      </c>
      <c r="C30" s="11">
        <v>42234</v>
      </c>
      <c r="D30" s="12">
        <v>87</v>
      </c>
      <c r="E30" s="10"/>
      <c r="F30" s="12" t="s">
        <v>10</v>
      </c>
      <c r="G30" s="12"/>
      <c r="H30" s="11">
        <v>42234</v>
      </c>
      <c r="I30" s="13" t="s">
        <v>23</v>
      </c>
      <c r="J30" s="32" t="s">
        <v>13</v>
      </c>
      <c r="K30" s="28" t="s">
        <v>126</v>
      </c>
    </row>
    <row r="31" spans="2:11" s="9" customFormat="1">
      <c r="B31" s="11" t="str">
        <f>IF(J31="","",INDEX(Inputs!$B$3:$B$9,MATCH(Log!J31,Inputs!$D$3:$D$9,0)))</f>
        <v>Solvency II Steering Committee</v>
      </c>
      <c r="C31" s="11">
        <v>42234</v>
      </c>
      <c r="D31" s="12">
        <v>88</v>
      </c>
      <c r="E31" s="10"/>
      <c r="F31" s="12" t="s">
        <v>10</v>
      </c>
      <c r="G31" s="12"/>
      <c r="H31" s="11">
        <v>42234</v>
      </c>
      <c r="I31" s="13" t="s">
        <v>23</v>
      </c>
      <c r="J31" s="32" t="s">
        <v>13</v>
      </c>
      <c r="K31" s="28" t="s">
        <v>126</v>
      </c>
    </row>
    <row r="32" spans="2:11" s="9" customFormat="1">
      <c r="B32" s="11" t="str">
        <f>IF(J32="","",INDEX(Inputs!$B$3:$B$9,MATCH(Log!J32,Inputs!$D$3:$D$9,0)))</f>
        <v>Solvency II Steering Committee</v>
      </c>
      <c r="C32" s="11">
        <v>42234</v>
      </c>
      <c r="D32" s="12">
        <v>89</v>
      </c>
      <c r="E32" s="10"/>
      <c r="F32" s="12" t="s">
        <v>10</v>
      </c>
      <c r="G32" s="12"/>
      <c r="H32" s="11">
        <v>42234</v>
      </c>
      <c r="I32" s="13" t="s">
        <v>23</v>
      </c>
      <c r="J32" s="32" t="s">
        <v>13</v>
      </c>
      <c r="K32" s="28" t="s">
        <v>126</v>
      </c>
    </row>
    <row r="33" spans="2:11" s="9" customFormat="1">
      <c r="B33" s="11" t="str">
        <f>IF(J33="","",INDEX(Inputs!$B$3:$B$9,MATCH(Log!J33,Inputs!$D$3:$D$9,0)))</f>
        <v>Solvency II Steering Committee</v>
      </c>
      <c r="C33" s="11">
        <v>42234</v>
      </c>
      <c r="D33" s="12">
        <v>90</v>
      </c>
      <c r="E33" s="10"/>
      <c r="F33" s="12" t="s">
        <v>10</v>
      </c>
      <c r="G33" s="12"/>
      <c r="H33" s="11">
        <v>42234</v>
      </c>
      <c r="I33" s="13" t="s">
        <v>23</v>
      </c>
      <c r="J33" s="32" t="s">
        <v>13</v>
      </c>
      <c r="K33" s="28" t="s">
        <v>126</v>
      </c>
    </row>
    <row r="34" spans="2:11" s="9" customFormat="1">
      <c r="B34" s="11" t="str">
        <f>IF(J34="","",INDEX(Inputs!$B$3:$B$9,MATCH(Log!J34,Inputs!$D$3:$D$9,0)))</f>
        <v>Solvency II Steering Committee</v>
      </c>
      <c r="C34" s="11">
        <v>42234</v>
      </c>
      <c r="D34" s="12">
        <v>91</v>
      </c>
      <c r="E34" s="10"/>
      <c r="F34" s="12" t="s">
        <v>10</v>
      </c>
      <c r="G34" s="12"/>
      <c r="H34" s="11">
        <v>42234</v>
      </c>
      <c r="I34" s="13" t="s">
        <v>23</v>
      </c>
      <c r="J34" s="32" t="s">
        <v>13</v>
      </c>
      <c r="K34" s="28" t="s">
        <v>126</v>
      </c>
    </row>
    <row r="35" spans="2:11">
      <c r="B35" s="11" t="str">
        <f>IF(J35="","",INDEX(Inputs!$B$3:$B$9,MATCH(Log!J35,Inputs!$D$3:$D$9,0)))</f>
        <v>Solvency II Steering Committee</v>
      </c>
      <c r="C35" s="11">
        <v>42234</v>
      </c>
      <c r="D35" s="12">
        <v>92</v>
      </c>
      <c r="E35" s="10"/>
      <c r="F35" s="12" t="s">
        <v>10</v>
      </c>
      <c r="G35" s="12"/>
      <c r="H35" s="11">
        <v>42234</v>
      </c>
      <c r="I35" s="13" t="s">
        <v>23</v>
      </c>
      <c r="J35" t="s">
        <v>13</v>
      </c>
      <c r="K35" s="34" t="s">
        <v>126</v>
      </c>
    </row>
    <row r="36" spans="2:11">
      <c r="B36" s="11" t="str">
        <f>IF(J36="","",INDEX(Inputs!$B$3:$B$9,MATCH(Log!J36,Inputs!$D$3:$D$9,0)))</f>
        <v>Solvency II Steering Committee</v>
      </c>
      <c r="C36" s="11">
        <v>42234</v>
      </c>
      <c r="D36" s="12">
        <v>93</v>
      </c>
      <c r="E36" s="10"/>
      <c r="F36" s="12" t="s">
        <v>10</v>
      </c>
      <c r="G36" s="12"/>
      <c r="H36" s="11">
        <v>42234</v>
      </c>
      <c r="I36" s="13" t="s">
        <v>23</v>
      </c>
      <c r="J36" t="s">
        <v>13</v>
      </c>
      <c r="K36" s="34" t="s">
        <v>126</v>
      </c>
    </row>
    <row r="37" spans="2:11">
      <c r="B37" s="11" t="str">
        <f>IF(J37="","",INDEX(Inputs!$B$3:$B$9,MATCH(Log!J37,Inputs!$D$3:$D$9,0)))</f>
        <v>Solvency II Steering Committee</v>
      </c>
      <c r="C37" s="11">
        <v>42234</v>
      </c>
      <c r="D37" s="12">
        <v>94</v>
      </c>
      <c r="E37" s="10"/>
      <c r="F37" s="12" t="s">
        <v>10</v>
      </c>
      <c r="G37" s="12"/>
      <c r="H37" s="11">
        <v>42234</v>
      </c>
      <c r="I37" s="13" t="s">
        <v>23</v>
      </c>
      <c r="J37" t="s">
        <v>13</v>
      </c>
      <c r="K37" s="34" t="s">
        <v>126</v>
      </c>
    </row>
    <row r="38" spans="2:11">
      <c r="B38" s="11" t="str">
        <f>IF(J38="","",INDEX(Inputs!$B$3:$B$9,MATCH(Log!J38,Inputs!$D$3:$D$9,0)))</f>
        <v>Solvency II Steering Committee</v>
      </c>
      <c r="C38" s="11">
        <v>42234</v>
      </c>
      <c r="D38" s="12">
        <v>95</v>
      </c>
      <c r="E38" s="10"/>
      <c r="F38" s="12" t="s">
        <v>10</v>
      </c>
      <c r="G38" s="12"/>
      <c r="H38" s="11">
        <v>42234</v>
      </c>
      <c r="I38" s="13" t="s">
        <v>23</v>
      </c>
      <c r="J38" t="s">
        <v>13</v>
      </c>
      <c r="K38" s="34" t="s">
        <v>126</v>
      </c>
    </row>
    <row r="39" spans="2:11">
      <c r="B39" s="11" t="str">
        <f>IF(J39="","",INDEX(Inputs!$B$3:$B$9,MATCH(Log!J39,Inputs!$D$3:$D$9,0)))</f>
        <v>Solvency II Steering Committee</v>
      </c>
      <c r="C39" s="11">
        <v>42234</v>
      </c>
      <c r="D39" s="12">
        <v>96</v>
      </c>
      <c r="E39" s="10"/>
      <c r="F39" s="12" t="s">
        <v>10</v>
      </c>
      <c r="G39" s="12"/>
      <c r="H39" s="11">
        <v>42234</v>
      </c>
      <c r="I39" s="13" t="s">
        <v>23</v>
      </c>
      <c r="J39" s="8" t="s">
        <v>13</v>
      </c>
      <c r="K39" s="34" t="s">
        <v>126</v>
      </c>
    </row>
    <row r="40" spans="2:11" ht="30">
      <c r="B40" s="11" t="str">
        <f>IF(J40="","",INDEX(Inputs!$B$3:$B$9,MATCH(Log!J40,Inputs!$D$3:$D$9,0)))</f>
        <v>Capital Management Committee(WO'C only)</v>
      </c>
      <c r="C40" s="11">
        <v>41886</v>
      </c>
      <c r="D40" s="12">
        <v>24</v>
      </c>
      <c r="E40" s="10" t="s">
        <v>46</v>
      </c>
      <c r="F40" s="12" t="s">
        <v>10</v>
      </c>
      <c r="G40" s="12" t="s">
        <v>47</v>
      </c>
      <c r="H40" s="11">
        <v>42271</v>
      </c>
      <c r="I40" s="13" t="s">
        <v>48</v>
      </c>
      <c r="J40" s="8" t="s">
        <v>49</v>
      </c>
      <c r="K40" s="34" t="s">
        <v>126</v>
      </c>
    </row>
    <row r="41" spans="2:11" ht="45">
      <c r="B41" s="11" t="str">
        <f>IF(J41="","",INDEX(Inputs!$B$3:$B$9,MATCH(Log!J41,Inputs!$D$3:$D$9,0)))</f>
        <v>Capital Management Committee(WO'C only)</v>
      </c>
      <c r="C41" s="11">
        <v>41992</v>
      </c>
      <c r="D41" s="12">
        <v>29</v>
      </c>
      <c r="E41" s="10" t="s">
        <v>50</v>
      </c>
      <c r="F41" s="12" t="s">
        <v>10</v>
      </c>
      <c r="G41" s="12" t="s">
        <v>16</v>
      </c>
      <c r="H41" s="11">
        <v>42244</v>
      </c>
      <c r="I41" s="13" t="s">
        <v>51</v>
      </c>
      <c r="J41" s="8" t="s">
        <v>49</v>
      </c>
      <c r="K41" s="34" t="s">
        <v>126</v>
      </c>
    </row>
    <row r="42" spans="2:11" ht="45">
      <c r="B42" s="11" t="str">
        <f>IF(J42="","",INDEX(Inputs!$B$3:$B$9,MATCH(Log!J42,Inputs!$D$3:$D$9,0)))</f>
        <v>Capital Management Committee(WO'C only)</v>
      </c>
      <c r="C42" s="11">
        <v>41992</v>
      </c>
      <c r="D42" s="12">
        <v>30</v>
      </c>
      <c r="E42" s="10" t="s">
        <v>52</v>
      </c>
      <c r="F42" s="12" t="s">
        <v>10</v>
      </c>
      <c r="G42" s="12" t="s">
        <v>16</v>
      </c>
      <c r="H42" s="11">
        <v>42244</v>
      </c>
      <c r="I42" s="13" t="s">
        <v>51</v>
      </c>
      <c r="J42" s="8" t="s">
        <v>49</v>
      </c>
      <c r="K42" s="34" t="s">
        <v>126</v>
      </c>
    </row>
    <row r="43" spans="2:11" ht="30">
      <c r="B43" s="11" t="str">
        <f>IF(J43="","",INDEX(Inputs!$B$3:$B$9,MATCH(Log!J43,Inputs!$D$3:$D$9,0)))</f>
        <v>Capital Management Committee(WO'C only)</v>
      </c>
      <c r="C43" s="11">
        <v>42153</v>
      </c>
      <c r="D43" s="12">
        <v>35</v>
      </c>
      <c r="E43" s="10" t="s">
        <v>53</v>
      </c>
      <c r="F43" s="12" t="s">
        <v>10</v>
      </c>
      <c r="G43" s="12" t="s">
        <v>54</v>
      </c>
      <c r="H43" s="11">
        <v>42244</v>
      </c>
      <c r="I43" s="13"/>
      <c r="J43" s="8" t="s">
        <v>49</v>
      </c>
      <c r="K43" s="34" t="s">
        <v>126</v>
      </c>
    </row>
    <row r="44" spans="2:11" ht="45">
      <c r="B44" s="11" t="str">
        <f>IF(J44="","",INDEX(Inputs!$B$3:$B$9,MATCH(Log!J44,Inputs!$D$3:$D$9,0)))</f>
        <v>Capital Management Committee(WO'C only)</v>
      </c>
      <c r="C44" s="11">
        <v>42153</v>
      </c>
      <c r="D44" s="12">
        <v>36</v>
      </c>
      <c r="E44" s="10" t="s">
        <v>55</v>
      </c>
      <c r="F44" s="12" t="s">
        <v>10</v>
      </c>
      <c r="G44" s="12" t="s">
        <v>47</v>
      </c>
      <c r="H44" s="11">
        <v>42244</v>
      </c>
      <c r="I44" s="13"/>
      <c r="J44" s="8" t="s">
        <v>49</v>
      </c>
      <c r="K44" s="34" t="s">
        <v>126</v>
      </c>
    </row>
    <row r="45" spans="2:11" ht="45">
      <c r="B45" s="11" t="str">
        <f>IF(J45="","",INDEX(Inputs!$B$3:$B$9,MATCH(Log!J45,Inputs!$D$3:$D$9,0)))</f>
        <v>Capital Management Committee(WO'C only)</v>
      </c>
      <c r="C45" s="11">
        <v>42153</v>
      </c>
      <c r="D45" s="12">
        <v>38</v>
      </c>
      <c r="E45" s="10" t="s">
        <v>56</v>
      </c>
      <c r="F45" s="12" t="s">
        <v>10</v>
      </c>
      <c r="G45" s="12" t="s">
        <v>57</v>
      </c>
      <c r="H45" s="11">
        <v>42244</v>
      </c>
      <c r="I45" s="13"/>
      <c r="J45" s="8" t="s">
        <v>49</v>
      </c>
      <c r="K45" s="34" t="s">
        <v>126</v>
      </c>
    </row>
    <row r="46" spans="2:11" ht="45">
      <c r="B46" s="11" t="str">
        <f>IF(J46="","",INDEX(Inputs!$B$3:$B$9,MATCH(Log!J46,Inputs!$D$3:$D$9,0)))</f>
        <v>Capital Management Committee(WO'C only)</v>
      </c>
      <c r="C46" s="11">
        <v>42244</v>
      </c>
      <c r="D46" s="12">
        <v>39</v>
      </c>
      <c r="E46" s="10" t="s">
        <v>58</v>
      </c>
      <c r="F46" s="12" t="s">
        <v>10</v>
      </c>
      <c r="G46" s="12" t="s">
        <v>11</v>
      </c>
      <c r="H46" s="11">
        <v>42271</v>
      </c>
      <c r="I46" s="13" t="s">
        <v>59</v>
      </c>
      <c r="J46" s="8" t="s">
        <v>49</v>
      </c>
      <c r="K46" s="34" t="s">
        <v>126</v>
      </c>
    </row>
    <row r="47" spans="2:11" ht="30">
      <c r="B47" s="11" t="str">
        <f>IF(J47="","",INDEX(Inputs!$B$3:$B$9,MATCH(Log!J47,Inputs!$D$3:$D$9,0)))</f>
        <v>Capital Plan</v>
      </c>
      <c r="C47" s="11">
        <v>42215</v>
      </c>
      <c r="D47" s="12">
        <v>3</v>
      </c>
      <c r="E47" s="10" t="s">
        <v>60</v>
      </c>
      <c r="F47" s="12" t="s">
        <v>10</v>
      </c>
      <c r="G47" s="12" t="s">
        <v>61</v>
      </c>
      <c r="H47" s="11">
        <v>42237</v>
      </c>
      <c r="I47" s="13" t="s">
        <v>62</v>
      </c>
      <c r="J47" s="8" t="s">
        <v>30</v>
      </c>
      <c r="K47" s="34" t="s">
        <v>63</v>
      </c>
    </row>
    <row r="48" spans="2:11" ht="45">
      <c r="B48" s="11" t="str">
        <f>IF(J48="","",INDEX(Inputs!$B$3:$B$9,MATCH(Log!J48,Inputs!$D$3:$D$9,0)))</f>
        <v>Capital Plan</v>
      </c>
      <c r="C48" s="11">
        <v>42215</v>
      </c>
      <c r="D48" s="12">
        <v>4</v>
      </c>
      <c r="E48" s="10" t="s">
        <v>64</v>
      </c>
      <c r="F48" s="12" t="s">
        <v>10</v>
      </c>
      <c r="G48" s="12" t="s">
        <v>65</v>
      </c>
      <c r="H48" s="11">
        <v>42241</v>
      </c>
      <c r="I48" s="13" t="s">
        <v>66</v>
      </c>
      <c r="J48" s="8" t="s">
        <v>30</v>
      </c>
      <c r="K48" s="34" t="s">
        <v>63</v>
      </c>
    </row>
    <row r="49" spans="2:11">
      <c r="B49" s="11" t="str">
        <f>IF(J49="","",INDEX(Inputs!$B$3:$B$9,MATCH(Log!J49,Inputs!$D$3:$D$9,0)))</f>
        <v>Capital Plan</v>
      </c>
      <c r="C49" s="11">
        <v>42215</v>
      </c>
      <c r="D49" s="12">
        <v>6</v>
      </c>
      <c r="E49" s="10" t="s">
        <v>67</v>
      </c>
      <c r="F49" s="12" t="s">
        <v>10</v>
      </c>
      <c r="G49" s="12" t="s">
        <v>61</v>
      </c>
      <c r="H49" s="11">
        <v>42240</v>
      </c>
      <c r="I49" s="13" t="s">
        <v>68</v>
      </c>
      <c r="J49" s="8" t="s">
        <v>30</v>
      </c>
      <c r="K49" s="34" t="s">
        <v>63</v>
      </c>
    </row>
    <row r="50" spans="2:11" ht="45">
      <c r="B50" s="11" t="str">
        <f>IF(J50="","",INDEX(Inputs!$B$3:$B$9,MATCH(Log!J50,Inputs!$D$3:$D$9,0)))</f>
        <v>Capital Plan</v>
      </c>
      <c r="C50" s="11">
        <v>42215</v>
      </c>
      <c r="D50" s="12">
        <v>17</v>
      </c>
      <c r="E50" s="10" t="s">
        <v>69</v>
      </c>
      <c r="F50" s="12" t="s">
        <v>10</v>
      </c>
      <c r="G50" s="12" t="s">
        <v>70</v>
      </c>
      <c r="H50" s="11">
        <v>42236</v>
      </c>
      <c r="I50" s="13" t="s">
        <v>71</v>
      </c>
      <c r="J50" s="8" t="s">
        <v>30</v>
      </c>
      <c r="K50" s="34" t="s">
        <v>63</v>
      </c>
    </row>
    <row r="51" spans="2:11">
      <c r="B51" s="11" t="str">
        <f>IF(J51="","",INDEX(Inputs!$B$3:$B$9,MATCH(Log!J51,Inputs!$D$3:$D$9,0)))</f>
        <v>Capital Plan</v>
      </c>
      <c r="C51" s="11">
        <v>42215</v>
      </c>
      <c r="D51" s="12">
        <v>18</v>
      </c>
      <c r="E51" s="10" t="s">
        <v>72</v>
      </c>
      <c r="F51" s="12" t="s">
        <v>10</v>
      </c>
      <c r="G51" s="12" t="s">
        <v>73</v>
      </c>
      <c r="H51" s="11">
        <v>42240</v>
      </c>
      <c r="I51" s="13" t="s">
        <v>74</v>
      </c>
      <c r="J51" s="8" t="s">
        <v>30</v>
      </c>
      <c r="K51" s="34" t="s">
        <v>63</v>
      </c>
    </row>
    <row r="52" spans="2:11" ht="30">
      <c r="B52" s="11" t="str">
        <f>IF(J52="","",INDEX(Inputs!$B$3:$B$9,MATCH(Log!J52,Inputs!$D$3:$D$9,0)))</f>
        <v>Capital Plan</v>
      </c>
      <c r="C52" s="11">
        <v>42215</v>
      </c>
      <c r="D52" s="12">
        <v>20</v>
      </c>
      <c r="E52" s="10" t="s">
        <v>75</v>
      </c>
      <c r="F52" s="12" t="s">
        <v>10</v>
      </c>
      <c r="G52" s="12" t="s">
        <v>76</v>
      </c>
      <c r="H52" s="11">
        <v>42241</v>
      </c>
      <c r="I52" s="13" t="s">
        <v>77</v>
      </c>
      <c r="J52" s="8" t="s">
        <v>30</v>
      </c>
      <c r="K52" s="34" t="s">
        <v>63</v>
      </c>
    </row>
    <row r="53" spans="2:11" ht="30">
      <c r="B53" s="11" t="str">
        <f>IF(J53="","",INDEX(Inputs!$B$3:$B$9,MATCH(Log!J53,Inputs!$D$3:$D$9,0)))</f>
        <v>Capital Plan</v>
      </c>
      <c r="C53" s="11">
        <v>42222</v>
      </c>
      <c r="D53" s="12">
        <v>36</v>
      </c>
      <c r="E53" s="10" t="s">
        <v>78</v>
      </c>
      <c r="F53" s="12" t="s">
        <v>10</v>
      </c>
      <c r="G53" s="12" t="s">
        <v>79</v>
      </c>
      <c r="H53" s="11">
        <v>42241</v>
      </c>
      <c r="I53" s="13" t="s">
        <v>80</v>
      </c>
      <c r="J53" s="8" t="s">
        <v>30</v>
      </c>
      <c r="K53" s="34" t="s">
        <v>63</v>
      </c>
    </row>
    <row r="54" spans="2:11" ht="30">
      <c r="B54" s="11" t="str">
        <f>IF(J54="","",INDEX(Inputs!$B$3:$B$9,MATCH(Log!J54,Inputs!$D$3:$D$9,0)))</f>
        <v>Capital Plan</v>
      </c>
      <c r="C54" s="11">
        <v>42236</v>
      </c>
      <c r="D54" s="12">
        <v>37</v>
      </c>
      <c r="E54" s="10" t="s">
        <v>81</v>
      </c>
      <c r="F54" s="12" t="s">
        <v>10</v>
      </c>
      <c r="G54" s="12" t="s">
        <v>82</v>
      </c>
      <c r="H54" s="11">
        <v>42240</v>
      </c>
      <c r="I54" s="13" t="s">
        <v>83</v>
      </c>
      <c r="J54" s="8" t="s">
        <v>30</v>
      </c>
      <c r="K54" s="34" t="s">
        <v>63</v>
      </c>
    </row>
    <row r="55" spans="2:11" ht="45">
      <c r="B55" s="11" t="str">
        <f>IF(J55="","",INDEX(Inputs!$B$3:$B$9,MATCH(Log!J55,Inputs!$D$3:$D$9,0)))</f>
        <v>Capital Plan</v>
      </c>
      <c r="C55" s="11">
        <v>42236</v>
      </c>
      <c r="D55" s="12">
        <v>38</v>
      </c>
      <c r="E55" s="10" t="s">
        <v>84</v>
      </c>
      <c r="F55" s="12" t="s">
        <v>10</v>
      </c>
      <c r="G55" s="12" t="s">
        <v>82</v>
      </c>
      <c r="H55" s="11">
        <v>42240</v>
      </c>
      <c r="I55" s="13" t="s">
        <v>83</v>
      </c>
      <c r="J55" s="8" t="s">
        <v>30</v>
      </c>
      <c r="K55" s="34" t="s">
        <v>63</v>
      </c>
    </row>
    <row r="56" spans="2:11" ht="60">
      <c r="B56" s="11" t="str">
        <f>IF(J56="","",INDEX(Inputs!$B$3:$B$9,MATCH(Log!J56,Inputs!$D$3:$D$9,0)))</f>
        <v>Capital Plan</v>
      </c>
      <c r="C56" s="11">
        <v>42236</v>
      </c>
      <c r="D56" s="12">
        <v>39</v>
      </c>
      <c r="E56" s="10" t="s">
        <v>85</v>
      </c>
      <c r="F56" s="12" t="s">
        <v>10</v>
      </c>
      <c r="G56" s="12" t="s">
        <v>16</v>
      </c>
      <c r="H56" s="11">
        <v>42240</v>
      </c>
      <c r="I56" s="13" t="s">
        <v>83</v>
      </c>
      <c r="J56" s="8" t="s">
        <v>30</v>
      </c>
      <c r="K56" s="34" t="s">
        <v>63</v>
      </c>
    </row>
    <row r="57" spans="2:11" ht="75">
      <c r="B57" s="11" t="str">
        <f>IF(J57="","",INDEX(Inputs!$B$3:$B$9,MATCH(Log!J57,Inputs!$D$3:$D$9,0)))</f>
        <v>Capital Plan</v>
      </c>
      <c r="C57" s="11">
        <v>42236</v>
      </c>
      <c r="D57" s="12">
        <v>40</v>
      </c>
      <c r="E57" s="10" t="s">
        <v>86</v>
      </c>
      <c r="F57" s="12" t="s">
        <v>10</v>
      </c>
      <c r="G57" s="12" t="s">
        <v>82</v>
      </c>
      <c r="H57" s="11">
        <v>42240</v>
      </c>
      <c r="I57" s="13" t="s">
        <v>83</v>
      </c>
      <c r="J57" s="8" t="s">
        <v>30</v>
      </c>
      <c r="K57" s="34" t="s">
        <v>63</v>
      </c>
    </row>
    <row r="58" spans="2:11" ht="30">
      <c r="B58" s="11" t="str">
        <f>IF(J58="","",INDEX(Inputs!$B$3:$B$9,MATCH(Log!J58,Inputs!$D$3:$D$9,0)))</f>
        <v>Capital Plan</v>
      </c>
      <c r="C58" s="11">
        <v>42215</v>
      </c>
      <c r="D58" s="12">
        <v>13</v>
      </c>
      <c r="E58" s="10" t="s">
        <v>87</v>
      </c>
      <c r="F58" s="12" t="s">
        <v>10</v>
      </c>
      <c r="G58" s="12" t="s">
        <v>82</v>
      </c>
      <c r="H58" s="11">
        <v>42240</v>
      </c>
      <c r="I58" s="13" t="s">
        <v>88</v>
      </c>
      <c r="J58" s="8" t="s">
        <v>30</v>
      </c>
      <c r="K58" s="34" t="s">
        <v>89</v>
      </c>
    </row>
    <row r="59" spans="2:11" ht="30">
      <c r="B59" s="11" t="str">
        <f>IF(J59="","",INDEX(Inputs!$B$3:$B$9,MATCH(Log!J59,Inputs!$D$3:$D$9,0)))</f>
        <v>Capital Plan</v>
      </c>
      <c r="C59" s="11">
        <v>42215</v>
      </c>
      <c r="D59" s="12">
        <v>21</v>
      </c>
      <c r="E59" s="10" t="s">
        <v>90</v>
      </c>
      <c r="F59" s="12" t="s">
        <v>10</v>
      </c>
      <c r="G59" s="12" t="s">
        <v>91</v>
      </c>
      <c r="H59" s="11">
        <v>42241</v>
      </c>
      <c r="I59" s="13" t="s">
        <v>92</v>
      </c>
      <c r="J59" s="8" t="s">
        <v>30</v>
      </c>
      <c r="K59" s="34" t="s">
        <v>89</v>
      </c>
    </row>
    <row r="60" spans="2:11" ht="30">
      <c r="B60" s="11" t="str">
        <f>IF(J60="","",INDEX(Inputs!$B$3:$B$9,MATCH(Log!J60,Inputs!$D$3:$D$9,0)))</f>
        <v>Capital Plan</v>
      </c>
      <c r="C60" s="11">
        <v>42215</v>
      </c>
      <c r="D60" s="12">
        <v>22</v>
      </c>
      <c r="E60" s="10" t="s">
        <v>93</v>
      </c>
      <c r="F60" s="12" t="s">
        <v>10</v>
      </c>
      <c r="G60" s="12" t="s">
        <v>94</v>
      </c>
      <c r="H60" s="11">
        <v>42241</v>
      </c>
      <c r="I60" s="13" t="s">
        <v>95</v>
      </c>
      <c r="J60" s="8" t="s">
        <v>30</v>
      </c>
      <c r="K60" s="34" t="s">
        <v>89</v>
      </c>
    </row>
    <row r="61" spans="2:11" ht="30">
      <c r="B61" s="11" t="str">
        <f>IF(J61="","",INDEX(Inputs!$B$3:$B$9,MATCH(Log!J61,Inputs!$D$3:$D$9,0)))</f>
        <v>Capital Plan</v>
      </c>
      <c r="C61" s="11">
        <v>42222</v>
      </c>
      <c r="D61" s="12">
        <v>29</v>
      </c>
      <c r="E61" s="10" t="s">
        <v>96</v>
      </c>
      <c r="F61" s="12" t="s">
        <v>10</v>
      </c>
      <c r="G61" s="12" t="s">
        <v>97</v>
      </c>
      <c r="H61" s="11">
        <v>42242</v>
      </c>
      <c r="I61" s="13" t="s">
        <v>83</v>
      </c>
      <c r="J61" s="8" t="s">
        <v>30</v>
      </c>
      <c r="K61" s="34" t="s">
        <v>89</v>
      </c>
    </row>
    <row r="62" spans="2:11" ht="30">
      <c r="B62" s="11" t="str">
        <f>IF(J62="","",INDEX(Inputs!$B$3:$B$9,MATCH(Log!J62,Inputs!$D$3:$D$9,0)))</f>
        <v>Capital Plan</v>
      </c>
      <c r="C62" s="11">
        <v>42236</v>
      </c>
      <c r="D62" s="12">
        <v>41</v>
      </c>
      <c r="E62" s="10" t="s">
        <v>98</v>
      </c>
      <c r="F62" s="12" t="s">
        <v>10</v>
      </c>
      <c r="G62" s="12" t="s">
        <v>61</v>
      </c>
      <c r="H62" s="11">
        <v>42240</v>
      </c>
      <c r="I62" s="13" t="s">
        <v>83</v>
      </c>
      <c r="J62" s="8" t="s">
        <v>30</v>
      </c>
      <c r="K62" s="34" t="s">
        <v>89</v>
      </c>
    </row>
    <row r="63" spans="2:11" ht="30">
      <c r="B63" s="11" t="str">
        <f>IF(J63="","",INDEX(Inputs!$B$3:$B$9,MATCH(Log!J63,Inputs!$D$3:$D$9,0)))</f>
        <v>Capital Plan</v>
      </c>
      <c r="C63" s="11">
        <v>42236</v>
      </c>
      <c r="D63" s="12">
        <v>42</v>
      </c>
      <c r="E63" s="10" t="s">
        <v>99</v>
      </c>
      <c r="F63" s="12" t="s">
        <v>10</v>
      </c>
      <c r="G63" s="12" t="s">
        <v>61</v>
      </c>
      <c r="H63" s="11">
        <v>42240</v>
      </c>
      <c r="I63" s="13" t="s">
        <v>83</v>
      </c>
      <c r="J63" s="8" t="s">
        <v>30</v>
      </c>
      <c r="K63" s="34" t="s">
        <v>89</v>
      </c>
    </row>
    <row r="64" spans="2:11" ht="45">
      <c r="B64" s="11" t="str">
        <f>IF(J64="","",INDEX(Inputs!$B$3:$B$9,MATCH(Log!J64,Inputs!$D$3:$D$9,0)))</f>
        <v>Capital Plan</v>
      </c>
      <c r="C64" s="11">
        <v>42236</v>
      </c>
      <c r="D64" s="12">
        <v>43</v>
      </c>
      <c r="E64" s="10" t="s">
        <v>100</v>
      </c>
      <c r="F64" s="12" t="s">
        <v>10</v>
      </c>
      <c r="G64" s="12" t="s">
        <v>61</v>
      </c>
      <c r="H64" s="11">
        <v>42242</v>
      </c>
      <c r="I64" s="13" t="s">
        <v>83</v>
      </c>
      <c r="J64" s="8" t="s">
        <v>30</v>
      </c>
      <c r="K64" s="34" t="s">
        <v>89</v>
      </c>
    </row>
    <row r="65" spans="2:11">
      <c r="B65" s="11" t="str">
        <f>IF(J65="","",INDEX(Inputs!$B$3:$B$9,MATCH(Log!J65,Inputs!$D$3:$D$9,0)))</f>
        <v>Capital Plan</v>
      </c>
      <c r="C65" s="11">
        <v>42215</v>
      </c>
      <c r="D65" s="12">
        <v>24</v>
      </c>
      <c r="E65" s="10" t="s">
        <v>101</v>
      </c>
      <c r="F65" s="12" t="s">
        <v>10</v>
      </c>
      <c r="G65" s="12" t="s">
        <v>102</v>
      </c>
      <c r="H65" s="11">
        <v>42243</v>
      </c>
      <c r="I65" s="13" t="s">
        <v>103</v>
      </c>
      <c r="J65" s="8" t="s">
        <v>30</v>
      </c>
      <c r="K65" s="34" t="s">
        <v>104</v>
      </c>
    </row>
    <row r="66" spans="2:11" ht="45">
      <c r="B66" s="11" t="str">
        <f>IF(J66="","",INDEX(Inputs!$B$3:$B$9,MATCH(Log!J66,Inputs!$D$3:$D$9,0)))</f>
        <v>Capital Plan</v>
      </c>
      <c r="C66" s="11">
        <v>42215</v>
      </c>
      <c r="D66" s="12">
        <v>25</v>
      </c>
      <c r="E66" s="10" t="s">
        <v>105</v>
      </c>
      <c r="F66" s="12" t="s">
        <v>10</v>
      </c>
      <c r="G66" s="12" t="s">
        <v>106</v>
      </c>
      <c r="H66" s="11">
        <v>42236</v>
      </c>
      <c r="I66" s="13" t="s">
        <v>107</v>
      </c>
      <c r="J66" s="8" t="s">
        <v>30</v>
      </c>
      <c r="K66" s="34" t="s">
        <v>104</v>
      </c>
    </row>
    <row r="67" spans="2:11">
      <c r="B67" s="11" t="str">
        <f>IF(J67="","",INDEX(Inputs!$B$3:$B$9,MATCH(Log!J67,Inputs!$D$3:$D$9,0)))</f>
        <v>Capital Plan</v>
      </c>
      <c r="C67" s="11">
        <v>42222</v>
      </c>
      <c r="D67" s="12">
        <v>31</v>
      </c>
      <c r="E67" s="10" t="s">
        <v>108</v>
      </c>
      <c r="F67" s="12" t="s">
        <v>10</v>
      </c>
      <c r="G67" s="12" t="s">
        <v>109</v>
      </c>
      <c r="H67" s="11">
        <v>42247</v>
      </c>
      <c r="I67" s="13" t="s">
        <v>83</v>
      </c>
      <c r="J67" s="8" t="s">
        <v>30</v>
      </c>
      <c r="K67" s="34" t="s">
        <v>104</v>
      </c>
    </row>
    <row r="68" spans="2:11" ht="30">
      <c r="B68" s="11" t="str">
        <f>IF(J68="","",INDEX(Inputs!$B$3:$B$9,MATCH(Log!J68,Inputs!$D$3:$D$9,0)))</f>
        <v>Capital Plan</v>
      </c>
      <c r="C68" s="11">
        <v>42222</v>
      </c>
      <c r="D68" s="12">
        <v>32</v>
      </c>
      <c r="E68" s="10" t="s">
        <v>110</v>
      </c>
      <c r="F68" s="12" t="s">
        <v>10</v>
      </c>
      <c r="G68" s="12" t="s">
        <v>16</v>
      </c>
      <c r="H68" s="11">
        <v>42243</v>
      </c>
      <c r="I68" s="13" t="s">
        <v>83</v>
      </c>
      <c r="J68" s="8" t="s">
        <v>30</v>
      </c>
      <c r="K68" s="34" t="s">
        <v>111</v>
      </c>
    </row>
    <row r="69" spans="2:11" ht="30">
      <c r="B69" s="11" t="str">
        <f>IF(J69="","",INDEX(Inputs!$B$3:$B$9,MATCH(Log!J69,Inputs!$D$3:$D$9,0)))</f>
        <v>Capital Plan</v>
      </c>
      <c r="C69" s="11">
        <v>42222</v>
      </c>
      <c r="D69" s="12">
        <v>34</v>
      </c>
      <c r="E69" s="10" t="s">
        <v>112</v>
      </c>
      <c r="F69" s="12" t="s">
        <v>10</v>
      </c>
      <c r="G69" s="12" t="s">
        <v>113</v>
      </c>
      <c r="H69" s="11">
        <v>42243</v>
      </c>
      <c r="I69" s="13" t="s">
        <v>83</v>
      </c>
      <c r="J69" s="8" t="s">
        <v>30</v>
      </c>
      <c r="K69" s="34" t="s">
        <v>111</v>
      </c>
    </row>
    <row r="70" spans="2:11" ht="60">
      <c r="B70" s="11" t="str">
        <f>IF(J70="","",INDEX(Inputs!$B$3:$B$9,MATCH(Log!J70,Inputs!$D$3:$D$9,0)))</f>
        <v>Capital Plan</v>
      </c>
      <c r="C70" s="11">
        <v>42222</v>
      </c>
      <c r="D70" s="12">
        <v>35</v>
      </c>
      <c r="E70" s="10" t="s">
        <v>114</v>
      </c>
      <c r="F70" s="12" t="s">
        <v>10</v>
      </c>
      <c r="G70" s="12" t="s">
        <v>115</v>
      </c>
      <c r="H70" s="11">
        <v>42244</v>
      </c>
      <c r="I70" s="13" t="s">
        <v>116</v>
      </c>
      <c r="J70" s="8" t="s">
        <v>30</v>
      </c>
      <c r="K70" s="34" t="s">
        <v>117</v>
      </c>
    </row>
    <row r="71" spans="2:11" ht="30">
      <c r="B71" s="11" t="str">
        <f>IF(J71="","",INDEX(Inputs!$B$3:$B$9,MATCH(Log!J71,Inputs!$D$3:$D$9,0)))</f>
        <v>Capital Plan</v>
      </c>
      <c r="C71" s="11">
        <v>42215</v>
      </c>
      <c r="D71" s="12">
        <v>28</v>
      </c>
      <c r="E71" s="10" t="s">
        <v>118</v>
      </c>
      <c r="F71" s="12" t="s">
        <v>10</v>
      </c>
      <c r="G71" s="12" t="s">
        <v>61</v>
      </c>
      <c r="H71" s="11">
        <v>42277</v>
      </c>
      <c r="I71" s="13" t="s">
        <v>119</v>
      </c>
      <c r="J71" s="8" t="s">
        <v>30</v>
      </c>
      <c r="K71" s="10" t="s">
        <v>120</v>
      </c>
    </row>
    <row r="72" spans="2:11" ht="30">
      <c r="B72" s="11" t="str">
        <f>IF(J72="","",INDEX(Inputs!$B$3:$B$9,MATCH(Log!J72,Inputs!$D$3:$D$9,0)))</f>
        <v>Capital Plan</v>
      </c>
      <c r="C72" s="11">
        <v>42215</v>
      </c>
      <c r="D72" s="12">
        <v>26</v>
      </c>
      <c r="E72" s="10" t="s">
        <v>121</v>
      </c>
      <c r="F72" s="12" t="s">
        <v>10</v>
      </c>
      <c r="G72" s="12" t="s">
        <v>122</v>
      </c>
      <c r="H72" s="11">
        <v>42251</v>
      </c>
      <c r="I72" s="13" t="s">
        <v>123</v>
      </c>
      <c r="J72" s="8" t="s">
        <v>30</v>
      </c>
      <c r="K72" s="34" t="s">
        <v>124</v>
      </c>
    </row>
    <row r="73" spans="2:11">
      <c r="B73" s="11" t="str">
        <f>IF(J73="","",INDEX(Inputs!$B$3:$B$9,MATCH(Log!J73,Inputs!$D$3:$D$9,0)))</f>
        <v>Capital Plan</v>
      </c>
      <c r="C73" s="11">
        <v>42215</v>
      </c>
      <c r="D73" s="12">
        <v>27</v>
      </c>
      <c r="E73" s="10" t="s">
        <v>125</v>
      </c>
      <c r="F73" s="12" t="s">
        <v>10</v>
      </c>
      <c r="G73" s="12" t="s">
        <v>122</v>
      </c>
      <c r="H73" s="11">
        <v>42258</v>
      </c>
      <c r="I73" s="13" t="s">
        <v>123</v>
      </c>
      <c r="J73" s="8" t="s">
        <v>30</v>
      </c>
      <c r="K73" s="34" t="s">
        <v>124</v>
      </c>
    </row>
    <row r="74" spans="2:11">
      <c r="B74" s="11" t="str">
        <f>IF(J74="","",INDEX(Inputs!$B$3:$B$9,MATCH(Log!J74,Inputs!$D$3:$D$9,0)))</f>
        <v/>
      </c>
      <c r="C74" s="11"/>
      <c r="D74" s="12"/>
      <c r="E74" s="10"/>
      <c r="F74" s="12"/>
      <c r="G74" s="12"/>
      <c r="H74" s="11"/>
      <c r="I74" s="13"/>
    </row>
    <row r="75" spans="2:11">
      <c r="B75" s="11" t="str">
        <f>IF(J75="","",INDEX(Inputs!$B$3:$B$9,MATCH(Log!J75,Inputs!$D$3:$D$9,0)))</f>
        <v/>
      </c>
      <c r="C75" s="11"/>
      <c r="D75" s="12"/>
      <c r="E75" s="10"/>
      <c r="F75" s="12"/>
      <c r="G75" s="12"/>
      <c r="H75" s="11"/>
      <c r="I75" s="13"/>
    </row>
    <row r="76" spans="2:11">
      <c r="B76" s="11" t="str">
        <f>IF(J76="","",INDEX(Inputs!$B$3:$B$9,MATCH(Log!J76,Inputs!$D$3:$D$9,0)))</f>
        <v/>
      </c>
      <c r="C76" s="11"/>
      <c r="D76" s="12"/>
      <c r="E76" s="10"/>
      <c r="F76" s="12"/>
      <c r="G76" s="12"/>
      <c r="H76" s="11"/>
      <c r="I76" s="13"/>
    </row>
    <row r="77" spans="2:11">
      <c r="B77" s="11" t="str">
        <f>IF(J77="","",INDEX(Inputs!$B$3:$B$9,MATCH(Log!J77,Inputs!$D$3:$D$9,0)))</f>
        <v/>
      </c>
      <c r="C77" s="11"/>
      <c r="D77" s="12"/>
      <c r="E77" s="10"/>
      <c r="F77" s="12"/>
      <c r="G77" s="12"/>
      <c r="H77" s="11"/>
      <c r="I77" s="13"/>
    </row>
    <row r="78" spans="2:11">
      <c r="B78" s="11" t="str">
        <f>IF(J78="","",INDEX(Inputs!$B$3:$B$9,MATCH(Log!J78,Inputs!$D$3:$D$9,0)))</f>
        <v/>
      </c>
      <c r="C78" s="11"/>
      <c r="D78" s="12"/>
      <c r="E78" s="10"/>
      <c r="F78" s="12"/>
      <c r="G78" s="12"/>
      <c r="H78" s="11"/>
      <c r="I78" s="13"/>
    </row>
    <row r="79" spans="2:11">
      <c r="B79" s="11" t="str">
        <f>IF(J79="","",INDEX(Inputs!$B$3:$B$9,MATCH(Log!J79,Inputs!$D$3:$D$9,0)))</f>
        <v/>
      </c>
      <c r="C79" s="11"/>
      <c r="D79" s="12"/>
      <c r="E79" s="10"/>
      <c r="F79" s="12"/>
      <c r="G79" s="12"/>
      <c r="H79" s="11"/>
      <c r="I79" s="13"/>
    </row>
    <row r="80" spans="2:11">
      <c r="B80" s="11" t="str">
        <f>IF(J80="","",INDEX(Inputs!$B$3:$B$9,MATCH(Log!J80,Inputs!$D$3:$D$9,0)))</f>
        <v/>
      </c>
      <c r="C80" s="11"/>
      <c r="D80" s="12"/>
      <c r="E80" s="10"/>
      <c r="F80" s="12"/>
      <c r="G80" s="12"/>
      <c r="H80" s="11"/>
      <c r="I80" s="13"/>
    </row>
    <row r="81" spans="2:9">
      <c r="B81" s="11" t="str">
        <f>IF(J81="","",INDEX(Inputs!$B$3:$B$9,MATCH(Log!J81,Inputs!$D$3:$D$9,0)))</f>
        <v/>
      </c>
      <c r="C81" s="11"/>
      <c r="D81" s="12"/>
      <c r="E81" s="10"/>
      <c r="F81" s="12"/>
      <c r="G81" s="12"/>
      <c r="H81" s="11"/>
      <c r="I81" s="13"/>
    </row>
    <row r="82" spans="2:9">
      <c r="B82" s="11" t="str">
        <f>IF(J82="","",INDEX(Inputs!$B$3:$B$9,MATCH(Log!J82,Inputs!$D$3:$D$9,0)))</f>
        <v/>
      </c>
      <c r="C82" s="11"/>
      <c r="D82" s="12"/>
      <c r="E82" s="10"/>
      <c r="F82" s="12"/>
      <c r="G82" s="12"/>
      <c r="H82" s="11"/>
      <c r="I82" s="13"/>
    </row>
    <row r="83" spans="2:9">
      <c r="B83" s="11" t="str">
        <f>IF(J83="","",INDEX(Inputs!$B$3:$B$9,MATCH(Log!J83,Inputs!$D$3:$D$9,0)))</f>
        <v/>
      </c>
      <c r="C83" s="11"/>
      <c r="D83" s="12"/>
      <c r="E83" s="10"/>
      <c r="F83" s="12"/>
      <c r="G83" s="12"/>
      <c r="H83" s="11"/>
      <c r="I83" s="13"/>
    </row>
    <row r="84" spans="2:9">
      <c r="B84" s="11" t="str">
        <f>IF(J84="","",INDEX(Inputs!$B$3:$B$9,MATCH(Log!J84,Inputs!$D$3:$D$9,0)))</f>
        <v/>
      </c>
      <c r="C84" s="11"/>
      <c r="D84" s="12"/>
      <c r="E84" s="10"/>
      <c r="F84" s="12"/>
      <c r="G84" s="12"/>
      <c r="H84" s="11"/>
      <c r="I84" s="13"/>
    </row>
    <row r="85" spans="2:9">
      <c r="B85" s="11" t="str">
        <f>IF(J85="","",INDEX(Inputs!$B$3:$B$9,MATCH(Log!J85,Inputs!$D$3:$D$9,0)))</f>
        <v/>
      </c>
      <c r="C85" s="11"/>
      <c r="D85" s="12"/>
      <c r="E85" s="10"/>
      <c r="F85" s="12"/>
      <c r="G85" s="12"/>
      <c r="H85" s="11"/>
      <c r="I85" s="13"/>
    </row>
    <row r="86" spans="2:9">
      <c r="B86" s="11" t="str">
        <f>IF(J86="","",INDEX(Inputs!$B$3:$B$9,MATCH(Log!J86,Inputs!$D$3:$D$9,0)))</f>
        <v/>
      </c>
      <c r="C86" s="11"/>
      <c r="D86" s="12"/>
      <c r="E86" s="10"/>
      <c r="F86" s="12"/>
      <c r="G86" s="12"/>
      <c r="H86" s="11"/>
      <c r="I86" s="13"/>
    </row>
    <row r="87" spans="2:9">
      <c r="B87" s="11" t="str">
        <f>IF(J87="","",INDEX(Inputs!$B$3:$B$9,MATCH(Log!J87,Inputs!$D$3:$D$9,0)))</f>
        <v/>
      </c>
      <c r="C87" s="11"/>
      <c r="D87" s="12"/>
      <c r="E87" s="10"/>
      <c r="F87" s="12"/>
      <c r="G87" s="12"/>
      <c r="H87" s="11"/>
      <c r="I87" s="13"/>
    </row>
    <row r="88" spans="2:9">
      <c r="B88" s="11" t="str">
        <f>IF(J88="","",INDEX(Inputs!$B$3:$B$9,MATCH(Log!J88,Inputs!$D$3:$D$9,0)))</f>
        <v/>
      </c>
      <c r="C88" s="11"/>
      <c r="D88" s="12"/>
      <c r="E88" s="10"/>
      <c r="F88" s="12"/>
      <c r="G88" s="12"/>
      <c r="H88" s="11"/>
      <c r="I88" s="13"/>
    </row>
    <row r="89" spans="2:9">
      <c r="B89" s="11" t="str">
        <f>IF(J89="","",INDEX(Inputs!$B$3:$B$9,MATCH(Log!J89,Inputs!$D$3:$D$9,0)))</f>
        <v/>
      </c>
      <c r="C89" s="11"/>
      <c r="D89" s="12"/>
      <c r="E89" s="10"/>
      <c r="F89" s="12"/>
      <c r="G89" s="12"/>
      <c r="H89" s="11"/>
      <c r="I89" s="13"/>
    </row>
    <row r="90" spans="2:9">
      <c r="B90" s="11" t="str">
        <f>IF(J90="","",INDEX(Inputs!$B$3:$B$9,MATCH(Log!J90,Inputs!$D$3:$D$9,0)))</f>
        <v/>
      </c>
      <c r="C90" s="11"/>
      <c r="D90" s="12"/>
      <c r="E90" s="10"/>
      <c r="F90" s="12"/>
      <c r="G90" s="12"/>
      <c r="H90" s="11"/>
      <c r="I90" s="13"/>
    </row>
    <row r="91" spans="2:9">
      <c r="B91" s="11" t="str">
        <f>IF(J91="","",INDEX(Inputs!$B$3:$B$9,MATCH(Log!J91,Inputs!$D$3:$D$9,0)))</f>
        <v/>
      </c>
      <c r="C91" s="11"/>
      <c r="D91" s="12"/>
      <c r="E91" s="10"/>
      <c r="F91" s="12"/>
      <c r="G91" s="12"/>
      <c r="H91" s="11"/>
      <c r="I91" s="13"/>
    </row>
    <row r="92" spans="2:9">
      <c r="B92" s="11" t="str">
        <f>IF(J92="","",INDEX(Inputs!$B$3:$B$9,MATCH(Log!J92,Inputs!$D$3:$D$9,0)))</f>
        <v/>
      </c>
      <c r="C92" s="11"/>
      <c r="D92" s="12"/>
      <c r="E92" s="10"/>
      <c r="F92" s="12"/>
      <c r="G92" s="12"/>
      <c r="H92" s="11"/>
      <c r="I92" s="13"/>
    </row>
    <row r="93" spans="2:9">
      <c r="B93" s="11" t="str">
        <f>IF(J93="","",INDEX(Inputs!$B$3:$B$9,MATCH(Log!J93,Inputs!$D$3:$D$9,0)))</f>
        <v/>
      </c>
      <c r="C93" s="11"/>
      <c r="D93" s="12"/>
      <c r="E93" s="10"/>
      <c r="F93" s="12"/>
      <c r="G93" s="12"/>
      <c r="H93" s="11"/>
      <c r="I93" s="13"/>
    </row>
    <row r="94" spans="2:9">
      <c r="B94" s="11" t="str">
        <f>IF(J94="","",INDEX(Inputs!$B$3:$B$9,MATCH(Log!J94,Inputs!$D$3:$D$9,0)))</f>
        <v/>
      </c>
      <c r="C94" s="11"/>
      <c r="D94" s="12"/>
      <c r="E94" s="10"/>
      <c r="F94" s="12"/>
      <c r="G94" s="12"/>
      <c r="H94" s="11"/>
      <c r="I94" s="13"/>
    </row>
    <row r="95" spans="2:9">
      <c r="B95" s="11" t="str">
        <f>IF(J95="","",INDEX(Inputs!$B$3:$B$9,MATCH(Log!J95,Inputs!$D$3:$D$9,0)))</f>
        <v/>
      </c>
      <c r="C95" s="11"/>
      <c r="D95" s="12"/>
      <c r="E95" s="10"/>
      <c r="F95" s="12"/>
      <c r="G95" s="12"/>
      <c r="H95" s="11"/>
      <c r="I95" s="13"/>
    </row>
    <row r="96" spans="2:9">
      <c r="B96" s="11" t="str">
        <f>IF(J96="","",INDEX(Inputs!$B$3:$B$9,MATCH(Log!J96,Inputs!$D$3:$D$9,0)))</f>
        <v/>
      </c>
      <c r="C96" s="11"/>
      <c r="D96" s="12"/>
      <c r="E96" s="10"/>
      <c r="F96" s="12"/>
      <c r="G96" s="12"/>
      <c r="H96" s="11"/>
      <c r="I96" s="13"/>
    </row>
    <row r="97" spans="2:9">
      <c r="B97" s="11" t="str">
        <f>IF(J97="","",INDEX(Inputs!$B$3:$B$9,MATCH(Log!J97,Inputs!$D$3:$D$9,0)))</f>
        <v/>
      </c>
      <c r="C97" s="11"/>
      <c r="D97" s="12"/>
      <c r="E97" s="10"/>
      <c r="F97" s="12"/>
      <c r="G97" s="12"/>
      <c r="H97" s="11"/>
      <c r="I97" s="13"/>
    </row>
    <row r="98" spans="2:9">
      <c r="B98" s="11" t="str">
        <f>IF(J98="","",INDEX(Inputs!$B$3:$B$9,MATCH(Log!J98,Inputs!$D$3:$D$9,0)))</f>
        <v/>
      </c>
      <c r="C98" s="11"/>
      <c r="D98" s="12"/>
      <c r="E98" s="10"/>
      <c r="F98" s="12"/>
      <c r="G98" s="12"/>
      <c r="H98" s="11"/>
      <c r="I98" s="13"/>
    </row>
    <row r="99" spans="2:9">
      <c r="B99" s="11" t="str">
        <f>IF(J99="","",INDEX(Inputs!$B$3:$B$9,MATCH(Log!J99,Inputs!$D$3:$D$9,0)))</f>
        <v/>
      </c>
      <c r="C99" s="11"/>
      <c r="D99" s="12"/>
      <c r="E99" s="10"/>
      <c r="F99" s="12"/>
      <c r="G99" s="12"/>
      <c r="H99" s="11"/>
      <c r="I99" s="13"/>
    </row>
    <row r="100" spans="2:9">
      <c r="B100" s="11" t="str">
        <f>IF(J100="","",INDEX(Inputs!$B$3:$B$9,MATCH(Log!J100,Inputs!$D$3:$D$9,0)))</f>
        <v/>
      </c>
      <c r="C100" s="11"/>
      <c r="D100" s="12"/>
      <c r="E100" s="10"/>
      <c r="F100" s="12"/>
      <c r="G100" s="12"/>
      <c r="H100" s="11"/>
      <c r="I100" s="13"/>
    </row>
    <row r="101" spans="2:9">
      <c r="B101" s="11" t="str">
        <f>IF(J101="","",INDEX(Inputs!$B$3:$B$9,MATCH(Log!J101,Inputs!$D$3:$D$9,0)))</f>
        <v/>
      </c>
      <c r="C101" s="11"/>
      <c r="D101" s="12"/>
      <c r="E101" s="10"/>
      <c r="F101" s="12"/>
      <c r="G101" s="12"/>
      <c r="H101" s="11"/>
      <c r="I101" s="13"/>
    </row>
    <row r="102" spans="2:9">
      <c r="B102" s="11" t="str">
        <f>IF(J102="","",INDEX(Inputs!$B$3:$B$9,MATCH(Log!J102,Inputs!$D$3:$D$9,0)))</f>
        <v/>
      </c>
      <c r="C102" s="11"/>
      <c r="D102" s="12"/>
      <c r="E102" s="10"/>
      <c r="F102" s="12"/>
      <c r="G102" s="12"/>
      <c r="H102" s="11"/>
      <c r="I102" s="13"/>
    </row>
    <row r="103" spans="2:9">
      <c r="B103" s="11" t="str">
        <f>IF(J103="","",INDEX(Inputs!$B$3:$B$9,MATCH(Log!J103,Inputs!$D$3:$D$9,0)))</f>
        <v/>
      </c>
      <c r="C103" s="11"/>
      <c r="D103" s="12"/>
      <c r="E103" s="10"/>
      <c r="F103" s="12"/>
      <c r="G103" s="12"/>
      <c r="H103" s="11"/>
      <c r="I103" s="13"/>
    </row>
    <row r="104" spans="2:9">
      <c r="B104" s="11" t="str">
        <f>IF(J104="","",INDEX(Inputs!$B$3:$B$9,MATCH(Log!J104,Inputs!$D$3:$D$9,0)))</f>
        <v/>
      </c>
      <c r="C104" s="11"/>
      <c r="D104" s="12"/>
      <c r="E104" s="10"/>
      <c r="F104" s="12"/>
      <c r="G104" s="12"/>
      <c r="H104" s="11"/>
      <c r="I104" s="13"/>
    </row>
    <row r="105" spans="2:9">
      <c r="B105" s="11" t="str">
        <f>IF(J105="","",INDEX(Inputs!$B$3:$B$9,MATCH(Log!J105,Inputs!$D$3:$D$9,0)))</f>
        <v/>
      </c>
      <c r="C105" s="11"/>
      <c r="D105" s="12"/>
      <c r="E105" s="10"/>
      <c r="F105" s="12"/>
      <c r="G105" s="12"/>
      <c r="H105" s="11"/>
      <c r="I105" s="13"/>
    </row>
    <row r="106" spans="2:9">
      <c r="C106" s="25"/>
      <c r="D106" s="26"/>
    </row>
    <row r="107" spans="2:9">
      <c r="C107" s="25"/>
      <c r="D107" s="26"/>
    </row>
    <row r="108" spans="2:9">
      <c r="C108" s="25"/>
      <c r="D108" s="26"/>
    </row>
    <row r="109" spans="2:9">
      <c r="C109" s="25"/>
      <c r="D109" s="26"/>
    </row>
  </sheetData>
  <autoFilter ref="B10:I109">
    <filterColumn colId="4"/>
    <sortState ref="B3:I7">
      <sortCondition ref="H2:H13"/>
    </sortState>
  </autoFilter>
  <mergeCells count="1">
    <mergeCell ref="B9:I9"/>
  </mergeCells>
  <conditionalFormatting sqref="B11:K153">
    <cfRule type="expression" dxfId="5" priority="1">
      <formula>$B11=$E$6</formula>
    </cfRule>
    <cfRule type="expression" dxfId="4" priority="2">
      <formula>$B11=$E$5</formula>
    </cfRule>
    <cfRule type="expression" dxfId="3" priority="3">
      <formula>$B11=$E$4</formula>
    </cfRule>
    <cfRule type="expression" dxfId="2" priority="5">
      <formula>$B11=$E$3</formula>
    </cfRule>
    <cfRule type="expression" dxfId="1" priority="6">
      <formula>$B11=$E$2</formula>
    </cfRule>
    <cfRule type="expression" dxfId="0" priority="7">
      <formula>$B11=$E$7</formula>
    </cfRule>
  </conditionalFormatting>
  <dataValidations count="1">
    <dataValidation type="list" allowBlank="1" showInputMessage="1" showErrorMessage="1" sqref="E2:E7">
      <formula1>$W$1:$W$4</formula1>
    </dataValidation>
  </dataValidations>
  <pageMargins left="0.25" right="0.25" top="0.75" bottom="0.75" header="0.3" footer="0.3"/>
  <pageSetup paperSize="8" scale="56"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Inputs</vt:lpstr>
      <vt:lpstr>Log</vt:lpstr>
      <vt:lpstr>Log!Print_Area</vt:lpstr>
    </vt:vector>
  </TitlesOfParts>
  <Company>Royal &amp; Sun Alliance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x_acc_mohan</dc:creator>
  <cp:lastModifiedBy>x_acc_mohan</cp:lastModifiedBy>
  <cp:lastPrinted>2015-07-14T09:17:12Z</cp:lastPrinted>
  <dcterms:created xsi:type="dcterms:W3CDTF">2014-11-11T12:40:20Z</dcterms:created>
  <dcterms:modified xsi:type="dcterms:W3CDTF">2015-09-03T15:01:51Z</dcterms:modified>
</cp:coreProperties>
</file>